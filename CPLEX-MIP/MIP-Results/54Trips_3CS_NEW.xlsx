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ozalid\Documents\CPLEX_examples\current_model\current_model\"/>
    </mc:Choice>
  </mc:AlternateContent>
  <xr:revisionPtr revIDLastSave="0" documentId="13_ncr:1_{56CDA678-E9FA-4771-BD03-03AD0F9DE388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main" sheetId="1" r:id="rId1"/>
    <sheet name="gamma" sheetId="2" r:id="rId2"/>
    <sheet name="delta" sheetId="3" r:id="rId3"/>
    <sheet name="phi" sheetId="4" r:id="rId4"/>
    <sheet name="ze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3" i="4" l="1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23" i="4"/>
  <c r="A223" i="4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168" i="4"/>
  <c r="A168" i="4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D113" i="4"/>
  <c r="E113" i="4"/>
  <c r="F113" i="4"/>
  <c r="G113" i="4"/>
  <c r="H113" i="4"/>
  <c r="I113" i="4"/>
  <c r="J113" i="4"/>
  <c r="K113" i="4"/>
  <c r="L113" i="4"/>
  <c r="M113" i="4"/>
  <c r="N113" i="4"/>
  <c r="N168" i="5" s="1"/>
  <c r="O113" i="4"/>
  <c r="O168" i="5" s="1"/>
  <c r="P113" i="4"/>
  <c r="Q113" i="4"/>
  <c r="R113" i="4"/>
  <c r="S113" i="4"/>
  <c r="T113" i="4"/>
  <c r="U113" i="4"/>
  <c r="V113" i="4"/>
  <c r="W113" i="4"/>
  <c r="X113" i="4"/>
  <c r="Y113" i="4"/>
  <c r="Z113" i="4"/>
  <c r="Z168" i="5" s="1"/>
  <c r="AA113" i="4"/>
  <c r="AA168" i="5" s="1"/>
  <c r="AB113" i="4"/>
  <c r="AC113" i="4"/>
  <c r="AD113" i="4"/>
  <c r="AE113" i="4"/>
  <c r="AF113" i="4"/>
  <c r="AG113" i="4"/>
  <c r="AH113" i="4"/>
  <c r="AI113" i="4"/>
  <c r="AJ113" i="4"/>
  <c r="AK113" i="4"/>
  <c r="AL113" i="4"/>
  <c r="AL168" i="5" s="1"/>
  <c r="AM113" i="4"/>
  <c r="AM168" i="5" s="1"/>
  <c r="AN113" i="4"/>
  <c r="AO113" i="4"/>
  <c r="AP113" i="4"/>
  <c r="AQ113" i="4"/>
  <c r="AR113" i="4"/>
  <c r="AS113" i="4"/>
  <c r="AT113" i="4"/>
  <c r="AU113" i="4"/>
  <c r="AV113" i="4"/>
  <c r="AW113" i="4"/>
  <c r="AX113" i="4"/>
  <c r="AX168" i="5" s="1"/>
  <c r="AY113" i="4"/>
  <c r="AY168" i="5" s="1"/>
  <c r="AZ113" i="4"/>
  <c r="BA113" i="4"/>
  <c r="BB113" i="4"/>
  <c r="BC113" i="4"/>
  <c r="BD113" i="4"/>
  <c r="D114" i="4"/>
  <c r="E114" i="4"/>
  <c r="F114" i="4"/>
  <c r="G114" i="4"/>
  <c r="H114" i="4"/>
  <c r="I114" i="4"/>
  <c r="I169" i="5" s="1"/>
  <c r="J114" i="4"/>
  <c r="J169" i="5" s="1"/>
  <c r="K114" i="4"/>
  <c r="L114" i="4"/>
  <c r="M114" i="4"/>
  <c r="N114" i="4"/>
  <c r="O114" i="4"/>
  <c r="P114" i="4"/>
  <c r="Q114" i="4"/>
  <c r="R114" i="4"/>
  <c r="S114" i="4"/>
  <c r="T114" i="4"/>
  <c r="U114" i="4"/>
  <c r="U169" i="5" s="1"/>
  <c r="V114" i="4"/>
  <c r="V169" i="5" s="1"/>
  <c r="W114" i="4"/>
  <c r="X114" i="4"/>
  <c r="Y114" i="4"/>
  <c r="Z114" i="4"/>
  <c r="AA114" i="4"/>
  <c r="AB114" i="4"/>
  <c r="AC114" i="4"/>
  <c r="AD114" i="4"/>
  <c r="AE114" i="4"/>
  <c r="AF114" i="4"/>
  <c r="AG114" i="4"/>
  <c r="AG169" i="5" s="1"/>
  <c r="AH114" i="4"/>
  <c r="AH169" i="5" s="1"/>
  <c r="AI114" i="4"/>
  <c r="AJ114" i="4"/>
  <c r="AK114" i="4"/>
  <c r="AL114" i="4"/>
  <c r="AM114" i="4"/>
  <c r="AN114" i="4"/>
  <c r="AO114" i="4"/>
  <c r="AP114" i="4"/>
  <c r="AQ114" i="4"/>
  <c r="AR114" i="4"/>
  <c r="AS114" i="4"/>
  <c r="AS169" i="5" s="1"/>
  <c r="AT114" i="4"/>
  <c r="AT169" i="5" s="1"/>
  <c r="AU114" i="4"/>
  <c r="AV114" i="4"/>
  <c r="AW114" i="4"/>
  <c r="AX114" i="4"/>
  <c r="AY114" i="4"/>
  <c r="AZ114" i="4"/>
  <c r="BA114" i="4"/>
  <c r="BB114" i="4"/>
  <c r="BC114" i="4"/>
  <c r="BD114" i="4"/>
  <c r="D115" i="4"/>
  <c r="E115" i="4"/>
  <c r="E170" i="5" s="1"/>
  <c r="F115" i="4"/>
  <c r="G115" i="4"/>
  <c r="H115" i="4"/>
  <c r="I115" i="4"/>
  <c r="J115" i="4"/>
  <c r="K115" i="4"/>
  <c r="L115" i="4"/>
  <c r="M115" i="4"/>
  <c r="N115" i="4"/>
  <c r="O115" i="4"/>
  <c r="P115" i="4"/>
  <c r="Q115" i="4"/>
  <c r="Q170" i="5" s="1"/>
  <c r="R115" i="4"/>
  <c r="S115" i="4"/>
  <c r="T115" i="4"/>
  <c r="U115" i="4"/>
  <c r="V115" i="4"/>
  <c r="W115" i="4"/>
  <c r="X115" i="4"/>
  <c r="Y115" i="4"/>
  <c r="Z115" i="4"/>
  <c r="AA115" i="4"/>
  <c r="AB115" i="4"/>
  <c r="AB170" i="5" s="1"/>
  <c r="AC115" i="4"/>
  <c r="AC170" i="5" s="1"/>
  <c r="AD115" i="4"/>
  <c r="AE115" i="4"/>
  <c r="AF115" i="4"/>
  <c r="AG115" i="4"/>
  <c r="AH115" i="4"/>
  <c r="AI115" i="4"/>
  <c r="AJ115" i="4"/>
  <c r="AK115" i="4"/>
  <c r="AL115" i="4"/>
  <c r="AM115" i="4"/>
  <c r="AN115" i="4"/>
  <c r="AN170" i="5" s="1"/>
  <c r="AO115" i="4"/>
  <c r="AO170" i="5" s="1"/>
  <c r="AP115" i="4"/>
  <c r="AQ115" i="4"/>
  <c r="AR115" i="4"/>
  <c r="AS115" i="4"/>
  <c r="AT115" i="4"/>
  <c r="AU115" i="4"/>
  <c r="AV115" i="4"/>
  <c r="AW115" i="4"/>
  <c r="AX115" i="4"/>
  <c r="AY115" i="4"/>
  <c r="AZ115" i="4"/>
  <c r="AZ170" i="5" s="1"/>
  <c r="BA115" i="4"/>
  <c r="BA170" i="5" s="1"/>
  <c r="BB115" i="4"/>
  <c r="BC115" i="4"/>
  <c r="BD115" i="4"/>
  <c r="D116" i="4"/>
  <c r="E116" i="4"/>
  <c r="F116" i="4"/>
  <c r="G116" i="4"/>
  <c r="H116" i="4"/>
  <c r="I116" i="4"/>
  <c r="J116" i="4"/>
  <c r="K116" i="4"/>
  <c r="K171" i="5" s="1"/>
  <c r="L116" i="4"/>
  <c r="L171" i="5" s="1"/>
  <c r="M116" i="4"/>
  <c r="N116" i="4"/>
  <c r="O116" i="4"/>
  <c r="P116" i="4"/>
  <c r="Q116" i="4"/>
  <c r="R116" i="4"/>
  <c r="S116" i="4"/>
  <c r="T116" i="4"/>
  <c r="U116" i="4"/>
  <c r="V116" i="4"/>
  <c r="W116" i="4"/>
  <c r="W171" i="5" s="1"/>
  <c r="X116" i="4"/>
  <c r="X171" i="5" s="1"/>
  <c r="Y116" i="4"/>
  <c r="Z116" i="4"/>
  <c r="AA116" i="4"/>
  <c r="AB116" i="4"/>
  <c r="AC116" i="4"/>
  <c r="AD116" i="4"/>
  <c r="AE116" i="4"/>
  <c r="AF116" i="4"/>
  <c r="AG116" i="4"/>
  <c r="AH116" i="4"/>
  <c r="AI116" i="4"/>
  <c r="AI171" i="5" s="1"/>
  <c r="AJ116" i="4"/>
  <c r="AJ171" i="5" s="1"/>
  <c r="AK116" i="4"/>
  <c r="AL116" i="4"/>
  <c r="AM116" i="4"/>
  <c r="AN116" i="4"/>
  <c r="AO116" i="4"/>
  <c r="AP116" i="4"/>
  <c r="AQ116" i="4"/>
  <c r="AR116" i="4"/>
  <c r="AS116" i="4"/>
  <c r="AT116" i="4"/>
  <c r="AU116" i="4"/>
  <c r="AU171" i="5" s="1"/>
  <c r="AV116" i="4"/>
  <c r="AV171" i="5" s="1"/>
  <c r="AW116" i="4"/>
  <c r="AX116" i="4"/>
  <c r="AY116" i="4"/>
  <c r="AZ116" i="4"/>
  <c r="BA116" i="4"/>
  <c r="BB116" i="4"/>
  <c r="BC116" i="4"/>
  <c r="BD116" i="4"/>
  <c r="D117" i="4"/>
  <c r="E117" i="4"/>
  <c r="F117" i="4"/>
  <c r="F172" i="5" s="1"/>
  <c r="G117" i="4"/>
  <c r="G172" i="5" s="1"/>
  <c r="H117" i="4"/>
  <c r="I117" i="4"/>
  <c r="J117" i="4"/>
  <c r="K117" i="4"/>
  <c r="L117" i="4"/>
  <c r="M117" i="4"/>
  <c r="N117" i="4"/>
  <c r="O117" i="4"/>
  <c r="P117" i="4"/>
  <c r="Q117" i="4"/>
  <c r="R117" i="4"/>
  <c r="R172" i="5" s="1"/>
  <c r="S117" i="4"/>
  <c r="S172" i="5" s="1"/>
  <c r="T117" i="4"/>
  <c r="U117" i="4"/>
  <c r="V117" i="4"/>
  <c r="W117" i="4"/>
  <c r="X117" i="4"/>
  <c r="Y117" i="4"/>
  <c r="Z117" i="4"/>
  <c r="AA117" i="4"/>
  <c r="AB117" i="4"/>
  <c r="AC117" i="4"/>
  <c r="AD117" i="4"/>
  <c r="AD172" i="5" s="1"/>
  <c r="AE117" i="4"/>
  <c r="AE172" i="5" s="1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Q172" i="5" s="1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C172" i="5" s="1"/>
  <c r="BD117" i="4"/>
  <c r="D118" i="4"/>
  <c r="E118" i="4"/>
  <c r="F118" i="4"/>
  <c r="G118" i="4"/>
  <c r="H118" i="4"/>
  <c r="I118" i="4"/>
  <c r="J118" i="4"/>
  <c r="K118" i="4"/>
  <c r="L118" i="4"/>
  <c r="M118" i="4"/>
  <c r="M173" i="5" s="1"/>
  <c r="N118" i="4"/>
  <c r="N173" i="5" s="1"/>
  <c r="O118" i="4"/>
  <c r="P118" i="4"/>
  <c r="Q118" i="4"/>
  <c r="R118" i="4"/>
  <c r="S118" i="4"/>
  <c r="T118" i="4"/>
  <c r="U118" i="4"/>
  <c r="V118" i="4"/>
  <c r="W118" i="4"/>
  <c r="X118" i="4"/>
  <c r="Y118" i="4"/>
  <c r="Y173" i="5" s="1"/>
  <c r="Z118" i="4"/>
  <c r="Z173" i="5" s="1"/>
  <c r="AA118" i="4"/>
  <c r="AB118" i="4"/>
  <c r="AC118" i="4"/>
  <c r="AD118" i="4"/>
  <c r="AE118" i="4"/>
  <c r="AF118" i="4"/>
  <c r="AG118" i="4"/>
  <c r="AH118" i="4"/>
  <c r="AI118" i="4"/>
  <c r="AJ118" i="4"/>
  <c r="AK118" i="4"/>
  <c r="AK173" i="5" s="1"/>
  <c r="AL118" i="4"/>
  <c r="AL173" i="5" s="1"/>
  <c r="AM118" i="4"/>
  <c r="AN118" i="4"/>
  <c r="AO118" i="4"/>
  <c r="AP118" i="4"/>
  <c r="AQ118" i="4"/>
  <c r="AR118" i="4"/>
  <c r="AS118" i="4"/>
  <c r="AT118" i="4"/>
  <c r="AU118" i="4"/>
  <c r="AV118" i="4"/>
  <c r="AW118" i="4"/>
  <c r="AW173" i="5" s="1"/>
  <c r="AX118" i="4"/>
  <c r="AX173" i="5" s="1"/>
  <c r="AY118" i="4"/>
  <c r="AZ118" i="4"/>
  <c r="BA118" i="4"/>
  <c r="BB118" i="4"/>
  <c r="BC118" i="4"/>
  <c r="BD118" i="4"/>
  <c r="D119" i="4"/>
  <c r="E119" i="4"/>
  <c r="F119" i="4"/>
  <c r="G119" i="4"/>
  <c r="H119" i="4"/>
  <c r="H174" i="5" s="1"/>
  <c r="I119" i="4"/>
  <c r="I174" i="5" s="1"/>
  <c r="J119" i="4"/>
  <c r="K119" i="4"/>
  <c r="L119" i="4"/>
  <c r="M119" i="4"/>
  <c r="N119" i="4"/>
  <c r="O119" i="4"/>
  <c r="P119" i="4"/>
  <c r="Q119" i="4"/>
  <c r="R119" i="4"/>
  <c r="S119" i="4"/>
  <c r="T119" i="4"/>
  <c r="T174" i="5" s="1"/>
  <c r="U119" i="4"/>
  <c r="U174" i="5" s="1"/>
  <c r="V119" i="4"/>
  <c r="W119" i="4"/>
  <c r="X119" i="4"/>
  <c r="Y119" i="4"/>
  <c r="Z119" i="4"/>
  <c r="AA119" i="4"/>
  <c r="AB119" i="4"/>
  <c r="AC119" i="4"/>
  <c r="AD119" i="4"/>
  <c r="AE119" i="4"/>
  <c r="AF119" i="4"/>
  <c r="AF174" i="5" s="1"/>
  <c r="AG119" i="4"/>
  <c r="AG174" i="5" s="1"/>
  <c r="AH119" i="4"/>
  <c r="AI119" i="4"/>
  <c r="AJ119" i="4"/>
  <c r="AK119" i="4"/>
  <c r="AL119" i="4"/>
  <c r="AM119" i="4"/>
  <c r="AN119" i="4"/>
  <c r="AO119" i="4"/>
  <c r="AP119" i="4"/>
  <c r="AQ119" i="4"/>
  <c r="AR119" i="4"/>
  <c r="AR174" i="5" s="1"/>
  <c r="AS119" i="4"/>
  <c r="AS174" i="5" s="1"/>
  <c r="AT119" i="4"/>
  <c r="AU119" i="4"/>
  <c r="AV119" i="4"/>
  <c r="AW119" i="4"/>
  <c r="AX119" i="4"/>
  <c r="AY119" i="4"/>
  <c r="AZ119" i="4"/>
  <c r="BA119" i="4"/>
  <c r="BB119" i="4"/>
  <c r="BC119" i="4"/>
  <c r="BD119" i="4"/>
  <c r="BD174" i="5" s="1"/>
  <c r="D120" i="4"/>
  <c r="D175" i="5" s="1"/>
  <c r="E120" i="4"/>
  <c r="F120" i="4"/>
  <c r="G120" i="4"/>
  <c r="H120" i="4"/>
  <c r="I120" i="4"/>
  <c r="J120" i="4"/>
  <c r="K120" i="4"/>
  <c r="L120" i="4"/>
  <c r="M120" i="4"/>
  <c r="N120" i="4"/>
  <c r="O120" i="4"/>
  <c r="O175" i="5" s="1"/>
  <c r="P120" i="4"/>
  <c r="P175" i="5" s="1"/>
  <c r="Q120" i="4"/>
  <c r="R120" i="4"/>
  <c r="S120" i="4"/>
  <c r="T120" i="4"/>
  <c r="U120" i="4"/>
  <c r="V120" i="4"/>
  <c r="W120" i="4"/>
  <c r="X120" i="4"/>
  <c r="Y120" i="4"/>
  <c r="Z120" i="4"/>
  <c r="AA120" i="4"/>
  <c r="AB120" i="4"/>
  <c r="AB175" i="5" s="1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N175" i="5" s="1"/>
  <c r="AO120" i="4"/>
  <c r="AP120" i="4"/>
  <c r="AQ120" i="4"/>
  <c r="AR120" i="4"/>
  <c r="AS120" i="4"/>
  <c r="AT120" i="4"/>
  <c r="AU120" i="4"/>
  <c r="AV120" i="4"/>
  <c r="AW120" i="4"/>
  <c r="AX120" i="4"/>
  <c r="AY120" i="4"/>
  <c r="AY175" i="5" s="1"/>
  <c r="AZ120" i="4"/>
  <c r="AZ175" i="5" s="1"/>
  <c r="BA120" i="4"/>
  <c r="BB120" i="4"/>
  <c r="BC120" i="4"/>
  <c r="BD120" i="4"/>
  <c r="D121" i="4"/>
  <c r="E121" i="4"/>
  <c r="F121" i="4"/>
  <c r="G121" i="4"/>
  <c r="H121" i="4"/>
  <c r="I121" i="4"/>
  <c r="J121" i="4"/>
  <c r="J176" i="5" s="1"/>
  <c r="K121" i="4"/>
  <c r="K176" i="5" s="1"/>
  <c r="L121" i="4"/>
  <c r="M121" i="4"/>
  <c r="N121" i="4"/>
  <c r="O121" i="4"/>
  <c r="P121" i="4"/>
  <c r="Q121" i="4"/>
  <c r="R121" i="4"/>
  <c r="S121" i="4"/>
  <c r="T121" i="4"/>
  <c r="U121" i="4"/>
  <c r="V121" i="4"/>
  <c r="V176" i="5" s="1"/>
  <c r="W121" i="4"/>
  <c r="W176" i="5" s="1"/>
  <c r="X121" i="4"/>
  <c r="Y121" i="4"/>
  <c r="Z121" i="4"/>
  <c r="AA121" i="4"/>
  <c r="AB121" i="4"/>
  <c r="AC121" i="4"/>
  <c r="AD121" i="4"/>
  <c r="AE121" i="4"/>
  <c r="AF121" i="4"/>
  <c r="AG121" i="4"/>
  <c r="AH121" i="4"/>
  <c r="AH176" i="5" s="1"/>
  <c r="AI121" i="4"/>
  <c r="AI176" i="5" s="1"/>
  <c r="AJ121" i="4"/>
  <c r="AK121" i="4"/>
  <c r="AL121" i="4"/>
  <c r="AM121" i="4"/>
  <c r="AN121" i="4"/>
  <c r="AO121" i="4"/>
  <c r="AP121" i="4"/>
  <c r="AQ121" i="4"/>
  <c r="AR121" i="4"/>
  <c r="AS121" i="4"/>
  <c r="AT121" i="4"/>
  <c r="AT176" i="5" s="1"/>
  <c r="AU121" i="4"/>
  <c r="AU176" i="5" s="1"/>
  <c r="AV121" i="4"/>
  <c r="AW121" i="4"/>
  <c r="AX121" i="4"/>
  <c r="AY121" i="4"/>
  <c r="AZ121" i="4"/>
  <c r="BA121" i="4"/>
  <c r="BB121" i="4"/>
  <c r="BC121" i="4"/>
  <c r="BD121" i="4"/>
  <c r="D122" i="4"/>
  <c r="E122" i="4"/>
  <c r="E177" i="5" s="1"/>
  <c r="F122" i="4"/>
  <c r="F177" i="5" s="1"/>
  <c r="G122" i="4"/>
  <c r="H122" i="4"/>
  <c r="I122" i="4"/>
  <c r="J122" i="4"/>
  <c r="K122" i="4"/>
  <c r="L122" i="4"/>
  <c r="M122" i="4"/>
  <c r="N122" i="4"/>
  <c r="O122" i="4"/>
  <c r="P122" i="4"/>
  <c r="Q122" i="4"/>
  <c r="Q177" i="5" s="1"/>
  <c r="R122" i="4"/>
  <c r="R177" i="5" s="1"/>
  <c r="S122" i="4"/>
  <c r="T122" i="4"/>
  <c r="U122" i="4"/>
  <c r="V122" i="4"/>
  <c r="W122" i="4"/>
  <c r="X122" i="4"/>
  <c r="Y122" i="4"/>
  <c r="Z122" i="4"/>
  <c r="AA122" i="4"/>
  <c r="AB122" i="4"/>
  <c r="AC122" i="4"/>
  <c r="AC177" i="5" s="1"/>
  <c r="AD122" i="4"/>
  <c r="AD177" i="5" s="1"/>
  <c r="AE122" i="4"/>
  <c r="AF122" i="4"/>
  <c r="AG122" i="4"/>
  <c r="AH122" i="4"/>
  <c r="AI122" i="4"/>
  <c r="AJ122" i="4"/>
  <c r="AK122" i="4"/>
  <c r="AL122" i="4"/>
  <c r="AM122" i="4"/>
  <c r="AN122" i="4"/>
  <c r="AO122" i="4"/>
  <c r="AO177" i="5" s="1"/>
  <c r="AP122" i="4"/>
  <c r="AP177" i="5" s="1"/>
  <c r="AQ122" i="4"/>
  <c r="AR122" i="4"/>
  <c r="AS122" i="4"/>
  <c r="AT122" i="4"/>
  <c r="AU122" i="4"/>
  <c r="AV122" i="4"/>
  <c r="AW122" i="4"/>
  <c r="AX122" i="4"/>
  <c r="AY122" i="4"/>
  <c r="AZ122" i="4"/>
  <c r="BA122" i="4"/>
  <c r="BA177" i="5" s="1"/>
  <c r="BB122" i="4"/>
  <c r="BB177" i="5" s="1"/>
  <c r="BC122" i="4"/>
  <c r="BD122" i="4"/>
  <c r="D123" i="4"/>
  <c r="E123" i="4"/>
  <c r="F123" i="4"/>
  <c r="G123" i="4"/>
  <c r="H123" i="4"/>
  <c r="I123" i="4"/>
  <c r="J123" i="4"/>
  <c r="K123" i="4"/>
  <c r="L123" i="4"/>
  <c r="M123" i="4"/>
  <c r="M178" i="5" s="1"/>
  <c r="N123" i="4"/>
  <c r="O123" i="4"/>
  <c r="P123" i="4"/>
  <c r="Q123" i="4"/>
  <c r="R123" i="4"/>
  <c r="S123" i="4"/>
  <c r="T123" i="4"/>
  <c r="U123" i="4"/>
  <c r="V123" i="4"/>
  <c r="W123" i="4"/>
  <c r="X123" i="4"/>
  <c r="Y123" i="4"/>
  <c r="Y178" i="5" s="1"/>
  <c r="Z123" i="4"/>
  <c r="AA123" i="4"/>
  <c r="AB123" i="4"/>
  <c r="AC123" i="4"/>
  <c r="AD123" i="4"/>
  <c r="AE123" i="4"/>
  <c r="AF123" i="4"/>
  <c r="AG123" i="4"/>
  <c r="AH123" i="4"/>
  <c r="AI123" i="4"/>
  <c r="AJ123" i="4"/>
  <c r="AJ178" i="5" s="1"/>
  <c r="AK123" i="4"/>
  <c r="AK178" i="5" s="1"/>
  <c r="AL123" i="4"/>
  <c r="AM123" i="4"/>
  <c r="AN123" i="4"/>
  <c r="AO123" i="4"/>
  <c r="AP123" i="4"/>
  <c r="AQ123" i="4"/>
  <c r="AR123" i="4"/>
  <c r="AS123" i="4"/>
  <c r="AT123" i="4"/>
  <c r="AU123" i="4"/>
  <c r="AV123" i="4"/>
  <c r="AV178" i="5" s="1"/>
  <c r="AW123" i="4"/>
  <c r="AW178" i="5" s="1"/>
  <c r="AX123" i="4"/>
  <c r="AY123" i="4"/>
  <c r="AZ123" i="4"/>
  <c r="BA123" i="4"/>
  <c r="BB123" i="4"/>
  <c r="BC123" i="4"/>
  <c r="BD123" i="4"/>
  <c r="D124" i="4"/>
  <c r="E124" i="4"/>
  <c r="F124" i="4"/>
  <c r="G124" i="4"/>
  <c r="G179" i="5" s="1"/>
  <c r="H124" i="4"/>
  <c r="H179" i="5" s="1"/>
  <c r="I124" i="4"/>
  <c r="J124" i="4"/>
  <c r="K124" i="4"/>
  <c r="L124" i="4"/>
  <c r="M124" i="4"/>
  <c r="N124" i="4"/>
  <c r="O124" i="4"/>
  <c r="P124" i="4"/>
  <c r="Q124" i="4"/>
  <c r="R124" i="4"/>
  <c r="S124" i="4"/>
  <c r="S179" i="5" s="1"/>
  <c r="T124" i="4"/>
  <c r="T179" i="5" s="1"/>
  <c r="U124" i="4"/>
  <c r="V124" i="4"/>
  <c r="W124" i="4"/>
  <c r="X124" i="4"/>
  <c r="Y124" i="4"/>
  <c r="Z124" i="4"/>
  <c r="AA124" i="4"/>
  <c r="AB124" i="4"/>
  <c r="AC124" i="4"/>
  <c r="AD124" i="4"/>
  <c r="AE124" i="4"/>
  <c r="AE179" i="5" s="1"/>
  <c r="AF124" i="4"/>
  <c r="AF179" i="5" s="1"/>
  <c r="AG124" i="4"/>
  <c r="AH124" i="4"/>
  <c r="AI124" i="4"/>
  <c r="AJ124" i="4"/>
  <c r="AK124" i="4"/>
  <c r="AL124" i="4"/>
  <c r="AM124" i="4"/>
  <c r="AN124" i="4"/>
  <c r="AO124" i="4"/>
  <c r="AP124" i="4"/>
  <c r="AQ124" i="4"/>
  <c r="AQ179" i="5" s="1"/>
  <c r="AR124" i="4"/>
  <c r="AR179" i="5" s="1"/>
  <c r="AS124" i="4"/>
  <c r="AT124" i="4"/>
  <c r="AU124" i="4"/>
  <c r="AV124" i="4"/>
  <c r="AW124" i="4"/>
  <c r="AX124" i="4"/>
  <c r="AY124" i="4"/>
  <c r="AZ124" i="4"/>
  <c r="BA124" i="4"/>
  <c r="BB124" i="4"/>
  <c r="BC124" i="4"/>
  <c r="BC179" i="5" s="1"/>
  <c r="BD124" i="4"/>
  <c r="BD179" i="5" s="1"/>
  <c r="D125" i="4"/>
  <c r="E125" i="4"/>
  <c r="F125" i="4"/>
  <c r="G125" i="4"/>
  <c r="H125" i="4"/>
  <c r="I125" i="4"/>
  <c r="J125" i="4"/>
  <c r="K125" i="4"/>
  <c r="L125" i="4"/>
  <c r="M125" i="4"/>
  <c r="N125" i="4"/>
  <c r="N180" i="5" s="1"/>
  <c r="O125" i="4"/>
  <c r="O180" i="5" s="1"/>
  <c r="P125" i="4"/>
  <c r="Q125" i="4"/>
  <c r="R125" i="4"/>
  <c r="S125" i="4"/>
  <c r="T125" i="4"/>
  <c r="U125" i="4"/>
  <c r="V125" i="4"/>
  <c r="W125" i="4"/>
  <c r="X125" i="4"/>
  <c r="Y125" i="4"/>
  <c r="Z125" i="4"/>
  <c r="Z180" i="5" s="1"/>
  <c r="AA125" i="4"/>
  <c r="AA180" i="5" s="1"/>
  <c r="AB125" i="4"/>
  <c r="AC125" i="4"/>
  <c r="AD125" i="4"/>
  <c r="AE125" i="4"/>
  <c r="AF125" i="4"/>
  <c r="AG125" i="4"/>
  <c r="AH125" i="4"/>
  <c r="AI125" i="4"/>
  <c r="AJ125" i="4"/>
  <c r="AK125" i="4"/>
  <c r="AL125" i="4"/>
  <c r="AL180" i="5" s="1"/>
  <c r="AM125" i="4"/>
  <c r="AM180" i="5" s="1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Y180" i="5" s="1"/>
  <c r="AZ125" i="4"/>
  <c r="BA125" i="4"/>
  <c r="BB125" i="4"/>
  <c r="BC125" i="4"/>
  <c r="BD125" i="4"/>
  <c r="D126" i="4"/>
  <c r="E126" i="4"/>
  <c r="F126" i="4"/>
  <c r="G126" i="4"/>
  <c r="H126" i="4"/>
  <c r="I126" i="4"/>
  <c r="J126" i="4"/>
  <c r="J181" i="5" s="1"/>
  <c r="K126" i="4"/>
  <c r="L126" i="4"/>
  <c r="M126" i="4"/>
  <c r="N126" i="4"/>
  <c r="O126" i="4"/>
  <c r="P126" i="4"/>
  <c r="Q126" i="4"/>
  <c r="R126" i="4"/>
  <c r="S126" i="4"/>
  <c r="T126" i="4"/>
  <c r="U126" i="4"/>
  <c r="U181" i="5" s="1"/>
  <c r="V126" i="4"/>
  <c r="V181" i="5" s="1"/>
  <c r="W126" i="4"/>
  <c r="X126" i="4"/>
  <c r="Y126" i="4"/>
  <c r="Z126" i="4"/>
  <c r="AA126" i="4"/>
  <c r="AB126" i="4"/>
  <c r="AC126" i="4"/>
  <c r="AD126" i="4"/>
  <c r="AE126" i="4"/>
  <c r="AF126" i="4"/>
  <c r="AG126" i="4"/>
  <c r="AG181" i="5" s="1"/>
  <c r="AH126" i="4"/>
  <c r="AH181" i="5" s="1"/>
  <c r="AI126" i="4"/>
  <c r="AJ126" i="4"/>
  <c r="AK126" i="4"/>
  <c r="AL126" i="4"/>
  <c r="AM126" i="4"/>
  <c r="AN126" i="4"/>
  <c r="AO126" i="4"/>
  <c r="AP126" i="4"/>
  <c r="AQ126" i="4"/>
  <c r="AR126" i="4"/>
  <c r="AS126" i="4"/>
  <c r="AS181" i="5" s="1"/>
  <c r="AT126" i="4"/>
  <c r="AT181" i="5" s="1"/>
  <c r="AU126" i="4"/>
  <c r="AV126" i="4"/>
  <c r="AW126" i="4"/>
  <c r="AX126" i="4"/>
  <c r="AY126" i="4"/>
  <c r="AZ126" i="4"/>
  <c r="BA126" i="4"/>
  <c r="BB126" i="4"/>
  <c r="BC126" i="4"/>
  <c r="BD126" i="4"/>
  <c r="D127" i="4"/>
  <c r="D182" i="5" s="1"/>
  <c r="E127" i="4"/>
  <c r="E182" i="5" s="1"/>
  <c r="F127" i="4"/>
  <c r="G127" i="4"/>
  <c r="H127" i="4"/>
  <c r="I127" i="4"/>
  <c r="J127" i="4"/>
  <c r="K127" i="4"/>
  <c r="L127" i="4"/>
  <c r="M127" i="4"/>
  <c r="N127" i="4"/>
  <c r="O127" i="4"/>
  <c r="P127" i="4"/>
  <c r="P182" i="5" s="1"/>
  <c r="Q127" i="4"/>
  <c r="Q182" i="5" s="1"/>
  <c r="R127" i="4"/>
  <c r="S127" i="4"/>
  <c r="T127" i="4"/>
  <c r="U127" i="4"/>
  <c r="V127" i="4"/>
  <c r="W127" i="4"/>
  <c r="X127" i="4"/>
  <c r="Y127" i="4"/>
  <c r="Z127" i="4"/>
  <c r="AA127" i="4"/>
  <c r="AB127" i="4"/>
  <c r="AB182" i="5" s="1"/>
  <c r="AC127" i="4"/>
  <c r="AC182" i="5" s="1"/>
  <c r="AD127" i="4"/>
  <c r="AE127" i="4"/>
  <c r="AF127" i="4"/>
  <c r="AG127" i="4"/>
  <c r="AH127" i="4"/>
  <c r="AI127" i="4"/>
  <c r="AJ127" i="4"/>
  <c r="AK127" i="4"/>
  <c r="AL127" i="4"/>
  <c r="AM127" i="4"/>
  <c r="AN127" i="4"/>
  <c r="AN182" i="5" s="1"/>
  <c r="AO127" i="4"/>
  <c r="AO182" i="5" s="1"/>
  <c r="AP127" i="4"/>
  <c r="AQ127" i="4"/>
  <c r="AR127" i="4"/>
  <c r="AS127" i="4"/>
  <c r="AT127" i="4"/>
  <c r="AU127" i="4"/>
  <c r="AV127" i="4"/>
  <c r="AW127" i="4"/>
  <c r="AX127" i="4"/>
  <c r="AY127" i="4"/>
  <c r="AZ127" i="4"/>
  <c r="AZ182" i="5" s="1"/>
  <c r="BA127" i="4"/>
  <c r="BA182" i="5" s="1"/>
  <c r="BB127" i="4"/>
  <c r="BC127" i="4"/>
  <c r="BD127" i="4"/>
  <c r="D128" i="4"/>
  <c r="E128" i="4"/>
  <c r="F128" i="4"/>
  <c r="G128" i="4"/>
  <c r="H128" i="4"/>
  <c r="I128" i="4"/>
  <c r="J128" i="4"/>
  <c r="K128" i="4"/>
  <c r="K183" i="5" s="1"/>
  <c r="L128" i="4"/>
  <c r="L183" i="5" s="1"/>
  <c r="M128" i="4"/>
  <c r="N128" i="4"/>
  <c r="O128" i="4"/>
  <c r="P128" i="4"/>
  <c r="Q128" i="4"/>
  <c r="R128" i="4"/>
  <c r="S128" i="4"/>
  <c r="T128" i="4"/>
  <c r="U128" i="4"/>
  <c r="V128" i="4"/>
  <c r="W128" i="4"/>
  <c r="W183" i="5" s="1"/>
  <c r="X128" i="4"/>
  <c r="X183" i="5" s="1"/>
  <c r="Y128" i="4"/>
  <c r="Z128" i="4"/>
  <c r="AA128" i="4"/>
  <c r="AB128" i="4"/>
  <c r="AC128" i="4"/>
  <c r="AD128" i="4"/>
  <c r="AE128" i="4"/>
  <c r="AF128" i="4"/>
  <c r="AG128" i="4"/>
  <c r="AH128" i="4"/>
  <c r="AI128" i="4"/>
  <c r="AI183" i="5" s="1"/>
  <c r="AJ128" i="4"/>
  <c r="AJ183" i="5" s="1"/>
  <c r="AK128" i="4"/>
  <c r="AL128" i="4"/>
  <c r="AM128" i="4"/>
  <c r="AN128" i="4"/>
  <c r="AO128" i="4"/>
  <c r="AP128" i="4"/>
  <c r="AQ128" i="4"/>
  <c r="AR128" i="4"/>
  <c r="AS128" i="4"/>
  <c r="AT128" i="4"/>
  <c r="AU128" i="4"/>
  <c r="AU183" i="5" s="1"/>
  <c r="AV128" i="4"/>
  <c r="AV183" i="5" s="1"/>
  <c r="AW128" i="4"/>
  <c r="AX128" i="4"/>
  <c r="AY128" i="4"/>
  <c r="AZ128" i="4"/>
  <c r="BA128" i="4"/>
  <c r="BB128" i="4"/>
  <c r="BC128" i="4"/>
  <c r="BD128" i="4"/>
  <c r="D129" i="4"/>
  <c r="E129" i="4"/>
  <c r="F129" i="4"/>
  <c r="F184" i="5" s="1"/>
  <c r="G129" i="4"/>
  <c r="G184" i="5" s="1"/>
  <c r="H129" i="4"/>
  <c r="I129" i="4"/>
  <c r="J129" i="4"/>
  <c r="K129" i="4"/>
  <c r="L129" i="4"/>
  <c r="M129" i="4"/>
  <c r="N129" i="4"/>
  <c r="O129" i="4"/>
  <c r="P129" i="4"/>
  <c r="Q129" i="4"/>
  <c r="R129" i="4"/>
  <c r="R184" i="5" s="1"/>
  <c r="S129" i="4"/>
  <c r="S184" i="5" s="1"/>
  <c r="T129" i="4"/>
  <c r="U129" i="4"/>
  <c r="V129" i="4"/>
  <c r="W129" i="4"/>
  <c r="X129" i="4"/>
  <c r="Y129" i="4"/>
  <c r="Z129" i="4"/>
  <c r="AA129" i="4"/>
  <c r="AB129" i="4"/>
  <c r="AC129" i="4"/>
  <c r="AD129" i="4"/>
  <c r="AD184" i="5" s="1"/>
  <c r="AE129" i="4"/>
  <c r="AE184" i="5" s="1"/>
  <c r="AF129" i="4"/>
  <c r="AG129" i="4"/>
  <c r="AH129" i="4"/>
  <c r="AI129" i="4"/>
  <c r="AJ129" i="4"/>
  <c r="AK129" i="4"/>
  <c r="AL129" i="4"/>
  <c r="AM129" i="4"/>
  <c r="AN129" i="4"/>
  <c r="AO129" i="4"/>
  <c r="AP129" i="4"/>
  <c r="AP184" i="5" s="1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B184" i="5" s="1"/>
  <c r="BC129" i="4"/>
  <c r="BC184" i="5" s="1"/>
  <c r="BD129" i="4"/>
  <c r="D130" i="4"/>
  <c r="E130" i="4"/>
  <c r="F130" i="4"/>
  <c r="G130" i="4"/>
  <c r="H130" i="4"/>
  <c r="I130" i="4"/>
  <c r="J130" i="4"/>
  <c r="K130" i="4"/>
  <c r="L130" i="4"/>
  <c r="M130" i="4"/>
  <c r="M185" i="5" s="1"/>
  <c r="N130" i="4"/>
  <c r="N185" i="5" s="1"/>
  <c r="O130" i="4"/>
  <c r="P130" i="4"/>
  <c r="Q130" i="4"/>
  <c r="R130" i="4"/>
  <c r="S130" i="4"/>
  <c r="T130" i="4"/>
  <c r="U130" i="4"/>
  <c r="V130" i="4"/>
  <c r="W130" i="4"/>
  <c r="X130" i="4"/>
  <c r="Y130" i="4"/>
  <c r="Y185" i="5" s="1"/>
  <c r="Z130" i="4"/>
  <c r="Z185" i="5" s="1"/>
  <c r="AA130" i="4"/>
  <c r="AB130" i="4"/>
  <c r="AC130" i="4"/>
  <c r="AD130" i="4"/>
  <c r="AE130" i="4"/>
  <c r="AF130" i="4"/>
  <c r="AG130" i="4"/>
  <c r="AH130" i="4"/>
  <c r="AI130" i="4"/>
  <c r="AJ130" i="4"/>
  <c r="AK130" i="4"/>
  <c r="AK185" i="5" s="1"/>
  <c r="AL130" i="4"/>
  <c r="AL185" i="5" s="1"/>
  <c r="AM130" i="4"/>
  <c r="AN130" i="4"/>
  <c r="AO130" i="4"/>
  <c r="AP130" i="4"/>
  <c r="AQ130" i="4"/>
  <c r="AR130" i="4"/>
  <c r="AS130" i="4"/>
  <c r="AT130" i="4"/>
  <c r="AU130" i="4"/>
  <c r="AV130" i="4"/>
  <c r="AW130" i="4"/>
  <c r="AW185" i="5" s="1"/>
  <c r="AX130" i="4"/>
  <c r="AX185" i="5" s="1"/>
  <c r="AY130" i="4"/>
  <c r="AZ130" i="4"/>
  <c r="BA130" i="4"/>
  <c r="BB130" i="4"/>
  <c r="BC130" i="4"/>
  <c r="BD130" i="4"/>
  <c r="D131" i="4"/>
  <c r="E131" i="4"/>
  <c r="F131" i="4"/>
  <c r="G131" i="4"/>
  <c r="H131" i="4"/>
  <c r="H186" i="5" s="1"/>
  <c r="I131" i="4"/>
  <c r="I186" i="5" s="1"/>
  <c r="J131" i="4"/>
  <c r="K131" i="4"/>
  <c r="L131" i="4"/>
  <c r="M131" i="4"/>
  <c r="N131" i="4"/>
  <c r="O131" i="4"/>
  <c r="P131" i="4"/>
  <c r="Q131" i="4"/>
  <c r="R131" i="4"/>
  <c r="S131" i="4"/>
  <c r="T131" i="4"/>
  <c r="T186" i="5" s="1"/>
  <c r="U131" i="4"/>
  <c r="U186" i="5" s="1"/>
  <c r="V131" i="4"/>
  <c r="W131" i="4"/>
  <c r="X131" i="4"/>
  <c r="Y131" i="4"/>
  <c r="Z131" i="4"/>
  <c r="AA131" i="4"/>
  <c r="AB131" i="4"/>
  <c r="AC131" i="4"/>
  <c r="AD131" i="4"/>
  <c r="AE131" i="4"/>
  <c r="AF131" i="4"/>
  <c r="AF186" i="5" s="1"/>
  <c r="AG131" i="4"/>
  <c r="AG186" i="5" s="1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D186" i="5" s="1"/>
  <c r="D132" i="4"/>
  <c r="D187" i="5" s="1"/>
  <c r="E132" i="4"/>
  <c r="F132" i="4"/>
  <c r="G132" i="4"/>
  <c r="H132" i="4"/>
  <c r="I132" i="4"/>
  <c r="J132" i="4"/>
  <c r="K132" i="4"/>
  <c r="L132" i="4"/>
  <c r="M132" i="4"/>
  <c r="N132" i="4"/>
  <c r="O132" i="4"/>
  <c r="O187" i="5" s="1"/>
  <c r="P132" i="4"/>
  <c r="P187" i="5" s="1"/>
  <c r="Q132" i="4"/>
  <c r="R132" i="4"/>
  <c r="S132" i="4"/>
  <c r="T132" i="4"/>
  <c r="U132" i="4"/>
  <c r="V132" i="4"/>
  <c r="W132" i="4"/>
  <c r="X132" i="4"/>
  <c r="Y132" i="4"/>
  <c r="Z132" i="4"/>
  <c r="AA132" i="4"/>
  <c r="AA187" i="5" s="1"/>
  <c r="AB132" i="4"/>
  <c r="AB187" i="5" s="1"/>
  <c r="AC132" i="4"/>
  <c r="AD132" i="4"/>
  <c r="AE132" i="4"/>
  <c r="AF132" i="4"/>
  <c r="AG132" i="4"/>
  <c r="AH132" i="4"/>
  <c r="AI132" i="4"/>
  <c r="AJ132" i="4"/>
  <c r="AK132" i="4"/>
  <c r="AL132" i="4"/>
  <c r="AM132" i="4"/>
  <c r="AM187" i="5" s="1"/>
  <c r="AN132" i="4"/>
  <c r="AN187" i="5" s="1"/>
  <c r="AO132" i="4"/>
  <c r="AP132" i="4"/>
  <c r="AQ132" i="4"/>
  <c r="AR132" i="4"/>
  <c r="AS132" i="4"/>
  <c r="AT132" i="4"/>
  <c r="AU132" i="4"/>
  <c r="AV132" i="4"/>
  <c r="AW132" i="4"/>
  <c r="AX132" i="4"/>
  <c r="AY132" i="4"/>
  <c r="AY187" i="5" s="1"/>
  <c r="AZ132" i="4"/>
  <c r="AZ187" i="5" s="1"/>
  <c r="BA132" i="4"/>
  <c r="BB132" i="4"/>
  <c r="BC132" i="4"/>
  <c r="BD132" i="4"/>
  <c r="D133" i="4"/>
  <c r="E133" i="4"/>
  <c r="F133" i="4"/>
  <c r="G133" i="4"/>
  <c r="H133" i="4"/>
  <c r="I133" i="4"/>
  <c r="J133" i="4"/>
  <c r="J188" i="5" s="1"/>
  <c r="K133" i="4"/>
  <c r="K188" i="5" s="1"/>
  <c r="L133" i="4"/>
  <c r="M133" i="4"/>
  <c r="N133" i="4"/>
  <c r="O133" i="4"/>
  <c r="P133" i="4"/>
  <c r="Q133" i="4"/>
  <c r="R133" i="4"/>
  <c r="S133" i="4"/>
  <c r="T133" i="4"/>
  <c r="U133" i="4"/>
  <c r="V133" i="4"/>
  <c r="V188" i="5" s="1"/>
  <c r="W133" i="4"/>
  <c r="W188" i="5" s="1"/>
  <c r="X133" i="4"/>
  <c r="Y133" i="4"/>
  <c r="Z133" i="4"/>
  <c r="AA133" i="4"/>
  <c r="AB133" i="4"/>
  <c r="AC133" i="4"/>
  <c r="AD133" i="4"/>
  <c r="AE133" i="4"/>
  <c r="AF133" i="4"/>
  <c r="AG133" i="4"/>
  <c r="AH133" i="4"/>
  <c r="AH188" i="5" s="1"/>
  <c r="AI133" i="4"/>
  <c r="AI188" i="5" s="1"/>
  <c r="AJ133" i="4"/>
  <c r="AK133" i="4"/>
  <c r="AL133" i="4"/>
  <c r="AM133" i="4"/>
  <c r="AN133" i="4"/>
  <c r="AO133" i="4"/>
  <c r="AP133" i="4"/>
  <c r="AQ133" i="4"/>
  <c r="AR133" i="4"/>
  <c r="AS133" i="4"/>
  <c r="AT133" i="4"/>
  <c r="AT188" i="5" s="1"/>
  <c r="AU133" i="4"/>
  <c r="AU188" i="5" s="1"/>
  <c r="AV133" i="4"/>
  <c r="AW133" i="4"/>
  <c r="AX133" i="4"/>
  <c r="AY133" i="4"/>
  <c r="AZ133" i="4"/>
  <c r="BA133" i="4"/>
  <c r="BB133" i="4"/>
  <c r="BC133" i="4"/>
  <c r="BD133" i="4"/>
  <c r="D134" i="4"/>
  <c r="E134" i="4"/>
  <c r="E189" i="5" s="1"/>
  <c r="F134" i="4"/>
  <c r="F189" i="5" s="1"/>
  <c r="G134" i="4"/>
  <c r="H134" i="4"/>
  <c r="I134" i="4"/>
  <c r="J134" i="4"/>
  <c r="K134" i="4"/>
  <c r="L134" i="4"/>
  <c r="M134" i="4"/>
  <c r="N134" i="4"/>
  <c r="O134" i="4"/>
  <c r="P134" i="4"/>
  <c r="Q134" i="4"/>
  <c r="Q189" i="5" s="1"/>
  <c r="R134" i="4"/>
  <c r="R189" i="5" s="1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D189" i="5" s="1"/>
  <c r="AE134" i="4"/>
  <c r="AF134" i="4"/>
  <c r="AG134" i="4"/>
  <c r="AH134" i="4"/>
  <c r="AI134" i="4"/>
  <c r="AJ134" i="4"/>
  <c r="AK134" i="4"/>
  <c r="AL134" i="4"/>
  <c r="AM134" i="4"/>
  <c r="AN134" i="4"/>
  <c r="AO134" i="4"/>
  <c r="AO189" i="5" s="1"/>
  <c r="AP134" i="4"/>
  <c r="AP189" i="5" s="1"/>
  <c r="AQ134" i="4"/>
  <c r="AR134" i="4"/>
  <c r="AS134" i="4"/>
  <c r="AT134" i="4"/>
  <c r="AU134" i="4"/>
  <c r="AV134" i="4"/>
  <c r="AW134" i="4"/>
  <c r="AX134" i="4"/>
  <c r="AY134" i="4"/>
  <c r="AZ134" i="4"/>
  <c r="BA134" i="4"/>
  <c r="BA189" i="5" s="1"/>
  <c r="BB134" i="4"/>
  <c r="BB189" i="5" s="1"/>
  <c r="BC134" i="4"/>
  <c r="BD134" i="4"/>
  <c r="D135" i="4"/>
  <c r="E135" i="4"/>
  <c r="F135" i="4"/>
  <c r="G135" i="4"/>
  <c r="H135" i="4"/>
  <c r="I135" i="4"/>
  <c r="J135" i="4"/>
  <c r="K135" i="4"/>
  <c r="L135" i="4"/>
  <c r="L190" i="5" s="1"/>
  <c r="M135" i="4"/>
  <c r="M190" i="5" s="1"/>
  <c r="N135" i="4"/>
  <c r="O135" i="4"/>
  <c r="P135" i="4"/>
  <c r="Q135" i="4"/>
  <c r="R135" i="4"/>
  <c r="S135" i="4"/>
  <c r="T135" i="4"/>
  <c r="U135" i="4"/>
  <c r="V135" i="4"/>
  <c r="W135" i="4"/>
  <c r="X135" i="4"/>
  <c r="X190" i="5" s="1"/>
  <c r="Y135" i="4"/>
  <c r="Y190" i="5" s="1"/>
  <c r="Z135" i="4"/>
  <c r="AA135" i="4"/>
  <c r="AB135" i="4"/>
  <c r="AC135" i="4"/>
  <c r="AD135" i="4"/>
  <c r="AE135" i="4"/>
  <c r="AF135" i="4"/>
  <c r="AG135" i="4"/>
  <c r="AH135" i="4"/>
  <c r="AI135" i="4"/>
  <c r="AJ135" i="4"/>
  <c r="AJ190" i="5" s="1"/>
  <c r="AK135" i="4"/>
  <c r="AK190" i="5" s="1"/>
  <c r="AL135" i="4"/>
  <c r="AM135" i="4"/>
  <c r="AN135" i="4"/>
  <c r="AO135" i="4"/>
  <c r="AP135" i="4"/>
  <c r="AQ135" i="4"/>
  <c r="AR135" i="4"/>
  <c r="AS135" i="4"/>
  <c r="AT135" i="4"/>
  <c r="AU135" i="4"/>
  <c r="AV135" i="4"/>
  <c r="AV190" i="5" s="1"/>
  <c r="AW135" i="4"/>
  <c r="AW190" i="5" s="1"/>
  <c r="AX135" i="4"/>
  <c r="AY135" i="4"/>
  <c r="AZ135" i="4"/>
  <c r="BA135" i="4"/>
  <c r="BB135" i="4"/>
  <c r="BC135" i="4"/>
  <c r="BD135" i="4"/>
  <c r="D136" i="4"/>
  <c r="E136" i="4"/>
  <c r="F136" i="4"/>
  <c r="G136" i="4"/>
  <c r="G191" i="5" s="1"/>
  <c r="H136" i="4"/>
  <c r="H191" i="5" s="1"/>
  <c r="I136" i="4"/>
  <c r="J136" i="4"/>
  <c r="K136" i="4"/>
  <c r="L136" i="4"/>
  <c r="M136" i="4"/>
  <c r="N136" i="4"/>
  <c r="O136" i="4"/>
  <c r="P136" i="4"/>
  <c r="Q136" i="4"/>
  <c r="R136" i="4"/>
  <c r="S136" i="4"/>
  <c r="S191" i="5" s="1"/>
  <c r="T136" i="4"/>
  <c r="T191" i="5" s="1"/>
  <c r="U136" i="4"/>
  <c r="V136" i="4"/>
  <c r="W136" i="4"/>
  <c r="X136" i="4"/>
  <c r="Y136" i="4"/>
  <c r="Z136" i="4"/>
  <c r="AA136" i="4"/>
  <c r="AB136" i="4"/>
  <c r="AC136" i="4"/>
  <c r="AD136" i="4"/>
  <c r="AE136" i="4"/>
  <c r="AE191" i="5" s="1"/>
  <c r="AF136" i="4"/>
  <c r="AF191" i="5" s="1"/>
  <c r="AG136" i="4"/>
  <c r="AH136" i="4"/>
  <c r="AI136" i="4"/>
  <c r="AJ136" i="4"/>
  <c r="AK136" i="4"/>
  <c r="AL136" i="4"/>
  <c r="AM136" i="4"/>
  <c r="AN136" i="4"/>
  <c r="AO136" i="4"/>
  <c r="AP136" i="4"/>
  <c r="AQ136" i="4"/>
  <c r="AQ191" i="5" s="1"/>
  <c r="AR136" i="4"/>
  <c r="AR191" i="5" s="1"/>
  <c r="AS136" i="4"/>
  <c r="AT136" i="4"/>
  <c r="AU136" i="4"/>
  <c r="AV136" i="4"/>
  <c r="AW136" i="4"/>
  <c r="AX136" i="4"/>
  <c r="AY136" i="4"/>
  <c r="AZ136" i="4"/>
  <c r="BA136" i="4"/>
  <c r="BB136" i="4"/>
  <c r="BC136" i="4"/>
  <c r="BC191" i="5" s="1"/>
  <c r="BD136" i="4"/>
  <c r="BD191" i="5" s="1"/>
  <c r="D137" i="4"/>
  <c r="E137" i="4"/>
  <c r="F137" i="4"/>
  <c r="G137" i="4"/>
  <c r="H137" i="4"/>
  <c r="I137" i="4"/>
  <c r="J137" i="4"/>
  <c r="K137" i="4"/>
  <c r="L137" i="4"/>
  <c r="M137" i="4"/>
  <c r="N137" i="4"/>
  <c r="N192" i="5" s="1"/>
  <c r="O137" i="4"/>
  <c r="O192" i="5" s="1"/>
  <c r="P137" i="4"/>
  <c r="Q137" i="4"/>
  <c r="R137" i="4"/>
  <c r="S137" i="4"/>
  <c r="T137" i="4"/>
  <c r="U137" i="4"/>
  <c r="V137" i="4"/>
  <c r="W137" i="4"/>
  <c r="X137" i="4"/>
  <c r="Y137" i="4"/>
  <c r="Z137" i="4"/>
  <c r="AA137" i="4"/>
  <c r="AA192" i="5" s="1"/>
  <c r="AB137" i="4"/>
  <c r="AC137" i="4"/>
  <c r="AD137" i="4"/>
  <c r="AE137" i="4"/>
  <c r="AF137" i="4"/>
  <c r="AG137" i="4"/>
  <c r="AH137" i="4"/>
  <c r="AI137" i="4"/>
  <c r="AJ137" i="4"/>
  <c r="AK137" i="4"/>
  <c r="AL137" i="4"/>
  <c r="AL192" i="5" s="1"/>
  <c r="AM137" i="4"/>
  <c r="AM192" i="5" s="1"/>
  <c r="AN137" i="4"/>
  <c r="AO137" i="4"/>
  <c r="AP137" i="4"/>
  <c r="AQ137" i="4"/>
  <c r="AR137" i="4"/>
  <c r="AS137" i="4"/>
  <c r="AT137" i="4"/>
  <c r="AU137" i="4"/>
  <c r="AV137" i="4"/>
  <c r="AW137" i="4"/>
  <c r="AX137" i="4"/>
  <c r="AX192" i="5" s="1"/>
  <c r="AY137" i="4"/>
  <c r="AY192" i="5" s="1"/>
  <c r="AZ137" i="4"/>
  <c r="BA137" i="4"/>
  <c r="BB137" i="4"/>
  <c r="BC137" i="4"/>
  <c r="BD137" i="4"/>
  <c r="D138" i="4"/>
  <c r="E138" i="4"/>
  <c r="F138" i="4"/>
  <c r="G138" i="4"/>
  <c r="H138" i="4"/>
  <c r="I138" i="4"/>
  <c r="I193" i="5" s="1"/>
  <c r="J138" i="4"/>
  <c r="J193" i="5" s="1"/>
  <c r="K138" i="4"/>
  <c r="L138" i="4"/>
  <c r="M138" i="4"/>
  <c r="N138" i="4"/>
  <c r="O138" i="4"/>
  <c r="P138" i="4"/>
  <c r="Q138" i="4"/>
  <c r="R138" i="4"/>
  <c r="S138" i="4"/>
  <c r="T138" i="4"/>
  <c r="U138" i="4"/>
  <c r="U193" i="5" s="1"/>
  <c r="V138" i="4"/>
  <c r="V193" i="5" s="1"/>
  <c r="W138" i="4"/>
  <c r="X138" i="4"/>
  <c r="Y138" i="4"/>
  <c r="Z138" i="4"/>
  <c r="AA138" i="4"/>
  <c r="AB138" i="4"/>
  <c r="AC138" i="4"/>
  <c r="AD138" i="4"/>
  <c r="AE138" i="4"/>
  <c r="AF138" i="4"/>
  <c r="AG138" i="4"/>
  <c r="AG193" i="5" s="1"/>
  <c r="AH138" i="4"/>
  <c r="AH193" i="5" s="1"/>
  <c r="AI138" i="4"/>
  <c r="AJ138" i="4"/>
  <c r="AK138" i="4"/>
  <c r="AL138" i="4"/>
  <c r="AM138" i="4"/>
  <c r="AN138" i="4"/>
  <c r="AO138" i="4"/>
  <c r="AP138" i="4"/>
  <c r="AQ138" i="4"/>
  <c r="AR138" i="4"/>
  <c r="AS138" i="4"/>
  <c r="AS193" i="5" s="1"/>
  <c r="AT138" i="4"/>
  <c r="AT193" i="5" s="1"/>
  <c r="AU138" i="4"/>
  <c r="AV138" i="4"/>
  <c r="AW138" i="4"/>
  <c r="AX138" i="4"/>
  <c r="AY138" i="4"/>
  <c r="AZ138" i="4"/>
  <c r="BA138" i="4"/>
  <c r="BB138" i="4"/>
  <c r="BC138" i="4"/>
  <c r="BD138" i="4"/>
  <c r="D139" i="4"/>
  <c r="D194" i="5" s="1"/>
  <c r="E139" i="4"/>
  <c r="E194" i="5" s="1"/>
  <c r="F139" i="4"/>
  <c r="G139" i="4"/>
  <c r="H139" i="4"/>
  <c r="I139" i="4"/>
  <c r="J139" i="4"/>
  <c r="K139" i="4"/>
  <c r="L139" i="4"/>
  <c r="M139" i="4"/>
  <c r="N139" i="4"/>
  <c r="O139" i="4"/>
  <c r="P139" i="4"/>
  <c r="P194" i="5" s="1"/>
  <c r="Q139" i="4"/>
  <c r="Q194" i="5" s="1"/>
  <c r="R139" i="4"/>
  <c r="S139" i="4"/>
  <c r="T139" i="4"/>
  <c r="U139" i="4"/>
  <c r="V139" i="4"/>
  <c r="W139" i="4"/>
  <c r="X139" i="4"/>
  <c r="Y139" i="4"/>
  <c r="Z139" i="4"/>
  <c r="AA139" i="4"/>
  <c r="AB139" i="4"/>
  <c r="AB194" i="5" s="1"/>
  <c r="AC139" i="4"/>
  <c r="AC194" i="5" s="1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O194" i="5" s="1"/>
  <c r="AP139" i="4"/>
  <c r="AQ139" i="4"/>
  <c r="AR139" i="4"/>
  <c r="AS139" i="4"/>
  <c r="AT139" i="4"/>
  <c r="AU139" i="4"/>
  <c r="AV139" i="4"/>
  <c r="AW139" i="4"/>
  <c r="AX139" i="4"/>
  <c r="AY139" i="4"/>
  <c r="AZ139" i="4"/>
  <c r="AZ194" i="5" s="1"/>
  <c r="BA139" i="4"/>
  <c r="BA194" i="5" s="1"/>
  <c r="BB139" i="4"/>
  <c r="BC139" i="4"/>
  <c r="BD139" i="4"/>
  <c r="D140" i="4"/>
  <c r="E140" i="4"/>
  <c r="F140" i="4"/>
  <c r="G140" i="4"/>
  <c r="H140" i="4"/>
  <c r="I140" i="4"/>
  <c r="J140" i="4"/>
  <c r="K140" i="4"/>
  <c r="L140" i="4"/>
  <c r="L195" i="5" s="1"/>
  <c r="M140" i="4"/>
  <c r="N140" i="4"/>
  <c r="O140" i="4"/>
  <c r="P140" i="4"/>
  <c r="Q140" i="4"/>
  <c r="R140" i="4"/>
  <c r="S140" i="4"/>
  <c r="T140" i="4"/>
  <c r="U140" i="4"/>
  <c r="V140" i="4"/>
  <c r="W140" i="4"/>
  <c r="W195" i="5" s="1"/>
  <c r="X140" i="4"/>
  <c r="X195" i="5" s="1"/>
  <c r="Y140" i="4"/>
  <c r="Z140" i="4"/>
  <c r="AA140" i="4"/>
  <c r="AB140" i="4"/>
  <c r="AC140" i="4"/>
  <c r="AD140" i="4"/>
  <c r="AE140" i="4"/>
  <c r="AF140" i="4"/>
  <c r="AG140" i="4"/>
  <c r="AH140" i="4"/>
  <c r="AI140" i="4"/>
  <c r="AI195" i="5" s="1"/>
  <c r="AJ140" i="4"/>
  <c r="AJ195" i="5" s="1"/>
  <c r="AK140" i="4"/>
  <c r="AL140" i="4"/>
  <c r="AM140" i="4"/>
  <c r="AN140" i="4"/>
  <c r="AO140" i="4"/>
  <c r="AP140" i="4"/>
  <c r="AQ140" i="4"/>
  <c r="AR140" i="4"/>
  <c r="AS140" i="4"/>
  <c r="AT140" i="4"/>
  <c r="AU140" i="4"/>
  <c r="AU195" i="5" s="1"/>
  <c r="AV140" i="4"/>
  <c r="AV195" i="5" s="1"/>
  <c r="AW140" i="4"/>
  <c r="AX140" i="4"/>
  <c r="AY140" i="4"/>
  <c r="AZ140" i="4"/>
  <c r="BA140" i="4"/>
  <c r="BB140" i="4"/>
  <c r="BC140" i="4"/>
  <c r="BD140" i="4"/>
  <c r="D141" i="4"/>
  <c r="E141" i="4"/>
  <c r="F141" i="4"/>
  <c r="F196" i="5" s="1"/>
  <c r="G141" i="4"/>
  <c r="G196" i="5" s="1"/>
  <c r="H141" i="4"/>
  <c r="I141" i="4"/>
  <c r="J141" i="4"/>
  <c r="K141" i="4"/>
  <c r="L141" i="4"/>
  <c r="M141" i="4"/>
  <c r="N141" i="4"/>
  <c r="O141" i="4"/>
  <c r="P141" i="4"/>
  <c r="Q141" i="4"/>
  <c r="R141" i="4"/>
  <c r="R196" i="5" s="1"/>
  <c r="S141" i="4"/>
  <c r="S196" i="5" s="1"/>
  <c r="T141" i="4"/>
  <c r="U141" i="4"/>
  <c r="V141" i="4"/>
  <c r="W141" i="4"/>
  <c r="X141" i="4"/>
  <c r="Y141" i="4"/>
  <c r="Z141" i="4"/>
  <c r="AA141" i="4"/>
  <c r="AB141" i="4"/>
  <c r="AC141" i="4"/>
  <c r="AD141" i="4"/>
  <c r="AD196" i="5" s="1"/>
  <c r="AE141" i="4"/>
  <c r="AE196" i="5" s="1"/>
  <c r="AF141" i="4"/>
  <c r="AG141" i="4"/>
  <c r="AH141" i="4"/>
  <c r="AI141" i="4"/>
  <c r="AJ141" i="4"/>
  <c r="AK141" i="4"/>
  <c r="AL141" i="4"/>
  <c r="AM141" i="4"/>
  <c r="AN141" i="4"/>
  <c r="AO141" i="4"/>
  <c r="AP141" i="4"/>
  <c r="AP196" i="5" s="1"/>
  <c r="AQ141" i="4"/>
  <c r="AQ196" i="5" s="1"/>
  <c r="AR141" i="4"/>
  <c r="AS141" i="4"/>
  <c r="AT141" i="4"/>
  <c r="AU141" i="4"/>
  <c r="AV141" i="4"/>
  <c r="AW141" i="4"/>
  <c r="AX141" i="4"/>
  <c r="AY141" i="4"/>
  <c r="AZ141" i="4"/>
  <c r="BA141" i="4"/>
  <c r="BB141" i="4"/>
  <c r="BB196" i="5" s="1"/>
  <c r="BC141" i="4"/>
  <c r="BC196" i="5" s="1"/>
  <c r="BD141" i="4"/>
  <c r="D142" i="4"/>
  <c r="E142" i="4"/>
  <c r="F142" i="4"/>
  <c r="G142" i="4"/>
  <c r="H142" i="4"/>
  <c r="I142" i="4"/>
  <c r="J142" i="4"/>
  <c r="K142" i="4"/>
  <c r="L142" i="4"/>
  <c r="M142" i="4"/>
  <c r="M197" i="5" s="1"/>
  <c r="N142" i="4"/>
  <c r="N197" i="5" s="1"/>
  <c r="O142" i="4"/>
  <c r="P142" i="4"/>
  <c r="Q142" i="4"/>
  <c r="R142" i="4"/>
  <c r="S142" i="4"/>
  <c r="T142" i="4"/>
  <c r="U142" i="4"/>
  <c r="V142" i="4"/>
  <c r="W142" i="4"/>
  <c r="X142" i="4"/>
  <c r="Y142" i="4"/>
  <c r="Y197" i="5" s="1"/>
  <c r="Z142" i="4"/>
  <c r="Z197" i="5" s="1"/>
  <c r="AA142" i="4"/>
  <c r="AB142" i="4"/>
  <c r="AC142" i="4"/>
  <c r="AD142" i="4"/>
  <c r="AE142" i="4"/>
  <c r="AF142" i="4"/>
  <c r="AG142" i="4"/>
  <c r="AH142" i="4"/>
  <c r="AI142" i="4"/>
  <c r="AJ142" i="4"/>
  <c r="AK142" i="4"/>
  <c r="AK197" i="5" s="1"/>
  <c r="AL142" i="4"/>
  <c r="AL197" i="5" s="1"/>
  <c r="AM142" i="4"/>
  <c r="AN142" i="4"/>
  <c r="AO142" i="4"/>
  <c r="AP142" i="4"/>
  <c r="AQ142" i="4"/>
  <c r="AR142" i="4"/>
  <c r="AS142" i="4"/>
  <c r="AT142" i="4"/>
  <c r="AU142" i="4"/>
  <c r="AV142" i="4"/>
  <c r="AW142" i="4"/>
  <c r="AW197" i="5" s="1"/>
  <c r="AX142" i="4"/>
  <c r="AX197" i="5" s="1"/>
  <c r="AY142" i="4"/>
  <c r="AZ142" i="4"/>
  <c r="BA142" i="4"/>
  <c r="BB142" i="4"/>
  <c r="BC142" i="4"/>
  <c r="BD142" i="4"/>
  <c r="D143" i="4"/>
  <c r="E143" i="4"/>
  <c r="F143" i="4"/>
  <c r="G143" i="4"/>
  <c r="H143" i="4"/>
  <c r="H198" i="5" s="1"/>
  <c r="I143" i="4"/>
  <c r="I198" i="5" s="1"/>
  <c r="J143" i="4"/>
  <c r="K143" i="4"/>
  <c r="L143" i="4"/>
  <c r="M143" i="4"/>
  <c r="N143" i="4"/>
  <c r="O143" i="4"/>
  <c r="P143" i="4"/>
  <c r="Q143" i="4"/>
  <c r="R143" i="4"/>
  <c r="S143" i="4"/>
  <c r="T143" i="4"/>
  <c r="T198" i="5" s="1"/>
  <c r="U143" i="4"/>
  <c r="U198" i="5" s="1"/>
  <c r="V143" i="4"/>
  <c r="W143" i="4"/>
  <c r="X143" i="4"/>
  <c r="Y143" i="4"/>
  <c r="Z143" i="4"/>
  <c r="AA143" i="4"/>
  <c r="AB143" i="4"/>
  <c r="AC143" i="4"/>
  <c r="AD143" i="4"/>
  <c r="AE143" i="4"/>
  <c r="AF143" i="4"/>
  <c r="AF198" i="5" s="1"/>
  <c r="AG143" i="4"/>
  <c r="AG198" i="5" s="1"/>
  <c r="AH143" i="4"/>
  <c r="AI143" i="4"/>
  <c r="AJ143" i="4"/>
  <c r="AK143" i="4"/>
  <c r="AL143" i="4"/>
  <c r="AM143" i="4"/>
  <c r="AN143" i="4"/>
  <c r="AO143" i="4"/>
  <c r="AP143" i="4"/>
  <c r="AQ143" i="4"/>
  <c r="AR143" i="4"/>
  <c r="AR198" i="5" s="1"/>
  <c r="AS143" i="4"/>
  <c r="AS198" i="5" s="1"/>
  <c r="AT143" i="4"/>
  <c r="AU143" i="4"/>
  <c r="AV143" i="4"/>
  <c r="AW143" i="4"/>
  <c r="AX143" i="4"/>
  <c r="AY143" i="4"/>
  <c r="AZ143" i="4"/>
  <c r="BA143" i="4"/>
  <c r="BB143" i="4"/>
  <c r="BC143" i="4"/>
  <c r="BD143" i="4"/>
  <c r="BD198" i="5" s="1"/>
  <c r="D144" i="4"/>
  <c r="D199" i="5" s="1"/>
  <c r="E144" i="4"/>
  <c r="F144" i="4"/>
  <c r="G144" i="4"/>
  <c r="H144" i="4"/>
  <c r="I144" i="4"/>
  <c r="J144" i="4"/>
  <c r="K144" i="4"/>
  <c r="L144" i="4"/>
  <c r="M144" i="4"/>
  <c r="N144" i="4"/>
  <c r="O144" i="4"/>
  <c r="P144" i="4"/>
  <c r="P199" i="5" s="1"/>
  <c r="Q144" i="4"/>
  <c r="R144" i="4"/>
  <c r="S144" i="4"/>
  <c r="T144" i="4"/>
  <c r="U144" i="4"/>
  <c r="V144" i="4"/>
  <c r="W144" i="4"/>
  <c r="X144" i="4"/>
  <c r="Y144" i="4"/>
  <c r="Z144" i="4"/>
  <c r="AA144" i="4"/>
  <c r="AA199" i="5" s="1"/>
  <c r="AB144" i="4"/>
  <c r="AB199" i="5" s="1"/>
  <c r="AC144" i="4"/>
  <c r="AD144" i="4"/>
  <c r="AE144" i="4"/>
  <c r="AF144" i="4"/>
  <c r="AG144" i="4"/>
  <c r="AH144" i="4"/>
  <c r="AI144" i="4"/>
  <c r="AJ144" i="4"/>
  <c r="AK144" i="4"/>
  <c r="AL144" i="4"/>
  <c r="AM144" i="4"/>
  <c r="AM199" i="5" s="1"/>
  <c r="AN144" i="4"/>
  <c r="AN199" i="5" s="1"/>
  <c r="AO144" i="4"/>
  <c r="AP144" i="4"/>
  <c r="AQ144" i="4"/>
  <c r="AR144" i="4"/>
  <c r="AS144" i="4"/>
  <c r="AT144" i="4"/>
  <c r="AU144" i="4"/>
  <c r="AV144" i="4"/>
  <c r="AW144" i="4"/>
  <c r="AX144" i="4"/>
  <c r="AY144" i="4"/>
  <c r="AY199" i="5" s="1"/>
  <c r="AZ144" i="4"/>
  <c r="AZ199" i="5" s="1"/>
  <c r="BA144" i="4"/>
  <c r="BB144" i="4"/>
  <c r="BC144" i="4"/>
  <c r="BD144" i="4"/>
  <c r="D145" i="4"/>
  <c r="E145" i="4"/>
  <c r="F145" i="4"/>
  <c r="G145" i="4"/>
  <c r="H145" i="4"/>
  <c r="I145" i="4"/>
  <c r="J145" i="4"/>
  <c r="J200" i="5" s="1"/>
  <c r="K145" i="4"/>
  <c r="K200" i="5" s="1"/>
  <c r="L145" i="4"/>
  <c r="M145" i="4"/>
  <c r="N145" i="4"/>
  <c r="O145" i="4"/>
  <c r="P145" i="4"/>
  <c r="Q145" i="4"/>
  <c r="R145" i="4"/>
  <c r="S145" i="4"/>
  <c r="T145" i="4"/>
  <c r="U145" i="4"/>
  <c r="V145" i="4"/>
  <c r="V200" i="5" s="1"/>
  <c r="W145" i="4"/>
  <c r="W200" i="5" s="1"/>
  <c r="X145" i="4"/>
  <c r="Y145" i="4"/>
  <c r="Z145" i="4"/>
  <c r="AA145" i="4"/>
  <c r="AB145" i="4"/>
  <c r="AC145" i="4"/>
  <c r="AD145" i="4"/>
  <c r="AE145" i="4"/>
  <c r="AF145" i="4"/>
  <c r="AG145" i="4"/>
  <c r="AH145" i="4"/>
  <c r="AH200" i="5" s="1"/>
  <c r="AI145" i="4"/>
  <c r="AI200" i="5" s="1"/>
  <c r="AJ145" i="4"/>
  <c r="AK145" i="4"/>
  <c r="AL145" i="4"/>
  <c r="AM145" i="4"/>
  <c r="AN145" i="4"/>
  <c r="AO145" i="4"/>
  <c r="AP145" i="4"/>
  <c r="AQ145" i="4"/>
  <c r="AR145" i="4"/>
  <c r="AS145" i="4"/>
  <c r="AT145" i="4"/>
  <c r="AT200" i="5" s="1"/>
  <c r="AU145" i="4"/>
  <c r="AU200" i="5" s="1"/>
  <c r="AV145" i="4"/>
  <c r="AW145" i="4"/>
  <c r="AX145" i="4"/>
  <c r="AY145" i="4"/>
  <c r="AZ145" i="4"/>
  <c r="BA145" i="4"/>
  <c r="BB145" i="4"/>
  <c r="BC145" i="4"/>
  <c r="BD145" i="4"/>
  <c r="D146" i="4"/>
  <c r="E146" i="4"/>
  <c r="E201" i="5" s="1"/>
  <c r="F146" i="4"/>
  <c r="F201" i="5" s="1"/>
  <c r="G146" i="4"/>
  <c r="H146" i="4"/>
  <c r="I146" i="4"/>
  <c r="J146" i="4"/>
  <c r="K146" i="4"/>
  <c r="L146" i="4"/>
  <c r="M146" i="4"/>
  <c r="N146" i="4"/>
  <c r="O146" i="4"/>
  <c r="P146" i="4"/>
  <c r="Q146" i="4"/>
  <c r="Q201" i="5" s="1"/>
  <c r="R146" i="4"/>
  <c r="R201" i="5" s="1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O201" i="5" s="1"/>
  <c r="AP146" i="4"/>
  <c r="AP201" i="5" s="1"/>
  <c r="AQ146" i="4"/>
  <c r="AR146" i="4"/>
  <c r="AS146" i="4"/>
  <c r="AT146" i="4"/>
  <c r="AU146" i="4"/>
  <c r="AV146" i="4"/>
  <c r="AW146" i="4"/>
  <c r="AX146" i="4"/>
  <c r="AY146" i="4"/>
  <c r="AZ146" i="4"/>
  <c r="BA146" i="4"/>
  <c r="BA201" i="5" s="1"/>
  <c r="BB146" i="4"/>
  <c r="BB201" i="5" s="1"/>
  <c r="BC146" i="4"/>
  <c r="BD146" i="4"/>
  <c r="D147" i="4"/>
  <c r="E147" i="4"/>
  <c r="F147" i="4"/>
  <c r="G147" i="4"/>
  <c r="H147" i="4"/>
  <c r="I147" i="4"/>
  <c r="J147" i="4"/>
  <c r="K147" i="4"/>
  <c r="L147" i="4"/>
  <c r="L202" i="5" s="1"/>
  <c r="M147" i="4"/>
  <c r="M202" i="5" s="1"/>
  <c r="N147" i="4"/>
  <c r="O147" i="4"/>
  <c r="P147" i="4"/>
  <c r="Q147" i="4"/>
  <c r="R147" i="4"/>
  <c r="S147" i="4"/>
  <c r="T147" i="4"/>
  <c r="U147" i="4"/>
  <c r="V147" i="4"/>
  <c r="W147" i="4"/>
  <c r="X147" i="4"/>
  <c r="X202" i="5" s="1"/>
  <c r="Y147" i="4"/>
  <c r="Y202" i="5" s="1"/>
  <c r="Z147" i="4"/>
  <c r="AA147" i="4"/>
  <c r="AB147" i="4"/>
  <c r="AC147" i="4"/>
  <c r="AD147" i="4"/>
  <c r="AE147" i="4"/>
  <c r="AF147" i="4"/>
  <c r="AG147" i="4"/>
  <c r="AH147" i="4"/>
  <c r="AI147" i="4"/>
  <c r="AJ147" i="4"/>
  <c r="AJ202" i="5" s="1"/>
  <c r="AK147" i="4"/>
  <c r="AK202" i="5" s="1"/>
  <c r="AL147" i="4"/>
  <c r="AM147" i="4"/>
  <c r="AN147" i="4"/>
  <c r="AO147" i="4"/>
  <c r="AP147" i="4"/>
  <c r="AQ147" i="4"/>
  <c r="AR147" i="4"/>
  <c r="AS147" i="4"/>
  <c r="AT147" i="4"/>
  <c r="AU147" i="4"/>
  <c r="AV147" i="4"/>
  <c r="AV202" i="5" s="1"/>
  <c r="AW147" i="4"/>
  <c r="AW202" i="5" s="1"/>
  <c r="AX147" i="4"/>
  <c r="AY147" i="4"/>
  <c r="AZ147" i="4"/>
  <c r="BA147" i="4"/>
  <c r="BB147" i="4"/>
  <c r="BC147" i="4"/>
  <c r="BD147" i="4"/>
  <c r="D148" i="4"/>
  <c r="E148" i="4"/>
  <c r="F148" i="4"/>
  <c r="G148" i="4"/>
  <c r="G203" i="5" s="1"/>
  <c r="H148" i="4"/>
  <c r="H203" i="5" s="1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E203" i="5" s="1"/>
  <c r="AF148" i="4"/>
  <c r="AF203" i="5" s="1"/>
  <c r="AG148" i="4"/>
  <c r="AH148" i="4"/>
  <c r="AI148" i="4"/>
  <c r="AJ148" i="4"/>
  <c r="AK148" i="4"/>
  <c r="AL148" i="4"/>
  <c r="AM148" i="4"/>
  <c r="AN148" i="4"/>
  <c r="AO148" i="4"/>
  <c r="AP148" i="4"/>
  <c r="AQ148" i="4"/>
  <c r="AQ203" i="5" s="1"/>
  <c r="AR148" i="4"/>
  <c r="AR203" i="5" s="1"/>
  <c r="AS148" i="4"/>
  <c r="AT148" i="4"/>
  <c r="AU148" i="4"/>
  <c r="AV148" i="4"/>
  <c r="AW148" i="4"/>
  <c r="AX148" i="4"/>
  <c r="AY148" i="4"/>
  <c r="AZ148" i="4"/>
  <c r="BA148" i="4"/>
  <c r="BB148" i="4"/>
  <c r="BC148" i="4"/>
  <c r="BC203" i="5" s="1"/>
  <c r="BD148" i="4"/>
  <c r="BD203" i="5" s="1"/>
  <c r="D149" i="4"/>
  <c r="E149" i="4"/>
  <c r="F149" i="4"/>
  <c r="G149" i="4"/>
  <c r="H149" i="4"/>
  <c r="I149" i="4"/>
  <c r="J149" i="4"/>
  <c r="K149" i="4"/>
  <c r="L149" i="4"/>
  <c r="M149" i="4"/>
  <c r="N149" i="4"/>
  <c r="N204" i="5" s="1"/>
  <c r="O149" i="4"/>
  <c r="O204" i="5" s="1"/>
  <c r="P149" i="4"/>
  <c r="Q149" i="4"/>
  <c r="R149" i="4"/>
  <c r="S149" i="4"/>
  <c r="T149" i="4"/>
  <c r="U149" i="4"/>
  <c r="V149" i="4"/>
  <c r="W149" i="4"/>
  <c r="X149" i="4"/>
  <c r="Y149" i="4"/>
  <c r="Z149" i="4"/>
  <c r="AA149" i="4"/>
  <c r="AA204" i="5" s="1"/>
  <c r="AB149" i="4"/>
  <c r="AC149" i="4"/>
  <c r="AD149" i="4"/>
  <c r="AE149" i="4"/>
  <c r="AF149" i="4"/>
  <c r="AG149" i="4"/>
  <c r="AH149" i="4"/>
  <c r="AI149" i="4"/>
  <c r="AJ149" i="4"/>
  <c r="AK149" i="4"/>
  <c r="AL149" i="4"/>
  <c r="AL204" i="5" s="1"/>
  <c r="AM149" i="4"/>
  <c r="AM204" i="5" s="1"/>
  <c r="AN149" i="4"/>
  <c r="AO149" i="4"/>
  <c r="AP149" i="4"/>
  <c r="AQ149" i="4"/>
  <c r="AR149" i="4"/>
  <c r="AS149" i="4"/>
  <c r="AT149" i="4"/>
  <c r="AU149" i="4"/>
  <c r="AV149" i="4"/>
  <c r="AW149" i="4"/>
  <c r="AX149" i="4"/>
  <c r="AX204" i="5" s="1"/>
  <c r="AY149" i="4"/>
  <c r="AY204" i="5" s="1"/>
  <c r="AZ149" i="4"/>
  <c r="BA149" i="4"/>
  <c r="BB149" i="4"/>
  <c r="BC149" i="4"/>
  <c r="BD149" i="4"/>
  <c r="D150" i="4"/>
  <c r="E150" i="4"/>
  <c r="F150" i="4"/>
  <c r="G150" i="4"/>
  <c r="H150" i="4"/>
  <c r="I150" i="4"/>
  <c r="I205" i="5" s="1"/>
  <c r="J150" i="4"/>
  <c r="J205" i="5" s="1"/>
  <c r="K150" i="4"/>
  <c r="L150" i="4"/>
  <c r="M150" i="4"/>
  <c r="N150" i="4"/>
  <c r="O150" i="4"/>
  <c r="P150" i="4"/>
  <c r="Q150" i="4"/>
  <c r="R150" i="4"/>
  <c r="S150" i="4"/>
  <c r="T150" i="4"/>
  <c r="U150" i="4"/>
  <c r="U205" i="5" s="1"/>
  <c r="V150" i="4"/>
  <c r="V205" i="5" s="1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H205" i="5" s="1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D151" i="4"/>
  <c r="D206" i="5" s="1"/>
  <c r="E151" i="4"/>
  <c r="E206" i="5" s="1"/>
  <c r="F151" i="4"/>
  <c r="G151" i="4"/>
  <c r="H151" i="4"/>
  <c r="I151" i="4"/>
  <c r="J151" i="4"/>
  <c r="K151" i="4"/>
  <c r="L151" i="4"/>
  <c r="M151" i="4"/>
  <c r="N151" i="4"/>
  <c r="O151" i="4"/>
  <c r="P151" i="4"/>
  <c r="P206" i="5" s="1"/>
  <c r="Q151" i="4"/>
  <c r="Q206" i="5" s="1"/>
  <c r="R151" i="4"/>
  <c r="S151" i="4"/>
  <c r="T151" i="4"/>
  <c r="U151" i="4"/>
  <c r="V151" i="4"/>
  <c r="W151" i="4"/>
  <c r="X151" i="4"/>
  <c r="Y151" i="4"/>
  <c r="Z151" i="4"/>
  <c r="AA151" i="4"/>
  <c r="AB151" i="4"/>
  <c r="AB206" i="5" s="1"/>
  <c r="AC151" i="4"/>
  <c r="AC206" i="5" s="1"/>
  <c r="AD151" i="4"/>
  <c r="AE151" i="4"/>
  <c r="AF151" i="4"/>
  <c r="AG151" i="4"/>
  <c r="AH151" i="4"/>
  <c r="AI151" i="4"/>
  <c r="AJ151" i="4"/>
  <c r="AK151" i="4"/>
  <c r="AL151" i="4"/>
  <c r="AM151" i="4"/>
  <c r="AN151" i="4"/>
  <c r="AN206" i="5" s="1"/>
  <c r="AO151" i="4"/>
  <c r="AO206" i="5" s="1"/>
  <c r="AP151" i="4"/>
  <c r="AQ151" i="4"/>
  <c r="AR151" i="4"/>
  <c r="AS151" i="4"/>
  <c r="AT151" i="4"/>
  <c r="AU151" i="4"/>
  <c r="AV151" i="4"/>
  <c r="AW151" i="4"/>
  <c r="AX151" i="4"/>
  <c r="AY151" i="4"/>
  <c r="AZ151" i="4"/>
  <c r="AZ206" i="5" s="1"/>
  <c r="BA151" i="4"/>
  <c r="BA206" i="5" s="1"/>
  <c r="BB151" i="4"/>
  <c r="BC151" i="4"/>
  <c r="BD151" i="4"/>
  <c r="D152" i="4"/>
  <c r="E152" i="4"/>
  <c r="F152" i="4"/>
  <c r="G152" i="4"/>
  <c r="H152" i="4"/>
  <c r="I152" i="4"/>
  <c r="J152" i="4"/>
  <c r="K152" i="4"/>
  <c r="K207" i="5" s="1"/>
  <c r="L152" i="4"/>
  <c r="L207" i="5" s="1"/>
  <c r="M152" i="4"/>
  <c r="N152" i="4"/>
  <c r="O152" i="4"/>
  <c r="P152" i="4"/>
  <c r="Q152" i="4"/>
  <c r="R152" i="4"/>
  <c r="S152" i="4"/>
  <c r="T152" i="4"/>
  <c r="U152" i="4"/>
  <c r="V152" i="4"/>
  <c r="W152" i="4"/>
  <c r="W207" i="5" s="1"/>
  <c r="X152" i="4"/>
  <c r="X207" i="5" s="1"/>
  <c r="Y152" i="4"/>
  <c r="Z152" i="4"/>
  <c r="AA152" i="4"/>
  <c r="AB152" i="4"/>
  <c r="AC152" i="4"/>
  <c r="AD152" i="4"/>
  <c r="AE152" i="4"/>
  <c r="AF152" i="4"/>
  <c r="AG152" i="4"/>
  <c r="AH152" i="4"/>
  <c r="AI152" i="4"/>
  <c r="AI207" i="5" s="1"/>
  <c r="AJ152" i="4"/>
  <c r="AJ207" i="5" s="1"/>
  <c r="AK152" i="4"/>
  <c r="AL152" i="4"/>
  <c r="AM152" i="4"/>
  <c r="AN152" i="4"/>
  <c r="AO152" i="4"/>
  <c r="AP152" i="4"/>
  <c r="AQ152" i="4"/>
  <c r="AR152" i="4"/>
  <c r="AS152" i="4"/>
  <c r="AT152" i="4"/>
  <c r="AU152" i="4"/>
  <c r="AU207" i="5" s="1"/>
  <c r="AV152" i="4"/>
  <c r="AV207" i="5" s="1"/>
  <c r="AW152" i="4"/>
  <c r="AX152" i="4"/>
  <c r="AY152" i="4"/>
  <c r="AZ152" i="4"/>
  <c r="BA152" i="4"/>
  <c r="BB152" i="4"/>
  <c r="BC152" i="4"/>
  <c r="BD152" i="4"/>
  <c r="D153" i="4"/>
  <c r="E153" i="4"/>
  <c r="F153" i="4"/>
  <c r="F208" i="5" s="1"/>
  <c r="G153" i="4"/>
  <c r="G208" i="5" s="1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D208" i="5" s="1"/>
  <c r="AE153" i="4"/>
  <c r="AE208" i="5" s="1"/>
  <c r="AF153" i="4"/>
  <c r="AG153" i="4"/>
  <c r="AH153" i="4"/>
  <c r="AI153" i="4"/>
  <c r="AJ153" i="4"/>
  <c r="AK153" i="4"/>
  <c r="AL153" i="4"/>
  <c r="AM153" i="4"/>
  <c r="AN153" i="4"/>
  <c r="AO153" i="4"/>
  <c r="AP153" i="4"/>
  <c r="AP208" i="5" s="1"/>
  <c r="AQ153" i="4"/>
  <c r="AQ208" i="5" s="1"/>
  <c r="AR153" i="4"/>
  <c r="AS153" i="4"/>
  <c r="AT153" i="4"/>
  <c r="AU153" i="4"/>
  <c r="AV153" i="4"/>
  <c r="AW153" i="4"/>
  <c r="AX153" i="4"/>
  <c r="AY153" i="4"/>
  <c r="AZ153" i="4"/>
  <c r="BA153" i="4"/>
  <c r="BB153" i="4"/>
  <c r="BB208" i="5" s="1"/>
  <c r="BC153" i="4"/>
  <c r="BC208" i="5" s="1"/>
  <c r="BD153" i="4"/>
  <c r="D154" i="4"/>
  <c r="E154" i="4"/>
  <c r="F154" i="4"/>
  <c r="G154" i="4"/>
  <c r="H154" i="4"/>
  <c r="I154" i="4"/>
  <c r="J154" i="4"/>
  <c r="K154" i="4"/>
  <c r="L154" i="4"/>
  <c r="M154" i="4"/>
  <c r="M209" i="5" s="1"/>
  <c r="N154" i="4"/>
  <c r="N209" i="5" s="1"/>
  <c r="O154" i="4"/>
  <c r="P154" i="4"/>
  <c r="Q154" i="4"/>
  <c r="R154" i="4"/>
  <c r="S154" i="4"/>
  <c r="T154" i="4"/>
  <c r="U154" i="4"/>
  <c r="V154" i="4"/>
  <c r="W154" i="4"/>
  <c r="X154" i="4"/>
  <c r="Y154" i="4"/>
  <c r="Z154" i="4"/>
  <c r="Z209" i="5" s="1"/>
  <c r="AA154" i="4"/>
  <c r="AB154" i="4"/>
  <c r="AC154" i="4"/>
  <c r="AD154" i="4"/>
  <c r="AE154" i="4"/>
  <c r="AF154" i="4"/>
  <c r="AG154" i="4"/>
  <c r="AH154" i="4"/>
  <c r="AI154" i="4"/>
  <c r="AJ154" i="4"/>
  <c r="AK154" i="4"/>
  <c r="AK209" i="5" s="1"/>
  <c r="AL154" i="4"/>
  <c r="AL209" i="5" s="1"/>
  <c r="AM154" i="4"/>
  <c r="AN154" i="4"/>
  <c r="AO154" i="4"/>
  <c r="AP154" i="4"/>
  <c r="AQ154" i="4"/>
  <c r="AR154" i="4"/>
  <c r="AS154" i="4"/>
  <c r="AT154" i="4"/>
  <c r="AU154" i="4"/>
  <c r="AV154" i="4"/>
  <c r="AW154" i="4"/>
  <c r="AW209" i="5" s="1"/>
  <c r="AX154" i="4"/>
  <c r="AX209" i="5" s="1"/>
  <c r="AY154" i="4"/>
  <c r="AZ154" i="4"/>
  <c r="BA154" i="4"/>
  <c r="BB154" i="4"/>
  <c r="BC154" i="4"/>
  <c r="BD154" i="4"/>
  <c r="D155" i="4"/>
  <c r="E155" i="4"/>
  <c r="F155" i="4"/>
  <c r="G155" i="4"/>
  <c r="H155" i="4"/>
  <c r="H210" i="5" s="1"/>
  <c r="I155" i="4"/>
  <c r="I210" i="5" s="1"/>
  <c r="J155" i="4"/>
  <c r="K155" i="4"/>
  <c r="L155" i="4"/>
  <c r="M155" i="4"/>
  <c r="N155" i="4"/>
  <c r="O155" i="4"/>
  <c r="P155" i="4"/>
  <c r="Q155" i="4"/>
  <c r="R155" i="4"/>
  <c r="S155" i="4"/>
  <c r="T155" i="4"/>
  <c r="T210" i="5" s="1"/>
  <c r="U155" i="4"/>
  <c r="U210" i="5" s="1"/>
  <c r="V155" i="4"/>
  <c r="W155" i="4"/>
  <c r="X155" i="4"/>
  <c r="Y155" i="4"/>
  <c r="Z155" i="4"/>
  <c r="AA155" i="4"/>
  <c r="AB155" i="4"/>
  <c r="AC155" i="4"/>
  <c r="AD155" i="4"/>
  <c r="AE155" i="4"/>
  <c r="AF155" i="4"/>
  <c r="AF210" i="5" s="1"/>
  <c r="AG155" i="4"/>
  <c r="AG210" i="5" s="1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D210" i="5" s="1"/>
  <c r="D156" i="4"/>
  <c r="D211" i="5" s="1"/>
  <c r="E156" i="4"/>
  <c r="F156" i="4"/>
  <c r="G156" i="4"/>
  <c r="H156" i="4"/>
  <c r="I156" i="4"/>
  <c r="J156" i="4"/>
  <c r="K156" i="4"/>
  <c r="L156" i="4"/>
  <c r="M156" i="4"/>
  <c r="N156" i="4"/>
  <c r="O156" i="4"/>
  <c r="O211" i="5" s="1"/>
  <c r="P156" i="4"/>
  <c r="P211" i="5" s="1"/>
  <c r="Q156" i="4"/>
  <c r="R156" i="4"/>
  <c r="S156" i="4"/>
  <c r="T156" i="4"/>
  <c r="U156" i="4"/>
  <c r="V156" i="4"/>
  <c r="W156" i="4"/>
  <c r="X156" i="4"/>
  <c r="Y156" i="4"/>
  <c r="Z156" i="4"/>
  <c r="AA156" i="4"/>
  <c r="AA211" i="5" s="1"/>
  <c r="AB156" i="4"/>
  <c r="AB211" i="5" s="1"/>
  <c r="AC156" i="4"/>
  <c r="AD156" i="4"/>
  <c r="AE156" i="4"/>
  <c r="AF156" i="4"/>
  <c r="AG156" i="4"/>
  <c r="AH156" i="4"/>
  <c r="AI156" i="4"/>
  <c r="AJ156" i="4"/>
  <c r="AK156" i="4"/>
  <c r="AL156" i="4"/>
  <c r="AM156" i="4"/>
  <c r="AM211" i="5" s="1"/>
  <c r="AN156" i="4"/>
  <c r="AN211" i="5" s="1"/>
  <c r="AO156" i="4"/>
  <c r="AP156" i="4"/>
  <c r="AQ156" i="4"/>
  <c r="AR156" i="4"/>
  <c r="AS156" i="4"/>
  <c r="AT156" i="4"/>
  <c r="AU156" i="4"/>
  <c r="AV156" i="4"/>
  <c r="AW156" i="4"/>
  <c r="AX156" i="4"/>
  <c r="AY156" i="4"/>
  <c r="AY211" i="5" s="1"/>
  <c r="AZ156" i="4"/>
  <c r="AZ211" i="5" s="1"/>
  <c r="BA156" i="4"/>
  <c r="BB156" i="4"/>
  <c r="BC156" i="4"/>
  <c r="BD156" i="4"/>
  <c r="D157" i="4"/>
  <c r="E157" i="4"/>
  <c r="E212" i="5" s="1"/>
  <c r="F157" i="4"/>
  <c r="G157" i="4"/>
  <c r="H157" i="4"/>
  <c r="I157" i="4"/>
  <c r="J157" i="4"/>
  <c r="J212" i="5" s="1"/>
  <c r="K157" i="4"/>
  <c r="K212" i="5" s="1"/>
  <c r="L157" i="4"/>
  <c r="M157" i="4"/>
  <c r="N157" i="4"/>
  <c r="O157" i="4"/>
  <c r="P157" i="4"/>
  <c r="Q157" i="4"/>
  <c r="Q212" i="5" s="1"/>
  <c r="R157" i="4"/>
  <c r="S157" i="4"/>
  <c r="T157" i="4"/>
  <c r="U157" i="4"/>
  <c r="V157" i="4"/>
  <c r="V212" i="5" s="1"/>
  <c r="W157" i="4"/>
  <c r="W212" i="5" s="1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O212" i="5" s="1"/>
  <c r="AP157" i="4"/>
  <c r="AQ157" i="4"/>
  <c r="AR157" i="4"/>
  <c r="AS157" i="4"/>
  <c r="AT157" i="4"/>
  <c r="AT212" i="5" s="1"/>
  <c r="AU157" i="4"/>
  <c r="AU212" i="5" s="1"/>
  <c r="AV157" i="4"/>
  <c r="AW157" i="4"/>
  <c r="AX157" i="4"/>
  <c r="AY157" i="4"/>
  <c r="AZ157" i="4"/>
  <c r="BA157" i="4"/>
  <c r="BB157" i="4"/>
  <c r="BC157" i="4"/>
  <c r="BD157" i="4"/>
  <c r="D158" i="4"/>
  <c r="E158" i="4"/>
  <c r="E213" i="5" s="1"/>
  <c r="F158" i="4"/>
  <c r="F213" i="5" s="1"/>
  <c r="G158" i="4"/>
  <c r="H158" i="4"/>
  <c r="I158" i="4"/>
  <c r="J158" i="4"/>
  <c r="K158" i="4"/>
  <c r="L158" i="4"/>
  <c r="M158" i="4"/>
  <c r="N158" i="4"/>
  <c r="O158" i="4"/>
  <c r="P158" i="4"/>
  <c r="Q158" i="4"/>
  <c r="Q213" i="5" s="1"/>
  <c r="R158" i="4"/>
  <c r="R213" i="5" s="1"/>
  <c r="S158" i="4"/>
  <c r="T158" i="4"/>
  <c r="U158" i="4"/>
  <c r="V158" i="4"/>
  <c r="W158" i="4"/>
  <c r="X158" i="4"/>
  <c r="Y158" i="4"/>
  <c r="Z158" i="4"/>
  <c r="AA158" i="4"/>
  <c r="AB158" i="4"/>
  <c r="AC158" i="4"/>
  <c r="AC213" i="5" s="1"/>
  <c r="AD158" i="4"/>
  <c r="AD213" i="5" s="1"/>
  <c r="AE158" i="4"/>
  <c r="AF158" i="4"/>
  <c r="AG158" i="4"/>
  <c r="AH158" i="4"/>
  <c r="AI158" i="4"/>
  <c r="AJ158" i="4"/>
  <c r="AK158" i="4"/>
  <c r="AL158" i="4"/>
  <c r="AM158" i="4"/>
  <c r="AN158" i="4"/>
  <c r="AO158" i="4"/>
  <c r="AO213" i="5" s="1"/>
  <c r="AP158" i="4"/>
  <c r="AP213" i="5" s="1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S215" i="5" s="1"/>
  <c r="T160" i="4"/>
  <c r="T215" i="5" s="1"/>
  <c r="U160" i="4"/>
  <c r="V160" i="4"/>
  <c r="W160" i="4"/>
  <c r="X160" i="4"/>
  <c r="Y160" i="4"/>
  <c r="Z160" i="4"/>
  <c r="Z215" i="5" s="1"/>
  <c r="AA160" i="4"/>
  <c r="AB160" i="4"/>
  <c r="AC160" i="4"/>
  <c r="AD160" i="4"/>
  <c r="AE160" i="4"/>
  <c r="AE215" i="5" s="1"/>
  <c r="AF160" i="4"/>
  <c r="AF215" i="5" s="1"/>
  <c r="AG160" i="4"/>
  <c r="AH160" i="4"/>
  <c r="AI160" i="4"/>
  <c r="AJ160" i="4"/>
  <c r="AK160" i="4"/>
  <c r="AL160" i="4"/>
  <c r="AL215" i="5" s="1"/>
  <c r="AM160" i="4"/>
  <c r="AN160" i="4"/>
  <c r="AO160" i="4"/>
  <c r="AP160" i="4"/>
  <c r="AQ160" i="4"/>
  <c r="AQ215" i="5" s="1"/>
  <c r="AR160" i="4"/>
  <c r="AR215" i="5" s="1"/>
  <c r="AS160" i="4"/>
  <c r="AT160" i="4"/>
  <c r="AU160" i="4"/>
  <c r="AV160" i="4"/>
  <c r="AW160" i="4"/>
  <c r="AX160" i="4"/>
  <c r="AY160" i="4"/>
  <c r="AZ160" i="4"/>
  <c r="BA160" i="4"/>
  <c r="BB160" i="4"/>
  <c r="BC160" i="4"/>
  <c r="BC215" i="5" s="1"/>
  <c r="BD160" i="4"/>
  <c r="BD215" i="5" s="1"/>
  <c r="D161" i="4"/>
  <c r="E161" i="4"/>
  <c r="E216" i="5" s="1"/>
  <c r="F161" i="4"/>
  <c r="G161" i="4"/>
  <c r="H161" i="4"/>
  <c r="I161" i="4"/>
  <c r="J161" i="4"/>
  <c r="K161" i="4"/>
  <c r="L161" i="4"/>
  <c r="M161" i="4"/>
  <c r="N161" i="4"/>
  <c r="N216" i="5" s="1"/>
  <c r="O161" i="4"/>
  <c r="O216" i="5" s="1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L216" i="5" s="1"/>
  <c r="AM161" i="4"/>
  <c r="AM216" i="5" s="1"/>
  <c r="AN161" i="4"/>
  <c r="AO161" i="4"/>
  <c r="AO216" i="5" s="1"/>
  <c r="AP161" i="4"/>
  <c r="AQ161" i="4"/>
  <c r="AR161" i="4"/>
  <c r="AS161" i="4"/>
  <c r="AT161" i="4"/>
  <c r="AU161" i="4"/>
  <c r="AV161" i="4"/>
  <c r="AW161" i="4"/>
  <c r="AX161" i="4"/>
  <c r="AX216" i="5" s="1"/>
  <c r="AY161" i="4"/>
  <c r="AY216" i="5" s="1"/>
  <c r="AZ161" i="4"/>
  <c r="BA161" i="4"/>
  <c r="BA216" i="5" s="1"/>
  <c r="BB161" i="4"/>
  <c r="BC161" i="4"/>
  <c r="BD161" i="4"/>
  <c r="D162" i="4"/>
  <c r="E162" i="4"/>
  <c r="F162" i="4"/>
  <c r="G162" i="4"/>
  <c r="H162" i="4"/>
  <c r="I162" i="4"/>
  <c r="I217" i="5" s="1"/>
  <c r="J162" i="4"/>
  <c r="J217" i="5" s="1"/>
  <c r="K162" i="4"/>
  <c r="K217" i="5" s="1"/>
  <c r="L162" i="4"/>
  <c r="M162" i="4"/>
  <c r="N162" i="4"/>
  <c r="N217" i="5" s="1"/>
  <c r="O162" i="4"/>
  <c r="P162" i="4"/>
  <c r="Q162" i="4"/>
  <c r="R162" i="4"/>
  <c r="S162" i="4"/>
  <c r="T162" i="4"/>
  <c r="U162" i="4"/>
  <c r="U217" i="5" s="1"/>
  <c r="V162" i="4"/>
  <c r="V217" i="5" s="1"/>
  <c r="W162" i="4"/>
  <c r="W217" i="5" s="1"/>
  <c r="X162" i="4"/>
  <c r="Y162" i="4"/>
  <c r="Z162" i="4"/>
  <c r="AA162" i="4"/>
  <c r="AB162" i="4"/>
  <c r="AC162" i="4"/>
  <c r="AD162" i="4"/>
  <c r="AE162" i="4"/>
  <c r="AF162" i="4"/>
  <c r="AG162" i="4"/>
  <c r="AG217" i="5" s="1"/>
  <c r="AH162" i="4"/>
  <c r="AH217" i="5" s="1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X217" i="5" s="1"/>
  <c r="AY162" i="4"/>
  <c r="AZ162" i="4"/>
  <c r="BA162" i="4"/>
  <c r="BB162" i="4"/>
  <c r="BC162" i="4"/>
  <c r="BD162" i="4"/>
  <c r="D163" i="4"/>
  <c r="D218" i="5" s="1"/>
  <c r="E163" i="4"/>
  <c r="E218" i="5" s="1"/>
  <c r="F163" i="4"/>
  <c r="G163" i="4"/>
  <c r="H163" i="4"/>
  <c r="I163" i="4"/>
  <c r="J163" i="4"/>
  <c r="K163" i="4"/>
  <c r="L163" i="4"/>
  <c r="M163" i="4"/>
  <c r="N163" i="4"/>
  <c r="O163" i="4"/>
  <c r="P163" i="4"/>
  <c r="P218" i="5" s="1"/>
  <c r="Q163" i="4"/>
  <c r="Q218" i="5" s="1"/>
  <c r="R163" i="4"/>
  <c r="S163" i="4"/>
  <c r="T163" i="4"/>
  <c r="U163" i="4"/>
  <c r="V163" i="4"/>
  <c r="W163" i="4"/>
  <c r="X163" i="4"/>
  <c r="Y163" i="4"/>
  <c r="Z163" i="4"/>
  <c r="AA163" i="4"/>
  <c r="AB163" i="4"/>
  <c r="AB218" i="5" s="1"/>
  <c r="AC163" i="4"/>
  <c r="AC218" i="5" s="1"/>
  <c r="AD163" i="4"/>
  <c r="AE163" i="4"/>
  <c r="AF163" i="4"/>
  <c r="AG163" i="4"/>
  <c r="AH163" i="4"/>
  <c r="AI163" i="4"/>
  <c r="AJ163" i="4"/>
  <c r="AK163" i="4"/>
  <c r="AL163" i="4"/>
  <c r="AM163" i="4"/>
  <c r="AN163" i="4"/>
  <c r="AN218" i="5" s="1"/>
  <c r="AO163" i="4"/>
  <c r="AO218" i="5" s="1"/>
  <c r="AP163" i="4"/>
  <c r="AQ163" i="4"/>
  <c r="AR163" i="4"/>
  <c r="AS163" i="4"/>
  <c r="AT163" i="4"/>
  <c r="AU163" i="4"/>
  <c r="AV163" i="4"/>
  <c r="AW163" i="4"/>
  <c r="AX163" i="4"/>
  <c r="AY163" i="4"/>
  <c r="AZ163" i="4"/>
  <c r="AZ218" i="5" s="1"/>
  <c r="BA163" i="4"/>
  <c r="BA218" i="5" s="1"/>
  <c r="BB163" i="4"/>
  <c r="BC163" i="4"/>
  <c r="BD163" i="4"/>
  <c r="D164" i="4"/>
  <c r="E164" i="4"/>
  <c r="F164" i="4"/>
  <c r="G164" i="4"/>
  <c r="H164" i="4"/>
  <c r="I164" i="4"/>
  <c r="J164" i="4"/>
  <c r="K164" i="4"/>
  <c r="K219" i="5" s="1"/>
  <c r="L164" i="4"/>
  <c r="L219" i="5" s="1"/>
  <c r="M164" i="4"/>
  <c r="N164" i="4"/>
  <c r="N219" i="5" s="1"/>
  <c r="O164" i="4"/>
  <c r="P164" i="4"/>
  <c r="Q164" i="4"/>
  <c r="R164" i="4"/>
  <c r="S164" i="4"/>
  <c r="T164" i="4"/>
  <c r="U164" i="4"/>
  <c r="V164" i="4"/>
  <c r="W164" i="4"/>
  <c r="W219" i="5" s="1"/>
  <c r="X164" i="4"/>
  <c r="X219" i="5" s="1"/>
  <c r="Y164" i="4"/>
  <c r="Z164" i="4"/>
  <c r="AA164" i="4"/>
  <c r="AB164" i="4"/>
  <c r="AC164" i="4"/>
  <c r="AD164" i="4"/>
  <c r="AE164" i="4"/>
  <c r="AF164" i="4"/>
  <c r="AG164" i="4"/>
  <c r="AH164" i="4"/>
  <c r="AI164" i="4"/>
  <c r="AI219" i="5" s="1"/>
  <c r="AJ164" i="4"/>
  <c r="AJ219" i="5" s="1"/>
  <c r="AK164" i="4"/>
  <c r="AL164" i="4"/>
  <c r="AL219" i="5" s="1"/>
  <c r="AM164" i="4"/>
  <c r="AN164" i="4"/>
  <c r="AO164" i="4"/>
  <c r="AP164" i="4"/>
  <c r="AQ164" i="4"/>
  <c r="AR164" i="4"/>
  <c r="AS164" i="4"/>
  <c r="AT164" i="4"/>
  <c r="AU164" i="4"/>
  <c r="AU219" i="5" s="1"/>
  <c r="AV164" i="4"/>
  <c r="AV219" i="5" s="1"/>
  <c r="AW164" i="4"/>
  <c r="AX164" i="4"/>
  <c r="AY164" i="4"/>
  <c r="AZ164" i="4"/>
  <c r="BA164" i="4"/>
  <c r="BB164" i="4"/>
  <c r="BC164" i="4"/>
  <c r="BD164" i="4"/>
  <c r="D165" i="4"/>
  <c r="E165" i="4"/>
  <c r="F165" i="4"/>
  <c r="F220" i="5" s="1"/>
  <c r="G165" i="4"/>
  <c r="G220" i="5" s="1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T220" i="5" s="1"/>
  <c r="U165" i="4"/>
  <c r="V165" i="4"/>
  <c r="W165" i="4"/>
  <c r="X165" i="4"/>
  <c r="Y165" i="4"/>
  <c r="Z165" i="4"/>
  <c r="AA165" i="4"/>
  <c r="AB165" i="4"/>
  <c r="AC165" i="4"/>
  <c r="AD165" i="4"/>
  <c r="AD220" i="5" s="1"/>
  <c r="AE165" i="4"/>
  <c r="AE220" i="5" s="1"/>
  <c r="AF165" i="4"/>
  <c r="AF220" i="5" s="1"/>
  <c r="AG165" i="4"/>
  <c r="AH165" i="4"/>
  <c r="AI165" i="4"/>
  <c r="AJ165" i="4"/>
  <c r="AK165" i="4"/>
  <c r="AL165" i="4"/>
  <c r="AM165" i="4"/>
  <c r="AN165" i="4"/>
  <c r="AO165" i="4"/>
  <c r="AP165" i="4"/>
  <c r="AP220" i="5" s="1"/>
  <c r="AQ165" i="4"/>
  <c r="AQ220" i="5" s="1"/>
  <c r="AR165" i="4"/>
  <c r="AS165" i="4"/>
  <c r="AT165" i="4"/>
  <c r="AU165" i="4"/>
  <c r="AV165" i="4"/>
  <c r="AW165" i="4"/>
  <c r="AX165" i="4"/>
  <c r="AY165" i="4"/>
  <c r="AZ165" i="4"/>
  <c r="BA165" i="4"/>
  <c r="BB165" i="4"/>
  <c r="BB220" i="5" s="1"/>
  <c r="BC165" i="4"/>
  <c r="BC220" i="5" s="1"/>
  <c r="BD165" i="4"/>
  <c r="D166" i="4"/>
  <c r="E166" i="4"/>
  <c r="F166" i="4"/>
  <c r="G166" i="4"/>
  <c r="H166" i="4"/>
  <c r="I166" i="4"/>
  <c r="J166" i="4"/>
  <c r="K166" i="4"/>
  <c r="L166" i="4"/>
  <c r="M166" i="4"/>
  <c r="N166" i="4"/>
  <c r="N221" i="5" s="1"/>
  <c r="O166" i="4"/>
  <c r="P166" i="4"/>
  <c r="Q166" i="4"/>
  <c r="R166" i="4"/>
  <c r="S166" i="4"/>
  <c r="T166" i="4"/>
  <c r="U166" i="4"/>
  <c r="V166" i="4"/>
  <c r="W166" i="4"/>
  <c r="X166" i="4"/>
  <c r="Y166" i="4"/>
  <c r="Y221" i="5" s="1"/>
  <c r="Z166" i="4"/>
  <c r="Z221" i="5" s="1"/>
  <c r="AA166" i="4"/>
  <c r="AB166" i="4"/>
  <c r="AB221" i="5" s="1"/>
  <c r="AC166" i="4"/>
  <c r="AD166" i="4"/>
  <c r="AE166" i="4"/>
  <c r="AF166" i="4"/>
  <c r="AG166" i="4"/>
  <c r="AH166" i="4"/>
  <c r="AI166" i="4"/>
  <c r="AJ166" i="4"/>
  <c r="AK166" i="4"/>
  <c r="AK221" i="5" s="1"/>
  <c r="AL166" i="4"/>
  <c r="AL221" i="5" s="1"/>
  <c r="AM166" i="4"/>
  <c r="AN166" i="4"/>
  <c r="AO166" i="4"/>
  <c r="AP166" i="4"/>
  <c r="AQ166" i="4"/>
  <c r="AR166" i="4"/>
  <c r="AS166" i="4"/>
  <c r="AT166" i="4"/>
  <c r="AU166" i="4"/>
  <c r="AV166" i="4"/>
  <c r="AW166" i="4"/>
  <c r="AW221" i="5" s="1"/>
  <c r="AX166" i="4"/>
  <c r="AX221" i="5" s="1"/>
  <c r="AY166" i="4"/>
  <c r="AZ166" i="4"/>
  <c r="AZ221" i="5" s="1"/>
  <c r="BA166" i="4"/>
  <c r="BB166" i="4"/>
  <c r="BC166" i="4"/>
  <c r="BD166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H182" i="5"/>
  <c r="T182" i="5"/>
  <c r="AF182" i="5"/>
  <c r="AR182" i="5"/>
  <c r="BD182" i="5"/>
  <c r="C128" i="4"/>
  <c r="N183" i="5"/>
  <c r="Z183" i="5"/>
  <c r="AL183" i="5"/>
  <c r="AX183" i="5"/>
  <c r="C129" i="4"/>
  <c r="C130" i="4"/>
  <c r="C131" i="4"/>
  <c r="E186" i="5"/>
  <c r="Q186" i="5"/>
  <c r="AC186" i="5"/>
  <c r="AO186" i="5"/>
  <c r="BA186" i="5"/>
  <c r="C132" i="4"/>
  <c r="N187" i="5"/>
  <c r="Z187" i="5"/>
  <c r="AL187" i="5"/>
  <c r="AX187" i="5"/>
  <c r="C133" i="4"/>
  <c r="C134" i="4"/>
  <c r="N189" i="5"/>
  <c r="Z189" i="5"/>
  <c r="AL189" i="5"/>
  <c r="AX189" i="5"/>
  <c r="C135" i="4"/>
  <c r="C136" i="4"/>
  <c r="K191" i="5"/>
  <c r="N191" i="5"/>
  <c r="W191" i="5"/>
  <c r="Z191" i="5"/>
  <c r="AI191" i="5"/>
  <c r="AL191" i="5"/>
  <c r="AU191" i="5"/>
  <c r="AX191" i="5"/>
  <c r="C137" i="4"/>
  <c r="E192" i="5"/>
  <c r="H192" i="5"/>
  <c r="Q192" i="5"/>
  <c r="T192" i="5"/>
  <c r="AC192" i="5"/>
  <c r="AF192" i="5"/>
  <c r="AO192" i="5"/>
  <c r="AR192" i="5"/>
  <c r="BA192" i="5"/>
  <c r="BD192" i="5"/>
  <c r="C138" i="4"/>
  <c r="K193" i="5"/>
  <c r="W193" i="5"/>
  <c r="AI193" i="5"/>
  <c r="AU193" i="5"/>
  <c r="C139" i="4"/>
  <c r="H194" i="5"/>
  <c r="T194" i="5"/>
  <c r="AF194" i="5"/>
  <c r="AR194" i="5"/>
  <c r="BD194" i="5"/>
  <c r="C140" i="4"/>
  <c r="K195" i="5"/>
  <c r="N195" i="5"/>
  <c r="Z195" i="5"/>
  <c r="AL195" i="5"/>
  <c r="AX195" i="5"/>
  <c r="C141" i="4"/>
  <c r="E196" i="5"/>
  <c r="H196" i="5"/>
  <c r="Q196" i="5"/>
  <c r="T196" i="5"/>
  <c r="AC196" i="5"/>
  <c r="AF196" i="5"/>
  <c r="AO196" i="5"/>
  <c r="AR196" i="5"/>
  <c r="BA196" i="5"/>
  <c r="BD196" i="5"/>
  <c r="C142" i="4"/>
  <c r="C143" i="4"/>
  <c r="E198" i="5"/>
  <c r="Q198" i="5"/>
  <c r="AC198" i="5"/>
  <c r="AO198" i="5"/>
  <c r="BA198" i="5"/>
  <c r="C144" i="4"/>
  <c r="N199" i="5"/>
  <c r="Z199" i="5"/>
  <c r="AL199" i="5"/>
  <c r="AX199" i="5"/>
  <c r="C145" i="4"/>
  <c r="E200" i="5"/>
  <c r="H200" i="5"/>
  <c r="Q200" i="5"/>
  <c r="T200" i="5"/>
  <c r="AC200" i="5"/>
  <c r="AF200" i="5"/>
  <c r="AO200" i="5"/>
  <c r="AR200" i="5"/>
  <c r="BA200" i="5"/>
  <c r="BD200" i="5"/>
  <c r="C146" i="4"/>
  <c r="K201" i="5"/>
  <c r="N201" i="5"/>
  <c r="W201" i="5"/>
  <c r="Z201" i="5"/>
  <c r="AI201" i="5"/>
  <c r="AL201" i="5"/>
  <c r="AU201" i="5"/>
  <c r="AX201" i="5"/>
  <c r="C147" i="4"/>
  <c r="C148" i="4"/>
  <c r="K203" i="5"/>
  <c r="N203" i="5"/>
  <c r="W203" i="5"/>
  <c r="Z203" i="5"/>
  <c r="AI203" i="5"/>
  <c r="AL203" i="5"/>
  <c r="AU203" i="5"/>
  <c r="AX203" i="5"/>
  <c r="C149" i="4"/>
  <c r="E204" i="5"/>
  <c r="H204" i="5"/>
  <c r="Q204" i="5"/>
  <c r="T204" i="5"/>
  <c r="AC204" i="5"/>
  <c r="AF204" i="5"/>
  <c r="AO204" i="5"/>
  <c r="AR204" i="5"/>
  <c r="BA204" i="5"/>
  <c r="BD204" i="5"/>
  <c r="C150" i="4"/>
  <c r="K205" i="5"/>
  <c r="W205" i="5"/>
  <c r="AI205" i="5"/>
  <c r="AU205" i="5"/>
  <c r="C151" i="4"/>
  <c r="H206" i="5"/>
  <c r="T206" i="5"/>
  <c r="AF206" i="5"/>
  <c r="AR206" i="5"/>
  <c r="BD206" i="5"/>
  <c r="C152" i="4"/>
  <c r="N207" i="5"/>
  <c r="Z207" i="5"/>
  <c r="AL207" i="5"/>
  <c r="AX207" i="5"/>
  <c r="C153" i="4"/>
  <c r="E208" i="5"/>
  <c r="H208" i="5"/>
  <c r="Q208" i="5"/>
  <c r="T208" i="5"/>
  <c r="AC208" i="5"/>
  <c r="AF208" i="5"/>
  <c r="AO208" i="5"/>
  <c r="AR208" i="5"/>
  <c r="BA208" i="5"/>
  <c r="BD208" i="5"/>
  <c r="C154" i="4"/>
  <c r="K209" i="5"/>
  <c r="W209" i="5"/>
  <c r="AI209" i="5"/>
  <c r="AU209" i="5"/>
  <c r="C155" i="4"/>
  <c r="E210" i="5"/>
  <c r="Q210" i="5"/>
  <c r="AC210" i="5"/>
  <c r="AO210" i="5"/>
  <c r="AR210" i="5"/>
  <c r="BA210" i="5"/>
  <c r="C156" i="4"/>
  <c r="N211" i="5"/>
  <c r="Z211" i="5"/>
  <c r="AL211" i="5"/>
  <c r="AX211" i="5"/>
  <c r="C157" i="4"/>
  <c r="H212" i="5"/>
  <c r="T212" i="5"/>
  <c r="AC212" i="5"/>
  <c r="AF212" i="5"/>
  <c r="AR212" i="5"/>
  <c r="BA212" i="5"/>
  <c r="BD212" i="5"/>
  <c r="C158" i="4"/>
  <c r="K213" i="5"/>
  <c r="N213" i="5"/>
  <c r="W213" i="5"/>
  <c r="Z213" i="5"/>
  <c r="AI213" i="5"/>
  <c r="AL213" i="5"/>
  <c r="AU213" i="5"/>
  <c r="AX213" i="5"/>
  <c r="C159" i="4"/>
  <c r="C160" i="4"/>
  <c r="K215" i="5"/>
  <c r="N215" i="5"/>
  <c r="W215" i="5"/>
  <c r="AI215" i="5"/>
  <c r="AU215" i="5"/>
  <c r="AX215" i="5"/>
  <c r="C161" i="4"/>
  <c r="H216" i="5"/>
  <c r="Q216" i="5"/>
  <c r="T216" i="5"/>
  <c r="AC216" i="5"/>
  <c r="AF216" i="5"/>
  <c r="AR216" i="5"/>
  <c r="BD216" i="5"/>
  <c r="C162" i="4"/>
  <c r="Z217" i="5"/>
  <c r="AI217" i="5"/>
  <c r="AL217" i="5"/>
  <c r="AU217" i="5"/>
  <c r="C163" i="4"/>
  <c r="H218" i="5"/>
  <c r="T218" i="5"/>
  <c r="AF218" i="5"/>
  <c r="AR218" i="5"/>
  <c r="BD218" i="5"/>
  <c r="C164" i="4"/>
  <c r="Z219" i="5"/>
  <c r="AX219" i="5"/>
  <c r="C165" i="4"/>
  <c r="E220" i="5"/>
  <c r="H220" i="5"/>
  <c r="J220" i="5"/>
  <c r="Q220" i="5"/>
  <c r="V220" i="5"/>
  <c r="AC220" i="5"/>
  <c r="AH220" i="5"/>
  <c r="AO220" i="5"/>
  <c r="AR220" i="5"/>
  <c r="AT220" i="5"/>
  <c r="BA220" i="5"/>
  <c r="BD220" i="5"/>
  <c r="C166" i="4"/>
  <c r="D221" i="5"/>
  <c r="K221" i="5"/>
  <c r="P221" i="5"/>
  <c r="W221" i="5"/>
  <c r="AI221" i="5"/>
  <c r="AN221" i="5"/>
  <c r="AU221" i="5"/>
  <c r="C113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D64" i="4"/>
  <c r="E64" i="4"/>
  <c r="F64" i="4"/>
  <c r="F119" i="5" s="1"/>
  <c r="G64" i="4"/>
  <c r="H64" i="4"/>
  <c r="I64" i="4"/>
  <c r="J64" i="4"/>
  <c r="K64" i="4"/>
  <c r="L64" i="4"/>
  <c r="M64" i="4"/>
  <c r="N64" i="4"/>
  <c r="O64" i="4"/>
  <c r="P64" i="4"/>
  <c r="Q64" i="4"/>
  <c r="R64" i="4"/>
  <c r="R119" i="5" s="1"/>
  <c r="S64" i="4"/>
  <c r="T64" i="4"/>
  <c r="U64" i="4"/>
  <c r="V64" i="4"/>
  <c r="W64" i="4"/>
  <c r="X64" i="4"/>
  <c r="Y64" i="4"/>
  <c r="Z64" i="4"/>
  <c r="AA64" i="4"/>
  <c r="AB64" i="4"/>
  <c r="AC64" i="4"/>
  <c r="AD64" i="4"/>
  <c r="AD119" i="5" s="1"/>
  <c r="AE64" i="4"/>
  <c r="AF64" i="4"/>
  <c r="AG64" i="4"/>
  <c r="AH64" i="4"/>
  <c r="AI64" i="4"/>
  <c r="AJ64" i="4"/>
  <c r="AK64" i="4"/>
  <c r="AL64" i="4"/>
  <c r="AM64" i="4"/>
  <c r="AN64" i="4"/>
  <c r="AO64" i="4"/>
  <c r="AP64" i="4"/>
  <c r="AP119" i="5" s="1"/>
  <c r="AQ64" i="4"/>
  <c r="AR64" i="4"/>
  <c r="AS64" i="4"/>
  <c r="AT64" i="4"/>
  <c r="AU64" i="4"/>
  <c r="AV64" i="4"/>
  <c r="AW64" i="4"/>
  <c r="AX64" i="4"/>
  <c r="AY64" i="4"/>
  <c r="AZ64" i="4"/>
  <c r="BA64" i="4"/>
  <c r="BB64" i="4"/>
  <c r="BB119" i="5" s="1"/>
  <c r="BC64" i="4"/>
  <c r="BD64" i="4"/>
  <c r="D65" i="4"/>
  <c r="E65" i="4"/>
  <c r="F65" i="4"/>
  <c r="G65" i="4"/>
  <c r="H65" i="4"/>
  <c r="I65" i="4"/>
  <c r="J65" i="4"/>
  <c r="K65" i="4"/>
  <c r="L65" i="4"/>
  <c r="M65" i="4"/>
  <c r="M120" i="5" s="1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K120" i="5" s="1"/>
  <c r="AL65" i="4"/>
  <c r="AM65" i="4"/>
  <c r="AN65" i="4"/>
  <c r="AO65" i="4"/>
  <c r="AP65" i="4"/>
  <c r="AQ65" i="4"/>
  <c r="AR65" i="4"/>
  <c r="AS65" i="4"/>
  <c r="AT65" i="4"/>
  <c r="AU65" i="4"/>
  <c r="AV65" i="4"/>
  <c r="AW65" i="4"/>
  <c r="AW120" i="5" s="1"/>
  <c r="AX65" i="4"/>
  <c r="AY65" i="4"/>
  <c r="AZ65" i="4"/>
  <c r="BA65" i="4"/>
  <c r="BB65" i="4"/>
  <c r="BC65" i="4"/>
  <c r="BD65" i="4"/>
  <c r="D66" i="4"/>
  <c r="E66" i="4"/>
  <c r="F66" i="4"/>
  <c r="G66" i="4"/>
  <c r="H66" i="4"/>
  <c r="H121" i="5" s="1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F121" i="5" s="1"/>
  <c r="AG66" i="4"/>
  <c r="AH66" i="4"/>
  <c r="AI66" i="4"/>
  <c r="AJ66" i="4"/>
  <c r="AK66" i="4"/>
  <c r="AL66" i="4"/>
  <c r="AM66" i="4"/>
  <c r="AN66" i="4"/>
  <c r="AO66" i="4"/>
  <c r="AP66" i="4"/>
  <c r="AQ66" i="4"/>
  <c r="AR66" i="4"/>
  <c r="AR121" i="5" s="1"/>
  <c r="AS66" i="4"/>
  <c r="AT66" i="4"/>
  <c r="AU66" i="4"/>
  <c r="AV66" i="4"/>
  <c r="AW66" i="4"/>
  <c r="AX66" i="4"/>
  <c r="AY66" i="4"/>
  <c r="AZ66" i="4"/>
  <c r="BA66" i="4"/>
  <c r="BB66" i="4"/>
  <c r="BC66" i="4"/>
  <c r="BD66" i="4"/>
  <c r="BD121" i="5" s="1"/>
  <c r="D67" i="4"/>
  <c r="E67" i="4"/>
  <c r="F67" i="4"/>
  <c r="G67" i="4"/>
  <c r="H67" i="4"/>
  <c r="I67" i="4"/>
  <c r="J67" i="4"/>
  <c r="K67" i="4"/>
  <c r="L67" i="4"/>
  <c r="M67" i="4"/>
  <c r="N67" i="4"/>
  <c r="O67" i="4"/>
  <c r="O122" i="5" s="1"/>
  <c r="P67" i="4"/>
  <c r="Q67" i="4"/>
  <c r="R67" i="4"/>
  <c r="S67" i="4"/>
  <c r="T67" i="4"/>
  <c r="U67" i="4"/>
  <c r="V67" i="4"/>
  <c r="W67" i="4"/>
  <c r="X67" i="4"/>
  <c r="Y67" i="4"/>
  <c r="Z67" i="4"/>
  <c r="AA67" i="4"/>
  <c r="AA122" i="5" s="1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Y122" i="5" s="1"/>
  <c r="AZ67" i="4"/>
  <c r="BA67" i="4"/>
  <c r="BB67" i="4"/>
  <c r="BC67" i="4"/>
  <c r="BD67" i="4"/>
  <c r="D68" i="4"/>
  <c r="E68" i="4"/>
  <c r="F68" i="4"/>
  <c r="G68" i="4"/>
  <c r="H68" i="4"/>
  <c r="I68" i="4"/>
  <c r="J68" i="4"/>
  <c r="J123" i="5" s="1"/>
  <c r="K68" i="4"/>
  <c r="L68" i="4"/>
  <c r="M68" i="4"/>
  <c r="N68" i="4"/>
  <c r="O68" i="4"/>
  <c r="P68" i="4"/>
  <c r="Q68" i="4"/>
  <c r="R68" i="4"/>
  <c r="S68" i="4"/>
  <c r="T68" i="4"/>
  <c r="U68" i="4"/>
  <c r="V68" i="4"/>
  <c r="V123" i="5" s="1"/>
  <c r="W68" i="4"/>
  <c r="X68" i="4"/>
  <c r="Y68" i="4"/>
  <c r="Z68" i="4"/>
  <c r="AA68" i="4"/>
  <c r="AB68" i="4"/>
  <c r="AC68" i="4"/>
  <c r="AD68" i="4"/>
  <c r="AE68" i="4"/>
  <c r="AF68" i="4"/>
  <c r="AG68" i="4"/>
  <c r="AH68" i="4"/>
  <c r="AH123" i="5" s="1"/>
  <c r="AI68" i="4"/>
  <c r="AJ68" i="4"/>
  <c r="AK68" i="4"/>
  <c r="AL68" i="4"/>
  <c r="AM68" i="4"/>
  <c r="AN68" i="4"/>
  <c r="AO68" i="4"/>
  <c r="AP68" i="4"/>
  <c r="AQ68" i="4"/>
  <c r="AR68" i="4"/>
  <c r="AS68" i="4"/>
  <c r="AT68" i="4"/>
  <c r="AT123" i="5" s="1"/>
  <c r="AU68" i="4"/>
  <c r="AV68" i="4"/>
  <c r="AW68" i="4"/>
  <c r="AX68" i="4"/>
  <c r="AY68" i="4"/>
  <c r="AZ68" i="4"/>
  <c r="BA68" i="4"/>
  <c r="BB68" i="4"/>
  <c r="BC68" i="4"/>
  <c r="BD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Q124" i="5" s="1"/>
  <c r="R69" i="4"/>
  <c r="S69" i="4"/>
  <c r="T69" i="4"/>
  <c r="U69" i="4"/>
  <c r="V69" i="4"/>
  <c r="W69" i="4"/>
  <c r="X69" i="4"/>
  <c r="Y69" i="4"/>
  <c r="Z69" i="4"/>
  <c r="AA69" i="4"/>
  <c r="AB69" i="4"/>
  <c r="AC69" i="4"/>
  <c r="AC124" i="5" s="1"/>
  <c r="AD69" i="4"/>
  <c r="AE69" i="4"/>
  <c r="AF69" i="4"/>
  <c r="AG69" i="4"/>
  <c r="AH69" i="4"/>
  <c r="AI69" i="4"/>
  <c r="AJ69" i="4"/>
  <c r="AK69" i="4"/>
  <c r="AL69" i="4"/>
  <c r="AM69" i="4"/>
  <c r="AN69" i="4"/>
  <c r="AO69" i="4"/>
  <c r="AO124" i="5" s="1"/>
  <c r="AP69" i="4"/>
  <c r="AQ69" i="4"/>
  <c r="AR69" i="4"/>
  <c r="AS69" i="4"/>
  <c r="AT69" i="4"/>
  <c r="AU69" i="4"/>
  <c r="AV69" i="4"/>
  <c r="AW69" i="4"/>
  <c r="AX69" i="4"/>
  <c r="AY69" i="4"/>
  <c r="AZ69" i="4"/>
  <c r="BA69" i="4"/>
  <c r="BA124" i="5" s="1"/>
  <c r="BB69" i="4"/>
  <c r="BC69" i="4"/>
  <c r="BD69" i="4"/>
  <c r="D70" i="4"/>
  <c r="E70" i="4"/>
  <c r="F70" i="4"/>
  <c r="G70" i="4"/>
  <c r="H70" i="4"/>
  <c r="I70" i="4"/>
  <c r="J70" i="4"/>
  <c r="K70" i="4"/>
  <c r="L70" i="4"/>
  <c r="L125" i="5" s="1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J125" i="5" s="1"/>
  <c r="AK70" i="4"/>
  <c r="AL70" i="4"/>
  <c r="AM70" i="4"/>
  <c r="AN70" i="4"/>
  <c r="AO70" i="4"/>
  <c r="AP70" i="4"/>
  <c r="AQ70" i="4"/>
  <c r="AR70" i="4"/>
  <c r="AS70" i="4"/>
  <c r="AT70" i="4"/>
  <c r="AU70" i="4"/>
  <c r="AV70" i="4"/>
  <c r="AV125" i="5" s="1"/>
  <c r="AW70" i="4"/>
  <c r="AX70" i="4"/>
  <c r="AY70" i="4"/>
  <c r="AZ70" i="4"/>
  <c r="BA70" i="4"/>
  <c r="BB70" i="4"/>
  <c r="BC70" i="4"/>
  <c r="BD70" i="4"/>
  <c r="D71" i="4"/>
  <c r="E71" i="4"/>
  <c r="F71" i="4"/>
  <c r="G71" i="4"/>
  <c r="G126" i="5" s="1"/>
  <c r="H71" i="4"/>
  <c r="I71" i="4"/>
  <c r="J71" i="4"/>
  <c r="K71" i="4"/>
  <c r="L71" i="4"/>
  <c r="M71" i="4"/>
  <c r="N71" i="4"/>
  <c r="O71" i="4"/>
  <c r="P71" i="4"/>
  <c r="Q71" i="4"/>
  <c r="R71" i="4"/>
  <c r="S71" i="4"/>
  <c r="S126" i="5" s="1"/>
  <c r="T71" i="4"/>
  <c r="U71" i="4"/>
  <c r="V71" i="4"/>
  <c r="W71" i="4"/>
  <c r="X71" i="4"/>
  <c r="Y71" i="4"/>
  <c r="Z71" i="4"/>
  <c r="AA71" i="4"/>
  <c r="AB71" i="4"/>
  <c r="AC71" i="4"/>
  <c r="AD71" i="4"/>
  <c r="AE71" i="4"/>
  <c r="AE126" i="5" s="1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C126" i="5" s="1"/>
  <c r="BD71" i="4"/>
  <c r="D72" i="4"/>
  <c r="E72" i="4"/>
  <c r="F72" i="4"/>
  <c r="G72" i="4"/>
  <c r="H72" i="4"/>
  <c r="I72" i="4"/>
  <c r="J72" i="4"/>
  <c r="K72" i="4"/>
  <c r="L72" i="4"/>
  <c r="M72" i="4"/>
  <c r="N72" i="4"/>
  <c r="N127" i="5" s="1"/>
  <c r="O72" i="4"/>
  <c r="P72" i="4"/>
  <c r="Q72" i="4"/>
  <c r="R72" i="4"/>
  <c r="S72" i="4"/>
  <c r="T72" i="4"/>
  <c r="U72" i="4"/>
  <c r="V72" i="4"/>
  <c r="W72" i="4"/>
  <c r="X72" i="4"/>
  <c r="Y72" i="4"/>
  <c r="Z72" i="4"/>
  <c r="Z127" i="5" s="1"/>
  <c r="AA72" i="4"/>
  <c r="AB72" i="4"/>
  <c r="AC72" i="4"/>
  <c r="AD72" i="4"/>
  <c r="AE72" i="4"/>
  <c r="AF72" i="4"/>
  <c r="AG72" i="4"/>
  <c r="AH72" i="4"/>
  <c r="AI72" i="4"/>
  <c r="AJ72" i="4"/>
  <c r="AK72" i="4"/>
  <c r="AL72" i="4"/>
  <c r="AL127" i="5" s="1"/>
  <c r="AM72" i="4"/>
  <c r="AN72" i="4"/>
  <c r="AO72" i="4"/>
  <c r="AP72" i="4"/>
  <c r="AQ72" i="4"/>
  <c r="AR72" i="4"/>
  <c r="AS72" i="4"/>
  <c r="AT72" i="4"/>
  <c r="AU72" i="4"/>
  <c r="AV72" i="4"/>
  <c r="AW72" i="4"/>
  <c r="AX72" i="4"/>
  <c r="AX127" i="5" s="1"/>
  <c r="AY72" i="4"/>
  <c r="AZ72" i="4"/>
  <c r="BA72" i="4"/>
  <c r="BB72" i="4"/>
  <c r="BC72" i="4"/>
  <c r="BD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S128" i="5" s="1"/>
  <c r="AT73" i="4"/>
  <c r="AU73" i="4"/>
  <c r="AV73" i="4"/>
  <c r="AW73" i="4"/>
  <c r="AX73" i="4"/>
  <c r="AY73" i="4"/>
  <c r="AZ73" i="4"/>
  <c r="BA73" i="4"/>
  <c r="BB73" i="4"/>
  <c r="BC73" i="4"/>
  <c r="BD73" i="4"/>
  <c r="D74" i="4"/>
  <c r="D129" i="5" s="1"/>
  <c r="E74" i="4"/>
  <c r="F74" i="4"/>
  <c r="G74" i="4"/>
  <c r="H74" i="4"/>
  <c r="I74" i="4"/>
  <c r="J74" i="4"/>
  <c r="K74" i="4"/>
  <c r="L74" i="4"/>
  <c r="M74" i="4"/>
  <c r="N74" i="4"/>
  <c r="O74" i="4"/>
  <c r="P74" i="4"/>
  <c r="P129" i="5" s="1"/>
  <c r="Q74" i="4"/>
  <c r="R74" i="4"/>
  <c r="S74" i="4"/>
  <c r="T74" i="4"/>
  <c r="U74" i="4"/>
  <c r="V74" i="4"/>
  <c r="W74" i="4"/>
  <c r="X74" i="4"/>
  <c r="Y74" i="4"/>
  <c r="Z74" i="4"/>
  <c r="AA74" i="4"/>
  <c r="AB74" i="4"/>
  <c r="AB129" i="5" s="1"/>
  <c r="AC74" i="4"/>
  <c r="AD74" i="4"/>
  <c r="AE74" i="4"/>
  <c r="AF74" i="4"/>
  <c r="AG74" i="4"/>
  <c r="AH74" i="4"/>
  <c r="AI74" i="4"/>
  <c r="AJ74" i="4"/>
  <c r="AK74" i="4"/>
  <c r="AL74" i="4"/>
  <c r="AM74" i="4"/>
  <c r="AN74" i="4"/>
  <c r="AN129" i="5" s="1"/>
  <c r="AO74" i="4"/>
  <c r="AP74" i="4"/>
  <c r="AQ74" i="4"/>
  <c r="AR74" i="4"/>
  <c r="AS74" i="4"/>
  <c r="AT74" i="4"/>
  <c r="AU74" i="4"/>
  <c r="AV74" i="4"/>
  <c r="AW74" i="4"/>
  <c r="AX74" i="4"/>
  <c r="AY74" i="4"/>
  <c r="AZ74" i="4"/>
  <c r="AZ129" i="5" s="1"/>
  <c r="BA74" i="4"/>
  <c r="BB74" i="4"/>
  <c r="BC74" i="4"/>
  <c r="BD74" i="4"/>
  <c r="D75" i="4"/>
  <c r="E75" i="4"/>
  <c r="F75" i="4"/>
  <c r="G75" i="4"/>
  <c r="H75" i="4"/>
  <c r="I75" i="4"/>
  <c r="J75" i="4"/>
  <c r="K75" i="4"/>
  <c r="K130" i="5" s="1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I130" i="5" s="1"/>
  <c r="AJ75" i="4"/>
  <c r="AK75" i="4"/>
  <c r="AL75" i="4"/>
  <c r="AM75" i="4"/>
  <c r="AN75" i="4"/>
  <c r="AO75" i="4"/>
  <c r="AP75" i="4"/>
  <c r="AQ75" i="4"/>
  <c r="AR75" i="4"/>
  <c r="AS75" i="4"/>
  <c r="AT75" i="4"/>
  <c r="AU75" i="4"/>
  <c r="AU130" i="5" s="1"/>
  <c r="AV75" i="4"/>
  <c r="AW75" i="4"/>
  <c r="AX75" i="4"/>
  <c r="AY75" i="4"/>
  <c r="AZ75" i="4"/>
  <c r="BA75" i="4"/>
  <c r="BB75" i="4"/>
  <c r="BC75" i="4"/>
  <c r="BD75" i="4"/>
  <c r="D76" i="4"/>
  <c r="E76" i="4"/>
  <c r="F76" i="4"/>
  <c r="F131" i="5" s="1"/>
  <c r="G76" i="4"/>
  <c r="H76" i="4"/>
  <c r="I76" i="4"/>
  <c r="J76" i="4"/>
  <c r="K76" i="4"/>
  <c r="L76" i="4"/>
  <c r="M76" i="4"/>
  <c r="N76" i="4"/>
  <c r="O76" i="4"/>
  <c r="P76" i="4"/>
  <c r="Q76" i="4"/>
  <c r="R76" i="4"/>
  <c r="R131" i="5" s="1"/>
  <c r="S76" i="4"/>
  <c r="T76" i="4"/>
  <c r="U76" i="4"/>
  <c r="V76" i="4"/>
  <c r="W76" i="4"/>
  <c r="X76" i="4"/>
  <c r="Y76" i="4"/>
  <c r="Z76" i="4"/>
  <c r="AA76" i="4"/>
  <c r="AB76" i="4"/>
  <c r="AC76" i="4"/>
  <c r="AD76" i="4"/>
  <c r="AD131" i="5" s="1"/>
  <c r="AE76" i="4"/>
  <c r="AF76" i="4"/>
  <c r="AG76" i="4"/>
  <c r="AH76" i="4"/>
  <c r="AI76" i="4"/>
  <c r="AJ76" i="4"/>
  <c r="AK76" i="4"/>
  <c r="AL76" i="4"/>
  <c r="AM76" i="4"/>
  <c r="AN76" i="4"/>
  <c r="AO76" i="4"/>
  <c r="AP76" i="4"/>
  <c r="AP131" i="5" s="1"/>
  <c r="AQ76" i="4"/>
  <c r="AR76" i="4"/>
  <c r="AS76" i="4"/>
  <c r="AT76" i="4"/>
  <c r="AU76" i="4"/>
  <c r="AV76" i="4"/>
  <c r="AW76" i="4"/>
  <c r="AX76" i="4"/>
  <c r="AY76" i="4"/>
  <c r="AZ76" i="4"/>
  <c r="BA76" i="4"/>
  <c r="BB76" i="4"/>
  <c r="BB131" i="5" s="1"/>
  <c r="BC76" i="4"/>
  <c r="BD76" i="4"/>
  <c r="D77" i="4"/>
  <c r="E77" i="4"/>
  <c r="F77" i="4"/>
  <c r="G77" i="4"/>
  <c r="H77" i="4"/>
  <c r="I77" i="4"/>
  <c r="J77" i="4"/>
  <c r="K77" i="4"/>
  <c r="L77" i="4"/>
  <c r="M77" i="4"/>
  <c r="M132" i="5" s="1"/>
  <c r="N77" i="4"/>
  <c r="O77" i="4"/>
  <c r="P77" i="4"/>
  <c r="Q77" i="4"/>
  <c r="R77" i="4"/>
  <c r="S77" i="4"/>
  <c r="T77" i="4"/>
  <c r="U77" i="4"/>
  <c r="V77" i="4"/>
  <c r="W77" i="4"/>
  <c r="X77" i="4"/>
  <c r="Y77" i="4"/>
  <c r="Y132" i="5" s="1"/>
  <c r="Z77" i="4"/>
  <c r="AA77" i="4"/>
  <c r="AB77" i="4"/>
  <c r="AC77" i="4"/>
  <c r="AD77" i="4"/>
  <c r="AE77" i="4"/>
  <c r="AF77" i="4"/>
  <c r="AG77" i="4"/>
  <c r="AH77" i="4"/>
  <c r="AI77" i="4"/>
  <c r="AJ77" i="4"/>
  <c r="AK77" i="4"/>
  <c r="AK132" i="5" s="1"/>
  <c r="AL77" i="4"/>
  <c r="AM77" i="4"/>
  <c r="AN77" i="4"/>
  <c r="AO77" i="4"/>
  <c r="AP77" i="4"/>
  <c r="AQ77" i="4"/>
  <c r="AR77" i="4"/>
  <c r="AS77" i="4"/>
  <c r="AT77" i="4"/>
  <c r="AU77" i="4"/>
  <c r="AV77" i="4"/>
  <c r="AW77" i="4"/>
  <c r="AW132" i="5" s="1"/>
  <c r="AX77" i="4"/>
  <c r="AY77" i="4"/>
  <c r="AZ77" i="4"/>
  <c r="BA77" i="4"/>
  <c r="BB77" i="4"/>
  <c r="BC77" i="4"/>
  <c r="BD77" i="4"/>
  <c r="D78" i="4"/>
  <c r="E78" i="4"/>
  <c r="F78" i="4"/>
  <c r="G78" i="4"/>
  <c r="H78" i="4"/>
  <c r="H133" i="5" s="1"/>
  <c r="I78" i="4"/>
  <c r="J78" i="4"/>
  <c r="K78" i="4"/>
  <c r="L78" i="4"/>
  <c r="M78" i="4"/>
  <c r="N78" i="4"/>
  <c r="O78" i="4"/>
  <c r="P78" i="4"/>
  <c r="Q78" i="4"/>
  <c r="R78" i="4"/>
  <c r="S78" i="4"/>
  <c r="T78" i="4"/>
  <c r="T133" i="5" s="1"/>
  <c r="U78" i="4"/>
  <c r="V78" i="4"/>
  <c r="W78" i="4"/>
  <c r="X78" i="4"/>
  <c r="Y78" i="4"/>
  <c r="Z78" i="4"/>
  <c r="AA78" i="4"/>
  <c r="AB78" i="4"/>
  <c r="AC78" i="4"/>
  <c r="AD78" i="4"/>
  <c r="AE78" i="4"/>
  <c r="AF78" i="4"/>
  <c r="AF133" i="5" s="1"/>
  <c r="AG78" i="4"/>
  <c r="AH78" i="4"/>
  <c r="AI78" i="4"/>
  <c r="AJ78" i="4"/>
  <c r="AK78" i="4"/>
  <c r="AL78" i="4"/>
  <c r="AM78" i="4"/>
  <c r="AN78" i="4"/>
  <c r="AO78" i="4"/>
  <c r="AP78" i="4"/>
  <c r="AQ78" i="4"/>
  <c r="AR78" i="4"/>
  <c r="AR133" i="5" s="1"/>
  <c r="AS78" i="4"/>
  <c r="AT78" i="4"/>
  <c r="AU78" i="4"/>
  <c r="AV78" i="4"/>
  <c r="AW78" i="4"/>
  <c r="AX78" i="4"/>
  <c r="AY78" i="4"/>
  <c r="AZ78" i="4"/>
  <c r="BA78" i="4"/>
  <c r="BB78" i="4"/>
  <c r="BC78" i="4"/>
  <c r="BD78" i="4"/>
  <c r="BD133" i="5" s="1"/>
  <c r="D79" i="4"/>
  <c r="E79" i="4"/>
  <c r="F79" i="4"/>
  <c r="G79" i="4"/>
  <c r="H79" i="4"/>
  <c r="I79" i="4"/>
  <c r="J79" i="4"/>
  <c r="K79" i="4"/>
  <c r="L79" i="4"/>
  <c r="M79" i="4"/>
  <c r="N79" i="4"/>
  <c r="O79" i="4"/>
  <c r="O134" i="5" s="1"/>
  <c r="P79" i="4"/>
  <c r="Q79" i="4"/>
  <c r="R79" i="4"/>
  <c r="S79" i="4"/>
  <c r="T79" i="4"/>
  <c r="U79" i="4"/>
  <c r="V79" i="4"/>
  <c r="W79" i="4"/>
  <c r="X79" i="4"/>
  <c r="Y79" i="4"/>
  <c r="Z79" i="4"/>
  <c r="AA79" i="4"/>
  <c r="AA134" i="5" s="1"/>
  <c r="AB79" i="4"/>
  <c r="AC79" i="4"/>
  <c r="AD79" i="4"/>
  <c r="AE79" i="4"/>
  <c r="AF79" i="4"/>
  <c r="AG79" i="4"/>
  <c r="AH79" i="4"/>
  <c r="AI79" i="4"/>
  <c r="AJ79" i="4"/>
  <c r="AK79" i="4"/>
  <c r="AL79" i="4"/>
  <c r="AM79" i="4"/>
  <c r="AM134" i="5" s="1"/>
  <c r="AN79" i="4"/>
  <c r="AO79" i="4"/>
  <c r="AP79" i="4"/>
  <c r="AQ79" i="4"/>
  <c r="AR79" i="4"/>
  <c r="AS79" i="4"/>
  <c r="AT79" i="4"/>
  <c r="AU79" i="4"/>
  <c r="AV79" i="4"/>
  <c r="AW79" i="4"/>
  <c r="AX79" i="4"/>
  <c r="AY79" i="4"/>
  <c r="AY134" i="5" s="1"/>
  <c r="AZ79" i="4"/>
  <c r="BA79" i="4"/>
  <c r="BB79" i="4"/>
  <c r="BC79" i="4"/>
  <c r="BD79" i="4"/>
  <c r="D80" i="4"/>
  <c r="E80" i="4"/>
  <c r="F80" i="4"/>
  <c r="G80" i="4"/>
  <c r="H80" i="4"/>
  <c r="I80" i="4"/>
  <c r="J80" i="4"/>
  <c r="J135" i="5" s="1"/>
  <c r="K80" i="4"/>
  <c r="L80" i="4"/>
  <c r="M80" i="4"/>
  <c r="N80" i="4"/>
  <c r="O80" i="4"/>
  <c r="P80" i="4"/>
  <c r="Q80" i="4"/>
  <c r="R80" i="4"/>
  <c r="S80" i="4"/>
  <c r="T80" i="4"/>
  <c r="U80" i="4"/>
  <c r="V80" i="4"/>
  <c r="V135" i="5" s="1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T135" i="5" s="1"/>
  <c r="AU80" i="4"/>
  <c r="AV80" i="4"/>
  <c r="AW80" i="4"/>
  <c r="AX80" i="4"/>
  <c r="AY80" i="4"/>
  <c r="AZ80" i="4"/>
  <c r="BA80" i="4"/>
  <c r="BB80" i="4"/>
  <c r="BC80" i="4"/>
  <c r="BD80" i="4"/>
  <c r="D81" i="4"/>
  <c r="E81" i="4"/>
  <c r="E136" i="5" s="1"/>
  <c r="F81" i="4"/>
  <c r="G81" i="4"/>
  <c r="H81" i="4"/>
  <c r="I81" i="4"/>
  <c r="J81" i="4"/>
  <c r="K81" i="4"/>
  <c r="L81" i="4"/>
  <c r="M81" i="4"/>
  <c r="N81" i="4"/>
  <c r="O81" i="4"/>
  <c r="P81" i="4"/>
  <c r="Q81" i="4"/>
  <c r="Q136" i="5" s="1"/>
  <c r="R81" i="4"/>
  <c r="S81" i="4"/>
  <c r="T81" i="4"/>
  <c r="U81" i="4"/>
  <c r="V81" i="4"/>
  <c r="W81" i="4"/>
  <c r="X81" i="4"/>
  <c r="Y81" i="4"/>
  <c r="Z81" i="4"/>
  <c r="AA81" i="4"/>
  <c r="AB81" i="4"/>
  <c r="AC81" i="4"/>
  <c r="AC136" i="5" s="1"/>
  <c r="AD81" i="4"/>
  <c r="AE81" i="4"/>
  <c r="AF81" i="4"/>
  <c r="AG81" i="4"/>
  <c r="AH81" i="4"/>
  <c r="AI81" i="4"/>
  <c r="AJ81" i="4"/>
  <c r="AK81" i="4"/>
  <c r="AL81" i="4"/>
  <c r="AM81" i="4"/>
  <c r="AN81" i="4"/>
  <c r="AO81" i="4"/>
  <c r="AO136" i="5" s="1"/>
  <c r="AP81" i="4"/>
  <c r="AQ81" i="4"/>
  <c r="AR81" i="4"/>
  <c r="AS81" i="4"/>
  <c r="AT81" i="4"/>
  <c r="AU81" i="4"/>
  <c r="AV81" i="4"/>
  <c r="AW81" i="4"/>
  <c r="AX81" i="4"/>
  <c r="AY81" i="4"/>
  <c r="AZ81" i="4"/>
  <c r="BA81" i="4"/>
  <c r="BA136" i="5" s="1"/>
  <c r="BB81" i="4"/>
  <c r="BC81" i="4"/>
  <c r="BD81" i="4"/>
  <c r="D82" i="4"/>
  <c r="E82" i="4"/>
  <c r="F82" i="4"/>
  <c r="G82" i="4"/>
  <c r="H82" i="4"/>
  <c r="I82" i="4"/>
  <c r="J82" i="4"/>
  <c r="K82" i="4"/>
  <c r="L82" i="4"/>
  <c r="L137" i="5" s="1"/>
  <c r="M82" i="4"/>
  <c r="N82" i="4"/>
  <c r="O82" i="4"/>
  <c r="P82" i="4"/>
  <c r="Q82" i="4"/>
  <c r="R82" i="4"/>
  <c r="S82" i="4"/>
  <c r="T82" i="4"/>
  <c r="U82" i="4"/>
  <c r="V82" i="4"/>
  <c r="W82" i="4"/>
  <c r="X82" i="4"/>
  <c r="X137" i="5" s="1"/>
  <c r="Y82" i="4"/>
  <c r="Z82" i="4"/>
  <c r="AA82" i="4"/>
  <c r="AB82" i="4"/>
  <c r="AC82" i="4"/>
  <c r="AD82" i="4"/>
  <c r="AE82" i="4"/>
  <c r="AF82" i="4"/>
  <c r="AG82" i="4"/>
  <c r="AH82" i="4"/>
  <c r="AI82" i="4"/>
  <c r="AJ82" i="4"/>
  <c r="AJ137" i="5" s="1"/>
  <c r="AK82" i="4"/>
  <c r="AL82" i="4"/>
  <c r="AM82" i="4"/>
  <c r="AN82" i="4"/>
  <c r="AO82" i="4"/>
  <c r="AP82" i="4"/>
  <c r="AQ82" i="4"/>
  <c r="AR82" i="4"/>
  <c r="AS82" i="4"/>
  <c r="AT82" i="4"/>
  <c r="AU82" i="4"/>
  <c r="AV82" i="4"/>
  <c r="AV137" i="5" s="1"/>
  <c r="AW82" i="4"/>
  <c r="AX82" i="4"/>
  <c r="AY82" i="4"/>
  <c r="AZ82" i="4"/>
  <c r="BA82" i="4"/>
  <c r="BB82" i="4"/>
  <c r="BC82" i="4"/>
  <c r="BD82" i="4"/>
  <c r="D83" i="4"/>
  <c r="E83" i="4"/>
  <c r="F83" i="4"/>
  <c r="G83" i="4"/>
  <c r="G138" i="5" s="1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E138" i="5" s="1"/>
  <c r="AF83" i="4"/>
  <c r="AG83" i="4"/>
  <c r="AH83" i="4"/>
  <c r="AI83" i="4"/>
  <c r="AJ83" i="4"/>
  <c r="AK83" i="4"/>
  <c r="AL83" i="4"/>
  <c r="AM83" i="4"/>
  <c r="AN83" i="4"/>
  <c r="AO83" i="4"/>
  <c r="AP83" i="4"/>
  <c r="AQ83" i="4"/>
  <c r="AQ138" i="5" s="1"/>
  <c r="AR83" i="4"/>
  <c r="AS83" i="4"/>
  <c r="AT83" i="4"/>
  <c r="AU83" i="4"/>
  <c r="AV83" i="4"/>
  <c r="AW83" i="4"/>
  <c r="AX83" i="4"/>
  <c r="AY83" i="4"/>
  <c r="AZ83" i="4"/>
  <c r="BA83" i="4"/>
  <c r="BB83" i="4"/>
  <c r="BC83" i="4"/>
  <c r="BC138" i="5" s="1"/>
  <c r="BD83" i="4"/>
  <c r="D84" i="4"/>
  <c r="E84" i="4"/>
  <c r="F84" i="4"/>
  <c r="G84" i="4"/>
  <c r="H84" i="4"/>
  <c r="I84" i="4"/>
  <c r="J84" i="4"/>
  <c r="K84" i="4"/>
  <c r="L84" i="4"/>
  <c r="M84" i="4"/>
  <c r="N84" i="4"/>
  <c r="N139" i="5" s="1"/>
  <c r="O84" i="4"/>
  <c r="P84" i="4"/>
  <c r="Q84" i="4"/>
  <c r="R84" i="4"/>
  <c r="S84" i="4"/>
  <c r="T84" i="4"/>
  <c r="U84" i="4"/>
  <c r="V84" i="4"/>
  <c r="W84" i="4"/>
  <c r="X84" i="4"/>
  <c r="Y84" i="4"/>
  <c r="Z84" i="4"/>
  <c r="Z139" i="5" s="1"/>
  <c r="AA84" i="4"/>
  <c r="AB84" i="4"/>
  <c r="AC84" i="4"/>
  <c r="AD84" i="4"/>
  <c r="AE84" i="4"/>
  <c r="AF84" i="4"/>
  <c r="AG84" i="4"/>
  <c r="AH84" i="4"/>
  <c r="AI84" i="4"/>
  <c r="AJ84" i="4"/>
  <c r="AK84" i="4"/>
  <c r="AL84" i="4"/>
  <c r="AL139" i="5" s="1"/>
  <c r="AM84" i="4"/>
  <c r="AN84" i="4"/>
  <c r="AO84" i="4"/>
  <c r="AP84" i="4"/>
  <c r="AQ84" i="4"/>
  <c r="AR84" i="4"/>
  <c r="AS84" i="4"/>
  <c r="AT84" i="4"/>
  <c r="AU84" i="4"/>
  <c r="AV84" i="4"/>
  <c r="AW84" i="4"/>
  <c r="AX84" i="4"/>
  <c r="AX139" i="5" s="1"/>
  <c r="AY84" i="4"/>
  <c r="AZ84" i="4"/>
  <c r="BA84" i="4"/>
  <c r="BB84" i="4"/>
  <c r="BC84" i="4"/>
  <c r="BD84" i="4"/>
  <c r="D85" i="4"/>
  <c r="E85" i="4"/>
  <c r="F85" i="4"/>
  <c r="G85" i="4"/>
  <c r="H85" i="4"/>
  <c r="I85" i="4"/>
  <c r="I140" i="5" s="1"/>
  <c r="J85" i="4"/>
  <c r="K85" i="4"/>
  <c r="L85" i="4"/>
  <c r="M85" i="4"/>
  <c r="N85" i="4"/>
  <c r="O85" i="4"/>
  <c r="P85" i="4"/>
  <c r="Q85" i="4"/>
  <c r="R85" i="4"/>
  <c r="S85" i="4"/>
  <c r="T85" i="4"/>
  <c r="U85" i="4"/>
  <c r="U140" i="5" s="1"/>
  <c r="V85" i="4"/>
  <c r="W85" i="4"/>
  <c r="X85" i="4"/>
  <c r="Y85" i="4"/>
  <c r="Z85" i="4"/>
  <c r="AA85" i="4"/>
  <c r="AB85" i="4"/>
  <c r="AC85" i="4"/>
  <c r="AD85" i="4"/>
  <c r="AE85" i="4"/>
  <c r="AF85" i="4"/>
  <c r="AG85" i="4"/>
  <c r="AG140" i="5" s="1"/>
  <c r="AH85" i="4"/>
  <c r="AI85" i="4"/>
  <c r="AJ85" i="4"/>
  <c r="AK85" i="4"/>
  <c r="AL85" i="4"/>
  <c r="AM85" i="4"/>
  <c r="AN85" i="4"/>
  <c r="AO85" i="4"/>
  <c r="AP85" i="4"/>
  <c r="AQ85" i="4"/>
  <c r="AR85" i="4"/>
  <c r="AS85" i="4"/>
  <c r="AS140" i="5" s="1"/>
  <c r="AT85" i="4"/>
  <c r="AU85" i="4"/>
  <c r="AV85" i="4"/>
  <c r="AW85" i="4"/>
  <c r="AX85" i="4"/>
  <c r="AY85" i="4"/>
  <c r="AZ85" i="4"/>
  <c r="BA85" i="4"/>
  <c r="BB85" i="4"/>
  <c r="BC85" i="4"/>
  <c r="BD85" i="4"/>
  <c r="D86" i="4"/>
  <c r="D141" i="5" s="1"/>
  <c r="E86" i="4"/>
  <c r="F86" i="4"/>
  <c r="G86" i="4"/>
  <c r="H86" i="4"/>
  <c r="I86" i="4"/>
  <c r="J86" i="4"/>
  <c r="K86" i="4"/>
  <c r="L86" i="4"/>
  <c r="M86" i="4"/>
  <c r="N86" i="4"/>
  <c r="O86" i="4"/>
  <c r="P86" i="4"/>
  <c r="P141" i="5" s="1"/>
  <c r="Q86" i="4"/>
  <c r="R86" i="4"/>
  <c r="S86" i="4"/>
  <c r="T86" i="4"/>
  <c r="U86" i="4"/>
  <c r="V86" i="4"/>
  <c r="W86" i="4"/>
  <c r="X86" i="4"/>
  <c r="Y86" i="4"/>
  <c r="Z86" i="4"/>
  <c r="AA86" i="4"/>
  <c r="AB86" i="4"/>
  <c r="AB141" i="5" s="1"/>
  <c r="AC86" i="4"/>
  <c r="AD86" i="4"/>
  <c r="AE86" i="4"/>
  <c r="AF86" i="4"/>
  <c r="AG86" i="4"/>
  <c r="AH86" i="4"/>
  <c r="AI86" i="4"/>
  <c r="AJ86" i="4"/>
  <c r="AK86" i="4"/>
  <c r="AL86" i="4"/>
  <c r="AM86" i="4"/>
  <c r="AN86" i="4"/>
  <c r="AN141" i="5" s="1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D87" i="4"/>
  <c r="E87" i="4"/>
  <c r="F87" i="4"/>
  <c r="G87" i="4"/>
  <c r="H87" i="4"/>
  <c r="I87" i="4"/>
  <c r="J87" i="4"/>
  <c r="K87" i="4"/>
  <c r="K142" i="5" s="1"/>
  <c r="L87" i="4"/>
  <c r="M87" i="4"/>
  <c r="N87" i="4"/>
  <c r="O87" i="4"/>
  <c r="P87" i="4"/>
  <c r="Q87" i="4"/>
  <c r="R87" i="4"/>
  <c r="S87" i="4"/>
  <c r="T87" i="4"/>
  <c r="U87" i="4"/>
  <c r="V87" i="4"/>
  <c r="W87" i="4"/>
  <c r="W142" i="5" s="1"/>
  <c r="X87" i="4"/>
  <c r="Y87" i="4"/>
  <c r="Z87" i="4"/>
  <c r="AA87" i="4"/>
  <c r="AB87" i="4"/>
  <c r="AC87" i="4"/>
  <c r="AD87" i="4"/>
  <c r="AE87" i="4"/>
  <c r="AF87" i="4"/>
  <c r="AG87" i="4"/>
  <c r="AH87" i="4"/>
  <c r="AI87" i="4"/>
  <c r="AI142" i="5" s="1"/>
  <c r="AJ87" i="4"/>
  <c r="AK87" i="4"/>
  <c r="AL87" i="4"/>
  <c r="AM87" i="4"/>
  <c r="AN87" i="4"/>
  <c r="AO87" i="4"/>
  <c r="AP87" i="4"/>
  <c r="AQ87" i="4"/>
  <c r="AR87" i="4"/>
  <c r="AS87" i="4"/>
  <c r="AT87" i="4"/>
  <c r="AU87" i="4"/>
  <c r="AU142" i="5" s="1"/>
  <c r="AV87" i="4"/>
  <c r="AW87" i="4"/>
  <c r="AX87" i="4"/>
  <c r="AY87" i="4"/>
  <c r="AZ87" i="4"/>
  <c r="BA87" i="4"/>
  <c r="BB87" i="4"/>
  <c r="BC87" i="4"/>
  <c r="BD87" i="4"/>
  <c r="D88" i="4"/>
  <c r="E88" i="4"/>
  <c r="F88" i="4"/>
  <c r="F143" i="5" s="1"/>
  <c r="G88" i="4"/>
  <c r="H88" i="4"/>
  <c r="I88" i="4"/>
  <c r="J88" i="4"/>
  <c r="K88" i="4"/>
  <c r="L88" i="4"/>
  <c r="M88" i="4"/>
  <c r="N88" i="4"/>
  <c r="O88" i="4"/>
  <c r="P88" i="4"/>
  <c r="Q88" i="4"/>
  <c r="R88" i="4"/>
  <c r="R143" i="5" s="1"/>
  <c r="S88" i="4"/>
  <c r="T88" i="4"/>
  <c r="U88" i="4"/>
  <c r="V88" i="4"/>
  <c r="W88" i="4"/>
  <c r="X88" i="4"/>
  <c r="Y88" i="4"/>
  <c r="Z88" i="4"/>
  <c r="AA88" i="4"/>
  <c r="AB88" i="4"/>
  <c r="AC88" i="4"/>
  <c r="AD88" i="4"/>
  <c r="AD143" i="5" s="1"/>
  <c r="AE88" i="4"/>
  <c r="AF88" i="4"/>
  <c r="AG88" i="4"/>
  <c r="AH88" i="4"/>
  <c r="AI88" i="4"/>
  <c r="AJ88" i="4"/>
  <c r="AK88" i="4"/>
  <c r="AL88" i="4"/>
  <c r="AM88" i="4"/>
  <c r="AN88" i="4"/>
  <c r="AO88" i="4"/>
  <c r="AP88" i="4"/>
  <c r="AP143" i="5" s="1"/>
  <c r="AQ88" i="4"/>
  <c r="AR88" i="4"/>
  <c r="AS88" i="4"/>
  <c r="AT88" i="4"/>
  <c r="AU88" i="4"/>
  <c r="AV88" i="4"/>
  <c r="AW88" i="4"/>
  <c r="AX88" i="4"/>
  <c r="AY88" i="4"/>
  <c r="AZ88" i="4"/>
  <c r="BA88" i="4"/>
  <c r="BB88" i="4"/>
  <c r="BB143" i="5" s="1"/>
  <c r="BC88" i="4"/>
  <c r="BD88" i="4"/>
  <c r="D89" i="4"/>
  <c r="E89" i="4"/>
  <c r="F89" i="4"/>
  <c r="G89" i="4"/>
  <c r="H89" i="4"/>
  <c r="I89" i="4"/>
  <c r="J89" i="4"/>
  <c r="K89" i="4"/>
  <c r="L89" i="4"/>
  <c r="M89" i="4"/>
  <c r="M144" i="5" s="1"/>
  <c r="N89" i="4"/>
  <c r="O89" i="4"/>
  <c r="P89" i="4"/>
  <c r="Q89" i="4"/>
  <c r="R89" i="4"/>
  <c r="S89" i="4"/>
  <c r="T89" i="4"/>
  <c r="U89" i="4"/>
  <c r="V89" i="4"/>
  <c r="W89" i="4"/>
  <c r="X89" i="4"/>
  <c r="Y89" i="4"/>
  <c r="Y144" i="5" s="1"/>
  <c r="Z89" i="4"/>
  <c r="AA89" i="4"/>
  <c r="AB89" i="4"/>
  <c r="AC89" i="4"/>
  <c r="AD89" i="4"/>
  <c r="AE89" i="4"/>
  <c r="AF89" i="4"/>
  <c r="AG89" i="4"/>
  <c r="AH89" i="4"/>
  <c r="AI89" i="4"/>
  <c r="AJ89" i="4"/>
  <c r="AK89" i="4"/>
  <c r="AK144" i="5" s="1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D90" i="4"/>
  <c r="E90" i="4"/>
  <c r="F90" i="4"/>
  <c r="G90" i="4"/>
  <c r="H90" i="4"/>
  <c r="H145" i="5" s="1"/>
  <c r="I90" i="4"/>
  <c r="J90" i="4"/>
  <c r="K90" i="4"/>
  <c r="L90" i="4"/>
  <c r="M90" i="4"/>
  <c r="N90" i="4"/>
  <c r="O90" i="4"/>
  <c r="P90" i="4"/>
  <c r="Q90" i="4"/>
  <c r="R90" i="4"/>
  <c r="S90" i="4"/>
  <c r="T90" i="4"/>
  <c r="T145" i="5" s="1"/>
  <c r="U90" i="4"/>
  <c r="V90" i="4"/>
  <c r="W90" i="4"/>
  <c r="X90" i="4"/>
  <c r="Y90" i="4"/>
  <c r="Z90" i="4"/>
  <c r="AA90" i="4"/>
  <c r="AB90" i="4"/>
  <c r="AC90" i="4"/>
  <c r="AD90" i="4"/>
  <c r="AE90" i="4"/>
  <c r="AF90" i="4"/>
  <c r="AF145" i="5" s="1"/>
  <c r="AG90" i="4"/>
  <c r="AH90" i="4"/>
  <c r="AI90" i="4"/>
  <c r="AJ90" i="4"/>
  <c r="AK90" i="4"/>
  <c r="AL90" i="4"/>
  <c r="AM90" i="4"/>
  <c r="AN90" i="4"/>
  <c r="AO90" i="4"/>
  <c r="AP90" i="4"/>
  <c r="AQ90" i="4"/>
  <c r="AR90" i="4"/>
  <c r="AR145" i="5" s="1"/>
  <c r="AS90" i="4"/>
  <c r="AT90" i="4"/>
  <c r="AU90" i="4"/>
  <c r="AV90" i="4"/>
  <c r="AW90" i="4"/>
  <c r="AX90" i="4"/>
  <c r="AY90" i="4"/>
  <c r="AZ90" i="4"/>
  <c r="BA90" i="4"/>
  <c r="BB90" i="4"/>
  <c r="BC90" i="4"/>
  <c r="BD90" i="4"/>
  <c r="BD145" i="5" s="1"/>
  <c r="D91" i="4"/>
  <c r="E91" i="4"/>
  <c r="F91" i="4"/>
  <c r="G91" i="4"/>
  <c r="H91" i="4"/>
  <c r="I91" i="4"/>
  <c r="J91" i="4"/>
  <c r="K91" i="4"/>
  <c r="L91" i="4"/>
  <c r="M91" i="4"/>
  <c r="N91" i="4"/>
  <c r="O91" i="4"/>
  <c r="O146" i="5" s="1"/>
  <c r="P91" i="4"/>
  <c r="Q91" i="4"/>
  <c r="R91" i="4"/>
  <c r="S91" i="4"/>
  <c r="T91" i="4"/>
  <c r="U91" i="4"/>
  <c r="V91" i="4"/>
  <c r="W91" i="4"/>
  <c r="X91" i="4"/>
  <c r="Y91" i="4"/>
  <c r="Z91" i="4"/>
  <c r="AA91" i="4"/>
  <c r="AA146" i="5" s="1"/>
  <c r="AB91" i="4"/>
  <c r="AC91" i="4"/>
  <c r="AD91" i="4"/>
  <c r="AE91" i="4"/>
  <c r="AF91" i="4"/>
  <c r="AG91" i="4"/>
  <c r="AH91" i="4"/>
  <c r="AI91" i="4"/>
  <c r="AJ91" i="4"/>
  <c r="AK91" i="4"/>
  <c r="AL91" i="4"/>
  <c r="AM91" i="4"/>
  <c r="AM146" i="5" s="1"/>
  <c r="AN91" i="4"/>
  <c r="AO91" i="4"/>
  <c r="AP91" i="4"/>
  <c r="AQ91" i="4"/>
  <c r="AR91" i="4"/>
  <c r="AS91" i="4"/>
  <c r="AT91" i="4"/>
  <c r="AU91" i="4"/>
  <c r="AV91" i="4"/>
  <c r="AW91" i="4"/>
  <c r="AX91" i="4"/>
  <c r="AY91" i="4"/>
  <c r="AY146" i="5" s="1"/>
  <c r="AZ91" i="4"/>
  <c r="BA91" i="4"/>
  <c r="BB91" i="4"/>
  <c r="BC91" i="4"/>
  <c r="BD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V147" i="5" s="1"/>
  <c r="W92" i="4"/>
  <c r="X92" i="4"/>
  <c r="Y92" i="4"/>
  <c r="Z92" i="4"/>
  <c r="AA92" i="4"/>
  <c r="AB92" i="4"/>
  <c r="AC92" i="4"/>
  <c r="AD92" i="4"/>
  <c r="AE92" i="4"/>
  <c r="AF92" i="4"/>
  <c r="AG92" i="4"/>
  <c r="AH92" i="4"/>
  <c r="AH147" i="5" s="1"/>
  <c r="AI92" i="4"/>
  <c r="AJ92" i="4"/>
  <c r="AK92" i="4"/>
  <c r="AL92" i="4"/>
  <c r="AM92" i="4"/>
  <c r="AN92" i="4"/>
  <c r="AO92" i="4"/>
  <c r="AP92" i="4"/>
  <c r="AQ92" i="4"/>
  <c r="AR92" i="4"/>
  <c r="AS92" i="4"/>
  <c r="AT92" i="4"/>
  <c r="AT147" i="5" s="1"/>
  <c r="AU92" i="4"/>
  <c r="AV92" i="4"/>
  <c r="AW92" i="4"/>
  <c r="AX92" i="4"/>
  <c r="AY92" i="4"/>
  <c r="AZ92" i="4"/>
  <c r="BA92" i="4"/>
  <c r="BB92" i="4"/>
  <c r="BC92" i="4"/>
  <c r="BD92" i="4"/>
  <c r="D93" i="4"/>
  <c r="E93" i="4"/>
  <c r="E148" i="5" s="1"/>
  <c r="F93" i="4"/>
  <c r="G93" i="4"/>
  <c r="H93" i="4"/>
  <c r="I93" i="4"/>
  <c r="J93" i="4"/>
  <c r="K93" i="4"/>
  <c r="L93" i="4"/>
  <c r="M93" i="4"/>
  <c r="N93" i="4"/>
  <c r="O93" i="4"/>
  <c r="P93" i="4"/>
  <c r="Q93" i="4"/>
  <c r="Q148" i="5" s="1"/>
  <c r="R93" i="4"/>
  <c r="S93" i="4"/>
  <c r="T93" i="4"/>
  <c r="U93" i="4"/>
  <c r="V93" i="4"/>
  <c r="W93" i="4"/>
  <c r="X93" i="4"/>
  <c r="Y93" i="4"/>
  <c r="Z93" i="4"/>
  <c r="AA93" i="4"/>
  <c r="AB93" i="4"/>
  <c r="AC93" i="4"/>
  <c r="AC148" i="5" s="1"/>
  <c r="AD93" i="4"/>
  <c r="AE93" i="4"/>
  <c r="AF93" i="4"/>
  <c r="AG93" i="4"/>
  <c r="AH93" i="4"/>
  <c r="AI93" i="4"/>
  <c r="AJ93" i="4"/>
  <c r="AK93" i="4"/>
  <c r="AL93" i="4"/>
  <c r="AM93" i="4"/>
  <c r="AN93" i="4"/>
  <c r="AO93" i="4"/>
  <c r="AO148" i="5" s="1"/>
  <c r="AP93" i="4"/>
  <c r="AQ93" i="4"/>
  <c r="AR93" i="4"/>
  <c r="AS93" i="4"/>
  <c r="AT93" i="4"/>
  <c r="AU93" i="4"/>
  <c r="AV93" i="4"/>
  <c r="AW93" i="4"/>
  <c r="AX93" i="4"/>
  <c r="AY93" i="4"/>
  <c r="AZ93" i="4"/>
  <c r="BA93" i="4"/>
  <c r="BA148" i="5" s="1"/>
  <c r="BB93" i="4"/>
  <c r="BC93" i="4"/>
  <c r="BD93" i="4"/>
  <c r="D94" i="4"/>
  <c r="E94" i="4"/>
  <c r="F94" i="4"/>
  <c r="G94" i="4"/>
  <c r="H94" i="4"/>
  <c r="I94" i="4"/>
  <c r="J94" i="4"/>
  <c r="K94" i="4"/>
  <c r="L94" i="4"/>
  <c r="L149" i="5" s="1"/>
  <c r="M94" i="4"/>
  <c r="N94" i="4"/>
  <c r="O94" i="4"/>
  <c r="P94" i="4"/>
  <c r="Q94" i="4"/>
  <c r="R94" i="4"/>
  <c r="S94" i="4"/>
  <c r="T94" i="4"/>
  <c r="U94" i="4"/>
  <c r="V94" i="4"/>
  <c r="W94" i="4"/>
  <c r="X94" i="4"/>
  <c r="X149" i="5" s="1"/>
  <c r="Y94" i="4"/>
  <c r="Z94" i="4"/>
  <c r="AA94" i="4"/>
  <c r="AB94" i="4"/>
  <c r="AC94" i="4"/>
  <c r="AD94" i="4"/>
  <c r="AE94" i="4"/>
  <c r="AF94" i="4"/>
  <c r="AG94" i="4"/>
  <c r="AH94" i="4"/>
  <c r="AI94" i="4"/>
  <c r="AJ94" i="4"/>
  <c r="AJ149" i="5" s="1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D95" i="4"/>
  <c r="E95" i="4"/>
  <c r="F95" i="4"/>
  <c r="G95" i="4"/>
  <c r="G150" i="5" s="1"/>
  <c r="H95" i="4"/>
  <c r="I95" i="4"/>
  <c r="J95" i="4"/>
  <c r="K95" i="4"/>
  <c r="L95" i="4"/>
  <c r="M95" i="4"/>
  <c r="N95" i="4"/>
  <c r="O95" i="4"/>
  <c r="P95" i="4"/>
  <c r="Q95" i="4"/>
  <c r="R95" i="4"/>
  <c r="S95" i="4"/>
  <c r="S150" i="5" s="1"/>
  <c r="T95" i="4"/>
  <c r="U95" i="4"/>
  <c r="V95" i="4"/>
  <c r="W95" i="4"/>
  <c r="X95" i="4"/>
  <c r="Y95" i="4"/>
  <c r="Z95" i="4"/>
  <c r="AA95" i="4"/>
  <c r="AB95" i="4"/>
  <c r="AC95" i="4"/>
  <c r="AD95" i="4"/>
  <c r="AE95" i="4"/>
  <c r="AE150" i="5" s="1"/>
  <c r="AF95" i="4"/>
  <c r="AG95" i="4"/>
  <c r="AH95" i="4"/>
  <c r="AI95" i="4"/>
  <c r="AJ95" i="4"/>
  <c r="AK95" i="4"/>
  <c r="AL95" i="4"/>
  <c r="AM95" i="4"/>
  <c r="AN95" i="4"/>
  <c r="AO95" i="4"/>
  <c r="AP95" i="4"/>
  <c r="AQ95" i="4"/>
  <c r="AQ150" i="5" s="1"/>
  <c r="AR95" i="4"/>
  <c r="AS95" i="4"/>
  <c r="AT95" i="4"/>
  <c r="AU95" i="4"/>
  <c r="AV95" i="4"/>
  <c r="AW95" i="4"/>
  <c r="AX95" i="4"/>
  <c r="AY95" i="4"/>
  <c r="AZ95" i="4"/>
  <c r="BA95" i="4"/>
  <c r="BB95" i="4"/>
  <c r="BC95" i="4"/>
  <c r="BC150" i="5" s="1"/>
  <c r="BD95" i="4"/>
  <c r="D96" i="4"/>
  <c r="E96" i="4"/>
  <c r="F96" i="4"/>
  <c r="G96" i="4"/>
  <c r="H96" i="4"/>
  <c r="I96" i="4"/>
  <c r="J96" i="4"/>
  <c r="K96" i="4"/>
  <c r="L96" i="4"/>
  <c r="M96" i="4"/>
  <c r="N96" i="4"/>
  <c r="N151" i="5" s="1"/>
  <c r="O96" i="4"/>
  <c r="P96" i="4"/>
  <c r="Q96" i="4"/>
  <c r="R96" i="4"/>
  <c r="S96" i="4"/>
  <c r="T96" i="4"/>
  <c r="U96" i="4"/>
  <c r="V96" i="4"/>
  <c r="W96" i="4"/>
  <c r="X96" i="4"/>
  <c r="Y96" i="4"/>
  <c r="Z96" i="4"/>
  <c r="Z151" i="5" s="1"/>
  <c r="AA96" i="4"/>
  <c r="AB96" i="4"/>
  <c r="AC96" i="4"/>
  <c r="AD96" i="4"/>
  <c r="AE96" i="4"/>
  <c r="AF96" i="4"/>
  <c r="AG96" i="4"/>
  <c r="AH96" i="4"/>
  <c r="AI96" i="4"/>
  <c r="AJ96" i="4"/>
  <c r="AK96" i="4"/>
  <c r="AL96" i="4"/>
  <c r="AL151" i="5" s="1"/>
  <c r="AM96" i="4"/>
  <c r="AN96" i="4"/>
  <c r="AO96" i="4"/>
  <c r="AP96" i="4"/>
  <c r="AQ96" i="4"/>
  <c r="AR96" i="4"/>
  <c r="AS96" i="4"/>
  <c r="AT96" i="4"/>
  <c r="AU96" i="4"/>
  <c r="AV96" i="4"/>
  <c r="AW96" i="4"/>
  <c r="AX96" i="4"/>
  <c r="AX151" i="5" s="1"/>
  <c r="AY96" i="4"/>
  <c r="AZ96" i="4"/>
  <c r="BA96" i="4"/>
  <c r="BB96" i="4"/>
  <c r="BC96" i="4"/>
  <c r="BD96" i="4"/>
  <c r="D97" i="4"/>
  <c r="E97" i="4"/>
  <c r="F97" i="4"/>
  <c r="G97" i="4"/>
  <c r="H97" i="4"/>
  <c r="I97" i="4"/>
  <c r="I152" i="5" s="1"/>
  <c r="J97" i="4"/>
  <c r="K97" i="4"/>
  <c r="L97" i="4"/>
  <c r="M97" i="4"/>
  <c r="N97" i="4"/>
  <c r="O97" i="4"/>
  <c r="P97" i="4"/>
  <c r="Q97" i="4"/>
  <c r="R97" i="4"/>
  <c r="S97" i="4"/>
  <c r="T97" i="4"/>
  <c r="U97" i="4"/>
  <c r="U152" i="5" s="1"/>
  <c r="V97" i="4"/>
  <c r="W97" i="4"/>
  <c r="X97" i="4"/>
  <c r="Y97" i="4"/>
  <c r="Z97" i="4"/>
  <c r="AA97" i="4"/>
  <c r="AB97" i="4"/>
  <c r="AC97" i="4"/>
  <c r="AD97" i="4"/>
  <c r="AE97" i="4"/>
  <c r="AF97" i="4"/>
  <c r="AG97" i="4"/>
  <c r="AG152" i="5" s="1"/>
  <c r="AH97" i="4"/>
  <c r="AI97" i="4"/>
  <c r="AJ97" i="4"/>
  <c r="AK97" i="4"/>
  <c r="AL97" i="4"/>
  <c r="AM97" i="4"/>
  <c r="AN97" i="4"/>
  <c r="AO97" i="4"/>
  <c r="AP97" i="4"/>
  <c r="AQ97" i="4"/>
  <c r="AR97" i="4"/>
  <c r="AS97" i="4"/>
  <c r="AS152" i="5" s="1"/>
  <c r="AT97" i="4"/>
  <c r="AU97" i="4"/>
  <c r="AV97" i="4"/>
  <c r="AW97" i="4"/>
  <c r="AX97" i="4"/>
  <c r="AY97" i="4"/>
  <c r="AZ97" i="4"/>
  <c r="BA97" i="4"/>
  <c r="BB97" i="4"/>
  <c r="BC97" i="4"/>
  <c r="BD97" i="4"/>
  <c r="D98" i="4"/>
  <c r="D153" i="5" s="1"/>
  <c r="E98" i="4"/>
  <c r="F98" i="4"/>
  <c r="G98" i="4"/>
  <c r="H98" i="4"/>
  <c r="I98" i="4"/>
  <c r="J98" i="4"/>
  <c r="K98" i="4"/>
  <c r="L98" i="4"/>
  <c r="M98" i="4"/>
  <c r="N98" i="4"/>
  <c r="O98" i="4"/>
  <c r="P98" i="4"/>
  <c r="P153" i="5" s="1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N153" i="5" s="1"/>
  <c r="AO98" i="4"/>
  <c r="AP98" i="4"/>
  <c r="AQ98" i="4"/>
  <c r="AR98" i="4"/>
  <c r="AS98" i="4"/>
  <c r="AT98" i="4"/>
  <c r="AU98" i="4"/>
  <c r="AV98" i="4"/>
  <c r="AW98" i="4"/>
  <c r="AX98" i="4"/>
  <c r="AY98" i="4"/>
  <c r="AZ98" i="4"/>
  <c r="AZ153" i="5" s="1"/>
  <c r="BA98" i="4"/>
  <c r="BB98" i="4"/>
  <c r="BC98" i="4"/>
  <c r="BD98" i="4"/>
  <c r="D99" i="4"/>
  <c r="E99" i="4"/>
  <c r="F99" i="4"/>
  <c r="G99" i="4"/>
  <c r="H99" i="4"/>
  <c r="I99" i="4"/>
  <c r="J99" i="4"/>
  <c r="K99" i="4"/>
  <c r="K154" i="5" s="1"/>
  <c r="L99" i="4"/>
  <c r="M99" i="4"/>
  <c r="N99" i="4"/>
  <c r="O99" i="4"/>
  <c r="P99" i="4"/>
  <c r="Q99" i="4"/>
  <c r="R99" i="4"/>
  <c r="S99" i="4"/>
  <c r="T99" i="4"/>
  <c r="U99" i="4"/>
  <c r="V99" i="4"/>
  <c r="W99" i="4"/>
  <c r="W154" i="5" s="1"/>
  <c r="X99" i="4"/>
  <c r="Y99" i="4"/>
  <c r="Z99" i="4"/>
  <c r="AA99" i="4"/>
  <c r="AB99" i="4"/>
  <c r="AC99" i="4"/>
  <c r="AD99" i="4"/>
  <c r="AE99" i="4"/>
  <c r="AF99" i="4"/>
  <c r="AG99" i="4"/>
  <c r="AH99" i="4"/>
  <c r="AI99" i="4"/>
  <c r="AI154" i="5" s="1"/>
  <c r="AJ99" i="4"/>
  <c r="AK99" i="4"/>
  <c r="AL99" i="4"/>
  <c r="AM99" i="4"/>
  <c r="AN99" i="4"/>
  <c r="AO99" i="4"/>
  <c r="AP99" i="4"/>
  <c r="AQ99" i="4"/>
  <c r="AR99" i="4"/>
  <c r="AS99" i="4"/>
  <c r="AT99" i="4"/>
  <c r="AU99" i="4"/>
  <c r="AU154" i="5" s="1"/>
  <c r="AV99" i="4"/>
  <c r="AW99" i="4"/>
  <c r="AX99" i="4"/>
  <c r="AY99" i="4"/>
  <c r="AZ99" i="4"/>
  <c r="BA99" i="4"/>
  <c r="BB99" i="4"/>
  <c r="BC99" i="4"/>
  <c r="BD99" i="4"/>
  <c r="D100" i="4"/>
  <c r="E100" i="4"/>
  <c r="F100" i="4"/>
  <c r="F155" i="5" s="1"/>
  <c r="G100" i="4"/>
  <c r="H100" i="4"/>
  <c r="I100" i="4"/>
  <c r="J100" i="4"/>
  <c r="K100" i="4"/>
  <c r="L100" i="4"/>
  <c r="M100" i="4"/>
  <c r="N100" i="4"/>
  <c r="O100" i="4"/>
  <c r="P100" i="4"/>
  <c r="Q100" i="4"/>
  <c r="R100" i="4"/>
  <c r="R155" i="5" s="1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D155" i="5" s="1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P155" i="5" s="1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B155" i="5" s="1"/>
  <c r="BC100" i="4"/>
  <c r="BD100" i="4"/>
  <c r="D101" i="4"/>
  <c r="E101" i="4"/>
  <c r="F101" i="4"/>
  <c r="G101" i="4"/>
  <c r="H101" i="4"/>
  <c r="I101" i="4"/>
  <c r="J101" i="4"/>
  <c r="K101" i="4"/>
  <c r="L101" i="4"/>
  <c r="M101" i="4"/>
  <c r="M156" i="5" s="1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K156" i="5" s="1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W156" i="5" s="1"/>
  <c r="AX101" i="4"/>
  <c r="AY101" i="4"/>
  <c r="AZ101" i="4"/>
  <c r="BA101" i="4"/>
  <c r="BB101" i="4"/>
  <c r="BC101" i="4"/>
  <c r="BD101" i="4"/>
  <c r="D102" i="4"/>
  <c r="E102" i="4"/>
  <c r="F102" i="4"/>
  <c r="G102" i="4"/>
  <c r="H102" i="4"/>
  <c r="H157" i="5" s="1"/>
  <c r="I102" i="4"/>
  <c r="J102" i="4"/>
  <c r="K102" i="4"/>
  <c r="L102" i="4"/>
  <c r="M102" i="4"/>
  <c r="N102" i="4"/>
  <c r="O102" i="4"/>
  <c r="P102" i="4"/>
  <c r="Q102" i="4"/>
  <c r="R102" i="4"/>
  <c r="S102" i="4"/>
  <c r="T102" i="4"/>
  <c r="T157" i="5" s="1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F157" i="5" s="1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R157" i="5" s="1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D157" i="5" s="1"/>
  <c r="D103" i="4"/>
  <c r="E103" i="4"/>
  <c r="F103" i="4"/>
  <c r="G103" i="4"/>
  <c r="H103" i="4"/>
  <c r="I103" i="4"/>
  <c r="J103" i="4"/>
  <c r="K103" i="4"/>
  <c r="L103" i="4"/>
  <c r="M103" i="4"/>
  <c r="N103" i="4"/>
  <c r="O103" i="4"/>
  <c r="O158" i="5" s="1"/>
  <c r="P103" i="4"/>
  <c r="Q103" i="4"/>
  <c r="R103" i="4"/>
  <c r="S103" i="4"/>
  <c r="T103" i="4"/>
  <c r="U103" i="4"/>
  <c r="V103" i="4"/>
  <c r="W103" i="4"/>
  <c r="X103" i="4"/>
  <c r="Y103" i="4"/>
  <c r="Z103" i="4"/>
  <c r="AA103" i="4"/>
  <c r="AA158" i="5" s="1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Y158" i="5" s="1"/>
  <c r="AZ103" i="4"/>
  <c r="BA103" i="4"/>
  <c r="BB103" i="4"/>
  <c r="BC103" i="4"/>
  <c r="BD103" i="4"/>
  <c r="D104" i="4"/>
  <c r="E104" i="4"/>
  <c r="F104" i="4"/>
  <c r="G104" i="4"/>
  <c r="H104" i="4"/>
  <c r="I104" i="4"/>
  <c r="J104" i="4"/>
  <c r="J159" i="5" s="1"/>
  <c r="K104" i="4"/>
  <c r="L104" i="4"/>
  <c r="M104" i="4"/>
  <c r="N104" i="4"/>
  <c r="O104" i="4"/>
  <c r="P104" i="4"/>
  <c r="Q104" i="4"/>
  <c r="R104" i="4"/>
  <c r="S104" i="4"/>
  <c r="T104" i="4"/>
  <c r="U104" i="4"/>
  <c r="V104" i="4"/>
  <c r="V159" i="5" s="1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H159" i="5" s="1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T159" i="5" s="1"/>
  <c r="AU104" i="4"/>
  <c r="AV104" i="4"/>
  <c r="AW104" i="4"/>
  <c r="AX104" i="4"/>
  <c r="AY104" i="4"/>
  <c r="AZ104" i="4"/>
  <c r="BA104" i="4"/>
  <c r="BB104" i="4"/>
  <c r="BC104" i="4"/>
  <c r="BD104" i="4"/>
  <c r="D105" i="4"/>
  <c r="E105" i="4"/>
  <c r="E160" i="5" s="1"/>
  <c r="F105" i="4"/>
  <c r="G105" i="4"/>
  <c r="H105" i="4"/>
  <c r="I105" i="4"/>
  <c r="J105" i="4"/>
  <c r="K105" i="4"/>
  <c r="L105" i="4"/>
  <c r="M105" i="4"/>
  <c r="N105" i="4"/>
  <c r="O105" i="4"/>
  <c r="P105" i="4"/>
  <c r="Q105" i="4"/>
  <c r="Q160" i="5" s="1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C160" i="5" s="1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O160" i="5" s="1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A160" i="5" s="1"/>
  <c r="BB105" i="4"/>
  <c r="BC105" i="4"/>
  <c r="BD105" i="4"/>
  <c r="D106" i="4"/>
  <c r="E106" i="4"/>
  <c r="F106" i="4"/>
  <c r="G106" i="4"/>
  <c r="H106" i="4"/>
  <c r="I106" i="4"/>
  <c r="J106" i="4"/>
  <c r="K106" i="4"/>
  <c r="L106" i="4"/>
  <c r="L161" i="5" s="1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J161" i="5" s="1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V161" i="5" s="1"/>
  <c r="AW106" i="4"/>
  <c r="AX106" i="4"/>
  <c r="AY106" i="4"/>
  <c r="AZ106" i="4"/>
  <c r="BA106" i="4"/>
  <c r="BB106" i="4"/>
  <c r="BC106" i="4"/>
  <c r="BD106" i="4"/>
  <c r="D107" i="4"/>
  <c r="E107" i="4"/>
  <c r="F107" i="4"/>
  <c r="G107" i="4"/>
  <c r="G162" i="5" s="1"/>
  <c r="H107" i="4"/>
  <c r="I107" i="4"/>
  <c r="J107" i="4"/>
  <c r="K107" i="4"/>
  <c r="L107" i="4"/>
  <c r="M107" i="4"/>
  <c r="M162" i="5" s="1"/>
  <c r="N107" i="4"/>
  <c r="O107" i="4"/>
  <c r="P107" i="4"/>
  <c r="Q107" i="4"/>
  <c r="R107" i="4"/>
  <c r="S107" i="4"/>
  <c r="S162" i="5" s="1"/>
  <c r="T107" i="4"/>
  <c r="U107" i="4"/>
  <c r="V107" i="4"/>
  <c r="W107" i="4"/>
  <c r="X107" i="4"/>
  <c r="Y107" i="4"/>
  <c r="Y162" i="5" s="1"/>
  <c r="Z107" i="4"/>
  <c r="AA107" i="4"/>
  <c r="AB107" i="4"/>
  <c r="AC107" i="4"/>
  <c r="AD107" i="4"/>
  <c r="AE107" i="4"/>
  <c r="AE162" i="5" s="1"/>
  <c r="AF107" i="4"/>
  <c r="AG107" i="4"/>
  <c r="AH107" i="4"/>
  <c r="AI107" i="4"/>
  <c r="AJ107" i="4"/>
  <c r="AK107" i="4"/>
  <c r="AK162" i="5" s="1"/>
  <c r="AL107" i="4"/>
  <c r="AM107" i="4"/>
  <c r="AN107" i="4"/>
  <c r="AO107" i="4"/>
  <c r="AP107" i="4"/>
  <c r="AQ107" i="4"/>
  <c r="AQ162" i="5" s="1"/>
  <c r="AR107" i="4"/>
  <c r="AS107" i="4"/>
  <c r="AT107" i="4"/>
  <c r="AU107" i="4"/>
  <c r="AV107" i="4"/>
  <c r="AW107" i="4"/>
  <c r="AW162" i="5" s="1"/>
  <c r="AX107" i="4"/>
  <c r="AY107" i="4"/>
  <c r="AZ107" i="4"/>
  <c r="BA107" i="4"/>
  <c r="BB107" i="4"/>
  <c r="BC107" i="4"/>
  <c r="BC162" i="5" s="1"/>
  <c r="BD107" i="4"/>
  <c r="D108" i="4"/>
  <c r="E108" i="4"/>
  <c r="F108" i="4"/>
  <c r="G108" i="4"/>
  <c r="H108" i="4"/>
  <c r="I108" i="4"/>
  <c r="J108" i="4"/>
  <c r="K108" i="4"/>
  <c r="L108" i="4"/>
  <c r="M108" i="4"/>
  <c r="N108" i="4"/>
  <c r="N163" i="5" s="1"/>
  <c r="O108" i="4"/>
  <c r="P108" i="4"/>
  <c r="Q108" i="4"/>
  <c r="R108" i="4"/>
  <c r="S108" i="4"/>
  <c r="T108" i="4"/>
  <c r="U108" i="4"/>
  <c r="V108" i="4"/>
  <c r="W108" i="4"/>
  <c r="X108" i="4"/>
  <c r="Y108" i="4"/>
  <c r="Z108" i="4"/>
  <c r="Z163" i="5" s="1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L163" i="5" s="1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X163" i="5" s="1"/>
  <c r="AY108" i="4"/>
  <c r="AZ108" i="4"/>
  <c r="BA108" i="4"/>
  <c r="BB108" i="4"/>
  <c r="BC108" i="4"/>
  <c r="BD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P165" i="5" s="1"/>
  <c r="Q110" i="4"/>
  <c r="R110" i="4"/>
  <c r="S110" i="4"/>
  <c r="T110" i="4"/>
  <c r="U110" i="4"/>
  <c r="V110" i="4"/>
  <c r="W110" i="4"/>
  <c r="X110" i="4"/>
  <c r="Y110" i="4"/>
  <c r="Z110" i="4"/>
  <c r="AA110" i="4"/>
  <c r="AB110" i="4"/>
  <c r="AB165" i="5" s="1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N165" i="5" s="1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AZ165" i="5" s="1"/>
  <c r="BA110" i="4"/>
  <c r="BB110" i="4"/>
  <c r="BC110" i="4"/>
  <c r="BD110" i="4"/>
  <c r="D111" i="4"/>
  <c r="E111" i="4"/>
  <c r="F111" i="4"/>
  <c r="G111" i="4"/>
  <c r="H111" i="4"/>
  <c r="I111" i="4"/>
  <c r="J111" i="4"/>
  <c r="K111" i="4"/>
  <c r="K166" i="5" s="1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Y166" i="5" s="1"/>
  <c r="Z111" i="4"/>
  <c r="AA111" i="4"/>
  <c r="AB111" i="4"/>
  <c r="AC111" i="4"/>
  <c r="AD111" i="4"/>
  <c r="AE111" i="4"/>
  <c r="AF111" i="4"/>
  <c r="AG111" i="4"/>
  <c r="AH111" i="4"/>
  <c r="AI111" i="4"/>
  <c r="AI166" i="5" s="1"/>
  <c r="AJ111" i="4"/>
  <c r="AK111" i="4"/>
  <c r="AK166" i="5" s="1"/>
  <c r="AL111" i="4"/>
  <c r="AM111" i="4"/>
  <c r="AN111" i="4"/>
  <c r="AO111" i="4"/>
  <c r="AP111" i="4"/>
  <c r="AQ111" i="4"/>
  <c r="AR111" i="4"/>
  <c r="AS111" i="4"/>
  <c r="AT111" i="4"/>
  <c r="AU111" i="4"/>
  <c r="AU166" i="5" s="1"/>
  <c r="AV111" i="4"/>
  <c r="AW111" i="4"/>
  <c r="AX111" i="4"/>
  <c r="AY111" i="4"/>
  <c r="AZ111" i="4"/>
  <c r="BA111" i="4"/>
  <c r="BB111" i="4"/>
  <c r="BC111" i="4"/>
  <c r="BD111" i="4"/>
  <c r="C59" i="4"/>
  <c r="M114" i="5"/>
  <c r="Y114" i="5"/>
  <c r="AK114" i="5"/>
  <c r="AW114" i="5"/>
  <c r="C60" i="4"/>
  <c r="G115" i="5"/>
  <c r="S115" i="5"/>
  <c r="AE115" i="5"/>
  <c r="AQ115" i="5"/>
  <c r="BC115" i="5"/>
  <c r="C61" i="4"/>
  <c r="M116" i="5"/>
  <c r="C62" i="4"/>
  <c r="G117" i="5"/>
  <c r="S117" i="5"/>
  <c r="AE117" i="5"/>
  <c r="AQ117" i="5"/>
  <c r="BC117" i="5"/>
  <c r="C63" i="4"/>
  <c r="M118" i="5"/>
  <c r="Y118" i="5"/>
  <c r="AK118" i="5"/>
  <c r="AW118" i="5"/>
  <c r="C64" i="4"/>
  <c r="G119" i="5"/>
  <c r="S119" i="5"/>
  <c r="AE119" i="5"/>
  <c r="AQ119" i="5"/>
  <c r="BC119" i="5"/>
  <c r="C65" i="4"/>
  <c r="Y120" i="5"/>
  <c r="C66" i="4"/>
  <c r="G121" i="5"/>
  <c r="S121" i="5"/>
  <c r="AE121" i="5"/>
  <c r="AQ121" i="5"/>
  <c r="BC121" i="5"/>
  <c r="C67" i="4"/>
  <c r="M122" i="5"/>
  <c r="Y122" i="5"/>
  <c r="AK122" i="5"/>
  <c r="AW122" i="5"/>
  <c r="C68" i="4"/>
  <c r="G123" i="5"/>
  <c r="S123" i="5"/>
  <c r="AE123" i="5"/>
  <c r="AQ123" i="5"/>
  <c r="BC123" i="5"/>
  <c r="C69" i="4"/>
  <c r="M124" i="5"/>
  <c r="Y124" i="5"/>
  <c r="AK124" i="5"/>
  <c r="AW124" i="5"/>
  <c r="C70" i="4"/>
  <c r="G125" i="5"/>
  <c r="S125" i="5"/>
  <c r="AE125" i="5"/>
  <c r="AQ125" i="5"/>
  <c r="BC125" i="5"/>
  <c r="C71" i="4"/>
  <c r="M126" i="5"/>
  <c r="Y126" i="5"/>
  <c r="AK126" i="5"/>
  <c r="AW126" i="5"/>
  <c r="C72" i="4"/>
  <c r="G127" i="5"/>
  <c r="S127" i="5"/>
  <c r="AE127" i="5"/>
  <c r="AQ127" i="5"/>
  <c r="BC127" i="5"/>
  <c r="C73" i="4"/>
  <c r="C74" i="4"/>
  <c r="G129" i="5"/>
  <c r="S129" i="5"/>
  <c r="AE129" i="5"/>
  <c r="AQ129" i="5"/>
  <c r="BC129" i="5"/>
  <c r="C75" i="4"/>
  <c r="M130" i="5"/>
  <c r="Y130" i="5"/>
  <c r="AK130" i="5"/>
  <c r="AW130" i="5"/>
  <c r="C76" i="4"/>
  <c r="G131" i="5"/>
  <c r="S131" i="5"/>
  <c r="AE131" i="5"/>
  <c r="AQ131" i="5"/>
  <c r="BC131" i="5"/>
  <c r="C77" i="4"/>
  <c r="C78" i="4"/>
  <c r="G133" i="5"/>
  <c r="S133" i="5"/>
  <c r="AE133" i="5"/>
  <c r="AQ133" i="5"/>
  <c r="BC133" i="5"/>
  <c r="C79" i="4"/>
  <c r="M134" i="5"/>
  <c r="Y134" i="5"/>
  <c r="AK134" i="5"/>
  <c r="AW134" i="5"/>
  <c r="C80" i="4"/>
  <c r="G135" i="5"/>
  <c r="S135" i="5"/>
  <c r="AE135" i="5"/>
  <c r="AQ135" i="5"/>
  <c r="BC135" i="5"/>
  <c r="C81" i="4"/>
  <c r="M136" i="5"/>
  <c r="Y136" i="5"/>
  <c r="AK136" i="5"/>
  <c r="AW136" i="5"/>
  <c r="C82" i="4"/>
  <c r="G137" i="5"/>
  <c r="S137" i="5"/>
  <c r="AE137" i="5"/>
  <c r="AQ137" i="5"/>
  <c r="BC137" i="5"/>
  <c r="C83" i="4"/>
  <c r="M138" i="5"/>
  <c r="Y138" i="5"/>
  <c r="AK138" i="5"/>
  <c r="AW138" i="5"/>
  <c r="C84" i="4"/>
  <c r="G139" i="5"/>
  <c r="S139" i="5"/>
  <c r="AE139" i="5"/>
  <c r="AQ139" i="5"/>
  <c r="BC139" i="5"/>
  <c r="C85" i="4"/>
  <c r="C86" i="4"/>
  <c r="G141" i="5"/>
  <c r="S141" i="5"/>
  <c r="AE141" i="5"/>
  <c r="AQ141" i="5"/>
  <c r="BC141" i="5"/>
  <c r="C87" i="4"/>
  <c r="M142" i="5"/>
  <c r="Y142" i="5"/>
  <c r="AK142" i="5"/>
  <c r="AW142" i="5"/>
  <c r="C88" i="4"/>
  <c r="G143" i="5"/>
  <c r="S143" i="5"/>
  <c r="AE143" i="5"/>
  <c r="AQ143" i="5"/>
  <c r="BC143" i="5"/>
  <c r="C89" i="4"/>
  <c r="AW144" i="5"/>
  <c r="C90" i="4"/>
  <c r="G145" i="5"/>
  <c r="S145" i="5"/>
  <c r="AE145" i="5"/>
  <c r="AQ145" i="5"/>
  <c r="BC145" i="5"/>
  <c r="C91" i="4"/>
  <c r="M146" i="5"/>
  <c r="Y146" i="5"/>
  <c r="AK146" i="5"/>
  <c r="AW146" i="5"/>
  <c r="C92" i="4"/>
  <c r="G147" i="5"/>
  <c r="S147" i="5"/>
  <c r="AE147" i="5"/>
  <c r="AQ147" i="5"/>
  <c r="BC147" i="5"/>
  <c r="C93" i="4"/>
  <c r="M148" i="5"/>
  <c r="Y148" i="5"/>
  <c r="AK148" i="5"/>
  <c r="AW148" i="5"/>
  <c r="C94" i="4"/>
  <c r="G149" i="5"/>
  <c r="S149" i="5"/>
  <c r="AE149" i="5"/>
  <c r="AQ149" i="5"/>
  <c r="BC149" i="5"/>
  <c r="C95" i="4"/>
  <c r="M150" i="5"/>
  <c r="Y150" i="5"/>
  <c r="AK150" i="5"/>
  <c r="AW150" i="5"/>
  <c r="C96" i="4"/>
  <c r="G151" i="5"/>
  <c r="S151" i="5"/>
  <c r="AE151" i="5"/>
  <c r="AQ151" i="5"/>
  <c r="BC151" i="5"/>
  <c r="C97" i="4"/>
  <c r="C98" i="4"/>
  <c r="G153" i="5"/>
  <c r="S153" i="5"/>
  <c r="AE153" i="5"/>
  <c r="AQ153" i="5"/>
  <c r="BC153" i="5"/>
  <c r="C99" i="4"/>
  <c r="M154" i="5"/>
  <c r="Y154" i="5"/>
  <c r="AK154" i="5"/>
  <c r="AW154" i="5"/>
  <c r="C100" i="4"/>
  <c r="G155" i="5"/>
  <c r="S155" i="5"/>
  <c r="AE155" i="5"/>
  <c r="AQ155" i="5"/>
  <c r="BC155" i="5"/>
  <c r="C101" i="4"/>
  <c r="Y156" i="5"/>
  <c r="C102" i="4"/>
  <c r="G157" i="5"/>
  <c r="S157" i="5"/>
  <c r="AE157" i="5"/>
  <c r="AQ157" i="5"/>
  <c r="BC157" i="5"/>
  <c r="C103" i="4"/>
  <c r="M158" i="5"/>
  <c r="Y158" i="5"/>
  <c r="AK158" i="5"/>
  <c r="AW158" i="5"/>
  <c r="C104" i="4"/>
  <c r="G159" i="5"/>
  <c r="S159" i="5"/>
  <c r="AE159" i="5"/>
  <c r="AQ159" i="5"/>
  <c r="BC159" i="5"/>
  <c r="C105" i="4"/>
  <c r="M160" i="5"/>
  <c r="Y160" i="5"/>
  <c r="AK160" i="5"/>
  <c r="AW160" i="5"/>
  <c r="C106" i="4"/>
  <c r="G161" i="5"/>
  <c r="S161" i="5"/>
  <c r="AE161" i="5"/>
  <c r="AQ161" i="5"/>
  <c r="BC161" i="5"/>
  <c r="C107" i="4"/>
  <c r="C108" i="4"/>
  <c r="G163" i="5"/>
  <c r="S163" i="5"/>
  <c r="AE163" i="5"/>
  <c r="AQ163" i="5"/>
  <c r="BC163" i="5"/>
  <c r="C109" i="4"/>
  <c r="C110" i="4"/>
  <c r="G165" i="5"/>
  <c r="N165" i="5"/>
  <c r="S165" i="5"/>
  <c r="Z165" i="5"/>
  <c r="AE165" i="5"/>
  <c r="AL165" i="5"/>
  <c r="AQ165" i="5"/>
  <c r="AX165" i="5"/>
  <c r="BC165" i="5"/>
  <c r="C111" i="4"/>
  <c r="H166" i="5"/>
  <c r="M166" i="5"/>
  <c r="T166" i="5"/>
  <c r="AF166" i="5"/>
  <c r="AR166" i="5"/>
  <c r="AW166" i="5"/>
  <c r="BD166" i="5"/>
  <c r="C58" i="4"/>
  <c r="D3" i="4"/>
  <c r="E3" i="4"/>
  <c r="F3" i="4"/>
  <c r="G3" i="4"/>
  <c r="H3" i="4"/>
  <c r="I3" i="4"/>
  <c r="J3" i="4"/>
  <c r="K3" i="4"/>
  <c r="L3" i="4"/>
  <c r="M3" i="4"/>
  <c r="N3" i="4"/>
  <c r="N58" i="5" s="1"/>
  <c r="O3" i="4"/>
  <c r="O58" i="5" s="1"/>
  <c r="P3" i="4"/>
  <c r="Q3" i="4"/>
  <c r="R3" i="4"/>
  <c r="S3" i="4"/>
  <c r="T3" i="4"/>
  <c r="U3" i="4"/>
  <c r="V3" i="4"/>
  <c r="W3" i="4"/>
  <c r="X3" i="4"/>
  <c r="Y3" i="4"/>
  <c r="Z3" i="4"/>
  <c r="AA3" i="4"/>
  <c r="AA58" i="5" s="1"/>
  <c r="AB3" i="4"/>
  <c r="AC3" i="4"/>
  <c r="AD3" i="4"/>
  <c r="AE3" i="4"/>
  <c r="AF3" i="4"/>
  <c r="AG3" i="4"/>
  <c r="AH3" i="4"/>
  <c r="AI3" i="4"/>
  <c r="AJ3" i="4"/>
  <c r="AK3" i="4"/>
  <c r="AL3" i="4"/>
  <c r="AM3" i="4"/>
  <c r="AM58" i="5" s="1"/>
  <c r="AN3" i="4"/>
  <c r="AO3" i="4"/>
  <c r="AP3" i="4"/>
  <c r="AQ3" i="4"/>
  <c r="AR3" i="4"/>
  <c r="AS3" i="4"/>
  <c r="AT3" i="4"/>
  <c r="AU3" i="4"/>
  <c r="AV3" i="4"/>
  <c r="AW3" i="4"/>
  <c r="AX3" i="4"/>
  <c r="AY3" i="4"/>
  <c r="AY58" i="5" s="1"/>
  <c r="AZ3" i="4"/>
  <c r="BA3" i="4"/>
  <c r="BB3" i="4"/>
  <c r="BC3" i="4"/>
  <c r="BD3" i="4"/>
  <c r="D4" i="4"/>
  <c r="E4" i="4"/>
  <c r="F4" i="4"/>
  <c r="G4" i="4"/>
  <c r="H4" i="4"/>
  <c r="I4" i="4"/>
  <c r="I59" i="5" s="1"/>
  <c r="J4" i="4"/>
  <c r="J59" i="5" s="1"/>
  <c r="K4" i="4"/>
  <c r="L4" i="4"/>
  <c r="M4" i="4"/>
  <c r="N4" i="4"/>
  <c r="O4" i="4"/>
  <c r="P4" i="4"/>
  <c r="Q4" i="4"/>
  <c r="R4" i="4"/>
  <c r="S4" i="4"/>
  <c r="T4" i="4"/>
  <c r="U4" i="4"/>
  <c r="U59" i="5" s="1"/>
  <c r="V4" i="4"/>
  <c r="V59" i="5" s="1"/>
  <c r="W4" i="4"/>
  <c r="X4" i="4"/>
  <c r="Y4" i="4"/>
  <c r="Z4" i="4"/>
  <c r="AA4" i="4"/>
  <c r="AB4" i="4"/>
  <c r="AC4" i="4"/>
  <c r="AD4" i="4"/>
  <c r="AE4" i="4"/>
  <c r="AF4" i="4"/>
  <c r="AG4" i="4"/>
  <c r="AG59" i="5" s="1"/>
  <c r="AH4" i="4"/>
  <c r="AH59" i="5" s="1"/>
  <c r="AI4" i="4"/>
  <c r="AJ4" i="4"/>
  <c r="AK4" i="4"/>
  <c r="AL4" i="4"/>
  <c r="AM4" i="4"/>
  <c r="AN4" i="4"/>
  <c r="AO4" i="4"/>
  <c r="AP4" i="4"/>
  <c r="AQ4" i="4"/>
  <c r="AR4" i="4"/>
  <c r="AS4" i="4"/>
  <c r="AS59" i="5" s="1"/>
  <c r="AT4" i="4"/>
  <c r="AT59" i="5" s="1"/>
  <c r="AU4" i="4"/>
  <c r="AV4" i="4"/>
  <c r="AW4" i="4"/>
  <c r="AX4" i="4"/>
  <c r="AY4" i="4"/>
  <c r="AZ4" i="4"/>
  <c r="BA4" i="4"/>
  <c r="BB4" i="4"/>
  <c r="BC4" i="4"/>
  <c r="BD4" i="4"/>
  <c r="D5" i="4"/>
  <c r="D60" i="5" s="1"/>
  <c r="E5" i="4"/>
  <c r="E60" i="5" s="1"/>
  <c r="F5" i="4"/>
  <c r="G5" i="4"/>
  <c r="H5" i="4"/>
  <c r="I5" i="4"/>
  <c r="J5" i="4"/>
  <c r="K5" i="4"/>
  <c r="L5" i="4"/>
  <c r="M5" i="4"/>
  <c r="N5" i="4"/>
  <c r="O5" i="4"/>
  <c r="P5" i="4"/>
  <c r="P60" i="5" s="1"/>
  <c r="Q5" i="4"/>
  <c r="R5" i="4"/>
  <c r="S5" i="4"/>
  <c r="T5" i="4"/>
  <c r="U5" i="4"/>
  <c r="V5" i="4"/>
  <c r="W5" i="4"/>
  <c r="X5" i="4"/>
  <c r="Y5" i="4"/>
  <c r="Z5" i="4"/>
  <c r="AA5" i="4"/>
  <c r="AB5" i="4"/>
  <c r="AB60" i="5" s="1"/>
  <c r="AC5" i="4"/>
  <c r="AD5" i="4"/>
  <c r="AE5" i="4"/>
  <c r="AF5" i="4"/>
  <c r="AG5" i="4"/>
  <c r="AH5" i="4"/>
  <c r="AI5" i="4"/>
  <c r="AJ5" i="4"/>
  <c r="AK5" i="4"/>
  <c r="AL5" i="4"/>
  <c r="AM5" i="4"/>
  <c r="AN5" i="4"/>
  <c r="AN60" i="5" s="1"/>
  <c r="AO5" i="4"/>
  <c r="AP5" i="4"/>
  <c r="AQ5" i="4"/>
  <c r="AR5" i="4"/>
  <c r="AS5" i="4"/>
  <c r="AT5" i="4"/>
  <c r="AU5" i="4"/>
  <c r="AV5" i="4"/>
  <c r="AW5" i="4"/>
  <c r="AX5" i="4"/>
  <c r="AY5" i="4"/>
  <c r="AZ5" i="4"/>
  <c r="AZ60" i="5" s="1"/>
  <c r="BA5" i="4"/>
  <c r="BB5" i="4"/>
  <c r="BC5" i="4"/>
  <c r="BD5" i="4"/>
  <c r="D6" i="4"/>
  <c r="E6" i="4"/>
  <c r="F6" i="4"/>
  <c r="G6" i="4"/>
  <c r="H6" i="4"/>
  <c r="I6" i="4"/>
  <c r="J6" i="4"/>
  <c r="K6" i="4"/>
  <c r="K61" i="5" s="1"/>
  <c r="L6" i="4"/>
  <c r="L61" i="5" s="1"/>
  <c r="M6" i="4"/>
  <c r="N6" i="4"/>
  <c r="O6" i="4"/>
  <c r="P6" i="4"/>
  <c r="Q6" i="4"/>
  <c r="R6" i="4"/>
  <c r="S6" i="4"/>
  <c r="T6" i="4"/>
  <c r="U6" i="4"/>
  <c r="V6" i="4"/>
  <c r="W6" i="4"/>
  <c r="W61" i="5" s="1"/>
  <c r="X6" i="4"/>
  <c r="X61" i="5" s="1"/>
  <c r="Y6" i="4"/>
  <c r="Z6" i="4"/>
  <c r="AA6" i="4"/>
  <c r="AB6" i="4"/>
  <c r="AC6" i="4"/>
  <c r="AD6" i="4"/>
  <c r="AE6" i="4"/>
  <c r="AF6" i="4"/>
  <c r="AG6" i="4"/>
  <c r="AH6" i="4"/>
  <c r="AI6" i="4"/>
  <c r="AI61" i="5" s="1"/>
  <c r="AJ6" i="4"/>
  <c r="AJ61" i="5" s="1"/>
  <c r="AK6" i="4"/>
  <c r="AL6" i="4"/>
  <c r="AM6" i="4"/>
  <c r="AN6" i="4"/>
  <c r="AO6" i="4"/>
  <c r="AP6" i="4"/>
  <c r="AQ6" i="4"/>
  <c r="AR6" i="4"/>
  <c r="AS6" i="4"/>
  <c r="AT6" i="4"/>
  <c r="AU6" i="4"/>
  <c r="AU61" i="5" s="1"/>
  <c r="AV6" i="4"/>
  <c r="AV61" i="5" s="1"/>
  <c r="AW6" i="4"/>
  <c r="AX6" i="4"/>
  <c r="AY6" i="4"/>
  <c r="AZ6" i="4"/>
  <c r="BA6" i="4"/>
  <c r="BB6" i="4"/>
  <c r="BC6" i="4"/>
  <c r="BD6" i="4"/>
  <c r="D7" i="4"/>
  <c r="E7" i="4"/>
  <c r="F7" i="4"/>
  <c r="F62" i="5" s="1"/>
  <c r="G7" i="4"/>
  <c r="G62" i="5" s="1"/>
  <c r="H7" i="4"/>
  <c r="I7" i="4"/>
  <c r="J7" i="4"/>
  <c r="K7" i="4"/>
  <c r="L7" i="4"/>
  <c r="M7" i="4"/>
  <c r="N7" i="4"/>
  <c r="O7" i="4"/>
  <c r="P7" i="4"/>
  <c r="Q7" i="4"/>
  <c r="R7" i="4"/>
  <c r="R62" i="5" s="1"/>
  <c r="S7" i="4"/>
  <c r="S62" i="5" s="1"/>
  <c r="T7" i="4"/>
  <c r="U7" i="4"/>
  <c r="V7" i="4"/>
  <c r="W7" i="4"/>
  <c r="X7" i="4"/>
  <c r="Y7" i="4"/>
  <c r="Z7" i="4"/>
  <c r="AA7" i="4"/>
  <c r="AB7" i="4"/>
  <c r="AC7" i="4"/>
  <c r="AD7" i="4"/>
  <c r="AD62" i="5" s="1"/>
  <c r="AE7" i="4"/>
  <c r="AE62" i="5" s="1"/>
  <c r="AF7" i="4"/>
  <c r="AG7" i="4"/>
  <c r="AH7" i="4"/>
  <c r="AI7" i="4"/>
  <c r="AJ7" i="4"/>
  <c r="AK7" i="4"/>
  <c r="AL7" i="4"/>
  <c r="AM7" i="4"/>
  <c r="AN7" i="4"/>
  <c r="AO7" i="4"/>
  <c r="AP7" i="4"/>
  <c r="AP62" i="5" s="1"/>
  <c r="AQ7" i="4"/>
  <c r="AQ62" i="5" s="1"/>
  <c r="AR7" i="4"/>
  <c r="AS7" i="4"/>
  <c r="AT7" i="4"/>
  <c r="AU7" i="4"/>
  <c r="AV7" i="4"/>
  <c r="AW7" i="4"/>
  <c r="AX7" i="4"/>
  <c r="AY7" i="4"/>
  <c r="AZ7" i="4"/>
  <c r="BA7" i="4"/>
  <c r="BB7" i="4"/>
  <c r="BB62" i="5" s="1"/>
  <c r="BC7" i="4"/>
  <c r="BC62" i="5" s="1"/>
  <c r="BD7" i="4"/>
  <c r="D8" i="4"/>
  <c r="E8" i="4"/>
  <c r="F8" i="4"/>
  <c r="G8" i="4"/>
  <c r="H8" i="4"/>
  <c r="I8" i="4"/>
  <c r="J8" i="4"/>
  <c r="K8" i="4"/>
  <c r="L8" i="4"/>
  <c r="M8" i="4"/>
  <c r="M63" i="5" s="1"/>
  <c r="N8" i="4"/>
  <c r="N63" i="5" s="1"/>
  <c r="O8" i="4"/>
  <c r="P8" i="4"/>
  <c r="Q8" i="4"/>
  <c r="R8" i="4"/>
  <c r="S8" i="4"/>
  <c r="T8" i="4"/>
  <c r="U8" i="4"/>
  <c r="V8" i="4"/>
  <c r="W8" i="4"/>
  <c r="X8" i="4"/>
  <c r="Y8" i="4"/>
  <c r="Z8" i="4"/>
  <c r="Z63" i="5" s="1"/>
  <c r="AA8" i="4"/>
  <c r="AB8" i="4"/>
  <c r="AC8" i="4"/>
  <c r="AD8" i="4"/>
  <c r="AE8" i="4"/>
  <c r="AF8" i="4"/>
  <c r="AG8" i="4"/>
  <c r="AH8" i="4"/>
  <c r="AI8" i="4"/>
  <c r="AJ8" i="4"/>
  <c r="AK8" i="4"/>
  <c r="AL8" i="4"/>
  <c r="AL63" i="5" s="1"/>
  <c r="AM8" i="4"/>
  <c r="AN8" i="4"/>
  <c r="AO8" i="4"/>
  <c r="AP8" i="4"/>
  <c r="AQ8" i="4"/>
  <c r="AR8" i="4"/>
  <c r="AS8" i="4"/>
  <c r="AT8" i="4"/>
  <c r="AU8" i="4"/>
  <c r="AV8" i="4"/>
  <c r="AW8" i="4"/>
  <c r="AX8" i="4"/>
  <c r="AX63" i="5" s="1"/>
  <c r="AY8" i="4"/>
  <c r="AZ8" i="4"/>
  <c r="BA8" i="4"/>
  <c r="BB8" i="4"/>
  <c r="BC8" i="4"/>
  <c r="BD8" i="4"/>
  <c r="D9" i="4"/>
  <c r="E9" i="4"/>
  <c r="F9" i="4"/>
  <c r="G9" i="4"/>
  <c r="H9" i="4"/>
  <c r="H64" i="5" s="1"/>
  <c r="I9" i="4"/>
  <c r="J9" i="4"/>
  <c r="K9" i="4"/>
  <c r="L9" i="4"/>
  <c r="M9" i="4"/>
  <c r="N9" i="4"/>
  <c r="O9" i="4"/>
  <c r="P9" i="4"/>
  <c r="Q9" i="4"/>
  <c r="R9" i="4"/>
  <c r="S9" i="4"/>
  <c r="T9" i="4"/>
  <c r="T64" i="5" s="1"/>
  <c r="U9" i="4"/>
  <c r="U64" i="5" s="1"/>
  <c r="V9" i="4"/>
  <c r="W9" i="4"/>
  <c r="X9" i="4"/>
  <c r="Y9" i="4"/>
  <c r="Z9" i="4"/>
  <c r="AA9" i="4"/>
  <c r="AB9" i="4"/>
  <c r="AC9" i="4"/>
  <c r="AD9" i="4"/>
  <c r="AE9" i="4"/>
  <c r="AF9" i="4"/>
  <c r="AF64" i="5" s="1"/>
  <c r="AG9" i="4"/>
  <c r="AG64" i="5" s="1"/>
  <c r="AH9" i="4"/>
  <c r="AI9" i="4"/>
  <c r="AJ9" i="4"/>
  <c r="AK9" i="4"/>
  <c r="AL9" i="4"/>
  <c r="AM9" i="4"/>
  <c r="AN9" i="4"/>
  <c r="AO9" i="4"/>
  <c r="AP9" i="4"/>
  <c r="AQ9" i="4"/>
  <c r="AR9" i="4"/>
  <c r="AR64" i="5" s="1"/>
  <c r="AS9" i="4"/>
  <c r="AS64" i="5" s="1"/>
  <c r="AT9" i="4"/>
  <c r="AU9" i="4"/>
  <c r="AV9" i="4"/>
  <c r="AW9" i="4"/>
  <c r="AX9" i="4"/>
  <c r="AY9" i="4"/>
  <c r="AZ9" i="4"/>
  <c r="BA9" i="4"/>
  <c r="BB9" i="4"/>
  <c r="BC9" i="4"/>
  <c r="BD9" i="4"/>
  <c r="BD64" i="5" s="1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P65" i="5" s="1"/>
  <c r="Q10" i="4"/>
  <c r="R10" i="4"/>
  <c r="S10" i="4"/>
  <c r="T10" i="4"/>
  <c r="U10" i="4"/>
  <c r="V10" i="4"/>
  <c r="W10" i="4"/>
  <c r="X10" i="4"/>
  <c r="Y10" i="4"/>
  <c r="Z10" i="4"/>
  <c r="AA10" i="4"/>
  <c r="AB10" i="4"/>
  <c r="AB65" i="5" s="1"/>
  <c r="AC10" i="4"/>
  <c r="AD10" i="4"/>
  <c r="AE10" i="4"/>
  <c r="AF10" i="4"/>
  <c r="AG10" i="4"/>
  <c r="AH10" i="4"/>
  <c r="AI10" i="4"/>
  <c r="AJ10" i="4"/>
  <c r="AK10" i="4"/>
  <c r="AL10" i="4"/>
  <c r="AM10" i="4"/>
  <c r="AN10" i="4"/>
  <c r="AN65" i="5" s="1"/>
  <c r="AO10" i="4"/>
  <c r="AP10" i="4"/>
  <c r="AQ10" i="4"/>
  <c r="AR10" i="4"/>
  <c r="AS10" i="4"/>
  <c r="AT10" i="4"/>
  <c r="AU10" i="4"/>
  <c r="AV10" i="4"/>
  <c r="AW10" i="4"/>
  <c r="AX10" i="4"/>
  <c r="AY10" i="4"/>
  <c r="AZ10" i="4"/>
  <c r="AZ65" i="5" s="1"/>
  <c r="BA10" i="4"/>
  <c r="BB10" i="4"/>
  <c r="BC10" i="4"/>
  <c r="BD10" i="4"/>
  <c r="D11" i="4"/>
  <c r="E11" i="4"/>
  <c r="F11" i="4"/>
  <c r="G11" i="4"/>
  <c r="H11" i="4"/>
  <c r="I11" i="4"/>
  <c r="J11" i="4"/>
  <c r="J66" i="5" s="1"/>
  <c r="K11" i="4"/>
  <c r="K66" i="5" s="1"/>
  <c r="L11" i="4"/>
  <c r="M11" i="4"/>
  <c r="N11" i="4"/>
  <c r="O11" i="4"/>
  <c r="P11" i="4"/>
  <c r="Q11" i="4"/>
  <c r="R11" i="4"/>
  <c r="S11" i="4"/>
  <c r="T11" i="4"/>
  <c r="U11" i="4"/>
  <c r="V11" i="4"/>
  <c r="V66" i="5" s="1"/>
  <c r="W11" i="4"/>
  <c r="W66" i="5" s="1"/>
  <c r="X11" i="4"/>
  <c r="Y11" i="4"/>
  <c r="Z11" i="4"/>
  <c r="AA11" i="4"/>
  <c r="AB11" i="4"/>
  <c r="AC11" i="4"/>
  <c r="AD11" i="4"/>
  <c r="AE11" i="4"/>
  <c r="AF11" i="4"/>
  <c r="AG11" i="4"/>
  <c r="AH11" i="4"/>
  <c r="AH66" i="5" s="1"/>
  <c r="AI11" i="4"/>
  <c r="AI66" i="5" s="1"/>
  <c r="AJ11" i="4"/>
  <c r="AK11" i="4"/>
  <c r="AL11" i="4"/>
  <c r="AM11" i="4"/>
  <c r="AN11" i="4"/>
  <c r="AO11" i="4"/>
  <c r="AP11" i="4"/>
  <c r="AQ11" i="4"/>
  <c r="AR11" i="4"/>
  <c r="AS11" i="4"/>
  <c r="AT11" i="4"/>
  <c r="AT66" i="5" s="1"/>
  <c r="AU11" i="4"/>
  <c r="AU66" i="5" s="1"/>
  <c r="AV11" i="4"/>
  <c r="AW11" i="4"/>
  <c r="AX11" i="4"/>
  <c r="AY11" i="4"/>
  <c r="AZ11" i="4"/>
  <c r="BA11" i="4"/>
  <c r="BB11" i="4"/>
  <c r="BC11" i="4"/>
  <c r="BD11" i="4"/>
  <c r="D12" i="4"/>
  <c r="E12" i="4"/>
  <c r="E67" i="5" s="1"/>
  <c r="F12" i="4"/>
  <c r="F67" i="5" s="1"/>
  <c r="G12" i="4"/>
  <c r="H12" i="4"/>
  <c r="I12" i="4"/>
  <c r="J12" i="4"/>
  <c r="K12" i="4"/>
  <c r="L12" i="4"/>
  <c r="M12" i="4"/>
  <c r="N12" i="4"/>
  <c r="O12" i="4"/>
  <c r="P12" i="4"/>
  <c r="Q12" i="4"/>
  <c r="Q67" i="5" s="1"/>
  <c r="R12" i="4"/>
  <c r="R67" i="5" s="1"/>
  <c r="S12" i="4"/>
  <c r="T12" i="4"/>
  <c r="U12" i="4"/>
  <c r="V12" i="4"/>
  <c r="W12" i="4"/>
  <c r="X12" i="4"/>
  <c r="Y12" i="4"/>
  <c r="Z12" i="4"/>
  <c r="AA12" i="4"/>
  <c r="AB12" i="4"/>
  <c r="AC12" i="4"/>
  <c r="AC67" i="5" s="1"/>
  <c r="AD12" i="4"/>
  <c r="AD67" i="5" s="1"/>
  <c r="AE12" i="4"/>
  <c r="AF12" i="4"/>
  <c r="AG12" i="4"/>
  <c r="AH12" i="4"/>
  <c r="AI12" i="4"/>
  <c r="AJ12" i="4"/>
  <c r="AK12" i="4"/>
  <c r="AL12" i="4"/>
  <c r="AM12" i="4"/>
  <c r="AN12" i="4"/>
  <c r="AO12" i="4"/>
  <c r="AO67" i="5" s="1"/>
  <c r="AP12" i="4"/>
  <c r="AP67" i="5" s="1"/>
  <c r="AQ12" i="4"/>
  <c r="AR12" i="4"/>
  <c r="AS12" i="4"/>
  <c r="AT12" i="4"/>
  <c r="AU12" i="4"/>
  <c r="AV12" i="4"/>
  <c r="AW12" i="4"/>
  <c r="AX12" i="4"/>
  <c r="AY12" i="4"/>
  <c r="AZ12" i="4"/>
  <c r="BA12" i="4"/>
  <c r="BA67" i="5" s="1"/>
  <c r="BB12" i="4"/>
  <c r="BB67" i="5" s="1"/>
  <c r="BC12" i="4"/>
  <c r="BD12" i="4"/>
  <c r="D13" i="4"/>
  <c r="E13" i="4"/>
  <c r="F13" i="4"/>
  <c r="G13" i="4"/>
  <c r="H13" i="4"/>
  <c r="I13" i="4"/>
  <c r="J13" i="4"/>
  <c r="K13" i="4"/>
  <c r="L13" i="4"/>
  <c r="L68" i="5" s="1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Y68" i="5" s="1"/>
  <c r="Z13" i="4"/>
  <c r="AA13" i="4"/>
  <c r="AB13" i="4"/>
  <c r="AC13" i="4"/>
  <c r="AD13" i="4"/>
  <c r="AE13" i="4"/>
  <c r="AF13" i="4"/>
  <c r="AG13" i="4"/>
  <c r="AH13" i="4"/>
  <c r="AI13" i="4"/>
  <c r="AJ13" i="4"/>
  <c r="AK13" i="4"/>
  <c r="AK68" i="5" s="1"/>
  <c r="AL13" i="4"/>
  <c r="AM13" i="4"/>
  <c r="AN13" i="4"/>
  <c r="AO13" i="4"/>
  <c r="AP13" i="4"/>
  <c r="AQ13" i="4"/>
  <c r="AR13" i="4"/>
  <c r="AS13" i="4"/>
  <c r="AT13" i="4"/>
  <c r="AU13" i="4"/>
  <c r="AV13" i="4"/>
  <c r="AW13" i="4"/>
  <c r="AW68" i="5" s="1"/>
  <c r="AX13" i="4"/>
  <c r="AY13" i="4"/>
  <c r="AZ13" i="4"/>
  <c r="BA13" i="4"/>
  <c r="BB13" i="4"/>
  <c r="BC13" i="4"/>
  <c r="BD13" i="4"/>
  <c r="D14" i="4"/>
  <c r="E14" i="4"/>
  <c r="F14" i="4"/>
  <c r="G14" i="4"/>
  <c r="H14" i="4"/>
  <c r="H69" i="5" s="1"/>
  <c r="I14" i="4"/>
  <c r="J14" i="4"/>
  <c r="K14" i="4"/>
  <c r="L14" i="4"/>
  <c r="M14" i="4"/>
  <c r="N14" i="4"/>
  <c r="O14" i="4"/>
  <c r="P14" i="4"/>
  <c r="Q14" i="4"/>
  <c r="R14" i="4"/>
  <c r="S14" i="4"/>
  <c r="S69" i="5" s="1"/>
  <c r="T14" i="4"/>
  <c r="T69" i="5" s="1"/>
  <c r="U14" i="4"/>
  <c r="V14" i="4"/>
  <c r="W14" i="4"/>
  <c r="X14" i="4"/>
  <c r="Y14" i="4"/>
  <c r="Z14" i="4"/>
  <c r="AA14" i="4"/>
  <c r="AB14" i="4"/>
  <c r="AC14" i="4"/>
  <c r="AD14" i="4"/>
  <c r="AE14" i="4"/>
  <c r="AE69" i="5" s="1"/>
  <c r="AF14" i="4"/>
  <c r="AF69" i="5" s="1"/>
  <c r="AG14" i="4"/>
  <c r="AH14" i="4"/>
  <c r="AI14" i="4"/>
  <c r="AJ14" i="4"/>
  <c r="AK14" i="4"/>
  <c r="AL14" i="4"/>
  <c r="AM14" i="4"/>
  <c r="AN14" i="4"/>
  <c r="AO14" i="4"/>
  <c r="AP14" i="4"/>
  <c r="AQ14" i="4"/>
  <c r="AQ69" i="5" s="1"/>
  <c r="AR14" i="4"/>
  <c r="AR69" i="5" s="1"/>
  <c r="AS14" i="4"/>
  <c r="AT14" i="4"/>
  <c r="AU14" i="4"/>
  <c r="AV14" i="4"/>
  <c r="AW14" i="4"/>
  <c r="AX14" i="4"/>
  <c r="AY14" i="4"/>
  <c r="AZ14" i="4"/>
  <c r="BA14" i="4"/>
  <c r="BB14" i="4"/>
  <c r="BC14" i="4"/>
  <c r="BC69" i="5" s="1"/>
  <c r="BD14" i="4"/>
  <c r="BD69" i="5" s="1"/>
  <c r="D15" i="4"/>
  <c r="E15" i="4"/>
  <c r="F15" i="4"/>
  <c r="G15" i="4"/>
  <c r="H15" i="4"/>
  <c r="I15" i="4"/>
  <c r="J15" i="4"/>
  <c r="K15" i="4"/>
  <c r="L15" i="4"/>
  <c r="M15" i="4"/>
  <c r="N15" i="4"/>
  <c r="N70" i="5" s="1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A70" i="5" s="1"/>
  <c r="AB15" i="4"/>
  <c r="AC15" i="4"/>
  <c r="AD15" i="4"/>
  <c r="AE15" i="4"/>
  <c r="AF15" i="4"/>
  <c r="AG15" i="4"/>
  <c r="AH15" i="4"/>
  <c r="AI15" i="4"/>
  <c r="AJ15" i="4"/>
  <c r="AK15" i="4"/>
  <c r="AL15" i="4"/>
  <c r="AM15" i="4"/>
  <c r="AM70" i="5" s="1"/>
  <c r="AN15" i="4"/>
  <c r="AO15" i="4"/>
  <c r="AP15" i="4"/>
  <c r="AQ15" i="4"/>
  <c r="AR15" i="4"/>
  <c r="AS15" i="4"/>
  <c r="AT15" i="4"/>
  <c r="AU15" i="4"/>
  <c r="AV15" i="4"/>
  <c r="AW15" i="4"/>
  <c r="AX15" i="4"/>
  <c r="AY15" i="4"/>
  <c r="AY70" i="5" s="1"/>
  <c r="AZ15" i="4"/>
  <c r="BA15" i="4"/>
  <c r="BB15" i="4"/>
  <c r="BC15" i="4"/>
  <c r="BD15" i="4"/>
  <c r="D16" i="4"/>
  <c r="E16" i="4"/>
  <c r="F16" i="4"/>
  <c r="G16" i="4"/>
  <c r="H16" i="4"/>
  <c r="I16" i="4"/>
  <c r="I71" i="5" s="1"/>
  <c r="J16" i="4"/>
  <c r="J71" i="5" s="1"/>
  <c r="K16" i="4"/>
  <c r="L16" i="4"/>
  <c r="M16" i="4"/>
  <c r="N16" i="4"/>
  <c r="O16" i="4"/>
  <c r="P16" i="4"/>
  <c r="Q16" i="4"/>
  <c r="R16" i="4"/>
  <c r="S16" i="4"/>
  <c r="T16" i="4"/>
  <c r="U16" i="4"/>
  <c r="U71" i="5" s="1"/>
  <c r="V16" i="4"/>
  <c r="V71" i="5" s="1"/>
  <c r="W16" i="4"/>
  <c r="X16" i="4"/>
  <c r="Y16" i="4"/>
  <c r="Z16" i="4"/>
  <c r="AA16" i="4"/>
  <c r="AB16" i="4"/>
  <c r="AC16" i="4"/>
  <c r="AD16" i="4"/>
  <c r="AE16" i="4"/>
  <c r="AF16" i="4"/>
  <c r="AG16" i="4"/>
  <c r="AG71" i="5" s="1"/>
  <c r="AH16" i="4"/>
  <c r="AH71" i="5" s="1"/>
  <c r="AI16" i="4"/>
  <c r="AJ16" i="4"/>
  <c r="AK16" i="4"/>
  <c r="AL16" i="4"/>
  <c r="AM16" i="4"/>
  <c r="AN16" i="4"/>
  <c r="AO16" i="4"/>
  <c r="AP16" i="4"/>
  <c r="AQ16" i="4"/>
  <c r="AR16" i="4"/>
  <c r="AS16" i="4"/>
  <c r="AS71" i="5" s="1"/>
  <c r="AT16" i="4"/>
  <c r="AT71" i="5" s="1"/>
  <c r="AU16" i="4"/>
  <c r="AV16" i="4"/>
  <c r="AV71" i="5" s="1"/>
  <c r="AW16" i="4"/>
  <c r="AX16" i="4"/>
  <c r="AY16" i="4"/>
  <c r="AZ16" i="4"/>
  <c r="BA16" i="4"/>
  <c r="BB16" i="4"/>
  <c r="BC16" i="4"/>
  <c r="BD16" i="4"/>
  <c r="D17" i="4"/>
  <c r="D72" i="5" s="1"/>
  <c r="E17" i="4"/>
  <c r="E72" i="5" s="1"/>
  <c r="F17" i="4"/>
  <c r="G17" i="4"/>
  <c r="G72" i="5" s="1"/>
  <c r="H17" i="4"/>
  <c r="I17" i="4"/>
  <c r="J17" i="4"/>
  <c r="K17" i="4"/>
  <c r="L17" i="4"/>
  <c r="M17" i="4"/>
  <c r="N17" i="4"/>
  <c r="O17" i="4"/>
  <c r="P17" i="4"/>
  <c r="Q17" i="4"/>
  <c r="Q72" i="5" s="1"/>
  <c r="R17" i="4"/>
  <c r="S17" i="4"/>
  <c r="S72" i="5" s="1"/>
  <c r="T17" i="4"/>
  <c r="U17" i="4"/>
  <c r="V17" i="4"/>
  <c r="W17" i="4"/>
  <c r="X17" i="4"/>
  <c r="Y17" i="4"/>
  <c r="Z17" i="4"/>
  <c r="AA17" i="4"/>
  <c r="AB17" i="4"/>
  <c r="AC17" i="4"/>
  <c r="AC72" i="5" s="1"/>
  <c r="AD17" i="4"/>
  <c r="AE17" i="4"/>
  <c r="AE72" i="5" s="1"/>
  <c r="AF17" i="4"/>
  <c r="AG17" i="4"/>
  <c r="AH17" i="4"/>
  <c r="AI17" i="4"/>
  <c r="AJ17" i="4"/>
  <c r="AK17" i="4"/>
  <c r="AL17" i="4"/>
  <c r="AM17" i="4"/>
  <c r="AN17" i="4"/>
  <c r="AO17" i="4"/>
  <c r="AO72" i="5" s="1"/>
  <c r="AP17" i="4"/>
  <c r="AQ17" i="4"/>
  <c r="AQ72" i="5" s="1"/>
  <c r="AR17" i="4"/>
  <c r="AS17" i="4"/>
  <c r="AT17" i="4"/>
  <c r="AU17" i="4"/>
  <c r="AV17" i="4"/>
  <c r="AW17" i="4"/>
  <c r="AX17" i="4"/>
  <c r="AY17" i="4"/>
  <c r="AZ17" i="4"/>
  <c r="BA17" i="4"/>
  <c r="BA72" i="5" s="1"/>
  <c r="BB17" i="4"/>
  <c r="BC17" i="4"/>
  <c r="BC72" i="5" s="1"/>
  <c r="BD17" i="4"/>
  <c r="D18" i="4"/>
  <c r="E18" i="4"/>
  <c r="F18" i="4"/>
  <c r="G18" i="4"/>
  <c r="H18" i="4"/>
  <c r="I18" i="4"/>
  <c r="J18" i="4"/>
  <c r="K18" i="4"/>
  <c r="K73" i="5" s="1"/>
  <c r="L18" i="4"/>
  <c r="M18" i="4"/>
  <c r="N18" i="4"/>
  <c r="O18" i="4"/>
  <c r="P18" i="4"/>
  <c r="Q18" i="4"/>
  <c r="R18" i="4"/>
  <c r="S18" i="4"/>
  <c r="T18" i="4"/>
  <c r="U18" i="4"/>
  <c r="V18" i="4"/>
  <c r="W18" i="4"/>
  <c r="W73" i="5" s="1"/>
  <c r="X18" i="4"/>
  <c r="Y18" i="4"/>
  <c r="Z18" i="4"/>
  <c r="AA18" i="4"/>
  <c r="AB18" i="4"/>
  <c r="AC18" i="4"/>
  <c r="AD18" i="4"/>
  <c r="AE18" i="4"/>
  <c r="AF18" i="4"/>
  <c r="AG18" i="4"/>
  <c r="AH18" i="4"/>
  <c r="AI18" i="4"/>
  <c r="AI73" i="5" s="1"/>
  <c r="AJ18" i="4"/>
  <c r="AK18" i="4"/>
  <c r="AL18" i="4"/>
  <c r="AM18" i="4"/>
  <c r="AN18" i="4"/>
  <c r="AO18" i="4"/>
  <c r="AP18" i="4"/>
  <c r="AQ18" i="4"/>
  <c r="AR18" i="4"/>
  <c r="AS18" i="4"/>
  <c r="AT18" i="4"/>
  <c r="AU18" i="4"/>
  <c r="AU73" i="5" s="1"/>
  <c r="AV18" i="4"/>
  <c r="AW18" i="4"/>
  <c r="AX18" i="4"/>
  <c r="AY18" i="4"/>
  <c r="AZ18" i="4"/>
  <c r="BA18" i="4"/>
  <c r="BB18" i="4"/>
  <c r="BC18" i="4"/>
  <c r="BD18" i="4"/>
  <c r="D19" i="4"/>
  <c r="E19" i="4"/>
  <c r="F19" i="4"/>
  <c r="F74" i="5" s="1"/>
  <c r="G19" i="4"/>
  <c r="G74" i="5" s="1"/>
  <c r="H19" i="4"/>
  <c r="I19" i="4"/>
  <c r="I74" i="5" s="1"/>
  <c r="J19" i="4"/>
  <c r="K19" i="4"/>
  <c r="L19" i="4"/>
  <c r="M19" i="4"/>
  <c r="N19" i="4"/>
  <c r="O19" i="4"/>
  <c r="P19" i="4"/>
  <c r="Q19" i="4"/>
  <c r="R19" i="4"/>
  <c r="R74" i="5" s="1"/>
  <c r="S19" i="4"/>
  <c r="S74" i="5" s="1"/>
  <c r="T19" i="4"/>
  <c r="U19" i="4"/>
  <c r="U74" i="5" s="1"/>
  <c r="V19" i="4"/>
  <c r="W19" i="4"/>
  <c r="X19" i="4"/>
  <c r="Y19" i="4"/>
  <c r="Z19" i="4"/>
  <c r="AA19" i="4"/>
  <c r="AB19" i="4"/>
  <c r="AC19" i="4"/>
  <c r="AD19" i="4"/>
  <c r="AD74" i="5" s="1"/>
  <c r="AE19" i="4"/>
  <c r="AE74" i="5" s="1"/>
  <c r="AF19" i="4"/>
  <c r="AG19" i="4"/>
  <c r="AG74" i="5" s="1"/>
  <c r="AH19" i="4"/>
  <c r="AI19" i="4"/>
  <c r="AJ19" i="4"/>
  <c r="AK19" i="4"/>
  <c r="AL19" i="4"/>
  <c r="AM19" i="4"/>
  <c r="AN19" i="4"/>
  <c r="AO19" i="4"/>
  <c r="AP19" i="4"/>
  <c r="AP74" i="5" s="1"/>
  <c r="AQ19" i="4"/>
  <c r="AQ74" i="5" s="1"/>
  <c r="AR19" i="4"/>
  <c r="AS19" i="4"/>
  <c r="AS74" i="5" s="1"/>
  <c r="AT19" i="4"/>
  <c r="AU19" i="4"/>
  <c r="AV19" i="4"/>
  <c r="AW19" i="4"/>
  <c r="AX19" i="4"/>
  <c r="AY19" i="4"/>
  <c r="AZ19" i="4"/>
  <c r="BA19" i="4"/>
  <c r="BB19" i="4"/>
  <c r="BB74" i="5" s="1"/>
  <c r="BC19" i="4"/>
  <c r="BC74" i="5" s="1"/>
  <c r="BD19" i="4"/>
  <c r="D20" i="4"/>
  <c r="D75" i="5" s="1"/>
  <c r="E20" i="4"/>
  <c r="F20" i="4"/>
  <c r="G20" i="4"/>
  <c r="H20" i="4"/>
  <c r="I20" i="4"/>
  <c r="J20" i="4"/>
  <c r="K20" i="4"/>
  <c r="L20" i="4"/>
  <c r="M20" i="4"/>
  <c r="M75" i="5" s="1"/>
  <c r="N20" i="4"/>
  <c r="N75" i="5" s="1"/>
  <c r="O20" i="4"/>
  <c r="P20" i="4"/>
  <c r="P75" i="5" s="1"/>
  <c r="Q20" i="4"/>
  <c r="R20" i="4"/>
  <c r="S20" i="4"/>
  <c r="T20" i="4"/>
  <c r="U20" i="4"/>
  <c r="V20" i="4"/>
  <c r="W20" i="4"/>
  <c r="X20" i="4"/>
  <c r="Y20" i="4"/>
  <c r="Y75" i="5" s="1"/>
  <c r="Z20" i="4"/>
  <c r="Z75" i="5" s="1"/>
  <c r="AA20" i="4"/>
  <c r="AB20" i="4"/>
  <c r="AB75" i="5" s="1"/>
  <c r="AC20" i="4"/>
  <c r="AD20" i="4"/>
  <c r="AE20" i="4"/>
  <c r="AF20" i="4"/>
  <c r="AG20" i="4"/>
  <c r="AH20" i="4"/>
  <c r="AI20" i="4"/>
  <c r="AJ20" i="4"/>
  <c r="AK20" i="4"/>
  <c r="AK75" i="5" s="1"/>
  <c r="AL20" i="4"/>
  <c r="AL75" i="5" s="1"/>
  <c r="AM20" i="4"/>
  <c r="AN20" i="4"/>
  <c r="AN75" i="5" s="1"/>
  <c r="AO20" i="4"/>
  <c r="AP20" i="4"/>
  <c r="AQ20" i="4"/>
  <c r="AR20" i="4"/>
  <c r="AS20" i="4"/>
  <c r="AT20" i="4"/>
  <c r="AU20" i="4"/>
  <c r="AV20" i="4"/>
  <c r="AW20" i="4"/>
  <c r="AW75" i="5" s="1"/>
  <c r="AX20" i="4"/>
  <c r="AX75" i="5" s="1"/>
  <c r="AY20" i="4"/>
  <c r="AZ20" i="4"/>
  <c r="AZ75" i="5" s="1"/>
  <c r="BA20" i="4"/>
  <c r="BB20" i="4"/>
  <c r="BC20" i="4"/>
  <c r="BD20" i="4"/>
  <c r="D21" i="4"/>
  <c r="E21" i="4"/>
  <c r="F21" i="4"/>
  <c r="G21" i="4"/>
  <c r="H21" i="4"/>
  <c r="H76" i="5" s="1"/>
  <c r="I21" i="4"/>
  <c r="I76" i="5" s="1"/>
  <c r="J21" i="4"/>
  <c r="K21" i="4"/>
  <c r="K76" i="5" s="1"/>
  <c r="L21" i="4"/>
  <c r="M21" i="4"/>
  <c r="N21" i="4"/>
  <c r="O21" i="4"/>
  <c r="P21" i="4"/>
  <c r="Q21" i="4"/>
  <c r="R21" i="4"/>
  <c r="S21" i="4"/>
  <c r="T21" i="4"/>
  <c r="T76" i="5" s="1"/>
  <c r="U21" i="4"/>
  <c r="U76" i="5" s="1"/>
  <c r="V21" i="4"/>
  <c r="W21" i="4"/>
  <c r="W76" i="5" s="1"/>
  <c r="X21" i="4"/>
  <c r="Y21" i="4"/>
  <c r="Z21" i="4"/>
  <c r="AA21" i="4"/>
  <c r="AB21" i="4"/>
  <c r="AC21" i="4"/>
  <c r="AD21" i="4"/>
  <c r="AE21" i="4"/>
  <c r="AF21" i="4"/>
  <c r="AF76" i="5" s="1"/>
  <c r="AG21" i="4"/>
  <c r="AG76" i="5" s="1"/>
  <c r="AH21" i="4"/>
  <c r="AI21" i="4"/>
  <c r="AI76" i="5" s="1"/>
  <c r="AJ21" i="4"/>
  <c r="AK21" i="4"/>
  <c r="AL21" i="4"/>
  <c r="AM21" i="4"/>
  <c r="AN21" i="4"/>
  <c r="AO21" i="4"/>
  <c r="AP21" i="4"/>
  <c r="AQ21" i="4"/>
  <c r="AR21" i="4"/>
  <c r="AR76" i="5" s="1"/>
  <c r="AS21" i="4"/>
  <c r="AS76" i="5" s="1"/>
  <c r="AT21" i="4"/>
  <c r="AU21" i="4"/>
  <c r="AU76" i="5" s="1"/>
  <c r="AV21" i="4"/>
  <c r="AW21" i="4"/>
  <c r="AX21" i="4"/>
  <c r="AY21" i="4"/>
  <c r="AZ21" i="4"/>
  <c r="BA21" i="4"/>
  <c r="BB21" i="4"/>
  <c r="BC21" i="4"/>
  <c r="BD21" i="4"/>
  <c r="BD76" i="5" s="1"/>
  <c r="D22" i="4"/>
  <c r="D77" i="5" s="1"/>
  <c r="E22" i="4"/>
  <c r="F22" i="4"/>
  <c r="G22" i="4"/>
  <c r="H22" i="4"/>
  <c r="I22" i="4"/>
  <c r="J22" i="4"/>
  <c r="K22" i="4"/>
  <c r="L22" i="4"/>
  <c r="M22" i="4"/>
  <c r="N22" i="4"/>
  <c r="O22" i="4"/>
  <c r="P22" i="4"/>
  <c r="P77" i="5" s="1"/>
  <c r="Q22" i="4"/>
  <c r="R22" i="4"/>
  <c r="S22" i="4"/>
  <c r="T22" i="4"/>
  <c r="U22" i="4"/>
  <c r="V22" i="4"/>
  <c r="W22" i="4"/>
  <c r="X22" i="4"/>
  <c r="Y22" i="4"/>
  <c r="Z22" i="4"/>
  <c r="AA22" i="4"/>
  <c r="AB22" i="4"/>
  <c r="AB77" i="5" s="1"/>
  <c r="AC22" i="4"/>
  <c r="AD22" i="4"/>
  <c r="AE22" i="4"/>
  <c r="AF22" i="4"/>
  <c r="AG22" i="4"/>
  <c r="AH22" i="4"/>
  <c r="AI22" i="4"/>
  <c r="AJ22" i="4"/>
  <c r="AK22" i="4"/>
  <c r="AL22" i="4"/>
  <c r="AM22" i="4"/>
  <c r="AN22" i="4"/>
  <c r="AN77" i="5" s="1"/>
  <c r="AO22" i="4"/>
  <c r="AP22" i="4"/>
  <c r="AQ22" i="4"/>
  <c r="AR22" i="4"/>
  <c r="AS22" i="4"/>
  <c r="AT22" i="4"/>
  <c r="AU22" i="4"/>
  <c r="AV22" i="4"/>
  <c r="AW22" i="4"/>
  <c r="AX22" i="4"/>
  <c r="AY22" i="4"/>
  <c r="AZ22" i="4"/>
  <c r="AZ77" i="5" s="1"/>
  <c r="BA22" i="4"/>
  <c r="BB22" i="4"/>
  <c r="BC22" i="4"/>
  <c r="BD22" i="4"/>
  <c r="D23" i="4"/>
  <c r="E23" i="4"/>
  <c r="F23" i="4"/>
  <c r="G23" i="4"/>
  <c r="H23" i="4"/>
  <c r="I23" i="4"/>
  <c r="J23" i="4"/>
  <c r="J78" i="5" s="1"/>
  <c r="K23" i="4"/>
  <c r="K78" i="5" s="1"/>
  <c r="L23" i="4"/>
  <c r="M23" i="4"/>
  <c r="M78" i="5" s="1"/>
  <c r="N23" i="4"/>
  <c r="O23" i="4"/>
  <c r="P23" i="4"/>
  <c r="Q23" i="4"/>
  <c r="R23" i="4"/>
  <c r="S23" i="4"/>
  <c r="T23" i="4"/>
  <c r="U23" i="4"/>
  <c r="V23" i="4"/>
  <c r="V78" i="5" s="1"/>
  <c r="W23" i="4"/>
  <c r="W78" i="5" s="1"/>
  <c r="X23" i="4"/>
  <c r="Y23" i="4"/>
  <c r="Y78" i="5" s="1"/>
  <c r="Z23" i="4"/>
  <c r="AA23" i="4"/>
  <c r="AB23" i="4"/>
  <c r="AC23" i="4"/>
  <c r="AD23" i="4"/>
  <c r="AE23" i="4"/>
  <c r="AF23" i="4"/>
  <c r="AG23" i="4"/>
  <c r="AH23" i="4"/>
  <c r="AH78" i="5" s="1"/>
  <c r="AI23" i="4"/>
  <c r="AI78" i="5" s="1"/>
  <c r="AJ23" i="4"/>
  <c r="AK23" i="4"/>
  <c r="AK78" i="5" s="1"/>
  <c r="AL23" i="4"/>
  <c r="AM23" i="4"/>
  <c r="AN23" i="4"/>
  <c r="AO23" i="4"/>
  <c r="AP23" i="4"/>
  <c r="AQ23" i="4"/>
  <c r="AR23" i="4"/>
  <c r="AS23" i="4"/>
  <c r="AT23" i="4"/>
  <c r="AT78" i="5" s="1"/>
  <c r="AU23" i="4"/>
  <c r="AU78" i="5" s="1"/>
  <c r="AV23" i="4"/>
  <c r="AW23" i="4"/>
  <c r="AW78" i="5" s="1"/>
  <c r="AX23" i="4"/>
  <c r="AY23" i="4"/>
  <c r="AZ23" i="4"/>
  <c r="BA23" i="4"/>
  <c r="BB23" i="4"/>
  <c r="BC23" i="4"/>
  <c r="BD23" i="4"/>
  <c r="D24" i="4"/>
  <c r="E24" i="4"/>
  <c r="E79" i="5" s="1"/>
  <c r="F24" i="4"/>
  <c r="F79" i="5" s="1"/>
  <c r="G24" i="4"/>
  <c r="H24" i="4"/>
  <c r="H79" i="5" s="1"/>
  <c r="I24" i="4"/>
  <c r="J24" i="4"/>
  <c r="K24" i="4"/>
  <c r="L24" i="4"/>
  <c r="M24" i="4"/>
  <c r="N24" i="4"/>
  <c r="O24" i="4"/>
  <c r="P24" i="4"/>
  <c r="Q24" i="4"/>
  <c r="Q79" i="5" s="1"/>
  <c r="R24" i="4"/>
  <c r="S24" i="4"/>
  <c r="T24" i="4"/>
  <c r="U24" i="4"/>
  <c r="V24" i="4"/>
  <c r="W24" i="4"/>
  <c r="X24" i="4"/>
  <c r="Y24" i="4"/>
  <c r="Z24" i="4"/>
  <c r="AA24" i="4"/>
  <c r="AB24" i="4"/>
  <c r="AC24" i="4"/>
  <c r="AC79" i="5" s="1"/>
  <c r="AD24" i="4"/>
  <c r="AE24" i="4"/>
  <c r="AF24" i="4"/>
  <c r="AG24" i="4"/>
  <c r="AH24" i="4"/>
  <c r="AI24" i="4"/>
  <c r="AJ24" i="4"/>
  <c r="AK24" i="4"/>
  <c r="AL24" i="4"/>
  <c r="AM24" i="4"/>
  <c r="AN24" i="4"/>
  <c r="AO24" i="4"/>
  <c r="AO79" i="5" s="1"/>
  <c r="AP24" i="4"/>
  <c r="AQ24" i="4"/>
  <c r="AR24" i="4"/>
  <c r="AS24" i="4"/>
  <c r="AT24" i="4"/>
  <c r="AU24" i="4"/>
  <c r="AV24" i="4"/>
  <c r="AW24" i="4"/>
  <c r="AX24" i="4"/>
  <c r="AY24" i="4"/>
  <c r="AZ24" i="4"/>
  <c r="BA24" i="4"/>
  <c r="BA79" i="5" s="1"/>
  <c r="BB24" i="4"/>
  <c r="BB79" i="5" s="1"/>
  <c r="BC24" i="4"/>
  <c r="BD24" i="4"/>
  <c r="BD79" i="5" s="1"/>
  <c r="D25" i="4"/>
  <c r="E25" i="4"/>
  <c r="F25" i="4"/>
  <c r="G25" i="4"/>
  <c r="H25" i="4"/>
  <c r="I25" i="4"/>
  <c r="J25" i="4"/>
  <c r="K25" i="4"/>
  <c r="L25" i="4"/>
  <c r="L80" i="5" s="1"/>
  <c r="M25" i="4"/>
  <c r="M80" i="5" s="1"/>
  <c r="N25" i="4"/>
  <c r="O25" i="4"/>
  <c r="O80" i="5" s="1"/>
  <c r="P25" i="4"/>
  <c r="Q25" i="4"/>
  <c r="R25" i="4"/>
  <c r="S25" i="4"/>
  <c r="T25" i="4"/>
  <c r="U25" i="4"/>
  <c r="V25" i="4"/>
  <c r="W25" i="4"/>
  <c r="X25" i="4"/>
  <c r="X80" i="5" s="1"/>
  <c r="Y25" i="4"/>
  <c r="Y80" i="5" s="1"/>
  <c r="Z25" i="4"/>
  <c r="AA25" i="4"/>
  <c r="AA80" i="5" s="1"/>
  <c r="AB25" i="4"/>
  <c r="AC25" i="4"/>
  <c r="AD25" i="4"/>
  <c r="AE25" i="4"/>
  <c r="AF25" i="4"/>
  <c r="AG25" i="4"/>
  <c r="AH25" i="4"/>
  <c r="AI25" i="4"/>
  <c r="AJ25" i="4"/>
  <c r="AJ80" i="5" s="1"/>
  <c r="AK25" i="4"/>
  <c r="AK80" i="5" s="1"/>
  <c r="AL25" i="4"/>
  <c r="AM25" i="4"/>
  <c r="AM80" i="5" s="1"/>
  <c r="AN25" i="4"/>
  <c r="AO25" i="4"/>
  <c r="AP25" i="4"/>
  <c r="AQ25" i="4"/>
  <c r="AR25" i="4"/>
  <c r="AS25" i="4"/>
  <c r="AT25" i="4"/>
  <c r="AU25" i="4"/>
  <c r="AV25" i="4"/>
  <c r="AV80" i="5" s="1"/>
  <c r="AW25" i="4"/>
  <c r="AW80" i="5" s="1"/>
  <c r="AX25" i="4"/>
  <c r="AY25" i="4"/>
  <c r="AY80" i="5" s="1"/>
  <c r="AZ25" i="4"/>
  <c r="BA25" i="4"/>
  <c r="BB25" i="4"/>
  <c r="BC25" i="4"/>
  <c r="BD25" i="4"/>
  <c r="D26" i="4"/>
  <c r="E26" i="4"/>
  <c r="F26" i="4"/>
  <c r="G26" i="4"/>
  <c r="G81" i="5" s="1"/>
  <c r="H26" i="4"/>
  <c r="H81" i="5" s="1"/>
  <c r="I26" i="4"/>
  <c r="J26" i="4"/>
  <c r="J81" i="5" s="1"/>
  <c r="K26" i="4"/>
  <c r="L26" i="4"/>
  <c r="M26" i="4"/>
  <c r="N26" i="4"/>
  <c r="O26" i="4"/>
  <c r="P26" i="4"/>
  <c r="Q26" i="4"/>
  <c r="R26" i="4"/>
  <c r="S26" i="4"/>
  <c r="S81" i="5" s="1"/>
  <c r="T26" i="4"/>
  <c r="U26" i="4"/>
  <c r="V26" i="4"/>
  <c r="V81" i="5" s="1"/>
  <c r="W26" i="4"/>
  <c r="X26" i="4"/>
  <c r="Y26" i="4"/>
  <c r="Z26" i="4"/>
  <c r="AA26" i="4"/>
  <c r="AB26" i="4"/>
  <c r="AC26" i="4"/>
  <c r="AD26" i="4"/>
  <c r="AE26" i="4"/>
  <c r="AE81" i="5" s="1"/>
  <c r="AF26" i="4"/>
  <c r="AG26" i="4"/>
  <c r="AH26" i="4"/>
  <c r="AH81" i="5" s="1"/>
  <c r="AI26" i="4"/>
  <c r="AJ26" i="4"/>
  <c r="AK26" i="4"/>
  <c r="AL26" i="4"/>
  <c r="AM26" i="4"/>
  <c r="AN26" i="4"/>
  <c r="AO26" i="4"/>
  <c r="AP26" i="4"/>
  <c r="AQ26" i="4"/>
  <c r="AQ81" i="5" s="1"/>
  <c r="AR26" i="4"/>
  <c r="AS26" i="4"/>
  <c r="AT26" i="4"/>
  <c r="AT81" i="5" s="1"/>
  <c r="AU26" i="4"/>
  <c r="AV26" i="4"/>
  <c r="AW26" i="4"/>
  <c r="AX26" i="4"/>
  <c r="AY26" i="4"/>
  <c r="AZ26" i="4"/>
  <c r="BA26" i="4"/>
  <c r="BB26" i="4"/>
  <c r="BC26" i="4"/>
  <c r="BC81" i="5" s="1"/>
  <c r="BD26" i="4"/>
  <c r="D27" i="4"/>
  <c r="E27" i="4"/>
  <c r="E82" i="5" s="1"/>
  <c r="F27" i="4"/>
  <c r="G27" i="4"/>
  <c r="H27" i="4"/>
  <c r="I27" i="4"/>
  <c r="J27" i="4"/>
  <c r="K27" i="4"/>
  <c r="L27" i="4"/>
  <c r="M27" i="4"/>
  <c r="N27" i="4"/>
  <c r="N82" i="5" s="1"/>
  <c r="O27" i="4"/>
  <c r="P27" i="4"/>
  <c r="Q27" i="4"/>
  <c r="R27" i="4"/>
  <c r="S27" i="4"/>
  <c r="T27" i="4"/>
  <c r="U27" i="4"/>
  <c r="V27" i="4"/>
  <c r="W27" i="4"/>
  <c r="X27" i="4"/>
  <c r="Y27" i="4"/>
  <c r="Z27" i="4"/>
  <c r="Z82" i="5" s="1"/>
  <c r="AA27" i="4"/>
  <c r="AB27" i="4"/>
  <c r="AC27" i="4"/>
  <c r="AD27" i="4"/>
  <c r="AE27" i="4"/>
  <c r="AF27" i="4"/>
  <c r="AG27" i="4"/>
  <c r="AH27" i="4"/>
  <c r="AI27" i="4"/>
  <c r="AJ27" i="4"/>
  <c r="AK27" i="4"/>
  <c r="AL27" i="4"/>
  <c r="AL82" i="5" s="1"/>
  <c r="AM27" i="4"/>
  <c r="AN27" i="4"/>
  <c r="AO27" i="4"/>
  <c r="AP27" i="4"/>
  <c r="AQ27" i="4"/>
  <c r="AR27" i="4"/>
  <c r="AS27" i="4"/>
  <c r="AT27" i="4"/>
  <c r="AU27" i="4"/>
  <c r="AV27" i="4"/>
  <c r="AW27" i="4"/>
  <c r="AX27" i="4"/>
  <c r="AX82" i="5" s="1"/>
  <c r="AY27" i="4"/>
  <c r="AZ27" i="4"/>
  <c r="BA27" i="4"/>
  <c r="BB27" i="4"/>
  <c r="BC27" i="4"/>
  <c r="BD27" i="4"/>
  <c r="D28" i="4"/>
  <c r="E28" i="4"/>
  <c r="F28" i="4"/>
  <c r="G28" i="4"/>
  <c r="H28" i="4"/>
  <c r="I28" i="4"/>
  <c r="I83" i="5" s="1"/>
  <c r="J28" i="4"/>
  <c r="J83" i="5" s="1"/>
  <c r="K28" i="4"/>
  <c r="L28" i="4"/>
  <c r="M28" i="4"/>
  <c r="N28" i="4"/>
  <c r="O28" i="4"/>
  <c r="P28" i="4"/>
  <c r="Q28" i="4"/>
  <c r="R28" i="4"/>
  <c r="S28" i="4"/>
  <c r="T28" i="4"/>
  <c r="U28" i="4"/>
  <c r="U83" i="5" s="1"/>
  <c r="V28" i="4"/>
  <c r="V83" i="5" s="1"/>
  <c r="W28" i="4"/>
  <c r="X28" i="4"/>
  <c r="X83" i="5" s="1"/>
  <c r="Y28" i="4"/>
  <c r="Z28" i="4"/>
  <c r="AA28" i="4"/>
  <c r="AB28" i="4"/>
  <c r="AC28" i="4"/>
  <c r="AD28" i="4"/>
  <c r="AE28" i="4"/>
  <c r="AF28" i="4"/>
  <c r="AG28" i="4"/>
  <c r="AG83" i="5" s="1"/>
  <c r="AH28" i="4"/>
  <c r="AH83" i="5" s="1"/>
  <c r="AI28" i="4"/>
  <c r="AJ28" i="4"/>
  <c r="AJ83" i="5" s="1"/>
  <c r="AK28" i="4"/>
  <c r="AL28" i="4"/>
  <c r="AM28" i="4"/>
  <c r="AN28" i="4"/>
  <c r="AO28" i="4"/>
  <c r="AP28" i="4"/>
  <c r="AQ28" i="4"/>
  <c r="AR28" i="4"/>
  <c r="AS28" i="4"/>
  <c r="AS83" i="5" s="1"/>
  <c r="AT28" i="4"/>
  <c r="AT83" i="5" s="1"/>
  <c r="AU28" i="4"/>
  <c r="AV28" i="4"/>
  <c r="AV83" i="5" s="1"/>
  <c r="AW28" i="4"/>
  <c r="AX28" i="4"/>
  <c r="AY28" i="4"/>
  <c r="AZ28" i="4"/>
  <c r="BA28" i="4"/>
  <c r="BB28" i="4"/>
  <c r="BC28" i="4"/>
  <c r="BD28" i="4"/>
  <c r="D29" i="4"/>
  <c r="D84" i="5" s="1"/>
  <c r="E29" i="4"/>
  <c r="E84" i="5" s="1"/>
  <c r="F29" i="4"/>
  <c r="G29" i="4"/>
  <c r="H29" i="4"/>
  <c r="I29" i="4"/>
  <c r="J29" i="4"/>
  <c r="K29" i="4"/>
  <c r="L29" i="4"/>
  <c r="M29" i="4"/>
  <c r="N29" i="4"/>
  <c r="O29" i="4"/>
  <c r="P29" i="4"/>
  <c r="P84" i="5" s="1"/>
  <c r="Q29" i="4"/>
  <c r="Q84" i="5" s="1"/>
  <c r="R29" i="4"/>
  <c r="S29" i="4"/>
  <c r="S84" i="5" s="1"/>
  <c r="T29" i="4"/>
  <c r="U29" i="4"/>
  <c r="V29" i="4"/>
  <c r="W29" i="4"/>
  <c r="X29" i="4"/>
  <c r="Y29" i="4"/>
  <c r="Z29" i="4"/>
  <c r="AA29" i="4"/>
  <c r="AB29" i="4"/>
  <c r="AB84" i="5" s="1"/>
  <c r="AC29" i="4"/>
  <c r="AC84" i="5" s="1"/>
  <c r="AD29" i="4"/>
  <c r="AE29" i="4"/>
  <c r="AE84" i="5" s="1"/>
  <c r="AF29" i="4"/>
  <c r="AG29" i="4"/>
  <c r="AH29" i="4"/>
  <c r="AI29" i="4"/>
  <c r="AJ29" i="4"/>
  <c r="AK29" i="4"/>
  <c r="AL29" i="4"/>
  <c r="AM29" i="4"/>
  <c r="AN29" i="4"/>
  <c r="AN84" i="5" s="1"/>
  <c r="AO29" i="4"/>
  <c r="AO84" i="5" s="1"/>
  <c r="AP29" i="4"/>
  <c r="AQ29" i="4"/>
  <c r="AQ84" i="5" s="1"/>
  <c r="AR29" i="4"/>
  <c r="AS29" i="4"/>
  <c r="AT29" i="4"/>
  <c r="AU29" i="4"/>
  <c r="AV29" i="4"/>
  <c r="AW29" i="4"/>
  <c r="AX29" i="4"/>
  <c r="AY29" i="4"/>
  <c r="AZ29" i="4"/>
  <c r="AZ84" i="5" s="1"/>
  <c r="BA29" i="4"/>
  <c r="BA84" i="5" s="1"/>
  <c r="BB29" i="4"/>
  <c r="BC29" i="4"/>
  <c r="BC84" i="5" s="1"/>
  <c r="BD29" i="4"/>
  <c r="D30" i="4"/>
  <c r="E30" i="4"/>
  <c r="F30" i="4"/>
  <c r="G30" i="4"/>
  <c r="H30" i="4"/>
  <c r="I30" i="4"/>
  <c r="J30" i="4"/>
  <c r="K30" i="4"/>
  <c r="K85" i="5" s="1"/>
  <c r="L30" i="4"/>
  <c r="L85" i="5" s="1"/>
  <c r="M30" i="4"/>
  <c r="N30" i="4"/>
  <c r="N85" i="5" s="1"/>
  <c r="O30" i="4"/>
  <c r="P30" i="4"/>
  <c r="Q30" i="4"/>
  <c r="R30" i="4"/>
  <c r="S30" i="4"/>
  <c r="T30" i="4"/>
  <c r="U30" i="4"/>
  <c r="V30" i="4"/>
  <c r="W30" i="4"/>
  <c r="X30" i="4"/>
  <c r="X85" i="5" s="1"/>
  <c r="Y30" i="4"/>
  <c r="Z30" i="4"/>
  <c r="Z85" i="5" s="1"/>
  <c r="AA30" i="4"/>
  <c r="AB30" i="4"/>
  <c r="AC30" i="4"/>
  <c r="AD30" i="4"/>
  <c r="AE30" i="4"/>
  <c r="AF30" i="4"/>
  <c r="AG30" i="4"/>
  <c r="AH30" i="4"/>
  <c r="AI30" i="4"/>
  <c r="AJ30" i="4"/>
  <c r="AJ85" i="5" s="1"/>
  <c r="AK30" i="4"/>
  <c r="AL30" i="4"/>
  <c r="AL85" i="5" s="1"/>
  <c r="AM30" i="4"/>
  <c r="AN30" i="4"/>
  <c r="AO30" i="4"/>
  <c r="AP30" i="4"/>
  <c r="AQ30" i="4"/>
  <c r="AR30" i="4"/>
  <c r="AS30" i="4"/>
  <c r="AT30" i="4"/>
  <c r="AU30" i="4"/>
  <c r="AU85" i="5" s="1"/>
  <c r="AV30" i="4"/>
  <c r="AW30" i="4"/>
  <c r="AX30" i="4"/>
  <c r="AX85" i="5" s="1"/>
  <c r="AY30" i="4"/>
  <c r="AZ30" i="4"/>
  <c r="BA30" i="4"/>
  <c r="BB30" i="4"/>
  <c r="BC30" i="4"/>
  <c r="BD30" i="4"/>
  <c r="D31" i="4"/>
  <c r="E31" i="4"/>
  <c r="F31" i="4"/>
  <c r="F86" i="5" s="1"/>
  <c r="G31" i="4"/>
  <c r="G86" i="5" s="1"/>
  <c r="H31" i="4"/>
  <c r="I31" i="4"/>
  <c r="I86" i="5" s="1"/>
  <c r="J31" i="4"/>
  <c r="K31" i="4"/>
  <c r="L31" i="4"/>
  <c r="M31" i="4"/>
  <c r="N31" i="4"/>
  <c r="O31" i="4"/>
  <c r="P31" i="4"/>
  <c r="Q31" i="4"/>
  <c r="R31" i="4"/>
  <c r="R86" i="5" s="1"/>
  <c r="S31" i="4"/>
  <c r="S86" i="5" s="1"/>
  <c r="T31" i="4"/>
  <c r="U31" i="4"/>
  <c r="U86" i="5" s="1"/>
  <c r="V31" i="4"/>
  <c r="W31" i="4"/>
  <c r="X31" i="4"/>
  <c r="Y31" i="4"/>
  <c r="Z31" i="4"/>
  <c r="AA31" i="4"/>
  <c r="AB31" i="4"/>
  <c r="AC31" i="4"/>
  <c r="AD31" i="4"/>
  <c r="AD86" i="5" s="1"/>
  <c r="AE31" i="4"/>
  <c r="AE86" i="5" s="1"/>
  <c r="AF31" i="4"/>
  <c r="AG31" i="4"/>
  <c r="AG86" i="5" s="1"/>
  <c r="AH31" i="4"/>
  <c r="AI31" i="4"/>
  <c r="AJ31" i="4"/>
  <c r="AK31" i="4"/>
  <c r="AL31" i="4"/>
  <c r="AM31" i="4"/>
  <c r="AN31" i="4"/>
  <c r="AO31" i="4"/>
  <c r="AP31" i="4"/>
  <c r="AP86" i="5" s="1"/>
  <c r="AQ31" i="4"/>
  <c r="AR31" i="4"/>
  <c r="AS31" i="4"/>
  <c r="AS86" i="5" s="1"/>
  <c r="AT31" i="4"/>
  <c r="AU31" i="4"/>
  <c r="AV31" i="4"/>
  <c r="AW31" i="4"/>
  <c r="AX31" i="4"/>
  <c r="AY31" i="4"/>
  <c r="AZ31" i="4"/>
  <c r="BA31" i="4"/>
  <c r="BB31" i="4"/>
  <c r="BB86" i="5" s="1"/>
  <c r="BC31" i="4"/>
  <c r="BC86" i="5" s="1"/>
  <c r="BD31" i="4"/>
  <c r="D32" i="4"/>
  <c r="D87" i="5" s="1"/>
  <c r="E32" i="4"/>
  <c r="F32" i="4"/>
  <c r="G32" i="4"/>
  <c r="H32" i="4"/>
  <c r="I32" i="4"/>
  <c r="J32" i="4"/>
  <c r="K32" i="4"/>
  <c r="L32" i="4"/>
  <c r="M32" i="4"/>
  <c r="M87" i="5" s="1"/>
  <c r="N32" i="4"/>
  <c r="O32" i="4"/>
  <c r="P32" i="4"/>
  <c r="P87" i="5" s="1"/>
  <c r="Q32" i="4"/>
  <c r="R32" i="4"/>
  <c r="S32" i="4"/>
  <c r="T32" i="4"/>
  <c r="U32" i="4"/>
  <c r="V32" i="4"/>
  <c r="W32" i="4"/>
  <c r="X32" i="4"/>
  <c r="Y32" i="4"/>
  <c r="Y87" i="5" s="1"/>
  <c r="Z32" i="4"/>
  <c r="Z87" i="5" s="1"/>
  <c r="AA32" i="4"/>
  <c r="AB32" i="4"/>
  <c r="AB87" i="5" s="1"/>
  <c r="AC32" i="4"/>
  <c r="AD32" i="4"/>
  <c r="AE32" i="4"/>
  <c r="AF32" i="4"/>
  <c r="AG32" i="4"/>
  <c r="AH32" i="4"/>
  <c r="AI32" i="4"/>
  <c r="AJ32" i="4"/>
  <c r="AK32" i="4"/>
  <c r="AK87" i="5" s="1"/>
  <c r="AL32" i="4"/>
  <c r="AM32" i="4"/>
  <c r="AN32" i="4"/>
  <c r="AO32" i="4"/>
  <c r="AP32" i="4"/>
  <c r="AQ32" i="4"/>
  <c r="AR32" i="4"/>
  <c r="AS32" i="4"/>
  <c r="AT32" i="4"/>
  <c r="AU32" i="4"/>
  <c r="AV32" i="4"/>
  <c r="AW32" i="4"/>
  <c r="AW87" i="5" s="1"/>
  <c r="AX32" i="4"/>
  <c r="AX87" i="5" s="1"/>
  <c r="AY32" i="4"/>
  <c r="AZ32" i="4"/>
  <c r="AZ87" i="5" s="1"/>
  <c r="BA32" i="4"/>
  <c r="BB32" i="4"/>
  <c r="BC32" i="4"/>
  <c r="BD32" i="4"/>
  <c r="D33" i="4"/>
  <c r="E33" i="4"/>
  <c r="F33" i="4"/>
  <c r="G33" i="4"/>
  <c r="H33" i="4"/>
  <c r="H88" i="5" s="1"/>
  <c r="I33" i="4"/>
  <c r="I88" i="5" s="1"/>
  <c r="J33" i="4"/>
  <c r="K33" i="4"/>
  <c r="K88" i="5" s="1"/>
  <c r="L33" i="4"/>
  <c r="M33" i="4"/>
  <c r="N33" i="4"/>
  <c r="O33" i="4"/>
  <c r="P33" i="4"/>
  <c r="Q33" i="4"/>
  <c r="R33" i="4"/>
  <c r="S33" i="4"/>
  <c r="T33" i="4"/>
  <c r="T88" i="5" s="1"/>
  <c r="U33" i="4"/>
  <c r="U88" i="5" s="1"/>
  <c r="V33" i="4"/>
  <c r="W33" i="4"/>
  <c r="W88" i="5" s="1"/>
  <c r="X33" i="4"/>
  <c r="Y33" i="4"/>
  <c r="Z33" i="4"/>
  <c r="AA33" i="4"/>
  <c r="AB33" i="4"/>
  <c r="AC33" i="4"/>
  <c r="AD33" i="4"/>
  <c r="AE33" i="4"/>
  <c r="AF33" i="4"/>
  <c r="AF88" i="5" s="1"/>
  <c r="AG33" i="4"/>
  <c r="AG88" i="5" s="1"/>
  <c r="AH33" i="4"/>
  <c r="AI33" i="4"/>
  <c r="AI88" i="5" s="1"/>
  <c r="AJ33" i="4"/>
  <c r="AK33" i="4"/>
  <c r="AL33" i="4"/>
  <c r="AM33" i="4"/>
  <c r="AN33" i="4"/>
  <c r="AO33" i="4"/>
  <c r="AP33" i="4"/>
  <c r="AQ33" i="4"/>
  <c r="AR33" i="4"/>
  <c r="AR88" i="5" s="1"/>
  <c r="AS33" i="4"/>
  <c r="AS88" i="5" s="1"/>
  <c r="AT33" i="4"/>
  <c r="AU33" i="4"/>
  <c r="AU88" i="5" s="1"/>
  <c r="AV33" i="4"/>
  <c r="AW33" i="4"/>
  <c r="AX33" i="4"/>
  <c r="AY33" i="4"/>
  <c r="AZ33" i="4"/>
  <c r="BA33" i="4"/>
  <c r="BB33" i="4"/>
  <c r="BC33" i="4"/>
  <c r="BD33" i="4"/>
  <c r="BD88" i="5" s="1"/>
  <c r="D34" i="4"/>
  <c r="E34" i="4"/>
  <c r="F34" i="4"/>
  <c r="F89" i="5" s="1"/>
  <c r="G34" i="4"/>
  <c r="H34" i="4"/>
  <c r="I34" i="4"/>
  <c r="J34" i="4"/>
  <c r="K34" i="4"/>
  <c r="L34" i="4"/>
  <c r="M34" i="4"/>
  <c r="N34" i="4"/>
  <c r="O34" i="4"/>
  <c r="P34" i="4"/>
  <c r="P89" i="5" s="1"/>
  <c r="Q34" i="4"/>
  <c r="R34" i="4"/>
  <c r="R89" i="5" s="1"/>
  <c r="S34" i="4"/>
  <c r="T34" i="4"/>
  <c r="U34" i="4"/>
  <c r="V34" i="4"/>
  <c r="W34" i="4"/>
  <c r="X34" i="4"/>
  <c r="Y34" i="4"/>
  <c r="Z34" i="4"/>
  <c r="AA34" i="4"/>
  <c r="AA89" i="5" s="1"/>
  <c r="AB34" i="4"/>
  <c r="AC34" i="4"/>
  <c r="AD34" i="4"/>
  <c r="AE34" i="4"/>
  <c r="AF34" i="4"/>
  <c r="AG34" i="4"/>
  <c r="AH34" i="4"/>
  <c r="AI34" i="4"/>
  <c r="AJ34" i="4"/>
  <c r="AK34" i="4"/>
  <c r="AL34" i="4"/>
  <c r="AM34" i="4"/>
  <c r="AM89" i="5" s="1"/>
  <c r="AN34" i="4"/>
  <c r="AN89" i="5" s="1"/>
  <c r="AO34" i="4"/>
  <c r="AP34" i="4"/>
  <c r="AP89" i="5" s="1"/>
  <c r="AQ34" i="4"/>
  <c r="AR34" i="4"/>
  <c r="AS34" i="4"/>
  <c r="AT34" i="4"/>
  <c r="AU34" i="4"/>
  <c r="AV34" i="4"/>
  <c r="AW34" i="4"/>
  <c r="AX34" i="4"/>
  <c r="AY34" i="4"/>
  <c r="AY89" i="5" s="1"/>
  <c r="AZ34" i="4"/>
  <c r="AZ89" i="5" s="1"/>
  <c r="BA34" i="4"/>
  <c r="BB34" i="4"/>
  <c r="BC34" i="4"/>
  <c r="BD34" i="4"/>
  <c r="D35" i="4"/>
  <c r="E35" i="4"/>
  <c r="F35" i="4"/>
  <c r="G35" i="4"/>
  <c r="H35" i="4"/>
  <c r="I35" i="4"/>
  <c r="J35" i="4"/>
  <c r="J90" i="5" s="1"/>
  <c r="K35" i="4"/>
  <c r="K90" i="5" s="1"/>
  <c r="L35" i="4"/>
  <c r="M35" i="4"/>
  <c r="M90" i="5" s="1"/>
  <c r="N35" i="4"/>
  <c r="O35" i="4"/>
  <c r="P35" i="4"/>
  <c r="Q35" i="4"/>
  <c r="R35" i="4"/>
  <c r="S35" i="4"/>
  <c r="T35" i="4"/>
  <c r="U35" i="4"/>
  <c r="V35" i="4"/>
  <c r="V90" i="5" s="1"/>
  <c r="W35" i="4"/>
  <c r="W90" i="5" s="1"/>
  <c r="X35" i="4"/>
  <c r="Y35" i="4"/>
  <c r="Y90" i="5" s="1"/>
  <c r="Z35" i="4"/>
  <c r="AA35" i="4"/>
  <c r="AB35" i="4"/>
  <c r="AC35" i="4"/>
  <c r="AD35" i="4"/>
  <c r="AE35" i="4"/>
  <c r="AF35" i="4"/>
  <c r="AG35" i="4"/>
  <c r="AH35" i="4"/>
  <c r="AH90" i="5" s="1"/>
  <c r="AI35" i="4"/>
  <c r="AI90" i="5" s="1"/>
  <c r="AJ35" i="4"/>
  <c r="AK35" i="4"/>
  <c r="AK90" i="5" s="1"/>
  <c r="AL35" i="4"/>
  <c r="AM35" i="4"/>
  <c r="AN35" i="4"/>
  <c r="AO35" i="4"/>
  <c r="AP35" i="4"/>
  <c r="AQ35" i="4"/>
  <c r="AR35" i="4"/>
  <c r="AS35" i="4"/>
  <c r="AT35" i="4"/>
  <c r="AT90" i="5" s="1"/>
  <c r="AU35" i="4"/>
  <c r="AU90" i="5" s="1"/>
  <c r="AV35" i="4"/>
  <c r="AW35" i="4"/>
  <c r="AW90" i="5" s="1"/>
  <c r="AX35" i="4"/>
  <c r="AY35" i="4"/>
  <c r="AZ35" i="4"/>
  <c r="BA35" i="4"/>
  <c r="BB35" i="4"/>
  <c r="BC35" i="4"/>
  <c r="BD35" i="4"/>
  <c r="D36" i="4"/>
  <c r="E36" i="4"/>
  <c r="F36" i="4"/>
  <c r="F91" i="5" s="1"/>
  <c r="G36" i="4"/>
  <c r="H36" i="4"/>
  <c r="H91" i="5" s="1"/>
  <c r="I36" i="4"/>
  <c r="J36" i="4"/>
  <c r="K36" i="4"/>
  <c r="L36" i="4"/>
  <c r="M36" i="4"/>
  <c r="N36" i="4"/>
  <c r="O36" i="4"/>
  <c r="P36" i="4"/>
  <c r="Q36" i="4"/>
  <c r="R36" i="4"/>
  <c r="R91" i="5" s="1"/>
  <c r="S36" i="4"/>
  <c r="T36" i="4"/>
  <c r="T91" i="5" s="1"/>
  <c r="U36" i="4"/>
  <c r="V36" i="4"/>
  <c r="W36" i="4"/>
  <c r="X36" i="4"/>
  <c r="Y36" i="4"/>
  <c r="Z36" i="4"/>
  <c r="AA36" i="4"/>
  <c r="AB36" i="4"/>
  <c r="AC36" i="4"/>
  <c r="AC91" i="5" s="1"/>
  <c r="AD36" i="4"/>
  <c r="AE36" i="4"/>
  <c r="AF36" i="4"/>
  <c r="AG36" i="4"/>
  <c r="AH36" i="4"/>
  <c r="AI36" i="4"/>
  <c r="AJ36" i="4"/>
  <c r="AK36" i="4"/>
  <c r="AL36" i="4"/>
  <c r="AM36" i="4"/>
  <c r="AN36" i="4"/>
  <c r="AO36" i="4"/>
  <c r="AO91" i="5" s="1"/>
  <c r="AP36" i="4"/>
  <c r="AP91" i="5" s="1"/>
  <c r="AQ36" i="4"/>
  <c r="AR36" i="4"/>
  <c r="AR91" i="5" s="1"/>
  <c r="AS36" i="4"/>
  <c r="AT36" i="4"/>
  <c r="AU36" i="4"/>
  <c r="AV36" i="4"/>
  <c r="AW36" i="4"/>
  <c r="AX36" i="4"/>
  <c r="AY36" i="4"/>
  <c r="AZ36" i="4"/>
  <c r="BA36" i="4"/>
  <c r="BA91" i="5" s="1"/>
  <c r="BB36" i="4"/>
  <c r="BB91" i="5" s="1"/>
  <c r="BC36" i="4"/>
  <c r="BD36" i="4"/>
  <c r="D37" i="4"/>
  <c r="E37" i="4"/>
  <c r="F37" i="4"/>
  <c r="G37" i="4"/>
  <c r="H37" i="4"/>
  <c r="I37" i="4"/>
  <c r="J37" i="4"/>
  <c r="K37" i="4"/>
  <c r="L37" i="4"/>
  <c r="L92" i="5" s="1"/>
  <c r="M37" i="4"/>
  <c r="M92" i="5" s="1"/>
  <c r="N37" i="4"/>
  <c r="O37" i="4"/>
  <c r="O92" i="5" s="1"/>
  <c r="P37" i="4"/>
  <c r="Q37" i="4"/>
  <c r="R37" i="4"/>
  <c r="S37" i="4"/>
  <c r="T37" i="4"/>
  <c r="U37" i="4"/>
  <c r="V37" i="4"/>
  <c r="W37" i="4"/>
  <c r="X37" i="4"/>
  <c r="X92" i="5" s="1"/>
  <c r="Y37" i="4"/>
  <c r="Y92" i="5" s="1"/>
  <c r="Z37" i="4"/>
  <c r="AA37" i="4"/>
  <c r="AA92" i="5" s="1"/>
  <c r="AB37" i="4"/>
  <c r="AC37" i="4"/>
  <c r="AD37" i="4"/>
  <c r="AE37" i="4"/>
  <c r="AF37" i="4"/>
  <c r="AG37" i="4"/>
  <c r="AH37" i="4"/>
  <c r="AI37" i="4"/>
  <c r="AJ37" i="4"/>
  <c r="AJ92" i="5" s="1"/>
  <c r="AK37" i="4"/>
  <c r="AK92" i="5" s="1"/>
  <c r="AL37" i="4"/>
  <c r="AM37" i="4"/>
  <c r="AM92" i="5" s="1"/>
  <c r="AN37" i="4"/>
  <c r="AO37" i="4"/>
  <c r="AP37" i="4"/>
  <c r="AQ37" i="4"/>
  <c r="AR37" i="4"/>
  <c r="AS37" i="4"/>
  <c r="AT37" i="4"/>
  <c r="AU37" i="4"/>
  <c r="AV37" i="4"/>
  <c r="AV92" i="5" s="1"/>
  <c r="AW37" i="4"/>
  <c r="AW92" i="5" s="1"/>
  <c r="AX37" i="4"/>
  <c r="AY37" i="4"/>
  <c r="AY92" i="5" s="1"/>
  <c r="AZ37" i="4"/>
  <c r="BA37" i="4"/>
  <c r="BB37" i="4"/>
  <c r="BC37" i="4"/>
  <c r="BD37" i="4"/>
  <c r="D38" i="4"/>
  <c r="E38" i="4"/>
  <c r="F38" i="4"/>
  <c r="G38" i="4"/>
  <c r="H38" i="4"/>
  <c r="H93" i="5" s="1"/>
  <c r="I38" i="4"/>
  <c r="J38" i="4"/>
  <c r="J93" i="5" s="1"/>
  <c r="K38" i="4"/>
  <c r="L38" i="4"/>
  <c r="M38" i="4"/>
  <c r="N38" i="4"/>
  <c r="O38" i="4"/>
  <c r="P38" i="4"/>
  <c r="Q38" i="4"/>
  <c r="R38" i="4"/>
  <c r="S38" i="4"/>
  <c r="T38" i="4"/>
  <c r="T93" i="5" s="1"/>
  <c r="U38" i="4"/>
  <c r="V38" i="4"/>
  <c r="V93" i="5" s="1"/>
  <c r="W38" i="4"/>
  <c r="X38" i="4"/>
  <c r="Y38" i="4"/>
  <c r="Z38" i="4"/>
  <c r="AA38" i="4"/>
  <c r="AB38" i="4"/>
  <c r="AC38" i="4"/>
  <c r="AD38" i="4"/>
  <c r="AE38" i="4"/>
  <c r="AE93" i="5" s="1"/>
  <c r="AF38" i="4"/>
  <c r="AG38" i="4"/>
  <c r="AH38" i="4"/>
  <c r="AI38" i="4"/>
  <c r="AJ38" i="4"/>
  <c r="AK38" i="4"/>
  <c r="AL38" i="4"/>
  <c r="AM38" i="4"/>
  <c r="AN38" i="4"/>
  <c r="AO38" i="4"/>
  <c r="AP38" i="4"/>
  <c r="AQ38" i="4"/>
  <c r="AQ93" i="5" s="1"/>
  <c r="AR38" i="4"/>
  <c r="AR93" i="5" s="1"/>
  <c r="AS38" i="4"/>
  <c r="AT38" i="4"/>
  <c r="AT93" i="5" s="1"/>
  <c r="AU38" i="4"/>
  <c r="AV38" i="4"/>
  <c r="AW38" i="4"/>
  <c r="AX38" i="4"/>
  <c r="AY38" i="4"/>
  <c r="AZ38" i="4"/>
  <c r="BA38" i="4"/>
  <c r="BB38" i="4"/>
  <c r="BC38" i="4"/>
  <c r="BC93" i="5" s="1"/>
  <c r="BD38" i="4"/>
  <c r="BD93" i="5" s="1"/>
  <c r="D39" i="4"/>
  <c r="E39" i="4"/>
  <c r="F39" i="4"/>
  <c r="G39" i="4"/>
  <c r="H39" i="4"/>
  <c r="I39" i="4"/>
  <c r="J39" i="4"/>
  <c r="K39" i="4"/>
  <c r="L39" i="4"/>
  <c r="M39" i="4"/>
  <c r="N39" i="4"/>
  <c r="N94" i="5" s="1"/>
  <c r="O39" i="4"/>
  <c r="O94" i="5" s="1"/>
  <c r="P39" i="4"/>
  <c r="Q39" i="4"/>
  <c r="Q94" i="5" s="1"/>
  <c r="R39" i="4"/>
  <c r="S39" i="4"/>
  <c r="T39" i="4"/>
  <c r="U39" i="4"/>
  <c r="V39" i="4"/>
  <c r="W39" i="4"/>
  <c r="X39" i="4"/>
  <c r="Y39" i="4"/>
  <c r="Z39" i="4"/>
  <c r="Z94" i="5" s="1"/>
  <c r="AA39" i="4"/>
  <c r="AA94" i="5" s="1"/>
  <c r="AB39" i="4"/>
  <c r="AC39" i="4"/>
  <c r="AC94" i="5" s="1"/>
  <c r="AD39" i="4"/>
  <c r="AE39" i="4"/>
  <c r="AF39" i="4"/>
  <c r="AG39" i="4"/>
  <c r="AH39" i="4"/>
  <c r="AI39" i="4"/>
  <c r="AJ39" i="4"/>
  <c r="AK39" i="4"/>
  <c r="AL39" i="4"/>
  <c r="AL94" i="5" s="1"/>
  <c r="AM39" i="4"/>
  <c r="AM94" i="5" s="1"/>
  <c r="AN39" i="4"/>
  <c r="AO39" i="4"/>
  <c r="AO94" i="5" s="1"/>
  <c r="AP39" i="4"/>
  <c r="AQ39" i="4"/>
  <c r="AR39" i="4"/>
  <c r="AS39" i="4"/>
  <c r="AT39" i="4"/>
  <c r="AU39" i="4"/>
  <c r="AV39" i="4"/>
  <c r="AW39" i="4"/>
  <c r="AX39" i="4"/>
  <c r="AX94" i="5" s="1"/>
  <c r="AY39" i="4"/>
  <c r="AY94" i="5" s="1"/>
  <c r="AZ39" i="4"/>
  <c r="BA39" i="4"/>
  <c r="BA94" i="5" s="1"/>
  <c r="BB39" i="4"/>
  <c r="BC39" i="4"/>
  <c r="BD39" i="4"/>
  <c r="D40" i="4"/>
  <c r="E40" i="4"/>
  <c r="F40" i="4"/>
  <c r="G40" i="4"/>
  <c r="H40" i="4"/>
  <c r="I40" i="4"/>
  <c r="I95" i="5" s="1"/>
  <c r="J40" i="4"/>
  <c r="K40" i="4"/>
  <c r="L40" i="4"/>
  <c r="L95" i="5" s="1"/>
  <c r="M40" i="4"/>
  <c r="N40" i="4"/>
  <c r="O40" i="4"/>
  <c r="P40" i="4"/>
  <c r="Q40" i="4"/>
  <c r="R40" i="4"/>
  <c r="S40" i="4"/>
  <c r="T40" i="4"/>
  <c r="U40" i="4"/>
  <c r="V40" i="4"/>
  <c r="V95" i="5" s="1"/>
  <c r="W40" i="4"/>
  <c r="X40" i="4"/>
  <c r="X95" i="5" s="1"/>
  <c r="Y40" i="4"/>
  <c r="Z40" i="4"/>
  <c r="AA40" i="4"/>
  <c r="AB40" i="4"/>
  <c r="AC40" i="4"/>
  <c r="AD40" i="4"/>
  <c r="AE40" i="4"/>
  <c r="AF40" i="4"/>
  <c r="AG40" i="4"/>
  <c r="AH40" i="4"/>
  <c r="AH95" i="5" s="1"/>
  <c r="AI40" i="4"/>
  <c r="AJ40" i="4"/>
  <c r="AJ95" i="5" s="1"/>
  <c r="AK40" i="4"/>
  <c r="AL40" i="4"/>
  <c r="AM40" i="4"/>
  <c r="AN40" i="4"/>
  <c r="AO40" i="4"/>
  <c r="AP40" i="4"/>
  <c r="AQ40" i="4"/>
  <c r="AR40" i="4"/>
  <c r="AS40" i="4"/>
  <c r="AT40" i="4"/>
  <c r="AT95" i="5" s="1"/>
  <c r="AU40" i="4"/>
  <c r="AV40" i="4"/>
  <c r="AV95" i="5" s="1"/>
  <c r="AW40" i="4"/>
  <c r="AX40" i="4"/>
  <c r="AY40" i="4"/>
  <c r="AZ40" i="4"/>
  <c r="BA40" i="4"/>
  <c r="BB40" i="4"/>
  <c r="BC40" i="4"/>
  <c r="BD40" i="4"/>
  <c r="D41" i="4"/>
  <c r="E41" i="4"/>
  <c r="E96" i="5" s="1"/>
  <c r="F41" i="4"/>
  <c r="G41" i="4"/>
  <c r="G96" i="5" s="1"/>
  <c r="H41" i="4"/>
  <c r="I41" i="4"/>
  <c r="J41" i="4"/>
  <c r="K41" i="4"/>
  <c r="L41" i="4"/>
  <c r="M41" i="4"/>
  <c r="N41" i="4"/>
  <c r="O41" i="4"/>
  <c r="P41" i="4"/>
  <c r="P96" i="5" s="1"/>
  <c r="Q41" i="4"/>
  <c r="Q96" i="5" s="1"/>
  <c r="R41" i="4"/>
  <c r="S41" i="4"/>
  <c r="T41" i="4"/>
  <c r="U41" i="4"/>
  <c r="V41" i="4"/>
  <c r="W41" i="4"/>
  <c r="X41" i="4"/>
  <c r="Y41" i="4"/>
  <c r="Z41" i="4"/>
  <c r="AA41" i="4"/>
  <c r="AB41" i="4"/>
  <c r="AB96" i="5" s="1"/>
  <c r="AC41" i="4"/>
  <c r="AC96" i="5" s="1"/>
  <c r="AD41" i="4"/>
  <c r="AE41" i="4"/>
  <c r="AE96" i="5" s="1"/>
  <c r="AF41" i="4"/>
  <c r="AG41" i="4"/>
  <c r="AH41" i="4"/>
  <c r="AI41" i="4"/>
  <c r="AJ41" i="4"/>
  <c r="AK41" i="4"/>
  <c r="AL41" i="4"/>
  <c r="AM41" i="4"/>
  <c r="AN41" i="4"/>
  <c r="AN96" i="5" s="1"/>
  <c r="AO41" i="4"/>
  <c r="AO96" i="5" s="1"/>
  <c r="AP41" i="4"/>
  <c r="AQ41" i="4"/>
  <c r="AR41" i="4"/>
  <c r="AS41" i="4"/>
  <c r="AT41" i="4"/>
  <c r="AU41" i="4"/>
  <c r="AV41" i="4"/>
  <c r="AW41" i="4"/>
  <c r="AX41" i="4"/>
  <c r="AY41" i="4"/>
  <c r="AZ41" i="4"/>
  <c r="AZ96" i="5" s="1"/>
  <c r="BA41" i="4"/>
  <c r="BA96" i="5" s="1"/>
  <c r="BB41" i="4"/>
  <c r="BC41" i="4"/>
  <c r="BC96" i="5" s="1"/>
  <c r="BD41" i="4"/>
  <c r="D42" i="4"/>
  <c r="E42" i="4"/>
  <c r="F42" i="4"/>
  <c r="G42" i="4"/>
  <c r="H42" i="4"/>
  <c r="I42" i="4"/>
  <c r="J42" i="4"/>
  <c r="K42" i="4"/>
  <c r="K97" i="5" s="1"/>
  <c r="L42" i="4"/>
  <c r="L97" i="5" s="1"/>
  <c r="M42" i="4"/>
  <c r="N42" i="4"/>
  <c r="N97" i="5" s="1"/>
  <c r="O42" i="4"/>
  <c r="P42" i="4"/>
  <c r="Q42" i="4"/>
  <c r="R42" i="4"/>
  <c r="S42" i="4"/>
  <c r="T42" i="4"/>
  <c r="U42" i="4"/>
  <c r="V42" i="4"/>
  <c r="W42" i="4"/>
  <c r="X42" i="4"/>
  <c r="X97" i="5" s="1"/>
  <c r="Y42" i="4"/>
  <c r="Z42" i="4"/>
  <c r="Z97" i="5" s="1"/>
  <c r="AA42" i="4"/>
  <c r="AB42" i="4"/>
  <c r="AC42" i="4"/>
  <c r="AD42" i="4"/>
  <c r="AE42" i="4"/>
  <c r="AF42" i="4"/>
  <c r="AG42" i="4"/>
  <c r="AH42" i="4"/>
  <c r="AI42" i="4"/>
  <c r="AJ42" i="4"/>
  <c r="AJ97" i="5" s="1"/>
  <c r="AK42" i="4"/>
  <c r="AL42" i="4"/>
  <c r="AL97" i="5" s="1"/>
  <c r="AM42" i="4"/>
  <c r="AN42" i="4"/>
  <c r="AO42" i="4"/>
  <c r="AP42" i="4"/>
  <c r="AQ42" i="4"/>
  <c r="AR42" i="4"/>
  <c r="AS42" i="4"/>
  <c r="AT42" i="4"/>
  <c r="AU42" i="4"/>
  <c r="AU97" i="5" s="1"/>
  <c r="AV42" i="4"/>
  <c r="AW42" i="4"/>
  <c r="AX42" i="4"/>
  <c r="AX97" i="5" s="1"/>
  <c r="AY42" i="4"/>
  <c r="AZ42" i="4"/>
  <c r="BA42" i="4"/>
  <c r="BB42" i="4"/>
  <c r="BC42" i="4"/>
  <c r="BD42" i="4"/>
  <c r="D43" i="4"/>
  <c r="E43" i="4"/>
  <c r="F43" i="4"/>
  <c r="F98" i="5" s="1"/>
  <c r="G43" i="4"/>
  <c r="G98" i="5" s="1"/>
  <c r="H43" i="4"/>
  <c r="I43" i="4"/>
  <c r="I98" i="5" s="1"/>
  <c r="J43" i="4"/>
  <c r="K43" i="4"/>
  <c r="L43" i="4"/>
  <c r="M43" i="4"/>
  <c r="N43" i="4"/>
  <c r="O43" i="4"/>
  <c r="P43" i="4"/>
  <c r="Q43" i="4"/>
  <c r="R43" i="4"/>
  <c r="R98" i="5" s="1"/>
  <c r="S43" i="4"/>
  <c r="S98" i="5" s="1"/>
  <c r="T43" i="4"/>
  <c r="U43" i="4"/>
  <c r="U98" i="5" s="1"/>
  <c r="V43" i="4"/>
  <c r="W43" i="4"/>
  <c r="X43" i="4"/>
  <c r="Y43" i="4"/>
  <c r="Z43" i="4"/>
  <c r="AA43" i="4"/>
  <c r="AB43" i="4"/>
  <c r="AC43" i="4"/>
  <c r="AD43" i="4"/>
  <c r="AD98" i="5" s="1"/>
  <c r="AE43" i="4"/>
  <c r="AF43" i="4"/>
  <c r="AG43" i="4"/>
  <c r="AG98" i="5" s="1"/>
  <c r="AH43" i="4"/>
  <c r="AI43" i="4"/>
  <c r="AJ43" i="4"/>
  <c r="AK43" i="4"/>
  <c r="AL43" i="4"/>
  <c r="AM43" i="4"/>
  <c r="AN43" i="4"/>
  <c r="AO43" i="4"/>
  <c r="AP43" i="4"/>
  <c r="AP98" i="5" s="1"/>
  <c r="AQ43" i="4"/>
  <c r="AQ98" i="5" s="1"/>
  <c r="AR43" i="4"/>
  <c r="AS43" i="4"/>
  <c r="AS98" i="5" s="1"/>
  <c r="AT43" i="4"/>
  <c r="AU43" i="4"/>
  <c r="AV43" i="4"/>
  <c r="AW43" i="4"/>
  <c r="AX43" i="4"/>
  <c r="AY43" i="4"/>
  <c r="AZ43" i="4"/>
  <c r="BA43" i="4"/>
  <c r="BB43" i="4"/>
  <c r="BB98" i="5" s="1"/>
  <c r="BC43" i="4"/>
  <c r="BD43" i="4"/>
  <c r="D44" i="4"/>
  <c r="D99" i="5" s="1"/>
  <c r="E44" i="4"/>
  <c r="F44" i="4"/>
  <c r="G44" i="4"/>
  <c r="H44" i="4"/>
  <c r="I44" i="4"/>
  <c r="J44" i="4"/>
  <c r="K44" i="4"/>
  <c r="L44" i="4"/>
  <c r="M44" i="4"/>
  <c r="M99" i="5" s="1"/>
  <c r="N44" i="4"/>
  <c r="N99" i="5" s="1"/>
  <c r="O44" i="4"/>
  <c r="P44" i="4"/>
  <c r="P99" i="5" s="1"/>
  <c r="Q44" i="4"/>
  <c r="R44" i="4"/>
  <c r="S44" i="4"/>
  <c r="T44" i="4"/>
  <c r="U44" i="4"/>
  <c r="V44" i="4"/>
  <c r="W44" i="4"/>
  <c r="X44" i="4"/>
  <c r="Y44" i="4"/>
  <c r="Y99" i="5" s="1"/>
  <c r="Z44" i="4"/>
  <c r="AA44" i="4"/>
  <c r="AB44" i="4"/>
  <c r="AB99" i="5" s="1"/>
  <c r="AC44" i="4"/>
  <c r="AD44" i="4"/>
  <c r="AE44" i="4"/>
  <c r="AF44" i="4"/>
  <c r="AG44" i="4"/>
  <c r="AH44" i="4"/>
  <c r="AI44" i="4"/>
  <c r="AJ44" i="4"/>
  <c r="AK44" i="4"/>
  <c r="AK99" i="5" s="1"/>
  <c r="AL44" i="4"/>
  <c r="AL99" i="5" s="1"/>
  <c r="AM44" i="4"/>
  <c r="AN44" i="4"/>
  <c r="AN99" i="5" s="1"/>
  <c r="AO44" i="4"/>
  <c r="AP44" i="4"/>
  <c r="AQ44" i="4"/>
  <c r="AR44" i="4"/>
  <c r="AS44" i="4"/>
  <c r="AT44" i="4"/>
  <c r="AU44" i="4"/>
  <c r="AV44" i="4"/>
  <c r="AW44" i="4"/>
  <c r="AW99" i="5" s="1"/>
  <c r="AX44" i="4"/>
  <c r="AY44" i="4"/>
  <c r="AZ44" i="4"/>
  <c r="AZ99" i="5" s="1"/>
  <c r="BA44" i="4"/>
  <c r="BB44" i="4"/>
  <c r="BC44" i="4"/>
  <c r="BD44" i="4"/>
  <c r="D45" i="4"/>
  <c r="E45" i="4"/>
  <c r="F45" i="4"/>
  <c r="G45" i="4"/>
  <c r="H45" i="4"/>
  <c r="H100" i="5" s="1"/>
  <c r="I45" i="4"/>
  <c r="I100" i="5" s="1"/>
  <c r="J45" i="4"/>
  <c r="K45" i="4"/>
  <c r="L45" i="4"/>
  <c r="M45" i="4"/>
  <c r="N45" i="4"/>
  <c r="O45" i="4"/>
  <c r="P45" i="4"/>
  <c r="Q45" i="4"/>
  <c r="R45" i="4"/>
  <c r="S45" i="4"/>
  <c r="T45" i="4"/>
  <c r="T100" i="5" s="1"/>
  <c r="U45" i="4"/>
  <c r="U100" i="5" s="1"/>
  <c r="V45" i="4"/>
  <c r="W45" i="4"/>
  <c r="W100" i="5" s="1"/>
  <c r="X45" i="4"/>
  <c r="Y45" i="4"/>
  <c r="Z45" i="4"/>
  <c r="AA45" i="4"/>
  <c r="AB45" i="4"/>
  <c r="AC45" i="4"/>
  <c r="AD45" i="4"/>
  <c r="AE45" i="4"/>
  <c r="AF45" i="4"/>
  <c r="AF100" i="5" s="1"/>
  <c r="AG45" i="4"/>
  <c r="AG100" i="5" s="1"/>
  <c r="AH45" i="4"/>
  <c r="AI45" i="4"/>
  <c r="AI100" i="5" s="1"/>
  <c r="AJ45" i="4"/>
  <c r="AK45" i="4"/>
  <c r="AL45" i="4"/>
  <c r="AM45" i="4"/>
  <c r="AN45" i="4"/>
  <c r="AO45" i="4"/>
  <c r="AP45" i="4"/>
  <c r="AQ45" i="4"/>
  <c r="AR45" i="4"/>
  <c r="AR100" i="5" s="1"/>
  <c r="AS45" i="4"/>
  <c r="AS100" i="5" s="1"/>
  <c r="AT45" i="4"/>
  <c r="AU45" i="4"/>
  <c r="AU100" i="5" s="1"/>
  <c r="AV45" i="4"/>
  <c r="AW45" i="4"/>
  <c r="AX45" i="4"/>
  <c r="AY45" i="4"/>
  <c r="AZ45" i="4"/>
  <c r="BA45" i="4"/>
  <c r="BB45" i="4"/>
  <c r="BC45" i="4"/>
  <c r="BD45" i="4"/>
  <c r="BD100" i="5" s="1"/>
  <c r="D46" i="4"/>
  <c r="D101" i="5" s="1"/>
  <c r="E46" i="4"/>
  <c r="F46" i="4"/>
  <c r="F101" i="5" s="1"/>
  <c r="G46" i="4"/>
  <c r="H46" i="4"/>
  <c r="I46" i="4"/>
  <c r="J46" i="4"/>
  <c r="K46" i="4"/>
  <c r="L46" i="4"/>
  <c r="M46" i="4"/>
  <c r="N46" i="4"/>
  <c r="O46" i="4"/>
  <c r="P46" i="4"/>
  <c r="P101" i="5" s="1"/>
  <c r="Q46" i="4"/>
  <c r="R46" i="4"/>
  <c r="R101" i="5" s="1"/>
  <c r="S46" i="4"/>
  <c r="T46" i="4"/>
  <c r="U46" i="4"/>
  <c r="V46" i="4"/>
  <c r="W46" i="4"/>
  <c r="X46" i="4"/>
  <c r="Y46" i="4"/>
  <c r="Z46" i="4"/>
  <c r="AA46" i="4"/>
  <c r="AA101" i="5" s="1"/>
  <c r="AB46" i="4"/>
  <c r="AB101" i="5" s="1"/>
  <c r="AC46" i="4"/>
  <c r="AD46" i="4"/>
  <c r="AD101" i="5" s="1"/>
  <c r="AE46" i="4"/>
  <c r="AF46" i="4"/>
  <c r="AG46" i="4"/>
  <c r="AH46" i="4"/>
  <c r="AI46" i="4"/>
  <c r="AJ46" i="4"/>
  <c r="AK46" i="4"/>
  <c r="AL46" i="4"/>
  <c r="AM46" i="4"/>
  <c r="AM101" i="5" s="1"/>
  <c r="AN46" i="4"/>
  <c r="AN101" i="5" s="1"/>
  <c r="AO46" i="4"/>
  <c r="AP46" i="4"/>
  <c r="AP101" i="5" s="1"/>
  <c r="AQ46" i="4"/>
  <c r="AR46" i="4"/>
  <c r="AS46" i="4"/>
  <c r="AT46" i="4"/>
  <c r="AU46" i="4"/>
  <c r="AV46" i="4"/>
  <c r="AW46" i="4"/>
  <c r="AX46" i="4"/>
  <c r="AY46" i="4"/>
  <c r="AY101" i="5" s="1"/>
  <c r="AZ46" i="4"/>
  <c r="AZ101" i="5" s="1"/>
  <c r="BA46" i="4"/>
  <c r="BB46" i="4"/>
  <c r="BB101" i="5" s="1"/>
  <c r="BC46" i="4"/>
  <c r="BD46" i="4"/>
  <c r="D47" i="4"/>
  <c r="E47" i="4"/>
  <c r="F47" i="4"/>
  <c r="G47" i="4"/>
  <c r="H47" i="4"/>
  <c r="I47" i="4"/>
  <c r="J47" i="4"/>
  <c r="J102" i="5" s="1"/>
  <c r="K47" i="4"/>
  <c r="K102" i="5" s="1"/>
  <c r="L47" i="4"/>
  <c r="M47" i="4"/>
  <c r="M102" i="5" s="1"/>
  <c r="N47" i="4"/>
  <c r="O47" i="4"/>
  <c r="P47" i="4"/>
  <c r="Q47" i="4"/>
  <c r="R47" i="4"/>
  <c r="S47" i="4"/>
  <c r="T47" i="4"/>
  <c r="U47" i="4"/>
  <c r="V47" i="4"/>
  <c r="W47" i="4"/>
  <c r="W102" i="5" s="1"/>
  <c r="X47" i="4"/>
  <c r="Y47" i="4"/>
  <c r="Y102" i="5" s="1"/>
  <c r="Z47" i="4"/>
  <c r="AA47" i="4"/>
  <c r="AB47" i="4"/>
  <c r="AC47" i="4"/>
  <c r="AD47" i="4"/>
  <c r="AE47" i="4"/>
  <c r="AF47" i="4"/>
  <c r="AG47" i="4"/>
  <c r="AH47" i="4"/>
  <c r="AI47" i="4"/>
  <c r="AI102" i="5" s="1"/>
  <c r="AJ47" i="4"/>
  <c r="AK47" i="4"/>
  <c r="AK102" i="5" s="1"/>
  <c r="AL47" i="4"/>
  <c r="AM47" i="4"/>
  <c r="AN47" i="4"/>
  <c r="AO47" i="4"/>
  <c r="AP47" i="4"/>
  <c r="AQ47" i="4"/>
  <c r="AR47" i="4"/>
  <c r="AS47" i="4"/>
  <c r="AT47" i="4"/>
  <c r="AT102" i="5" s="1"/>
  <c r="AU47" i="4"/>
  <c r="AV47" i="4"/>
  <c r="AW47" i="4"/>
  <c r="AW102" i="5" s="1"/>
  <c r="AX47" i="4"/>
  <c r="AY47" i="4"/>
  <c r="AZ47" i="4"/>
  <c r="BA47" i="4"/>
  <c r="BB47" i="4"/>
  <c r="BC47" i="4"/>
  <c r="BD47" i="4"/>
  <c r="D48" i="4"/>
  <c r="E48" i="4"/>
  <c r="E103" i="5" s="1"/>
  <c r="F48" i="4"/>
  <c r="G48" i="4"/>
  <c r="H48" i="4"/>
  <c r="H103" i="5" s="1"/>
  <c r="I48" i="4"/>
  <c r="J48" i="4"/>
  <c r="K48" i="4"/>
  <c r="L48" i="4"/>
  <c r="M48" i="4"/>
  <c r="N48" i="4"/>
  <c r="O48" i="4"/>
  <c r="P48" i="4"/>
  <c r="Q48" i="4"/>
  <c r="Q103" i="5" s="1"/>
  <c r="R48" i="4"/>
  <c r="R103" i="5" s="1"/>
  <c r="S48" i="4"/>
  <c r="T48" i="4"/>
  <c r="T103" i="5" s="1"/>
  <c r="U48" i="4"/>
  <c r="V48" i="4"/>
  <c r="W48" i="4"/>
  <c r="X48" i="4"/>
  <c r="Y48" i="4"/>
  <c r="Z48" i="4"/>
  <c r="AA48" i="4"/>
  <c r="AB48" i="4"/>
  <c r="AC48" i="4"/>
  <c r="AC103" i="5" s="1"/>
  <c r="AD48" i="4"/>
  <c r="AD103" i="5" s="1"/>
  <c r="AE48" i="4"/>
  <c r="AF48" i="4"/>
  <c r="AF103" i="5" s="1"/>
  <c r="AG48" i="4"/>
  <c r="AH48" i="4"/>
  <c r="AI48" i="4"/>
  <c r="AJ48" i="4"/>
  <c r="AK48" i="4"/>
  <c r="AL48" i="4"/>
  <c r="AM48" i="4"/>
  <c r="AN48" i="4"/>
  <c r="AO48" i="4"/>
  <c r="AP48" i="4"/>
  <c r="AP103" i="5" s="1"/>
  <c r="AQ48" i="4"/>
  <c r="AR48" i="4"/>
  <c r="AR103" i="5" s="1"/>
  <c r="AS48" i="4"/>
  <c r="AT48" i="4"/>
  <c r="AU48" i="4"/>
  <c r="AV48" i="4"/>
  <c r="AW48" i="4"/>
  <c r="AX48" i="4"/>
  <c r="AY48" i="4"/>
  <c r="AZ48" i="4"/>
  <c r="BA48" i="4"/>
  <c r="BA103" i="5" s="1"/>
  <c r="BB48" i="4"/>
  <c r="BC48" i="4"/>
  <c r="BD48" i="4"/>
  <c r="BD103" i="5" s="1"/>
  <c r="D49" i="4"/>
  <c r="E49" i="4"/>
  <c r="F49" i="4"/>
  <c r="G49" i="4"/>
  <c r="H49" i="4"/>
  <c r="I49" i="4"/>
  <c r="J49" i="4"/>
  <c r="K49" i="4"/>
  <c r="L49" i="4"/>
  <c r="L104" i="5" s="1"/>
  <c r="M49" i="4"/>
  <c r="M104" i="5" s="1"/>
  <c r="N49" i="4"/>
  <c r="O49" i="4"/>
  <c r="O104" i="5" s="1"/>
  <c r="P49" i="4"/>
  <c r="Q49" i="4"/>
  <c r="R49" i="4"/>
  <c r="S49" i="4"/>
  <c r="T49" i="4"/>
  <c r="U49" i="4"/>
  <c r="V49" i="4"/>
  <c r="W49" i="4"/>
  <c r="X49" i="4"/>
  <c r="X104" i="5" s="1"/>
  <c r="Y49" i="4"/>
  <c r="Y104" i="5" s="1"/>
  <c r="Z49" i="4"/>
  <c r="AA49" i="4"/>
  <c r="AB49" i="4"/>
  <c r="AC49" i="4"/>
  <c r="AD49" i="4"/>
  <c r="AE49" i="4"/>
  <c r="AF49" i="4"/>
  <c r="AG49" i="4"/>
  <c r="AH49" i="4"/>
  <c r="AI49" i="4"/>
  <c r="AJ49" i="4"/>
  <c r="AJ104" i="5" s="1"/>
  <c r="AK49" i="4"/>
  <c r="AK104" i="5" s="1"/>
  <c r="AL49" i="4"/>
  <c r="AM49" i="4"/>
  <c r="AM104" i="5" s="1"/>
  <c r="AN49" i="4"/>
  <c r="AO49" i="4"/>
  <c r="AP49" i="4"/>
  <c r="AQ49" i="4"/>
  <c r="AR49" i="4"/>
  <c r="AS49" i="4"/>
  <c r="AT49" i="4"/>
  <c r="AU49" i="4"/>
  <c r="AV49" i="4"/>
  <c r="AV104" i="5" s="1"/>
  <c r="AW49" i="4"/>
  <c r="AW104" i="5" s="1"/>
  <c r="AX49" i="4"/>
  <c r="AY49" i="4"/>
  <c r="AY104" i="5" s="1"/>
  <c r="AZ49" i="4"/>
  <c r="BA49" i="4"/>
  <c r="BB49" i="4"/>
  <c r="BC49" i="4"/>
  <c r="BD49" i="4"/>
  <c r="D50" i="4"/>
  <c r="E50" i="4"/>
  <c r="F50" i="4"/>
  <c r="G50" i="4"/>
  <c r="G105" i="5" s="1"/>
  <c r="H50" i="4"/>
  <c r="H105" i="5" s="1"/>
  <c r="I50" i="4"/>
  <c r="J50" i="4"/>
  <c r="J105" i="5" s="1"/>
  <c r="K50" i="4"/>
  <c r="L50" i="4"/>
  <c r="M50" i="4"/>
  <c r="N50" i="4"/>
  <c r="O50" i="4"/>
  <c r="P50" i="4"/>
  <c r="Q50" i="4"/>
  <c r="R50" i="4"/>
  <c r="S50" i="4"/>
  <c r="T50" i="4"/>
  <c r="T105" i="5" s="1"/>
  <c r="U50" i="4"/>
  <c r="V50" i="4"/>
  <c r="V105" i="5" s="1"/>
  <c r="W50" i="4"/>
  <c r="X50" i="4"/>
  <c r="Y50" i="4"/>
  <c r="Z50" i="4"/>
  <c r="AA50" i="4"/>
  <c r="AB50" i="4"/>
  <c r="AC50" i="4"/>
  <c r="AD50" i="4"/>
  <c r="AE50" i="4"/>
  <c r="AE105" i="5" s="1"/>
  <c r="AF50" i="4"/>
  <c r="AG50" i="4"/>
  <c r="AH50" i="4"/>
  <c r="AH105" i="5" s="1"/>
  <c r="AI50" i="4"/>
  <c r="AJ50" i="4"/>
  <c r="AK50" i="4"/>
  <c r="AK105" i="5" s="1"/>
  <c r="AL50" i="4"/>
  <c r="AM50" i="4"/>
  <c r="AN50" i="4"/>
  <c r="AO50" i="4"/>
  <c r="AP50" i="4"/>
  <c r="AQ50" i="4"/>
  <c r="AR50" i="4"/>
  <c r="AR105" i="5" s="1"/>
  <c r="AS50" i="4"/>
  <c r="AT50" i="4"/>
  <c r="AT105" i="5" s="1"/>
  <c r="AU50" i="4"/>
  <c r="AV50" i="4"/>
  <c r="AW50" i="4"/>
  <c r="AX50" i="4"/>
  <c r="AY50" i="4"/>
  <c r="AZ50" i="4"/>
  <c r="BA50" i="4"/>
  <c r="BB50" i="4"/>
  <c r="BC50" i="4"/>
  <c r="BC105" i="5" s="1"/>
  <c r="BD50" i="4"/>
  <c r="D51" i="4"/>
  <c r="E51" i="4"/>
  <c r="E106" i="5" s="1"/>
  <c r="F51" i="4"/>
  <c r="G51" i="4"/>
  <c r="H51" i="4"/>
  <c r="I51" i="4"/>
  <c r="J51" i="4"/>
  <c r="K51" i="4"/>
  <c r="L51" i="4"/>
  <c r="M51" i="4"/>
  <c r="N51" i="4"/>
  <c r="N106" i="5" s="1"/>
  <c r="O51" i="4"/>
  <c r="O106" i="5" s="1"/>
  <c r="P51" i="4"/>
  <c r="Q51" i="4"/>
  <c r="Q106" i="5" s="1"/>
  <c r="R51" i="4"/>
  <c r="S51" i="4"/>
  <c r="T51" i="4"/>
  <c r="U51" i="4"/>
  <c r="V51" i="4"/>
  <c r="W51" i="4"/>
  <c r="X51" i="4"/>
  <c r="Y51" i="4"/>
  <c r="Z51" i="4"/>
  <c r="Z106" i="5" s="1"/>
  <c r="AA51" i="4"/>
  <c r="AA106" i="5" s="1"/>
  <c r="AB51" i="4"/>
  <c r="AC51" i="4"/>
  <c r="AC106" i="5" s="1"/>
  <c r="AD51" i="4"/>
  <c r="AE51" i="4"/>
  <c r="AF51" i="4"/>
  <c r="AG51" i="4"/>
  <c r="AH51" i="4"/>
  <c r="AI51" i="4"/>
  <c r="AJ51" i="4"/>
  <c r="AK51" i="4"/>
  <c r="AL51" i="4"/>
  <c r="AL106" i="5" s="1"/>
  <c r="AM51" i="4"/>
  <c r="AM106" i="5" s="1"/>
  <c r="AN51" i="4"/>
  <c r="AO51" i="4"/>
  <c r="AO106" i="5" s="1"/>
  <c r="AP51" i="4"/>
  <c r="AQ51" i="4"/>
  <c r="AR51" i="4"/>
  <c r="AR106" i="5" s="1"/>
  <c r="AS51" i="4"/>
  <c r="AT51" i="4"/>
  <c r="AU51" i="4"/>
  <c r="AV51" i="4"/>
  <c r="AW51" i="4"/>
  <c r="AX51" i="4"/>
  <c r="AY51" i="4"/>
  <c r="AY106" i="5" s="1"/>
  <c r="AZ51" i="4"/>
  <c r="BA51" i="4"/>
  <c r="BA106" i="5" s="1"/>
  <c r="BB51" i="4"/>
  <c r="BC51" i="4"/>
  <c r="BD51" i="4"/>
  <c r="D52" i="4"/>
  <c r="E52" i="4"/>
  <c r="E107" i="5" s="1"/>
  <c r="F52" i="4"/>
  <c r="G52" i="4"/>
  <c r="H52" i="4"/>
  <c r="I52" i="4"/>
  <c r="I107" i="5" s="1"/>
  <c r="J52" i="4"/>
  <c r="J107" i="5" s="1"/>
  <c r="K52" i="4"/>
  <c r="L52" i="4"/>
  <c r="L107" i="5" s="1"/>
  <c r="M52" i="4"/>
  <c r="N52" i="4"/>
  <c r="O52" i="4"/>
  <c r="P52" i="4"/>
  <c r="Q52" i="4"/>
  <c r="R52" i="4"/>
  <c r="S52" i="4"/>
  <c r="T52" i="4"/>
  <c r="U52" i="4"/>
  <c r="U107" i="5" s="1"/>
  <c r="V52" i="4"/>
  <c r="V107" i="5" s="1"/>
  <c r="W52" i="4"/>
  <c r="X52" i="4"/>
  <c r="X107" i="5" s="1"/>
  <c r="Y52" i="4"/>
  <c r="Y107" i="5" s="1"/>
  <c r="Z52" i="4"/>
  <c r="AA52" i="4"/>
  <c r="AB52" i="4"/>
  <c r="AC52" i="4"/>
  <c r="AD52" i="4"/>
  <c r="AE52" i="4"/>
  <c r="AF52" i="4"/>
  <c r="AG52" i="4"/>
  <c r="AG107" i="5" s="1"/>
  <c r="AH52" i="4"/>
  <c r="AH107" i="5" s="1"/>
  <c r="AI52" i="4"/>
  <c r="AJ52" i="4"/>
  <c r="AJ107" i="5" s="1"/>
  <c r="AK52" i="4"/>
  <c r="AL52" i="4"/>
  <c r="AM52" i="4"/>
  <c r="AN52" i="4"/>
  <c r="AO52" i="4"/>
  <c r="AP52" i="4"/>
  <c r="AQ52" i="4"/>
  <c r="AR52" i="4"/>
  <c r="AS52" i="4"/>
  <c r="AS107" i="5" s="1"/>
  <c r="AT52" i="4"/>
  <c r="AT107" i="5" s="1"/>
  <c r="AU52" i="4"/>
  <c r="AV52" i="4"/>
  <c r="AV107" i="5" s="1"/>
  <c r="AW52" i="4"/>
  <c r="AW107" i="5" s="1"/>
  <c r="AX52" i="4"/>
  <c r="AY52" i="4"/>
  <c r="AZ52" i="4"/>
  <c r="BA52" i="4"/>
  <c r="BB52" i="4"/>
  <c r="BC52" i="4"/>
  <c r="BD52" i="4"/>
  <c r="D53" i="4"/>
  <c r="E53" i="4"/>
  <c r="F53" i="4"/>
  <c r="G53" i="4"/>
  <c r="G108" i="5" s="1"/>
  <c r="H53" i="4"/>
  <c r="I53" i="4"/>
  <c r="J53" i="4"/>
  <c r="K53" i="4"/>
  <c r="L53" i="4"/>
  <c r="M53" i="4"/>
  <c r="N53" i="4"/>
  <c r="O53" i="4"/>
  <c r="P53" i="4"/>
  <c r="P108" i="5" s="1"/>
  <c r="Q53" i="4"/>
  <c r="R53" i="4"/>
  <c r="S53" i="4"/>
  <c r="S108" i="5" s="1"/>
  <c r="T53" i="4"/>
  <c r="U53" i="4"/>
  <c r="V53" i="4"/>
  <c r="W53" i="4"/>
  <c r="X53" i="4"/>
  <c r="Y53" i="4"/>
  <c r="Z53" i="4"/>
  <c r="AA53" i="4"/>
  <c r="AB53" i="4"/>
  <c r="AB108" i="5" s="1"/>
  <c r="AC53" i="4"/>
  <c r="AC108" i="5" s="1"/>
  <c r="AD53" i="4"/>
  <c r="AE53" i="4"/>
  <c r="AE108" i="5" s="1"/>
  <c r="AF53" i="4"/>
  <c r="AG53" i="4"/>
  <c r="AH53" i="4"/>
  <c r="AI53" i="4"/>
  <c r="AJ53" i="4"/>
  <c r="AK53" i="4"/>
  <c r="AL53" i="4"/>
  <c r="AM53" i="4"/>
  <c r="AN53" i="4"/>
  <c r="AN108" i="5" s="1"/>
  <c r="AO53" i="4"/>
  <c r="AO108" i="5" s="1"/>
  <c r="AP53" i="4"/>
  <c r="AQ53" i="4"/>
  <c r="AQ108" i="5" s="1"/>
  <c r="AR53" i="4"/>
  <c r="AS53" i="4"/>
  <c r="AT53" i="4"/>
  <c r="AU53" i="4"/>
  <c r="AV53" i="4"/>
  <c r="AW53" i="4"/>
  <c r="AX53" i="4"/>
  <c r="AY53" i="4"/>
  <c r="AZ53" i="4"/>
  <c r="AZ108" i="5" s="1"/>
  <c r="BA53" i="4"/>
  <c r="BA108" i="5" s="1"/>
  <c r="BB53" i="4"/>
  <c r="BC53" i="4"/>
  <c r="BC108" i="5" s="1"/>
  <c r="BD53" i="4"/>
  <c r="D54" i="4"/>
  <c r="E54" i="4"/>
  <c r="F54" i="4"/>
  <c r="G54" i="4"/>
  <c r="H54" i="4"/>
  <c r="I54" i="4"/>
  <c r="J54" i="4"/>
  <c r="K54" i="4"/>
  <c r="L54" i="4"/>
  <c r="L109" i="5" s="1"/>
  <c r="M54" i="4"/>
  <c r="N54" i="4"/>
  <c r="N109" i="5" s="1"/>
  <c r="O54" i="4"/>
  <c r="P54" i="4"/>
  <c r="Q54" i="4"/>
  <c r="R54" i="4"/>
  <c r="S54" i="4"/>
  <c r="T54" i="4"/>
  <c r="U54" i="4"/>
  <c r="V54" i="4"/>
  <c r="W54" i="4"/>
  <c r="W109" i="5" s="1"/>
  <c r="X54" i="4"/>
  <c r="Y54" i="4"/>
  <c r="Z54" i="4"/>
  <c r="AA54" i="4"/>
  <c r="AB54" i="4"/>
  <c r="AC54" i="4"/>
  <c r="AD54" i="4"/>
  <c r="AE54" i="4"/>
  <c r="AE109" i="5" s="1"/>
  <c r="AF54" i="4"/>
  <c r="AG54" i="4"/>
  <c r="AH54" i="4"/>
  <c r="AI54" i="4"/>
  <c r="AI109" i="5" s="1"/>
  <c r="AJ54" i="4"/>
  <c r="AJ109" i="5" s="1"/>
  <c r="AK54" i="4"/>
  <c r="AL54" i="4"/>
  <c r="AL109" i="5" s="1"/>
  <c r="AM54" i="4"/>
  <c r="AN54" i="4"/>
  <c r="AO54" i="4"/>
  <c r="AP54" i="4"/>
  <c r="AQ54" i="4"/>
  <c r="AQ109" i="5" s="1"/>
  <c r="AR54" i="4"/>
  <c r="AS54" i="4"/>
  <c r="AT54" i="4"/>
  <c r="AU54" i="4"/>
  <c r="AU109" i="5" s="1"/>
  <c r="AV54" i="4"/>
  <c r="AV109" i="5" s="1"/>
  <c r="AW54" i="4"/>
  <c r="AX54" i="4"/>
  <c r="AX109" i="5" s="1"/>
  <c r="AY54" i="4"/>
  <c r="AZ54" i="4"/>
  <c r="BA54" i="4"/>
  <c r="BB54" i="4"/>
  <c r="BC54" i="4"/>
  <c r="BC109" i="5" s="1"/>
  <c r="BD54" i="4"/>
  <c r="D55" i="4"/>
  <c r="E55" i="4"/>
  <c r="F55" i="4"/>
  <c r="G55" i="4"/>
  <c r="H55" i="4"/>
  <c r="I55" i="4"/>
  <c r="I110" i="5" s="1"/>
  <c r="J55" i="4"/>
  <c r="J110" i="5" s="1"/>
  <c r="K55" i="4"/>
  <c r="L55" i="4"/>
  <c r="M55" i="4"/>
  <c r="N55" i="4"/>
  <c r="N110" i="5" s="1"/>
  <c r="O55" i="4"/>
  <c r="P55" i="4"/>
  <c r="Q55" i="4"/>
  <c r="R55" i="4"/>
  <c r="R110" i="5" s="1"/>
  <c r="S55" i="4"/>
  <c r="T55" i="4"/>
  <c r="U55" i="4"/>
  <c r="U110" i="5" s="1"/>
  <c r="V55" i="4"/>
  <c r="W55" i="4"/>
  <c r="X55" i="4"/>
  <c r="Y55" i="4"/>
  <c r="Z55" i="4"/>
  <c r="AA55" i="4"/>
  <c r="AB55" i="4"/>
  <c r="AC55" i="4"/>
  <c r="AD55" i="4"/>
  <c r="AD110" i="5" s="1"/>
  <c r="AE55" i="4"/>
  <c r="AE110" i="5" s="1"/>
  <c r="AF55" i="4"/>
  <c r="AG55" i="4"/>
  <c r="AG110" i="5" s="1"/>
  <c r="AH55" i="4"/>
  <c r="AI55" i="4"/>
  <c r="AJ55" i="4"/>
  <c r="AJ110" i="5" s="1"/>
  <c r="AK55" i="4"/>
  <c r="AL55" i="4"/>
  <c r="AM55" i="4"/>
  <c r="AN55" i="4"/>
  <c r="AO55" i="4"/>
  <c r="AP55" i="4"/>
  <c r="AQ55" i="4"/>
  <c r="AQ110" i="5" s="1"/>
  <c r="AR55" i="4"/>
  <c r="AS55" i="4"/>
  <c r="AS110" i="5" s="1"/>
  <c r="AT55" i="4"/>
  <c r="AU55" i="4"/>
  <c r="AV55" i="4"/>
  <c r="AV110" i="5" s="1"/>
  <c r="AW55" i="4"/>
  <c r="AX55" i="4"/>
  <c r="AX110" i="5" s="1"/>
  <c r="AY55" i="4"/>
  <c r="AZ55" i="4"/>
  <c r="BA55" i="4"/>
  <c r="BB55" i="4"/>
  <c r="BB110" i="5" s="1"/>
  <c r="BC55" i="4"/>
  <c r="BC110" i="5" s="1"/>
  <c r="BD55" i="4"/>
  <c r="D56" i="4"/>
  <c r="D111" i="5" s="1"/>
  <c r="E56" i="4"/>
  <c r="F56" i="4"/>
  <c r="G56" i="4"/>
  <c r="G111" i="5" s="1"/>
  <c r="H56" i="4"/>
  <c r="I56" i="4"/>
  <c r="I111" i="5" s="1"/>
  <c r="J56" i="4"/>
  <c r="K56" i="4"/>
  <c r="L56" i="4"/>
  <c r="M56" i="4"/>
  <c r="N56" i="4"/>
  <c r="N111" i="5" s="1"/>
  <c r="O56" i="4"/>
  <c r="P56" i="4"/>
  <c r="P111" i="5" s="1"/>
  <c r="Q56" i="4"/>
  <c r="R56" i="4"/>
  <c r="S56" i="4"/>
  <c r="T56" i="4"/>
  <c r="U56" i="4"/>
  <c r="U111" i="5" s="1"/>
  <c r="V56" i="4"/>
  <c r="W56" i="4"/>
  <c r="X56" i="4"/>
  <c r="Y56" i="4"/>
  <c r="Y111" i="5" s="1"/>
  <c r="Z56" i="4"/>
  <c r="Z111" i="5" s="1"/>
  <c r="AA56" i="4"/>
  <c r="AB56" i="4"/>
  <c r="AB111" i="5" s="1"/>
  <c r="AC56" i="4"/>
  <c r="AD56" i="4"/>
  <c r="AE56" i="4"/>
  <c r="AF56" i="4"/>
  <c r="AG56" i="4"/>
  <c r="AH56" i="4"/>
  <c r="AI56" i="4"/>
  <c r="AJ56" i="4"/>
  <c r="AK56" i="4"/>
  <c r="AK111" i="5" s="1"/>
  <c r="AL56" i="4"/>
  <c r="AL111" i="5" s="1"/>
  <c r="AM56" i="4"/>
  <c r="AN56" i="4"/>
  <c r="AN111" i="5" s="1"/>
  <c r="AO56" i="4"/>
  <c r="AO111" i="5" s="1"/>
  <c r="AP56" i="4"/>
  <c r="AQ56" i="4"/>
  <c r="AR56" i="4"/>
  <c r="AS56" i="4"/>
  <c r="AS111" i="5" s="1"/>
  <c r="AT56" i="4"/>
  <c r="AU56" i="4"/>
  <c r="AV56" i="4"/>
  <c r="AW56" i="4"/>
  <c r="AX56" i="4"/>
  <c r="AX111" i="5" s="1"/>
  <c r="AY56" i="4"/>
  <c r="AZ56" i="4"/>
  <c r="AZ111" i="5" s="1"/>
  <c r="BA56" i="4"/>
  <c r="BA111" i="5" s="1"/>
  <c r="BB56" i="4"/>
  <c r="BC56" i="4"/>
  <c r="BC111" i="5" s="1"/>
  <c r="BD56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G78" i="5"/>
  <c r="C24" i="4"/>
  <c r="M79" i="5"/>
  <c r="AW79" i="5"/>
  <c r="C25" i="4"/>
  <c r="C26" i="4"/>
  <c r="M81" i="5"/>
  <c r="C27" i="4"/>
  <c r="G82" i="5"/>
  <c r="C28" i="4"/>
  <c r="C29" i="4"/>
  <c r="G84" i="5"/>
  <c r="C30" i="4"/>
  <c r="M85" i="5"/>
  <c r="Y85" i="5"/>
  <c r="AK85" i="5"/>
  <c r="AW85" i="5"/>
  <c r="C31" i="4"/>
  <c r="AQ86" i="5"/>
  <c r="C32" i="4"/>
  <c r="C33" i="4"/>
  <c r="G88" i="5"/>
  <c r="S88" i="5"/>
  <c r="AE88" i="5"/>
  <c r="AQ88" i="5"/>
  <c r="BC88" i="5"/>
  <c r="C34" i="4"/>
  <c r="M89" i="5"/>
  <c r="Y89" i="5"/>
  <c r="AK89" i="5"/>
  <c r="AW89" i="5"/>
  <c r="C35" i="4"/>
  <c r="S90" i="5"/>
  <c r="AE90" i="5"/>
  <c r="AQ90" i="5"/>
  <c r="BC90" i="5"/>
  <c r="C36" i="4"/>
  <c r="M91" i="5"/>
  <c r="Y91" i="5"/>
  <c r="AK91" i="5"/>
  <c r="AW91" i="5"/>
  <c r="C37" i="4"/>
  <c r="S92" i="5"/>
  <c r="AE92" i="5"/>
  <c r="AQ92" i="5"/>
  <c r="BC92" i="5"/>
  <c r="C38" i="4"/>
  <c r="M93" i="5"/>
  <c r="Y93" i="5"/>
  <c r="AK93" i="5"/>
  <c r="AW93" i="5"/>
  <c r="C39" i="4"/>
  <c r="G94" i="5"/>
  <c r="S94" i="5"/>
  <c r="AE94" i="5"/>
  <c r="AQ94" i="5"/>
  <c r="BC94" i="5"/>
  <c r="C40" i="4"/>
  <c r="M95" i="5"/>
  <c r="C41" i="4"/>
  <c r="S96" i="5"/>
  <c r="AQ96" i="5"/>
  <c r="C42" i="4"/>
  <c r="M97" i="5"/>
  <c r="Y97" i="5"/>
  <c r="AK97" i="5"/>
  <c r="AW97" i="5"/>
  <c r="C43" i="4"/>
  <c r="AE98" i="5"/>
  <c r="BC98" i="5"/>
  <c r="C44" i="4"/>
  <c r="C45" i="4"/>
  <c r="G100" i="5"/>
  <c r="S100" i="5"/>
  <c r="AE100" i="5"/>
  <c r="AQ100" i="5"/>
  <c r="BC100" i="5"/>
  <c r="C46" i="4"/>
  <c r="J101" i="5"/>
  <c r="M101" i="5"/>
  <c r="V101" i="5"/>
  <c r="Y101" i="5"/>
  <c r="AH101" i="5"/>
  <c r="AK101" i="5"/>
  <c r="AT101" i="5"/>
  <c r="AW101" i="5"/>
  <c r="C47" i="4"/>
  <c r="G102" i="5"/>
  <c r="S102" i="5"/>
  <c r="AE102" i="5"/>
  <c r="AQ102" i="5"/>
  <c r="AZ102" i="5"/>
  <c r="BC102" i="5"/>
  <c r="C48" i="4"/>
  <c r="J103" i="5"/>
  <c r="M103" i="5"/>
  <c r="V103" i="5"/>
  <c r="Y103" i="5"/>
  <c r="AH103" i="5"/>
  <c r="AK103" i="5"/>
  <c r="AT103" i="5"/>
  <c r="AW103" i="5"/>
  <c r="C49" i="4"/>
  <c r="G104" i="5"/>
  <c r="S104" i="5"/>
  <c r="AE104" i="5"/>
  <c r="AQ104" i="5"/>
  <c r="BC104" i="5"/>
  <c r="C50" i="4"/>
  <c r="M105" i="5"/>
  <c r="Y105" i="5"/>
  <c r="AW105" i="5"/>
  <c r="C51" i="4"/>
  <c r="G106" i="5"/>
  <c r="P106" i="5"/>
  <c r="S106" i="5"/>
  <c r="AB106" i="5"/>
  <c r="AE106" i="5"/>
  <c r="AN106" i="5"/>
  <c r="AQ106" i="5"/>
  <c r="BC106" i="5"/>
  <c r="C52" i="4"/>
  <c r="M107" i="5"/>
  <c r="AK107" i="5"/>
  <c r="C53" i="4"/>
  <c r="D108" i="5"/>
  <c r="U108" i="5"/>
  <c r="AG108" i="5"/>
  <c r="AS108" i="5"/>
  <c r="C54" i="4"/>
  <c r="C109" i="5" s="1"/>
  <c r="M109" i="5"/>
  <c r="R109" i="5"/>
  <c r="X109" i="5"/>
  <c r="Y109" i="5"/>
  <c r="AD109" i="5"/>
  <c r="AK109" i="5"/>
  <c r="AP109" i="5"/>
  <c r="AW109" i="5"/>
  <c r="BB109" i="5"/>
  <c r="C55" i="4"/>
  <c r="D110" i="5"/>
  <c r="F110" i="5"/>
  <c r="P110" i="5"/>
  <c r="S110" i="5"/>
  <c r="AB110" i="5"/>
  <c r="AN110" i="5"/>
  <c r="AZ110" i="5"/>
  <c r="C56" i="4"/>
  <c r="H111" i="5"/>
  <c r="J111" i="5"/>
  <c r="L111" i="5"/>
  <c r="M111" i="5"/>
  <c r="V111" i="5"/>
  <c r="X111" i="5"/>
  <c r="AH111" i="5"/>
  <c r="AJ111" i="5"/>
  <c r="AT111" i="5"/>
  <c r="AV111" i="5"/>
  <c r="AW111" i="5"/>
  <c r="AY111" i="5"/>
  <c r="M58" i="5"/>
  <c r="K59" i="5"/>
  <c r="L59" i="5"/>
  <c r="I60" i="5"/>
  <c r="J60" i="5"/>
  <c r="G61" i="5"/>
  <c r="H61" i="5"/>
  <c r="E62" i="5"/>
  <c r="Q62" i="5"/>
  <c r="O63" i="5"/>
  <c r="P63" i="5"/>
  <c r="M64" i="5"/>
  <c r="N64" i="5"/>
  <c r="K65" i="5"/>
  <c r="L65" i="5"/>
  <c r="I66" i="5"/>
  <c r="G67" i="5"/>
  <c r="H67" i="5"/>
  <c r="E68" i="5"/>
  <c r="Q68" i="5"/>
  <c r="D69" i="5"/>
  <c r="O69" i="5"/>
  <c r="P69" i="5"/>
  <c r="M70" i="5"/>
  <c r="K71" i="5"/>
  <c r="L71" i="5"/>
  <c r="I72" i="5"/>
  <c r="J72" i="5"/>
  <c r="G73" i="5"/>
  <c r="H73" i="5"/>
  <c r="E74" i="5"/>
  <c r="Q74" i="5"/>
  <c r="O75" i="5"/>
  <c r="M76" i="5"/>
  <c r="N76" i="5"/>
  <c r="E77" i="5"/>
  <c r="F77" i="5"/>
  <c r="K77" i="5"/>
  <c r="L77" i="5"/>
  <c r="I78" i="5"/>
  <c r="P78" i="5"/>
  <c r="G79" i="5"/>
  <c r="E80" i="5"/>
  <c r="F80" i="5"/>
  <c r="J80" i="5"/>
  <c r="K80" i="5"/>
  <c r="Q80" i="5"/>
  <c r="M59" i="5"/>
  <c r="D62" i="5"/>
  <c r="P62" i="5"/>
  <c r="J64" i="5"/>
  <c r="G65" i="5"/>
  <c r="D66" i="5"/>
  <c r="P66" i="5"/>
  <c r="M67" i="5"/>
  <c r="J68" i="5"/>
  <c r="F69" i="5"/>
  <c r="G69" i="5"/>
  <c r="D70" i="5"/>
  <c r="P70" i="5"/>
  <c r="M71" i="5"/>
  <c r="F73" i="5"/>
  <c r="C74" i="5"/>
  <c r="D74" i="5"/>
  <c r="O74" i="5"/>
  <c r="L75" i="5"/>
  <c r="G77" i="5"/>
  <c r="C78" i="5"/>
  <c r="D78" i="5"/>
  <c r="O78" i="5"/>
  <c r="L79" i="5"/>
  <c r="I80" i="5"/>
  <c r="C61" i="5"/>
  <c r="E63" i="5"/>
  <c r="F64" i="5"/>
  <c r="H66" i="5"/>
  <c r="I67" i="5"/>
  <c r="K69" i="5"/>
  <c r="L70" i="5"/>
  <c r="C73" i="5"/>
  <c r="E75" i="5"/>
  <c r="H78" i="5"/>
  <c r="I79" i="5"/>
  <c r="K81" i="5"/>
  <c r="L82" i="5"/>
  <c r="M83" i="5"/>
  <c r="C85" i="5"/>
  <c r="D86" i="5"/>
  <c r="E87" i="5"/>
  <c r="F88" i="5"/>
  <c r="G89" i="5"/>
  <c r="H90" i="5"/>
  <c r="I91" i="5"/>
  <c r="J92" i="5"/>
  <c r="K93" i="5"/>
  <c r="C97" i="5"/>
  <c r="D98" i="5"/>
  <c r="E99" i="5"/>
  <c r="F100" i="5"/>
  <c r="G101" i="5"/>
  <c r="H102" i="5"/>
  <c r="I103" i="5"/>
  <c r="J104" i="5"/>
  <c r="L106" i="5"/>
  <c r="E111" i="5"/>
  <c r="F113" i="5"/>
  <c r="G114" i="5"/>
  <c r="H115" i="5"/>
  <c r="I116" i="5"/>
  <c r="E59" i="5"/>
  <c r="G60" i="5"/>
  <c r="I61" i="5"/>
  <c r="K62" i="5"/>
  <c r="E65" i="5"/>
  <c r="G66" i="5"/>
  <c r="K68" i="5"/>
  <c r="M69" i="5"/>
  <c r="E71" i="5"/>
  <c r="K74" i="5"/>
  <c r="E83" i="5"/>
  <c r="I85" i="5"/>
  <c r="K86" i="5"/>
  <c r="E89" i="5"/>
  <c r="G90" i="5"/>
  <c r="K92" i="5"/>
  <c r="E95" i="5"/>
  <c r="K98" i="5"/>
  <c r="E101" i="5"/>
  <c r="K104" i="5"/>
  <c r="M108" i="5"/>
  <c r="I109" i="5"/>
  <c r="K110" i="5"/>
  <c r="E113" i="5"/>
  <c r="K113" i="5"/>
  <c r="L113" i="5"/>
  <c r="F114" i="5"/>
  <c r="L114" i="5"/>
  <c r="I115" i="5"/>
  <c r="J115" i="5"/>
  <c r="E116" i="5"/>
  <c r="F116" i="5"/>
  <c r="K116" i="5"/>
  <c r="L116" i="5"/>
  <c r="F60" i="5"/>
  <c r="J62" i="5"/>
  <c r="D65" i="5"/>
  <c r="F66" i="5"/>
  <c r="D71" i="5"/>
  <c r="F72" i="5"/>
  <c r="I73" i="5"/>
  <c r="J74" i="5"/>
  <c r="F78" i="5"/>
  <c r="L81" i="5"/>
  <c r="D83" i="5"/>
  <c r="F84" i="5"/>
  <c r="H85" i="5"/>
  <c r="J86" i="5"/>
  <c r="L87" i="5"/>
  <c r="D89" i="5"/>
  <c r="L93" i="5"/>
  <c r="D95" i="5"/>
  <c r="F96" i="5"/>
  <c r="H97" i="5"/>
  <c r="I97" i="5"/>
  <c r="L99" i="5"/>
  <c r="K105" i="5"/>
  <c r="L105" i="5"/>
  <c r="D107" i="5"/>
  <c r="H109" i="5"/>
  <c r="E110" i="5"/>
  <c r="D113" i="5"/>
  <c r="F115" i="5"/>
  <c r="J116" i="5"/>
  <c r="F76" i="5"/>
  <c r="L94" i="5"/>
  <c r="G113" i="5"/>
  <c r="H114" i="5"/>
  <c r="K114" i="5"/>
  <c r="M115" i="5"/>
  <c r="H116" i="5"/>
  <c r="C3" i="4"/>
  <c r="A60" i="3"/>
  <c r="A61" i="3"/>
  <c r="C113" i="5"/>
  <c r="D168" i="5"/>
  <c r="E168" i="5"/>
  <c r="F168" i="5"/>
  <c r="G168" i="5"/>
  <c r="H168" i="5"/>
  <c r="I168" i="5"/>
  <c r="J168" i="5"/>
  <c r="K168" i="5"/>
  <c r="L168" i="5"/>
  <c r="M168" i="5"/>
  <c r="P168" i="5"/>
  <c r="Q168" i="5"/>
  <c r="R168" i="5"/>
  <c r="S168" i="5"/>
  <c r="T168" i="5"/>
  <c r="U168" i="5"/>
  <c r="V168" i="5"/>
  <c r="W168" i="5"/>
  <c r="X168" i="5"/>
  <c r="Y168" i="5"/>
  <c r="AB168" i="5"/>
  <c r="AC168" i="5"/>
  <c r="AD168" i="5"/>
  <c r="AE168" i="5"/>
  <c r="AF168" i="5"/>
  <c r="AG168" i="5"/>
  <c r="AH168" i="5"/>
  <c r="AI168" i="5"/>
  <c r="AJ168" i="5"/>
  <c r="AK168" i="5"/>
  <c r="AN168" i="5"/>
  <c r="AO168" i="5"/>
  <c r="AP168" i="5"/>
  <c r="AQ168" i="5"/>
  <c r="AR168" i="5"/>
  <c r="AS168" i="5"/>
  <c r="AT168" i="5"/>
  <c r="AU168" i="5"/>
  <c r="AV168" i="5"/>
  <c r="AW168" i="5"/>
  <c r="AZ168" i="5"/>
  <c r="BA168" i="5"/>
  <c r="BB168" i="5"/>
  <c r="BC168" i="5"/>
  <c r="BD168" i="5"/>
  <c r="D169" i="5"/>
  <c r="E169" i="5"/>
  <c r="F169" i="5"/>
  <c r="G169" i="5"/>
  <c r="H169" i="5"/>
  <c r="K169" i="5"/>
  <c r="L169" i="5"/>
  <c r="M169" i="5"/>
  <c r="N169" i="5"/>
  <c r="O169" i="5"/>
  <c r="P169" i="5"/>
  <c r="Q169" i="5"/>
  <c r="R169" i="5"/>
  <c r="S169" i="5"/>
  <c r="T169" i="5"/>
  <c r="W169" i="5"/>
  <c r="X169" i="5"/>
  <c r="Y169" i="5"/>
  <c r="Z169" i="5"/>
  <c r="AA169" i="5"/>
  <c r="AB169" i="5"/>
  <c r="AC169" i="5"/>
  <c r="AD169" i="5"/>
  <c r="AE169" i="5"/>
  <c r="AF169" i="5"/>
  <c r="AI169" i="5"/>
  <c r="AJ169" i="5"/>
  <c r="AK169" i="5"/>
  <c r="AL169" i="5"/>
  <c r="AM169" i="5"/>
  <c r="AN169" i="5"/>
  <c r="AO169" i="5"/>
  <c r="AP169" i="5"/>
  <c r="AQ169" i="5"/>
  <c r="AR169" i="5"/>
  <c r="AU169" i="5"/>
  <c r="AV169" i="5"/>
  <c r="AW169" i="5"/>
  <c r="AX169" i="5"/>
  <c r="AY169" i="5"/>
  <c r="AZ169" i="5"/>
  <c r="BA169" i="5"/>
  <c r="BB169" i="5"/>
  <c r="BC169" i="5"/>
  <c r="BD169" i="5"/>
  <c r="D170" i="5"/>
  <c r="F170" i="5"/>
  <c r="G170" i="5"/>
  <c r="H170" i="5"/>
  <c r="I170" i="5"/>
  <c r="J170" i="5"/>
  <c r="K170" i="5"/>
  <c r="L170" i="5"/>
  <c r="M170" i="5"/>
  <c r="N170" i="5"/>
  <c r="O170" i="5"/>
  <c r="P170" i="5"/>
  <c r="R170" i="5"/>
  <c r="S170" i="5"/>
  <c r="T170" i="5"/>
  <c r="U170" i="5"/>
  <c r="V170" i="5"/>
  <c r="W170" i="5"/>
  <c r="X170" i="5"/>
  <c r="Y170" i="5"/>
  <c r="Z170" i="5"/>
  <c r="AA170" i="5"/>
  <c r="AD170" i="5"/>
  <c r="AE170" i="5"/>
  <c r="AF170" i="5"/>
  <c r="AG170" i="5"/>
  <c r="AH170" i="5"/>
  <c r="AI170" i="5"/>
  <c r="AJ170" i="5"/>
  <c r="AK170" i="5"/>
  <c r="AL170" i="5"/>
  <c r="AM170" i="5"/>
  <c r="AP170" i="5"/>
  <c r="AQ170" i="5"/>
  <c r="AR170" i="5"/>
  <c r="AS170" i="5"/>
  <c r="AT170" i="5"/>
  <c r="AU170" i="5"/>
  <c r="AV170" i="5"/>
  <c r="AW170" i="5"/>
  <c r="AX170" i="5"/>
  <c r="AY170" i="5"/>
  <c r="BB170" i="5"/>
  <c r="BC170" i="5"/>
  <c r="BD170" i="5"/>
  <c r="D171" i="5"/>
  <c r="E171" i="5"/>
  <c r="F171" i="5"/>
  <c r="G171" i="5"/>
  <c r="H171" i="5"/>
  <c r="I171" i="5"/>
  <c r="J171" i="5"/>
  <c r="M171" i="5"/>
  <c r="N171" i="5"/>
  <c r="O171" i="5"/>
  <c r="P171" i="5"/>
  <c r="Q171" i="5"/>
  <c r="R171" i="5"/>
  <c r="S171" i="5"/>
  <c r="T171" i="5"/>
  <c r="U171" i="5"/>
  <c r="V171" i="5"/>
  <c r="Y171" i="5"/>
  <c r="Z171" i="5"/>
  <c r="AA171" i="5"/>
  <c r="AB171" i="5"/>
  <c r="AC171" i="5"/>
  <c r="AD171" i="5"/>
  <c r="AE171" i="5"/>
  <c r="AF171" i="5"/>
  <c r="AG171" i="5"/>
  <c r="AH171" i="5"/>
  <c r="AK171" i="5"/>
  <c r="AL171" i="5"/>
  <c r="AM171" i="5"/>
  <c r="AN171" i="5"/>
  <c r="AO171" i="5"/>
  <c r="AP171" i="5"/>
  <c r="AQ171" i="5"/>
  <c r="AR171" i="5"/>
  <c r="AS171" i="5"/>
  <c r="AT171" i="5"/>
  <c r="AW171" i="5"/>
  <c r="AX171" i="5"/>
  <c r="AY171" i="5"/>
  <c r="AZ171" i="5"/>
  <c r="BA171" i="5"/>
  <c r="BB171" i="5"/>
  <c r="BC171" i="5"/>
  <c r="BD171" i="5"/>
  <c r="D172" i="5"/>
  <c r="E172" i="5"/>
  <c r="H172" i="5"/>
  <c r="I172" i="5"/>
  <c r="J172" i="5"/>
  <c r="K172" i="5"/>
  <c r="L172" i="5"/>
  <c r="M172" i="5"/>
  <c r="N172" i="5"/>
  <c r="O172" i="5"/>
  <c r="P172" i="5"/>
  <c r="Q172" i="5"/>
  <c r="T172" i="5"/>
  <c r="U172" i="5"/>
  <c r="V172" i="5"/>
  <c r="W172" i="5"/>
  <c r="X172" i="5"/>
  <c r="Y172" i="5"/>
  <c r="Z172" i="5"/>
  <c r="AA172" i="5"/>
  <c r="AB172" i="5"/>
  <c r="AC172" i="5"/>
  <c r="AF172" i="5"/>
  <c r="AG172" i="5"/>
  <c r="AH172" i="5"/>
  <c r="AI172" i="5"/>
  <c r="AJ172" i="5"/>
  <c r="AK172" i="5"/>
  <c r="AL172" i="5"/>
  <c r="AM172" i="5"/>
  <c r="AN172" i="5"/>
  <c r="AO172" i="5"/>
  <c r="AP172" i="5"/>
  <c r="AR172" i="5"/>
  <c r="AS172" i="5"/>
  <c r="AT172" i="5"/>
  <c r="AU172" i="5"/>
  <c r="AV172" i="5"/>
  <c r="AW172" i="5"/>
  <c r="AX172" i="5"/>
  <c r="AY172" i="5"/>
  <c r="AZ172" i="5"/>
  <c r="BA172" i="5"/>
  <c r="BB172" i="5"/>
  <c r="BD172" i="5"/>
  <c r="D173" i="5"/>
  <c r="E173" i="5"/>
  <c r="F173" i="5"/>
  <c r="G173" i="5"/>
  <c r="H173" i="5"/>
  <c r="I173" i="5"/>
  <c r="J173" i="5"/>
  <c r="K173" i="5"/>
  <c r="L173" i="5"/>
  <c r="O173" i="5"/>
  <c r="P173" i="5"/>
  <c r="Q173" i="5"/>
  <c r="R173" i="5"/>
  <c r="S173" i="5"/>
  <c r="T173" i="5"/>
  <c r="U173" i="5"/>
  <c r="V173" i="5"/>
  <c r="W173" i="5"/>
  <c r="X173" i="5"/>
  <c r="AA173" i="5"/>
  <c r="AB173" i="5"/>
  <c r="AC173" i="5"/>
  <c r="AD173" i="5"/>
  <c r="AE173" i="5"/>
  <c r="AF173" i="5"/>
  <c r="AG173" i="5"/>
  <c r="AH173" i="5"/>
  <c r="AI173" i="5"/>
  <c r="AJ173" i="5"/>
  <c r="AM173" i="5"/>
  <c r="AN173" i="5"/>
  <c r="AO173" i="5"/>
  <c r="AP173" i="5"/>
  <c r="AQ173" i="5"/>
  <c r="AR173" i="5"/>
  <c r="AS173" i="5"/>
  <c r="AT173" i="5"/>
  <c r="AU173" i="5"/>
  <c r="AV173" i="5"/>
  <c r="AY173" i="5"/>
  <c r="AZ173" i="5"/>
  <c r="BA173" i="5"/>
  <c r="BB173" i="5"/>
  <c r="BC173" i="5"/>
  <c r="BD173" i="5"/>
  <c r="D174" i="5"/>
  <c r="E174" i="5"/>
  <c r="F174" i="5"/>
  <c r="G174" i="5"/>
  <c r="J174" i="5"/>
  <c r="K174" i="5"/>
  <c r="L174" i="5"/>
  <c r="M174" i="5"/>
  <c r="N174" i="5"/>
  <c r="O174" i="5"/>
  <c r="P174" i="5"/>
  <c r="Q174" i="5"/>
  <c r="R174" i="5"/>
  <c r="S174" i="5"/>
  <c r="V174" i="5"/>
  <c r="W174" i="5"/>
  <c r="X174" i="5"/>
  <c r="Y174" i="5"/>
  <c r="Z174" i="5"/>
  <c r="AA174" i="5"/>
  <c r="AB174" i="5"/>
  <c r="AC174" i="5"/>
  <c r="AD174" i="5"/>
  <c r="AE174" i="5"/>
  <c r="AH174" i="5"/>
  <c r="AI174" i="5"/>
  <c r="AJ174" i="5"/>
  <c r="AK174" i="5"/>
  <c r="AL174" i="5"/>
  <c r="AM174" i="5"/>
  <c r="AN174" i="5"/>
  <c r="AO174" i="5"/>
  <c r="AP174" i="5"/>
  <c r="AQ174" i="5"/>
  <c r="AT174" i="5"/>
  <c r="AU174" i="5"/>
  <c r="AV174" i="5"/>
  <c r="AW174" i="5"/>
  <c r="AX174" i="5"/>
  <c r="AY174" i="5"/>
  <c r="AZ174" i="5"/>
  <c r="BA174" i="5"/>
  <c r="BB174" i="5"/>
  <c r="BC174" i="5"/>
  <c r="E175" i="5"/>
  <c r="F175" i="5"/>
  <c r="G175" i="5"/>
  <c r="H175" i="5"/>
  <c r="I175" i="5"/>
  <c r="J175" i="5"/>
  <c r="K175" i="5"/>
  <c r="L175" i="5"/>
  <c r="M175" i="5"/>
  <c r="N175" i="5"/>
  <c r="Q175" i="5"/>
  <c r="R175" i="5"/>
  <c r="S175" i="5"/>
  <c r="T175" i="5"/>
  <c r="U175" i="5"/>
  <c r="V175" i="5"/>
  <c r="W175" i="5"/>
  <c r="X175" i="5"/>
  <c r="Y175" i="5"/>
  <c r="Z175" i="5"/>
  <c r="AA175" i="5"/>
  <c r="AC175" i="5"/>
  <c r="AD175" i="5"/>
  <c r="AE175" i="5"/>
  <c r="AF175" i="5"/>
  <c r="AG175" i="5"/>
  <c r="AH175" i="5"/>
  <c r="AI175" i="5"/>
  <c r="AJ175" i="5"/>
  <c r="AK175" i="5"/>
  <c r="AL175" i="5"/>
  <c r="AM175" i="5"/>
  <c r="AO175" i="5"/>
  <c r="AP175" i="5"/>
  <c r="AQ175" i="5"/>
  <c r="AR175" i="5"/>
  <c r="AS175" i="5"/>
  <c r="AT175" i="5"/>
  <c r="AU175" i="5"/>
  <c r="AV175" i="5"/>
  <c r="AW175" i="5"/>
  <c r="AX175" i="5"/>
  <c r="BA175" i="5"/>
  <c r="BB175" i="5"/>
  <c r="BC175" i="5"/>
  <c r="BD175" i="5"/>
  <c r="D176" i="5"/>
  <c r="E176" i="5"/>
  <c r="F176" i="5"/>
  <c r="G176" i="5"/>
  <c r="H176" i="5"/>
  <c r="I176" i="5"/>
  <c r="L176" i="5"/>
  <c r="M176" i="5"/>
  <c r="N176" i="5"/>
  <c r="O176" i="5"/>
  <c r="P176" i="5"/>
  <c r="Q176" i="5"/>
  <c r="R176" i="5"/>
  <c r="S176" i="5"/>
  <c r="T176" i="5"/>
  <c r="U176" i="5"/>
  <c r="X176" i="5"/>
  <c r="Y176" i="5"/>
  <c r="Z176" i="5"/>
  <c r="AA176" i="5"/>
  <c r="AB176" i="5"/>
  <c r="AC176" i="5"/>
  <c r="AD176" i="5"/>
  <c r="AE176" i="5"/>
  <c r="AF176" i="5"/>
  <c r="AG176" i="5"/>
  <c r="AJ176" i="5"/>
  <c r="AK176" i="5"/>
  <c r="AL176" i="5"/>
  <c r="AM176" i="5"/>
  <c r="AN176" i="5"/>
  <c r="AO176" i="5"/>
  <c r="AP176" i="5"/>
  <c r="AQ176" i="5"/>
  <c r="AR176" i="5"/>
  <c r="AS176" i="5"/>
  <c r="AV176" i="5"/>
  <c r="AW176" i="5"/>
  <c r="AX176" i="5"/>
  <c r="AY176" i="5"/>
  <c r="AZ176" i="5"/>
  <c r="BA176" i="5"/>
  <c r="BB176" i="5"/>
  <c r="BC176" i="5"/>
  <c r="BD176" i="5"/>
  <c r="D177" i="5"/>
  <c r="G177" i="5"/>
  <c r="H177" i="5"/>
  <c r="I177" i="5"/>
  <c r="J177" i="5"/>
  <c r="K177" i="5"/>
  <c r="L177" i="5"/>
  <c r="M177" i="5"/>
  <c r="N177" i="5"/>
  <c r="O177" i="5"/>
  <c r="P177" i="5"/>
  <c r="S177" i="5"/>
  <c r="T177" i="5"/>
  <c r="U177" i="5"/>
  <c r="V177" i="5"/>
  <c r="W177" i="5"/>
  <c r="X177" i="5"/>
  <c r="Y177" i="5"/>
  <c r="Z177" i="5"/>
  <c r="AA177" i="5"/>
  <c r="AB177" i="5"/>
  <c r="AE177" i="5"/>
  <c r="AF177" i="5"/>
  <c r="AG177" i="5"/>
  <c r="AH177" i="5"/>
  <c r="AI177" i="5"/>
  <c r="AJ177" i="5"/>
  <c r="AK177" i="5"/>
  <c r="AL177" i="5"/>
  <c r="AM177" i="5"/>
  <c r="AN177" i="5"/>
  <c r="AQ177" i="5"/>
  <c r="AR177" i="5"/>
  <c r="AS177" i="5"/>
  <c r="AT177" i="5"/>
  <c r="AU177" i="5"/>
  <c r="AV177" i="5"/>
  <c r="AW177" i="5"/>
  <c r="AX177" i="5"/>
  <c r="AY177" i="5"/>
  <c r="AZ177" i="5"/>
  <c r="BC177" i="5"/>
  <c r="BD177" i="5"/>
  <c r="D178" i="5"/>
  <c r="E178" i="5"/>
  <c r="F178" i="5"/>
  <c r="G178" i="5"/>
  <c r="H178" i="5"/>
  <c r="I178" i="5"/>
  <c r="J178" i="5"/>
  <c r="K178" i="5"/>
  <c r="L178" i="5"/>
  <c r="N178" i="5"/>
  <c r="O178" i="5"/>
  <c r="P178" i="5"/>
  <c r="Q178" i="5"/>
  <c r="R178" i="5"/>
  <c r="S178" i="5"/>
  <c r="T178" i="5"/>
  <c r="U178" i="5"/>
  <c r="V178" i="5"/>
  <c r="W178" i="5"/>
  <c r="X178" i="5"/>
  <c r="Z178" i="5"/>
  <c r="AA178" i="5"/>
  <c r="AB178" i="5"/>
  <c r="AC178" i="5"/>
  <c r="AD178" i="5"/>
  <c r="AE178" i="5"/>
  <c r="AF178" i="5"/>
  <c r="AG178" i="5"/>
  <c r="AH178" i="5"/>
  <c r="AI178" i="5"/>
  <c r="AL178" i="5"/>
  <c r="AM178" i="5"/>
  <c r="AN178" i="5"/>
  <c r="AO178" i="5"/>
  <c r="AP178" i="5"/>
  <c r="AQ178" i="5"/>
  <c r="AR178" i="5"/>
  <c r="AS178" i="5"/>
  <c r="AT178" i="5"/>
  <c r="AU178" i="5"/>
  <c r="AX178" i="5"/>
  <c r="AY178" i="5"/>
  <c r="AZ178" i="5"/>
  <c r="BA178" i="5"/>
  <c r="BB178" i="5"/>
  <c r="BC178" i="5"/>
  <c r="BD178" i="5"/>
  <c r="D179" i="5"/>
  <c r="E179" i="5"/>
  <c r="F179" i="5"/>
  <c r="I179" i="5"/>
  <c r="J179" i="5"/>
  <c r="K179" i="5"/>
  <c r="L179" i="5"/>
  <c r="M179" i="5"/>
  <c r="N179" i="5"/>
  <c r="O179" i="5"/>
  <c r="P179" i="5"/>
  <c r="Q179" i="5"/>
  <c r="R179" i="5"/>
  <c r="U179" i="5"/>
  <c r="V179" i="5"/>
  <c r="W179" i="5"/>
  <c r="X179" i="5"/>
  <c r="Y179" i="5"/>
  <c r="Z179" i="5"/>
  <c r="AA179" i="5"/>
  <c r="AB179" i="5"/>
  <c r="AC179" i="5"/>
  <c r="AD179" i="5"/>
  <c r="AG179" i="5"/>
  <c r="AH179" i="5"/>
  <c r="AI179" i="5"/>
  <c r="AJ179" i="5"/>
  <c r="AK179" i="5"/>
  <c r="AL179" i="5"/>
  <c r="AM179" i="5"/>
  <c r="AN179" i="5"/>
  <c r="AO179" i="5"/>
  <c r="AP179" i="5"/>
  <c r="AS179" i="5"/>
  <c r="AT179" i="5"/>
  <c r="AU179" i="5"/>
  <c r="AV179" i="5"/>
  <c r="AW179" i="5"/>
  <c r="AX179" i="5"/>
  <c r="AY179" i="5"/>
  <c r="AZ179" i="5"/>
  <c r="BA179" i="5"/>
  <c r="BB179" i="5"/>
  <c r="D180" i="5"/>
  <c r="E180" i="5"/>
  <c r="F180" i="5"/>
  <c r="G180" i="5"/>
  <c r="H180" i="5"/>
  <c r="I180" i="5"/>
  <c r="J180" i="5"/>
  <c r="K180" i="5"/>
  <c r="L180" i="5"/>
  <c r="M180" i="5"/>
  <c r="P180" i="5"/>
  <c r="Q180" i="5"/>
  <c r="R180" i="5"/>
  <c r="S180" i="5"/>
  <c r="T180" i="5"/>
  <c r="U180" i="5"/>
  <c r="V180" i="5"/>
  <c r="W180" i="5"/>
  <c r="X180" i="5"/>
  <c r="Y180" i="5"/>
  <c r="AB180" i="5"/>
  <c r="AC180" i="5"/>
  <c r="AD180" i="5"/>
  <c r="AE180" i="5"/>
  <c r="AF180" i="5"/>
  <c r="AG180" i="5"/>
  <c r="AH180" i="5"/>
  <c r="AI180" i="5"/>
  <c r="AJ180" i="5"/>
  <c r="AK180" i="5"/>
  <c r="AN180" i="5"/>
  <c r="AO180" i="5"/>
  <c r="AP180" i="5"/>
  <c r="AQ180" i="5"/>
  <c r="AR180" i="5"/>
  <c r="AS180" i="5"/>
  <c r="AT180" i="5"/>
  <c r="AU180" i="5"/>
  <c r="AV180" i="5"/>
  <c r="AW180" i="5"/>
  <c r="AX180" i="5"/>
  <c r="AZ180" i="5"/>
  <c r="BA180" i="5"/>
  <c r="BB180" i="5"/>
  <c r="BC180" i="5"/>
  <c r="BD180" i="5"/>
  <c r="D181" i="5"/>
  <c r="E181" i="5"/>
  <c r="F181" i="5"/>
  <c r="G181" i="5"/>
  <c r="H181" i="5"/>
  <c r="I181" i="5"/>
  <c r="K181" i="5"/>
  <c r="L181" i="5"/>
  <c r="M181" i="5"/>
  <c r="N181" i="5"/>
  <c r="O181" i="5"/>
  <c r="P181" i="5"/>
  <c r="Q181" i="5"/>
  <c r="R181" i="5"/>
  <c r="S181" i="5"/>
  <c r="T181" i="5"/>
  <c r="W181" i="5"/>
  <c r="X181" i="5"/>
  <c r="Y181" i="5"/>
  <c r="Z181" i="5"/>
  <c r="AA181" i="5"/>
  <c r="AB181" i="5"/>
  <c r="AC181" i="5"/>
  <c r="AD181" i="5"/>
  <c r="AE181" i="5"/>
  <c r="AF181" i="5"/>
  <c r="AI181" i="5"/>
  <c r="AJ181" i="5"/>
  <c r="AK181" i="5"/>
  <c r="AL181" i="5"/>
  <c r="AM181" i="5"/>
  <c r="AN181" i="5"/>
  <c r="AO181" i="5"/>
  <c r="AP181" i="5"/>
  <c r="AQ181" i="5"/>
  <c r="AR181" i="5"/>
  <c r="AU181" i="5"/>
  <c r="AV181" i="5"/>
  <c r="AW181" i="5"/>
  <c r="AX181" i="5"/>
  <c r="AY181" i="5"/>
  <c r="AZ181" i="5"/>
  <c r="BA181" i="5"/>
  <c r="BB181" i="5"/>
  <c r="BC181" i="5"/>
  <c r="BD181" i="5"/>
  <c r="F182" i="5"/>
  <c r="G182" i="5"/>
  <c r="I182" i="5"/>
  <c r="J182" i="5"/>
  <c r="K182" i="5"/>
  <c r="L182" i="5"/>
  <c r="M182" i="5"/>
  <c r="N182" i="5"/>
  <c r="O182" i="5"/>
  <c r="R182" i="5"/>
  <c r="S182" i="5"/>
  <c r="U182" i="5"/>
  <c r="V182" i="5"/>
  <c r="W182" i="5"/>
  <c r="X182" i="5"/>
  <c r="Y182" i="5"/>
  <c r="Z182" i="5"/>
  <c r="AA182" i="5"/>
  <c r="AD182" i="5"/>
  <c r="AE182" i="5"/>
  <c r="AG182" i="5"/>
  <c r="AH182" i="5"/>
  <c r="AI182" i="5"/>
  <c r="AJ182" i="5"/>
  <c r="AK182" i="5"/>
  <c r="AL182" i="5"/>
  <c r="AM182" i="5"/>
  <c r="AP182" i="5"/>
  <c r="AQ182" i="5"/>
  <c r="AS182" i="5"/>
  <c r="AT182" i="5"/>
  <c r="AU182" i="5"/>
  <c r="AV182" i="5"/>
  <c r="AW182" i="5"/>
  <c r="AX182" i="5"/>
  <c r="AY182" i="5"/>
  <c r="BB182" i="5"/>
  <c r="BC182" i="5"/>
  <c r="D183" i="5"/>
  <c r="E183" i="5"/>
  <c r="F183" i="5"/>
  <c r="G183" i="5"/>
  <c r="H183" i="5"/>
  <c r="I183" i="5"/>
  <c r="J183" i="5"/>
  <c r="M183" i="5"/>
  <c r="O183" i="5"/>
  <c r="P183" i="5"/>
  <c r="Q183" i="5"/>
  <c r="R183" i="5"/>
  <c r="S183" i="5"/>
  <c r="T183" i="5"/>
  <c r="U183" i="5"/>
  <c r="V183" i="5"/>
  <c r="Y183" i="5"/>
  <c r="AA183" i="5"/>
  <c r="AB183" i="5"/>
  <c r="AC183" i="5"/>
  <c r="AD183" i="5"/>
  <c r="AE183" i="5"/>
  <c r="AF183" i="5"/>
  <c r="AG183" i="5"/>
  <c r="AH183" i="5"/>
  <c r="AK183" i="5"/>
  <c r="AM183" i="5"/>
  <c r="AN183" i="5"/>
  <c r="AO183" i="5"/>
  <c r="AP183" i="5"/>
  <c r="AQ183" i="5"/>
  <c r="AR183" i="5"/>
  <c r="AS183" i="5"/>
  <c r="AT183" i="5"/>
  <c r="AW183" i="5"/>
  <c r="AY183" i="5"/>
  <c r="AZ183" i="5"/>
  <c r="BA183" i="5"/>
  <c r="BB183" i="5"/>
  <c r="BC183" i="5"/>
  <c r="BD183" i="5"/>
  <c r="D184" i="5"/>
  <c r="E184" i="5"/>
  <c r="H184" i="5"/>
  <c r="I184" i="5"/>
  <c r="J184" i="5"/>
  <c r="K184" i="5"/>
  <c r="L184" i="5"/>
  <c r="M184" i="5"/>
  <c r="N184" i="5"/>
  <c r="O184" i="5"/>
  <c r="P184" i="5"/>
  <c r="Q184" i="5"/>
  <c r="T184" i="5"/>
  <c r="U184" i="5"/>
  <c r="V184" i="5"/>
  <c r="W184" i="5"/>
  <c r="X184" i="5"/>
  <c r="Y184" i="5"/>
  <c r="Z184" i="5"/>
  <c r="AA184" i="5"/>
  <c r="AB184" i="5"/>
  <c r="AC184" i="5"/>
  <c r="AF184" i="5"/>
  <c r="AG184" i="5"/>
  <c r="AH184" i="5"/>
  <c r="AI184" i="5"/>
  <c r="AJ184" i="5"/>
  <c r="AK184" i="5"/>
  <c r="AL184" i="5"/>
  <c r="AM184" i="5"/>
  <c r="AN184" i="5"/>
  <c r="AO184" i="5"/>
  <c r="AQ184" i="5"/>
  <c r="AR184" i="5"/>
  <c r="AS184" i="5"/>
  <c r="AT184" i="5"/>
  <c r="AU184" i="5"/>
  <c r="AV184" i="5"/>
  <c r="AW184" i="5"/>
  <c r="AX184" i="5"/>
  <c r="AY184" i="5"/>
  <c r="AZ184" i="5"/>
  <c r="BA184" i="5"/>
  <c r="BD184" i="5"/>
  <c r="D185" i="5"/>
  <c r="E185" i="5"/>
  <c r="F185" i="5"/>
  <c r="G185" i="5"/>
  <c r="H185" i="5"/>
  <c r="I185" i="5"/>
  <c r="J185" i="5"/>
  <c r="K185" i="5"/>
  <c r="L185" i="5"/>
  <c r="O185" i="5"/>
  <c r="P185" i="5"/>
  <c r="Q185" i="5"/>
  <c r="R185" i="5"/>
  <c r="S185" i="5"/>
  <c r="T185" i="5"/>
  <c r="U185" i="5"/>
  <c r="V185" i="5"/>
  <c r="W185" i="5"/>
  <c r="X185" i="5"/>
  <c r="AA185" i="5"/>
  <c r="AB185" i="5"/>
  <c r="AC185" i="5"/>
  <c r="AD185" i="5"/>
  <c r="AE185" i="5"/>
  <c r="AF185" i="5"/>
  <c r="AG185" i="5"/>
  <c r="AH185" i="5"/>
  <c r="AI185" i="5"/>
  <c r="AJ185" i="5"/>
  <c r="AM185" i="5"/>
  <c r="AN185" i="5"/>
  <c r="AO185" i="5"/>
  <c r="AP185" i="5"/>
  <c r="AQ185" i="5"/>
  <c r="AR185" i="5"/>
  <c r="AS185" i="5"/>
  <c r="AT185" i="5"/>
  <c r="AU185" i="5"/>
  <c r="AV185" i="5"/>
  <c r="AY185" i="5"/>
  <c r="AZ185" i="5"/>
  <c r="BA185" i="5"/>
  <c r="BB185" i="5"/>
  <c r="BC185" i="5"/>
  <c r="BD185" i="5"/>
  <c r="D186" i="5"/>
  <c r="F186" i="5"/>
  <c r="G186" i="5"/>
  <c r="J186" i="5"/>
  <c r="K186" i="5"/>
  <c r="L186" i="5"/>
  <c r="M186" i="5"/>
  <c r="N186" i="5"/>
  <c r="O186" i="5"/>
  <c r="P186" i="5"/>
  <c r="R186" i="5"/>
  <c r="S186" i="5"/>
  <c r="V186" i="5"/>
  <c r="W186" i="5"/>
  <c r="X186" i="5"/>
  <c r="Y186" i="5"/>
  <c r="Z186" i="5"/>
  <c r="AA186" i="5"/>
  <c r="AB186" i="5"/>
  <c r="AD186" i="5"/>
  <c r="AE186" i="5"/>
  <c r="AH186" i="5"/>
  <c r="AI186" i="5"/>
  <c r="AJ186" i="5"/>
  <c r="AK186" i="5"/>
  <c r="AL186" i="5"/>
  <c r="AM186" i="5"/>
  <c r="AN186" i="5"/>
  <c r="AP186" i="5"/>
  <c r="AQ186" i="5"/>
  <c r="AR186" i="5"/>
  <c r="AS186" i="5"/>
  <c r="AT186" i="5"/>
  <c r="AU186" i="5"/>
  <c r="AV186" i="5"/>
  <c r="AW186" i="5"/>
  <c r="AX186" i="5"/>
  <c r="AY186" i="5"/>
  <c r="AZ186" i="5"/>
  <c r="BB186" i="5"/>
  <c r="BC186" i="5"/>
  <c r="E187" i="5"/>
  <c r="F187" i="5"/>
  <c r="G187" i="5"/>
  <c r="H187" i="5"/>
  <c r="I187" i="5"/>
  <c r="J187" i="5"/>
  <c r="K187" i="5"/>
  <c r="L187" i="5"/>
  <c r="M187" i="5"/>
  <c r="Q187" i="5"/>
  <c r="R187" i="5"/>
  <c r="S187" i="5"/>
  <c r="T187" i="5"/>
  <c r="U187" i="5"/>
  <c r="V187" i="5"/>
  <c r="W187" i="5"/>
  <c r="X187" i="5"/>
  <c r="Y187" i="5"/>
  <c r="AC187" i="5"/>
  <c r="AD187" i="5"/>
  <c r="AE187" i="5"/>
  <c r="AF187" i="5"/>
  <c r="AG187" i="5"/>
  <c r="AH187" i="5"/>
  <c r="AI187" i="5"/>
  <c r="AJ187" i="5"/>
  <c r="AK187" i="5"/>
  <c r="AO187" i="5"/>
  <c r="AP187" i="5"/>
  <c r="AQ187" i="5"/>
  <c r="AR187" i="5"/>
  <c r="AS187" i="5"/>
  <c r="AT187" i="5"/>
  <c r="AU187" i="5"/>
  <c r="AV187" i="5"/>
  <c r="AW187" i="5"/>
  <c r="BA187" i="5"/>
  <c r="BB187" i="5"/>
  <c r="BC187" i="5"/>
  <c r="BD187" i="5"/>
  <c r="D188" i="5"/>
  <c r="E188" i="5"/>
  <c r="F188" i="5"/>
  <c r="G188" i="5"/>
  <c r="H188" i="5"/>
  <c r="I188" i="5"/>
  <c r="L188" i="5"/>
  <c r="M188" i="5"/>
  <c r="N188" i="5"/>
  <c r="O188" i="5"/>
  <c r="P188" i="5"/>
  <c r="Q188" i="5"/>
  <c r="R188" i="5"/>
  <c r="S188" i="5"/>
  <c r="T188" i="5"/>
  <c r="U188" i="5"/>
  <c r="X188" i="5"/>
  <c r="Y188" i="5"/>
  <c r="Z188" i="5"/>
  <c r="AA188" i="5"/>
  <c r="AB188" i="5"/>
  <c r="AC188" i="5"/>
  <c r="AD188" i="5"/>
  <c r="AE188" i="5"/>
  <c r="AF188" i="5"/>
  <c r="AG188" i="5"/>
  <c r="AJ188" i="5"/>
  <c r="AK188" i="5"/>
  <c r="AL188" i="5"/>
  <c r="AM188" i="5"/>
  <c r="AN188" i="5"/>
  <c r="AO188" i="5"/>
  <c r="AP188" i="5"/>
  <c r="AQ188" i="5"/>
  <c r="AR188" i="5"/>
  <c r="AS188" i="5"/>
  <c r="AV188" i="5"/>
  <c r="AW188" i="5"/>
  <c r="AX188" i="5"/>
  <c r="AY188" i="5"/>
  <c r="AZ188" i="5"/>
  <c r="BA188" i="5"/>
  <c r="BB188" i="5"/>
  <c r="BC188" i="5"/>
  <c r="BD188" i="5"/>
  <c r="D189" i="5"/>
  <c r="G189" i="5"/>
  <c r="H189" i="5"/>
  <c r="I189" i="5"/>
  <c r="J189" i="5"/>
  <c r="K189" i="5"/>
  <c r="L189" i="5"/>
  <c r="M189" i="5"/>
  <c r="O189" i="5"/>
  <c r="P189" i="5"/>
  <c r="S189" i="5"/>
  <c r="T189" i="5"/>
  <c r="U189" i="5"/>
  <c r="V189" i="5"/>
  <c r="W189" i="5"/>
  <c r="X189" i="5"/>
  <c r="Y189" i="5"/>
  <c r="AA189" i="5"/>
  <c r="AB189" i="5"/>
  <c r="AC189" i="5"/>
  <c r="AE189" i="5"/>
  <c r="AF189" i="5"/>
  <c r="AG189" i="5"/>
  <c r="AH189" i="5"/>
  <c r="AI189" i="5"/>
  <c r="AJ189" i="5"/>
  <c r="AK189" i="5"/>
  <c r="AM189" i="5"/>
  <c r="AN189" i="5"/>
  <c r="AQ189" i="5"/>
  <c r="AR189" i="5"/>
  <c r="AS189" i="5"/>
  <c r="AT189" i="5"/>
  <c r="AU189" i="5"/>
  <c r="AV189" i="5"/>
  <c r="AW189" i="5"/>
  <c r="AY189" i="5"/>
  <c r="AZ189" i="5"/>
  <c r="BC189" i="5"/>
  <c r="BD189" i="5"/>
  <c r="D190" i="5"/>
  <c r="E190" i="5"/>
  <c r="F190" i="5"/>
  <c r="G190" i="5"/>
  <c r="H190" i="5"/>
  <c r="I190" i="5"/>
  <c r="J190" i="5"/>
  <c r="K190" i="5"/>
  <c r="N190" i="5"/>
  <c r="O190" i="5"/>
  <c r="P190" i="5"/>
  <c r="Q190" i="5"/>
  <c r="R190" i="5"/>
  <c r="S190" i="5"/>
  <c r="T190" i="5"/>
  <c r="U190" i="5"/>
  <c r="V190" i="5"/>
  <c r="W190" i="5"/>
  <c r="Z190" i="5"/>
  <c r="AA190" i="5"/>
  <c r="AB190" i="5"/>
  <c r="AC190" i="5"/>
  <c r="AD190" i="5"/>
  <c r="AE190" i="5"/>
  <c r="AF190" i="5"/>
  <c r="AG190" i="5"/>
  <c r="AH190" i="5"/>
  <c r="AI190" i="5"/>
  <c r="AL190" i="5"/>
  <c r="AM190" i="5"/>
  <c r="AN190" i="5"/>
  <c r="AO190" i="5"/>
  <c r="AP190" i="5"/>
  <c r="AQ190" i="5"/>
  <c r="AR190" i="5"/>
  <c r="AS190" i="5"/>
  <c r="AT190" i="5"/>
  <c r="AU190" i="5"/>
  <c r="AX190" i="5"/>
  <c r="AY190" i="5"/>
  <c r="AZ190" i="5"/>
  <c r="BA190" i="5"/>
  <c r="BB190" i="5"/>
  <c r="BC190" i="5"/>
  <c r="BD190" i="5"/>
  <c r="D191" i="5"/>
  <c r="E191" i="5"/>
  <c r="F191" i="5"/>
  <c r="I191" i="5"/>
  <c r="J191" i="5"/>
  <c r="L191" i="5"/>
  <c r="M191" i="5"/>
  <c r="O191" i="5"/>
  <c r="P191" i="5"/>
  <c r="Q191" i="5"/>
  <c r="R191" i="5"/>
  <c r="U191" i="5"/>
  <c r="V191" i="5"/>
  <c r="X191" i="5"/>
  <c r="Y191" i="5"/>
  <c r="AA191" i="5"/>
  <c r="AB191" i="5"/>
  <c r="AC191" i="5"/>
  <c r="AD191" i="5"/>
  <c r="AG191" i="5"/>
  <c r="AH191" i="5"/>
  <c r="AJ191" i="5"/>
  <c r="AK191" i="5"/>
  <c r="AM191" i="5"/>
  <c r="AN191" i="5"/>
  <c r="AO191" i="5"/>
  <c r="AP191" i="5"/>
  <c r="AS191" i="5"/>
  <c r="AT191" i="5"/>
  <c r="AV191" i="5"/>
  <c r="AW191" i="5"/>
  <c r="AY191" i="5"/>
  <c r="AZ191" i="5"/>
  <c r="BA191" i="5"/>
  <c r="BB191" i="5"/>
  <c r="D192" i="5"/>
  <c r="F192" i="5"/>
  <c r="G192" i="5"/>
  <c r="I192" i="5"/>
  <c r="J192" i="5"/>
  <c r="K192" i="5"/>
  <c r="L192" i="5"/>
  <c r="M192" i="5"/>
  <c r="P192" i="5"/>
  <c r="R192" i="5"/>
  <c r="S192" i="5"/>
  <c r="U192" i="5"/>
  <c r="V192" i="5"/>
  <c r="W192" i="5"/>
  <c r="X192" i="5"/>
  <c r="Y192" i="5"/>
  <c r="Z192" i="5"/>
  <c r="AB192" i="5"/>
  <c r="AD192" i="5"/>
  <c r="AE192" i="5"/>
  <c r="AG192" i="5"/>
  <c r="AH192" i="5"/>
  <c r="AI192" i="5"/>
  <c r="AJ192" i="5"/>
  <c r="AK192" i="5"/>
  <c r="AN192" i="5"/>
  <c r="AP192" i="5"/>
  <c r="AQ192" i="5"/>
  <c r="AS192" i="5"/>
  <c r="AT192" i="5"/>
  <c r="AU192" i="5"/>
  <c r="AV192" i="5"/>
  <c r="AW192" i="5"/>
  <c r="AZ192" i="5"/>
  <c r="BB192" i="5"/>
  <c r="BC192" i="5"/>
  <c r="D193" i="5"/>
  <c r="E193" i="5"/>
  <c r="F193" i="5"/>
  <c r="G193" i="5"/>
  <c r="H193" i="5"/>
  <c r="L193" i="5"/>
  <c r="M193" i="5"/>
  <c r="N193" i="5"/>
  <c r="O193" i="5"/>
  <c r="P193" i="5"/>
  <c r="Q193" i="5"/>
  <c r="R193" i="5"/>
  <c r="S193" i="5"/>
  <c r="T193" i="5"/>
  <c r="X193" i="5"/>
  <c r="Y193" i="5"/>
  <c r="Z193" i="5"/>
  <c r="AA193" i="5"/>
  <c r="AB193" i="5"/>
  <c r="AC193" i="5"/>
  <c r="AD193" i="5"/>
  <c r="AE193" i="5"/>
  <c r="AF193" i="5"/>
  <c r="AJ193" i="5"/>
  <c r="AK193" i="5"/>
  <c r="AL193" i="5"/>
  <c r="AM193" i="5"/>
  <c r="AN193" i="5"/>
  <c r="AO193" i="5"/>
  <c r="AP193" i="5"/>
  <c r="AQ193" i="5"/>
  <c r="AR193" i="5"/>
  <c r="AV193" i="5"/>
  <c r="AW193" i="5"/>
  <c r="AX193" i="5"/>
  <c r="AY193" i="5"/>
  <c r="AZ193" i="5"/>
  <c r="BA193" i="5"/>
  <c r="BB193" i="5"/>
  <c r="BC193" i="5"/>
  <c r="BD193" i="5"/>
  <c r="F194" i="5"/>
  <c r="G194" i="5"/>
  <c r="I194" i="5"/>
  <c r="J194" i="5"/>
  <c r="K194" i="5"/>
  <c r="L194" i="5"/>
  <c r="M194" i="5"/>
  <c r="N194" i="5"/>
  <c r="O194" i="5"/>
  <c r="R194" i="5"/>
  <c r="S194" i="5"/>
  <c r="U194" i="5"/>
  <c r="V194" i="5"/>
  <c r="W194" i="5"/>
  <c r="X194" i="5"/>
  <c r="Y194" i="5"/>
  <c r="Z194" i="5"/>
  <c r="AA194" i="5"/>
  <c r="AD194" i="5"/>
  <c r="AE194" i="5"/>
  <c r="AG194" i="5"/>
  <c r="AH194" i="5"/>
  <c r="AI194" i="5"/>
  <c r="AJ194" i="5"/>
  <c r="AK194" i="5"/>
  <c r="AL194" i="5"/>
  <c r="AM194" i="5"/>
  <c r="AN194" i="5"/>
  <c r="AP194" i="5"/>
  <c r="AQ194" i="5"/>
  <c r="AS194" i="5"/>
  <c r="AT194" i="5"/>
  <c r="AU194" i="5"/>
  <c r="AV194" i="5"/>
  <c r="AW194" i="5"/>
  <c r="AX194" i="5"/>
  <c r="AY194" i="5"/>
  <c r="BB194" i="5"/>
  <c r="BC194" i="5"/>
  <c r="D195" i="5"/>
  <c r="E195" i="5"/>
  <c r="F195" i="5"/>
  <c r="G195" i="5"/>
  <c r="H195" i="5"/>
  <c r="I195" i="5"/>
  <c r="J195" i="5"/>
  <c r="M195" i="5"/>
  <c r="O195" i="5"/>
  <c r="P195" i="5"/>
  <c r="Q195" i="5"/>
  <c r="R195" i="5"/>
  <c r="S195" i="5"/>
  <c r="T195" i="5"/>
  <c r="U195" i="5"/>
  <c r="V195" i="5"/>
  <c r="Y195" i="5"/>
  <c r="AA195" i="5"/>
  <c r="AB195" i="5"/>
  <c r="AC195" i="5"/>
  <c r="AD195" i="5"/>
  <c r="AE195" i="5"/>
  <c r="AF195" i="5"/>
  <c r="AG195" i="5"/>
  <c r="AH195" i="5"/>
  <c r="AK195" i="5"/>
  <c r="AM195" i="5"/>
  <c r="AN195" i="5"/>
  <c r="AO195" i="5"/>
  <c r="AP195" i="5"/>
  <c r="AQ195" i="5"/>
  <c r="AR195" i="5"/>
  <c r="AS195" i="5"/>
  <c r="AT195" i="5"/>
  <c r="AW195" i="5"/>
  <c r="AY195" i="5"/>
  <c r="AZ195" i="5"/>
  <c r="BA195" i="5"/>
  <c r="BB195" i="5"/>
  <c r="BC195" i="5"/>
  <c r="BD195" i="5"/>
  <c r="D196" i="5"/>
  <c r="I196" i="5"/>
  <c r="J196" i="5"/>
  <c r="K196" i="5"/>
  <c r="L196" i="5"/>
  <c r="M196" i="5"/>
  <c r="N196" i="5"/>
  <c r="O196" i="5"/>
  <c r="P196" i="5"/>
  <c r="U196" i="5"/>
  <c r="V196" i="5"/>
  <c r="W196" i="5"/>
  <c r="X196" i="5"/>
  <c r="Y196" i="5"/>
  <c r="Z196" i="5"/>
  <c r="AA196" i="5"/>
  <c r="AB196" i="5"/>
  <c r="AG196" i="5"/>
  <c r="AH196" i="5"/>
  <c r="AI196" i="5"/>
  <c r="AJ196" i="5"/>
  <c r="AK196" i="5"/>
  <c r="AL196" i="5"/>
  <c r="AM196" i="5"/>
  <c r="AN196" i="5"/>
  <c r="AS196" i="5"/>
  <c r="AT196" i="5"/>
  <c r="AU196" i="5"/>
  <c r="AV196" i="5"/>
  <c r="AW196" i="5"/>
  <c r="AX196" i="5"/>
  <c r="AY196" i="5"/>
  <c r="AZ196" i="5"/>
  <c r="D197" i="5"/>
  <c r="E197" i="5"/>
  <c r="F197" i="5"/>
  <c r="G197" i="5"/>
  <c r="H197" i="5"/>
  <c r="I197" i="5"/>
  <c r="J197" i="5"/>
  <c r="K197" i="5"/>
  <c r="L197" i="5"/>
  <c r="O197" i="5"/>
  <c r="P197" i="5"/>
  <c r="Q197" i="5"/>
  <c r="R197" i="5"/>
  <c r="S197" i="5"/>
  <c r="T197" i="5"/>
  <c r="U197" i="5"/>
  <c r="V197" i="5"/>
  <c r="W197" i="5"/>
  <c r="X197" i="5"/>
  <c r="AA197" i="5"/>
  <c r="AB197" i="5"/>
  <c r="AC197" i="5"/>
  <c r="AD197" i="5"/>
  <c r="AE197" i="5"/>
  <c r="AF197" i="5"/>
  <c r="AG197" i="5"/>
  <c r="AH197" i="5"/>
  <c r="AI197" i="5"/>
  <c r="AJ197" i="5"/>
  <c r="AM197" i="5"/>
  <c r="AN197" i="5"/>
  <c r="AO197" i="5"/>
  <c r="AP197" i="5"/>
  <c r="AQ197" i="5"/>
  <c r="AR197" i="5"/>
  <c r="AS197" i="5"/>
  <c r="AT197" i="5"/>
  <c r="AU197" i="5"/>
  <c r="AV197" i="5"/>
  <c r="AY197" i="5"/>
  <c r="AZ197" i="5"/>
  <c r="BA197" i="5"/>
  <c r="BB197" i="5"/>
  <c r="BC197" i="5"/>
  <c r="BD197" i="5"/>
  <c r="D198" i="5"/>
  <c r="F198" i="5"/>
  <c r="G198" i="5"/>
  <c r="J198" i="5"/>
  <c r="K198" i="5"/>
  <c r="L198" i="5"/>
  <c r="M198" i="5"/>
  <c r="N198" i="5"/>
  <c r="O198" i="5"/>
  <c r="P198" i="5"/>
  <c r="R198" i="5"/>
  <c r="S198" i="5"/>
  <c r="V198" i="5"/>
  <c r="W198" i="5"/>
  <c r="X198" i="5"/>
  <c r="Y198" i="5"/>
  <c r="Z198" i="5"/>
  <c r="AA198" i="5"/>
  <c r="AB198" i="5"/>
  <c r="AD198" i="5"/>
  <c r="AE198" i="5"/>
  <c r="AH198" i="5"/>
  <c r="AI198" i="5"/>
  <c r="AJ198" i="5"/>
  <c r="AK198" i="5"/>
  <c r="AL198" i="5"/>
  <c r="AM198" i="5"/>
  <c r="AN198" i="5"/>
  <c r="AP198" i="5"/>
  <c r="AQ198" i="5"/>
  <c r="AT198" i="5"/>
  <c r="AU198" i="5"/>
  <c r="AV198" i="5"/>
  <c r="AW198" i="5"/>
  <c r="AX198" i="5"/>
  <c r="AY198" i="5"/>
  <c r="AZ198" i="5"/>
  <c r="BB198" i="5"/>
  <c r="BC198" i="5"/>
  <c r="E199" i="5"/>
  <c r="F199" i="5"/>
  <c r="G199" i="5"/>
  <c r="H199" i="5"/>
  <c r="I199" i="5"/>
  <c r="J199" i="5"/>
  <c r="K199" i="5"/>
  <c r="L199" i="5"/>
  <c r="M199" i="5"/>
  <c r="O199" i="5"/>
  <c r="Q199" i="5"/>
  <c r="R199" i="5"/>
  <c r="S199" i="5"/>
  <c r="T199" i="5"/>
  <c r="U199" i="5"/>
  <c r="V199" i="5"/>
  <c r="W199" i="5"/>
  <c r="X199" i="5"/>
  <c r="Y199" i="5"/>
  <c r="AC199" i="5"/>
  <c r="AD199" i="5"/>
  <c r="AE199" i="5"/>
  <c r="AF199" i="5"/>
  <c r="AG199" i="5"/>
  <c r="AH199" i="5"/>
  <c r="AI199" i="5"/>
  <c r="AJ199" i="5"/>
  <c r="AK199" i="5"/>
  <c r="AO199" i="5"/>
  <c r="AP199" i="5"/>
  <c r="AQ199" i="5"/>
  <c r="AR199" i="5"/>
  <c r="AS199" i="5"/>
  <c r="AT199" i="5"/>
  <c r="AU199" i="5"/>
  <c r="AV199" i="5"/>
  <c r="AW199" i="5"/>
  <c r="BA199" i="5"/>
  <c r="BB199" i="5"/>
  <c r="BC199" i="5"/>
  <c r="BD199" i="5"/>
  <c r="D200" i="5"/>
  <c r="F200" i="5"/>
  <c r="G200" i="5"/>
  <c r="I200" i="5"/>
  <c r="L200" i="5"/>
  <c r="M200" i="5"/>
  <c r="N200" i="5"/>
  <c r="O200" i="5"/>
  <c r="P200" i="5"/>
  <c r="R200" i="5"/>
  <c r="S200" i="5"/>
  <c r="U200" i="5"/>
  <c r="X200" i="5"/>
  <c r="Y200" i="5"/>
  <c r="Z200" i="5"/>
  <c r="AA200" i="5"/>
  <c r="AB200" i="5"/>
  <c r="AD200" i="5"/>
  <c r="AE200" i="5"/>
  <c r="AG200" i="5"/>
  <c r="AJ200" i="5"/>
  <c r="AK200" i="5"/>
  <c r="AL200" i="5"/>
  <c r="AM200" i="5"/>
  <c r="AN200" i="5"/>
  <c r="AP200" i="5"/>
  <c r="AQ200" i="5"/>
  <c r="AS200" i="5"/>
  <c r="AV200" i="5"/>
  <c r="AW200" i="5"/>
  <c r="AX200" i="5"/>
  <c r="AY200" i="5"/>
  <c r="AZ200" i="5"/>
  <c r="BB200" i="5"/>
  <c r="BC200" i="5"/>
  <c r="D201" i="5"/>
  <c r="G201" i="5"/>
  <c r="H201" i="5"/>
  <c r="I201" i="5"/>
  <c r="J201" i="5"/>
  <c r="L201" i="5"/>
  <c r="M201" i="5"/>
  <c r="O201" i="5"/>
  <c r="P201" i="5"/>
  <c r="S201" i="5"/>
  <c r="T201" i="5"/>
  <c r="U201" i="5"/>
  <c r="V201" i="5"/>
  <c r="X201" i="5"/>
  <c r="Y201" i="5"/>
  <c r="AA201" i="5"/>
  <c r="AB201" i="5"/>
  <c r="AC201" i="5"/>
  <c r="AD201" i="5"/>
  <c r="AE201" i="5"/>
  <c r="AF201" i="5"/>
  <c r="AG201" i="5"/>
  <c r="AH201" i="5"/>
  <c r="AJ201" i="5"/>
  <c r="AK201" i="5"/>
  <c r="AM201" i="5"/>
  <c r="AN201" i="5"/>
  <c r="AQ201" i="5"/>
  <c r="AR201" i="5"/>
  <c r="AS201" i="5"/>
  <c r="AT201" i="5"/>
  <c r="AV201" i="5"/>
  <c r="AW201" i="5"/>
  <c r="AY201" i="5"/>
  <c r="AZ201" i="5"/>
  <c r="BC201" i="5"/>
  <c r="BD201" i="5"/>
  <c r="D202" i="5"/>
  <c r="E202" i="5"/>
  <c r="F202" i="5"/>
  <c r="G202" i="5"/>
  <c r="H202" i="5"/>
  <c r="I202" i="5"/>
  <c r="J202" i="5"/>
  <c r="K202" i="5"/>
  <c r="N202" i="5"/>
  <c r="O202" i="5"/>
  <c r="P202" i="5"/>
  <c r="Q202" i="5"/>
  <c r="R202" i="5"/>
  <c r="S202" i="5"/>
  <c r="T202" i="5"/>
  <c r="U202" i="5"/>
  <c r="V202" i="5"/>
  <c r="W202" i="5"/>
  <c r="Z202" i="5"/>
  <c r="AA202" i="5"/>
  <c r="AB202" i="5"/>
  <c r="AC202" i="5"/>
  <c r="AD202" i="5"/>
  <c r="AE202" i="5"/>
  <c r="AF202" i="5"/>
  <c r="AG202" i="5"/>
  <c r="AH202" i="5"/>
  <c r="AI202" i="5"/>
  <c r="AL202" i="5"/>
  <c r="AM202" i="5"/>
  <c r="AN202" i="5"/>
  <c r="AO202" i="5"/>
  <c r="AP202" i="5"/>
  <c r="AQ202" i="5"/>
  <c r="AR202" i="5"/>
  <c r="AS202" i="5"/>
  <c r="AT202" i="5"/>
  <c r="AU202" i="5"/>
  <c r="AX202" i="5"/>
  <c r="AY202" i="5"/>
  <c r="AZ202" i="5"/>
  <c r="BA202" i="5"/>
  <c r="BB202" i="5"/>
  <c r="BC202" i="5"/>
  <c r="BD202" i="5"/>
  <c r="D203" i="5"/>
  <c r="E203" i="5"/>
  <c r="F203" i="5"/>
  <c r="I203" i="5"/>
  <c r="J203" i="5"/>
  <c r="L203" i="5"/>
  <c r="M203" i="5"/>
  <c r="O203" i="5"/>
  <c r="P203" i="5"/>
  <c r="Q203" i="5"/>
  <c r="R203" i="5"/>
  <c r="S203" i="5"/>
  <c r="T203" i="5"/>
  <c r="U203" i="5"/>
  <c r="V203" i="5"/>
  <c r="X203" i="5"/>
  <c r="Y203" i="5"/>
  <c r="AA203" i="5"/>
  <c r="AB203" i="5"/>
  <c r="AC203" i="5"/>
  <c r="AD203" i="5"/>
  <c r="AG203" i="5"/>
  <c r="AH203" i="5"/>
  <c r="AJ203" i="5"/>
  <c r="AK203" i="5"/>
  <c r="AM203" i="5"/>
  <c r="AN203" i="5"/>
  <c r="AO203" i="5"/>
  <c r="AP203" i="5"/>
  <c r="AS203" i="5"/>
  <c r="AT203" i="5"/>
  <c r="AV203" i="5"/>
  <c r="AW203" i="5"/>
  <c r="AY203" i="5"/>
  <c r="AZ203" i="5"/>
  <c r="BA203" i="5"/>
  <c r="BB203" i="5"/>
  <c r="D204" i="5"/>
  <c r="F204" i="5"/>
  <c r="G204" i="5"/>
  <c r="I204" i="5"/>
  <c r="J204" i="5"/>
  <c r="K204" i="5"/>
  <c r="L204" i="5"/>
  <c r="M204" i="5"/>
  <c r="P204" i="5"/>
  <c r="R204" i="5"/>
  <c r="S204" i="5"/>
  <c r="U204" i="5"/>
  <c r="V204" i="5"/>
  <c r="W204" i="5"/>
  <c r="X204" i="5"/>
  <c r="Y204" i="5"/>
  <c r="Z204" i="5"/>
  <c r="AB204" i="5"/>
  <c r="AD204" i="5"/>
  <c r="AE204" i="5"/>
  <c r="AG204" i="5"/>
  <c r="AH204" i="5"/>
  <c r="AI204" i="5"/>
  <c r="AJ204" i="5"/>
  <c r="AK204" i="5"/>
  <c r="AN204" i="5"/>
  <c r="AP204" i="5"/>
  <c r="AQ204" i="5"/>
  <c r="AS204" i="5"/>
  <c r="AT204" i="5"/>
  <c r="AU204" i="5"/>
  <c r="AV204" i="5"/>
  <c r="AW204" i="5"/>
  <c r="AZ204" i="5"/>
  <c r="BB204" i="5"/>
  <c r="BC204" i="5"/>
  <c r="D205" i="5"/>
  <c r="E205" i="5"/>
  <c r="F205" i="5"/>
  <c r="G205" i="5"/>
  <c r="H205" i="5"/>
  <c r="L205" i="5"/>
  <c r="M205" i="5"/>
  <c r="N205" i="5"/>
  <c r="O205" i="5"/>
  <c r="P205" i="5"/>
  <c r="Q205" i="5"/>
  <c r="R205" i="5"/>
  <c r="S205" i="5"/>
  <c r="T205" i="5"/>
  <c r="X205" i="5"/>
  <c r="Y205" i="5"/>
  <c r="Z205" i="5"/>
  <c r="AA205" i="5"/>
  <c r="AB205" i="5"/>
  <c r="AC205" i="5"/>
  <c r="AD205" i="5"/>
  <c r="AE205" i="5"/>
  <c r="AF205" i="5"/>
  <c r="AG205" i="5"/>
  <c r="AJ205" i="5"/>
  <c r="AK205" i="5"/>
  <c r="AL205" i="5"/>
  <c r="AM205" i="5"/>
  <c r="AN205" i="5"/>
  <c r="AO205" i="5"/>
  <c r="AP205" i="5"/>
  <c r="AQ205" i="5"/>
  <c r="AR205" i="5"/>
  <c r="AS205" i="5"/>
  <c r="AT205" i="5"/>
  <c r="AV205" i="5"/>
  <c r="AW205" i="5"/>
  <c r="AX205" i="5"/>
  <c r="AY205" i="5"/>
  <c r="AZ205" i="5"/>
  <c r="BA205" i="5"/>
  <c r="BB205" i="5"/>
  <c r="BC205" i="5"/>
  <c r="BD205" i="5"/>
  <c r="F206" i="5"/>
  <c r="G206" i="5"/>
  <c r="I206" i="5"/>
  <c r="J206" i="5"/>
  <c r="K206" i="5"/>
  <c r="L206" i="5"/>
  <c r="M206" i="5"/>
  <c r="N206" i="5"/>
  <c r="O206" i="5"/>
  <c r="R206" i="5"/>
  <c r="S206" i="5"/>
  <c r="U206" i="5"/>
  <c r="V206" i="5"/>
  <c r="W206" i="5"/>
  <c r="X206" i="5"/>
  <c r="Y206" i="5"/>
  <c r="Z206" i="5"/>
  <c r="AA206" i="5"/>
  <c r="AD206" i="5"/>
  <c r="AE206" i="5"/>
  <c r="AG206" i="5"/>
  <c r="AH206" i="5"/>
  <c r="AI206" i="5"/>
  <c r="AJ206" i="5"/>
  <c r="AK206" i="5"/>
  <c r="AL206" i="5"/>
  <c r="AM206" i="5"/>
  <c r="AP206" i="5"/>
  <c r="AQ206" i="5"/>
  <c r="AS206" i="5"/>
  <c r="AT206" i="5"/>
  <c r="AU206" i="5"/>
  <c r="AV206" i="5"/>
  <c r="AW206" i="5"/>
  <c r="AX206" i="5"/>
  <c r="AY206" i="5"/>
  <c r="BB206" i="5"/>
  <c r="BC206" i="5"/>
  <c r="D207" i="5"/>
  <c r="E207" i="5"/>
  <c r="F207" i="5"/>
  <c r="G207" i="5"/>
  <c r="H207" i="5"/>
  <c r="I207" i="5"/>
  <c r="J207" i="5"/>
  <c r="M207" i="5"/>
  <c r="O207" i="5"/>
  <c r="P207" i="5"/>
  <c r="Q207" i="5"/>
  <c r="R207" i="5"/>
  <c r="S207" i="5"/>
  <c r="T207" i="5"/>
  <c r="U207" i="5"/>
  <c r="V207" i="5"/>
  <c r="Y207" i="5"/>
  <c r="AA207" i="5"/>
  <c r="AB207" i="5"/>
  <c r="AC207" i="5"/>
  <c r="AD207" i="5"/>
  <c r="AE207" i="5"/>
  <c r="AF207" i="5"/>
  <c r="AG207" i="5"/>
  <c r="AH207" i="5"/>
  <c r="AK207" i="5"/>
  <c r="AM207" i="5"/>
  <c r="AN207" i="5"/>
  <c r="AO207" i="5"/>
  <c r="AP207" i="5"/>
  <c r="AQ207" i="5"/>
  <c r="AR207" i="5"/>
  <c r="AS207" i="5"/>
  <c r="AT207" i="5"/>
  <c r="AW207" i="5"/>
  <c r="AY207" i="5"/>
  <c r="AZ207" i="5"/>
  <c r="BA207" i="5"/>
  <c r="BB207" i="5"/>
  <c r="BC207" i="5"/>
  <c r="BD207" i="5"/>
  <c r="D208" i="5"/>
  <c r="I208" i="5"/>
  <c r="J208" i="5"/>
  <c r="K208" i="5"/>
  <c r="L208" i="5"/>
  <c r="M208" i="5"/>
  <c r="N208" i="5"/>
  <c r="O208" i="5"/>
  <c r="P208" i="5"/>
  <c r="R208" i="5"/>
  <c r="S208" i="5"/>
  <c r="U208" i="5"/>
  <c r="V208" i="5"/>
  <c r="W208" i="5"/>
  <c r="X208" i="5"/>
  <c r="Y208" i="5"/>
  <c r="Z208" i="5"/>
  <c r="AA208" i="5"/>
  <c r="AB208" i="5"/>
  <c r="AG208" i="5"/>
  <c r="AH208" i="5"/>
  <c r="AI208" i="5"/>
  <c r="AJ208" i="5"/>
  <c r="AK208" i="5"/>
  <c r="AL208" i="5"/>
  <c r="AM208" i="5"/>
  <c r="AN208" i="5"/>
  <c r="AS208" i="5"/>
  <c r="AT208" i="5"/>
  <c r="AU208" i="5"/>
  <c r="AV208" i="5"/>
  <c r="AW208" i="5"/>
  <c r="AX208" i="5"/>
  <c r="AY208" i="5"/>
  <c r="AZ208" i="5"/>
  <c r="D209" i="5"/>
  <c r="E209" i="5"/>
  <c r="F209" i="5"/>
  <c r="G209" i="5"/>
  <c r="H209" i="5"/>
  <c r="I209" i="5"/>
  <c r="J209" i="5"/>
  <c r="L209" i="5"/>
  <c r="O209" i="5"/>
  <c r="P209" i="5"/>
  <c r="Q209" i="5"/>
  <c r="R209" i="5"/>
  <c r="S209" i="5"/>
  <c r="T209" i="5"/>
  <c r="U209" i="5"/>
  <c r="V209" i="5"/>
  <c r="X209" i="5"/>
  <c r="Y209" i="5"/>
  <c r="AA209" i="5"/>
  <c r="AB209" i="5"/>
  <c r="AC209" i="5"/>
  <c r="AD209" i="5"/>
  <c r="AE209" i="5"/>
  <c r="AF209" i="5"/>
  <c r="AG209" i="5"/>
  <c r="AH209" i="5"/>
  <c r="AJ209" i="5"/>
  <c r="AM209" i="5"/>
  <c r="AN209" i="5"/>
  <c r="AO209" i="5"/>
  <c r="AP209" i="5"/>
  <c r="AQ209" i="5"/>
  <c r="AR209" i="5"/>
  <c r="AS209" i="5"/>
  <c r="AT209" i="5"/>
  <c r="AV209" i="5"/>
  <c r="AY209" i="5"/>
  <c r="AZ209" i="5"/>
  <c r="BA209" i="5"/>
  <c r="BB209" i="5"/>
  <c r="BC209" i="5"/>
  <c r="BD209" i="5"/>
  <c r="D210" i="5"/>
  <c r="F210" i="5"/>
  <c r="G210" i="5"/>
  <c r="J210" i="5"/>
  <c r="K210" i="5"/>
  <c r="L210" i="5"/>
  <c r="M210" i="5"/>
  <c r="N210" i="5"/>
  <c r="O210" i="5"/>
  <c r="P210" i="5"/>
  <c r="R210" i="5"/>
  <c r="S210" i="5"/>
  <c r="V210" i="5"/>
  <c r="W210" i="5"/>
  <c r="X210" i="5"/>
  <c r="Y210" i="5"/>
  <c r="Z210" i="5"/>
  <c r="AA210" i="5"/>
  <c r="AB210" i="5"/>
  <c r="AD210" i="5"/>
  <c r="AE210" i="5"/>
  <c r="AH210" i="5"/>
  <c r="AI210" i="5"/>
  <c r="AJ210" i="5"/>
  <c r="AK210" i="5"/>
  <c r="AL210" i="5"/>
  <c r="AM210" i="5"/>
  <c r="AN210" i="5"/>
  <c r="AP210" i="5"/>
  <c r="AQ210" i="5"/>
  <c r="AS210" i="5"/>
  <c r="AT210" i="5"/>
  <c r="AU210" i="5"/>
  <c r="AV210" i="5"/>
  <c r="AW210" i="5"/>
  <c r="AX210" i="5"/>
  <c r="AY210" i="5"/>
  <c r="AZ210" i="5"/>
  <c r="BB210" i="5"/>
  <c r="BC210" i="5"/>
  <c r="E211" i="5"/>
  <c r="F211" i="5"/>
  <c r="G211" i="5"/>
  <c r="H211" i="5"/>
  <c r="I211" i="5"/>
  <c r="J211" i="5"/>
  <c r="K211" i="5"/>
  <c r="L211" i="5"/>
  <c r="M211" i="5"/>
  <c r="Q211" i="5"/>
  <c r="R211" i="5"/>
  <c r="S211" i="5"/>
  <c r="T211" i="5"/>
  <c r="U211" i="5"/>
  <c r="V211" i="5"/>
  <c r="W211" i="5"/>
  <c r="X211" i="5"/>
  <c r="Y211" i="5"/>
  <c r="AC211" i="5"/>
  <c r="AD211" i="5"/>
  <c r="AE211" i="5"/>
  <c r="AF211" i="5"/>
  <c r="AG211" i="5"/>
  <c r="AH211" i="5"/>
  <c r="AI211" i="5"/>
  <c r="AJ211" i="5"/>
  <c r="AK211" i="5"/>
  <c r="AO211" i="5"/>
  <c r="AP211" i="5"/>
  <c r="AQ211" i="5"/>
  <c r="AR211" i="5"/>
  <c r="AS211" i="5"/>
  <c r="AT211" i="5"/>
  <c r="AU211" i="5"/>
  <c r="AV211" i="5"/>
  <c r="AW211" i="5"/>
  <c r="BA211" i="5"/>
  <c r="BB211" i="5"/>
  <c r="BC211" i="5"/>
  <c r="BD211" i="5"/>
  <c r="D212" i="5"/>
  <c r="F212" i="5"/>
  <c r="G212" i="5"/>
  <c r="I212" i="5"/>
  <c r="L212" i="5"/>
  <c r="M212" i="5"/>
  <c r="N212" i="5"/>
  <c r="O212" i="5"/>
  <c r="P212" i="5"/>
  <c r="R212" i="5"/>
  <c r="S212" i="5"/>
  <c r="U212" i="5"/>
  <c r="X212" i="5"/>
  <c r="Y212" i="5"/>
  <c r="Z212" i="5"/>
  <c r="AA212" i="5"/>
  <c r="AB212" i="5"/>
  <c r="AD212" i="5"/>
  <c r="AE212" i="5"/>
  <c r="AG212" i="5"/>
  <c r="AH212" i="5"/>
  <c r="AI212" i="5"/>
  <c r="AJ212" i="5"/>
  <c r="AK212" i="5"/>
  <c r="AL212" i="5"/>
  <c r="AM212" i="5"/>
  <c r="AN212" i="5"/>
  <c r="AP212" i="5"/>
  <c r="AQ212" i="5"/>
  <c r="AS212" i="5"/>
  <c r="AV212" i="5"/>
  <c r="AW212" i="5"/>
  <c r="AX212" i="5"/>
  <c r="AY212" i="5"/>
  <c r="AZ212" i="5"/>
  <c r="BB212" i="5"/>
  <c r="BC212" i="5"/>
  <c r="D213" i="5"/>
  <c r="G213" i="5"/>
  <c r="H213" i="5"/>
  <c r="I213" i="5"/>
  <c r="J213" i="5"/>
  <c r="L213" i="5"/>
  <c r="M213" i="5"/>
  <c r="O213" i="5"/>
  <c r="P213" i="5"/>
  <c r="S213" i="5"/>
  <c r="T213" i="5"/>
  <c r="U213" i="5"/>
  <c r="V213" i="5"/>
  <c r="X213" i="5"/>
  <c r="Y213" i="5"/>
  <c r="AA213" i="5"/>
  <c r="AB213" i="5"/>
  <c r="AE213" i="5"/>
  <c r="AF213" i="5"/>
  <c r="AG213" i="5"/>
  <c r="AH213" i="5"/>
  <c r="AJ213" i="5"/>
  <c r="AK213" i="5"/>
  <c r="AM213" i="5"/>
  <c r="AN213" i="5"/>
  <c r="AQ213" i="5"/>
  <c r="AR213" i="5"/>
  <c r="AS213" i="5"/>
  <c r="AT213" i="5"/>
  <c r="AV213" i="5"/>
  <c r="AW213" i="5"/>
  <c r="AY213" i="5"/>
  <c r="AZ213" i="5"/>
  <c r="BA213" i="5"/>
  <c r="BB213" i="5"/>
  <c r="BC213" i="5"/>
  <c r="BD213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BB214" i="5"/>
  <c r="BC214" i="5"/>
  <c r="BD214" i="5"/>
  <c r="D215" i="5"/>
  <c r="E215" i="5"/>
  <c r="F215" i="5"/>
  <c r="G215" i="5"/>
  <c r="H215" i="5"/>
  <c r="I215" i="5"/>
  <c r="J215" i="5"/>
  <c r="L215" i="5"/>
  <c r="M215" i="5"/>
  <c r="O215" i="5"/>
  <c r="P215" i="5"/>
  <c r="Q215" i="5"/>
  <c r="R215" i="5"/>
  <c r="U215" i="5"/>
  <c r="V215" i="5"/>
  <c r="X215" i="5"/>
  <c r="Y215" i="5"/>
  <c r="AA215" i="5"/>
  <c r="AB215" i="5"/>
  <c r="AC215" i="5"/>
  <c r="AD215" i="5"/>
  <c r="AG215" i="5"/>
  <c r="AH215" i="5"/>
  <c r="AJ215" i="5"/>
  <c r="AK215" i="5"/>
  <c r="AM215" i="5"/>
  <c r="AN215" i="5"/>
  <c r="AO215" i="5"/>
  <c r="AP215" i="5"/>
  <c r="AS215" i="5"/>
  <c r="AT215" i="5"/>
  <c r="AV215" i="5"/>
  <c r="AW215" i="5"/>
  <c r="AY215" i="5"/>
  <c r="AZ215" i="5"/>
  <c r="BA215" i="5"/>
  <c r="BB215" i="5"/>
  <c r="D216" i="5"/>
  <c r="F216" i="5"/>
  <c r="G216" i="5"/>
  <c r="I216" i="5"/>
  <c r="J216" i="5"/>
  <c r="K216" i="5"/>
  <c r="L216" i="5"/>
  <c r="M216" i="5"/>
  <c r="P216" i="5"/>
  <c r="R216" i="5"/>
  <c r="S216" i="5"/>
  <c r="U216" i="5"/>
  <c r="V216" i="5"/>
  <c r="W216" i="5"/>
  <c r="X216" i="5"/>
  <c r="Y216" i="5"/>
  <c r="Z216" i="5"/>
  <c r="AA216" i="5"/>
  <c r="AB216" i="5"/>
  <c r="AD216" i="5"/>
  <c r="AE216" i="5"/>
  <c r="AG216" i="5"/>
  <c r="AH216" i="5"/>
  <c r="AI216" i="5"/>
  <c r="AJ216" i="5"/>
  <c r="AK216" i="5"/>
  <c r="AN216" i="5"/>
  <c r="AP216" i="5"/>
  <c r="AQ216" i="5"/>
  <c r="AS216" i="5"/>
  <c r="AT216" i="5"/>
  <c r="AU216" i="5"/>
  <c r="AV216" i="5"/>
  <c r="AW216" i="5"/>
  <c r="AZ216" i="5"/>
  <c r="BB216" i="5"/>
  <c r="BC216" i="5"/>
  <c r="D217" i="5"/>
  <c r="E217" i="5"/>
  <c r="F217" i="5"/>
  <c r="G217" i="5"/>
  <c r="H217" i="5"/>
  <c r="L217" i="5"/>
  <c r="M217" i="5"/>
  <c r="O217" i="5"/>
  <c r="P217" i="5"/>
  <c r="Q217" i="5"/>
  <c r="R217" i="5"/>
  <c r="S217" i="5"/>
  <c r="T217" i="5"/>
  <c r="X217" i="5"/>
  <c r="Y217" i="5"/>
  <c r="AA217" i="5"/>
  <c r="AB217" i="5"/>
  <c r="AC217" i="5"/>
  <c r="AD217" i="5"/>
  <c r="AE217" i="5"/>
  <c r="AF217" i="5"/>
  <c r="AJ217" i="5"/>
  <c r="AK217" i="5"/>
  <c r="AM217" i="5"/>
  <c r="AN217" i="5"/>
  <c r="AO217" i="5"/>
  <c r="AP217" i="5"/>
  <c r="AQ217" i="5"/>
  <c r="AR217" i="5"/>
  <c r="AS217" i="5"/>
  <c r="AT217" i="5"/>
  <c r="AV217" i="5"/>
  <c r="AW217" i="5"/>
  <c r="AY217" i="5"/>
  <c r="AZ217" i="5"/>
  <c r="BA217" i="5"/>
  <c r="BB217" i="5"/>
  <c r="BC217" i="5"/>
  <c r="BD217" i="5"/>
  <c r="F218" i="5"/>
  <c r="G218" i="5"/>
  <c r="I218" i="5"/>
  <c r="J218" i="5"/>
  <c r="K218" i="5"/>
  <c r="L218" i="5"/>
  <c r="M218" i="5"/>
  <c r="N218" i="5"/>
  <c r="O218" i="5"/>
  <c r="R218" i="5"/>
  <c r="S218" i="5"/>
  <c r="U218" i="5"/>
  <c r="V218" i="5"/>
  <c r="W218" i="5"/>
  <c r="X218" i="5"/>
  <c r="Y218" i="5"/>
  <c r="Z218" i="5"/>
  <c r="AA218" i="5"/>
  <c r="AD218" i="5"/>
  <c r="AE218" i="5"/>
  <c r="AG218" i="5"/>
  <c r="AH218" i="5"/>
  <c r="AI218" i="5"/>
  <c r="AJ218" i="5"/>
  <c r="AK218" i="5"/>
  <c r="AL218" i="5"/>
  <c r="AM218" i="5"/>
  <c r="AP218" i="5"/>
  <c r="AQ218" i="5"/>
  <c r="AS218" i="5"/>
  <c r="AT218" i="5"/>
  <c r="AU218" i="5"/>
  <c r="AV218" i="5"/>
  <c r="AW218" i="5"/>
  <c r="AX218" i="5"/>
  <c r="AY218" i="5"/>
  <c r="BB218" i="5"/>
  <c r="BC218" i="5"/>
  <c r="D219" i="5"/>
  <c r="E219" i="5"/>
  <c r="F219" i="5"/>
  <c r="G219" i="5"/>
  <c r="H219" i="5"/>
  <c r="I219" i="5"/>
  <c r="J219" i="5"/>
  <c r="M219" i="5"/>
  <c r="O219" i="5"/>
  <c r="P219" i="5"/>
  <c r="Q219" i="5"/>
  <c r="R219" i="5"/>
  <c r="S219" i="5"/>
  <c r="T219" i="5"/>
  <c r="U219" i="5"/>
  <c r="V219" i="5"/>
  <c r="Y219" i="5"/>
  <c r="AA219" i="5"/>
  <c r="AB219" i="5"/>
  <c r="AC219" i="5"/>
  <c r="AD219" i="5"/>
  <c r="AE219" i="5"/>
  <c r="AF219" i="5"/>
  <c r="AG219" i="5"/>
  <c r="AH219" i="5"/>
  <c r="AK219" i="5"/>
  <c r="AM219" i="5"/>
  <c r="AN219" i="5"/>
  <c r="AO219" i="5"/>
  <c r="AP219" i="5"/>
  <c r="AQ219" i="5"/>
  <c r="AR219" i="5"/>
  <c r="AS219" i="5"/>
  <c r="AT219" i="5"/>
  <c r="AW219" i="5"/>
  <c r="AY219" i="5"/>
  <c r="AZ219" i="5"/>
  <c r="BA219" i="5"/>
  <c r="BB219" i="5"/>
  <c r="BC219" i="5"/>
  <c r="BD219" i="5"/>
  <c r="D220" i="5"/>
  <c r="I220" i="5"/>
  <c r="K220" i="5"/>
  <c r="L220" i="5"/>
  <c r="M220" i="5"/>
  <c r="N220" i="5"/>
  <c r="O220" i="5"/>
  <c r="P220" i="5"/>
  <c r="R220" i="5"/>
  <c r="S220" i="5"/>
  <c r="U220" i="5"/>
  <c r="W220" i="5"/>
  <c r="X220" i="5"/>
  <c r="Y220" i="5"/>
  <c r="Z220" i="5"/>
  <c r="AA220" i="5"/>
  <c r="AB220" i="5"/>
  <c r="AG220" i="5"/>
  <c r="AI220" i="5"/>
  <c r="AJ220" i="5"/>
  <c r="AK220" i="5"/>
  <c r="AL220" i="5"/>
  <c r="AM220" i="5"/>
  <c r="AN220" i="5"/>
  <c r="AS220" i="5"/>
  <c r="AU220" i="5"/>
  <c r="AV220" i="5"/>
  <c r="AW220" i="5"/>
  <c r="AX220" i="5"/>
  <c r="AY220" i="5"/>
  <c r="AZ220" i="5"/>
  <c r="E221" i="5"/>
  <c r="F221" i="5"/>
  <c r="G221" i="5"/>
  <c r="H221" i="5"/>
  <c r="I221" i="5"/>
  <c r="J221" i="5"/>
  <c r="L221" i="5"/>
  <c r="M221" i="5"/>
  <c r="O221" i="5"/>
  <c r="Q221" i="5"/>
  <c r="R221" i="5"/>
  <c r="S221" i="5"/>
  <c r="T221" i="5"/>
  <c r="U221" i="5"/>
  <c r="V221" i="5"/>
  <c r="X221" i="5"/>
  <c r="AA221" i="5"/>
  <c r="AC221" i="5"/>
  <c r="AD221" i="5"/>
  <c r="AE221" i="5"/>
  <c r="AF221" i="5"/>
  <c r="AG221" i="5"/>
  <c r="AH221" i="5"/>
  <c r="AJ221" i="5"/>
  <c r="AM221" i="5"/>
  <c r="AO221" i="5"/>
  <c r="AP221" i="5"/>
  <c r="AQ221" i="5"/>
  <c r="AR221" i="5"/>
  <c r="AS221" i="5"/>
  <c r="AT221" i="5"/>
  <c r="AV221" i="5"/>
  <c r="AY221" i="5"/>
  <c r="BA221" i="5"/>
  <c r="BB221" i="5"/>
  <c r="BC221" i="5"/>
  <c r="BD221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168" i="5"/>
  <c r="H113" i="5"/>
  <c r="I113" i="5"/>
  <c r="J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D114" i="5"/>
  <c r="E114" i="5"/>
  <c r="I114" i="5"/>
  <c r="J114" i="5"/>
  <c r="N114" i="5"/>
  <c r="O114" i="5"/>
  <c r="P114" i="5"/>
  <c r="Q114" i="5"/>
  <c r="R114" i="5"/>
  <c r="S114" i="5"/>
  <c r="T114" i="5"/>
  <c r="U114" i="5"/>
  <c r="V114" i="5"/>
  <c r="W114" i="5"/>
  <c r="X114" i="5"/>
  <c r="Z114" i="5"/>
  <c r="AA114" i="5"/>
  <c r="AB114" i="5"/>
  <c r="AC114" i="5"/>
  <c r="AD114" i="5"/>
  <c r="AE114" i="5"/>
  <c r="AF114" i="5"/>
  <c r="AG114" i="5"/>
  <c r="AH114" i="5"/>
  <c r="AI114" i="5"/>
  <c r="AJ114" i="5"/>
  <c r="AL114" i="5"/>
  <c r="AM114" i="5"/>
  <c r="AN114" i="5"/>
  <c r="AO114" i="5"/>
  <c r="AP114" i="5"/>
  <c r="AQ114" i="5"/>
  <c r="AR114" i="5"/>
  <c r="AS114" i="5"/>
  <c r="AT114" i="5"/>
  <c r="AU114" i="5"/>
  <c r="AV114" i="5"/>
  <c r="AX114" i="5"/>
  <c r="AY114" i="5"/>
  <c r="AZ114" i="5"/>
  <c r="BA114" i="5"/>
  <c r="BB114" i="5"/>
  <c r="BC114" i="5"/>
  <c r="BD114" i="5"/>
  <c r="D115" i="5"/>
  <c r="E115" i="5"/>
  <c r="K115" i="5"/>
  <c r="L115" i="5"/>
  <c r="N115" i="5"/>
  <c r="O115" i="5"/>
  <c r="P115" i="5"/>
  <c r="Q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F115" i="5"/>
  <c r="AG115" i="5"/>
  <c r="AH115" i="5"/>
  <c r="AI115" i="5"/>
  <c r="AJ115" i="5"/>
  <c r="AK115" i="5"/>
  <c r="AL115" i="5"/>
  <c r="AM115" i="5"/>
  <c r="AN115" i="5"/>
  <c r="AO115" i="5"/>
  <c r="AP115" i="5"/>
  <c r="AR115" i="5"/>
  <c r="AS115" i="5"/>
  <c r="AT115" i="5"/>
  <c r="AU115" i="5"/>
  <c r="AV115" i="5"/>
  <c r="AW115" i="5"/>
  <c r="AX115" i="5"/>
  <c r="AY115" i="5"/>
  <c r="AZ115" i="5"/>
  <c r="BA115" i="5"/>
  <c r="BB115" i="5"/>
  <c r="BD115" i="5"/>
  <c r="D116" i="5"/>
  <c r="G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D117" i="5"/>
  <c r="E117" i="5"/>
  <c r="F117" i="5"/>
  <c r="H117" i="5"/>
  <c r="I117" i="5"/>
  <c r="J117" i="5"/>
  <c r="K117" i="5"/>
  <c r="L117" i="5"/>
  <c r="M117" i="5"/>
  <c r="N117" i="5"/>
  <c r="O117" i="5"/>
  <c r="P117" i="5"/>
  <c r="Q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F117" i="5"/>
  <c r="AG117" i="5"/>
  <c r="AH117" i="5"/>
  <c r="AI117" i="5"/>
  <c r="AJ117" i="5"/>
  <c r="AK117" i="5"/>
  <c r="AL117" i="5"/>
  <c r="AM117" i="5"/>
  <c r="AN117" i="5"/>
  <c r="AO117" i="5"/>
  <c r="AP117" i="5"/>
  <c r="AR117" i="5"/>
  <c r="AS117" i="5"/>
  <c r="AT117" i="5"/>
  <c r="AU117" i="5"/>
  <c r="AV117" i="5"/>
  <c r="AW117" i="5"/>
  <c r="AX117" i="5"/>
  <c r="AY117" i="5"/>
  <c r="AZ117" i="5"/>
  <c r="BA117" i="5"/>
  <c r="BB117" i="5"/>
  <c r="BD117" i="5"/>
  <c r="D118" i="5"/>
  <c r="E118" i="5"/>
  <c r="F118" i="5"/>
  <c r="G118" i="5"/>
  <c r="H118" i="5"/>
  <c r="I118" i="5"/>
  <c r="J118" i="5"/>
  <c r="K118" i="5"/>
  <c r="L118" i="5"/>
  <c r="N118" i="5"/>
  <c r="O118" i="5"/>
  <c r="P118" i="5"/>
  <c r="Q118" i="5"/>
  <c r="R118" i="5"/>
  <c r="S118" i="5"/>
  <c r="T118" i="5"/>
  <c r="U118" i="5"/>
  <c r="V118" i="5"/>
  <c r="W118" i="5"/>
  <c r="X118" i="5"/>
  <c r="Z118" i="5"/>
  <c r="AA118" i="5"/>
  <c r="AB118" i="5"/>
  <c r="AC118" i="5"/>
  <c r="AD118" i="5"/>
  <c r="AE118" i="5"/>
  <c r="AF118" i="5"/>
  <c r="AG118" i="5"/>
  <c r="AH118" i="5"/>
  <c r="AI118" i="5"/>
  <c r="AJ118" i="5"/>
  <c r="AL118" i="5"/>
  <c r="AM118" i="5"/>
  <c r="AN118" i="5"/>
  <c r="AO118" i="5"/>
  <c r="AP118" i="5"/>
  <c r="AQ118" i="5"/>
  <c r="AR118" i="5"/>
  <c r="AS118" i="5"/>
  <c r="AT118" i="5"/>
  <c r="AU118" i="5"/>
  <c r="AV118" i="5"/>
  <c r="AX118" i="5"/>
  <c r="AY118" i="5"/>
  <c r="AZ118" i="5"/>
  <c r="BA118" i="5"/>
  <c r="BB118" i="5"/>
  <c r="BC118" i="5"/>
  <c r="BD118" i="5"/>
  <c r="D119" i="5"/>
  <c r="E119" i="5"/>
  <c r="H119" i="5"/>
  <c r="I119" i="5"/>
  <c r="J119" i="5"/>
  <c r="K119" i="5"/>
  <c r="L119" i="5"/>
  <c r="M119" i="5"/>
  <c r="N119" i="5"/>
  <c r="O119" i="5"/>
  <c r="P119" i="5"/>
  <c r="Q119" i="5"/>
  <c r="T119" i="5"/>
  <c r="U119" i="5"/>
  <c r="V119" i="5"/>
  <c r="W119" i="5"/>
  <c r="X119" i="5"/>
  <c r="Y119" i="5"/>
  <c r="Z119" i="5"/>
  <c r="AA119" i="5"/>
  <c r="AB119" i="5"/>
  <c r="AC119" i="5"/>
  <c r="AF119" i="5"/>
  <c r="AG119" i="5"/>
  <c r="AH119" i="5"/>
  <c r="AI119" i="5"/>
  <c r="AJ119" i="5"/>
  <c r="AK119" i="5"/>
  <c r="AL119" i="5"/>
  <c r="AM119" i="5"/>
  <c r="AN119" i="5"/>
  <c r="AO119" i="5"/>
  <c r="AR119" i="5"/>
  <c r="AS119" i="5"/>
  <c r="AT119" i="5"/>
  <c r="AU119" i="5"/>
  <c r="AV119" i="5"/>
  <c r="AW119" i="5"/>
  <c r="AX119" i="5"/>
  <c r="AY119" i="5"/>
  <c r="AZ119" i="5"/>
  <c r="BA119" i="5"/>
  <c r="BD119" i="5"/>
  <c r="D120" i="5"/>
  <c r="E120" i="5"/>
  <c r="F120" i="5"/>
  <c r="G120" i="5"/>
  <c r="H120" i="5"/>
  <c r="I120" i="5"/>
  <c r="J120" i="5"/>
  <c r="K120" i="5"/>
  <c r="L120" i="5"/>
  <c r="N120" i="5"/>
  <c r="O120" i="5"/>
  <c r="P120" i="5"/>
  <c r="Q120" i="5"/>
  <c r="R120" i="5"/>
  <c r="S120" i="5"/>
  <c r="T120" i="5"/>
  <c r="U120" i="5"/>
  <c r="V120" i="5"/>
  <c r="W120" i="5"/>
  <c r="X120" i="5"/>
  <c r="Z120" i="5"/>
  <c r="AA120" i="5"/>
  <c r="AB120" i="5"/>
  <c r="AC120" i="5"/>
  <c r="AD120" i="5"/>
  <c r="AE120" i="5"/>
  <c r="AF120" i="5"/>
  <c r="AG120" i="5"/>
  <c r="AH120" i="5"/>
  <c r="AI120" i="5"/>
  <c r="AJ120" i="5"/>
  <c r="AL120" i="5"/>
  <c r="AM120" i="5"/>
  <c r="AN120" i="5"/>
  <c r="AO120" i="5"/>
  <c r="AP120" i="5"/>
  <c r="AQ120" i="5"/>
  <c r="AR120" i="5"/>
  <c r="AS120" i="5"/>
  <c r="AT120" i="5"/>
  <c r="AU120" i="5"/>
  <c r="AV120" i="5"/>
  <c r="AX120" i="5"/>
  <c r="AY120" i="5"/>
  <c r="AZ120" i="5"/>
  <c r="BA120" i="5"/>
  <c r="BB120" i="5"/>
  <c r="BC120" i="5"/>
  <c r="BD120" i="5"/>
  <c r="D121" i="5"/>
  <c r="E121" i="5"/>
  <c r="F121" i="5"/>
  <c r="I121" i="5"/>
  <c r="J121" i="5"/>
  <c r="K121" i="5"/>
  <c r="L121" i="5"/>
  <c r="M121" i="5"/>
  <c r="N121" i="5"/>
  <c r="O121" i="5"/>
  <c r="P121" i="5"/>
  <c r="Q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G121" i="5"/>
  <c r="AH121" i="5"/>
  <c r="AI121" i="5"/>
  <c r="AJ121" i="5"/>
  <c r="AK121" i="5"/>
  <c r="AL121" i="5"/>
  <c r="AM121" i="5"/>
  <c r="AN121" i="5"/>
  <c r="AO121" i="5"/>
  <c r="AP121" i="5"/>
  <c r="AS121" i="5"/>
  <c r="AT121" i="5"/>
  <c r="AU121" i="5"/>
  <c r="AV121" i="5"/>
  <c r="AW121" i="5"/>
  <c r="AX121" i="5"/>
  <c r="AY121" i="5"/>
  <c r="AZ121" i="5"/>
  <c r="BA121" i="5"/>
  <c r="BB121" i="5"/>
  <c r="D122" i="5"/>
  <c r="E122" i="5"/>
  <c r="F122" i="5"/>
  <c r="G122" i="5"/>
  <c r="H122" i="5"/>
  <c r="I122" i="5"/>
  <c r="J122" i="5"/>
  <c r="K122" i="5"/>
  <c r="L122" i="5"/>
  <c r="N122" i="5"/>
  <c r="P122" i="5"/>
  <c r="Q122" i="5"/>
  <c r="R122" i="5"/>
  <c r="S122" i="5"/>
  <c r="T122" i="5"/>
  <c r="U122" i="5"/>
  <c r="V122" i="5"/>
  <c r="W122" i="5"/>
  <c r="X122" i="5"/>
  <c r="Z122" i="5"/>
  <c r="AB122" i="5"/>
  <c r="AC122" i="5"/>
  <c r="AD122" i="5"/>
  <c r="AE122" i="5"/>
  <c r="AF122" i="5"/>
  <c r="AG122" i="5"/>
  <c r="AH122" i="5"/>
  <c r="AI122" i="5"/>
  <c r="AJ122" i="5"/>
  <c r="AL122" i="5"/>
  <c r="AM122" i="5"/>
  <c r="AN122" i="5"/>
  <c r="AO122" i="5"/>
  <c r="AP122" i="5"/>
  <c r="AQ122" i="5"/>
  <c r="AR122" i="5"/>
  <c r="AS122" i="5"/>
  <c r="AT122" i="5"/>
  <c r="AU122" i="5"/>
  <c r="AV122" i="5"/>
  <c r="AX122" i="5"/>
  <c r="AZ122" i="5"/>
  <c r="BA122" i="5"/>
  <c r="BB122" i="5"/>
  <c r="BC122" i="5"/>
  <c r="BD122" i="5"/>
  <c r="D123" i="5"/>
  <c r="E123" i="5"/>
  <c r="F123" i="5"/>
  <c r="H123" i="5"/>
  <c r="I123" i="5"/>
  <c r="K123" i="5"/>
  <c r="L123" i="5"/>
  <c r="M123" i="5"/>
  <c r="N123" i="5"/>
  <c r="O123" i="5"/>
  <c r="P123" i="5"/>
  <c r="Q123" i="5"/>
  <c r="R123" i="5"/>
  <c r="T123" i="5"/>
  <c r="U123" i="5"/>
  <c r="W123" i="5"/>
  <c r="X123" i="5"/>
  <c r="Y123" i="5"/>
  <c r="Z123" i="5"/>
  <c r="AA123" i="5"/>
  <c r="AB123" i="5"/>
  <c r="AC123" i="5"/>
  <c r="AD123" i="5"/>
  <c r="AF123" i="5"/>
  <c r="AG123" i="5"/>
  <c r="AI123" i="5"/>
  <c r="AJ123" i="5"/>
  <c r="AK123" i="5"/>
  <c r="AL123" i="5"/>
  <c r="AM123" i="5"/>
  <c r="AN123" i="5"/>
  <c r="AO123" i="5"/>
  <c r="AP123" i="5"/>
  <c r="AR123" i="5"/>
  <c r="AS123" i="5"/>
  <c r="AU123" i="5"/>
  <c r="AV123" i="5"/>
  <c r="AW123" i="5"/>
  <c r="AX123" i="5"/>
  <c r="AY123" i="5"/>
  <c r="AZ123" i="5"/>
  <c r="BA123" i="5"/>
  <c r="BB123" i="5"/>
  <c r="BD123" i="5"/>
  <c r="D124" i="5"/>
  <c r="E124" i="5"/>
  <c r="F124" i="5"/>
  <c r="G124" i="5"/>
  <c r="H124" i="5"/>
  <c r="I124" i="5"/>
  <c r="J124" i="5"/>
  <c r="K124" i="5"/>
  <c r="L124" i="5"/>
  <c r="N124" i="5"/>
  <c r="O124" i="5"/>
  <c r="P124" i="5"/>
  <c r="R124" i="5"/>
  <c r="S124" i="5"/>
  <c r="T124" i="5"/>
  <c r="U124" i="5"/>
  <c r="V124" i="5"/>
  <c r="W124" i="5"/>
  <c r="X124" i="5"/>
  <c r="Z124" i="5"/>
  <c r="AA124" i="5"/>
  <c r="AB124" i="5"/>
  <c r="AD124" i="5"/>
  <c r="AE124" i="5"/>
  <c r="AF124" i="5"/>
  <c r="AG124" i="5"/>
  <c r="AH124" i="5"/>
  <c r="AI124" i="5"/>
  <c r="AJ124" i="5"/>
  <c r="AL124" i="5"/>
  <c r="AM124" i="5"/>
  <c r="AN124" i="5"/>
  <c r="AP124" i="5"/>
  <c r="AQ124" i="5"/>
  <c r="AR124" i="5"/>
  <c r="AS124" i="5"/>
  <c r="AT124" i="5"/>
  <c r="AU124" i="5"/>
  <c r="AV124" i="5"/>
  <c r="AX124" i="5"/>
  <c r="AY124" i="5"/>
  <c r="AZ124" i="5"/>
  <c r="BB124" i="5"/>
  <c r="BC124" i="5"/>
  <c r="BD124" i="5"/>
  <c r="D125" i="5"/>
  <c r="E125" i="5"/>
  <c r="F125" i="5"/>
  <c r="H125" i="5"/>
  <c r="I125" i="5"/>
  <c r="J125" i="5"/>
  <c r="K125" i="5"/>
  <c r="M125" i="5"/>
  <c r="N125" i="5"/>
  <c r="O125" i="5"/>
  <c r="P125" i="5"/>
  <c r="Q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F125" i="5"/>
  <c r="AG125" i="5"/>
  <c r="AH125" i="5"/>
  <c r="AI125" i="5"/>
  <c r="AK125" i="5"/>
  <c r="AL125" i="5"/>
  <c r="AM125" i="5"/>
  <c r="AN125" i="5"/>
  <c r="AO125" i="5"/>
  <c r="AP125" i="5"/>
  <c r="AR125" i="5"/>
  <c r="AS125" i="5"/>
  <c r="AT125" i="5"/>
  <c r="AU125" i="5"/>
  <c r="AW125" i="5"/>
  <c r="AX125" i="5"/>
  <c r="AY125" i="5"/>
  <c r="AZ125" i="5"/>
  <c r="BA125" i="5"/>
  <c r="BB125" i="5"/>
  <c r="BD125" i="5"/>
  <c r="D126" i="5"/>
  <c r="E126" i="5"/>
  <c r="F126" i="5"/>
  <c r="H126" i="5"/>
  <c r="I126" i="5"/>
  <c r="J126" i="5"/>
  <c r="K126" i="5"/>
  <c r="L126" i="5"/>
  <c r="N126" i="5"/>
  <c r="O126" i="5"/>
  <c r="P126" i="5"/>
  <c r="Q126" i="5"/>
  <c r="R126" i="5"/>
  <c r="T126" i="5"/>
  <c r="U126" i="5"/>
  <c r="V126" i="5"/>
  <c r="W126" i="5"/>
  <c r="X126" i="5"/>
  <c r="Z126" i="5"/>
  <c r="AA126" i="5"/>
  <c r="AB126" i="5"/>
  <c r="AC126" i="5"/>
  <c r="AD126" i="5"/>
  <c r="AF126" i="5"/>
  <c r="AG126" i="5"/>
  <c r="AH126" i="5"/>
  <c r="AI126" i="5"/>
  <c r="AJ126" i="5"/>
  <c r="AL126" i="5"/>
  <c r="AM126" i="5"/>
  <c r="AN126" i="5"/>
  <c r="AO126" i="5"/>
  <c r="AP126" i="5"/>
  <c r="AQ126" i="5"/>
  <c r="AR126" i="5"/>
  <c r="AS126" i="5"/>
  <c r="AT126" i="5"/>
  <c r="AU126" i="5"/>
  <c r="AV126" i="5"/>
  <c r="AX126" i="5"/>
  <c r="AY126" i="5"/>
  <c r="AZ126" i="5"/>
  <c r="BA126" i="5"/>
  <c r="BB126" i="5"/>
  <c r="BD126" i="5"/>
  <c r="D127" i="5"/>
  <c r="E127" i="5"/>
  <c r="F127" i="5"/>
  <c r="H127" i="5"/>
  <c r="I127" i="5"/>
  <c r="J127" i="5"/>
  <c r="K127" i="5"/>
  <c r="L127" i="5"/>
  <c r="M127" i="5"/>
  <c r="O127" i="5"/>
  <c r="P127" i="5"/>
  <c r="Q127" i="5"/>
  <c r="R127" i="5"/>
  <c r="T127" i="5"/>
  <c r="U127" i="5"/>
  <c r="V127" i="5"/>
  <c r="W127" i="5"/>
  <c r="X127" i="5"/>
  <c r="Y127" i="5"/>
  <c r="AA127" i="5"/>
  <c r="AB127" i="5"/>
  <c r="AC127" i="5"/>
  <c r="AD127" i="5"/>
  <c r="AF127" i="5"/>
  <c r="AG127" i="5"/>
  <c r="AH127" i="5"/>
  <c r="AI127" i="5"/>
  <c r="AJ127" i="5"/>
  <c r="AK127" i="5"/>
  <c r="AM127" i="5"/>
  <c r="AN127" i="5"/>
  <c r="AO127" i="5"/>
  <c r="AP127" i="5"/>
  <c r="AR127" i="5"/>
  <c r="AS127" i="5"/>
  <c r="AT127" i="5"/>
  <c r="AU127" i="5"/>
  <c r="AV127" i="5"/>
  <c r="AW127" i="5"/>
  <c r="AY127" i="5"/>
  <c r="AZ127" i="5"/>
  <c r="BA127" i="5"/>
  <c r="BB127" i="5"/>
  <c r="BD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T128" i="5"/>
  <c r="AU128" i="5"/>
  <c r="AV128" i="5"/>
  <c r="AW128" i="5"/>
  <c r="AX128" i="5"/>
  <c r="AY128" i="5"/>
  <c r="AZ128" i="5"/>
  <c r="BA128" i="5"/>
  <c r="BB128" i="5"/>
  <c r="BC128" i="5"/>
  <c r="BD128" i="5"/>
  <c r="E129" i="5"/>
  <c r="F129" i="5"/>
  <c r="H129" i="5"/>
  <c r="I129" i="5"/>
  <c r="J129" i="5"/>
  <c r="K129" i="5"/>
  <c r="L129" i="5"/>
  <c r="M129" i="5"/>
  <c r="N129" i="5"/>
  <c r="O129" i="5"/>
  <c r="Q129" i="5"/>
  <c r="R129" i="5"/>
  <c r="T129" i="5"/>
  <c r="U129" i="5"/>
  <c r="V129" i="5"/>
  <c r="W129" i="5"/>
  <c r="X129" i="5"/>
  <c r="Y129" i="5"/>
  <c r="Z129" i="5"/>
  <c r="AA129" i="5"/>
  <c r="AC129" i="5"/>
  <c r="AD129" i="5"/>
  <c r="AF129" i="5"/>
  <c r="AG129" i="5"/>
  <c r="AH129" i="5"/>
  <c r="AI129" i="5"/>
  <c r="AJ129" i="5"/>
  <c r="AK129" i="5"/>
  <c r="AL129" i="5"/>
  <c r="AM129" i="5"/>
  <c r="AO129" i="5"/>
  <c r="AP129" i="5"/>
  <c r="AR129" i="5"/>
  <c r="AS129" i="5"/>
  <c r="AT129" i="5"/>
  <c r="AU129" i="5"/>
  <c r="AV129" i="5"/>
  <c r="AW129" i="5"/>
  <c r="AX129" i="5"/>
  <c r="AY129" i="5"/>
  <c r="BA129" i="5"/>
  <c r="BB129" i="5"/>
  <c r="BD129" i="5"/>
  <c r="D130" i="5"/>
  <c r="E130" i="5"/>
  <c r="F130" i="5"/>
  <c r="G130" i="5"/>
  <c r="H130" i="5"/>
  <c r="I130" i="5"/>
  <c r="J130" i="5"/>
  <c r="L130" i="5"/>
  <c r="N130" i="5"/>
  <c r="O130" i="5"/>
  <c r="P130" i="5"/>
  <c r="Q130" i="5"/>
  <c r="R130" i="5"/>
  <c r="S130" i="5"/>
  <c r="T130" i="5"/>
  <c r="U130" i="5"/>
  <c r="V130" i="5"/>
  <c r="W130" i="5"/>
  <c r="X130" i="5"/>
  <c r="Z130" i="5"/>
  <c r="AA130" i="5"/>
  <c r="AB130" i="5"/>
  <c r="AC130" i="5"/>
  <c r="AD130" i="5"/>
  <c r="AE130" i="5"/>
  <c r="AF130" i="5"/>
  <c r="AG130" i="5"/>
  <c r="AH130" i="5"/>
  <c r="AJ130" i="5"/>
  <c r="AL130" i="5"/>
  <c r="AM130" i="5"/>
  <c r="AN130" i="5"/>
  <c r="AO130" i="5"/>
  <c r="AP130" i="5"/>
  <c r="AQ130" i="5"/>
  <c r="AR130" i="5"/>
  <c r="AS130" i="5"/>
  <c r="AT130" i="5"/>
  <c r="AV130" i="5"/>
  <c r="AX130" i="5"/>
  <c r="AY130" i="5"/>
  <c r="AZ130" i="5"/>
  <c r="BA130" i="5"/>
  <c r="BB130" i="5"/>
  <c r="BC130" i="5"/>
  <c r="BD130" i="5"/>
  <c r="D131" i="5"/>
  <c r="E131" i="5"/>
  <c r="H131" i="5"/>
  <c r="I131" i="5"/>
  <c r="J131" i="5"/>
  <c r="K131" i="5"/>
  <c r="L131" i="5"/>
  <c r="M131" i="5"/>
  <c r="N131" i="5"/>
  <c r="O131" i="5"/>
  <c r="P131" i="5"/>
  <c r="Q131" i="5"/>
  <c r="T131" i="5"/>
  <c r="U131" i="5"/>
  <c r="V131" i="5"/>
  <c r="W131" i="5"/>
  <c r="X131" i="5"/>
  <c r="Y131" i="5"/>
  <c r="Z131" i="5"/>
  <c r="AA131" i="5"/>
  <c r="AB131" i="5"/>
  <c r="AC131" i="5"/>
  <c r="AF131" i="5"/>
  <c r="AG131" i="5"/>
  <c r="AH131" i="5"/>
  <c r="AI131" i="5"/>
  <c r="AJ131" i="5"/>
  <c r="AK131" i="5"/>
  <c r="AL131" i="5"/>
  <c r="AM131" i="5"/>
  <c r="AN131" i="5"/>
  <c r="AO131" i="5"/>
  <c r="AR131" i="5"/>
  <c r="AS131" i="5"/>
  <c r="AT131" i="5"/>
  <c r="AU131" i="5"/>
  <c r="AV131" i="5"/>
  <c r="AW131" i="5"/>
  <c r="AX131" i="5"/>
  <c r="AY131" i="5"/>
  <c r="AZ131" i="5"/>
  <c r="BA131" i="5"/>
  <c r="BD131" i="5"/>
  <c r="D132" i="5"/>
  <c r="E132" i="5"/>
  <c r="F132" i="5"/>
  <c r="G132" i="5"/>
  <c r="H132" i="5"/>
  <c r="I132" i="5"/>
  <c r="J132" i="5"/>
  <c r="K132" i="5"/>
  <c r="L132" i="5"/>
  <c r="N132" i="5"/>
  <c r="O132" i="5"/>
  <c r="P132" i="5"/>
  <c r="Q132" i="5"/>
  <c r="R132" i="5"/>
  <c r="S132" i="5"/>
  <c r="T132" i="5"/>
  <c r="U132" i="5"/>
  <c r="V132" i="5"/>
  <c r="W132" i="5"/>
  <c r="X132" i="5"/>
  <c r="Z132" i="5"/>
  <c r="AA132" i="5"/>
  <c r="AB132" i="5"/>
  <c r="AC132" i="5"/>
  <c r="AD132" i="5"/>
  <c r="AE132" i="5"/>
  <c r="AF132" i="5"/>
  <c r="AG132" i="5"/>
  <c r="AH132" i="5"/>
  <c r="AI132" i="5"/>
  <c r="AJ132" i="5"/>
  <c r="AL132" i="5"/>
  <c r="AM132" i="5"/>
  <c r="AN132" i="5"/>
  <c r="AO132" i="5"/>
  <c r="AP132" i="5"/>
  <c r="AQ132" i="5"/>
  <c r="AR132" i="5"/>
  <c r="AS132" i="5"/>
  <c r="AT132" i="5"/>
  <c r="AU132" i="5"/>
  <c r="AV132" i="5"/>
  <c r="AX132" i="5"/>
  <c r="AY132" i="5"/>
  <c r="AZ132" i="5"/>
  <c r="BA132" i="5"/>
  <c r="BB132" i="5"/>
  <c r="BC132" i="5"/>
  <c r="BD132" i="5"/>
  <c r="D133" i="5"/>
  <c r="E133" i="5"/>
  <c r="F133" i="5"/>
  <c r="I133" i="5"/>
  <c r="J133" i="5"/>
  <c r="K133" i="5"/>
  <c r="L133" i="5"/>
  <c r="M133" i="5"/>
  <c r="N133" i="5"/>
  <c r="O133" i="5"/>
  <c r="P133" i="5"/>
  <c r="Q133" i="5"/>
  <c r="R133" i="5"/>
  <c r="U133" i="5"/>
  <c r="V133" i="5"/>
  <c r="W133" i="5"/>
  <c r="X133" i="5"/>
  <c r="Y133" i="5"/>
  <c r="Z133" i="5"/>
  <c r="AA133" i="5"/>
  <c r="AB133" i="5"/>
  <c r="AC133" i="5"/>
  <c r="AD133" i="5"/>
  <c r="AG133" i="5"/>
  <c r="AH133" i="5"/>
  <c r="AI133" i="5"/>
  <c r="AJ133" i="5"/>
  <c r="AK133" i="5"/>
  <c r="AL133" i="5"/>
  <c r="AM133" i="5"/>
  <c r="AN133" i="5"/>
  <c r="AO133" i="5"/>
  <c r="AP133" i="5"/>
  <c r="AS133" i="5"/>
  <c r="AT133" i="5"/>
  <c r="AU133" i="5"/>
  <c r="AV133" i="5"/>
  <c r="AW133" i="5"/>
  <c r="AX133" i="5"/>
  <c r="AY133" i="5"/>
  <c r="AZ133" i="5"/>
  <c r="BA133" i="5"/>
  <c r="BB133" i="5"/>
  <c r="D134" i="5"/>
  <c r="E134" i="5"/>
  <c r="F134" i="5"/>
  <c r="G134" i="5"/>
  <c r="H134" i="5"/>
  <c r="I134" i="5"/>
  <c r="J134" i="5"/>
  <c r="K134" i="5"/>
  <c r="L134" i="5"/>
  <c r="N134" i="5"/>
  <c r="P134" i="5"/>
  <c r="Q134" i="5"/>
  <c r="R134" i="5"/>
  <c r="S134" i="5"/>
  <c r="T134" i="5"/>
  <c r="U134" i="5"/>
  <c r="V134" i="5"/>
  <c r="W134" i="5"/>
  <c r="X134" i="5"/>
  <c r="Z134" i="5"/>
  <c r="AB134" i="5"/>
  <c r="AC134" i="5"/>
  <c r="AD134" i="5"/>
  <c r="AE134" i="5"/>
  <c r="AF134" i="5"/>
  <c r="AG134" i="5"/>
  <c r="AH134" i="5"/>
  <c r="AI134" i="5"/>
  <c r="AJ134" i="5"/>
  <c r="AL134" i="5"/>
  <c r="AN134" i="5"/>
  <c r="AO134" i="5"/>
  <c r="AP134" i="5"/>
  <c r="AQ134" i="5"/>
  <c r="AR134" i="5"/>
  <c r="AS134" i="5"/>
  <c r="AT134" i="5"/>
  <c r="AU134" i="5"/>
  <c r="AV134" i="5"/>
  <c r="AX134" i="5"/>
  <c r="AZ134" i="5"/>
  <c r="BA134" i="5"/>
  <c r="BB134" i="5"/>
  <c r="BC134" i="5"/>
  <c r="BD134" i="5"/>
  <c r="D135" i="5"/>
  <c r="E135" i="5"/>
  <c r="F135" i="5"/>
  <c r="H135" i="5"/>
  <c r="I135" i="5"/>
  <c r="K135" i="5"/>
  <c r="L135" i="5"/>
  <c r="M135" i="5"/>
  <c r="N135" i="5"/>
  <c r="O135" i="5"/>
  <c r="P135" i="5"/>
  <c r="Q135" i="5"/>
  <c r="R135" i="5"/>
  <c r="T135" i="5"/>
  <c r="U135" i="5"/>
  <c r="W135" i="5"/>
  <c r="X135" i="5"/>
  <c r="Y135" i="5"/>
  <c r="Z135" i="5"/>
  <c r="AA135" i="5"/>
  <c r="AB135" i="5"/>
  <c r="AC135" i="5"/>
  <c r="AD135" i="5"/>
  <c r="AF135" i="5"/>
  <c r="AG135" i="5"/>
  <c r="AH135" i="5"/>
  <c r="AI135" i="5"/>
  <c r="AJ135" i="5"/>
  <c r="AK135" i="5"/>
  <c r="AL135" i="5"/>
  <c r="AM135" i="5"/>
  <c r="AN135" i="5"/>
  <c r="AO135" i="5"/>
  <c r="AP135" i="5"/>
  <c r="AR135" i="5"/>
  <c r="AS135" i="5"/>
  <c r="AU135" i="5"/>
  <c r="AV135" i="5"/>
  <c r="AW135" i="5"/>
  <c r="AX135" i="5"/>
  <c r="AY135" i="5"/>
  <c r="AZ135" i="5"/>
  <c r="BA135" i="5"/>
  <c r="BB135" i="5"/>
  <c r="BD135" i="5"/>
  <c r="D136" i="5"/>
  <c r="F136" i="5"/>
  <c r="G136" i="5"/>
  <c r="H136" i="5"/>
  <c r="I136" i="5"/>
  <c r="J136" i="5"/>
  <c r="K136" i="5"/>
  <c r="L136" i="5"/>
  <c r="N136" i="5"/>
  <c r="O136" i="5"/>
  <c r="P136" i="5"/>
  <c r="R136" i="5"/>
  <c r="S136" i="5"/>
  <c r="T136" i="5"/>
  <c r="U136" i="5"/>
  <c r="V136" i="5"/>
  <c r="W136" i="5"/>
  <c r="X136" i="5"/>
  <c r="Z136" i="5"/>
  <c r="AA136" i="5"/>
  <c r="AB136" i="5"/>
  <c r="AD136" i="5"/>
  <c r="AE136" i="5"/>
  <c r="AF136" i="5"/>
  <c r="AG136" i="5"/>
  <c r="AH136" i="5"/>
  <c r="AI136" i="5"/>
  <c r="AJ136" i="5"/>
  <c r="AL136" i="5"/>
  <c r="AM136" i="5"/>
  <c r="AN136" i="5"/>
  <c r="AP136" i="5"/>
  <c r="AQ136" i="5"/>
  <c r="AR136" i="5"/>
  <c r="AS136" i="5"/>
  <c r="AT136" i="5"/>
  <c r="AU136" i="5"/>
  <c r="AV136" i="5"/>
  <c r="AX136" i="5"/>
  <c r="AY136" i="5"/>
  <c r="AZ136" i="5"/>
  <c r="BB136" i="5"/>
  <c r="BC136" i="5"/>
  <c r="BD136" i="5"/>
  <c r="D137" i="5"/>
  <c r="E137" i="5"/>
  <c r="F137" i="5"/>
  <c r="H137" i="5"/>
  <c r="I137" i="5"/>
  <c r="J137" i="5"/>
  <c r="K137" i="5"/>
  <c r="M137" i="5"/>
  <c r="N137" i="5"/>
  <c r="O137" i="5"/>
  <c r="P137" i="5"/>
  <c r="Q137" i="5"/>
  <c r="R137" i="5"/>
  <c r="T137" i="5"/>
  <c r="U137" i="5"/>
  <c r="V137" i="5"/>
  <c r="W137" i="5"/>
  <c r="Y137" i="5"/>
  <c r="Z137" i="5"/>
  <c r="AA137" i="5"/>
  <c r="AB137" i="5"/>
  <c r="AC137" i="5"/>
  <c r="AD137" i="5"/>
  <c r="AF137" i="5"/>
  <c r="AG137" i="5"/>
  <c r="AH137" i="5"/>
  <c r="AI137" i="5"/>
  <c r="AK137" i="5"/>
  <c r="AL137" i="5"/>
  <c r="AM137" i="5"/>
  <c r="AN137" i="5"/>
  <c r="AO137" i="5"/>
  <c r="AP137" i="5"/>
  <c r="AR137" i="5"/>
  <c r="AS137" i="5"/>
  <c r="AT137" i="5"/>
  <c r="AU137" i="5"/>
  <c r="AW137" i="5"/>
  <c r="AX137" i="5"/>
  <c r="AY137" i="5"/>
  <c r="AZ137" i="5"/>
  <c r="BA137" i="5"/>
  <c r="BB137" i="5"/>
  <c r="BD137" i="5"/>
  <c r="D138" i="5"/>
  <c r="E138" i="5"/>
  <c r="F138" i="5"/>
  <c r="H138" i="5"/>
  <c r="I138" i="5"/>
  <c r="J138" i="5"/>
  <c r="K138" i="5"/>
  <c r="L138" i="5"/>
  <c r="N138" i="5"/>
  <c r="O138" i="5"/>
  <c r="P138" i="5"/>
  <c r="Q138" i="5"/>
  <c r="R138" i="5"/>
  <c r="S138" i="5"/>
  <c r="T138" i="5"/>
  <c r="U138" i="5"/>
  <c r="V138" i="5"/>
  <c r="W138" i="5"/>
  <c r="X138" i="5"/>
  <c r="Z138" i="5"/>
  <c r="AA138" i="5"/>
  <c r="AB138" i="5"/>
  <c r="AC138" i="5"/>
  <c r="AD138" i="5"/>
  <c r="AF138" i="5"/>
  <c r="AG138" i="5"/>
  <c r="AH138" i="5"/>
  <c r="AI138" i="5"/>
  <c r="AJ138" i="5"/>
  <c r="AL138" i="5"/>
  <c r="AM138" i="5"/>
  <c r="AN138" i="5"/>
  <c r="AO138" i="5"/>
  <c r="AP138" i="5"/>
  <c r="AR138" i="5"/>
  <c r="AS138" i="5"/>
  <c r="AT138" i="5"/>
  <c r="AU138" i="5"/>
  <c r="AV138" i="5"/>
  <c r="AX138" i="5"/>
  <c r="AY138" i="5"/>
  <c r="AZ138" i="5"/>
  <c r="BA138" i="5"/>
  <c r="BB138" i="5"/>
  <c r="BD138" i="5"/>
  <c r="D139" i="5"/>
  <c r="E139" i="5"/>
  <c r="F139" i="5"/>
  <c r="H139" i="5"/>
  <c r="I139" i="5"/>
  <c r="J139" i="5"/>
  <c r="K139" i="5"/>
  <c r="L139" i="5"/>
  <c r="M139" i="5"/>
  <c r="O139" i="5"/>
  <c r="P139" i="5"/>
  <c r="Q139" i="5"/>
  <c r="R139" i="5"/>
  <c r="T139" i="5"/>
  <c r="U139" i="5"/>
  <c r="V139" i="5"/>
  <c r="W139" i="5"/>
  <c r="X139" i="5"/>
  <c r="Y139" i="5"/>
  <c r="AA139" i="5"/>
  <c r="AB139" i="5"/>
  <c r="AC139" i="5"/>
  <c r="AD139" i="5"/>
  <c r="AF139" i="5"/>
  <c r="AG139" i="5"/>
  <c r="AH139" i="5"/>
  <c r="AI139" i="5"/>
  <c r="AJ139" i="5"/>
  <c r="AK139" i="5"/>
  <c r="AM139" i="5"/>
  <c r="AN139" i="5"/>
  <c r="AO139" i="5"/>
  <c r="AP139" i="5"/>
  <c r="AR139" i="5"/>
  <c r="AS139" i="5"/>
  <c r="AT139" i="5"/>
  <c r="AU139" i="5"/>
  <c r="AV139" i="5"/>
  <c r="AW139" i="5"/>
  <c r="AY139" i="5"/>
  <c r="AZ139" i="5"/>
  <c r="BA139" i="5"/>
  <c r="BB139" i="5"/>
  <c r="BD139" i="5"/>
  <c r="D140" i="5"/>
  <c r="E140" i="5"/>
  <c r="F140" i="5"/>
  <c r="G140" i="5"/>
  <c r="H140" i="5"/>
  <c r="J140" i="5"/>
  <c r="K140" i="5"/>
  <c r="L140" i="5"/>
  <c r="M140" i="5"/>
  <c r="N140" i="5"/>
  <c r="O140" i="5"/>
  <c r="P140" i="5"/>
  <c r="Q140" i="5"/>
  <c r="R140" i="5"/>
  <c r="S140" i="5"/>
  <c r="T140" i="5"/>
  <c r="V140" i="5"/>
  <c r="W140" i="5"/>
  <c r="X140" i="5"/>
  <c r="Y140" i="5"/>
  <c r="Z140" i="5"/>
  <c r="AA140" i="5"/>
  <c r="AB140" i="5"/>
  <c r="AC140" i="5"/>
  <c r="AD140" i="5"/>
  <c r="AE140" i="5"/>
  <c r="AF140" i="5"/>
  <c r="AH140" i="5"/>
  <c r="AI140" i="5"/>
  <c r="AJ140" i="5"/>
  <c r="AK140" i="5"/>
  <c r="AL140" i="5"/>
  <c r="AM140" i="5"/>
  <c r="AN140" i="5"/>
  <c r="AO140" i="5"/>
  <c r="AP140" i="5"/>
  <c r="AQ140" i="5"/>
  <c r="AR140" i="5"/>
  <c r="AT140" i="5"/>
  <c r="AU140" i="5"/>
  <c r="AV140" i="5"/>
  <c r="AW140" i="5"/>
  <c r="AX140" i="5"/>
  <c r="AY140" i="5"/>
  <c r="AZ140" i="5"/>
  <c r="BA140" i="5"/>
  <c r="BB140" i="5"/>
  <c r="BC140" i="5"/>
  <c r="BD140" i="5"/>
  <c r="E141" i="5"/>
  <c r="F141" i="5"/>
  <c r="H141" i="5"/>
  <c r="I141" i="5"/>
  <c r="J141" i="5"/>
  <c r="K141" i="5"/>
  <c r="L141" i="5"/>
  <c r="M141" i="5"/>
  <c r="N141" i="5"/>
  <c r="O141" i="5"/>
  <c r="Q141" i="5"/>
  <c r="R141" i="5"/>
  <c r="T141" i="5"/>
  <c r="U141" i="5"/>
  <c r="V141" i="5"/>
  <c r="W141" i="5"/>
  <c r="X141" i="5"/>
  <c r="Y141" i="5"/>
  <c r="Z141" i="5"/>
  <c r="AA141" i="5"/>
  <c r="AC141" i="5"/>
  <c r="AD141" i="5"/>
  <c r="AF141" i="5"/>
  <c r="AG141" i="5"/>
  <c r="AH141" i="5"/>
  <c r="AI141" i="5"/>
  <c r="AJ141" i="5"/>
  <c r="AK141" i="5"/>
  <c r="AL141" i="5"/>
  <c r="AM141" i="5"/>
  <c r="AO141" i="5"/>
  <c r="AP141" i="5"/>
  <c r="AR141" i="5"/>
  <c r="AS141" i="5"/>
  <c r="AT141" i="5"/>
  <c r="AU141" i="5"/>
  <c r="AV141" i="5"/>
  <c r="AW141" i="5"/>
  <c r="AX141" i="5"/>
  <c r="AY141" i="5"/>
  <c r="AZ141" i="5"/>
  <c r="BA141" i="5"/>
  <c r="BB141" i="5"/>
  <c r="BD141" i="5"/>
  <c r="D142" i="5"/>
  <c r="E142" i="5"/>
  <c r="F142" i="5"/>
  <c r="G142" i="5"/>
  <c r="H142" i="5"/>
  <c r="I142" i="5"/>
  <c r="J142" i="5"/>
  <c r="L142" i="5"/>
  <c r="N142" i="5"/>
  <c r="O142" i="5"/>
  <c r="P142" i="5"/>
  <c r="Q142" i="5"/>
  <c r="R142" i="5"/>
  <c r="S142" i="5"/>
  <c r="T142" i="5"/>
  <c r="U142" i="5"/>
  <c r="V142" i="5"/>
  <c r="X142" i="5"/>
  <c r="Z142" i="5"/>
  <c r="AA142" i="5"/>
  <c r="AB142" i="5"/>
  <c r="AC142" i="5"/>
  <c r="AD142" i="5"/>
  <c r="AE142" i="5"/>
  <c r="AF142" i="5"/>
  <c r="AG142" i="5"/>
  <c r="AH142" i="5"/>
  <c r="AJ142" i="5"/>
  <c r="AL142" i="5"/>
  <c r="AM142" i="5"/>
  <c r="AN142" i="5"/>
  <c r="AO142" i="5"/>
  <c r="AP142" i="5"/>
  <c r="AQ142" i="5"/>
  <c r="AR142" i="5"/>
  <c r="AS142" i="5"/>
  <c r="AT142" i="5"/>
  <c r="AV142" i="5"/>
  <c r="AX142" i="5"/>
  <c r="AY142" i="5"/>
  <c r="AZ142" i="5"/>
  <c r="BA142" i="5"/>
  <c r="BB142" i="5"/>
  <c r="BC142" i="5"/>
  <c r="BD142" i="5"/>
  <c r="D143" i="5"/>
  <c r="E143" i="5"/>
  <c r="H143" i="5"/>
  <c r="I143" i="5"/>
  <c r="J143" i="5"/>
  <c r="K143" i="5"/>
  <c r="L143" i="5"/>
  <c r="M143" i="5"/>
  <c r="N143" i="5"/>
  <c r="O143" i="5"/>
  <c r="P143" i="5"/>
  <c r="Q143" i="5"/>
  <c r="T143" i="5"/>
  <c r="U143" i="5"/>
  <c r="V143" i="5"/>
  <c r="W143" i="5"/>
  <c r="X143" i="5"/>
  <c r="Y143" i="5"/>
  <c r="Z143" i="5"/>
  <c r="AA143" i="5"/>
  <c r="AB143" i="5"/>
  <c r="AC143" i="5"/>
  <c r="AF143" i="5"/>
  <c r="AG143" i="5"/>
  <c r="AH143" i="5"/>
  <c r="AI143" i="5"/>
  <c r="AJ143" i="5"/>
  <c r="AK143" i="5"/>
  <c r="AL143" i="5"/>
  <c r="AM143" i="5"/>
  <c r="AN143" i="5"/>
  <c r="AO143" i="5"/>
  <c r="AR143" i="5"/>
  <c r="AS143" i="5"/>
  <c r="AT143" i="5"/>
  <c r="AU143" i="5"/>
  <c r="AV143" i="5"/>
  <c r="AW143" i="5"/>
  <c r="AX143" i="5"/>
  <c r="AY143" i="5"/>
  <c r="AZ143" i="5"/>
  <c r="BA143" i="5"/>
  <c r="BD143" i="5"/>
  <c r="D144" i="5"/>
  <c r="E144" i="5"/>
  <c r="F144" i="5"/>
  <c r="G144" i="5"/>
  <c r="H144" i="5"/>
  <c r="I144" i="5"/>
  <c r="J144" i="5"/>
  <c r="K144" i="5"/>
  <c r="L144" i="5"/>
  <c r="N144" i="5"/>
  <c r="O144" i="5"/>
  <c r="P144" i="5"/>
  <c r="Q144" i="5"/>
  <c r="R144" i="5"/>
  <c r="S144" i="5"/>
  <c r="T144" i="5"/>
  <c r="U144" i="5"/>
  <c r="V144" i="5"/>
  <c r="W144" i="5"/>
  <c r="X144" i="5"/>
  <c r="Z144" i="5"/>
  <c r="AA144" i="5"/>
  <c r="AB144" i="5"/>
  <c r="AC144" i="5"/>
  <c r="AD144" i="5"/>
  <c r="AE144" i="5"/>
  <c r="AF144" i="5"/>
  <c r="AG144" i="5"/>
  <c r="AH144" i="5"/>
  <c r="AI144" i="5"/>
  <c r="AJ144" i="5"/>
  <c r="AL144" i="5"/>
  <c r="AM144" i="5"/>
  <c r="AN144" i="5"/>
  <c r="AO144" i="5"/>
  <c r="AP144" i="5"/>
  <c r="AQ144" i="5"/>
  <c r="AR144" i="5"/>
  <c r="AS144" i="5"/>
  <c r="AT144" i="5"/>
  <c r="AU144" i="5"/>
  <c r="AV144" i="5"/>
  <c r="AX144" i="5"/>
  <c r="AY144" i="5"/>
  <c r="AZ144" i="5"/>
  <c r="BA144" i="5"/>
  <c r="BB144" i="5"/>
  <c r="BC144" i="5"/>
  <c r="BD144" i="5"/>
  <c r="D145" i="5"/>
  <c r="E145" i="5"/>
  <c r="F145" i="5"/>
  <c r="I145" i="5"/>
  <c r="J145" i="5"/>
  <c r="K145" i="5"/>
  <c r="L145" i="5"/>
  <c r="M145" i="5"/>
  <c r="N145" i="5"/>
  <c r="O145" i="5"/>
  <c r="P145" i="5"/>
  <c r="Q145" i="5"/>
  <c r="R145" i="5"/>
  <c r="U145" i="5"/>
  <c r="V145" i="5"/>
  <c r="W145" i="5"/>
  <c r="X145" i="5"/>
  <c r="Y145" i="5"/>
  <c r="Z145" i="5"/>
  <c r="AA145" i="5"/>
  <c r="AB145" i="5"/>
  <c r="AC145" i="5"/>
  <c r="AD145" i="5"/>
  <c r="AG145" i="5"/>
  <c r="AH145" i="5"/>
  <c r="AI145" i="5"/>
  <c r="AJ145" i="5"/>
  <c r="AK145" i="5"/>
  <c r="AL145" i="5"/>
  <c r="AM145" i="5"/>
  <c r="AN145" i="5"/>
  <c r="AO145" i="5"/>
  <c r="AP145" i="5"/>
  <c r="AS145" i="5"/>
  <c r="AT145" i="5"/>
  <c r="AU145" i="5"/>
  <c r="AV145" i="5"/>
  <c r="AW145" i="5"/>
  <c r="AX145" i="5"/>
  <c r="AY145" i="5"/>
  <c r="AZ145" i="5"/>
  <c r="BA145" i="5"/>
  <c r="BB145" i="5"/>
  <c r="D146" i="5"/>
  <c r="E146" i="5"/>
  <c r="F146" i="5"/>
  <c r="G146" i="5"/>
  <c r="H146" i="5"/>
  <c r="I146" i="5"/>
  <c r="J146" i="5"/>
  <c r="K146" i="5"/>
  <c r="L146" i="5"/>
  <c r="N146" i="5"/>
  <c r="P146" i="5"/>
  <c r="Q146" i="5"/>
  <c r="R146" i="5"/>
  <c r="S146" i="5"/>
  <c r="T146" i="5"/>
  <c r="U146" i="5"/>
  <c r="V146" i="5"/>
  <c r="W146" i="5"/>
  <c r="X146" i="5"/>
  <c r="Z146" i="5"/>
  <c r="AB146" i="5"/>
  <c r="AC146" i="5"/>
  <c r="AD146" i="5"/>
  <c r="AE146" i="5"/>
  <c r="AF146" i="5"/>
  <c r="AG146" i="5"/>
  <c r="AH146" i="5"/>
  <c r="AI146" i="5"/>
  <c r="AJ146" i="5"/>
  <c r="AL146" i="5"/>
  <c r="AN146" i="5"/>
  <c r="AO146" i="5"/>
  <c r="AP146" i="5"/>
  <c r="AQ146" i="5"/>
  <c r="AR146" i="5"/>
  <c r="AS146" i="5"/>
  <c r="AT146" i="5"/>
  <c r="AU146" i="5"/>
  <c r="AV146" i="5"/>
  <c r="AX146" i="5"/>
  <c r="AZ146" i="5"/>
  <c r="BA146" i="5"/>
  <c r="BB146" i="5"/>
  <c r="BC146" i="5"/>
  <c r="BD146" i="5"/>
  <c r="D147" i="5"/>
  <c r="E147" i="5"/>
  <c r="F147" i="5"/>
  <c r="H147" i="5"/>
  <c r="I147" i="5"/>
  <c r="J147" i="5"/>
  <c r="K147" i="5"/>
  <c r="L147" i="5"/>
  <c r="M147" i="5"/>
  <c r="N147" i="5"/>
  <c r="O147" i="5"/>
  <c r="P147" i="5"/>
  <c r="Q147" i="5"/>
  <c r="R147" i="5"/>
  <c r="T147" i="5"/>
  <c r="U147" i="5"/>
  <c r="W147" i="5"/>
  <c r="X147" i="5"/>
  <c r="Y147" i="5"/>
  <c r="Z147" i="5"/>
  <c r="AA147" i="5"/>
  <c r="AB147" i="5"/>
  <c r="AC147" i="5"/>
  <c r="AD147" i="5"/>
  <c r="AF147" i="5"/>
  <c r="AG147" i="5"/>
  <c r="AI147" i="5"/>
  <c r="AJ147" i="5"/>
  <c r="AK147" i="5"/>
  <c r="AL147" i="5"/>
  <c r="AM147" i="5"/>
  <c r="AN147" i="5"/>
  <c r="AO147" i="5"/>
  <c r="AP147" i="5"/>
  <c r="AR147" i="5"/>
  <c r="AS147" i="5"/>
  <c r="AU147" i="5"/>
  <c r="AV147" i="5"/>
  <c r="AW147" i="5"/>
  <c r="AX147" i="5"/>
  <c r="AY147" i="5"/>
  <c r="AZ147" i="5"/>
  <c r="BA147" i="5"/>
  <c r="BB147" i="5"/>
  <c r="BD147" i="5"/>
  <c r="D148" i="5"/>
  <c r="F148" i="5"/>
  <c r="G148" i="5"/>
  <c r="H148" i="5"/>
  <c r="I148" i="5"/>
  <c r="J148" i="5"/>
  <c r="K148" i="5"/>
  <c r="L148" i="5"/>
  <c r="N148" i="5"/>
  <c r="O148" i="5"/>
  <c r="P148" i="5"/>
  <c r="R148" i="5"/>
  <c r="S148" i="5"/>
  <c r="T148" i="5"/>
  <c r="U148" i="5"/>
  <c r="V148" i="5"/>
  <c r="W148" i="5"/>
  <c r="X148" i="5"/>
  <c r="Z148" i="5"/>
  <c r="AA148" i="5"/>
  <c r="AB148" i="5"/>
  <c r="AD148" i="5"/>
  <c r="AE148" i="5"/>
  <c r="AF148" i="5"/>
  <c r="AG148" i="5"/>
  <c r="AH148" i="5"/>
  <c r="AI148" i="5"/>
  <c r="AJ148" i="5"/>
  <c r="AL148" i="5"/>
  <c r="AM148" i="5"/>
  <c r="AN148" i="5"/>
  <c r="AP148" i="5"/>
  <c r="AQ148" i="5"/>
  <c r="AR148" i="5"/>
  <c r="AS148" i="5"/>
  <c r="AT148" i="5"/>
  <c r="AU148" i="5"/>
  <c r="AV148" i="5"/>
  <c r="AX148" i="5"/>
  <c r="AY148" i="5"/>
  <c r="AZ148" i="5"/>
  <c r="BB148" i="5"/>
  <c r="BC148" i="5"/>
  <c r="BD148" i="5"/>
  <c r="D149" i="5"/>
  <c r="E149" i="5"/>
  <c r="F149" i="5"/>
  <c r="H149" i="5"/>
  <c r="I149" i="5"/>
  <c r="J149" i="5"/>
  <c r="K149" i="5"/>
  <c r="M149" i="5"/>
  <c r="N149" i="5"/>
  <c r="O149" i="5"/>
  <c r="P149" i="5"/>
  <c r="Q149" i="5"/>
  <c r="R149" i="5"/>
  <c r="T149" i="5"/>
  <c r="U149" i="5"/>
  <c r="V149" i="5"/>
  <c r="W149" i="5"/>
  <c r="Y149" i="5"/>
  <c r="Z149" i="5"/>
  <c r="AA149" i="5"/>
  <c r="AB149" i="5"/>
  <c r="AC149" i="5"/>
  <c r="AD149" i="5"/>
  <c r="AF149" i="5"/>
  <c r="AG149" i="5"/>
  <c r="AH149" i="5"/>
  <c r="AI149" i="5"/>
  <c r="AK149" i="5"/>
  <c r="AL149" i="5"/>
  <c r="AM149" i="5"/>
  <c r="AN149" i="5"/>
  <c r="AO149" i="5"/>
  <c r="AP149" i="5"/>
  <c r="AR149" i="5"/>
  <c r="AS149" i="5"/>
  <c r="AT149" i="5"/>
  <c r="AU149" i="5"/>
  <c r="AV149" i="5"/>
  <c r="AW149" i="5"/>
  <c r="AX149" i="5"/>
  <c r="AY149" i="5"/>
  <c r="AZ149" i="5"/>
  <c r="BA149" i="5"/>
  <c r="BB149" i="5"/>
  <c r="BD149" i="5"/>
  <c r="D150" i="5"/>
  <c r="E150" i="5"/>
  <c r="F150" i="5"/>
  <c r="H150" i="5"/>
  <c r="I150" i="5"/>
  <c r="J150" i="5"/>
  <c r="K150" i="5"/>
  <c r="L150" i="5"/>
  <c r="N150" i="5"/>
  <c r="O150" i="5"/>
  <c r="P150" i="5"/>
  <c r="Q150" i="5"/>
  <c r="R150" i="5"/>
  <c r="T150" i="5"/>
  <c r="U150" i="5"/>
  <c r="V150" i="5"/>
  <c r="W150" i="5"/>
  <c r="X150" i="5"/>
  <c r="Z150" i="5"/>
  <c r="AA150" i="5"/>
  <c r="AB150" i="5"/>
  <c r="AC150" i="5"/>
  <c r="AD150" i="5"/>
  <c r="AF150" i="5"/>
  <c r="AG150" i="5"/>
  <c r="AH150" i="5"/>
  <c r="AI150" i="5"/>
  <c r="AJ150" i="5"/>
  <c r="AL150" i="5"/>
  <c r="AM150" i="5"/>
  <c r="AN150" i="5"/>
  <c r="AO150" i="5"/>
  <c r="AP150" i="5"/>
  <c r="AR150" i="5"/>
  <c r="AS150" i="5"/>
  <c r="AT150" i="5"/>
  <c r="AU150" i="5"/>
  <c r="AV150" i="5"/>
  <c r="AX150" i="5"/>
  <c r="AY150" i="5"/>
  <c r="AZ150" i="5"/>
  <c r="BA150" i="5"/>
  <c r="BB150" i="5"/>
  <c r="BD150" i="5"/>
  <c r="D151" i="5"/>
  <c r="E151" i="5"/>
  <c r="F151" i="5"/>
  <c r="H151" i="5"/>
  <c r="I151" i="5"/>
  <c r="J151" i="5"/>
  <c r="K151" i="5"/>
  <c r="L151" i="5"/>
  <c r="M151" i="5"/>
  <c r="O151" i="5"/>
  <c r="P151" i="5"/>
  <c r="Q151" i="5"/>
  <c r="R151" i="5"/>
  <c r="T151" i="5"/>
  <c r="U151" i="5"/>
  <c r="V151" i="5"/>
  <c r="W151" i="5"/>
  <c r="X151" i="5"/>
  <c r="Y151" i="5"/>
  <c r="AA151" i="5"/>
  <c r="AB151" i="5"/>
  <c r="AC151" i="5"/>
  <c r="AD151" i="5"/>
  <c r="AF151" i="5"/>
  <c r="AG151" i="5"/>
  <c r="AH151" i="5"/>
  <c r="AI151" i="5"/>
  <c r="AJ151" i="5"/>
  <c r="AK151" i="5"/>
  <c r="AM151" i="5"/>
  <c r="AN151" i="5"/>
  <c r="AO151" i="5"/>
  <c r="AP151" i="5"/>
  <c r="AR151" i="5"/>
  <c r="AS151" i="5"/>
  <c r="AT151" i="5"/>
  <c r="AU151" i="5"/>
  <c r="AV151" i="5"/>
  <c r="AW151" i="5"/>
  <c r="AY151" i="5"/>
  <c r="AZ151" i="5"/>
  <c r="BA151" i="5"/>
  <c r="BB151" i="5"/>
  <c r="BD151" i="5"/>
  <c r="D152" i="5"/>
  <c r="E152" i="5"/>
  <c r="F152" i="5"/>
  <c r="G152" i="5"/>
  <c r="H152" i="5"/>
  <c r="J152" i="5"/>
  <c r="K152" i="5"/>
  <c r="L152" i="5"/>
  <c r="M152" i="5"/>
  <c r="N152" i="5"/>
  <c r="O152" i="5"/>
  <c r="P152" i="5"/>
  <c r="Q152" i="5"/>
  <c r="R152" i="5"/>
  <c r="S152" i="5"/>
  <c r="T152" i="5"/>
  <c r="V152" i="5"/>
  <c r="W152" i="5"/>
  <c r="X152" i="5"/>
  <c r="Y152" i="5"/>
  <c r="Z152" i="5"/>
  <c r="AA152" i="5"/>
  <c r="AB152" i="5"/>
  <c r="AC152" i="5"/>
  <c r="AD152" i="5"/>
  <c r="AE152" i="5"/>
  <c r="AF152" i="5"/>
  <c r="AH152" i="5"/>
  <c r="AI152" i="5"/>
  <c r="AJ152" i="5"/>
  <c r="AK152" i="5"/>
  <c r="AL152" i="5"/>
  <c r="AM152" i="5"/>
  <c r="AN152" i="5"/>
  <c r="AO152" i="5"/>
  <c r="AP152" i="5"/>
  <c r="AQ152" i="5"/>
  <c r="AR152" i="5"/>
  <c r="AT152" i="5"/>
  <c r="AU152" i="5"/>
  <c r="AV152" i="5"/>
  <c r="AW152" i="5"/>
  <c r="AX152" i="5"/>
  <c r="AY152" i="5"/>
  <c r="AZ152" i="5"/>
  <c r="BA152" i="5"/>
  <c r="BB152" i="5"/>
  <c r="BC152" i="5"/>
  <c r="BD152" i="5"/>
  <c r="E153" i="5"/>
  <c r="F153" i="5"/>
  <c r="H153" i="5"/>
  <c r="I153" i="5"/>
  <c r="J153" i="5"/>
  <c r="K153" i="5"/>
  <c r="L153" i="5"/>
  <c r="M153" i="5"/>
  <c r="N153" i="5"/>
  <c r="O153" i="5"/>
  <c r="Q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F153" i="5"/>
  <c r="AG153" i="5"/>
  <c r="AH153" i="5"/>
  <c r="AI153" i="5"/>
  <c r="AJ153" i="5"/>
  <c r="AK153" i="5"/>
  <c r="AL153" i="5"/>
  <c r="AM153" i="5"/>
  <c r="AO153" i="5"/>
  <c r="AP153" i="5"/>
  <c r="AR153" i="5"/>
  <c r="AS153" i="5"/>
  <c r="AT153" i="5"/>
  <c r="AU153" i="5"/>
  <c r="AV153" i="5"/>
  <c r="AW153" i="5"/>
  <c r="AX153" i="5"/>
  <c r="AY153" i="5"/>
  <c r="BA153" i="5"/>
  <c r="BB153" i="5"/>
  <c r="BD153" i="5"/>
  <c r="D154" i="5"/>
  <c r="E154" i="5"/>
  <c r="F154" i="5"/>
  <c r="G154" i="5"/>
  <c r="H154" i="5"/>
  <c r="I154" i="5"/>
  <c r="J154" i="5"/>
  <c r="L154" i="5"/>
  <c r="N154" i="5"/>
  <c r="O154" i="5"/>
  <c r="P154" i="5"/>
  <c r="Q154" i="5"/>
  <c r="R154" i="5"/>
  <c r="S154" i="5"/>
  <c r="T154" i="5"/>
  <c r="U154" i="5"/>
  <c r="V154" i="5"/>
  <c r="X154" i="5"/>
  <c r="Z154" i="5"/>
  <c r="AA154" i="5"/>
  <c r="AB154" i="5"/>
  <c r="AC154" i="5"/>
  <c r="AD154" i="5"/>
  <c r="AE154" i="5"/>
  <c r="AF154" i="5"/>
  <c r="AG154" i="5"/>
  <c r="AH154" i="5"/>
  <c r="AJ154" i="5"/>
  <c r="AL154" i="5"/>
  <c r="AM154" i="5"/>
  <c r="AN154" i="5"/>
  <c r="AO154" i="5"/>
  <c r="AP154" i="5"/>
  <c r="AQ154" i="5"/>
  <c r="AR154" i="5"/>
  <c r="AS154" i="5"/>
  <c r="AT154" i="5"/>
  <c r="AV154" i="5"/>
  <c r="AX154" i="5"/>
  <c r="AY154" i="5"/>
  <c r="AZ154" i="5"/>
  <c r="BA154" i="5"/>
  <c r="BB154" i="5"/>
  <c r="BC154" i="5"/>
  <c r="BD154" i="5"/>
  <c r="D155" i="5"/>
  <c r="E155" i="5"/>
  <c r="H155" i="5"/>
  <c r="I155" i="5"/>
  <c r="J155" i="5"/>
  <c r="K155" i="5"/>
  <c r="L155" i="5"/>
  <c r="M155" i="5"/>
  <c r="N155" i="5"/>
  <c r="O155" i="5"/>
  <c r="P155" i="5"/>
  <c r="Q155" i="5"/>
  <c r="T155" i="5"/>
  <c r="U155" i="5"/>
  <c r="V155" i="5"/>
  <c r="W155" i="5"/>
  <c r="X155" i="5"/>
  <c r="Y155" i="5"/>
  <c r="Z155" i="5"/>
  <c r="AA155" i="5"/>
  <c r="AB155" i="5"/>
  <c r="AC155" i="5"/>
  <c r="AF155" i="5"/>
  <c r="AG155" i="5"/>
  <c r="AH155" i="5"/>
  <c r="AI155" i="5"/>
  <c r="AJ155" i="5"/>
  <c r="AK155" i="5"/>
  <c r="AL155" i="5"/>
  <c r="AM155" i="5"/>
  <c r="AN155" i="5"/>
  <c r="AO155" i="5"/>
  <c r="AR155" i="5"/>
  <c r="AS155" i="5"/>
  <c r="AT155" i="5"/>
  <c r="AU155" i="5"/>
  <c r="AV155" i="5"/>
  <c r="AW155" i="5"/>
  <c r="AX155" i="5"/>
  <c r="AY155" i="5"/>
  <c r="AZ155" i="5"/>
  <c r="BA155" i="5"/>
  <c r="BD155" i="5"/>
  <c r="D156" i="5"/>
  <c r="E156" i="5"/>
  <c r="F156" i="5"/>
  <c r="G156" i="5"/>
  <c r="H156" i="5"/>
  <c r="I156" i="5"/>
  <c r="J156" i="5"/>
  <c r="K156" i="5"/>
  <c r="L156" i="5"/>
  <c r="N156" i="5"/>
  <c r="O156" i="5"/>
  <c r="P156" i="5"/>
  <c r="Q156" i="5"/>
  <c r="R156" i="5"/>
  <c r="S156" i="5"/>
  <c r="T156" i="5"/>
  <c r="U156" i="5"/>
  <c r="V156" i="5"/>
  <c r="W156" i="5"/>
  <c r="X156" i="5"/>
  <c r="Z156" i="5"/>
  <c r="AA156" i="5"/>
  <c r="AB156" i="5"/>
  <c r="AC156" i="5"/>
  <c r="AD156" i="5"/>
  <c r="AE156" i="5"/>
  <c r="AF156" i="5"/>
  <c r="AG156" i="5"/>
  <c r="AH156" i="5"/>
  <c r="AI156" i="5"/>
  <c r="AJ156" i="5"/>
  <c r="AL156" i="5"/>
  <c r="AM156" i="5"/>
  <c r="AN156" i="5"/>
  <c r="AO156" i="5"/>
  <c r="AP156" i="5"/>
  <c r="AQ156" i="5"/>
  <c r="AR156" i="5"/>
  <c r="AS156" i="5"/>
  <c r="AT156" i="5"/>
  <c r="AU156" i="5"/>
  <c r="AV156" i="5"/>
  <c r="AX156" i="5"/>
  <c r="AY156" i="5"/>
  <c r="AZ156" i="5"/>
  <c r="BA156" i="5"/>
  <c r="BB156" i="5"/>
  <c r="BC156" i="5"/>
  <c r="BD156" i="5"/>
  <c r="D157" i="5"/>
  <c r="E157" i="5"/>
  <c r="F157" i="5"/>
  <c r="I157" i="5"/>
  <c r="J157" i="5"/>
  <c r="K157" i="5"/>
  <c r="L157" i="5"/>
  <c r="M157" i="5"/>
  <c r="N157" i="5"/>
  <c r="O157" i="5"/>
  <c r="P157" i="5"/>
  <c r="Q157" i="5"/>
  <c r="R157" i="5"/>
  <c r="U157" i="5"/>
  <c r="V157" i="5"/>
  <c r="W157" i="5"/>
  <c r="X157" i="5"/>
  <c r="Y157" i="5"/>
  <c r="Z157" i="5"/>
  <c r="AA157" i="5"/>
  <c r="AB157" i="5"/>
  <c r="AC157" i="5"/>
  <c r="AD157" i="5"/>
  <c r="AG157" i="5"/>
  <c r="AH157" i="5"/>
  <c r="AI157" i="5"/>
  <c r="AJ157" i="5"/>
  <c r="AK157" i="5"/>
  <c r="AL157" i="5"/>
  <c r="AM157" i="5"/>
  <c r="AN157" i="5"/>
  <c r="AO157" i="5"/>
  <c r="AP157" i="5"/>
  <c r="AS157" i="5"/>
  <c r="AT157" i="5"/>
  <c r="AU157" i="5"/>
  <c r="AV157" i="5"/>
  <c r="AW157" i="5"/>
  <c r="AX157" i="5"/>
  <c r="AY157" i="5"/>
  <c r="AZ157" i="5"/>
  <c r="BA157" i="5"/>
  <c r="BB157" i="5"/>
  <c r="D158" i="5"/>
  <c r="E158" i="5"/>
  <c r="F158" i="5"/>
  <c r="G158" i="5"/>
  <c r="H158" i="5"/>
  <c r="I158" i="5"/>
  <c r="J158" i="5"/>
  <c r="K158" i="5"/>
  <c r="L158" i="5"/>
  <c r="N158" i="5"/>
  <c r="P158" i="5"/>
  <c r="Q158" i="5"/>
  <c r="R158" i="5"/>
  <c r="S158" i="5"/>
  <c r="T158" i="5"/>
  <c r="U158" i="5"/>
  <c r="V158" i="5"/>
  <c r="W158" i="5"/>
  <c r="X158" i="5"/>
  <c r="Z158" i="5"/>
  <c r="AB158" i="5"/>
  <c r="AC158" i="5"/>
  <c r="AD158" i="5"/>
  <c r="AE158" i="5"/>
  <c r="AF158" i="5"/>
  <c r="AG158" i="5"/>
  <c r="AH158" i="5"/>
  <c r="AI158" i="5"/>
  <c r="AJ158" i="5"/>
  <c r="AL158" i="5"/>
  <c r="AM158" i="5"/>
  <c r="AN158" i="5"/>
  <c r="AO158" i="5"/>
  <c r="AP158" i="5"/>
  <c r="AQ158" i="5"/>
  <c r="AR158" i="5"/>
  <c r="AS158" i="5"/>
  <c r="AT158" i="5"/>
  <c r="AU158" i="5"/>
  <c r="AV158" i="5"/>
  <c r="AX158" i="5"/>
  <c r="AZ158" i="5"/>
  <c r="BA158" i="5"/>
  <c r="BB158" i="5"/>
  <c r="BC158" i="5"/>
  <c r="BD158" i="5"/>
  <c r="D159" i="5"/>
  <c r="E159" i="5"/>
  <c r="F159" i="5"/>
  <c r="H159" i="5"/>
  <c r="I159" i="5"/>
  <c r="K159" i="5"/>
  <c r="L159" i="5"/>
  <c r="M159" i="5"/>
  <c r="N159" i="5"/>
  <c r="O159" i="5"/>
  <c r="P159" i="5"/>
  <c r="Q159" i="5"/>
  <c r="R159" i="5"/>
  <c r="T159" i="5"/>
  <c r="U159" i="5"/>
  <c r="W159" i="5"/>
  <c r="X159" i="5"/>
  <c r="Y159" i="5"/>
  <c r="Z159" i="5"/>
  <c r="AA159" i="5"/>
  <c r="AB159" i="5"/>
  <c r="AC159" i="5"/>
  <c r="AD159" i="5"/>
  <c r="AF159" i="5"/>
  <c r="AG159" i="5"/>
  <c r="AI159" i="5"/>
  <c r="AJ159" i="5"/>
  <c r="AK159" i="5"/>
  <c r="AL159" i="5"/>
  <c r="AM159" i="5"/>
  <c r="AN159" i="5"/>
  <c r="AO159" i="5"/>
  <c r="AP159" i="5"/>
  <c r="AR159" i="5"/>
  <c r="AS159" i="5"/>
  <c r="AU159" i="5"/>
  <c r="AV159" i="5"/>
  <c r="AW159" i="5"/>
  <c r="AX159" i="5"/>
  <c r="AY159" i="5"/>
  <c r="AZ159" i="5"/>
  <c r="BA159" i="5"/>
  <c r="BB159" i="5"/>
  <c r="BD159" i="5"/>
  <c r="D160" i="5"/>
  <c r="F160" i="5"/>
  <c r="G160" i="5"/>
  <c r="H160" i="5"/>
  <c r="I160" i="5"/>
  <c r="J160" i="5"/>
  <c r="K160" i="5"/>
  <c r="L160" i="5"/>
  <c r="N160" i="5"/>
  <c r="O160" i="5"/>
  <c r="P160" i="5"/>
  <c r="R160" i="5"/>
  <c r="S160" i="5"/>
  <c r="T160" i="5"/>
  <c r="U160" i="5"/>
  <c r="V160" i="5"/>
  <c r="W160" i="5"/>
  <c r="X160" i="5"/>
  <c r="Z160" i="5"/>
  <c r="AA160" i="5"/>
  <c r="AB160" i="5"/>
  <c r="AD160" i="5"/>
  <c r="AE160" i="5"/>
  <c r="AF160" i="5"/>
  <c r="AG160" i="5"/>
  <c r="AH160" i="5"/>
  <c r="AI160" i="5"/>
  <c r="AJ160" i="5"/>
  <c r="AL160" i="5"/>
  <c r="AM160" i="5"/>
  <c r="AN160" i="5"/>
  <c r="AP160" i="5"/>
  <c r="AQ160" i="5"/>
  <c r="AR160" i="5"/>
  <c r="AS160" i="5"/>
  <c r="AT160" i="5"/>
  <c r="AU160" i="5"/>
  <c r="AV160" i="5"/>
  <c r="AX160" i="5"/>
  <c r="AY160" i="5"/>
  <c r="AZ160" i="5"/>
  <c r="BB160" i="5"/>
  <c r="BC160" i="5"/>
  <c r="BD160" i="5"/>
  <c r="D161" i="5"/>
  <c r="E161" i="5"/>
  <c r="F161" i="5"/>
  <c r="H161" i="5"/>
  <c r="I161" i="5"/>
  <c r="J161" i="5"/>
  <c r="K161" i="5"/>
  <c r="M161" i="5"/>
  <c r="N161" i="5"/>
  <c r="O161" i="5"/>
  <c r="P161" i="5"/>
  <c r="Q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F161" i="5"/>
  <c r="AG161" i="5"/>
  <c r="AH161" i="5"/>
  <c r="AI161" i="5"/>
  <c r="AK161" i="5"/>
  <c r="AL161" i="5"/>
  <c r="AM161" i="5"/>
  <c r="AN161" i="5"/>
  <c r="AO161" i="5"/>
  <c r="AP161" i="5"/>
  <c r="AR161" i="5"/>
  <c r="AS161" i="5"/>
  <c r="AT161" i="5"/>
  <c r="AU161" i="5"/>
  <c r="AW161" i="5"/>
  <c r="AX161" i="5"/>
  <c r="AY161" i="5"/>
  <c r="AZ161" i="5"/>
  <c r="BA161" i="5"/>
  <c r="BB161" i="5"/>
  <c r="BD161" i="5"/>
  <c r="D162" i="5"/>
  <c r="E162" i="5"/>
  <c r="F162" i="5"/>
  <c r="H162" i="5"/>
  <c r="I162" i="5"/>
  <c r="J162" i="5"/>
  <c r="K162" i="5"/>
  <c r="L162" i="5"/>
  <c r="N162" i="5"/>
  <c r="O162" i="5"/>
  <c r="P162" i="5"/>
  <c r="Q162" i="5"/>
  <c r="R162" i="5"/>
  <c r="T162" i="5"/>
  <c r="U162" i="5"/>
  <c r="V162" i="5"/>
  <c r="W162" i="5"/>
  <c r="X162" i="5"/>
  <c r="Z162" i="5"/>
  <c r="AA162" i="5"/>
  <c r="AB162" i="5"/>
  <c r="AC162" i="5"/>
  <c r="AD162" i="5"/>
  <c r="AF162" i="5"/>
  <c r="AG162" i="5"/>
  <c r="AH162" i="5"/>
  <c r="AI162" i="5"/>
  <c r="AJ162" i="5"/>
  <c r="AL162" i="5"/>
  <c r="AM162" i="5"/>
  <c r="AN162" i="5"/>
  <c r="AO162" i="5"/>
  <c r="AP162" i="5"/>
  <c r="AR162" i="5"/>
  <c r="AS162" i="5"/>
  <c r="AT162" i="5"/>
  <c r="AU162" i="5"/>
  <c r="AV162" i="5"/>
  <c r="AX162" i="5"/>
  <c r="AY162" i="5"/>
  <c r="AZ162" i="5"/>
  <c r="BA162" i="5"/>
  <c r="BB162" i="5"/>
  <c r="BD162" i="5"/>
  <c r="D163" i="5"/>
  <c r="E163" i="5"/>
  <c r="F163" i="5"/>
  <c r="H163" i="5"/>
  <c r="I163" i="5"/>
  <c r="J163" i="5"/>
  <c r="K163" i="5"/>
  <c r="L163" i="5"/>
  <c r="M163" i="5"/>
  <c r="O163" i="5"/>
  <c r="P163" i="5"/>
  <c r="Q163" i="5"/>
  <c r="R163" i="5"/>
  <c r="T163" i="5"/>
  <c r="U163" i="5"/>
  <c r="V163" i="5"/>
  <c r="W163" i="5"/>
  <c r="X163" i="5"/>
  <c r="Y163" i="5"/>
  <c r="AA163" i="5"/>
  <c r="AB163" i="5"/>
  <c r="AC163" i="5"/>
  <c r="AD163" i="5"/>
  <c r="AF163" i="5"/>
  <c r="AG163" i="5"/>
  <c r="AH163" i="5"/>
  <c r="AI163" i="5"/>
  <c r="AJ163" i="5"/>
  <c r="AK163" i="5"/>
  <c r="AM163" i="5"/>
  <c r="AN163" i="5"/>
  <c r="AO163" i="5"/>
  <c r="AP163" i="5"/>
  <c r="AR163" i="5"/>
  <c r="AS163" i="5"/>
  <c r="AT163" i="5"/>
  <c r="AU163" i="5"/>
  <c r="AV163" i="5"/>
  <c r="AW163" i="5"/>
  <c r="AY163" i="5"/>
  <c r="AZ163" i="5"/>
  <c r="BA163" i="5"/>
  <c r="BB163" i="5"/>
  <c r="BD163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D165" i="5"/>
  <c r="E165" i="5"/>
  <c r="F165" i="5"/>
  <c r="H165" i="5"/>
  <c r="I165" i="5"/>
  <c r="J165" i="5"/>
  <c r="K165" i="5"/>
  <c r="L165" i="5"/>
  <c r="M165" i="5"/>
  <c r="O165" i="5"/>
  <c r="Q165" i="5"/>
  <c r="R165" i="5"/>
  <c r="T165" i="5"/>
  <c r="U165" i="5"/>
  <c r="V165" i="5"/>
  <c r="W165" i="5"/>
  <c r="X165" i="5"/>
  <c r="Y165" i="5"/>
  <c r="AA165" i="5"/>
  <c r="AC165" i="5"/>
  <c r="AD165" i="5"/>
  <c r="AF165" i="5"/>
  <c r="AG165" i="5"/>
  <c r="AH165" i="5"/>
  <c r="AI165" i="5"/>
  <c r="AJ165" i="5"/>
  <c r="AK165" i="5"/>
  <c r="AM165" i="5"/>
  <c r="AO165" i="5"/>
  <c r="AP165" i="5"/>
  <c r="AR165" i="5"/>
  <c r="AS165" i="5"/>
  <c r="AT165" i="5"/>
  <c r="AU165" i="5"/>
  <c r="AV165" i="5"/>
  <c r="AW165" i="5"/>
  <c r="AY165" i="5"/>
  <c r="BA165" i="5"/>
  <c r="BB165" i="5"/>
  <c r="BD165" i="5"/>
  <c r="D166" i="5"/>
  <c r="E166" i="5"/>
  <c r="F166" i="5"/>
  <c r="G166" i="5"/>
  <c r="I166" i="5"/>
  <c r="J166" i="5"/>
  <c r="L166" i="5"/>
  <c r="N166" i="5"/>
  <c r="O166" i="5"/>
  <c r="P166" i="5"/>
  <c r="Q166" i="5"/>
  <c r="R166" i="5"/>
  <c r="S166" i="5"/>
  <c r="U166" i="5"/>
  <c r="V166" i="5"/>
  <c r="W166" i="5"/>
  <c r="X166" i="5"/>
  <c r="Z166" i="5"/>
  <c r="AA166" i="5"/>
  <c r="AB166" i="5"/>
  <c r="AC166" i="5"/>
  <c r="AD166" i="5"/>
  <c r="AE166" i="5"/>
  <c r="AG166" i="5"/>
  <c r="AH166" i="5"/>
  <c r="AJ166" i="5"/>
  <c r="AL166" i="5"/>
  <c r="AM166" i="5"/>
  <c r="AN166" i="5"/>
  <c r="AO166" i="5"/>
  <c r="AP166" i="5"/>
  <c r="AQ166" i="5"/>
  <c r="AS166" i="5"/>
  <c r="AT166" i="5"/>
  <c r="AV166" i="5"/>
  <c r="AX166" i="5"/>
  <c r="AY166" i="5"/>
  <c r="AZ166" i="5"/>
  <c r="BA166" i="5"/>
  <c r="BB166" i="5"/>
  <c r="BC166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BD111" i="5"/>
  <c r="BB111" i="5"/>
  <c r="AU111" i="5"/>
  <c r="AR111" i="5"/>
  <c r="AQ111" i="5"/>
  <c r="AP111" i="5"/>
  <c r="AM111" i="5"/>
  <c r="AI111" i="5"/>
  <c r="AG111" i="5"/>
  <c r="AF111" i="5"/>
  <c r="AE111" i="5"/>
  <c r="AD111" i="5"/>
  <c r="AC111" i="5"/>
  <c r="AA111" i="5"/>
  <c r="W111" i="5"/>
  <c r="T111" i="5"/>
  <c r="S111" i="5"/>
  <c r="R111" i="5"/>
  <c r="Q111" i="5"/>
  <c r="O111" i="5"/>
  <c r="K111" i="5"/>
  <c r="F111" i="5"/>
  <c r="BD110" i="5"/>
  <c r="BA110" i="5"/>
  <c r="AY110" i="5"/>
  <c r="AW110" i="5"/>
  <c r="AU110" i="5"/>
  <c r="AT110" i="5"/>
  <c r="AR110" i="5"/>
  <c r="AP110" i="5"/>
  <c r="AO110" i="5"/>
  <c r="AM110" i="5"/>
  <c r="AL110" i="5"/>
  <c r="AK110" i="5"/>
  <c r="AI110" i="5"/>
  <c r="AH110" i="5"/>
  <c r="AF110" i="5"/>
  <c r="AC110" i="5"/>
  <c r="AA110" i="5"/>
  <c r="Z110" i="5"/>
  <c r="Y110" i="5"/>
  <c r="X110" i="5"/>
  <c r="W110" i="5"/>
  <c r="V110" i="5"/>
  <c r="T110" i="5"/>
  <c r="Q110" i="5"/>
  <c r="O110" i="5"/>
  <c r="M110" i="5"/>
  <c r="L110" i="5"/>
  <c r="H110" i="5"/>
  <c r="G110" i="5"/>
  <c r="BD109" i="5"/>
  <c r="BA109" i="5"/>
  <c r="AZ109" i="5"/>
  <c r="AY109" i="5"/>
  <c r="AT109" i="5"/>
  <c r="AS109" i="5"/>
  <c r="AR109" i="5"/>
  <c r="AO109" i="5"/>
  <c r="AN109" i="5"/>
  <c r="AM109" i="5"/>
  <c r="AH109" i="5"/>
  <c r="AG109" i="5"/>
  <c r="AF109" i="5"/>
  <c r="AC109" i="5"/>
  <c r="AB109" i="5"/>
  <c r="AA109" i="5"/>
  <c r="Z109" i="5"/>
  <c r="V109" i="5"/>
  <c r="U109" i="5"/>
  <c r="T109" i="5"/>
  <c r="S109" i="5"/>
  <c r="Q109" i="5"/>
  <c r="P109" i="5"/>
  <c r="O109" i="5"/>
  <c r="K109" i="5"/>
  <c r="J109" i="5"/>
  <c r="G109" i="5"/>
  <c r="F109" i="5"/>
  <c r="E109" i="5"/>
  <c r="D109" i="5"/>
  <c r="BD108" i="5"/>
  <c r="BB108" i="5"/>
  <c r="AY108" i="5"/>
  <c r="AX108" i="5"/>
  <c r="AW108" i="5"/>
  <c r="AV108" i="5"/>
  <c r="AU108" i="5"/>
  <c r="AT108" i="5"/>
  <c r="AR108" i="5"/>
  <c r="AP108" i="5"/>
  <c r="AM108" i="5"/>
  <c r="AL108" i="5"/>
  <c r="AK108" i="5"/>
  <c r="AJ108" i="5"/>
  <c r="AI108" i="5"/>
  <c r="AH108" i="5"/>
  <c r="AF108" i="5"/>
  <c r="AD108" i="5"/>
  <c r="AA108" i="5"/>
  <c r="Z108" i="5"/>
  <c r="Y108" i="5"/>
  <c r="X108" i="5"/>
  <c r="W108" i="5"/>
  <c r="V108" i="5"/>
  <c r="T108" i="5"/>
  <c r="R108" i="5"/>
  <c r="Q108" i="5"/>
  <c r="O108" i="5"/>
  <c r="N108" i="5"/>
  <c r="L108" i="5"/>
  <c r="K108" i="5"/>
  <c r="J108" i="5"/>
  <c r="I108" i="5"/>
  <c r="H108" i="5"/>
  <c r="F108" i="5"/>
  <c r="E108" i="5"/>
  <c r="BD107" i="5"/>
  <c r="BC107" i="5"/>
  <c r="BB107" i="5"/>
  <c r="BA107" i="5"/>
  <c r="AZ107" i="5"/>
  <c r="AY107" i="5"/>
  <c r="AX107" i="5"/>
  <c r="AU107" i="5"/>
  <c r="AR107" i="5"/>
  <c r="AQ107" i="5"/>
  <c r="AP107" i="5"/>
  <c r="AO107" i="5"/>
  <c r="AN107" i="5"/>
  <c r="AM107" i="5"/>
  <c r="AL107" i="5"/>
  <c r="AI107" i="5"/>
  <c r="AF107" i="5"/>
  <c r="AE107" i="5"/>
  <c r="AD107" i="5"/>
  <c r="AC107" i="5"/>
  <c r="AB107" i="5"/>
  <c r="AA107" i="5"/>
  <c r="Z107" i="5"/>
  <c r="W107" i="5"/>
  <c r="T107" i="5"/>
  <c r="S107" i="5"/>
  <c r="R107" i="5"/>
  <c r="Q107" i="5"/>
  <c r="P107" i="5"/>
  <c r="O107" i="5"/>
  <c r="N107" i="5"/>
  <c r="K107" i="5"/>
  <c r="H107" i="5"/>
  <c r="G107" i="5"/>
  <c r="F107" i="5"/>
  <c r="BD106" i="5"/>
  <c r="BB106" i="5"/>
  <c r="AZ106" i="5"/>
  <c r="AX106" i="5"/>
  <c r="AW106" i="5"/>
  <c r="AV106" i="5"/>
  <c r="AU106" i="5"/>
  <c r="AT106" i="5"/>
  <c r="AS106" i="5"/>
  <c r="AP106" i="5"/>
  <c r="AK106" i="5"/>
  <c r="AJ106" i="5"/>
  <c r="AI106" i="5"/>
  <c r="AH106" i="5"/>
  <c r="AG106" i="5"/>
  <c r="AF106" i="5"/>
  <c r="AD106" i="5"/>
  <c r="Y106" i="5"/>
  <c r="X106" i="5"/>
  <c r="W106" i="5"/>
  <c r="V106" i="5"/>
  <c r="U106" i="5"/>
  <c r="T106" i="5"/>
  <c r="R106" i="5"/>
  <c r="M106" i="5"/>
  <c r="K106" i="5"/>
  <c r="J106" i="5"/>
  <c r="I106" i="5"/>
  <c r="H106" i="5"/>
  <c r="F106" i="5"/>
  <c r="D106" i="5"/>
  <c r="BD105" i="5"/>
  <c r="BB105" i="5"/>
  <c r="BA105" i="5"/>
  <c r="AZ105" i="5"/>
  <c r="AY105" i="5"/>
  <c r="AX105" i="5"/>
  <c r="AV105" i="5"/>
  <c r="AU105" i="5"/>
  <c r="AS105" i="5"/>
  <c r="AQ105" i="5"/>
  <c r="AP105" i="5"/>
  <c r="AO105" i="5"/>
  <c r="AN105" i="5"/>
  <c r="AM105" i="5"/>
  <c r="AL105" i="5"/>
  <c r="AJ105" i="5"/>
  <c r="AI105" i="5"/>
  <c r="AG105" i="5"/>
  <c r="AF105" i="5"/>
  <c r="AD105" i="5"/>
  <c r="AC105" i="5"/>
  <c r="AB105" i="5"/>
  <c r="AA105" i="5"/>
  <c r="Z105" i="5"/>
  <c r="X105" i="5"/>
  <c r="W105" i="5"/>
  <c r="U105" i="5"/>
  <c r="S105" i="5"/>
  <c r="R105" i="5"/>
  <c r="Q105" i="5"/>
  <c r="P105" i="5"/>
  <c r="O105" i="5"/>
  <c r="N105" i="5"/>
  <c r="I105" i="5"/>
  <c r="F105" i="5"/>
  <c r="E105" i="5"/>
  <c r="D105" i="5"/>
  <c r="BD104" i="5"/>
  <c r="BB104" i="5"/>
  <c r="BA104" i="5"/>
  <c r="AZ104" i="5"/>
  <c r="AX104" i="5"/>
  <c r="AU104" i="5"/>
  <c r="AT104" i="5"/>
  <c r="AS104" i="5"/>
  <c r="AR104" i="5"/>
  <c r="AP104" i="5"/>
  <c r="AO104" i="5"/>
  <c r="AN104" i="5"/>
  <c r="AL104" i="5"/>
  <c r="AI104" i="5"/>
  <c r="AH104" i="5"/>
  <c r="AG104" i="5"/>
  <c r="AF104" i="5"/>
  <c r="AD104" i="5"/>
  <c r="AC104" i="5"/>
  <c r="AB104" i="5"/>
  <c r="AA104" i="5"/>
  <c r="Z104" i="5"/>
  <c r="W104" i="5"/>
  <c r="V104" i="5"/>
  <c r="U104" i="5"/>
  <c r="T104" i="5"/>
  <c r="R104" i="5"/>
  <c r="Q104" i="5"/>
  <c r="P104" i="5"/>
  <c r="N104" i="5"/>
  <c r="I104" i="5"/>
  <c r="H104" i="5"/>
  <c r="F104" i="5"/>
  <c r="E104" i="5"/>
  <c r="D104" i="5"/>
  <c r="BC103" i="5"/>
  <c r="BB103" i="5"/>
  <c r="AZ103" i="5"/>
  <c r="AY103" i="5"/>
  <c r="AX103" i="5"/>
  <c r="AV103" i="5"/>
  <c r="AU103" i="5"/>
  <c r="AS103" i="5"/>
  <c r="AQ103" i="5"/>
  <c r="AO103" i="5"/>
  <c r="AN103" i="5"/>
  <c r="AM103" i="5"/>
  <c r="AL103" i="5"/>
  <c r="AJ103" i="5"/>
  <c r="AI103" i="5"/>
  <c r="AG103" i="5"/>
  <c r="AE103" i="5"/>
  <c r="AB103" i="5"/>
  <c r="AA103" i="5"/>
  <c r="Z103" i="5"/>
  <c r="X103" i="5"/>
  <c r="W103" i="5"/>
  <c r="U103" i="5"/>
  <c r="S103" i="5"/>
  <c r="P103" i="5"/>
  <c r="O103" i="5"/>
  <c r="N103" i="5"/>
  <c r="L103" i="5"/>
  <c r="K103" i="5"/>
  <c r="G103" i="5"/>
  <c r="F103" i="5"/>
  <c r="D103" i="5"/>
  <c r="BD102" i="5"/>
  <c r="BB102" i="5"/>
  <c r="BA102" i="5"/>
  <c r="AY102" i="5"/>
  <c r="AX102" i="5"/>
  <c r="AV102" i="5"/>
  <c r="AU102" i="5"/>
  <c r="AS102" i="5"/>
  <c r="AR102" i="5"/>
  <c r="AP102" i="5"/>
  <c r="AO102" i="5"/>
  <c r="AN102" i="5"/>
  <c r="AM102" i="5"/>
  <c r="AL102" i="5"/>
  <c r="AJ102" i="5"/>
  <c r="AH102" i="5"/>
  <c r="AG102" i="5"/>
  <c r="AF102" i="5"/>
  <c r="AD102" i="5"/>
  <c r="AC102" i="5"/>
  <c r="AB102" i="5"/>
  <c r="AA102" i="5"/>
  <c r="Z102" i="5"/>
  <c r="X102" i="5"/>
  <c r="V102" i="5"/>
  <c r="U102" i="5"/>
  <c r="T102" i="5"/>
  <c r="R102" i="5"/>
  <c r="Q102" i="5"/>
  <c r="P102" i="5"/>
  <c r="O102" i="5"/>
  <c r="N102" i="5"/>
  <c r="L102" i="5"/>
  <c r="I102" i="5"/>
  <c r="F102" i="5"/>
  <c r="E102" i="5"/>
  <c r="D102" i="5"/>
  <c r="BD101" i="5"/>
  <c r="BC101" i="5"/>
  <c r="BA101" i="5"/>
  <c r="AX101" i="5"/>
  <c r="AV101" i="5"/>
  <c r="AU101" i="5"/>
  <c r="AS101" i="5"/>
  <c r="AR101" i="5"/>
  <c r="AQ101" i="5"/>
  <c r="AO101" i="5"/>
  <c r="AL101" i="5"/>
  <c r="AJ101" i="5"/>
  <c r="AI101" i="5"/>
  <c r="AG101" i="5"/>
  <c r="AF101" i="5"/>
  <c r="AE101" i="5"/>
  <c r="AC101" i="5"/>
  <c r="Z101" i="5"/>
  <c r="X101" i="5"/>
  <c r="W101" i="5"/>
  <c r="U101" i="5"/>
  <c r="T101" i="5"/>
  <c r="S101" i="5"/>
  <c r="Q101" i="5"/>
  <c r="O101" i="5"/>
  <c r="N101" i="5"/>
  <c r="L101" i="5"/>
  <c r="K101" i="5"/>
  <c r="I101" i="5"/>
  <c r="H101" i="5"/>
  <c r="BB100" i="5"/>
  <c r="BA100" i="5"/>
  <c r="AZ100" i="5"/>
  <c r="AY100" i="5"/>
  <c r="AX100" i="5"/>
  <c r="AW100" i="5"/>
  <c r="AV100" i="5"/>
  <c r="AT100" i="5"/>
  <c r="AP100" i="5"/>
  <c r="AO100" i="5"/>
  <c r="AN100" i="5"/>
  <c r="AM100" i="5"/>
  <c r="AL100" i="5"/>
  <c r="AK100" i="5"/>
  <c r="AJ100" i="5"/>
  <c r="AH100" i="5"/>
  <c r="AD100" i="5"/>
  <c r="AC100" i="5"/>
  <c r="AB100" i="5"/>
  <c r="AA100" i="5"/>
  <c r="Z100" i="5"/>
  <c r="Y100" i="5"/>
  <c r="X100" i="5"/>
  <c r="V100" i="5"/>
  <c r="R100" i="5"/>
  <c r="Q100" i="5"/>
  <c r="P100" i="5"/>
  <c r="O100" i="5"/>
  <c r="N100" i="5"/>
  <c r="M100" i="5"/>
  <c r="L100" i="5"/>
  <c r="K100" i="5"/>
  <c r="J100" i="5"/>
  <c r="E100" i="5"/>
  <c r="D100" i="5"/>
  <c r="BD99" i="5"/>
  <c r="BC99" i="5"/>
  <c r="BB99" i="5"/>
  <c r="BA99" i="5"/>
  <c r="AY99" i="5"/>
  <c r="AX99" i="5"/>
  <c r="AV99" i="5"/>
  <c r="AU99" i="5"/>
  <c r="AT99" i="5"/>
  <c r="AS99" i="5"/>
  <c r="AR99" i="5"/>
  <c r="AQ99" i="5"/>
  <c r="AP99" i="5"/>
  <c r="AO99" i="5"/>
  <c r="AM99" i="5"/>
  <c r="AJ99" i="5"/>
  <c r="AI99" i="5"/>
  <c r="AH99" i="5"/>
  <c r="AG99" i="5"/>
  <c r="AF99" i="5"/>
  <c r="AE99" i="5"/>
  <c r="AD99" i="5"/>
  <c r="AC99" i="5"/>
  <c r="AA99" i="5"/>
  <c r="Z99" i="5"/>
  <c r="X99" i="5"/>
  <c r="W99" i="5"/>
  <c r="V99" i="5"/>
  <c r="U99" i="5"/>
  <c r="T99" i="5"/>
  <c r="S99" i="5"/>
  <c r="R99" i="5"/>
  <c r="Q99" i="5"/>
  <c r="O99" i="5"/>
  <c r="K99" i="5"/>
  <c r="J99" i="5"/>
  <c r="I99" i="5"/>
  <c r="H99" i="5"/>
  <c r="G99" i="5"/>
  <c r="F99" i="5"/>
  <c r="BD98" i="5"/>
  <c r="BA98" i="5"/>
  <c r="AZ98" i="5"/>
  <c r="AY98" i="5"/>
  <c r="AX98" i="5"/>
  <c r="AW98" i="5"/>
  <c r="AV98" i="5"/>
  <c r="AU98" i="5"/>
  <c r="AT98" i="5"/>
  <c r="AR98" i="5"/>
  <c r="AO98" i="5"/>
  <c r="AN98" i="5"/>
  <c r="AM98" i="5"/>
  <c r="AL98" i="5"/>
  <c r="AK98" i="5"/>
  <c r="AJ98" i="5"/>
  <c r="AI98" i="5"/>
  <c r="AH98" i="5"/>
  <c r="AF98" i="5"/>
  <c r="AC98" i="5"/>
  <c r="AB98" i="5"/>
  <c r="AA98" i="5"/>
  <c r="Z98" i="5"/>
  <c r="Y98" i="5"/>
  <c r="X98" i="5"/>
  <c r="W98" i="5"/>
  <c r="V98" i="5"/>
  <c r="T98" i="5"/>
  <c r="Q98" i="5"/>
  <c r="P98" i="5"/>
  <c r="O98" i="5"/>
  <c r="N98" i="5"/>
  <c r="M98" i="5"/>
  <c r="L98" i="5"/>
  <c r="J98" i="5"/>
  <c r="H98" i="5"/>
  <c r="E98" i="5"/>
  <c r="BD97" i="5"/>
  <c r="BC97" i="5"/>
  <c r="BB97" i="5"/>
  <c r="BA97" i="5"/>
  <c r="AZ97" i="5"/>
  <c r="AY97" i="5"/>
  <c r="AV97" i="5"/>
  <c r="AT97" i="5"/>
  <c r="AS97" i="5"/>
  <c r="AR97" i="5"/>
  <c r="AQ97" i="5"/>
  <c r="AP97" i="5"/>
  <c r="AO97" i="5"/>
  <c r="AN97" i="5"/>
  <c r="AM97" i="5"/>
  <c r="AI97" i="5"/>
  <c r="AH97" i="5"/>
  <c r="AG97" i="5"/>
  <c r="AF97" i="5"/>
  <c r="AE97" i="5"/>
  <c r="AD97" i="5"/>
  <c r="AC97" i="5"/>
  <c r="AB97" i="5"/>
  <c r="AA97" i="5"/>
  <c r="W97" i="5"/>
  <c r="V97" i="5"/>
  <c r="U97" i="5"/>
  <c r="T97" i="5"/>
  <c r="S97" i="5"/>
  <c r="R97" i="5"/>
  <c r="Q97" i="5"/>
  <c r="P97" i="5"/>
  <c r="O97" i="5"/>
  <c r="J97" i="5"/>
  <c r="G97" i="5"/>
  <c r="F97" i="5"/>
  <c r="E97" i="5"/>
  <c r="D97" i="5"/>
  <c r="BD96" i="5"/>
  <c r="BB96" i="5"/>
  <c r="AY96" i="5"/>
  <c r="AX96" i="5"/>
  <c r="AW96" i="5"/>
  <c r="AV96" i="5"/>
  <c r="AU96" i="5"/>
  <c r="AT96" i="5"/>
  <c r="AS96" i="5"/>
  <c r="AR96" i="5"/>
  <c r="AP96" i="5"/>
  <c r="AM96" i="5"/>
  <c r="AL96" i="5"/>
  <c r="AK96" i="5"/>
  <c r="AJ96" i="5"/>
  <c r="AI96" i="5"/>
  <c r="AH96" i="5"/>
  <c r="AG96" i="5"/>
  <c r="AF96" i="5"/>
  <c r="AD96" i="5"/>
  <c r="AA96" i="5"/>
  <c r="Z96" i="5"/>
  <c r="Y96" i="5"/>
  <c r="X96" i="5"/>
  <c r="W96" i="5"/>
  <c r="V96" i="5"/>
  <c r="U96" i="5"/>
  <c r="T96" i="5"/>
  <c r="R96" i="5"/>
  <c r="O96" i="5"/>
  <c r="N96" i="5"/>
  <c r="M96" i="5"/>
  <c r="L96" i="5"/>
  <c r="K96" i="5"/>
  <c r="J96" i="5"/>
  <c r="I96" i="5"/>
  <c r="H96" i="5"/>
  <c r="D96" i="5"/>
  <c r="BD95" i="5"/>
  <c r="BC95" i="5"/>
  <c r="BB95" i="5"/>
  <c r="BA95" i="5"/>
  <c r="AZ95" i="5"/>
  <c r="AY95" i="5"/>
  <c r="AX95" i="5"/>
  <c r="AW95" i="5"/>
  <c r="AU95" i="5"/>
  <c r="AS95" i="5"/>
  <c r="AR95" i="5"/>
  <c r="AQ95" i="5"/>
  <c r="AP95" i="5"/>
  <c r="AO95" i="5"/>
  <c r="AN95" i="5"/>
  <c r="AM95" i="5"/>
  <c r="AL95" i="5"/>
  <c r="AK95" i="5"/>
  <c r="AI95" i="5"/>
  <c r="AG95" i="5"/>
  <c r="AF95" i="5"/>
  <c r="AE95" i="5"/>
  <c r="AD95" i="5"/>
  <c r="AC95" i="5"/>
  <c r="AB95" i="5"/>
  <c r="AA95" i="5"/>
  <c r="Z95" i="5"/>
  <c r="Y95" i="5"/>
  <c r="W95" i="5"/>
  <c r="U95" i="5"/>
  <c r="T95" i="5"/>
  <c r="S95" i="5"/>
  <c r="R95" i="5"/>
  <c r="Q95" i="5"/>
  <c r="P95" i="5"/>
  <c r="O95" i="5"/>
  <c r="N95" i="5"/>
  <c r="K95" i="5"/>
  <c r="J95" i="5"/>
  <c r="H95" i="5"/>
  <c r="G95" i="5"/>
  <c r="F95" i="5"/>
  <c r="BD94" i="5"/>
  <c r="BB94" i="5"/>
  <c r="AZ94" i="5"/>
  <c r="AW94" i="5"/>
  <c r="AV94" i="5"/>
  <c r="AU94" i="5"/>
  <c r="AT94" i="5"/>
  <c r="AS94" i="5"/>
  <c r="AR94" i="5"/>
  <c r="AP94" i="5"/>
  <c r="AN94" i="5"/>
  <c r="AK94" i="5"/>
  <c r="AJ94" i="5"/>
  <c r="AI94" i="5"/>
  <c r="AH94" i="5"/>
  <c r="AG94" i="5"/>
  <c r="AF94" i="5"/>
  <c r="AD94" i="5"/>
  <c r="AB94" i="5"/>
  <c r="Y94" i="5"/>
  <c r="X94" i="5"/>
  <c r="W94" i="5"/>
  <c r="V94" i="5"/>
  <c r="U94" i="5"/>
  <c r="T94" i="5"/>
  <c r="R94" i="5"/>
  <c r="P94" i="5"/>
  <c r="M94" i="5"/>
  <c r="K94" i="5"/>
  <c r="J94" i="5"/>
  <c r="I94" i="5"/>
  <c r="H94" i="5"/>
  <c r="F94" i="5"/>
  <c r="E94" i="5"/>
  <c r="D94" i="5"/>
  <c r="BB93" i="5"/>
  <c r="BA93" i="5"/>
  <c r="AZ93" i="5"/>
  <c r="AY93" i="5"/>
  <c r="AX93" i="5"/>
  <c r="AV93" i="5"/>
  <c r="AU93" i="5"/>
  <c r="AS93" i="5"/>
  <c r="AP93" i="5"/>
  <c r="AO93" i="5"/>
  <c r="AN93" i="5"/>
  <c r="AM93" i="5"/>
  <c r="AL93" i="5"/>
  <c r="AJ93" i="5"/>
  <c r="AI93" i="5"/>
  <c r="AH93" i="5"/>
  <c r="AG93" i="5"/>
  <c r="AF93" i="5"/>
  <c r="AD93" i="5"/>
  <c r="AC93" i="5"/>
  <c r="AB93" i="5"/>
  <c r="AA93" i="5"/>
  <c r="Z93" i="5"/>
  <c r="X93" i="5"/>
  <c r="W93" i="5"/>
  <c r="U93" i="5"/>
  <c r="S93" i="5"/>
  <c r="R93" i="5"/>
  <c r="Q93" i="5"/>
  <c r="P93" i="5"/>
  <c r="O93" i="5"/>
  <c r="N93" i="5"/>
  <c r="I93" i="5"/>
  <c r="G93" i="5"/>
  <c r="F93" i="5"/>
  <c r="E93" i="5"/>
  <c r="D93" i="5"/>
  <c r="BD92" i="5"/>
  <c r="BB92" i="5"/>
  <c r="BA92" i="5"/>
  <c r="AZ92" i="5"/>
  <c r="AX92" i="5"/>
  <c r="AU92" i="5"/>
  <c r="AT92" i="5"/>
  <c r="AS92" i="5"/>
  <c r="AR92" i="5"/>
  <c r="AP92" i="5"/>
  <c r="AO92" i="5"/>
  <c r="AN92" i="5"/>
  <c r="AL92" i="5"/>
  <c r="AI92" i="5"/>
  <c r="AH92" i="5"/>
  <c r="AG92" i="5"/>
  <c r="AF92" i="5"/>
  <c r="AD92" i="5"/>
  <c r="AC92" i="5"/>
  <c r="AB92" i="5"/>
  <c r="Z92" i="5"/>
  <c r="W92" i="5"/>
  <c r="V92" i="5"/>
  <c r="U92" i="5"/>
  <c r="T92" i="5"/>
  <c r="R92" i="5"/>
  <c r="Q92" i="5"/>
  <c r="P92" i="5"/>
  <c r="N92" i="5"/>
  <c r="I92" i="5"/>
  <c r="H92" i="5"/>
  <c r="G92" i="5"/>
  <c r="F92" i="5"/>
  <c r="E92" i="5"/>
  <c r="D92" i="5"/>
  <c r="BD91" i="5"/>
  <c r="BC91" i="5"/>
  <c r="AZ91" i="5"/>
  <c r="AY91" i="5"/>
  <c r="AX91" i="5"/>
  <c r="AV91" i="5"/>
  <c r="AU91" i="5"/>
  <c r="AT91" i="5"/>
  <c r="AS91" i="5"/>
  <c r="AQ91" i="5"/>
  <c r="AN91" i="5"/>
  <c r="AM91" i="5"/>
  <c r="AL91" i="5"/>
  <c r="AJ91" i="5"/>
  <c r="AI91" i="5"/>
  <c r="AH91" i="5"/>
  <c r="AG91" i="5"/>
  <c r="AF91" i="5"/>
  <c r="AE91" i="5"/>
  <c r="AD91" i="5"/>
  <c r="AB91" i="5"/>
  <c r="AA91" i="5"/>
  <c r="Z91" i="5"/>
  <c r="X91" i="5"/>
  <c r="W91" i="5"/>
  <c r="V91" i="5"/>
  <c r="U91" i="5"/>
  <c r="S91" i="5"/>
  <c r="Q91" i="5"/>
  <c r="P91" i="5"/>
  <c r="O91" i="5"/>
  <c r="N91" i="5"/>
  <c r="L91" i="5"/>
  <c r="K91" i="5"/>
  <c r="J91" i="5"/>
  <c r="G91" i="5"/>
  <c r="E91" i="5"/>
  <c r="D91" i="5"/>
  <c r="BD90" i="5"/>
  <c r="BB90" i="5"/>
  <c r="BA90" i="5"/>
  <c r="AZ90" i="5"/>
  <c r="AY90" i="5"/>
  <c r="AX90" i="5"/>
  <c r="AV90" i="5"/>
  <c r="AS90" i="5"/>
  <c r="AR90" i="5"/>
  <c r="AP90" i="5"/>
  <c r="AO90" i="5"/>
  <c r="AN90" i="5"/>
  <c r="AM90" i="5"/>
  <c r="AL90" i="5"/>
  <c r="AJ90" i="5"/>
  <c r="AG90" i="5"/>
  <c r="AF90" i="5"/>
  <c r="AD90" i="5"/>
  <c r="AC90" i="5"/>
  <c r="AB90" i="5"/>
  <c r="AA90" i="5"/>
  <c r="Z90" i="5"/>
  <c r="X90" i="5"/>
  <c r="U90" i="5"/>
  <c r="T90" i="5"/>
  <c r="R90" i="5"/>
  <c r="Q90" i="5"/>
  <c r="P90" i="5"/>
  <c r="O90" i="5"/>
  <c r="N90" i="5"/>
  <c r="L90" i="5"/>
  <c r="I90" i="5"/>
  <c r="F90" i="5"/>
  <c r="E90" i="5"/>
  <c r="D90" i="5"/>
  <c r="BD89" i="5"/>
  <c r="BC89" i="5"/>
  <c r="BB89" i="5"/>
  <c r="BA89" i="5"/>
  <c r="AX89" i="5"/>
  <c r="AV89" i="5"/>
  <c r="AU89" i="5"/>
  <c r="AT89" i="5"/>
  <c r="AS89" i="5"/>
  <c r="AR89" i="5"/>
  <c r="AQ89" i="5"/>
  <c r="AO89" i="5"/>
  <c r="AL89" i="5"/>
  <c r="AJ89" i="5"/>
  <c r="AI89" i="5"/>
  <c r="AH89" i="5"/>
  <c r="AG89" i="5"/>
  <c r="AF89" i="5"/>
  <c r="AE89" i="5"/>
  <c r="AD89" i="5"/>
  <c r="AC89" i="5"/>
  <c r="AB89" i="5"/>
  <c r="Z89" i="5"/>
  <c r="X89" i="5"/>
  <c r="W89" i="5"/>
  <c r="V89" i="5"/>
  <c r="U89" i="5"/>
  <c r="T89" i="5"/>
  <c r="S89" i="5"/>
  <c r="Q89" i="5"/>
  <c r="O89" i="5"/>
  <c r="N89" i="5"/>
  <c r="L89" i="5"/>
  <c r="K89" i="5"/>
  <c r="J89" i="5"/>
  <c r="I89" i="5"/>
  <c r="H89" i="5"/>
  <c r="BB88" i="5"/>
  <c r="BA88" i="5"/>
  <c r="AZ88" i="5"/>
  <c r="AY88" i="5"/>
  <c r="AX88" i="5"/>
  <c r="AW88" i="5"/>
  <c r="AV88" i="5"/>
  <c r="AT88" i="5"/>
  <c r="AP88" i="5"/>
  <c r="AO88" i="5"/>
  <c r="AN88" i="5"/>
  <c r="AM88" i="5"/>
  <c r="AL88" i="5"/>
  <c r="AK88" i="5"/>
  <c r="AJ88" i="5"/>
  <c r="AH88" i="5"/>
  <c r="AD88" i="5"/>
  <c r="AC88" i="5"/>
  <c r="AB88" i="5"/>
  <c r="AA88" i="5"/>
  <c r="Z88" i="5"/>
  <c r="Y88" i="5"/>
  <c r="X88" i="5"/>
  <c r="V88" i="5"/>
  <c r="R88" i="5"/>
  <c r="Q88" i="5"/>
  <c r="P88" i="5"/>
  <c r="O88" i="5"/>
  <c r="N88" i="5"/>
  <c r="M88" i="5"/>
  <c r="L88" i="5"/>
  <c r="J88" i="5"/>
  <c r="E88" i="5"/>
  <c r="D88" i="5"/>
  <c r="BD87" i="5"/>
  <c r="BC87" i="5"/>
  <c r="BB87" i="5"/>
  <c r="BA87" i="5"/>
  <c r="AY87" i="5"/>
  <c r="AV87" i="5"/>
  <c r="AU87" i="5"/>
  <c r="AT87" i="5"/>
  <c r="AS87" i="5"/>
  <c r="AR87" i="5"/>
  <c r="AQ87" i="5"/>
  <c r="AP87" i="5"/>
  <c r="AO87" i="5"/>
  <c r="AN87" i="5"/>
  <c r="AM87" i="5"/>
  <c r="AL87" i="5"/>
  <c r="AJ87" i="5"/>
  <c r="AI87" i="5"/>
  <c r="AH87" i="5"/>
  <c r="AG87" i="5"/>
  <c r="AF87" i="5"/>
  <c r="AE87" i="5"/>
  <c r="AD87" i="5"/>
  <c r="AC87" i="5"/>
  <c r="AA87" i="5"/>
  <c r="X87" i="5"/>
  <c r="W87" i="5"/>
  <c r="V87" i="5"/>
  <c r="U87" i="5"/>
  <c r="T87" i="5"/>
  <c r="S87" i="5"/>
  <c r="R87" i="5"/>
  <c r="Q87" i="5"/>
  <c r="O87" i="5"/>
  <c r="N87" i="5"/>
  <c r="K87" i="5"/>
  <c r="J87" i="5"/>
  <c r="I87" i="5"/>
  <c r="H87" i="5"/>
  <c r="G87" i="5"/>
  <c r="F87" i="5"/>
  <c r="BD86" i="5"/>
  <c r="BA86" i="5"/>
  <c r="AZ86" i="5"/>
  <c r="AY86" i="5"/>
  <c r="AX86" i="5"/>
  <c r="AW86" i="5"/>
  <c r="AV86" i="5"/>
  <c r="AU86" i="5"/>
  <c r="AT86" i="5"/>
  <c r="AR86" i="5"/>
  <c r="AO86" i="5"/>
  <c r="AN86" i="5"/>
  <c r="AM86" i="5"/>
  <c r="AL86" i="5"/>
  <c r="AK86" i="5"/>
  <c r="AJ86" i="5"/>
  <c r="AI86" i="5"/>
  <c r="AH86" i="5"/>
  <c r="AF86" i="5"/>
  <c r="AC86" i="5"/>
  <c r="AB86" i="5"/>
  <c r="AA86" i="5"/>
  <c r="Z86" i="5"/>
  <c r="Y86" i="5"/>
  <c r="X86" i="5"/>
  <c r="W86" i="5"/>
  <c r="V86" i="5"/>
  <c r="T86" i="5"/>
  <c r="Q86" i="5"/>
  <c r="P86" i="5"/>
  <c r="O86" i="5"/>
  <c r="N86" i="5"/>
  <c r="M86" i="5"/>
  <c r="L86" i="5"/>
  <c r="H86" i="5"/>
  <c r="E86" i="5"/>
  <c r="BD85" i="5"/>
  <c r="BC85" i="5"/>
  <c r="BB85" i="5"/>
  <c r="BA85" i="5"/>
  <c r="AZ85" i="5"/>
  <c r="AY85" i="5"/>
  <c r="AV85" i="5"/>
  <c r="AT85" i="5"/>
  <c r="AS85" i="5"/>
  <c r="AR85" i="5"/>
  <c r="AQ85" i="5"/>
  <c r="AP85" i="5"/>
  <c r="AO85" i="5"/>
  <c r="AN85" i="5"/>
  <c r="AM85" i="5"/>
  <c r="AI85" i="5"/>
  <c r="AH85" i="5"/>
  <c r="AG85" i="5"/>
  <c r="AF85" i="5"/>
  <c r="AE85" i="5"/>
  <c r="AD85" i="5"/>
  <c r="AC85" i="5"/>
  <c r="AB85" i="5"/>
  <c r="AA85" i="5"/>
  <c r="W85" i="5"/>
  <c r="V85" i="5"/>
  <c r="U85" i="5"/>
  <c r="T85" i="5"/>
  <c r="S85" i="5"/>
  <c r="R85" i="5"/>
  <c r="Q85" i="5"/>
  <c r="P85" i="5"/>
  <c r="O85" i="5"/>
  <c r="J85" i="5"/>
  <c r="G85" i="5"/>
  <c r="F85" i="5"/>
  <c r="E85" i="5"/>
  <c r="D85" i="5"/>
  <c r="BD84" i="5"/>
  <c r="BB84" i="5"/>
  <c r="AY84" i="5"/>
  <c r="AX84" i="5"/>
  <c r="AW84" i="5"/>
  <c r="AV84" i="5"/>
  <c r="AU84" i="5"/>
  <c r="AT84" i="5"/>
  <c r="AS84" i="5"/>
  <c r="AR84" i="5"/>
  <c r="AP84" i="5"/>
  <c r="AM84" i="5"/>
  <c r="AL84" i="5"/>
  <c r="AK84" i="5"/>
  <c r="AJ84" i="5"/>
  <c r="AI84" i="5"/>
  <c r="AH84" i="5"/>
  <c r="AG84" i="5"/>
  <c r="AF84" i="5"/>
  <c r="AD84" i="5"/>
  <c r="AA84" i="5"/>
  <c r="Z84" i="5"/>
  <c r="Y84" i="5"/>
  <c r="X84" i="5"/>
  <c r="W84" i="5"/>
  <c r="V84" i="5"/>
  <c r="U84" i="5"/>
  <c r="T84" i="5"/>
  <c r="R84" i="5"/>
  <c r="O84" i="5"/>
  <c r="N84" i="5"/>
  <c r="M84" i="5"/>
  <c r="L84" i="5"/>
  <c r="K84" i="5"/>
  <c r="J84" i="5"/>
  <c r="I84" i="5"/>
  <c r="H84" i="5"/>
  <c r="BD83" i="5"/>
  <c r="BC83" i="5"/>
  <c r="BB83" i="5"/>
  <c r="BA83" i="5"/>
  <c r="AZ83" i="5"/>
  <c r="AY83" i="5"/>
  <c r="AX83" i="5"/>
  <c r="AW83" i="5"/>
  <c r="AU83" i="5"/>
  <c r="AR83" i="5"/>
  <c r="AQ83" i="5"/>
  <c r="AP83" i="5"/>
  <c r="AO83" i="5"/>
  <c r="AN83" i="5"/>
  <c r="AM83" i="5"/>
  <c r="AL83" i="5"/>
  <c r="AK83" i="5"/>
  <c r="AI83" i="5"/>
  <c r="AF83" i="5"/>
  <c r="AE83" i="5"/>
  <c r="AD83" i="5"/>
  <c r="AC83" i="5"/>
  <c r="AB83" i="5"/>
  <c r="AA83" i="5"/>
  <c r="Z83" i="5"/>
  <c r="Y83" i="5"/>
  <c r="W83" i="5"/>
  <c r="T83" i="5"/>
  <c r="S83" i="5"/>
  <c r="R83" i="5"/>
  <c r="Q83" i="5"/>
  <c r="P83" i="5"/>
  <c r="O83" i="5"/>
  <c r="N83" i="5"/>
  <c r="L83" i="5"/>
  <c r="K83" i="5"/>
  <c r="H83" i="5"/>
  <c r="G83" i="5"/>
  <c r="F83" i="5"/>
  <c r="BD82" i="5"/>
  <c r="BC82" i="5"/>
  <c r="BB82" i="5"/>
  <c r="BA82" i="5"/>
  <c r="AZ82" i="5"/>
  <c r="AY82" i="5"/>
  <c r="AW82" i="5"/>
  <c r="AV82" i="5"/>
  <c r="AU82" i="5"/>
  <c r="AT82" i="5"/>
  <c r="AS82" i="5"/>
  <c r="AR82" i="5"/>
  <c r="AQ82" i="5"/>
  <c r="AP82" i="5"/>
  <c r="AO82" i="5"/>
  <c r="AN82" i="5"/>
  <c r="AM82" i="5"/>
  <c r="AK82" i="5"/>
  <c r="AJ82" i="5"/>
  <c r="AI82" i="5"/>
  <c r="AH82" i="5"/>
  <c r="AG82" i="5"/>
  <c r="AF82" i="5"/>
  <c r="AE82" i="5"/>
  <c r="AD82" i="5"/>
  <c r="AC82" i="5"/>
  <c r="AB82" i="5"/>
  <c r="AA82" i="5"/>
  <c r="Y82" i="5"/>
  <c r="X82" i="5"/>
  <c r="W82" i="5"/>
  <c r="V82" i="5"/>
  <c r="U82" i="5"/>
  <c r="T82" i="5"/>
  <c r="S82" i="5"/>
  <c r="R82" i="5"/>
  <c r="Q82" i="5"/>
  <c r="P82" i="5"/>
  <c r="O82" i="5"/>
  <c r="M82" i="5"/>
  <c r="K82" i="5"/>
  <c r="J82" i="5"/>
  <c r="I82" i="5"/>
  <c r="H82" i="5"/>
  <c r="F82" i="5"/>
  <c r="D82" i="5"/>
  <c r="BD81" i="5"/>
  <c r="BB81" i="5"/>
  <c r="BA81" i="5"/>
  <c r="AZ81" i="5"/>
  <c r="AY81" i="5"/>
  <c r="AX81" i="5"/>
  <c r="AW81" i="5"/>
  <c r="AV81" i="5"/>
  <c r="AU81" i="5"/>
  <c r="AS81" i="5"/>
  <c r="AR81" i="5"/>
  <c r="AP81" i="5"/>
  <c r="AO81" i="5"/>
  <c r="AN81" i="5"/>
  <c r="AM81" i="5"/>
  <c r="AL81" i="5"/>
  <c r="AK81" i="5"/>
  <c r="AJ81" i="5"/>
  <c r="AI81" i="5"/>
  <c r="AG81" i="5"/>
  <c r="AF81" i="5"/>
  <c r="AD81" i="5"/>
  <c r="AC81" i="5"/>
  <c r="AB81" i="5"/>
  <c r="AA81" i="5"/>
  <c r="Z81" i="5"/>
  <c r="Y81" i="5"/>
  <c r="X81" i="5"/>
  <c r="W81" i="5"/>
  <c r="U81" i="5"/>
  <c r="T81" i="5"/>
  <c r="R81" i="5"/>
  <c r="Q81" i="5"/>
  <c r="P81" i="5"/>
  <c r="O81" i="5"/>
  <c r="N81" i="5"/>
  <c r="I81" i="5"/>
  <c r="F81" i="5"/>
  <c r="E81" i="5"/>
  <c r="D81" i="5"/>
  <c r="BD80" i="5"/>
  <c r="BC80" i="5"/>
  <c r="BB80" i="5"/>
  <c r="BA80" i="5"/>
  <c r="AZ80" i="5"/>
  <c r="AX80" i="5"/>
  <c r="AU80" i="5"/>
  <c r="AT80" i="5"/>
  <c r="AS80" i="5"/>
  <c r="AR80" i="5"/>
  <c r="AQ80" i="5"/>
  <c r="AP80" i="5"/>
  <c r="AO80" i="5"/>
  <c r="AN80" i="5"/>
  <c r="AL80" i="5"/>
  <c r="AI80" i="5"/>
  <c r="AH80" i="5"/>
  <c r="AG80" i="5"/>
  <c r="AF80" i="5"/>
  <c r="AE80" i="5"/>
  <c r="AD80" i="5"/>
  <c r="AC80" i="5"/>
  <c r="AB80" i="5"/>
  <c r="Z80" i="5"/>
  <c r="W80" i="5"/>
  <c r="V80" i="5"/>
  <c r="U80" i="5"/>
  <c r="T80" i="5"/>
  <c r="S80" i="5"/>
  <c r="R80" i="5"/>
  <c r="P80" i="5"/>
  <c r="N80" i="5"/>
  <c r="H80" i="5"/>
  <c r="G80" i="5"/>
  <c r="D80" i="5"/>
  <c r="BC79" i="5"/>
  <c r="AZ79" i="5"/>
  <c r="AY79" i="5"/>
  <c r="AX79" i="5"/>
  <c r="AV79" i="5"/>
  <c r="AU79" i="5"/>
  <c r="AT79" i="5"/>
  <c r="AS79" i="5"/>
  <c r="AR79" i="5"/>
  <c r="AQ79" i="5"/>
  <c r="AP79" i="5"/>
  <c r="AN79" i="5"/>
  <c r="AM79" i="5"/>
  <c r="AL79" i="5"/>
  <c r="AK79" i="5"/>
  <c r="AJ79" i="5"/>
  <c r="AI79" i="5"/>
  <c r="AH79" i="5"/>
  <c r="AG79" i="5"/>
  <c r="AF79" i="5"/>
  <c r="AE79" i="5"/>
  <c r="AD79" i="5"/>
  <c r="AB79" i="5"/>
  <c r="AA79" i="5"/>
  <c r="Z79" i="5"/>
  <c r="Y79" i="5"/>
  <c r="X79" i="5"/>
  <c r="W79" i="5"/>
  <c r="V79" i="5"/>
  <c r="U79" i="5"/>
  <c r="T79" i="5"/>
  <c r="S79" i="5"/>
  <c r="R79" i="5"/>
  <c r="P79" i="5"/>
  <c r="O79" i="5"/>
  <c r="N79" i="5"/>
  <c r="K79" i="5"/>
  <c r="J79" i="5"/>
  <c r="D79" i="5"/>
  <c r="BD78" i="5"/>
  <c r="BC78" i="5"/>
  <c r="BB78" i="5"/>
  <c r="BA78" i="5"/>
  <c r="AZ78" i="5"/>
  <c r="AY78" i="5"/>
  <c r="AX78" i="5"/>
  <c r="AV78" i="5"/>
  <c r="AS78" i="5"/>
  <c r="AR78" i="5"/>
  <c r="AQ78" i="5"/>
  <c r="AP78" i="5"/>
  <c r="AO78" i="5"/>
  <c r="AN78" i="5"/>
  <c r="AM78" i="5"/>
  <c r="AL78" i="5"/>
  <c r="AJ78" i="5"/>
  <c r="AG78" i="5"/>
  <c r="AF78" i="5"/>
  <c r="AE78" i="5"/>
  <c r="AD78" i="5"/>
  <c r="AC78" i="5"/>
  <c r="AB78" i="5"/>
  <c r="AA78" i="5"/>
  <c r="Z78" i="5"/>
  <c r="X78" i="5"/>
  <c r="U78" i="5"/>
  <c r="T78" i="5"/>
  <c r="S78" i="5"/>
  <c r="R78" i="5"/>
  <c r="Q78" i="5"/>
  <c r="N78" i="5"/>
  <c r="L78" i="5"/>
  <c r="E78" i="5"/>
  <c r="BD77" i="5"/>
  <c r="BC77" i="5"/>
  <c r="BB77" i="5"/>
  <c r="BA77" i="5"/>
  <c r="AY77" i="5"/>
  <c r="AX77" i="5"/>
  <c r="AW77" i="5"/>
  <c r="AV77" i="5"/>
  <c r="AU77" i="5"/>
  <c r="AT77" i="5"/>
  <c r="AS77" i="5"/>
  <c r="AR77" i="5"/>
  <c r="AQ77" i="5"/>
  <c r="AP77" i="5"/>
  <c r="AO77" i="5"/>
  <c r="AM77" i="5"/>
  <c r="AL77" i="5"/>
  <c r="AK77" i="5"/>
  <c r="AJ77" i="5"/>
  <c r="AI77" i="5"/>
  <c r="AH77" i="5"/>
  <c r="AG77" i="5"/>
  <c r="AF77" i="5"/>
  <c r="AE77" i="5"/>
  <c r="AD77" i="5"/>
  <c r="AC77" i="5"/>
  <c r="AA77" i="5"/>
  <c r="Z77" i="5"/>
  <c r="Y77" i="5"/>
  <c r="X77" i="5"/>
  <c r="W77" i="5"/>
  <c r="V77" i="5"/>
  <c r="U77" i="5"/>
  <c r="T77" i="5"/>
  <c r="S77" i="5"/>
  <c r="R77" i="5"/>
  <c r="Q77" i="5"/>
  <c r="O77" i="5"/>
  <c r="N77" i="5"/>
  <c r="M77" i="5"/>
  <c r="J77" i="5"/>
  <c r="I77" i="5"/>
  <c r="H77" i="5"/>
  <c r="BC76" i="5"/>
  <c r="BB76" i="5"/>
  <c r="BA76" i="5"/>
  <c r="AZ76" i="5"/>
  <c r="AY76" i="5"/>
  <c r="AX76" i="5"/>
  <c r="AW76" i="5"/>
  <c r="AV76" i="5"/>
  <c r="AT76" i="5"/>
  <c r="AQ76" i="5"/>
  <c r="AP76" i="5"/>
  <c r="AO76" i="5"/>
  <c r="AN76" i="5"/>
  <c r="AM76" i="5"/>
  <c r="AL76" i="5"/>
  <c r="AK76" i="5"/>
  <c r="AJ76" i="5"/>
  <c r="AH76" i="5"/>
  <c r="AE76" i="5"/>
  <c r="AD76" i="5"/>
  <c r="AC76" i="5"/>
  <c r="AB76" i="5"/>
  <c r="AA76" i="5"/>
  <c r="Z76" i="5"/>
  <c r="Y76" i="5"/>
  <c r="X76" i="5"/>
  <c r="V76" i="5"/>
  <c r="S76" i="5"/>
  <c r="R76" i="5"/>
  <c r="Q76" i="5"/>
  <c r="P76" i="5"/>
  <c r="O76" i="5"/>
  <c r="L76" i="5"/>
  <c r="J76" i="5"/>
  <c r="G76" i="5"/>
  <c r="E76" i="5"/>
  <c r="D76" i="5"/>
  <c r="BD75" i="5"/>
  <c r="BC75" i="5"/>
  <c r="BB75" i="5"/>
  <c r="BA75" i="5"/>
  <c r="AY75" i="5"/>
  <c r="AV75" i="5"/>
  <c r="AU75" i="5"/>
  <c r="AT75" i="5"/>
  <c r="AS75" i="5"/>
  <c r="AR75" i="5"/>
  <c r="AQ75" i="5"/>
  <c r="AP75" i="5"/>
  <c r="AO75" i="5"/>
  <c r="AM75" i="5"/>
  <c r="AJ75" i="5"/>
  <c r="AI75" i="5"/>
  <c r="AH75" i="5"/>
  <c r="AG75" i="5"/>
  <c r="AF75" i="5"/>
  <c r="AE75" i="5"/>
  <c r="AD75" i="5"/>
  <c r="AC75" i="5"/>
  <c r="AA75" i="5"/>
  <c r="X75" i="5"/>
  <c r="W75" i="5"/>
  <c r="V75" i="5"/>
  <c r="U75" i="5"/>
  <c r="T75" i="5"/>
  <c r="S75" i="5"/>
  <c r="R75" i="5"/>
  <c r="Q75" i="5"/>
  <c r="K75" i="5"/>
  <c r="J75" i="5"/>
  <c r="I75" i="5"/>
  <c r="H75" i="5"/>
  <c r="G75" i="5"/>
  <c r="F75" i="5"/>
  <c r="BD74" i="5"/>
  <c r="BA74" i="5"/>
  <c r="AZ74" i="5"/>
  <c r="AY74" i="5"/>
  <c r="AX74" i="5"/>
  <c r="AW74" i="5"/>
  <c r="AV74" i="5"/>
  <c r="AU74" i="5"/>
  <c r="AT74" i="5"/>
  <c r="AR74" i="5"/>
  <c r="AO74" i="5"/>
  <c r="AN74" i="5"/>
  <c r="AM74" i="5"/>
  <c r="AL74" i="5"/>
  <c r="AK74" i="5"/>
  <c r="AJ74" i="5"/>
  <c r="AI74" i="5"/>
  <c r="AH74" i="5"/>
  <c r="AF74" i="5"/>
  <c r="AC74" i="5"/>
  <c r="AB74" i="5"/>
  <c r="AA74" i="5"/>
  <c r="Z74" i="5"/>
  <c r="Y74" i="5"/>
  <c r="X74" i="5"/>
  <c r="W74" i="5"/>
  <c r="V74" i="5"/>
  <c r="T74" i="5"/>
  <c r="P74" i="5"/>
  <c r="N74" i="5"/>
  <c r="M74" i="5"/>
  <c r="L74" i="5"/>
  <c r="H74" i="5"/>
  <c r="BD73" i="5"/>
  <c r="BC73" i="5"/>
  <c r="BB73" i="5"/>
  <c r="BA73" i="5"/>
  <c r="AZ73" i="5"/>
  <c r="AY73" i="5"/>
  <c r="AX73" i="5"/>
  <c r="AW73" i="5"/>
  <c r="AV73" i="5"/>
  <c r="AT73" i="5"/>
  <c r="AS73" i="5"/>
  <c r="AR73" i="5"/>
  <c r="AQ73" i="5"/>
  <c r="AP73" i="5"/>
  <c r="AO73" i="5"/>
  <c r="AN73" i="5"/>
  <c r="AM73" i="5"/>
  <c r="AL73" i="5"/>
  <c r="AK73" i="5"/>
  <c r="AJ73" i="5"/>
  <c r="AH73" i="5"/>
  <c r="AG73" i="5"/>
  <c r="AF73" i="5"/>
  <c r="AE73" i="5"/>
  <c r="AD73" i="5"/>
  <c r="AC73" i="5"/>
  <c r="AB73" i="5"/>
  <c r="AA73" i="5"/>
  <c r="Z73" i="5"/>
  <c r="Y73" i="5"/>
  <c r="X73" i="5"/>
  <c r="V73" i="5"/>
  <c r="U73" i="5"/>
  <c r="T73" i="5"/>
  <c r="S73" i="5"/>
  <c r="R73" i="5"/>
  <c r="Q73" i="5"/>
  <c r="P73" i="5"/>
  <c r="O73" i="5"/>
  <c r="N73" i="5"/>
  <c r="M73" i="5"/>
  <c r="L73" i="5"/>
  <c r="J73" i="5"/>
  <c r="E73" i="5"/>
  <c r="D73" i="5"/>
  <c r="BD72" i="5"/>
  <c r="BB72" i="5"/>
  <c r="AZ72" i="5"/>
  <c r="AY72" i="5"/>
  <c r="AX72" i="5"/>
  <c r="AW72" i="5"/>
  <c r="AV72" i="5"/>
  <c r="AU72" i="5"/>
  <c r="AT72" i="5"/>
  <c r="AS72" i="5"/>
  <c r="AR72" i="5"/>
  <c r="AP72" i="5"/>
  <c r="AN72" i="5"/>
  <c r="AM72" i="5"/>
  <c r="AL72" i="5"/>
  <c r="AK72" i="5"/>
  <c r="AJ72" i="5"/>
  <c r="AI72" i="5"/>
  <c r="AH72" i="5"/>
  <c r="AG72" i="5"/>
  <c r="AF72" i="5"/>
  <c r="AD72" i="5"/>
  <c r="AB72" i="5"/>
  <c r="AA72" i="5"/>
  <c r="Z72" i="5"/>
  <c r="Y72" i="5"/>
  <c r="X72" i="5"/>
  <c r="W72" i="5"/>
  <c r="V72" i="5"/>
  <c r="U72" i="5"/>
  <c r="T72" i="5"/>
  <c r="R72" i="5"/>
  <c r="P72" i="5"/>
  <c r="O72" i="5"/>
  <c r="N72" i="5"/>
  <c r="M72" i="5"/>
  <c r="L72" i="5"/>
  <c r="K72" i="5"/>
  <c r="H72" i="5"/>
  <c r="BD71" i="5"/>
  <c r="BC71" i="5"/>
  <c r="BB71" i="5"/>
  <c r="BA71" i="5"/>
  <c r="AZ71" i="5"/>
  <c r="AY71" i="5"/>
  <c r="AX71" i="5"/>
  <c r="AW71" i="5"/>
  <c r="AU71" i="5"/>
  <c r="AR71" i="5"/>
  <c r="AQ71" i="5"/>
  <c r="AP71" i="5"/>
  <c r="AO71" i="5"/>
  <c r="AN71" i="5"/>
  <c r="AM71" i="5"/>
  <c r="AL71" i="5"/>
  <c r="AK71" i="5"/>
  <c r="AJ71" i="5"/>
  <c r="AI71" i="5"/>
  <c r="AF71" i="5"/>
  <c r="AE71" i="5"/>
  <c r="AD71" i="5"/>
  <c r="AC71" i="5"/>
  <c r="AB71" i="5"/>
  <c r="AA71" i="5"/>
  <c r="Z71" i="5"/>
  <c r="Y71" i="5"/>
  <c r="X71" i="5"/>
  <c r="W71" i="5"/>
  <c r="T71" i="5"/>
  <c r="S71" i="5"/>
  <c r="R71" i="5"/>
  <c r="Q71" i="5"/>
  <c r="P71" i="5"/>
  <c r="O71" i="5"/>
  <c r="N71" i="5"/>
  <c r="H71" i="5"/>
  <c r="G71" i="5"/>
  <c r="F71" i="5"/>
  <c r="BD70" i="5"/>
  <c r="BC70" i="5"/>
  <c r="BB70" i="5"/>
  <c r="BA70" i="5"/>
  <c r="AZ70" i="5"/>
  <c r="AX70" i="5"/>
  <c r="AW70" i="5"/>
  <c r="AV70" i="5"/>
  <c r="AU70" i="5"/>
  <c r="AT70" i="5"/>
  <c r="AS70" i="5"/>
  <c r="AR70" i="5"/>
  <c r="AQ70" i="5"/>
  <c r="AP70" i="5"/>
  <c r="AO70" i="5"/>
  <c r="AN70" i="5"/>
  <c r="AL70" i="5"/>
  <c r="AK70" i="5"/>
  <c r="AJ70" i="5"/>
  <c r="AI70" i="5"/>
  <c r="AH70" i="5"/>
  <c r="AG70" i="5"/>
  <c r="AF70" i="5"/>
  <c r="AE70" i="5"/>
  <c r="AD70" i="5"/>
  <c r="AC70" i="5"/>
  <c r="AB70" i="5"/>
  <c r="Z70" i="5"/>
  <c r="Y70" i="5"/>
  <c r="X70" i="5"/>
  <c r="W70" i="5"/>
  <c r="V70" i="5"/>
  <c r="U70" i="5"/>
  <c r="T70" i="5"/>
  <c r="S70" i="5"/>
  <c r="R70" i="5"/>
  <c r="Q70" i="5"/>
  <c r="O70" i="5"/>
  <c r="K70" i="5"/>
  <c r="J70" i="5"/>
  <c r="I70" i="5"/>
  <c r="H70" i="5"/>
  <c r="G70" i="5"/>
  <c r="F70" i="5"/>
  <c r="E70" i="5"/>
  <c r="BB69" i="5"/>
  <c r="BA69" i="5"/>
  <c r="AZ69" i="5"/>
  <c r="AY69" i="5"/>
  <c r="AX69" i="5"/>
  <c r="AW69" i="5"/>
  <c r="AV69" i="5"/>
  <c r="AU69" i="5"/>
  <c r="AT69" i="5"/>
  <c r="AS69" i="5"/>
  <c r="AP69" i="5"/>
  <c r="AO69" i="5"/>
  <c r="AN69" i="5"/>
  <c r="AM69" i="5"/>
  <c r="AL69" i="5"/>
  <c r="AK69" i="5"/>
  <c r="AJ69" i="5"/>
  <c r="AI69" i="5"/>
  <c r="AH69" i="5"/>
  <c r="AG69" i="5"/>
  <c r="AD69" i="5"/>
  <c r="AC69" i="5"/>
  <c r="AB69" i="5"/>
  <c r="AA69" i="5"/>
  <c r="Z69" i="5"/>
  <c r="Y69" i="5"/>
  <c r="X69" i="5"/>
  <c r="W69" i="5"/>
  <c r="V69" i="5"/>
  <c r="U69" i="5"/>
  <c r="R69" i="5"/>
  <c r="Q69" i="5"/>
  <c r="N69" i="5"/>
  <c r="L69" i="5"/>
  <c r="J69" i="5"/>
  <c r="I69" i="5"/>
  <c r="E69" i="5"/>
  <c r="BD68" i="5"/>
  <c r="BC68" i="5"/>
  <c r="BB68" i="5"/>
  <c r="BA68" i="5"/>
  <c r="AZ68" i="5"/>
  <c r="AY68" i="5"/>
  <c r="AX68" i="5"/>
  <c r="AV68" i="5"/>
  <c r="AU68" i="5"/>
  <c r="AT68" i="5"/>
  <c r="AS68" i="5"/>
  <c r="AR68" i="5"/>
  <c r="AQ68" i="5"/>
  <c r="AP68" i="5"/>
  <c r="AO68" i="5"/>
  <c r="AN68" i="5"/>
  <c r="AM68" i="5"/>
  <c r="AL68" i="5"/>
  <c r="AJ68" i="5"/>
  <c r="AI68" i="5"/>
  <c r="AH68" i="5"/>
  <c r="AG68" i="5"/>
  <c r="AF68" i="5"/>
  <c r="AE68" i="5"/>
  <c r="AD68" i="5"/>
  <c r="AC68" i="5"/>
  <c r="AB68" i="5"/>
  <c r="AA68" i="5"/>
  <c r="Z68" i="5"/>
  <c r="X68" i="5"/>
  <c r="W68" i="5"/>
  <c r="V68" i="5"/>
  <c r="U68" i="5"/>
  <c r="T68" i="5"/>
  <c r="S68" i="5"/>
  <c r="R68" i="5"/>
  <c r="P68" i="5"/>
  <c r="O68" i="5"/>
  <c r="N68" i="5"/>
  <c r="M68" i="5"/>
  <c r="I68" i="5"/>
  <c r="H68" i="5"/>
  <c r="G68" i="5"/>
  <c r="F68" i="5"/>
  <c r="D68" i="5"/>
  <c r="BD67" i="5"/>
  <c r="BC67" i="5"/>
  <c r="AZ67" i="5"/>
  <c r="AY67" i="5"/>
  <c r="AX67" i="5"/>
  <c r="AW67" i="5"/>
  <c r="AV67" i="5"/>
  <c r="AU67" i="5"/>
  <c r="AT67" i="5"/>
  <c r="AS67" i="5"/>
  <c r="AR67" i="5"/>
  <c r="AQ67" i="5"/>
  <c r="AN67" i="5"/>
  <c r="AM67" i="5"/>
  <c r="AL67" i="5"/>
  <c r="AK67" i="5"/>
  <c r="AJ67" i="5"/>
  <c r="AI67" i="5"/>
  <c r="AH67" i="5"/>
  <c r="AG67" i="5"/>
  <c r="AF67" i="5"/>
  <c r="AE67" i="5"/>
  <c r="AB67" i="5"/>
  <c r="AA67" i="5"/>
  <c r="Z67" i="5"/>
  <c r="Y67" i="5"/>
  <c r="X67" i="5"/>
  <c r="W67" i="5"/>
  <c r="V67" i="5"/>
  <c r="U67" i="5"/>
  <c r="T67" i="5"/>
  <c r="S67" i="5"/>
  <c r="P67" i="5"/>
  <c r="O67" i="5"/>
  <c r="N67" i="5"/>
  <c r="L67" i="5"/>
  <c r="K67" i="5"/>
  <c r="J67" i="5"/>
  <c r="D67" i="5"/>
  <c r="BD66" i="5"/>
  <c r="BC66" i="5"/>
  <c r="BB66" i="5"/>
  <c r="BA66" i="5"/>
  <c r="AZ66" i="5"/>
  <c r="AY66" i="5"/>
  <c r="AX66" i="5"/>
  <c r="AW66" i="5"/>
  <c r="AV66" i="5"/>
  <c r="AS66" i="5"/>
  <c r="AR66" i="5"/>
  <c r="AQ66" i="5"/>
  <c r="AP66" i="5"/>
  <c r="AO66" i="5"/>
  <c r="AN66" i="5"/>
  <c r="AM66" i="5"/>
  <c r="AL66" i="5"/>
  <c r="AK66" i="5"/>
  <c r="AJ66" i="5"/>
  <c r="AG66" i="5"/>
  <c r="AF66" i="5"/>
  <c r="AE66" i="5"/>
  <c r="AD66" i="5"/>
  <c r="AC66" i="5"/>
  <c r="AB66" i="5"/>
  <c r="AA66" i="5"/>
  <c r="Z66" i="5"/>
  <c r="Y66" i="5"/>
  <c r="X66" i="5"/>
  <c r="U66" i="5"/>
  <c r="T66" i="5"/>
  <c r="S66" i="5"/>
  <c r="R66" i="5"/>
  <c r="Q66" i="5"/>
  <c r="O66" i="5"/>
  <c r="N66" i="5"/>
  <c r="M66" i="5"/>
  <c r="L66" i="5"/>
  <c r="E66" i="5"/>
  <c r="BD65" i="5"/>
  <c r="BC65" i="5"/>
  <c r="BB65" i="5"/>
  <c r="BA65" i="5"/>
  <c r="AY65" i="5"/>
  <c r="AX65" i="5"/>
  <c r="AW65" i="5"/>
  <c r="AV65" i="5"/>
  <c r="AU65" i="5"/>
  <c r="AT65" i="5"/>
  <c r="AS65" i="5"/>
  <c r="AR65" i="5"/>
  <c r="AQ65" i="5"/>
  <c r="AP65" i="5"/>
  <c r="AO65" i="5"/>
  <c r="AM65" i="5"/>
  <c r="AL65" i="5"/>
  <c r="AK65" i="5"/>
  <c r="AJ65" i="5"/>
  <c r="AI65" i="5"/>
  <c r="AH65" i="5"/>
  <c r="AG65" i="5"/>
  <c r="AF65" i="5"/>
  <c r="AE65" i="5"/>
  <c r="AD65" i="5"/>
  <c r="AC65" i="5"/>
  <c r="AA65" i="5"/>
  <c r="Z65" i="5"/>
  <c r="Y65" i="5"/>
  <c r="X65" i="5"/>
  <c r="W65" i="5"/>
  <c r="V65" i="5"/>
  <c r="U65" i="5"/>
  <c r="T65" i="5"/>
  <c r="S65" i="5"/>
  <c r="R65" i="5"/>
  <c r="Q65" i="5"/>
  <c r="O65" i="5"/>
  <c r="N65" i="5"/>
  <c r="M65" i="5"/>
  <c r="J65" i="5"/>
  <c r="I65" i="5"/>
  <c r="H65" i="5"/>
  <c r="F65" i="5"/>
  <c r="BC64" i="5"/>
  <c r="BB64" i="5"/>
  <c r="BA64" i="5"/>
  <c r="AZ64" i="5"/>
  <c r="AY64" i="5"/>
  <c r="AX64" i="5"/>
  <c r="AW64" i="5"/>
  <c r="AV64" i="5"/>
  <c r="AU64" i="5"/>
  <c r="AT64" i="5"/>
  <c r="AQ64" i="5"/>
  <c r="AP64" i="5"/>
  <c r="AO64" i="5"/>
  <c r="AN64" i="5"/>
  <c r="AM64" i="5"/>
  <c r="AL64" i="5"/>
  <c r="AK64" i="5"/>
  <c r="AJ64" i="5"/>
  <c r="AI64" i="5"/>
  <c r="AH64" i="5"/>
  <c r="AE64" i="5"/>
  <c r="AD64" i="5"/>
  <c r="AC64" i="5"/>
  <c r="AB64" i="5"/>
  <c r="AA64" i="5"/>
  <c r="Z64" i="5"/>
  <c r="Y64" i="5"/>
  <c r="X64" i="5"/>
  <c r="W64" i="5"/>
  <c r="V64" i="5"/>
  <c r="S64" i="5"/>
  <c r="R64" i="5"/>
  <c r="Q64" i="5"/>
  <c r="P64" i="5"/>
  <c r="O64" i="5"/>
  <c r="L64" i="5"/>
  <c r="K64" i="5"/>
  <c r="I64" i="5"/>
  <c r="G64" i="5"/>
  <c r="E64" i="5"/>
  <c r="D64" i="5"/>
  <c r="BD63" i="5"/>
  <c r="BC63" i="5"/>
  <c r="BB63" i="5"/>
  <c r="BA63" i="5"/>
  <c r="AZ63" i="5"/>
  <c r="AY63" i="5"/>
  <c r="AW63" i="5"/>
  <c r="AV63" i="5"/>
  <c r="AU63" i="5"/>
  <c r="AT63" i="5"/>
  <c r="AS63" i="5"/>
  <c r="AR63" i="5"/>
  <c r="AQ63" i="5"/>
  <c r="AP63" i="5"/>
  <c r="AO63" i="5"/>
  <c r="AN63" i="5"/>
  <c r="AM63" i="5"/>
  <c r="AK63" i="5"/>
  <c r="AJ63" i="5"/>
  <c r="AI63" i="5"/>
  <c r="AH63" i="5"/>
  <c r="AG63" i="5"/>
  <c r="AF63" i="5"/>
  <c r="AE63" i="5"/>
  <c r="AD63" i="5"/>
  <c r="AC63" i="5"/>
  <c r="AB63" i="5"/>
  <c r="AA63" i="5"/>
  <c r="Y63" i="5"/>
  <c r="X63" i="5"/>
  <c r="W63" i="5"/>
  <c r="V63" i="5"/>
  <c r="U63" i="5"/>
  <c r="T63" i="5"/>
  <c r="S63" i="5"/>
  <c r="R63" i="5"/>
  <c r="Q63" i="5"/>
  <c r="L63" i="5"/>
  <c r="K63" i="5"/>
  <c r="J63" i="5"/>
  <c r="I63" i="5"/>
  <c r="H63" i="5"/>
  <c r="G63" i="5"/>
  <c r="F63" i="5"/>
  <c r="D63" i="5"/>
  <c r="BD62" i="5"/>
  <c r="BA62" i="5"/>
  <c r="AZ62" i="5"/>
  <c r="AY62" i="5"/>
  <c r="AX62" i="5"/>
  <c r="AW62" i="5"/>
  <c r="AV62" i="5"/>
  <c r="AU62" i="5"/>
  <c r="AT62" i="5"/>
  <c r="AS62" i="5"/>
  <c r="AR62" i="5"/>
  <c r="AO62" i="5"/>
  <c r="AN62" i="5"/>
  <c r="AM62" i="5"/>
  <c r="AL62" i="5"/>
  <c r="AK62" i="5"/>
  <c r="AJ62" i="5"/>
  <c r="AI62" i="5"/>
  <c r="AH62" i="5"/>
  <c r="AG62" i="5"/>
  <c r="AF62" i="5"/>
  <c r="AC62" i="5"/>
  <c r="AB62" i="5"/>
  <c r="AA62" i="5"/>
  <c r="Z62" i="5"/>
  <c r="Y62" i="5"/>
  <c r="X62" i="5"/>
  <c r="W62" i="5"/>
  <c r="V62" i="5"/>
  <c r="U62" i="5"/>
  <c r="T62" i="5"/>
  <c r="O62" i="5"/>
  <c r="N62" i="5"/>
  <c r="M62" i="5"/>
  <c r="L62" i="5"/>
  <c r="I62" i="5"/>
  <c r="H62" i="5"/>
  <c r="BD61" i="5"/>
  <c r="BC61" i="5"/>
  <c r="BB61" i="5"/>
  <c r="BA61" i="5"/>
  <c r="AZ61" i="5"/>
  <c r="AY61" i="5"/>
  <c r="AX61" i="5"/>
  <c r="AW61" i="5"/>
  <c r="AT61" i="5"/>
  <c r="AS61" i="5"/>
  <c r="AR61" i="5"/>
  <c r="AQ61" i="5"/>
  <c r="AP61" i="5"/>
  <c r="AO61" i="5"/>
  <c r="AN61" i="5"/>
  <c r="AM61" i="5"/>
  <c r="AL61" i="5"/>
  <c r="AK61" i="5"/>
  <c r="AH61" i="5"/>
  <c r="AG61" i="5"/>
  <c r="AF61" i="5"/>
  <c r="AE61" i="5"/>
  <c r="AD61" i="5"/>
  <c r="AC61" i="5"/>
  <c r="AB61" i="5"/>
  <c r="AA61" i="5"/>
  <c r="Z61" i="5"/>
  <c r="Y61" i="5"/>
  <c r="V61" i="5"/>
  <c r="U61" i="5"/>
  <c r="T61" i="5"/>
  <c r="S61" i="5"/>
  <c r="R61" i="5"/>
  <c r="Q61" i="5"/>
  <c r="P61" i="5"/>
  <c r="O61" i="5"/>
  <c r="N61" i="5"/>
  <c r="M61" i="5"/>
  <c r="J61" i="5"/>
  <c r="F61" i="5"/>
  <c r="E61" i="5"/>
  <c r="D61" i="5"/>
  <c r="BD60" i="5"/>
  <c r="BC60" i="5"/>
  <c r="BB60" i="5"/>
  <c r="BA60" i="5"/>
  <c r="AY60" i="5"/>
  <c r="AX60" i="5"/>
  <c r="AW60" i="5"/>
  <c r="AV60" i="5"/>
  <c r="AU60" i="5"/>
  <c r="AT60" i="5"/>
  <c r="AS60" i="5"/>
  <c r="AR60" i="5"/>
  <c r="AQ60" i="5"/>
  <c r="AP60" i="5"/>
  <c r="AO60" i="5"/>
  <c r="AM60" i="5"/>
  <c r="AL60" i="5"/>
  <c r="AK60" i="5"/>
  <c r="AJ60" i="5"/>
  <c r="AI60" i="5"/>
  <c r="AH60" i="5"/>
  <c r="AG60" i="5"/>
  <c r="AF60" i="5"/>
  <c r="AE60" i="5"/>
  <c r="AD60" i="5"/>
  <c r="AC60" i="5"/>
  <c r="AA60" i="5"/>
  <c r="Z60" i="5"/>
  <c r="Y60" i="5"/>
  <c r="X60" i="5"/>
  <c r="W60" i="5"/>
  <c r="V60" i="5"/>
  <c r="U60" i="5"/>
  <c r="T60" i="5"/>
  <c r="S60" i="5"/>
  <c r="R60" i="5"/>
  <c r="Q60" i="5"/>
  <c r="O60" i="5"/>
  <c r="N60" i="5"/>
  <c r="M60" i="5"/>
  <c r="L60" i="5"/>
  <c r="K60" i="5"/>
  <c r="H60" i="5"/>
  <c r="BD59" i="5"/>
  <c r="BC59" i="5"/>
  <c r="BB59" i="5"/>
  <c r="BA59" i="5"/>
  <c r="AZ59" i="5"/>
  <c r="AY59" i="5"/>
  <c r="AX59" i="5"/>
  <c r="AW59" i="5"/>
  <c r="AV59" i="5"/>
  <c r="AU59" i="5"/>
  <c r="AR59" i="5"/>
  <c r="AQ59" i="5"/>
  <c r="AP59" i="5"/>
  <c r="AO59" i="5"/>
  <c r="AN59" i="5"/>
  <c r="AM59" i="5"/>
  <c r="AL59" i="5"/>
  <c r="AK59" i="5"/>
  <c r="AJ59" i="5"/>
  <c r="AI59" i="5"/>
  <c r="AF59" i="5"/>
  <c r="AE59" i="5"/>
  <c r="AD59" i="5"/>
  <c r="AC59" i="5"/>
  <c r="AB59" i="5"/>
  <c r="AA59" i="5"/>
  <c r="Z59" i="5"/>
  <c r="Y59" i="5"/>
  <c r="X59" i="5"/>
  <c r="W59" i="5"/>
  <c r="T59" i="5"/>
  <c r="S59" i="5"/>
  <c r="R59" i="5"/>
  <c r="Q59" i="5"/>
  <c r="P59" i="5"/>
  <c r="O59" i="5"/>
  <c r="N59" i="5"/>
  <c r="H59" i="5"/>
  <c r="G59" i="5"/>
  <c r="F59" i="5"/>
  <c r="D59" i="5"/>
  <c r="BD58" i="5"/>
  <c r="BC58" i="5"/>
  <c r="BB58" i="5"/>
  <c r="BA58" i="5"/>
  <c r="AZ58" i="5"/>
  <c r="AX58" i="5"/>
  <c r="AW58" i="5"/>
  <c r="AV58" i="5"/>
  <c r="AU58" i="5"/>
  <c r="AT58" i="5"/>
  <c r="AS58" i="5"/>
  <c r="AR58" i="5"/>
  <c r="AQ58" i="5"/>
  <c r="AP58" i="5"/>
  <c r="AO58" i="5"/>
  <c r="AN58" i="5"/>
  <c r="AL58" i="5"/>
  <c r="AK58" i="5"/>
  <c r="AJ58" i="5"/>
  <c r="AI58" i="5"/>
  <c r="AH58" i="5"/>
  <c r="AG58" i="5"/>
  <c r="AF58" i="5"/>
  <c r="AE58" i="5"/>
  <c r="AD58" i="5"/>
  <c r="AC58" i="5"/>
  <c r="AB58" i="5"/>
  <c r="Z58" i="5"/>
  <c r="Y58" i="5"/>
  <c r="X58" i="5"/>
  <c r="W58" i="5"/>
  <c r="V58" i="5"/>
  <c r="U58" i="5"/>
  <c r="T58" i="5"/>
  <c r="S58" i="5"/>
  <c r="R58" i="5"/>
  <c r="Q58" i="5"/>
  <c r="P58" i="5"/>
  <c r="L58" i="5"/>
  <c r="K58" i="5"/>
  <c r="J58" i="5"/>
  <c r="I58" i="5"/>
  <c r="H58" i="5"/>
  <c r="G58" i="5"/>
  <c r="F58" i="5"/>
  <c r="E58" i="5"/>
  <c r="D58" i="5"/>
  <c r="C111" i="5"/>
  <c r="C110" i="5"/>
  <c r="C108" i="5"/>
  <c r="C107" i="5"/>
  <c r="C106" i="5"/>
  <c r="C105" i="5"/>
  <c r="C104" i="5"/>
  <c r="C103" i="5"/>
  <c r="C102" i="5"/>
  <c r="C101" i="5"/>
  <c r="C100" i="5"/>
  <c r="C99" i="5"/>
  <c r="C98" i="5"/>
  <c r="C96" i="5"/>
  <c r="C95" i="5"/>
  <c r="C94" i="5"/>
  <c r="C93" i="5"/>
  <c r="C92" i="5"/>
  <c r="C91" i="5"/>
  <c r="C90" i="5"/>
  <c r="C89" i="5"/>
  <c r="C88" i="5"/>
  <c r="C87" i="5"/>
  <c r="C86" i="5"/>
  <c r="C84" i="5"/>
  <c r="C83" i="5"/>
  <c r="C82" i="5"/>
  <c r="C81" i="5"/>
  <c r="C80" i="5"/>
  <c r="C79" i="5"/>
  <c r="C77" i="5"/>
  <c r="C76" i="5"/>
  <c r="C75" i="5"/>
  <c r="C72" i="5"/>
  <c r="C71" i="5"/>
  <c r="C70" i="5"/>
  <c r="C69" i="5"/>
  <c r="C68" i="5"/>
  <c r="C67" i="5"/>
  <c r="C66" i="5"/>
  <c r="C65" i="5"/>
  <c r="C64" i="5"/>
  <c r="C63" i="5"/>
  <c r="C62" i="5"/>
  <c r="C60" i="5"/>
  <c r="C59" i="5"/>
  <c r="C58" i="5"/>
  <c r="D77" i="3"/>
  <c r="A168" i="5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114" i="5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13" i="5"/>
  <c r="A58" i="5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D1" i="5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C1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D3" i="2" l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3" i="2"/>
  <c r="G63" i="2"/>
  <c r="G67" i="2"/>
  <c r="G66" i="2"/>
  <c r="G65" i="2"/>
  <c r="G62" i="2"/>
  <c r="M73" i="3"/>
  <c r="A113" i="4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59" i="4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58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3" i="4"/>
  <c r="M68" i="3"/>
  <c r="M66" i="3"/>
  <c r="G70" i="3"/>
  <c r="F69" i="3"/>
  <c r="G69" i="3" s="1"/>
  <c r="A3" i="3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3" i="2"/>
  <c r="D81" i="3" l="1"/>
  <c r="D79" i="3"/>
  <c r="D78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Q29" i="3" s="1"/>
  <c r="M72" i="3"/>
  <c r="M74" i="3"/>
  <c r="C18" i="3"/>
  <c r="C18" i="5"/>
  <c r="D55" i="3"/>
  <c r="D55" i="5"/>
  <c r="AQ52" i="3"/>
  <c r="AQ52" i="5"/>
  <c r="Q50" i="3"/>
  <c r="Q50" i="5"/>
  <c r="AR47" i="3"/>
  <c r="AR47" i="5"/>
  <c r="R45" i="3"/>
  <c r="R45" i="5"/>
  <c r="D43" i="5"/>
  <c r="AE40" i="3"/>
  <c r="AE40" i="5"/>
  <c r="Q38" i="3"/>
  <c r="Q38" i="5"/>
  <c r="AR35" i="3"/>
  <c r="AR35" i="5"/>
  <c r="R33" i="5"/>
  <c r="D31" i="3"/>
  <c r="D31" i="5"/>
  <c r="AE28" i="3"/>
  <c r="AE28" i="5"/>
  <c r="AT25" i="3"/>
  <c r="AT25" i="5"/>
  <c r="AW22" i="3"/>
  <c r="AW22" i="5"/>
  <c r="W20" i="3"/>
  <c r="W20" i="5"/>
  <c r="AL17" i="3"/>
  <c r="AL17" i="5"/>
  <c r="X15" i="3"/>
  <c r="X15" i="5"/>
  <c r="J13" i="3"/>
  <c r="J13" i="5"/>
  <c r="AP9" i="3"/>
  <c r="AP9" i="5"/>
  <c r="AF56" i="3"/>
  <c r="AF56" i="5"/>
  <c r="R54" i="3"/>
  <c r="R54" i="5"/>
  <c r="C13" i="3"/>
  <c r="C13" i="5"/>
  <c r="AI55" i="3"/>
  <c r="AI55" i="5"/>
  <c r="D54" i="3"/>
  <c r="D54" i="5"/>
  <c r="Z52" i="5"/>
  <c r="AV50" i="3"/>
  <c r="AV50" i="5"/>
  <c r="Q49" i="3"/>
  <c r="Q49" i="5"/>
  <c r="AM47" i="3"/>
  <c r="AM47" i="5"/>
  <c r="H46" i="5"/>
  <c r="AD44" i="3"/>
  <c r="AD44" i="5"/>
  <c r="AY56" i="5"/>
  <c r="C33" i="5"/>
  <c r="C33" i="3"/>
  <c r="C9" i="5"/>
  <c r="C9" i="3"/>
  <c r="AL56" i="3"/>
  <c r="AL56" i="5"/>
  <c r="N56" i="5"/>
  <c r="BC55" i="5"/>
  <c r="BC55" i="3"/>
  <c r="AQ55" i="3"/>
  <c r="AQ55" i="5"/>
  <c r="AE55" i="3"/>
  <c r="AE55" i="5"/>
  <c r="S55" i="3"/>
  <c r="S55" i="5"/>
  <c r="G55" i="3"/>
  <c r="G55" i="5"/>
  <c r="AV54" i="3"/>
  <c r="AV54" i="5"/>
  <c r="AJ54" i="5"/>
  <c r="X54" i="3"/>
  <c r="X54" i="5"/>
  <c r="L54" i="3"/>
  <c r="L54" i="5"/>
  <c r="BA53" i="3"/>
  <c r="BA53" i="5"/>
  <c r="AO53" i="5"/>
  <c r="AC53" i="3"/>
  <c r="AC53" i="5"/>
  <c r="Q53" i="3"/>
  <c r="Q53" i="5"/>
  <c r="E53" i="3"/>
  <c r="E53" i="5"/>
  <c r="AT52" i="5"/>
  <c r="AH52" i="3"/>
  <c r="AH52" i="5"/>
  <c r="V52" i="3"/>
  <c r="V52" i="5"/>
  <c r="J52" i="5"/>
  <c r="AY51" i="3"/>
  <c r="AY51" i="5"/>
  <c r="AM51" i="3"/>
  <c r="AM51" i="5"/>
  <c r="AA51" i="3"/>
  <c r="AA51" i="5"/>
  <c r="O51" i="3"/>
  <c r="O51" i="5"/>
  <c r="BD50" i="3"/>
  <c r="BD50" i="5"/>
  <c r="AR50" i="3"/>
  <c r="AR50" i="5"/>
  <c r="AF50" i="3"/>
  <c r="AF50" i="5"/>
  <c r="T50" i="3"/>
  <c r="T50" i="5"/>
  <c r="H50" i="3"/>
  <c r="H50" i="5"/>
  <c r="AW49" i="3"/>
  <c r="AW49" i="5"/>
  <c r="AK49" i="5"/>
  <c r="Y49" i="3"/>
  <c r="Y49" i="5"/>
  <c r="M49" i="3"/>
  <c r="M49" i="5"/>
  <c r="BB48" i="3"/>
  <c r="BB48" i="5"/>
  <c r="AP48" i="3"/>
  <c r="AP48" i="5"/>
  <c r="AD48" i="3"/>
  <c r="AD48" i="5"/>
  <c r="R48" i="3"/>
  <c r="R48" i="5"/>
  <c r="F48" i="5"/>
  <c r="AU47" i="3"/>
  <c r="AU47" i="5"/>
  <c r="AI47" i="3"/>
  <c r="AI47" i="5"/>
  <c r="W47" i="3"/>
  <c r="W47" i="5"/>
  <c r="K47" i="3"/>
  <c r="K47" i="5"/>
  <c r="AZ46" i="3"/>
  <c r="AZ46" i="5"/>
  <c r="AN46" i="3"/>
  <c r="AN46" i="5"/>
  <c r="AB46" i="5"/>
  <c r="P46" i="3"/>
  <c r="P46" i="5"/>
  <c r="D46" i="3"/>
  <c r="D46" i="5"/>
  <c r="AS45" i="3"/>
  <c r="AS45" i="5"/>
  <c r="AG45" i="3"/>
  <c r="AG45" i="5"/>
  <c r="U45" i="3"/>
  <c r="U45" i="5"/>
  <c r="I45" i="5"/>
  <c r="AX44" i="5"/>
  <c r="AL44" i="3"/>
  <c r="AL44" i="5"/>
  <c r="Z44" i="5"/>
  <c r="N44" i="5"/>
  <c r="BC43" i="5"/>
  <c r="AQ43" i="3"/>
  <c r="AQ43" i="5"/>
  <c r="AE43" i="5"/>
  <c r="S43" i="5"/>
  <c r="G43" i="5"/>
  <c r="AV42" i="5"/>
  <c r="AJ42" i="5"/>
  <c r="X42" i="5"/>
  <c r="L42" i="5"/>
  <c r="BA41" i="3"/>
  <c r="BA41" i="5"/>
  <c r="AO41" i="3"/>
  <c r="AO41" i="5"/>
  <c r="AC41" i="3"/>
  <c r="AC41" i="5"/>
  <c r="Q41" i="3"/>
  <c r="Q41" i="5"/>
  <c r="E41" i="3"/>
  <c r="E41" i="5"/>
  <c r="AT40" i="3"/>
  <c r="AT40" i="5"/>
  <c r="AH40" i="3"/>
  <c r="AH40" i="5"/>
  <c r="V40" i="3"/>
  <c r="V40" i="5"/>
  <c r="J40" i="5"/>
  <c r="AY39" i="5"/>
  <c r="AM39" i="3"/>
  <c r="AM39" i="5"/>
  <c r="AA39" i="5"/>
  <c r="O39" i="5"/>
  <c r="BD38" i="5"/>
  <c r="AR38" i="3"/>
  <c r="AR38" i="5"/>
  <c r="AF38" i="5"/>
  <c r="T38" i="5"/>
  <c r="H38" i="5"/>
  <c r="AW37" i="3"/>
  <c r="AW37" i="5"/>
  <c r="AK37" i="3"/>
  <c r="AK37" i="5"/>
  <c r="Y37" i="3"/>
  <c r="Y37" i="5"/>
  <c r="M37" i="3"/>
  <c r="M37" i="5"/>
  <c r="BB36" i="3"/>
  <c r="BB36" i="5"/>
  <c r="AP36" i="3"/>
  <c r="AP36" i="5"/>
  <c r="AD36" i="3"/>
  <c r="AD36" i="5"/>
  <c r="R36" i="3"/>
  <c r="R36" i="5"/>
  <c r="F36" i="3"/>
  <c r="F36" i="5"/>
  <c r="AU35" i="3"/>
  <c r="AU35" i="5"/>
  <c r="AI35" i="3"/>
  <c r="AI35" i="5"/>
  <c r="W35" i="3"/>
  <c r="W35" i="5"/>
  <c r="K35" i="3"/>
  <c r="K35" i="5"/>
  <c r="AZ34" i="3"/>
  <c r="AZ34" i="5"/>
  <c r="AN34" i="3"/>
  <c r="AN34" i="5"/>
  <c r="AB34" i="5"/>
  <c r="P34" i="3"/>
  <c r="P34" i="5"/>
  <c r="D34" i="3"/>
  <c r="D34" i="5"/>
  <c r="AS33" i="5"/>
  <c r="AG33" i="3"/>
  <c r="AG33" i="5"/>
  <c r="U33" i="3"/>
  <c r="U33" i="5"/>
  <c r="I33" i="5"/>
  <c r="AX32" i="3"/>
  <c r="AX32" i="5"/>
  <c r="AL32" i="3"/>
  <c r="AL32" i="5"/>
  <c r="Z32" i="3"/>
  <c r="Z32" i="5"/>
  <c r="N32" i="3"/>
  <c r="N32" i="5"/>
  <c r="BC31" i="3"/>
  <c r="BC31" i="5"/>
  <c r="AQ31" i="3"/>
  <c r="AQ31" i="5"/>
  <c r="AE31" i="3"/>
  <c r="AE31" i="5"/>
  <c r="S31" i="5"/>
  <c r="G31" i="5"/>
  <c r="AV30" i="3"/>
  <c r="AV30" i="5"/>
  <c r="AJ30" i="5"/>
  <c r="X30" i="5"/>
  <c r="L30" i="3"/>
  <c r="L30" i="5"/>
  <c r="BA29" i="3"/>
  <c r="BA29" i="5"/>
  <c r="AO29" i="3"/>
  <c r="AO29" i="5"/>
  <c r="AC29" i="3"/>
  <c r="AC29" i="5"/>
  <c r="Q29" i="5"/>
  <c r="E29" i="3"/>
  <c r="E29" i="5"/>
  <c r="AT28" i="3"/>
  <c r="AT28" i="5"/>
  <c r="AH28" i="3"/>
  <c r="AH28" i="5"/>
  <c r="V28" i="3"/>
  <c r="V28" i="5"/>
  <c r="J28" i="3"/>
  <c r="J28" i="5"/>
  <c r="AY27" i="3"/>
  <c r="AY27" i="5"/>
  <c r="AM27" i="3"/>
  <c r="AM27" i="5"/>
  <c r="AA27" i="3"/>
  <c r="AA27" i="5"/>
  <c r="O27" i="3"/>
  <c r="O27" i="5"/>
  <c r="BD26" i="3"/>
  <c r="BD26" i="5"/>
  <c r="AR26" i="3"/>
  <c r="AR26" i="5"/>
  <c r="AF26" i="3"/>
  <c r="AF26" i="5"/>
  <c r="T26" i="3"/>
  <c r="T26" i="5"/>
  <c r="H26" i="3"/>
  <c r="H26" i="5"/>
  <c r="AW25" i="3"/>
  <c r="AW25" i="5"/>
  <c r="AK25" i="3"/>
  <c r="AK25" i="5"/>
  <c r="Y25" i="3"/>
  <c r="Y25" i="5"/>
  <c r="M25" i="3"/>
  <c r="M25" i="5"/>
  <c r="BB24" i="3"/>
  <c r="BB24" i="5"/>
  <c r="AP24" i="3"/>
  <c r="AP24" i="5"/>
  <c r="AD24" i="3"/>
  <c r="AD24" i="5"/>
  <c r="R24" i="3"/>
  <c r="R24" i="5"/>
  <c r="F24" i="3"/>
  <c r="F24" i="5"/>
  <c r="AU23" i="3"/>
  <c r="AU23" i="5"/>
  <c r="AI23" i="3"/>
  <c r="AI23" i="5"/>
  <c r="W23" i="3"/>
  <c r="W23" i="5"/>
  <c r="K23" i="3"/>
  <c r="K23" i="5"/>
  <c r="AZ22" i="3"/>
  <c r="AZ22" i="5"/>
  <c r="AN22" i="3"/>
  <c r="AN22" i="5"/>
  <c r="AB22" i="3"/>
  <c r="AB22" i="5"/>
  <c r="P22" i="3"/>
  <c r="P22" i="5"/>
  <c r="D22" i="3"/>
  <c r="D22" i="5"/>
  <c r="AS21" i="3"/>
  <c r="AS21" i="5"/>
  <c r="AG21" i="3"/>
  <c r="AG21" i="5"/>
  <c r="U21" i="3"/>
  <c r="U21" i="5"/>
  <c r="I21" i="3"/>
  <c r="I21" i="5"/>
  <c r="AX20" i="3"/>
  <c r="AX20" i="5"/>
  <c r="AL20" i="3"/>
  <c r="AL20" i="5"/>
  <c r="Z20" i="3"/>
  <c r="Z20" i="5"/>
  <c r="N20" i="3"/>
  <c r="N20" i="5"/>
  <c r="BC19" i="3"/>
  <c r="BC19" i="5"/>
  <c r="AQ19" i="3"/>
  <c r="AQ19" i="5"/>
  <c r="AE19" i="3"/>
  <c r="AE19" i="5"/>
  <c r="S19" i="3"/>
  <c r="S19" i="5"/>
  <c r="G19" i="3"/>
  <c r="G19" i="5"/>
  <c r="AV18" i="3"/>
  <c r="AV18" i="5"/>
  <c r="AJ18" i="3"/>
  <c r="AJ18" i="5"/>
  <c r="X18" i="3"/>
  <c r="X18" i="5"/>
  <c r="L18" i="3"/>
  <c r="L18" i="5"/>
  <c r="BA17" i="3"/>
  <c r="BA17" i="5"/>
  <c r="AO17" i="3"/>
  <c r="AO17" i="5"/>
  <c r="AC17" i="3"/>
  <c r="AC17" i="5"/>
  <c r="Q17" i="3"/>
  <c r="Q17" i="5"/>
  <c r="E17" i="3"/>
  <c r="E17" i="5"/>
  <c r="AT16" i="3"/>
  <c r="AT16" i="5"/>
  <c r="AH16" i="3"/>
  <c r="AH16" i="5"/>
  <c r="V16" i="3"/>
  <c r="V16" i="5"/>
  <c r="J16" i="3"/>
  <c r="J16" i="5"/>
  <c r="AY15" i="3"/>
  <c r="AY15" i="5"/>
  <c r="AM15" i="3"/>
  <c r="AM15" i="5"/>
  <c r="AA15" i="3"/>
  <c r="AA15" i="5"/>
  <c r="O15" i="3"/>
  <c r="O15" i="5"/>
  <c r="BD14" i="3"/>
  <c r="BD14" i="5"/>
  <c r="AR14" i="3"/>
  <c r="AR14" i="5"/>
  <c r="AF14" i="3"/>
  <c r="AF14" i="5"/>
  <c r="T14" i="3"/>
  <c r="T14" i="5"/>
  <c r="H14" i="3"/>
  <c r="H14" i="5"/>
  <c r="AW13" i="3"/>
  <c r="AW13" i="5"/>
  <c r="AK13" i="3"/>
  <c r="AK13" i="5"/>
  <c r="Y13" i="3"/>
  <c r="Y13" i="5"/>
  <c r="M13" i="3"/>
  <c r="M13" i="5"/>
  <c r="BB12" i="3"/>
  <c r="BB12" i="5"/>
  <c r="AP12" i="3"/>
  <c r="AP12" i="5"/>
  <c r="AD12" i="3"/>
  <c r="AD12" i="5"/>
  <c r="R12" i="3"/>
  <c r="R12" i="5"/>
  <c r="F12" i="3"/>
  <c r="F12" i="5"/>
  <c r="AU11" i="3"/>
  <c r="AU11" i="5"/>
  <c r="AI11" i="3"/>
  <c r="AI11" i="5"/>
  <c r="W11" i="3"/>
  <c r="W11" i="5"/>
  <c r="K11" i="3"/>
  <c r="K11" i="5"/>
  <c r="AZ10" i="3"/>
  <c r="AZ10" i="5"/>
  <c r="AN10" i="3"/>
  <c r="AN10" i="5"/>
  <c r="AB10" i="3"/>
  <c r="AB10" i="5"/>
  <c r="P10" i="3"/>
  <c r="P10" i="5"/>
  <c r="D10" i="3"/>
  <c r="D10" i="5"/>
  <c r="AS9" i="3"/>
  <c r="AS9" i="5"/>
  <c r="AG9" i="3"/>
  <c r="AG9" i="5"/>
  <c r="U9" i="3"/>
  <c r="U9" i="5"/>
  <c r="I9" i="3"/>
  <c r="I9" i="5"/>
  <c r="AX8" i="3"/>
  <c r="AX8" i="5"/>
  <c r="AL8" i="3"/>
  <c r="AL8" i="5"/>
  <c r="Z8" i="3"/>
  <c r="Z8" i="5"/>
  <c r="N8" i="3"/>
  <c r="N8" i="5"/>
  <c r="BC7" i="3"/>
  <c r="BC7" i="5"/>
  <c r="AQ7" i="3"/>
  <c r="AQ7" i="5"/>
  <c r="AE7" i="3"/>
  <c r="AE7" i="5"/>
  <c r="S7" i="3"/>
  <c r="S7" i="5"/>
  <c r="G7" i="3"/>
  <c r="G7" i="5"/>
  <c r="AV6" i="3"/>
  <c r="AV6" i="5"/>
  <c r="AJ6" i="3"/>
  <c r="AJ6" i="5"/>
  <c r="X6" i="3"/>
  <c r="X6" i="5"/>
  <c r="L6" i="3"/>
  <c r="L6" i="5"/>
  <c r="BA5" i="3"/>
  <c r="BA5" i="5"/>
  <c r="AO5" i="3"/>
  <c r="AO5" i="5"/>
  <c r="AC5" i="3"/>
  <c r="AC5" i="5"/>
  <c r="Q5" i="3"/>
  <c r="Q5" i="5"/>
  <c r="E5" i="3"/>
  <c r="E5" i="5"/>
  <c r="AT4" i="3"/>
  <c r="AT4" i="5"/>
  <c r="AH4" i="3"/>
  <c r="AH4" i="5"/>
  <c r="V4" i="3"/>
  <c r="V4" i="5"/>
  <c r="J4" i="3"/>
  <c r="J4" i="5"/>
  <c r="AY3" i="3"/>
  <c r="AY3" i="5"/>
  <c r="AM3" i="3"/>
  <c r="AM3" i="5"/>
  <c r="AA3" i="3"/>
  <c r="AA3" i="5"/>
  <c r="O3" i="3"/>
  <c r="O3" i="5"/>
  <c r="C6" i="3"/>
  <c r="C6" i="5"/>
  <c r="AG54" i="3"/>
  <c r="AG54" i="5"/>
  <c r="AV51" i="3"/>
  <c r="AV51" i="5"/>
  <c r="V49" i="3"/>
  <c r="V49" i="5"/>
  <c r="AK46" i="5"/>
  <c r="W44" i="3"/>
  <c r="W44" i="5"/>
  <c r="I42" i="5"/>
  <c r="G40" i="3"/>
  <c r="G40" i="5"/>
  <c r="AH37" i="3"/>
  <c r="AH37" i="5"/>
  <c r="AW34" i="3"/>
  <c r="AW34" i="5"/>
  <c r="AZ31" i="3"/>
  <c r="AZ31" i="5"/>
  <c r="Z29" i="3"/>
  <c r="Z29" i="5"/>
  <c r="L27" i="3"/>
  <c r="L27" i="5"/>
  <c r="V25" i="3"/>
  <c r="V25" i="5"/>
  <c r="AK22" i="3"/>
  <c r="AK22" i="5"/>
  <c r="F21" i="3"/>
  <c r="F21" i="5"/>
  <c r="AG18" i="3"/>
  <c r="AG18" i="5"/>
  <c r="AV15" i="3"/>
  <c r="AV15" i="5"/>
  <c r="E14" i="3"/>
  <c r="E14" i="5"/>
  <c r="BB9" i="3"/>
  <c r="BB9" i="5"/>
  <c r="AR56" i="3"/>
  <c r="AR56" i="5"/>
  <c r="AP54" i="3"/>
  <c r="AP54" i="5"/>
  <c r="C25" i="3"/>
  <c r="C25" i="5"/>
  <c r="AU55" i="3"/>
  <c r="AU55" i="5"/>
  <c r="P54" i="3"/>
  <c r="P54" i="5"/>
  <c r="AL52" i="3"/>
  <c r="AL52" i="5"/>
  <c r="G51" i="3"/>
  <c r="G51" i="5"/>
  <c r="AC49" i="3"/>
  <c r="AC49" i="5"/>
  <c r="J48" i="5"/>
  <c r="O47" i="5"/>
  <c r="Y45" i="3"/>
  <c r="Y45" i="5"/>
  <c r="C47" i="3"/>
  <c r="C47" i="5"/>
  <c r="C34" i="3"/>
  <c r="C34" i="5"/>
  <c r="C45" i="3"/>
  <c r="C45" i="5"/>
  <c r="C21" i="3"/>
  <c r="C21" i="5"/>
  <c r="AX56" i="3"/>
  <c r="AX56" i="5"/>
  <c r="Z56" i="3"/>
  <c r="Z56" i="5"/>
  <c r="C56" i="3"/>
  <c r="C56" i="5"/>
  <c r="C44" i="3"/>
  <c r="C44" i="5"/>
  <c r="C32" i="3"/>
  <c r="C32" i="5"/>
  <c r="C20" i="3"/>
  <c r="C20" i="5"/>
  <c r="C8" i="3"/>
  <c r="C8" i="5"/>
  <c r="AW56" i="3"/>
  <c r="AW56" i="5"/>
  <c r="AK56" i="3"/>
  <c r="AK56" i="5"/>
  <c r="Y56" i="3"/>
  <c r="Y56" i="5"/>
  <c r="M56" i="3"/>
  <c r="M56" i="5"/>
  <c r="BB55" i="3"/>
  <c r="BB55" i="5"/>
  <c r="AP55" i="3"/>
  <c r="AP55" i="5"/>
  <c r="AD55" i="3"/>
  <c r="AD55" i="5"/>
  <c r="R55" i="3"/>
  <c r="R55" i="5"/>
  <c r="F55" i="3"/>
  <c r="F55" i="5"/>
  <c r="AU54" i="3"/>
  <c r="AU54" i="5"/>
  <c r="AI54" i="3"/>
  <c r="AI54" i="5"/>
  <c r="W54" i="3"/>
  <c r="W54" i="5"/>
  <c r="K54" i="3"/>
  <c r="K54" i="5"/>
  <c r="AZ53" i="3"/>
  <c r="AZ53" i="5"/>
  <c r="AN53" i="5"/>
  <c r="AB53" i="5"/>
  <c r="P53" i="3"/>
  <c r="P53" i="5"/>
  <c r="D53" i="3"/>
  <c r="D53" i="5"/>
  <c r="AS52" i="5"/>
  <c r="AG52" i="3"/>
  <c r="AG52" i="5"/>
  <c r="U52" i="3"/>
  <c r="U52" i="5"/>
  <c r="I52" i="5"/>
  <c r="AX51" i="3"/>
  <c r="AX51" i="5"/>
  <c r="AL51" i="3"/>
  <c r="AL51" i="5"/>
  <c r="Z51" i="3"/>
  <c r="Z51" i="5"/>
  <c r="N51" i="3"/>
  <c r="N51" i="5"/>
  <c r="BC50" i="3"/>
  <c r="BC50" i="5"/>
  <c r="AQ50" i="3"/>
  <c r="AQ50" i="5"/>
  <c r="AE50" i="3"/>
  <c r="AE50" i="5"/>
  <c r="S50" i="3"/>
  <c r="S50" i="5"/>
  <c r="G50" i="3"/>
  <c r="G50" i="5"/>
  <c r="AV49" i="3"/>
  <c r="AV49" i="5"/>
  <c r="AJ49" i="3"/>
  <c r="AJ49" i="5"/>
  <c r="X49" i="3"/>
  <c r="X49" i="5"/>
  <c r="L49" i="3"/>
  <c r="L49" i="5"/>
  <c r="BA48" i="3"/>
  <c r="BA48" i="5"/>
  <c r="AO48" i="5"/>
  <c r="AC48" i="3"/>
  <c r="AC48" i="5"/>
  <c r="Q48" i="3"/>
  <c r="Q48" i="5"/>
  <c r="E48" i="3"/>
  <c r="E48" i="5"/>
  <c r="AT47" i="3"/>
  <c r="AT47" i="5"/>
  <c r="AH47" i="3"/>
  <c r="AH47" i="5"/>
  <c r="V47" i="3"/>
  <c r="V47" i="5"/>
  <c r="J47" i="5"/>
  <c r="AY46" i="5"/>
  <c r="AM46" i="3"/>
  <c r="AM46" i="5"/>
  <c r="AA46" i="5"/>
  <c r="O46" i="5"/>
  <c r="BD45" i="5"/>
  <c r="AR45" i="3"/>
  <c r="AR45" i="5"/>
  <c r="AF45" i="3"/>
  <c r="AF45" i="5"/>
  <c r="T45" i="5"/>
  <c r="H45" i="5"/>
  <c r="AW44" i="5"/>
  <c r="AK44" i="5"/>
  <c r="Y44" i="5"/>
  <c r="M44" i="5"/>
  <c r="BB43" i="5"/>
  <c r="AP43" i="3"/>
  <c r="AP43" i="5"/>
  <c r="AD43" i="3"/>
  <c r="AD43" i="5"/>
  <c r="R43" i="5"/>
  <c r="F43" i="5"/>
  <c r="AU42" i="5"/>
  <c r="AI42" i="5"/>
  <c r="W42" i="5"/>
  <c r="K42" i="3"/>
  <c r="K42" i="5"/>
  <c r="AZ41" i="3"/>
  <c r="AZ41" i="5"/>
  <c r="AN41" i="3"/>
  <c r="AN41" i="5"/>
  <c r="AB41" i="5"/>
  <c r="P41" i="3"/>
  <c r="P41" i="5"/>
  <c r="D41" i="3"/>
  <c r="D41" i="5"/>
  <c r="AS40" i="3"/>
  <c r="AS40" i="5"/>
  <c r="AG40" i="3"/>
  <c r="AG40" i="5"/>
  <c r="U40" i="3"/>
  <c r="U40" i="5"/>
  <c r="I40" i="5"/>
  <c r="AX39" i="5"/>
  <c r="AL39" i="3"/>
  <c r="AL39" i="5"/>
  <c r="Z39" i="5"/>
  <c r="N39" i="5"/>
  <c r="BC38" i="5"/>
  <c r="AQ38" i="3"/>
  <c r="AQ38" i="5"/>
  <c r="AE38" i="5"/>
  <c r="S38" i="5"/>
  <c r="G38" i="5"/>
  <c r="AV37" i="3"/>
  <c r="AV37" i="5"/>
  <c r="AJ37" i="3"/>
  <c r="AJ37" i="5"/>
  <c r="X37" i="3"/>
  <c r="X37" i="5"/>
  <c r="L37" i="3"/>
  <c r="L37" i="5"/>
  <c r="BA36" i="3"/>
  <c r="BA36" i="5"/>
  <c r="AO36" i="3"/>
  <c r="AO36" i="5"/>
  <c r="AC36" i="3"/>
  <c r="AC36" i="5"/>
  <c r="Q36" i="3"/>
  <c r="Q36" i="5"/>
  <c r="E36" i="3"/>
  <c r="E36" i="5"/>
  <c r="AT35" i="3"/>
  <c r="AT35" i="5"/>
  <c r="AH35" i="3"/>
  <c r="AH35" i="5"/>
  <c r="V35" i="3"/>
  <c r="V35" i="5"/>
  <c r="J35" i="5"/>
  <c r="AY34" i="5"/>
  <c r="AM34" i="3"/>
  <c r="AM34" i="5"/>
  <c r="AA34" i="5"/>
  <c r="O34" i="5"/>
  <c r="BD33" i="5"/>
  <c r="AR33" i="3"/>
  <c r="AR33" i="5"/>
  <c r="AF33" i="5"/>
  <c r="T33" i="5"/>
  <c r="H33" i="5"/>
  <c r="AW32" i="3"/>
  <c r="AW32" i="5"/>
  <c r="AK32" i="3"/>
  <c r="AK32" i="5"/>
  <c r="Y32" i="3"/>
  <c r="Y32" i="5"/>
  <c r="M32" i="3"/>
  <c r="M32" i="5"/>
  <c r="BB31" i="3"/>
  <c r="BB31" i="5"/>
  <c r="AP31" i="3"/>
  <c r="AP31" i="5"/>
  <c r="AD31" i="3"/>
  <c r="AD31" i="5"/>
  <c r="R31" i="3"/>
  <c r="R31" i="5"/>
  <c r="F31" i="3"/>
  <c r="F31" i="5"/>
  <c r="AU30" i="3"/>
  <c r="AU30" i="5"/>
  <c r="AI30" i="5"/>
  <c r="W30" i="3"/>
  <c r="W30" i="5"/>
  <c r="K30" i="3"/>
  <c r="K30" i="5"/>
  <c r="AZ29" i="3"/>
  <c r="AZ29" i="5"/>
  <c r="AN29" i="3"/>
  <c r="AN29" i="5"/>
  <c r="AB29" i="3"/>
  <c r="AB29" i="5"/>
  <c r="P29" i="3"/>
  <c r="P29" i="5"/>
  <c r="D29" i="3"/>
  <c r="D29" i="5"/>
  <c r="AS28" i="3"/>
  <c r="AS28" i="5"/>
  <c r="AG28" i="3"/>
  <c r="AG28" i="5"/>
  <c r="U28" i="3"/>
  <c r="U28" i="5"/>
  <c r="I28" i="3"/>
  <c r="I28" i="5"/>
  <c r="AX27" i="3"/>
  <c r="AX27" i="5"/>
  <c r="AL27" i="3"/>
  <c r="AL27" i="5"/>
  <c r="Z27" i="3"/>
  <c r="Z27" i="5"/>
  <c r="N27" i="3"/>
  <c r="N27" i="5"/>
  <c r="BC26" i="3"/>
  <c r="BC26" i="5"/>
  <c r="AQ26" i="3"/>
  <c r="AQ26" i="5"/>
  <c r="AE26" i="3"/>
  <c r="AE26" i="5"/>
  <c r="S26" i="3"/>
  <c r="S26" i="5"/>
  <c r="G26" i="3"/>
  <c r="G26" i="5"/>
  <c r="AV25" i="3"/>
  <c r="AV25" i="5"/>
  <c r="AJ25" i="3"/>
  <c r="AJ25" i="5"/>
  <c r="X25" i="3"/>
  <c r="X25" i="5"/>
  <c r="L25" i="3"/>
  <c r="L25" i="5"/>
  <c r="BA24" i="3"/>
  <c r="BA24" i="5"/>
  <c r="AO24" i="3"/>
  <c r="AO24" i="5"/>
  <c r="AC24" i="3"/>
  <c r="AC24" i="5"/>
  <c r="Q24" i="3"/>
  <c r="Q24" i="5"/>
  <c r="E24" i="3"/>
  <c r="E24" i="5"/>
  <c r="AT23" i="3"/>
  <c r="AT23" i="5"/>
  <c r="AH23" i="3"/>
  <c r="AH23" i="5"/>
  <c r="V23" i="3"/>
  <c r="V23" i="5"/>
  <c r="J23" i="3"/>
  <c r="J23" i="5"/>
  <c r="AY22" i="3"/>
  <c r="AY22" i="5"/>
  <c r="AM22" i="3"/>
  <c r="AM22" i="5"/>
  <c r="AA22" i="3"/>
  <c r="AA22" i="5"/>
  <c r="O22" i="3"/>
  <c r="O22" i="5"/>
  <c r="BD21" i="3"/>
  <c r="BD21" i="5"/>
  <c r="AR21" i="3"/>
  <c r="AR21" i="5"/>
  <c r="AF21" i="3"/>
  <c r="AF21" i="5"/>
  <c r="T21" i="3"/>
  <c r="T21" i="5"/>
  <c r="H21" i="3"/>
  <c r="H21" i="5"/>
  <c r="AW20" i="3"/>
  <c r="AW20" i="5"/>
  <c r="AK20" i="3"/>
  <c r="AK20" i="5"/>
  <c r="Y20" i="3"/>
  <c r="Y20" i="5"/>
  <c r="M20" i="3"/>
  <c r="M20" i="5"/>
  <c r="BB19" i="3"/>
  <c r="BB19" i="5"/>
  <c r="AP19" i="3"/>
  <c r="AP19" i="5"/>
  <c r="AD19" i="3"/>
  <c r="AD19" i="5"/>
  <c r="R19" i="3"/>
  <c r="R19" i="5"/>
  <c r="F19" i="3"/>
  <c r="F19" i="5"/>
  <c r="AU18" i="3"/>
  <c r="AU18" i="5"/>
  <c r="AI18" i="3"/>
  <c r="AI18" i="5"/>
  <c r="W18" i="3"/>
  <c r="W18" i="5"/>
  <c r="K18" i="3"/>
  <c r="K18" i="5"/>
  <c r="AZ17" i="3"/>
  <c r="AZ17" i="5"/>
  <c r="AN17" i="3"/>
  <c r="AN17" i="5"/>
  <c r="AB17" i="3"/>
  <c r="AB17" i="5"/>
  <c r="P17" i="3"/>
  <c r="P17" i="5"/>
  <c r="D17" i="3"/>
  <c r="D17" i="5"/>
  <c r="AS16" i="3"/>
  <c r="AS16" i="5"/>
  <c r="AG16" i="3"/>
  <c r="AG16" i="5"/>
  <c r="U16" i="3"/>
  <c r="U16" i="5"/>
  <c r="I16" i="3"/>
  <c r="I16" i="5"/>
  <c r="AX15" i="3"/>
  <c r="AX15" i="5"/>
  <c r="AL15" i="3"/>
  <c r="AL15" i="5"/>
  <c r="Z15" i="3"/>
  <c r="Z15" i="5"/>
  <c r="N15" i="3"/>
  <c r="N15" i="5"/>
  <c r="BC14" i="3"/>
  <c r="BC14" i="5"/>
  <c r="AQ14" i="3"/>
  <c r="AQ14" i="5"/>
  <c r="AE14" i="3"/>
  <c r="AE14" i="5"/>
  <c r="S14" i="3"/>
  <c r="S14" i="5"/>
  <c r="G14" i="3"/>
  <c r="G14" i="5"/>
  <c r="AV13" i="3"/>
  <c r="AV13" i="5"/>
  <c r="AJ13" i="3"/>
  <c r="AJ13" i="5"/>
  <c r="X13" i="3"/>
  <c r="X13" i="5"/>
  <c r="L13" i="3"/>
  <c r="L13" i="5"/>
  <c r="BA12" i="3"/>
  <c r="BA12" i="5"/>
  <c r="AO12" i="3"/>
  <c r="AO12" i="5"/>
  <c r="AC12" i="3"/>
  <c r="AC12" i="5"/>
  <c r="Q12" i="3"/>
  <c r="Q12" i="5"/>
  <c r="E12" i="3"/>
  <c r="E12" i="5"/>
  <c r="AT11" i="3"/>
  <c r="AT11" i="5"/>
  <c r="AH11" i="3"/>
  <c r="AH11" i="5"/>
  <c r="V11" i="3"/>
  <c r="V11" i="5"/>
  <c r="J11" i="3"/>
  <c r="J11" i="5"/>
  <c r="AY10" i="3"/>
  <c r="AY10" i="5"/>
  <c r="AM10" i="3"/>
  <c r="AM10" i="5"/>
  <c r="AA10" i="3"/>
  <c r="AA10" i="5"/>
  <c r="O10" i="3"/>
  <c r="O10" i="5"/>
  <c r="BD9" i="3"/>
  <c r="BD9" i="5"/>
  <c r="AR9" i="3"/>
  <c r="AR9" i="5"/>
  <c r="AF9" i="3"/>
  <c r="AF9" i="5"/>
  <c r="T9" i="3"/>
  <c r="T9" i="5"/>
  <c r="H9" i="3"/>
  <c r="H9" i="5"/>
  <c r="AW8" i="3"/>
  <c r="AW8" i="5"/>
  <c r="AK8" i="3"/>
  <c r="AK8" i="5"/>
  <c r="Y8" i="3"/>
  <c r="Y8" i="5"/>
  <c r="M8" i="3"/>
  <c r="M8" i="5"/>
  <c r="BB7" i="3"/>
  <c r="BB7" i="5"/>
  <c r="AP7" i="3"/>
  <c r="AP7" i="5"/>
  <c r="AD7" i="3"/>
  <c r="AD7" i="5"/>
  <c r="R7" i="3"/>
  <c r="R7" i="5"/>
  <c r="F7" i="3"/>
  <c r="F7" i="5"/>
  <c r="AU6" i="3"/>
  <c r="AU6" i="5"/>
  <c r="AI6" i="3"/>
  <c r="AI6" i="5"/>
  <c r="W6" i="3"/>
  <c r="W6" i="5"/>
  <c r="K6" i="3"/>
  <c r="K6" i="5"/>
  <c r="AZ5" i="3"/>
  <c r="AZ5" i="5"/>
  <c r="AN5" i="3"/>
  <c r="AN5" i="5"/>
  <c r="AB5" i="3"/>
  <c r="AB5" i="5"/>
  <c r="P5" i="3"/>
  <c r="P5" i="5"/>
  <c r="D5" i="3"/>
  <c r="D5" i="5"/>
  <c r="AS4" i="3"/>
  <c r="AS4" i="5"/>
  <c r="AG4" i="3"/>
  <c r="AG4" i="5"/>
  <c r="U4" i="3"/>
  <c r="U4" i="5"/>
  <c r="I4" i="3"/>
  <c r="I4" i="5"/>
  <c r="AX3" i="3"/>
  <c r="AX3" i="5"/>
  <c r="AL3" i="3"/>
  <c r="AL3" i="5"/>
  <c r="Z3" i="3"/>
  <c r="Z3" i="5"/>
  <c r="N3" i="3"/>
  <c r="N3" i="5"/>
  <c r="AZ55" i="3"/>
  <c r="AZ55" i="5"/>
  <c r="Z53" i="5"/>
  <c r="L51" i="3"/>
  <c r="L51" i="5"/>
  <c r="J49" i="5"/>
  <c r="H47" i="5"/>
  <c r="F45" i="3"/>
  <c r="F45" i="5"/>
  <c r="AG42" i="3"/>
  <c r="AG42" i="5"/>
  <c r="AV39" i="3"/>
  <c r="AV39" i="5"/>
  <c r="AY36" i="5"/>
  <c r="BB33" i="5"/>
  <c r="AB31" i="5"/>
  <c r="BC28" i="3"/>
  <c r="BC28" i="5"/>
  <c r="AC26" i="3"/>
  <c r="AC26" i="5"/>
  <c r="BD23" i="3"/>
  <c r="BD23" i="5"/>
  <c r="AD21" i="3"/>
  <c r="AD21" i="5"/>
  <c r="AS18" i="3"/>
  <c r="AS18" i="5"/>
  <c r="S16" i="3"/>
  <c r="S16" i="5"/>
  <c r="AY12" i="3"/>
  <c r="AY12" i="5"/>
  <c r="AD9" i="3"/>
  <c r="AD9" i="5"/>
  <c r="C15" i="3"/>
  <c r="C15" i="5"/>
  <c r="BB54" i="3"/>
  <c r="BB54" i="5"/>
  <c r="C37" i="3"/>
  <c r="C37" i="5"/>
  <c r="F56" i="3"/>
  <c r="F56" i="5"/>
  <c r="AB54" i="5"/>
  <c r="I53" i="5"/>
  <c r="AE51" i="3"/>
  <c r="AE51" i="5"/>
  <c r="AO49" i="3"/>
  <c r="AO49" i="5"/>
  <c r="V48" i="3"/>
  <c r="V48" i="5"/>
  <c r="AF46" i="3"/>
  <c r="AF46" i="5"/>
  <c r="M45" i="3"/>
  <c r="M45" i="5"/>
  <c r="C35" i="3"/>
  <c r="C35" i="5"/>
  <c r="C22" i="3"/>
  <c r="C22" i="5"/>
  <c r="C3" i="3"/>
  <c r="C3" i="5"/>
  <c r="C55" i="3"/>
  <c r="C55" i="5"/>
  <c r="C43" i="3"/>
  <c r="C43" i="5"/>
  <c r="C31" i="3"/>
  <c r="C31" i="5"/>
  <c r="C19" i="3"/>
  <c r="C19" i="5"/>
  <c r="C7" i="3"/>
  <c r="C7" i="5"/>
  <c r="AV56" i="3"/>
  <c r="AV56" i="5"/>
  <c r="AJ56" i="3"/>
  <c r="AJ56" i="5"/>
  <c r="X56" i="3"/>
  <c r="X56" i="5"/>
  <c r="L56" i="3"/>
  <c r="L56" i="5"/>
  <c r="BA55" i="3"/>
  <c r="BA55" i="5"/>
  <c r="AO55" i="3"/>
  <c r="AO55" i="5"/>
  <c r="AC55" i="3"/>
  <c r="AC55" i="5"/>
  <c r="Q55" i="3"/>
  <c r="Q55" i="5"/>
  <c r="E55" i="3"/>
  <c r="E55" i="5"/>
  <c r="AT54" i="3"/>
  <c r="AT54" i="5"/>
  <c r="AH54" i="3"/>
  <c r="AH54" i="5"/>
  <c r="V54" i="3"/>
  <c r="V54" i="5"/>
  <c r="J54" i="5"/>
  <c r="AY53" i="5"/>
  <c r="AM53" i="3"/>
  <c r="AM53" i="5"/>
  <c r="AA53" i="5"/>
  <c r="O53" i="5"/>
  <c r="BD52" i="5"/>
  <c r="AR52" i="3"/>
  <c r="AR52" i="5"/>
  <c r="AF52" i="5"/>
  <c r="T52" i="5"/>
  <c r="H52" i="5"/>
  <c r="AW51" i="3"/>
  <c r="AW51" i="5"/>
  <c r="AK51" i="3"/>
  <c r="AK51" i="5"/>
  <c r="Y51" i="3"/>
  <c r="Y51" i="5"/>
  <c r="M51" i="3"/>
  <c r="M51" i="5"/>
  <c r="BB50" i="3"/>
  <c r="BB50" i="5"/>
  <c r="AP50" i="3"/>
  <c r="AP50" i="5"/>
  <c r="AD50" i="3"/>
  <c r="AD50" i="5"/>
  <c r="R50" i="3"/>
  <c r="R50" i="5"/>
  <c r="F50" i="3"/>
  <c r="F50" i="5"/>
  <c r="AU49" i="3"/>
  <c r="AU49" i="5"/>
  <c r="AI49" i="3"/>
  <c r="AI49" i="5"/>
  <c r="W49" i="3"/>
  <c r="W49" i="5"/>
  <c r="K49" i="3"/>
  <c r="K49" i="5"/>
  <c r="AZ48" i="3"/>
  <c r="AZ48" i="5"/>
  <c r="AN48" i="3"/>
  <c r="AN48" i="5"/>
  <c r="AB48" i="5"/>
  <c r="P48" i="3"/>
  <c r="P48" i="5"/>
  <c r="D48" i="3"/>
  <c r="D48" i="5"/>
  <c r="AS47" i="3"/>
  <c r="AS47" i="5"/>
  <c r="AG47" i="3"/>
  <c r="AG47" i="5"/>
  <c r="U47" i="3"/>
  <c r="U47" i="5"/>
  <c r="I47" i="5"/>
  <c r="AX46" i="5"/>
  <c r="AL46" i="3"/>
  <c r="AL46" i="5"/>
  <c r="Z46" i="3"/>
  <c r="Z46" i="5"/>
  <c r="N46" i="5"/>
  <c r="BC45" i="5"/>
  <c r="AQ45" i="3"/>
  <c r="AQ45" i="5"/>
  <c r="AE45" i="3"/>
  <c r="AE45" i="5"/>
  <c r="S45" i="5"/>
  <c r="G45" i="5"/>
  <c r="AV44" i="5"/>
  <c r="AJ44" i="5"/>
  <c r="X44" i="5"/>
  <c r="L44" i="3"/>
  <c r="L44" i="5"/>
  <c r="BA43" i="5"/>
  <c r="AO43" i="5"/>
  <c r="AC43" i="3"/>
  <c r="AC43" i="5"/>
  <c r="Q43" i="3"/>
  <c r="Q43" i="5"/>
  <c r="E43" i="5"/>
  <c r="AT42" i="5"/>
  <c r="AH42" i="5"/>
  <c r="V42" i="3"/>
  <c r="V42" i="5"/>
  <c r="J42" i="5"/>
  <c r="AY41" i="5"/>
  <c r="AM41" i="3"/>
  <c r="AM41" i="5"/>
  <c r="AA41" i="3"/>
  <c r="AA41" i="5"/>
  <c r="O41" i="5"/>
  <c r="BD40" i="3"/>
  <c r="BD40" i="5"/>
  <c r="AR40" i="3"/>
  <c r="AR40" i="5"/>
  <c r="AF40" i="3"/>
  <c r="AF40" i="5"/>
  <c r="T40" i="5"/>
  <c r="H40" i="3"/>
  <c r="H40" i="5"/>
  <c r="AW39" i="3"/>
  <c r="AW39" i="5"/>
  <c r="AK39" i="5"/>
  <c r="Y39" i="5"/>
  <c r="M39" i="3"/>
  <c r="M39" i="5"/>
  <c r="BB38" i="5"/>
  <c r="AP38" i="3"/>
  <c r="AP38" i="5"/>
  <c r="AD38" i="3"/>
  <c r="AD38" i="5"/>
  <c r="R38" i="5"/>
  <c r="F38" i="5"/>
  <c r="AU37" i="3"/>
  <c r="AU37" i="5"/>
  <c r="AI37" i="3"/>
  <c r="AI37" i="5"/>
  <c r="W37" i="3"/>
  <c r="W37" i="5"/>
  <c r="K37" i="3"/>
  <c r="K37" i="5"/>
  <c r="AZ36" i="3"/>
  <c r="AZ36" i="5"/>
  <c r="AN36" i="3"/>
  <c r="AN36" i="5"/>
  <c r="AB36" i="5"/>
  <c r="P36" i="3"/>
  <c r="P36" i="5"/>
  <c r="D36" i="3"/>
  <c r="D36" i="5"/>
  <c r="AS35" i="3"/>
  <c r="AS35" i="5"/>
  <c r="AG35" i="3"/>
  <c r="AG35" i="5"/>
  <c r="U35" i="3"/>
  <c r="U35" i="5"/>
  <c r="I35" i="5"/>
  <c r="AX34" i="5"/>
  <c r="AL34" i="3"/>
  <c r="AL34" i="5"/>
  <c r="Z34" i="5"/>
  <c r="N34" i="5"/>
  <c r="BC33" i="5"/>
  <c r="AQ33" i="3"/>
  <c r="AQ33" i="5"/>
  <c r="AE33" i="5"/>
  <c r="S33" i="5"/>
  <c r="G33" i="5"/>
  <c r="AV32" i="3"/>
  <c r="AV32" i="5"/>
  <c r="AJ32" i="3"/>
  <c r="AJ32" i="5"/>
  <c r="X32" i="3"/>
  <c r="X32" i="5"/>
  <c r="L32" i="3"/>
  <c r="L32" i="5"/>
  <c r="BA31" i="3"/>
  <c r="BA31" i="5"/>
  <c r="AO31" i="5"/>
  <c r="AC31" i="3"/>
  <c r="AC31" i="5"/>
  <c r="Q31" i="3"/>
  <c r="Q31" i="5"/>
  <c r="E31" i="3"/>
  <c r="E31" i="5"/>
  <c r="AT30" i="5"/>
  <c r="AH30" i="3"/>
  <c r="AH30" i="5"/>
  <c r="V30" i="3"/>
  <c r="V30" i="5"/>
  <c r="J30" i="5"/>
  <c r="AY29" i="3"/>
  <c r="AY29" i="5"/>
  <c r="AM29" i="3"/>
  <c r="AM29" i="5"/>
  <c r="AA29" i="3"/>
  <c r="AA29" i="5"/>
  <c r="O29" i="3"/>
  <c r="O29" i="5"/>
  <c r="BD28" i="3"/>
  <c r="BD28" i="5"/>
  <c r="AR28" i="3"/>
  <c r="AR28" i="5"/>
  <c r="AF28" i="3"/>
  <c r="AF28" i="5"/>
  <c r="T28" i="3"/>
  <c r="T28" i="5"/>
  <c r="H28" i="3"/>
  <c r="H28" i="5"/>
  <c r="AW27" i="3"/>
  <c r="AW27" i="5"/>
  <c r="AK27" i="3"/>
  <c r="AK27" i="5"/>
  <c r="Y27" i="3"/>
  <c r="Y27" i="5"/>
  <c r="M27" i="3"/>
  <c r="M27" i="5"/>
  <c r="BB26" i="3"/>
  <c r="BB26" i="5"/>
  <c r="AP26" i="3"/>
  <c r="AP26" i="5"/>
  <c r="AD26" i="3"/>
  <c r="AD26" i="5"/>
  <c r="R26" i="3"/>
  <c r="R26" i="5"/>
  <c r="F26" i="3"/>
  <c r="F26" i="5"/>
  <c r="AU25" i="3"/>
  <c r="AU25" i="5"/>
  <c r="AI25" i="3"/>
  <c r="AI25" i="5"/>
  <c r="W25" i="3"/>
  <c r="W25" i="5"/>
  <c r="K25" i="3"/>
  <c r="K25" i="5"/>
  <c r="AZ24" i="3"/>
  <c r="AZ24" i="5"/>
  <c r="AN24" i="3"/>
  <c r="AN24" i="5"/>
  <c r="AB24" i="3"/>
  <c r="AB24" i="5"/>
  <c r="P24" i="3"/>
  <c r="P24" i="5"/>
  <c r="D24" i="3"/>
  <c r="D24" i="5"/>
  <c r="AS23" i="3"/>
  <c r="AS23" i="5"/>
  <c r="AG23" i="3"/>
  <c r="AG23" i="5"/>
  <c r="U23" i="3"/>
  <c r="U23" i="5"/>
  <c r="I23" i="3"/>
  <c r="I23" i="5"/>
  <c r="AX22" i="3"/>
  <c r="AX22" i="5"/>
  <c r="AL22" i="3"/>
  <c r="AL22" i="5"/>
  <c r="Z22" i="3"/>
  <c r="Z22" i="5"/>
  <c r="N22" i="3"/>
  <c r="N22" i="5"/>
  <c r="BC21" i="3"/>
  <c r="BC21" i="5"/>
  <c r="AQ21" i="3"/>
  <c r="AQ21" i="5"/>
  <c r="AE21" i="3"/>
  <c r="AE21" i="5"/>
  <c r="S21" i="3"/>
  <c r="S21" i="5"/>
  <c r="G21" i="3"/>
  <c r="G21" i="5"/>
  <c r="AV20" i="3"/>
  <c r="AV20" i="5"/>
  <c r="AJ20" i="3"/>
  <c r="AJ20" i="5"/>
  <c r="X20" i="3"/>
  <c r="X20" i="5"/>
  <c r="L20" i="3"/>
  <c r="L20" i="5"/>
  <c r="BA19" i="3"/>
  <c r="BA19" i="5"/>
  <c r="AO19" i="3"/>
  <c r="AO19" i="5"/>
  <c r="AC19" i="3"/>
  <c r="AC19" i="5"/>
  <c r="Q19" i="3"/>
  <c r="Q19" i="5"/>
  <c r="E19" i="3"/>
  <c r="E19" i="5"/>
  <c r="AT18" i="3"/>
  <c r="AT18" i="5"/>
  <c r="AH18" i="3"/>
  <c r="AH18" i="5"/>
  <c r="V18" i="3"/>
  <c r="V18" i="5"/>
  <c r="J18" i="3"/>
  <c r="J18" i="5"/>
  <c r="AY17" i="3"/>
  <c r="AY17" i="5"/>
  <c r="AM17" i="3"/>
  <c r="AM17" i="5"/>
  <c r="AA17" i="3"/>
  <c r="AA17" i="5"/>
  <c r="O17" i="3"/>
  <c r="O17" i="5"/>
  <c r="BD16" i="3"/>
  <c r="BD16" i="5"/>
  <c r="AR16" i="3"/>
  <c r="AR16" i="5"/>
  <c r="AF16" i="3"/>
  <c r="AF16" i="5"/>
  <c r="T16" i="3"/>
  <c r="T16" i="5"/>
  <c r="H16" i="3"/>
  <c r="H16" i="5"/>
  <c r="AW15" i="3"/>
  <c r="AW15" i="5"/>
  <c r="AK15" i="3"/>
  <c r="AK15" i="5"/>
  <c r="Y15" i="3"/>
  <c r="Y15" i="5"/>
  <c r="M15" i="3"/>
  <c r="M15" i="5"/>
  <c r="BB14" i="3"/>
  <c r="BB14" i="5"/>
  <c r="AP14" i="3"/>
  <c r="AP14" i="5"/>
  <c r="AD14" i="3"/>
  <c r="AD14" i="5"/>
  <c r="R14" i="3"/>
  <c r="R14" i="5"/>
  <c r="F14" i="3"/>
  <c r="F14" i="5"/>
  <c r="AU13" i="3"/>
  <c r="AU13" i="5"/>
  <c r="AI13" i="3"/>
  <c r="AI13" i="5"/>
  <c r="W13" i="3"/>
  <c r="W13" i="5"/>
  <c r="K13" i="3"/>
  <c r="K13" i="5"/>
  <c r="AZ12" i="3"/>
  <c r="AZ12" i="5"/>
  <c r="AN12" i="3"/>
  <c r="AN12" i="5"/>
  <c r="AB12" i="3"/>
  <c r="AB12" i="5"/>
  <c r="P12" i="3"/>
  <c r="P12" i="5"/>
  <c r="D12" i="3"/>
  <c r="D12" i="5"/>
  <c r="AS11" i="3"/>
  <c r="AS11" i="5"/>
  <c r="AG11" i="3"/>
  <c r="AG11" i="5"/>
  <c r="U11" i="3"/>
  <c r="U11" i="5"/>
  <c r="I11" i="3"/>
  <c r="I11" i="5"/>
  <c r="AX10" i="3"/>
  <c r="AX10" i="5"/>
  <c r="AL10" i="3"/>
  <c r="AL10" i="5"/>
  <c r="Z10" i="3"/>
  <c r="Z10" i="5"/>
  <c r="N10" i="3"/>
  <c r="N10" i="5"/>
  <c r="BC9" i="3"/>
  <c r="BC9" i="5"/>
  <c r="AQ9" i="3"/>
  <c r="AQ9" i="5"/>
  <c r="AE9" i="3"/>
  <c r="AE9" i="5"/>
  <c r="S9" i="3"/>
  <c r="S9" i="5"/>
  <c r="G9" i="3"/>
  <c r="G9" i="5"/>
  <c r="AV8" i="3"/>
  <c r="AV8" i="5"/>
  <c r="AJ8" i="3"/>
  <c r="AJ8" i="5"/>
  <c r="X8" i="3"/>
  <c r="X8" i="5"/>
  <c r="L8" i="3"/>
  <c r="L8" i="5"/>
  <c r="BA7" i="3"/>
  <c r="BA7" i="5"/>
  <c r="AO7" i="3"/>
  <c r="AO7" i="5"/>
  <c r="AC7" i="3"/>
  <c r="AC7" i="5"/>
  <c r="Q7" i="3"/>
  <c r="Q7" i="5"/>
  <c r="E7" i="3"/>
  <c r="E7" i="5"/>
  <c r="AT6" i="3"/>
  <c r="AT6" i="5"/>
  <c r="AH6" i="3"/>
  <c r="AH6" i="5"/>
  <c r="V6" i="3"/>
  <c r="V6" i="5"/>
  <c r="J6" i="3"/>
  <c r="J6" i="5"/>
  <c r="AY5" i="3"/>
  <c r="AY5" i="5"/>
  <c r="AM5" i="3"/>
  <c r="AM5" i="5"/>
  <c r="AA5" i="3"/>
  <c r="AA5" i="5"/>
  <c r="O5" i="3"/>
  <c r="O5" i="5"/>
  <c r="BD4" i="3"/>
  <c r="BD4" i="5"/>
  <c r="AR4" i="3"/>
  <c r="AR4" i="5"/>
  <c r="AF4" i="3"/>
  <c r="AF4" i="5"/>
  <c r="T4" i="3"/>
  <c r="T4" i="5"/>
  <c r="H4" i="3"/>
  <c r="H4" i="5"/>
  <c r="AW3" i="3"/>
  <c r="AW3" i="5"/>
  <c r="AK3" i="3"/>
  <c r="AK3" i="5"/>
  <c r="Y3" i="3"/>
  <c r="Y3" i="5"/>
  <c r="M3" i="3"/>
  <c r="M3" i="5"/>
  <c r="W56" i="3"/>
  <c r="W56" i="5"/>
  <c r="AL53" i="3"/>
  <c r="AL53" i="5"/>
  <c r="X51" i="3"/>
  <c r="X51" i="5"/>
  <c r="AM48" i="3"/>
  <c r="AM48" i="5"/>
  <c r="BB45" i="3"/>
  <c r="BB45" i="5"/>
  <c r="AB43" i="5"/>
  <c r="BC40" i="3"/>
  <c r="BC40" i="5"/>
  <c r="AC38" i="3"/>
  <c r="AC38" i="5"/>
  <c r="O36" i="5"/>
  <c r="AP33" i="3"/>
  <c r="AP33" i="5"/>
  <c r="P31" i="3"/>
  <c r="P31" i="5"/>
  <c r="AQ28" i="3"/>
  <c r="AQ28" i="5"/>
  <c r="Q26" i="3"/>
  <c r="Q26" i="5"/>
  <c r="AR23" i="3"/>
  <c r="AR23" i="5"/>
  <c r="R21" i="3"/>
  <c r="R21" i="5"/>
  <c r="AX17" i="3"/>
  <c r="AX17" i="5"/>
  <c r="BA14" i="3"/>
  <c r="BA14" i="5"/>
  <c r="V13" i="3"/>
  <c r="V13" i="5"/>
  <c r="AR11" i="3"/>
  <c r="AR11" i="5"/>
  <c r="T11" i="3"/>
  <c r="T11" i="5"/>
  <c r="AU8" i="3"/>
  <c r="AU8" i="5"/>
  <c r="W8" i="3"/>
  <c r="W8" i="5"/>
  <c r="AZ7" i="3"/>
  <c r="AZ7" i="5"/>
  <c r="AB7" i="3"/>
  <c r="AB7" i="5"/>
  <c r="AS6" i="3"/>
  <c r="AS6" i="5"/>
  <c r="U6" i="3"/>
  <c r="U6" i="5"/>
  <c r="AX5" i="3"/>
  <c r="AX5" i="5"/>
  <c r="Z5" i="3"/>
  <c r="Z5" i="5"/>
  <c r="BC4" i="3"/>
  <c r="BC4" i="5"/>
  <c r="AE4" i="3"/>
  <c r="AE4" i="5"/>
  <c r="G4" i="3"/>
  <c r="G4" i="5"/>
  <c r="AJ3" i="3"/>
  <c r="AJ3" i="5"/>
  <c r="L3" i="3"/>
  <c r="L3" i="5"/>
  <c r="C53" i="5"/>
  <c r="C53" i="3"/>
  <c r="C41" i="3"/>
  <c r="C41" i="5"/>
  <c r="C29" i="3"/>
  <c r="C29" i="5"/>
  <c r="C17" i="3"/>
  <c r="C17" i="5"/>
  <c r="C5" i="3"/>
  <c r="C5" i="5"/>
  <c r="AT56" i="3"/>
  <c r="AT56" i="5"/>
  <c r="AH56" i="3"/>
  <c r="AH56" i="5"/>
  <c r="V56" i="3"/>
  <c r="V56" i="5"/>
  <c r="J56" i="5"/>
  <c r="AY55" i="5"/>
  <c r="AM55" i="3"/>
  <c r="AM55" i="5"/>
  <c r="AA55" i="3"/>
  <c r="AA55" i="5"/>
  <c r="O55" i="5"/>
  <c r="BD54" i="5"/>
  <c r="AR54" i="3"/>
  <c r="AR54" i="5"/>
  <c r="AF54" i="5"/>
  <c r="T54" i="5"/>
  <c r="H54" i="5"/>
  <c r="AW53" i="3"/>
  <c r="AW53" i="5"/>
  <c r="AK53" i="5"/>
  <c r="Y53" i="3"/>
  <c r="Y53" i="5"/>
  <c r="M53" i="3"/>
  <c r="M53" i="5"/>
  <c r="BB52" i="3"/>
  <c r="BB52" i="5"/>
  <c r="AP52" i="3"/>
  <c r="AP52" i="5"/>
  <c r="AD52" i="3"/>
  <c r="AD52" i="5"/>
  <c r="R52" i="5"/>
  <c r="F52" i="5"/>
  <c r="AU51" i="3"/>
  <c r="AU51" i="5"/>
  <c r="AI51" i="3"/>
  <c r="AI51" i="5"/>
  <c r="W51" i="3"/>
  <c r="W51" i="5"/>
  <c r="K51" i="3"/>
  <c r="K51" i="5"/>
  <c r="AZ50" i="3"/>
  <c r="AZ50" i="5"/>
  <c r="AN50" i="3"/>
  <c r="AN50" i="5"/>
  <c r="AB50" i="3"/>
  <c r="AB50" i="5"/>
  <c r="P50" i="3"/>
  <c r="P50" i="5"/>
  <c r="D50" i="3"/>
  <c r="D50" i="5"/>
  <c r="AS49" i="3"/>
  <c r="AS49" i="5"/>
  <c r="AG49" i="3"/>
  <c r="AG49" i="5"/>
  <c r="U49" i="3"/>
  <c r="U49" i="5"/>
  <c r="I49" i="5"/>
  <c r="AX48" i="5"/>
  <c r="AL48" i="3"/>
  <c r="AL48" i="5"/>
  <c r="Z48" i="5"/>
  <c r="N48" i="5"/>
  <c r="BC47" i="5"/>
  <c r="AQ47" i="3"/>
  <c r="AQ47" i="5"/>
  <c r="AE47" i="3"/>
  <c r="AE47" i="5"/>
  <c r="S47" i="5"/>
  <c r="G47" i="5"/>
  <c r="AV46" i="3"/>
  <c r="AV46" i="5"/>
  <c r="AJ46" i="3"/>
  <c r="AJ46" i="5"/>
  <c r="X46" i="3"/>
  <c r="X46" i="5"/>
  <c r="L46" i="3"/>
  <c r="L46" i="5"/>
  <c r="BA45" i="3"/>
  <c r="BA45" i="5"/>
  <c r="AO45" i="5"/>
  <c r="AC45" i="3"/>
  <c r="AC45" i="5"/>
  <c r="Q45" i="3"/>
  <c r="Q45" i="5"/>
  <c r="E45" i="3"/>
  <c r="E45" i="5"/>
  <c r="AT44" i="5"/>
  <c r="AH44" i="3"/>
  <c r="AH44" i="5"/>
  <c r="V44" i="3"/>
  <c r="V44" i="5"/>
  <c r="J44" i="5"/>
  <c r="AY43" i="5"/>
  <c r="AM43" i="3"/>
  <c r="AM43" i="5"/>
  <c r="AA43" i="5"/>
  <c r="O43" i="5"/>
  <c r="BD42" i="5"/>
  <c r="AR42" i="3"/>
  <c r="AR42" i="5"/>
  <c r="AF42" i="5"/>
  <c r="T42" i="5"/>
  <c r="H42" i="5"/>
  <c r="AW41" i="3"/>
  <c r="AW41" i="5"/>
  <c r="AK41" i="3"/>
  <c r="AK41" i="5"/>
  <c r="Y41" i="3"/>
  <c r="Y41" i="5"/>
  <c r="M41" i="3"/>
  <c r="M41" i="5"/>
  <c r="BB40" i="3"/>
  <c r="BB40" i="5"/>
  <c r="AP40" i="3"/>
  <c r="AP40" i="5"/>
  <c r="AD40" i="3"/>
  <c r="AD40" i="5"/>
  <c r="R40" i="3"/>
  <c r="R40" i="5"/>
  <c r="F40" i="3"/>
  <c r="F40" i="5"/>
  <c r="AU39" i="3"/>
  <c r="AU39" i="5"/>
  <c r="AI39" i="5"/>
  <c r="W39" i="3"/>
  <c r="W39" i="5"/>
  <c r="K39" i="3"/>
  <c r="K39" i="5"/>
  <c r="AZ38" i="3"/>
  <c r="AZ38" i="5"/>
  <c r="AN38" i="5"/>
  <c r="AB38" i="5"/>
  <c r="P38" i="3"/>
  <c r="P38" i="5"/>
  <c r="D38" i="5"/>
  <c r="AS37" i="3"/>
  <c r="AS37" i="5"/>
  <c r="AG37" i="3"/>
  <c r="AG37" i="5"/>
  <c r="U37" i="3"/>
  <c r="U37" i="5"/>
  <c r="I37" i="3"/>
  <c r="I37" i="5"/>
  <c r="AX36" i="3"/>
  <c r="AX36" i="5"/>
  <c r="AL36" i="3"/>
  <c r="AL36" i="5"/>
  <c r="Z36" i="3"/>
  <c r="Z36" i="5"/>
  <c r="N36" i="5"/>
  <c r="BC35" i="3"/>
  <c r="BC35" i="5"/>
  <c r="AQ35" i="3"/>
  <c r="AQ35" i="5"/>
  <c r="AE35" i="3"/>
  <c r="AE35" i="5"/>
  <c r="S35" i="3"/>
  <c r="S35" i="5"/>
  <c r="G35" i="3"/>
  <c r="G35" i="5"/>
  <c r="AV34" i="3"/>
  <c r="AV34" i="5"/>
  <c r="AJ34" i="3"/>
  <c r="AJ34" i="5"/>
  <c r="X34" i="3"/>
  <c r="X34" i="5"/>
  <c r="L34" i="3"/>
  <c r="L34" i="5"/>
  <c r="BA33" i="5"/>
  <c r="AO33" i="5"/>
  <c r="AC33" i="3"/>
  <c r="AC33" i="5"/>
  <c r="Q33" i="3"/>
  <c r="Q33" i="5"/>
  <c r="E33" i="5"/>
  <c r="AT32" i="3"/>
  <c r="AT32" i="5"/>
  <c r="AH32" i="3"/>
  <c r="AH32" i="5"/>
  <c r="V32" i="3"/>
  <c r="V32" i="5"/>
  <c r="J32" i="5"/>
  <c r="AY31" i="5"/>
  <c r="AM31" i="3"/>
  <c r="AM31" i="5"/>
  <c r="AA31" i="5"/>
  <c r="O31" i="5"/>
  <c r="BD30" i="5"/>
  <c r="AR30" i="3"/>
  <c r="AR30" i="5"/>
  <c r="AF30" i="5"/>
  <c r="T30" i="5"/>
  <c r="H30" i="5"/>
  <c r="AW29" i="3"/>
  <c r="AW29" i="5"/>
  <c r="AK29" i="3"/>
  <c r="AK29" i="5"/>
  <c r="Y29" i="3"/>
  <c r="Y29" i="5"/>
  <c r="M29" i="3"/>
  <c r="M29" i="5"/>
  <c r="BB28" i="3"/>
  <c r="BB28" i="5"/>
  <c r="AP28" i="3"/>
  <c r="AP28" i="5"/>
  <c r="AD28" i="3"/>
  <c r="AD28" i="5"/>
  <c r="R28" i="3"/>
  <c r="R28" i="5"/>
  <c r="F28" i="3"/>
  <c r="F28" i="5"/>
  <c r="AU27" i="3"/>
  <c r="AU27" i="5"/>
  <c r="AI27" i="3"/>
  <c r="AI27" i="5"/>
  <c r="W27" i="3"/>
  <c r="W27" i="5"/>
  <c r="K27" i="3"/>
  <c r="K27" i="5"/>
  <c r="AZ26" i="3"/>
  <c r="AZ26" i="5"/>
  <c r="AN26" i="3"/>
  <c r="AN26" i="5"/>
  <c r="AB26" i="3"/>
  <c r="AB26" i="5"/>
  <c r="P26" i="3"/>
  <c r="P26" i="5"/>
  <c r="D26" i="3"/>
  <c r="D26" i="5"/>
  <c r="AS25" i="3"/>
  <c r="AS25" i="5"/>
  <c r="AG25" i="3"/>
  <c r="AG25" i="5"/>
  <c r="U25" i="3"/>
  <c r="U25" i="5"/>
  <c r="I25" i="3"/>
  <c r="I25" i="5"/>
  <c r="AX24" i="3"/>
  <c r="AX24" i="5"/>
  <c r="AL24" i="3"/>
  <c r="AL24" i="5"/>
  <c r="Z24" i="3"/>
  <c r="Z24" i="5"/>
  <c r="N24" i="3"/>
  <c r="N24" i="5"/>
  <c r="BC23" i="3"/>
  <c r="BC23" i="5"/>
  <c r="AQ23" i="3"/>
  <c r="AQ23" i="5"/>
  <c r="AE23" i="3"/>
  <c r="AE23" i="5"/>
  <c r="S23" i="3"/>
  <c r="S23" i="5"/>
  <c r="G23" i="3"/>
  <c r="G23" i="5"/>
  <c r="AV22" i="3"/>
  <c r="AV22" i="5"/>
  <c r="AJ22" i="3"/>
  <c r="AJ22" i="5"/>
  <c r="X22" i="3"/>
  <c r="X22" i="5"/>
  <c r="L22" i="3"/>
  <c r="L22" i="5"/>
  <c r="BA21" i="3"/>
  <c r="BA21" i="5"/>
  <c r="AO21" i="3"/>
  <c r="AO21" i="5"/>
  <c r="AC21" i="3"/>
  <c r="AC21" i="5"/>
  <c r="Q21" i="3"/>
  <c r="Q21" i="5"/>
  <c r="E21" i="3"/>
  <c r="E21" i="5"/>
  <c r="AT20" i="3"/>
  <c r="AT20" i="5"/>
  <c r="AH20" i="3"/>
  <c r="AH20" i="5"/>
  <c r="V20" i="3"/>
  <c r="V20" i="5"/>
  <c r="J20" i="3"/>
  <c r="J20" i="5"/>
  <c r="AY19" i="3"/>
  <c r="AY19" i="5"/>
  <c r="AM19" i="3"/>
  <c r="AM19" i="5"/>
  <c r="AA19" i="3"/>
  <c r="AA19" i="5"/>
  <c r="O19" i="3"/>
  <c r="O19" i="5"/>
  <c r="BD18" i="3"/>
  <c r="BD18" i="5"/>
  <c r="AR18" i="3"/>
  <c r="AR18" i="5"/>
  <c r="AF18" i="3"/>
  <c r="AF18" i="5"/>
  <c r="T18" i="3"/>
  <c r="T18" i="5"/>
  <c r="H18" i="3"/>
  <c r="H18" i="5"/>
  <c r="AW17" i="3"/>
  <c r="AW17" i="5"/>
  <c r="AK17" i="3"/>
  <c r="AK17" i="5"/>
  <c r="Y17" i="3"/>
  <c r="Y17" i="5"/>
  <c r="M17" i="3"/>
  <c r="M17" i="5"/>
  <c r="BB16" i="3"/>
  <c r="BB16" i="5"/>
  <c r="AP16" i="3"/>
  <c r="AP16" i="5"/>
  <c r="AD16" i="3"/>
  <c r="AD16" i="5"/>
  <c r="R16" i="3"/>
  <c r="R16" i="5"/>
  <c r="F16" i="3"/>
  <c r="F16" i="5"/>
  <c r="AU15" i="3"/>
  <c r="AU15" i="5"/>
  <c r="AI15" i="3"/>
  <c r="AI15" i="5"/>
  <c r="W15" i="3"/>
  <c r="W15" i="5"/>
  <c r="K15" i="3"/>
  <c r="K15" i="5"/>
  <c r="AZ14" i="3"/>
  <c r="AZ14" i="5"/>
  <c r="AN14" i="3"/>
  <c r="AN14" i="5"/>
  <c r="AB14" i="3"/>
  <c r="AB14" i="5"/>
  <c r="P14" i="3"/>
  <c r="P14" i="5"/>
  <c r="D14" i="3"/>
  <c r="D14" i="5"/>
  <c r="AS13" i="3"/>
  <c r="AS13" i="5"/>
  <c r="AG13" i="3"/>
  <c r="AG13" i="5"/>
  <c r="U13" i="3"/>
  <c r="U13" i="5"/>
  <c r="I13" i="3"/>
  <c r="I13" i="5"/>
  <c r="AX12" i="3"/>
  <c r="AX12" i="5"/>
  <c r="AL12" i="3"/>
  <c r="AL12" i="5"/>
  <c r="Z12" i="3"/>
  <c r="Z12" i="5"/>
  <c r="N12" i="3"/>
  <c r="N12" i="5"/>
  <c r="BC11" i="3"/>
  <c r="BC11" i="5"/>
  <c r="AQ11" i="3"/>
  <c r="AQ11" i="5"/>
  <c r="AE11" i="3"/>
  <c r="AE11" i="5"/>
  <c r="S11" i="3"/>
  <c r="S11" i="5"/>
  <c r="G11" i="3"/>
  <c r="G11" i="5"/>
  <c r="AV10" i="3"/>
  <c r="AV10" i="5"/>
  <c r="AJ10" i="3"/>
  <c r="AJ10" i="5"/>
  <c r="X10" i="3"/>
  <c r="X10" i="5"/>
  <c r="L10" i="3"/>
  <c r="L10" i="5"/>
  <c r="BA9" i="3"/>
  <c r="BA9" i="5"/>
  <c r="AO9" i="3"/>
  <c r="AO9" i="5"/>
  <c r="AC9" i="3"/>
  <c r="AC9" i="5"/>
  <c r="Q9" i="3"/>
  <c r="Q9" i="5"/>
  <c r="E9" i="3"/>
  <c r="E9" i="5"/>
  <c r="AT8" i="3"/>
  <c r="AT8" i="5"/>
  <c r="AH8" i="3"/>
  <c r="AH8" i="5"/>
  <c r="V8" i="3"/>
  <c r="V8" i="5"/>
  <c r="J8" i="3"/>
  <c r="J8" i="5"/>
  <c r="AY7" i="3"/>
  <c r="AY7" i="5"/>
  <c r="AM7" i="3"/>
  <c r="AM7" i="5"/>
  <c r="AA7" i="3"/>
  <c r="AA7" i="5"/>
  <c r="O7" i="3"/>
  <c r="O7" i="5"/>
  <c r="BD6" i="3"/>
  <c r="BD6" i="5"/>
  <c r="AR6" i="3"/>
  <c r="AR6" i="5"/>
  <c r="AF6" i="3"/>
  <c r="AF6" i="5"/>
  <c r="T6" i="3"/>
  <c r="T6" i="5"/>
  <c r="H6" i="3"/>
  <c r="H6" i="5"/>
  <c r="AW5" i="3"/>
  <c r="AW5" i="5"/>
  <c r="AK5" i="3"/>
  <c r="AK5" i="5"/>
  <c r="Y5" i="3"/>
  <c r="Y5" i="5"/>
  <c r="M5" i="3"/>
  <c r="M5" i="5"/>
  <c r="BB4" i="3"/>
  <c r="BB4" i="5"/>
  <c r="AP4" i="3"/>
  <c r="AP4" i="5"/>
  <c r="AD4" i="3"/>
  <c r="AD4" i="5"/>
  <c r="R4" i="3"/>
  <c r="R4" i="5"/>
  <c r="F4" i="3"/>
  <c r="F4" i="5"/>
  <c r="AU3" i="3"/>
  <c r="AU3" i="5"/>
  <c r="AI3" i="3"/>
  <c r="AI3" i="5"/>
  <c r="W3" i="3"/>
  <c r="W3" i="5"/>
  <c r="K3" i="3"/>
  <c r="K3" i="5"/>
  <c r="K56" i="3"/>
  <c r="K56" i="5"/>
  <c r="I54" i="5"/>
  <c r="AJ51" i="3"/>
  <c r="AJ51" i="5"/>
  <c r="AY48" i="5"/>
  <c r="Y46" i="3"/>
  <c r="Y46" i="5"/>
  <c r="K44" i="3"/>
  <c r="K44" i="5"/>
  <c r="AL41" i="3"/>
  <c r="AL41" i="5"/>
  <c r="L39" i="3"/>
  <c r="L39" i="5"/>
  <c r="J37" i="3"/>
  <c r="J37" i="5"/>
  <c r="H35" i="5"/>
  <c r="F33" i="5"/>
  <c r="AX29" i="3"/>
  <c r="AX29" i="5"/>
  <c r="X27" i="3"/>
  <c r="X27" i="5"/>
  <c r="AM24" i="3"/>
  <c r="AM24" i="5"/>
  <c r="BB21" i="3"/>
  <c r="BB21" i="5"/>
  <c r="AB19" i="3"/>
  <c r="AB19" i="5"/>
  <c r="AQ16" i="3"/>
  <c r="AQ16" i="5"/>
  <c r="Q14" i="3"/>
  <c r="Q14" i="5"/>
  <c r="BD11" i="3"/>
  <c r="BD11" i="5"/>
  <c r="AF11" i="3"/>
  <c r="AF11" i="5"/>
  <c r="Y10" i="3"/>
  <c r="Y10" i="5"/>
  <c r="AI8" i="3"/>
  <c r="AI8" i="5"/>
  <c r="K8" i="3"/>
  <c r="K8" i="5"/>
  <c r="AN7" i="3"/>
  <c r="AN7" i="5"/>
  <c r="P7" i="3"/>
  <c r="P7" i="5"/>
  <c r="D7" i="3"/>
  <c r="D7" i="5"/>
  <c r="AG6" i="3"/>
  <c r="AG6" i="5"/>
  <c r="I6" i="3"/>
  <c r="I6" i="5"/>
  <c r="AL5" i="3"/>
  <c r="AL5" i="5"/>
  <c r="N5" i="3"/>
  <c r="N5" i="5"/>
  <c r="AQ4" i="3"/>
  <c r="AQ4" i="5"/>
  <c r="S4" i="3"/>
  <c r="S4" i="5"/>
  <c r="AV3" i="3"/>
  <c r="AV3" i="5"/>
  <c r="X3" i="3"/>
  <c r="X3" i="5"/>
  <c r="C52" i="3"/>
  <c r="C52" i="5"/>
  <c r="C40" i="3"/>
  <c r="C40" i="5"/>
  <c r="C28" i="3"/>
  <c r="C28" i="5"/>
  <c r="C16" i="3"/>
  <c r="C16" i="5"/>
  <c r="C4" i="3"/>
  <c r="C4" i="5"/>
  <c r="AS56" i="3"/>
  <c r="AS56" i="5"/>
  <c r="AG56" i="3"/>
  <c r="AG56" i="5"/>
  <c r="U56" i="3"/>
  <c r="U56" i="5"/>
  <c r="I56" i="3"/>
  <c r="I56" i="5"/>
  <c r="AX55" i="3"/>
  <c r="AX55" i="5"/>
  <c r="AL55" i="3"/>
  <c r="AL55" i="5"/>
  <c r="Z55" i="3"/>
  <c r="Z55" i="5"/>
  <c r="N55" i="5"/>
  <c r="BC54" i="5"/>
  <c r="AQ54" i="3"/>
  <c r="AQ54" i="5"/>
  <c r="AE54" i="3"/>
  <c r="AE54" i="5"/>
  <c r="S54" i="5"/>
  <c r="G54" i="5"/>
  <c r="AV53" i="3"/>
  <c r="AV53" i="5"/>
  <c r="AJ53" i="5"/>
  <c r="X53" i="3"/>
  <c r="X53" i="5"/>
  <c r="L53" i="3"/>
  <c r="L53" i="5"/>
  <c r="BA52" i="3"/>
  <c r="BA52" i="5"/>
  <c r="AO52" i="5"/>
  <c r="AC52" i="3"/>
  <c r="AC52" i="5"/>
  <c r="Q52" i="3"/>
  <c r="Q52" i="5"/>
  <c r="E52" i="5"/>
  <c r="AT51" i="3"/>
  <c r="AT51" i="5"/>
  <c r="AH51" i="3"/>
  <c r="AH51" i="5"/>
  <c r="V51" i="3"/>
  <c r="V51" i="5"/>
  <c r="J51" i="3"/>
  <c r="J51" i="5"/>
  <c r="AY50" i="5"/>
  <c r="AM50" i="3"/>
  <c r="AM50" i="5"/>
  <c r="AA50" i="3"/>
  <c r="AA50" i="5"/>
  <c r="O50" i="5"/>
  <c r="BD49" i="3"/>
  <c r="BD49" i="5"/>
  <c r="AR49" i="3"/>
  <c r="AR49" i="5"/>
  <c r="AF49" i="3"/>
  <c r="AF49" i="5"/>
  <c r="T49" i="5"/>
  <c r="H49" i="5"/>
  <c r="AW48" i="3"/>
  <c r="AW48" i="5"/>
  <c r="AK48" i="5"/>
  <c r="Y48" i="3"/>
  <c r="Y48" i="5"/>
  <c r="M48" i="3"/>
  <c r="M48" i="5"/>
  <c r="BB47" i="3"/>
  <c r="BB47" i="5"/>
  <c r="AP47" i="3"/>
  <c r="AP47" i="5"/>
  <c r="AD47" i="3"/>
  <c r="AD47" i="5"/>
  <c r="R47" i="3"/>
  <c r="R47" i="5"/>
  <c r="F47" i="5"/>
  <c r="AU46" i="3"/>
  <c r="AU46" i="5"/>
  <c r="AI46" i="3"/>
  <c r="AI46" i="5"/>
  <c r="W46" i="3"/>
  <c r="W46" i="5"/>
  <c r="K46" i="3"/>
  <c r="K46" i="5"/>
  <c r="AZ45" i="3"/>
  <c r="AZ45" i="5"/>
  <c r="AN45" i="3"/>
  <c r="AN45" i="5"/>
  <c r="AB45" i="5"/>
  <c r="P45" i="3"/>
  <c r="P45" i="5"/>
  <c r="D45" i="3"/>
  <c r="D45" i="5"/>
  <c r="AS44" i="3"/>
  <c r="AS44" i="5"/>
  <c r="AG44" i="3"/>
  <c r="AG44" i="5"/>
  <c r="U44" i="3"/>
  <c r="U44" i="5"/>
  <c r="I44" i="5"/>
  <c r="AX43" i="5"/>
  <c r="AL43" i="3"/>
  <c r="AL43" i="5"/>
  <c r="Z43" i="5"/>
  <c r="N43" i="5"/>
  <c r="BC42" i="5"/>
  <c r="AQ42" i="3"/>
  <c r="AQ42" i="5"/>
  <c r="AE42" i="5"/>
  <c r="S42" i="5"/>
  <c r="G42" i="5"/>
  <c r="AV41" i="3"/>
  <c r="AV41" i="5"/>
  <c r="AJ41" i="3"/>
  <c r="AJ41" i="5"/>
  <c r="X41" i="3"/>
  <c r="X41" i="5"/>
  <c r="L41" i="3"/>
  <c r="L41" i="5"/>
  <c r="BA40" i="3"/>
  <c r="BA40" i="5"/>
  <c r="AO40" i="3"/>
  <c r="AO40" i="5"/>
  <c r="AC40" i="3"/>
  <c r="AC40" i="5"/>
  <c r="Q40" i="3"/>
  <c r="Q40" i="5"/>
  <c r="E40" i="3"/>
  <c r="E40" i="5"/>
  <c r="AT39" i="5"/>
  <c r="AH39" i="3"/>
  <c r="AH39" i="5"/>
  <c r="V39" i="3"/>
  <c r="V39" i="5"/>
  <c r="J39" i="5"/>
  <c r="AY38" i="5"/>
  <c r="AM38" i="3"/>
  <c r="AM38" i="5"/>
  <c r="AA38" i="5"/>
  <c r="O38" i="5"/>
  <c r="BD37" i="3"/>
  <c r="BD37" i="5"/>
  <c r="AR37" i="3"/>
  <c r="AR37" i="5"/>
  <c r="AF37" i="3"/>
  <c r="AF37" i="5"/>
  <c r="T37" i="3"/>
  <c r="T37" i="5"/>
  <c r="H37" i="3"/>
  <c r="H37" i="5"/>
  <c r="AW36" i="3"/>
  <c r="AW36" i="5"/>
  <c r="AK36" i="3"/>
  <c r="AK36" i="5"/>
  <c r="Y36" i="3"/>
  <c r="Y36" i="5"/>
  <c r="M36" i="3"/>
  <c r="M36" i="5"/>
  <c r="BB35" i="3"/>
  <c r="BB35" i="5"/>
  <c r="AP35" i="3"/>
  <c r="AP35" i="5"/>
  <c r="AD35" i="3"/>
  <c r="AD35" i="5"/>
  <c r="R35" i="3"/>
  <c r="R35" i="5"/>
  <c r="F35" i="3"/>
  <c r="F35" i="5"/>
  <c r="AU34" i="3"/>
  <c r="AU34" i="5"/>
  <c r="AI34" i="3"/>
  <c r="AI34" i="5"/>
  <c r="W34" i="3"/>
  <c r="W34" i="5"/>
  <c r="K34" i="3"/>
  <c r="K34" i="5"/>
  <c r="AZ33" i="3"/>
  <c r="AZ33" i="5"/>
  <c r="AN33" i="5"/>
  <c r="AB33" i="5"/>
  <c r="P33" i="3"/>
  <c r="P33" i="5"/>
  <c r="D33" i="5"/>
  <c r="AS32" i="3"/>
  <c r="AS32" i="5"/>
  <c r="AG32" i="3"/>
  <c r="AG32" i="5"/>
  <c r="U32" i="3"/>
  <c r="U32" i="5"/>
  <c r="I32" i="3"/>
  <c r="I32" i="5"/>
  <c r="AX31" i="5"/>
  <c r="AL31" i="3"/>
  <c r="AL31" i="5"/>
  <c r="Z31" i="5"/>
  <c r="N31" i="5"/>
  <c r="BC30" i="5"/>
  <c r="AQ30" i="3"/>
  <c r="AQ30" i="5"/>
  <c r="AE30" i="5"/>
  <c r="S30" i="5"/>
  <c r="G30" i="5"/>
  <c r="AV29" i="3"/>
  <c r="AV29" i="5"/>
  <c r="AJ29" i="3"/>
  <c r="AJ29" i="5"/>
  <c r="X29" i="3"/>
  <c r="X29" i="5"/>
  <c r="L29" i="3"/>
  <c r="L29" i="5"/>
  <c r="BA28" i="3"/>
  <c r="BA28" i="5"/>
  <c r="AO28" i="3"/>
  <c r="AO28" i="5"/>
  <c r="AC28" i="3"/>
  <c r="AC28" i="5"/>
  <c r="Q28" i="3"/>
  <c r="Q28" i="5"/>
  <c r="E28" i="3"/>
  <c r="E28" i="5"/>
  <c r="AT27" i="3"/>
  <c r="AT27" i="5"/>
  <c r="AH27" i="3"/>
  <c r="AH27" i="5"/>
  <c r="V27" i="3"/>
  <c r="V27" i="5"/>
  <c r="J27" i="3"/>
  <c r="J27" i="5"/>
  <c r="AY26" i="3"/>
  <c r="AY26" i="5"/>
  <c r="AM26" i="3"/>
  <c r="AM26" i="5"/>
  <c r="AA26" i="3"/>
  <c r="AA26" i="5"/>
  <c r="O26" i="3"/>
  <c r="O26" i="5"/>
  <c r="BD25" i="3"/>
  <c r="BD25" i="5"/>
  <c r="AR25" i="3"/>
  <c r="AR25" i="5"/>
  <c r="AF25" i="3"/>
  <c r="AF25" i="5"/>
  <c r="T25" i="3"/>
  <c r="T25" i="5"/>
  <c r="H25" i="3"/>
  <c r="H25" i="5"/>
  <c r="AW24" i="3"/>
  <c r="AW24" i="5"/>
  <c r="AK24" i="3"/>
  <c r="AK24" i="5"/>
  <c r="Y24" i="3"/>
  <c r="Y24" i="5"/>
  <c r="M24" i="3"/>
  <c r="M24" i="5"/>
  <c r="BB23" i="3"/>
  <c r="BB23" i="5"/>
  <c r="AP23" i="3"/>
  <c r="AP23" i="5"/>
  <c r="AD23" i="3"/>
  <c r="AD23" i="5"/>
  <c r="R23" i="3"/>
  <c r="R23" i="5"/>
  <c r="F23" i="3"/>
  <c r="F23" i="5"/>
  <c r="AU22" i="3"/>
  <c r="AU22" i="5"/>
  <c r="AI22" i="3"/>
  <c r="AI22" i="5"/>
  <c r="W22" i="3"/>
  <c r="W22" i="5"/>
  <c r="K22" i="3"/>
  <c r="K22" i="5"/>
  <c r="AZ21" i="3"/>
  <c r="AZ21" i="5"/>
  <c r="AN21" i="3"/>
  <c r="AN21" i="5"/>
  <c r="AB21" i="3"/>
  <c r="AB21" i="5"/>
  <c r="P21" i="3"/>
  <c r="P21" i="5"/>
  <c r="D21" i="3"/>
  <c r="D21" i="5"/>
  <c r="AS20" i="3"/>
  <c r="AS20" i="5"/>
  <c r="AG20" i="3"/>
  <c r="AG20" i="5"/>
  <c r="U20" i="3"/>
  <c r="U20" i="5"/>
  <c r="I20" i="3"/>
  <c r="I20" i="5"/>
  <c r="AX19" i="3"/>
  <c r="AX19" i="5"/>
  <c r="AL19" i="3"/>
  <c r="AL19" i="5"/>
  <c r="Z19" i="3"/>
  <c r="Z19" i="5"/>
  <c r="N19" i="3"/>
  <c r="N19" i="5"/>
  <c r="BC18" i="3"/>
  <c r="BC18" i="5"/>
  <c r="AQ18" i="3"/>
  <c r="AQ18" i="5"/>
  <c r="AE18" i="3"/>
  <c r="AE18" i="5"/>
  <c r="S18" i="3"/>
  <c r="S18" i="5"/>
  <c r="G18" i="3"/>
  <c r="G18" i="5"/>
  <c r="AV17" i="3"/>
  <c r="AV17" i="5"/>
  <c r="AJ17" i="3"/>
  <c r="AJ17" i="5"/>
  <c r="X17" i="3"/>
  <c r="X17" i="5"/>
  <c r="L17" i="3"/>
  <c r="L17" i="5"/>
  <c r="BA16" i="3"/>
  <c r="BA16" i="5"/>
  <c r="AO16" i="3"/>
  <c r="AO16" i="5"/>
  <c r="AC16" i="3"/>
  <c r="AC16" i="5"/>
  <c r="Q16" i="3"/>
  <c r="Q16" i="5"/>
  <c r="E16" i="3"/>
  <c r="E16" i="5"/>
  <c r="AT15" i="3"/>
  <c r="AT15" i="5"/>
  <c r="AH15" i="3"/>
  <c r="AH15" i="5"/>
  <c r="V15" i="3"/>
  <c r="V15" i="5"/>
  <c r="J15" i="3"/>
  <c r="J15" i="5"/>
  <c r="AY14" i="3"/>
  <c r="AY14" i="5"/>
  <c r="AM14" i="3"/>
  <c r="AM14" i="5"/>
  <c r="AA14" i="3"/>
  <c r="AA14" i="5"/>
  <c r="O14" i="3"/>
  <c r="O14" i="5"/>
  <c r="BD13" i="3"/>
  <c r="BD13" i="5"/>
  <c r="AR13" i="3"/>
  <c r="AR13" i="5"/>
  <c r="AF13" i="3"/>
  <c r="AF13" i="5"/>
  <c r="T13" i="3"/>
  <c r="T13" i="5"/>
  <c r="H13" i="3"/>
  <c r="H13" i="5"/>
  <c r="AW12" i="3"/>
  <c r="AW12" i="5"/>
  <c r="AK12" i="3"/>
  <c r="AK12" i="5"/>
  <c r="Y12" i="3"/>
  <c r="Y12" i="5"/>
  <c r="M12" i="3"/>
  <c r="M12" i="5"/>
  <c r="BB11" i="3"/>
  <c r="BB11" i="5"/>
  <c r="AP11" i="3"/>
  <c r="AP11" i="5"/>
  <c r="AD11" i="3"/>
  <c r="AD11" i="5"/>
  <c r="R11" i="3"/>
  <c r="R11" i="5"/>
  <c r="F11" i="3"/>
  <c r="F11" i="5"/>
  <c r="AU10" i="3"/>
  <c r="AU10" i="5"/>
  <c r="AI10" i="3"/>
  <c r="AI10" i="5"/>
  <c r="W10" i="3"/>
  <c r="W10" i="5"/>
  <c r="K10" i="3"/>
  <c r="K10" i="5"/>
  <c r="AZ9" i="3"/>
  <c r="AZ9" i="5"/>
  <c r="AN9" i="3"/>
  <c r="AN9" i="5"/>
  <c r="AB9" i="3"/>
  <c r="AB9" i="5"/>
  <c r="P9" i="3"/>
  <c r="P9" i="5"/>
  <c r="D9" i="3"/>
  <c r="D9" i="5"/>
  <c r="AS8" i="3"/>
  <c r="AS8" i="5"/>
  <c r="AG8" i="3"/>
  <c r="AG8" i="5"/>
  <c r="U8" i="3"/>
  <c r="U8" i="5"/>
  <c r="I8" i="3"/>
  <c r="I8" i="5"/>
  <c r="AX7" i="3"/>
  <c r="AX7" i="5"/>
  <c r="AL7" i="3"/>
  <c r="AL7" i="5"/>
  <c r="Z7" i="3"/>
  <c r="Z7" i="5"/>
  <c r="N7" i="3"/>
  <c r="N7" i="5"/>
  <c r="BC6" i="3"/>
  <c r="BC6" i="5"/>
  <c r="AQ6" i="3"/>
  <c r="AQ6" i="5"/>
  <c r="AE6" i="3"/>
  <c r="AE6" i="5"/>
  <c r="S6" i="3"/>
  <c r="S6" i="5"/>
  <c r="G6" i="3"/>
  <c r="G6" i="5"/>
  <c r="AV5" i="3"/>
  <c r="AV5" i="5"/>
  <c r="AJ5" i="3"/>
  <c r="AJ5" i="5"/>
  <c r="X5" i="3"/>
  <c r="X5" i="5"/>
  <c r="L5" i="3"/>
  <c r="L5" i="5"/>
  <c r="BA4" i="3"/>
  <c r="BA4" i="5"/>
  <c r="AO4" i="3"/>
  <c r="AO4" i="5"/>
  <c r="AC4" i="3"/>
  <c r="AC4" i="5"/>
  <c r="Q4" i="3"/>
  <c r="Q4" i="5"/>
  <c r="E4" i="3"/>
  <c r="E4" i="5"/>
  <c r="AT3" i="3"/>
  <c r="AT3" i="5"/>
  <c r="AH3" i="3"/>
  <c r="AH3" i="5"/>
  <c r="V3" i="3"/>
  <c r="V3" i="5"/>
  <c r="J3" i="3"/>
  <c r="J3" i="5"/>
  <c r="C54" i="3"/>
  <c r="C54" i="5"/>
  <c r="AB55" i="3"/>
  <c r="AB55" i="5"/>
  <c r="S52" i="5"/>
  <c r="E50" i="3"/>
  <c r="E50" i="5"/>
  <c r="T47" i="5"/>
  <c r="AZ43" i="3"/>
  <c r="AZ43" i="5"/>
  <c r="N41" i="5"/>
  <c r="AO38" i="5"/>
  <c r="BD35" i="3"/>
  <c r="BD35" i="5"/>
  <c r="AD33" i="3"/>
  <c r="AD33" i="5"/>
  <c r="AS30" i="5"/>
  <c r="AV27" i="3"/>
  <c r="AV27" i="5"/>
  <c r="J25" i="3"/>
  <c r="J25" i="5"/>
  <c r="Y22" i="3"/>
  <c r="Y22" i="5"/>
  <c r="AN19" i="3"/>
  <c r="AN19" i="5"/>
  <c r="Z17" i="3"/>
  <c r="Z17" i="5"/>
  <c r="AC14" i="3"/>
  <c r="AC14" i="5"/>
  <c r="AW10" i="3"/>
  <c r="AW10" i="5"/>
  <c r="BD56" i="3"/>
  <c r="BD56" i="5"/>
  <c r="M55" i="3"/>
  <c r="M55" i="5"/>
  <c r="W53" i="3"/>
  <c r="W53" i="5"/>
  <c r="AZ52" i="3"/>
  <c r="AZ52" i="5"/>
  <c r="AB52" i="5"/>
  <c r="D52" i="3"/>
  <c r="D52" i="5"/>
  <c r="AG51" i="3"/>
  <c r="AG51" i="5"/>
  <c r="I51" i="3"/>
  <c r="I51" i="5"/>
  <c r="AL50" i="3"/>
  <c r="AL50" i="5"/>
  <c r="BC49" i="3"/>
  <c r="BC49" i="5"/>
  <c r="AE49" i="3"/>
  <c r="AE49" i="5"/>
  <c r="G49" i="5"/>
  <c r="AJ48" i="3"/>
  <c r="AJ48" i="5"/>
  <c r="X48" i="3"/>
  <c r="X48" i="5"/>
  <c r="L48" i="3"/>
  <c r="L48" i="5"/>
  <c r="BA47" i="3"/>
  <c r="BA47" i="5"/>
  <c r="AO47" i="5"/>
  <c r="AC47" i="3"/>
  <c r="AC47" i="5"/>
  <c r="Q47" i="3"/>
  <c r="Q47" i="5"/>
  <c r="E47" i="3"/>
  <c r="E47" i="5"/>
  <c r="AT46" i="3"/>
  <c r="AT46" i="5"/>
  <c r="AH46" i="3"/>
  <c r="AH46" i="5"/>
  <c r="V46" i="3"/>
  <c r="V46" i="5"/>
  <c r="J46" i="5"/>
  <c r="AY45" i="5"/>
  <c r="AM45" i="3"/>
  <c r="AM45" i="5"/>
  <c r="AA45" i="5"/>
  <c r="O45" i="5"/>
  <c r="BD44" i="5"/>
  <c r="AR44" i="3"/>
  <c r="AR44" i="5"/>
  <c r="AF44" i="5"/>
  <c r="T44" i="5"/>
  <c r="H44" i="5"/>
  <c r="AW43" i="5"/>
  <c r="AK43" i="5"/>
  <c r="Y43" i="5"/>
  <c r="M43" i="5"/>
  <c r="BB42" i="5"/>
  <c r="AP42" i="3"/>
  <c r="AP42" i="5"/>
  <c r="AD42" i="3"/>
  <c r="AD42" i="5"/>
  <c r="R42" i="5"/>
  <c r="F42" i="5"/>
  <c r="AU41" i="3"/>
  <c r="AU41" i="5"/>
  <c r="AI41" i="3"/>
  <c r="AI41" i="5"/>
  <c r="W41" i="3"/>
  <c r="W41" i="5"/>
  <c r="K41" i="3"/>
  <c r="K41" i="5"/>
  <c r="AZ40" i="3"/>
  <c r="AZ40" i="5"/>
  <c r="AN40" i="3"/>
  <c r="AN40" i="5"/>
  <c r="AB40" i="5"/>
  <c r="P40" i="3"/>
  <c r="P40" i="5"/>
  <c r="D40" i="3"/>
  <c r="D40" i="5"/>
  <c r="AS39" i="3"/>
  <c r="AS39" i="5"/>
  <c r="AG39" i="3"/>
  <c r="AG39" i="5"/>
  <c r="U39" i="3"/>
  <c r="U39" i="5"/>
  <c r="I39" i="5"/>
  <c r="AX38" i="5"/>
  <c r="AL38" i="3"/>
  <c r="AL38" i="5"/>
  <c r="Z38" i="5"/>
  <c r="N38" i="5"/>
  <c r="BC37" i="3"/>
  <c r="BC37" i="5"/>
  <c r="AQ37" i="3"/>
  <c r="AQ37" i="5"/>
  <c r="AE37" i="3"/>
  <c r="AE37" i="5"/>
  <c r="S37" i="3"/>
  <c r="S37" i="5"/>
  <c r="G37" i="3"/>
  <c r="G37" i="5"/>
  <c r="AV36" i="3"/>
  <c r="AV36" i="5"/>
  <c r="AJ36" i="3"/>
  <c r="AJ36" i="5"/>
  <c r="X36" i="3"/>
  <c r="X36" i="5"/>
  <c r="L36" i="3"/>
  <c r="L36" i="5"/>
  <c r="BA35" i="3"/>
  <c r="BA35" i="5"/>
  <c r="AO35" i="3"/>
  <c r="AO35" i="5"/>
  <c r="AC35" i="3"/>
  <c r="AC35" i="5"/>
  <c r="Q35" i="3"/>
  <c r="Q35" i="5"/>
  <c r="E35" i="3"/>
  <c r="E35" i="5"/>
  <c r="AT34" i="3"/>
  <c r="AT34" i="5"/>
  <c r="AH34" i="3"/>
  <c r="AH34" i="5"/>
  <c r="V34" i="3"/>
  <c r="V34" i="5"/>
  <c r="J34" i="5"/>
  <c r="AY33" i="5"/>
  <c r="AM33" i="3"/>
  <c r="AM33" i="5"/>
  <c r="AA33" i="5"/>
  <c r="O33" i="5"/>
  <c r="BD32" i="3"/>
  <c r="BD32" i="5"/>
  <c r="AR32" i="3"/>
  <c r="AR32" i="5"/>
  <c r="AF32" i="3"/>
  <c r="AF32" i="5"/>
  <c r="T32" i="3"/>
  <c r="T32" i="5"/>
  <c r="H32" i="3"/>
  <c r="H32" i="5"/>
  <c r="AW31" i="3"/>
  <c r="AW31" i="5"/>
  <c r="AK31" i="5"/>
  <c r="Y31" i="3"/>
  <c r="Y31" i="5"/>
  <c r="M31" i="3"/>
  <c r="M31" i="5"/>
  <c r="BB30" i="3"/>
  <c r="BB30" i="5"/>
  <c r="AP30" i="3"/>
  <c r="AP30" i="5"/>
  <c r="AD30" i="3"/>
  <c r="AD30" i="5"/>
  <c r="R30" i="5"/>
  <c r="F30" i="5"/>
  <c r="AU29" i="3"/>
  <c r="AU29" i="5"/>
  <c r="AI29" i="3"/>
  <c r="AI29" i="5"/>
  <c r="W29" i="3"/>
  <c r="W29" i="5"/>
  <c r="K29" i="3"/>
  <c r="K29" i="5"/>
  <c r="AZ28" i="3"/>
  <c r="AZ28" i="5"/>
  <c r="AN28" i="3"/>
  <c r="AN28" i="5"/>
  <c r="AB28" i="3"/>
  <c r="AB28" i="5"/>
  <c r="P28" i="3"/>
  <c r="P28" i="5"/>
  <c r="D28" i="3"/>
  <c r="D28" i="5"/>
  <c r="AS27" i="3"/>
  <c r="AS27" i="5"/>
  <c r="AG27" i="3"/>
  <c r="AG27" i="5"/>
  <c r="U27" i="3"/>
  <c r="U27" i="5"/>
  <c r="I27" i="3"/>
  <c r="I27" i="5"/>
  <c r="AX26" i="3"/>
  <c r="AX26" i="5"/>
  <c r="AL26" i="3"/>
  <c r="AL26" i="5"/>
  <c r="Z26" i="3"/>
  <c r="Z26" i="5"/>
  <c r="N26" i="3"/>
  <c r="N26" i="5"/>
  <c r="BC25" i="3"/>
  <c r="BC25" i="5"/>
  <c r="AQ25" i="3"/>
  <c r="AQ25" i="5"/>
  <c r="AE25" i="3"/>
  <c r="AE25" i="5"/>
  <c r="S25" i="3"/>
  <c r="S25" i="5"/>
  <c r="G25" i="3"/>
  <c r="G25" i="5"/>
  <c r="AV24" i="3"/>
  <c r="AV24" i="5"/>
  <c r="AJ24" i="3"/>
  <c r="AJ24" i="5"/>
  <c r="X24" i="3"/>
  <c r="X24" i="5"/>
  <c r="L24" i="3"/>
  <c r="L24" i="5"/>
  <c r="BA23" i="3"/>
  <c r="BA23" i="5"/>
  <c r="AO23" i="3"/>
  <c r="AO23" i="5"/>
  <c r="AC23" i="3"/>
  <c r="AC23" i="5"/>
  <c r="Q23" i="3"/>
  <c r="Q23" i="5"/>
  <c r="E23" i="3"/>
  <c r="E23" i="5"/>
  <c r="AT22" i="3"/>
  <c r="AT22" i="5"/>
  <c r="AH22" i="3"/>
  <c r="AH22" i="5"/>
  <c r="V22" i="3"/>
  <c r="V22" i="5"/>
  <c r="J22" i="3"/>
  <c r="J22" i="5"/>
  <c r="AY21" i="3"/>
  <c r="AY21" i="5"/>
  <c r="AM21" i="3"/>
  <c r="AM21" i="5"/>
  <c r="AA21" i="3"/>
  <c r="AA21" i="5"/>
  <c r="O21" i="3"/>
  <c r="O21" i="5"/>
  <c r="BD20" i="3"/>
  <c r="BD20" i="5"/>
  <c r="AR20" i="3"/>
  <c r="AR20" i="5"/>
  <c r="AF20" i="3"/>
  <c r="AF20" i="5"/>
  <c r="T20" i="3"/>
  <c r="T20" i="5"/>
  <c r="H20" i="3"/>
  <c r="H20" i="5"/>
  <c r="AW19" i="3"/>
  <c r="AW19" i="5"/>
  <c r="AK19" i="3"/>
  <c r="AK19" i="5"/>
  <c r="Y19" i="3"/>
  <c r="Y19" i="5"/>
  <c r="M19" i="3"/>
  <c r="M19" i="5"/>
  <c r="BB18" i="3"/>
  <c r="BB18" i="5"/>
  <c r="AP18" i="3"/>
  <c r="AP18" i="5"/>
  <c r="AD18" i="3"/>
  <c r="AD18" i="5"/>
  <c r="R18" i="3"/>
  <c r="R18" i="5"/>
  <c r="F18" i="3"/>
  <c r="F18" i="5"/>
  <c r="AU17" i="3"/>
  <c r="AU17" i="5"/>
  <c r="AI17" i="3"/>
  <c r="AI17" i="5"/>
  <c r="W17" i="3"/>
  <c r="W17" i="5"/>
  <c r="K17" i="3"/>
  <c r="K17" i="5"/>
  <c r="AZ16" i="3"/>
  <c r="AZ16" i="5"/>
  <c r="AN16" i="3"/>
  <c r="AN16" i="5"/>
  <c r="AB16" i="3"/>
  <c r="AB16" i="5"/>
  <c r="P16" i="3"/>
  <c r="P16" i="5"/>
  <c r="D16" i="3"/>
  <c r="D16" i="5"/>
  <c r="AS15" i="3"/>
  <c r="AS15" i="5"/>
  <c r="AG15" i="3"/>
  <c r="AG15" i="5"/>
  <c r="U15" i="3"/>
  <c r="U15" i="5"/>
  <c r="I15" i="3"/>
  <c r="I15" i="5"/>
  <c r="AX14" i="3"/>
  <c r="AX14" i="5"/>
  <c r="AL14" i="3"/>
  <c r="AL14" i="5"/>
  <c r="Z14" i="3"/>
  <c r="Z14" i="5"/>
  <c r="N14" i="3"/>
  <c r="N14" i="5"/>
  <c r="BC13" i="3"/>
  <c r="BC13" i="5"/>
  <c r="AQ13" i="3"/>
  <c r="AQ13" i="5"/>
  <c r="AE13" i="3"/>
  <c r="AE13" i="5"/>
  <c r="S13" i="3"/>
  <c r="S13" i="5"/>
  <c r="G13" i="3"/>
  <c r="G13" i="5"/>
  <c r="AV12" i="3"/>
  <c r="AV12" i="5"/>
  <c r="AJ12" i="3"/>
  <c r="AJ12" i="5"/>
  <c r="X12" i="3"/>
  <c r="X12" i="5"/>
  <c r="L12" i="3"/>
  <c r="L12" i="5"/>
  <c r="BA11" i="3"/>
  <c r="BA11" i="5"/>
  <c r="AO11" i="3"/>
  <c r="AO11" i="5"/>
  <c r="AC11" i="3"/>
  <c r="AC11" i="5"/>
  <c r="Q11" i="3"/>
  <c r="Q11" i="5"/>
  <c r="E11" i="3"/>
  <c r="E11" i="5"/>
  <c r="AT10" i="3"/>
  <c r="AT10" i="5"/>
  <c r="AH10" i="3"/>
  <c r="AH10" i="5"/>
  <c r="V10" i="3"/>
  <c r="V10" i="5"/>
  <c r="J10" i="3"/>
  <c r="J10" i="5"/>
  <c r="AY9" i="3"/>
  <c r="AY9" i="5"/>
  <c r="AM9" i="3"/>
  <c r="AM9" i="5"/>
  <c r="AA9" i="3"/>
  <c r="AA9" i="5"/>
  <c r="O9" i="3"/>
  <c r="O9" i="5"/>
  <c r="BD8" i="3"/>
  <c r="BD8" i="5"/>
  <c r="AR8" i="3"/>
  <c r="AR8" i="5"/>
  <c r="AF8" i="3"/>
  <c r="AF8" i="5"/>
  <c r="T8" i="3"/>
  <c r="T8" i="5"/>
  <c r="H8" i="3"/>
  <c r="H8" i="5"/>
  <c r="AW7" i="3"/>
  <c r="AW7" i="5"/>
  <c r="AK7" i="3"/>
  <c r="AK7" i="5"/>
  <c r="Y7" i="3"/>
  <c r="Y7" i="5"/>
  <c r="M7" i="3"/>
  <c r="M7" i="5"/>
  <c r="BB6" i="3"/>
  <c r="BB6" i="5"/>
  <c r="AP6" i="3"/>
  <c r="AP6" i="5"/>
  <c r="AD6" i="3"/>
  <c r="AD6" i="5"/>
  <c r="R6" i="3"/>
  <c r="R6" i="5"/>
  <c r="F6" i="3"/>
  <c r="F6" i="5"/>
  <c r="AU5" i="3"/>
  <c r="AU5" i="5"/>
  <c r="AI5" i="3"/>
  <c r="AI5" i="5"/>
  <c r="W5" i="3"/>
  <c r="W5" i="5"/>
  <c r="K5" i="3"/>
  <c r="K5" i="5"/>
  <c r="AZ4" i="3"/>
  <c r="AZ4" i="5"/>
  <c r="AN4" i="3"/>
  <c r="AN4" i="5"/>
  <c r="AB4" i="3"/>
  <c r="AB4" i="5"/>
  <c r="P4" i="3"/>
  <c r="P4" i="5"/>
  <c r="D4" i="3"/>
  <c r="D4" i="5"/>
  <c r="AS3" i="3"/>
  <c r="AS3" i="5"/>
  <c r="AG3" i="3"/>
  <c r="AG3" i="5"/>
  <c r="U3" i="3"/>
  <c r="U3" i="5"/>
  <c r="I3" i="3"/>
  <c r="I3" i="5"/>
  <c r="C42" i="3"/>
  <c r="C42" i="5"/>
  <c r="AS54" i="3"/>
  <c r="AS54" i="5"/>
  <c r="AE52" i="5"/>
  <c r="AT49" i="3"/>
  <c r="AT49" i="5"/>
  <c r="AF47" i="5"/>
  <c r="AU44" i="3"/>
  <c r="AU44" i="5"/>
  <c r="AX41" i="3"/>
  <c r="AX41" i="5"/>
  <c r="X39" i="5"/>
  <c r="AM36" i="3"/>
  <c r="AM36" i="5"/>
  <c r="Y34" i="3"/>
  <c r="Y34" i="5"/>
  <c r="K32" i="3"/>
  <c r="K32" i="5"/>
  <c r="I30" i="5"/>
  <c r="G28" i="3"/>
  <c r="G28" i="5"/>
  <c r="AY24" i="3"/>
  <c r="AY24" i="5"/>
  <c r="H23" i="3"/>
  <c r="H23" i="5"/>
  <c r="AI20" i="3"/>
  <c r="AI20" i="5"/>
  <c r="U18" i="3"/>
  <c r="U18" i="5"/>
  <c r="G16" i="3"/>
  <c r="G16" i="5"/>
  <c r="AM12" i="3"/>
  <c r="AM12" i="5"/>
  <c r="R9" i="3"/>
  <c r="R9" i="5"/>
  <c r="T56" i="3"/>
  <c r="T56" i="5"/>
  <c r="AD54" i="3"/>
  <c r="AD54" i="5"/>
  <c r="K53" i="3"/>
  <c r="K53" i="5"/>
  <c r="AN52" i="5"/>
  <c r="P52" i="3"/>
  <c r="P52" i="5"/>
  <c r="AS51" i="3"/>
  <c r="AS51" i="5"/>
  <c r="U51" i="3"/>
  <c r="U51" i="5"/>
  <c r="AX50" i="3"/>
  <c r="AX50" i="5"/>
  <c r="Z50" i="3"/>
  <c r="Z50" i="5"/>
  <c r="N50" i="5"/>
  <c r="AQ49" i="3"/>
  <c r="AQ49" i="5"/>
  <c r="S49" i="5"/>
  <c r="AV48" i="3"/>
  <c r="AV48" i="5"/>
  <c r="C50" i="3"/>
  <c r="C50" i="5"/>
  <c r="C38" i="3"/>
  <c r="C38" i="5"/>
  <c r="C26" i="3"/>
  <c r="C26" i="5"/>
  <c r="C14" i="3"/>
  <c r="C14" i="5"/>
  <c r="BC56" i="3"/>
  <c r="BC56" i="5"/>
  <c r="AQ56" i="3"/>
  <c r="AQ56" i="5"/>
  <c r="AE56" i="3"/>
  <c r="AE56" i="5"/>
  <c r="S56" i="3"/>
  <c r="S56" i="5"/>
  <c r="G56" i="3"/>
  <c r="G56" i="5"/>
  <c r="AV55" i="3"/>
  <c r="AV55" i="5"/>
  <c r="AJ55" i="3"/>
  <c r="AJ55" i="5"/>
  <c r="X55" i="3"/>
  <c r="X55" i="5"/>
  <c r="L55" i="3"/>
  <c r="L55" i="5"/>
  <c r="BA54" i="3"/>
  <c r="BA54" i="5"/>
  <c r="AO54" i="5"/>
  <c r="AC54" i="3"/>
  <c r="AC54" i="5"/>
  <c r="Q54" i="3"/>
  <c r="Q54" i="5"/>
  <c r="E54" i="3"/>
  <c r="E54" i="5"/>
  <c r="AT53" i="3"/>
  <c r="AT53" i="5"/>
  <c r="AH53" i="3"/>
  <c r="AH53" i="5"/>
  <c r="V53" i="3"/>
  <c r="V53" i="5"/>
  <c r="J53" i="5"/>
  <c r="AY52" i="5"/>
  <c r="AM52" i="3"/>
  <c r="AM52" i="5"/>
  <c r="AA52" i="5"/>
  <c r="O52" i="5"/>
  <c r="BD51" i="3"/>
  <c r="BD51" i="5"/>
  <c r="AR51" i="3"/>
  <c r="AR51" i="5"/>
  <c r="AF51" i="3"/>
  <c r="AF51" i="5"/>
  <c r="T51" i="3"/>
  <c r="T51" i="5"/>
  <c r="H51" i="3"/>
  <c r="H51" i="5"/>
  <c r="AW50" i="3"/>
  <c r="AW50" i="5"/>
  <c r="AK50" i="3"/>
  <c r="AK50" i="5"/>
  <c r="Y50" i="3"/>
  <c r="Y50" i="5"/>
  <c r="M50" i="3"/>
  <c r="M50" i="5"/>
  <c r="BB49" i="3"/>
  <c r="BB49" i="5"/>
  <c r="AP49" i="3"/>
  <c r="AP49" i="5"/>
  <c r="AD49" i="3"/>
  <c r="AD49" i="5"/>
  <c r="R49" i="3"/>
  <c r="R49" i="5"/>
  <c r="F49" i="3"/>
  <c r="F49" i="5"/>
  <c r="AU48" i="3"/>
  <c r="AU48" i="5"/>
  <c r="AI48" i="3"/>
  <c r="AI48" i="5"/>
  <c r="W48" i="3"/>
  <c r="W48" i="5"/>
  <c r="K48" i="3"/>
  <c r="K48" i="5"/>
  <c r="AZ47" i="3"/>
  <c r="AZ47" i="5"/>
  <c r="AN47" i="3"/>
  <c r="AN47" i="5"/>
  <c r="AB47" i="5"/>
  <c r="P47" i="3"/>
  <c r="P47" i="5"/>
  <c r="D47" i="3"/>
  <c r="D47" i="5"/>
  <c r="AS46" i="3"/>
  <c r="AS46" i="5"/>
  <c r="AG46" i="3"/>
  <c r="AG46" i="5"/>
  <c r="U46" i="3"/>
  <c r="U46" i="5"/>
  <c r="I46" i="5"/>
  <c r="AX45" i="5"/>
  <c r="AL45" i="3"/>
  <c r="AL45" i="5"/>
  <c r="Z45" i="5"/>
  <c r="N45" i="5"/>
  <c r="BC44" i="5"/>
  <c r="AQ44" i="3"/>
  <c r="AQ44" i="5"/>
  <c r="AE44" i="5"/>
  <c r="S44" i="5"/>
  <c r="G44" i="5"/>
  <c r="AV43" i="5"/>
  <c r="AJ43" i="5"/>
  <c r="X43" i="5"/>
  <c r="L43" i="3"/>
  <c r="L43" i="5"/>
  <c r="BA42" i="5"/>
  <c r="AO42" i="5"/>
  <c r="AC42" i="3"/>
  <c r="AC42" i="5"/>
  <c r="Q42" i="3"/>
  <c r="Q42" i="5"/>
  <c r="E42" i="5"/>
  <c r="AT41" i="3"/>
  <c r="AT41" i="5"/>
  <c r="AH41" i="3"/>
  <c r="AH41" i="5"/>
  <c r="V41" i="3"/>
  <c r="V41" i="5"/>
  <c r="J41" i="5"/>
  <c r="AY40" i="5"/>
  <c r="AM40" i="3"/>
  <c r="AM40" i="5"/>
  <c r="AA40" i="5"/>
  <c r="O40" i="5"/>
  <c r="BD39" i="5"/>
  <c r="AR39" i="3"/>
  <c r="AR39" i="5"/>
  <c r="AF39" i="5"/>
  <c r="T39" i="5"/>
  <c r="H39" i="5"/>
  <c r="AW38" i="5"/>
  <c r="AK38" i="5"/>
  <c r="Y38" i="5"/>
  <c r="M38" i="5"/>
  <c r="BB37" i="3"/>
  <c r="BB37" i="5"/>
  <c r="AP37" i="3"/>
  <c r="AP37" i="5"/>
  <c r="AD37" i="3"/>
  <c r="AD37" i="5"/>
  <c r="R37" i="3"/>
  <c r="R37" i="5"/>
  <c r="F37" i="3"/>
  <c r="F37" i="5"/>
  <c r="AU36" i="3"/>
  <c r="AU36" i="5"/>
  <c r="AI36" i="3"/>
  <c r="AI36" i="5"/>
  <c r="W36" i="3"/>
  <c r="W36" i="5"/>
  <c r="K36" i="3"/>
  <c r="K36" i="5"/>
  <c r="AZ35" i="3"/>
  <c r="AZ35" i="5"/>
  <c r="AN35" i="3"/>
  <c r="AN35" i="5"/>
  <c r="AB35" i="5"/>
  <c r="P35" i="3"/>
  <c r="P35" i="5"/>
  <c r="D35" i="3"/>
  <c r="D35" i="5"/>
  <c r="AS34" i="3"/>
  <c r="AS34" i="5"/>
  <c r="AG34" i="3"/>
  <c r="AG34" i="5"/>
  <c r="U34" i="3"/>
  <c r="U34" i="5"/>
  <c r="I34" i="5"/>
  <c r="AX33" i="5"/>
  <c r="AL33" i="3"/>
  <c r="AL33" i="5"/>
  <c r="Z33" i="5"/>
  <c r="N33" i="5"/>
  <c r="BC32" i="3"/>
  <c r="BC32" i="5"/>
  <c r="AQ32" i="3"/>
  <c r="AQ32" i="5"/>
  <c r="AE32" i="3"/>
  <c r="AE32" i="5"/>
  <c r="S32" i="3"/>
  <c r="S32" i="5"/>
  <c r="G32" i="3"/>
  <c r="G32" i="5"/>
  <c r="AV31" i="3"/>
  <c r="AV31" i="5"/>
  <c r="AJ31" i="3"/>
  <c r="AJ31" i="5"/>
  <c r="X31" i="3"/>
  <c r="X31" i="5"/>
  <c r="L31" i="3"/>
  <c r="L31" i="5"/>
  <c r="BA30" i="3"/>
  <c r="BA30" i="5"/>
  <c r="AO30" i="5"/>
  <c r="AC30" i="3"/>
  <c r="AC30" i="5"/>
  <c r="Q30" i="3"/>
  <c r="Q30" i="5"/>
  <c r="E30" i="5"/>
  <c r="AT29" i="3"/>
  <c r="AT29" i="5"/>
  <c r="AH29" i="3"/>
  <c r="AH29" i="5"/>
  <c r="V29" i="3"/>
  <c r="V29" i="5"/>
  <c r="J29" i="3"/>
  <c r="J29" i="5"/>
  <c r="AY28" i="3"/>
  <c r="AY28" i="5"/>
  <c r="AM28" i="3"/>
  <c r="AM28" i="5"/>
  <c r="AA28" i="3"/>
  <c r="AA28" i="5"/>
  <c r="O28" i="3"/>
  <c r="O28" i="5"/>
  <c r="BD27" i="3"/>
  <c r="BD27" i="5"/>
  <c r="AR27" i="3"/>
  <c r="AR27" i="5"/>
  <c r="AF27" i="3"/>
  <c r="AF27" i="5"/>
  <c r="T27" i="3"/>
  <c r="T27" i="5"/>
  <c r="H27" i="3"/>
  <c r="H27" i="5"/>
  <c r="AW26" i="3"/>
  <c r="AW26" i="5"/>
  <c r="AK26" i="3"/>
  <c r="AK26" i="5"/>
  <c r="Y26" i="3"/>
  <c r="Y26" i="5"/>
  <c r="M26" i="3"/>
  <c r="M26" i="5"/>
  <c r="BB25" i="3"/>
  <c r="BB25" i="5"/>
  <c r="AP25" i="3"/>
  <c r="AP25" i="5"/>
  <c r="AD25" i="3"/>
  <c r="AD25" i="5"/>
  <c r="R25" i="3"/>
  <c r="R25" i="5"/>
  <c r="F25" i="3"/>
  <c r="F25" i="5"/>
  <c r="AU24" i="3"/>
  <c r="AU24" i="5"/>
  <c r="AI24" i="3"/>
  <c r="AI24" i="5"/>
  <c r="W24" i="3"/>
  <c r="W24" i="5"/>
  <c r="K24" i="3"/>
  <c r="K24" i="5"/>
  <c r="AZ23" i="3"/>
  <c r="AZ23" i="5"/>
  <c r="AN23" i="3"/>
  <c r="AN23" i="5"/>
  <c r="AB23" i="3"/>
  <c r="AB23" i="5"/>
  <c r="P23" i="3"/>
  <c r="P23" i="5"/>
  <c r="D23" i="3"/>
  <c r="D23" i="5"/>
  <c r="AS22" i="3"/>
  <c r="AS22" i="5"/>
  <c r="AG22" i="3"/>
  <c r="AG22" i="5"/>
  <c r="U22" i="3"/>
  <c r="U22" i="5"/>
  <c r="I22" i="3"/>
  <c r="I22" i="5"/>
  <c r="AX21" i="3"/>
  <c r="AX21" i="5"/>
  <c r="AL21" i="3"/>
  <c r="AL21" i="5"/>
  <c r="Z21" i="3"/>
  <c r="Z21" i="5"/>
  <c r="N21" i="3"/>
  <c r="N21" i="5"/>
  <c r="BC20" i="3"/>
  <c r="BC20" i="5"/>
  <c r="AQ20" i="3"/>
  <c r="AQ20" i="5"/>
  <c r="AE20" i="3"/>
  <c r="AE20" i="5"/>
  <c r="S20" i="3"/>
  <c r="S20" i="5"/>
  <c r="G20" i="3"/>
  <c r="G20" i="5"/>
  <c r="AV19" i="3"/>
  <c r="AV19" i="5"/>
  <c r="AJ19" i="3"/>
  <c r="AJ19" i="5"/>
  <c r="X19" i="3"/>
  <c r="X19" i="5"/>
  <c r="L19" i="3"/>
  <c r="L19" i="5"/>
  <c r="BA18" i="3"/>
  <c r="BA18" i="5"/>
  <c r="AO18" i="3"/>
  <c r="AO18" i="5"/>
  <c r="AC18" i="3"/>
  <c r="AC18" i="5"/>
  <c r="Q18" i="3"/>
  <c r="Q18" i="5"/>
  <c r="E18" i="3"/>
  <c r="E18" i="5"/>
  <c r="AT17" i="3"/>
  <c r="AT17" i="5"/>
  <c r="AH17" i="3"/>
  <c r="AH17" i="5"/>
  <c r="V17" i="3"/>
  <c r="V17" i="5"/>
  <c r="J17" i="3"/>
  <c r="J17" i="5"/>
  <c r="AY16" i="3"/>
  <c r="AY16" i="5"/>
  <c r="AM16" i="3"/>
  <c r="AM16" i="5"/>
  <c r="AA16" i="3"/>
  <c r="AA16" i="5"/>
  <c r="O16" i="3"/>
  <c r="O16" i="5"/>
  <c r="BD15" i="3"/>
  <c r="BD15" i="5"/>
  <c r="AR15" i="3"/>
  <c r="AR15" i="5"/>
  <c r="AF15" i="3"/>
  <c r="AF15" i="5"/>
  <c r="T15" i="3"/>
  <c r="T15" i="5"/>
  <c r="H15" i="3"/>
  <c r="H15" i="5"/>
  <c r="AW14" i="3"/>
  <c r="AW14" i="5"/>
  <c r="AK14" i="3"/>
  <c r="AK14" i="5"/>
  <c r="Y14" i="3"/>
  <c r="Y14" i="5"/>
  <c r="M14" i="3"/>
  <c r="M14" i="5"/>
  <c r="BB13" i="3"/>
  <c r="BB13" i="5"/>
  <c r="AP13" i="3"/>
  <c r="AP13" i="5"/>
  <c r="AD13" i="3"/>
  <c r="AD13" i="5"/>
  <c r="R13" i="3"/>
  <c r="R13" i="5"/>
  <c r="F13" i="3"/>
  <c r="F13" i="5"/>
  <c r="AU12" i="3"/>
  <c r="AU12" i="5"/>
  <c r="AI12" i="3"/>
  <c r="AI12" i="5"/>
  <c r="W12" i="3"/>
  <c r="W12" i="5"/>
  <c r="K12" i="3"/>
  <c r="K12" i="5"/>
  <c r="AZ11" i="3"/>
  <c r="AZ11" i="5"/>
  <c r="AN11" i="3"/>
  <c r="AN11" i="5"/>
  <c r="AB11" i="3"/>
  <c r="AB11" i="5"/>
  <c r="P11" i="3"/>
  <c r="P11" i="5"/>
  <c r="D11" i="3"/>
  <c r="D11" i="5"/>
  <c r="AS10" i="3"/>
  <c r="AS10" i="5"/>
  <c r="AG10" i="3"/>
  <c r="AG10" i="5"/>
  <c r="U10" i="3"/>
  <c r="U10" i="5"/>
  <c r="I10" i="3"/>
  <c r="I10" i="5"/>
  <c r="AX9" i="3"/>
  <c r="AX9" i="5"/>
  <c r="AL9" i="3"/>
  <c r="AL9" i="5"/>
  <c r="Z9" i="3"/>
  <c r="Z9" i="5"/>
  <c r="N9" i="3"/>
  <c r="N9" i="5"/>
  <c r="BC8" i="3"/>
  <c r="BC8" i="5"/>
  <c r="AQ8" i="3"/>
  <c r="AQ8" i="5"/>
  <c r="AE8" i="3"/>
  <c r="AE8" i="5"/>
  <c r="S8" i="3"/>
  <c r="S8" i="5"/>
  <c r="G8" i="3"/>
  <c r="G8" i="5"/>
  <c r="AV7" i="3"/>
  <c r="AV7" i="5"/>
  <c r="AJ7" i="3"/>
  <c r="AJ7" i="5"/>
  <c r="X7" i="3"/>
  <c r="X7" i="5"/>
  <c r="L7" i="3"/>
  <c r="L7" i="5"/>
  <c r="BA6" i="3"/>
  <c r="BA6" i="5"/>
  <c r="AO6" i="3"/>
  <c r="AO6" i="5"/>
  <c r="AC6" i="3"/>
  <c r="AC6" i="5"/>
  <c r="Q6" i="3"/>
  <c r="Q6" i="5"/>
  <c r="E6" i="3"/>
  <c r="E6" i="5"/>
  <c r="AT5" i="3"/>
  <c r="AT5" i="5"/>
  <c r="AH5" i="3"/>
  <c r="AH5" i="5"/>
  <c r="V5" i="3"/>
  <c r="V5" i="5"/>
  <c r="J5" i="3"/>
  <c r="J5" i="5"/>
  <c r="AY4" i="3"/>
  <c r="AY4" i="5"/>
  <c r="AM4" i="3"/>
  <c r="AM4" i="5"/>
  <c r="AA4" i="3"/>
  <c r="AA4" i="5"/>
  <c r="O4" i="3"/>
  <c r="O4" i="5"/>
  <c r="BD3" i="3"/>
  <c r="BD3" i="5"/>
  <c r="AR3" i="3"/>
  <c r="AR3" i="5"/>
  <c r="AF3" i="3"/>
  <c r="AF3" i="5"/>
  <c r="T3" i="3"/>
  <c r="T3" i="5"/>
  <c r="H3" i="3"/>
  <c r="H3" i="5"/>
  <c r="AU56" i="3"/>
  <c r="AU56" i="5"/>
  <c r="U54" i="3"/>
  <c r="U54" i="5"/>
  <c r="G52" i="5"/>
  <c r="AH49" i="3"/>
  <c r="AH49" i="5"/>
  <c r="AW46" i="3"/>
  <c r="AW46" i="5"/>
  <c r="AI44" i="5"/>
  <c r="U42" i="3"/>
  <c r="U42" i="5"/>
  <c r="AJ39" i="5"/>
  <c r="V37" i="3"/>
  <c r="V37" i="5"/>
  <c r="AK34" i="5"/>
  <c r="W32" i="3"/>
  <c r="W32" i="5"/>
  <c r="AL29" i="3"/>
  <c r="AL29" i="5"/>
  <c r="BA26" i="3"/>
  <c r="BA26" i="5"/>
  <c r="AA24" i="3"/>
  <c r="AA24" i="5"/>
  <c r="M22" i="3"/>
  <c r="M22" i="5"/>
  <c r="K20" i="3"/>
  <c r="K20" i="5"/>
  <c r="I18" i="3"/>
  <c r="I18" i="5"/>
  <c r="AJ15" i="3"/>
  <c r="AJ15" i="5"/>
  <c r="AH13" i="3"/>
  <c r="AH13" i="5"/>
  <c r="H11" i="3"/>
  <c r="H11" i="5"/>
  <c r="C51" i="3"/>
  <c r="C51" i="5"/>
  <c r="H56" i="3"/>
  <c r="H56" i="5"/>
  <c r="AI53" i="3"/>
  <c r="AI53" i="5"/>
  <c r="AD56" i="3"/>
  <c r="AD56" i="5"/>
  <c r="K55" i="3"/>
  <c r="K55" i="5"/>
  <c r="AG53" i="3"/>
  <c r="AG53" i="5"/>
  <c r="AQ51" i="3"/>
  <c r="AQ51" i="5"/>
  <c r="BA49" i="3"/>
  <c r="BA49" i="5"/>
  <c r="AY47" i="5"/>
  <c r="T46" i="5"/>
  <c r="AK45" i="5"/>
  <c r="R44" i="5"/>
  <c r="AU43" i="5"/>
  <c r="AI43" i="5"/>
  <c r="W43" i="3"/>
  <c r="W43" i="5"/>
  <c r="K43" i="3"/>
  <c r="K43" i="5"/>
  <c r="AZ42" i="5"/>
  <c r="AN42" i="5"/>
  <c r="AB42" i="5"/>
  <c r="P42" i="3"/>
  <c r="P42" i="5"/>
  <c r="D42" i="5"/>
  <c r="AS41" i="3"/>
  <c r="AS41" i="5"/>
  <c r="AG41" i="3"/>
  <c r="AG41" i="5"/>
  <c r="U41" i="3"/>
  <c r="U41" i="5"/>
  <c r="I41" i="3"/>
  <c r="I41" i="5"/>
  <c r="AX40" i="3"/>
  <c r="AX40" i="5"/>
  <c r="AL40" i="3"/>
  <c r="AL40" i="5"/>
  <c r="Z40" i="3"/>
  <c r="Z40" i="5"/>
  <c r="N40" i="5"/>
  <c r="BC39" i="5"/>
  <c r="AQ39" i="3"/>
  <c r="AQ39" i="5"/>
  <c r="AE39" i="5"/>
  <c r="S39" i="5"/>
  <c r="G39" i="5"/>
  <c r="AV38" i="5"/>
  <c r="AJ38" i="5"/>
  <c r="X38" i="5"/>
  <c r="L38" i="3"/>
  <c r="L38" i="5"/>
  <c r="BA37" i="3"/>
  <c r="BA37" i="5"/>
  <c r="AO37" i="3"/>
  <c r="AO37" i="5"/>
  <c r="AC37" i="3"/>
  <c r="AC37" i="5"/>
  <c r="Q37" i="3"/>
  <c r="Q37" i="5"/>
  <c r="E37" i="3"/>
  <c r="E37" i="5"/>
  <c r="AT36" i="3"/>
  <c r="AT36" i="5"/>
  <c r="AH36" i="3"/>
  <c r="AH36" i="5"/>
  <c r="V36" i="3"/>
  <c r="V36" i="5"/>
  <c r="J36" i="5"/>
  <c r="AY35" i="5"/>
  <c r="AM35" i="3"/>
  <c r="AM35" i="5"/>
  <c r="AA35" i="5"/>
  <c r="O35" i="5"/>
  <c r="BD34" i="5"/>
  <c r="AR34" i="3"/>
  <c r="AR34" i="5"/>
  <c r="AF34" i="5"/>
  <c r="T34" i="5"/>
  <c r="H34" i="5"/>
  <c r="AW33" i="5"/>
  <c r="AK33" i="5"/>
  <c r="Y33" i="5"/>
  <c r="M33" i="5"/>
  <c r="BB32" i="3"/>
  <c r="BB32" i="5"/>
  <c r="AP32" i="3"/>
  <c r="AP32" i="5"/>
  <c r="AD32" i="5"/>
  <c r="AD32" i="3"/>
  <c r="R32" i="3"/>
  <c r="R32" i="5"/>
  <c r="F32" i="3"/>
  <c r="F32" i="5"/>
  <c r="AU31" i="3"/>
  <c r="AU31" i="5"/>
  <c r="AI31" i="3"/>
  <c r="AI31" i="5"/>
  <c r="W31" i="3"/>
  <c r="W31" i="5"/>
  <c r="K31" i="5"/>
  <c r="K31" i="3"/>
  <c r="AZ30" i="3"/>
  <c r="AZ30" i="5"/>
  <c r="AN30" i="5"/>
  <c r="AB30" i="5"/>
  <c r="P30" i="3"/>
  <c r="P30" i="5"/>
  <c r="D30" i="3"/>
  <c r="D30" i="5"/>
  <c r="AS29" i="5"/>
  <c r="AS29" i="3"/>
  <c r="AG29" i="3"/>
  <c r="AG29" i="5"/>
  <c r="U29" i="3"/>
  <c r="U29" i="5"/>
  <c r="I29" i="3"/>
  <c r="I29" i="5"/>
  <c r="AX28" i="3"/>
  <c r="AX28" i="5"/>
  <c r="AL28" i="3"/>
  <c r="AL28" i="5"/>
  <c r="Z28" i="5"/>
  <c r="Z28" i="3"/>
  <c r="N28" i="3"/>
  <c r="N28" i="5"/>
  <c r="BC27" i="3"/>
  <c r="BC27" i="5"/>
  <c r="AQ27" i="3"/>
  <c r="AQ27" i="5"/>
  <c r="AE27" i="3"/>
  <c r="AE27" i="5"/>
  <c r="S27" i="3"/>
  <c r="S27" i="5"/>
  <c r="G27" i="5"/>
  <c r="G27" i="3"/>
  <c r="AV26" i="3"/>
  <c r="AV26" i="5"/>
  <c r="AJ26" i="3"/>
  <c r="AJ26" i="5"/>
  <c r="X26" i="3"/>
  <c r="X26" i="5"/>
  <c r="L26" i="3"/>
  <c r="L26" i="5"/>
  <c r="BA25" i="3"/>
  <c r="BA25" i="5"/>
  <c r="AO25" i="5"/>
  <c r="AO25" i="3"/>
  <c r="AC25" i="3"/>
  <c r="AC25" i="5"/>
  <c r="Q25" i="3"/>
  <c r="Q25" i="5"/>
  <c r="E25" i="3"/>
  <c r="E25" i="5"/>
  <c r="AT24" i="3"/>
  <c r="AT24" i="5"/>
  <c r="AH24" i="3"/>
  <c r="AH24" i="5"/>
  <c r="V24" i="3"/>
  <c r="V24" i="5"/>
  <c r="J24" i="3"/>
  <c r="J24" i="5"/>
  <c r="AY23" i="3"/>
  <c r="AY23" i="5"/>
  <c r="AM23" i="3"/>
  <c r="AM23" i="5"/>
  <c r="AA23" i="5"/>
  <c r="AA23" i="3"/>
  <c r="O23" i="3"/>
  <c r="O23" i="5"/>
  <c r="BD22" i="3"/>
  <c r="BD22" i="5"/>
  <c r="AR22" i="3"/>
  <c r="AR22" i="5"/>
  <c r="AF22" i="3"/>
  <c r="AF22" i="5"/>
  <c r="T22" i="3"/>
  <c r="T22" i="5"/>
  <c r="H22" i="3"/>
  <c r="H22" i="5"/>
  <c r="AW21" i="3"/>
  <c r="AW21" i="5"/>
  <c r="AK21" i="3"/>
  <c r="AK21" i="5"/>
  <c r="Y21" i="3"/>
  <c r="Y21" i="5"/>
  <c r="M21" i="3"/>
  <c r="M21" i="5"/>
  <c r="BB20" i="3"/>
  <c r="BB20" i="5"/>
  <c r="AP20" i="3"/>
  <c r="AP20" i="5"/>
  <c r="AD20" i="3"/>
  <c r="AD20" i="5"/>
  <c r="R20" i="3"/>
  <c r="R20" i="5"/>
  <c r="F20" i="3"/>
  <c r="F20" i="5"/>
  <c r="AU19" i="3"/>
  <c r="AU19" i="5"/>
  <c r="AI19" i="3"/>
  <c r="AI19" i="5"/>
  <c r="W19" i="3"/>
  <c r="W19" i="5"/>
  <c r="K19" i="3"/>
  <c r="K19" i="5"/>
  <c r="AZ18" i="3"/>
  <c r="AZ18" i="5"/>
  <c r="AN18" i="3"/>
  <c r="AN18" i="5"/>
  <c r="AB18" i="3"/>
  <c r="AB18" i="5"/>
  <c r="P18" i="3"/>
  <c r="P18" i="5"/>
  <c r="D18" i="3"/>
  <c r="D18" i="5"/>
  <c r="AS17" i="3"/>
  <c r="AS17" i="5"/>
  <c r="AG17" i="3"/>
  <c r="AG17" i="5"/>
  <c r="U17" i="3"/>
  <c r="U17" i="5"/>
  <c r="I17" i="3"/>
  <c r="I17" i="5"/>
  <c r="AX16" i="3"/>
  <c r="AX16" i="5"/>
  <c r="AL16" i="3"/>
  <c r="AL16" i="5"/>
  <c r="Z16" i="3"/>
  <c r="Z16" i="5"/>
  <c r="N16" i="3"/>
  <c r="N16" i="5"/>
  <c r="BC15" i="3"/>
  <c r="BC15" i="5"/>
  <c r="AQ15" i="3"/>
  <c r="AQ15" i="5"/>
  <c r="AE15" i="3"/>
  <c r="AE15" i="5"/>
  <c r="S15" i="3"/>
  <c r="S15" i="5"/>
  <c r="G15" i="3"/>
  <c r="G15" i="5"/>
  <c r="AV14" i="3"/>
  <c r="AV14" i="5"/>
  <c r="AJ14" i="3"/>
  <c r="AJ14" i="5"/>
  <c r="X14" i="3"/>
  <c r="X14" i="5"/>
  <c r="L14" i="3"/>
  <c r="L14" i="5"/>
  <c r="BA13" i="3"/>
  <c r="BA13" i="5"/>
  <c r="AO13" i="3"/>
  <c r="AO13" i="5"/>
  <c r="AC13" i="3"/>
  <c r="AC13" i="5"/>
  <c r="Q13" i="3"/>
  <c r="Q13" i="5"/>
  <c r="E13" i="3"/>
  <c r="E13" i="5"/>
  <c r="AT12" i="3"/>
  <c r="AT12" i="5"/>
  <c r="AH12" i="3"/>
  <c r="AH12" i="5"/>
  <c r="V12" i="3"/>
  <c r="V12" i="5"/>
  <c r="J12" i="3"/>
  <c r="J12" i="5"/>
  <c r="AY11" i="3"/>
  <c r="AY11" i="5"/>
  <c r="AM11" i="3"/>
  <c r="AM11" i="5"/>
  <c r="AA11" i="3"/>
  <c r="AA11" i="5"/>
  <c r="O11" i="3"/>
  <c r="O11" i="5"/>
  <c r="BD10" i="3"/>
  <c r="BD10" i="5"/>
  <c r="AR10" i="3"/>
  <c r="AR10" i="5"/>
  <c r="AF10" i="3"/>
  <c r="AF10" i="5"/>
  <c r="T10" i="3"/>
  <c r="T10" i="5"/>
  <c r="H10" i="3"/>
  <c r="H10" i="5"/>
  <c r="AW9" i="3"/>
  <c r="AW9" i="5"/>
  <c r="AK9" i="3"/>
  <c r="AK9" i="5"/>
  <c r="Y9" i="3"/>
  <c r="Y9" i="5"/>
  <c r="M9" i="3"/>
  <c r="M9" i="5"/>
  <c r="BB8" i="3"/>
  <c r="BB8" i="5"/>
  <c r="AP8" i="3"/>
  <c r="AP8" i="5"/>
  <c r="AD8" i="3"/>
  <c r="AD8" i="5"/>
  <c r="R8" i="3"/>
  <c r="R8" i="5"/>
  <c r="F8" i="3"/>
  <c r="F8" i="5"/>
  <c r="AU7" i="3"/>
  <c r="AU7" i="5"/>
  <c r="AI7" i="3"/>
  <c r="AI7" i="5"/>
  <c r="W7" i="3"/>
  <c r="W7" i="5"/>
  <c r="K7" i="3"/>
  <c r="K7" i="5"/>
  <c r="AZ6" i="3"/>
  <c r="AZ6" i="5"/>
  <c r="AN6" i="3"/>
  <c r="AN6" i="5"/>
  <c r="AB6" i="3"/>
  <c r="AB6" i="5"/>
  <c r="P6" i="3"/>
  <c r="P6" i="5"/>
  <c r="D6" i="3"/>
  <c r="D6" i="5"/>
  <c r="AS5" i="3"/>
  <c r="AS5" i="5"/>
  <c r="AG5" i="3"/>
  <c r="AG5" i="5"/>
  <c r="U5" i="3"/>
  <c r="U5" i="5"/>
  <c r="I5" i="3"/>
  <c r="I5" i="5"/>
  <c r="AX4" i="3"/>
  <c r="AX4" i="5"/>
  <c r="AL4" i="3"/>
  <c r="AL4" i="5"/>
  <c r="Z4" i="3"/>
  <c r="Z4" i="5"/>
  <c r="N4" i="3"/>
  <c r="N4" i="5"/>
  <c r="BC3" i="3"/>
  <c r="BC3" i="5"/>
  <c r="AQ3" i="3"/>
  <c r="AQ3" i="5"/>
  <c r="AE3" i="3"/>
  <c r="AE3" i="5"/>
  <c r="S3" i="3"/>
  <c r="S3" i="5"/>
  <c r="G3" i="3"/>
  <c r="G3" i="5"/>
  <c r="AI56" i="3"/>
  <c r="AI56" i="5"/>
  <c r="AX53" i="5"/>
  <c r="BA50" i="3"/>
  <c r="BA50" i="5"/>
  <c r="AA48" i="5"/>
  <c r="M46" i="3"/>
  <c r="M46" i="5"/>
  <c r="AN43" i="5"/>
  <c r="Z41" i="3"/>
  <c r="Z41" i="5"/>
  <c r="BA38" i="5"/>
  <c r="AA36" i="3"/>
  <c r="AA36" i="5"/>
  <c r="M34" i="3"/>
  <c r="M34" i="5"/>
  <c r="AN31" i="3"/>
  <c r="AN31" i="5"/>
  <c r="N29" i="3"/>
  <c r="N29" i="5"/>
  <c r="AO26" i="3"/>
  <c r="AO26" i="5"/>
  <c r="O24" i="3"/>
  <c r="O24" i="5"/>
  <c r="AP21" i="3"/>
  <c r="AP21" i="5"/>
  <c r="P19" i="3"/>
  <c r="P19" i="5"/>
  <c r="N17" i="3"/>
  <c r="N17" i="5"/>
  <c r="L15" i="3"/>
  <c r="L15" i="5"/>
  <c r="AA12" i="3"/>
  <c r="AA12" i="5"/>
  <c r="M10" i="3"/>
  <c r="M10" i="5"/>
  <c r="C27" i="3"/>
  <c r="C27" i="5"/>
  <c r="Y55" i="3"/>
  <c r="Y55" i="5"/>
  <c r="C49" i="3"/>
  <c r="C49" i="5"/>
  <c r="R56" i="3"/>
  <c r="R56" i="5"/>
  <c r="AN54" i="3"/>
  <c r="AN54" i="5"/>
  <c r="AX52" i="5"/>
  <c r="S51" i="3"/>
  <c r="S51" i="5"/>
  <c r="L50" i="3"/>
  <c r="L50" i="5"/>
  <c r="E49" i="3"/>
  <c r="E49" i="5"/>
  <c r="AA47" i="5"/>
  <c r="AW45" i="3"/>
  <c r="AW45" i="5"/>
  <c r="F44" i="5"/>
  <c r="C48" i="3"/>
  <c r="C48" i="5"/>
  <c r="C36" i="3"/>
  <c r="C36" i="5"/>
  <c r="C24" i="3"/>
  <c r="C24" i="5"/>
  <c r="C12" i="3"/>
  <c r="C12" i="5"/>
  <c r="BA56" i="3"/>
  <c r="BA56" i="5"/>
  <c r="AO56" i="3"/>
  <c r="AO56" i="5"/>
  <c r="AC56" i="3"/>
  <c r="AC56" i="5"/>
  <c r="Q56" i="3"/>
  <c r="Q56" i="5"/>
  <c r="E56" i="3"/>
  <c r="E56" i="5"/>
  <c r="AT55" i="3"/>
  <c r="AT55" i="5"/>
  <c r="AH55" i="3"/>
  <c r="AH55" i="5"/>
  <c r="V55" i="3"/>
  <c r="V55" i="5"/>
  <c r="J55" i="5"/>
  <c r="AY54" i="5"/>
  <c r="AM54" i="3"/>
  <c r="AM54" i="5"/>
  <c r="AA54" i="5"/>
  <c r="O54" i="5"/>
  <c r="BD53" i="5"/>
  <c r="AR53" i="3"/>
  <c r="AR53" i="5"/>
  <c r="AF53" i="5"/>
  <c r="T53" i="5"/>
  <c r="H53" i="5"/>
  <c r="AW52" i="5"/>
  <c r="AK52" i="5"/>
  <c r="Y52" i="5"/>
  <c r="M52" i="5"/>
  <c r="BB51" i="3"/>
  <c r="BB51" i="5"/>
  <c r="AP51" i="3"/>
  <c r="AP51" i="5"/>
  <c r="AD51" i="3"/>
  <c r="AD51" i="5"/>
  <c r="R51" i="3"/>
  <c r="R51" i="5"/>
  <c r="F51" i="3"/>
  <c r="F51" i="5"/>
  <c r="AU50" i="3"/>
  <c r="AU50" i="5"/>
  <c r="AI50" i="3"/>
  <c r="AI50" i="5"/>
  <c r="W50" i="3"/>
  <c r="W50" i="5"/>
  <c r="K50" i="3"/>
  <c r="K50" i="5"/>
  <c r="AZ49" i="3"/>
  <c r="AZ49" i="5"/>
  <c r="AN49" i="3"/>
  <c r="AN49" i="5"/>
  <c r="AB49" i="5"/>
  <c r="P49" i="3"/>
  <c r="P49" i="5"/>
  <c r="D49" i="3"/>
  <c r="D49" i="5"/>
  <c r="AS48" i="3"/>
  <c r="AS48" i="5"/>
  <c r="AG48" i="3"/>
  <c r="AG48" i="5"/>
  <c r="U48" i="3"/>
  <c r="U48" i="5"/>
  <c r="I48" i="5"/>
  <c r="AX47" i="5"/>
  <c r="AL47" i="3"/>
  <c r="AL47" i="5"/>
  <c r="Z47" i="5"/>
  <c r="N47" i="5"/>
  <c r="BC46" i="3"/>
  <c r="BC46" i="5"/>
  <c r="AQ46" i="3"/>
  <c r="AQ46" i="5"/>
  <c r="AE46" i="3"/>
  <c r="AE46" i="5"/>
  <c r="S46" i="3"/>
  <c r="S46" i="5"/>
  <c r="G46" i="3"/>
  <c r="G46" i="5"/>
  <c r="AV45" i="3"/>
  <c r="AV45" i="5"/>
  <c r="AJ45" i="3"/>
  <c r="AJ45" i="5"/>
  <c r="X45" i="3"/>
  <c r="X45" i="5"/>
  <c r="L45" i="3"/>
  <c r="L45" i="5"/>
  <c r="BA44" i="5"/>
  <c r="AO44" i="5"/>
  <c r="AC44" i="3"/>
  <c r="AC44" i="5"/>
  <c r="Q44" i="3"/>
  <c r="Q44" i="5"/>
  <c r="E44" i="5"/>
  <c r="AT43" i="5"/>
  <c r="AH43" i="5"/>
  <c r="V43" i="3"/>
  <c r="V43" i="5"/>
  <c r="J43" i="5"/>
  <c r="AY42" i="5"/>
  <c r="AM42" i="5"/>
  <c r="AA42" i="5"/>
  <c r="O42" i="5"/>
  <c r="BD41" i="3"/>
  <c r="BD41" i="5"/>
  <c r="AR41" i="3"/>
  <c r="AR41" i="5"/>
  <c r="AF41" i="3"/>
  <c r="AF41" i="5"/>
  <c r="T41" i="5"/>
  <c r="H41" i="3"/>
  <c r="H41" i="5"/>
  <c r="AW40" i="3"/>
  <c r="AW40" i="5"/>
  <c r="AK40" i="3"/>
  <c r="AK40" i="5"/>
  <c r="Y40" i="3"/>
  <c r="Y40" i="5"/>
  <c r="M40" i="3"/>
  <c r="M40" i="5"/>
  <c r="BB39" i="3"/>
  <c r="BB39" i="5"/>
  <c r="AP39" i="3"/>
  <c r="AP39" i="5"/>
  <c r="AD39" i="3"/>
  <c r="AD39" i="5"/>
  <c r="R39" i="3"/>
  <c r="R39" i="5"/>
  <c r="F39" i="5"/>
  <c r="AU38" i="3"/>
  <c r="AU38" i="5"/>
  <c r="AI38" i="5"/>
  <c r="W38" i="5"/>
  <c r="K38" i="3"/>
  <c r="K38" i="5"/>
  <c r="AZ37" i="3"/>
  <c r="AZ37" i="5"/>
  <c r="AN37" i="3"/>
  <c r="AN37" i="5"/>
  <c r="AB37" i="3"/>
  <c r="AB37" i="5"/>
  <c r="P37" i="3"/>
  <c r="P37" i="5"/>
  <c r="D37" i="3"/>
  <c r="D37" i="5"/>
  <c r="AS36" i="3"/>
  <c r="AS36" i="5"/>
  <c r="AG36" i="3"/>
  <c r="AG36" i="5"/>
  <c r="U36" i="3"/>
  <c r="U36" i="5"/>
  <c r="I36" i="5"/>
  <c r="AX35" i="3"/>
  <c r="AX35" i="5"/>
  <c r="AL35" i="3"/>
  <c r="AL35" i="5"/>
  <c r="Z35" i="3"/>
  <c r="Z35" i="5"/>
  <c r="N35" i="5"/>
  <c r="BC34" i="5"/>
  <c r="AQ34" i="3"/>
  <c r="AQ34" i="5"/>
  <c r="AE34" i="3"/>
  <c r="AE34" i="5"/>
  <c r="S34" i="5"/>
  <c r="G34" i="5"/>
  <c r="AV33" i="3"/>
  <c r="AV33" i="5"/>
  <c r="AJ33" i="5"/>
  <c r="X33" i="5"/>
  <c r="L33" i="3"/>
  <c r="L33" i="5"/>
  <c r="BA32" i="3"/>
  <c r="BA32" i="5"/>
  <c r="AO32" i="3"/>
  <c r="AO32" i="5"/>
  <c r="AC32" i="3"/>
  <c r="AC32" i="5"/>
  <c r="Q32" i="3"/>
  <c r="Q32" i="5"/>
  <c r="E32" i="3"/>
  <c r="E32" i="5"/>
  <c r="AT31" i="3"/>
  <c r="AT31" i="5"/>
  <c r="AH31" i="3"/>
  <c r="AH31" i="5"/>
  <c r="V31" i="3"/>
  <c r="V31" i="5"/>
  <c r="J31" i="5"/>
  <c r="AY30" i="5"/>
  <c r="AM30" i="3"/>
  <c r="AM30" i="5"/>
  <c r="AA30" i="5"/>
  <c r="O30" i="5"/>
  <c r="BD29" i="3"/>
  <c r="BD29" i="5"/>
  <c r="AR29" i="3"/>
  <c r="AR29" i="5"/>
  <c r="AF29" i="3"/>
  <c r="AF29" i="5"/>
  <c r="T29" i="3"/>
  <c r="T29" i="5"/>
  <c r="H29" i="3"/>
  <c r="H29" i="5"/>
  <c r="AW28" i="3"/>
  <c r="AW28" i="5"/>
  <c r="AK28" i="3"/>
  <c r="AK28" i="5"/>
  <c r="Y28" i="3"/>
  <c r="Y28" i="5"/>
  <c r="M28" i="3"/>
  <c r="M28" i="5"/>
  <c r="BB27" i="3"/>
  <c r="BB27" i="5"/>
  <c r="AP27" i="3"/>
  <c r="AP27" i="5"/>
  <c r="AD27" i="3"/>
  <c r="AD27" i="5"/>
  <c r="R27" i="3"/>
  <c r="R27" i="5"/>
  <c r="F27" i="3"/>
  <c r="F27" i="5"/>
  <c r="AU26" i="3"/>
  <c r="AU26" i="5"/>
  <c r="AI26" i="3"/>
  <c r="AI26" i="5"/>
  <c r="W26" i="3"/>
  <c r="W26" i="5"/>
  <c r="K26" i="3"/>
  <c r="K26" i="5"/>
  <c r="AZ25" i="3"/>
  <c r="AZ25" i="5"/>
  <c r="AN25" i="3"/>
  <c r="AN25" i="5"/>
  <c r="AB25" i="3"/>
  <c r="AB25" i="5"/>
  <c r="P25" i="3"/>
  <c r="P25" i="5"/>
  <c r="D25" i="3"/>
  <c r="D25" i="5"/>
  <c r="AS24" i="3"/>
  <c r="AS24" i="5"/>
  <c r="AG24" i="3"/>
  <c r="AG24" i="5"/>
  <c r="U24" i="3"/>
  <c r="U24" i="5"/>
  <c r="I24" i="3"/>
  <c r="I24" i="5"/>
  <c r="AX23" i="3"/>
  <c r="AX23" i="5"/>
  <c r="AL23" i="3"/>
  <c r="AL23" i="5"/>
  <c r="Z23" i="3"/>
  <c r="Z23" i="5"/>
  <c r="N23" i="3"/>
  <c r="N23" i="5"/>
  <c r="BC22" i="3"/>
  <c r="BC22" i="5"/>
  <c r="AQ22" i="3"/>
  <c r="AQ22" i="5"/>
  <c r="AE22" i="3"/>
  <c r="AE22" i="5"/>
  <c r="S22" i="3"/>
  <c r="S22" i="5"/>
  <c r="G22" i="3"/>
  <c r="G22" i="5"/>
  <c r="AV21" i="3"/>
  <c r="AV21" i="5"/>
  <c r="AJ21" i="3"/>
  <c r="AJ21" i="5"/>
  <c r="X21" i="3"/>
  <c r="X21" i="5"/>
  <c r="L21" i="3"/>
  <c r="L21" i="5"/>
  <c r="BA20" i="3"/>
  <c r="BA20" i="5"/>
  <c r="AO20" i="3"/>
  <c r="AO20" i="5"/>
  <c r="AC20" i="3"/>
  <c r="AC20" i="5"/>
  <c r="Q20" i="3"/>
  <c r="Q20" i="5"/>
  <c r="E20" i="3"/>
  <c r="E20" i="5"/>
  <c r="AT19" i="3"/>
  <c r="AT19" i="5"/>
  <c r="AH19" i="3"/>
  <c r="AH19" i="5"/>
  <c r="V19" i="3"/>
  <c r="V19" i="5"/>
  <c r="J19" i="3"/>
  <c r="J19" i="5"/>
  <c r="AY18" i="3"/>
  <c r="AY18" i="5"/>
  <c r="AM18" i="3"/>
  <c r="AM18" i="5"/>
  <c r="AA18" i="3"/>
  <c r="AA18" i="5"/>
  <c r="O18" i="3"/>
  <c r="O18" i="5"/>
  <c r="BD17" i="3"/>
  <c r="BD17" i="5"/>
  <c r="AR17" i="3"/>
  <c r="AR17" i="5"/>
  <c r="AF17" i="3"/>
  <c r="AF17" i="5"/>
  <c r="T17" i="3"/>
  <c r="T17" i="5"/>
  <c r="H17" i="3"/>
  <c r="H17" i="5"/>
  <c r="AW16" i="3"/>
  <c r="AW16" i="5"/>
  <c r="AK16" i="3"/>
  <c r="AK16" i="5"/>
  <c r="Y16" i="3"/>
  <c r="Y16" i="5"/>
  <c r="M16" i="3"/>
  <c r="M16" i="5"/>
  <c r="BB15" i="3"/>
  <c r="BB15" i="5"/>
  <c r="AP15" i="3"/>
  <c r="AP15" i="5"/>
  <c r="AD15" i="3"/>
  <c r="AD15" i="5"/>
  <c r="R15" i="3"/>
  <c r="R15" i="5"/>
  <c r="F15" i="3"/>
  <c r="F15" i="5"/>
  <c r="AU14" i="3"/>
  <c r="AU14" i="5"/>
  <c r="AI14" i="3"/>
  <c r="AI14" i="5"/>
  <c r="W14" i="3"/>
  <c r="W14" i="5"/>
  <c r="K14" i="3"/>
  <c r="K14" i="5"/>
  <c r="AZ13" i="3"/>
  <c r="AZ13" i="5"/>
  <c r="AN13" i="3"/>
  <c r="AN13" i="5"/>
  <c r="AB13" i="3"/>
  <c r="AB13" i="5"/>
  <c r="P13" i="3"/>
  <c r="P13" i="5"/>
  <c r="D13" i="3"/>
  <c r="D13" i="5"/>
  <c r="AS12" i="3"/>
  <c r="AS12" i="5"/>
  <c r="AG12" i="3"/>
  <c r="AG12" i="5"/>
  <c r="U12" i="3"/>
  <c r="U12" i="5"/>
  <c r="I12" i="3"/>
  <c r="I12" i="5"/>
  <c r="AX11" i="3"/>
  <c r="AX11" i="5"/>
  <c r="AL11" i="3"/>
  <c r="AL11" i="5"/>
  <c r="Z11" i="3"/>
  <c r="Z11" i="5"/>
  <c r="N11" i="3"/>
  <c r="N11" i="5"/>
  <c r="BC10" i="3"/>
  <c r="BC10" i="5"/>
  <c r="AQ10" i="3"/>
  <c r="AQ10" i="5"/>
  <c r="AE10" i="3"/>
  <c r="AE10" i="5"/>
  <c r="S10" i="3"/>
  <c r="S10" i="5"/>
  <c r="G10" i="3"/>
  <c r="G10" i="5"/>
  <c r="AV9" i="3"/>
  <c r="AV9" i="5"/>
  <c r="AJ9" i="3"/>
  <c r="AJ9" i="5"/>
  <c r="X9" i="3"/>
  <c r="X9" i="5"/>
  <c r="L9" i="3"/>
  <c r="L9" i="5"/>
  <c r="BA8" i="3"/>
  <c r="BA8" i="5"/>
  <c r="AO8" i="3"/>
  <c r="AO8" i="5"/>
  <c r="AC8" i="3"/>
  <c r="AC8" i="5"/>
  <c r="Q8" i="3"/>
  <c r="Q8" i="5"/>
  <c r="E8" i="3"/>
  <c r="E8" i="5"/>
  <c r="AT7" i="3"/>
  <c r="AT7" i="5"/>
  <c r="AH7" i="3"/>
  <c r="AH7" i="5"/>
  <c r="V7" i="3"/>
  <c r="V7" i="5"/>
  <c r="J7" i="3"/>
  <c r="J7" i="5"/>
  <c r="AY6" i="3"/>
  <c r="AY6" i="5"/>
  <c r="AM6" i="3"/>
  <c r="AM6" i="5"/>
  <c r="AA6" i="3"/>
  <c r="AA6" i="5"/>
  <c r="O6" i="3"/>
  <c r="O6" i="5"/>
  <c r="BD5" i="3"/>
  <c r="BD5" i="5"/>
  <c r="AR5" i="3"/>
  <c r="AR5" i="5"/>
  <c r="AF5" i="3"/>
  <c r="AF5" i="5"/>
  <c r="T5" i="3"/>
  <c r="T5" i="5"/>
  <c r="H5" i="3"/>
  <c r="H5" i="5"/>
  <c r="AW4" i="3"/>
  <c r="AW4" i="5"/>
  <c r="AK4" i="3"/>
  <c r="AK4" i="5"/>
  <c r="Y4" i="3"/>
  <c r="Y4" i="5"/>
  <c r="M4" i="3"/>
  <c r="M4" i="5"/>
  <c r="BB3" i="3"/>
  <c r="BB3" i="5"/>
  <c r="AP3" i="3"/>
  <c r="AP3" i="5"/>
  <c r="AD3" i="3"/>
  <c r="AD3" i="5"/>
  <c r="R3" i="3"/>
  <c r="R3" i="5"/>
  <c r="F3" i="3"/>
  <c r="F3" i="5"/>
  <c r="AN55" i="3"/>
  <c r="AN55" i="5"/>
  <c r="BC52" i="5"/>
  <c r="AC50" i="3"/>
  <c r="AC50" i="5"/>
  <c r="O48" i="5"/>
  <c r="AP45" i="3"/>
  <c r="AP45" i="5"/>
  <c r="P43" i="3"/>
  <c r="P43" i="5"/>
  <c r="AQ40" i="3"/>
  <c r="AQ40" i="5"/>
  <c r="AT37" i="3"/>
  <c r="AT37" i="5"/>
  <c r="T35" i="5"/>
  <c r="AI32" i="3"/>
  <c r="AI32" i="5"/>
  <c r="U30" i="3"/>
  <c r="U30" i="5"/>
  <c r="AJ27" i="3"/>
  <c r="AJ27" i="5"/>
  <c r="E26" i="3"/>
  <c r="E26" i="5"/>
  <c r="AF23" i="3"/>
  <c r="AF23" i="5"/>
  <c r="AU20" i="3"/>
  <c r="AU20" i="5"/>
  <c r="D19" i="3"/>
  <c r="D19" i="5"/>
  <c r="AE16" i="3"/>
  <c r="AE16" i="5"/>
  <c r="AT13" i="3"/>
  <c r="AT13" i="5"/>
  <c r="AK10" i="3"/>
  <c r="AK10" i="5"/>
  <c r="C39" i="3"/>
  <c r="C39" i="5"/>
  <c r="AK55" i="3"/>
  <c r="AK55" i="5"/>
  <c r="F54" i="3"/>
  <c r="F54" i="5"/>
  <c r="BB56" i="3"/>
  <c r="BB56" i="5"/>
  <c r="W55" i="3"/>
  <c r="W55" i="5"/>
  <c r="AS53" i="3"/>
  <c r="AS53" i="5"/>
  <c r="BC51" i="3"/>
  <c r="BC51" i="5"/>
  <c r="X50" i="3"/>
  <c r="X50" i="5"/>
  <c r="AH48" i="3"/>
  <c r="AH48" i="5"/>
  <c r="AR46" i="3"/>
  <c r="AR46" i="5"/>
  <c r="AP44" i="3"/>
  <c r="AP44" i="5"/>
  <c r="C23" i="3"/>
  <c r="C23" i="5"/>
  <c r="C11" i="3"/>
  <c r="C11" i="5"/>
  <c r="AZ56" i="3"/>
  <c r="AZ56" i="5"/>
  <c r="AN56" i="3"/>
  <c r="AN56" i="5"/>
  <c r="AB56" i="3"/>
  <c r="AB56" i="5"/>
  <c r="P56" i="3"/>
  <c r="P56" i="5"/>
  <c r="D56" i="5"/>
  <c r="D56" i="3"/>
  <c r="AS55" i="3"/>
  <c r="AS55" i="5"/>
  <c r="AG55" i="3"/>
  <c r="AG55" i="5"/>
  <c r="U55" i="3"/>
  <c r="U55" i="5"/>
  <c r="I55" i="3"/>
  <c r="I55" i="5"/>
  <c r="AX54" i="5"/>
  <c r="AL54" i="3"/>
  <c r="AL54" i="5"/>
  <c r="Z54" i="5"/>
  <c r="N54" i="5"/>
  <c r="BC53" i="5"/>
  <c r="AQ53" i="3"/>
  <c r="AQ53" i="5"/>
  <c r="AE53" i="3"/>
  <c r="AE53" i="5"/>
  <c r="S53" i="5"/>
  <c r="G53" i="5"/>
  <c r="AV52" i="3"/>
  <c r="AV52" i="5"/>
  <c r="AJ52" i="5"/>
  <c r="X52" i="5"/>
  <c r="L52" i="3"/>
  <c r="L52" i="5"/>
  <c r="BA51" i="3"/>
  <c r="BA51" i="5"/>
  <c r="AO51" i="3"/>
  <c r="AO51" i="5"/>
  <c r="AC51" i="3"/>
  <c r="AC51" i="5"/>
  <c r="Q51" i="3"/>
  <c r="Q51" i="5"/>
  <c r="E51" i="3"/>
  <c r="E51" i="5"/>
  <c r="AT50" i="3"/>
  <c r="AT50" i="5"/>
  <c r="AH50" i="3"/>
  <c r="AH50" i="5"/>
  <c r="V50" i="3"/>
  <c r="V50" i="5"/>
  <c r="J50" i="5"/>
  <c r="AY49" i="5"/>
  <c r="AM49" i="3"/>
  <c r="AM49" i="5"/>
  <c r="AA49" i="5"/>
  <c r="O49" i="5"/>
  <c r="BD48" i="5"/>
  <c r="AR48" i="3"/>
  <c r="AR48" i="5"/>
  <c r="AF48" i="5"/>
  <c r="T48" i="5"/>
  <c r="H48" i="5"/>
  <c r="AW47" i="3"/>
  <c r="AW47" i="5"/>
  <c r="AK47" i="5"/>
  <c r="Y47" i="5"/>
  <c r="M47" i="3"/>
  <c r="M47" i="5"/>
  <c r="BB46" i="3"/>
  <c r="BB46" i="5"/>
  <c r="AP46" i="3"/>
  <c r="AP46" i="5"/>
  <c r="AD46" i="3"/>
  <c r="AD46" i="5"/>
  <c r="R46" i="3"/>
  <c r="R46" i="5"/>
  <c r="F46" i="3"/>
  <c r="F46" i="5"/>
  <c r="AU45" i="3"/>
  <c r="AU45" i="5"/>
  <c r="AI45" i="3"/>
  <c r="AI45" i="5"/>
  <c r="W45" i="3"/>
  <c r="W45" i="5"/>
  <c r="K45" i="3"/>
  <c r="K45" i="5"/>
  <c r="AZ44" i="3"/>
  <c r="AZ44" i="5"/>
  <c r="AN44" i="5"/>
  <c r="AB44" i="5"/>
  <c r="P44" i="3"/>
  <c r="P44" i="5"/>
  <c r="D44" i="3"/>
  <c r="D44" i="5"/>
  <c r="AS43" i="5"/>
  <c r="AG43" i="3"/>
  <c r="AG43" i="5"/>
  <c r="U43" i="3"/>
  <c r="U43" i="5"/>
  <c r="I43" i="5"/>
  <c r="AX42" i="5"/>
  <c r="AL42" i="3"/>
  <c r="AL42" i="5"/>
  <c r="Z42" i="5"/>
  <c r="N42" i="5"/>
  <c r="BC41" i="3"/>
  <c r="BC41" i="5"/>
  <c r="AQ41" i="3"/>
  <c r="AQ41" i="5"/>
  <c r="AE41" i="3"/>
  <c r="AE41" i="5"/>
  <c r="S41" i="3"/>
  <c r="S41" i="5"/>
  <c r="G41" i="3"/>
  <c r="G41" i="5"/>
  <c r="AV40" i="3"/>
  <c r="AV40" i="5"/>
  <c r="AJ40" i="3"/>
  <c r="AJ40" i="5"/>
  <c r="X40" i="3"/>
  <c r="X40" i="5"/>
  <c r="L40" i="3"/>
  <c r="L40" i="5"/>
  <c r="BA39" i="3"/>
  <c r="BA39" i="5"/>
  <c r="AO39" i="5"/>
  <c r="AC39" i="3"/>
  <c r="AC39" i="5"/>
  <c r="Q39" i="3"/>
  <c r="Q39" i="5"/>
  <c r="E39" i="5"/>
  <c r="AT38" i="5"/>
  <c r="AH38" i="5"/>
  <c r="V38" i="3"/>
  <c r="V38" i="5"/>
  <c r="J38" i="5"/>
  <c r="AY37" i="3"/>
  <c r="AY37" i="5"/>
  <c r="AM37" i="3"/>
  <c r="AM37" i="5"/>
  <c r="AA37" i="3"/>
  <c r="AA37" i="5"/>
  <c r="O37" i="5"/>
  <c r="BD36" i="3"/>
  <c r="BD36" i="5"/>
  <c r="AR36" i="3"/>
  <c r="AR36" i="5"/>
  <c r="AF36" i="3"/>
  <c r="AF36" i="5"/>
  <c r="T36" i="5"/>
  <c r="H36" i="3"/>
  <c r="H36" i="5"/>
  <c r="AW35" i="3"/>
  <c r="AW35" i="5"/>
  <c r="AK35" i="3"/>
  <c r="AK35" i="5"/>
  <c r="Y35" i="3"/>
  <c r="Y35" i="5"/>
  <c r="M35" i="3"/>
  <c r="M35" i="5"/>
  <c r="BB34" i="3"/>
  <c r="BB34" i="5"/>
  <c r="AP34" i="3"/>
  <c r="AP34" i="5"/>
  <c r="AD34" i="3"/>
  <c r="AD34" i="5"/>
  <c r="R34" i="3"/>
  <c r="R34" i="5"/>
  <c r="F34" i="5"/>
  <c r="AU33" i="3"/>
  <c r="AU33" i="5"/>
  <c r="AI33" i="5"/>
  <c r="W33" i="3"/>
  <c r="W33" i="5"/>
  <c r="K33" i="3"/>
  <c r="K33" i="5"/>
  <c r="AZ32" i="3"/>
  <c r="AZ32" i="5"/>
  <c r="AN32" i="3"/>
  <c r="AN32" i="5"/>
  <c r="AB32" i="3"/>
  <c r="AB32" i="5"/>
  <c r="P32" i="3"/>
  <c r="P32" i="5"/>
  <c r="D32" i="3"/>
  <c r="D32" i="5"/>
  <c r="AS31" i="3"/>
  <c r="AS31" i="5"/>
  <c r="AG31" i="3"/>
  <c r="AG31" i="5"/>
  <c r="U31" i="3"/>
  <c r="U31" i="5"/>
  <c r="I31" i="5"/>
  <c r="AX30" i="5"/>
  <c r="AL30" i="3"/>
  <c r="AL30" i="5"/>
  <c r="Z30" i="5"/>
  <c r="N30" i="5"/>
  <c r="BC29" i="3"/>
  <c r="BC29" i="5"/>
  <c r="AQ29" i="3"/>
  <c r="AQ29" i="5"/>
  <c r="AE29" i="3"/>
  <c r="AE29" i="5"/>
  <c r="S29" i="3"/>
  <c r="S29" i="5"/>
  <c r="G29" i="3"/>
  <c r="G29" i="5"/>
  <c r="AV28" i="3"/>
  <c r="AV28" i="5"/>
  <c r="AJ28" i="3"/>
  <c r="AJ28" i="5"/>
  <c r="X28" i="3"/>
  <c r="X28" i="5"/>
  <c r="L28" i="3"/>
  <c r="L28" i="5"/>
  <c r="BA27" i="3"/>
  <c r="BA27" i="5"/>
  <c r="AO27" i="3"/>
  <c r="AO27" i="5"/>
  <c r="AC27" i="3"/>
  <c r="AC27" i="5"/>
  <c r="Q27" i="3"/>
  <c r="Q27" i="5"/>
  <c r="E27" i="3"/>
  <c r="E27" i="5"/>
  <c r="AT26" i="3"/>
  <c r="AT26" i="5"/>
  <c r="AH26" i="3"/>
  <c r="AH26" i="5"/>
  <c r="V26" i="3"/>
  <c r="V26" i="5"/>
  <c r="J26" i="3"/>
  <c r="J26" i="5"/>
  <c r="AY25" i="3"/>
  <c r="AY25" i="5"/>
  <c r="AM25" i="3"/>
  <c r="AM25" i="5"/>
  <c r="AA25" i="3"/>
  <c r="AA25" i="5"/>
  <c r="O25" i="3"/>
  <c r="O25" i="5"/>
  <c r="BD24" i="3"/>
  <c r="BD24" i="5"/>
  <c r="AR24" i="3"/>
  <c r="AR24" i="5"/>
  <c r="AF24" i="3"/>
  <c r="AF24" i="5"/>
  <c r="T24" i="3"/>
  <c r="T24" i="5"/>
  <c r="H24" i="3"/>
  <c r="H24" i="5"/>
  <c r="AW23" i="3"/>
  <c r="AW23" i="5"/>
  <c r="AK23" i="3"/>
  <c r="AK23" i="5"/>
  <c r="Y23" i="3"/>
  <c r="Y23" i="5"/>
  <c r="M23" i="3"/>
  <c r="M23" i="5"/>
  <c r="BB22" i="3"/>
  <c r="BB22" i="5"/>
  <c r="AP22" i="3"/>
  <c r="AP22" i="5"/>
  <c r="AD22" i="3"/>
  <c r="AD22" i="5"/>
  <c r="R22" i="3"/>
  <c r="R22" i="5"/>
  <c r="F22" i="3"/>
  <c r="F22" i="5"/>
  <c r="AU21" i="3"/>
  <c r="AU21" i="5"/>
  <c r="AI21" i="3"/>
  <c r="AI21" i="5"/>
  <c r="W21" i="3"/>
  <c r="W21" i="5"/>
  <c r="K21" i="3"/>
  <c r="K21" i="5"/>
  <c r="AZ20" i="3"/>
  <c r="AZ20" i="5"/>
  <c r="AN20" i="3"/>
  <c r="AN20" i="5"/>
  <c r="AB20" i="3"/>
  <c r="AB20" i="5"/>
  <c r="P20" i="3"/>
  <c r="P20" i="5"/>
  <c r="D20" i="3"/>
  <c r="D20" i="5"/>
  <c r="AS19" i="3"/>
  <c r="AS19" i="5"/>
  <c r="AG19" i="3"/>
  <c r="AG19" i="5"/>
  <c r="U19" i="3"/>
  <c r="U19" i="5"/>
  <c r="I19" i="3"/>
  <c r="I19" i="5"/>
  <c r="AX18" i="3"/>
  <c r="AX18" i="5"/>
  <c r="AL18" i="3"/>
  <c r="AL18" i="5"/>
  <c r="Z18" i="3"/>
  <c r="Z18" i="5"/>
  <c r="N18" i="3"/>
  <c r="N18" i="5"/>
  <c r="BC17" i="3"/>
  <c r="BC17" i="5"/>
  <c r="AQ17" i="3"/>
  <c r="AQ17" i="5"/>
  <c r="AE17" i="3"/>
  <c r="AE17" i="5"/>
  <c r="S17" i="3"/>
  <c r="S17" i="5"/>
  <c r="G17" i="3"/>
  <c r="G17" i="5"/>
  <c r="AV16" i="3"/>
  <c r="AV16" i="5"/>
  <c r="AJ16" i="3"/>
  <c r="AJ16" i="5"/>
  <c r="X16" i="3"/>
  <c r="X16" i="5"/>
  <c r="L16" i="3"/>
  <c r="L16" i="5"/>
  <c r="BA15" i="3"/>
  <c r="BA15" i="5"/>
  <c r="AO15" i="3"/>
  <c r="AO15" i="5"/>
  <c r="AC15" i="3"/>
  <c r="AC15" i="5"/>
  <c r="Q15" i="3"/>
  <c r="Q15" i="5"/>
  <c r="E15" i="3"/>
  <c r="E15" i="5"/>
  <c r="AT14" i="3"/>
  <c r="AT14" i="5"/>
  <c r="AH14" i="3"/>
  <c r="AH14" i="5"/>
  <c r="V14" i="3"/>
  <c r="V14" i="5"/>
  <c r="J14" i="3"/>
  <c r="J14" i="5"/>
  <c r="AY13" i="3"/>
  <c r="AY13" i="5"/>
  <c r="AM13" i="3"/>
  <c r="AM13" i="5"/>
  <c r="AA13" i="3"/>
  <c r="AA13" i="5"/>
  <c r="O13" i="3"/>
  <c r="O13" i="5"/>
  <c r="BD12" i="3"/>
  <c r="BD12" i="5"/>
  <c r="AR12" i="3"/>
  <c r="AR12" i="5"/>
  <c r="AF12" i="3"/>
  <c r="AF12" i="5"/>
  <c r="T12" i="3"/>
  <c r="T12" i="5"/>
  <c r="H12" i="3"/>
  <c r="H12" i="5"/>
  <c r="AW11" i="3"/>
  <c r="AW11" i="5"/>
  <c r="AK11" i="3"/>
  <c r="AK11" i="5"/>
  <c r="Y11" i="3"/>
  <c r="Y11" i="5"/>
  <c r="M11" i="3"/>
  <c r="M11" i="5"/>
  <c r="BB10" i="3"/>
  <c r="BB10" i="5"/>
  <c r="AP10" i="3"/>
  <c r="AP10" i="5"/>
  <c r="AD10" i="3"/>
  <c r="AD10" i="5"/>
  <c r="R10" i="3"/>
  <c r="R10" i="5"/>
  <c r="F10" i="3"/>
  <c r="F10" i="5"/>
  <c r="AU9" i="3"/>
  <c r="AU9" i="5"/>
  <c r="AI9" i="3"/>
  <c r="AI9" i="5"/>
  <c r="W9" i="3"/>
  <c r="W9" i="5"/>
  <c r="K9" i="3"/>
  <c r="K9" i="5"/>
  <c r="AZ8" i="3"/>
  <c r="AZ8" i="5"/>
  <c r="AN8" i="3"/>
  <c r="AN8" i="5"/>
  <c r="AB8" i="3"/>
  <c r="AB8" i="5"/>
  <c r="P8" i="3"/>
  <c r="P8" i="5"/>
  <c r="D8" i="3"/>
  <c r="D8" i="5"/>
  <c r="AS7" i="3"/>
  <c r="AS7" i="5"/>
  <c r="AG7" i="3"/>
  <c r="AG7" i="5"/>
  <c r="U7" i="3"/>
  <c r="U7" i="5"/>
  <c r="I7" i="3"/>
  <c r="I7" i="5"/>
  <c r="AX6" i="3"/>
  <c r="AX6" i="5"/>
  <c r="AL6" i="3"/>
  <c r="AL6" i="5"/>
  <c r="Z6" i="3"/>
  <c r="Z6" i="5"/>
  <c r="N6" i="3"/>
  <c r="N6" i="5"/>
  <c r="BC5" i="3"/>
  <c r="BC5" i="5"/>
  <c r="AQ5" i="3"/>
  <c r="AQ5" i="5"/>
  <c r="AE5" i="3"/>
  <c r="AE5" i="5"/>
  <c r="S5" i="3"/>
  <c r="S5" i="5"/>
  <c r="G5" i="3"/>
  <c r="G5" i="5"/>
  <c r="AV4" i="3"/>
  <c r="AV4" i="5"/>
  <c r="AJ4" i="3"/>
  <c r="AJ4" i="5"/>
  <c r="X4" i="3"/>
  <c r="X4" i="5"/>
  <c r="L4" i="3"/>
  <c r="L4" i="5"/>
  <c r="BA3" i="3"/>
  <c r="BA3" i="5"/>
  <c r="AO3" i="3"/>
  <c r="AO3" i="5"/>
  <c r="AC3" i="3"/>
  <c r="AC3" i="5"/>
  <c r="Q3" i="3"/>
  <c r="Q3" i="5"/>
  <c r="E3" i="3"/>
  <c r="E3" i="5"/>
  <c r="C30" i="3"/>
  <c r="C30" i="5"/>
  <c r="P55" i="3"/>
  <c r="P55" i="5"/>
  <c r="N53" i="5"/>
  <c r="AO50" i="3"/>
  <c r="AO50" i="5"/>
  <c r="BD47" i="5"/>
  <c r="AD45" i="3"/>
  <c r="AD45" i="5"/>
  <c r="AS42" i="5"/>
  <c r="S40" i="3"/>
  <c r="S40" i="5"/>
  <c r="E38" i="5"/>
  <c r="AF35" i="3"/>
  <c r="AF35" i="5"/>
  <c r="AU32" i="3"/>
  <c r="AU32" i="5"/>
  <c r="AG30" i="3"/>
  <c r="AG30" i="5"/>
  <c r="S28" i="3"/>
  <c r="S28" i="5"/>
  <c r="AH25" i="3"/>
  <c r="AH25" i="5"/>
  <c r="T23" i="3"/>
  <c r="T23" i="5"/>
  <c r="AZ19" i="3"/>
  <c r="AZ19" i="5"/>
  <c r="BC16" i="3"/>
  <c r="BC16" i="5"/>
  <c r="AO14" i="3"/>
  <c r="AO14" i="5"/>
  <c r="O12" i="3"/>
  <c r="O12" i="5"/>
  <c r="F9" i="3"/>
  <c r="F9" i="5"/>
  <c r="AW55" i="3"/>
  <c r="AW55" i="5"/>
  <c r="AU53" i="3"/>
  <c r="AU53" i="5"/>
  <c r="AP56" i="3"/>
  <c r="AP56" i="5"/>
  <c r="AZ54" i="3"/>
  <c r="AZ54" i="5"/>
  <c r="U53" i="3"/>
  <c r="U53" i="5"/>
  <c r="N52" i="5"/>
  <c r="AJ50" i="3"/>
  <c r="AJ50" i="5"/>
  <c r="AT48" i="3"/>
  <c r="AT48" i="5"/>
  <c r="BD46" i="3"/>
  <c r="BD46" i="5"/>
  <c r="BB44" i="5"/>
  <c r="C46" i="3"/>
  <c r="C46" i="5"/>
  <c r="C10" i="3"/>
  <c r="C10" i="5"/>
  <c r="AM56" i="3"/>
  <c r="AM56" i="5"/>
  <c r="AA56" i="3"/>
  <c r="AA56" i="5"/>
  <c r="O56" i="5"/>
  <c r="BD55" i="3"/>
  <c r="BD55" i="5"/>
  <c r="AR55" i="3"/>
  <c r="AR55" i="5"/>
  <c r="AF55" i="3"/>
  <c r="AF55" i="5"/>
  <c r="T55" i="3"/>
  <c r="T55" i="5"/>
  <c r="H55" i="5"/>
  <c r="H55" i="3"/>
  <c r="AW54" i="3"/>
  <c r="AW54" i="5"/>
  <c r="AK54" i="5"/>
  <c r="Y54" i="3"/>
  <c r="Y54" i="5"/>
  <c r="M54" i="3"/>
  <c r="M54" i="5"/>
  <c r="BB53" i="5"/>
  <c r="BB53" i="3"/>
  <c r="AP53" i="5"/>
  <c r="AP53" i="3"/>
  <c r="AD53" i="3"/>
  <c r="AD53" i="5"/>
  <c r="R53" i="3"/>
  <c r="R53" i="5"/>
  <c r="F53" i="3"/>
  <c r="F53" i="5"/>
  <c r="AU52" i="3"/>
  <c r="AU52" i="5"/>
  <c r="AI52" i="5"/>
  <c r="W52" i="5"/>
  <c r="W52" i="3"/>
  <c r="K52" i="3"/>
  <c r="K52" i="5"/>
  <c r="AZ51" i="3"/>
  <c r="AZ51" i="5"/>
  <c r="AN51" i="3"/>
  <c r="AN51" i="5"/>
  <c r="AB51" i="3"/>
  <c r="AB51" i="5"/>
  <c r="P51" i="3"/>
  <c r="P51" i="5"/>
  <c r="D51" i="5"/>
  <c r="D51" i="3"/>
  <c r="AS50" i="3"/>
  <c r="AS50" i="5"/>
  <c r="AG50" i="3"/>
  <c r="AG50" i="5"/>
  <c r="U50" i="3"/>
  <c r="U50" i="5"/>
  <c r="I50" i="3"/>
  <c r="I50" i="5"/>
  <c r="AX49" i="5"/>
  <c r="AL49" i="3"/>
  <c r="AL49" i="5"/>
  <c r="Z49" i="5"/>
  <c r="N49" i="5"/>
  <c r="BC48" i="5"/>
  <c r="AQ48" i="3"/>
  <c r="AQ48" i="5"/>
  <c r="AE48" i="5"/>
  <c r="AE48" i="3"/>
  <c r="S48" i="5"/>
  <c r="G48" i="5"/>
  <c r="AV47" i="3"/>
  <c r="AV47" i="5"/>
  <c r="AJ47" i="5"/>
  <c r="X47" i="3"/>
  <c r="X47" i="5"/>
  <c r="L47" i="3"/>
  <c r="L47" i="5"/>
  <c r="BA46" i="3"/>
  <c r="BA46" i="5"/>
  <c r="AO46" i="3"/>
  <c r="AO46" i="5"/>
  <c r="AC46" i="3"/>
  <c r="AC46" i="5"/>
  <c r="Q46" i="5"/>
  <c r="Q46" i="3"/>
  <c r="E46" i="3"/>
  <c r="E46" i="5"/>
  <c r="AT45" i="5"/>
  <c r="AT45" i="3"/>
  <c r="AH45" i="3"/>
  <c r="AH45" i="5"/>
  <c r="V45" i="3"/>
  <c r="V45" i="5"/>
  <c r="J45" i="5"/>
  <c r="AY44" i="5"/>
  <c r="AM44" i="3"/>
  <c r="AM44" i="5"/>
  <c r="AA44" i="5"/>
  <c r="O44" i="5"/>
  <c r="BD43" i="5"/>
  <c r="AR43" i="3"/>
  <c r="AR43" i="5"/>
  <c r="AF43" i="5"/>
  <c r="T43" i="5"/>
  <c r="H43" i="5"/>
  <c r="AW42" i="5"/>
  <c r="AK42" i="5"/>
  <c r="Y42" i="5"/>
  <c r="M42" i="5"/>
  <c r="BB41" i="3"/>
  <c r="BB41" i="5"/>
  <c r="AP41" i="3"/>
  <c r="AP41" i="5"/>
  <c r="AD41" i="3"/>
  <c r="AD41" i="5"/>
  <c r="R41" i="3"/>
  <c r="R41" i="5"/>
  <c r="F41" i="3"/>
  <c r="F41" i="5"/>
  <c r="AU40" i="3"/>
  <c r="AU40" i="5"/>
  <c r="AI40" i="3"/>
  <c r="AI40" i="5"/>
  <c r="W40" i="3"/>
  <c r="W40" i="5"/>
  <c r="K40" i="3"/>
  <c r="K40" i="5"/>
  <c r="AZ39" i="3"/>
  <c r="AZ39" i="5"/>
  <c r="AN39" i="5"/>
  <c r="AB39" i="5"/>
  <c r="P39" i="3"/>
  <c r="P39" i="5"/>
  <c r="D39" i="3"/>
  <c r="D39" i="5"/>
  <c r="AS38" i="5"/>
  <c r="AG38" i="3"/>
  <c r="AG38" i="5"/>
  <c r="U38" i="3"/>
  <c r="U38" i="5"/>
  <c r="I38" i="5"/>
  <c r="AX37" i="3"/>
  <c r="AX37" i="5"/>
  <c r="AL37" i="3"/>
  <c r="AL37" i="5"/>
  <c r="Z37" i="3"/>
  <c r="Z37" i="5"/>
  <c r="N37" i="3"/>
  <c r="N37" i="5"/>
  <c r="BC36" i="3"/>
  <c r="BC36" i="5"/>
  <c r="AQ36" i="3"/>
  <c r="AQ36" i="5"/>
  <c r="AE36" i="3"/>
  <c r="AE36" i="5"/>
  <c r="S36" i="3"/>
  <c r="S36" i="5"/>
  <c r="G36" i="3"/>
  <c r="G36" i="5"/>
  <c r="AV35" i="3"/>
  <c r="AV35" i="5"/>
  <c r="AJ35" i="3"/>
  <c r="AJ35" i="5"/>
  <c r="X35" i="3"/>
  <c r="X35" i="5"/>
  <c r="L35" i="3"/>
  <c r="L35" i="5"/>
  <c r="BA34" i="3"/>
  <c r="BA34" i="5"/>
  <c r="AO34" i="5"/>
  <c r="AC34" i="3"/>
  <c r="AC34" i="5"/>
  <c r="Q34" i="3"/>
  <c r="Q34" i="5"/>
  <c r="E34" i="3"/>
  <c r="E34" i="5"/>
  <c r="AT33" i="5"/>
  <c r="AH33" i="3"/>
  <c r="AH33" i="5"/>
  <c r="V33" i="3"/>
  <c r="V33" i="5"/>
  <c r="J33" i="5"/>
  <c r="AY32" i="5"/>
  <c r="AM32" i="3"/>
  <c r="AM32" i="5"/>
  <c r="AA32" i="3"/>
  <c r="AA32" i="5"/>
  <c r="O32" i="5"/>
  <c r="BD31" i="5"/>
  <c r="AR31" i="3"/>
  <c r="AR31" i="5"/>
  <c r="AF31" i="3"/>
  <c r="AF31" i="5"/>
  <c r="T31" i="5"/>
  <c r="H31" i="5"/>
  <c r="AW30" i="5"/>
  <c r="AK30" i="5"/>
  <c r="Y30" i="5"/>
  <c r="M30" i="5"/>
  <c r="BB29" i="3"/>
  <c r="BB29" i="5"/>
  <c r="AP29" i="3"/>
  <c r="AP29" i="5"/>
  <c r="AD29" i="3"/>
  <c r="AD29" i="5"/>
  <c r="R29" i="3"/>
  <c r="R29" i="5"/>
  <c r="F29" i="3"/>
  <c r="F29" i="5"/>
  <c r="AU28" i="3"/>
  <c r="AU28" i="5"/>
  <c r="AI28" i="3"/>
  <c r="AI28" i="5"/>
  <c r="W28" i="3"/>
  <c r="W28" i="5"/>
  <c r="K28" i="3"/>
  <c r="K28" i="5"/>
  <c r="AZ27" i="3"/>
  <c r="AZ27" i="5"/>
  <c r="AN27" i="3"/>
  <c r="AN27" i="5"/>
  <c r="AB27" i="3"/>
  <c r="AB27" i="5"/>
  <c r="P27" i="3"/>
  <c r="P27" i="5"/>
  <c r="D27" i="3"/>
  <c r="D27" i="5"/>
  <c r="AS26" i="3"/>
  <c r="AS26" i="5"/>
  <c r="AG26" i="3"/>
  <c r="AG26" i="5"/>
  <c r="U26" i="3"/>
  <c r="U26" i="5"/>
  <c r="I26" i="3"/>
  <c r="I26" i="5"/>
  <c r="AX25" i="3"/>
  <c r="AX25" i="5"/>
  <c r="AL25" i="3"/>
  <c r="AL25" i="5"/>
  <c r="Z25" i="3"/>
  <c r="Z25" i="5"/>
  <c r="N25" i="3"/>
  <c r="N25" i="5"/>
  <c r="BC24" i="3"/>
  <c r="BC24" i="5"/>
  <c r="AQ24" i="3"/>
  <c r="AQ24" i="5"/>
  <c r="AE24" i="3"/>
  <c r="AE24" i="5"/>
  <c r="S24" i="3"/>
  <c r="S24" i="5"/>
  <c r="G24" i="3"/>
  <c r="G24" i="5"/>
  <c r="AV23" i="3"/>
  <c r="AV23" i="5"/>
  <c r="AJ23" i="3"/>
  <c r="AJ23" i="5"/>
  <c r="X23" i="3"/>
  <c r="X23" i="5"/>
  <c r="L23" i="3"/>
  <c r="L23" i="5"/>
  <c r="BA22" i="3"/>
  <c r="BA22" i="5"/>
  <c r="AO22" i="3"/>
  <c r="AO22" i="5"/>
  <c r="AC22" i="3"/>
  <c r="AC22" i="5"/>
  <c r="Q22" i="3"/>
  <c r="Q22" i="5"/>
  <c r="E22" i="3"/>
  <c r="E22" i="5"/>
  <c r="AT21" i="3"/>
  <c r="AT21" i="5"/>
  <c r="AH21" i="3"/>
  <c r="AH21" i="5"/>
  <c r="V21" i="3"/>
  <c r="V21" i="5"/>
  <c r="J21" i="3"/>
  <c r="J21" i="5"/>
  <c r="AY20" i="3"/>
  <c r="AY20" i="5"/>
  <c r="AM20" i="3"/>
  <c r="AM20" i="5"/>
  <c r="AA20" i="3"/>
  <c r="AA20" i="5"/>
  <c r="O20" i="3"/>
  <c r="O20" i="5"/>
  <c r="BD19" i="3"/>
  <c r="BD19" i="5"/>
  <c r="AR19" i="3"/>
  <c r="AR19" i="5"/>
  <c r="AF19" i="3"/>
  <c r="AF19" i="5"/>
  <c r="T19" i="3"/>
  <c r="T19" i="5"/>
  <c r="H19" i="3"/>
  <c r="H19" i="5"/>
  <c r="AW18" i="3"/>
  <c r="AW18" i="5"/>
  <c r="AK18" i="3"/>
  <c r="AK18" i="5"/>
  <c r="Y18" i="3"/>
  <c r="Y18" i="5"/>
  <c r="M18" i="3"/>
  <c r="M18" i="5"/>
  <c r="BB17" i="3"/>
  <c r="BB17" i="5"/>
  <c r="AP17" i="3"/>
  <c r="AP17" i="5"/>
  <c r="AD17" i="3"/>
  <c r="AD17" i="5"/>
  <c r="R17" i="3"/>
  <c r="R17" i="5"/>
  <c r="F17" i="3"/>
  <c r="F17" i="5"/>
  <c r="AU16" i="3"/>
  <c r="AU16" i="5"/>
  <c r="AI16" i="3"/>
  <c r="AI16" i="5"/>
  <c r="W16" i="3"/>
  <c r="W16" i="5"/>
  <c r="K16" i="3"/>
  <c r="K16" i="5"/>
  <c r="AZ15" i="3"/>
  <c r="AZ15" i="5"/>
  <c r="AN15" i="3"/>
  <c r="AN15" i="5"/>
  <c r="AB15" i="3"/>
  <c r="AB15" i="5"/>
  <c r="P15" i="3"/>
  <c r="P15" i="5"/>
  <c r="D15" i="3"/>
  <c r="D15" i="5"/>
  <c r="AS14" i="3"/>
  <c r="AS14" i="5"/>
  <c r="AG14" i="3"/>
  <c r="AG14" i="5"/>
  <c r="U14" i="3"/>
  <c r="U14" i="5"/>
  <c r="I14" i="3"/>
  <c r="I14" i="5"/>
  <c r="AX13" i="3"/>
  <c r="AX13" i="5"/>
  <c r="AL13" i="3"/>
  <c r="AL13" i="5"/>
  <c r="Z13" i="3"/>
  <c r="Z13" i="5"/>
  <c r="N13" i="3"/>
  <c r="N13" i="5"/>
  <c r="BC12" i="3"/>
  <c r="BC12" i="5"/>
  <c r="AQ12" i="3"/>
  <c r="AQ12" i="5"/>
  <c r="AE12" i="3"/>
  <c r="AE12" i="5"/>
  <c r="S12" i="3"/>
  <c r="S12" i="5"/>
  <c r="G12" i="3"/>
  <c r="G12" i="5"/>
  <c r="AV11" i="3"/>
  <c r="AV11" i="5"/>
  <c r="AJ11" i="3"/>
  <c r="AJ11" i="5"/>
  <c r="X11" i="3"/>
  <c r="X11" i="5"/>
  <c r="L11" i="3"/>
  <c r="L11" i="5"/>
  <c r="BA10" i="3"/>
  <c r="BA10" i="5"/>
  <c r="AO10" i="3"/>
  <c r="AO10" i="5"/>
  <c r="AC10" i="3"/>
  <c r="AC10" i="5"/>
  <c r="Q10" i="3"/>
  <c r="Q10" i="5"/>
  <c r="E10" i="3"/>
  <c r="E10" i="5"/>
  <c r="AT9" i="3"/>
  <c r="AT9" i="5"/>
  <c r="AH9" i="3"/>
  <c r="AH9" i="5"/>
  <c r="V9" i="3"/>
  <c r="V9" i="5"/>
  <c r="J9" i="3"/>
  <c r="J9" i="5"/>
  <c r="AY8" i="3"/>
  <c r="AY8" i="5"/>
  <c r="AM8" i="3"/>
  <c r="AM8" i="5"/>
  <c r="AA8" i="3"/>
  <c r="AA8" i="5"/>
  <c r="O8" i="3"/>
  <c r="O8" i="5"/>
  <c r="BD7" i="3"/>
  <c r="BD7" i="5"/>
  <c r="AR7" i="3"/>
  <c r="AR7" i="5"/>
  <c r="AF7" i="3"/>
  <c r="AF7" i="5"/>
  <c r="T7" i="3"/>
  <c r="T7" i="5"/>
  <c r="H7" i="3"/>
  <c r="H7" i="5"/>
  <c r="AW6" i="3"/>
  <c r="AW6" i="5"/>
  <c r="AK6" i="3"/>
  <c r="AK6" i="5"/>
  <c r="Y6" i="3"/>
  <c r="Y6" i="5"/>
  <c r="M6" i="3"/>
  <c r="M6" i="5"/>
  <c r="BB5" i="3"/>
  <c r="BB5" i="5"/>
  <c r="AP5" i="3"/>
  <c r="AP5" i="5"/>
  <c r="AD5" i="3"/>
  <c r="AD5" i="5"/>
  <c r="R5" i="3"/>
  <c r="R5" i="5"/>
  <c r="F5" i="3"/>
  <c r="F5" i="5"/>
  <c r="AU4" i="3"/>
  <c r="AU4" i="5"/>
  <c r="AI4" i="3"/>
  <c r="AI4" i="5"/>
  <c r="W4" i="3"/>
  <c r="W4" i="5"/>
  <c r="K4" i="3"/>
  <c r="K4" i="5"/>
  <c r="AZ3" i="3"/>
  <c r="AZ3" i="5"/>
  <c r="AN3" i="3"/>
  <c r="AN3" i="5"/>
  <c r="AB3" i="3"/>
  <c r="AB3" i="5"/>
  <c r="P3" i="3"/>
  <c r="P3" i="5"/>
  <c r="D3" i="3"/>
  <c r="D3" i="5"/>
  <c r="I69" i="3"/>
  <c r="A30" i="3" l="1"/>
  <c r="M69" i="3"/>
  <c r="M67" i="3"/>
  <c r="A31" i="3" l="1"/>
  <c r="T30" i="3"/>
  <c r="AE30" i="3"/>
  <c r="F30" i="3"/>
  <c r="E30" i="3"/>
  <c r="AN30" i="3"/>
  <c r="AK30" i="3"/>
  <c r="H30" i="3"/>
  <c r="S30" i="3"/>
  <c r="O30" i="3"/>
  <c r="Z30" i="3"/>
  <c r="AJ30" i="3"/>
  <c r="J30" i="3"/>
  <c r="AB30" i="3"/>
  <c r="Y30" i="3"/>
  <c r="G30" i="3"/>
  <c r="N30" i="3"/>
  <c r="X30" i="3"/>
  <c r="M30" i="3"/>
  <c r="BD30" i="3"/>
  <c r="AO30" i="3"/>
  <c r="AX30" i="3"/>
  <c r="BC30" i="3"/>
  <c r="I30" i="3"/>
  <c r="AT30" i="3"/>
  <c r="AY30" i="3"/>
  <c r="AI30" i="3"/>
  <c r="AF30" i="3"/>
  <c r="R30" i="3"/>
  <c r="AS30" i="3"/>
  <c r="AA30" i="3"/>
  <c r="AW30" i="3"/>
  <c r="A32" i="3" l="1"/>
  <c r="AO31" i="3"/>
  <c r="AA31" i="3"/>
  <c r="O31" i="3"/>
  <c r="Z31" i="3"/>
  <c r="J31" i="3"/>
  <c r="N31" i="3"/>
  <c r="T31" i="3"/>
  <c r="H31" i="3"/>
  <c r="S31" i="3"/>
  <c r="I31" i="3"/>
  <c r="G31" i="3"/>
  <c r="AB31" i="3"/>
  <c r="AY31" i="3"/>
  <c r="AK31" i="3"/>
  <c r="AX31" i="3"/>
  <c r="BD31" i="3"/>
  <c r="A33" i="3" l="1"/>
  <c r="AY32" i="3"/>
  <c r="O32" i="3"/>
  <c r="J32" i="3"/>
  <c r="A34" i="3" l="1"/>
  <c r="H33" i="3"/>
  <c r="G33" i="3"/>
  <c r="E33" i="3"/>
  <c r="AK33" i="3"/>
  <c r="AI33" i="3"/>
  <c r="M33" i="3"/>
  <c r="J33" i="3"/>
  <c r="R33" i="3"/>
  <c r="D33" i="3"/>
  <c r="AY33" i="3"/>
  <c r="AX33" i="3"/>
  <c r="I33" i="3"/>
  <c r="BD33" i="3"/>
  <c r="BC33" i="3"/>
  <c r="BA33" i="3"/>
  <c r="Z33" i="3"/>
  <c r="AO33" i="3"/>
  <c r="AA33" i="3"/>
  <c r="AF33" i="3"/>
  <c r="BB33" i="3"/>
  <c r="AE33" i="3"/>
  <c r="AN33" i="3"/>
  <c r="O33" i="3"/>
  <c r="N33" i="3"/>
  <c r="AJ33" i="3"/>
  <c r="AT33" i="3"/>
  <c r="X33" i="3"/>
  <c r="AW33" i="3"/>
  <c r="AS33" i="3"/>
  <c r="T33" i="3"/>
  <c r="S33" i="3"/>
  <c r="F33" i="3"/>
  <c r="AB33" i="3"/>
  <c r="Y33" i="3"/>
  <c r="A35" i="3" l="1"/>
  <c r="AA34" i="3"/>
  <c r="Z34" i="3"/>
  <c r="J34" i="3"/>
  <c r="AO34" i="3"/>
  <c r="AF34" i="3"/>
  <c r="S34" i="3"/>
  <c r="O34" i="3"/>
  <c r="N34" i="3"/>
  <c r="G34" i="3"/>
  <c r="BD34" i="3"/>
  <c r="AB34" i="3"/>
  <c r="T34" i="3"/>
  <c r="AK34" i="3"/>
  <c r="H34" i="3"/>
  <c r="F34" i="3"/>
  <c r="BC34" i="3"/>
  <c r="AY34" i="3"/>
  <c r="AX34" i="3"/>
  <c r="I34" i="3"/>
  <c r="A36" i="3" l="1"/>
  <c r="AB35" i="3"/>
  <c r="AY35" i="3"/>
  <c r="AA35" i="3"/>
  <c r="J35" i="3"/>
  <c r="I35" i="3"/>
  <c r="N35" i="3"/>
  <c r="O35" i="3"/>
  <c r="H35" i="3"/>
  <c r="T35" i="3"/>
  <c r="A37" i="3" l="1"/>
  <c r="J36" i="3"/>
  <c r="T36" i="3"/>
  <c r="I36" i="3"/>
  <c r="AY36" i="3"/>
  <c r="AB36" i="3"/>
  <c r="O36" i="3"/>
  <c r="N36" i="3"/>
  <c r="A38" i="3" l="1"/>
  <c r="O37" i="3"/>
  <c r="A39" i="3" l="1"/>
  <c r="BD38" i="3"/>
  <c r="AE38" i="3"/>
  <c r="AB38" i="3"/>
  <c r="AV38" i="3"/>
  <c r="AI38" i="3"/>
  <c r="AS38" i="3"/>
  <c r="AJ38" i="3"/>
  <c r="AH38" i="3"/>
  <c r="S38" i="3"/>
  <c r="R38" i="3"/>
  <c r="AA38" i="3"/>
  <c r="W38" i="3"/>
  <c r="O38" i="3"/>
  <c r="X38" i="3"/>
  <c r="AF38" i="3"/>
  <c r="G38" i="3"/>
  <c r="F38" i="3"/>
  <c r="D38" i="3"/>
  <c r="E38" i="3"/>
  <c r="AX38" i="3"/>
  <c r="AW38" i="3"/>
  <c r="J38" i="3"/>
  <c r="T38" i="3"/>
  <c r="AO38" i="3"/>
  <c r="I38" i="3"/>
  <c r="BA38" i="3"/>
  <c r="Y38" i="3"/>
  <c r="H38" i="3"/>
  <c r="BC38" i="3"/>
  <c r="BB38" i="3"/>
  <c r="AK38" i="3"/>
  <c r="AN38" i="3"/>
  <c r="AY38" i="3"/>
  <c r="Z38" i="3"/>
  <c r="N38" i="3"/>
  <c r="M38" i="3"/>
  <c r="AT38" i="3"/>
  <c r="A40" i="3" l="1"/>
  <c r="AX39" i="3"/>
  <c r="AF39" i="3"/>
  <c r="AT39" i="3"/>
  <c r="X39" i="3"/>
  <c r="AK39" i="3"/>
  <c r="AI39" i="3"/>
  <c r="T39" i="3"/>
  <c r="AJ39" i="3"/>
  <c r="BC39" i="3"/>
  <c r="I39" i="3"/>
  <c r="AN39" i="3"/>
  <c r="AY39" i="3"/>
  <c r="Z39" i="3"/>
  <c r="Y39" i="3"/>
  <c r="H39" i="3"/>
  <c r="AO39" i="3"/>
  <c r="E39" i="3"/>
  <c r="AB39" i="3"/>
  <c r="N39" i="3"/>
  <c r="AE39" i="3"/>
  <c r="BD39" i="3"/>
  <c r="AA39" i="3"/>
  <c r="J39" i="3"/>
  <c r="S39" i="3"/>
  <c r="F39" i="3"/>
  <c r="O39" i="3"/>
  <c r="G39" i="3"/>
  <c r="A41" i="3" l="1"/>
  <c r="J40" i="3"/>
  <c r="AA40" i="3"/>
  <c r="AB40" i="3"/>
  <c r="O40" i="3"/>
  <c r="T40" i="3"/>
  <c r="I40" i="3"/>
  <c r="AY40" i="3"/>
  <c r="N40" i="3"/>
  <c r="A42" i="3" l="1"/>
  <c r="O41" i="3"/>
  <c r="T41" i="3"/>
  <c r="N41" i="3"/>
  <c r="AY41" i="3"/>
  <c r="J41" i="3"/>
  <c r="AB41" i="3"/>
  <c r="A43" i="3" l="1"/>
  <c r="AI42" i="3"/>
  <c r="AH42" i="3"/>
  <c r="AF42" i="3"/>
  <c r="R42" i="3"/>
  <c r="AX42" i="3"/>
  <c r="AY42" i="3"/>
  <c r="AE42" i="3"/>
  <c r="F42" i="3"/>
  <c r="AA42" i="3"/>
  <c r="AK42" i="3"/>
  <c r="AV42" i="3"/>
  <c r="W42" i="3"/>
  <c r="T42" i="3"/>
  <c r="E42" i="3"/>
  <c r="AN42" i="3"/>
  <c r="S42" i="3"/>
  <c r="O42" i="3"/>
  <c r="AJ42" i="3"/>
  <c r="J42" i="3"/>
  <c r="H42" i="3"/>
  <c r="AB42" i="3"/>
  <c r="Z42" i="3"/>
  <c r="Y42" i="3"/>
  <c r="G42" i="3"/>
  <c r="X42" i="3"/>
  <c r="I42" i="3"/>
  <c r="BB42" i="3"/>
  <c r="BA42" i="3"/>
  <c r="N42" i="3"/>
  <c r="AS42" i="3"/>
  <c r="M42" i="3"/>
  <c r="L42" i="3"/>
  <c r="BD42" i="3"/>
  <c r="AO42" i="3"/>
  <c r="D42" i="3"/>
  <c r="AU42" i="3"/>
  <c r="AT42" i="3"/>
  <c r="BC42" i="3"/>
  <c r="AZ42" i="3"/>
  <c r="AM42" i="3"/>
  <c r="AW42" i="3"/>
  <c r="A44" i="3" l="1"/>
  <c r="G43" i="3"/>
  <c r="BB43" i="3"/>
  <c r="BA43" i="3"/>
  <c r="AB43" i="3"/>
  <c r="AY43" i="3"/>
  <c r="X43" i="3"/>
  <c r="AO43" i="3"/>
  <c r="AX43" i="3"/>
  <c r="Y43" i="3"/>
  <c r="AT43" i="3"/>
  <c r="BD43" i="3"/>
  <c r="M43" i="3"/>
  <c r="AU43" i="3"/>
  <c r="AN43" i="3"/>
  <c r="AS43" i="3"/>
  <c r="BC43" i="3"/>
  <c r="AA43" i="3"/>
  <c r="AH43" i="3"/>
  <c r="D43" i="3"/>
  <c r="R43" i="3"/>
  <c r="O43" i="3"/>
  <c r="Z43" i="3"/>
  <c r="AI43" i="3"/>
  <c r="AF43" i="3"/>
  <c r="J43" i="3"/>
  <c r="T43" i="3"/>
  <c r="AV43" i="3"/>
  <c r="AE43" i="3"/>
  <c r="F43" i="3"/>
  <c r="E43" i="3"/>
  <c r="N43" i="3"/>
  <c r="S43" i="3"/>
  <c r="AW43" i="3"/>
  <c r="I43" i="3"/>
  <c r="H43" i="3"/>
  <c r="AK43" i="3"/>
  <c r="AJ43" i="3"/>
  <c r="A45" i="3" l="1"/>
  <c r="Z44" i="3"/>
  <c r="I44" i="3"/>
  <c r="BD44" i="3"/>
  <c r="BC44" i="3"/>
  <c r="E44" i="3"/>
  <c r="O44" i="3"/>
  <c r="N44" i="3"/>
  <c r="R44" i="3"/>
  <c r="AE44" i="3"/>
  <c r="BA44" i="3"/>
  <c r="BB44" i="3"/>
  <c r="AW44" i="3"/>
  <c r="AV44" i="3"/>
  <c r="AT44" i="3"/>
  <c r="AF44" i="3"/>
  <c r="S44" i="3"/>
  <c r="AK44" i="3"/>
  <c r="AJ44" i="3"/>
  <c r="T44" i="3"/>
  <c r="AO44" i="3"/>
  <c r="AY44" i="3"/>
  <c r="AI44" i="3"/>
  <c r="AA44" i="3"/>
  <c r="AX44" i="3"/>
  <c r="Y44" i="3"/>
  <c r="X44" i="3"/>
  <c r="H44" i="3"/>
  <c r="G44" i="3"/>
  <c r="F44" i="3"/>
  <c r="AN44" i="3"/>
  <c r="M44" i="3"/>
  <c r="J44" i="3"/>
  <c r="AB44" i="3"/>
  <c r="A46" i="3" l="1"/>
  <c r="T45" i="3"/>
  <c r="S45" i="3"/>
  <c r="AK45" i="3"/>
  <c r="H45" i="3"/>
  <c r="G45" i="3"/>
  <c r="AY45" i="3"/>
  <c r="AX45" i="3"/>
  <c r="J45" i="3"/>
  <c r="I45" i="3"/>
  <c r="BD45" i="3"/>
  <c r="BC45" i="3"/>
  <c r="Z45" i="3"/>
  <c r="AO45" i="3"/>
  <c r="AA45" i="3"/>
  <c r="N45" i="3"/>
  <c r="O45" i="3"/>
  <c r="AB45" i="3"/>
  <c r="A47" i="3" l="1"/>
  <c r="AK46" i="3"/>
  <c r="AA46" i="3"/>
  <c r="J46" i="3"/>
  <c r="I46" i="3"/>
  <c r="T46" i="3"/>
  <c r="H46" i="3"/>
  <c r="O46" i="3"/>
  <c r="N46" i="3"/>
  <c r="AB46" i="3"/>
  <c r="AY46" i="3"/>
  <c r="AX46" i="3"/>
  <c r="A48" i="3" l="1"/>
  <c r="BC47" i="3"/>
  <c r="AB47" i="3"/>
  <c r="AX47" i="3"/>
  <c r="BD47" i="3"/>
  <c r="O47" i="3"/>
  <c r="AA47" i="3"/>
  <c r="S47" i="3"/>
  <c r="Z47" i="3"/>
  <c r="AK47" i="3"/>
  <c r="AJ47" i="3"/>
  <c r="AF47" i="3"/>
  <c r="N47" i="3"/>
  <c r="Y47" i="3"/>
  <c r="J47" i="3"/>
  <c r="I47" i="3"/>
  <c r="G47" i="3"/>
  <c r="AY47" i="3"/>
  <c r="H47" i="3"/>
  <c r="F47" i="3"/>
  <c r="T47" i="3"/>
  <c r="AO47" i="3"/>
  <c r="A49" i="3" l="1"/>
  <c r="I48" i="3"/>
  <c r="T48" i="3"/>
  <c r="H48" i="3"/>
  <c r="G48" i="3"/>
  <c r="J48" i="3"/>
  <c r="F48" i="3"/>
  <c r="AX48" i="3"/>
  <c r="AF48" i="3"/>
  <c r="BD48" i="3"/>
  <c r="O48" i="3"/>
  <c r="AO48" i="3"/>
  <c r="BC48" i="3"/>
  <c r="AY48" i="3"/>
  <c r="AB48" i="3"/>
  <c r="Z48" i="3"/>
  <c r="AK48" i="3"/>
  <c r="N48" i="3"/>
  <c r="AA48" i="3"/>
  <c r="S48" i="3"/>
  <c r="A50" i="3" l="1"/>
  <c r="T49" i="3"/>
  <c r="S49" i="3"/>
  <c r="AY49" i="3"/>
  <c r="AK49" i="3"/>
  <c r="I49" i="3"/>
  <c r="G49" i="3"/>
  <c r="AA49" i="3"/>
  <c r="Z49" i="3"/>
  <c r="H49" i="3"/>
  <c r="O49" i="3"/>
  <c r="N49" i="3"/>
  <c r="AX49" i="3"/>
  <c r="J49" i="3"/>
  <c r="AB49" i="3"/>
  <c r="A51" i="3" l="1"/>
  <c r="A52" i="3" s="1"/>
  <c r="AY50" i="3"/>
  <c r="O50" i="3"/>
  <c r="N50" i="3"/>
  <c r="J50" i="3"/>
  <c r="A53" i="3" l="1"/>
  <c r="I52" i="3"/>
  <c r="H52" i="3"/>
  <c r="F52" i="3"/>
  <c r="M52" i="3"/>
  <c r="AY52" i="3"/>
  <c r="AI52" i="3"/>
  <c r="E52" i="3"/>
  <c r="G52" i="3"/>
  <c r="Y52" i="3"/>
  <c r="J52" i="3"/>
  <c r="BD52" i="3"/>
  <c r="AE52" i="3"/>
  <c r="AS52" i="3"/>
  <c r="AA52" i="3"/>
  <c r="AW52" i="3"/>
  <c r="BC52" i="3"/>
  <c r="AO52" i="3"/>
  <c r="AX52" i="3"/>
  <c r="AK52" i="3"/>
  <c r="AN52" i="3"/>
  <c r="Z52" i="3"/>
  <c r="AF52" i="3"/>
  <c r="S52" i="3"/>
  <c r="O52" i="3"/>
  <c r="N52" i="3"/>
  <c r="AT52" i="3"/>
  <c r="T52" i="3"/>
  <c r="R52" i="3"/>
  <c r="AJ52" i="3"/>
  <c r="AB52" i="3"/>
  <c r="X52" i="3"/>
  <c r="A54" i="3" l="1"/>
  <c r="AB53" i="3"/>
  <c r="AA53" i="3"/>
  <c r="J53" i="3"/>
  <c r="AF53" i="3"/>
  <c r="T53" i="3"/>
  <c r="AO53" i="3"/>
  <c r="I53" i="3"/>
  <c r="O53" i="3"/>
  <c r="S53" i="3"/>
  <c r="Z53" i="3"/>
  <c r="H53" i="3"/>
  <c r="G53" i="3"/>
  <c r="N53" i="3"/>
  <c r="AX53" i="3"/>
  <c r="AY53" i="3"/>
  <c r="BD53" i="3"/>
  <c r="AN53" i="3"/>
  <c r="AK53" i="3"/>
  <c r="AJ53" i="3"/>
  <c r="BC53" i="3"/>
  <c r="A55" i="3" l="1"/>
  <c r="AB54" i="3"/>
  <c r="BC54" i="3"/>
  <c r="AF54" i="3"/>
  <c r="AX54" i="3"/>
  <c r="I54" i="3"/>
  <c r="AA54" i="3"/>
  <c r="AK54" i="3"/>
  <c r="AO54" i="3"/>
  <c r="T54" i="3"/>
  <c r="Z54" i="3"/>
  <c r="AJ54" i="3"/>
  <c r="J54" i="3"/>
  <c r="H54" i="3"/>
  <c r="S54" i="3"/>
  <c r="O54" i="3"/>
  <c r="G54" i="3"/>
  <c r="N54" i="3"/>
  <c r="BD54" i="3"/>
  <c r="AY54" i="3"/>
  <c r="A56" i="3" l="1"/>
  <c r="AY55" i="3"/>
  <c r="O55" i="3"/>
  <c r="J55" i="3"/>
  <c r="N55" i="3"/>
  <c r="A57" i="3" l="1"/>
  <c r="A58" i="3" s="1"/>
  <c r="A59" i="3" s="1"/>
  <c r="J56" i="3"/>
  <c r="O56" i="3"/>
  <c r="N56" i="3"/>
  <c r="AY56" i="3"/>
</calcChain>
</file>

<file path=xl/sharedStrings.xml><?xml version="1.0" encoding="utf-8"?>
<sst xmlns="http://schemas.openxmlformats.org/spreadsheetml/2006/main" count="284" uniqueCount="91">
  <si>
    <t>name</t>
  </si>
  <si>
    <t>type</t>
  </si>
  <si>
    <t>duration</t>
  </si>
  <si>
    <t>dep_time</t>
  </si>
  <si>
    <t>arr_time</t>
  </si>
  <si>
    <t>dep_term</t>
  </si>
  <si>
    <t>arr_term</t>
  </si>
  <si>
    <t>ID</t>
  </si>
  <si>
    <t>DEPOT</t>
  </si>
  <si>
    <t>depot</t>
  </si>
  <si>
    <t>-</t>
  </si>
  <si>
    <t>AB1</t>
  </si>
  <si>
    <t>trip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</si>
  <si>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</si>
  <si>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</si>
  <si>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</si>
  <si>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</si>
  <si>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</si>
  <si>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</si>
  <si>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</si>
  <si>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</si>
  <si>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</si>
  <si>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AC1</t>
  </si>
  <si>
    <t>Terminal C</t>
  </si>
  <si>
    <t>AC2</t>
  </si>
  <si>
    <t>AC3</t>
  </si>
  <si>
    <t>AC4</t>
  </si>
  <si>
    <t>AC5</t>
  </si>
  <si>
    <t>AD1</t>
  </si>
  <si>
    <t>Terminal D</t>
  </si>
  <si>
    <t>AD2</t>
  </si>
  <si>
    <t>AD3</t>
  </si>
  <si>
    <t>AD4</t>
  </si>
  <si>
    <t>AD5</t>
  </si>
  <si>
    <t>BA1</t>
  </si>
  <si>
    <t>BA2</t>
  </si>
  <si>
    <t>BA3</t>
  </si>
  <si>
    <t>BA4</t>
  </si>
  <si>
    <t>BA5</t>
  </si>
  <si>
    <t>BA6</t>
  </si>
  <si>
    <t>BA7</t>
  </si>
  <si>
    <t>BA8</t>
  </si>
  <si>
    <t>CB1</t>
  </si>
  <si>
    <t>BC2</t>
  </si>
  <si>
    <t>BC3</t>
  </si>
  <si>
    <t>BC4</t>
  </si>
  <si>
    <t>CA1</t>
  </si>
  <si>
    <t>CA2</t>
  </si>
  <si>
    <t>CA3</t>
  </si>
  <si>
    <t>CA4</t>
  </si>
  <si>
    <t>CA5</t>
  </si>
  <si>
    <t>CB2</t>
  </si>
  <si>
    <t>CB3</t>
  </si>
  <si>
    <t>CB4</t>
  </si>
  <si>
    <t>CD1</t>
  </si>
  <si>
    <t>CD2</t>
  </si>
  <si>
    <t>CD3</t>
  </si>
  <si>
    <t>CD4</t>
  </si>
  <si>
    <t>CD5</t>
  </si>
  <si>
    <t>DA1</t>
  </si>
  <si>
    <t>DA2</t>
  </si>
  <si>
    <t>DA3</t>
  </si>
  <si>
    <t>DA4</t>
  </si>
  <si>
    <t>DA5</t>
  </si>
  <si>
    <t>DC1</t>
  </si>
  <si>
    <t>DC2</t>
  </si>
  <si>
    <t>DC3</t>
  </si>
  <si>
    <t>DC4</t>
  </si>
  <si>
    <t>DC5</t>
  </si>
  <si>
    <t>CS1</t>
  </si>
  <si>
    <t>cs</t>
  </si>
  <si>
    <t>Terminal</t>
  </si>
  <si>
    <t>Min_Layover</t>
  </si>
  <si>
    <t>CS</t>
  </si>
  <si>
    <t>(MAX_DURATION == 500, time to recharge = 100 seconds)</t>
  </si>
  <si>
    <t>MAX_DURATION</t>
  </si>
  <si>
    <t>VLOOKUP(D$1,main!$A$3:$I$56,4,FALSE)+(VLOOKUP(VLOOKUP(D$1,main!$A$3:$I$56,7,FALSE),main!$K$19:$O$22,MATCH(VLOOKUP($A29,main!$A$3:$I$56,7,FALSE),main!$K$18:$O$18,0),0))),0)</t>
  </si>
  <si>
    <t>VLOOKUP(VLOOKUP(C$1,main!$A$3:$I$56,8,FALSE),main!$K$11:$M$14,2,FALSE)</t>
  </si>
  <si>
    <t>BC1</t>
  </si>
  <si>
    <t>TMAX</t>
  </si>
  <si>
    <t>IF((gamma!D3),IF(VLOOKUP(D$1,main!$A$3:$I$56,7,FALSE)=VLOOKUP($A3,main!$A$3:$I$56,8,FALSE),VLOOKUP(D$1,main!$A$3:$I$56,4,FALSE),VLOOKUP(D$1,main!$A$3:$I$56,4,FALSE)+(VLOOKUP(VLOOKUP(D$1,main!$A$3:$I$56,8,FALSE),main!$K$19:$O$22,MATCH(VLOOKUP($A3,main!$A$3:$I$56,7,FALSE),main!$K$18:$O$18,0),0))),0)</t>
  </si>
  <si>
    <t>VLOOKUP(D$1,main!$A$3:$I$56,4,FALSE)+(VLOOKUP(VLOOKUP(D$1,main!$A$3:$I$56,8,FALSE),main!$K$19:$O$22,MATCH(VLOOKUP($A3,main!$A$3:$I$56,7,FALSE),main!$K$18:$O$18,0),0))</t>
  </si>
  <si>
    <t>CS1a</t>
  </si>
  <si>
    <t>CS2b</t>
  </si>
  <si>
    <t>CS3c</t>
  </si>
  <si>
    <t>CS4d</t>
  </si>
  <si>
    <t>Duration to CS1</t>
  </si>
  <si>
    <t>Duration to CS1a</t>
  </si>
  <si>
    <t>Duration to CS2b</t>
  </si>
  <si>
    <t>Duration to CS3c</t>
  </si>
  <si>
    <t>Duration to CS4d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</si>
</sst>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opLeftCell="A34" workbookViewId="0">
      <selection activeCell="D60" sqref="D60"/>
    </sheetView>
  </sheetViews>
  <sheetFormatPr defaultRowHeight="15" x14ac:dyDescent="0.25"/>
  <cols>
    <col min="7" max="8" width="10.140625" bestFit="1" customWidth="1"/>
    <col min="11" max="11" width="15.7109375" bestFit="1" customWidth="1"/>
    <col min="12" max="12" width="10.42578125" customWidth="1"/>
    <col min="13" max="13" width="10" customWidth="1"/>
    <col min="14" max="14" width="10.42578125" customWidth="1"/>
    <col min="15" max="15" width="9.7109375" customWidth="1"/>
  </cols>
  <sheetData>
    <row r="1" spans="1:17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7" x14ac:dyDescent="0.25">
      <c r="A2">
        <v>0</v>
      </c>
      <c r="B2" t="s">
        <v>8</v>
      </c>
      <c r="C2" t="s">
        <v>9</v>
      </c>
      <c r="D2">
        <v>0</v>
      </c>
      <c r="E2">
        <v>0</v>
      </c>
      <c r="F2">
        <v>1440</v>
      </c>
      <c r="G2" t="s">
        <v>10</v>
      </c>
      <c r="H2" t="s">
        <v>10</v>
      </c>
      <c r="I2">
        <v>0</v>
      </c>
    </row>
    <row r="3" spans="1:17" x14ac:dyDescent="0.25">
      <c r="A3">
        <v>1</v>
      </c>
      <c r="B3" t="s">
        <v>11</v>
      </c>
      <c r="C3" t="s">
        <v>12</v>
      </c>
      <c r="D3">
        <v>135</v>
      </c>
      <c r="E3">
        <v>560</v>
      </c>
      <c r="F3">
        <v>695</v>
      </c>
      <c r="G3" t="s">
        <v>13</v>
      </c>
      <c r="H3" t="s">
        <v>14</v>
      </c>
      <c r="I3">
        <v>1</v>
      </c>
    </row>
    <row r="4" spans="1:17" x14ac:dyDescent="0.25">
      <c r="A4">
        <v>2</v>
      </c>
      <c r="B4" t="s">
        <v>15</v>
      </c>
      <c r="C4" t="s">
        <v>12</v>
      </c>
      <c r="D4">
        <v>135</v>
      </c>
      <c r="E4">
        <v>740</v>
      </c>
      <c r="F4">
        <v>875</v>
      </c>
      <c r="G4" t="s">
        <v>13</v>
      </c>
      <c r="H4" t="s">
        <v>14</v>
      </c>
      <c r="I4">
        <v>2</v>
      </c>
    </row>
    <row r="5" spans="1:17" x14ac:dyDescent="0.25">
      <c r="A5">
        <v>3</v>
      </c>
      <c r="B5" t="s">
        <v>16</v>
      </c>
      <c r="C5" t="s">
        <v>12</v>
      </c>
      <c r="D5">
        <v>135</v>
      </c>
      <c r="E5">
        <v>830</v>
      </c>
      <c r="F5">
        <v>965</v>
      </c>
      <c r="G5" t="s">
        <v>13</v>
      </c>
      <c r="H5" t="s">
        <v>14</v>
      </c>
      <c r="I5">
        <v>3</v>
      </c>
    </row>
    <row r="6" spans="1:17" x14ac:dyDescent="0.25">
      <c r="A6">
        <v>4</v>
      </c>
      <c r="B6" t="s">
        <v>17</v>
      </c>
      <c r="C6" t="s">
        <v>12</v>
      </c>
      <c r="D6">
        <v>135</v>
      </c>
      <c r="E6">
        <v>920</v>
      </c>
      <c r="F6">
        <v>1055</v>
      </c>
      <c r="G6" t="s">
        <v>13</v>
      </c>
      <c r="H6" t="s">
        <v>14</v>
      </c>
      <c r="I6">
        <v>4</v>
      </c>
    </row>
    <row r="7" spans="1:17" x14ac:dyDescent="0.25">
      <c r="A7">
        <v>5</v>
      </c>
      <c r="B7" t="s">
        <v>18</v>
      </c>
      <c r="C7" t="s">
        <v>12</v>
      </c>
      <c r="D7">
        <v>135</v>
      </c>
      <c r="E7">
        <v>980</v>
      </c>
      <c r="F7">
        <v>1115</v>
      </c>
      <c r="G7" t="s">
        <v>13</v>
      </c>
      <c r="H7" t="s">
        <v>14</v>
      </c>
      <c r="I7">
        <v>5</v>
      </c>
    </row>
    <row r="8" spans="1:17" x14ac:dyDescent="0.25">
      <c r="A8">
        <v>6</v>
      </c>
      <c r="B8" t="s">
        <v>19</v>
      </c>
      <c r="C8" t="s">
        <v>12</v>
      </c>
      <c r="D8">
        <v>135</v>
      </c>
      <c r="E8">
        <v>1040</v>
      </c>
      <c r="F8">
        <v>1175</v>
      </c>
      <c r="G8" t="s">
        <v>13</v>
      </c>
      <c r="H8" t="s">
        <v>14</v>
      </c>
      <c r="I8">
        <v>6</v>
      </c>
      <c r="J8" t="s">
        <v>79</v>
      </c>
      <c r="K8">
        <v>1355</v>
      </c>
    </row>
    <row r="9" spans="1:17" x14ac:dyDescent="0.25">
      <c r="A9">
        <v>7</v>
      </c>
      <c r="B9" t="s">
        <v>20</v>
      </c>
      <c r="C9" t="s">
        <v>12</v>
      </c>
      <c r="D9">
        <v>135</v>
      </c>
      <c r="E9">
        <v>1100</v>
      </c>
      <c r="F9">
        <v>1235</v>
      </c>
      <c r="G9" t="s">
        <v>13</v>
      </c>
      <c r="H9" t="s">
        <v>14</v>
      </c>
      <c r="I9">
        <v>7</v>
      </c>
    </row>
    <row r="10" spans="1:17" x14ac:dyDescent="0.25">
      <c r="A10">
        <v>8</v>
      </c>
      <c r="B10" t="s">
        <v>21</v>
      </c>
      <c r="C10" t="s">
        <v>12</v>
      </c>
      <c r="D10">
        <v>135</v>
      </c>
      <c r="E10">
        <v>1190</v>
      </c>
      <c r="F10">
        <v>1325</v>
      </c>
      <c r="G10" t="s">
        <v>13</v>
      </c>
      <c r="H10" t="s">
        <v>14</v>
      </c>
      <c r="I10">
        <v>8</v>
      </c>
      <c r="K10" t="s">
        <v>71</v>
      </c>
      <c r="L10" t="s">
        <v>72</v>
      </c>
      <c r="M10" t="s">
        <v>86</v>
      </c>
      <c r="N10" t="s">
        <v>87</v>
      </c>
      <c r="O10" t="s">
        <v>88</v>
      </c>
      <c r="P10" t="s">
        <v>89</v>
      </c>
      <c r="Q10" t="s">
        <v>90</v>
      </c>
    </row>
    <row r="11" spans="1:17" x14ac:dyDescent="0.25">
      <c r="A11">
        <v>9</v>
      </c>
      <c r="B11" t="s">
        <v>22</v>
      </c>
      <c r="C11" t="s">
        <v>12</v>
      </c>
      <c r="D11">
        <v>140</v>
      </c>
      <c r="E11">
        <v>555</v>
      </c>
      <c r="F11">
        <v>695</v>
      </c>
      <c r="G11" t="s">
        <v>13</v>
      </c>
      <c r="H11" t="s">
        <v>23</v>
      </c>
      <c r="I11">
        <v>9</v>
      </c>
      <c r="K11" t="s">
        <v>13</v>
      </c>
      <c r="L11">
        <v>15</v>
      </c>
      <c r="M11">
        <v>30</v>
      </c>
      <c r="N11">
        <v>10</v>
      </c>
      <c r="O11">
        <v>145</v>
      </c>
      <c r="P11">
        <v>150</v>
      </c>
      <c r="Q11">
        <v>220</v>
      </c>
    </row>
    <row r="12" spans="1:17" x14ac:dyDescent="0.25">
      <c r="A12">
        <v>10</v>
      </c>
      <c r="B12" t="s">
        <v>24</v>
      </c>
      <c r="C12" t="s">
        <v>12</v>
      </c>
      <c r="D12">
        <v>140</v>
      </c>
      <c r="E12">
        <v>675</v>
      </c>
      <c r="F12">
        <v>815</v>
      </c>
      <c r="G12" t="s">
        <v>13</v>
      </c>
      <c r="H12" t="s">
        <v>23</v>
      </c>
      <c r="I12">
        <v>10</v>
      </c>
      <c r="K12" t="s">
        <v>14</v>
      </c>
      <c r="L12">
        <v>15</v>
      </c>
      <c r="M12">
        <v>30</v>
      </c>
      <c r="N12">
        <v>145</v>
      </c>
      <c r="O12">
        <v>10</v>
      </c>
      <c r="P12">
        <v>155</v>
      </c>
      <c r="Q12">
        <v>160</v>
      </c>
    </row>
    <row r="13" spans="1:17" x14ac:dyDescent="0.25">
      <c r="A13">
        <v>11</v>
      </c>
      <c r="B13" t="s">
        <v>25</v>
      </c>
      <c r="C13" t="s">
        <v>12</v>
      </c>
      <c r="D13">
        <v>140</v>
      </c>
      <c r="E13">
        <v>795</v>
      </c>
      <c r="F13">
        <v>935</v>
      </c>
      <c r="G13" t="s">
        <v>13</v>
      </c>
      <c r="H13" t="s">
        <v>23</v>
      </c>
      <c r="I13">
        <v>11</v>
      </c>
      <c r="K13" t="s">
        <v>23</v>
      </c>
      <c r="L13">
        <v>15</v>
      </c>
      <c r="M13">
        <v>30</v>
      </c>
      <c r="N13">
        <v>150</v>
      </c>
      <c r="O13">
        <v>155</v>
      </c>
      <c r="P13">
        <v>10</v>
      </c>
      <c r="Q13">
        <v>280</v>
      </c>
    </row>
    <row r="14" spans="1:17" x14ac:dyDescent="0.25">
      <c r="A14">
        <v>12</v>
      </c>
      <c r="B14" t="s">
        <v>26</v>
      </c>
      <c r="C14" t="s">
        <v>12</v>
      </c>
      <c r="D14">
        <v>140</v>
      </c>
      <c r="E14">
        <v>1155</v>
      </c>
      <c r="F14">
        <v>1295</v>
      </c>
      <c r="G14" t="s">
        <v>13</v>
      </c>
      <c r="H14" t="s">
        <v>23</v>
      </c>
      <c r="I14">
        <v>12</v>
      </c>
      <c r="K14" t="s">
        <v>29</v>
      </c>
      <c r="L14">
        <v>15</v>
      </c>
      <c r="M14">
        <v>30</v>
      </c>
      <c r="N14">
        <v>220</v>
      </c>
      <c r="O14">
        <v>160</v>
      </c>
      <c r="P14">
        <v>280</v>
      </c>
      <c r="Q14">
        <v>10</v>
      </c>
    </row>
    <row r="15" spans="1:17" x14ac:dyDescent="0.25">
      <c r="A15">
        <v>13</v>
      </c>
      <c r="B15" t="s">
        <v>27</v>
      </c>
      <c r="C15" t="s">
        <v>12</v>
      </c>
      <c r="D15">
        <v>140</v>
      </c>
      <c r="E15">
        <v>1215</v>
      </c>
      <c r="F15">
        <v>1355</v>
      </c>
      <c r="G15" t="s">
        <v>13</v>
      </c>
      <c r="H15" t="s">
        <v>23</v>
      </c>
      <c r="I15">
        <v>13</v>
      </c>
      <c r="K15" t="s">
        <v>73</v>
      </c>
      <c r="L15">
        <v>100</v>
      </c>
      <c r="M15" t="s">
        <v>74</v>
      </c>
    </row>
    <row r="16" spans="1:17" x14ac:dyDescent="0.25">
      <c r="A16">
        <v>14</v>
      </c>
      <c r="B16" t="s">
        <v>28</v>
      </c>
      <c r="C16" t="s">
        <v>12</v>
      </c>
      <c r="D16">
        <v>140</v>
      </c>
      <c r="E16">
        <v>560</v>
      </c>
      <c r="F16">
        <v>700</v>
      </c>
      <c r="G16" t="s">
        <v>13</v>
      </c>
      <c r="H16" t="s">
        <v>29</v>
      </c>
      <c r="I16">
        <v>14</v>
      </c>
      <c r="K16" t="s">
        <v>75</v>
      </c>
      <c r="L16">
        <v>350</v>
      </c>
    </row>
    <row r="17" spans="1:15" x14ac:dyDescent="0.25">
      <c r="A17">
        <v>15</v>
      </c>
      <c r="B17" t="s">
        <v>30</v>
      </c>
      <c r="C17" t="s">
        <v>12</v>
      </c>
      <c r="D17">
        <v>140</v>
      </c>
      <c r="E17">
        <v>630</v>
      </c>
      <c r="F17">
        <v>770</v>
      </c>
      <c r="G17" t="s">
        <v>13</v>
      </c>
      <c r="H17" t="s">
        <v>29</v>
      </c>
      <c r="I17">
        <v>15</v>
      </c>
    </row>
    <row r="18" spans="1:15" x14ac:dyDescent="0.25">
      <c r="A18">
        <v>16</v>
      </c>
      <c r="B18" t="s">
        <v>31</v>
      </c>
      <c r="C18" t="s">
        <v>12</v>
      </c>
      <c r="D18">
        <v>135</v>
      </c>
      <c r="E18">
        <v>790</v>
      </c>
      <c r="F18">
        <v>925</v>
      </c>
      <c r="G18" t="s">
        <v>13</v>
      </c>
      <c r="H18" t="s">
        <v>29</v>
      </c>
      <c r="I18">
        <v>16</v>
      </c>
      <c r="L18" t="s">
        <v>13</v>
      </c>
      <c r="M18" t="s">
        <v>14</v>
      </c>
      <c r="N18" t="s">
        <v>23</v>
      </c>
      <c r="O18" t="s">
        <v>29</v>
      </c>
    </row>
    <row r="19" spans="1:15" x14ac:dyDescent="0.25">
      <c r="A19">
        <v>17</v>
      </c>
      <c r="B19" t="s">
        <v>32</v>
      </c>
      <c r="C19" t="s">
        <v>12</v>
      </c>
      <c r="D19">
        <v>140</v>
      </c>
      <c r="E19">
        <v>970</v>
      </c>
      <c r="F19">
        <v>1110</v>
      </c>
      <c r="G19" t="s">
        <v>13</v>
      </c>
      <c r="H19" t="s">
        <v>29</v>
      </c>
      <c r="I19">
        <v>17</v>
      </c>
      <c r="K19" t="s">
        <v>13</v>
      </c>
      <c r="L19">
        <v>0</v>
      </c>
      <c r="M19">
        <v>25</v>
      </c>
      <c r="N19">
        <v>30</v>
      </c>
      <c r="O19">
        <v>35</v>
      </c>
    </row>
    <row r="20" spans="1:15" x14ac:dyDescent="0.25">
      <c r="A20">
        <v>18</v>
      </c>
      <c r="B20" t="s">
        <v>33</v>
      </c>
      <c r="C20" t="s">
        <v>12</v>
      </c>
      <c r="D20">
        <v>140</v>
      </c>
      <c r="E20">
        <v>1120</v>
      </c>
      <c r="F20">
        <v>1240</v>
      </c>
      <c r="G20" t="s">
        <v>13</v>
      </c>
      <c r="H20" t="s">
        <v>29</v>
      </c>
      <c r="I20">
        <v>18</v>
      </c>
      <c r="K20" t="s">
        <v>14</v>
      </c>
      <c r="L20">
        <v>25</v>
      </c>
      <c r="M20">
        <v>0</v>
      </c>
      <c r="N20">
        <v>28</v>
      </c>
      <c r="O20">
        <v>40</v>
      </c>
    </row>
    <row r="21" spans="1:15" x14ac:dyDescent="0.25">
      <c r="A21">
        <v>19</v>
      </c>
      <c r="B21" t="s">
        <v>34</v>
      </c>
      <c r="C21" t="s">
        <v>12</v>
      </c>
      <c r="D21">
        <v>135</v>
      </c>
      <c r="E21">
        <v>540</v>
      </c>
      <c r="F21">
        <v>675</v>
      </c>
      <c r="G21" t="s">
        <v>14</v>
      </c>
      <c r="H21" t="s">
        <v>13</v>
      </c>
      <c r="I21">
        <v>19</v>
      </c>
      <c r="K21" t="s">
        <v>23</v>
      </c>
      <c r="L21">
        <v>30</v>
      </c>
      <c r="M21">
        <v>28</v>
      </c>
      <c r="N21">
        <v>0</v>
      </c>
      <c r="O21">
        <v>33</v>
      </c>
    </row>
    <row r="22" spans="1:15" x14ac:dyDescent="0.25">
      <c r="A22">
        <v>20</v>
      </c>
      <c r="B22" t="s">
        <v>35</v>
      </c>
      <c r="C22" t="s">
        <v>12</v>
      </c>
      <c r="D22">
        <v>135</v>
      </c>
      <c r="E22">
        <v>630</v>
      </c>
      <c r="F22">
        <v>765</v>
      </c>
      <c r="G22" t="s">
        <v>14</v>
      </c>
      <c r="H22" t="s">
        <v>13</v>
      </c>
      <c r="I22">
        <v>20</v>
      </c>
      <c r="K22" t="s">
        <v>29</v>
      </c>
      <c r="L22">
        <v>35</v>
      </c>
      <c r="M22">
        <v>40</v>
      </c>
      <c r="N22">
        <v>33</v>
      </c>
      <c r="O22">
        <v>0</v>
      </c>
    </row>
    <row r="23" spans="1:15" x14ac:dyDescent="0.25">
      <c r="A23">
        <v>21</v>
      </c>
      <c r="B23" t="s">
        <v>36</v>
      </c>
      <c r="C23" t="s">
        <v>12</v>
      </c>
      <c r="D23">
        <v>135</v>
      </c>
      <c r="E23">
        <v>720</v>
      </c>
      <c r="F23">
        <v>855</v>
      </c>
      <c r="G23" t="s">
        <v>14</v>
      </c>
      <c r="H23" t="s">
        <v>13</v>
      </c>
      <c r="I23">
        <v>21</v>
      </c>
    </row>
    <row r="24" spans="1:15" x14ac:dyDescent="0.25">
      <c r="A24">
        <v>22</v>
      </c>
      <c r="B24" t="s">
        <v>37</v>
      </c>
      <c r="C24" t="s">
        <v>12</v>
      </c>
      <c r="D24">
        <v>135</v>
      </c>
      <c r="E24">
        <v>810</v>
      </c>
      <c r="F24">
        <v>945</v>
      </c>
      <c r="G24" t="s">
        <v>14</v>
      </c>
      <c r="H24" t="s">
        <v>13</v>
      </c>
      <c r="I24">
        <v>22</v>
      </c>
    </row>
    <row r="25" spans="1:15" x14ac:dyDescent="0.25">
      <c r="A25">
        <v>23</v>
      </c>
      <c r="B25" t="s">
        <v>38</v>
      </c>
      <c r="C25" t="s">
        <v>12</v>
      </c>
      <c r="D25">
        <v>135</v>
      </c>
      <c r="E25">
        <v>900</v>
      </c>
      <c r="F25">
        <v>1035</v>
      </c>
      <c r="G25" t="s">
        <v>14</v>
      </c>
      <c r="H25" t="s">
        <v>13</v>
      </c>
      <c r="I25">
        <v>23</v>
      </c>
    </row>
    <row r="26" spans="1:15" x14ac:dyDescent="0.25">
      <c r="A26">
        <v>24</v>
      </c>
      <c r="B26" t="s">
        <v>39</v>
      </c>
      <c r="C26" t="s">
        <v>12</v>
      </c>
      <c r="D26">
        <v>135</v>
      </c>
      <c r="E26">
        <v>990</v>
      </c>
      <c r="F26">
        <v>1125</v>
      </c>
      <c r="G26" t="s">
        <v>14</v>
      </c>
      <c r="H26" t="s">
        <v>13</v>
      </c>
      <c r="I26">
        <v>24</v>
      </c>
    </row>
    <row r="27" spans="1:15" x14ac:dyDescent="0.25">
      <c r="A27">
        <v>25</v>
      </c>
      <c r="B27" t="s">
        <v>40</v>
      </c>
      <c r="C27" t="s">
        <v>12</v>
      </c>
      <c r="D27">
        <v>135</v>
      </c>
      <c r="E27">
        <v>1080</v>
      </c>
      <c r="F27">
        <v>1215</v>
      </c>
      <c r="G27" t="s">
        <v>14</v>
      </c>
      <c r="H27" t="s">
        <v>13</v>
      </c>
      <c r="I27">
        <v>25</v>
      </c>
    </row>
    <row r="28" spans="1:15" x14ac:dyDescent="0.25">
      <c r="A28">
        <v>26</v>
      </c>
      <c r="B28" t="s">
        <v>41</v>
      </c>
      <c r="C28" t="s">
        <v>12</v>
      </c>
      <c r="D28">
        <v>135</v>
      </c>
      <c r="E28">
        <v>1140</v>
      </c>
      <c r="F28">
        <v>1275</v>
      </c>
      <c r="G28" t="s">
        <v>14</v>
      </c>
      <c r="H28" t="s">
        <v>13</v>
      </c>
      <c r="I28">
        <v>26</v>
      </c>
    </row>
    <row r="29" spans="1:15" x14ac:dyDescent="0.25">
      <c r="A29">
        <v>27</v>
      </c>
      <c r="B29" t="s">
        <v>78</v>
      </c>
      <c r="C29" t="s">
        <v>12</v>
      </c>
      <c r="D29">
        <v>120</v>
      </c>
      <c r="E29">
        <v>300</v>
      </c>
      <c r="F29">
        <v>420</v>
      </c>
      <c r="G29" t="s">
        <v>23</v>
      </c>
      <c r="H29" t="s">
        <v>14</v>
      </c>
      <c r="I29">
        <v>27</v>
      </c>
    </row>
    <row r="30" spans="1:15" x14ac:dyDescent="0.25">
      <c r="A30">
        <v>28</v>
      </c>
      <c r="B30" t="s">
        <v>43</v>
      </c>
      <c r="C30" t="s">
        <v>12</v>
      </c>
      <c r="D30">
        <v>140</v>
      </c>
      <c r="E30">
        <v>595</v>
      </c>
      <c r="F30">
        <v>735</v>
      </c>
      <c r="G30" t="s">
        <v>14</v>
      </c>
      <c r="H30" t="s">
        <v>23</v>
      </c>
      <c r="I30">
        <v>28</v>
      </c>
    </row>
    <row r="31" spans="1:15" x14ac:dyDescent="0.25">
      <c r="A31">
        <v>29</v>
      </c>
      <c r="B31" t="s">
        <v>44</v>
      </c>
      <c r="C31" t="s">
        <v>12</v>
      </c>
      <c r="D31">
        <v>120</v>
      </c>
      <c r="E31">
        <v>800</v>
      </c>
      <c r="F31">
        <v>920</v>
      </c>
      <c r="G31" t="s">
        <v>14</v>
      </c>
      <c r="H31" t="s">
        <v>23</v>
      </c>
      <c r="I31">
        <v>29</v>
      </c>
    </row>
    <row r="32" spans="1:15" x14ac:dyDescent="0.25">
      <c r="A32">
        <v>30</v>
      </c>
      <c r="B32" t="s">
        <v>45</v>
      </c>
      <c r="C32" t="s">
        <v>12</v>
      </c>
      <c r="D32">
        <v>130</v>
      </c>
      <c r="E32">
        <v>950</v>
      </c>
      <c r="F32">
        <v>1130</v>
      </c>
      <c r="G32" t="s">
        <v>14</v>
      </c>
      <c r="H32" t="s">
        <v>23</v>
      </c>
      <c r="I32">
        <v>30</v>
      </c>
    </row>
    <row r="33" spans="1:9" x14ac:dyDescent="0.25">
      <c r="A33">
        <v>31</v>
      </c>
      <c r="B33" t="s">
        <v>46</v>
      </c>
      <c r="C33" t="s">
        <v>12</v>
      </c>
      <c r="D33">
        <v>140</v>
      </c>
      <c r="E33">
        <v>570</v>
      </c>
      <c r="F33">
        <v>710</v>
      </c>
      <c r="G33" t="s">
        <v>23</v>
      </c>
      <c r="H33" t="s">
        <v>13</v>
      </c>
      <c r="I33">
        <v>31</v>
      </c>
    </row>
    <row r="34" spans="1:9" x14ac:dyDescent="0.25">
      <c r="A34">
        <v>32</v>
      </c>
      <c r="B34" t="s">
        <v>47</v>
      </c>
      <c r="C34" t="s">
        <v>12</v>
      </c>
      <c r="D34">
        <v>140</v>
      </c>
      <c r="E34">
        <v>740</v>
      </c>
      <c r="F34">
        <v>880</v>
      </c>
      <c r="G34" t="s">
        <v>23</v>
      </c>
      <c r="H34" t="s">
        <v>13</v>
      </c>
      <c r="I34">
        <v>32</v>
      </c>
    </row>
    <row r="35" spans="1:9" x14ac:dyDescent="0.25">
      <c r="A35">
        <v>33</v>
      </c>
      <c r="B35" t="s">
        <v>48</v>
      </c>
      <c r="C35" t="s">
        <v>12</v>
      </c>
      <c r="D35">
        <v>140</v>
      </c>
      <c r="E35">
        <v>860</v>
      </c>
      <c r="F35">
        <v>1000</v>
      </c>
      <c r="G35" t="s">
        <v>23</v>
      </c>
      <c r="H35" t="s">
        <v>13</v>
      </c>
      <c r="I35">
        <v>33</v>
      </c>
    </row>
    <row r="36" spans="1:9" x14ac:dyDescent="0.25">
      <c r="A36">
        <v>34</v>
      </c>
      <c r="B36" t="s">
        <v>49</v>
      </c>
      <c r="C36" t="s">
        <v>12</v>
      </c>
      <c r="D36">
        <v>140</v>
      </c>
      <c r="E36">
        <v>920</v>
      </c>
      <c r="F36">
        <v>1060</v>
      </c>
      <c r="G36" t="s">
        <v>23</v>
      </c>
      <c r="H36" t="s">
        <v>13</v>
      </c>
      <c r="I36">
        <v>34</v>
      </c>
    </row>
    <row r="37" spans="1:9" x14ac:dyDescent="0.25">
      <c r="A37">
        <v>35</v>
      </c>
      <c r="B37" t="s">
        <v>50</v>
      </c>
      <c r="C37" t="s">
        <v>12</v>
      </c>
      <c r="D37">
        <v>140</v>
      </c>
      <c r="E37">
        <v>1040</v>
      </c>
      <c r="F37">
        <v>1180</v>
      </c>
      <c r="G37" t="s">
        <v>23</v>
      </c>
      <c r="H37" t="s">
        <v>13</v>
      </c>
      <c r="I37">
        <v>35</v>
      </c>
    </row>
    <row r="38" spans="1:9" x14ac:dyDescent="0.25">
      <c r="A38">
        <v>36</v>
      </c>
      <c r="B38" t="s">
        <v>42</v>
      </c>
      <c r="C38" t="s">
        <v>12</v>
      </c>
      <c r="D38">
        <v>140</v>
      </c>
      <c r="E38">
        <v>540</v>
      </c>
      <c r="F38">
        <v>680</v>
      </c>
      <c r="G38" t="s">
        <v>23</v>
      </c>
      <c r="H38" t="s">
        <v>14</v>
      </c>
      <c r="I38">
        <v>36</v>
      </c>
    </row>
    <row r="39" spans="1:9" x14ac:dyDescent="0.25">
      <c r="A39">
        <v>37</v>
      </c>
      <c r="B39" t="s">
        <v>51</v>
      </c>
      <c r="C39" t="s">
        <v>12</v>
      </c>
      <c r="D39">
        <v>140</v>
      </c>
      <c r="E39">
        <v>645</v>
      </c>
      <c r="F39">
        <v>785</v>
      </c>
      <c r="G39" t="s">
        <v>23</v>
      </c>
      <c r="H39" t="s">
        <v>14</v>
      </c>
      <c r="I39">
        <v>37</v>
      </c>
    </row>
    <row r="40" spans="1:9" x14ac:dyDescent="0.25">
      <c r="A40">
        <v>38</v>
      </c>
      <c r="B40" t="s">
        <v>52</v>
      </c>
      <c r="C40" t="s">
        <v>12</v>
      </c>
      <c r="D40">
        <v>120</v>
      </c>
      <c r="E40">
        <v>900</v>
      </c>
      <c r="F40">
        <v>1020</v>
      </c>
      <c r="G40" t="s">
        <v>23</v>
      </c>
      <c r="H40" t="s">
        <v>14</v>
      </c>
      <c r="I40">
        <v>38</v>
      </c>
    </row>
    <row r="41" spans="1:9" x14ac:dyDescent="0.25">
      <c r="A41">
        <v>39</v>
      </c>
      <c r="B41" t="s">
        <v>53</v>
      </c>
      <c r="C41" t="s">
        <v>12</v>
      </c>
      <c r="D41">
        <v>130</v>
      </c>
      <c r="E41">
        <v>950</v>
      </c>
      <c r="F41">
        <v>1080</v>
      </c>
      <c r="G41" t="s">
        <v>23</v>
      </c>
      <c r="H41" t="s">
        <v>14</v>
      </c>
      <c r="I41">
        <v>39</v>
      </c>
    </row>
    <row r="42" spans="1:9" x14ac:dyDescent="0.25">
      <c r="A42">
        <v>40</v>
      </c>
      <c r="B42" t="s">
        <v>54</v>
      </c>
      <c r="C42" t="s">
        <v>12</v>
      </c>
      <c r="D42">
        <v>140</v>
      </c>
      <c r="E42">
        <v>450</v>
      </c>
      <c r="F42">
        <v>585</v>
      </c>
      <c r="G42" t="s">
        <v>23</v>
      </c>
      <c r="H42" t="s">
        <v>29</v>
      </c>
      <c r="I42">
        <v>40</v>
      </c>
    </row>
    <row r="43" spans="1:9" x14ac:dyDescent="0.25">
      <c r="A43">
        <v>41</v>
      </c>
      <c r="B43" t="s">
        <v>55</v>
      </c>
      <c r="C43" t="s">
        <v>12</v>
      </c>
      <c r="D43">
        <v>135</v>
      </c>
      <c r="E43">
        <v>550</v>
      </c>
      <c r="F43">
        <v>685</v>
      </c>
      <c r="G43" t="s">
        <v>23</v>
      </c>
      <c r="H43" t="s">
        <v>29</v>
      </c>
      <c r="I43">
        <v>41</v>
      </c>
    </row>
    <row r="44" spans="1:9" x14ac:dyDescent="0.25">
      <c r="A44">
        <v>42</v>
      </c>
      <c r="B44" t="s">
        <v>56</v>
      </c>
      <c r="C44" t="s">
        <v>12</v>
      </c>
      <c r="D44">
        <v>135</v>
      </c>
      <c r="E44">
        <v>600</v>
      </c>
      <c r="F44">
        <v>735</v>
      </c>
      <c r="G44" t="s">
        <v>23</v>
      </c>
      <c r="H44" t="s">
        <v>29</v>
      </c>
      <c r="I44">
        <v>42</v>
      </c>
    </row>
    <row r="45" spans="1:9" x14ac:dyDescent="0.25">
      <c r="A45">
        <v>43</v>
      </c>
      <c r="B45" t="s">
        <v>57</v>
      </c>
      <c r="C45" t="s">
        <v>12</v>
      </c>
      <c r="D45">
        <v>135</v>
      </c>
      <c r="E45">
        <v>765</v>
      </c>
      <c r="F45">
        <v>900</v>
      </c>
      <c r="G45" t="s">
        <v>23</v>
      </c>
      <c r="H45" t="s">
        <v>29</v>
      </c>
      <c r="I45">
        <v>43</v>
      </c>
    </row>
    <row r="46" spans="1:9" x14ac:dyDescent="0.25">
      <c r="A46">
        <v>44</v>
      </c>
      <c r="B46" t="s">
        <v>58</v>
      </c>
      <c r="C46" t="s">
        <v>12</v>
      </c>
      <c r="D46">
        <v>120</v>
      </c>
      <c r="E46">
        <v>850</v>
      </c>
      <c r="F46">
        <v>970</v>
      </c>
      <c r="G46" t="s">
        <v>23</v>
      </c>
      <c r="H46" t="s">
        <v>29</v>
      </c>
      <c r="I46">
        <v>44</v>
      </c>
    </row>
    <row r="47" spans="1:9" x14ac:dyDescent="0.25">
      <c r="A47">
        <v>45</v>
      </c>
      <c r="B47" t="s">
        <v>59</v>
      </c>
      <c r="C47" t="s">
        <v>12</v>
      </c>
      <c r="D47">
        <v>140</v>
      </c>
      <c r="E47">
        <v>720</v>
      </c>
      <c r="F47">
        <v>860</v>
      </c>
      <c r="G47" t="s">
        <v>29</v>
      </c>
      <c r="H47" t="s">
        <v>13</v>
      </c>
      <c r="I47">
        <v>45</v>
      </c>
    </row>
    <row r="48" spans="1:9" x14ac:dyDescent="0.25">
      <c r="A48">
        <v>46</v>
      </c>
      <c r="B48" t="s">
        <v>60</v>
      </c>
      <c r="C48" t="s">
        <v>12</v>
      </c>
      <c r="D48">
        <v>135</v>
      </c>
      <c r="E48">
        <v>750</v>
      </c>
      <c r="F48">
        <v>885</v>
      </c>
      <c r="G48" t="s">
        <v>29</v>
      </c>
      <c r="H48" t="s">
        <v>13</v>
      </c>
      <c r="I48">
        <v>46</v>
      </c>
    </row>
    <row r="49" spans="1:9" x14ac:dyDescent="0.25">
      <c r="A49">
        <v>47</v>
      </c>
      <c r="B49" t="s">
        <v>61</v>
      </c>
      <c r="C49" t="s">
        <v>12</v>
      </c>
      <c r="D49">
        <v>140</v>
      </c>
      <c r="E49">
        <v>800</v>
      </c>
      <c r="F49">
        <v>940</v>
      </c>
      <c r="G49" t="s">
        <v>29</v>
      </c>
      <c r="H49" t="s">
        <v>13</v>
      </c>
      <c r="I49">
        <v>47</v>
      </c>
    </row>
    <row r="50" spans="1:9" x14ac:dyDescent="0.25">
      <c r="A50">
        <v>48</v>
      </c>
      <c r="B50" t="s">
        <v>62</v>
      </c>
      <c r="C50" t="s">
        <v>12</v>
      </c>
      <c r="D50">
        <v>140</v>
      </c>
      <c r="E50">
        <v>1000</v>
      </c>
      <c r="F50">
        <v>1140</v>
      </c>
      <c r="G50" t="s">
        <v>29</v>
      </c>
      <c r="H50" t="s">
        <v>13</v>
      </c>
      <c r="I50">
        <v>48</v>
      </c>
    </row>
    <row r="51" spans="1:9" x14ac:dyDescent="0.25">
      <c r="A51">
        <v>49</v>
      </c>
      <c r="B51" t="s">
        <v>63</v>
      </c>
      <c r="C51" t="s">
        <v>12</v>
      </c>
      <c r="D51">
        <v>140</v>
      </c>
      <c r="E51">
        <v>1200</v>
      </c>
      <c r="F51">
        <v>1340</v>
      </c>
      <c r="G51" t="s">
        <v>29</v>
      </c>
      <c r="H51" t="s">
        <v>13</v>
      </c>
      <c r="I51">
        <v>49</v>
      </c>
    </row>
    <row r="52" spans="1:9" x14ac:dyDescent="0.25">
      <c r="A52">
        <v>50</v>
      </c>
      <c r="B52" t="s">
        <v>64</v>
      </c>
      <c r="C52" t="s">
        <v>12</v>
      </c>
      <c r="D52">
        <v>140</v>
      </c>
      <c r="E52">
        <v>600</v>
      </c>
      <c r="F52">
        <v>740</v>
      </c>
      <c r="G52" t="s">
        <v>29</v>
      </c>
      <c r="H52" t="s">
        <v>23</v>
      </c>
      <c r="I52">
        <v>50</v>
      </c>
    </row>
    <row r="53" spans="1:9" x14ac:dyDescent="0.25">
      <c r="A53">
        <v>51</v>
      </c>
      <c r="B53" t="s">
        <v>65</v>
      </c>
      <c r="C53" t="s">
        <v>12</v>
      </c>
      <c r="D53">
        <v>120</v>
      </c>
      <c r="E53">
        <v>765</v>
      </c>
      <c r="F53">
        <v>885</v>
      </c>
      <c r="G53" t="s">
        <v>29</v>
      </c>
      <c r="H53" t="s">
        <v>23</v>
      </c>
      <c r="I53">
        <v>51</v>
      </c>
    </row>
    <row r="54" spans="1:9" x14ac:dyDescent="0.25">
      <c r="A54">
        <v>52</v>
      </c>
      <c r="B54" t="s">
        <v>66</v>
      </c>
      <c r="C54" t="s">
        <v>12</v>
      </c>
      <c r="D54">
        <v>120</v>
      </c>
      <c r="E54">
        <v>780</v>
      </c>
      <c r="F54">
        <v>900</v>
      </c>
      <c r="G54" t="s">
        <v>29</v>
      </c>
      <c r="H54" t="s">
        <v>23</v>
      </c>
      <c r="I54">
        <v>52</v>
      </c>
    </row>
    <row r="55" spans="1:9" x14ac:dyDescent="0.25">
      <c r="A55">
        <v>53</v>
      </c>
      <c r="B55" t="s">
        <v>67</v>
      </c>
      <c r="C55" t="s">
        <v>12</v>
      </c>
      <c r="D55">
        <v>135</v>
      </c>
      <c r="E55">
        <v>965</v>
      </c>
      <c r="F55">
        <v>1100</v>
      </c>
      <c r="G55" t="s">
        <v>29</v>
      </c>
      <c r="H55" t="s">
        <v>23</v>
      </c>
      <c r="I55">
        <v>53</v>
      </c>
    </row>
    <row r="56" spans="1:9" x14ac:dyDescent="0.25">
      <c r="A56">
        <v>54</v>
      </c>
      <c r="B56" t="s">
        <v>68</v>
      </c>
      <c r="C56" t="s">
        <v>12</v>
      </c>
      <c r="D56">
        <v>135</v>
      </c>
      <c r="E56">
        <v>975</v>
      </c>
      <c r="F56">
        <v>1110</v>
      </c>
      <c r="G56" t="s">
        <v>29</v>
      </c>
      <c r="H56" t="s">
        <v>23</v>
      </c>
      <c r="I56">
        <v>54</v>
      </c>
    </row>
    <row r="57" spans="1:9" x14ac:dyDescent="0.25">
      <c r="A57">
        <v>55</v>
      </c>
      <c r="B57" t="s">
        <v>69</v>
      </c>
      <c r="C57" t="s">
        <v>70</v>
      </c>
      <c r="D57">
        <v>50</v>
      </c>
      <c r="E57">
        <v>0</v>
      </c>
      <c r="F57">
        <v>1440</v>
      </c>
      <c r="G57" t="s">
        <v>10</v>
      </c>
      <c r="H57" t="s">
        <v>10</v>
      </c>
      <c r="I57">
        <v>55</v>
      </c>
    </row>
    <row r="58" spans="1:9" x14ac:dyDescent="0.25">
      <c r="A58">
        <v>56</v>
      </c>
      <c r="B58" t="s">
        <v>82</v>
      </c>
      <c r="C58" t="s">
        <v>70</v>
      </c>
      <c r="D58">
        <v>50</v>
      </c>
      <c r="E58">
        <v>0</v>
      </c>
      <c r="F58">
        <v>1440</v>
      </c>
      <c r="G58" t="s">
        <v>10</v>
      </c>
      <c r="H58" t="s">
        <v>10</v>
      </c>
      <c r="I58">
        <v>56</v>
      </c>
    </row>
    <row r="59" spans="1:9" x14ac:dyDescent="0.25">
      <c r="A59">
        <v>57</v>
      </c>
      <c r="B59" t="s">
        <v>83</v>
      </c>
      <c r="C59" t="s">
        <v>70</v>
      </c>
      <c r="D59">
        <v>50</v>
      </c>
      <c r="E59">
        <v>0</v>
      </c>
      <c r="F59">
        <v>1440</v>
      </c>
      <c r="G59" t="s">
        <v>10</v>
      </c>
      <c r="H59" t="s">
        <v>10</v>
      </c>
      <c r="I59">
        <v>57</v>
      </c>
    </row>
    <row r="60" spans="1:9" x14ac:dyDescent="0.25">
      <c r="A60">
        <v>58</v>
      </c>
      <c r="B60" t="s">
        <v>84</v>
      </c>
      <c r="C60" t="s">
        <v>70</v>
      </c>
      <c r="D60">
        <v>50</v>
      </c>
      <c r="E60">
        <v>0</v>
      </c>
      <c r="F60">
        <v>1440</v>
      </c>
      <c r="G60" t="s">
        <v>10</v>
      </c>
      <c r="H60" t="s">
        <v>10</v>
      </c>
      <c r="I60">
        <v>58</v>
      </c>
    </row>
    <row r="61" spans="1:9" x14ac:dyDescent="0.25">
      <c r="A61">
        <v>59</v>
      </c>
      <c r="B61" t="s">
        <v>85</v>
      </c>
      <c r="C61" t="s">
        <v>70</v>
      </c>
      <c r="D61">
        <v>50</v>
      </c>
      <c r="E61">
        <v>0</v>
      </c>
      <c r="F61">
        <v>1440</v>
      </c>
      <c r="G61" t="s">
        <v>10</v>
      </c>
      <c r="H61" t="s">
        <v>10</v>
      </c>
      <c r="I61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7"/>
  <sheetViews>
    <sheetView topLeftCell="AH37" workbookViewId="0">
      <selection activeCell="BD56" sqref="BD56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25">
      <c r="A3">
        <f>A2+1</f>
        <v>1</v>
      </c>
      <c r="B3">
        <v>1</v>
      </c>
      <c r="C3">
        <f>IF((AND(VLOOKUP(C$1,main!$A$3:$I$56,5,FALSE)-VLOOKUP($A3,main!$A$3:$I$56,6,FALSE)&gt;=(VLOOKUP(VLOOKUP(C$1,main!$A$3:$I$56,8,FALSE),main!$K$11:$M$14,2,FALSE)+VLOOKUP(VLOOKUP(C$1,main!$A$3:$I$56,7,FALSE),main!$K$19:$O$22,MATCH(VLOOKUP($A3,main!$A$3:$I$56,8,FALSE),main!$K$18:$O$18,0))))),1,0)</f>
        <v>0</v>
      </c>
      <c r="D3">
        <f>IF((AND(VLOOKUP(D$1,main!$A$3:$I$56,5,FALSE)-VLOOKUP($A3,main!$A$3:$I$56,6,FALSE)&gt;=(VLOOKUP(VLOOKUP(D$1,main!$A$3:$I$56,8,FALSE),main!$K$11:$M$14,2,FALSE)+VLOOKUP(VLOOKUP(D$1,main!$A$3:$I$56,7,FALSE),main!$K$19:$O$22,MATCH(VLOOKUP($A3,main!$A$3:$I$56,8,FALSE),main!$K$18:$O$18,0))))),1,0)</f>
        <v>1</v>
      </c>
      <c r="E3">
        <f>IF((AND(VLOOKUP(E$1,main!$A$3:$I$56,5,FALSE)-VLOOKUP($A3,main!$A$3:$I$56,6,FALSE)&gt;=(VLOOKUP(VLOOKUP(E$1,main!$A$3:$I$56,8,FALSE),main!$K$11:$M$14,2,FALSE)+VLOOKUP(VLOOKUP(E$1,main!$A$3:$I$56,7,FALSE),main!$K$19:$O$22,MATCH(VLOOKUP($A3,main!$A$3:$I$56,8,FALSE),main!$K$18:$O$18,0))))),1,0)</f>
        <v>1</v>
      </c>
      <c r="F3">
        <f>IF((AND(VLOOKUP(F$1,main!$A$3:$I$56,5,FALSE)-VLOOKUP($A3,main!$A$3:$I$56,6,FALSE)&gt;=(VLOOKUP(VLOOKUP(F$1,main!$A$3:$I$56,8,FALSE),main!$K$11:$M$14,2,FALSE)+VLOOKUP(VLOOKUP(F$1,main!$A$3:$I$56,7,FALSE),main!$K$19:$O$22,MATCH(VLOOKUP($A3,main!$A$3:$I$56,8,FALSE),main!$K$18:$O$18,0))))),1,0)</f>
        <v>1</v>
      </c>
      <c r="G3">
        <f>IF((AND(VLOOKUP(G$1,main!$A$3:$I$56,5,FALSE)-VLOOKUP($A3,main!$A$3:$I$56,6,FALSE)&gt;=(VLOOKUP(VLOOKUP(G$1,main!$A$3:$I$56,8,FALSE),main!$K$11:$M$14,2,FALSE)+VLOOKUP(VLOOKUP(G$1,main!$A$3:$I$56,7,FALSE),main!$K$19:$O$22,MATCH(VLOOKUP($A3,main!$A$3:$I$56,8,FALSE),main!$K$18:$O$18,0))))),1,0)</f>
        <v>1</v>
      </c>
      <c r="H3">
        <f>IF((AND(VLOOKUP(H$1,main!$A$3:$I$56,5,FALSE)-VLOOKUP($A3,main!$A$3:$I$56,6,FALSE)&gt;=(VLOOKUP(VLOOKUP(H$1,main!$A$3:$I$56,8,FALSE),main!$K$11:$M$14,2,FALSE)+VLOOKUP(VLOOKUP(H$1,main!$A$3:$I$56,7,FALSE),main!$K$19:$O$22,MATCH(VLOOKUP($A3,main!$A$3:$I$56,8,FALSE),main!$K$18:$O$18,0))))),1,0)</f>
        <v>1</v>
      </c>
      <c r="I3">
        <f>IF((AND(VLOOKUP(I$1,main!$A$3:$I$56,5,FALSE)-VLOOKUP($A3,main!$A$3:$I$56,6,FALSE)&gt;=(VLOOKUP(VLOOKUP(I$1,main!$A$3:$I$56,8,FALSE),main!$K$11:$M$14,2,FALSE)+VLOOKUP(VLOOKUP(I$1,main!$A$3:$I$56,7,FALSE),main!$K$19:$O$22,MATCH(VLOOKUP($A3,main!$A$3:$I$56,8,FALSE),main!$K$18:$O$18,0))))),1,0)</f>
        <v>1</v>
      </c>
      <c r="J3">
        <f>IF((AND(VLOOKUP(J$1,main!$A$3:$I$56,5,FALSE)-VLOOKUP($A3,main!$A$3:$I$56,6,FALSE)&gt;=(VLOOKUP(VLOOKUP(J$1,main!$A$3:$I$56,8,FALSE),main!$K$11:$M$14,2,FALSE)+VLOOKUP(VLOOKUP(J$1,main!$A$3:$I$56,7,FALSE),main!$K$19:$O$22,MATCH(VLOOKUP($A3,main!$A$3:$I$56,8,FALSE),main!$K$18:$O$18,0))))),1,0)</f>
        <v>1</v>
      </c>
      <c r="K3">
        <f>IF((AND(VLOOKUP(K$1,main!$A$3:$I$56,5,FALSE)-VLOOKUP($A3,main!$A$3:$I$56,6,FALSE)&gt;=(VLOOKUP(VLOOKUP(K$1,main!$A$3:$I$56,8,FALSE),main!$K$11:$M$14,2,FALSE)+VLOOKUP(VLOOKUP(K$1,main!$A$3:$I$56,7,FALSE),main!$K$19:$O$22,MATCH(VLOOKUP($A3,main!$A$3:$I$56,8,FALSE),main!$K$18:$O$18,0))))),1,0)</f>
        <v>0</v>
      </c>
      <c r="L3">
        <f>IF((AND(VLOOKUP(L$1,main!$A$3:$I$56,5,FALSE)-VLOOKUP($A3,main!$A$3:$I$56,6,FALSE)&gt;=(VLOOKUP(VLOOKUP(L$1,main!$A$3:$I$56,8,FALSE),main!$K$11:$M$14,2,FALSE)+VLOOKUP(VLOOKUP(L$1,main!$A$3:$I$56,7,FALSE),main!$K$19:$O$22,MATCH(VLOOKUP($A3,main!$A$3:$I$56,8,FALSE),main!$K$18:$O$18,0))))),1,0)</f>
        <v>0</v>
      </c>
      <c r="M3">
        <f>IF((AND(VLOOKUP(M$1,main!$A$3:$I$56,5,FALSE)-VLOOKUP($A3,main!$A$3:$I$56,6,FALSE)&gt;=(VLOOKUP(VLOOKUP(M$1,main!$A$3:$I$56,8,FALSE),main!$K$11:$M$14,2,FALSE)+VLOOKUP(VLOOKUP(M$1,main!$A$3:$I$56,7,FALSE),main!$K$19:$O$22,MATCH(VLOOKUP($A3,main!$A$3:$I$56,8,FALSE),main!$K$18:$O$18,0))))),1,0)</f>
        <v>1</v>
      </c>
      <c r="N3">
        <f>IF((AND(VLOOKUP(N$1,main!$A$3:$I$56,5,FALSE)-VLOOKUP($A3,main!$A$3:$I$56,6,FALSE)&gt;=(VLOOKUP(VLOOKUP(N$1,main!$A$3:$I$56,8,FALSE),main!$K$11:$M$14,2,FALSE)+VLOOKUP(VLOOKUP(N$1,main!$A$3:$I$56,7,FALSE),main!$K$19:$O$22,MATCH(VLOOKUP($A3,main!$A$3:$I$56,8,FALSE),main!$K$18:$O$18,0))))),1,0)</f>
        <v>1</v>
      </c>
      <c r="O3">
        <f>IF((AND(VLOOKUP(O$1,main!$A$3:$I$56,5,FALSE)-VLOOKUP($A3,main!$A$3:$I$56,6,FALSE)&gt;=(VLOOKUP(VLOOKUP(O$1,main!$A$3:$I$56,8,FALSE),main!$K$11:$M$14,2,FALSE)+VLOOKUP(VLOOKUP(O$1,main!$A$3:$I$56,7,FALSE),main!$K$19:$O$22,MATCH(VLOOKUP($A3,main!$A$3:$I$56,8,FALSE),main!$K$18:$O$18,0))))),1,0)</f>
        <v>1</v>
      </c>
      <c r="P3">
        <f>IF((AND(VLOOKUP(P$1,main!$A$3:$I$56,5,FALSE)-VLOOKUP($A3,main!$A$3:$I$56,6,FALSE)&gt;=(VLOOKUP(VLOOKUP(P$1,main!$A$3:$I$56,8,FALSE),main!$K$11:$M$14,2,FALSE)+VLOOKUP(VLOOKUP(P$1,main!$A$3:$I$56,7,FALSE),main!$K$19:$O$22,MATCH(VLOOKUP($A3,main!$A$3:$I$56,8,FALSE),main!$K$18:$O$18,0))))),1,0)</f>
        <v>0</v>
      </c>
      <c r="Q3">
        <f>IF((AND(VLOOKUP(Q$1,main!$A$3:$I$56,5,FALSE)-VLOOKUP($A3,main!$A$3:$I$56,6,FALSE)&gt;=(VLOOKUP(VLOOKUP(Q$1,main!$A$3:$I$56,8,FALSE),main!$K$11:$M$14,2,FALSE)+VLOOKUP(VLOOKUP(Q$1,main!$A$3:$I$56,7,FALSE),main!$K$19:$O$22,MATCH(VLOOKUP($A3,main!$A$3:$I$56,8,FALSE),main!$K$18:$O$18,0))))),1,0)</f>
        <v>0</v>
      </c>
      <c r="R3">
        <f>IF((AND(VLOOKUP(R$1,main!$A$3:$I$56,5,FALSE)-VLOOKUP($A3,main!$A$3:$I$56,6,FALSE)&gt;=(VLOOKUP(VLOOKUP(R$1,main!$A$3:$I$56,8,FALSE),main!$K$11:$M$14,2,FALSE)+VLOOKUP(VLOOKUP(R$1,main!$A$3:$I$56,7,FALSE),main!$K$19:$O$22,MATCH(VLOOKUP($A3,main!$A$3:$I$56,8,FALSE),main!$K$18:$O$18,0))))),1,0)</f>
        <v>1</v>
      </c>
      <c r="S3">
        <f>IF((AND(VLOOKUP(S$1,main!$A$3:$I$56,5,FALSE)-VLOOKUP($A3,main!$A$3:$I$56,6,FALSE)&gt;=(VLOOKUP(VLOOKUP(S$1,main!$A$3:$I$56,8,FALSE),main!$K$11:$M$14,2,FALSE)+VLOOKUP(VLOOKUP(S$1,main!$A$3:$I$56,7,FALSE),main!$K$19:$O$22,MATCH(VLOOKUP($A3,main!$A$3:$I$56,8,FALSE),main!$K$18:$O$18,0))))),1,0)</f>
        <v>1</v>
      </c>
      <c r="T3">
        <f>IF((AND(VLOOKUP(T$1,main!$A$3:$I$56,5,FALSE)-VLOOKUP($A3,main!$A$3:$I$56,6,FALSE)&gt;=(VLOOKUP(VLOOKUP(T$1,main!$A$3:$I$56,8,FALSE),main!$K$11:$M$14,2,FALSE)+VLOOKUP(VLOOKUP(T$1,main!$A$3:$I$56,7,FALSE),main!$K$19:$O$22,MATCH(VLOOKUP($A3,main!$A$3:$I$56,8,FALSE),main!$K$18:$O$18,0))))),1,0)</f>
        <v>1</v>
      </c>
      <c r="U3">
        <f>IF((AND(VLOOKUP(U$1,main!$A$3:$I$56,5,FALSE)-VLOOKUP($A3,main!$A$3:$I$56,6,FALSE)&gt;=(VLOOKUP(VLOOKUP(U$1,main!$A$3:$I$56,8,FALSE),main!$K$11:$M$14,2,FALSE)+VLOOKUP(VLOOKUP(U$1,main!$A$3:$I$56,7,FALSE),main!$K$19:$O$22,MATCH(VLOOKUP($A3,main!$A$3:$I$56,8,FALSE),main!$K$18:$O$18,0))))),1,0)</f>
        <v>0</v>
      </c>
      <c r="V3">
        <f>IF((AND(VLOOKUP(V$1,main!$A$3:$I$56,5,FALSE)-VLOOKUP($A3,main!$A$3:$I$56,6,FALSE)&gt;=(VLOOKUP(VLOOKUP(V$1,main!$A$3:$I$56,8,FALSE),main!$K$11:$M$14,2,FALSE)+VLOOKUP(VLOOKUP(V$1,main!$A$3:$I$56,7,FALSE),main!$K$19:$O$22,MATCH(VLOOKUP($A3,main!$A$3:$I$56,8,FALSE),main!$K$18:$O$18,0))))),1,0)</f>
        <v>0</v>
      </c>
      <c r="W3">
        <f>IF((AND(VLOOKUP(W$1,main!$A$3:$I$56,5,FALSE)-VLOOKUP($A3,main!$A$3:$I$56,6,FALSE)&gt;=(VLOOKUP(VLOOKUP(W$1,main!$A$3:$I$56,8,FALSE),main!$K$11:$M$14,2,FALSE)+VLOOKUP(VLOOKUP(W$1,main!$A$3:$I$56,7,FALSE),main!$K$19:$O$22,MATCH(VLOOKUP($A3,main!$A$3:$I$56,8,FALSE),main!$K$18:$O$18,0))))),1,0)</f>
        <v>1</v>
      </c>
      <c r="X3">
        <f>IF((AND(VLOOKUP(X$1,main!$A$3:$I$56,5,FALSE)-VLOOKUP($A3,main!$A$3:$I$56,6,FALSE)&gt;=(VLOOKUP(VLOOKUP(X$1,main!$A$3:$I$56,8,FALSE),main!$K$11:$M$14,2,FALSE)+VLOOKUP(VLOOKUP(X$1,main!$A$3:$I$56,7,FALSE),main!$K$19:$O$22,MATCH(VLOOKUP($A3,main!$A$3:$I$56,8,FALSE),main!$K$18:$O$18,0))))),1,0)</f>
        <v>1</v>
      </c>
      <c r="Y3">
        <f>IF((AND(VLOOKUP(Y$1,main!$A$3:$I$56,5,FALSE)-VLOOKUP($A3,main!$A$3:$I$56,6,FALSE)&gt;=(VLOOKUP(VLOOKUP(Y$1,main!$A$3:$I$56,8,FALSE),main!$K$11:$M$14,2,FALSE)+VLOOKUP(VLOOKUP(Y$1,main!$A$3:$I$56,7,FALSE),main!$K$19:$O$22,MATCH(VLOOKUP($A3,main!$A$3:$I$56,8,FALSE),main!$K$18:$O$18,0))))),1,0)</f>
        <v>1</v>
      </c>
      <c r="Z3">
        <f>IF((AND(VLOOKUP(Z$1,main!$A$3:$I$56,5,FALSE)-VLOOKUP($A3,main!$A$3:$I$56,6,FALSE)&gt;=(VLOOKUP(VLOOKUP(Z$1,main!$A$3:$I$56,8,FALSE),main!$K$11:$M$14,2,FALSE)+VLOOKUP(VLOOKUP(Z$1,main!$A$3:$I$56,7,FALSE),main!$K$19:$O$22,MATCH(VLOOKUP($A3,main!$A$3:$I$56,8,FALSE),main!$K$18:$O$18,0))))),1,0)</f>
        <v>1</v>
      </c>
      <c r="AA3">
        <f>IF((AND(VLOOKUP(AA$1,main!$A$3:$I$56,5,FALSE)-VLOOKUP($A3,main!$A$3:$I$56,6,FALSE)&gt;=(VLOOKUP(VLOOKUP(AA$1,main!$A$3:$I$56,8,FALSE),main!$K$11:$M$14,2,FALSE)+VLOOKUP(VLOOKUP(AA$1,main!$A$3:$I$56,7,FALSE),main!$K$19:$O$22,MATCH(VLOOKUP($A3,main!$A$3:$I$56,8,FALSE),main!$K$18:$O$18,0))))),1,0)</f>
        <v>1</v>
      </c>
      <c r="AB3">
        <f>IF((AND(VLOOKUP(AB$1,main!$A$3:$I$56,5,FALSE)-VLOOKUP($A3,main!$A$3:$I$56,6,FALSE)&gt;=(VLOOKUP(VLOOKUP(AB$1,main!$A$3:$I$56,8,FALSE),main!$K$11:$M$14,2,FALSE)+VLOOKUP(VLOOKUP(AB$1,main!$A$3:$I$56,7,FALSE),main!$K$19:$O$22,MATCH(VLOOKUP($A3,main!$A$3:$I$56,8,FALSE),main!$K$18:$O$18,0))))),1,0)</f>
        <v>1</v>
      </c>
      <c r="AC3">
        <f>IF((AND(VLOOKUP(AC$1,main!$A$3:$I$56,5,FALSE)-VLOOKUP($A3,main!$A$3:$I$56,6,FALSE)&gt;=(VLOOKUP(VLOOKUP(AC$1,main!$A$3:$I$56,8,FALSE),main!$K$11:$M$14,2,FALSE)+VLOOKUP(VLOOKUP(AC$1,main!$A$3:$I$56,7,FALSE),main!$K$19:$O$22,MATCH(VLOOKUP($A3,main!$A$3:$I$56,8,FALSE),main!$K$18:$O$18,0))))),1,0)</f>
        <v>0</v>
      </c>
      <c r="AD3">
        <f>IF((AND(VLOOKUP(AD$1,main!$A$3:$I$56,5,FALSE)-VLOOKUP($A3,main!$A$3:$I$56,6,FALSE)&gt;=(VLOOKUP(VLOOKUP(AD$1,main!$A$3:$I$56,8,FALSE),main!$K$11:$M$14,2,FALSE)+VLOOKUP(VLOOKUP(AD$1,main!$A$3:$I$56,7,FALSE),main!$K$19:$O$22,MATCH(VLOOKUP($A3,main!$A$3:$I$56,8,FALSE),main!$K$18:$O$18,0))))),1,0)</f>
        <v>0</v>
      </c>
      <c r="AE3">
        <f>IF((AND(VLOOKUP(AE$1,main!$A$3:$I$56,5,FALSE)-VLOOKUP($A3,main!$A$3:$I$56,6,FALSE)&gt;=(VLOOKUP(VLOOKUP(AE$1,main!$A$3:$I$56,8,FALSE),main!$K$11:$M$14,2,FALSE)+VLOOKUP(VLOOKUP(AE$1,main!$A$3:$I$56,7,FALSE),main!$K$19:$O$22,MATCH(VLOOKUP($A3,main!$A$3:$I$56,8,FALSE),main!$K$18:$O$18,0))))),1,0)</f>
        <v>1</v>
      </c>
      <c r="AF3">
        <f>IF((AND(VLOOKUP(AF$1,main!$A$3:$I$56,5,FALSE)-VLOOKUP($A3,main!$A$3:$I$56,6,FALSE)&gt;=(VLOOKUP(VLOOKUP(AF$1,main!$A$3:$I$56,8,FALSE),main!$K$11:$M$14,2,FALSE)+VLOOKUP(VLOOKUP(AF$1,main!$A$3:$I$56,7,FALSE),main!$K$19:$O$22,MATCH(VLOOKUP($A3,main!$A$3:$I$56,8,FALSE),main!$K$18:$O$18,0))))),1,0)</f>
        <v>1</v>
      </c>
      <c r="AG3">
        <f>IF((AND(VLOOKUP(AG$1,main!$A$3:$I$56,5,FALSE)-VLOOKUP($A3,main!$A$3:$I$56,6,FALSE)&gt;=(VLOOKUP(VLOOKUP(AG$1,main!$A$3:$I$56,8,FALSE),main!$K$11:$M$14,2,FALSE)+VLOOKUP(VLOOKUP(AG$1,main!$A$3:$I$56,7,FALSE),main!$K$19:$O$22,MATCH(VLOOKUP($A3,main!$A$3:$I$56,8,FALSE),main!$K$18:$O$18,0))))),1,0)</f>
        <v>0</v>
      </c>
      <c r="AH3">
        <f>IF((AND(VLOOKUP(AH$1,main!$A$3:$I$56,5,FALSE)-VLOOKUP($A3,main!$A$3:$I$56,6,FALSE)&gt;=(VLOOKUP(VLOOKUP(AH$1,main!$A$3:$I$56,8,FALSE),main!$K$11:$M$14,2,FALSE)+VLOOKUP(VLOOKUP(AH$1,main!$A$3:$I$56,7,FALSE),main!$K$19:$O$22,MATCH(VLOOKUP($A3,main!$A$3:$I$56,8,FALSE),main!$K$18:$O$18,0))))),1,0)</f>
        <v>1</v>
      </c>
      <c r="AI3">
        <f>IF((AND(VLOOKUP(AI$1,main!$A$3:$I$56,5,FALSE)-VLOOKUP($A3,main!$A$3:$I$56,6,FALSE)&gt;=(VLOOKUP(VLOOKUP(AI$1,main!$A$3:$I$56,8,FALSE),main!$K$11:$M$14,2,FALSE)+VLOOKUP(VLOOKUP(AI$1,main!$A$3:$I$56,7,FALSE),main!$K$19:$O$22,MATCH(VLOOKUP($A3,main!$A$3:$I$56,8,FALSE),main!$K$18:$O$18,0))))),1,0)</f>
        <v>1</v>
      </c>
      <c r="AJ3">
        <f>IF((AND(VLOOKUP(AJ$1,main!$A$3:$I$56,5,FALSE)-VLOOKUP($A3,main!$A$3:$I$56,6,FALSE)&gt;=(VLOOKUP(VLOOKUP(AJ$1,main!$A$3:$I$56,8,FALSE),main!$K$11:$M$14,2,FALSE)+VLOOKUP(VLOOKUP(AJ$1,main!$A$3:$I$56,7,FALSE),main!$K$19:$O$22,MATCH(VLOOKUP($A3,main!$A$3:$I$56,8,FALSE),main!$K$18:$O$18,0))))),1,0)</f>
        <v>1</v>
      </c>
      <c r="AK3">
        <f>IF((AND(VLOOKUP(AK$1,main!$A$3:$I$56,5,FALSE)-VLOOKUP($A3,main!$A$3:$I$56,6,FALSE)&gt;=(VLOOKUP(VLOOKUP(AK$1,main!$A$3:$I$56,8,FALSE),main!$K$11:$M$14,2,FALSE)+VLOOKUP(VLOOKUP(AK$1,main!$A$3:$I$56,7,FALSE),main!$K$19:$O$22,MATCH(VLOOKUP($A3,main!$A$3:$I$56,8,FALSE),main!$K$18:$O$18,0))))),1,0)</f>
        <v>1</v>
      </c>
      <c r="AL3">
        <f>IF((AND(VLOOKUP(AL$1,main!$A$3:$I$56,5,FALSE)-VLOOKUP($A3,main!$A$3:$I$56,6,FALSE)&gt;=(VLOOKUP(VLOOKUP(AL$1,main!$A$3:$I$56,8,FALSE),main!$K$11:$M$14,2,FALSE)+VLOOKUP(VLOOKUP(AL$1,main!$A$3:$I$56,7,FALSE),main!$K$19:$O$22,MATCH(VLOOKUP($A3,main!$A$3:$I$56,8,FALSE),main!$K$18:$O$18,0))))),1,0)</f>
        <v>0</v>
      </c>
      <c r="AM3">
        <f>IF((AND(VLOOKUP(AM$1,main!$A$3:$I$56,5,FALSE)-VLOOKUP($A3,main!$A$3:$I$56,6,FALSE)&gt;=(VLOOKUP(VLOOKUP(AM$1,main!$A$3:$I$56,8,FALSE),main!$K$11:$M$14,2,FALSE)+VLOOKUP(VLOOKUP(AM$1,main!$A$3:$I$56,7,FALSE),main!$K$19:$O$22,MATCH(VLOOKUP($A3,main!$A$3:$I$56,8,FALSE),main!$K$18:$O$18,0))))),1,0)</f>
        <v>0</v>
      </c>
      <c r="AN3">
        <f>IF((AND(VLOOKUP(AN$1,main!$A$3:$I$56,5,FALSE)-VLOOKUP($A3,main!$A$3:$I$56,6,FALSE)&gt;=(VLOOKUP(VLOOKUP(AN$1,main!$A$3:$I$56,8,FALSE),main!$K$11:$M$14,2,FALSE)+VLOOKUP(VLOOKUP(AN$1,main!$A$3:$I$56,7,FALSE),main!$K$19:$O$22,MATCH(VLOOKUP($A3,main!$A$3:$I$56,8,FALSE),main!$K$18:$O$18,0))))),1,0)</f>
        <v>1</v>
      </c>
      <c r="AO3">
        <f>IF((AND(VLOOKUP(AO$1,main!$A$3:$I$56,5,FALSE)-VLOOKUP($A3,main!$A$3:$I$56,6,FALSE)&gt;=(VLOOKUP(VLOOKUP(AO$1,main!$A$3:$I$56,8,FALSE),main!$K$11:$M$14,2,FALSE)+VLOOKUP(VLOOKUP(AO$1,main!$A$3:$I$56,7,FALSE),main!$K$19:$O$22,MATCH(VLOOKUP($A3,main!$A$3:$I$56,8,FALSE),main!$K$18:$O$18,0))))),1,0)</f>
        <v>1</v>
      </c>
      <c r="AP3">
        <f>IF((AND(VLOOKUP(AP$1,main!$A$3:$I$56,5,FALSE)-VLOOKUP($A3,main!$A$3:$I$56,6,FALSE)&gt;=(VLOOKUP(VLOOKUP(AP$1,main!$A$3:$I$56,8,FALSE),main!$K$11:$M$14,2,FALSE)+VLOOKUP(VLOOKUP(AP$1,main!$A$3:$I$56,7,FALSE),main!$K$19:$O$22,MATCH(VLOOKUP($A3,main!$A$3:$I$56,8,FALSE),main!$K$18:$O$18,0))))),1,0)</f>
        <v>0</v>
      </c>
      <c r="AQ3">
        <f>IF((AND(VLOOKUP(AQ$1,main!$A$3:$I$56,5,FALSE)-VLOOKUP($A3,main!$A$3:$I$56,6,FALSE)&gt;=(VLOOKUP(VLOOKUP(AQ$1,main!$A$3:$I$56,8,FALSE),main!$K$11:$M$14,2,FALSE)+VLOOKUP(VLOOKUP(AQ$1,main!$A$3:$I$56,7,FALSE),main!$K$19:$O$22,MATCH(VLOOKUP($A3,main!$A$3:$I$56,8,FALSE),main!$K$18:$O$18,0))))),1,0)</f>
        <v>0</v>
      </c>
      <c r="AR3">
        <f>IF((AND(VLOOKUP(AR$1,main!$A$3:$I$56,5,FALSE)-VLOOKUP($A3,main!$A$3:$I$56,6,FALSE)&gt;=(VLOOKUP(VLOOKUP(AR$1,main!$A$3:$I$56,8,FALSE),main!$K$11:$M$14,2,FALSE)+VLOOKUP(VLOOKUP(AR$1,main!$A$3:$I$56,7,FALSE),main!$K$19:$O$22,MATCH(VLOOKUP($A3,main!$A$3:$I$56,8,FALSE),main!$K$18:$O$18,0))))),1,0)</f>
        <v>0</v>
      </c>
      <c r="AS3">
        <f>IF((AND(VLOOKUP(AS$1,main!$A$3:$I$56,5,FALSE)-VLOOKUP($A3,main!$A$3:$I$56,6,FALSE)&gt;=(VLOOKUP(VLOOKUP(AS$1,main!$A$3:$I$56,8,FALSE),main!$K$11:$M$14,2,FALSE)+VLOOKUP(VLOOKUP(AS$1,main!$A$3:$I$56,7,FALSE),main!$K$19:$O$22,MATCH(VLOOKUP($A3,main!$A$3:$I$56,8,FALSE),main!$K$18:$O$18,0))))),1,0)</f>
        <v>1</v>
      </c>
      <c r="AT3">
        <f>IF((AND(VLOOKUP(AT$1,main!$A$3:$I$56,5,FALSE)-VLOOKUP($A3,main!$A$3:$I$56,6,FALSE)&gt;=(VLOOKUP(VLOOKUP(AT$1,main!$A$3:$I$56,8,FALSE),main!$K$11:$M$14,2,FALSE)+VLOOKUP(VLOOKUP(AT$1,main!$A$3:$I$56,7,FALSE),main!$K$19:$O$22,MATCH(VLOOKUP($A3,main!$A$3:$I$56,8,FALSE),main!$K$18:$O$18,0))))),1,0)</f>
        <v>1</v>
      </c>
      <c r="AU3">
        <f>IF((AND(VLOOKUP(AU$1,main!$A$3:$I$56,5,FALSE)-VLOOKUP($A3,main!$A$3:$I$56,6,FALSE)&gt;=(VLOOKUP(VLOOKUP(AU$1,main!$A$3:$I$56,8,FALSE),main!$K$11:$M$14,2,FALSE)+VLOOKUP(VLOOKUP(AU$1,main!$A$3:$I$56,7,FALSE),main!$K$19:$O$22,MATCH(VLOOKUP($A3,main!$A$3:$I$56,8,FALSE),main!$K$18:$O$18,0))))),1,0)</f>
        <v>0</v>
      </c>
      <c r="AV3">
        <f>IF((AND(VLOOKUP(AV$1,main!$A$3:$I$56,5,FALSE)-VLOOKUP($A3,main!$A$3:$I$56,6,FALSE)&gt;=(VLOOKUP(VLOOKUP(AV$1,main!$A$3:$I$56,8,FALSE),main!$K$11:$M$14,2,FALSE)+VLOOKUP(VLOOKUP(AV$1,main!$A$3:$I$56,7,FALSE),main!$K$19:$O$22,MATCH(VLOOKUP($A3,main!$A$3:$I$56,8,FALSE),main!$K$18:$O$18,0))))),1,0)</f>
        <v>1</v>
      </c>
      <c r="AW3">
        <f>IF((AND(VLOOKUP(AW$1,main!$A$3:$I$56,5,FALSE)-VLOOKUP($A3,main!$A$3:$I$56,6,FALSE)&gt;=(VLOOKUP(VLOOKUP(AW$1,main!$A$3:$I$56,8,FALSE),main!$K$11:$M$14,2,FALSE)+VLOOKUP(VLOOKUP(AW$1,main!$A$3:$I$56,7,FALSE),main!$K$19:$O$22,MATCH(VLOOKUP($A3,main!$A$3:$I$56,8,FALSE),main!$K$18:$O$18,0))))),1,0)</f>
        <v>1</v>
      </c>
      <c r="AX3">
        <f>IF((AND(VLOOKUP(AX$1,main!$A$3:$I$56,5,FALSE)-VLOOKUP($A3,main!$A$3:$I$56,6,FALSE)&gt;=(VLOOKUP(VLOOKUP(AX$1,main!$A$3:$I$56,8,FALSE),main!$K$11:$M$14,2,FALSE)+VLOOKUP(VLOOKUP(AX$1,main!$A$3:$I$56,7,FALSE),main!$K$19:$O$22,MATCH(VLOOKUP($A3,main!$A$3:$I$56,8,FALSE),main!$K$18:$O$18,0))))),1,0)</f>
        <v>1</v>
      </c>
      <c r="AY3">
        <f>IF((AND(VLOOKUP(AY$1,main!$A$3:$I$56,5,FALSE)-VLOOKUP($A3,main!$A$3:$I$56,6,FALSE)&gt;=(VLOOKUP(VLOOKUP(AY$1,main!$A$3:$I$56,8,FALSE),main!$K$11:$M$14,2,FALSE)+VLOOKUP(VLOOKUP(AY$1,main!$A$3:$I$56,7,FALSE),main!$K$19:$O$22,MATCH(VLOOKUP($A3,main!$A$3:$I$56,8,FALSE),main!$K$18:$O$18,0))))),1,0)</f>
        <v>1</v>
      </c>
      <c r="AZ3">
        <f>IF((AND(VLOOKUP(AZ$1,main!$A$3:$I$56,5,FALSE)-VLOOKUP($A3,main!$A$3:$I$56,6,FALSE)&gt;=(VLOOKUP(VLOOKUP(AZ$1,main!$A$3:$I$56,8,FALSE),main!$K$11:$M$14,2,FALSE)+VLOOKUP(VLOOKUP(AZ$1,main!$A$3:$I$56,7,FALSE),main!$K$19:$O$22,MATCH(VLOOKUP($A3,main!$A$3:$I$56,8,FALSE),main!$K$18:$O$18,0))))),1,0)</f>
        <v>0</v>
      </c>
      <c r="BA3">
        <f>IF((AND(VLOOKUP(BA$1,main!$A$3:$I$56,5,FALSE)-VLOOKUP($A3,main!$A$3:$I$56,6,FALSE)&gt;=(VLOOKUP(VLOOKUP(BA$1,main!$A$3:$I$56,8,FALSE),main!$K$11:$M$14,2,FALSE)+VLOOKUP(VLOOKUP(BA$1,main!$A$3:$I$56,7,FALSE),main!$K$19:$O$22,MATCH(VLOOKUP($A3,main!$A$3:$I$56,8,FALSE),main!$K$18:$O$18,0))))),1,0)</f>
        <v>1</v>
      </c>
      <c r="BB3">
        <f>IF((AND(VLOOKUP(BB$1,main!$A$3:$I$56,5,FALSE)-VLOOKUP($A3,main!$A$3:$I$56,6,FALSE)&gt;=(VLOOKUP(VLOOKUP(BB$1,main!$A$3:$I$56,8,FALSE),main!$K$11:$M$14,2,FALSE)+VLOOKUP(VLOOKUP(BB$1,main!$A$3:$I$56,7,FALSE),main!$K$19:$O$22,MATCH(VLOOKUP($A3,main!$A$3:$I$56,8,FALSE),main!$K$18:$O$18,0))))),1,0)</f>
        <v>1</v>
      </c>
      <c r="BC3">
        <f>IF((AND(VLOOKUP(BC$1,main!$A$3:$I$56,5,FALSE)-VLOOKUP($A3,main!$A$3:$I$56,6,FALSE)&gt;=(VLOOKUP(VLOOKUP(BC$1,main!$A$3:$I$56,8,FALSE),main!$K$11:$M$14,2,FALSE)+VLOOKUP(VLOOKUP(BC$1,main!$A$3:$I$56,7,FALSE),main!$K$19:$O$22,MATCH(VLOOKUP($A3,main!$A$3:$I$56,8,FALSE),main!$K$18:$O$18,0))))),1,0)</f>
        <v>1</v>
      </c>
      <c r="BD3">
        <f>IF((AND(VLOOKUP(BD$1,main!$A$3:$I$56,5,FALSE)-VLOOKUP($A3,main!$A$3:$I$56,6,FALSE)&gt;=(VLOOKUP(VLOOKUP(BD$1,main!$A$3:$I$56,8,FALSE),main!$K$11:$M$14,2,FALSE)+VLOOKUP(VLOOKUP(BD$1,main!$A$3:$I$56,7,FALSE),main!$K$19:$O$22,MATCH(VLOOKUP($A3,main!$A$3:$I$56,8,FALSE),main!$K$18:$O$18,0))))),1,0)</f>
        <v>1</v>
      </c>
    </row>
    <row r="4" spans="1:56" x14ac:dyDescent="0.25">
      <c r="A4">
        <f t="shared" ref="A4:A56" si="0">A3+1</f>
        <v>2</v>
      </c>
      <c r="B4">
        <v>1</v>
      </c>
      <c r="C4">
        <f>IF((AND(VLOOKUP(C$1,main!$A$3:$I$56,5,FALSE)-VLOOKUP($A4,main!$A$3:$I$56,6,FALSE)&gt;=(VLOOKUP(VLOOKUP(C$1,main!$A$3:$I$56,8,FALSE),main!$K$11:$M$14,2,FALSE)+VLOOKUP(VLOOKUP(C$1,main!$A$3:$I$56,7,FALSE),main!$K$19:$O$22,MATCH(VLOOKUP($A4,main!$A$3:$I$56,8,FALSE),main!$K$18:$O$18,0))))),1,0)</f>
        <v>0</v>
      </c>
      <c r="D4">
        <f>IF((AND(VLOOKUP(D$1,main!$A$3:$I$56,5,FALSE)-VLOOKUP($A4,main!$A$3:$I$56,6,FALSE)&gt;=(VLOOKUP(VLOOKUP(D$1,main!$A$3:$I$56,8,FALSE),main!$K$11:$M$14,2,FALSE)+VLOOKUP(VLOOKUP(D$1,main!$A$3:$I$56,7,FALSE),main!$K$19:$O$22,MATCH(VLOOKUP($A4,main!$A$3:$I$56,8,FALSE),main!$K$18:$O$18,0))))),1,0)</f>
        <v>0</v>
      </c>
      <c r="E4">
        <f>IF((AND(VLOOKUP(E$1,main!$A$3:$I$56,5,FALSE)-VLOOKUP($A4,main!$A$3:$I$56,6,FALSE)&gt;=(VLOOKUP(VLOOKUP(E$1,main!$A$3:$I$56,8,FALSE),main!$K$11:$M$14,2,FALSE)+VLOOKUP(VLOOKUP(E$1,main!$A$3:$I$56,7,FALSE),main!$K$19:$O$22,MATCH(VLOOKUP($A4,main!$A$3:$I$56,8,FALSE),main!$K$18:$O$18,0))))),1,0)</f>
        <v>0</v>
      </c>
      <c r="F4">
        <f>IF((AND(VLOOKUP(F$1,main!$A$3:$I$56,5,FALSE)-VLOOKUP($A4,main!$A$3:$I$56,6,FALSE)&gt;=(VLOOKUP(VLOOKUP(F$1,main!$A$3:$I$56,8,FALSE),main!$K$11:$M$14,2,FALSE)+VLOOKUP(VLOOKUP(F$1,main!$A$3:$I$56,7,FALSE),main!$K$19:$O$22,MATCH(VLOOKUP($A4,main!$A$3:$I$56,8,FALSE),main!$K$18:$O$18,0))))),1,0)</f>
        <v>1</v>
      </c>
      <c r="G4">
        <f>IF((AND(VLOOKUP(G$1,main!$A$3:$I$56,5,FALSE)-VLOOKUP($A4,main!$A$3:$I$56,6,FALSE)&gt;=(VLOOKUP(VLOOKUP(G$1,main!$A$3:$I$56,8,FALSE),main!$K$11:$M$14,2,FALSE)+VLOOKUP(VLOOKUP(G$1,main!$A$3:$I$56,7,FALSE),main!$K$19:$O$22,MATCH(VLOOKUP($A4,main!$A$3:$I$56,8,FALSE),main!$K$18:$O$18,0))))),1,0)</f>
        <v>1</v>
      </c>
      <c r="H4">
        <f>IF((AND(VLOOKUP(H$1,main!$A$3:$I$56,5,FALSE)-VLOOKUP($A4,main!$A$3:$I$56,6,FALSE)&gt;=(VLOOKUP(VLOOKUP(H$1,main!$A$3:$I$56,8,FALSE),main!$K$11:$M$14,2,FALSE)+VLOOKUP(VLOOKUP(H$1,main!$A$3:$I$56,7,FALSE),main!$K$19:$O$22,MATCH(VLOOKUP($A4,main!$A$3:$I$56,8,FALSE),main!$K$18:$O$18,0))))),1,0)</f>
        <v>1</v>
      </c>
      <c r="I4">
        <f>IF((AND(VLOOKUP(I$1,main!$A$3:$I$56,5,FALSE)-VLOOKUP($A4,main!$A$3:$I$56,6,FALSE)&gt;=(VLOOKUP(VLOOKUP(I$1,main!$A$3:$I$56,8,FALSE),main!$K$11:$M$14,2,FALSE)+VLOOKUP(VLOOKUP(I$1,main!$A$3:$I$56,7,FALSE),main!$K$19:$O$22,MATCH(VLOOKUP($A4,main!$A$3:$I$56,8,FALSE),main!$K$18:$O$18,0))))),1,0)</f>
        <v>1</v>
      </c>
      <c r="J4">
        <f>IF((AND(VLOOKUP(J$1,main!$A$3:$I$56,5,FALSE)-VLOOKUP($A4,main!$A$3:$I$56,6,FALSE)&gt;=(VLOOKUP(VLOOKUP(J$1,main!$A$3:$I$56,8,FALSE),main!$K$11:$M$14,2,FALSE)+VLOOKUP(VLOOKUP(J$1,main!$A$3:$I$56,7,FALSE),main!$K$19:$O$22,MATCH(VLOOKUP($A4,main!$A$3:$I$56,8,FALSE),main!$K$18:$O$18,0))))),1,0)</f>
        <v>1</v>
      </c>
      <c r="K4">
        <f>IF((AND(VLOOKUP(K$1,main!$A$3:$I$56,5,FALSE)-VLOOKUP($A4,main!$A$3:$I$56,6,FALSE)&gt;=(VLOOKUP(VLOOKUP(K$1,main!$A$3:$I$56,8,FALSE),main!$K$11:$M$14,2,FALSE)+VLOOKUP(VLOOKUP(K$1,main!$A$3:$I$56,7,FALSE),main!$K$19:$O$22,MATCH(VLOOKUP($A4,main!$A$3:$I$56,8,FALSE),main!$K$18:$O$18,0))))),1,0)</f>
        <v>0</v>
      </c>
      <c r="L4">
        <f>IF((AND(VLOOKUP(L$1,main!$A$3:$I$56,5,FALSE)-VLOOKUP($A4,main!$A$3:$I$56,6,FALSE)&gt;=(VLOOKUP(VLOOKUP(L$1,main!$A$3:$I$56,8,FALSE),main!$K$11:$M$14,2,FALSE)+VLOOKUP(VLOOKUP(L$1,main!$A$3:$I$56,7,FALSE),main!$K$19:$O$22,MATCH(VLOOKUP($A4,main!$A$3:$I$56,8,FALSE),main!$K$18:$O$18,0))))),1,0)</f>
        <v>0</v>
      </c>
      <c r="M4">
        <f>IF((AND(VLOOKUP(M$1,main!$A$3:$I$56,5,FALSE)-VLOOKUP($A4,main!$A$3:$I$56,6,FALSE)&gt;=(VLOOKUP(VLOOKUP(M$1,main!$A$3:$I$56,8,FALSE),main!$K$11:$M$14,2,FALSE)+VLOOKUP(VLOOKUP(M$1,main!$A$3:$I$56,7,FALSE),main!$K$19:$O$22,MATCH(VLOOKUP($A4,main!$A$3:$I$56,8,FALSE),main!$K$18:$O$18,0))))),1,0)</f>
        <v>0</v>
      </c>
      <c r="N4">
        <f>IF((AND(VLOOKUP(N$1,main!$A$3:$I$56,5,FALSE)-VLOOKUP($A4,main!$A$3:$I$56,6,FALSE)&gt;=(VLOOKUP(VLOOKUP(N$1,main!$A$3:$I$56,8,FALSE),main!$K$11:$M$14,2,FALSE)+VLOOKUP(VLOOKUP(N$1,main!$A$3:$I$56,7,FALSE),main!$K$19:$O$22,MATCH(VLOOKUP($A4,main!$A$3:$I$56,8,FALSE),main!$K$18:$O$18,0))))),1,0)</f>
        <v>1</v>
      </c>
      <c r="O4">
        <f>IF((AND(VLOOKUP(O$1,main!$A$3:$I$56,5,FALSE)-VLOOKUP($A4,main!$A$3:$I$56,6,FALSE)&gt;=(VLOOKUP(VLOOKUP(O$1,main!$A$3:$I$56,8,FALSE),main!$K$11:$M$14,2,FALSE)+VLOOKUP(VLOOKUP(O$1,main!$A$3:$I$56,7,FALSE),main!$K$19:$O$22,MATCH(VLOOKUP($A4,main!$A$3:$I$56,8,FALSE),main!$K$18:$O$18,0))))),1,0)</f>
        <v>1</v>
      </c>
      <c r="P4">
        <f>IF((AND(VLOOKUP(P$1,main!$A$3:$I$56,5,FALSE)-VLOOKUP($A4,main!$A$3:$I$56,6,FALSE)&gt;=(VLOOKUP(VLOOKUP(P$1,main!$A$3:$I$56,8,FALSE),main!$K$11:$M$14,2,FALSE)+VLOOKUP(VLOOKUP(P$1,main!$A$3:$I$56,7,FALSE),main!$K$19:$O$22,MATCH(VLOOKUP($A4,main!$A$3:$I$56,8,FALSE),main!$K$18:$O$18,0))))),1,0)</f>
        <v>0</v>
      </c>
      <c r="Q4">
        <f>IF((AND(VLOOKUP(Q$1,main!$A$3:$I$56,5,FALSE)-VLOOKUP($A4,main!$A$3:$I$56,6,FALSE)&gt;=(VLOOKUP(VLOOKUP(Q$1,main!$A$3:$I$56,8,FALSE),main!$K$11:$M$14,2,FALSE)+VLOOKUP(VLOOKUP(Q$1,main!$A$3:$I$56,7,FALSE),main!$K$19:$O$22,MATCH(VLOOKUP($A4,main!$A$3:$I$56,8,FALSE),main!$K$18:$O$18,0))))),1,0)</f>
        <v>0</v>
      </c>
      <c r="R4">
        <f>IF((AND(VLOOKUP(R$1,main!$A$3:$I$56,5,FALSE)-VLOOKUP($A4,main!$A$3:$I$56,6,FALSE)&gt;=(VLOOKUP(VLOOKUP(R$1,main!$A$3:$I$56,8,FALSE),main!$K$11:$M$14,2,FALSE)+VLOOKUP(VLOOKUP(R$1,main!$A$3:$I$56,7,FALSE),main!$K$19:$O$22,MATCH(VLOOKUP($A4,main!$A$3:$I$56,8,FALSE),main!$K$18:$O$18,0))))),1,0)</f>
        <v>0</v>
      </c>
      <c r="S4">
        <f>IF((AND(VLOOKUP(S$1,main!$A$3:$I$56,5,FALSE)-VLOOKUP($A4,main!$A$3:$I$56,6,FALSE)&gt;=(VLOOKUP(VLOOKUP(S$1,main!$A$3:$I$56,8,FALSE),main!$K$11:$M$14,2,FALSE)+VLOOKUP(VLOOKUP(S$1,main!$A$3:$I$56,7,FALSE),main!$K$19:$O$22,MATCH(VLOOKUP($A4,main!$A$3:$I$56,8,FALSE),main!$K$18:$O$18,0))))),1,0)</f>
        <v>1</v>
      </c>
      <c r="T4">
        <f>IF((AND(VLOOKUP(T$1,main!$A$3:$I$56,5,FALSE)-VLOOKUP($A4,main!$A$3:$I$56,6,FALSE)&gt;=(VLOOKUP(VLOOKUP(T$1,main!$A$3:$I$56,8,FALSE),main!$K$11:$M$14,2,FALSE)+VLOOKUP(VLOOKUP(T$1,main!$A$3:$I$56,7,FALSE),main!$K$19:$O$22,MATCH(VLOOKUP($A4,main!$A$3:$I$56,8,FALSE),main!$K$18:$O$18,0))))),1,0)</f>
        <v>1</v>
      </c>
      <c r="U4">
        <f>IF((AND(VLOOKUP(U$1,main!$A$3:$I$56,5,FALSE)-VLOOKUP($A4,main!$A$3:$I$56,6,FALSE)&gt;=(VLOOKUP(VLOOKUP(U$1,main!$A$3:$I$56,8,FALSE),main!$K$11:$M$14,2,FALSE)+VLOOKUP(VLOOKUP(U$1,main!$A$3:$I$56,7,FALSE),main!$K$19:$O$22,MATCH(VLOOKUP($A4,main!$A$3:$I$56,8,FALSE),main!$K$18:$O$18,0))))),1,0)</f>
        <v>0</v>
      </c>
      <c r="V4">
        <f>IF((AND(VLOOKUP(V$1,main!$A$3:$I$56,5,FALSE)-VLOOKUP($A4,main!$A$3:$I$56,6,FALSE)&gt;=(VLOOKUP(VLOOKUP(V$1,main!$A$3:$I$56,8,FALSE),main!$K$11:$M$14,2,FALSE)+VLOOKUP(VLOOKUP(V$1,main!$A$3:$I$56,7,FALSE),main!$K$19:$O$22,MATCH(VLOOKUP($A4,main!$A$3:$I$56,8,FALSE),main!$K$18:$O$18,0))))),1,0)</f>
        <v>0</v>
      </c>
      <c r="W4">
        <f>IF((AND(VLOOKUP(W$1,main!$A$3:$I$56,5,FALSE)-VLOOKUP($A4,main!$A$3:$I$56,6,FALSE)&gt;=(VLOOKUP(VLOOKUP(W$1,main!$A$3:$I$56,8,FALSE),main!$K$11:$M$14,2,FALSE)+VLOOKUP(VLOOKUP(W$1,main!$A$3:$I$56,7,FALSE),main!$K$19:$O$22,MATCH(VLOOKUP($A4,main!$A$3:$I$56,8,FALSE),main!$K$18:$O$18,0))))),1,0)</f>
        <v>0</v>
      </c>
      <c r="X4">
        <f>IF((AND(VLOOKUP(X$1,main!$A$3:$I$56,5,FALSE)-VLOOKUP($A4,main!$A$3:$I$56,6,FALSE)&gt;=(VLOOKUP(VLOOKUP(X$1,main!$A$3:$I$56,8,FALSE),main!$K$11:$M$14,2,FALSE)+VLOOKUP(VLOOKUP(X$1,main!$A$3:$I$56,7,FALSE),main!$K$19:$O$22,MATCH(VLOOKUP($A4,main!$A$3:$I$56,8,FALSE),main!$K$18:$O$18,0))))),1,0)</f>
        <v>0</v>
      </c>
      <c r="Y4">
        <f>IF((AND(VLOOKUP(Y$1,main!$A$3:$I$56,5,FALSE)-VLOOKUP($A4,main!$A$3:$I$56,6,FALSE)&gt;=(VLOOKUP(VLOOKUP(Y$1,main!$A$3:$I$56,8,FALSE),main!$K$11:$M$14,2,FALSE)+VLOOKUP(VLOOKUP(Y$1,main!$A$3:$I$56,7,FALSE),main!$K$19:$O$22,MATCH(VLOOKUP($A4,main!$A$3:$I$56,8,FALSE),main!$K$18:$O$18,0))))),1,0)</f>
        <v>1</v>
      </c>
      <c r="Z4">
        <f>IF((AND(VLOOKUP(Z$1,main!$A$3:$I$56,5,FALSE)-VLOOKUP($A4,main!$A$3:$I$56,6,FALSE)&gt;=(VLOOKUP(VLOOKUP(Z$1,main!$A$3:$I$56,8,FALSE),main!$K$11:$M$14,2,FALSE)+VLOOKUP(VLOOKUP(Z$1,main!$A$3:$I$56,7,FALSE),main!$K$19:$O$22,MATCH(VLOOKUP($A4,main!$A$3:$I$56,8,FALSE),main!$K$18:$O$18,0))))),1,0)</f>
        <v>1</v>
      </c>
      <c r="AA4">
        <f>IF((AND(VLOOKUP(AA$1,main!$A$3:$I$56,5,FALSE)-VLOOKUP($A4,main!$A$3:$I$56,6,FALSE)&gt;=(VLOOKUP(VLOOKUP(AA$1,main!$A$3:$I$56,8,FALSE),main!$K$11:$M$14,2,FALSE)+VLOOKUP(VLOOKUP(AA$1,main!$A$3:$I$56,7,FALSE),main!$K$19:$O$22,MATCH(VLOOKUP($A4,main!$A$3:$I$56,8,FALSE),main!$K$18:$O$18,0))))),1,0)</f>
        <v>1</v>
      </c>
      <c r="AB4">
        <f>IF((AND(VLOOKUP(AB$1,main!$A$3:$I$56,5,FALSE)-VLOOKUP($A4,main!$A$3:$I$56,6,FALSE)&gt;=(VLOOKUP(VLOOKUP(AB$1,main!$A$3:$I$56,8,FALSE),main!$K$11:$M$14,2,FALSE)+VLOOKUP(VLOOKUP(AB$1,main!$A$3:$I$56,7,FALSE),main!$K$19:$O$22,MATCH(VLOOKUP($A4,main!$A$3:$I$56,8,FALSE),main!$K$18:$O$18,0))))),1,0)</f>
        <v>1</v>
      </c>
      <c r="AC4">
        <f>IF((AND(VLOOKUP(AC$1,main!$A$3:$I$56,5,FALSE)-VLOOKUP($A4,main!$A$3:$I$56,6,FALSE)&gt;=(VLOOKUP(VLOOKUP(AC$1,main!$A$3:$I$56,8,FALSE),main!$K$11:$M$14,2,FALSE)+VLOOKUP(VLOOKUP(AC$1,main!$A$3:$I$56,7,FALSE),main!$K$19:$O$22,MATCH(VLOOKUP($A4,main!$A$3:$I$56,8,FALSE),main!$K$18:$O$18,0))))),1,0)</f>
        <v>0</v>
      </c>
      <c r="AD4">
        <f>IF((AND(VLOOKUP(AD$1,main!$A$3:$I$56,5,FALSE)-VLOOKUP($A4,main!$A$3:$I$56,6,FALSE)&gt;=(VLOOKUP(VLOOKUP(AD$1,main!$A$3:$I$56,8,FALSE),main!$K$11:$M$14,2,FALSE)+VLOOKUP(VLOOKUP(AD$1,main!$A$3:$I$56,7,FALSE),main!$K$19:$O$22,MATCH(VLOOKUP($A4,main!$A$3:$I$56,8,FALSE),main!$K$18:$O$18,0))))),1,0)</f>
        <v>0</v>
      </c>
      <c r="AE4">
        <f>IF((AND(VLOOKUP(AE$1,main!$A$3:$I$56,5,FALSE)-VLOOKUP($A4,main!$A$3:$I$56,6,FALSE)&gt;=(VLOOKUP(VLOOKUP(AE$1,main!$A$3:$I$56,8,FALSE),main!$K$11:$M$14,2,FALSE)+VLOOKUP(VLOOKUP(AE$1,main!$A$3:$I$56,7,FALSE),main!$K$19:$O$22,MATCH(VLOOKUP($A4,main!$A$3:$I$56,8,FALSE),main!$K$18:$O$18,0))))),1,0)</f>
        <v>0</v>
      </c>
      <c r="AF4">
        <f>IF((AND(VLOOKUP(AF$1,main!$A$3:$I$56,5,FALSE)-VLOOKUP($A4,main!$A$3:$I$56,6,FALSE)&gt;=(VLOOKUP(VLOOKUP(AF$1,main!$A$3:$I$56,8,FALSE),main!$K$11:$M$14,2,FALSE)+VLOOKUP(VLOOKUP(AF$1,main!$A$3:$I$56,7,FALSE),main!$K$19:$O$22,MATCH(VLOOKUP($A4,main!$A$3:$I$56,8,FALSE),main!$K$18:$O$18,0))))),1,0)</f>
        <v>1</v>
      </c>
      <c r="AG4">
        <f>IF((AND(VLOOKUP(AG$1,main!$A$3:$I$56,5,FALSE)-VLOOKUP($A4,main!$A$3:$I$56,6,FALSE)&gt;=(VLOOKUP(VLOOKUP(AG$1,main!$A$3:$I$56,8,FALSE),main!$K$11:$M$14,2,FALSE)+VLOOKUP(VLOOKUP(AG$1,main!$A$3:$I$56,7,FALSE),main!$K$19:$O$22,MATCH(VLOOKUP($A4,main!$A$3:$I$56,8,FALSE),main!$K$18:$O$18,0))))),1,0)</f>
        <v>0</v>
      </c>
      <c r="AH4">
        <f>IF((AND(VLOOKUP(AH$1,main!$A$3:$I$56,5,FALSE)-VLOOKUP($A4,main!$A$3:$I$56,6,FALSE)&gt;=(VLOOKUP(VLOOKUP(AH$1,main!$A$3:$I$56,8,FALSE),main!$K$11:$M$14,2,FALSE)+VLOOKUP(VLOOKUP(AH$1,main!$A$3:$I$56,7,FALSE),main!$K$19:$O$22,MATCH(VLOOKUP($A4,main!$A$3:$I$56,8,FALSE),main!$K$18:$O$18,0))))),1,0)</f>
        <v>0</v>
      </c>
      <c r="AI4">
        <f>IF((AND(VLOOKUP(AI$1,main!$A$3:$I$56,5,FALSE)-VLOOKUP($A4,main!$A$3:$I$56,6,FALSE)&gt;=(VLOOKUP(VLOOKUP(AI$1,main!$A$3:$I$56,8,FALSE),main!$K$11:$M$14,2,FALSE)+VLOOKUP(VLOOKUP(AI$1,main!$A$3:$I$56,7,FALSE),main!$K$19:$O$22,MATCH(VLOOKUP($A4,main!$A$3:$I$56,8,FALSE),main!$K$18:$O$18,0))))),1,0)</f>
        <v>0</v>
      </c>
      <c r="AJ4">
        <f>IF((AND(VLOOKUP(AJ$1,main!$A$3:$I$56,5,FALSE)-VLOOKUP($A4,main!$A$3:$I$56,6,FALSE)&gt;=(VLOOKUP(VLOOKUP(AJ$1,main!$A$3:$I$56,8,FALSE),main!$K$11:$M$14,2,FALSE)+VLOOKUP(VLOOKUP(AJ$1,main!$A$3:$I$56,7,FALSE),main!$K$19:$O$22,MATCH(VLOOKUP($A4,main!$A$3:$I$56,8,FALSE),main!$K$18:$O$18,0))))),1,0)</f>
        <v>1</v>
      </c>
      <c r="AK4">
        <f>IF((AND(VLOOKUP(AK$1,main!$A$3:$I$56,5,FALSE)-VLOOKUP($A4,main!$A$3:$I$56,6,FALSE)&gt;=(VLOOKUP(VLOOKUP(AK$1,main!$A$3:$I$56,8,FALSE),main!$K$11:$M$14,2,FALSE)+VLOOKUP(VLOOKUP(AK$1,main!$A$3:$I$56,7,FALSE),main!$K$19:$O$22,MATCH(VLOOKUP($A4,main!$A$3:$I$56,8,FALSE),main!$K$18:$O$18,0))))),1,0)</f>
        <v>1</v>
      </c>
      <c r="AL4">
        <f>IF((AND(VLOOKUP(AL$1,main!$A$3:$I$56,5,FALSE)-VLOOKUP($A4,main!$A$3:$I$56,6,FALSE)&gt;=(VLOOKUP(VLOOKUP(AL$1,main!$A$3:$I$56,8,FALSE),main!$K$11:$M$14,2,FALSE)+VLOOKUP(VLOOKUP(AL$1,main!$A$3:$I$56,7,FALSE),main!$K$19:$O$22,MATCH(VLOOKUP($A4,main!$A$3:$I$56,8,FALSE),main!$K$18:$O$18,0))))),1,0)</f>
        <v>0</v>
      </c>
      <c r="AM4">
        <f>IF((AND(VLOOKUP(AM$1,main!$A$3:$I$56,5,FALSE)-VLOOKUP($A4,main!$A$3:$I$56,6,FALSE)&gt;=(VLOOKUP(VLOOKUP(AM$1,main!$A$3:$I$56,8,FALSE),main!$K$11:$M$14,2,FALSE)+VLOOKUP(VLOOKUP(AM$1,main!$A$3:$I$56,7,FALSE),main!$K$19:$O$22,MATCH(VLOOKUP($A4,main!$A$3:$I$56,8,FALSE),main!$K$18:$O$18,0))))),1,0)</f>
        <v>0</v>
      </c>
      <c r="AN4">
        <f>IF((AND(VLOOKUP(AN$1,main!$A$3:$I$56,5,FALSE)-VLOOKUP($A4,main!$A$3:$I$56,6,FALSE)&gt;=(VLOOKUP(VLOOKUP(AN$1,main!$A$3:$I$56,8,FALSE),main!$K$11:$M$14,2,FALSE)+VLOOKUP(VLOOKUP(AN$1,main!$A$3:$I$56,7,FALSE),main!$K$19:$O$22,MATCH(VLOOKUP($A4,main!$A$3:$I$56,8,FALSE),main!$K$18:$O$18,0))))),1,0)</f>
        <v>0</v>
      </c>
      <c r="AO4">
        <f>IF((AND(VLOOKUP(AO$1,main!$A$3:$I$56,5,FALSE)-VLOOKUP($A4,main!$A$3:$I$56,6,FALSE)&gt;=(VLOOKUP(VLOOKUP(AO$1,main!$A$3:$I$56,8,FALSE),main!$K$11:$M$14,2,FALSE)+VLOOKUP(VLOOKUP(AO$1,main!$A$3:$I$56,7,FALSE),main!$K$19:$O$22,MATCH(VLOOKUP($A4,main!$A$3:$I$56,8,FALSE),main!$K$18:$O$18,0))))),1,0)</f>
        <v>1</v>
      </c>
      <c r="AP4">
        <f>IF((AND(VLOOKUP(AP$1,main!$A$3:$I$56,5,FALSE)-VLOOKUP($A4,main!$A$3:$I$56,6,FALSE)&gt;=(VLOOKUP(VLOOKUP(AP$1,main!$A$3:$I$56,8,FALSE),main!$K$11:$M$14,2,FALSE)+VLOOKUP(VLOOKUP(AP$1,main!$A$3:$I$56,7,FALSE),main!$K$19:$O$22,MATCH(VLOOKUP($A4,main!$A$3:$I$56,8,FALSE),main!$K$18:$O$18,0))))),1,0)</f>
        <v>0</v>
      </c>
      <c r="AQ4">
        <f>IF((AND(VLOOKUP(AQ$1,main!$A$3:$I$56,5,FALSE)-VLOOKUP($A4,main!$A$3:$I$56,6,FALSE)&gt;=(VLOOKUP(VLOOKUP(AQ$1,main!$A$3:$I$56,8,FALSE),main!$K$11:$M$14,2,FALSE)+VLOOKUP(VLOOKUP(AQ$1,main!$A$3:$I$56,7,FALSE),main!$K$19:$O$22,MATCH(VLOOKUP($A4,main!$A$3:$I$56,8,FALSE),main!$K$18:$O$18,0))))),1,0)</f>
        <v>0</v>
      </c>
      <c r="AR4">
        <f>IF((AND(VLOOKUP(AR$1,main!$A$3:$I$56,5,FALSE)-VLOOKUP($A4,main!$A$3:$I$56,6,FALSE)&gt;=(VLOOKUP(VLOOKUP(AR$1,main!$A$3:$I$56,8,FALSE),main!$K$11:$M$14,2,FALSE)+VLOOKUP(VLOOKUP(AR$1,main!$A$3:$I$56,7,FALSE),main!$K$19:$O$22,MATCH(VLOOKUP($A4,main!$A$3:$I$56,8,FALSE),main!$K$18:$O$18,0))))),1,0)</f>
        <v>0</v>
      </c>
      <c r="AS4">
        <f>IF((AND(VLOOKUP(AS$1,main!$A$3:$I$56,5,FALSE)-VLOOKUP($A4,main!$A$3:$I$56,6,FALSE)&gt;=(VLOOKUP(VLOOKUP(AS$1,main!$A$3:$I$56,8,FALSE),main!$K$11:$M$14,2,FALSE)+VLOOKUP(VLOOKUP(AS$1,main!$A$3:$I$56,7,FALSE),main!$K$19:$O$22,MATCH(VLOOKUP($A4,main!$A$3:$I$56,8,FALSE),main!$K$18:$O$18,0))))),1,0)</f>
        <v>0</v>
      </c>
      <c r="AT4">
        <f>IF((AND(VLOOKUP(AT$1,main!$A$3:$I$56,5,FALSE)-VLOOKUP($A4,main!$A$3:$I$56,6,FALSE)&gt;=(VLOOKUP(VLOOKUP(AT$1,main!$A$3:$I$56,8,FALSE),main!$K$11:$M$14,2,FALSE)+VLOOKUP(VLOOKUP(AT$1,main!$A$3:$I$56,7,FALSE),main!$K$19:$O$22,MATCH(VLOOKUP($A4,main!$A$3:$I$56,8,FALSE),main!$K$18:$O$18,0))))),1,0)</f>
        <v>0</v>
      </c>
      <c r="AU4">
        <f>IF((AND(VLOOKUP(AU$1,main!$A$3:$I$56,5,FALSE)-VLOOKUP($A4,main!$A$3:$I$56,6,FALSE)&gt;=(VLOOKUP(VLOOKUP(AU$1,main!$A$3:$I$56,8,FALSE),main!$K$11:$M$14,2,FALSE)+VLOOKUP(VLOOKUP(AU$1,main!$A$3:$I$56,7,FALSE),main!$K$19:$O$22,MATCH(VLOOKUP($A4,main!$A$3:$I$56,8,FALSE),main!$K$18:$O$18,0))))),1,0)</f>
        <v>0</v>
      </c>
      <c r="AV4">
        <f>IF((AND(VLOOKUP(AV$1,main!$A$3:$I$56,5,FALSE)-VLOOKUP($A4,main!$A$3:$I$56,6,FALSE)&gt;=(VLOOKUP(VLOOKUP(AV$1,main!$A$3:$I$56,8,FALSE),main!$K$11:$M$14,2,FALSE)+VLOOKUP(VLOOKUP(AV$1,main!$A$3:$I$56,7,FALSE),main!$K$19:$O$22,MATCH(VLOOKUP($A4,main!$A$3:$I$56,8,FALSE),main!$K$18:$O$18,0))))),1,0)</f>
        <v>0</v>
      </c>
      <c r="AW4">
        <f>IF((AND(VLOOKUP(AW$1,main!$A$3:$I$56,5,FALSE)-VLOOKUP($A4,main!$A$3:$I$56,6,FALSE)&gt;=(VLOOKUP(VLOOKUP(AW$1,main!$A$3:$I$56,8,FALSE),main!$K$11:$M$14,2,FALSE)+VLOOKUP(VLOOKUP(AW$1,main!$A$3:$I$56,7,FALSE),main!$K$19:$O$22,MATCH(VLOOKUP($A4,main!$A$3:$I$56,8,FALSE),main!$K$18:$O$18,0))))),1,0)</f>
        <v>0</v>
      </c>
      <c r="AX4">
        <f>IF((AND(VLOOKUP(AX$1,main!$A$3:$I$56,5,FALSE)-VLOOKUP($A4,main!$A$3:$I$56,6,FALSE)&gt;=(VLOOKUP(VLOOKUP(AX$1,main!$A$3:$I$56,8,FALSE),main!$K$11:$M$14,2,FALSE)+VLOOKUP(VLOOKUP(AX$1,main!$A$3:$I$56,7,FALSE),main!$K$19:$O$22,MATCH(VLOOKUP($A4,main!$A$3:$I$56,8,FALSE),main!$K$18:$O$18,0))))),1,0)</f>
        <v>1</v>
      </c>
      <c r="AY4">
        <f>IF((AND(VLOOKUP(AY$1,main!$A$3:$I$56,5,FALSE)-VLOOKUP($A4,main!$A$3:$I$56,6,FALSE)&gt;=(VLOOKUP(VLOOKUP(AY$1,main!$A$3:$I$56,8,FALSE),main!$K$11:$M$14,2,FALSE)+VLOOKUP(VLOOKUP(AY$1,main!$A$3:$I$56,7,FALSE),main!$K$19:$O$22,MATCH(VLOOKUP($A4,main!$A$3:$I$56,8,FALSE),main!$K$18:$O$18,0))))),1,0)</f>
        <v>1</v>
      </c>
      <c r="AZ4">
        <f>IF((AND(VLOOKUP(AZ$1,main!$A$3:$I$56,5,FALSE)-VLOOKUP($A4,main!$A$3:$I$56,6,FALSE)&gt;=(VLOOKUP(VLOOKUP(AZ$1,main!$A$3:$I$56,8,FALSE),main!$K$11:$M$14,2,FALSE)+VLOOKUP(VLOOKUP(AZ$1,main!$A$3:$I$56,7,FALSE),main!$K$19:$O$22,MATCH(VLOOKUP($A4,main!$A$3:$I$56,8,FALSE),main!$K$18:$O$18,0))))),1,0)</f>
        <v>0</v>
      </c>
      <c r="BA4">
        <f>IF((AND(VLOOKUP(BA$1,main!$A$3:$I$56,5,FALSE)-VLOOKUP($A4,main!$A$3:$I$56,6,FALSE)&gt;=(VLOOKUP(VLOOKUP(BA$1,main!$A$3:$I$56,8,FALSE),main!$K$11:$M$14,2,FALSE)+VLOOKUP(VLOOKUP(BA$1,main!$A$3:$I$56,7,FALSE),main!$K$19:$O$22,MATCH(VLOOKUP($A4,main!$A$3:$I$56,8,FALSE),main!$K$18:$O$18,0))))),1,0)</f>
        <v>0</v>
      </c>
      <c r="BB4">
        <f>IF((AND(VLOOKUP(BB$1,main!$A$3:$I$56,5,FALSE)-VLOOKUP($A4,main!$A$3:$I$56,6,FALSE)&gt;=(VLOOKUP(VLOOKUP(BB$1,main!$A$3:$I$56,8,FALSE),main!$K$11:$M$14,2,FALSE)+VLOOKUP(VLOOKUP(BB$1,main!$A$3:$I$56,7,FALSE),main!$K$19:$O$22,MATCH(VLOOKUP($A4,main!$A$3:$I$56,8,FALSE),main!$K$18:$O$18,0))))),1,0)</f>
        <v>0</v>
      </c>
      <c r="BC4">
        <f>IF((AND(VLOOKUP(BC$1,main!$A$3:$I$56,5,FALSE)-VLOOKUP($A4,main!$A$3:$I$56,6,FALSE)&gt;=(VLOOKUP(VLOOKUP(BC$1,main!$A$3:$I$56,8,FALSE),main!$K$11:$M$14,2,FALSE)+VLOOKUP(VLOOKUP(BC$1,main!$A$3:$I$56,7,FALSE),main!$K$19:$O$22,MATCH(VLOOKUP($A4,main!$A$3:$I$56,8,FALSE),main!$K$18:$O$18,0))))),1,0)</f>
        <v>1</v>
      </c>
      <c r="BD4">
        <f>IF((AND(VLOOKUP(BD$1,main!$A$3:$I$56,5,FALSE)-VLOOKUP($A4,main!$A$3:$I$56,6,FALSE)&gt;=(VLOOKUP(VLOOKUP(BD$1,main!$A$3:$I$56,8,FALSE),main!$K$11:$M$14,2,FALSE)+VLOOKUP(VLOOKUP(BD$1,main!$A$3:$I$56,7,FALSE),main!$K$19:$O$22,MATCH(VLOOKUP($A4,main!$A$3:$I$56,8,FALSE),main!$K$18:$O$18,0))))),1,0)</f>
        <v>1</v>
      </c>
    </row>
    <row r="5" spans="1:56" x14ac:dyDescent="0.25">
      <c r="A5">
        <f t="shared" si="0"/>
        <v>3</v>
      </c>
      <c r="B5">
        <v>1</v>
      </c>
      <c r="C5">
        <f>IF((AND(VLOOKUP(C$1,main!$A$3:$I$56,5,FALSE)-VLOOKUP($A5,main!$A$3:$I$56,6,FALSE)&gt;=(VLOOKUP(VLOOKUP(C$1,main!$A$3:$I$56,8,FALSE),main!$K$11:$M$14,2,FALSE)+VLOOKUP(VLOOKUP(C$1,main!$A$3:$I$56,7,FALSE),main!$K$19:$O$22,MATCH(VLOOKUP($A5,main!$A$3:$I$56,8,FALSE),main!$K$18:$O$18,0))))),1,0)</f>
        <v>0</v>
      </c>
      <c r="D5">
        <f>IF((AND(VLOOKUP(D$1,main!$A$3:$I$56,5,FALSE)-VLOOKUP($A5,main!$A$3:$I$56,6,FALSE)&gt;=(VLOOKUP(VLOOKUP(D$1,main!$A$3:$I$56,8,FALSE),main!$K$11:$M$14,2,FALSE)+VLOOKUP(VLOOKUP(D$1,main!$A$3:$I$56,7,FALSE),main!$K$19:$O$22,MATCH(VLOOKUP($A5,main!$A$3:$I$56,8,FALSE),main!$K$18:$O$18,0))))),1,0)</f>
        <v>0</v>
      </c>
      <c r="E5">
        <f>IF((AND(VLOOKUP(E$1,main!$A$3:$I$56,5,FALSE)-VLOOKUP($A5,main!$A$3:$I$56,6,FALSE)&gt;=(VLOOKUP(VLOOKUP(E$1,main!$A$3:$I$56,8,FALSE),main!$K$11:$M$14,2,FALSE)+VLOOKUP(VLOOKUP(E$1,main!$A$3:$I$56,7,FALSE),main!$K$19:$O$22,MATCH(VLOOKUP($A5,main!$A$3:$I$56,8,FALSE),main!$K$18:$O$18,0))))),1,0)</f>
        <v>0</v>
      </c>
      <c r="F5">
        <f>IF((AND(VLOOKUP(F$1,main!$A$3:$I$56,5,FALSE)-VLOOKUP($A5,main!$A$3:$I$56,6,FALSE)&gt;=(VLOOKUP(VLOOKUP(F$1,main!$A$3:$I$56,8,FALSE),main!$K$11:$M$14,2,FALSE)+VLOOKUP(VLOOKUP(F$1,main!$A$3:$I$56,7,FALSE),main!$K$19:$O$22,MATCH(VLOOKUP($A5,main!$A$3:$I$56,8,FALSE),main!$K$18:$O$18,0))))),1,0)</f>
        <v>0</v>
      </c>
      <c r="G5">
        <f>IF((AND(VLOOKUP(G$1,main!$A$3:$I$56,5,FALSE)-VLOOKUP($A5,main!$A$3:$I$56,6,FALSE)&gt;=(VLOOKUP(VLOOKUP(G$1,main!$A$3:$I$56,8,FALSE),main!$K$11:$M$14,2,FALSE)+VLOOKUP(VLOOKUP(G$1,main!$A$3:$I$56,7,FALSE),main!$K$19:$O$22,MATCH(VLOOKUP($A5,main!$A$3:$I$56,8,FALSE),main!$K$18:$O$18,0))))),1,0)</f>
        <v>0</v>
      </c>
      <c r="H5">
        <f>IF((AND(VLOOKUP(H$1,main!$A$3:$I$56,5,FALSE)-VLOOKUP($A5,main!$A$3:$I$56,6,FALSE)&gt;=(VLOOKUP(VLOOKUP(H$1,main!$A$3:$I$56,8,FALSE),main!$K$11:$M$14,2,FALSE)+VLOOKUP(VLOOKUP(H$1,main!$A$3:$I$56,7,FALSE),main!$K$19:$O$22,MATCH(VLOOKUP($A5,main!$A$3:$I$56,8,FALSE),main!$K$18:$O$18,0))))),1,0)</f>
        <v>1</v>
      </c>
      <c r="I5">
        <f>IF((AND(VLOOKUP(I$1,main!$A$3:$I$56,5,FALSE)-VLOOKUP($A5,main!$A$3:$I$56,6,FALSE)&gt;=(VLOOKUP(VLOOKUP(I$1,main!$A$3:$I$56,8,FALSE),main!$K$11:$M$14,2,FALSE)+VLOOKUP(VLOOKUP(I$1,main!$A$3:$I$56,7,FALSE),main!$K$19:$O$22,MATCH(VLOOKUP($A5,main!$A$3:$I$56,8,FALSE),main!$K$18:$O$18,0))))),1,0)</f>
        <v>1</v>
      </c>
      <c r="J5">
        <f>IF((AND(VLOOKUP(J$1,main!$A$3:$I$56,5,FALSE)-VLOOKUP($A5,main!$A$3:$I$56,6,FALSE)&gt;=(VLOOKUP(VLOOKUP(J$1,main!$A$3:$I$56,8,FALSE),main!$K$11:$M$14,2,FALSE)+VLOOKUP(VLOOKUP(J$1,main!$A$3:$I$56,7,FALSE),main!$K$19:$O$22,MATCH(VLOOKUP($A5,main!$A$3:$I$56,8,FALSE),main!$K$18:$O$18,0))))),1,0)</f>
        <v>1</v>
      </c>
      <c r="K5">
        <f>IF((AND(VLOOKUP(K$1,main!$A$3:$I$56,5,FALSE)-VLOOKUP($A5,main!$A$3:$I$56,6,FALSE)&gt;=(VLOOKUP(VLOOKUP(K$1,main!$A$3:$I$56,8,FALSE),main!$K$11:$M$14,2,FALSE)+VLOOKUP(VLOOKUP(K$1,main!$A$3:$I$56,7,FALSE),main!$K$19:$O$22,MATCH(VLOOKUP($A5,main!$A$3:$I$56,8,FALSE),main!$K$18:$O$18,0))))),1,0)</f>
        <v>0</v>
      </c>
      <c r="L5">
        <f>IF((AND(VLOOKUP(L$1,main!$A$3:$I$56,5,FALSE)-VLOOKUP($A5,main!$A$3:$I$56,6,FALSE)&gt;=(VLOOKUP(VLOOKUP(L$1,main!$A$3:$I$56,8,FALSE),main!$K$11:$M$14,2,FALSE)+VLOOKUP(VLOOKUP(L$1,main!$A$3:$I$56,7,FALSE),main!$K$19:$O$22,MATCH(VLOOKUP($A5,main!$A$3:$I$56,8,FALSE),main!$K$18:$O$18,0))))),1,0)</f>
        <v>0</v>
      </c>
      <c r="M5">
        <f>IF((AND(VLOOKUP(M$1,main!$A$3:$I$56,5,FALSE)-VLOOKUP($A5,main!$A$3:$I$56,6,FALSE)&gt;=(VLOOKUP(VLOOKUP(M$1,main!$A$3:$I$56,8,FALSE),main!$K$11:$M$14,2,FALSE)+VLOOKUP(VLOOKUP(M$1,main!$A$3:$I$56,7,FALSE),main!$K$19:$O$22,MATCH(VLOOKUP($A5,main!$A$3:$I$56,8,FALSE),main!$K$18:$O$18,0))))),1,0)</f>
        <v>0</v>
      </c>
      <c r="N5">
        <f>IF((AND(VLOOKUP(N$1,main!$A$3:$I$56,5,FALSE)-VLOOKUP($A5,main!$A$3:$I$56,6,FALSE)&gt;=(VLOOKUP(VLOOKUP(N$1,main!$A$3:$I$56,8,FALSE),main!$K$11:$M$14,2,FALSE)+VLOOKUP(VLOOKUP(N$1,main!$A$3:$I$56,7,FALSE),main!$K$19:$O$22,MATCH(VLOOKUP($A5,main!$A$3:$I$56,8,FALSE),main!$K$18:$O$18,0))))),1,0)</f>
        <v>1</v>
      </c>
      <c r="O5">
        <f>IF((AND(VLOOKUP(O$1,main!$A$3:$I$56,5,FALSE)-VLOOKUP($A5,main!$A$3:$I$56,6,FALSE)&gt;=(VLOOKUP(VLOOKUP(O$1,main!$A$3:$I$56,8,FALSE),main!$K$11:$M$14,2,FALSE)+VLOOKUP(VLOOKUP(O$1,main!$A$3:$I$56,7,FALSE),main!$K$19:$O$22,MATCH(VLOOKUP($A5,main!$A$3:$I$56,8,FALSE),main!$K$18:$O$18,0))))),1,0)</f>
        <v>1</v>
      </c>
      <c r="P5">
        <f>IF((AND(VLOOKUP(P$1,main!$A$3:$I$56,5,FALSE)-VLOOKUP($A5,main!$A$3:$I$56,6,FALSE)&gt;=(VLOOKUP(VLOOKUP(P$1,main!$A$3:$I$56,8,FALSE),main!$K$11:$M$14,2,FALSE)+VLOOKUP(VLOOKUP(P$1,main!$A$3:$I$56,7,FALSE),main!$K$19:$O$22,MATCH(VLOOKUP($A5,main!$A$3:$I$56,8,FALSE),main!$K$18:$O$18,0))))),1,0)</f>
        <v>0</v>
      </c>
      <c r="Q5">
        <f>IF((AND(VLOOKUP(Q$1,main!$A$3:$I$56,5,FALSE)-VLOOKUP($A5,main!$A$3:$I$56,6,FALSE)&gt;=(VLOOKUP(VLOOKUP(Q$1,main!$A$3:$I$56,8,FALSE),main!$K$11:$M$14,2,FALSE)+VLOOKUP(VLOOKUP(Q$1,main!$A$3:$I$56,7,FALSE),main!$K$19:$O$22,MATCH(VLOOKUP($A5,main!$A$3:$I$56,8,FALSE),main!$K$18:$O$18,0))))),1,0)</f>
        <v>0</v>
      </c>
      <c r="R5">
        <f>IF((AND(VLOOKUP(R$1,main!$A$3:$I$56,5,FALSE)-VLOOKUP($A5,main!$A$3:$I$56,6,FALSE)&gt;=(VLOOKUP(VLOOKUP(R$1,main!$A$3:$I$56,8,FALSE),main!$K$11:$M$14,2,FALSE)+VLOOKUP(VLOOKUP(R$1,main!$A$3:$I$56,7,FALSE),main!$K$19:$O$22,MATCH(VLOOKUP($A5,main!$A$3:$I$56,8,FALSE),main!$K$18:$O$18,0))))),1,0)</f>
        <v>0</v>
      </c>
      <c r="S5">
        <f>IF((AND(VLOOKUP(S$1,main!$A$3:$I$56,5,FALSE)-VLOOKUP($A5,main!$A$3:$I$56,6,FALSE)&gt;=(VLOOKUP(VLOOKUP(S$1,main!$A$3:$I$56,8,FALSE),main!$K$11:$M$14,2,FALSE)+VLOOKUP(VLOOKUP(S$1,main!$A$3:$I$56,7,FALSE),main!$K$19:$O$22,MATCH(VLOOKUP($A5,main!$A$3:$I$56,8,FALSE),main!$K$18:$O$18,0))))),1,0)</f>
        <v>0</v>
      </c>
      <c r="T5">
        <f>IF((AND(VLOOKUP(T$1,main!$A$3:$I$56,5,FALSE)-VLOOKUP($A5,main!$A$3:$I$56,6,FALSE)&gt;=(VLOOKUP(VLOOKUP(T$1,main!$A$3:$I$56,8,FALSE),main!$K$11:$M$14,2,FALSE)+VLOOKUP(VLOOKUP(T$1,main!$A$3:$I$56,7,FALSE),main!$K$19:$O$22,MATCH(VLOOKUP($A5,main!$A$3:$I$56,8,FALSE),main!$K$18:$O$18,0))))),1,0)</f>
        <v>1</v>
      </c>
      <c r="U5">
        <f>IF((AND(VLOOKUP(U$1,main!$A$3:$I$56,5,FALSE)-VLOOKUP($A5,main!$A$3:$I$56,6,FALSE)&gt;=(VLOOKUP(VLOOKUP(U$1,main!$A$3:$I$56,8,FALSE),main!$K$11:$M$14,2,FALSE)+VLOOKUP(VLOOKUP(U$1,main!$A$3:$I$56,7,FALSE),main!$K$19:$O$22,MATCH(VLOOKUP($A5,main!$A$3:$I$56,8,FALSE),main!$K$18:$O$18,0))))),1,0)</f>
        <v>0</v>
      </c>
      <c r="V5">
        <f>IF((AND(VLOOKUP(V$1,main!$A$3:$I$56,5,FALSE)-VLOOKUP($A5,main!$A$3:$I$56,6,FALSE)&gt;=(VLOOKUP(VLOOKUP(V$1,main!$A$3:$I$56,8,FALSE),main!$K$11:$M$14,2,FALSE)+VLOOKUP(VLOOKUP(V$1,main!$A$3:$I$56,7,FALSE),main!$K$19:$O$22,MATCH(VLOOKUP($A5,main!$A$3:$I$56,8,FALSE),main!$K$18:$O$18,0))))),1,0)</f>
        <v>0</v>
      </c>
      <c r="W5">
        <f>IF((AND(VLOOKUP(W$1,main!$A$3:$I$56,5,FALSE)-VLOOKUP($A5,main!$A$3:$I$56,6,FALSE)&gt;=(VLOOKUP(VLOOKUP(W$1,main!$A$3:$I$56,8,FALSE),main!$K$11:$M$14,2,FALSE)+VLOOKUP(VLOOKUP(W$1,main!$A$3:$I$56,7,FALSE),main!$K$19:$O$22,MATCH(VLOOKUP($A5,main!$A$3:$I$56,8,FALSE),main!$K$18:$O$18,0))))),1,0)</f>
        <v>0</v>
      </c>
      <c r="X5">
        <f>IF((AND(VLOOKUP(X$1,main!$A$3:$I$56,5,FALSE)-VLOOKUP($A5,main!$A$3:$I$56,6,FALSE)&gt;=(VLOOKUP(VLOOKUP(X$1,main!$A$3:$I$56,8,FALSE),main!$K$11:$M$14,2,FALSE)+VLOOKUP(VLOOKUP(X$1,main!$A$3:$I$56,7,FALSE),main!$K$19:$O$22,MATCH(VLOOKUP($A5,main!$A$3:$I$56,8,FALSE),main!$K$18:$O$18,0))))),1,0)</f>
        <v>0</v>
      </c>
      <c r="Y5">
        <f>IF((AND(VLOOKUP(Y$1,main!$A$3:$I$56,5,FALSE)-VLOOKUP($A5,main!$A$3:$I$56,6,FALSE)&gt;=(VLOOKUP(VLOOKUP(Y$1,main!$A$3:$I$56,8,FALSE),main!$K$11:$M$14,2,FALSE)+VLOOKUP(VLOOKUP(Y$1,main!$A$3:$I$56,7,FALSE),main!$K$19:$O$22,MATCH(VLOOKUP($A5,main!$A$3:$I$56,8,FALSE),main!$K$18:$O$18,0))))),1,0)</f>
        <v>0</v>
      </c>
      <c r="Z5">
        <f>IF((AND(VLOOKUP(Z$1,main!$A$3:$I$56,5,FALSE)-VLOOKUP($A5,main!$A$3:$I$56,6,FALSE)&gt;=(VLOOKUP(VLOOKUP(Z$1,main!$A$3:$I$56,8,FALSE),main!$K$11:$M$14,2,FALSE)+VLOOKUP(VLOOKUP(Z$1,main!$A$3:$I$56,7,FALSE),main!$K$19:$O$22,MATCH(VLOOKUP($A5,main!$A$3:$I$56,8,FALSE),main!$K$18:$O$18,0))))),1,0)</f>
        <v>1</v>
      </c>
      <c r="AA5">
        <f>IF((AND(VLOOKUP(AA$1,main!$A$3:$I$56,5,FALSE)-VLOOKUP($A5,main!$A$3:$I$56,6,FALSE)&gt;=(VLOOKUP(VLOOKUP(AA$1,main!$A$3:$I$56,8,FALSE),main!$K$11:$M$14,2,FALSE)+VLOOKUP(VLOOKUP(AA$1,main!$A$3:$I$56,7,FALSE),main!$K$19:$O$22,MATCH(VLOOKUP($A5,main!$A$3:$I$56,8,FALSE),main!$K$18:$O$18,0))))),1,0)</f>
        <v>1</v>
      </c>
      <c r="AB5">
        <f>IF((AND(VLOOKUP(AB$1,main!$A$3:$I$56,5,FALSE)-VLOOKUP($A5,main!$A$3:$I$56,6,FALSE)&gt;=(VLOOKUP(VLOOKUP(AB$1,main!$A$3:$I$56,8,FALSE),main!$K$11:$M$14,2,FALSE)+VLOOKUP(VLOOKUP(AB$1,main!$A$3:$I$56,7,FALSE),main!$K$19:$O$22,MATCH(VLOOKUP($A5,main!$A$3:$I$56,8,FALSE),main!$K$18:$O$18,0))))),1,0)</f>
        <v>1</v>
      </c>
      <c r="AC5">
        <f>IF((AND(VLOOKUP(AC$1,main!$A$3:$I$56,5,FALSE)-VLOOKUP($A5,main!$A$3:$I$56,6,FALSE)&gt;=(VLOOKUP(VLOOKUP(AC$1,main!$A$3:$I$56,8,FALSE),main!$K$11:$M$14,2,FALSE)+VLOOKUP(VLOOKUP(AC$1,main!$A$3:$I$56,7,FALSE),main!$K$19:$O$22,MATCH(VLOOKUP($A5,main!$A$3:$I$56,8,FALSE),main!$K$18:$O$18,0))))),1,0)</f>
        <v>0</v>
      </c>
      <c r="AD5">
        <f>IF((AND(VLOOKUP(AD$1,main!$A$3:$I$56,5,FALSE)-VLOOKUP($A5,main!$A$3:$I$56,6,FALSE)&gt;=(VLOOKUP(VLOOKUP(AD$1,main!$A$3:$I$56,8,FALSE),main!$K$11:$M$14,2,FALSE)+VLOOKUP(VLOOKUP(AD$1,main!$A$3:$I$56,7,FALSE),main!$K$19:$O$22,MATCH(VLOOKUP($A5,main!$A$3:$I$56,8,FALSE),main!$K$18:$O$18,0))))),1,0)</f>
        <v>0</v>
      </c>
      <c r="AE5">
        <f>IF((AND(VLOOKUP(AE$1,main!$A$3:$I$56,5,FALSE)-VLOOKUP($A5,main!$A$3:$I$56,6,FALSE)&gt;=(VLOOKUP(VLOOKUP(AE$1,main!$A$3:$I$56,8,FALSE),main!$K$11:$M$14,2,FALSE)+VLOOKUP(VLOOKUP(AE$1,main!$A$3:$I$56,7,FALSE),main!$K$19:$O$22,MATCH(VLOOKUP($A5,main!$A$3:$I$56,8,FALSE),main!$K$18:$O$18,0))))),1,0)</f>
        <v>0</v>
      </c>
      <c r="AF5">
        <f>IF((AND(VLOOKUP(AF$1,main!$A$3:$I$56,5,FALSE)-VLOOKUP($A5,main!$A$3:$I$56,6,FALSE)&gt;=(VLOOKUP(VLOOKUP(AF$1,main!$A$3:$I$56,8,FALSE),main!$K$11:$M$14,2,FALSE)+VLOOKUP(VLOOKUP(AF$1,main!$A$3:$I$56,7,FALSE),main!$K$19:$O$22,MATCH(VLOOKUP($A5,main!$A$3:$I$56,8,FALSE),main!$K$18:$O$18,0))))),1,0)</f>
        <v>0</v>
      </c>
      <c r="AG5">
        <f>IF((AND(VLOOKUP(AG$1,main!$A$3:$I$56,5,FALSE)-VLOOKUP($A5,main!$A$3:$I$56,6,FALSE)&gt;=(VLOOKUP(VLOOKUP(AG$1,main!$A$3:$I$56,8,FALSE),main!$K$11:$M$14,2,FALSE)+VLOOKUP(VLOOKUP(AG$1,main!$A$3:$I$56,7,FALSE),main!$K$19:$O$22,MATCH(VLOOKUP($A5,main!$A$3:$I$56,8,FALSE),main!$K$18:$O$18,0))))),1,0)</f>
        <v>0</v>
      </c>
      <c r="AH5">
        <f>IF((AND(VLOOKUP(AH$1,main!$A$3:$I$56,5,FALSE)-VLOOKUP($A5,main!$A$3:$I$56,6,FALSE)&gt;=(VLOOKUP(VLOOKUP(AH$1,main!$A$3:$I$56,8,FALSE),main!$K$11:$M$14,2,FALSE)+VLOOKUP(VLOOKUP(AH$1,main!$A$3:$I$56,7,FALSE),main!$K$19:$O$22,MATCH(VLOOKUP($A5,main!$A$3:$I$56,8,FALSE),main!$K$18:$O$18,0))))),1,0)</f>
        <v>0</v>
      </c>
      <c r="AI5">
        <f>IF((AND(VLOOKUP(AI$1,main!$A$3:$I$56,5,FALSE)-VLOOKUP($A5,main!$A$3:$I$56,6,FALSE)&gt;=(VLOOKUP(VLOOKUP(AI$1,main!$A$3:$I$56,8,FALSE),main!$K$11:$M$14,2,FALSE)+VLOOKUP(VLOOKUP(AI$1,main!$A$3:$I$56,7,FALSE),main!$K$19:$O$22,MATCH(VLOOKUP($A5,main!$A$3:$I$56,8,FALSE),main!$K$18:$O$18,0))))),1,0)</f>
        <v>0</v>
      </c>
      <c r="AJ5">
        <f>IF((AND(VLOOKUP(AJ$1,main!$A$3:$I$56,5,FALSE)-VLOOKUP($A5,main!$A$3:$I$56,6,FALSE)&gt;=(VLOOKUP(VLOOKUP(AJ$1,main!$A$3:$I$56,8,FALSE),main!$K$11:$M$14,2,FALSE)+VLOOKUP(VLOOKUP(AJ$1,main!$A$3:$I$56,7,FALSE),main!$K$19:$O$22,MATCH(VLOOKUP($A5,main!$A$3:$I$56,8,FALSE),main!$K$18:$O$18,0))))),1,0)</f>
        <v>0</v>
      </c>
      <c r="AK5">
        <f>IF((AND(VLOOKUP(AK$1,main!$A$3:$I$56,5,FALSE)-VLOOKUP($A5,main!$A$3:$I$56,6,FALSE)&gt;=(VLOOKUP(VLOOKUP(AK$1,main!$A$3:$I$56,8,FALSE),main!$K$11:$M$14,2,FALSE)+VLOOKUP(VLOOKUP(AK$1,main!$A$3:$I$56,7,FALSE),main!$K$19:$O$22,MATCH(VLOOKUP($A5,main!$A$3:$I$56,8,FALSE),main!$K$18:$O$18,0))))),1,0)</f>
        <v>1</v>
      </c>
      <c r="AL5">
        <f>IF((AND(VLOOKUP(AL$1,main!$A$3:$I$56,5,FALSE)-VLOOKUP($A5,main!$A$3:$I$56,6,FALSE)&gt;=(VLOOKUP(VLOOKUP(AL$1,main!$A$3:$I$56,8,FALSE),main!$K$11:$M$14,2,FALSE)+VLOOKUP(VLOOKUP(AL$1,main!$A$3:$I$56,7,FALSE),main!$K$19:$O$22,MATCH(VLOOKUP($A5,main!$A$3:$I$56,8,FALSE),main!$K$18:$O$18,0))))),1,0)</f>
        <v>0</v>
      </c>
      <c r="AM5">
        <f>IF((AND(VLOOKUP(AM$1,main!$A$3:$I$56,5,FALSE)-VLOOKUP($A5,main!$A$3:$I$56,6,FALSE)&gt;=(VLOOKUP(VLOOKUP(AM$1,main!$A$3:$I$56,8,FALSE),main!$K$11:$M$14,2,FALSE)+VLOOKUP(VLOOKUP(AM$1,main!$A$3:$I$56,7,FALSE),main!$K$19:$O$22,MATCH(VLOOKUP($A5,main!$A$3:$I$56,8,FALSE),main!$K$18:$O$18,0))))),1,0)</f>
        <v>0</v>
      </c>
      <c r="AN5">
        <f>IF((AND(VLOOKUP(AN$1,main!$A$3:$I$56,5,FALSE)-VLOOKUP($A5,main!$A$3:$I$56,6,FALSE)&gt;=(VLOOKUP(VLOOKUP(AN$1,main!$A$3:$I$56,8,FALSE),main!$K$11:$M$14,2,FALSE)+VLOOKUP(VLOOKUP(AN$1,main!$A$3:$I$56,7,FALSE),main!$K$19:$O$22,MATCH(VLOOKUP($A5,main!$A$3:$I$56,8,FALSE),main!$K$18:$O$18,0))))),1,0)</f>
        <v>0</v>
      </c>
      <c r="AO5">
        <f>IF((AND(VLOOKUP(AO$1,main!$A$3:$I$56,5,FALSE)-VLOOKUP($A5,main!$A$3:$I$56,6,FALSE)&gt;=(VLOOKUP(VLOOKUP(AO$1,main!$A$3:$I$56,8,FALSE),main!$K$11:$M$14,2,FALSE)+VLOOKUP(VLOOKUP(AO$1,main!$A$3:$I$56,7,FALSE),main!$K$19:$O$22,MATCH(VLOOKUP($A5,main!$A$3:$I$56,8,FALSE),main!$K$18:$O$18,0))))),1,0)</f>
        <v>0</v>
      </c>
      <c r="AP5">
        <f>IF((AND(VLOOKUP(AP$1,main!$A$3:$I$56,5,FALSE)-VLOOKUP($A5,main!$A$3:$I$56,6,FALSE)&gt;=(VLOOKUP(VLOOKUP(AP$1,main!$A$3:$I$56,8,FALSE),main!$K$11:$M$14,2,FALSE)+VLOOKUP(VLOOKUP(AP$1,main!$A$3:$I$56,7,FALSE),main!$K$19:$O$22,MATCH(VLOOKUP($A5,main!$A$3:$I$56,8,FALSE),main!$K$18:$O$18,0))))),1,0)</f>
        <v>0</v>
      </c>
      <c r="AQ5">
        <f>IF((AND(VLOOKUP(AQ$1,main!$A$3:$I$56,5,FALSE)-VLOOKUP($A5,main!$A$3:$I$56,6,FALSE)&gt;=(VLOOKUP(VLOOKUP(AQ$1,main!$A$3:$I$56,8,FALSE),main!$K$11:$M$14,2,FALSE)+VLOOKUP(VLOOKUP(AQ$1,main!$A$3:$I$56,7,FALSE),main!$K$19:$O$22,MATCH(VLOOKUP($A5,main!$A$3:$I$56,8,FALSE),main!$K$18:$O$18,0))))),1,0)</f>
        <v>0</v>
      </c>
      <c r="AR5">
        <f>IF((AND(VLOOKUP(AR$1,main!$A$3:$I$56,5,FALSE)-VLOOKUP($A5,main!$A$3:$I$56,6,FALSE)&gt;=(VLOOKUP(VLOOKUP(AR$1,main!$A$3:$I$56,8,FALSE),main!$K$11:$M$14,2,FALSE)+VLOOKUP(VLOOKUP(AR$1,main!$A$3:$I$56,7,FALSE),main!$K$19:$O$22,MATCH(VLOOKUP($A5,main!$A$3:$I$56,8,FALSE),main!$K$18:$O$18,0))))),1,0)</f>
        <v>0</v>
      </c>
      <c r="AS5">
        <f>IF((AND(VLOOKUP(AS$1,main!$A$3:$I$56,5,FALSE)-VLOOKUP($A5,main!$A$3:$I$56,6,FALSE)&gt;=(VLOOKUP(VLOOKUP(AS$1,main!$A$3:$I$56,8,FALSE),main!$K$11:$M$14,2,FALSE)+VLOOKUP(VLOOKUP(AS$1,main!$A$3:$I$56,7,FALSE),main!$K$19:$O$22,MATCH(VLOOKUP($A5,main!$A$3:$I$56,8,FALSE),main!$K$18:$O$18,0))))),1,0)</f>
        <v>0</v>
      </c>
      <c r="AT5">
        <f>IF((AND(VLOOKUP(AT$1,main!$A$3:$I$56,5,FALSE)-VLOOKUP($A5,main!$A$3:$I$56,6,FALSE)&gt;=(VLOOKUP(VLOOKUP(AT$1,main!$A$3:$I$56,8,FALSE),main!$K$11:$M$14,2,FALSE)+VLOOKUP(VLOOKUP(AT$1,main!$A$3:$I$56,7,FALSE),main!$K$19:$O$22,MATCH(VLOOKUP($A5,main!$A$3:$I$56,8,FALSE),main!$K$18:$O$18,0))))),1,0)</f>
        <v>0</v>
      </c>
      <c r="AU5">
        <f>IF((AND(VLOOKUP(AU$1,main!$A$3:$I$56,5,FALSE)-VLOOKUP($A5,main!$A$3:$I$56,6,FALSE)&gt;=(VLOOKUP(VLOOKUP(AU$1,main!$A$3:$I$56,8,FALSE),main!$K$11:$M$14,2,FALSE)+VLOOKUP(VLOOKUP(AU$1,main!$A$3:$I$56,7,FALSE),main!$K$19:$O$22,MATCH(VLOOKUP($A5,main!$A$3:$I$56,8,FALSE),main!$K$18:$O$18,0))))),1,0)</f>
        <v>0</v>
      </c>
      <c r="AV5">
        <f>IF((AND(VLOOKUP(AV$1,main!$A$3:$I$56,5,FALSE)-VLOOKUP($A5,main!$A$3:$I$56,6,FALSE)&gt;=(VLOOKUP(VLOOKUP(AV$1,main!$A$3:$I$56,8,FALSE),main!$K$11:$M$14,2,FALSE)+VLOOKUP(VLOOKUP(AV$1,main!$A$3:$I$56,7,FALSE),main!$K$19:$O$22,MATCH(VLOOKUP($A5,main!$A$3:$I$56,8,FALSE),main!$K$18:$O$18,0))))),1,0)</f>
        <v>0</v>
      </c>
      <c r="AW5">
        <f>IF((AND(VLOOKUP(AW$1,main!$A$3:$I$56,5,FALSE)-VLOOKUP($A5,main!$A$3:$I$56,6,FALSE)&gt;=(VLOOKUP(VLOOKUP(AW$1,main!$A$3:$I$56,8,FALSE),main!$K$11:$M$14,2,FALSE)+VLOOKUP(VLOOKUP(AW$1,main!$A$3:$I$56,7,FALSE),main!$K$19:$O$22,MATCH(VLOOKUP($A5,main!$A$3:$I$56,8,FALSE),main!$K$18:$O$18,0))))),1,0)</f>
        <v>0</v>
      </c>
      <c r="AX5">
        <f>IF((AND(VLOOKUP(AX$1,main!$A$3:$I$56,5,FALSE)-VLOOKUP($A5,main!$A$3:$I$56,6,FALSE)&gt;=(VLOOKUP(VLOOKUP(AX$1,main!$A$3:$I$56,8,FALSE),main!$K$11:$M$14,2,FALSE)+VLOOKUP(VLOOKUP(AX$1,main!$A$3:$I$56,7,FALSE),main!$K$19:$O$22,MATCH(VLOOKUP($A5,main!$A$3:$I$56,8,FALSE),main!$K$18:$O$18,0))))),1,0)</f>
        <v>0</v>
      </c>
      <c r="AY5">
        <f>IF((AND(VLOOKUP(AY$1,main!$A$3:$I$56,5,FALSE)-VLOOKUP($A5,main!$A$3:$I$56,6,FALSE)&gt;=(VLOOKUP(VLOOKUP(AY$1,main!$A$3:$I$56,8,FALSE),main!$K$11:$M$14,2,FALSE)+VLOOKUP(VLOOKUP(AY$1,main!$A$3:$I$56,7,FALSE),main!$K$19:$O$22,MATCH(VLOOKUP($A5,main!$A$3:$I$56,8,FALSE),main!$K$18:$O$18,0))))),1,0)</f>
        <v>1</v>
      </c>
      <c r="AZ5">
        <f>IF((AND(VLOOKUP(AZ$1,main!$A$3:$I$56,5,FALSE)-VLOOKUP($A5,main!$A$3:$I$56,6,FALSE)&gt;=(VLOOKUP(VLOOKUP(AZ$1,main!$A$3:$I$56,8,FALSE),main!$K$11:$M$14,2,FALSE)+VLOOKUP(VLOOKUP(AZ$1,main!$A$3:$I$56,7,FALSE),main!$K$19:$O$22,MATCH(VLOOKUP($A5,main!$A$3:$I$56,8,FALSE),main!$K$18:$O$18,0))))),1,0)</f>
        <v>0</v>
      </c>
      <c r="BA5">
        <f>IF((AND(VLOOKUP(BA$1,main!$A$3:$I$56,5,FALSE)-VLOOKUP($A5,main!$A$3:$I$56,6,FALSE)&gt;=(VLOOKUP(VLOOKUP(BA$1,main!$A$3:$I$56,8,FALSE),main!$K$11:$M$14,2,FALSE)+VLOOKUP(VLOOKUP(BA$1,main!$A$3:$I$56,7,FALSE),main!$K$19:$O$22,MATCH(VLOOKUP($A5,main!$A$3:$I$56,8,FALSE),main!$K$18:$O$18,0))))),1,0)</f>
        <v>0</v>
      </c>
      <c r="BB5">
        <f>IF((AND(VLOOKUP(BB$1,main!$A$3:$I$56,5,FALSE)-VLOOKUP($A5,main!$A$3:$I$56,6,FALSE)&gt;=(VLOOKUP(VLOOKUP(BB$1,main!$A$3:$I$56,8,FALSE),main!$K$11:$M$14,2,FALSE)+VLOOKUP(VLOOKUP(BB$1,main!$A$3:$I$56,7,FALSE),main!$K$19:$O$22,MATCH(VLOOKUP($A5,main!$A$3:$I$56,8,FALSE),main!$K$18:$O$18,0))))),1,0)</f>
        <v>0</v>
      </c>
      <c r="BC5">
        <f>IF((AND(VLOOKUP(BC$1,main!$A$3:$I$56,5,FALSE)-VLOOKUP($A5,main!$A$3:$I$56,6,FALSE)&gt;=(VLOOKUP(VLOOKUP(BC$1,main!$A$3:$I$56,8,FALSE),main!$K$11:$M$14,2,FALSE)+VLOOKUP(VLOOKUP(BC$1,main!$A$3:$I$56,7,FALSE),main!$K$19:$O$22,MATCH(VLOOKUP($A5,main!$A$3:$I$56,8,FALSE),main!$K$18:$O$18,0))))),1,0)</f>
        <v>0</v>
      </c>
      <c r="BD5">
        <f>IF((AND(VLOOKUP(BD$1,main!$A$3:$I$56,5,FALSE)-VLOOKUP($A5,main!$A$3:$I$56,6,FALSE)&gt;=(VLOOKUP(VLOOKUP(BD$1,main!$A$3:$I$56,8,FALSE),main!$K$11:$M$14,2,FALSE)+VLOOKUP(VLOOKUP(BD$1,main!$A$3:$I$56,7,FALSE),main!$K$19:$O$22,MATCH(VLOOKUP($A5,main!$A$3:$I$56,8,FALSE),main!$K$18:$O$18,0))))),1,0)</f>
        <v>0</v>
      </c>
    </row>
    <row r="6" spans="1:56" x14ac:dyDescent="0.25">
      <c r="A6">
        <f t="shared" si="0"/>
        <v>4</v>
      </c>
      <c r="B6">
        <v>1</v>
      </c>
      <c r="C6">
        <f>IF((AND(VLOOKUP(C$1,main!$A$3:$I$56,5,FALSE)-VLOOKUP($A6,main!$A$3:$I$56,6,FALSE)&gt;=(VLOOKUP(VLOOKUP(C$1,main!$A$3:$I$56,8,FALSE),main!$K$11:$M$14,2,FALSE)+VLOOKUP(VLOOKUP(C$1,main!$A$3:$I$56,7,FALSE),main!$K$19:$O$22,MATCH(VLOOKUP($A6,main!$A$3:$I$56,8,FALSE),main!$K$18:$O$18,0))))),1,0)</f>
        <v>0</v>
      </c>
      <c r="D6">
        <f>IF((AND(VLOOKUP(D$1,main!$A$3:$I$56,5,FALSE)-VLOOKUP($A6,main!$A$3:$I$56,6,FALSE)&gt;=(VLOOKUP(VLOOKUP(D$1,main!$A$3:$I$56,8,FALSE),main!$K$11:$M$14,2,FALSE)+VLOOKUP(VLOOKUP(D$1,main!$A$3:$I$56,7,FALSE),main!$K$19:$O$22,MATCH(VLOOKUP($A6,main!$A$3:$I$56,8,FALSE),main!$K$18:$O$18,0))))),1,0)</f>
        <v>0</v>
      </c>
      <c r="E6">
        <f>IF((AND(VLOOKUP(E$1,main!$A$3:$I$56,5,FALSE)-VLOOKUP($A6,main!$A$3:$I$56,6,FALSE)&gt;=(VLOOKUP(VLOOKUP(E$1,main!$A$3:$I$56,8,FALSE),main!$K$11:$M$14,2,FALSE)+VLOOKUP(VLOOKUP(E$1,main!$A$3:$I$56,7,FALSE),main!$K$19:$O$22,MATCH(VLOOKUP($A6,main!$A$3:$I$56,8,FALSE),main!$K$18:$O$18,0))))),1,0)</f>
        <v>0</v>
      </c>
      <c r="F6">
        <f>IF((AND(VLOOKUP(F$1,main!$A$3:$I$56,5,FALSE)-VLOOKUP($A6,main!$A$3:$I$56,6,FALSE)&gt;=(VLOOKUP(VLOOKUP(F$1,main!$A$3:$I$56,8,FALSE),main!$K$11:$M$14,2,FALSE)+VLOOKUP(VLOOKUP(F$1,main!$A$3:$I$56,7,FALSE),main!$K$19:$O$22,MATCH(VLOOKUP($A6,main!$A$3:$I$56,8,FALSE),main!$K$18:$O$18,0))))),1,0)</f>
        <v>0</v>
      </c>
      <c r="G6">
        <f>IF((AND(VLOOKUP(G$1,main!$A$3:$I$56,5,FALSE)-VLOOKUP($A6,main!$A$3:$I$56,6,FALSE)&gt;=(VLOOKUP(VLOOKUP(G$1,main!$A$3:$I$56,8,FALSE),main!$K$11:$M$14,2,FALSE)+VLOOKUP(VLOOKUP(G$1,main!$A$3:$I$56,7,FALSE),main!$K$19:$O$22,MATCH(VLOOKUP($A6,main!$A$3:$I$56,8,FALSE),main!$K$18:$O$18,0))))),1,0)</f>
        <v>0</v>
      </c>
      <c r="H6">
        <f>IF((AND(VLOOKUP(H$1,main!$A$3:$I$56,5,FALSE)-VLOOKUP($A6,main!$A$3:$I$56,6,FALSE)&gt;=(VLOOKUP(VLOOKUP(H$1,main!$A$3:$I$56,8,FALSE),main!$K$11:$M$14,2,FALSE)+VLOOKUP(VLOOKUP(H$1,main!$A$3:$I$56,7,FALSE),main!$K$19:$O$22,MATCH(VLOOKUP($A6,main!$A$3:$I$56,8,FALSE),main!$K$18:$O$18,0))))),1,0)</f>
        <v>0</v>
      </c>
      <c r="I6">
        <f>IF((AND(VLOOKUP(I$1,main!$A$3:$I$56,5,FALSE)-VLOOKUP($A6,main!$A$3:$I$56,6,FALSE)&gt;=(VLOOKUP(VLOOKUP(I$1,main!$A$3:$I$56,8,FALSE),main!$K$11:$M$14,2,FALSE)+VLOOKUP(VLOOKUP(I$1,main!$A$3:$I$56,7,FALSE),main!$K$19:$O$22,MATCH(VLOOKUP($A6,main!$A$3:$I$56,8,FALSE),main!$K$18:$O$18,0))))),1,0)</f>
        <v>1</v>
      </c>
      <c r="J6">
        <f>IF((AND(VLOOKUP(J$1,main!$A$3:$I$56,5,FALSE)-VLOOKUP($A6,main!$A$3:$I$56,6,FALSE)&gt;=(VLOOKUP(VLOOKUP(J$1,main!$A$3:$I$56,8,FALSE),main!$K$11:$M$14,2,FALSE)+VLOOKUP(VLOOKUP(J$1,main!$A$3:$I$56,7,FALSE),main!$K$19:$O$22,MATCH(VLOOKUP($A6,main!$A$3:$I$56,8,FALSE),main!$K$18:$O$18,0))))),1,0)</f>
        <v>1</v>
      </c>
      <c r="K6">
        <f>IF((AND(VLOOKUP(K$1,main!$A$3:$I$56,5,FALSE)-VLOOKUP($A6,main!$A$3:$I$56,6,FALSE)&gt;=(VLOOKUP(VLOOKUP(K$1,main!$A$3:$I$56,8,FALSE),main!$K$11:$M$14,2,FALSE)+VLOOKUP(VLOOKUP(K$1,main!$A$3:$I$56,7,FALSE),main!$K$19:$O$22,MATCH(VLOOKUP($A6,main!$A$3:$I$56,8,FALSE),main!$K$18:$O$18,0))))),1,0)</f>
        <v>0</v>
      </c>
      <c r="L6">
        <f>IF((AND(VLOOKUP(L$1,main!$A$3:$I$56,5,FALSE)-VLOOKUP($A6,main!$A$3:$I$56,6,FALSE)&gt;=(VLOOKUP(VLOOKUP(L$1,main!$A$3:$I$56,8,FALSE),main!$K$11:$M$14,2,FALSE)+VLOOKUP(VLOOKUP(L$1,main!$A$3:$I$56,7,FALSE),main!$K$19:$O$22,MATCH(VLOOKUP($A6,main!$A$3:$I$56,8,FALSE),main!$K$18:$O$18,0))))),1,0)</f>
        <v>0</v>
      </c>
      <c r="M6">
        <f>IF((AND(VLOOKUP(M$1,main!$A$3:$I$56,5,FALSE)-VLOOKUP($A6,main!$A$3:$I$56,6,FALSE)&gt;=(VLOOKUP(VLOOKUP(M$1,main!$A$3:$I$56,8,FALSE),main!$K$11:$M$14,2,FALSE)+VLOOKUP(VLOOKUP(M$1,main!$A$3:$I$56,7,FALSE),main!$K$19:$O$22,MATCH(VLOOKUP($A6,main!$A$3:$I$56,8,FALSE),main!$K$18:$O$18,0))))),1,0)</f>
        <v>0</v>
      </c>
      <c r="N6">
        <f>IF((AND(VLOOKUP(N$1,main!$A$3:$I$56,5,FALSE)-VLOOKUP($A6,main!$A$3:$I$56,6,FALSE)&gt;=(VLOOKUP(VLOOKUP(N$1,main!$A$3:$I$56,8,FALSE),main!$K$11:$M$14,2,FALSE)+VLOOKUP(VLOOKUP(N$1,main!$A$3:$I$56,7,FALSE),main!$K$19:$O$22,MATCH(VLOOKUP($A6,main!$A$3:$I$56,8,FALSE),main!$K$18:$O$18,0))))),1,0)</f>
        <v>1</v>
      </c>
      <c r="O6">
        <f>IF((AND(VLOOKUP(O$1,main!$A$3:$I$56,5,FALSE)-VLOOKUP($A6,main!$A$3:$I$56,6,FALSE)&gt;=(VLOOKUP(VLOOKUP(O$1,main!$A$3:$I$56,8,FALSE),main!$K$11:$M$14,2,FALSE)+VLOOKUP(VLOOKUP(O$1,main!$A$3:$I$56,7,FALSE),main!$K$19:$O$22,MATCH(VLOOKUP($A6,main!$A$3:$I$56,8,FALSE),main!$K$18:$O$18,0))))),1,0)</f>
        <v>1</v>
      </c>
      <c r="P6">
        <f>IF((AND(VLOOKUP(P$1,main!$A$3:$I$56,5,FALSE)-VLOOKUP($A6,main!$A$3:$I$56,6,FALSE)&gt;=(VLOOKUP(VLOOKUP(P$1,main!$A$3:$I$56,8,FALSE),main!$K$11:$M$14,2,FALSE)+VLOOKUP(VLOOKUP(P$1,main!$A$3:$I$56,7,FALSE),main!$K$19:$O$22,MATCH(VLOOKUP($A6,main!$A$3:$I$56,8,FALSE),main!$K$18:$O$18,0))))),1,0)</f>
        <v>0</v>
      </c>
      <c r="Q6">
        <f>IF((AND(VLOOKUP(Q$1,main!$A$3:$I$56,5,FALSE)-VLOOKUP($A6,main!$A$3:$I$56,6,FALSE)&gt;=(VLOOKUP(VLOOKUP(Q$1,main!$A$3:$I$56,8,FALSE),main!$K$11:$M$14,2,FALSE)+VLOOKUP(VLOOKUP(Q$1,main!$A$3:$I$56,7,FALSE),main!$K$19:$O$22,MATCH(VLOOKUP($A6,main!$A$3:$I$56,8,FALSE),main!$K$18:$O$18,0))))),1,0)</f>
        <v>0</v>
      </c>
      <c r="R6">
        <f>IF((AND(VLOOKUP(R$1,main!$A$3:$I$56,5,FALSE)-VLOOKUP($A6,main!$A$3:$I$56,6,FALSE)&gt;=(VLOOKUP(VLOOKUP(R$1,main!$A$3:$I$56,8,FALSE),main!$K$11:$M$14,2,FALSE)+VLOOKUP(VLOOKUP(R$1,main!$A$3:$I$56,7,FALSE),main!$K$19:$O$22,MATCH(VLOOKUP($A6,main!$A$3:$I$56,8,FALSE),main!$K$18:$O$18,0))))),1,0)</f>
        <v>0</v>
      </c>
      <c r="S6">
        <f>IF((AND(VLOOKUP(S$1,main!$A$3:$I$56,5,FALSE)-VLOOKUP($A6,main!$A$3:$I$56,6,FALSE)&gt;=(VLOOKUP(VLOOKUP(S$1,main!$A$3:$I$56,8,FALSE),main!$K$11:$M$14,2,FALSE)+VLOOKUP(VLOOKUP(S$1,main!$A$3:$I$56,7,FALSE),main!$K$19:$O$22,MATCH(VLOOKUP($A6,main!$A$3:$I$56,8,FALSE),main!$K$18:$O$18,0))))),1,0)</f>
        <v>0</v>
      </c>
      <c r="T6">
        <f>IF((AND(VLOOKUP(T$1,main!$A$3:$I$56,5,FALSE)-VLOOKUP($A6,main!$A$3:$I$56,6,FALSE)&gt;=(VLOOKUP(VLOOKUP(T$1,main!$A$3:$I$56,8,FALSE),main!$K$11:$M$14,2,FALSE)+VLOOKUP(VLOOKUP(T$1,main!$A$3:$I$56,7,FALSE),main!$K$19:$O$22,MATCH(VLOOKUP($A6,main!$A$3:$I$56,8,FALSE),main!$K$18:$O$18,0))))),1,0)</f>
        <v>1</v>
      </c>
      <c r="U6">
        <f>IF((AND(VLOOKUP(U$1,main!$A$3:$I$56,5,FALSE)-VLOOKUP($A6,main!$A$3:$I$56,6,FALSE)&gt;=(VLOOKUP(VLOOKUP(U$1,main!$A$3:$I$56,8,FALSE),main!$K$11:$M$14,2,FALSE)+VLOOKUP(VLOOKUP(U$1,main!$A$3:$I$56,7,FALSE),main!$K$19:$O$22,MATCH(VLOOKUP($A6,main!$A$3:$I$56,8,FALSE),main!$K$18:$O$18,0))))),1,0)</f>
        <v>0</v>
      </c>
      <c r="V6">
        <f>IF((AND(VLOOKUP(V$1,main!$A$3:$I$56,5,FALSE)-VLOOKUP($A6,main!$A$3:$I$56,6,FALSE)&gt;=(VLOOKUP(VLOOKUP(V$1,main!$A$3:$I$56,8,FALSE),main!$K$11:$M$14,2,FALSE)+VLOOKUP(VLOOKUP(V$1,main!$A$3:$I$56,7,FALSE),main!$K$19:$O$22,MATCH(VLOOKUP($A6,main!$A$3:$I$56,8,FALSE),main!$K$18:$O$18,0))))),1,0)</f>
        <v>0</v>
      </c>
      <c r="W6">
        <f>IF((AND(VLOOKUP(W$1,main!$A$3:$I$56,5,FALSE)-VLOOKUP($A6,main!$A$3:$I$56,6,FALSE)&gt;=(VLOOKUP(VLOOKUP(W$1,main!$A$3:$I$56,8,FALSE),main!$K$11:$M$14,2,FALSE)+VLOOKUP(VLOOKUP(W$1,main!$A$3:$I$56,7,FALSE),main!$K$19:$O$22,MATCH(VLOOKUP($A6,main!$A$3:$I$56,8,FALSE),main!$K$18:$O$18,0))))),1,0)</f>
        <v>0</v>
      </c>
      <c r="X6">
        <f>IF((AND(VLOOKUP(X$1,main!$A$3:$I$56,5,FALSE)-VLOOKUP($A6,main!$A$3:$I$56,6,FALSE)&gt;=(VLOOKUP(VLOOKUP(X$1,main!$A$3:$I$56,8,FALSE),main!$K$11:$M$14,2,FALSE)+VLOOKUP(VLOOKUP(X$1,main!$A$3:$I$56,7,FALSE),main!$K$19:$O$22,MATCH(VLOOKUP($A6,main!$A$3:$I$56,8,FALSE),main!$K$18:$O$18,0))))),1,0)</f>
        <v>0</v>
      </c>
      <c r="Y6">
        <f>IF((AND(VLOOKUP(Y$1,main!$A$3:$I$56,5,FALSE)-VLOOKUP($A6,main!$A$3:$I$56,6,FALSE)&gt;=(VLOOKUP(VLOOKUP(Y$1,main!$A$3:$I$56,8,FALSE),main!$K$11:$M$14,2,FALSE)+VLOOKUP(VLOOKUP(Y$1,main!$A$3:$I$56,7,FALSE),main!$K$19:$O$22,MATCH(VLOOKUP($A6,main!$A$3:$I$56,8,FALSE),main!$K$18:$O$18,0))))),1,0)</f>
        <v>0</v>
      </c>
      <c r="Z6">
        <f>IF((AND(VLOOKUP(Z$1,main!$A$3:$I$56,5,FALSE)-VLOOKUP($A6,main!$A$3:$I$56,6,FALSE)&gt;=(VLOOKUP(VLOOKUP(Z$1,main!$A$3:$I$56,8,FALSE),main!$K$11:$M$14,2,FALSE)+VLOOKUP(VLOOKUP(Z$1,main!$A$3:$I$56,7,FALSE),main!$K$19:$O$22,MATCH(VLOOKUP($A6,main!$A$3:$I$56,8,FALSE),main!$K$18:$O$18,0))))),1,0)</f>
        <v>0</v>
      </c>
      <c r="AA6">
        <f>IF((AND(VLOOKUP(AA$1,main!$A$3:$I$56,5,FALSE)-VLOOKUP($A6,main!$A$3:$I$56,6,FALSE)&gt;=(VLOOKUP(VLOOKUP(AA$1,main!$A$3:$I$56,8,FALSE),main!$K$11:$M$14,2,FALSE)+VLOOKUP(VLOOKUP(AA$1,main!$A$3:$I$56,7,FALSE),main!$K$19:$O$22,MATCH(VLOOKUP($A6,main!$A$3:$I$56,8,FALSE),main!$K$18:$O$18,0))))),1,0)</f>
        <v>1</v>
      </c>
      <c r="AB6">
        <f>IF((AND(VLOOKUP(AB$1,main!$A$3:$I$56,5,FALSE)-VLOOKUP($A6,main!$A$3:$I$56,6,FALSE)&gt;=(VLOOKUP(VLOOKUP(AB$1,main!$A$3:$I$56,8,FALSE),main!$K$11:$M$14,2,FALSE)+VLOOKUP(VLOOKUP(AB$1,main!$A$3:$I$56,7,FALSE),main!$K$19:$O$22,MATCH(VLOOKUP($A6,main!$A$3:$I$56,8,FALSE),main!$K$18:$O$18,0))))),1,0)</f>
        <v>1</v>
      </c>
      <c r="AC6">
        <f>IF((AND(VLOOKUP(AC$1,main!$A$3:$I$56,5,FALSE)-VLOOKUP($A6,main!$A$3:$I$56,6,FALSE)&gt;=(VLOOKUP(VLOOKUP(AC$1,main!$A$3:$I$56,8,FALSE),main!$K$11:$M$14,2,FALSE)+VLOOKUP(VLOOKUP(AC$1,main!$A$3:$I$56,7,FALSE),main!$K$19:$O$22,MATCH(VLOOKUP($A6,main!$A$3:$I$56,8,FALSE),main!$K$18:$O$18,0))))),1,0)</f>
        <v>0</v>
      </c>
      <c r="AD6">
        <f>IF((AND(VLOOKUP(AD$1,main!$A$3:$I$56,5,FALSE)-VLOOKUP($A6,main!$A$3:$I$56,6,FALSE)&gt;=(VLOOKUP(VLOOKUP(AD$1,main!$A$3:$I$56,8,FALSE),main!$K$11:$M$14,2,FALSE)+VLOOKUP(VLOOKUP(AD$1,main!$A$3:$I$56,7,FALSE),main!$K$19:$O$22,MATCH(VLOOKUP($A6,main!$A$3:$I$56,8,FALSE),main!$K$18:$O$18,0))))),1,0)</f>
        <v>0</v>
      </c>
      <c r="AE6">
        <f>IF((AND(VLOOKUP(AE$1,main!$A$3:$I$56,5,FALSE)-VLOOKUP($A6,main!$A$3:$I$56,6,FALSE)&gt;=(VLOOKUP(VLOOKUP(AE$1,main!$A$3:$I$56,8,FALSE),main!$K$11:$M$14,2,FALSE)+VLOOKUP(VLOOKUP(AE$1,main!$A$3:$I$56,7,FALSE),main!$K$19:$O$22,MATCH(VLOOKUP($A6,main!$A$3:$I$56,8,FALSE),main!$K$18:$O$18,0))))),1,0)</f>
        <v>0</v>
      </c>
      <c r="AF6">
        <f>IF((AND(VLOOKUP(AF$1,main!$A$3:$I$56,5,FALSE)-VLOOKUP($A6,main!$A$3:$I$56,6,FALSE)&gt;=(VLOOKUP(VLOOKUP(AF$1,main!$A$3:$I$56,8,FALSE),main!$K$11:$M$14,2,FALSE)+VLOOKUP(VLOOKUP(AF$1,main!$A$3:$I$56,7,FALSE),main!$K$19:$O$22,MATCH(VLOOKUP($A6,main!$A$3:$I$56,8,FALSE),main!$K$18:$O$18,0))))),1,0)</f>
        <v>0</v>
      </c>
      <c r="AG6">
        <f>IF((AND(VLOOKUP(AG$1,main!$A$3:$I$56,5,FALSE)-VLOOKUP($A6,main!$A$3:$I$56,6,FALSE)&gt;=(VLOOKUP(VLOOKUP(AG$1,main!$A$3:$I$56,8,FALSE),main!$K$11:$M$14,2,FALSE)+VLOOKUP(VLOOKUP(AG$1,main!$A$3:$I$56,7,FALSE),main!$K$19:$O$22,MATCH(VLOOKUP($A6,main!$A$3:$I$56,8,FALSE),main!$K$18:$O$18,0))))),1,0)</f>
        <v>0</v>
      </c>
      <c r="AH6">
        <f>IF((AND(VLOOKUP(AH$1,main!$A$3:$I$56,5,FALSE)-VLOOKUP($A6,main!$A$3:$I$56,6,FALSE)&gt;=(VLOOKUP(VLOOKUP(AH$1,main!$A$3:$I$56,8,FALSE),main!$K$11:$M$14,2,FALSE)+VLOOKUP(VLOOKUP(AH$1,main!$A$3:$I$56,7,FALSE),main!$K$19:$O$22,MATCH(VLOOKUP($A6,main!$A$3:$I$56,8,FALSE),main!$K$18:$O$18,0))))),1,0)</f>
        <v>0</v>
      </c>
      <c r="AI6">
        <f>IF((AND(VLOOKUP(AI$1,main!$A$3:$I$56,5,FALSE)-VLOOKUP($A6,main!$A$3:$I$56,6,FALSE)&gt;=(VLOOKUP(VLOOKUP(AI$1,main!$A$3:$I$56,8,FALSE),main!$K$11:$M$14,2,FALSE)+VLOOKUP(VLOOKUP(AI$1,main!$A$3:$I$56,7,FALSE),main!$K$19:$O$22,MATCH(VLOOKUP($A6,main!$A$3:$I$56,8,FALSE),main!$K$18:$O$18,0))))),1,0)</f>
        <v>0</v>
      </c>
      <c r="AJ6">
        <f>IF((AND(VLOOKUP(AJ$1,main!$A$3:$I$56,5,FALSE)-VLOOKUP($A6,main!$A$3:$I$56,6,FALSE)&gt;=(VLOOKUP(VLOOKUP(AJ$1,main!$A$3:$I$56,8,FALSE),main!$K$11:$M$14,2,FALSE)+VLOOKUP(VLOOKUP(AJ$1,main!$A$3:$I$56,7,FALSE),main!$K$19:$O$22,MATCH(VLOOKUP($A6,main!$A$3:$I$56,8,FALSE),main!$K$18:$O$18,0))))),1,0)</f>
        <v>0</v>
      </c>
      <c r="AK6">
        <f>IF((AND(VLOOKUP(AK$1,main!$A$3:$I$56,5,FALSE)-VLOOKUP($A6,main!$A$3:$I$56,6,FALSE)&gt;=(VLOOKUP(VLOOKUP(AK$1,main!$A$3:$I$56,8,FALSE),main!$K$11:$M$14,2,FALSE)+VLOOKUP(VLOOKUP(AK$1,main!$A$3:$I$56,7,FALSE),main!$K$19:$O$22,MATCH(VLOOKUP($A6,main!$A$3:$I$56,8,FALSE),main!$K$18:$O$18,0))))),1,0)</f>
        <v>0</v>
      </c>
      <c r="AL6">
        <f>IF((AND(VLOOKUP(AL$1,main!$A$3:$I$56,5,FALSE)-VLOOKUP($A6,main!$A$3:$I$56,6,FALSE)&gt;=(VLOOKUP(VLOOKUP(AL$1,main!$A$3:$I$56,8,FALSE),main!$K$11:$M$14,2,FALSE)+VLOOKUP(VLOOKUP(AL$1,main!$A$3:$I$56,7,FALSE),main!$K$19:$O$22,MATCH(VLOOKUP($A6,main!$A$3:$I$56,8,FALSE),main!$K$18:$O$18,0))))),1,0)</f>
        <v>0</v>
      </c>
      <c r="AM6">
        <f>IF((AND(VLOOKUP(AM$1,main!$A$3:$I$56,5,FALSE)-VLOOKUP($A6,main!$A$3:$I$56,6,FALSE)&gt;=(VLOOKUP(VLOOKUP(AM$1,main!$A$3:$I$56,8,FALSE),main!$K$11:$M$14,2,FALSE)+VLOOKUP(VLOOKUP(AM$1,main!$A$3:$I$56,7,FALSE),main!$K$19:$O$22,MATCH(VLOOKUP($A6,main!$A$3:$I$56,8,FALSE),main!$K$18:$O$18,0))))),1,0)</f>
        <v>0</v>
      </c>
      <c r="AN6">
        <f>IF((AND(VLOOKUP(AN$1,main!$A$3:$I$56,5,FALSE)-VLOOKUP($A6,main!$A$3:$I$56,6,FALSE)&gt;=(VLOOKUP(VLOOKUP(AN$1,main!$A$3:$I$56,8,FALSE),main!$K$11:$M$14,2,FALSE)+VLOOKUP(VLOOKUP(AN$1,main!$A$3:$I$56,7,FALSE),main!$K$19:$O$22,MATCH(VLOOKUP($A6,main!$A$3:$I$56,8,FALSE),main!$K$18:$O$18,0))))),1,0)</f>
        <v>0</v>
      </c>
      <c r="AO6">
        <f>IF((AND(VLOOKUP(AO$1,main!$A$3:$I$56,5,FALSE)-VLOOKUP($A6,main!$A$3:$I$56,6,FALSE)&gt;=(VLOOKUP(VLOOKUP(AO$1,main!$A$3:$I$56,8,FALSE),main!$K$11:$M$14,2,FALSE)+VLOOKUP(VLOOKUP(AO$1,main!$A$3:$I$56,7,FALSE),main!$K$19:$O$22,MATCH(VLOOKUP($A6,main!$A$3:$I$56,8,FALSE),main!$K$18:$O$18,0))))),1,0)</f>
        <v>0</v>
      </c>
      <c r="AP6">
        <f>IF((AND(VLOOKUP(AP$1,main!$A$3:$I$56,5,FALSE)-VLOOKUP($A6,main!$A$3:$I$56,6,FALSE)&gt;=(VLOOKUP(VLOOKUP(AP$1,main!$A$3:$I$56,8,FALSE),main!$K$11:$M$14,2,FALSE)+VLOOKUP(VLOOKUP(AP$1,main!$A$3:$I$56,7,FALSE),main!$K$19:$O$22,MATCH(VLOOKUP($A6,main!$A$3:$I$56,8,FALSE),main!$K$18:$O$18,0))))),1,0)</f>
        <v>0</v>
      </c>
      <c r="AQ6">
        <f>IF((AND(VLOOKUP(AQ$1,main!$A$3:$I$56,5,FALSE)-VLOOKUP($A6,main!$A$3:$I$56,6,FALSE)&gt;=(VLOOKUP(VLOOKUP(AQ$1,main!$A$3:$I$56,8,FALSE),main!$K$11:$M$14,2,FALSE)+VLOOKUP(VLOOKUP(AQ$1,main!$A$3:$I$56,7,FALSE),main!$K$19:$O$22,MATCH(VLOOKUP($A6,main!$A$3:$I$56,8,FALSE),main!$K$18:$O$18,0))))),1,0)</f>
        <v>0</v>
      </c>
      <c r="AR6">
        <f>IF((AND(VLOOKUP(AR$1,main!$A$3:$I$56,5,FALSE)-VLOOKUP($A6,main!$A$3:$I$56,6,FALSE)&gt;=(VLOOKUP(VLOOKUP(AR$1,main!$A$3:$I$56,8,FALSE),main!$K$11:$M$14,2,FALSE)+VLOOKUP(VLOOKUP(AR$1,main!$A$3:$I$56,7,FALSE),main!$K$19:$O$22,MATCH(VLOOKUP($A6,main!$A$3:$I$56,8,FALSE),main!$K$18:$O$18,0))))),1,0)</f>
        <v>0</v>
      </c>
      <c r="AS6">
        <f>IF((AND(VLOOKUP(AS$1,main!$A$3:$I$56,5,FALSE)-VLOOKUP($A6,main!$A$3:$I$56,6,FALSE)&gt;=(VLOOKUP(VLOOKUP(AS$1,main!$A$3:$I$56,8,FALSE),main!$K$11:$M$14,2,FALSE)+VLOOKUP(VLOOKUP(AS$1,main!$A$3:$I$56,7,FALSE),main!$K$19:$O$22,MATCH(VLOOKUP($A6,main!$A$3:$I$56,8,FALSE),main!$K$18:$O$18,0))))),1,0)</f>
        <v>0</v>
      </c>
      <c r="AT6">
        <f>IF((AND(VLOOKUP(AT$1,main!$A$3:$I$56,5,FALSE)-VLOOKUP($A6,main!$A$3:$I$56,6,FALSE)&gt;=(VLOOKUP(VLOOKUP(AT$1,main!$A$3:$I$56,8,FALSE),main!$K$11:$M$14,2,FALSE)+VLOOKUP(VLOOKUP(AT$1,main!$A$3:$I$56,7,FALSE),main!$K$19:$O$22,MATCH(VLOOKUP($A6,main!$A$3:$I$56,8,FALSE),main!$K$18:$O$18,0))))),1,0)</f>
        <v>0</v>
      </c>
      <c r="AU6">
        <f>IF((AND(VLOOKUP(AU$1,main!$A$3:$I$56,5,FALSE)-VLOOKUP($A6,main!$A$3:$I$56,6,FALSE)&gt;=(VLOOKUP(VLOOKUP(AU$1,main!$A$3:$I$56,8,FALSE),main!$K$11:$M$14,2,FALSE)+VLOOKUP(VLOOKUP(AU$1,main!$A$3:$I$56,7,FALSE),main!$K$19:$O$22,MATCH(VLOOKUP($A6,main!$A$3:$I$56,8,FALSE),main!$K$18:$O$18,0))))),1,0)</f>
        <v>0</v>
      </c>
      <c r="AV6">
        <f>IF((AND(VLOOKUP(AV$1,main!$A$3:$I$56,5,FALSE)-VLOOKUP($A6,main!$A$3:$I$56,6,FALSE)&gt;=(VLOOKUP(VLOOKUP(AV$1,main!$A$3:$I$56,8,FALSE),main!$K$11:$M$14,2,FALSE)+VLOOKUP(VLOOKUP(AV$1,main!$A$3:$I$56,7,FALSE),main!$K$19:$O$22,MATCH(VLOOKUP($A6,main!$A$3:$I$56,8,FALSE),main!$K$18:$O$18,0))))),1,0)</f>
        <v>0</v>
      </c>
      <c r="AW6">
        <f>IF((AND(VLOOKUP(AW$1,main!$A$3:$I$56,5,FALSE)-VLOOKUP($A6,main!$A$3:$I$56,6,FALSE)&gt;=(VLOOKUP(VLOOKUP(AW$1,main!$A$3:$I$56,8,FALSE),main!$K$11:$M$14,2,FALSE)+VLOOKUP(VLOOKUP(AW$1,main!$A$3:$I$56,7,FALSE),main!$K$19:$O$22,MATCH(VLOOKUP($A6,main!$A$3:$I$56,8,FALSE),main!$K$18:$O$18,0))))),1,0)</f>
        <v>0</v>
      </c>
      <c r="AX6">
        <f>IF((AND(VLOOKUP(AX$1,main!$A$3:$I$56,5,FALSE)-VLOOKUP($A6,main!$A$3:$I$56,6,FALSE)&gt;=(VLOOKUP(VLOOKUP(AX$1,main!$A$3:$I$56,8,FALSE),main!$K$11:$M$14,2,FALSE)+VLOOKUP(VLOOKUP(AX$1,main!$A$3:$I$56,7,FALSE),main!$K$19:$O$22,MATCH(VLOOKUP($A6,main!$A$3:$I$56,8,FALSE),main!$K$18:$O$18,0))))),1,0)</f>
        <v>0</v>
      </c>
      <c r="AY6">
        <f>IF((AND(VLOOKUP(AY$1,main!$A$3:$I$56,5,FALSE)-VLOOKUP($A6,main!$A$3:$I$56,6,FALSE)&gt;=(VLOOKUP(VLOOKUP(AY$1,main!$A$3:$I$56,8,FALSE),main!$K$11:$M$14,2,FALSE)+VLOOKUP(VLOOKUP(AY$1,main!$A$3:$I$56,7,FALSE),main!$K$19:$O$22,MATCH(VLOOKUP($A6,main!$A$3:$I$56,8,FALSE),main!$K$18:$O$18,0))))),1,0)</f>
        <v>1</v>
      </c>
      <c r="AZ6">
        <f>IF((AND(VLOOKUP(AZ$1,main!$A$3:$I$56,5,FALSE)-VLOOKUP($A6,main!$A$3:$I$56,6,FALSE)&gt;=(VLOOKUP(VLOOKUP(AZ$1,main!$A$3:$I$56,8,FALSE),main!$K$11:$M$14,2,FALSE)+VLOOKUP(VLOOKUP(AZ$1,main!$A$3:$I$56,7,FALSE),main!$K$19:$O$22,MATCH(VLOOKUP($A6,main!$A$3:$I$56,8,FALSE),main!$K$18:$O$18,0))))),1,0)</f>
        <v>0</v>
      </c>
      <c r="BA6">
        <f>IF((AND(VLOOKUP(BA$1,main!$A$3:$I$56,5,FALSE)-VLOOKUP($A6,main!$A$3:$I$56,6,FALSE)&gt;=(VLOOKUP(VLOOKUP(BA$1,main!$A$3:$I$56,8,FALSE),main!$K$11:$M$14,2,FALSE)+VLOOKUP(VLOOKUP(BA$1,main!$A$3:$I$56,7,FALSE),main!$K$19:$O$22,MATCH(VLOOKUP($A6,main!$A$3:$I$56,8,FALSE),main!$K$18:$O$18,0))))),1,0)</f>
        <v>0</v>
      </c>
      <c r="BB6">
        <f>IF((AND(VLOOKUP(BB$1,main!$A$3:$I$56,5,FALSE)-VLOOKUP($A6,main!$A$3:$I$56,6,FALSE)&gt;=(VLOOKUP(VLOOKUP(BB$1,main!$A$3:$I$56,8,FALSE),main!$K$11:$M$14,2,FALSE)+VLOOKUP(VLOOKUP(BB$1,main!$A$3:$I$56,7,FALSE),main!$K$19:$O$22,MATCH(VLOOKUP($A6,main!$A$3:$I$56,8,FALSE),main!$K$18:$O$18,0))))),1,0)</f>
        <v>0</v>
      </c>
      <c r="BC6">
        <f>IF((AND(VLOOKUP(BC$1,main!$A$3:$I$56,5,FALSE)-VLOOKUP($A6,main!$A$3:$I$56,6,FALSE)&gt;=(VLOOKUP(VLOOKUP(BC$1,main!$A$3:$I$56,8,FALSE),main!$K$11:$M$14,2,FALSE)+VLOOKUP(VLOOKUP(BC$1,main!$A$3:$I$56,7,FALSE),main!$K$19:$O$22,MATCH(VLOOKUP($A6,main!$A$3:$I$56,8,FALSE),main!$K$18:$O$18,0))))),1,0)</f>
        <v>0</v>
      </c>
      <c r="BD6">
        <f>IF((AND(VLOOKUP(BD$1,main!$A$3:$I$56,5,FALSE)-VLOOKUP($A6,main!$A$3:$I$56,6,FALSE)&gt;=(VLOOKUP(VLOOKUP(BD$1,main!$A$3:$I$56,8,FALSE),main!$K$11:$M$14,2,FALSE)+VLOOKUP(VLOOKUP(BD$1,main!$A$3:$I$56,7,FALSE),main!$K$19:$O$22,MATCH(VLOOKUP($A6,main!$A$3:$I$56,8,FALSE),main!$K$18:$O$18,0))))),1,0)</f>
        <v>0</v>
      </c>
    </row>
    <row r="7" spans="1:56" x14ac:dyDescent="0.25">
      <c r="A7">
        <f t="shared" si="0"/>
        <v>5</v>
      </c>
      <c r="B7">
        <v>1</v>
      </c>
      <c r="C7">
        <f>IF((AND(VLOOKUP(C$1,main!$A$3:$I$56,5,FALSE)-VLOOKUP($A7,main!$A$3:$I$56,6,FALSE)&gt;=(VLOOKUP(VLOOKUP(C$1,main!$A$3:$I$56,8,FALSE),main!$K$11:$M$14,2,FALSE)+VLOOKUP(VLOOKUP(C$1,main!$A$3:$I$56,7,FALSE),main!$K$19:$O$22,MATCH(VLOOKUP($A7,main!$A$3:$I$56,8,FALSE),main!$K$18:$O$18,0))))),1,0)</f>
        <v>0</v>
      </c>
      <c r="D7">
        <f>IF((AND(VLOOKUP(D$1,main!$A$3:$I$56,5,FALSE)-VLOOKUP($A7,main!$A$3:$I$56,6,FALSE)&gt;=(VLOOKUP(VLOOKUP(D$1,main!$A$3:$I$56,8,FALSE),main!$K$11:$M$14,2,FALSE)+VLOOKUP(VLOOKUP(D$1,main!$A$3:$I$56,7,FALSE),main!$K$19:$O$22,MATCH(VLOOKUP($A7,main!$A$3:$I$56,8,FALSE),main!$K$18:$O$18,0))))),1,0)</f>
        <v>0</v>
      </c>
      <c r="E7">
        <f>IF((AND(VLOOKUP(E$1,main!$A$3:$I$56,5,FALSE)-VLOOKUP($A7,main!$A$3:$I$56,6,FALSE)&gt;=(VLOOKUP(VLOOKUP(E$1,main!$A$3:$I$56,8,FALSE),main!$K$11:$M$14,2,FALSE)+VLOOKUP(VLOOKUP(E$1,main!$A$3:$I$56,7,FALSE),main!$K$19:$O$22,MATCH(VLOOKUP($A7,main!$A$3:$I$56,8,FALSE),main!$K$18:$O$18,0))))),1,0)</f>
        <v>0</v>
      </c>
      <c r="F7">
        <f>IF((AND(VLOOKUP(F$1,main!$A$3:$I$56,5,FALSE)-VLOOKUP($A7,main!$A$3:$I$56,6,FALSE)&gt;=(VLOOKUP(VLOOKUP(F$1,main!$A$3:$I$56,8,FALSE),main!$K$11:$M$14,2,FALSE)+VLOOKUP(VLOOKUP(F$1,main!$A$3:$I$56,7,FALSE),main!$K$19:$O$22,MATCH(VLOOKUP($A7,main!$A$3:$I$56,8,FALSE),main!$K$18:$O$18,0))))),1,0)</f>
        <v>0</v>
      </c>
      <c r="G7">
        <f>IF((AND(VLOOKUP(G$1,main!$A$3:$I$56,5,FALSE)-VLOOKUP($A7,main!$A$3:$I$56,6,FALSE)&gt;=(VLOOKUP(VLOOKUP(G$1,main!$A$3:$I$56,8,FALSE),main!$K$11:$M$14,2,FALSE)+VLOOKUP(VLOOKUP(G$1,main!$A$3:$I$56,7,FALSE),main!$K$19:$O$22,MATCH(VLOOKUP($A7,main!$A$3:$I$56,8,FALSE),main!$K$18:$O$18,0))))),1,0)</f>
        <v>0</v>
      </c>
      <c r="H7">
        <f>IF((AND(VLOOKUP(H$1,main!$A$3:$I$56,5,FALSE)-VLOOKUP($A7,main!$A$3:$I$56,6,FALSE)&gt;=(VLOOKUP(VLOOKUP(H$1,main!$A$3:$I$56,8,FALSE),main!$K$11:$M$14,2,FALSE)+VLOOKUP(VLOOKUP(H$1,main!$A$3:$I$56,7,FALSE),main!$K$19:$O$22,MATCH(VLOOKUP($A7,main!$A$3:$I$56,8,FALSE),main!$K$18:$O$18,0))))),1,0)</f>
        <v>0</v>
      </c>
      <c r="I7">
        <f>IF((AND(VLOOKUP(I$1,main!$A$3:$I$56,5,FALSE)-VLOOKUP($A7,main!$A$3:$I$56,6,FALSE)&gt;=(VLOOKUP(VLOOKUP(I$1,main!$A$3:$I$56,8,FALSE),main!$K$11:$M$14,2,FALSE)+VLOOKUP(VLOOKUP(I$1,main!$A$3:$I$56,7,FALSE),main!$K$19:$O$22,MATCH(VLOOKUP($A7,main!$A$3:$I$56,8,FALSE),main!$K$18:$O$18,0))))),1,0)</f>
        <v>0</v>
      </c>
      <c r="J7">
        <f>IF((AND(VLOOKUP(J$1,main!$A$3:$I$56,5,FALSE)-VLOOKUP($A7,main!$A$3:$I$56,6,FALSE)&gt;=(VLOOKUP(VLOOKUP(J$1,main!$A$3:$I$56,8,FALSE),main!$K$11:$M$14,2,FALSE)+VLOOKUP(VLOOKUP(J$1,main!$A$3:$I$56,7,FALSE),main!$K$19:$O$22,MATCH(VLOOKUP($A7,main!$A$3:$I$56,8,FALSE),main!$K$18:$O$18,0))))),1,0)</f>
        <v>1</v>
      </c>
      <c r="K7">
        <f>IF((AND(VLOOKUP(K$1,main!$A$3:$I$56,5,FALSE)-VLOOKUP($A7,main!$A$3:$I$56,6,FALSE)&gt;=(VLOOKUP(VLOOKUP(K$1,main!$A$3:$I$56,8,FALSE),main!$K$11:$M$14,2,FALSE)+VLOOKUP(VLOOKUP(K$1,main!$A$3:$I$56,7,FALSE),main!$K$19:$O$22,MATCH(VLOOKUP($A7,main!$A$3:$I$56,8,FALSE),main!$K$18:$O$18,0))))),1,0)</f>
        <v>0</v>
      </c>
      <c r="L7">
        <f>IF((AND(VLOOKUP(L$1,main!$A$3:$I$56,5,FALSE)-VLOOKUP($A7,main!$A$3:$I$56,6,FALSE)&gt;=(VLOOKUP(VLOOKUP(L$1,main!$A$3:$I$56,8,FALSE),main!$K$11:$M$14,2,FALSE)+VLOOKUP(VLOOKUP(L$1,main!$A$3:$I$56,7,FALSE),main!$K$19:$O$22,MATCH(VLOOKUP($A7,main!$A$3:$I$56,8,FALSE),main!$K$18:$O$18,0))))),1,0)</f>
        <v>0</v>
      </c>
      <c r="M7">
        <f>IF((AND(VLOOKUP(M$1,main!$A$3:$I$56,5,FALSE)-VLOOKUP($A7,main!$A$3:$I$56,6,FALSE)&gt;=(VLOOKUP(VLOOKUP(M$1,main!$A$3:$I$56,8,FALSE),main!$K$11:$M$14,2,FALSE)+VLOOKUP(VLOOKUP(M$1,main!$A$3:$I$56,7,FALSE),main!$K$19:$O$22,MATCH(VLOOKUP($A7,main!$A$3:$I$56,8,FALSE),main!$K$18:$O$18,0))))),1,0)</f>
        <v>0</v>
      </c>
      <c r="N7">
        <f>IF((AND(VLOOKUP(N$1,main!$A$3:$I$56,5,FALSE)-VLOOKUP($A7,main!$A$3:$I$56,6,FALSE)&gt;=(VLOOKUP(VLOOKUP(N$1,main!$A$3:$I$56,8,FALSE),main!$K$11:$M$14,2,FALSE)+VLOOKUP(VLOOKUP(N$1,main!$A$3:$I$56,7,FALSE),main!$K$19:$O$22,MATCH(VLOOKUP($A7,main!$A$3:$I$56,8,FALSE),main!$K$18:$O$18,0))))),1,0)</f>
        <v>1</v>
      </c>
      <c r="O7">
        <f>IF((AND(VLOOKUP(O$1,main!$A$3:$I$56,5,FALSE)-VLOOKUP($A7,main!$A$3:$I$56,6,FALSE)&gt;=(VLOOKUP(VLOOKUP(O$1,main!$A$3:$I$56,8,FALSE),main!$K$11:$M$14,2,FALSE)+VLOOKUP(VLOOKUP(O$1,main!$A$3:$I$56,7,FALSE),main!$K$19:$O$22,MATCH(VLOOKUP($A7,main!$A$3:$I$56,8,FALSE),main!$K$18:$O$18,0))))),1,0)</f>
        <v>1</v>
      </c>
      <c r="P7">
        <f>IF((AND(VLOOKUP(P$1,main!$A$3:$I$56,5,FALSE)-VLOOKUP($A7,main!$A$3:$I$56,6,FALSE)&gt;=(VLOOKUP(VLOOKUP(P$1,main!$A$3:$I$56,8,FALSE),main!$K$11:$M$14,2,FALSE)+VLOOKUP(VLOOKUP(P$1,main!$A$3:$I$56,7,FALSE),main!$K$19:$O$22,MATCH(VLOOKUP($A7,main!$A$3:$I$56,8,FALSE),main!$K$18:$O$18,0))))),1,0)</f>
        <v>0</v>
      </c>
      <c r="Q7">
        <f>IF((AND(VLOOKUP(Q$1,main!$A$3:$I$56,5,FALSE)-VLOOKUP($A7,main!$A$3:$I$56,6,FALSE)&gt;=(VLOOKUP(VLOOKUP(Q$1,main!$A$3:$I$56,8,FALSE),main!$K$11:$M$14,2,FALSE)+VLOOKUP(VLOOKUP(Q$1,main!$A$3:$I$56,7,FALSE),main!$K$19:$O$22,MATCH(VLOOKUP($A7,main!$A$3:$I$56,8,FALSE),main!$K$18:$O$18,0))))),1,0)</f>
        <v>0</v>
      </c>
      <c r="R7">
        <f>IF((AND(VLOOKUP(R$1,main!$A$3:$I$56,5,FALSE)-VLOOKUP($A7,main!$A$3:$I$56,6,FALSE)&gt;=(VLOOKUP(VLOOKUP(R$1,main!$A$3:$I$56,8,FALSE),main!$K$11:$M$14,2,FALSE)+VLOOKUP(VLOOKUP(R$1,main!$A$3:$I$56,7,FALSE),main!$K$19:$O$22,MATCH(VLOOKUP($A7,main!$A$3:$I$56,8,FALSE),main!$K$18:$O$18,0))))),1,0)</f>
        <v>0</v>
      </c>
      <c r="S7">
        <f>IF((AND(VLOOKUP(S$1,main!$A$3:$I$56,5,FALSE)-VLOOKUP($A7,main!$A$3:$I$56,6,FALSE)&gt;=(VLOOKUP(VLOOKUP(S$1,main!$A$3:$I$56,8,FALSE),main!$K$11:$M$14,2,FALSE)+VLOOKUP(VLOOKUP(S$1,main!$A$3:$I$56,7,FALSE),main!$K$19:$O$22,MATCH(VLOOKUP($A7,main!$A$3:$I$56,8,FALSE),main!$K$18:$O$18,0))))),1,0)</f>
        <v>0</v>
      </c>
      <c r="T7">
        <f>IF((AND(VLOOKUP(T$1,main!$A$3:$I$56,5,FALSE)-VLOOKUP($A7,main!$A$3:$I$56,6,FALSE)&gt;=(VLOOKUP(VLOOKUP(T$1,main!$A$3:$I$56,8,FALSE),main!$K$11:$M$14,2,FALSE)+VLOOKUP(VLOOKUP(T$1,main!$A$3:$I$56,7,FALSE),main!$K$19:$O$22,MATCH(VLOOKUP($A7,main!$A$3:$I$56,8,FALSE),main!$K$18:$O$18,0))))),1,0)</f>
        <v>0</v>
      </c>
      <c r="U7">
        <f>IF((AND(VLOOKUP(U$1,main!$A$3:$I$56,5,FALSE)-VLOOKUP($A7,main!$A$3:$I$56,6,FALSE)&gt;=(VLOOKUP(VLOOKUP(U$1,main!$A$3:$I$56,8,FALSE),main!$K$11:$M$14,2,FALSE)+VLOOKUP(VLOOKUP(U$1,main!$A$3:$I$56,7,FALSE),main!$K$19:$O$22,MATCH(VLOOKUP($A7,main!$A$3:$I$56,8,FALSE),main!$K$18:$O$18,0))))),1,0)</f>
        <v>0</v>
      </c>
      <c r="V7">
        <f>IF((AND(VLOOKUP(V$1,main!$A$3:$I$56,5,FALSE)-VLOOKUP($A7,main!$A$3:$I$56,6,FALSE)&gt;=(VLOOKUP(VLOOKUP(V$1,main!$A$3:$I$56,8,FALSE),main!$K$11:$M$14,2,FALSE)+VLOOKUP(VLOOKUP(V$1,main!$A$3:$I$56,7,FALSE),main!$K$19:$O$22,MATCH(VLOOKUP($A7,main!$A$3:$I$56,8,FALSE),main!$K$18:$O$18,0))))),1,0)</f>
        <v>0</v>
      </c>
      <c r="W7">
        <f>IF((AND(VLOOKUP(W$1,main!$A$3:$I$56,5,FALSE)-VLOOKUP($A7,main!$A$3:$I$56,6,FALSE)&gt;=(VLOOKUP(VLOOKUP(W$1,main!$A$3:$I$56,8,FALSE),main!$K$11:$M$14,2,FALSE)+VLOOKUP(VLOOKUP(W$1,main!$A$3:$I$56,7,FALSE),main!$K$19:$O$22,MATCH(VLOOKUP($A7,main!$A$3:$I$56,8,FALSE),main!$K$18:$O$18,0))))),1,0)</f>
        <v>0</v>
      </c>
      <c r="X7">
        <f>IF((AND(VLOOKUP(X$1,main!$A$3:$I$56,5,FALSE)-VLOOKUP($A7,main!$A$3:$I$56,6,FALSE)&gt;=(VLOOKUP(VLOOKUP(X$1,main!$A$3:$I$56,8,FALSE),main!$K$11:$M$14,2,FALSE)+VLOOKUP(VLOOKUP(X$1,main!$A$3:$I$56,7,FALSE),main!$K$19:$O$22,MATCH(VLOOKUP($A7,main!$A$3:$I$56,8,FALSE),main!$K$18:$O$18,0))))),1,0)</f>
        <v>0</v>
      </c>
      <c r="Y7">
        <f>IF((AND(VLOOKUP(Y$1,main!$A$3:$I$56,5,FALSE)-VLOOKUP($A7,main!$A$3:$I$56,6,FALSE)&gt;=(VLOOKUP(VLOOKUP(Y$1,main!$A$3:$I$56,8,FALSE),main!$K$11:$M$14,2,FALSE)+VLOOKUP(VLOOKUP(Y$1,main!$A$3:$I$56,7,FALSE),main!$K$19:$O$22,MATCH(VLOOKUP($A7,main!$A$3:$I$56,8,FALSE),main!$K$18:$O$18,0))))),1,0)</f>
        <v>0</v>
      </c>
      <c r="Z7">
        <f>IF((AND(VLOOKUP(Z$1,main!$A$3:$I$56,5,FALSE)-VLOOKUP($A7,main!$A$3:$I$56,6,FALSE)&gt;=(VLOOKUP(VLOOKUP(Z$1,main!$A$3:$I$56,8,FALSE),main!$K$11:$M$14,2,FALSE)+VLOOKUP(VLOOKUP(Z$1,main!$A$3:$I$56,7,FALSE),main!$K$19:$O$22,MATCH(VLOOKUP($A7,main!$A$3:$I$56,8,FALSE),main!$K$18:$O$18,0))))),1,0)</f>
        <v>0</v>
      </c>
      <c r="AA7">
        <f>IF((AND(VLOOKUP(AA$1,main!$A$3:$I$56,5,FALSE)-VLOOKUP($A7,main!$A$3:$I$56,6,FALSE)&gt;=(VLOOKUP(VLOOKUP(AA$1,main!$A$3:$I$56,8,FALSE),main!$K$11:$M$14,2,FALSE)+VLOOKUP(VLOOKUP(AA$1,main!$A$3:$I$56,7,FALSE),main!$K$19:$O$22,MATCH(VLOOKUP($A7,main!$A$3:$I$56,8,FALSE),main!$K$18:$O$18,0))))),1,0)</f>
        <v>0</v>
      </c>
      <c r="AB7">
        <f>IF((AND(VLOOKUP(AB$1,main!$A$3:$I$56,5,FALSE)-VLOOKUP($A7,main!$A$3:$I$56,6,FALSE)&gt;=(VLOOKUP(VLOOKUP(AB$1,main!$A$3:$I$56,8,FALSE),main!$K$11:$M$14,2,FALSE)+VLOOKUP(VLOOKUP(AB$1,main!$A$3:$I$56,7,FALSE),main!$K$19:$O$22,MATCH(VLOOKUP($A7,main!$A$3:$I$56,8,FALSE),main!$K$18:$O$18,0))))),1,0)</f>
        <v>1</v>
      </c>
      <c r="AC7">
        <f>IF((AND(VLOOKUP(AC$1,main!$A$3:$I$56,5,FALSE)-VLOOKUP($A7,main!$A$3:$I$56,6,FALSE)&gt;=(VLOOKUP(VLOOKUP(AC$1,main!$A$3:$I$56,8,FALSE),main!$K$11:$M$14,2,FALSE)+VLOOKUP(VLOOKUP(AC$1,main!$A$3:$I$56,7,FALSE),main!$K$19:$O$22,MATCH(VLOOKUP($A7,main!$A$3:$I$56,8,FALSE),main!$K$18:$O$18,0))))),1,0)</f>
        <v>0</v>
      </c>
      <c r="AD7">
        <f>IF((AND(VLOOKUP(AD$1,main!$A$3:$I$56,5,FALSE)-VLOOKUP($A7,main!$A$3:$I$56,6,FALSE)&gt;=(VLOOKUP(VLOOKUP(AD$1,main!$A$3:$I$56,8,FALSE),main!$K$11:$M$14,2,FALSE)+VLOOKUP(VLOOKUP(AD$1,main!$A$3:$I$56,7,FALSE),main!$K$19:$O$22,MATCH(VLOOKUP($A7,main!$A$3:$I$56,8,FALSE),main!$K$18:$O$18,0))))),1,0)</f>
        <v>0</v>
      </c>
      <c r="AE7">
        <f>IF((AND(VLOOKUP(AE$1,main!$A$3:$I$56,5,FALSE)-VLOOKUP($A7,main!$A$3:$I$56,6,FALSE)&gt;=(VLOOKUP(VLOOKUP(AE$1,main!$A$3:$I$56,8,FALSE),main!$K$11:$M$14,2,FALSE)+VLOOKUP(VLOOKUP(AE$1,main!$A$3:$I$56,7,FALSE),main!$K$19:$O$22,MATCH(VLOOKUP($A7,main!$A$3:$I$56,8,FALSE),main!$K$18:$O$18,0))))),1,0)</f>
        <v>0</v>
      </c>
      <c r="AF7">
        <f>IF((AND(VLOOKUP(AF$1,main!$A$3:$I$56,5,FALSE)-VLOOKUP($A7,main!$A$3:$I$56,6,FALSE)&gt;=(VLOOKUP(VLOOKUP(AF$1,main!$A$3:$I$56,8,FALSE),main!$K$11:$M$14,2,FALSE)+VLOOKUP(VLOOKUP(AF$1,main!$A$3:$I$56,7,FALSE),main!$K$19:$O$22,MATCH(VLOOKUP($A7,main!$A$3:$I$56,8,FALSE),main!$K$18:$O$18,0))))),1,0)</f>
        <v>0</v>
      </c>
      <c r="AG7">
        <f>IF((AND(VLOOKUP(AG$1,main!$A$3:$I$56,5,FALSE)-VLOOKUP($A7,main!$A$3:$I$56,6,FALSE)&gt;=(VLOOKUP(VLOOKUP(AG$1,main!$A$3:$I$56,8,FALSE),main!$K$11:$M$14,2,FALSE)+VLOOKUP(VLOOKUP(AG$1,main!$A$3:$I$56,7,FALSE),main!$K$19:$O$22,MATCH(VLOOKUP($A7,main!$A$3:$I$56,8,FALSE),main!$K$18:$O$18,0))))),1,0)</f>
        <v>0</v>
      </c>
      <c r="AH7">
        <f>IF((AND(VLOOKUP(AH$1,main!$A$3:$I$56,5,FALSE)-VLOOKUP($A7,main!$A$3:$I$56,6,FALSE)&gt;=(VLOOKUP(VLOOKUP(AH$1,main!$A$3:$I$56,8,FALSE),main!$K$11:$M$14,2,FALSE)+VLOOKUP(VLOOKUP(AH$1,main!$A$3:$I$56,7,FALSE),main!$K$19:$O$22,MATCH(VLOOKUP($A7,main!$A$3:$I$56,8,FALSE),main!$K$18:$O$18,0))))),1,0)</f>
        <v>0</v>
      </c>
      <c r="AI7">
        <f>IF((AND(VLOOKUP(AI$1,main!$A$3:$I$56,5,FALSE)-VLOOKUP($A7,main!$A$3:$I$56,6,FALSE)&gt;=(VLOOKUP(VLOOKUP(AI$1,main!$A$3:$I$56,8,FALSE),main!$K$11:$M$14,2,FALSE)+VLOOKUP(VLOOKUP(AI$1,main!$A$3:$I$56,7,FALSE),main!$K$19:$O$22,MATCH(VLOOKUP($A7,main!$A$3:$I$56,8,FALSE),main!$K$18:$O$18,0))))),1,0)</f>
        <v>0</v>
      </c>
      <c r="AJ7">
        <f>IF((AND(VLOOKUP(AJ$1,main!$A$3:$I$56,5,FALSE)-VLOOKUP($A7,main!$A$3:$I$56,6,FALSE)&gt;=(VLOOKUP(VLOOKUP(AJ$1,main!$A$3:$I$56,8,FALSE),main!$K$11:$M$14,2,FALSE)+VLOOKUP(VLOOKUP(AJ$1,main!$A$3:$I$56,7,FALSE),main!$K$19:$O$22,MATCH(VLOOKUP($A7,main!$A$3:$I$56,8,FALSE),main!$K$18:$O$18,0))))),1,0)</f>
        <v>0</v>
      </c>
      <c r="AK7">
        <f>IF((AND(VLOOKUP(AK$1,main!$A$3:$I$56,5,FALSE)-VLOOKUP($A7,main!$A$3:$I$56,6,FALSE)&gt;=(VLOOKUP(VLOOKUP(AK$1,main!$A$3:$I$56,8,FALSE),main!$K$11:$M$14,2,FALSE)+VLOOKUP(VLOOKUP(AK$1,main!$A$3:$I$56,7,FALSE),main!$K$19:$O$22,MATCH(VLOOKUP($A7,main!$A$3:$I$56,8,FALSE),main!$K$18:$O$18,0))))),1,0)</f>
        <v>0</v>
      </c>
      <c r="AL7">
        <f>IF((AND(VLOOKUP(AL$1,main!$A$3:$I$56,5,FALSE)-VLOOKUP($A7,main!$A$3:$I$56,6,FALSE)&gt;=(VLOOKUP(VLOOKUP(AL$1,main!$A$3:$I$56,8,FALSE),main!$K$11:$M$14,2,FALSE)+VLOOKUP(VLOOKUP(AL$1,main!$A$3:$I$56,7,FALSE),main!$K$19:$O$22,MATCH(VLOOKUP($A7,main!$A$3:$I$56,8,FALSE),main!$K$18:$O$18,0))))),1,0)</f>
        <v>0</v>
      </c>
      <c r="AM7">
        <f>IF((AND(VLOOKUP(AM$1,main!$A$3:$I$56,5,FALSE)-VLOOKUP($A7,main!$A$3:$I$56,6,FALSE)&gt;=(VLOOKUP(VLOOKUP(AM$1,main!$A$3:$I$56,8,FALSE),main!$K$11:$M$14,2,FALSE)+VLOOKUP(VLOOKUP(AM$1,main!$A$3:$I$56,7,FALSE),main!$K$19:$O$22,MATCH(VLOOKUP($A7,main!$A$3:$I$56,8,FALSE),main!$K$18:$O$18,0))))),1,0)</f>
        <v>0</v>
      </c>
      <c r="AN7">
        <f>IF((AND(VLOOKUP(AN$1,main!$A$3:$I$56,5,FALSE)-VLOOKUP($A7,main!$A$3:$I$56,6,FALSE)&gt;=(VLOOKUP(VLOOKUP(AN$1,main!$A$3:$I$56,8,FALSE),main!$K$11:$M$14,2,FALSE)+VLOOKUP(VLOOKUP(AN$1,main!$A$3:$I$56,7,FALSE),main!$K$19:$O$22,MATCH(VLOOKUP($A7,main!$A$3:$I$56,8,FALSE),main!$K$18:$O$18,0))))),1,0)</f>
        <v>0</v>
      </c>
      <c r="AO7">
        <f>IF((AND(VLOOKUP(AO$1,main!$A$3:$I$56,5,FALSE)-VLOOKUP($A7,main!$A$3:$I$56,6,FALSE)&gt;=(VLOOKUP(VLOOKUP(AO$1,main!$A$3:$I$56,8,FALSE),main!$K$11:$M$14,2,FALSE)+VLOOKUP(VLOOKUP(AO$1,main!$A$3:$I$56,7,FALSE),main!$K$19:$O$22,MATCH(VLOOKUP($A7,main!$A$3:$I$56,8,FALSE),main!$K$18:$O$18,0))))),1,0)</f>
        <v>0</v>
      </c>
      <c r="AP7">
        <f>IF((AND(VLOOKUP(AP$1,main!$A$3:$I$56,5,FALSE)-VLOOKUP($A7,main!$A$3:$I$56,6,FALSE)&gt;=(VLOOKUP(VLOOKUP(AP$1,main!$A$3:$I$56,8,FALSE),main!$K$11:$M$14,2,FALSE)+VLOOKUP(VLOOKUP(AP$1,main!$A$3:$I$56,7,FALSE),main!$K$19:$O$22,MATCH(VLOOKUP($A7,main!$A$3:$I$56,8,FALSE),main!$K$18:$O$18,0))))),1,0)</f>
        <v>0</v>
      </c>
      <c r="AQ7">
        <f>IF((AND(VLOOKUP(AQ$1,main!$A$3:$I$56,5,FALSE)-VLOOKUP($A7,main!$A$3:$I$56,6,FALSE)&gt;=(VLOOKUP(VLOOKUP(AQ$1,main!$A$3:$I$56,8,FALSE),main!$K$11:$M$14,2,FALSE)+VLOOKUP(VLOOKUP(AQ$1,main!$A$3:$I$56,7,FALSE),main!$K$19:$O$22,MATCH(VLOOKUP($A7,main!$A$3:$I$56,8,FALSE),main!$K$18:$O$18,0))))),1,0)</f>
        <v>0</v>
      </c>
      <c r="AR7">
        <f>IF((AND(VLOOKUP(AR$1,main!$A$3:$I$56,5,FALSE)-VLOOKUP($A7,main!$A$3:$I$56,6,FALSE)&gt;=(VLOOKUP(VLOOKUP(AR$1,main!$A$3:$I$56,8,FALSE),main!$K$11:$M$14,2,FALSE)+VLOOKUP(VLOOKUP(AR$1,main!$A$3:$I$56,7,FALSE),main!$K$19:$O$22,MATCH(VLOOKUP($A7,main!$A$3:$I$56,8,FALSE),main!$K$18:$O$18,0))))),1,0)</f>
        <v>0</v>
      </c>
      <c r="AS7">
        <f>IF((AND(VLOOKUP(AS$1,main!$A$3:$I$56,5,FALSE)-VLOOKUP($A7,main!$A$3:$I$56,6,FALSE)&gt;=(VLOOKUP(VLOOKUP(AS$1,main!$A$3:$I$56,8,FALSE),main!$K$11:$M$14,2,FALSE)+VLOOKUP(VLOOKUP(AS$1,main!$A$3:$I$56,7,FALSE),main!$K$19:$O$22,MATCH(VLOOKUP($A7,main!$A$3:$I$56,8,FALSE),main!$K$18:$O$18,0))))),1,0)</f>
        <v>0</v>
      </c>
      <c r="AT7">
        <f>IF((AND(VLOOKUP(AT$1,main!$A$3:$I$56,5,FALSE)-VLOOKUP($A7,main!$A$3:$I$56,6,FALSE)&gt;=(VLOOKUP(VLOOKUP(AT$1,main!$A$3:$I$56,8,FALSE),main!$K$11:$M$14,2,FALSE)+VLOOKUP(VLOOKUP(AT$1,main!$A$3:$I$56,7,FALSE),main!$K$19:$O$22,MATCH(VLOOKUP($A7,main!$A$3:$I$56,8,FALSE),main!$K$18:$O$18,0))))),1,0)</f>
        <v>0</v>
      </c>
      <c r="AU7">
        <f>IF((AND(VLOOKUP(AU$1,main!$A$3:$I$56,5,FALSE)-VLOOKUP($A7,main!$A$3:$I$56,6,FALSE)&gt;=(VLOOKUP(VLOOKUP(AU$1,main!$A$3:$I$56,8,FALSE),main!$K$11:$M$14,2,FALSE)+VLOOKUP(VLOOKUP(AU$1,main!$A$3:$I$56,7,FALSE),main!$K$19:$O$22,MATCH(VLOOKUP($A7,main!$A$3:$I$56,8,FALSE),main!$K$18:$O$18,0))))),1,0)</f>
        <v>0</v>
      </c>
      <c r="AV7">
        <f>IF((AND(VLOOKUP(AV$1,main!$A$3:$I$56,5,FALSE)-VLOOKUP($A7,main!$A$3:$I$56,6,FALSE)&gt;=(VLOOKUP(VLOOKUP(AV$1,main!$A$3:$I$56,8,FALSE),main!$K$11:$M$14,2,FALSE)+VLOOKUP(VLOOKUP(AV$1,main!$A$3:$I$56,7,FALSE),main!$K$19:$O$22,MATCH(VLOOKUP($A7,main!$A$3:$I$56,8,FALSE),main!$K$18:$O$18,0))))),1,0)</f>
        <v>0</v>
      </c>
      <c r="AW7">
        <f>IF((AND(VLOOKUP(AW$1,main!$A$3:$I$56,5,FALSE)-VLOOKUP($A7,main!$A$3:$I$56,6,FALSE)&gt;=(VLOOKUP(VLOOKUP(AW$1,main!$A$3:$I$56,8,FALSE),main!$K$11:$M$14,2,FALSE)+VLOOKUP(VLOOKUP(AW$1,main!$A$3:$I$56,7,FALSE),main!$K$19:$O$22,MATCH(VLOOKUP($A7,main!$A$3:$I$56,8,FALSE),main!$K$18:$O$18,0))))),1,0)</f>
        <v>0</v>
      </c>
      <c r="AX7">
        <f>IF((AND(VLOOKUP(AX$1,main!$A$3:$I$56,5,FALSE)-VLOOKUP($A7,main!$A$3:$I$56,6,FALSE)&gt;=(VLOOKUP(VLOOKUP(AX$1,main!$A$3:$I$56,8,FALSE),main!$K$11:$M$14,2,FALSE)+VLOOKUP(VLOOKUP(AX$1,main!$A$3:$I$56,7,FALSE),main!$K$19:$O$22,MATCH(VLOOKUP($A7,main!$A$3:$I$56,8,FALSE),main!$K$18:$O$18,0))))),1,0)</f>
        <v>0</v>
      </c>
      <c r="AY7">
        <f>IF((AND(VLOOKUP(AY$1,main!$A$3:$I$56,5,FALSE)-VLOOKUP($A7,main!$A$3:$I$56,6,FALSE)&gt;=(VLOOKUP(VLOOKUP(AY$1,main!$A$3:$I$56,8,FALSE),main!$K$11:$M$14,2,FALSE)+VLOOKUP(VLOOKUP(AY$1,main!$A$3:$I$56,7,FALSE),main!$K$19:$O$22,MATCH(VLOOKUP($A7,main!$A$3:$I$56,8,FALSE),main!$K$18:$O$18,0))))),1,0)</f>
        <v>1</v>
      </c>
      <c r="AZ7">
        <f>IF((AND(VLOOKUP(AZ$1,main!$A$3:$I$56,5,FALSE)-VLOOKUP($A7,main!$A$3:$I$56,6,FALSE)&gt;=(VLOOKUP(VLOOKUP(AZ$1,main!$A$3:$I$56,8,FALSE),main!$K$11:$M$14,2,FALSE)+VLOOKUP(VLOOKUP(AZ$1,main!$A$3:$I$56,7,FALSE),main!$K$19:$O$22,MATCH(VLOOKUP($A7,main!$A$3:$I$56,8,FALSE),main!$K$18:$O$18,0))))),1,0)</f>
        <v>0</v>
      </c>
      <c r="BA7">
        <f>IF((AND(VLOOKUP(BA$1,main!$A$3:$I$56,5,FALSE)-VLOOKUP($A7,main!$A$3:$I$56,6,FALSE)&gt;=(VLOOKUP(VLOOKUP(BA$1,main!$A$3:$I$56,8,FALSE),main!$K$11:$M$14,2,FALSE)+VLOOKUP(VLOOKUP(BA$1,main!$A$3:$I$56,7,FALSE),main!$K$19:$O$22,MATCH(VLOOKUP($A7,main!$A$3:$I$56,8,FALSE),main!$K$18:$O$18,0))))),1,0)</f>
        <v>0</v>
      </c>
      <c r="BB7">
        <f>IF((AND(VLOOKUP(BB$1,main!$A$3:$I$56,5,FALSE)-VLOOKUP($A7,main!$A$3:$I$56,6,FALSE)&gt;=(VLOOKUP(VLOOKUP(BB$1,main!$A$3:$I$56,8,FALSE),main!$K$11:$M$14,2,FALSE)+VLOOKUP(VLOOKUP(BB$1,main!$A$3:$I$56,7,FALSE),main!$K$19:$O$22,MATCH(VLOOKUP($A7,main!$A$3:$I$56,8,FALSE),main!$K$18:$O$18,0))))),1,0)</f>
        <v>0</v>
      </c>
      <c r="BC7">
        <f>IF((AND(VLOOKUP(BC$1,main!$A$3:$I$56,5,FALSE)-VLOOKUP($A7,main!$A$3:$I$56,6,FALSE)&gt;=(VLOOKUP(VLOOKUP(BC$1,main!$A$3:$I$56,8,FALSE),main!$K$11:$M$14,2,FALSE)+VLOOKUP(VLOOKUP(BC$1,main!$A$3:$I$56,7,FALSE),main!$K$19:$O$22,MATCH(VLOOKUP($A7,main!$A$3:$I$56,8,FALSE),main!$K$18:$O$18,0))))),1,0)</f>
        <v>0</v>
      </c>
      <c r="BD7">
        <f>IF((AND(VLOOKUP(BD$1,main!$A$3:$I$56,5,FALSE)-VLOOKUP($A7,main!$A$3:$I$56,6,FALSE)&gt;=(VLOOKUP(VLOOKUP(BD$1,main!$A$3:$I$56,8,FALSE),main!$K$11:$M$14,2,FALSE)+VLOOKUP(VLOOKUP(BD$1,main!$A$3:$I$56,7,FALSE),main!$K$19:$O$22,MATCH(VLOOKUP($A7,main!$A$3:$I$56,8,FALSE),main!$K$18:$O$18,0))))),1,0)</f>
        <v>0</v>
      </c>
    </row>
    <row r="8" spans="1:56" x14ac:dyDescent="0.25">
      <c r="A8">
        <f t="shared" si="0"/>
        <v>6</v>
      </c>
      <c r="B8">
        <v>1</v>
      </c>
      <c r="C8">
        <f>IF((AND(VLOOKUP(C$1,main!$A$3:$I$56,5,FALSE)-VLOOKUP($A8,main!$A$3:$I$56,6,FALSE)&gt;=(VLOOKUP(VLOOKUP(C$1,main!$A$3:$I$56,8,FALSE),main!$K$11:$M$14,2,FALSE)+VLOOKUP(VLOOKUP(C$1,main!$A$3:$I$56,7,FALSE),main!$K$19:$O$22,MATCH(VLOOKUP($A8,main!$A$3:$I$56,8,FALSE),main!$K$18:$O$18,0))))),1,0)</f>
        <v>0</v>
      </c>
      <c r="D8">
        <f>IF((AND(VLOOKUP(D$1,main!$A$3:$I$56,5,FALSE)-VLOOKUP($A8,main!$A$3:$I$56,6,FALSE)&gt;=(VLOOKUP(VLOOKUP(D$1,main!$A$3:$I$56,8,FALSE),main!$K$11:$M$14,2,FALSE)+VLOOKUP(VLOOKUP(D$1,main!$A$3:$I$56,7,FALSE),main!$K$19:$O$22,MATCH(VLOOKUP($A8,main!$A$3:$I$56,8,FALSE),main!$K$18:$O$18,0))))),1,0)</f>
        <v>0</v>
      </c>
      <c r="E8">
        <f>IF((AND(VLOOKUP(E$1,main!$A$3:$I$56,5,FALSE)-VLOOKUP($A8,main!$A$3:$I$56,6,FALSE)&gt;=(VLOOKUP(VLOOKUP(E$1,main!$A$3:$I$56,8,FALSE),main!$K$11:$M$14,2,FALSE)+VLOOKUP(VLOOKUP(E$1,main!$A$3:$I$56,7,FALSE),main!$K$19:$O$22,MATCH(VLOOKUP($A8,main!$A$3:$I$56,8,FALSE),main!$K$18:$O$18,0))))),1,0)</f>
        <v>0</v>
      </c>
      <c r="F8">
        <f>IF((AND(VLOOKUP(F$1,main!$A$3:$I$56,5,FALSE)-VLOOKUP($A8,main!$A$3:$I$56,6,FALSE)&gt;=(VLOOKUP(VLOOKUP(F$1,main!$A$3:$I$56,8,FALSE),main!$K$11:$M$14,2,FALSE)+VLOOKUP(VLOOKUP(F$1,main!$A$3:$I$56,7,FALSE),main!$K$19:$O$22,MATCH(VLOOKUP($A8,main!$A$3:$I$56,8,FALSE),main!$K$18:$O$18,0))))),1,0)</f>
        <v>0</v>
      </c>
      <c r="G8">
        <f>IF((AND(VLOOKUP(G$1,main!$A$3:$I$56,5,FALSE)-VLOOKUP($A8,main!$A$3:$I$56,6,FALSE)&gt;=(VLOOKUP(VLOOKUP(G$1,main!$A$3:$I$56,8,FALSE),main!$K$11:$M$14,2,FALSE)+VLOOKUP(VLOOKUP(G$1,main!$A$3:$I$56,7,FALSE),main!$K$19:$O$22,MATCH(VLOOKUP($A8,main!$A$3:$I$56,8,FALSE),main!$K$18:$O$18,0))))),1,0)</f>
        <v>0</v>
      </c>
      <c r="H8">
        <f>IF((AND(VLOOKUP(H$1,main!$A$3:$I$56,5,FALSE)-VLOOKUP($A8,main!$A$3:$I$56,6,FALSE)&gt;=(VLOOKUP(VLOOKUP(H$1,main!$A$3:$I$56,8,FALSE),main!$K$11:$M$14,2,FALSE)+VLOOKUP(VLOOKUP(H$1,main!$A$3:$I$56,7,FALSE),main!$K$19:$O$22,MATCH(VLOOKUP($A8,main!$A$3:$I$56,8,FALSE),main!$K$18:$O$18,0))))),1,0)</f>
        <v>0</v>
      </c>
      <c r="I8">
        <f>IF((AND(VLOOKUP(I$1,main!$A$3:$I$56,5,FALSE)-VLOOKUP($A8,main!$A$3:$I$56,6,FALSE)&gt;=(VLOOKUP(VLOOKUP(I$1,main!$A$3:$I$56,8,FALSE),main!$K$11:$M$14,2,FALSE)+VLOOKUP(VLOOKUP(I$1,main!$A$3:$I$56,7,FALSE),main!$K$19:$O$22,MATCH(VLOOKUP($A8,main!$A$3:$I$56,8,FALSE),main!$K$18:$O$18,0))))),1,0)</f>
        <v>0</v>
      </c>
      <c r="J8">
        <f>IF((AND(VLOOKUP(J$1,main!$A$3:$I$56,5,FALSE)-VLOOKUP($A8,main!$A$3:$I$56,6,FALSE)&gt;=(VLOOKUP(VLOOKUP(J$1,main!$A$3:$I$56,8,FALSE),main!$K$11:$M$14,2,FALSE)+VLOOKUP(VLOOKUP(J$1,main!$A$3:$I$56,7,FALSE),main!$K$19:$O$22,MATCH(VLOOKUP($A8,main!$A$3:$I$56,8,FALSE),main!$K$18:$O$18,0))))),1,0)</f>
        <v>0</v>
      </c>
      <c r="K8">
        <f>IF((AND(VLOOKUP(K$1,main!$A$3:$I$56,5,FALSE)-VLOOKUP($A8,main!$A$3:$I$56,6,FALSE)&gt;=(VLOOKUP(VLOOKUP(K$1,main!$A$3:$I$56,8,FALSE),main!$K$11:$M$14,2,FALSE)+VLOOKUP(VLOOKUP(K$1,main!$A$3:$I$56,7,FALSE),main!$K$19:$O$22,MATCH(VLOOKUP($A8,main!$A$3:$I$56,8,FALSE),main!$K$18:$O$18,0))))),1,0)</f>
        <v>0</v>
      </c>
      <c r="L8">
        <f>IF((AND(VLOOKUP(L$1,main!$A$3:$I$56,5,FALSE)-VLOOKUP($A8,main!$A$3:$I$56,6,FALSE)&gt;=(VLOOKUP(VLOOKUP(L$1,main!$A$3:$I$56,8,FALSE),main!$K$11:$M$14,2,FALSE)+VLOOKUP(VLOOKUP(L$1,main!$A$3:$I$56,7,FALSE),main!$K$19:$O$22,MATCH(VLOOKUP($A8,main!$A$3:$I$56,8,FALSE),main!$K$18:$O$18,0))))),1,0)</f>
        <v>0</v>
      </c>
      <c r="M8">
        <f>IF((AND(VLOOKUP(M$1,main!$A$3:$I$56,5,FALSE)-VLOOKUP($A8,main!$A$3:$I$56,6,FALSE)&gt;=(VLOOKUP(VLOOKUP(M$1,main!$A$3:$I$56,8,FALSE),main!$K$11:$M$14,2,FALSE)+VLOOKUP(VLOOKUP(M$1,main!$A$3:$I$56,7,FALSE),main!$K$19:$O$22,MATCH(VLOOKUP($A8,main!$A$3:$I$56,8,FALSE),main!$K$18:$O$18,0))))),1,0)</f>
        <v>0</v>
      </c>
      <c r="N8">
        <f>IF((AND(VLOOKUP(N$1,main!$A$3:$I$56,5,FALSE)-VLOOKUP($A8,main!$A$3:$I$56,6,FALSE)&gt;=(VLOOKUP(VLOOKUP(N$1,main!$A$3:$I$56,8,FALSE),main!$K$11:$M$14,2,FALSE)+VLOOKUP(VLOOKUP(N$1,main!$A$3:$I$56,7,FALSE),main!$K$19:$O$22,MATCH(VLOOKUP($A8,main!$A$3:$I$56,8,FALSE),main!$K$18:$O$18,0))))),1,0)</f>
        <v>0</v>
      </c>
      <c r="O8">
        <f>IF((AND(VLOOKUP(O$1,main!$A$3:$I$56,5,FALSE)-VLOOKUP($A8,main!$A$3:$I$56,6,FALSE)&gt;=(VLOOKUP(VLOOKUP(O$1,main!$A$3:$I$56,8,FALSE),main!$K$11:$M$14,2,FALSE)+VLOOKUP(VLOOKUP(O$1,main!$A$3:$I$56,7,FALSE),main!$K$19:$O$22,MATCH(VLOOKUP($A8,main!$A$3:$I$56,8,FALSE),main!$K$18:$O$18,0))))),1,0)</f>
        <v>1</v>
      </c>
      <c r="P8">
        <f>IF((AND(VLOOKUP(P$1,main!$A$3:$I$56,5,FALSE)-VLOOKUP($A8,main!$A$3:$I$56,6,FALSE)&gt;=(VLOOKUP(VLOOKUP(P$1,main!$A$3:$I$56,8,FALSE),main!$K$11:$M$14,2,FALSE)+VLOOKUP(VLOOKUP(P$1,main!$A$3:$I$56,7,FALSE),main!$K$19:$O$22,MATCH(VLOOKUP($A8,main!$A$3:$I$56,8,FALSE),main!$K$18:$O$18,0))))),1,0)</f>
        <v>0</v>
      </c>
      <c r="Q8">
        <f>IF((AND(VLOOKUP(Q$1,main!$A$3:$I$56,5,FALSE)-VLOOKUP($A8,main!$A$3:$I$56,6,FALSE)&gt;=(VLOOKUP(VLOOKUP(Q$1,main!$A$3:$I$56,8,FALSE),main!$K$11:$M$14,2,FALSE)+VLOOKUP(VLOOKUP(Q$1,main!$A$3:$I$56,7,FALSE),main!$K$19:$O$22,MATCH(VLOOKUP($A8,main!$A$3:$I$56,8,FALSE),main!$K$18:$O$18,0))))),1,0)</f>
        <v>0</v>
      </c>
      <c r="R8">
        <f>IF((AND(VLOOKUP(R$1,main!$A$3:$I$56,5,FALSE)-VLOOKUP($A8,main!$A$3:$I$56,6,FALSE)&gt;=(VLOOKUP(VLOOKUP(R$1,main!$A$3:$I$56,8,FALSE),main!$K$11:$M$14,2,FALSE)+VLOOKUP(VLOOKUP(R$1,main!$A$3:$I$56,7,FALSE),main!$K$19:$O$22,MATCH(VLOOKUP($A8,main!$A$3:$I$56,8,FALSE),main!$K$18:$O$18,0))))),1,0)</f>
        <v>0</v>
      </c>
      <c r="S8">
        <f>IF((AND(VLOOKUP(S$1,main!$A$3:$I$56,5,FALSE)-VLOOKUP($A8,main!$A$3:$I$56,6,FALSE)&gt;=(VLOOKUP(VLOOKUP(S$1,main!$A$3:$I$56,8,FALSE),main!$K$11:$M$14,2,FALSE)+VLOOKUP(VLOOKUP(S$1,main!$A$3:$I$56,7,FALSE),main!$K$19:$O$22,MATCH(VLOOKUP($A8,main!$A$3:$I$56,8,FALSE),main!$K$18:$O$18,0))))),1,0)</f>
        <v>0</v>
      </c>
      <c r="T8">
        <f>IF((AND(VLOOKUP(T$1,main!$A$3:$I$56,5,FALSE)-VLOOKUP($A8,main!$A$3:$I$56,6,FALSE)&gt;=(VLOOKUP(VLOOKUP(T$1,main!$A$3:$I$56,8,FALSE),main!$K$11:$M$14,2,FALSE)+VLOOKUP(VLOOKUP(T$1,main!$A$3:$I$56,7,FALSE),main!$K$19:$O$22,MATCH(VLOOKUP($A8,main!$A$3:$I$56,8,FALSE),main!$K$18:$O$18,0))))),1,0)</f>
        <v>0</v>
      </c>
      <c r="U8">
        <f>IF((AND(VLOOKUP(U$1,main!$A$3:$I$56,5,FALSE)-VLOOKUP($A8,main!$A$3:$I$56,6,FALSE)&gt;=(VLOOKUP(VLOOKUP(U$1,main!$A$3:$I$56,8,FALSE),main!$K$11:$M$14,2,FALSE)+VLOOKUP(VLOOKUP(U$1,main!$A$3:$I$56,7,FALSE),main!$K$19:$O$22,MATCH(VLOOKUP($A8,main!$A$3:$I$56,8,FALSE),main!$K$18:$O$18,0))))),1,0)</f>
        <v>0</v>
      </c>
      <c r="V8">
        <f>IF((AND(VLOOKUP(V$1,main!$A$3:$I$56,5,FALSE)-VLOOKUP($A8,main!$A$3:$I$56,6,FALSE)&gt;=(VLOOKUP(VLOOKUP(V$1,main!$A$3:$I$56,8,FALSE),main!$K$11:$M$14,2,FALSE)+VLOOKUP(VLOOKUP(V$1,main!$A$3:$I$56,7,FALSE),main!$K$19:$O$22,MATCH(VLOOKUP($A8,main!$A$3:$I$56,8,FALSE),main!$K$18:$O$18,0))))),1,0)</f>
        <v>0</v>
      </c>
      <c r="W8">
        <f>IF((AND(VLOOKUP(W$1,main!$A$3:$I$56,5,FALSE)-VLOOKUP($A8,main!$A$3:$I$56,6,FALSE)&gt;=(VLOOKUP(VLOOKUP(W$1,main!$A$3:$I$56,8,FALSE),main!$K$11:$M$14,2,FALSE)+VLOOKUP(VLOOKUP(W$1,main!$A$3:$I$56,7,FALSE),main!$K$19:$O$22,MATCH(VLOOKUP($A8,main!$A$3:$I$56,8,FALSE),main!$K$18:$O$18,0))))),1,0)</f>
        <v>0</v>
      </c>
      <c r="X8">
        <f>IF((AND(VLOOKUP(X$1,main!$A$3:$I$56,5,FALSE)-VLOOKUP($A8,main!$A$3:$I$56,6,FALSE)&gt;=(VLOOKUP(VLOOKUP(X$1,main!$A$3:$I$56,8,FALSE),main!$K$11:$M$14,2,FALSE)+VLOOKUP(VLOOKUP(X$1,main!$A$3:$I$56,7,FALSE),main!$K$19:$O$22,MATCH(VLOOKUP($A8,main!$A$3:$I$56,8,FALSE),main!$K$18:$O$18,0))))),1,0)</f>
        <v>0</v>
      </c>
      <c r="Y8">
        <f>IF((AND(VLOOKUP(Y$1,main!$A$3:$I$56,5,FALSE)-VLOOKUP($A8,main!$A$3:$I$56,6,FALSE)&gt;=(VLOOKUP(VLOOKUP(Y$1,main!$A$3:$I$56,8,FALSE),main!$K$11:$M$14,2,FALSE)+VLOOKUP(VLOOKUP(Y$1,main!$A$3:$I$56,7,FALSE),main!$K$19:$O$22,MATCH(VLOOKUP($A8,main!$A$3:$I$56,8,FALSE),main!$K$18:$O$18,0))))),1,0)</f>
        <v>0</v>
      </c>
      <c r="Z8">
        <f>IF((AND(VLOOKUP(Z$1,main!$A$3:$I$56,5,FALSE)-VLOOKUP($A8,main!$A$3:$I$56,6,FALSE)&gt;=(VLOOKUP(VLOOKUP(Z$1,main!$A$3:$I$56,8,FALSE),main!$K$11:$M$14,2,FALSE)+VLOOKUP(VLOOKUP(Z$1,main!$A$3:$I$56,7,FALSE),main!$K$19:$O$22,MATCH(VLOOKUP($A8,main!$A$3:$I$56,8,FALSE),main!$K$18:$O$18,0))))),1,0)</f>
        <v>0</v>
      </c>
      <c r="AA8">
        <f>IF((AND(VLOOKUP(AA$1,main!$A$3:$I$56,5,FALSE)-VLOOKUP($A8,main!$A$3:$I$56,6,FALSE)&gt;=(VLOOKUP(VLOOKUP(AA$1,main!$A$3:$I$56,8,FALSE),main!$K$11:$M$14,2,FALSE)+VLOOKUP(VLOOKUP(AA$1,main!$A$3:$I$56,7,FALSE),main!$K$19:$O$22,MATCH(VLOOKUP($A8,main!$A$3:$I$56,8,FALSE),main!$K$18:$O$18,0))))),1,0)</f>
        <v>0</v>
      </c>
      <c r="AB8">
        <f>IF((AND(VLOOKUP(AB$1,main!$A$3:$I$56,5,FALSE)-VLOOKUP($A8,main!$A$3:$I$56,6,FALSE)&gt;=(VLOOKUP(VLOOKUP(AB$1,main!$A$3:$I$56,8,FALSE),main!$K$11:$M$14,2,FALSE)+VLOOKUP(VLOOKUP(AB$1,main!$A$3:$I$56,7,FALSE),main!$K$19:$O$22,MATCH(VLOOKUP($A8,main!$A$3:$I$56,8,FALSE),main!$K$18:$O$18,0))))),1,0)</f>
        <v>0</v>
      </c>
      <c r="AC8">
        <f>IF((AND(VLOOKUP(AC$1,main!$A$3:$I$56,5,FALSE)-VLOOKUP($A8,main!$A$3:$I$56,6,FALSE)&gt;=(VLOOKUP(VLOOKUP(AC$1,main!$A$3:$I$56,8,FALSE),main!$K$11:$M$14,2,FALSE)+VLOOKUP(VLOOKUP(AC$1,main!$A$3:$I$56,7,FALSE),main!$K$19:$O$22,MATCH(VLOOKUP($A8,main!$A$3:$I$56,8,FALSE),main!$K$18:$O$18,0))))),1,0)</f>
        <v>0</v>
      </c>
      <c r="AD8">
        <f>IF((AND(VLOOKUP(AD$1,main!$A$3:$I$56,5,FALSE)-VLOOKUP($A8,main!$A$3:$I$56,6,FALSE)&gt;=(VLOOKUP(VLOOKUP(AD$1,main!$A$3:$I$56,8,FALSE),main!$K$11:$M$14,2,FALSE)+VLOOKUP(VLOOKUP(AD$1,main!$A$3:$I$56,7,FALSE),main!$K$19:$O$22,MATCH(VLOOKUP($A8,main!$A$3:$I$56,8,FALSE),main!$K$18:$O$18,0))))),1,0)</f>
        <v>0</v>
      </c>
      <c r="AE8">
        <f>IF((AND(VLOOKUP(AE$1,main!$A$3:$I$56,5,FALSE)-VLOOKUP($A8,main!$A$3:$I$56,6,FALSE)&gt;=(VLOOKUP(VLOOKUP(AE$1,main!$A$3:$I$56,8,FALSE),main!$K$11:$M$14,2,FALSE)+VLOOKUP(VLOOKUP(AE$1,main!$A$3:$I$56,7,FALSE),main!$K$19:$O$22,MATCH(VLOOKUP($A8,main!$A$3:$I$56,8,FALSE),main!$K$18:$O$18,0))))),1,0)</f>
        <v>0</v>
      </c>
      <c r="AF8">
        <f>IF((AND(VLOOKUP(AF$1,main!$A$3:$I$56,5,FALSE)-VLOOKUP($A8,main!$A$3:$I$56,6,FALSE)&gt;=(VLOOKUP(VLOOKUP(AF$1,main!$A$3:$I$56,8,FALSE),main!$K$11:$M$14,2,FALSE)+VLOOKUP(VLOOKUP(AF$1,main!$A$3:$I$56,7,FALSE),main!$K$19:$O$22,MATCH(VLOOKUP($A8,main!$A$3:$I$56,8,FALSE),main!$K$18:$O$18,0))))),1,0)</f>
        <v>0</v>
      </c>
      <c r="AG8">
        <f>IF((AND(VLOOKUP(AG$1,main!$A$3:$I$56,5,FALSE)-VLOOKUP($A8,main!$A$3:$I$56,6,FALSE)&gt;=(VLOOKUP(VLOOKUP(AG$1,main!$A$3:$I$56,8,FALSE),main!$K$11:$M$14,2,FALSE)+VLOOKUP(VLOOKUP(AG$1,main!$A$3:$I$56,7,FALSE),main!$K$19:$O$22,MATCH(VLOOKUP($A8,main!$A$3:$I$56,8,FALSE),main!$K$18:$O$18,0))))),1,0)</f>
        <v>0</v>
      </c>
      <c r="AH8">
        <f>IF((AND(VLOOKUP(AH$1,main!$A$3:$I$56,5,FALSE)-VLOOKUP($A8,main!$A$3:$I$56,6,FALSE)&gt;=(VLOOKUP(VLOOKUP(AH$1,main!$A$3:$I$56,8,FALSE),main!$K$11:$M$14,2,FALSE)+VLOOKUP(VLOOKUP(AH$1,main!$A$3:$I$56,7,FALSE),main!$K$19:$O$22,MATCH(VLOOKUP($A8,main!$A$3:$I$56,8,FALSE),main!$K$18:$O$18,0))))),1,0)</f>
        <v>0</v>
      </c>
      <c r="AI8">
        <f>IF((AND(VLOOKUP(AI$1,main!$A$3:$I$56,5,FALSE)-VLOOKUP($A8,main!$A$3:$I$56,6,FALSE)&gt;=(VLOOKUP(VLOOKUP(AI$1,main!$A$3:$I$56,8,FALSE),main!$K$11:$M$14,2,FALSE)+VLOOKUP(VLOOKUP(AI$1,main!$A$3:$I$56,7,FALSE),main!$K$19:$O$22,MATCH(VLOOKUP($A8,main!$A$3:$I$56,8,FALSE),main!$K$18:$O$18,0))))),1,0)</f>
        <v>0</v>
      </c>
      <c r="AJ8">
        <f>IF((AND(VLOOKUP(AJ$1,main!$A$3:$I$56,5,FALSE)-VLOOKUP($A8,main!$A$3:$I$56,6,FALSE)&gt;=(VLOOKUP(VLOOKUP(AJ$1,main!$A$3:$I$56,8,FALSE),main!$K$11:$M$14,2,FALSE)+VLOOKUP(VLOOKUP(AJ$1,main!$A$3:$I$56,7,FALSE),main!$K$19:$O$22,MATCH(VLOOKUP($A8,main!$A$3:$I$56,8,FALSE),main!$K$18:$O$18,0))))),1,0)</f>
        <v>0</v>
      </c>
      <c r="AK8">
        <f>IF((AND(VLOOKUP(AK$1,main!$A$3:$I$56,5,FALSE)-VLOOKUP($A8,main!$A$3:$I$56,6,FALSE)&gt;=(VLOOKUP(VLOOKUP(AK$1,main!$A$3:$I$56,8,FALSE),main!$K$11:$M$14,2,FALSE)+VLOOKUP(VLOOKUP(AK$1,main!$A$3:$I$56,7,FALSE),main!$K$19:$O$22,MATCH(VLOOKUP($A8,main!$A$3:$I$56,8,FALSE),main!$K$18:$O$18,0))))),1,0)</f>
        <v>0</v>
      </c>
      <c r="AL8">
        <f>IF((AND(VLOOKUP(AL$1,main!$A$3:$I$56,5,FALSE)-VLOOKUP($A8,main!$A$3:$I$56,6,FALSE)&gt;=(VLOOKUP(VLOOKUP(AL$1,main!$A$3:$I$56,8,FALSE),main!$K$11:$M$14,2,FALSE)+VLOOKUP(VLOOKUP(AL$1,main!$A$3:$I$56,7,FALSE),main!$K$19:$O$22,MATCH(VLOOKUP($A8,main!$A$3:$I$56,8,FALSE),main!$K$18:$O$18,0))))),1,0)</f>
        <v>0</v>
      </c>
      <c r="AM8">
        <f>IF((AND(VLOOKUP(AM$1,main!$A$3:$I$56,5,FALSE)-VLOOKUP($A8,main!$A$3:$I$56,6,FALSE)&gt;=(VLOOKUP(VLOOKUP(AM$1,main!$A$3:$I$56,8,FALSE),main!$K$11:$M$14,2,FALSE)+VLOOKUP(VLOOKUP(AM$1,main!$A$3:$I$56,7,FALSE),main!$K$19:$O$22,MATCH(VLOOKUP($A8,main!$A$3:$I$56,8,FALSE),main!$K$18:$O$18,0))))),1,0)</f>
        <v>0</v>
      </c>
      <c r="AN8">
        <f>IF((AND(VLOOKUP(AN$1,main!$A$3:$I$56,5,FALSE)-VLOOKUP($A8,main!$A$3:$I$56,6,FALSE)&gt;=(VLOOKUP(VLOOKUP(AN$1,main!$A$3:$I$56,8,FALSE),main!$K$11:$M$14,2,FALSE)+VLOOKUP(VLOOKUP(AN$1,main!$A$3:$I$56,7,FALSE),main!$K$19:$O$22,MATCH(VLOOKUP($A8,main!$A$3:$I$56,8,FALSE),main!$K$18:$O$18,0))))),1,0)</f>
        <v>0</v>
      </c>
      <c r="AO8">
        <f>IF((AND(VLOOKUP(AO$1,main!$A$3:$I$56,5,FALSE)-VLOOKUP($A8,main!$A$3:$I$56,6,FALSE)&gt;=(VLOOKUP(VLOOKUP(AO$1,main!$A$3:$I$56,8,FALSE),main!$K$11:$M$14,2,FALSE)+VLOOKUP(VLOOKUP(AO$1,main!$A$3:$I$56,7,FALSE),main!$K$19:$O$22,MATCH(VLOOKUP($A8,main!$A$3:$I$56,8,FALSE),main!$K$18:$O$18,0))))),1,0)</f>
        <v>0</v>
      </c>
      <c r="AP8">
        <f>IF((AND(VLOOKUP(AP$1,main!$A$3:$I$56,5,FALSE)-VLOOKUP($A8,main!$A$3:$I$56,6,FALSE)&gt;=(VLOOKUP(VLOOKUP(AP$1,main!$A$3:$I$56,8,FALSE),main!$K$11:$M$14,2,FALSE)+VLOOKUP(VLOOKUP(AP$1,main!$A$3:$I$56,7,FALSE),main!$K$19:$O$22,MATCH(VLOOKUP($A8,main!$A$3:$I$56,8,FALSE),main!$K$18:$O$18,0))))),1,0)</f>
        <v>0</v>
      </c>
      <c r="AQ8">
        <f>IF((AND(VLOOKUP(AQ$1,main!$A$3:$I$56,5,FALSE)-VLOOKUP($A8,main!$A$3:$I$56,6,FALSE)&gt;=(VLOOKUP(VLOOKUP(AQ$1,main!$A$3:$I$56,8,FALSE),main!$K$11:$M$14,2,FALSE)+VLOOKUP(VLOOKUP(AQ$1,main!$A$3:$I$56,7,FALSE),main!$K$19:$O$22,MATCH(VLOOKUP($A8,main!$A$3:$I$56,8,FALSE),main!$K$18:$O$18,0))))),1,0)</f>
        <v>0</v>
      </c>
      <c r="AR8">
        <f>IF((AND(VLOOKUP(AR$1,main!$A$3:$I$56,5,FALSE)-VLOOKUP($A8,main!$A$3:$I$56,6,FALSE)&gt;=(VLOOKUP(VLOOKUP(AR$1,main!$A$3:$I$56,8,FALSE),main!$K$11:$M$14,2,FALSE)+VLOOKUP(VLOOKUP(AR$1,main!$A$3:$I$56,7,FALSE),main!$K$19:$O$22,MATCH(VLOOKUP($A8,main!$A$3:$I$56,8,FALSE),main!$K$18:$O$18,0))))),1,0)</f>
        <v>0</v>
      </c>
      <c r="AS8">
        <f>IF((AND(VLOOKUP(AS$1,main!$A$3:$I$56,5,FALSE)-VLOOKUP($A8,main!$A$3:$I$56,6,FALSE)&gt;=(VLOOKUP(VLOOKUP(AS$1,main!$A$3:$I$56,8,FALSE),main!$K$11:$M$14,2,FALSE)+VLOOKUP(VLOOKUP(AS$1,main!$A$3:$I$56,7,FALSE),main!$K$19:$O$22,MATCH(VLOOKUP($A8,main!$A$3:$I$56,8,FALSE),main!$K$18:$O$18,0))))),1,0)</f>
        <v>0</v>
      </c>
      <c r="AT8">
        <f>IF((AND(VLOOKUP(AT$1,main!$A$3:$I$56,5,FALSE)-VLOOKUP($A8,main!$A$3:$I$56,6,FALSE)&gt;=(VLOOKUP(VLOOKUP(AT$1,main!$A$3:$I$56,8,FALSE),main!$K$11:$M$14,2,FALSE)+VLOOKUP(VLOOKUP(AT$1,main!$A$3:$I$56,7,FALSE),main!$K$19:$O$22,MATCH(VLOOKUP($A8,main!$A$3:$I$56,8,FALSE),main!$K$18:$O$18,0))))),1,0)</f>
        <v>0</v>
      </c>
      <c r="AU8">
        <f>IF((AND(VLOOKUP(AU$1,main!$A$3:$I$56,5,FALSE)-VLOOKUP($A8,main!$A$3:$I$56,6,FALSE)&gt;=(VLOOKUP(VLOOKUP(AU$1,main!$A$3:$I$56,8,FALSE),main!$K$11:$M$14,2,FALSE)+VLOOKUP(VLOOKUP(AU$1,main!$A$3:$I$56,7,FALSE),main!$K$19:$O$22,MATCH(VLOOKUP($A8,main!$A$3:$I$56,8,FALSE),main!$K$18:$O$18,0))))),1,0)</f>
        <v>0</v>
      </c>
      <c r="AV8">
        <f>IF((AND(VLOOKUP(AV$1,main!$A$3:$I$56,5,FALSE)-VLOOKUP($A8,main!$A$3:$I$56,6,FALSE)&gt;=(VLOOKUP(VLOOKUP(AV$1,main!$A$3:$I$56,8,FALSE),main!$K$11:$M$14,2,FALSE)+VLOOKUP(VLOOKUP(AV$1,main!$A$3:$I$56,7,FALSE),main!$K$19:$O$22,MATCH(VLOOKUP($A8,main!$A$3:$I$56,8,FALSE),main!$K$18:$O$18,0))))),1,0)</f>
        <v>0</v>
      </c>
      <c r="AW8">
        <f>IF((AND(VLOOKUP(AW$1,main!$A$3:$I$56,5,FALSE)-VLOOKUP($A8,main!$A$3:$I$56,6,FALSE)&gt;=(VLOOKUP(VLOOKUP(AW$1,main!$A$3:$I$56,8,FALSE),main!$K$11:$M$14,2,FALSE)+VLOOKUP(VLOOKUP(AW$1,main!$A$3:$I$56,7,FALSE),main!$K$19:$O$22,MATCH(VLOOKUP($A8,main!$A$3:$I$56,8,FALSE),main!$K$18:$O$18,0))))),1,0)</f>
        <v>0</v>
      </c>
      <c r="AX8">
        <f>IF((AND(VLOOKUP(AX$1,main!$A$3:$I$56,5,FALSE)-VLOOKUP($A8,main!$A$3:$I$56,6,FALSE)&gt;=(VLOOKUP(VLOOKUP(AX$1,main!$A$3:$I$56,8,FALSE),main!$K$11:$M$14,2,FALSE)+VLOOKUP(VLOOKUP(AX$1,main!$A$3:$I$56,7,FALSE),main!$K$19:$O$22,MATCH(VLOOKUP($A8,main!$A$3:$I$56,8,FALSE),main!$K$18:$O$18,0))))),1,0)</f>
        <v>0</v>
      </c>
      <c r="AY8">
        <f>IF((AND(VLOOKUP(AY$1,main!$A$3:$I$56,5,FALSE)-VLOOKUP($A8,main!$A$3:$I$56,6,FALSE)&gt;=(VLOOKUP(VLOOKUP(AY$1,main!$A$3:$I$56,8,FALSE),main!$K$11:$M$14,2,FALSE)+VLOOKUP(VLOOKUP(AY$1,main!$A$3:$I$56,7,FALSE),main!$K$19:$O$22,MATCH(VLOOKUP($A8,main!$A$3:$I$56,8,FALSE),main!$K$18:$O$18,0))))),1,0)</f>
        <v>0</v>
      </c>
      <c r="AZ8">
        <f>IF((AND(VLOOKUP(AZ$1,main!$A$3:$I$56,5,FALSE)-VLOOKUP($A8,main!$A$3:$I$56,6,FALSE)&gt;=(VLOOKUP(VLOOKUP(AZ$1,main!$A$3:$I$56,8,FALSE),main!$K$11:$M$14,2,FALSE)+VLOOKUP(VLOOKUP(AZ$1,main!$A$3:$I$56,7,FALSE),main!$K$19:$O$22,MATCH(VLOOKUP($A8,main!$A$3:$I$56,8,FALSE),main!$K$18:$O$18,0))))),1,0)</f>
        <v>0</v>
      </c>
      <c r="BA8">
        <f>IF((AND(VLOOKUP(BA$1,main!$A$3:$I$56,5,FALSE)-VLOOKUP($A8,main!$A$3:$I$56,6,FALSE)&gt;=(VLOOKUP(VLOOKUP(BA$1,main!$A$3:$I$56,8,FALSE),main!$K$11:$M$14,2,FALSE)+VLOOKUP(VLOOKUP(BA$1,main!$A$3:$I$56,7,FALSE),main!$K$19:$O$22,MATCH(VLOOKUP($A8,main!$A$3:$I$56,8,FALSE),main!$K$18:$O$18,0))))),1,0)</f>
        <v>0</v>
      </c>
      <c r="BB8">
        <f>IF((AND(VLOOKUP(BB$1,main!$A$3:$I$56,5,FALSE)-VLOOKUP($A8,main!$A$3:$I$56,6,FALSE)&gt;=(VLOOKUP(VLOOKUP(BB$1,main!$A$3:$I$56,8,FALSE),main!$K$11:$M$14,2,FALSE)+VLOOKUP(VLOOKUP(BB$1,main!$A$3:$I$56,7,FALSE),main!$K$19:$O$22,MATCH(VLOOKUP($A8,main!$A$3:$I$56,8,FALSE),main!$K$18:$O$18,0))))),1,0)</f>
        <v>0</v>
      </c>
      <c r="BC8">
        <f>IF((AND(VLOOKUP(BC$1,main!$A$3:$I$56,5,FALSE)-VLOOKUP($A8,main!$A$3:$I$56,6,FALSE)&gt;=(VLOOKUP(VLOOKUP(BC$1,main!$A$3:$I$56,8,FALSE),main!$K$11:$M$14,2,FALSE)+VLOOKUP(VLOOKUP(BC$1,main!$A$3:$I$56,7,FALSE),main!$K$19:$O$22,MATCH(VLOOKUP($A8,main!$A$3:$I$56,8,FALSE),main!$K$18:$O$18,0))))),1,0)</f>
        <v>0</v>
      </c>
      <c r="BD8">
        <f>IF((AND(VLOOKUP(BD$1,main!$A$3:$I$56,5,FALSE)-VLOOKUP($A8,main!$A$3:$I$56,6,FALSE)&gt;=(VLOOKUP(VLOOKUP(BD$1,main!$A$3:$I$56,8,FALSE),main!$K$11:$M$14,2,FALSE)+VLOOKUP(VLOOKUP(BD$1,main!$A$3:$I$56,7,FALSE),main!$K$19:$O$22,MATCH(VLOOKUP($A8,main!$A$3:$I$56,8,FALSE),main!$K$18:$O$18,0))))),1,0)</f>
        <v>0</v>
      </c>
    </row>
    <row r="9" spans="1:56" x14ac:dyDescent="0.25">
      <c r="A9">
        <f t="shared" si="0"/>
        <v>7</v>
      </c>
      <c r="B9">
        <v>1</v>
      </c>
      <c r="C9">
        <f>IF((AND(VLOOKUP(C$1,main!$A$3:$I$56,5,FALSE)-VLOOKUP($A9,main!$A$3:$I$56,6,FALSE)&gt;=(VLOOKUP(VLOOKUP(C$1,main!$A$3:$I$56,8,FALSE),main!$K$11:$M$14,2,FALSE)+VLOOKUP(VLOOKUP(C$1,main!$A$3:$I$56,7,FALSE),main!$K$19:$O$22,MATCH(VLOOKUP($A9,main!$A$3:$I$56,8,FALSE),main!$K$18:$O$18,0))))),1,0)</f>
        <v>0</v>
      </c>
      <c r="D9">
        <f>IF((AND(VLOOKUP(D$1,main!$A$3:$I$56,5,FALSE)-VLOOKUP($A9,main!$A$3:$I$56,6,FALSE)&gt;=(VLOOKUP(VLOOKUP(D$1,main!$A$3:$I$56,8,FALSE),main!$K$11:$M$14,2,FALSE)+VLOOKUP(VLOOKUP(D$1,main!$A$3:$I$56,7,FALSE),main!$K$19:$O$22,MATCH(VLOOKUP($A9,main!$A$3:$I$56,8,FALSE),main!$K$18:$O$18,0))))),1,0)</f>
        <v>0</v>
      </c>
      <c r="E9">
        <f>IF((AND(VLOOKUP(E$1,main!$A$3:$I$56,5,FALSE)-VLOOKUP($A9,main!$A$3:$I$56,6,FALSE)&gt;=(VLOOKUP(VLOOKUP(E$1,main!$A$3:$I$56,8,FALSE),main!$K$11:$M$14,2,FALSE)+VLOOKUP(VLOOKUP(E$1,main!$A$3:$I$56,7,FALSE),main!$K$19:$O$22,MATCH(VLOOKUP($A9,main!$A$3:$I$56,8,FALSE),main!$K$18:$O$18,0))))),1,0)</f>
        <v>0</v>
      </c>
      <c r="F9">
        <f>IF((AND(VLOOKUP(F$1,main!$A$3:$I$56,5,FALSE)-VLOOKUP($A9,main!$A$3:$I$56,6,FALSE)&gt;=(VLOOKUP(VLOOKUP(F$1,main!$A$3:$I$56,8,FALSE),main!$K$11:$M$14,2,FALSE)+VLOOKUP(VLOOKUP(F$1,main!$A$3:$I$56,7,FALSE),main!$K$19:$O$22,MATCH(VLOOKUP($A9,main!$A$3:$I$56,8,FALSE),main!$K$18:$O$18,0))))),1,0)</f>
        <v>0</v>
      </c>
      <c r="G9">
        <f>IF((AND(VLOOKUP(G$1,main!$A$3:$I$56,5,FALSE)-VLOOKUP($A9,main!$A$3:$I$56,6,FALSE)&gt;=(VLOOKUP(VLOOKUP(G$1,main!$A$3:$I$56,8,FALSE),main!$K$11:$M$14,2,FALSE)+VLOOKUP(VLOOKUP(G$1,main!$A$3:$I$56,7,FALSE),main!$K$19:$O$22,MATCH(VLOOKUP($A9,main!$A$3:$I$56,8,FALSE),main!$K$18:$O$18,0))))),1,0)</f>
        <v>0</v>
      </c>
      <c r="H9">
        <f>IF((AND(VLOOKUP(H$1,main!$A$3:$I$56,5,FALSE)-VLOOKUP($A9,main!$A$3:$I$56,6,FALSE)&gt;=(VLOOKUP(VLOOKUP(H$1,main!$A$3:$I$56,8,FALSE),main!$K$11:$M$14,2,FALSE)+VLOOKUP(VLOOKUP(H$1,main!$A$3:$I$56,7,FALSE),main!$K$19:$O$22,MATCH(VLOOKUP($A9,main!$A$3:$I$56,8,FALSE),main!$K$18:$O$18,0))))),1,0)</f>
        <v>0</v>
      </c>
      <c r="I9">
        <f>IF((AND(VLOOKUP(I$1,main!$A$3:$I$56,5,FALSE)-VLOOKUP($A9,main!$A$3:$I$56,6,FALSE)&gt;=(VLOOKUP(VLOOKUP(I$1,main!$A$3:$I$56,8,FALSE),main!$K$11:$M$14,2,FALSE)+VLOOKUP(VLOOKUP(I$1,main!$A$3:$I$56,7,FALSE),main!$K$19:$O$22,MATCH(VLOOKUP($A9,main!$A$3:$I$56,8,FALSE),main!$K$18:$O$18,0))))),1,0)</f>
        <v>0</v>
      </c>
      <c r="J9">
        <f>IF((AND(VLOOKUP(J$1,main!$A$3:$I$56,5,FALSE)-VLOOKUP($A9,main!$A$3:$I$56,6,FALSE)&gt;=(VLOOKUP(VLOOKUP(J$1,main!$A$3:$I$56,8,FALSE),main!$K$11:$M$14,2,FALSE)+VLOOKUP(VLOOKUP(J$1,main!$A$3:$I$56,7,FALSE),main!$K$19:$O$22,MATCH(VLOOKUP($A9,main!$A$3:$I$56,8,FALSE),main!$K$18:$O$18,0))))),1,0)</f>
        <v>0</v>
      </c>
      <c r="K9">
        <f>IF((AND(VLOOKUP(K$1,main!$A$3:$I$56,5,FALSE)-VLOOKUP($A9,main!$A$3:$I$56,6,FALSE)&gt;=(VLOOKUP(VLOOKUP(K$1,main!$A$3:$I$56,8,FALSE),main!$K$11:$M$14,2,FALSE)+VLOOKUP(VLOOKUP(K$1,main!$A$3:$I$56,7,FALSE),main!$K$19:$O$22,MATCH(VLOOKUP($A9,main!$A$3:$I$56,8,FALSE),main!$K$18:$O$18,0))))),1,0)</f>
        <v>0</v>
      </c>
      <c r="L9">
        <f>IF((AND(VLOOKUP(L$1,main!$A$3:$I$56,5,FALSE)-VLOOKUP($A9,main!$A$3:$I$56,6,FALSE)&gt;=(VLOOKUP(VLOOKUP(L$1,main!$A$3:$I$56,8,FALSE),main!$K$11:$M$14,2,FALSE)+VLOOKUP(VLOOKUP(L$1,main!$A$3:$I$56,7,FALSE),main!$K$19:$O$22,MATCH(VLOOKUP($A9,main!$A$3:$I$56,8,FALSE),main!$K$18:$O$18,0))))),1,0)</f>
        <v>0</v>
      </c>
      <c r="M9">
        <f>IF((AND(VLOOKUP(M$1,main!$A$3:$I$56,5,FALSE)-VLOOKUP($A9,main!$A$3:$I$56,6,FALSE)&gt;=(VLOOKUP(VLOOKUP(M$1,main!$A$3:$I$56,8,FALSE),main!$K$11:$M$14,2,FALSE)+VLOOKUP(VLOOKUP(M$1,main!$A$3:$I$56,7,FALSE),main!$K$19:$O$22,MATCH(VLOOKUP($A9,main!$A$3:$I$56,8,FALSE),main!$K$18:$O$18,0))))),1,0)</f>
        <v>0</v>
      </c>
      <c r="N9">
        <f>IF((AND(VLOOKUP(N$1,main!$A$3:$I$56,5,FALSE)-VLOOKUP($A9,main!$A$3:$I$56,6,FALSE)&gt;=(VLOOKUP(VLOOKUP(N$1,main!$A$3:$I$56,8,FALSE),main!$K$11:$M$14,2,FALSE)+VLOOKUP(VLOOKUP(N$1,main!$A$3:$I$56,7,FALSE),main!$K$19:$O$22,MATCH(VLOOKUP($A9,main!$A$3:$I$56,8,FALSE),main!$K$18:$O$18,0))))),1,0)</f>
        <v>0</v>
      </c>
      <c r="O9">
        <f>IF((AND(VLOOKUP(O$1,main!$A$3:$I$56,5,FALSE)-VLOOKUP($A9,main!$A$3:$I$56,6,FALSE)&gt;=(VLOOKUP(VLOOKUP(O$1,main!$A$3:$I$56,8,FALSE),main!$K$11:$M$14,2,FALSE)+VLOOKUP(VLOOKUP(O$1,main!$A$3:$I$56,7,FALSE),main!$K$19:$O$22,MATCH(VLOOKUP($A9,main!$A$3:$I$56,8,FALSE),main!$K$18:$O$18,0))))),1,0)</f>
        <v>0</v>
      </c>
      <c r="P9">
        <f>IF((AND(VLOOKUP(P$1,main!$A$3:$I$56,5,FALSE)-VLOOKUP($A9,main!$A$3:$I$56,6,FALSE)&gt;=(VLOOKUP(VLOOKUP(P$1,main!$A$3:$I$56,8,FALSE),main!$K$11:$M$14,2,FALSE)+VLOOKUP(VLOOKUP(P$1,main!$A$3:$I$56,7,FALSE),main!$K$19:$O$22,MATCH(VLOOKUP($A9,main!$A$3:$I$56,8,FALSE),main!$K$18:$O$18,0))))),1,0)</f>
        <v>0</v>
      </c>
      <c r="Q9">
        <f>IF((AND(VLOOKUP(Q$1,main!$A$3:$I$56,5,FALSE)-VLOOKUP($A9,main!$A$3:$I$56,6,FALSE)&gt;=(VLOOKUP(VLOOKUP(Q$1,main!$A$3:$I$56,8,FALSE),main!$K$11:$M$14,2,FALSE)+VLOOKUP(VLOOKUP(Q$1,main!$A$3:$I$56,7,FALSE),main!$K$19:$O$22,MATCH(VLOOKUP($A9,main!$A$3:$I$56,8,FALSE),main!$K$18:$O$18,0))))),1,0)</f>
        <v>0</v>
      </c>
      <c r="R9">
        <f>IF((AND(VLOOKUP(R$1,main!$A$3:$I$56,5,FALSE)-VLOOKUP($A9,main!$A$3:$I$56,6,FALSE)&gt;=(VLOOKUP(VLOOKUP(R$1,main!$A$3:$I$56,8,FALSE),main!$K$11:$M$14,2,FALSE)+VLOOKUP(VLOOKUP(R$1,main!$A$3:$I$56,7,FALSE),main!$K$19:$O$22,MATCH(VLOOKUP($A9,main!$A$3:$I$56,8,FALSE),main!$K$18:$O$18,0))))),1,0)</f>
        <v>0</v>
      </c>
      <c r="S9">
        <f>IF((AND(VLOOKUP(S$1,main!$A$3:$I$56,5,FALSE)-VLOOKUP($A9,main!$A$3:$I$56,6,FALSE)&gt;=(VLOOKUP(VLOOKUP(S$1,main!$A$3:$I$56,8,FALSE),main!$K$11:$M$14,2,FALSE)+VLOOKUP(VLOOKUP(S$1,main!$A$3:$I$56,7,FALSE),main!$K$19:$O$22,MATCH(VLOOKUP($A9,main!$A$3:$I$56,8,FALSE),main!$K$18:$O$18,0))))),1,0)</f>
        <v>0</v>
      </c>
      <c r="T9">
        <f>IF((AND(VLOOKUP(T$1,main!$A$3:$I$56,5,FALSE)-VLOOKUP($A9,main!$A$3:$I$56,6,FALSE)&gt;=(VLOOKUP(VLOOKUP(T$1,main!$A$3:$I$56,8,FALSE),main!$K$11:$M$14,2,FALSE)+VLOOKUP(VLOOKUP(T$1,main!$A$3:$I$56,7,FALSE),main!$K$19:$O$22,MATCH(VLOOKUP($A9,main!$A$3:$I$56,8,FALSE),main!$K$18:$O$18,0))))),1,0)</f>
        <v>0</v>
      </c>
      <c r="U9">
        <f>IF((AND(VLOOKUP(U$1,main!$A$3:$I$56,5,FALSE)-VLOOKUP($A9,main!$A$3:$I$56,6,FALSE)&gt;=(VLOOKUP(VLOOKUP(U$1,main!$A$3:$I$56,8,FALSE),main!$K$11:$M$14,2,FALSE)+VLOOKUP(VLOOKUP(U$1,main!$A$3:$I$56,7,FALSE),main!$K$19:$O$22,MATCH(VLOOKUP($A9,main!$A$3:$I$56,8,FALSE),main!$K$18:$O$18,0))))),1,0)</f>
        <v>0</v>
      </c>
      <c r="V9">
        <f>IF((AND(VLOOKUP(V$1,main!$A$3:$I$56,5,FALSE)-VLOOKUP($A9,main!$A$3:$I$56,6,FALSE)&gt;=(VLOOKUP(VLOOKUP(V$1,main!$A$3:$I$56,8,FALSE),main!$K$11:$M$14,2,FALSE)+VLOOKUP(VLOOKUP(V$1,main!$A$3:$I$56,7,FALSE),main!$K$19:$O$22,MATCH(VLOOKUP($A9,main!$A$3:$I$56,8,FALSE),main!$K$18:$O$18,0))))),1,0)</f>
        <v>0</v>
      </c>
      <c r="W9">
        <f>IF((AND(VLOOKUP(W$1,main!$A$3:$I$56,5,FALSE)-VLOOKUP($A9,main!$A$3:$I$56,6,FALSE)&gt;=(VLOOKUP(VLOOKUP(W$1,main!$A$3:$I$56,8,FALSE),main!$K$11:$M$14,2,FALSE)+VLOOKUP(VLOOKUP(W$1,main!$A$3:$I$56,7,FALSE),main!$K$19:$O$22,MATCH(VLOOKUP($A9,main!$A$3:$I$56,8,FALSE),main!$K$18:$O$18,0))))),1,0)</f>
        <v>0</v>
      </c>
      <c r="X9">
        <f>IF((AND(VLOOKUP(X$1,main!$A$3:$I$56,5,FALSE)-VLOOKUP($A9,main!$A$3:$I$56,6,FALSE)&gt;=(VLOOKUP(VLOOKUP(X$1,main!$A$3:$I$56,8,FALSE),main!$K$11:$M$14,2,FALSE)+VLOOKUP(VLOOKUP(X$1,main!$A$3:$I$56,7,FALSE),main!$K$19:$O$22,MATCH(VLOOKUP($A9,main!$A$3:$I$56,8,FALSE),main!$K$18:$O$18,0))))),1,0)</f>
        <v>0</v>
      </c>
      <c r="Y9">
        <f>IF((AND(VLOOKUP(Y$1,main!$A$3:$I$56,5,FALSE)-VLOOKUP($A9,main!$A$3:$I$56,6,FALSE)&gt;=(VLOOKUP(VLOOKUP(Y$1,main!$A$3:$I$56,8,FALSE),main!$K$11:$M$14,2,FALSE)+VLOOKUP(VLOOKUP(Y$1,main!$A$3:$I$56,7,FALSE),main!$K$19:$O$22,MATCH(VLOOKUP($A9,main!$A$3:$I$56,8,FALSE),main!$K$18:$O$18,0))))),1,0)</f>
        <v>0</v>
      </c>
      <c r="Z9">
        <f>IF((AND(VLOOKUP(Z$1,main!$A$3:$I$56,5,FALSE)-VLOOKUP($A9,main!$A$3:$I$56,6,FALSE)&gt;=(VLOOKUP(VLOOKUP(Z$1,main!$A$3:$I$56,8,FALSE),main!$K$11:$M$14,2,FALSE)+VLOOKUP(VLOOKUP(Z$1,main!$A$3:$I$56,7,FALSE),main!$K$19:$O$22,MATCH(VLOOKUP($A9,main!$A$3:$I$56,8,FALSE),main!$K$18:$O$18,0))))),1,0)</f>
        <v>0</v>
      </c>
      <c r="AA9">
        <f>IF((AND(VLOOKUP(AA$1,main!$A$3:$I$56,5,FALSE)-VLOOKUP($A9,main!$A$3:$I$56,6,FALSE)&gt;=(VLOOKUP(VLOOKUP(AA$1,main!$A$3:$I$56,8,FALSE),main!$K$11:$M$14,2,FALSE)+VLOOKUP(VLOOKUP(AA$1,main!$A$3:$I$56,7,FALSE),main!$K$19:$O$22,MATCH(VLOOKUP($A9,main!$A$3:$I$56,8,FALSE),main!$K$18:$O$18,0))))),1,0)</f>
        <v>0</v>
      </c>
      <c r="AB9">
        <f>IF((AND(VLOOKUP(AB$1,main!$A$3:$I$56,5,FALSE)-VLOOKUP($A9,main!$A$3:$I$56,6,FALSE)&gt;=(VLOOKUP(VLOOKUP(AB$1,main!$A$3:$I$56,8,FALSE),main!$K$11:$M$14,2,FALSE)+VLOOKUP(VLOOKUP(AB$1,main!$A$3:$I$56,7,FALSE),main!$K$19:$O$22,MATCH(VLOOKUP($A9,main!$A$3:$I$56,8,FALSE),main!$K$18:$O$18,0))))),1,0)</f>
        <v>0</v>
      </c>
      <c r="AC9">
        <f>IF((AND(VLOOKUP(AC$1,main!$A$3:$I$56,5,FALSE)-VLOOKUP($A9,main!$A$3:$I$56,6,FALSE)&gt;=(VLOOKUP(VLOOKUP(AC$1,main!$A$3:$I$56,8,FALSE),main!$K$11:$M$14,2,FALSE)+VLOOKUP(VLOOKUP(AC$1,main!$A$3:$I$56,7,FALSE),main!$K$19:$O$22,MATCH(VLOOKUP($A9,main!$A$3:$I$56,8,FALSE),main!$K$18:$O$18,0))))),1,0)</f>
        <v>0</v>
      </c>
      <c r="AD9">
        <f>IF((AND(VLOOKUP(AD$1,main!$A$3:$I$56,5,FALSE)-VLOOKUP($A9,main!$A$3:$I$56,6,FALSE)&gt;=(VLOOKUP(VLOOKUP(AD$1,main!$A$3:$I$56,8,FALSE),main!$K$11:$M$14,2,FALSE)+VLOOKUP(VLOOKUP(AD$1,main!$A$3:$I$56,7,FALSE),main!$K$19:$O$22,MATCH(VLOOKUP($A9,main!$A$3:$I$56,8,FALSE),main!$K$18:$O$18,0))))),1,0)</f>
        <v>0</v>
      </c>
      <c r="AE9">
        <f>IF((AND(VLOOKUP(AE$1,main!$A$3:$I$56,5,FALSE)-VLOOKUP($A9,main!$A$3:$I$56,6,FALSE)&gt;=(VLOOKUP(VLOOKUP(AE$1,main!$A$3:$I$56,8,FALSE),main!$K$11:$M$14,2,FALSE)+VLOOKUP(VLOOKUP(AE$1,main!$A$3:$I$56,7,FALSE),main!$K$19:$O$22,MATCH(VLOOKUP($A9,main!$A$3:$I$56,8,FALSE),main!$K$18:$O$18,0))))),1,0)</f>
        <v>0</v>
      </c>
      <c r="AF9">
        <f>IF((AND(VLOOKUP(AF$1,main!$A$3:$I$56,5,FALSE)-VLOOKUP($A9,main!$A$3:$I$56,6,FALSE)&gt;=(VLOOKUP(VLOOKUP(AF$1,main!$A$3:$I$56,8,FALSE),main!$K$11:$M$14,2,FALSE)+VLOOKUP(VLOOKUP(AF$1,main!$A$3:$I$56,7,FALSE),main!$K$19:$O$22,MATCH(VLOOKUP($A9,main!$A$3:$I$56,8,FALSE),main!$K$18:$O$18,0))))),1,0)</f>
        <v>0</v>
      </c>
      <c r="AG9">
        <f>IF((AND(VLOOKUP(AG$1,main!$A$3:$I$56,5,FALSE)-VLOOKUP($A9,main!$A$3:$I$56,6,FALSE)&gt;=(VLOOKUP(VLOOKUP(AG$1,main!$A$3:$I$56,8,FALSE),main!$K$11:$M$14,2,FALSE)+VLOOKUP(VLOOKUP(AG$1,main!$A$3:$I$56,7,FALSE),main!$K$19:$O$22,MATCH(VLOOKUP($A9,main!$A$3:$I$56,8,FALSE),main!$K$18:$O$18,0))))),1,0)</f>
        <v>0</v>
      </c>
      <c r="AH9">
        <f>IF((AND(VLOOKUP(AH$1,main!$A$3:$I$56,5,FALSE)-VLOOKUP($A9,main!$A$3:$I$56,6,FALSE)&gt;=(VLOOKUP(VLOOKUP(AH$1,main!$A$3:$I$56,8,FALSE),main!$K$11:$M$14,2,FALSE)+VLOOKUP(VLOOKUP(AH$1,main!$A$3:$I$56,7,FALSE),main!$K$19:$O$22,MATCH(VLOOKUP($A9,main!$A$3:$I$56,8,FALSE),main!$K$18:$O$18,0))))),1,0)</f>
        <v>0</v>
      </c>
      <c r="AI9">
        <f>IF((AND(VLOOKUP(AI$1,main!$A$3:$I$56,5,FALSE)-VLOOKUP($A9,main!$A$3:$I$56,6,FALSE)&gt;=(VLOOKUP(VLOOKUP(AI$1,main!$A$3:$I$56,8,FALSE),main!$K$11:$M$14,2,FALSE)+VLOOKUP(VLOOKUP(AI$1,main!$A$3:$I$56,7,FALSE),main!$K$19:$O$22,MATCH(VLOOKUP($A9,main!$A$3:$I$56,8,FALSE),main!$K$18:$O$18,0))))),1,0)</f>
        <v>0</v>
      </c>
      <c r="AJ9">
        <f>IF((AND(VLOOKUP(AJ$1,main!$A$3:$I$56,5,FALSE)-VLOOKUP($A9,main!$A$3:$I$56,6,FALSE)&gt;=(VLOOKUP(VLOOKUP(AJ$1,main!$A$3:$I$56,8,FALSE),main!$K$11:$M$14,2,FALSE)+VLOOKUP(VLOOKUP(AJ$1,main!$A$3:$I$56,7,FALSE),main!$K$19:$O$22,MATCH(VLOOKUP($A9,main!$A$3:$I$56,8,FALSE),main!$K$18:$O$18,0))))),1,0)</f>
        <v>0</v>
      </c>
      <c r="AK9">
        <f>IF((AND(VLOOKUP(AK$1,main!$A$3:$I$56,5,FALSE)-VLOOKUP($A9,main!$A$3:$I$56,6,FALSE)&gt;=(VLOOKUP(VLOOKUP(AK$1,main!$A$3:$I$56,8,FALSE),main!$K$11:$M$14,2,FALSE)+VLOOKUP(VLOOKUP(AK$1,main!$A$3:$I$56,7,FALSE),main!$K$19:$O$22,MATCH(VLOOKUP($A9,main!$A$3:$I$56,8,FALSE),main!$K$18:$O$18,0))))),1,0)</f>
        <v>0</v>
      </c>
      <c r="AL9">
        <f>IF((AND(VLOOKUP(AL$1,main!$A$3:$I$56,5,FALSE)-VLOOKUP($A9,main!$A$3:$I$56,6,FALSE)&gt;=(VLOOKUP(VLOOKUP(AL$1,main!$A$3:$I$56,8,FALSE),main!$K$11:$M$14,2,FALSE)+VLOOKUP(VLOOKUP(AL$1,main!$A$3:$I$56,7,FALSE),main!$K$19:$O$22,MATCH(VLOOKUP($A9,main!$A$3:$I$56,8,FALSE),main!$K$18:$O$18,0))))),1,0)</f>
        <v>0</v>
      </c>
      <c r="AM9">
        <f>IF((AND(VLOOKUP(AM$1,main!$A$3:$I$56,5,FALSE)-VLOOKUP($A9,main!$A$3:$I$56,6,FALSE)&gt;=(VLOOKUP(VLOOKUP(AM$1,main!$A$3:$I$56,8,FALSE),main!$K$11:$M$14,2,FALSE)+VLOOKUP(VLOOKUP(AM$1,main!$A$3:$I$56,7,FALSE),main!$K$19:$O$22,MATCH(VLOOKUP($A9,main!$A$3:$I$56,8,FALSE),main!$K$18:$O$18,0))))),1,0)</f>
        <v>0</v>
      </c>
      <c r="AN9">
        <f>IF((AND(VLOOKUP(AN$1,main!$A$3:$I$56,5,FALSE)-VLOOKUP($A9,main!$A$3:$I$56,6,FALSE)&gt;=(VLOOKUP(VLOOKUP(AN$1,main!$A$3:$I$56,8,FALSE),main!$K$11:$M$14,2,FALSE)+VLOOKUP(VLOOKUP(AN$1,main!$A$3:$I$56,7,FALSE),main!$K$19:$O$22,MATCH(VLOOKUP($A9,main!$A$3:$I$56,8,FALSE),main!$K$18:$O$18,0))))),1,0)</f>
        <v>0</v>
      </c>
      <c r="AO9">
        <f>IF((AND(VLOOKUP(AO$1,main!$A$3:$I$56,5,FALSE)-VLOOKUP($A9,main!$A$3:$I$56,6,FALSE)&gt;=(VLOOKUP(VLOOKUP(AO$1,main!$A$3:$I$56,8,FALSE),main!$K$11:$M$14,2,FALSE)+VLOOKUP(VLOOKUP(AO$1,main!$A$3:$I$56,7,FALSE),main!$K$19:$O$22,MATCH(VLOOKUP($A9,main!$A$3:$I$56,8,FALSE),main!$K$18:$O$18,0))))),1,0)</f>
        <v>0</v>
      </c>
      <c r="AP9">
        <f>IF((AND(VLOOKUP(AP$1,main!$A$3:$I$56,5,FALSE)-VLOOKUP($A9,main!$A$3:$I$56,6,FALSE)&gt;=(VLOOKUP(VLOOKUP(AP$1,main!$A$3:$I$56,8,FALSE),main!$K$11:$M$14,2,FALSE)+VLOOKUP(VLOOKUP(AP$1,main!$A$3:$I$56,7,FALSE),main!$K$19:$O$22,MATCH(VLOOKUP($A9,main!$A$3:$I$56,8,FALSE),main!$K$18:$O$18,0))))),1,0)</f>
        <v>0</v>
      </c>
      <c r="AQ9">
        <f>IF((AND(VLOOKUP(AQ$1,main!$A$3:$I$56,5,FALSE)-VLOOKUP($A9,main!$A$3:$I$56,6,FALSE)&gt;=(VLOOKUP(VLOOKUP(AQ$1,main!$A$3:$I$56,8,FALSE),main!$K$11:$M$14,2,FALSE)+VLOOKUP(VLOOKUP(AQ$1,main!$A$3:$I$56,7,FALSE),main!$K$19:$O$22,MATCH(VLOOKUP($A9,main!$A$3:$I$56,8,FALSE),main!$K$18:$O$18,0))))),1,0)</f>
        <v>0</v>
      </c>
      <c r="AR9">
        <f>IF((AND(VLOOKUP(AR$1,main!$A$3:$I$56,5,FALSE)-VLOOKUP($A9,main!$A$3:$I$56,6,FALSE)&gt;=(VLOOKUP(VLOOKUP(AR$1,main!$A$3:$I$56,8,FALSE),main!$K$11:$M$14,2,FALSE)+VLOOKUP(VLOOKUP(AR$1,main!$A$3:$I$56,7,FALSE),main!$K$19:$O$22,MATCH(VLOOKUP($A9,main!$A$3:$I$56,8,FALSE),main!$K$18:$O$18,0))))),1,0)</f>
        <v>0</v>
      </c>
      <c r="AS9">
        <f>IF((AND(VLOOKUP(AS$1,main!$A$3:$I$56,5,FALSE)-VLOOKUP($A9,main!$A$3:$I$56,6,FALSE)&gt;=(VLOOKUP(VLOOKUP(AS$1,main!$A$3:$I$56,8,FALSE),main!$K$11:$M$14,2,FALSE)+VLOOKUP(VLOOKUP(AS$1,main!$A$3:$I$56,7,FALSE),main!$K$19:$O$22,MATCH(VLOOKUP($A9,main!$A$3:$I$56,8,FALSE),main!$K$18:$O$18,0))))),1,0)</f>
        <v>0</v>
      </c>
      <c r="AT9">
        <f>IF((AND(VLOOKUP(AT$1,main!$A$3:$I$56,5,FALSE)-VLOOKUP($A9,main!$A$3:$I$56,6,FALSE)&gt;=(VLOOKUP(VLOOKUP(AT$1,main!$A$3:$I$56,8,FALSE),main!$K$11:$M$14,2,FALSE)+VLOOKUP(VLOOKUP(AT$1,main!$A$3:$I$56,7,FALSE),main!$K$19:$O$22,MATCH(VLOOKUP($A9,main!$A$3:$I$56,8,FALSE),main!$K$18:$O$18,0))))),1,0)</f>
        <v>0</v>
      </c>
      <c r="AU9">
        <f>IF((AND(VLOOKUP(AU$1,main!$A$3:$I$56,5,FALSE)-VLOOKUP($A9,main!$A$3:$I$56,6,FALSE)&gt;=(VLOOKUP(VLOOKUP(AU$1,main!$A$3:$I$56,8,FALSE),main!$K$11:$M$14,2,FALSE)+VLOOKUP(VLOOKUP(AU$1,main!$A$3:$I$56,7,FALSE),main!$K$19:$O$22,MATCH(VLOOKUP($A9,main!$A$3:$I$56,8,FALSE),main!$K$18:$O$18,0))))),1,0)</f>
        <v>0</v>
      </c>
      <c r="AV9">
        <f>IF((AND(VLOOKUP(AV$1,main!$A$3:$I$56,5,FALSE)-VLOOKUP($A9,main!$A$3:$I$56,6,FALSE)&gt;=(VLOOKUP(VLOOKUP(AV$1,main!$A$3:$I$56,8,FALSE),main!$K$11:$M$14,2,FALSE)+VLOOKUP(VLOOKUP(AV$1,main!$A$3:$I$56,7,FALSE),main!$K$19:$O$22,MATCH(VLOOKUP($A9,main!$A$3:$I$56,8,FALSE),main!$K$18:$O$18,0))))),1,0)</f>
        <v>0</v>
      </c>
      <c r="AW9">
        <f>IF((AND(VLOOKUP(AW$1,main!$A$3:$I$56,5,FALSE)-VLOOKUP($A9,main!$A$3:$I$56,6,FALSE)&gt;=(VLOOKUP(VLOOKUP(AW$1,main!$A$3:$I$56,8,FALSE),main!$K$11:$M$14,2,FALSE)+VLOOKUP(VLOOKUP(AW$1,main!$A$3:$I$56,7,FALSE),main!$K$19:$O$22,MATCH(VLOOKUP($A9,main!$A$3:$I$56,8,FALSE),main!$K$18:$O$18,0))))),1,0)</f>
        <v>0</v>
      </c>
      <c r="AX9">
        <f>IF((AND(VLOOKUP(AX$1,main!$A$3:$I$56,5,FALSE)-VLOOKUP($A9,main!$A$3:$I$56,6,FALSE)&gt;=(VLOOKUP(VLOOKUP(AX$1,main!$A$3:$I$56,8,FALSE),main!$K$11:$M$14,2,FALSE)+VLOOKUP(VLOOKUP(AX$1,main!$A$3:$I$56,7,FALSE),main!$K$19:$O$22,MATCH(VLOOKUP($A9,main!$A$3:$I$56,8,FALSE),main!$K$18:$O$18,0))))),1,0)</f>
        <v>0</v>
      </c>
      <c r="AY9">
        <f>IF((AND(VLOOKUP(AY$1,main!$A$3:$I$56,5,FALSE)-VLOOKUP($A9,main!$A$3:$I$56,6,FALSE)&gt;=(VLOOKUP(VLOOKUP(AY$1,main!$A$3:$I$56,8,FALSE),main!$K$11:$M$14,2,FALSE)+VLOOKUP(VLOOKUP(AY$1,main!$A$3:$I$56,7,FALSE),main!$K$19:$O$22,MATCH(VLOOKUP($A9,main!$A$3:$I$56,8,FALSE),main!$K$18:$O$18,0))))),1,0)</f>
        <v>0</v>
      </c>
      <c r="AZ9">
        <f>IF((AND(VLOOKUP(AZ$1,main!$A$3:$I$56,5,FALSE)-VLOOKUP($A9,main!$A$3:$I$56,6,FALSE)&gt;=(VLOOKUP(VLOOKUP(AZ$1,main!$A$3:$I$56,8,FALSE),main!$K$11:$M$14,2,FALSE)+VLOOKUP(VLOOKUP(AZ$1,main!$A$3:$I$56,7,FALSE),main!$K$19:$O$22,MATCH(VLOOKUP($A9,main!$A$3:$I$56,8,FALSE),main!$K$18:$O$18,0))))),1,0)</f>
        <v>0</v>
      </c>
      <c r="BA9">
        <f>IF((AND(VLOOKUP(BA$1,main!$A$3:$I$56,5,FALSE)-VLOOKUP($A9,main!$A$3:$I$56,6,FALSE)&gt;=(VLOOKUP(VLOOKUP(BA$1,main!$A$3:$I$56,8,FALSE),main!$K$11:$M$14,2,FALSE)+VLOOKUP(VLOOKUP(BA$1,main!$A$3:$I$56,7,FALSE),main!$K$19:$O$22,MATCH(VLOOKUP($A9,main!$A$3:$I$56,8,FALSE),main!$K$18:$O$18,0))))),1,0)</f>
        <v>0</v>
      </c>
      <c r="BB9">
        <f>IF((AND(VLOOKUP(BB$1,main!$A$3:$I$56,5,FALSE)-VLOOKUP($A9,main!$A$3:$I$56,6,FALSE)&gt;=(VLOOKUP(VLOOKUP(BB$1,main!$A$3:$I$56,8,FALSE),main!$K$11:$M$14,2,FALSE)+VLOOKUP(VLOOKUP(BB$1,main!$A$3:$I$56,7,FALSE),main!$K$19:$O$22,MATCH(VLOOKUP($A9,main!$A$3:$I$56,8,FALSE),main!$K$18:$O$18,0))))),1,0)</f>
        <v>0</v>
      </c>
      <c r="BC9">
        <f>IF((AND(VLOOKUP(BC$1,main!$A$3:$I$56,5,FALSE)-VLOOKUP($A9,main!$A$3:$I$56,6,FALSE)&gt;=(VLOOKUP(VLOOKUP(BC$1,main!$A$3:$I$56,8,FALSE),main!$K$11:$M$14,2,FALSE)+VLOOKUP(VLOOKUP(BC$1,main!$A$3:$I$56,7,FALSE),main!$K$19:$O$22,MATCH(VLOOKUP($A9,main!$A$3:$I$56,8,FALSE),main!$K$18:$O$18,0))))),1,0)</f>
        <v>0</v>
      </c>
      <c r="BD9">
        <f>IF((AND(VLOOKUP(BD$1,main!$A$3:$I$56,5,FALSE)-VLOOKUP($A9,main!$A$3:$I$56,6,FALSE)&gt;=(VLOOKUP(VLOOKUP(BD$1,main!$A$3:$I$56,8,FALSE),main!$K$11:$M$14,2,FALSE)+VLOOKUP(VLOOKUP(BD$1,main!$A$3:$I$56,7,FALSE),main!$K$19:$O$22,MATCH(VLOOKUP($A9,main!$A$3:$I$56,8,FALSE),main!$K$18:$O$18,0))))),1,0)</f>
        <v>0</v>
      </c>
    </row>
    <row r="10" spans="1:56" x14ac:dyDescent="0.25">
      <c r="A10">
        <f t="shared" si="0"/>
        <v>8</v>
      </c>
      <c r="B10">
        <v>1</v>
      </c>
      <c r="C10">
        <f>IF((AND(VLOOKUP(C$1,main!$A$3:$I$56,5,FALSE)-VLOOKUP($A10,main!$A$3:$I$56,6,FALSE)&gt;=(VLOOKUP(VLOOKUP(C$1,main!$A$3:$I$56,8,FALSE),main!$K$11:$M$14,2,FALSE)+VLOOKUP(VLOOKUP(C$1,main!$A$3:$I$56,7,FALSE),main!$K$19:$O$22,MATCH(VLOOKUP($A10,main!$A$3:$I$56,8,FALSE),main!$K$18:$O$18,0))))),1,0)</f>
        <v>0</v>
      </c>
      <c r="D10">
        <f>IF((AND(VLOOKUP(D$1,main!$A$3:$I$56,5,FALSE)-VLOOKUP($A10,main!$A$3:$I$56,6,FALSE)&gt;=(VLOOKUP(VLOOKUP(D$1,main!$A$3:$I$56,8,FALSE),main!$K$11:$M$14,2,FALSE)+VLOOKUP(VLOOKUP(D$1,main!$A$3:$I$56,7,FALSE),main!$K$19:$O$22,MATCH(VLOOKUP($A10,main!$A$3:$I$56,8,FALSE),main!$K$18:$O$18,0))))),1,0)</f>
        <v>0</v>
      </c>
      <c r="E10">
        <f>IF((AND(VLOOKUP(E$1,main!$A$3:$I$56,5,FALSE)-VLOOKUP($A10,main!$A$3:$I$56,6,FALSE)&gt;=(VLOOKUP(VLOOKUP(E$1,main!$A$3:$I$56,8,FALSE),main!$K$11:$M$14,2,FALSE)+VLOOKUP(VLOOKUP(E$1,main!$A$3:$I$56,7,FALSE),main!$K$19:$O$22,MATCH(VLOOKUP($A10,main!$A$3:$I$56,8,FALSE),main!$K$18:$O$18,0))))),1,0)</f>
        <v>0</v>
      </c>
      <c r="F10">
        <f>IF((AND(VLOOKUP(F$1,main!$A$3:$I$56,5,FALSE)-VLOOKUP($A10,main!$A$3:$I$56,6,FALSE)&gt;=(VLOOKUP(VLOOKUP(F$1,main!$A$3:$I$56,8,FALSE),main!$K$11:$M$14,2,FALSE)+VLOOKUP(VLOOKUP(F$1,main!$A$3:$I$56,7,FALSE),main!$K$19:$O$22,MATCH(VLOOKUP($A10,main!$A$3:$I$56,8,FALSE),main!$K$18:$O$18,0))))),1,0)</f>
        <v>0</v>
      </c>
      <c r="G10">
        <f>IF((AND(VLOOKUP(G$1,main!$A$3:$I$56,5,FALSE)-VLOOKUP($A10,main!$A$3:$I$56,6,FALSE)&gt;=(VLOOKUP(VLOOKUP(G$1,main!$A$3:$I$56,8,FALSE),main!$K$11:$M$14,2,FALSE)+VLOOKUP(VLOOKUP(G$1,main!$A$3:$I$56,7,FALSE),main!$K$19:$O$22,MATCH(VLOOKUP($A10,main!$A$3:$I$56,8,FALSE),main!$K$18:$O$18,0))))),1,0)</f>
        <v>0</v>
      </c>
      <c r="H10">
        <f>IF((AND(VLOOKUP(H$1,main!$A$3:$I$56,5,FALSE)-VLOOKUP($A10,main!$A$3:$I$56,6,FALSE)&gt;=(VLOOKUP(VLOOKUP(H$1,main!$A$3:$I$56,8,FALSE),main!$K$11:$M$14,2,FALSE)+VLOOKUP(VLOOKUP(H$1,main!$A$3:$I$56,7,FALSE),main!$K$19:$O$22,MATCH(VLOOKUP($A10,main!$A$3:$I$56,8,FALSE),main!$K$18:$O$18,0))))),1,0)</f>
        <v>0</v>
      </c>
      <c r="I10">
        <f>IF((AND(VLOOKUP(I$1,main!$A$3:$I$56,5,FALSE)-VLOOKUP($A10,main!$A$3:$I$56,6,FALSE)&gt;=(VLOOKUP(VLOOKUP(I$1,main!$A$3:$I$56,8,FALSE),main!$K$11:$M$14,2,FALSE)+VLOOKUP(VLOOKUP(I$1,main!$A$3:$I$56,7,FALSE),main!$K$19:$O$22,MATCH(VLOOKUP($A10,main!$A$3:$I$56,8,FALSE),main!$K$18:$O$18,0))))),1,0)</f>
        <v>0</v>
      </c>
      <c r="J10">
        <f>IF((AND(VLOOKUP(J$1,main!$A$3:$I$56,5,FALSE)-VLOOKUP($A10,main!$A$3:$I$56,6,FALSE)&gt;=(VLOOKUP(VLOOKUP(J$1,main!$A$3:$I$56,8,FALSE),main!$K$11:$M$14,2,FALSE)+VLOOKUP(VLOOKUP(J$1,main!$A$3:$I$56,7,FALSE),main!$K$19:$O$22,MATCH(VLOOKUP($A10,main!$A$3:$I$56,8,FALSE),main!$K$18:$O$18,0))))),1,0)</f>
        <v>0</v>
      </c>
      <c r="K10">
        <f>IF((AND(VLOOKUP(K$1,main!$A$3:$I$56,5,FALSE)-VLOOKUP($A10,main!$A$3:$I$56,6,FALSE)&gt;=(VLOOKUP(VLOOKUP(K$1,main!$A$3:$I$56,8,FALSE),main!$K$11:$M$14,2,FALSE)+VLOOKUP(VLOOKUP(K$1,main!$A$3:$I$56,7,FALSE),main!$K$19:$O$22,MATCH(VLOOKUP($A10,main!$A$3:$I$56,8,FALSE),main!$K$18:$O$18,0))))),1,0)</f>
        <v>0</v>
      </c>
      <c r="L10">
        <f>IF((AND(VLOOKUP(L$1,main!$A$3:$I$56,5,FALSE)-VLOOKUP($A10,main!$A$3:$I$56,6,FALSE)&gt;=(VLOOKUP(VLOOKUP(L$1,main!$A$3:$I$56,8,FALSE),main!$K$11:$M$14,2,FALSE)+VLOOKUP(VLOOKUP(L$1,main!$A$3:$I$56,7,FALSE),main!$K$19:$O$22,MATCH(VLOOKUP($A10,main!$A$3:$I$56,8,FALSE),main!$K$18:$O$18,0))))),1,0)</f>
        <v>0</v>
      </c>
      <c r="M10">
        <f>IF((AND(VLOOKUP(M$1,main!$A$3:$I$56,5,FALSE)-VLOOKUP($A10,main!$A$3:$I$56,6,FALSE)&gt;=(VLOOKUP(VLOOKUP(M$1,main!$A$3:$I$56,8,FALSE),main!$K$11:$M$14,2,FALSE)+VLOOKUP(VLOOKUP(M$1,main!$A$3:$I$56,7,FALSE),main!$K$19:$O$22,MATCH(VLOOKUP($A10,main!$A$3:$I$56,8,FALSE),main!$K$18:$O$18,0))))),1,0)</f>
        <v>0</v>
      </c>
      <c r="N10">
        <f>IF((AND(VLOOKUP(N$1,main!$A$3:$I$56,5,FALSE)-VLOOKUP($A10,main!$A$3:$I$56,6,FALSE)&gt;=(VLOOKUP(VLOOKUP(N$1,main!$A$3:$I$56,8,FALSE),main!$K$11:$M$14,2,FALSE)+VLOOKUP(VLOOKUP(N$1,main!$A$3:$I$56,7,FALSE),main!$K$19:$O$22,MATCH(VLOOKUP($A10,main!$A$3:$I$56,8,FALSE),main!$K$18:$O$18,0))))),1,0)</f>
        <v>0</v>
      </c>
      <c r="O10">
        <f>IF((AND(VLOOKUP(O$1,main!$A$3:$I$56,5,FALSE)-VLOOKUP($A10,main!$A$3:$I$56,6,FALSE)&gt;=(VLOOKUP(VLOOKUP(O$1,main!$A$3:$I$56,8,FALSE),main!$K$11:$M$14,2,FALSE)+VLOOKUP(VLOOKUP(O$1,main!$A$3:$I$56,7,FALSE),main!$K$19:$O$22,MATCH(VLOOKUP($A10,main!$A$3:$I$56,8,FALSE),main!$K$18:$O$18,0))))),1,0)</f>
        <v>0</v>
      </c>
      <c r="P10">
        <f>IF((AND(VLOOKUP(P$1,main!$A$3:$I$56,5,FALSE)-VLOOKUP($A10,main!$A$3:$I$56,6,FALSE)&gt;=(VLOOKUP(VLOOKUP(P$1,main!$A$3:$I$56,8,FALSE),main!$K$11:$M$14,2,FALSE)+VLOOKUP(VLOOKUP(P$1,main!$A$3:$I$56,7,FALSE),main!$K$19:$O$22,MATCH(VLOOKUP($A10,main!$A$3:$I$56,8,FALSE),main!$K$18:$O$18,0))))),1,0)</f>
        <v>0</v>
      </c>
      <c r="Q10">
        <f>IF((AND(VLOOKUP(Q$1,main!$A$3:$I$56,5,FALSE)-VLOOKUP($A10,main!$A$3:$I$56,6,FALSE)&gt;=(VLOOKUP(VLOOKUP(Q$1,main!$A$3:$I$56,8,FALSE),main!$K$11:$M$14,2,FALSE)+VLOOKUP(VLOOKUP(Q$1,main!$A$3:$I$56,7,FALSE),main!$K$19:$O$22,MATCH(VLOOKUP($A10,main!$A$3:$I$56,8,FALSE),main!$K$18:$O$18,0))))),1,0)</f>
        <v>0</v>
      </c>
      <c r="R10">
        <f>IF((AND(VLOOKUP(R$1,main!$A$3:$I$56,5,FALSE)-VLOOKUP($A10,main!$A$3:$I$56,6,FALSE)&gt;=(VLOOKUP(VLOOKUP(R$1,main!$A$3:$I$56,8,FALSE),main!$K$11:$M$14,2,FALSE)+VLOOKUP(VLOOKUP(R$1,main!$A$3:$I$56,7,FALSE),main!$K$19:$O$22,MATCH(VLOOKUP($A10,main!$A$3:$I$56,8,FALSE),main!$K$18:$O$18,0))))),1,0)</f>
        <v>0</v>
      </c>
      <c r="S10">
        <f>IF((AND(VLOOKUP(S$1,main!$A$3:$I$56,5,FALSE)-VLOOKUP($A10,main!$A$3:$I$56,6,FALSE)&gt;=(VLOOKUP(VLOOKUP(S$1,main!$A$3:$I$56,8,FALSE),main!$K$11:$M$14,2,FALSE)+VLOOKUP(VLOOKUP(S$1,main!$A$3:$I$56,7,FALSE),main!$K$19:$O$22,MATCH(VLOOKUP($A10,main!$A$3:$I$56,8,FALSE),main!$K$18:$O$18,0))))),1,0)</f>
        <v>0</v>
      </c>
      <c r="T10">
        <f>IF((AND(VLOOKUP(T$1,main!$A$3:$I$56,5,FALSE)-VLOOKUP($A10,main!$A$3:$I$56,6,FALSE)&gt;=(VLOOKUP(VLOOKUP(T$1,main!$A$3:$I$56,8,FALSE),main!$K$11:$M$14,2,FALSE)+VLOOKUP(VLOOKUP(T$1,main!$A$3:$I$56,7,FALSE),main!$K$19:$O$22,MATCH(VLOOKUP($A10,main!$A$3:$I$56,8,FALSE),main!$K$18:$O$18,0))))),1,0)</f>
        <v>0</v>
      </c>
      <c r="U10">
        <f>IF((AND(VLOOKUP(U$1,main!$A$3:$I$56,5,FALSE)-VLOOKUP($A10,main!$A$3:$I$56,6,FALSE)&gt;=(VLOOKUP(VLOOKUP(U$1,main!$A$3:$I$56,8,FALSE),main!$K$11:$M$14,2,FALSE)+VLOOKUP(VLOOKUP(U$1,main!$A$3:$I$56,7,FALSE),main!$K$19:$O$22,MATCH(VLOOKUP($A10,main!$A$3:$I$56,8,FALSE),main!$K$18:$O$18,0))))),1,0)</f>
        <v>0</v>
      </c>
      <c r="V10">
        <f>IF((AND(VLOOKUP(V$1,main!$A$3:$I$56,5,FALSE)-VLOOKUP($A10,main!$A$3:$I$56,6,FALSE)&gt;=(VLOOKUP(VLOOKUP(V$1,main!$A$3:$I$56,8,FALSE),main!$K$11:$M$14,2,FALSE)+VLOOKUP(VLOOKUP(V$1,main!$A$3:$I$56,7,FALSE),main!$K$19:$O$22,MATCH(VLOOKUP($A10,main!$A$3:$I$56,8,FALSE),main!$K$18:$O$18,0))))),1,0)</f>
        <v>0</v>
      </c>
      <c r="W10">
        <f>IF((AND(VLOOKUP(W$1,main!$A$3:$I$56,5,FALSE)-VLOOKUP($A10,main!$A$3:$I$56,6,FALSE)&gt;=(VLOOKUP(VLOOKUP(W$1,main!$A$3:$I$56,8,FALSE),main!$K$11:$M$14,2,FALSE)+VLOOKUP(VLOOKUP(W$1,main!$A$3:$I$56,7,FALSE),main!$K$19:$O$22,MATCH(VLOOKUP($A10,main!$A$3:$I$56,8,FALSE),main!$K$18:$O$18,0))))),1,0)</f>
        <v>0</v>
      </c>
      <c r="X10">
        <f>IF((AND(VLOOKUP(X$1,main!$A$3:$I$56,5,FALSE)-VLOOKUP($A10,main!$A$3:$I$56,6,FALSE)&gt;=(VLOOKUP(VLOOKUP(X$1,main!$A$3:$I$56,8,FALSE),main!$K$11:$M$14,2,FALSE)+VLOOKUP(VLOOKUP(X$1,main!$A$3:$I$56,7,FALSE),main!$K$19:$O$22,MATCH(VLOOKUP($A10,main!$A$3:$I$56,8,FALSE),main!$K$18:$O$18,0))))),1,0)</f>
        <v>0</v>
      </c>
      <c r="Y10">
        <f>IF((AND(VLOOKUP(Y$1,main!$A$3:$I$56,5,FALSE)-VLOOKUP($A10,main!$A$3:$I$56,6,FALSE)&gt;=(VLOOKUP(VLOOKUP(Y$1,main!$A$3:$I$56,8,FALSE),main!$K$11:$M$14,2,FALSE)+VLOOKUP(VLOOKUP(Y$1,main!$A$3:$I$56,7,FALSE),main!$K$19:$O$22,MATCH(VLOOKUP($A10,main!$A$3:$I$56,8,FALSE),main!$K$18:$O$18,0))))),1,0)</f>
        <v>0</v>
      </c>
      <c r="Z10">
        <f>IF((AND(VLOOKUP(Z$1,main!$A$3:$I$56,5,FALSE)-VLOOKUP($A10,main!$A$3:$I$56,6,FALSE)&gt;=(VLOOKUP(VLOOKUP(Z$1,main!$A$3:$I$56,8,FALSE),main!$K$11:$M$14,2,FALSE)+VLOOKUP(VLOOKUP(Z$1,main!$A$3:$I$56,7,FALSE),main!$K$19:$O$22,MATCH(VLOOKUP($A10,main!$A$3:$I$56,8,FALSE),main!$K$18:$O$18,0))))),1,0)</f>
        <v>0</v>
      </c>
      <c r="AA10">
        <f>IF((AND(VLOOKUP(AA$1,main!$A$3:$I$56,5,FALSE)-VLOOKUP($A10,main!$A$3:$I$56,6,FALSE)&gt;=(VLOOKUP(VLOOKUP(AA$1,main!$A$3:$I$56,8,FALSE),main!$K$11:$M$14,2,FALSE)+VLOOKUP(VLOOKUP(AA$1,main!$A$3:$I$56,7,FALSE),main!$K$19:$O$22,MATCH(VLOOKUP($A10,main!$A$3:$I$56,8,FALSE),main!$K$18:$O$18,0))))),1,0)</f>
        <v>0</v>
      </c>
      <c r="AB10">
        <f>IF((AND(VLOOKUP(AB$1,main!$A$3:$I$56,5,FALSE)-VLOOKUP($A10,main!$A$3:$I$56,6,FALSE)&gt;=(VLOOKUP(VLOOKUP(AB$1,main!$A$3:$I$56,8,FALSE),main!$K$11:$M$14,2,FALSE)+VLOOKUP(VLOOKUP(AB$1,main!$A$3:$I$56,7,FALSE),main!$K$19:$O$22,MATCH(VLOOKUP($A10,main!$A$3:$I$56,8,FALSE),main!$K$18:$O$18,0))))),1,0)</f>
        <v>0</v>
      </c>
      <c r="AC10">
        <f>IF((AND(VLOOKUP(AC$1,main!$A$3:$I$56,5,FALSE)-VLOOKUP($A10,main!$A$3:$I$56,6,FALSE)&gt;=(VLOOKUP(VLOOKUP(AC$1,main!$A$3:$I$56,8,FALSE),main!$K$11:$M$14,2,FALSE)+VLOOKUP(VLOOKUP(AC$1,main!$A$3:$I$56,7,FALSE),main!$K$19:$O$22,MATCH(VLOOKUP($A10,main!$A$3:$I$56,8,FALSE),main!$K$18:$O$18,0))))),1,0)</f>
        <v>0</v>
      </c>
      <c r="AD10">
        <f>IF((AND(VLOOKUP(AD$1,main!$A$3:$I$56,5,FALSE)-VLOOKUP($A10,main!$A$3:$I$56,6,FALSE)&gt;=(VLOOKUP(VLOOKUP(AD$1,main!$A$3:$I$56,8,FALSE),main!$K$11:$M$14,2,FALSE)+VLOOKUP(VLOOKUP(AD$1,main!$A$3:$I$56,7,FALSE),main!$K$19:$O$22,MATCH(VLOOKUP($A10,main!$A$3:$I$56,8,FALSE),main!$K$18:$O$18,0))))),1,0)</f>
        <v>0</v>
      </c>
      <c r="AE10">
        <f>IF((AND(VLOOKUP(AE$1,main!$A$3:$I$56,5,FALSE)-VLOOKUP($A10,main!$A$3:$I$56,6,FALSE)&gt;=(VLOOKUP(VLOOKUP(AE$1,main!$A$3:$I$56,8,FALSE),main!$K$11:$M$14,2,FALSE)+VLOOKUP(VLOOKUP(AE$1,main!$A$3:$I$56,7,FALSE),main!$K$19:$O$22,MATCH(VLOOKUP($A10,main!$A$3:$I$56,8,FALSE),main!$K$18:$O$18,0))))),1,0)</f>
        <v>0</v>
      </c>
      <c r="AF10">
        <f>IF((AND(VLOOKUP(AF$1,main!$A$3:$I$56,5,FALSE)-VLOOKUP($A10,main!$A$3:$I$56,6,FALSE)&gt;=(VLOOKUP(VLOOKUP(AF$1,main!$A$3:$I$56,8,FALSE),main!$K$11:$M$14,2,FALSE)+VLOOKUP(VLOOKUP(AF$1,main!$A$3:$I$56,7,FALSE),main!$K$19:$O$22,MATCH(VLOOKUP($A10,main!$A$3:$I$56,8,FALSE),main!$K$18:$O$18,0))))),1,0)</f>
        <v>0</v>
      </c>
      <c r="AG10">
        <f>IF((AND(VLOOKUP(AG$1,main!$A$3:$I$56,5,FALSE)-VLOOKUP($A10,main!$A$3:$I$56,6,FALSE)&gt;=(VLOOKUP(VLOOKUP(AG$1,main!$A$3:$I$56,8,FALSE),main!$K$11:$M$14,2,FALSE)+VLOOKUP(VLOOKUP(AG$1,main!$A$3:$I$56,7,FALSE),main!$K$19:$O$22,MATCH(VLOOKUP($A10,main!$A$3:$I$56,8,FALSE),main!$K$18:$O$18,0))))),1,0)</f>
        <v>0</v>
      </c>
      <c r="AH10">
        <f>IF((AND(VLOOKUP(AH$1,main!$A$3:$I$56,5,FALSE)-VLOOKUP($A10,main!$A$3:$I$56,6,FALSE)&gt;=(VLOOKUP(VLOOKUP(AH$1,main!$A$3:$I$56,8,FALSE),main!$K$11:$M$14,2,FALSE)+VLOOKUP(VLOOKUP(AH$1,main!$A$3:$I$56,7,FALSE),main!$K$19:$O$22,MATCH(VLOOKUP($A10,main!$A$3:$I$56,8,FALSE),main!$K$18:$O$18,0))))),1,0)</f>
        <v>0</v>
      </c>
      <c r="AI10">
        <f>IF((AND(VLOOKUP(AI$1,main!$A$3:$I$56,5,FALSE)-VLOOKUP($A10,main!$A$3:$I$56,6,FALSE)&gt;=(VLOOKUP(VLOOKUP(AI$1,main!$A$3:$I$56,8,FALSE),main!$K$11:$M$14,2,FALSE)+VLOOKUP(VLOOKUP(AI$1,main!$A$3:$I$56,7,FALSE),main!$K$19:$O$22,MATCH(VLOOKUP($A10,main!$A$3:$I$56,8,FALSE),main!$K$18:$O$18,0))))),1,0)</f>
        <v>0</v>
      </c>
      <c r="AJ10">
        <f>IF((AND(VLOOKUP(AJ$1,main!$A$3:$I$56,5,FALSE)-VLOOKUP($A10,main!$A$3:$I$56,6,FALSE)&gt;=(VLOOKUP(VLOOKUP(AJ$1,main!$A$3:$I$56,8,FALSE),main!$K$11:$M$14,2,FALSE)+VLOOKUP(VLOOKUP(AJ$1,main!$A$3:$I$56,7,FALSE),main!$K$19:$O$22,MATCH(VLOOKUP($A10,main!$A$3:$I$56,8,FALSE),main!$K$18:$O$18,0))))),1,0)</f>
        <v>0</v>
      </c>
      <c r="AK10">
        <f>IF((AND(VLOOKUP(AK$1,main!$A$3:$I$56,5,FALSE)-VLOOKUP($A10,main!$A$3:$I$56,6,FALSE)&gt;=(VLOOKUP(VLOOKUP(AK$1,main!$A$3:$I$56,8,FALSE),main!$K$11:$M$14,2,FALSE)+VLOOKUP(VLOOKUP(AK$1,main!$A$3:$I$56,7,FALSE),main!$K$19:$O$22,MATCH(VLOOKUP($A10,main!$A$3:$I$56,8,FALSE),main!$K$18:$O$18,0))))),1,0)</f>
        <v>0</v>
      </c>
      <c r="AL10">
        <f>IF((AND(VLOOKUP(AL$1,main!$A$3:$I$56,5,FALSE)-VLOOKUP($A10,main!$A$3:$I$56,6,FALSE)&gt;=(VLOOKUP(VLOOKUP(AL$1,main!$A$3:$I$56,8,FALSE),main!$K$11:$M$14,2,FALSE)+VLOOKUP(VLOOKUP(AL$1,main!$A$3:$I$56,7,FALSE),main!$K$19:$O$22,MATCH(VLOOKUP($A10,main!$A$3:$I$56,8,FALSE),main!$K$18:$O$18,0))))),1,0)</f>
        <v>0</v>
      </c>
      <c r="AM10">
        <f>IF((AND(VLOOKUP(AM$1,main!$A$3:$I$56,5,FALSE)-VLOOKUP($A10,main!$A$3:$I$56,6,FALSE)&gt;=(VLOOKUP(VLOOKUP(AM$1,main!$A$3:$I$56,8,FALSE),main!$K$11:$M$14,2,FALSE)+VLOOKUP(VLOOKUP(AM$1,main!$A$3:$I$56,7,FALSE),main!$K$19:$O$22,MATCH(VLOOKUP($A10,main!$A$3:$I$56,8,FALSE),main!$K$18:$O$18,0))))),1,0)</f>
        <v>0</v>
      </c>
      <c r="AN10">
        <f>IF((AND(VLOOKUP(AN$1,main!$A$3:$I$56,5,FALSE)-VLOOKUP($A10,main!$A$3:$I$56,6,FALSE)&gt;=(VLOOKUP(VLOOKUP(AN$1,main!$A$3:$I$56,8,FALSE),main!$K$11:$M$14,2,FALSE)+VLOOKUP(VLOOKUP(AN$1,main!$A$3:$I$56,7,FALSE),main!$K$19:$O$22,MATCH(VLOOKUP($A10,main!$A$3:$I$56,8,FALSE),main!$K$18:$O$18,0))))),1,0)</f>
        <v>0</v>
      </c>
      <c r="AO10">
        <f>IF((AND(VLOOKUP(AO$1,main!$A$3:$I$56,5,FALSE)-VLOOKUP($A10,main!$A$3:$I$56,6,FALSE)&gt;=(VLOOKUP(VLOOKUP(AO$1,main!$A$3:$I$56,8,FALSE),main!$K$11:$M$14,2,FALSE)+VLOOKUP(VLOOKUP(AO$1,main!$A$3:$I$56,7,FALSE),main!$K$19:$O$22,MATCH(VLOOKUP($A10,main!$A$3:$I$56,8,FALSE),main!$K$18:$O$18,0))))),1,0)</f>
        <v>0</v>
      </c>
      <c r="AP10">
        <f>IF((AND(VLOOKUP(AP$1,main!$A$3:$I$56,5,FALSE)-VLOOKUP($A10,main!$A$3:$I$56,6,FALSE)&gt;=(VLOOKUP(VLOOKUP(AP$1,main!$A$3:$I$56,8,FALSE),main!$K$11:$M$14,2,FALSE)+VLOOKUP(VLOOKUP(AP$1,main!$A$3:$I$56,7,FALSE),main!$K$19:$O$22,MATCH(VLOOKUP($A10,main!$A$3:$I$56,8,FALSE),main!$K$18:$O$18,0))))),1,0)</f>
        <v>0</v>
      </c>
      <c r="AQ10">
        <f>IF((AND(VLOOKUP(AQ$1,main!$A$3:$I$56,5,FALSE)-VLOOKUP($A10,main!$A$3:$I$56,6,FALSE)&gt;=(VLOOKUP(VLOOKUP(AQ$1,main!$A$3:$I$56,8,FALSE),main!$K$11:$M$14,2,FALSE)+VLOOKUP(VLOOKUP(AQ$1,main!$A$3:$I$56,7,FALSE),main!$K$19:$O$22,MATCH(VLOOKUP($A10,main!$A$3:$I$56,8,FALSE),main!$K$18:$O$18,0))))),1,0)</f>
        <v>0</v>
      </c>
      <c r="AR10">
        <f>IF((AND(VLOOKUP(AR$1,main!$A$3:$I$56,5,FALSE)-VLOOKUP($A10,main!$A$3:$I$56,6,FALSE)&gt;=(VLOOKUP(VLOOKUP(AR$1,main!$A$3:$I$56,8,FALSE),main!$K$11:$M$14,2,FALSE)+VLOOKUP(VLOOKUP(AR$1,main!$A$3:$I$56,7,FALSE),main!$K$19:$O$22,MATCH(VLOOKUP($A10,main!$A$3:$I$56,8,FALSE),main!$K$18:$O$18,0))))),1,0)</f>
        <v>0</v>
      </c>
      <c r="AS10">
        <f>IF((AND(VLOOKUP(AS$1,main!$A$3:$I$56,5,FALSE)-VLOOKUP($A10,main!$A$3:$I$56,6,FALSE)&gt;=(VLOOKUP(VLOOKUP(AS$1,main!$A$3:$I$56,8,FALSE),main!$K$11:$M$14,2,FALSE)+VLOOKUP(VLOOKUP(AS$1,main!$A$3:$I$56,7,FALSE),main!$K$19:$O$22,MATCH(VLOOKUP($A10,main!$A$3:$I$56,8,FALSE),main!$K$18:$O$18,0))))),1,0)</f>
        <v>0</v>
      </c>
      <c r="AT10">
        <f>IF((AND(VLOOKUP(AT$1,main!$A$3:$I$56,5,FALSE)-VLOOKUP($A10,main!$A$3:$I$56,6,FALSE)&gt;=(VLOOKUP(VLOOKUP(AT$1,main!$A$3:$I$56,8,FALSE),main!$K$11:$M$14,2,FALSE)+VLOOKUP(VLOOKUP(AT$1,main!$A$3:$I$56,7,FALSE),main!$K$19:$O$22,MATCH(VLOOKUP($A10,main!$A$3:$I$56,8,FALSE),main!$K$18:$O$18,0))))),1,0)</f>
        <v>0</v>
      </c>
      <c r="AU10">
        <f>IF((AND(VLOOKUP(AU$1,main!$A$3:$I$56,5,FALSE)-VLOOKUP($A10,main!$A$3:$I$56,6,FALSE)&gt;=(VLOOKUP(VLOOKUP(AU$1,main!$A$3:$I$56,8,FALSE),main!$K$11:$M$14,2,FALSE)+VLOOKUP(VLOOKUP(AU$1,main!$A$3:$I$56,7,FALSE),main!$K$19:$O$22,MATCH(VLOOKUP($A10,main!$A$3:$I$56,8,FALSE),main!$K$18:$O$18,0))))),1,0)</f>
        <v>0</v>
      </c>
      <c r="AV10">
        <f>IF((AND(VLOOKUP(AV$1,main!$A$3:$I$56,5,FALSE)-VLOOKUP($A10,main!$A$3:$I$56,6,FALSE)&gt;=(VLOOKUP(VLOOKUP(AV$1,main!$A$3:$I$56,8,FALSE),main!$K$11:$M$14,2,FALSE)+VLOOKUP(VLOOKUP(AV$1,main!$A$3:$I$56,7,FALSE),main!$K$19:$O$22,MATCH(VLOOKUP($A10,main!$A$3:$I$56,8,FALSE),main!$K$18:$O$18,0))))),1,0)</f>
        <v>0</v>
      </c>
      <c r="AW10">
        <f>IF((AND(VLOOKUP(AW$1,main!$A$3:$I$56,5,FALSE)-VLOOKUP($A10,main!$A$3:$I$56,6,FALSE)&gt;=(VLOOKUP(VLOOKUP(AW$1,main!$A$3:$I$56,8,FALSE),main!$K$11:$M$14,2,FALSE)+VLOOKUP(VLOOKUP(AW$1,main!$A$3:$I$56,7,FALSE),main!$K$19:$O$22,MATCH(VLOOKUP($A10,main!$A$3:$I$56,8,FALSE),main!$K$18:$O$18,0))))),1,0)</f>
        <v>0</v>
      </c>
      <c r="AX10">
        <f>IF((AND(VLOOKUP(AX$1,main!$A$3:$I$56,5,FALSE)-VLOOKUP($A10,main!$A$3:$I$56,6,FALSE)&gt;=(VLOOKUP(VLOOKUP(AX$1,main!$A$3:$I$56,8,FALSE),main!$K$11:$M$14,2,FALSE)+VLOOKUP(VLOOKUP(AX$1,main!$A$3:$I$56,7,FALSE),main!$K$19:$O$22,MATCH(VLOOKUP($A10,main!$A$3:$I$56,8,FALSE),main!$K$18:$O$18,0))))),1,0)</f>
        <v>0</v>
      </c>
      <c r="AY10">
        <f>IF((AND(VLOOKUP(AY$1,main!$A$3:$I$56,5,FALSE)-VLOOKUP($A10,main!$A$3:$I$56,6,FALSE)&gt;=(VLOOKUP(VLOOKUP(AY$1,main!$A$3:$I$56,8,FALSE),main!$K$11:$M$14,2,FALSE)+VLOOKUP(VLOOKUP(AY$1,main!$A$3:$I$56,7,FALSE),main!$K$19:$O$22,MATCH(VLOOKUP($A10,main!$A$3:$I$56,8,FALSE),main!$K$18:$O$18,0))))),1,0)</f>
        <v>0</v>
      </c>
      <c r="AZ10">
        <f>IF((AND(VLOOKUP(AZ$1,main!$A$3:$I$56,5,FALSE)-VLOOKUP($A10,main!$A$3:$I$56,6,FALSE)&gt;=(VLOOKUP(VLOOKUP(AZ$1,main!$A$3:$I$56,8,FALSE),main!$K$11:$M$14,2,FALSE)+VLOOKUP(VLOOKUP(AZ$1,main!$A$3:$I$56,7,FALSE),main!$K$19:$O$22,MATCH(VLOOKUP($A10,main!$A$3:$I$56,8,FALSE),main!$K$18:$O$18,0))))),1,0)</f>
        <v>0</v>
      </c>
      <c r="BA10">
        <f>IF((AND(VLOOKUP(BA$1,main!$A$3:$I$56,5,FALSE)-VLOOKUP($A10,main!$A$3:$I$56,6,FALSE)&gt;=(VLOOKUP(VLOOKUP(BA$1,main!$A$3:$I$56,8,FALSE),main!$K$11:$M$14,2,FALSE)+VLOOKUP(VLOOKUP(BA$1,main!$A$3:$I$56,7,FALSE),main!$K$19:$O$22,MATCH(VLOOKUP($A10,main!$A$3:$I$56,8,FALSE),main!$K$18:$O$18,0))))),1,0)</f>
        <v>0</v>
      </c>
      <c r="BB10">
        <f>IF((AND(VLOOKUP(BB$1,main!$A$3:$I$56,5,FALSE)-VLOOKUP($A10,main!$A$3:$I$56,6,FALSE)&gt;=(VLOOKUP(VLOOKUP(BB$1,main!$A$3:$I$56,8,FALSE),main!$K$11:$M$14,2,FALSE)+VLOOKUP(VLOOKUP(BB$1,main!$A$3:$I$56,7,FALSE),main!$K$19:$O$22,MATCH(VLOOKUP($A10,main!$A$3:$I$56,8,FALSE),main!$K$18:$O$18,0))))),1,0)</f>
        <v>0</v>
      </c>
      <c r="BC10">
        <f>IF((AND(VLOOKUP(BC$1,main!$A$3:$I$56,5,FALSE)-VLOOKUP($A10,main!$A$3:$I$56,6,FALSE)&gt;=(VLOOKUP(VLOOKUP(BC$1,main!$A$3:$I$56,8,FALSE),main!$K$11:$M$14,2,FALSE)+VLOOKUP(VLOOKUP(BC$1,main!$A$3:$I$56,7,FALSE),main!$K$19:$O$22,MATCH(VLOOKUP($A10,main!$A$3:$I$56,8,FALSE),main!$K$18:$O$18,0))))),1,0)</f>
        <v>0</v>
      </c>
      <c r="BD10">
        <f>IF((AND(VLOOKUP(BD$1,main!$A$3:$I$56,5,FALSE)-VLOOKUP($A10,main!$A$3:$I$56,6,FALSE)&gt;=(VLOOKUP(VLOOKUP(BD$1,main!$A$3:$I$56,8,FALSE),main!$K$11:$M$14,2,FALSE)+VLOOKUP(VLOOKUP(BD$1,main!$A$3:$I$56,7,FALSE),main!$K$19:$O$22,MATCH(VLOOKUP($A10,main!$A$3:$I$56,8,FALSE),main!$K$18:$O$18,0))))),1,0)</f>
        <v>0</v>
      </c>
    </row>
    <row r="11" spans="1:56" x14ac:dyDescent="0.25">
      <c r="A11">
        <f t="shared" si="0"/>
        <v>9</v>
      </c>
      <c r="B11">
        <v>1</v>
      </c>
      <c r="C11">
        <f>IF((AND(VLOOKUP(C$1,main!$A$3:$I$56,5,FALSE)-VLOOKUP($A11,main!$A$3:$I$56,6,FALSE)&gt;=(VLOOKUP(VLOOKUP(C$1,main!$A$3:$I$56,8,FALSE),main!$K$11:$M$14,2,FALSE)+VLOOKUP(VLOOKUP(C$1,main!$A$3:$I$56,7,FALSE),main!$K$19:$O$22,MATCH(VLOOKUP($A11,main!$A$3:$I$56,8,FALSE),main!$K$18:$O$18,0))))),1,0)</f>
        <v>0</v>
      </c>
      <c r="D11">
        <f>IF((AND(VLOOKUP(D$1,main!$A$3:$I$56,5,FALSE)-VLOOKUP($A11,main!$A$3:$I$56,6,FALSE)&gt;=(VLOOKUP(VLOOKUP(D$1,main!$A$3:$I$56,8,FALSE),main!$K$11:$M$14,2,FALSE)+VLOOKUP(VLOOKUP(D$1,main!$A$3:$I$56,7,FALSE),main!$K$19:$O$22,MATCH(VLOOKUP($A11,main!$A$3:$I$56,8,FALSE),main!$K$18:$O$18,0))))),1,0)</f>
        <v>1</v>
      </c>
      <c r="E11">
        <f>IF((AND(VLOOKUP(E$1,main!$A$3:$I$56,5,FALSE)-VLOOKUP($A11,main!$A$3:$I$56,6,FALSE)&gt;=(VLOOKUP(VLOOKUP(E$1,main!$A$3:$I$56,8,FALSE),main!$K$11:$M$14,2,FALSE)+VLOOKUP(VLOOKUP(E$1,main!$A$3:$I$56,7,FALSE),main!$K$19:$O$22,MATCH(VLOOKUP($A11,main!$A$3:$I$56,8,FALSE),main!$K$18:$O$18,0))))),1,0)</f>
        <v>1</v>
      </c>
      <c r="F11">
        <f>IF((AND(VLOOKUP(F$1,main!$A$3:$I$56,5,FALSE)-VLOOKUP($A11,main!$A$3:$I$56,6,FALSE)&gt;=(VLOOKUP(VLOOKUP(F$1,main!$A$3:$I$56,8,FALSE),main!$K$11:$M$14,2,FALSE)+VLOOKUP(VLOOKUP(F$1,main!$A$3:$I$56,7,FALSE),main!$K$19:$O$22,MATCH(VLOOKUP($A11,main!$A$3:$I$56,8,FALSE),main!$K$18:$O$18,0))))),1,0)</f>
        <v>1</v>
      </c>
      <c r="G11">
        <f>IF((AND(VLOOKUP(G$1,main!$A$3:$I$56,5,FALSE)-VLOOKUP($A11,main!$A$3:$I$56,6,FALSE)&gt;=(VLOOKUP(VLOOKUP(G$1,main!$A$3:$I$56,8,FALSE),main!$K$11:$M$14,2,FALSE)+VLOOKUP(VLOOKUP(G$1,main!$A$3:$I$56,7,FALSE),main!$K$19:$O$22,MATCH(VLOOKUP($A11,main!$A$3:$I$56,8,FALSE),main!$K$18:$O$18,0))))),1,0)</f>
        <v>1</v>
      </c>
      <c r="H11">
        <f>IF((AND(VLOOKUP(H$1,main!$A$3:$I$56,5,FALSE)-VLOOKUP($A11,main!$A$3:$I$56,6,FALSE)&gt;=(VLOOKUP(VLOOKUP(H$1,main!$A$3:$I$56,8,FALSE),main!$K$11:$M$14,2,FALSE)+VLOOKUP(VLOOKUP(H$1,main!$A$3:$I$56,7,FALSE),main!$K$19:$O$22,MATCH(VLOOKUP($A11,main!$A$3:$I$56,8,FALSE),main!$K$18:$O$18,0))))),1,0)</f>
        <v>1</v>
      </c>
      <c r="I11">
        <f>IF((AND(VLOOKUP(I$1,main!$A$3:$I$56,5,FALSE)-VLOOKUP($A11,main!$A$3:$I$56,6,FALSE)&gt;=(VLOOKUP(VLOOKUP(I$1,main!$A$3:$I$56,8,FALSE),main!$K$11:$M$14,2,FALSE)+VLOOKUP(VLOOKUP(I$1,main!$A$3:$I$56,7,FALSE),main!$K$19:$O$22,MATCH(VLOOKUP($A11,main!$A$3:$I$56,8,FALSE),main!$K$18:$O$18,0))))),1,0)</f>
        <v>1</v>
      </c>
      <c r="J11">
        <f>IF((AND(VLOOKUP(J$1,main!$A$3:$I$56,5,FALSE)-VLOOKUP($A11,main!$A$3:$I$56,6,FALSE)&gt;=(VLOOKUP(VLOOKUP(J$1,main!$A$3:$I$56,8,FALSE),main!$K$11:$M$14,2,FALSE)+VLOOKUP(VLOOKUP(J$1,main!$A$3:$I$56,7,FALSE),main!$K$19:$O$22,MATCH(VLOOKUP($A11,main!$A$3:$I$56,8,FALSE),main!$K$18:$O$18,0))))),1,0)</f>
        <v>1</v>
      </c>
      <c r="K11">
        <f>IF((AND(VLOOKUP(K$1,main!$A$3:$I$56,5,FALSE)-VLOOKUP($A11,main!$A$3:$I$56,6,FALSE)&gt;=(VLOOKUP(VLOOKUP(K$1,main!$A$3:$I$56,8,FALSE),main!$K$11:$M$14,2,FALSE)+VLOOKUP(VLOOKUP(K$1,main!$A$3:$I$56,7,FALSE),main!$K$19:$O$22,MATCH(VLOOKUP($A11,main!$A$3:$I$56,8,FALSE),main!$K$18:$O$18,0))))),1,0)</f>
        <v>0</v>
      </c>
      <c r="L11">
        <f>IF((AND(VLOOKUP(L$1,main!$A$3:$I$56,5,FALSE)-VLOOKUP($A11,main!$A$3:$I$56,6,FALSE)&gt;=(VLOOKUP(VLOOKUP(L$1,main!$A$3:$I$56,8,FALSE),main!$K$11:$M$14,2,FALSE)+VLOOKUP(VLOOKUP(L$1,main!$A$3:$I$56,7,FALSE),main!$K$19:$O$22,MATCH(VLOOKUP($A11,main!$A$3:$I$56,8,FALSE),main!$K$18:$O$18,0))))),1,0)</f>
        <v>0</v>
      </c>
      <c r="M11">
        <f>IF((AND(VLOOKUP(M$1,main!$A$3:$I$56,5,FALSE)-VLOOKUP($A11,main!$A$3:$I$56,6,FALSE)&gt;=(VLOOKUP(VLOOKUP(M$1,main!$A$3:$I$56,8,FALSE),main!$K$11:$M$14,2,FALSE)+VLOOKUP(VLOOKUP(M$1,main!$A$3:$I$56,7,FALSE),main!$K$19:$O$22,MATCH(VLOOKUP($A11,main!$A$3:$I$56,8,FALSE),main!$K$18:$O$18,0))))),1,0)</f>
        <v>1</v>
      </c>
      <c r="N11">
        <f>IF((AND(VLOOKUP(N$1,main!$A$3:$I$56,5,FALSE)-VLOOKUP($A11,main!$A$3:$I$56,6,FALSE)&gt;=(VLOOKUP(VLOOKUP(N$1,main!$A$3:$I$56,8,FALSE),main!$K$11:$M$14,2,FALSE)+VLOOKUP(VLOOKUP(N$1,main!$A$3:$I$56,7,FALSE),main!$K$19:$O$22,MATCH(VLOOKUP($A11,main!$A$3:$I$56,8,FALSE),main!$K$18:$O$18,0))))),1,0)</f>
        <v>1</v>
      </c>
      <c r="O11">
        <f>IF((AND(VLOOKUP(O$1,main!$A$3:$I$56,5,FALSE)-VLOOKUP($A11,main!$A$3:$I$56,6,FALSE)&gt;=(VLOOKUP(VLOOKUP(O$1,main!$A$3:$I$56,8,FALSE),main!$K$11:$M$14,2,FALSE)+VLOOKUP(VLOOKUP(O$1,main!$A$3:$I$56,7,FALSE),main!$K$19:$O$22,MATCH(VLOOKUP($A11,main!$A$3:$I$56,8,FALSE),main!$K$18:$O$18,0))))),1,0)</f>
        <v>1</v>
      </c>
      <c r="P11">
        <f>IF((AND(VLOOKUP(P$1,main!$A$3:$I$56,5,FALSE)-VLOOKUP($A11,main!$A$3:$I$56,6,FALSE)&gt;=(VLOOKUP(VLOOKUP(P$1,main!$A$3:$I$56,8,FALSE),main!$K$11:$M$14,2,FALSE)+VLOOKUP(VLOOKUP(P$1,main!$A$3:$I$56,7,FALSE),main!$K$19:$O$22,MATCH(VLOOKUP($A11,main!$A$3:$I$56,8,FALSE),main!$K$18:$O$18,0))))),1,0)</f>
        <v>0</v>
      </c>
      <c r="Q11">
        <f>IF((AND(VLOOKUP(Q$1,main!$A$3:$I$56,5,FALSE)-VLOOKUP($A11,main!$A$3:$I$56,6,FALSE)&gt;=(VLOOKUP(VLOOKUP(Q$1,main!$A$3:$I$56,8,FALSE),main!$K$11:$M$14,2,FALSE)+VLOOKUP(VLOOKUP(Q$1,main!$A$3:$I$56,7,FALSE),main!$K$19:$O$22,MATCH(VLOOKUP($A11,main!$A$3:$I$56,8,FALSE),main!$K$18:$O$18,0))))),1,0)</f>
        <v>0</v>
      </c>
      <c r="R11">
        <f>IF((AND(VLOOKUP(R$1,main!$A$3:$I$56,5,FALSE)-VLOOKUP($A11,main!$A$3:$I$56,6,FALSE)&gt;=(VLOOKUP(VLOOKUP(R$1,main!$A$3:$I$56,8,FALSE),main!$K$11:$M$14,2,FALSE)+VLOOKUP(VLOOKUP(R$1,main!$A$3:$I$56,7,FALSE),main!$K$19:$O$22,MATCH(VLOOKUP($A11,main!$A$3:$I$56,8,FALSE),main!$K$18:$O$18,0))))),1,0)</f>
        <v>1</v>
      </c>
      <c r="S11">
        <f>IF((AND(VLOOKUP(S$1,main!$A$3:$I$56,5,FALSE)-VLOOKUP($A11,main!$A$3:$I$56,6,FALSE)&gt;=(VLOOKUP(VLOOKUP(S$1,main!$A$3:$I$56,8,FALSE),main!$K$11:$M$14,2,FALSE)+VLOOKUP(VLOOKUP(S$1,main!$A$3:$I$56,7,FALSE),main!$K$19:$O$22,MATCH(VLOOKUP($A11,main!$A$3:$I$56,8,FALSE),main!$K$18:$O$18,0))))),1,0)</f>
        <v>1</v>
      </c>
      <c r="T11">
        <f>IF((AND(VLOOKUP(T$1,main!$A$3:$I$56,5,FALSE)-VLOOKUP($A11,main!$A$3:$I$56,6,FALSE)&gt;=(VLOOKUP(VLOOKUP(T$1,main!$A$3:$I$56,8,FALSE),main!$K$11:$M$14,2,FALSE)+VLOOKUP(VLOOKUP(T$1,main!$A$3:$I$56,7,FALSE),main!$K$19:$O$22,MATCH(VLOOKUP($A11,main!$A$3:$I$56,8,FALSE),main!$K$18:$O$18,0))))),1,0)</f>
        <v>1</v>
      </c>
      <c r="U11">
        <f>IF((AND(VLOOKUP(U$1,main!$A$3:$I$56,5,FALSE)-VLOOKUP($A11,main!$A$3:$I$56,6,FALSE)&gt;=(VLOOKUP(VLOOKUP(U$1,main!$A$3:$I$56,8,FALSE),main!$K$11:$M$14,2,FALSE)+VLOOKUP(VLOOKUP(U$1,main!$A$3:$I$56,7,FALSE),main!$K$19:$O$22,MATCH(VLOOKUP($A11,main!$A$3:$I$56,8,FALSE),main!$K$18:$O$18,0))))),1,0)</f>
        <v>0</v>
      </c>
      <c r="V11">
        <f>IF((AND(VLOOKUP(V$1,main!$A$3:$I$56,5,FALSE)-VLOOKUP($A11,main!$A$3:$I$56,6,FALSE)&gt;=(VLOOKUP(VLOOKUP(V$1,main!$A$3:$I$56,8,FALSE),main!$K$11:$M$14,2,FALSE)+VLOOKUP(VLOOKUP(V$1,main!$A$3:$I$56,7,FALSE),main!$K$19:$O$22,MATCH(VLOOKUP($A11,main!$A$3:$I$56,8,FALSE),main!$K$18:$O$18,0))))),1,0)</f>
        <v>0</v>
      </c>
      <c r="W11">
        <f>IF((AND(VLOOKUP(W$1,main!$A$3:$I$56,5,FALSE)-VLOOKUP($A11,main!$A$3:$I$56,6,FALSE)&gt;=(VLOOKUP(VLOOKUP(W$1,main!$A$3:$I$56,8,FALSE),main!$K$11:$M$14,2,FALSE)+VLOOKUP(VLOOKUP(W$1,main!$A$3:$I$56,7,FALSE),main!$K$19:$O$22,MATCH(VLOOKUP($A11,main!$A$3:$I$56,8,FALSE),main!$K$18:$O$18,0))))),1,0)</f>
        <v>0</v>
      </c>
      <c r="X11">
        <f>IF((AND(VLOOKUP(X$1,main!$A$3:$I$56,5,FALSE)-VLOOKUP($A11,main!$A$3:$I$56,6,FALSE)&gt;=(VLOOKUP(VLOOKUP(X$1,main!$A$3:$I$56,8,FALSE),main!$K$11:$M$14,2,FALSE)+VLOOKUP(VLOOKUP(X$1,main!$A$3:$I$56,7,FALSE),main!$K$19:$O$22,MATCH(VLOOKUP($A11,main!$A$3:$I$56,8,FALSE),main!$K$18:$O$18,0))))),1,0)</f>
        <v>1</v>
      </c>
      <c r="Y11">
        <f>IF((AND(VLOOKUP(Y$1,main!$A$3:$I$56,5,FALSE)-VLOOKUP($A11,main!$A$3:$I$56,6,FALSE)&gt;=(VLOOKUP(VLOOKUP(Y$1,main!$A$3:$I$56,8,FALSE),main!$K$11:$M$14,2,FALSE)+VLOOKUP(VLOOKUP(Y$1,main!$A$3:$I$56,7,FALSE),main!$K$19:$O$22,MATCH(VLOOKUP($A11,main!$A$3:$I$56,8,FALSE),main!$K$18:$O$18,0))))),1,0)</f>
        <v>1</v>
      </c>
      <c r="Z11">
        <f>IF((AND(VLOOKUP(Z$1,main!$A$3:$I$56,5,FALSE)-VLOOKUP($A11,main!$A$3:$I$56,6,FALSE)&gt;=(VLOOKUP(VLOOKUP(Z$1,main!$A$3:$I$56,8,FALSE),main!$K$11:$M$14,2,FALSE)+VLOOKUP(VLOOKUP(Z$1,main!$A$3:$I$56,7,FALSE),main!$K$19:$O$22,MATCH(VLOOKUP($A11,main!$A$3:$I$56,8,FALSE),main!$K$18:$O$18,0))))),1,0)</f>
        <v>1</v>
      </c>
      <c r="AA11">
        <f>IF((AND(VLOOKUP(AA$1,main!$A$3:$I$56,5,FALSE)-VLOOKUP($A11,main!$A$3:$I$56,6,FALSE)&gt;=(VLOOKUP(VLOOKUP(AA$1,main!$A$3:$I$56,8,FALSE),main!$K$11:$M$14,2,FALSE)+VLOOKUP(VLOOKUP(AA$1,main!$A$3:$I$56,7,FALSE),main!$K$19:$O$22,MATCH(VLOOKUP($A11,main!$A$3:$I$56,8,FALSE),main!$K$18:$O$18,0))))),1,0)</f>
        <v>1</v>
      </c>
      <c r="AB11">
        <f>IF((AND(VLOOKUP(AB$1,main!$A$3:$I$56,5,FALSE)-VLOOKUP($A11,main!$A$3:$I$56,6,FALSE)&gt;=(VLOOKUP(VLOOKUP(AB$1,main!$A$3:$I$56,8,FALSE),main!$K$11:$M$14,2,FALSE)+VLOOKUP(VLOOKUP(AB$1,main!$A$3:$I$56,7,FALSE),main!$K$19:$O$22,MATCH(VLOOKUP($A11,main!$A$3:$I$56,8,FALSE),main!$K$18:$O$18,0))))),1,0)</f>
        <v>1</v>
      </c>
      <c r="AC11">
        <f>IF((AND(VLOOKUP(AC$1,main!$A$3:$I$56,5,FALSE)-VLOOKUP($A11,main!$A$3:$I$56,6,FALSE)&gt;=(VLOOKUP(VLOOKUP(AC$1,main!$A$3:$I$56,8,FALSE),main!$K$11:$M$14,2,FALSE)+VLOOKUP(VLOOKUP(AC$1,main!$A$3:$I$56,7,FALSE),main!$K$19:$O$22,MATCH(VLOOKUP($A11,main!$A$3:$I$56,8,FALSE),main!$K$18:$O$18,0))))),1,0)</f>
        <v>0</v>
      </c>
      <c r="AD11">
        <f>IF((AND(VLOOKUP(AD$1,main!$A$3:$I$56,5,FALSE)-VLOOKUP($A11,main!$A$3:$I$56,6,FALSE)&gt;=(VLOOKUP(VLOOKUP(AD$1,main!$A$3:$I$56,8,FALSE),main!$K$11:$M$14,2,FALSE)+VLOOKUP(VLOOKUP(AD$1,main!$A$3:$I$56,7,FALSE),main!$K$19:$O$22,MATCH(VLOOKUP($A11,main!$A$3:$I$56,8,FALSE),main!$K$18:$O$18,0))))),1,0)</f>
        <v>0</v>
      </c>
      <c r="AE11">
        <f>IF((AND(VLOOKUP(AE$1,main!$A$3:$I$56,5,FALSE)-VLOOKUP($A11,main!$A$3:$I$56,6,FALSE)&gt;=(VLOOKUP(VLOOKUP(AE$1,main!$A$3:$I$56,8,FALSE),main!$K$11:$M$14,2,FALSE)+VLOOKUP(VLOOKUP(AE$1,main!$A$3:$I$56,7,FALSE),main!$K$19:$O$22,MATCH(VLOOKUP($A11,main!$A$3:$I$56,8,FALSE),main!$K$18:$O$18,0))))),1,0)</f>
        <v>1</v>
      </c>
      <c r="AF11">
        <f>IF((AND(VLOOKUP(AF$1,main!$A$3:$I$56,5,FALSE)-VLOOKUP($A11,main!$A$3:$I$56,6,FALSE)&gt;=(VLOOKUP(VLOOKUP(AF$1,main!$A$3:$I$56,8,FALSE),main!$K$11:$M$14,2,FALSE)+VLOOKUP(VLOOKUP(AF$1,main!$A$3:$I$56,7,FALSE),main!$K$19:$O$22,MATCH(VLOOKUP($A11,main!$A$3:$I$56,8,FALSE),main!$K$18:$O$18,0))))),1,0)</f>
        <v>1</v>
      </c>
      <c r="AG11">
        <f>IF((AND(VLOOKUP(AG$1,main!$A$3:$I$56,5,FALSE)-VLOOKUP($A11,main!$A$3:$I$56,6,FALSE)&gt;=(VLOOKUP(VLOOKUP(AG$1,main!$A$3:$I$56,8,FALSE),main!$K$11:$M$14,2,FALSE)+VLOOKUP(VLOOKUP(AG$1,main!$A$3:$I$56,7,FALSE),main!$K$19:$O$22,MATCH(VLOOKUP($A11,main!$A$3:$I$56,8,FALSE),main!$K$18:$O$18,0))))),1,0)</f>
        <v>0</v>
      </c>
      <c r="AH11">
        <f>IF((AND(VLOOKUP(AH$1,main!$A$3:$I$56,5,FALSE)-VLOOKUP($A11,main!$A$3:$I$56,6,FALSE)&gt;=(VLOOKUP(VLOOKUP(AH$1,main!$A$3:$I$56,8,FALSE),main!$K$11:$M$14,2,FALSE)+VLOOKUP(VLOOKUP(AH$1,main!$A$3:$I$56,7,FALSE),main!$K$19:$O$22,MATCH(VLOOKUP($A11,main!$A$3:$I$56,8,FALSE),main!$K$18:$O$18,0))))),1,0)</f>
        <v>1</v>
      </c>
      <c r="AI11">
        <f>IF((AND(VLOOKUP(AI$1,main!$A$3:$I$56,5,FALSE)-VLOOKUP($A11,main!$A$3:$I$56,6,FALSE)&gt;=(VLOOKUP(VLOOKUP(AI$1,main!$A$3:$I$56,8,FALSE),main!$K$11:$M$14,2,FALSE)+VLOOKUP(VLOOKUP(AI$1,main!$A$3:$I$56,7,FALSE),main!$K$19:$O$22,MATCH(VLOOKUP($A11,main!$A$3:$I$56,8,FALSE),main!$K$18:$O$18,0))))),1,0)</f>
        <v>1</v>
      </c>
      <c r="AJ11">
        <f>IF((AND(VLOOKUP(AJ$1,main!$A$3:$I$56,5,FALSE)-VLOOKUP($A11,main!$A$3:$I$56,6,FALSE)&gt;=(VLOOKUP(VLOOKUP(AJ$1,main!$A$3:$I$56,8,FALSE),main!$K$11:$M$14,2,FALSE)+VLOOKUP(VLOOKUP(AJ$1,main!$A$3:$I$56,7,FALSE),main!$K$19:$O$22,MATCH(VLOOKUP($A11,main!$A$3:$I$56,8,FALSE),main!$K$18:$O$18,0))))),1,0)</f>
        <v>1</v>
      </c>
      <c r="AK11">
        <f>IF((AND(VLOOKUP(AK$1,main!$A$3:$I$56,5,FALSE)-VLOOKUP($A11,main!$A$3:$I$56,6,FALSE)&gt;=(VLOOKUP(VLOOKUP(AK$1,main!$A$3:$I$56,8,FALSE),main!$K$11:$M$14,2,FALSE)+VLOOKUP(VLOOKUP(AK$1,main!$A$3:$I$56,7,FALSE),main!$K$19:$O$22,MATCH(VLOOKUP($A11,main!$A$3:$I$56,8,FALSE),main!$K$18:$O$18,0))))),1,0)</f>
        <v>1</v>
      </c>
      <c r="AL11">
        <f>IF((AND(VLOOKUP(AL$1,main!$A$3:$I$56,5,FALSE)-VLOOKUP($A11,main!$A$3:$I$56,6,FALSE)&gt;=(VLOOKUP(VLOOKUP(AL$1,main!$A$3:$I$56,8,FALSE),main!$K$11:$M$14,2,FALSE)+VLOOKUP(VLOOKUP(AL$1,main!$A$3:$I$56,7,FALSE),main!$K$19:$O$22,MATCH(VLOOKUP($A11,main!$A$3:$I$56,8,FALSE),main!$K$18:$O$18,0))))),1,0)</f>
        <v>0</v>
      </c>
      <c r="AM11">
        <f>IF((AND(VLOOKUP(AM$1,main!$A$3:$I$56,5,FALSE)-VLOOKUP($A11,main!$A$3:$I$56,6,FALSE)&gt;=(VLOOKUP(VLOOKUP(AM$1,main!$A$3:$I$56,8,FALSE),main!$K$11:$M$14,2,FALSE)+VLOOKUP(VLOOKUP(AM$1,main!$A$3:$I$56,7,FALSE),main!$K$19:$O$22,MATCH(VLOOKUP($A11,main!$A$3:$I$56,8,FALSE),main!$K$18:$O$18,0))))),1,0)</f>
        <v>0</v>
      </c>
      <c r="AN11">
        <f>IF((AND(VLOOKUP(AN$1,main!$A$3:$I$56,5,FALSE)-VLOOKUP($A11,main!$A$3:$I$56,6,FALSE)&gt;=(VLOOKUP(VLOOKUP(AN$1,main!$A$3:$I$56,8,FALSE),main!$K$11:$M$14,2,FALSE)+VLOOKUP(VLOOKUP(AN$1,main!$A$3:$I$56,7,FALSE),main!$K$19:$O$22,MATCH(VLOOKUP($A11,main!$A$3:$I$56,8,FALSE),main!$K$18:$O$18,0))))),1,0)</f>
        <v>1</v>
      </c>
      <c r="AO11">
        <f>IF((AND(VLOOKUP(AO$1,main!$A$3:$I$56,5,FALSE)-VLOOKUP($A11,main!$A$3:$I$56,6,FALSE)&gt;=(VLOOKUP(VLOOKUP(AO$1,main!$A$3:$I$56,8,FALSE),main!$K$11:$M$14,2,FALSE)+VLOOKUP(VLOOKUP(AO$1,main!$A$3:$I$56,7,FALSE),main!$K$19:$O$22,MATCH(VLOOKUP($A11,main!$A$3:$I$56,8,FALSE),main!$K$18:$O$18,0))))),1,0)</f>
        <v>1</v>
      </c>
      <c r="AP11">
        <f>IF((AND(VLOOKUP(AP$1,main!$A$3:$I$56,5,FALSE)-VLOOKUP($A11,main!$A$3:$I$56,6,FALSE)&gt;=(VLOOKUP(VLOOKUP(AP$1,main!$A$3:$I$56,8,FALSE),main!$K$11:$M$14,2,FALSE)+VLOOKUP(VLOOKUP(AP$1,main!$A$3:$I$56,7,FALSE),main!$K$19:$O$22,MATCH(VLOOKUP($A11,main!$A$3:$I$56,8,FALSE),main!$K$18:$O$18,0))))),1,0)</f>
        <v>0</v>
      </c>
      <c r="AQ11">
        <f>IF((AND(VLOOKUP(AQ$1,main!$A$3:$I$56,5,FALSE)-VLOOKUP($A11,main!$A$3:$I$56,6,FALSE)&gt;=(VLOOKUP(VLOOKUP(AQ$1,main!$A$3:$I$56,8,FALSE),main!$K$11:$M$14,2,FALSE)+VLOOKUP(VLOOKUP(AQ$1,main!$A$3:$I$56,7,FALSE),main!$K$19:$O$22,MATCH(VLOOKUP($A11,main!$A$3:$I$56,8,FALSE),main!$K$18:$O$18,0))))),1,0)</f>
        <v>0</v>
      </c>
      <c r="AR11">
        <f>IF((AND(VLOOKUP(AR$1,main!$A$3:$I$56,5,FALSE)-VLOOKUP($A11,main!$A$3:$I$56,6,FALSE)&gt;=(VLOOKUP(VLOOKUP(AR$1,main!$A$3:$I$56,8,FALSE),main!$K$11:$M$14,2,FALSE)+VLOOKUP(VLOOKUP(AR$1,main!$A$3:$I$56,7,FALSE),main!$K$19:$O$22,MATCH(VLOOKUP($A11,main!$A$3:$I$56,8,FALSE),main!$K$18:$O$18,0))))),1,0)</f>
        <v>0</v>
      </c>
      <c r="AS11">
        <f>IF((AND(VLOOKUP(AS$1,main!$A$3:$I$56,5,FALSE)-VLOOKUP($A11,main!$A$3:$I$56,6,FALSE)&gt;=(VLOOKUP(VLOOKUP(AS$1,main!$A$3:$I$56,8,FALSE),main!$K$11:$M$14,2,FALSE)+VLOOKUP(VLOOKUP(AS$1,main!$A$3:$I$56,7,FALSE),main!$K$19:$O$22,MATCH(VLOOKUP($A11,main!$A$3:$I$56,8,FALSE),main!$K$18:$O$18,0))))),1,0)</f>
        <v>1</v>
      </c>
      <c r="AT11">
        <f>IF((AND(VLOOKUP(AT$1,main!$A$3:$I$56,5,FALSE)-VLOOKUP($A11,main!$A$3:$I$56,6,FALSE)&gt;=(VLOOKUP(VLOOKUP(AT$1,main!$A$3:$I$56,8,FALSE),main!$K$11:$M$14,2,FALSE)+VLOOKUP(VLOOKUP(AT$1,main!$A$3:$I$56,7,FALSE),main!$K$19:$O$22,MATCH(VLOOKUP($A11,main!$A$3:$I$56,8,FALSE),main!$K$18:$O$18,0))))),1,0)</f>
        <v>1</v>
      </c>
      <c r="AU11">
        <f>IF((AND(VLOOKUP(AU$1,main!$A$3:$I$56,5,FALSE)-VLOOKUP($A11,main!$A$3:$I$56,6,FALSE)&gt;=(VLOOKUP(VLOOKUP(AU$1,main!$A$3:$I$56,8,FALSE),main!$K$11:$M$14,2,FALSE)+VLOOKUP(VLOOKUP(AU$1,main!$A$3:$I$56,7,FALSE),main!$K$19:$O$22,MATCH(VLOOKUP($A11,main!$A$3:$I$56,8,FALSE),main!$K$18:$O$18,0))))),1,0)</f>
        <v>0</v>
      </c>
      <c r="AV11">
        <f>IF((AND(VLOOKUP(AV$1,main!$A$3:$I$56,5,FALSE)-VLOOKUP($A11,main!$A$3:$I$56,6,FALSE)&gt;=(VLOOKUP(VLOOKUP(AV$1,main!$A$3:$I$56,8,FALSE),main!$K$11:$M$14,2,FALSE)+VLOOKUP(VLOOKUP(AV$1,main!$A$3:$I$56,7,FALSE),main!$K$19:$O$22,MATCH(VLOOKUP($A11,main!$A$3:$I$56,8,FALSE),main!$K$18:$O$18,0))))),1,0)</f>
        <v>1</v>
      </c>
      <c r="AW11">
        <f>IF((AND(VLOOKUP(AW$1,main!$A$3:$I$56,5,FALSE)-VLOOKUP($A11,main!$A$3:$I$56,6,FALSE)&gt;=(VLOOKUP(VLOOKUP(AW$1,main!$A$3:$I$56,8,FALSE),main!$K$11:$M$14,2,FALSE)+VLOOKUP(VLOOKUP(AW$1,main!$A$3:$I$56,7,FALSE),main!$K$19:$O$22,MATCH(VLOOKUP($A11,main!$A$3:$I$56,8,FALSE),main!$K$18:$O$18,0))))),1,0)</f>
        <v>1</v>
      </c>
      <c r="AX11">
        <f>IF((AND(VLOOKUP(AX$1,main!$A$3:$I$56,5,FALSE)-VLOOKUP($A11,main!$A$3:$I$56,6,FALSE)&gt;=(VLOOKUP(VLOOKUP(AX$1,main!$A$3:$I$56,8,FALSE),main!$K$11:$M$14,2,FALSE)+VLOOKUP(VLOOKUP(AX$1,main!$A$3:$I$56,7,FALSE),main!$K$19:$O$22,MATCH(VLOOKUP($A11,main!$A$3:$I$56,8,FALSE),main!$K$18:$O$18,0))))),1,0)</f>
        <v>1</v>
      </c>
      <c r="AY11">
        <f>IF((AND(VLOOKUP(AY$1,main!$A$3:$I$56,5,FALSE)-VLOOKUP($A11,main!$A$3:$I$56,6,FALSE)&gt;=(VLOOKUP(VLOOKUP(AY$1,main!$A$3:$I$56,8,FALSE),main!$K$11:$M$14,2,FALSE)+VLOOKUP(VLOOKUP(AY$1,main!$A$3:$I$56,7,FALSE),main!$K$19:$O$22,MATCH(VLOOKUP($A11,main!$A$3:$I$56,8,FALSE),main!$K$18:$O$18,0))))),1,0)</f>
        <v>1</v>
      </c>
      <c r="AZ11">
        <f>IF((AND(VLOOKUP(AZ$1,main!$A$3:$I$56,5,FALSE)-VLOOKUP($A11,main!$A$3:$I$56,6,FALSE)&gt;=(VLOOKUP(VLOOKUP(AZ$1,main!$A$3:$I$56,8,FALSE),main!$K$11:$M$14,2,FALSE)+VLOOKUP(VLOOKUP(AZ$1,main!$A$3:$I$56,7,FALSE),main!$K$19:$O$22,MATCH(VLOOKUP($A11,main!$A$3:$I$56,8,FALSE),main!$K$18:$O$18,0))))),1,0)</f>
        <v>0</v>
      </c>
      <c r="BA11">
        <f>IF((AND(VLOOKUP(BA$1,main!$A$3:$I$56,5,FALSE)-VLOOKUP($A11,main!$A$3:$I$56,6,FALSE)&gt;=(VLOOKUP(VLOOKUP(BA$1,main!$A$3:$I$56,8,FALSE),main!$K$11:$M$14,2,FALSE)+VLOOKUP(VLOOKUP(BA$1,main!$A$3:$I$56,7,FALSE),main!$K$19:$O$22,MATCH(VLOOKUP($A11,main!$A$3:$I$56,8,FALSE),main!$K$18:$O$18,0))))),1,0)</f>
        <v>1</v>
      </c>
      <c r="BB11">
        <f>IF((AND(VLOOKUP(BB$1,main!$A$3:$I$56,5,FALSE)-VLOOKUP($A11,main!$A$3:$I$56,6,FALSE)&gt;=(VLOOKUP(VLOOKUP(BB$1,main!$A$3:$I$56,8,FALSE),main!$K$11:$M$14,2,FALSE)+VLOOKUP(VLOOKUP(BB$1,main!$A$3:$I$56,7,FALSE),main!$K$19:$O$22,MATCH(VLOOKUP($A11,main!$A$3:$I$56,8,FALSE),main!$K$18:$O$18,0))))),1,0)</f>
        <v>1</v>
      </c>
      <c r="BC11">
        <f>IF((AND(VLOOKUP(BC$1,main!$A$3:$I$56,5,FALSE)-VLOOKUP($A11,main!$A$3:$I$56,6,FALSE)&gt;=(VLOOKUP(VLOOKUP(BC$1,main!$A$3:$I$56,8,FALSE),main!$K$11:$M$14,2,FALSE)+VLOOKUP(VLOOKUP(BC$1,main!$A$3:$I$56,7,FALSE),main!$K$19:$O$22,MATCH(VLOOKUP($A11,main!$A$3:$I$56,8,FALSE),main!$K$18:$O$18,0))))),1,0)</f>
        <v>1</v>
      </c>
      <c r="BD11">
        <f>IF((AND(VLOOKUP(BD$1,main!$A$3:$I$56,5,FALSE)-VLOOKUP($A11,main!$A$3:$I$56,6,FALSE)&gt;=(VLOOKUP(VLOOKUP(BD$1,main!$A$3:$I$56,8,FALSE),main!$K$11:$M$14,2,FALSE)+VLOOKUP(VLOOKUP(BD$1,main!$A$3:$I$56,7,FALSE),main!$K$19:$O$22,MATCH(VLOOKUP($A11,main!$A$3:$I$56,8,FALSE),main!$K$18:$O$18,0))))),1,0)</f>
        <v>1</v>
      </c>
    </row>
    <row r="12" spans="1:56" x14ac:dyDescent="0.25">
      <c r="A12">
        <f t="shared" si="0"/>
        <v>10</v>
      </c>
      <c r="B12">
        <v>1</v>
      </c>
      <c r="C12">
        <f>IF((AND(VLOOKUP(C$1,main!$A$3:$I$56,5,FALSE)-VLOOKUP($A12,main!$A$3:$I$56,6,FALSE)&gt;=(VLOOKUP(VLOOKUP(C$1,main!$A$3:$I$56,8,FALSE),main!$K$11:$M$14,2,FALSE)+VLOOKUP(VLOOKUP(C$1,main!$A$3:$I$56,7,FALSE),main!$K$19:$O$22,MATCH(VLOOKUP($A12,main!$A$3:$I$56,8,FALSE),main!$K$18:$O$18,0))))),1,0)</f>
        <v>0</v>
      </c>
      <c r="D12">
        <f>IF((AND(VLOOKUP(D$1,main!$A$3:$I$56,5,FALSE)-VLOOKUP($A12,main!$A$3:$I$56,6,FALSE)&gt;=(VLOOKUP(VLOOKUP(D$1,main!$A$3:$I$56,8,FALSE),main!$K$11:$M$14,2,FALSE)+VLOOKUP(VLOOKUP(D$1,main!$A$3:$I$56,7,FALSE),main!$K$19:$O$22,MATCH(VLOOKUP($A12,main!$A$3:$I$56,8,FALSE),main!$K$18:$O$18,0))))),1,0)</f>
        <v>0</v>
      </c>
      <c r="E12">
        <f>IF((AND(VLOOKUP(E$1,main!$A$3:$I$56,5,FALSE)-VLOOKUP($A12,main!$A$3:$I$56,6,FALSE)&gt;=(VLOOKUP(VLOOKUP(E$1,main!$A$3:$I$56,8,FALSE),main!$K$11:$M$14,2,FALSE)+VLOOKUP(VLOOKUP(E$1,main!$A$3:$I$56,7,FALSE),main!$K$19:$O$22,MATCH(VLOOKUP($A12,main!$A$3:$I$56,8,FALSE),main!$K$18:$O$18,0))))),1,0)</f>
        <v>0</v>
      </c>
      <c r="F12">
        <f>IF((AND(VLOOKUP(F$1,main!$A$3:$I$56,5,FALSE)-VLOOKUP($A12,main!$A$3:$I$56,6,FALSE)&gt;=(VLOOKUP(VLOOKUP(F$1,main!$A$3:$I$56,8,FALSE),main!$K$11:$M$14,2,FALSE)+VLOOKUP(VLOOKUP(F$1,main!$A$3:$I$56,7,FALSE),main!$K$19:$O$22,MATCH(VLOOKUP($A12,main!$A$3:$I$56,8,FALSE),main!$K$18:$O$18,0))))),1,0)</f>
        <v>1</v>
      </c>
      <c r="G12">
        <f>IF((AND(VLOOKUP(G$1,main!$A$3:$I$56,5,FALSE)-VLOOKUP($A12,main!$A$3:$I$56,6,FALSE)&gt;=(VLOOKUP(VLOOKUP(G$1,main!$A$3:$I$56,8,FALSE),main!$K$11:$M$14,2,FALSE)+VLOOKUP(VLOOKUP(G$1,main!$A$3:$I$56,7,FALSE),main!$K$19:$O$22,MATCH(VLOOKUP($A12,main!$A$3:$I$56,8,FALSE),main!$K$18:$O$18,0))))),1,0)</f>
        <v>1</v>
      </c>
      <c r="H12">
        <f>IF((AND(VLOOKUP(H$1,main!$A$3:$I$56,5,FALSE)-VLOOKUP($A12,main!$A$3:$I$56,6,FALSE)&gt;=(VLOOKUP(VLOOKUP(H$1,main!$A$3:$I$56,8,FALSE),main!$K$11:$M$14,2,FALSE)+VLOOKUP(VLOOKUP(H$1,main!$A$3:$I$56,7,FALSE),main!$K$19:$O$22,MATCH(VLOOKUP($A12,main!$A$3:$I$56,8,FALSE),main!$K$18:$O$18,0))))),1,0)</f>
        <v>1</v>
      </c>
      <c r="I12">
        <f>IF((AND(VLOOKUP(I$1,main!$A$3:$I$56,5,FALSE)-VLOOKUP($A12,main!$A$3:$I$56,6,FALSE)&gt;=(VLOOKUP(VLOOKUP(I$1,main!$A$3:$I$56,8,FALSE),main!$K$11:$M$14,2,FALSE)+VLOOKUP(VLOOKUP(I$1,main!$A$3:$I$56,7,FALSE),main!$K$19:$O$22,MATCH(VLOOKUP($A12,main!$A$3:$I$56,8,FALSE),main!$K$18:$O$18,0))))),1,0)</f>
        <v>1</v>
      </c>
      <c r="J12">
        <f>IF((AND(VLOOKUP(J$1,main!$A$3:$I$56,5,FALSE)-VLOOKUP($A12,main!$A$3:$I$56,6,FALSE)&gt;=(VLOOKUP(VLOOKUP(J$1,main!$A$3:$I$56,8,FALSE),main!$K$11:$M$14,2,FALSE)+VLOOKUP(VLOOKUP(J$1,main!$A$3:$I$56,7,FALSE),main!$K$19:$O$22,MATCH(VLOOKUP($A12,main!$A$3:$I$56,8,FALSE),main!$K$18:$O$18,0))))),1,0)</f>
        <v>1</v>
      </c>
      <c r="K12">
        <f>IF((AND(VLOOKUP(K$1,main!$A$3:$I$56,5,FALSE)-VLOOKUP($A12,main!$A$3:$I$56,6,FALSE)&gt;=(VLOOKUP(VLOOKUP(K$1,main!$A$3:$I$56,8,FALSE),main!$K$11:$M$14,2,FALSE)+VLOOKUP(VLOOKUP(K$1,main!$A$3:$I$56,7,FALSE),main!$K$19:$O$22,MATCH(VLOOKUP($A12,main!$A$3:$I$56,8,FALSE),main!$K$18:$O$18,0))))),1,0)</f>
        <v>0</v>
      </c>
      <c r="L12">
        <f>IF((AND(VLOOKUP(L$1,main!$A$3:$I$56,5,FALSE)-VLOOKUP($A12,main!$A$3:$I$56,6,FALSE)&gt;=(VLOOKUP(VLOOKUP(L$1,main!$A$3:$I$56,8,FALSE),main!$K$11:$M$14,2,FALSE)+VLOOKUP(VLOOKUP(L$1,main!$A$3:$I$56,7,FALSE),main!$K$19:$O$22,MATCH(VLOOKUP($A12,main!$A$3:$I$56,8,FALSE),main!$K$18:$O$18,0))))),1,0)</f>
        <v>0</v>
      </c>
      <c r="M12">
        <f>IF((AND(VLOOKUP(M$1,main!$A$3:$I$56,5,FALSE)-VLOOKUP($A12,main!$A$3:$I$56,6,FALSE)&gt;=(VLOOKUP(VLOOKUP(M$1,main!$A$3:$I$56,8,FALSE),main!$K$11:$M$14,2,FALSE)+VLOOKUP(VLOOKUP(M$1,main!$A$3:$I$56,7,FALSE),main!$K$19:$O$22,MATCH(VLOOKUP($A12,main!$A$3:$I$56,8,FALSE),main!$K$18:$O$18,0))))),1,0)</f>
        <v>0</v>
      </c>
      <c r="N12">
        <f>IF((AND(VLOOKUP(N$1,main!$A$3:$I$56,5,FALSE)-VLOOKUP($A12,main!$A$3:$I$56,6,FALSE)&gt;=(VLOOKUP(VLOOKUP(N$1,main!$A$3:$I$56,8,FALSE),main!$K$11:$M$14,2,FALSE)+VLOOKUP(VLOOKUP(N$1,main!$A$3:$I$56,7,FALSE),main!$K$19:$O$22,MATCH(VLOOKUP($A12,main!$A$3:$I$56,8,FALSE),main!$K$18:$O$18,0))))),1,0)</f>
        <v>1</v>
      </c>
      <c r="O12">
        <f>IF((AND(VLOOKUP(O$1,main!$A$3:$I$56,5,FALSE)-VLOOKUP($A12,main!$A$3:$I$56,6,FALSE)&gt;=(VLOOKUP(VLOOKUP(O$1,main!$A$3:$I$56,8,FALSE),main!$K$11:$M$14,2,FALSE)+VLOOKUP(VLOOKUP(O$1,main!$A$3:$I$56,7,FALSE),main!$K$19:$O$22,MATCH(VLOOKUP($A12,main!$A$3:$I$56,8,FALSE),main!$K$18:$O$18,0))))),1,0)</f>
        <v>1</v>
      </c>
      <c r="P12">
        <f>IF((AND(VLOOKUP(P$1,main!$A$3:$I$56,5,FALSE)-VLOOKUP($A12,main!$A$3:$I$56,6,FALSE)&gt;=(VLOOKUP(VLOOKUP(P$1,main!$A$3:$I$56,8,FALSE),main!$K$11:$M$14,2,FALSE)+VLOOKUP(VLOOKUP(P$1,main!$A$3:$I$56,7,FALSE),main!$K$19:$O$22,MATCH(VLOOKUP($A12,main!$A$3:$I$56,8,FALSE),main!$K$18:$O$18,0))))),1,0)</f>
        <v>0</v>
      </c>
      <c r="Q12">
        <f>IF((AND(VLOOKUP(Q$1,main!$A$3:$I$56,5,FALSE)-VLOOKUP($A12,main!$A$3:$I$56,6,FALSE)&gt;=(VLOOKUP(VLOOKUP(Q$1,main!$A$3:$I$56,8,FALSE),main!$K$11:$M$14,2,FALSE)+VLOOKUP(VLOOKUP(Q$1,main!$A$3:$I$56,7,FALSE),main!$K$19:$O$22,MATCH(VLOOKUP($A12,main!$A$3:$I$56,8,FALSE),main!$K$18:$O$18,0))))),1,0)</f>
        <v>0</v>
      </c>
      <c r="R12">
        <f>IF((AND(VLOOKUP(R$1,main!$A$3:$I$56,5,FALSE)-VLOOKUP($A12,main!$A$3:$I$56,6,FALSE)&gt;=(VLOOKUP(VLOOKUP(R$1,main!$A$3:$I$56,8,FALSE),main!$K$11:$M$14,2,FALSE)+VLOOKUP(VLOOKUP(R$1,main!$A$3:$I$56,7,FALSE),main!$K$19:$O$22,MATCH(VLOOKUP($A12,main!$A$3:$I$56,8,FALSE),main!$K$18:$O$18,0))))),1,0)</f>
        <v>0</v>
      </c>
      <c r="S12">
        <f>IF((AND(VLOOKUP(S$1,main!$A$3:$I$56,5,FALSE)-VLOOKUP($A12,main!$A$3:$I$56,6,FALSE)&gt;=(VLOOKUP(VLOOKUP(S$1,main!$A$3:$I$56,8,FALSE),main!$K$11:$M$14,2,FALSE)+VLOOKUP(VLOOKUP(S$1,main!$A$3:$I$56,7,FALSE),main!$K$19:$O$22,MATCH(VLOOKUP($A12,main!$A$3:$I$56,8,FALSE),main!$K$18:$O$18,0))))),1,0)</f>
        <v>1</v>
      </c>
      <c r="T12">
        <f>IF((AND(VLOOKUP(T$1,main!$A$3:$I$56,5,FALSE)-VLOOKUP($A12,main!$A$3:$I$56,6,FALSE)&gt;=(VLOOKUP(VLOOKUP(T$1,main!$A$3:$I$56,8,FALSE),main!$K$11:$M$14,2,FALSE)+VLOOKUP(VLOOKUP(T$1,main!$A$3:$I$56,7,FALSE),main!$K$19:$O$22,MATCH(VLOOKUP($A12,main!$A$3:$I$56,8,FALSE),main!$K$18:$O$18,0))))),1,0)</f>
        <v>1</v>
      </c>
      <c r="U12">
        <f>IF((AND(VLOOKUP(U$1,main!$A$3:$I$56,5,FALSE)-VLOOKUP($A12,main!$A$3:$I$56,6,FALSE)&gt;=(VLOOKUP(VLOOKUP(U$1,main!$A$3:$I$56,8,FALSE),main!$K$11:$M$14,2,FALSE)+VLOOKUP(VLOOKUP(U$1,main!$A$3:$I$56,7,FALSE),main!$K$19:$O$22,MATCH(VLOOKUP($A12,main!$A$3:$I$56,8,FALSE),main!$K$18:$O$18,0))))),1,0)</f>
        <v>0</v>
      </c>
      <c r="V12">
        <f>IF((AND(VLOOKUP(V$1,main!$A$3:$I$56,5,FALSE)-VLOOKUP($A12,main!$A$3:$I$56,6,FALSE)&gt;=(VLOOKUP(VLOOKUP(V$1,main!$A$3:$I$56,8,FALSE),main!$K$11:$M$14,2,FALSE)+VLOOKUP(VLOOKUP(V$1,main!$A$3:$I$56,7,FALSE),main!$K$19:$O$22,MATCH(VLOOKUP($A12,main!$A$3:$I$56,8,FALSE),main!$K$18:$O$18,0))))),1,0)</f>
        <v>0</v>
      </c>
      <c r="W12">
        <f>IF((AND(VLOOKUP(W$1,main!$A$3:$I$56,5,FALSE)-VLOOKUP($A12,main!$A$3:$I$56,6,FALSE)&gt;=(VLOOKUP(VLOOKUP(W$1,main!$A$3:$I$56,8,FALSE),main!$K$11:$M$14,2,FALSE)+VLOOKUP(VLOOKUP(W$1,main!$A$3:$I$56,7,FALSE),main!$K$19:$O$22,MATCH(VLOOKUP($A12,main!$A$3:$I$56,8,FALSE),main!$K$18:$O$18,0))))),1,0)</f>
        <v>0</v>
      </c>
      <c r="X12">
        <f>IF((AND(VLOOKUP(X$1,main!$A$3:$I$56,5,FALSE)-VLOOKUP($A12,main!$A$3:$I$56,6,FALSE)&gt;=(VLOOKUP(VLOOKUP(X$1,main!$A$3:$I$56,8,FALSE),main!$K$11:$M$14,2,FALSE)+VLOOKUP(VLOOKUP(X$1,main!$A$3:$I$56,7,FALSE),main!$K$19:$O$22,MATCH(VLOOKUP($A12,main!$A$3:$I$56,8,FALSE),main!$K$18:$O$18,0))))),1,0)</f>
        <v>0</v>
      </c>
      <c r="Y12">
        <f>IF((AND(VLOOKUP(Y$1,main!$A$3:$I$56,5,FALSE)-VLOOKUP($A12,main!$A$3:$I$56,6,FALSE)&gt;=(VLOOKUP(VLOOKUP(Y$1,main!$A$3:$I$56,8,FALSE),main!$K$11:$M$14,2,FALSE)+VLOOKUP(VLOOKUP(Y$1,main!$A$3:$I$56,7,FALSE),main!$K$19:$O$22,MATCH(VLOOKUP($A12,main!$A$3:$I$56,8,FALSE),main!$K$18:$O$18,0))))),1,0)</f>
        <v>1</v>
      </c>
      <c r="Z12">
        <f>IF((AND(VLOOKUP(Z$1,main!$A$3:$I$56,5,FALSE)-VLOOKUP($A12,main!$A$3:$I$56,6,FALSE)&gt;=(VLOOKUP(VLOOKUP(Z$1,main!$A$3:$I$56,8,FALSE),main!$K$11:$M$14,2,FALSE)+VLOOKUP(VLOOKUP(Z$1,main!$A$3:$I$56,7,FALSE),main!$K$19:$O$22,MATCH(VLOOKUP($A12,main!$A$3:$I$56,8,FALSE),main!$K$18:$O$18,0))))),1,0)</f>
        <v>1</v>
      </c>
      <c r="AA12">
        <f>IF((AND(VLOOKUP(AA$1,main!$A$3:$I$56,5,FALSE)-VLOOKUP($A12,main!$A$3:$I$56,6,FALSE)&gt;=(VLOOKUP(VLOOKUP(AA$1,main!$A$3:$I$56,8,FALSE),main!$K$11:$M$14,2,FALSE)+VLOOKUP(VLOOKUP(AA$1,main!$A$3:$I$56,7,FALSE),main!$K$19:$O$22,MATCH(VLOOKUP($A12,main!$A$3:$I$56,8,FALSE),main!$K$18:$O$18,0))))),1,0)</f>
        <v>1</v>
      </c>
      <c r="AB12">
        <f>IF((AND(VLOOKUP(AB$1,main!$A$3:$I$56,5,FALSE)-VLOOKUP($A12,main!$A$3:$I$56,6,FALSE)&gt;=(VLOOKUP(VLOOKUP(AB$1,main!$A$3:$I$56,8,FALSE),main!$K$11:$M$14,2,FALSE)+VLOOKUP(VLOOKUP(AB$1,main!$A$3:$I$56,7,FALSE),main!$K$19:$O$22,MATCH(VLOOKUP($A12,main!$A$3:$I$56,8,FALSE),main!$K$18:$O$18,0))))),1,0)</f>
        <v>1</v>
      </c>
      <c r="AC12">
        <f>IF((AND(VLOOKUP(AC$1,main!$A$3:$I$56,5,FALSE)-VLOOKUP($A12,main!$A$3:$I$56,6,FALSE)&gt;=(VLOOKUP(VLOOKUP(AC$1,main!$A$3:$I$56,8,FALSE),main!$K$11:$M$14,2,FALSE)+VLOOKUP(VLOOKUP(AC$1,main!$A$3:$I$56,7,FALSE),main!$K$19:$O$22,MATCH(VLOOKUP($A12,main!$A$3:$I$56,8,FALSE),main!$K$18:$O$18,0))))),1,0)</f>
        <v>0</v>
      </c>
      <c r="AD12">
        <f>IF((AND(VLOOKUP(AD$1,main!$A$3:$I$56,5,FALSE)-VLOOKUP($A12,main!$A$3:$I$56,6,FALSE)&gt;=(VLOOKUP(VLOOKUP(AD$1,main!$A$3:$I$56,8,FALSE),main!$K$11:$M$14,2,FALSE)+VLOOKUP(VLOOKUP(AD$1,main!$A$3:$I$56,7,FALSE),main!$K$19:$O$22,MATCH(VLOOKUP($A12,main!$A$3:$I$56,8,FALSE),main!$K$18:$O$18,0))))),1,0)</f>
        <v>0</v>
      </c>
      <c r="AE12">
        <f>IF((AND(VLOOKUP(AE$1,main!$A$3:$I$56,5,FALSE)-VLOOKUP($A12,main!$A$3:$I$56,6,FALSE)&gt;=(VLOOKUP(VLOOKUP(AE$1,main!$A$3:$I$56,8,FALSE),main!$K$11:$M$14,2,FALSE)+VLOOKUP(VLOOKUP(AE$1,main!$A$3:$I$56,7,FALSE),main!$K$19:$O$22,MATCH(VLOOKUP($A12,main!$A$3:$I$56,8,FALSE),main!$K$18:$O$18,0))))),1,0)</f>
        <v>0</v>
      </c>
      <c r="AF12">
        <f>IF((AND(VLOOKUP(AF$1,main!$A$3:$I$56,5,FALSE)-VLOOKUP($A12,main!$A$3:$I$56,6,FALSE)&gt;=(VLOOKUP(VLOOKUP(AF$1,main!$A$3:$I$56,8,FALSE),main!$K$11:$M$14,2,FALSE)+VLOOKUP(VLOOKUP(AF$1,main!$A$3:$I$56,7,FALSE),main!$K$19:$O$22,MATCH(VLOOKUP($A12,main!$A$3:$I$56,8,FALSE),main!$K$18:$O$18,0))))),1,0)</f>
        <v>1</v>
      </c>
      <c r="AG12">
        <f>IF((AND(VLOOKUP(AG$1,main!$A$3:$I$56,5,FALSE)-VLOOKUP($A12,main!$A$3:$I$56,6,FALSE)&gt;=(VLOOKUP(VLOOKUP(AG$1,main!$A$3:$I$56,8,FALSE),main!$K$11:$M$14,2,FALSE)+VLOOKUP(VLOOKUP(AG$1,main!$A$3:$I$56,7,FALSE),main!$K$19:$O$22,MATCH(VLOOKUP($A12,main!$A$3:$I$56,8,FALSE),main!$K$18:$O$18,0))))),1,0)</f>
        <v>0</v>
      </c>
      <c r="AH12">
        <f>IF((AND(VLOOKUP(AH$1,main!$A$3:$I$56,5,FALSE)-VLOOKUP($A12,main!$A$3:$I$56,6,FALSE)&gt;=(VLOOKUP(VLOOKUP(AH$1,main!$A$3:$I$56,8,FALSE),main!$K$11:$M$14,2,FALSE)+VLOOKUP(VLOOKUP(AH$1,main!$A$3:$I$56,7,FALSE),main!$K$19:$O$22,MATCH(VLOOKUP($A12,main!$A$3:$I$56,8,FALSE),main!$K$18:$O$18,0))))),1,0)</f>
        <v>0</v>
      </c>
      <c r="AI12">
        <f>IF((AND(VLOOKUP(AI$1,main!$A$3:$I$56,5,FALSE)-VLOOKUP($A12,main!$A$3:$I$56,6,FALSE)&gt;=(VLOOKUP(VLOOKUP(AI$1,main!$A$3:$I$56,8,FALSE),main!$K$11:$M$14,2,FALSE)+VLOOKUP(VLOOKUP(AI$1,main!$A$3:$I$56,7,FALSE),main!$K$19:$O$22,MATCH(VLOOKUP($A12,main!$A$3:$I$56,8,FALSE),main!$K$18:$O$18,0))))),1,0)</f>
        <v>1</v>
      </c>
      <c r="AJ12">
        <f>IF((AND(VLOOKUP(AJ$1,main!$A$3:$I$56,5,FALSE)-VLOOKUP($A12,main!$A$3:$I$56,6,FALSE)&gt;=(VLOOKUP(VLOOKUP(AJ$1,main!$A$3:$I$56,8,FALSE),main!$K$11:$M$14,2,FALSE)+VLOOKUP(VLOOKUP(AJ$1,main!$A$3:$I$56,7,FALSE),main!$K$19:$O$22,MATCH(VLOOKUP($A12,main!$A$3:$I$56,8,FALSE),main!$K$18:$O$18,0))))),1,0)</f>
        <v>1</v>
      </c>
      <c r="AK12">
        <f>IF((AND(VLOOKUP(AK$1,main!$A$3:$I$56,5,FALSE)-VLOOKUP($A12,main!$A$3:$I$56,6,FALSE)&gt;=(VLOOKUP(VLOOKUP(AK$1,main!$A$3:$I$56,8,FALSE),main!$K$11:$M$14,2,FALSE)+VLOOKUP(VLOOKUP(AK$1,main!$A$3:$I$56,7,FALSE),main!$K$19:$O$22,MATCH(VLOOKUP($A12,main!$A$3:$I$56,8,FALSE),main!$K$18:$O$18,0))))),1,0)</f>
        <v>1</v>
      </c>
      <c r="AL12">
        <f>IF((AND(VLOOKUP(AL$1,main!$A$3:$I$56,5,FALSE)-VLOOKUP($A12,main!$A$3:$I$56,6,FALSE)&gt;=(VLOOKUP(VLOOKUP(AL$1,main!$A$3:$I$56,8,FALSE),main!$K$11:$M$14,2,FALSE)+VLOOKUP(VLOOKUP(AL$1,main!$A$3:$I$56,7,FALSE),main!$K$19:$O$22,MATCH(VLOOKUP($A12,main!$A$3:$I$56,8,FALSE),main!$K$18:$O$18,0))))),1,0)</f>
        <v>0</v>
      </c>
      <c r="AM12">
        <f>IF((AND(VLOOKUP(AM$1,main!$A$3:$I$56,5,FALSE)-VLOOKUP($A12,main!$A$3:$I$56,6,FALSE)&gt;=(VLOOKUP(VLOOKUP(AM$1,main!$A$3:$I$56,8,FALSE),main!$K$11:$M$14,2,FALSE)+VLOOKUP(VLOOKUP(AM$1,main!$A$3:$I$56,7,FALSE),main!$K$19:$O$22,MATCH(VLOOKUP($A12,main!$A$3:$I$56,8,FALSE),main!$K$18:$O$18,0))))),1,0)</f>
        <v>0</v>
      </c>
      <c r="AN12">
        <f>IF((AND(VLOOKUP(AN$1,main!$A$3:$I$56,5,FALSE)-VLOOKUP($A12,main!$A$3:$I$56,6,FALSE)&gt;=(VLOOKUP(VLOOKUP(AN$1,main!$A$3:$I$56,8,FALSE),main!$K$11:$M$14,2,FALSE)+VLOOKUP(VLOOKUP(AN$1,main!$A$3:$I$56,7,FALSE),main!$K$19:$O$22,MATCH(VLOOKUP($A12,main!$A$3:$I$56,8,FALSE),main!$K$18:$O$18,0))))),1,0)</f>
        <v>1</v>
      </c>
      <c r="AO12">
        <f>IF((AND(VLOOKUP(AO$1,main!$A$3:$I$56,5,FALSE)-VLOOKUP($A12,main!$A$3:$I$56,6,FALSE)&gt;=(VLOOKUP(VLOOKUP(AO$1,main!$A$3:$I$56,8,FALSE),main!$K$11:$M$14,2,FALSE)+VLOOKUP(VLOOKUP(AO$1,main!$A$3:$I$56,7,FALSE),main!$K$19:$O$22,MATCH(VLOOKUP($A12,main!$A$3:$I$56,8,FALSE),main!$K$18:$O$18,0))))),1,0)</f>
        <v>1</v>
      </c>
      <c r="AP12">
        <f>IF((AND(VLOOKUP(AP$1,main!$A$3:$I$56,5,FALSE)-VLOOKUP($A12,main!$A$3:$I$56,6,FALSE)&gt;=(VLOOKUP(VLOOKUP(AP$1,main!$A$3:$I$56,8,FALSE),main!$K$11:$M$14,2,FALSE)+VLOOKUP(VLOOKUP(AP$1,main!$A$3:$I$56,7,FALSE),main!$K$19:$O$22,MATCH(VLOOKUP($A12,main!$A$3:$I$56,8,FALSE),main!$K$18:$O$18,0))))),1,0)</f>
        <v>0</v>
      </c>
      <c r="AQ12">
        <f>IF((AND(VLOOKUP(AQ$1,main!$A$3:$I$56,5,FALSE)-VLOOKUP($A12,main!$A$3:$I$56,6,FALSE)&gt;=(VLOOKUP(VLOOKUP(AQ$1,main!$A$3:$I$56,8,FALSE),main!$K$11:$M$14,2,FALSE)+VLOOKUP(VLOOKUP(AQ$1,main!$A$3:$I$56,7,FALSE),main!$K$19:$O$22,MATCH(VLOOKUP($A12,main!$A$3:$I$56,8,FALSE),main!$K$18:$O$18,0))))),1,0)</f>
        <v>0</v>
      </c>
      <c r="AR12">
        <f>IF((AND(VLOOKUP(AR$1,main!$A$3:$I$56,5,FALSE)-VLOOKUP($A12,main!$A$3:$I$56,6,FALSE)&gt;=(VLOOKUP(VLOOKUP(AR$1,main!$A$3:$I$56,8,FALSE),main!$K$11:$M$14,2,FALSE)+VLOOKUP(VLOOKUP(AR$1,main!$A$3:$I$56,7,FALSE),main!$K$19:$O$22,MATCH(VLOOKUP($A12,main!$A$3:$I$56,8,FALSE),main!$K$18:$O$18,0))))),1,0)</f>
        <v>0</v>
      </c>
      <c r="AS12">
        <f>IF((AND(VLOOKUP(AS$1,main!$A$3:$I$56,5,FALSE)-VLOOKUP($A12,main!$A$3:$I$56,6,FALSE)&gt;=(VLOOKUP(VLOOKUP(AS$1,main!$A$3:$I$56,8,FALSE),main!$K$11:$M$14,2,FALSE)+VLOOKUP(VLOOKUP(AS$1,main!$A$3:$I$56,7,FALSE),main!$K$19:$O$22,MATCH(VLOOKUP($A12,main!$A$3:$I$56,8,FALSE),main!$K$18:$O$18,0))))),1,0)</f>
        <v>0</v>
      </c>
      <c r="AT12">
        <f>IF((AND(VLOOKUP(AT$1,main!$A$3:$I$56,5,FALSE)-VLOOKUP($A12,main!$A$3:$I$56,6,FALSE)&gt;=(VLOOKUP(VLOOKUP(AT$1,main!$A$3:$I$56,8,FALSE),main!$K$11:$M$14,2,FALSE)+VLOOKUP(VLOOKUP(AT$1,main!$A$3:$I$56,7,FALSE),main!$K$19:$O$22,MATCH(VLOOKUP($A12,main!$A$3:$I$56,8,FALSE),main!$K$18:$O$18,0))))),1,0)</f>
        <v>1</v>
      </c>
      <c r="AU12">
        <f>IF((AND(VLOOKUP(AU$1,main!$A$3:$I$56,5,FALSE)-VLOOKUP($A12,main!$A$3:$I$56,6,FALSE)&gt;=(VLOOKUP(VLOOKUP(AU$1,main!$A$3:$I$56,8,FALSE),main!$K$11:$M$14,2,FALSE)+VLOOKUP(VLOOKUP(AU$1,main!$A$3:$I$56,7,FALSE),main!$K$19:$O$22,MATCH(VLOOKUP($A12,main!$A$3:$I$56,8,FALSE),main!$K$18:$O$18,0))))),1,0)</f>
        <v>0</v>
      </c>
      <c r="AV12">
        <f>IF((AND(VLOOKUP(AV$1,main!$A$3:$I$56,5,FALSE)-VLOOKUP($A12,main!$A$3:$I$56,6,FALSE)&gt;=(VLOOKUP(VLOOKUP(AV$1,main!$A$3:$I$56,8,FALSE),main!$K$11:$M$14,2,FALSE)+VLOOKUP(VLOOKUP(AV$1,main!$A$3:$I$56,7,FALSE),main!$K$19:$O$22,MATCH(VLOOKUP($A12,main!$A$3:$I$56,8,FALSE),main!$K$18:$O$18,0))))),1,0)</f>
        <v>0</v>
      </c>
      <c r="AW12">
        <f>IF((AND(VLOOKUP(AW$1,main!$A$3:$I$56,5,FALSE)-VLOOKUP($A12,main!$A$3:$I$56,6,FALSE)&gt;=(VLOOKUP(VLOOKUP(AW$1,main!$A$3:$I$56,8,FALSE),main!$K$11:$M$14,2,FALSE)+VLOOKUP(VLOOKUP(AW$1,main!$A$3:$I$56,7,FALSE),main!$K$19:$O$22,MATCH(VLOOKUP($A12,main!$A$3:$I$56,8,FALSE),main!$K$18:$O$18,0))))),1,0)</f>
        <v>0</v>
      </c>
      <c r="AX12">
        <f>IF((AND(VLOOKUP(AX$1,main!$A$3:$I$56,5,FALSE)-VLOOKUP($A12,main!$A$3:$I$56,6,FALSE)&gt;=(VLOOKUP(VLOOKUP(AX$1,main!$A$3:$I$56,8,FALSE),main!$K$11:$M$14,2,FALSE)+VLOOKUP(VLOOKUP(AX$1,main!$A$3:$I$56,7,FALSE),main!$K$19:$O$22,MATCH(VLOOKUP($A12,main!$A$3:$I$56,8,FALSE),main!$K$18:$O$18,0))))),1,0)</f>
        <v>1</v>
      </c>
      <c r="AY12">
        <f>IF((AND(VLOOKUP(AY$1,main!$A$3:$I$56,5,FALSE)-VLOOKUP($A12,main!$A$3:$I$56,6,FALSE)&gt;=(VLOOKUP(VLOOKUP(AY$1,main!$A$3:$I$56,8,FALSE),main!$K$11:$M$14,2,FALSE)+VLOOKUP(VLOOKUP(AY$1,main!$A$3:$I$56,7,FALSE),main!$K$19:$O$22,MATCH(VLOOKUP($A12,main!$A$3:$I$56,8,FALSE),main!$K$18:$O$18,0))))),1,0)</f>
        <v>1</v>
      </c>
      <c r="AZ12">
        <f>IF((AND(VLOOKUP(AZ$1,main!$A$3:$I$56,5,FALSE)-VLOOKUP($A12,main!$A$3:$I$56,6,FALSE)&gt;=(VLOOKUP(VLOOKUP(AZ$1,main!$A$3:$I$56,8,FALSE),main!$K$11:$M$14,2,FALSE)+VLOOKUP(VLOOKUP(AZ$1,main!$A$3:$I$56,7,FALSE),main!$K$19:$O$22,MATCH(VLOOKUP($A12,main!$A$3:$I$56,8,FALSE),main!$K$18:$O$18,0))))),1,0)</f>
        <v>0</v>
      </c>
      <c r="BA12">
        <f>IF((AND(VLOOKUP(BA$1,main!$A$3:$I$56,5,FALSE)-VLOOKUP($A12,main!$A$3:$I$56,6,FALSE)&gt;=(VLOOKUP(VLOOKUP(BA$1,main!$A$3:$I$56,8,FALSE),main!$K$11:$M$14,2,FALSE)+VLOOKUP(VLOOKUP(BA$1,main!$A$3:$I$56,7,FALSE),main!$K$19:$O$22,MATCH(VLOOKUP($A12,main!$A$3:$I$56,8,FALSE),main!$K$18:$O$18,0))))),1,0)</f>
        <v>0</v>
      </c>
      <c r="BB12">
        <f>IF((AND(VLOOKUP(BB$1,main!$A$3:$I$56,5,FALSE)-VLOOKUP($A12,main!$A$3:$I$56,6,FALSE)&gt;=(VLOOKUP(VLOOKUP(BB$1,main!$A$3:$I$56,8,FALSE),main!$K$11:$M$14,2,FALSE)+VLOOKUP(VLOOKUP(BB$1,main!$A$3:$I$56,7,FALSE),main!$K$19:$O$22,MATCH(VLOOKUP($A12,main!$A$3:$I$56,8,FALSE),main!$K$18:$O$18,0))))),1,0)</f>
        <v>0</v>
      </c>
      <c r="BC12">
        <f>IF((AND(VLOOKUP(BC$1,main!$A$3:$I$56,5,FALSE)-VLOOKUP($A12,main!$A$3:$I$56,6,FALSE)&gt;=(VLOOKUP(VLOOKUP(BC$1,main!$A$3:$I$56,8,FALSE),main!$K$11:$M$14,2,FALSE)+VLOOKUP(VLOOKUP(BC$1,main!$A$3:$I$56,7,FALSE),main!$K$19:$O$22,MATCH(VLOOKUP($A12,main!$A$3:$I$56,8,FALSE),main!$K$18:$O$18,0))))),1,0)</f>
        <v>1</v>
      </c>
      <c r="BD12">
        <f>IF((AND(VLOOKUP(BD$1,main!$A$3:$I$56,5,FALSE)-VLOOKUP($A12,main!$A$3:$I$56,6,FALSE)&gt;=(VLOOKUP(VLOOKUP(BD$1,main!$A$3:$I$56,8,FALSE),main!$K$11:$M$14,2,FALSE)+VLOOKUP(VLOOKUP(BD$1,main!$A$3:$I$56,7,FALSE),main!$K$19:$O$22,MATCH(VLOOKUP($A12,main!$A$3:$I$56,8,FALSE),main!$K$18:$O$18,0))))),1,0)</f>
        <v>1</v>
      </c>
    </row>
    <row r="13" spans="1:56" x14ac:dyDescent="0.25">
      <c r="A13">
        <f t="shared" si="0"/>
        <v>11</v>
      </c>
      <c r="B13">
        <v>1</v>
      </c>
      <c r="C13">
        <f>IF((AND(VLOOKUP(C$1,main!$A$3:$I$56,5,FALSE)-VLOOKUP($A13,main!$A$3:$I$56,6,FALSE)&gt;=(VLOOKUP(VLOOKUP(C$1,main!$A$3:$I$56,8,FALSE),main!$K$11:$M$14,2,FALSE)+VLOOKUP(VLOOKUP(C$1,main!$A$3:$I$56,7,FALSE),main!$K$19:$O$22,MATCH(VLOOKUP($A13,main!$A$3:$I$56,8,FALSE),main!$K$18:$O$18,0))))),1,0)</f>
        <v>0</v>
      </c>
      <c r="D13">
        <f>IF((AND(VLOOKUP(D$1,main!$A$3:$I$56,5,FALSE)-VLOOKUP($A13,main!$A$3:$I$56,6,FALSE)&gt;=(VLOOKUP(VLOOKUP(D$1,main!$A$3:$I$56,8,FALSE),main!$K$11:$M$14,2,FALSE)+VLOOKUP(VLOOKUP(D$1,main!$A$3:$I$56,7,FALSE),main!$K$19:$O$22,MATCH(VLOOKUP($A13,main!$A$3:$I$56,8,FALSE),main!$K$18:$O$18,0))))),1,0)</f>
        <v>0</v>
      </c>
      <c r="E13">
        <f>IF((AND(VLOOKUP(E$1,main!$A$3:$I$56,5,FALSE)-VLOOKUP($A13,main!$A$3:$I$56,6,FALSE)&gt;=(VLOOKUP(VLOOKUP(E$1,main!$A$3:$I$56,8,FALSE),main!$K$11:$M$14,2,FALSE)+VLOOKUP(VLOOKUP(E$1,main!$A$3:$I$56,7,FALSE),main!$K$19:$O$22,MATCH(VLOOKUP($A13,main!$A$3:$I$56,8,FALSE),main!$K$18:$O$18,0))))),1,0)</f>
        <v>0</v>
      </c>
      <c r="F13">
        <f>IF((AND(VLOOKUP(F$1,main!$A$3:$I$56,5,FALSE)-VLOOKUP($A13,main!$A$3:$I$56,6,FALSE)&gt;=(VLOOKUP(VLOOKUP(F$1,main!$A$3:$I$56,8,FALSE),main!$K$11:$M$14,2,FALSE)+VLOOKUP(VLOOKUP(F$1,main!$A$3:$I$56,7,FALSE),main!$K$19:$O$22,MATCH(VLOOKUP($A13,main!$A$3:$I$56,8,FALSE),main!$K$18:$O$18,0))))),1,0)</f>
        <v>0</v>
      </c>
      <c r="G13">
        <f>IF((AND(VLOOKUP(G$1,main!$A$3:$I$56,5,FALSE)-VLOOKUP($A13,main!$A$3:$I$56,6,FALSE)&gt;=(VLOOKUP(VLOOKUP(G$1,main!$A$3:$I$56,8,FALSE),main!$K$11:$M$14,2,FALSE)+VLOOKUP(VLOOKUP(G$1,main!$A$3:$I$56,7,FALSE),main!$K$19:$O$22,MATCH(VLOOKUP($A13,main!$A$3:$I$56,8,FALSE),main!$K$18:$O$18,0))))),1,0)</f>
        <v>1</v>
      </c>
      <c r="H13">
        <f>IF((AND(VLOOKUP(H$1,main!$A$3:$I$56,5,FALSE)-VLOOKUP($A13,main!$A$3:$I$56,6,FALSE)&gt;=(VLOOKUP(VLOOKUP(H$1,main!$A$3:$I$56,8,FALSE),main!$K$11:$M$14,2,FALSE)+VLOOKUP(VLOOKUP(H$1,main!$A$3:$I$56,7,FALSE),main!$K$19:$O$22,MATCH(VLOOKUP($A13,main!$A$3:$I$56,8,FALSE),main!$K$18:$O$18,0))))),1,0)</f>
        <v>1</v>
      </c>
      <c r="I13">
        <f>IF((AND(VLOOKUP(I$1,main!$A$3:$I$56,5,FALSE)-VLOOKUP($A13,main!$A$3:$I$56,6,FALSE)&gt;=(VLOOKUP(VLOOKUP(I$1,main!$A$3:$I$56,8,FALSE),main!$K$11:$M$14,2,FALSE)+VLOOKUP(VLOOKUP(I$1,main!$A$3:$I$56,7,FALSE),main!$K$19:$O$22,MATCH(VLOOKUP($A13,main!$A$3:$I$56,8,FALSE),main!$K$18:$O$18,0))))),1,0)</f>
        <v>1</v>
      </c>
      <c r="J13">
        <f>IF((AND(VLOOKUP(J$1,main!$A$3:$I$56,5,FALSE)-VLOOKUP($A13,main!$A$3:$I$56,6,FALSE)&gt;=(VLOOKUP(VLOOKUP(J$1,main!$A$3:$I$56,8,FALSE),main!$K$11:$M$14,2,FALSE)+VLOOKUP(VLOOKUP(J$1,main!$A$3:$I$56,7,FALSE),main!$K$19:$O$22,MATCH(VLOOKUP($A13,main!$A$3:$I$56,8,FALSE),main!$K$18:$O$18,0))))),1,0)</f>
        <v>1</v>
      </c>
      <c r="K13">
        <f>IF((AND(VLOOKUP(K$1,main!$A$3:$I$56,5,FALSE)-VLOOKUP($A13,main!$A$3:$I$56,6,FALSE)&gt;=(VLOOKUP(VLOOKUP(K$1,main!$A$3:$I$56,8,FALSE),main!$K$11:$M$14,2,FALSE)+VLOOKUP(VLOOKUP(K$1,main!$A$3:$I$56,7,FALSE),main!$K$19:$O$22,MATCH(VLOOKUP($A13,main!$A$3:$I$56,8,FALSE),main!$K$18:$O$18,0))))),1,0)</f>
        <v>0</v>
      </c>
      <c r="L13">
        <f>IF((AND(VLOOKUP(L$1,main!$A$3:$I$56,5,FALSE)-VLOOKUP($A13,main!$A$3:$I$56,6,FALSE)&gt;=(VLOOKUP(VLOOKUP(L$1,main!$A$3:$I$56,8,FALSE),main!$K$11:$M$14,2,FALSE)+VLOOKUP(VLOOKUP(L$1,main!$A$3:$I$56,7,FALSE),main!$K$19:$O$22,MATCH(VLOOKUP($A13,main!$A$3:$I$56,8,FALSE),main!$K$18:$O$18,0))))),1,0)</f>
        <v>0</v>
      </c>
      <c r="M13">
        <f>IF((AND(VLOOKUP(M$1,main!$A$3:$I$56,5,FALSE)-VLOOKUP($A13,main!$A$3:$I$56,6,FALSE)&gt;=(VLOOKUP(VLOOKUP(M$1,main!$A$3:$I$56,8,FALSE),main!$K$11:$M$14,2,FALSE)+VLOOKUP(VLOOKUP(M$1,main!$A$3:$I$56,7,FALSE),main!$K$19:$O$22,MATCH(VLOOKUP($A13,main!$A$3:$I$56,8,FALSE),main!$K$18:$O$18,0))))),1,0)</f>
        <v>0</v>
      </c>
      <c r="N13">
        <f>IF((AND(VLOOKUP(N$1,main!$A$3:$I$56,5,FALSE)-VLOOKUP($A13,main!$A$3:$I$56,6,FALSE)&gt;=(VLOOKUP(VLOOKUP(N$1,main!$A$3:$I$56,8,FALSE),main!$K$11:$M$14,2,FALSE)+VLOOKUP(VLOOKUP(N$1,main!$A$3:$I$56,7,FALSE),main!$K$19:$O$22,MATCH(VLOOKUP($A13,main!$A$3:$I$56,8,FALSE),main!$K$18:$O$18,0))))),1,0)</f>
        <v>1</v>
      </c>
      <c r="O13">
        <f>IF((AND(VLOOKUP(O$1,main!$A$3:$I$56,5,FALSE)-VLOOKUP($A13,main!$A$3:$I$56,6,FALSE)&gt;=(VLOOKUP(VLOOKUP(O$1,main!$A$3:$I$56,8,FALSE),main!$K$11:$M$14,2,FALSE)+VLOOKUP(VLOOKUP(O$1,main!$A$3:$I$56,7,FALSE),main!$K$19:$O$22,MATCH(VLOOKUP($A13,main!$A$3:$I$56,8,FALSE),main!$K$18:$O$18,0))))),1,0)</f>
        <v>1</v>
      </c>
      <c r="P13">
        <f>IF((AND(VLOOKUP(P$1,main!$A$3:$I$56,5,FALSE)-VLOOKUP($A13,main!$A$3:$I$56,6,FALSE)&gt;=(VLOOKUP(VLOOKUP(P$1,main!$A$3:$I$56,8,FALSE),main!$K$11:$M$14,2,FALSE)+VLOOKUP(VLOOKUP(P$1,main!$A$3:$I$56,7,FALSE),main!$K$19:$O$22,MATCH(VLOOKUP($A13,main!$A$3:$I$56,8,FALSE),main!$K$18:$O$18,0))))),1,0)</f>
        <v>0</v>
      </c>
      <c r="Q13">
        <f>IF((AND(VLOOKUP(Q$1,main!$A$3:$I$56,5,FALSE)-VLOOKUP($A13,main!$A$3:$I$56,6,FALSE)&gt;=(VLOOKUP(VLOOKUP(Q$1,main!$A$3:$I$56,8,FALSE),main!$K$11:$M$14,2,FALSE)+VLOOKUP(VLOOKUP(Q$1,main!$A$3:$I$56,7,FALSE),main!$K$19:$O$22,MATCH(VLOOKUP($A13,main!$A$3:$I$56,8,FALSE),main!$K$18:$O$18,0))))),1,0)</f>
        <v>0</v>
      </c>
      <c r="R13">
        <f>IF((AND(VLOOKUP(R$1,main!$A$3:$I$56,5,FALSE)-VLOOKUP($A13,main!$A$3:$I$56,6,FALSE)&gt;=(VLOOKUP(VLOOKUP(R$1,main!$A$3:$I$56,8,FALSE),main!$K$11:$M$14,2,FALSE)+VLOOKUP(VLOOKUP(R$1,main!$A$3:$I$56,7,FALSE),main!$K$19:$O$22,MATCH(VLOOKUP($A13,main!$A$3:$I$56,8,FALSE),main!$K$18:$O$18,0))))),1,0)</f>
        <v>0</v>
      </c>
      <c r="S13">
        <f>IF((AND(VLOOKUP(S$1,main!$A$3:$I$56,5,FALSE)-VLOOKUP($A13,main!$A$3:$I$56,6,FALSE)&gt;=(VLOOKUP(VLOOKUP(S$1,main!$A$3:$I$56,8,FALSE),main!$K$11:$M$14,2,FALSE)+VLOOKUP(VLOOKUP(S$1,main!$A$3:$I$56,7,FALSE),main!$K$19:$O$22,MATCH(VLOOKUP($A13,main!$A$3:$I$56,8,FALSE),main!$K$18:$O$18,0))))),1,0)</f>
        <v>0</v>
      </c>
      <c r="T13">
        <f>IF((AND(VLOOKUP(T$1,main!$A$3:$I$56,5,FALSE)-VLOOKUP($A13,main!$A$3:$I$56,6,FALSE)&gt;=(VLOOKUP(VLOOKUP(T$1,main!$A$3:$I$56,8,FALSE),main!$K$11:$M$14,2,FALSE)+VLOOKUP(VLOOKUP(T$1,main!$A$3:$I$56,7,FALSE),main!$K$19:$O$22,MATCH(VLOOKUP($A13,main!$A$3:$I$56,8,FALSE),main!$K$18:$O$18,0))))),1,0)</f>
        <v>1</v>
      </c>
      <c r="U13">
        <f>IF((AND(VLOOKUP(U$1,main!$A$3:$I$56,5,FALSE)-VLOOKUP($A13,main!$A$3:$I$56,6,FALSE)&gt;=(VLOOKUP(VLOOKUP(U$1,main!$A$3:$I$56,8,FALSE),main!$K$11:$M$14,2,FALSE)+VLOOKUP(VLOOKUP(U$1,main!$A$3:$I$56,7,FALSE),main!$K$19:$O$22,MATCH(VLOOKUP($A13,main!$A$3:$I$56,8,FALSE),main!$K$18:$O$18,0))))),1,0)</f>
        <v>0</v>
      </c>
      <c r="V13">
        <f>IF((AND(VLOOKUP(V$1,main!$A$3:$I$56,5,FALSE)-VLOOKUP($A13,main!$A$3:$I$56,6,FALSE)&gt;=(VLOOKUP(VLOOKUP(V$1,main!$A$3:$I$56,8,FALSE),main!$K$11:$M$14,2,FALSE)+VLOOKUP(VLOOKUP(V$1,main!$A$3:$I$56,7,FALSE),main!$K$19:$O$22,MATCH(VLOOKUP($A13,main!$A$3:$I$56,8,FALSE),main!$K$18:$O$18,0))))),1,0)</f>
        <v>0</v>
      </c>
      <c r="W13">
        <f>IF((AND(VLOOKUP(W$1,main!$A$3:$I$56,5,FALSE)-VLOOKUP($A13,main!$A$3:$I$56,6,FALSE)&gt;=(VLOOKUP(VLOOKUP(W$1,main!$A$3:$I$56,8,FALSE),main!$K$11:$M$14,2,FALSE)+VLOOKUP(VLOOKUP(W$1,main!$A$3:$I$56,7,FALSE),main!$K$19:$O$22,MATCH(VLOOKUP($A13,main!$A$3:$I$56,8,FALSE),main!$K$18:$O$18,0))))),1,0)</f>
        <v>0</v>
      </c>
      <c r="X13">
        <f>IF((AND(VLOOKUP(X$1,main!$A$3:$I$56,5,FALSE)-VLOOKUP($A13,main!$A$3:$I$56,6,FALSE)&gt;=(VLOOKUP(VLOOKUP(X$1,main!$A$3:$I$56,8,FALSE),main!$K$11:$M$14,2,FALSE)+VLOOKUP(VLOOKUP(X$1,main!$A$3:$I$56,7,FALSE),main!$K$19:$O$22,MATCH(VLOOKUP($A13,main!$A$3:$I$56,8,FALSE),main!$K$18:$O$18,0))))),1,0)</f>
        <v>0</v>
      </c>
      <c r="Y13">
        <f>IF((AND(VLOOKUP(Y$1,main!$A$3:$I$56,5,FALSE)-VLOOKUP($A13,main!$A$3:$I$56,6,FALSE)&gt;=(VLOOKUP(VLOOKUP(Y$1,main!$A$3:$I$56,8,FALSE),main!$K$11:$M$14,2,FALSE)+VLOOKUP(VLOOKUP(Y$1,main!$A$3:$I$56,7,FALSE),main!$K$19:$O$22,MATCH(VLOOKUP($A13,main!$A$3:$I$56,8,FALSE),main!$K$18:$O$18,0))))),1,0)</f>
        <v>0</v>
      </c>
      <c r="Z13">
        <f>IF((AND(VLOOKUP(Z$1,main!$A$3:$I$56,5,FALSE)-VLOOKUP($A13,main!$A$3:$I$56,6,FALSE)&gt;=(VLOOKUP(VLOOKUP(Z$1,main!$A$3:$I$56,8,FALSE),main!$K$11:$M$14,2,FALSE)+VLOOKUP(VLOOKUP(Z$1,main!$A$3:$I$56,7,FALSE),main!$K$19:$O$22,MATCH(VLOOKUP($A13,main!$A$3:$I$56,8,FALSE),main!$K$18:$O$18,0))))),1,0)</f>
        <v>1</v>
      </c>
      <c r="AA13">
        <f>IF((AND(VLOOKUP(AA$1,main!$A$3:$I$56,5,FALSE)-VLOOKUP($A13,main!$A$3:$I$56,6,FALSE)&gt;=(VLOOKUP(VLOOKUP(AA$1,main!$A$3:$I$56,8,FALSE),main!$K$11:$M$14,2,FALSE)+VLOOKUP(VLOOKUP(AA$1,main!$A$3:$I$56,7,FALSE),main!$K$19:$O$22,MATCH(VLOOKUP($A13,main!$A$3:$I$56,8,FALSE),main!$K$18:$O$18,0))))),1,0)</f>
        <v>1</v>
      </c>
      <c r="AB13">
        <f>IF((AND(VLOOKUP(AB$1,main!$A$3:$I$56,5,FALSE)-VLOOKUP($A13,main!$A$3:$I$56,6,FALSE)&gt;=(VLOOKUP(VLOOKUP(AB$1,main!$A$3:$I$56,8,FALSE),main!$K$11:$M$14,2,FALSE)+VLOOKUP(VLOOKUP(AB$1,main!$A$3:$I$56,7,FALSE),main!$K$19:$O$22,MATCH(VLOOKUP($A13,main!$A$3:$I$56,8,FALSE),main!$K$18:$O$18,0))))),1,0)</f>
        <v>1</v>
      </c>
      <c r="AC13">
        <f>IF((AND(VLOOKUP(AC$1,main!$A$3:$I$56,5,FALSE)-VLOOKUP($A13,main!$A$3:$I$56,6,FALSE)&gt;=(VLOOKUP(VLOOKUP(AC$1,main!$A$3:$I$56,8,FALSE),main!$K$11:$M$14,2,FALSE)+VLOOKUP(VLOOKUP(AC$1,main!$A$3:$I$56,7,FALSE),main!$K$19:$O$22,MATCH(VLOOKUP($A13,main!$A$3:$I$56,8,FALSE),main!$K$18:$O$18,0))))),1,0)</f>
        <v>0</v>
      </c>
      <c r="AD13">
        <f>IF((AND(VLOOKUP(AD$1,main!$A$3:$I$56,5,FALSE)-VLOOKUP($A13,main!$A$3:$I$56,6,FALSE)&gt;=(VLOOKUP(VLOOKUP(AD$1,main!$A$3:$I$56,8,FALSE),main!$K$11:$M$14,2,FALSE)+VLOOKUP(VLOOKUP(AD$1,main!$A$3:$I$56,7,FALSE),main!$K$19:$O$22,MATCH(VLOOKUP($A13,main!$A$3:$I$56,8,FALSE),main!$K$18:$O$18,0))))),1,0)</f>
        <v>0</v>
      </c>
      <c r="AE13">
        <f>IF((AND(VLOOKUP(AE$1,main!$A$3:$I$56,5,FALSE)-VLOOKUP($A13,main!$A$3:$I$56,6,FALSE)&gt;=(VLOOKUP(VLOOKUP(AE$1,main!$A$3:$I$56,8,FALSE),main!$K$11:$M$14,2,FALSE)+VLOOKUP(VLOOKUP(AE$1,main!$A$3:$I$56,7,FALSE),main!$K$19:$O$22,MATCH(VLOOKUP($A13,main!$A$3:$I$56,8,FALSE),main!$K$18:$O$18,0))))),1,0)</f>
        <v>0</v>
      </c>
      <c r="AF13">
        <f>IF((AND(VLOOKUP(AF$1,main!$A$3:$I$56,5,FALSE)-VLOOKUP($A13,main!$A$3:$I$56,6,FALSE)&gt;=(VLOOKUP(VLOOKUP(AF$1,main!$A$3:$I$56,8,FALSE),main!$K$11:$M$14,2,FALSE)+VLOOKUP(VLOOKUP(AF$1,main!$A$3:$I$56,7,FALSE),main!$K$19:$O$22,MATCH(VLOOKUP($A13,main!$A$3:$I$56,8,FALSE),main!$K$18:$O$18,0))))),1,0)</f>
        <v>0</v>
      </c>
      <c r="AG13">
        <f>IF((AND(VLOOKUP(AG$1,main!$A$3:$I$56,5,FALSE)-VLOOKUP($A13,main!$A$3:$I$56,6,FALSE)&gt;=(VLOOKUP(VLOOKUP(AG$1,main!$A$3:$I$56,8,FALSE),main!$K$11:$M$14,2,FALSE)+VLOOKUP(VLOOKUP(AG$1,main!$A$3:$I$56,7,FALSE),main!$K$19:$O$22,MATCH(VLOOKUP($A13,main!$A$3:$I$56,8,FALSE),main!$K$18:$O$18,0))))),1,0)</f>
        <v>0</v>
      </c>
      <c r="AH13">
        <f>IF((AND(VLOOKUP(AH$1,main!$A$3:$I$56,5,FALSE)-VLOOKUP($A13,main!$A$3:$I$56,6,FALSE)&gt;=(VLOOKUP(VLOOKUP(AH$1,main!$A$3:$I$56,8,FALSE),main!$K$11:$M$14,2,FALSE)+VLOOKUP(VLOOKUP(AH$1,main!$A$3:$I$56,7,FALSE),main!$K$19:$O$22,MATCH(VLOOKUP($A13,main!$A$3:$I$56,8,FALSE),main!$K$18:$O$18,0))))),1,0)</f>
        <v>0</v>
      </c>
      <c r="AI13">
        <f>IF((AND(VLOOKUP(AI$1,main!$A$3:$I$56,5,FALSE)-VLOOKUP($A13,main!$A$3:$I$56,6,FALSE)&gt;=(VLOOKUP(VLOOKUP(AI$1,main!$A$3:$I$56,8,FALSE),main!$K$11:$M$14,2,FALSE)+VLOOKUP(VLOOKUP(AI$1,main!$A$3:$I$56,7,FALSE),main!$K$19:$O$22,MATCH(VLOOKUP($A13,main!$A$3:$I$56,8,FALSE),main!$K$18:$O$18,0))))),1,0)</f>
        <v>0</v>
      </c>
      <c r="AJ13">
        <f>IF((AND(VLOOKUP(AJ$1,main!$A$3:$I$56,5,FALSE)-VLOOKUP($A13,main!$A$3:$I$56,6,FALSE)&gt;=(VLOOKUP(VLOOKUP(AJ$1,main!$A$3:$I$56,8,FALSE),main!$K$11:$M$14,2,FALSE)+VLOOKUP(VLOOKUP(AJ$1,main!$A$3:$I$56,7,FALSE),main!$K$19:$O$22,MATCH(VLOOKUP($A13,main!$A$3:$I$56,8,FALSE),main!$K$18:$O$18,0))))),1,0)</f>
        <v>0</v>
      </c>
      <c r="AK13">
        <f>IF((AND(VLOOKUP(AK$1,main!$A$3:$I$56,5,FALSE)-VLOOKUP($A13,main!$A$3:$I$56,6,FALSE)&gt;=(VLOOKUP(VLOOKUP(AK$1,main!$A$3:$I$56,8,FALSE),main!$K$11:$M$14,2,FALSE)+VLOOKUP(VLOOKUP(AK$1,main!$A$3:$I$56,7,FALSE),main!$K$19:$O$22,MATCH(VLOOKUP($A13,main!$A$3:$I$56,8,FALSE),main!$K$18:$O$18,0))))),1,0)</f>
        <v>1</v>
      </c>
      <c r="AL13">
        <f>IF((AND(VLOOKUP(AL$1,main!$A$3:$I$56,5,FALSE)-VLOOKUP($A13,main!$A$3:$I$56,6,FALSE)&gt;=(VLOOKUP(VLOOKUP(AL$1,main!$A$3:$I$56,8,FALSE),main!$K$11:$M$14,2,FALSE)+VLOOKUP(VLOOKUP(AL$1,main!$A$3:$I$56,7,FALSE),main!$K$19:$O$22,MATCH(VLOOKUP($A13,main!$A$3:$I$56,8,FALSE),main!$K$18:$O$18,0))))),1,0)</f>
        <v>0</v>
      </c>
      <c r="AM13">
        <f>IF((AND(VLOOKUP(AM$1,main!$A$3:$I$56,5,FALSE)-VLOOKUP($A13,main!$A$3:$I$56,6,FALSE)&gt;=(VLOOKUP(VLOOKUP(AM$1,main!$A$3:$I$56,8,FALSE),main!$K$11:$M$14,2,FALSE)+VLOOKUP(VLOOKUP(AM$1,main!$A$3:$I$56,7,FALSE),main!$K$19:$O$22,MATCH(VLOOKUP($A13,main!$A$3:$I$56,8,FALSE),main!$K$18:$O$18,0))))),1,0)</f>
        <v>0</v>
      </c>
      <c r="AN13">
        <f>IF((AND(VLOOKUP(AN$1,main!$A$3:$I$56,5,FALSE)-VLOOKUP($A13,main!$A$3:$I$56,6,FALSE)&gt;=(VLOOKUP(VLOOKUP(AN$1,main!$A$3:$I$56,8,FALSE),main!$K$11:$M$14,2,FALSE)+VLOOKUP(VLOOKUP(AN$1,main!$A$3:$I$56,7,FALSE),main!$K$19:$O$22,MATCH(VLOOKUP($A13,main!$A$3:$I$56,8,FALSE),main!$K$18:$O$18,0))))),1,0)</f>
        <v>0</v>
      </c>
      <c r="AO13">
        <f>IF((AND(VLOOKUP(AO$1,main!$A$3:$I$56,5,FALSE)-VLOOKUP($A13,main!$A$3:$I$56,6,FALSE)&gt;=(VLOOKUP(VLOOKUP(AO$1,main!$A$3:$I$56,8,FALSE),main!$K$11:$M$14,2,FALSE)+VLOOKUP(VLOOKUP(AO$1,main!$A$3:$I$56,7,FALSE),main!$K$19:$O$22,MATCH(VLOOKUP($A13,main!$A$3:$I$56,8,FALSE),main!$K$18:$O$18,0))))),1,0)</f>
        <v>1</v>
      </c>
      <c r="AP13">
        <f>IF((AND(VLOOKUP(AP$1,main!$A$3:$I$56,5,FALSE)-VLOOKUP($A13,main!$A$3:$I$56,6,FALSE)&gt;=(VLOOKUP(VLOOKUP(AP$1,main!$A$3:$I$56,8,FALSE),main!$K$11:$M$14,2,FALSE)+VLOOKUP(VLOOKUP(AP$1,main!$A$3:$I$56,7,FALSE),main!$K$19:$O$22,MATCH(VLOOKUP($A13,main!$A$3:$I$56,8,FALSE),main!$K$18:$O$18,0))))),1,0)</f>
        <v>0</v>
      </c>
      <c r="AQ13">
        <f>IF((AND(VLOOKUP(AQ$1,main!$A$3:$I$56,5,FALSE)-VLOOKUP($A13,main!$A$3:$I$56,6,FALSE)&gt;=(VLOOKUP(VLOOKUP(AQ$1,main!$A$3:$I$56,8,FALSE),main!$K$11:$M$14,2,FALSE)+VLOOKUP(VLOOKUP(AQ$1,main!$A$3:$I$56,7,FALSE),main!$K$19:$O$22,MATCH(VLOOKUP($A13,main!$A$3:$I$56,8,FALSE),main!$K$18:$O$18,0))))),1,0)</f>
        <v>0</v>
      </c>
      <c r="AR13">
        <f>IF((AND(VLOOKUP(AR$1,main!$A$3:$I$56,5,FALSE)-VLOOKUP($A13,main!$A$3:$I$56,6,FALSE)&gt;=(VLOOKUP(VLOOKUP(AR$1,main!$A$3:$I$56,8,FALSE),main!$K$11:$M$14,2,FALSE)+VLOOKUP(VLOOKUP(AR$1,main!$A$3:$I$56,7,FALSE),main!$K$19:$O$22,MATCH(VLOOKUP($A13,main!$A$3:$I$56,8,FALSE),main!$K$18:$O$18,0))))),1,0)</f>
        <v>0</v>
      </c>
      <c r="AS13">
        <f>IF((AND(VLOOKUP(AS$1,main!$A$3:$I$56,5,FALSE)-VLOOKUP($A13,main!$A$3:$I$56,6,FALSE)&gt;=(VLOOKUP(VLOOKUP(AS$1,main!$A$3:$I$56,8,FALSE),main!$K$11:$M$14,2,FALSE)+VLOOKUP(VLOOKUP(AS$1,main!$A$3:$I$56,7,FALSE),main!$K$19:$O$22,MATCH(VLOOKUP($A13,main!$A$3:$I$56,8,FALSE),main!$K$18:$O$18,0))))),1,0)</f>
        <v>0</v>
      </c>
      <c r="AT13">
        <f>IF((AND(VLOOKUP(AT$1,main!$A$3:$I$56,5,FALSE)-VLOOKUP($A13,main!$A$3:$I$56,6,FALSE)&gt;=(VLOOKUP(VLOOKUP(AT$1,main!$A$3:$I$56,8,FALSE),main!$K$11:$M$14,2,FALSE)+VLOOKUP(VLOOKUP(AT$1,main!$A$3:$I$56,7,FALSE),main!$K$19:$O$22,MATCH(VLOOKUP($A13,main!$A$3:$I$56,8,FALSE),main!$K$18:$O$18,0))))),1,0)</f>
        <v>0</v>
      </c>
      <c r="AU13">
        <f>IF((AND(VLOOKUP(AU$1,main!$A$3:$I$56,5,FALSE)-VLOOKUP($A13,main!$A$3:$I$56,6,FALSE)&gt;=(VLOOKUP(VLOOKUP(AU$1,main!$A$3:$I$56,8,FALSE),main!$K$11:$M$14,2,FALSE)+VLOOKUP(VLOOKUP(AU$1,main!$A$3:$I$56,7,FALSE),main!$K$19:$O$22,MATCH(VLOOKUP($A13,main!$A$3:$I$56,8,FALSE),main!$K$18:$O$18,0))))),1,0)</f>
        <v>0</v>
      </c>
      <c r="AV13">
        <f>IF((AND(VLOOKUP(AV$1,main!$A$3:$I$56,5,FALSE)-VLOOKUP($A13,main!$A$3:$I$56,6,FALSE)&gt;=(VLOOKUP(VLOOKUP(AV$1,main!$A$3:$I$56,8,FALSE),main!$K$11:$M$14,2,FALSE)+VLOOKUP(VLOOKUP(AV$1,main!$A$3:$I$56,7,FALSE),main!$K$19:$O$22,MATCH(VLOOKUP($A13,main!$A$3:$I$56,8,FALSE),main!$K$18:$O$18,0))))),1,0)</f>
        <v>0</v>
      </c>
      <c r="AW13">
        <f>IF((AND(VLOOKUP(AW$1,main!$A$3:$I$56,5,FALSE)-VLOOKUP($A13,main!$A$3:$I$56,6,FALSE)&gt;=(VLOOKUP(VLOOKUP(AW$1,main!$A$3:$I$56,8,FALSE),main!$K$11:$M$14,2,FALSE)+VLOOKUP(VLOOKUP(AW$1,main!$A$3:$I$56,7,FALSE),main!$K$19:$O$22,MATCH(VLOOKUP($A13,main!$A$3:$I$56,8,FALSE),main!$K$18:$O$18,0))))),1,0)</f>
        <v>0</v>
      </c>
      <c r="AX13">
        <f>IF((AND(VLOOKUP(AX$1,main!$A$3:$I$56,5,FALSE)-VLOOKUP($A13,main!$A$3:$I$56,6,FALSE)&gt;=(VLOOKUP(VLOOKUP(AX$1,main!$A$3:$I$56,8,FALSE),main!$K$11:$M$14,2,FALSE)+VLOOKUP(VLOOKUP(AX$1,main!$A$3:$I$56,7,FALSE),main!$K$19:$O$22,MATCH(VLOOKUP($A13,main!$A$3:$I$56,8,FALSE),main!$K$18:$O$18,0))))),1,0)</f>
        <v>1</v>
      </c>
      <c r="AY13">
        <f>IF((AND(VLOOKUP(AY$1,main!$A$3:$I$56,5,FALSE)-VLOOKUP($A13,main!$A$3:$I$56,6,FALSE)&gt;=(VLOOKUP(VLOOKUP(AY$1,main!$A$3:$I$56,8,FALSE),main!$K$11:$M$14,2,FALSE)+VLOOKUP(VLOOKUP(AY$1,main!$A$3:$I$56,7,FALSE),main!$K$19:$O$22,MATCH(VLOOKUP($A13,main!$A$3:$I$56,8,FALSE),main!$K$18:$O$18,0))))),1,0)</f>
        <v>1</v>
      </c>
      <c r="AZ13">
        <f>IF((AND(VLOOKUP(AZ$1,main!$A$3:$I$56,5,FALSE)-VLOOKUP($A13,main!$A$3:$I$56,6,FALSE)&gt;=(VLOOKUP(VLOOKUP(AZ$1,main!$A$3:$I$56,8,FALSE),main!$K$11:$M$14,2,FALSE)+VLOOKUP(VLOOKUP(AZ$1,main!$A$3:$I$56,7,FALSE),main!$K$19:$O$22,MATCH(VLOOKUP($A13,main!$A$3:$I$56,8,FALSE),main!$K$18:$O$18,0))))),1,0)</f>
        <v>0</v>
      </c>
      <c r="BA13">
        <f>IF((AND(VLOOKUP(BA$1,main!$A$3:$I$56,5,FALSE)-VLOOKUP($A13,main!$A$3:$I$56,6,FALSE)&gt;=(VLOOKUP(VLOOKUP(BA$1,main!$A$3:$I$56,8,FALSE),main!$K$11:$M$14,2,FALSE)+VLOOKUP(VLOOKUP(BA$1,main!$A$3:$I$56,7,FALSE),main!$K$19:$O$22,MATCH(VLOOKUP($A13,main!$A$3:$I$56,8,FALSE),main!$K$18:$O$18,0))))),1,0)</f>
        <v>0</v>
      </c>
      <c r="BB13">
        <f>IF((AND(VLOOKUP(BB$1,main!$A$3:$I$56,5,FALSE)-VLOOKUP($A13,main!$A$3:$I$56,6,FALSE)&gt;=(VLOOKUP(VLOOKUP(BB$1,main!$A$3:$I$56,8,FALSE),main!$K$11:$M$14,2,FALSE)+VLOOKUP(VLOOKUP(BB$1,main!$A$3:$I$56,7,FALSE),main!$K$19:$O$22,MATCH(VLOOKUP($A13,main!$A$3:$I$56,8,FALSE),main!$K$18:$O$18,0))))),1,0)</f>
        <v>0</v>
      </c>
      <c r="BC13">
        <f>IF((AND(VLOOKUP(BC$1,main!$A$3:$I$56,5,FALSE)-VLOOKUP($A13,main!$A$3:$I$56,6,FALSE)&gt;=(VLOOKUP(VLOOKUP(BC$1,main!$A$3:$I$56,8,FALSE),main!$K$11:$M$14,2,FALSE)+VLOOKUP(VLOOKUP(BC$1,main!$A$3:$I$56,7,FALSE),main!$K$19:$O$22,MATCH(VLOOKUP($A13,main!$A$3:$I$56,8,FALSE),main!$K$18:$O$18,0))))),1,0)</f>
        <v>0</v>
      </c>
      <c r="BD13">
        <f>IF((AND(VLOOKUP(BD$1,main!$A$3:$I$56,5,FALSE)-VLOOKUP($A13,main!$A$3:$I$56,6,FALSE)&gt;=(VLOOKUP(VLOOKUP(BD$1,main!$A$3:$I$56,8,FALSE),main!$K$11:$M$14,2,FALSE)+VLOOKUP(VLOOKUP(BD$1,main!$A$3:$I$56,7,FALSE),main!$K$19:$O$22,MATCH(VLOOKUP($A13,main!$A$3:$I$56,8,FALSE),main!$K$18:$O$18,0))))),1,0)</f>
        <v>0</v>
      </c>
    </row>
    <row r="14" spans="1:56" x14ac:dyDescent="0.25">
      <c r="A14">
        <f t="shared" si="0"/>
        <v>12</v>
      </c>
      <c r="B14">
        <v>1</v>
      </c>
      <c r="C14">
        <f>IF((AND(VLOOKUP(C$1,main!$A$3:$I$56,5,FALSE)-VLOOKUP($A14,main!$A$3:$I$56,6,FALSE)&gt;=(VLOOKUP(VLOOKUP(C$1,main!$A$3:$I$56,8,FALSE),main!$K$11:$M$14,2,FALSE)+VLOOKUP(VLOOKUP(C$1,main!$A$3:$I$56,7,FALSE),main!$K$19:$O$22,MATCH(VLOOKUP($A14,main!$A$3:$I$56,8,FALSE),main!$K$18:$O$18,0))))),1,0)</f>
        <v>0</v>
      </c>
      <c r="D14">
        <f>IF((AND(VLOOKUP(D$1,main!$A$3:$I$56,5,FALSE)-VLOOKUP($A14,main!$A$3:$I$56,6,FALSE)&gt;=(VLOOKUP(VLOOKUP(D$1,main!$A$3:$I$56,8,FALSE),main!$K$11:$M$14,2,FALSE)+VLOOKUP(VLOOKUP(D$1,main!$A$3:$I$56,7,FALSE),main!$K$19:$O$22,MATCH(VLOOKUP($A14,main!$A$3:$I$56,8,FALSE),main!$K$18:$O$18,0))))),1,0)</f>
        <v>0</v>
      </c>
      <c r="E14">
        <f>IF((AND(VLOOKUP(E$1,main!$A$3:$I$56,5,FALSE)-VLOOKUP($A14,main!$A$3:$I$56,6,FALSE)&gt;=(VLOOKUP(VLOOKUP(E$1,main!$A$3:$I$56,8,FALSE),main!$K$11:$M$14,2,FALSE)+VLOOKUP(VLOOKUP(E$1,main!$A$3:$I$56,7,FALSE),main!$K$19:$O$22,MATCH(VLOOKUP($A14,main!$A$3:$I$56,8,FALSE),main!$K$18:$O$18,0))))),1,0)</f>
        <v>0</v>
      </c>
      <c r="F14">
        <f>IF((AND(VLOOKUP(F$1,main!$A$3:$I$56,5,FALSE)-VLOOKUP($A14,main!$A$3:$I$56,6,FALSE)&gt;=(VLOOKUP(VLOOKUP(F$1,main!$A$3:$I$56,8,FALSE),main!$K$11:$M$14,2,FALSE)+VLOOKUP(VLOOKUP(F$1,main!$A$3:$I$56,7,FALSE),main!$K$19:$O$22,MATCH(VLOOKUP($A14,main!$A$3:$I$56,8,FALSE),main!$K$18:$O$18,0))))),1,0)</f>
        <v>0</v>
      </c>
      <c r="G14">
        <f>IF((AND(VLOOKUP(G$1,main!$A$3:$I$56,5,FALSE)-VLOOKUP($A14,main!$A$3:$I$56,6,FALSE)&gt;=(VLOOKUP(VLOOKUP(G$1,main!$A$3:$I$56,8,FALSE),main!$K$11:$M$14,2,FALSE)+VLOOKUP(VLOOKUP(G$1,main!$A$3:$I$56,7,FALSE),main!$K$19:$O$22,MATCH(VLOOKUP($A14,main!$A$3:$I$56,8,FALSE),main!$K$18:$O$18,0))))),1,0)</f>
        <v>0</v>
      </c>
      <c r="H14">
        <f>IF((AND(VLOOKUP(H$1,main!$A$3:$I$56,5,FALSE)-VLOOKUP($A14,main!$A$3:$I$56,6,FALSE)&gt;=(VLOOKUP(VLOOKUP(H$1,main!$A$3:$I$56,8,FALSE),main!$K$11:$M$14,2,FALSE)+VLOOKUP(VLOOKUP(H$1,main!$A$3:$I$56,7,FALSE),main!$K$19:$O$22,MATCH(VLOOKUP($A14,main!$A$3:$I$56,8,FALSE),main!$K$18:$O$18,0))))),1,0)</f>
        <v>0</v>
      </c>
      <c r="I14">
        <f>IF((AND(VLOOKUP(I$1,main!$A$3:$I$56,5,FALSE)-VLOOKUP($A14,main!$A$3:$I$56,6,FALSE)&gt;=(VLOOKUP(VLOOKUP(I$1,main!$A$3:$I$56,8,FALSE),main!$K$11:$M$14,2,FALSE)+VLOOKUP(VLOOKUP(I$1,main!$A$3:$I$56,7,FALSE),main!$K$19:$O$22,MATCH(VLOOKUP($A14,main!$A$3:$I$56,8,FALSE),main!$K$18:$O$18,0))))),1,0)</f>
        <v>0</v>
      </c>
      <c r="J14">
        <f>IF((AND(VLOOKUP(J$1,main!$A$3:$I$56,5,FALSE)-VLOOKUP($A14,main!$A$3:$I$56,6,FALSE)&gt;=(VLOOKUP(VLOOKUP(J$1,main!$A$3:$I$56,8,FALSE),main!$K$11:$M$14,2,FALSE)+VLOOKUP(VLOOKUP(J$1,main!$A$3:$I$56,7,FALSE),main!$K$19:$O$22,MATCH(VLOOKUP($A14,main!$A$3:$I$56,8,FALSE),main!$K$18:$O$18,0))))),1,0)</f>
        <v>0</v>
      </c>
      <c r="K14">
        <f>IF((AND(VLOOKUP(K$1,main!$A$3:$I$56,5,FALSE)-VLOOKUP($A14,main!$A$3:$I$56,6,FALSE)&gt;=(VLOOKUP(VLOOKUP(K$1,main!$A$3:$I$56,8,FALSE),main!$K$11:$M$14,2,FALSE)+VLOOKUP(VLOOKUP(K$1,main!$A$3:$I$56,7,FALSE),main!$K$19:$O$22,MATCH(VLOOKUP($A14,main!$A$3:$I$56,8,FALSE),main!$K$18:$O$18,0))))),1,0)</f>
        <v>0</v>
      </c>
      <c r="L14">
        <f>IF((AND(VLOOKUP(L$1,main!$A$3:$I$56,5,FALSE)-VLOOKUP($A14,main!$A$3:$I$56,6,FALSE)&gt;=(VLOOKUP(VLOOKUP(L$1,main!$A$3:$I$56,8,FALSE),main!$K$11:$M$14,2,FALSE)+VLOOKUP(VLOOKUP(L$1,main!$A$3:$I$56,7,FALSE),main!$K$19:$O$22,MATCH(VLOOKUP($A14,main!$A$3:$I$56,8,FALSE),main!$K$18:$O$18,0))))),1,0)</f>
        <v>0</v>
      </c>
      <c r="M14">
        <f>IF((AND(VLOOKUP(M$1,main!$A$3:$I$56,5,FALSE)-VLOOKUP($A14,main!$A$3:$I$56,6,FALSE)&gt;=(VLOOKUP(VLOOKUP(M$1,main!$A$3:$I$56,8,FALSE),main!$K$11:$M$14,2,FALSE)+VLOOKUP(VLOOKUP(M$1,main!$A$3:$I$56,7,FALSE),main!$K$19:$O$22,MATCH(VLOOKUP($A14,main!$A$3:$I$56,8,FALSE),main!$K$18:$O$18,0))))),1,0)</f>
        <v>0</v>
      </c>
      <c r="N14">
        <f>IF((AND(VLOOKUP(N$1,main!$A$3:$I$56,5,FALSE)-VLOOKUP($A14,main!$A$3:$I$56,6,FALSE)&gt;=(VLOOKUP(VLOOKUP(N$1,main!$A$3:$I$56,8,FALSE),main!$K$11:$M$14,2,FALSE)+VLOOKUP(VLOOKUP(N$1,main!$A$3:$I$56,7,FALSE),main!$K$19:$O$22,MATCH(VLOOKUP($A14,main!$A$3:$I$56,8,FALSE),main!$K$18:$O$18,0))))),1,0)</f>
        <v>0</v>
      </c>
      <c r="O14">
        <f>IF((AND(VLOOKUP(O$1,main!$A$3:$I$56,5,FALSE)-VLOOKUP($A14,main!$A$3:$I$56,6,FALSE)&gt;=(VLOOKUP(VLOOKUP(O$1,main!$A$3:$I$56,8,FALSE),main!$K$11:$M$14,2,FALSE)+VLOOKUP(VLOOKUP(O$1,main!$A$3:$I$56,7,FALSE),main!$K$19:$O$22,MATCH(VLOOKUP($A14,main!$A$3:$I$56,8,FALSE),main!$K$18:$O$18,0))))),1,0)</f>
        <v>0</v>
      </c>
      <c r="P14">
        <f>IF((AND(VLOOKUP(P$1,main!$A$3:$I$56,5,FALSE)-VLOOKUP($A14,main!$A$3:$I$56,6,FALSE)&gt;=(VLOOKUP(VLOOKUP(P$1,main!$A$3:$I$56,8,FALSE),main!$K$11:$M$14,2,FALSE)+VLOOKUP(VLOOKUP(P$1,main!$A$3:$I$56,7,FALSE),main!$K$19:$O$22,MATCH(VLOOKUP($A14,main!$A$3:$I$56,8,FALSE),main!$K$18:$O$18,0))))),1,0)</f>
        <v>0</v>
      </c>
      <c r="Q14">
        <f>IF((AND(VLOOKUP(Q$1,main!$A$3:$I$56,5,FALSE)-VLOOKUP($A14,main!$A$3:$I$56,6,FALSE)&gt;=(VLOOKUP(VLOOKUP(Q$1,main!$A$3:$I$56,8,FALSE),main!$K$11:$M$14,2,FALSE)+VLOOKUP(VLOOKUP(Q$1,main!$A$3:$I$56,7,FALSE),main!$K$19:$O$22,MATCH(VLOOKUP($A14,main!$A$3:$I$56,8,FALSE),main!$K$18:$O$18,0))))),1,0)</f>
        <v>0</v>
      </c>
      <c r="R14">
        <f>IF((AND(VLOOKUP(R$1,main!$A$3:$I$56,5,FALSE)-VLOOKUP($A14,main!$A$3:$I$56,6,FALSE)&gt;=(VLOOKUP(VLOOKUP(R$1,main!$A$3:$I$56,8,FALSE),main!$K$11:$M$14,2,FALSE)+VLOOKUP(VLOOKUP(R$1,main!$A$3:$I$56,7,FALSE),main!$K$19:$O$22,MATCH(VLOOKUP($A14,main!$A$3:$I$56,8,FALSE),main!$K$18:$O$18,0))))),1,0)</f>
        <v>0</v>
      </c>
      <c r="S14">
        <f>IF((AND(VLOOKUP(S$1,main!$A$3:$I$56,5,FALSE)-VLOOKUP($A14,main!$A$3:$I$56,6,FALSE)&gt;=(VLOOKUP(VLOOKUP(S$1,main!$A$3:$I$56,8,FALSE),main!$K$11:$M$14,2,FALSE)+VLOOKUP(VLOOKUP(S$1,main!$A$3:$I$56,7,FALSE),main!$K$19:$O$22,MATCH(VLOOKUP($A14,main!$A$3:$I$56,8,FALSE),main!$K$18:$O$18,0))))),1,0)</f>
        <v>0</v>
      </c>
      <c r="T14">
        <f>IF((AND(VLOOKUP(T$1,main!$A$3:$I$56,5,FALSE)-VLOOKUP($A14,main!$A$3:$I$56,6,FALSE)&gt;=(VLOOKUP(VLOOKUP(T$1,main!$A$3:$I$56,8,FALSE),main!$K$11:$M$14,2,FALSE)+VLOOKUP(VLOOKUP(T$1,main!$A$3:$I$56,7,FALSE),main!$K$19:$O$22,MATCH(VLOOKUP($A14,main!$A$3:$I$56,8,FALSE),main!$K$18:$O$18,0))))),1,0)</f>
        <v>0</v>
      </c>
      <c r="U14">
        <f>IF((AND(VLOOKUP(U$1,main!$A$3:$I$56,5,FALSE)-VLOOKUP($A14,main!$A$3:$I$56,6,FALSE)&gt;=(VLOOKUP(VLOOKUP(U$1,main!$A$3:$I$56,8,FALSE),main!$K$11:$M$14,2,FALSE)+VLOOKUP(VLOOKUP(U$1,main!$A$3:$I$56,7,FALSE),main!$K$19:$O$22,MATCH(VLOOKUP($A14,main!$A$3:$I$56,8,FALSE),main!$K$18:$O$18,0))))),1,0)</f>
        <v>0</v>
      </c>
      <c r="V14">
        <f>IF((AND(VLOOKUP(V$1,main!$A$3:$I$56,5,FALSE)-VLOOKUP($A14,main!$A$3:$I$56,6,FALSE)&gt;=(VLOOKUP(VLOOKUP(V$1,main!$A$3:$I$56,8,FALSE),main!$K$11:$M$14,2,FALSE)+VLOOKUP(VLOOKUP(V$1,main!$A$3:$I$56,7,FALSE),main!$K$19:$O$22,MATCH(VLOOKUP($A14,main!$A$3:$I$56,8,FALSE),main!$K$18:$O$18,0))))),1,0)</f>
        <v>0</v>
      </c>
      <c r="W14">
        <f>IF((AND(VLOOKUP(W$1,main!$A$3:$I$56,5,FALSE)-VLOOKUP($A14,main!$A$3:$I$56,6,FALSE)&gt;=(VLOOKUP(VLOOKUP(W$1,main!$A$3:$I$56,8,FALSE),main!$K$11:$M$14,2,FALSE)+VLOOKUP(VLOOKUP(W$1,main!$A$3:$I$56,7,FALSE),main!$K$19:$O$22,MATCH(VLOOKUP($A14,main!$A$3:$I$56,8,FALSE),main!$K$18:$O$18,0))))),1,0)</f>
        <v>0</v>
      </c>
      <c r="X14">
        <f>IF((AND(VLOOKUP(X$1,main!$A$3:$I$56,5,FALSE)-VLOOKUP($A14,main!$A$3:$I$56,6,FALSE)&gt;=(VLOOKUP(VLOOKUP(X$1,main!$A$3:$I$56,8,FALSE),main!$K$11:$M$14,2,FALSE)+VLOOKUP(VLOOKUP(X$1,main!$A$3:$I$56,7,FALSE),main!$K$19:$O$22,MATCH(VLOOKUP($A14,main!$A$3:$I$56,8,FALSE),main!$K$18:$O$18,0))))),1,0)</f>
        <v>0</v>
      </c>
      <c r="Y14">
        <f>IF((AND(VLOOKUP(Y$1,main!$A$3:$I$56,5,FALSE)-VLOOKUP($A14,main!$A$3:$I$56,6,FALSE)&gt;=(VLOOKUP(VLOOKUP(Y$1,main!$A$3:$I$56,8,FALSE),main!$K$11:$M$14,2,FALSE)+VLOOKUP(VLOOKUP(Y$1,main!$A$3:$I$56,7,FALSE),main!$K$19:$O$22,MATCH(VLOOKUP($A14,main!$A$3:$I$56,8,FALSE),main!$K$18:$O$18,0))))),1,0)</f>
        <v>0</v>
      </c>
      <c r="Z14">
        <f>IF((AND(VLOOKUP(Z$1,main!$A$3:$I$56,5,FALSE)-VLOOKUP($A14,main!$A$3:$I$56,6,FALSE)&gt;=(VLOOKUP(VLOOKUP(Z$1,main!$A$3:$I$56,8,FALSE),main!$K$11:$M$14,2,FALSE)+VLOOKUP(VLOOKUP(Z$1,main!$A$3:$I$56,7,FALSE),main!$K$19:$O$22,MATCH(VLOOKUP($A14,main!$A$3:$I$56,8,FALSE),main!$K$18:$O$18,0))))),1,0)</f>
        <v>0</v>
      </c>
      <c r="AA14">
        <f>IF((AND(VLOOKUP(AA$1,main!$A$3:$I$56,5,FALSE)-VLOOKUP($A14,main!$A$3:$I$56,6,FALSE)&gt;=(VLOOKUP(VLOOKUP(AA$1,main!$A$3:$I$56,8,FALSE),main!$K$11:$M$14,2,FALSE)+VLOOKUP(VLOOKUP(AA$1,main!$A$3:$I$56,7,FALSE),main!$K$19:$O$22,MATCH(VLOOKUP($A14,main!$A$3:$I$56,8,FALSE),main!$K$18:$O$18,0))))),1,0)</f>
        <v>0</v>
      </c>
      <c r="AB14">
        <f>IF((AND(VLOOKUP(AB$1,main!$A$3:$I$56,5,FALSE)-VLOOKUP($A14,main!$A$3:$I$56,6,FALSE)&gt;=(VLOOKUP(VLOOKUP(AB$1,main!$A$3:$I$56,8,FALSE),main!$K$11:$M$14,2,FALSE)+VLOOKUP(VLOOKUP(AB$1,main!$A$3:$I$56,7,FALSE),main!$K$19:$O$22,MATCH(VLOOKUP($A14,main!$A$3:$I$56,8,FALSE),main!$K$18:$O$18,0))))),1,0)</f>
        <v>0</v>
      </c>
      <c r="AC14">
        <f>IF((AND(VLOOKUP(AC$1,main!$A$3:$I$56,5,FALSE)-VLOOKUP($A14,main!$A$3:$I$56,6,FALSE)&gt;=(VLOOKUP(VLOOKUP(AC$1,main!$A$3:$I$56,8,FALSE),main!$K$11:$M$14,2,FALSE)+VLOOKUP(VLOOKUP(AC$1,main!$A$3:$I$56,7,FALSE),main!$K$19:$O$22,MATCH(VLOOKUP($A14,main!$A$3:$I$56,8,FALSE),main!$K$18:$O$18,0))))),1,0)</f>
        <v>0</v>
      </c>
      <c r="AD14">
        <f>IF((AND(VLOOKUP(AD$1,main!$A$3:$I$56,5,FALSE)-VLOOKUP($A14,main!$A$3:$I$56,6,FALSE)&gt;=(VLOOKUP(VLOOKUP(AD$1,main!$A$3:$I$56,8,FALSE),main!$K$11:$M$14,2,FALSE)+VLOOKUP(VLOOKUP(AD$1,main!$A$3:$I$56,7,FALSE),main!$K$19:$O$22,MATCH(VLOOKUP($A14,main!$A$3:$I$56,8,FALSE),main!$K$18:$O$18,0))))),1,0)</f>
        <v>0</v>
      </c>
      <c r="AE14">
        <f>IF((AND(VLOOKUP(AE$1,main!$A$3:$I$56,5,FALSE)-VLOOKUP($A14,main!$A$3:$I$56,6,FALSE)&gt;=(VLOOKUP(VLOOKUP(AE$1,main!$A$3:$I$56,8,FALSE),main!$K$11:$M$14,2,FALSE)+VLOOKUP(VLOOKUP(AE$1,main!$A$3:$I$56,7,FALSE),main!$K$19:$O$22,MATCH(VLOOKUP($A14,main!$A$3:$I$56,8,FALSE),main!$K$18:$O$18,0))))),1,0)</f>
        <v>0</v>
      </c>
      <c r="AF14">
        <f>IF((AND(VLOOKUP(AF$1,main!$A$3:$I$56,5,FALSE)-VLOOKUP($A14,main!$A$3:$I$56,6,FALSE)&gt;=(VLOOKUP(VLOOKUP(AF$1,main!$A$3:$I$56,8,FALSE),main!$K$11:$M$14,2,FALSE)+VLOOKUP(VLOOKUP(AF$1,main!$A$3:$I$56,7,FALSE),main!$K$19:$O$22,MATCH(VLOOKUP($A14,main!$A$3:$I$56,8,FALSE),main!$K$18:$O$18,0))))),1,0)</f>
        <v>0</v>
      </c>
      <c r="AG14">
        <f>IF((AND(VLOOKUP(AG$1,main!$A$3:$I$56,5,FALSE)-VLOOKUP($A14,main!$A$3:$I$56,6,FALSE)&gt;=(VLOOKUP(VLOOKUP(AG$1,main!$A$3:$I$56,8,FALSE),main!$K$11:$M$14,2,FALSE)+VLOOKUP(VLOOKUP(AG$1,main!$A$3:$I$56,7,FALSE),main!$K$19:$O$22,MATCH(VLOOKUP($A14,main!$A$3:$I$56,8,FALSE),main!$K$18:$O$18,0))))),1,0)</f>
        <v>0</v>
      </c>
      <c r="AH14">
        <f>IF((AND(VLOOKUP(AH$1,main!$A$3:$I$56,5,FALSE)-VLOOKUP($A14,main!$A$3:$I$56,6,FALSE)&gt;=(VLOOKUP(VLOOKUP(AH$1,main!$A$3:$I$56,8,FALSE),main!$K$11:$M$14,2,FALSE)+VLOOKUP(VLOOKUP(AH$1,main!$A$3:$I$56,7,FALSE),main!$K$19:$O$22,MATCH(VLOOKUP($A14,main!$A$3:$I$56,8,FALSE),main!$K$18:$O$18,0))))),1,0)</f>
        <v>0</v>
      </c>
      <c r="AI14">
        <f>IF((AND(VLOOKUP(AI$1,main!$A$3:$I$56,5,FALSE)-VLOOKUP($A14,main!$A$3:$I$56,6,FALSE)&gt;=(VLOOKUP(VLOOKUP(AI$1,main!$A$3:$I$56,8,FALSE),main!$K$11:$M$14,2,FALSE)+VLOOKUP(VLOOKUP(AI$1,main!$A$3:$I$56,7,FALSE),main!$K$19:$O$22,MATCH(VLOOKUP($A14,main!$A$3:$I$56,8,FALSE),main!$K$18:$O$18,0))))),1,0)</f>
        <v>0</v>
      </c>
      <c r="AJ14">
        <f>IF((AND(VLOOKUP(AJ$1,main!$A$3:$I$56,5,FALSE)-VLOOKUP($A14,main!$A$3:$I$56,6,FALSE)&gt;=(VLOOKUP(VLOOKUP(AJ$1,main!$A$3:$I$56,8,FALSE),main!$K$11:$M$14,2,FALSE)+VLOOKUP(VLOOKUP(AJ$1,main!$A$3:$I$56,7,FALSE),main!$K$19:$O$22,MATCH(VLOOKUP($A14,main!$A$3:$I$56,8,FALSE),main!$K$18:$O$18,0))))),1,0)</f>
        <v>0</v>
      </c>
      <c r="AK14">
        <f>IF((AND(VLOOKUP(AK$1,main!$A$3:$I$56,5,FALSE)-VLOOKUP($A14,main!$A$3:$I$56,6,FALSE)&gt;=(VLOOKUP(VLOOKUP(AK$1,main!$A$3:$I$56,8,FALSE),main!$K$11:$M$14,2,FALSE)+VLOOKUP(VLOOKUP(AK$1,main!$A$3:$I$56,7,FALSE),main!$K$19:$O$22,MATCH(VLOOKUP($A14,main!$A$3:$I$56,8,FALSE),main!$K$18:$O$18,0))))),1,0)</f>
        <v>0</v>
      </c>
      <c r="AL14">
        <f>IF((AND(VLOOKUP(AL$1,main!$A$3:$I$56,5,FALSE)-VLOOKUP($A14,main!$A$3:$I$56,6,FALSE)&gt;=(VLOOKUP(VLOOKUP(AL$1,main!$A$3:$I$56,8,FALSE),main!$K$11:$M$14,2,FALSE)+VLOOKUP(VLOOKUP(AL$1,main!$A$3:$I$56,7,FALSE),main!$K$19:$O$22,MATCH(VLOOKUP($A14,main!$A$3:$I$56,8,FALSE),main!$K$18:$O$18,0))))),1,0)</f>
        <v>0</v>
      </c>
      <c r="AM14">
        <f>IF((AND(VLOOKUP(AM$1,main!$A$3:$I$56,5,FALSE)-VLOOKUP($A14,main!$A$3:$I$56,6,FALSE)&gt;=(VLOOKUP(VLOOKUP(AM$1,main!$A$3:$I$56,8,FALSE),main!$K$11:$M$14,2,FALSE)+VLOOKUP(VLOOKUP(AM$1,main!$A$3:$I$56,7,FALSE),main!$K$19:$O$22,MATCH(VLOOKUP($A14,main!$A$3:$I$56,8,FALSE),main!$K$18:$O$18,0))))),1,0)</f>
        <v>0</v>
      </c>
      <c r="AN14">
        <f>IF((AND(VLOOKUP(AN$1,main!$A$3:$I$56,5,FALSE)-VLOOKUP($A14,main!$A$3:$I$56,6,FALSE)&gt;=(VLOOKUP(VLOOKUP(AN$1,main!$A$3:$I$56,8,FALSE),main!$K$11:$M$14,2,FALSE)+VLOOKUP(VLOOKUP(AN$1,main!$A$3:$I$56,7,FALSE),main!$K$19:$O$22,MATCH(VLOOKUP($A14,main!$A$3:$I$56,8,FALSE),main!$K$18:$O$18,0))))),1,0)</f>
        <v>0</v>
      </c>
      <c r="AO14">
        <f>IF((AND(VLOOKUP(AO$1,main!$A$3:$I$56,5,FALSE)-VLOOKUP($A14,main!$A$3:$I$56,6,FALSE)&gt;=(VLOOKUP(VLOOKUP(AO$1,main!$A$3:$I$56,8,FALSE),main!$K$11:$M$14,2,FALSE)+VLOOKUP(VLOOKUP(AO$1,main!$A$3:$I$56,7,FALSE),main!$K$19:$O$22,MATCH(VLOOKUP($A14,main!$A$3:$I$56,8,FALSE),main!$K$18:$O$18,0))))),1,0)</f>
        <v>0</v>
      </c>
      <c r="AP14">
        <f>IF((AND(VLOOKUP(AP$1,main!$A$3:$I$56,5,FALSE)-VLOOKUP($A14,main!$A$3:$I$56,6,FALSE)&gt;=(VLOOKUP(VLOOKUP(AP$1,main!$A$3:$I$56,8,FALSE),main!$K$11:$M$14,2,FALSE)+VLOOKUP(VLOOKUP(AP$1,main!$A$3:$I$56,7,FALSE),main!$K$19:$O$22,MATCH(VLOOKUP($A14,main!$A$3:$I$56,8,FALSE),main!$K$18:$O$18,0))))),1,0)</f>
        <v>0</v>
      </c>
      <c r="AQ14">
        <f>IF((AND(VLOOKUP(AQ$1,main!$A$3:$I$56,5,FALSE)-VLOOKUP($A14,main!$A$3:$I$56,6,FALSE)&gt;=(VLOOKUP(VLOOKUP(AQ$1,main!$A$3:$I$56,8,FALSE),main!$K$11:$M$14,2,FALSE)+VLOOKUP(VLOOKUP(AQ$1,main!$A$3:$I$56,7,FALSE),main!$K$19:$O$22,MATCH(VLOOKUP($A14,main!$A$3:$I$56,8,FALSE),main!$K$18:$O$18,0))))),1,0)</f>
        <v>0</v>
      </c>
      <c r="AR14">
        <f>IF((AND(VLOOKUP(AR$1,main!$A$3:$I$56,5,FALSE)-VLOOKUP($A14,main!$A$3:$I$56,6,FALSE)&gt;=(VLOOKUP(VLOOKUP(AR$1,main!$A$3:$I$56,8,FALSE),main!$K$11:$M$14,2,FALSE)+VLOOKUP(VLOOKUP(AR$1,main!$A$3:$I$56,7,FALSE),main!$K$19:$O$22,MATCH(VLOOKUP($A14,main!$A$3:$I$56,8,FALSE),main!$K$18:$O$18,0))))),1,0)</f>
        <v>0</v>
      </c>
      <c r="AS14">
        <f>IF((AND(VLOOKUP(AS$1,main!$A$3:$I$56,5,FALSE)-VLOOKUP($A14,main!$A$3:$I$56,6,FALSE)&gt;=(VLOOKUP(VLOOKUP(AS$1,main!$A$3:$I$56,8,FALSE),main!$K$11:$M$14,2,FALSE)+VLOOKUP(VLOOKUP(AS$1,main!$A$3:$I$56,7,FALSE),main!$K$19:$O$22,MATCH(VLOOKUP($A14,main!$A$3:$I$56,8,FALSE),main!$K$18:$O$18,0))))),1,0)</f>
        <v>0</v>
      </c>
      <c r="AT14">
        <f>IF((AND(VLOOKUP(AT$1,main!$A$3:$I$56,5,FALSE)-VLOOKUP($A14,main!$A$3:$I$56,6,FALSE)&gt;=(VLOOKUP(VLOOKUP(AT$1,main!$A$3:$I$56,8,FALSE),main!$K$11:$M$14,2,FALSE)+VLOOKUP(VLOOKUP(AT$1,main!$A$3:$I$56,7,FALSE),main!$K$19:$O$22,MATCH(VLOOKUP($A14,main!$A$3:$I$56,8,FALSE),main!$K$18:$O$18,0))))),1,0)</f>
        <v>0</v>
      </c>
      <c r="AU14">
        <f>IF((AND(VLOOKUP(AU$1,main!$A$3:$I$56,5,FALSE)-VLOOKUP($A14,main!$A$3:$I$56,6,FALSE)&gt;=(VLOOKUP(VLOOKUP(AU$1,main!$A$3:$I$56,8,FALSE),main!$K$11:$M$14,2,FALSE)+VLOOKUP(VLOOKUP(AU$1,main!$A$3:$I$56,7,FALSE),main!$K$19:$O$22,MATCH(VLOOKUP($A14,main!$A$3:$I$56,8,FALSE),main!$K$18:$O$18,0))))),1,0)</f>
        <v>0</v>
      </c>
      <c r="AV14">
        <f>IF((AND(VLOOKUP(AV$1,main!$A$3:$I$56,5,FALSE)-VLOOKUP($A14,main!$A$3:$I$56,6,FALSE)&gt;=(VLOOKUP(VLOOKUP(AV$1,main!$A$3:$I$56,8,FALSE),main!$K$11:$M$14,2,FALSE)+VLOOKUP(VLOOKUP(AV$1,main!$A$3:$I$56,7,FALSE),main!$K$19:$O$22,MATCH(VLOOKUP($A14,main!$A$3:$I$56,8,FALSE),main!$K$18:$O$18,0))))),1,0)</f>
        <v>0</v>
      </c>
      <c r="AW14">
        <f>IF((AND(VLOOKUP(AW$1,main!$A$3:$I$56,5,FALSE)-VLOOKUP($A14,main!$A$3:$I$56,6,FALSE)&gt;=(VLOOKUP(VLOOKUP(AW$1,main!$A$3:$I$56,8,FALSE),main!$K$11:$M$14,2,FALSE)+VLOOKUP(VLOOKUP(AW$1,main!$A$3:$I$56,7,FALSE),main!$K$19:$O$22,MATCH(VLOOKUP($A14,main!$A$3:$I$56,8,FALSE),main!$K$18:$O$18,0))))),1,0)</f>
        <v>0</v>
      </c>
      <c r="AX14">
        <f>IF((AND(VLOOKUP(AX$1,main!$A$3:$I$56,5,FALSE)-VLOOKUP($A14,main!$A$3:$I$56,6,FALSE)&gt;=(VLOOKUP(VLOOKUP(AX$1,main!$A$3:$I$56,8,FALSE),main!$K$11:$M$14,2,FALSE)+VLOOKUP(VLOOKUP(AX$1,main!$A$3:$I$56,7,FALSE),main!$K$19:$O$22,MATCH(VLOOKUP($A14,main!$A$3:$I$56,8,FALSE),main!$K$18:$O$18,0))))),1,0)</f>
        <v>0</v>
      </c>
      <c r="AY14">
        <f>IF((AND(VLOOKUP(AY$1,main!$A$3:$I$56,5,FALSE)-VLOOKUP($A14,main!$A$3:$I$56,6,FALSE)&gt;=(VLOOKUP(VLOOKUP(AY$1,main!$A$3:$I$56,8,FALSE),main!$K$11:$M$14,2,FALSE)+VLOOKUP(VLOOKUP(AY$1,main!$A$3:$I$56,7,FALSE),main!$K$19:$O$22,MATCH(VLOOKUP($A14,main!$A$3:$I$56,8,FALSE),main!$K$18:$O$18,0))))),1,0)</f>
        <v>0</v>
      </c>
      <c r="AZ14">
        <f>IF((AND(VLOOKUP(AZ$1,main!$A$3:$I$56,5,FALSE)-VLOOKUP($A14,main!$A$3:$I$56,6,FALSE)&gt;=(VLOOKUP(VLOOKUP(AZ$1,main!$A$3:$I$56,8,FALSE),main!$K$11:$M$14,2,FALSE)+VLOOKUP(VLOOKUP(AZ$1,main!$A$3:$I$56,7,FALSE),main!$K$19:$O$22,MATCH(VLOOKUP($A14,main!$A$3:$I$56,8,FALSE),main!$K$18:$O$18,0))))),1,0)</f>
        <v>0</v>
      </c>
      <c r="BA14">
        <f>IF((AND(VLOOKUP(BA$1,main!$A$3:$I$56,5,FALSE)-VLOOKUP($A14,main!$A$3:$I$56,6,FALSE)&gt;=(VLOOKUP(VLOOKUP(BA$1,main!$A$3:$I$56,8,FALSE),main!$K$11:$M$14,2,FALSE)+VLOOKUP(VLOOKUP(BA$1,main!$A$3:$I$56,7,FALSE),main!$K$19:$O$22,MATCH(VLOOKUP($A14,main!$A$3:$I$56,8,FALSE),main!$K$18:$O$18,0))))),1,0)</f>
        <v>0</v>
      </c>
      <c r="BB14">
        <f>IF((AND(VLOOKUP(BB$1,main!$A$3:$I$56,5,FALSE)-VLOOKUP($A14,main!$A$3:$I$56,6,FALSE)&gt;=(VLOOKUP(VLOOKUP(BB$1,main!$A$3:$I$56,8,FALSE),main!$K$11:$M$14,2,FALSE)+VLOOKUP(VLOOKUP(BB$1,main!$A$3:$I$56,7,FALSE),main!$K$19:$O$22,MATCH(VLOOKUP($A14,main!$A$3:$I$56,8,FALSE),main!$K$18:$O$18,0))))),1,0)</f>
        <v>0</v>
      </c>
      <c r="BC14">
        <f>IF((AND(VLOOKUP(BC$1,main!$A$3:$I$56,5,FALSE)-VLOOKUP($A14,main!$A$3:$I$56,6,FALSE)&gt;=(VLOOKUP(VLOOKUP(BC$1,main!$A$3:$I$56,8,FALSE),main!$K$11:$M$14,2,FALSE)+VLOOKUP(VLOOKUP(BC$1,main!$A$3:$I$56,7,FALSE),main!$K$19:$O$22,MATCH(VLOOKUP($A14,main!$A$3:$I$56,8,FALSE),main!$K$18:$O$18,0))))),1,0)</f>
        <v>0</v>
      </c>
      <c r="BD14">
        <f>IF((AND(VLOOKUP(BD$1,main!$A$3:$I$56,5,FALSE)-VLOOKUP($A14,main!$A$3:$I$56,6,FALSE)&gt;=(VLOOKUP(VLOOKUP(BD$1,main!$A$3:$I$56,8,FALSE),main!$K$11:$M$14,2,FALSE)+VLOOKUP(VLOOKUP(BD$1,main!$A$3:$I$56,7,FALSE),main!$K$19:$O$22,MATCH(VLOOKUP($A14,main!$A$3:$I$56,8,FALSE),main!$K$18:$O$18,0))))),1,0)</f>
        <v>0</v>
      </c>
    </row>
    <row r="15" spans="1:56" x14ac:dyDescent="0.25">
      <c r="A15">
        <f t="shared" si="0"/>
        <v>13</v>
      </c>
      <c r="B15">
        <v>1</v>
      </c>
      <c r="C15">
        <f>IF((AND(VLOOKUP(C$1,main!$A$3:$I$56,5,FALSE)-VLOOKUP($A15,main!$A$3:$I$56,6,FALSE)&gt;=(VLOOKUP(VLOOKUP(C$1,main!$A$3:$I$56,8,FALSE),main!$K$11:$M$14,2,FALSE)+VLOOKUP(VLOOKUP(C$1,main!$A$3:$I$56,7,FALSE),main!$K$19:$O$22,MATCH(VLOOKUP($A15,main!$A$3:$I$56,8,FALSE),main!$K$18:$O$18,0))))),1,0)</f>
        <v>0</v>
      </c>
      <c r="D15">
        <f>IF((AND(VLOOKUP(D$1,main!$A$3:$I$56,5,FALSE)-VLOOKUP($A15,main!$A$3:$I$56,6,FALSE)&gt;=(VLOOKUP(VLOOKUP(D$1,main!$A$3:$I$56,8,FALSE),main!$K$11:$M$14,2,FALSE)+VLOOKUP(VLOOKUP(D$1,main!$A$3:$I$56,7,FALSE),main!$K$19:$O$22,MATCH(VLOOKUP($A15,main!$A$3:$I$56,8,FALSE),main!$K$18:$O$18,0))))),1,0)</f>
        <v>0</v>
      </c>
      <c r="E15">
        <f>IF((AND(VLOOKUP(E$1,main!$A$3:$I$56,5,FALSE)-VLOOKUP($A15,main!$A$3:$I$56,6,FALSE)&gt;=(VLOOKUP(VLOOKUP(E$1,main!$A$3:$I$56,8,FALSE),main!$K$11:$M$14,2,FALSE)+VLOOKUP(VLOOKUP(E$1,main!$A$3:$I$56,7,FALSE),main!$K$19:$O$22,MATCH(VLOOKUP($A15,main!$A$3:$I$56,8,FALSE),main!$K$18:$O$18,0))))),1,0)</f>
        <v>0</v>
      </c>
      <c r="F15">
        <f>IF((AND(VLOOKUP(F$1,main!$A$3:$I$56,5,FALSE)-VLOOKUP($A15,main!$A$3:$I$56,6,FALSE)&gt;=(VLOOKUP(VLOOKUP(F$1,main!$A$3:$I$56,8,FALSE),main!$K$11:$M$14,2,FALSE)+VLOOKUP(VLOOKUP(F$1,main!$A$3:$I$56,7,FALSE),main!$K$19:$O$22,MATCH(VLOOKUP($A15,main!$A$3:$I$56,8,FALSE),main!$K$18:$O$18,0))))),1,0)</f>
        <v>0</v>
      </c>
      <c r="G15">
        <f>IF((AND(VLOOKUP(G$1,main!$A$3:$I$56,5,FALSE)-VLOOKUP($A15,main!$A$3:$I$56,6,FALSE)&gt;=(VLOOKUP(VLOOKUP(G$1,main!$A$3:$I$56,8,FALSE),main!$K$11:$M$14,2,FALSE)+VLOOKUP(VLOOKUP(G$1,main!$A$3:$I$56,7,FALSE),main!$K$19:$O$22,MATCH(VLOOKUP($A15,main!$A$3:$I$56,8,FALSE),main!$K$18:$O$18,0))))),1,0)</f>
        <v>0</v>
      </c>
      <c r="H15">
        <f>IF((AND(VLOOKUP(H$1,main!$A$3:$I$56,5,FALSE)-VLOOKUP($A15,main!$A$3:$I$56,6,FALSE)&gt;=(VLOOKUP(VLOOKUP(H$1,main!$A$3:$I$56,8,FALSE),main!$K$11:$M$14,2,FALSE)+VLOOKUP(VLOOKUP(H$1,main!$A$3:$I$56,7,FALSE),main!$K$19:$O$22,MATCH(VLOOKUP($A15,main!$A$3:$I$56,8,FALSE),main!$K$18:$O$18,0))))),1,0)</f>
        <v>0</v>
      </c>
      <c r="I15">
        <f>IF((AND(VLOOKUP(I$1,main!$A$3:$I$56,5,FALSE)-VLOOKUP($A15,main!$A$3:$I$56,6,FALSE)&gt;=(VLOOKUP(VLOOKUP(I$1,main!$A$3:$I$56,8,FALSE),main!$K$11:$M$14,2,FALSE)+VLOOKUP(VLOOKUP(I$1,main!$A$3:$I$56,7,FALSE),main!$K$19:$O$22,MATCH(VLOOKUP($A15,main!$A$3:$I$56,8,FALSE),main!$K$18:$O$18,0))))),1,0)</f>
        <v>0</v>
      </c>
      <c r="J15">
        <f>IF((AND(VLOOKUP(J$1,main!$A$3:$I$56,5,FALSE)-VLOOKUP($A15,main!$A$3:$I$56,6,FALSE)&gt;=(VLOOKUP(VLOOKUP(J$1,main!$A$3:$I$56,8,FALSE),main!$K$11:$M$14,2,FALSE)+VLOOKUP(VLOOKUP(J$1,main!$A$3:$I$56,7,FALSE),main!$K$19:$O$22,MATCH(VLOOKUP($A15,main!$A$3:$I$56,8,FALSE),main!$K$18:$O$18,0))))),1,0)</f>
        <v>0</v>
      </c>
      <c r="K15">
        <f>IF((AND(VLOOKUP(K$1,main!$A$3:$I$56,5,FALSE)-VLOOKUP($A15,main!$A$3:$I$56,6,FALSE)&gt;=(VLOOKUP(VLOOKUP(K$1,main!$A$3:$I$56,8,FALSE),main!$K$11:$M$14,2,FALSE)+VLOOKUP(VLOOKUP(K$1,main!$A$3:$I$56,7,FALSE),main!$K$19:$O$22,MATCH(VLOOKUP($A15,main!$A$3:$I$56,8,FALSE),main!$K$18:$O$18,0))))),1,0)</f>
        <v>0</v>
      </c>
      <c r="L15">
        <f>IF((AND(VLOOKUP(L$1,main!$A$3:$I$56,5,FALSE)-VLOOKUP($A15,main!$A$3:$I$56,6,FALSE)&gt;=(VLOOKUP(VLOOKUP(L$1,main!$A$3:$I$56,8,FALSE),main!$K$11:$M$14,2,FALSE)+VLOOKUP(VLOOKUP(L$1,main!$A$3:$I$56,7,FALSE),main!$K$19:$O$22,MATCH(VLOOKUP($A15,main!$A$3:$I$56,8,FALSE),main!$K$18:$O$18,0))))),1,0)</f>
        <v>0</v>
      </c>
      <c r="M15">
        <f>IF((AND(VLOOKUP(M$1,main!$A$3:$I$56,5,FALSE)-VLOOKUP($A15,main!$A$3:$I$56,6,FALSE)&gt;=(VLOOKUP(VLOOKUP(M$1,main!$A$3:$I$56,8,FALSE),main!$K$11:$M$14,2,FALSE)+VLOOKUP(VLOOKUP(M$1,main!$A$3:$I$56,7,FALSE),main!$K$19:$O$22,MATCH(VLOOKUP($A15,main!$A$3:$I$56,8,FALSE),main!$K$18:$O$18,0))))),1,0)</f>
        <v>0</v>
      </c>
      <c r="N15">
        <f>IF((AND(VLOOKUP(N$1,main!$A$3:$I$56,5,FALSE)-VLOOKUP($A15,main!$A$3:$I$56,6,FALSE)&gt;=(VLOOKUP(VLOOKUP(N$1,main!$A$3:$I$56,8,FALSE),main!$K$11:$M$14,2,FALSE)+VLOOKUP(VLOOKUP(N$1,main!$A$3:$I$56,7,FALSE),main!$K$19:$O$22,MATCH(VLOOKUP($A15,main!$A$3:$I$56,8,FALSE),main!$K$18:$O$18,0))))),1,0)</f>
        <v>0</v>
      </c>
      <c r="O15">
        <f>IF((AND(VLOOKUP(O$1,main!$A$3:$I$56,5,FALSE)-VLOOKUP($A15,main!$A$3:$I$56,6,FALSE)&gt;=(VLOOKUP(VLOOKUP(O$1,main!$A$3:$I$56,8,FALSE),main!$K$11:$M$14,2,FALSE)+VLOOKUP(VLOOKUP(O$1,main!$A$3:$I$56,7,FALSE),main!$K$19:$O$22,MATCH(VLOOKUP($A15,main!$A$3:$I$56,8,FALSE),main!$K$18:$O$18,0))))),1,0)</f>
        <v>0</v>
      </c>
      <c r="P15">
        <f>IF((AND(VLOOKUP(P$1,main!$A$3:$I$56,5,FALSE)-VLOOKUP($A15,main!$A$3:$I$56,6,FALSE)&gt;=(VLOOKUP(VLOOKUP(P$1,main!$A$3:$I$56,8,FALSE),main!$K$11:$M$14,2,FALSE)+VLOOKUP(VLOOKUP(P$1,main!$A$3:$I$56,7,FALSE),main!$K$19:$O$22,MATCH(VLOOKUP($A15,main!$A$3:$I$56,8,FALSE),main!$K$18:$O$18,0))))),1,0)</f>
        <v>0</v>
      </c>
      <c r="Q15">
        <f>IF((AND(VLOOKUP(Q$1,main!$A$3:$I$56,5,FALSE)-VLOOKUP($A15,main!$A$3:$I$56,6,FALSE)&gt;=(VLOOKUP(VLOOKUP(Q$1,main!$A$3:$I$56,8,FALSE),main!$K$11:$M$14,2,FALSE)+VLOOKUP(VLOOKUP(Q$1,main!$A$3:$I$56,7,FALSE),main!$K$19:$O$22,MATCH(VLOOKUP($A15,main!$A$3:$I$56,8,FALSE),main!$K$18:$O$18,0))))),1,0)</f>
        <v>0</v>
      </c>
      <c r="R15">
        <f>IF((AND(VLOOKUP(R$1,main!$A$3:$I$56,5,FALSE)-VLOOKUP($A15,main!$A$3:$I$56,6,FALSE)&gt;=(VLOOKUP(VLOOKUP(R$1,main!$A$3:$I$56,8,FALSE),main!$K$11:$M$14,2,FALSE)+VLOOKUP(VLOOKUP(R$1,main!$A$3:$I$56,7,FALSE),main!$K$19:$O$22,MATCH(VLOOKUP($A15,main!$A$3:$I$56,8,FALSE),main!$K$18:$O$18,0))))),1,0)</f>
        <v>0</v>
      </c>
      <c r="S15">
        <f>IF((AND(VLOOKUP(S$1,main!$A$3:$I$56,5,FALSE)-VLOOKUP($A15,main!$A$3:$I$56,6,FALSE)&gt;=(VLOOKUP(VLOOKUP(S$1,main!$A$3:$I$56,8,FALSE),main!$K$11:$M$14,2,FALSE)+VLOOKUP(VLOOKUP(S$1,main!$A$3:$I$56,7,FALSE),main!$K$19:$O$22,MATCH(VLOOKUP($A15,main!$A$3:$I$56,8,FALSE),main!$K$18:$O$18,0))))),1,0)</f>
        <v>0</v>
      </c>
      <c r="T15">
        <f>IF((AND(VLOOKUP(T$1,main!$A$3:$I$56,5,FALSE)-VLOOKUP($A15,main!$A$3:$I$56,6,FALSE)&gt;=(VLOOKUP(VLOOKUP(T$1,main!$A$3:$I$56,8,FALSE),main!$K$11:$M$14,2,FALSE)+VLOOKUP(VLOOKUP(T$1,main!$A$3:$I$56,7,FALSE),main!$K$19:$O$22,MATCH(VLOOKUP($A15,main!$A$3:$I$56,8,FALSE),main!$K$18:$O$18,0))))),1,0)</f>
        <v>0</v>
      </c>
      <c r="U15">
        <f>IF((AND(VLOOKUP(U$1,main!$A$3:$I$56,5,FALSE)-VLOOKUP($A15,main!$A$3:$I$56,6,FALSE)&gt;=(VLOOKUP(VLOOKUP(U$1,main!$A$3:$I$56,8,FALSE),main!$K$11:$M$14,2,FALSE)+VLOOKUP(VLOOKUP(U$1,main!$A$3:$I$56,7,FALSE),main!$K$19:$O$22,MATCH(VLOOKUP($A15,main!$A$3:$I$56,8,FALSE),main!$K$18:$O$18,0))))),1,0)</f>
        <v>0</v>
      </c>
      <c r="V15">
        <f>IF((AND(VLOOKUP(V$1,main!$A$3:$I$56,5,FALSE)-VLOOKUP($A15,main!$A$3:$I$56,6,FALSE)&gt;=(VLOOKUP(VLOOKUP(V$1,main!$A$3:$I$56,8,FALSE),main!$K$11:$M$14,2,FALSE)+VLOOKUP(VLOOKUP(V$1,main!$A$3:$I$56,7,FALSE),main!$K$19:$O$22,MATCH(VLOOKUP($A15,main!$A$3:$I$56,8,FALSE),main!$K$18:$O$18,0))))),1,0)</f>
        <v>0</v>
      </c>
      <c r="W15">
        <f>IF((AND(VLOOKUP(W$1,main!$A$3:$I$56,5,FALSE)-VLOOKUP($A15,main!$A$3:$I$56,6,FALSE)&gt;=(VLOOKUP(VLOOKUP(W$1,main!$A$3:$I$56,8,FALSE),main!$K$11:$M$14,2,FALSE)+VLOOKUP(VLOOKUP(W$1,main!$A$3:$I$56,7,FALSE),main!$K$19:$O$22,MATCH(VLOOKUP($A15,main!$A$3:$I$56,8,FALSE),main!$K$18:$O$18,0))))),1,0)</f>
        <v>0</v>
      </c>
      <c r="X15">
        <f>IF((AND(VLOOKUP(X$1,main!$A$3:$I$56,5,FALSE)-VLOOKUP($A15,main!$A$3:$I$56,6,FALSE)&gt;=(VLOOKUP(VLOOKUP(X$1,main!$A$3:$I$56,8,FALSE),main!$K$11:$M$14,2,FALSE)+VLOOKUP(VLOOKUP(X$1,main!$A$3:$I$56,7,FALSE),main!$K$19:$O$22,MATCH(VLOOKUP($A15,main!$A$3:$I$56,8,FALSE),main!$K$18:$O$18,0))))),1,0)</f>
        <v>0</v>
      </c>
      <c r="Y15">
        <f>IF((AND(VLOOKUP(Y$1,main!$A$3:$I$56,5,FALSE)-VLOOKUP($A15,main!$A$3:$I$56,6,FALSE)&gt;=(VLOOKUP(VLOOKUP(Y$1,main!$A$3:$I$56,8,FALSE),main!$K$11:$M$14,2,FALSE)+VLOOKUP(VLOOKUP(Y$1,main!$A$3:$I$56,7,FALSE),main!$K$19:$O$22,MATCH(VLOOKUP($A15,main!$A$3:$I$56,8,FALSE),main!$K$18:$O$18,0))))),1,0)</f>
        <v>0</v>
      </c>
      <c r="Z15">
        <f>IF((AND(VLOOKUP(Z$1,main!$A$3:$I$56,5,FALSE)-VLOOKUP($A15,main!$A$3:$I$56,6,FALSE)&gt;=(VLOOKUP(VLOOKUP(Z$1,main!$A$3:$I$56,8,FALSE),main!$K$11:$M$14,2,FALSE)+VLOOKUP(VLOOKUP(Z$1,main!$A$3:$I$56,7,FALSE),main!$K$19:$O$22,MATCH(VLOOKUP($A15,main!$A$3:$I$56,8,FALSE),main!$K$18:$O$18,0))))),1,0)</f>
        <v>0</v>
      </c>
      <c r="AA15">
        <f>IF((AND(VLOOKUP(AA$1,main!$A$3:$I$56,5,FALSE)-VLOOKUP($A15,main!$A$3:$I$56,6,FALSE)&gt;=(VLOOKUP(VLOOKUP(AA$1,main!$A$3:$I$56,8,FALSE),main!$K$11:$M$14,2,FALSE)+VLOOKUP(VLOOKUP(AA$1,main!$A$3:$I$56,7,FALSE),main!$K$19:$O$22,MATCH(VLOOKUP($A15,main!$A$3:$I$56,8,FALSE),main!$K$18:$O$18,0))))),1,0)</f>
        <v>0</v>
      </c>
      <c r="AB15">
        <f>IF((AND(VLOOKUP(AB$1,main!$A$3:$I$56,5,FALSE)-VLOOKUP($A15,main!$A$3:$I$56,6,FALSE)&gt;=(VLOOKUP(VLOOKUP(AB$1,main!$A$3:$I$56,8,FALSE),main!$K$11:$M$14,2,FALSE)+VLOOKUP(VLOOKUP(AB$1,main!$A$3:$I$56,7,FALSE),main!$K$19:$O$22,MATCH(VLOOKUP($A15,main!$A$3:$I$56,8,FALSE),main!$K$18:$O$18,0))))),1,0)</f>
        <v>0</v>
      </c>
      <c r="AC15">
        <f>IF((AND(VLOOKUP(AC$1,main!$A$3:$I$56,5,FALSE)-VLOOKUP($A15,main!$A$3:$I$56,6,FALSE)&gt;=(VLOOKUP(VLOOKUP(AC$1,main!$A$3:$I$56,8,FALSE),main!$K$11:$M$14,2,FALSE)+VLOOKUP(VLOOKUP(AC$1,main!$A$3:$I$56,7,FALSE),main!$K$19:$O$22,MATCH(VLOOKUP($A15,main!$A$3:$I$56,8,FALSE),main!$K$18:$O$18,0))))),1,0)</f>
        <v>0</v>
      </c>
      <c r="AD15">
        <f>IF((AND(VLOOKUP(AD$1,main!$A$3:$I$56,5,FALSE)-VLOOKUP($A15,main!$A$3:$I$56,6,FALSE)&gt;=(VLOOKUP(VLOOKUP(AD$1,main!$A$3:$I$56,8,FALSE),main!$K$11:$M$14,2,FALSE)+VLOOKUP(VLOOKUP(AD$1,main!$A$3:$I$56,7,FALSE),main!$K$19:$O$22,MATCH(VLOOKUP($A15,main!$A$3:$I$56,8,FALSE),main!$K$18:$O$18,0))))),1,0)</f>
        <v>0</v>
      </c>
      <c r="AE15">
        <f>IF((AND(VLOOKUP(AE$1,main!$A$3:$I$56,5,FALSE)-VLOOKUP($A15,main!$A$3:$I$56,6,FALSE)&gt;=(VLOOKUP(VLOOKUP(AE$1,main!$A$3:$I$56,8,FALSE),main!$K$11:$M$14,2,FALSE)+VLOOKUP(VLOOKUP(AE$1,main!$A$3:$I$56,7,FALSE),main!$K$19:$O$22,MATCH(VLOOKUP($A15,main!$A$3:$I$56,8,FALSE),main!$K$18:$O$18,0))))),1,0)</f>
        <v>0</v>
      </c>
      <c r="AF15">
        <f>IF((AND(VLOOKUP(AF$1,main!$A$3:$I$56,5,FALSE)-VLOOKUP($A15,main!$A$3:$I$56,6,FALSE)&gt;=(VLOOKUP(VLOOKUP(AF$1,main!$A$3:$I$56,8,FALSE),main!$K$11:$M$14,2,FALSE)+VLOOKUP(VLOOKUP(AF$1,main!$A$3:$I$56,7,FALSE),main!$K$19:$O$22,MATCH(VLOOKUP($A15,main!$A$3:$I$56,8,FALSE),main!$K$18:$O$18,0))))),1,0)</f>
        <v>0</v>
      </c>
      <c r="AG15">
        <f>IF((AND(VLOOKUP(AG$1,main!$A$3:$I$56,5,FALSE)-VLOOKUP($A15,main!$A$3:$I$56,6,FALSE)&gt;=(VLOOKUP(VLOOKUP(AG$1,main!$A$3:$I$56,8,FALSE),main!$K$11:$M$14,2,FALSE)+VLOOKUP(VLOOKUP(AG$1,main!$A$3:$I$56,7,FALSE),main!$K$19:$O$22,MATCH(VLOOKUP($A15,main!$A$3:$I$56,8,FALSE),main!$K$18:$O$18,0))))),1,0)</f>
        <v>0</v>
      </c>
      <c r="AH15">
        <f>IF((AND(VLOOKUP(AH$1,main!$A$3:$I$56,5,FALSE)-VLOOKUP($A15,main!$A$3:$I$56,6,FALSE)&gt;=(VLOOKUP(VLOOKUP(AH$1,main!$A$3:$I$56,8,FALSE),main!$K$11:$M$14,2,FALSE)+VLOOKUP(VLOOKUP(AH$1,main!$A$3:$I$56,7,FALSE),main!$K$19:$O$22,MATCH(VLOOKUP($A15,main!$A$3:$I$56,8,FALSE),main!$K$18:$O$18,0))))),1,0)</f>
        <v>0</v>
      </c>
      <c r="AI15">
        <f>IF((AND(VLOOKUP(AI$1,main!$A$3:$I$56,5,FALSE)-VLOOKUP($A15,main!$A$3:$I$56,6,FALSE)&gt;=(VLOOKUP(VLOOKUP(AI$1,main!$A$3:$I$56,8,FALSE),main!$K$11:$M$14,2,FALSE)+VLOOKUP(VLOOKUP(AI$1,main!$A$3:$I$56,7,FALSE),main!$K$19:$O$22,MATCH(VLOOKUP($A15,main!$A$3:$I$56,8,FALSE),main!$K$18:$O$18,0))))),1,0)</f>
        <v>0</v>
      </c>
      <c r="AJ15">
        <f>IF((AND(VLOOKUP(AJ$1,main!$A$3:$I$56,5,FALSE)-VLOOKUP($A15,main!$A$3:$I$56,6,FALSE)&gt;=(VLOOKUP(VLOOKUP(AJ$1,main!$A$3:$I$56,8,FALSE),main!$K$11:$M$14,2,FALSE)+VLOOKUP(VLOOKUP(AJ$1,main!$A$3:$I$56,7,FALSE),main!$K$19:$O$22,MATCH(VLOOKUP($A15,main!$A$3:$I$56,8,FALSE),main!$K$18:$O$18,0))))),1,0)</f>
        <v>0</v>
      </c>
      <c r="AK15">
        <f>IF((AND(VLOOKUP(AK$1,main!$A$3:$I$56,5,FALSE)-VLOOKUP($A15,main!$A$3:$I$56,6,FALSE)&gt;=(VLOOKUP(VLOOKUP(AK$1,main!$A$3:$I$56,8,FALSE),main!$K$11:$M$14,2,FALSE)+VLOOKUP(VLOOKUP(AK$1,main!$A$3:$I$56,7,FALSE),main!$K$19:$O$22,MATCH(VLOOKUP($A15,main!$A$3:$I$56,8,FALSE),main!$K$18:$O$18,0))))),1,0)</f>
        <v>0</v>
      </c>
      <c r="AL15">
        <f>IF((AND(VLOOKUP(AL$1,main!$A$3:$I$56,5,FALSE)-VLOOKUP($A15,main!$A$3:$I$56,6,FALSE)&gt;=(VLOOKUP(VLOOKUP(AL$1,main!$A$3:$I$56,8,FALSE),main!$K$11:$M$14,2,FALSE)+VLOOKUP(VLOOKUP(AL$1,main!$A$3:$I$56,7,FALSE),main!$K$19:$O$22,MATCH(VLOOKUP($A15,main!$A$3:$I$56,8,FALSE),main!$K$18:$O$18,0))))),1,0)</f>
        <v>0</v>
      </c>
      <c r="AM15">
        <f>IF((AND(VLOOKUP(AM$1,main!$A$3:$I$56,5,FALSE)-VLOOKUP($A15,main!$A$3:$I$56,6,FALSE)&gt;=(VLOOKUP(VLOOKUP(AM$1,main!$A$3:$I$56,8,FALSE),main!$K$11:$M$14,2,FALSE)+VLOOKUP(VLOOKUP(AM$1,main!$A$3:$I$56,7,FALSE),main!$K$19:$O$22,MATCH(VLOOKUP($A15,main!$A$3:$I$56,8,FALSE),main!$K$18:$O$18,0))))),1,0)</f>
        <v>0</v>
      </c>
      <c r="AN15">
        <f>IF((AND(VLOOKUP(AN$1,main!$A$3:$I$56,5,FALSE)-VLOOKUP($A15,main!$A$3:$I$56,6,FALSE)&gt;=(VLOOKUP(VLOOKUP(AN$1,main!$A$3:$I$56,8,FALSE),main!$K$11:$M$14,2,FALSE)+VLOOKUP(VLOOKUP(AN$1,main!$A$3:$I$56,7,FALSE),main!$K$19:$O$22,MATCH(VLOOKUP($A15,main!$A$3:$I$56,8,FALSE),main!$K$18:$O$18,0))))),1,0)</f>
        <v>0</v>
      </c>
      <c r="AO15">
        <f>IF((AND(VLOOKUP(AO$1,main!$A$3:$I$56,5,FALSE)-VLOOKUP($A15,main!$A$3:$I$56,6,FALSE)&gt;=(VLOOKUP(VLOOKUP(AO$1,main!$A$3:$I$56,8,FALSE),main!$K$11:$M$14,2,FALSE)+VLOOKUP(VLOOKUP(AO$1,main!$A$3:$I$56,7,FALSE),main!$K$19:$O$22,MATCH(VLOOKUP($A15,main!$A$3:$I$56,8,FALSE),main!$K$18:$O$18,0))))),1,0)</f>
        <v>0</v>
      </c>
      <c r="AP15">
        <f>IF((AND(VLOOKUP(AP$1,main!$A$3:$I$56,5,FALSE)-VLOOKUP($A15,main!$A$3:$I$56,6,FALSE)&gt;=(VLOOKUP(VLOOKUP(AP$1,main!$A$3:$I$56,8,FALSE),main!$K$11:$M$14,2,FALSE)+VLOOKUP(VLOOKUP(AP$1,main!$A$3:$I$56,7,FALSE),main!$K$19:$O$22,MATCH(VLOOKUP($A15,main!$A$3:$I$56,8,FALSE),main!$K$18:$O$18,0))))),1,0)</f>
        <v>0</v>
      </c>
      <c r="AQ15">
        <f>IF((AND(VLOOKUP(AQ$1,main!$A$3:$I$56,5,FALSE)-VLOOKUP($A15,main!$A$3:$I$56,6,FALSE)&gt;=(VLOOKUP(VLOOKUP(AQ$1,main!$A$3:$I$56,8,FALSE),main!$K$11:$M$14,2,FALSE)+VLOOKUP(VLOOKUP(AQ$1,main!$A$3:$I$56,7,FALSE),main!$K$19:$O$22,MATCH(VLOOKUP($A15,main!$A$3:$I$56,8,FALSE),main!$K$18:$O$18,0))))),1,0)</f>
        <v>0</v>
      </c>
      <c r="AR15">
        <f>IF((AND(VLOOKUP(AR$1,main!$A$3:$I$56,5,FALSE)-VLOOKUP($A15,main!$A$3:$I$56,6,FALSE)&gt;=(VLOOKUP(VLOOKUP(AR$1,main!$A$3:$I$56,8,FALSE),main!$K$11:$M$14,2,FALSE)+VLOOKUP(VLOOKUP(AR$1,main!$A$3:$I$56,7,FALSE),main!$K$19:$O$22,MATCH(VLOOKUP($A15,main!$A$3:$I$56,8,FALSE),main!$K$18:$O$18,0))))),1,0)</f>
        <v>0</v>
      </c>
      <c r="AS15">
        <f>IF((AND(VLOOKUP(AS$1,main!$A$3:$I$56,5,FALSE)-VLOOKUP($A15,main!$A$3:$I$56,6,FALSE)&gt;=(VLOOKUP(VLOOKUP(AS$1,main!$A$3:$I$56,8,FALSE),main!$K$11:$M$14,2,FALSE)+VLOOKUP(VLOOKUP(AS$1,main!$A$3:$I$56,7,FALSE),main!$K$19:$O$22,MATCH(VLOOKUP($A15,main!$A$3:$I$56,8,FALSE),main!$K$18:$O$18,0))))),1,0)</f>
        <v>0</v>
      </c>
      <c r="AT15">
        <f>IF((AND(VLOOKUP(AT$1,main!$A$3:$I$56,5,FALSE)-VLOOKUP($A15,main!$A$3:$I$56,6,FALSE)&gt;=(VLOOKUP(VLOOKUP(AT$1,main!$A$3:$I$56,8,FALSE),main!$K$11:$M$14,2,FALSE)+VLOOKUP(VLOOKUP(AT$1,main!$A$3:$I$56,7,FALSE),main!$K$19:$O$22,MATCH(VLOOKUP($A15,main!$A$3:$I$56,8,FALSE),main!$K$18:$O$18,0))))),1,0)</f>
        <v>0</v>
      </c>
      <c r="AU15">
        <f>IF((AND(VLOOKUP(AU$1,main!$A$3:$I$56,5,FALSE)-VLOOKUP($A15,main!$A$3:$I$56,6,FALSE)&gt;=(VLOOKUP(VLOOKUP(AU$1,main!$A$3:$I$56,8,FALSE),main!$K$11:$M$14,2,FALSE)+VLOOKUP(VLOOKUP(AU$1,main!$A$3:$I$56,7,FALSE),main!$K$19:$O$22,MATCH(VLOOKUP($A15,main!$A$3:$I$56,8,FALSE),main!$K$18:$O$18,0))))),1,0)</f>
        <v>0</v>
      </c>
      <c r="AV15">
        <f>IF((AND(VLOOKUP(AV$1,main!$A$3:$I$56,5,FALSE)-VLOOKUP($A15,main!$A$3:$I$56,6,FALSE)&gt;=(VLOOKUP(VLOOKUP(AV$1,main!$A$3:$I$56,8,FALSE),main!$K$11:$M$14,2,FALSE)+VLOOKUP(VLOOKUP(AV$1,main!$A$3:$I$56,7,FALSE),main!$K$19:$O$22,MATCH(VLOOKUP($A15,main!$A$3:$I$56,8,FALSE),main!$K$18:$O$18,0))))),1,0)</f>
        <v>0</v>
      </c>
      <c r="AW15">
        <f>IF((AND(VLOOKUP(AW$1,main!$A$3:$I$56,5,FALSE)-VLOOKUP($A15,main!$A$3:$I$56,6,FALSE)&gt;=(VLOOKUP(VLOOKUP(AW$1,main!$A$3:$I$56,8,FALSE),main!$K$11:$M$14,2,FALSE)+VLOOKUP(VLOOKUP(AW$1,main!$A$3:$I$56,7,FALSE),main!$K$19:$O$22,MATCH(VLOOKUP($A15,main!$A$3:$I$56,8,FALSE),main!$K$18:$O$18,0))))),1,0)</f>
        <v>0</v>
      </c>
      <c r="AX15">
        <f>IF((AND(VLOOKUP(AX$1,main!$A$3:$I$56,5,FALSE)-VLOOKUP($A15,main!$A$3:$I$56,6,FALSE)&gt;=(VLOOKUP(VLOOKUP(AX$1,main!$A$3:$I$56,8,FALSE),main!$K$11:$M$14,2,FALSE)+VLOOKUP(VLOOKUP(AX$1,main!$A$3:$I$56,7,FALSE),main!$K$19:$O$22,MATCH(VLOOKUP($A15,main!$A$3:$I$56,8,FALSE),main!$K$18:$O$18,0))))),1,0)</f>
        <v>0</v>
      </c>
      <c r="AY15">
        <f>IF((AND(VLOOKUP(AY$1,main!$A$3:$I$56,5,FALSE)-VLOOKUP($A15,main!$A$3:$I$56,6,FALSE)&gt;=(VLOOKUP(VLOOKUP(AY$1,main!$A$3:$I$56,8,FALSE),main!$K$11:$M$14,2,FALSE)+VLOOKUP(VLOOKUP(AY$1,main!$A$3:$I$56,7,FALSE),main!$K$19:$O$22,MATCH(VLOOKUP($A15,main!$A$3:$I$56,8,FALSE),main!$K$18:$O$18,0))))),1,0)</f>
        <v>0</v>
      </c>
      <c r="AZ15">
        <f>IF((AND(VLOOKUP(AZ$1,main!$A$3:$I$56,5,FALSE)-VLOOKUP($A15,main!$A$3:$I$56,6,FALSE)&gt;=(VLOOKUP(VLOOKUP(AZ$1,main!$A$3:$I$56,8,FALSE),main!$K$11:$M$14,2,FALSE)+VLOOKUP(VLOOKUP(AZ$1,main!$A$3:$I$56,7,FALSE),main!$K$19:$O$22,MATCH(VLOOKUP($A15,main!$A$3:$I$56,8,FALSE),main!$K$18:$O$18,0))))),1,0)</f>
        <v>0</v>
      </c>
      <c r="BA15">
        <f>IF((AND(VLOOKUP(BA$1,main!$A$3:$I$56,5,FALSE)-VLOOKUP($A15,main!$A$3:$I$56,6,FALSE)&gt;=(VLOOKUP(VLOOKUP(BA$1,main!$A$3:$I$56,8,FALSE),main!$K$11:$M$14,2,FALSE)+VLOOKUP(VLOOKUP(BA$1,main!$A$3:$I$56,7,FALSE),main!$K$19:$O$22,MATCH(VLOOKUP($A15,main!$A$3:$I$56,8,FALSE),main!$K$18:$O$18,0))))),1,0)</f>
        <v>0</v>
      </c>
      <c r="BB15">
        <f>IF((AND(VLOOKUP(BB$1,main!$A$3:$I$56,5,FALSE)-VLOOKUP($A15,main!$A$3:$I$56,6,FALSE)&gt;=(VLOOKUP(VLOOKUP(BB$1,main!$A$3:$I$56,8,FALSE),main!$K$11:$M$14,2,FALSE)+VLOOKUP(VLOOKUP(BB$1,main!$A$3:$I$56,7,FALSE),main!$K$19:$O$22,MATCH(VLOOKUP($A15,main!$A$3:$I$56,8,FALSE),main!$K$18:$O$18,0))))),1,0)</f>
        <v>0</v>
      </c>
      <c r="BC15">
        <f>IF((AND(VLOOKUP(BC$1,main!$A$3:$I$56,5,FALSE)-VLOOKUP($A15,main!$A$3:$I$56,6,FALSE)&gt;=(VLOOKUP(VLOOKUP(BC$1,main!$A$3:$I$56,8,FALSE),main!$K$11:$M$14,2,FALSE)+VLOOKUP(VLOOKUP(BC$1,main!$A$3:$I$56,7,FALSE),main!$K$19:$O$22,MATCH(VLOOKUP($A15,main!$A$3:$I$56,8,FALSE),main!$K$18:$O$18,0))))),1,0)</f>
        <v>0</v>
      </c>
      <c r="BD15">
        <f>IF((AND(VLOOKUP(BD$1,main!$A$3:$I$56,5,FALSE)-VLOOKUP($A15,main!$A$3:$I$56,6,FALSE)&gt;=(VLOOKUP(VLOOKUP(BD$1,main!$A$3:$I$56,8,FALSE),main!$K$11:$M$14,2,FALSE)+VLOOKUP(VLOOKUP(BD$1,main!$A$3:$I$56,7,FALSE),main!$K$19:$O$22,MATCH(VLOOKUP($A15,main!$A$3:$I$56,8,FALSE),main!$K$18:$O$18,0))))),1,0)</f>
        <v>0</v>
      </c>
    </row>
    <row r="16" spans="1:56" x14ac:dyDescent="0.25">
      <c r="A16">
        <f t="shared" si="0"/>
        <v>14</v>
      </c>
      <c r="B16">
        <v>1</v>
      </c>
      <c r="C16">
        <f>IF((AND(VLOOKUP(C$1,main!$A$3:$I$56,5,FALSE)-VLOOKUP($A16,main!$A$3:$I$56,6,FALSE)&gt;=(VLOOKUP(VLOOKUP(C$1,main!$A$3:$I$56,8,FALSE),main!$K$11:$M$14,2,FALSE)+VLOOKUP(VLOOKUP(C$1,main!$A$3:$I$56,7,FALSE),main!$K$19:$O$22,MATCH(VLOOKUP($A16,main!$A$3:$I$56,8,FALSE),main!$K$18:$O$18,0))))),1,0)</f>
        <v>0</v>
      </c>
      <c r="D16">
        <f>IF((AND(VLOOKUP(D$1,main!$A$3:$I$56,5,FALSE)-VLOOKUP($A16,main!$A$3:$I$56,6,FALSE)&gt;=(VLOOKUP(VLOOKUP(D$1,main!$A$3:$I$56,8,FALSE),main!$K$11:$M$14,2,FALSE)+VLOOKUP(VLOOKUP(D$1,main!$A$3:$I$56,7,FALSE),main!$K$19:$O$22,MATCH(VLOOKUP($A16,main!$A$3:$I$56,8,FALSE),main!$K$18:$O$18,0))))),1,0)</f>
        <v>0</v>
      </c>
      <c r="E16">
        <f>IF((AND(VLOOKUP(E$1,main!$A$3:$I$56,5,FALSE)-VLOOKUP($A16,main!$A$3:$I$56,6,FALSE)&gt;=(VLOOKUP(VLOOKUP(E$1,main!$A$3:$I$56,8,FALSE),main!$K$11:$M$14,2,FALSE)+VLOOKUP(VLOOKUP(E$1,main!$A$3:$I$56,7,FALSE),main!$K$19:$O$22,MATCH(VLOOKUP($A16,main!$A$3:$I$56,8,FALSE),main!$K$18:$O$18,0))))),1,0)</f>
        <v>1</v>
      </c>
      <c r="F16">
        <f>IF((AND(VLOOKUP(F$1,main!$A$3:$I$56,5,FALSE)-VLOOKUP($A16,main!$A$3:$I$56,6,FALSE)&gt;=(VLOOKUP(VLOOKUP(F$1,main!$A$3:$I$56,8,FALSE),main!$K$11:$M$14,2,FALSE)+VLOOKUP(VLOOKUP(F$1,main!$A$3:$I$56,7,FALSE),main!$K$19:$O$22,MATCH(VLOOKUP($A16,main!$A$3:$I$56,8,FALSE),main!$K$18:$O$18,0))))),1,0)</f>
        <v>1</v>
      </c>
      <c r="G16">
        <f>IF((AND(VLOOKUP(G$1,main!$A$3:$I$56,5,FALSE)-VLOOKUP($A16,main!$A$3:$I$56,6,FALSE)&gt;=(VLOOKUP(VLOOKUP(G$1,main!$A$3:$I$56,8,FALSE),main!$K$11:$M$14,2,FALSE)+VLOOKUP(VLOOKUP(G$1,main!$A$3:$I$56,7,FALSE),main!$K$19:$O$22,MATCH(VLOOKUP($A16,main!$A$3:$I$56,8,FALSE),main!$K$18:$O$18,0))))),1,0)</f>
        <v>1</v>
      </c>
      <c r="H16">
        <f>IF((AND(VLOOKUP(H$1,main!$A$3:$I$56,5,FALSE)-VLOOKUP($A16,main!$A$3:$I$56,6,FALSE)&gt;=(VLOOKUP(VLOOKUP(H$1,main!$A$3:$I$56,8,FALSE),main!$K$11:$M$14,2,FALSE)+VLOOKUP(VLOOKUP(H$1,main!$A$3:$I$56,7,FALSE),main!$K$19:$O$22,MATCH(VLOOKUP($A16,main!$A$3:$I$56,8,FALSE),main!$K$18:$O$18,0))))),1,0)</f>
        <v>1</v>
      </c>
      <c r="I16">
        <f>IF((AND(VLOOKUP(I$1,main!$A$3:$I$56,5,FALSE)-VLOOKUP($A16,main!$A$3:$I$56,6,FALSE)&gt;=(VLOOKUP(VLOOKUP(I$1,main!$A$3:$I$56,8,FALSE),main!$K$11:$M$14,2,FALSE)+VLOOKUP(VLOOKUP(I$1,main!$A$3:$I$56,7,FALSE),main!$K$19:$O$22,MATCH(VLOOKUP($A16,main!$A$3:$I$56,8,FALSE),main!$K$18:$O$18,0))))),1,0)</f>
        <v>1</v>
      </c>
      <c r="J16">
        <f>IF((AND(VLOOKUP(J$1,main!$A$3:$I$56,5,FALSE)-VLOOKUP($A16,main!$A$3:$I$56,6,FALSE)&gt;=(VLOOKUP(VLOOKUP(J$1,main!$A$3:$I$56,8,FALSE),main!$K$11:$M$14,2,FALSE)+VLOOKUP(VLOOKUP(J$1,main!$A$3:$I$56,7,FALSE),main!$K$19:$O$22,MATCH(VLOOKUP($A16,main!$A$3:$I$56,8,FALSE),main!$K$18:$O$18,0))))),1,0)</f>
        <v>1</v>
      </c>
      <c r="K16">
        <f>IF((AND(VLOOKUP(K$1,main!$A$3:$I$56,5,FALSE)-VLOOKUP($A16,main!$A$3:$I$56,6,FALSE)&gt;=(VLOOKUP(VLOOKUP(K$1,main!$A$3:$I$56,8,FALSE),main!$K$11:$M$14,2,FALSE)+VLOOKUP(VLOOKUP(K$1,main!$A$3:$I$56,7,FALSE),main!$K$19:$O$22,MATCH(VLOOKUP($A16,main!$A$3:$I$56,8,FALSE),main!$K$18:$O$18,0))))),1,0)</f>
        <v>0</v>
      </c>
      <c r="L16">
        <f>IF((AND(VLOOKUP(L$1,main!$A$3:$I$56,5,FALSE)-VLOOKUP($A16,main!$A$3:$I$56,6,FALSE)&gt;=(VLOOKUP(VLOOKUP(L$1,main!$A$3:$I$56,8,FALSE),main!$K$11:$M$14,2,FALSE)+VLOOKUP(VLOOKUP(L$1,main!$A$3:$I$56,7,FALSE),main!$K$19:$O$22,MATCH(VLOOKUP($A16,main!$A$3:$I$56,8,FALSE),main!$K$18:$O$18,0))))),1,0)</f>
        <v>0</v>
      </c>
      <c r="M16">
        <f>IF((AND(VLOOKUP(M$1,main!$A$3:$I$56,5,FALSE)-VLOOKUP($A16,main!$A$3:$I$56,6,FALSE)&gt;=(VLOOKUP(VLOOKUP(M$1,main!$A$3:$I$56,8,FALSE),main!$K$11:$M$14,2,FALSE)+VLOOKUP(VLOOKUP(M$1,main!$A$3:$I$56,7,FALSE),main!$K$19:$O$22,MATCH(VLOOKUP($A16,main!$A$3:$I$56,8,FALSE),main!$K$18:$O$18,0))))),1,0)</f>
        <v>1</v>
      </c>
      <c r="N16">
        <f>IF((AND(VLOOKUP(N$1,main!$A$3:$I$56,5,FALSE)-VLOOKUP($A16,main!$A$3:$I$56,6,FALSE)&gt;=(VLOOKUP(VLOOKUP(N$1,main!$A$3:$I$56,8,FALSE),main!$K$11:$M$14,2,FALSE)+VLOOKUP(VLOOKUP(N$1,main!$A$3:$I$56,7,FALSE),main!$K$19:$O$22,MATCH(VLOOKUP($A16,main!$A$3:$I$56,8,FALSE),main!$K$18:$O$18,0))))),1,0)</f>
        <v>1</v>
      </c>
      <c r="O16">
        <f>IF((AND(VLOOKUP(O$1,main!$A$3:$I$56,5,FALSE)-VLOOKUP($A16,main!$A$3:$I$56,6,FALSE)&gt;=(VLOOKUP(VLOOKUP(O$1,main!$A$3:$I$56,8,FALSE),main!$K$11:$M$14,2,FALSE)+VLOOKUP(VLOOKUP(O$1,main!$A$3:$I$56,7,FALSE),main!$K$19:$O$22,MATCH(VLOOKUP($A16,main!$A$3:$I$56,8,FALSE),main!$K$18:$O$18,0))))),1,0)</f>
        <v>1</v>
      </c>
      <c r="P16">
        <f>IF((AND(VLOOKUP(P$1,main!$A$3:$I$56,5,FALSE)-VLOOKUP($A16,main!$A$3:$I$56,6,FALSE)&gt;=(VLOOKUP(VLOOKUP(P$1,main!$A$3:$I$56,8,FALSE),main!$K$11:$M$14,2,FALSE)+VLOOKUP(VLOOKUP(P$1,main!$A$3:$I$56,7,FALSE),main!$K$19:$O$22,MATCH(VLOOKUP($A16,main!$A$3:$I$56,8,FALSE),main!$K$18:$O$18,0))))),1,0)</f>
        <v>0</v>
      </c>
      <c r="Q16">
        <f>IF((AND(VLOOKUP(Q$1,main!$A$3:$I$56,5,FALSE)-VLOOKUP($A16,main!$A$3:$I$56,6,FALSE)&gt;=(VLOOKUP(VLOOKUP(Q$1,main!$A$3:$I$56,8,FALSE),main!$K$11:$M$14,2,FALSE)+VLOOKUP(VLOOKUP(Q$1,main!$A$3:$I$56,7,FALSE),main!$K$19:$O$22,MATCH(VLOOKUP($A16,main!$A$3:$I$56,8,FALSE),main!$K$18:$O$18,0))))),1,0)</f>
        <v>0</v>
      </c>
      <c r="R16">
        <f>IF((AND(VLOOKUP(R$1,main!$A$3:$I$56,5,FALSE)-VLOOKUP($A16,main!$A$3:$I$56,6,FALSE)&gt;=(VLOOKUP(VLOOKUP(R$1,main!$A$3:$I$56,8,FALSE),main!$K$11:$M$14,2,FALSE)+VLOOKUP(VLOOKUP(R$1,main!$A$3:$I$56,7,FALSE),main!$K$19:$O$22,MATCH(VLOOKUP($A16,main!$A$3:$I$56,8,FALSE),main!$K$18:$O$18,0))))),1,0)</f>
        <v>1</v>
      </c>
      <c r="S16">
        <f>IF((AND(VLOOKUP(S$1,main!$A$3:$I$56,5,FALSE)-VLOOKUP($A16,main!$A$3:$I$56,6,FALSE)&gt;=(VLOOKUP(VLOOKUP(S$1,main!$A$3:$I$56,8,FALSE),main!$K$11:$M$14,2,FALSE)+VLOOKUP(VLOOKUP(S$1,main!$A$3:$I$56,7,FALSE),main!$K$19:$O$22,MATCH(VLOOKUP($A16,main!$A$3:$I$56,8,FALSE),main!$K$18:$O$18,0))))),1,0)</f>
        <v>1</v>
      </c>
      <c r="T16">
        <f>IF((AND(VLOOKUP(T$1,main!$A$3:$I$56,5,FALSE)-VLOOKUP($A16,main!$A$3:$I$56,6,FALSE)&gt;=(VLOOKUP(VLOOKUP(T$1,main!$A$3:$I$56,8,FALSE),main!$K$11:$M$14,2,FALSE)+VLOOKUP(VLOOKUP(T$1,main!$A$3:$I$56,7,FALSE),main!$K$19:$O$22,MATCH(VLOOKUP($A16,main!$A$3:$I$56,8,FALSE),main!$K$18:$O$18,0))))),1,0)</f>
        <v>1</v>
      </c>
      <c r="U16">
        <f>IF((AND(VLOOKUP(U$1,main!$A$3:$I$56,5,FALSE)-VLOOKUP($A16,main!$A$3:$I$56,6,FALSE)&gt;=(VLOOKUP(VLOOKUP(U$1,main!$A$3:$I$56,8,FALSE),main!$K$11:$M$14,2,FALSE)+VLOOKUP(VLOOKUP(U$1,main!$A$3:$I$56,7,FALSE),main!$K$19:$O$22,MATCH(VLOOKUP($A16,main!$A$3:$I$56,8,FALSE),main!$K$18:$O$18,0))))),1,0)</f>
        <v>0</v>
      </c>
      <c r="V16">
        <f>IF((AND(VLOOKUP(V$1,main!$A$3:$I$56,5,FALSE)-VLOOKUP($A16,main!$A$3:$I$56,6,FALSE)&gt;=(VLOOKUP(VLOOKUP(V$1,main!$A$3:$I$56,8,FALSE),main!$K$11:$M$14,2,FALSE)+VLOOKUP(VLOOKUP(V$1,main!$A$3:$I$56,7,FALSE),main!$K$19:$O$22,MATCH(VLOOKUP($A16,main!$A$3:$I$56,8,FALSE),main!$K$18:$O$18,0))))),1,0)</f>
        <v>0</v>
      </c>
      <c r="W16">
        <f>IF((AND(VLOOKUP(W$1,main!$A$3:$I$56,5,FALSE)-VLOOKUP($A16,main!$A$3:$I$56,6,FALSE)&gt;=(VLOOKUP(VLOOKUP(W$1,main!$A$3:$I$56,8,FALSE),main!$K$11:$M$14,2,FALSE)+VLOOKUP(VLOOKUP(W$1,main!$A$3:$I$56,7,FALSE),main!$K$19:$O$22,MATCH(VLOOKUP($A16,main!$A$3:$I$56,8,FALSE),main!$K$18:$O$18,0))))),1,0)</f>
        <v>0</v>
      </c>
      <c r="X16">
        <f>IF((AND(VLOOKUP(X$1,main!$A$3:$I$56,5,FALSE)-VLOOKUP($A16,main!$A$3:$I$56,6,FALSE)&gt;=(VLOOKUP(VLOOKUP(X$1,main!$A$3:$I$56,8,FALSE),main!$K$11:$M$14,2,FALSE)+VLOOKUP(VLOOKUP(X$1,main!$A$3:$I$56,7,FALSE),main!$K$19:$O$22,MATCH(VLOOKUP($A16,main!$A$3:$I$56,8,FALSE),main!$K$18:$O$18,0))))),1,0)</f>
        <v>1</v>
      </c>
      <c r="Y16">
        <f>IF((AND(VLOOKUP(Y$1,main!$A$3:$I$56,5,FALSE)-VLOOKUP($A16,main!$A$3:$I$56,6,FALSE)&gt;=(VLOOKUP(VLOOKUP(Y$1,main!$A$3:$I$56,8,FALSE),main!$K$11:$M$14,2,FALSE)+VLOOKUP(VLOOKUP(Y$1,main!$A$3:$I$56,7,FALSE),main!$K$19:$O$22,MATCH(VLOOKUP($A16,main!$A$3:$I$56,8,FALSE),main!$K$18:$O$18,0))))),1,0)</f>
        <v>1</v>
      </c>
      <c r="Z16">
        <f>IF((AND(VLOOKUP(Z$1,main!$A$3:$I$56,5,FALSE)-VLOOKUP($A16,main!$A$3:$I$56,6,FALSE)&gt;=(VLOOKUP(VLOOKUP(Z$1,main!$A$3:$I$56,8,FALSE),main!$K$11:$M$14,2,FALSE)+VLOOKUP(VLOOKUP(Z$1,main!$A$3:$I$56,7,FALSE),main!$K$19:$O$22,MATCH(VLOOKUP($A16,main!$A$3:$I$56,8,FALSE),main!$K$18:$O$18,0))))),1,0)</f>
        <v>1</v>
      </c>
      <c r="AA16">
        <f>IF((AND(VLOOKUP(AA$1,main!$A$3:$I$56,5,FALSE)-VLOOKUP($A16,main!$A$3:$I$56,6,FALSE)&gt;=(VLOOKUP(VLOOKUP(AA$1,main!$A$3:$I$56,8,FALSE),main!$K$11:$M$14,2,FALSE)+VLOOKUP(VLOOKUP(AA$1,main!$A$3:$I$56,7,FALSE),main!$K$19:$O$22,MATCH(VLOOKUP($A16,main!$A$3:$I$56,8,FALSE),main!$K$18:$O$18,0))))),1,0)</f>
        <v>1</v>
      </c>
      <c r="AB16">
        <f>IF((AND(VLOOKUP(AB$1,main!$A$3:$I$56,5,FALSE)-VLOOKUP($A16,main!$A$3:$I$56,6,FALSE)&gt;=(VLOOKUP(VLOOKUP(AB$1,main!$A$3:$I$56,8,FALSE),main!$K$11:$M$14,2,FALSE)+VLOOKUP(VLOOKUP(AB$1,main!$A$3:$I$56,7,FALSE),main!$K$19:$O$22,MATCH(VLOOKUP($A16,main!$A$3:$I$56,8,FALSE),main!$K$18:$O$18,0))))),1,0)</f>
        <v>1</v>
      </c>
      <c r="AC16">
        <f>IF((AND(VLOOKUP(AC$1,main!$A$3:$I$56,5,FALSE)-VLOOKUP($A16,main!$A$3:$I$56,6,FALSE)&gt;=(VLOOKUP(VLOOKUP(AC$1,main!$A$3:$I$56,8,FALSE),main!$K$11:$M$14,2,FALSE)+VLOOKUP(VLOOKUP(AC$1,main!$A$3:$I$56,7,FALSE),main!$K$19:$O$22,MATCH(VLOOKUP($A16,main!$A$3:$I$56,8,FALSE),main!$K$18:$O$18,0))))),1,0)</f>
        <v>0</v>
      </c>
      <c r="AD16">
        <f>IF((AND(VLOOKUP(AD$1,main!$A$3:$I$56,5,FALSE)-VLOOKUP($A16,main!$A$3:$I$56,6,FALSE)&gt;=(VLOOKUP(VLOOKUP(AD$1,main!$A$3:$I$56,8,FALSE),main!$K$11:$M$14,2,FALSE)+VLOOKUP(VLOOKUP(AD$1,main!$A$3:$I$56,7,FALSE),main!$K$19:$O$22,MATCH(VLOOKUP($A16,main!$A$3:$I$56,8,FALSE),main!$K$18:$O$18,0))))),1,0)</f>
        <v>0</v>
      </c>
      <c r="AE16">
        <f>IF((AND(VLOOKUP(AE$1,main!$A$3:$I$56,5,FALSE)-VLOOKUP($A16,main!$A$3:$I$56,6,FALSE)&gt;=(VLOOKUP(VLOOKUP(AE$1,main!$A$3:$I$56,8,FALSE),main!$K$11:$M$14,2,FALSE)+VLOOKUP(VLOOKUP(AE$1,main!$A$3:$I$56,7,FALSE),main!$K$19:$O$22,MATCH(VLOOKUP($A16,main!$A$3:$I$56,8,FALSE),main!$K$18:$O$18,0))))),1,0)</f>
        <v>1</v>
      </c>
      <c r="AF16">
        <f>IF((AND(VLOOKUP(AF$1,main!$A$3:$I$56,5,FALSE)-VLOOKUP($A16,main!$A$3:$I$56,6,FALSE)&gt;=(VLOOKUP(VLOOKUP(AF$1,main!$A$3:$I$56,8,FALSE),main!$K$11:$M$14,2,FALSE)+VLOOKUP(VLOOKUP(AF$1,main!$A$3:$I$56,7,FALSE),main!$K$19:$O$22,MATCH(VLOOKUP($A16,main!$A$3:$I$56,8,FALSE),main!$K$18:$O$18,0))))),1,0)</f>
        <v>1</v>
      </c>
      <c r="AG16">
        <f>IF((AND(VLOOKUP(AG$1,main!$A$3:$I$56,5,FALSE)-VLOOKUP($A16,main!$A$3:$I$56,6,FALSE)&gt;=(VLOOKUP(VLOOKUP(AG$1,main!$A$3:$I$56,8,FALSE),main!$K$11:$M$14,2,FALSE)+VLOOKUP(VLOOKUP(AG$1,main!$A$3:$I$56,7,FALSE),main!$K$19:$O$22,MATCH(VLOOKUP($A16,main!$A$3:$I$56,8,FALSE),main!$K$18:$O$18,0))))),1,0)</f>
        <v>0</v>
      </c>
      <c r="AH16">
        <f>IF((AND(VLOOKUP(AH$1,main!$A$3:$I$56,5,FALSE)-VLOOKUP($A16,main!$A$3:$I$56,6,FALSE)&gt;=(VLOOKUP(VLOOKUP(AH$1,main!$A$3:$I$56,8,FALSE),main!$K$11:$M$14,2,FALSE)+VLOOKUP(VLOOKUP(AH$1,main!$A$3:$I$56,7,FALSE),main!$K$19:$O$22,MATCH(VLOOKUP($A16,main!$A$3:$I$56,8,FALSE),main!$K$18:$O$18,0))))),1,0)</f>
        <v>0</v>
      </c>
      <c r="AI16">
        <f>IF((AND(VLOOKUP(AI$1,main!$A$3:$I$56,5,FALSE)-VLOOKUP($A16,main!$A$3:$I$56,6,FALSE)&gt;=(VLOOKUP(VLOOKUP(AI$1,main!$A$3:$I$56,8,FALSE),main!$K$11:$M$14,2,FALSE)+VLOOKUP(VLOOKUP(AI$1,main!$A$3:$I$56,7,FALSE),main!$K$19:$O$22,MATCH(VLOOKUP($A16,main!$A$3:$I$56,8,FALSE),main!$K$18:$O$18,0))))),1,0)</f>
        <v>1</v>
      </c>
      <c r="AJ16">
        <f>IF((AND(VLOOKUP(AJ$1,main!$A$3:$I$56,5,FALSE)-VLOOKUP($A16,main!$A$3:$I$56,6,FALSE)&gt;=(VLOOKUP(VLOOKUP(AJ$1,main!$A$3:$I$56,8,FALSE),main!$K$11:$M$14,2,FALSE)+VLOOKUP(VLOOKUP(AJ$1,main!$A$3:$I$56,7,FALSE),main!$K$19:$O$22,MATCH(VLOOKUP($A16,main!$A$3:$I$56,8,FALSE),main!$K$18:$O$18,0))))),1,0)</f>
        <v>1</v>
      </c>
      <c r="AK16">
        <f>IF((AND(VLOOKUP(AK$1,main!$A$3:$I$56,5,FALSE)-VLOOKUP($A16,main!$A$3:$I$56,6,FALSE)&gt;=(VLOOKUP(VLOOKUP(AK$1,main!$A$3:$I$56,8,FALSE),main!$K$11:$M$14,2,FALSE)+VLOOKUP(VLOOKUP(AK$1,main!$A$3:$I$56,7,FALSE),main!$K$19:$O$22,MATCH(VLOOKUP($A16,main!$A$3:$I$56,8,FALSE),main!$K$18:$O$18,0))))),1,0)</f>
        <v>1</v>
      </c>
      <c r="AL16">
        <f>IF((AND(VLOOKUP(AL$1,main!$A$3:$I$56,5,FALSE)-VLOOKUP($A16,main!$A$3:$I$56,6,FALSE)&gt;=(VLOOKUP(VLOOKUP(AL$1,main!$A$3:$I$56,8,FALSE),main!$K$11:$M$14,2,FALSE)+VLOOKUP(VLOOKUP(AL$1,main!$A$3:$I$56,7,FALSE),main!$K$19:$O$22,MATCH(VLOOKUP($A16,main!$A$3:$I$56,8,FALSE),main!$K$18:$O$18,0))))),1,0)</f>
        <v>0</v>
      </c>
      <c r="AM16">
        <f>IF((AND(VLOOKUP(AM$1,main!$A$3:$I$56,5,FALSE)-VLOOKUP($A16,main!$A$3:$I$56,6,FALSE)&gt;=(VLOOKUP(VLOOKUP(AM$1,main!$A$3:$I$56,8,FALSE),main!$K$11:$M$14,2,FALSE)+VLOOKUP(VLOOKUP(AM$1,main!$A$3:$I$56,7,FALSE),main!$K$19:$O$22,MATCH(VLOOKUP($A16,main!$A$3:$I$56,8,FALSE),main!$K$18:$O$18,0))))),1,0)</f>
        <v>0</v>
      </c>
      <c r="AN16">
        <f>IF((AND(VLOOKUP(AN$1,main!$A$3:$I$56,5,FALSE)-VLOOKUP($A16,main!$A$3:$I$56,6,FALSE)&gt;=(VLOOKUP(VLOOKUP(AN$1,main!$A$3:$I$56,8,FALSE),main!$K$11:$M$14,2,FALSE)+VLOOKUP(VLOOKUP(AN$1,main!$A$3:$I$56,7,FALSE),main!$K$19:$O$22,MATCH(VLOOKUP($A16,main!$A$3:$I$56,8,FALSE),main!$K$18:$O$18,0))))),1,0)</f>
        <v>1</v>
      </c>
      <c r="AO16">
        <f>IF((AND(VLOOKUP(AO$1,main!$A$3:$I$56,5,FALSE)-VLOOKUP($A16,main!$A$3:$I$56,6,FALSE)&gt;=(VLOOKUP(VLOOKUP(AO$1,main!$A$3:$I$56,8,FALSE),main!$K$11:$M$14,2,FALSE)+VLOOKUP(VLOOKUP(AO$1,main!$A$3:$I$56,7,FALSE),main!$K$19:$O$22,MATCH(VLOOKUP($A16,main!$A$3:$I$56,8,FALSE),main!$K$18:$O$18,0))))),1,0)</f>
        <v>1</v>
      </c>
      <c r="AP16">
        <f>IF((AND(VLOOKUP(AP$1,main!$A$3:$I$56,5,FALSE)-VLOOKUP($A16,main!$A$3:$I$56,6,FALSE)&gt;=(VLOOKUP(VLOOKUP(AP$1,main!$A$3:$I$56,8,FALSE),main!$K$11:$M$14,2,FALSE)+VLOOKUP(VLOOKUP(AP$1,main!$A$3:$I$56,7,FALSE),main!$K$19:$O$22,MATCH(VLOOKUP($A16,main!$A$3:$I$56,8,FALSE),main!$K$18:$O$18,0))))),1,0)</f>
        <v>0</v>
      </c>
      <c r="AQ16">
        <f>IF((AND(VLOOKUP(AQ$1,main!$A$3:$I$56,5,FALSE)-VLOOKUP($A16,main!$A$3:$I$56,6,FALSE)&gt;=(VLOOKUP(VLOOKUP(AQ$1,main!$A$3:$I$56,8,FALSE),main!$K$11:$M$14,2,FALSE)+VLOOKUP(VLOOKUP(AQ$1,main!$A$3:$I$56,7,FALSE),main!$K$19:$O$22,MATCH(VLOOKUP($A16,main!$A$3:$I$56,8,FALSE),main!$K$18:$O$18,0))))),1,0)</f>
        <v>0</v>
      </c>
      <c r="AR16">
        <f>IF((AND(VLOOKUP(AR$1,main!$A$3:$I$56,5,FALSE)-VLOOKUP($A16,main!$A$3:$I$56,6,FALSE)&gt;=(VLOOKUP(VLOOKUP(AR$1,main!$A$3:$I$56,8,FALSE),main!$K$11:$M$14,2,FALSE)+VLOOKUP(VLOOKUP(AR$1,main!$A$3:$I$56,7,FALSE),main!$K$19:$O$22,MATCH(VLOOKUP($A16,main!$A$3:$I$56,8,FALSE),main!$K$18:$O$18,0))))),1,0)</f>
        <v>0</v>
      </c>
      <c r="AS16">
        <f>IF((AND(VLOOKUP(AS$1,main!$A$3:$I$56,5,FALSE)-VLOOKUP($A16,main!$A$3:$I$56,6,FALSE)&gt;=(VLOOKUP(VLOOKUP(AS$1,main!$A$3:$I$56,8,FALSE),main!$K$11:$M$14,2,FALSE)+VLOOKUP(VLOOKUP(AS$1,main!$A$3:$I$56,7,FALSE),main!$K$19:$O$22,MATCH(VLOOKUP($A16,main!$A$3:$I$56,8,FALSE),main!$K$18:$O$18,0))))),1,0)</f>
        <v>1</v>
      </c>
      <c r="AT16">
        <f>IF((AND(VLOOKUP(AT$1,main!$A$3:$I$56,5,FALSE)-VLOOKUP($A16,main!$A$3:$I$56,6,FALSE)&gt;=(VLOOKUP(VLOOKUP(AT$1,main!$A$3:$I$56,8,FALSE),main!$K$11:$M$14,2,FALSE)+VLOOKUP(VLOOKUP(AT$1,main!$A$3:$I$56,7,FALSE),main!$K$19:$O$22,MATCH(VLOOKUP($A16,main!$A$3:$I$56,8,FALSE),main!$K$18:$O$18,0))))),1,0)</f>
        <v>1</v>
      </c>
      <c r="AU16">
        <f>IF((AND(VLOOKUP(AU$1,main!$A$3:$I$56,5,FALSE)-VLOOKUP($A16,main!$A$3:$I$56,6,FALSE)&gt;=(VLOOKUP(VLOOKUP(AU$1,main!$A$3:$I$56,8,FALSE),main!$K$11:$M$14,2,FALSE)+VLOOKUP(VLOOKUP(AU$1,main!$A$3:$I$56,7,FALSE),main!$K$19:$O$22,MATCH(VLOOKUP($A16,main!$A$3:$I$56,8,FALSE),main!$K$18:$O$18,0))))),1,0)</f>
        <v>1</v>
      </c>
      <c r="AV16">
        <f>IF((AND(VLOOKUP(AV$1,main!$A$3:$I$56,5,FALSE)-VLOOKUP($A16,main!$A$3:$I$56,6,FALSE)&gt;=(VLOOKUP(VLOOKUP(AV$1,main!$A$3:$I$56,8,FALSE),main!$K$11:$M$14,2,FALSE)+VLOOKUP(VLOOKUP(AV$1,main!$A$3:$I$56,7,FALSE),main!$K$19:$O$22,MATCH(VLOOKUP($A16,main!$A$3:$I$56,8,FALSE),main!$K$18:$O$18,0))))),1,0)</f>
        <v>1</v>
      </c>
      <c r="AW16">
        <f>IF((AND(VLOOKUP(AW$1,main!$A$3:$I$56,5,FALSE)-VLOOKUP($A16,main!$A$3:$I$56,6,FALSE)&gt;=(VLOOKUP(VLOOKUP(AW$1,main!$A$3:$I$56,8,FALSE),main!$K$11:$M$14,2,FALSE)+VLOOKUP(VLOOKUP(AW$1,main!$A$3:$I$56,7,FALSE),main!$K$19:$O$22,MATCH(VLOOKUP($A16,main!$A$3:$I$56,8,FALSE),main!$K$18:$O$18,0))))),1,0)</f>
        <v>1</v>
      </c>
      <c r="AX16">
        <f>IF((AND(VLOOKUP(AX$1,main!$A$3:$I$56,5,FALSE)-VLOOKUP($A16,main!$A$3:$I$56,6,FALSE)&gt;=(VLOOKUP(VLOOKUP(AX$1,main!$A$3:$I$56,8,FALSE),main!$K$11:$M$14,2,FALSE)+VLOOKUP(VLOOKUP(AX$1,main!$A$3:$I$56,7,FALSE),main!$K$19:$O$22,MATCH(VLOOKUP($A16,main!$A$3:$I$56,8,FALSE),main!$K$18:$O$18,0))))),1,0)</f>
        <v>1</v>
      </c>
      <c r="AY16">
        <f>IF((AND(VLOOKUP(AY$1,main!$A$3:$I$56,5,FALSE)-VLOOKUP($A16,main!$A$3:$I$56,6,FALSE)&gt;=(VLOOKUP(VLOOKUP(AY$1,main!$A$3:$I$56,8,FALSE),main!$K$11:$M$14,2,FALSE)+VLOOKUP(VLOOKUP(AY$1,main!$A$3:$I$56,7,FALSE),main!$K$19:$O$22,MATCH(VLOOKUP($A16,main!$A$3:$I$56,8,FALSE),main!$K$18:$O$18,0))))),1,0)</f>
        <v>1</v>
      </c>
      <c r="AZ16">
        <f>IF((AND(VLOOKUP(AZ$1,main!$A$3:$I$56,5,FALSE)-VLOOKUP($A16,main!$A$3:$I$56,6,FALSE)&gt;=(VLOOKUP(VLOOKUP(AZ$1,main!$A$3:$I$56,8,FALSE),main!$K$11:$M$14,2,FALSE)+VLOOKUP(VLOOKUP(AZ$1,main!$A$3:$I$56,7,FALSE),main!$K$19:$O$22,MATCH(VLOOKUP($A16,main!$A$3:$I$56,8,FALSE),main!$K$18:$O$18,0))))),1,0)</f>
        <v>0</v>
      </c>
      <c r="BA16">
        <f>IF((AND(VLOOKUP(BA$1,main!$A$3:$I$56,5,FALSE)-VLOOKUP($A16,main!$A$3:$I$56,6,FALSE)&gt;=(VLOOKUP(VLOOKUP(BA$1,main!$A$3:$I$56,8,FALSE),main!$K$11:$M$14,2,FALSE)+VLOOKUP(VLOOKUP(BA$1,main!$A$3:$I$56,7,FALSE),main!$K$19:$O$22,MATCH(VLOOKUP($A16,main!$A$3:$I$56,8,FALSE),main!$K$18:$O$18,0))))),1,0)</f>
        <v>1</v>
      </c>
      <c r="BB16">
        <f>IF((AND(VLOOKUP(BB$1,main!$A$3:$I$56,5,FALSE)-VLOOKUP($A16,main!$A$3:$I$56,6,FALSE)&gt;=(VLOOKUP(VLOOKUP(BB$1,main!$A$3:$I$56,8,FALSE),main!$K$11:$M$14,2,FALSE)+VLOOKUP(VLOOKUP(BB$1,main!$A$3:$I$56,7,FALSE),main!$K$19:$O$22,MATCH(VLOOKUP($A16,main!$A$3:$I$56,8,FALSE),main!$K$18:$O$18,0))))),1,0)</f>
        <v>1</v>
      </c>
      <c r="BC16">
        <f>IF((AND(VLOOKUP(BC$1,main!$A$3:$I$56,5,FALSE)-VLOOKUP($A16,main!$A$3:$I$56,6,FALSE)&gt;=(VLOOKUP(VLOOKUP(BC$1,main!$A$3:$I$56,8,FALSE),main!$K$11:$M$14,2,FALSE)+VLOOKUP(VLOOKUP(BC$1,main!$A$3:$I$56,7,FALSE),main!$K$19:$O$22,MATCH(VLOOKUP($A16,main!$A$3:$I$56,8,FALSE),main!$K$18:$O$18,0))))),1,0)</f>
        <v>1</v>
      </c>
      <c r="BD16">
        <f>IF((AND(VLOOKUP(BD$1,main!$A$3:$I$56,5,FALSE)-VLOOKUP($A16,main!$A$3:$I$56,6,FALSE)&gt;=(VLOOKUP(VLOOKUP(BD$1,main!$A$3:$I$56,8,FALSE),main!$K$11:$M$14,2,FALSE)+VLOOKUP(VLOOKUP(BD$1,main!$A$3:$I$56,7,FALSE),main!$K$19:$O$22,MATCH(VLOOKUP($A16,main!$A$3:$I$56,8,FALSE),main!$K$18:$O$18,0))))),1,0)</f>
        <v>1</v>
      </c>
    </row>
    <row r="17" spans="1:56" x14ac:dyDescent="0.25">
      <c r="A17">
        <f t="shared" si="0"/>
        <v>15</v>
      </c>
      <c r="B17">
        <v>1</v>
      </c>
      <c r="C17">
        <f>IF((AND(VLOOKUP(C$1,main!$A$3:$I$56,5,FALSE)-VLOOKUP($A17,main!$A$3:$I$56,6,FALSE)&gt;=(VLOOKUP(VLOOKUP(C$1,main!$A$3:$I$56,8,FALSE),main!$K$11:$M$14,2,FALSE)+VLOOKUP(VLOOKUP(C$1,main!$A$3:$I$56,7,FALSE),main!$K$19:$O$22,MATCH(VLOOKUP($A17,main!$A$3:$I$56,8,FALSE),main!$K$18:$O$18,0))))),1,0)</f>
        <v>0</v>
      </c>
      <c r="D17">
        <f>IF((AND(VLOOKUP(D$1,main!$A$3:$I$56,5,FALSE)-VLOOKUP($A17,main!$A$3:$I$56,6,FALSE)&gt;=(VLOOKUP(VLOOKUP(D$1,main!$A$3:$I$56,8,FALSE),main!$K$11:$M$14,2,FALSE)+VLOOKUP(VLOOKUP(D$1,main!$A$3:$I$56,7,FALSE),main!$K$19:$O$22,MATCH(VLOOKUP($A17,main!$A$3:$I$56,8,FALSE),main!$K$18:$O$18,0))))),1,0)</f>
        <v>0</v>
      </c>
      <c r="E17">
        <f>IF((AND(VLOOKUP(E$1,main!$A$3:$I$56,5,FALSE)-VLOOKUP($A17,main!$A$3:$I$56,6,FALSE)&gt;=(VLOOKUP(VLOOKUP(E$1,main!$A$3:$I$56,8,FALSE),main!$K$11:$M$14,2,FALSE)+VLOOKUP(VLOOKUP(E$1,main!$A$3:$I$56,7,FALSE),main!$K$19:$O$22,MATCH(VLOOKUP($A17,main!$A$3:$I$56,8,FALSE),main!$K$18:$O$18,0))))),1,0)</f>
        <v>1</v>
      </c>
      <c r="F17">
        <f>IF((AND(VLOOKUP(F$1,main!$A$3:$I$56,5,FALSE)-VLOOKUP($A17,main!$A$3:$I$56,6,FALSE)&gt;=(VLOOKUP(VLOOKUP(F$1,main!$A$3:$I$56,8,FALSE),main!$K$11:$M$14,2,FALSE)+VLOOKUP(VLOOKUP(F$1,main!$A$3:$I$56,7,FALSE),main!$K$19:$O$22,MATCH(VLOOKUP($A17,main!$A$3:$I$56,8,FALSE),main!$K$18:$O$18,0))))),1,0)</f>
        <v>1</v>
      </c>
      <c r="G17">
        <f>IF((AND(VLOOKUP(G$1,main!$A$3:$I$56,5,FALSE)-VLOOKUP($A17,main!$A$3:$I$56,6,FALSE)&gt;=(VLOOKUP(VLOOKUP(G$1,main!$A$3:$I$56,8,FALSE),main!$K$11:$M$14,2,FALSE)+VLOOKUP(VLOOKUP(G$1,main!$A$3:$I$56,7,FALSE),main!$K$19:$O$22,MATCH(VLOOKUP($A17,main!$A$3:$I$56,8,FALSE),main!$K$18:$O$18,0))))),1,0)</f>
        <v>1</v>
      </c>
      <c r="H17">
        <f>IF((AND(VLOOKUP(H$1,main!$A$3:$I$56,5,FALSE)-VLOOKUP($A17,main!$A$3:$I$56,6,FALSE)&gt;=(VLOOKUP(VLOOKUP(H$1,main!$A$3:$I$56,8,FALSE),main!$K$11:$M$14,2,FALSE)+VLOOKUP(VLOOKUP(H$1,main!$A$3:$I$56,7,FALSE),main!$K$19:$O$22,MATCH(VLOOKUP($A17,main!$A$3:$I$56,8,FALSE),main!$K$18:$O$18,0))))),1,0)</f>
        <v>1</v>
      </c>
      <c r="I17">
        <f>IF((AND(VLOOKUP(I$1,main!$A$3:$I$56,5,FALSE)-VLOOKUP($A17,main!$A$3:$I$56,6,FALSE)&gt;=(VLOOKUP(VLOOKUP(I$1,main!$A$3:$I$56,8,FALSE),main!$K$11:$M$14,2,FALSE)+VLOOKUP(VLOOKUP(I$1,main!$A$3:$I$56,7,FALSE),main!$K$19:$O$22,MATCH(VLOOKUP($A17,main!$A$3:$I$56,8,FALSE),main!$K$18:$O$18,0))))),1,0)</f>
        <v>1</v>
      </c>
      <c r="J17">
        <f>IF((AND(VLOOKUP(J$1,main!$A$3:$I$56,5,FALSE)-VLOOKUP($A17,main!$A$3:$I$56,6,FALSE)&gt;=(VLOOKUP(VLOOKUP(J$1,main!$A$3:$I$56,8,FALSE),main!$K$11:$M$14,2,FALSE)+VLOOKUP(VLOOKUP(J$1,main!$A$3:$I$56,7,FALSE),main!$K$19:$O$22,MATCH(VLOOKUP($A17,main!$A$3:$I$56,8,FALSE),main!$K$18:$O$18,0))))),1,0)</f>
        <v>1</v>
      </c>
      <c r="K17">
        <f>IF((AND(VLOOKUP(K$1,main!$A$3:$I$56,5,FALSE)-VLOOKUP($A17,main!$A$3:$I$56,6,FALSE)&gt;=(VLOOKUP(VLOOKUP(K$1,main!$A$3:$I$56,8,FALSE),main!$K$11:$M$14,2,FALSE)+VLOOKUP(VLOOKUP(K$1,main!$A$3:$I$56,7,FALSE),main!$K$19:$O$22,MATCH(VLOOKUP($A17,main!$A$3:$I$56,8,FALSE),main!$K$18:$O$18,0))))),1,0)</f>
        <v>0</v>
      </c>
      <c r="L17">
        <f>IF((AND(VLOOKUP(L$1,main!$A$3:$I$56,5,FALSE)-VLOOKUP($A17,main!$A$3:$I$56,6,FALSE)&gt;=(VLOOKUP(VLOOKUP(L$1,main!$A$3:$I$56,8,FALSE),main!$K$11:$M$14,2,FALSE)+VLOOKUP(VLOOKUP(L$1,main!$A$3:$I$56,7,FALSE),main!$K$19:$O$22,MATCH(VLOOKUP($A17,main!$A$3:$I$56,8,FALSE),main!$K$18:$O$18,0))))),1,0)</f>
        <v>0</v>
      </c>
      <c r="M17">
        <f>IF((AND(VLOOKUP(M$1,main!$A$3:$I$56,5,FALSE)-VLOOKUP($A17,main!$A$3:$I$56,6,FALSE)&gt;=(VLOOKUP(VLOOKUP(M$1,main!$A$3:$I$56,8,FALSE),main!$K$11:$M$14,2,FALSE)+VLOOKUP(VLOOKUP(M$1,main!$A$3:$I$56,7,FALSE),main!$K$19:$O$22,MATCH(VLOOKUP($A17,main!$A$3:$I$56,8,FALSE),main!$K$18:$O$18,0))))),1,0)</f>
        <v>0</v>
      </c>
      <c r="N17">
        <f>IF((AND(VLOOKUP(N$1,main!$A$3:$I$56,5,FALSE)-VLOOKUP($A17,main!$A$3:$I$56,6,FALSE)&gt;=(VLOOKUP(VLOOKUP(N$1,main!$A$3:$I$56,8,FALSE),main!$K$11:$M$14,2,FALSE)+VLOOKUP(VLOOKUP(N$1,main!$A$3:$I$56,7,FALSE),main!$K$19:$O$22,MATCH(VLOOKUP($A17,main!$A$3:$I$56,8,FALSE),main!$K$18:$O$18,0))))),1,0)</f>
        <v>1</v>
      </c>
      <c r="O17">
        <f>IF((AND(VLOOKUP(O$1,main!$A$3:$I$56,5,FALSE)-VLOOKUP($A17,main!$A$3:$I$56,6,FALSE)&gt;=(VLOOKUP(VLOOKUP(O$1,main!$A$3:$I$56,8,FALSE),main!$K$11:$M$14,2,FALSE)+VLOOKUP(VLOOKUP(O$1,main!$A$3:$I$56,7,FALSE),main!$K$19:$O$22,MATCH(VLOOKUP($A17,main!$A$3:$I$56,8,FALSE),main!$K$18:$O$18,0))))),1,0)</f>
        <v>1</v>
      </c>
      <c r="P17">
        <f>IF((AND(VLOOKUP(P$1,main!$A$3:$I$56,5,FALSE)-VLOOKUP($A17,main!$A$3:$I$56,6,FALSE)&gt;=(VLOOKUP(VLOOKUP(P$1,main!$A$3:$I$56,8,FALSE),main!$K$11:$M$14,2,FALSE)+VLOOKUP(VLOOKUP(P$1,main!$A$3:$I$56,7,FALSE),main!$K$19:$O$22,MATCH(VLOOKUP($A17,main!$A$3:$I$56,8,FALSE),main!$K$18:$O$18,0))))),1,0)</f>
        <v>0</v>
      </c>
      <c r="Q17">
        <f>IF((AND(VLOOKUP(Q$1,main!$A$3:$I$56,5,FALSE)-VLOOKUP($A17,main!$A$3:$I$56,6,FALSE)&gt;=(VLOOKUP(VLOOKUP(Q$1,main!$A$3:$I$56,8,FALSE),main!$K$11:$M$14,2,FALSE)+VLOOKUP(VLOOKUP(Q$1,main!$A$3:$I$56,7,FALSE),main!$K$19:$O$22,MATCH(VLOOKUP($A17,main!$A$3:$I$56,8,FALSE),main!$K$18:$O$18,0))))),1,0)</f>
        <v>0</v>
      </c>
      <c r="R17">
        <f>IF((AND(VLOOKUP(R$1,main!$A$3:$I$56,5,FALSE)-VLOOKUP($A17,main!$A$3:$I$56,6,FALSE)&gt;=(VLOOKUP(VLOOKUP(R$1,main!$A$3:$I$56,8,FALSE),main!$K$11:$M$14,2,FALSE)+VLOOKUP(VLOOKUP(R$1,main!$A$3:$I$56,7,FALSE),main!$K$19:$O$22,MATCH(VLOOKUP($A17,main!$A$3:$I$56,8,FALSE),main!$K$18:$O$18,0))))),1,0)</f>
        <v>0</v>
      </c>
      <c r="S17">
        <f>IF((AND(VLOOKUP(S$1,main!$A$3:$I$56,5,FALSE)-VLOOKUP($A17,main!$A$3:$I$56,6,FALSE)&gt;=(VLOOKUP(VLOOKUP(S$1,main!$A$3:$I$56,8,FALSE),main!$K$11:$M$14,2,FALSE)+VLOOKUP(VLOOKUP(S$1,main!$A$3:$I$56,7,FALSE),main!$K$19:$O$22,MATCH(VLOOKUP($A17,main!$A$3:$I$56,8,FALSE),main!$K$18:$O$18,0))))),1,0)</f>
        <v>1</v>
      </c>
      <c r="T17">
        <f>IF((AND(VLOOKUP(T$1,main!$A$3:$I$56,5,FALSE)-VLOOKUP($A17,main!$A$3:$I$56,6,FALSE)&gt;=(VLOOKUP(VLOOKUP(T$1,main!$A$3:$I$56,8,FALSE),main!$K$11:$M$14,2,FALSE)+VLOOKUP(VLOOKUP(T$1,main!$A$3:$I$56,7,FALSE),main!$K$19:$O$22,MATCH(VLOOKUP($A17,main!$A$3:$I$56,8,FALSE),main!$K$18:$O$18,0))))),1,0)</f>
        <v>1</v>
      </c>
      <c r="U17">
        <f>IF((AND(VLOOKUP(U$1,main!$A$3:$I$56,5,FALSE)-VLOOKUP($A17,main!$A$3:$I$56,6,FALSE)&gt;=(VLOOKUP(VLOOKUP(U$1,main!$A$3:$I$56,8,FALSE),main!$K$11:$M$14,2,FALSE)+VLOOKUP(VLOOKUP(U$1,main!$A$3:$I$56,7,FALSE),main!$K$19:$O$22,MATCH(VLOOKUP($A17,main!$A$3:$I$56,8,FALSE),main!$K$18:$O$18,0))))),1,0)</f>
        <v>0</v>
      </c>
      <c r="V17">
        <f>IF((AND(VLOOKUP(V$1,main!$A$3:$I$56,5,FALSE)-VLOOKUP($A17,main!$A$3:$I$56,6,FALSE)&gt;=(VLOOKUP(VLOOKUP(V$1,main!$A$3:$I$56,8,FALSE),main!$K$11:$M$14,2,FALSE)+VLOOKUP(VLOOKUP(V$1,main!$A$3:$I$56,7,FALSE),main!$K$19:$O$22,MATCH(VLOOKUP($A17,main!$A$3:$I$56,8,FALSE),main!$K$18:$O$18,0))))),1,0)</f>
        <v>0</v>
      </c>
      <c r="W17">
        <f>IF((AND(VLOOKUP(W$1,main!$A$3:$I$56,5,FALSE)-VLOOKUP($A17,main!$A$3:$I$56,6,FALSE)&gt;=(VLOOKUP(VLOOKUP(W$1,main!$A$3:$I$56,8,FALSE),main!$K$11:$M$14,2,FALSE)+VLOOKUP(VLOOKUP(W$1,main!$A$3:$I$56,7,FALSE),main!$K$19:$O$22,MATCH(VLOOKUP($A17,main!$A$3:$I$56,8,FALSE),main!$K$18:$O$18,0))))),1,0)</f>
        <v>0</v>
      </c>
      <c r="X17">
        <f>IF((AND(VLOOKUP(X$1,main!$A$3:$I$56,5,FALSE)-VLOOKUP($A17,main!$A$3:$I$56,6,FALSE)&gt;=(VLOOKUP(VLOOKUP(X$1,main!$A$3:$I$56,8,FALSE),main!$K$11:$M$14,2,FALSE)+VLOOKUP(VLOOKUP(X$1,main!$A$3:$I$56,7,FALSE),main!$K$19:$O$22,MATCH(VLOOKUP($A17,main!$A$3:$I$56,8,FALSE),main!$K$18:$O$18,0))))),1,0)</f>
        <v>0</v>
      </c>
      <c r="Y17">
        <f>IF((AND(VLOOKUP(Y$1,main!$A$3:$I$56,5,FALSE)-VLOOKUP($A17,main!$A$3:$I$56,6,FALSE)&gt;=(VLOOKUP(VLOOKUP(Y$1,main!$A$3:$I$56,8,FALSE),main!$K$11:$M$14,2,FALSE)+VLOOKUP(VLOOKUP(Y$1,main!$A$3:$I$56,7,FALSE),main!$K$19:$O$22,MATCH(VLOOKUP($A17,main!$A$3:$I$56,8,FALSE),main!$K$18:$O$18,0))))),1,0)</f>
        <v>1</v>
      </c>
      <c r="Z17">
        <f>IF((AND(VLOOKUP(Z$1,main!$A$3:$I$56,5,FALSE)-VLOOKUP($A17,main!$A$3:$I$56,6,FALSE)&gt;=(VLOOKUP(VLOOKUP(Z$1,main!$A$3:$I$56,8,FALSE),main!$K$11:$M$14,2,FALSE)+VLOOKUP(VLOOKUP(Z$1,main!$A$3:$I$56,7,FALSE),main!$K$19:$O$22,MATCH(VLOOKUP($A17,main!$A$3:$I$56,8,FALSE),main!$K$18:$O$18,0))))),1,0)</f>
        <v>1</v>
      </c>
      <c r="AA17">
        <f>IF((AND(VLOOKUP(AA$1,main!$A$3:$I$56,5,FALSE)-VLOOKUP($A17,main!$A$3:$I$56,6,FALSE)&gt;=(VLOOKUP(VLOOKUP(AA$1,main!$A$3:$I$56,8,FALSE),main!$K$11:$M$14,2,FALSE)+VLOOKUP(VLOOKUP(AA$1,main!$A$3:$I$56,7,FALSE),main!$K$19:$O$22,MATCH(VLOOKUP($A17,main!$A$3:$I$56,8,FALSE),main!$K$18:$O$18,0))))),1,0)</f>
        <v>1</v>
      </c>
      <c r="AB17">
        <f>IF((AND(VLOOKUP(AB$1,main!$A$3:$I$56,5,FALSE)-VLOOKUP($A17,main!$A$3:$I$56,6,FALSE)&gt;=(VLOOKUP(VLOOKUP(AB$1,main!$A$3:$I$56,8,FALSE),main!$K$11:$M$14,2,FALSE)+VLOOKUP(VLOOKUP(AB$1,main!$A$3:$I$56,7,FALSE),main!$K$19:$O$22,MATCH(VLOOKUP($A17,main!$A$3:$I$56,8,FALSE),main!$K$18:$O$18,0))))),1,0)</f>
        <v>1</v>
      </c>
      <c r="AC17">
        <f>IF((AND(VLOOKUP(AC$1,main!$A$3:$I$56,5,FALSE)-VLOOKUP($A17,main!$A$3:$I$56,6,FALSE)&gt;=(VLOOKUP(VLOOKUP(AC$1,main!$A$3:$I$56,8,FALSE),main!$K$11:$M$14,2,FALSE)+VLOOKUP(VLOOKUP(AC$1,main!$A$3:$I$56,7,FALSE),main!$K$19:$O$22,MATCH(VLOOKUP($A17,main!$A$3:$I$56,8,FALSE),main!$K$18:$O$18,0))))),1,0)</f>
        <v>0</v>
      </c>
      <c r="AD17">
        <f>IF((AND(VLOOKUP(AD$1,main!$A$3:$I$56,5,FALSE)-VLOOKUP($A17,main!$A$3:$I$56,6,FALSE)&gt;=(VLOOKUP(VLOOKUP(AD$1,main!$A$3:$I$56,8,FALSE),main!$K$11:$M$14,2,FALSE)+VLOOKUP(VLOOKUP(AD$1,main!$A$3:$I$56,7,FALSE),main!$K$19:$O$22,MATCH(VLOOKUP($A17,main!$A$3:$I$56,8,FALSE),main!$K$18:$O$18,0))))),1,0)</f>
        <v>0</v>
      </c>
      <c r="AE17">
        <f>IF((AND(VLOOKUP(AE$1,main!$A$3:$I$56,5,FALSE)-VLOOKUP($A17,main!$A$3:$I$56,6,FALSE)&gt;=(VLOOKUP(VLOOKUP(AE$1,main!$A$3:$I$56,8,FALSE),main!$K$11:$M$14,2,FALSE)+VLOOKUP(VLOOKUP(AE$1,main!$A$3:$I$56,7,FALSE),main!$K$19:$O$22,MATCH(VLOOKUP($A17,main!$A$3:$I$56,8,FALSE),main!$K$18:$O$18,0))))),1,0)</f>
        <v>0</v>
      </c>
      <c r="AF17">
        <f>IF((AND(VLOOKUP(AF$1,main!$A$3:$I$56,5,FALSE)-VLOOKUP($A17,main!$A$3:$I$56,6,FALSE)&gt;=(VLOOKUP(VLOOKUP(AF$1,main!$A$3:$I$56,8,FALSE),main!$K$11:$M$14,2,FALSE)+VLOOKUP(VLOOKUP(AF$1,main!$A$3:$I$56,7,FALSE),main!$K$19:$O$22,MATCH(VLOOKUP($A17,main!$A$3:$I$56,8,FALSE),main!$K$18:$O$18,0))))),1,0)</f>
        <v>1</v>
      </c>
      <c r="AG17">
        <f>IF((AND(VLOOKUP(AG$1,main!$A$3:$I$56,5,FALSE)-VLOOKUP($A17,main!$A$3:$I$56,6,FALSE)&gt;=(VLOOKUP(VLOOKUP(AG$1,main!$A$3:$I$56,8,FALSE),main!$K$11:$M$14,2,FALSE)+VLOOKUP(VLOOKUP(AG$1,main!$A$3:$I$56,7,FALSE),main!$K$19:$O$22,MATCH(VLOOKUP($A17,main!$A$3:$I$56,8,FALSE),main!$K$18:$O$18,0))))),1,0)</f>
        <v>0</v>
      </c>
      <c r="AH17">
        <f>IF((AND(VLOOKUP(AH$1,main!$A$3:$I$56,5,FALSE)-VLOOKUP($A17,main!$A$3:$I$56,6,FALSE)&gt;=(VLOOKUP(VLOOKUP(AH$1,main!$A$3:$I$56,8,FALSE),main!$K$11:$M$14,2,FALSE)+VLOOKUP(VLOOKUP(AH$1,main!$A$3:$I$56,7,FALSE),main!$K$19:$O$22,MATCH(VLOOKUP($A17,main!$A$3:$I$56,8,FALSE),main!$K$18:$O$18,0))))),1,0)</f>
        <v>0</v>
      </c>
      <c r="AI17">
        <f>IF((AND(VLOOKUP(AI$1,main!$A$3:$I$56,5,FALSE)-VLOOKUP($A17,main!$A$3:$I$56,6,FALSE)&gt;=(VLOOKUP(VLOOKUP(AI$1,main!$A$3:$I$56,8,FALSE),main!$K$11:$M$14,2,FALSE)+VLOOKUP(VLOOKUP(AI$1,main!$A$3:$I$56,7,FALSE),main!$K$19:$O$22,MATCH(VLOOKUP($A17,main!$A$3:$I$56,8,FALSE),main!$K$18:$O$18,0))))),1,0)</f>
        <v>1</v>
      </c>
      <c r="AJ17">
        <f>IF((AND(VLOOKUP(AJ$1,main!$A$3:$I$56,5,FALSE)-VLOOKUP($A17,main!$A$3:$I$56,6,FALSE)&gt;=(VLOOKUP(VLOOKUP(AJ$1,main!$A$3:$I$56,8,FALSE),main!$K$11:$M$14,2,FALSE)+VLOOKUP(VLOOKUP(AJ$1,main!$A$3:$I$56,7,FALSE),main!$K$19:$O$22,MATCH(VLOOKUP($A17,main!$A$3:$I$56,8,FALSE),main!$K$18:$O$18,0))))),1,0)</f>
        <v>1</v>
      </c>
      <c r="AK17">
        <f>IF((AND(VLOOKUP(AK$1,main!$A$3:$I$56,5,FALSE)-VLOOKUP($A17,main!$A$3:$I$56,6,FALSE)&gt;=(VLOOKUP(VLOOKUP(AK$1,main!$A$3:$I$56,8,FALSE),main!$K$11:$M$14,2,FALSE)+VLOOKUP(VLOOKUP(AK$1,main!$A$3:$I$56,7,FALSE),main!$K$19:$O$22,MATCH(VLOOKUP($A17,main!$A$3:$I$56,8,FALSE),main!$K$18:$O$18,0))))),1,0)</f>
        <v>1</v>
      </c>
      <c r="AL17">
        <f>IF((AND(VLOOKUP(AL$1,main!$A$3:$I$56,5,FALSE)-VLOOKUP($A17,main!$A$3:$I$56,6,FALSE)&gt;=(VLOOKUP(VLOOKUP(AL$1,main!$A$3:$I$56,8,FALSE),main!$K$11:$M$14,2,FALSE)+VLOOKUP(VLOOKUP(AL$1,main!$A$3:$I$56,7,FALSE),main!$K$19:$O$22,MATCH(VLOOKUP($A17,main!$A$3:$I$56,8,FALSE),main!$K$18:$O$18,0))))),1,0)</f>
        <v>0</v>
      </c>
      <c r="AM17">
        <f>IF((AND(VLOOKUP(AM$1,main!$A$3:$I$56,5,FALSE)-VLOOKUP($A17,main!$A$3:$I$56,6,FALSE)&gt;=(VLOOKUP(VLOOKUP(AM$1,main!$A$3:$I$56,8,FALSE),main!$K$11:$M$14,2,FALSE)+VLOOKUP(VLOOKUP(AM$1,main!$A$3:$I$56,7,FALSE),main!$K$19:$O$22,MATCH(VLOOKUP($A17,main!$A$3:$I$56,8,FALSE),main!$K$18:$O$18,0))))),1,0)</f>
        <v>0</v>
      </c>
      <c r="AN17">
        <f>IF((AND(VLOOKUP(AN$1,main!$A$3:$I$56,5,FALSE)-VLOOKUP($A17,main!$A$3:$I$56,6,FALSE)&gt;=(VLOOKUP(VLOOKUP(AN$1,main!$A$3:$I$56,8,FALSE),main!$K$11:$M$14,2,FALSE)+VLOOKUP(VLOOKUP(AN$1,main!$A$3:$I$56,7,FALSE),main!$K$19:$O$22,MATCH(VLOOKUP($A17,main!$A$3:$I$56,8,FALSE),main!$K$18:$O$18,0))))),1,0)</f>
        <v>1</v>
      </c>
      <c r="AO17">
        <f>IF((AND(VLOOKUP(AO$1,main!$A$3:$I$56,5,FALSE)-VLOOKUP($A17,main!$A$3:$I$56,6,FALSE)&gt;=(VLOOKUP(VLOOKUP(AO$1,main!$A$3:$I$56,8,FALSE),main!$K$11:$M$14,2,FALSE)+VLOOKUP(VLOOKUP(AO$1,main!$A$3:$I$56,7,FALSE),main!$K$19:$O$22,MATCH(VLOOKUP($A17,main!$A$3:$I$56,8,FALSE),main!$K$18:$O$18,0))))),1,0)</f>
        <v>1</v>
      </c>
      <c r="AP17">
        <f>IF((AND(VLOOKUP(AP$1,main!$A$3:$I$56,5,FALSE)-VLOOKUP($A17,main!$A$3:$I$56,6,FALSE)&gt;=(VLOOKUP(VLOOKUP(AP$1,main!$A$3:$I$56,8,FALSE),main!$K$11:$M$14,2,FALSE)+VLOOKUP(VLOOKUP(AP$1,main!$A$3:$I$56,7,FALSE),main!$K$19:$O$22,MATCH(VLOOKUP($A17,main!$A$3:$I$56,8,FALSE),main!$K$18:$O$18,0))))),1,0)</f>
        <v>0</v>
      </c>
      <c r="AQ17">
        <f>IF((AND(VLOOKUP(AQ$1,main!$A$3:$I$56,5,FALSE)-VLOOKUP($A17,main!$A$3:$I$56,6,FALSE)&gt;=(VLOOKUP(VLOOKUP(AQ$1,main!$A$3:$I$56,8,FALSE),main!$K$11:$M$14,2,FALSE)+VLOOKUP(VLOOKUP(AQ$1,main!$A$3:$I$56,7,FALSE),main!$K$19:$O$22,MATCH(VLOOKUP($A17,main!$A$3:$I$56,8,FALSE),main!$K$18:$O$18,0))))),1,0)</f>
        <v>0</v>
      </c>
      <c r="AR17">
        <f>IF((AND(VLOOKUP(AR$1,main!$A$3:$I$56,5,FALSE)-VLOOKUP($A17,main!$A$3:$I$56,6,FALSE)&gt;=(VLOOKUP(VLOOKUP(AR$1,main!$A$3:$I$56,8,FALSE),main!$K$11:$M$14,2,FALSE)+VLOOKUP(VLOOKUP(AR$1,main!$A$3:$I$56,7,FALSE),main!$K$19:$O$22,MATCH(VLOOKUP($A17,main!$A$3:$I$56,8,FALSE),main!$K$18:$O$18,0))))),1,0)</f>
        <v>0</v>
      </c>
      <c r="AS17">
        <f>IF((AND(VLOOKUP(AS$1,main!$A$3:$I$56,5,FALSE)-VLOOKUP($A17,main!$A$3:$I$56,6,FALSE)&gt;=(VLOOKUP(VLOOKUP(AS$1,main!$A$3:$I$56,8,FALSE),main!$K$11:$M$14,2,FALSE)+VLOOKUP(VLOOKUP(AS$1,main!$A$3:$I$56,7,FALSE),main!$K$19:$O$22,MATCH(VLOOKUP($A17,main!$A$3:$I$56,8,FALSE),main!$K$18:$O$18,0))))),1,0)</f>
        <v>0</v>
      </c>
      <c r="AT17">
        <f>IF((AND(VLOOKUP(AT$1,main!$A$3:$I$56,5,FALSE)-VLOOKUP($A17,main!$A$3:$I$56,6,FALSE)&gt;=(VLOOKUP(VLOOKUP(AT$1,main!$A$3:$I$56,8,FALSE),main!$K$11:$M$14,2,FALSE)+VLOOKUP(VLOOKUP(AT$1,main!$A$3:$I$56,7,FALSE),main!$K$19:$O$22,MATCH(VLOOKUP($A17,main!$A$3:$I$56,8,FALSE),main!$K$18:$O$18,0))))),1,0)</f>
        <v>1</v>
      </c>
      <c r="AU17">
        <f>IF((AND(VLOOKUP(AU$1,main!$A$3:$I$56,5,FALSE)-VLOOKUP($A17,main!$A$3:$I$56,6,FALSE)&gt;=(VLOOKUP(VLOOKUP(AU$1,main!$A$3:$I$56,8,FALSE),main!$K$11:$M$14,2,FALSE)+VLOOKUP(VLOOKUP(AU$1,main!$A$3:$I$56,7,FALSE),main!$K$19:$O$22,MATCH(VLOOKUP($A17,main!$A$3:$I$56,8,FALSE),main!$K$18:$O$18,0))))),1,0)</f>
        <v>0</v>
      </c>
      <c r="AV17">
        <f>IF((AND(VLOOKUP(AV$1,main!$A$3:$I$56,5,FALSE)-VLOOKUP($A17,main!$A$3:$I$56,6,FALSE)&gt;=(VLOOKUP(VLOOKUP(AV$1,main!$A$3:$I$56,8,FALSE),main!$K$11:$M$14,2,FALSE)+VLOOKUP(VLOOKUP(AV$1,main!$A$3:$I$56,7,FALSE),main!$K$19:$O$22,MATCH(VLOOKUP($A17,main!$A$3:$I$56,8,FALSE),main!$K$18:$O$18,0))))),1,0)</f>
        <v>0</v>
      </c>
      <c r="AW17">
        <f>IF((AND(VLOOKUP(AW$1,main!$A$3:$I$56,5,FALSE)-VLOOKUP($A17,main!$A$3:$I$56,6,FALSE)&gt;=(VLOOKUP(VLOOKUP(AW$1,main!$A$3:$I$56,8,FALSE),main!$K$11:$M$14,2,FALSE)+VLOOKUP(VLOOKUP(AW$1,main!$A$3:$I$56,7,FALSE),main!$K$19:$O$22,MATCH(VLOOKUP($A17,main!$A$3:$I$56,8,FALSE),main!$K$18:$O$18,0))))),1,0)</f>
        <v>1</v>
      </c>
      <c r="AX17">
        <f>IF((AND(VLOOKUP(AX$1,main!$A$3:$I$56,5,FALSE)-VLOOKUP($A17,main!$A$3:$I$56,6,FALSE)&gt;=(VLOOKUP(VLOOKUP(AX$1,main!$A$3:$I$56,8,FALSE),main!$K$11:$M$14,2,FALSE)+VLOOKUP(VLOOKUP(AX$1,main!$A$3:$I$56,7,FALSE),main!$K$19:$O$22,MATCH(VLOOKUP($A17,main!$A$3:$I$56,8,FALSE),main!$K$18:$O$18,0))))),1,0)</f>
        <v>1</v>
      </c>
      <c r="AY17">
        <f>IF((AND(VLOOKUP(AY$1,main!$A$3:$I$56,5,FALSE)-VLOOKUP($A17,main!$A$3:$I$56,6,FALSE)&gt;=(VLOOKUP(VLOOKUP(AY$1,main!$A$3:$I$56,8,FALSE),main!$K$11:$M$14,2,FALSE)+VLOOKUP(VLOOKUP(AY$1,main!$A$3:$I$56,7,FALSE),main!$K$19:$O$22,MATCH(VLOOKUP($A17,main!$A$3:$I$56,8,FALSE),main!$K$18:$O$18,0))))),1,0)</f>
        <v>1</v>
      </c>
      <c r="AZ17">
        <f>IF((AND(VLOOKUP(AZ$1,main!$A$3:$I$56,5,FALSE)-VLOOKUP($A17,main!$A$3:$I$56,6,FALSE)&gt;=(VLOOKUP(VLOOKUP(AZ$1,main!$A$3:$I$56,8,FALSE),main!$K$11:$M$14,2,FALSE)+VLOOKUP(VLOOKUP(AZ$1,main!$A$3:$I$56,7,FALSE),main!$K$19:$O$22,MATCH(VLOOKUP($A17,main!$A$3:$I$56,8,FALSE),main!$K$18:$O$18,0))))),1,0)</f>
        <v>0</v>
      </c>
      <c r="BA17">
        <f>IF((AND(VLOOKUP(BA$1,main!$A$3:$I$56,5,FALSE)-VLOOKUP($A17,main!$A$3:$I$56,6,FALSE)&gt;=(VLOOKUP(VLOOKUP(BA$1,main!$A$3:$I$56,8,FALSE),main!$K$11:$M$14,2,FALSE)+VLOOKUP(VLOOKUP(BA$1,main!$A$3:$I$56,7,FALSE),main!$K$19:$O$22,MATCH(VLOOKUP($A17,main!$A$3:$I$56,8,FALSE),main!$K$18:$O$18,0))))),1,0)</f>
        <v>0</v>
      </c>
      <c r="BB17">
        <f>IF((AND(VLOOKUP(BB$1,main!$A$3:$I$56,5,FALSE)-VLOOKUP($A17,main!$A$3:$I$56,6,FALSE)&gt;=(VLOOKUP(VLOOKUP(BB$1,main!$A$3:$I$56,8,FALSE),main!$K$11:$M$14,2,FALSE)+VLOOKUP(VLOOKUP(BB$1,main!$A$3:$I$56,7,FALSE),main!$K$19:$O$22,MATCH(VLOOKUP($A17,main!$A$3:$I$56,8,FALSE),main!$K$18:$O$18,0))))),1,0)</f>
        <v>0</v>
      </c>
      <c r="BC17">
        <f>IF((AND(VLOOKUP(BC$1,main!$A$3:$I$56,5,FALSE)-VLOOKUP($A17,main!$A$3:$I$56,6,FALSE)&gt;=(VLOOKUP(VLOOKUP(BC$1,main!$A$3:$I$56,8,FALSE),main!$K$11:$M$14,2,FALSE)+VLOOKUP(VLOOKUP(BC$1,main!$A$3:$I$56,7,FALSE),main!$K$19:$O$22,MATCH(VLOOKUP($A17,main!$A$3:$I$56,8,FALSE),main!$K$18:$O$18,0))))),1,0)</f>
        <v>1</v>
      </c>
      <c r="BD17">
        <f>IF((AND(VLOOKUP(BD$1,main!$A$3:$I$56,5,FALSE)-VLOOKUP($A17,main!$A$3:$I$56,6,FALSE)&gt;=(VLOOKUP(VLOOKUP(BD$1,main!$A$3:$I$56,8,FALSE),main!$K$11:$M$14,2,FALSE)+VLOOKUP(VLOOKUP(BD$1,main!$A$3:$I$56,7,FALSE),main!$K$19:$O$22,MATCH(VLOOKUP($A17,main!$A$3:$I$56,8,FALSE),main!$K$18:$O$18,0))))),1,0)</f>
        <v>1</v>
      </c>
    </row>
    <row r="18" spans="1:56" x14ac:dyDescent="0.25">
      <c r="A18">
        <f t="shared" si="0"/>
        <v>16</v>
      </c>
      <c r="B18">
        <v>1</v>
      </c>
      <c r="C18">
        <f>IF((AND(VLOOKUP(C$1,main!$A$3:$I$56,5,FALSE)-VLOOKUP($A18,main!$A$3:$I$56,6,FALSE)&gt;=(VLOOKUP(VLOOKUP(C$1,main!$A$3:$I$56,8,FALSE),main!$K$11:$M$14,2,FALSE)+VLOOKUP(VLOOKUP(C$1,main!$A$3:$I$56,7,FALSE),main!$K$19:$O$22,MATCH(VLOOKUP($A18,main!$A$3:$I$56,8,FALSE),main!$K$18:$O$18,0))))),1,0)</f>
        <v>0</v>
      </c>
      <c r="D18">
        <f>IF((AND(VLOOKUP(D$1,main!$A$3:$I$56,5,FALSE)-VLOOKUP($A18,main!$A$3:$I$56,6,FALSE)&gt;=(VLOOKUP(VLOOKUP(D$1,main!$A$3:$I$56,8,FALSE),main!$K$11:$M$14,2,FALSE)+VLOOKUP(VLOOKUP(D$1,main!$A$3:$I$56,7,FALSE),main!$K$19:$O$22,MATCH(VLOOKUP($A18,main!$A$3:$I$56,8,FALSE),main!$K$18:$O$18,0))))),1,0)</f>
        <v>0</v>
      </c>
      <c r="E18">
        <f>IF((AND(VLOOKUP(E$1,main!$A$3:$I$56,5,FALSE)-VLOOKUP($A18,main!$A$3:$I$56,6,FALSE)&gt;=(VLOOKUP(VLOOKUP(E$1,main!$A$3:$I$56,8,FALSE),main!$K$11:$M$14,2,FALSE)+VLOOKUP(VLOOKUP(E$1,main!$A$3:$I$56,7,FALSE),main!$K$19:$O$22,MATCH(VLOOKUP($A18,main!$A$3:$I$56,8,FALSE),main!$K$18:$O$18,0))))),1,0)</f>
        <v>0</v>
      </c>
      <c r="F18">
        <f>IF((AND(VLOOKUP(F$1,main!$A$3:$I$56,5,FALSE)-VLOOKUP($A18,main!$A$3:$I$56,6,FALSE)&gt;=(VLOOKUP(VLOOKUP(F$1,main!$A$3:$I$56,8,FALSE),main!$K$11:$M$14,2,FALSE)+VLOOKUP(VLOOKUP(F$1,main!$A$3:$I$56,7,FALSE),main!$K$19:$O$22,MATCH(VLOOKUP($A18,main!$A$3:$I$56,8,FALSE),main!$K$18:$O$18,0))))),1,0)</f>
        <v>0</v>
      </c>
      <c r="G18">
        <f>IF((AND(VLOOKUP(G$1,main!$A$3:$I$56,5,FALSE)-VLOOKUP($A18,main!$A$3:$I$56,6,FALSE)&gt;=(VLOOKUP(VLOOKUP(G$1,main!$A$3:$I$56,8,FALSE),main!$K$11:$M$14,2,FALSE)+VLOOKUP(VLOOKUP(G$1,main!$A$3:$I$56,7,FALSE),main!$K$19:$O$22,MATCH(VLOOKUP($A18,main!$A$3:$I$56,8,FALSE),main!$K$18:$O$18,0))))),1,0)</f>
        <v>1</v>
      </c>
      <c r="H18">
        <f>IF((AND(VLOOKUP(H$1,main!$A$3:$I$56,5,FALSE)-VLOOKUP($A18,main!$A$3:$I$56,6,FALSE)&gt;=(VLOOKUP(VLOOKUP(H$1,main!$A$3:$I$56,8,FALSE),main!$K$11:$M$14,2,FALSE)+VLOOKUP(VLOOKUP(H$1,main!$A$3:$I$56,7,FALSE),main!$K$19:$O$22,MATCH(VLOOKUP($A18,main!$A$3:$I$56,8,FALSE),main!$K$18:$O$18,0))))),1,0)</f>
        <v>1</v>
      </c>
      <c r="I18">
        <f>IF((AND(VLOOKUP(I$1,main!$A$3:$I$56,5,FALSE)-VLOOKUP($A18,main!$A$3:$I$56,6,FALSE)&gt;=(VLOOKUP(VLOOKUP(I$1,main!$A$3:$I$56,8,FALSE),main!$K$11:$M$14,2,FALSE)+VLOOKUP(VLOOKUP(I$1,main!$A$3:$I$56,7,FALSE),main!$K$19:$O$22,MATCH(VLOOKUP($A18,main!$A$3:$I$56,8,FALSE),main!$K$18:$O$18,0))))),1,0)</f>
        <v>1</v>
      </c>
      <c r="J18">
        <f>IF((AND(VLOOKUP(J$1,main!$A$3:$I$56,5,FALSE)-VLOOKUP($A18,main!$A$3:$I$56,6,FALSE)&gt;=(VLOOKUP(VLOOKUP(J$1,main!$A$3:$I$56,8,FALSE),main!$K$11:$M$14,2,FALSE)+VLOOKUP(VLOOKUP(J$1,main!$A$3:$I$56,7,FALSE),main!$K$19:$O$22,MATCH(VLOOKUP($A18,main!$A$3:$I$56,8,FALSE),main!$K$18:$O$18,0))))),1,0)</f>
        <v>1</v>
      </c>
      <c r="K18">
        <f>IF((AND(VLOOKUP(K$1,main!$A$3:$I$56,5,FALSE)-VLOOKUP($A18,main!$A$3:$I$56,6,FALSE)&gt;=(VLOOKUP(VLOOKUP(K$1,main!$A$3:$I$56,8,FALSE),main!$K$11:$M$14,2,FALSE)+VLOOKUP(VLOOKUP(K$1,main!$A$3:$I$56,7,FALSE),main!$K$19:$O$22,MATCH(VLOOKUP($A18,main!$A$3:$I$56,8,FALSE),main!$K$18:$O$18,0))))),1,0)</f>
        <v>0</v>
      </c>
      <c r="L18">
        <f>IF((AND(VLOOKUP(L$1,main!$A$3:$I$56,5,FALSE)-VLOOKUP($A18,main!$A$3:$I$56,6,FALSE)&gt;=(VLOOKUP(VLOOKUP(L$1,main!$A$3:$I$56,8,FALSE),main!$K$11:$M$14,2,FALSE)+VLOOKUP(VLOOKUP(L$1,main!$A$3:$I$56,7,FALSE),main!$K$19:$O$22,MATCH(VLOOKUP($A18,main!$A$3:$I$56,8,FALSE),main!$K$18:$O$18,0))))),1,0)</f>
        <v>0</v>
      </c>
      <c r="M18">
        <f>IF((AND(VLOOKUP(M$1,main!$A$3:$I$56,5,FALSE)-VLOOKUP($A18,main!$A$3:$I$56,6,FALSE)&gt;=(VLOOKUP(VLOOKUP(M$1,main!$A$3:$I$56,8,FALSE),main!$K$11:$M$14,2,FALSE)+VLOOKUP(VLOOKUP(M$1,main!$A$3:$I$56,7,FALSE),main!$K$19:$O$22,MATCH(VLOOKUP($A18,main!$A$3:$I$56,8,FALSE),main!$K$18:$O$18,0))))),1,0)</f>
        <v>0</v>
      </c>
      <c r="N18">
        <f>IF((AND(VLOOKUP(N$1,main!$A$3:$I$56,5,FALSE)-VLOOKUP($A18,main!$A$3:$I$56,6,FALSE)&gt;=(VLOOKUP(VLOOKUP(N$1,main!$A$3:$I$56,8,FALSE),main!$K$11:$M$14,2,FALSE)+VLOOKUP(VLOOKUP(N$1,main!$A$3:$I$56,7,FALSE),main!$K$19:$O$22,MATCH(VLOOKUP($A18,main!$A$3:$I$56,8,FALSE),main!$K$18:$O$18,0))))),1,0)</f>
        <v>1</v>
      </c>
      <c r="O18">
        <f>IF((AND(VLOOKUP(O$1,main!$A$3:$I$56,5,FALSE)-VLOOKUP($A18,main!$A$3:$I$56,6,FALSE)&gt;=(VLOOKUP(VLOOKUP(O$1,main!$A$3:$I$56,8,FALSE),main!$K$11:$M$14,2,FALSE)+VLOOKUP(VLOOKUP(O$1,main!$A$3:$I$56,7,FALSE),main!$K$19:$O$22,MATCH(VLOOKUP($A18,main!$A$3:$I$56,8,FALSE),main!$K$18:$O$18,0))))),1,0)</f>
        <v>1</v>
      </c>
      <c r="P18">
        <f>IF((AND(VLOOKUP(P$1,main!$A$3:$I$56,5,FALSE)-VLOOKUP($A18,main!$A$3:$I$56,6,FALSE)&gt;=(VLOOKUP(VLOOKUP(P$1,main!$A$3:$I$56,8,FALSE),main!$K$11:$M$14,2,FALSE)+VLOOKUP(VLOOKUP(P$1,main!$A$3:$I$56,7,FALSE),main!$K$19:$O$22,MATCH(VLOOKUP($A18,main!$A$3:$I$56,8,FALSE),main!$K$18:$O$18,0))))),1,0)</f>
        <v>0</v>
      </c>
      <c r="Q18">
        <f>IF((AND(VLOOKUP(Q$1,main!$A$3:$I$56,5,FALSE)-VLOOKUP($A18,main!$A$3:$I$56,6,FALSE)&gt;=(VLOOKUP(VLOOKUP(Q$1,main!$A$3:$I$56,8,FALSE),main!$K$11:$M$14,2,FALSE)+VLOOKUP(VLOOKUP(Q$1,main!$A$3:$I$56,7,FALSE),main!$K$19:$O$22,MATCH(VLOOKUP($A18,main!$A$3:$I$56,8,FALSE),main!$K$18:$O$18,0))))),1,0)</f>
        <v>0</v>
      </c>
      <c r="R18">
        <f>IF((AND(VLOOKUP(R$1,main!$A$3:$I$56,5,FALSE)-VLOOKUP($A18,main!$A$3:$I$56,6,FALSE)&gt;=(VLOOKUP(VLOOKUP(R$1,main!$A$3:$I$56,8,FALSE),main!$K$11:$M$14,2,FALSE)+VLOOKUP(VLOOKUP(R$1,main!$A$3:$I$56,7,FALSE),main!$K$19:$O$22,MATCH(VLOOKUP($A18,main!$A$3:$I$56,8,FALSE),main!$K$18:$O$18,0))))),1,0)</f>
        <v>0</v>
      </c>
      <c r="S18">
        <f>IF((AND(VLOOKUP(S$1,main!$A$3:$I$56,5,FALSE)-VLOOKUP($A18,main!$A$3:$I$56,6,FALSE)&gt;=(VLOOKUP(VLOOKUP(S$1,main!$A$3:$I$56,8,FALSE),main!$K$11:$M$14,2,FALSE)+VLOOKUP(VLOOKUP(S$1,main!$A$3:$I$56,7,FALSE),main!$K$19:$O$22,MATCH(VLOOKUP($A18,main!$A$3:$I$56,8,FALSE),main!$K$18:$O$18,0))))),1,0)</f>
        <v>0</v>
      </c>
      <c r="T18">
        <f>IF((AND(VLOOKUP(T$1,main!$A$3:$I$56,5,FALSE)-VLOOKUP($A18,main!$A$3:$I$56,6,FALSE)&gt;=(VLOOKUP(VLOOKUP(T$1,main!$A$3:$I$56,8,FALSE),main!$K$11:$M$14,2,FALSE)+VLOOKUP(VLOOKUP(T$1,main!$A$3:$I$56,7,FALSE),main!$K$19:$O$22,MATCH(VLOOKUP($A18,main!$A$3:$I$56,8,FALSE),main!$K$18:$O$18,0))))),1,0)</f>
        <v>1</v>
      </c>
      <c r="U18">
        <f>IF((AND(VLOOKUP(U$1,main!$A$3:$I$56,5,FALSE)-VLOOKUP($A18,main!$A$3:$I$56,6,FALSE)&gt;=(VLOOKUP(VLOOKUP(U$1,main!$A$3:$I$56,8,FALSE),main!$K$11:$M$14,2,FALSE)+VLOOKUP(VLOOKUP(U$1,main!$A$3:$I$56,7,FALSE),main!$K$19:$O$22,MATCH(VLOOKUP($A18,main!$A$3:$I$56,8,FALSE),main!$K$18:$O$18,0))))),1,0)</f>
        <v>0</v>
      </c>
      <c r="V18">
        <f>IF((AND(VLOOKUP(V$1,main!$A$3:$I$56,5,FALSE)-VLOOKUP($A18,main!$A$3:$I$56,6,FALSE)&gt;=(VLOOKUP(VLOOKUP(V$1,main!$A$3:$I$56,8,FALSE),main!$K$11:$M$14,2,FALSE)+VLOOKUP(VLOOKUP(V$1,main!$A$3:$I$56,7,FALSE),main!$K$19:$O$22,MATCH(VLOOKUP($A18,main!$A$3:$I$56,8,FALSE),main!$K$18:$O$18,0))))),1,0)</f>
        <v>0</v>
      </c>
      <c r="W18">
        <f>IF((AND(VLOOKUP(W$1,main!$A$3:$I$56,5,FALSE)-VLOOKUP($A18,main!$A$3:$I$56,6,FALSE)&gt;=(VLOOKUP(VLOOKUP(W$1,main!$A$3:$I$56,8,FALSE),main!$K$11:$M$14,2,FALSE)+VLOOKUP(VLOOKUP(W$1,main!$A$3:$I$56,7,FALSE),main!$K$19:$O$22,MATCH(VLOOKUP($A18,main!$A$3:$I$56,8,FALSE),main!$K$18:$O$18,0))))),1,0)</f>
        <v>0</v>
      </c>
      <c r="X18">
        <f>IF((AND(VLOOKUP(X$1,main!$A$3:$I$56,5,FALSE)-VLOOKUP($A18,main!$A$3:$I$56,6,FALSE)&gt;=(VLOOKUP(VLOOKUP(X$1,main!$A$3:$I$56,8,FALSE),main!$K$11:$M$14,2,FALSE)+VLOOKUP(VLOOKUP(X$1,main!$A$3:$I$56,7,FALSE),main!$K$19:$O$22,MATCH(VLOOKUP($A18,main!$A$3:$I$56,8,FALSE),main!$K$18:$O$18,0))))),1,0)</f>
        <v>0</v>
      </c>
      <c r="Y18">
        <f>IF((AND(VLOOKUP(Y$1,main!$A$3:$I$56,5,FALSE)-VLOOKUP($A18,main!$A$3:$I$56,6,FALSE)&gt;=(VLOOKUP(VLOOKUP(Y$1,main!$A$3:$I$56,8,FALSE),main!$K$11:$M$14,2,FALSE)+VLOOKUP(VLOOKUP(Y$1,main!$A$3:$I$56,7,FALSE),main!$K$19:$O$22,MATCH(VLOOKUP($A18,main!$A$3:$I$56,8,FALSE),main!$K$18:$O$18,0))))),1,0)</f>
        <v>0</v>
      </c>
      <c r="Z18">
        <f>IF((AND(VLOOKUP(Z$1,main!$A$3:$I$56,5,FALSE)-VLOOKUP($A18,main!$A$3:$I$56,6,FALSE)&gt;=(VLOOKUP(VLOOKUP(Z$1,main!$A$3:$I$56,8,FALSE),main!$K$11:$M$14,2,FALSE)+VLOOKUP(VLOOKUP(Z$1,main!$A$3:$I$56,7,FALSE),main!$K$19:$O$22,MATCH(VLOOKUP($A18,main!$A$3:$I$56,8,FALSE),main!$K$18:$O$18,0))))),1,0)</f>
        <v>1</v>
      </c>
      <c r="AA18">
        <f>IF((AND(VLOOKUP(AA$1,main!$A$3:$I$56,5,FALSE)-VLOOKUP($A18,main!$A$3:$I$56,6,FALSE)&gt;=(VLOOKUP(VLOOKUP(AA$1,main!$A$3:$I$56,8,FALSE),main!$K$11:$M$14,2,FALSE)+VLOOKUP(VLOOKUP(AA$1,main!$A$3:$I$56,7,FALSE),main!$K$19:$O$22,MATCH(VLOOKUP($A18,main!$A$3:$I$56,8,FALSE),main!$K$18:$O$18,0))))),1,0)</f>
        <v>1</v>
      </c>
      <c r="AB18">
        <f>IF((AND(VLOOKUP(AB$1,main!$A$3:$I$56,5,FALSE)-VLOOKUP($A18,main!$A$3:$I$56,6,FALSE)&gt;=(VLOOKUP(VLOOKUP(AB$1,main!$A$3:$I$56,8,FALSE),main!$K$11:$M$14,2,FALSE)+VLOOKUP(VLOOKUP(AB$1,main!$A$3:$I$56,7,FALSE),main!$K$19:$O$22,MATCH(VLOOKUP($A18,main!$A$3:$I$56,8,FALSE),main!$K$18:$O$18,0))))),1,0)</f>
        <v>1</v>
      </c>
      <c r="AC18">
        <f>IF((AND(VLOOKUP(AC$1,main!$A$3:$I$56,5,FALSE)-VLOOKUP($A18,main!$A$3:$I$56,6,FALSE)&gt;=(VLOOKUP(VLOOKUP(AC$1,main!$A$3:$I$56,8,FALSE),main!$K$11:$M$14,2,FALSE)+VLOOKUP(VLOOKUP(AC$1,main!$A$3:$I$56,7,FALSE),main!$K$19:$O$22,MATCH(VLOOKUP($A18,main!$A$3:$I$56,8,FALSE),main!$K$18:$O$18,0))))),1,0)</f>
        <v>0</v>
      </c>
      <c r="AD18">
        <f>IF((AND(VLOOKUP(AD$1,main!$A$3:$I$56,5,FALSE)-VLOOKUP($A18,main!$A$3:$I$56,6,FALSE)&gt;=(VLOOKUP(VLOOKUP(AD$1,main!$A$3:$I$56,8,FALSE),main!$K$11:$M$14,2,FALSE)+VLOOKUP(VLOOKUP(AD$1,main!$A$3:$I$56,7,FALSE),main!$K$19:$O$22,MATCH(VLOOKUP($A18,main!$A$3:$I$56,8,FALSE),main!$K$18:$O$18,0))))),1,0)</f>
        <v>0</v>
      </c>
      <c r="AE18">
        <f>IF((AND(VLOOKUP(AE$1,main!$A$3:$I$56,5,FALSE)-VLOOKUP($A18,main!$A$3:$I$56,6,FALSE)&gt;=(VLOOKUP(VLOOKUP(AE$1,main!$A$3:$I$56,8,FALSE),main!$K$11:$M$14,2,FALSE)+VLOOKUP(VLOOKUP(AE$1,main!$A$3:$I$56,7,FALSE),main!$K$19:$O$22,MATCH(VLOOKUP($A18,main!$A$3:$I$56,8,FALSE),main!$K$18:$O$18,0))))),1,0)</f>
        <v>0</v>
      </c>
      <c r="AF18">
        <f>IF((AND(VLOOKUP(AF$1,main!$A$3:$I$56,5,FALSE)-VLOOKUP($A18,main!$A$3:$I$56,6,FALSE)&gt;=(VLOOKUP(VLOOKUP(AF$1,main!$A$3:$I$56,8,FALSE),main!$K$11:$M$14,2,FALSE)+VLOOKUP(VLOOKUP(AF$1,main!$A$3:$I$56,7,FALSE),main!$K$19:$O$22,MATCH(VLOOKUP($A18,main!$A$3:$I$56,8,FALSE),main!$K$18:$O$18,0))))),1,0)</f>
        <v>0</v>
      </c>
      <c r="AG18">
        <f>IF((AND(VLOOKUP(AG$1,main!$A$3:$I$56,5,FALSE)-VLOOKUP($A18,main!$A$3:$I$56,6,FALSE)&gt;=(VLOOKUP(VLOOKUP(AG$1,main!$A$3:$I$56,8,FALSE),main!$K$11:$M$14,2,FALSE)+VLOOKUP(VLOOKUP(AG$1,main!$A$3:$I$56,7,FALSE),main!$K$19:$O$22,MATCH(VLOOKUP($A18,main!$A$3:$I$56,8,FALSE),main!$K$18:$O$18,0))))),1,0)</f>
        <v>0</v>
      </c>
      <c r="AH18">
        <f>IF((AND(VLOOKUP(AH$1,main!$A$3:$I$56,5,FALSE)-VLOOKUP($A18,main!$A$3:$I$56,6,FALSE)&gt;=(VLOOKUP(VLOOKUP(AH$1,main!$A$3:$I$56,8,FALSE),main!$K$11:$M$14,2,FALSE)+VLOOKUP(VLOOKUP(AH$1,main!$A$3:$I$56,7,FALSE),main!$K$19:$O$22,MATCH(VLOOKUP($A18,main!$A$3:$I$56,8,FALSE),main!$K$18:$O$18,0))))),1,0)</f>
        <v>0</v>
      </c>
      <c r="AI18">
        <f>IF((AND(VLOOKUP(AI$1,main!$A$3:$I$56,5,FALSE)-VLOOKUP($A18,main!$A$3:$I$56,6,FALSE)&gt;=(VLOOKUP(VLOOKUP(AI$1,main!$A$3:$I$56,8,FALSE),main!$K$11:$M$14,2,FALSE)+VLOOKUP(VLOOKUP(AI$1,main!$A$3:$I$56,7,FALSE),main!$K$19:$O$22,MATCH(VLOOKUP($A18,main!$A$3:$I$56,8,FALSE),main!$K$18:$O$18,0))))),1,0)</f>
        <v>0</v>
      </c>
      <c r="AJ18">
        <f>IF((AND(VLOOKUP(AJ$1,main!$A$3:$I$56,5,FALSE)-VLOOKUP($A18,main!$A$3:$I$56,6,FALSE)&gt;=(VLOOKUP(VLOOKUP(AJ$1,main!$A$3:$I$56,8,FALSE),main!$K$11:$M$14,2,FALSE)+VLOOKUP(VLOOKUP(AJ$1,main!$A$3:$I$56,7,FALSE),main!$K$19:$O$22,MATCH(VLOOKUP($A18,main!$A$3:$I$56,8,FALSE),main!$K$18:$O$18,0))))),1,0)</f>
        <v>0</v>
      </c>
      <c r="AK18">
        <f>IF((AND(VLOOKUP(AK$1,main!$A$3:$I$56,5,FALSE)-VLOOKUP($A18,main!$A$3:$I$56,6,FALSE)&gt;=(VLOOKUP(VLOOKUP(AK$1,main!$A$3:$I$56,8,FALSE),main!$K$11:$M$14,2,FALSE)+VLOOKUP(VLOOKUP(AK$1,main!$A$3:$I$56,7,FALSE),main!$K$19:$O$22,MATCH(VLOOKUP($A18,main!$A$3:$I$56,8,FALSE),main!$K$18:$O$18,0))))),1,0)</f>
        <v>1</v>
      </c>
      <c r="AL18">
        <f>IF((AND(VLOOKUP(AL$1,main!$A$3:$I$56,5,FALSE)-VLOOKUP($A18,main!$A$3:$I$56,6,FALSE)&gt;=(VLOOKUP(VLOOKUP(AL$1,main!$A$3:$I$56,8,FALSE),main!$K$11:$M$14,2,FALSE)+VLOOKUP(VLOOKUP(AL$1,main!$A$3:$I$56,7,FALSE),main!$K$19:$O$22,MATCH(VLOOKUP($A18,main!$A$3:$I$56,8,FALSE),main!$K$18:$O$18,0))))),1,0)</f>
        <v>0</v>
      </c>
      <c r="AM18">
        <f>IF((AND(VLOOKUP(AM$1,main!$A$3:$I$56,5,FALSE)-VLOOKUP($A18,main!$A$3:$I$56,6,FALSE)&gt;=(VLOOKUP(VLOOKUP(AM$1,main!$A$3:$I$56,8,FALSE),main!$K$11:$M$14,2,FALSE)+VLOOKUP(VLOOKUP(AM$1,main!$A$3:$I$56,7,FALSE),main!$K$19:$O$22,MATCH(VLOOKUP($A18,main!$A$3:$I$56,8,FALSE),main!$K$18:$O$18,0))))),1,0)</f>
        <v>0</v>
      </c>
      <c r="AN18">
        <f>IF((AND(VLOOKUP(AN$1,main!$A$3:$I$56,5,FALSE)-VLOOKUP($A18,main!$A$3:$I$56,6,FALSE)&gt;=(VLOOKUP(VLOOKUP(AN$1,main!$A$3:$I$56,8,FALSE),main!$K$11:$M$14,2,FALSE)+VLOOKUP(VLOOKUP(AN$1,main!$A$3:$I$56,7,FALSE),main!$K$19:$O$22,MATCH(VLOOKUP($A18,main!$A$3:$I$56,8,FALSE),main!$K$18:$O$18,0))))),1,0)</f>
        <v>0</v>
      </c>
      <c r="AO18">
        <f>IF((AND(VLOOKUP(AO$1,main!$A$3:$I$56,5,FALSE)-VLOOKUP($A18,main!$A$3:$I$56,6,FALSE)&gt;=(VLOOKUP(VLOOKUP(AO$1,main!$A$3:$I$56,8,FALSE),main!$K$11:$M$14,2,FALSE)+VLOOKUP(VLOOKUP(AO$1,main!$A$3:$I$56,7,FALSE),main!$K$19:$O$22,MATCH(VLOOKUP($A18,main!$A$3:$I$56,8,FALSE),main!$K$18:$O$18,0))))),1,0)</f>
        <v>0</v>
      </c>
      <c r="AP18">
        <f>IF((AND(VLOOKUP(AP$1,main!$A$3:$I$56,5,FALSE)-VLOOKUP($A18,main!$A$3:$I$56,6,FALSE)&gt;=(VLOOKUP(VLOOKUP(AP$1,main!$A$3:$I$56,8,FALSE),main!$K$11:$M$14,2,FALSE)+VLOOKUP(VLOOKUP(AP$1,main!$A$3:$I$56,7,FALSE),main!$K$19:$O$22,MATCH(VLOOKUP($A18,main!$A$3:$I$56,8,FALSE),main!$K$18:$O$18,0))))),1,0)</f>
        <v>0</v>
      </c>
      <c r="AQ18">
        <f>IF((AND(VLOOKUP(AQ$1,main!$A$3:$I$56,5,FALSE)-VLOOKUP($A18,main!$A$3:$I$56,6,FALSE)&gt;=(VLOOKUP(VLOOKUP(AQ$1,main!$A$3:$I$56,8,FALSE),main!$K$11:$M$14,2,FALSE)+VLOOKUP(VLOOKUP(AQ$1,main!$A$3:$I$56,7,FALSE),main!$K$19:$O$22,MATCH(VLOOKUP($A18,main!$A$3:$I$56,8,FALSE),main!$K$18:$O$18,0))))),1,0)</f>
        <v>0</v>
      </c>
      <c r="AR18">
        <f>IF((AND(VLOOKUP(AR$1,main!$A$3:$I$56,5,FALSE)-VLOOKUP($A18,main!$A$3:$I$56,6,FALSE)&gt;=(VLOOKUP(VLOOKUP(AR$1,main!$A$3:$I$56,8,FALSE),main!$K$11:$M$14,2,FALSE)+VLOOKUP(VLOOKUP(AR$1,main!$A$3:$I$56,7,FALSE),main!$K$19:$O$22,MATCH(VLOOKUP($A18,main!$A$3:$I$56,8,FALSE),main!$K$18:$O$18,0))))),1,0)</f>
        <v>0</v>
      </c>
      <c r="AS18">
        <f>IF((AND(VLOOKUP(AS$1,main!$A$3:$I$56,5,FALSE)-VLOOKUP($A18,main!$A$3:$I$56,6,FALSE)&gt;=(VLOOKUP(VLOOKUP(AS$1,main!$A$3:$I$56,8,FALSE),main!$K$11:$M$14,2,FALSE)+VLOOKUP(VLOOKUP(AS$1,main!$A$3:$I$56,7,FALSE),main!$K$19:$O$22,MATCH(VLOOKUP($A18,main!$A$3:$I$56,8,FALSE),main!$K$18:$O$18,0))))),1,0)</f>
        <v>0</v>
      </c>
      <c r="AT18">
        <f>IF((AND(VLOOKUP(AT$1,main!$A$3:$I$56,5,FALSE)-VLOOKUP($A18,main!$A$3:$I$56,6,FALSE)&gt;=(VLOOKUP(VLOOKUP(AT$1,main!$A$3:$I$56,8,FALSE),main!$K$11:$M$14,2,FALSE)+VLOOKUP(VLOOKUP(AT$1,main!$A$3:$I$56,7,FALSE),main!$K$19:$O$22,MATCH(VLOOKUP($A18,main!$A$3:$I$56,8,FALSE),main!$K$18:$O$18,0))))),1,0)</f>
        <v>0</v>
      </c>
      <c r="AU18">
        <f>IF((AND(VLOOKUP(AU$1,main!$A$3:$I$56,5,FALSE)-VLOOKUP($A18,main!$A$3:$I$56,6,FALSE)&gt;=(VLOOKUP(VLOOKUP(AU$1,main!$A$3:$I$56,8,FALSE),main!$K$11:$M$14,2,FALSE)+VLOOKUP(VLOOKUP(AU$1,main!$A$3:$I$56,7,FALSE),main!$K$19:$O$22,MATCH(VLOOKUP($A18,main!$A$3:$I$56,8,FALSE),main!$K$18:$O$18,0))))),1,0)</f>
        <v>0</v>
      </c>
      <c r="AV18">
        <f>IF((AND(VLOOKUP(AV$1,main!$A$3:$I$56,5,FALSE)-VLOOKUP($A18,main!$A$3:$I$56,6,FALSE)&gt;=(VLOOKUP(VLOOKUP(AV$1,main!$A$3:$I$56,8,FALSE),main!$K$11:$M$14,2,FALSE)+VLOOKUP(VLOOKUP(AV$1,main!$A$3:$I$56,7,FALSE),main!$K$19:$O$22,MATCH(VLOOKUP($A18,main!$A$3:$I$56,8,FALSE),main!$K$18:$O$18,0))))),1,0)</f>
        <v>0</v>
      </c>
      <c r="AW18">
        <f>IF((AND(VLOOKUP(AW$1,main!$A$3:$I$56,5,FALSE)-VLOOKUP($A18,main!$A$3:$I$56,6,FALSE)&gt;=(VLOOKUP(VLOOKUP(AW$1,main!$A$3:$I$56,8,FALSE),main!$K$11:$M$14,2,FALSE)+VLOOKUP(VLOOKUP(AW$1,main!$A$3:$I$56,7,FALSE),main!$K$19:$O$22,MATCH(VLOOKUP($A18,main!$A$3:$I$56,8,FALSE),main!$K$18:$O$18,0))))),1,0)</f>
        <v>0</v>
      </c>
      <c r="AX18">
        <f>IF((AND(VLOOKUP(AX$1,main!$A$3:$I$56,5,FALSE)-VLOOKUP($A18,main!$A$3:$I$56,6,FALSE)&gt;=(VLOOKUP(VLOOKUP(AX$1,main!$A$3:$I$56,8,FALSE),main!$K$11:$M$14,2,FALSE)+VLOOKUP(VLOOKUP(AX$1,main!$A$3:$I$56,7,FALSE),main!$K$19:$O$22,MATCH(VLOOKUP($A18,main!$A$3:$I$56,8,FALSE),main!$K$18:$O$18,0))))),1,0)</f>
        <v>1</v>
      </c>
      <c r="AY18">
        <f>IF((AND(VLOOKUP(AY$1,main!$A$3:$I$56,5,FALSE)-VLOOKUP($A18,main!$A$3:$I$56,6,FALSE)&gt;=(VLOOKUP(VLOOKUP(AY$1,main!$A$3:$I$56,8,FALSE),main!$K$11:$M$14,2,FALSE)+VLOOKUP(VLOOKUP(AY$1,main!$A$3:$I$56,7,FALSE),main!$K$19:$O$22,MATCH(VLOOKUP($A18,main!$A$3:$I$56,8,FALSE),main!$K$18:$O$18,0))))),1,0)</f>
        <v>1</v>
      </c>
      <c r="AZ18">
        <f>IF((AND(VLOOKUP(AZ$1,main!$A$3:$I$56,5,FALSE)-VLOOKUP($A18,main!$A$3:$I$56,6,FALSE)&gt;=(VLOOKUP(VLOOKUP(AZ$1,main!$A$3:$I$56,8,FALSE),main!$K$11:$M$14,2,FALSE)+VLOOKUP(VLOOKUP(AZ$1,main!$A$3:$I$56,7,FALSE),main!$K$19:$O$22,MATCH(VLOOKUP($A18,main!$A$3:$I$56,8,FALSE),main!$K$18:$O$18,0))))),1,0)</f>
        <v>0</v>
      </c>
      <c r="BA18">
        <f>IF((AND(VLOOKUP(BA$1,main!$A$3:$I$56,5,FALSE)-VLOOKUP($A18,main!$A$3:$I$56,6,FALSE)&gt;=(VLOOKUP(VLOOKUP(BA$1,main!$A$3:$I$56,8,FALSE),main!$K$11:$M$14,2,FALSE)+VLOOKUP(VLOOKUP(BA$1,main!$A$3:$I$56,7,FALSE),main!$K$19:$O$22,MATCH(VLOOKUP($A18,main!$A$3:$I$56,8,FALSE),main!$K$18:$O$18,0))))),1,0)</f>
        <v>0</v>
      </c>
      <c r="BB18">
        <f>IF((AND(VLOOKUP(BB$1,main!$A$3:$I$56,5,FALSE)-VLOOKUP($A18,main!$A$3:$I$56,6,FALSE)&gt;=(VLOOKUP(VLOOKUP(BB$1,main!$A$3:$I$56,8,FALSE),main!$K$11:$M$14,2,FALSE)+VLOOKUP(VLOOKUP(BB$1,main!$A$3:$I$56,7,FALSE),main!$K$19:$O$22,MATCH(VLOOKUP($A18,main!$A$3:$I$56,8,FALSE),main!$K$18:$O$18,0))))),1,0)</f>
        <v>0</v>
      </c>
      <c r="BC18">
        <f>IF((AND(VLOOKUP(BC$1,main!$A$3:$I$56,5,FALSE)-VLOOKUP($A18,main!$A$3:$I$56,6,FALSE)&gt;=(VLOOKUP(VLOOKUP(BC$1,main!$A$3:$I$56,8,FALSE),main!$K$11:$M$14,2,FALSE)+VLOOKUP(VLOOKUP(BC$1,main!$A$3:$I$56,7,FALSE),main!$K$19:$O$22,MATCH(VLOOKUP($A18,main!$A$3:$I$56,8,FALSE),main!$K$18:$O$18,0))))),1,0)</f>
        <v>1</v>
      </c>
      <c r="BD18">
        <f>IF((AND(VLOOKUP(BD$1,main!$A$3:$I$56,5,FALSE)-VLOOKUP($A18,main!$A$3:$I$56,6,FALSE)&gt;=(VLOOKUP(VLOOKUP(BD$1,main!$A$3:$I$56,8,FALSE),main!$K$11:$M$14,2,FALSE)+VLOOKUP(VLOOKUP(BD$1,main!$A$3:$I$56,7,FALSE),main!$K$19:$O$22,MATCH(VLOOKUP($A18,main!$A$3:$I$56,8,FALSE),main!$K$18:$O$18,0))))),1,0)</f>
        <v>1</v>
      </c>
    </row>
    <row r="19" spans="1:56" x14ac:dyDescent="0.25">
      <c r="A19">
        <f t="shared" si="0"/>
        <v>17</v>
      </c>
      <c r="B19">
        <v>1</v>
      </c>
      <c r="C19">
        <f>IF((AND(VLOOKUP(C$1,main!$A$3:$I$56,5,FALSE)-VLOOKUP($A19,main!$A$3:$I$56,6,FALSE)&gt;=(VLOOKUP(VLOOKUP(C$1,main!$A$3:$I$56,8,FALSE),main!$K$11:$M$14,2,FALSE)+VLOOKUP(VLOOKUP(C$1,main!$A$3:$I$56,7,FALSE),main!$K$19:$O$22,MATCH(VLOOKUP($A19,main!$A$3:$I$56,8,FALSE),main!$K$18:$O$18,0))))),1,0)</f>
        <v>0</v>
      </c>
      <c r="D19">
        <f>IF((AND(VLOOKUP(D$1,main!$A$3:$I$56,5,FALSE)-VLOOKUP($A19,main!$A$3:$I$56,6,FALSE)&gt;=(VLOOKUP(VLOOKUP(D$1,main!$A$3:$I$56,8,FALSE),main!$K$11:$M$14,2,FALSE)+VLOOKUP(VLOOKUP(D$1,main!$A$3:$I$56,7,FALSE),main!$K$19:$O$22,MATCH(VLOOKUP($A19,main!$A$3:$I$56,8,FALSE),main!$K$18:$O$18,0))))),1,0)</f>
        <v>0</v>
      </c>
      <c r="E19">
        <f>IF((AND(VLOOKUP(E$1,main!$A$3:$I$56,5,FALSE)-VLOOKUP($A19,main!$A$3:$I$56,6,FALSE)&gt;=(VLOOKUP(VLOOKUP(E$1,main!$A$3:$I$56,8,FALSE),main!$K$11:$M$14,2,FALSE)+VLOOKUP(VLOOKUP(E$1,main!$A$3:$I$56,7,FALSE),main!$K$19:$O$22,MATCH(VLOOKUP($A19,main!$A$3:$I$56,8,FALSE),main!$K$18:$O$18,0))))),1,0)</f>
        <v>0</v>
      </c>
      <c r="F19">
        <f>IF((AND(VLOOKUP(F$1,main!$A$3:$I$56,5,FALSE)-VLOOKUP($A19,main!$A$3:$I$56,6,FALSE)&gt;=(VLOOKUP(VLOOKUP(F$1,main!$A$3:$I$56,8,FALSE),main!$K$11:$M$14,2,FALSE)+VLOOKUP(VLOOKUP(F$1,main!$A$3:$I$56,7,FALSE),main!$K$19:$O$22,MATCH(VLOOKUP($A19,main!$A$3:$I$56,8,FALSE),main!$K$18:$O$18,0))))),1,0)</f>
        <v>0</v>
      </c>
      <c r="G19">
        <f>IF((AND(VLOOKUP(G$1,main!$A$3:$I$56,5,FALSE)-VLOOKUP($A19,main!$A$3:$I$56,6,FALSE)&gt;=(VLOOKUP(VLOOKUP(G$1,main!$A$3:$I$56,8,FALSE),main!$K$11:$M$14,2,FALSE)+VLOOKUP(VLOOKUP(G$1,main!$A$3:$I$56,7,FALSE),main!$K$19:$O$22,MATCH(VLOOKUP($A19,main!$A$3:$I$56,8,FALSE),main!$K$18:$O$18,0))))),1,0)</f>
        <v>0</v>
      </c>
      <c r="H19">
        <f>IF((AND(VLOOKUP(H$1,main!$A$3:$I$56,5,FALSE)-VLOOKUP($A19,main!$A$3:$I$56,6,FALSE)&gt;=(VLOOKUP(VLOOKUP(H$1,main!$A$3:$I$56,8,FALSE),main!$K$11:$M$14,2,FALSE)+VLOOKUP(VLOOKUP(H$1,main!$A$3:$I$56,7,FALSE),main!$K$19:$O$22,MATCH(VLOOKUP($A19,main!$A$3:$I$56,8,FALSE),main!$K$18:$O$18,0))))),1,0)</f>
        <v>0</v>
      </c>
      <c r="I19">
        <f>IF((AND(VLOOKUP(I$1,main!$A$3:$I$56,5,FALSE)-VLOOKUP($A19,main!$A$3:$I$56,6,FALSE)&gt;=(VLOOKUP(VLOOKUP(I$1,main!$A$3:$I$56,8,FALSE),main!$K$11:$M$14,2,FALSE)+VLOOKUP(VLOOKUP(I$1,main!$A$3:$I$56,7,FALSE),main!$K$19:$O$22,MATCH(VLOOKUP($A19,main!$A$3:$I$56,8,FALSE),main!$K$18:$O$18,0))))),1,0)</f>
        <v>0</v>
      </c>
      <c r="J19">
        <f>IF((AND(VLOOKUP(J$1,main!$A$3:$I$56,5,FALSE)-VLOOKUP($A19,main!$A$3:$I$56,6,FALSE)&gt;=(VLOOKUP(VLOOKUP(J$1,main!$A$3:$I$56,8,FALSE),main!$K$11:$M$14,2,FALSE)+VLOOKUP(VLOOKUP(J$1,main!$A$3:$I$56,7,FALSE),main!$K$19:$O$22,MATCH(VLOOKUP($A19,main!$A$3:$I$56,8,FALSE),main!$K$18:$O$18,0))))),1,0)</f>
        <v>1</v>
      </c>
      <c r="K19">
        <f>IF((AND(VLOOKUP(K$1,main!$A$3:$I$56,5,FALSE)-VLOOKUP($A19,main!$A$3:$I$56,6,FALSE)&gt;=(VLOOKUP(VLOOKUP(K$1,main!$A$3:$I$56,8,FALSE),main!$K$11:$M$14,2,FALSE)+VLOOKUP(VLOOKUP(K$1,main!$A$3:$I$56,7,FALSE),main!$K$19:$O$22,MATCH(VLOOKUP($A19,main!$A$3:$I$56,8,FALSE),main!$K$18:$O$18,0))))),1,0)</f>
        <v>0</v>
      </c>
      <c r="L19">
        <f>IF((AND(VLOOKUP(L$1,main!$A$3:$I$56,5,FALSE)-VLOOKUP($A19,main!$A$3:$I$56,6,FALSE)&gt;=(VLOOKUP(VLOOKUP(L$1,main!$A$3:$I$56,8,FALSE),main!$K$11:$M$14,2,FALSE)+VLOOKUP(VLOOKUP(L$1,main!$A$3:$I$56,7,FALSE),main!$K$19:$O$22,MATCH(VLOOKUP($A19,main!$A$3:$I$56,8,FALSE),main!$K$18:$O$18,0))))),1,0)</f>
        <v>0</v>
      </c>
      <c r="M19">
        <f>IF((AND(VLOOKUP(M$1,main!$A$3:$I$56,5,FALSE)-VLOOKUP($A19,main!$A$3:$I$56,6,FALSE)&gt;=(VLOOKUP(VLOOKUP(M$1,main!$A$3:$I$56,8,FALSE),main!$K$11:$M$14,2,FALSE)+VLOOKUP(VLOOKUP(M$1,main!$A$3:$I$56,7,FALSE),main!$K$19:$O$22,MATCH(VLOOKUP($A19,main!$A$3:$I$56,8,FALSE),main!$K$18:$O$18,0))))),1,0)</f>
        <v>0</v>
      </c>
      <c r="N19">
        <f>IF((AND(VLOOKUP(N$1,main!$A$3:$I$56,5,FALSE)-VLOOKUP($A19,main!$A$3:$I$56,6,FALSE)&gt;=(VLOOKUP(VLOOKUP(N$1,main!$A$3:$I$56,8,FALSE),main!$K$11:$M$14,2,FALSE)+VLOOKUP(VLOOKUP(N$1,main!$A$3:$I$56,7,FALSE),main!$K$19:$O$22,MATCH(VLOOKUP($A19,main!$A$3:$I$56,8,FALSE),main!$K$18:$O$18,0))))),1,0)</f>
        <v>0</v>
      </c>
      <c r="O19">
        <f>IF((AND(VLOOKUP(O$1,main!$A$3:$I$56,5,FALSE)-VLOOKUP($A19,main!$A$3:$I$56,6,FALSE)&gt;=(VLOOKUP(VLOOKUP(O$1,main!$A$3:$I$56,8,FALSE),main!$K$11:$M$14,2,FALSE)+VLOOKUP(VLOOKUP(O$1,main!$A$3:$I$56,7,FALSE),main!$K$19:$O$22,MATCH(VLOOKUP($A19,main!$A$3:$I$56,8,FALSE),main!$K$18:$O$18,0))))),1,0)</f>
        <v>1</v>
      </c>
      <c r="P19">
        <f>IF((AND(VLOOKUP(P$1,main!$A$3:$I$56,5,FALSE)-VLOOKUP($A19,main!$A$3:$I$56,6,FALSE)&gt;=(VLOOKUP(VLOOKUP(P$1,main!$A$3:$I$56,8,FALSE),main!$K$11:$M$14,2,FALSE)+VLOOKUP(VLOOKUP(P$1,main!$A$3:$I$56,7,FALSE),main!$K$19:$O$22,MATCH(VLOOKUP($A19,main!$A$3:$I$56,8,FALSE),main!$K$18:$O$18,0))))),1,0)</f>
        <v>0</v>
      </c>
      <c r="Q19">
        <f>IF((AND(VLOOKUP(Q$1,main!$A$3:$I$56,5,FALSE)-VLOOKUP($A19,main!$A$3:$I$56,6,FALSE)&gt;=(VLOOKUP(VLOOKUP(Q$1,main!$A$3:$I$56,8,FALSE),main!$K$11:$M$14,2,FALSE)+VLOOKUP(VLOOKUP(Q$1,main!$A$3:$I$56,7,FALSE),main!$K$19:$O$22,MATCH(VLOOKUP($A19,main!$A$3:$I$56,8,FALSE),main!$K$18:$O$18,0))))),1,0)</f>
        <v>0</v>
      </c>
      <c r="R19">
        <f>IF((AND(VLOOKUP(R$1,main!$A$3:$I$56,5,FALSE)-VLOOKUP($A19,main!$A$3:$I$56,6,FALSE)&gt;=(VLOOKUP(VLOOKUP(R$1,main!$A$3:$I$56,8,FALSE),main!$K$11:$M$14,2,FALSE)+VLOOKUP(VLOOKUP(R$1,main!$A$3:$I$56,7,FALSE),main!$K$19:$O$22,MATCH(VLOOKUP($A19,main!$A$3:$I$56,8,FALSE),main!$K$18:$O$18,0))))),1,0)</f>
        <v>0</v>
      </c>
      <c r="S19">
        <f>IF((AND(VLOOKUP(S$1,main!$A$3:$I$56,5,FALSE)-VLOOKUP($A19,main!$A$3:$I$56,6,FALSE)&gt;=(VLOOKUP(VLOOKUP(S$1,main!$A$3:$I$56,8,FALSE),main!$K$11:$M$14,2,FALSE)+VLOOKUP(VLOOKUP(S$1,main!$A$3:$I$56,7,FALSE),main!$K$19:$O$22,MATCH(VLOOKUP($A19,main!$A$3:$I$56,8,FALSE),main!$K$18:$O$18,0))))),1,0)</f>
        <v>0</v>
      </c>
      <c r="T19">
        <f>IF((AND(VLOOKUP(T$1,main!$A$3:$I$56,5,FALSE)-VLOOKUP($A19,main!$A$3:$I$56,6,FALSE)&gt;=(VLOOKUP(VLOOKUP(T$1,main!$A$3:$I$56,8,FALSE),main!$K$11:$M$14,2,FALSE)+VLOOKUP(VLOOKUP(T$1,main!$A$3:$I$56,7,FALSE),main!$K$19:$O$22,MATCH(VLOOKUP($A19,main!$A$3:$I$56,8,FALSE),main!$K$18:$O$18,0))))),1,0)</f>
        <v>0</v>
      </c>
      <c r="U19">
        <f>IF((AND(VLOOKUP(U$1,main!$A$3:$I$56,5,FALSE)-VLOOKUP($A19,main!$A$3:$I$56,6,FALSE)&gt;=(VLOOKUP(VLOOKUP(U$1,main!$A$3:$I$56,8,FALSE),main!$K$11:$M$14,2,FALSE)+VLOOKUP(VLOOKUP(U$1,main!$A$3:$I$56,7,FALSE),main!$K$19:$O$22,MATCH(VLOOKUP($A19,main!$A$3:$I$56,8,FALSE),main!$K$18:$O$18,0))))),1,0)</f>
        <v>0</v>
      </c>
      <c r="V19">
        <f>IF((AND(VLOOKUP(V$1,main!$A$3:$I$56,5,FALSE)-VLOOKUP($A19,main!$A$3:$I$56,6,FALSE)&gt;=(VLOOKUP(VLOOKUP(V$1,main!$A$3:$I$56,8,FALSE),main!$K$11:$M$14,2,FALSE)+VLOOKUP(VLOOKUP(V$1,main!$A$3:$I$56,7,FALSE),main!$K$19:$O$22,MATCH(VLOOKUP($A19,main!$A$3:$I$56,8,FALSE),main!$K$18:$O$18,0))))),1,0)</f>
        <v>0</v>
      </c>
      <c r="W19">
        <f>IF((AND(VLOOKUP(W$1,main!$A$3:$I$56,5,FALSE)-VLOOKUP($A19,main!$A$3:$I$56,6,FALSE)&gt;=(VLOOKUP(VLOOKUP(W$1,main!$A$3:$I$56,8,FALSE),main!$K$11:$M$14,2,FALSE)+VLOOKUP(VLOOKUP(W$1,main!$A$3:$I$56,7,FALSE),main!$K$19:$O$22,MATCH(VLOOKUP($A19,main!$A$3:$I$56,8,FALSE),main!$K$18:$O$18,0))))),1,0)</f>
        <v>0</v>
      </c>
      <c r="X19">
        <f>IF((AND(VLOOKUP(X$1,main!$A$3:$I$56,5,FALSE)-VLOOKUP($A19,main!$A$3:$I$56,6,FALSE)&gt;=(VLOOKUP(VLOOKUP(X$1,main!$A$3:$I$56,8,FALSE),main!$K$11:$M$14,2,FALSE)+VLOOKUP(VLOOKUP(X$1,main!$A$3:$I$56,7,FALSE),main!$K$19:$O$22,MATCH(VLOOKUP($A19,main!$A$3:$I$56,8,FALSE),main!$K$18:$O$18,0))))),1,0)</f>
        <v>0</v>
      </c>
      <c r="Y19">
        <f>IF((AND(VLOOKUP(Y$1,main!$A$3:$I$56,5,FALSE)-VLOOKUP($A19,main!$A$3:$I$56,6,FALSE)&gt;=(VLOOKUP(VLOOKUP(Y$1,main!$A$3:$I$56,8,FALSE),main!$K$11:$M$14,2,FALSE)+VLOOKUP(VLOOKUP(Y$1,main!$A$3:$I$56,7,FALSE),main!$K$19:$O$22,MATCH(VLOOKUP($A19,main!$A$3:$I$56,8,FALSE),main!$K$18:$O$18,0))))),1,0)</f>
        <v>0</v>
      </c>
      <c r="Z19">
        <f>IF((AND(VLOOKUP(Z$1,main!$A$3:$I$56,5,FALSE)-VLOOKUP($A19,main!$A$3:$I$56,6,FALSE)&gt;=(VLOOKUP(VLOOKUP(Z$1,main!$A$3:$I$56,8,FALSE),main!$K$11:$M$14,2,FALSE)+VLOOKUP(VLOOKUP(Z$1,main!$A$3:$I$56,7,FALSE),main!$K$19:$O$22,MATCH(VLOOKUP($A19,main!$A$3:$I$56,8,FALSE),main!$K$18:$O$18,0))))),1,0)</f>
        <v>0</v>
      </c>
      <c r="AA19">
        <f>IF((AND(VLOOKUP(AA$1,main!$A$3:$I$56,5,FALSE)-VLOOKUP($A19,main!$A$3:$I$56,6,FALSE)&gt;=(VLOOKUP(VLOOKUP(AA$1,main!$A$3:$I$56,8,FALSE),main!$K$11:$M$14,2,FALSE)+VLOOKUP(VLOOKUP(AA$1,main!$A$3:$I$56,7,FALSE),main!$K$19:$O$22,MATCH(VLOOKUP($A19,main!$A$3:$I$56,8,FALSE),main!$K$18:$O$18,0))))),1,0)</f>
        <v>0</v>
      </c>
      <c r="AB19">
        <f>IF((AND(VLOOKUP(AB$1,main!$A$3:$I$56,5,FALSE)-VLOOKUP($A19,main!$A$3:$I$56,6,FALSE)&gt;=(VLOOKUP(VLOOKUP(AB$1,main!$A$3:$I$56,8,FALSE),main!$K$11:$M$14,2,FALSE)+VLOOKUP(VLOOKUP(AB$1,main!$A$3:$I$56,7,FALSE),main!$K$19:$O$22,MATCH(VLOOKUP($A19,main!$A$3:$I$56,8,FALSE),main!$K$18:$O$18,0))))),1,0)</f>
        <v>0</v>
      </c>
      <c r="AC19">
        <f>IF((AND(VLOOKUP(AC$1,main!$A$3:$I$56,5,FALSE)-VLOOKUP($A19,main!$A$3:$I$56,6,FALSE)&gt;=(VLOOKUP(VLOOKUP(AC$1,main!$A$3:$I$56,8,FALSE),main!$K$11:$M$14,2,FALSE)+VLOOKUP(VLOOKUP(AC$1,main!$A$3:$I$56,7,FALSE),main!$K$19:$O$22,MATCH(VLOOKUP($A19,main!$A$3:$I$56,8,FALSE),main!$K$18:$O$18,0))))),1,0)</f>
        <v>0</v>
      </c>
      <c r="AD19">
        <f>IF((AND(VLOOKUP(AD$1,main!$A$3:$I$56,5,FALSE)-VLOOKUP($A19,main!$A$3:$I$56,6,FALSE)&gt;=(VLOOKUP(VLOOKUP(AD$1,main!$A$3:$I$56,8,FALSE),main!$K$11:$M$14,2,FALSE)+VLOOKUP(VLOOKUP(AD$1,main!$A$3:$I$56,7,FALSE),main!$K$19:$O$22,MATCH(VLOOKUP($A19,main!$A$3:$I$56,8,FALSE),main!$K$18:$O$18,0))))),1,0)</f>
        <v>0</v>
      </c>
      <c r="AE19">
        <f>IF((AND(VLOOKUP(AE$1,main!$A$3:$I$56,5,FALSE)-VLOOKUP($A19,main!$A$3:$I$56,6,FALSE)&gt;=(VLOOKUP(VLOOKUP(AE$1,main!$A$3:$I$56,8,FALSE),main!$K$11:$M$14,2,FALSE)+VLOOKUP(VLOOKUP(AE$1,main!$A$3:$I$56,7,FALSE),main!$K$19:$O$22,MATCH(VLOOKUP($A19,main!$A$3:$I$56,8,FALSE),main!$K$18:$O$18,0))))),1,0)</f>
        <v>0</v>
      </c>
      <c r="AF19">
        <f>IF((AND(VLOOKUP(AF$1,main!$A$3:$I$56,5,FALSE)-VLOOKUP($A19,main!$A$3:$I$56,6,FALSE)&gt;=(VLOOKUP(VLOOKUP(AF$1,main!$A$3:$I$56,8,FALSE),main!$K$11:$M$14,2,FALSE)+VLOOKUP(VLOOKUP(AF$1,main!$A$3:$I$56,7,FALSE),main!$K$19:$O$22,MATCH(VLOOKUP($A19,main!$A$3:$I$56,8,FALSE),main!$K$18:$O$18,0))))),1,0)</f>
        <v>0</v>
      </c>
      <c r="AG19">
        <f>IF((AND(VLOOKUP(AG$1,main!$A$3:$I$56,5,FALSE)-VLOOKUP($A19,main!$A$3:$I$56,6,FALSE)&gt;=(VLOOKUP(VLOOKUP(AG$1,main!$A$3:$I$56,8,FALSE),main!$K$11:$M$14,2,FALSE)+VLOOKUP(VLOOKUP(AG$1,main!$A$3:$I$56,7,FALSE),main!$K$19:$O$22,MATCH(VLOOKUP($A19,main!$A$3:$I$56,8,FALSE),main!$K$18:$O$18,0))))),1,0)</f>
        <v>0</v>
      </c>
      <c r="AH19">
        <f>IF((AND(VLOOKUP(AH$1,main!$A$3:$I$56,5,FALSE)-VLOOKUP($A19,main!$A$3:$I$56,6,FALSE)&gt;=(VLOOKUP(VLOOKUP(AH$1,main!$A$3:$I$56,8,FALSE),main!$K$11:$M$14,2,FALSE)+VLOOKUP(VLOOKUP(AH$1,main!$A$3:$I$56,7,FALSE),main!$K$19:$O$22,MATCH(VLOOKUP($A19,main!$A$3:$I$56,8,FALSE),main!$K$18:$O$18,0))))),1,0)</f>
        <v>0</v>
      </c>
      <c r="AI19">
        <f>IF((AND(VLOOKUP(AI$1,main!$A$3:$I$56,5,FALSE)-VLOOKUP($A19,main!$A$3:$I$56,6,FALSE)&gt;=(VLOOKUP(VLOOKUP(AI$1,main!$A$3:$I$56,8,FALSE),main!$K$11:$M$14,2,FALSE)+VLOOKUP(VLOOKUP(AI$1,main!$A$3:$I$56,7,FALSE),main!$K$19:$O$22,MATCH(VLOOKUP($A19,main!$A$3:$I$56,8,FALSE),main!$K$18:$O$18,0))))),1,0)</f>
        <v>0</v>
      </c>
      <c r="AJ19">
        <f>IF((AND(VLOOKUP(AJ$1,main!$A$3:$I$56,5,FALSE)-VLOOKUP($A19,main!$A$3:$I$56,6,FALSE)&gt;=(VLOOKUP(VLOOKUP(AJ$1,main!$A$3:$I$56,8,FALSE),main!$K$11:$M$14,2,FALSE)+VLOOKUP(VLOOKUP(AJ$1,main!$A$3:$I$56,7,FALSE),main!$K$19:$O$22,MATCH(VLOOKUP($A19,main!$A$3:$I$56,8,FALSE),main!$K$18:$O$18,0))))),1,0)</f>
        <v>0</v>
      </c>
      <c r="AK19">
        <f>IF((AND(VLOOKUP(AK$1,main!$A$3:$I$56,5,FALSE)-VLOOKUP($A19,main!$A$3:$I$56,6,FALSE)&gt;=(VLOOKUP(VLOOKUP(AK$1,main!$A$3:$I$56,8,FALSE),main!$K$11:$M$14,2,FALSE)+VLOOKUP(VLOOKUP(AK$1,main!$A$3:$I$56,7,FALSE),main!$K$19:$O$22,MATCH(VLOOKUP($A19,main!$A$3:$I$56,8,FALSE),main!$K$18:$O$18,0))))),1,0)</f>
        <v>0</v>
      </c>
      <c r="AL19">
        <f>IF((AND(VLOOKUP(AL$1,main!$A$3:$I$56,5,FALSE)-VLOOKUP($A19,main!$A$3:$I$56,6,FALSE)&gt;=(VLOOKUP(VLOOKUP(AL$1,main!$A$3:$I$56,8,FALSE),main!$K$11:$M$14,2,FALSE)+VLOOKUP(VLOOKUP(AL$1,main!$A$3:$I$56,7,FALSE),main!$K$19:$O$22,MATCH(VLOOKUP($A19,main!$A$3:$I$56,8,FALSE),main!$K$18:$O$18,0))))),1,0)</f>
        <v>0</v>
      </c>
      <c r="AM19">
        <f>IF((AND(VLOOKUP(AM$1,main!$A$3:$I$56,5,FALSE)-VLOOKUP($A19,main!$A$3:$I$56,6,FALSE)&gt;=(VLOOKUP(VLOOKUP(AM$1,main!$A$3:$I$56,8,FALSE),main!$K$11:$M$14,2,FALSE)+VLOOKUP(VLOOKUP(AM$1,main!$A$3:$I$56,7,FALSE),main!$K$19:$O$22,MATCH(VLOOKUP($A19,main!$A$3:$I$56,8,FALSE),main!$K$18:$O$18,0))))),1,0)</f>
        <v>0</v>
      </c>
      <c r="AN19">
        <f>IF((AND(VLOOKUP(AN$1,main!$A$3:$I$56,5,FALSE)-VLOOKUP($A19,main!$A$3:$I$56,6,FALSE)&gt;=(VLOOKUP(VLOOKUP(AN$1,main!$A$3:$I$56,8,FALSE),main!$K$11:$M$14,2,FALSE)+VLOOKUP(VLOOKUP(AN$1,main!$A$3:$I$56,7,FALSE),main!$K$19:$O$22,MATCH(VLOOKUP($A19,main!$A$3:$I$56,8,FALSE),main!$K$18:$O$18,0))))),1,0)</f>
        <v>0</v>
      </c>
      <c r="AO19">
        <f>IF((AND(VLOOKUP(AO$1,main!$A$3:$I$56,5,FALSE)-VLOOKUP($A19,main!$A$3:$I$56,6,FALSE)&gt;=(VLOOKUP(VLOOKUP(AO$1,main!$A$3:$I$56,8,FALSE),main!$K$11:$M$14,2,FALSE)+VLOOKUP(VLOOKUP(AO$1,main!$A$3:$I$56,7,FALSE),main!$K$19:$O$22,MATCH(VLOOKUP($A19,main!$A$3:$I$56,8,FALSE),main!$K$18:$O$18,0))))),1,0)</f>
        <v>0</v>
      </c>
      <c r="AP19">
        <f>IF((AND(VLOOKUP(AP$1,main!$A$3:$I$56,5,FALSE)-VLOOKUP($A19,main!$A$3:$I$56,6,FALSE)&gt;=(VLOOKUP(VLOOKUP(AP$1,main!$A$3:$I$56,8,FALSE),main!$K$11:$M$14,2,FALSE)+VLOOKUP(VLOOKUP(AP$1,main!$A$3:$I$56,7,FALSE),main!$K$19:$O$22,MATCH(VLOOKUP($A19,main!$A$3:$I$56,8,FALSE),main!$K$18:$O$18,0))))),1,0)</f>
        <v>0</v>
      </c>
      <c r="AQ19">
        <f>IF((AND(VLOOKUP(AQ$1,main!$A$3:$I$56,5,FALSE)-VLOOKUP($A19,main!$A$3:$I$56,6,FALSE)&gt;=(VLOOKUP(VLOOKUP(AQ$1,main!$A$3:$I$56,8,FALSE),main!$K$11:$M$14,2,FALSE)+VLOOKUP(VLOOKUP(AQ$1,main!$A$3:$I$56,7,FALSE),main!$K$19:$O$22,MATCH(VLOOKUP($A19,main!$A$3:$I$56,8,FALSE),main!$K$18:$O$18,0))))),1,0)</f>
        <v>0</v>
      </c>
      <c r="AR19">
        <f>IF((AND(VLOOKUP(AR$1,main!$A$3:$I$56,5,FALSE)-VLOOKUP($A19,main!$A$3:$I$56,6,FALSE)&gt;=(VLOOKUP(VLOOKUP(AR$1,main!$A$3:$I$56,8,FALSE),main!$K$11:$M$14,2,FALSE)+VLOOKUP(VLOOKUP(AR$1,main!$A$3:$I$56,7,FALSE),main!$K$19:$O$22,MATCH(VLOOKUP($A19,main!$A$3:$I$56,8,FALSE),main!$K$18:$O$18,0))))),1,0)</f>
        <v>0</v>
      </c>
      <c r="AS19">
        <f>IF((AND(VLOOKUP(AS$1,main!$A$3:$I$56,5,FALSE)-VLOOKUP($A19,main!$A$3:$I$56,6,FALSE)&gt;=(VLOOKUP(VLOOKUP(AS$1,main!$A$3:$I$56,8,FALSE),main!$K$11:$M$14,2,FALSE)+VLOOKUP(VLOOKUP(AS$1,main!$A$3:$I$56,7,FALSE),main!$K$19:$O$22,MATCH(VLOOKUP($A19,main!$A$3:$I$56,8,FALSE),main!$K$18:$O$18,0))))),1,0)</f>
        <v>0</v>
      </c>
      <c r="AT19">
        <f>IF((AND(VLOOKUP(AT$1,main!$A$3:$I$56,5,FALSE)-VLOOKUP($A19,main!$A$3:$I$56,6,FALSE)&gt;=(VLOOKUP(VLOOKUP(AT$1,main!$A$3:$I$56,8,FALSE),main!$K$11:$M$14,2,FALSE)+VLOOKUP(VLOOKUP(AT$1,main!$A$3:$I$56,7,FALSE),main!$K$19:$O$22,MATCH(VLOOKUP($A19,main!$A$3:$I$56,8,FALSE),main!$K$18:$O$18,0))))),1,0)</f>
        <v>0</v>
      </c>
      <c r="AU19">
        <f>IF((AND(VLOOKUP(AU$1,main!$A$3:$I$56,5,FALSE)-VLOOKUP($A19,main!$A$3:$I$56,6,FALSE)&gt;=(VLOOKUP(VLOOKUP(AU$1,main!$A$3:$I$56,8,FALSE),main!$K$11:$M$14,2,FALSE)+VLOOKUP(VLOOKUP(AU$1,main!$A$3:$I$56,7,FALSE),main!$K$19:$O$22,MATCH(VLOOKUP($A19,main!$A$3:$I$56,8,FALSE),main!$K$18:$O$18,0))))),1,0)</f>
        <v>0</v>
      </c>
      <c r="AV19">
        <f>IF((AND(VLOOKUP(AV$1,main!$A$3:$I$56,5,FALSE)-VLOOKUP($A19,main!$A$3:$I$56,6,FALSE)&gt;=(VLOOKUP(VLOOKUP(AV$1,main!$A$3:$I$56,8,FALSE),main!$K$11:$M$14,2,FALSE)+VLOOKUP(VLOOKUP(AV$1,main!$A$3:$I$56,7,FALSE),main!$K$19:$O$22,MATCH(VLOOKUP($A19,main!$A$3:$I$56,8,FALSE),main!$K$18:$O$18,0))))),1,0)</f>
        <v>0</v>
      </c>
      <c r="AW19">
        <f>IF((AND(VLOOKUP(AW$1,main!$A$3:$I$56,5,FALSE)-VLOOKUP($A19,main!$A$3:$I$56,6,FALSE)&gt;=(VLOOKUP(VLOOKUP(AW$1,main!$A$3:$I$56,8,FALSE),main!$K$11:$M$14,2,FALSE)+VLOOKUP(VLOOKUP(AW$1,main!$A$3:$I$56,7,FALSE),main!$K$19:$O$22,MATCH(VLOOKUP($A19,main!$A$3:$I$56,8,FALSE),main!$K$18:$O$18,0))))),1,0)</f>
        <v>0</v>
      </c>
      <c r="AX19">
        <f>IF((AND(VLOOKUP(AX$1,main!$A$3:$I$56,5,FALSE)-VLOOKUP($A19,main!$A$3:$I$56,6,FALSE)&gt;=(VLOOKUP(VLOOKUP(AX$1,main!$A$3:$I$56,8,FALSE),main!$K$11:$M$14,2,FALSE)+VLOOKUP(VLOOKUP(AX$1,main!$A$3:$I$56,7,FALSE),main!$K$19:$O$22,MATCH(VLOOKUP($A19,main!$A$3:$I$56,8,FALSE),main!$K$18:$O$18,0))))),1,0)</f>
        <v>0</v>
      </c>
      <c r="AY19">
        <f>IF((AND(VLOOKUP(AY$1,main!$A$3:$I$56,5,FALSE)-VLOOKUP($A19,main!$A$3:$I$56,6,FALSE)&gt;=(VLOOKUP(VLOOKUP(AY$1,main!$A$3:$I$56,8,FALSE),main!$K$11:$M$14,2,FALSE)+VLOOKUP(VLOOKUP(AY$1,main!$A$3:$I$56,7,FALSE),main!$K$19:$O$22,MATCH(VLOOKUP($A19,main!$A$3:$I$56,8,FALSE),main!$K$18:$O$18,0))))),1,0)</f>
        <v>1</v>
      </c>
      <c r="AZ19">
        <f>IF((AND(VLOOKUP(AZ$1,main!$A$3:$I$56,5,FALSE)-VLOOKUP($A19,main!$A$3:$I$56,6,FALSE)&gt;=(VLOOKUP(VLOOKUP(AZ$1,main!$A$3:$I$56,8,FALSE),main!$K$11:$M$14,2,FALSE)+VLOOKUP(VLOOKUP(AZ$1,main!$A$3:$I$56,7,FALSE),main!$K$19:$O$22,MATCH(VLOOKUP($A19,main!$A$3:$I$56,8,FALSE),main!$K$18:$O$18,0))))),1,0)</f>
        <v>0</v>
      </c>
      <c r="BA19">
        <f>IF((AND(VLOOKUP(BA$1,main!$A$3:$I$56,5,FALSE)-VLOOKUP($A19,main!$A$3:$I$56,6,FALSE)&gt;=(VLOOKUP(VLOOKUP(BA$1,main!$A$3:$I$56,8,FALSE),main!$K$11:$M$14,2,FALSE)+VLOOKUP(VLOOKUP(BA$1,main!$A$3:$I$56,7,FALSE),main!$K$19:$O$22,MATCH(VLOOKUP($A19,main!$A$3:$I$56,8,FALSE),main!$K$18:$O$18,0))))),1,0)</f>
        <v>0</v>
      </c>
      <c r="BB19">
        <f>IF((AND(VLOOKUP(BB$1,main!$A$3:$I$56,5,FALSE)-VLOOKUP($A19,main!$A$3:$I$56,6,FALSE)&gt;=(VLOOKUP(VLOOKUP(BB$1,main!$A$3:$I$56,8,FALSE),main!$K$11:$M$14,2,FALSE)+VLOOKUP(VLOOKUP(BB$1,main!$A$3:$I$56,7,FALSE),main!$K$19:$O$22,MATCH(VLOOKUP($A19,main!$A$3:$I$56,8,FALSE),main!$K$18:$O$18,0))))),1,0)</f>
        <v>0</v>
      </c>
      <c r="BC19">
        <f>IF((AND(VLOOKUP(BC$1,main!$A$3:$I$56,5,FALSE)-VLOOKUP($A19,main!$A$3:$I$56,6,FALSE)&gt;=(VLOOKUP(VLOOKUP(BC$1,main!$A$3:$I$56,8,FALSE),main!$K$11:$M$14,2,FALSE)+VLOOKUP(VLOOKUP(BC$1,main!$A$3:$I$56,7,FALSE),main!$K$19:$O$22,MATCH(VLOOKUP($A19,main!$A$3:$I$56,8,FALSE),main!$K$18:$O$18,0))))),1,0)</f>
        <v>0</v>
      </c>
      <c r="BD19">
        <f>IF((AND(VLOOKUP(BD$1,main!$A$3:$I$56,5,FALSE)-VLOOKUP($A19,main!$A$3:$I$56,6,FALSE)&gt;=(VLOOKUP(VLOOKUP(BD$1,main!$A$3:$I$56,8,FALSE),main!$K$11:$M$14,2,FALSE)+VLOOKUP(VLOOKUP(BD$1,main!$A$3:$I$56,7,FALSE),main!$K$19:$O$22,MATCH(VLOOKUP($A19,main!$A$3:$I$56,8,FALSE),main!$K$18:$O$18,0))))),1,0)</f>
        <v>0</v>
      </c>
    </row>
    <row r="20" spans="1:56" x14ac:dyDescent="0.25">
      <c r="A20">
        <f t="shared" si="0"/>
        <v>18</v>
      </c>
      <c r="B20">
        <v>1</v>
      </c>
      <c r="C20">
        <f>IF((AND(VLOOKUP(C$1,main!$A$3:$I$56,5,FALSE)-VLOOKUP($A20,main!$A$3:$I$56,6,FALSE)&gt;=(VLOOKUP(VLOOKUP(C$1,main!$A$3:$I$56,8,FALSE),main!$K$11:$M$14,2,FALSE)+VLOOKUP(VLOOKUP(C$1,main!$A$3:$I$56,7,FALSE),main!$K$19:$O$22,MATCH(VLOOKUP($A20,main!$A$3:$I$56,8,FALSE),main!$K$18:$O$18,0))))),1,0)</f>
        <v>0</v>
      </c>
      <c r="D20">
        <f>IF((AND(VLOOKUP(D$1,main!$A$3:$I$56,5,FALSE)-VLOOKUP($A20,main!$A$3:$I$56,6,FALSE)&gt;=(VLOOKUP(VLOOKUP(D$1,main!$A$3:$I$56,8,FALSE),main!$K$11:$M$14,2,FALSE)+VLOOKUP(VLOOKUP(D$1,main!$A$3:$I$56,7,FALSE),main!$K$19:$O$22,MATCH(VLOOKUP($A20,main!$A$3:$I$56,8,FALSE),main!$K$18:$O$18,0))))),1,0)</f>
        <v>0</v>
      </c>
      <c r="E20">
        <f>IF((AND(VLOOKUP(E$1,main!$A$3:$I$56,5,FALSE)-VLOOKUP($A20,main!$A$3:$I$56,6,FALSE)&gt;=(VLOOKUP(VLOOKUP(E$1,main!$A$3:$I$56,8,FALSE),main!$K$11:$M$14,2,FALSE)+VLOOKUP(VLOOKUP(E$1,main!$A$3:$I$56,7,FALSE),main!$K$19:$O$22,MATCH(VLOOKUP($A20,main!$A$3:$I$56,8,FALSE),main!$K$18:$O$18,0))))),1,0)</f>
        <v>0</v>
      </c>
      <c r="F20">
        <f>IF((AND(VLOOKUP(F$1,main!$A$3:$I$56,5,FALSE)-VLOOKUP($A20,main!$A$3:$I$56,6,FALSE)&gt;=(VLOOKUP(VLOOKUP(F$1,main!$A$3:$I$56,8,FALSE),main!$K$11:$M$14,2,FALSE)+VLOOKUP(VLOOKUP(F$1,main!$A$3:$I$56,7,FALSE),main!$K$19:$O$22,MATCH(VLOOKUP($A20,main!$A$3:$I$56,8,FALSE),main!$K$18:$O$18,0))))),1,0)</f>
        <v>0</v>
      </c>
      <c r="G20">
        <f>IF((AND(VLOOKUP(G$1,main!$A$3:$I$56,5,FALSE)-VLOOKUP($A20,main!$A$3:$I$56,6,FALSE)&gt;=(VLOOKUP(VLOOKUP(G$1,main!$A$3:$I$56,8,FALSE),main!$K$11:$M$14,2,FALSE)+VLOOKUP(VLOOKUP(G$1,main!$A$3:$I$56,7,FALSE),main!$K$19:$O$22,MATCH(VLOOKUP($A20,main!$A$3:$I$56,8,FALSE),main!$K$18:$O$18,0))))),1,0)</f>
        <v>0</v>
      </c>
      <c r="H20">
        <f>IF((AND(VLOOKUP(H$1,main!$A$3:$I$56,5,FALSE)-VLOOKUP($A20,main!$A$3:$I$56,6,FALSE)&gt;=(VLOOKUP(VLOOKUP(H$1,main!$A$3:$I$56,8,FALSE),main!$K$11:$M$14,2,FALSE)+VLOOKUP(VLOOKUP(H$1,main!$A$3:$I$56,7,FALSE),main!$K$19:$O$22,MATCH(VLOOKUP($A20,main!$A$3:$I$56,8,FALSE),main!$K$18:$O$18,0))))),1,0)</f>
        <v>0</v>
      </c>
      <c r="I20">
        <f>IF((AND(VLOOKUP(I$1,main!$A$3:$I$56,5,FALSE)-VLOOKUP($A20,main!$A$3:$I$56,6,FALSE)&gt;=(VLOOKUP(VLOOKUP(I$1,main!$A$3:$I$56,8,FALSE),main!$K$11:$M$14,2,FALSE)+VLOOKUP(VLOOKUP(I$1,main!$A$3:$I$56,7,FALSE),main!$K$19:$O$22,MATCH(VLOOKUP($A20,main!$A$3:$I$56,8,FALSE),main!$K$18:$O$18,0))))),1,0)</f>
        <v>0</v>
      </c>
      <c r="J20">
        <f>IF((AND(VLOOKUP(J$1,main!$A$3:$I$56,5,FALSE)-VLOOKUP($A20,main!$A$3:$I$56,6,FALSE)&gt;=(VLOOKUP(VLOOKUP(J$1,main!$A$3:$I$56,8,FALSE),main!$K$11:$M$14,2,FALSE)+VLOOKUP(VLOOKUP(J$1,main!$A$3:$I$56,7,FALSE),main!$K$19:$O$22,MATCH(VLOOKUP($A20,main!$A$3:$I$56,8,FALSE),main!$K$18:$O$18,0))))),1,0)</f>
        <v>0</v>
      </c>
      <c r="K20">
        <f>IF((AND(VLOOKUP(K$1,main!$A$3:$I$56,5,FALSE)-VLOOKUP($A20,main!$A$3:$I$56,6,FALSE)&gt;=(VLOOKUP(VLOOKUP(K$1,main!$A$3:$I$56,8,FALSE),main!$K$11:$M$14,2,FALSE)+VLOOKUP(VLOOKUP(K$1,main!$A$3:$I$56,7,FALSE),main!$K$19:$O$22,MATCH(VLOOKUP($A20,main!$A$3:$I$56,8,FALSE),main!$K$18:$O$18,0))))),1,0)</f>
        <v>0</v>
      </c>
      <c r="L20">
        <f>IF((AND(VLOOKUP(L$1,main!$A$3:$I$56,5,FALSE)-VLOOKUP($A20,main!$A$3:$I$56,6,FALSE)&gt;=(VLOOKUP(VLOOKUP(L$1,main!$A$3:$I$56,8,FALSE),main!$K$11:$M$14,2,FALSE)+VLOOKUP(VLOOKUP(L$1,main!$A$3:$I$56,7,FALSE),main!$K$19:$O$22,MATCH(VLOOKUP($A20,main!$A$3:$I$56,8,FALSE),main!$K$18:$O$18,0))))),1,0)</f>
        <v>0</v>
      </c>
      <c r="M20">
        <f>IF((AND(VLOOKUP(M$1,main!$A$3:$I$56,5,FALSE)-VLOOKUP($A20,main!$A$3:$I$56,6,FALSE)&gt;=(VLOOKUP(VLOOKUP(M$1,main!$A$3:$I$56,8,FALSE),main!$K$11:$M$14,2,FALSE)+VLOOKUP(VLOOKUP(M$1,main!$A$3:$I$56,7,FALSE),main!$K$19:$O$22,MATCH(VLOOKUP($A20,main!$A$3:$I$56,8,FALSE),main!$K$18:$O$18,0))))),1,0)</f>
        <v>0</v>
      </c>
      <c r="N20">
        <f>IF((AND(VLOOKUP(N$1,main!$A$3:$I$56,5,FALSE)-VLOOKUP($A20,main!$A$3:$I$56,6,FALSE)&gt;=(VLOOKUP(VLOOKUP(N$1,main!$A$3:$I$56,8,FALSE),main!$K$11:$M$14,2,FALSE)+VLOOKUP(VLOOKUP(N$1,main!$A$3:$I$56,7,FALSE),main!$K$19:$O$22,MATCH(VLOOKUP($A20,main!$A$3:$I$56,8,FALSE),main!$K$18:$O$18,0))))),1,0)</f>
        <v>0</v>
      </c>
      <c r="O20">
        <f>IF((AND(VLOOKUP(O$1,main!$A$3:$I$56,5,FALSE)-VLOOKUP($A20,main!$A$3:$I$56,6,FALSE)&gt;=(VLOOKUP(VLOOKUP(O$1,main!$A$3:$I$56,8,FALSE),main!$K$11:$M$14,2,FALSE)+VLOOKUP(VLOOKUP(O$1,main!$A$3:$I$56,7,FALSE),main!$K$19:$O$22,MATCH(VLOOKUP($A20,main!$A$3:$I$56,8,FALSE),main!$K$18:$O$18,0))))),1,0)</f>
        <v>0</v>
      </c>
      <c r="P20">
        <f>IF((AND(VLOOKUP(P$1,main!$A$3:$I$56,5,FALSE)-VLOOKUP($A20,main!$A$3:$I$56,6,FALSE)&gt;=(VLOOKUP(VLOOKUP(P$1,main!$A$3:$I$56,8,FALSE),main!$K$11:$M$14,2,FALSE)+VLOOKUP(VLOOKUP(P$1,main!$A$3:$I$56,7,FALSE),main!$K$19:$O$22,MATCH(VLOOKUP($A20,main!$A$3:$I$56,8,FALSE),main!$K$18:$O$18,0))))),1,0)</f>
        <v>0</v>
      </c>
      <c r="Q20">
        <f>IF((AND(VLOOKUP(Q$1,main!$A$3:$I$56,5,FALSE)-VLOOKUP($A20,main!$A$3:$I$56,6,FALSE)&gt;=(VLOOKUP(VLOOKUP(Q$1,main!$A$3:$I$56,8,FALSE),main!$K$11:$M$14,2,FALSE)+VLOOKUP(VLOOKUP(Q$1,main!$A$3:$I$56,7,FALSE),main!$K$19:$O$22,MATCH(VLOOKUP($A20,main!$A$3:$I$56,8,FALSE),main!$K$18:$O$18,0))))),1,0)</f>
        <v>0</v>
      </c>
      <c r="R20">
        <f>IF((AND(VLOOKUP(R$1,main!$A$3:$I$56,5,FALSE)-VLOOKUP($A20,main!$A$3:$I$56,6,FALSE)&gt;=(VLOOKUP(VLOOKUP(R$1,main!$A$3:$I$56,8,FALSE),main!$K$11:$M$14,2,FALSE)+VLOOKUP(VLOOKUP(R$1,main!$A$3:$I$56,7,FALSE),main!$K$19:$O$22,MATCH(VLOOKUP($A20,main!$A$3:$I$56,8,FALSE),main!$K$18:$O$18,0))))),1,0)</f>
        <v>0</v>
      </c>
      <c r="S20">
        <f>IF((AND(VLOOKUP(S$1,main!$A$3:$I$56,5,FALSE)-VLOOKUP($A20,main!$A$3:$I$56,6,FALSE)&gt;=(VLOOKUP(VLOOKUP(S$1,main!$A$3:$I$56,8,FALSE),main!$K$11:$M$14,2,FALSE)+VLOOKUP(VLOOKUP(S$1,main!$A$3:$I$56,7,FALSE),main!$K$19:$O$22,MATCH(VLOOKUP($A20,main!$A$3:$I$56,8,FALSE),main!$K$18:$O$18,0))))),1,0)</f>
        <v>0</v>
      </c>
      <c r="T20">
        <f>IF((AND(VLOOKUP(T$1,main!$A$3:$I$56,5,FALSE)-VLOOKUP($A20,main!$A$3:$I$56,6,FALSE)&gt;=(VLOOKUP(VLOOKUP(T$1,main!$A$3:$I$56,8,FALSE),main!$K$11:$M$14,2,FALSE)+VLOOKUP(VLOOKUP(T$1,main!$A$3:$I$56,7,FALSE),main!$K$19:$O$22,MATCH(VLOOKUP($A20,main!$A$3:$I$56,8,FALSE),main!$K$18:$O$18,0))))),1,0)</f>
        <v>0</v>
      </c>
      <c r="U20">
        <f>IF((AND(VLOOKUP(U$1,main!$A$3:$I$56,5,FALSE)-VLOOKUP($A20,main!$A$3:$I$56,6,FALSE)&gt;=(VLOOKUP(VLOOKUP(U$1,main!$A$3:$I$56,8,FALSE),main!$K$11:$M$14,2,FALSE)+VLOOKUP(VLOOKUP(U$1,main!$A$3:$I$56,7,FALSE),main!$K$19:$O$22,MATCH(VLOOKUP($A20,main!$A$3:$I$56,8,FALSE),main!$K$18:$O$18,0))))),1,0)</f>
        <v>0</v>
      </c>
      <c r="V20">
        <f>IF((AND(VLOOKUP(V$1,main!$A$3:$I$56,5,FALSE)-VLOOKUP($A20,main!$A$3:$I$56,6,FALSE)&gt;=(VLOOKUP(VLOOKUP(V$1,main!$A$3:$I$56,8,FALSE),main!$K$11:$M$14,2,FALSE)+VLOOKUP(VLOOKUP(V$1,main!$A$3:$I$56,7,FALSE),main!$K$19:$O$22,MATCH(VLOOKUP($A20,main!$A$3:$I$56,8,FALSE),main!$K$18:$O$18,0))))),1,0)</f>
        <v>0</v>
      </c>
      <c r="W20">
        <f>IF((AND(VLOOKUP(W$1,main!$A$3:$I$56,5,FALSE)-VLOOKUP($A20,main!$A$3:$I$56,6,FALSE)&gt;=(VLOOKUP(VLOOKUP(W$1,main!$A$3:$I$56,8,FALSE),main!$K$11:$M$14,2,FALSE)+VLOOKUP(VLOOKUP(W$1,main!$A$3:$I$56,7,FALSE),main!$K$19:$O$22,MATCH(VLOOKUP($A20,main!$A$3:$I$56,8,FALSE),main!$K$18:$O$18,0))))),1,0)</f>
        <v>0</v>
      </c>
      <c r="X20">
        <f>IF((AND(VLOOKUP(X$1,main!$A$3:$I$56,5,FALSE)-VLOOKUP($A20,main!$A$3:$I$56,6,FALSE)&gt;=(VLOOKUP(VLOOKUP(X$1,main!$A$3:$I$56,8,FALSE),main!$K$11:$M$14,2,FALSE)+VLOOKUP(VLOOKUP(X$1,main!$A$3:$I$56,7,FALSE),main!$K$19:$O$22,MATCH(VLOOKUP($A20,main!$A$3:$I$56,8,FALSE),main!$K$18:$O$18,0))))),1,0)</f>
        <v>0</v>
      </c>
      <c r="Y20">
        <f>IF((AND(VLOOKUP(Y$1,main!$A$3:$I$56,5,FALSE)-VLOOKUP($A20,main!$A$3:$I$56,6,FALSE)&gt;=(VLOOKUP(VLOOKUP(Y$1,main!$A$3:$I$56,8,FALSE),main!$K$11:$M$14,2,FALSE)+VLOOKUP(VLOOKUP(Y$1,main!$A$3:$I$56,7,FALSE),main!$K$19:$O$22,MATCH(VLOOKUP($A20,main!$A$3:$I$56,8,FALSE),main!$K$18:$O$18,0))))),1,0)</f>
        <v>0</v>
      </c>
      <c r="Z20">
        <f>IF((AND(VLOOKUP(Z$1,main!$A$3:$I$56,5,FALSE)-VLOOKUP($A20,main!$A$3:$I$56,6,FALSE)&gt;=(VLOOKUP(VLOOKUP(Z$1,main!$A$3:$I$56,8,FALSE),main!$K$11:$M$14,2,FALSE)+VLOOKUP(VLOOKUP(Z$1,main!$A$3:$I$56,7,FALSE),main!$K$19:$O$22,MATCH(VLOOKUP($A20,main!$A$3:$I$56,8,FALSE),main!$K$18:$O$18,0))))),1,0)</f>
        <v>0</v>
      </c>
      <c r="AA20">
        <f>IF((AND(VLOOKUP(AA$1,main!$A$3:$I$56,5,FALSE)-VLOOKUP($A20,main!$A$3:$I$56,6,FALSE)&gt;=(VLOOKUP(VLOOKUP(AA$1,main!$A$3:$I$56,8,FALSE),main!$K$11:$M$14,2,FALSE)+VLOOKUP(VLOOKUP(AA$1,main!$A$3:$I$56,7,FALSE),main!$K$19:$O$22,MATCH(VLOOKUP($A20,main!$A$3:$I$56,8,FALSE),main!$K$18:$O$18,0))))),1,0)</f>
        <v>0</v>
      </c>
      <c r="AB20">
        <f>IF((AND(VLOOKUP(AB$1,main!$A$3:$I$56,5,FALSE)-VLOOKUP($A20,main!$A$3:$I$56,6,FALSE)&gt;=(VLOOKUP(VLOOKUP(AB$1,main!$A$3:$I$56,8,FALSE),main!$K$11:$M$14,2,FALSE)+VLOOKUP(VLOOKUP(AB$1,main!$A$3:$I$56,7,FALSE),main!$K$19:$O$22,MATCH(VLOOKUP($A20,main!$A$3:$I$56,8,FALSE),main!$K$18:$O$18,0))))),1,0)</f>
        <v>0</v>
      </c>
      <c r="AC20">
        <f>IF((AND(VLOOKUP(AC$1,main!$A$3:$I$56,5,FALSE)-VLOOKUP($A20,main!$A$3:$I$56,6,FALSE)&gt;=(VLOOKUP(VLOOKUP(AC$1,main!$A$3:$I$56,8,FALSE),main!$K$11:$M$14,2,FALSE)+VLOOKUP(VLOOKUP(AC$1,main!$A$3:$I$56,7,FALSE),main!$K$19:$O$22,MATCH(VLOOKUP($A20,main!$A$3:$I$56,8,FALSE),main!$K$18:$O$18,0))))),1,0)</f>
        <v>0</v>
      </c>
      <c r="AD20">
        <f>IF((AND(VLOOKUP(AD$1,main!$A$3:$I$56,5,FALSE)-VLOOKUP($A20,main!$A$3:$I$56,6,FALSE)&gt;=(VLOOKUP(VLOOKUP(AD$1,main!$A$3:$I$56,8,FALSE),main!$K$11:$M$14,2,FALSE)+VLOOKUP(VLOOKUP(AD$1,main!$A$3:$I$56,7,FALSE),main!$K$19:$O$22,MATCH(VLOOKUP($A20,main!$A$3:$I$56,8,FALSE),main!$K$18:$O$18,0))))),1,0)</f>
        <v>0</v>
      </c>
      <c r="AE20">
        <f>IF((AND(VLOOKUP(AE$1,main!$A$3:$I$56,5,FALSE)-VLOOKUP($A20,main!$A$3:$I$56,6,FALSE)&gt;=(VLOOKUP(VLOOKUP(AE$1,main!$A$3:$I$56,8,FALSE),main!$K$11:$M$14,2,FALSE)+VLOOKUP(VLOOKUP(AE$1,main!$A$3:$I$56,7,FALSE),main!$K$19:$O$22,MATCH(VLOOKUP($A20,main!$A$3:$I$56,8,FALSE),main!$K$18:$O$18,0))))),1,0)</f>
        <v>0</v>
      </c>
      <c r="AF20">
        <f>IF((AND(VLOOKUP(AF$1,main!$A$3:$I$56,5,FALSE)-VLOOKUP($A20,main!$A$3:$I$56,6,FALSE)&gt;=(VLOOKUP(VLOOKUP(AF$1,main!$A$3:$I$56,8,FALSE),main!$K$11:$M$14,2,FALSE)+VLOOKUP(VLOOKUP(AF$1,main!$A$3:$I$56,7,FALSE),main!$K$19:$O$22,MATCH(VLOOKUP($A20,main!$A$3:$I$56,8,FALSE),main!$K$18:$O$18,0))))),1,0)</f>
        <v>0</v>
      </c>
      <c r="AG20">
        <f>IF((AND(VLOOKUP(AG$1,main!$A$3:$I$56,5,FALSE)-VLOOKUP($A20,main!$A$3:$I$56,6,FALSE)&gt;=(VLOOKUP(VLOOKUP(AG$1,main!$A$3:$I$56,8,FALSE),main!$K$11:$M$14,2,FALSE)+VLOOKUP(VLOOKUP(AG$1,main!$A$3:$I$56,7,FALSE),main!$K$19:$O$22,MATCH(VLOOKUP($A20,main!$A$3:$I$56,8,FALSE),main!$K$18:$O$18,0))))),1,0)</f>
        <v>0</v>
      </c>
      <c r="AH20">
        <f>IF((AND(VLOOKUP(AH$1,main!$A$3:$I$56,5,FALSE)-VLOOKUP($A20,main!$A$3:$I$56,6,FALSE)&gt;=(VLOOKUP(VLOOKUP(AH$1,main!$A$3:$I$56,8,FALSE),main!$K$11:$M$14,2,FALSE)+VLOOKUP(VLOOKUP(AH$1,main!$A$3:$I$56,7,FALSE),main!$K$19:$O$22,MATCH(VLOOKUP($A20,main!$A$3:$I$56,8,FALSE),main!$K$18:$O$18,0))))),1,0)</f>
        <v>0</v>
      </c>
      <c r="AI20">
        <f>IF((AND(VLOOKUP(AI$1,main!$A$3:$I$56,5,FALSE)-VLOOKUP($A20,main!$A$3:$I$56,6,FALSE)&gt;=(VLOOKUP(VLOOKUP(AI$1,main!$A$3:$I$56,8,FALSE),main!$K$11:$M$14,2,FALSE)+VLOOKUP(VLOOKUP(AI$1,main!$A$3:$I$56,7,FALSE),main!$K$19:$O$22,MATCH(VLOOKUP($A20,main!$A$3:$I$56,8,FALSE),main!$K$18:$O$18,0))))),1,0)</f>
        <v>0</v>
      </c>
      <c r="AJ20">
        <f>IF((AND(VLOOKUP(AJ$1,main!$A$3:$I$56,5,FALSE)-VLOOKUP($A20,main!$A$3:$I$56,6,FALSE)&gt;=(VLOOKUP(VLOOKUP(AJ$1,main!$A$3:$I$56,8,FALSE),main!$K$11:$M$14,2,FALSE)+VLOOKUP(VLOOKUP(AJ$1,main!$A$3:$I$56,7,FALSE),main!$K$19:$O$22,MATCH(VLOOKUP($A20,main!$A$3:$I$56,8,FALSE),main!$K$18:$O$18,0))))),1,0)</f>
        <v>0</v>
      </c>
      <c r="AK20">
        <f>IF((AND(VLOOKUP(AK$1,main!$A$3:$I$56,5,FALSE)-VLOOKUP($A20,main!$A$3:$I$56,6,FALSE)&gt;=(VLOOKUP(VLOOKUP(AK$1,main!$A$3:$I$56,8,FALSE),main!$K$11:$M$14,2,FALSE)+VLOOKUP(VLOOKUP(AK$1,main!$A$3:$I$56,7,FALSE),main!$K$19:$O$22,MATCH(VLOOKUP($A20,main!$A$3:$I$56,8,FALSE),main!$K$18:$O$18,0))))),1,0)</f>
        <v>0</v>
      </c>
      <c r="AL20">
        <f>IF((AND(VLOOKUP(AL$1,main!$A$3:$I$56,5,FALSE)-VLOOKUP($A20,main!$A$3:$I$56,6,FALSE)&gt;=(VLOOKUP(VLOOKUP(AL$1,main!$A$3:$I$56,8,FALSE),main!$K$11:$M$14,2,FALSE)+VLOOKUP(VLOOKUP(AL$1,main!$A$3:$I$56,7,FALSE),main!$K$19:$O$22,MATCH(VLOOKUP($A20,main!$A$3:$I$56,8,FALSE),main!$K$18:$O$18,0))))),1,0)</f>
        <v>0</v>
      </c>
      <c r="AM20">
        <f>IF((AND(VLOOKUP(AM$1,main!$A$3:$I$56,5,FALSE)-VLOOKUP($A20,main!$A$3:$I$56,6,FALSE)&gt;=(VLOOKUP(VLOOKUP(AM$1,main!$A$3:$I$56,8,FALSE),main!$K$11:$M$14,2,FALSE)+VLOOKUP(VLOOKUP(AM$1,main!$A$3:$I$56,7,FALSE),main!$K$19:$O$22,MATCH(VLOOKUP($A20,main!$A$3:$I$56,8,FALSE),main!$K$18:$O$18,0))))),1,0)</f>
        <v>0</v>
      </c>
      <c r="AN20">
        <f>IF((AND(VLOOKUP(AN$1,main!$A$3:$I$56,5,FALSE)-VLOOKUP($A20,main!$A$3:$I$56,6,FALSE)&gt;=(VLOOKUP(VLOOKUP(AN$1,main!$A$3:$I$56,8,FALSE),main!$K$11:$M$14,2,FALSE)+VLOOKUP(VLOOKUP(AN$1,main!$A$3:$I$56,7,FALSE),main!$K$19:$O$22,MATCH(VLOOKUP($A20,main!$A$3:$I$56,8,FALSE),main!$K$18:$O$18,0))))),1,0)</f>
        <v>0</v>
      </c>
      <c r="AO20">
        <f>IF((AND(VLOOKUP(AO$1,main!$A$3:$I$56,5,FALSE)-VLOOKUP($A20,main!$A$3:$I$56,6,FALSE)&gt;=(VLOOKUP(VLOOKUP(AO$1,main!$A$3:$I$56,8,FALSE),main!$K$11:$M$14,2,FALSE)+VLOOKUP(VLOOKUP(AO$1,main!$A$3:$I$56,7,FALSE),main!$K$19:$O$22,MATCH(VLOOKUP($A20,main!$A$3:$I$56,8,FALSE),main!$K$18:$O$18,0))))),1,0)</f>
        <v>0</v>
      </c>
      <c r="AP20">
        <f>IF((AND(VLOOKUP(AP$1,main!$A$3:$I$56,5,FALSE)-VLOOKUP($A20,main!$A$3:$I$56,6,FALSE)&gt;=(VLOOKUP(VLOOKUP(AP$1,main!$A$3:$I$56,8,FALSE),main!$K$11:$M$14,2,FALSE)+VLOOKUP(VLOOKUP(AP$1,main!$A$3:$I$56,7,FALSE),main!$K$19:$O$22,MATCH(VLOOKUP($A20,main!$A$3:$I$56,8,FALSE),main!$K$18:$O$18,0))))),1,0)</f>
        <v>0</v>
      </c>
      <c r="AQ20">
        <f>IF((AND(VLOOKUP(AQ$1,main!$A$3:$I$56,5,FALSE)-VLOOKUP($A20,main!$A$3:$I$56,6,FALSE)&gt;=(VLOOKUP(VLOOKUP(AQ$1,main!$A$3:$I$56,8,FALSE),main!$K$11:$M$14,2,FALSE)+VLOOKUP(VLOOKUP(AQ$1,main!$A$3:$I$56,7,FALSE),main!$K$19:$O$22,MATCH(VLOOKUP($A20,main!$A$3:$I$56,8,FALSE),main!$K$18:$O$18,0))))),1,0)</f>
        <v>0</v>
      </c>
      <c r="AR20">
        <f>IF((AND(VLOOKUP(AR$1,main!$A$3:$I$56,5,FALSE)-VLOOKUP($A20,main!$A$3:$I$56,6,FALSE)&gt;=(VLOOKUP(VLOOKUP(AR$1,main!$A$3:$I$56,8,FALSE),main!$K$11:$M$14,2,FALSE)+VLOOKUP(VLOOKUP(AR$1,main!$A$3:$I$56,7,FALSE),main!$K$19:$O$22,MATCH(VLOOKUP($A20,main!$A$3:$I$56,8,FALSE),main!$K$18:$O$18,0))))),1,0)</f>
        <v>0</v>
      </c>
      <c r="AS20">
        <f>IF((AND(VLOOKUP(AS$1,main!$A$3:$I$56,5,FALSE)-VLOOKUP($A20,main!$A$3:$I$56,6,FALSE)&gt;=(VLOOKUP(VLOOKUP(AS$1,main!$A$3:$I$56,8,FALSE),main!$K$11:$M$14,2,FALSE)+VLOOKUP(VLOOKUP(AS$1,main!$A$3:$I$56,7,FALSE),main!$K$19:$O$22,MATCH(VLOOKUP($A20,main!$A$3:$I$56,8,FALSE),main!$K$18:$O$18,0))))),1,0)</f>
        <v>0</v>
      </c>
      <c r="AT20">
        <f>IF((AND(VLOOKUP(AT$1,main!$A$3:$I$56,5,FALSE)-VLOOKUP($A20,main!$A$3:$I$56,6,FALSE)&gt;=(VLOOKUP(VLOOKUP(AT$1,main!$A$3:$I$56,8,FALSE),main!$K$11:$M$14,2,FALSE)+VLOOKUP(VLOOKUP(AT$1,main!$A$3:$I$56,7,FALSE),main!$K$19:$O$22,MATCH(VLOOKUP($A20,main!$A$3:$I$56,8,FALSE),main!$K$18:$O$18,0))))),1,0)</f>
        <v>0</v>
      </c>
      <c r="AU20">
        <f>IF((AND(VLOOKUP(AU$1,main!$A$3:$I$56,5,FALSE)-VLOOKUP($A20,main!$A$3:$I$56,6,FALSE)&gt;=(VLOOKUP(VLOOKUP(AU$1,main!$A$3:$I$56,8,FALSE),main!$K$11:$M$14,2,FALSE)+VLOOKUP(VLOOKUP(AU$1,main!$A$3:$I$56,7,FALSE),main!$K$19:$O$22,MATCH(VLOOKUP($A20,main!$A$3:$I$56,8,FALSE),main!$K$18:$O$18,0))))),1,0)</f>
        <v>0</v>
      </c>
      <c r="AV20">
        <f>IF((AND(VLOOKUP(AV$1,main!$A$3:$I$56,5,FALSE)-VLOOKUP($A20,main!$A$3:$I$56,6,FALSE)&gt;=(VLOOKUP(VLOOKUP(AV$1,main!$A$3:$I$56,8,FALSE),main!$K$11:$M$14,2,FALSE)+VLOOKUP(VLOOKUP(AV$1,main!$A$3:$I$56,7,FALSE),main!$K$19:$O$22,MATCH(VLOOKUP($A20,main!$A$3:$I$56,8,FALSE),main!$K$18:$O$18,0))))),1,0)</f>
        <v>0</v>
      </c>
      <c r="AW20">
        <f>IF((AND(VLOOKUP(AW$1,main!$A$3:$I$56,5,FALSE)-VLOOKUP($A20,main!$A$3:$I$56,6,FALSE)&gt;=(VLOOKUP(VLOOKUP(AW$1,main!$A$3:$I$56,8,FALSE),main!$K$11:$M$14,2,FALSE)+VLOOKUP(VLOOKUP(AW$1,main!$A$3:$I$56,7,FALSE),main!$K$19:$O$22,MATCH(VLOOKUP($A20,main!$A$3:$I$56,8,FALSE),main!$K$18:$O$18,0))))),1,0)</f>
        <v>0</v>
      </c>
      <c r="AX20">
        <f>IF((AND(VLOOKUP(AX$1,main!$A$3:$I$56,5,FALSE)-VLOOKUP($A20,main!$A$3:$I$56,6,FALSE)&gt;=(VLOOKUP(VLOOKUP(AX$1,main!$A$3:$I$56,8,FALSE),main!$K$11:$M$14,2,FALSE)+VLOOKUP(VLOOKUP(AX$1,main!$A$3:$I$56,7,FALSE),main!$K$19:$O$22,MATCH(VLOOKUP($A20,main!$A$3:$I$56,8,FALSE),main!$K$18:$O$18,0))))),1,0)</f>
        <v>0</v>
      </c>
      <c r="AY20">
        <f>IF((AND(VLOOKUP(AY$1,main!$A$3:$I$56,5,FALSE)-VLOOKUP($A20,main!$A$3:$I$56,6,FALSE)&gt;=(VLOOKUP(VLOOKUP(AY$1,main!$A$3:$I$56,8,FALSE),main!$K$11:$M$14,2,FALSE)+VLOOKUP(VLOOKUP(AY$1,main!$A$3:$I$56,7,FALSE),main!$K$19:$O$22,MATCH(VLOOKUP($A20,main!$A$3:$I$56,8,FALSE),main!$K$18:$O$18,0))))),1,0)</f>
        <v>0</v>
      </c>
      <c r="AZ20">
        <f>IF((AND(VLOOKUP(AZ$1,main!$A$3:$I$56,5,FALSE)-VLOOKUP($A20,main!$A$3:$I$56,6,FALSE)&gt;=(VLOOKUP(VLOOKUP(AZ$1,main!$A$3:$I$56,8,FALSE),main!$K$11:$M$14,2,FALSE)+VLOOKUP(VLOOKUP(AZ$1,main!$A$3:$I$56,7,FALSE),main!$K$19:$O$22,MATCH(VLOOKUP($A20,main!$A$3:$I$56,8,FALSE),main!$K$18:$O$18,0))))),1,0)</f>
        <v>0</v>
      </c>
      <c r="BA20">
        <f>IF((AND(VLOOKUP(BA$1,main!$A$3:$I$56,5,FALSE)-VLOOKUP($A20,main!$A$3:$I$56,6,FALSE)&gt;=(VLOOKUP(VLOOKUP(BA$1,main!$A$3:$I$56,8,FALSE),main!$K$11:$M$14,2,FALSE)+VLOOKUP(VLOOKUP(BA$1,main!$A$3:$I$56,7,FALSE),main!$K$19:$O$22,MATCH(VLOOKUP($A20,main!$A$3:$I$56,8,FALSE),main!$K$18:$O$18,0))))),1,0)</f>
        <v>0</v>
      </c>
      <c r="BB20">
        <f>IF((AND(VLOOKUP(BB$1,main!$A$3:$I$56,5,FALSE)-VLOOKUP($A20,main!$A$3:$I$56,6,FALSE)&gt;=(VLOOKUP(VLOOKUP(BB$1,main!$A$3:$I$56,8,FALSE),main!$K$11:$M$14,2,FALSE)+VLOOKUP(VLOOKUP(BB$1,main!$A$3:$I$56,7,FALSE),main!$K$19:$O$22,MATCH(VLOOKUP($A20,main!$A$3:$I$56,8,FALSE),main!$K$18:$O$18,0))))),1,0)</f>
        <v>0</v>
      </c>
      <c r="BC20">
        <f>IF((AND(VLOOKUP(BC$1,main!$A$3:$I$56,5,FALSE)-VLOOKUP($A20,main!$A$3:$I$56,6,FALSE)&gt;=(VLOOKUP(VLOOKUP(BC$1,main!$A$3:$I$56,8,FALSE),main!$K$11:$M$14,2,FALSE)+VLOOKUP(VLOOKUP(BC$1,main!$A$3:$I$56,7,FALSE),main!$K$19:$O$22,MATCH(VLOOKUP($A20,main!$A$3:$I$56,8,FALSE),main!$K$18:$O$18,0))))),1,0)</f>
        <v>0</v>
      </c>
      <c r="BD20">
        <f>IF((AND(VLOOKUP(BD$1,main!$A$3:$I$56,5,FALSE)-VLOOKUP($A20,main!$A$3:$I$56,6,FALSE)&gt;=(VLOOKUP(VLOOKUP(BD$1,main!$A$3:$I$56,8,FALSE),main!$K$11:$M$14,2,FALSE)+VLOOKUP(VLOOKUP(BD$1,main!$A$3:$I$56,7,FALSE),main!$K$19:$O$22,MATCH(VLOOKUP($A20,main!$A$3:$I$56,8,FALSE),main!$K$18:$O$18,0))))),1,0)</f>
        <v>0</v>
      </c>
    </row>
    <row r="21" spans="1:56" x14ac:dyDescent="0.25">
      <c r="A21">
        <f t="shared" si="0"/>
        <v>19</v>
      </c>
      <c r="B21">
        <v>1</v>
      </c>
      <c r="C21">
        <f>IF((AND(VLOOKUP(C$1,main!$A$3:$I$56,5,FALSE)-VLOOKUP($A21,main!$A$3:$I$56,6,FALSE)&gt;=(VLOOKUP(VLOOKUP(C$1,main!$A$3:$I$56,8,FALSE),main!$K$11:$M$14,2,FALSE)+VLOOKUP(VLOOKUP(C$1,main!$A$3:$I$56,7,FALSE),main!$K$19:$O$22,MATCH(VLOOKUP($A21,main!$A$3:$I$56,8,FALSE),main!$K$18:$O$18,0))))),1,0)</f>
        <v>0</v>
      </c>
      <c r="D21">
        <f>IF((AND(VLOOKUP(D$1,main!$A$3:$I$56,5,FALSE)-VLOOKUP($A21,main!$A$3:$I$56,6,FALSE)&gt;=(VLOOKUP(VLOOKUP(D$1,main!$A$3:$I$56,8,FALSE),main!$K$11:$M$14,2,FALSE)+VLOOKUP(VLOOKUP(D$1,main!$A$3:$I$56,7,FALSE),main!$K$19:$O$22,MATCH(VLOOKUP($A21,main!$A$3:$I$56,8,FALSE),main!$K$18:$O$18,0))))),1,0)</f>
        <v>1</v>
      </c>
      <c r="E21">
        <f>IF((AND(VLOOKUP(E$1,main!$A$3:$I$56,5,FALSE)-VLOOKUP($A21,main!$A$3:$I$56,6,FALSE)&gt;=(VLOOKUP(VLOOKUP(E$1,main!$A$3:$I$56,8,FALSE),main!$K$11:$M$14,2,FALSE)+VLOOKUP(VLOOKUP(E$1,main!$A$3:$I$56,7,FALSE),main!$K$19:$O$22,MATCH(VLOOKUP($A21,main!$A$3:$I$56,8,FALSE),main!$K$18:$O$18,0))))),1,0)</f>
        <v>1</v>
      </c>
      <c r="F21">
        <f>IF((AND(VLOOKUP(F$1,main!$A$3:$I$56,5,FALSE)-VLOOKUP($A21,main!$A$3:$I$56,6,FALSE)&gt;=(VLOOKUP(VLOOKUP(F$1,main!$A$3:$I$56,8,FALSE),main!$K$11:$M$14,2,FALSE)+VLOOKUP(VLOOKUP(F$1,main!$A$3:$I$56,7,FALSE),main!$K$19:$O$22,MATCH(VLOOKUP($A21,main!$A$3:$I$56,8,FALSE),main!$K$18:$O$18,0))))),1,0)</f>
        <v>1</v>
      </c>
      <c r="G21">
        <f>IF((AND(VLOOKUP(G$1,main!$A$3:$I$56,5,FALSE)-VLOOKUP($A21,main!$A$3:$I$56,6,FALSE)&gt;=(VLOOKUP(VLOOKUP(G$1,main!$A$3:$I$56,8,FALSE),main!$K$11:$M$14,2,FALSE)+VLOOKUP(VLOOKUP(G$1,main!$A$3:$I$56,7,FALSE),main!$K$19:$O$22,MATCH(VLOOKUP($A21,main!$A$3:$I$56,8,FALSE),main!$K$18:$O$18,0))))),1,0)</f>
        <v>1</v>
      </c>
      <c r="H21">
        <f>IF((AND(VLOOKUP(H$1,main!$A$3:$I$56,5,FALSE)-VLOOKUP($A21,main!$A$3:$I$56,6,FALSE)&gt;=(VLOOKUP(VLOOKUP(H$1,main!$A$3:$I$56,8,FALSE),main!$K$11:$M$14,2,FALSE)+VLOOKUP(VLOOKUP(H$1,main!$A$3:$I$56,7,FALSE),main!$K$19:$O$22,MATCH(VLOOKUP($A21,main!$A$3:$I$56,8,FALSE),main!$K$18:$O$18,0))))),1,0)</f>
        <v>1</v>
      </c>
      <c r="I21">
        <f>IF((AND(VLOOKUP(I$1,main!$A$3:$I$56,5,FALSE)-VLOOKUP($A21,main!$A$3:$I$56,6,FALSE)&gt;=(VLOOKUP(VLOOKUP(I$1,main!$A$3:$I$56,8,FALSE),main!$K$11:$M$14,2,FALSE)+VLOOKUP(VLOOKUP(I$1,main!$A$3:$I$56,7,FALSE),main!$K$19:$O$22,MATCH(VLOOKUP($A21,main!$A$3:$I$56,8,FALSE),main!$K$18:$O$18,0))))),1,0)</f>
        <v>1</v>
      </c>
      <c r="J21">
        <f>IF((AND(VLOOKUP(J$1,main!$A$3:$I$56,5,FALSE)-VLOOKUP($A21,main!$A$3:$I$56,6,FALSE)&gt;=(VLOOKUP(VLOOKUP(J$1,main!$A$3:$I$56,8,FALSE),main!$K$11:$M$14,2,FALSE)+VLOOKUP(VLOOKUP(J$1,main!$A$3:$I$56,7,FALSE),main!$K$19:$O$22,MATCH(VLOOKUP($A21,main!$A$3:$I$56,8,FALSE),main!$K$18:$O$18,0))))),1,0)</f>
        <v>1</v>
      </c>
      <c r="K21">
        <f>IF((AND(VLOOKUP(K$1,main!$A$3:$I$56,5,FALSE)-VLOOKUP($A21,main!$A$3:$I$56,6,FALSE)&gt;=(VLOOKUP(VLOOKUP(K$1,main!$A$3:$I$56,8,FALSE),main!$K$11:$M$14,2,FALSE)+VLOOKUP(VLOOKUP(K$1,main!$A$3:$I$56,7,FALSE),main!$K$19:$O$22,MATCH(VLOOKUP($A21,main!$A$3:$I$56,8,FALSE),main!$K$18:$O$18,0))))),1,0)</f>
        <v>0</v>
      </c>
      <c r="L21">
        <f>IF((AND(VLOOKUP(L$1,main!$A$3:$I$56,5,FALSE)-VLOOKUP($A21,main!$A$3:$I$56,6,FALSE)&gt;=(VLOOKUP(VLOOKUP(L$1,main!$A$3:$I$56,8,FALSE),main!$K$11:$M$14,2,FALSE)+VLOOKUP(VLOOKUP(L$1,main!$A$3:$I$56,7,FALSE),main!$K$19:$O$22,MATCH(VLOOKUP($A21,main!$A$3:$I$56,8,FALSE),main!$K$18:$O$18,0))))),1,0)</f>
        <v>0</v>
      </c>
      <c r="M21">
        <f>IF((AND(VLOOKUP(M$1,main!$A$3:$I$56,5,FALSE)-VLOOKUP($A21,main!$A$3:$I$56,6,FALSE)&gt;=(VLOOKUP(VLOOKUP(M$1,main!$A$3:$I$56,8,FALSE),main!$K$11:$M$14,2,FALSE)+VLOOKUP(VLOOKUP(M$1,main!$A$3:$I$56,7,FALSE),main!$K$19:$O$22,MATCH(VLOOKUP($A21,main!$A$3:$I$56,8,FALSE),main!$K$18:$O$18,0))))),1,0)</f>
        <v>1</v>
      </c>
      <c r="N21">
        <f>IF((AND(VLOOKUP(N$1,main!$A$3:$I$56,5,FALSE)-VLOOKUP($A21,main!$A$3:$I$56,6,FALSE)&gt;=(VLOOKUP(VLOOKUP(N$1,main!$A$3:$I$56,8,FALSE),main!$K$11:$M$14,2,FALSE)+VLOOKUP(VLOOKUP(N$1,main!$A$3:$I$56,7,FALSE),main!$K$19:$O$22,MATCH(VLOOKUP($A21,main!$A$3:$I$56,8,FALSE),main!$K$18:$O$18,0))))),1,0)</f>
        <v>1</v>
      </c>
      <c r="O21">
        <f>IF((AND(VLOOKUP(O$1,main!$A$3:$I$56,5,FALSE)-VLOOKUP($A21,main!$A$3:$I$56,6,FALSE)&gt;=(VLOOKUP(VLOOKUP(O$1,main!$A$3:$I$56,8,FALSE),main!$K$11:$M$14,2,FALSE)+VLOOKUP(VLOOKUP(O$1,main!$A$3:$I$56,7,FALSE),main!$K$19:$O$22,MATCH(VLOOKUP($A21,main!$A$3:$I$56,8,FALSE),main!$K$18:$O$18,0))))),1,0)</f>
        <v>1</v>
      </c>
      <c r="P21">
        <f>IF((AND(VLOOKUP(P$1,main!$A$3:$I$56,5,FALSE)-VLOOKUP($A21,main!$A$3:$I$56,6,FALSE)&gt;=(VLOOKUP(VLOOKUP(P$1,main!$A$3:$I$56,8,FALSE),main!$K$11:$M$14,2,FALSE)+VLOOKUP(VLOOKUP(P$1,main!$A$3:$I$56,7,FALSE),main!$K$19:$O$22,MATCH(VLOOKUP($A21,main!$A$3:$I$56,8,FALSE),main!$K$18:$O$18,0))))),1,0)</f>
        <v>0</v>
      </c>
      <c r="Q21">
        <f>IF((AND(VLOOKUP(Q$1,main!$A$3:$I$56,5,FALSE)-VLOOKUP($A21,main!$A$3:$I$56,6,FALSE)&gt;=(VLOOKUP(VLOOKUP(Q$1,main!$A$3:$I$56,8,FALSE),main!$K$11:$M$14,2,FALSE)+VLOOKUP(VLOOKUP(Q$1,main!$A$3:$I$56,7,FALSE),main!$K$19:$O$22,MATCH(VLOOKUP($A21,main!$A$3:$I$56,8,FALSE),main!$K$18:$O$18,0))))),1,0)</f>
        <v>0</v>
      </c>
      <c r="R21">
        <f>IF((AND(VLOOKUP(R$1,main!$A$3:$I$56,5,FALSE)-VLOOKUP($A21,main!$A$3:$I$56,6,FALSE)&gt;=(VLOOKUP(VLOOKUP(R$1,main!$A$3:$I$56,8,FALSE),main!$K$11:$M$14,2,FALSE)+VLOOKUP(VLOOKUP(R$1,main!$A$3:$I$56,7,FALSE),main!$K$19:$O$22,MATCH(VLOOKUP($A21,main!$A$3:$I$56,8,FALSE),main!$K$18:$O$18,0))))),1,0)</f>
        <v>1</v>
      </c>
      <c r="S21">
        <f>IF((AND(VLOOKUP(S$1,main!$A$3:$I$56,5,FALSE)-VLOOKUP($A21,main!$A$3:$I$56,6,FALSE)&gt;=(VLOOKUP(VLOOKUP(S$1,main!$A$3:$I$56,8,FALSE),main!$K$11:$M$14,2,FALSE)+VLOOKUP(VLOOKUP(S$1,main!$A$3:$I$56,7,FALSE),main!$K$19:$O$22,MATCH(VLOOKUP($A21,main!$A$3:$I$56,8,FALSE),main!$K$18:$O$18,0))))),1,0)</f>
        <v>1</v>
      </c>
      <c r="T21">
        <f>IF((AND(VLOOKUP(T$1,main!$A$3:$I$56,5,FALSE)-VLOOKUP($A21,main!$A$3:$I$56,6,FALSE)&gt;=(VLOOKUP(VLOOKUP(T$1,main!$A$3:$I$56,8,FALSE),main!$K$11:$M$14,2,FALSE)+VLOOKUP(VLOOKUP(T$1,main!$A$3:$I$56,7,FALSE),main!$K$19:$O$22,MATCH(VLOOKUP($A21,main!$A$3:$I$56,8,FALSE),main!$K$18:$O$18,0))))),1,0)</f>
        <v>1</v>
      </c>
      <c r="U21">
        <f>IF((AND(VLOOKUP(U$1,main!$A$3:$I$56,5,FALSE)-VLOOKUP($A21,main!$A$3:$I$56,6,FALSE)&gt;=(VLOOKUP(VLOOKUP(U$1,main!$A$3:$I$56,8,FALSE),main!$K$11:$M$14,2,FALSE)+VLOOKUP(VLOOKUP(U$1,main!$A$3:$I$56,7,FALSE),main!$K$19:$O$22,MATCH(VLOOKUP($A21,main!$A$3:$I$56,8,FALSE),main!$K$18:$O$18,0))))),1,0)</f>
        <v>0</v>
      </c>
      <c r="V21">
        <f>IF((AND(VLOOKUP(V$1,main!$A$3:$I$56,5,FALSE)-VLOOKUP($A21,main!$A$3:$I$56,6,FALSE)&gt;=(VLOOKUP(VLOOKUP(V$1,main!$A$3:$I$56,8,FALSE),main!$K$11:$M$14,2,FALSE)+VLOOKUP(VLOOKUP(V$1,main!$A$3:$I$56,7,FALSE),main!$K$19:$O$22,MATCH(VLOOKUP($A21,main!$A$3:$I$56,8,FALSE),main!$K$18:$O$18,0))))),1,0)</f>
        <v>0</v>
      </c>
      <c r="W21">
        <f>IF((AND(VLOOKUP(W$1,main!$A$3:$I$56,5,FALSE)-VLOOKUP($A21,main!$A$3:$I$56,6,FALSE)&gt;=(VLOOKUP(VLOOKUP(W$1,main!$A$3:$I$56,8,FALSE),main!$K$11:$M$14,2,FALSE)+VLOOKUP(VLOOKUP(W$1,main!$A$3:$I$56,7,FALSE),main!$K$19:$O$22,MATCH(VLOOKUP($A21,main!$A$3:$I$56,8,FALSE),main!$K$18:$O$18,0))))),1,0)</f>
        <v>1</v>
      </c>
      <c r="X21">
        <f>IF((AND(VLOOKUP(X$1,main!$A$3:$I$56,5,FALSE)-VLOOKUP($A21,main!$A$3:$I$56,6,FALSE)&gt;=(VLOOKUP(VLOOKUP(X$1,main!$A$3:$I$56,8,FALSE),main!$K$11:$M$14,2,FALSE)+VLOOKUP(VLOOKUP(X$1,main!$A$3:$I$56,7,FALSE),main!$K$19:$O$22,MATCH(VLOOKUP($A21,main!$A$3:$I$56,8,FALSE),main!$K$18:$O$18,0))))),1,0)</f>
        <v>1</v>
      </c>
      <c r="Y21">
        <f>IF((AND(VLOOKUP(Y$1,main!$A$3:$I$56,5,FALSE)-VLOOKUP($A21,main!$A$3:$I$56,6,FALSE)&gt;=(VLOOKUP(VLOOKUP(Y$1,main!$A$3:$I$56,8,FALSE),main!$K$11:$M$14,2,FALSE)+VLOOKUP(VLOOKUP(Y$1,main!$A$3:$I$56,7,FALSE),main!$K$19:$O$22,MATCH(VLOOKUP($A21,main!$A$3:$I$56,8,FALSE),main!$K$18:$O$18,0))))),1,0)</f>
        <v>1</v>
      </c>
      <c r="Z21">
        <f>IF((AND(VLOOKUP(Z$1,main!$A$3:$I$56,5,FALSE)-VLOOKUP($A21,main!$A$3:$I$56,6,FALSE)&gt;=(VLOOKUP(VLOOKUP(Z$1,main!$A$3:$I$56,8,FALSE),main!$K$11:$M$14,2,FALSE)+VLOOKUP(VLOOKUP(Z$1,main!$A$3:$I$56,7,FALSE),main!$K$19:$O$22,MATCH(VLOOKUP($A21,main!$A$3:$I$56,8,FALSE),main!$K$18:$O$18,0))))),1,0)</f>
        <v>1</v>
      </c>
      <c r="AA21">
        <f>IF((AND(VLOOKUP(AA$1,main!$A$3:$I$56,5,FALSE)-VLOOKUP($A21,main!$A$3:$I$56,6,FALSE)&gt;=(VLOOKUP(VLOOKUP(AA$1,main!$A$3:$I$56,8,FALSE),main!$K$11:$M$14,2,FALSE)+VLOOKUP(VLOOKUP(AA$1,main!$A$3:$I$56,7,FALSE),main!$K$19:$O$22,MATCH(VLOOKUP($A21,main!$A$3:$I$56,8,FALSE),main!$K$18:$O$18,0))))),1,0)</f>
        <v>1</v>
      </c>
      <c r="AB21">
        <f>IF((AND(VLOOKUP(AB$1,main!$A$3:$I$56,5,FALSE)-VLOOKUP($A21,main!$A$3:$I$56,6,FALSE)&gt;=(VLOOKUP(VLOOKUP(AB$1,main!$A$3:$I$56,8,FALSE),main!$K$11:$M$14,2,FALSE)+VLOOKUP(VLOOKUP(AB$1,main!$A$3:$I$56,7,FALSE),main!$K$19:$O$22,MATCH(VLOOKUP($A21,main!$A$3:$I$56,8,FALSE),main!$K$18:$O$18,0))))),1,0)</f>
        <v>1</v>
      </c>
      <c r="AC21">
        <f>IF((AND(VLOOKUP(AC$1,main!$A$3:$I$56,5,FALSE)-VLOOKUP($A21,main!$A$3:$I$56,6,FALSE)&gt;=(VLOOKUP(VLOOKUP(AC$1,main!$A$3:$I$56,8,FALSE),main!$K$11:$M$14,2,FALSE)+VLOOKUP(VLOOKUP(AC$1,main!$A$3:$I$56,7,FALSE),main!$K$19:$O$22,MATCH(VLOOKUP($A21,main!$A$3:$I$56,8,FALSE),main!$K$18:$O$18,0))))),1,0)</f>
        <v>0</v>
      </c>
      <c r="AD21">
        <f>IF((AND(VLOOKUP(AD$1,main!$A$3:$I$56,5,FALSE)-VLOOKUP($A21,main!$A$3:$I$56,6,FALSE)&gt;=(VLOOKUP(VLOOKUP(AD$1,main!$A$3:$I$56,8,FALSE),main!$K$11:$M$14,2,FALSE)+VLOOKUP(VLOOKUP(AD$1,main!$A$3:$I$56,7,FALSE),main!$K$19:$O$22,MATCH(VLOOKUP($A21,main!$A$3:$I$56,8,FALSE),main!$K$18:$O$18,0))))),1,0)</f>
        <v>0</v>
      </c>
      <c r="AE21">
        <f>IF((AND(VLOOKUP(AE$1,main!$A$3:$I$56,5,FALSE)-VLOOKUP($A21,main!$A$3:$I$56,6,FALSE)&gt;=(VLOOKUP(VLOOKUP(AE$1,main!$A$3:$I$56,8,FALSE),main!$K$11:$M$14,2,FALSE)+VLOOKUP(VLOOKUP(AE$1,main!$A$3:$I$56,7,FALSE),main!$K$19:$O$22,MATCH(VLOOKUP($A21,main!$A$3:$I$56,8,FALSE),main!$K$18:$O$18,0))))),1,0)</f>
        <v>1</v>
      </c>
      <c r="AF21">
        <f>IF((AND(VLOOKUP(AF$1,main!$A$3:$I$56,5,FALSE)-VLOOKUP($A21,main!$A$3:$I$56,6,FALSE)&gt;=(VLOOKUP(VLOOKUP(AF$1,main!$A$3:$I$56,8,FALSE),main!$K$11:$M$14,2,FALSE)+VLOOKUP(VLOOKUP(AF$1,main!$A$3:$I$56,7,FALSE),main!$K$19:$O$22,MATCH(VLOOKUP($A21,main!$A$3:$I$56,8,FALSE),main!$K$18:$O$18,0))))),1,0)</f>
        <v>1</v>
      </c>
      <c r="AG21">
        <f>IF((AND(VLOOKUP(AG$1,main!$A$3:$I$56,5,FALSE)-VLOOKUP($A21,main!$A$3:$I$56,6,FALSE)&gt;=(VLOOKUP(VLOOKUP(AG$1,main!$A$3:$I$56,8,FALSE),main!$K$11:$M$14,2,FALSE)+VLOOKUP(VLOOKUP(AG$1,main!$A$3:$I$56,7,FALSE),main!$K$19:$O$22,MATCH(VLOOKUP($A21,main!$A$3:$I$56,8,FALSE),main!$K$18:$O$18,0))))),1,0)</f>
        <v>0</v>
      </c>
      <c r="AH21">
        <f>IF((AND(VLOOKUP(AH$1,main!$A$3:$I$56,5,FALSE)-VLOOKUP($A21,main!$A$3:$I$56,6,FALSE)&gt;=(VLOOKUP(VLOOKUP(AH$1,main!$A$3:$I$56,8,FALSE),main!$K$11:$M$14,2,FALSE)+VLOOKUP(VLOOKUP(AH$1,main!$A$3:$I$56,7,FALSE),main!$K$19:$O$22,MATCH(VLOOKUP($A21,main!$A$3:$I$56,8,FALSE),main!$K$18:$O$18,0))))),1,0)</f>
        <v>1</v>
      </c>
      <c r="AI21">
        <f>IF((AND(VLOOKUP(AI$1,main!$A$3:$I$56,5,FALSE)-VLOOKUP($A21,main!$A$3:$I$56,6,FALSE)&gt;=(VLOOKUP(VLOOKUP(AI$1,main!$A$3:$I$56,8,FALSE),main!$K$11:$M$14,2,FALSE)+VLOOKUP(VLOOKUP(AI$1,main!$A$3:$I$56,7,FALSE),main!$K$19:$O$22,MATCH(VLOOKUP($A21,main!$A$3:$I$56,8,FALSE),main!$K$18:$O$18,0))))),1,0)</f>
        <v>1</v>
      </c>
      <c r="AJ21">
        <f>IF((AND(VLOOKUP(AJ$1,main!$A$3:$I$56,5,FALSE)-VLOOKUP($A21,main!$A$3:$I$56,6,FALSE)&gt;=(VLOOKUP(VLOOKUP(AJ$1,main!$A$3:$I$56,8,FALSE),main!$K$11:$M$14,2,FALSE)+VLOOKUP(VLOOKUP(AJ$1,main!$A$3:$I$56,7,FALSE),main!$K$19:$O$22,MATCH(VLOOKUP($A21,main!$A$3:$I$56,8,FALSE),main!$K$18:$O$18,0))))),1,0)</f>
        <v>1</v>
      </c>
      <c r="AK21">
        <f>IF((AND(VLOOKUP(AK$1,main!$A$3:$I$56,5,FALSE)-VLOOKUP($A21,main!$A$3:$I$56,6,FALSE)&gt;=(VLOOKUP(VLOOKUP(AK$1,main!$A$3:$I$56,8,FALSE),main!$K$11:$M$14,2,FALSE)+VLOOKUP(VLOOKUP(AK$1,main!$A$3:$I$56,7,FALSE),main!$K$19:$O$22,MATCH(VLOOKUP($A21,main!$A$3:$I$56,8,FALSE),main!$K$18:$O$18,0))))),1,0)</f>
        <v>1</v>
      </c>
      <c r="AL21">
        <f>IF((AND(VLOOKUP(AL$1,main!$A$3:$I$56,5,FALSE)-VLOOKUP($A21,main!$A$3:$I$56,6,FALSE)&gt;=(VLOOKUP(VLOOKUP(AL$1,main!$A$3:$I$56,8,FALSE),main!$K$11:$M$14,2,FALSE)+VLOOKUP(VLOOKUP(AL$1,main!$A$3:$I$56,7,FALSE),main!$K$19:$O$22,MATCH(VLOOKUP($A21,main!$A$3:$I$56,8,FALSE),main!$K$18:$O$18,0))))),1,0)</f>
        <v>0</v>
      </c>
      <c r="AM21">
        <f>IF((AND(VLOOKUP(AM$1,main!$A$3:$I$56,5,FALSE)-VLOOKUP($A21,main!$A$3:$I$56,6,FALSE)&gt;=(VLOOKUP(VLOOKUP(AM$1,main!$A$3:$I$56,8,FALSE),main!$K$11:$M$14,2,FALSE)+VLOOKUP(VLOOKUP(AM$1,main!$A$3:$I$56,7,FALSE),main!$K$19:$O$22,MATCH(VLOOKUP($A21,main!$A$3:$I$56,8,FALSE),main!$K$18:$O$18,0))))),1,0)</f>
        <v>0</v>
      </c>
      <c r="AN21">
        <f>IF((AND(VLOOKUP(AN$1,main!$A$3:$I$56,5,FALSE)-VLOOKUP($A21,main!$A$3:$I$56,6,FALSE)&gt;=(VLOOKUP(VLOOKUP(AN$1,main!$A$3:$I$56,8,FALSE),main!$K$11:$M$14,2,FALSE)+VLOOKUP(VLOOKUP(AN$1,main!$A$3:$I$56,7,FALSE),main!$K$19:$O$22,MATCH(VLOOKUP($A21,main!$A$3:$I$56,8,FALSE),main!$K$18:$O$18,0))))),1,0)</f>
        <v>1</v>
      </c>
      <c r="AO21">
        <f>IF((AND(VLOOKUP(AO$1,main!$A$3:$I$56,5,FALSE)-VLOOKUP($A21,main!$A$3:$I$56,6,FALSE)&gt;=(VLOOKUP(VLOOKUP(AO$1,main!$A$3:$I$56,8,FALSE),main!$K$11:$M$14,2,FALSE)+VLOOKUP(VLOOKUP(AO$1,main!$A$3:$I$56,7,FALSE),main!$K$19:$O$22,MATCH(VLOOKUP($A21,main!$A$3:$I$56,8,FALSE),main!$K$18:$O$18,0))))),1,0)</f>
        <v>1</v>
      </c>
      <c r="AP21">
        <f>IF((AND(VLOOKUP(AP$1,main!$A$3:$I$56,5,FALSE)-VLOOKUP($A21,main!$A$3:$I$56,6,FALSE)&gt;=(VLOOKUP(VLOOKUP(AP$1,main!$A$3:$I$56,8,FALSE),main!$K$11:$M$14,2,FALSE)+VLOOKUP(VLOOKUP(AP$1,main!$A$3:$I$56,7,FALSE),main!$K$19:$O$22,MATCH(VLOOKUP($A21,main!$A$3:$I$56,8,FALSE),main!$K$18:$O$18,0))))),1,0)</f>
        <v>0</v>
      </c>
      <c r="AQ21">
        <f>IF((AND(VLOOKUP(AQ$1,main!$A$3:$I$56,5,FALSE)-VLOOKUP($A21,main!$A$3:$I$56,6,FALSE)&gt;=(VLOOKUP(VLOOKUP(AQ$1,main!$A$3:$I$56,8,FALSE),main!$K$11:$M$14,2,FALSE)+VLOOKUP(VLOOKUP(AQ$1,main!$A$3:$I$56,7,FALSE),main!$K$19:$O$22,MATCH(VLOOKUP($A21,main!$A$3:$I$56,8,FALSE),main!$K$18:$O$18,0))))),1,0)</f>
        <v>0</v>
      </c>
      <c r="AR21">
        <f>IF((AND(VLOOKUP(AR$1,main!$A$3:$I$56,5,FALSE)-VLOOKUP($A21,main!$A$3:$I$56,6,FALSE)&gt;=(VLOOKUP(VLOOKUP(AR$1,main!$A$3:$I$56,8,FALSE),main!$K$11:$M$14,2,FALSE)+VLOOKUP(VLOOKUP(AR$1,main!$A$3:$I$56,7,FALSE),main!$K$19:$O$22,MATCH(VLOOKUP($A21,main!$A$3:$I$56,8,FALSE),main!$K$18:$O$18,0))))),1,0)</f>
        <v>0</v>
      </c>
      <c r="AS21">
        <f>IF((AND(VLOOKUP(AS$1,main!$A$3:$I$56,5,FALSE)-VLOOKUP($A21,main!$A$3:$I$56,6,FALSE)&gt;=(VLOOKUP(VLOOKUP(AS$1,main!$A$3:$I$56,8,FALSE),main!$K$11:$M$14,2,FALSE)+VLOOKUP(VLOOKUP(AS$1,main!$A$3:$I$56,7,FALSE),main!$K$19:$O$22,MATCH(VLOOKUP($A21,main!$A$3:$I$56,8,FALSE),main!$K$18:$O$18,0))))),1,0)</f>
        <v>1</v>
      </c>
      <c r="AT21">
        <f>IF((AND(VLOOKUP(AT$1,main!$A$3:$I$56,5,FALSE)-VLOOKUP($A21,main!$A$3:$I$56,6,FALSE)&gt;=(VLOOKUP(VLOOKUP(AT$1,main!$A$3:$I$56,8,FALSE),main!$K$11:$M$14,2,FALSE)+VLOOKUP(VLOOKUP(AT$1,main!$A$3:$I$56,7,FALSE),main!$K$19:$O$22,MATCH(VLOOKUP($A21,main!$A$3:$I$56,8,FALSE),main!$K$18:$O$18,0))))),1,0)</f>
        <v>1</v>
      </c>
      <c r="AU21">
        <f>IF((AND(VLOOKUP(AU$1,main!$A$3:$I$56,5,FALSE)-VLOOKUP($A21,main!$A$3:$I$56,6,FALSE)&gt;=(VLOOKUP(VLOOKUP(AU$1,main!$A$3:$I$56,8,FALSE),main!$K$11:$M$14,2,FALSE)+VLOOKUP(VLOOKUP(AU$1,main!$A$3:$I$56,7,FALSE),main!$K$19:$O$22,MATCH(VLOOKUP($A21,main!$A$3:$I$56,8,FALSE),main!$K$18:$O$18,0))))),1,0)</f>
        <v>0</v>
      </c>
      <c r="AV21">
        <f>IF((AND(VLOOKUP(AV$1,main!$A$3:$I$56,5,FALSE)-VLOOKUP($A21,main!$A$3:$I$56,6,FALSE)&gt;=(VLOOKUP(VLOOKUP(AV$1,main!$A$3:$I$56,8,FALSE),main!$K$11:$M$14,2,FALSE)+VLOOKUP(VLOOKUP(AV$1,main!$A$3:$I$56,7,FALSE),main!$K$19:$O$22,MATCH(VLOOKUP($A21,main!$A$3:$I$56,8,FALSE),main!$K$18:$O$18,0))))),1,0)</f>
        <v>1</v>
      </c>
      <c r="AW21">
        <f>IF((AND(VLOOKUP(AW$1,main!$A$3:$I$56,5,FALSE)-VLOOKUP($A21,main!$A$3:$I$56,6,FALSE)&gt;=(VLOOKUP(VLOOKUP(AW$1,main!$A$3:$I$56,8,FALSE),main!$K$11:$M$14,2,FALSE)+VLOOKUP(VLOOKUP(AW$1,main!$A$3:$I$56,7,FALSE),main!$K$19:$O$22,MATCH(VLOOKUP($A21,main!$A$3:$I$56,8,FALSE),main!$K$18:$O$18,0))))),1,0)</f>
        <v>1</v>
      </c>
      <c r="AX21">
        <f>IF((AND(VLOOKUP(AX$1,main!$A$3:$I$56,5,FALSE)-VLOOKUP($A21,main!$A$3:$I$56,6,FALSE)&gt;=(VLOOKUP(VLOOKUP(AX$1,main!$A$3:$I$56,8,FALSE),main!$K$11:$M$14,2,FALSE)+VLOOKUP(VLOOKUP(AX$1,main!$A$3:$I$56,7,FALSE),main!$K$19:$O$22,MATCH(VLOOKUP($A21,main!$A$3:$I$56,8,FALSE),main!$K$18:$O$18,0))))),1,0)</f>
        <v>1</v>
      </c>
      <c r="AY21">
        <f>IF((AND(VLOOKUP(AY$1,main!$A$3:$I$56,5,FALSE)-VLOOKUP($A21,main!$A$3:$I$56,6,FALSE)&gt;=(VLOOKUP(VLOOKUP(AY$1,main!$A$3:$I$56,8,FALSE),main!$K$11:$M$14,2,FALSE)+VLOOKUP(VLOOKUP(AY$1,main!$A$3:$I$56,7,FALSE),main!$K$19:$O$22,MATCH(VLOOKUP($A21,main!$A$3:$I$56,8,FALSE),main!$K$18:$O$18,0))))),1,0)</f>
        <v>1</v>
      </c>
      <c r="AZ21">
        <f>IF((AND(VLOOKUP(AZ$1,main!$A$3:$I$56,5,FALSE)-VLOOKUP($A21,main!$A$3:$I$56,6,FALSE)&gt;=(VLOOKUP(VLOOKUP(AZ$1,main!$A$3:$I$56,8,FALSE),main!$K$11:$M$14,2,FALSE)+VLOOKUP(VLOOKUP(AZ$1,main!$A$3:$I$56,7,FALSE),main!$K$19:$O$22,MATCH(VLOOKUP($A21,main!$A$3:$I$56,8,FALSE),main!$K$18:$O$18,0))))),1,0)</f>
        <v>0</v>
      </c>
      <c r="BA21">
        <f>IF((AND(VLOOKUP(BA$1,main!$A$3:$I$56,5,FALSE)-VLOOKUP($A21,main!$A$3:$I$56,6,FALSE)&gt;=(VLOOKUP(VLOOKUP(BA$1,main!$A$3:$I$56,8,FALSE),main!$K$11:$M$14,2,FALSE)+VLOOKUP(VLOOKUP(BA$1,main!$A$3:$I$56,7,FALSE),main!$K$19:$O$22,MATCH(VLOOKUP($A21,main!$A$3:$I$56,8,FALSE),main!$K$18:$O$18,0))))),1,0)</f>
        <v>1</v>
      </c>
      <c r="BB21">
        <f>IF((AND(VLOOKUP(BB$1,main!$A$3:$I$56,5,FALSE)-VLOOKUP($A21,main!$A$3:$I$56,6,FALSE)&gt;=(VLOOKUP(VLOOKUP(BB$1,main!$A$3:$I$56,8,FALSE),main!$K$11:$M$14,2,FALSE)+VLOOKUP(VLOOKUP(BB$1,main!$A$3:$I$56,7,FALSE),main!$K$19:$O$22,MATCH(VLOOKUP($A21,main!$A$3:$I$56,8,FALSE),main!$K$18:$O$18,0))))),1,0)</f>
        <v>1</v>
      </c>
      <c r="BC21">
        <f>IF((AND(VLOOKUP(BC$1,main!$A$3:$I$56,5,FALSE)-VLOOKUP($A21,main!$A$3:$I$56,6,FALSE)&gt;=(VLOOKUP(VLOOKUP(BC$1,main!$A$3:$I$56,8,FALSE),main!$K$11:$M$14,2,FALSE)+VLOOKUP(VLOOKUP(BC$1,main!$A$3:$I$56,7,FALSE),main!$K$19:$O$22,MATCH(VLOOKUP($A21,main!$A$3:$I$56,8,FALSE),main!$K$18:$O$18,0))))),1,0)</f>
        <v>1</v>
      </c>
      <c r="BD21">
        <f>IF((AND(VLOOKUP(BD$1,main!$A$3:$I$56,5,FALSE)-VLOOKUP($A21,main!$A$3:$I$56,6,FALSE)&gt;=(VLOOKUP(VLOOKUP(BD$1,main!$A$3:$I$56,8,FALSE),main!$K$11:$M$14,2,FALSE)+VLOOKUP(VLOOKUP(BD$1,main!$A$3:$I$56,7,FALSE),main!$K$19:$O$22,MATCH(VLOOKUP($A21,main!$A$3:$I$56,8,FALSE),main!$K$18:$O$18,0))))),1,0)</f>
        <v>1</v>
      </c>
    </row>
    <row r="22" spans="1:56" x14ac:dyDescent="0.25">
      <c r="A22">
        <f t="shared" si="0"/>
        <v>20</v>
      </c>
      <c r="B22">
        <v>1</v>
      </c>
      <c r="C22">
        <f>IF((AND(VLOOKUP(C$1,main!$A$3:$I$56,5,FALSE)-VLOOKUP($A22,main!$A$3:$I$56,6,FALSE)&gt;=(VLOOKUP(VLOOKUP(C$1,main!$A$3:$I$56,8,FALSE),main!$K$11:$M$14,2,FALSE)+VLOOKUP(VLOOKUP(C$1,main!$A$3:$I$56,7,FALSE),main!$K$19:$O$22,MATCH(VLOOKUP($A22,main!$A$3:$I$56,8,FALSE),main!$K$18:$O$18,0))))),1,0)</f>
        <v>0</v>
      </c>
      <c r="D22">
        <f>IF((AND(VLOOKUP(D$1,main!$A$3:$I$56,5,FALSE)-VLOOKUP($A22,main!$A$3:$I$56,6,FALSE)&gt;=(VLOOKUP(VLOOKUP(D$1,main!$A$3:$I$56,8,FALSE),main!$K$11:$M$14,2,FALSE)+VLOOKUP(VLOOKUP(D$1,main!$A$3:$I$56,7,FALSE),main!$K$19:$O$22,MATCH(VLOOKUP($A22,main!$A$3:$I$56,8,FALSE),main!$K$18:$O$18,0))))),1,0)</f>
        <v>0</v>
      </c>
      <c r="E22">
        <f>IF((AND(VLOOKUP(E$1,main!$A$3:$I$56,5,FALSE)-VLOOKUP($A22,main!$A$3:$I$56,6,FALSE)&gt;=(VLOOKUP(VLOOKUP(E$1,main!$A$3:$I$56,8,FALSE),main!$K$11:$M$14,2,FALSE)+VLOOKUP(VLOOKUP(E$1,main!$A$3:$I$56,7,FALSE),main!$K$19:$O$22,MATCH(VLOOKUP($A22,main!$A$3:$I$56,8,FALSE),main!$K$18:$O$18,0))))),1,0)</f>
        <v>1</v>
      </c>
      <c r="F22">
        <f>IF((AND(VLOOKUP(F$1,main!$A$3:$I$56,5,FALSE)-VLOOKUP($A22,main!$A$3:$I$56,6,FALSE)&gt;=(VLOOKUP(VLOOKUP(F$1,main!$A$3:$I$56,8,FALSE),main!$K$11:$M$14,2,FALSE)+VLOOKUP(VLOOKUP(F$1,main!$A$3:$I$56,7,FALSE),main!$K$19:$O$22,MATCH(VLOOKUP($A22,main!$A$3:$I$56,8,FALSE),main!$K$18:$O$18,0))))),1,0)</f>
        <v>1</v>
      </c>
      <c r="G22">
        <f>IF((AND(VLOOKUP(G$1,main!$A$3:$I$56,5,FALSE)-VLOOKUP($A22,main!$A$3:$I$56,6,FALSE)&gt;=(VLOOKUP(VLOOKUP(G$1,main!$A$3:$I$56,8,FALSE),main!$K$11:$M$14,2,FALSE)+VLOOKUP(VLOOKUP(G$1,main!$A$3:$I$56,7,FALSE),main!$K$19:$O$22,MATCH(VLOOKUP($A22,main!$A$3:$I$56,8,FALSE),main!$K$18:$O$18,0))))),1,0)</f>
        <v>1</v>
      </c>
      <c r="H22">
        <f>IF((AND(VLOOKUP(H$1,main!$A$3:$I$56,5,FALSE)-VLOOKUP($A22,main!$A$3:$I$56,6,FALSE)&gt;=(VLOOKUP(VLOOKUP(H$1,main!$A$3:$I$56,8,FALSE),main!$K$11:$M$14,2,FALSE)+VLOOKUP(VLOOKUP(H$1,main!$A$3:$I$56,7,FALSE),main!$K$19:$O$22,MATCH(VLOOKUP($A22,main!$A$3:$I$56,8,FALSE),main!$K$18:$O$18,0))))),1,0)</f>
        <v>1</v>
      </c>
      <c r="I22">
        <f>IF((AND(VLOOKUP(I$1,main!$A$3:$I$56,5,FALSE)-VLOOKUP($A22,main!$A$3:$I$56,6,FALSE)&gt;=(VLOOKUP(VLOOKUP(I$1,main!$A$3:$I$56,8,FALSE),main!$K$11:$M$14,2,FALSE)+VLOOKUP(VLOOKUP(I$1,main!$A$3:$I$56,7,FALSE),main!$K$19:$O$22,MATCH(VLOOKUP($A22,main!$A$3:$I$56,8,FALSE),main!$K$18:$O$18,0))))),1,0)</f>
        <v>1</v>
      </c>
      <c r="J22">
        <f>IF((AND(VLOOKUP(J$1,main!$A$3:$I$56,5,FALSE)-VLOOKUP($A22,main!$A$3:$I$56,6,FALSE)&gt;=(VLOOKUP(VLOOKUP(J$1,main!$A$3:$I$56,8,FALSE),main!$K$11:$M$14,2,FALSE)+VLOOKUP(VLOOKUP(J$1,main!$A$3:$I$56,7,FALSE),main!$K$19:$O$22,MATCH(VLOOKUP($A22,main!$A$3:$I$56,8,FALSE),main!$K$18:$O$18,0))))),1,0)</f>
        <v>1</v>
      </c>
      <c r="K22">
        <f>IF((AND(VLOOKUP(K$1,main!$A$3:$I$56,5,FALSE)-VLOOKUP($A22,main!$A$3:$I$56,6,FALSE)&gt;=(VLOOKUP(VLOOKUP(K$1,main!$A$3:$I$56,8,FALSE),main!$K$11:$M$14,2,FALSE)+VLOOKUP(VLOOKUP(K$1,main!$A$3:$I$56,7,FALSE),main!$K$19:$O$22,MATCH(VLOOKUP($A22,main!$A$3:$I$56,8,FALSE),main!$K$18:$O$18,0))))),1,0)</f>
        <v>0</v>
      </c>
      <c r="L22">
        <f>IF((AND(VLOOKUP(L$1,main!$A$3:$I$56,5,FALSE)-VLOOKUP($A22,main!$A$3:$I$56,6,FALSE)&gt;=(VLOOKUP(VLOOKUP(L$1,main!$A$3:$I$56,8,FALSE),main!$K$11:$M$14,2,FALSE)+VLOOKUP(VLOOKUP(L$1,main!$A$3:$I$56,7,FALSE),main!$K$19:$O$22,MATCH(VLOOKUP($A22,main!$A$3:$I$56,8,FALSE),main!$K$18:$O$18,0))))),1,0)</f>
        <v>0</v>
      </c>
      <c r="M22">
        <f>IF((AND(VLOOKUP(M$1,main!$A$3:$I$56,5,FALSE)-VLOOKUP($A22,main!$A$3:$I$56,6,FALSE)&gt;=(VLOOKUP(VLOOKUP(M$1,main!$A$3:$I$56,8,FALSE),main!$K$11:$M$14,2,FALSE)+VLOOKUP(VLOOKUP(M$1,main!$A$3:$I$56,7,FALSE),main!$K$19:$O$22,MATCH(VLOOKUP($A22,main!$A$3:$I$56,8,FALSE),main!$K$18:$O$18,0))))),1,0)</f>
        <v>1</v>
      </c>
      <c r="N22">
        <f>IF((AND(VLOOKUP(N$1,main!$A$3:$I$56,5,FALSE)-VLOOKUP($A22,main!$A$3:$I$56,6,FALSE)&gt;=(VLOOKUP(VLOOKUP(N$1,main!$A$3:$I$56,8,FALSE),main!$K$11:$M$14,2,FALSE)+VLOOKUP(VLOOKUP(N$1,main!$A$3:$I$56,7,FALSE),main!$K$19:$O$22,MATCH(VLOOKUP($A22,main!$A$3:$I$56,8,FALSE),main!$K$18:$O$18,0))))),1,0)</f>
        <v>1</v>
      </c>
      <c r="O22">
        <f>IF((AND(VLOOKUP(O$1,main!$A$3:$I$56,5,FALSE)-VLOOKUP($A22,main!$A$3:$I$56,6,FALSE)&gt;=(VLOOKUP(VLOOKUP(O$1,main!$A$3:$I$56,8,FALSE),main!$K$11:$M$14,2,FALSE)+VLOOKUP(VLOOKUP(O$1,main!$A$3:$I$56,7,FALSE),main!$K$19:$O$22,MATCH(VLOOKUP($A22,main!$A$3:$I$56,8,FALSE),main!$K$18:$O$18,0))))),1,0)</f>
        <v>1</v>
      </c>
      <c r="P22">
        <f>IF((AND(VLOOKUP(P$1,main!$A$3:$I$56,5,FALSE)-VLOOKUP($A22,main!$A$3:$I$56,6,FALSE)&gt;=(VLOOKUP(VLOOKUP(P$1,main!$A$3:$I$56,8,FALSE),main!$K$11:$M$14,2,FALSE)+VLOOKUP(VLOOKUP(P$1,main!$A$3:$I$56,7,FALSE),main!$K$19:$O$22,MATCH(VLOOKUP($A22,main!$A$3:$I$56,8,FALSE),main!$K$18:$O$18,0))))),1,0)</f>
        <v>0</v>
      </c>
      <c r="Q22">
        <f>IF((AND(VLOOKUP(Q$1,main!$A$3:$I$56,5,FALSE)-VLOOKUP($A22,main!$A$3:$I$56,6,FALSE)&gt;=(VLOOKUP(VLOOKUP(Q$1,main!$A$3:$I$56,8,FALSE),main!$K$11:$M$14,2,FALSE)+VLOOKUP(VLOOKUP(Q$1,main!$A$3:$I$56,7,FALSE),main!$K$19:$O$22,MATCH(VLOOKUP($A22,main!$A$3:$I$56,8,FALSE),main!$K$18:$O$18,0))))),1,0)</f>
        <v>0</v>
      </c>
      <c r="R22">
        <f>IF((AND(VLOOKUP(R$1,main!$A$3:$I$56,5,FALSE)-VLOOKUP($A22,main!$A$3:$I$56,6,FALSE)&gt;=(VLOOKUP(VLOOKUP(R$1,main!$A$3:$I$56,8,FALSE),main!$K$11:$M$14,2,FALSE)+VLOOKUP(VLOOKUP(R$1,main!$A$3:$I$56,7,FALSE),main!$K$19:$O$22,MATCH(VLOOKUP($A22,main!$A$3:$I$56,8,FALSE),main!$K$18:$O$18,0))))),1,0)</f>
        <v>1</v>
      </c>
      <c r="S22">
        <f>IF((AND(VLOOKUP(S$1,main!$A$3:$I$56,5,FALSE)-VLOOKUP($A22,main!$A$3:$I$56,6,FALSE)&gt;=(VLOOKUP(VLOOKUP(S$1,main!$A$3:$I$56,8,FALSE),main!$K$11:$M$14,2,FALSE)+VLOOKUP(VLOOKUP(S$1,main!$A$3:$I$56,7,FALSE),main!$K$19:$O$22,MATCH(VLOOKUP($A22,main!$A$3:$I$56,8,FALSE),main!$K$18:$O$18,0))))),1,0)</f>
        <v>1</v>
      </c>
      <c r="T22">
        <f>IF((AND(VLOOKUP(T$1,main!$A$3:$I$56,5,FALSE)-VLOOKUP($A22,main!$A$3:$I$56,6,FALSE)&gt;=(VLOOKUP(VLOOKUP(T$1,main!$A$3:$I$56,8,FALSE),main!$K$11:$M$14,2,FALSE)+VLOOKUP(VLOOKUP(T$1,main!$A$3:$I$56,7,FALSE),main!$K$19:$O$22,MATCH(VLOOKUP($A22,main!$A$3:$I$56,8,FALSE),main!$K$18:$O$18,0))))),1,0)</f>
        <v>1</v>
      </c>
      <c r="U22">
        <f>IF((AND(VLOOKUP(U$1,main!$A$3:$I$56,5,FALSE)-VLOOKUP($A22,main!$A$3:$I$56,6,FALSE)&gt;=(VLOOKUP(VLOOKUP(U$1,main!$A$3:$I$56,8,FALSE),main!$K$11:$M$14,2,FALSE)+VLOOKUP(VLOOKUP(U$1,main!$A$3:$I$56,7,FALSE),main!$K$19:$O$22,MATCH(VLOOKUP($A22,main!$A$3:$I$56,8,FALSE),main!$K$18:$O$18,0))))),1,0)</f>
        <v>0</v>
      </c>
      <c r="V22">
        <f>IF((AND(VLOOKUP(V$1,main!$A$3:$I$56,5,FALSE)-VLOOKUP($A22,main!$A$3:$I$56,6,FALSE)&gt;=(VLOOKUP(VLOOKUP(V$1,main!$A$3:$I$56,8,FALSE),main!$K$11:$M$14,2,FALSE)+VLOOKUP(VLOOKUP(V$1,main!$A$3:$I$56,7,FALSE),main!$K$19:$O$22,MATCH(VLOOKUP($A22,main!$A$3:$I$56,8,FALSE),main!$K$18:$O$18,0))))),1,0)</f>
        <v>0</v>
      </c>
      <c r="W22">
        <f>IF((AND(VLOOKUP(W$1,main!$A$3:$I$56,5,FALSE)-VLOOKUP($A22,main!$A$3:$I$56,6,FALSE)&gt;=(VLOOKUP(VLOOKUP(W$1,main!$A$3:$I$56,8,FALSE),main!$K$11:$M$14,2,FALSE)+VLOOKUP(VLOOKUP(W$1,main!$A$3:$I$56,7,FALSE),main!$K$19:$O$22,MATCH(VLOOKUP($A22,main!$A$3:$I$56,8,FALSE),main!$K$18:$O$18,0))))),1,0)</f>
        <v>0</v>
      </c>
      <c r="X22">
        <f>IF((AND(VLOOKUP(X$1,main!$A$3:$I$56,5,FALSE)-VLOOKUP($A22,main!$A$3:$I$56,6,FALSE)&gt;=(VLOOKUP(VLOOKUP(X$1,main!$A$3:$I$56,8,FALSE),main!$K$11:$M$14,2,FALSE)+VLOOKUP(VLOOKUP(X$1,main!$A$3:$I$56,7,FALSE),main!$K$19:$O$22,MATCH(VLOOKUP($A22,main!$A$3:$I$56,8,FALSE),main!$K$18:$O$18,0))))),1,0)</f>
        <v>1</v>
      </c>
      <c r="Y22">
        <f>IF((AND(VLOOKUP(Y$1,main!$A$3:$I$56,5,FALSE)-VLOOKUP($A22,main!$A$3:$I$56,6,FALSE)&gt;=(VLOOKUP(VLOOKUP(Y$1,main!$A$3:$I$56,8,FALSE),main!$K$11:$M$14,2,FALSE)+VLOOKUP(VLOOKUP(Y$1,main!$A$3:$I$56,7,FALSE),main!$K$19:$O$22,MATCH(VLOOKUP($A22,main!$A$3:$I$56,8,FALSE),main!$K$18:$O$18,0))))),1,0)</f>
        <v>1</v>
      </c>
      <c r="Z22">
        <f>IF((AND(VLOOKUP(Z$1,main!$A$3:$I$56,5,FALSE)-VLOOKUP($A22,main!$A$3:$I$56,6,FALSE)&gt;=(VLOOKUP(VLOOKUP(Z$1,main!$A$3:$I$56,8,FALSE),main!$K$11:$M$14,2,FALSE)+VLOOKUP(VLOOKUP(Z$1,main!$A$3:$I$56,7,FALSE),main!$K$19:$O$22,MATCH(VLOOKUP($A22,main!$A$3:$I$56,8,FALSE),main!$K$18:$O$18,0))))),1,0)</f>
        <v>1</v>
      </c>
      <c r="AA22">
        <f>IF((AND(VLOOKUP(AA$1,main!$A$3:$I$56,5,FALSE)-VLOOKUP($A22,main!$A$3:$I$56,6,FALSE)&gt;=(VLOOKUP(VLOOKUP(AA$1,main!$A$3:$I$56,8,FALSE),main!$K$11:$M$14,2,FALSE)+VLOOKUP(VLOOKUP(AA$1,main!$A$3:$I$56,7,FALSE),main!$K$19:$O$22,MATCH(VLOOKUP($A22,main!$A$3:$I$56,8,FALSE),main!$K$18:$O$18,0))))),1,0)</f>
        <v>1</v>
      </c>
      <c r="AB22">
        <f>IF((AND(VLOOKUP(AB$1,main!$A$3:$I$56,5,FALSE)-VLOOKUP($A22,main!$A$3:$I$56,6,FALSE)&gt;=(VLOOKUP(VLOOKUP(AB$1,main!$A$3:$I$56,8,FALSE),main!$K$11:$M$14,2,FALSE)+VLOOKUP(VLOOKUP(AB$1,main!$A$3:$I$56,7,FALSE),main!$K$19:$O$22,MATCH(VLOOKUP($A22,main!$A$3:$I$56,8,FALSE),main!$K$18:$O$18,0))))),1,0)</f>
        <v>1</v>
      </c>
      <c r="AC22">
        <f>IF((AND(VLOOKUP(AC$1,main!$A$3:$I$56,5,FALSE)-VLOOKUP($A22,main!$A$3:$I$56,6,FALSE)&gt;=(VLOOKUP(VLOOKUP(AC$1,main!$A$3:$I$56,8,FALSE),main!$K$11:$M$14,2,FALSE)+VLOOKUP(VLOOKUP(AC$1,main!$A$3:$I$56,7,FALSE),main!$K$19:$O$22,MATCH(VLOOKUP($A22,main!$A$3:$I$56,8,FALSE),main!$K$18:$O$18,0))))),1,0)</f>
        <v>0</v>
      </c>
      <c r="AD22">
        <f>IF((AND(VLOOKUP(AD$1,main!$A$3:$I$56,5,FALSE)-VLOOKUP($A22,main!$A$3:$I$56,6,FALSE)&gt;=(VLOOKUP(VLOOKUP(AD$1,main!$A$3:$I$56,8,FALSE),main!$K$11:$M$14,2,FALSE)+VLOOKUP(VLOOKUP(AD$1,main!$A$3:$I$56,7,FALSE),main!$K$19:$O$22,MATCH(VLOOKUP($A22,main!$A$3:$I$56,8,FALSE),main!$K$18:$O$18,0))))),1,0)</f>
        <v>0</v>
      </c>
      <c r="AE22">
        <f>IF((AND(VLOOKUP(AE$1,main!$A$3:$I$56,5,FALSE)-VLOOKUP($A22,main!$A$3:$I$56,6,FALSE)&gt;=(VLOOKUP(VLOOKUP(AE$1,main!$A$3:$I$56,8,FALSE),main!$K$11:$M$14,2,FALSE)+VLOOKUP(VLOOKUP(AE$1,main!$A$3:$I$56,7,FALSE),main!$K$19:$O$22,MATCH(VLOOKUP($A22,main!$A$3:$I$56,8,FALSE),main!$K$18:$O$18,0))))),1,0)</f>
        <v>0</v>
      </c>
      <c r="AF22">
        <f>IF((AND(VLOOKUP(AF$1,main!$A$3:$I$56,5,FALSE)-VLOOKUP($A22,main!$A$3:$I$56,6,FALSE)&gt;=(VLOOKUP(VLOOKUP(AF$1,main!$A$3:$I$56,8,FALSE),main!$K$11:$M$14,2,FALSE)+VLOOKUP(VLOOKUP(AF$1,main!$A$3:$I$56,7,FALSE),main!$K$19:$O$22,MATCH(VLOOKUP($A22,main!$A$3:$I$56,8,FALSE),main!$K$18:$O$18,0))))),1,0)</f>
        <v>1</v>
      </c>
      <c r="AG22">
        <f>IF((AND(VLOOKUP(AG$1,main!$A$3:$I$56,5,FALSE)-VLOOKUP($A22,main!$A$3:$I$56,6,FALSE)&gt;=(VLOOKUP(VLOOKUP(AG$1,main!$A$3:$I$56,8,FALSE),main!$K$11:$M$14,2,FALSE)+VLOOKUP(VLOOKUP(AG$1,main!$A$3:$I$56,7,FALSE),main!$K$19:$O$22,MATCH(VLOOKUP($A22,main!$A$3:$I$56,8,FALSE),main!$K$18:$O$18,0))))),1,0)</f>
        <v>0</v>
      </c>
      <c r="AH22">
        <f>IF((AND(VLOOKUP(AH$1,main!$A$3:$I$56,5,FALSE)-VLOOKUP($A22,main!$A$3:$I$56,6,FALSE)&gt;=(VLOOKUP(VLOOKUP(AH$1,main!$A$3:$I$56,8,FALSE),main!$K$11:$M$14,2,FALSE)+VLOOKUP(VLOOKUP(AH$1,main!$A$3:$I$56,7,FALSE),main!$K$19:$O$22,MATCH(VLOOKUP($A22,main!$A$3:$I$56,8,FALSE),main!$K$18:$O$18,0))))),1,0)</f>
        <v>0</v>
      </c>
      <c r="AI22">
        <f>IF((AND(VLOOKUP(AI$1,main!$A$3:$I$56,5,FALSE)-VLOOKUP($A22,main!$A$3:$I$56,6,FALSE)&gt;=(VLOOKUP(VLOOKUP(AI$1,main!$A$3:$I$56,8,FALSE),main!$K$11:$M$14,2,FALSE)+VLOOKUP(VLOOKUP(AI$1,main!$A$3:$I$56,7,FALSE),main!$K$19:$O$22,MATCH(VLOOKUP($A22,main!$A$3:$I$56,8,FALSE),main!$K$18:$O$18,0))))),1,0)</f>
        <v>1</v>
      </c>
      <c r="AJ22">
        <f>IF((AND(VLOOKUP(AJ$1,main!$A$3:$I$56,5,FALSE)-VLOOKUP($A22,main!$A$3:$I$56,6,FALSE)&gt;=(VLOOKUP(VLOOKUP(AJ$1,main!$A$3:$I$56,8,FALSE),main!$K$11:$M$14,2,FALSE)+VLOOKUP(VLOOKUP(AJ$1,main!$A$3:$I$56,7,FALSE),main!$K$19:$O$22,MATCH(VLOOKUP($A22,main!$A$3:$I$56,8,FALSE),main!$K$18:$O$18,0))))),1,0)</f>
        <v>1</v>
      </c>
      <c r="AK22">
        <f>IF((AND(VLOOKUP(AK$1,main!$A$3:$I$56,5,FALSE)-VLOOKUP($A22,main!$A$3:$I$56,6,FALSE)&gt;=(VLOOKUP(VLOOKUP(AK$1,main!$A$3:$I$56,8,FALSE),main!$K$11:$M$14,2,FALSE)+VLOOKUP(VLOOKUP(AK$1,main!$A$3:$I$56,7,FALSE),main!$K$19:$O$22,MATCH(VLOOKUP($A22,main!$A$3:$I$56,8,FALSE),main!$K$18:$O$18,0))))),1,0)</f>
        <v>1</v>
      </c>
      <c r="AL22">
        <f>IF((AND(VLOOKUP(AL$1,main!$A$3:$I$56,5,FALSE)-VLOOKUP($A22,main!$A$3:$I$56,6,FALSE)&gt;=(VLOOKUP(VLOOKUP(AL$1,main!$A$3:$I$56,8,FALSE),main!$K$11:$M$14,2,FALSE)+VLOOKUP(VLOOKUP(AL$1,main!$A$3:$I$56,7,FALSE),main!$K$19:$O$22,MATCH(VLOOKUP($A22,main!$A$3:$I$56,8,FALSE),main!$K$18:$O$18,0))))),1,0)</f>
        <v>0</v>
      </c>
      <c r="AM22">
        <f>IF((AND(VLOOKUP(AM$1,main!$A$3:$I$56,5,FALSE)-VLOOKUP($A22,main!$A$3:$I$56,6,FALSE)&gt;=(VLOOKUP(VLOOKUP(AM$1,main!$A$3:$I$56,8,FALSE),main!$K$11:$M$14,2,FALSE)+VLOOKUP(VLOOKUP(AM$1,main!$A$3:$I$56,7,FALSE),main!$K$19:$O$22,MATCH(VLOOKUP($A22,main!$A$3:$I$56,8,FALSE),main!$K$18:$O$18,0))))),1,0)</f>
        <v>0</v>
      </c>
      <c r="AN22">
        <f>IF((AND(VLOOKUP(AN$1,main!$A$3:$I$56,5,FALSE)-VLOOKUP($A22,main!$A$3:$I$56,6,FALSE)&gt;=(VLOOKUP(VLOOKUP(AN$1,main!$A$3:$I$56,8,FALSE),main!$K$11:$M$14,2,FALSE)+VLOOKUP(VLOOKUP(AN$1,main!$A$3:$I$56,7,FALSE),main!$K$19:$O$22,MATCH(VLOOKUP($A22,main!$A$3:$I$56,8,FALSE),main!$K$18:$O$18,0))))),1,0)</f>
        <v>1</v>
      </c>
      <c r="AO22">
        <f>IF((AND(VLOOKUP(AO$1,main!$A$3:$I$56,5,FALSE)-VLOOKUP($A22,main!$A$3:$I$56,6,FALSE)&gt;=(VLOOKUP(VLOOKUP(AO$1,main!$A$3:$I$56,8,FALSE),main!$K$11:$M$14,2,FALSE)+VLOOKUP(VLOOKUP(AO$1,main!$A$3:$I$56,7,FALSE),main!$K$19:$O$22,MATCH(VLOOKUP($A22,main!$A$3:$I$56,8,FALSE),main!$K$18:$O$18,0))))),1,0)</f>
        <v>1</v>
      </c>
      <c r="AP22">
        <f>IF((AND(VLOOKUP(AP$1,main!$A$3:$I$56,5,FALSE)-VLOOKUP($A22,main!$A$3:$I$56,6,FALSE)&gt;=(VLOOKUP(VLOOKUP(AP$1,main!$A$3:$I$56,8,FALSE),main!$K$11:$M$14,2,FALSE)+VLOOKUP(VLOOKUP(AP$1,main!$A$3:$I$56,7,FALSE),main!$K$19:$O$22,MATCH(VLOOKUP($A22,main!$A$3:$I$56,8,FALSE),main!$K$18:$O$18,0))))),1,0)</f>
        <v>0</v>
      </c>
      <c r="AQ22">
        <f>IF((AND(VLOOKUP(AQ$1,main!$A$3:$I$56,5,FALSE)-VLOOKUP($A22,main!$A$3:$I$56,6,FALSE)&gt;=(VLOOKUP(VLOOKUP(AQ$1,main!$A$3:$I$56,8,FALSE),main!$K$11:$M$14,2,FALSE)+VLOOKUP(VLOOKUP(AQ$1,main!$A$3:$I$56,7,FALSE),main!$K$19:$O$22,MATCH(VLOOKUP($A22,main!$A$3:$I$56,8,FALSE),main!$K$18:$O$18,0))))),1,0)</f>
        <v>0</v>
      </c>
      <c r="AR22">
        <f>IF((AND(VLOOKUP(AR$1,main!$A$3:$I$56,5,FALSE)-VLOOKUP($A22,main!$A$3:$I$56,6,FALSE)&gt;=(VLOOKUP(VLOOKUP(AR$1,main!$A$3:$I$56,8,FALSE),main!$K$11:$M$14,2,FALSE)+VLOOKUP(VLOOKUP(AR$1,main!$A$3:$I$56,7,FALSE),main!$K$19:$O$22,MATCH(VLOOKUP($A22,main!$A$3:$I$56,8,FALSE),main!$K$18:$O$18,0))))),1,0)</f>
        <v>0</v>
      </c>
      <c r="AS22">
        <f>IF((AND(VLOOKUP(AS$1,main!$A$3:$I$56,5,FALSE)-VLOOKUP($A22,main!$A$3:$I$56,6,FALSE)&gt;=(VLOOKUP(VLOOKUP(AS$1,main!$A$3:$I$56,8,FALSE),main!$K$11:$M$14,2,FALSE)+VLOOKUP(VLOOKUP(AS$1,main!$A$3:$I$56,7,FALSE),main!$K$19:$O$22,MATCH(VLOOKUP($A22,main!$A$3:$I$56,8,FALSE),main!$K$18:$O$18,0))))),1,0)</f>
        <v>0</v>
      </c>
      <c r="AT22">
        <f>IF((AND(VLOOKUP(AT$1,main!$A$3:$I$56,5,FALSE)-VLOOKUP($A22,main!$A$3:$I$56,6,FALSE)&gt;=(VLOOKUP(VLOOKUP(AT$1,main!$A$3:$I$56,8,FALSE),main!$K$11:$M$14,2,FALSE)+VLOOKUP(VLOOKUP(AT$1,main!$A$3:$I$56,7,FALSE),main!$K$19:$O$22,MATCH(VLOOKUP($A22,main!$A$3:$I$56,8,FALSE),main!$K$18:$O$18,0))))),1,0)</f>
        <v>1</v>
      </c>
      <c r="AU22">
        <f>IF((AND(VLOOKUP(AU$1,main!$A$3:$I$56,5,FALSE)-VLOOKUP($A22,main!$A$3:$I$56,6,FALSE)&gt;=(VLOOKUP(VLOOKUP(AU$1,main!$A$3:$I$56,8,FALSE),main!$K$11:$M$14,2,FALSE)+VLOOKUP(VLOOKUP(AU$1,main!$A$3:$I$56,7,FALSE),main!$K$19:$O$22,MATCH(VLOOKUP($A22,main!$A$3:$I$56,8,FALSE),main!$K$18:$O$18,0))))),1,0)</f>
        <v>0</v>
      </c>
      <c r="AV22">
        <f>IF((AND(VLOOKUP(AV$1,main!$A$3:$I$56,5,FALSE)-VLOOKUP($A22,main!$A$3:$I$56,6,FALSE)&gt;=(VLOOKUP(VLOOKUP(AV$1,main!$A$3:$I$56,8,FALSE),main!$K$11:$M$14,2,FALSE)+VLOOKUP(VLOOKUP(AV$1,main!$A$3:$I$56,7,FALSE),main!$K$19:$O$22,MATCH(VLOOKUP($A22,main!$A$3:$I$56,8,FALSE),main!$K$18:$O$18,0))))),1,0)</f>
        <v>0</v>
      </c>
      <c r="AW22">
        <f>IF((AND(VLOOKUP(AW$1,main!$A$3:$I$56,5,FALSE)-VLOOKUP($A22,main!$A$3:$I$56,6,FALSE)&gt;=(VLOOKUP(VLOOKUP(AW$1,main!$A$3:$I$56,8,FALSE),main!$K$11:$M$14,2,FALSE)+VLOOKUP(VLOOKUP(AW$1,main!$A$3:$I$56,7,FALSE),main!$K$19:$O$22,MATCH(VLOOKUP($A22,main!$A$3:$I$56,8,FALSE),main!$K$18:$O$18,0))))),1,0)</f>
        <v>0</v>
      </c>
      <c r="AX22">
        <f>IF((AND(VLOOKUP(AX$1,main!$A$3:$I$56,5,FALSE)-VLOOKUP($A22,main!$A$3:$I$56,6,FALSE)&gt;=(VLOOKUP(VLOOKUP(AX$1,main!$A$3:$I$56,8,FALSE),main!$K$11:$M$14,2,FALSE)+VLOOKUP(VLOOKUP(AX$1,main!$A$3:$I$56,7,FALSE),main!$K$19:$O$22,MATCH(VLOOKUP($A22,main!$A$3:$I$56,8,FALSE),main!$K$18:$O$18,0))))),1,0)</f>
        <v>1</v>
      </c>
      <c r="AY22">
        <f>IF((AND(VLOOKUP(AY$1,main!$A$3:$I$56,5,FALSE)-VLOOKUP($A22,main!$A$3:$I$56,6,FALSE)&gt;=(VLOOKUP(VLOOKUP(AY$1,main!$A$3:$I$56,8,FALSE),main!$K$11:$M$14,2,FALSE)+VLOOKUP(VLOOKUP(AY$1,main!$A$3:$I$56,7,FALSE),main!$K$19:$O$22,MATCH(VLOOKUP($A22,main!$A$3:$I$56,8,FALSE),main!$K$18:$O$18,0))))),1,0)</f>
        <v>1</v>
      </c>
      <c r="AZ22">
        <f>IF((AND(VLOOKUP(AZ$1,main!$A$3:$I$56,5,FALSE)-VLOOKUP($A22,main!$A$3:$I$56,6,FALSE)&gt;=(VLOOKUP(VLOOKUP(AZ$1,main!$A$3:$I$56,8,FALSE),main!$K$11:$M$14,2,FALSE)+VLOOKUP(VLOOKUP(AZ$1,main!$A$3:$I$56,7,FALSE),main!$K$19:$O$22,MATCH(VLOOKUP($A22,main!$A$3:$I$56,8,FALSE),main!$K$18:$O$18,0))))),1,0)</f>
        <v>0</v>
      </c>
      <c r="BA22">
        <f>IF((AND(VLOOKUP(BA$1,main!$A$3:$I$56,5,FALSE)-VLOOKUP($A22,main!$A$3:$I$56,6,FALSE)&gt;=(VLOOKUP(VLOOKUP(BA$1,main!$A$3:$I$56,8,FALSE),main!$K$11:$M$14,2,FALSE)+VLOOKUP(VLOOKUP(BA$1,main!$A$3:$I$56,7,FALSE),main!$K$19:$O$22,MATCH(VLOOKUP($A22,main!$A$3:$I$56,8,FALSE),main!$K$18:$O$18,0))))),1,0)</f>
        <v>0</v>
      </c>
      <c r="BB22">
        <f>IF((AND(VLOOKUP(BB$1,main!$A$3:$I$56,5,FALSE)-VLOOKUP($A22,main!$A$3:$I$56,6,FALSE)&gt;=(VLOOKUP(VLOOKUP(BB$1,main!$A$3:$I$56,8,FALSE),main!$K$11:$M$14,2,FALSE)+VLOOKUP(VLOOKUP(BB$1,main!$A$3:$I$56,7,FALSE),main!$K$19:$O$22,MATCH(VLOOKUP($A22,main!$A$3:$I$56,8,FALSE),main!$K$18:$O$18,0))))),1,0)</f>
        <v>0</v>
      </c>
      <c r="BC22">
        <f>IF((AND(VLOOKUP(BC$1,main!$A$3:$I$56,5,FALSE)-VLOOKUP($A22,main!$A$3:$I$56,6,FALSE)&gt;=(VLOOKUP(VLOOKUP(BC$1,main!$A$3:$I$56,8,FALSE),main!$K$11:$M$14,2,FALSE)+VLOOKUP(VLOOKUP(BC$1,main!$A$3:$I$56,7,FALSE),main!$K$19:$O$22,MATCH(VLOOKUP($A22,main!$A$3:$I$56,8,FALSE),main!$K$18:$O$18,0))))),1,0)</f>
        <v>1</v>
      </c>
      <c r="BD22">
        <f>IF((AND(VLOOKUP(BD$1,main!$A$3:$I$56,5,FALSE)-VLOOKUP($A22,main!$A$3:$I$56,6,FALSE)&gt;=(VLOOKUP(VLOOKUP(BD$1,main!$A$3:$I$56,8,FALSE),main!$K$11:$M$14,2,FALSE)+VLOOKUP(VLOOKUP(BD$1,main!$A$3:$I$56,7,FALSE),main!$K$19:$O$22,MATCH(VLOOKUP($A22,main!$A$3:$I$56,8,FALSE),main!$K$18:$O$18,0))))),1,0)</f>
        <v>1</v>
      </c>
    </row>
    <row r="23" spans="1:56" x14ac:dyDescent="0.25">
      <c r="A23">
        <f t="shared" si="0"/>
        <v>21</v>
      </c>
      <c r="B23">
        <v>1</v>
      </c>
      <c r="C23">
        <f>IF((AND(VLOOKUP(C$1,main!$A$3:$I$56,5,FALSE)-VLOOKUP($A23,main!$A$3:$I$56,6,FALSE)&gt;=(VLOOKUP(VLOOKUP(C$1,main!$A$3:$I$56,8,FALSE),main!$K$11:$M$14,2,FALSE)+VLOOKUP(VLOOKUP(C$1,main!$A$3:$I$56,7,FALSE),main!$K$19:$O$22,MATCH(VLOOKUP($A23,main!$A$3:$I$56,8,FALSE),main!$K$18:$O$18,0))))),1,0)</f>
        <v>0</v>
      </c>
      <c r="D23">
        <f>IF((AND(VLOOKUP(D$1,main!$A$3:$I$56,5,FALSE)-VLOOKUP($A23,main!$A$3:$I$56,6,FALSE)&gt;=(VLOOKUP(VLOOKUP(D$1,main!$A$3:$I$56,8,FALSE),main!$K$11:$M$14,2,FALSE)+VLOOKUP(VLOOKUP(D$1,main!$A$3:$I$56,7,FALSE),main!$K$19:$O$22,MATCH(VLOOKUP($A23,main!$A$3:$I$56,8,FALSE),main!$K$18:$O$18,0))))),1,0)</f>
        <v>0</v>
      </c>
      <c r="E23">
        <f>IF((AND(VLOOKUP(E$1,main!$A$3:$I$56,5,FALSE)-VLOOKUP($A23,main!$A$3:$I$56,6,FALSE)&gt;=(VLOOKUP(VLOOKUP(E$1,main!$A$3:$I$56,8,FALSE),main!$K$11:$M$14,2,FALSE)+VLOOKUP(VLOOKUP(E$1,main!$A$3:$I$56,7,FALSE),main!$K$19:$O$22,MATCH(VLOOKUP($A23,main!$A$3:$I$56,8,FALSE),main!$K$18:$O$18,0))))),1,0)</f>
        <v>0</v>
      </c>
      <c r="F23">
        <f>IF((AND(VLOOKUP(F$1,main!$A$3:$I$56,5,FALSE)-VLOOKUP($A23,main!$A$3:$I$56,6,FALSE)&gt;=(VLOOKUP(VLOOKUP(F$1,main!$A$3:$I$56,8,FALSE),main!$K$11:$M$14,2,FALSE)+VLOOKUP(VLOOKUP(F$1,main!$A$3:$I$56,7,FALSE),main!$K$19:$O$22,MATCH(VLOOKUP($A23,main!$A$3:$I$56,8,FALSE),main!$K$18:$O$18,0))))),1,0)</f>
        <v>1</v>
      </c>
      <c r="G23">
        <f>IF((AND(VLOOKUP(G$1,main!$A$3:$I$56,5,FALSE)-VLOOKUP($A23,main!$A$3:$I$56,6,FALSE)&gt;=(VLOOKUP(VLOOKUP(G$1,main!$A$3:$I$56,8,FALSE),main!$K$11:$M$14,2,FALSE)+VLOOKUP(VLOOKUP(G$1,main!$A$3:$I$56,7,FALSE),main!$K$19:$O$22,MATCH(VLOOKUP($A23,main!$A$3:$I$56,8,FALSE),main!$K$18:$O$18,0))))),1,0)</f>
        <v>1</v>
      </c>
      <c r="H23">
        <f>IF((AND(VLOOKUP(H$1,main!$A$3:$I$56,5,FALSE)-VLOOKUP($A23,main!$A$3:$I$56,6,FALSE)&gt;=(VLOOKUP(VLOOKUP(H$1,main!$A$3:$I$56,8,FALSE),main!$K$11:$M$14,2,FALSE)+VLOOKUP(VLOOKUP(H$1,main!$A$3:$I$56,7,FALSE),main!$K$19:$O$22,MATCH(VLOOKUP($A23,main!$A$3:$I$56,8,FALSE),main!$K$18:$O$18,0))))),1,0)</f>
        <v>1</v>
      </c>
      <c r="I23">
        <f>IF((AND(VLOOKUP(I$1,main!$A$3:$I$56,5,FALSE)-VLOOKUP($A23,main!$A$3:$I$56,6,FALSE)&gt;=(VLOOKUP(VLOOKUP(I$1,main!$A$3:$I$56,8,FALSE),main!$K$11:$M$14,2,FALSE)+VLOOKUP(VLOOKUP(I$1,main!$A$3:$I$56,7,FALSE),main!$K$19:$O$22,MATCH(VLOOKUP($A23,main!$A$3:$I$56,8,FALSE),main!$K$18:$O$18,0))))),1,0)</f>
        <v>1</v>
      </c>
      <c r="J23">
        <f>IF((AND(VLOOKUP(J$1,main!$A$3:$I$56,5,FALSE)-VLOOKUP($A23,main!$A$3:$I$56,6,FALSE)&gt;=(VLOOKUP(VLOOKUP(J$1,main!$A$3:$I$56,8,FALSE),main!$K$11:$M$14,2,FALSE)+VLOOKUP(VLOOKUP(J$1,main!$A$3:$I$56,7,FALSE),main!$K$19:$O$22,MATCH(VLOOKUP($A23,main!$A$3:$I$56,8,FALSE),main!$K$18:$O$18,0))))),1,0)</f>
        <v>1</v>
      </c>
      <c r="K23">
        <f>IF((AND(VLOOKUP(K$1,main!$A$3:$I$56,5,FALSE)-VLOOKUP($A23,main!$A$3:$I$56,6,FALSE)&gt;=(VLOOKUP(VLOOKUP(K$1,main!$A$3:$I$56,8,FALSE),main!$K$11:$M$14,2,FALSE)+VLOOKUP(VLOOKUP(K$1,main!$A$3:$I$56,7,FALSE),main!$K$19:$O$22,MATCH(VLOOKUP($A23,main!$A$3:$I$56,8,FALSE),main!$K$18:$O$18,0))))),1,0)</f>
        <v>0</v>
      </c>
      <c r="L23">
        <f>IF((AND(VLOOKUP(L$1,main!$A$3:$I$56,5,FALSE)-VLOOKUP($A23,main!$A$3:$I$56,6,FALSE)&gt;=(VLOOKUP(VLOOKUP(L$1,main!$A$3:$I$56,8,FALSE),main!$K$11:$M$14,2,FALSE)+VLOOKUP(VLOOKUP(L$1,main!$A$3:$I$56,7,FALSE),main!$K$19:$O$22,MATCH(VLOOKUP($A23,main!$A$3:$I$56,8,FALSE),main!$K$18:$O$18,0))))),1,0)</f>
        <v>0</v>
      </c>
      <c r="M23">
        <f>IF((AND(VLOOKUP(M$1,main!$A$3:$I$56,5,FALSE)-VLOOKUP($A23,main!$A$3:$I$56,6,FALSE)&gt;=(VLOOKUP(VLOOKUP(M$1,main!$A$3:$I$56,8,FALSE),main!$K$11:$M$14,2,FALSE)+VLOOKUP(VLOOKUP(M$1,main!$A$3:$I$56,7,FALSE),main!$K$19:$O$22,MATCH(VLOOKUP($A23,main!$A$3:$I$56,8,FALSE),main!$K$18:$O$18,0))))),1,0)</f>
        <v>0</v>
      </c>
      <c r="N23">
        <f>IF((AND(VLOOKUP(N$1,main!$A$3:$I$56,5,FALSE)-VLOOKUP($A23,main!$A$3:$I$56,6,FALSE)&gt;=(VLOOKUP(VLOOKUP(N$1,main!$A$3:$I$56,8,FALSE),main!$K$11:$M$14,2,FALSE)+VLOOKUP(VLOOKUP(N$1,main!$A$3:$I$56,7,FALSE),main!$K$19:$O$22,MATCH(VLOOKUP($A23,main!$A$3:$I$56,8,FALSE),main!$K$18:$O$18,0))))),1,0)</f>
        <v>1</v>
      </c>
      <c r="O23">
        <f>IF((AND(VLOOKUP(O$1,main!$A$3:$I$56,5,FALSE)-VLOOKUP($A23,main!$A$3:$I$56,6,FALSE)&gt;=(VLOOKUP(VLOOKUP(O$1,main!$A$3:$I$56,8,FALSE),main!$K$11:$M$14,2,FALSE)+VLOOKUP(VLOOKUP(O$1,main!$A$3:$I$56,7,FALSE),main!$K$19:$O$22,MATCH(VLOOKUP($A23,main!$A$3:$I$56,8,FALSE),main!$K$18:$O$18,0))))),1,0)</f>
        <v>1</v>
      </c>
      <c r="P23">
        <f>IF((AND(VLOOKUP(P$1,main!$A$3:$I$56,5,FALSE)-VLOOKUP($A23,main!$A$3:$I$56,6,FALSE)&gt;=(VLOOKUP(VLOOKUP(P$1,main!$A$3:$I$56,8,FALSE),main!$K$11:$M$14,2,FALSE)+VLOOKUP(VLOOKUP(P$1,main!$A$3:$I$56,7,FALSE),main!$K$19:$O$22,MATCH(VLOOKUP($A23,main!$A$3:$I$56,8,FALSE),main!$K$18:$O$18,0))))),1,0)</f>
        <v>0</v>
      </c>
      <c r="Q23">
        <f>IF((AND(VLOOKUP(Q$1,main!$A$3:$I$56,5,FALSE)-VLOOKUP($A23,main!$A$3:$I$56,6,FALSE)&gt;=(VLOOKUP(VLOOKUP(Q$1,main!$A$3:$I$56,8,FALSE),main!$K$11:$M$14,2,FALSE)+VLOOKUP(VLOOKUP(Q$1,main!$A$3:$I$56,7,FALSE),main!$K$19:$O$22,MATCH(VLOOKUP($A23,main!$A$3:$I$56,8,FALSE),main!$K$18:$O$18,0))))),1,0)</f>
        <v>0</v>
      </c>
      <c r="R23">
        <f>IF((AND(VLOOKUP(R$1,main!$A$3:$I$56,5,FALSE)-VLOOKUP($A23,main!$A$3:$I$56,6,FALSE)&gt;=(VLOOKUP(VLOOKUP(R$1,main!$A$3:$I$56,8,FALSE),main!$K$11:$M$14,2,FALSE)+VLOOKUP(VLOOKUP(R$1,main!$A$3:$I$56,7,FALSE),main!$K$19:$O$22,MATCH(VLOOKUP($A23,main!$A$3:$I$56,8,FALSE),main!$K$18:$O$18,0))))),1,0)</f>
        <v>0</v>
      </c>
      <c r="S23">
        <f>IF((AND(VLOOKUP(S$1,main!$A$3:$I$56,5,FALSE)-VLOOKUP($A23,main!$A$3:$I$56,6,FALSE)&gt;=(VLOOKUP(VLOOKUP(S$1,main!$A$3:$I$56,8,FALSE),main!$K$11:$M$14,2,FALSE)+VLOOKUP(VLOOKUP(S$1,main!$A$3:$I$56,7,FALSE),main!$K$19:$O$22,MATCH(VLOOKUP($A23,main!$A$3:$I$56,8,FALSE),main!$K$18:$O$18,0))))),1,0)</f>
        <v>1</v>
      </c>
      <c r="T23">
        <f>IF((AND(VLOOKUP(T$1,main!$A$3:$I$56,5,FALSE)-VLOOKUP($A23,main!$A$3:$I$56,6,FALSE)&gt;=(VLOOKUP(VLOOKUP(T$1,main!$A$3:$I$56,8,FALSE),main!$K$11:$M$14,2,FALSE)+VLOOKUP(VLOOKUP(T$1,main!$A$3:$I$56,7,FALSE),main!$K$19:$O$22,MATCH(VLOOKUP($A23,main!$A$3:$I$56,8,FALSE),main!$K$18:$O$18,0))))),1,0)</f>
        <v>1</v>
      </c>
      <c r="U23">
        <f>IF((AND(VLOOKUP(U$1,main!$A$3:$I$56,5,FALSE)-VLOOKUP($A23,main!$A$3:$I$56,6,FALSE)&gt;=(VLOOKUP(VLOOKUP(U$1,main!$A$3:$I$56,8,FALSE),main!$K$11:$M$14,2,FALSE)+VLOOKUP(VLOOKUP(U$1,main!$A$3:$I$56,7,FALSE),main!$K$19:$O$22,MATCH(VLOOKUP($A23,main!$A$3:$I$56,8,FALSE),main!$K$18:$O$18,0))))),1,0)</f>
        <v>0</v>
      </c>
      <c r="V23">
        <f>IF((AND(VLOOKUP(V$1,main!$A$3:$I$56,5,FALSE)-VLOOKUP($A23,main!$A$3:$I$56,6,FALSE)&gt;=(VLOOKUP(VLOOKUP(V$1,main!$A$3:$I$56,8,FALSE),main!$K$11:$M$14,2,FALSE)+VLOOKUP(VLOOKUP(V$1,main!$A$3:$I$56,7,FALSE),main!$K$19:$O$22,MATCH(VLOOKUP($A23,main!$A$3:$I$56,8,FALSE),main!$K$18:$O$18,0))))),1,0)</f>
        <v>0</v>
      </c>
      <c r="W23">
        <f>IF((AND(VLOOKUP(W$1,main!$A$3:$I$56,5,FALSE)-VLOOKUP($A23,main!$A$3:$I$56,6,FALSE)&gt;=(VLOOKUP(VLOOKUP(W$1,main!$A$3:$I$56,8,FALSE),main!$K$11:$M$14,2,FALSE)+VLOOKUP(VLOOKUP(W$1,main!$A$3:$I$56,7,FALSE),main!$K$19:$O$22,MATCH(VLOOKUP($A23,main!$A$3:$I$56,8,FALSE),main!$K$18:$O$18,0))))),1,0)</f>
        <v>0</v>
      </c>
      <c r="X23">
        <f>IF((AND(VLOOKUP(X$1,main!$A$3:$I$56,5,FALSE)-VLOOKUP($A23,main!$A$3:$I$56,6,FALSE)&gt;=(VLOOKUP(VLOOKUP(X$1,main!$A$3:$I$56,8,FALSE),main!$K$11:$M$14,2,FALSE)+VLOOKUP(VLOOKUP(X$1,main!$A$3:$I$56,7,FALSE),main!$K$19:$O$22,MATCH(VLOOKUP($A23,main!$A$3:$I$56,8,FALSE),main!$K$18:$O$18,0))))),1,0)</f>
        <v>0</v>
      </c>
      <c r="Y23">
        <f>IF((AND(VLOOKUP(Y$1,main!$A$3:$I$56,5,FALSE)-VLOOKUP($A23,main!$A$3:$I$56,6,FALSE)&gt;=(VLOOKUP(VLOOKUP(Y$1,main!$A$3:$I$56,8,FALSE),main!$K$11:$M$14,2,FALSE)+VLOOKUP(VLOOKUP(Y$1,main!$A$3:$I$56,7,FALSE),main!$K$19:$O$22,MATCH(VLOOKUP($A23,main!$A$3:$I$56,8,FALSE),main!$K$18:$O$18,0))))),1,0)</f>
        <v>1</v>
      </c>
      <c r="Z23">
        <f>IF((AND(VLOOKUP(Z$1,main!$A$3:$I$56,5,FALSE)-VLOOKUP($A23,main!$A$3:$I$56,6,FALSE)&gt;=(VLOOKUP(VLOOKUP(Z$1,main!$A$3:$I$56,8,FALSE),main!$K$11:$M$14,2,FALSE)+VLOOKUP(VLOOKUP(Z$1,main!$A$3:$I$56,7,FALSE),main!$K$19:$O$22,MATCH(VLOOKUP($A23,main!$A$3:$I$56,8,FALSE),main!$K$18:$O$18,0))))),1,0)</f>
        <v>1</v>
      </c>
      <c r="AA23">
        <f>IF((AND(VLOOKUP(AA$1,main!$A$3:$I$56,5,FALSE)-VLOOKUP($A23,main!$A$3:$I$56,6,FALSE)&gt;=(VLOOKUP(VLOOKUP(AA$1,main!$A$3:$I$56,8,FALSE),main!$K$11:$M$14,2,FALSE)+VLOOKUP(VLOOKUP(AA$1,main!$A$3:$I$56,7,FALSE),main!$K$19:$O$22,MATCH(VLOOKUP($A23,main!$A$3:$I$56,8,FALSE),main!$K$18:$O$18,0))))),1,0)</f>
        <v>1</v>
      </c>
      <c r="AB23">
        <f>IF((AND(VLOOKUP(AB$1,main!$A$3:$I$56,5,FALSE)-VLOOKUP($A23,main!$A$3:$I$56,6,FALSE)&gt;=(VLOOKUP(VLOOKUP(AB$1,main!$A$3:$I$56,8,FALSE),main!$K$11:$M$14,2,FALSE)+VLOOKUP(VLOOKUP(AB$1,main!$A$3:$I$56,7,FALSE),main!$K$19:$O$22,MATCH(VLOOKUP($A23,main!$A$3:$I$56,8,FALSE),main!$K$18:$O$18,0))))),1,0)</f>
        <v>1</v>
      </c>
      <c r="AC23">
        <f>IF((AND(VLOOKUP(AC$1,main!$A$3:$I$56,5,FALSE)-VLOOKUP($A23,main!$A$3:$I$56,6,FALSE)&gt;=(VLOOKUP(VLOOKUP(AC$1,main!$A$3:$I$56,8,FALSE),main!$K$11:$M$14,2,FALSE)+VLOOKUP(VLOOKUP(AC$1,main!$A$3:$I$56,7,FALSE),main!$K$19:$O$22,MATCH(VLOOKUP($A23,main!$A$3:$I$56,8,FALSE),main!$K$18:$O$18,0))))),1,0)</f>
        <v>0</v>
      </c>
      <c r="AD23">
        <f>IF((AND(VLOOKUP(AD$1,main!$A$3:$I$56,5,FALSE)-VLOOKUP($A23,main!$A$3:$I$56,6,FALSE)&gt;=(VLOOKUP(VLOOKUP(AD$1,main!$A$3:$I$56,8,FALSE),main!$K$11:$M$14,2,FALSE)+VLOOKUP(VLOOKUP(AD$1,main!$A$3:$I$56,7,FALSE),main!$K$19:$O$22,MATCH(VLOOKUP($A23,main!$A$3:$I$56,8,FALSE),main!$K$18:$O$18,0))))),1,0)</f>
        <v>0</v>
      </c>
      <c r="AE23">
        <f>IF((AND(VLOOKUP(AE$1,main!$A$3:$I$56,5,FALSE)-VLOOKUP($A23,main!$A$3:$I$56,6,FALSE)&gt;=(VLOOKUP(VLOOKUP(AE$1,main!$A$3:$I$56,8,FALSE),main!$K$11:$M$14,2,FALSE)+VLOOKUP(VLOOKUP(AE$1,main!$A$3:$I$56,7,FALSE),main!$K$19:$O$22,MATCH(VLOOKUP($A23,main!$A$3:$I$56,8,FALSE),main!$K$18:$O$18,0))))),1,0)</f>
        <v>0</v>
      </c>
      <c r="AF23">
        <f>IF((AND(VLOOKUP(AF$1,main!$A$3:$I$56,5,FALSE)-VLOOKUP($A23,main!$A$3:$I$56,6,FALSE)&gt;=(VLOOKUP(VLOOKUP(AF$1,main!$A$3:$I$56,8,FALSE),main!$K$11:$M$14,2,FALSE)+VLOOKUP(VLOOKUP(AF$1,main!$A$3:$I$56,7,FALSE),main!$K$19:$O$22,MATCH(VLOOKUP($A23,main!$A$3:$I$56,8,FALSE),main!$K$18:$O$18,0))))),1,0)</f>
        <v>1</v>
      </c>
      <c r="AG23">
        <f>IF((AND(VLOOKUP(AG$1,main!$A$3:$I$56,5,FALSE)-VLOOKUP($A23,main!$A$3:$I$56,6,FALSE)&gt;=(VLOOKUP(VLOOKUP(AG$1,main!$A$3:$I$56,8,FALSE),main!$K$11:$M$14,2,FALSE)+VLOOKUP(VLOOKUP(AG$1,main!$A$3:$I$56,7,FALSE),main!$K$19:$O$22,MATCH(VLOOKUP($A23,main!$A$3:$I$56,8,FALSE),main!$K$18:$O$18,0))))),1,0)</f>
        <v>0</v>
      </c>
      <c r="AH23">
        <f>IF((AND(VLOOKUP(AH$1,main!$A$3:$I$56,5,FALSE)-VLOOKUP($A23,main!$A$3:$I$56,6,FALSE)&gt;=(VLOOKUP(VLOOKUP(AH$1,main!$A$3:$I$56,8,FALSE),main!$K$11:$M$14,2,FALSE)+VLOOKUP(VLOOKUP(AH$1,main!$A$3:$I$56,7,FALSE),main!$K$19:$O$22,MATCH(VLOOKUP($A23,main!$A$3:$I$56,8,FALSE),main!$K$18:$O$18,0))))),1,0)</f>
        <v>0</v>
      </c>
      <c r="AI23">
        <f>IF((AND(VLOOKUP(AI$1,main!$A$3:$I$56,5,FALSE)-VLOOKUP($A23,main!$A$3:$I$56,6,FALSE)&gt;=(VLOOKUP(VLOOKUP(AI$1,main!$A$3:$I$56,8,FALSE),main!$K$11:$M$14,2,FALSE)+VLOOKUP(VLOOKUP(AI$1,main!$A$3:$I$56,7,FALSE),main!$K$19:$O$22,MATCH(VLOOKUP($A23,main!$A$3:$I$56,8,FALSE),main!$K$18:$O$18,0))))),1,0)</f>
        <v>0</v>
      </c>
      <c r="AJ23">
        <f>IF((AND(VLOOKUP(AJ$1,main!$A$3:$I$56,5,FALSE)-VLOOKUP($A23,main!$A$3:$I$56,6,FALSE)&gt;=(VLOOKUP(VLOOKUP(AJ$1,main!$A$3:$I$56,8,FALSE),main!$K$11:$M$14,2,FALSE)+VLOOKUP(VLOOKUP(AJ$1,main!$A$3:$I$56,7,FALSE),main!$K$19:$O$22,MATCH(VLOOKUP($A23,main!$A$3:$I$56,8,FALSE),main!$K$18:$O$18,0))))),1,0)</f>
        <v>1</v>
      </c>
      <c r="AK23">
        <f>IF((AND(VLOOKUP(AK$1,main!$A$3:$I$56,5,FALSE)-VLOOKUP($A23,main!$A$3:$I$56,6,FALSE)&gt;=(VLOOKUP(VLOOKUP(AK$1,main!$A$3:$I$56,8,FALSE),main!$K$11:$M$14,2,FALSE)+VLOOKUP(VLOOKUP(AK$1,main!$A$3:$I$56,7,FALSE),main!$K$19:$O$22,MATCH(VLOOKUP($A23,main!$A$3:$I$56,8,FALSE),main!$K$18:$O$18,0))))),1,0)</f>
        <v>1</v>
      </c>
      <c r="AL23">
        <f>IF((AND(VLOOKUP(AL$1,main!$A$3:$I$56,5,FALSE)-VLOOKUP($A23,main!$A$3:$I$56,6,FALSE)&gt;=(VLOOKUP(VLOOKUP(AL$1,main!$A$3:$I$56,8,FALSE),main!$K$11:$M$14,2,FALSE)+VLOOKUP(VLOOKUP(AL$1,main!$A$3:$I$56,7,FALSE),main!$K$19:$O$22,MATCH(VLOOKUP($A23,main!$A$3:$I$56,8,FALSE),main!$K$18:$O$18,0))))),1,0)</f>
        <v>0</v>
      </c>
      <c r="AM23">
        <f>IF((AND(VLOOKUP(AM$1,main!$A$3:$I$56,5,FALSE)-VLOOKUP($A23,main!$A$3:$I$56,6,FALSE)&gt;=(VLOOKUP(VLOOKUP(AM$1,main!$A$3:$I$56,8,FALSE),main!$K$11:$M$14,2,FALSE)+VLOOKUP(VLOOKUP(AM$1,main!$A$3:$I$56,7,FALSE),main!$K$19:$O$22,MATCH(VLOOKUP($A23,main!$A$3:$I$56,8,FALSE),main!$K$18:$O$18,0))))),1,0)</f>
        <v>0</v>
      </c>
      <c r="AN23">
        <f>IF((AND(VLOOKUP(AN$1,main!$A$3:$I$56,5,FALSE)-VLOOKUP($A23,main!$A$3:$I$56,6,FALSE)&gt;=(VLOOKUP(VLOOKUP(AN$1,main!$A$3:$I$56,8,FALSE),main!$K$11:$M$14,2,FALSE)+VLOOKUP(VLOOKUP(AN$1,main!$A$3:$I$56,7,FALSE),main!$K$19:$O$22,MATCH(VLOOKUP($A23,main!$A$3:$I$56,8,FALSE),main!$K$18:$O$18,0))))),1,0)</f>
        <v>1</v>
      </c>
      <c r="AO23">
        <f>IF((AND(VLOOKUP(AO$1,main!$A$3:$I$56,5,FALSE)-VLOOKUP($A23,main!$A$3:$I$56,6,FALSE)&gt;=(VLOOKUP(VLOOKUP(AO$1,main!$A$3:$I$56,8,FALSE),main!$K$11:$M$14,2,FALSE)+VLOOKUP(VLOOKUP(AO$1,main!$A$3:$I$56,7,FALSE),main!$K$19:$O$22,MATCH(VLOOKUP($A23,main!$A$3:$I$56,8,FALSE),main!$K$18:$O$18,0))))),1,0)</f>
        <v>1</v>
      </c>
      <c r="AP23">
        <f>IF((AND(VLOOKUP(AP$1,main!$A$3:$I$56,5,FALSE)-VLOOKUP($A23,main!$A$3:$I$56,6,FALSE)&gt;=(VLOOKUP(VLOOKUP(AP$1,main!$A$3:$I$56,8,FALSE),main!$K$11:$M$14,2,FALSE)+VLOOKUP(VLOOKUP(AP$1,main!$A$3:$I$56,7,FALSE),main!$K$19:$O$22,MATCH(VLOOKUP($A23,main!$A$3:$I$56,8,FALSE),main!$K$18:$O$18,0))))),1,0)</f>
        <v>0</v>
      </c>
      <c r="AQ23">
        <f>IF((AND(VLOOKUP(AQ$1,main!$A$3:$I$56,5,FALSE)-VLOOKUP($A23,main!$A$3:$I$56,6,FALSE)&gt;=(VLOOKUP(VLOOKUP(AQ$1,main!$A$3:$I$56,8,FALSE),main!$K$11:$M$14,2,FALSE)+VLOOKUP(VLOOKUP(AQ$1,main!$A$3:$I$56,7,FALSE),main!$K$19:$O$22,MATCH(VLOOKUP($A23,main!$A$3:$I$56,8,FALSE),main!$K$18:$O$18,0))))),1,0)</f>
        <v>0</v>
      </c>
      <c r="AR23">
        <f>IF((AND(VLOOKUP(AR$1,main!$A$3:$I$56,5,FALSE)-VLOOKUP($A23,main!$A$3:$I$56,6,FALSE)&gt;=(VLOOKUP(VLOOKUP(AR$1,main!$A$3:$I$56,8,FALSE),main!$K$11:$M$14,2,FALSE)+VLOOKUP(VLOOKUP(AR$1,main!$A$3:$I$56,7,FALSE),main!$K$19:$O$22,MATCH(VLOOKUP($A23,main!$A$3:$I$56,8,FALSE),main!$K$18:$O$18,0))))),1,0)</f>
        <v>0</v>
      </c>
      <c r="AS23">
        <f>IF((AND(VLOOKUP(AS$1,main!$A$3:$I$56,5,FALSE)-VLOOKUP($A23,main!$A$3:$I$56,6,FALSE)&gt;=(VLOOKUP(VLOOKUP(AS$1,main!$A$3:$I$56,8,FALSE),main!$K$11:$M$14,2,FALSE)+VLOOKUP(VLOOKUP(AS$1,main!$A$3:$I$56,7,FALSE),main!$K$19:$O$22,MATCH(VLOOKUP($A23,main!$A$3:$I$56,8,FALSE),main!$K$18:$O$18,0))))),1,0)</f>
        <v>0</v>
      </c>
      <c r="AT23">
        <f>IF((AND(VLOOKUP(AT$1,main!$A$3:$I$56,5,FALSE)-VLOOKUP($A23,main!$A$3:$I$56,6,FALSE)&gt;=(VLOOKUP(VLOOKUP(AT$1,main!$A$3:$I$56,8,FALSE),main!$K$11:$M$14,2,FALSE)+VLOOKUP(VLOOKUP(AT$1,main!$A$3:$I$56,7,FALSE),main!$K$19:$O$22,MATCH(VLOOKUP($A23,main!$A$3:$I$56,8,FALSE),main!$K$18:$O$18,0))))),1,0)</f>
        <v>0</v>
      </c>
      <c r="AU23">
        <f>IF((AND(VLOOKUP(AU$1,main!$A$3:$I$56,5,FALSE)-VLOOKUP($A23,main!$A$3:$I$56,6,FALSE)&gt;=(VLOOKUP(VLOOKUP(AU$1,main!$A$3:$I$56,8,FALSE),main!$K$11:$M$14,2,FALSE)+VLOOKUP(VLOOKUP(AU$1,main!$A$3:$I$56,7,FALSE),main!$K$19:$O$22,MATCH(VLOOKUP($A23,main!$A$3:$I$56,8,FALSE),main!$K$18:$O$18,0))))),1,0)</f>
        <v>0</v>
      </c>
      <c r="AV23">
        <f>IF((AND(VLOOKUP(AV$1,main!$A$3:$I$56,5,FALSE)-VLOOKUP($A23,main!$A$3:$I$56,6,FALSE)&gt;=(VLOOKUP(VLOOKUP(AV$1,main!$A$3:$I$56,8,FALSE),main!$K$11:$M$14,2,FALSE)+VLOOKUP(VLOOKUP(AV$1,main!$A$3:$I$56,7,FALSE),main!$K$19:$O$22,MATCH(VLOOKUP($A23,main!$A$3:$I$56,8,FALSE),main!$K$18:$O$18,0))))),1,0)</f>
        <v>0</v>
      </c>
      <c r="AW23">
        <f>IF((AND(VLOOKUP(AW$1,main!$A$3:$I$56,5,FALSE)-VLOOKUP($A23,main!$A$3:$I$56,6,FALSE)&gt;=(VLOOKUP(VLOOKUP(AW$1,main!$A$3:$I$56,8,FALSE),main!$K$11:$M$14,2,FALSE)+VLOOKUP(VLOOKUP(AW$1,main!$A$3:$I$56,7,FALSE),main!$K$19:$O$22,MATCH(VLOOKUP($A23,main!$A$3:$I$56,8,FALSE),main!$K$18:$O$18,0))))),1,0)</f>
        <v>0</v>
      </c>
      <c r="AX23">
        <f>IF((AND(VLOOKUP(AX$1,main!$A$3:$I$56,5,FALSE)-VLOOKUP($A23,main!$A$3:$I$56,6,FALSE)&gt;=(VLOOKUP(VLOOKUP(AX$1,main!$A$3:$I$56,8,FALSE),main!$K$11:$M$14,2,FALSE)+VLOOKUP(VLOOKUP(AX$1,main!$A$3:$I$56,7,FALSE),main!$K$19:$O$22,MATCH(VLOOKUP($A23,main!$A$3:$I$56,8,FALSE),main!$K$18:$O$18,0))))),1,0)</f>
        <v>1</v>
      </c>
      <c r="AY23">
        <f>IF((AND(VLOOKUP(AY$1,main!$A$3:$I$56,5,FALSE)-VLOOKUP($A23,main!$A$3:$I$56,6,FALSE)&gt;=(VLOOKUP(VLOOKUP(AY$1,main!$A$3:$I$56,8,FALSE),main!$K$11:$M$14,2,FALSE)+VLOOKUP(VLOOKUP(AY$1,main!$A$3:$I$56,7,FALSE),main!$K$19:$O$22,MATCH(VLOOKUP($A23,main!$A$3:$I$56,8,FALSE),main!$K$18:$O$18,0))))),1,0)</f>
        <v>1</v>
      </c>
      <c r="AZ23">
        <f>IF((AND(VLOOKUP(AZ$1,main!$A$3:$I$56,5,FALSE)-VLOOKUP($A23,main!$A$3:$I$56,6,FALSE)&gt;=(VLOOKUP(VLOOKUP(AZ$1,main!$A$3:$I$56,8,FALSE),main!$K$11:$M$14,2,FALSE)+VLOOKUP(VLOOKUP(AZ$1,main!$A$3:$I$56,7,FALSE),main!$K$19:$O$22,MATCH(VLOOKUP($A23,main!$A$3:$I$56,8,FALSE),main!$K$18:$O$18,0))))),1,0)</f>
        <v>0</v>
      </c>
      <c r="BA23">
        <f>IF((AND(VLOOKUP(BA$1,main!$A$3:$I$56,5,FALSE)-VLOOKUP($A23,main!$A$3:$I$56,6,FALSE)&gt;=(VLOOKUP(VLOOKUP(BA$1,main!$A$3:$I$56,8,FALSE),main!$K$11:$M$14,2,FALSE)+VLOOKUP(VLOOKUP(BA$1,main!$A$3:$I$56,7,FALSE),main!$K$19:$O$22,MATCH(VLOOKUP($A23,main!$A$3:$I$56,8,FALSE),main!$K$18:$O$18,0))))),1,0)</f>
        <v>0</v>
      </c>
      <c r="BB23">
        <f>IF((AND(VLOOKUP(BB$1,main!$A$3:$I$56,5,FALSE)-VLOOKUP($A23,main!$A$3:$I$56,6,FALSE)&gt;=(VLOOKUP(VLOOKUP(BB$1,main!$A$3:$I$56,8,FALSE),main!$K$11:$M$14,2,FALSE)+VLOOKUP(VLOOKUP(BB$1,main!$A$3:$I$56,7,FALSE),main!$K$19:$O$22,MATCH(VLOOKUP($A23,main!$A$3:$I$56,8,FALSE),main!$K$18:$O$18,0))))),1,0)</f>
        <v>0</v>
      </c>
      <c r="BC23">
        <f>IF((AND(VLOOKUP(BC$1,main!$A$3:$I$56,5,FALSE)-VLOOKUP($A23,main!$A$3:$I$56,6,FALSE)&gt;=(VLOOKUP(VLOOKUP(BC$1,main!$A$3:$I$56,8,FALSE),main!$K$11:$M$14,2,FALSE)+VLOOKUP(VLOOKUP(BC$1,main!$A$3:$I$56,7,FALSE),main!$K$19:$O$22,MATCH(VLOOKUP($A23,main!$A$3:$I$56,8,FALSE),main!$K$18:$O$18,0))))),1,0)</f>
        <v>1</v>
      </c>
      <c r="BD23">
        <f>IF((AND(VLOOKUP(BD$1,main!$A$3:$I$56,5,FALSE)-VLOOKUP($A23,main!$A$3:$I$56,6,FALSE)&gt;=(VLOOKUP(VLOOKUP(BD$1,main!$A$3:$I$56,8,FALSE),main!$K$11:$M$14,2,FALSE)+VLOOKUP(VLOOKUP(BD$1,main!$A$3:$I$56,7,FALSE),main!$K$19:$O$22,MATCH(VLOOKUP($A23,main!$A$3:$I$56,8,FALSE),main!$K$18:$O$18,0))))),1,0)</f>
        <v>1</v>
      </c>
    </row>
    <row r="24" spans="1:56" x14ac:dyDescent="0.25">
      <c r="A24">
        <f t="shared" si="0"/>
        <v>22</v>
      </c>
      <c r="B24">
        <v>1</v>
      </c>
      <c r="C24">
        <f>IF((AND(VLOOKUP(C$1,main!$A$3:$I$56,5,FALSE)-VLOOKUP($A24,main!$A$3:$I$56,6,FALSE)&gt;=(VLOOKUP(VLOOKUP(C$1,main!$A$3:$I$56,8,FALSE),main!$K$11:$M$14,2,FALSE)+VLOOKUP(VLOOKUP(C$1,main!$A$3:$I$56,7,FALSE),main!$K$19:$O$22,MATCH(VLOOKUP($A24,main!$A$3:$I$56,8,FALSE),main!$K$18:$O$18,0))))),1,0)</f>
        <v>0</v>
      </c>
      <c r="D24">
        <f>IF((AND(VLOOKUP(D$1,main!$A$3:$I$56,5,FALSE)-VLOOKUP($A24,main!$A$3:$I$56,6,FALSE)&gt;=(VLOOKUP(VLOOKUP(D$1,main!$A$3:$I$56,8,FALSE),main!$K$11:$M$14,2,FALSE)+VLOOKUP(VLOOKUP(D$1,main!$A$3:$I$56,7,FALSE),main!$K$19:$O$22,MATCH(VLOOKUP($A24,main!$A$3:$I$56,8,FALSE),main!$K$18:$O$18,0))))),1,0)</f>
        <v>0</v>
      </c>
      <c r="E24">
        <f>IF((AND(VLOOKUP(E$1,main!$A$3:$I$56,5,FALSE)-VLOOKUP($A24,main!$A$3:$I$56,6,FALSE)&gt;=(VLOOKUP(VLOOKUP(E$1,main!$A$3:$I$56,8,FALSE),main!$K$11:$M$14,2,FALSE)+VLOOKUP(VLOOKUP(E$1,main!$A$3:$I$56,7,FALSE),main!$K$19:$O$22,MATCH(VLOOKUP($A24,main!$A$3:$I$56,8,FALSE),main!$K$18:$O$18,0))))),1,0)</f>
        <v>0</v>
      </c>
      <c r="F24">
        <f>IF((AND(VLOOKUP(F$1,main!$A$3:$I$56,5,FALSE)-VLOOKUP($A24,main!$A$3:$I$56,6,FALSE)&gt;=(VLOOKUP(VLOOKUP(F$1,main!$A$3:$I$56,8,FALSE),main!$K$11:$M$14,2,FALSE)+VLOOKUP(VLOOKUP(F$1,main!$A$3:$I$56,7,FALSE),main!$K$19:$O$22,MATCH(VLOOKUP($A24,main!$A$3:$I$56,8,FALSE),main!$K$18:$O$18,0))))),1,0)</f>
        <v>0</v>
      </c>
      <c r="G24">
        <f>IF((AND(VLOOKUP(G$1,main!$A$3:$I$56,5,FALSE)-VLOOKUP($A24,main!$A$3:$I$56,6,FALSE)&gt;=(VLOOKUP(VLOOKUP(G$1,main!$A$3:$I$56,8,FALSE),main!$K$11:$M$14,2,FALSE)+VLOOKUP(VLOOKUP(G$1,main!$A$3:$I$56,7,FALSE),main!$K$19:$O$22,MATCH(VLOOKUP($A24,main!$A$3:$I$56,8,FALSE),main!$K$18:$O$18,0))))),1,0)</f>
        <v>1</v>
      </c>
      <c r="H24">
        <f>IF((AND(VLOOKUP(H$1,main!$A$3:$I$56,5,FALSE)-VLOOKUP($A24,main!$A$3:$I$56,6,FALSE)&gt;=(VLOOKUP(VLOOKUP(H$1,main!$A$3:$I$56,8,FALSE),main!$K$11:$M$14,2,FALSE)+VLOOKUP(VLOOKUP(H$1,main!$A$3:$I$56,7,FALSE),main!$K$19:$O$22,MATCH(VLOOKUP($A24,main!$A$3:$I$56,8,FALSE),main!$K$18:$O$18,0))))),1,0)</f>
        <v>1</v>
      </c>
      <c r="I24">
        <f>IF((AND(VLOOKUP(I$1,main!$A$3:$I$56,5,FALSE)-VLOOKUP($A24,main!$A$3:$I$56,6,FALSE)&gt;=(VLOOKUP(VLOOKUP(I$1,main!$A$3:$I$56,8,FALSE),main!$K$11:$M$14,2,FALSE)+VLOOKUP(VLOOKUP(I$1,main!$A$3:$I$56,7,FALSE),main!$K$19:$O$22,MATCH(VLOOKUP($A24,main!$A$3:$I$56,8,FALSE),main!$K$18:$O$18,0))))),1,0)</f>
        <v>1</v>
      </c>
      <c r="J24">
        <f>IF((AND(VLOOKUP(J$1,main!$A$3:$I$56,5,FALSE)-VLOOKUP($A24,main!$A$3:$I$56,6,FALSE)&gt;=(VLOOKUP(VLOOKUP(J$1,main!$A$3:$I$56,8,FALSE),main!$K$11:$M$14,2,FALSE)+VLOOKUP(VLOOKUP(J$1,main!$A$3:$I$56,7,FALSE),main!$K$19:$O$22,MATCH(VLOOKUP($A24,main!$A$3:$I$56,8,FALSE),main!$K$18:$O$18,0))))),1,0)</f>
        <v>1</v>
      </c>
      <c r="K24">
        <f>IF((AND(VLOOKUP(K$1,main!$A$3:$I$56,5,FALSE)-VLOOKUP($A24,main!$A$3:$I$56,6,FALSE)&gt;=(VLOOKUP(VLOOKUP(K$1,main!$A$3:$I$56,8,FALSE),main!$K$11:$M$14,2,FALSE)+VLOOKUP(VLOOKUP(K$1,main!$A$3:$I$56,7,FALSE),main!$K$19:$O$22,MATCH(VLOOKUP($A24,main!$A$3:$I$56,8,FALSE),main!$K$18:$O$18,0))))),1,0)</f>
        <v>0</v>
      </c>
      <c r="L24">
        <f>IF((AND(VLOOKUP(L$1,main!$A$3:$I$56,5,FALSE)-VLOOKUP($A24,main!$A$3:$I$56,6,FALSE)&gt;=(VLOOKUP(VLOOKUP(L$1,main!$A$3:$I$56,8,FALSE),main!$K$11:$M$14,2,FALSE)+VLOOKUP(VLOOKUP(L$1,main!$A$3:$I$56,7,FALSE),main!$K$19:$O$22,MATCH(VLOOKUP($A24,main!$A$3:$I$56,8,FALSE),main!$K$18:$O$18,0))))),1,0)</f>
        <v>0</v>
      </c>
      <c r="M24">
        <f>IF((AND(VLOOKUP(M$1,main!$A$3:$I$56,5,FALSE)-VLOOKUP($A24,main!$A$3:$I$56,6,FALSE)&gt;=(VLOOKUP(VLOOKUP(M$1,main!$A$3:$I$56,8,FALSE),main!$K$11:$M$14,2,FALSE)+VLOOKUP(VLOOKUP(M$1,main!$A$3:$I$56,7,FALSE),main!$K$19:$O$22,MATCH(VLOOKUP($A24,main!$A$3:$I$56,8,FALSE),main!$K$18:$O$18,0))))),1,0)</f>
        <v>0</v>
      </c>
      <c r="N24">
        <f>IF((AND(VLOOKUP(N$1,main!$A$3:$I$56,5,FALSE)-VLOOKUP($A24,main!$A$3:$I$56,6,FALSE)&gt;=(VLOOKUP(VLOOKUP(N$1,main!$A$3:$I$56,8,FALSE),main!$K$11:$M$14,2,FALSE)+VLOOKUP(VLOOKUP(N$1,main!$A$3:$I$56,7,FALSE),main!$K$19:$O$22,MATCH(VLOOKUP($A24,main!$A$3:$I$56,8,FALSE),main!$K$18:$O$18,0))))),1,0)</f>
        <v>1</v>
      </c>
      <c r="O24">
        <f>IF((AND(VLOOKUP(O$1,main!$A$3:$I$56,5,FALSE)-VLOOKUP($A24,main!$A$3:$I$56,6,FALSE)&gt;=(VLOOKUP(VLOOKUP(O$1,main!$A$3:$I$56,8,FALSE),main!$K$11:$M$14,2,FALSE)+VLOOKUP(VLOOKUP(O$1,main!$A$3:$I$56,7,FALSE),main!$K$19:$O$22,MATCH(VLOOKUP($A24,main!$A$3:$I$56,8,FALSE),main!$K$18:$O$18,0))))),1,0)</f>
        <v>1</v>
      </c>
      <c r="P24">
        <f>IF((AND(VLOOKUP(P$1,main!$A$3:$I$56,5,FALSE)-VLOOKUP($A24,main!$A$3:$I$56,6,FALSE)&gt;=(VLOOKUP(VLOOKUP(P$1,main!$A$3:$I$56,8,FALSE),main!$K$11:$M$14,2,FALSE)+VLOOKUP(VLOOKUP(P$1,main!$A$3:$I$56,7,FALSE),main!$K$19:$O$22,MATCH(VLOOKUP($A24,main!$A$3:$I$56,8,FALSE),main!$K$18:$O$18,0))))),1,0)</f>
        <v>0</v>
      </c>
      <c r="Q24">
        <f>IF((AND(VLOOKUP(Q$1,main!$A$3:$I$56,5,FALSE)-VLOOKUP($A24,main!$A$3:$I$56,6,FALSE)&gt;=(VLOOKUP(VLOOKUP(Q$1,main!$A$3:$I$56,8,FALSE),main!$K$11:$M$14,2,FALSE)+VLOOKUP(VLOOKUP(Q$1,main!$A$3:$I$56,7,FALSE),main!$K$19:$O$22,MATCH(VLOOKUP($A24,main!$A$3:$I$56,8,FALSE),main!$K$18:$O$18,0))))),1,0)</f>
        <v>0</v>
      </c>
      <c r="R24">
        <f>IF((AND(VLOOKUP(R$1,main!$A$3:$I$56,5,FALSE)-VLOOKUP($A24,main!$A$3:$I$56,6,FALSE)&gt;=(VLOOKUP(VLOOKUP(R$1,main!$A$3:$I$56,8,FALSE),main!$K$11:$M$14,2,FALSE)+VLOOKUP(VLOOKUP(R$1,main!$A$3:$I$56,7,FALSE),main!$K$19:$O$22,MATCH(VLOOKUP($A24,main!$A$3:$I$56,8,FALSE),main!$K$18:$O$18,0))))),1,0)</f>
        <v>0</v>
      </c>
      <c r="S24">
        <f>IF((AND(VLOOKUP(S$1,main!$A$3:$I$56,5,FALSE)-VLOOKUP($A24,main!$A$3:$I$56,6,FALSE)&gt;=(VLOOKUP(VLOOKUP(S$1,main!$A$3:$I$56,8,FALSE),main!$K$11:$M$14,2,FALSE)+VLOOKUP(VLOOKUP(S$1,main!$A$3:$I$56,7,FALSE),main!$K$19:$O$22,MATCH(VLOOKUP($A24,main!$A$3:$I$56,8,FALSE),main!$K$18:$O$18,0))))),1,0)</f>
        <v>1</v>
      </c>
      <c r="T24">
        <f>IF((AND(VLOOKUP(T$1,main!$A$3:$I$56,5,FALSE)-VLOOKUP($A24,main!$A$3:$I$56,6,FALSE)&gt;=(VLOOKUP(VLOOKUP(T$1,main!$A$3:$I$56,8,FALSE),main!$K$11:$M$14,2,FALSE)+VLOOKUP(VLOOKUP(T$1,main!$A$3:$I$56,7,FALSE),main!$K$19:$O$22,MATCH(VLOOKUP($A24,main!$A$3:$I$56,8,FALSE),main!$K$18:$O$18,0))))),1,0)</f>
        <v>1</v>
      </c>
      <c r="U24">
        <f>IF((AND(VLOOKUP(U$1,main!$A$3:$I$56,5,FALSE)-VLOOKUP($A24,main!$A$3:$I$56,6,FALSE)&gt;=(VLOOKUP(VLOOKUP(U$1,main!$A$3:$I$56,8,FALSE),main!$K$11:$M$14,2,FALSE)+VLOOKUP(VLOOKUP(U$1,main!$A$3:$I$56,7,FALSE),main!$K$19:$O$22,MATCH(VLOOKUP($A24,main!$A$3:$I$56,8,FALSE),main!$K$18:$O$18,0))))),1,0)</f>
        <v>0</v>
      </c>
      <c r="V24">
        <f>IF((AND(VLOOKUP(V$1,main!$A$3:$I$56,5,FALSE)-VLOOKUP($A24,main!$A$3:$I$56,6,FALSE)&gt;=(VLOOKUP(VLOOKUP(V$1,main!$A$3:$I$56,8,FALSE),main!$K$11:$M$14,2,FALSE)+VLOOKUP(VLOOKUP(V$1,main!$A$3:$I$56,7,FALSE),main!$K$19:$O$22,MATCH(VLOOKUP($A24,main!$A$3:$I$56,8,FALSE),main!$K$18:$O$18,0))))),1,0)</f>
        <v>0</v>
      </c>
      <c r="W24">
        <f>IF((AND(VLOOKUP(W$1,main!$A$3:$I$56,5,FALSE)-VLOOKUP($A24,main!$A$3:$I$56,6,FALSE)&gt;=(VLOOKUP(VLOOKUP(W$1,main!$A$3:$I$56,8,FALSE),main!$K$11:$M$14,2,FALSE)+VLOOKUP(VLOOKUP(W$1,main!$A$3:$I$56,7,FALSE),main!$K$19:$O$22,MATCH(VLOOKUP($A24,main!$A$3:$I$56,8,FALSE),main!$K$18:$O$18,0))))),1,0)</f>
        <v>0</v>
      </c>
      <c r="X24">
        <f>IF((AND(VLOOKUP(X$1,main!$A$3:$I$56,5,FALSE)-VLOOKUP($A24,main!$A$3:$I$56,6,FALSE)&gt;=(VLOOKUP(VLOOKUP(X$1,main!$A$3:$I$56,8,FALSE),main!$K$11:$M$14,2,FALSE)+VLOOKUP(VLOOKUP(X$1,main!$A$3:$I$56,7,FALSE),main!$K$19:$O$22,MATCH(VLOOKUP($A24,main!$A$3:$I$56,8,FALSE),main!$K$18:$O$18,0))))),1,0)</f>
        <v>0</v>
      </c>
      <c r="Y24">
        <f>IF((AND(VLOOKUP(Y$1,main!$A$3:$I$56,5,FALSE)-VLOOKUP($A24,main!$A$3:$I$56,6,FALSE)&gt;=(VLOOKUP(VLOOKUP(Y$1,main!$A$3:$I$56,8,FALSE),main!$K$11:$M$14,2,FALSE)+VLOOKUP(VLOOKUP(Y$1,main!$A$3:$I$56,7,FALSE),main!$K$19:$O$22,MATCH(VLOOKUP($A24,main!$A$3:$I$56,8,FALSE),main!$K$18:$O$18,0))))),1,0)</f>
        <v>0</v>
      </c>
      <c r="Z24">
        <f>IF((AND(VLOOKUP(Z$1,main!$A$3:$I$56,5,FALSE)-VLOOKUP($A24,main!$A$3:$I$56,6,FALSE)&gt;=(VLOOKUP(VLOOKUP(Z$1,main!$A$3:$I$56,8,FALSE),main!$K$11:$M$14,2,FALSE)+VLOOKUP(VLOOKUP(Z$1,main!$A$3:$I$56,7,FALSE),main!$K$19:$O$22,MATCH(VLOOKUP($A24,main!$A$3:$I$56,8,FALSE),main!$K$18:$O$18,0))))),1,0)</f>
        <v>1</v>
      </c>
      <c r="AA24">
        <f>IF((AND(VLOOKUP(AA$1,main!$A$3:$I$56,5,FALSE)-VLOOKUP($A24,main!$A$3:$I$56,6,FALSE)&gt;=(VLOOKUP(VLOOKUP(AA$1,main!$A$3:$I$56,8,FALSE),main!$K$11:$M$14,2,FALSE)+VLOOKUP(VLOOKUP(AA$1,main!$A$3:$I$56,7,FALSE),main!$K$19:$O$22,MATCH(VLOOKUP($A24,main!$A$3:$I$56,8,FALSE),main!$K$18:$O$18,0))))),1,0)</f>
        <v>1</v>
      </c>
      <c r="AB24">
        <f>IF((AND(VLOOKUP(AB$1,main!$A$3:$I$56,5,FALSE)-VLOOKUP($A24,main!$A$3:$I$56,6,FALSE)&gt;=(VLOOKUP(VLOOKUP(AB$1,main!$A$3:$I$56,8,FALSE),main!$K$11:$M$14,2,FALSE)+VLOOKUP(VLOOKUP(AB$1,main!$A$3:$I$56,7,FALSE),main!$K$19:$O$22,MATCH(VLOOKUP($A24,main!$A$3:$I$56,8,FALSE),main!$K$18:$O$18,0))))),1,0)</f>
        <v>1</v>
      </c>
      <c r="AC24">
        <f>IF((AND(VLOOKUP(AC$1,main!$A$3:$I$56,5,FALSE)-VLOOKUP($A24,main!$A$3:$I$56,6,FALSE)&gt;=(VLOOKUP(VLOOKUP(AC$1,main!$A$3:$I$56,8,FALSE),main!$K$11:$M$14,2,FALSE)+VLOOKUP(VLOOKUP(AC$1,main!$A$3:$I$56,7,FALSE),main!$K$19:$O$22,MATCH(VLOOKUP($A24,main!$A$3:$I$56,8,FALSE),main!$K$18:$O$18,0))))),1,0)</f>
        <v>0</v>
      </c>
      <c r="AD24">
        <f>IF((AND(VLOOKUP(AD$1,main!$A$3:$I$56,5,FALSE)-VLOOKUP($A24,main!$A$3:$I$56,6,FALSE)&gt;=(VLOOKUP(VLOOKUP(AD$1,main!$A$3:$I$56,8,FALSE),main!$K$11:$M$14,2,FALSE)+VLOOKUP(VLOOKUP(AD$1,main!$A$3:$I$56,7,FALSE),main!$K$19:$O$22,MATCH(VLOOKUP($A24,main!$A$3:$I$56,8,FALSE),main!$K$18:$O$18,0))))),1,0)</f>
        <v>0</v>
      </c>
      <c r="AE24">
        <f>IF((AND(VLOOKUP(AE$1,main!$A$3:$I$56,5,FALSE)-VLOOKUP($A24,main!$A$3:$I$56,6,FALSE)&gt;=(VLOOKUP(VLOOKUP(AE$1,main!$A$3:$I$56,8,FALSE),main!$K$11:$M$14,2,FALSE)+VLOOKUP(VLOOKUP(AE$1,main!$A$3:$I$56,7,FALSE),main!$K$19:$O$22,MATCH(VLOOKUP($A24,main!$A$3:$I$56,8,FALSE),main!$K$18:$O$18,0))))),1,0)</f>
        <v>0</v>
      </c>
      <c r="AF24">
        <f>IF((AND(VLOOKUP(AF$1,main!$A$3:$I$56,5,FALSE)-VLOOKUP($A24,main!$A$3:$I$56,6,FALSE)&gt;=(VLOOKUP(VLOOKUP(AF$1,main!$A$3:$I$56,8,FALSE),main!$K$11:$M$14,2,FALSE)+VLOOKUP(VLOOKUP(AF$1,main!$A$3:$I$56,7,FALSE),main!$K$19:$O$22,MATCH(VLOOKUP($A24,main!$A$3:$I$56,8,FALSE),main!$K$18:$O$18,0))))),1,0)</f>
        <v>0</v>
      </c>
      <c r="AG24">
        <f>IF((AND(VLOOKUP(AG$1,main!$A$3:$I$56,5,FALSE)-VLOOKUP($A24,main!$A$3:$I$56,6,FALSE)&gt;=(VLOOKUP(VLOOKUP(AG$1,main!$A$3:$I$56,8,FALSE),main!$K$11:$M$14,2,FALSE)+VLOOKUP(VLOOKUP(AG$1,main!$A$3:$I$56,7,FALSE),main!$K$19:$O$22,MATCH(VLOOKUP($A24,main!$A$3:$I$56,8,FALSE),main!$K$18:$O$18,0))))),1,0)</f>
        <v>0</v>
      </c>
      <c r="AH24">
        <f>IF((AND(VLOOKUP(AH$1,main!$A$3:$I$56,5,FALSE)-VLOOKUP($A24,main!$A$3:$I$56,6,FALSE)&gt;=(VLOOKUP(VLOOKUP(AH$1,main!$A$3:$I$56,8,FALSE),main!$K$11:$M$14,2,FALSE)+VLOOKUP(VLOOKUP(AH$1,main!$A$3:$I$56,7,FALSE),main!$K$19:$O$22,MATCH(VLOOKUP($A24,main!$A$3:$I$56,8,FALSE),main!$K$18:$O$18,0))))),1,0)</f>
        <v>0</v>
      </c>
      <c r="AI24">
        <f>IF((AND(VLOOKUP(AI$1,main!$A$3:$I$56,5,FALSE)-VLOOKUP($A24,main!$A$3:$I$56,6,FALSE)&gt;=(VLOOKUP(VLOOKUP(AI$1,main!$A$3:$I$56,8,FALSE),main!$K$11:$M$14,2,FALSE)+VLOOKUP(VLOOKUP(AI$1,main!$A$3:$I$56,7,FALSE),main!$K$19:$O$22,MATCH(VLOOKUP($A24,main!$A$3:$I$56,8,FALSE),main!$K$18:$O$18,0))))),1,0)</f>
        <v>0</v>
      </c>
      <c r="AJ24">
        <f>IF((AND(VLOOKUP(AJ$1,main!$A$3:$I$56,5,FALSE)-VLOOKUP($A24,main!$A$3:$I$56,6,FALSE)&gt;=(VLOOKUP(VLOOKUP(AJ$1,main!$A$3:$I$56,8,FALSE),main!$K$11:$M$14,2,FALSE)+VLOOKUP(VLOOKUP(AJ$1,main!$A$3:$I$56,7,FALSE),main!$K$19:$O$22,MATCH(VLOOKUP($A24,main!$A$3:$I$56,8,FALSE),main!$K$18:$O$18,0))))),1,0)</f>
        <v>0</v>
      </c>
      <c r="AK24">
        <f>IF((AND(VLOOKUP(AK$1,main!$A$3:$I$56,5,FALSE)-VLOOKUP($A24,main!$A$3:$I$56,6,FALSE)&gt;=(VLOOKUP(VLOOKUP(AK$1,main!$A$3:$I$56,8,FALSE),main!$K$11:$M$14,2,FALSE)+VLOOKUP(VLOOKUP(AK$1,main!$A$3:$I$56,7,FALSE),main!$K$19:$O$22,MATCH(VLOOKUP($A24,main!$A$3:$I$56,8,FALSE),main!$K$18:$O$18,0))))),1,0)</f>
        <v>1</v>
      </c>
      <c r="AL24">
        <f>IF((AND(VLOOKUP(AL$1,main!$A$3:$I$56,5,FALSE)-VLOOKUP($A24,main!$A$3:$I$56,6,FALSE)&gt;=(VLOOKUP(VLOOKUP(AL$1,main!$A$3:$I$56,8,FALSE),main!$K$11:$M$14,2,FALSE)+VLOOKUP(VLOOKUP(AL$1,main!$A$3:$I$56,7,FALSE),main!$K$19:$O$22,MATCH(VLOOKUP($A24,main!$A$3:$I$56,8,FALSE),main!$K$18:$O$18,0))))),1,0)</f>
        <v>0</v>
      </c>
      <c r="AM24">
        <f>IF((AND(VLOOKUP(AM$1,main!$A$3:$I$56,5,FALSE)-VLOOKUP($A24,main!$A$3:$I$56,6,FALSE)&gt;=(VLOOKUP(VLOOKUP(AM$1,main!$A$3:$I$56,8,FALSE),main!$K$11:$M$14,2,FALSE)+VLOOKUP(VLOOKUP(AM$1,main!$A$3:$I$56,7,FALSE),main!$K$19:$O$22,MATCH(VLOOKUP($A24,main!$A$3:$I$56,8,FALSE),main!$K$18:$O$18,0))))),1,0)</f>
        <v>0</v>
      </c>
      <c r="AN24">
        <f>IF((AND(VLOOKUP(AN$1,main!$A$3:$I$56,5,FALSE)-VLOOKUP($A24,main!$A$3:$I$56,6,FALSE)&gt;=(VLOOKUP(VLOOKUP(AN$1,main!$A$3:$I$56,8,FALSE),main!$K$11:$M$14,2,FALSE)+VLOOKUP(VLOOKUP(AN$1,main!$A$3:$I$56,7,FALSE),main!$K$19:$O$22,MATCH(VLOOKUP($A24,main!$A$3:$I$56,8,FALSE),main!$K$18:$O$18,0))))),1,0)</f>
        <v>0</v>
      </c>
      <c r="AO24">
        <f>IF((AND(VLOOKUP(AO$1,main!$A$3:$I$56,5,FALSE)-VLOOKUP($A24,main!$A$3:$I$56,6,FALSE)&gt;=(VLOOKUP(VLOOKUP(AO$1,main!$A$3:$I$56,8,FALSE),main!$K$11:$M$14,2,FALSE)+VLOOKUP(VLOOKUP(AO$1,main!$A$3:$I$56,7,FALSE),main!$K$19:$O$22,MATCH(VLOOKUP($A24,main!$A$3:$I$56,8,FALSE),main!$K$18:$O$18,0))))),1,0)</f>
        <v>0</v>
      </c>
      <c r="AP24">
        <f>IF((AND(VLOOKUP(AP$1,main!$A$3:$I$56,5,FALSE)-VLOOKUP($A24,main!$A$3:$I$56,6,FALSE)&gt;=(VLOOKUP(VLOOKUP(AP$1,main!$A$3:$I$56,8,FALSE),main!$K$11:$M$14,2,FALSE)+VLOOKUP(VLOOKUP(AP$1,main!$A$3:$I$56,7,FALSE),main!$K$19:$O$22,MATCH(VLOOKUP($A24,main!$A$3:$I$56,8,FALSE),main!$K$18:$O$18,0))))),1,0)</f>
        <v>0</v>
      </c>
      <c r="AQ24">
        <f>IF((AND(VLOOKUP(AQ$1,main!$A$3:$I$56,5,FALSE)-VLOOKUP($A24,main!$A$3:$I$56,6,FALSE)&gt;=(VLOOKUP(VLOOKUP(AQ$1,main!$A$3:$I$56,8,FALSE),main!$K$11:$M$14,2,FALSE)+VLOOKUP(VLOOKUP(AQ$1,main!$A$3:$I$56,7,FALSE),main!$K$19:$O$22,MATCH(VLOOKUP($A24,main!$A$3:$I$56,8,FALSE),main!$K$18:$O$18,0))))),1,0)</f>
        <v>0</v>
      </c>
      <c r="AR24">
        <f>IF((AND(VLOOKUP(AR$1,main!$A$3:$I$56,5,FALSE)-VLOOKUP($A24,main!$A$3:$I$56,6,FALSE)&gt;=(VLOOKUP(VLOOKUP(AR$1,main!$A$3:$I$56,8,FALSE),main!$K$11:$M$14,2,FALSE)+VLOOKUP(VLOOKUP(AR$1,main!$A$3:$I$56,7,FALSE),main!$K$19:$O$22,MATCH(VLOOKUP($A24,main!$A$3:$I$56,8,FALSE),main!$K$18:$O$18,0))))),1,0)</f>
        <v>0</v>
      </c>
      <c r="AS24">
        <f>IF((AND(VLOOKUP(AS$1,main!$A$3:$I$56,5,FALSE)-VLOOKUP($A24,main!$A$3:$I$56,6,FALSE)&gt;=(VLOOKUP(VLOOKUP(AS$1,main!$A$3:$I$56,8,FALSE),main!$K$11:$M$14,2,FALSE)+VLOOKUP(VLOOKUP(AS$1,main!$A$3:$I$56,7,FALSE),main!$K$19:$O$22,MATCH(VLOOKUP($A24,main!$A$3:$I$56,8,FALSE),main!$K$18:$O$18,0))))),1,0)</f>
        <v>0</v>
      </c>
      <c r="AT24">
        <f>IF((AND(VLOOKUP(AT$1,main!$A$3:$I$56,5,FALSE)-VLOOKUP($A24,main!$A$3:$I$56,6,FALSE)&gt;=(VLOOKUP(VLOOKUP(AT$1,main!$A$3:$I$56,8,FALSE),main!$K$11:$M$14,2,FALSE)+VLOOKUP(VLOOKUP(AT$1,main!$A$3:$I$56,7,FALSE),main!$K$19:$O$22,MATCH(VLOOKUP($A24,main!$A$3:$I$56,8,FALSE),main!$K$18:$O$18,0))))),1,0)</f>
        <v>0</v>
      </c>
      <c r="AU24">
        <f>IF((AND(VLOOKUP(AU$1,main!$A$3:$I$56,5,FALSE)-VLOOKUP($A24,main!$A$3:$I$56,6,FALSE)&gt;=(VLOOKUP(VLOOKUP(AU$1,main!$A$3:$I$56,8,FALSE),main!$K$11:$M$14,2,FALSE)+VLOOKUP(VLOOKUP(AU$1,main!$A$3:$I$56,7,FALSE),main!$K$19:$O$22,MATCH(VLOOKUP($A24,main!$A$3:$I$56,8,FALSE),main!$K$18:$O$18,0))))),1,0)</f>
        <v>0</v>
      </c>
      <c r="AV24">
        <f>IF((AND(VLOOKUP(AV$1,main!$A$3:$I$56,5,FALSE)-VLOOKUP($A24,main!$A$3:$I$56,6,FALSE)&gt;=(VLOOKUP(VLOOKUP(AV$1,main!$A$3:$I$56,8,FALSE),main!$K$11:$M$14,2,FALSE)+VLOOKUP(VLOOKUP(AV$1,main!$A$3:$I$56,7,FALSE),main!$K$19:$O$22,MATCH(VLOOKUP($A24,main!$A$3:$I$56,8,FALSE),main!$K$18:$O$18,0))))),1,0)</f>
        <v>0</v>
      </c>
      <c r="AW24">
        <f>IF((AND(VLOOKUP(AW$1,main!$A$3:$I$56,5,FALSE)-VLOOKUP($A24,main!$A$3:$I$56,6,FALSE)&gt;=(VLOOKUP(VLOOKUP(AW$1,main!$A$3:$I$56,8,FALSE),main!$K$11:$M$14,2,FALSE)+VLOOKUP(VLOOKUP(AW$1,main!$A$3:$I$56,7,FALSE),main!$K$19:$O$22,MATCH(VLOOKUP($A24,main!$A$3:$I$56,8,FALSE),main!$K$18:$O$18,0))))),1,0)</f>
        <v>0</v>
      </c>
      <c r="AX24">
        <f>IF((AND(VLOOKUP(AX$1,main!$A$3:$I$56,5,FALSE)-VLOOKUP($A24,main!$A$3:$I$56,6,FALSE)&gt;=(VLOOKUP(VLOOKUP(AX$1,main!$A$3:$I$56,8,FALSE),main!$K$11:$M$14,2,FALSE)+VLOOKUP(VLOOKUP(AX$1,main!$A$3:$I$56,7,FALSE),main!$K$19:$O$22,MATCH(VLOOKUP($A24,main!$A$3:$I$56,8,FALSE),main!$K$18:$O$18,0))))),1,0)</f>
        <v>1</v>
      </c>
      <c r="AY24">
        <f>IF((AND(VLOOKUP(AY$1,main!$A$3:$I$56,5,FALSE)-VLOOKUP($A24,main!$A$3:$I$56,6,FALSE)&gt;=(VLOOKUP(VLOOKUP(AY$1,main!$A$3:$I$56,8,FALSE),main!$K$11:$M$14,2,FALSE)+VLOOKUP(VLOOKUP(AY$1,main!$A$3:$I$56,7,FALSE),main!$K$19:$O$22,MATCH(VLOOKUP($A24,main!$A$3:$I$56,8,FALSE),main!$K$18:$O$18,0))))),1,0)</f>
        <v>1</v>
      </c>
      <c r="AZ24">
        <f>IF((AND(VLOOKUP(AZ$1,main!$A$3:$I$56,5,FALSE)-VLOOKUP($A24,main!$A$3:$I$56,6,FALSE)&gt;=(VLOOKUP(VLOOKUP(AZ$1,main!$A$3:$I$56,8,FALSE),main!$K$11:$M$14,2,FALSE)+VLOOKUP(VLOOKUP(AZ$1,main!$A$3:$I$56,7,FALSE),main!$K$19:$O$22,MATCH(VLOOKUP($A24,main!$A$3:$I$56,8,FALSE),main!$K$18:$O$18,0))))),1,0)</f>
        <v>0</v>
      </c>
      <c r="BA24">
        <f>IF((AND(VLOOKUP(BA$1,main!$A$3:$I$56,5,FALSE)-VLOOKUP($A24,main!$A$3:$I$56,6,FALSE)&gt;=(VLOOKUP(VLOOKUP(BA$1,main!$A$3:$I$56,8,FALSE),main!$K$11:$M$14,2,FALSE)+VLOOKUP(VLOOKUP(BA$1,main!$A$3:$I$56,7,FALSE),main!$K$19:$O$22,MATCH(VLOOKUP($A24,main!$A$3:$I$56,8,FALSE),main!$K$18:$O$18,0))))),1,0)</f>
        <v>0</v>
      </c>
      <c r="BB24">
        <f>IF((AND(VLOOKUP(BB$1,main!$A$3:$I$56,5,FALSE)-VLOOKUP($A24,main!$A$3:$I$56,6,FALSE)&gt;=(VLOOKUP(VLOOKUP(BB$1,main!$A$3:$I$56,8,FALSE),main!$K$11:$M$14,2,FALSE)+VLOOKUP(VLOOKUP(BB$1,main!$A$3:$I$56,7,FALSE),main!$K$19:$O$22,MATCH(VLOOKUP($A24,main!$A$3:$I$56,8,FALSE),main!$K$18:$O$18,0))))),1,0)</f>
        <v>0</v>
      </c>
      <c r="BC24">
        <f>IF((AND(VLOOKUP(BC$1,main!$A$3:$I$56,5,FALSE)-VLOOKUP($A24,main!$A$3:$I$56,6,FALSE)&gt;=(VLOOKUP(VLOOKUP(BC$1,main!$A$3:$I$56,8,FALSE),main!$K$11:$M$14,2,FALSE)+VLOOKUP(VLOOKUP(BC$1,main!$A$3:$I$56,7,FALSE),main!$K$19:$O$22,MATCH(VLOOKUP($A24,main!$A$3:$I$56,8,FALSE),main!$K$18:$O$18,0))))),1,0)</f>
        <v>0</v>
      </c>
      <c r="BD24">
        <f>IF((AND(VLOOKUP(BD$1,main!$A$3:$I$56,5,FALSE)-VLOOKUP($A24,main!$A$3:$I$56,6,FALSE)&gt;=(VLOOKUP(VLOOKUP(BD$1,main!$A$3:$I$56,8,FALSE),main!$K$11:$M$14,2,FALSE)+VLOOKUP(VLOOKUP(BD$1,main!$A$3:$I$56,7,FALSE),main!$K$19:$O$22,MATCH(VLOOKUP($A24,main!$A$3:$I$56,8,FALSE),main!$K$18:$O$18,0))))),1,0)</f>
        <v>0</v>
      </c>
    </row>
    <row r="25" spans="1:56" x14ac:dyDescent="0.25">
      <c r="A25">
        <f t="shared" si="0"/>
        <v>23</v>
      </c>
      <c r="B25">
        <v>1</v>
      </c>
      <c r="C25">
        <f>IF((AND(VLOOKUP(C$1,main!$A$3:$I$56,5,FALSE)-VLOOKUP($A25,main!$A$3:$I$56,6,FALSE)&gt;=(VLOOKUP(VLOOKUP(C$1,main!$A$3:$I$56,8,FALSE),main!$K$11:$M$14,2,FALSE)+VLOOKUP(VLOOKUP(C$1,main!$A$3:$I$56,7,FALSE),main!$K$19:$O$22,MATCH(VLOOKUP($A25,main!$A$3:$I$56,8,FALSE),main!$K$18:$O$18,0))))),1,0)</f>
        <v>0</v>
      </c>
      <c r="D25">
        <f>IF((AND(VLOOKUP(D$1,main!$A$3:$I$56,5,FALSE)-VLOOKUP($A25,main!$A$3:$I$56,6,FALSE)&gt;=(VLOOKUP(VLOOKUP(D$1,main!$A$3:$I$56,8,FALSE),main!$K$11:$M$14,2,FALSE)+VLOOKUP(VLOOKUP(D$1,main!$A$3:$I$56,7,FALSE),main!$K$19:$O$22,MATCH(VLOOKUP($A25,main!$A$3:$I$56,8,FALSE),main!$K$18:$O$18,0))))),1,0)</f>
        <v>0</v>
      </c>
      <c r="E25">
        <f>IF((AND(VLOOKUP(E$1,main!$A$3:$I$56,5,FALSE)-VLOOKUP($A25,main!$A$3:$I$56,6,FALSE)&gt;=(VLOOKUP(VLOOKUP(E$1,main!$A$3:$I$56,8,FALSE),main!$K$11:$M$14,2,FALSE)+VLOOKUP(VLOOKUP(E$1,main!$A$3:$I$56,7,FALSE),main!$K$19:$O$22,MATCH(VLOOKUP($A25,main!$A$3:$I$56,8,FALSE),main!$K$18:$O$18,0))))),1,0)</f>
        <v>0</v>
      </c>
      <c r="F25">
        <f>IF((AND(VLOOKUP(F$1,main!$A$3:$I$56,5,FALSE)-VLOOKUP($A25,main!$A$3:$I$56,6,FALSE)&gt;=(VLOOKUP(VLOOKUP(F$1,main!$A$3:$I$56,8,FALSE),main!$K$11:$M$14,2,FALSE)+VLOOKUP(VLOOKUP(F$1,main!$A$3:$I$56,7,FALSE),main!$K$19:$O$22,MATCH(VLOOKUP($A25,main!$A$3:$I$56,8,FALSE),main!$K$18:$O$18,0))))),1,0)</f>
        <v>0</v>
      </c>
      <c r="G25">
        <f>IF((AND(VLOOKUP(G$1,main!$A$3:$I$56,5,FALSE)-VLOOKUP($A25,main!$A$3:$I$56,6,FALSE)&gt;=(VLOOKUP(VLOOKUP(G$1,main!$A$3:$I$56,8,FALSE),main!$K$11:$M$14,2,FALSE)+VLOOKUP(VLOOKUP(G$1,main!$A$3:$I$56,7,FALSE),main!$K$19:$O$22,MATCH(VLOOKUP($A25,main!$A$3:$I$56,8,FALSE),main!$K$18:$O$18,0))))),1,0)</f>
        <v>0</v>
      </c>
      <c r="H25">
        <f>IF((AND(VLOOKUP(H$1,main!$A$3:$I$56,5,FALSE)-VLOOKUP($A25,main!$A$3:$I$56,6,FALSE)&gt;=(VLOOKUP(VLOOKUP(H$1,main!$A$3:$I$56,8,FALSE),main!$K$11:$M$14,2,FALSE)+VLOOKUP(VLOOKUP(H$1,main!$A$3:$I$56,7,FALSE),main!$K$19:$O$22,MATCH(VLOOKUP($A25,main!$A$3:$I$56,8,FALSE),main!$K$18:$O$18,0))))),1,0)</f>
        <v>0</v>
      </c>
      <c r="I25">
        <f>IF((AND(VLOOKUP(I$1,main!$A$3:$I$56,5,FALSE)-VLOOKUP($A25,main!$A$3:$I$56,6,FALSE)&gt;=(VLOOKUP(VLOOKUP(I$1,main!$A$3:$I$56,8,FALSE),main!$K$11:$M$14,2,FALSE)+VLOOKUP(VLOOKUP(I$1,main!$A$3:$I$56,7,FALSE),main!$K$19:$O$22,MATCH(VLOOKUP($A25,main!$A$3:$I$56,8,FALSE),main!$K$18:$O$18,0))))),1,0)</f>
        <v>1</v>
      </c>
      <c r="J25">
        <f>IF((AND(VLOOKUP(J$1,main!$A$3:$I$56,5,FALSE)-VLOOKUP($A25,main!$A$3:$I$56,6,FALSE)&gt;=(VLOOKUP(VLOOKUP(J$1,main!$A$3:$I$56,8,FALSE),main!$K$11:$M$14,2,FALSE)+VLOOKUP(VLOOKUP(J$1,main!$A$3:$I$56,7,FALSE),main!$K$19:$O$22,MATCH(VLOOKUP($A25,main!$A$3:$I$56,8,FALSE),main!$K$18:$O$18,0))))),1,0)</f>
        <v>1</v>
      </c>
      <c r="K25">
        <f>IF((AND(VLOOKUP(K$1,main!$A$3:$I$56,5,FALSE)-VLOOKUP($A25,main!$A$3:$I$56,6,FALSE)&gt;=(VLOOKUP(VLOOKUP(K$1,main!$A$3:$I$56,8,FALSE),main!$K$11:$M$14,2,FALSE)+VLOOKUP(VLOOKUP(K$1,main!$A$3:$I$56,7,FALSE),main!$K$19:$O$22,MATCH(VLOOKUP($A25,main!$A$3:$I$56,8,FALSE),main!$K$18:$O$18,0))))),1,0)</f>
        <v>0</v>
      </c>
      <c r="L25">
        <f>IF((AND(VLOOKUP(L$1,main!$A$3:$I$56,5,FALSE)-VLOOKUP($A25,main!$A$3:$I$56,6,FALSE)&gt;=(VLOOKUP(VLOOKUP(L$1,main!$A$3:$I$56,8,FALSE),main!$K$11:$M$14,2,FALSE)+VLOOKUP(VLOOKUP(L$1,main!$A$3:$I$56,7,FALSE),main!$K$19:$O$22,MATCH(VLOOKUP($A25,main!$A$3:$I$56,8,FALSE),main!$K$18:$O$18,0))))),1,0)</f>
        <v>0</v>
      </c>
      <c r="M25">
        <f>IF((AND(VLOOKUP(M$1,main!$A$3:$I$56,5,FALSE)-VLOOKUP($A25,main!$A$3:$I$56,6,FALSE)&gt;=(VLOOKUP(VLOOKUP(M$1,main!$A$3:$I$56,8,FALSE),main!$K$11:$M$14,2,FALSE)+VLOOKUP(VLOOKUP(M$1,main!$A$3:$I$56,7,FALSE),main!$K$19:$O$22,MATCH(VLOOKUP($A25,main!$A$3:$I$56,8,FALSE),main!$K$18:$O$18,0))))),1,0)</f>
        <v>0</v>
      </c>
      <c r="N25">
        <f>IF((AND(VLOOKUP(N$1,main!$A$3:$I$56,5,FALSE)-VLOOKUP($A25,main!$A$3:$I$56,6,FALSE)&gt;=(VLOOKUP(VLOOKUP(N$1,main!$A$3:$I$56,8,FALSE),main!$K$11:$M$14,2,FALSE)+VLOOKUP(VLOOKUP(N$1,main!$A$3:$I$56,7,FALSE),main!$K$19:$O$22,MATCH(VLOOKUP($A25,main!$A$3:$I$56,8,FALSE),main!$K$18:$O$18,0))))),1,0)</f>
        <v>1</v>
      </c>
      <c r="O25">
        <f>IF((AND(VLOOKUP(O$1,main!$A$3:$I$56,5,FALSE)-VLOOKUP($A25,main!$A$3:$I$56,6,FALSE)&gt;=(VLOOKUP(VLOOKUP(O$1,main!$A$3:$I$56,8,FALSE),main!$K$11:$M$14,2,FALSE)+VLOOKUP(VLOOKUP(O$1,main!$A$3:$I$56,7,FALSE),main!$K$19:$O$22,MATCH(VLOOKUP($A25,main!$A$3:$I$56,8,FALSE),main!$K$18:$O$18,0))))),1,0)</f>
        <v>1</v>
      </c>
      <c r="P25">
        <f>IF((AND(VLOOKUP(P$1,main!$A$3:$I$56,5,FALSE)-VLOOKUP($A25,main!$A$3:$I$56,6,FALSE)&gt;=(VLOOKUP(VLOOKUP(P$1,main!$A$3:$I$56,8,FALSE),main!$K$11:$M$14,2,FALSE)+VLOOKUP(VLOOKUP(P$1,main!$A$3:$I$56,7,FALSE),main!$K$19:$O$22,MATCH(VLOOKUP($A25,main!$A$3:$I$56,8,FALSE),main!$K$18:$O$18,0))))),1,0)</f>
        <v>0</v>
      </c>
      <c r="Q25">
        <f>IF((AND(VLOOKUP(Q$1,main!$A$3:$I$56,5,FALSE)-VLOOKUP($A25,main!$A$3:$I$56,6,FALSE)&gt;=(VLOOKUP(VLOOKUP(Q$1,main!$A$3:$I$56,8,FALSE),main!$K$11:$M$14,2,FALSE)+VLOOKUP(VLOOKUP(Q$1,main!$A$3:$I$56,7,FALSE),main!$K$19:$O$22,MATCH(VLOOKUP($A25,main!$A$3:$I$56,8,FALSE),main!$K$18:$O$18,0))))),1,0)</f>
        <v>0</v>
      </c>
      <c r="R25">
        <f>IF((AND(VLOOKUP(R$1,main!$A$3:$I$56,5,FALSE)-VLOOKUP($A25,main!$A$3:$I$56,6,FALSE)&gt;=(VLOOKUP(VLOOKUP(R$1,main!$A$3:$I$56,8,FALSE),main!$K$11:$M$14,2,FALSE)+VLOOKUP(VLOOKUP(R$1,main!$A$3:$I$56,7,FALSE),main!$K$19:$O$22,MATCH(VLOOKUP($A25,main!$A$3:$I$56,8,FALSE),main!$K$18:$O$18,0))))),1,0)</f>
        <v>0</v>
      </c>
      <c r="S25">
        <f>IF((AND(VLOOKUP(S$1,main!$A$3:$I$56,5,FALSE)-VLOOKUP($A25,main!$A$3:$I$56,6,FALSE)&gt;=(VLOOKUP(VLOOKUP(S$1,main!$A$3:$I$56,8,FALSE),main!$K$11:$M$14,2,FALSE)+VLOOKUP(VLOOKUP(S$1,main!$A$3:$I$56,7,FALSE),main!$K$19:$O$22,MATCH(VLOOKUP($A25,main!$A$3:$I$56,8,FALSE),main!$K$18:$O$18,0))))),1,0)</f>
        <v>0</v>
      </c>
      <c r="T25">
        <f>IF((AND(VLOOKUP(T$1,main!$A$3:$I$56,5,FALSE)-VLOOKUP($A25,main!$A$3:$I$56,6,FALSE)&gt;=(VLOOKUP(VLOOKUP(T$1,main!$A$3:$I$56,8,FALSE),main!$K$11:$M$14,2,FALSE)+VLOOKUP(VLOOKUP(T$1,main!$A$3:$I$56,7,FALSE),main!$K$19:$O$22,MATCH(VLOOKUP($A25,main!$A$3:$I$56,8,FALSE),main!$K$18:$O$18,0))))),1,0)</f>
        <v>1</v>
      </c>
      <c r="U25">
        <f>IF((AND(VLOOKUP(U$1,main!$A$3:$I$56,5,FALSE)-VLOOKUP($A25,main!$A$3:$I$56,6,FALSE)&gt;=(VLOOKUP(VLOOKUP(U$1,main!$A$3:$I$56,8,FALSE),main!$K$11:$M$14,2,FALSE)+VLOOKUP(VLOOKUP(U$1,main!$A$3:$I$56,7,FALSE),main!$K$19:$O$22,MATCH(VLOOKUP($A25,main!$A$3:$I$56,8,FALSE),main!$K$18:$O$18,0))))),1,0)</f>
        <v>0</v>
      </c>
      <c r="V25">
        <f>IF((AND(VLOOKUP(V$1,main!$A$3:$I$56,5,FALSE)-VLOOKUP($A25,main!$A$3:$I$56,6,FALSE)&gt;=(VLOOKUP(VLOOKUP(V$1,main!$A$3:$I$56,8,FALSE),main!$K$11:$M$14,2,FALSE)+VLOOKUP(VLOOKUP(V$1,main!$A$3:$I$56,7,FALSE),main!$K$19:$O$22,MATCH(VLOOKUP($A25,main!$A$3:$I$56,8,FALSE),main!$K$18:$O$18,0))))),1,0)</f>
        <v>0</v>
      </c>
      <c r="W25">
        <f>IF((AND(VLOOKUP(W$1,main!$A$3:$I$56,5,FALSE)-VLOOKUP($A25,main!$A$3:$I$56,6,FALSE)&gt;=(VLOOKUP(VLOOKUP(W$1,main!$A$3:$I$56,8,FALSE),main!$K$11:$M$14,2,FALSE)+VLOOKUP(VLOOKUP(W$1,main!$A$3:$I$56,7,FALSE),main!$K$19:$O$22,MATCH(VLOOKUP($A25,main!$A$3:$I$56,8,FALSE),main!$K$18:$O$18,0))))),1,0)</f>
        <v>0</v>
      </c>
      <c r="X25">
        <f>IF((AND(VLOOKUP(X$1,main!$A$3:$I$56,5,FALSE)-VLOOKUP($A25,main!$A$3:$I$56,6,FALSE)&gt;=(VLOOKUP(VLOOKUP(X$1,main!$A$3:$I$56,8,FALSE),main!$K$11:$M$14,2,FALSE)+VLOOKUP(VLOOKUP(X$1,main!$A$3:$I$56,7,FALSE),main!$K$19:$O$22,MATCH(VLOOKUP($A25,main!$A$3:$I$56,8,FALSE),main!$K$18:$O$18,0))))),1,0)</f>
        <v>0</v>
      </c>
      <c r="Y25">
        <f>IF((AND(VLOOKUP(Y$1,main!$A$3:$I$56,5,FALSE)-VLOOKUP($A25,main!$A$3:$I$56,6,FALSE)&gt;=(VLOOKUP(VLOOKUP(Y$1,main!$A$3:$I$56,8,FALSE),main!$K$11:$M$14,2,FALSE)+VLOOKUP(VLOOKUP(Y$1,main!$A$3:$I$56,7,FALSE),main!$K$19:$O$22,MATCH(VLOOKUP($A25,main!$A$3:$I$56,8,FALSE),main!$K$18:$O$18,0))))),1,0)</f>
        <v>0</v>
      </c>
      <c r="Z25">
        <f>IF((AND(VLOOKUP(Z$1,main!$A$3:$I$56,5,FALSE)-VLOOKUP($A25,main!$A$3:$I$56,6,FALSE)&gt;=(VLOOKUP(VLOOKUP(Z$1,main!$A$3:$I$56,8,FALSE),main!$K$11:$M$14,2,FALSE)+VLOOKUP(VLOOKUP(Z$1,main!$A$3:$I$56,7,FALSE),main!$K$19:$O$22,MATCH(VLOOKUP($A25,main!$A$3:$I$56,8,FALSE),main!$K$18:$O$18,0))))),1,0)</f>
        <v>0</v>
      </c>
      <c r="AA25">
        <f>IF((AND(VLOOKUP(AA$1,main!$A$3:$I$56,5,FALSE)-VLOOKUP($A25,main!$A$3:$I$56,6,FALSE)&gt;=(VLOOKUP(VLOOKUP(AA$1,main!$A$3:$I$56,8,FALSE),main!$K$11:$M$14,2,FALSE)+VLOOKUP(VLOOKUP(AA$1,main!$A$3:$I$56,7,FALSE),main!$K$19:$O$22,MATCH(VLOOKUP($A25,main!$A$3:$I$56,8,FALSE),main!$K$18:$O$18,0))))),1,0)</f>
        <v>1</v>
      </c>
      <c r="AB25">
        <f>IF((AND(VLOOKUP(AB$1,main!$A$3:$I$56,5,FALSE)-VLOOKUP($A25,main!$A$3:$I$56,6,FALSE)&gt;=(VLOOKUP(VLOOKUP(AB$1,main!$A$3:$I$56,8,FALSE),main!$K$11:$M$14,2,FALSE)+VLOOKUP(VLOOKUP(AB$1,main!$A$3:$I$56,7,FALSE),main!$K$19:$O$22,MATCH(VLOOKUP($A25,main!$A$3:$I$56,8,FALSE),main!$K$18:$O$18,0))))),1,0)</f>
        <v>1</v>
      </c>
      <c r="AC25">
        <f>IF((AND(VLOOKUP(AC$1,main!$A$3:$I$56,5,FALSE)-VLOOKUP($A25,main!$A$3:$I$56,6,FALSE)&gt;=(VLOOKUP(VLOOKUP(AC$1,main!$A$3:$I$56,8,FALSE),main!$K$11:$M$14,2,FALSE)+VLOOKUP(VLOOKUP(AC$1,main!$A$3:$I$56,7,FALSE),main!$K$19:$O$22,MATCH(VLOOKUP($A25,main!$A$3:$I$56,8,FALSE),main!$K$18:$O$18,0))))),1,0)</f>
        <v>0</v>
      </c>
      <c r="AD25">
        <f>IF((AND(VLOOKUP(AD$1,main!$A$3:$I$56,5,FALSE)-VLOOKUP($A25,main!$A$3:$I$56,6,FALSE)&gt;=(VLOOKUP(VLOOKUP(AD$1,main!$A$3:$I$56,8,FALSE),main!$K$11:$M$14,2,FALSE)+VLOOKUP(VLOOKUP(AD$1,main!$A$3:$I$56,7,FALSE),main!$K$19:$O$22,MATCH(VLOOKUP($A25,main!$A$3:$I$56,8,FALSE),main!$K$18:$O$18,0))))),1,0)</f>
        <v>0</v>
      </c>
      <c r="AE25">
        <f>IF((AND(VLOOKUP(AE$1,main!$A$3:$I$56,5,FALSE)-VLOOKUP($A25,main!$A$3:$I$56,6,FALSE)&gt;=(VLOOKUP(VLOOKUP(AE$1,main!$A$3:$I$56,8,FALSE),main!$K$11:$M$14,2,FALSE)+VLOOKUP(VLOOKUP(AE$1,main!$A$3:$I$56,7,FALSE),main!$K$19:$O$22,MATCH(VLOOKUP($A25,main!$A$3:$I$56,8,FALSE),main!$K$18:$O$18,0))))),1,0)</f>
        <v>0</v>
      </c>
      <c r="AF25">
        <f>IF((AND(VLOOKUP(AF$1,main!$A$3:$I$56,5,FALSE)-VLOOKUP($A25,main!$A$3:$I$56,6,FALSE)&gt;=(VLOOKUP(VLOOKUP(AF$1,main!$A$3:$I$56,8,FALSE),main!$K$11:$M$14,2,FALSE)+VLOOKUP(VLOOKUP(AF$1,main!$A$3:$I$56,7,FALSE),main!$K$19:$O$22,MATCH(VLOOKUP($A25,main!$A$3:$I$56,8,FALSE),main!$K$18:$O$18,0))))),1,0)</f>
        <v>0</v>
      </c>
      <c r="AG25">
        <f>IF((AND(VLOOKUP(AG$1,main!$A$3:$I$56,5,FALSE)-VLOOKUP($A25,main!$A$3:$I$56,6,FALSE)&gt;=(VLOOKUP(VLOOKUP(AG$1,main!$A$3:$I$56,8,FALSE),main!$K$11:$M$14,2,FALSE)+VLOOKUP(VLOOKUP(AG$1,main!$A$3:$I$56,7,FALSE),main!$K$19:$O$22,MATCH(VLOOKUP($A25,main!$A$3:$I$56,8,FALSE),main!$K$18:$O$18,0))))),1,0)</f>
        <v>0</v>
      </c>
      <c r="AH25">
        <f>IF((AND(VLOOKUP(AH$1,main!$A$3:$I$56,5,FALSE)-VLOOKUP($A25,main!$A$3:$I$56,6,FALSE)&gt;=(VLOOKUP(VLOOKUP(AH$1,main!$A$3:$I$56,8,FALSE),main!$K$11:$M$14,2,FALSE)+VLOOKUP(VLOOKUP(AH$1,main!$A$3:$I$56,7,FALSE),main!$K$19:$O$22,MATCH(VLOOKUP($A25,main!$A$3:$I$56,8,FALSE),main!$K$18:$O$18,0))))),1,0)</f>
        <v>0</v>
      </c>
      <c r="AI25">
        <f>IF((AND(VLOOKUP(AI$1,main!$A$3:$I$56,5,FALSE)-VLOOKUP($A25,main!$A$3:$I$56,6,FALSE)&gt;=(VLOOKUP(VLOOKUP(AI$1,main!$A$3:$I$56,8,FALSE),main!$K$11:$M$14,2,FALSE)+VLOOKUP(VLOOKUP(AI$1,main!$A$3:$I$56,7,FALSE),main!$K$19:$O$22,MATCH(VLOOKUP($A25,main!$A$3:$I$56,8,FALSE),main!$K$18:$O$18,0))))),1,0)</f>
        <v>0</v>
      </c>
      <c r="AJ25">
        <f>IF((AND(VLOOKUP(AJ$1,main!$A$3:$I$56,5,FALSE)-VLOOKUP($A25,main!$A$3:$I$56,6,FALSE)&gt;=(VLOOKUP(VLOOKUP(AJ$1,main!$A$3:$I$56,8,FALSE),main!$K$11:$M$14,2,FALSE)+VLOOKUP(VLOOKUP(AJ$1,main!$A$3:$I$56,7,FALSE),main!$K$19:$O$22,MATCH(VLOOKUP($A25,main!$A$3:$I$56,8,FALSE),main!$K$18:$O$18,0))))),1,0)</f>
        <v>0</v>
      </c>
      <c r="AK25">
        <f>IF((AND(VLOOKUP(AK$1,main!$A$3:$I$56,5,FALSE)-VLOOKUP($A25,main!$A$3:$I$56,6,FALSE)&gt;=(VLOOKUP(VLOOKUP(AK$1,main!$A$3:$I$56,8,FALSE),main!$K$11:$M$14,2,FALSE)+VLOOKUP(VLOOKUP(AK$1,main!$A$3:$I$56,7,FALSE),main!$K$19:$O$22,MATCH(VLOOKUP($A25,main!$A$3:$I$56,8,FALSE),main!$K$18:$O$18,0))))),1,0)</f>
        <v>0</v>
      </c>
      <c r="AL25">
        <f>IF((AND(VLOOKUP(AL$1,main!$A$3:$I$56,5,FALSE)-VLOOKUP($A25,main!$A$3:$I$56,6,FALSE)&gt;=(VLOOKUP(VLOOKUP(AL$1,main!$A$3:$I$56,8,FALSE),main!$K$11:$M$14,2,FALSE)+VLOOKUP(VLOOKUP(AL$1,main!$A$3:$I$56,7,FALSE),main!$K$19:$O$22,MATCH(VLOOKUP($A25,main!$A$3:$I$56,8,FALSE),main!$K$18:$O$18,0))))),1,0)</f>
        <v>0</v>
      </c>
      <c r="AM25">
        <f>IF((AND(VLOOKUP(AM$1,main!$A$3:$I$56,5,FALSE)-VLOOKUP($A25,main!$A$3:$I$56,6,FALSE)&gt;=(VLOOKUP(VLOOKUP(AM$1,main!$A$3:$I$56,8,FALSE),main!$K$11:$M$14,2,FALSE)+VLOOKUP(VLOOKUP(AM$1,main!$A$3:$I$56,7,FALSE),main!$K$19:$O$22,MATCH(VLOOKUP($A25,main!$A$3:$I$56,8,FALSE),main!$K$18:$O$18,0))))),1,0)</f>
        <v>0</v>
      </c>
      <c r="AN25">
        <f>IF((AND(VLOOKUP(AN$1,main!$A$3:$I$56,5,FALSE)-VLOOKUP($A25,main!$A$3:$I$56,6,FALSE)&gt;=(VLOOKUP(VLOOKUP(AN$1,main!$A$3:$I$56,8,FALSE),main!$K$11:$M$14,2,FALSE)+VLOOKUP(VLOOKUP(AN$1,main!$A$3:$I$56,7,FALSE),main!$K$19:$O$22,MATCH(VLOOKUP($A25,main!$A$3:$I$56,8,FALSE),main!$K$18:$O$18,0))))),1,0)</f>
        <v>0</v>
      </c>
      <c r="AO25">
        <f>IF((AND(VLOOKUP(AO$1,main!$A$3:$I$56,5,FALSE)-VLOOKUP($A25,main!$A$3:$I$56,6,FALSE)&gt;=(VLOOKUP(VLOOKUP(AO$1,main!$A$3:$I$56,8,FALSE),main!$K$11:$M$14,2,FALSE)+VLOOKUP(VLOOKUP(AO$1,main!$A$3:$I$56,7,FALSE),main!$K$19:$O$22,MATCH(VLOOKUP($A25,main!$A$3:$I$56,8,FALSE),main!$K$18:$O$18,0))))),1,0)</f>
        <v>0</v>
      </c>
      <c r="AP25">
        <f>IF((AND(VLOOKUP(AP$1,main!$A$3:$I$56,5,FALSE)-VLOOKUP($A25,main!$A$3:$I$56,6,FALSE)&gt;=(VLOOKUP(VLOOKUP(AP$1,main!$A$3:$I$56,8,FALSE),main!$K$11:$M$14,2,FALSE)+VLOOKUP(VLOOKUP(AP$1,main!$A$3:$I$56,7,FALSE),main!$K$19:$O$22,MATCH(VLOOKUP($A25,main!$A$3:$I$56,8,FALSE),main!$K$18:$O$18,0))))),1,0)</f>
        <v>0</v>
      </c>
      <c r="AQ25">
        <f>IF((AND(VLOOKUP(AQ$1,main!$A$3:$I$56,5,FALSE)-VLOOKUP($A25,main!$A$3:$I$56,6,FALSE)&gt;=(VLOOKUP(VLOOKUP(AQ$1,main!$A$3:$I$56,8,FALSE),main!$K$11:$M$14,2,FALSE)+VLOOKUP(VLOOKUP(AQ$1,main!$A$3:$I$56,7,FALSE),main!$K$19:$O$22,MATCH(VLOOKUP($A25,main!$A$3:$I$56,8,FALSE),main!$K$18:$O$18,0))))),1,0)</f>
        <v>0</v>
      </c>
      <c r="AR25">
        <f>IF((AND(VLOOKUP(AR$1,main!$A$3:$I$56,5,FALSE)-VLOOKUP($A25,main!$A$3:$I$56,6,FALSE)&gt;=(VLOOKUP(VLOOKUP(AR$1,main!$A$3:$I$56,8,FALSE),main!$K$11:$M$14,2,FALSE)+VLOOKUP(VLOOKUP(AR$1,main!$A$3:$I$56,7,FALSE),main!$K$19:$O$22,MATCH(VLOOKUP($A25,main!$A$3:$I$56,8,FALSE),main!$K$18:$O$18,0))))),1,0)</f>
        <v>0</v>
      </c>
      <c r="AS25">
        <f>IF((AND(VLOOKUP(AS$1,main!$A$3:$I$56,5,FALSE)-VLOOKUP($A25,main!$A$3:$I$56,6,FALSE)&gt;=(VLOOKUP(VLOOKUP(AS$1,main!$A$3:$I$56,8,FALSE),main!$K$11:$M$14,2,FALSE)+VLOOKUP(VLOOKUP(AS$1,main!$A$3:$I$56,7,FALSE),main!$K$19:$O$22,MATCH(VLOOKUP($A25,main!$A$3:$I$56,8,FALSE),main!$K$18:$O$18,0))))),1,0)</f>
        <v>0</v>
      </c>
      <c r="AT25">
        <f>IF((AND(VLOOKUP(AT$1,main!$A$3:$I$56,5,FALSE)-VLOOKUP($A25,main!$A$3:$I$56,6,FALSE)&gt;=(VLOOKUP(VLOOKUP(AT$1,main!$A$3:$I$56,8,FALSE),main!$K$11:$M$14,2,FALSE)+VLOOKUP(VLOOKUP(AT$1,main!$A$3:$I$56,7,FALSE),main!$K$19:$O$22,MATCH(VLOOKUP($A25,main!$A$3:$I$56,8,FALSE),main!$K$18:$O$18,0))))),1,0)</f>
        <v>0</v>
      </c>
      <c r="AU25">
        <f>IF((AND(VLOOKUP(AU$1,main!$A$3:$I$56,5,FALSE)-VLOOKUP($A25,main!$A$3:$I$56,6,FALSE)&gt;=(VLOOKUP(VLOOKUP(AU$1,main!$A$3:$I$56,8,FALSE),main!$K$11:$M$14,2,FALSE)+VLOOKUP(VLOOKUP(AU$1,main!$A$3:$I$56,7,FALSE),main!$K$19:$O$22,MATCH(VLOOKUP($A25,main!$A$3:$I$56,8,FALSE),main!$K$18:$O$18,0))))),1,0)</f>
        <v>0</v>
      </c>
      <c r="AV25">
        <f>IF((AND(VLOOKUP(AV$1,main!$A$3:$I$56,5,FALSE)-VLOOKUP($A25,main!$A$3:$I$56,6,FALSE)&gt;=(VLOOKUP(VLOOKUP(AV$1,main!$A$3:$I$56,8,FALSE),main!$K$11:$M$14,2,FALSE)+VLOOKUP(VLOOKUP(AV$1,main!$A$3:$I$56,7,FALSE),main!$K$19:$O$22,MATCH(VLOOKUP($A25,main!$A$3:$I$56,8,FALSE),main!$K$18:$O$18,0))))),1,0)</f>
        <v>0</v>
      </c>
      <c r="AW25">
        <f>IF((AND(VLOOKUP(AW$1,main!$A$3:$I$56,5,FALSE)-VLOOKUP($A25,main!$A$3:$I$56,6,FALSE)&gt;=(VLOOKUP(VLOOKUP(AW$1,main!$A$3:$I$56,8,FALSE),main!$K$11:$M$14,2,FALSE)+VLOOKUP(VLOOKUP(AW$1,main!$A$3:$I$56,7,FALSE),main!$K$19:$O$22,MATCH(VLOOKUP($A25,main!$A$3:$I$56,8,FALSE),main!$K$18:$O$18,0))))),1,0)</f>
        <v>0</v>
      </c>
      <c r="AX25">
        <f>IF((AND(VLOOKUP(AX$1,main!$A$3:$I$56,5,FALSE)-VLOOKUP($A25,main!$A$3:$I$56,6,FALSE)&gt;=(VLOOKUP(VLOOKUP(AX$1,main!$A$3:$I$56,8,FALSE),main!$K$11:$M$14,2,FALSE)+VLOOKUP(VLOOKUP(AX$1,main!$A$3:$I$56,7,FALSE),main!$K$19:$O$22,MATCH(VLOOKUP($A25,main!$A$3:$I$56,8,FALSE),main!$K$18:$O$18,0))))),1,0)</f>
        <v>0</v>
      </c>
      <c r="AY25">
        <f>IF((AND(VLOOKUP(AY$1,main!$A$3:$I$56,5,FALSE)-VLOOKUP($A25,main!$A$3:$I$56,6,FALSE)&gt;=(VLOOKUP(VLOOKUP(AY$1,main!$A$3:$I$56,8,FALSE),main!$K$11:$M$14,2,FALSE)+VLOOKUP(VLOOKUP(AY$1,main!$A$3:$I$56,7,FALSE),main!$K$19:$O$22,MATCH(VLOOKUP($A25,main!$A$3:$I$56,8,FALSE),main!$K$18:$O$18,0))))),1,0)</f>
        <v>1</v>
      </c>
      <c r="AZ25">
        <f>IF((AND(VLOOKUP(AZ$1,main!$A$3:$I$56,5,FALSE)-VLOOKUP($A25,main!$A$3:$I$56,6,FALSE)&gt;=(VLOOKUP(VLOOKUP(AZ$1,main!$A$3:$I$56,8,FALSE),main!$K$11:$M$14,2,FALSE)+VLOOKUP(VLOOKUP(AZ$1,main!$A$3:$I$56,7,FALSE),main!$K$19:$O$22,MATCH(VLOOKUP($A25,main!$A$3:$I$56,8,FALSE),main!$K$18:$O$18,0))))),1,0)</f>
        <v>0</v>
      </c>
      <c r="BA25">
        <f>IF((AND(VLOOKUP(BA$1,main!$A$3:$I$56,5,FALSE)-VLOOKUP($A25,main!$A$3:$I$56,6,FALSE)&gt;=(VLOOKUP(VLOOKUP(BA$1,main!$A$3:$I$56,8,FALSE),main!$K$11:$M$14,2,FALSE)+VLOOKUP(VLOOKUP(BA$1,main!$A$3:$I$56,7,FALSE),main!$K$19:$O$22,MATCH(VLOOKUP($A25,main!$A$3:$I$56,8,FALSE),main!$K$18:$O$18,0))))),1,0)</f>
        <v>0</v>
      </c>
      <c r="BB25">
        <f>IF((AND(VLOOKUP(BB$1,main!$A$3:$I$56,5,FALSE)-VLOOKUP($A25,main!$A$3:$I$56,6,FALSE)&gt;=(VLOOKUP(VLOOKUP(BB$1,main!$A$3:$I$56,8,FALSE),main!$K$11:$M$14,2,FALSE)+VLOOKUP(VLOOKUP(BB$1,main!$A$3:$I$56,7,FALSE),main!$K$19:$O$22,MATCH(VLOOKUP($A25,main!$A$3:$I$56,8,FALSE),main!$K$18:$O$18,0))))),1,0)</f>
        <v>0</v>
      </c>
      <c r="BC25">
        <f>IF((AND(VLOOKUP(BC$1,main!$A$3:$I$56,5,FALSE)-VLOOKUP($A25,main!$A$3:$I$56,6,FALSE)&gt;=(VLOOKUP(VLOOKUP(BC$1,main!$A$3:$I$56,8,FALSE),main!$K$11:$M$14,2,FALSE)+VLOOKUP(VLOOKUP(BC$1,main!$A$3:$I$56,7,FALSE),main!$K$19:$O$22,MATCH(VLOOKUP($A25,main!$A$3:$I$56,8,FALSE),main!$K$18:$O$18,0))))),1,0)</f>
        <v>0</v>
      </c>
      <c r="BD25">
        <f>IF((AND(VLOOKUP(BD$1,main!$A$3:$I$56,5,FALSE)-VLOOKUP($A25,main!$A$3:$I$56,6,FALSE)&gt;=(VLOOKUP(VLOOKUP(BD$1,main!$A$3:$I$56,8,FALSE),main!$K$11:$M$14,2,FALSE)+VLOOKUP(VLOOKUP(BD$1,main!$A$3:$I$56,7,FALSE),main!$K$19:$O$22,MATCH(VLOOKUP($A25,main!$A$3:$I$56,8,FALSE),main!$K$18:$O$18,0))))),1,0)</f>
        <v>0</v>
      </c>
    </row>
    <row r="26" spans="1:56" x14ac:dyDescent="0.25">
      <c r="A26">
        <f t="shared" si="0"/>
        <v>24</v>
      </c>
      <c r="B26">
        <v>1</v>
      </c>
      <c r="C26">
        <f>IF((AND(VLOOKUP(C$1,main!$A$3:$I$56,5,FALSE)-VLOOKUP($A26,main!$A$3:$I$56,6,FALSE)&gt;=(VLOOKUP(VLOOKUP(C$1,main!$A$3:$I$56,8,FALSE),main!$K$11:$M$14,2,FALSE)+VLOOKUP(VLOOKUP(C$1,main!$A$3:$I$56,7,FALSE),main!$K$19:$O$22,MATCH(VLOOKUP($A26,main!$A$3:$I$56,8,FALSE),main!$K$18:$O$18,0))))),1,0)</f>
        <v>0</v>
      </c>
      <c r="D26">
        <f>IF((AND(VLOOKUP(D$1,main!$A$3:$I$56,5,FALSE)-VLOOKUP($A26,main!$A$3:$I$56,6,FALSE)&gt;=(VLOOKUP(VLOOKUP(D$1,main!$A$3:$I$56,8,FALSE),main!$K$11:$M$14,2,FALSE)+VLOOKUP(VLOOKUP(D$1,main!$A$3:$I$56,7,FALSE),main!$K$19:$O$22,MATCH(VLOOKUP($A26,main!$A$3:$I$56,8,FALSE),main!$K$18:$O$18,0))))),1,0)</f>
        <v>0</v>
      </c>
      <c r="E26">
        <f>IF((AND(VLOOKUP(E$1,main!$A$3:$I$56,5,FALSE)-VLOOKUP($A26,main!$A$3:$I$56,6,FALSE)&gt;=(VLOOKUP(VLOOKUP(E$1,main!$A$3:$I$56,8,FALSE),main!$K$11:$M$14,2,FALSE)+VLOOKUP(VLOOKUP(E$1,main!$A$3:$I$56,7,FALSE),main!$K$19:$O$22,MATCH(VLOOKUP($A26,main!$A$3:$I$56,8,FALSE),main!$K$18:$O$18,0))))),1,0)</f>
        <v>0</v>
      </c>
      <c r="F26">
        <f>IF((AND(VLOOKUP(F$1,main!$A$3:$I$56,5,FALSE)-VLOOKUP($A26,main!$A$3:$I$56,6,FALSE)&gt;=(VLOOKUP(VLOOKUP(F$1,main!$A$3:$I$56,8,FALSE),main!$K$11:$M$14,2,FALSE)+VLOOKUP(VLOOKUP(F$1,main!$A$3:$I$56,7,FALSE),main!$K$19:$O$22,MATCH(VLOOKUP($A26,main!$A$3:$I$56,8,FALSE),main!$K$18:$O$18,0))))),1,0)</f>
        <v>0</v>
      </c>
      <c r="G26">
        <f>IF((AND(VLOOKUP(G$1,main!$A$3:$I$56,5,FALSE)-VLOOKUP($A26,main!$A$3:$I$56,6,FALSE)&gt;=(VLOOKUP(VLOOKUP(G$1,main!$A$3:$I$56,8,FALSE),main!$K$11:$M$14,2,FALSE)+VLOOKUP(VLOOKUP(G$1,main!$A$3:$I$56,7,FALSE),main!$K$19:$O$22,MATCH(VLOOKUP($A26,main!$A$3:$I$56,8,FALSE),main!$K$18:$O$18,0))))),1,0)</f>
        <v>0</v>
      </c>
      <c r="H26">
        <f>IF((AND(VLOOKUP(H$1,main!$A$3:$I$56,5,FALSE)-VLOOKUP($A26,main!$A$3:$I$56,6,FALSE)&gt;=(VLOOKUP(VLOOKUP(H$1,main!$A$3:$I$56,8,FALSE),main!$K$11:$M$14,2,FALSE)+VLOOKUP(VLOOKUP(H$1,main!$A$3:$I$56,7,FALSE),main!$K$19:$O$22,MATCH(VLOOKUP($A26,main!$A$3:$I$56,8,FALSE),main!$K$18:$O$18,0))))),1,0)</f>
        <v>0</v>
      </c>
      <c r="I26">
        <f>IF((AND(VLOOKUP(I$1,main!$A$3:$I$56,5,FALSE)-VLOOKUP($A26,main!$A$3:$I$56,6,FALSE)&gt;=(VLOOKUP(VLOOKUP(I$1,main!$A$3:$I$56,8,FALSE),main!$K$11:$M$14,2,FALSE)+VLOOKUP(VLOOKUP(I$1,main!$A$3:$I$56,7,FALSE),main!$K$19:$O$22,MATCH(VLOOKUP($A26,main!$A$3:$I$56,8,FALSE),main!$K$18:$O$18,0))))),1,0)</f>
        <v>0</v>
      </c>
      <c r="J26">
        <f>IF((AND(VLOOKUP(J$1,main!$A$3:$I$56,5,FALSE)-VLOOKUP($A26,main!$A$3:$I$56,6,FALSE)&gt;=(VLOOKUP(VLOOKUP(J$1,main!$A$3:$I$56,8,FALSE),main!$K$11:$M$14,2,FALSE)+VLOOKUP(VLOOKUP(J$1,main!$A$3:$I$56,7,FALSE),main!$K$19:$O$22,MATCH(VLOOKUP($A26,main!$A$3:$I$56,8,FALSE),main!$K$18:$O$18,0))))),1,0)</f>
        <v>1</v>
      </c>
      <c r="K26">
        <f>IF((AND(VLOOKUP(K$1,main!$A$3:$I$56,5,FALSE)-VLOOKUP($A26,main!$A$3:$I$56,6,FALSE)&gt;=(VLOOKUP(VLOOKUP(K$1,main!$A$3:$I$56,8,FALSE),main!$K$11:$M$14,2,FALSE)+VLOOKUP(VLOOKUP(K$1,main!$A$3:$I$56,7,FALSE),main!$K$19:$O$22,MATCH(VLOOKUP($A26,main!$A$3:$I$56,8,FALSE),main!$K$18:$O$18,0))))),1,0)</f>
        <v>0</v>
      </c>
      <c r="L26">
        <f>IF((AND(VLOOKUP(L$1,main!$A$3:$I$56,5,FALSE)-VLOOKUP($A26,main!$A$3:$I$56,6,FALSE)&gt;=(VLOOKUP(VLOOKUP(L$1,main!$A$3:$I$56,8,FALSE),main!$K$11:$M$14,2,FALSE)+VLOOKUP(VLOOKUP(L$1,main!$A$3:$I$56,7,FALSE),main!$K$19:$O$22,MATCH(VLOOKUP($A26,main!$A$3:$I$56,8,FALSE),main!$K$18:$O$18,0))))),1,0)</f>
        <v>0</v>
      </c>
      <c r="M26">
        <f>IF((AND(VLOOKUP(M$1,main!$A$3:$I$56,5,FALSE)-VLOOKUP($A26,main!$A$3:$I$56,6,FALSE)&gt;=(VLOOKUP(VLOOKUP(M$1,main!$A$3:$I$56,8,FALSE),main!$K$11:$M$14,2,FALSE)+VLOOKUP(VLOOKUP(M$1,main!$A$3:$I$56,7,FALSE),main!$K$19:$O$22,MATCH(VLOOKUP($A26,main!$A$3:$I$56,8,FALSE),main!$K$18:$O$18,0))))),1,0)</f>
        <v>0</v>
      </c>
      <c r="N26">
        <f>IF((AND(VLOOKUP(N$1,main!$A$3:$I$56,5,FALSE)-VLOOKUP($A26,main!$A$3:$I$56,6,FALSE)&gt;=(VLOOKUP(VLOOKUP(N$1,main!$A$3:$I$56,8,FALSE),main!$K$11:$M$14,2,FALSE)+VLOOKUP(VLOOKUP(N$1,main!$A$3:$I$56,7,FALSE),main!$K$19:$O$22,MATCH(VLOOKUP($A26,main!$A$3:$I$56,8,FALSE),main!$K$18:$O$18,0))))),1,0)</f>
        <v>1</v>
      </c>
      <c r="O26">
        <f>IF((AND(VLOOKUP(O$1,main!$A$3:$I$56,5,FALSE)-VLOOKUP($A26,main!$A$3:$I$56,6,FALSE)&gt;=(VLOOKUP(VLOOKUP(O$1,main!$A$3:$I$56,8,FALSE),main!$K$11:$M$14,2,FALSE)+VLOOKUP(VLOOKUP(O$1,main!$A$3:$I$56,7,FALSE),main!$K$19:$O$22,MATCH(VLOOKUP($A26,main!$A$3:$I$56,8,FALSE),main!$K$18:$O$18,0))))),1,0)</f>
        <v>1</v>
      </c>
      <c r="P26">
        <f>IF((AND(VLOOKUP(P$1,main!$A$3:$I$56,5,FALSE)-VLOOKUP($A26,main!$A$3:$I$56,6,FALSE)&gt;=(VLOOKUP(VLOOKUP(P$1,main!$A$3:$I$56,8,FALSE),main!$K$11:$M$14,2,FALSE)+VLOOKUP(VLOOKUP(P$1,main!$A$3:$I$56,7,FALSE),main!$K$19:$O$22,MATCH(VLOOKUP($A26,main!$A$3:$I$56,8,FALSE),main!$K$18:$O$18,0))))),1,0)</f>
        <v>0</v>
      </c>
      <c r="Q26">
        <f>IF((AND(VLOOKUP(Q$1,main!$A$3:$I$56,5,FALSE)-VLOOKUP($A26,main!$A$3:$I$56,6,FALSE)&gt;=(VLOOKUP(VLOOKUP(Q$1,main!$A$3:$I$56,8,FALSE),main!$K$11:$M$14,2,FALSE)+VLOOKUP(VLOOKUP(Q$1,main!$A$3:$I$56,7,FALSE),main!$K$19:$O$22,MATCH(VLOOKUP($A26,main!$A$3:$I$56,8,FALSE),main!$K$18:$O$18,0))))),1,0)</f>
        <v>0</v>
      </c>
      <c r="R26">
        <f>IF((AND(VLOOKUP(R$1,main!$A$3:$I$56,5,FALSE)-VLOOKUP($A26,main!$A$3:$I$56,6,FALSE)&gt;=(VLOOKUP(VLOOKUP(R$1,main!$A$3:$I$56,8,FALSE),main!$K$11:$M$14,2,FALSE)+VLOOKUP(VLOOKUP(R$1,main!$A$3:$I$56,7,FALSE),main!$K$19:$O$22,MATCH(VLOOKUP($A26,main!$A$3:$I$56,8,FALSE),main!$K$18:$O$18,0))))),1,0)</f>
        <v>0</v>
      </c>
      <c r="S26">
        <f>IF((AND(VLOOKUP(S$1,main!$A$3:$I$56,5,FALSE)-VLOOKUP($A26,main!$A$3:$I$56,6,FALSE)&gt;=(VLOOKUP(VLOOKUP(S$1,main!$A$3:$I$56,8,FALSE),main!$K$11:$M$14,2,FALSE)+VLOOKUP(VLOOKUP(S$1,main!$A$3:$I$56,7,FALSE),main!$K$19:$O$22,MATCH(VLOOKUP($A26,main!$A$3:$I$56,8,FALSE),main!$K$18:$O$18,0))))),1,0)</f>
        <v>0</v>
      </c>
      <c r="T26">
        <f>IF((AND(VLOOKUP(T$1,main!$A$3:$I$56,5,FALSE)-VLOOKUP($A26,main!$A$3:$I$56,6,FALSE)&gt;=(VLOOKUP(VLOOKUP(T$1,main!$A$3:$I$56,8,FALSE),main!$K$11:$M$14,2,FALSE)+VLOOKUP(VLOOKUP(T$1,main!$A$3:$I$56,7,FALSE),main!$K$19:$O$22,MATCH(VLOOKUP($A26,main!$A$3:$I$56,8,FALSE),main!$K$18:$O$18,0))))),1,0)</f>
        <v>0</v>
      </c>
      <c r="U26">
        <f>IF((AND(VLOOKUP(U$1,main!$A$3:$I$56,5,FALSE)-VLOOKUP($A26,main!$A$3:$I$56,6,FALSE)&gt;=(VLOOKUP(VLOOKUP(U$1,main!$A$3:$I$56,8,FALSE),main!$K$11:$M$14,2,FALSE)+VLOOKUP(VLOOKUP(U$1,main!$A$3:$I$56,7,FALSE),main!$K$19:$O$22,MATCH(VLOOKUP($A26,main!$A$3:$I$56,8,FALSE),main!$K$18:$O$18,0))))),1,0)</f>
        <v>0</v>
      </c>
      <c r="V26">
        <f>IF((AND(VLOOKUP(V$1,main!$A$3:$I$56,5,FALSE)-VLOOKUP($A26,main!$A$3:$I$56,6,FALSE)&gt;=(VLOOKUP(VLOOKUP(V$1,main!$A$3:$I$56,8,FALSE),main!$K$11:$M$14,2,FALSE)+VLOOKUP(VLOOKUP(V$1,main!$A$3:$I$56,7,FALSE),main!$K$19:$O$22,MATCH(VLOOKUP($A26,main!$A$3:$I$56,8,FALSE),main!$K$18:$O$18,0))))),1,0)</f>
        <v>0</v>
      </c>
      <c r="W26">
        <f>IF((AND(VLOOKUP(W$1,main!$A$3:$I$56,5,FALSE)-VLOOKUP($A26,main!$A$3:$I$56,6,FALSE)&gt;=(VLOOKUP(VLOOKUP(W$1,main!$A$3:$I$56,8,FALSE),main!$K$11:$M$14,2,FALSE)+VLOOKUP(VLOOKUP(W$1,main!$A$3:$I$56,7,FALSE),main!$K$19:$O$22,MATCH(VLOOKUP($A26,main!$A$3:$I$56,8,FALSE),main!$K$18:$O$18,0))))),1,0)</f>
        <v>0</v>
      </c>
      <c r="X26">
        <f>IF((AND(VLOOKUP(X$1,main!$A$3:$I$56,5,FALSE)-VLOOKUP($A26,main!$A$3:$I$56,6,FALSE)&gt;=(VLOOKUP(VLOOKUP(X$1,main!$A$3:$I$56,8,FALSE),main!$K$11:$M$14,2,FALSE)+VLOOKUP(VLOOKUP(X$1,main!$A$3:$I$56,7,FALSE),main!$K$19:$O$22,MATCH(VLOOKUP($A26,main!$A$3:$I$56,8,FALSE),main!$K$18:$O$18,0))))),1,0)</f>
        <v>0</v>
      </c>
      <c r="Y26">
        <f>IF((AND(VLOOKUP(Y$1,main!$A$3:$I$56,5,FALSE)-VLOOKUP($A26,main!$A$3:$I$56,6,FALSE)&gt;=(VLOOKUP(VLOOKUP(Y$1,main!$A$3:$I$56,8,FALSE),main!$K$11:$M$14,2,FALSE)+VLOOKUP(VLOOKUP(Y$1,main!$A$3:$I$56,7,FALSE),main!$K$19:$O$22,MATCH(VLOOKUP($A26,main!$A$3:$I$56,8,FALSE),main!$K$18:$O$18,0))))),1,0)</f>
        <v>0</v>
      </c>
      <c r="Z26">
        <f>IF((AND(VLOOKUP(Z$1,main!$A$3:$I$56,5,FALSE)-VLOOKUP($A26,main!$A$3:$I$56,6,FALSE)&gt;=(VLOOKUP(VLOOKUP(Z$1,main!$A$3:$I$56,8,FALSE),main!$K$11:$M$14,2,FALSE)+VLOOKUP(VLOOKUP(Z$1,main!$A$3:$I$56,7,FALSE),main!$K$19:$O$22,MATCH(VLOOKUP($A26,main!$A$3:$I$56,8,FALSE),main!$K$18:$O$18,0))))),1,0)</f>
        <v>0</v>
      </c>
      <c r="AA26">
        <f>IF((AND(VLOOKUP(AA$1,main!$A$3:$I$56,5,FALSE)-VLOOKUP($A26,main!$A$3:$I$56,6,FALSE)&gt;=(VLOOKUP(VLOOKUP(AA$1,main!$A$3:$I$56,8,FALSE),main!$K$11:$M$14,2,FALSE)+VLOOKUP(VLOOKUP(AA$1,main!$A$3:$I$56,7,FALSE),main!$K$19:$O$22,MATCH(VLOOKUP($A26,main!$A$3:$I$56,8,FALSE),main!$K$18:$O$18,0))))),1,0)</f>
        <v>0</v>
      </c>
      <c r="AB26">
        <f>IF((AND(VLOOKUP(AB$1,main!$A$3:$I$56,5,FALSE)-VLOOKUP($A26,main!$A$3:$I$56,6,FALSE)&gt;=(VLOOKUP(VLOOKUP(AB$1,main!$A$3:$I$56,8,FALSE),main!$K$11:$M$14,2,FALSE)+VLOOKUP(VLOOKUP(AB$1,main!$A$3:$I$56,7,FALSE),main!$K$19:$O$22,MATCH(VLOOKUP($A26,main!$A$3:$I$56,8,FALSE),main!$K$18:$O$18,0))))),1,0)</f>
        <v>0</v>
      </c>
      <c r="AC26">
        <f>IF((AND(VLOOKUP(AC$1,main!$A$3:$I$56,5,FALSE)-VLOOKUP($A26,main!$A$3:$I$56,6,FALSE)&gt;=(VLOOKUP(VLOOKUP(AC$1,main!$A$3:$I$56,8,FALSE),main!$K$11:$M$14,2,FALSE)+VLOOKUP(VLOOKUP(AC$1,main!$A$3:$I$56,7,FALSE),main!$K$19:$O$22,MATCH(VLOOKUP($A26,main!$A$3:$I$56,8,FALSE),main!$K$18:$O$18,0))))),1,0)</f>
        <v>0</v>
      </c>
      <c r="AD26">
        <f>IF((AND(VLOOKUP(AD$1,main!$A$3:$I$56,5,FALSE)-VLOOKUP($A26,main!$A$3:$I$56,6,FALSE)&gt;=(VLOOKUP(VLOOKUP(AD$1,main!$A$3:$I$56,8,FALSE),main!$K$11:$M$14,2,FALSE)+VLOOKUP(VLOOKUP(AD$1,main!$A$3:$I$56,7,FALSE),main!$K$19:$O$22,MATCH(VLOOKUP($A26,main!$A$3:$I$56,8,FALSE),main!$K$18:$O$18,0))))),1,0)</f>
        <v>0</v>
      </c>
      <c r="AE26">
        <f>IF((AND(VLOOKUP(AE$1,main!$A$3:$I$56,5,FALSE)-VLOOKUP($A26,main!$A$3:$I$56,6,FALSE)&gt;=(VLOOKUP(VLOOKUP(AE$1,main!$A$3:$I$56,8,FALSE),main!$K$11:$M$14,2,FALSE)+VLOOKUP(VLOOKUP(AE$1,main!$A$3:$I$56,7,FALSE),main!$K$19:$O$22,MATCH(VLOOKUP($A26,main!$A$3:$I$56,8,FALSE),main!$K$18:$O$18,0))))),1,0)</f>
        <v>0</v>
      </c>
      <c r="AF26">
        <f>IF((AND(VLOOKUP(AF$1,main!$A$3:$I$56,5,FALSE)-VLOOKUP($A26,main!$A$3:$I$56,6,FALSE)&gt;=(VLOOKUP(VLOOKUP(AF$1,main!$A$3:$I$56,8,FALSE),main!$K$11:$M$14,2,FALSE)+VLOOKUP(VLOOKUP(AF$1,main!$A$3:$I$56,7,FALSE),main!$K$19:$O$22,MATCH(VLOOKUP($A26,main!$A$3:$I$56,8,FALSE),main!$K$18:$O$18,0))))),1,0)</f>
        <v>0</v>
      </c>
      <c r="AG26">
        <f>IF((AND(VLOOKUP(AG$1,main!$A$3:$I$56,5,FALSE)-VLOOKUP($A26,main!$A$3:$I$56,6,FALSE)&gt;=(VLOOKUP(VLOOKUP(AG$1,main!$A$3:$I$56,8,FALSE),main!$K$11:$M$14,2,FALSE)+VLOOKUP(VLOOKUP(AG$1,main!$A$3:$I$56,7,FALSE),main!$K$19:$O$22,MATCH(VLOOKUP($A26,main!$A$3:$I$56,8,FALSE),main!$K$18:$O$18,0))))),1,0)</f>
        <v>0</v>
      </c>
      <c r="AH26">
        <f>IF((AND(VLOOKUP(AH$1,main!$A$3:$I$56,5,FALSE)-VLOOKUP($A26,main!$A$3:$I$56,6,FALSE)&gt;=(VLOOKUP(VLOOKUP(AH$1,main!$A$3:$I$56,8,FALSE),main!$K$11:$M$14,2,FALSE)+VLOOKUP(VLOOKUP(AH$1,main!$A$3:$I$56,7,FALSE),main!$K$19:$O$22,MATCH(VLOOKUP($A26,main!$A$3:$I$56,8,FALSE),main!$K$18:$O$18,0))))),1,0)</f>
        <v>0</v>
      </c>
      <c r="AI26">
        <f>IF((AND(VLOOKUP(AI$1,main!$A$3:$I$56,5,FALSE)-VLOOKUP($A26,main!$A$3:$I$56,6,FALSE)&gt;=(VLOOKUP(VLOOKUP(AI$1,main!$A$3:$I$56,8,FALSE),main!$K$11:$M$14,2,FALSE)+VLOOKUP(VLOOKUP(AI$1,main!$A$3:$I$56,7,FALSE),main!$K$19:$O$22,MATCH(VLOOKUP($A26,main!$A$3:$I$56,8,FALSE),main!$K$18:$O$18,0))))),1,0)</f>
        <v>0</v>
      </c>
      <c r="AJ26">
        <f>IF((AND(VLOOKUP(AJ$1,main!$A$3:$I$56,5,FALSE)-VLOOKUP($A26,main!$A$3:$I$56,6,FALSE)&gt;=(VLOOKUP(VLOOKUP(AJ$1,main!$A$3:$I$56,8,FALSE),main!$K$11:$M$14,2,FALSE)+VLOOKUP(VLOOKUP(AJ$1,main!$A$3:$I$56,7,FALSE),main!$K$19:$O$22,MATCH(VLOOKUP($A26,main!$A$3:$I$56,8,FALSE),main!$K$18:$O$18,0))))),1,0)</f>
        <v>0</v>
      </c>
      <c r="AK26">
        <f>IF((AND(VLOOKUP(AK$1,main!$A$3:$I$56,5,FALSE)-VLOOKUP($A26,main!$A$3:$I$56,6,FALSE)&gt;=(VLOOKUP(VLOOKUP(AK$1,main!$A$3:$I$56,8,FALSE),main!$K$11:$M$14,2,FALSE)+VLOOKUP(VLOOKUP(AK$1,main!$A$3:$I$56,7,FALSE),main!$K$19:$O$22,MATCH(VLOOKUP($A26,main!$A$3:$I$56,8,FALSE),main!$K$18:$O$18,0))))),1,0)</f>
        <v>0</v>
      </c>
      <c r="AL26">
        <f>IF((AND(VLOOKUP(AL$1,main!$A$3:$I$56,5,FALSE)-VLOOKUP($A26,main!$A$3:$I$56,6,FALSE)&gt;=(VLOOKUP(VLOOKUP(AL$1,main!$A$3:$I$56,8,FALSE),main!$K$11:$M$14,2,FALSE)+VLOOKUP(VLOOKUP(AL$1,main!$A$3:$I$56,7,FALSE),main!$K$19:$O$22,MATCH(VLOOKUP($A26,main!$A$3:$I$56,8,FALSE),main!$K$18:$O$18,0))))),1,0)</f>
        <v>0</v>
      </c>
      <c r="AM26">
        <f>IF((AND(VLOOKUP(AM$1,main!$A$3:$I$56,5,FALSE)-VLOOKUP($A26,main!$A$3:$I$56,6,FALSE)&gt;=(VLOOKUP(VLOOKUP(AM$1,main!$A$3:$I$56,8,FALSE),main!$K$11:$M$14,2,FALSE)+VLOOKUP(VLOOKUP(AM$1,main!$A$3:$I$56,7,FALSE),main!$K$19:$O$22,MATCH(VLOOKUP($A26,main!$A$3:$I$56,8,FALSE),main!$K$18:$O$18,0))))),1,0)</f>
        <v>0</v>
      </c>
      <c r="AN26">
        <f>IF((AND(VLOOKUP(AN$1,main!$A$3:$I$56,5,FALSE)-VLOOKUP($A26,main!$A$3:$I$56,6,FALSE)&gt;=(VLOOKUP(VLOOKUP(AN$1,main!$A$3:$I$56,8,FALSE),main!$K$11:$M$14,2,FALSE)+VLOOKUP(VLOOKUP(AN$1,main!$A$3:$I$56,7,FALSE),main!$K$19:$O$22,MATCH(VLOOKUP($A26,main!$A$3:$I$56,8,FALSE),main!$K$18:$O$18,0))))),1,0)</f>
        <v>0</v>
      </c>
      <c r="AO26">
        <f>IF((AND(VLOOKUP(AO$1,main!$A$3:$I$56,5,FALSE)-VLOOKUP($A26,main!$A$3:$I$56,6,FALSE)&gt;=(VLOOKUP(VLOOKUP(AO$1,main!$A$3:$I$56,8,FALSE),main!$K$11:$M$14,2,FALSE)+VLOOKUP(VLOOKUP(AO$1,main!$A$3:$I$56,7,FALSE),main!$K$19:$O$22,MATCH(VLOOKUP($A26,main!$A$3:$I$56,8,FALSE),main!$K$18:$O$18,0))))),1,0)</f>
        <v>0</v>
      </c>
      <c r="AP26">
        <f>IF((AND(VLOOKUP(AP$1,main!$A$3:$I$56,5,FALSE)-VLOOKUP($A26,main!$A$3:$I$56,6,FALSE)&gt;=(VLOOKUP(VLOOKUP(AP$1,main!$A$3:$I$56,8,FALSE),main!$K$11:$M$14,2,FALSE)+VLOOKUP(VLOOKUP(AP$1,main!$A$3:$I$56,7,FALSE),main!$K$19:$O$22,MATCH(VLOOKUP($A26,main!$A$3:$I$56,8,FALSE),main!$K$18:$O$18,0))))),1,0)</f>
        <v>0</v>
      </c>
      <c r="AQ26">
        <f>IF((AND(VLOOKUP(AQ$1,main!$A$3:$I$56,5,FALSE)-VLOOKUP($A26,main!$A$3:$I$56,6,FALSE)&gt;=(VLOOKUP(VLOOKUP(AQ$1,main!$A$3:$I$56,8,FALSE),main!$K$11:$M$14,2,FALSE)+VLOOKUP(VLOOKUP(AQ$1,main!$A$3:$I$56,7,FALSE),main!$K$19:$O$22,MATCH(VLOOKUP($A26,main!$A$3:$I$56,8,FALSE),main!$K$18:$O$18,0))))),1,0)</f>
        <v>0</v>
      </c>
      <c r="AR26">
        <f>IF((AND(VLOOKUP(AR$1,main!$A$3:$I$56,5,FALSE)-VLOOKUP($A26,main!$A$3:$I$56,6,FALSE)&gt;=(VLOOKUP(VLOOKUP(AR$1,main!$A$3:$I$56,8,FALSE),main!$K$11:$M$14,2,FALSE)+VLOOKUP(VLOOKUP(AR$1,main!$A$3:$I$56,7,FALSE),main!$K$19:$O$22,MATCH(VLOOKUP($A26,main!$A$3:$I$56,8,FALSE),main!$K$18:$O$18,0))))),1,0)</f>
        <v>0</v>
      </c>
      <c r="AS26">
        <f>IF((AND(VLOOKUP(AS$1,main!$A$3:$I$56,5,FALSE)-VLOOKUP($A26,main!$A$3:$I$56,6,FALSE)&gt;=(VLOOKUP(VLOOKUP(AS$1,main!$A$3:$I$56,8,FALSE),main!$K$11:$M$14,2,FALSE)+VLOOKUP(VLOOKUP(AS$1,main!$A$3:$I$56,7,FALSE),main!$K$19:$O$22,MATCH(VLOOKUP($A26,main!$A$3:$I$56,8,FALSE),main!$K$18:$O$18,0))))),1,0)</f>
        <v>0</v>
      </c>
      <c r="AT26">
        <f>IF((AND(VLOOKUP(AT$1,main!$A$3:$I$56,5,FALSE)-VLOOKUP($A26,main!$A$3:$I$56,6,FALSE)&gt;=(VLOOKUP(VLOOKUP(AT$1,main!$A$3:$I$56,8,FALSE),main!$K$11:$M$14,2,FALSE)+VLOOKUP(VLOOKUP(AT$1,main!$A$3:$I$56,7,FALSE),main!$K$19:$O$22,MATCH(VLOOKUP($A26,main!$A$3:$I$56,8,FALSE),main!$K$18:$O$18,0))))),1,0)</f>
        <v>0</v>
      </c>
      <c r="AU26">
        <f>IF((AND(VLOOKUP(AU$1,main!$A$3:$I$56,5,FALSE)-VLOOKUP($A26,main!$A$3:$I$56,6,FALSE)&gt;=(VLOOKUP(VLOOKUP(AU$1,main!$A$3:$I$56,8,FALSE),main!$K$11:$M$14,2,FALSE)+VLOOKUP(VLOOKUP(AU$1,main!$A$3:$I$56,7,FALSE),main!$K$19:$O$22,MATCH(VLOOKUP($A26,main!$A$3:$I$56,8,FALSE),main!$K$18:$O$18,0))))),1,0)</f>
        <v>0</v>
      </c>
      <c r="AV26">
        <f>IF((AND(VLOOKUP(AV$1,main!$A$3:$I$56,5,FALSE)-VLOOKUP($A26,main!$A$3:$I$56,6,FALSE)&gt;=(VLOOKUP(VLOOKUP(AV$1,main!$A$3:$I$56,8,FALSE),main!$K$11:$M$14,2,FALSE)+VLOOKUP(VLOOKUP(AV$1,main!$A$3:$I$56,7,FALSE),main!$K$19:$O$22,MATCH(VLOOKUP($A26,main!$A$3:$I$56,8,FALSE),main!$K$18:$O$18,0))))),1,0)</f>
        <v>0</v>
      </c>
      <c r="AW26">
        <f>IF((AND(VLOOKUP(AW$1,main!$A$3:$I$56,5,FALSE)-VLOOKUP($A26,main!$A$3:$I$56,6,FALSE)&gt;=(VLOOKUP(VLOOKUP(AW$1,main!$A$3:$I$56,8,FALSE),main!$K$11:$M$14,2,FALSE)+VLOOKUP(VLOOKUP(AW$1,main!$A$3:$I$56,7,FALSE),main!$K$19:$O$22,MATCH(VLOOKUP($A26,main!$A$3:$I$56,8,FALSE),main!$K$18:$O$18,0))))),1,0)</f>
        <v>0</v>
      </c>
      <c r="AX26">
        <f>IF((AND(VLOOKUP(AX$1,main!$A$3:$I$56,5,FALSE)-VLOOKUP($A26,main!$A$3:$I$56,6,FALSE)&gt;=(VLOOKUP(VLOOKUP(AX$1,main!$A$3:$I$56,8,FALSE),main!$K$11:$M$14,2,FALSE)+VLOOKUP(VLOOKUP(AX$1,main!$A$3:$I$56,7,FALSE),main!$K$19:$O$22,MATCH(VLOOKUP($A26,main!$A$3:$I$56,8,FALSE),main!$K$18:$O$18,0))))),1,0)</f>
        <v>0</v>
      </c>
      <c r="AY26">
        <f>IF((AND(VLOOKUP(AY$1,main!$A$3:$I$56,5,FALSE)-VLOOKUP($A26,main!$A$3:$I$56,6,FALSE)&gt;=(VLOOKUP(VLOOKUP(AY$1,main!$A$3:$I$56,8,FALSE),main!$K$11:$M$14,2,FALSE)+VLOOKUP(VLOOKUP(AY$1,main!$A$3:$I$56,7,FALSE),main!$K$19:$O$22,MATCH(VLOOKUP($A26,main!$A$3:$I$56,8,FALSE),main!$K$18:$O$18,0))))),1,0)</f>
        <v>1</v>
      </c>
      <c r="AZ26">
        <f>IF((AND(VLOOKUP(AZ$1,main!$A$3:$I$56,5,FALSE)-VLOOKUP($A26,main!$A$3:$I$56,6,FALSE)&gt;=(VLOOKUP(VLOOKUP(AZ$1,main!$A$3:$I$56,8,FALSE),main!$K$11:$M$14,2,FALSE)+VLOOKUP(VLOOKUP(AZ$1,main!$A$3:$I$56,7,FALSE),main!$K$19:$O$22,MATCH(VLOOKUP($A26,main!$A$3:$I$56,8,FALSE),main!$K$18:$O$18,0))))),1,0)</f>
        <v>0</v>
      </c>
      <c r="BA26">
        <f>IF((AND(VLOOKUP(BA$1,main!$A$3:$I$56,5,FALSE)-VLOOKUP($A26,main!$A$3:$I$56,6,FALSE)&gt;=(VLOOKUP(VLOOKUP(BA$1,main!$A$3:$I$56,8,FALSE),main!$K$11:$M$14,2,FALSE)+VLOOKUP(VLOOKUP(BA$1,main!$A$3:$I$56,7,FALSE),main!$K$19:$O$22,MATCH(VLOOKUP($A26,main!$A$3:$I$56,8,FALSE),main!$K$18:$O$18,0))))),1,0)</f>
        <v>0</v>
      </c>
      <c r="BB26">
        <f>IF((AND(VLOOKUP(BB$1,main!$A$3:$I$56,5,FALSE)-VLOOKUP($A26,main!$A$3:$I$56,6,FALSE)&gt;=(VLOOKUP(VLOOKUP(BB$1,main!$A$3:$I$56,8,FALSE),main!$K$11:$M$14,2,FALSE)+VLOOKUP(VLOOKUP(BB$1,main!$A$3:$I$56,7,FALSE),main!$K$19:$O$22,MATCH(VLOOKUP($A26,main!$A$3:$I$56,8,FALSE),main!$K$18:$O$18,0))))),1,0)</f>
        <v>0</v>
      </c>
      <c r="BC26">
        <f>IF((AND(VLOOKUP(BC$1,main!$A$3:$I$56,5,FALSE)-VLOOKUP($A26,main!$A$3:$I$56,6,FALSE)&gt;=(VLOOKUP(VLOOKUP(BC$1,main!$A$3:$I$56,8,FALSE),main!$K$11:$M$14,2,FALSE)+VLOOKUP(VLOOKUP(BC$1,main!$A$3:$I$56,7,FALSE),main!$K$19:$O$22,MATCH(VLOOKUP($A26,main!$A$3:$I$56,8,FALSE),main!$K$18:$O$18,0))))),1,0)</f>
        <v>0</v>
      </c>
      <c r="BD26">
        <f>IF((AND(VLOOKUP(BD$1,main!$A$3:$I$56,5,FALSE)-VLOOKUP($A26,main!$A$3:$I$56,6,FALSE)&gt;=(VLOOKUP(VLOOKUP(BD$1,main!$A$3:$I$56,8,FALSE),main!$K$11:$M$14,2,FALSE)+VLOOKUP(VLOOKUP(BD$1,main!$A$3:$I$56,7,FALSE),main!$K$19:$O$22,MATCH(VLOOKUP($A26,main!$A$3:$I$56,8,FALSE),main!$K$18:$O$18,0))))),1,0)</f>
        <v>0</v>
      </c>
    </row>
    <row r="27" spans="1:56" x14ac:dyDescent="0.25">
      <c r="A27">
        <f t="shared" si="0"/>
        <v>25</v>
      </c>
      <c r="B27">
        <v>1</v>
      </c>
      <c r="C27">
        <f>IF((AND(VLOOKUP(C$1,main!$A$3:$I$56,5,FALSE)-VLOOKUP($A27,main!$A$3:$I$56,6,FALSE)&gt;=(VLOOKUP(VLOOKUP(C$1,main!$A$3:$I$56,8,FALSE),main!$K$11:$M$14,2,FALSE)+VLOOKUP(VLOOKUP(C$1,main!$A$3:$I$56,7,FALSE),main!$K$19:$O$22,MATCH(VLOOKUP($A27,main!$A$3:$I$56,8,FALSE),main!$K$18:$O$18,0))))),1,0)</f>
        <v>0</v>
      </c>
      <c r="D27">
        <f>IF((AND(VLOOKUP(D$1,main!$A$3:$I$56,5,FALSE)-VLOOKUP($A27,main!$A$3:$I$56,6,FALSE)&gt;=(VLOOKUP(VLOOKUP(D$1,main!$A$3:$I$56,8,FALSE),main!$K$11:$M$14,2,FALSE)+VLOOKUP(VLOOKUP(D$1,main!$A$3:$I$56,7,FALSE),main!$K$19:$O$22,MATCH(VLOOKUP($A27,main!$A$3:$I$56,8,FALSE),main!$K$18:$O$18,0))))),1,0)</f>
        <v>0</v>
      </c>
      <c r="E27">
        <f>IF((AND(VLOOKUP(E$1,main!$A$3:$I$56,5,FALSE)-VLOOKUP($A27,main!$A$3:$I$56,6,FALSE)&gt;=(VLOOKUP(VLOOKUP(E$1,main!$A$3:$I$56,8,FALSE),main!$K$11:$M$14,2,FALSE)+VLOOKUP(VLOOKUP(E$1,main!$A$3:$I$56,7,FALSE),main!$K$19:$O$22,MATCH(VLOOKUP($A27,main!$A$3:$I$56,8,FALSE),main!$K$18:$O$18,0))))),1,0)</f>
        <v>0</v>
      </c>
      <c r="F27">
        <f>IF((AND(VLOOKUP(F$1,main!$A$3:$I$56,5,FALSE)-VLOOKUP($A27,main!$A$3:$I$56,6,FALSE)&gt;=(VLOOKUP(VLOOKUP(F$1,main!$A$3:$I$56,8,FALSE),main!$K$11:$M$14,2,FALSE)+VLOOKUP(VLOOKUP(F$1,main!$A$3:$I$56,7,FALSE),main!$K$19:$O$22,MATCH(VLOOKUP($A27,main!$A$3:$I$56,8,FALSE),main!$K$18:$O$18,0))))),1,0)</f>
        <v>0</v>
      </c>
      <c r="G27">
        <f>IF((AND(VLOOKUP(G$1,main!$A$3:$I$56,5,FALSE)-VLOOKUP($A27,main!$A$3:$I$56,6,FALSE)&gt;=(VLOOKUP(VLOOKUP(G$1,main!$A$3:$I$56,8,FALSE),main!$K$11:$M$14,2,FALSE)+VLOOKUP(VLOOKUP(G$1,main!$A$3:$I$56,7,FALSE),main!$K$19:$O$22,MATCH(VLOOKUP($A27,main!$A$3:$I$56,8,FALSE),main!$K$18:$O$18,0))))),1,0)</f>
        <v>0</v>
      </c>
      <c r="H27">
        <f>IF((AND(VLOOKUP(H$1,main!$A$3:$I$56,5,FALSE)-VLOOKUP($A27,main!$A$3:$I$56,6,FALSE)&gt;=(VLOOKUP(VLOOKUP(H$1,main!$A$3:$I$56,8,FALSE),main!$K$11:$M$14,2,FALSE)+VLOOKUP(VLOOKUP(H$1,main!$A$3:$I$56,7,FALSE),main!$K$19:$O$22,MATCH(VLOOKUP($A27,main!$A$3:$I$56,8,FALSE),main!$K$18:$O$18,0))))),1,0)</f>
        <v>0</v>
      </c>
      <c r="I27">
        <f>IF((AND(VLOOKUP(I$1,main!$A$3:$I$56,5,FALSE)-VLOOKUP($A27,main!$A$3:$I$56,6,FALSE)&gt;=(VLOOKUP(VLOOKUP(I$1,main!$A$3:$I$56,8,FALSE),main!$K$11:$M$14,2,FALSE)+VLOOKUP(VLOOKUP(I$1,main!$A$3:$I$56,7,FALSE),main!$K$19:$O$22,MATCH(VLOOKUP($A27,main!$A$3:$I$56,8,FALSE),main!$K$18:$O$18,0))))),1,0)</f>
        <v>0</v>
      </c>
      <c r="J27">
        <f>IF((AND(VLOOKUP(J$1,main!$A$3:$I$56,5,FALSE)-VLOOKUP($A27,main!$A$3:$I$56,6,FALSE)&gt;=(VLOOKUP(VLOOKUP(J$1,main!$A$3:$I$56,8,FALSE),main!$K$11:$M$14,2,FALSE)+VLOOKUP(VLOOKUP(J$1,main!$A$3:$I$56,7,FALSE),main!$K$19:$O$22,MATCH(VLOOKUP($A27,main!$A$3:$I$56,8,FALSE),main!$K$18:$O$18,0))))),1,0)</f>
        <v>0</v>
      </c>
      <c r="K27">
        <f>IF((AND(VLOOKUP(K$1,main!$A$3:$I$56,5,FALSE)-VLOOKUP($A27,main!$A$3:$I$56,6,FALSE)&gt;=(VLOOKUP(VLOOKUP(K$1,main!$A$3:$I$56,8,FALSE),main!$K$11:$M$14,2,FALSE)+VLOOKUP(VLOOKUP(K$1,main!$A$3:$I$56,7,FALSE),main!$K$19:$O$22,MATCH(VLOOKUP($A27,main!$A$3:$I$56,8,FALSE),main!$K$18:$O$18,0))))),1,0)</f>
        <v>0</v>
      </c>
      <c r="L27">
        <f>IF((AND(VLOOKUP(L$1,main!$A$3:$I$56,5,FALSE)-VLOOKUP($A27,main!$A$3:$I$56,6,FALSE)&gt;=(VLOOKUP(VLOOKUP(L$1,main!$A$3:$I$56,8,FALSE),main!$K$11:$M$14,2,FALSE)+VLOOKUP(VLOOKUP(L$1,main!$A$3:$I$56,7,FALSE),main!$K$19:$O$22,MATCH(VLOOKUP($A27,main!$A$3:$I$56,8,FALSE),main!$K$18:$O$18,0))))),1,0)</f>
        <v>0</v>
      </c>
      <c r="M27">
        <f>IF((AND(VLOOKUP(M$1,main!$A$3:$I$56,5,FALSE)-VLOOKUP($A27,main!$A$3:$I$56,6,FALSE)&gt;=(VLOOKUP(VLOOKUP(M$1,main!$A$3:$I$56,8,FALSE),main!$K$11:$M$14,2,FALSE)+VLOOKUP(VLOOKUP(M$1,main!$A$3:$I$56,7,FALSE),main!$K$19:$O$22,MATCH(VLOOKUP($A27,main!$A$3:$I$56,8,FALSE),main!$K$18:$O$18,0))))),1,0)</f>
        <v>0</v>
      </c>
      <c r="N27">
        <f>IF((AND(VLOOKUP(N$1,main!$A$3:$I$56,5,FALSE)-VLOOKUP($A27,main!$A$3:$I$56,6,FALSE)&gt;=(VLOOKUP(VLOOKUP(N$1,main!$A$3:$I$56,8,FALSE),main!$K$11:$M$14,2,FALSE)+VLOOKUP(VLOOKUP(N$1,main!$A$3:$I$56,7,FALSE),main!$K$19:$O$22,MATCH(VLOOKUP($A27,main!$A$3:$I$56,8,FALSE),main!$K$18:$O$18,0))))),1,0)</f>
        <v>0</v>
      </c>
      <c r="O27">
        <f>IF((AND(VLOOKUP(O$1,main!$A$3:$I$56,5,FALSE)-VLOOKUP($A27,main!$A$3:$I$56,6,FALSE)&gt;=(VLOOKUP(VLOOKUP(O$1,main!$A$3:$I$56,8,FALSE),main!$K$11:$M$14,2,FALSE)+VLOOKUP(VLOOKUP(O$1,main!$A$3:$I$56,7,FALSE),main!$K$19:$O$22,MATCH(VLOOKUP($A27,main!$A$3:$I$56,8,FALSE),main!$K$18:$O$18,0))))),1,0)</f>
        <v>0</v>
      </c>
      <c r="P27">
        <f>IF((AND(VLOOKUP(P$1,main!$A$3:$I$56,5,FALSE)-VLOOKUP($A27,main!$A$3:$I$56,6,FALSE)&gt;=(VLOOKUP(VLOOKUP(P$1,main!$A$3:$I$56,8,FALSE),main!$K$11:$M$14,2,FALSE)+VLOOKUP(VLOOKUP(P$1,main!$A$3:$I$56,7,FALSE),main!$K$19:$O$22,MATCH(VLOOKUP($A27,main!$A$3:$I$56,8,FALSE),main!$K$18:$O$18,0))))),1,0)</f>
        <v>0</v>
      </c>
      <c r="Q27">
        <f>IF((AND(VLOOKUP(Q$1,main!$A$3:$I$56,5,FALSE)-VLOOKUP($A27,main!$A$3:$I$56,6,FALSE)&gt;=(VLOOKUP(VLOOKUP(Q$1,main!$A$3:$I$56,8,FALSE),main!$K$11:$M$14,2,FALSE)+VLOOKUP(VLOOKUP(Q$1,main!$A$3:$I$56,7,FALSE),main!$K$19:$O$22,MATCH(VLOOKUP($A27,main!$A$3:$I$56,8,FALSE),main!$K$18:$O$18,0))))),1,0)</f>
        <v>0</v>
      </c>
      <c r="R27">
        <f>IF((AND(VLOOKUP(R$1,main!$A$3:$I$56,5,FALSE)-VLOOKUP($A27,main!$A$3:$I$56,6,FALSE)&gt;=(VLOOKUP(VLOOKUP(R$1,main!$A$3:$I$56,8,FALSE),main!$K$11:$M$14,2,FALSE)+VLOOKUP(VLOOKUP(R$1,main!$A$3:$I$56,7,FALSE),main!$K$19:$O$22,MATCH(VLOOKUP($A27,main!$A$3:$I$56,8,FALSE),main!$K$18:$O$18,0))))),1,0)</f>
        <v>0</v>
      </c>
      <c r="S27">
        <f>IF((AND(VLOOKUP(S$1,main!$A$3:$I$56,5,FALSE)-VLOOKUP($A27,main!$A$3:$I$56,6,FALSE)&gt;=(VLOOKUP(VLOOKUP(S$1,main!$A$3:$I$56,8,FALSE),main!$K$11:$M$14,2,FALSE)+VLOOKUP(VLOOKUP(S$1,main!$A$3:$I$56,7,FALSE),main!$K$19:$O$22,MATCH(VLOOKUP($A27,main!$A$3:$I$56,8,FALSE),main!$K$18:$O$18,0))))),1,0)</f>
        <v>0</v>
      </c>
      <c r="T27">
        <f>IF((AND(VLOOKUP(T$1,main!$A$3:$I$56,5,FALSE)-VLOOKUP($A27,main!$A$3:$I$56,6,FALSE)&gt;=(VLOOKUP(VLOOKUP(T$1,main!$A$3:$I$56,8,FALSE),main!$K$11:$M$14,2,FALSE)+VLOOKUP(VLOOKUP(T$1,main!$A$3:$I$56,7,FALSE),main!$K$19:$O$22,MATCH(VLOOKUP($A27,main!$A$3:$I$56,8,FALSE),main!$K$18:$O$18,0))))),1,0)</f>
        <v>0</v>
      </c>
      <c r="U27">
        <f>IF((AND(VLOOKUP(U$1,main!$A$3:$I$56,5,FALSE)-VLOOKUP($A27,main!$A$3:$I$56,6,FALSE)&gt;=(VLOOKUP(VLOOKUP(U$1,main!$A$3:$I$56,8,FALSE),main!$K$11:$M$14,2,FALSE)+VLOOKUP(VLOOKUP(U$1,main!$A$3:$I$56,7,FALSE),main!$K$19:$O$22,MATCH(VLOOKUP($A27,main!$A$3:$I$56,8,FALSE),main!$K$18:$O$18,0))))),1,0)</f>
        <v>0</v>
      </c>
      <c r="V27">
        <f>IF((AND(VLOOKUP(V$1,main!$A$3:$I$56,5,FALSE)-VLOOKUP($A27,main!$A$3:$I$56,6,FALSE)&gt;=(VLOOKUP(VLOOKUP(V$1,main!$A$3:$I$56,8,FALSE),main!$K$11:$M$14,2,FALSE)+VLOOKUP(VLOOKUP(V$1,main!$A$3:$I$56,7,FALSE),main!$K$19:$O$22,MATCH(VLOOKUP($A27,main!$A$3:$I$56,8,FALSE),main!$K$18:$O$18,0))))),1,0)</f>
        <v>0</v>
      </c>
      <c r="W27">
        <f>IF((AND(VLOOKUP(W$1,main!$A$3:$I$56,5,FALSE)-VLOOKUP($A27,main!$A$3:$I$56,6,FALSE)&gt;=(VLOOKUP(VLOOKUP(W$1,main!$A$3:$I$56,8,FALSE),main!$K$11:$M$14,2,FALSE)+VLOOKUP(VLOOKUP(W$1,main!$A$3:$I$56,7,FALSE),main!$K$19:$O$22,MATCH(VLOOKUP($A27,main!$A$3:$I$56,8,FALSE),main!$K$18:$O$18,0))))),1,0)</f>
        <v>0</v>
      </c>
      <c r="X27">
        <f>IF((AND(VLOOKUP(X$1,main!$A$3:$I$56,5,FALSE)-VLOOKUP($A27,main!$A$3:$I$56,6,FALSE)&gt;=(VLOOKUP(VLOOKUP(X$1,main!$A$3:$I$56,8,FALSE),main!$K$11:$M$14,2,FALSE)+VLOOKUP(VLOOKUP(X$1,main!$A$3:$I$56,7,FALSE),main!$K$19:$O$22,MATCH(VLOOKUP($A27,main!$A$3:$I$56,8,FALSE),main!$K$18:$O$18,0))))),1,0)</f>
        <v>0</v>
      </c>
      <c r="Y27">
        <f>IF((AND(VLOOKUP(Y$1,main!$A$3:$I$56,5,FALSE)-VLOOKUP($A27,main!$A$3:$I$56,6,FALSE)&gt;=(VLOOKUP(VLOOKUP(Y$1,main!$A$3:$I$56,8,FALSE),main!$K$11:$M$14,2,FALSE)+VLOOKUP(VLOOKUP(Y$1,main!$A$3:$I$56,7,FALSE),main!$K$19:$O$22,MATCH(VLOOKUP($A27,main!$A$3:$I$56,8,FALSE),main!$K$18:$O$18,0))))),1,0)</f>
        <v>0</v>
      </c>
      <c r="Z27">
        <f>IF((AND(VLOOKUP(Z$1,main!$A$3:$I$56,5,FALSE)-VLOOKUP($A27,main!$A$3:$I$56,6,FALSE)&gt;=(VLOOKUP(VLOOKUP(Z$1,main!$A$3:$I$56,8,FALSE),main!$K$11:$M$14,2,FALSE)+VLOOKUP(VLOOKUP(Z$1,main!$A$3:$I$56,7,FALSE),main!$K$19:$O$22,MATCH(VLOOKUP($A27,main!$A$3:$I$56,8,FALSE),main!$K$18:$O$18,0))))),1,0)</f>
        <v>0</v>
      </c>
      <c r="AA27">
        <f>IF((AND(VLOOKUP(AA$1,main!$A$3:$I$56,5,FALSE)-VLOOKUP($A27,main!$A$3:$I$56,6,FALSE)&gt;=(VLOOKUP(VLOOKUP(AA$1,main!$A$3:$I$56,8,FALSE),main!$K$11:$M$14,2,FALSE)+VLOOKUP(VLOOKUP(AA$1,main!$A$3:$I$56,7,FALSE),main!$K$19:$O$22,MATCH(VLOOKUP($A27,main!$A$3:$I$56,8,FALSE),main!$K$18:$O$18,0))))),1,0)</f>
        <v>0</v>
      </c>
      <c r="AB27">
        <f>IF((AND(VLOOKUP(AB$1,main!$A$3:$I$56,5,FALSE)-VLOOKUP($A27,main!$A$3:$I$56,6,FALSE)&gt;=(VLOOKUP(VLOOKUP(AB$1,main!$A$3:$I$56,8,FALSE),main!$K$11:$M$14,2,FALSE)+VLOOKUP(VLOOKUP(AB$1,main!$A$3:$I$56,7,FALSE),main!$K$19:$O$22,MATCH(VLOOKUP($A27,main!$A$3:$I$56,8,FALSE),main!$K$18:$O$18,0))))),1,0)</f>
        <v>0</v>
      </c>
      <c r="AC27">
        <f>IF((AND(VLOOKUP(AC$1,main!$A$3:$I$56,5,FALSE)-VLOOKUP($A27,main!$A$3:$I$56,6,FALSE)&gt;=(VLOOKUP(VLOOKUP(AC$1,main!$A$3:$I$56,8,FALSE),main!$K$11:$M$14,2,FALSE)+VLOOKUP(VLOOKUP(AC$1,main!$A$3:$I$56,7,FALSE),main!$K$19:$O$22,MATCH(VLOOKUP($A27,main!$A$3:$I$56,8,FALSE),main!$K$18:$O$18,0))))),1,0)</f>
        <v>0</v>
      </c>
      <c r="AD27">
        <f>IF((AND(VLOOKUP(AD$1,main!$A$3:$I$56,5,FALSE)-VLOOKUP($A27,main!$A$3:$I$56,6,FALSE)&gt;=(VLOOKUP(VLOOKUP(AD$1,main!$A$3:$I$56,8,FALSE),main!$K$11:$M$14,2,FALSE)+VLOOKUP(VLOOKUP(AD$1,main!$A$3:$I$56,7,FALSE),main!$K$19:$O$22,MATCH(VLOOKUP($A27,main!$A$3:$I$56,8,FALSE),main!$K$18:$O$18,0))))),1,0)</f>
        <v>0</v>
      </c>
      <c r="AE27">
        <f>IF((AND(VLOOKUP(AE$1,main!$A$3:$I$56,5,FALSE)-VLOOKUP($A27,main!$A$3:$I$56,6,FALSE)&gt;=(VLOOKUP(VLOOKUP(AE$1,main!$A$3:$I$56,8,FALSE),main!$K$11:$M$14,2,FALSE)+VLOOKUP(VLOOKUP(AE$1,main!$A$3:$I$56,7,FALSE),main!$K$19:$O$22,MATCH(VLOOKUP($A27,main!$A$3:$I$56,8,FALSE),main!$K$18:$O$18,0))))),1,0)</f>
        <v>0</v>
      </c>
      <c r="AF27">
        <f>IF((AND(VLOOKUP(AF$1,main!$A$3:$I$56,5,FALSE)-VLOOKUP($A27,main!$A$3:$I$56,6,FALSE)&gt;=(VLOOKUP(VLOOKUP(AF$1,main!$A$3:$I$56,8,FALSE),main!$K$11:$M$14,2,FALSE)+VLOOKUP(VLOOKUP(AF$1,main!$A$3:$I$56,7,FALSE),main!$K$19:$O$22,MATCH(VLOOKUP($A27,main!$A$3:$I$56,8,FALSE),main!$K$18:$O$18,0))))),1,0)</f>
        <v>0</v>
      </c>
      <c r="AG27">
        <f>IF((AND(VLOOKUP(AG$1,main!$A$3:$I$56,5,FALSE)-VLOOKUP($A27,main!$A$3:$I$56,6,FALSE)&gt;=(VLOOKUP(VLOOKUP(AG$1,main!$A$3:$I$56,8,FALSE),main!$K$11:$M$14,2,FALSE)+VLOOKUP(VLOOKUP(AG$1,main!$A$3:$I$56,7,FALSE),main!$K$19:$O$22,MATCH(VLOOKUP($A27,main!$A$3:$I$56,8,FALSE),main!$K$18:$O$18,0))))),1,0)</f>
        <v>0</v>
      </c>
      <c r="AH27">
        <f>IF((AND(VLOOKUP(AH$1,main!$A$3:$I$56,5,FALSE)-VLOOKUP($A27,main!$A$3:$I$56,6,FALSE)&gt;=(VLOOKUP(VLOOKUP(AH$1,main!$A$3:$I$56,8,FALSE),main!$K$11:$M$14,2,FALSE)+VLOOKUP(VLOOKUP(AH$1,main!$A$3:$I$56,7,FALSE),main!$K$19:$O$22,MATCH(VLOOKUP($A27,main!$A$3:$I$56,8,FALSE),main!$K$18:$O$18,0))))),1,0)</f>
        <v>0</v>
      </c>
      <c r="AI27">
        <f>IF((AND(VLOOKUP(AI$1,main!$A$3:$I$56,5,FALSE)-VLOOKUP($A27,main!$A$3:$I$56,6,FALSE)&gt;=(VLOOKUP(VLOOKUP(AI$1,main!$A$3:$I$56,8,FALSE),main!$K$11:$M$14,2,FALSE)+VLOOKUP(VLOOKUP(AI$1,main!$A$3:$I$56,7,FALSE),main!$K$19:$O$22,MATCH(VLOOKUP($A27,main!$A$3:$I$56,8,FALSE),main!$K$18:$O$18,0))))),1,0)</f>
        <v>0</v>
      </c>
      <c r="AJ27">
        <f>IF((AND(VLOOKUP(AJ$1,main!$A$3:$I$56,5,FALSE)-VLOOKUP($A27,main!$A$3:$I$56,6,FALSE)&gt;=(VLOOKUP(VLOOKUP(AJ$1,main!$A$3:$I$56,8,FALSE),main!$K$11:$M$14,2,FALSE)+VLOOKUP(VLOOKUP(AJ$1,main!$A$3:$I$56,7,FALSE),main!$K$19:$O$22,MATCH(VLOOKUP($A27,main!$A$3:$I$56,8,FALSE),main!$K$18:$O$18,0))))),1,0)</f>
        <v>0</v>
      </c>
      <c r="AK27">
        <f>IF((AND(VLOOKUP(AK$1,main!$A$3:$I$56,5,FALSE)-VLOOKUP($A27,main!$A$3:$I$56,6,FALSE)&gt;=(VLOOKUP(VLOOKUP(AK$1,main!$A$3:$I$56,8,FALSE),main!$K$11:$M$14,2,FALSE)+VLOOKUP(VLOOKUP(AK$1,main!$A$3:$I$56,7,FALSE),main!$K$19:$O$22,MATCH(VLOOKUP($A27,main!$A$3:$I$56,8,FALSE),main!$K$18:$O$18,0))))),1,0)</f>
        <v>0</v>
      </c>
      <c r="AL27">
        <f>IF((AND(VLOOKUP(AL$1,main!$A$3:$I$56,5,FALSE)-VLOOKUP($A27,main!$A$3:$I$56,6,FALSE)&gt;=(VLOOKUP(VLOOKUP(AL$1,main!$A$3:$I$56,8,FALSE),main!$K$11:$M$14,2,FALSE)+VLOOKUP(VLOOKUP(AL$1,main!$A$3:$I$56,7,FALSE),main!$K$19:$O$22,MATCH(VLOOKUP($A27,main!$A$3:$I$56,8,FALSE),main!$K$18:$O$18,0))))),1,0)</f>
        <v>0</v>
      </c>
      <c r="AM27">
        <f>IF((AND(VLOOKUP(AM$1,main!$A$3:$I$56,5,FALSE)-VLOOKUP($A27,main!$A$3:$I$56,6,FALSE)&gt;=(VLOOKUP(VLOOKUP(AM$1,main!$A$3:$I$56,8,FALSE),main!$K$11:$M$14,2,FALSE)+VLOOKUP(VLOOKUP(AM$1,main!$A$3:$I$56,7,FALSE),main!$K$19:$O$22,MATCH(VLOOKUP($A27,main!$A$3:$I$56,8,FALSE),main!$K$18:$O$18,0))))),1,0)</f>
        <v>0</v>
      </c>
      <c r="AN27">
        <f>IF((AND(VLOOKUP(AN$1,main!$A$3:$I$56,5,FALSE)-VLOOKUP($A27,main!$A$3:$I$56,6,FALSE)&gt;=(VLOOKUP(VLOOKUP(AN$1,main!$A$3:$I$56,8,FALSE),main!$K$11:$M$14,2,FALSE)+VLOOKUP(VLOOKUP(AN$1,main!$A$3:$I$56,7,FALSE),main!$K$19:$O$22,MATCH(VLOOKUP($A27,main!$A$3:$I$56,8,FALSE),main!$K$18:$O$18,0))))),1,0)</f>
        <v>0</v>
      </c>
      <c r="AO27">
        <f>IF((AND(VLOOKUP(AO$1,main!$A$3:$I$56,5,FALSE)-VLOOKUP($A27,main!$A$3:$I$56,6,FALSE)&gt;=(VLOOKUP(VLOOKUP(AO$1,main!$A$3:$I$56,8,FALSE),main!$K$11:$M$14,2,FALSE)+VLOOKUP(VLOOKUP(AO$1,main!$A$3:$I$56,7,FALSE),main!$K$19:$O$22,MATCH(VLOOKUP($A27,main!$A$3:$I$56,8,FALSE),main!$K$18:$O$18,0))))),1,0)</f>
        <v>0</v>
      </c>
      <c r="AP27">
        <f>IF((AND(VLOOKUP(AP$1,main!$A$3:$I$56,5,FALSE)-VLOOKUP($A27,main!$A$3:$I$56,6,FALSE)&gt;=(VLOOKUP(VLOOKUP(AP$1,main!$A$3:$I$56,8,FALSE),main!$K$11:$M$14,2,FALSE)+VLOOKUP(VLOOKUP(AP$1,main!$A$3:$I$56,7,FALSE),main!$K$19:$O$22,MATCH(VLOOKUP($A27,main!$A$3:$I$56,8,FALSE),main!$K$18:$O$18,0))))),1,0)</f>
        <v>0</v>
      </c>
      <c r="AQ27">
        <f>IF((AND(VLOOKUP(AQ$1,main!$A$3:$I$56,5,FALSE)-VLOOKUP($A27,main!$A$3:$I$56,6,FALSE)&gt;=(VLOOKUP(VLOOKUP(AQ$1,main!$A$3:$I$56,8,FALSE),main!$K$11:$M$14,2,FALSE)+VLOOKUP(VLOOKUP(AQ$1,main!$A$3:$I$56,7,FALSE),main!$K$19:$O$22,MATCH(VLOOKUP($A27,main!$A$3:$I$56,8,FALSE),main!$K$18:$O$18,0))))),1,0)</f>
        <v>0</v>
      </c>
      <c r="AR27">
        <f>IF((AND(VLOOKUP(AR$1,main!$A$3:$I$56,5,FALSE)-VLOOKUP($A27,main!$A$3:$I$56,6,FALSE)&gt;=(VLOOKUP(VLOOKUP(AR$1,main!$A$3:$I$56,8,FALSE),main!$K$11:$M$14,2,FALSE)+VLOOKUP(VLOOKUP(AR$1,main!$A$3:$I$56,7,FALSE),main!$K$19:$O$22,MATCH(VLOOKUP($A27,main!$A$3:$I$56,8,FALSE),main!$K$18:$O$18,0))))),1,0)</f>
        <v>0</v>
      </c>
      <c r="AS27">
        <f>IF((AND(VLOOKUP(AS$1,main!$A$3:$I$56,5,FALSE)-VLOOKUP($A27,main!$A$3:$I$56,6,FALSE)&gt;=(VLOOKUP(VLOOKUP(AS$1,main!$A$3:$I$56,8,FALSE),main!$K$11:$M$14,2,FALSE)+VLOOKUP(VLOOKUP(AS$1,main!$A$3:$I$56,7,FALSE),main!$K$19:$O$22,MATCH(VLOOKUP($A27,main!$A$3:$I$56,8,FALSE),main!$K$18:$O$18,0))))),1,0)</f>
        <v>0</v>
      </c>
      <c r="AT27">
        <f>IF((AND(VLOOKUP(AT$1,main!$A$3:$I$56,5,FALSE)-VLOOKUP($A27,main!$A$3:$I$56,6,FALSE)&gt;=(VLOOKUP(VLOOKUP(AT$1,main!$A$3:$I$56,8,FALSE),main!$K$11:$M$14,2,FALSE)+VLOOKUP(VLOOKUP(AT$1,main!$A$3:$I$56,7,FALSE),main!$K$19:$O$22,MATCH(VLOOKUP($A27,main!$A$3:$I$56,8,FALSE),main!$K$18:$O$18,0))))),1,0)</f>
        <v>0</v>
      </c>
      <c r="AU27">
        <f>IF((AND(VLOOKUP(AU$1,main!$A$3:$I$56,5,FALSE)-VLOOKUP($A27,main!$A$3:$I$56,6,FALSE)&gt;=(VLOOKUP(VLOOKUP(AU$1,main!$A$3:$I$56,8,FALSE),main!$K$11:$M$14,2,FALSE)+VLOOKUP(VLOOKUP(AU$1,main!$A$3:$I$56,7,FALSE),main!$K$19:$O$22,MATCH(VLOOKUP($A27,main!$A$3:$I$56,8,FALSE),main!$K$18:$O$18,0))))),1,0)</f>
        <v>0</v>
      </c>
      <c r="AV27">
        <f>IF((AND(VLOOKUP(AV$1,main!$A$3:$I$56,5,FALSE)-VLOOKUP($A27,main!$A$3:$I$56,6,FALSE)&gt;=(VLOOKUP(VLOOKUP(AV$1,main!$A$3:$I$56,8,FALSE),main!$K$11:$M$14,2,FALSE)+VLOOKUP(VLOOKUP(AV$1,main!$A$3:$I$56,7,FALSE),main!$K$19:$O$22,MATCH(VLOOKUP($A27,main!$A$3:$I$56,8,FALSE),main!$K$18:$O$18,0))))),1,0)</f>
        <v>0</v>
      </c>
      <c r="AW27">
        <f>IF((AND(VLOOKUP(AW$1,main!$A$3:$I$56,5,FALSE)-VLOOKUP($A27,main!$A$3:$I$56,6,FALSE)&gt;=(VLOOKUP(VLOOKUP(AW$1,main!$A$3:$I$56,8,FALSE),main!$K$11:$M$14,2,FALSE)+VLOOKUP(VLOOKUP(AW$1,main!$A$3:$I$56,7,FALSE),main!$K$19:$O$22,MATCH(VLOOKUP($A27,main!$A$3:$I$56,8,FALSE),main!$K$18:$O$18,0))))),1,0)</f>
        <v>0</v>
      </c>
      <c r="AX27">
        <f>IF((AND(VLOOKUP(AX$1,main!$A$3:$I$56,5,FALSE)-VLOOKUP($A27,main!$A$3:$I$56,6,FALSE)&gt;=(VLOOKUP(VLOOKUP(AX$1,main!$A$3:$I$56,8,FALSE),main!$K$11:$M$14,2,FALSE)+VLOOKUP(VLOOKUP(AX$1,main!$A$3:$I$56,7,FALSE),main!$K$19:$O$22,MATCH(VLOOKUP($A27,main!$A$3:$I$56,8,FALSE),main!$K$18:$O$18,0))))),1,0)</f>
        <v>0</v>
      </c>
      <c r="AY27">
        <f>IF((AND(VLOOKUP(AY$1,main!$A$3:$I$56,5,FALSE)-VLOOKUP($A27,main!$A$3:$I$56,6,FALSE)&gt;=(VLOOKUP(VLOOKUP(AY$1,main!$A$3:$I$56,8,FALSE),main!$K$11:$M$14,2,FALSE)+VLOOKUP(VLOOKUP(AY$1,main!$A$3:$I$56,7,FALSE),main!$K$19:$O$22,MATCH(VLOOKUP($A27,main!$A$3:$I$56,8,FALSE),main!$K$18:$O$18,0))))),1,0)</f>
        <v>0</v>
      </c>
      <c r="AZ27">
        <f>IF((AND(VLOOKUP(AZ$1,main!$A$3:$I$56,5,FALSE)-VLOOKUP($A27,main!$A$3:$I$56,6,FALSE)&gt;=(VLOOKUP(VLOOKUP(AZ$1,main!$A$3:$I$56,8,FALSE),main!$K$11:$M$14,2,FALSE)+VLOOKUP(VLOOKUP(AZ$1,main!$A$3:$I$56,7,FALSE),main!$K$19:$O$22,MATCH(VLOOKUP($A27,main!$A$3:$I$56,8,FALSE),main!$K$18:$O$18,0))))),1,0)</f>
        <v>0</v>
      </c>
      <c r="BA27">
        <f>IF((AND(VLOOKUP(BA$1,main!$A$3:$I$56,5,FALSE)-VLOOKUP($A27,main!$A$3:$I$56,6,FALSE)&gt;=(VLOOKUP(VLOOKUP(BA$1,main!$A$3:$I$56,8,FALSE),main!$K$11:$M$14,2,FALSE)+VLOOKUP(VLOOKUP(BA$1,main!$A$3:$I$56,7,FALSE),main!$K$19:$O$22,MATCH(VLOOKUP($A27,main!$A$3:$I$56,8,FALSE),main!$K$18:$O$18,0))))),1,0)</f>
        <v>0</v>
      </c>
      <c r="BB27">
        <f>IF((AND(VLOOKUP(BB$1,main!$A$3:$I$56,5,FALSE)-VLOOKUP($A27,main!$A$3:$I$56,6,FALSE)&gt;=(VLOOKUP(VLOOKUP(BB$1,main!$A$3:$I$56,8,FALSE),main!$K$11:$M$14,2,FALSE)+VLOOKUP(VLOOKUP(BB$1,main!$A$3:$I$56,7,FALSE),main!$K$19:$O$22,MATCH(VLOOKUP($A27,main!$A$3:$I$56,8,FALSE),main!$K$18:$O$18,0))))),1,0)</f>
        <v>0</v>
      </c>
      <c r="BC27">
        <f>IF((AND(VLOOKUP(BC$1,main!$A$3:$I$56,5,FALSE)-VLOOKUP($A27,main!$A$3:$I$56,6,FALSE)&gt;=(VLOOKUP(VLOOKUP(BC$1,main!$A$3:$I$56,8,FALSE),main!$K$11:$M$14,2,FALSE)+VLOOKUP(VLOOKUP(BC$1,main!$A$3:$I$56,7,FALSE),main!$K$19:$O$22,MATCH(VLOOKUP($A27,main!$A$3:$I$56,8,FALSE),main!$K$18:$O$18,0))))),1,0)</f>
        <v>0</v>
      </c>
      <c r="BD27">
        <f>IF((AND(VLOOKUP(BD$1,main!$A$3:$I$56,5,FALSE)-VLOOKUP($A27,main!$A$3:$I$56,6,FALSE)&gt;=(VLOOKUP(VLOOKUP(BD$1,main!$A$3:$I$56,8,FALSE),main!$K$11:$M$14,2,FALSE)+VLOOKUP(VLOOKUP(BD$1,main!$A$3:$I$56,7,FALSE),main!$K$19:$O$22,MATCH(VLOOKUP($A27,main!$A$3:$I$56,8,FALSE),main!$K$18:$O$18,0))))),1,0)</f>
        <v>0</v>
      </c>
    </row>
    <row r="28" spans="1:56" x14ac:dyDescent="0.25">
      <c r="A28">
        <f t="shared" si="0"/>
        <v>26</v>
      </c>
      <c r="B28">
        <v>1</v>
      </c>
      <c r="C28">
        <f>IF((AND(VLOOKUP(C$1,main!$A$3:$I$56,5,FALSE)-VLOOKUP($A28,main!$A$3:$I$56,6,FALSE)&gt;=(VLOOKUP(VLOOKUP(C$1,main!$A$3:$I$56,8,FALSE),main!$K$11:$M$14,2,FALSE)+VLOOKUP(VLOOKUP(C$1,main!$A$3:$I$56,7,FALSE),main!$K$19:$O$22,MATCH(VLOOKUP($A28,main!$A$3:$I$56,8,FALSE),main!$K$18:$O$18,0))))),1,0)</f>
        <v>0</v>
      </c>
      <c r="D28">
        <f>IF((AND(VLOOKUP(D$1,main!$A$3:$I$56,5,FALSE)-VLOOKUP($A28,main!$A$3:$I$56,6,FALSE)&gt;=(VLOOKUP(VLOOKUP(D$1,main!$A$3:$I$56,8,FALSE),main!$K$11:$M$14,2,FALSE)+VLOOKUP(VLOOKUP(D$1,main!$A$3:$I$56,7,FALSE),main!$K$19:$O$22,MATCH(VLOOKUP($A28,main!$A$3:$I$56,8,FALSE),main!$K$18:$O$18,0))))),1,0)</f>
        <v>0</v>
      </c>
      <c r="E28">
        <f>IF((AND(VLOOKUP(E$1,main!$A$3:$I$56,5,FALSE)-VLOOKUP($A28,main!$A$3:$I$56,6,FALSE)&gt;=(VLOOKUP(VLOOKUP(E$1,main!$A$3:$I$56,8,FALSE),main!$K$11:$M$14,2,FALSE)+VLOOKUP(VLOOKUP(E$1,main!$A$3:$I$56,7,FALSE),main!$K$19:$O$22,MATCH(VLOOKUP($A28,main!$A$3:$I$56,8,FALSE),main!$K$18:$O$18,0))))),1,0)</f>
        <v>0</v>
      </c>
      <c r="F28">
        <f>IF((AND(VLOOKUP(F$1,main!$A$3:$I$56,5,FALSE)-VLOOKUP($A28,main!$A$3:$I$56,6,FALSE)&gt;=(VLOOKUP(VLOOKUP(F$1,main!$A$3:$I$56,8,FALSE),main!$K$11:$M$14,2,FALSE)+VLOOKUP(VLOOKUP(F$1,main!$A$3:$I$56,7,FALSE),main!$K$19:$O$22,MATCH(VLOOKUP($A28,main!$A$3:$I$56,8,FALSE),main!$K$18:$O$18,0))))),1,0)</f>
        <v>0</v>
      </c>
      <c r="G28">
        <f>IF((AND(VLOOKUP(G$1,main!$A$3:$I$56,5,FALSE)-VLOOKUP($A28,main!$A$3:$I$56,6,FALSE)&gt;=(VLOOKUP(VLOOKUP(G$1,main!$A$3:$I$56,8,FALSE),main!$K$11:$M$14,2,FALSE)+VLOOKUP(VLOOKUP(G$1,main!$A$3:$I$56,7,FALSE),main!$K$19:$O$22,MATCH(VLOOKUP($A28,main!$A$3:$I$56,8,FALSE),main!$K$18:$O$18,0))))),1,0)</f>
        <v>0</v>
      </c>
      <c r="H28">
        <f>IF((AND(VLOOKUP(H$1,main!$A$3:$I$56,5,FALSE)-VLOOKUP($A28,main!$A$3:$I$56,6,FALSE)&gt;=(VLOOKUP(VLOOKUP(H$1,main!$A$3:$I$56,8,FALSE),main!$K$11:$M$14,2,FALSE)+VLOOKUP(VLOOKUP(H$1,main!$A$3:$I$56,7,FALSE),main!$K$19:$O$22,MATCH(VLOOKUP($A28,main!$A$3:$I$56,8,FALSE),main!$K$18:$O$18,0))))),1,0)</f>
        <v>0</v>
      </c>
      <c r="I28">
        <f>IF((AND(VLOOKUP(I$1,main!$A$3:$I$56,5,FALSE)-VLOOKUP($A28,main!$A$3:$I$56,6,FALSE)&gt;=(VLOOKUP(VLOOKUP(I$1,main!$A$3:$I$56,8,FALSE),main!$K$11:$M$14,2,FALSE)+VLOOKUP(VLOOKUP(I$1,main!$A$3:$I$56,7,FALSE),main!$K$19:$O$22,MATCH(VLOOKUP($A28,main!$A$3:$I$56,8,FALSE),main!$K$18:$O$18,0))))),1,0)</f>
        <v>0</v>
      </c>
      <c r="J28">
        <f>IF((AND(VLOOKUP(J$1,main!$A$3:$I$56,5,FALSE)-VLOOKUP($A28,main!$A$3:$I$56,6,FALSE)&gt;=(VLOOKUP(VLOOKUP(J$1,main!$A$3:$I$56,8,FALSE),main!$K$11:$M$14,2,FALSE)+VLOOKUP(VLOOKUP(J$1,main!$A$3:$I$56,7,FALSE),main!$K$19:$O$22,MATCH(VLOOKUP($A28,main!$A$3:$I$56,8,FALSE),main!$K$18:$O$18,0))))),1,0)</f>
        <v>0</v>
      </c>
      <c r="K28">
        <f>IF((AND(VLOOKUP(K$1,main!$A$3:$I$56,5,FALSE)-VLOOKUP($A28,main!$A$3:$I$56,6,FALSE)&gt;=(VLOOKUP(VLOOKUP(K$1,main!$A$3:$I$56,8,FALSE),main!$K$11:$M$14,2,FALSE)+VLOOKUP(VLOOKUP(K$1,main!$A$3:$I$56,7,FALSE),main!$K$19:$O$22,MATCH(VLOOKUP($A28,main!$A$3:$I$56,8,FALSE),main!$K$18:$O$18,0))))),1,0)</f>
        <v>0</v>
      </c>
      <c r="L28">
        <f>IF((AND(VLOOKUP(L$1,main!$A$3:$I$56,5,FALSE)-VLOOKUP($A28,main!$A$3:$I$56,6,FALSE)&gt;=(VLOOKUP(VLOOKUP(L$1,main!$A$3:$I$56,8,FALSE),main!$K$11:$M$14,2,FALSE)+VLOOKUP(VLOOKUP(L$1,main!$A$3:$I$56,7,FALSE),main!$K$19:$O$22,MATCH(VLOOKUP($A28,main!$A$3:$I$56,8,FALSE),main!$K$18:$O$18,0))))),1,0)</f>
        <v>0</v>
      </c>
      <c r="M28">
        <f>IF((AND(VLOOKUP(M$1,main!$A$3:$I$56,5,FALSE)-VLOOKUP($A28,main!$A$3:$I$56,6,FALSE)&gt;=(VLOOKUP(VLOOKUP(M$1,main!$A$3:$I$56,8,FALSE),main!$K$11:$M$14,2,FALSE)+VLOOKUP(VLOOKUP(M$1,main!$A$3:$I$56,7,FALSE),main!$K$19:$O$22,MATCH(VLOOKUP($A28,main!$A$3:$I$56,8,FALSE),main!$K$18:$O$18,0))))),1,0)</f>
        <v>0</v>
      </c>
      <c r="N28">
        <f>IF((AND(VLOOKUP(N$1,main!$A$3:$I$56,5,FALSE)-VLOOKUP($A28,main!$A$3:$I$56,6,FALSE)&gt;=(VLOOKUP(VLOOKUP(N$1,main!$A$3:$I$56,8,FALSE),main!$K$11:$M$14,2,FALSE)+VLOOKUP(VLOOKUP(N$1,main!$A$3:$I$56,7,FALSE),main!$K$19:$O$22,MATCH(VLOOKUP($A28,main!$A$3:$I$56,8,FALSE),main!$K$18:$O$18,0))))),1,0)</f>
        <v>0</v>
      </c>
      <c r="O28">
        <f>IF((AND(VLOOKUP(O$1,main!$A$3:$I$56,5,FALSE)-VLOOKUP($A28,main!$A$3:$I$56,6,FALSE)&gt;=(VLOOKUP(VLOOKUP(O$1,main!$A$3:$I$56,8,FALSE),main!$K$11:$M$14,2,FALSE)+VLOOKUP(VLOOKUP(O$1,main!$A$3:$I$56,7,FALSE),main!$K$19:$O$22,MATCH(VLOOKUP($A28,main!$A$3:$I$56,8,FALSE),main!$K$18:$O$18,0))))),1,0)</f>
        <v>0</v>
      </c>
      <c r="P28">
        <f>IF((AND(VLOOKUP(P$1,main!$A$3:$I$56,5,FALSE)-VLOOKUP($A28,main!$A$3:$I$56,6,FALSE)&gt;=(VLOOKUP(VLOOKUP(P$1,main!$A$3:$I$56,8,FALSE),main!$K$11:$M$14,2,FALSE)+VLOOKUP(VLOOKUP(P$1,main!$A$3:$I$56,7,FALSE),main!$K$19:$O$22,MATCH(VLOOKUP($A28,main!$A$3:$I$56,8,FALSE),main!$K$18:$O$18,0))))),1,0)</f>
        <v>0</v>
      </c>
      <c r="Q28">
        <f>IF((AND(VLOOKUP(Q$1,main!$A$3:$I$56,5,FALSE)-VLOOKUP($A28,main!$A$3:$I$56,6,FALSE)&gt;=(VLOOKUP(VLOOKUP(Q$1,main!$A$3:$I$56,8,FALSE),main!$K$11:$M$14,2,FALSE)+VLOOKUP(VLOOKUP(Q$1,main!$A$3:$I$56,7,FALSE),main!$K$19:$O$22,MATCH(VLOOKUP($A28,main!$A$3:$I$56,8,FALSE),main!$K$18:$O$18,0))))),1,0)</f>
        <v>0</v>
      </c>
      <c r="R28">
        <f>IF((AND(VLOOKUP(R$1,main!$A$3:$I$56,5,FALSE)-VLOOKUP($A28,main!$A$3:$I$56,6,FALSE)&gt;=(VLOOKUP(VLOOKUP(R$1,main!$A$3:$I$56,8,FALSE),main!$K$11:$M$14,2,FALSE)+VLOOKUP(VLOOKUP(R$1,main!$A$3:$I$56,7,FALSE),main!$K$19:$O$22,MATCH(VLOOKUP($A28,main!$A$3:$I$56,8,FALSE),main!$K$18:$O$18,0))))),1,0)</f>
        <v>0</v>
      </c>
      <c r="S28">
        <f>IF((AND(VLOOKUP(S$1,main!$A$3:$I$56,5,FALSE)-VLOOKUP($A28,main!$A$3:$I$56,6,FALSE)&gt;=(VLOOKUP(VLOOKUP(S$1,main!$A$3:$I$56,8,FALSE),main!$K$11:$M$14,2,FALSE)+VLOOKUP(VLOOKUP(S$1,main!$A$3:$I$56,7,FALSE),main!$K$19:$O$22,MATCH(VLOOKUP($A28,main!$A$3:$I$56,8,FALSE),main!$K$18:$O$18,0))))),1,0)</f>
        <v>0</v>
      </c>
      <c r="T28">
        <f>IF((AND(VLOOKUP(T$1,main!$A$3:$I$56,5,FALSE)-VLOOKUP($A28,main!$A$3:$I$56,6,FALSE)&gt;=(VLOOKUP(VLOOKUP(T$1,main!$A$3:$I$56,8,FALSE),main!$K$11:$M$14,2,FALSE)+VLOOKUP(VLOOKUP(T$1,main!$A$3:$I$56,7,FALSE),main!$K$19:$O$22,MATCH(VLOOKUP($A28,main!$A$3:$I$56,8,FALSE),main!$K$18:$O$18,0))))),1,0)</f>
        <v>0</v>
      </c>
      <c r="U28">
        <f>IF((AND(VLOOKUP(U$1,main!$A$3:$I$56,5,FALSE)-VLOOKUP($A28,main!$A$3:$I$56,6,FALSE)&gt;=(VLOOKUP(VLOOKUP(U$1,main!$A$3:$I$56,8,FALSE),main!$K$11:$M$14,2,FALSE)+VLOOKUP(VLOOKUP(U$1,main!$A$3:$I$56,7,FALSE),main!$K$19:$O$22,MATCH(VLOOKUP($A28,main!$A$3:$I$56,8,FALSE),main!$K$18:$O$18,0))))),1,0)</f>
        <v>0</v>
      </c>
      <c r="V28">
        <f>IF((AND(VLOOKUP(V$1,main!$A$3:$I$56,5,FALSE)-VLOOKUP($A28,main!$A$3:$I$56,6,FALSE)&gt;=(VLOOKUP(VLOOKUP(V$1,main!$A$3:$I$56,8,FALSE),main!$K$11:$M$14,2,FALSE)+VLOOKUP(VLOOKUP(V$1,main!$A$3:$I$56,7,FALSE),main!$K$19:$O$22,MATCH(VLOOKUP($A28,main!$A$3:$I$56,8,FALSE),main!$K$18:$O$18,0))))),1,0)</f>
        <v>0</v>
      </c>
      <c r="W28">
        <f>IF((AND(VLOOKUP(W$1,main!$A$3:$I$56,5,FALSE)-VLOOKUP($A28,main!$A$3:$I$56,6,FALSE)&gt;=(VLOOKUP(VLOOKUP(W$1,main!$A$3:$I$56,8,FALSE),main!$K$11:$M$14,2,FALSE)+VLOOKUP(VLOOKUP(W$1,main!$A$3:$I$56,7,FALSE),main!$K$19:$O$22,MATCH(VLOOKUP($A28,main!$A$3:$I$56,8,FALSE),main!$K$18:$O$18,0))))),1,0)</f>
        <v>0</v>
      </c>
      <c r="X28">
        <f>IF((AND(VLOOKUP(X$1,main!$A$3:$I$56,5,FALSE)-VLOOKUP($A28,main!$A$3:$I$56,6,FALSE)&gt;=(VLOOKUP(VLOOKUP(X$1,main!$A$3:$I$56,8,FALSE),main!$K$11:$M$14,2,FALSE)+VLOOKUP(VLOOKUP(X$1,main!$A$3:$I$56,7,FALSE),main!$K$19:$O$22,MATCH(VLOOKUP($A28,main!$A$3:$I$56,8,FALSE),main!$K$18:$O$18,0))))),1,0)</f>
        <v>0</v>
      </c>
      <c r="Y28">
        <f>IF((AND(VLOOKUP(Y$1,main!$A$3:$I$56,5,FALSE)-VLOOKUP($A28,main!$A$3:$I$56,6,FALSE)&gt;=(VLOOKUP(VLOOKUP(Y$1,main!$A$3:$I$56,8,FALSE),main!$K$11:$M$14,2,FALSE)+VLOOKUP(VLOOKUP(Y$1,main!$A$3:$I$56,7,FALSE),main!$K$19:$O$22,MATCH(VLOOKUP($A28,main!$A$3:$I$56,8,FALSE),main!$K$18:$O$18,0))))),1,0)</f>
        <v>0</v>
      </c>
      <c r="Z28">
        <f>IF((AND(VLOOKUP(Z$1,main!$A$3:$I$56,5,FALSE)-VLOOKUP($A28,main!$A$3:$I$56,6,FALSE)&gt;=(VLOOKUP(VLOOKUP(Z$1,main!$A$3:$I$56,8,FALSE),main!$K$11:$M$14,2,FALSE)+VLOOKUP(VLOOKUP(Z$1,main!$A$3:$I$56,7,FALSE),main!$K$19:$O$22,MATCH(VLOOKUP($A28,main!$A$3:$I$56,8,FALSE),main!$K$18:$O$18,0))))),1,0)</f>
        <v>0</v>
      </c>
      <c r="AA28">
        <f>IF((AND(VLOOKUP(AA$1,main!$A$3:$I$56,5,FALSE)-VLOOKUP($A28,main!$A$3:$I$56,6,FALSE)&gt;=(VLOOKUP(VLOOKUP(AA$1,main!$A$3:$I$56,8,FALSE),main!$K$11:$M$14,2,FALSE)+VLOOKUP(VLOOKUP(AA$1,main!$A$3:$I$56,7,FALSE),main!$K$19:$O$22,MATCH(VLOOKUP($A28,main!$A$3:$I$56,8,FALSE),main!$K$18:$O$18,0))))),1,0)</f>
        <v>0</v>
      </c>
      <c r="AB28">
        <f>IF((AND(VLOOKUP(AB$1,main!$A$3:$I$56,5,FALSE)-VLOOKUP($A28,main!$A$3:$I$56,6,FALSE)&gt;=(VLOOKUP(VLOOKUP(AB$1,main!$A$3:$I$56,8,FALSE),main!$K$11:$M$14,2,FALSE)+VLOOKUP(VLOOKUP(AB$1,main!$A$3:$I$56,7,FALSE),main!$K$19:$O$22,MATCH(VLOOKUP($A28,main!$A$3:$I$56,8,FALSE),main!$K$18:$O$18,0))))),1,0)</f>
        <v>0</v>
      </c>
      <c r="AC28">
        <f>IF((AND(VLOOKUP(AC$1,main!$A$3:$I$56,5,FALSE)-VLOOKUP($A28,main!$A$3:$I$56,6,FALSE)&gt;=(VLOOKUP(VLOOKUP(AC$1,main!$A$3:$I$56,8,FALSE),main!$K$11:$M$14,2,FALSE)+VLOOKUP(VLOOKUP(AC$1,main!$A$3:$I$56,7,FALSE),main!$K$19:$O$22,MATCH(VLOOKUP($A28,main!$A$3:$I$56,8,FALSE),main!$K$18:$O$18,0))))),1,0)</f>
        <v>0</v>
      </c>
      <c r="AD28">
        <f>IF((AND(VLOOKUP(AD$1,main!$A$3:$I$56,5,FALSE)-VLOOKUP($A28,main!$A$3:$I$56,6,FALSE)&gt;=(VLOOKUP(VLOOKUP(AD$1,main!$A$3:$I$56,8,FALSE),main!$K$11:$M$14,2,FALSE)+VLOOKUP(VLOOKUP(AD$1,main!$A$3:$I$56,7,FALSE),main!$K$19:$O$22,MATCH(VLOOKUP($A28,main!$A$3:$I$56,8,FALSE),main!$K$18:$O$18,0))))),1,0)</f>
        <v>0</v>
      </c>
      <c r="AE28">
        <f>IF((AND(VLOOKUP(AE$1,main!$A$3:$I$56,5,FALSE)-VLOOKUP($A28,main!$A$3:$I$56,6,FALSE)&gt;=(VLOOKUP(VLOOKUP(AE$1,main!$A$3:$I$56,8,FALSE),main!$K$11:$M$14,2,FALSE)+VLOOKUP(VLOOKUP(AE$1,main!$A$3:$I$56,7,FALSE),main!$K$19:$O$22,MATCH(VLOOKUP($A28,main!$A$3:$I$56,8,FALSE),main!$K$18:$O$18,0))))),1,0)</f>
        <v>0</v>
      </c>
      <c r="AF28">
        <f>IF((AND(VLOOKUP(AF$1,main!$A$3:$I$56,5,FALSE)-VLOOKUP($A28,main!$A$3:$I$56,6,FALSE)&gt;=(VLOOKUP(VLOOKUP(AF$1,main!$A$3:$I$56,8,FALSE),main!$K$11:$M$14,2,FALSE)+VLOOKUP(VLOOKUP(AF$1,main!$A$3:$I$56,7,FALSE),main!$K$19:$O$22,MATCH(VLOOKUP($A28,main!$A$3:$I$56,8,FALSE),main!$K$18:$O$18,0))))),1,0)</f>
        <v>0</v>
      </c>
      <c r="AG28">
        <f>IF((AND(VLOOKUP(AG$1,main!$A$3:$I$56,5,FALSE)-VLOOKUP($A28,main!$A$3:$I$56,6,FALSE)&gt;=(VLOOKUP(VLOOKUP(AG$1,main!$A$3:$I$56,8,FALSE),main!$K$11:$M$14,2,FALSE)+VLOOKUP(VLOOKUP(AG$1,main!$A$3:$I$56,7,FALSE),main!$K$19:$O$22,MATCH(VLOOKUP($A28,main!$A$3:$I$56,8,FALSE),main!$K$18:$O$18,0))))),1,0)</f>
        <v>0</v>
      </c>
      <c r="AH28">
        <f>IF((AND(VLOOKUP(AH$1,main!$A$3:$I$56,5,FALSE)-VLOOKUP($A28,main!$A$3:$I$56,6,FALSE)&gt;=(VLOOKUP(VLOOKUP(AH$1,main!$A$3:$I$56,8,FALSE),main!$K$11:$M$14,2,FALSE)+VLOOKUP(VLOOKUP(AH$1,main!$A$3:$I$56,7,FALSE),main!$K$19:$O$22,MATCH(VLOOKUP($A28,main!$A$3:$I$56,8,FALSE),main!$K$18:$O$18,0))))),1,0)</f>
        <v>0</v>
      </c>
      <c r="AI28">
        <f>IF((AND(VLOOKUP(AI$1,main!$A$3:$I$56,5,FALSE)-VLOOKUP($A28,main!$A$3:$I$56,6,FALSE)&gt;=(VLOOKUP(VLOOKUP(AI$1,main!$A$3:$I$56,8,FALSE),main!$K$11:$M$14,2,FALSE)+VLOOKUP(VLOOKUP(AI$1,main!$A$3:$I$56,7,FALSE),main!$K$19:$O$22,MATCH(VLOOKUP($A28,main!$A$3:$I$56,8,FALSE),main!$K$18:$O$18,0))))),1,0)</f>
        <v>0</v>
      </c>
      <c r="AJ28">
        <f>IF((AND(VLOOKUP(AJ$1,main!$A$3:$I$56,5,FALSE)-VLOOKUP($A28,main!$A$3:$I$56,6,FALSE)&gt;=(VLOOKUP(VLOOKUP(AJ$1,main!$A$3:$I$56,8,FALSE),main!$K$11:$M$14,2,FALSE)+VLOOKUP(VLOOKUP(AJ$1,main!$A$3:$I$56,7,FALSE),main!$K$19:$O$22,MATCH(VLOOKUP($A28,main!$A$3:$I$56,8,FALSE),main!$K$18:$O$18,0))))),1,0)</f>
        <v>0</v>
      </c>
      <c r="AK28">
        <f>IF((AND(VLOOKUP(AK$1,main!$A$3:$I$56,5,FALSE)-VLOOKUP($A28,main!$A$3:$I$56,6,FALSE)&gt;=(VLOOKUP(VLOOKUP(AK$1,main!$A$3:$I$56,8,FALSE),main!$K$11:$M$14,2,FALSE)+VLOOKUP(VLOOKUP(AK$1,main!$A$3:$I$56,7,FALSE),main!$K$19:$O$22,MATCH(VLOOKUP($A28,main!$A$3:$I$56,8,FALSE),main!$K$18:$O$18,0))))),1,0)</f>
        <v>0</v>
      </c>
      <c r="AL28">
        <f>IF((AND(VLOOKUP(AL$1,main!$A$3:$I$56,5,FALSE)-VLOOKUP($A28,main!$A$3:$I$56,6,FALSE)&gt;=(VLOOKUP(VLOOKUP(AL$1,main!$A$3:$I$56,8,FALSE),main!$K$11:$M$14,2,FALSE)+VLOOKUP(VLOOKUP(AL$1,main!$A$3:$I$56,7,FALSE),main!$K$19:$O$22,MATCH(VLOOKUP($A28,main!$A$3:$I$56,8,FALSE),main!$K$18:$O$18,0))))),1,0)</f>
        <v>0</v>
      </c>
      <c r="AM28">
        <f>IF((AND(VLOOKUP(AM$1,main!$A$3:$I$56,5,FALSE)-VLOOKUP($A28,main!$A$3:$I$56,6,FALSE)&gt;=(VLOOKUP(VLOOKUP(AM$1,main!$A$3:$I$56,8,FALSE),main!$K$11:$M$14,2,FALSE)+VLOOKUP(VLOOKUP(AM$1,main!$A$3:$I$56,7,FALSE),main!$K$19:$O$22,MATCH(VLOOKUP($A28,main!$A$3:$I$56,8,FALSE),main!$K$18:$O$18,0))))),1,0)</f>
        <v>0</v>
      </c>
      <c r="AN28">
        <f>IF((AND(VLOOKUP(AN$1,main!$A$3:$I$56,5,FALSE)-VLOOKUP($A28,main!$A$3:$I$56,6,FALSE)&gt;=(VLOOKUP(VLOOKUP(AN$1,main!$A$3:$I$56,8,FALSE),main!$K$11:$M$14,2,FALSE)+VLOOKUP(VLOOKUP(AN$1,main!$A$3:$I$56,7,FALSE),main!$K$19:$O$22,MATCH(VLOOKUP($A28,main!$A$3:$I$56,8,FALSE),main!$K$18:$O$18,0))))),1,0)</f>
        <v>0</v>
      </c>
      <c r="AO28">
        <f>IF((AND(VLOOKUP(AO$1,main!$A$3:$I$56,5,FALSE)-VLOOKUP($A28,main!$A$3:$I$56,6,FALSE)&gt;=(VLOOKUP(VLOOKUP(AO$1,main!$A$3:$I$56,8,FALSE),main!$K$11:$M$14,2,FALSE)+VLOOKUP(VLOOKUP(AO$1,main!$A$3:$I$56,7,FALSE),main!$K$19:$O$22,MATCH(VLOOKUP($A28,main!$A$3:$I$56,8,FALSE),main!$K$18:$O$18,0))))),1,0)</f>
        <v>0</v>
      </c>
      <c r="AP28">
        <f>IF((AND(VLOOKUP(AP$1,main!$A$3:$I$56,5,FALSE)-VLOOKUP($A28,main!$A$3:$I$56,6,FALSE)&gt;=(VLOOKUP(VLOOKUP(AP$1,main!$A$3:$I$56,8,FALSE),main!$K$11:$M$14,2,FALSE)+VLOOKUP(VLOOKUP(AP$1,main!$A$3:$I$56,7,FALSE),main!$K$19:$O$22,MATCH(VLOOKUP($A28,main!$A$3:$I$56,8,FALSE),main!$K$18:$O$18,0))))),1,0)</f>
        <v>0</v>
      </c>
      <c r="AQ28">
        <f>IF((AND(VLOOKUP(AQ$1,main!$A$3:$I$56,5,FALSE)-VLOOKUP($A28,main!$A$3:$I$56,6,FALSE)&gt;=(VLOOKUP(VLOOKUP(AQ$1,main!$A$3:$I$56,8,FALSE),main!$K$11:$M$14,2,FALSE)+VLOOKUP(VLOOKUP(AQ$1,main!$A$3:$I$56,7,FALSE),main!$K$19:$O$22,MATCH(VLOOKUP($A28,main!$A$3:$I$56,8,FALSE),main!$K$18:$O$18,0))))),1,0)</f>
        <v>0</v>
      </c>
      <c r="AR28">
        <f>IF((AND(VLOOKUP(AR$1,main!$A$3:$I$56,5,FALSE)-VLOOKUP($A28,main!$A$3:$I$56,6,FALSE)&gt;=(VLOOKUP(VLOOKUP(AR$1,main!$A$3:$I$56,8,FALSE),main!$K$11:$M$14,2,FALSE)+VLOOKUP(VLOOKUP(AR$1,main!$A$3:$I$56,7,FALSE),main!$K$19:$O$22,MATCH(VLOOKUP($A28,main!$A$3:$I$56,8,FALSE),main!$K$18:$O$18,0))))),1,0)</f>
        <v>0</v>
      </c>
      <c r="AS28">
        <f>IF((AND(VLOOKUP(AS$1,main!$A$3:$I$56,5,FALSE)-VLOOKUP($A28,main!$A$3:$I$56,6,FALSE)&gt;=(VLOOKUP(VLOOKUP(AS$1,main!$A$3:$I$56,8,FALSE),main!$K$11:$M$14,2,FALSE)+VLOOKUP(VLOOKUP(AS$1,main!$A$3:$I$56,7,FALSE),main!$K$19:$O$22,MATCH(VLOOKUP($A28,main!$A$3:$I$56,8,FALSE),main!$K$18:$O$18,0))))),1,0)</f>
        <v>0</v>
      </c>
      <c r="AT28">
        <f>IF((AND(VLOOKUP(AT$1,main!$A$3:$I$56,5,FALSE)-VLOOKUP($A28,main!$A$3:$I$56,6,FALSE)&gt;=(VLOOKUP(VLOOKUP(AT$1,main!$A$3:$I$56,8,FALSE),main!$K$11:$M$14,2,FALSE)+VLOOKUP(VLOOKUP(AT$1,main!$A$3:$I$56,7,FALSE),main!$K$19:$O$22,MATCH(VLOOKUP($A28,main!$A$3:$I$56,8,FALSE),main!$K$18:$O$18,0))))),1,0)</f>
        <v>0</v>
      </c>
      <c r="AU28">
        <f>IF((AND(VLOOKUP(AU$1,main!$A$3:$I$56,5,FALSE)-VLOOKUP($A28,main!$A$3:$I$56,6,FALSE)&gt;=(VLOOKUP(VLOOKUP(AU$1,main!$A$3:$I$56,8,FALSE),main!$K$11:$M$14,2,FALSE)+VLOOKUP(VLOOKUP(AU$1,main!$A$3:$I$56,7,FALSE),main!$K$19:$O$22,MATCH(VLOOKUP($A28,main!$A$3:$I$56,8,FALSE),main!$K$18:$O$18,0))))),1,0)</f>
        <v>0</v>
      </c>
      <c r="AV28">
        <f>IF((AND(VLOOKUP(AV$1,main!$A$3:$I$56,5,FALSE)-VLOOKUP($A28,main!$A$3:$I$56,6,FALSE)&gt;=(VLOOKUP(VLOOKUP(AV$1,main!$A$3:$I$56,8,FALSE),main!$K$11:$M$14,2,FALSE)+VLOOKUP(VLOOKUP(AV$1,main!$A$3:$I$56,7,FALSE),main!$K$19:$O$22,MATCH(VLOOKUP($A28,main!$A$3:$I$56,8,FALSE),main!$K$18:$O$18,0))))),1,0)</f>
        <v>0</v>
      </c>
      <c r="AW28">
        <f>IF((AND(VLOOKUP(AW$1,main!$A$3:$I$56,5,FALSE)-VLOOKUP($A28,main!$A$3:$I$56,6,FALSE)&gt;=(VLOOKUP(VLOOKUP(AW$1,main!$A$3:$I$56,8,FALSE),main!$K$11:$M$14,2,FALSE)+VLOOKUP(VLOOKUP(AW$1,main!$A$3:$I$56,7,FALSE),main!$K$19:$O$22,MATCH(VLOOKUP($A28,main!$A$3:$I$56,8,FALSE),main!$K$18:$O$18,0))))),1,0)</f>
        <v>0</v>
      </c>
      <c r="AX28">
        <f>IF((AND(VLOOKUP(AX$1,main!$A$3:$I$56,5,FALSE)-VLOOKUP($A28,main!$A$3:$I$56,6,FALSE)&gt;=(VLOOKUP(VLOOKUP(AX$1,main!$A$3:$I$56,8,FALSE),main!$K$11:$M$14,2,FALSE)+VLOOKUP(VLOOKUP(AX$1,main!$A$3:$I$56,7,FALSE),main!$K$19:$O$22,MATCH(VLOOKUP($A28,main!$A$3:$I$56,8,FALSE),main!$K$18:$O$18,0))))),1,0)</f>
        <v>0</v>
      </c>
      <c r="AY28">
        <f>IF((AND(VLOOKUP(AY$1,main!$A$3:$I$56,5,FALSE)-VLOOKUP($A28,main!$A$3:$I$56,6,FALSE)&gt;=(VLOOKUP(VLOOKUP(AY$1,main!$A$3:$I$56,8,FALSE),main!$K$11:$M$14,2,FALSE)+VLOOKUP(VLOOKUP(AY$1,main!$A$3:$I$56,7,FALSE),main!$K$19:$O$22,MATCH(VLOOKUP($A28,main!$A$3:$I$56,8,FALSE),main!$K$18:$O$18,0))))),1,0)</f>
        <v>0</v>
      </c>
      <c r="AZ28">
        <f>IF((AND(VLOOKUP(AZ$1,main!$A$3:$I$56,5,FALSE)-VLOOKUP($A28,main!$A$3:$I$56,6,FALSE)&gt;=(VLOOKUP(VLOOKUP(AZ$1,main!$A$3:$I$56,8,FALSE),main!$K$11:$M$14,2,FALSE)+VLOOKUP(VLOOKUP(AZ$1,main!$A$3:$I$56,7,FALSE),main!$K$19:$O$22,MATCH(VLOOKUP($A28,main!$A$3:$I$56,8,FALSE),main!$K$18:$O$18,0))))),1,0)</f>
        <v>0</v>
      </c>
      <c r="BA28">
        <f>IF((AND(VLOOKUP(BA$1,main!$A$3:$I$56,5,FALSE)-VLOOKUP($A28,main!$A$3:$I$56,6,FALSE)&gt;=(VLOOKUP(VLOOKUP(BA$1,main!$A$3:$I$56,8,FALSE),main!$K$11:$M$14,2,FALSE)+VLOOKUP(VLOOKUP(BA$1,main!$A$3:$I$56,7,FALSE),main!$K$19:$O$22,MATCH(VLOOKUP($A28,main!$A$3:$I$56,8,FALSE),main!$K$18:$O$18,0))))),1,0)</f>
        <v>0</v>
      </c>
      <c r="BB28">
        <f>IF((AND(VLOOKUP(BB$1,main!$A$3:$I$56,5,FALSE)-VLOOKUP($A28,main!$A$3:$I$56,6,FALSE)&gt;=(VLOOKUP(VLOOKUP(BB$1,main!$A$3:$I$56,8,FALSE),main!$K$11:$M$14,2,FALSE)+VLOOKUP(VLOOKUP(BB$1,main!$A$3:$I$56,7,FALSE),main!$K$19:$O$22,MATCH(VLOOKUP($A28,main!$A$3:$I$56,8,FALSE),main!$K$18:$O$18,0))))),1,0)</f>
        <v>0</v>
      </c>
      <c r="BC28">
        <f>IF((AND(VLOOKUP(BC$1,main!$A$3:$I$56,5,FALSE)-VLOOKUP($A28,main!$A$3:$I$56,6,FALSE)&gt;=(VLOOKUP(VLOOKUP(BC$1,main!$A$3:$I$56,8,FALSE),main!$K$11:$M$14,2,FALSE)+VLOOKUP(VLOOKUP(BC$1,main!$A$3:$I$56,7,FALSE),main!$K$19:$O$22,MATCH(VLOOKUP($A28,main!$A$3:$I$56,8,FALSE),main!$K$18:$O$18,0))))),1,0)</f>
        <v>0</v>
      </c>
      <c r="BD28">
        <f>IF((AND(VLOOKUP(BD$1,main!$A$3:$I$56,5,FALSE)-VLOOKUP($A28,main!$A$3:$I$56,6,FALSE)&gt;=(VLOOKUP(VLOOKUP(BD$1,main!$A$3:$I$56,8,FALSE),main!$K$11:$M$14,2,FALSE)+VLOOKUP(VLOOKUP(BD$1,main!$A$3:$I$56,7,FALSE),main!$K$19:$O$22,MATCH(VLOOKUP($A28,main!$A$3:$I$56,8,FALSE),main!$K$18:$O$18,0))))),1,0)</f>
        <v>0</v>
      </c>
    </row>
    <row r="29" spans="1:56" x14ac:dyDescent="0.25">
      <c r="A29">
        <f t="shared" si="0"/>
        <v>27</v>
      </c>
      <c r="B29">
        <v>1</v>
      </c>
      <c r="C29">
        <f>IF((AND(VLOOKUP(C$1,main!$A$3:$I$56,5,FALSE)-VLOOKUP($A29,main!$A$3:$I$56,6,FALSE)&gt;=(VLOOKUP(VLOOKUP(C$1,main!$A$3:$I$56,8,FALSE),main!$K$11:$M$14,2,FALSE)+VLOOKUP(VLOOKUP(C$1,main!$A$3:$I$56,7,FALSE),main!$K$19:$O$22,MATCH(VLOOKUP($A29,main!$A$3:$I$56,8,FALSE),main!$K$18:$O$18,0))))),1,0)</f>
        <v>1</v>
      </c>
      <c r="D29">
        <f>IF((AND(VLOOKUP(D$1,main!$A$3:$I$56,5,FALSE)-VLOOKUP($A29,main!$A$3:$I$56,6,FALSE)&gt;=(VLOOKUP(VLOOKUP(D$1,main!$A$3:$I$56,8,FALSE),main!$K$11:$M$14,2,FALSE)+VLOOKUP(VLOOKUP(D$1,main!$A$3:$I$56,7,FALSE),main!$K$19:$O$22,MATCH(VLOOKUP($A29,main!$A$3:$I$56,8,FALSE),main!$K$18:$O$18,0))))),1,0)</f>
        <v>1</v>
      </c>
      <c r="E29">
        <f>IF((AND(VLOOKUP(E$1,main!$A$3:$I$56,5,FALSE)-VLOOKUP($A29,main!$A$3:$I$56,6,FALSE)&gt;=(VLOOKUP(VLOOKUP(E$1,main!$A$3:$I$56,8,FALSE),main!$K$11:$M$14,2,FALSE)+VLOOKUP(VLOOKUP(E$1,main!$A$3:$I$56,7,FALSE),main!$K$19:$O$22,MATCH(VLOOKUP($A29,main!$A$3:$I$56,8,FALSE),main!$K$18:$O$18,0))))),1,0)</f>
        <v>1</v>
      </c>
      <c r="F29">
        <f>IF((AND(VLOOKUP(F$1,main!$A$3:$I$56,5,FALSE)-VLOOKUP($A29,main!$A$3:$I$56,6,FALSE)&gt;=(VLOOKUP(VLOOKUP(F$1,main!$A$3:$I$56,8,FALSE),main!$K$11:$M$14,2,FALSE)+VLOOKUP(VLOOKUP(F$1,main!$A$3:$I$56,7,FALSE),main!$K$19:$O$22,MATCH(VLOOKUP($A29,main!$A$3:$I$56,8,FALSE),main!$K$18:$O$18,0))))),1,0)</f>
        <v>1</v>
      </c>
      <c r="G29">
        <f>IF((AND(VLOOKUP(G$1,main!$A$3:$I$56,5,FALSE)-VLOOKUP($A29,main!$A$3:$I$56,6,FALSE)&gt;=(VLOOKUP(VLOOKUP(G$1,main!$A$3:$I$56,8,FALSE),main!$K$11:$M$14,2,FALSE)+VLOOKUP(VLOOKUP(G$1,main!$A$3:$I$56,7,FALSE),main!$K$19:$O$22,MATCH(VLOOKUP($A29,main!$A$3:$I$56,8,FALSE),main!$K$18:$O$18,0))))),1,0)</f>
        <v>1</v>
      </c>
      <c r="H29">
        <f>IF((AND(VLOOKUP(H$1,main!$A$3:$I$56,5,FALSE)-VLOOKUP($A29,main!$A$3:$I$56,6,FALSE)&gt;=(VLOOKUP(VLOOKUP(H$1,main!$A$3:$I$56,8,FALSE),main!$K$11:$M$14,2,FALSE)+VLOOKUP(VLOOKUP(H$1,main!$A$3:$I$56,7,FALSE),main!$K$19:$O$22,MATCH(VLOOKUP($A29,main!$A$3:$I$56,8,FALSE),main!$K$18:$O$18,0))))),1,0)</f>
        <v>1</v>
      </c>
      <c r="I29">
        <f>IF((AND(VLOOKUP(I$1,main!$A$3:$I$56,5,FALSE)-VLOOKUP($A29,main!$A$3:$I$56,6,FALSE)&gt;=(VLOOKUP(VLOOKUP(I$1,main!$A$3:$I$56,8,FALSE),main!$K$11:$M$14,2,FALSE)+VLOOKUP(VLOOKUP(I$1,main!$A$3:$I$56,7,FALSE),main!$K$19:$O$22,MATCH(VLOOKUP($A29,main!$A$3:$I$56,8,FALSE),main!$K$18:$O$18,0))))),1,0)</f>
        <v>1</v>
      </c>
      <c r="J29">
        <f>IF((AND(VLOOKUP(J$1,main!$A$3:$I$56,5,FALSE)-VLOOKUP($A29,main!$A$3:$I$56,6,FALSE)&gt;=(VLOOKUP(VLOOKUP(J$1,main!$A$3:$I$56,8,FALSE),main!$K$11:$M$14,2,FALSE)+VLOOKUP(VLOOKUP(J$1,main!$A$3:$I$56,7,FALSE),main!$K$19:$O$22,MATCH(VLOOKUP($A29,main!$A$3:$I$56,8,FALSE),main!$K$18:$O$18,0))))),1,0)</f>
        <v>1</v>
      </c>
      <c r="K29">
        <f>IF((AND(VLOOKUP(K$1,main!$A$3:$I$56,5,FALSE)-VLOOKUP($A29,main!$A$3:$I$56,6,FALSE)&gt;=(VLOOKUP(VLOOKUP(K$1,main!$A$3:$I$56,8,FALSE),main!$K$11:$M$14,2,FALSE)+VLOOKUP(VLOOKUP(K$1,main!$A$3:$I$56,7,FALSE),main!$K$19:$O$22,MATCH(VLOOKUP($A29,main!$A$3:$I$56,8,FALSE),main!$K$18:$O$18,0))))),1,0)</f>
        <v>1</v>
      </c>
      <c r="L29">
        <f>IF((AND(VLOOKUP(L$1,main!$A$3:$I$56,5,FALSE)-VLOOKUP($A29,main!$A$3:$I$56,6,FALSE)&gt;=(VLOOKUP(VLOOKUP(L$1,main!$A$3:$I$56,8,FALSE),main!$K$11:$M$14,2,FALSE)+VLOOKUP(VLOOKUP(L$1,main!$A$3:$I$56,7,FALSE),main!$K$19:$O$22,MATCH(VLOOKUP($A29,main!$A$3:$I$56,8,FALSE),main!$K$18:$O$18,0))))),1,0)</f>
        <v>1</v>
      </c>
      <c r="M29">
        <f>IF((AND(VLOOKUP(M$1,main!$A$3:$I$56,5,FALSE)-VLOOKUP($A29,main!$A$3:$I$56,6,FALSE)&gt;=(VLOOKUP(VLOOKUP(M$1,main!$A$3:$I$56,8,FALSE),main!$K$11:$M$14,2,FALSE)+VLOOKUP(VLOOKUP(M$1,main!$A$3:$I$56,7,FALSE),main!$K$19:$O$22,MATCH(VLOOKUP($A29,main!$A$3:$I$56,8,FALSE),main!$K$18:$O$18,0))))),1,0)</f>
        <v>1</v>
      </c>
      <c r="N29">
        <f>IF((AND(VLOOKUP(N$1,main!$A$3:$I$56,5,FALSE)-VLOOKUP($A29,main!$A$3:$I$56,6,FALSE)&gt;=(VLOOKUP(VLOOKUP(N$1,main!$A$3:$I$56,8,FALSE),main!$K$11:$M$14,2,FALSE)+VLOOKUP(VLOOKUP(N$1,main!$A$3:$I$56,7,FALSE),main!$K$19:$O$22,MATCH(VLOOKUP($A29,main!$A$3:$I$56,8,FALSE),main!$K$18:$O$18,0))))),1,0)</f>
        <v>1</v>
      </c>
      <c r="O29">
        <f>IF((AND(VLOOKUP(O$1,main!$A$3:$I$56,5,FALSE)-VLOOKUP($A29,main!$A$3:$I$56,6,FALSE)&gt;=(VLOOKUP(VLOOKUP(O$1,main!$A$3:$I$56,8,FALSE),main!$K$11:$M$14,2,FALSE)+VLOOKUP(VLOOKUP(O$1,main!$A$3:$I$56,7,FALSE),main!$K$19:$O$22,MATCH(VLOOKUP($A29,main!$A$3:$I$56,8,FALSE),main!$K$18:$O$18,0))))),1,0)</f>
        <v>1</v>
      </c>
      <c r="P29">
        <f>IF((AND(VLOOKUP(P$1,main!$A$3:$I$56,5,FALSE)-VLOOKUP($A29,main!$A$3:$I$56,6,FALSE)&gt;=(VLOOKUP(VLOOKUP(P$1,main!$A$3:$I$56,8,FALSE),main!$K$11:$M$14,2,FALSE)+VLOOKUP(VLOOKUP(P$1,main!$A$3:$I$56,7,FALSE),main!$K$19:$O$22,MATCH(VLOOKUP($A29,main!$A$3:$I$56,8,FALSE),main!$K$18:$O$18,0))))),1,0)</f>
        <v>1</v>
      </c>
      <c r="Q29">
        <f>IF((AND(VLOOKUP(Q$1,main!$A$3:$I$56,5,FALSE)-VLOOKUP($A29,main!$A$3:$I$56,6,FALSE)&gt;=(VLOOKUP(VLOOKUP(Q$1,main!$A$3:$I$56,8,FALSE),main!$K$11:$M$14,2,FALSE)+VLOOKUP(VLOOKUP(Q$1,main!$A$3:$I$56,7,FALSE),main!$K$19:$O$22,MATCH(VLOOKUP($A29,main!$A$3:$I$56,8,FALSE),main!$K$18:$O$18,0))))),1,0)</f>
        <v>1</v>
      </c>
      <c r="R29">
        <f>IF((AND(VLOOKUP(R$1,main!$A$3:$I$56,5,FALSE)-VLOOKUP($A29,main!$A$3:$I$56,6,FALSE)&gt;=(VLOOKUP(VLOOKUP(R$1,main!$A$3:$I$56,8,FALSE),main!$K$11:$M$14,2,FALSE)+VLOOKUP(VLOOKUP(R$1,main!$A$3:$I$56,7,FALSE),main!$K$19:$O$22,MATCH(VLOOKUP($A29,main!$A$3:$I$56,8,FALSE),main!$K$18:$O$18,0))))),1,0)</f>
        <v>1</v>
      </c>
      <c r="S29">
        <f>IF((AND(VLOOKUP(S$1,main!$A$3:$I$56,5,FALSE)-VLOOKUP($A29,main!$A$3:$I$56,6,FALSE)&gt;=(VLOOKUP(VLOOKUP(S$1,main!$A$3:$I$56,8,FALSE),main!$K$11:$M$14,2,FALSE)+VLOOKUP(VLOOKUP(S$1,main!$A$3:$I$56,7,FALSE),main!$K$19:$O$22,MATCH(VLOOKUP($A29,main!$A$3:$I$56,8,FALSE),main!$K$18:$O$18,0))))),1,0)</f>
        <v>1</v>
      </c>
      <c r="T29">
        <f>IF((AND(VLOOKUP(T$1,main!$A$3:$I$56,5,FALSE)-VLOOKUP($A29,main!$A$3:$I$56,6,FALSE)&gt;=(VLOOKUP(VLOOKUP(T$1,main!$A$3:$I$56,8,FALSE),main!$K$11:$M$14,2,FALSE)+VLOOKUP(VLOOKUP(T$1,main!$A$3:$I$56,7,FALSE),main!$K$19:$O$22,MATCH(VLOOKUP($A29,main!$A$3:$I$56,8,FALSE),main!$K$18:$O$18,0))))),1,0)</f>
        <v>1</v>
      </c>
      <c r="U29">
        <f>IF((AND(VLOOKUP(U$1,main!$A$3:$I$56,5,FALSE)-VLOOKUP($A29,main!$A$3:$I$56,6,FALSE)&gt;=(VLOOKUP(VLOOKUP(U$1,main!$A$3:$I$56,8,FALSE),main!$K$11:$M$14,2,FALSE)+VLOOKUP(VLOOKUP(U$1,main!$A$3:$I$56,7,FALSE),main!$K$19:$O$22,MATCH(VLOOKUP($A29,main!$A$3:$I$56,8,FALSE),main!$K$18:$O$18,0))))),1,0)</f>
        <v>1</v>
      </c>
      <c r="V29">
        <f>IF((AND(VLOOKUP(V$1,main!$A$3:$I$56,5,FALSE)-VLOOKUP($A29,main!$A$3:$I$56,6,FALSE)&gt;=(VLOOKUP(VLOOKUP(V$1,main!$A$3:$I$56,8,FALSE),main!$K$11:$M$14,2,FALSE)+VLOOKUP(VLOOKUP(V$1,main!$A$3:$I$56,7,FALSE),main!$K$19:$O$22,MATCH(VLOOKUP($A29,main!$A$3:$I$56,8,FALSE),main!$K$18:$O$18,0))))),1,0)</f>
        <v>1</v>
      </c>
      <c r="W29">
        <f>IF((AND(VLOOKUP(W$1,main!$A$3:$I$56,5,FALSE)-VLOOKUP($A29,main!$A$3:$I$56,6,FALSE)&gt;=(VLOOKUP(VLOOKUP(W$1,main!$A$3:$I$56,8,FALSE),main!$K$11:$M$14,2,FALSE)+VLOOKUP(VLOOKUP(W$1,main!$A$3:$I$56,7,FALSE),main!$K$19:$O$22,MATCH(VLOOKUP($A29,main!$A$3:$I$56,8,FALSE),main!$K$18:$O$18,0))))),1,0)</f>
        <v>1</v>
      </c>
      <c r="X29">
        <f>IF((AND(VLOOKUP(X$1,main!$A$3:$I$56,5,FALSE)-VLOOKUP($A29,main!$A$3:$I$56,6,FALSE)&gt;=(VLOOKUP(VLOOKUP(X$1,main!$A$3:$I$56,8,FALSE),main!$K$11:$M$14,2,FALSE)+VLOOKUP(VLOOKUP(X$1,main!$A$3:$I$56,7,FALSE),main!$K$19:$O$22,MATCH(VLOOKUP($A29,main!$A$3:$I$56,8,FALSE),main!$K$18:$O$18,0))))),1,0)</f>
        <v>1</v>
      </c>
      <c r="Y29">
        <f>IF((AND(VLOOKUP(Y$1,main!$A$3:$I$56,5,FALSE)-VLOOKUP($A29,main!$A$3:$I$56,6,FALSE)&gt;=(VLOOKUP(VLOOKUP(Y$1,main!$A$3:$I$56,8,FALSE),main!$K$11:$M$14,2,FALSE)+VLOOKUP(VLOOKUP(Y$1,main!$A$3:$I$56,7,FALSE),main!$K$19:$O$22,MATCH(VLOOKUP($A29,main!$A$3:$I$56,8,FALSE),main!$K$18:$O$18,0))))),1,0)</f>
        <v>1</v>
      </c>
      <c r="Z29">
        <f>IF((AND(VLOOKUP(Z$1,main!$A$3:$I$56,5,FALSE)-VLOOKUP($A29,main!$A$3:$I$56,6,FALSE)&gt;=(VLOOKUP(VLOOKUP(Z$1,main!$A$3:$I$56,8,FALSE),main!$K$11:$M$14,2,FALSE)+VLOOKUP(VLOOKUP(Z$1,main!$A$3:$I$56,7,FALSE),main!$K$19:$O$22,MATCH(VLOOKUP($A29,main!$A$3:$I$56,8,FALSE),main!$K$18:$O$18,0))))),1,0)</f>
        <v>1</v>
      </c>
      <c r="AA29">
        <f>IF((AND(VLOOKUP(AA$1,main!$A$3:$I$56,5,FALSE)-VLOOKUP($A29,main!$A$3:$I$56,6,FALSE)&gt;=(VLOOKUP(VLOOKUP(AA$1,main!$A$3:$I$56,8,FALSE),main!$K$11:$M$14,2,FALSE)+VLOOKUP(VLOOKUP(AA$1,main!$A$3:$I$56,7,FALSE),main!$K$19:$O$22,MATCH(VLOOKUP($A29,main!$A$3:$I$56,8,FALSE),main!$K$18:$O$18,0))))),1,0)</f>
        <v>1</v>
      </c>
      <c r="AB29">
        <f>IF((AND(VLOOKUP(AB$1,main!$A$3:$I$56,5,FALSE)-VLOOKUP($A29,main!$A$3:$I$56,6,FALSE)&gt;=(VLOOKUP(VLOOKUP(AB$1,main!$A$3:$I$56,8,FALSE),main!$K$11:$M$14,2,FALSE)+VLOOKUP(VLOOKUP(AB$1,main!$A$3:$I$56,7,FALSE),main!$K$19:$O$22,MATCH(VLOOKUP($A29,main!$A$3:$I$56,8,FALSE),main!$K$18:$O$18,0))))),1,0)</f>
        <v>1</v>
      </c>
      <c r="AC29">
        <f>IF((AND(VLOOKUP(AC$1,main!$A$3:$I$56,5,FALSE)-VLOOKUP($A29,main!$A$3:$I$56,6,FALSE)&gt;=(VLOOKUP(VLOOKUP(AC$1,main!$A$3:$I$56,8,FALSE),main!$K$11:$M$14,2,FALSE)+VLOOKUP(VLOOKUP(AC$1,main!$A$3:$I$56,7,FALSE),main!$K$19:$O$22,MATCH(VLOOKUP($A29,main!$A$3:$I$56,8,FALSE),main!$K$18:$O$18,0))))),1,0)</f>
        <v>0</v>
      </c>
      <c r="AD29">
        <f>IF((AND(VLOOKUP(AD$1,main!$A$3:$I$56,5,FALSE)-VLOOKUP($A29,main!$A$3:$I$56,6,FALSE)&gt;=(VLOOKUP(VLOOKUP(AD$1,main!$A$3:$I$56,8,FALSE),main!$K$11:$M$14,2,FALSE)+VLOOKUP(VLOOKUP(AD$1,main!$A$3:$I$56,7,FALSE),main!$K$19:$O$22,MATCH(VLOOKUP($A29,main!$A$3:$I$56,8,FALSE),main!$K$18:$O$18,0))))),1,0)</f>
        <v>1</v>
      </c>
      <c r="AE29">
        <f>IF((AND(VLOOKUP(AE$1,main!$A$3:$I$56,5,FALSE)-VLOOKUP($A29,main!$A$3:$I$56,6,FALSE)&gt;=(VLOOKUP(VLOOKUP(AE$1,main!$A$3:$I$56,8,FALSE),main!$K$11:$M$14,2,FALSE)+VLOOKUP(VLOOKUP(AE$1,main!$A$3:$I$56,7,FALSE),main!$K$19:$O$22,MATCH(VLOOKUP($A29,main!$A$3:$I$56,8,FALSE),main!$K$18:$O$18,0))))),1,0)</f>
        <v>1</v>
      </c>
      <c r="AF29">
        <f>IF((AND(VLOOKUP(AF$1,main!$A$3:$I$56,5,FALSE)-VLOOKUP($A29,main!$A$3:$I$56,6,FALSE)&gt;=(VLOOKUP(VLOOKUP(AF$1,main!$A$3:$I$56,8,FALSE),main!$K$11:$M$14,2,FALSE)+VLOOKUP(VLOOKUP(AF$1,main!$A$3:$I$56,7,FALSE),main!$K$19:$O$22,MATCH(VLOOKUP($A29,main!$A$3:$I$56,8,FALSE),main!$K$18:$O$18,0))))),1,0)</f>
        <v>1</v>
      </c>
      <c r="AG29">
        <f>IF((AND(VLOOKUP(AG$1,main!$A$3:$I$56,5,FALSE)-VLOOKUP($A29,main!$A$3:$I$56,6,FALSE)&gt;=(VLOOKUP(VLOOKUP(AG$1,main!$A$3:$I$56,8,FALSE),main!$K$11:$M$14,2,FALSE)+VLOOKUP(VLOOKUP(AG$1,main!$A$3:$I$56,7,FALSE),main!$K$19:$O$22,MATCH(VLOOKUP($A29,main!$A$3:$I$56,8,FALSE),main!$K$18:$O$18,0))))),1,0)</f>
        <v>1</v>
      </c>
      <c r="AH29">
        <f>IF((AND(VLOOKUP(AH$1,main!$A$3:$I$56,5,FALSE)-VLOOKUP($A29,main!$A$3:$I$56,6,FALSE)&gt;=(VLOOKUP(VLOOKUP(AH$1,main!$A$3:$I$56,8,FALSE),main!$K$11:$M$14,2,FALSE)+VLOOKUP(VLOOKUP(AH$1,main!$A$3:$I$56,7,FALSE),main!$K$19:$O$22,MATCH(VLOOKUP($A29,main!$A$3:$I$56,8,FALSE),main!$K$18:$O$18,0))))),1,0)</f>
        <v>1</v>
      </c>
      <c r="AI29">
        <f>IF((AND(VLOOKUP(AI$1,main!$A$3:$I$56,5,FALSE)-VLOOKUP($A29,main!$A$3:$I$56,6,FALSE)&gt;=(VLOOKUP(VLOOKUP(AI$1,main!$A$3:$I$56,8,FALSE),main!$K$11:$M$14,2,FALSE)+VLOOKUP(VLOOKUP(AI$1,main!$A$3:$I$56,7,FALSE),main!$K$19:$O$22,MATCH(VLOOKUP($A29,main!$A$3:$I$56,8,FALSE),main!$K$18:$O$18,0))))),1,0)</f>
        <v>1</v>
      </c>
      <c r="AJ29">
        <f>IF((AND(VLOOKUP(AJ$1,main!$A$3:$I$56,5,FALSE)-VLOOKUP($A29,main!$A$3:$I$56,6,FALSE)&gt;=(VLOOKUP(VLOOKUP(AJ$1,main!$A$3:$I$56,8,FALSE),main!$K$11:$M$14,2,FALSE)+VLOOKUP(VLOOKUP(AJ$1,main!$A$3:$I$56,7,FALSE),main!$K$19:$O$22,MATCH(VLOOKUP($A29,main!$A$3:$I$56,8,FALSE),main!$K$18:$O$18,0))))),1,0)</f>
        <v>1</v>
      </c>
      <c r="AK29">
        <f>IF((AND(VLOOKUP(AK$1,main!$A$3:$I$56,5,FALSE)-VLOOKUP($A29,main!$A$3:$I$56,6,FALSE)&gt;=(VLOOKUP(VLOOKUP(AK$1,main!$A$3:$I$56,8,FALSE),main!$K$11:$M$14,2,FALSE)+VLOOKUP(VLOOKUP(AK$1,main!$A$3:$I$56,7,FALSE),main!$K$19:$O$22,MATCH(VLOOKUP($A29,main!$A$3:$I$56,8,FALSE),main!$K$18:$O$18,0))))),1,0)</f>
        <v>1</v>
      </c>
      <c r="AL29">
        <f>IF((AND(VLOOKUP(AL$1,main!$A$3:$I$56,5,FALSE)-VLOOKUP($A29,main!$A$3:$I$56,6,FALSE)&gt;=(VLOOKUP(VLOOKUP(AL$1,main!$A$3:$I$56,8,FALSE),main!$K$11:$M$14,2,FALSE)+VLOOKUP(VLOOKUP(AL$1,main!$A$3:$I$56,7,FALSE),main!$K$19:$O$22,MATCH(VLOOKUP($A29,main!$A$3:$I$56,8,FALSE),main!$K$18:$O$18,0))))),1,0)</f>
        <v>1</v>
      </c>
      <c r="AM29">
        <f>IF((AND(VLOOKUP(AM$1,main!$A$3:$I$56,5,FALSE)-VLOOKUP($A29,main!$A$3:$I$56,6,FALSE)&gt;=(VLOOKUP(VLOOKUP(AM$1,main!$A$3:$I$56,8,FALSE),main!$K$11:$M$14,2,FALSE)+VLOOKUP(VLOOKUP(AM$1,main!$A$3:$I$56,7,FALSE),main!$K$19:$O$22,MATCH(VLOOKUP($A29,main!$A$3:$I$56,8,FALSE),main!$K$18:$O$18,0))))),1,0)</f>
        <v>1</v>
      </c>
      <c r="AN29">
        <f>IF((AND(VLOOKUP(AN$1,main!$A$3:$I$56,5,FALSE)-VLOOKUP($A29,main!$A$3:$I$56,6,FALSE)&gt;=(VLOOKUP(VLOOKUP(AN$1,main!$A$3:$I$56,8,FALSE),main!$K$11:$M$14,2,FALSE)+VLOOKUP(VLOOKUP(AN$1,main!$A$3:$I$56,7,FALSE),main!$K$19:$O$22,MATCH(VLOOKUP($A29,main!$A$3:$I$56,8,FALSE),main!$K$18:$O$18,0))))),1,0)</f>
        <v>1</v>
      </c>
      <c r="AO29">
        <f>IF((AND(VLOOKUP(AO$1,main!$A$3:$I$56,5,FALSE)-VLOOKUP($A29,main!$A$3:$I$56,6,FALSE)&gt;=(VLOOKUP(VLOOKUP(AO$1,main!$A$3:$I$56,8,FALSE),main!$K$11:$M$14,2,FALSE)+VLOOKUP(VLOOKUP(AO$1,main!$A$3:$I$56,7,FALSE),main!$K$19:$O$22,MATCH(VLOOKUP($A29,main!$A$3:$I$56,8,FALSE),main!$K$18:$O$18,0))))),1,0)</f>
        <v>1</v>
      </c>
      <c r="AP29">
        <f>IF((AND(VLOOKUP(AP$1,main!$A$3:$I$56,5,FALSE)-VLOOKUP($A29,main!$A$3:$I$56,6,FALSE)&gt;=(VLOOKUP(VLOOKUP(AP$1,main!$A$3:$I$56,8,FALSE),main!$K$11:$M$14,2,FALSE)+VLOOKUP(VLOOKUP(AP$1,main!$A$3:$I$56,7,FALSE),main!$K$19:$O$22,MATCH(VLOOKUP($A29,main!$A$3:$I$56,8,FALSE),main!$K$18:$O$18,0))))),1,0)</f>
        <v>0</v>
      </c>
      <c r="AQ29">
        <f>IF((AND(VLOOKUP(AQ$1,main!$A$3:$I$56,5,FALSE)-VLOOKUP($A29,main!$A$3:$I$56,6,FALSE)&gt;=(VLOOKUP(VLOOKUP(AQ$1,main!$A$3:$I$56,8,FALSE),main!$K$11:$M$14,2,FALSE)+VLOOKUP(VLOOKUP(AQ$1,main!$A$3:$I$56,7,FALSE),main!$K$19:$O$22,MATCH(VLOOKUP($A29,main!$A$3:$I$56,8,FALSE),main!$K$18:$O$18,0))))),1,0)</f>
        <v>1</v>
      </c>
      <c r="AR29">
        <f>IF((AND(VLOOKUP(AR$1,main!$A$3:$I$56,5,FALSE)-VLOOKUP($A29,main!$A$3:$I$56,6,FALSE)&gt;=(VLOOKUP(VLOOKUP(AR$1,main!$A$3:$I$56,8,FALSE),main!$K$11:$M$14,2,FALSE)+VLOOKUP(VLOOKUP(AR$1,main!$A$3:$I$56,7,FALSE),main!$K$19:$O$22,MATCH(VLOOKUP($A29,main!$A$3:$I$56,8,FALSE),main!$K$18:$O$18,0))))),1,0)</f>
        <v>1</v>
      </c>
      <c r="AS29">
        <f>IF((AND(VLOOKUP(AS$1,main!$A$3:$I$56,5,FALSE)-VLOOKUP($A29,main!$A$3:$I$56,6,FALSE)&gt;=(VLOOKUP(VLOOKUP(AS$1,main!$A$3:$I$56,8,FALSE),main!$K$11:$M$14,2,FALSE)+VLOOKUP(VLOOKUP(AS$1,main!$A$3:$I$56,7,FALSE),main!$K$19:$O$22,MATCH(VLOOKUP($A29,main!$A$3:$I$56,8,FALSE),main!$K$18:$O$18,0))))),1,0)</f>
        <v>1</v>
      </c>
      <c r="AT29">
        <f>IF((AND(VLOOKUP(AT$1,main!$A$3:$I$56,5,FALSE)-VLOOKUP($A29,main!$A$3:$I$56,6,FALSE)&gt;=(VLOOKUP(VLOOKUP(AT$1,main!$A$3:$I$56,8,FALSE),main!$K$11:$M$14,2,FALSE)+VLOOKUP(VLOOKUP(AT$1,main!$A$3:$I$56,7,FALSE),main!$K$19:$O$22,MATCH(VLOOKUP($A29,main!$A$3:$I$56,8,FALSE),main!$K$18:$O$18,0))))),1,0)</f>
        <v>1</v>
      </c>
      <c r="AU29">
        <f>IF((AND(VLOOKUP(AU$1,main!$A$3:$I$56,5,FALSE)-VLOOKUP($A29,main!$A$3:$I$56,6,FALSE)&gt;=(VLOOKUP(VLOOKUP(AU$1,main!$A$3:$I$56,8,FALSE),main!$K$11:$M$14,2,FALSE)+VLOOKUP(VLOOKUP(AU$1,main!$A$3:$I$56,7,FALSE),main!$K$19:$O$22,MATCH(VLOOKUP($A29,main!$A$3:$I$56,8,FALSE),main!$K$18:$O$18,0))))),1,0)</f>
        <v>1</v>
      </c>
      <c r="AV29">
        <f>IF((AND(VLOOKUP(AV$1,main!$A$3:$I$56,5,FALSE)-VLOOKUP($A29,main!$A$3:$I$56,6,FALSE)&gt;=(VLOOKUP(VLOOKUP(AV$1,main!$A$3:$I$56,8,FALSE),main!$K$11:$M$14,2,FALSE)+VLOOKUP(VLOOKUP(AV$1,main!$A$3:$I$56,7,FALSE),main!$K$19:$O$22,MATCH(VLOOKUP($A29,main!$A$3:$I$56,8,FALSE),main!$K$18:$O$18,0))))),1,0)</f>
        <v>1</v>
      </c>
      <c r="AW29">
        <f>IF((AND(VLOOKUP(AW$1,main!$A$3:$I$56,5,FALSE)-VLOOKUP($A29,main!$A$3:$I$56,6,FALSE)&gt;=(VLOOKUP(VLOOKUP(AW$1,main!$A$3:$I$56,8,FALSE),main!$K$11:$M$14,2,FALSE)+VLOOKUP(VLOOKUP(AW$1,main!$A$3:$I$56,7,FALSE),main!$K$19:$O$22,MATCH(VLOOKUP($A29,main!$A$3:$I$56,8,FALSE),main!$K$18:$O$18,0))))),1,0)</f>
        <v>1</v>
      </c>
      <c r="AX29">
        <f>IF((AND(VLOOKUP(AX$1,main!$A$3:$I$56,5,FALSE)-VLOOKUP($A29,main!$A$3:$I$56,6,FALSE)&gt;=(VLOOKUP(VLOOKUP(AX$1,main!$A$3:$I$56,8,FALSE),main!$K$11:$M$14,2,FALSE)+VLOOKUP(VLOOKUP(AX$1,main!$A$3:$I$56,7,FALSE),main!$K$19:$O$22,MATCH(VLOOKUP($A29,main!$A$3:$I$56,8,FALSE),main!$K$18:$O$18,0))))),1,0)</f>
        <v>1</v>
      </c>
      <c r="AY29">
        <f>IF((AND(VLOOKUP(AY$1,main!$A$3:$I$56,5,FALSE)-VLOOKUP($A29,main!$A$3:$I$56,6,FALSE)&gt;=(VLOOKUP(VLOOKUP(AY$1,main!$A$3:$I$56,8,FALSE),main!$K$11:$M$14,2,FALSE)+VLOOKUP(VLOOKUP(AY$1,main!$A$3:$I$56,7,FALSE),main!$K$19:$O$22,MATCH(VLOOKUP($A29,main!$A$3:$I$56,8,FALSE),main!$K$18:$O$18,0))))),1,0)</f>
        <v>1</v>
      </c>
      <c r="AZ29">
        <f>IF((AND(VLOOKUP(AZ$1,main!$A$3:$I$56,5,FALSE)-VLOOKUP($A29,main!$A$3:$I$56,6,FALSE)&gt;=(VLOOKUP(VLOOKUP(AZ$1,main!$A$3:$I$56,8,FALSE),main!$K$11:$M$14,2,FALSE)+VLOOKUP(VLOOKUP(AZ$1,main!$A$3:$I$56,7,FALSE),main!$K$19:$O$22,MATCH(VLOOKUP($A29,main!$A$3:$I$56,8,FALSE),main!$K$18:$O$18,0))))),1,0)</f>
        <v>1</v>
      </c>
      <c r="BA29">
        <f>IF((AND(VLOOKUP(BA$1,main!$A$3:$I$56,5,FALSE)-VLOOKUP($A29,main!$A$3:$I$56,6,FALSE)&gt;=(VLOOKUP(VLOOKUP(BA$1,main!$A$3:$I$56,8,FALSE),main!$K$11:$M$14,2,FALSE)+VLOOKUP(VLOOKUP(BA$1,main!$A$3:$I$56,7,FALSE),main!$K$19:$O$22,MATCH(VLOOKUP($A29,main!$A$3:$I$56,8,FALSE),main!$K$18:$O$18,0))))),1,0)</f>
        <v>1</v>
      </c>
      <c r="BB29">
        <f>IF((AND(VLOOKUP(BB$1,main!$A$3:$I$56,5,FALSE)-VLOOKUP($A29,main!$A$3:$I$56,6,FALSE)&gt;=(VLOOKUP(VLOOKUP(BB$1,main!$A$3:$I$56,8,FALSE),main!$K$11:$M$14,2,FALSE)+VLOOKUP(VLOOKUP(BB$1,main!$A$3:$I$56,7,FALSE),main!$K$19:$O$22,MATCH(VLOOKUP($A29,main!$A$3:$I$56,8,FALSE),main!$K$18:$O$18,0))))),1,0)</f>
        <v>1</v>
      </c>
      <c r="BC29">
        <f>IF((AND(VLOOKUP(BC$1,main!$A$3:$I$56,5,FALSE)-VLOOKUP($A29,main!$A$3:$I$56,6,FALSE)&gt;=(VLOOKUP(VLOOKUP(BC$1,main!$A$3:$I$56,8,FALSE),main!$K$11:$M$14,2,FALSE)+VLOOKUP(VLOOKUP(BC$1,main!$A$3:$I$56,7,FALSE),main!$K$19:$O$22,MATCH(VLOOKUP($A29,main!$A$3:$I$56,8,FALSE),main!$K$18:$O$18,0))))),1,0)</f>
        <v>1</v>
      </c>
      <c r="BD29">
        <f>IF((AND(VLOOKUP(BD$1,main!$A$3:$I$56,5,FALSE)-VLOOKUP($A29,main!$A$3:$I$56,6,FALSE)&gt;=(VLOOKUP(VLOOKUP(BD$1,main!$A$3:$I$56,8,FALSE),main!$K$11:$M$14,2,FALSE)+VLOOKUP(VLOOKUP(BD$1,main!$A$3:$I$56,7,FALSE),main!$K$19:$O$22,MATCH(VLOOKUP($A29,main!$A$3:$I$56,8,FALSE),main!$K$18:$O$18,0))))),1,0)</f>
        <v>1</v>
      </c>
    </row>
    <row r="30" spans="1:56" x14ac:dyDescent="0.25">
      <c r="A30">
        <f t="shared" si="0"/>
        <v>28</v>
      </c>
      <c r="B30">
        <v>1</v>
      </c>
      <c r="C30">
        <f>IF((AND(VLOOKUP(C$1,main!$A$3:$I$56,5,FALSE)-VLOOKUP($A30,main!$A$3:$I$56,6,FALSE)&gt;=(VLOOKUP(VLOOKUP(C$1,main!$A$3:$I$56,8,FALSE),main!$K$11:$M$14,2,FALSE)+VLOOKUP(VLOOKUP(C$1,main!$A$3:$I$56,7,FALSE),main!$K$19:$O$22,MATCH(VLOOKUP($A30,main!$A$3:$I$56,8,FALSE),main!$K$18:$O$18,0))))),1,0)</f>
        <v>0</v>
      </c>
      <c r="D30">
        <f>IF((AND(VLOOKUP(D$1,main!$A$3:$I$56,5,FALSE)-VLOOKUP($A30,main!$A$3:$I$56,6,FALSE)&gt;=(VLOOKUP(VLOOKUP(D$1,main!$A$3:$I$56,8,FALSE),main!$K$11:$M$14,2,FALSE)+VLOOKUP(VLOOKUP(D$1,main!$A$3:$I$56,7,FALSE),main!$K$19:$O$22,MATCH(VLOOKUP($A30,main!$A$3:$I$56,8,FALSE),main!$K$18:$O$18,0))))),1,0)</f>
        <v>0</v>
      </c>
      <c r="E30">
        <f>IF((AND(VLOOKUP(E$1,main!$A$3:$I$56,5,FALSE)-VLOOKUP($A30,main!$A$3:$I$56,6,FALSE)&gt;=(VLOOKUP(VLOOKUP(E$1,main!$A$3:$I$56,8,FALSE),main!$K$11:$M$14,2,FALSE)+VLOOKUP(VLOOKUP(E$1,main!$A$3:$I$56,7,FALSE),main!$K$19:$O$22,MATCH(VLOOKUP($A30,main!$A$3:$I$56,8,FALSE),main!$K$18:$O$18,0))))),1,0)</f>
        <v>1</v>
      </c>
      <c r="F30">
        <f>IF((AND(VLOOKUP(F$1,main!$A$3:$I$56,5,FALSE)-VLOOKUP($A30,main!$A$3:$I$56,6,FALSE)&gt;=(VLOOKUP(VLOOKUP(F$1,main!$A$3:$I$56,8,FALSE),main!$K$11:$M$14,2,FALSE)+VLOOKUP(VLOOKUP(F$1,main!$A$3:$I$56,7,FALSE),main!$K$19:$O$22,MATCH(VLOOKUP($A30,main!$A$3:$I$56,8,FALSE),main!$K$18:$O$18,0))))),1,0)</f>
        <v>1</v>
      </c>
      <c r="G30">
        <f>IF((AND(VLOOKUP(G$1,main!$A$3:$I$56,5,FALSE)-VLOOKUP($A30,main!$A$3:$I$56,6,FALSE)&gt;=(VLOOKUP(VLOOKUP(G$1,main!$A$3:$I$56,8,FALSE),main!$K$11:$M$14,2,FALSE)+VLOOKUP(VLOOKUP(G$1,main!$A$3:$I$56,7,FALSE),main!$K$19:$O$22,MATCH(VLOOKUP($A30,main!$A$3:$I$56,8,FALSE),main!$K$18:$O$18,0))))),1,0)</f>
        <v>1</v>
      </c>
      <c r="H30">
        <f>IF((AND(VLOOKUP(H$1,main!$A$3:$I$56,5,FALSE)-VLOOKUP($A30,main!$A$3:$I$56,6,FALSE)&gt;=(VLOOKUP(VLOOKUP(H$1,main!$A$3:$I$56,8,FALSE),main!$K$11:$M$14,2,FALSE)+VLOOKUP(VLOOKUP(H$1,main!$A$3:$I$56,7,FALSE),main!$K$19:$O$22,MATCH(VLOOKUP($A30,main!$A$3:$I$56,8,FALSE),main!$K$18:$O$18,0))))),1,0)</f>
        <v>1</v>
      </c>
      <c r="I30">
        <f>IF((AND(VLOOKUP(I$1,main!$A$3:$I$56,5,FALSE)-VLOOKUP($A30,main!$A$3:$I$56,6,FALSE)&gt;=(VLOOKUP(VLOOKUP(I$1,main!$A$3:$I$56,8,FALSE),main!$K$11:$M$14,2,FALSE)+VLOOKUP(VLOOKUP(I$1,main!$A$3:$I$56,7,FALSE),main!$K$19:$O$22,MATCH(VLOOKUP($A30,main!$A$3:$I$56,8,FALSE),main!$K$18:$O$18,0))))),1,0)</f>
        <v>1</v>
      </c>
      <c r="J30">
        <f>IF((AND(VLOOKUP(J$1,main!$A$3:$I$56,5,FALSE)-VLOOKUP($A30,main!$A$3:$I$56,6,FALSE)&gt;=(VLOOKUP(VLOOKUP(J$1,main!$A$3:$I$56,8,FALSE),main!$K$11:$M$14,2,FALSE)+VLOOKUP(VLOOKUP(J$1,main!$A$3:$I$56,7,FALSE),main!$K$19:$O$22,MATCH(VLOOKUP($A30,main!$A$3:$I$56,8,FALSE),main!$K$18:$O$18,0))))),1,0)</f>
        <v>1</v>
      </c>
      <c r="K30">
        <f>IF((AND(VLOOKUP(K$1,main!$A$3:$I$56,5,FALSE)-VLOOKUP($A30,main!$A$3:$I$56,6,FALSE)&gt;=(VLOOKUP(VLOOKUP(K$1,main!$A$3:$I$56,8,FALSE),main!$K$11:$M$14,2,FALSE)+VLOOKUP(VLOOKUP(K$1,main!$A$3:$I$56,7,FALSE),main!$K$19:$O$22,MATCH(VLOOKUP($A30,main!$A$3:$I$56,8,FALSE),main!$K$18:$O$18,0))))),1,0)</f>
        <v>0</v>
      </c>
      <c r="L30">
        <f>IF((AND(VLOOKUP(L$1,main!$A$3:$I$56,5,FALSE)-VLOOKUP($A30,main!$A$3:$I$56,6,FALSE)&gt;=(VLOOKUP(VLOOKUP(L$1,main!$A$3:$I$56,8,FALSE),main!$K$11:$M$14,2,FALSE)+VLOOKUP(VLOOKUP(L$1,main!$A$3:$I$56,7,FALSE),main!$K$19:$O$22,MATCH(VLOOKUP($A30,main!$A$3:$I$56,8,FALSE),main!$K$18:$O$18,0))))),1,0)</f>
        <v>0</v>
      </c>
      <c r="M30">
        <f>IF((AND(VLOOKUP(M$1,main!$A$3:$I$56,5,FALSE)-VLOOKUP($A30,main!$A$3:$I$56,6,FALSE)&gt;=(VLOOKUP(VLOOKUP(M$1,main!$A$3:$I$56,8,FALSE),main!$K$11:$M$14,2,FALSE)+VLOOKUP(VLOOKUP(M$1,main!$A$3:$I$56,7,FALSE),main!$K$19:$O$22,MATCH(VLOOKUP($A30,main!$A$3:$I$56,8,FALSE),main!$K$18:$O$18,0))))),1,0)</f>
        <v>1</v>
      </c>
      <c r="N30">
        <f>IF((AND(VLOOKUP(N$1,main!$A$3:$I$56,5,FALSE)-VLOOKUP($A30,main!$A$3:$I$56,6,FALSE)&gt;=(VLOOKUP(VLOOKUP(N$1,main!$A$3:$I$56,8,FALSE),main!$K$11:$M$14,2,FALSE)+VLOOKUP(VLOOKUP(N$1,main!$A$3:$I$56,7,FALSE),main!$K$19:$O$22,MATCH(VLOOKUP($A30,main!$A$3:$I$56,8,FALSE),main!$K$18:$O$18,0))))),1,0)</f>
        <v>1</v>
      </c>
      <c r="O30">
        <f>IF((AND(VLOOKUP(O$1,main!$A$3:$I$56,5,FALSE)-VLOOKUP($A30,main!$A$3:$I$56,6,FALSE)&gt;=(VLOOKUP(VLOOKUP(O$1,main!$A$3:$I$56,8,FALSE),main!$K$11:$M$14,2,FALSE)+VLOOKUP(VLOOKUP(O$1,main!$A$3:$I$56,7,FALSE),main!$K$19:$O$22,MATCH(VLOOKUP($A30,main!$A$3:$I$56,8,FALSE),main!$K$18:$O$18,0))))),1,0)</f>
        <v>1</v>
      </c>
      <c r="P30">
        <f>IF((AND(VLOOKUP(P$1,main!$A$3:$I$56,5,FALSE)-VLOOKUP($A30,main!$A$3:$I$56,6,FALSE)&gt;=(VLOOKUP(VLOOKUP(P$1,main!$A$3:$I$56,8,FALSE),main!$K$11:$M$14,2,FALSE)+VLOOKUP(VLOOKUP(P$1,main!$A$3:$I$56,7,FALSE),main!$K$19:$O$22,MATCH(VLOOKUP($A30,main!$A$3:$I$56,8,FALSE),main!$K$18:$O$18,0))))),1,0)</f>
        <v>0</v>
      </c>
      <c r="Q30">
        <f>IF((AND(VLOOKUP(Q$1,main!$A$3:$I$56,5,FALSE)-VLOOKUP($A30,main!$A$3:$I$56,6,FALSE)&gt;=(VLOOKUP(VLOOKUP(Q$1,main!$A$3:$I$56,8,FALSE),main!$K$11:$M$14,2,FALSE)+VLOOKUP(VLOOKUP(Q$1,main!$A$3:$I$56,7,FALSE),main!$K$19:$O$22,MATCH(VLOOKUP($A30,main!$A$3:$I$56,8,FALSE),main!$K$18:$O$18,0))))),1,0)</f>
        <v>0</v>
      </c>
      <c r="R30">
        <f>IF((AND(VLOOKUP(R$1,main!$A$3:$I$56,5,FALSE)-VLOOKUP($A30,main!$A$3:$I$56,6,FALSE)&gt;=(VLOOKUP(VLOOKUP(R$1,main!$A$3:$I$56,8,FALSE),main!$K$11:$M$14,2,FALSE)+VLOOKUP(VLOOKUP(R$1,main!$A$3:$I$56,7,FALSE),main!$K$19:$O$22,MATCH(VLOOKUP($A30,main!$A$3:$I$56,8,FALSE),main!$K$18:$O$18,0))))),1,0)</f>
        <v>1</v>
      </c>
      <c r="S30">
        <f>IF((AND(VLOOKUP(S$1,main!$A$3:$I$56,5,FALSE)-VLOOKUP($A30,main!$A$3:$I$56,6,FALSE)&gt;=(VLOOKUP(VLOOKUP(S$1,main!$A$3:$I$56,8,FALSE),main!$K$11:$M$14,2,FALSE)+VLOOKUP(VLOOKUP(S$1,main!$A$3:$I$56,7,FALSE),main!$K$19:$O$22,MATCH(VLOOKUP($A30,main!$A$3:$I$56,8,FALSE),main!$K$18:$O$18,0))))),1,0)</f>
        <v>1</v>
      </c>
      <c r="T30">
        <f>IF((AND(VLOOKUP(T$1,main!$A$3:$I$56,5,FALSE)-VLOOKUP($A30,main!$A$3:$I$56,6,FALSE)&gt;=(VLOOKUP(VLOOKUP(T$1,main!$A$3:$I$56,8,FALSE),main!$K$11:$M$14,2,FALSE)+VLOOKUP(VLOOKUP(T$1,main!$A$3:$I$56,7,FALSE),main!$K$19:$O$22,MATCH(VLOOKUP($A30,main!$A$3:$I$56,8,FALSE),main!$K$18:$O$18,0))))),1,0)</f>
        <v>1</v>
      </c>
      <c r="U30">
        <f>IF((AND(VLOOKUP(U$1,main!$A$3:$I$56,5,FALSE)-VLOOKUP($A30,main!$A$3:$I$56,6,FALSE)&gt;=(VLOOKUP(VLOOKUP(U$1,main!$A$3:$I$56,8,FALSE),main!$K$11:$M$14,2,FALSE)+VLOOKUP(VLOOKUP(U$1,main!$A$3:$I$56,7,FALSE),main!$K$19:$O$22,MATCH(VLOOKUP($A30,main!$A$3:$I$56,8,FALSE),main!$K$18:$O$18,0))))),1,0)</f>
        <v>0</v>
      </c>
      <c r="V30">
        <f>IF((AND(VLOOKUP(V$1,main!$A$3:$I$56,5,FALSE)-VLOOKUP($A30,main!$A$3:$I$56,6,FALSE)&gt;=(VLOOKUP(VLOOKUP(V$1,main!$A$3:$I$56,8,FALSE),main!$K$11:$M$14,2,FALSE)+VLOOKUP(VLOOKUP(V$1,main!$A$3:$I$56,7,FALSE),main!$K$19:$O$22,MATCH(VLOOKUP($A30,main!$A$3:$I$56,8,FALSE),main!$K$18:$O$18,0))))),1,0)</f>
        <v>0</v>
      </c>
      <c r="W30">
        <f>IF((AND(VLOOKUP(W$1,main!$A$3:$I$56,5,FALSE)-VLOOKUP($A30,main!$A$3:$I$56,6,FALSE)&gt;=(VLOOKUP(VLOOKUP(W$1,main!$A$3:$I$56,8,FALSE),main!$K$11:$M$14,2,FALSE)+VLOOKUP(VLOOKUP(W$1,main!$A$3:$I$56,7,FALSE),main!$K$19:$O$22,MATCH(VLOOKUP($A30,main!$A$3:$I$56,8,FALSE),main!$K$18:$O$18,0))))),1,0)</f>
        <v>0</v>
      </c>
      <c r="X30">
        <f>IF((AND(VLOOKUP(X$1,main!$A$3:$I$56,5,FALSE)-VLOOKUP($A30,main!$A$3:$I$56,6,FALSE)&gt;=(VLOOKUP(VLOOKUP(X$1,main!$A$3:$I$56,8,FALSE),main!$K$11:$M$14,2,FALSE)+VLOOKUP(VLOOKUP(X$1,main!$A$3:$I$56,7,FALSE),main!$K$19:$O$22,MATCH(VLOOKUP($A30,main!$A$3:$I$56,8,FALSE),main!$K$18:$O$18,0))))),1,0)</f>
        <v>1</v>
      </c>
      <c r="Y30">
        <f>IF((AND(VLOOKUP(Y$1,main!$A$3:$I$56,5,FALSE)-VLOOKUP($A30,main!$A$3:$I$56,6,FALSE)&gt;=(VLOOKUP(VLOOKUP(Y$1,main!$A$3:$I$56,8,FALSE),main!$K$11:$M$14,2,FALSE)+VLOOKUP(VLOOKUP(Y$1,main!$A$3:$I$56,7,FALSE),main!$K$19:$O$22,MATCH(VLOOKUP($A30,main!$A$3:$I$56,8,FALSE),main!$K$18:$O$18,0))))),1,0)</f>
        <v>1</v>
      </c>
      <c r="Z30">
        <f>IF((AND(VLOOKUP(Z$1,main!$A$3:$I$56,5,FALSE)-VLOOKUP($A30,main!$A$3:$I$56,6,FALSE)&gt;=(VLOOKUP(VLOOKUP(Z$1,main!$A$3:$I$56,8,FALSE),main!$K$11:$M$14,2,FALSE)+VLOOKUP(VLOOKUP(Z$1,main!$A$3:$I$56,7,FALSE),main!$K$19:$O$22,MATCH(VLOOKUP($A30,main!$A$3:$I$56,8,FALSE),main!$K$18:$O$18,0))))),1,0)</f>
        <v>1</v>
      </c>
      <c r="AA30">
        <f>IF((AND(VLOOKUP(AA$1,main!$A$3:$I$56,5,FALSE)-VLOOKUP($A30,main!$A$3:$I$56,6,FALSE)&gt;=(VLOOKUP(VLOOKUP(AA$1,main!$A$3:$I$56,8,FALSE),main!$K$11:$M$14,2,FALSE)+VLOOKUP(VLOOKUP(AA$1,main!$A$3:$I$56,7,FALSE),main!$K$19:$O$22,MATCH(VLOOKUP($A30,main!$A$3:$I$56,8,FALSE),main!$K$18:$O$18,0))))),1,0)</f>
        <v>1</v>
      </c>
      <c r="AB30">
        <f>IF((AND(VLOOKUP(AB$1,main!$A$3:$I$56,5,FALSE)-VLOOKUP($A30,main!$A$3:$I$56,6,FALSE)&gt;=(VLOOKUP(VLOOKUP(AB$1,main!$A$3:$I$56,8,FALSE),main!$K$11:$M$14,2,FALSE)+VLOOKUP(VLOOKUP(AB$1,main!$A$3:$I$56,7,FALSE),main!$K$19:$O$22,MATCH(VLOOKUP($A30,main!$A$3:$I$56,8,FALSE),main!$K$18:$O$18,0))))),1,0)</f>
        <v>1</v>
      </c>
      <c r="AC30">
        <f>IF((AND(VLOOKUP(AC$1,main!$A$3:$I$56,5,FALSE)-VLOOKUP($A30,main!$A$3:$I$56,6,FALSE)&gt;=(VLOOKUP(VLOOKUP(AC$1,main!$A$3:$I$56,8,FALSE),main!$K$11:$M$14,2,FALSE)+VLOOKUP(VLOOKUP(AC$1,main!$A$3:$I$56,7,FALSE),main!$K$19:$O$22,MATCH(VLOOKUP($A30,main!$A$3:$I$56,8,FALSE),main!$K$18:$O$18,0))))),1,0)</f>
        <v>0</v>
      </c>
      <c r="AD30">
        <f>IF((AND(VLOOKUP(AD$1,main!$A$3:$I$56,5,FALSE)-VLOOKUP($A30,main!$A$3:$I$56,6,FALSE)&gt;=(VLOOKUP(VLOOKUP(AD$1,main!$A$3:$I$56,8,FALSE),main!$K$11:$M$14,2,FALSE)+VLOOKUP(VLOOKUP(AD$1,main!$A$3:$I$56,7,FALSE),main!$K$19:$O$22,MATCH(VLOOKUP($A30,main!$A$3:$I$56,8,FALSE),main!$K$18:$O$18,0))))),1,0)</f>
        <v>0</v>
      </c>
      <c r="AE30">
        <f>IF((AND(VLOOKUP(AE$1,main!$A$3:$I$56,5,FALSE)-VLOOKUP($A30,main!$A$3:$I$56,6,FALSE)&gt;=(VLOOKUP(VLOOKUP(AE$1,main!$A$3:$I$56,8,FALSE),main!$K$11:$M$14,2,FALSE)+VLOOKUP(VLOOKUP(AE$1,main!$A$3:$I$56,7,FALSE),main!$K$19:$O$22,MATCH(VLOOKUP($A30,main!$A$3:$I$56,8,FALSE),main!$K$18:$O$18,0))))),1,0)</f>
        <v>1</v>
      </c>
      <c r="AF30">
        <f>IF((AND(VLOOKUP(AF$1,main!$A$3:$I$56,5,FALSE)-VLOOKUP($A30,main!$A$3:$I$56,6,FALSE)&gt;=(VLOOKUP(VLOOKUP(AF$1,main!$A$3:$I$56,8,FALSE),main!$K$11:$M$14,2,FALSE)+VLOOKUP(VLOOKUP(AF$1,main!$A$3:$I$56,7,FALSE),main!$K$19:$O$22,MATCH(VLOOKUP($A30,main!$A$3:$I$56,8,FALSE),main!$K$18:$O$18,0))))),1,0)</f>
        <v>1</v>
      </c>
      <c r="AG30">
        <f>IF((AND(VLOOKUP(AG$1,main!$A$3:$I$56,5,FALSE)-VLOOKUP($A30,main!$A$3:$I$56,6,FALSE)&gt;=(VLOOKUP(VLOOKUP(AG$1,main!$A$3:$I$56,8,FALSE),main!$K$11:$M$14,2,FALSE)+VLOOKUP(VLOOKUP(AG$1,main!$A$3:$I$56,7,FALSE),main!$K$19:$O$22,MATCH(VLOOKUP($A30,main!$A$3:$I$56,8,FALSE),main!$K$18:$O$18,0))))),1,0)</f>
        <v>0</v>
      </c>
      <c r="AH30">
        <f>IF((AND(VLOOKUP(AH$1,main!$A$3:$I$56,5,FALSE)-VLOOKUP($A30,main!$A$3:$I$56,6,FALSE)&gt;=(VLOOKUP(VLOOKUP(AH$1,main!$A$3:$I$56,8,FALSE),main!$K$11:$M$14,2,FALSE)+VLOOKUP(VLOOKUP(AH$1,main!$A$3:$I$56,7,FALSE),main!$K$19:$O$22,MATCH(VLOOKUP($A30,main!$A$3:$I$56,8,FALSE),main!$K$18:$O$18,0))))),1,0)</f>
        <v>0</v>
      </c>
      <c r="AI30">
        <f>IF((AND(VLOOKUP(AI$1,main!$A$3:$I$56,5,FALSE)-VLOOKUP($A30,main!$A$3:$I$56,6,FALSE)&gt;=(VLOOKUP(VLOOKUP(AI$1,main!$A$3:$I$56,8,FALSE),main!$K$11:$M$14,2,FALSE)+VLOOKUP(VLOOKUP(AI$1,main!$A$3:$I$56,7,FALSE),main!$K$19:$O$22,MATCH(VLOOKUP($A30,main!$A$3:$I$56,8,FALSE),main!$K$18:$O$18,0))))),1,0)</f>
        <v>1</v>
      </c>
      <c r="AJ30">
        <f>IF((AND(VLOOKUP(AJ$1,main!$A$3:$I$56,5,FALSE)-VLOOKUP($A30,main!$A$3:$I$56,6,FALSE)&gt;=(VLOOKUP(VLOOKUP(AJ$1,main!$A$3:$I$56,8,FALSE),main!$K$11:$M$14,2,FALSE)+VLOOKUP(VLOOKUP(AJ$1,main!$A$3:$I$56,7,FALSE),main!$K$19:$O$22,MATCH(VLOOKUP($A30,main!$A$3:$I$56,8,FALSE),main!$K$18:$O$18,0))))),1,0)</f>
        <v>1</v>
      </c>
      <c r="AK30">
        <f>IF((AND(VLOOKUP(AK$1,main!$A$3:$I$56,5,FALSE)-VLOOKUP($A30,main!$A$3:$I$56,6,FALSE)&gt;=(VLOOKUP(VLOOKUP(AK$1,main!$A$3:$I$56,8,FALSE),main!$K$11:$M$14,2,FALSE)+VLOOKUP(VLOOKUP(AK$1,main!$A$3:$I$56,7,FALSE),main!$K$19:$O$22,MATCH(VLOOKUP($A30,main!$A$3:$I$56,8,FALSE),main!$K$18:$O$18,0))))),1,0)</f>
        <v>1</v>
      </c>
      <c r="AL30">
        <f>IF((AND(VLOOKUP(AL$1,main!$A$3:$I$56,5,FALSE)-VLOOKUP($A30,main!$A$3:$I$56,6,FALSE)&gt;=(VLOOKUP(VLOOKUP(AL$1,main!$A$3:$I$56,8,FALSE),main!$K$11:$M$14,2,FALSE)+VLOOKUP(VLOOKUP(AL$1,main!$A$3:$I$56,7,FALSE),main!$K$19:$O$22,MATCH(VLOOKUP($A30,main!$A$3:$I$56,8,FALSE),main!$K$18:$O$18,0))))),1,0)</f>
        <v>0</v>
      </c>
      <c r="AM30">
        <f>IF((AND(VLOOKUP(AM$1,main!$A$3:$I$56,5,FALSE)-VLOOKUP($A30,main!$A$3:$I$56,6,FALSE)&gt;=(VLOOKUP(VLOOKUP(AM$1,main!$A$3:$I$56,8,FALSE),main!$K$11:$M$14,2,FALSE)+VLOOKUP(VLOOKUP(AM$1,main!$A$3:$I$56,7,FALSE),main!$K$19:$O$22,MATCH(VLOOKUP($A30,main!$A$3:$I$56,8,FALSE),main!$K$18:$O$18,0))))),1,0)</f>
        <v>0</v>
      </c>
      <c r="AN30">
        <f>IF((AND(VLOOKUP(AN$1,main!$A$3:$I$56,5,FALSE)-VLOOKUP($A30,main!$A$3:$I$56,6,FALSE)&gt;=(VLOOKUP(VLOOKUP(AN$1,main!$A$3:$I$56,8,FALSE),main!$K$11:$M$14,2,FALSE)+VLOOKUP(VLOOKUP(AN$1,main!$A$3:$I$56,7,FALSE),main!$K$19:$O$22,MATCH(VLOOKUP($A30,main!$A$3:$I$56,8,FALSE),main!$K$18:$O$18,0))))),1,0)</f>
        <v>1</v>
      </c>
      <c r="AO30">
        <f>IF((AND(VLOOKUP(AO$1,main!$A$3:$I$56,5,FALSE)-VLOOKUP($A30,main!$A$3:$I$56,6,FALSE)&gt;=(VLOOKUP(VLOOKUP(AO$1,main!$A$3:$I$56,8,FALSE),main!$K$11:$M$14,2,FALSE)+VLOOKUP(VLOOKUP(AO$1,main!$A$3:$I$56,7,FALSE),main!$K$19:$O$22,MATCH(VLOOKUP($A30,main!$A$3:$I$56,8,FALSE),main!$K$18:$O$18,0))))),1,0)</f>
        <v>1</v>
      </c>
      <c r="AP30">
        <f>IF((AND(VLOOKUP(AP$1,main!$A$3:$I$56,5,FALSE)-VLOOKUP($A30,main!$A$3:$I$56,6,FALSE)&gt;=(VLOOKUP(VLOOKUP(AP$1,main!$A$3:$I$56,8,FALSE),main!$K$11:$M$14,2,FALSE)+VLOOKUP(VLOOKUP(AP$1,main!$A$3:$I$56,7,FALSE),main!$K$19:$O$22,MATCH(VLOOKUP($A30,main!$A$3:$I$56,8,FALSE),main!$K$18:$O$18,0))))),1,0)</f>
        <v>0</v>
      </c>
      <c r="AQ30">
        <f>IF((AND(VLOOKUP(AQ$1,main!$A$3:$I$56,5,FALSE)-VLOOKUP($A30,main!$A$3:$I$56,6,FALSE)&gt;=(VLOOKUP(VLOOKUP(AQ$1,main!$A$3:$I$56,8,FALSE),main!$K$11:$M$14,2,FALSE)+VLOOKUP(VLOOKUP(AQ$1,main!$A$3:$I$56,7,FALSE),main!$K$19:$O$22,MATCH(VLOOKUP($A30,main!$A$3:$I$56,8,FALSE),main!$K$18:$O$18,0))))),1,0)</f>
        <v>0</v>
      </c>
      <c r="AR30">
        <f>IF((AND(VLOOKUP(AR$1,main!$A$3:$I$56,5,FALSE)-VLOOKUP($A30,main!$A$3:$I$56,6,FALSE)&gt;=(VLOOKUP(VLOOKUP(AR$1,main!$A$3:$I$56,8,FALSE),main!$K$11:$M$14,2,FALSE)+VLOOKUP(VLOOKUP(AR$1,main!$A$3:$I$56,7,FALSE),main!$K$19:$O$22,MATCH(VLOOKUP($A30,main!$A$3:$I$56,8,FALSE),main!$K$18:$O$18,0))))),1,0)</f>
        <v>0</v>
      </c>
      <c r="AS30">
        <f>IF((AND(VLOOKUP(AS$1,main!$A$3:$I$56,5,FALSE)-VLOOKUP($A30,main!$A$3:$I$56,6,FALSE)&gt;=(VLOOKUP(VLOOKUP(AS$1,main!$A$3:$I$56,8,FALSE),main!$K$11:$M$14,2,FALSE)+VLOOKUP(VLOOKUP(AS$1,main!$A$3:$I$56,7,FALSE),main!$K$19:$O$22,MATCH(VLOOKUP($A30,main!$A$3:$I$56,8,FALSE),main!$K$18:$O$18,0))))),1,0)</f>
        <v>1</v>
      </c>
      <c r="AT30">
        <f>IF((AND(VLOOKUP(AT$1,main!$A$3:$I$56,5,FALSE)-VLOOKUP($A30,main!$A$3:$I$56,6,FALSE)&gt;=(VLOOKUP(VLOOKUP(AT$1,main!$A$3:$I$56,8,FALSE),main!$K$11:$M$14,2,FALSE)+VLOOKUP(VLOOKUP(AT$1,main!$A$3:$I$56,7,FALSE),main!$K$19:$O$22,MATCH(VLOOKUP($A30,main!$A$3:$I$56,8,FALSE),main!$K$18:$O$18,0))))),1,0)</f>
        <v>1</v>
      </c>
      <c r="AU30">
        <f>IF((AND(VLOOKUP(AU$1,main!$A$3:$I$56,5,FALSE)-VLOOKUP($A30,main!$A$3:$I$56,6,FALSE)&gt;=(VLOOKUP(VLOOKUP(AU$1,main!$A$3:$I$56,8,FALSE),main!$K$11:$M$14,2,FALSE)+VLOOKUP(VLOOKUP(AU$1,main!$A$3:$I$56,7,FALSE),main!$K$19:$O$22,MATCH(VLOOKUP($A30,main!$A$3:$I$56,8,FALSE),main!$K$18:$O$18,0))))),1,0)</f>
        <v>0</v>
      </c>
      <c r="AV30">
        <f>IF((AND(VLOOKUP(AV$1,main!$A$3:$I$56,5,FALSE)-VLOOKUP($A30,main!$A$3:$I$56,6,FALSE)&gt;=(VLOOKUP(VLOOKUP(AV$1,main!$A$3:$I$56,8,FALSE),main!$K$11:$M$14,2,FALSE)+VLOOKUP(VLOOKUP(AV$1,main!$A$3:$I$56,7,FALSE),main!$K$19:$O$22,MATCH(VLOOKUP($A30,main!$A$3:$I$56,8,FALSE),main!$K$18:$O$18,0))))),1,0)</f>
        <v>0</v>
      </c>
      <c r="AW30">
        <f>IF((AND(VLOOKUP(AW$1,main!$A$3:$I$56,5,FALSE)-VLOOKUP($A30,main!$A$3:$I$56,6,FALSE)&gt;=(VLOOKUP(VLOOKUP(AW$1,main!$A$3:$I$56,8,FALSE),main!$K$11:$M$14,2,FALSE)+VLOOKUP(VLOOKUP(AW$1,main!$A$3:$I$56,7,FALSE),main!$K$19:$O$22,MATCH(VLOOKUP($A30,main!$A$3:$I$56,8,FALSE),main!$K$18:$O$18,0))))),1,0)</f>
        <v>1</v>
      </c>
      <c r="AX30">
        <f>IF((AND(VLOOKUP(AX$1,main!$A$3:$I$56,5,FALSE)-VLOOKUP($A30,main!$A$3:$I$56,6,FALSE)&gt;=(VLOOKUP(VLOOKUP(AX$1,main!$A$3:$I$56,8,FALSE),main!$K$11:$M$14,2,FALSE)+VLOOKUP(VLOOKUP(AX$1,main!$A$3:$I$56,7,FALSE),main!$K$19:$O$22,MATCH(VLOOKUP($A30,main!$A$3:$I$56,8,FALSE),main!$K$18:$O$18,0))))),1,0)</f>
        <v>1</v>
      </c>
      <c r="AY30">
        <f>IF((AND(VLOOKUP(AY$1,main!$A$3:$I$56,5,FALSE)-VLOOKUP($A30,main!$A$3:$I$56,6,FALSE)&gt;=(VLOOKUP(VLOOKUP(AY$1,main!$A$3:$I$56,8,FALSE),main!$K$11:$M$14,2,FALSE)+VLOOKUP(VLOOKUP(AY$1,main!$A$3:$I$56,7,FALSE),main!$K$19:$O$22,MATCH(VLOOKUP($A30,main!$A$3:$I$56,8,FALSE),main!$K$18:$O$18,0))))),1,0)</f>
        <v>1</v>
      </c>
      <c r="AZ30">
        <f>IF((AND(VLOOKUP(AZ$1,main!$A$3:$I$56,5,FALSE)-VLOOKUP($A30,main!$A$3:$I$56,6,FALSE)&gt;=(VLOOKUP(VLOOKUP(AZ$1,main!$A$3:$I$56,8,FALSE),main!$K$11:$M$14,2,FALSE)+VLOOKUP(VLOOKUP(AZ$1,main!$A$3:$I$56,7,FALSE),main!$K$19:$O$22,MATCH(VLOOKUP($A30,main!$A$3:$I$56,8,FALSE),main!$K$18:$O$18,0))))),1,0)</f>
        <v>0</v>
      </c>
      <c r="BA30">
        <f>IF((AND(VLOOKUP(BA$1,main!$A$3:$I$56,5,FALSE)-VLOOKUP($A30,main!$A$3:$I$56,6,FALSE)&gt;=(VLOOKUP(VLOOKUP(BA$1,main!$A$3:$I$56,8,FALSE),main!$K$11:$M$14,2,FALSE)+VLOOKUP(VLOOKUP(BA$1,main!$A$3:$I$56,7,FALSE),main!$K$19:$O$22,MATCH(VLOOKUP($A30,main!$A$3:$I$56,8,FALSE),main!$K$18:$O$18,0))))),1,0)</f>
        <v>0</v>
      </c>
      <c r="BB30">
        <f>IF((AND(VLOOKUP(BB$1,main!$A$3:$I$56,5,FALSE)-VLOOKUP($A30,main!$A$3:$I$56,6,FALSE)&gt;=(VLOOKUP(VLOOKUP(BB$1,main!$A$3:$I$56,8,FALSE),main!$K$11:$M$14,2,FALSE)+VLOOKUP(VLOOKUP(BB$1,main!$A$3:$I$56,7,FALSE),main!$K$19:$O$22,MATCH(VLOOKUP($A30,main!$A$3:$I$56,8,FALSE),main!$K$18:$O$18,0))))),1,0)</f>
        <v>0</v>
      </c>
      <c r="BC30">
        <f>IF((AND(VLOOKUP(BC$1,main!$A$3:$I$56,5,FALSE)-VLOOKUP($A30,main!$A$3:$I$56,6,FALSE)&gt;=(VLOOKUP(VLOOKUP(BC$1,main!$A$3:$I$56,8,FALSE),main!$K$11:$M$14,2,FALSE)+VLOOKUP(VLOOKUP(BC$1,main!$A$3:$I$56,7,FALSE),main!$K$19:$O$22,MATCH(VLOOKUP($A30,main!$A$3:$I$56,8,FALSE),main!$K$18:$O$18,0))))),1,0)</f>
        <v>1</v>
      </c>
      <c r="BD30">
        <f>IF((AND(VLOOKUP(BD$1,main!$A$3:$I$56,5,FALSE)-VLOOKUP($A30,main!$A$3:$I$56,6,FALSE)&gt;=(VLOOKUP(VLOOKUP(BD$1,main!$A$3:$I$56,8,FALSE),main!$K$11:$M$14,2,FALSE)+VLOOKUP(VLOOKUP(BD$1,main!$A$3:$I$56,7,FALSE),main!$K$19:$O$22,MATCH(VLOOKUP($A30,main!$A$3:$I$56,8,FALSE),main!$K$18:$O$18,0))))),1,0)</f>
        <v>1</v>
      </c>
    </row>
    <row r="31" spans="1:56" x14ac:dyDescent="0.25">
      <c r="A31">
        <f t="shared" si="0"/>
        <v>29</v>
      </c>
      <c r="B31">
        <v>1</v>
      </c>
      <c r="C31">
        <f>IF((AND(VLOOKUP(C$1,main!$A$3:$I$56,5,FALSE)-VLOOKUP($A31,main!$A$3:$I$56,6,FALSE)&gt;=(VLOOKUP(VLOOKUP(C$1,main!$A$3:$I$56,8,FALSE),main!$K$11:$M$14,2,FALSE)+VLOOKUP(VLOOKUP(C$1,main!$A$3:$I$56,7,FALSE),main!$K$19:$O$22,MATCH(VLOOKUP($A31,main!$A$3:$I$56,8,FALSE),main!$K$18:$O$18,0))))),1,0)</f>
        <v>0</v>
      </c>
      <c r="D31">
        <f>IF((AND(VLOOKUP(D$1,main!$A$3:$I$56,5,FALSE)-VLOOKUP($A31,main!$A$3:$I$56,6,FALSE)&gt;=(VLOOKUP(VLOOKUP(D$1,main!$A$3:$I$56,8,FALSE),main!$K$11:$M$14,2,FALSE)+VLOOKUP(VLOOKUP(D$1,main!$A$3:$I$56,7,FALSE),main!$K$19:$O$22,MATCH(VLOOKUP($A31,main!$A$3:$I$56,8,FALSE),main!$K$18:$O$18,0))))),1,0)</f>
        <v>0</v>
      </c>
      <c r="E31">
        <f>IF((AND(VLOOKUP(E$1,main!$A$3:$I$56,5,FALSE)-VLOOKUP($A31,main!$A$3:$I$56,6,FALSE)&gt;=(VLOOKUP(VLOOKUP(E$1,main!$A$3:$I$56,8,FALSE),main!$K$11:$M$14,2,FALSE)+VLOOKUP(VLOOKUP(E$1,main!$A$3:$I$56,7,FALSE),main!$K$19:$O$22,MATCH(VLOOKUP($A31,main!$A$3:$I$56,8,FALSE),main!$K$18:$O$18,0))))),1,0)</f>
        <v>0</v>
      </c>
      <c r="F31">
        <f>IF((AND(VLOOKUP(F$1,main!$A$3:$I$56,5,FALSE)-VLOOKUP($A31,main!$A$3:$I$56,6,FALSE)&gt;=(VLOOKUP(VLOOKUP(F$1,main!$A$3:$I$56,8,FALSE),main!$K$11:$M$14,2,FALSE)+VLOOKUP(VLOOKUP(F$1,main!$A$3:$I$56,7,FALSE),main!$K$19:$O$22,MATCH(VLOOKUP($A31,main!$A$3:$I$56,8,FALSE),main!$K$18:$O$18,0))))),1,0)</f>
        <v>0</v>
      </c>
      <c r="G31">
        <f>IF((AND(VLOOKUP(G$1,main!$A$3:$I$56,5,FALSE)-VLOOKUP($A31,main!$A$3:$I$56,6,FALSE)&gt;=(VLOOKUP(VLOOKUP(G$1,main!$A$3:$I$56,8,FALSE),main!$K$11:$M$14,2,FALSE)+VLOOKUP(VLOOKUP(G$1,main!$A$3:$I$56,7,FALSE),main!$K$19:$O$22,MATCH(VLOOKUP($A31,main!$A$3:$I$56,8,FALSE),main!$K$18:$O$18,0))))),1,0)</f>
        <v>1</v>
      </c>
      <c r="H31">
        <f>IF((AND(VLOOKUP(H$1,main!$A$3:$I$56,5,FALSE)-VLOOKUP($A31,main!$A$3:$I$56,6,FALSE)&gt;=(VLOOKUP(VLOOKUP(H$1,main!$A$3:$I$56,8,FALSE),main!$K$11:$M$14,2,FALSE)+VLOOKUP(VLOOKUP(H$1,main!$A$3:$I$56,7,FALSE),main!$K$19:$O$22,MATCH(VLOOKUP($A31,main!$A$3:$I$56,8,FALSE),main!$K$18:$O$18,0))))),1,0)</f>
        <v>1</v>
      </c>
      <c r="I31">
        <f>IF((AND(VLOOKUP(I$1,main!$A$3:$I$56,5,FALSE)-VLOOKUP($A31,main!$A$3:$I$56,6,FALSE)&gt;=(VLOOKUP(VLOOKUP(I$1,main!$A$3:$I$56,8,FALSE),main!$K$11:$M$14,2,FALSE)+VLOOKUP(VLOOKUP(I$1,main!$A$3:$I$56,7,FALSE),main!$K$19:$O$22,MATCH(VLOOKUP($A31,main!$A$3:$I$56,8,FALSE),main!$K$18:$O$18,0))))),1,0)</f>
        <v>1</v>
      </c>
      <c r="J31">
        <f>IF((AND(VLOOKUP(J$1,main!$A$3:$I$56,5,FALSE)-VLOOKUP($A31,main!$A$3:$I$56,6,FALSE)&gt;=(VLOOKUP(VLOOKUP(J$1,main!$A$3:$I$56,8,FALSE),main!$K$11:$M$14,2,FALSE)+VLOOKUP(VLOOKUP(J$1,main!$A$3:$I$56,7,FALSE),main!$K$19:$O$22,MATCH(VLOOKUP($A31,main!$A$3:$I$56,8,FALSE),main!$K$18:$O$18,0))))),1,0)</f>
        <v>1</v>
      </c>
      <c r="K31">
        <f>IF((AND(VLOOKUP(K$1,main!$A$3:$I$56,5,FALSE)-VLOOKUP($A31,main!$A$3:$I$56,6,FALSE)&gt;=(VLOOKUP(VLOOKUP(K$1,main!$A$3:$I$56,8,FALSE),main!$K$11:$M$14,2,FALSE)+VLOOKUP(VLOOKUP(K$1,main!$A$3:$I$56,7,FALSE),main!$K$19:$O$22,MATCH(VLOOKUP($A31,main!$A$3:$I$56,8,FALSE),main!$K$18:$O$18,0))))),1,0)</f>
        <v>0</v>
      </c>
      <c r="L31">
        <f>IF((AND(VLOOKUP(L$1,main!$A$3:$I$56,5,FALSE)-VLOOKUP($A31,main!$A$3:$I$56,6,FALSE)&gt;=(VLOOKUP(VLOOKUP(L$1,main!$A$3:$I$56,8,FALSE),main!$K$11:$M$14,2,FALSE)+VLOOKUP(VLOOKUP(L$1,main!$A$3:$I$56,7,FALSE),main!$K$19:$O$22,MATCH(VLOOKUP($A31,main!$A$3:$I$56,8,FALSE),main!$K$18:$O$18,0))))),1,0)</f>
        <v>0</v>
      </c>
      <c r="M31">
        <f>IF((AND(VLOOKUP(M$1,main!$A$3:$I$56,5,FALSE)-VLOOKUP($A31,main!$A$3:$I$56,6,FALSE)&gt;=(VLOOKUP(VLOOKUP(M$1,main!$A$3:$I$56,8,FALSE),main!$K$11:$M$14,2,FALSE)+VLOOKUP(VLOOKUP(M$1,main!$A$3:$I$56,7,FALSE),main!$K$19:$O$22,MATCH(VLOOKUP($A31,main!$A$3:$I$56,8,FALSE),main!$K$18:$O$18,0))))),1,0)</f>
        <v>0</v>
      </c>
      <c r="N31">
        <f>IF((AND(VLOOKUP(N$1,main!$A$3:$I$56,5,FALSE)-VLOOKUP($A31,main!$A$3:$I$56,6,FALSE)&gt;=(VLOOKUP(VLOOKUP(N$1,main!$A$3:$I$56,8,FALSE),main!$K$11:$M$14,2,FALSE)+VLOOKUP(VLOOKUP(N$1,main!$A$3:$I$56,7,FALSE),main!$K$19:$O$22,MATCH(VLOOKUP($A31,main!$A$3:$I$56,8,FALSE),main!$K$18:$O$18,0))))),1,0)</f>
        <v>1</v>
      </c>
      <c r="O31">
        <f>IF((AND(VLOOKUP(O$1,main!$A$3:$I$56,5,FALSE)-VLOOKUP($A31,main!$A$3:$I$56,6,FALSE)&gt;=(VLOOKUP(VLOOKUP(O$1,main!$A$3:$I$56,8,FALSE),main!$K$11:$M$14,2,FALSE)+VLOOKUP(VLOOKUP(O$1,main!$A$3:$I$56,7,FALSE),main!$K$19:$O$22,MATCH(VLOOKUP($A31,main!$A$3:$I$56,8,FALSE),main!$K$18:$O$18,0))))),1,0)</f>
        <v>1</v>
      </c>
      <c r="P31">
        <f>IF((AND(VLOOKUP(P$1,main!$A$3:$I$56,5,FALSE)-VLOOKUP($A31,main!$A$3:$I$56,6,FALSE)&gt;=(VLOOKUP(VLOOKUP(P$1,main!$A$3:$I$56,8,FALSE),main!$K$11:$M$14,2,FALSE)+VLOOKUP(VLOOKUP(P$1,main!$A$3:$I$56,7,FALSE),main!$K$19:$O$22,MATCH(VLOOKUP($A31,main!$A$3:$I$56,8,FALSE),main!$K$18:$O$18,0))))),1,0)</f>
        <v>0</v>
      </c>
      <c r="Q31">
        <f>IF((AND(VLOOKUP(Q$1,main!$A$3:$I$56,5,FALSE)-VLOOKUP($A31,main!$A$3:$I$56,6,FALSE)&gt;=(VLOOKUP(VLOOKUP(Q$1,main!$A$3:$I$56,8,FALSE),main!$K$11:$M$14,2,FALSE)+VLOOKUP(VLOOKUP(Q$1,main!$A$3:$I$56,7,FALSE),main!$K$19:$O$22,MATCH(VLOOKUP($A31,main!$A$3:$I$56,8,FALSE),main!$K$18:$O$18,0))))),1,0)</f>
        <v>0</v>
      </c>
      <c r="R31">
        <f>IF((AND(VLOOKUP(R$1,main!$A$3:$I$56,5,FALSE)-VLOOKUP($A31,main!$A$3:$I$56,6,FALSE)&gt;=(VLOOKUP(VLOOKUP(R$1,main!$A$3:$I$56,8,FALSE),main!$K$11:$M$14,2,FALSE)+VLOOKUP(VLOOKUP(R$1,main!$A$3:$I$56,7,FALSE),main!$K$19:$O$22,MATCH(VLOOKUP($A31,main!$A$3:$I$56,8,FALSE),main!$K$18:$O$18,0))))),1,0)</f>
        <v>0</v>
      </c>
      <c r="S31">
        <f>IF((AND(VLOOKUP(S$1,main!$A$3:$I$56,5,FALSE)-VLOOKUP($A31,main!$A$3:$I$56,6,FALSE)&gt;=(VLOOKUP(VLOOKUP(S$1,main!$A$3:$I$56,8,FALSE),main!$K$11:$M$14,2,FALSE)+VLOOKUP(VLOOKUP(S$1,main!$A$3:$I$56,7,FALSE),main!$K$19:$O$22,MATCH(VLOOKUP($A31,main!$A$3:$I$56,8,FALSE),main!$K$18:$O$18,0))))),1,0)</f>
        <v>1</v>
      </c>
      <c r="T31">
        <f>IF((AND(VLOOKUP(T$1,main!$A$3:$I$56,5,FALSE)-VLOOKUP($A31,main!$A$3:$I$56,6,FALSE)&gt;=(VLOOKUP(VLOOKUP(T$1,main!$A$3:$I$56,8,FALSE),main!$K$11:$M$14,2,FALSE)+VLOOKUP(VLOOKUP(T$1,main!$A$3:$I$56,7,FALSE),main!$K$19:$O$22,MATCH(VLOOKUP($A31,main!$A$3:$I$56,8,FALSE),main!$K$18:$O$18,0))))),1,0)</f>
        <v>1</v>
      </c>
      <c r="U31">
        <f>IF((AND(VLOOKUP(U$1,main!$A$3:$I$56,5,FALSE)-VLOOKUP($A31,main!$A$3:$I$56,6,FALSE)&gt;=(VLOOKUP(VLOOKUP(U$1,main!$A$3:$I$56,8,FALSE),main!$K$11:$M$14,2,FALSE)+VLOOKUP(VLOOKUP(U$1,main!$A$3:$I$56,7,FALSE),main!$K$19:$O$22,MATCH(VLOOKUP($A31,main!$A$3:$I$56,8,FALSE),main!$K$18:$O$18,0))))),1,0)</f>
        <v>0</v>
      </c>
      <c r="V31">
        <f>IF((AND(VLOOKUP(V$1,main!$A$3:$I$56,5,FALSE)-VLOOKUP($A31,main!$A$3:$I$56,6,FALSE)&gt;=(VLOOKUP(VLOOKUP(V$1,main!$A$3:$I$56,8,FALSE),main!$K$11:$M$14,2,FALSE)+VLOOKUP(VLOOKUP(V$1,main!$A$3:$I$56,7,FALSE),main!$K$19:$O$22,MATCH(VLOOKUP($A31,main!$A$3:$I$56,8,FALSE),main!$K$18:$O$18,0))))),1,0)</f>
        <v>0</v>
      </c>
      <c r="W31">
        <f>IF((AND(VLOOKUP(W$1,main!$A$3:$I$56,5,FALSE)-VLOOKUP($A31,main!$A$3:$I$56,6,FALSE)&gt;=(VLOOKUP(VLOOKUP(W$1,main!$A$3:$I$56,8,FALSE),main!$K$11:$M$14,2,FALSE)+VLOOKUP(VLOOKUP(W$1,main!$A$3:$I$56,7,FALSE),main!$K$19:$O$22,MATCH(VLOOKUP($A31,main!$A$3:$I$56,8,FALSE),main!$K$18:$O$18,0))))),1,0)</f>
        <v>0</v>
      </c>
      <c r="X31">
        <f>IF((AND(VLOOKUP(X$1,main!$A$3:$I$56,5,FALSE)-VLOOKUP($A31,main!$A$3:$I$56,6,FALSE)&gt;=(VLOOKUP(VLOOKUP(X$1,main!$A$3:$I$56,8,FALSE),main!$K$11:$M$14,2,FALSE)+VLOOKUP(VLOOKUP(X$1,main!$A$3:$I$56,7,FALSE),main!$K$19:$O$22,MATCH(VLOOKUP($A31,main!$A$3:$I$56,8,FALSE),main!$K$18:$O$18,0))))),1,0)</f>
        <v>0</v>
      </c>
      <c r="Y31">
        <f>IF((AND(VLOOKUP(Y$1,main!$A$3:$I$56,5,FALSE)-VLOOKUP($A31,main!$A$3:$I$56,6,FALSE)&gt;=(VLOOKUP(VLOOKUP(Y$1,main!$A$3:$I$56,8,FALSE),main!$K$11:$M$14,2,FALSE)+VLOOKUP(VLOOKUP(Y$1,main!$A$3:$I$56,7,FALSE),main!$K$19:$O$22,MATCH(VLOOKUP($A31,main!$A$3:$I$56,8,FALSE),main!$K$18:$O$18,0))))),1,0)</f>
        <v>0</v>
      </c>
      <c r="Z31">
        <f>IF((AND(VLOOKUP(Z$1,main!$A$3:$I$56,5,FALSE)-VLOOKUP($A31,main!$A$3:$I$56,6,FALSE)&gt;=(VLOOKUP(VLOOKUP(Z$1,main!$A$3:$I$56,8,FALSE),main!$K$11:$M$14,2,FALSE)+VLOOKUP(VLOOKUP(Z$1,main!$A$3:$I$56,7,FALSE),main!$K$19:$O$22,MATCH(VLOOKUP($A31,main!$A$3:$I$56,8,FALSE),main!$K$18:$O$18,0))))),1,0)</f>
        <v>1</v>
      </c>
      <c r="AA31">
        <f>IF((AND(VLOOKUP(AA$1,main!$A$3:$I$56,5,FALSE)-VLOOKUP($A31,main!$A$3:$I$56,6,FALSE)&gt;=(VLOOKUP(VLOOKUP(AA$1,main!$A$3:$I$56,8,FALSE),main!$K$11:$M$14,2,FALSE)+VLOOKUP(VLOOKUP(AA$1,main!$A$3:$I$56,7,FALSE),main!$K$19:$O$22,MATCH(VLOOKUP($A31,main!$A$3:$I$56,8,FALSE),main!$K$18:$O$18,0))))),1,0)</f>
        <v>1</v>
      </c>
      <c r="AB31">
        <f>IF((AND(VLOOKUP(AB$1,main!$A$3:$I$56,5,FALSE)-VLOOKUP($A31,main!$A$3:$I$56,6,FALSE)&gt;=(VLOOKUP(VLOOKUP(AB$1,main!$A$3:$I$56,8,FALSE),main!$K$11:$M$14,2,FALSE)+VLOOKUP(VLOOKUP(AB$1,main!$A$3:$I$56,7,FALSE),main!$K$19:$O$22,MATCH(VLOOKUP($A31,main!$A$3:$I$56,8,FALSE),main!$K$18:$O$18,0))))),1,0)</f>
        <v>1</v>
      </c>
      <c r="AC31">
        <f>IF((AND(VLOOKUP(AC$1,main!$A$3:$I$56,5,FALSE)-VLOOKUP($A31,main!$A$3:$I$56,6,FALSE)&gt;=(VLOOKUP(VLOOKUP(AC$1,main!$A$3:$I$56,8,FALSE),main!$K$11:$M$14,2,FALSE)+VLOOKUP(VLOOKUP(AC$1,main!$A$3:$I$56,7,FALSE),main!$K$19:$O$22,MATCH(VLOOKUP($A31,main!$A$3:$I$56,8,FALSE),main!$K$18:$O$18,0))))),1,0)</f>
        <v>0</v>
      </c>
      <c r="AD31">
        <f>IF((AND(VLOOKUP(AD$1,main!$A$3:$I$56,5,FALSE)-VLOOKUP($A31,main!$A$3:$I$56,6,FALSE)&gt;=(VLOOKUP(VLOOKUP(AD$1,main!$A$3:$I$56,8,FALSE),main!$K$11:$M$14,2,FALSE)+VLOOKUP(VLOOKUP(AD$1,main!$A$3:$I$56,7,FALSE),main!$K$19:$O$22,MATCH(VLOOKUP($A31,main!$A$3:$I$56,8,FALSE),main!$K$18:$O$18,0))))),1,0)</f>
        <v>0</v>
      </c>
      <c r="AE31">
        <f>IF((AND(VLOOKUP(AE$1,main!$A$3:$I$56,5,FALSE)-VLOOKUP($A31,main!$A$3:$I$56,6,FALSE)&gt;=(VLOOKUP(VLOOKUP(AE$1,main!$A$3:$I$56,8,FALSE),main!$K$11:$M$14,2,FALSE)+VLOOKUP(VLOOKUP(AE$1,main!$A$3:$I$56,7,FALSE),main!$K$19:$O$22,MATCH(VLOOKUP($A31,main!$A$3:$I$56,8,FALSE),main!$K$18:$O$18,0))))),1,0)</f>
        <v>0</v>
      </c>
      <c r="AF31">
        <f>IF((AND(VLOOKUP(AF$1,main!$A$3:$I$56,5,FALSE)-VLOOKUP($A31,main!$A$3:$I$56,6,FALSE)&gt;=(VLOOKUP(VLOOKUP(AF$1,main!$A$3:$I$56,8,FALSE),main!$K$11:$M$14,2,FALSE)+VLOOKUP(VLOOKUP(AF$1,main!$A$3:$I$56,7,FALSE),main!$K$19:$O$22,MATCH(VLOOKUP($A31,main!$A$3:$I$56,8,FALSE),main!$K$18:$O$18,0))))),1,0)</f>
        <v>0</v>
      </c>
      <c r="AG31">
        <f>IF((AND(VLOOKUP(AG$1,main!$A$3:$I$56,5,FALSE)-VLOOKUP($A31,main!$A$3:$I$56,6,FALSE)&gt;=(VLOOKUP(VLOOKUP(AG$1,main!$A$3:$I$56,8,FALSE),main!$K$11:$M$14,2,FALSE)+VLOOKUP(VLOOKUP(AG$1,main!$A$3:$I$56,7,FALSE),main!$K$19:$O$22,MATCH(VLOOKUP($A31,main!$A$3:$I$56,8,FALSE),main!$K$18:$O$18,0))))),1,0)</f>
        <v>0</v>
      </c>
      <c r="AH31">
        <f>IF((AND(VLOOKUP(AH$1,main!$A$3:$I$56,5,FALSE)-VLOOKUP($A31,main!$A$3:$I$56,6,FALSE)&gt;=(VLOOKUP(VLOOKUP(AH$1,main!$A$3:$I$56,8,FALSE),main!$K$11:$M$14,2,FALSE)+VLOOKUP(VLOOKUP(AH$1,main!$A$3:$I$56,7,FALSE),main!$K$19:$O$22,MATCH(VLOOKUP($A31,main!$A$3:$I$56,8,FALSE),main!$K$18:$O$18,0))))),1,0)</f>
        <v>0</v>
      </c>
      <c r="AI31">
        <f>IF((AND(VLOOKUP(AI$1,main!$A$3:$I$56,5,FALSE)-VLOOKUP($A31,main!$A$3:$I$56,6,FALSE)&gt;=(VLOOKUP(VLOOKUP(AI$1,main!$A$3:$I$56,8,FALSE),main!$K$11:$M$14,2,FALSE)+VLOOKUP(VLOOKUP(AI$1,main!$A$3:$I$56,7,FALSE),main!$K$19:$O$22,MATCH(VLOOKUP($A31,main!$A$3:$I$56,8,FALSE),main!$K$18:$O$18,0))))),1,0)</f>
        <v>0</v>
      </c>
      <c r="AJ31">
        <f>IF((AND(VLOOKUP(AJ$1,main!$A$3:$I$56,5,FALSE)-VLOOKUP($A31,main!$A$3:$I$56,6,FALSE)&gt;=(VLOOKUP(VLOOKUP(AJ$1,main!$A$3:$I$56,8,FALSE),main!$K$11:$M$14,2,FALSE)+VLOOKUP(VLOOKUP(AJ$1,main!$A$3:$I$56,7,FALSE),main!$K$19:$O$22,MATCH(VLOOKUP($A31,main!$A$3:$I$56,8,FALSE),main!$K$18:$O$18,0))))),1,0)</f>
        <v>0</v>
      </c>
      <c r="AK31">
        <f>IF((AND(VLOOKUP(AK$1,main!$A$3:$I$56,5,FALSE)-VLOOKUP($A31,main!$A$3:$I$56,6,FALSE)&gt;=(VLOOKUP(VLOOKUP(AK$1,main!$A$3:$I$56,8,FALSE),main!$K$11:$M$14,2,FALSE)+VLOOKUP(VLOOKUP(AK$1,main!$A$3:$I$56,7,FALSE),main!$K$19:$O$22,MATCH(VLOOKUP($A31,main!$A$3:$I$56,8,FALSE),main!$K$18:$O$18,0))))),1,0)</f>
        <v>1</v>
      </c>
      <c r="AL31">
        <f>IF((AND(VLOOKUP(AL$1,main!$A$3:$I$56,5,FALSE)-VLOOKUP($A31,main!$A$3:$I$56,6,FALSE)&gt;=(VLOOKUP(VLOOKUP(AL$1,main!$A$3:$I$56,8,FALSE),main!$K$11:$M$14,2,FALSE)+VLOOKUP(VLOOKUP(AL$1,main!$A$3:$I$56,7,FALSE),main!$K$19:$O$22,MATCH(VLOOKUP($A31,main!$A$3:$I$56,8,FALSE),main!$K$18:$O$18,0))))),1,0)</f>
        <v>0</v>
      </c>
      <c r="AM31">
        <f>IF((AND(VLOOKUP(AM$1,main!$A$3:$I$56,5,FALSE)-VLOOKUP($A31,main!$A$3:$I$56,6,FALSE)&gt;=(VLOOKUP(VLOOKUP(AM$1,main!$A$3:$I$56,8,FALSE),main!$K$11:$M$14,2,FALSE)+VLOOKUP(VLOOKUP(AM$1,main!$A$3:$I$56,7,FALSE),main!$K$19:$O$22,MATCH(VLOOKUP($A31,main!$A$3:$I$56,8,FALSE),main!$K$18:$O$18,0))))),1,0)</f>
        <v>0</v>
      </c>
      <c r="AN31">
        <f>IF((AND(VLOOKUP(AN$1,main!$A$3:$I$56,5,FALSE)-VLOOKUP($A31,main!$A$3:$I$56,6,FALSE)&gt;=(VLOOKUP(VLOOKUP(AN$1,main!$A$3:$I$56,8,FALSE),main!$K$11:$M$14,2,FALSE)+VLOOKUP(VLOOKUP(AN$1,main!$A$3:$I$56,7,FALSE),main!$K$19:$O$22,MATCH(VLOOKUP($A31,main!$A$3:$I$56,8,FALSE),main!$K$18:$O$18,0))))),1,0)</f>
        <v>0</v>
      </c>
      <c r="AO31">
        <f>IF((AND(VLOOKUP(AO$1,main!$A$3:$I$56,5,FALSE)-VLOOKUP($A31,main!$A$3:$I$56,6,FALSE)&gt;=(VLOOKUP(VLOOKUP(AO$1,main!$A$3:$I$56,8,FALSE),main!$K$11:$M$14,2,FALSE)+VLOOKUP(VLOOKUP(AO$1,main!$A$3:$I$56,7,FALSE),main!$K$19:$O$22,MATCH(VLOOKUP($A31,main!$A$3:$I$56,8,FALSE),main!$K$18:$O$18,0))))),1,0)</f>
        <v>1</v>
      </c>
      <c r="AP31">
        <f>IF((AND(VLOOKUP(AP$1,main!$A$3:$I$56,5,FALSE)-VLOOKUP($A31,main!$A$3:$I$56,6,FALSE)&gt;=(VLOOKUP(VLOOKUP(AP$1,main!$A$3:$I$56,8,FALSE),main!$K$11:$M$14,2,FALSE)+VLOOKUP(VLOOKUP(AP$1,main!$A$3:$I$56,7,FALSE),main!$K$19:$O$22,MATCH(VLOOKUP($A31,main!$A$3:$I$56,8,FALSE),main!$K$18:$O$18,0))))),1,0)</f>
        <v>0</v>
      </c>
      <c r="AQ31">
        <f>IF((AND(VLOOKUP(AQ$1,main!$A$3:$I$56,5,FALSE)-VLOOKUP($A31,main!$A$3:$I$56,6,FALSE)&gt;=(VLOOKUP(VLOOKUP(AQ$1,main!$A$3:$I$56,8,FALSE),main!$K$11:$M$14,2,FALSE)+VLOOKUP(VLOOKUP(AQ$1,main!$A$3:$I$56,7,FALSE),main!$K$19:$O$22,MATCH(VLOOKUP($A31,main!$A$3:$I$56,8,FALSE),main!$K$18:$O$18,0))))),1,0)</f>
        <v>0</v>
      </c>
      <c r="AR31">
        <f>IF((AND(VLOOKUP(AR$1,main!$A$3:$I$56,5,FALSE)-VLOOKUP($A31,main!$A$3:$I$56,6,FALSE)&gt;=(VLOOKUP(VLOOKUP(AR$1,main!$A$3:$I$56,8,FALSE),main!$K$11:$M$14,2,FALSE)+VLOOKUP(VLOOKUP(AR$1,main!$A$3:$I$56,7,FALSE),main!$K$19:$O$22,MATCH(VLOOKUP($A31,main!$A$3:$I$56,8,FALSE),main!$K$18:$O$18,0))))),1,0)</f>
        <v>0</v>
      </c>
      <c r="AS31">
        <f>IF((AND(VLOOKUP(AS$1,main!$A$3:$I$56,5,FALSE)-VLOOKUP($A31,main!$A$3:$I$56,6,FALSE)&gt;=(VLOOKUP(VLOOKUP(AS$1,main!$A$3:$I$56,8,FALSE),main!$K$11:$M$14,2,FALSE)+VLOOKUP(VLOOKUP(AS$1,main!$A$3:$I$56,7,FALSE),main!$K$19:$O$22,MATCH(VLOOKUP($A31,main!$A$3:$I$56,8,FALSE),main!$K$18:$O$18,0))))),1,0)</f>
        <v>0</v>
      </c>
      <c r="AT31">
        <f>IF((AND(VLOOKUP(AT$1,main!$A$3:$I$56,5,FALSE)-VLOOKUP($A31,main!$A$3:$I$56,6,FALSE)&gt;=(VLOOKUP(VLOOKUP(AT$1,main!$A$3:$I$56,8,FALSE),main!$K$11:$M$14,2,FALSE)+VLOOKUP(VLOOKUP(AT$1,main!$A$3:$I$56,7,FALSE),main!$K$19:$O$22,MATCH(VLOOKUP($A31,main!$A$3:$I$56,8,FALSE),main!$K$18:$O$18,0))))),1,0)</f>
        <v>0</v>
      </c>
      <c r="AU31">
        <f>IF((AND(VLOOKUP(AU$1,main!$A$3:$I$56,5,FALSE)-VLOOKUP($A31,main!$A$3:$I$56,6,FALSE)&gt;=(VLOOKUP(VLOOKUP(AU$1,main!$A$3:$I$56,8,FALSE),main!$K$11:$M$14,2,FALSE)+VLOOKUP(VLOOKUP(AU$1,main!$A$3:$I$56,7,FALSE),main!$K$19:$O$22,MATCH(VLOOKUP($A31,main!$A$3:$I$56,8,FALSE),main!$K$18:$O$18,0))))),1,0)</f>
        <v>0</v>
      </c>
      <c r="AV31">
        <f>IF((AND(VLOOKUP(AV$1,main!$A$3:$I$56,5,FALSE)-VLOOKUP($A31,main!$A$3:$I$56,6,FALSE)&gt;=(VLOOKUP(VLOOKUP(AV$1,main!$A$3:$I$56,8,FALSE),main!$K$11:$M$14,2,FALSE)+VLOOKUP(VLOOKUP(AV$1,main!$A$3:$I$56,7,FALSE),main!$K$19:$O$22,MATCH(VLOOKUP($A31,main!$A$3:$I$56,8,FALSE),main!$K$18:$O$18,0))))),1,0)</f>
        <v>0</v>
      </c>
      <c r="AW31">
        <f>IF((AND(VLOOKUP(AW$1,main!$A$3:$I$56,5,FALSE)-VLOOKUP($A31,main!$A$3:$I$56,6,FALSE)&gt;=(VLOOKUP(VLOOKUP(AW$1,main!$A$3:$I$56,8,FALSE),main!$K$11:$M$14,2,FALSE)+VLOOKUP(VLOOKUP(AW$1,main!$A$3:$I$56,7,FALSE),main!$K$19:$O$22,MATCH(VLOOKUP($A31,main!$A$3:$I$56,8,FALSE),main!$K$18:$O$18,0))))),1,0)</f>
        <v>0</v>
      </c>
      <c r="AX31">
        <f>IF((AND(VLOOKUP(AX$1,main!$A$3:$I$56,5,FALSE)-VLOOKUP($A31,main!$A$3:$I$56,6,FALSE)&gt;=(VLOOKUP(VLOOKUP(AX$1,main!$A$3:$I$56,8,FALSE),main!$K$11:$M$14,2,FALSE)+VLOOKUP(VLOOKUP(AX$1,main!$A$3:$I$56,7,FALSE),main!$K$19:$O$22,MATCH(VLOOKUP($A31,main!$A$3:$I$56,8,FALSE),main!$K$18:$O$18,0))))),1,0)</f>
        <v>1</v>
      </c>
      <c r="AY31">
        <f>IF((AND(VLOOKUP(AY$1,main!$A$3:$I$56,5,FALSE)-VLOOKUP($A31,main!$A$3:$I$56,6,FALSE)&gt;=(VLOOKUP(VLOOKUP(AY$1,main!$A$3:$I$56,8,FALSE),main!$K$11:$M$14,2,FALSE)+VLOOKUP(VLOOKUP(AY$1,main!$A$3:$I$56,7,FALSE),main!$K$19:$O$22,MATCH(VLOOKUP($A31,main!$A$3:$I$56,8,FALSE),main!$K$18:$O$18,0))))),1,0)</f>
        <v>1</v>
      </c>
      <c r="AZ31">
        <f>IF((AND(VLOOKUP(AZ$1,main!$A$3:$I$56,5,FALSE)-VLOOKUP($A31,main!$A$3:$I$56,6,FALSE)&gt;=(VLOOKUP(VLOOKUP(AZ$1,main!$A$3:$I$56,8,FALSE),main!$K$11:$M$14,2,FALSE)+VLOOKUP(VLOOKUP(AZ$1,main!$A$3:$I$56,7,FALSE),main!$K$19:$O$22,MATCH(VLOOKUP($A31,main!$A$3:$I$56,8,FALSE),main!$K$18:$O$18,0))))),1,0)</f>
        <v>0</v>
      </c>
      <c r="BA31">
        <f>IF((AND(VLOOKUP(BA$1,main!$A$3:$I$56,5,FALSE)-VLOOKUP($A31,main!$A$3:$I$56,6,FALSE)&gt;=(VLOOKUP(VLOOKUP(BA$1,main!$A$3:$I$56,8,FALSE),main!$K$11:$M$14,2,FALSE)+VLOOKUP(VLOOKUP(BA$1,main!$A$3:$I$56,7,FALSE),main!$K$19:$O$22,MATCH(VLOOKUP($A31,main!$A$3:$I$56,8,FALSE),main!$K$18:$O$18,0))))),1,0)</f>
        <v>0</v>
      </c>
      <c r="BB31">
        <f>IF((AND(VLOOKUP(BB$1,main!$A$3:$I$56,5,FALSE)-VLOOKUP($A31,main!$A$3:$I$56,6,FALSE)&gt;=(VLOOKUP(VLOOKUP(BB$1,main!$A$3:$I$56,8,FALSE),main!$K$11:$M$14,2,FALSE)+VLOOKUP(VLOOKUP(BB$1,main!$A$3:$I$56,7,FALSE),main!$K$19:$O$22,MATCH(VLOOKUP($A31,main!$A$3:$I$56,8,FALSE),main!$K$18:$O$18,0))))),1,0)</f>
        <v>0</v>
      </c>
      <c r="BC31">
        <f>IF((AND(VLOOKUP(BC$1,main!$A$3:$I$56,5,FALSE)-VLOOKUP($A31,main!$A$3:$I$56,6,FALSE)&gt;=(VLOOKUP(VLOOKUP(BC$1,main!$A$3:$I$56,8,FALSE),main!$K$11:$M$14,2,FALSE)+VLOOKUP(VLOOKUP(BC$1,main!$A$3:$I$56,7,FALSE),main!$K$19:$O$22,MATCH(VLOOKUP($A31,main!$A$3:$I$56,8,FALSE),main!$K$18:$O$18,0))))),1,0)</f>
        <v>0</v>
      </c>
      <c r="BD31">
        <f>IF((AND(VLOOKUP(BD$1,main!$A$3:$I$56,5,FALSE)-VLOOKUP($A31,main!$A$3:$I$56,6,FALSE)&gt;=(VLOOKUP(VLOOKUP(BD$1,main!$A$3:$I$56,8,FALSE),main!$K$11:$M$14,2,FALSE)+VLOOKUP(VLOOKUP(BD$1,main!$A$3:$I$56,7,FALSE),main!$K$19:$O$22,MATCH(VLOOKUP($A31,main!$A$3:$I$56,8,FALSE),main!$K$18:$O$18,0))))),1,0)</f>
        <v>1</v>
      </c>
    </row>
    <row r="32" spans="1:56" x14ac:dyDescent="0.25">
      <c r="A32">
        <f t="shared" si="0"/>
        <v>30</v>
      </c>
      <c r="B32">
        <v>1</v>
      </c>
      <c r="C32">
        <f>IF((AND(VLOOKUP(C$1,main!$A$3:$I$56,5,FALSE)-VLOOKUP($A32,main!$A$3:$I$56,6,FALSE)&gt;=(VLOOKUP(VLOOKUP(C$1,main!$A$3:$I$56,8,FALSE),main!$K$11:$M$14,2,FALSE)+VLOOKUP(VLOOKUP(C$1,main!$A$3:$I$56,7,FALSE),main!$K$19:$O$22,MATCH(VLOOKUP($A32,main!$A$3:$I$56,8,FALSE),main!$K$18:$O$18,0))))),1,0)</f>
        <v>0</v>
      </c>
      <c r="D32">
        <f>IF((AND(VLOOKUP(D$1,main!$A$3:$I$56,5,FALSE)-VLOOKUP($A32,main!$A$3:$I$56,6,FALSE)&gt;=(VLOOKUP(VLOOKUP(D$1,main!$A$3:$I$56,8,FALSE),main!$K$11:$M$14,2,FALSE)+VLOOKUP(VLOOKUP(D$1,main!$A$3:$I$56,7,FALSE),main!$K$19:$O$22,MATCH(VLOOKUP($A32,main!$A$3:$I$56,8,FALSE),main!$K$18:$O$18,0))))),1,0)</f>
        <v>0</v>
      </c>
      <c r="E32">
        <f>IF((AND(VLOOKUP(E$1,main!$A$3:$I$56,5,FALSE)-VLOOKUP($A32,main!$A$3:$I$56,6,FALSE)&gt;=(VLOOKUP(VLOOKUP(E$1,main!$A$3:$I$56,8,FALSE),main!$K$11:$M$14,2,FALSE)+VLOOKUP(VLOOKUP(E$1,main!$A$3:$I$56,7,FALSE),main!$K$19:$O$22,MATCH(VLOOKUP($A32,main!$A$3:$I$56,8,FALSE),main!$K$18:$O$18,0))))),1,0)</f>
        <v>0</v>
      </c>
      <c r="F32">
        <f>IF((AND(VLOOKUP(F$1,main!$A$3:$I$56,5,FALSE)-VLOOKUP($A32,main!$A$3:$I$56,6,FALSE)&gt;=(VLOOKUP(VLOOKUP(F$1,main!$A$3:$I$56,8,FALSE),main!$K$11:$M$14,2,FALSE)+VLOOKUP(VLOOKUP(F$1,main!$A$3:$I$56,7,FALSE),main!$K$19:$O$22,MATCH(VLOOKUP($A32,main!$A$3:$I$56,8,FALSE),main!$K$18:$O$18,0))))),1,0)</f>
        <v>0</v>
      </c>
      <c r="G32">
        <f>IF((AND(VLOOKUP(G$1,main!$A$3:$I$56,5,FALSE)-VLOOKUP($A32,main!$A$3:$I$56,6,FALSE)&gt;=(VLOOKUP(VLOOKUP(G$1,main!$A$3:$I$56,8,FALSE),main!$K$11:$M$14,2,FALSE)+VLOOKUP(VLOOKUP(G$1,main!$A$3:$I$56,7,FALSE),main!$K$19:$O$22,MATCH(VLOOKUP($A32,main!$A$3:$I$56,8,FALSE),main!$K$18:$O$18,0))))),1,0)</f>
        <v>0</v>
      </c>
      <c r="H32">
        <f>IF((AND(VLOOKUP(H$1,main!$A$3:$I$56,5,FALSE)-VLOOKUP($A32,main!$A$3:$I$56,6,FALSE)&gt;=(VLOOKUP(VLOOKUP(H$1,main!$A$3:$I$56,8,FALSE),main!$K$11:$M$14,2,FALSE)+VLOOKUP(VLOOKUP(H$1,main!$A$3:$I$56,7,FALSE),main!$K$19:$O$22,MATCH(VLOOKUP($A32,main!$A$3:$I$56,8,FALSE),main!$K$18:$O$18,0))))),1,0)</f>
        <v>0</v>
      </c>
      <c r="I32">
        <f>IF((AND(VLOOKUP(I$1,main!$A$3:$I$56,5,FALSE)-VLOOKUP($A32,main!$A$3:$I$56,6,FALSE)&gt;=(VLOOKUP(VLOOKUP(I$1,main!$A$3:$I$56,8,FALSE),main!$K$11:$M$14,2,FALSE)+VLOOKUP(VLOOKUP(I$1,main!$A$3:$I$56,7,FALSE),main!$K$19:$O$22,MATCH(VLOOKUP($A32,main!$A$3:$I$56,8,FALSE),main!$K$18:$O$18,0))))),1,0)</f>
        <v>0</v>
      </c>
      <c r="J32">
        <f>IF((AND(VLOOKUP(J$1,main!$A$3:$I$56,5,FALSE)-VLOOKUP($A32,main!$A$3:$I$56,6,FALSE)&gt;=(VLOOKUP(VLOOKUP(J$1,main!$A$3:$I$56,8,FALSE),main!$K$11:$M$14,2,FALSE)+VLOOKUP(VLOOKUP(J$1,main!$A$3:$I$56,7,FALSE),main!$K$19:$O$22,MATCH(VLOOKUP($A32,main!$A$3:$I$56,8,FALSE),main!$K$18:$O$18,0))))),1,0)</f>
        <v>1</v>
      </c>
      <c r="K32">
        <f>IF((AND(VLOOKUP(K$1,main!$A$3:$I$56,5,FALSE)-VLOOKUP($A32,main!$A$3:$I$56,6,FALSE)&gt;=(VLOOKUP(VLOOKUP(K$1,main!$A$3:$I$56,8,FALSE),main!$K$11:$M$14,2,FALSE)+VLOOKUP(VLOOKUP(K$1,main!$A$3:$I$56,7,FALSE),main!$K$19:$O$22,MATCH(VLOOKUP($A32,main!$A$3:$I$56,8,FALSE),main!$K$18:$O$18,0))))),1,0)</f>
        <v>0</v>
      </c>
      <c r="L32">
        <f>IF((AND(VLOOKUP(L$1,main!$A$3:$I$56,5,FALSE)-VLOOKUP($A32,main!$A$3:$I$56,6,FALSE)&gt;=(VLOOKUP(VLOOKUP(L$1,main!$A$3:$I$56,8,FALSE),main!$K$11:$M$14,2,FALSE)+VLOOKUP(VLOOKUP(L$1,main!$A$3:$I$56,7,FALSE),main!$K$19:$O$22,MATCH(VLOOKUP($A32,main!$A$3:$I$56,8,FALSE),main!$K$18:$O$18,0))))),1,0)</f>
        <v>0</v>
      </c>
      <c r="M32">
        <f>IF((AND(VLOOKUP(M$1,main!$A$3:$I$56,5,FALSE)-VLOOKUP($A32,main!$A$3:$I$56,6,FALSE)&gt;=(VLOOKUP(VLOOKUP(M$1,main!$A$3:$I$56,8,FALSE),main!$K$11:$M$14,2,FALSE)+VLOOKUP(VLOOKUP(M$1,main!$A$3:$I$56,7,FALSE),main!$K$19:$O$22,MATCH(VLOOKUP($A32,main!$A$3:$I$56,8,FALSE),main!$K$18:$O$18,0))))),1,0)</f>
        <v>0</v>
      </c>
      <c r="N32">
        <f>IF((AND(VLOOKUP(N$1,main!$A$3:$I$56,5,FALSE)-VLOOKUP($A32,main!$A$3:$I$56,6,FALSE)&gt;=(VLOOKUP(VLOOKUP(N$1,main!$A$3:$I$56,8,FALSE),main!$K$11:$M$14,2,FALSE)+VLOOKUP(VLOOKUP(N$1,main!$A$3:$I$56,7,FALSE),main!$K$19:$O$22,MATCH(VLOOKUP($A32,main!$A$3:$I$56,8,FALSE),main!$K$18:$O$18,0))))),1,0)</f>
        <v>0</v>
      </c>
      <c r="O32">
        <f>IF((AND(VLOOKUP(O$1,main!$A$3:$I$56,5,FALSE)-VLOOKUP($A32,main!$A$3:$I$56,6,FALSE)&gt;=(VLOOKUP(VLOOKUP(O$1,main!$A$3:$I$56,8,FALSE),main!$K$11:$M$14,2,FALSE)+VLOOKUP(VLOOKUP(O$1,main!$A$3:$I$56,7,FALSE),main!$K$19:$O$22,MATCH(VLOOKUP($A32,main!$A$3:$I$56,8,FALSE),main!$K$18:$O$18,0))))),1,0)</f>
        <v>1</v>
      </c>
      <c r="P32">
        <f>IF((AND(VLOOKUP(P$1,main!$A$3:$I$56,5,FALSE)-VLOOKUP($A32,main!$A$3:$I$56,6,FALSE)&gt;=(VLOOKUP(VLOOKUP(P$1,main!$A$3:$I$56,8,FALSE),main!$K$11:$M$14,2,FALSE)+VLOOKUP(VLOOKUP(P$1,main!$A$3:$I$56,7,FALSE),main!$K$19:$O$22,MATCH(VLOOKUP($A32,main!$A$3:$I$56,8,FALSE),main!$K$18:$O$18,0))))),1,0)</f>
        <v>0</v>
      </c>
      <c r="Q32">
        <f>IF((AND(VLOOKUP(Q$1,main!$A$3:$I$56,5,FALSE)-VLOOKUP($A32,main!$A$3:$I$56,6,FALSE)&gt;=(VLOOKUP(VLOOKUP(Q$1,main!$A$3:$I$56,8,FALSE),main!$K$11:$M$14,2,FALSE)+VLOOKUP(VLOOKUP(Q$1,main!$A$3:$I$56,7,FALSE),main!$K$19:$O$22,MATCH(VLOOKUP($A32,main!$A$3:$I$56,8,FALSE),main!$K$18:$O$18,0))))),1,0)</f>
        <v>0</v>
      </c>
      <c r="R32">
        <f>IF((AND(VLOOKUP(R$1,main!$A$3:$I$56,5,FALSE)-VLOOKUP($A32,main!$A$3:$I$56,6,FALSE)&gt;=(VLOOKUP(VLOOKUP(R$1,main!$A$3:$I$56,8,FALSE),main!$K$11:$M$14,2,FALSE)+VLOOKUP(VLOOKUP(R$1,main!$A$3:$I$56,7,FALSE),main!$K$19:$O$22,MATCH(VLOOKUP($A32,main!$A$3:$I$56,8,FALSE),main!$K$18:$O$18,0))))),1,0)</f>
        <v>0</v>
      </c>
      <c r="S32">
        <f>IF((AND(VLOOKUP(S$1,main!$A$3:$I$56,5,FALSE)-VLOOKUP($A32,main!$A$3:$I$56,6,FALSE)&gt;=(VLOOKUP(VLOOKUP(S$1,main!$A$3:$I$56,8,FALSE),main!$K$11:$M$14,2,FALSE)+VLOOKUP(VLOOKUP(S$1,main!$A$3:$I$56,7,FALSE),main!$K$19:$O$22,MATCH(VLOOKUP($A32,main!$A$3:$I$56,8,FALSE),main!$K$18:$O$18,0))))),1,0)</f>
        <v>0</v>
      </c>
      <c r="T32">
        <f>IF((AND(VLOOKUP(T$1,main!$A$3:$I$56,5,FALSE)-VLOOKUP($A32,main!$A$3:$I$56,6,FALSE)&gt;=(VLOOKUP(VLOOKUP(T$1,main!$A$3:$I$56,8,FALSE),main!$K$11:$M$14,2,FALSE)+VLOOKUP(VLOOKUP(T$1,main!$A$3:$I$56,7,FALSE),main!$K$19:$O$22,MATCH(VLOOKUP($A32,main!$A$3:$I$56,8,FALSE),main!$K$18:$O$18,0))))),1,0)</f>
        <v>0</v>
      </c>
      <c r="U32">
        <f>IF((AND(VLOOKUP(U$1,main!$A$3:$I$56,5,FALSE)-VLOOKUP($A32,main!$A$3:$I$56,6,FALSE)&gt;=(VLOOKUP(VLOOKUP(U$1,main!$A$3:$I$56,8,FALSE),main!$K$11:$M$14,2,FALSE)+VLOOKUP(VLOOKUP(U$1,main!$A$3:$I$56,7,FALSE),main!$K$19:$O$22,MATCH(VLOOKUP($A32,main!$A$3:$I$56,8,FALSE),main!$K$18:$O$18,0))))),1,0)</f>
        <v>0</v>
      </c>
      <c r="V32">
        <f>IF((AND(VLOOKUP(V$1,main!$A$3:$I$56,5,FALSE)-VLOOKUP($A32,main!$A$3:$I$56,6,FALSE)&gt;=(VLOOKUP(VLOOKUP(V$1,main!$A$3:$I$56,8,FALSE),main!$K$11:$M$14,2,FALSE)+VLOOKUP(VLOOKUP(V$1,main!$A$3:$I$56,7,FALSE),main!$K$19:$O$22,MATCH(VLOOKUP($A32,main!$A$3:$I$56,8,FALSE),main!$K$18:$O$18,0))))),1,0)</f>
        <v>0</v>
      </c>
      <c r="W32">
        <f>IF((AND(VLOOKUP(W$1,main!$A$3:$I$56,5,FALSE)-VLOOKUP($A32,main!$A$3:$I$56,6,FALSE)&gt;=(VLOOKUP(VLOOKUP(W$1,main!$A$3:$I$56,8,FALSE),main!$K$11:$M$14,2,FALSE)+VLOOKUP(VLOOKUP(W$1,main!$A$3:$I$56,7,FALSE),main!$K$19:$O$22,MATCH(VLOOKUP($A32,main!$A$3:$I$56,8,FALSE),main!$K$18:$O$18,0))))),1,0)</f>
        <v>0</v>
      </c>
      <c r="X32">
        <f>IF((AND(VLOOKUP(X$1,main!$A$3:$I$56,5,FALSE)-VLOOKUP($A32,main!$A$3:$I$56,6,FALSE)&gt;=(VLOOKUP(VLOOKUP(X$1,main!$A$3:$I$56,8,FALSE),main!$K$11:$M$14,2,FALSE)+VLOOKUP(VLOOKUP(X$1,main!$A$3:$I$56,7,FALSE),main!$K$19:$O$22,MATCH(VLOOKUP($A32,main!$A$3:$I$56,8,FALSE),main!$K$18:$O$18,0))))),1,0)</f>
        <v>0</v>
      </c>
      <c r="Y32">
        <f>IF((AND(VLOOKUP(Y$1,main!$A$3:$I$56,5,FALSE)-VLOOKUP($A32,main!$A$3:$I$56,6,FALSE)&gt;=(VLOOKUP(VLOOKUP(Y$1,main!$A$3:$I$56,8,FALSE),main!$K$11:$M$14,2,FALSE)+VLOOKUP(VLOOKUP(Y$1,main!$A$3:$I$56,7,FALSE),main!$K$19:$O$22,MATCH(VLOOKUP($A32,main!$A$3:$I$56,8,FALSE),main!$K$18:$O$18,0))))),1,0)</f>
        <v>0</v>
      </c>
      <c r="Z32">
        <f>IF((AND(VLOOKUP(Z$1,main!$A$3:$I$56,5,FALSE)-VLOOKUP($A32,main!$A$3:$I$56,6,FALSE)&gt;=(VLOOKUP(VLOOKUP(Z$1,main!$A$3:$I$56,8,FALSE),main!$K$11:$M$14,2,FALSE)+VLOOKUP(VLOOKUP(Z$1,main!$A$3:$I$56,7,FALSE),main!$K$19:$O$22,MATCH(VLOOKUP($A32,main!$A$3:$I$56,8,FALSE),main!$K$18:$O$18,0))))),1,0)</f>
        <v>0</v>
      </c>
      <c r="AA32">
        <f>IF((AND(VLOOKUP(AA$1,main!$A$3:$I$56,5,FALSE)-VLOOKUP($A32,main!$A$3:$I$56,6,FALSE)&gt;=(VLOOKUP(VLOOKUP(AA$1,main!$A$3:$I$56,8,FALSE),main!$K$11:$M$14,2,FALSE)+VLOOKUP(VLOOKUP(AA$1,main!$A$3:$I$56,7,FALSE),main!$K$19:$O$22,MATCH(VLOOKUP($A32,main!$A$3:$I$56,8,FALSE),main!$K$18:$O$18,0))))),1,0)</f>
        <v>0</v>
      </c>
      <c r="AB32">
        <f>IF((AND(VLOOKUP(AB$1,main!$A$3:$I$56,5,FALSE)-VLOOKUP($A32,main!$A$3:$I$56,6,FALSE)&gt;=(VLOOKUP(VLOOKUP(AB$1,main!$A$3:$I$56,8,FALSE),main!$K$11:$M$14,2,FALSE)+VLOOKUP(VLOOKUP(AB$1,main!$A$3:$I$56,7,FALSE),main!$K$19:$O$22,MATCH(VLOOKUP($A32,main!$A$3:$I$56,8,FALSE),main!$K$18:$O$18,0))))),1,0)</f>
        <v>0</v>
      </c>
      <c r="AC32">
        <f>IF((AND(VLOOKUP(AC$1,main!$A$3:$I$56,5,FALSE)-VLOOKUP($A32,main!$A$3:$I$56,6,FALSE)&gt;=(VLOOKUP(VLOOKUP(AC$1,main!$A$3:$I$56,8,FALSE),main!$K$11:$M$14,2,FALSE)+VLOOKUP(VLOOKUP(AC$1,main!$A$3:$I$56,7,FALSE),main!$K$19:$O$22,MATCH(VLOOKUP($A32,main!$A$3:$I$56,8,FALSE),main!$K$18:$O$18,0))))),1,0)</f>
        <v>0</v>
      </c>
      <c r="AD32">
        <f>IF((AND(VLOOKUP(AD$1,main!$A$3:$I$56,5,FALSE)-VLOOKUP($A32,main!$A$3:$I$56,6,FALSE)&gt;=(VLOOKUP(VLOOKUP(AD$1,main!$A$3:$I$56,8,FALSE),main!$K$11:$M$14,2,FALSE)+VLOOKUP(VLOOKUP(AD$1,main!$A$3:$I$56,7,FALSE),main!$K$19:$O$22,MATCH(VLOOKUP($A32,main!$A$3:$I$56,8,FALSE),main!$K$18:$O$18,0))))),1,0)</f>
        <v>0</v>
      </c>
      <c r="AE32">
        <f>IF((AND(VLOOKUP(AE$1,main!$A$3:$I$56,5,FALSE)-VLOOKUP($A32,main!$A$3:$I$56,6,FALSE)&gt;=(VLOOKUP(VLOOKUP(AE$1,main!$A$3:$I$56,8,FALSE),main!$K$11:$M$14,2,FALSE)+VLOOKUP(VLOOKUP(AE$1,main!$A$3:$I$56,7,FALSE),main!$K$19:$O$22,MATCH(VLOOKUP($A32,main!$A$3:$I$56,8,FALSE),main!$K$18:$O$18,0))))),1,0)</f>
        <v>0</v>
      </c>
      <c r="AF32">
        <f>IF((AND(VLOOKUP(AF$1,main!$A$3:$I$56,5,FALSE)-VLOOKUP($A32,main!$A$3:$I$56,6,FALSE)&gt;=(VLOOKUP(VLOOKUP(AF$1,main!$A$3:$I$56,8,FALSE),main!$K$11:$M$14,2,FALSE)+VLOOKUP(VLOOKUP(AF$1,main!$A$3:$I$56,7,FALSE),main!$K$19:$O$22,MATCH(VLOOKUP($A32,main!$A$3:$I$56,8,FALSE),main!$K$18:$O$18,0))))),1,0)</f>
        <v>0</v>
      </c>
      <c r="AG32">
        <f>IF((AND(VLOOKUP(AG$1,main!$A$3:$I$56,5,FALSE)-VLOOKUP($A32,main!$A$3:$I$56,6,FALSE)&gt;=(VLOOKUP(VLOOKUP(AG$1,main!$A$3:$I$56,8,FALSE),main!$K$11:$M$14,2,FALSE)+VLOOKUP(VLOOKUP(AG$1,main!$A$3:$I$56,7,FALSE),main!$K$19:$O$22,MATCH(VLOOKUP($A32,main!$A$3:$I$56,8,FALSE),main!$K$18:$O$18,0))))),1,0)</f>
        <v>0</v>
      </c>
      <c r="AH32">
        <f>IF((AND(VLOOKUP(AH$1,main!$A$3:$I$56,5,FALSE)-VLOOKUP($A32,main!$A$3:$I$56,6,FALSE)&gt;=(VLOOKUP(VLOOKUP(AH$1,main!$A$3:$I$56,8,FALSE),main!$K$11:$M$14,2,FALSE)+VLOOKUP(VLOOKUP(AH$1,main!$A$3:$I$56,7,FALSE),main!$K$19:$O$22,MATCH(VLOOKUP($A32,main!$A$3:$I$56,8,FALSE),main!$K$18:$O$18,0))))),1,0)</f>
        <v>0</v>
      </c>
      <c r="AI32">
        <f>IF((AND(VLOOKUP(AI$1,main!$A$3:$I$56,5,FALSE)-VLOOKUP($A32,main!$A$3:$I$56,6,FALSE)&gt;=(VLOOKUP(VLOOKUP(AI$1,main!$A$3:$I$56,8,FALSE),main!$K$11:$M$14,2,FALSE)+VLOOKUP(VLOOKUP(AI$1,main!$A$3:$I$56,7,FALSE),main!$K$19:$O$22,MATCH(VLOOKUP($A32,main!$A$3:$I$56,8,FALSE),main!$K$18:$O$18,0))))),1,0)</f>
        <v>0</v>
      </c>
      <c r="AJ32">
        <f>IF((AND(VLOOKUP(AJ$1,main!$A$3:$I$56,5,FALSE)-VLOOKUP($A32,main!$A$3:$I$56,6,FALSE)&gt;=(VLOOKUP(VLOOKUP(AJ$1,main!$A$3:$I$56,8,FALSE),main!$K$11:$M$14,2,FALSE)+VLOOKUP(VLOOKUP(AJ$1,main!$A$3:$I$56,7,FALSE),main!$K$19:$O$22,MATCH(VLOOKUP($A32,main!$A$3:$I$56,8,FALSE),main!$K$18:$O$18,0))))),1,0)</f>
        <v>0</v>
      </c>
      <c r="AK32">
        <f>IF((AND(VLOOKUP(AK$1,main!$A$3:$I$56,5,FALSE)-VLOOKUP($A32,main!$A$3:$I$56,6,FALSE)&gt;=(VLOOKUP(VLOOKUP(AK$1,main!$A$3:$I$56,8,FALSE),main!$K$11:$M$14,2,FALSE)+VLOOKUP(VLOOKUP(AK$1,main!$A$3:$I$56,7,FALSE),main!$K$19:$O$22,MATCH(VLOOKUP($A32,main!$A$3:$I$56,8,FALSE),main!$K$18:$O$18,0))))),1,0)</f>
        <v>0</v>
      </c>
      <c r="AL32">
        <f>IF((AND(VLOOKUP(AL$1,main!$A$3:$I$56,5,FALSE)-VLOOKUP($A32,main!$A$3:$I$56,6,FALSE)&gt;=(VLOOKUP(VLOOKUP(AL$1,main!$A$3:$I$56,8,FALSE),main!$K$11:$M$14,2,FALSE)+VLOOKUP(VLOOKUP(AL$1,main!$A$3:$I$56,7,FALSE),main!$K$19:$O$22,MATCH(VLOOKUP($A32,main!$A$3:$I$56,8,FALSE),main!$K$18:$O$18,0))))),1,0)</f>
        <v>0</v>
      </c>
      <c r="AM32">
        <f>IF((AND(VLOOKUP(AM$1,main!$A$3:$I$56,5,FALSE)-VLOOKUP($A32,main!$A$3:$I$56,6,FALSE)&gt;=(VLOOKUP(VLOOKUP(AM$1,main!$A$3:$I$56,8,FALSE),main!$K$11:$M$14,2,FALSE)+VLOOKUP(VLOOKUP(AM$1,main!$A$3:$I$56,7,FALSE),main!$K$19:$O$22,MATCH(VLOOKUP($A32,main!$A$3:$I$56,8,FALSE),main!$K$18:$O$18,0))))),1,0)</f>
        <v>0</v>
      </c>
      <c r="AN32">
        <f>IF((AND(VLOOKUP(AN$1,main!$A$3:$I$56,5,FALSE)-VLOOKUP($A32,main!$A$3:$I$56,6,FALSE)&gt;=(VLOOKUP(VLOOKUP(AN$1,main!$A$3:$I$56,8,FALSE),main!$K$11:$M$14,2,FALSE)+VLOOKUP(VLOOKUP(AN$1,main!$A$3:$I$56,7,FALSE),main!$K$19:$O$22,MATCH(VLOOKUP($A32,main!$A$3:$I$56,8,FALSE),main!$K$18:$O$18,0))))),1,0)</f>
        <v>0</v>
      </c>
      <c r="AO32">
        <f>IF((AND(VLOOKUP(AO$1,main!$A$3:$I$56,5,FALSE)-VLOOKUP($A32,main!$A$3:$I$56,6,FALSE)&gt;=(VLOOKUP(VLOOKUP(AO$1,main!$A$3:$I$56,8,FALSE),main!$K$11:$M$14,2,FALSE)+VLOOKUP(VLOOKUP(AO$1,main!$A$3:$I$56,7,FALSE),main!$K$19:$O$22,MATCH(VLOOKUP($A32,main!$A$3:$I$56,8,FALSE),main!$K$18:$O$18,0))))),1,0)</f>
        <v>0</v>
      </c>
      <c r="AP32">
        <f>IF((AND(VLOOKUP(AP$1,main!$A$3:$I$56,5,FALSE)-VLOOKUP($A32,main!$A$3:$I$56,6,FALSE)&gt;=(VLOOKUP(VLOOKUP(AP$1,main!$A$3:$I$56,8,FALSE),main!$K$11:$M$14,2,FALSE)+VLOOKUP(VLOOKUP(AP$1,main!$A$3:$I$56,7,FALSE),main!$K$19:$O$22,MATCH(VLOOKUP($A32,main!$A$3:$I$56,8,FALSE),main!$K$18:$O$18,0))))),1,0)</f>
        <v>0</v>
      </c>
      <c r="AQ32">
        <f>IF((AND(VLOOKUP(AQ$1,main!$A$3:$I$56,5,FALSE)-VLOOKUP($A32,main!$A$3:$I$56,6,FALSE)&gt;=(VLOOKUP(VLOOKUP(AQ$1,main!$A$3:$I$56,8,FALSE),main!$K$11:$M$14,2,FALSE)+VLOOKUP(VLOOKUP(AQ$1,main!$A$3:$I$56,7,FALSE),main!$K$19:$O$22,MATCH(VLOOKUP($A32,main!$A$3:$I$56,8,FALSE),main!$K$18:$O$18,0))))),1,0)</f>
        <v>0</v>
      </c>
      <c r="AR32">
        <f>IF((AND(VLOOKUP(AR$1,main!$A$3:$I$56,5,FALSE)-VLOOKUP($A32,main!$A$3:$I$56,6,FALSE)&gt;=(VLOOKUP(VLOOKUP(AR$1,main!$A$3:$I$56,8,FALSE),main!$K$11:$M$14,2,FALSE)+VLOOKUP(VLOOKUP(AR$1,main!$A$3:$I$56,7,FALSE),main!$K$19:$O$22,MATCH(VLOOKUP($A32,main!$A$3:$I$56,8,FALSE),main!$K$18:$O$18,0))))),1,0)</f>
        <v>0</v>
      </c>
      <c r="AS32">
        <f>IF((AND(VLOOKUP(AS$1,main!$A$3:$I$56,5,FALSE)-VLOOKUP($A32,main!$A$3:$I$56,6,FALSE)&gt;=(VLOOKUP(VLOOKUP(AS$1,main!$A$3:$I$56,8,FALSE),main!$K$11:$M$14,2,FALSE)+VLOOKUP(VLOOKUP(AS$1,main!$A$3:$I$56,7,FALSE),main!$K$19:$O$22,MATCH(VLOOKUP($A32,main!$A$3:$I$56,8,FALSE),main!$K$18:$O$18,0))))),1,0)</f>
        <v>0</v>
      </c>
      <c r="AT32">
        <f>IF((AND(VLOOKUP(AT$1,main!$A$3:$I$56,5,FALSE)-VLOOKUP($A32,main!$A$3:$I$56,6,FALSE)&gt;=(VLOOKUP(VLOOKUP(AT$1,main!$A$3:$I$56,8,FALSE),main!$K$11:$M$14,2,FALSE)+VLOOKUP(VLOOKUP(AT$1,main!$A$3:$I$56,7,FALSE),main!$K$19:$O$22,MATCH(VLOOKUP($A32,main!$A$3:$I$56,8,FALSE),main!$K$18:$O$18,0))))),1,0)</f>
        <v>0</v>
      </c>
      <c r="AU32">
        <f>IF((AND(VLOOKUP(AU$1,main!$A$3:$I$56,5,FALSE)-VLOOKUP($A32,main!$A$3:$I$56,6,FALSE)&gt;=(VLOOKUP(VLOOKUP(AU$1,main!$A$3:$I$56,8,FALSE),main!$K$11:$M$14,2,FALSE)+VLOOKUP(VLOOKUP(AU$1,main!$A$3:$I$56,7,FALSE),main!$K$19:$O$22,MATCH(VLOOKUP($A32,main!$A$3:$I$56,8,FALSE),main!$K$18:$O$18,0))))),1,0)</f>
        <v>0</v>
      </c>
      <c r="AV32">
        <f>IF((AND(VLOOKUP(AV$1,main!$A$3:$I$56,5,FALSE)-VLOOKUP($A32,main!$A$3:$I$56,6,FALSE)&gt;=(VLOOKUP(VLOOKUP(AV$1,main!$A$3:$I$56,8,FALSE),main!$K$11:$M$14,2,FALSE)+VLOOKUP(VLOOKUP(AV$1,main!$A$3:$I$56,7,FALSE),main!$K$19:$O$22,MATCH(VLOOKUP($A32,main!$A$3:$I$56,8,FALSE),main!$K$18:$O$18,0))))),1,0)</f>
        <v>0</v>
      </c>
      <c r="AW32">
        <f>IF((AND(VLOOKUP(AW$1,main!$A$3:$I$56,5,FALSE)-VLOOKUP($A32,main!$A$3:$I$56,6,FALSE)&gt;=(VLOOKUP(VLOOKUP(AW$1,main!$A$3:$I$56,8,FALSE),main!$K$11:$M$14,2,FALSE)+VLOOKUP(VLOOKUP(AW$1,main!$A$3:$I$56,7,FALSE),main!$K$19:$O$22,MATCH(VLOOKUP($A32,main!$A$3:$I$56,8,FALSE),main!$K$18:$O$18,0))))),1,0)</f>
        <v>0</v>
      </c>
      <c r="AX32">
        <f>IF((AND(VLOOKUP(AX$1,main!$A$3:$I$56,5,FALSE)-VLOOKUP($A32,main!$A$3:$I$56,6,FALSE)&gt;=(VLOOKUP(VLOOKUP(AX$1,main!$A$3:$I$56,8,FALSE),main!$K$11:$M$14,2,FALSE)+VLOOKUP(VLOOKUP(AX$1,main!$A$3:$I$56,7,FALSE),main!$K$19:$O$22,MATCH(VLOOKUP($A32,main!$A$3:$I$56,8,FALSE),main!$K$18:$O$18,0))))),1,0)</f>
        <v>0</v>
      </c>
      <c r="AY32">
        <f>IF((AND(VLOOKUP(AY$1,main!$A$3:$I$56,5,FALSE)-VLOOKUP($A32,main!$A$3:$I$56,6,FALSE)&gt;=(VLOOKUP(VLOOKUP(AY$1,main!$A$3:$I$56,8,FALSE),main!$K$11:$M$14,2,FALSE)+VLOOKUP(VLOOKUP(AY$1,main!$A$3:$I$56,7,FALSE),main!$K$19:$O$22,MATCH(VLOOKUP($A32,main!$A$3:$I$56,8,FALSE),main!$K$18:$O$18,0))))),1,0)</f>
        <v>1</v>
      </c>
      <c r="AZ32">
        <f>IF((AND(VLOOKUP(AZ$1,main!$A$3:$I$56,5,FALSE)-VLOOKUP($A32,main!$A$3:$I$56,6,FALSE)&gt;=(VLOOKUP(VLOOKUP(AZ$1,main!$A$3:$I$56,8,FALSE),main!$K$11:$M$14,2,FALSE)+VLOOKUP(VLOOKUP(AZ$1,main!$A$3:$I$56,7,FALSE),main!$K$19:$O$22,MATCH(VLOOKUP($A32,main!$A$3:$I$56,8,FALSE),main!$K$18:$O$18,0))))),1,0)</f>
        <v>0</v>
      </c>
      <c r="BA32">
        <f>IF((AND(VLOOKUP(BA$1,main!$A$3:$I$56,5,FALSE)-VLOOKUP($A32,main!$A$3:$I$56,6,FALSE)&gt;=(VLOOKUP(VLOOKUP(BA$1,main!$A$3:$I$56,8,FALSE),main!$K$11:$M$14,2,FALSE)+VLOOKUP(VLOOKUP(BA$1,main!$A$3:$I$56,7,FALSE),main!$K$19:$O$22,MATCH(VLOOKUP($A32,main!$A$3:$I$56,8,FALSE),main!$K$18:$O$18,0))))),1,0)</f>
        <v>0</v>
      </c>
      <c r="BB32">
        <f>IF((AND(VLOOKUP(BB$1,main!$A$3:$I$56,5,FALSE)-VLOOKUP($A32,main!$A$3:$I$56,6,FALSE)&gt;=(VLOOKUP(VLOOKUP(BB$1,main!$A$3:$I$56,8,FALSE),main!$K$11:$M$14,2,FALSE)+VLOOKUP(VLOOKUP(BB$1,main!$A$3:$I$56,7,FALSE),main!$K$19:$O$22,MATCH(VLOOKUP($A32,main!$A$3:$I$56,8,FALSE),main!$K$18:$O$18,0))))),1,0)</f>
        <v>0</v>
      </c>
      <c r="BC32">
        <f>IF((AND(VLOOKUP(BC$1,main!$A$3:$I$56,5,FALSE)-VLOOKUP($A32,main!$A$3:$I$56,6,FALSE)&gt;=(VLOOKUP(VLOOKUP(BC$1,main!$A$3:$I$56,8,FALSE),main!$K$11:$M$14,2,FALSE)+VLOOKUP(VLOOKUP(BC$1,main!$A$3:$I$56,7,FALSE),main!$K$19:$O$22,MATCH(VLOOKUP($A32,main!$A$3:$I$56,8,FALSE),main!$K$18:$O$18,0))))),1,0)</f>
        <v>0</v>
      </c>
      <c r="BD32">
        <f>IF((AND(VLOOKUP(BD$1,main!$A$3:$I$56,5,FALSE)-VLOOKUP($A32,main!$A$3:$I$56,6,FALSE)&gt;=(VLOOKUP(VLOOKUP(BD$1,main!$A$3:$I$56,8,FALSE),main!$K$11:$M$14,2,FALSE)+VLOOKUP(VLOOKUP(BD$1,main!$A$3:$I$56,7,FALSE),main!$K$19:$O$22,MATCH(VLOOKUP($A32,main!$A$3:$I$56,8,FALSE),main!$K$18:$O$18,0))))),1,0)</f>
        <v>0</v>
      </c>
    </row>
    <row r="33" spans="1:56" x14ac:dyDescent="0.25">
      <c r="A33">
        <f t="shared" si="0"/>
        <v>31</v>
      </c>
      <c r="B33">
        <v>1</v>
      </c>
      <c r="C33">
        <f>IF((AND(VLOOKUP(C$1,main!$A$3:$I$56,5,FALSE)-VLOOKUP($A33,main!$A$3:$I$56,6,FALSE)&gt;=(VLOOKUP(VLOOKUP(C$1,main!$A$3:$I$56,8,FALSE),main!$K$11:$M$14,2,FALSE)+VLOOKUP(VLOOKUP(C$1,main!$A$3:$I$56,7,FALSE),main!$K$19:$O$22,MATCH(VLOOKUP($A33,main!$A$3:$I$56,8,FALSE),main!$K$18:$O$18,0))))),1,0)</f>
        <v>0</v>
      </c>
      <c r="D33">
        <f>IF((AND(VLOOKUP(D$1,main!$A$3:$I$56,5,FALSE)-VLOOKUP($A33,main!$A$3:$I$56,6,FALSE)&gt;=(VLOOKUP(VLOOKUP(D$1,main!$A$3:$I$56,8,FALSE),main!$K$11:$M$14,2,FALSE)+VLOOKUP(VLOOKUP(D$1,main!$A$3:$I$56,7,FALSE),main!$K$19:$O$22,MATCH(VLOOKUP($A33,main!$A$3:$I$56,8,FALSE),main!$K$18:$O$18,0))))),1,0)</f>
        <v>1</v>
      </c>
      <c r="E33">
        <f>IF((AND(VLOOKUP(E$1,main!$A$3:$I$56,5,FALSE)-VLOOKUP($A33,main!$A$3:$I$56,6,FALSE)&gt;=(VLOOKUP(VLOOKUP(E$1,main!$A$3:$I$56,8,FALSE),main!$K$11:$M$14,2,FALSE)+VLOOKUP(VLOOKUP(E$1,main!$A$3:$I$56,7,FALSE),main!$K$19:$O$22,MATCH(VLOOKUP($A33,main!$A$3:$I$56,8,FALSE),main!$K$18:$O$18,0))))),1,0)</f>
        <v>1</v>
      </c>
      <c r="F33">
        <f>IF((AND(VLOOKUP(F$1,main!$A$3:$I$56,5,FALSE)-VLOOKUP($A33,main!$A$3:$I$56,6,FALSE)&gt;=(VLOOKUP(VLOOKUP(F$1,main!$A$3:$I$56,8,FALSE),main!$K$11:$M$14,2,FALSE)+VLOOKUP(VLOOKUP(F$1,main!$A$3:$I$56,7,FALSE),main!$K$19:$O$22,MATCH(VLOOKUP($A33,main!$A$3:$I$56,8,FALSE),main!$K$18:$O$18,0))))),1,0)</f>
        <v>1</v>
      </c>
      <c r="G33">
        <f>IF((AND(VLOOKUP(G$1,main!$A$3:$I$56,5,FALSE)-VLOOKUP($A33,main!$A$3:$I$56,6,FALSE)&gt;=(VLOOKUP(VLOOKUP(G$1,main!$A$3:$I$56,8,FALSE),main!$K$11:$M$14,2,FALSE)+VLOOKUP(VLOOKUP(G$1,main!$A$3:$I$56,7,FALSE),main!$K$19:$O$22,MATCH(VLOOKUP($A33,main!$A$3:$I$56,8,FALSE),main!$K$18:$O$18,0))))),1,0)</f>
        <v>1</v>
      </c>
      <c r="H33">
        <f>IF((AND(VLOOKUP(H$1,main!$A$3:$I$56,5,FALSE)-VLOOKUP($A33,main!$A$3:$I$56,6,FALSE)&gt;=(VLOOKUP(VLOOKUP(H$1,main!$A$3:$I$56,8,FALSE),main!$K$11:$M$14,2,FALSE)+VLOOKUP(VLOOKUP(H$1,main!$A$3:$I$56,7,FALSE),main!$K$19:$O$22,MATCH(VLOOKUP($A33,main!$A$3:$I$56,8,FALSE),main!$K$18:$O$18,0))))),1,0)</f>
        <v>1</v>
      </c>
      <c r="I33">
        <f>IF((AND(VLOOKUP(I$1,main!$A$3:$I$56,5,FALSE)-VLOOKUP($A33,main!$A$3:$I$56,6,FALSE)&gt;=(VLOOKUP(VLOOKUP(I$1,main!$A$3:$I$56,8,FALSE),main!$K$11:$M$14,2,FALSE)+VLOOKUP(VLOOKUP(I$1,main!$A$3:$I$56,7,FALSE),main!$K$19:$O$22,MATCH(VLOOKUP($A33,main!$A$3:$I$56,8,FALSE),main!$K$18:$O$18,0))))),1,0)</f>
        <v>1</v>
      </c>
      <c r="J33">
        <f>IF((AND(VLOOKUP(J$1,main!$A$3:$I$56,5,FALSE)-VLOOKUP($A33,main!$A$3:$I$56,6,FALSE)&gt;=(VLOOKUP(VLOOKUP(J$1,main!$A$3:$I$56,8,FALSE),main!$K$11:$M$14,2,FALSE)+VLOOKUP(VLOOKUP(J$1,main!$A$3:$I$56,7,FALSE),main!$K$19:$O$22,MATCH(VLOOKUP($A33,main!$A$3:$I$56,8,FALSE),main!$K$18:$O$18,0))))),1,0)</f>
        <v>1</v>
      </c>
      <c r="K33">
        <f>IF((AND(VLOOKUP(K$1,main!$A$3:$I$56,5,FALSE)-VLOOKUP($A33,main!$A$3:$I$56,6,FALSE)&gt;=(VLOOKUP(VLOOKUP(K$1,main!$A$3:$I$56,8,FALSE),main!$K$11:$M$14,2,FALSE)+VLOOKUP(VLOOKUP(K$1,main!$A$3:$I$56,7,FALSE),main!$K$19:$O$22,MATCH(VLOOKUP($A33,main!$A$3:$I$56,8,FALSE),main!$K$18:$O$18,0))))),1,0)</f>
        <v>0</v>
      </c>
      <c r="L33">
        <f>IF((AND(VLOOKUP(L$1,main!$A$3:$I$56,5,FALSE)-VLOOKUP($A33,main!$A$3:$I$56,6,FALSE)&gt;=(VLOOKUP(VLOOKUP(L$1,main!$A$3:$I$56,8,FALSE),main!$K$11:$M$14,2,FALSE)+VLOOKUP(VLOOKUP(L$1,main!$A$3:$I$56,7,FALSE),main!$K$19:$O$22,MATCH(VLOOKUP($A33,main!$A$3:$I$56,8,FALSE),main!$K$18:$O$18,0))))),1,0)</f>
        <v>0</v>
      </c>
      <c r="M33">
        <f>IF((AND(VLOOKUP(M$1,main!$A$3:$I$56,5,FALSE)-VLOOKUP($A33,main!$A$3:$I$56,6,FALSE)&gt;=(VLOOKUP(VLOOKUP(M$1,main!$A$3:$I$56,8,FALSE),main!$K$11:$M$14,2,FALSE)+VLOOKUP(VLOOKUP(M$1,main!$A$3:$I$56,7,FALSE),main!$K$19:$O$22,MATCH(VLOOKUP($A33,main!$A$3:$I$56,8,FALSE),main!$K$18:$O$18,0))))),1,0)</f>
        <v>1</v>
      </c>
      <c r="N33">
        <f>IF((AND(VLOOKUP(N$1,main!$A$3:$I$56,5,FALSE)-VLOOKUP($A33,main!$A$3:$I$56,6,FALSE)&gt;=(VLOOKUP(VLOOKUP(N$1,main!$A$3:$I$56,8,FALSE),main!$K$11:$M$14,2,FALSE)+VLOOKUP(VLOOKUP(N$1,main!$A$3:$I$56,7,FALSE),main!$K$19:$O$22,MATCH(VLOOKUP($A33,main!$A$3:$I$56,8,FALSE),main!$K$18:$O$18,0))))),1,0)</f>
        <v>1</v>
      </c>
      <c r="O33">
        <f>IF((AND(VLOOKUP(O$1,main!$A$3:$I$56,5,FALSE)-VLOOKUP($A33,main!$A$3:$I$56,6,FALSE)&gt;=(VLOOKUP(VLOOKUP(O$1,main!$A$3:$I$56,8,FALSE),main!$K$11:$M$14,2,FALSE)+VLOOKUP(VLOOKUP(O$1,main!$A$3:$I$56,7,FALSE),main!$K$19:$O$22,MATCH(VLOOKUP($A33,main!$A$3:$I$56,8,FALSE),main!$K$18:$O$18,0))))),1,0)</f>
        <v>1</v>
      </c>
      <c r="P33">
        <f>IF((AND(VLOOKUP(P$1,main!$A$3:$I$56,5,FALSE)-VLOOKUP($A33,main!$A$3:$I$56,6,FALSE)&gt;=(VLOOKUP(VLOOKUP(P$1,main!$A$3:$I$56,8,FALSE),main!$K$11:$M$14,2,FALSE)+VLOOKUP(VLOOKUP(P$1,main!$A$3:$I$56,7,FALSE),main!$K$19:$O$22,MATCH(VLOOKUP($A33,main!$A$3:$I$56,8,FALSE),main!$K$18:$O$18,0))))),1,0)</f>
        <v>0</v>
      </c>
      <c r="Q33">
        <f>IF((AND(VLOOKUP(Q$1,main!$A$3:$I$56,5,FALSE)-VLOOKUP($A33,main!$A$3:$I$56,6,FALSE)&gt;=(VLOOKUP(VLOOKUP(Q$1,main!$A$3:$I$56,8,FALSE),main!$K$11:$M$14,2,FALSE)+VLOOKUP(VLOOKUP(Q$1,main!$A$3:$I$56,7,FALSE),main!$K$19:$O$22,MATCH(VLOOKUP($A33,main!$A$3:$I$56,8,FALSE),main!$K$18:$O$18,0))))),1,0)</f>
        <v>0</v>
      </c>
      <c r="R33">
        <f>IF((AND(VLOOKUP(R$1,main!$A$3:$I$56,5,FALSE)-VLOOKUP($A33,main!$A$3:$I$56,6,FALSE)&gt;=(VLOOKUP(VLOOKUP(R$1,main!$A$3:$I$56,8,FALSE),main!$K$11:$M$14,2,FALSE)+VLOOKUP(VLOOKUP(R$1,main!$A$3:$I$56,7,FALSE),main!$K$19:$O$22,MATCH(VLOOKUP($A33,main!$A$3:$I$56,8,FALSE),main!$K$18:$O$18,0))))),1,0)</f>
        <v>1</v>
      </c>
      <c r="S33">
        <f>IF((AND(VLOOKUP(S$1,main!$A$3:$I$56,5,FALSE)-VLOOKUP($A33,main!$A$3:$I$56,6,FALSE)&gt;=(VLOOKUP(VLOOKUP(S$1,main!$A$3:$I$56,8,FALSE),main!$K$11:$M$14,2,FALSE)+VLOOKUP(VLOOKUP(S$1,main!$A$3:$I$56,7,FALSE),main!$K$19:$O$22,MATCH(VLOOKUP($A33,main!$A$3:$I$56,8,FALSE),main!$K$18:$O$18,0))))),1,0)</f>
        <v>1</v>
      </c>
      <c r="T33">
        <f>IF((AND(VLOOKUP(T$1,main!$A$3:$I$56,5,FALSE)-VLOOKUP($A33,main!$A$3:$I$56,6,FALSE)&gt;=(VLOOKUP(VLOOKUP(T$1,main!$A$3:$I$56,8,FALSE),main!$K$11:$M$14,2,FALSE)+VLOOKUP(VLOOKUP(T$1,main!$A$3:$I$56,7,FALSE),main!$K$19:$O$22,MATCH(VLOOKUP($A33,main!$A$3:$I$56,8,FALSE),main!$K$18:$O$18,0))))),1,0)</f>
        <v>1</v>
      </c>
      <c r="U33">
        <f>IF((AND(VLOOKUP(U$1,main!$A$3:$I$56,5,FALSE)-VLOOKUP($A33,main!$A$3:$I$56,6,FALSE)&gt;=(VLOOKUP(VLOOKUP(U$1,main!$A$3:$I$56,8,FALSE),main!$K$11:$M$14,2,FALSE)+VLOOKUP(VLOOKUP(U$1,main!$A$3:$I$56,7,FALSE),main!$K$19:$O$22,MATCH(VLOOKUP($A33,main!$A$3:$I$56,8,FALSE),main!$K$18:$O$18,0))))),1,0)</f>
        <v>0</v>
      </c>
      <c r="V33">
        <f>IF((AND(VLOOKUP(V$1,main!$A$3:$I$56,5,FALSE)-VLOOKUP($A33,main!$A$3:$I$56,6,FALSE)&gt;=(VLOOKUP(VLOOKUP(V$1,main!$A$3:$I$56,8,FALSE),main!$K$11:$M$14,2,FALSE)+VLOOKUP(VLOOKUP(V$1,main!$A$3:$I$56,7,FALSE),main!$K$19:$O$22,MATCH(VLOOKUP($A33,main!$A$3:$I$56,8,FALSE),main!$K$18:$O$18,0))))),1,0)</f>
        <v>0</v>
      </c>
      <c r="W33">
        <f>IF((AND(VLOOKUP(W$1,main!$A$3:$I$56,5,FALSE)-VLOOKUP($A33,main!$A$3:$I$56,6,FALSE)&gt;=(VLOOKUP(VLOOKUP(W$1,main!$A$3:$I$56,8,FALSE),main!$K$11:$M$14,2,FALSE)+VLOOKUP(VLOOKUP(W$1,main!$A$3:$I$56,7,FALSE),main!$K$19:$O$22,MATCH(VLOOKUP($A33,main!$A$3:$I$56,8,FALSE),main!$K$18:$O$18,0))))),1,0)</f>
        <v>0</v>
      </c>
      <c r="X33">
        <f>IF((AND(VLOOKUP(X$1,main!$A$3:$I$56,5,FALSE)-VLOOKUP($A33,main!$A$3:$I$56,6,FALSE)&gt;=(VLOOKUP(VLOOKUP(X$1,main!$A$3:$I$56,8,FALSE),main!$K$11:$M$14,2,FALSE)+VLOOKUP(VLOOKUP(X$1,main!$A$3:$I$56,7,FALSE),main!$K$19:$O$22,MATCH(VLOOKUP($A33,main!$A$3:$I$56,8,FALSE),main!$K$18:$O$18,0))))),1,0)</f>
        <v>1</v>
      </c>
      <c r="Y33">
        <f>IF((AND(VLOOKUP(Y$1,main!$A$3:$I$56,5,FALSE)-VLOOKUP($A33,main!$A$3:$I$56,6,FALSE)&gt;=(VLOOKUP(VLOOKUP(Y$1,main!$A$3:$I$56,8,FALSE),main!$K$11:$M$14,2,FALSE)+VLOOKUP(VLOOKUP(Y$1,main!$A$3:$I$56,7,FALSE),main!$K$19:$O$22,MATCH(VLOOKUP($A33,main!$A$3:$I$56,8,FALSE),main!$K$18:$O$18,0))))),1,0)</f>
        <v>1</v>
      </c>
      <c r="Z33">
        <f>IF((AND(VLOOKUP(Z$1,main!$A$3:$I$56,5,FALSE)-VLOOKUP($A33,main!$A$3:$I$56,6,FALSE)&gt;=(VLOOKUP(VLOOKUP(Z$1,main!$A$3:$I$56,8,FALSE),main!$K$11:$M$14,2,FALSE)+VLOOKUP(VLOOKUP(Z$1,main!$A$3:$I$56,7,FALSE),main!$K$19:$O$22,MATCH(VLOOKUP($A33,main!$A$3:$I$56,8,FALSE),main!$K$18:$O$18,0))))),1,0)</f>
        <v>1</v>
      </c>
      <c r="AA33">
        <f>IF((AND(VLOOKUP(AA$1,main!$A$3:$I$56,5,FALSE)-VLOOKUP($A33,main!$A$3:$I$56,6,FALSE)&gt;=(VLOOKUP(VLOOKUP(AA$1,main!$A$3:$I$56,8,FALSE),main!$K$11:$M$14,2,FALSE)+VLOOKUP(VLOOKUP(AA$1,main!$A$3:$I$56,7,FALSE),main!$K$19:$O$22,MATCH(VLOOKUP($A33,main!$A$3:$I$56,8,FALSE),main!$K$18:$O$18,0))))),1,0)</f>
        <v>1</v>
      </c>
      <c r="AB33">
        <f>IF((AND(VLOOKUP(AB$1,main!$A$3:$I$56,5,FALSE)-VLOOKUP($A33,main!$A$3:$I$56,6,FALSE)&gt;=(VLOOKUP(VLOOKUP(AB$1,main!$A$3:$I$56,8,FALSE),main!$K$11:$M$14,2,FALSE)+VLOOKUP(VLOOKUP(AB$1,main!$A$3:$I$56,7,FALSE),main!$K$19:$O$22,MATCH(VLOOKUP($A33,main!$A$3:$I$56,8,FALSE),main!$K$18:$O$18,0))))),1,0)</f>
        <v>1</v>
      </c>
      <c r="AC33">
        <f>IF((AND(VLOOKUP(AC$1,main!$A$3:$I$56,5,FALSE)-VLOOKUP($A33,main!$A$3:$I$56,6,FALSE)&gt;=(VLOOKUP(VLOOKUP(AC$1,main!$A$3:$I$56,8,FALSE),main!$K$11:$M$14,2,FALSE)+VLOOKUP(VLOOKUP(AC$1,main!$A$3:$I$56,7,FALSE),main!$K$19:$O$22,MATCH(VLOOKUP($A33,main!$A$3:$I$56,8,FALSE),main!$K$18:$O$18,0))))),1,0)</f>
        <v>0</v>
      </c>
      <c r="AD33">
        <f>IF((AND(VLOOKUP(AD$1,main!$A$3:$I$56,5,FALSE)-VLOOKUP($A33,main!$A$3:$I$56,6,FALSE)&gt;=(VLOOKUP(VLOOKUP(AD$1,main!$A$3:$I$56,8,FALSE),main!$K$11:$M$14,2,FALSE)+VLOOKUP(VLOOKUP(AD$1,main!$A$3:$I$56,7,FALSE),main!$K$19:$O$22,MATCH(VLOOKUP($A33,main!$A$3:$I$56,8,FALSE),main!$K$18:$O$18,0))))),1,0)</f>
        <v>0</v>
      </c>
      <c r="AE33">
        <f>IF((AND(VLOOKUP(AE$1,main!$A$3:$I$56,5,FALSE)-VLOOKUP($A33,main!$A$3:$I$56,6,FALSE)&gt;=(VLOOKUP(VLOOKUP(AE$1,main!$A$3:$I$56,8,FALSE),main!$K$11:$M$14,2,FALSE)+VLOOKUP(VLOOKUP(AE$1,main!$A$3:$I$56,7,FALSE),main!$K$19:$O$22,MATCH(VLOOKUP($A33,main!$A$3:$I$56,8,FALSE),main!$K$18:$O$18,0))))),1,0)</f>
        <v>1</v>
      </c>
      <c r="AF33">
        <f>IF((AND(VLOOKUP(AF$1,main!$A$3:$I$56,5,FALSE)-VLOOKUP($A33,main!$A$3:$I$56,6,FALSE)&gt;=(VLOOKUP(VLOOKUP(AF$1,main!$A$3:$I$56,8,FALSE),main!$K$11:$M$14,2,FALSE)+VLOOKUP(VLOOKUP(AF$1,main!$A$3:$I$56,7,FALSE),main!$K$19:$O$22,MATCH(VLOOKUP($A33,main!$A$3:$I$56,8,FALSE),main!$K$18:$O$18,0))))),1,0)</f>
        <v>1</v>
      </c>
      <c r="AG33">
        <f>IF((AND(VLOOKUP(AG$1,main!$A$3:$I$56,5,FALSE)-VLOOKUP($A33,main!$A$3:$I$56,6,FALSE)&gt;=(VLOOKUP(VLOOKUP(AG$1,main!$A$3:$I$56,8,FALSE),main!$K$11:$M$14,2,FALSE)+VLOOKUP(VLOOKUP(AG$1,main!$A$3:$I$56,7,FALSE),main!$K$19:$O$22,MATCH(VLOOKUP($A33,main!$A$3:$I$56,8,FALSE),main!$K$18:$O$18,0))))),1,0)</f>
        <v>0</v>
      </c>
      <c r="AH33">
        <f>IF((AND(VLOOKUP(AH$1,main!$A$3:$I$56,5,FALSE)-VLOOKUP($A33,main!$A$3:$I$56,6,FALSE)&gt;=(VLOOKUP(VLOOKUP(AH$1,main!$A$3:$I$56,8,FALSE),main!$K$11:$M$14,2,FALSE)+VLOOKUP(VLOOKUP(AH$1,main!$A$3:$I$56,7,FALSE),main!$K$19:$O$22,MATCH(VLOOKUP($A33,main!$A$3:$I$56,8,FALSE),main!$K$18:$O$18,0))))),1,0)</f>
        <v>0</v>
      </c>
      <c r="AI33">
        <f>IF((AND(VLOOKUP(AI$1,main!$A$3:$I$56,5,FALSE)-VLOOKUP($A33,main!$A$3:$I$56,6,FALSE)&gt;=(VLOOKUP(VLOOKUP(AI$1,main!$A$3:$I$56,8,FALSE),main!$K$11:$M$14,2,FALSE)+VLOOKUP(VLOOKUP(AI$1,main!$A$3:$I$56,7,FALSE),main!$K$19:$O$22,MATCH(VLOOKUP($A33,main!$A$3:$I$56,8,FALSE),main!$K$18:$O$18,0))))),1,0)</f>
        <v>1</v>
      </c>
      <c r="AJ33">
        <f>IF((AND(VLOOKUP(AJ$1,main!$A$3:$I$56,5,FALSE)-VLOOKUP($A33,main!$A$3:$I$56,6,FALSE)&gt;=(VLOOKUP(VLOOKUP(AJ$1,main!$A$3:$I$56,8,FALSE),main!$K$11:$M$14,2,FALSE)+VLOOKUP(VLOOKUP(AJ$1,main!$A$3:$I$56,7,FALSE),main!$K$19:$O$22,MATCH(VLOOKUP($A33,main!$A$3:$I$56,8,FALSE),main!$K$18:$O$18,0))))),1,0)</f>
        <v>1</v>
      </c>
      <c r="AK33">
        <f>IF((AND(VLOOKUP(AK$1,main!$A$3:$I$56,5,FALSE)-VLOOKUP($A33,main!$A$3:$I$56,6,FALSE)&gt;=(VLOOKUP(VLOOKUP(AK$1,main!$A$3:$I$56,8,FALSE),main!$K$11:$M$14,2,FALSE)+VLOOKUP(VLOOKUP(AK$1,main!$A$3:$I$56,7,FALSE),main!$K$19:$O$22,MATCH(VLOOKUP($A33,main!$A$3:$I$56,8,FALSE),main!$K$18:$O$18,0))))),1,0)</f>
        <v>1</v>
      </c>
      <c r="AL33">
        <f>IF((AND(VLOOKUP(AL$1,main!$A$3:$I$56,5,FALSE)-VLOOKUP($A33,main!$A$3:$I$56,6,FALSE)&gt;=(VLOOKUP(VLOOKUP(AL$1,main!$A$3:$I$56,8,FALSE),main!$K$11:$M$14,2,FALSE)+VLOOKUP(VLOOKUP(AL$1,main!$A$3:$I$56,7,FALSE),main!$K$19:$O$22,MATCH(VLOOKUP($A33,main!$A$3:$I$56,8,FALSE),main!$K$18:$O$18,0))))),1,0)</f>
        <v>0</v>
      </c>
      <c r="AM33">
        <f>IF((AND(VLOOKUP(AM$1,main!$A$3:$I$56,5,FALSE)-VLOOKUP($A33,main!$A$3:$I$56,6,FALSE)&gt;=(VLOOKUP(VLOOKUP(AM$1,main!$A$3:$I$56,8,FALSE),main!$K$11:$M$14,2,FALSE)+VLOOKUP(VLOOKUP(AM$1,main!$A$3:$I$56,7,FALSE),main!$K$19:$O$22,MATCH(VLOOKUP($A33,main!$A$3:$I$56,8,FALSE),main!$K$18:$O$18,0))))),1,0)</f>
        <v>0</v>
      </c>
      <c r="AN33">
        <f>IF((AND(VLOOKUP(AN$1,main!$A$3:$I$56,5,FALSE)-VLOOKUP($A33,main!$A$3:$I$56,6,FALSE)&gt;=(VLOOKUP(VLOOKUP(AN$1,main!$A$3:$I$56,8,FALSE),main!$K$11:$M$14,2,FALSE)+VLOOKUP(VLOOKUP(AN$1,main!$A$3:$I$56,7,FALSE),main!$K$19:$O$22,MATCH(VLOOKUP($A33,main!$A$3:$I$56,8,FALSE),main!$K$18:$O$18,0))))),1,0)</f>
        <v>1</v>
      </c>
      <c r="AO33">
        <f>IF((AND(VLOOKUP(AO$1,main!$A$3:$I$56,5,FALSE)-VLOOKUP($A33,main!$A$3:$I$56,6,FALSE)&gt;=(VLOOKUP(VLOOKUP(AO$1,main!$A$3:$I$56,8,FALSE),main!$K$11:$M$14,2,FALSE)+VLOOKUP(VLOOKUP(AO$1,main!$A$3:$I$56,7,FALSE),main!$K$19:$O$22,MATCH(VLOOKUP($A33,main!$A$3:$I$56,8,FALSE),main!$K$18:$O$18,0))))),1,0)</f>
        <v>1</v>
      </c>
      <c r="AP33">
        <f>IF((AND(VLOOKUP(AP$1,main!$A$3:$I$56,5,FALSE)-VLOOKUP($A33,main!$A$3:$I$56,6,FALSE)&gt;=(VLOOKUP(VLOOKUP(AP$1,main!$A$3:$I$56,8,FALSE),main!$K$11:$M$14,2,FALSE)+VLOOKUP(VLOOKUP(AP$1,main!$A$3:$I$56,7,FALSE),main!$K$19:$O$22,MATCH(VLOOKUP($A33,main!$A$3:$I$56,8,FALSE),main!$K$18:$O$18,0))))),1,0)</f>
        <v>0</v>
      </c>
      <c r="AQ33">
        <f>IF((AND(VLOOKUP(AQ$1,main!$A$3:$I$56,5,FALSE)-VLOOKUP($A33,main!$A$3:$I$56,6,FALSE)&gt;=(VLOOKUP(VLOOKUP(AQ$1,main!$A$3:$I$56,8,FALSE),main!$K$11:$M$14,2,FALSE)+VLOOKUP(VLOOKUP(AQ$1,main!$A$3:$I$56,7,FALSE),main!$K$19:$O$22,MATCH(VLOOKUP($A33,main!$A$3:$I$56,8,FALSE),main!$K$18:$O$18,0))))),1,0)</f>
        <v>0</v>
      </c>
      <c r="AR33">
        <f>IF((AND(VLOOKUP(AR$1,main!$A$3:$I$56,5,FALSE)-VLOOKUP($A33,main!$A$3:$I$56,6,FALSE)&gt;=(VLOOKUP(VLOOKUP(AR$1,main!$A$3:$I$56,8,FALSE),main!$K$11:$M$14,2,FALSE)+VLOOKUP(VLOOKUP(AR$1,main!$A$3:$I$56,7,FALSE),main!$K$19:$O$22,MATCH(VLOOKUP($A33,main!$A$3:$I$56,8,FALSE),main!$K$18:$O$18,0))))),1,0)</f>
        <v>0</v>
      </c>
      <c r="AS33">
        <f>IF((AND(VLOOKUP(AS$1,main!$A$3:$I$56,5,FALSE)-VLOOKUP($A33,main!$A$3:$I$56,6,FALSE)&gt;=(VLOOKUP(VLOOKUP(AS$1,main!$A$3:$I$56,8,FALSE),main!$K$11:$M$14,2,FALSE)+VLOOKUP(VLOOKUP(AS$1,main!$A$3:$I$56,7,FALSE),main!$K$19:$O$22,MATCH(VLOOKUP($A33,main!$A$3:$I$56,8,FALSE),main!$K$18:$O$18,0))))),1,0)</f>
        <v>1</v>
      </c>
      <c r="AT33">
        <f>IF((AND(VLOOKUP(AT$1,main!$A$3:$I$56,5,FALSE)-VLOOKUP($A33,main!$A$3:$I$56,6,FALSE)&gt;=(VLOOKUP(VLOOKUP(AT$1,main!$A$3:$I$56,8,FALSE),main!$K$11:$M$14,2,FALSE)+VLOOKUP(VLOOKUP(AT$1,main!$A$3:$I$56,7,FALSE),main!$K$19:$O$22,MATCH(VLOOKUP($A33,main!$A$3:$I$56,8,FALSE),main!$K$18:$O$18,0))))),1,0)</f>
        <v>1</v>
      </c>
      <c r="AU33">
        <f>IF((AND(VLOOKUP(AU$1,main!$A$3:$I$56,5,FALSE)-VLOOKUP($A33,main!$A$3:$I$56,6,FALSE)&gt;=(VLOOKUP(VLOOKUP(AU$1,main!$A$3:$I$56,8,FALSE),main!$K$11:$M$14,2,FALSE)+VLOOKUP(VLOOKUP(AU$1,main!$A$3:$I$56,7,FALSE),main!$K$19:$O$22,MATCH(VLOOKUP($A33,main!$A$3:$I$56,8,FALSE),main!$K$18:$O$18,0))))),1,0)</f>
        <v>0</v>
      </c>
      <c r="AV33">
        <f>IF((AND(VLOOKUP(AV$1,main!$A$3:$I$56,5,FALSE)-VLOOKUP($A33,main!$A$3:$I$56,6,FALSE)&gt;=(VLOOKUP(VLOOKUP(AV$1,main!$A$3:$I$56,8,FALSE),main!$K$11:$M$14,2,FALSE)+VLOOKUP(VLOOKUP(AV$1,main!$A$3:$I$56,7,FALSE),main!$K$19:$O$22,MATCH(VLOOKUP($A33,main!$A$3:$I$56,8,FALSE),main!$K$18:$O$18,0))))),1,0)</f>
        <v>0</v>
      </c>
      <c r="AW33">
        <f>IF((AND(VLOOKUP(AW$1,main!$A$3:$I$56,5,FALSE)-VLOOKUP($A33,main!$A$3:$I$56,6,FALSE)&gt;=(VLOOKUP(VLOOKUP(AW$1,main!$A$3:$I$56,8,FALSE),main!$K$11:$M$14,2,FALSE)+VLOOKUP(VLOOKUP(AW$1,main!$A$3:$I$56,7,FALSE),main!$K$19:$O$22,MATCH(VLOOKUP($A33,main!$A$3:$I$56,8,FALSE),main!$K$18:$O$18,0))))),1,0)</f>
        <v>1</v>
      </c>
      <c r="AX33">
        <f>IF((AND(VLOOKUP(AX$1,main!$A$3:$I$56,5,FALSE)-VLOOKUP($A33,main!$A$3:$I$56,6,FALSE)&gt;=(VLOOKUP(VLOOKUP(AX$1,main!$A$3:$I$56,8,FALSE),main!$K$11:$M$14,2,FALSE)+VLOOKUP(VLOOKUP(AX$1,main!$A$3:$I$56,7,FALSE),main!$K$19:$O$22,MATCH(VLOOKUP($A33,main!$A$3:$I$56,8,FALSE),main!$K$18:$O$18,0))))),1,0)</f>
        <v>1</v>
      </c>
      <c r="AY33">
        <f>IF((AND(VLOOKUP(AY$1,main!$A$3:$I$56,5,FALSE)-VLOOKUP($A33,main!$A$3:$I$56,6,FALSE)&gt;=(VLOOKUP(VLOOKUP(AY$1,main!$A$3:$I$56,8,FALSE),main!$K$11:$M$14,2,FALSE)+VLOOKUP(VLOOKUP(AY$1,main!$A$3:$I$56,7,FALSE),main!$K$19:$O$22,MATCH(VLOOKUP($A33,main!$A$3:$I$56,8,FALSE),main!$K$18:$O$18,0))))),1,0)</f>
        <v>1</v>
      </c>
      <c r="AZ33">
        <f>IF((AND(VLOOKUP(AZ$1,main!$A$3:$I$56,5,FALSE)-VLOOKUP($A33,main!$A$3:$I$56,6,FALSE)&gt;=(VLOOKUP(VLOOKUP(AZ$1,main!$A$3:$I$56,8,FALSE),main!$K$11:$M$14,2,FALSE)+VLOOKUP(VLOOKUP(AZ$1,main!$A$3:$I$56,7,FALSE),main!$K$19:$O$22,MATCH(VLOOKUP($A33,main!$A$3:$I$56,8,FALSE),main!$K$18:$O$18,0))))),1,0)</f>
        <v>0</v>
      </c>
      <c r="BA33">
        <f>IF((AND(VLOOKUP(BA$1,main!$A$3:$I$56,5,FALSE)-VLOOKUP($A33,main!$A$3:$I$56,6,FALSE)&gt;=(VLOOKUP(VLOOKUP(BA$1,main!$A$3:$I$56,8,FALSE),main!$K$11:$M$14,2,FALSE)+VLOOKUP(VLOOKUP(BA$1,main!$A$3:$I$56,7,FALSE),main!$K$19:$O$22,MATCH(VLOOKUP($A33,main!$A$3:$I$56,8,FALSE),main!$K$18:$O$18,0))))),1,0)</f>
        <v>1</v>
      </c>
      <c r="BB33">
        <f>IF((AND(VLOOKUP(BB$1,main!$A$3:$I$56,5,FALSE)-VLOOKUP($A33,main!$A$3:$I$56,6,FALSE)&gt;=(VLOOKUP(VLOOKUP(BB$1,main!$A$3:$I$56,8,FALSE),main!$K$11:$M$14,2,FALSE)+VLOOKUP(VLOOKUP(BB$1,main!$A$3:$I$56,7,FALSE),main!$K$19:$O$22,MATCH(VLOOKUP($A33,main!$A$3:$I$56,8,FALSE),main!$K$18:$O$18,0))))),1,0)</f>
        <v>1</v>
      </c>
      <c r="BC33">
        <f>IF((AND(VLOOKUP(BC$1,main!$A$3:$I$56,5,FALSE)-VLOOKUP($A33,main!$A$3:$I$56,6,FALSE)&gt;=(VLOOKUP(VLOOKUP(BC$1,main!$A$3:$I$56,8,FALSE),main!$K$11:$M$14,2,FALSE)+VLOOKUP(VLOOKUP(BC$1,main!$A$3:$I$56,7,FALSE),main!$K$19:$O$22,MATCH(VLOOKUP($A33,main!$A$3:$I$56,8,FALSE),main!$K$18:$O$18,0))))),1,0)</f>
        <v>1</v>
      </c>
      <c r="BD33">
        <f>IF((AND(VLOOKUP(BD$1,main!$A$3:$I$56,5,FALSE)-VLOOKUP($A33,main!$A$3:$I$56,6,FALSE)&gt;=(VLOOKUP(VLOOKUP(BD$1,main!$A$3:$I$56,8,FALSE),main!$K$11:$M$14,2,FALSE)+VLOOKUP(VLOOKUP(BD$1,main!$A$3:$I$56,7,FALSE),main!$K$19:$O$22,MATCH(VLOOKUP($A33,main!$A$3:$I$56,8,FALSE),main!$K$18:$O$18,0))))),1,0)</f>
        <v>1</v>
      </c>
    </row>
    <row r="34" spans="1:56" x14ac:dyDescent="0.25">
      <c r="A34">
        <f t="shared" si="0"/>
        <v>32</v>
      </c>
      <c r="B34">
        <v>1</v>
      </c>
      <c r="C34">
        <f>IF((AND(VLOOKUP(C$1,main!$A$3:$I$56,5,FALSE)-VLOOKUP($A34,main!$A$3:$I$56,6,FALSE)&gt;=(VLOOKUP(VLOOKUP(C$1,main!$A$3:$I$56,8,FALSE),main!$K$11:$M$14,2,FALSE)+VLOOKUP(VLOOKUP(C$1,main!$A$3:$I$56,7,FALSE),main!$K$19:$O$22,MATCH(VLOOKUP($A34,main!$A$3:$I$56,8,FALSE),main!$K$18:$O$18,0))))),1,0)</f>
        <v>0</v>
      </c>
      <c r="D34">
        <f>IF((AND(VLOOKUP(D$1,main!$A$3:$I$56,5,FALSE)-VLOOKUP($A34,main!$A$3:$I$56,6,FALSE)&gt;=(VLOOKUP(VLOOKUP(D$1,main!$A$3:$I$56,8,FALSE),main!$K$11:$M$14,2,FALSE)+VLOOKUP(VLOOKUP(D$1,main!$A$3:$I$56,7,FALSE),main!$K$19:$O$22,MATCH(VLOOKUP($A34,main!$A$3:$I$56,8,FALSE),main!$K$18:$O$18,0))))),1,0)</f>
        <v>0</v>
      </c>
      <c r="E34">
        <f>IF((AND(VLOOKUP(E$1,main!$A$3:$I$56,5,FALSE)-VLOOKUP($A34,main!$A$3:$I$56,6,FALSE)&gt;=(VLOOKUP(VLOOKUP(E$1,main!$A$3:$I$56,8,FALSE),main!$K$11:$M$14,2,FALSE)+VLOOKUP(VLOOKUP(E$1,main!$A$3:$I$56,7,FALSE),main!$K$19:$O$22,MATCH(VLOOKUP($A34,main!$A$3:$I$56,8,FALSE),main!$K$18:$O$18,0))))),1,0)</f>
        <v>0</v>
      </c>
      <c r="F34">
        <f>IF((AND(VLOOKUP(F$1,main!$A$3:$I$56,5,FALSE)-VLOOKUP($A34,main!$A$3:$I$56,6,FALSE)&gt;=(VLOOKUP(VLOOKUP(F$1,main!$A$3:$I$56,8,FALSE),main!$K$11:$M$14,2,FALSE)+VLOOKUP(VLOOKUP(F$1,main!$A$3:$I$56,7,FALSE),main!$K$19:$O$22,MATCH(VLOOKUP($A34,main!$A$3:$I$56,8,FALSE),main!$K$18:$O$18,0))))),1,0)</f>
        <v>1</v>
      </c>
      <c r="G34">
        <f>IF((AND(VLOOKUP(G$1,main!$A$3:$I$56,5,FALSE)-VLOOKUP($A34,main!$A$3:$I$56,6,FALSE)&gt;=(VLOOKUP(VLOOKUP(G$1,main!$A$3:$I$56,8,FALSE),main!$K$11:$M$14,2,FALSE)+VLOOKUP(VLOOKUP(G$1,main!$A$3:$I$56,7,FALSE),main!$K$19:$O$22,MATCH(VLOOKUP($A34,main!$A$3:$I$56,8,FALSE),main!$K$18:$O$18,0))))),1,0)</f>
        <v>1</v>
      </c>
      <c r="H34">
        <f>IF((AND(VLOOKUP(H$1,main!$A$3:$I$56,5,FALSE)-VLOOKUP($A34,main!$A$3:$I$56,6,FALSE)&gt;=(VLOOKUP(VLOOKUP(H$1,main!$A$3:$I$56,8,FALSE),main!$K$11:$M$14,2,FALSE)+VLOOKUP(VLOOKUP(H$1,main!$A$3:$I$56,7,FALSE),main!$K$19:$O$22,MATCH(VLOOKUP($A34,main!$A$3:$I$56,8,FALSE),main!$K$18:$O$18,0))))),1,0)</f>
        <v>1</v>
      </c>
      <c r="I34">
        <f>IF((AND(VLOOKUP(I$1,main!$A$3:$I$56,5,FALSE)-VLOOKUP($A34,main!$A$3:$I$56,6,FALSE)&gt;=(VLOOKUP(VLOOKUP(I$1,main!$A$3:$I$56,8,FALSE),main!$K$11:$M$14,2,FALSE)+VLOOKUP(VLOOKUP(I$1,main!$A$3:$I$56,7,FALSE),main!$K$19:$O$22,MATCH(VLOOKUP($A34,main!$A$3:$I$56,8,FALSE),main!$K$18:$O$18,0))))),1,0)</f>
        <v>1</v>
      </c>
      <c r="J34">
        <f>IF((AND(VLOOKUP(J$1,main!$A$3:$I$56,5,FALSE)-VLOOKUP($A34,main!$A$3:$I$56,6,FALSE)&gt;=(VLOOKUP(VLOOKUP(J$1,main!$A$3:$I$56,8,FALSE),main!$K$11:$M$14,2,FALSE)+VLOOKUP(VLOOKUP(J$1,main!$A$3:$I$56,7,FALSE),main!$K$19:$O$22,MATCH(VLOOKUP($A34,main!$A$3:$I$56,8,FALSE),main!$K$18:$O$18,0))))),1,0)</f>
        <v>1</v>
      </c>
      <c r="K34">
        <f>IF((AND(VLOOKUP(K$1,main!$A$3:$I$56,5,FALSE)-VLOOKUP($A34,main!$A$3:$I$56,6,FALSE)&gt;=(VLOOKUP(VLOOKUP(K$1,main!$A$3:$I$56,8,FALSE),main!$K$11:$M$14,2,FALSE)+VLOOKUP(VLOOKUP(K$1,main!$A$3:$I$56,7,FALSE),main!$K$19:$O$22,MATCH(VLOOKUP($A34,main!$A$3:$I$56,8,FALSE),main!$K$18:$O$18,0))))),1,0)</f>
        <v>0</v>
      </c>
      <c r="L34">
        <f>IF((AND(VLOOKUP(L$1,main!$A$3:$I$56,5,FALSE)-VLOOKUP($A34,main!$A$3:$I$56,6,FALSE)&gt;=(VLOOKUP(VLOOKUP(L$1,main!$A$3:$I$56,8,FALSE),main!$K$11:$M$14,2,FALSE)+VLOOKUP(VLOOKUP(L$1,main!$A$3:$I$56,7,FALSE),main!$K$19:$O$22,MATCH(VLOOKUP($A34,main!$A$3:$I$56,8,FALSE),main!$K$18:$O$18,0))))),1,0)</f>
        <v>0</v>
      </c>
      <c r="M34">
        <f>IF((AND(VLOOKUP(M$1,main!$A$3:$I$56,5,FALSE)-VLOOKUP($A34,main!$A$3:$I$56,6,FALSE)&gt;=(VLOOKUP(VLOOKUP(M$1,main!$A$3:$I$56,8,FALSE),main!$K$11:$M$14,2,FALSE)+VLOOKUP(VLOOKUP(M$1,main!$A$3:$I$56,7,FALSE),main!$K$19:$O$22,MATCH(VLOOKUP($A34,main!$A$3:$I$56,8,FALSE),main!$K$18:$O$18,0))))),1,0)</f>
        <v>0</v>
      </c>
      <c r="N34">
        <f>IF((AND(VLOOKUP(N$1,main!$A$3:$I$56,5,FALSE)-VLOOKUP($A34,main!$A$3:$I$56,6,FALSE)&gt;=(VLOOKUP(VLOOKUP(N$1,main!$A$3:$I$56,8,FALSE),main!$K$11:$M$14,2,FALSE)+VLOOKUP(VLOOKUP(N$1,main!$A$3:$I$56,7,FALSE),main!$K$19:$O$22,MATCH(VLOOKUP($A34,main!$A$3:$I$56,8,FALSE),main!$K$18:$O$18,0))))),1,0)</f>
        <v>1</v>
      </c>
      <c r="O34">
        <f>IF((AND(VLOOKUP(O$1,main!$A$3:$I$56,5,FALSE)-VLOOKUP($A34,main!$A$3:$I$56,6,FALSE)&gt;=(VLOOKUP(VLOOKUP(O$1,main!$A$3:$I$56,8,FALSE),main!$K$11:$M$14,2,FALSE)+VLOOKUP(VLOOKUP(O$1,main!$A$3:$I$56,7,FALSE),main!$K$19:$O$22,MATCH(VLOOKUP($A34,main!$A$3:$I$56,8,FALSE),main!$K$18:$O$18,0))))),1,0)</f>
        <v>1</v>
      </c>
      <c r="P34">
        <f>IF((AND(VLOOKUP(P$1,main!$A$3:$I$56,5,FALSE)-VLOOKUP($A34,main!$A$3:$I$56,6,FALSE)&gt;=(VLOOKUP(VLOOKUP(P$1,main!$A$3:$I$56,8,FALSE),main!$K$11:$M$14,2,FALSE)+VLOOKUP(VLOOKUP(P$1,main!$A$3:$I$56,7,FALSE),main!$K$19:$O$22,MATCH(VLOOKUP($A34,main!$A$3:$I$56,8,FALSE),main!$K$18:$O$18,0))))),1,0)</f>
        <v>0</v>
      </c>
      <c r="Q34">
        <f>IF((AND(VLOOKUP(Q$1,main!$A$3:$I$56,5,FALSE)-VLOOKUP($A34,main!$A$3:$I$56,6,FALSE)&gt;=(VLOOKUP(VLOOKUP(Q$1,main!$A$3:$I$56,8,FALSE),main!$K$11:$M$14,2,FALSE)+VLOOKUP(VLOOKUP(Q$1,main!$A$3:$I$56,7,FALSE),main!$K$19:$O$22,MATCH(VLOOKUP($A34,main!$A$3:$I$56,8,FALSE),main!$K$18:$O$18,0))))),1,0)</f>
        <v>0</v>
      </c>
      <c r="R34">
        <f>IF((AND(VLOOKUP(R$1,main!$A$3:$I$56,5,FALSE)-VLOOKUP($A34,main!$A$3:$I$56,6,FALSE)&gt;=(VLOOKUP(VLOOKUP(R$1,main!$A$3:$I$56,8,FALSE),main!$K$11:$M$14,2,FALSE)+VLOOKUP(VLOOKUP(R$1,main!$A$3:$I$56,7,FALSE),main!$K$19:$O$22,MATCH(VLOOKUP($A34,main!$A$3:$I$56,8,FALSE),main!$K$18:$O$18,0))))),1,0)</f>
        <v>0</v>
      </c>
      <c r="S34">
        <f>IF((AND(VLOOKUP(S$1,main!$A$3:$I$56,5,FALSE)-VLOOKUP($A34,main!$A$3:$I$56,6,FALSE)&gt;=(VLOOKUP(VLOOKUP(S$1,main!$A$3:$I$56,8,FALSE),main!$K$11:$M$14,2,FALSE)+VLOOKUP(VLOOKUP(S$1,main!$A$3:$I$56,7,FALSE),main!$K$19:$O$22,MATCH(VLOOKUP($A34,main!$A$3:$I$56,8,FALSE),main!$K$18:$O$18,0))))),1,0)</f>
        <v>1</v>
      </c>
      <c r="T34">
        <f>IF((AND(VLOOKUP(T$1,main!$A$3:$I$56,5,FALSE)-VLOOKUP($A34,main!$A$3:$I$56,6,FALSE)&gt;=(VLOOKUP(VLOOKUP(T$1,main!$A$3:$I$56,8,FALSE),main!$K$11:$M$14,2,FALSE)+VLOOKUP(VLOOKUP(T$1,main!$A$3:$I$56,7,FALSE),main!$K$19:$O$22,MATCH(VLOOKUP($A34,main!$A$3:$I$56,8,FALSE),main!$K$18:$O$18,0))))),1,0)</f>
        <v>1</v>
      </c>
      <c r="U34">
        <f>IF((AND(VLOOKUP(U$1,main!$A$3:$I$56,5,FALSE)-VLOOKUP($A34,main!$A$3:$I$56,6,FALSE)&gt;=(VLOOKUP(VLOOKUP(U$1,main!$A$3:$I$56,8,FALSE),main!$K$11:$M$14,2,FALSE)+VLOOKUP(VLOOKUP(U$1,main!$A$3:$I$56,7,FALSE),main!$K$19:$O$22,MATCH(VLOOKUP($A34,main!$A$3:$I$56,8,FALSE),main!$K$18:$O$18,0))))),1,0)</f>
        <v>0</v>
      </c>
      <c r="V34">
        <f>IF((AND(VLOOKUP(V$1,main!$A$3:$I$56,5,FALSE)-VLOOKUP($A34,main!$A$3:$I$56,6,FALSE)&gt;=(VLOOKUP(VLOOKUP(V$1,main!$A$3:$I$56,8,FALSE),main!$K$11:$M$14,2,FALSE)+VLOOKUP(VLOOKUP(V$1,main!$A$3:$I$56,7,FALSE),main!$K$19:$O$22,MATCH(VLOOKUP($A34,main!$A$3:$I$56,8,FALSE),main!$K$18:$O$18,0))))),1,0)</f>
        <v>0</v>
      </c>
      <c r="W34">
        <f>IF((AND(VLOOKUP(W$1,main!$A$3:$I$56,5,FALSE)-VLOOKUP($A34,main!$A$3:$I$56,6,FALSE)&gt;=(VLOOKUP(VLOOKUP(W$1,main!$A$3:$I$56,8,FALSE),main!$K$11:$M$14,2,FALSE)+VLOOKUP(VLOOKUP(W$1,main!$A$3:$I$56,7,FALSE),main!$K$19:$O$22,MATCH(VLOOKUP($A34,main!$A$3:$I$56,8,FALSE),main!$K$18:$O$18,0))))),1,0)</f>
        <v>0</v>
      </c>
      <c r="X34">
        <f>IF((AND(VLOOKUP(X$1,main!$A$3:$I$56,5,FALSE)-VLOOKUP($A34,main!$A$3:$I$56,6,FALSE)&gt;=(VLOOKUP(VLOOKUP(X$1,main!$A$3:$I$56,8,FALSE),main!$K$11:$M$14,2,FALSE)+VLOOKUP(VLOOKUP(X$1,main!$A$3:$I$56,7,FALSE),main!$K$19:$O$22,MATCH(VLOOKUP($A34,main!$A$3:$I$56,8,FALSE),main!$K$18:$O$18,0))))),1,0)</f>
        <v>0</v>
      </c>
      <c r="Y34">
        <f>IF((AND(VLOOKUP(Y$1,main!$A$3:$I$56,5,FALSE)-VLOOKUP($A34,main!$A$3:$I$56,6,FALSE)&gt;=(VLOOKUP(VLOOKUP(Y$1,main!$A$3:$I$56,8,FALSE),main!$K$11:$M$14,2,FALSE)+VLOOKUP(VLOOKUP(Y$1,main!$A$3:$I$56,7,FALSE),main!$K$19:$O$22,MATCH(VLOOKUP($A34,main!$A$3:$I$56,8,FALSE),main!$K$18:$O$18,0))))),1,0)</f>
        <v>0</v>
      </c>
      <c r="Z34">
        <f>IF((AND(VLOOKUP(Z$1,main!$A$3:$I$56,5,FALSE)-VLOOKUP($A34,main!$A$3:$I$56,6,FALSE)&gt;=(VLOOKUP(VLOOKUP(Z$1,main!$A$3:$I$56,8,FALSE),main!$K$11:$M$14,2,FALSE)+VLOOKUP(VLOOKUP(Z$1,main!$A$3:$I$56,7,FALSE),main!$K$19:$O$22,MATCH(VLOOKUP($A34,main!$A$3:$I$56,8,FALSE),main!$K$18:$O$18,0))))),1,0)</f>
        <v>1</v>
      </c>
      <c r="AA34">
        <f>IF((AND(VLOOKUP(AA$1,main!$A$3:$I$56,5,FALSE)-VLOOKUP($A34,main!$A$3:$I$56,6,FALSE)&gt;=(VLOOKUP(VLOOKUP(AA$1,main!$A$3:$I$56,8,FALSE),main!$K$11:$M$14,2,FALSE)+VLOOKUP(VLOOKUP(AA$1,main!$A$3:$I$56,7,FALSE),main!$K$19:$O$22,MATCH(VLOOKUP($A34,main!$A$3:$I$56,8,FALSE),main!$K$18:$O$18,0))))),1,0)</f>
        <v>1</v>
      </c>
      <c r="AB34">
        <f>IF((AND(VLOOKUP(AB$1,main!$A$3:$I$56,5,FALSE)-VLOOKUP($A34,main!$A$3:$I$56,6,FALSE)&gt;=(VLOOKUP(VLOOKUP(AB$1,main!$A$3:$I$56,8,FALSE),main!$K$11:$M$14,2,FALSE)+VLOOKUP(VLOOKUP(AB$1,main!$A$3:$I$56,7,FALSE),main!$K$19:$O$22,MATCH(VLOOKUP($A34,main!$A$3:$I$56,8,FALSE),main!$K$18:$O$18,0))))),1,0)</f>
        <v>1</v>
      </c>
      <c r="AC34">
        <f>IF((AND(VLOOKUP(AC$1,main!$A$3:$I$56,5,FALSE)-VLOOKUP($A34,main!$A$3:$I$56,6,FALSE)&gt;=(VLOOKUP(VLOOKUP(AC$1,main!$A$3:$I$56,8,FALSE),main!$K$11:$M$14,2,FALSE)+VLOOKUP(VLOOKUP(AC$1,main!$A$3:$I$56,7,FALSE),main!$K$19:$O$22,MATCH(VLOOKUP($A34,main!$A$3:$I$56,8,FALSE),main!$K$18:$O$18,0))))),1,0)</f>
        <v>0</v>
      </c>
      <c r="AD34">
        <f>IF((AND(VLOOKUP(AD$1,main!$A$3:$I$56,5,FALSE)-VLOOKUP($A34,main!$A$3:$I$56,6,FALSE)&gt;=(VLOOKUP(VLOOKUP(AD$1,main!$A$3:$I$56,8,FALSE),main!$K$11:$M$14,2,FALSE)+VLOOKUP(VLOOKUP(AD$1,main!$A$3:$I$56,7,FALSE),main!$K$19:$O$22,MATCH(VLOOKUP($A34,main!$A$3:$I$56,8,FALSE),main!$K$18:$O$18,0))))),1,0)</f>
        <v>0</v>
      </c>
      <c r="AE34">
        <f>IF((AND(VLOOKUP(AE$1,main!$A$3:$I$56,5,FALSE)-VLOOKUP($A34,main!$A$3:$I$56,6,FALSE)&gt;=(VLOOKUP(VLOOKUP(AE$1,main!$A$3:$I$56,8,FALSE),main!$K$11:$M$14,2,FALSE)+VLOOKUP(VLOOKUP(AE$1,main!$A$3:$I$56,7,FALSE),main!$K$19:$O$22,MATCH(VLOOKUP($A34,main!$A$3:$I$56,8,FALSE),main!$K$18:$O$18,0))))),1,0)</f>
        <v>0</v>
      </c>
      <c r="AF34">
        <f>IF((AND(VLOOKUP(AF$1,main!$A$3:$I$56,5,FALSE)-VLOOKUP($A34,main!$A$3:$I$56,6,FALSE)&gt;=(VLOOKUP(VLOOKUP(AF$1,main!$A$3:$I$56,8,FALSE),main!$K$11:$M$14,2,FALSE)+VLOOKUP(VLOOKUP(AF$1,main!$A$3:$I$56,7,FALSE),main!$K$19:$O$22,MATCH(VLOOKUP($A34,main!$A$3:$I$56,8,FALSE),main!$K$18:$O$18,0))))),1,0)</f>
        <v>1</v>
      </c>
      <c r="AG34">
        <f>IF((AND(VLOOKUP(AG$1,main!$A$3:$I$56,5,FALSE)-VLOOKUP($A34,main!$A$3:$I$56,6,FALSE)&gt;=(VLOOKUP(VLOOKUP(AG$1,main!$A$3:$I$56,8,FALSE),main!$K$11:$M$14,2,FALSE)+VLOOKUP(VLOOKUP(AG$1,main!$A$3:$I$56,7,FALSE),main!$K$19:$O$22,MATCH(VLOOKUP($A34,main!$A$3:$I$56,8,FALSE),main!$K$18:$O$18,0))))),1,0)</f>
        <v>0</v>
      </c>
      <c r="AH34">
        <f>IF((AND(VLOOKUP(AH$1,main!$A$3:$I$56,5,FALSE)-VLOOKUP($A34,main!$A$3:$I$56,6,FALSE)&gt;=(VLOOKUP(VLOOKUP(AH$1,main!$A$3:$I$56,8,FALSE),main!$K$11:$M$14,2,FALSE)+VLOOKUP(VLOOKUP(AH$1,main!$A$3:$I$56,7,FALSE),main!$K$19:$O$22,MATCH(VLOOKUP($A34,main!$A$3:$I$56,8,FALSE),main!$K$18:$O$18,0))))),1,0)</f>
        <v>0</v>
      </c>
      <c r="AI34">
        <f>IF((AND(VLOOKUP(AI$1,main!$A$3:$I$56,5,FALSE)-VLOOKUP($A34,main!$A$3:$I$56,6,FALSE)&gt;=(VLOOKUP(VLOOKUP(AI$1,main!$A$3:$I$56,8,FALSE),main!$K$11:$M$14,2,FALSE)+VLOOKUP(VLOOKUP(AI$1,main!$A$3:$I$56,7,FALSE),main!$K$19:$O$22,MATCH(VLOOKUP($A34,main!$A$3:$I$56,8,FALSE),main!$K$18:$O$18,0))))),1,0)</f>
        <v>0</v>
      </c>
      <c r="AJ34">
        <f>IF((AND(VLOOKUP(AJ$1,main!$A$3:$I$56,5,FALSE)-VLOOKUP($A34,main!$A$3:$I$56,6,FALSE)&gt;=(VLOOKUP(VLOOKUP(AJ$1,main!$A$3:$I$56,8,FALSE),main!$K$11:$M$14,2,FALSE)+VLOOKUP(VLOOKUP(AJ$1,main!$A$3:$I$56,7,FALSE),main!$K$19:$O$22,MATCH(VLOOKUP($A34,main!$A$3:$I$56,8,FALSE),main!$K$18:$O$18,0))))),1,0)</f>
        <v>0</v>
      </c>
      <c r="AK34">
        <f>IF((AND(VLOOKUP(AK$1,main!$A$3:$I$56,5,FALSE)-VLOOKUP($A34,main!$A$3:$I$56,6,FALSE)&gt;=(VLOOKUP(VLOOKUP(AK$1,main!$A$3:$I$56,8,FALSE),main!$K$11:$M$14,2,FALSE)+VLOOKUP(VLOOKUP(AK$1,main!$A$3:$I$56,7,FALSE),main!$K$19:$O$22,MATCH(VLOOKUP($A34,main!$A$3:$I$56,8,FALSE),main!$K$18:$O$18,0))))),1,0)</f>
        <v>1</v>
      </c>
      <c r="AL34">
        <f>IF((AND(VLOOKUP(AL$1,main!$A$3:$I$56,5,FALSE)-VLOOKUP($A34,main!$A$3:$I$56,6,FALSE)&gt;=(VLOOKUP(VLOOKUP(AL$1,main!$A$3:$I$56,8,FALSE),main!$K$11:$M$14,2,FALSE)+VLOOKUP(VLOOKUP(AL$1,main!$A$3:$I$56,7,FALSE),main!$K$19:$O$22,MATCH(VLOOKUP($A34,main!$A$3:$I$56,8,FALSE),main!$K$18:$O$18,0))))),1,0)</f>
        <v>0</v>
      </c>
      <c r="AM34">
        <f>IF((AND(VLOOKUP(AM$1,main!$A$3:$I$56,5,FALSE)-VLOOKUP($A34,main!$A$3:$I$56,6,FALSE)&gt;=(VLOOKUP(VLOOKUP(AM$1,main!$A$3:$I$56,8,FALSE),main!$K$11:$M$14,2,FALSE)+VLOOKUP(VLOOKUP(AM$1,main!$A$3:$I$56,7,FALSE),main!$K$19:$O$22,MATCH(VLOOKUP($A34,main!$A$3:$I$56,8,FALSE),main!$K$18:$O$18,0))))),1,0)</f>
        <v>0</v>
      </c>
      <c r="AN34">
        <f>IF((AND(VLOOKUP(AN$1,main!$A$3:$I$56,5,FALSE)-VLOOKUP($A34,main!$A$3:$I$56,6,FALSE)&gt;=(VLOOKUP(VLOOKUP(AN$1,main!$A$3:$I$56,8,FALSE),main!$K$11:$M$14,2,FALSE)+VLOOKUP(VLOOKUP(AN$1,main!$A$3:$I$56,7,FALSE),main!$K$19:$O$22,MATCH(VLOOKUP($A34,main!$A$3:$I$56,8,FALSE),main!$K$18:$O$18,0))))),1,0)</f>
        <v>0</v>
      </c>
      <c r="AO34">
        <f>IF((AND(VLOOKUP(AO$1,main!$A$3:$I$56,5,FALSE)-VLOOKUP($A34,main!$A$3:$I$56,6,FALSE)&gt;=(VLOOKUP(VLOOKUP(AO$1,main!$A$3:$I$56,8,FALSE),main!$K$11:$M$14,2,FALSE)+VLOOKUP(VLOOKUP(AO$1,main!$A$3:$I$56,7,FALSE),main!$K$19:$O$22,MATCH(VLOOKUP($A34,main!$A$3:$I$56,8,FALSE),main!$K$18:$O$18,0))))),1,0)</f>
        <v>1</v>
      </c>
      <c r="AP34">
        <f>IF((AND(VLOOKUP(AP$1,main!$A$3:$I$56,5,FALSE)-VLOOKUP($A34,main!$A$3:$I$56,6,FALSE)&gt;=(VLOOKUP(VLOOKUP(AP$1,main!$A$3:$I$56,8,FALSE),main!$K$11:$M$14,2,FALSE)+VLOOKUP(VLOOKUP(AP$1,main!$A$3:$I$56,7,FALSE),main!$K$19:$O$22,MATCH(VLOOKUP($A34,main!$A$3:$I$56,8,FALSE),main!$K$18:$O$18,0))))),1,0)</f>
        <v>0</v>
      </c>
      <c r="AQ34">
        <f>IF((AND(VLOOKUP(AQ$1,main!$A$3:$I$56,5,FALSE)-VLOOKUP($A34,main!$A$3:$I$56,6,FALSE)&gt;=(VLOOKUP(VLOOKUP(AQ$1,main!$A$3:$I$56,8,FALSE),main!$K$11:$M$14,2,FALSE)+VLOOKUP(VLOOKUP(AQ$1,main!$A$3:$I$56,7,FALSE),main!$K$19:$O$22,MATCH(VLOOKUP($A34,main!$A$3:$I$56,8,FALSE),main!$K$18:$O$18,0))))),1,0)</f>
        <v>0</v>
      </c>
      <c r="AR34">
        <f>IF((AND(VLOOKUP(AR$1,main!$A$3:$I$56,5,FALSE)-VLOOKUP($A34,main!$A$3:$I$56,6,FALSE)&gt;=(VLOOKUP(VLOOKUP(AR$1,main!$A$3:$I$56,8,FALSE),main!$K$11:$M$14,2,FALSE)+VLOOKUP(VLOOKUP(AR$1,main!$A$3:$I$56,7,FALSE),main!$K$19:$O$22,MATCH(VLOOKUP($A34,main!$A$3:$I$56,8,FALSE),main!$K$18:$O$18,0))))),1,0)</f>
        <v>0</v>
      </c>
      <c r="AS34">
        <f>IF((AND(VLOOKUP(AS$1,main!$A$3:$I$56,5,FALSE)-VLOOKUP($A34,main!$A$3:$I$56,6,FALSE)&gt;=(VLOOKUP(VLOOKUP(AS$1,main!$A$3:$I$56,8,FALSE),main!$K$11:$M$14,2,FALSE)+VLOOKUP(VLOOKUP(AS$1,main!$A$3:$I$56,7,FALSE),main!$K$19:$O$22,MATCH(VLOOKUP($A34,main!$A$3:$I$56,8,FALSE),main!$K$18:$O$18,0))))),1,0)</f>
        <v>0</v>
      </c>
      <c r="AT34">
        <f>IF((AND(VLOOKUP(AT$1,main!$A$3:$I$56,5,FALSE)-VLOOKUP($A34,main!$A$3:$I$56,6,FALSE)&gt;=(VLOOKUP(VLOOKUP(AT$1,main!$A$3:$I$56,8,FALSE),main!$K$11:$M$14,2,FALSE)+VLOOKUP(VLOOKUP(AT$1,main!$A$3:$I$56,7,FALSE),main!$K$19:$O$22,MATCH(VLOOKUP($A34,main!$A$3:$I$56,8,FALSE),main!$K$18:$O$18,0))))),1,0)</f>
        <v>0</v>
      </c>
      <c r="AU34">
        <f>IF((AND(VLOOKUP(AU$1,main!$A$3:$I$56,5,FALSE)-VLOOKUP($A34,main!$A$3:$I$56,6,FALSE)&gt;=(VLOOKUP(VLOOKUP(AU$1,main!$A$3:$I$56,8,FALSE),main!$K$11:$M$14,2,FALSE)+VLOOKUP(VLOOKUP(AU$1,main!$A$3:$I$56,7,FALSE),main!$K$19:$O$22,MATCH(VLOOKUP($A34,main!$A$3:$I$56,8,FALSE),main!$K$18:$O$18,0))))),1,0)</f>
        <v>0</v>
      </c>
      <c r="AV34">
        <f>IF((AND(VLOOKUP(AV$1,main!$A$3:$I$56,5,FALSE)-VLOOKUP($A34,main!$A$3:$I$56,6,FALSE)&gt;=(VLOOKUP(VLOOKUP(AV$1,main!$A$3:$I$56,8,FALSE),main!$K$11:$M$14,2,FALSE)+VLOOKUP(VLOOKUP(AV$1,main!$A$3:$I$56,7,FALSE),main!$K$19:$O$22,MATCH(VLOOKUP($A34,main!$A$3:$I$56,8,FALSE),main!$K$18:$O$18,0))))),1,0)</f>
        <v>0</v>
      </c>
      <c r="AW34">
        <f>IF((AND(VLOOKUP(AW$1,main!$A$3:$I$56,5,FALSE)-VLOOKUP($A34,main!$A$3:$I$56,6,FALSE)&gt;=(VLOOKUP(VLOOKUP(AW$1,main!$A$3:$I$56,8,FALSE),main!$K$11:$M$14,2,FALSE)+VLOOKUP(VLOOKUP(AW$1,main!$A$3:$I$56,7,FALSE),main!$K$19:$O$22,MATCH(VLOOKUP($A34,main!$A$3:$I$56,8,FALSE),main!$K$18:$O$18,0))))),1,0)</f>
        <v>0</v>
      </c>
      <c r="AX34">
        <f>IF((AND(VLOOKUP(AX$1,main!$A$3:$I$56,5,FALSE)-VLOOKUP($A34,main!$A$3:$I$56,6,FALSE)&gt;=(VLOOKUP(VLOOKUP(AX$1,main!$A$3:$I$56,8,FALSE),main!$K$11:$M$14,2,FALSE)+VLOOKUP(VLOOKUP(AX$1,main!$A$3:$I$56,7,FALSE),main!$K$19:$O$22,MATCH(VLOOKUP($A34,main!$A$3:$I$56,8,FALSE),main!$K$18:$O$18,0))))),1,0)</f>
        <v>1</v>
      </c>
      <c r="AY34">
        <f>IF((AND(VLOOKUP(AY$1,main!$A$3:$I$56,5,FALSE)-VLOOKUP($A34,main!$A$3:$I$56,6,FALSE)&gt;=(VLOOKUP(VLOOKUP(AY$1,main!$A$3:$I$56,8,FALSE),main!$K$11:$M$14,2,FALSE)+VLOOKUP(VLOOKUP(AY$1,main!$A$3:$I$56,7,FALSE),main!$K$19:$O$22,MATCH(VLOOKUP($A34,main!$A$3:$I$56,8,FALSE),main!$K$18:$O$18,0))))),1,0)</f>
        <v>1</v>
      </c>
      <c r="AZ34">
        <f>IF((AND(VLOOKUP(AZ$1,main!$A$3:$I$56,5,FALSE)-VLOOKUP($A34,main!$A$3:$I$56,6,FALSE)&gt;=(VLOOKUP(VLOOKUP(AZ$1,main!$A$3:$I$56,8,FALSE),main!$K$11:$M$14,2,FALSE)+VLOOKUP(VLOOKUP(AZ$1,main!$A$3:$I$56,7,FALSE),main!$K$19:$O$22,MATCH(VLOOKUP($A34,main!$A$3:$I$56,8,FALSE),main!$K$18:$O$18,0))))),1,0)</f>
        <v>0</v>
      </c>
      <c r="BA34">
        <f>IF((AND(VLOOKUP(BA$1,main!$A$3:$I$56,5,FALSE)-VLOOKUP($A34,main!$A$3:$I$56,6,FALSE)&gt;=(VLOOKUP(VLOOKUP(BA$1,main!$A$3:$I$56,8,FALSE),main!$K$11:$M$14,2,FALSE)+VLOOKUP(VLOOKUP(BA$1,main!$A$3:$I$56,7,FALSE),main!$K$19:$O$22,MATCH(VLOOKUP($A34,main!$A$3:$I$56,8,FALSE),main!$K$18:$O$18,0))))),1,0)</f>
        <v>0</v>
      </c>
      <c r="BB34">
        <f>IF((AND(VLOOKUP(BB$1,main!$A$3:$I$56,5,FALSE)-VLOOKUP($A34,main!$A$3:$I$56,6,FALSE)&gt;=(VLOOKUP(VLOOKUP(BB$1,main!$A$3:$I$56,8,FALSE),main!$K$11:$M$14,2,FALSE)+VLOOKUP(VLOOKUP(BB$1,main!$A$3:$I$56,7,FALSE),main!$K$19:$O$22,MATCH(VLOOKUP($A34,main!$A$3:$I$56,8,FALSE),main!$K$18:$O$18,0))))),1,0)</f>
        <v>0</v>
      </c>
      <c r="BC34">
        <f>IF((AND(VLOOKUP(BC$1,main!$A$3:$I$56,5,FALSE)-VLOOKUP($A34,main!$A$3:$I$56,6,FALSE)&gt;=(VLOOKUP(VLOOKUP(BC$1,main!$A$3:$I$56,8,FALSE),main!$K$11:$M$14,2,FALSE)+VLOOKUP(VLOOKUP(BC$1,main!$A$3:$I$56,7,FALSE),main!$K$19:$O$22,MATCH(VLOOKUP($A34,main!$A$3:$I$56,8,FALSE),main!$K$18:$O$18,0))))),1,0)</f>
        <v>1</v>
      </c>
      <c r="BD34">
        <f>IF((AND(VLOOKUP(BD$1,main!$A$3:$I$56,5,FALSE)-VLOOKUP($A34,main!$A$3:$I$56,6,FALSE)&gt;=(VLOOKUP(VLOOKUP(BD$1,main!$A$3:$I$56,8,FALSE),main!$K$11:$M$14,2,FALSE)+VLOOKUP(VLOOKUP(BD$1,main!$A$3:$I$56,7,FALSE),main!$K$19:$O$22,MATCH(VLOOKUP($A34,main!$A$3:$I$56,8,FALSE),main!$K$18:$O$18,0))))),1,0)</f>
        <v>1</v>
      </c>
    </row>
    <row r="35" spans="1:56" x14ac:dyDescent="0.25">
      <c r="A35">
        <f t="shared" si="0"/>
        <v>33</v>
      </c>
      <c r="B35">
        <v>1</v>
      </c>
      <c r="C35">
        <f>IF((AND(VLOOKUP(C$1,main!$A$3:$I$56,5,FALSE)-VLOOKUP($A35,main!$A$3:$I$56,6,FALSE)&gt;=(VLOOKUP(VLOOKUP(C$1,main!$A$3:$I$56,8,FALSE),main!$K$11:$M$14,2,FALSE)+VLOOKUP(VLOOKUP(C$1,main!$A$3:$I$56,7,FALSE),main!$K$19:$O$22,MATCH(VLOOKUP($A35,main!$A$3:$I$56,8,FALSE),main!$K$18:$O$18,0))))),1,0)</f>
        <v>0</v>
      </c>
      <c r="D35">
        <f>IF((AND(VLOOKUP(D$1,main!$A$3:$I$56,5,FALSE)-VLOOKUP($A35,main!$A$3:$I$56,6,FALSE)&gt;=(VLOOKUP(VLOOKUP(D$1,main!$A$3:$I$56,8,FALSE),main!$K$11:$M$14,2,FALSE)+VLOOKUP(VLOOKUP(D$1,main!$A$3:$I$56,7,FALSE),main!$K$19:$O$22,MATCH(VLOOKUP($A35,main!$A$3:$I$56,8,FALSE),main!$K$18:$O$18,0))))),1,0)</f>
        <v>0</v>
      </c>
      <c r="E35">
        <f>IF((AND(VLOOKUP(E$1,main!$A$3:$I$56,5,FALSE)-VLOOKUP($A35,main!$A$3:$I$56,6,FALSE)&gt;=(VLOOKUP(VLOOKUP(E$1,main!$A$3:$I$56,8,FALSE),main!$K$11:$M$14,2,FALSE)+VLOOKUP(VLOOKUP(E$1,main!$A$3:$I$56,7,FALSE),main!$K$19:$O$22,MATCH(VLOOKUP($A35,main!$A$3:$I$56,8,FALSE),main!$K$18:$O$18,0))))),1,0)</f>
        <v>0</v>
      </c>
      <c r="F35">
        <f>IF((AND(VLOOKUP(F$1,main!$A$3:$I$56,5,FALSE)-VLOOKUP($A35,main!$A$3:$I$56,6,FALSE)&gt;=(VLOOKUP(VLOOKUP(F$1,main!$A$3:$I$56,8,FALSE),main!$K$11:$M$14,2,FALSE)+VLOOKUP(VLOOKUP(F$1,main!$A$3:$I$56,7,FALSE),main!$K$19:$O$22,MATCH(VLOOKUP($A35,main!$A$3:$I$56,8,FALSE),main!$K$18:$O$18,0))))),1,0)</f>
        <v>0</v>
      </c>
      <c r="G35">
        <f>IF((AND(VLOOKUP(G$1,main!$A$3:$I$56,5,FALSE)-VLOOKUP($A35,main!$A$3:$I$56,6,FALSE)&gt;=(VLOOKUP(VLOOKUP(G$1,main!$A$3:$I$56,8,FALSE),main!$K$11:$M$14,2,FALSE)+VLOOKUP(VLOOKUP(G$1,main!$A$3:$I$56,7,FALSE),main!$K$19:$O$22,MATCH(VLOOKUP($A35,main!$A$3:$I$56,8,FALSE),main!$K$18:$O$18,0))))),1,0)</f>
        <v>0</v>
      </c>
      <c r="H35">
        <f>IF((AND(VLOOKUP(H$1,main!$A$3:$I$56,5,FALSE)-VLOOKUP($A35,main!$A$3:$I$56,6,FALSE)&gt;=(VLOOKUP(VLOOKUP(H$1,main!$A$3:$I$56,8,FALSE),main!$K$11:$M$14,2,FALSE)+VLOOKUP(VLOOKUP(H$1,main!$A$3:$I$56,7,FALSE),main!$K$19:$O$22,MATCH(VLOOKUP($A35,main!$A$3:$I$56,8,FALSE),main!$K$18:$O$18,0))))),1,0)</f>
        <v>1</v>
      </c>
      <c r="I35">
        <f>IF((AND(VLOOKUP(I$1,main!$A$3:$I$56,5,FALSE)-VLOOKUP($A35,main!$A$3:$I$56,6,FALSE)&gt;=(VLOOKUP(VLOOKUP(I$1,main!$A$3:$I$56,8,FALSE),main!$K$11:$M$14,2,FALSE)+VLOOKUP(VLOOKUP(I$1,main!$A$3:$I$56,7,FALSE),main!$K$19:$O$22,MATCH(VLOOKUP($A35,main!$A$3:$I$56,8,FALSE),main!$K$18:$O$18,0))))),1,0)</f>
        <v>1</v>
      </c>
      <c r="J35">
        <f>IF((AND(VLOOKUP(J$1,main!$A$3:$I$56,5,FALSE)-VLOOKUP($A35,main!$A$3:$I$56,6,FALSE)&gt;=(VLOOKUP(VLOOKUP(J$1,main!$A$3:$I$56,8,FALSE),main!$K$11:$M$14,2,FALSE)+VLOOKUP(VLOOKUP(J$1,main!$A$3:$I$56,7,FALSE),main!$K$19:$O$22,MATCH(VLOOKUP($A35,main!$A$3:$I$56,8,FALSE),main!$K$18:$O$18,0))))),1,0)</f>
        <v>1</v>
      </c>
      <c r="K35">
        <f>IF((AND(VLOOKUP(K$1,main!$A$3:$I$56,5,FALSE)-VLOOKUP($A35,main!$A$3:$I$56,6,FALSE)&gt;=(VLOOKUP(VLOOKUP(K$1,main!$A$3:$I$56,8,FALSE),main!$K$11:$M$14,2,FALSE)+VLOOKUP(VLOOKUP(K$1,main!$A$3:$I$56,7,FALSE),main!$K$19:$O$22,MATCH(VLOOKUP($A35,main!$A$3:$I$56,8,FALSE),main!$K$18:$O$18,0))))),1,0)</f>
        <v>0</v>
      </c>
      <c r="L35">
        <f>IF((AND(VLOOKUP(L$1,main!$A$3:$I$56,5,FALSE)-VLOOKUP($A35,main!$A$3:$I$56,6,FALSE)&gt;=(VLOOKUP(VLOOKUP(L$1,main!$A$3:$I$56,8,FALSE),main!$K$11:$M$14,2,FALSE)+VLOOKUP(VLOOKUP(L$1,main!$A$3:$I$56,7,FALSE),main!$K$19:$O$22,MATCH(VLOOKUP($A35,main!$A$3:$I$56,8,FALSE),main!$K$18:$O$18,0))))),1,0)</f>
        <v>0</v>
      </c>
      <c r="M35">
        <f>IF((AND(VLOOKUP(M$1,main!$A$3:$I$56,5,FALSE)-VLOOKUP($A35,main!$A$3:$I$56,6,FALSE)&gt;=(VLOOKUP(VLOOKUP(M$1,main!$A$3:$I$56,8,FALSE),main!$K$11:$M$14,2,FALSE)+VLOOKUP(VLOOKUP(M$1,main!$A$3:$I$56,7,FALSE),main!$K$19:$O$22,MATCH(VLOOKUP($A35,main!$A$3:$I$56,8,FALSE),main!$K$18:$O$18,0))))),1,0)</f>
        <v>0</v>
      </c>
      <c r="N35">
        <f>IF((AND(VLOOKUP(N$1,main!$A$3:$I$56,5,FALSE)-VLOOKUP($A35,main!$A$3:$I$56,6,FALSE)&gt;=(VLOOKUP(VLOOKUP(N$1,main!$A$3:$I$56,8,FALSE),main!$K$11:$M$14,2,FALSE)+VLOOKUP(VLOOKUP(N$1,main!$A$3:$I$56,7,FALSE),main!$K$19:$O$22,MATCH(VLOOKUP($A35,main!$A$3:$I$56,8,FALSE),main!$K$18:$O$18,0))))),1,0)</f>
        <v>1</v>
      </c>
      <c r="O35">
        <f>IF((AND(VLOOKUP(O$1,main!$A$3:$I$56,5,FALSE)-VLOOKUP($A35,main!$A$3:$I$56,6,FALSE)&gt;=(VLOOKUP(VLOOKUP(O$1,main!$A$3:$I$56,8,FALSE),main!$K$11:$M$14,2,FALSE)+VLOOKUP(VLOOKUP(O$1,main!$A$3:$I$56,7,FALSE),main!$K$19:$O$22,MATCH(VLOOKUP($A35,main!$A$3:$I$56,8,FALSE),main!$K$18:$O$18,0))))),1,0)</f>
        <v>1</v>
      </c>
      <c r="P35">
        <f>IF((AND(VLOOKUP(P$1,main!$A$3:$I$56,5,FALSE)-VLOOKUP($A35,main!$A$3:$I$56,6,FALSE)&gt;=(VLOOKUP(VLOOKUP(P$1,main!$A$3:$I$56,8,FALSE),main!$K$11:$M$14,2,FALSE)+VLOOKUP(VLOOKUP(P$1,main!$A$3:$I$56,7,FALSE),main!$K$19:$O$22,MATCH(VLOOKUP($A35,main!$A$3:$I$56,8,FALSE),main!$K$18:$O$18,0))))),1,0)</f>
        <v>0</v>
      </c>
      <c r="Q35">
        <f>IF((AND(VLOOKUP(Q$1,main!$A$3:$I$56,5,FALSE)-VLOOKUP($A35,main!$A$3:$I$56,6,FALSE)&gt;=(VLOOKUP(VLOOKUP(Q$1,main!$A$3:$I$56,8,FALSE),main!$K$11:$M$14,2,FALSE)+VLOOKUP(VLOOKUP(Q$1,main!$A$3:$I$56,7,FALSE),main!$K$19:$O$22,MATCH(VLOOKUP($A35,main!$A$3:$I$56,8,FALSE),main!$K$18:$O$18,0))))),1,0)</f>
        <v>0</v>
      </c>
      <c r="R35">
        <f>IF((AND(VLOOKUP(R$1,main!$A$3:$I$56,5,FALSE)-VLOOKUP($A35,main!$A$3:$I$56,6,FALSE)&gt;=(VLOOKUP(VLOOKUP(R$1,main!$A$3:$I$56,8,FALSE),main!$K$11:$M$14,2,FALSE)+VLOOKUP(VLOOKUP(R$1,main!$A$3:$I$56,7,FALSE),main!$K$19:$O$22,MATCH(VLOOKUP($A35,main!$A$3:$I$56,8,FALSE),main!$K$18:$O$18,0))))),1,0)</f>
        <v>0</v>
      </c>
      <c r="S35">
        <f>IF((AND(VLOOKUP(S$1,main!$A$3:$I$56,5,FALSE)-VLOOKUP($A35,main!$A$3:$I$56,6,FALSE)&gt;=(VLOOKUP(VLOOKUP(S$1,main!$A$3:$I$56,8,FALSE),main!$K$11:$M$14,2,FALSE)+VLOOKUP(VLOOKUP(S$1,main!$A$3:$I$56,7,FALSE),main!$K$19:$O$22,MATCH(VLOOKUP($A35,main!$A$3:$I$56,8,FALSE),main!$K$18:$O$18,0))))),1,0)</f>
        <v>0</v>
      </c>
      <c r="T35">
        <f>IF((AND(VLOOKUP(T$1,main!$A$3:$I$56,5,FALSE)-VLOOKUP($A35,main!$A$3:$I$56,6,FALSE)&gt;=(VLOOKUP(VLOOKUP(T$1,main!$A$3:$I$56,8,FALSE),main!$K$11:$M$14,2,FALSE)+VLOOKUP(VLOOKUP(T$1,main!$A$3:$I$56,7,FALSE),main!$K$19:$O$22,MATCH(VLOOKUP($A35,main!$A$3:$I$56,8,FALSE),main!$K$18:$O$18,0))))),1,0)</f>
        <v>1</v>
      </c>
      <c r="U35">
        <f>IF((AND(VLOOKUP(U$1,main!$A$3:$I$56,5,FALSE)-VLOOKUP($A35,main!$A$3:$I$56,6,FALSE)&gt;=(VLOOKUP(VLOOKUP(U$1,main!$A$3:$I$56,8,FALSE),main!$K$11:$M$14,2,FALSE)+VLOOKUP(VLOOKUP(U$1,main!$A$3:$I$56,7,FALSE),main!$K$19:$O$22,MATCH(VLOOKUP($A35,main!$A$3:$I$56,8,FALSE),main!$K$18:$O$18,0))))),1,0)</f>
        <v>0</v>
      </c>
      <c r="V35">
        <f>IF((AND(VLOOKUP(V$1,main!$A$3:$I$56,5,FALSE)-VLOOKUP($A35,main!$A$3:$I$56,6,FALSE)&gt;=(VLOOKUP(VLOOKUP(V$1,main!$A$3:$I$56,8,FALSE),main!$K$11:$M$14,2,FALSE)+VLOOKUP(VLOOKUP(V$1,main!$A$3:$I$56,7,FALSE),main!$K$19:$O$22,MATCH(VLOOKUP($A35,main!$A$3:$I$56,8,FALSE),main!$K$18:$O$18,0))))),1,0)</f>
        <v>0</v>
      </c>
      <c r="W35">
        <f>IF((AND(VLOOKUP(W$1,main!$A$3:$I$56,5,FALSE)-VLOOKUP($A35,main!$A$3:$I$56,6,FALSE)&gt;=(VLOOKUP(VLOOKUP(W$1,main!$A$3:$I$56,8,FALSE),main!$K$11:$M$14,2,FALSE)+VLOOKUP(VLOOKUP(W$1,main!$A$3:$I$56,7,FALSE),main!$K$19:$O$22,MATCH(VLOOKUP($A35,main!$A$3:$I$56,8,FALSE),main!$K$18:$O$18,0))))),1,0)</f>
        <v>0</v>
      </c>
      <c r="X35">
        <f>IF((AND(VLOOKUP(X$1,main!$A$3:$I$56,5,FALSE)-VLOOKUP($A35,main!$A$3:$I$56,6,FALSE)&gt;=(VLOOKUP(VLOOKUP(X$1,main!$A$3:$I$56,8,FALSE),main!$K$11:$M$14,2,FALSE)+VLOOKUP(VLOOKUP(X$1,main!$A$3:$I$56,7,FALSE),main!$K$19:$O$22,MATCH(VLOOKUP($A35,main!$A$3:$I$56,8,FALSE),main!$K$18:$O$18,0))))),1,0)</f>
        <v>0</v>
      </c>
      <c r="Y35">
        <f>IF((AND(VLOOKUP(Y$1,main!$A$3:$I$56,5,FALSE)-VLOOKUP($A35,main!$A$3:$I$56,6,FALSE)&gt;=(VLOOKUP(VLOOKUP(Y$1,main!$A$3:$I$56,8,FALSE),main!$K$11:$M$14,2,FALSE)+VLOOKUP(VLOOKUP(Y$1,main!$A$3:$I$56,7,FALSE),main!$K$19:$O$22,MATCH(VLOOKUP($A35,main!$A$3:$I$56,8,FALSE),main!$K$18:$O$18,0))))),1,0)</f>
        <v>0</v>
      </c>
      <c r="Z35">
        <f>IF((AND(VLOOKUP(Z$1,main!$A$3:$I$56,5,FALSE)-VLOOKUP($A35,main!$A$3:$I$56,6,FALSE)&gt;=(VLOOKUP(VLOOKUP(Z$1,main!$A$3:$I$56,8,FALSE),main!$K$11:$M$14,2,FALSE)+VLOOKUP(VLOOKUP(Z$1,main!$A$3:$I$56,7,FALSE),main!$K$19:$O$22,MATCH(VLOOKUP($A35,main!$A$3:$I$56,8,FALSE),main!$K$18:$O$18,0))))),1,0)</f>
        <v>0</v>
      </c>
      <c r="AA35">
        <f>IF((AND(VLOOKUP(AA$1,main!$A$3:$I$56,5,FALSE)-VLOOKUP($A35,main!$A$3:$I$56,6,FALSE)&gt;=(VLOOKUP(VLOOKUP(AA$1,main!$A$3:$I$56,8,FALSE),main!$K$11:$M$14,2,FALSE)+VLOOKUP(VLOOKUP(AA$1,main!$A$3:$I$56,7,FALSE),main!$K$19:$O$22,MATCH(VLOOKUP($A35,main!$A$3:$I$56,8,FALSE),main!$K$18:$O$18,0))))),1,0)</f>
        <v>1</v>
      </c>
      <c r="AB35">
        <f>IF((AND(VLOOKUP(AB$1,main!$A$3:$I$56,5,FALSE)-VLOOKUP($A35,main!$A$3:$I$56,6,FALSE)&gt;=(VLOOKUP(VLOOKUP(AB$1,main!$A$3:$I$56,8,FALSE),main!$K$11:$M$14,2,FALSE)+VLOOKUP(VLOOKUP(AB$1,main!$A$3:$I$56,7,FALSE),main!$K$19:$O$22,MATCH(VLOOKUP($A35,main!$A$3:$I$56,8,FALSE),main!$K$18:$O$18,0))))),1,0)</f>
        <v>1</v>
      </c>
      <c r="AC35">
        <f>IF((AND(VLOOKUP(AC$1,main!$A$3:$I$56,5,FALSE)-VLOOKUP($A35,main!$A$3:$I$56,6,FALSE)&gt;=(VLOOKUP(VLOOKUP(AC$1,main!$A$3:$I$56,8,FALSE),main!$K$11:$M$14,2,FALSE)+VLOOKUP(VLOOKUP(AC$1,main!$A$3:$I$56,7,FALSE),main!$K$19:$O$22,MATCH(VLOOKUP($A35,main!$A$3:$I$56,8,FALSE),main!$K$18:$O$18,0))))),1,0)</f>
        <v>0</v>
      </c>
      <c r="AD35">
        <f>IF((AND(VLOOKUP(AD$1,main!$A$3:$I$56,5,FALSE)-VLOOKUP($A35,main!$A$3:$I$56,6,FALSE)&gt;=(VLOOKUP(VLOOKUP(AD$1,main!$A$3:$I$56,8,FALSE),main!$K$11:$M$14,2,FALSE)+VLOOKUP(VLOOKUP(AD$1,main!$A$3:$I$56,7,FALSE),main!$K$19:$O$22,MATCH(VLOOKUP($A35,main!$A$3:$I$56,8,FALSE),main!$K$18:$O$18,0))))),1,0)</f>
        <v>0</v>
      </c>
      <c r="AE35">
        <f>IF((AND(VLOOKUP(AE$1,main!$A$3:$I$56,5,FALSE)-VLOOKUP($A35,main!$A$3:$I$56,6,FALSE)&gt;=(VLOOKUP(VLOOKUP(AE$1,main!$A$3:$I$56,8,FALSE),main!$K$11:$M$14,2,FALSE)+VLOOKUP(VLOOKUP(AE$1,main!$A$3:$I$56,7,FALSE),main!$K$19:$O$22,MATCH(VLOOKUP($A35,main!$A$3:$I$56,8,FALSE),main!$K$18:$O$18,0))))),1,0)</f>
        <v>0</v>
      </c>
      <c r="AF35">
        <f>IF((AND(VLOOKUP(AF$1,main!$A$3:$I$56,5,FALSE)-VLOOKUP($A35,main!$A$3:$I$56,6,FALSE)&gt;=(VLOOKUP(VLOOKUP(AF$1,main!$A$3:$I$56,8,FALSE),main!$K$11:$M$14,2,FALSE)+VLOOKUP(VLOOKUP(AF$1,main!$A$3:$I$56,7,FALSE),main!$K$19:$O$22,MATCH(VLOOKUP($A35,main!$A$3:$I$56,8,FALSE),main!$K$18:$O$18,0))))),1,0)</f>
        <v>0</v>
      </c>
      <c r="AG35">
        <f>IF((AND(VLOOKUP(AG$1,main!$A$3:$I$56,5,FALSE)-VLOOKUP($A35,main!$A$3:$I$56,6,FALSE)&gt;=(VLOOKUP(VLOOKUP(AG$1,main!$A$3:$I$56,8,FALSE),main!$K$11:$M$14,2,FALSE)+VLOOKUP(VLOOKUP(AG$1,main!$A$3:$I$56,7,FALSE),main!$K$19:$O$22,MATCH(VLOOKUP($A35,main!$A$3:$I$56,8,FALSE),main!$K$18:$O$18,0))))),1,0)</f>
        <v>0</v>
      </c>
      <c r="AH35">
        <f>IF((AND(VLOOKUP(AH$1,main!$A$3:$I$56,5,FALSE)-VLOOKUP($A35,main!$A$3:$I$56,6,FALSE)&gt;=(VLOOKUP(VLOOKUP(AH$1,main!$A$3:$I$56,8,FALSE),main!$K$11:$M$14,2,FALSE)+VLOOKUP(VLOOKUP(AH$1,main!$A$3:$I$56,7,FALSE),main!$K$19:$O$22,MATCH(VLOOKUP($A35,main!$A$3:$I$56,8,FALSE),main!$K$18:$O$18,0))))),1,0)</f>
        <v>0</v>
      </c>
      <c r="AI35">
        <f>IF((AND(VLOOKUP(AI$1,main!$A$3:$I$56,5,FALSE)-VLOOKUP($A35,main!$A$3:$I$56,6,FALSE)&gt;=(VLOOKUP(VLOOKUP(AI$1,main!$A$3:$I$56,8,FALSE),main!$K$11:$M$14,2,FALSE)+VLOOKUP(VLOOKUP(AI$1,main!$A$3:$I$56,7,FALSE),main!$K$19:$O$22,MATCH(VLOOKUP($A35,main!$A$3:$I$56,8,FALSE),main!$K$18:$O$18,0))))),1,0)</f>
        <v>0</v>
      </c>
      <c r="AJ35">
        <f>IF((AND(VLOOKUP(AJ$1,main!$A$3:$I$56,5,FALSE)-VLOOKUP($A35,main!$A$3:$I$56,6,FALSE)&gt;=(VLOOKUP(VLOOKUP(AJ$1,main!$A$3:$I$56,8,FALSE),main!$K$11:$M$14,2,FALSE)+VLOOKUP(VLOOKUP(AJ$1,main!$A$3:$I$56,7,FALSE),main!$K$19:$O$22,MATCH(VLOOKUP($A35,main!$A$3:$I$56,8,FALSE),main!$K$18:$O$18,0))))),1,0)</f>
        <v>0</v>
      </c>
      <c r="AK35">
        <f>IF((AND(VLOOKUP(AK$1,main!$A$3:$I$56,5,FALSE)-VLOOKUP($A35,main!$A$3:$I$56,6,FALSE)&gt;=(VLOOKUP(VLOOKUP(AK$1,main!$A$3:$I$56,8,FALSE),main!$K$11:$M$14,2,FALSE)+VLOOKUP(VLOOKUP(AK$1,main!$A$3:$I$56,7,FALSE),main!$K$19:$O$22,MATCH(VLOOKUP($A35,main!$A$3:$I$56,8,FALSE),main!$K$18:$O$18,0))))),1,0)</f>
        <v>0</v>
      </c>
      <c r="AL35">
        <f>IF((AND(VLOOKUP(AL$1,main!$A$3:$I$56,5,FALSE)-VLOOKUP($A35,main!$A$3:$I$56,6,FALSE)&gt;=(VLOOKUP(VLOOKUP(AL$1,main!$A$3:$I$56,8,FALSE),main!$K$11:$M$14,2,FALSE)+VLOOKUP(VLOOKUP(AL$1,main!$A$3:$I$56,7,FALSE),main!$K$19:$O$22,MATCH(VLOOKUP($A35,main!$A$3:$I$56,8,FALSE),main!$K$18:$O$18,0))))),1,0)</f>
        <v>0</v>
      </c>
      <c r="AM35">
        <f>IF((AND(VLOOKUP(AM$1,main!$A$3:$I$56,5,FALSE)-VLOOKUP($A35,main!$A$3:$I$56,6,FALSE)&gt;=(VLOOKUP(VLOOKUP(AM$1,main!$A$3:$I$56,8,FALSE),main!$K$11:$M$14,2,FALSE)+VLOOKUP(VLOOKUP(AM$1,main!$A$3:$I$56,7,FALSE),main!$K$19:$O$22,MATCH(VLOOKUP($A35,main!$A$3:$I$56,8,FALSE),main!$K$18:$O$18,0))))),1,0)</f>
        <v>0</v>
      </c>
      <c r="AN35">
        <f>IF((AND(VLOOKUP(AN$1,main!$A$3:$I$56,5,FALSE)-VLOOKUP($A35,main!$A$3:$I$56,6,FALSE)&gt;=(VLOOKUP(VLOOKUP(AN$1,main!$A$3:$I$56,8,FALSE),main!$K$11:$M$14,2,FALSE)+VLOOKUP(VLOOKUP(AN$1,main!$A$3:$I$56,7,FALSE),main!$K$19:$O$22,MATCH(VLOOKUP($A35,main!$A$3:$I$56,8,FALSE),main!$K$18:$O$18,0))))),1,0)</f>
        <v>0</v>
      </c>
      <c r="AO35">
        <f>IF((AND(VLOOKUP(AO$1,main!$A$3:$I$56,5,FALSE)-VLOOKUP($A35,main!$A$3:$I$56,6,FALSE)&gt;=(VLOOKUP(VLOOKUP(AO$1,main!$A$3:$I$56,8,FALSE),main!$K$11:$M$14,2,FALSE)+VLOOKUP(VLOOKUP(AO$1,main!$A$3:$I$56,7,FALSE),main!$K$19:$O$22,MATCH(VLOOKUP($A35,main!$A$3:$I$56,8,FALSE),main!$K$18:$O$18,0))))),1,0)</f>
        <v>0</v>
      </c>
      <c r="AP35">
        <f>IF((AND(VLOOKUP(AP$1,main!$A$3:$I$56,5,FALSE)-VLOOKUP($A35,main!$A$3:$I$56,6,FALSE)&gt;=(VLOOKUP(VLOOKUP(AP$1,main!$A$3:$I$56,8,FALSE),main!$K$11:$M$14,2,FALSE)+VLOOKUP(VLOOKUP(AP$1,main!$A$3:$I$56,7,FALSE),main!$K$19:$O$22,MATCH(VLOOKUP($A35,main!$A$3:$I$56,8,FALSE),main!$K$18:$O$18,0))))),1,0)</f>
        <v>0</v>
      </c>
      <c r="AQ35">
        <f>IF((AND(VLOOKUP(AQ$1,main!$A$3:$I$56,5,FALSE)-VLOOKUP($A35,main!$A$3:$I$56,6,FALSE)&gt;=(VLOOKUP(VLOOKUP(AQ$1,main!$A$3:$I$56,8,FALSE),main!$K$11:$M$14,2,FALSE)+VLOOKUP(VLOOKUP(AQ$1,main!$A$3:$I$56,7,FALSE),main!$K$19:$O$22,MATCH(VLOOKUP($A35,main!$A$3:$I$56,8,FALSE),main!$K$18:$O$18,0))))),1,0)</f>
        <v>0</v>
      </c>
      <c r="AR35">
        <f>IF((AND(VLOOKUP(AR$1,main!$A$3:$I$56,5,FALSE)-VLOOKUP($A35,main!$A$3:$I$56,6,FALSE)&gt;=(VLOOKUP(VLOOKUP(AR$1,main!$A$3:$I$56,8,FALSE),main!$K$11:$M$14,2,FALSE)+VLOOKUP(VLOOKUP(AR$1,main!$A$3:$I$56,7,FALSE),main!$K$19:$O$22,MATCH(VLOOKUP($A35,main!$A$3:$I$56,8,FALSE),main!$K$18:$O$18,0))))),1,0)</f>
        <v>0</v>
      </c>
      <c r="AS35">
        <f>IF((AND(VLOOKUP(AS$1,main!$A$3:$I$56,5,FALSE)-VLOOKUP($A35,main!$A$3:$I$56,6,FALSE)&gt;=(VLOOKUP(VLOOKUP(AS$1,main!$A$3:$I$56,8,FALSE),main!$K$11:$M$14,2,FALSE)+VLOOKUP(VLOOKUP(AS$1,main!$A$3:$I$56,7,FALSE),main!$K$19:$O$22,MATCH(VLOOKUP($A35,main!$A$3:$I$56,8,FALSE),main!$K$18:$O$18,0))))),1,0)</f>
        <v>0</v>
      </c>
      <c r="AT35">
        <f>IF((AND(VLOOKUP(AT$1,main!$A$3:$I$56,5,FALSE)-VLOOKUP($A35,main!$A$3:$I$56,6,FALSE)&gt;=(VLOOKUP(VLOOKUP(AT$1,main!$A$3:$I$56,8,FALSE),main!$K$11:$M$14,2,FALSE)+VLOOKUP(VLOOKUP(AT$1,main!$A$3:$I$56,7,FALSE),main!$K$19:$O$22,MATCH(VLOOKUP($A35,main!$A$3:$I$56,8,FALSE),main!$K$18:$O$18,0))))),1,0)</f>
        <v>0</v>
      </c>
      <c r="AU35">
        <f>IF((AND(VLOOKUP(AU$1,main!$A$3:$I$56,5,FALSE)-VLOOKUP($A35,main!$A$3:$I$56,6,FALSE)&gt;=(VLOOKUP(VLOOKUP(AU$1,main!$A$3:$I$56,8,FALSE),main!$K$11:$M$14,2,FALSE)+VLOOKUP(VLOOKUP(AU$1,main!$A$3:$I$56,7,FALSE),main!$K$19:$O$22,MATCH(VLOOKUP($A35,main!$A$3:$I$56,8,FALSE),main!$K$18:$O$18,0))))),1,0)</f>
        <v>0</v>
      </c>
      <c r="AV35">
        <f>IF((AND(VLOOKUP(AV$1,main!$A$3:$I$56,5,FALSE)-VLOOKUP($A35,main!$A$3:$I$56,6,FALSE)&gt;=(VLOOKUP(VLOOKUP(AV$1,main!$A$3:$I$56,8,FALSE),main!$K$11:$M$14,2,FALSE)+VLOOKUP(VLOOKUP(AV$1,main!$A$3:$I$56,7,FALSE),main!$K$19:$O$22,MATCH(VLOOKUP($A35,main!$A$3:$I$56,8,FALSE),main!$K$18:$O$18,0))))),1,0)</f>
        <v>0</v>
      </c>
      <c r="AW35">
        <f>IF((AND(VLOOKUP(AW$1,main!$A$3:$I$56,5,FALSE)-VLOOKUP($A35,main!$A$3:$I$56,6,FALSE)&gt;=(VLOOKUP(VLOOKUP(AW$1,main!$A$3:$I$56,8,FALSE),main!$K$11:$M$14,2,FALSE)+VLOOKUP(VLOOKUP(AW$1,main!$A$3:$I$56,7,FALSE),main!$K$19:$O$22,MATCH(VLOOKUP($A35,main!$A$3:$I$56,8,FALSE),main!$K$18:$O$18,0))))),1,0)</f>
        <v>0</v>
      </c>
      <c r="AX35">
        <f>IF((AND(VLOOKUP(AX$1,main!$A$3:$I$56,5,FALSE)-VLOOKUP($A35,main!$A$3:$I$56,6,FALSE)&gt;=(VLOOKUP(VLOOKUP(AX$1,main!$A$3:$I$56,8,FALSE),main!$K$11:$M$14,2,FALSE)+VLOOKUP(VLOOKUP(AX$1,main!$A$3:$I$56,7,FALSE),main!$K$19:$O$22,MATCH(VLOOKUP($A35,main!$A$3:$I$56,8,FALSE),main!$K$18:$O$18,0))))),1,0)</f>
        <v>0</v>
      </c>
      <c r="AY35">
        <f>IF((AND(VLOOKUP(AY$1,main!$A$3:$I$56,5,FALSE)-VLOOKUP($A35,main!$A$3:$I$56,6,FALSE)&gt;=(VLOOKUP(VLOOKUP(AY$1,main!$A$3:$I$56,8,FALSE),main!$K$11:$M$14,2,FALSE)+VLOOKUP(VLOOKUP(AY$1,main!$A$3:$I$56,7,FALSE),main!$K$19:$O$22,MATCH(VLOOKUP($A35,main!$A$3:$I$56,8,FALSE),main!$K$18:$O$18,0))))),1,0)</f>
        <v>1</v>
      </c>
      <c r="AZ35">
        <f>IF((AND(VLOOKUP(AZ$1,main!$A$3:$I$56,5,FALSE)-VLOOKUP($A35,main!$A$3:$I$56,6,FALSE)&gt;=(VLOOKUP(VLOOKUP(AZ$1,main!$A$3:$I$56,8,FALSE),main!$K$11:$M$14,2,FALSE)+VLOOKUP(VLOOKUP(AZ$1,main!$A$3:$I$56,7,FALSE),main!$K$19:$O$22,MATCH(VLOOKUP($A35,main!$A$3:$I$56,8,FALSE),main!$K$18:$O$18,0))))),1,0)</f>
        <v>0</v>
      </c>
      <c r="BA35">
        <f>IF((AND(VLOOKUP(BA$1,main!$A$3:$I$56,5,FALSE)-VLOOKUP($A35,main!$A$3:$I$56,6,FALSE)&gt;=(VLOOKUP(VLOOKUP(BA$1,main!$A$3:$I$56,8,FALSE),main!$K$11:$M$14,2,FALSE)+VLOOKUP(VLOOKUP(BA$1,main!$A$3:$I$56,7,FALSE),main!$K$19:$O$22,MATCH(VLOOKUP($A35,main!$A$3:$I$56,8,FALSE),main!$K$18:$O$18,0))))),1,0)</f>
        <v>0</v>
      </c>
      <c r="BB35">
        <f>IF((AND(VLOOKUP(BB$1,main!$A$3:$I$56,5,FALSE)-VLOOKUP($A35,main!$A$3:$I$56,6,FALSE)&gt;=(VLOOKUP(VLOOKUP(BB$1,main!$A$3:$I$56,8,FALSE),main!$K$11:$M$14,2,FALSE)+VLOOKUP(VLOOKUP(BB$1,main!$A$3:$I$56,7,FALSE),main!$K$19:$O$22,MATCH(VLOOKUP($A35,main!$A$3:$I$56,8,FALSE),main!$K$18:$O$18,0))))),1,0)</f>
        <v>0</v>
      </c>
      <c r="BC35">
        <f>IF((AND(VLOOKUP(BC$1,main!$A$3:$I$56,5,FALSE)-VLOOKUP($A35,main!$A$3:$I$56,6,FALSE)&gt;=(VLOOKUP(VLOOKUP(BC$1,main!$A$3:$I$56,8,FALSE),main!$K$11:$M$14,2,FALSE)+VLOOKUP(VLOOKUP(BC$1,main!$A$3:$I$56,7,FALSE),main!$K$19:$O$22,MATCH(VLOOKUP($A35,main!$A$3:$I$56,8,FALSE),main!$K$18:$O$18,0))))),1,0)</f>
        <v>0</v>
      </c>
      <c r="BD35">
        <f>IF((AND(VLOOKUP(BD$1,main!$A$3:$I$56,5,FALSE)-VLOOKUP($A35,main!$A$3:$I$56,6,FALSE)&gt;=(VLOOKUP(VLOOKUP(BD$1,main!$A$3:$I$56,8,FALSE),main!$K$11:$M$14,2,FALSE)+VLOOKUP(VLOOKUP(BD$1,main!$A$3:$I$56,7,FALSE),main!$K$19:$O$22,MATCH(VLOOKUP($A35,main!$A$3:$I$56,8,FALSE),main!$K$18:$O$18,0))))),1,0)</f>
        <v>0</v>
      </c>
    </row>
    <row r="36" spans="1:56" x14ac:dyDescent="0.25">
      <c r="A36">
        <f t="shared" si="0"/>
        <v>34</v>
      </c>
      <c r="B36">
        <v>1</v>
      </c>
      <c r="C36">
        <f>IF((AND(VLOOKUP(C$1,main!$A$3:$I$56,5,FALSE)-VLOOKUP($A36,main!$A$3:$I$56,6,FALSE)&gt;=(VLOOKUP(VLOOKUP(C$1,main!$A$3:$I$56,8,FALSE),main!$K$11:$M$14,2,FALSE)+VLOOKUP(VLOOKUP(C$1,main!$A$3:$I$56,7,FALSE),main!$K$19:$O$22,MATCH(VLOOKUP($A36,main!$A$3:$I$56,8,FALSE),main!$K$18:$O$18,0))))),1,0)</f>
        <v>0</v>
      </c>
      <c r="D36">
        <f>IF((AND(VLOOKUP(D$1,main!$A$3:$I$56,5,FALSE)-VLOOKUP($A36,main!$A$3:$I$56,6,FALSE)&gt;=(VLOOKUP(VLOOKUP(D$1,main!$A$3:$I$56,8,FALSE),main!$K$11:$M$14,2,FALSE)+VLOOKUP(VLOOKUP(D$1,main!$A$3:$I$56,7,FALSE),main!$K$19:$O$22,MATCH(VLOOKUP($A36,main!$A$3:$I$56,8,FALSE),main!$K$18:$O$18,0))))),1,0)</f>
        <v>0</v>
      </c>
      <c r="E36">
        <f>IF((AND(VLOOKUP(E$1,main!$A$3:$I$56,5,FALSE)-VLOOKUP($A36,main!$A$3:$I$56,6,FALSE)&gt;=(VLOOKUP(VLOOKUP(E$1,main!$A$3:$I$56,8,FALSE),main!$K$11:$M$14,2,FALSE)+VLOOKUP(VLOOKUP(E$1,main!$A$3:$I$56,7,FALSE),main!$K$19:$O$22,MATCH(VLOOKUP($A36,main!$A$3:$I$56,8,FALSE),main!$K$18:$O$18,0))))),1,0)</f>
        <v>0</v>
      </c>
      <c r="F36">
        <f>IF((AND(VLOOKUP(F$1,main!$A$3:$I$56,5,FALSE)-VLOOKUP($A36,main!$A$3:$I$56,6,FALSE)&gt;=(VLOOKUP(VLOOKUP(F$1,main!$A$3:$I$56,8,FALSE),main!$K$11:$M$14,2,FALSE)+VLOOKUP(VLOOKUP(F$1,main!$A$3:$I$56,7,FALSE),main!$K$19:$O$22,MATCH(VLOOKUP($A36,main!$A$3:$I$56,8,FALSE),main!$K$18:$O$18,0))))),1,0)</f>
        <v>0</v>
      </c>
      <c r="G36">
        <f>IF((AND(VLOOKUP(G$1,main!$A$3:$I$56,5,FALSE)-VLOOKUP($A36,main!$A$3:$I$56,6,FALSE)&gt;=(VLOOKUP(VLOOKUP(G$1,main!$A$3:$I$56,8,FALSE),main!$K$11:$M$14,2,FALSE)+VLOOKUP(VLOOKUP(G$1,main!$A$3:$I$56,7,FALSE),main!$K$19:$O$22,MATCH(VLOOKUP($A36,main!$A$3:$I$56,8,FALSE),main!$K$18:$O$18,0))))),1,0)</f>
        <v>0</v>
      </c>
      <c r="H36">
        <f>IF((AND(VLOOKUP(H$1,main!$A$3:$I$56,5,FALSE)-VLOOKUP($A36,main!$A$3:$I$56,6,FALSE)&gt;=(VLOOKUP(VLOOKUP(H$1,main!$A$3:$I$56,8,FALSE),main!$K$11:$M$14,2,FALSE)+VLOOKUP(VLOOKUP(H$1,main!$A$3:$I$56,7,FALSE),main!$K$19:$O$22,MATCH(VLOOKUP($A36,main!$A$3:$I$56,8,FALSE),main!$K$18:$O$18,0))))),1,0)</f>
        <v>0</v>
      </c>
      <c r="I36">
        <f>IF((AND(VLOOKUP(I$1,main!$A$3:$I$56,5,FALSE)-VLOOKUP($A36,main!$A$3:$I$56,6,FALSE)&gt;=(VLOOKUP(VLOOKUP(I$1,main!$A$3:$I$56,8,FALSE),main!$K$11:$M$14,2,FALSE)+VLOOKUP(VLOOKUP(I$1,main!$A$3:$I$56,7,FALSE),main!$K$19:$O$22,MATCH(VLOOKUP($A36,main!$A$3:$I$56,8,FALSE),main!$K$18:$O$18,0))))),1,0)</f>
        <v>1</v>
      </c>
      <c r="J36">
        <f>IF((AND(VLOOKUP(J$1,main!$A$3:$I$56,5,FALSE)-VLOOKUP($A36,main!$A$3:$I$56,6,FALSE)&gt;=(VLOOKUP(VLOOKUP(J$1,main!$A$3:$I$56,8,FALSE),main!$K$11:$M$14,2,FALSE)+VLOOKUP(VLOOKUP(J$1,main!$A$3:$I$56,7,FALSE),main!$K$19:$O$22,MATCH(VLOOKUP($A36,main!$A$3:$I$56,8,FALSE),main!$K$18:$O$18,0))))),1,0)</f>
        <v>1</v>
      </c>
      <c r="K36">
        <f>IF((AND(VLOOKUP(K$1,main!$A$3:$I$56,5,FALSE)-VLOOKUP($A36,main!$A$3:$I$56,6,FALSE)&gt;=(VLOOKUP(VLOOKUP(K$1,main!$A$3:$I$56,8,FALSE),main!$K$11:$M$14,2,FALSE)+VLOOKUP(VLOOKUP(K$1,main!$A$3:$I$56,7,FALSE),main!$K$19:$O$22,MATCH(VLOOKUP($A36,main!$A$3:$I$56,8,FALSE),main!$K$18:$O$18,0))))),1,0)</f>
        <v>0</v>
      </c>
      <c r="L36">
        <f>IF((AND(VLOOKUP(L$1,main!$A$3:$I$56,5,FALSE)-VLOOKUP($A36,main!$A$3:$I$56,6,FALSE)&gt;=(VLOOKUP(VLOOKUP(L$1,main!$A$3:$I$56,8,FALSE),main!$K$11:$M$14,2,FALSE)+VLOOKUP(VLOOKUP(L$1,main!$A$3:$I$56,7,FALSE),main!$K$19:$O$22,MATCH(VLOOKUP($A36,main!$A$3:$I$56,8,FALSE),main!$K$18:$O$18,0))))),1,0)</f>
        <v>0</v>
      </c>
      <c r="M36">
        <f>IF((AND(VLOOKUP(M$1,main!$A$3:$I$56,5,FALSE)-VLOOKUP($A36,main!$A$3:$I$56,6,FALSE)&gt;=(VLOOKUP(VLOOKUP(M$1,main!$A$3:$I$56,8,FALSE),main!$K$11:$M$14,2,FALSE)+VLOOKUP(VLOOKUP(M$1,main!$A$3:$I$56,7,FALSE),main!$K$19:$O$22,MATCH(VLOOKUP($A36,main!$A$3:$I$56,8,FALSE),main!$K$18:$O$18,0))))),1,0)</f>
        <v>0</v>
      </c>
      <c r="N36">
        <f>IF((AND(VLOOKUP(N$1,main!$A$3:$I$56,5,FALSE)-VLOOKUP($A36,main!$A$3:$I$56,6,FALSE)&gt;=(VLOOKUP(VLOOKUP(N$1,main!$A$3:$I$56,8,FALSE),main!$K$11:$M$14,2,FALSE)+VLOOKUP(VLOOKUP(N$1,main!$A$3:$I$56,7,FALSE),main!$K$19:$O$22,MATCH(VLOOKUP($A36,main!$A$3:$I$56,8,FALSE),main!$K$18:$O$18,0))))),1,0)</f>
        <v>1</v>
      </c>
      <c r="O36">
        <f>IF((AND(VLOOKUP(O$1,main!$A$3:$I$56,5,FALSE)-VLOOKUP($A36,main!$A$3:$I$56,6,FALSE)&gt;=(VLOOKUP(VLOOKUP(O$1,main!$A$3:$I$56,8,FALSE),main!$K$11:$M$14,2,FALSE)+VLOOKUP(VLOOKUP(O$1,main!$A$3:$I$56,7,FALSE),main!$K$19:$O$22,MATCH(VLOOKUP($A36,main!$A$3:$I$56,8,FALSE),main!$K$18:$O$18,0))))),1,0)</f>
        <v>1</v>
      </c>
      <c r="P36">
        <f>IF((AND(VLOOKUP(P$1,main!$A$3:$I$56,5,FALSE)-VLOOKUP($A36,main!$A$3:$I$56,6,FALSE)&gt;=(VLOOKUP(VLOOKUP(P$1,main!$A$3:$I$56,8,FALSE),main!$K$11:$M$14,2,FALSE)+VLOOKUP(VLOOKUP(P$1,main!$A$3:$I$56,7,FALSE),main!$K$19:$O$22,MATCH(VLOOKUP($A36,main!$A$3:$I$56,8,FALSE),main!$K$18:$O$18,0))))),1,0)</f>
        <v>0</v>
      </c>
      <c r="Q36">
        <f>IF((AND(VLOOKUP(Q$1,main!$A$3:$I$56,5,FALSE)-VLOOKUP($A36,main!$A$3:$I$56,6,FALSE)&gt;=(VLOOKUP(VLOOKUP(Q$1,main!$A$3:$I$56,8,FALSE),main!$K$11:$M$14,2,FALSE)+VLOOKUP(VLOOKUP(Q$1,main!$A$3:$I$56,7,FALSE),main!$K$19:$O$22,MATCH(VLOOKUP($A36,main!$A$3:$I$56,8,FALSE),main!$K$18:$O$18,0))))),1,0)</f>
        <v>0</v>
      </c>
      <c r="R36">
        <f>IF((AND(VLOOKUP(R$1,main!$A$3:$I$56,5,FALSE)-VLOOKUP($A36,main!$A$3:$I$56,6,FALSE)&gt;=(VLOOKUP(VLOOKUP(R$1,main!$A$3:$I$56,8,FALSE),main!$K$11:$M$14,2,FALSE)+VLOOKUP(VLOOKUP(R$1,main!$A$3:$I$56,7,FALSE),main!$K$19:$O$22,MATCH(VLOOKUP($A36,main!$A$3:$I$56,8,FALSE),main!$K$18:$O$18,0))))),1,0)</f>
        <v>0</v>
      </c>
      <c r="S36">
        <f>IF((AND(VLOOKUP(S$1,main!$A$3:$I$56,5,FALSE)-VLOOKUP($A36,main!$A$3:$I$56,6,FALSE)&gt;=(VLOOKUP(VLOOKUP(S$1,main!$A$3:$I$56,8,FALSE),main!$K$11:$M$14,2,FALSE)+VLOOKUP(VLOOKUP(S$1,main!$A$3:$I$56,7,FALSE),main!$K$19:$O$22,MATCH(VLOOKUP($A36,main!$A$3:$I$56,8,FALSE),main!$K$18:$O$18,0))))),1,0)</f>
        <v>0</v>
      </c>
      <c r="T36">
        <f>IF((AND(VLOOKUP(T$1,main!$A$3:$I$56,5,FALSE)-VLOOKUP($A36,main!$A$3:$I$56,6,FALSE)&gt;=(VLOOKUP(VLOOKUP(T$1,main!$A$3:$I$56,8,FALSE),main!$K$11:$M$14,2,FALSE)+VLOOKUP(VLOOKUP(T$1,main!$A$3:$I$56,7,FALSE),main!$K$19:$O$22,MATCH(VLOOKUP($A36,main!$A$3:$I$56,8,FALSE),main!$K$18:$O$18,0))))),1,0)</f>
        <v>1</v>
      </c>
      <c r="U36">
        <f>IF((AND(VLOOKUP(U$1,main!$A$3:$I$56,5,FALSE)-VLOOKUP($A36,main!$A$3:$I$56,6,FALSE)&gt;=(VLOOKUP(VLOOKUP(U$1,main!$A$3:$I$56,8,FALSE),main!$K$11:$M$14,2,FALSE)+VLOOKUP(VLOOKUP(U$1,main!$A$3:$I$56,7,FALSE),main!$K$19:$O$22,MATCH(VLOOKUP($A36,main!$A$3:$I$56,8,FALSE),main!$K$18:$O$18,0))))),1,0)</f>
        <v>0</v>
      </c>
      <c r="V36">
        <f>IF((AND(VLOOKUP(V$1,main!$A$3:$I$56,5,FALSE)-VLOOKUP($A36,main!$A$3:$I$56,6,FALSE)&gt;=(VLOOKUP(VLOOKUP(V$1,main!$A$3:$I$56,8,FALSE),main!$K$11:$M$14,2,FALSE)+VLOOKUP(VLOOKUP(V$1,main!$A$3:$I$56,7,FALSE),main!$K$19:$O$22,MATCH(VLOOKUP($A36,main!$A$3:$I$56,8,FALSE),main!$K$18:$O$18,0))))),1,0)</f>
        <v>0</v>
      </c>
      <c r="W36">
        <f>IF((AND(VLOOKUP(W$1,main!$A$3:$I$56,5,FALSE)-VLOOKUP($A36,main!$A$3:$I$56,6,FALSE)&gt;=(VLOOKUP(VLOOKUP(W$1,main!$A$3:$I$56,8,FALSE),main!$K$11:$M$14,2,FALSE)+VLOOKUP(VLOOKUP(W$1,main!$A$3:$I$56,7,FALSE),main!$K$19:$O$22,MATCH(VLOOKUP($A36,main!$A$3:$I$56,8,FALSE),main!$K$18:$O$18,0))))),1,0)</f>
        <v>0</v>
      </c>
      <c r="X36">
        <f>IF((AND(VLOOKUP(X$1,main!$A$3:$I$56,5,FALSE)-VLOOKUP($A36,main!$A$3:$I$56,6,FALSE)&gt;=(VLOOKUP(VLOOKUP(X$1,main!$A$3:$I$56,8,FALSE),main!$K$11:$M$14,2,FALSE)+VLOOKUP(VLOOKUP(X$1,main!$A$3:$I$56,7,FALSE),main!$K$19:$O$22,MATCH(VLOOKUP($A36,main!$A$3:$I$56,8,FALSE),main!$K$18:$O$18,0))))),1,0)</f>
        <v>0</v>
      </c>
      <c r="Y36">
        <f>IF((AND(VLOOKUP(Y$1,main!$A$3:$I$56,5,FALSE)-VLOOKUP($A36,main!$A$3:$I$56,6,FALSE)&gt;=(VLOOKUP(VLOOKUP(Y$1,main!$A$3:$I$56,8,FALSE),main!$K$11:$M$14,2,FALSE)+VLOOKUP(VLOOKUP(Y$1,main!$A$3:$I$56,7,FALSE),main!$K$19:$O$22,MATCH(VLOOKUP($A36,main!$A$3:$I$56,8,FALSE),main!$K$18:$O$18,0))))),1,0)</f>
        <v>0</v>
      </c>
      <c r="Z36">
        <f>IF((AND(VLOOKUP(Z$1,main!$A$3:$I$56,5,FALSE)-VLOOKUP($A36,main!$A$3:$I$56,6,FALSE)&gt;=(VLOOKUP(VLOOKUP(Z$1,main!$A$3:$I$56,8,FALSE),main!$K$11:$M$14,2,FALSE)+VLOOKUP(VLOOKUP(Z$1,main!$A$3:$I$56,7,FALSE),main!$K$19:$O$22,MATCH(VLOOKUP($A36,main!$A$3:$I$56,8,FALSE),main!$K$18:$O$18,0))))),1,0)</f>
        <v>0</v>
      </c>
      <c r="AA36">
        <f>IF((AND(VLOOKUP(AA$1,main!$A$3:$I$56,5,FALSE)-VLOOKUP($A36,main!$A$3:$I$56,6,FALSE)&gt;=(VLOOKUP(VLOOKUP(AA$1,main!$A$3:$I$56,8,FALSE),main!$K$11:$M$14,2,FALSE)+VLOOKUP(VLOOKUP(AA$1,main!$A$3:$I$56,7,FALSE),main!$K$19:$O$22,MATCH(VLOOKUP($A36,main!$A$3:$I$56,8,FALSE),main!$K$18:$O$18,0))))),1,0)</f>
        <v>0</v>
      </c>
      <c r="AB36">
        <f>IF((AND(VLOOKUP(AB$1,main!$A$3:$I$56,5,FALSE)-VLOOKUP($A36,main!$A$3:$I$56,6,FALSE)&gt;=(VLOOKUP(VLOOKUP(AB$1,main!$A$3:$I$56,8,FALSE),main!$K$11:$M$14,2,FALSE)+VLOOKUP(VLOOKUP(AB$1,main!$A$3:$I$56,7,FALSE),main!$K$19:$O$22,MATCH(VLOOKUP($A36,main!$A$3:$I$56,8,FALSE),main!$K$18:$O$18,0))))),1,0)</f>
        <v>1</v>
      </c>
      <c r="AC36">
        <f>IF((AND(VLOOKUP(AC$1,main!$A$3:$I$56,5,FALSE)-VLOOKUP($A36,main!$A$3:$I$56,6,FALSE)&gt;=(VLOOKUP(VLOOKUP(AC$1,main!$A$3:$I$56,8,FALSE),main!$K$11:$M$14,2,FALSE)+VLOOKUP(VLOOKUP(AC$1,main!$A$3:$I$56,7,FALSE),main!$K$19:$O$22,MATCH(VLOOKUP($A36,main!$A$3:$I$56,8,FALSE),main!$K$18:$O$18,0))))),1,0)</f>
        <v>0</v>
      </c>
      <c r="AD36">
        <f>IF((AND(VLOOKUP(AD$1,main!$A$3:$I$56,5,FALSE)-VLOOKUP($A36,main!$A$3:$I$56,6,FALSE)&gt;=(VLOOKUP(VLOOKUP(AD$1,main!$A$3:$I$56,8,FALSE),main!$K$11:$M$14,2,FALSE)+VLOOKUP(VLOOKUP(AD$1,main!$A$3:$I$56,7,FALSE),main!$K$19:$O$22,MATCH(VLOOKUP($A36,main!$A$3:$I$56,8,FALSE),main!$K$18:$O$18,0))))),1,0)</f>
        <v>0</v>
      </c>
      <c r="AE36">
        <f>IF((AND(VLOOKUP(AE$1,main!$A$3:$I$56,5,FALSE)-VLOOKUP($A36,main!$A$3:$I$56,6,FALSE)&gt;=(VLOOKUP(VLOOKUP(AE$1,main!$A$3:$I$56,8,FALSE),main!$K$11:$M$14,2,FALSE)+VLOOKUP(VLOOKUP(AE$1,main!$A$3:$I$56,7,FALSE),main!$K$19:$O$22,MATCH(VLOOKUP($A36,main!$A$3:$I$56,8,FALSE),main!$K$18:$O$18,0))))),1,0)</f>
        <v>0</v>
      </c>
      <c r="AF36">
        <f>IF((AND(VLOOKUP(AF$1,main!$A$3:$I$56,5,FALSE)-VLOOKUP($A36,main!$A$3:$I$56,6,FALSE)&gt;=(VLOOKUP(VLOOKUP(AF$1,main!$A$3:$I$56,8,FALSE),main!$K$11:$M$14,2,FALSE)+VLOOKUP(VLOOKUP(AF$1,main!$A$3:$I$56,7,FALSE),main!$K$19:$O$22,MATCH(VLOOKUP($A36,main!$A$3:$I$56,8,FALSE),main!$K$18:$O$18,0))))),1,0)</f>
        <v>0</v>
      </c>
      <c r="AG36">
        <f>IF((AND(VLOOKUP(AG$1,main!$A$3:$I$56,5,FALSE)-VLOOKUP($A36,main!$A$3:$I$56,6,FALSE)&gt;=(VLOOKUP(VLOOKUP(AG$1,main!$A$3:$I$56,8,FALSE),main!$K$11:$M$14,2,FALSE)+VLOOKUP(VLOOKUP(AG$1,main!$A$3:$I$56,7,FALSE),main!$K$19:$O$22,MATCH(VLOOKUP($A36,main!$A$3:$I$56,8,FALSE),main!$K$18:$O$18,0))))),1,0)</f>
        <v>0</v>
      </c>
      <c r="AH36">
        <f>IF((AND(VLOOKUP(AH$1,main!$A$3:$I$56,5,FALSE)-VLOOKUP($A36,main!$A$3:$I$56,6,FALSE)&gt;=(VLOOKUP(VLOOKUP(AH$1,main!$A$3:$I$56,8,FALSE),main!$K$11:$M$14,2,FALSE)+VLOOKUP(VLOOKUP(AH$1,main!$A$3:$I$56,7,FALSE),main!$K$19:$O$22,MATCH(VLOOKUP($A36,main!$A$3:$I$56,8,FALSE),main!$K$18:$O$18,0))))),1,0)</f>
        <v>0</v>
      </c>
      <c r="AI36">
        <f>IF((AND(VLOOKUP(AI$1,main!$A$3:$I$56,5,FALSE)-VLOOKUP($A36,main!$A$3:$I$56,6,FALSE)&gt;=(VLOOKUP(VLOOKUP(AI$1,main!$A$3:$I$56,8,FALSE),main!$K$11:$M$14,2,FALSE)+VLOOKUP(VLOOKUP(AI$1,main!$A$3:$I$56,7,FALSE),main!$K$19:$O$22,MATCH(VLOOKUP($A36,main!$A$3:$I$56,8,FALSE),main!$K$18:$O$18,0))))),1,0)</f>
        <v>0</v>
      </c>
      <c r="AJ36">
        <f>IF((AND(VLOOKUP(AJ$1,main!$A$3:$I$56,5,FALSE)-VLOOKUP($A36,main!$A$3:$I$56,6,FALSE)&gt;=(VLOOKUP(VLOOKUP(AJ$1,main!$A$3:$I$56,8,FALSE),main!$K$11:$M$14,2,FALSE)+VLOOKUP(VLOOKUP(AJ$1,main!$A$3:$I$56,7,FALSE),main!$K$19:$O$22,MATCH(VLOOKUP($A36,main!$A$3:$I$56,8,FALSE),main!$K$18:$O$18,0))))),1,0)</f>
        <v>0</v>
      </c>
      <c r="AK36">
        <f>IF((AND(VLOOKUP(AK$1,main!$A$3:$I$56,5,FALSE)-VLOOKUP($A36,main!$A$3:$I$56,6,FALSE)&gt;=(VLOOKUP(VLOOKUP(AK$1,main!$A$3:$I$56,8,FALSE),main!$K$11:$M$14,2,FALSE)+VLOOKUP(VLOOKUP(AK$1,main!$A$3:$I$56,7,FALSE),main!$K$19:$O$22,MATCH(VLOOKUP($A36,main!$A$3:$I$56,8,FALSE),main!$K$18:$O$18,0))))),1,0)</f>
        <v>0</v>
      </c>
      <c r="AL36">
        <f>IF((AND(VLOOKUP(AL$1,main!$A$3:$I$56,5,FALSE)-VLOOKUP($A36,main!$A$3:$I$56,6,FALSE)&gt;=(VLOOKUP(VLOOKUP(AL$1,main!$A$3:$I$56,8,FALSE),main!$K$11:$M$14,2,FALSE)+VLOOKUP(VLOOKUP(AL$1,main!$A$3:$I$56,7,FALSE),main!$K$19:$O$22,MATCH(VLOOKUP($A36,main!$A$3:$I$56,8,FALSE),main!$K$18:$O$18,0))))),1,0)</f>
        <v>0</v>
      </c>
      <c r="AM36">
        <f>IF((AND(VLOOKUP(AM$1,main!$A$3:$I$56,5,FALSE)-VLOOKUP($A36,main!$A$3:$I$56,6,FALSE)&gt;=(VLOOKUP(VLOOKUP(AM$1,main!$A$3:$I$56,8,FALSE),main!$K$11:$M$14,2,FALSE)+VLOOKUP(VLOOKUP(AM$1,main!$A$3:$I$56,7,FALSE),main!$K$19:$O$22,MATCH(VLOOKUP($A36,main!$A$3:$I$56,8,FALSE),main!$K$18:$O$18,0))))),1,0)</f>
        <v>0</v>
      </c>
      <c r="AN36">
        <f>IF((AND(VLOOKUP(AN$1,main!$A$3:$I$56,5,FALSE)-VLOOKUP($A36,main!$A$3:$I$56,6,FALSE)&gt;=(VLOOKUP(VLOOKUP(AN$1,main!$A$3:$I$56,8,FALSE),main!$K$11:$M$14,2,FALSE)+VLOOKUP(VLOOKUP(AN$1,main!$A$3:$I$56,7,FALSE),main!$K$19:$O$22,MATCH(VLOOKUP($A36,main!$A$3:$I$56,8,FALSE),main!$K$18:$O$18,0))))),1,0)</f>
        <v>0</v>
      </c>
      <c r="AO36">
        <f>IF((AND(VLOOKUP(AO$1,main!$A$3:$I$56,5,FALSE)-VLOOKUP($A36,main!$A$3:$I$56,6,FALSE)&gt;=(VLOOKUP(VLOOKUP(AO$1,main!$A$3:$I$56,8,FALSE),main!$K$11:$M$14,2,FALSE)+VLOOKUP(VLOOKUP(AO$1,main!$A$3:$I$56,7,FALSE),main!$K$19:$O$22,MATCH(VLOOKUP($A36,main!$A$3:$I$56,8,FALSE),main!$K$18:$O$18,0))))),1,0)</f>
        <v>0</v>
      </c>
      <c r="AP36">
        <f>IF((AND(VLOOKUP(AP$1,main!$A$3:$I$56,5,FALSE)-VLOOKUP($A36,main!$A$3:$I$56,6,FALSE)&gt;=(VLOOKUP(VLOOKUP(AP$1,main!$A$3:$I$56,8,FALSE),main!$K$11:$M$14,2,FALSE)+VLOOKUP(VLOOKUP(AP$1,main!$A$3:$I$56,7,FALSE),main!$K$19:$O$22,MATCH(VLOOKUP($A36,main!$A$3:$I$56,8,FALSE),main!$K$18:$O$18,0))))),1,0)</f>
        <v>0</v>
      </c>
      <c r="AQ36">
        <f>IF((AND(VLOOKUP(AQ$1,main!$A$3:$I$56,5,FALSE)-VLOOKUP($A36,main!$A$3:$I$56,6,FALSE)&gt;=(VLOOKUP(VLOOKUP(AQ$1,main!$A$3:$I$56,8,FALSE),main!$K$11:$M$14,2,FALSE)+VLOOKUP(VLOOKUP(AQ$1,main!$A$3:$I$56,7,FALSE),main!$K$19:$O$22,MATCH(VLOOKUP($A36,main!$A$3:$I$56,8,FALSE),main!$K$18:$O$18,0))))),1,0)</f>
        <v>0</v>
      </c>
      <c r="AR36">
        <f>IF((AND(VLOOKUP(AR$1,main!$A$3:$I$56,5,FALSE)-VLOOKUP($A36,main!$A$3:$I$56,6,FALSE)&gt;=(VLOOKUP(VLOOKUP(AR$1,main!$A$3:$I$56,8,FALSE),main!$K$11:$M$14,2,FALSE)+VLOOKUP(VLOOKUP(AR$1,main!$A$3:$I$56,7,FALSE),main!$K$19:$O$22,MATCH(VLOOKUP($A36,main!$A$3:$I$56,8,FALSE),main!$K$18:$O$18,0))))),1,0)</f>
        <v>0</v>
      </c>
      <c r="AS36">
        <f>IF((AND(VLOOKUP(AS$1,main!$A$3:$I$56,5,FALSE)-VLOOKUP($A36,main!$A$3:$I$56,6,FALSE)&gt;=(VLOOKUP(VLOOKUP(AS$1,main!$A$3:$I$56,8,FALSE),main!$K$11:$M$14,2,FALSE)+VLOOKUP(VLOOKUP(AS$1,main!$A$3:$I$56,7,FALSE),main!$K$19:$O$22,MATCH(VLOOKUP($A36,main!$A$3:$I$56,8,FALSE),main!$K$18:$O$18,0))))),1,0)</f>
        <v>0</v>
      </c>
      <c r="AT36">
        <f>IF((AND(VLOOKUP(AT$1,main!$A$3:$I$56,5,FALSE)-VLOOKUP($A36,main!$A$3:$I$56,6,FALSE)&gt;=(VLOOKUP(VLOOKUP(AT$1,main!$A$3:$I$56,8,FALSE),main!$K$11:$M$14,2,FALSE)+VLOOKUP(VLOOKUP(AT$1,main!$A$3:$I$56,7,FALSE),main!$K$19:$O$22,MATCH(VLOOKUP($A36,main!$A$3:$I$56,8,FALSE),main!$K$18:$O$18,0))))),1,0)</f>
        <v>0</v>
      </c>
      <c r="AU36">
        <f>IF((AND(VLOOKUP(AU$1,main!$A$3:$I$56,5,FALSE)-VLOOKUP($A36,main!$A$3:$I$56,6,FALSE)&gt;=(VLOOKUP(VLOOKUP(AU$1,main!$A$3:$I$56,8,FALSE),main!$K$11:$M$14,2,FALSE)+VLOOKUP(VLOOKUP(AU$1,main!$A$3:$I$56,7,FALSE),main!$K$19:$O$22,MATCH(VLOOKUP($A36,main!$A$3:$I$56,8,FALSE),main!$K$18:$O$18,0))))),1,0)</f>
        <v>0</v>
      </c>
      <c r="AV36">
        <f>IF((AND(VLOOKUP(AV$1,main!$A$3:$I$56,5,FALSE)-VLOOKUP($A36,main!$A$3:$I$56,6,FALSE)&gt;=(VLOOKUP(VLOOKUP(AV$1,main!$A$3:$I$56,8,FALSE),main!$K$11:$M$14,2,FALSE)+VLOOKUP(VLOOKUP(AV$1,main!$A$3:$I$56,7,FALSE),main!$K$19:$O$22,MATCH(VLOOKUP($A36,main!$A$3:$I$56,8,FALSE),main!$K$18:$O$18,0))))),1,0)</f>
        <v>0</v>
      </c>
      <c r="AW36">
        <f>IF((AND(VLOOKUP(AW$1,main!$A$3:$I$56,5,FALSE)-VLOOKUP($A36,main!$A$3:$I$56,6,FALSE)&gt;=(VLOOKUP(VLOOKUP(AW$1,main!$A$3:$I$56,8,FALSE),main!$K$11:$M$14,2,FALSE)+VLOOKUP(VLOOKUP(AW$1,main!$A$3:$I$56,7,FALSE),main!$K$19:$O$22,MATCH(VLOOKUP($A36,main!$A$3:$I$56,8,FALSE),main!$K$18:$O$18,0))))),1,0)</f>
        <v>0</v>
      </c>
      <c r="AX36">
        <f>IF((AND(VLOOKUP(AX$1,main!$A$3:$I$56,5,FALSE)-VLOOKUP($A36,main!$A$3:$I$56,6,FALSE)&gt;=(VLOOKUP(VLOOKUP(AX$1,main!$A$3:$I$56,8,FALSE),main!$K$11:$M$14,2,FALSE)+VLOOKUP(VLOOKUP(AX$1,main!$A$3:$I$56,7,FALSE),main!$K$19:$O$22,MATCH(VLOOKUP($A36,main!$A$3:$I$56,8,FALSE),main!$K$18:$O$18,0))))),1,0)</f>
        <v>0</v>
      </c>
      <c r="AY36">
        <f>IF((AND(VLOOKUP(AY$1,main!$A$3:$I$56,5,FALSE)-VLOOKUP($A36,main!$A$3:$I$56,6,FALSE)&gt;=(VLOOKUP(VLOOKUP(AY$1,main!$A$3:$I$56,8,FALSE),main!$K$11:$M$14,2,FALSE)+VLOOKUP(VLOOKUP(AY$1,main!$A$3:$I$56,7,FALSE),main!$K$19:$O$22,MATCH(VLOOKUP($A36,main!$A$3:$I$56,8,FALSE),main!$K$18:$O$18,0))))),1,0)</f>
        <v>1</v>
      </c>
      <c r="AZ36">
        <f>IF((AND(VLOOKUP(AZ$1,main!$A$3:$I$56,5,FALSE)-VLOOKUP($A36,main!$A$3:$I$56,6,FALSE)&gt;=(VLOOKUP(VLOOKUP(AZ$1,main!$A$3:$I$56,8,FALSE),main!$K$11:$M$14,2,FALSE)+VLOOKUP(VLOOKUP(AZ$1,main!$A$3:$I$56,7,FALSE),main!$K$19:$O$22,MATCH(VLOOKUP($A36,main!$A$3:$I$56,8,FALSE),main!$K$18:$O$18,0))))),1,0)</f>
        <v>0</v>
      </c>
      <c r="BA36">
        <f>IF((AND(VLOOKUP(BA$1,main!$A$3:$I$56,5,FALSE)-VLOOKUP($A36,main!$A$3:$I$56,6,FALSE)&gt;=(VLOOKUP(VLOOKUP(BA$1,main!$A$3:$I$56,8,FALSE),main!$K$11:$M$14,2,FALSE)+VLOOKUP(VLOOKUP(BA$1,main!$A$3:$I$56,7,FALSE),main!$K$19:$O$22,MATCH(VLOOKUP($A36,main!$A$3:$I$56,8,FALSE),main!$K$18:$O$18,0))))),1,0)</f>
        <v>0</v>
      </c>
      <c r="BB36">
        <f>IF((AND(VLOOKUP(BB$1,main!$A$3:$I$56,5,FALSE)-VLOOKUP($A36,main!$A$3:$I$56,6,FALSE)&gt;=(VLOOKUP(VLOOKUP(BB$1,main!$A$3:$I$56,8,FALSE),main!$K$11:$M$14,2,FALSE)+VLOOKUP(VLOOKUP(BB$1,main!$A$3:$I$56,7,FALSE),main!$K$19:$O$22,MATCH(VLOOKUP($A36,main!$A$3:$I$56,8,FALSE),main!$K$18:$O$18,0))))),1,0)</f>
        <v>0</v>
      </c>
      <c r="BC36">
        <f>IF((AND(VLOOKUP(BC$1,main!$A$3:$I$56,5,FALSE)-VLOOKUP($A36,main!$A$3:$I$56,6,FALSE)&gt;=(VLOOKUP(VLOOKUP(BC$1,main!$A$3:$I$56,8,FALSE),main!$K$11:$M$14,2,FALSE)+VLOOKUP(VLOOKUP(BC$1,main!$A$3:$I$56,7,FALSE),main!$K$19:$O$22,MATCH(VLOOKUP($A36,main!$A$3:$I$56,8,FALSE),main!$K$18:$O$18,0))))),1,0)</f>
        <v>0</v>
      </c>
      <c r="BD36">
        <f>IF((AND(VLOOKUP(BD$1,main!$A$3:$I$56,5,FALSE)-VLOOKUP($A36,main!$A$3:$I$56,6,FALSE)&gt;=(VLOOKUP(VLOOKUP(BD$1,main!$A$3:$I$56,8,FALSE),main!$K$11:$M$14,2,FALSE)+VLOOKUP(VLOOKUP(BD$1,main!$A$3:$I$56,7,FALSE),main!$K$19:$O$22,MATCH(VLOOKUP($A36,main!$A$3:$I$56,8,FALSE),main!$K$18:$O$18,0))))),1,0)</f>
        <v>0</v>
      </c>
    </row>
    <row r="37" spans="1:56" x14ac:dyDescent="0.25">
      <c r="A37">
        <f t="shared" si="0"/>
        <v>35</v>
      </c>
      <c r="B37">
        <v>1</v>
      </c>
      <c r="C37">
        <f>IF((AND(VLOOKUP(C$1,main!$A$3:$I$56,5,FALSE)-VLOOKUP($A37,main!$A$3:$I$56,6,FALSE)&gt;=(VLOOKUP(VLOOKUP(C$1,main!$A$3:$I$56,8,FALSE),main!$K$11:$M$14,2,FALSE)+VLOOKUP(VLOOKUP(C$1,main!$A$3:$I$56,7,FALSE),main!$K$19:$O$22,MATCH(VLOOKUP($A37,main!$A$3:$I$56,8,FALSE),main!$K$18:$O$18,0))))),1,0)</f>
        <v>0</v>
      </c>
      <c r="D37">
        <f>IF((AND(VLOOKUP(D$1,main!$A$3:$I$56,5,FALSE)-VLOOKUP($A37,main!$A$3:$I$56,6,FALSE)&gt;=(VLOOKUP(VLOOKUP(D$1,main!$A$3:$I$56,8,FALSE),main!$K$11:$M$14,2,FALSE)+VLOOKUP(VLOOKUP(D$1,main!$A$3:$I$56,7,FALSE),main!$K$19:$O$22,MATCH(VLOOKUP($A37,main!$A$3:$I$56,8,FALSE),main!$K$18:$O$18,0))))),1,0)</f>
        <v>0</v>
      </c>
      <c r="E37">
        <f>IF((AND(VLOOKUP(E$1,main!$A$3:$I$56,5,FALSE)-VLOOKUP($A37,main!$A$3:$I$56,6,FALSE)&gt;=(VLOOKUP(VLOOKUP(E$1,main!$A$3:$I$56,8,FALSE),main!$K$11:$M$14,2,FALSE)+VLOOKUP(VLOOKUP(E$1,main!$A$3:$I$56,7,FALSE),main!$K$19:$O$22,MATCH(VLOOKUP($A37,main!$A$3:$I$56,8,FALSE),main!$K$18:$O$18,0))))),1,0)</f>
        <v>0</v>
      </c>
      <c r="F37">
        <f>IF((AND(VLOOKUP(F$1,main!$A$3:$I$56,5,FALSE)-VLOOKUP($A37,main!$A$3:$I$56,6,FALSE)&gt;=(VLOOKUP(VLOOKUP(F$1,main!$A$3:$I$56,8,FALSE),main!$K$11:$M$14,2,FALSE)+VLOOKUP(VLOOKUP(F$1,main!$A$3:$I$56,7,FALSE),main!$K$19:$O$22,MATCH(VLOOKUP($A37,main!$A$3:$I$56,8,FALSE),main!$K$18:$O$18,0))))),1,0)</f>
        <v>0</v>
      </c>
      <c r="G37">
        <f>IF((AND(VLOOKUP(G$1,main!$A$3:$I$56,5,FALSE)-VLOOKUP($A37,main!$A$3:$I$56,6,FALSE)&gt;=(VLOOKUP(VLOOKUP(G$1,main!$A$3:$I$56,8,FALSE),main!$K$11:$M$14,2,FALSE)+VLOOKUP(VLOOKUP(G$1,main!$A$3:$I$56,7,FALSE),main!$K$19:$O$22,MATCH(VLOOKUP($A37,main!$A$3:$I$56,8,FALSE),main!$K$18:$O$18,0))))),1,0)</f>
        <v>0</v>
      </c>
      <c r="H37">
        <f>IF((AND(VLOOKUP(H$1,main!$A$3:$I$56,5,FALSE)-VLOOKUP($A37,main!$A$3:$I$56,6,FALSE)&gt;=(VLOOKUP(VLOOKUP(H$1,main!$A$3:$I$56,8,FALSE),main!$K$11:$M$14,2,FALSE)+VLOOKUP(VLOOKUP(H$1,main!$A$3:$I$56,7,FALSE),main!$K$19:$O$22,MATCH(VLOOKUP($A37,main!$A$3:$I$56,8,FALSE),main!$K$18:$O$18,0))))),1,0)</f>
        <v>0</v>
      </c>
      <c r="I37">
        <f>IF((AND(VLOOKUP(I$1,main!$A$3:$I$56,5,FALSE)-VLOOKUP($A37,main!$A$3:$I$56,6,FALSE)&gt;=(VLOOKUP(VLOOKUP(I$1,main!$A$3:$I$56,8,FALSE),main!$K$11:$M$14,2,FALSE)+VLOOKUP(VLOOKUP(I$1,main!$A$3:$I$56,7,FALSE),main!$K$19:$O$22,MATCH(VLOOKUP($A37,main!$A$3:$I$56,8,FALSE),main!$K$18:$O$18,0))))),1,0)</f>
        <v>0</v>
      </c>
      <c r="J37">
        <f>IF((AND(VLOOKUP(J$1,main!$A$3:$I$56,5,FALSE)-VLOOKUP($A37,main!$A$3:$I$56,6,FALSE)&gt;=(VLOOKUP(VLOOKUP(J$1,main!$A$3:$I$56,8,FALSE),main!$K$11:$M$14,2,FALSE)+VLOOKUP(VLOOKUP(J$1,main!$A$3:$I$56,7,FALSE),main!$K$19:$O$22,MATCH(VLOOKUP($A37,main!$A$3:$I$56,8,FALSE),main!$K$18:$O$18,0))))),1,0)</f>
        <v>0</v>
      </c>
      <c r="K37">
        <f>IF((AND(VLOOKUP(K$1,main!$A$3:$I$56,5,FALSE)-VLOOKUP($A37,main!$A$3:$I$56,6,FALSE)&gt;=(VLOOKUP(VLOOKUP(K$1,main!$A$3:$I$56,8,FALSE),main!$K$11:$M$14,2,FALSE)+VLOOKUP(VLOOKUP(K$1,main!$A$3:$I$56,7,FALSE),main!$K$19:$O$22,MATCH(VLOOKUP($A37,main!$A$3:$I$56,8,FALSE),main!$K$18:$O$18,0))))),1,0)</f>
        <v>0</v>
      </c>
      <c r="L37">
        <f>IF((AND(VLOOKUP(L$1,main!$A$3:$I$56,5,FALSE)-VLOOKUP($A37,main!$A$3:$I$56,6,FALSE)&gt;=(VLOOKUP(VLOOKUP(L$1,main!$A$3:$I$56,8,FALSE),main!$K$11:$M$14,2,FALSE)+VLOOKUP(VLOOKUP(L$1,main!$A$3:$I$56,7,FALSE),main!$K$19:$O$22,MATCH(VLOOKUP($A37,main!$A$3:$I$56,8,FALSE),main!$K$18:$O$18,0))))),1,0)</f>
        <v>0</v>
      </c>
      <c r="M37">
        <f>IF((AND(VLOOKUP(M$1,main!$A$3:$I$56,5,FALSE)-VLOOKUP($A37,main!$A$3:$I$56,6,FALSE)&gt;=(VLOOKUP(VLOOKUP(M$1,main!$A$3:$I$56,8,FALSE),main!$K$11:$M$14,2,FALSE)+VLOOKUP(VLOOKUP(M$1,main!$A$3:$I$56,7,FALSE),main!$K$19:$O$22,MATCH(VLOOKUP($A37,main!$A$3:$I$56,8,FALSE),main!$K$18:$O$18,0))))),1,0)</f>
        <v>0</v>
      </c>
      <c r="N37">
        <f>IF((AND(VLOOKUP(N$1,main!$A$3:$I$56,5,FALSE)-VLOOKUP($A37,main!$A$3:$I$56,6,FALSE)&gt;=(VLOOKUP(VLOOKUP(N$1,main!$A$3:$I$56,8,FALSE),main!$K$11:$M$14,2,FALSE)+VLOOKUP(VLOOKUP(N$1,main!$A$3:$I$56,7,FALSE),main!$K$19:$O$22,MATCH(VLOOKUP($A37,main!$A$3:$I$56,8,FALSE),main!$K$18:$O$18,0))))),1,0)</f>
        <v>0</v>
      </c>
      <c r="O37">
        <f>IF((AND(VLOOKUP(O$1,main!$A$3:$I$56,5,FALSE)-VLOOKUP($A37,main!$A$3:$I$56,6,FALSE)&gt;=(VLOOKUP(VLOOKUP(O$1,main!$A$3:$I$56,8,FALSE),main!$K$11:$M$14,2,FALSE)+VLOOKUP(VLOOKUP(O$1,main!$A$3:$I$56,7,FALSE),main!$K$19:$O$22,MATCH(VLOOKUP($A37,main!$A$3:$I$56,8,FALSE),main!$K$18:$O$18,0))))),1,0)</f>
        <v>1</v>
      </c>
      <c r="P37">
        <f>IF((AND(VLOOKUP(P$1,main!$A$3:$I$56,5,FALSE)-VLOOKUP($A37,main!$A$3:$I$56,6,FALSE)&gt;=(VLOOKUP(VLOOKUP(P$1,main!$A$3:$I$56,8,FALSE),main!$K$11:$M$14,2,FALSE)+VLOOKUP(VLOOKUP(P$1,main!$A$3:$I$56,7,FALSE),main!$K$19:$O$22,MATCH(VLOOKUP($A37,main!$A$3:$I$56,8,FALSE),main!$K$18:$O$18,0))))),1,0)</f>
        <v>0</v>
      </c>
      <c r="Q37">
        <f>IF((AND(VLOOKUP(Q$1,main!$A$3:$I$56,5,FALSE)-VLOOKUP($A37,main!$A$3:$I$56,6,FALSE)&gt;=(VLOOKUP(VLOOKUP(Q$1,main!$A$3:$I$56,8,FALSE),main!$K$11:$M$14,2,FALSE)+VLOOKUP(VLOOKUP(Q$1,main!$A$3:$I$56,7,FALSE),main!$K$19:$O$22,MATCH(VLOOKUP($A37,main!$A$3:$I$56,8,FALSE),main!$K$18:$O$18,0))))),1,0)</f>
        <v>0</v>
      </c>
      <c r="R37">
        <f>IF((AND(VLOOKUP(R$1,main!$A$3:$I$56,5,FALSE)-VLOOKUP($A37,main!$A$3:$I$56,6,FALSE)&gt;=(VLOOKUP(VLOOKUP(R$1,main!$A$3:$I$56,8,FALSE),main!$K$11:$M$14,2,FALSE)+VLOOKUP(VLOOKUP(R$1,main!$A$3:$I$56,7,FALSE),main!$K$19:$O$22,MATCH(VLOOKUP($A37,main!$A$3:$I$56,8,FALSE),main!$K$18:$O$18,0))))),1,0)</f>
        <v>0</v>
      </c>
      <c r="S37">
        <f>IF((AND(VLOOKUP(S$1,main!$A$3:$I$56,5,FALSE)-VLOOKUP($A37,main!$A$3:$I$56,6,FALSE)&gt;=(VLOOKUP(VLOOKUP(S$1,main!$A$3:$I$56,8,FALSE),main!$K$11:$M$14,2,FALSE)+VLOOKUP(VLOOKUP(S$1,main!$A$3:$I$56,7,FALSE),main!$K$19:$O$22,MATCH(VLOOKUP($A37,main!$A$3:$I$56,8,FALSE),main!$K$18:$O$18,0))))),1,0)</f>
        <v>0</v>
      </c>
      <c r="T37">
        <f>IF((AND(VLOOKUP(T$1,main!$A$3:$I$56,5,FALSE)-VLOOKUP($A37,main!$A$3:$I$56,6,FALSE)&gt;=(VLOOKUP(VLOOKUP(T$1,main!$A$3:$I$56,8,FALSE),main!$K$11:$M$14,2,FALSE)+VLOOKUP(VLOOKUP(T$1,main!$A$3:$I$56,7,FALSE),main!$K$19:$O$22,MATCH(VLOOKUP($A37,main!$A$3:$I$56,8,FALSE),main!$K$18:$O$18,0))))),1,0)</f>
        <v>0</v>
      </c>
      <c r="U37">
        <f>IF((AND(VLOOKUP(U$1,main!$A$3:$I$56,5,FALSE)-VLOOKUP($A37,main!$A$3:$I$56,6,FALSE)&gt;=(VLOOKUP(VLOOKUP(U$1,main!$A$3:$I$56,8,FALSE),main!$K$11:$M$14,2,FALSE)+VLOOKUP(VLOOKUP(U$1,main!$A$3:$I$56,7,FALSE),main!$K$19:$O$22,MATCH(VLOOKUP($A37,main!$A$3:$I$56,8,FALSE),main!$K$18:$O$18,0))))),1,0)</f>
        <v>0</v>
      </c>
      <c r="V37">
        <f>IF((AND(VLOOKUP(V$1,main!$A$3:$I$56,5,FALSE)-VLOOKUP($A37,main!$A$3:$I$56,6,FALSE)&gt;=(VLOOKUP(VLOOKUP(V$1,main!$A$3:$I$56,8,FALSE),main!$K$11:$M$14,2,FALSE)+VLOOKUP(VLOOKUP(V$1,main!$A$3:$I$56,7,FALSE),main!$K$19:$O$22,MATCH(VLOOKUP($A37,main!$A$3:$I$56,8,FALSE),main!$K$18:$O$18,0))))),1,0)</f>
        <v>0</v>
      </c>
      <c r="W37">
        <f>IF((AND(VLOOKUP(W$1,main!$A$3:$I$56,5,FALSE)-VLOOKUP($A37,main!$A$3:$I$56,6,FALSE)&gt;=(VLOOKUP(VLOOKUP(W$1,main!$A$3:$I$56,8,FALSE),main!$K$11:$M$14,2,FALSE)+VLOOKUP(VLOOKUP(W$1,main!$A$3:$I$56,7,FALSE),main!$K$19:$O$22,MATCH(VLOOKUP($A37,main!$A$3:$I$56,8,FALSE),main!$K$18:$O$18,0))))),1,0)</f>
        <v>0</v>
      </c>
      <c r="X37">
        <f>IF((AND(VLOOKUP(X$1,main!$A$3:$I$56,5,FALSE)-VLOOKUP($A37,main!$A$3:$I$56,6,FALSE)&gt;=(VLOOKUP(VLOOKUP(X$1,main!$A$3:$I$56,8,FALSE),main!$K$11:$M$14,2,FALSE)+VLOOKUP(VLOOKUP(X$1,main!$A$3:$I$56,7,FALSE),main!$K$19:$O$22,MATCH(VLOOKUP($A37,main!$A$3:$I$56,8,FALSE),main!$K$18:$O$18,0))))),1,0)</f>
        <v>0</v>
      </c>
      <c r="Y37">
        <f>IF((AND(VLOOKUP(Y$1,main!$A$3:$I$56,5,FALSE)-VLOOKUP($A37,main!$A$3:$I$56,6,FALSE)&gt;=(VLOOKUP(VLOOKUP(Y$1,main!$A$3:$I$56,8,FALSE),main!$K$11:$M$14,2,FALSE)+VLOOKUP(VLOOKUP(Y$1,main!$A$3:$I$56,7,FALSE),main!$K$19:$O$22,MATCH(VLOOKUP($A37,main!$A$3:$I$56,8,FALSE),main!$K$18:$O$18,0))))),1,0)</f>
        <v>0</v>
      </c>
      <c r="Z37">
        <f>IF((AND(VLOOKUP(Z$1,main!$A$3:$I$56,5,FALSE)-VLOOKUP($A37,main!$A$3:$I$56,6,FALSE)&gt;=(VLOOKUP(VLOOKUP(Z$1,main!$A$3:$I$56,8,FALSE),main!$K$11:$M$14,2,FALSE)+VLOOKUP(VLOOKUP(Z$1,main!$A$3:$I$56,7,FALSE),main!$K$19:$O$22,MATCH(VLOOKUP($A37,main!$A$3:$I$56,8,FALSE),main!$K$18:$O$18,0))))),1,0)</f>
        <v>0</v>
      </c>
      <c r="AA37">
        <f>IF((AND(VLOOKUP(AA$1,main!$A$3:$I$56,5,FALSE)-VLOOKUP($A37,main!$A$3:$I$56,6,FALSE)&gt;=(VLOOKUP(VLOOKUP(AA$1,main!$A$3:$I$56,8,FALSE),main!$K$11:$M$14,2,FALSE)+VLOOKUP(VLOOKUP(AA$1,main!$A$3:$I$56,7,FALSE),main!$K$19:$O$22,MATCH(VLOOKUP($A37,main!$A$3:$I$56,8,FALSE),main!$K$18:$O$18,0))))),1,0)</f>
        <v>0</v>
      </c>
      <c r="AB37">
        <f>IF((AND(VLOOKUP(AB$1,main!$A$3:$I$56,5,FALSE)-VLOOKUP($A37,main!$A$3:$I$56,6,FALSE)&gt;=(VLOOKUP(VLOOKUP(AB$1,main!$A$3:$I$56,8,FALSE),main!$K$11:$M$14,2,FALSE)+VLOOKUP(VLOOKUP(AB$1,main!$A$3:$I$56,7,FALSE),main!$K$19:$O$22,MATCH(VLOOKUP($A37,main!$A$3:$I$56,8,FALSE),main!$K$18:$O$18,0))))),1,0)</f>
        <v>0</v>
      </c>
      <c r="AC37">
        <f>IF((AND(VLOOKUP(AC$1,main!$A$3:$I$56,5,FALSE)-VLOOKUP($A37,main!$A$3:$I$56,6,FALSE)&gt;=(VLOOKUP(VLOOKUP(AC$1,main!$A$3:$I$56,8,FALSE),main!$K$11:$M$14,2,FALSE)+VLOOKUP(VLOOKUP(AC$1,main!$A$3:$I$56,7,FALSE),main!$K$19:$O$22,MATCH(VLOOKUP($A37,main!$A$3:$I$56,8,FALSE),main!$K$18:$O$18,0))))),1,0)</f>
        <v>0</v>
      </c>
      <c r="AD37">
        <f>IF((AND(VLOOKUP(AD$1,main!$A$3:$I$56,5,FALSE)-VLOOKUP($A37,main!$A$3:$I$56,6,FALSE)&gt;=(VLOOKUP(VLOOKUP(AD$1,main!$A$3:$I$56,8,FALSE),main!$K$11:$M$14,2,FALSE)+VLOOKUP(VLOOKUP(AD$1,main!$A$3:$I$56,7,FALSE),main!$K$19:$O$22,MATCH(VLOOKUP($A37,main!$A$3:$I$56,8,FALSE),main!$K$18:$O$18,0))))),1,0)</f>
        <v>0</v>
      </c>
      <c r="AE37">
        <f>IF((AND(VLOOKUP(AE$1,main!$A$3:$I$56,5,FALSE)-VLOOKUP($A37,main!$A$3:$I$56,6,FALSE)&gt;=(VLOOKUP(VLOOKUP(AE$1,main!$A$3:$I$56,8,FALSE),main!$K$11:$M$14,2,FALSE)+VLOOKUP(VLOOKUP(AE$1,main!$A$3:$I$56,7,FALSE),main!$K$19:$O$22,MATCH(VLOOKUP($A37,main!$A$3:$I$56,8,FALSE),main!$K$18:$O$18,0))))),1,0)</f>
        <v>0</v>
      </c>
      <c r="AF37">
        <f>IF((AND(VLOOKUP(AF$1,main!$A$3:$I$56,5,FALSE)-VLOOKUP($A37,main!$A$3:$I$56,6,FALSE)&gt;=(VLOOKUP(VLOOKUP(AF$1,main!$A$3:$I$56,8,FALSE),main!$K$11:$M$14,2,FALSE)+VLOOKUP(VLOOKUP(AF$1,main!$A$3:$I$56,7,FALSE),main!$K$19:$O$22,MATCH(VLOOKUP($A37,main!$A$3:$I$56,8,FALSE),main!$K$18:$O$18,0))))),1,0)</f>
        <v>0</v>
      </c>
      <c r="AG37">
        <f>IF((AND(VLOOKUP(AG$1,main!$A$3:$I$56,5,FALSE)-VLOOKUP($A37,main!$A$3:$I$56,6,FALSE)&gt;=(VLOOKUP(VLOOKUP(AG$1,main!$A$3:$I$56,8,FALSE),main!$K$11:$M$14,2,FALSE)+VLOOKUP(VLOOKUP(AG$1,main!$A$3:$I$56,7,FALSE),main!$K$19:$O$22,MATCH(VLOOKUP($A37,main!$A$3:$I$56,8,FALSE),main!$K$18:$O$18,0))))),1,0)</f>
        <v>0</v>
      </c>
      <c r="AH37">
        <f>IF((AND(VLOOKUP(AH$1,main!$A$3:$I$56,5,FALSE)-VLOOKUP($A37,main!$A$3:$I$56,6,FALSE)&gt;=(VLOOKUP(VLOOKUP(AH$1,main!$A$3:$I$56,8,FALSE),main!$K$11:$M$14,2,FALSE)+VLOOKUP(VLOOKUP(AH$1,main!$A$3:$I$56,7,FALSE),main!$K$19:$O$22,MATCH(VLOOKUP($A37,main!$A$3:$I$56,8,FALSE),main!$K$18:$O$18,0))))),1,0)</f>
        <v>0</v>
      </c>
      <c r="AI37">
        <f>IF((AND(VLOOKUP(AI$1,main!$A$3:$I$56,5,FALSE)-VLOOKUP($A37,main!$A$3:$I$56,6,FALSE)&gt;=(VLOOKUP(VLOOKUP(AI$1,main!$A$3:$I$56,8,FALSE),main!$K$11:$M$14,2,FALSE)+VLOOKUP(VLOOKUP(AI$1,main!$A$3:$I$56,7,FALSE),main!$K$19:$O$22,MATCH(VLOOKUP($A37,main!$A$3:$I$56,8,FALSE),main!$K$18:$O$18,0))))),1,0)</f>
        <v>0</v>
      </c>
      <c r="AJ37">
        <f>IF((AND(VLOOKUP(AJ$1,main!$A$3:$I$56,5,FALSE)-VLOOKUP($A37,main!$A$3:$I$56,6,FALSE)&gt;=(VLOOKUP(VLOOKUP(AJ$1,main!$A$3:$I$56,8,FALSE),main!$K$11:$M$14,2,FALSE)+VLOOKUP(VLOOKUP(AJ$1,main!$A$3:$I$56,7,FALSE),main!$K$19:$O$22,MATCH(VLOOKUP($A37,main!$A$3:$I$56,8,FALSE),main!$K$18:$O$18,0))))),1,0)</f>
        <v>0</v>
      </c>
      <c r="AK37">
        <f>IF((AND(VLOOKUP(AK$1,main!$A$3:$I$56,5,FALSE)-VLOOKUP($A37,main!$A$3:$I$56,6,FALSE)&gt;=(VLOOKUP(VLOOKUP(AK$1,main!$A$3:$I$56,8,FALSE),main!$K$11:$M$14,2,FALSE)+VLOOKUP(VLOOKUP(AK$1,main!$A$3:$I$56,7,FALSE),main!$K$19:$O$22,MATCH(VLOOKUP($A37,main!$A$3:$I$56,8,FALSE),main!$K$18:$O$18,0))))),1,0)</f>
        <v>0</v>
      </c>
      <c r="AL37">
        <f>IF((AND(VLOOKUP(AL$1,main!$A$3:$I$56,5,FALSE)-VLOOKUP($A37,main!$A$3:$I$56,6,FALSE)&gt;=(VLOOKUP(VLOOKUP(AL$1,main!$A$3:$I$56,8,FALSE),main!$K$11:$M$14,2,FALSE)+VLOOKUP(VLOOKUP(AL$1,main!$A$3:$I$56,7,FALSE),main!$K$19:$O$22,MATCH(VLOOKUP($A37,main!$A$3:$I$56,8,FALSE),main!$K$18:$O$18,0))))),1,0)</f>
        <v>0</v>
      </c>
      <c r="AM37">
        <f>IF((AND(VLOOKUP(AM$1,main!$A$3:$I$56,5,FALSE)-VLOOKUP($A37,main!$A$3:$I$56,6,FALSE)&gt;=(VLOOKUP(VLOOKUP(AM$1,main!$A$3:$I$56,8,FALSE),main!$K$11:$M$14,2,FALSE)+VLOOKUP(VLOOKUP(AM$1,main!$A$3:$I$56,7,FALSE),main!$K$19:$O$22,MATCH(VLOOKUP($A37,main!$A$3:$I$56,8,FALSE),main!$K$18:$O$18,0))))),1,0)</f>
        <v>0</v>
      </c>
      <c r="AN37">
        <f>IF((AND(VLOOKUP(AN$1,main!$A$3:$I$56,5,FALSE)-VLOOKUP($A37,main!$A$3:$I$56,6,FALSE)&gt;=(VLOOKUP(VLOOKUP(AN$1,main!$A$3:$I$56,8,FALSE),main!$K$11:$M$14,2,FALSE)+VLOOKUP(VLOOKUP(AN$1,main!$A$3:$I$56,7,FALSE),main!$K$19:$O$22,MATCH(VLOOKUP($A37,main!$A$3:$I$56,8,FALSE),main!$K$18:$O$18,0))))),1,0)</f>
        <v>0</v>
      </c>
      <c r="AO37">
        <f>IF((AND(VLOOKUP(AO$1,main!$A$3:$I$56,5,FALSE)-VLOOKUP($A37,main!$A$3:$I$56,6,FALSE)&gt;=(VLOOKUP(VLOOKUP(AO$1,main!$A$3:$I$56,8,FALSE),main!$K$11:$M$14,2,FALSE)+VLOOKUP(VLOOKUP(AO$1,main!$A$3:$I$56,7,FALSE),main!$K$19:$O$22,MATCH(VLOOKUP($A37,main!$A$3:$I$56,8,FALSE),main!$K$18:$O$18,0))))),1,0)</f>
        <v>0</v>
      </c>
      <c r="AP37">
        <f>IF((AND(VLOOKUP(AP$1,main!$A$3:$I$56,5,FALSE)-VLOOKUP($A37,main!$A$3:$I$56,6,FALSE)&gt;=(VLOOKUP(VLOOKUP(AP$1,main!$A$3:$I$56,8,FALSE),main!$K$11:$M$14,2,FALSE)+VLOOKUP(VLOOKUP(AP$1,main!$A$3:$I$56,7,FALSE),main!$K$19:$O$22,MATCH(VLOOKUP($A37,main!$A$3:$I$56,8,FALSE),main!$K$18:$O$18,0))))),1,0)</f>
        <v>0</v>
      </c>
      <c r="AQ37">
        <f>IF((AND(VLOOKUP(AQ$1,main!$A$3:$I$56,5,FALSE)-VLOOKUP($A37,main!$A$3:$I$56,6,FALSE)&gt;=(VLOOKUP(VLOOKUP(AQ$1,main!$A$3:$I$56,8,FALSE),main!$K$11:$M$14,2,FALSE)+VLOOKUP(VLOOKUP(AQ$1,main!$A$3:$I$56,7,FALSE),main!$K$19:$O$22,MATCH(VLOOKUP($A37,main!$A$3:$I$56,8,FALSE),main!$K$18:$O$18,0))))),1,0)</f>
        <v>0</v>
      </c>
      <c r="AR37">
        <f>IF((AND(VLOOKUP(AR$1,main!$A$3:$I$56,5,FALSE)-VLOOKUP($A37,main!$A$3:$I$56,6,FALSE)&gt;=(VLOOKUP(VLOOKUP(AR$1,main!$A$3:$I$56,8,FALSE),main!$K$11:$M$14,2,FALSE)+VLOOKUP(VLOOKUP(AR$1,main!$A$3:$I$56,7,FALSE),main!$K$19:$O$22,MATCH(VLOOKUP($A37,main!$A$3:$I$56,8,FALSE),main!$K$18:$O$18,0))))),1,0)</f>
        <v>0</v>
      </c>
      <c r="AS37">
        <f>IF((AND(VLOOKUP(AS$1,main!$A$3:$I$56,5,FALSE)-VLOOKUP($A37,main!$A$3:$I$56,6,FALSE)&gt;=(VLOOKUP(VLOOKUP(AS$1,main!$A$3:$I$56,8,FALSE),main!$K$11:$M$14,2,FALSE)+VLOOKUP(VLOOKUP(AS$1,main!$A$3:$I$56,7,FALSE),main!$K$19:$O$22,MATCH(VLOOKUP($A37,main!$A$3:$I$56,8,FALSE),main!$K$18:$O$18,0))))),1,0)</f>
        <v>0</v>
      </c>
      <c r="AT37">
        <f>IF((AND(VLOOKUP(AT$1,main!$A$3:$I$56,5,FALSE)-VLOOKUP($A37,main!$A$3:$I$56,6,FALSE)&gt;=(VLOOKUP(VLOOKUP(AT$1,main!$A$3:$I$56,8,FALSE),main!$K$11:$M$14,2,FALSE)+VLOOKUP(VLOOKUP(AT$1,main!$A$3:$I$56,7,FALSE),main!$K$19:$O$22,MATCH(VLOOKUP($A37,main!$A$3:$I$56,8,FALSE),main!$K$18:$O$18,0))))),1,0)</f>
        <v>0</v>
      </c>
      <c r="AU37">
        <f>IF((AND(VLOOKUP(AU$1,main!$A$3:$I$56,5,FALSE)-VLOOKUP($A37,main!$A$3:$I$56,6,FALSE)&gt;=(VLOOKUP(VLOOKUP(AU$1,main!$A$3:$I$56,8,FALSE),main!$K$11:$M$14,2,FALSE)+VLOOKUP(VLOOKUP(AU$1,main!$A$3:$I$56,7,FALSE),main!$K$19:$O$22,MATCH(VLOOKUP($A37,main!$A$3:$I$56,8,FALSE),main!$K$18:$O$18,0))))),1,0)</f>
        <v>0</v>
      </c>
      <c r="AV37">
        <f>IF((AND(VLOOKUP(AV$1,main!$A$3:$I$56,5,FALSE)-VLOOKUP($A37,main!$A$3:$I$56,6,FALSE)&gt;=(VLOOKUP(VLOOKUP(AV$1,main!$A$3:$I$56,8,FALSE),main!$K$11:$M$14,2,FALSE)+VLOOKUP(VLOOKUP(AV$1,main!$A$3:$I$56,7,FALSE),main!$K$19:$O$22,MATCH(VLOOKUP($A37,main!$A$3:$I$56,8,FALSE),main!$K$18:$O$18,0))))),1,0)</f>
        <v>0</v>
      </c>
      <c r="AW37">
        <f>IF((AND(VLOOKUP(AW$1,main!$A$3:$I$56,5,FALSE)-VLOOKUP($A37,main!$A$3:$I$56,6,FALSE)&gt;=(VLOOKUP(VLOOKUP(AW$1,main!$A$3:$I$56,8,FALSE),main!$K$11:$M$14,2,FALSE)+VLOOKUP(VLOOKUP(AW$1,main!$A$3:$I$56,7,FALSE),main!$K$19:$O$22,MATCH(VLOOKUP($A37,main!$A$3:$I$56,8,FALSE),main!$K$18:$O$18,0))))),1,0)</f>
        <v>0</v>
      </c>
      <c r="AX37">
        <f>IF((AND(VLOOKUP(AX$1,main!$A$3:$I$56,5,FALSE)-VLOOKUP($A37,main!$A$3:$I$56,6,FALSE)&gt;=(VLOOKUP(VLOOKUP(AX$1,main!$A$3:$I$56,8,FALSE),main!$K$11:$M$14,2,FALSE)+VLOOKUP(VLOOKUP(AX$1,main!$A$3:$I$56,7,FALSE),main!$K$19:$O$22,MATCH(VLOOKUP($A37,main!$A$3:$I$56,8,FALSE),main!$K$18:$O$18,0))))),1,0)</f>
        <v>0</v>
      </c>
      <c r="AY37">
        <f>IF((AND(VLOOKUP(AY$1,main!$A$3:$I$56,5,FALSE)-VLOOKUP($A37,main!$A$3:$I$56,6,FALSE)&gt;=(VLOOKUP(VLOOKUP(AY$1,main!$A$3:$I$56,8,FALSE),main!$K$11:$M$14,2,FALSE)+VLOOKUP(VLOOKUP(AY$1,main!$A$3:$I$56,7,FALSE),main!$K$19:$O$22,MATCH(VLOOKUP($A37,main!$A$3:$I$56,8,FALSE),main!$K$18:$O$18,0))))),1,0)</f>
        <v>0</v>
      </c>
      <c r="AZ37">
        <f>IF((AND(VLOOKUP(AZ$1,main!$A$3:$I$56,5,FALSE)-VLOOKUP($A37,main!$A$3:$I$56,6,FALSE)&gt;=(VLOOKUP(VLOOKUP(AZ$1,main!$A$3:$I$56,8,FALSE),main!$K$11:$M$14,2,FALSE)+VLOOKUP(VLOOKUP(AZ$1,main!$A$3:$I$56,7,FALSE),main!$K$19:$O$22,MATCH(VLOOKUP($A37,main!$A$3:$I$56,8,FALSE),main!$K$18:$O$18,0))))),1,0)</f>
        <v>0</v>
      </c>
      <c r="BA37">
        <f>IF((AND(VLOOKUP(BA$1,main!$A$3:$I$56,5,FALSE)-VLOOKUP($A37,main!$A$3:$I$56,6,FALSE)&gt;=(VLOOKUP(VLOOKUP(BA$1,main!$A$3:$I$56,8,FALSE),main!$K$11:$M$14,2,FALSE)+VLOOKUP(VLOOKUP(BA$1,main!$A$3:$I$56,7,FALSE),main!$K$19:$O$22,MATCH(VLOOKUP($A37,main!$A$3:$I$56,8,FALSE),main!$K$18:$O$18,0))))),1,0)</f>
        <v>0</v>
      </c>
      <c r="BB37">
        <f>IF((AND(VLOOKUP(BB$1,main!$A$3:$I$56,5,FALSE)-VLOOKUP($A37,main!$A$3:$I$56,6,FALSE)&gt;=(VLOOKUP(VLOOKUP(BB$1,main!$A$3:$I$56,8,FALSE),main!$K$11:$M$14,2,FALSE)+VLOOKUP(VLOOKUP(BB$1,main!$A$3:$I$56,7,FALSE),main!$K$19:$O$22,MATCH(VLOOKUP($A37,main!$A$3:$I$56,8,FALSE),main!$K$18:$O$18,0))))),1,0)</f>
        <v>0</v>
      </c>
      <c r="BC37">
        <f>IF((AND(VLOOKUP(BC$1,main!$A$3:$I$56,5,FALSE)-VLOOKUP($A37,main!$A$3:$I$56,6,FALSE)&gt;=(VLOOKUP(VLOOKUP(BC$1,main!$A$3:$I$56,8,FALSE),main!$K$11:$M$14,2,FALSE)+VLOOKUP(VLOOKUP(BC$1,main!$A$3:$I$56,7,FALSE),main!$K$19:$O$22,MATCH(VLOOKUP($A37,main!$A$3:$I$56,8,FALSE),main!$K$18:$O$18,0))))),1,0)</f>
        <v>0</v>
      </c>
      <c r="BD37">
        <f>IF((AND(VLOOKUP(BD$1,main!$A$3:$I$56,5,FALSE)-VLOOKUP($A37,main!$A$3:$I$56,6,FALSE)&gt;=(VLOOKUP(VLOOKUP(BD$1,main!$A$3:$I$56,8,FALSE),main!$K$11:$M$14,2,FALSE)+VLOOKUP(VLOOKUP(BD$1,main!$A$3:$I$56,7,FALSE),main!$K$19:$O$22,MATCH(VLOOKUP($A37,main!$A$3:$I$56,8,FALSE),main!$K$18:$O$18,0))))),1,0)</f>
        <v>0</v>
      </c>
    </row>
    <row r="38" spans="1:56" x14ac:dyDescent="0.25">
      <c r="A38">
        <f t="shared" si="0"/>
        <v>36</v>
      </c>
      <c r="B38">
        <v>1</v>
      </c>
      <c r="C38">
        <f>IF((AND(VLOOKUP(C$1,main!$A$3:$I$56,5,FALSE)-VLOOKUP($A38,main!$A$3:$I$56,6,FALSE)&gt;=(VLOOKUP(VLOOKUP(C$1,main!$A$3:$I$56,8,FALSE),main!$K$11:$M$14,2,FALSE)+VLOOKUP(VLOOKUP(C$1,main!$A$3:$I$56,7,FALSE),main!$K$19:$O$22,MATCH(VLOOKUP($A38,main!$A$3:$I$56,8,FALSE),main!$K$18:$O$18,0))))),1,0)</f>
        <v>0</v>
      </c>
      <c r="D38">
        <f>IF((AND(VLOOKUP(D$1,main!$A$3:$I$56,5,FALSE)-VLOOKUP($A38,main!$A$3:$I$56,6,FALSE)&gt;=(VLOOKUP(VLOOKUP(D$1,main!$A$3:$I$56,8,FALSE),main!$K$11:$M$14,2,FALSE)+VLOOKUP(VLOOKUP(D$1,main!$A$3:$I$56,7,FALSE),main!$K$19:$O$22,MATCH(VLOOKUP($A38,main!$A$3:$I$56,8,FALSE),main!$K$18:$O$18,0))))),1,0)</f>
        <v>1</v>
      </c>
      <c r="E38">
        <f>IF((AND(VLOOKUP(E$1,main!$A$3:$I$56,5,FALSE)-VLOOKUP($A38,main!$A$3:$I$56,6,FALSE)&gt;=(VLOOKUP(VLOOKUP(E$1,main!$A$3:$I$56,8,FALSE),main!$K$11:$M$14,2,FALSE)+VLOOKUP(VLOOKUP(E$1,main!$A$3:$I$56,7,FALSE),main!$K$19:$O$22,MATCH(VLOOKUP($A38,main!$A$3:$I$56,8,FALSE),main!$K$18:$O$18,0))))),1,0)</f>
        <v>1</v>
      </c>
      <c r="F38">
        <f>IF((AND(VLOOKUP(F$1,main!$A$3:$I$56,5,FALSE)-VLOOKUP($A38,main!$A$3:$I$56,6,FALSE)&gt;=(VLOOKUP(VLOOKUP(F$1,main!$A$3:$I$56,8,FALSE),main!$K$11:$M$14,2,FALSE)+VLOOKUP(VLOOKUP(F$1,main!$A$3:$I$56,7,FALSE),main!$K$19:$O$22,MATCH(VLOOKUP($A38,main!$A$3:$I$56,8,FALSE),main!$K$18:$O$18,0))))),1,0)</f>
        <v>1</v>
      </c>
      <c r="G38">
        <f>IF((AND(VLOOKUP(G$1,main!$A$3:$I$56,5,FALSE)-VLOOKUP($A38,main!$A$3:$I$56,6,FALSE)&gt;=(VLOOKUP(VLOOKUP(G$1,main!$A$3:$I$56,8,FALSE),main!$K$11:$M$14,2,FALSE)+VLOOKUP(VLOOKUP(G$1,main!$A$3:$I$56,7,FALSE),main!$K$19:$O$22,MATCH(VLOOKUP($A38,main!$A$3:$I$56,8,FALSE),main!$K$18:$O$18,0))))),1,0)</f>
        <v>1</v>
      </c>
      <c r="H38">
        <f>IF((AND(VLOOKUP(H$1,main!$A$3:$I$56,5,FALSE)-VLOOKUP($A38,main!$A$3:$I$56,6,FALSE)&gt;=(VLOOKUP(VLOOKUP(H$1,main!$A$3:$I$56,8,FALSE),main!$K$11:$M$14,2,FALSE)+VLOOKUP(VLOOKUP(H$1,main!$A$3:$I$56,7,FALSE),main!$K$19:$O$22,MATCH(VLOOKUP($A38,main!$A$3:$I$56,8,FALSE),main!$K$18:$O$18,0))))),1,0)</f>
        <v>1</v>
      </c>
      <c r="I38">
        <f>IF((AND(VLOOKUP(I$1,main!$A$3:$I$56,5,FALSE)-VLOOKUP($A38,main!$A$3:$I$56,6,FALSE)&gt;=(VLOOKUP(VLOOKUP(I$1,main!$A$3:$I$56,8,FALSE),main!$K$11:$M$14,2,FALSE)+VLOOKUP(VLOOKUP(I$1,main!$A$3:$I$56,7,FALSE),main!$K$19:$O$22,MATCH(VLOOKUP($A38,main!$A$3:$I$56,8,FALSE),main!$K$18:$O$18,0))))),1,0)</f>
        <v>1</v>
      </c>
      <c r="J38">
        <f>IF((AND(VLOOKUP(J$1,main!$A$3:$I$56,5,FALSE)-VLOOKUP($A38,main!$A$3:$I$56,6,FALSE)&gt;=(VLOOKUP(VLOOKUP(J$1,main!$A$3:$I$56,8,FALSE),main!$K$11:$M$14,2,FALSE)+VLOOKUP(VLOOKUP(J$1,main!$A$3:$I$56,7,FALSE),main!$K$19:$O$22,MATCH(VLOOKUP($A38,main!$A$3:$I$56,8,FALSE),main!$K$18:$O$18,0))))),1,0)</f>
        <v>1</v>
      </c>
      <c r="K38">
        <f>IF((AND(VLOOKUP(K$1,main!$A$3:$I$56,5,FALSE)-VLOOKUP($A38,main!$A$3:$I$56,6,FALSE)&gt;=(VLOOKUP(VLOOKUP(K$1,main!$A$3:$I$56,8,FALSE),main!$K$11:$M$14,2,FALSE)+VLOOKUP(VLOOKUP(K$1,main!$A$3:$I$56,7,FALSE),main!$K$19:$O$22,MATCH(VLOOKUP($A38,main!$A$3:$I$56,8,FALSE),main!$K$18:$O$18,0))))),1,0)</f>
        <v>0</v>
      </c>
      <c r="L38">
        <f>IF((AND(VLOOKUP(L$1,main!$A$3:$I$56,5,FALSE)-VLOOKUP($A38,main!$A$3:$I$56,6,FALSE)&gt;=(VLOOKUP(VLOOKUP(L$1,main!$A$3:$I$56,8,FALSE),main!$K$11:$M$14,2,FALSE)+VLOOKUP(VLOOKUP(L$1,main!$A$3:$I$56,7,FALSE),main!$K$19:$O$22,MATCH(VLOOKUP($A38,main!$A$3:$I$56,8,FALSE),main!$K$18:$O$18,0))))),1,0)</f>
        <v>0</v>
      </c>
      <c r="M38">
        <f>IF((AND(VLOOKUP(M$1,main!$A$3:$I$56,5,FALSE)-VLOOKUP($A38,main!$A$3:$I$56,6,FALSE)&gt;=(VLOOKUP(VLOOKUP(M$1,main!$A$3:$I$56,8,FALSE),main!$K$11:$M$14,2,FALSE)+VLOOKUP(VLOOKUP(M$1,main!$A$3:$I$56,7,FALSE),main!$K$19:$O$22,MATCH(VLOOKUP($A38,main!$A$3:$I$56,8,FALSE),main!$K$18:$O$18,0))))),1,0)</f>
        <v>1</v>
      </c>
      <c r="N38">
        <f>IF((AND(VLOOKUP(N$1,main!$A$3:$I$56,5,FALSE)-VLOOKUP($A38,main!$A$3:$I$56,6,FALSE)&gt;=(VLOOKUP(VLOOKUP(N$1,main!$A$3:$I$56,8,FALSE),main!$K$11:$M$14,2,FALSE)+VLOOKUP(VLOOKUP(N$1,main!$A$3:$I$56,7,FALSE),main!$K$19:$O$22,MATCH(VLOOKUP($A38,main!$A$3:$I$56,8,FALSE),main!$K$18:$O$18,0))))),1,0)</f>
        <v>1</v>
      </c>
      <c r="O38">
        <f>IF((AND(VLOOKUP(O$1,main!$A$3:$I$56,5,FALSE)-VLOOKUP($A38,main!$A$3:$I$56,6,FALSE)&gt;=(VLOOKUP(VLOOKUP(O$1,main!$A$3:$I$56,8,FALSE),main!$K$11:$M$14,2,FALSE)+VLOOKUP(VLOOKUP(O$1,main!$A$3:$I$56,7,FALSE),main!$K$19:$O$22,MATCH(VLOOKUP($A38,main!$A$3:$I$56,8,FALSE),main!$K$18:$O$18,0))))),1,0)</f>
        <v>1</v>
      </c>
      <c r="P38">
        <f>IF((AND(VLOOKUP(P$1,main!$A$3:$I$56,5,FALSE)-VLOOKUP($A38,main!$A$3:$I$56,6,FALSE)&gt;=(VLOOKUP(VLOOKUP(P$1,main!$A$3:$I$56,8,FALSE),main!$K$11:$M$14,2,FALSE)+VLOOKUP(VLOOKUP(P$1,main!$A$3:$I$56,7,FALSE),main!$K$19:$O$22,MATCH(VLOOKUP($A38,main!$A$3:$I$56,8,FALSE),main!$K$18:$O$18,0))))),1,0)</f>
        <v>0</v>
      </c>
      <c r="Q38">
        <f>IF((AND(VLOOKUP(Q$1,main!$A$3:$I$56,5,FALSE)-VLOOKUP($A38,main!$A$3:$I$56,6,FALSE)&gt;=(VLOOKUP(VLOOKUP(Q$1,main!$A$3:$I$56,8,FALSE),main!$K$11:$M$14,2,FALSE)+VLOOKUP(VLOOKUP(Q$1,main!$A$3:$I$56,7,FALSE),main!$K$19:$O$22,MATCH(VLOOKUP($A38,main!$A$3:$I$56,8,FALSE),main!$K$18:$O$18,0))))),1,0)</f>
        <v>0</v>
      </c>
      <c r="R38">
        <f>IF((AND(VLOOKUP(R$1,main!$A$3:$I$56,5,FALSE)-VLOOKUP($A38,main!$A$3:$I$56,6,FALSE)&gt;=(VLOOKUP(VLOOKUP(R$1,main!$A$3:$I$56,8,FALSE),main!$K$11:$M$14,2,FALSE)+VLOOKUP(VLOOKUP(R$1,main!$A$3:$I$56,7,FALSE),main!$K$19:$O$22,MATCH(VLOOKUP($A38,main!$A$3:$I$56,8,FALSE),main!$K$18:$O$18,0))))),1,0)</f>
        <v>1</v>
      </c>
      <c r="S38">
        <f>IF((AND(VLOOKUP(S$1,main!$A$3:$I$56,5,FALSE)-VLOOKUP($A38,main!$A$3:$I$56,6,FALSE)&gt;=(VLOOKUP(VLOOKUP(S$1,main!$A$3:$I$56,8,FALSE),main!$K$11:$M$14,2,FALSE)+VLOOKUP(VLOOKUP(S$1,main!$A$3:$I$56,7,FALSE),main!$K$19:$O$22,MATCH(VLOOKUP($A38,main!$A$3:$I$56,8,FALSE),main!$K$18:$O$18,0))))),1,0)</f>
        <v>1</v>
      </c>
      <c r="T38">
        <f>IF((AND(VLOOKUP(T$1,main!$A$3:$I$56,5,FALSE)-VLOOKUP($A38,main!$A$3:$I$56,6,FALSE)&gt;=(VLOOKUP(VLOOKUP(T$1,main!$A$3:$I$56,8,FALSE),main!$K$11:$M$14,2,FALSE)+VLOOKUP(VLOOKUP(T$1,main!$A$3:$I$56,7,FALSE),main!$K$19:$O$22,MATCH(VLOOKUP($A38,main!$A$3:$I$56,8,FALSE),main!$K$18:$O$18,0))))),1,0)</f>
        <v>1</v>
      </c>
      <c r="U38">
        <f>IF((AND(VLOOKUP(U$1,main!$A$3:$I$56,5,FALSE)-VLOOKUP($A38,main!$A$3:$I$56,6,FALSE)&gt;=(VLOOKUP(VLOOKUP(U$1,main!$A$3:$I$56,8,FALSE),main!$K$11:$M$14,2,FALSE)+VLOOKUP(VLOOKUP(U$1,main!$A$3:$I$56,7,FALSE),main!$K$19:$O$22,MATCH(VLOOKUP($A38,main!$A$3:$I$56,8,FALSE),main!$K$18:$O$18,0))))),1,0)</f>
        <v>0</v>
      </c>
      <c r="V38">
        <f>IF((AND(VLOOKUP(V$1,main!$A$3:$I$56,5,FALSE)-VLOOKUP($A38,main!$A$3:$I$56,6,FALSE)&gt;=(VLOOKUP(VLOOKUP(V$1,main!$A$3:$I$56,8,FALSE),main!$K$11:$M$14,2,FALSE)+VLOOKUP(VLOOKUP(V$1,main!$A$3:$I$56,7,FALSE),main!$K$19:$O$22,MATCH(VLOOKUP($A38,main!$A$3:$I$56,8,FALSE),main!$K$18:$O$18,0))))),1,0)</f>
        <v>0</v>
      </c>
      <c r="W38">
        <f>IF((AND(VLOOKUP(W$1,main!$A$3:$I$56,5,FALSE)-VLOOKUP($A38,main!$A$3:$I$56,6,FALSE)&gt;=(VLOOKUP(VLOOKUP(W$1,main!$A$3:$I$56,8,FALSE),main!$K$11:$M$14,2,FALSE)+VLOOKUP(VLOOKUP(W$1,main!$A$3:$I$56,7,FALSE),main!$K$19:$O$22,MATCH(VLOOKUP($A38,main!$A$3:$I$56,8,FALSE),main!$K$18:$O$18,0))))),1,0)</f>
        <v>1</v>
      </c>
      <c r="X38">
        <f>IF((AND(VLOOKUP(X$1,main!$A$3:$I$56,5,FALSE)-VLOOKUP($A38,main!$A$3:$I$56,6,FALSE)&gt;=(VLOOKUP(VLOOKUP(X$1,main!$A$3:$I$56,8,FALSE),main!$K$11:$M$14,2,FALSE)+VLOOKUP(VLOOKUP(X$1,main!$A$3:$I$56,7,FALSE),main!$K$19:$O$22,MATCH(VLOOKUP($A38,main!$A$3:$I$56,8,FALSE),main!$K$18:$O$18,0))))),1,0)</f>
        <v>1</v>
      </c>
      <c r="Y38">
        <f>IF((AND(VLOOKUP(Y$1,main!$A$3:$I$56,5,FALSE)-VLOOKUP($A38,main!$A$3:$I$56,6,FALSE)&gt;=(VLOOKUP(VLOOKUP(Y$1,main!$A$3:$I$56,8,FALSE),main!$K$11:$M$14,2,FALSE)+VLOOKUP(VLOOKUP(Y$1,main!$A$3:$I$56,7,FALSE),main!$K$19:$O$22,MATCH(VLOOKUP($A38,main!$A$3:$I$56,8,FALSE),main!$K$18:$O$18,0))))),1,0)</f>
        <v>1</v>
      </c>
      <c r="Z38">
        <f>IF((AND(VLOOKUP(Z$1,main!$A$3:$I$56,5,FALSE)-VLOOKUP($A38,main!$A$3:$I$56,6,FALSE)&gt;=(VLOOKUP(VLOOKUP(Z$1,main!$A$3:$I$56,8,FALSE),main!$K$11:$M$14,2,FALSE)+VLOOKUP(VLOOKUP(Z$1,main!$A$3:$I$56,7,FALSE),main!$K$19:$O$22,MATCH(VLOOKUP($A38,main!$A$3:$I$56,8,FALSE),main!$K$18:$O$18,0))))),1,0)</f>
        <v>1</v>
      </c>
      <c r="AA38">
        <f>IF((AND(VLOOKUP(AA$1,main!$A$3:$I$56,5,FALSE)-VLOOKUP($A38,main!$A$3:$I$56,6,FALSE)&gt;=(VLOOKUP(VLOOKUP(AA$1,main!$A$3:$I$56,8,FALSE),main!$K$11:$M$14,2,FALSE)+VLOOKUP(VLOOKUP(AA$1,main!$A$3:$I$56,7,FALSE),main!$K$19:$O$22,MATCH(VLOOKUP($A38,main!$A$3:$I$56,8,FALSE),main!$K$18:$O$18,0))))),1,0)</f>
        <v>1</v>
      </c>
      <c r="AB38">
        <f>IF((AND(VLOOKUP(AB$1,main!$A$3:$I$56,5,FALSE)-VLOOKUP($A38,main!$A$3:$I$56,6,FALSE)&gt;=(VLOOKUP(VLOOKUP(AB$1,main!$A$3:$I$56,8,FALSE),main!$K$11:$M$14,2,FALSE)+VLOOKUP(VLOOKUP(AB$1,main!$A$3:$I$56,7,FALSE),main!$K$19:$O$22,MATCH(VLOOKUP($A38,main!$A$3:$I$56,8,FALSE),main!$K$18:$O$18,0))))),1,0)</f>
        <v>1</v>
      </c>
      <c r="AC38">
        <f>IF((AND(VLOOKUP(AC$1,main!$A$3:$I$56,5,FALSE)-VLOOKUP($A38,main!$A$3:$I$56,6,FALSE)&gt;=(VLOOKUP(VLOOKUP(AC$1,main!$A$3:$I$56,8,FALSE),main!$K$11:$M$14,2,FALSE)+VLOOKUP(VLOOKUP(AC$1,main!$A$3:$I$56,7,FALSE),main!$K$19:$O$22,MATCH(VLOOKUP($A38,main!$A$3:$I$56,8,FALSE),main!$K$18:$O$18,0))))),1,0)</f>
        <v>0</v>
      </c>
      <c r="AD38">
        <f>IF((AND(VLOOKUP(AD$1,main!$A$3:$I$56,5,FALSE)-VLOOKUP($A38,main!$A$3:$I$56,6,FALSE)&gt;=(VLOOKUP(VLOOKUP(AD$1,main!$A$3:$I$56,8,FALSE),main!$K$11:$M$14,2,FALSE)+VLOOKUP(VLOOKUP(AD$1,main!$A$3:$I$56,7,FALSE),main!$K$19:$O$22,MATCH(VLOOKUP($A38,main!$A$3:$I$56,8,FALSE),main!$K$18:$O$18,0))))),1,0)</f>
        <v>0</v>
      </c>
      <c r="AE38">
        <f>IF((AND(VLOOKUP(AE$1,main!$A$3:$I$56,5,FALSE)-VLOOKUP($A38,main!$A$3:$I$56,6,FALSE)&gt;=(VLOOKUP(VLOOKUP(AE$1,main!$A$3:$I$56,8,FALSE),main!$K$11:$M$14,2,FALSE)+VLOOKUP(VLOOKUP(AE$1,main!$A$3:$I$56,7,FALSE),main!$K$19:$O$22,MATCH(VLOOKUP($A38,main!$A$3:$I$56,8,FALSE),main!$K$18:$O$18,0))))),1,0)</f>
        <v>1</v>
      </c>
      <c r="AF38">
        <f>IF((AND(VLOOKUP(AF$1,main!$A$3:$I$56,5,FALSE)-VLOOKUP($A38,main!$A$3:$I$56,6,FALSE)&gt;=(VLOOKUP(VLOOKUP(AF$1,main!$A$3:$I$56,8,FALSE),main!$K$11:$M$14,2,FALSE)+VLOOKUP(VLOOKUP(AF$1,main!$A$3:$I$56,7,FALSE),main!$K$19:$O$22,MATCH(VLOOKUP($A38,main!$A$3:$I$56,8,FALSE),main!$K$18:$O$18,0))))),1,0)</f>
        <v>1</v>
      </c>
      <c r="AG38">
        <f>IF((AND(VLOOKUP(AG$1,main!$A$3:$I$56,5,FALSE)-VLOOKUP($A38,main!$A$3:$I$56,6,FALSE)&gt;=(VLOOKUP(VLOOKUP(AG$1,main!$A$3:$I$56,8,FALSE),main!$K$11:$M$14,2,FALSE)+VLOOKUP(VLOOKUP(AG$1,main!$A$3:$I$56,7,FALSE),main!$K$19:$O$22,MATCH(VLOOKUP($A38,main!$A$3:$I$56,8,FALSE),main!$K$18:$O$18,0))))),1,0)</f>
        <v>0</v>
      </c>
      <c r="AH38">
        <f>IF((AND(VLOOKUP(AH$1,main!$A$3:$I$56,5,FALSE)-VLOOKUP($A38,main!$A$3:$I$56,6,FALSE)&gt;=(VLOOKUP(VLOOKUP(AH$1,main!$A$3:$I$56,8,FALSE),main!$K$11:$M$14,2,FALSE)+VLOOKUP(VLOOKUP(AH$1,main!$A$3:$I$56,7,FALSE),main!$K$19:$O$22,MATCH(VLOOKUP($A38,main!$A$3:$I$56,8,FALSE),main!$K$18:$O$18,0))))),1,0)</f>
        <v>1</v>
      </c>
      <c r="AI38">
        <f>IF((AND(VLOOKUP(AI$1,main!$A$3:$I$56,5,FALSE)-VLOOKUP($A38,main!$A$3:$I$56,6,FALSE)&gt;=(VLOOKUP(VLOOKUP(AI$1,main!$A$3:$I$56,8,FALSE),main!$K$11:$M$14,2,FALSE)+VLOOKUP(VLOOKUP(AI$1,main!$A$3:$I$56,7,FALSE),main!$K$19:$O$22,MATCH(VLOOKUP($A38,main!$A$3:$I$56,8,FALSE),main!$K$18:$O$18,0))))),1,0)</f>
        <v>1</v>
      </c>
      <c r="AJ38">
        <f>IF((AND(VLOOKUP(AJ$1,main!$A$3:$I$56,5,FALSE)-VLOOKUP($A38,main!$A$3:$I$56,6,FALSE)&gt;=(VLOOKUP(VLOOKUP(AJ$1,main!$A$3:$I$56,8,FALSE),main!$K$11:$M$14,2,FALSE)+VLOOKUP(VLOOKUP(AJ$1,main!$A$3:$I$56,7,FALSE),main!$K$19:$O$22,MATCH(VLOOKUP($A38,main!$A$3:$I$56,8,FALSE),main!$K$18:$O$18,0))))),1,0)</f>
        <v>1</v>
      </c>
      <c r="AK38">
        <f>IF((AND(VLOOKUP(AK$1,main!$A$3:$I$56,5,FALSE)-VLOOKUP($A38,main!$A$3:$I$56,6,FALSE)&gt;=(VLOOKUP(VLOOKUP(AK$1,main!$A$3:$I$56,8,FALSE),main!$K$11:$M$14,2,FALSE)+VLOOKUP(VLOOKUP(AK$1,main!$A$3:$I$56,7,FALSE),main!$K$19:$O$22,MATCH(VLOOKUP($A38,main!$A$3:$I$56,8,FALSE),main!$K$18:$O$18,0))))),1,0)</f>
        <v>1</v>
      </c>
      <c r="AL38">
        <f>IF((AND(VLOOKUP(AL$1,main!$A$3:$I$56,5,FALSE)-VLOOKUP($A38,main!$A$3:$I$56,6,FALSE)&gt;=(VLOOKUP(VLOOKUP(AL$1,main!$A$3:$I$56,8,FALSE),main!$K$11:$M$14,2,FALSE)+VLOOKUP(VLOOKUP(AL$1,main!$A$3:$I$56,7,FALSE),main!$K$19:$O$22,MATCH(VLOOKUP($A38,main!$A$3:$I$56,8,FALSE),main!$K$18:$O$18,0))))),1,0)</f>
        <v>0</v>
      </c>
      <c r="AM38">
        <f>IF((AND(VLOOKUP(AM$1,main!$A$3:$I$56,5,FALSE)-VLOOKUP($A38,main!$A$3:$I$56,6,FALSE)&gt;=(VLOOKUP(VLOOKUP(AM$1,main!$A$3:$I$56,8,FALSE),main!$K$11:$M$14,2,FALSE)+VLOOKUP(VLOOKUP(AM$1,main!$A$3:$I$56,7,FALSE),main!$K$19:$O$22,MATCH(VLOOKUP($A38,main!$A$3:$I$56,8,FALSE),main!$K$18:$O$18,0))))),1,0)</f>
        <v>0</v>
      </c>
      <c r="AN38">
        <f>IF((AND(VLOOKUP(AN$1,main!$A$3:$I$56,5,FALSE)-VLOOKUP($A38,main!$A$3:$I$56,6,FALSE)&gt;=(VLOOKUP(VLOOKUP(AN$1,main!$A$3:$I$56,8,FALSE),main!$K$11:$M$14,2,FALSE)+VLOOKUP(VLOOKUP(AN$1,main!$A$3:$I$56,7,FALSE),main!$K$19:$O$22,MATCH(VLOOKUP($A38,main!$A$3:$I$56,8,FALSE),main!$K$18:$O$18,0))))),1,0)</f>
        <v>1</v>
      </c>
      <c r="AO38">
        <f>IF((AND(VLOOKUP(AO$1,main!$A$3:$I$56,5,FALSE)-VLOOKUP($A38,main!$A$3:$I$56,6,FALSE)&gt;=(VLOOKUP(VLOOKUP(AO$1,main!$A$3:$I$56,8,FALSE),main!$K$11:$M$14,2,FALSE)+VLOOKUP(VLOOKUP(AO$1,main!$A$3:$I$56,7,FALSE),main!$K$19:$O$22,MATCH(VLOOKUP($A38,main!$A$3:$I$56,8,FALSE),main!$K$18:$O$18,0))))),1,0)</f>
        <v>1</v>
      </c>
      <c r="AP38">
        <f>IF((AND(VLOOKUP(AP$1,main!$A$3:$I$56,5,FALSE)-VLOOKUP($A38,main!$A$3:$I$56,6,FALSE)&gt;=(VLOOKUP(VLOOKUP(AP$1,main!$A$3:$I$56,8,FALSE),main!$K$11:$M$14,2,FALSE)+VLOOKUP(VLOOKUP(AP$1,main!$A$3:$I$56,7,FALSE),main!$K$19:$O$22,MATCH(VLOOKUP($A38,main!$A$3:$I$56,8,FALSE),main!$K$18:$O$18,0))))),1,0)</f>
        <v>0</v>
      </c>
      <c r="AQ38">
        <f>IF((AND(VLOOKUP(AQ$1,main!$A$3:$I$56,5,FALSE)-VLOOKUP($A38,main!$A$3:$I$56,6,FALSE)&gt;=(VLOOKUP(VLOOKUP(AQ$1,main!$A$3:$I$56,8,FALSE),main!$K$11:$M$14,2,FALSE)+VLOOKUP(VLOOKUP(AQ$1,main!$A$3:$I$56,7,FALSE),main!$K$19:$O$22,MATCH(VLOOKUP($A38,main!$A$3:$I$56,8,FALSE),main!$K$18:$O$18,0))))),1,0)</f>
        <v>0</v>
      </c>
      <c r="AR38">
        <f>IF((AND(VLOOKUP(AR$1,main!$A$3:$I$56,5,FALSE)-VLOOKUP($A38,main!$A$3:$I$56,6,FALSE)&gt;=(VLOOKUP(VLOOKUP(AR$1,main!$A$3:$I$56,8,FALSE),main!$K$11:$M$14,2,FALSE)+VLOOKUP(VLOOKUP(AR$1,main!$A$3:$I$56,7,FALSE),main!$K$19:$O$22,MATCH(VLOOKUP($A38,main!$A$3:$I$56,8,FALSE),main!$K$18:$O$18,0))))),1,0)</f>
        <v>0</v>
      </c>
      <c r="AS38">
        <f>IF((AND(VLOOKUP(AS$1,main!$A$3:$I$56,5,FALSE)-VLOOKUP($A38,main!$A$3:$I$56,6,FALSE)&gt;=(VLOOKUP(VLOOKUP(AS$1,main!$A$3:$I$56,8,FALSE),main!$K$11:$M$14,2,FALSE)+VLOOKUP(VLOOKUP(AS$1,main!$A$3:$I$56,7,FALSE),main!$K$19:$O$22,MATCH(VLOOKUP($A38,main!$A$3:$I$56,8,FALSE),main!$K$18:$O$18,0))))),1,0)</f>
        <v>1</v>
      </c>
      <c r="AT38">
        <f>IF((AND(VLOOKUP(AT$1,main!$A$3:$I$56,5,FALSE)-VLOOKUP($A38,main!$A$3:$I$56,6,FALSE)&gt;=(VLOOKUP(VLOOKUP(AT$1,main!$A$3:$I$56,8,FALSE),main!$K$11:$M$14,2,FALSE)+VLOOKUP(VLOOKUP(AT$1,main!$A$3:$I$56,7,FALSE),main!$K$19:$O$22,MATCH(VLOOKUP($A38,main!$A$3:$I$56,8,FALSE),main!$K$18:$O$18,0))))),1,0)</f>
        <v>1</v>
      </c>
      <c r="AU38">
        <f>IF((AND(VLOOKUP(AU$1,main!$A$3:$I$56,5,FALSE)-VLOOKUP($A38,main!$A$3:$I$56,6,FALSE)&gt;=(VLOOKUP(VLOOKUP(AU$1,main!$A$3:$I$56,8,FALSE),main!$K$11:$M$14,2,FALSE)+VLOOKUP(VLOOKUP(AU$1,main!$A$3:$I$56,7,FALSE),main!$K$19:$O$22,MATCH(VLOOKUP($A38,main!$A$3:$I$56,8,FALSE),main!$K$18:$O$18,0))))),1,0)</f>
        <v>0</v>
      </c>
      <c r="AV38">
        <f>IF((AND(VLOOKUP(AV$1,main!$A$3:$I$56,5,FALSE)-VLOOKUP($A38,main!$A$3:$I$56,6,FALSE)&gt;=(VLOOKUP(VLOOKUP(AV$1,main!$A$3:$I$56,8,FALSE),main!$K$11:$M$14,2,FALSE)+VLOOKUP(VLOOKUP(AV$1,main!$A$3:$I$56,7,FALSE),main!$K$19:$O$22,MATCH(VLOOKUP($A38,main!$A$3:$I$56,8,FALSE),main!$K$18:$O$18,0))))),1,0)</f>
        <v>1</v>
      </c>
      <c r="AW38">
        <f>IF((AND(VLOOKUP(AW$1,main!$A$3:$I$56,5,FALSE)-VLOOKUP($A38,main!$A$3:$I$56,6,FALSE)&gt;=(VLOOKUP(VLOOKUP(AW$1,main!$A$3:$I$56,8,FALSE),main!$K$11:$M$14,2,FALSE)+VLOOKUP(VLOOKUP(AW$1,main!$A$3:$I$56,7,FALSE),main!$K$19:$O$22,MATCH(VLOOKUP($A38,main!$A$3:$I$56,8,FALSE),main!$K$18:$O$18,0))))),1,0)</f>
        <v>1</v>
      </c>
      <c r="AX38">
        <f>IF((AND(VLOOKUP(AX$1,main!$A$3:$I$56,5,FALSE)-VLOOKUP($A38,main!$A$3:$I$56,6,FALSE)&gt;=(VLOOKUP(VLOOKUP(AX$1,main!$A$3:$I$56,8,FALSE),main!$K$11:$M$14,2,FALSE)+VLOOKUP(VLOOKUP(AX$1,main!$A$3:$I$56,7,FALSE),main!$K$19:$O$22,MATCH(VLOOKUP($A38,main!$A$3:$I$56,8,FALSE),main!$K$18:$O$18,0))))),1,0)</f>
        <v>1</v>
      </c>
      <c r="AY38">
        <f>IF((AND(VLOOKUP(AY$1,main!$A$3:$I$56,5,FALSE)-VLOOKUP($A38,main!$A$3:$I$56,6,FALSE)&gt;=(VLOOKUP(VLOOKUP(AY$1,main!$A$3:$I$56,8,FALSE),main!$K$11:$M$14,2,FALSE)+VLOOKUP(VLOOKUP(AY$1,main!$A$3:$I$56,7,FALSE),main!$K$19:$O$22,MATCH(VLOOKUP($A38,main!$A$3:$I$56,8,FALSE),main!$K$18:$O$18,0))))),1,0)</f>
        <v>1</v>
      </c>
      <c r="AZ38">
        <f>IF((AND(VLOOKUP(AZ$1,main!$A$3:$I$56,5,FALSE)-VLOOKUP($A38,main!$A$3:$I$56,6,FALSE)&gt;=(VLOOKUP(VLOOKUP(AZ$1,main!$A$3:$I$56,8,FALSE),main!$K$11:$M$14,2,FALSE)+VLOOKUP(VLOOKUP(AZ$1,main!$A$3:$I$56,7,FALSE),main!$K$19:$O$22,MATCH(VLOOKUP($A38,main!$A$3:$I$56,8,FALSE),main!$K$18:$O$18,0))))),1,0)</f>
        <v>0</v>
      </c>
      <c r="BA38">
        <f>IF((AND(VLOOKUP(BA$1,main!$A$3:$I$56,5,FALSE)-VLOOKUP($A38,main!$A$3:$I$56,6,FALSE)&gt;=(VLOOKUP(VLOOKUP(BA$1,main!$A$3:$I$56,8,FALSE),main!$K$11:$M$14,2,FALSE)+VLOOKUP(VLOOKUP(BA$1,main!$A$3:$I$56,7,FALSE),main!$K$19:$O$22,MATCH(VLOOKUP($A38,main!$A$3:$I$56,8,FALSE),main!$K$18:$O$18,0))))),1,0)</f>
        <v>1</v>
      </c>
      <c r="BB38">
        <f>IF((AND(VLOOKUP(BB$1,main!$A$3:$I$56,5,FALSE)-VLOOKUP($A38,main!$A$3:$I$56,6,FALSE)&gt;=(VLOOKUP(VLOOKUP(BB$1,main!$A$3:$I$56,8,FALSE),main!$K$11:$M$14,2,FALSE)+VLOOKUP(VLOOKUP(BB$1,main!$A$3:$I$56,7,FALSE),main!$K$19:$O$22,MATCH(VLOOKUP($A38,main!$A$3:$I$56,8,FALSE),main!$K$18:$O$18,0))))),1,0)</f>
        <v>1</v>
      </c>
      <c r="BC38">
        <f>IF((AND(VLOOKUP(BC$1,main!$A$3:$I$56,5,FALSE)-VLOOKUP($A38,main!$A$3:$I$56,6,FALSE)&gt;=(VLOOKUP(VLOOKUP(BC$1,main!$A$3:$I$56,8,FALSE),main!$K$11:$M$14,2,FALSE)+VLOOKUP(VLOOKUP(BC$1,main!$A$3:$I$56,7,FALSE),main!$K$19:$O$22,MATCH(VLOOKUP($A38,main!$A$3:$I$56,8,FALSE),main!$K$18:$O$18,0))))),1,0)</f>
        <v>1</v>
      </c>
      <c r="BD38">
        <f>IF((AND(VLOOKUP(BD$1,main!$A$3:$I$56,5,FALSE)-VLOOKUP($A38,main!$A$3:$I$56,6,FALSE)&gt;=(VLOOKUP(VLOOKUP(BD$1,main!$A$3:$I$56,8,FALSE),main!$K$11:$M$14,2,FALSE)+VLOOKUP(VLOOKUP(BD$1,main!$A$3:$I$56,7,FALSE),main!$K$19:$O$22,MATCH(VLOOKUP($A38,main!$A$3:$I$56,8,FALSE),main!$K$18:$O$18,0))))),1,0)</f>
        <v>1</v>
      </c>
    </row>
    <row r="39" spans="1:56" x14ac:dyDescent="0.25">
      <c r="A39">
        <f t="shared" si="0"/>
        <v>37</v>
      </c>
      <c r="B39">
        <v>1</v>
      </c>
      <c r="C39">
        <f>IF((AND(VLOOKUP(C$1,main!$A$3:$I$56,5,FALSE)-VLOOKUP($A39,main!$A$3:$I$56,6,FALSE)&gt;=(VLOOKUP(VLOOKUP(C$1,main!$A$3:$I$56,8,FALSE),main!$K$11:$M$14,2,FALSE)+VLOOKUP(VLOOKUP(C$1,main!$A$3:$I$56,7,FALSE),main!$K$19:$O$22,MATCH(VLOOKUP($A39,main!$A$3:$I$56,8,FALSE),main!$K$18:$O$18,0))))),1,0)</f>
        <v>0</v>
      </c>
      <c r="D39">
        <f>IF((AND(VLOOKUP(D$1,main!$A$3:$I$56,5,FALSE)-VLOOKUP($A39,main!$A$3:$I$56,6,FALSE)&gt;=(VLOOKUP(VLOOKUP(D$1,main!$A$3:$I$56,8,FALSE),main!$K$11:$M$14,2,FALSE)+VLOOKUP(VLOOKUP(D$1,main!$A$3:$I$56,7,FALSE),main!$K$19:$O$22,MATCH(VLOOKUP($A39,main!$A$3:$I$56,8,FALSE),main!$K$18:$O$18,0))))),1,0)</f>
        <v>0</v>
      </c>
      <c r="E39">
        <f>IF((AND(VLOOKUP(E$1,main!$A$3:$I$56,5,FALSE)-VLOOKUP($A39,main!$A$3:$I$56,6,FALSE)&gt;=(VLOOKUP(VLOOKUP(E$1,main!$A$3:$I$56,8,FALSE),main!$K$11:$M$14,2,FALSE)+VLOOKUP(VLOOKUP(E$1,main!$A$3:$I$56,7,FALSE),main!$K$19:$O$22,MATCH(VLOOKUP($A39,main!$A$3:$I$56,8,FALSE),main!$K$18:$O$18,0))))),1,0)</f>
        <v>1</v>
      </c>
      <c r="F39">
        <f>IF((AND(VLOOKUP(F$1,main!$A$3:$I$56,5,FALSE)-VLOOKUP($A39,main!$A$3:$I$56,6,FALSE)&gt;=(VLOOKUP(VLOOKUP(F$1,main!$A$3:$I$56,8,FALSE),main!$K$11:$M$14,2,FALSE)+VLOOKUP(VLOOKUP(F$1,main!$A$3:$I$56,7,FALSE),main!$K$19:$O$22,MATCH(VLOOKUP($A39,main!$A$3:$I$56,8,FALSE),main!$K$18:$O$18,0))))),1,0)</f>
        <v>1</v>
      </c>
      <c r="G39">
        <f>IF((AND(VLOOKUP(G$1,main!$A$3:$I$56,5,FALSE)-VLOOKUP($A39,main!$A$3:$I$56,6,FALSE)&gt;=(VLOOKUP(VLOOKUP(G$1,main!$A$3:$I$56,8,FALSE),main!$K$11:$M$14,2,FALSE)+VLOOKUP(VLOOKUP(G$1,main!$A$3:$I$56,7,FALSE),main!$K$19:$O$22,MATCH(VLOOKUP($A39,main!$A$3:$I$56,8,FALSE),main!$K$18:$O$18,0))))),1,0)</f>
        <v>1</v>
      </c>
      <c r="H39">
        <f>IF((AND(VLOOKUP(H$1,main!$A$3:$I$56,5,FALSE)-VLOOKUP($A39,main!$A$3:$I$56,6,FALSE)&gt;=(VLOOKUP(VLOOKUP(H$1,main!$A$3:$I$56,8,FALSE),main!$K$11:$M$14,2,FALSE)+VLOOKUP(VLOOKUP(H$1,main!$A$3:$I$56,7,FALSE),main!$K$19:$O$22,MATCH(VLOOKUP($A39,main!$A$3:$I$56,8,FALSE),main!$K$18:$O$18,0))))),1,0)</f>
        <v>1</v>
      </c>
      <c r="I39">
        <f>IF((AND(VLOOKUP(I$1,main!$A$3:$I$56,5,FALSE)-VLOOKUP($A39,main!$A$3:$I$56,6,FALSE)&gt;=(VLOOKUP(VLOOKUP(I$1,main!$A$3:$I$56,8,FALSE),main!$K$11:$M$14,2,FALSE)+VLOOKUP(VLOOKUP(I$1,main!$A$3:$I$56,7,FALSE),main!$K$19:$O$22,MATCH(VLOOKUP($A39,main!$A$3:$I$56,8,FALSE),main!$K$18:$O$18,0))))),1,0)</f>
        <v>1</v>
      </c>
      <c r="J39">
        <f>IF((AND(VLOOKUP(J$1,main!$A$3:$I$56,5,FALSE)-VLOOKUP($A39,main!$A$3:$I$56,6,FALSE)&gt;=(VLOOKUP(VLOOKUP(J$1,main!$A$3:$I$56,8,FALSE),main!$K$11:$M$14,2,FALSE)+VLOOKUP(VLOOKUP(J$1,main!$A$3:$I$56,7,FALSE),main!$K$19:$O$22,MATCH(VLOOKUP($A39,main!$A$3:$I$56,8,FALSE),main!$K$18:$O$18,0))))),1,0)</f>
        <v>1</v>
      </c>
      <c r="K39">
        <f>IF((AND(VLOOKUP(K$1,main!$A$3:$I$56,5,FALSE)-VLOOKUP($A39,main!$A$3:$I$56,6,FALSE)&gt;=(VLOOKUP(VLOOKUP(K$1,main!$A$3:$I$56,8,FALSE),main!$K$11:$M$14,2,FALSE)+VLOOKUP(VLOOKUP(K$1,main!$A$3:$I$56,7,FALSE),main!$K$19:$O$22,MATCH(VLOOKUP($A39,main!$A$3:$I$56,8,FALSE),main!$K$18:$O$18,0))))),1,0)</f>
        <v>0</v>
      </c>
      <c r="L39">
        <f>IF((AND(VLOOKUP(L$1,main!$A$3:$I$56,5,FALSE)-VLOOKUP($A39,main!$A$3:$I$56,6,FALSE)&gt;=(VLOOKUP(VLOOKUP(L$1,main!$A$3:$I$56,8,FALSE),main!$K$11:$M$14,2,FALSE)+VLOOKUP(VLOOKUP(L$1,main!$A$3:$I$56,7,FALSE),main!$K$19:$O$22,MATCH(VLOOKUP($A39,main!$A$3:$I$56,8,FALSE),main!$K$18:$O$18,0))))),1,0)</f>
        <v>0</v>
      </c>
      <c r="M39">
        <f>IF((AND(VLOOKUP(M$1,main!$A$3:$I$56,5,FALSE)-VLOOKUP($A39,main!$A$3:$I$56,6,FALSE)&gt;=(VLOOKUP(VLOOKUP(M$1,main!$A$3:$I$56,8,FALSE),main!$K$11:$M$14,2,FALSE)+VLOOKUP(VLOOKUP(M$1,main!$A$3:$I$56,7,FALSE),main!$K$19:$O$22,MATCH(VLOOKUP($A39,main!$A$3:$I$56,8,FALSE),main!$K$18:$O$18,0))))),1,0)</f>
        <v>0</v>
      </c>
      <c r="N39">
        <f>IF((AND(VLOOKUP(N$1,main!$A$3:$I$56,5,FALSE)-VLOOKUP($A39,main!$A$3:$I$56,6,FALSE)&gt;=(VLOOKUP(VLOOKUP(N$1,main!$A$3:$I$56,8,FALSE),main!$K$11:$M$14,2,FALSE)+VLOOKUP(VLOOKUP(N$1,main!$A$3:$I$56,7,FALSE),main!$K$19:$O$22,MATCH(VLOOKUP($A39,main!$A$3:$I$56,8,FALSE),main!$K$18:$O$18,0))))),1,0)</f>
        <v>1</v>
      </c>
      <c r="O39">
        <f>IF((AND(VLOOKUP(O$1,main!$A$3:$I$56,5,FALSE)-VLOOKUP($A39,main!$A$3:$I$56,6,FALSE)&gt;=(VLOOKUP(VLOOKUP(O$1,main!$A$3:$I$56,8,FALSE),main!$K$11:$M$14,2,FALSE)+VLOOKUP(VLOOKUP(O$1,main!$A$3:$I$56,7,FALSE),main!$K$19:$O$22,MATCH(VLOOKUP($A39,main!$A$3:$I$56,8,FALSE),main!$K$18:$O$18,0))))),1,0)</f>
        <v>1</v>
      </c>
      <c r="P39">
        <f>IF((AND(VLOOKUP(P$1,main!$A$3:$I$56,5,FALSE)-VLOOKUP($A39,main!$A$3:$I$56,6,FALSE)&gt;=(VLOOKUP(VLOOKUP(P$1,main!$A$3:$I$56,8,FALSE),main!$K$11:$M$14,2,FALSE)+VLOOKUP(VLOOKUP(P$1,main!$A$3:$I$56,7,FALSE),main!$K$19:$O$22,MATCH(VLOOKUP($A39,main!$A$3:$I$56,8,FALSE),main!$K$18:$O$18,0))))),1,0)</f>
        <v>0</v>
      </c>
      <c r="Q39">
        <f>IF((AND(VLOOKUP(Q$1,main!$A$3:$I$56,5,FALSE)-VLOOKUP($A39,main!$A$3:$I$56,6,FALSE)&gt;=(VLOOKUP(VLOOKUP(Q$1,main!$A$3:$I$56,8,FALSE),main!$K$11:$M$14,2,FALSE)+VLOOKUP(VLOOKUP(Q$1,main!$A$3:$I$56,7,FALSE),main!$K$19:$O$22,MATCH(VLOOKUP($A39,main!$A$3:$I$56,8,FALSE),main!$K$18:$O$18,0))))),1,0)</f>
        <v>0</v>
      </c>
      <c r="R39">
        <f>IF((AND(VLOOKUP(R$1,main!$A$3:$I$56,5,FALSE)-VLOOKUP($A39,main!$A$3:$I$56,6,FALSE)&gt;=(VLOOKUP(VLOOKUP(R$1,main!$A$3:$I$56,8,FALSE),main!$K$11:$M$14,2,FALSE)+VLOOKUP(VLOOKUP(R$1,main!$A$3:$I$56,7,FALSE),main!$K$19:$O$22,MATCH(VLOOKUP($A39,main!$A$3:$I$56,8,FALSE),main!$K$18:$O$18,0))))),1,0)</f>
        <v>0</v>
      </c>
      <c r="S39">
        <f>IF((AND(VLOOKUP(S$1,main!$A$3:$I$56,5,FALSE)-VLOOKUP($A39,main!$A$3:$I$56,6,FALSE)&gt;=(VLOOKUP(VLOOKUP(S$1,main!$A$3:$I$56,8,FALSE),main!$K$11:$M$14,2,FALSE)+VLOOKUP(VLOOKUP(S$1,main!$A$3:$I$56,7,FALSE),main!$K$19:$O$22,MATCH(VLOOKUP($A39,main!$A$3:$I$56,8,FALSE),main!$K$18:$O$18,0))))),1,0)</f>
        <v>1</v>
      </c>
      <c r="T39">
        <f>IF((AND(VLOOKUP(T$1,main!$A$3:$I$56,5,FALSE)-VLOOKUP($A39,main!$A$3:$I$56,6,FALSE)&gt;=(VLOOKUP(VLOOKUP(T$1,main!$A$3:$I$56,8,FALSE),main!$K$11:$M$14,2,FALSE)+VLOOKUP(VLOOKUP(T$1,main!$A$3:$I$56,7,FALSE),main!$K$19:$O$22,MATCH(VLOOKUP($A39,main!$A$3:$I$56,8,FALSE),main!$K$18:$O$18,0))))),1,0)</f>
        <v>1</v>
      </c>
      <c r="U39">
        <f>IF((AND(VLOOKUP(U$1,main!$A$3:$I$56,5,FALSE)-VLOOKUP($A39,main!$A$3:$I$56,6,FALSE)&gt;=(VLOOKUP(VLOOKUP(U$1,main!$A$3:$I$56,8,FALSE),main!$K$11:$M$14,2,FALSE)+VLOOKUP(VLOOKUP(U$1,main!$A$3:$I$56,7,FALSE),main!$K$19:$O$22,MATCH(VLOOKUP($A39,main!$A$3:$I$56,8,FALSE),main!$K$18:$O$18,0))))),1,0)</f>
        <v>0</v>
      </c>
      <c r="V39">
        <f>IF((AND(VLOOKUP(V$1,main!$A$3:$I$56,5,FALSE)-VLOOKUP($A39,main!$A$3:$I$56,6,FALSE)&gt;=(VLOOKUP(VLOOKUP(V$1,main!$A$3:$I$56,8,FALSE),main!$K$11:$M$14,2,FALSE)+VLOOKUP(VLOOKUP(V$1,main!$A$3:$I$56,7,FALSE),main!$K$19:$O$22,MATCH(VLOOKUP($A39,main!$A$3:$I$56,8,FALSE),main!$K$18:$O$18,0))))),1,0)</f>
        <v>0</v>
      </c>
      <c r="W39">
        <f>IF((AND(VLOOKUP(W$1,main!$A$3:$I$56,5,FALSE)-VLOOKUP($A39,main!$A$3:$I$56,6,FALSE)&gt;=(VLOOKUP(VLOOKUP(W$1,main!$A$3:$I$56,8,FALSE),main!$K$11:$M$14,2,FALSE)+VLOOKUP(VLOOKUP(W$1,main!$A$3:$I$56,7,FALSE),main!$K$19:$O$22,MATCH(VLOOKUP($A39,main!$A$3:$I$56,8,FALSE),main!$K$18:$O$18,0))))),1,0)</f>
        <v>0</v>
      </c>
      <c r="X39">
        <f>IF((AND(VLOOKUP(X$1,main!$A$3:$I$56,5,FALSE)-VLOOKUP($A39,main!$A$3:$I$56,6,FALSE)&gt;=(VLOOKUP(VLOOKUP(X$1,main!$A$3:$I$56,8,FALSE),main!$K$11:$M$14,2,FALSE)+VLOOKUP(VLOOKUP(X$1,main!$A$3:$I$56,7,FALSE),main!$K$19:$O$22,MATCH(VLOOKUP($A39,main!$A$3:$I$56,8,FALSE),main!$K$18:$O$18,0))))),1,0)</f>
        <v>1</v>
      </c>
      <c r="Y39">
        <f>IF((AND(VLOOKUP(Y$1,main!$A$3:$I$56,5,FALSE)-VLOOKUP($A39,main!$A$3:$I$56,6,FALSE)&gt;=(VLOOKUP(VLOOKUP(Y$1,main!$A$3:$I$56,8,FALSE),main!$K$11:$M$14,2,FALSE)+VLOOKUP(VLOOKUP(Y$1,main!$A$3:$I$56,7,FALSE),main!$K$19:$O$22,MATCH(VLOOKUP($A39,main!$A$3:$I$56,8,FALSE),main!$K$18:$O$18,0))))),1,0)</f>
        <v>1</v>
      </c>
      <c r="Z39">
        <f>IF((AND(VLOOKUP(Z$1,main!$A$3:$I$56,5,FALSE)-VLOOKUP($A39,main!$A$3:$I$56,6,FALSE)&gt;=(VLOOKUP(VLOOKUP(Z$1,main!$A$3:$I$56,8,FALSE),main!$K$11:$M$14,2,FALSE)+VLOOKUP(VLOOKUP(Z$1,main!$A$3:$I$56,7,FALSE),main!$K$19:$O$22,MATCH(VLOOKUP($A39,main!$A$3:$I$56,8,FALSE),main!$K$18:$O$18,0))))),1,0)</f>
        <v>1</v>
      </c>
      <c r="AA39">
        <f>IF((AND(VLOOKUP(AA$1,main!$A$3:$I$56,5,FALSE)-VLOOKUP($A39,main!$A$3:$I$56,6,FALSE)&gt;=(VLOOKUP(VLOOKUP(AA$1,main!$A$3:$I$56,8,FALSE),main!$K$11:$M$14,2,FALSE)+VLOOKUP(VLOOKUP(AA$1,main!$A$3:$I$56,7,FALSE),main!$K$19:$O$22,MATCH(VLOOKUP($A39,main!$A$3:$I$56,8,FALSE),main!$K$18:$O$18,0))))),1,0)</f>
        <v>1</v>
      </c>
      <c r="AB39">
        <f>IF((AND(VLOOKUP(AB$1,main!$A$3:$I$56,5,FALSE)-VLOOKUP($A39,main!$A$3:$I$56,6,FALSE)&gt;=(VLOOKUP(VLOOKUP(AB$1,main!$A$3:$I$56,8,FALSE),main!$K$11:$M$14,2,FALSE)+VLOOKUP(VLOOKUP(AB$1,main!$A$3:$I$56,7,FALSE),main!$K$19:$O$22,MATCH(VLOOKUP($A39,main!$A$3:$I$56,8,FALSE),main!$K$18:$O$18,0))))),1,0)</f>
        <v>1</v>
      </c>
      <c r="AC39">
        <f>IF((AND(VLOOKUP(AC$1,main!$A$3:$I$56,5,FALSE)-VLOOKUP($A39,main!$A$3:$I$56,6,FALSE)&gt;=(VLOOKUP(VLOOKUP(AC$1,main!$A$3:$I$56,8,FALSE),main!$K$11:$M$14,2,FALSE)+VLOOKUP(VLOOKUP(AC$1,main!$A$3:$I$56,7,FALSE),main!$K$19:$O$22,MATCH(VLOOKUP($A39,main!$A$3:$I$56,8,FALSE),main!$K$18:$O$18,0))))),1,0)</f>
        <v>0</v>
      </c>
      <c r="AD39">
        <f>IF((AND(VLOOKUP(AD$1,main!$A$3:$I$56,5,FALSE)-VLOOKUP($A39,main!$A$3:$I$56,6,FALSE)&gt;=(VLOOKUP(VLOOKUP(AD$1,main!$A$3:$I$56,8,FALSE),main!$K$11:$M$14,2,FALSE)+VLOOKUP(VLOOKUP(AD$1,main!$A$3:$I$56,7,FALSE),main!$K$19:$O$22,MATCH(VLOOKUP($A39,main!$A$3:$I$56,8,FALSE),main!$K$18:$O$18,0))))),1,0)</f>
        <v>0</v>
      </c>
      <c r="AE39">
        <f>IF((AND(VLOOKUP(AE$1,main!$A$3:$I$56,5,FALSE)-VLOOKUP($A39,main!$A$3:$I$56,6,FALSE)&gt;=(VLOOKUP(VLOOKUP(AE$1,main!$A$3:$I$56,8,FALSE),main!$K$11:$M$14,2,FALSE)+VLOOKUP(VLOOKUP(AE$1,main!$A$3:$I$56,7,FALSE),main!$K$19:$O$22,MATCH(VLOOKUP($A39,main!$A$3:$I$56,8,FALSE),main!$K$18:$O$18,0))))),1,0)</f>
        <v>1</v>
      </c>
      <c r="AF39">
        <f>IF((AND(VLOOKUP(AF$1,main!$A$3:$I$56,5,FALSE)-VLOOKUP($A39,main!$A$3:$I$56,6,FALSE)&gt;=(VLOOKUP(VLOOKUP(AF$1,main!$A$3:$I$56,8,FALSE),main!$K$11:$M$14,2,FALSE)+VLOOKUP(VLOOKUP(AF$1,main!$A$3:$I$56,7,FALSE),main!$K$19:$O$22,MATCH(VLOOKUP($A39,main!$A$3:$I$56,8,FALSE),main!$K$18:$O$18,0))))),1,0)</f>
        <v>1</v>
      </c>
      <c r="AG39">
        <f>IF((AND(VLOOKUP(AG$1,main!$A$3:$I$56,5,FALSE)-VLOOKUP($A39,main!$A$3:$I$56,6,FALSE)&gt;=(VLOOKUP(VLOOKUP(AG$1,main!$A$3:$I$56,8,FALSE),main!$K$11:$M$14,2,FALSE)+VLOOKUP(VLOOKUP(AG$1,main!$A$3:$I$56,7,FALSE),main!$K$19:$O$22,MATCH(VLOOKUP($A39,main!$A$3:$I$56,8,FALSE),main!$K$18:$O$18,0))))),1,0)</f>
        <v>0</v>
      </c>
      <c r="AH39">
        <f>IF((AND(VLOOKUP(AH$1,main!$A$3:$I$56,5,FALSE)-VLOOKUP($A39,main!$A$3:$I$56,6,FALSE)&gt;=(VLOOKUP(VLOOKUP(AH$1,main!$A$3:$I$56,8,FALSE),main!$K$11:$M$14,2,FALSE)+VLOOKUP(VLOOKUP(AH$1,main!$A$3:$I$56,7,FALSE),main!$K$19:$O$22,MATCH(VLOOKUP($A39,main!$A$3:$I$56,8,FALSE),main!$K$18:$O$18,0))))),1,0)</f>
        <v>0</v>
      </c>
      <c r="AI39">
        <f>IF((AND(VLOOKUP(AI$1,main!$A$3:$I$56,5,FALSE)-VLOOKUP($A39,main!$A$3:$I$56,6,FALSE)&gt;=(VLOOKUP(VLOOKUP(AI$1,main!$A$3:$I$56,8,FALSE),main!$K$11:$M$14,2,FALSE)+VLOOKUP(VLOOKUP(AI$1,main!$A$3:$I$56,7,FALSE),main!$K$19:$O$22,MATCH(VLOOKUP($A39,main!$A$3:$I$56,8,FALSE),main!$K$18:$O$18,0))))),1,0)</f>
        <v>1</v>
      </c>
      <c r="AJ39">
        <f>IF((AND(VLOOKUP(AJ$1,main!$A$3:$I$56,5,FALSE)-VLOOKUP($A39,main!$A$3:$I$56,6,FALSE)&gt;=(VLOOKUP(VLOOKUP(AJ$1,main!$A$3:$I$56,8,FALSE),main!$K$11:$M$14,2,FALSE)+VLOOKUP(VLOOKUP(AJ$1,main!$A$3:$I$56,7,FALSE),main!$K$19:$O$22,MATCH(VLOOKUP($A39,main!$A$3:$I$56,8,FALSE),main!$K$18:$O$18,0))))),1,0)</f>
        <v>1</v>
      </c>
      <c r="AK39">
        <f>IF((AND(VLOOKUP(AK$1,main!$A$3:$I$56,5,FALSE)-VLOOKUP($A39,main!$A$3:$I$56,6,FALSE)&gt;=(VLOOKUP(VLOOKUP(AK$1,main!$A$3:$I$56,8,FALSE),main!$K$11:$M$14,2,FALSE)+VLOOKUP(VLOOKUP(AK$1,main!$A$3:$I$56,7,FALSE),main!$K$19:$O$22,MATCH(VLOOKUP($A39,main!$A$3:$I$56,8,FALSE),main!$K$18:$O$18,0))))),1,0)</f>
        <v>1</v>
      </c>
      <c r="AL39">
        <f>IF((AND(VLOOKUP(AL$1,main!$A$3:$I$56,5,FALSE)-VLOOKUP($A39,main!$A$3:$I$56,6,FALSE)&gt;=(VLOOKUP(VLOOKUP(AL$1,main!$A$3:$I$56,8,FALSE),main!$K$11:$M$14,2,FALSE)+VLOOKUP(VLOOKUP(AL$1,main!$A$3:$I$56,7,FALSE),main!$K$19:$O$22,MATCH(VLOOKUP($A39,main!$A$3:$I$56,8,FALSE),main!$K$18:$O$18,0))))),1,0)</f>
        <v>0</v>
      </c>
      <c r="AM39">
        <f>IF((AND(VLOOKUP(AM$1,main!$A$3:$I$56,5,FALSE)-VLOOKUP($A39,main!$A$3:$I$56,6,FALSE)&gt;=(VLOOKUP(VLOOKUP(AM$1,main!$A$3:$I$56,8,FALSE),main!$K$11:$M$14,2,FALSE)+VLOOKUP(VLOOKUP(AM$1,main!$A$3:$I$56,7,FALSE),main!$K$19:$O$22,MATCH(VLOOKUP($A39,main!$A$3:$I$56,8,FALSE),main!$K$18:$O$18,0))))),1,0)</f>
        <v>0</v>
      </c>
      <c r="AN39">
        <f>IF((AND(VLOOKUP(AN$1,main!$A$3:$I$56,5,FALSE)-VLOOKUP($A39,main!$A$3:$I$56,6,FALSE)&gt;=(VLOOKUP(VLOOKUP(AN$1,main!$A$3:$I$56,8,FALSE),main!$K$11:$M$14,2,FALSE)+VLOOKUP(VLOOKUP(AN$1,main!$A$3:$I$56,7,FALSE),main!$K$19:$O$22,MATCH(VLOOKUP($A39,main!$A$3:$I$56,8,FALSE),main!$K$18:$O$18,0))))),1,0)</f>
        <v>1</v>
      </c>
      <c r="AO39">
        <f>IF((AND(VLOOKUP(AO$1,main!$A$3:$I$56,5,FALSE)-VLOOKUP($A39,main!$A$3:$I$56,6,FALSE)&gt;=(VLOOKUP(VLOOKUP(AO$1,main!$A$3:$I$56,8,FALSE),main!$K$11:$M$14,2,FALSE)+VLOOKUP(VLOOKUP(AO$1,main!$A$3:$I$56,7,FALSE),main!$K$19:$O$22,MATCH(VLOOKUP($A39,main!$A$3:$I$56,8,FALSE),main!$K$18:$O$18,0))))),1,0)</f>
        <v>1</v>
      </c>
      <c r="AP39">
        <f>IF((AND(VLOOKUP(AP$1,main!$A$3:$I$56,5,FALSE)-VLOOKUP($A39,main!$A$3:$I$56,6,FALSE)&gt;=(VLOOKUP(VLOOKUP(AP$1,main!$A$3:$I$56,8,FALSE),main!$K$11:$M$14,2,FALSE)+VLOOKUP(VLOOKUP(AP$1,main!$A$3:$I$56,7,FALSE),main!$K$19:$O$22,MATCH(VLOOKUP($A39,main!$A$3:$I$56,8,FALSE),main!$K$18:$O$18,0))))),1,0)</f>
        <v>0</v>
      </c>
      <c r="AQ39">
        <f>IF((AND(VLOOKUP(AQ$1,main!$A$3:$I$56,5,FALSE)-VLOOKUP($A39,main!$A$3:$I$56,6,FALSE)&gt;=(VLOOKUP(VLOOKUP(AQ$1,main!$A$3:$I$56,8,FALSE),main!$K$11:$M$14,2,FALSE)+VLOOKUP(VLOOKUP(AQ$1,main!$A$3:$I$56,7,FALSE),main!$K$19:$O$22,MATCH(VLOOKUP($A39,main!$A$3:$I$56,8,FALSE),main!$K$18:$O$18,0))))),1,0)</f>
        <v>0</v>
      </c>
      <c r="AR39">
        <f>IF((AND(VLOOKUP(AR$1,main!$A$3:$I$56,5,FALSE)-VLOOKUP($A39,main!$A$3:$I$56,6,FALSE)&gt;=(VLOOKUP(VLOOKUP(AR$1,main!$A$3:$I$56,8,FALSE),main!$K$11:$M$14,2,FALSE)+VLOOKUP(VLOOKUP(AR$1,main!$A$3:$I$56,7,FALSE),main!$K$19:$O$22,MATCH(VLOOKUP($A39,main!$A$3:$I$56,8,FALSE),main!$K$18:$O$18,0))))),1,0)</f>
        <v>0</v>
      </c>
      <c r="AS39">
        <f>IF((AND(VLOOKUP(AS$1,main!$A$3:$I$56,5,FALSE)-VLOOKUP($A39,main!$A$3:$I$56,6,FALSE)&gt;=(VLOOKUP(VLOOKUP(AS$1,main!$A$3:$I$56,8,FALSE),main!$K$11:$M$14,2,FALSE)+VLOOKUP(VLOOKUP(AS$1,main!$A$3:$I$56,7,FALSE),main!$K$19:$O$22,MATCH(VLOOKUP($A39,main!$A$3:$I$56,8,FALSE),main!$K$18:$O$18,0))))),1,0)</f>
        <v>0</v>
      </c>
      <c r="AT39">
        <f>IF((AND(VLOOKUP(AT$1,main!$A$3:$I$56,5,FALSE)-VLOOKUP($A39,main!$A$3:$I$56,6,FALSE)&gt;=(VLOOKUP(VLOOKUP(AT$1,main!$A$3:$I$56,8,FALSE),main!$K$11:$M$14,2,FALSE)+VLOOKUP(VLOOKUP(AT$1,main!$A$3:$I$56,7,FALSE),main!$K$19:$O$22,MATCH(VLOOKUP($A39,main!$A$3:$I$56,8,FALSE),main!$K$18:$O$18,0))))),1,0)</f>
        <v>1</v>
      </c>
      <c r="AU39">
        <f>IF((AND(VLOOKUP(AU$1,main!$A$3:$I$56,5,FALSE)-VLOOKUP($A39,main!$A$3:$I$56,6,FALSE)&gt;=(VLOOKUP(VLOOKUP(AU$1,main!$A$3:$I$56,8,FALSE),main!$K$11:$M$14,2,FALSE)+VLOOKUP(VLOOKUP(AU$1,main!$A$3:$I$56,7,FALSE),main!$K$19:$O$22,MATCH(VLOOKUP($A39,main!$A$3:$I$56,8,FALSE),main!$K$18:$O$18,0))))),1,0)</f>
        <v>0</v>
      </c>
      <c r="AV39">
        <f>IF((AND(VLOOKUP(AV$1,main!$A$3:$I$56,5,FALSE)-VLOOKUP($A39,main!$A$3:$I$56,6,FALSE)&gt;=(VLOOKUP(VLOOKUP(AV$1,main!$A$3:$I$56,8,FALSE),main!$K$11:$M$14,2,FALSE)+VLOOKUP(VLOOKUP(AV$1,main!$A$3:$I$56,7,FALSE),main!$K$19:$O$22,MATCH(VLOOKUP($A39,main!$A$3:$I$56,8,FALSE),main!$K$18:$O$18,0))))),1,0)</f>
        <v>0</v>
      </c>
      <c r="AW39">
        <f>IF((AND(VLOOKUP(AW$1,main!$A$3:$I$56,5,FALSE)-VLOOKUP($A39,main!$A$3:$I$56,6,FALSE)&gt;=(VLOOKUP(VLOOKUP(AW$1,main!$A$3:$I$56,8,FALSE),main!$K$11:$M$14,2,FALSE)+VLOOKUP(VLOOKUP(AW$1,main!$A$3:$I$56,7,FALSE),main!$K$19:$O$22,MATCH(VLOOKUP($A39,main!$A$3:$I$56,8,FALSE),main!$K$18:$O$18,0))))),1,0)</f>
        <v>0</v>
      </c>
      <c r="AX39">
        <f>IF((AND(VLOOKUP(AX$1,main!$A$3:$I$56,5,FALSE)-VLOOKUP($A39,main!$A$3:$I$56,6,FALSE)&gt;=(VLOOKUP(VLOOKUP(AX$1,main!$A$3:$I$56,8,FALSE),main!$K$11:$M$14,2,FALSE)+VLOOKUP(VLOOKUP(AX$1,main!$A$3:$I$56,7,FALSE),main!$K$19:$O$22,MATCH(VLOOKUP($A39,main!$A$3:$I$56,8,FALSE),main!$K$18:$O$18,0))))),1,0)</f>
        <v>1</v>
      </c>
      <c r="AY39">
        <f>IF((AND(VLOOKUP(AY$1,main!$A$3:$I$56,5,FALSE)-VLOOKUP($A39,main!$A$3:$I$56,6,FALSE)&gt;=(VLOOKUP(VLOOKUP(AY$1,main!$A$3:$I$56,8,FALSE),main!$K$11:$M$14,2,FALSE)+VLOOKUP(VLOOKUP(AY$1,main!$A$3:$I$56,7,FALSE),main!$K$19:$O$22,MATCH(VLOOKUP($A39,main!$A$3:$I$56,8,FALSE),main!$K$18:$O$18,0))))),1,0)</f>
        <v>1</v>
      </c>
      <c r="AZ39">
        <f>IF((AND(VLOOKUP(AZ$1,main!$A$3:$I$56,5,FALSE)-VLOOKUP($A39,main!$A$3:$I$56,6,FALSE)&gt;=(VLOOKUP(VLOOKUP(AZ$1,main!$A$3:$I$56,8,FALSE),main!$K$11:$M$14,2,FALSE)+VLOOKUP(VLOOKUP(AZ$1,main!$A$3:$I$56,7,FALSE),main!$K$19:$O$22,MATCH(VLOOKUP($A39,main!$A$3:$I$56,8,FALSE),main!$K$18:$O$18,0))))),1,0)</f>
        <v>0</v>
      </c>
      <c r="BA39">
        <f>IF((AND(VLOOKUP(BA$1,main!$A$3:$I$56,5,FALSE)-VLOOKUP($A39,main!$A$3:$I$56,6,FALSE)&gt;=(VLOOKUP(VLOOKUP(BA$1,main!$A$3:$I$56,8,FALSE),main!$K$11:$M$14,2,FALSE)+VLOOKUP(VLOOKUP(BA$1,main!$A$3:$I$56,7,FALSE),main!$K$19:$O$22,MATCH(VLOOKUP($A39,main!$A$3:$I$56,8,FALSE),main!$K$18:$O$18,0))))),1,0)</f>
        <v>0</v>
      </c>
      <c r="BB39">
        <f>IF((AND(VLOOKUP(BB$1,main!$A$3:$I$56,5,FALSE)-VLOOKUP($A39,main!$A$3:$I$56,6,FALSE)&gt;=(VLOOKUP(VLOOKUP(BB$1,main!$A$3:$I$56,8,FALSE),main!$K$11:$M$14,2,FALSE)+VLOOKUP(VLOOKUP(BB$1,main!$A$3:$I$56,7,FALSE),main!$K$19:$O$22,MATCH(VLOOKUP($A39,main!$A$3:$I$56,8,FALSE),main!$K$18:$O$18,0))))),1,0)</f>
        <v>0</v>
      </c>
      <c r="BC39">
        <f>IF((AND(VLOOKUP(BC$1,main!$A$3:$I$56,5,FALSE)-VLOOKUP($A39,main!$A$3:$I$56,6,FALSE)&gt;=(VLOOKUP(VLOOKUP(BC$1,main!$A$3:$I$56,8,FALSE),main!$K$11:$M$14,2,FALSE)+VLOOKUP(VLOOKUP(BC$1,main!$A$3:$I$56,7,FALSE),main!$K$19:$O$22,MATCH(VLOOKUP($A39,main!$A$3:$I$56,8,FALSE),main!$K$18:$O$18,0))))),1,0)</f>
        <v>1</v>
      </c>
      <c r="BD39">
        <f>IF((AND(VLOOKUP(BD$1,main!$A$3:$I$56,5,FALSE)-VLOOKUP($A39,main!$A$3:$I$56,6,FALSE)&gt;=(VLOOKUP(VLOOKUP(BD$1,main!$A$3:$I$56,8,FALSE),main!$K$11:$M$14,2,FALSE)+VLOOKUP(VLOOKUP(BD$1,main!$A$3:$I$56,7,FALSE),main!$K$19:$O$22,MATCH(VLOOKUP($A39,main!$A$3:$I$56,8,FALSE),main!$K$18:$O$18,0))))),1,0)</f>
        <v>1</v>
      </c>
    </row>
    <row r="40" spans="1:56" x14ac:dyDescent="0.25">
      <c r="A40">
        <f t="shared" si="0"/>
        <v>38</v>
      </c>
      <c r="B40">
        <v>1</v>
      </c>
      <c r="C40">
        <f>IF((AND(VLOOKUP(C$1,main!$A$3:$I$56,5,FALSE)-VLOOKUP($A40,main!$A$3:$I$56,6,FALSE)&gt;=(VLOOKUP(VLOOKUP(C$1,main!$A$3:$I$56,8,FALSE),main!$K$11:$M$14,2,FALSE)+VLOOKUP(VLOOKUP(C$1,main!$A$3:$I$56,7,FALSE),main!$K$19:$O$22,MATCH(VLOOKUP($A40,main!$A$3:$I$56,8,FALSE),main!$K$18:$O$18,0))))),1,0)</f>
        <v>0</v>
      </c>
      <c r="D40">
        <f>IF((AND(VLOOKUP(D$1,main!$A$3:$I$56,5,FALSE)-VLOOKUP($A40,main!$A$3:$I$56,6,FALSE)&gt;=(VLOOKUP(VLOOKUP(D$1,main!$A$3:$I$56,8,FALSE),main!$K$11:$M$14,2,FALSE)+VLOOKUP(VLOOKUP(D$1,main!$A$3:$I$56,7,FALSE),main!$K$19:$O$22,MATCH(VLOOKUP($A40,main!$A$3:$I$56,8,FALSE),main!$K$18:$O$18,0))))),1,0)</f>
        <v>0</v>
      </c>
      <c r="E40">
        <f>IF((AND(VLOOKUP(E$1,main!$A$3:$I$56,5,FALSE)-VLOOKUP($A40,main!$A$3:$I$56,6,FALSE)&gt;=(VLOOKUP(VLOOKUP(E$1,main!$A$3:$I$56,8,FALSE),main!$K$11:$M$14,2,FALSE)+VLOOKUP(VLOOKUP(E$1,main!$A$3:$I$56,7,FALSE),main!$K$19:$O$22,MATCH(VLOOKUP($A40,main!$A$3:$I$56,8,FALSE),main!$K$18:$O$18,0))))),1,0)</f>
        <v>0</v>
      </c>
      <c r="F40">
        <f>IF((AND(VLOOKUP(F$1,main!$A$3:$I$56,5,FALSE)-VLOOKUP($A40,main!$A$3:$I$56,6,FALSE)&gt;=(VLOOKUP(VLOOKUP(F$1,main!$A$3:$I$56,8,FALSE),main!$K$11:$M$14,2,FALSE)+VLOOKUP(VLOOKUP(F$1,main!$A$3:$I$56,7,FALSE),main!$K$19:$O$22,MATCH(VLOOKUP($A40,main!$A$3:$I$56,8,FALSE),main!$K$18:$O$18,0))))),1,0)</f>
        <v>0</v>
      </c>
      <c r="G40">
        <f>IF((AND(VLOOKUP(G$1,main!$A$3:$I$56,5,FALSE)-VLOOKUP($A40,main!$A$3:$I$56,6,FALSE)&gt;=(VLOOKUP(VLOOKUP(G$1,main!$A$3:$I$56,8,FALSE),main!$K$11:$M$14,2,FALSE)+VLOOKUP(VLOOKUP(G$1,main!$A$3:$I$56,7,FALSE),main!$K$19:$O$22,MATCH(VLOOKUP($A40,main!$A$3:$I$56,8,FALSE),main!$K$18:$O$18,0))))),1,0)</f>
        <v>0</v>
      </c>
      <c r="H40">
        <f>IF((AND(VLOOKUP(H$1,main!$A$3:$I$56,5,FALSE)-VLOOKUP($A40,main!$A$3:$I$56,6,FALSE)&gt;=(VLOOKUP(VLOOKUP(H$1,main!$A$3:$I$56,8,FALSE),main!$K$11:$M$14,2,FALSE)+VLOOKUP(VLOOKUP(H$1,main!$A$3:$I$56,7,FALSE),main!$K$19:$O$22,MATCH(VLOOKUP($A40,main!$A$3:$I$56,8,FALSE),main!$K$18:$O$18,0))))),1,0)</f>
        <v>0</v>
      </c>
      <c r="I40">
        <f>IF((AND(VLOOKUP(I$1,main!$A$3:$I$56,5,FALSE)-VLOOKUP($A40,main!$A$3:$I$56,6,FALSE)&gt;=(VLOOKUP(VLOOKUP(I$1,main!$A$3:$I$56,8,FALSE),main!$K$11:$M$14,2,FALSE)+VLOOKUP(VLOOKUP(I$1,main!$A$3:$I$56,7,FALSE),main!$K$19:$O$22,MATCH(VLOOKUP($A40,main!$A$3:$I$56,8,FALSE),main!$K$18:$O$18,0))))),1,0)</f>
        <v>1</v>
      </c>
      <c r="J40">
        <f>IF((AND(VLOOKUP(J$1,main!$A$3:$I$56,5,FALSE)-VLOOKUP($A40,main!$A$3:$I$56,6,FALSE)&gt;=(VLOOKUP(VLOOKUP(J$1,main!$A$3:$I$56,8,FALSE),main!$K$11:$M$14,2,FALSE)+VLOOKUP(VLOOKUP(J$1,main!$A$3:$I$56,7,FALSE),main!$K$19:$O$22,MATCH(VLOOKUP($A40,main!$A$3:$I$56,8,FALSE),main!$K$18:$O$18,0))))),1,0)</f>
        <v>1</v>
      </c>
      <c r="K40">
        <f>IF((AND(VLOOKUP(K$1,main!$A$3:$I$56,5,FALSE)-VLOOKUP($A40,main!$A$3:$I$56,6,FALSE)&gt;=(VLOOKUP(VLOOKUP(K$1,main!$A$3:$I$56,8,FALSE),main!$K$11:$M$14,2,FALSE)+VLOOKUP(VLOOKUP(K$1,main!$A$3:$I$56,7,FALSE),main!$K$19:$O$22,MATCH(VLOOKUP($A40,main!$A$3:$I$56,8,FALSE),main!$K$18:$O$18,0))))),1,0)</f>
        <v>0</v>
      </c>
      <c r="L40">
        <f>IF((AND(VLOOKUP(L$1,main!$A$3:$I$56,5,FALSE)-VLOOKUP($A40,main!$A$3:$I$56,6,FALSE)&gt;=(VLOOKUP(VLOOKUP(L$1,main!$A$3:$I$56,8,FALSE),main!$K$11:$M$14,2,FALSE)+VLOOKUP(VLOOKUP(L$1,main!$A$3:$I$56,7,FALSE),main!$K$19:$O$22,MATCH(VLOOKUP($A40,main!$A$3:$I$56,8,FALSE),main!$K$18:$O$18,0))))),1,0)</f>
        <v>0</v>
      </c>
      <c r="M40">
        <f>IF((AND(VLOOKUP(M$1,main!$A$3:$I$56,5,FALSE)-VLOOKUP($A40,main!$A$3:$I$56,6,FALSE)&gt;=(VLOOKUP(VLOOKUP(M$1,main!$A$3:$I$56,8,FALSE),main!$K$11:$M$14,2,FALSE)+VLOOKUP(VLOOKUP(M$1,main!$A$3:$I$56,7,FALSE),main!$K$19:$O$22,MATCH(VLOOKUP($A40,main!$A$3:$I$56,8,FALSE),main!$K$18:$O$18,0))))),1,0)</f>
        <v>0</v>
      </c>
      <c r="N40">
        <f>IF((AND(VLOOKUP(N$1,main!$A$3:$I$56,5,FALSE)-VLOOKUP($A40,main!$A$3:$I$56,6,FALSE)&gt;=(VLOOKUP(VLOOKUP(N$1,main!$A$3:$I$56,8,FALSE),main!$K$11:$M$14,2,FALSE)+VLOOKUP(VLOOKUP(N$1,main!$A$3:$I$56,7,FALSE),main!$K$19:$O$22,MATCH(VLOOKUP($A40,main!$A$3:$I$56,8,FALSE),main!$K$18:$O$18,0))))),1,0)</f>
        <v>1</v>
      </c>
      <c r="O40">
        <f>IF((AND(VLOOKUP(O$1,main!$A$3:$I$56,5,FALSE)-VLOOKUP($A40,main!$A$3:$I$56,6,FALSE)&gt;=(VLOOKUP(VLOOKUP(O$1,main!$A$3:$I$56,8,FALSE),main!$K$11:$M$14,2,FALSE)+VLOOKUP(VLOOKUP(O$1,main!$A$3:$I$56,7,FALSE),main!$K$19:$O$22,MATCH(VLOOKUP($A40,main!$A$3:$I$56,8,FALSE),main!$K$18:$O$18,0))))),1,0)</f>
        <v>1</v>
      </c>
      <c r="P40">
        <f>IF((AND(VLOOKUP(P$1,main!$A$3:$I$56,5,FALSE)-VLOOKUP($A40,main!$A$3:$I$56,6,FALSE)&gt;=(VLOOKUP(VLOOKUP(P$1,main!$A$3:$I$56,8,FALSE),main!$K$11:$M$14,2,FALSE)+VLOOKUP(VLOOKUP(P$1,main!$A$3:$I$56,7,FALSE),main!$K$19:$O$22,MATCH(VLOOKUP($A40,main!$A$3:$I$56,8,FALSE),main!$K$18:$O$18,0))))),1,0)</f>
        <v>0</v>
      </c>
      <c r="Q40">
        <f>IF((AND(VLOOKUP(Q$1,main!$A$3:$I$56,5,FALSE)-VLOOKUP($A40,main!$A$3:$I$56,6,FALSE)&gt;=(VLOOKUP(VLOOKUP(Q$1,main!$A$3:$I$56,8,FALSE),main!$K$11:$M$14,2,FALSE)+VLOOKUP(VLOOKUP(Q$1,main!$A$3:$I$56,7,FALSE),main!$K$19:$O$22,MATCH(VLOOKUP($A40,main!$A$3:$I$56,8,FALSE),main!$K$18:$O$18,0))))),1,0)</f>
        <v>0</v>
      </c>
      <c r="R40">
        <f>IF((AND(VLOOKUP(R$1,main!$A$3:$I$56,5,FALSE)-VLOOKUP($A40,main!$A$3:$I$56,6,FALSE)&gt;=(VLOOKUP(VLOOKUP(R$1,main!$A$3:$I$56,8,FALSE),main!$K$11:$M$14,2,FALSE)+VLOOKUP(VLOOKUP(R$1,main!$A$3:$I$56,7,FALSE),main!$K$19:$O$22,MATCH(VLOOKUP($A40,main!$A$3:$I$56,8,FALSE),main!$K$18:$O$18,0))))),1,0)</f>
        <v>0</v>
      </c>
      <c r="S40">
        <f>IF((AND(VLOOKUP(S$1,main!$A$3:$I$56,5,FALSE)-VLOOKUP($A40,main!$A$3:$I$56,6,FALSE)&gt;=(VLOOKUP(VLOOKUP(S$1,main!$A$3:$I$56,8,FALSE),main!$K$11:$M$14,2,FALSE)+VLOOKUP(VLOOKUP(S$1,main!$A$3:$I$56,7,FALSE),main!$K$19:$O$22,MATCH(VLOOKUP($A40,main!$A$3:$I$56,8,FALSE),main!$K$18:$O$18,0))))),1,0)</f>
        <v>0</v>
      </c>
      <c r="T40">
        <f>IF((AND(VLOOKUP(T$1,main!$A$3:$I$56,5,FALSE)-VLOOKUP($A40,main!$A$3:$I$56,6,FALSE)&gt;=(VLOOKUP(VLOOKUP(T$1,main!$A$3:$I$56,8,FALSE),main!$K$11:$M$14,2,FALSE)+VLOOKUP(VLOOKUP(T$1,main!$A$3:$I$56,7,FALSE),main!$K$19:$O$22,MATCH(VLOOKUP($A40,main!$A$3:$I$56,8,FALSE),main!$K$18:$O$18,0))))),1,0)</f>
        <v>1</v>
      </c>
      <c r="U40">
        <f>IF((AND(VLOOKUP(U$1,main!$A$3:$I$56,5,FALSE)-VLOOKUP($A40,main!$A$3:$I$56,6,FALSE)&gt;=(VLOOKUP(VLOOKUP(U$1,main!$A$3:$I$56,8,FALSE),main!$K$11:$M$14,2,FALSE)+VLOOKUP(VLOOKUP(U$1,main!$A$3:$I$56,7,FALSE),main!$K$19:$O$22,MATCH(VLOOKUP($A40,main!$A$3:$I$56,8,FALSE),main!$K$18:$O$18,0))))),1,0)</f>
        <v>0</v>
      </c>
      <c r="V40">
        <f>IF((AND(VLOOKUP(V$1,main!$A$3:$I$56,5,FALSE)-VLOOKUP($A40,main!$A$3:$I$56,6,FALSE)&gt;=(VLOOKUP(VLOOKUP(V$1,main!$A$3:$I$56,8,FALSE),main!$K$11:$M$14,2,FALSE)+VLOOKUP(VLOOKUP(V$1,main!$A$3:$I$56,7,FALSE),main!$K$19:$O$22,MATCH(VLOOKUP($A40,main!$A$3:$I$56,8,FALSE),main!$K$18:$O$18,0))))),1,0)</f>
        <v>0</v>
      </c>
      <c r="W40">
        <f>IF((AND(VLOOKUP(W$1,main!$A$3:$I$56,5,FALSE)-VLOOKUP($A40,main!$A$3:$I$56,6,FALSE)&gt;=(VLOOKUP(VLOOKUP(W$1,main!$A$3:$I$56,8,FALSE),main!$K$11:$M$14,2,FALSE)+VLOOKUP(VLOOKUP(W$1,main!$A$3:$I$56,7,FALSE),main!$K$19:$O$22,MATCH(VLOOKUP($A40,main!$A$3:$I$56,8,FALSE),main!$K$18:$O$18,0))))),1,0)</f>
        <v>0</v>
      </c>
      <c r="X40">
        <f>IF((AND(VLOOKUP(X$1,main!$A$3:$I$56,5,FALSE)-VLOOKUP($A40,main!$A$3:$I$56,6,FALSE)&gt;=(VLOOKUP(VLOOKUP(X$1,main!$A$3:$I$56,8,FALSE),main!$K$11:$M$14,2,FALSE)+VLOOKUP(VLOOKUP(X$1,main!$A$3:$I$56,7,FALSE),main!$K$19:$O$22,MATCH(VLOOKUP($A40,main!$A$3:$I$56,8,FALSE),main!$K$18:$O$18,0))))),1,0)</f>
        <v>0</v>
      </c>
      <c r="Y40">
        <f>IF((AND(VLOOKUP(Y$1,main!$A$3:$I$56,5,FALSE)-VLOOKUP($A40,main!$A$3:$I$56,6,FALSE)&gt;=(VLOOKUP(VLOOKUP(Y$1,main!$A$3:$I$56,8,FALSE),main!$K$11:$M$14,2,FALSE)+VLOOKUP(VLOOKUP(Y$1,main!$A$3:$I$56,7,FALSE),main!$K$19:$O$22,MATCH(VLOOKUP($A40,main!$A$3:$I$56,8,FALSE),main!$K$18:$O$18,0))))),1,0)</f>
        <v>0</v>
      </c>
      <c r="Z40">
        <f>IF((AND(VLOOKUP(Z$1,main!$A$3:$I$56,5,FALSE)-VLOOKUP($A40,main!$A$3:$I$56,6,FALSE)&gt;=(VLOOKUP(VLOOKUP(Z$1,main!$A$3:$I$56,8,FALSE),main!$K$11:$M$14,2,FALSE)+VLOOKUP(VLOOKUP(Z$1,main!$A$3:$I$56,7,FALSE),main!$K$19:$O$22,MATCH(VLOOKUP($A40,main!$A$3:$I$56,8,FALSE),main!$K$18:$O$18,0))))),1,0)</f>
        <v>0</v>
      </c>
      <c r="AA40">
        <f>IF((AND(VLOOKUP(AA$1,main!$A$3:$I$56,5,FALSE)-VLOOKUP($A40,main!$A$3:$I$56,6,FALSE)&gt;=(VLOOKUP(VLOOKUP(AA$1,main!$A$3:$I$56,8,FALSE),main!$K$11:$M$14,2,FALSE)+VLOOKUP(VLOOKUP(AA$1,main!$A$3:$I$56,7,FALSE),main!$K$19:$O$22,MATCH(VLOOKUP($A40,main!$A$3:$I$56,8,FALSE),main!$K$18:$O$18,0))))),1,0)</f>
        <v>1</v>
      </c>
      <c r="AB40">
        <f>IF((AND(VLOOKUP(AB$1,main!$A$3:$I$56,5,FALSE)-VLOOKUP($A40,main!$A$3:$I$56,6,FALSE)&gt;=(VLOOKUP(VLOOKUP(AB$1,main!$A$3:$I$56,8,FALSE),main!$K$11:$M$14,2,FALSE)+VLOOKUP(VLOOKUP(AB$1,main!$A$3:$I$56,7,FALSE),main!$K$19:$O$22,MATCH(VLOOKUP($A40,main!$A$3:$I$56,8,FALSE),main!$K$18:$O$18,0))))),1,0)</f>
        <v>1</v>
      </c>
      <c r="AC40">
        <f>IF((AND(VLOOKUP(AC$1,main!$A$3:$I$56,5,FALSE)-VLOOKUP($A40,main!$A$3:$I$56,6,FALSE)&gt;=(VLOOKUP(VLOOKUP(AC$1,main!$A$3:$I$56,8,FALSE),main!$K$11:$M$14,2,FALSE)+VLOOKUP(VLOOKUP(AC$1,main!$A$3:$I$56,7,FALSE),main!$K$19:$O$22,MATCH(VLOOKUP($A40,main!$A$3:$I$56,8,FALSE),main!$K$18:$O$18,0))))),1,0)</f>
        <v>0</v>
      </c>
      <c r="AD40">
        <f>IF((AND(VLOOKUP(AD$1,main!$A$3:$I$56,5,FALSE)-VLOOKUP($A40,main!$A$3:$I$56,6,FALSE)&gt;=(VLOOKUP(VLOOKUP(AD$1,main!$A$3:$I$56,8,FALSE),main!$K$11:$M$14,2,FALSE)+VLOOKUP(VLOOKUP(AD$1,main!$A$3:$I$56,7,FALSE),main!$K$19:$O$22,MATCH(VLOOKUP($A40,main!$A$3:$I$56,8,FALSE),main!$K$18:$O$18,0))))),1,0)</f>
        <v>0</v>
      </c>
      <c r="AE40">
        <f>IF((AND(VLOOKUP(AE$1,main!$A$3:$I$56,5,FALSE)-VLOOKUP($A40,main!$A$3:$I$56,6,FALSE)&gt;=(VLOOKUP(VLOOKUP(AE$1,main!$A$3:$I$56,8,FALSE),main!$K$11:$M$14,2,FALSE)+VLOOKUP(VLOOKUP(AE$1,main!$A$3:$I$56,7,FALSE),main!$K$19:$O$22,MATCH(VLOOKUP($A40,main!$A$3:$I$56,8,FALSE),main!$K$18:$O$18,0))))),1,0)</f>
        <v>0</v>
      </c>
      <c r="AF40">
        <f>IF((AND(VLOOKUP(AF$1,main!$A$3:$I$56,5,FALSE)-VLOOKUP($A40,main!$A$3:$I$56,6,FALSE)&gt;=(VLOOKUP(VLOOKUP(AF$1,main!$A$3:$I$56,8,FALSE),main!$K$11:$M$14,2,FALSE)+VLOOKUP(VLOOKUP(AF$1,main!$A$3:$I$56,7,FALSE),main!$K$19:$O$22,MATCH(VLOOKUP($A40,main!$A$3:$I$56,8,FALSE),main!$K$18:$O$18,0))))),1,0)</f>
        <v>0</v>
      </c>
      <c r="AG40">
        <f>IF((AND(VLOOKUP(AG$1,main!$A$3:$I$56,5,FALSE)-VLOOKUP($A40,main!$A$3:$I$56,6,FALSE)&gt;=(VLOOKUP(VLOOKUP(AG$1,main!$A$3:$I$56,8,FALSE),main!$K$11:$M$14,2,FALSE)+VLOOKUP(VLOOKUP(AG$1,main!$A$3:$I$56,7,FALSE),main!$K$19:$O$22,MATCH(VLOOKUP($A40,main!$A$3:$I$56,8,FALSE),main!$K$18:$O$18,0))))),1,0)</f>
        <v>0</v>
      </c>
      <c r="AH40">
        <f>IF((AND(VLOOKUP(AH$1,main!$A$3:$I$56,5,FALSE)-VLOOKUP($A40,main!$A$3:$I$56,6,FALSE)&gt;=(VLOOKUP(VLOOKUP(AH$1,main!$A$3:$I$56,8,FALSE),main!$K$11:$M$14,2,FALSE)+VLOOKUP(VLOOKUP(AH$1,main!$A$3:$I$56,7,FALSE),main!$K$19:$O$22,MATCH(VLOOKUP($A40,main!$A$3:$I$56,8,FALSE),main!$K$18:$O$18,0))))),1,0)</f>
        <v>0</v>
      </c>
      <c r="AI40">
        <f>IF((AND(VLOOKUP(AI$1,main!$A$3:$I$56,5,FALSE)-VLOOKUP($A40,main!$A$3:$I$56,6,FALSE)&gt;=(VLOOKUP(VLOOKUP(AI$1,main!$A$3:$I$56,8,FALSE),main!$K$11:$M$14,2,FALSE)+VLOOKUP(VLOOKUP(AI$1,main!$A$3:$I$56,7,FALSE),main!$K$19:$O$22,MATCH(VLOOKUP($A40,main!$A$3:$I$56,8,FALSE),main!$K$18:$O$18,0))))),1,0)</f>
        <v>0</v>
      </c>
      <c r="AJ40">
        <f>IF((AND(VLOOKUP(AJ$1,main!$A$3:$I$56,5,FALSE)-VLOOKUP($A40,main!$A$3:$I$56,6,FALSE)&gt;=(VLOOKUP(VLOOKUP(AJ$1,main!$A$3:$I$56,8,FALSE),main!$K$11:$M$14,2,FALSE)+VLOOKUP(VLOOKUP(AJ$1,main!$A$3:$I$56,7,FALSE),main!$K$19:$O$22,MATCH(VLOOKUP($A40,main!$A$3:$I$56,8,FALSE),main!$K$18:$O$18,0))))),1,0)</f>
        <v>0</v>
      </c>
      <c r="AK40">
        <f>IF((AND(VLOOKUP(AK$1,main!$A$3:$I$56,5,FALSE)-VLOOKUP($A40,main!$A$3:$I$56,6,FALSE)&gt;=(VLOOKUP(VLOOKUP(AK$1,main!$A$3:$I$56,8,FALSE),main!$K$11:$M$14,2,FALSE)+VLOOKUP(VLOOKUP(AK$1,main!$A$3:$I$56,7,FALSE),main!$K$19:$O$22,MATCH(VLOOKUP($A40,main!$A$3:$I$56,8,FALSE),main!$K$18:$O$18,0))))),1,0)</f>
        <v>0</v>
      </c>
      <c r="AL40">
        <f>IF((AND(VLOOKUP(AL$1,main!$A$3:$I$56,5,FALSE)-VLOOKUP($A40,main!$A$3:$I$56,6,FALSE)&gt;=(VLOOKUP(VLOOKUP(AL$1,main!$A$3:$I$56,8,FALSE),main!$K$11:$M$14,2,FALSE)+VLOOKUP(VLOOKUP(AL$1,main!$A$3:$I$56,7,FALSE),main!$K$19:$O$22,MATCH(VLOOKUP($A40,main!$A$3:$I$56,8,FALSE),main!$K$18:$O$18,0))))),1,0)</f>
        <v>0</v>
      </c>
      <c r="AM40">
        <f>IF((AND(VLOOKUP(AM$1,main!$A$3:$I$56,5,FALSE)-VLOOKUP($A40,main!$A$3:$I$56,6,FALSE)&gt;=(VLOOKUP(VLOOKUP(AM$1,main!$A$3:$I$56,8,FALSE),main!$K$11:$M$14,2,FALSE)+VLOOKUP(VLOOKUP(AM$1,main!$A$3:$I$56,7,FALSE),main!$K$19:$O$22,MATCH(VLOOKUP($A40,main!$A$3:$I$56,8,FALSE),main!$K$18:$O$18,0))))),1,0)</f>
        <v>0</v>
      </c>
      <c r="AN40">
        <f>IF((AND(VLOOKUP(AN$1,main!$A$3:$I$56,5,FALSE)-VLOOKUP($A40,main!$A$3:$I$56,6,FALSE)&gt;=(VLOOKUP(VLOOKUP(AN$1,main!$A$3:$I$56,8,FALSE),main!$K$11:$M$14,2,FALSE)+VLOOKUP(VLOOKUP(AN$1,main!$A$3:$I$56,7,FALSE),main!$K$19:$O$22,MATCH(VLOOKUP($A40,main!$A$3:$I$56,8,FALSE),main!$K$18:$O$18,0))))),1,0)</f>
        <v>0</v>
      </c>
      <c r="AO40">
        <f>IF((AND(VLOOKUP(AO$1,main!$A$3:$I$56,5,FALSE)-VLOOKUP($A40,main!$A$3:$I$56,6,FALSE)&gt;=(VLOOKUP(VLOOKUP(AO$1,main!$A$3:$I$56,8,FALSE),main!$K$11:$M$14,2,FALSE)+VLOOKUP(VLOOKUP(AO$1,main!$A$3:$I$56,7,FALSE),main!$K$19:$O$22,MATCH(VLOOKUP($A40,main!$A$3:$I$56,8,FALSE),main!$K$18:$O$18,0))))),1,0)</f>
        <v>0</v>
      </c>
      <c r="AP40">
        <f>IF((AND(VLOOKUP(AP$1,main!$A$3:$I$56,5,FALSE)-VLOOKUP($A40,main!$A$3:$I$56,6,FALSE)&gt;=(VLOOKUP(VLOOKUP(AP$1,main!$A$3:$I$56,8,FALSE),main!$K$11:$M$14,2,FALSE)+VLOOKUP(VLOOKUP(AP$1,main!$A$3:$I$56,7,FALSE),main!$K$19:$O$22,MATCH(VLOOKUP($A40,main!$A$3:$I$56,8,FALSE),main!$K$18:$O$18,0))))),1,0)</f>
        <v>0</v>
      </c>
      <c r="AQ40">
        <f>IF((AND(VLOOKUP(AQ$1,main!$A$3:$I$56,5,FALSE)-VLOOKUP($A40,main!$A$3:$I$56,6,FALSE)&gt;=(VLOOKUP(VLOOKUP(AQ$1,main!$A$3:$I$56,8,FALSE),main!$K$11:$M$14,2,FALSE)+VLOOKUP(VLOOKUP(AQ$1,main!$A$3:$I$56,7,FALSE),main!$K$19:$O$22,MATCH(VLOOKUP($A40,main!$A$3:$I$56,8,FALSE),main!$K$18:$O$18,0))))),1,0)</f>
        <v>0</v>
      </c>
      <c r="AR40">
        <f>IF((AND(VLOOKUP(AR$1,main!$A$3:$I$56,5,FALSE)-VLOOKUP($A40,main!$A$3:$I$56,6,FALSE)&gt;=(VLOOKUP(VLOOKUP(AR$1,main!$A$3:$I$56,8,FALSE),main!$K$11:$M$14,2,FALSE)+VLOOKUP(VLOOKUP(AR$1,main!$A$3:$I$56,7,FALSE),main!$K$19:$O$22,MATCH(VLOOKUP($A40,main!$A$3:$I$56,8,FALSE),main!$K$18:$O$18,0))))),1,0)</f>
        <v>0</v>
      </c>
      <c r="AS40">
        <f>IF((AND(VLOOKUP(AS$1,main!$A$3:$I$56,5,FALSE)-VLOOKUP($A40,main!$A$3:$I$56,6,FALSE)&gt;=(VLOOKUP(VLOOKUP(AS$1,main!$A$3:$I$56,8,FALSE),main!$K$11:$M$14,2,FALSE)+VLOOKUP(VLOOKUP(AS$1,main!$A$3:$I$56,7,FALSE),main!$K$19:$O$22,MATCH(VLOOKUP($A40,main!$A$3:$I$56,8,FALSE),main!$K$18:$O$18,0))))),1,0)</f>
        <v>0</v>
      </c>
      <c r="AT40">
        <f>IF((AND(VLOOKUP(AT$1,main!$A$3:$I$56,5,FALSE)-VLOOKUP($A40,main!$A$3:$I$56,6,FALSE)&gt;=(VLOOKUP(VLOOKUP(AT$1,main!$A$3:$I$56,8,FALSE),main!$K$11:$M$14,2,FALSE)+VLOOKUP(VLOOKUP(AT$1,main!$A$3:$I$56,7,FALSE),main!$K$19:$O$22,MATCH(VLOOKUP($A40,main!$A$3:$I$56,8,FALSE),main!$K$18:$O$18,0))))),1,0)</f>
        <v>0</v>
      </c>
      <c r="AU40">
        <f>IF((AND(VLOOKUP(AU$1,main!$A$3:$I$56,5,FALSE)-VLOOKUP($A40,main!$A$3:$I$56,6,FALSE)&gt;=(VLOOKUP(VLOOKUP(AU$1,main!$A$3:$I$56,8,FALSE),main!$K$11:$M$14,2,FALSE)+VLOOKUP(VLOOKUP(AU$1,main!$A$3:$I$56,7,FALSE),main!$K$19:$O$22,MATCH(VLOOKUP($A40,main!$A$3:$I$56,8,FALSE),main!$K$18:$O$18,0))))),1,0)</f>
        <v>0</v>
      </c>
      <c r="AV40">
        <f>IF((AND(VLOOKUP(AV$1,main!$A$3:$I$56,5,FALSE)-VLOOKUP($A40,main!$A$3:$I$56,6,FALSE)&gt;=(VLOOKUP(VLOOKUP(AV$1,main!$A$3:$I$56,8,FALSE),main!$K$11:$M$14,2,FALSE)+VLOOKUP(VLOOKUP(AV$1,main!$A$3:$I$56,7,FALSE),main!$K$19:$O$22,MATCH(VLOOKUP($A40,main!$A$3:$I$56,8,FALSE),main!$K$18:$O$18,0))))),1,0)</f>
        <v>0</v>
      </c>
      <c r="AW40">
        <f>IF((AND(VLOOKUP(AW$1,main!$A$3:$I$56,5,FALSE)-VLOOKUP($A40,main!$A$3:$I$56,6,FALSE)&gt;=(VLOOKUP(VLOOKUP(AW$1,main!$A$3:$I$56,8,FALSE),main!$K$11:$M$14,2,FALSE)+VLOOKUP(VLOOKUP(AW$1,main!$A$3:$I$56,7,FALSE),main!$K$19:$O$22,MATCH(VLOOKUP($A40,main!$A$3:$I$56,8,FALSE),main!$K$18:$O$18,0))))),1,0)</f>
        <v>0</v>
      </c>
      <c r="AX40">
        <f>IF((AND(VLOOKUP(AX$1,main!$A$3:$I$56,5,FALSE)-VLOOKUP($A40,main!$A$3:$I$56,6,FALSE)&gt;=(VLOOKUP(VLOOKUP(AX$1,main!$A$3:$I$56,8,FALSE),main!$K$11:$M$14,2,FALSE)+VLOOKUP(VLOOKUP(AX$1,main!$A$3:$I$56,7,FALSE),main!$K$19:$O$22,MATCH(VLOOKUP($A40,main!$A$3:$I$56,8,FALSE),main!$K$18:$O$18,0))))),1,0)</f>
        <v>0</v>
      </c>
      <c r="AY40">
        <f>IF((AND(VLOOKUP(AY$1,main!$A$3:$I$56,5,FALSE)-VLOOKUP($A40,main!$A$3:$I$56,6,FALSE)&gt;=(VLOOKUP(VLOOKUP(AY$1,main!$A$3:$I$56,8,FALSE),main!$K$11:$M$14,2,FALSE)+VLOOKUP(VLOOKUP(AY$1,main!$A$3:$I$56,7,FALSE),main!$K$19:$O$22,MATCH(VLOOKUP($A40,main!$A$3:$I$56,8,FALSE),main!$K$18:$O$18,0))))),1,0)</f>
        <v>1</v>
      </c>
      <c r="AZ40">
        <f>IF((AND(VLOOKUP(AZ$1,main!$A$3:$I$56,5,FALSE)-VLOOKUP($A40,main!$A$3:$I$56,6,FALSE)&gt;=(VLOOKUP(VLOOKUP(AZ$1,main!$A$3:$I$56,8,FALSE),main!$K$11:$M$14,2,FALSE)+VLOOKUP(VLOOKUP(AZ$1,main!$A$3:$I$56,7,FALSE),main!$K$19:$O$22,MATCH(VLOOKUP($A40,main!$A$3:$I$56,8,FALSE),main!$K$18:$O$18,0))))),1,0)</f>
        <v>0</v>
      </c>
      <c r="BA40">
        <f>IF((AND(VLOOKUP(BA$1,main!$A$3:$I$56,5,FALSE)-VLOOKUP($A40,main!$A$3:$I$56,6,FALSE)&gt;=(VLOOKUP(VLOOKUP(BA$1,main!$A$3:$I$56,8,FALSE),main!$K$11:$M$14,2,FALSE)+VLOOKUP(VLOOKUP(BA$1,main!$A$3:$I$56,7,FALSE),main!$K$19:$O$22,MATCH(VLOOKUP($A40,main!$A$3:$I$56,8,FALSE),main!$K$18:$O$18,0))))),1,0)</f>
        <v>0</v>
      </c>
      <c r="BB40">
        <f>IF((AND(VLOOKUP(BB$1,main!$A$3:$I$56,5,FALSE)-VLOOKUP($A40,main!$A$3:$I$56,6,FALSE)&gt;=(VLOOKUP(VLOOKUP(BB$1,main!$A$3:$I$56,8,FALSE),main!$K$11:$M$14,2,FALSE)+VLOOKUP(VLOOKUP(BB$1,main!$A$3:$I$56,7,FALSE),main!$K$19:$O$22,MATCH(VLOOKUP($A40,main!$A$3:$I$56,8,FALSE),main!$K$18:$O$18,0))))),1,0)</f>
        <v>0</v>
      </c>
      <c r="BC40">
        <f>IF((AND(VLOOKUP(BC$1,main!$A$3:$I$56,5,FALSE)-VLOOKUP($A40,main!$A$3:$I$56,6,FALSE)&gt;=(VLOOKUP(VLOOKUP(BC$1,main!$A$3:$I$56,8,FALSE),main!$K$11:$M$14,2,FALSE)+VLOOKUP(VLOOKUP(BC$1,main!$A$3:$I$56,7,FALSE),main!$K$19:$O$22,MATCH(VLOOKUP($A40,main!$A$3:$I$56,8,FALSE),main!$K$18:$O$18,0))))),1,0)</f>
        <v>0</v>
      </c>
      <c r="BD40">
        <f>IF((AND(VLOOKUP(BD$1,main!$A$3:$I$56,5,FALSE)-VLOOKUP($A40,main!$A$3:$I$56,6,FALSE)&gt;=(VLOOKUP(VLOOKUP(BD$1,main!$A$3:$I$56,8,FALSE),main!$K$11:$M$14,2,FALSE)+VLOOKUP(VLOOKUP(BD$1,main!$A$3:$I$56,7,FALSE),main!$K$19:$O$22,MATCH(VLOOKUP($A40,main!$A$3:$I$56,8,FALSE),main!$K$18:$O$18,0))))),1,0)</f>
        <v>0</v>
      </c>
    </row>
    <row r="41" spans="1:56" x14ac:dyDescent="0.25">
      <c r="A41">
        <f t="shared" si="0"/>
        <v>39</v>
      </c>
      <c r="B41">
        <v>1</v>
      </c>
      <c r="C41">
        <f>IF((AND(VLOOKUP(C$1,main!$A$3:$I$56,5,FALSE)-VLOOKUP($A41,main!$A$3:$I$56,6,FALSE)&gt;=(VLOOKUP(VLOOKUP(C$1,main!$A$3:$I$56,8,FALSE),main!$K$11:$M$14,2,FALSE)+VLOOKUP(VLOOKUP(C$1,main!$A$3:$I$56,7,FALSE),main!$K$19:$O$22,MATCH(VLOOKUP($A41,main!$A$3:$I$56,8,FALSE),main!$K$18:$O$18,0))))),1,0)</f>
        <v>0</v>
      </c>
      <c r="D41">
        <f>IF((AND(VLOOKUP(D$1,main!$A$3:$I$56,5,FALSE)-VLOOKUP($A41,main!$A$3:$I$56,6,FALSE)&gt;=(VLOOKUP(VLOOKUP(D$1,main!$A$3:$I$56,8,FALSE),main!$K$11:$M$14,2,FALSE)+VLOOKUP(VLOOKUP(D$1,main!$A$3:$I$56,7,FALSE),main!$K$19:$O$22,MATCH(VLOOKUP($A41,main!$A$3:$I$56,8,FALSE),main!$K$18:$O$18,0))))),1,0)</f>
        <v>0</v>
      </c>
      <c r="E41">
        <f>IF((AND(VLOOKUP(E$1,main!$A$3:$I$56,5,FALSE)-VLOOKUP($A41,main!$A$3:$I$56,6,FALSE)&gt;=(VLOOKUP(VLOOKUP(E$1,main!$A$3:$I$56,8,FALSE),main!$K$11:$M$14,2,FALSE)+VLOOKUP(VLOOKUP(E$1,main!$A$3:$I$56,7,FALSE),main!$K$19:$O$22,MATCH(VLOOKUP($A41,main!$A$3:$I$56,8,FALSE),main!$K$18:$O$18,0))))),1,0)</f>
        <v>0</v>
      </c>
      <c r="F41">
        <f>IF((AND(VLOOKUP(F$1,main!$A$3:$I$56,5,FALSE)-VLOOKUP($A41,main!$A$3:$I$56,6,FALSE)&gt;=(VLOOKUP(VLOOKUP(F$1,main!$A$3:$I$56,8,FALSE),main!$K$11:$M$14,2,FALSE)+VLOOKUP(VLOOKUP(F$1,main!$A$3:$I$56,7,FALSE),main!$K$19:$O$22,MATCH(VLOOKUP($A41,main!$A$3:$I$56,8,FALSE),main!$K$18:$O$18,0))))),1,0)</f>
        <v>0</v>
      </c>
      <c r="G41">
        <f>IF((AND(VLOOKUP(G$1,main!$A$3:$I$56,5,FALSE)-VLOOKUP($A41,main!$A$3:$I$56,6,FALSE)&gt;=(VLOOKUP(VLOOKUP(G$1,main!$A$3:$I$56,8,FALSE),main!$K$11:$M$14,2,FALSE)+VLOOKUP(VLOOKUP(G$1,main!$A$3:$I$56,7,FALSE),main!$K$19:$O$22,MATCH(VLOOKUP($A41,main!$A$3:$I$56,8,FALSE),main!$K$18:$O$18,0))))),1,0)</f>
        <v>0</v>
      </c>
      <c r="H41">
        <f>IF((AND(VLOOKUP(H$1,main!$A$3:$I$56,5,FALSE)-VLOOKUP($A41,main!$A$3:$I$56,6,FALSE)&gt;=(VLOOKUP(VLOOKUP(H$1,main!$A$3:$I$56,8,FALSE),main!$K$11:$M$14,2,FALSE)+VLOOKUP(VLOOKUP(H$1,main!$A$3:$I$56,7,FALSE),main!$K$19:$O$22,MATCH(VLOOKUP($A41,main!$A$3:$I$56,8,FALSE),main!$K$18:$O$18,0))))),1,0)</f>
        <v>0</v>
      </c>
      <c r="I41">
        <f>IF((AND(VLOOKUP(I$1,main!$A$3:$I$56,5,FALSE)-VLOOKUP($A41,main!$A$3:$I$56,6,FALSE)&gt;=(VLOOKUP(VLOOKUP(I$1,main!$A$3:$I$56,8,FALSE),main!$K$11:$M$14,2,FALSE)+VLOOKUP(VLOOKUP(I$1,main!$A$3:$I$56,7,FALSE),main!$K$19:$O$22,MATCH(VLOOKUP($A41,main!$A$3:$I$56,8,FALSE),main!$K$18:$O$18,0))))),1,0)</f>
        <v>0</v>
      </c>
      <c r="J41">
        <f>IF((AND(VLOOKUP(J$1,main!$A$3:$I$56,5,FALSE)-VLOOKUP($A41,main!$A$3:$I$56,6,FALSE)&gt;=(VLOOKUP(VLOOKUP(J$1,main!$A$3:$I$56,8,FALSE),main!$K$11:$M$14,2,FALSE)+VLOOKUP(VLOOKUP(J$1,main!$A$3:$I$56,7,FALSE),main!$K$19:$O$22,MATCH(VLOOKUP($A41,main!$A$3:$I$56,8,FALSE),main!$K$18:$O$18,0))))),1,0)</f>
        <v>1</v>
      </c>
      <c r="K41">
        <f>IF((AND(VLOOKUP(K$1,main!$A$3:$I$56,5,FALSE)-VLOOKUP($A41,main!$A$3:$I$56,6,FALSE)&gt;=(VLOOKUP(VLOOKUP(K$1,main!$A$3:$I$56,8,FALSE),main!$K$11:$M$14,2,FALSE)+VLOOKUP(VLOOKUP(K$1,main!$A$3:$I$56,7,FALSE),main!$K$19:$O$22,MATCH(VLOOKUP($A41,main!$A$3:$I$56,8,FALSE),main!$K$18:$O$18,0))))),1,0)</f>
        <v>0</v>
      </c>
      <c r="L41">
        <f>IF((AND(VLOOKUP(L$1,main!$A$3:$I$56,5,FALSE)-VLOOKUP($A41,main!$A$3:$I$56,6,FALSE)&gt;=(VLOOKUP(VLOOKUP(L$1,main!$A$3:$I$56,8,FALSE),main!$K$11:$M$14,2,FALSE)+VLOOKUP(VLOOKUP(L$1,main!$A$3:$I$56,7,FALSE),main!$K$19:$O$22,MATCH(VLOOKUP($A41,main!$A$3:$I$56,8,FALSE),main!$K$18:$O$18,0))))),1,0)</f>
        <v>0</v>
      </c>
      <c r="M41">
        <f>IF((AND(VLOOKUP(M$1,main!$A$3:$I$56,5,FALSE)-VLOOKUP($A41,main!$A$3:$I$56,6,FALSE)&gt;=(VLOOKUP(VLOOKUP(M$1,main!$A$3:$I$56,8,FALSE),main!$K$11:$M$14,2,FALSE)+VLOOKUP(VLOOKUP(M$1,main!$A$3:$I$56,7,FALSE),main!$K$19:$O$22,MATCH(VLOOKUP($A41,main!$A$3:$I$56,8,FALSE),main!$K$18:$O$18,0))))),1,0)</f>
        <v>0</v>
      </c>
      <c r="N41">
        <f>IF((AND(VLOOKUP(N$1,main!$A$3:$I$56,5,FALSE)-VLOOKUP($A41,main!$A$3:$I$56,6,FALSE)&gt;=(VLOOKUP(VLOOKUP(N$1,main!$A$3:$I$56,8,FALSE),main!$K$11:$M$14,2,FALSE)+VLOOKUP(VLOOKUP(N$1,main!$A$3:$I$56,7,FALSE),main!$K$19:$O$22,MATCH(VLOOKUP($A41,main!$A$3:$I$56,8,FALSE),main!$K$18:$O$18,0))))),1,0)</f>
        <v>1</v>
      </c>
      <c r="O41">
        <f>IF((AND(VLOOKUP(O$1,main!$A$3:$I$56,5,FALSE)-VLOOKUP($A41,main!$A$3:$I$56,6,FALSE)&gt;=(VLOOKUP(VLOOKUP(O$1,main!$A$3:$I$56,8,FALSE),main!$K$11:$M$14,2,FALSE)+VLOOKUP(VLOOKUP(O$1,main!$A$3:$I$56,7,FALSE),main!$K$19:$O$22,MATCH(VLOOKUP($A41,main!$A$3:$I$56,8,FALSE),main!$K$18:$O$18,0))))),1,0)</f>
        <v>1</v>
      </c>
      <c r="P41">
        <f>IF((AND(VLOOKUP(P$1,main!$A$3:$I$56,5,FALSE)-VLOOKUP($A41,main!$A$3:$I$56,6,FALSE)&gt;=(VLOOKUP(VLOOKUP(P$1,main!$A$3:$I$56,8,FALSE),main!$K$11:$M$14,2,FALSE)+VLOOKUP(VLOOKUP(P$1,main!$A$3:$I$56,7,FALSE),main!$K$19:$O$22,MATCH(VLOOKUP($A41,main!$A$3:$I$56,8,FALSE),main!$K$18:$O$18,0))))),1,0)</f>
        <v>0</v>
      </c>
      <c r="Q41">
        <f>IF((AND(VLOOKUP(Q$1,main!$A$3:$I$56,5,FALSE)-VLOOKUP($A41,main!$A$3:$I$56,6,FALSE)&gt;=(VLOOKUP(VLOOKUP(Q$1,main!$A$3:$I$56,8,FALSE),main!$K$11:$M$14,2,FALSE)+VLOOKUP(VLOOKUP(Q$1,main!$A$3:$I$56,7,FALSE),main!$K$19:$O$22,MATCH(VLOOKUP($A41,main!$A$3:$I$56,8,FALSE),main!$K$18:$O$18,0))))),1,0)</f>
        <v>0</v>
      </c>
      <c r="R41">
        <f>IF((AND(VLOOKUP(R$1,main!$A$3:$I$56,5,FALSE)-VLOOKUP($A41,main!$A$3:$I$56,6,FALSE)&gt;=(VLOOKUP(VLOOKUP(R$1,main!$A$3:$I$56,8,FALSE),main!$K$11:$M$14,2,FALSE)+VLOOKUP(VLOOKUP(R$1,main!$A$3:$I$56,7,FALSE),main!$K$19:$O$22,MATCH(VLOOKUP($A41,main!$A$3:$I$56,8,FALSE),main!$K$18:$O$18,0))))),1,0)</f>
        <v>0</v>
      </c>
      <c r="S41">
        <f>IF((AND(VLOOKUP(S$1,main!$A$3:$I$56,5,FALSE)-VLOOKUP($A41,main!$A$3:$I$56,6,FALSE)&gt;=(VLOOKUP(VLOOKUP(S$1,main!$A$3:$I$56,8,FALSE),main!$K$11:$M$14,2,FALSE)+VLOOKUP(VLOOKUP(S$1,main!$A$3:$I$56,7,FALSE),main!$K$19:$O$22,MATCH(VLOOKUP($A41,main!$A$3:$I$56,8,FALSE),main!$K$18:$O$18,0))))),1,0)</f>
        <v>0</v>
      </c>
      <c r="T41">
        <f>IF((AND(VLOOKUP(T$1,main!$A$3:$I$56,5,FALSE)-VLOOKUP($A41,main!$A$3:$I$56,6,FALSE)&gt;=(VLOOKUP(VLOOKUP(T$1,main!$A$3:$I$56,8,FALSE),main!$K$11:$M$14,2,FALSE)+VLOOKUP(VLOOKUP(T$1,main!$A$3:$I$56,7,FALSE),main!$K$19:$O$22,MATCH(VLOOKUP($A41,main!$A$3:$I$56,8,FALSE),main!$K$18:$O$18,0))))),1,0)</f>
        <v>1</v>
      </c>
      <c r="U41">
        <f>IF((AND(VLOOKUP(U$1,main!$A$3:$I$56,5,FALSE)-VLOOKUP($A41,main!$A$3:$I$56,6,FALSE)&gt;=(VLOOKUP(VLOOKUP(U$1,main!$A$3:$I$56,8,FALSE),main!$K$11:$M$14,2,FALSE)+VLOOKUP(VLOOKUP(U$1,main!$A$3:$I$56,7,FALSE),main!$K$19:$O$22,MATCH(VLOOKUP($A41,main!$A$3:$I$56,8,FALSE),main!$K$18:$O$18,0))))),1,0)</f>
        <v>0</v>
      </c>
      <c r="V41">
        <f>IF((AND(VLOOKUP(V$1,main!$A$3:$I$56,5,FALSE)-VLOOKUP($A41,main!$A$3:$I$56,6,FALSE)&gt;=(VLOOKUP(VLOOKUP(V$1,main!$A$3:$I$56,8,FALSE),main!$K$11:$M$14,2,FALSE)+VLOOKUP(VLOOKUP(V$1,main!$A$3:$I$56,7,FALSE),main!$K$19:$O$22,MATCH(VLOOKUP($A41,main!$A$3:$I$56,8,FALSE),main!$K$18:$O$18,0))))),1,0)</f>
        <v>0</v>
      </c>
      <c r="W41">
        <f>IF((AND(VLOOKUP(W$1,main!$A$3:$I$56,5,FALSE)-VLOOKUP($A41,main!$A$3:$I$56,6,FALSE)&gt;=(VLOOKUP(VLOOKUP(W$1,main!$A$3:$I$56,8,FALSE),main!$K$11:$M$14,2,FALSE)+VLOOKUP(VLOOKUP(W$1,main!$A$3:$I$56,7,FALSE),main!$K$19:$O$22,MATCH(VLOOKUP($A41,main!$A$3:$I$56,8,FALSE),main!$K$18:$O$18,0))))),1,0)</f>
        <v>0</v>
      </c>
      <c r="X41">
        <f>IF((AND(VLOOKUP(X$1,main!$A$3:$I$56,5,FALSE)-VLOOKUP($A41,main!$A$3:$I$56,6,FALSE)&gt;=(VLOOKUP(VLOOKUP(X$1,main!$A$3:$I$56,8,FALSE),main!$K$11:$M$14,2,FALSE)+VLOOKUP(VLOOKUP(X$1,main!$A$3:$I$56,7,FALSE),main!$K$19:$O$22,MATCH(VLOOKUP($A41,main!$A$3:$I$56,8,FALSE),main!$K$18:$O$18,0))))),1,0)</f>
        <v>0</v>
      </c>
      <c r="Y41">
        <f>IF((AND(VLOOKUP(Y$1,main!$A$3:$I$56,5,FALSE)-VLOOKUP($A41,main!$A$3:$I$56,6,FALSE)&gt;=(VLOOKUP(VLOOKUP(Y$1,main!$A$3:$I$56,8,FALSE),main!$K$11:$M$14,2,FALSE)+VLOOKUP(VLOOKUP(Y$1,main!$A$3:$I$56,7,FALSE),main!$K$19:$O$22,MATCH(VLOOKUP($A41,main!$A$3:$I$56,8,FALSE),main!$K$18:$O$18,0))))),1,0)</f>
        <v>0</v>
      </c>
      <c r="Z41">
        <f>IF((AND(VLOOKUP(Z$1,main!$A$3:$I$56,5,FALSE)-VLOOKUP($A41,main!$A$3:$I$56,6,FALSE)&gt;=(VLOOKUP(VLOOKUP(Z$1,main!$A$3:$I$56,8,FALSE),main!$K$11:$M$14,2,FALSE)+VLOOKUP(VLOOKUP(Z$1,main!$A$3:$I$56,7,FALSE),main!$K$19:$O$22,MATCH(VLOOKUP($A41,main!$A$3:$I$56,8,FALSE),main!$K$18:$O$18,0))))),1,0)</f>
        <v>0</v>
      </c>
      <c r="AA41">
        <f>IF((AND(VLOOKUP(AA$1,main!$A$3:$I$56,5,FALSE)-VLOOKUP($A41,main!$A$3:$I$56,6,FALSE)&gt;=(VLOOKUP(VLOOKUP(AA$1,main!$A$3:$I$56,8,FALSE),main!$K$11:$M$14,2,FALSE)+VLOOKUP(VLOOKUP(AA$1,main!$A$3:$I$56,7,FALSE),main!$K$19:$O$22,MATCH(VLOOKUP($A41,main!$A$3:$I$56,8,FALSE),main!$K$18:$O$18,0))))),1,0)</f>
        <v>0</v>
      </c>
      <c r="AB41">
        <f>IF((AND(VLOOKUP(AB$1,main!$A$3:$I$56,5,FALSE)-VLOOKUP($A41,main!$A$3:$I$56,6,FALSE)&gt;=(VLOOKUP(VLOOKUP(AB$1,main!$A$3:$I$56,8,FALSE),main!$K$11:$M$14,2,FALSE)+VLOOKUP(VLOOKUP(AB$1,main!$A$3:$I$56,7,FALSE),main!$K$19:$O$22,MATCH(VLOOKUP($A41,main!$A$3:$I$56,8,FALSE),main!$K$18:$O$18,0))))),1,0)</f>
        <v>1</v>
      </c>
      <c r="AC41">
        <f>IF((AND(VLOOKUP(AC$1,main!$A$3:$I$56,5,FALSE)-VLOOKUP($A41,main!$A$3:$I$56,6,FALSE)&gt;=(VLOOKUP(VLOOKUP(AC$1,main!$A$3:$I$56,8,FALSE),main!$K$11:$M$14,2,FALSE)+VLOOKUP(VLOOKUP(AC$1,main!$A$3:$I$56,7,FALSE),main!$K$19:$O$22,MATCH(VLOOKUP($A41,main!$A$3:$I$56,8,FALSE),main!$K$18:$O$18,0))))),1,0)</f>
        <v>0</v>
      </c>
      <c r="AD41">
        <f>IF((AND(VLOOKUP(AD$1,main!$A$3:$I$56,5,FALSE)-VLOOKUP($A41,main!$A$3:$I$56,6,FALSE)&gt;=(VLOOKUP(VLOOKUP(AD$1,main!$A$3:$I$56,8,FALSE),main!$K$11:$M$14,2,FALSE)+VLOOKUP(VLOOKUP(AD$1,main!$A$3:$I$56,7,FALSE),main!$K$19:$O$22,MATCH(VLOOKUP($A41,main!$A$3:$I$56,8,FALSE),main!$K$18:$O$18,0))))),1,0)</f>
        <v>0</v>
      </c>
      <c r="AE41">
        <f>IF((AND(VLOOKUP(AE$1,main!$A$3:$I$56,5,FALSE)-VLOOKUP($A41,main!$A$3:$I$56,6,FALSE)&gt;=(VLOOKUP(VLOOKUP(AE$1,main!$A$3:$I$56,8,FALSE),main!$K$11:$M$14,2,FALSE)+VLOOKUP(VLOOKUP(AE$1,main!$A$3:$I$56,7,FALSE),main!$K$19:$O$22,MATCH(VLOOKUP($A41,main!$A$3:$I$56,8,FALSE),main!$K$18:$O$18,0))))),1,0)</f>
        <v>0</v>
      </c>
      <c r="AF41">
        <f>IF((AND(VLOOKUP(AF$1,main!$A$3:$I$56,5,FALSE)-VLOOKUP($A41,main!$A$3:$I$56,6,FALSE)&gt;=(VLOOKUP(VLOOKUP(AF$1,main!$A$3:$I$56,8,FALSE),main!$K$11:$M$14,2,FALSE)+VLOOKUP(VLOOKUP(AF$1,main!$A$3:$I$56,7,FALSE),main!$K$19:$O$22,MATCH(VLOOKUP($A41,main!$A$3:$I$56,8,FALSE),main!$K$18:$O$18,0))))),1,0)</f>
        <v>0</v>
      </c>
      <c r="AG41">
        <f>IF((AND(VLOOKUP(AG$1,main!$A$3:$I$56,5,FALSE)-VLOOKUP($A41,main!$A$3:$I$56,6,FALSE)&gt;=(VLOOKUP(VLOOKUP(AG$1,main!$A$3:$I$56,8,FALSE),main!$K$11:$M$14,2,FALSE)+VLOOKUP(VLOOKUP(AG$1,main!$A$3:$I$56,7,FALSE),main!$K$19:$O$22,MATCH(VLOOKUP($A41,main!$A$3:$I$56,8,FALSE),main!$K$18:$O$18,0))))),1,0)</f>
        <v>0</v>
      </c>
      <c r="AH41">
        <f>IF((AND(VLOOKUP(AH$1,main!$A$3:$I$56,5,FALSE)-VLOOKUP($A41,main!$A$3:$I$56,6,FALSE)&gt;=(VLOOKUP(VLOOKUP(AH$1,main!$A$3:$I$56,8,FALSE),main!$K$11:$M$14,2,FALSE)+VLOOKUP(VLOOKUP(AH$1,main!$A$3:$I$56,7,FALSE),main!$K$19:$O$22,MATCH(VLOOKUP($A41,main!$A$3:$I$56,8,FALSE),main!$K$18:$O$18,0))))),1,0)</f>
        <v>0</v>
      </c>
      <c r="AI41">
        <f>IF((AND(VLOOKUP(AI$1,main!$A$3:$I$56,5,FALSE)-VLOOKUP($A41,main!$A$3:$I$56,6,FALSE)&gt;=(VLOOKUP(VLOOKUP(AI$1,main!$A$3:$I$56,8,FALSE),main!$K$11:$M$14,2,FALSE)+VLOOKUP(VLOOKUP(AI$1,main!$A$3:$I$56,7,FALSE),main!$K$19:$O$22,MATCH(VLOOKUP($A41,main!$A$3:$I$56,8,FALSE),main!$K$18:$O$18,0))))),1,0)</f>
        <v>0</v>
      </c>
      <c r="AJ41">
        <f>IF((AND(VLOOKUP(AJ$1,main!$A$3:$I$56,5,FALSE)-VLOOKUP($A41,main!$A$3:$I$56,6,FALSE)&gt;=(VLOOKUP(VLOOKUP(AJ$1,main!$A$3:$I$56,8,FALSE),main!$K$11:$M$14,2,FALSE)+VLOOKUP(VLOOKUP(AJ$1,main!$A$3:$I$56,7,FALSE),main!$K$19:$O$22,MATCH(VLOOKUP($A41,main!$A$3:$I$56,8,FALSE),main!$K$18:$O$18,0))))),1,0)</f>
        <v>0</v>
      </c>
      <c r="AK41">
        <f>IF((AND(VLOOKUP(AK$1,main!$A$3:$I$56,5,FALSE)-VLOOKUP($A41,main!$A$3:$I$56,6,FALSE)&gt;=(VLOOKUP(VLOOKUP(AK$1,main!$A$3:$I$56,8,FALSE),main!$K$11:$M$14,2,FALSE)+VLOOKUP(VLOOKUP(AK$1,main!$A$3:$I$56,7,FALSE),main!$K$19:$O$22,MATCH(VLOOKUP($A41,main!$A$3:$I$56,8,FALSE),main!$K$18:$O$18,0))))),1,0)</f>
        <v>0</v>
      </c>
      <c r="AL41">
        <f>IF((AND(VLOOKUP(AL$1,main!$A$3:$I$56,5,FALSE)-VLOOKUP($A41,main!$A$3:$I$56,6,FALSE)&gt;=(VLOOKUP(VLOOKUP(AL$1,main!$A$3:$I$56,8,FALSE),main!$K$11:$M$14,2,FALSE)+VLOOKUP(VLOOKUP(AL$1,main!$A$3:$I$56,7,FALSE),main!$K$19:$O$22,MATCH(VLOOKUP($A41,main!$A$3:$I$56,8,FALSE),main!$K$18:$O$18,0))))),1,0)</f>
        <v>0</v>
      </c>
      <c r="AM41">
        <f>IF((AND(VLOOKUP(AM$1,main!$A$3:$I$56,5,FALSE)-VLOOKUP($A41,main!$A$3:$I$56,6,FALSE)&gt;=(VLOOKUP(VLOOKUP(AM$1,main!$A$3:$I$56,8,FALSE),main!$K$11:$M$14,2,FALSE)+VLOOKUP(VLOOKUP(AM$1,main!$A$3:$I$56,7,FALSE),main!$K$19:$O$22,MATCH(VLOOKUP($A41,main!$A$3:$I$56,8,FALSE),main!$K$18:$O$18,0))))),1,0)</f>
        <v>0</v>
      </c>
      <c r="AN41">
        <f>IF((AND(VLOOKUP(AN$1,main!$A$3:$I$56,5,FALSE)-VLOOKUP($A41,main!$A$3:$I$56,6,FALSE)&gt;=(VLOOKUP(VLOOKUP(AN$1,main!$A$3:$I$56,8,FALSE),main!$K$11:$M$14,2,FALSE)+VLOOKUP(VLOOKUP(AN$1,main!$A$3:$I$56,7,FALSE),main!$K$19:$O$22,MATCH(VLOOKUP($A41,main!$A$3:$I$56,8,FALSE),main!$K$18:$O$18,0))))),1,0)</f>
        <v>0</v>
      </c>
      <c r="AO41">
        <f>IF((AND(VLOOKUP(AO$1,main!$A$3:$I$56,5,FALSE)-VLOOKUP($A41,main!$A$3:$I$56,6,FALSE)&gt;=(VLOOKUP(VLOOKUP(AO$1,main!$A$3:$I$56,8,FALSE),main!$K$11:$M$14,2,FALSE)+VLOOKUP(VLOOKUP(AO$1,main!$A$3:$I$56,7,FALSE),main!$K$19:$O$22,MATCH(VLOOKUP($A41,main!$A$3:$I$56,8,FALSE),main!$K$18:$O$18,0))))),1,0)</f>
        <v>0</v>
      </c>
      <c r="AP41">
        <f>IF((AND(VLOOKUP(AP$1,main!$A$3:$I$56,5,FALSE)-VLOOKUP($A41,main!$A$3:$I$56,6,FALSE)&gt;=(VLOOKUP(VLOOKUP(AP$1,main!$A$3:$I$56,8,FALSE),main!$K$11:$M$14,2,FALSE)+VLOOKUP(VLOOKUP(AP$1,main!$A$3:$I$56,7,FALSE),main!$K$19:$O$22,MATCH(VLOOKUP($A41,main!$A$3:$I$56,8,FALSE),main!$K$18:$O$18,0))))),1,0)</f>
        <v>0</v>
      </c>
      <c r="AQ41">
        <f>IF((AND(VLOOKUP(AQ$1,main!$A$3:$I$56,5,FALSE)-VLOOKUP($A41,main!$A$3:$I$56,6,FALSE)&gt;=(VLOOKUP(VLOOKUP(AQ$1,main!$A$3:$I$56,8,FALSE),main!$K$11:$M$14,2,FALSE)+VLOOKUP(VLOOKUP(AQ$1,main!$A$3:$I$56,7,FALSE),main!$K$19:$O$22,MATCH(VLOOKUP($A41,main!$A$3:$I$56,8,FALSE),main!$K$18:$O$18,0))))),1,0)</f>
        <v>0</v>
      </c>
      <c r="AR41">
        <f>IF((AND(VLOOKUP(AR$1,main!$A$3:$I$56,5,FALSE)-VLOOKUP($A41,main!$A$3:$I$56,6,FALSE)&gt;=(VLOOKUP(VLOOKUP(AR$1,main!$A$3:$I$56,8,FALSE),main!$K$11:$M$14,2,FALSE)+VLOOKUP(VLOOKUP(AR$1,main!$A$3:$I$56,7,FALSE),main!$K$19:$O$22,MATCH(VLOOKUP($A41,main!$A$3:$I$56,8,FALSE),main!$K$18:$O$18,0))))),1,0)</f>
        <v>0</v>
      </c>
      <c r="AS41">
        <f>IF((AND(VLOOKUP(AS$1,main!$A$3:$I$56,5,FALSE)-VLOOKUP($A41,main!$A$3:$I$56,6,FALSE)&gt;=(VLOOKUP(VLOOKUP(AS$1,main!$A$3:$I$56,8,FALSE),main!$K$11:$M$14,2,FALSE)+VLOOKUP(VLOOKUP(AS$1,main!$A$3:$I$56,7,FALSE),main!$K$19:$O$22,MATCH(VLOOKUP($A41,main!$A$3:$I$56,8,FALSE),main!$K$18:$O$18,0))))),1,0)</f>
        <v>0</v>
      </c>
      <c r="AT41">
        <f>IF((AND(VLOOKUP(AT$1,main!$A$3:$I$56,5,FALSE)-VLOOKUP($A41,main!$A$3:$I$56,6,FALSE)&gt;=(VLOOKUP(VLOOKUP(AT$1,main!$A$3:$I$56,8,FALSE),main!$K$11:$M$14,2,FALSE)+VLOOKUP(VLOOKUP(AT$1,main!$A$3:$I$56,7,FALSE),main!$K$19:$O$22,MATCH(VLOOKUP($A41,main!$A$3:$I$56,8,FALSE),main!$K$18:$O$18,0))))),1,0)</f>
        <v>0</v>
      </c>
      <c r="AU41">
        <f>IF((AND(VLOOKUP(AU$1,main!$A$3:$I$56,5,FALSE)-VLOOKUP($A41,main!$A$3:$I$56,6,FALSE)&gt;=(VLOOKUP(VLOOKUP(AU$1,main!$A$3:$I$56,8,FALSE),main!$K$11:$M$14,2,FALSE)+VLOOKUP(VLOOKUP(AU$1,main!$A$3:$I$56,7,FALSE),main!$K$19:$O$22,MATCH(VLOOKUP($A41,main!$A$3:$I$56,8,FALSE),main!$K$18:$O$18,0))))),1,0)</f>
        <v>0</v>
      </c>
      <c r="AV41">
        <f>IF((AND(VLOOKUP(AV$1,main!$A$3:$I$56,5,FALSE)-VLOOKUP($A41,main!$A$3:$I$56,6,FALSE)&gt;=(VLOOKUP(VLOOKUP(AV$1,main!$A$3:$I$56,8,FALSE),main!$K$11:$M$14,2,FALSE)+VLOOKUP(VLOOKUP(AV$1,main!$A$3:$I$56,7,FALSE),main!$K$19:$O$22,MATCH(VLOOKUP($A41,main!$A$3:$I$56,8,FALSE),main!$K$18:$O$18,0))))),1,0)</f>
        <v>0</v>
      </c>
      <c r="AW41">
        <f>IF((AND(VLOOKUP(AW$1,main!$A$3:$I$56,5,FALSE)-VLOOKUP($A41,main!$A$3:$I$56,6,FALSE)&gt;=(VLOOKUP(VLOOKUP(AW$1,main!$A$3:$I$56,8,FALSE),main!$K$11:$M$14,2,FALSE)+VLOOKUP(VLOOKUP(AW$1,main!$A$3:$I$56,7,FALSE),main!$K$19:$O$22,MATCH(VLOOKUP($A41,main!$A$3:$I$56,8,FALSE),main!$K$18:$O$18,0))))),1,0)</f>
        <v>0</v>
      </c>
      <c r="AX41">
        <f>IF((AND(VLOOKUP(AX$1,main!$A$3:$I$56,5,FALSE)-VLOOKUP($A41,main!$A$3:$I$56,6,FALSE)&gt;=(VLOOKUP(VLOOKUP(AX$1,main!$A$3:$I$56,8,FALSE),main!$K$11:$M$14,2,FALSE)+VLOOKUP(VLOOKUP(AX$1,main!$A$3:$I$56,7,FALSE),main!$K$19:$O$22,MATCH(VLOOKUP($A41,main!$A$3:$I$56,8,FALSE),main!$K$18:$O$18,0))))),1,0)</f>
        <v>0</v>
      </c>
      <c r="AY41">
        <f>IF((AND(VLOOKUP(AY$1,main!$A$3:$I$56,5,FALSE)-VLOOKUP($A41,main!$A$3:$I$56,6,FALSE)&gt;=(VLOOKUP(VLOOKUP(AY$1,main!$A$3:$I$56,8,FALSE),main!$K$11:$M$14,2,FALSE)+VLOOKUP(VLOOKUP(AY$1,main!$A$3:$I$56,7,FALSE),main!$K$19:$O$22,MATCH(VLOOKUP($A41,main!$A$3:$I$56,8,FALSE),main!$K$18:$O$18,0))))),1,0)</f>
        <v>1</v>
      </c>
      <c r="AZ41">
        <f>IF((AND(VLOOKUP(AZ$1,main!$A$3:$I$56,5,FALSE)-VLOOKUP($A41,main!$A$3:$I$56,6,FALSE)&gt;=(VLOOKUP(VLOOKUP(AZ$1,main!$A$3:$I$56,8,FALSE),main!$K$11:$M$14,2,FALSE)+VLOOKUP(VLOOKUP(AZ$1,main!$A$3:$I$56,7,FALSE),main!$K$19:$O$22,MATCH(VLOOKUP($A41,main!$A$3:$I$56,8,FALSE),main!$K$18:$O$18,0))))),1,0)</f>
        <v>0</v>
      </c>
      <c r="BA41">
        <f>IF((AND(VLOOKUP(BA$1,main!$A$3:$I$56,5,FALSE)-VLOOKUP($A41,main!$A$3:$I$56,6,FALSE)&gt;=(VLOOKUP(VLOOKUP(BA$1,main!$A$3:$I$56,8,FALSE),main!$K$11:$M$14,2,FALSE)+VLOOKUP(VLOOKUP(BA$1,main!$A$3:$I$56,7,FALSE),main!$K$19:$O$22,MATCH(VLOOKUP($A41,main!$A$3:$I$56,8,FALSE),main!$K$18:$O$18,0))))),1,0)</f>
        <v>0</v>
      </c>
      <c r="BB41">
        <f>IF((AND(VLOOKUP(BB$1,main!$A$3:$I$56,5,FALSE)-VLOOKUP($A41,main!$A$3:$I$56,6,FALSE)&gt;=(VLOOKUP(VLOOKUP(BB$1,main!$A$3:$I$56,8,FALSE),main!$K$11:$M$14,2,FALSE)+VLOOKUP(VLOOKUP(BB$1,main!$A$3:$I$56,7,FALSE),main!$K$19:$O$22,MATCH(VLOOKUP($A41,main!$A$3:$I$56,8,FALSE),main!$K$18:$O$18,0))))),1,0)</f>
        <v>0</v>
      </c>
      <c r="BC41">
        <f>IF((AND(VLOOKUP(BC$1,main!$A$3:$I$56,5,FALSE)-VLOOKUP($A41,main!$A$3:$I$56,6,FALSE)&gt;=(VLOOKUP(VLOOKUP(BC$1,main!$A$3:$I$56,8,FALSE),main!$K$11:$M$14,2,FALSE)+VLOOKUP(VLOOKUP(BC$1,main!$A$3:$I$56,7,FALSE),main!$K$19:$O$22,MATCH(VLOOKUP($A41,main!$A$3:$I$56,8,FALSE),main!$K$18:$O$18,0))))),1,0)</f>
        <v>0</v>
      </c>
      <c r="BD41">
        <f>IF((AND(VLOOKUP(BD$1,main!$A$3:$I$56,5,FALSE)-VLOOKUP($A41,main!$A$3:$I$56,6,FALSE)&gt;=(VLOOKUP(VLOOKUP(BD$1,main!$A$3:$I$56,8,FALSE),main!$K$11:$M$14,2,FALSE)+VLOOKUP(VLOOKUP(BD$1,main!$A$3:$I$56,7,FALSE),main!$K$19:$O$22,MATCH(VLOOKUP($A41,main!$A$3:$I$56,8,FALSE),main!$K$18:$O$18,0))))),1,0)</f>
        <v>0</v>
      </c>
    </row>
    <row r="42" spans="1:56" x14ac:dyDescent="0.25">
      <c r="A42">
        <f t="shared" si="0"/>
        <v>40</v>
      </c>
      <c r="B42">
        <v>1</v>
      </c>
      <c r="C42">
        <f>IF((AND(VLOOKUP(C$1,main!$A$3:$I$56,5,FALSE)-VLOOKUP($A42,main!$A$3:$I$56,6,FALSE)&gt;=(VLOOKUP(VLOOKUP(C$1,main!$A$3:$I$56,8,FALSE),main!$K$11:$M$14,2,FALSE)+VLOOKUP(VLOOKUP(C$1,main!$A$3:$I$56,7,FALSE),main!$K$19:$O$22,MATCH(VLOOKUP($A42,main!$A$3:$I$56,8,FALSE),main!$K$18:$O$18,0))))),1,0)</f>
        <v>0</v>
      </c>
      <c r="D42">
        <f>IF((AND(VLOOKUP(D$1,main!$A$3:$I$56,5,FALSE)-VLOOKUP($A42,main!$A$3:$I$56,6,FALSE)&gt;=(VLOOKUP(VLOOKUP(D$1,main!$A$3:$I$56,8,FALSE),main!$K$11:$M$14,2,FALSE)+VLOOKUP(VLOOKUP(D$1,main!$A$3:$I$56,7,FALSE),main!$K$19:$O$22,MATCH(VLOOKUP($A42,main!$A$3:$I$56,8,FALSE),main!$K$18:$O$18,0))))),1,0)</f>
        <v>1</v>
      </c>
      <c r="E42">
        <f>IF((AND(VLOOKUP(E$1,main!$A$3:$I$56,5,FALSE)-VLOOKUP($A42,main!$A$3:$I$56,6,FALSE)&gt;=(VLOOKUP(VLOOKUP(E$1,main!$A$3:$I$56,8,FALSE),main!$K$11:$M$14,2,FALSE)+VLOOKUP(VLOOKUP(E$1,main!$A$3:$I$56,7,FALSE),main!$K$19:$O$22,MATCH(VLOOKUP($A42,main!$A$3:$I$56,8,FALSE),main!$K$18:$O$18,0))))),1,0)</f>
        <v>1</v>
      </c>
      <c r="F42">
        <f>IF((AND(VLOOKUP(F$1,main!$A$3:$I$56,5,FALSE)-VLOOKUP($A42,main!$A$3:$I$56,6,FALSE)&gt;=(VLOOKUP(VLOOKUP(F$1,main!$A$3:$I$56,8,FALSE),main!$K$11:$M$14,2,FALSE)+VLOOKUP(VLOOKUP(F$1,main!$A$3:$I$56,7,FALSE),main!$K$19:$O$22,MATCH(VLOOKUP($A42,main!$A$3:$I$56,8,FALSE),main!$K$18:$O$18,0))))),1,0)</f>
        <v>1</v>
      </c>
      <c r="G42">
        <f>IF((AND(VLOOKUP(G$1,main!$A$3:$I$56,5,FALSE)-VLOOKUP($A42,main!$A$3:$I$56,6,FALSE)&gt;=(VLOOKUP(VLOOKUP(G$1,main!$A$3:$I$56,8,FALSE),main!$K$11:$M$14,2,FALSE)+VLOOKUP(VLOOKUP(G$1,main!$A$3:$I$56,7,FALSE),main!$K$19:$O$22,MATCH(VLOOKUP($A42,main!$A$3:$I$56,8,FALSE),main!$K$18:$O$18,0))))),1,0)</f>
        <v>1</v>
      </c>
      <c r="H42">
        <f>IF((AND(VLOOKUP(H$1,main!$A$3:$I$56,5,FALSE)-VLOOKUP($A42,main!$A$3:$I$56,6,FALSE)&gt;=(VLOOKUP(VLOOKUP(H$1,main!$A$3:$I$56,8,FALSE),main!$K$11:$M$14,2,FALSE)+VLOOKUP(VLOOKUP(H$1,main!$A$3:$I$56,7,FALSE),main!$K$19:$O$22,MATCH(VLOOKUP($A42,main!$A$3:$I$56,8,FALSE),main!$K$18:$O$18,0))))),1,0)</f>
        <v>1</v>
      </c>
      <c r="I42">
        <f>IF((AND(VLOOKUP(I$1,main!$A$3:$I$56,5,FALSE)-VLOOKUP($A42,main!$A$3:$I$56,6,FALSE)&gt;=(VLOOKUP(VLOOKUP(I$1,main!$A$3:$I$56,8,FALSE),main!$K$11:$M$14,2,FALSE)+VLOOKUP(VLOOKUP(I$1,main!$A$3:$I$56,7,FALSE),main!$K$19:$O$22,MATCH(VLOOKUP($A42,main!$A$3:$I$56,8,FALSE),main!$K$18:$O$18,0))))),1,0)</f>
        <v>1</v>
      </c>
      <c r="J42">
        <f>IF((AND(VLOOKUP(J$1,main!$A$3:$I$56,5,FALSE)-VLOOKUP($A42,main!$A$3:$I$56,6,FALSE)&gt;=(VLOOKUP(VLOOKUP(J$1,main!$A$3:$I$56,8,FALSE),main!$K$11:$M$14,2,FALSE)+VLOOKUP(VLOOKUP(J$1,main!$A$3:$I$56,7,FALSE),main!$K$19:$O$22,MATCH(VLOOKUP($A42,main!$A$3:$I$56,8,FALSE),main!$K$18:$O$18,0))))),1,0)</f>
        <v>1</v>
      </c>
      <c r="K42">
        <f>IF((AND(VLOOKUP(K$1,main!$A$3:$I$56,5,FALSE)-VLOOKUP($A42,main!$A$3:$I$56,6,FALSE)&gt;=(VLOOKUP(VLOOKUP(K$1,main!$A$3:$I$56,8,FALSE),main!$K$11:$M$14,2,FALSE)+VLOOKUP(VLOOKUP(K$1,main!$A$3:$I$56,7,FALSE),main!$K$19:$O$22,MATCH(VLOOKUP($A42,main!$A$3:$I$56,8,FALSE),main!$K$18:$O$18,0))))),1,0)</f>
        <v>0</v>
      </c>
      <c r="L42">
        <f>IF((AND(VLOOKUP(L$1,main!$A$3:$I$56,5,FALSE)-VLOOKUP($A42,main!$A$3:$I$56,6,FALSE)&gt;=(VLOOKUP(VLOOKUP(L$1,main!$A$3:$I$56,8,FALSE),main!$K$11:$M$14,2,FALSE)+VLOOKUP(VLOOKUP(L$1,main!$A$3:$I$56,7,FALSE),main!$K$19:$O$22,MATCH(VLOOKUP($A42,main!$A$3:$I$56,8,FALSE),main!$K$18:$O$18,0))))),1,0)</f>
        <v>1</v>
      </c>
      <c r="M42">
        <f>IF((AND(VLOOKUP(M$1,main!$A$3:$I$56,5,FALSE)-VLOOKUP($A42,main!$A$3:$I$56,6,FALSE)&gt;=(VLOOKUP(VLOOKUP(M$1,main!$A$3:$I$56,8,FALSE),main!$K$11:$M$14,2,FALSE)+VLOOKUP(VLOOKUP(M$1,main!$A$3:$I$56,7,FALSE),main!$K$19:$O$22,MATCH(VLOOKUP($A42,main!$A$3:$I$56,8,FALSE),main!$K$18:$O$18,0))))),1,0)</f>
        <v>1</v>
      </c>
      <c r="N42">
        <f>IF((AND(VLOOKUP(N$1,main!$A$3:$I$56,5,FALSE)-VLOOKUP($A42,main!$A$3:$I$56,6,FALSE)&gt;=(VLOOKUP(VLOOKUP(N$1,main!$A$3:$I$56,8,FALSE),main!$K$11:$M$14,2,FALSE)+VLOOKUP(VLOOKUP(N$1,main!$A$3:$I$56,7,FALSE),main!$K$19:$O$22,MATCH(VLOOKUP($A42,main!$A$3:$I$56,8,FALSE),main!$K$18:$O$18,0))))),1,0)</f>
        <v>1</v>
      </c>
      <c r="O42">
        <f>IF((AND(VLOOKUP(O$1,main!$A$3:$I$56,5,FALSE)-VLOOKUP($A42,main!$A$3:$I$56,6,FALSE)&gt;=(VLOOKUP(VLOOKUP(O$1,main!$A$3:$I$56,8,FALSE),main!$K$11:$M$14,2,FALSE)+VLOOKUP(VLOOKUP(O$1,main!$A$3:$I$56,7,FALSE),main!$K$19:$O$22,MATCH(VLOOKUP($A42,main!$A$3:$I$56,8,FALSE),main!$K$18:$O$18,0))))),1,0)</f>
        <v>1</v>
      </c>
      <c r="P42">
        <f>IF((AND(VLOOKUP(P$1,main!$A$3:$I$56,5,FALSE)-VLOOKUP($A42,main!$A$3:$I$56,6,FALSE)&gt;=(VLOOKUP(VLOOKUP(P$1,main!$A$3:$I$56,8,FALSE),main!$K$11:$M$14,2,FALSE)+VLOOKUP(VLOOKUP(P$1,main!$A$3:$I$56,7,FALSE),main!$K$19:$O$22,MATCH(VLOOKUP($A42,main!$A$3:$I$56,8,FALSE),main!$K$18:$O$18,0))))),1,0)</f>
        <v>0</v>
      </c>
      <c r="Q42">
        <f>IF((AND(VLOOKUP(Q$1,main!$A$3:$I$56,5,FALSE)-VLOOKUP($A42,main!$A$3:$I$56,6,FALSE)&gt;=(VLOOKUP(VLOOKUP(Q$1,main!$A$3:$I$56,8,FALSE),main!$K$11:$M$14,2,FALSE)+VLOOKUP(VLOOKUP(Q$1,main!$A$3:$I$56,7,FALSE),main!$K$19:$O$22,MATCH(VLOOKUP($A42,main!$A$3:$I$56,8,FALSE),main!$K$18:$O$18,0))))),1,0)</f>
        <v>0</v>
      </c>
      <c r="R42">
        <f>IF((AND(VLOOKUP(R$1,main!$A$3:$I$56,5,FALSE)-VLOOKUP($A42,main!$A$3:$I$56,6,FALSE)&gt;=(VLOOKUP(VLOOKUP(R$1,main!$A$3:$I$56,8,FALSE),main!$K$11:$M$14,2,FALSE)+VLOOKUP(VLOOKUP(R$1,main!$A$3:$I$56,7,FALSE),main!$K$19:$O$22,MATCH(VLOOKUP($A42,main!$A$3:$I$56,8,FALSE),main!$K$18:$O$18,0))))),1,0)</f>
        <v>1</v>
      </c>
      <c r="S42">
        <f>IF((AND(VLOOKUP(S$1,main!$A$3:$I$56,5,FALSE)-VLOOKUP($A42,main!$A$3:$I$56,6,FALSE)&gt;=(VLOOKUP(VLOOKUP(S$1,main!$A$3:$I$56,8,FALSE),main!$K$11:$M$14,2,FALSE)+VLOOKUP(VLOOKUP(S$1,main!$A$3:$I$56,7,FALSE),main!$K$19:$O$22,MATCH(VLOOKUP($A42,main!$A$3:$I$56,8,FALSE),main!$K$18:$O$18,0))))),1,0)</f>
        <v>1</v>
      </c>
      <c r="T42">
        <f>IF((AND(VLOOKUP(T$1,main!$A$3:$I$56,5,FALSE)-VLOOKUP($A42,main!$A$3:$I$56,6,FALSE)&gt;=(VLOOKUP(VLOOKUP(T$1,main!$A$3:$I$56,8,FALSE),main!$K$11:$M$14,2,FALSE)+VLOOKUP(VLOOKUP(T$1,main!$A$3:$I$56,7,FALSE),main!$K$19:$O$22,MATCH(VLOOKUP($A42,main!$A$3:$I$56,8,FALSE),main!$K$18:$O$18,0))))),1,0)</f>
        <v>1</v>
      </c>
      <c r="U42">
        <f>IF((AND(VLOOKUP(U$1,main!$A$3:$I$56,5,FALSE)-VLOOKUP($A42,main!$A$3:$I$56,6,FALSE)&gt;=(VLOOKUP(VLOOKUP(U$1,main!$A$3:$I$56,8,FALSE),main!$K$11:$M$14,2,FALSE)+VLOOKUP(VLOOKUP(U$1,main!$A$3:$I$56,7,FALSE),main!$K$19:$O$22,MATCH(VLOOKUP($A42,main!$A$3:$I$56,8,FALSE),main!$K$18:$O$18,0))))),1,0)</f>
        <v>0</v>
      </c>
      <c r="V42">
        <f>IF((AND(VLOOKUP(V$1,main!$A$3:$I$56,5,FALSE)-VLOOKUP($A42,main!$A$3:$I$56,6,FALSE)&gt;=(VLOOKUP(VLOOKUP(V$1,main!$A$3:$I$56,8,FALSE),main!$K$11:$M$14,2,FALSE)+VLOOKUP(VLOOKUP(V$1,main!$A$3:$I$56,7,FALSE),main!$K$19:$O$22,MATCH(VLOOKUP($A42,main!$A$3:$I$56,8,FALSE),main!$K$18:$O$18,0))))),1,0)</f>
        <v>0</v>
      </c>
      <c r="W42">
        <f>IF((AND(VLOOKUP(W$1,main!$A$3:$I$56,5,FALSE)-VLOOKUP($A42,main!$A$3:$I$56,6,FALSE)&gt;=(VLOOKUP(VLOOKUP(W$1,main!$A$3:$I$56,8,FALSE),main!$K$11:$M$14,2,FALSE)+VLOOKUP(VLOOKUP(W$1,main!$A$3:$I$56,7,FALSE),main!$K$19:$O$22,MATCH(VLOOKUP($A42,main!$A$3:$I$56,8,FALSE),main!$K$18:$O$18,0))))),1,0)</f>
        <v>1</v>
      </c>
      <c r="X42">
        <f>IF((AND(VLOOKUP(X$1,main!$A$3:$I$56,5,FALSE)-VLOOKUP($A42,main!$A$3:$I$56,6,FALSE)&gt;=(VLOOKUP(VLOOKUP(X$1,main!$A$3:$I$56,8,FALSE),main!$K$11:$M$14,2,FALSE)+VLOOKUP(VLOOKUP(X$1,main!$A$3:$I$56,7,FALSE),main!$K$19:$O$22,MATCH(VLOOKUP($A42,main!$A$3:$I$56,8,FALSE),main!$K$18:$O$18,0))))),1,0)</f>
        <v>1</v>
      </c>
      <c r="Y42">
        <f>IF((AND(VLOOKUP(Y$1,main!$A$3:$I$56,5,FALSE)-VLOOKUP($A42,main!$A$3:$I$56,6,FALSE)&gt;=(VLOOKUP(VLOOKUP(Y$1,main!$A$3:$I$56,8,FALSE),main!$K$11:$M$14,2,FALSE)+VLOOKUP(VLOOKUP(Y$1,main!$A$3:$I$56,7,FALSE),main!$K$19:$O$22,MATCH(VLOOKUP($A42,main!$A$3:$I$56,8,FALSE),main!$K$18:$O$18,0))))),1,0)</f>
        <v>1</v>
      </c>
      <c r="Z42">
        <f>IF((AND(VLOOKUP(Z$1,main!$A$3:$I$56,5,FALSE)-VLOOKUP($A42,main!$A$3:$I$56,6,FALSE)&gt;=(VLOOKUP(VLOOKUP(Z$1,main!$A$3:$I$56,8,FALSE),main!$K$11:$M$14,2,FALSE)+VLOOKUP(VLOOKUP(Z$1,main!$A$3:$I$56,7,FALSE),main!$K$19:$O$22,MATCH(VLOOKUP($A42,main!$A$3:$I$56,8,FALSE),main!$K$18:$O$18,0))))),1,0)</f>
        <v>1</v>
      </c>
      <c r="AA42">
        <f>IF((AND(VLOOKUP(AA$1,main!$A$3:$I$56,5,FALSE)-VLOOKUP($A42,main!$A$3:$I$56,6,FALSE)&gt;=(VLOOKUP(VLOOKUP(AA$1,main!$A$3:$I$56,8,FALSE),main!$K$11:$M$14,2,FALSE)+VLOOKUP(VLOOKUP(AA$1,main!$A$3:$I$56,7,FALSE),main!$K$19:$O$22,MATCH(VLOOKUP($A42,main!$A$3:$I$56,8,FALSE),main!$K$18:$O$18,0))))),1,0)</f>
        <v>1</v>
      </c>
      <c r="AB42">
        <f>IF((AND(VLOOKUP(AB$1,main!$A$3:$I$56,5,FALSE)-VLOOKUP($A42,main!$A$3:$I$56,6,FALSE)&gt;=(VLOOKUP(VLOOKUP(AB$1,main!$A$3:$I$56,8,FALSE),main!$K$11:$M$14,2,FALSE)+VLOOKUP(VLOOKUP(AB$1,main!$A$3:$I$56,7,FALSE),main!$K$19:$O$22,MATCH(VLOOKUP($A42,main!$A$3:$I$56,8,FALSE),main!$K$18:$O$18,0))))),1,0)</f>
        <v>1</v>
      </c>
      <c r="AC42">
        <f>IF((AND(VLOOKUP(AC$1,main!$A$3:$I$56,5,FALSE)-VLOOKUP($A42,main!$A$3:$I$56,6,FALSE)&gt;=(VLOOKUP(VLOOKUP(AC$1,main!$A$3:$I$56,8,FALSE),main!$K$11:$M$14,2,FALSE)+VLOOKUP(VLOOKUP(AC$1,main!$A$3:$I$56,7,FALSE),main!$K$19:$O$22,MATCH(VLOOKUP($A42,main!$A$3:$I$56,8,FALSE),main!$K$18:$O$18,0))))),1,0)</f>
        <v>0</v>
      </c>
      <c r="AD42">
        <f>IF((AND(VLOOKUP(AD$1,main!$A$3:$I$56,5,FALSE)-VLOOKUP($A42,main!$A$3:$I$56,6,FALSE)&gt;=(VLOOKUP(VLOOKUP(AD$1,main!$A$3:$I$56,8,FALSE),main!$K$11:$M$14,2,FALSE)+VLOOKUP(VLOOKUP(AD$1,main!$A$3:$I$56,7,FALSE),main!$K$19:$O$22,MATCH(VLOOKUP($A42,main!$A$3:$I$56,8,FALSE),main!$K$18:$O$18,0))))),1,0)</f>
        <v>0</v>
      </c>
      <c r="AE42">
        <f>IF((AND(VLOOKUP(AE$1,main!$A$3:$I$56,5,FALSE)-VLOOKUP($A42,main!$A$3:$I$56,6,FALSE)&gt;=(VLOOKUP(VLOOKUP(AE$1,main!$A$3:$I$56,8,FALSE),main!$K$11:$M$14,2,FALSE)+VLOOKUP(VLOOKUP(AE$1,main!$A$3:$I$56,7,FALSE),main!$K$19:$O$22,MATCH(VLOOKUP($A42,main!$A$3:$I$56,8,FALSE),main!$K$18:$O$18,0))))),1,0)</f>
        <v>1</v>
      </c>
      <c r="AF42">
        <f>IF((AND(VLOOKUP(AF$1,main!$A$3:$I$56,5,FALSE)-VLOOKUP($A42,main!$A$3:$I$56,6,FALSE)&gt;=(VLOOKUP(VLOOKUP(AF$1,main!$A$3:$I$56,8,FALSE),main!$K$11:$M$14,2,FALSE)+VLOOKUP(VLOOKUP(AF$1,main!$A$3:$I$56,7,FALSE),main!$K$19:$O$22,MATCH(VLOOKUP($A42,main!$A$3:$I$56,8,FALSE),main!$K$18:$O$18,0))))),1,0)</f>
        <v>1</v>
      </c>
      <c r="AG42">
        <f>IF((AND(VLOOKUP(AG$1,main!$A$3:$I$56,5,FALSE)-VLOOKUP($A42,main!$A$3:$I$56,6,FALSE)&gt;=(VLOOKUP(VLOOKUP(AG$1,main!$A$3:$I$56,8,FALSE),main!$K$11:$M$14,2,FALSE)+VLOOKUP(VLOOKUP(AG$1,main!$A$3:$I$56,7,FALSE),main!$K$19:$O$22,MATCH(VLOOKUP($A42,main!$A$3:$I$56,8,FALSE),main!$K$18:$O$18,0))))),1,0)</f>
        <v>0</v>
      </c>
      <c r="AH42">
        <f>IF((AND(VLOOKUP(AH$1,main!$A$3:$I$56,5,FALSE)-VLOOKUP($A42,main!$A$3:$I$56,6,FALSE)&gt;=(VLOOKUP(VLOOKUP(AH$1,main!$A$3:$I$56,8,FALSE),main!$K$11:$M$14,2,FALSE)+VLOOKUP(VLOOKUP(AH$1,main!$A$3:$I$56,7,FALSE),main!$K$19:$O$22,MATCH(VLOOKUP($A42,main!$A$3:$I$56,8,FALSE),main!$K$18:$O$18,0))))),1,0)</f>
        <v>1</v>
      </c>
      <c r="AI42">
        <f>IF((AND(VLOOKUP(AI$1,main!$A$3:$I$56,5,FALSE)-VLOOKUP($A42,main!$A$3:$I$56,6,FALSE)&gt;=(VLOOKUP(VLOOKUP(AI$1,main!$A$3:$I$56,8,FALSE),main!$K$11:$M$14,2,FALSE)+VLOOKUP(VLOOKUP(AI$1,main!$A$3:$I$56,7,FALSE),main!$K$19:$O$22,MATCH(VLOOKUP($A42,main!$A$3:$I$56,8,FALSE),main!$K$18:$O$18,0))))),1,0)</f>
        <v>1</v>
      </c>
      <c r="AJ42">
        <f>IF((AND(VLOOKUP(AJ$1,main!$A$3:$I$56,5,FALSE)-VLOOKUP($A42,main!$A$3:$I$56,6,FALSE)&gt;=(VLOOKUP(VLOOKUP(AJ$1,main!$A$3:$I$56,8,FALSE),main!$K$11:$M$14,2,FALSE)+VLOOKUP(VLOOKUP(AJ$1,main!$A$3:$I$56,7,FALSE),main!$K$19:$O$22,MATCH(VLOOKUP($A42,main!$A$3:$I$56,8,FALSE),main!$K$18:$O$18,0))))),1,0)</f>
        <v>1</v>
      </c>
      <c r="AK42">
        <f>IF((AND(VLOOKUP(AK$1,main!$A$3:$I$56,5,FALSE)-VLOOKUP($A42,main!$A$3:$I$56,6,FALSE)&gt;=(VLOOKUP(VLOOKUP(AK$1,main!$A$3:$I$56,8,FALSE),main!$K$11:$M$14,2,FALSE)+VLOOKUP(VLOOKUP(AK$1,main!$A$3:$I$56,7,FALSE),main!$K$19:$O$22,MATCH(VLOOKUP($A42,main!$A$3:$I$56,8,FALSE),main!$K$18:$O$18,0))))),1,0)</f>
        <v>1</v>
      </c>
      <c r="AL42">
        <f>IF((AND(VLOOKUP(AL$1,main!$A$3:$I$56,5,FALSE)-VLOOKUP($A42,main!$A$3:$I$56,6,FALSE)&gt;=(VLOOKUP(VLOOKUP(AL$1,main!$A$3:$I$56,8,FALSE),main!$K$11:$M$14,2,FALSE)+VLOOKUP(VLOOKUP(AL$1,main!$A$3:$I$56,7,FALSE),main!$K$19:$O$22,MATCH(VLOOKUP($A42,main!$A$3:$I$56,8,FALSE),main!$K$18:$O$18,0))))),1,0)</f>
        <v>0</v>
      </c>
      <c r="AM42">
        <f>IF((AND(VLOOKUP(AM$1,main!$A$3:$I$56,5,FALSE)-VLOOKUP($A42,main!$A$3:$I$56,6,FALSE)&gt;=(VLOOKUP(VLOOKUP(AM$1,main!$A$3:$I$56,8,FALSE),main!$K$11:$M$14,2,FALSE)+VLOOKUP(VLOOKUP(AM$1,main!$A$3:$I$56,7,FALSE),main!$K$19:$O$22,MATCH(VLOOKUP($A42,main!$A$3:$I$56,8,FALSE),main!$K$18:$O$18,0))))),1,0)</f>
        <v>1</v>
      </c>
      <c r="AN42">
        <f>IF((AND(VLOOKUP(AN$1,main!$A$3:$I$56,5,FALSE)-VLOOKUP($A42,main!$A$3:$I$56,6,FALSE)&gt;=(VLOOKUP(VLOOKUP(AN$1,main!$A$3:$I$56,8,FALSE),main!$K$11:$M$14,2,FALSE)+VLOOKUP(VLOOKUP(AN$1,main!$A$3:$I$56,7,FALSE),main!$K$19:$O$22,MATCH(VLOOKUP($A42,main!$A$3:$I$56,8,FALSE),main!$K$18:$O$18,0))))),1,0)</f>
        <v>1</v>
      </c>
      <c r="AO42">
        <f>IF((AND(VLOOKUP(AO$1,main!$A$3:$I$56,5,FALSE)-VLOOKUP($A42,main!$A$3:$I$56,6,FALSE)&gt;=(VLOOKUP(VLOOKUP(AO$1,main!$A$3:$I$56,8,FALSE),main!$K$11:$M$14,2,FALSE)+VLOOKUP(VLOOKUP(AO$1,main!$A$3:$I$56,7,FALSE),main!$K$19:$O$22,MATCH(VLOOKUP($A42,main!$A$3:$I$56,8,FALSE),main!$K$18:$O$18,0))))),1,0)</f>
        <v>1</v>
      </c>
      <c r="AP42">
        <f>IF((AND(VLOOKUP(AP$1,main!$A$3:$I$56,5,FALSE)-VLOOKUP($A42,main!$A$3:$I$56,6,FALSE)&gt;=(VLOOKUP(VLOOKUP(AP$1,main!$A$3:$I$56,8,FALSE),main!$K$11:$M$14,2,FALSE)+VLOOKUP(VLOOKUP(AP$1,main!$A$3:$I$56,7,FALSE),main!$K$19:$O$22,MATCH(VLOOKUP($A42,main!$A$3:$I$56,8,FALSE),main!$K$18:$O$18,0))))),1,0)</f>
        <v>0</v>
      </c>
      <c r="AQ42">
        <f>IF((AND(VLOOKUP(AQ$1,main!$A$3:$I$56,5,FALSE)-VLOOKUP($A42,main!$A$3:$I$56,6,FALSE)&gt;=(VLOOKUP(VLOOKUP(AQ$1,main!$A$3:$I$56,8,FALSE),main!$K$11:$M$14,2,FALSE)+VLOOKUP(VLOOKUP(AQ$1,main!$A$3:$I$56,7,FALSE),main!$K$19:$O$22,MATCH(VLOOKUP($A42,main!$A$3:$I$56,8,FALSE),main!$K$18:$O$18,0))))),1,0)</f>
        <v>0</v>
      </c>
      <c r="AR42">
        <f>IF((AND(VLOOKUP(AR$1,main!$A$3:$I$56,5,FALSE)-VLOOKUP($A42,main!$A$3:$I$56,6,FALSE)&gt;=(VLOOKUP(VLOOKUP(AR$1,main!$A$3:$I$56,8,FALSE),main!$K$11:$M$14,2,FALSE)+VLOOKUP(VLOOKUP(AR$1,main!$A$3:$I$56,7,FALSE),main!$K$19:$O$22,MATCH(VLOOKUP($A42,main!$A$3:$I$56,8,FALSE),main!$K$18:$O$18,0))))),1,0)</f>
        <v>0</v>
      </c>
      <c r="AS42">
        <f>IF((AND(VLOOKUP(AS$1,main!$A$3:$I$56,5,FALSE)-VLOOKUP($A42,main!$A$3:$I$56,6,FALSE)&gt;=(VLOOKUP(VLOOKUP(AS$1,main!$A$3:$I$56,8,FALSE),main!$K$11:$M$14,2,FALSE)+VLOOKUP(VLOOKUP(AS$1,main!$A$3:$I$56,7,FALSE),main!$K$19:$O$22,MATCH(VLOOKUP($A42,main!$A$3:$I$56,8,FALSE),main!$K$18:$O$18,0))))),1,0)</f>
        <v>1</v>
      </c>
      <c r="AT42">
        <f>IF((AND(VLOOKUP(AT$1,main!$A$3:$I$56,5,FALSE)-VLOOKUP($A42,main!$A$3:$I$56,6,FALSE)&gt;=(VLOOKUP(VLOOKUP(AT$1,main!$A$3:$I$56,8,FALSE),main!$K$11:$M$14,2,FALSE)+VLOOKUP(VLOOKUP(AT$1,main!$A$3:$I$56,7,FALSE),main!$K$19:$O$22,MATCH(VLOOKUP($A42,main!$A$3:$I$56,8,FALSE),main!$K$18:$O$18,0))))),1,0)</f>
        <v>1</v>
      </c>
      <c r="AU42">
        <f>IF((AND(VLOOKUP(AU$1,main!$A$3:$I$56,5,FALSE)-VLOOKUP($A42,main!$A$3:$I$56,6,FALSE)&gt;=(VLOOKUP(VLOOKUP(AU$1,main!$A$3:$I$56,8,FALSE),main!$K$11:$M$14,2,FALSE)+VLOOKUP(VLOOKUP(AU$1,main!$A$3:$I$56,7,FALSE),main!$K$19:$O$22,MATCH(VLOOKUP($A42,main!$A$3:$I$56,8,FALSE),main!$K$18:$O$18,0))))),1,0)</f>
        <v>1</v>
      </c>
      <c r="AV42">
        <f>IF((AND(VLOOKUP(AV$1,main!$A$3:$I$56,5,FALSE)-VLOOKUP($A42,main!$A$3:$I$56,6,FALSE)&gt;=(VLOOKUP(VLOOKUP(AV$1,main!$A$3:$I$56,8,FALSE),main!$K$11:$M$14,2,FALSE)+VLOOKUP(VLOOKUP(AV$1,main!$A$3:$I$56,7,FALSE),main!$K$19:$O$22,MATCH(VLOOKUP($A42,main!$A$3:$I$56,8,FALSE),main!$K$18:$O$18,0))))),1,0)</f>
        <v>1</v>
      </c>
      <c r="AW42">
        <f>IF((AND(VLOOKUP(AW$1,main!$A$3:$I$56,5,FALSE)-VLOOKUP($A42,main!$A$3:$I$56,6,FALSE)&gt;=(VLOOKUP(VLOOKUP(AW$1,main!$A$3:$I$56,8,FALSE),main!$K$11:$M$14,2,FALSE)+VLOOKUP(VLOOKUP(AW$1,main!$A$3:$I$56,7,FALSE),main!$K$19:$O$22,MATCH(VLOOKUP($A42,main!$A$3:$I$56,8,FALSE),main!$K$18:$O$18,0))))),1,0)</f>
        <v>1</v>
      </c>
      <c r="AX42">
        <f>IF((AND(VLOOKUP(AX$1,main!$A$3:$I$56,5,FALSE)-VLOOKUP($A42,main!$A$3:$I$56,6,FALSE)&gt;=(VLOOKUP(VLOOKUP(AX$1,main!$A$3:$I$56,8,FALSE),main!$K$11:$M$14,2,FALSE)+VLOOKUP(VLOOKUP(AX$1,main!$A$3:$I$56,7,FALSE),main!$K$19:$O$22,MATCH(VLOOKUP($A42,main!$A$3:$I$56,8,FALSE),main!$K$18:$O$18,0))))),1,0)</f>
        <v>1</v>
      </c>
      <c r="AY42">
        <f>IF((AND(VLOOKUP(AY$1,main!$A$3:$I$56,5,FALSE)-VLOOKUP($A42,main!$A$3:$I$56,6,FALSE)&gt;=(VLOOKUP(VLOOKUP(AY$1,main!$A$3:$I$56,8,FALSE),main!$K$11:$M$14,2,FALSE)+VLOOKUP(VLOOKUP(AY$1,main!$A$3:$I$56,7,FALSE),main!$K$19:$O$22,MATCH(VLOOKUP($A42,main!$A$3:$I$56,8,FALSE),main!$K$18:$O$18,0))))),1,0)</f>
        <v>1</v>
      </c>
      <c r="AZ42">
        <f>IF((AND(VLOOKUP(AZ$1,main!$A$3:$I$56,5,FALSE)-VLOOKUP($A42,main!$A$3:$I$56,6,FALSE)&gt;=(VLOOKUP(VLOOKUP(AZ$1,main!$A$3:$I$56,8,FALSE),main!$K$11:$M$14,2,FALSE)+VLOOKUP(VLOOKUP(AZ$1,main!$A$3:$I$56,7,FALSE),main!$K$19:$O$22,MATCH(VLOOKUP($A42,main!$A$3:$I$56,8,FALSE),main!$K$18:$O$18,0))))),1,0)</f>
        <v>1</v>
      </c>
      <c r="BA42">
        <f>IF((AND(VLOOKUP(BA$1,main!$A$3:$I$56,5,FALSE)-VLOOKUP($A42,main!$A$3:$I$56,6,FALSE)&gt;=(VLOOKUP(VLOOKUP(BA$1,main!$A$3:$I$56,8,FALSE),main!$K$11:$M$14,2,FALSE)+VLOOKUP(VLOOKUP(BA$1,main!$A$3:$I$56,7,FALSE),main!$K$19:$O$22,MATCH(VLOOKUP($A42,main!$A$3:$I$56,8,FALSE),main!$K$18:$O$18,0))))),1,0)</f>
        <v>1</v>
      </c>
      <c r="BB42">
        <f>IF((AND(VLOOKUP(BB$1,main!$A$3:$I$56,5,FALSE)-VLOOKUP($A42,main!$A$3:$I$56,6,FALSE)&gt;=(VLOOKUP(VLOOKUP(BB$1,main!$A$3:$I$56,8,FALSE),main!$K$11:$M$14,2,FALSE)+VLOOKUP(VLOOKUP(BB$1,main!$A$3:$I$56,7,FALSE),main!$K$19:$O$22,MATCH(VLOOKUP($A42,main!$A$3:$I$56,8,FALSE),main!$K$18:$O$18,0))))),1,0)</f>
        <v>1</v>
      </c>
      <c r="BC42">
        <f>IF((AND(VLOOKUP(BC$1,main!$A$3:$I$56,5,FALSE)-VLOOKUP($A42,main!$A$3:$I$56,6,FALSE)&gt;=(VLOOKUP(VLOOKUP(BC$1,main!$A$3:$I$56,8,FALSE),main!$K$11:$M$14,2,FALSE)+VLOOKUP(VLOOKUP(BC$1,main!$A$3:$I$56,7,FALSE),main!$K$19:$O$22,MATCH(VLOOKUP($A42,main!$A$3:$I$56,8,FALSE),main!$K$18:$O$18,0))))),1,0)</f>
        <v>1</v>
      </c>
      <c r="BD42">
        <f>IF((AND(VLOOKUP(BD$1,main!$A$3:$I$56,5,FALSE)-VLOOKUP($A42,main!$A$3:$I$56,6,FALSE)&gt;=(VLOOKUP(VLOOKUP(BD$1,main!$A$3:$I$56,8,FALSE),main!$K$11:$M$14,2,FALSE)+VLOOKUP(VLOOKUP(BD$1,main!$A$3:$I$56,7,FALSE),main!$K$19:$O$22,MATCH(VLOOKUP($A42,main!$A$3:$I$56,8,FALSE),main!$K$18:$O$18,0))))),1,0)</f>
        <v>1</v>
      </c>
    </row>
    <row r="43" spans="1:56" x14ac:dyDescent="0.25">
      <c r="A43">
        <f t="shared" si="0"/>
        <v>41</v>
      </c>
      <c r="B43">
        <v>1</v>
      </c>
      <c r="C43">
        <f>IF((AND(VLOOKUP(C$1,main!$A$3:$I$56,5,FALSE)-VLOOKUP($A43,main!$A$3:$I$56,6,FALSE)&gt;=(VLOOKUP(VLOOKUP(C$1,main!$A$3:$I$56,8,FALSE),main!$K$11:$M$14,2,FALSE)+VLOOKUP(VLOOKUP(C$1,main!$A$3:$I$56,7,FALSE),main!$K$19:$O$22,MATCH(VLOOKUP($A43,main!$A$3:$I$56,8,FALSE),main!$K$18:$O$18,0))))),1,0)</f>
        <v>0</v>
      </c>
      <c r="D43">
        <f>IF((AND(VLOOKUP(D$1,main!$A$3:$I$56,5,FALSE)-VLOOKUP($A43,main!$A$3:$I$56,6,FALSE)&gt;=(VLOOKUP(VLOOKUP(D$1,main!$A$3:$I$56,8,FALSE),main!$K$11:$M$14,2,FALSE)+VLOOKUP(VLOOKUP(D$1,main!$A$3:$I$56,7,FALSE),main!$K$19:$O$22,MATCH(VLOOKUP($A43,main!$A$3:$I$56,8,FALSE),main!$K$18:$O$18,0))))),1,0)</f>
        <v>1</v>
      </c>
      <c r="E43">
        <f>IF((AND(VLOOKUP(E$1,main!$A$3:$I$56,5,FALSE)-VLOOKUP($A43,main!$A$3:$I$56,6,FALSE)&gt;=(VLOOKUP(VLOOKUP(E$1,main!$A$3:$I$56,8,FALSE),main!$K$11:$M$14,2,FALSE)+VLOOKUP(VLOOKUP(E$1,main!$A$3:$I$56,7,FALSE),main!$K$19:$O$22,MATCH(VLOOKUP($A43,main!$A$3:$I$56,8,FALSE),main!$K$18:$O$18,0))))),1,0)</f>
        <v>1</v>
      </c>
      <c r="F43">
        <f>IF((AND(VLOOKUP(F$1,main!$A$3:$I$56,5,FALSE)-VLOOKUP($A43,main!$A$3:$I$56,6,FALSE)&gt;=(VLOOKUP(VLOOKUP(F$1,main!$A$3:$I$56,8,FALSE),main!$K$11:$M$14,2,FALSE)+VLOOKUP(VLOOKUP(F$1,main!$A$3:$I$56,7,FALSE),main!$K$19:$O$22,MATCH(VLOOKUP($A43,main!$A$3:$I$56,8,FALSE),main!$K$18:$O$18,0))))),1,0)</f>
        <v>1</v>
      </c>
      <c r="G43">
        <f>IF((AND(VLOOKUP(G$1,main!$A$3:$I$56,5,FALSE)-VLOOKUP($A43,main!$A$3:$I$56,6,FALSE)&gt;=(VLOOKUP(VLOOKUP(G$1,main!$A$3:$I$56,8,FALSE),main!$K$11:$M$14,2,FALSE)+VLOOKUP(VLOOKUP(G$1,main!$A$3:$I$56,7,FALSE),main!$K$19:$O$22,MATCH(VLOOKUP($A43,main!$A$3:$I$56,8,FALSE),main!$K$18:$O$18,0))))),1,0)</f>
        <v>1</v>
      </c>
      <c r="H43">
        <f>IF((AND(VLOOKUP(H$1,main!$A$3:$I$56,5,FALSE)-VLOOKUP($A43,main!$A$3:$I$56,6,FALSE)&gt;=(VLOOKUP(VLOOKUP(H$1,main!$A$3:$I$56,8,FALSE),main!$K$11:$M$14,2,FALSE)+VLOOKUP(VLOOKUP(H$1,main!$A$3:$I$56,7,FALSE),main!$K$19:$O$22,MATCH(VLOOKUP($A43,main!$A$3:$I$56,8,FALSE),main!$K$18:$O$18,0))))),1,0)</f>
        <v>1</v>
      </c>
      <c r="I43">
        <f>IF((AND(VLOOKUP(I$1,main!$A$3:$I$56,5,FALSE)-VLOOKUP($A43,main!$A$3:$I$56,6,FALSE)&gt;=(VLOOKUP(VLOOKUP(I$1,main!$A$3:$I$56,8,FALSE),main!$K$11:$M$14,2,FALSE)+VLOOKUP(VLOOKUP(I$1,main!$A$3:$I$56,7,FALSE),main!$K$19:$O$22,MATCH(VLOOKUP($A43,main!$A$3:$I$56,8,FALSE),main!$K$18:$O$18,0))))),1,0)</f>
        <v>1</v>
      </c>
      <c r="J43">
        <f>IF((AND(VLOOKUP(J$1,main!$A$3:$I$56,5,FALSE)-VLOOKUP($A43,main!$A$3:$I$56,6,FALSE)&gt;=(VLOOKUP(VLOOKUP(J$1,main!$A$3:$I$56,8,FALSE),main!$K$11:$M$14,2,FALSE)+VLOOKUP(VLOOKUP(J$1,main!$A$3:$I$56,7,FALSE),main!$K$19:$O$22,MATCH(VLOOKUP($A43,main!$A$3:$I$56,8,FALSE),main!$K$18:$O$18,0))))),1,0)</f>
        <v>1</v>
      </c>
      <c r="K43">
        <f>IF((AND(VLOOKUP(K$1,main!$A$3:$I$56,5,FALSE)-VLOOKUP($A43,main!$A$3:$I$56,6,FALSE)&gt;=(VLOOKUP(VLOOKUP(K$1,main!$A$3:$I$56,8,FALSE),main!$K$11:$M$14,2,FALSE)+VLOOKUP(VLOOKUP(K$1,main!$A$3:$I$56,7,FALSE),main!$K$19:$O$22,MATCH(VLOOKUP($A43,main!$A$3:$I$56,8,FALSE),main!$K$18:$O$18,0))))),1,0)</f>
        <v>0</v>
      </c>
      <c r="L43">
        <f>IF((AND(VLOOKUP(L$1,main!$A$3:$I$56,5,FALSE)-VLOOKUP($A43,main!$A$3:$I$56,6,FALSE)&gt;=(VLOOKUP(VLOOKUP(L$1,main!$A$3:$I$56,8,FALSE),main!$K$11:$M$14,2,FALSE)+VLOOKUP(VLOOKUP(L$1,main!$A$3:$I$56,7,FALSE),main!$K$19:$O$22,MATCH(VLOOKUP($A43,main!$A$3:$I$56,8,FALSE),main!$K$18:$O$18,0))))),1,0)</f>
        <v>0</v>
      </c>
      <c r="M43">
        <f>IF((AND(VLOOKUP(M$1,main!$A$3:$I$56,5,FALSE)-VLOOKUP($A43,main!$A$3:$I$56,6,FALSE)&gt;=(VLOOKUP(VLOOKUP(M$1,main!$A$3:$I$56,8,FALSE),main!$K$11:$M$14,2,FALSE)+VLOOKUP(VLOOKUP(M$1,main!$A$3:$I$56,7,FALSE),main!$K$19:$O$22,MATCH(VLOOKUP($A43,main!$A$3:$I$56,8,FALSE),main!$K$18:$O$18,0))))),1,0)</f>
        <v>1</v>
      </c>
      <c r="N43">
        <f>IF((AND(VLOOKUP(N$1,main!$A$3:$I$56,5,FALSE)-VLOOKUP($A43,main!$A$3:$I$56,6,FALSE)&gt;=(VLOOKUP(VLOOKUP(N$1,main!$A$3:$I$56,8,FALSE),main!$K$11:$M$14,2,FALSE)+VLOOKUP(VLOOKUP(N$1,main!$A$3:$I$56,7,FALSE),main!$K$19:$O$22,MATCH(VLOOKUP($A43,main!$A$3:$I$56,8,FALSE),main!$K$18:$O$18,0))))),1,0)</f>
        <v>1</v>
      </c>
      <c r="O43">
        <f>IF((AND(VLOOKUP(O$1,main!$A$3:$I$56,5,FALSE)-VLOOKUP($A43,main!$A$3:$I$56,6,FALSE)&gt;=(VLOOKUP(VLOOKUP(O$1,main!$A$3:$I$56,8,FALSE),main!$K$11:$M$14,2,FALSE)+VLOOKUP(VLOOKUP(O$1,main!$A$3:$I$56,7,FALSE),main!$K$19:$O$22,MATCH(VLOOKUP($A43,main!$A$3:$I$56,8,FALSE),main!$K$18:$O$18,0))))),1,0)</f>
        <v>1</v>
      </c>
      <c r="P43">
        <f>IF((AND(VLOOKUP(P$1,main!$A$3:$I$56,5,FALSE)-VLOOKUP($A43,main!$A$3:$I$56,6,FALSE)&gt;=(VLOOKUP(VLOOKUP(P$1,main!$A$3:$I$56,8,FALSE),main!$K$11:$M$14,2,FALSE)+VLOOKUP(VLOOKUP(P$1,main!$A$3:$I$56,7,FALSE),main!$K$19:$O$22,MATCH(VLOOKUP($A43,main!$A$3:$I$56,8,FALSE),main!$K$18:$O$18,0))))),1,0)</f>
        <v>0</v>
      </c>
      <c r="Q43">
        <f>IF((AND(VLOOKUP(Q$1,main!$A$3:$I$56,5,FALSE)-VLOOKUP($A43,main!$A$3:$I$56,6,FALSE)&gt;=(VLOOKUP(VLOOKUP(Q$1,main!$A$3:$I$56,8,FALSE),main!$K$11:$M$14,2,FALSE)+VLOOKUP(VLOOKUP(Q$1,main!$A$3:$I$56,7,FALSE),main!$K$19:$O$22,MATCH(VLOOKUP($A43,main!$A$3:$I$56,8,FALSE),main!$K$18:$O$18,0))))),1,0)</f>
        <v>0</v>
      </c>
      <c r="R43">
        <f>IF((AND(VLOOKUP(R$1,main!$A$3:$I$56,5,FALSE)-VLOOKUP($A43,main!$A$3:$I$56,6,FALSE)&gt;=(VLOOKUP(VLOOKUP(R$1,main!$A$3:$I$56,8,FALSE),main!$K$11:$M$14,2,FALSE)+VLOOKUP(VLOOKUP(R$1,main!$A$3:$I$56,7,FALSE),main!$K$19:$O$22,MATCH(VLOOKUP($A43,main!$A$3:$I$56,8,FALSE),main!$K$18:$O$18,0))))),1,0)</f>
        <v>1</v>
      </c>
      <c r="S43">
        <f>IF((AND(VLOOKUP(S$1,main!$A$3:$I$56,5,FALSE)-VLOOKUP($A43,main!$A$3:$I$56,6,FALSE)&gt;=(VLOOKUP(VLOOKUP(S$1,main!$A$3:$I$56,8,FALSE),main!$K$11:$M$14,2,FALSE)+VLOOKUP(VLOOKUP(S$1,main!$A$3:$I$56,7,FALSE),main!$K$19:$O$22,MATCH(VLOOKUP($A43,main!$A$3:$I$56,8,FALSE),main!$K$18:$O$18,0))))),1,0)</f>
        <v>1</v>
      </c>
      <c r="T43">
        <f>IF((AND(VLOOKUP(T$1,main!$A$3:$I$56,5,FALSE)-VLOOKUP($A43,main!$A$3:$I$56,6,FALSE)&gt;=(VLOOKUP(VLOOKUP(T$1,main!$A$3:$I$56,8,FALSE),main!$K$11:$M$14,2,FALSE)+VLOOKUP(VLOOKUP(T$1,main!$A$3:$I$56,7,FALSE),main!$K$19:$O$22,MATCH(VLOOKUP($A43,main!$A$3:$I$56,8,FALSE),main!$K$18:$O$18,0))))),1,0)</f>
        <v>1</v>
      </c>
      <c r="U43">
        <f>IF((AND(VLOOKUP(U$1,main!$A$3:$I$56,5,FALSE)-VLOOKUP($A43,main!$A$3:$I$56,6,FALSE)&gt;=(VLOOKUP(VLOOKUP(U$1,main!$A$3:$I$56,8,FALSE),main!$K$11:$M$14,2,FALSE)+VLOOKUP(VLOOKUP(U$1,main!$A$3:$I$56,7,FALSE),main!$K$19:$O$22,MATCH(VLOOKUP($A43,main!$A$3:$I$56,8,FALSE),main!$K$18:$O$18,0))))),1,0)</f>
        <v>0</v>
      </c>
      <c r="V43">
        <f>IF((AND(VLOOKUP(V$1,main!$A$3:$I$56,5,FALSE)-VLOOKUP($A43,main!$A$3:$I$56,6,FALSE)&gt;=(VLOOKUP(VLOOKUP(V$1,main!$A$3:$I$56,8,FALSE),main!$K$11:$M$14,2,FALSE)+VLOOKUP(VLOOKUP(V$1,main!$A$3:$I$56,7,FALSE),main!$K$19:$O$22,MATCH(VLOOKUP($A43,main!$A$3:$I$56,8,FALSE),main!$K$18:$O$18,0))))),1,0)</f>
        <v>0</v>
      </c>
      <c r="W43">
        <f>IF((AND(VLOOKUP(W$1,main!$A$3:$I$56,5,FALSE)-VLOOKUP($A43,main!$A$3:$I$56,6,FALSE)&gt;=(VLOOKUP(VLOOKUP(W$1,main!$A$3:$I$56,8,FALSE),main!$K$11:$M$14,2,FALSE)+VLOOKUP(VLOOKUP(W$1,main!$A$3:$I$56,7,FALSE),main!$K$19:$O$22,MATCH(VLOOKUP($A43,main!$A$3:$I$56,8,FALSE),main!$K$18:$O$18,0))))),1,0)</f>
        <v>0</v>
      </c>
      <c r="X43">
        <f>IF((AND(VLOOKUP(X$1,main!$A$3:$I$56,5,FALSE)-VLOOKUP($A43,main!$A$3:$I$56,6,FALSE)&gt;=(VLOOKUP(VLOOKUP(X$1,main!$A$3:$I$56,8,FALSE),main!$K$11:$M$14,2,FALSE)+VLOOKUP(VLOOKUP(X$1,main!$A$3:$I$56,7,FALSE),main!$K$19:$O$22,MATCH(VLOOKUP($A43,main!$A$3:$I$56,8,FALSE),main!$K$18:$O$18,0))))),1,0)</f>
        <v>1</v>
      </c>
      <c r="Y43">
        <f>IF((AND(VLOOKUP(Y$1,main!$A$3:$I$56,5,FALSE)-VLOOKUP($A43,main!$A$3:$I$56,6,FALSE)&gt;=(VLOOKUP(VLOOKUP(Y$1,main!$A$3:$I$56,8,FALSE),main!$K$11:$M$14,2,FALSE)+VLOOKUP(VLOOKUP(Y$1,main!$A$3:$I$56,7,FALSE),main!$K$19:$O$22,MATCH(VLOOKUP($A43,main!$A$3:$I$56,8,FALSE),main!$K$18:$O$18,0))))),1,0)</f>
        <v>1</v>
      </c>
      <c r="Z43">
        <f>IF((AND(VLOOKUP(Z$1,main!$A$3:$I$56,5,FALSE)-VLOOKUP($A43,main!$A$3:$I$56,6,FALSE)&gt;=(VLOOKUP(VLOOKUP(Z$1,main!$A$3:$I$56,8,FALSE),main!$K$11:$M$14,2,FALSE)+VLOOKUP(VLOOKUP(Z$1,main!$A$3:$I$56,7,FALSE),main!$K$19:$O$22,MATCH(VLOOKUP($A43,main!$A$3:$I$56,8,FALSE),main!$K$18:$O$18,0))))),1,0)</f>
        <v>1</v>
      </c>
      <c r="AA43">
        <f>IF((AND(VLOOKUP(AA$1,main!$A$3:$I$56,5,FALSE)-VLOOKUP($A43,main!$A$3:$I$56,6,FALSE)&gt;=(VLOOKUP(VLOOKUP(AA$1,main!$A$3:$I$56,8,FALSE),main!$K$11:$M$14,2,FALSE)+VLOOKUP(VLOOKUP(AA$1,main!$A$3:$I$56,7,FALSE),main!$K$19:$O$22,MATCH(VLOOKUP($A43,main!$A$3:$I$56,8,FALSE),main!$K$18:$O$18,0))))),1,0)</f>
        <v>1</v>
      </c>
      <c r="AB43">
        <f>IF((AND(VLOOKUP(AB$1,main!$A$3:$I$56,5,FALSE)-VLOOKUP($A43,main!$A$3:$I$56,6,FALSE)&gt;=(VLOOKUP(VLOOKUP(AB$1,main!$A$3:$I$56,8,FALSE),main!$K$11:$M$14,2,FALSE)+VLOOKUP(VLOOKUP(AB$1,main!$A$3:$I$56,7,FALSE),main!$K$19:$O$22,MATCH(VLOOKUP($A43,main!$A$3:$I$56,8,FALSE),main!$K$18:$O$18,0))))),1,0)</f>
        <v>1</v>
      </c>
      <c r="AC43">
        <f>IF((AND(VLOOKUP(AC$1,main!$A$3:$I$56,5,FALSE)-VLOOKUP($A43,main!$A$3:$I$56,6,FALSE)&gt;=(VLOOKUP(VLOOKUP(AC$1,main!$A$3:$I$56,8,FALSE),main!$K$11:$M$14,2,FALSE)+VLOOKUP(VLOOKUP(AC$1,main!$A$3:$I$56,7,FALSE),main!$K$19:$O$22,MATCH(VLOOKUP($A43,main!$A$3:$I$56,8,FALSE),main!$K$18:$O$18,0))))),1,0)</f>
        <v>0</v>
      </c>
      <c r="AD43">
        <f>IF((AND(VLOOKUP(AD$1,main!$A$3:$I$56,5,FALSE)-VLOOKUP($A43,main!$A$3:$I$56,6,FALSE)&gt;=(VLOOKUP(VLOOKUP(AD$1,main!$A$3:$I$56,8,FALSE),main!$K$11:$M$14,2,FALSE)+VLOOKUP(VLOOKUP(AD$1,main!$A$3:$I$56,7,FALSE),main!$K$19:$O$22,MATCH(VLOOKUP($A43,main!$A$3:$I$56,8,FALSE),main!$K$18:$O$18,0))))),1,0)</f>
        <v>0</v>
      </c>
      <c r="AE43">
        <f>IF((AND(VLOOKUP(AE$1,main!$A$3:$I$56,5,FALSE)-VLOOKUP($A43,main!$A$3:$I$56,6,FALSE)&gt;=(VLOOKUP(VLOOKUP(AE$1,main!$A$3:$I$56,8,FALSE),main!$K$11:$M$14,2,FALSE)+VLOOKUP(VLOOKUP(AE$1,main!$A$3:$I$56,7,FALSE),main!$K$19:$O$22,MATCH(VLOOKUP($A43,main!$A$3:$I$56,8,FALSE),main!$K$18:$O$18,0))))),1,0)</f>
        <v>1</v>
      </c>
      <c r="AF43">
        <f>IF((AND(VLOOKUP(AF$1,main!$A$3:$I$56,5,FALSE)-VLOOKUP($A43,main!$A$3:$I$56,6,FALSE)&gt;=(VLOOKUP(VLOOKUP(AF$1,main!$A$3:$I$56,8,FALSE),main!$K$11:$M$14,2,FALSE)+VLOOKUP(VLOOKUP(AF$1,main!$A$3:$I$56,7,FALSE),main!$K$19:$O$22,MATCH(VLOOKUP($A43,main!$A$3:$I$56,8,FALSE),main!$K$18:$O$18,0))))),1,0)</f>
        <v>1</v>
      </c>
      <c r="AG43">
        <f>IF((AND(VLOOKUP(AG$1,main!$A$3:$I$56,5,FALSE)-VLOOKUP($A43,main!$A$3:$I$56,6,FALSE)&gt;=(VLOOKUP(VLOOKUP(AG$1,main!$A$3:$I$56,8,FALSE),main!$K$11:$M$14,2,FALSE)+VLOOKUP(VLOOKUP(AG$1,main!$A$3:$I$56,7,FALSE),main!$K$19:$O$22,MATCH(VLOOKUP($A43,main!$A$3:$I$56,8,FALSE),main!$K$18:$O$18,0))))),1,0)</f>
        <v>0</v>
      </c>
      <c r="AH43">
        <f>IF((AND(VLOOKUP(AH$1,main!$A$3:$I$56,5,FALSE)-VLOOKUP($A43,main!$A$3:$I$56,6,FALSE)&gt;=(VLOOKUP(VLOOKUP(AH$1,main!$A$3:$I$56,8,FALSE),main!$K$11:$M$14,2,FALSE)+VLOOKUP(VLOOKUP(AH$1,main!$A$3:$I$56,7,FALSE),main!$K$19:$O$22,MATCH(VLOOKUP($A43,main!$A$3:$I$56,8,FALSE),main!$K$18:$O$18,0))))),1,0)</f>
        <v>1</v>
      </c>
      <c r="AI43">
        <f>IF((AND(VLOOKUP(AI$1,main!$A$3:$I$56,5,FALSE)-VLOOKUP($A43,main!$A$3:$I$56,6,FALSE)&gt;=(VLOOKUP(VLOOKUP(AI$1,main!$A$3:$I$56,8,FALSE),main!$K$11:$M$14,2,FALSE)+VLOOKUP(VLOOKUP(AI$1,main!$A$3:$I$56,7,FALSE),main!$K$19:$O$22,MATCH(VLOOKUP($A43,main!$A$3:$I$56,8,FALSE),main!$K$18:$O$18,0))))),1,0)</f>
        <v>1</v>
      </c>
      <c r="AJ43">
        <f>IF((AND(VLOOKUP(AJ$1,main!$A$3:$I$56,5,FALSE)-VLOOKUP($A43,main!$A$3:$I$56,6,FALSE)&gt;=(VLOOKUP(VLOOKUP(AJ$1,main!$A$3:$I$56,8,FALSE),main!$K$11:$M$14,2,FALSE)+VLOOKUP(VLOOKUP(AJ$1,main!$A$3:$I$56,7,FALSE),main!$K$19:$O$22,MATCH(VLOOKUP($A43,main!$A$3:$I$56,8,FALSE),main!$K$18:$O$18,0))))),1,0)</f>
        <v>1</v>
      </c>
      <c r="AK43">
        <f>IF((AND(VLOOKUP(AK$1,main!$A$3:$I$56,5,FALSE)-VLOOKUP($A43,main!$A$3:$I$56,6,FALSE)&gt;=(VLOOKUP(VLOOKUP(AK$1,main!$A$3:$I$56,8,FALSE),main!$K$11:$M$14,2,FALSE)+VLOOKUP(VLOOKUP(AK$1,main!$A$3:$I$56,7,FALSE),main!$K$19:$O$22,MATCH(VLOOKUP($A43,main!$A$3:$I$56,8,FALSE),main!$K$18:$O$18,0))))),1,0)</f>
        <v>1</v>
      </c>
      <c r="AL43">
        <f>IF((AND(VLOOKUP(AL$1,main!$A$3:$I$56,5,FALSE)-VLOOKUP($A43,main!$A$3:$I$56,6,FALSE)&gt;=(VLOOKUP(VLOOKUP(AL$1,main!$A$3:$I$56,8,FALSE),main!$K$11:$M$14,2,FALSE)+VLOOKUP(VLOOKUP(AL$1,main!$A$3:$I$56,7,FALSE),main!$K$19:$O$22,MATCH(VLOOKUP($A43,main!$A$3:$I$56,8,FALSE),main!$K$18:$O$18,0))))),1,0)</f>
        <v>0</v>
      </c>
      <c r="AM43">
        <f>IF((AND(VLOOKUP(AM$1,main!$A$3:$I$56,5,FALSE)-VLOOKUP($A43,main!$A$3:$I$56,6,FALSE)&gt;=(VLOOKUP(VLOOKUP(AM$1,main!$A$3:$I$56,8,FALSE),main!$K$11:$M$14,2,FALSE)+VLOOKUP(VLOOKUP(AM$1,main!$A$3:$I$56,7,FALSE),main!$K$19:$O$22,MATCH(VLOOKUP($A43,main!$A$3:$I$56,8,FALSE),main!$K$18:$O$18,0))))),1,0)</f>
        <v>0</v>
      </c>
      <c r="AN43">
        <f>IF((AND(VLOOKUP(AN$1,main!$A$3:$I$56,5,FALSE)-VLOOKUP($A43,main!$A$3:$I$56,6,FALSE)&gt;=(VLOOKUP(VLOOKUP(AN$1,main!$A$3:$I$56,8,FALSE),main!$K$11:$M$14,2,FALSE)+VLOOKUP(VLOOKUP(AN$1,main!$A$3:$I$56,7,FALSE),main!$K$19:$O$22,MATCH(VLOOKUP($A43,main!$A$3:$I$56,8,FALSE),main!$K$18:$O$18,0))))),1,0)</f>
        <v>1</v>
      </c>
      <c r="AO43">
        <f>IF((AND(VLOOKUP(AO$1,main!$A$3:$I$56,5,FALSE)-VLOOKUP($A43,main!$A$3:$I$56,6,FALSE)&gt;=(VLOOKUP(VLOOKUP(AO$1,main!$A$3:$I$56,8,FALSE),main!$K$11:$M$14,2,FALSE)+VLOOKUP(VLOOKUP(AO$1,main!$A$3:$I$56,7,FALSE),main!$K$19:$O$22,MATCH(VLOOKUP($A43,main!$A$3:$I$56,8,FALSE),main!$K$18:$O$18,0))))),1,0)</f>
        <v>1</v>
      </c>
      <c r="AP43">
        <f>IF((AND(VLOOKUP(AP$1,main!$A$3:$I$56,5,FALSE)-VLOOKUP($A43,main!$A$3:$I$56,6,FALSE)&gt;=(VLOOKUP(VLOOKUP(AP$1,main!$A$3:$I$56,8,FALSE),main!$K$11:$M$14,2,FALSE)+VLOOKUP(VLOOKUP(AP$1,main!$A$3:$I$56,7,FALSE),main!$K$19:$O$22,MATCH(VLOOKUP($A43,main!$A$3:$I$56,8,FALSE),main!$K$18:$O$18,0))))),1,0)</f>
        <v>0</v>
      </c>
      <c r="AQ43">
        <f>IF((AND(VLOOKUP(AQ$1,main!$A$3:$I$56,5,FALSE)-VLOOKUP($A43,main!$A$3:$I$56,6,FALSE)&gt;=(VLOOKUP(VLOOKUP(AQ$1,main!$A$3:$I$56,8,FALSE),main!$K$11:$M$14,2,FALSE)+VLOOKUP(VLOOKUP(AQ$1,main!$A$3:$I$56,7,FALSE),main!$K$19:$O$22,MATCH(VLOOKUP($A43,main!$A$3:$I$56,8,FALSE),main!$K$18:$O$18,0))))),1,0)</f>
        <v>0</v>
      </c>
      <c r="AR43">
        <f>IF((AND(VLOOKUP(AR$1,main!$A$3:$I$56,5,FALSE)-VLOOKUP($A43,main!$A$3:$I$56,6,FALSE)&gt;=(VLOOKUP(VLOOKUP(AR$1,main!$A$3:$I$56,8,FALSE),main!$K$11:$M$14,2,FALSE)+VLOOKUP(VLOOKUP(AR$1,main!$A$3:$I$56,7,FALSE),main!$K$19:$O$22,MATCH(VLOOKUP($A43,main!$A$3:$I$56,8,FALSE),main!$K$18:$O$18,0))))),1,0)</f>
        <v>0</v>
      </c>
      <c r="AS43">
        <f>IF((AND(VLOOKUP(AS$1,main!$A$3:$I$56,5,FALSE)-VLOOKUP($A43,main!$A$3:$I$56,6,FALSE)&gt;=(VLOOKUP(VLOOKUP(AS$1,main!$A$3:$I$56,8,FALSE),main!$K$11:$M$14,2,FALSE)+VLOOKUP(VLOOKUP(AS$1,main!$A$3:$I$56,7,FALSE),main!$K$19:$O$22,MATCH(VLOOKUP($A43,main!$A$3:$I$56,8,FALSE),main!$K$18:$O$18,0))))),1,0)</f>
        <v>1</v>
      </c>
      <c r="AT43">
        <f>IF((AND(VLOOKUP(AT$1,main!$A$3:$I$56,5,FALSE)-VLOOKUP($A43,main!$A$3:$I$56,6,FALSE)&gt;=(VLOOKUP(VLOOKUP(AT$1,main!$A$3:$I$56,8,FALSE),main!$K$11:$M$14,2,FALSE)+VLOOKUP(VLOOKUP(AT$1,main!$A$3:$I$56,7,FALSE),main!$K$19:$O$22,MATCH(VLOOKUP($A43,main!$A$3:$I$56,8,FALSE),main!$K$18:$O$18,0))))),1,0)</f>
        <v>1</v>
      </c>
      <c r="AU43">
        <f>IF((AND(VLOOKUP(AU$1,main!$A$3:$I$56,5,FALSE)-VLOOKUP($A43,main!$A$3:$I$56,6,FALSE)&gt;=(VLOOKUP(VLOOKUP(AU$1,main!$A$3:$I$56,8,FALSE),main!$K$11:$M$14,2,FALSE)+VLOOKUP(VLOOKUP(AU$1,main!$A$3:$I$56,7,FALSE),main!$K$19:$O$22,MATCH(VLOOKUP($A43,main!$A$3:$I$56,8,FALSE),main!$K$18:$O$18,0))))),1,0)</f>
        <v>1</v>
      </c>
      <c r="AV43">
        <f>IF((AND(VLOOKUP(AV$1,main!$A$3:$I$56,5,FALSE)-VLOOKUP($A43,main!$A$3:$I$56,6,FALSE)&gt;=(VLOOKUP(VLOOKUP(AV$1,main!$A$3:$I$56,8,FALSE),main!$K$11:$M$14,2,FALSE)+VLOOKUP(VLOOKUP(AV$1,main!$A$3:$I$56,7,FALSE),main!$K$19:$O$22,MATCH(VLOOKUP($A43,main!$A$3:$I$56,8,FALSE),main!$K$18:$O$18,0))))),1,0)</f>
        <v>1</v>
      </c>
      <c r="AW43">
        <f>IF((AND(VLOOKUP(AW$1,main!$A$3:$I$56,5,FALSE)-VLOOKUP($A43,main!$A$3:$I$56,6,FALSE)&gt;=(VLOOKUP(VLOOKUP(AW$1,main!$A$3:$I$56,8,FALSE),main!$K$11:$M$14,2,FALSE)+VLOOKUP(VLOOKUP(AW$1,main!$A$3:$I$56,7,FALSE),main!$K$19:$O$22,MATCH(VLOOKUP($A43,main!$A$3:$I$56,8,FALSE),main!$K$18:$O$18,0))))),1,0)</f>
        <v>1</v>
      </c>
      <c r="AX43">
        <f>IF((AND(VLOOKUP(AX$1,main!$A$3:$I$56,5,FALSE)-VLOOKUP($A43,main!$A$3:$I$56,6,FALSE)&gt;=(VLOOKUP(VLOOKUP(AX$1,main!$A$3:$I$56,8,FALSE),main!$K$11:$M$14,2,FALSE)+VLOOKUP(VLOOKUP(AX$1,main!$A$3:$I$56,7,FALSE),main!$K$19:$O$22,MATCH(VLOOKUP($A43,main!$A$3:$I$56,8,FALSE),main!$K$18:$O$18,0))))),1,0)</f>
        <v>1</v>
      </c>
      <c r="AY43">
        <f>IF((AND(VLOOKUP(AY$1,main!$A$3:$I$56,5,FALSE)-VLOOKUP($A43,main!$A$3:$I$56,6,FALSE)&gt;=(VLOOKUP(VLOOKUP(AY$1,main!$A$3:$I$56,8,FALSE),main!$K$11:$M$14,2,FALSE)+VLOOKUP(VLOOKUP(AY$1,main!$A$3:$I$56,7,FALSE),main!$K$19:$O$22,MATCH(VLOOKUP($A43,main!$A$3:$I$56,8,FALSE),main!$K$18:$O$18,0))))),1,0)</f>
        <v>1</v>
      </c>
      <c r="AZ43">
        <f>IF((AND(VLOOKUP(AZ$1,main!$A$3:$I$56,5,FALSE)-VLOOKUP($A43,main!$A$3:$I$56,6,FALSE)&gt;=(VLOOKUP(VLOOKUP(AZ$1,main!$A$3:$I$56,8,FALSE),main!$K$11:$M$14,2,FALSE)+VLOOKUP(VLOOKUP(AZ$1,main!$A$3:$I$56,7,FALSE),main!$K$19:$O$22,MATCH(VLOOKUP($A43,main!$A$3:$I$56,8,FALSE),main!$K$18:$O$18,0))))),1,0)</f>
        <v>0</v>
      </c>
      <c r="BA43">
        <f>IF((AND(VLOOKUP(BA$1,main!$A$3:$I$56,5,FALSE)-VLOOKUP($A43,main!$A$3:$I$56,6,FALSE)&gt;=(VLOOKUP(VLOOKUP(BA$1,main!$A$3:$I$56,8,FALSE),main!$K$11:$M$14,2,FALSE)+VLOOKUP(VLOOKUP(BA$1,main!$A$3:$I$56,7,FALSE),main!$K$19:$O$22,MATCH(VLOOKUP($A43,main!$A$3:$I$56,8,FALSE),main!$K$18:$O$18,0))))),1,0)</f>
        <v>1</v>
      </c>
      <c r="BB43">
        <f>IF((AND(VLOOKUP(BB$1,main!$A$3:$I$56,5,FALSE)-VLOOKUP($A43,main!$A$3:$I$56,6,FALSE)&gt;=(VLOOKUP(VLOOKUP(BB$1,main!$A$3:$I$56,8,FALSE),main!$K$11:$M$14,2,FALSE)+VLOOKUP(VLOOKUP(BB$1,main!$A$3:$I$56,7,FALSE),main!$K$19:$O$22,MATCH(VLOOKUP($A43,main!$A$3:$I$56,8,FALSE),main!$K$18:$O$18,0))))),1,0)</f>
        <v>1</v>
      </c>
      <c r="BC43">
        <f>IF((AND(VLOOKUP(BC$1,main!$A$3:$I$56,5,FALSE)-VLOOKUP($A43,main!$A$3:$I$56,6,FALSE)&gt;=(VLOOKUP(VLOOKUP(BC$1,main!$A$3:$I$56,8,FALSE),main!$K$11:$M$14,2,FALSE)+VLOOKUP(VLOOKUP(BC$1,main!$A$3:$I$56,7,FALSE),main!$K$19:$O$22,MATCH(VLOOKUP($A43,main!$A$3:$I$56,8,FALSE),main!$K$18:$O$18,0))))),1,0)</f>
        <v>1</v>
      </c>
      <c r="BD43">
        <f>IF((AND(VLOOKUP(BD$1,main!$A$3:$I$56,5,FALSE)-VLOOKUP($A43,main!$A$3:$I$56,6,FALSE)&gt;=(VLOOKUP(VLOOKUP(BD$1,main!$A$3:$I$56,8,FALSE),main!$K$11:$M$14,2,FALSE)+VLOOKUP(VLOOKUP(BD$1,main!$A$3:$I$56,7,FALSE),main!$K$19:$O$22,MATCH(VLOOKUP($A43,main!$A$3:$I$56,8,FALSE),main!$K$18:$O$18,0))))),1,0)</f>
        <v>1</v>
      </c>
    </row>
    <row r="44" spans="1:56" x14ac:dyDescent="0.25">
      <c r="A44">
        <f t="shared" si="0"/>
        <v>42</v>
      </c>
      <c r="B44">
        <v>1</v>
      </c>
      <c r="C44">
        <f>IF((AND(VLOOKUP(C$1,main!$A$3:$I$56,5,FALSE)-VLOOKUP($A44,main!$A$3:$I$56,6,FALSE)&gt;=(VLOOKUP(VLOOKUP(C$1,main!$A$3:$I$56,8,FALSE),main!$K$11:$M$14,2,FALSE)+VLOOKUP(VLOOKUP(C$1,main!$A$3:$I$56,7,FALSE),main!$K$19:$O$22,MATCH(VLOOKUP($A44,main!$A$3:$I$56,8,FALSE),main!$K$18:$O$18,0))))),1,0)</f>
        <v>0</v>
      </c>
      <c r="D44">
        <f>IF((AND(VLOOKUP(D$1,main!$A$3:$I$56,5,FALSE)-VLOOKUP($A44,main!$A$3:$I$56,6,FALSE)&gt;=(VLOOKUP(VLOOKUP(D$1,main!$A$3:$I$56,8,FALSE),main!$K$11:$M$14,2,FALSE)+VLOOKUP(VLOOKUP(D$1,main!$A$3:$I$56,7,FALSE),main!$K$19:$O$22,MATCH(VLOOKUP($A44,main!$A$3:$I$56,8,FALSE),main!$K$18:$O$18,0))))),1,0)</f>
        <v>0</v>
      </c>
      <c r="E44">
        <f>IF((AND(VLOOKUP(E$1,main!$A$3:$I$56,5,FALSE)-VLOOKUP($A44,main!$A$3:$I$56,6,FALSE)&gt;=(VLOOKUP(VLOOKUP(E$1,main!$A$3:$I$56,8,FALSE),main!$K$11:$M$14,2,FALSE)+VLOOKUP(VLOOKUP(E$1,main!$A$3:$I$56,7,FALSE),main!$K$19:$O$22,MATCH(VLOOKUP($A44,main!$A$3:$I$56,8,FALSE),main!$K$18:$O$18,0))))),1,0)</f>
        <v>1</v>
      </c>
      <c r="F44">
        <f>IF((AND(VLOOKUP(F$1,main!$A$3:$I$56,5,FALSE)-VLOOKUP($A44,main!$A$3:$I$56,6,FALSE)&gt;=(VLOOKUP(VLOOKUP(F$1,main!$A$3:$I$56,8,FALSE),main!$K$11:$M$14,2,FALSE)+VLOOKUP(VLOOKUP(F$1,main!$A$3:$I$56,7,FALSE),main!$K$19:$O$22,MATCH(VLOOKUP($A44,main!$A$3:$I$56,8,FALSE),main!$K$18:$O$18,0))))),1,0)</f>
        <v>1</v>
      </c>
      <c r="G44">
        <f>IF((AND(VLOOKUP(G$1,main!$A$3:$I$56,5,FALSE)-VLOOKUP($A44,main!$A$3:$I$56,6,FALSE)&gt;=(VLOOKUP(VLOOKUP(G$1,main!$A$3:$I$56,8,FALSE),main!$K$11:$M$14,2,FALSE)+VLOOKUP(VLOOKUP(G$1,main!$A$3:$I$56,7,FALSE),main!$K$19:$O$22,MATCH(VLOOKUP($A44,main!$A$3:$I$56,8,FALSE),main!$K$18:$O$18,0))))),1,0)</f>
        <v>1</v>
      </c>
      <c r="H44">
        <f>IF((AND(VLOOKUP(H$1,main!$A$3:$I$56,5,FALSE)-VLOOKUP($A44,main!$A$3:$I$56,6,FALSE)&gt;=(VLOOKUP(VLOOKUP(H$1,main!$A$3:$I$56,8,FALSE),main!$K$11:$M$14,2,FALSE)+VLOOKUP(VLOOKUP(H$1,main!$A$3:$I$56,7,FALSE),main!$K$19:$O$22,MATCH(VLOOKUP($A44,main!$A$3:$I$56,8,FALSE),main!$K$18:$O$18,0))))),1,0)</f>
        <v>1</v>
      </c>
      <c r="I44">
        <f>IF((AND(VLOOKUP(I$1,main!$A$3:$I$56,5,FALSE)-VLOOKUP($A44,main!$A$3:$I$56,6,FALSE)&gt;=(VLOOKUP(VLOOKUP(I$1,main!$A$3:$I$56,8,FALSE),main!$K$11:$M$14,2,FALSE)+VLOOKUP(VLOOKUP(I$1,main!$A$3:$I$56,7,FALSE),main!$K$19:$O$22,MATCH(VLOOKUP($A44,main!$A$3:$I$56,8,FALSE),main!$K$18:$O$18,0))))),1,0)</f>
        <v>1</v>
      </c>
      <c r="J44">
        <f>IF((AND(VLOOKUP(J$1,main!$A$3:$I$56,5,FALSE)-VLOOKUP($A44,main!$A$3:$I$56,6,FALSE)&gt;=(VLOOKUP(VLOOKUP(J$1,main!$A$3:$I$56,8,FALSE),main!$K$11:$M$14,2,FALSE)+VLOOKUP(VLOOKUP(J$1,main!$A$3:$I$56,7,FALSE),main!$K$19:$O$22,MATCH(VLOOKUP($A44,main!$A$3:$I$56,8,FALSE),main!$K$18:$O$18,0))))),1,0)</f>
        <v>1</v>
      </c>
      <c r="K44">
        <f>IF((AND(VLOOKUP(K$1,main!$A$3:$I$56,5,FALSE)-VLOOKUP($A44,main!$A$3:$I$56,6,FALSE)&gt;=(VLOOKUP(VLOOKUP(K$1,main!$A$3:$I$56,8,FALSE),main!$K$11:$M$14,2,FALSE)+VLOOKUP(VLOOKUP(K$1,main!$A$3:$I$56,7,FALSE),main!$K$19:$O$22,MATCH(VLOOKUP($A44,main!$A$3:$I$56,8,FALSE),main!$K$18:$O$18,0))))),1,0)</f>
        <v>0</v>
      </c>
      <c r="L44">
        <f>IF((AND(VLOOKUP(L$1,main!$A$3:$I$56,5,FALSE)-VLOOKUP($A44,main!$A$3:$I$56,6,FALSE)&gt;=(VLOOKUP(VLOOKUP(L$1,main!$A$3:$I$56,8,FALSE),main!$K$11:$M$14,2,FALSE)+VLOOKUP(VLOOKUP(L$1,main!$A$3:$I$56,7,FALSE),main!$K$19:$O$22,MATCH(VLOOKUP($A44,main!$A$3:$I$56,8,FALSE),main!$K$18:$O$18,0))))),1,0)</f>
        <v>0</v>
      </c>
      <c r="M44">
        <f>IF((AND(VLOOKUP(M$1,main!$A$3:$I$56,5,FALSE)-VLOOKUP($A44,main!$A$3:$I$56,6,FALSE)&gt;=(VLOOKUP(VLOOKUP(M$1,main!$A$3:$I$56,8,FALSE),main!$K$11:$M$14,2,FALSE)+VLOOKUP(VLOOKUP(M$1,main!$A$3:$I$56,7,FALSE),main!$K$19:$O$22,MATCH(VLOOKUP($A44,main!$A$3:$I$56,8,FALSE),main!$K$18:$O$18,0))))),1,0)</f>
        <v>1</v>
      </c>
      <c r="N44">
        <f>IF((AND(VLOOKUP(N$1,main!$A$3:$I$56,5,FALSE)-VLOOKUP($A44,main!$A$3:$I$56,6,FALSE)&gt;=(VLOOKUP(VLOOKUP(N$1,main!$A$3:$I$56,8,FALSE),main!$K$11:$M$14,2,FALSE)+VLOOKUP(VLOOKUP(N$1,main!$A$3:$I$56,7,FALSE),main!$K$19:$O$22,MATCH(VLOOKUP($A44,main!$A$3:$I$56,8,FALSE),main!$K$18:$O$18,0))))),1,0)</f>
        <v>1</v>
      </c>
      <c r="O44">
        <f>IF((AND(VLOOKUP(O$1,main!$A$3:$I$56,5,FALSE)-VLOOKUP($A44,main!$A$3:$I$56,6,FALSE)&gt;=(VLOOKUP(VLOOKUP(O$1,main!$A$3:$I$56,8,FALSE),main!$K$11:$M$14,2,FALSE)+VLOOKUP(VLOOKUP(O$1,main!$A$3:$I$56,7,FALSE),main!$K$19:$O$22,MATCH(VLOOKUP($A44,main!$A$3:$I$56,8,FALSE),main!$K$18:$O$18,0))))),1,0)</f>
        <v>1</v>
      </c>
      <c r="P44">
        <f>IF((AND(VLOOKUP(P$1,main!$A$3:$I$56,5,FALSE)-VLOOKUP($A44,main!$A$3:$I$56,6,FALSE)&gt;=(VLOOKUP(VLOOKUP(P$1,main!$A$3:$I$56,8,FALSE),main!$K$11:$M$14,2,FALSE)+VLOOKUP(VLOOKUP(P$1,main!$A$3:$I$56,7,FALSE),main!$K$19:$O$22,MATCH(VLOOKUP($A44,main!$A$3:$I$56,8,FALSE),main!$K$18:$O$18,0))))),1,0)</f>
        <v>0</v>
      </c>
      <c r="Q44">
        <f>IF((AND(VLOOKUP(Q$1,main!$A$3:$I$56,5,FALSE)-VLOOKUP($A44,main!$A$3:$I$56,6,FALSE)&gt;=(VLOOKUP(VLOOKUP(Q$1,main!$A$3:$I$56,8,FALSE),main!$K$11:$M$14,2,FALSE)+VLOOKUP(VLOOKUP(Q$1,main!$A$3:$I$56,7,FALSE),main!$K$19:$O$22,MATCH(VLOOKUP($A44,main!$A$3:$I$56,8,FALSE),main!$K$18:$O$18,0))))),1,0)</f>
        <v>0</v>
      </c>
      <c r="R44">
        <f>IF((AND(VLOOKUP(R$1,main!$A$3:$I$56,5,FALSE)-VLOOKUP($A44,main!$A$3:$I$56,6,FALSE)&gt;=(VLOOKUP(VLOOKUP(R$1,main!$A$3:$I$56,8,FALSE),main!$K$11:$M$14,2,FALSE)+VLOOKUP(VLOOKUP(R$1,main!$A$3:$I$56,7,FALSE),main!$K$19:$O$22,MATCH(VLOOKUP($A44,main!$A$3:$I$56,8,FALSE),main!$K$18:$O$18,0))))),1,0)</f>
        <v>1</v>
      </c>
      <c r="S44">
        <f>IF((AND(VLOOKUP(S$1,main!$A$3:$I$56,5,FALSE)-VLOOKUP($A44,main!$A$3:$I$56,6,FALSE)&gt;=(VLOOKUP(VLOOKUP(S$1,main!$A$3:$I$56,8,FALSE),main!$K$11:$M$14,2,FALSE)+VLOOKUP(VLOOKUP(S$1,main!$A$3:$I$56,7,FALSE),main!$K$19:$O$22,MATCH(VLOOKUP($A44,main!$A$3:$I$56,8,FALSE),main!$K$18:$O$18,0))))),1,0)</f>
        <v>1</v>
      </c>
      <c r="T44">
        <f>IF((AND(VLOOKUP(T$1,main!$A$3:$I$56,5,FALSE)-VLOOKUP($A44,main!$A$3:$I$56,6,FALSE)&gt;=(VLOOKUP(VLOOKUP(T$1,main!$A$3:$I$56,8,FALSE),main!$K$11:$M$14,2,FALSE)+VLOOKUP(VLOOKUP(T$1,main!$A$3:$I$56,7,FALSE),main!$K$19:$O$22,MATCH(VLOOKUP($A44,main!$A$3:$I$56,8,FALSE),main!$K$18:$O$18,0))))),1,0)</f>
        <v>1</v>
      </c>
      <c r="U44">
        <f>IF((AND(VLOOKUP(U$1,main!$A$3:$I$56,5,FALSE)-VLOOKUP($A44,main!$A$3:$I$56,6,FALSE)&gt;=(VLOOKUP(VLOOKUP(U$1,main!$A$3:$I$56,8,FALSE),main!$K$11:$M$14,2,FALSE)+VLOOKUP(VLOOKUP(U$1,main!$A$3:$I$56,7,FALSE),main!$K$19:$O$22,MATCH(VLOOKUP($A44,main!$A$3:$I$56,8,FALSE),main!$K$18:$O$18,0))))),1,0)</f>
        <v>0</v>
      </c>
      <c r="V44">
        <f>IF((AND(VLOOKUP(V$1,main!$A$3:$I$56,5,FALSE)-VLOOKUP($A44,main!$A$3:$I$56,6,FALSE)&gt;=(VLOOKUP(VLOOKUP(V$1,main!$A$3:$I$56,8,FALSE),main!$K$11:$M$14,2,FALSE)+VLOOKUP(VLOOKUP(V$1,main!$A$3:$I$56,7,FALSE),main!$K$19:$O$22,MATCH(VLOOKUP($A44,main!$A$3:$I$56,8,FALSE),main!$K$18:$O$18,0))))),1,0)</f>
        <v>0</v>
      </c>
      <c r="W44">
        <f>IF((AND(VLOOKUP(W$1,main!$A$3:$I$56,5,FALSE)-VLOOKUP($A44,main!$A$3:$I$56,6,FALSE)&gt;=(VLOOKUP(VLOOKUP(W$1,main!$A$3:$I$56,8,FALSE),main!$K$11:$M$14,2,FALSE)+VLOOKUP(VLOOKUP(W$1,main!$A$3:$I$56,7,FALSE),main!$K$19:$O$22,MATCH(VLOOKUP($A44,main!$A$3:$I$56,8,FALSE),main!$K$18:$O$18,0))))),1,0)</f>
        <v>0</v>
      </c>
      <c r="X44">
        <f>IF((AND(VLOOKUP(X$1,main!$A$3:$I$56,5,FALSE)-VLOOKUP($A44,main!$A$3:$I$56,6,FALSE)&gt;=(VLOOKUP(VLOOKUP(X$1,main!$A$3:$I$56,8,FALSE),main!$K$11:$M$14,2,FALSE)+VLOOKUP(VLOOKUP(X$1,main!$A$3:$I$56,7,FALSE),main!$K$19:$O$22,MATCH(VLOOKUP($A44,main!$A$3:$I$56,8,FALSE),main!$K$18:$O$18,0))))),1,0)</f>
        <v>1</v>
      </c>
      <c r="Y44">
        <f>IF((AND(VLOOKUP(Y$1,main!$A$3:$I$56,5,FALSE)-VLOOKUP($A44,main!$A$3:$I$56,6,FALSE)&gt;=(VLOOKUP(VLOOKUP(Y$1,main!$A$3:$I$56,8,FALSE),main!$K$11:$M$14,2,FALSE)+VLOOKUP(VLOOKUP(Y$1,main!$A$3:$I$56,7,FALSE),main!$K$19:$O$22,MATCH(VLOOKUP($A44,main!$A$3:$I$56,8,FALSE),main!$K$18:$O$18,0))))),1,0)</f>
        <v>1</v>
      </c>
      <c r="Z44">
        <f>IF((AND(VLOOKUP(Z$1,main!$A$3:$I$56,5,FALSE)-VLOOKUP($A44,main!$A$3:$I$56,6,FALSE)&gt;=(VLOOKUP(VLOOKUP(Z$1,main!$A$3:$I$56,8,FALSE),main!$K$11:$M$14,2,FALSE)+VLOOKUP(VLOOKUP(Z$1,main!$A$3:$I$56,7,FALSE),main!$K$19:$O$22,MATCH(VLOOKUP($A44,main!$A$3:$I$56,8,FALSE),main!$K$18:$O$18,0))))),1,0)</f>
        <v>1</v>
      </c>
      <c r="AA44">
        <f>IF((AND(VLOOKUP(AA$1,main!$A$3:$I$56,5,FALSE)-VLOOKUP($A44,main!$A$3:$I$56,6,FALSE)&gt;=(VLOOKUP(VLOOKUP(AA$1,main!$A$3:$I$56,8,FALSE),main!$K$11:$M$14,2,FALSE)+VLOOKUP(VLOOKUP(AA$1,main!$A$3:$I$56,7,FALSE),main!$K$19:$O$22,MATCH(VLOOKUP($A44,main!$A$3:$I$56,8,FALSE),main!$K$18:$O$18,0))))),1,0)</f>
        <v>1</v>
      </c>
      <c r="AB44">
        <f>IF((AND(VLOOKUP(AB$1,main!$A$3:$I$56,5,FALSE)-VLOOKUP($A44,main!$A$3:$I$56,6,FALSE)&gt;=(VLOOKUP(VLOOKUP(AB$1,main!$A$3:$I$56,8,FALSE),main!$K$11:$M$14,2,FALSE)+VLOOKUP(VLOOKUP(AB$1,main!$A$3:$I$56,7,FALSE),main!$K$19:$O$22,MATCH(VLOOKUP($A44,main!$A$3:$I$56,8,FALSE),main!$K$18:$O$18,0))))),1,0)</f>
        <v>1</v>
      </c>
      <c r="AC44">
        <f>IF((AND(VLOOKUP(AC$1,main!$A$3:$I$56,5,FALSE)-VLOOKUP($A44,main!$A$3:$I$56,6,FALSE)&gt;=(VLOOKUP(VLOOKUP(AC$1,main!$A$3:$I$56,8,FALSE),main!$K$11:$M$14,2,FALSE)+VLOOKUP(VLOOKUP(AC$1,main!$A$3:$I$56,7,FALSE),main!$K$19:$O$22,MATCH(VLOOKUP($A44,main!$A$3:$I$56,8,FALSE),main!$K$18:$O$18,0))))),1,0)</f>
        <v>0</v>
      </c>
      <c r="AD44">
        <f>IF((AND(VLOOKUP(AD$1,main!$A$3:$I$56,5,FALSE)-VLOOKUP($A44,main!$A$3:$I$56,6,FALSE)&gt;=(VLOOKUP(VLOOKUP(AD$1,main!$A$3:$I$56,8,FALSE),main!$K$11:$M$14,2,FALSE)+VLOOKUP(VLOOKUP(AD$1,main!$A$3:$I$56,7,FALSE),main!$K$19:$O$22,MATCH(VLOOKUP($A44,main!$A$3:$I$56,8,FALSE),main!$K$18:$O$18,0))))),1,0)</f>
        <v>0</v>
      </c>
      <c r="AE44">
        <f>IF((AND(VLOOKUP(AE$1,main!$A$3:$I$56,5,FALSE)-VLOOKUP($A44,main!$A$3:$I$56,6,FALSE)&gt;=(VLOOKUP(VLOOKUP(AE$1,main!$A$3:$I$56,8,FALSE),main!$K$11:$M$14,2,FALSE)+VLOOKUP(VLOOKUP(AE$1,main!$A$3:$I$56,7,FALSE),main!$K$19:$O$22,MATCH(VLOOKUP($A44,main!$A$3:$I$56,8,FALSE),main!$K$18:$O$18,0))))),1,0)</f>
        <v>1</v>
      </c>
      <c r="AF44">
        <f>IF((AND(VLOOKUP(AF$1,main!$A$3:$I$56,5,FALSE)-VLOOKUP($A44,main!$A$3:$I$56,6,FALSE)&gt;=(VLOOKUP(VLOOKUP(AF$1,main!$A$3:$I$56,8,FALSE),main!$K$11:$M$14,2,FALSE)+VLOOKUP(VLOOKUP(AF$1,main!$A$3:$I$56,7,FALSE),main!$K$19:$O$22,MATCH(VLOOKUP($A44,main!$A$3:$I$56,8,FALSE),main!$K$18:$O$18,0))))),1,0)</f>
        <v>1</v>
      </c>
      <c r="AG44">
        <f>IF((AND(VLOOKUP(AG$1,main!$A$3:$I$56,5,FALSE)-VLOOKUP($A44,main!$A$3:$I$56,6,FALSE)&gt;=(VLOOKUP(VLOOKUP(AG$1,main!$A$3:$I$56,8,FALSE),main!$K$11:$M$14,2,FALSE)+VLOOKUP(VLOOKUP(AG$1,main!$A$3:$I$56,7,FALSE),main!$K$19:$O$22,MATCH(VLOOKUP($A44,main!$A$3:$I$56,8,FALSE),main!$K$18:$O$18,0))))),1,0)</f>
        <v>0</v>
      </c>
      <c r="AH44">
        <f>IF((AND(VLOOKUP(AH$1,main!$A$3:$I$56,5,FALSE)-VLOOKUP($A44,main!$A$3:$I$56,6,FALSE)&gt;=(VLOOKUP(VLOOKUP(AH$1,main!$A$3:$I$56,8,FALSE),main!$K$11:$M$14,2,FALSE)+VLOOKUP(VLOOKUP(AH$1,main!$A$3:$I$56,7,FALSE),main!$K$19:$O$22,MATCH(VLOOKUP($A44,main!$A$3:$I$56,8,FALSE),main!$K$18:$O$18,0))))),1,0)</f>
        <v>0</v>
      </c>
      <c r="AI44">
        <f>IF((AND(VLOOKUP(AI$1,main!$A$3:$I$56,5,FALSE)-VLOOKUP($A44,main!$A$3:$I$56,6,FALSE)&gt;=(VLOOKUP(VLOOKUP(AI$1,main!$A$3:$I$56,8,FALSE),main!$K$11:$M$14,2,FALSE)+VLOOKUP(VLOOKUP(AI$1,main!$A$3:$I$56,7,FALSE),main!$K$19:$O$22,MATCH(VLOOKUP($A44,main!$A$3:$I$56,8,FALSE),main!$K$18:$O$18,0))))),1,0)</f>
        <v>1</v>
      </c>
      <c r="AJ44">
        <f>IF((AND(VLOOKUP(AJ$1,main!$A$3:$I$56,5,FALSE)-VLOOKUP($A44,main!$A$3:$I$56,6,FALSE)&gt;=(VLOOKUP(VLOOKUP(AJ$1,main!$A$3:$I$56,8,FALSE),main!$K$11:$M$14,2,FALSE)+VLOOKUP(VLOOKUP(AJ$1,main!$A$3:$I$56,7,FALSE),main!$K$19:$O$22,MATCH(VLOOKUP($A44,main!$A$3:$I$56,8,FALSE),main!$K$18:$O$18,0))))),1,0)</f>
        <v>1</v>
      </c>
      <c r="AK44">
        <f>IF((AND(VLOOKUP(AK$1,main!$A$3:$I$56,5,FALSE)-VLOOKUP($A44,main!$A$3:$I$56,6,FALSE)&gt;=(VLOOKUP(VLOOKUP(AK$1,main!$A$3:$I$56,8,FALSE),main!$K$11:$M$14,2,FALSE)+VLOOKUP(VLOOKUP(AK$1,main!$A$3:$I$56,7,FALSE),main!$K$19:$O$22,MATCH(VLOOKUP($A44,main!$A$3:$I$56,8,FALSE),main!$K$18:$O$18,0))))),1,0)</f>
        <v>1</v>
      </c>
      <c r="AL44">
        <f>IF((AND(VLOOKUP(AL$1,main!$A$3:$I$56,5,FALSE)-VLOOKUP($A44,main!$A$3:$I$56,6,FALSE)&gt;=(VLOOKUP(VLOOKUP(AL$1,main!$A$3:$I$56,8,FALSE),main!$K$11:$M$14,2,FALSE)+VLOOKUP(VLOOKUP(AL$1,main!$A$3:$I$56,7,FALSE),main!$K$19:$O$22,MATCH(VLOOKUP($A44,main!$A$3:$I$56,8,FALSE),main!$K$18:$O$18,0))))),1,0)</f>
        <v>0</v>
      </c>
      <c r="AM44">
        <f>IF((AND(VLOOKUP(AM$1,main!$A$3:$I$56,5,FALSE)-VLOOKUP($A44,main!$A$3:$I$56,6,FALSE)&gt;=(VLOOKUP(VLOOKUP(AM$1,main!$A$3:$I$56,8,FALSE),main!$K$11:$M$14,2,FALSE)+VLOOKUP(VLOOKUP(AM$1,main!$A$3:$I$56,7,FALSE),main!$K$19:$O$22,MATCH(VLOOKUP($A44,main!$A$3:$I$56,8,FALSE),main!$K$18:$O$18,0))))),1,0)</f>
        <v>0</v>
      </c>
      <c r="AN44">
        <f>IF((AND(VLOOKUP(AN$1,main!$A$3:$I$56,5,FALSE)-VLOOKUP($A44,main!$A$3:$I$56,6,FALSE)&gt;=(VLOOKUP(VLOOKUP(AN$1,main!$A$3:$I$56,8,FALSE),main!$K$11:$M$14,2,FALSE)+VLOOKUP(VLOOKUP(AN$1,main!$A$3:$I$56,7,FALSE),main!$K$19:$O$22,MATCH(VLOOKUP($A44,main!$A$3:$I$56,8,FALSE),main!$K$18:$O$18,0))))),1,0)</f>
        <v>1</v>
      </c>
      <c r="AO44">
        <f>IF((AND(VLOOKUP(AO$1,main!$A$3:$I$56,5,FALSE)-VLOOKUP($A44,main!$A$3:$I$56,6,FALSE)&gt;=(VLOOKUP(VLOOKUP(AO$1,main!$A$3:$I$56,8,FALSE),main!$K$11:$M$14,2,FALSE)+VLOOKUP(VLOOKUP(AO$1,main!$A$3:$I$56,7,FALSE),main!$K$19:$O$22,MATCH(VLOOKUP($A44,main!$A$3:$I$56,8,FALSE),main!$K$18:$O$18,0))))),1,0)</f>
        <v>1</v>
      </c>
      <c r="AP44">
        <f>IF((AND(VLOOKUP(AP$1,main!$A$3:$I$56,5,FALSE)-VLOOKUP($A44,main!$A$3:$I$56,6,FALSE)&gt;=(VLOOKUP(VLOOKUP(AP$1,main!$A$3:$I$56,8,FALSE),main!$K$11:$M$14,2,FALSE)+VLOOKUP(VLOOKUP(AP$1,main!$A$3:$I$56,7,FALSE),main!$K$19:$O$22,MATCH(VLOOKUP($A44,main!$A$3:$I$56,8,FALSE),main!$K$18:$O$18,0))))),1,0)</f>
        <v>0</v>
      </c>
      <c r="AQ44">
        <f>IF((AND(VLOOKUP(AQ$1,main!$A$3:$I$56,5,FALSE)-VLOOKUP($A44,main!$A$3:$I$56,6,FALSE)&gt;=(VLOOKUP(VLOOKUP(AQ$1,main!$A$3:$I$56,8,FALSE),main!$K$11:$M$14,2,FALSE)+VLOOKUP(VLOOKUP(AQ$1,main!$A$3:$I$56,7,FALSE),main!$K$19:$O$22,MATCH(VLOOKUP($A44,main!$A$3:$I$56,8,FALSE),main!$K$18:$O$18,0))))),1,0)</f>
        <v>0</v>
      </c>
      <c r="AR44">
        <f>IF((AND(VLOOKUP(AR$1,main!$A$3:$I$56,5,FALSE)-VLOOKUP($A44,main!$A$3:$I$56,6,FALSE)&gt;=(VLOOKUP(VLOOKUP(AR$1,main!$A$3:$I$56,8,FALSE),main!$K$11:$M$14,2,FALSE)+VLOOKUP(VLOOKUP(AR$1,main!$A$3:$I$56,7,FALSE),main!$K$19:$O$22,MATCH(VLOOKUP($A44,main!$A$3:$I$56,8,FALSE),main!$K$18:$O$18,0))))),1,0)</f>
        <v>0</v>
      </c>
      <c r="AS44">
        <f>IF((AND(VLOOKUP(AS$1,main!$A$3:$I$56,5,FALSE)-VLOOKUP($A44,main!$A$3:$I$56,6,FALSE)&gt;=(VLOOKUP(VLOOKUP(AS$1,main!$A$3:$I$56,8,FALSE),main!$K$11:$M$14,2,FALSE)+VLOOKUP(VLOOKUP(AS$1,main!$A$3:$I$56,7,FALSE),main!$K$19:$O$22,MATCH(VLOOKUP($A44,main!$A$3:$I$56,8,FALSE),main!$K$18:$O$18,0))))),1,0)</f>
        <v>0</v>
      </c>
      <c r="AT44">
        <f>IF((AND(VLOOKUP(AT$1,main!$A$3:$I$56,5,FALSE)-VLOOKUP($A44,main!$A$3:$I$56,6,FALSE)&gt;=(VLOOKUP(VLOOKUP(AT$1,main!$A$3:$I$56,8,FALSE),main!$K$11:$M$14,2,FALSE)+VLOOKUP(VLOOKUP(AT$1,main!$A$3:$I$56,7,FALSE),main!$K$19:$O$22,MATCH(VLOOKUP($A44,main!$A$3:$I$56,8,FALSE),main!$K$18:$O$18,0))))),1,0)</f>
        <v>1</v>
      </c>
      <c r="AU44">
        <f>IF((AND(VLOOKUP(AU$1,main!$A$3:$I$56,5,FALSE)-VLOOKUP($A44,main!$A$3:$I$56,6,FALSE)&gt;=(VLOOKUP(VLOOKUP(AU$1,main!$A$3:$I$56,8,FALSE),main!$K$11:$M$14,2,FALSE)+VLOOKUP(VLOOKUP(AU$1,main!$A$3:$I$56,7,FALSE),main!$K$19:$O$22,MATCH(VLOOKUP($A44,main!$A$3:$I$56,8,FALSE),main!$K$18:$O$18,0))))),1,0)</f>
        <v>0</v>
      </c>
      <c r="AV44">
        <f>IF((AND(VLOOKUP(AV$1,main!$A$3:$I$56,5,FALSE)-VLOOKUP($A44,main!$A$3:$I$56,6,FALSE)&gt;=(VLOOKUP(VLOOKUP(AV$1,main!$A$3:$I$56,8,FALSE),main!$K$11:$M$14,2,FALSE)+VLOOKUP(VLOOKUP(AV$1,main!$A$3:$I$56,7,FALSE),main!$K$19:$O$22,MATCH(VLOOKUP($A44,main!$A$3:$I$56,8,FALSE),main!$K$18:$O$18,0))))),1,0)</f>
        <v>1</v>
      </c>
      <c r="AW44">
        <f>IF((AND(VLOOKUP(AW$1,main!$A$3:$I$56,5,FALSE)-VLOOKUP($A44,main!$A$3:$I$56,6,FALSE)&gt;=(VLOOKUP(VLOOKUP(AW$1,main!$A$3:$I$56,8,FALSE),main!$K$11:$M$14,2,FALSE)+VLOOKUP(VLOOKUP(AW$1,main!$A$3:$I$56,7,FALSE),main!$K$19:$O$22,MATCH(VLOOKUP($A44,main!$A$3:$I$56,8,FALSE),main!$K$18:$O$18,0))))),1,0)</f>
        <v>1</v>
      </c>
      <c r="AX44">
        <f>IF((AND(VLOOKUP(AX$1,main!$A$3:$I$56,5,FALSE)-VLOOKUP($A44,main!$A$3:$I$56,6,FALSE)&gt;=(VLOOKUP(VLOOKUP(AX$1,main!$A$3:$I$56,8,FALSE),main!$K$11:$M$14,2,FALSE)+VLOOKUP(VLOOKUP(AX$1,main!$A$3:$I$56,7,FALSE),main!$K$19:$O$22,MATCH(VLOOKUP($A44,main!$A$3:$I$56,8,FALSE),main!$K$18:$O$18,0))))),1,0)</f>
        <v>1</v>
      </c>
      <c r="AY44">
        <f>IF((AND(VLOOKUP(AY$1,main!$A$3:$I$56,5,FALSE)-VLOOKUP($A44,main!$A$3:$I$56,6,FALSE)&gt;=(VLOOKUP(VLOOKUP(AY$1,main!$A$3:$I$56,8,FALSE),main!$K$11:$M$14,2,FALSE)+VLOOKUP(VLOOKUP(AY$1,main!$A$3:$I$56,7,FALSE),main!$K$19:$O$22,MATCH(VLOOKUP($A44,main!$A$3:$I$56,8,FALSE),main!$K$18:$O$18,0))))),1,0)</f>
        <v>1</v>
      </c>
      <c r="AZ44">
        <f>IF((AND(VLOOKUP(AZ$1,main!$A$3:$I$56,5,FALSE)-VLOOKUP($A44,main!$A$3:$I$56,6,FALSE)&gt;=(VLOOKUP(VLOOKUP(AZ$1,main!$A$3:$I$56,8,FALSE),main!$K$11:$M$14,2,FALSE)+VLOOKUP(VLOOKUP(AZ$1,main!$A$3:$I$56,7,FALSE),main!$K$19:$O$22,MATCH(VLOOKUP($A44,main!$A$3:$I$56,8,FALSE),main!$K$18:$O$18,0))))),1,0)</f>
        <v>0</v>
      </c>
      <c r="BA44">
        <f>IF((AND(VLOOKUP(BA$1,main!$A$3:$I$56,5,FALSE)-VLOOKUP($A44,main!$A$3:$I$56,6,FALSE)&gt;=(VLOOKUP(VLOOKUP(BA$1,main!$A$3:$I$56,8,FALSE),main!$K$11:$M$14,2,FALSE)+VLOOKUP(VLOOKUP(BA$1,main!$A$3:$I$56,7,FALSE),main!$K$19:$O$22,MATCH(VLOOKUP($A44,main!$A$3:$I$56,8,FALSE),main!$K$18:$O$18,0))))),1,0)</f>
        <v>1</v>
      </c>
      <c r="BB44">
        <f>IF((AND(VLOOKUP(BB$1,main!$A$3:$I$56,5,FALSE)-VLOOKUP($A44,main!$A$3:$I$56,6,FALSE)&gt;=(VLOOKUP(VLOOKUP(BB$1,main!$A$3:$I$56,8,FALSE),main!$K$11:$M$14,2,FALSE)+VLOOKUP(VLOOKUP(BB$1,main!$A$3:$I$56,7,FALSE),main!$K$19:$O$22,MATCH(VLOOKUP($A44,main!$A$3:$I$56,8,FALSE),main!$K$18:$O$18,0))))),1,0)</f>
        <v>1</v>
      </c>
      <c r="BC44">
        <f>IF((AND(VLOOKUP(BC$1,main!$A$3:$I$56,5,FALSE)-VLOOKUP($A44,main!$A$3:$I$56,6,FALSE)&gt;=(VLOOKUP(VLOOKUP(BC$1,main!$A$3:$I$56,8,FALSE),main!$K$11:$M$14,2,FALSE)+VLOOKUP(VLOOKUP(BC$1,main!$A$3:$I$56,7,FALSE),main!$K$19:$O$22,MATCH(VLOOKUP($A44,main!$A$3:$I$56,8,FALSE),main!$K$18:$O$18,0))))),1,0)</f>
        <v>1</v>
      </c>
      <c r="BD44">
        <f>IF((AND(VLOOKUP(BD$1,main!$A$3:$I$56,5,FALSE)-VLOOKUP($A44,main!$A$3:$I$56,6,FALSE)&gt;=(VLOOKUP(VLOOKUP(BD$1,main!$A$3:$I$56,8,FALSE),main!$K$11:$M$14,2,FALSE)+VLOOKUP(VLOOKUP(BD$1,main!$A$3:$I$56,7,FALSE),main!$K$19:$O$22,MATCH(VLOOKUP($A44,main!$A$3:$I$56,8,FALSE),main!$K$18:$O$18,0))))),1,0)</f>
        <v>1</v>
      </c>
    </row>
    <row r="45" spans="1:56" x14ac:dyDescent="0.25">
      <c r="A45">
        <f t="shared" si="0"/>
        <v>43</v>
      </c>
      <c r="B45">
        <v>1</v>
      </c>
      <c r="C45">
        <f>IF((AND(VLOOKUP(C$1,main!$A$3:$I$56,5,FALSE)-VLOOKUP($A45,main!$A$3:$I$56,6,FALSE)&gt;=(VLOOKUP(VLOOKUP(C$1,main!$A$3:$I$56,8,FALSE),main!$K$11:$M$14,2,FALSE)+VLOOKUP(VLOOKUP(C$1,main!$A$3:$I$56,7,FALSE),main!$K$19:$O$22,MATCH(VLOOKUP($A45,main!$A$3:$I$56,8,FALSE),main!$K$18:$O$18,0))))),1,0)</f>
        <v>0</v>
      </c>
      <c r="D45">
        <f>IF((AND(VLOOKUP(D$1,main!$A$3:$I$56,5,FALSE)-VLOOKUP($A45,main!$A$3:$I$56,6,FALSE)&gt;=(VLOOKUP(VLOOKUP(D$1,main!$A$3:$I$56,8,FALSE),main!$K$11:$M$14,2,FALSE)+VLOOKUP(VLOOKUP(D$1,main!$A$3:$I$56,7,FALSE),main!$K$19:$O$22,MATCH(VLOOKUP($A45,main!$A$3:$I$56,8,FALSE),main!$K$18:$O$18,0))))),1,0)</f>
        <v>0</v>
      </c>
      <c r="E45">
        <f>IF((AND(VLOOKUP(E$1,main!$A$3:$I$56,5,FALSE)-VLOOKUP($A45,main!$A$3:$I$56,6,FALSE)&gt;=(VLOOKUP(VLOOKUP(E$1,main!$A$3:$I$56,8,FALSE),main!$K$11:$M$14,2,FALSE)+VLOOKUP(VLOOKUP(E$1,main!$A$3:$I$56,7,FALSE),main!$K$19:$O$22,MATCH(VLOOKUP($A45,main!$A$3:$I$56,8,FALSE),main!$K$18:$O$18,0))))),1,0)</f>
        <v>0</v>
      </c>
      <c r="F45">
        <f>IF((AND(VLOOKUP(F$1,main!$A$3:$I$56,5,FALSE)-VLOOKUP($A45,main!$A$3:$I$56,6,FALSE)&gt;=(VLOOKUP(VLOOKUP(F$1,main!$A$3:$I$56,8,FALSE),main!$K$11:$M$14,2,FALSE)+VLOOKUP(VLOOKUP(F$1,main!$A$3:$I$56,7,FALSE),main!$K$19:$O$22,MATCH(VLOOKUP($A45,main!$A$3:$I$56,8,FALSE),main!$K$18:$O$18,0))))),1,0)</f>
        <v>0</v>
      </c>
      <c r="G45">
        <f>IF((AND(VLOOKUP(G$1,main!$A$3:$I$56,5,FALSE)-VLOOKUP($A45,main!$A$3:$I$56,6,FALSE)&gt;=(VLOOKUP(VLOOKUP(G$1,main!$A$3:$I$56,8,FALSE),main!$K$11:$M$14,2,FALSE)+VLOOKUP(VLOOKUP(G$1,main!$A$3:$I$56,7,FALSE),main!$K$19:$O$22,MATCH(VLOOKUP($A45,main!$A$3:$I$56,8,FALSE),main!$K$18:$O$18,0))))),1,0)</f>
        <v>1</v>
      </c>
      <c r="H45">
        <f>IF((AND(VLOOKUP(H$1,main!$A$3:$I$56,5,FALSE)-VLOOKUP($A45,main!$A$3:$I$56,6,FALSE)&gt;=(VLOOKUP(VLOOKUP(H$1,main!$A$3:$I$56,8,FALSE),main!$K$11:$M$14,2,FALSE)+VLOOKUP(VLOOKUP(H$1,main!$A$3:$I$56,7,FALSE),main!$K$19:$O$22,MATCH(VLOOKUP($A45,main!$A$3:$I$56,8,FALSE),main!$K$18:$O$18,0))))),1,0)</f>
        <v>1</v>
      </c>
      <c r="I45">
        <f>IF((AND(VLOOKUP(I$1,main!$A$3:$I$56,5,FALSE)-VLOOKUP($A45,main!$A$3:$I$56,6,FALSE)&gt;=(VLOOKUP(VLOOKUP(I$1,main!$A$3:$I$56,8,FALSE),main!$K$11:$M$14,2,FALSE)+VLOOKUP(VLOOKUP(I$1,main!$A$3:$I$56,7,FALSE),main!$K$19:$O$22,MATCH(VLOOKUP($A45,main!$A$3:$I$56,8,FALSE),main!$K$18:$O$18,0))))),1,0)</f>
        <v>1</v>
      </c>
      <c r="J45">
        <f>IF((AND(VLOOKUP(J$1,main!$A$3:$I$56,5,FALSE)-VLOOKUP($A45,main!$A$3:$I$56,6,FALSE)&gt;=(VLOOKUP(VLOOKUP(J$1,main!$A$3:$I$56,8,FALSE),main!$K$11:$M$14,2,FALSE)+VLOOKUP(VLOOKUP(J$1,main!$A$3:$I$56,7,FALSE),main!$K$19:$O$22,MATCH(VLOOKUP($A45,main!$A$3:$I$56,8,FALSE),main!$K$18:$O$18,0))))),1,0)</f>
        <v>1</v>
      </c>
      <c r="K45">
        <f>IF((AND(VLOOKUP(K$1,main!$A$3:$I$56,5,FALSE)-VLOOKUP($A45,main!$A$3:$I$56,6,FALSE)&gt;=(VLOOKUP(VLOOKUP(K$1,main!$A$3:$I$56,8,FALSE),main!$K$11:$M$14,2,FALSE)+VLOOKUP(VLOOKUP(K$1,main!$A$3:$I$56,7,FALSE),main!$K$19:$O$22,MATCH(VLOOKUP($A45,main!$A$3:$I$56,8,FALSE),main!$K$18:$O$18,0))))),1,0)</f>
        <v>0</v>
      </c>
      <c r="L45">
        <f>IF((AND(VLOOKUP(L$1,main!$A$3:$I$56,5,FALSE)-VLOOKUP($A45,main!$A$3:$I$56,6,FALSE)&gt;=(VLOOKUP(VLOOKUP(L$1,main!$A$3:$I$56,8,FALSE),main!$K$11:$M$14,2,FALSE)+VLOOKUP(VLOOKUP(L$1,main!$A$3:$I$56,7,FALSE),main!$K$19:$O$22,MATCH(VLOOKUP($A45,main!$A$3:$I$56,8,FALSE),main!$K$18:$O$18,0))))),1,0)</f>
        <v>0</v>
      </c>
      <c r="M45">
        <f>IF((AND(VLOOKUP(M$1,main!$A$3:$I$56,5,FALSE)-VLOOKUP($A45,main!$A$3:$I$56,6,FALSE)&gt;=(VLOOKUP(VLOOKUP(M$1,main!$A$3:$I$56,8,FALSE),main!$K$11:$M$14,2,FALSE)+VLOOKUP(VLOOKUP(M$1,main!$A$3:$I$56,7,FALSE),main!$K$19:$O$22,MATCH(VLOOKUP($A45,main!$A$3:$I$56,8,FALSE),main!$K$18:$O$18,0))))),1,0)</f>
        <v>0</v>
      </c>
      <c r="N45">
        <f>IF((AND(VLOOKUP(N$1,main!$A$3:$I$56,5,FALSE)-VLOOKUP($A45,main!$A$3:$I$56,6,FALSE)&gt;=(VLOOKUP(VLOOKUP(N$1,main!$A$3:$I$56,8,FALSE),main!$K$11:$M$14,2,FALSE)+VLOOKUP(VLOOKUP(N$1,main!$A$3:$I$56,7,FALSE),main!$K$19:$O$22,MATCH(VLOOKUP($A45,main!$A$3:$I$56,8,FALSE),main!$K$18:$O$18,0))))),1,0)</f>
        <v>1</v>
      </c>
      <c r="O45">
        <f>IF((AND(VLOOKUP(O$1,main!$A$3:$I$56,5,FALSE)-VLOOKUP($A45,main!$A$3:$I$56,6,FALSE)&gt;=(VLOOKUP(VLOOKUP(O$1,main!$A$3:$I$56,8,FALSE),main!$K$11:$M$14,2,FALSE)+VLOOKUP(VLOOKUP(O$1,main!$A$3:$I$56,7,FALSE),main!$K$19:$O$22,MATCH(VLOOKUP($A45,main!$A$3:$I$56,8,FALSE),main!$K$18:$O$18,0))))),1,0)</f>
        <v>1</v>
      </c>
      <c r="P45">
        <f>IF((AND(VLOOKUP(P$1,main!$A$3:$I$56,5,FALSE)-VLOOKUP($A45,main!$A$3:$I$56,6,FALSE)&gt;=(VLOOKUP(VLOOKUP(P$1,main!$A$3:$I$56,8,FALSE),main!$K$11:$M$14,2,FALSE)+VLOOKUP(VLOOKUP(P$1,main!$A$3:$I$56,7,FALSE),main!$K$19:$O$22,MATCH(VLOOKUP($A45,main!$A$3:$I$56,8,FALSE),main!$K$18:$O$18,0))))),1,0)</f>
        <v>0</v>
      </c>
      <c r="Q45">
        <f>IF((AND(VLOOKUP(Q$1,main!$A$3:$I$56,5,FALSE)-VLOOKUP($A45,main!$A$3:$I$56,6,FALSE)&gt;=(VLOOKUP(VLOOKUP(Q$1,main!$A$3:$I$56,8,FALSE),main!$K$11:$M$14,2,FALSE)+VLOOKUP(VLOOKUP(Q$1,main!$A$3:$I$56,7,FALSE),main!$K$19:$O$22,MATCH(VLOOKUP($A45,main!$A$3:$I$56,8,FALSE),main!$K$18:$O$18,0))))),1,0)</f>
        <v>0</v>
      </c>
      <c r="R45">
        <f>IF((AND(VLOOKUP(R$1,main!$A$3:$I$56,5,FALSE)-VLOOKUP($A45,main!$A$3:$I$56,6,FALSE)&gt;=(VLOOKUP(VLOOKUP(R$1,main!$A$3:$I$56,8,FALSE),main!$K$11:$M$14,2,FALSE)+VLOOKUP(VLOOKUP(R$1,main!$A$3:$I$56,7,FALSE),main!$K$19:$O$22,MATCH(VLOOKUP($A45,main!$A$3:$I$56,8,FALSE),main!$K$18:$O$18,0))))),1,0)</f>
        <v>0</v>
      </c>
      <c r="S45">
        <f>IF((AND(VLOOKUP(S$1,main!$A$3:$I$56,5,FALSE)-VLOOKUP($A45,main!$A$3:$I$56,6,FALSE)&gt;=(VLOOKUP(VLOOKUP(S$1,main!$A$3:$I$56,8,FALSE),main!$K$11:$M$14,2,FALSE)+VLOOKUP(VLOOKUP(S$1,main!$A$3:$I$56,7,FALSE),main!$K$19:$O$22,MATCH(VLOOKUP($A45,main!$A$3:$I$56,8,FALSE),main!$K$18:$O$18,0))))),1,0)</f>
        <v>1</v>
      </c>
      <c r="T45">
        <f>IF((AND(VLOOKUP(T$1,main!$A$3:$I$56,5,FALSE)-VLOOKUP($A45,main!$A$3:$I$56,6,FALSE)&gt;=(VLOOKUP(VLOOKUP(T$1,main!$A$3:$I$56,8,FALSE),main!$K$11:$M$14,2,FALSE)+VLOOKUP(VLOOKUP(T$1,main!$A$3:$I$56,7,FALSE),main!$K$19:$O$22,MATCH(VLOOKUP($A45,main!$A$3:$I$56,8,FALSE),main!$K$18:$O$18,0))))),1,0)</f>
        <v>1</v>
      </c>
      <c r="U45">
        <f>IF((AND(VLOOKUP(U$1,main!$A$3:$I$56,5,FALSE)-VLOOKUP($A45,main!$A$3:$I$56,6,FALSE)&gt;=(VLOOKUP(VLOOKUP(U$1,main!$A$3:$I$56,8,FALSE),main!$K$11:$M$14,2,FALSE)+VLOOKUP(VLOOKUP(U$1,main!$A$3:$I$56,7,FALSE),main!$K$19:$O$22,MATCH(VLOOKUP($A45,main!$A$3:$I$56,8,FALSE),main!$K$18:$O$18,0))))),1,0)</f>
        <v>0</v>
      </c>
      <c r="V45">
        <f>IF((AND(VLOOKUP(V$1,main!$A$3:$I$56,5,FALSE)-VLOOKUP($A45,main!$A$3:$I$56,6,FALSE)&gt;=(VLOOKUP(VLOOKUP(V$1,main!$A$3:$I$56,8,FALSE),main!$K$11:$M$14,2,FALSE)+VLOOKUP(VLOOKUP(V$1,main!$A$3:$I$56,7,FALSE),main!$K$19:$O$22,MATCH(VLOOKUP($A45,main!$A$3:$I$56,8,FALSE),main!$K$18:$O$18,0))))),1,0)</f>
        <v>0</v>
      </c>
      <c r="W45">
        <f>IF((AND(VLOOKUP(W$1,main!$A$3:$I$56,5,FALSE)-VLOOKUP($A45,main!$A$3:$I$56,6,FALSE)&gt;=(VLOOKUP(VLOOKUP(W$1,main!$A$3:$I$56,8,FALSE),main!$K$11:$M$14,2,FALSE)+VLOOKUP(VLOOKUP(W$1,main!$A$3:$I$56,7,FALSE),main!$K$19:$O$22,MATCH(VLOOKUP($A45,main!$A$3:$I$56,8,FALSE),main!$K$18:$O$18,0))))),1,0)</f>
        <v>0</v>
      </c>
      <c r="X45">
        <f>IF((AND(VLOOKUP(X$1,main!$A$3:$I$56,5,FALSE)-VLOOKUP($A45,main!$A$3:$I$56,6,FALSE)&gt;=(VLOOKUP(VLOOKUP(X$1,main!$A$3:$I$56,8,FALSE),main!$K$11:$M$14,2,FALSE)+VLOOKUP(VLOOKUP(X$1,main!$A$3:$I$56,7,FALSE),main!$K$19:$O$22,MATCH(VLOOKUP($A45,main!$A$3:$I$56,8,FALSE),main!$K$18:$O$18,0))))),1,0)</f>
        <v>0</v>
      </c>
      <c r="Y45">
        <f>IF((AND(VLOOKUP(Y$1,main!$A$3:$I$56,5,FALSE)-VLOOKUP($A45,main!$A$3:$I$56,6,FALSE)&gt;=(VLOOKUP(VLOOKUP(Y$1,main!$A$3:$I$56,8,FALSE),main!$K$11:$M$14,2,FALSE)+VLOOKUP(VLOOKUP(Y$1,main!$A$3:$I$56,7,FALSE),main!$K$19:$O$22,MATCH(VLOOKUP($A45,main!$A$3:$I$56,8,FALSE),main!$K$18:$O$18,0))))),1,0)</f>
        <v>0</v>
      </c>
      <c r="Z45">
        <f>IF((AND(VLOOKUP(Z$1,main!$A$3:$I$56,5,FALSE)-VLOOKUP($A45,main!$A$3:$I$56,6,FALSE)&gt;=(VLOOKUP(VLOOKUP(Z$1,main!$A$3:$I$56,8,FALSE),main!$K$11:$M$14,2,FALSE)+VLOOKUP(VLOOKUP(Z$1,main!$A$3:$I$56,7,FALSE),main!$K$19:$O$22,MATCH(VLOOKUP($A45,main!$A$3:$I$56,8,FALSE),main!$K$18:$O$18,0))))),1,0)</f>
        <v>1</v>
      </c>
      <c r="AA45">
        <f>IF((AND(VLOOKUP(AA$1,main!$A$3:$I$56,5,FALSE)-VLOOKUP($A45,main!$A$3:$I$56,6,FALSE)&gt;=(VLOOKUP(VLOOKUP(AA$1,main!$A$3:$I$56,8,FALSE),main!$K$11:$M$14,2,FALSE)+VLOOKUP(VLOOKUP(AA$1,main!$A$3:$I$56,7,FALSE),main!$K$19:$O$22,MATCH(VLOOKUP($A45,main!$A$3:$I$56,8,FALSE),main!$K$18:$O$18,0))))),1,0)</f>
        <v>1</v>
      </c>
      <c r="AB45">
        <f>IF((AND(VLOOKUP(AB$1,main!$A$3:$I$56,5,FALSE)-VLOOKUP($A45,main!$A$3:$I$56,6,FALSE)&gt;=(VLOOKUP(VLOOKUP(AB$1,main!$A$3:$I$56,8,FALSE),main!$K$11:$M$14,2,FALSE)+VLOOKUP(VLOOKUP(AB$1,main!$A$3:$I$56,7,FALSE),main!$K$19:$O$22,MATCH(VLOOKUP($A45,main!$A$3:$I$56,8,FALSE),main!$K$18:$O$18,0))))),1,0)</f>
        <v>1</v>
      </c>
      <c r="AC45">
        <f>IF((AND(VLOOKUP(AC$1,main!$A$3:$I$56,5,FALSE)-VLOOKUP($A45,main!$A$3:$I$56,6,FALSE)&gt;=(VLOOKUP(VLOOKUP(AC$1,main!$A$3:$I$56,8,FALSE),main!$K$11:$M$14,2,FALSE)+VLOOKUP(VLOOKUP(AC$1,main!$A$3:$I$56,7,FALSE),main!$K$19:$O$22,MATCH(VLOOKUP($A45,main!$A$3:$I$56,8,FALSE),main!$K$18:$O$18,0))))),1,0)</f>
        <v>0</v>
      </c>
      <c r="AD45">
        <f>IF((AND(VLOOKUP(AD$1,main!$A$3:$I$56,5,FALSE)-VLOOKUP($A45,main!$A$3:$I$56,6,FALSE)&gt;=(VLOOKUP(VLOOKUP(AD$1,main!$A$3:$I$56,8,FALSE),main!$K$11:$M$14,2,FALSE)+VLOOKUP(VLOOKUP(AD$1,main!$A$3:$I$56,7,FALSE),main!$K$19:$O$22,MATCH(VLOOKUP($A45,main!$A$3:$I$56,8,FALSE),main!$K$18:$O$18,0))))),1,0)</f>
        <v>0</v>
      </c>
      <c r="AE45">
        <f>IF((AND(VLOOKUP(AE$1,main!$A$3:$I$56,5,FALSE)-VLOOKUP($A45,main!$A$3:$I$56,6,FALSE)&gt;=(VLOOKUP(VLOOKUP(AE$1,main!$A$3:$I$56,8,FALSE),main!$K$11:$M$14,2,FALSE)+VLOOKUP(VLOOKUP(AE$1,main!$A$3:$I$56,7,FALSE),main!$K$19:$O$22,MATCH(VLOOKUP($A45,main!$A$3:$I$56,8,FALSE),main!$K$18:$O$18,0))))),1,0)</f>
        <v>0</v>
      </c>
      <c r="AF45">
        <f>IF((AND(VLOOKUP(AF$1,main!$A$3:$I$56,5,FALSE)-VLOOKUP($A45,main!$A$3:$I$56,6,FALSE)&gt;=(VLOOKUP(VLOOKUP(AF$1,main!$A$3:$I$56,8,FALSE),main!$K$11:$M$14,2,FALSE)+VLOOKUP(VLOOKUP(AF$1,main!$A$3:$I$56,7,FALSE),main!$K$19:$O$22,MATCH(VLOOKUP($A45,main!$A$3:$I$56,8,FALSE),main!$K$18:$O$18,0))))),1,0)</f>
        <v>0</v>
      </c>
      <c r="AG45">
        <f>IF((AND(VLOOKUP(AG$1,main!$A$3:$I$56,5,FALSE)-VLOOKUP($A45,main!$A$3:$I$56,6,FALSE)&gt;=(VLOOKUP(VLOOKUP(AG$1,main!$A$3:$I$56,8,FALSE),main!$K$11:$M$14,2,FALSE)+VLOOKUP(VLOOKUP(AG$1,main!$A$3:$I$56,7,FALSE),main!$K$19:$O$22,MATCH(VLOOKUP($A45,main!$A$3:$I$56,8,FALSE),main!$K$18:$O$18,0))))),1,0)</f>
        <v>0</v>
      </c>
      <c r="AH45">
        <f>IF((AND(VLOOKUP(AH$1,main!$A$3:$I$56,5,FALSE)-VLOOKUP($A45,main!$A$3:$I$56,6,FALSE)&gt;=(VLOOKUP(VLOOKUP(AH$1,main!$A$3:$I$56,8,FALSE),main!$K$11:$M$14,2,FALSE)+VLOOKUP(VLOOKUP(AH$1,main!$A$3:$I$56,7,FALSE),main!$K$19:$O$22,MATCH(VLOOKUP($A45,main!$A$3:$I$56,8,FALSE),main!$K$18:$O$18,0))))),1,0)</f>
        <v>0</v>
      </c>
      <c r="AI45">
        <f>IF((AND(VLOOKUP(AI$1,main!$A$3:$I$56,5,FALSE)-VLOOKUP($A45,main!$A$3:$I$56,6,FALSE)&gt;=(VLOOKUP(VLOOKUP(AI$1,main!$A$3:$I$56,8,FALSE),main!$K$11:$M$14,2,FALSE)+VLOOKUP(VLOOKUP(AI$1,main!$A$3:$I$56,7,FALSE),main!$K$19:$O$22,MATCH(VLOOKUP($A45,main!$A$3:$I$56,8,FALSE),main!$K$18:$O$18,0))))),1,0)</f>
        <v>0</v>
      </c>
      <c r="AJ45">
        <f>IF((AND(VLOOKUP(AJ$1,main!$A$3:$I$56,5,FALSE)-VLOOKUP($A45,main!$A$3:$I$56,6,FALSE)&gt;=(VLOOKUP(VLOOKUP(AJ$1,main!$A$3:$I$56,8,FALSE),main!$K$11:$M$14,2,FALSE)+VLOOKUP(VLOOKUP(AJ$1,main!$A$3:$I$56,7,FALSE),main!$K$19:$O$22,MATCH(VLOOKUP($A45,main!$A$3:$I$56,8,FALSE),main!$K$18:$O$18,0))))),1,0)</f>
        <v>0</v>
      </c>
      <c r="AK45">
        <f>IF((AND(VLOOKUP(AK$1,main!$A$3:$I$56,5,FALSE)-VLOOKUP($A45,main!$A$3:$I$56,6,FALSE)&gt;=(VLOOKUP(VLOOKUP(AK$1,main!$A$3:$I$56,8,FALSE),main!$K$11:$M$14,2,FALSE)+VLOOKUP(VLOOKUP(AK$1,main!$A$3:$I$56,7,FALSE),main!$K$19:$O$22,MATCH(VLOOKUP($A45,main!$A$3:$I$56,8,FALSE),main!$K$18:$O$18,0))))),1,0)</f>
        <v>1</v>
      </c>
      <c r="AL45">
        <f>IF((AND(VLOOKUP(AL$1,main!$A$3:$I$56,5,FALSE)-VLOOKUP($A45,main!$A$3:$I$56,6,FALSE)&gt;=(VLOOKUP(VLOOKUP(AL$1,main!$A$3:$I$56,8,FALSE),main!$K$11:$M$14,2,FALSE)+VLOOKUP(VLOOKUP(AL$1,main!$A$3:$I$56,7,FALSE),main!$K$19:$O$22,MATCH(VLOOKUP($A45,main!$A$3:$I$56,8,FALSE),main!$K$18:$O$18,0))))),1,0)</f>
        <v>0</v>
      </c>
      <c r="AM45">
        <f>IF((AND(VLOOKUP(AM$1,main!$A$3:$I$56,5,FALSE)-VLOOKUP($A45,main!$A$3:$I$56,6,FALSE)&gt;=(VLOOKUP(VLOOKUP(AM$1,main!$A$3:$I$56,8,FALSE),main!$K$11:$M$14,2,FALSE)+VLOOKUP(VLOOKUP(AM$1,main!$A$3:$I$56,7,FALSE),main!$K$19:$O$22,MATCH(VLOOKUP($A45,main!$A$3:$I$56,8,FALSE),main!$K$18:$O$18,0))))),1,0)</f>
        <v>0</v>
      </c>
      <c r="AN45">
        <f>IF((AND(VLOOKUP(AN$1,main!$A$3:$I$56,5,FALSE)-VLOOKUP($A45,main!$A$3:$I$56,6,FALSE)&gt;=(VLOOKUP(VLOOKUP(AN$1,main!$A$3:$I$56,8,FALSE),main!$K$11:$M$14,2,FALSE)+VLOOKUP(VLOOKUP(AN$1,main!$A$3:$I$56,7,FALSE),main!$K$19:$O$22,MATCH(VLOOKUP($A45,main!$A$3:$I$56,8,FALSE),main!$K$18:$O$18,0))))),1,0)</f>
        <v>0</v>
      </c>
      <c r="AO45">
        <f>IF((AND(VLOOKUP(AO$1,main!$A$3:$I$56,5,FALSE)-VLOOKUP($A45,main!$A$3:$I$56,6,FALSE)&gt;=(VLOOKUP(VLOOKUP(AO$1,main!$A$3:$I$56,8,FALSE),main!$K$11:$M$14,2,FALSE)+VLOOKUP(VLOOKUP(AO$1,main!$A$3:$I$56,7,FALSE),main!$K$19:$O$22,MATCH(VLOOKUP($A45,main!$A$3:$I$56,8,FALSE),main!$K$18:$O$18,0))))),1,0)</f>
        <v>1</v>
      </c>
      <c r="AP45">
        <f>IF((AND(VLOOKUP(AP$1,main!$A$3:$I$56,5,FALSE)-VLOOKUP($A45,main!$A$3:$I$56,6,FALSE)&gt;=(VLOOKUP(VLOOKUP(AP$1,main!$A$3:$I$56,8,FALSE),main!$K$11:$M$14,2,FALSE)+VLOOKUP(VLOOKUP(AP$1,main!$A$3:$I$56,7,FALSE),main!$K$19:$O$22,MATCH(VLOOKUP($A45,main!$A$3:$I$56,8,FALSE),main!$K$18:$O$18,0))))),1,0)</f>
        <v>0</v>
      </c>
      <c r="AQ45">
        <f>IF((AND(VLOOKUP(AQ$1,main!$A$3:$I$56,5,FALSE)-VLOOKUP($A45,main!$A$3:$I$56,6,FALSE)&gt;=(VLOOKUP(VLOOKUP(AQ$1,main!$A$3:$I$56,8,FALSE),main!$K$11:$M$14,2,FALSE)+VLOOKUP(VLOOKUP(AQ$1,main!$A$3:$I$56,7,FALSE),main!$K$19:$O$22,MATCH(VLOOKUP($A45,main!$A$3:$I$56,8,FALSE),main!$K$18:$O$18,0))))),1,0)</f>
        <v>0</v>
      </c>
      <c r="AR45">
        <f>IF((AND(VLOOKUP(AR$1,main!$A$3:$I$56,5,FALSE)-VLOOKUP($A45,main!$A$3:$I$56,6,FALSE)&gt;=(VLOOKUP(VLOOKUP(AR$1,main!$A$3:$I$56,8,FALSE),main!$K$11:$M$14,2,FALSE)+VLOOKUP(VLOOKUP(AR$1,main!$A$3:$I$56,7,FALSE),main!$K$19:$O$22,MATCH(VLOOKUP($A45,main!$A$3:$I$56,8,FALSE),main!$K$18:$O$18,0))))),1,0)</f>
        <v>0</v>
      </c>
      <c r="AS45">
        <f>IF((AND(VLOOKUP(AS$1,main!$A$3:$I$56,5,FALSE)-VLOOKUP($A45,main!$A$3:$I$56,6,FALSE)&gt;=(VLOOKUP(VLOOKUP(AS$1,main!$A$3:$I$56,8,FALSE),main!$K$11:$M$14,2,FALSE)+VLOOKUP(VLOOKUP(AS$1,main!$A$3:$I$56,7,FALSE),main!$K$19:$O$22,MATCH(VLOOKUP($A45,main!$A$3:$I$56,8,FALSE),main!$K$18:$O$18,0))))),1,0)</f>
        <v>0</v>
      </c>
      <c r="AT45">
        <f>IF((AND(VLOOKUP(AT$1,main!$A$3:$I$56,5,FALSE)-VLOOKUP($A45,main!$A$3:$I$56,6,FALSE)&gt;=(VLOOKUP(VLOOKUP(AT$1,main!$A$3:$I$56,8,FALSE),main!$K$11:$M$14,2,FALSE)+VLOOKUP(VLOOKUP(AT$1,main!$A$3:$I$56,7,FALSE),main!$K$19:$O$22,MATCH(VLOOKUP($A45,main!$A$3:$I$56,8,FALSE),main!$K$18:$O$18,0))))),1,0)</f>
        <v>0</v>
      </c>
      <c r="AU45">
        <f>IF((AND(VLOOKUP(AU$1,main!$A$3:$I$56,5,FALSE)-VLOOKUP($A45,main!$A$3:$I$56,6,FALSE)&gt;=(VLOOKUP(VLOOKUP(AU$1,main!$A$3:$I$56,8,FALSE),main!$K$11:$M$14,2,FALSE)+VLOOKUP(VLOOKUP(AU$1,main!$A$3:$I$56,7,FALSE),main!$K$19:$O$22,MATCH(VLOOKUP($A45,main!$A$3:$I$56,8,FALSE),main!$K$18:$O$18,0))))),1,0)</f>
        <v>0</v>
      </c>
      <c r="AV45">
        <f>IF((AND(VLOOKUP(AV$1,main!$A$3:$I$56,5,FALSE)-VLOOKUP($A45,main!$A$3:$I$56,6,FALSE)&gt;=(VLOOKUP(VLOOKUP(AV$1,main!$A$3:$I$56,8,FALSE),main!$K$11:$M$14,2,FALSE)+VLOOKUP(VLOOKUP(AV$1,main!$A$3:$I$56,7,FALSE),main!$K$19:$O$22,MATCH(VLOOKUP($A45,main!$A$3:$I$56,8,FALSE),main!$K$18:$O$18,0))))),1,0)</f>
        <v>0</v>
      </c>
      <c r="AW45">
        <f>IF((AND(VLOOKUP(AW$1,main!$A$3:$I$56,5,FALSE)-VLOOKUP($A45,main!$A$3:$I$56,6,FALSE)&gt;=(VLOOKUP(VLOOKUP(AW$1,main!$A$3:$I$56,8,FALSE),main!$K$11:$M$14,2,FALSE)+VLOOKUP(VLOOKUP(AW$1,main!$A$3:$I$56,7,FALSE),main!$K$19:$O$22,MATCH(VLOOKUP($A45,main!$A$3:$I$56,8,FALSE),main!$K$18:$O$18,0))))),1,0)</f>
        <v>0</v>
      </c>
      <c r="AX45">
        <f>IF((AND(VLOOKUP(AX$1,main!$A$3:$I$56,5,FALSE)-VLOOKUP($A45,main!$A$3:$I$56,6,FALSE)&gt;=(VLOOKUP(VLOOKUP(AX$1,main!$A$3:$I$56,8,FALSE),main!$K$11:$M$14,2,FALSE)+VLOOKUP(VLOOKUP(AX$1,main!$A$3:$I$56,7,FALSE),main!$K$19:$O$22,MATCH(VLOOKUP($A45,main!$A$3:$I$56,8,FALSE),main!$K$18:$O$18,0))))),1,0)</f>
        <v>1</v>
      </c>
      <c r="AY45">
        <f>IF((AND(VLOOKUP(AY$1,main!$A$3:$I$56,5,FALSE)-VLOOKUP($A45,main!$A$3:$I$56,6,FALSE)&gt;=(VLOOKUP(VLOOKUP(AY$1,main!$A$3:$I$56,8,FALSE),main!$K$11:$M$14,2,FALSE)+VLOOKUP(VLOOKUP(AY$1,main!$A$3:$I$56,7,FALSE),main!$K$19:$O$22,MATCH(VLOOKUP($A45,main!$A$3:$I$56,8,FALSE),main!$K$18:$O$18,0))))),1,0)</f>
        <v>1</v>
      </c>
      <c r="AZ45">
        <f>IF((AND(VLOOKUP(AZ$1,main!$A$3:$I$56,5,FALSE)-VLOOKUP($A45,main!$A$3:$I$56,6,FALSE)&gt;=(VLOOKUP(VLOOKUP(AZ$1,main!$A$3:$I$56,8,FALSE),main!$K$11:$M$14,2,FALSE)+VLOOKUP(VLOOKUP(AZ$1,main!$A$3:$I$56,7,FALSE),main!$K$19:$O$22,MATCH(VLOOKUP($A45,main!$A$3:$I$56,8,FALSE),main!$K$18:$O$18,0))))),1,0)</f>
        <v>0</v>
      </c>
      <c r="BA45">
        <f>IF((AND(VLOOKUP(BA$1,main!$A$3:$I$56,5,FALSE)-VLOOKUP($A45,main!$A$3:$I$56,6,FALSE)&gt;=(VLOOKUP(VLOOKUP(BA$1,main!$A$3:$I$56,8,FALSE),main!$K$11:$M$14,2,FALSE)+VLOOKUP(VLOOKUP(BA$1,main!$A$3:$I$56,7,FALSE),main!$K$19:$O$22,MATCH(VLOOKUP($A45,main!$A$3:$I$56,8,FALSE),main!$K$18:$O$18,0))))),1,0)</f>
        <v>0</v>
      </c>
      <c r="BB45">
        <f>IF((AND(VLOOKUP(BB$1,main!$A$3:$I$56,5,FALSE)-VLOOKUP($A45,main!$A$3:$I$56,6,FALSE)&gt;=(VLOOKUP(VLOOKUP(BB$1,main!$A$3:$I$56,8,FALSE),main!$K$11:$M$14,2,FALSE)+VLOOKUP(VLOOKUP(BB$1,main!$A$3:$I$56,7,FALSE),main!$K$19:$O$22,MATCH(VLOOKUP($A45,main!$A$3:$I$56,8,FALSE),main!$K$18:$O$18,0))))),1,0)</f>
        <v>0</v>
      </c>
      <c r="BC45">
        <f>IF((AND(VLOOKUP(BC$1,main!$A$3:$I$56,5,FALSE)-VLOOKUP($A45,main!$A$3:$I$56,6,FALSE)&gt;=(VLOOKUP(VLOOKUP(BC$1,main!$A$3:$I$56,8,FALSE),main!$K$11:$M$14,2,FALSE)+VLOOKUP(VLOOKUP(BC$1,main!$A$3:$I$56,7,FALSE),main!$K$19:$O$22,MATCH(VLOOKUP($A45,main!$A$3:$I$56,8,FALSE),main!$K$18:$O$18,0))))),1,0)</f>
        <v>1</v>
      </c>
      <c r="BD45">
        <f>IF((AND(VLOOKUP(BD$1,main!$A$3:$I$56,5,FALSE)-VLOOKUP($A45,main!$A$3:$I$56,6,FALSE)&gt;=(VLOOKUP(VLOOKUP(BD$1,main!$A$3:$I$56,8,FALSE),main!$K$11:$M$14,2,FALSE)+VLOOKUP(VLOOKUP(BD$1,main!$A$3:$I$56,7,FALSE),main!$K$19:$O$22,MATCH(VLOOKUP($A45,main!$A$3:$I$56,8,FALSE),main!$K$18:$O$18,0))))),1,0)</f>
        <v>1</v>
      </c>
    </row>
    <row r="46" spans="1:56" x14ac:dyDescent="0.25">
      <c r="A46">
        <f t="shared" si="0"/>
        <v>44</v>
      </c>
      <c r="B46">
        <v>1</v>
      </c>
      <c r="C46">
        <f>IF((AND(VLOOKUP(C$1,main!$A$3:$I$56,5,FALSE)-VLOOKUP($A46,main!$A$3:$I$56,6,FALSE)&gt;=(VLOOKUP(VLOOKUP(C$1,main!$A$3:$I$56,8,FALSE),main!$K$11:$M$14,2,FALSE)+VLOOKUP(VLOOKUP(C$1,main!$A$3:$I$56,7,FALSE),main!$K$19:$O$22,MATCH(VLOOKUP($A46,main!$A$3:$I$56,8,FALSE),main!$K$18:$O$18,0))))),1,0)</f>
        <v>0</v>
      </c>
      <c r="D46">
        <f>IF((AND(VLOOKUP(D$1,main!$A$3:$I$56,5,FALSE)-VLOOKUP($A46,main!$A$3:$I$56,6,FALSE)&gt;=(VLOOKUP(VLOOKUP(D$1,main!$A$3:$I$56,8,FALSE),main!$K$11:$M$14,2,FALSE)+VLOOKUP(VLOOKUP(D$1,main!$A$3:$I$56,7,FALSE),main!$K$19:$O$22,MATCH(VLOOKUP($A46,main!$A$3:$I$56,8,FALSE),main!$K$18:$O$18,0))))),1,0)</f>
        <v>0</v>
      </c>
      <c r="E46">
        <f>IF((AND(VLOOKUP(E$1,main!$A$3:$I$56,5,FALSE)-VLOOKUP($A46,main!$A$3:$I$56,6,FALSE)&gt;=(VLOOKUP(VLOOKUP(E$1,main!$A$3:$I$56,8,FALSE),main!$K$11:$M$14,2,FALSE)+VLOOKUP(VLOOKUP(E$1,main!$A$3:$I$56,7,FALSE),main!$K$19:$O$22,MATCH(VLOOKUP($A46,main!$A$3:$I$56,8,FALSE),main!$K$18:$O$18,0))))),1,0)</f>
        <v>0</v>
      </c>
      <c r="F46">
        <f>IF((AND(VLOOKUP(F$1,main!$A$3:$I$56,5,FALSE)-VLOOKUP($A46,main!$A$3:$I$56,6,FALSE)&gt;=(VLOOKUP(VLOOKUP(F$1,main!$A$3:$I$56,8,FALSE),main!$K$11:$M$14,2,FALSE)+VLOOKUP(VLOOKUP(F$1,main!$A$3:$I$56,7,FALSE),main!$K$19:$O$22,MATCH(VLOOKUP($A46,main!$A$3:$I$56,8,FALSE),main!$K$18:$O$18,0))))),1,0)</f>
        <v>0</v>
      </c>
      <c r="G46">
        <f>IF((AND(VLOOKUP(G$1,main!$A$3:$I$56,5,FALSE)-VLOOKUP($A46,main!$A$3:$I$56,6,FALSE)&gt;=(VLOOKUP(VLOOKUP(G$1,main!$A$3:$I$56,8,FALSE),main!$K$11:$M$14,2,FALSE)+VLOOKUP(VLOOKUP(G$1,main!$A$3:$I$56,7,FALSE),main!$K$19:$O$22,MATCH(VLOOKUP($A46,main!$A$3:$I$56,8,FALSE),main!$K$18:$O$18,0))))),1,0)</f>
        <v>0</v>
      </c>
      <c r="H46">
        <f>IF((AND(VLOOKUP(H$1,main!$A$3:$I$56,5,FALSE)-VLOOKUP($A46,main!$A$3:$I$56,6,FALSE)&gt;=(VLOOKUP(VLOOKUP(H$1,main!$A$3:$I$56,8,FALSE),main!$K$11:$M$14,2,FALSE)+VLOOKUP(VLOOKUP(H$1,main!$A$3:$I$56,7,FALSE),main!$K$19:$O$22,MATCH(VLOOKUP($A46,main!$A$3:$I$56,8,FALSE),main!$K$18:$O$18,0))))),1,0)</f>
        <v>1</v>
      </c>
      <c r="I46">
        <f>IF((AND(VLOOKUP(I$1,main!$A$3:$I$56,5,FALSE)-VLOOKUP($A46,main!$A$3:$I$56,6,FALSE)&gt;=(VLOOKUP(VLOOKUP(I$1,main!$A$3:$I$56,8,FALSE),main!$K$11:$M$14,2,FALSE)+VLOOKUP(VLOOKUP(I$1,main!$A$3:$I$56,7,FALSE),main!$K$19:$O$22,MATCH(VLOOKUP($A46,main!$A$3:$I$56,8,FALSE),main!$K$18:$O$18,0))))),1,0)</f>
        <v>1</v>
      </c>
      <c r="J46">
        <f>IF((AND(VLOOKUP(J$1,main!$A$3:$I$56,5,FALSE)-VLOOKUP($A46,main!$A$3:$I$56,6,FALSE)&gt;=(VLOOKUP(VLOOKUP(J$1,main!$A$3:$I$56,8,FALSE),main!$K$11:$M$14,2,FALSE)+VLOOKUP(VLOOKUP(J$1,main!$A$3:$I$56,7,FALSE),main!$K$19:$O$22,MATCH(VLOOKUP($A46,main!$A$3:$I$56,8,FALSE),main!$K$18:$O$18,0))))),1,0)</f>
        <v>1</v>
      </c>
      <c r="K46">
        <f>IF((AND(VLOOKUP(K$1,main!$A$3:$I$56,5,FALSE)-VLOOKUP($A46,main!$A$3:$I$56,6,FALSE)&gt;=(VLOOKUP(VLOOKUP(K$1,main!$A$3:$I$56,8,FALSE),main!$K$11:$M$14,2,FALSE)+VLOOKUP(VLOOKUP(K$1,main!$A$3:$I$56,7,FALSE),main!$K$19:$O$22,MATCH(VLOOKUP($A46,main!$A$3:$I$56,8,FALSE),main!$K$18:$O$18,0))))),1,0)</f>
        <v>0</v>
      </c>
      <c r="L46">
        <f>IF((AND(VLOOKUP(L$1,main!$A$3:$I$56,5,FALSE)-VLOOKUP($A46,main!$A$3:$I$56,6,FALSE)&gt;=(VLOOKUP(VLOOKUP(L$1,main!$A$3:$I$56,8,FALSE),main!$K$11:$M$14,2,FALSE)+VLOOKUP(VLOOKUP(L$1,main!$A$3:$I$56,7,FALSE),main!$K$19:$O$22,MATCH(VLOOKUP($A46,main!$A$3:$I$56,8,FALSE),main!$K$18:$O$18,0))))),1,0)</f>
        <v>0</v>
      </c>
      <c r="M46">
        <f>IF((AND(VLOOKUP(M$1,main!$A$3:$I$56,5,FALSE)-VLOOKUP($A46,main!$A$3:$I$56,6,FALSE)&gt;=(VLOOKUP(VLOOKUP(M$1,main!$A$3:$I$56,8,FALSE),main!$K$11:$M$14,2,FALSE)+VLOOKUP(VLOOKUP(M$1,main!$A$3:$I$56,7,FALSE),main!$K$19:$O$22,MATCH(VLOOKUP($A46,main!$A$3:$I$56,8,FALSE),main!$K$18:$O$18,0))))),1,0)</f>
        <v>0</v>
      </c>
      <c r="N46">
        <f>IF((AND(VLOOKUP(N$1,main!$A$3:$I$56,5,FALSE)-VLOOKUP($A46,main!$A$3:$I$56,6,FALSE)&gt;=(VLOOKUP(VLOOKUP(N$1,main!$A$3:$I$56,8,FALSE),main!$K$11:$M$14,2,FALSE)+VLOOKUP(VLOOKUP(N$1,main!$A$3:$I$56,7,FALSE),main!$K$19:$O$22,MATCH(VLOOKUP($A46,main!$A$3:$I$56,8,FALSE),main!$K$18:$O$18,0))))),1,0)</f>
        <v>1</v>
      </c>
      <c r="O46">
        <f>IF((AND(VLOOKUP(O$1,main!$A$3:$I$56,5,FALSE)-VLOOKUP($A46,main!$A$3:$I$56,6,FALSE)&gt;=(VLOOKUP(VLOOKUP(O$1,main!$A$3:$I$56,8,FALSE),main!$K$11:$M$14,2,FALSE)+VLOOKUP(VLOOKUP(O$1,main!$A$3:$I$56,7,FALSE),main!$K$19:$O$22,MATCH(VLOOKUP($A46,main!$A$3:$I$56,8,FALSE),main!$K$18:$O$18,0))))),1,0)</f>
        <v>1</v>
      </c>
      <c r="P46">
        <f>IF((AND(VLOOKUP(P$1,main!$A$3:$I$56,5,FALSE)-VLOOKUP($A46,main!$A$3:$I$56,6,FALSE)&gt;=(VLOOKUP(VLOOKUP(P$1,main!$A$3:$I$56,8,FALSE),main!$K$11:$M$14,2,FALSE)+VLOOKUP(VLOOKUP(P$1,main!$A$3:$I$56,7,FALSE),main!$K$19:$O$22,MATCH(VLOOKUP($A46,main!$A$3:$I$56,8,FALSE),main!$K$18:$O$18,0))))),1,0)</f>
        <v>0</v>
      </c>
      <c r="Q46">
        <f>IF((AND(VLOOKUP(Q$1,main!$A$3:$I$56,5,FALSE)-VLOOKUP($A46,main!$A$3:$I$56,6,FALSE)&gt;=(VLOOKUP(VLOOKUP(Q$1,main!$A$3:$I$56,8,FALSE),main!$K$11:$M$14,2,FALSE)+VLOOKUP(VLOOKUP(Q$1,main!$A$3:$I$56,7,FALSE),main!$K$19:$O$22,MATCH(VLOOKUP($A46,main!$A$3:$I$56,8,FALSE),main!$K$18:$O$18,0))))),1,0)</f>
        <v>0</v>
      </c>
      <c r="R46">
        <f>IF((AND(VLOOKUP(R$1,main!$A$3:$I$56,5,FALSE)-VLOOKUP($A46,main!$A$3:$I$56,6,FALSE)&gt;=(VLOOKUP(VLOOKUP(R$1,main!$A$3:$I$56,8,FALSE),main!$K$11:$M$14,2,FALSE)+VLOOKUP(VLOOKUP(R$1,main!$A$3:$I$56,7,FALSE),main!$K$19:$O$22,MATCH(VLOOKUP($A46,main!$A$3:$I$56,8,FALSE),main!$K$18:$O$18,0))))),1,0)</f>
        <v>0</v>
      </c>
      <c r="S46">
        <f>IF((AND(VLOOKUP(S$1,main!$A$3:$I$56,5,FALSE)-VLOOKUP($A46,main!$A$3:$I$56,6,FALSE)&gt;=(VLOOKUP(VLOOKUP(S$1,main!$A$3:$I$56,8,FALSE),main!$K$11:$M$14,2,FALSE)+VLOOKUP(VLOOKUP(S$1,main!$A$3:$I$56,7,FALSE),main!$K$19:$O$22,MATCH(VLOOKUP($A46,main!$A$3:$I$56,8,FALSE),main!$K$18:$O$18,0))))),1,0)</f>
        <v>0</v>
      </c>
      <c r="T46">
        <f>IF((AND(VLOOKUP(T$1,main!$A$3:$I$56,5,FALSE)-VLOOKUP($A46,main!$A$3:$I$56,6,FALSE)&gt;=(VLOOKUP(VLOOKUP(T$1,main!$A$3:$I$56,8,FALSE),main!$K$11:$M$14,2,FALSE)+VLOOKUP(VLOOKUP(T$1,main!$A$3:$I$56,7,FALSE),main!$K$19:$O$22,MATCH(VLOOKUP($A46,main!$A$3:$I$56,8,FALSE),main!$K$18:$O$18,0))))),1,0)</f>
        <v>1</v>
      </c>
      <c r="U46">
        <f>IF((AND(VLOOKUP(U$1,main!$A$3:$I$56,5,FALSE)-VLOOKUP($A46,main!$A$3:$I$56,6,FALSE)&gt;=(VLOOKUP(VLOOKUP(U$1,main!$A$3:$I$56,8,FALSE),main!$K$11:$M$14,2,FALSE)+VLOOKUP(VLOOKUP(U$1,main!$A$3:$I$56,7,FALSE),main!$K$19:$O$22,MATCH(VLOOKUP($A46,main!$A$3:$I$56,8,FALSE),main!$K$18:$O$18,0))))),1,0)</f>
        <v>0</v>
      </c>
      <c r="V46">
        <f>IF((AND(VLOOKUP(V$1,main!$A$3:$I$56,5,FALSE)-VLOOKUP($A46,main!$A$3:$I$56,6,FALSE)&gt;=(VLOOKUP(VLOOKUP(V$1,main!$A$3:$I$56,8,FALSE),main!$K$11:$M$14,2,FALSE)+VLOOKUP(VLOOKUP(V$1,main!$A$3:$I$56,7,FALSE),main!$K$19:$O$22,MATCH(VLOOKUP($A46,main!$A$3:$I$56,8,FALSE),main!$K$18:$O$18,0))))),1,0)</f>
        <v>0</v>
      </c>
      <c r="W46">
        <f>IF((AND(VLOOKUP(W$1,main!$A$3:$I$56,5,FALSE)-VLOOKUP($A46,main!$A$3:$I$56,6,FALSE)&gt;=(VLOOKUP(VLOOKUP(W$1,main!$A$3:$I$56,8,FALSE),main!$K$11:$M$14,2,FALSE)+VLOOKUP(VLOOKUP(W$1,main!$A$3:$I$56,7,FALSE),main!$K$19:$O$22,MATCH(VLOOKUP($A46,main!$A$3:$I$56,8,FALSE),main!$K$18:$O$18,0))))),1,0)</f>
        <v>0</v>
      </c>
      <c r="X46">
        <f>IF((AND(VLOOKUP(X$1,main!$A$3:$I$56,5,FALSE)-VLOOKUP($A46,main!$A$3:$I$56,6,FALSE)&gt;=(VLOOKUP(VLOOKUP(X$1,main!$A$3:$I$56,8,FALSE),main!$K$11:$M$14,2,FALSE)+VLOOKUP(VLOOKUP(X$1,main!$A$3:$I$56,7,FALSE),main!$K$19:$O$22,MATCH(VLOOKUP($A46,main!$A$3:$I$56,8,FALSE),main!$K$18:$O$18,0))))),1,0)</f>
        <v>0</v>
      </c>
      <c r="Y46">
        <f>IF((AND(VLOOKUP(Y$1,main!$A$3:$I$56,5,FALSE)-VLOOKUP($A46,main!$A$3:$I$56,6,FALSE)&gt;=(VLOOKUP(VLOOKUP(Y$1,main!$A$3:$I$56,8,FALSE),main!$K$11:$M$14,2,FALSE)+VLOOKUP(VLOOKUP(Y$1,main!$A$3:$I$56,7,FALSE),main!$K$19:$O$22,MATCH(VLOOKUP($A46,main!$A$3:$I$56,8,FALSE),main!$K$18:$O$18,0))))),1,0)</f>
        <v>0</v>
      </c>
      <c r="Z46">
        <f>IF((AND(VLOOKUP(Z$1,main!$A$3:$I$56,5,FALSE)-VLOOKUP($A46,main!$A$3:$I$56,6,FALSE)&gt;=(VLOOKUP(VLOOKUP(Z$1,main!$A$3:$I$56,8,FALSE),main!$K$11:$M$14,2,FALSE)+VLOOKUP(VLOOKUP(Z$1,main!$A$3:$I$56,7,FALSE),main!$K$19:$O$22,MATCH(VLOOKUP($A46,main!$A$3:$I$56,8,FALSE),main!$K$18:$O$18,0))))),1,0)</f>
        <v>0</v>
      </c>
      <c r="AA46">
        <f>IF((AND(VLOOKUP(AA$1,main!$A$3:$I$56,5,FALSE)-VLOOKUP($A46,main!$A$3:$I$56,6,FALSE)&gt;=(VLOOKUP(VLOOKUP(AA$1,main!$A$3:$I$56,8,FALSE),main!$K$11:$M$14,2,FALSE)+VLOOKUP(VLOOKUP(AA$1,main!$A$3:$I$56,7,FALSE),main!$K$19:$O$22,MATCH(VLOOKUP($A46,main!$A$3:$I$56,8,FALSE),main!$K$18:$O$18,0))))),1,0)</f>
        <v>1</v>
      </c>
      <c r="AB46">
        <f>IF((AND(VLOOKUP(AB$1,main!$A$3:$I$56,5,FALSE)-VLOOKUP($A46,main!$A$3:$I$56,6,FALSE)&gt;=(VLOOKUP(VLOOKUP(AB$1,main!$A$3:$I$56,8,FALSE),main!$K$11:$M$14,2,FALSE)+VLOOKUP(VLOOKUP(AB$1,main!$A$3:$I$56,7,FALSE),main!$K$19:$O$22,MATCH(VLOOKUP($A46,main!$A$3:$I$56,8,FALSE),main!$K$18:$O$18,0))))),1,0)</f>
        <v>1</v>
      </c>
      <c r="AC46">
        <f>IF((AND(VLOOKUP(AC$1,main!$A$3:$I$56,5,FALSE)-VLOOKUP($A46,main!$A$3:$I$56,6,FALSE)&gt;=(VLOOKUP(VLOOKUP(AC$1,main!$A$3:$I$56,8,FALSE),main!$K$11:$M$14,2,FALSE)+VLOOKUP(VLOOKUP(AC$1,main!$A$3:$I$56,7,FALSE),main!$K$19:$O$22,MATCH(VLOOKUP($A46,main!$A$3:$I$56,8,FALSE),main!$K$18:$O$18,0))))),1,0)</f>
        <v>0</v>
      </c>
      <c r="AD46">
        <f>IF((AND(VLOOKUP(AD$1,main!$A$3:$I$56,5,FALSE)-VLOOKUP($A46,main!$A$3:$I$56,6,FALSE)&gt;=(VLOOKUP(VLOOKUP(AD$1,main!$A$3:$I$56,8,FALSE),main!$K$11:$M$14,2,FALSE)+VLOOKUP(VLOOKUP(AD$1,main!$A$3:$I$56,7,FALSE),main!$K$19:$O$22,MATCH(VLOOKUP($A46,main!$A$3:$I$56,8,FALSE),main!$K$18:$O$18,0))))),1,0)</f>
        <v>0</v>
      </c>
      <c r="AE46">
        <f>IF((AND(VLOOKUP(AE$1,main!$A$3:$I$56,5,FALSE)-VLOOKUP($A46,main!$A$3:$I$56,6,FALSE)&gt;=(VLOOKUP(VLOOKUP(AE$1,main!$A$3:$I$56,8,FALSE),main!$K$11:$M$14,2,FALSE)+VLOOKUP(VLOOKUP(AE$1,main!$A$3:$I$56,7,FALSE),main!$K$19:$O$22,MATCH(VLOOKUP($A46,main!$A$3:$I$56,8,FALSE),main!$K$18:$O$18,0))))),1,0)</f>
        <v>0</v>
      </c>
      <c r="AF46">
        <f>IF((AND(VLOOKUP(AF$1,main!$A$3:$I$56,5,FALSE)-VLOOKUP($A46,main!$A$3:$I$56,6,FALSE)&gt;=(VLOOKUP(VLOOKUP(AF$1,main!$A$3:$I$56,8,FALSE),main!$K$11:$M$14,2,FALSE)+VLOOKUP(VLOOKUP(AF$1,main!$A$3:$I$56,7,FALSE),main!$K$19:$O$22,MATCH(VLOOKUP($A46,main!$A$3:$I$56,8,FALSE),main!$K$18:$O$18,0))))),1,0)</f>
        <v>0</v>
      </c>
      <c r="AG46">
        <f>IF((AND(VLOOKUP(AG$1,main!$A$3:$I$56,5,FALSE)-VLOOKUP($A46,main!$A$3:$I$56,6,FALSE)&gt;=(VLOOKUP(VLOOKUP(AG$1,main!$A$3:$I$56,8,FALSE),main!$K$11:$M$14,2,FALSE)+VLOOKUP(VLOOKUP(AG$1,main!$A$3:$I$56,7,FALSE),main!$K$19:$O$22,MATCH(VLOOKUP($A46,main!$A$3:$I$56,8,FALSE),main!$K$18:$O$18,0))))),1,0)</f>
        <v>0</v>
      </c>
      <c r="AH46">
        <f>IF((AND(VLOOKUP(AH$1,main!$A$3:$I$56,5,FALSE)-VLOOKUP($A46,main!$A$3:$I$56,6,FALSE)&gt;=(VLOOKUP(VLOOKUP(AH$1,main!$A$3:$I$56,8,FALSE),main!$K$11:$M$14,2,FALSE)+VLOOKUP(VLOOKUP(AH$1,main!$A$3:$I$56,7,FALSE),main!$K$19:$O$22,MATCH(VLOOKUP($A46,main!$A$3:$I$56,8,FALSE),main!$K$18:$O$18,0))))),1,0)</f>
        <v>0</v>
      </c>
      <c r="AI46">
        <f>IF((AND(VLOOKUP(AI$1,main!$A$3:$I$56,5,FALSE)-VLOOKUP($A46,main!$A$3:$I$56,6,FALSE)&gt;=(VLOOKUP(VLOOKUP(AI$1,main!$A$3:$I$56,8,FALSE),main!$K$11:$M$14,2,FALSE)+VLOOKUP(VLOOKUP(AI$1,main!$A$3:$I$56,7,FALSE),main!$K$19:$O$22,MATCH(VLOOKUP($A46,main!$A$3:$I$56,8,FALSE),main!$K$18:$O$18,0))))),1,0)</f>
        <v>0</v>
      </c>
      <c r="AJ46">
        <f>IF((AND(VLOOKUP(AJ$1,main!$A$3:$I$56,5,FALSE)-VLOOKUP($A46,main!$A$3:$I$56,6,FALSE)&gt;=(VLOOKUP(VLOOKUP(AJ$1,main!$A$3:$I$56,8,FALSE),main!$K$11:$M$14,2,FALSE)+VLOOKUP(VLOOKUP(AJ$1,main!$A$3:$I$56,7,FALSE),main!$K$19:$O$22,MATCH(VLOOKUP($A46,main!$A$3:$I$56,8,FALSE),main!$K$18:$O$18,0))))),1,0)</f>
        <v>0</v>
      </c>
      <c r="AK46">
        <f>IF((AND(VLOOKUP(AK$1,main!$A$3:$I$56,5,FALSE)-VLOOKUP($A46,main!$A$3:$I$56,6,FALSE)&gt;=(VLOOKUP(VLOOKUP(AK$1,main!$A$3:$I$56,8,FALSE),main!$K$11:$M$14,2,FALSE)+VLOOKUP(VLOOKUP(AK$1,main!$A$3:$I$56,7,FALSE),main!$K$19:$O$22,MATCH(VLOOKUP($A46,main!$A$3:$I$56,8,FALSE),main!$K$18:$O$18,0))))),1,0)</f>
        <v>1</v>
      </c>
      <c r="AL46">
        <f>IF((AND(VLOOKUP(AL$1,main!$A$3:$I$56,5,FALSE)-VLOOKUP($A46,main!$A$3:$I$56,6,FALSE)&gt;=(VLOOKUP(VLOOKUP(AL$1,main!$A$3:$I$56,8,FALSE),main!$K$11:$M$14,2,FALSE)+VLOOKUP(VLOOKUP(AL$1,main!$A$3:$I$56,7,FALSE),main!$K$19:$O$22,MATCH(VLOOKUP($A46,main!$A$3:$I$56,8,FALSE),main!$K$18:$O$18,0))))),1,0)</f>
        <v>0</v>
      </c>
      <c r="AM46">
        <f>IF((AND(VLOOKUP(AM$1,main!$A$3:$I$56,5,FALSE)-VLOOKUP($A46,main!$A$3:$I$56,6,FALSE)&gt;=(VLOOKUP(VLOOKUP(AM$1,main!$A$3:$I$56,8,FALSE),main!$K$11:$M$14,2,FALSE)+VLOOKUP(VLOOKUP(AM$1,main!$A$3:$I$56,7,FALSE),main!$K$19:$O$22,MATCH(VLOOKUP($A46,main!$A$3:$I$56,8,FALSE),main!$K$18:$O$18,0))))),1,0)</f>
        <v>0</v>
      </c>
      <c r="AN46">
        <f>IF((AND(VLOOKUP(AN$1,main!$A$3:$I$56,5,FALSE)-VLOOKUP($A46,main!$A$3:$I$56,6,FALSE)&gt;=(VLOOKUP(VLOOKUP(AN$1,main!$A$3:$I$56,8,FALSE),main!$K$11:$M$14,2,FALSE)+VLOOKUP(VLOOKUP(AN$1,main!$A$3:$I$56,7,FALSE),main!$K$19:$O$22,MATCH(VLOOKUP($A46,main!$A$3:$I$56,8,FALSE),main!$K$18:$O$18,0))))),1,0)</f>
        <v>0</v>
      </c>
      <c r="AO46">
        <f>IF((AND(VLOOKUP(AO$1,main!$A$3:$I$56,5,FALSE)-VLOOKUP($A46,main!$A$3:$I$56,6,FALSE)&gt;=(VLOOKUP(VLOOKUP(AO$1,main!$A$3:$I$56,8,FALSE),main!$K$11:$M$14,2,FALSE)+VLOOKUP(VLOOKUP(AO$1,main!$A$3:$I$56,7,FALSE),main!$K$19:$O$22,MATCH(VLOOKUP($A46,main!$A$3:$I$56,8,FALSE),main!$K$18:$O$18,0))))),1,0)</f>
        <v>0</v>
      </c>
      <c r="AP46">
        <f>IF((AND(VLOOKUP(AP$1,main!$A$3:$I$56,5,FALSE)-VLOOKUP($A46,main!$A$3:$I$56,6,FALSE)&gt;=(VLOOKUP(VLOOKUP(AP$1,main!$A$3:$I$56,8,FALSE),main!$K$11:$M$14,2,FALSE)+VLOOKUP(VLOOKUP(AP$1,main!$A$3:$I$56,7,FALSE),main!$K$19:$O$22,MATCH(VLOOKUP($A46,main!$A$3:$I$56,8,FALSE),main!$K$18:$O$18,0))))),1,0)</f>
        <v>0</v>
      </c>
      <c r="AQ46">
        <f>IF((AND(VLOOKUP(AQ$1,main!$A$3:$I$56,5,FALSE)-VLOOKUP($A46,main!$A$3:$I$56,6,FALSE)&gt;=(VLOOKUP(VLOOKUP(AQ$1,main!$A$3:$I$56,8,FALSE),main!$K$11:$M$14,2,FALSE)+VLOOKUP(VLOOKUP(AQ$1,main!$A$3:$I$56,7,FALSE),main!$K$19:$O$22,MATCH(VLOOKUP($A46,main!$A$3:$I$56,8,FALSE),main!$K$18:$O$18,0))))),1,0)</f>
        <v>0</v>
      </c>
      <c r="AR46">
        <f>IF((AND(VLOOKUP(AR$1,main!$A$3:$I$56,5,FALSE)-VLOOKUP($A46,main!$A$3:$I$56,6,FALSE)&gt;=(VLOOKUP(VLOOKUP(AR$1,main!$A$3:$I$56,8,FALSE),main!$K$11:$M$14,2,FALSE)+VLOOKUP(VLOOKUP(AR$1,main!$A$3:$I$56,7,FALSE),main!$K$19:$O$22,MATCH(VLOOKUP($A46,main!$A$3:$I$56,8,FALSE),main!$K$18:$O$18,0))))),1,0)</f>
        <v>0</v>
      </c>
      <c r="AS46">
        <f>IF((AND(VLOOKUP(AS$1,main!$A$3:$I$56,5,FALSE)-VLOOKUP($A46,main!$A$3:$I$56,6,FALSE)&gt;=(VLOOKUP(VLOOKUP(AS$1,main!$A$3:$I$56,8,FALSE),main!$K$11:$M$14,2,FALSE)+VLOOKUP(VLOOKUP(AS$1,main!$A$3:$I$56,7,FALSE),main!$K$19:$O$22,MATCH(VLOOKUP($A46,main!$A$3:$I$56,8,FALSE),main!$K$18:$O$18,0))))),1,0)</f>
        <v>0</v>
      </c>
      <c r="AT46">
        <f>IF((AND(VLOOKUP(AT$1,main!$A$3:$I$56,5,FALSE)-VLOOKUP($A46,main!$A$3:$I$56,6,FALSE)&gt;=(VLOOKUP(VLOOKUP(AT$1,main!$A$3:$I$56,8,FALSE),main!$K$11:$M$14,2,FALSE)+VLOOKUP(VLOOKUP(AT$1,main!$A$3:$I$56,7,FALSE),main!$K$19:$O$22,MATCH(VLOOKUP($A46,main!$A$3:$I$56,8,FALSE),main!$K$18:$O$18,0))))),1,0)</f>
        <v>0</v>
      </c>
      <c r="AU46">
        <f>IF((AND(VLOOKUP(AU$1,main!$A$3:$I$56,5,FALSE)-VLOOKUP($A46,main!$A$3:$I$56,6,FALSE)&gt;=(VLOOKUP(VLOOKUP(AU$1,main!$A$3:$I$56,8,FALSE),main!$K$11:$M$14,2,FALSE)+VLOOKUP(VLOOKUP(AU$1,main!$A$3:$I$56,7,FALSE),main!$K$19:$O$22,MATCH(VLOOKUP($A46,main!$A$3:$I$56,8,FALSE),main!$K$18:$O$18,0))))),1,0)</f>
        <v>0</v>
      </c>
      <c r="AV46">
        <f>IF((AND(VLOOKUP(AV$1,main!$A$3:$I$56,5,FALSE)-VLOOKUP($A46,main!$A$3:$I$56,6,FALSE)&gt;=(VLOOKUP(VLOOKUP(AV$1,main!$A$3:$I$56,8,FALSE),main!$K$11:$M$14,2,FALSE)+VLOOKUP(VLOOKUP(AV$1,main!$A$3:$I$56,7,FALSE),main!$K$19:$O$22,MATCH(VLOOKUP($A46,main!$A$3:$I$56,8,FALSE),main!$K$18:$O$18,0))))),1,0)</f>
        <v>0</v>
      </c>
      <c r="AW46">
        <f>IF((AND(VLOOKUP(AW$1,main!$A$3:$I$56,5,FALSE)-VLOOKUP($A46,main!$A$3:$I$56,6,FALSE)&gt;=(VLOOKUP(VLOOKUP(AW$1,main!$A$3:$I$56,8,FALSE),main!$K$11:$M$14,2,FALSE)+VLOOKUP(VLOOKUP(AW$1,main!$A$3:$I$56,7,FALSE),main!$K$19:$O$22,MATCH(VLOOKUP($A46,main!$A$3:$I$56,8,FALSE),main!$K$18:$O$18,0))))),1,0)</f>
        <v>0</v>
      </c>
      <c r="AX46">
        <f>IF((AND(VLOOKUP(AX$1,main!$A$3:$I$56,5,FALSE)-VLOOKUP($A46,main!$A$3:$I$56,6,FALSE)&gt;=(VLOOKUP(VLOOKUP(AX$1,main!$A$3:$I$56,8,FALSE),main!$K$11:$M$14,2,FALSE)+VLOOKUP(VLOOKUP(AX$1,main!$A$3:$I$56,7,FALSE),main!$K$19:$O$22,MATCH(VLOOKUP($A46,main!$A$3:$I$56,8,FALSE),main!$K$18:$O$18,0))))),1,0)</f>
        <v>1</v>
      </c>
      <c r="AY46">
        <f>IF((AND(VLOOKUP(AY$1,main!$A$3:$I$56,5,FALSE)-VLOOKUP($A46,main!$A$3:$I$56,6,FALSE)&gt;=(VLOOKUP(VLOOKUP(AY$1,main!$A$3:$I$56,8,FALSE),main!$K$11:$M$14,2,FALSE)+VLOOKUP(VLOOKUP(AY$1,main!$A$3:$I$56,7,FALSE),main!$K$19:$O$22,MATCH(VLOOKUP($A46,main!$A$3:$I$56,8,FALSE),main!$K$18:$O$18,0))))),1,0)</f>
        <v>1</v>
      </c>
      <c r="AZ46">
        <f>IF((AND(VLOOKUP(AZ$1,main!$A$3:$I$56,5,FALSE)-VLOOKUP($A46,main!$A$3:$I$56,6,FALSE)&gt;=(VLOOKUP(VLOOKUP(AZ$1,main!$A$3:$I$56,8,FALSE),main!$K$11:$M$14,2,FALSE)+VLOOKUP(VLOOKUP(AZ$1,main!$A$3:$I$56,7,FALSE),main!$K$19:$O$22,MATCH(VLOOKUP($A46,main!$A$3:$I$56,8,FALSE),main!$K$18:$O$18,0))))),1,0)</f>
        <v>0</v>
      </c>
      <c r="BA46">
        <f>IF((AND(VLOOKUP(BA$1,main!$A$3:$I$56,5,FALSE)-VLOOKUP($A46,main!$A$3:$I$56,6,FALSE)&gt;=(VLOOKUP(VLOOKUP(BA$1,main!$A$3:$I$56,8,FALSE),main!$K$11:$M$14,2,FALSE)+VLOOKUP(VLOOKUP(BA$1,main!$A$3:$I$56,7,FALSE),main!$K$19:$O$22,MATCH(VLOOKUP($A46,main!$A$3:$I$56,8,FALSE),main!$K$18:$O$18,0))))),1,0)</f>
        <v>0</v>
      </c>
      <c r="BB46">
        <f>IF((AND(VLOOKUP(BB$1,main!$A$3:$I$56,5,FALSE)-VLOOKUP($A46,main!$A$3:$I$56,6,FALSE)&gt;=(VLOOKUP(VLOOKUP(BB$1,main!$A$3:$I$56,8,FALSE),main!$K$11:$M$14,2,FALSE)+VLOOKUP(VLOOKUP(BB$1,main!$A$3:$I$56,7,FALSE),main!$K$19:$O$22,MATCH(VLOOKUP($A46,main!$A$3:$I$56,8,FALSE),main!$K$18:$O$18,0))))),1,0)</f>
        <v>0</v>
      </c>
      <c r="BC46">
        <f>IF((AND(VLOOKUP(BC$1,main!$A$3:$I$56,5,FALSE)-VLOOKUP($A46,main!$A$3:$I$56,6,FALSE)&gt;=(VLOOKUP(VLOOKUP(BC$1,main!$A$3:$I$56,8,FALSE),main!$K$11:$M$14,2,FALSE)+VLOOKUP(VLOOKUP(BC$1,main!$A$3:$I$56,7,FALSE),main!$K$19:$O$22,MATCH(VLOOKUP($A46,main!$A$3:$I$56,8,FALSE),main!$K$18:$O$18,0))))),1,0)</f>
        <v>0</v>
      </c>
      <c r="BD46">
        <f>IF((AND(VLOOKUP(BD$1,main!$A$3:$I$56,5,FALSE)-VLOOKUP($A46,main!$A$3:$I$56,6,FALSE)&gt;=(VLOOKUP(VLOOKUP(BD$1,main!$A$3:$I$56,8,FALSE),main!$K$11:$M$14,2,FALSE)+VLOOKUP(VLOOKUP(BD$1,main!$A$3:$I$56,7,FALSE),main!$K$19:$O$22,MATCH(VLOOKUP($A46,main!$A$3:$I$56,8,FALSE),main!$K$18:$O$18,0))))),1,0)</f>
        <v>0</v>
      </c>
    </row>
    <row r="47" spans="1:56" x14ac:dyDescent="0.25">
      <c r="A47">
        <f t="shared" si="0"/>
        <v>45</v>
      </c>
      <c r="B47">
        <v>1</v>
      </c>
      <c r="C47">
        <f>IF((AND(VLOOKUP(C$1,main!$A$3:$I$56,5,FALSE)-VLOOKUP($A47,main!$A$3:$I$56,6,FALSE)&gt;=(VLOOKUP(VLOOKUP(C$1,main!$A$3:$I$56,8,FALSE),main!$K$11:$M$14,2,FALSE)+VLOOKUP(VLOOKUP(C$1,main!$A$3:$I$56,7,FALSE),main!$K$19:$O$22,MATCH(VLOOKUP($A47,main!$A$3:$I$56,8,FALSE),main!$K$18:$O$18,0))))),1,0)</f>
        <v>0</v>
      </c>
      <c r="D47">
        <f>IF((AND(VLOOKUP(D$1,main!$A$3:$I$56,5,FALSE)-VLOOKUP($A47,main!$A$3:$I$56,6,FALSE)&gt;=(VLOOKUP(VLOOKUP(D$1,main!$A$3:$I$56,8,FALSE),main!$K$11:$M$14,2,FALSE)+VLOOKUP(VLOOKUP(D$1,main!$A$3:$I$56,7,FALSE),main!$K$19:$O$22,MATCH(VLOOKUP($A47,main!$A$3:$I$56,8,FALSE),main!$K$18:$O$18,0))))),1,0)</f>
        <v>0</v>
      </c>
      <c r="E47">
        <f>IF((AND(VLOOKUP(E$1,main!$A$3:$I$56,5,FALSE)-VLOOKUP($A47,main!$A$3:$I$56,6,FALSE)&gt;=(VLOOKUP(VLOOKUP(E$1,main!$A$3:$I$56,8,FALSE),main!$K$11:$M$14,2,FALSE)+VLOOKUP(VLOOKUP(E$1,main!$A$3:$I$56,7,FALSE),main!$K$19:$O$22,MATCH(VLOOKUP($A47,main!$A$3:$I$56,8,FALSE),main!$K$18:$O$18,0))))),1,0)</f>
        <v>0</v>
      </c>
      <c r="F47">
        <f>IF((AND(VLOOKUP(F$1,main!$A$3:$I$56,5,FALSE)-VLOOKUP($A47,main!$A$3:$I$56,6,FALSE)&gt;=(VLOOKUP(VLOOKUP(F$1,main!$A$3:$I$56,8,FALSE),main!$K$11:$M$14,2,FALSE)+VLOOKUP(VLOOKUP(F$1,main!$A$3:$I$56,7,FALSE),main!$K$19:$O$22,MATCH(VLOOKUP($A47,main!$A$3:$I$56,8,FALSE),main!$K$18:$O$18,0))))),1,0)</f>
        <v>1</v>
      </c>
      <c r="G47">
        <f>IF((AND(VLOOKUP(G$1,main!$A$3:$I$56,5,FALSE)-VLOOKUP($A47,main!$A$3:$I$56,6,FALSE)&gt;=(VLOOKUP(VLOOKUP(G$1,main!$A$3:$I$56,8,FALSE),main!$K$11:$M$14,2,FALSE)+VLOOKUP(VLOOKUP(G$1,main!$A$3:$I$56,7,FALSE),main!$K$19:$O$22,MATCH(VLOOKUP($A47,main!$A$3:$I$56,8,FALSE),main!$K$18:$O$18,0))))),1,0)</f>
        <v>1</v>
      </c>
      <c r="H47">
        <f>IF((AND(VLOOKUP(H$1,main!$A$3:$I$56,5,FALSE)-VLOOKUP($A47,main!$A$3:$I$56,6,FALSE)&gt;=(VLOOKUP(VLOOKUP(H$1,main!$A$3:$I$56,8,FALSE),main!$K$11:$M$14,2,FALSE)+VLOOKUP(VLOOKUP(H$1,main!$A$3:$I$56,7,FALSE),main!$K$19:$O$22,MATCH(VLOOKUP($A47,main!$A$3:$I$56,8,FALSE),main!$K$18:$O$18,0))))),1,0)</f>
        <v>1</v>
      </c>
      <c r="I47">
        <f>IF((AND(VLOOKUP(I$1,main!$A$3:$I$56,5,FALSE)-VLOOKUP($A47,main!$A$3:$I$56,6,FALSE)&gt;=(VLOOKUP(VLOOKUP(I$1,main!$A$3:$I$56,8,FALSE),main!$K$11:$M$14,2,FALSE)+VLOOKUP(VLOOKUP(I$1,main!$A$3:$I$56,7,FALSE),main!$K$19:$O$22,MATCH(VLOOKUP($A47,main!$A$3:$I$56,8,FALSE),main!$K$18:$O$18,0))))),1,0)</f>
        <v>1</v>
      </c>
      <c r="J47">
        <f>IF((AND(VLOOKUP(J$1,main!$A$3:$I$56,5,FALSE)-VLOOKUP($A47,main!$A$3:$I$56,6,FALSE)&gt;=(VLOOKUP(VLOOKUP(J$1,main!$A$3:$I$56,8,FALSE),main!$K$11:$M$14,2,FALSE)+VLOOKUP(VLOOKUP(J$1,main!$A$3:$I$56,7,FALSE),main!$K$19:$O$22,MATCH(VLOOKUP($A47,main!$A$3:$I$56,8,FALSE),main!$K$18:$O$18,0))))),1,0)</f>
        <v>1</v>
      </c>
      <c r="K47">
        <f>IF((AND(VLOOKUP(K$1,main!$A$3:$I$56,5,FALSE)-VLOOKUP($A47,main!$A$3:$I$56,6,FALSE)&gt;=(VLOOKUP(VLOOKUP(K$1,main!$A$3:$I$56,8,FALSE),main!$K$11:$M$14,2,FALSE)+VLOOKUP(VLOOKUP(K$1,main!$A$3:$I$56,7,FALSE),main!$K$19:$O$22,MATCH(VLOOKUP($A47,main!$A$3:$I$56,8,FALSE),main!$K$18:$O$18,0))))),1,0)</f>
        <v>0</v>
      </c>
      <c r="L47">
        <f>IF((AND(VLOOKUP(L$1,main!$A$3:$I$56,5,FALSE)-VLOOKUP($A47,main!$A$3:$I$56,6,FALSE)&gt;=(VLOOKUP(VLOOKUP(L$1,main!$A$3:$I$56,8,FALSE),main!$K$11:$M$14,2,FALSE)+VLOOKUP(VLOOKUP(L$1,main!$A$3:$I$56,7,FALSE),main!$K$19:$O$22,MATCH(VLOOKUP($A47,main!$A$3:$I$56,8,FALSE),main!$K$18:$O$18,0))))),1,0)</f>
        <v>0</v>
      </c>
      <c r="M47">
        <f>IF((AND(VLOOKUP(M$1,main!$A$3:$I$56,5,FALSE)-VLOOKUP($A47,main!$A$3:$I$56,6,FALSE)&gt;=(VLOOKUP(VLOOKUP(M$1,main!$A$3:$I$56,8,FALSE),main!$K$11:$M$14,2,FALSE)+VLOOKUP(VLOOKUP(M$1,main!$A$3:$I$56,7,FALSE),main!$K$19:$O$22,MATCH(VLOOKUP($A47,main!$A$3:$I$56,8,FALSE),main!$K$18:$O$18,0))))),1,0)</f>
        <v>0</v>
      </c>
      <c r="N47">
        <f>IF((AND(VLOOKUP(N$1,main!$A$3:$I$56,5,FALSE)-VLOOKUP($A47,main!$A$3:$I$56,6,FALSE)&gt;=(VLOOKUP(VLOOKUP(N$1,main!$A$3:$I$56,8,FALSE),main!$K$11:$M$14,2,FALSE)+VLOOKUP(VLOOKUP(N$1,main!$A$3:$I$56,7,FALSE),main!$K$19:$O$22,MATCH(VLOOKUP($A47,main!$A$3:$I$56,8,FALSE),main!$K$18:$O$18,0))))),1,0)</f>
        <v>1</v>
      </c>
      <c r="O47">
        <f>IF((AND(VLOOKUP(O$1,main!$A$3:$I$56,5,FALSE)-VLOOKUP($A47,main!$A$3:$I$56,6,FALSE)&gt;=(VLOOKUP(VLOOKUP(O$1,main!$A$3:$I$56,8,FALSE),main!$K$11:$M$14,2,FALSE)+VLOOKUP(VLOOKUP(O$1,main!$A$3:$I$56,7,FALSE),main!$K$19:$O$22,MATCH(VLOOKUP($A47,main!$A$3:$I$56,8,FALSE),main!$K$18:$O$18,0))))),1,0)</f>
        <v>1</v>
      </c>
      <c r="P47">
        <f>IF((AND(VLOOKUP(P$1,main!$A$3:$I$56,5,FALSE)-VLOOKUP($A47,main!$A$3:$I$56,6,FALSE)&gt;=(VLOOKUP(VLOOKUP(P$1,main!$A$3:$I$56,8,FALSE),main!$K$11:$M$14,2,FALSE)+VLOOKUP(VLOOKUP(P$1,main!$A$3:$I$56,7,FALSE),main!$K$19:$O$22,MATCH(VLOOKUP($A47,main!$A$3:$I$56,8,FALSE),main!$K$18:$O$18,0))))),1,0)</f>
        <v>0</v>
      </c>
      <c r="Q47">
        <f>IF((AND(VLOOKUP(Q$1,main!$A$3:$I$56,5,FALSE)-VLOOKUP($A47,main!$A$3:$I$56,6,FALSE)&gt;=(VLOOKUP(VLOOKUP(Q$1,main!$A$3:$I$56,8,FALSE),main!$K$11:$M$14,2,FALSE)+VLOOKUP(VLOOKUP(Q$1,main!$A$3:$I$56,7,FALSE),main!$K$19:$O$22,MATCH(VLOOKUP($A47,main!$A$3:$I$56,8,FALSE),main!$K$18:$O$18,0))))),1,0)</f>
        <v>0</v>
      </c>
      <c r="R47">
        <f>IF((AND(VLOOKUP(R$1,main!$A$3:$I$56,5,FALSE)-VLOOKUP($A47,main!$A$3:$I$56,6,FALSE)&gt;=(VLOOKUP(VLOOKUP(R$1,main!$A$3:$I$56,8,FALSE),main!$K$11:$M$14,2,FALSE)+VLOOKUP(VLOOKUP(R$1,main!$A$3:$I$56,7,FALSE),main!$K$19:$O$22,MATCH(VLOOKUP($A47,main!$A$3:$I$56,8,FALSE),main!$K$18:$O$18,0))))),1,0)</f>
        <v>0</v>
      </c>
      <c r="S47">
        <f>IF((AND(VLOOKUP(S$1,main!$A$3:$I$56,5,FALSE)-VLOOKUP($A47,main!$A$3:$I$56,6,FALSE)&gt;=(VLOOKUP(VLOOKUP(S$1,main!$A$3:$I$56,8,FALSE),main!$K$11:$M$14,2,FALSE)+VLOOKUP(VLOOKUP(S$1,main!$A$3:$I$56,7,FALSE),main!$K$19:$O$22,MATCH(VLOOKUP($A47,main!$A$3:$I$56,8,FALSE),main!$K$18:$O$18,0))))),1,0)</f>
        <v>1</v>
      </c>
      <c r="T47">
        <f>IF((AND(VLOOKUP(T$1,main!$A$3:$I$56,5,FALSE)-VLOOKUP($A47,main!$A$3:$I$56,6,FALSE)&gt;=(VLOOKUP(VLOOKUP(T$1,main!$A$3:$I$56,8,FALSE),main!$K$11:$M$14,2,FALSE)+VLOOKUP(VLOOKUP(T$1,main!$A$3:$I$56,7,FALSE),main!$K$19:$O$22,MATCH(VLOOKUP($A47,main!$A$3:$I$56,8,FALSE),main!$K$18:$O$18,0))))),1,0)</f>
        <v>1</v>
      </c>
      <c r="U47">
        <f>IF((AND(VLOOKUP(U$1,main!$A$3:$I$56,5,FALSE)-VLOOKUP($A47,main!$A$3:$I$56,6,FALSE)&gt;=(VLOOKUP(VLOOKUP(U$1,main!$A$3:$I$56,8,FALSE),main!$K$11:$M$14,2,FALSE)+VLOOKUP(VLOOKUP(U$1,main!$A$3:$I$56,7,FALSE),main!$K$19:$O$22,MATCH(VLOOKUP($A47,main!$A$3:$I$56,8,FALSE),main!$K$18:$O$18,0))))),1,0)</f>
        <v>0</v>
      </c>
      <c r="V47">
        <f>IF((AND(VLOOKUP(V$1,main!$A$3:$I$56,5,FALSE)-VLOOKUP($A47,main!$A$3:$I$56,6,FALSE)&gt;=(VLOOKUP(VLOOKUP(V$1,main!$A$3:$I$56,8,FALSE),main!$K$11:$M$14,2,FALSE)+VLOOKUP(VLOOKUP(V$1,main!$A$3:$I$56,7,FALSE),main!$K$19:$O$22,MATCH(VLOOKUP($A47,main!$A$3:$I$56,8,FALSE),main!$K$18:$O$18,0))))),1,0)</f>
        <v>0</v>
      </c>
      <c r="W47">
        <f>IF((AND(VLOOKUP(W$1,main!$A$3:$I$56,5,FALSE)-VLOOKUP($A47,main!$A$3:$I$56,6,FALSE)&gt;=(VLOOKUP(VLOOKUP(W$1,main!$A$3:$I$56,8,FALSE),main!$K$11:$M$14,2,FALSE)+VLOOKUP(VLOOKUP(W$1,main!$A$3:$I$56,7,FALSE),main!$K$19:$O$22,MATCH(VLOOKUP($A47,main!$A$3:$I$56,8,FALSE),main!$K$18:$O$18,0))))),1,0)</f>
        <v>0</v>
      </c>
      <c r="X47">
        <f>IF((AND(VLOOKUP(X$1,main!$A$3:$I$56,5,FALSE)-VLOOKUP($A47,main!$A$3:$I$56,6,FALSE)&gt;=(VLOOKUP(VLOOKUP(X$1,main!$A$3:$I$56,8,FALSE),main!$K$11:$M$14,2,FALSE)+VLOOKUP(VLOOKUP(X$1,main!$A$3:$I$56,7,FALSE),main!$K$19:$O$22,MATCH(VLOOKUP($A47,main!$A$3:$I$56,8,FALSE),main!$K$18:$O$18,0))))),1,0)</f>
        <v>0</v>
      </c>
      <c r="Y47">
        <f>IF((AND(VLOOKUP(Y$1,main!$A$3:$I$56,5,FALSE)-VLOOKUP($A47,main!$A$3:$I$56,6,FALSE)&gt;=(VLOOKUP(VLOOKUP(Y$1,main!$A$3:$I$56,8,FALSE),main!$K$11:$M$14,2,FALSE)+VLOOKUP(VLOOKUP(Y$1,main!$A$3:$I$56,7,FALSE),main!$K$19:$O$22,MATCH(VLOOKUP($A47,main!$A$3:$I$56,8,FALSE),main!$K$18:$O$18,0))))),1,0)</f>
        <v>1</v>
      </c>
      <c r="Z47">
        <f>IF((AND(VLOOKUP(Z$1,main!$A$3:$I$56,5,FALSE)-VLOOKUP($A47,main!$A$3:$I$56,6,FALSE)&gt;=(VLOOKUP(VLOOKUP(Z$1,main!$A$3:$I$56,8,FALSE),main!$K$11:$M$14,2,FALSE)+VLOOKUP(VLOOKUP(Z$1,main!$A$3:$I$56,7,FALSE),main!$K$19:$O$22,MATCH(VLOOKUP($A47,main!$A$3:$I$56,8,FALSE),main!$K$18:$O$18,0))))),1,0)</f>
        <v>1</v>
      </c>
      <c r="AA47">
        <f>IF((AND(VLOOKUP(AA$1,main!$A$3:$I$56,5,FALSE)-VLOOKUP($A47,main!$A$3:$I$56,6,FALSE)&gt;=(VLOOKUP(VLOOKUP(AA$1,main!$A$3:$I$56,8,FALSE),main!$K$11:$M$14,2,FALSE)+VLOOKUP(VLOOKUP(AA$1,main!$A$3:$I$56,7,FALSE),main!$K$19:$O$22,MATCH(VLOOKUP($A47,main!$A$3:$I$56,8,FALSE),main!$K$18:$O$18,0))))),1,0)</f>
        <v>1</v>
      </c>
      <c r="AB47">
        <f>IF((AND(VLOOKUP(AB$1,main!$A$3:$I$56,5,FALSE)-VLOOKUP($A47,main!$A$3:$I$56,6,FALSE)&gt;=(VLOOKUP(VLOOKUP(AB$1,main!$A$3:$I$56,8,FALSE),main!$K$11:$M$14,2,FALSE)+VLOOKUP(VLOOKUP(AB$1,main!$A$3:$I$56,7,FALSE),main!$K$19:$O$22,MATCH(VLOOKUP($A47,main!$A$3:$I$56,8,FALSE),main!$K$18:$O$18,0))))),1,0)</f>
        <v>1</v>
      </c>
      <c r="AC47">
        <f>IF((AND(VLOOKUP(AC$1,main!$A$3:$I$56,5,FALSE)-VLOOKUP($A47,main!$A$3:$I$56,6,FALSE)&gt;=(VLOOKUP(VLOOKUP(AC$1,main!$A$3:$I$56,8,FALSE),main!$K$11:$M$14,2,FALSE)+VLOOKUP(VLOOKUP(AC$1,main!$A$3:$I$56,7,FALSE),main!$K$19:$O$22,MATCH(VLOOKUP($A47,main!$A$3:$I$56,8,FALSE),main!$K$18:$O$18,0))))),1,0)</f>
        <v>0</v>
      </c>
      <c r="AD47">
        <f>IF((AND(VLOOKUP(AD$1,main!$A$3:$I$56,5,FALSE)-VLOOKUP($A47,main!$A$3:$I$56,6,FALSE)&gt;=(VLOOKUP(VLOOKUP(AD$1,main!$A$3:$I$56,8,FALSE),main!$K$11:$M$14,2,FALSE)+VLOOKUP(VLOOKUP(AD$1,main!$A$3:$I$56,7,FALSE),main!$K$19:$O$22,MATCH(VLOOKUP($A47,main!$A$3:$I$56,8,FALSE),main!$K$18:$O$18,0))))),1,0)</f>
        <v>0</v>
      </c>
      <c r="AE47">
        <f>IF((AND(VLOOKUP(AE$1,main!$A$3:$I$56,5,FALSE)-VLOOKUP($A47,main!$A$3:$I$56,6,FALSE)&gt;=(VLOOKUP(VLOOKUP(AE$1,main!$A$3:$I$56,8,FALSE),main!$K$11:$M$14,2,FALSE)+VLOOKUP(VLOOKUP(AE$1,main!$A$3:$I$56,7,FALSE),main!$K$19:$O$22,MATCH(VLOOKUP($A47,main!$A$3:$I$56,8,FALSE),main!$K$18:$O$18,0))))),1,0)</f>
        <v>0</v>
      </c>
      <c r="AF47">
        <f>IF((AND(VLOOKUP(AF$1,main!$A$3:$I$56,5,FALSE)-VLOOKUP($A47,main!$A$3:$I$56,6,FALSE)&gt;=(VLOOKUP(VLOOKUP(AF$1,main!$A$3:$I$56,8,FALSE),main!$K$11:$M$14,2,FALSE)+VLOOKUP(VLOOKUP(AF$1,main!$A$3:$I$56,7,FALSE),main!$K$19:$O$22,MATCH(VLOOKUP($A47,main!$A$3:$I$56,8,FALSE),main!$K$18:$O$18,0))))),1,0)</f>
        <v>1</v>
      </c>
      <c r="AG47">
        <f>IF((AND(VLOOKUP(AG$1,main!$A$3:$I$56,5,FALSE)-VLOOKUP($A47,main!$A$3:$I$56,6,FALSE)&gt;=(VLOOKUP(VLOOKUP(AG$1,main!$A$3:$I$56,8,FALSE),main!$K$11:$M$14,2,FALSE)+VLOOKUP(VLOOKUP(AG$1,main!$A$3:$I$56,7,FALSE),main!$K$19:$O$22,MATCH(VLOOKUP($A47,main!$A$3:$I$56,8,FALSE),main!$K$18:$O$18,0))))),1,0)</f>
        <v>0</v>
      </c>
      <c r="AH47">
        <f>IF((AND(VLOOKUP(AH$1,main!$A$3:$I$56,5,FALSE)-VLOOKUP($A47,main!$A$3:$I$56,6,FALSE)&gt;=(VLOOKUP(VLOOKUP(AH$1,main!$A$3:$I$56,8,FALSE),main!$K$11:$M$14,2,FALSE)+VLOOKUP(VLOOKUP(AH$1,main!$A$3:$I$56,7,FALSE),main!$K$19:$O$22,MATCH(VLOOKUP($A47,main!$A$3:$I$56,8,FALSE),main!$K$18:$O$18,0))))),1,0)</f>
        <v>0</v>
      </c>
      <c r="AI47">
        <f>IF((AND(VLOOKUP(AI$1,main!$A$3:$I$56,5,FALSE)-VLOOKUP($A47,main!$A$3:$I$56,6,FALSE)&gt;=(VLOOKUP(VLOOKUP(AI$1,main!$A$3:$I$56,8,FALSE),main!$K$11:$M$14,2,FALSE)+VLOOKUP(VLOOKUP(AI$1,main!$A$3:$I$56,7,FALSE),main!$K$19:$O$22,MATCH(VLOOKUP($A47,main!$A$3:$I$56,8,FALSE),main!$K$18:$O$18,0))))),1,0)</f>
        <v>0</v>
      </c>
      <c r="AJ47">
        <f>IF((AND(VLOOKUP(AJ$1,main!$A$3:$I$56,5,FALSE)-VLOOKUP($A47,main!$A$3:$I$56,6,FALSE)&gt;=(VLOOKUP(VLOOKUP(AJ$1,main!$A$3:$I$56,8,FALSE),main!$K$11:$M$14,2,FALSE)+VLOOKUP(VLOOKUP(AJ$1,main!$A$3:$I$56,7,FALSE),main!$K$19:$O$22,MATCH(VLOOKUP($A47,main!$A$3:$I$56,8,FALSE),main!$K$18:$O$18,0))))),1,0)</f>
        <v>1</v>
      </c>
      <c r="AK47">
        <f>IF((AND(VLOOKUP(AK$1,main!$A$3:$I$56,5,FALSE)-VLOOKUP($A47,main!$A$3:$I$56,6,FALSE)&gt;=(VLOOKUP(VLOOKUP(AK$1,main!$A$3:$I$56,8,FALSE),main!$K$11:$M$14,2,FALSE)+VLOOKUP(VLOOKUP(AK$1,main!$A$3:$I$56,7,FALSE),main!$K$19:$O$22,MATCH(VLOOKUP($A47,main!$A$3:$I$56,8,FALSE),main!$K$18:$O$18,0))))),1,0)</f>
        <v>1</v>
      </c>
      <c r="AL47">
        <f>IF((AND(VLOOKUP(AL$1,main!$A$3:$I$56,5,FALSE)-VLOOKUP($A47,main!$A$3:$I$56,6,FALSE)&gt;=(VLOOKUP(VLOOKUP(AL$1,main!$A$3:$I$56,8,FALSE),main!$K$11:$M$14,2,FALSE)+VLOOKUP(VLOOKUP(AL$1,main!$A$3:$I$56,7,FALSE),main!$K$19:$O$22,MATCH(VLOOKUP($A47,main!$A$3:$I$56,8,FALSE),main!$K$18:$O$18,0))))),1,0)</f>
        <v>0</v>
      </c>
      <c r="AM47">
        <f>IF((AND(VLOOKUP(AM$1,main!$A$3:$I$56,5,FALSE)-VLOOKUP($A47,main!$A$3:$I$56,6,FALSE)&gt;=(VLOOKUP(VLOOKUP(AM$1,main!$A$3:$I$56,8,FALSE),main!$K$11:$M$14,2,FALSE)+VLOOKUP(VLOOKUP(AM$1,main!$A$3:$I$56,7,FALSE),main!$K$19:$O$22,MATCH(VLOOKUP($A47,main!$A$3:$I$56,8,FALSE),main!$K$18:$O$18,0))))),1,0)</f>
        <v>0</v>
      </c>
      <c r="AN47">
        <f>IF((AND(VLOOKUP(AN$1,main!$A$3:$I$56,5,FALSE)-VLOOKUP($A47,main!$A$3:$I$56,6,FALSE)&gt;=(VLOOKUP(VLOOKUP(AN$1,main!$A$3:$I$56,8,FALSE),main!$K$11:$M$14,2,FALSE)+VLOOKUP(VLOOKUP(AN$1,main!$A$3:$I$56,7,FALSE),main!$K$19:$O$22,MATCH(VLOOKUP($A47,main!$A$3:$I$56,8,FALSE),main!$K$18:$O$18,0))))),1,0)</f>
        <v>0</v>
      </c>
      <c r="AO47">
        <f>IF((AND(VLOOKUP(AO$1,main!$A$3:$I$56,5,FALSE)-VLOOKUP($A47,main!$A$3:$I$56,6,FALSE)&gt;=(VLOOKUP(VLOOKUP(AO$1,main!$A$3:$I$56,8,FALSE),main!$K$11:$M$14,2,FALSE)+VLOOKUP(VLOOKUP(AO$1,main!$A$3:$I$56,7,FALSE),main!$K$19:$O$22,MATCH(VLOOKUP($A47,main!$A$3:$I$56,8,FALSE),main!$K$18:$O$18,0))))),1,0)</f>
        <v>1</v>
      </c>
      <c r="AP47">
        <f>IF((AND(VLOOKUP(AP$1,main!$A$3:$I$56,5,FALSE)-VLOOKUP($A47,main!$A$3:$I$56,6,FALSE)&gt;=(VLOOKUP(VLOOKUP(AP$1,main!$A$3:$I$56,8,FALSE),main!$K$11:$M$14,2,FALSE)+VLOOKUP(VLOOKUP(AP$1,main!$A$3:$I$56,7,FALSE),main!$K$19:$O$22,MATCH(VLOOKUP($A47,main!$A$3:$I$56,8,FALSE),main!$K$18:$O$18,0))))),1,0)</f>
        <v>0</v>
      </c>
      <c r="AQ47">
        <f>IF((AND(VLOOKUP(AQ$1,main!$A$3:$I$56,5,FALSE)-VLOOKUP($A47,main!$A$3:$I$56,6,FALSE)&gt;=(VLOOKUP(VLOOKUP(AQ$1,main!$A$3:$I$56,8,FALSE),main!$K$11:$M$14,2,FALSE)+VLOOKUP(VLOOKUP(AQ$1,main!$A$3:$I$56,7,FALSE),main!$K$19:$O$22,MATCH(VLOOKUP($A47,main!$A$3:$I$56,8,FALSE),main!$K$18:$O$18,0))))),1,0)</f>
        <v>0</v>
      </c>
      <c r="AR47">
        <f>IF((AND(VLOOKUP(AR$1,main!$A$3:$I$56,5,FALSE)-VLOOKUP($A47,main!$A$3:$I$56,6,FALSE)&gt;=(VLOOKUP(VLOOKUP(AR$1,main!$A$3:$I$56,8,FALSE),main!$K$11:$M$14,2,FALSE)+VLOOKUP(VLOOKUP(AR$1,main!$A$3:$I$56,7,FALSE),main!$K$19:$O$22,MATCH(VLOOKUP($A47,main!$A$3:$I$56,8,FALSE),main!$K$18:$O$18,0))))),1,0)</f>
        <v>0</v>
      </c>
      <c r="AS47">
        <f>IF((AND(VLOOKUP(AS$1,main!$A$3:$I$56,5,FALSE)-VLOOKUP($A47,main!$A$3:$I$56,6,FALSE)&gt;=(VLOOKUP(VLOOKUP(AS$1,main!$A$3:$I$56,8,FALSE),main!$K$11:$M$14,2,FALSE)+VLOOKUP(VLOOKUP(AS$1,main!$A$3:$I$56,7,FALSE),main!$K$19:$O$22,MATCH(VLOOKUP($A47,main!$A$3:$I$56,8,FALSE),main!$K$18:$O$18,0))))),1,0)</f>
        <v>0</v>
      </c>
      <c r="AT47">
        <f>IF((AND(VLOOKUP(AT$1,main!$A$3:$I$56,5,FALSE)-VLOOKUP($A47,main!$A$3:$I$56,6,FALSE)&gt;=(VLOOKUP(VLOOKUP(AT$1,main!$A$3:$I$56,8,FALSE),main!$K$11:$M$14,2,FALSE)+VLOOKUP(VLOOKUP(AT$1,main!$A$3:$I$56,7,FALSE),main!$K$19:$O$22,MATCH(VLOOKUP($A47,main!$A$3:$I$56,8,FALSE),main!$K$18:$O$18,0))))),1,0)</f>
        <v>0</v>
      </c>
      <c r="AU47">
        <f>IF((AND(VLOOKUP(AU$1,main!$A$3:$I$56,5,FALSE)-VLOOKUP($A47,main!$A$3:$I$56,6,FALSE)&gt;=(VLOOKUP(VLOOKUP(AU$1,main!$A$3:$I$56,8,FALSE),main!$K$11:$M$14,2,FALSE)+VLOOKUP(VLOOKUP(AU$1,main!$A$3:$I$56,7,FALSE),main!$K$19:$O$22,MATCH(VLOOKUP($A47,main!$A$3:$I$56,8,FALSE),main!$K$18:$O$18,0))))),1,0)</f>
        <v>0</v>
      </c>
      <c r="AV47">
        <f>IF((AND(VLOOKUP(AV$1,main!$A$3:$I$56,5,FALSE)-VLOOKUP($A47,main!$A$3:$I$56,6,FALSE)&gt;=(VLOOKUP(VLOOKUP(AV$1,main!$A$3:$I$56,8,FALSE),main!$K$11:$M$14,2,FALSE)+VLOOKUP(VLOOKUP(AV$1,main!$A$3:$I$56,7,FALSE),main!$K$19:$O$22,MATCH(VLOOKUP($A47,main!$A$3:$I$56,8,FALSE),main!$K$18:$O$18,0))))),1,0)</f>
        <v>0</v>
      </c>
      <c r="AW47">
        <f>IF((AND(VLOOKUP(AW$1,main!$A$3:$I$56,5,FALSE)-VLOOKUP($A47,main!$A$3:$I$56,6,FALSE)&gt;=(VLOOKUP(VLOOKUP(AW$1,main!$A$3:$I$56,8,FALSE),main!$K$11:$M$14,2,FALSE)+VLOOKUP(VLOOKUP(AW$1,main!$A$3:$I$56,7,FALSE),main!$K$19:$O$22,MATCH(VLOOKUP($A47,main!$A$3:$I$56,8,FALSE),main!$K$18:$O$18,0))))),1,0)</f>
        <v>0</v>
      </c>
      <c r="AX47">
        <f>IF((AND(VLOOKUP(AX$1,main!$A$3:$I$56,5,FALSE)-VLOOKUP($A47,main!$A$3:$I$56,6,FALSE)&gt;=(VLOOKUP(VLOOKUP(AX$1,main!$A$3:$I$56,8,FALSE),main!$K$11:$M$14,2,FALSE)+VLOOKUP(VLOOKUP(AX$1,main!$A$3:$I$56,7,FALSE),main!$K$19:$O$22,MATCH(VLOOKUP($A47,main!$A$3:$I$56,8,FALSE),main!$K$18:$O$18,0))))),1,0)</f>
        <v>1</v>
      </c>
      <c r="AY47">
        <f>IF((AND(VLOOKUP(AY$1,main!$A$3:$I$56,5,FALSE)-VLOOKUP($A47,main!$A$3:$I$56,6,FALSE)&gt;=(VLOOKUP(VLOOKUP(AY$1,main!$A$3:$I$56,8,FALSE),main!$K$11:$M$14,2,FALSE)+VLOOKUP(VLOOKUP(AY$1,main!$A$3:$I$56,7,FALSE),main!$K$19:$O$22,MATCH(VLOOKUP($A47,main!$A$3:$I$56,8,FALSE),main!$K$18:$O$18,0))))),1,0)</f>
        <v>1</v>
      </c>
      <c r="AZ47">
        <f>IF((AND(VLOOKUP(AZ$1,main!$A$3:$I$56,5,FALSE)-VLOOKUP($A47,main!$A$3:$I$56,6,FALSE)&gt;=(VLOOKUP(VLOOKUP(AZ$1,main!$A$3:$I$56,8,FALSE),main!$K$11:$M$14,2,FALSE)+VLOOKUP(VLOOKUP(AZ$1,main!$A$3:$I$56,7,FALSE),main!$K$19:$O$22,MATCH(VLOOKUP($A47,main!$A$3:$I$56,8,FALSE),main!$K$18:$O$18,0))))),1,0)</f>
        <v>0</v>
      </c>
      <c r="BA47">
        <f>IF((AND(VLOOKUP(BA$1,main!$A$3:$I$56,5,FALSE)-VLOOKUP($A47,main!$A$3:$I$56,6,FALSE)&gt;=(VLOOKUP(VLOOKUP(BA$1,main!$A$3:$I$56,8,FALSE),main!$K$11:$M$14,2,FALSE)+VLOOKUP(VLOOKUP(BA$1,main!$A$3:$I$56,7,FALSE),main!$K$19:$O$22,MATCH(VLOOKUP($A47,main!$A$3:$I$56,8,FALSE),main!$K$18:$O$18,0))))),1,0)</f>
        <v>0</v>
      </c>
      <c r="BB47">
        <f>IF((AND(VLOOKUP(BB$1,main!$A$3:$I$56,5,FALSE)-VLOOKUP($A47,main!$A$3:$I$56,6,FALSE)&gt;=(VLOOKUP(VLOOKUP(BB$1,main!$A$3:$I$56,8,FALSE),main!$K$11:$M$14,2,FALSE)+VLOOKUP(VLOOKUP(BB$1,main!$A$3:$I$56,7,FALSE),main!$K$19:$O$22,MATCH(VLOOKUP($A47,main!$A$3:$I$56,8,FALSE),main!$K$18:$O$18,0))))),1,0)</f>
        <v>0</v>
      </c>
      <c r="BC47">
        <f>IF((AND(VLOOKUP(BC$1,main!$A$3:$I$56,5,FALSE)-VLOOKUP($A47,main!$A$3:$I$56,6,FALSE)&gt;=(VLOOKUP(VLOOKUP(BC$1,main!$A$3:$I$56,8,FALSE),main!$K$11:$M$14,2,FALSE)+VLOOKUP(VLOOKUP(BC$1,main!$A$3:$I$56,7,FALSE),main!$K$19:$O$22,MATCH(VLOOKUP($A47,main!$A$3:$I$56,8,FALSE),main!$K$18:$O$18,0))))),1,0)</f>
        <v>1</v>
      </c>
      <c r="BD47">
        <f>IF((AND(VLOOKUP(BD$1,main!$A$3:$I$56,5,FALSE)-VLOOKUP($A47,main!$A$3:$I$56,6,FALSE)&gt;=(VLOOKUP(VLOOKUP(BD$1,main!$A$3:$I$56,8,FALSE),main!$K$11:$M$14,2,FALSE)+VLOOKUP(VLOOKUP(BD$1,main!$A$3:$I$56,7,FALSE),main!$K$19:$O$22,MATCH(VLOOKUP($A47,main!$A$3:$I$56,8,FALSE),main!$K$18:$O$18,0))))),1,0)</f>
        <v>1</v>
      </c>
    </row>
    <row r="48" spans="1:56" x14ac:dyDescent="0.25">
      <c r="A48">
        <f t="shared" si="0"/>
        <v>46</v>
      </c>
      <c r="B48">
        <v>1</v>
      </c>
      <c r="C48">
        <f>IF((AND(VLOOKUP(C$1,main!$A$3:$I$56,5,FALSE)-VLOOKUP($A48,main!$A$3:$I$56,6,FALSE)&gt;=(VLOOKUP(VLOOKUP(C$1,main!$A$3:$I$56,8,FALSE),main!$K$11:$M$14,2,FALSE)+VLOOKUP(VLOOKUP(C$1,main!$A$3:$I$56,7,FALSE),main!$K$19:$O$22,MATCH(VLOOKUP($A48,main!$A$3:$I$56,8,FALSE),main!$K$18:$O$18,0))))),1,0)</f>
        <v>0</v>
      </c>
      <c r="D48">
        <f>IF((AND(VLOOKUP(D$1,main!$A$3:$I$56,5,FALSE)-VLOOKUP($A48,main!$A$3:$I$56,6,FALSE)&gt;=(VLOOKUP(VLOOKUP(D$1,main!$A$3:$I$56,8,FALSE),main!$K$11:$M$14,2,FALSE)+VLOOKUP(VLOOKUP(D$1,main!$A$3:$I$56,7,FALSE),main!$K$19:$O$22,MATCH(VLOOKUP($A48,main!$A$3:$I$56,8,FALSE),main!$K$18:$O$18,0))))),1,0)</f>
        <v>0</v>
      </c>
      <c r="E48">
        <f>IF((AND(VLOOKUP(E$1,main!$A$3:$I$56,5,FALSE)-VLOOKUP($A48,main!$A$3:$I$56,6,FALSE)&gt;=(VLOOKUP(VLOOKUP(E$1,main!$A$3:$I$56,8,FALSE),main!$K$11:$M$14,2,FALSE)+VLOOKUP(VLOOKUP(E$1,main!$A$3:$I$56,7,FALSE),main!$K$19:$O$22,MATCH(VLOOKUP($A48,main!$A$3:$I$56,8,FALSE),main!$K$18:$O$18,0))))),1,0)</f>
        <v>0</v>
      </c>
      <c r="F48">
        <f>IF((AND(VLOOKUP(F$1,main!$A$3:$I$56,5,FALSE)-VLOOKUP($A48,main!$A$3:$I$56,6,FALSE)&gt;=(VLOOKUP(VLOOKUP(F$1,main!$A$3:$I$56,8,FALSE),main!$K$11:$M$14,2,FALSE)+VLOOKUP(VLOOKUP(F$1,main!$A$3:$I$56,7,FALSE),main!$K$19:$O$22,MATCH(VLOOKUP($A48,main!$A$3:$I$56,8,FALSE),main!$K$18:$O$18,0))))),1,0)</f>
        <v>1</v>
      </c>
      <c r="G48">
        <f>IF((AND(VLOOKUP(G$1,main!$A$3:$I$56,5,FALSE)-VLOOKUP($A48,main!$A$3:$I$56,6,FALSE)&gt;=(VLOOKUP(VLOOKUP(G$1,main!$A$3:$I$56,8,FALSE),main!$K$11:$M$14,2,FALSE)+VLOOKUP(VLOOKUP(G$1,main!$A$3:$I$56,7,FALSE),main!$K$19:$O$22,MATCH(VLOOKUP($A48,main!$A$3:$I$56,8,FALSE),main!$K$18:$O$18,0))))),1,0)</f>
        <v>1</v>
      </c>
      <c r="H48">
        <f>IF((AND(VLOOKUP(H$1,main!$A$3:$I$56,5,FALSE)-VLOOKUP($A48,main!$A$3:$I$56,6,FALSE)&gt;=(VLOOKUP(VLOOKUP(H$1,main!$A$3:$I$56,8,FALSE),main!$K$11:$M$14,2,FALSE)+VLOOKUP(VLOOKUP(H$1,main!$A$3:$I$56,7,FALSE),main!$K$19:$O$22,MATCH(VLOOKUP($A48,main!$A$3:$I$56,8,FALSE),main!$K$18:$O$18,0))))),1,0)</f>
        <v>1</v>
      </c>
      <c r="I48">
        <f>IF((AND(VLOOKUP(I$1,main!$A$3:$I$56,5,FALSE)-VLOOKUP($A48,main!$A$3:$I$56,6,FALSE)&gt;=(VLOOKUP(VLOOKUP(I$1,main!$A$3:$I$56,8,FALSE),main!$K$11:$M$14,2,FALSE)+VLOOKUP(VLOOKUP(I$1,main!$A$3:$I$56,7,FALSE),main!$K$19:$O$22,MATCH(VLOOKUP($A48,main!$A$3:$I$56,8,FALSE),main!$K$18:$O$18,0))))),1,0)</f>
        <v>1</v>
      </c>
      <c r="J48">
        <f>IF((AND(VLOOKUP(J$1,main!$A$3:$I$56,5,FALSE)-VLOOKUP($A48,main!$A$3:$I$56,6,FALSE)&gt;=(VLOOKUP(VLOOKUP(J$1,main!$A$3:$I$56,8,FALSE),main!$K$11:$M$14,2,FALSE)+VLOOKUP(VLOOKUP(J$1,main!$A$3:$I$56,7,FALSE),main!$K$19:$O$22,MATCH(VLOOKUP($A48,main!$A$3:$I$56,8,FALSE),main!$K$18:$O$18,0))))),1,0)</f>
        <v>1</v>
      </c>
      <c r="K48">
        <f>IF((AND(VLOOKUP(K$1,main!$A$3:$I$56,5,FALSE)-VLOOKUP($A48,main!$A$3:$I$56,6,FALSE)&gt;=(VLOOKUP(VLOOKUP(K$1,main!$A$3:$I$56,8,FALSE),main!$K$11:$M$14,2,FALSE)+VLOOKUP(VLOOKUP(K$1,main!$A$3:$I$56,7,FALSE),main!$K$19:$O$22,MATCH(VLOOKUP($A48,main!$A$3:$I$56,8,FALSE),main!$K$18:$O$18,0))))),1,0)</f>
        <v>0</v>
      </c>
      <c r="L48">
        <f>IF((AND(VLOOKUP(L$1,main!$A$3:$I$56,5,FALSE)-VLOOKUP($A48,main!$A$3:$I$56,6,FALSE)&gt;=(VLOOKUP(VLOOKUP(L$1,main!$A$3:$I$56,8,FALSE),main!$K$11:$M$14,2,FALSE)+VLOOKUP(VLOOKUP(L$1,main!$A$3:$I$56,7,FALSE),main!$K$19:$O$22,MATCH(VLOOKUP($A48,main!$A$3:$I$56,8,FALSE),main!$K$18:$O$18,0))))),1,0)</f>
        <v>0</v>
      </c>
      <c r="M48">
        <f>IF((AND(VLOOKUP(M$1,main!$A$3:$I$56,5,FALSE)-VLOOKUP($A48,main!$A$3:$I$56,6,FALSE)&gt;=(VLOOKUP(VLOOKUP(M$1,main!$A$3:$I$56,8,FALSE),main!$K$11:$M$14,2,FALSE)+VLOOKUP(VLOOKUP(M$1,main!$A$3:$I$56,7,FALSE),main!$K$19:$O$22,MATCH(VLOOKUP($A48,main!$A$3:$I$56,8,FALSE),main!$K$18:$O$18,0))))),1,0)</f>
        <v>0</v>
      </c>
      <c r="N48">
        <f>IF((AND(VLOOKUP(N$1,main!$A$3:$I$56,5,FALSE)-VLOOKUP($A48,main!$A$3:$I$56,6,FALSE)&gt;=(VLOOKUP(VLOOKUP(N$1,main!$A$3:$I$56,8,FALSE),main!$K$11:$M$14,2,FALSE)+VLOOKUP(VLOOKUP(N$1,main!$A$3:$I$56,7,FALSE),main!$K$19:$O$22,MATCH(VLOOKUP($A48,main!$A$3:$I$56,8,FALSE),main!$K$18:$O$18,0))))),1,0)</f>
        <v>1</v>
      </c>
      <c r="O48">
        <f>IF((AND(VLOOKUP(O$1,main!$A$3:$I$56,5,FALSE)-VLOOKUP($A48,main!$A$3:$I$56,6,FALSE)&gt;=(VLOOKUP(VLOOKUP(O$1,main!$A$3:$I$56,8,FALSE),main!$K$11:$M$14,2,FALSE)+VLOOKUP(VLOOKUP(O$1,main!$A$3:$I$56,7,FALSE),main!$K$19:$O$22,MATCH(VLOOKUP($A48,main!$A$3:$I$56,8,FALSE),main!$K$18:$O$18,0))))),1,0)</f>
        <v>1</v>
      </c>
      <c r="P48">
        <f>IF((AND(VLOOKUP(P$1,main!$A$3:$I$56,5,FALSE)-VLOOKUP($A48,main!$A$3:$I$56,6,FALSE)&gt;=(VLOOKUP(VLOOKUP(P$1,main!$A$3:$I$56,8,FALSE),main!$K$11:$M$14,2,FALSE)+VLOOKUP(VLOOKUP(P$1,main!$A$3:$I$56,7,FALSE),main!$K$19:$O$22,MATCH(VLOOKUP($A48,main!$A$3:$I$56,8,FALSE),main!$K$18:$O$18,0))))),1,0)</f>
        <v>0</v>
      </c>
      <c r="Q48">
        <f>IF((AND(VLOOKUP(Q$1,main!$A$3:$I$56,5,FALSE)-VLOOKUP($A48,main!$A$3:$I$56,6,FALSE)&gt;=(VLOOKUP(VLOOKUP(Q$1,main!$A$3:$I$56,8,FALSE),main!$K$11:$M$14,2,FALSE)+VLOOKUP(VLOOKUP(Q$1,main!$A$3:$I$56,7,FALSE),main!$K$19:$O$22,MATCH(VLOOKUP($A48,main!$A$3:$I$56,8,FALSE),main!$K$18:$O$18,0))))),1,0)</f>
        <v>0</v>
      </c>
      <c r="R48">
        <f>IF((AND(VLOOKUP(R$1,main!$A$3:$I$56,5,FALSE)-VLOOKUP($A48,main!$A$3:$I$56,6,FALSE)&gt;=(VLOOKUP(VLOOKUP(R$1,main!$A$3:$I$56,8,FALSE),main!$K$11:$M$14,2,FALSE)+VLOOKUP(VLOOKUP(R$1,main!$A$3:$I$56,7,FALSE),main!$K$19:$O$22,MATCH(VLOOKUP($A48,main!$A$3:$I$56,8,FALSE),main!$K$18:$O$18,0))))),1,0)</f>
        <v>0</v>
      </c>
      <c r="S48">
        <f>IF((AND(VLOOKUP(S$1,main!$A$3:$I$56,5,FALSE)-VLOOKUP($A48,main!$A$3:$I$56,6,FALSE)&gt;=(VLOOKUP(VLOOKUP(S$1,main!$A$3:$I$56,8,FALSE),main!$K$11:$M$14,2,FALSE)+VLOOKUP(VLOOKUP(S$1,main!$A$3:$I$56,7,FALSE),main!$K$19:$O$22,MATCH(VLOOKUP($A48,main!$A$3:$I$56,8,FALSE),main!$K$18:$O$18,0))))),1,0)</f>
        <v>1</v>
      </c>
      <c r="T48">
        <f>IF((AND(VLOOKUP(T$1,main!$A$3:$I$56,5,FALSE)-VLOOKUP($A48,main!$A$3:$I$56,6,FALSE)&gt;=(VLOOKUP(VLOOKUP(T$1,main!$A$3:$I$56,8,FALSE),main!$K$11:$M$14,2,FALSE)+VLOOKUP(VLOOKUP(T$1,main!$A$3:$I$56,7,FALSE),main!$K$19:$O$22,MATCH(VLOOKUP($A48,main!$A$3:$I$56,8,FALSE),main!$K$18:$O$18,0))))),1,0)</f>
        <v>1</v>
      </c>
      <c r="U48">
        <f>IF((AND(VLOOKUP(U$1,main!$A$3:$I$56,5,FALSE)-VLOOKUP($A48,main!$A$3:$I$56,6,FALSE)&gt;=(VLOOKUP(VLOOKUP(U$1,main!$A$3:$I$56,8,FALSE),main!$K$11:$M$14,2,FALSE)+VLOOKUP(VLOOKUP(U$1,main!$A$3:$I$56,7,FALSE),main!$K$19:$O$22,MATCH(VLOOKUP($A48,main!$A$3:$I$56,8,FALSE),main!$K$18:$O$18,0))))),1,0)</f>
        <v>0</v>
      </c>
      <c r="V48">
        <f>IF((AND(VLOOKUP(V$1,main!$A$3:$I$56,5,FALSE)-VLOOKUP($A48,main!$A$3:$I$56,6,FALSE)&gt;=(VLOOKUP(VLOOKUP(V$1,main!$A$3:$I$56,8,FALSE),main!$K$11:$M$14,2,FALSE)+VLOOKUP(VLOOKUP(V$1,main!$A$3:$I$56,7,FALSE),main!$K$19:$O$22,MATCH(VLOOKUP($A48,main!$A$3:$I$56,8,FALSE),main!$K$18:$O$18,0))))),1,0)</f>
        <v>0</v>
      </c>
      <c r="W48">
        <f>IF((AND(VLOOKUP(W$1,main!$A$3:$I$56,5,FALSE)-VLOOKUP($A48,main!$A$3:$I$56,6,FALSE)&gt;=(VLOOKUP(VLOOKUP(W$1,main!$A$3:$I$56,8,FALSE),main!$K$11:$M$14,2,FALSE)+VLOOKUP(VLOOKUP(W$1,main!$A$3:$I$56,7,FALSE),main!$K$19:$O$22,MATCH(VLOOKUP($A48,main!$A$3:$I$56,8,FALSE),main!$K$18:$O$18,0))))),1,0)</f>
        <v>0</v>
      </c>
      <c r="X48">
        <f>IF((AND(VLOOKUP(X$1,main!$A$3:$I$56,5,FALSE)-VLOOKUP($A48,main!$A$3:$I$56,6,FALSE)&gt;=(VLOOKUP(VLOOKUP(X$1,main!$A$3:$I$56,8,FALSE),main!$K$11:$M$14,2,FALSE)+VLOOKUP(VLOOKUP(X$1,main!$A$3:$I$56,7,FALSE),main!$K$19:$O$22,MATCH(VLOOKUP($A48,main!$A$3:$I$56,8,FALSE),main!$K$18:$O$18,0))))),1,0)</f>
        <v>0</v>
      </c>
      <c r="Y48">
        <f>IF((AND(VLOOKUP(Y$1,main!$A$3:$I$56,5,FALSE)-VLOOKUP($A48,main!$A$3:$I$56,6,FALSE)&gt;=(VLOOKUP(VLOOKUP(Y$1,main!$A$3:$I$56,8,FALSE),main!$K$11:$M$14,2,FALSE)+VLOOKUP(VLOOKUP(Y$1,main!$A$3:$I$56,7,FALSE),main!$K$19:$O$22,MATCH(VLOOKUP($A48,main!$A$3:$I$56,8,FALSE),main!$K$18:$O$18,0))))),1,0)</f>
        <v>0</v>
      </c>
      <c r="Z48">
        <f>IF((AND(VLOOKUP(Z$1,main!$A$3:$I$56,5,FALSE)-VLOOKUP($A48,main!$A$3:$I$56,6,FALSE)&gt;=(VLOOKUP(VLOOKUP(Z$1,main!$A$3:$I$56,8,FALSE),main!$K$11:$M$14,2,FALSE)+VLOOKUP(VLOOKUP(Z$1,main!$A$3:$I$56,7,FALSE),main!$K$19:$O$22,MATCH(VLOOKUP($A48,main!$A$3:$I$56,8,FALSE),main!$K$18:$O$18,0))))),1,0)</f>
        <v>1</v>
      </c>
      <c r="AA48">
        <f>IF((AND(VLOOKUP(AA$1,main!$A$3:$I$56,5,FALSE)-VLOOKUP($A48,main!$A$3:$I$56,6,FALSE)&gt;=(VLOOKUP(VLOOKUP(AA$1,main!$A$3:$I$56,8,FALSE),main!$K$11:$M$14,2,FALSE)+VLOOKUP(VLOOKUP(AA$1,main!$A$3:$I$56,7,FALSE),main!$K$19:$O$22,MATCH(VLOOKUP($A48,main!$A$3:$I$56,8,FALSE),main!$K$18:$O$18,0))))),1,0)</f>
        <v>1</v>
      </c>
      <c r="AB48">
        <f>IF((AND(VLOOKUP(AB$1,main!$A$3:$I$56,5,FALSE)-VLOOKUP($A48,main!$A$3:$I$56,6,FALSE)&gt;=(VLOOKUP(VLOOKUP(AB$1,main!$A$3:$I$56,8,FALSE),main!$K$11:$M$14,2,FALSE)+VLOOKUP(VLOOKUP(AB$1,main!$A$3:$I$56,7,FALSE),main!$K$19:$O$22,MATCH(VLOOKUP($A48,main!$A$3:$I$56,8,FALSE),main!$K$18:$O$18,0))))),1,0)</f>
        <v>1</v>
      </c>
      <c r="AC48">
        <f>IF((AND(VLOOKUP(AC$1,main!$A$3:$I$56,5,FALSE)-VLOOKUP($A48,main!$A$3:$I$56,6,FALSE)&gt;=(VLOOKUP(VLOOKUP(AC$1,main!$A$3:$I$56,8,FALSE),main!$K$11:$M$14,2,FALSE)+VLOOKUP(VLOOKUP(AC$1,main!$A$3:$I$56,7,FALSE),main!$K$19:$O$22,MATCH(VLOOKUP($A48,main!$A$3:$I$56,8,FALSE),main!$K$18:$O$18,0))))),1,0)</f>
        <v>0</v>
      </c>
      <c r="AD48">
        <f>IF((AND(VLOOKUP(AD$1,main!$A$3:$I$56,5,FALSE)-VLOOKUP($A48,main!$A$3:$I$56,6,FALSE)&gt;=(VLOOKUP(VLOOKUP(AD$1,main!$A$3:$I$56,8,FALSE),main!$K$11:$M$14,2,FALSE)+VLOOKUP(VLOOKUP(AD$1,main!$A$3:$I$56,7,FALSE),main!$K$19:$O$22,MATCH(VLOOKUP($A48,main!$A$3:$I$56,8,FALSE),main!$K$18:$O$18,0))))),1,0)</f>
        <v>0</v>
      </c>
      <c r="AE48">
        <f>IF((AND(VLOOKUP(AE$1,main!$A$3:$I$56,5,FALSE)-VLOOKUP($A48,main!$A$3:$I$56,6,FALSE)&gt;=(VLOOKUP(VLOOKUP(AE$1,main!$A$3:$I$56,8,FALSE),main!$K$11:$M$14,2,FALSE)+VLOOKUP(VLOOKUP(AE$1,main!$A$3:$I$56,7,FALSE),main!$K$19:$O$22,MATCH(VLOOKUP($A48,main!$A$3:$I$56,8,FALSE),main!$K$18:$O$18,0))))),1,0)</f>
        <v>0</v>
      </c>
      <c r="AF48">
        <f>IF((AND(VLOOKUP(AF$1,main!$A$3:$I$56,5,FALSE)-VLOOKUP($A48,main!$A$3:$I$56,6,FALSE)&gt;=(VLOOKUP(VLOOKUP(AF$1,main!$A$3:$I$56,8,FALSE),main!$K$11:$M$14,2,FALSE)+VLOOKUP(VLOOKUP(AF$1,main!$A$3:$I$56,7,FALSE),main!$K$19:$O$22,MATCH(VLOOKUP($A48,main!$A$3:$I$56,8,FALSE),main!$K$18:$O$18,0))))),1,0)</f>
        <v>1</v>
      </c>
      <c r="AG48">
        <f>IF((AND(VLOOKUP(AG$1,main!$A$3:$I$56,5,FALSE)-VLOOKUP($A48,main!$A$3:$I$56,6,FALSE)&gt;=(VLOOKUP(VLOOKUP(AG$1,main!$A$3:$I$56,8,FALSE),main!$K$11:$M$14,2,FALSE)+VLOOKUP(VLOOKUP(AG$1,main!$A$3:$I$56,7,FALSE),main!$K$19:$O$22,MATCH(VLOOKUP($A48,main!$A$3:$I$56,8,FALSE),main!$K$18:$O$18,0))))),1,0)</f>
        <v>0</v>
      </c>
      <c r="AH48">
        <f>IF((AND(VLOOKUP(AH$1,main!$A$3:$I$56,5,FALSE)-VLOOKUP($A48,main!$A$3:$I$56,6,FALSE)&gt;=(VLOOKUP(VLOOKUP(AH$1,main!$A$3:$I$56,8,FALSE),main!$K$11:$M$14,2,FALSE)+VLOOKUP(VLOOKUP(AH$1,main!$A$3:$I$56,7,FALSE),main!$K$19:$O$22,MATCH(VLOOKUP($A48,main!$A$3:$I$56,8,FALSE),main!$K$18:$O$18,0))))),1,0)</f>
        <v>0</v>
      </c>
      <c r="AI48">
        <f>IF((AND(VLOOKUP(AI$1,main!$A$3:$I$56,5,FALSE)-VLOOKUP($A48,main!$A$3:$I$56,6,FALSE)&gt;=(VLOOKUP(VLOOKUP(AI$1,main!$A$3:$I$56,8,FALSE),main!$K$11:$M$14,2,FALSE)+VLOOKUP(VLOOKUP(AI$1,main!$A$3:$I$56,7,FALSE),main!$K$19:$O$22,MATCH(VLOOKUP($A48,main!$A$3:$I$56,8,FALSE),main!$K$18:$O$18,0))))),1,0)</f>
        <v>0</v>
      </c>
      <c r="AJ48">
        <f>IF((AND(VLOOKUP(AJ$1,main!$A$3:$I$56,5,FALSE)-VLOOKUP($A48,main!$A$3:$I$56,6,FALSE)&gt;=(VLOOKUP(VLOOKUP(AJ$1,main!$A$3:$I$56,8,FALSE),main!$K$11:$M$14,2,FALSE)+VLOOKUP(VLOOKUP(AJ$1,main!$A$3:$I$56,7,FALSE),main!$K$19:$O$22,MATCH(VLOOKUP($A48,main!$A$3:$I$56,8,FALSE),main!$K$18:$O$18,0))))),1,0)</f>
        <v>0</v>
      </c>
      <c r="AK48">
        <f>IF((AND(VLOOKUP(AK$1,main!$A$3:$I$56,5,FALSE)-VLOOKUP($A48,main!$A$3:$I$56,6,FALSE)&gt;=(VLOOKUP(VLOOKUP(AK$1,main!$A$3:$I$56,8,FALSE),main!$K$11:$M$14,2,FALSE)+VLOOKUP(VLOOKUP(AK$1,main!$A$3:$I$56,7,FALSE),main!$K$19:$O$22,MATCH(VLOOKUP($A48,main!$A$3:$I$56,8,FALSE),main!$K$18:$O$18,0))))),1,0)</f>
        <v>1</v>
      </c>
      <c r="AL48">
        <f>IF((AND(VLOOKUP(AL$1,main!$A$3:$I$56,5,FALSE)-VLOOKUP($A48,main!$A$3:$I$56,6,FALSE)&gt;=(VLOOKUP(VLOOKUP(AL$1,main!$A$3:$I$56,8,FALSE),main!$K$11:$M$14,2,FALSE)+VLOOKUP(VLOOKUP(AL$1,main!$A$3:$I$56,7,FALSE),main!$K$19:$O$22,MATCH(VLOOKUP($A48,main!$A$3:$I$56,8,FALSE),main!$K$18:$O$18,0))))),1,0)</f>
        <v>0</v>
      </c>
      <c r="AM48">
        <f>IF((AND(VLOOKUP(AM$1,main!$A$3:$I$56,5,FALSE)-VLOOKUP($A48,main!$A$3:$I$56,6,FALSE)&gt;=(VLOOKUP(VLOOKUP(AM$1,main!$A$3:$I$56,8,FALSE),main!$K$11:$M$14,2,FALSE)+VLOOKUP(VLOOKUP(AM$1,main!$A$3:$I$56,7,FALSE),main!$K$19:$O$22,MATCH(VLOOKUP($A48,main!$A$3:$I$56,8,FALSE),main!$K$18:$O$18,0))))),1,0)</f>
        <v>0</v>
      </c>
      <c r="AN48">
        <f>IF((AND(VLOOKUP(AN$1,main!$A$3:$I$56,5,FALSE)-VLOOKUP($A48,main!$A$3:$I$56,6,FALSE)&gt;=(VLOOKUP(VLOOKUP(AN$1,main!$A$3:$I$56,8,FALSE),main!$K$11:$M$14,2,FALSE)+VLOOKUP(VLOOKUP(AN$1,main!$A$3:$I$56,7,FALSE),main!$K$19:$O$22,MATCH(VLOOKUP($A48,main!$A$3:$I$56,8,FALSE),main!$K$18:$O$18,0))))),1,0)</f>
        <v>0</v>
      </c>
      <c r="AO48">
        <f>IF((AND(VLOOKUP(AO$1,main!$A$3:$I$56,5,FALSE)-VLOOKUP($A48,main!$A$3:$I$56,6,FALSE)&gt;=(VLOOKUP(VLOOKUP(AO$1,main!$A$3:$I$56,8,FALSE),main!$K$11:$M$14,2,FALSE)+VLOOKUP(VLOOKUP(AO$1,main!$A$3:$I$56,7,FALSE),main!$K$19:$O$22,MATCH(VLOOKUP($A48,main!$A$3:$I$56,8,FALSE),main!$K$18:$O$18,0))))),1,0)</f>
        <v>1</v>
      </c>
      <c r="AP48">
        <f>IF((AND(VLOOKUP(AP$1,main!$A$3:$I$56,5,FALSE)-VLOOKUP($A48,main!$A$3:$I$56,6,FALSE)&gt;=(VLOOKUP(VLOOKUP(AP$1,main!$A$3:$I$56,8,FALSE),main!$K$11:$M$14,2,FALSE)+VLOOKUP(VLOOKUP(AP$1,main!$A$3:$I$56,7,FALSE),main!$K$19:$O$22,MATCH(VLOOKUP($A48,main!$A$3:$I$56,8,FALSE),main!$K$18:$O$18,0))))),1,0)</f>
        <v>0</v>
      </c>
      <c r="AQ48">
        <f>IF((AND(VLOOKUP(AQ$1,main!$A$3:$I$56,5,FALSE)-VLOOKUP($A48,main!$A$3:$I$56,6,FALSE)&gt;=(VLOOKUP(VLOOKUP(AQ$1,main!$A$3:$I$56,8,FALSE),main!$K$11:$M$14,2,FALSE)+VLOOKUP(VLOOKUP(AQ$1,main!$A$3:$I$56,7,FALSE),main!$K$19:$O$22,MATCH(VLOOKUP($A48,main!$A$3:$I$56,8,FALSE),main!$K$18:$O$18,0))))),1,0)</f>
        <v>0</v>
      </c>
      <c r="AR48">
        <f>IF((AND(VLOOKUP(AR$1,main!$A$3:$I$56,5,FALSE)-VLOOKUP($A48,main!$A$3:$I$56,6,FALSE)&gt;=(VLOOKUP(VLOOKUP(AR$1,main!$A$3:$I$56,8,FALSE),main!$K$11:$M$14,2,FALSE)+VLOOKUP(VLOOKUP(AR$1,main!$A$3:$I$56,7,FALSE),main!$K$19:$O$22,MATCH(VLOOKUP($A48,main!$A$3:$I$56,8,FALSE),main!$K$18:$O$18,0))))),1,0)</f>
        <v>0</v>
      </c>
      <c r="AS48">
        <f>IF((AND(VLOOKUP(AS$1,main!$A$3:$I$56,5,FALSE)-VLOOKUP($A48,main!$A$3:$I$56,6,FALSE)&gt;=(VLOOKUP(VLOOKUP(AS$1,main!$A$3:$I$56,8,FALSE),main!$K$11:$M$14,2,FALSE)+VLOOKUP(VLOOKUP(AS$1,main!$A$3:$I$56,7,FALSE),main!$K$19:$O$22,MATCH(VLOOKUP($A48,main!$A$3:$I$56,8,FALSE),main!$K$18:$O$18,0))))),1,0)</f>
        <v>0</v>
      </c>
      <c r="AT48">
        <f>IF((AND(VLOOKUP(AT$1,main!$A$3:$I$56,5,FALSE)-VLOOKUP($A48,main!$A$3:$I$56,6,FALSE)&gt;=(VLOOKUP(VLOOKUP(AT$1,main!$A$3:$I$56,8,FALSE),main!$K$11:$M$14,2,FALSE)+VLOOKUP(VLOOKUP(AT$1,main!$A$3:$I$56,7,FALSE),main!$K$19:$O$22,MATCH(VLOOKUP($A48,main!$A$3:$I$56,8,FALSE),main!$K$18:$O$18,0))))),1,0)</f>
        <v>0</v>
      </c>
      <c r="AU48">
        <f>IF((AND(VLOOKUP(AU$1,main!$A$3:$I$56,5,FALSE)-VLOOKUP($A48,main!$A$3:$I$56,6,FALSE)&gt;=(VLOOKUP(VLOOKUP(AU$1,main!$A$3:$I$56,8,FALSE),main!$K$11:$M$14,2,FALSE)+VLOOKUP(VLOOKUP(AU$1,main!$A$3:$I$56,7,FALSE),main!$K$19:$O$22,MATCH(VLOOKUP($A48,main!$A$3:$I$56,8,FALSE),main!$K$18:$O$18,0))))),1,0)</f>
        <v>0</v>
      </c>
      <c r="AV48">
        <f>IF((AND(VLOOKUP(AV$1,main!$A$3:$I$56,5,FALSE)-VLOOKUP($A48,main!$A$3:$I$56,6,FALSE)&gt;=(VLOOKUP(VLOOKUP(AV$1,main!$A$3:$I$56,8,FALSE),main!$K$11:$M$14,2,FALSE)+VLOOKUP(VLOOKUP(AV$1,main!$A$3:$I$56,7,FALSE),main!$K$19:$O$22,MATCH(VLOOKUP($A48,main!$A$3:$I$56,8,FALSE),main!$K$18:$O$18,0))))),1,0)</f>
        <v>0</v>
      </c>
      <c r="AW48">
        <f>IF((AND(VLOOKUP(AW$1,main!$A$3:$I$56,5,FALSE)-VLOOKUP($A48,main!$A$3:$I$56,6,FALSE)&gt;=(VLOOKUP(VLOOKUP(AW$1,main!$A$3:$I$56,8,FALSE),main!$K$11:$M$14,2,FALSE)+VLOOKUP(VLOOKUP(AW$1,main!$A$3:$I$56,7,FALSE),main!$K$19:$O$22,MATCH(VLOOKUP($A48,main!$A$3:$I$56,8,FALSE),main!$K$18:$O$18,0))))),1,0)</f>
        <v>0</v>
      </c>
      <c r="AX48">
        <f>IF((AND(VLOOKUP(AX$1,main!$A$3:$I$56,5,FALSE)-VLOOKUP($A48,main!$A$3:$I$56,6,FALSE)&gt;=(VLOOKUP(VLOOKUP(AX$1,main!$A$3:$I$56,8,FALSE),main!$K$11:$M$14,2,FALSE)+VLOOKUP(VLOOKUP(AX$1,main!$A$3:$I$56,7,FALSE),main!$K$19:$O$22,MATCH(VLOOKUP($A48,main!$A$3:$I$56,8,FALSE),main!$K$18:$O$18,0))))),1,0)</f>
        <v>1</v>
      </c>
      <c r="AY48">
        <f>IF((AND(VLOOKUP(AY$1,main!$A$3:$I$56,5,FALSE)-VLOOKUP($A48,main!$A$3:$I$56,6,FALSE)&gt;=(VLOOKUP(VLOOKUP(AY$1,main!$A$3:$I$56,8,FALSE),main!$K$11:$M$14,2,FALSE)+VLOOKUP(VLOOKUP(AY$1,main!$A$3:$I$56,7,FALSE),main!$K$19:$O$22,MATCH(VLOOKUP($A48,main!$A$3:$I$56,8,FALSE),main!$K$18:$O$18,0))))),1,0)</f>
        <v>1</v>
      </c>
      <c r="AZ48">
        <f>IF((AND(VLOOKUP(AZ$1,main!$A$3:$I$56,5,FALSE)-VLOOKUP($A48,main!$A$3:$I$56,6,FALSE)&gt;=(VLOOKUP(VLOOKUP(AZ$1,main!$A$3:$I$56,8,FALSE),main!$K$11:$M$14,2,FALSE)+VLOOKUP(VLOOKUP(AZ$1,main!$A$3:$I$56,7,FALSE),main!$K$19:$O$22,MATCH(VLOOKUP($A48,main!$A$3:$I$56,8,FALSE),main!$K$18:$O$18,0))))),1,0)</f>
        <v>0</v>
      </c>
      <c r="BA48">
        <f>IF((AND(VLOOKUP(BA$1,main!$A$3:$I$56,5,FALSE)-VLOOKUP($A48,main!$A$3:$I$56,6,FALSE)&gt;=(VLOOKUP(VLOOKUP(BA$1,main!$A$3:$I$56,8,FALSE),main!$K$11:$M$14,2,FALSE)+VLOOKUP(VLOOKUP(BA$1,main!$A$3:$I$56,7,FALSE),main!$K$19:$O$22,MATCH(VLOOKUP($A48,main!$A$3:$I$56,8,FALSE),main!$K$18:$O$18,0))))),1,0)</f>
        <v>0</v>
      </c>
      <c r="BB48">
        <f>IF((AND(VLOOKUP(BB$1,main!$A$3:$I$56,5,FALSE)-VLOOKUP($A48,main!$A$3:$I$56,6,FALSE)&gt;=(VLOOKUP(VLOOKUP(BB$1,main!$A$3:$I$56,8,FALSE),main!$K$11:$M$14,2,FALSE)+VLOOKUP(VLOOKUP(BB$1,main!$A$3:$I$56,7,FALSE),main!$K$19:$O$22,MATCH(VLOOKUP($A48,main!$A$3:$I$56,8,FALSE),main!$K$18:$O$18,0))))),1,0)</f>
        <v>0</v>
      </c>
      <c r="BC48">
        <f>IF((AND(VLOOKUP(BC$1,main!$A$3:$I$56,5,FALSE)-VLOOKUP($A48,main!$A$3:$I$56,6,FALSE)&gt;=(VLOOKUP(VLOOKUP(BC$1,main!$A$3:$I$56,8,FALSE),main!$K$11:$M$14,2,FALSE)+VLOOKUP(VLOOKUP(BC$1,main!$A$3:$I$56,7,FALSE),main!$K$19:$O$22,MATCH(VLOOKUP($A48,main!$A$3:$I$56,8,FALSE),main!$K$18:$O$18,0))))),1,0)</f>
        <v>1</v>
      </c>
      <c r="BD48">
        <f>IF((AND(VLOOKUP(BD$1,main!$A$3:$I$56,5,FALSE)-VLOOKUP($A48,main!$A$3:$I$56,6,FALSE)&gt;=(VLOOKUP(VLOOKUP(BD$1,main!$A$3:$I$56,8,FALSE),main!$K$11:$M$14,2,FALSE)+VLOOKUP(VLOOKUP(BD$1,main!$A$3:$I$56,7,FALSE),main!$K$19:$O$22,MATCH(VLOOKUP($A48,main!$A$3:$I$56,8,FALSE),main!$K$18:$O$18,0))))),1,0)</f>
        <v>1</v>
      </c>
    </row>
    <row r="49" spans="1:56" x14ac:dyDescent="0.25">
      <c r="A49">
        <f t="shared" si="0"/>
        <v>47</v>
      </c>
      <c r="B49">
        <v>1</v>
      </c>
      <c r="C49">
        <f>IF((AND(VLOOKUP(C$1,main!$A$3:$I$56,5,FALSE)-VLOOKUP($A49,main!$A$3:$I$56,6,FALSE)&gt;=(VLOOKUP(VLOOKUP(C$1,main!$A$3:$I$56,8,FALSE),main!$K$11:$M$14,2,FALSE)+VLOOKUP(VLOOKUP(C$1,main!$A$3:$I$56,7,FALSE),main!$K$19:$O$22,MATCH(VLOOKUP($A49,main!$A$3:$I$56,8,FALSE),main!$K$18:$O$18,0))))),1,0)</f>
        <v>0</v>
      </c>
      <c r="D49">
        <f>IF((AND(VLOOKUP(D$1,main!$A$3:$I$56,5,FALSE)-VLOOKUP($A49,main!$A$3:$I$56,6,FALSE)&gt;=(VLOOKUP(VLOOKUP(D$1,main!$A$3:$I$56,8,FALSE),main!$K$11:$M$14,2,FALSE)+VLOOKUP(VLOOKUP(D$1,main!$A$3:$I$56,7,FALSE),main!$K$19:$O$22,MATCH(VLOOKUP($A49,main!$A$3:$I$56,8,FALSE),main!$K$18:$O$18,0))))),1,0)</f>
        <v>0</v>
      </c>
      <c r="E49">
        <f>IF((AND(VLOOKUP(E$1,main!$A$3:$I$56,5,FALSE)-VLOOKUP($A49,main!$A$3:$I$56,6,FALSE)&gt;=(VLOOKUP(VLOOKUP(E$1,main!$A$3:$I$56,8,FALSE),main!$K$11:$M$14,2,FALSE)+VLOOKUP(VLOOKUP(E$1,main!$A$3:$I$56,7,FALSE),main!$K$19:$O$22,MATCH(VLOOKUP($A49,main!$A$3:$I$56,8,FALSE),main!$K$18:$O$18,0))))),1,0)</f>
        <v>0</v>
      </c>
      <c r="F49">
        <f>IF((AND(VLOOKUP(F$1,main!$A$3:$I$56,5,FALSE)-VLOOKUP($A49,main!$A$3:$I$56,6,FALSE)&gt;=(VLOOKUP(VLOOKUP(F$1,main!$A$3:$I$56,8,FALSE),main!$K$11:$M$14,2,FALSE)+VLOOKUP(VLOOKUP(F$1,main!$A$3:$I$56,7,FALSE),main!$K$19:$O$22,MATCH(VLOOKUP($A49,main!$A$3:$I$56,8,FALSE),main!$K$18:$O$18,0))))),1,0)</f>
        <v>0</v>
      </c>
      <c r="G49">
        <f>IF((AND(VLOOKUP(G$1,main!$A$3:$I$56,5,FALSE)-VLOOKUP($A49,main!$A$3:$I$56,6,FALSE)&gt;=(VLOOKUP(VLOOKUP(G$1,main!$A$3:$I$56,8,FALSE),main!$K$11:$M$14,2,FALSE)+VLOOKUP(VLOOKUP(G$1,main!$A$3:$I$56,7,FALSE),main!$K$19:$O$22,MATCH(VLOOKUP($A49,main!$A$3:$I$56,8,FALSE),main!$K$18:$O$18,0))))),1,0)</f>
        <v>1</v>
      </c>
      <c r="H49">
        <f>IF((AND(VLOOKUP(H$1,main!$A$3:$I$56,5,FALSE)-VLOOKUP($A49,main!$A$3:$I$56,6,FALSE)&gt;=(VLOOKUP(VLOOKUP(H$1,main!$A$3:$I$56,8,FALSE),main!$K$11:$M$14,2,FALSE)+VLOOKUP(VLOOKUP(H$1,main!$A$3:$I$56,7,FALSE),main!$K$19:$O$22,MATCH(VLOOKUP($A49,main!$A$3:$I$56,8,FALSE),main!$K$18:$O$18,0))))),1,0)</f>
        <v>1</v>
      </c>
      <c r="I49">
        <f>IF((AND(VLOOKUP(I$1,main!$A$3:$I$56,5,FALSE)-VLOOKUP($A49,main!$A$3:$I$56,6,FALSE)&gt;=(VLOOKUP(VLOOKUP(I$1,main!$A$3:$I$56,8,FALSE),main!$K$11:$M$14,2,FALSE)+VLOOKUP(VLOOKUP(I$1,main!$A$3:$I$56,7,FALSE),main!$K$19:$O$22,MATCH(VLOOKUP($A49,main!$A$3:$I$56,8,FALSE),main!$K$18:$O$18,0))))),1,0)</f>
        <v>1</v>
      </c>
      <c r="J49">
        <f>IF((AND(VLOOKUP(J$1,main!$A$3:$I$56,5,FALSE)-VLOOKUP($A49,main!$A$3:$I$56,6,FALSE)&gt;=(VLOOKUP(VLOOKUP(J$1,main!$A$3:$I$56,8,FALSE),main!$K$11:$M$14,2,FALSE)+VLOOKUP(VLOOKUP(J$1,main!$A$3:$I$56,7,FALSE),main!$K$19:$O$22,MATCH(VLOOKUP($A49,main!$A$3:$I$56,8,FALSE),main!$K$18:$O$18,0))))),1,0)</f>
        <v>1</v>
      </c>
      <c r="K49">
        <f>IF((AND(VLOOKUP(K$1,main!$A$3:$I$56,5,FALSE)-VLOOKUP($A49,main!$A$3:$I$56,6,FALSE)&gt;=(VLOOKUP(VLOOKUP(K$1,main!$A$3:$I$56,8,FALSE),main!$K$11:$M$14,2,FALSE)+VLOOKUP(VLOOKUP(K$1,main!$A$3:$I$56,7,FALSE),main!$K$19:$O$22,MATCH(VLOOKUP($A49,main!$A$3:$I$56,8,FALSE),main!$K$18:$O$18,0))))),1,0)</f>
        <v>0</v>
      </c>
      <c r="L49">
        <f>IF((AND(VLOOKUP(L$1,main!$A$3:$I$56,5,FALSE)-VLOOKUP($A49,main!$A$3:$I$56,6,FALSE)&gt;=(VLOOKUP(VLOOKUP(L$1,main!$A$3:$I$56,8,FALSE),main!$K$11:$M$14,2,FALSE)+VLOOKUP(VLOOKUP(L$1,main!$A$3:$I$56,7,FALSE),main!$K$19:$O$22,MATCH(VLOOKUP($A49,main!$A$3:$I$56,8,FALSE),main!$K$18:$O$18,0))))),1,0)</f>
        <v>0</v>
      </c>
      <c r="M49">
        <f>IF((AND(VLOOKUP(M$1,main!$A$3:$I$56,5,FALSE)-VLOOKUP($A49,main!$A$3:$I$56,6,FALSE)&gt;=(VLOOKUP(VLOOKUP(M$1,main!$A$3:$I$56,8,FALSE),main!$K$11:$M$14,2,FALSE)+VLOOKUP(VLOOKUP(M$1,main!$A$3:$I$56,7,FALSE),main!$K$19:$O$22,MATCH(VLOOKUP($A49,main!$A$3:$I$56,8,FALSE),main!$K$18:$O$18,0))))),1,0)</f>
        <v>0</v>
      </c>
      <c r="N49">
        <f>IF((AND(VLOOKUP(N$1,main!$A$3:$I$56,5,FALSE)-VLOOKUP($A49,main!$A$3:$I$56,6,FALSE)&gt;=(VLOOKUP(VLOOKUP(N$1,main!$A$3:$I$56,8,FALSE),main!$K$11:$M$14,2,FALSE)+VLOOKUP(VLOOKUP(N$1,main!$A$3:$I$56,7,FALSE),main!$K$19:$O$22,MATCH(VLOOKUP($A49,main!$A$3:$I$56,8,FALSE),main!$K$18:$O$18,0))))),1,0)</f>
        <v>1</v>
      </c>
      <c r="O49">
        <f>IF((AND(VLOOKUP(O$1,main!$A$3:$I$56,5,FALSE)-VLOOKUP($A49,main!$A$3:$I$56,6,FALSE)&gt;=(VLOOKUP(VLOOKUP(O$1,main!$A$3:$I$56,8,FALSE),main!$K$11:$M$14,2,FALSE)+VLOOKUP(VLOOKUP(O$1,main!$A$3:$I$56,7,FALSE),main!$K$19:$O$22,MATCH(VLOOKUP($A49,main!$A$3:$I$56,8,FALSE),main!$K$18:$O$18,0))))),1,0)</f>
        <v>1</v>
      </c>
      <c r="P49">
        <f>IF((AND(VLOOKUP(P$1,main!$A$3:$I$56,5,FALSE)-VLOOKUP($A49,main!$A$3:$I$56,6,FALSE)&gt;=(VLOOKUP(VLOOKUP(P$1,main!$A$3:$I$56,8,FALSE),main!$K$11:$M$14,2,FALSE)+VLOOKUP(VLOOKUP(P$1,main!$A$3:$I$56,7,FALSE),main!$K$19:$O$22,MATCH(VLOOKUP($A49,main!$A$3:$I$56,8,FALSE),main!$K$18:$O$18,0))))),1,0)</f>
        <v>0</v>
      </c>
      <c r="Q49">
        <f>IF((AND(VLOOKUP(Q$1,main!$A$3:$I$56,5,FALSE)-VLOOKUP($A49,main!$A$3:$I$56,6,FALSE)&gt;=(VLOOKUP(VLOOKUP(Q$1,main!$A$3:$I$56,8,FALSE),main!$K$11:$M$14,2,FALSE)+VLOOKUP(VLOOKUP(Q$1,main!$A$3:$I$56,7,FALSE),main!$K$19:$O$22,MATCH(VLOOKUP($A49,main!$A$3:$I$56,8,FALSE),main!$K$18:$O$18,0))))),1,0)</f>
        <v>0</v>
      </c>
      <c r="R49">
        <f>IF((AND(VLOOKUP(R$1,main!$A$3:$I$56,5,FALSE)-VLOOKUP($A49,main!$A$3:$I$56,6,FALSE)&gt;=(VLOOKUP(VLOOKUP(R$1,main!$A$3:$I$56,8,FALSE),main!$K$11:$M$14,2,FALSE)+VLOOKUP(VLOOKUP(R$1,main!$A$3:$I$56,7,FALSE),main!$K$19:$O$22,MATCH(VLOOKUP($A49,main!$A$3:$I$56,8,FALSE),main!$K$18:$O$18,0))))),1,0)</f>
        <v>0</v>
      </c>
      <c r="S49">
        <f>IF((AND(VLOOKUP(S$1,main!$A$3:$I$56,5,FALSE)-VLOOKUP($A49,main!$A$3:$I$56,6,FALSE)&gt;=(VLOOKUP(VLOOKUP(S$1,main!$A$3:$I$56,8,FALSE),main!$K$11:$M$14,2,FALSE)+VLOOKUP(VLOOKUP(S$1,main!$A$3:$I$56,7,FALSE),main!$K$19:$O$22,MATCH(VLOOKUP($A49,main!$A$3:$I$56,8,FALSE),main!$K$18:$O$18,0))))),1,0)</f>
        <v>1</v>
      </c>
      <c r="T49">
        <f>IF((AND(VLOOKUP(T$1,main!$A$3:$I$56,5,FALSE)-VLOOKUP($A49,main!$A$3:$I$56,6,FALSE)&gt;=(VLOOKUP(VLOOKUP(T$1,main!$A$3:$I$56,8,FALSE),main!$K$11:$M$14,2,FALSE)+VLOOKUP(VLOOKUP(T$1,main!$A$3:$I$56,7,FALSE),main!$K$19:$O$22,MATCH(VLOOKUP($A49,main!$A$3:$I$56,8,FALSE),main!$K$18:$O$18,0))))),1,0)</f>
        <v>1</v>
      </c>
      <c r="U49">
        <f>IF((AND(VLOOKUP(U$1,main!$A$3:$I$56,5,FALSE)-VLOOKUP($A49,main!$A$3:$I$56,6,FALSE)&gt;=(VLOOKUP(VLOOKUP(U$1,main!$A$3:$I$56,8,FALSE),main!$K$11:$M$14,2,FALSE)+VLOOKUP(VLOOKUP(U$1,main!$A$3:$I$56,7,FALSE),main!$K$19:$O$22,MATCH(VLOOKUP($A49,main!$A$3:$I$56,8,FALSE),main!$K$18:$O$18,0))))),1,0)</f>
        <v>0</v>
      </c>
      <c r="V49">
        <f>IF((AND(VLOOKUP(V$1,main!$A$3:$I$56,5,FALSE)-VLOOKUP($A49,main!$A$3:$I$56,6,FALSE)&gt;=(VLOOKUP(VLOOKUP(V$1,main!$A$3:$I$56,8,FALSE),main!$K$11:$M$14,2,FALSE)+VLOOKUP(VLOOKUP(V$1,main!$A$3:$I$56,7,FALSE),main!$K$19:$O$22,MATCH(VLOOKUP($A49,main!$A$3:$I$56,8,FALSE),main!$K$18:$O$18,0))))),1,0)</f>
        <v>0</v>
      </c>
      <c r="W49">
        <f>IF((AND(VLOOKUP(W$1,main!$A$3:$I$56,5,FALSE)-VLOOKUP($A49,main!$A$3:$I$56,6,FALSE)&gt;=(VLOOKUP(VLOOKUP(W$1,main!$A$3:$I$56,8,FALSE),main!$K$11:$M$14,2,FALSE)+VLOOKUP(VLOOKUP(W$1,main!$A$3:$I$56,7,FALSE),main!$K$19:$O$22,MATCH(VLOOKUP($A49,main!$A$3:$I$56,8,FALSE),main!$K$18:$O$18,0))))),1,0)</f>
        <v>0</v>
      </c>
      <c r="X49">
        <f>IF((AND(VLOOKUP(X$1,main!$A$3:$I$56,5,FALSE)-VLOOKUP($A49,main!$A$3:$I$56,6,FALSE)&gt;=(VLOOKUP(VLOOKUP(X$1,main!$A$3:$I$56,8,FALSE),main!$K$11:$M$14,2,FALSE)+VLOOKUP(VLOOKUP(X$1,main!$A$3:$I$56,7,FALSE),main!$K$19:$O$22,MATCH(VLOOKUP($A49,main!$A$3:$I$56,8,FALSE),main!$K$18:$O$18,0))))),1,0)</f>
        <v>0</v>
      </c>
      <c r="Y49">
        <f>IF((AND(VLOOKUP(Y$1,main!$A$3:$I$56,5,FALSE)-VLOOKUP($A49,main!$A$3:$I$56,6,FALSE)&gt;=(VLOOKUP(VLOOKUP(Y$1,main!$A$3:$I$56,8,FALSE),main!$K$11:$M$14,2,FALSE)+VLOOKUP(VLOOKUP(Y$1,main!$A$3:$I$56,7,FALSE),main!$K$19:$O$22,MATCH(VLOOKUP($A49,main!$A$3:$I$56,8,FALSE),main!$K$18:$O$18,0))))),1,0)</f>
        <v>0</v>
      </c>
      <c r="Z49">
        <f>IF((AND(VLOOKUP(Z$1,main!$A$3:$I$56,5,FALSE)-VLOOKUP($A49,main!$A$3:$I$56,6,FALSE)&gt;=(VLOOKUP(VLOOKUP(Z$1,main!$A$3:$I$56,8,FALSE),main!$K$11:$M$14,2,FALSE)+VLOOKUP(VLOOKUP(Z$1,main!$A$3:$I$56,7,FALSE),main!$K$19:$O$22,MATCH(VLOOKUP($A49,main!$A$3:$I$56,8,FALSE),main!$K$18:$O$18,0))))),1,0)</f>
        <v>1</v>
      </c>
      <c r="AA49">
        <f>IF((AND(VLOOKUP(AA$1,main!$A$3:$I$56,5,FALSE)-VLOOKUP($A49,main!$A$3:$I$56,6,FALSE)&gt;=(VLOOKUP(VLOOKUP(AA$1,main!$A$3:$I$56,8,FALSE),main!$K$11:$M$14,2,FALSE)+VLOOKUP(VLOOKUP(AA$1,main!$A$3:$I$56,7,FALSE),main!$K$19:$O$22,MATCH(VLOOKUP($A49,main!$A$3:$I$56,8,FALSE),main!$K$18:$O$18,0))))),1,0)</f>
        <v>1</v>
      </c>
      <c r="AB49">
        <f>IF((AND(VLOOKUP(AB$1,main!$A$3:$I$56,5,FALSE)-VLOOKUP($A49,main!$A$3:$I$56,6,FALSE)&gt;=(VLOOKUP(VLOOKUP(AB$1,main!$A$3:$I$56,8,FALSE),main!$K$11:$M$14,2,FALSE)+VLOOKUP(VLOOKUP(AB$1,main!$A$3:$I$56,7,FALSE),main!$K$19:$O$22,MATCH(VLOOKUP($A49,main!$A$3:$I$56,8,FALSE),main!$K$18:$O$18,0))))),1,0)</f>
        <v>1</v>
      </c>
      <c r="AC49">
        <f>IF((AND(VLOOKUP(AC$1,main!$A$3:$I$56,5,FALSE)-VLOOKUP($A49,main!$A$3:$I$56,6,FALSE)&gt;=(VLOOKUP(VLOOKUP(AC$1,main!$A$3:$I$56,8,FALSE),main!$K$11:$M$14,2,FALSE)+VLOOKUP(VLOOKUP(AC$1,main!$A$3:$I$56,7,FALSE),main!$K$19:$O$22,MATCH(VLOOKUP($A49,main!$A$3:$I$56,8,FALSE),main!$K$18:$O$18,0))))),1,0)</f>
        <v>0</v>
      </c>
      <c r="AD49">
        <f>IF((AND(VLOOKUP(AD$1,main!$A$3:$I$56,5,FALSE)-VLOOKUP($A49,main!$A$3:$I$56,6,FALSE)&gt;=(VLOOKUP(VLOOKUP(AD$1,main!$A$3:$I$56,8,FALSE),main!$K$11:$M$14,2,FALSE)+VLOOKUP(VLOOKUP(AD$1,main!$A$3:$I$56,7,FALSE),main!$K$19:$O$22,MATCH(VLOOKUP($A49,main!$A$3:$I$56,8,FALSE),main!$K$18:$O$18,0))))),1,0)</f>
        <v>0</v>
      </c>
      <c r="AE49">
        <f>IF((AND(VLOOKUP(AE$1,main!$A$3:$I$56,5,FALSE)-VLOOKUP($A49,main!$A$3:$I$56,6,FALSE)&gt;=(VLOOKUP(VLOOKUP(AE$1,main!$A$3:$I$56,8,FALSE),main!$K$11:$M$14,2,FALSE)+VLOOKUP(VLOOKUP(AE$1,main!$A$3:$I$56,7,FALSE),main!$K$19:$O$22,MATCH(VLOOKUP($A49,main!$A$3:$I$56,8,FALSE),main!$K$18:$O$18,0))))),1,0)</f>
        <v>0</v>
      </c>
      <c r="AF49">
        <f>IF((AND(VLOOKUP(AF$1,main!$A$3:$I$56,5,FALSE)-VLOOKUP($A49,main!$A$3:$I$56,6,FALSE)&gt;=(VLOOKUP(VLOOKUP(AF$1,main!$A$3:$I$56,8,FALSE),main!$K$11:$M$14,2,FALSE)+VLOOKUP(VLOOKUP(AF$1,main!$A$3:$I$56,7,FALSE),main!$K$19:$O$22,MATCH(VLOOKUP($A49,main!$A$3:$I$56,8,FALSE),main!$K$18:$O$18,0))))),1,0)</f>
        <v>0</v>
      </c>
      <c r="AG49">
        <f>IF((AND(VLOOKUP(AG$1,main!$A$3:$I$56,5,FALSE)-VLOOKUP($A49,main!$A$3:$I$56,6,FALSE)&gt;=(VLOOKUP(VLOOKUP(AG$1,main!$A$3:$I$56,8,FALSE),main!$K$11:$M$14,2,FALSE)+VLOOKUP(VLOOKUP(AG$1,main!$A$3:$I$56,7,FALSE),main!$K$19:$O$22,MATCH(VLOOKUP($A49,main!$A$3:$I$56,8,FALSE),main!$K$18:$O$18,0))))),1,0)</f>
        <v>0</v>
      </c>
      <c r="AH49">
        <f>IF((AND(VLOOKUP(AH$1,main!$A$3:$I$56,5,FALSE)-VLOOKUP($A49,main!$A$3:$I$56,6,FALSE)&gt;=(VLOOKUP(VLOOKUP(AH$1,main!$A$3:$I$56,8,FALSE),main!$K$11:$M$14,2,FALSE)+VLOOKUP(VLOOKUP(AH$1,main!$A$3:$I$56,7,FALSE),main!$K$19:$O$22,MATCH(VLOOKUP($A49,main!$A$3:$I$56,8,FALSE),main!$K$18:$O$18,0))))),1,0)</f>
        <v>0</v>
      </c>
      <c r="AI49">
        <f>IF((AND(VLOOKUP(AI$1,main!$A$3:$I$56,5,FALSE)-VLOOKUP($A49,main!$A$3:$I$56,6,FALSE)&gt;=(VLOOKUP(VLOOKUP(AI$1,main!$A$3:$I$56,8,FALSE),main!$K$11:$M$14,2,FALSE)+VLOOKUP(VLOOKUP(AI$1,main!$A$3:$I$56,7,FALSE),main!$K$19:$O$22,MATCH(VLOOKUP($A49,main!$A$3:$I$56,8,FALSE),main!$K$18:$O$18,0))))),1,0)</f>
        <v>0</v>
      </c>
      <c r="AJ49">
        <f>IF((AND(VLOOKUP(AJ$1,main!$A$3:$I$56,5,FALSE)-VLOOKUP($A49,main!$A$3:$I$56,6,FALSE)&gt;=(VLOOKUP(VLOOKUP(AJ$1,main!$A$3:$I$56,8,FALSE),main!$K$11:$M$14,2,FALSE)+VLOOKUP(VLOOKUP(AJ$1,main!$A$3:$I$56,7,FALSE),main!$K$19:$O$22,MATCH(VLOOKUP($A49,main!$A$3:$I$56,8,FALSE),main!$K$18:$O$18,0))))),1,0)</f>
        <v>0</v>
      </c>
      <c r="AK49">
        <f>IF((AND(VLOOKUP(AK$1,main!$A$3:$I$56,5,FALSE)-VLOOKUP($A49,main!$A$3:$I$56,6,FALSE)&gt;=(VLOOKUP(VLOOKUP(AK$1,main!$A$3:$I$56,8,FALSE),main!$K$11:$M$14,2,FALSE)+VLOOKUP(VLOOKUP(AK$1,main!$A$3:$I$56,7,FALSE),main!$K$19:$O$22,MATCH(VLOOKUP($A49,main!$A$3:$I$56,8,FALSE),main!$K$18:$O$18,0))))),1,0)</f>
        <v>1</v>
      </c>
      <c r="AL49">
        <f>IF((AND(VLOOKUP(AL$1,main!$A$3:$I$56,5,FALSE)-VLOOKUP($A49,main!$A$3:$I$56,6,FALSE)&gt;=(VLOOKUP(VLOOKUP(AL$1,main!$A$3:$I$56,8,FALSE),main!$K$11:$M$14,2,FALSE)+VLOOKUP(VLOOKUP(AL$1,main!$A$3:$I$56,7,FALSE),main!$K$19:$O$22,MATCH(VLOOKUP($A49,main!$A$3:$I$56,8,FALSE),main!$K$18:$O$18,0))))),1,0)</f>
        <v>0</v>
      </c>
      <c r="AM49">
        <f>IF((AND(VLOOKUP(AM$1,main!$A$3:$I$56,5,FALSE)-VLOOKUP($A49,main!$A$3:$I$56,6,FALSE)&gt;=(VLOOKUP(VLOOKUP(AM$1,main!$A$3:$I$56,8,FALSE),main!$K$11:$M$14,2,FALSE)+VLOOKUP(VLOOKUP(AM$1,main!$A$3:$I$56,7,FALSE),main!$K$19:$O$22,MATCH(VLOOKUP($A49,main!$A$3:$I$56,8,FALSE),main!$K$18:$O$18,0))))),1,0)</f>
        <v>0</v>
      </c>
      <c r="AN49">
        <f>IF((AND(VLOOKUP(AN$1,main!$A$3:$I$56,5,FALSE)-VLOOKUP($A49,main!$A$3:$I$56,6,FALSE)&gt;=(VLOOKUP(VLOOKUP(AN$1,main!$A$3:$I$56,8,FALSE),main!$K$11:$M$14,2,FALSE)+VLOOKUP(VLOOKUP(AN$1,main!$A$3:$I$56,7,FALSE),main!$K$19:$O$22,MATCH(VLOOKUP($A49,main!$A$3:$I$56,8,FALSE),main!$K$18:$O$18,0))))),1,0)</f>
        <v>0</v>
      </c>
      <c r="AO49">
        <f>IF((AND(VLOOKUP(AO$1,main!$A$3:$I$56,5,FALSE)-VLOOKUP($A49,main!$A$3:$I$56,6,FALSE)&gt;=(VLOOKUP(VLOOKUP(AO$1,main!$A$3:$I$56,8,FALSE),main!$K$11:$M$14,2,FALSE)+VLOOKUP(VLOOKUP(AO$1,main!$A$3:$I$56,7,FALSE),main!$K$19:$O$22,MATCH(VLOOKUP($A49,main!$A$3:$I$56,8,FALSE),main!$K$18:$O$18,0))))),1,0)</f>
        <v>0</v>
      </c>
      <c r="AP49">
        <f>IF((AND(VLOOKUP(AP$1,main!$A$3:$I$56,5,FALSE)-VLOOKUP($A49,main!$A$3:$I$56,6,FALSE)&gt;=(VLOOKUP(VLOOKUP(AP$1,main!$A$3:$I$56,8,FALSE),main!$K$11:$M$14,2,FALSE)+VLOOKUP(VLOOKUP(AP$1,main!$A$3:$I$56,7,FALSE),main!$K$19:$O$22,MATCH(VLOOKUP($A49,main!$A$3:$I$56,8,FALSE),main!$K$18:$O$18,0))))),1,0)</f>
        <v>0</v>
      </c>
      <c r="AQ49">
        <f>IF((AND(VLOOKUP(AQ$1,main!$A$3:$I$56,5,FALSE)-VLOOKUP($A49,main!$A$3:$I$56,6,FALSE)&gt;=(VLOOKUP(VLOOKUP(AQ$1,main!$A$3:$I$56,8,FALSE),main!$K$11:$M$14,2,FALSE)+VLOOKUP(VLOOKUP(AQ$1,main!$A$3:$I$56,7,FALSE),main!$K$19:$O$22,MATCH(VLOOKUP($A49,main!$A$3:$I$56,8,FALSE),main!$K$18:$O$18,0))))),1,0)</f>
        <v>0</v>
      </c>
      <c r="AR49">
        <f>IF((AND(VLOOKUP(AR$1,main!$A$3:$I$56,5,FALSE)-VLOOKUP($A49,main!$A$3:$I$56,6,FALSE)&gt;=(VLOOKUP(VLOOKUP(AR$1,main!$A$3:$I$56,8,FALSE),main!$K$11:$M$14,2,FALSE)+VLOOKUP(VLOOKUP(AR$1,main!$A$3:$I$56,7,FALSE),main!$K$19:$O$22,MATCH(VLOOKUP($A49,main!$A$3:$I$56,8,FALSE),main!$K$18:$O$18,0))))),1,0)</f>
        <v>0</v>
      </c>
      <c r="AS49">
        <f>IF((AND(VLOOKUP(AS$1,main!$A$3:$I$56,5,FALSE)-VLOOKUP($A49,main!$A$3:$I$56,6,FALSE)&gt;=(VLOOKUP(VLOOKUP(AS$1,main!$A$3:$I$56,8,FALSE),main!$K$11:$M$14,2,FALSE)+VLOOKUP(VLOOKUP(AS$1,main!$A$3:$I$56,7,FALSE),main!$K$19:$O$22,MATCH(VLOOKUP($A49,main!$A$3:$I$56,8,FALSE),main!$K$18:$O$18,0))))),1,0)</f>
        <v>0</v>
      </c>
      <c r="AT49">
        <f>IF((AND(VLOOKUP(AT$1,main!$A$3:$I$56,5,FALSE)-VLOOKUP($A49,main!$A$3:$I$56,6,FALSE)&gt;=(VLOOKUP(VLOOKUP(AT$1,main!$A$3:$I$56,8,FALSE),main!$K$11:$M$14,2,FALSE)+VLOOKUP(VLOOKUP(AT$1,main!$A$3:$I$56,7,FALSE),main!$K$19:$O$22,MATCH(VLOOKUP($A49,main!$A$3:$I$56,8,FALSE),main!$K$18:$O$18,0))))),1,0)</f>
        <v>0</v>
      </c>
      <c r="AU49">
        <f>IF((AND(VLOOKUP(AU$1,main!$A$3:$I$56,5,FALSE)-VLOOKUP($A49,main!$A$3:$I$56,6,FALSE)&gt;=(VLOOKUP(VLOOKUP(AU$1,main!$A$3:$I$56,8,FALSE),main!$K$11:$M$14,2,FALSE)+VLOOKUP(VLOOKUP(AU$1,main!$A$3:$I$56,7,FALSE),main!$K$19:$O$22,MATCH(VLOOKUP($A49,main!$A$3:$I$56,8,FALSE),main!$K$18:$O$18,0))))),1,0)</f>
        <v>0</v>
      </c>
      <c r="AV49">
        <f>IF((AND(VLOOKUP(AV$1,main!$A$3:$I$56,5,FALSE)-VLOOKUP($A49,main!$A$3:$I$56,6,FALSE)&gt;=(VLOOKUP(VLOOKUP(AV$1,main!$A$3:$I$56,8,FALSE),main!$K$11:$M$14,2,FALSE)+VLOOKUP(VLOOKUP(AV$1,main!$A$3:$I$56,7,FALSE),main!$K$19:$O$22,MATCH(VLOOKUP($A49,main!$A$3:$I$56,8,FALSE),main!$K$18:$O$18,0))))),1,0)</f>
        <v>0</v>
      </c>
      <c r="AW49">
        <f>IF((AND(VLOOKUP(AW$1,main!$A$3:$I$56,5,FALSE)-VLOOKUP($A49,main!$A$3:$I$56,6,FALSE)&gt;=(VLOOKUP(VLOOKUP(AW$1,main!$A$3:$I$56,8,FALSE),main!$K$11:$M$14,2,FALSE)+VLOOKUP(VLOOKUP(AW$1,main!$A$3:$I$56,7,FALSE),main!$K$19:$O$22,MATCH(VLOOKUP($A49,main!$A$3:$I$56,8,FALSE),main!$K$18:$O$18,0))))),1,0)</f>
        <v>0</v>
      </c>
      <c r="AX49">
        <f>IF((AND(VLOOKUP(AX$1,main!$A$3:$I$56,5,FALSE)-VLOOKUP($A49,main!$A$3:$I$56,6,FALSE)&gt;=(VLOOKUP(VLOOKUP(AX$1,main!$A$3:$I$56,8,FALSE),main!$K$11:$M$14,2,FALSE)+VLOOKUP(VLOOKUP(AX$1,main!$A$3:$I$56,7,FALSE),main!$K$19:$O$22,MATCH(VLOOKUP($A49,main!$A$3:$I$56,8,FALSE),main!$K$18:$O$18,0))))),1,0)</f>
        <v>1</v>
      </c>
      <c r="AY49">
        <f>IF((AND(VLOOKUP(AY$1,main!$A$3:$I$56,5,FALSE)-VLOOKUP($A49,main!$A$3:$I$56,6,FALSE)&gt;=(VLOOKUP(VLOOKUP(AY$1,main!$A$3:$I$56,8,FALSE),main!$K$11:$M$14,2,FALSE)+VLOOKUP(VLOOKUP(AY$1,main!$A$3:$I$56,7,FALSE),main!$K$19:$O$22,MATCH(VLOOKUP($A49,main!$A$3:$I$56,8,FALSE),main!$K$18:$O$18,0))))),1,0)</f>
        <v>1</v>
      </c>
      <c r="AZ49">
        <f>IF((AND(VLOOKUP(AZ$1,main!$A$3:$I$56,5,FALSE)-VLOOKUP($A49,main!$A$3:$I$56,6,FALSE)&gt;=(VLOOKUP(VLOOKUP(AZ$1,main!$A$3:$I$56,8,FALSE),main!$K$11:$M$14,2,FALSE)+VLOOKUP(VLOOKUP(AZ$1,main!$A$3:$I$56,7,FALSE),main!$K$19:$O$22,MATCH(VLOOKUP($A49,main!$A$3:$I$56,8,FALSE),main!$K$18:$O$18,0))))),1,0)</f>
        <v>0</v>
      </c>
      <c r="BA49">
        <f>IF((AND(VLOOKUP(BA$1,main!$A$3:$I$56,5,FALSE)-VLOOKUP($A49,main!$A$3:$I$56,6,FALSE)&gt;=(VLOOKUP(VLOOKUP(BA$1,main!$A$3:$I$56,8,FALSE),main!$K$11:$M$14,2,FALSE)+VLOOKUP(VLOOKUP(BA$1,main!$A$3:$I$56,7,FALSE),main!$K$19:$O$22,MATCH(VLOOKUP($A49,main!$A$3:$I$56,8,FALSE),main!$K$18:$O$18,0))))),1,0)</f>
        <v>0</v>
      </c>
      <c r="BB49">
        <f>IF((AND(VLOOKUP(BB$1,main!$A$3:$I$56,5,FALSE)-VLOOKUP($A49,main!$A$3:$I$56,6,FALSE)&gt;=(VLOOKUP(VLOOKUP(BB$1,main!$A$3:$I$56,8,FALSE),main!$K$11:$M$14,2,FALSE)+VLOOKUP(VLOOKUP(BB$1,main!$A$3:$I$56,7,FALSE),main!$K$19:$O$22,MATCH(VLOOKUP($A49,main!$A$3:$I$56,8,FALSE),main!$K$18:$O$18,0))))),1,0)</f>
        <v>0</v>
      </c>
      <c r="BC49">
        <f>IF((AND(VLOOKUP(BC$1,main!$A$3:$I$56,5,FALSE)-VLOOKUP($A49,main!$A$3:$I$56,6,FALSE)&gt;=(VLOOKUP(VLOOKUP(BC$1,main!$A$3:$I$56,8,FALSE),main!$K$11:$M$14,2,FALSE)+VLOOKUP(VLOOKUP(BC$1,main!$A$3:$I$56,7,FALSE),main!$K$19:$O$22,MATCH(VLOOKUP($A49,main!$A$3:$I$56,8,FALSE),main!$K$18:$O$18,0))))),1,0)</f>
        <v>0</v>
      </c>
      <c r="BD49">
        <f>IF((AND(VLOOKUP(BD$1,main!$A$3:$I$56,5,FALSE)-VLOOKUP($A49,main!$A$3:$I$56,6,FALSE)&gt;=(VLOOKUP(VLOOKUP(BD$1,main!$A$3:$I$56,8,FALSE),main!$K$11:$M$14,2,FALSE)+VLOOKUP(VLOOKUP(BD$1,main!$A$3:$I$56,7,FALSE),main!$K$19:$O$22,MATCH(VLOOKUP($A49,main!$A$3:$I$56,8,FALSE),main!$K$18:$O$18,0))))),1,0)</f>
        <v>0</v>
      </c>
    </row>
    <row r="50" spans="1:56" x14ac:dyDescent="0.25">
      <c r="A50">
        <f t="shared" si="0"/>
        <v>48</v>
      </c>
      <c r="B50">
        <v>1</v>
      </c>
      <c r="C50">
        <f>IF((AND(VLOOKUP(C$1,main!$A$3:$I$56,5,FALSE)-VLOOKUP($A50,main!$A$3:$I$56,6,FALSE)&gt;=(VLOOKUP(VLOOKUP(C$1,main!$A$3:$I$56,8,FALSE),main!$K$11:$M$14,2,FALSE)+VLOOKUP(VLOOKUP(C$1,main!$A$3:$I$56,7,FALSE),main!$K$19:$O$22,MATCH(VLOOKUP($A50,main!$A$3:$I$56,8,FALSE),main!$K$18:$O$18,0))))),1,0)</f>
        <v>0</v>
      </c>
      <c r="D50">
        <f>IF((AND(VLOOKUP(D$1,main!$A$3:$I$56,5,FALSE)-VLOOKUP($A50,main!$A$3:$I$56,6,FALSE)&gt;=(VLOOKUP(VLOOKUP(D$1,main!$A$3:$I$56,8,FALSE),main!$K$11:$M$14,2,FALSE)+VLOOKUP(VLOOKUP(D$1,main!$A$3:$I$56,7,FALSE),main!$K$19:$O$22,MATCH(VLOOKUP($A50,main!$A$3:$I$56,8,FALSE),main!$K$18:$O$18,0))))),1,0)</f>
        <v>0</v>
      </c>
      <c r="E50">
        <f>IF((AND(VLOOKUP(E$1,main!$A$3:$I$56,5,FALSE)-VLOOKUP($A50,main!$A$3:$I$56,6,FALSE)&gt;=(VLOOKUP(VLOOKUP(E$1,main!$A$3:$I$56,8,FALSE),main!$K$11:$M$14,2,FALSE)+VLOOKUP(VLOOKUP(E$1,main!$A$3:$I$56,7,FALSE),main!$K$19:$O$22,MATCH(VLOOKUP($A50,main!$A$3:$I$56,8,FALSE),main!$K$18:$O$18,0))))),1,0)</f>
        <v>0</v>
      </c>
      <c r="F50">
        <f>IF((AND(VLOOKUP(F$1,main!$A$3:$I$56,5,FALSE)-VLOOKUP($A50,main!$A$3:$I$56,6,FALSE)&gt;=(VLOOKUP(VLOOKUP(F$1,main!$A$3:$I$56,8,FALSE),main!$K$11:$M$14,2,FALSE)+VLOOKUP(VLOOKUP(F$1,main!$A$3:$I$56,7,FALSE),main!$K$19:$O$22,MATCH(VLOOKUP($A50,main!$A$3:$I$56,8,FALSE),main!$K$18:$O$18,0))))),1,0)</f>
        <v>0</v>
      </c>
      <c r="G50">
        <f>IF((AND(VLOOKUP(G$1,main!$A$3:$I$56,5,FALSE)-VLOOKUP($A50,main!$A$3:$I$56,6,FALSE)&gt;=(VLOOKUP(VLOOKUP(G$1,main!$A$3:$I$56,8,FALSE),main!$K$11:$M$14,2,FALSE)+VLOOKUP(VLOOKUP(G$1,main!$A$3:$I$56,7,FALSE),main!$K$19:$O$22,MATCH(VLOOKUP($A50,main!$A$3:$I$56,8,FALSE),main!$K$18:$O$18,0))))),1,0)</f>
        <v>0</v>
      </c>
      <c r="H50">
        <f>IF((AND(VLOOKUP(H$1,main!$A$3:$I$56,5,FALSE)-VLOOKUP($A50,main!$A$3:$I$56,6,FALSE)&gt;=(VLOOKUP(VLOOKUP(H$1,main!$A$3:$I$56,8,FALSE),main!$K$11:$M$14,2,FALSE)+VLOOKUP(VLOOKUP(H$1,main!$A$3:$I$56,7,FALSE),main!$K$19:$O$22,MATCH(VLOOKUP($A50,main!$A$3:$I$56,8,FALSE),main!$K$18:$O$18,0))))),1,0)</f>
        <v>0</v>
      </c>
      <c r="I50">
        <f>IF((AND(VLOOKUP(I$1,main!$A$3:$I$56,5,FALSE)-VLOOKUP($A50,main!$A$3:$I$56,6,FALSE)&gt;=(VLOOKUP(VLOOKUP(I$1,main!$A$3:$I$56,8,FALSE),main!$K$11:$M$14,2,FALSE)+VLOOKUP(VLOOKUP(I$1,main!$A$3:$I$56,7,FALSE),main!$K$19:$O$22,MATCH(VLOOKUP($A50,main!$A$3:$I$56,8,FALSE),main!$K$18:$O$18,0))))),1,0)</f>
        <v>0</v>
      </c>
      <c r="J50">
        <f>IF((AND(VLOOKUP(J$1,main!$A$3:$I$56,5,FALSE)-VLOOKUP($A50,main!$A$3:$I$56,6,FALSE)&gt;=(VLOOKUP(VLOOKUP(J$1,main!$A$3:$I$56,8,FALSE),main!$K$11:$M$14,2,FALSE)+VLOOKUP(VLOOKUP(J$1,main!$A$3:$I$56,7,FALSE),main!$K$19:$O$22,MATCH(VLOOKUP($A50,main!$A$3:$I$56,8,FALSE),main!$K$18:$O$18,0))))),1,0)</f>
        <v>1</v>
      </c>
      <c r="K50">
        <f>IF((AND(VLOOKUP(K$1,main!$A$3:$I$56,5,FALSE)-VLOOKUP($A50,main!$A$3:$I$56,6,FALSE)&gt;=(VLOOKUP(VLOOKUP(K$1,main!$A$3:$I$56,8,FALSE),main!$K$11:$M$14,2,FALSE)+VLOOKUP(VLOOKUP(K$1,main!$A$3:$I$56,7,FALSE),main!$K$19:$O$22,MATCH(VLOOKUP($A50,main!$A$3:$I$56,8,FALSE),main!$K$18:$O$18,0))))),1,0)</f>
        <v>0</v>
      </c>
      <c r="L50">
        <f>IF((AND(VLOOKUP(L$1,main!$A$3:$I$56,5,FALSE)-VLOOKUP($A50,main!$A$3:$I$56,6,FALSE)&gt;=(VLOOKUP(VLOOKUP(L$1,main!$A$3:$I$56,8,FALSE),main!$K$11:$M$14,2,FALSE)+VLOOKUP(VLOOKUP(L$1,main!$A$3:$I$56,7,FALSE),main!$K$19:$O$22,MATCH(VLOOKUP($A50,main!$A$3:$I$56,8,FALSE),main!$K$18:$O$18,0))))),1,0)</f>
        <v>0</v>
      </c>
      <c r="M50">
        <f>IF((AND(VLOOKUP(M$1,main!$A$3:$I$56,5,FALSE)-VLOOKUP($A50,main!$A$3:$I$56,6,FALSE)&gt;=(VLOOKUP(VLOOKUP(M$1,main!$A$3:$I$56,8,FALSE),main!$K$11:$M$14,2,FALSE)+VLOOKUP(VLOOKUP(M$1,main!$A$3:$I$56,7,FALSE),main!$K$19:$O$22,MATCH(VLOOKUP($A50,main!$A$3:$I$56,8,FALSE),main!$K$18:$O$18,0))))),1,0)</f>
        <v>0</v>
      </c>
      <c r="N50">
        <f>IF((AND(VLOOKUP(N$1,main!$A$3:$I$56,5,FALSE)-VLOOKUP($A50,main!$A$3:$I$56,6,FALSE)&gt;=(VLOOKUP(VLOOKUP(N$1,main!$A$3:$I$56,8,FALSE),main!$K$11:$M$14,2,FALSE)+VLOOKUP(VLOOKUP(N$1,main!$A$3:$I$56,7,FALSE),main!$K$19:$O$22,MATCH(VLOOKUP($A50,main!$A$3:$I$56,8,FALSE),main!$K$18:$O$18,0))))),1,0)</f>
        <v>1</v>
      </c>
      <c r="O50">
        <f>IF((AND(VLOOKUP(O$1,main!$A$3:$I$56,5,FALSE)-VLOOKUP($A50,main!$A$3:$I$56,6,FALSE)&gt;=(VLOOKUP(VLOOKUP(O$1,main!$A$3:$I$56,8,FALSE),main!$K$11:$M$14,2,FALSE)+VLOOKUP(VLOOKUP(O$1,main!$A$3:$I$56,7,FALSE),main!$K$19:$O$22,MATCH(VLOOKUP($A50,main!$A$3:$I$56,8,FALSE),main!$K$18:$O$18,0))))),1,0)</f>
        <v>1</v>
      </c>
      <c r="P50">
        <f>IF((AND(VLOOKUP(P$1,main!$A$3:$I$56,5,FALSE)-VLOOKUP($A50,main!$A$3:$I$56,6,FALSE)&gt;=(VLOOKUP(VLOOKUP(P$1,main!$A$3:$I$56,8,FALSE),main!$K$11:$M$14,2,FALSE)+VLOOKUP(VLOOKUP(P$1,main!$A$3:$I$56,7,FALSE),main!$K$19:$O$22,MATCH(VLOOKUP($A50,main!$A$3:$I$56,8,FALSE),main!$K$18:$O$18,0))))),1,0)</f>
        <v>0</v>
      </c>
      <c r="Q50">
        <f>IF((AND(VLOOKUP(Q$1,main!$A$3:$I$56,5,FALSE)-VLOOKUP($A50,main!$A$3:$I$56,6,FALSE)&gt;=(VLOOKUP(VLOOKUP(Q$1,main!$A$3:$I$56,8,FALSE),main!$K$11:$M$14,2,FALSE)+VLOOKUP(VLOOKUP(Q$1,main!$A$3:$I$56,7,FALSE),main!$K$19:$O$22,MATCH(VLOOKUP($A50,main!$A$3:$I$56,8,FALSE),main!$K$18:$O$18,0))))),1,0)</f>
        <v>0</v>
      </c>
      <c r="R50">
        <f>IF((AND(VLOOKUP(R$1,main!$A$3:$I$56,5,FALSE)-VLOOKUP($A50,main!$A$3:$I$56,6,FALSE)&gt;=(VLOOKUP(VLOOKUP(R$1,main!$A$3:$I$56,8,FALSE),main!$K$11:$M$14,2,FALSE)+VLOOKUP(VLOOKUP(R$1,main!$A$3:$I$56,7,FALSE),main!$K$19:$O$22,MATCH(VLOOKUP($A50,main!$A$3:$I$56,8,FALSE),main!$K$18:$O$18,0))))),1,0)</f>
        <v>0</v>
      </c>
      <c r="S50">
        <f>IF((AND(VLOOKUP(S$1,main!$A$3:$I$56,5,FALSE)-VLOOKUP($A50,main!$A$3:$I$56,6,FALSE)&gt;=(VLOOKUP(VLOOKUP(S$1,main!$A$3:$I$56,8,FALSE),main!$K$11:$M$14,2,FALSE)+VLOOKUP(VLOOKUP(S$1,main!$A$3:$I$56,7,FALSE),main!$K$19:$O$22,MATCH(VLOOKUP($A50,main!$A$3:$I$56,8,FALSE),main!$K$18:$O$18,0))))),1,0)</f>
        <v>0</v>
      </c>
      <c r="T50">
        <f>IF((AND(VLOOKUP(T$1,main!$A$3:$I$56,5,FALSE)-VLOOKUP($A50,main!$A$3:$I$56,6,FALSE)&gt;=(VLOOKUP(VLOOKUP(T$1,main!$A$3:$I$56,8,FALSE),main!$K$11:$M$14,2,FALSE)+VLOOKUP(VLOOKUP(T$1,main!$A$3:$I$56,7,FALSE),main!$K$19:$O$22,MATCH(VLOOKUP($A50,main!$A$3:$I$56,8,FALSE),main!$K$18:$O$18,0))))),1,0)</f>
        <v>0</v>
      </c>
      <c r="U50">
        <f>IF((AND(VLOOKUP(U$1,main!$A$3:$I$56,5,FALSE)-VLOOKUP($A50,main!$A$3:$I$56,6,FALSE)&gt;=(VLOOKUP(VLOOKUP(U$1,main!$A$3:$I$56,8,FALSE),main!$K$11:$M$14,2,FALSE)+VLOOKUP(VLOOKUP(U$1,main!$A$3:$I$56,7,FALSE),main!$K$19:$O$22,MATCH(VLOOKUP($A50,main!$A$3:$I$56,8,FALSE),main!$K$18:$O$18,0))))),1,0)</f>
        <v>0</v>
      </c>
      <c r="V50">
        <f>IF((AND(VLOOKUP(V$1,main!$A$3:$I$56,5,FALSE)-VLOOKUP($A50,main!$A$3:$I$56,6,FALSE)&gt;=(VLOOKUP(VLOOKUP(V$1,main!$A$3:$I$56,8,FALSE),main!$K$11:$M$14,2,FALSE)+VLOOKUP(VLOOKUP(V$1,main!$A$3:$I$56,7,FALSE),main!$K$19:$O$22,MATCH(VLOOKUP($A50,main!$A$3:$I$56,8,FALSE),main!$K$18:$O$18,0))))),1,0)</f>
        <v>0</v>
      </c>
      <c r="W50">
        <f>IF((AND(VLOOKUP(W$1,main!$A$3:$I$56,5,FALSE)-VLOOKUP($A50,main!$A$3:$I$56,6,FALSE)&gt;=(VLOOKUP(VLOOKUP(W$1,main!$A$3:$I$56,8,FALSE),main!$K$11:$M$14,2,FALSE)+VLOOKUP(VLOOKUP(W$1,main!$A$3:$I$56,7,FALSE),main!$K$19:$O$22,MATCH(VLOOKUP($A50,main!$A$3:$I$56,8,FALSE),main!$K$18:$O$18,0))))),1,0)</f>
        <v>0</v>
      </c>
      <c r="X50">
        <f>IF((AND(VLOOKUP(X$1,main!$A$3:$I$56,5,FALSE)-VLOOKUP($A50,main!$A$3:$I$56,6,FALSE)&gt;=(VLOOKUP(VLOOKUP(X$1,main!$A$3:$I$56,8,FALSE),main!$K$11:$M$14,2,FALSE)+VLOOKUP(VLOOKUP(X$1,main!$A$3:$I$56,7,FALSE),main!$K$19:$O$22,MATCH(VLOOKUP($A50,main!$A$3:$I$56,8,FALSE),main!$K$18:$O$18,0))))),1,0)</f>
        <v>0</v>
      </c>
      <c r="Y50">
        <f>IF((AND(VLOOKUP(Y$1,main!$A$3:$I$56,5,FALSE)-VLOOKUP($A50,main!$A$3:$I$56,6,FALSE)&gt;=(VLOOKUP(VLOOKUP(Y$1,main!$A$3:$I$56,8,FALSE),main!$K$11:$M$14,2,FALSE)+VLOOKUP(VLOOKUP(Y$1,main!$A$3:$I$56,7,FALSE),main!$K$19:$O$22,MATCH(VLOOKUP($A50,main!$A$3:$I$56,8,FALSE),main!$K$18:$O$18,0))))),1,0)</f>
        <v>0</v>
      </c>
      <c r="Z50">
        <f>IF((AND(VLOOKUP(Z$1,main!$A$3:$I$56,5,FALSE)-VLOOKUP($A50,main!$A$3:$I$56,6,FALSE)&gt;=(VLOOKUP(VLOOKUP(Z$1,main!$A$3:$I$56,8,FALSE),main!$K$11:$M$14,2,FALSE)+VLOOKUP(VLOOKUP(Z$1,main!$A$3:$I$56,7,FALSE),main!$K$19:$O$22,MATCH(VLOOKUP($A50,main!$A$3:$I$56,8,FALSE),main!$K$18:$O$18,0))))),1,0)</f>
        <v>0</v>
      </c>
      <c r="AA50">
        <f>IF((AND(VLOOKUP(AA$1,main!$A$3:$I$56,5,FALSE)-VLOOKUP($A50,main!$A$3:$I$56,6,FALSE)&gt;=(VLOOKUP(VLOOKUP(AA$1,main!$A$3:$I$56,8,FALSE),main!$K$11:$M$14,2,FALSE)+VLOOKUP(VLOOKUP(AA$1,main!$A$3:$I$56,7,FALSE),main!$K$19:$O$22,MATCH(VLOOKUP($A50,main!$A$3:$I$56,8,FALSE),main!$K$18:$O$18,0))))),1,0)</f>
        <v>0</v>
      </c>
      <c r="AB50">
        <f>IF((AND(VLOOKUP(AB$1,main!$A$3:$I$56,5,FALSE)-VLOOKUP($A50,main!$A$3:$I$56,6,FALSE)&gt;=(VLOOKUP(VLOOKUP(AB$1,main!$A$3:$I$56,8,FALSE),main!$K$11:$M$14,2,FALSE)+VLOOKUP(VLOOKUP(AB$1,main!$A$3:$I$56,7,FALSE),main!$K$19:$O$22,MATCH(VLOOKUP($A50,main!$A$3:$I$56,8,FALSE),main!$K$18:$O$18,0))))),1,0)</f>
        <v>0</v>
      </c>
      <c r="AC50">
        <f>IF((AND(VLOOKUP(AC$1,main!$A$3:$I$56,5,FALSE)-VLOOKUP($A50,main!$A$3:$I$56,6,FALSE)&gt;=(VLOOKUP(VLOOKUP(AC$1,main!$A$3:$I$56,8,FALSE),main!$K$11:$M$14,2,FALSE)+VLOOKUP(VLOOKUP(AC$1,main!$A$3:$I$56,7,FALSE),main!$K$19:$O$22,MATCH(VLOOKUP($A50,main!$A$3:$I$56,8,FALSE),main!$K$18:$O$18,0))))),1,0)</f>
        <v>0</v>
      </c>
      <c r="AD50">
        <f>IF((AND(VLOOKUP(AD$1,main!$A$3:$I$56,5,FALSE)-VLOOKUP($A50,main!$A$3:$I$56,6,FALSE)&gt;=(VLOOKUP(VLOOKUP(AD$1,main!$A$3:$I$56,8,FALSE),main!$K$11:$M$14,2,FALSE)+VLOOKUP(VLOOKUP(AD$1,main!$A$3:$I$56,7,FALSE),main!$K$19:$O$22,MATCH(VLOOKUP($A50,main!$A$3:$I$56,8,FALSE),main!$K$18:$O$18,0))))),1,0)</f>
        <v>0</v>
      </c>
      <c r="AE50">
        <f>IF((AND(VLOOKUP(AE$1,main!$A$3:$I$56,5,FALSE)-VLOOKUP($A50,main!$A$3:$I$56,6,FALSE)&gt;=(VLOOKUP(VLOOKUP(AE$1,main!$A$3:$I$56,8,FALSE),main!$K$11:$M$14,2,FALSE)+VLOOKUP(VLOOKUP(AE$1,main!$A$3:$I$56,7,FALSE),main!$K$19:$O$22,MATCH(VLOOKUP($A50,main!$A$3:$I$56,8,FALSE),main!$K$18:$O$18,0))))),1,0)</f>
        <v>0</v>
      </c>
      <c r="AF50">
        <f>IF((AND(VLOOKUP(AF$1,main!$A$3:$I$56,5,FALSE)-VLOOKUP($A50,main!$A$3:$I$56,6,FALSE)&gt;=(VLOOKUP(VLOOKUP(AF$1,main!$A$3:$I$56,8,FALSE),main!$K$11:$M$14,2,FALSE)+VLOOKUP(VLOOKUP(AF$1,main!$A$3:$I$56,7,FALSE),main!$K$19:$O$22,MATCH(VLOOKUP($A50,main!$A$3:$I$56,8,FALSE),main!$K$18:$O$18,0))))),1,0)</f>
        <v>0</v>
      </c>
      <c r="AG50">
        <f>IF((AND(VLOOKUP(AG$1,main!$A$3:$I$56,5,FALSE)-VLOOKUP($A50,main!$A$3:$I$56,6,FALSE)&gt;=(VLOOKUP(VLOOKUP(AG$1,main!$A$3:$I$56,8,FALSE),main!$K$11:$M$14,2,FALSE)+VLOOKUP(VLOOKUP(AG$1,main!$A$3:$I$56,7,FALSE),main!$K$19:$O$22,MATCH(VLOOKUP($A50,main!$A$3:$I$56,8,FALSE),main!$K$18:$O$18,0))))),1,0)</f>
        <v>0</v>
      </c>
      <c r="AH50">
        <f>IF((AND(VLOOKUP(AH$1,main!$A$3:$I$56,5,FALSE)-VLOOKUP($A50,main!$A$3:$I$56,6,FALSE)&gt;=(VLOOKUP(VLOOKUP(AH$1,main!$A$3:$I$56,8,FALSE),main!$K$11:$M$14,2,FALSE)+VLOOKUP(VLOOKUP(AH$1,main!$A$3:$I$56,7,FALSE),main!$K$19:$O$22,MATCH(VLOOKUP($A50,main!$A$3:$I$56,8,FALSE),main!$K$18:$O$18,0))))),1,0)</f>
        <v>0</v>
      </c>
      <c r="AI50">
        <f>IF((AND(VLOOKUP(AI$1,main!$A$3:$I$56,5,FALSE)-VLOOKUP($A50,main!$A$3:$I$56,6,FALSE)&gt;=(VLOOKUP(VLOOKUP(AI$1,main!$A$3:$I$56,8,FALSE),main!$K$11:$M$14,2,FALSE)+VLOOKUP(VLOOKUP(AI$1,main!$A$3:$I$56,7,FALSE),main!$K$19:$O$22,MATCH(VLOOKUP($A50,main!$A$3:$I$56,8,FALSE),main!$K$18:$O$18,0))))),1,0)</f>
        <v>0</v>
      </c>
      <c r="AJ50">
        <f>IF((AND(VLOOKUP(AJ$1,main!$A$3:$I$56,5,FALSE)-VLOOKUP($A50,main!$A$3:$I$56,6,FALSE)&gt;=(VLOOKUP(VLOOKUP(AJ$1,main!$A$3:$I$56,8,FALSE),main!$K$11:$M$14,2,FALSE)+VLOOKUP(VLOOKUP(AJ$1,main!$A$3:$I$56,7,FALSE),main!$K$19:$O$22,MATCH(VLOOKUP($A50,main!$A$3:$I$56,8,FALSE),main!$K$18:$O$18,0))))),1,0)</f>
        <v>0</v>
      </c>
      <c r="AK50">
        <f>IF((AND(VLOOKUP(AK$1,main!$A$3:$I$56,5,FALSE)-VLOOKUP($A50,main!$A$3:$I$56,6,FALSE)&gt;=(VLOOKUP(VLOOKUP(AK$1,main!$A$3:$I$56,8,FALSE),main!$K$11:$M$14,2,FALSE)+VLOOKUP(VLOOKUP(AK$1,main!$A$3:$I$56,7,FALSE),main!$K$19:$O$22,MATCH(VLOOKUP($A50,main!$A$3:$I$56,8,FALSE),main!$K$18:$O$18,0))))),1,0)</f>
        <v>0</v>
      </c>
      <c r="AL50">
        <f>IF((AND(VLOOKUP(AL$1,main!$A$3:$I$56,5,FALSE)-VLOOKUP($A50,main!$A$3:$I$56,6,FALSE)&gt;=(VLOOKUP(VLOOKUP(AL$1,main!$A$3:$I$56,8,FALSE),main!$K$11:$M$14,2,FALSE)+VLOOKUP(VLOOKUP(AL$1,main!$A$3:$I$56,7,FALSE),main!$K$19:$O$22,MATCH(VLOOKUP($A50,main!$A$3:$I$56,8,FALSE),main!$K$18:$O$18,0))))),1,0)</f>
        <v>0</v>
      </c>
      <c r="AM50">
        <f>IF((AND(VLOOKUP(AM$1,main!$A$3:$I$56,5,FALSE)-VLOOKUP($A50,main!$A$3:$I$56,6,FALSE)&gt;=(VLOOKUP(VLOOKUP(AM$1,main!$A$3:$I$56,8,FALSE),main!$K$11:$M$14,2,FALSE)+VLOOKUP(VLOOKUP(AM$1,main!$A$3:$I$56,7,FALSE),main!$K$19:$O$22,MATCH(VLOOKUP($A50,main!$A$3:$I$56,8,FALSE),main!$K$18:$O$18,0))))),1,0)</f>
        <v>0</v>
      </c>
      <c r="AN50">
        <f>IF((AND(VLOOKUP(AN$1,main!$A$3:$I$56,5,FALSE)-VLOOKUP($A50,main!$A$3:$I$56,6,FALSE)&gt;=(VLOOKUP(VLOOKUP(AN$1,main!$A$3:$I$56,8,FALSE),main!$K$11:$M$14,2,FALSE)+VLOOKUP(VLOOKUP(AN$1,main!$A$3:$I$56,7,FALSE),main!$K$19:$O$22,MATCH(VLOOKUP($A50,main!$A$3:$I$56,8,FALSE),main!$K$18:$O$18,0))))),1,0)</f>
        <v>0</v>
      </c>
      <c r="AO50">
        <f>IF((AND(VLOOKUP(AO$1,main!$A$3:$I$56,5,FALSE)-VLOOKUP($A50,main!$A$3:$I$56,6,FALSE)&gt;=(VLOOKUP(VLOOKUP(AO$1,main!$A$3:$I$56,8,FALSE),main!$K$11:$M$14,2,FALSE)+VLOOKUP(VLOOKUP(AO$1,main!$A$3:$I$56,7,FALSE),main!$K$19:$O$22,MATCH(VLOOKUP($A50,main!$A$3:$I$56,8,FALSE),main!$K$18:$O$18,0))))),1,0)</f>
        <v>0</v>
      </c>
      <c r="AP50">
        <f>IF((AND(VLOOKUP(AP$1,main!$A$3:$I$56,5,FALSE)-VLOOKUP($A50,main!$A$3:$I$56,6,FALSE)&gt;=(VLOOKUP(VLOOKUP(AP$1,main!$A$3:$I$56,8,FALSE),main!$K$11:$M$14,2,FALSE)+VLOOKUP(VLOOKUP(AP$1,main!$A$3:$I$56,7,FALSE),main!$K$19:$O$22,MATCH(VLOOKUP($A50,main!$A$3:$I$56,8,FALSE),main!$K$18:$O$18,0))))),1,0)</f>
        <v>0</v>
      </c>
      <c r="AQ50">
        <f>IF((AND(VLOOKUP(AQ$1,main!$A$3:$I$56,5,FALSE)-VLOOKUP($A50,main!$A$3:$I$56,6,FALSE)&gt;=(VLOOKUP(VLOOKUP(AQ$1,main!$A$3:$I$56,8,FALSE),main!$K$11:$M$14,2,FALSE)+VLOOKUP(VLOOKUP(AQ$1,main!$A$3:$I$56,7,FALSE),main!$K$19:$O$22,MATCH(VLOOKUP($A50,main!$A$3:$I$56,8,FALSE),main!$K$18:$O$18,0))))),1,0)</f>
        <v>0</v>
      </c>
      <c r="AR50">
        <f>IF((AND(VLOOKUP(AR$1,main!$A$3:$I$56,5,FALSE)-VLOOKUP($A50,main!$A$3:$I$56,6,FALSE)&gt;=(VLOOKUP(VLOOKUP(AR$1,main!$A$3:$I$56,8,FALSE),main!$K$11:$M$14,2,FALSE)+VLOOKUP(VLOOKUP(AR$1,main!$A$3:$I$56,7,FALSE),main!$K$19:$O$22,MATCH(VLOOKUP($A50,main!$A$3:$I$56,8,FALSE),main!$K$18:$O$18,0))))),1,0)</f>
        <v>0</v>
      </c>
      <c r="AS50">
        <f>IF((AND(VLOOKUP(AS$1,main!$A$3:$I$56,5,FALSE)-VLOOKUP($A50,main!$A$3:$I$56,6,FALSE)&gt;=(VLOOKUP(VLOOKUP(AS$1,main!$A$3:$I$56,8,FALSE),main!$K$11:$M$14,2,FALSE)+VLOOKUP(VLOOKUP(AS$1,main!$A$3:$I$56,7,FALSE),main!$K$19:$O$22,MATCH(VLOOKUP($A50,main!$A$3:$I$56,8,FALSE),main!$K$18:$O$18,0))))),1,0)</f>
        <v>0</v>
      </c>
      <c r="AT50">
        <f>IF((AND(VLOOKUP(AT$1,main!$A$3:$I$56,5,FALSE)-VLOOKUP($A50,main!$A$3:$I$56,6,FALSE)&gt;=(VLOOKUP(VLOOKUP(AT$1,main!$A$3:$I$56,8,FALSE),main!$K$11:$M$14,2,FALSE)+VLOOKUP(VLOOKUP(AT$1,main!$A$3:$I$56,7,FALSE),main!$K$19:$O$22,MATCH(VLOOKUP($A50,main!$A$3:$I$56,8,FALSE),main!$K$18:$O$18,0))))),1,0)</f>
        <v>0</v>
      </c>
      <c r="AU50">
        <f>IF((AND(VLOOKUP(AU$1,main!$A$3:$I$56,5,FALSE)-VLOOKUP($A50,main!$A$3:$I$56,6,FALSE)&gt;=(VLOOKUP(VLOOKUP(AU$1,main!$A$3:$I$56,8,FALSE),main!$K$11:$M$14,2,FALSE)+VLOOKUP(VLOOKUP(AU$1,main!$A$3:$I$56,7,FALSE),main!$K$19:$O$22,MATCH(VLOOKUP($A50,main!$A$3:$I$56,8,FALSE),main!$K$18:$O$18,0))))),1,0)</f>
        <v>0</v>
      </c>
      <c r="AV50">
        <f>IF((AND(VLOOKUP(AV$1,main!$A$3:$I$56,5,FALSE)-VLOOKUP($A50,main!$A$3:$I$56,6,FALSE)&gt;=(VLOOKUP(VLOOKUP(AV$1,main!$A$3:$I$56,8,FALSE),main!$K$11:$M$14,2,FALSE)+VLOOKUP(VLOOKUP(AV$1,main!$A$3:$I$56,7,FALSE),main!$K$19:$O$22,MATCH(VLOOKUP($A50,main!$A$3:$I$56,8,FALSE),main!$K$18:$O$18,0))))),1,0)</f>
        <v>0</v>
      </c>
      <c r="AW50">
        <f>IF((AND(VLOOKUP(AW$1,main!$A$3:$I$56,5,FALSE)-VLOOKUP($A50,main!$A$3:$I$56,6,FALSE)&gt;=(VLOOKUP(VLOOKUP(AW$1,main!$A$3:$I$56,8,FALSE),main!$K$11:$M$14,2,FALSE)+VLOOKUP(VLOOKUP(AW$1,main!$A$3:$I$56,7,FALSE),main!$K$19:$O$22,MATCH(VLOOKUP($A50,main!$A$3:$I$56,8,FALSE),main!$K$18:$O$18,0))))),1,0)</f>
        <v>0</v>
      </c>
      <c r="AX50">
        <f>IF((AND(VLOOKUP(AX$1,main!$A$3:$I$56,5,FALSE)-VLOOKUP($A50,main!$A$3:$I$56,6,FALSE)&gt;=(VLOOKUP(VLOOKUP(AX$1,main!$A$3:$I$56,8,FALSE),main!$K$11:$M$14,2,FALSE)+VLOOKUP(VLOOKUP(AX$1,main!$A$3:$I$56,7,FALSE),main!$K$19:$O$22,MATCH(VLOOKUP($A50,main!$A$3:$I$56,8,FALSE),main!$K$18:$O$18,0))))),1,0)</f>
        <v>0</v>
      </c>
      <c r="AY50">
        <f>IF((AND(VLOOKUP(AY$1,main!$A$3:$I$56,5,FALSE)-VLOOKUP($A50,main!$A$3:$I$56,6,FALSE)&gt;=(VLOOKUP(VLOOKUP(AY$1,main!$A$3:$I$56,8,FALSE),main!$K$11:$M$14,2,FALSE)+VLOOKUP(VLOOKUP(AY$1,main!$A$3:$I$56,7,FALSE),main!$K$19:$O$22,MATCH(VLOOKUP($A50,main!$A$3:$I$56,8,FALSE),main!$K$18:$O$18,0))))),1,0)</f>
        <v>1</v>
      </c>
      <c r="AZ50">
        <f>IF((AND(VLOOKUP(AZ$1,main!$A$3:$I$56,5,FALSE)-VLOOKUP($A50,main!$A$3:$I$56,6,FALSE)&gt;=(VLOOKUP(VLOOKUP(AZ$1,main!$A$3:$I$56,8,FALSE),main!$K$11:$M$14,2,FALSE)+VLOOKUP(VLOOKUP(AZ$1,main!$A$3:$I$56,7,FALSE),main!$K$19:$O$22,MATCH(VLOOKUP($A50,main!$A$3:$I$56,8,FALSE),main!$K$18:$O$18,0))))),1,0)</f>
        <v>0</v>
      </c>
      <c r="BA50">
        <f>IF((AND(VLOOKUP(BA$1,main!$A$3:$I$56,5,FALSE)-VLOOKUP($A50,main!$A$3:$I$56,6,FALSE)&gt;=(VLOOKUP(VLOOKUP(BA$1,main!$A$3:$I$56,8,FALSE),main!$K$11:$M$14,2,FALSE)+VLOOKUP(VLOOKUP(BA$1,main!$A$3:$I$56,7,FALSE),main!$K$19:$O$22,MATCH(VLOOKUP($A50,main!$A$3:$I$56,8,FALSE),main!$K$18:$O$18,0))))),1,0)</f>
        <v>0</v>
      </c>
      <c r="BB50">
        <f>IF((AND(VLOOKUP(BB$1,main!$A$3:$I$56,5,FALSE)-VLOOKUP($A50,main!$A$3:$I$56,6,FALSE)&gt;=(VLOOKUP(VLOOKUP(BB$1,main!$A$3:$I$56,8,FALSE),main!$K$11:$M$14,2,FALSE)+VLOOKUP(VLOOKUP(BB$1,main!$A$3:$I$56,7,FALSE),main!$K$19:$O$22,MATCH(VLOOKUP($A50,main!$A$3:$I$56,8,FALSE),main!$K$18:$O$18,0))))),1,0)</f>
        <v>0</v>
      </c>
      <c r="BC50">
        <f>IF((AND(VLOOKUP(BC$1,main!$A$3:$I$56,5,FALSE)-VLOOKUP($A50,main!$A$3:$I$56,6,FALSE)&gt;=(VLOOKUP(VLOOKUP(BC$1,main!$A$3:$I$56,8,FALSE),main!$K$11:$M$14,2,FALSE)+VLOOKUP(VLOOKUP(BC$1,main!$A$3:$I$56,7,FALSE),main!$K$19:$O$22,MATCH(VLOOKUP($A50,main!$A$3:$I$56,8,FALSE),main!$K$18:$O$18,0))))),1,0)</f>
        <v>0</v>
      </c>
      <c r="BD50">
        <f>IF((AND(VLOOKUP(BD$1,main!$A$3:$I$56,5,FALSE)-VLOOKUP($A50,main!$A$3:$I$56,6,FALSE)&gt;=(VLOOKUP(VLOOKUP(BD$1,main!$A$3:$I$56,8,FALSE),main!$K$11:$M$14,2,FALSE)+VLOOKUP(VLOOKUP(BD$1,main!$A$3:$I$56,7,FALSE),main!$K$19:$O$22,MATCH(VLOOKUP($A50,main!$A$3:$I$56,8,FALSE),main!$K$18:$O$18,0))))),1,0)</f>
        <v>0</v>
      </c>
    </row>
    <row r="51" spans="1:56" x14ac:dyDescent="0.25">
      <c r="A51">
        <f t="shared" si="0"/>
        <v>49</v>
      </c>
      <c r="B51">
        <v>1</v>
      </c>
      <c r="C51">
        <f>IF((AND(VLOOKUP(C$1,main!$A$3:$I$56,5,FALSE)-VLOOKUP($A51,main!$A$3:$I$56,6,FALSE)&gt;=(VLOOKUP(VLOOKUP(C$1,main!$A$3:$I$56,8,FALSE),main!$K$11:$M$14,2,FALSE)+VLOOKUP(VLOOKUP(C$1,main!$A$3:$I$56,7,FALSE),main!$K$19:$O$22,MATCH(VLOOKUP($A51,main!$A$3:$I$56,8,FALSE),main!$K$18:$O$18,0))))),1,0)</f>
        <v>0</v>
      </c>
      <c r="D51">
        <f>IF((AND(VLOOKUP(D$1,main!$A$3:$I$56,5,FALSE)-VLOOKUP($A51,main!$A$3:$I$56,6,FALSE)&gt;=(VLOOKUP(VLOOKUP(D$1,main!$A$3:$I$56,8,FALSE),main!$K$11:$M$14,2,FALSE)+VLOOKUP(VLOOKUP(D$1,main!$A$3:$I$56,7,FALSE),main!$K$19:$O$22,MATCH(VLOOKUP($A51,main!$A$3:$I$56,8,FALSE),main!$K$18:$O$18,0))))),1,0)</f>
        <v>0</v>
      </c>
      <c r="E51">
        <f>IF((AND(VLOOKUP(E$1,main!$A$3:$I$56,5,FALSE)-VLOOKUP($A51,main!$A$3:$I$56,6,FALSE)&gt;=(VLOOKUP(VLOOKUP(E$1,main!$A$3:$I$56,8,FALSE),main!$K$11:$M$14,2,FALSE)+VLOOKUP(VLOOKUP(E$1,main!$A$3:$I$56,7,FALSE),main!$K$19:$O$22,MATCH(VLOOKUP($A51,main!$A$3:$I$56,8,FALSE),main!$K$18:$O$18,0))))),1,0)</f>
        <v>0</v>
      </c>
      <c r="F51">
        <f>IF((AND(VLOOKUP(F$1,main!$A$3:$I$56,5,FALSE)-VLOOKUP($A51,main!$A$3:$I$56,6,FALSE)&gt;=(VLOOKUP(VLOOKUP(F$1,main!$A$3:$I$56,8,FALSE),main!$K$11:$M$14,2,FALSE)+VLOOKUP(VLOOKUP(F$1,main!$A$3:$I$56,7,FALSE),main!$K$19:$O$22,MATCH(VLOOKUP($A51,main!$A$3:$I$56,8,FALSE),main!$K$18:$O$18,0))))),1,0)</f>
        <v>0</v>
      </c>
      <c r="G51">
        <f>IF((AND(VLOOKUP(G$1,main!$A$3:$I$56,5,FALSE)-VLOOKUP($A51,main!$A$3:$I$56,6,FALSE)&gt;=(VLOOKUP(VLOOKUP(G$1,main!$A$3:$I$56,8,FALSE),main!$K$11:$M$14,2,FALSE)+VLOOKUP(VLOOKUP(G$1,main!$A$3:$I$56,7,FALSE),main!$K$19:$O$22,MATCH(VLOOKUP($A51,main!$A$3:$I$56,8,FALSE),main!$K$18:$O$18,0))))),1,0)</f>
        <v>0</v>
      </c>
      <c r="H51">
        <f>IF((AND(VLOOKUP(H$1,main!$A$3:$I$56,5,FALSE)-VLOOKUP($A51,main!$A$3:$I$56,6,FALSE)&gt;=(VLOOKUP(VLOOKUP(H$1,main!$A$3:$I$56,8,FALSE),main!$K$11:$M$14,2,FALSE)+VLOOKUP(VLOOKUP(H$1,main!$A$3:$I$56,7,FALSE),main!$K$19:$O$22,MATCH(VLOOKUP($A51,main!$A$3:$I$56,8,FALSE),main!$K$18:$O$18,0))))),1,0)</f>
        <v>0</v>
      </c>
      <c r="I51">
        <f>IF((AND(VLOOKUP(I$1,main!$A$3:$I$56,5,FALSE)-VLOOKUP($A51,main!$A$3:$I$56,6,FALSE)&gt;=(VLOOKUP(VLOOKUP(I$1,main!$A$3:$I$56,8,FALSE),main!$K$11:$M$14,2,FALSE)+VLOOKUP(VLOOKUP(I$1,main!$A$3:$I$56,7,FALSE),main!$K$19:$O$22,MATCH(VLOOKUP($A51,main!$A$3:$I$56,8,FALSE),main!$K$18:$O$18,0))))),1,0)</f>
        <v>0</v>
      </c>
      <c r="J51">
        <f>IF((AND(VLOOKUP(J$1,main!$A$3:$I$56,5,FALSE)-VLOOKUP($A51,main!$A$3:$I$56,6,FALSE)&gt;=(VLOOKUP(VLOOKUP(J$1,main!$A$3:$I$56,8,FALSE),main!$K$11:$M$14,2,FALSE)+VLOOKUP(VLOOKUP(J$1,main!$A$3:$I$56,7,FALSE),main!$K$19:$O$22,MATCH(VLOOKUP($A51,main!$A$3:$I$56,8,FALSE),main!$K$18:$O$18,0))))),1,0)</f>
        <v>0</v>
      </c>
      <c r="K51">
        <f>IF((AND(VLOOKUP(K$1,main!$A$3:$I$56,5,FALSE)-VLOOKUP($A51,main!$A$3:$I$56,6,FALSE)&gt;=(VLOOKUP(VLOOKUP(K$1,main!$A$3:$I$56,8,FALSE),main!$K$11:$M$14,2,FALSE)+VLOOKUP(VLOOKUP(K$1,main!$A$3:$I$56,7,FALSE),main!$K$19:$O$22,MATCH(VLOOKUP($A51,main!$A$3:$I$56,8,FALSE),main!$K$18:$O$18,0))))),1,0)</f>
        <v>0</v>
      </c>
      <c r="L51">
        <f>IF((AND(VLOOKUP(L$1,main!$A$3:$I$56,5,FALSE)-VLOOKUP($A51,main!$A$3:$I$56,6,FALSE)&gt;=(VLOOKUP(VLOOKUP(L$1,main!$A$3:$I$56,8,FALSE),main!$K$11:$M$14,2,FALSE)+VLOOKUP(VLOOKUP(L$1,main!$A$3:$I$56,7,FALSE),main!$K$19:$O$22,MATCH(VLOOKUP($A51,main!$A$3:$I$56,8,FALSE),main!$K$18:$O$18,0))))),1,0)</f>
        <v>0</v>
      </c>
      <c r="M51">
        <f>IF((AND(VLOOKUP(M$1,main!$A$3:$I$56,5,FALSE)-VLOOKUP($A51,main!$A$3:$I$56,6,FALSE)&gt;=(VLOOKUP(VLOOKUP(M$1,main!$A$3:$I$56,8,FALSE),main!$K$11:$M$14,2,FALSE)+VLOOKUP(VLOOKUP(M$1,main!$A$3:$I$56,7,FALSE),main!$K$19:$O$22,MATCH(VLOOKUP($A51,main!$A$3:$I$56,8,FALSE),main!$K$18:$O$18,0))))),1,0)</f>
        <v>0</v>
      </c>
      <c r="N51">
        <f>IF((AND(VLOOKUP(N$1,main!$A$3:$I$56,5,FALSE)-VLOOKUP($A51,main!$A$3:$I$56,6,FALSE)&gt;=(VLOOKUP(VLOOKUP(N$1,main!$A$3:$I$56,8,FALSE),main!$K$11:$M$14,2,FALSE)+VLOOKUP(VLOOKUP(N$1,main!$A$3:$I$56,7,FALSE),main!$K$19:$O$22,MATCH(VLOOKUP($A51,main!$A$3:$I$56,8,FALSE),main!$K$18:$O$18,0))))),1,0)</f>
        <v>0</v>
      </c>
      <c r="O51">
        <f>IF((AND(VLOOKUP(O$1,main!$A$3:$I$56,5,FALSE)-VLOOKUP($A51,main!$A$3:$I$56,6,FALSE)&gt;=(VLOOKUP(VLOOKUP(O$1,main!$A$3:$I$56,8,FALSE),main!$K$11:$M$14,2,FALSE)+VLOOKUP(VLOOKUP(O$1,main!$A$3:$I$56,7,FALSE),main!$K$19:$O$22,MATCH(VLOOKUP($A51,main!$A$3:$I$56,8,FALSE),main!$K$18:$O$18,0))))),1,0)</f>
        <v>0</v>
      </c>
      <c r="P51">
        <f>IF((AND(VLOOKUP(P$1,main!$A$3:$I$56,5,FALSE)-VLOOKUP($A51,main!$A$3:$I$56,6,FALSE)&gt;=(VLOOKUP(VLOOKUP(P$1,main!$A$3:$I$56,8,FALSE),main!$K$11:$M$14,2,FALSE)+VLOOKUP(VLOOKUP(P$1,main!$A$3:$I$56,7,FALSE),main!$K$19:$O$22,MATCH(VLOOKUP($A51,main!$A$3:$I$56,8,FALSE),main!$K$18:$O$18,0))))),1,0)</f>
        <v>0</v>
      </c>
      <c r="Q51">
        <f>IF((AND(VLOOKUP(Q$1,main!$A$3:$I$56,5,FALSE)-VLOOKUP($A51,main!$A$3:$I$56,6,FALSE)&gt;=(VLOOKUP(VLOOKUP(Q$1,main!$A$3:$I$56,8,FALSE),main!$K$11:$M$14,2,FALSE)+VLOOKUP(VLOOKUP(Q$1,main!$A$3:$I$56,7,FALSE),main!$K$19:$O$22,MATCH(VLOOKUP($A51,main!$A$3:$I$56,8,FALSE),main!$K$18:$O$18,0))))),1,0)</f>
        <v>0</v>
      </c>
      <c r="R51">
        <f>IF((AND(VLOOKUP(R$1,main!$A$3:$I$56,5,FALSE)-VLOOKUP($A51,main!$A$3:$I$56,6,FALSE)&gt;=(VLOOKUP(VLOOKUP(R$1,main!$A$3:$I$56,8,FALSE),main!$K$11:$M$14,2,FALSE)+VLOOKUP(VLOOKUP(R$1,main!$A$3:$I$56,7,FALSE),main!$K$19:$O$22,MATCH(VLOOKUP($A51,main!$A$3:$I$56,8,FALSE),main!$K$18:$O$18,0))))),1,0)</f>
        <v>0</v>
      </c>
      <c r="S51">
        <f>IF((AND(VLOOKUP(S$1,main!$A$3:$I$56,5,FALSE)-VLOOKUP($A51,main!$A$3:$I$56,6,FALSE)&gt;=(VLOOKUP(VLOOKUP(S$1,main!$A$3:$I$56,8,FALSE),main!$K$11:$M$14,2,FALSE)+VLOOKUP(VLOOKUP(S$1,main!$A$3:$I$56,7,FALSE),main!$K$19:$O$22,MATCH(VLOOKUP($A51,main!$A$3:$I$56,8,FALSE),main!$K$18:$O$18,0))))),1,0)</f>
        <v>0</v>
      </c>
      <c r="T51">
        <f>IF((AND(VLOOKUP(T$1,main!$A$3:$I$56,5,FALSE)-VLOOKUP($A51,main!$A$3:$I$56,6,FALSE)&gt;=(VLOOKUP(VLOOKUP(T$1,main!$A$3:$I$56,8,FALSE),main!$K$11:$M$14,2,FALSE)+VLOOKUP(VLOOKUP(T$1,main!$A$3:$I$56,7,FALSE),main!$K$19:$O$22,MATCH(VLOOKUP($A51,main!$A$3:$I$56,8,FALSE),main!$K$18:$O$18,0))))),1,0)</f>
        <v>0</v>
      </c>
      <c r="U51">
        <f>IF((AND(VLOOKUP(U$1,main!$A$3:$I$56,5,FALSE)-VLOOKUP($A51,main!$A$3:$I$56,6,FALSE)&gt;=(VLOOKUP(VLOOKUP(U$1,main!$A$3:$I$56,8,FALSE),main!$K$11:$M$14,2,FALSE)+VLOOKUP(VLOOKUP(U$1,main!$A$3:$I$56,7,FALSE),main!$K$19:$O$22,MATCH(VLOOKUP($A51,main!$A$3:$I$56,8,FALSE),main!$K$18:$O$18,0))))),1,0)</f>
        <v>0</v>
      </c>
      <c r="V51">
        <f>IF((AND(VLOOKUP(V$1,main!$A$3:$I$56,5,FALSE)-VLOOKUP($A51,main!$A$3:$I$56,6,FALSE)&gt;=(VLOOKUP(VLOOKUP(V$1,main!$A$3:$I$56,8,FALSE),main!$K$11:$M$14,2,FALSE)+VLOOKUP(VLOOKUP(V$1,main!$A$3:$I$56,7,FALSE),main!$K$19:$O$22,MATCH(VLOOKUP($A51,main!$A$3:$I$56,8,FALSE),main!$K$18:$O$18,0))))),1,0)</f>
        <v>0</v>
      </c>
      <c r="W51">
        <f>IF((AND(VLOOKUP(W$1,main!$A$3:$I$56,5,FALSE)-VLOOKUP($A51,main!$A$3:$I$56,6,FALSE)&gt;=(VLOOKUP(VLOOKUP(W$1,main!$A$3:$I$56,8,FALSE),main!$K$11:$M$14,2,FALSE)+VLOOKUP(VLOOKUP(W$1,main!$A$3:$I$56,7,FALSE),main!$K$19:$O$22,MATCH(VLOOKUP($A51,main!$A$3:$I$56,8,FALSE),main!$K$18:$O$18,0))))),1,0)</f>
        <v>0</v>
      </c>
      <c r="X51">
        <f>IF((AND(VLOOKUP(X$1,main!$A$3:$I$56,5,FALSE)-VLOOKUP($A51,main!$A$3:$I$56,6,FALSE)&gt;=(VLOOKUP(VLOOKUP(X$1,main!$A$3:$I$56,8,FALSE),main!$K$11:$M$14,2,FALSE)+VLOOKUP(VLOOKUP(X$1,main!$A$3:$I$56,7,FALSE),main!$K$19:$O$22,MATCH(VLOOKUP($A51,main!$A$3:$I$56,8,FALSE),main!$K$18:$O$18,0))))),1,0)</f>
        <v>0</v>
      </c>
      <c r="Y51">
        <f>IF((AND(VLOOKUP(Y$1,main!$A$3:$I$56,5,FALSE)-VLOOKUP($A51,main!$A$3:$I$56,6,FALSE)&gt;=(VLOOKUP(VLOOKUP(Y$1,main!$A$3:$I$56,8,FALSE),main!$K$11:$M$14,2,FALSE)+VLOOKUP(VLOOKUP(Y$1,main!$A$3:$I$56,7,FALSE),main!$K$19:$O$22,MATCH(VLOOKUP($A51,main!$A$3:$I$56,8,FALSE),main!$K$18:$O$18,0))))),1,0)</f>
        <v>0</v>
      </c>
      <c r="Z51">
        <f>IF((AND(VLOOKUP(Z$1,main!$A$3:$I$56,5,FALSE)-VLOOKUP($A51,main!$A$3:$I$56,6,FALSE)&gt;=(VLOOKUP(VLOOKUP(Z$1,main!$A$3:$I$56,8,FALSE),main!$K$11:$M$14,2,FALSE)+VLOOKUP(VLOOKUP(Z$1,main!$A$3:$I$56,7,FALSE),main!$K$19:$O$22,MATCH(VLOOKUP($A51,main!$A$3:$I$56,8,FALSE),main!$K$18:$O$18,0))))),1,0)</f>
        <v>0</v>
      </c>
      <c r="AA51">
        <f>IF((AND(VLOOKUP(AA$1,main!$A$3:$I$56,5,FALSE)-VLOOKUP($A51,main!$A$3:$I$56,6,FALSE)&gt;=(VLOOKUP(VLOOKUP(AA$1,main!$A$3:$I$56,8,FALSE),main!$K$11:$M$14,2,FALSE)+VLOOKUP(VLOOKUP(AA$1,main!$A$3:$I$56,7,FALSE),main!$K$19:$O$22,MATCH(VLOOKUP($A51,main!$A$3:$I$56,8,FALSE),main!$K$18:$O$18,0))))),1,0)</f>
        <v>0</v>
      </c>
      <c r="AB51">
        <f>IF((AND(VLOOKUP(AB$1,main!$A$3:$I$56,5,FALSE)-VLOOKUP($A51,main!$A$3:$I$56,6,FALSE)&gt;=(VLOOKUP(VLOOKUP(AB$1,main!$A$3:$I$56,8,FALSE),main!$K$11:$M$14,2,FALSE)+VLOOKUP(VLOOKUP(AB$1,main!$A$3:$I$56,7,FALSE),main!$K$19:$O$22,MATCH(VLOOKUP($A51,main!$A$3:$I$56,8,FALSE),main!$K$18:$O$18,0))))),1,0)</f>
        <v>0</v>
      </c>
      <c r="AC51">
        <f>IF((AND(VLOOKUP(AC$1,main!$A$3:$I$56,5,FALSE)-VLOOKUP($A51,main!$A$3:$I$56,6,FALSE)&gt;=(VLOOKUP(VLOOKUP(AC$1,main!$A$3:$I$56,8,FALSE),main!$K$11:$M$14,2,FALSE)+VLOOKUP(VLOOKUP(AC$1,main!$A$3:$I$56,7,FALSE),main!$K$19:$O$22,MATCH(VLOOKUP($A51,main!$A$3:$I$56,8,FALSE),main!$K$18:$O$18,0))))),1,0)</f>
        <v>0</v>
      </c>
      <c r="AD51">
        <f>IF((AND(VLOOKUP(AD$1,main!$A$3:$I$56,5,FALSE)-VLOOKUP($A51,main!$A$3:$I$56,6,FALSE)&gt;=(VLOOKUP(VLOOKUP(AD$1,main!$A$3:$I$56,8,FALSE),main!$K$11:$M$14,2,FALSE)+VLOOKUP(VLOOKUP(AD$1,main!$A$3:$I$56,7,FALSE),main!$K$19:$O$22,MATCH(VLOOKUP($A51,main!$A$3:$I$56,8,FALSE),main!$K$18:$O$18,0))))),1,0)</f>
        <v>0</v>
      </c>
      <c r="AE51">
        <f>IF((AND(VLOOKUP(AE$1,main!$A$3:$I$56,5,FALSE)-VLOOKUP($A51,main!$A$3:$I$56,6,FALSE)&gt;=(VLOOKUP(VLOOKUP(AE$1,main!$A$3:$I$56,8,FALSE),main!$K$11:$M$14,2,FALSE)+VLOOKUP(VLOOKUP(AE$1,main!$A$3:$I$56,7,FALSE),main!$K$19:$O$22,MATCH(VLOOKUP($A51,main!$A$3:$I$56,8,FALSE),main!$K$18:$O$18,0))))),1,0)</f>
        <v>0</v>
      </c>
      <c r="AF51">
        <f>IF((AND(VLOOKUP(AF$1,main!$A$3:$I$56,5,FALSE)-VLOOKUP($A51,main!$A$3:$I$56,6,FALSE)&gt;=(VLOOKUP(VLOOKUP(AF$1,main!$A$3:$I$56,8,FALSE),main!$K$11:$M$14,2,FALSE)+VLOOKUP(VLOOKUP(AF$1,main!$A$3:$I$56,7,FALSE),main!$K$19:$O$22,MATCH(VLOOKUP($A51,main!$A$3:$I$56,8,FALSE),main!$K$18:$O$18,0))))),1,0)</f>
        <v>0</v>
      </c>
      <c r="AG51">
        <f>IF((AND(VLOOKUP(AG$1,main!$A$3:$I$56,5,FALSE)-VLOOKUP($A51,main!$A$3:$I$56,6,FALSE)&gt;=(VLOOKUP(VLOOKUP(AG$1,main!$A$3:$I$56,8,FALSE),main!$K$11:$M$14,2,FALSE)+VLOOKUP(VLOOKUP(AG$1,main!$A$3:$I$56,7,FALSE),main!$K$19:$O$22,MATCH(VLOOKUP($A51,main!$A$3:$I$56,8,FALSE),main!$K$18:$O$18,0))))),1,0)</f>
        <v>0</v>
      </c>
      <c r="AH51">
        <f>IF((AND(VLOOKUP(AH$1,main!$A$3:$I$56,5,FALSE)-VLOOKUP($A51,main!$A$3:$I$56,6,FALSE)&gt;=(VLOOKUP(VLOOKUP(AH$1,main!$A$3:$I$56,8,FALSE),main!$K$11:$M$14,2,FALSE)+VLOOKUP(VLOOKUP(AH$1,main!$A$3:$I$56,7,FALSE),main!$K$19:$O$22,MATCH(VLOOKUP($A51,main!$A$3:$I$56,8,FALSE),main!$K$18:$O$18,0))))),1,0)</f>
        <v>0</v>
      </c>
      <c r="AI51">
        <f>IF((AND(VLOOKUP(AI$1,main!$A$3:$I$56,5,FALSE)-VLOOKUP($A51,main!$A$3:$I$56,6,FALSE)&gt;=(VLOOKUP(VLOOKUP(AI$1,main!$A$3:$I$56,8,FALSE),main!$K$11:$M$14,2,FALSE)+VLOOKUP(VLOOKUP(AI$1,main!$A$3:$I$56,7,FALSE),main!$K$19:$O$22,MATCH(VLOOKUP($A51,main!$A$3:$I$56,8,FALSE),main!$K$18:$O$18,0))))),1,0)</f>
        <v>0</v>
      </c>
      <c r="AJ51">
        <f>IF((AND(VLOOKUP(AJ$1,main!$A$3:$I$56,5,FALSE)-VLOOKUP($A51,main!$A$3:$I$56,6,FALSE)&gt;=(VLOOKUP(VLOOKUP(AJ$1,main!$A$3:$I$56,8,FALSE),main!$K$11:$M$14,2,FALSE)+VLOOKUP(VLOOKUP(AJ$1,main!$A$3:$I$56,7,FALSE),main!$K$19:$O$22,MATCH(VLOOKUP($A51,main!$A$3:$I$56,8,FALSE),main!$K$18:$O$18,0))))),1,0)</f>
        <v>0</v>
      </c>
      <c r="AK51">
        <f>IF((AND(VLOOKUP(AK$1,main!$A$3:$I$56,5,FALSE)-VLOOKUP($A51,main!$A$3:$I$56,6,FALSE)&gt;=(VLOOKUP(VLOOKUP(AK$1,main!$A$3:$I$56,8,FALSE),main!$K$11:$M$14,2,FALSE)+VLOOKUP(VLOOKUP(AK$1,main!$A$3:$I$56,7,FALSE),main!$K$19:$O$22,MATCH(VLOOKUP($A51,main!$A$3:$I$56,8,FALSE),main!$K$18:$O$18,0))))),1,0)</f>
        <v>0</v>
      </c>
      <c r="AL51">
        <f>IF((AND(VLOOKUP(AL$1,main!$A$3:$I$56,5,FALSE)-VLOOKUP($A51,main!$A$3:$I$56,6,FALSE)&gt;=(VLOOKUP(VLOOKUP(AL$1,main!$A$3:$I$56,8,FALSE),main!$K$11:$M$14,2,FALSE)+VLOOKUP(VLOOKUP(AL$1,main!$A$3:$I$56,7,FALSE),main!$K$19:$O$22,MATCH(VLOOKUP($A51,main!$A$3:$I$56,8,FALSE),main!$K$18:$O$18,0))))),1,0)</f>
        <v>0</v>
      </c>
      <c r="AM51">
        <f>IF((AND(VLOOKUP(AM$1,main!$A$3:$I$56,5,FALSE)-VLOOKUP($A51,main!$A$3:$I$56,6,FALSE)&gt;=(VLOOKUP(VLOOKUP(AM$1,main!$A$3:$I$56,8,FALSE),main!$K$11:$M$14,2,FALSE)+VLOOKUP(VLOOKUP(AM$1,main!$A$3:$I$56,7,FALSE),main!$K$19:$O$22,MATCH(VLOOKUP($A51,main!$A$3:$I$56,8,FALSE),main!$K$18:$O$18,0))))),1,0)</f>
        <v>0</v>
      </c>
      <c r="AN51">
        <f>IF((AND(VLOOKUP(AN$1,main!$A$3:$I$56,5,FALSE)-VLOOKUP($A51,main!$A$3:$I$56,6,FALSE)&gt;=(VLOOKUP(VLOOKUP(AN$1,main!$A$3:$I$56,8,FALSE),main!$K$11:$M$14,2,FALSE)+VLOOKUP(VLOOKUP(AN$1,main!$A$3:$I$56,7,FALSE),main!$K$19:$O$22,MATCH(VLOOKUP($A51,main!$A$3:$I$56,8,FALSE),main!$K$18:$O$18,0))))),1,0)</f>
        <v>0</v>
      </c>
      <c r="AO51">
        <f>IF((AND(VLOOKUP(AO$1,main!$A$3:$I$56,5,FALSE)-VLOOKUP($A51,main!$A$3:$I$56,6,FALSE)&gt;=(VLOOKUP(VLOOKUP(AO$1,main!$A$3:$I$56,8,FALSE),main!$K$11:$M$14,2,FALSE)+VLOOKUP(VLOOKUP(AO$1,main!$A$3:$I$56,7,FALSE),main!$K$19:$O$22,MATCH(VLOOKUP($A51,main!$A$3:$I$56,8,FALSE),main!$K$18:$O$18,0))))),1,0)</f>
        <v>0</v>
      </c>
      <c r="AP51">
        <f>IF((AND(VLOOKUP(AP$1,main!$A$3:$I$56,5,FALSE)-VLOOKUP($A51,main!$A$3:$I$56,6,FALSE)&gt;=(VLOOKUP(VLOOKUP(AP$1,main!$A$3:$I$56,8,FALSE),main!$K$11:$M$14,2,FALSE)+VLOOKUP(VLOOKUP(AP$1,main!$A$3:$I$56,7,FALSE),main!$K$19:$O$22,MATCH(VLOOKUP($A51,main!$A$3:$I$56,8,FALSE),main!$K$18:$O$18,0))))),1,0)</f>
        <v>0</v>
      </c>
      <c r="AQ51">
        <f>IF((AND(VLOOKUP(AQ$1,main!$A$3:$I$56,5,FALSE)-VLOOKUP($A51,main!$A$3:$I$56,6,FALSE)&gt;=(VLOOKUP(VLOOKUP(AQ$1,main!$A$3:$I$56,8,FALSE),main!$K$11:$M$14,2,FALSE)+VLOOKUP(VLOOKUP(AQ$1,main!$A$3:$I$56,7,FALSE),main!$K$19:$O$22,MATCH(VLOOKUP($A51,main!$A$3:$I$56,8,FALSE),main!$K$18:$O$18,0))))),1,0)</f>
        <v>0</v>
      </c>
      <c r="AR51">
        <f>IF((AND(VLOOKUP(AR$1,main!$A$3:$I$56,5,FALSE)-VLOOKUP($A51,main!$A$3:$I$56,6,FALSE)&gt;=(VLOOKUP(VLOOKUP(AR$1,main!$A$3:$I$56,8,FALSE),main!$K$11:$M$14,2,FALSE)+VLOOKUP(VLOOKUP(AR$1,main!$A$3:$I$56,7,FALSE),main!$K$19:$O$22,MATCH(VLOOKUP($A51,main!$A$3:$I$56,8,FALSE),main!$K$18:$O$18,0))))),1,0)</f>
        <v>0</v>
      </c>
      <c r="AS51">
        <f>IF((AND(VLOOKUP(AS$1,main!$A$3:$I$56,5,FALSE)-VLOOKUP($A51,main!$A$3:$I$56,6,FALSE)&gt;=(VLOOKUP(VLOOKUP(AS$1,main!$A$3:$I$56,8,FALSE),main!$K$11:$M$14,2,FALSE)+VLOOKUP(VLOOKUP(AS$1,main!$A$3:$I$56,7,FALSE),main!$K$19:$O$22,MATCH(VLOOKUP($A51,main!$A$3:$I$56,8,FALSE),main!$K$18:$O$18,0))))),1,0)</f>
        <v>0</v>
      </c>
      <c r="AT51">
        <f>IF((AND(VLOOKUP(AT$1,main!$A$3:$I$56,5,FALSE)-VLOOKUP($A51,main!$A$3:$I$56,6,FALSE)&gt;=(VLOOKUP(VLOOKUP(AT$1,main!$A$3:$I$56,8,FALSE),main!$K$11:$M$14,2,FALSE)+VLOOKUP(VLOOKUP(AT$1,main!$A$3:$I$56,7,FALSE),main!$K$19:$O$22,MATCH(VLOOKUP($A51,main!$A$3:$I$56,8,FALSE),main!$K$18:$O$18,0))))),1,0)</f>
        <v>0</v>
      </c>
      <c r="AU51">
        <f>IF((AND(VLOOKUP(AU$1,main!$A$3:$I$56,5,FALSE)-VLOOKUP($A51,main!$A$3:$I$56,6,FALSE)&gt;=(VLOOKUP(VLOOKUP(AU$1,main!$A$3:$I$56,8,FALSE),main!$K$11:$M$14,2,FALSE)+VLOOKUP(VLOOKUP(AU$1,main!$A$3:$I$56,7,FALSE),main!$K$19:$O$22,MATCH(VLOOKUP($A51,main!$A$3:$I$56,8,FALSE),main!$K$18:$O$18,0))))),1,0)</f>
        <v>0</v>
      </c>
      <c r="AV51">
        <f>IF((AND(VLOOKUP(AV$1,main!$A$3:$I$56,5,FALSE)-VLOOKUP($A51,main!$A$3:$I$56,6,FALSE)&gt;=(VLOOKUP(VLOOKUP(AV$1,main!$A$3:$I$56,8,FALSE),main!$K$11:$M$14,2,FALSE)+VLOOKUP(VLOOKUP(AV$1,main!$A$3:$I$56,7,FALSE),main!$K$19:$O$22,MATCH(VLOOKUP($A51,main!$A$3:$I$56,8,FALSE),main!$K$18:$O$18,0))))),1,0)</f>
        <v>0</v>
      </c>
      <c r="AW51">
        <f>IF((AND(VLOOKUP(AW$1,main!$A$3:$I$56,5,FALSE)-VLOOKUP($A51,main!$A$3:$I$56,6,FALSE)&gt;=(VLOOKUP(VLOOKUP(AW$1,main!$A$3:$I$56,8,FALSE),main!$K$11:$M$14,2,FALSE)+VLOOKUP(VLOOKUP(AW$1,main!$A$3:$I$56,7,FALSE),main!$K$19:$O$22,MATCH(VLOOKUP($A51,main!$A$3:$I$56,8,FALSE),main!$K$18:$O$18,0))))),1,0)</f>
        <v>0</v>
      </c>
      <c r="AX51">
        <f>IF((AND(VLOOKUP(AX$1,main!$A$3:$I$56,5,FALSE)-VLOOKUP($A51,main!$A$3:$I$56,6,FALSE)&gt;=(VLOOKUP(VLOOKUP(AX$1,main!$A$3:$I$56,8,FALSE),main!$K$11:$M$14,2,FALSE)+VLOOKUP(VLOOKUP(AX$1,main!$A$3:$I$56,7,FALSE),main!$K$19:$O$22,MATCH(VLOOKUP($A51,main!$A$3:$I$56,8,FALSE),main!$K$18:$O$18,0))))),1,0)</f>
        <v>0</v>
      </c>
      <c r="AY51">
        <f>IF((AND(VLOOKUP(AY$1,main!$A$3:$I$56,5,FALSE)-VLOOKUP($A51,main!$A$3:$I$56,6,FALSE)&gt;=(VLOOKUP(VLOOKUP(AY$1,main!$A$3:$I$56,8,FALSE),main!$K$11:$M$14,2,FALSE)+VLOOKUP(VLOOKUP(AY$1,main!$A$3:$I$56,7,FALSE),main!$K$19:$O$22,MATCH(VLOOKUP($A51,main!$A$3:$I$56,8,FALSE),main!$K$18:$O$18,0))))),1,0)</f>
        <v>0</v>
      </c>
      <c r="AZ51">
        <f>IF((AND(VLOOKUP(AZ$1,main!$A$3:$I$56,5,FALSE)-VLOOKUP($A51,main!$A$3:$I$56,6,FALSE)&gt;=(VLOOKUP(VLOOKUP(AZ$1,main!$A$3:$I$56,8,FALSE),main!$K$11:$M$14,2,FALSE)+VLOOKUP(VLOOKUP(AZ$1,main!$A$3:$I$56,7,FALSE),main!$K$19:$O$22,MATCH(VLOOKUP($A51,main!$A$3:$I$56,8,FALSE),main!$K$18:$O$18,0))))),1,0)</f>
        <v>0</v>
      </c>
      <c r="BA51">
        <f>IF((AND(VLOOKUP(BA$1,main!$A$3:$I$56,5,FALSE)-VLOOKUP($A51,main!$A$3:$I$56,6,FALSE)&gt;=(VLOOKUP(VLOOKUP(BA$1,main!$A$3:$I$56,8,FALSE),main!$K$11:$M$14,2,FALSE)+VLOOKUP(VLOOKUP(BA$1,main!$A$3:$I$56,7,FALSE),main!$K$19:$O$22,MATCH(VLOOKUP($A51,main!$A$3:$I$56,8,FALSE),main!$K$18:$O$18,0))))),1,0)</f>
        <v>0</v>
      </c>
      <c r="BB51">
        <f>IF((AND(VLOOKUP(BB$1,main!$A$3:$I$56,5,FALSE)-VLOOKUP($A51,main!$A$3:$I$56,6,FALSE)&gt;=(VLOOKUP(VLOOKUP(BB$1,main!$A$3:$I$56,8,FALSE),main!$K$11:$M$14,2,FALSE)+VLOOKUP(VLOOKUP(BB$1,main!$A$3:$I$56,7,FALSE),main!$K$19:$O$22,MATCH(VLOOKUP($A51,main!$A$3:$I$56,8,FALSE),main!$K$18:$O$18,0))))),1,0)</f>
        <v>0</v>
      </c>
      <c r="BC51">
        <f>IF((AND(VLOOKUP(BC$1,main!$A$3:$I$56,5,FALSE)-VLOOKUP($A51,main!$A$3:$I$56,6,FALSE)&gt;=(VLOOKUP(VLOOKUP(BC$1,main!$A$3:$I$56,8,FALSE),main!$K$11:$M$14,2,FALSE)+VLOOKUP(VLOOKUP(BC$1,main!$A$3:$I$56,7,FALSE),main!$K$19:$O$22,MATCH(VLOOKUP($A51,main!$A$3:$I$56,8,FALSE),main!$K$18:$O$18,0))))),1,0)</f>
        <v>0</v>
      </c>
      <c r="BD51">
        <f>IF((AND(VLOOKUP(BD$1,main!$A$3:$I$56,5,FALSE)-VLOOKUP($A51,main!$A$3:$I$56,6,FALSE)&gt;=(VLOOKUP(VLOOKUP(BD$1,main!$A$3:$I$56,8,FALSE),main!$K$11:$M$14,2,FALSE)+VLOOKUP(VLOOKUP(BD$1,main!$A$3:$I$56,7,FALSE),main!$K$19:$O$22,MATCH(VLOOKUP($A51,main!$A$3:$I$56,8,FALSE),main!$K$18:$O$18,0))))),1,0)</f>
        <v>0</v>
      </c>
    </row>
    <row r="52" spans="1:56" x14ac:dyDescent="0.25">
      <c r="A52">
        <f t="shared" si="0"/>
        <v>50</v>
      </c>
      <c r="B52">
        <v>1</v>
      </c>
      <c r="C52">
        <f>IF((AND(VLOOKUP(C$1,main!$A$3:$I$56,5,FALSE)-VLOOKUP($A52,main!$A$3:$I$56,6,FALSE)&gt;=(VLOOKUP(VLOOKUP(C$1,main!$A$3:$I$56,8,FALSE),main!$K$11:$M$14,2,FALSE)+VLOOKUP(VLOOKUP(C$1,main!$A$3:$I$56,7,FALSE),main!$K$19:$O$22,MATCH(VLOOKUP($A52,main!$A$3:$I$56,8,FALSE),main!$K$18:$O$18,0))))),1,0)</f>
        <v>0</v>
      </c>
      <c r="D52">
        <f>IF((AND(VLOOKUP(D$1,main!$A$3:$I$56,5,FALSE)-VLOOKUP($A52,main!$A$3:$I$56,6,FALSE)&gt;=(VLOOKUP(VLOOKUP(D$1,main!$A$3:$I$56,8,FALSE),main!$K$11:$M$14,2,FALSE)+VLOOKUP(VLOOKUP(D$1,main!$A$3:$I$56,7,FALSE),main!$K$19:$O$22,MATCH(VLOOKUP($A52,main!$A$3:$I$56,8,FALSE),main!$K$18:$O$18,0))))),1,0)</f>
        <v>0</v>
      </c>
      <c r="E52">
        <f>IF((AND(VLOOKUP(E$1,main!$A$3:$I$56,5,FALSE)-VLOOKUP($A52,main!$A$3:$I$56,6,FALSE)&gt;=(VLOOKUP(VLOOKUP(E$1,main!$A$3:$I$56,8,FALSE),main!$K$11:$M$14,2,FALSE)+VLOOKUP(VLOOKUP(E$1,main!$A$3:$I$56,7,FALSE),main!$K$19:$O$22,MATCH(VLOOKUP($A52,main!$A$3:$I$56,8,FALSE),main!$K$18:$O$18,0))))),1,0)</f>
        <v>1</v>
      </c>
      <c r="F52">
        <f>IF((AND(VLOOKUP(F$1,main!$A$3:$I$56,5,FALSE)-VLOOKUP($A52,main!$A$3:$I$56,6,FALSE)&gt;=(VLOOKUP(VLOOKUP(F$1,main!$A$3:$I$56,8,FALSE),main!$K$11:$M$14,2,FALSE)+VLOOKUP(VLOOKUP(F$1,main!$A$3:$I$56,7,FALSE),main!$K$19:$O$22,MATCH(VLOOKUP($A52,main!$A$3:$I$56,8,FALSE),main!$K$18:$O$18,0))))),1,0)</f>
        <v>1</v>
      </c>
      <c r="G52">
        <f>IF((AND(VLOOKUP(G$1,main!$A$3:$I$56,5,FALSE)-VLOOKUP($A52,main!$A$3:$I$56,6,FALSE)&gt;=(VLOOKUP(VLOOKUP(G$1,main!$A$3:$I$56,8,FALSE),main!$K$11:$M$14,2,FALSE)+VLOOKUP(VLOOKUP(G$1,main!$A$3:$I$56,7,FALSE),main!$K$19:$O$22,MATCH(VLOOKUP($A52,main!$A$3:$I$56,8,FALSE),main!$K$18:$O$18,0))))),1,0)</f>
        <v>1</v>
      </c>
      <c r="H52">
        <f>IF((AND(VLOOKUP(H$1,main!$A$3:$I$56,5,FALSE)-VLOOKUP($A52,main!$A$3:$I$56,6,FALSE)&gt;=(VLOOKUP(VLOOKUP(H$1,main!$A$3:$I$56,8,FALSE),main!$K$11:$M$14,2,FALSE)+VLOOKUP(VLOOKUP(H$1,main!$A$3:$I$56,7,FALSE),main!$K$19:$O$22,MATCH(VLOOKUP($A52,main!$A$3:$I$56,8,FALSE),main!$K$18:$O$18,0))))),1,0)</f>
        <v>1</v>
      </c>
      <c r="I52">
        <f>IF((AND(VLOOKUP(I$1,main!$A$3:$I$56,5,FALSE)-VLOOKUP($A52,main!$A$3:$I$56,6,FALSE)&gt;=(VLOOKUP(VLOOKUP(I$1,main!$A$3:$I$56,8,FALSE),main!$K$11:$M$14,2,FALSE)+VLOOKUP(VLOOKUP(I$1,main!$A$3:$I$56,7,FALSE),main!$K$19:$O$22,MATCH(VLOOKUP($A52,main!$A$3:$I$56,8,FALSE),main!$K$18:$O$18,0))))),1,0)</f>
        <v>1</v>
      </c>
      <c r="J52">
        <f>IF((AND(VLOOKUP(J$1,main!$A$3:$I$56,5,FALSE)-VLOOKUP($A52,main!$A$3:$I$56,6,FALSE)&gt;=(VLOOKUP(VLOOKUP(J$1,main!$A$3:$I$56,8,FALSE),main!$K$11:$M$14,2,FALSE)+VLOOKUP(VLOOKUP(J$1,main!$A$3:$I$56,7,FALSE),main!$K$19:$O$22,MATCH(VLOOKUP($A52,main!$A$3:$I$56,8,FALSE),main!$K$18:$O$18,0))))),1,0)</f>
        <v>1</v>
      </c>
      <c r="K52">
        <f>IF((AND(VLOOKUP(K$1,main!$A$3:$I$56,5,FALSE)-VLOOKUP($A52,main!$A$3:$I$56,6,FALSE)&gt;=(VLOOKUP(VLOOKUP(K$1,main!$A$3:$I$56,8,FALSE),main!$K$11:$M$14,2,FALSE)+VLOOKUP(VLOOKUP(K$1,main!$A$3:$I$56,7,FALSE),main!$K$19:$O$22,MATCH(VLOOKUP($A52,main!$A$3:$I$56,8,FALSE),main!$K$18:$O$18,0))))),1,0)</f>
        <v>0</v>
      </c>
      <c r="L52">
        <f>IF((AND(VLOOKUP(L$1,main!$A$3:$I$56,5,FALSE)-VLOOKUP($A52,main!$A$3:$I$56,6,FALSE)&gt;=(VLOOKUP(VLOOKUP(L$1,main!$A$3:$I$56,8,FALSE),main!$K$11:$M$14,2,FALSE)+VLOOKUP(VLOOKUP(L$1,main!$A$3:$I$56,7,FALSE),main!$K$19:$O$22,MATCH(VLOOKUP($A52,main!$A$3:$I$56,8,FALSE),main!$K$18:$O$18,0))))),1,0)</f>
        <v>0</v>
      </c>
      <c r="M52">
        <f>IF((AND(VLOOKUP(M$1,main!$A$3:$I$56,5,FALSE)-VLOOKUP($A52,main!$A$3:$I$56,6,FALSE)&gt;=(VLOOKUP(VLOOKUP(M$1,main!$A$3:$I$56,8,FALSE),main!$K$11:$M$14,2,FALSE)+VLOOKUP(VLOOKUP(M$1,main!$A$3:$I$56,7,FALSE),main!$K$19:$O$22,MATCH(VLOOKUP($A52,main!$A$3:$I$56,8,FALSE),main!$K$18:$O$18,0))))),1,0)</f>
        <v>1</v>
      </c>
      <c r="N52">
        <f>IF((AND(VLOOKUP(N$1,main!$A$3:$I$56,5,FALSE)-VLOOKUP($A52,main!$A$3:$I$56,6,FALSE)&gt;=(VLOOKUP(VLOOKUP(N$1,main!$A$3:$I$56,8,FALSE),main!$K$11:$M$14,2,FALSE)+VLOOKUP(VLOOKUP(N$1,main!$A$3:$I$56,7,FALSE),main!$K$19:$O$22,MATCH(VLOOKUP($A52,main!$A$3:$I$56,8,FALSE),main!$K$18:$O$18,0))))),1,0)</f>
        <v>1</v>
      </c>
      <c r="O52">
        <f>IF((AND(VLOOKUP(O$1,main!$A$3:$I$56,5,FALSE)-VLOOKUP($A52,main!$A$3:$I$56,6,FALSE)&gt;=(VLOOKUP(VLOOKUP(O$1,main!$A$3:$I$56,8,FALSE),main!$K$11:$M$14,2,FALSE)+VLOOKUP(VLOOKUP(O$1,main!$A$3:$I$56,7,FALSE),main!$K$19:$O$22,MATCH(VLOOKUP($A52,main!$A$3:$I$56,8,FALSE),main!$K$18:$O$18,0))))),1,0)</f>
        <v>1</v>
      </c>
      <c r="P52">
        <f>IF((AND(VLOOKUP(P$1,main!$A$3:$I$56,5,FALSE)-VLOOKUP($A52,main!$A$3:$I$56,6,FALSE)&gt;=(VLOOKUP(VLOOKUP(P$1,main!$A$3:$I$56,8,FALSE),main!$K$11:$M$14,2,FALSE)+VLOOKUP(VLOOKUP(P$1,main!$A$3:$I$56,7,FALSE),main!$K$19:$O$22,MATCH(VLOOKUP($A52,main!$A$3:$I$56,8,FALSE),main!$K$18:$O$18,0))))),1,0)</f>
        <v>0</v>
      </c>
      <c r="Q52">
        <f>IF((AND(VLOOKUP(Q$1,main!$A$3:$I$56,5,FALSE)-VLOOKUP($A52,main!$A$3:$I$56,6,FALSE)&gt;=(VLOOKUP(VLOOKUP(Q$1,main!$A$3:$I$56,8,FALSE),main!$K$11:$M$14,2,FALSE)+VLOOKUP(VLOOKUP(Q$1,main!$A$3:$I$56,7,FALSE),main!$K$19:$O$22,MATCH(VLOOKUP($A52,main!$A$3:$I$56,8,FALSE),main!$K$18:$O$18,0))))),1,0)</f>
        <v>0</v>
      </c>
      <c r="R52">
        <f>IF((AND(VLOOKUP(R$1,main!$A$3:$I$56,5,FALSE)-VLOOKUP($A52,main!$A$3:$I$56,6,FALSE)&gt;=(VLOOKUP(VLOOKUP(R$1,main!$A$3:$I$56,8,FALSE),main!$K$11:$M$14,2,FALSE)+VLOOKUP(VLOOKUP(R$1,main!$A$3:$I$56,7,FALSE),main!$K$19:$O$22,MATCH(VLOOKUP($A52,main!$A$3:$I$56,8,FALSE),main!$K$18:$O$18,0))))),1,0)</f>
        <v>1</v>
      </c>
      <c r="S52">
        <f>IF((AND(VLOOKUP(S$1,main!$A$3:$I$56,5,FALSE)-VLOOKUP($A52,main!$A$3:$I$56,6,FALSE)&gt;=(VLOOKUP(VLOOKUP(S$1,main!$A$3:$I$56,8,FALSE),main!$K$11:$M$14,2,FALSE)+VLOOKUP(VLOOKUP(S$1,main!$A$3:$I$56,7,FALSE),main!$K$19:$O$22,MATCH(VLOOKUP($A52,main!$A$3:$I$56,8,FALSE),main!$K$18:$O$18,0))))),1,0)</f>
        <v>1</v>
      </c>
      <c r="T52">
        <f>IF((AND(VLOOKUP(T$1,main!$A$3:$I$56,5,FALSE)-VLOOKUP($A52,main!$A$3:$I$56,6,FALSE)&gt;=(VLOOKUP(VLOOKUP(T$1,main!$A$3:$I$56,8,FALSE),main!$K$11:$M$14,2,FALSE)+VLOOKUP(VLOOKUP(T$1,main!$A$3:$I$56,7,FALSE),main!$K$19:$O$22,MATCH(VLOOKUP($A52,main!$A$3:$I$56,8,FALSE),main!$K$18:$O$18,0))))),1,0)</f>
        <v>1</v>
      </c>
      <c r="U52">
        <f>IF((AND(VLOOKUP(U$1,main!$A$3:$I$56,5,FALSE)-VLOOKUP($A52,main!$A$3:$I$56,6,FALSE)&gt;=(VLOOKUP(VLOOKUP(U$1,main!$A$3:$I$56,8,FALSE),main!$K$11:$M$14,2,FALSE)+VLOOKUP(VLOOKUP(U$1,main!$A$3:$I$56,7,FALSE),main!$K$19:$O$22,MATCH(VLOOKUP($A52,main!$A$3:$I$56,8,FALSE),main!$K$18:$O$18,0))))),1,0)</f>
        <v>0</v>
      </c>
      <c r="V52">
        <f>IF((AND(VLOOKUP(V$1,main!$A$3:$I$56,5,FALSE)-VLOOKUP($A52,main!$A$3:$I$56,6,FALSE)&gt;=(VLOOKUP(VLOOKUP(V$1,main!$A$3:$I$56,8,FALSE),main!$K$11:$M$14,2,FALSE)+VLOOKUP(VLOOKUP(V$1,main!$A$3:$I$56,7,FALSE),main!$K$19:$O$22,MATCH(VLOOKUP($A52,main!$A$3:$I$56,8,FALSE),main!$K$18:$O$18,0))))),1,0)</f>
        <v>0</v>
      </c>
      <c r="W52">
        <f>IF((AND(VLOOKUP(W$1,main!$A$3:$I$56,5,FALSE)-VLOOKUP($A52,main!$A$3:$I$56,6,FALSE)&gt;=(VLOOKUP(VLOOKUP(W$1,main!$A$3:$I$56,8,FALSE),main!$K$11:$M$14,2,FALSE)+VLOOKUP(VLOOKUP(W$1,main!$A$3:$I$56,7,FALSE),main!$K$19:$O$22,MATCH(VLOOKUP($A52,main!$A$3:$I$56,8,FALSE),main!$K$18:$O$18,0))))),1,0)</f>
        <v>0</v>
      </c>
      <c r="X52">
        <f>IF((AND(VLOOKUP(X$1,main!$A$3:$I$56,5,FALSE)-VLOOKUP($A52,main!$A$3:$I$56,6,FALSE)&gt;=(VLOOKUP(VLOOKUP(X$1,main!$A$3:$I$56,8,FALSE),main!$K$11:$M$14,2,FALSE)+VLOOKUP(VLOOKUP(X$1,main!$A$3:$I$56,7,FALSE),main!$K$19:$O$22,MATCH(VLOOKUP($A52,main!$A$3:$I$56,8,FALSE),main!$K$18:$O$18,0))))),1,0)</f>
        <v>1</v>
      </c>
      <c r="Y52">
        <f>IF((AND(VLOOKUP(Y$1,main!$A$3:$I$56,5,FALSE)-VLOOKUP($A52,main!$A$3:$I$56,6,FALSE)&gt;=(VLOOKUP(VLOOKUP(Y$1,main!$A$3:$I$56,8,FALSE),main!$K$11:$M$14,2,FALSE)+VLOOKUP(VLOOKUP(Y$1,main!$A$3:$I$56,7,FALSE),main!$K$19:$O$22,MATCH(VLOOKUP($A52,main!$A$3:$I$56,8,FALSE),main!$K$18:$O$18,0))))),1,0)</f>
        <v>1</v>
      </c>
      <c r="Z52">
        <f>IF((AND(VLOOKUP(Z$1,main!$A$3:$I$56,5,FALSE)-VLOOKUP($A52,main!$A$3:$I$56,6,FALSE)&gt;=(VLOOKUP(VLOOKUP(Z$1,main!$A$3:$I$56,8,FALSE),main!$K$11:$M$14,2,FALSE)+VLOOKUP(VLOOKUP(Z$1,main!$A$3:$I$56,7,FALSE),main!$K$19:$O$22,MATCH(VLOOKUP($A52,main!$A$3:$I$56,8,FALSE),main!$K$18:$O$18,0))))),1,0)</f>
        <v>1</v>
      </c>
      <c r="AA52">
        <f>IF((AND(VLOOKUP(AA$1,main!$A$3:$I$56,5,FALSE)-VLOOKUP($A52,main!$A$3:$I$56,6,FALSE)&gt;=(VLOOKUP(VLOOKUP(AA$1,main!$A$3:$I$56,8,FALSE),main!$K$11:$M$14,2,FALSE)+VLOOKUP(VLOOKUP(AA$1,main!$A$3:$I$56,7,FALSE),main!$K$19:$O$22,MATCH(VLOOKUP($A52,main!$A$3:$I$56,8,FALSE),main!$K$18:$O$18,0))))),1,0)</f>
        <v>1</v>
      </c>
      <c r="AB52">
        <f>IF((AND(VLOOKUP(AB$1,main!$A$3:$I$56,5,FALSE)-VLOOKUP($A52,main!$A$3:$I$56,6,FALSE)&gt;=(VLOOKUP(VLOOKUP(AB$1,main!$A$3:$I$56,8,FALSE),main!$K$11:$M$14,2,FALSE)+VLOOKUP(VLOOKUP(AB$1,main!$A$3:$I$56,7,FALSE),main!$K$19:$O$22,MATCH(VLOOKUP($A52,main!$A$3:$I$56,8,FALSE),main!$K$18:$O$18,0))))),1,0)</f>
        <v>1</v>
      </c>
      <c r="AC52">
        <f>IF((AND(VLOOKUP(AC$1,main!$A$3:$I$56,5,FALSE)-VLOOKUP($A52,main!$A$3:$I$56,6,FALSE)&gt;=(VLOOKUP(VLOOKUP(AC$1,main!$A$3:$I$56,8,FALSE),main!$K$11:$M$14,2,FALSE)+VLOOKUP(VLOOKUP(AC$1,main!$A$3:$I$56,7,FALSE),main!$K$19:$O$22,MATCH(VLOOKUP($A52,main!$A$3:$I$56,8,FALSE),main!$K$18:$O$18,0))))),1,0)</f>
        <v>0</v>
      </c>
      <c r="AD52">
        <f>IF((AND(VLOOKUP(AD$1,main!$A$3:$I$56,5,FALSE)-VLOOKUP($A52,main!$A$3:$I$56,6,FALSE)&gt;=(VLOOKUP(VLOOKUP(AD$1,main!$A$3:$I$56,8,FALSE),main!$K$11:$M$14,2,FALSE)+VLOOKUP(VLOOKUP(AD$1,main!$A$3:$I$56,7,FALSE),main!$K$19:$O$22,MATCH(VLOOKUP($A52,main!$A$3:$I$56,8,FALSE),main!$K$18:$O$18,0))))),1,0)</f>
        <v>0</v>
      </c>
      <c r="AE52">
        <f>IF((AND(VLOOKUP(AE$1,main!$A$3:$I$56,5,FALSE)-VLOOKUP($A52,main!$A$3:$I$56,6,FALSE)&gt;=(VLOOKUP(VLOOKUP(AE$1,main!$A$3:$I$56,8,FALSE),main!$K$11:$M$14,2,FALSE)+VLOOKUP(VLOOKUP(AE$1,main!$A$3:$I$56,7,FALSE),main!$K$19:$O$22,MATCH(VLOOKUP($A52,main!$A$3:$I$56,8,FALSE),main!$K$18:$O$18,0))))),1,0)</f>
        <v>1</v>
      </c>
      <c r="AF52">
        <f>IF((AND(VLOOKUP(AF$1,main!$A$3:$I$56,5,FALSE)-VLOOKUP($A52,main!$A$3:$I$56,6,FALSE)&gt;=(VLOOKUP(VLOOKUP(AF$1,main!$A$3:$I$56,8,FALSE),main!$K$11:$M$14,2,FALSE)+VLOOKUP(VLOOKUP(AF$1,main!$A$3:$I$56,7,FALSE),main!$K$19:$O$22,MATCH(VLOOKUP($A52,main!$A$3:$I$56,8,FALSE),main!$K$18:$O$18,0))))),1,0)</f>
        <v>1</v>
      </c>
      <c r="AG52">
        <f>IF((AND(VLOOKUP(AG$1,main!$A$3:$I$56,5,FALSE)-VLOOKUP($A52,main!$A$3:$I$56,6,FALSE)&gt;=(VLOOKUP(VLOOKUP(AG$1,main!$A$3:$I$56,8,FALSE),main!$K$11:$M$14,2,FALSE)+VLOOKUP(VLOOKUP(AG$1,main!$A$3:$I$56,7,FALSE),main!$K$19:$O$22,MATCH(VLOOKUP($A52,main!$A$3:$I$56,8,FALSE),main!$K$18:$O$18,0))))),1,0)</f>
        <v>0</v>
      </c>
      <c r="AH52">
        <f>IF((AND(VLOOKUP(AH$1,main!$A$3:$I$56,5,FALSE)-VLOOKUP($A52,main!$A$3:$I$56,6,FALSE)&gt;=(VLOOKUP(VLOOKUP(AH$1,main!$A$3:$I$56,8,FALSE),main!$K$11:$M$14,2,FALSE)+VLOOKUP(VLOOKUP(AH$1,main!$A$3:$I$56,7,FALSE),main!$K$19:$O$22,MATCH(VLOOKUP($A52,main!$A$3:$I$56,8,FALSE),main!$K$18:$O$18,0))))),1,0)</f>
        <v>0</v>
      </c>
      <c r="AI52">
        <f>IF((AND(VLOOKUP(AI$1,main!$A$3:$I$56,5,FALSE)-VLOOKUP($A52,main!$A$3:$I$56,6,FALSE)&gt;=(VLOOKUP(VLOOKUP(AI$1,main!$A$3:$I$56,8,FALSE),main!$K$11:$M$14,2,FALSE)+VLOOKUP(VLOOKUP(AI$1,main!$A$3:$I$56,7,FALSE),main!$K$19:$O$22,MATCH(VLOOKUP($A52,main!$A$3:$I$56,8,FALSE),main!$K$18:$O$18,0))))),1,0)</f>
        <v>1</v>
      </c>
      <c r="AJ52">
        <f>IF((AND(VLOOKUP(AJ$1,main!$A$3:$I$56,5,FALSE)-VLOOKUP($A52,main!$A$3:$I$56,6,FALSE)&gt;=(VLOOKUP(VLOOKUP(AJ$1,main!$A$3:$I$56,8,FALSE),main!$K$11:$M$14,2,FALSE)+VLOOKUP(VLOOKUP(AJ$1,main!$A$3:$I$56,7,FALSE),main!$K$19:$O$22,MATCH(VLOOKUP($A52,main!$A$3:$I$56,8,FALSE),main!$K$18:$O$18,0))))),1,0)</f>
        <v>1</v>
      </c>
      <c r="AK52">
        <f>IF((AND(VLOOKUP(AK$1,main!$A$3:$I$56,5,FALSE)-VLOOKUP($A52,main!$A$3:$I$56,6,FALSE)&gt;=(VLOOKUP(VLOOKUP(AK$1,main!$A$3:$I$56,8,FALSE),main!$K$11:$M$14,2,FALSE)+VLOOKUP(VLOOKUP(AK$1,main!$A$3:$I$56,7,FALSE),main!$K$19:$O$22,MATCH(VLOOKUP($A52,main!$A$3:$I$56,8,FALSE),main!$K$18:$O$18,0))))),1,0)</f>
        <v>1</v>
      </c>
      <c r="AL52">
        <f>IF((AND(VLOOKUP(AL$1,main!$A$3:$I$56,5,FALSE)-VLOOKUP($A52,main!$A$3:$I$56,6,FALSE)&gt;=(VLOOKUP(VLOOKUP(AL$1,main!$A$3:$I$56,8,FALSE),main!$K$11:$M$14,2,FALSE)+VLOOKUP(VLOOKUP(AL$1,main!$A$3:$I$56,7,FALSE),main!$K$19:$O$22,MATCH(VLOOKUP($A52,main!$A$3:$I$56,8,FALSE),main!$K$18:$O$18,0))))),1,0)</f>
        <v>0</v>
      </c>
      <c r="AM52">
        <f>IF((AND(VLOOKUP(AM$1,main!$A$3:$I$56,5,FALSE)-VLOOKUP($A52,main!$A$3:$I$56,6,FALSE)&gt;=(VLOOKUP(VLOOKUP(AM$1,main!$A$3:$I$56,8,FALSE),main!$K$11:$M$14,2,FALSE)+VLOOKUP(VLOOKUP(AM$1,main!$A$3:$I$56,7,FALSE),main!$K$19:$O$22,MATCH(VLOOKUP($A52,main!$A$3:$I$56,8,FALSE),main!$K$18:$O$18,0))))),1,0)</f>
        <v>0</v>
      </c>
      <c r="AN52">
        <f>IF((AND(VLOOKUP(AN$1,main!$A$3:$I$56,5,FALSE)-VLOOKUP($A52,main!$A$3:$I$56,6,FALSE)&gt;=(VLOOKUP(VLOOKUP(AN$1,main!$A$3:$I$56,8,FALSE),main!$K$11:$M$14,2,FALSE)+VLOOKUP(VLOOKUP(AN$1,main!$A$3:$I$56,7,FALSE),main!$K$19:$O$22,MATCH(VLOOKUP($A52,main!$A$3:$I$56,8,FALSE),main!$K$18:$O$18,0))))),1,0)</f>
        <v>1</v>
      </c>
      <c r="AO52">
        <f>IF((AND(VLOOKUP(AO$1,main!$A$3:$I$56,5,FALSE)-VLOOKUP($A52,main!$A$3:$I$56,6,FALSE)&gt;=(VLOOKUP(VLOOKUP(AO$1,main!$A$3:$I$56,8,FALSE),main!$K$11:$M$14,2,FALSE)+VLOOKUP(VLOOKUP(AO$1,main!$A$3:$I$56,7,FALSE),main!$K$19:$O$22,MATCH(VLOOKUP($A52,main!$A$3:$I$56,8,FALSE),main!$K$18:$O$18,0))))),1,0)</f>
        <v>1</v>
      </c>
      <c r="AP52">
        <f>IF((AND(VLOOKUP(AP$1,main!$A$3:$I$56,5,FALSE)-VLOOKUP($A52,main!$A$3:$I$56,6,FALSE)&gt;=(VLOOKUP(VLOOKUP(AP$1,main!$A$3:$I$56,8,FALSE),main!$K$11:$M$14,2,FALSE)+VLOOKUP(VLOOKUP(AP$1,main!$A$3:$I$56,7,FALSE),main!$K$19:$O$22,MATCH(VLOOKUP($A52,main!$A$3:$I$56,8,FALSE),main!$K$18:$O$18,0))))),1,0)</f>
        <v>0</v>
      </c>
      <c r="AQ52">
        <f>IF((AND(VLOOKUP(AQ$1,main!$A$3:$I$56,5,FALSE)-VLOOKUP($A52,main!$A$3:$I$56,6,FALSE)&gt;=(VLOOKUP(VLOOKUP(AQ$1,main!$A$3:$I$56,8,FALSE),main!$K$11:$M$14,2,FALSE)+VLOOKUP(VLOOKUP(AQ$1,main!$A$3:$I$56,7,FALSE),main!$K$19:$O$22,MATCH(VLOOKUP($A52,main!$A$3:$I$56,8,FALSE),main!$K$18:$O$18,0))))),1,0)</f>
        <v>0</v>
      </c>
      <c r="AR52">
        <f>IF((AND(VLOOKUP(AR$1,main!$A$3:$I$56,5,FALSE)-VLOOKUP($A52,main!$A$3:$I$56,6,FALSE)&gt;=(VLOOKUP(VLOOKUP(AR$1,main!$A$3:$I$56,8,FALSE),main!$K$11:$M$14,2,FALSE)+VLOOKUP(VLOOKUP(AR$1,main!$A$3:$I$56,7,FALSE),main!$K$19:$O$22,MATCH(VLOOKUP($A52,main!$A$3:$I$56,8,FALSE),main!$K$18:$O$18,0))))),1,0)</f>
        <v>0</v>
      </c>
      <c r="AS52">
        <f>IF((AND(VLOOKUP(AS$1,main!$A$3:$I$56,5,FALSE)-VLOOKUP($A52,main!$A$3:$I$56,6,FALSE)&gt;=(VLOOKUP(VLOOKUP(AS$1,main!$A$3:$I$56,8,FALSE),main!$K$11:$M$14,2,FALSE)+VLOOKUP(VLOOKUP(AS$1,main!$A$3:$I$56,7,FALSE),main!$K$19:$O$22,MATCH(VLOOKUP($A52,main!$A$3:$I$56,8,FALSE),main!$K$18:$O$18,0))))),1,0)</f>
        <v>1</v>
      </c>
      <c r="AT52">
        <f>IF((AND(VLOOKUP(AT$1,main!$A$3:$I$56,5,FALSE)-VLOOKUP($A52,main!$A$3:$I$56,6,FALSE)&gt;=(VLOOKUP(VLOOKUP(AT$1,main!$A$3:$I$56,8,FALSE),main!$K$11:$M$14,2,FALSE)+VLOOKUP(VLOOKUP(AT$1,main!$A$3:$I$56,7,FALSE),main!$K$19:$O$22,MATCH(VLOOKUP($A52,main!$A$3:$I$56,8,FALSE),main!$K$18:$O$18,0))))),1,0)</f>
        <v>1</v>
      </c>
      <c r="AU52">
        <f>IF((AND(VLOOKUP(AU$1,main!$A$3:$I$56,5,FALSE)-VLOOKUP($A52,main!$A$3:$I$56,6,FALSE)&gt;=(VLOOKUP(VLOOKUP(AU$1,main!$A$3:$I$56,8,FALSE),main!$K$11:$M$14,2,FALSE)+VLOOKUP(VLOOKUP(AU$1,main!$A$3:$I$56,7,FALSE),main!$K$19:$O$22,MATCH(VLOOKUP($A52,main!$A$3:$I$56,8,FALSE),main!$K$18:$O$18,0))))),1,0)</f>
        <v>0</v>
      </c>
      <c r="AV52">
        <f>IF((AND(VLOOKUP(AV$1,main!$A$3:$I$56,5,FALSE)-VLOOKUP($A52,main!$A$3:$I$56,6,FALSE)&gt;=(VLOOKUP(VLOOKUP(AV$1,main!$A$3:$I$56,8,FALSE),main!$K$11:$M$14,2,FALSE)+VLOOKUP(VLOOKUP(AV$1,main!$A$3:$I$56,7,FALSE),main!$K$19:$O$22,MATCH(VLOOKUP($A52,main!$A$3:$I$56,8,FALSE),main!$K$18:$O$18,0))))),1,0)</f>
        <v>0</v>
      </c>
      <c r="AW52">
        <f>IF((AND(VLOOKUP(AW$1,main!$A$3:$I$56,5,FALSE)-VLOOKUP($A52,main!$A$3:$I$56,6,FALSE)&gt;=(VLOOKUP(VLOOKUP(AW$1,main!$A$3:$I$56,8,FALSE),main!$K$11:$M$14,2,FALSE)+VLOOKUP(VLOOKUP(AW$1,main!$A$3:$I$56,7,FALSE),main!$K$19:$O$22,MATCH(VLOOKUP($A52,main!$A$3:$I$56,8,FALSE),main!$K$18:$O$18,0))))),1,0)</f>
        <v>1</v>
      </c>
      <c r="AX52">
        <f>IF((AND(VLOOKUP(AX$1,main!$A$3:$I$56,5,FALSE)-VLOOKUP($A52,main!$A$3:$I$56,6,FALSE)&gt;=(VLOOKUP(VLOOKUP(AX$1,main!$A$3:$I$56,8,FALSE),main!$K$11:$M$14,2,FALSE)+VLOOKUP(VLOOKUP(AX$1,main!$A$3:$I$56,7,FALSE),main!$K$19:$O$22,MATCH(VLOOKUP($A52,main!$A$3:$I$56,8,FALSE),main!$K$18:$O$18,0))))),1,0)</f>
        <v>1</v>
      </c>
      <c r="AY52">
        <f>IF((AND(VLOOKUP(AY$1,main!$A$3:$I$56,5,FALSE)-VLOOKUP($A52,main!$A$3:$I$56,6,FALSE)&gt;=(VLOOKUP(VLOOKUP(AY$1,main!$A$3:$I$56,8,FALSE),main!$K$11:$M$14,2,FALSE)+VLOOKUP(VLOOKUP(AY$1,main!$A$3:$I$56,7,FALSE),main!$K$19:$O$22,MATCH(VLOOKUP($A52,main!$A$3:$I$56,8,FALSE),main!$K$18:$O$18,0))))),1,0)</f>
        <v>1</v>
      </c>
      <c r="AZ52">
        <f>IF((AND(VLOOKUP(AZ$1,main!$A$3:$I$56,5,FALSE)-VLOOKUP($A52,main!$A$3:$I$56,6,FALSE)&gt;=(VLOOKUP(VLOOKUP(AZ$1,main!$A$3:$I$56,8,FALSE),main!$K$11:$M$14,2,FALSE)+VLOOKUP(VLOOKUP(AZ$1,main!$A$3:$I$56,7,FALSE),main!$K$19:$O$22,MATCH(VLOOKUP($A52,main!$A$3:$I$56,8,FALSE),main!$K$18:$O$18,0))))),1,0)</f>
        <v>0</v>
      </c>
      <c r="BA52">
        <f>IF((AND(VLOOKUP(BA$1,main!$A$3:$I$56,5,FALSE)-VLOOKUP($A52,main!$A$3:$I$56,6,FALSE)&gt;=(VLOOKUP(VLOOKUP(BA$1,main!$A$3:$I$56,8,FALSE),main!$K$11:$M$14,2,FALSE)+VLOOKUP(VLOOKUP(BA$1,main!$A$3:$I$56,7,FALSE),main!$K$19:$O$22,MATCH(VLOOKUP($A52,main!$A$3:$I$56,8,FALSE),main!$K$18:$O$18,0))))),1,0)</f>
        <v>0</v>
      </c>
      <c r="BB52">
        <f>IF((AND(VLOOKUP(BB$1,main!$A$3:$I$56,5,FALSE)-VLOOKUP($A52,main!$A$3:$I$56,6,FALSE)&gt;=(VLOOKUP(VLOOKUP(BB$1,main!$A$3:$I$56,8,FALSE),main!$K$11:$M$14,2,FALSE)+VLOOKUP(VLOOKUP(BB$1,main!$A$3:$I$56,7,FALSE),main!$K$19:$O$22,MATCH(VLOOKUP($A52,main!$A$3:$I$56,8,FALSE),main!$K$18:$O$18,0))))),1,0)</f>
        <v>0</v>
      </c>
      <c r="BC52">
        <f>IF((AND(VLOOKUP(BC$1,main!$A$3:$I$56,5,FALSE)-VLOOKUP($A52,main!$A$3:$I$56,6,FALSE)&gt;=(VLOOKUP(VLOOKUP(BC$1,main!$A$3:$I$56,8,FALSE),main!$K$11:$M$14,2,FALSE)+VLOOKUP(VLOOKUP(BC$1,main!$A$3:$I$56,7,FALSE),main!$K$19:$O$22,MATCH(VLOOKUP($A52,main!$A$3:$I$56,8,FALSE),main!$K$18:$O$18,0))))),1,0)</f>
        <v>1</v>
      </c>
      <c r="BD52">
        <f>IF((AND(VLOOKUP(BD$1,main!$A$3:$I$56,5,FALSE)-VLOOKUP($A52,main!$A$3:$I$56,6,FALSE)&gt;=(VLOOKUP(VLOOKUP(BD$1,main!$A$3:$I$56,8,FALSE),main!$K$11:$M$14,2,FALSE)+VLOOKUP(VLOOKUP(BD$1,main!$A$3:$I$56,7,FALSE),main!$K$19:$O$22,MATCH(VLOOKUP($A52,main!$A$3:$I$56,8,FALSE),main!$K$18:$O$18,0))))),1,0)</f>
        <v>1</v>
      </c>
    </row>
    <row r="53" spans="1:56" x14ac:dyDescent="0.25">
      <c r="A53">
        <f t="shared" si="0"/>
        <v>51</v>
      </c>
      <c r="B53">
        <v>1</v>
      </c>
      <c r="C53">
        <f>IF((AND(VLOOKUP(C$1,main!$A$3:$I$56,5,FALSE)-VLOOKUP($A53,main!$A$3:$I$56,6,FALSE)&gt;=(VLOOKUP(VLOOKUP(C$1,main!$A$3:$I$56,8,FALSE),main!$K$11:$M$14,2,FALSE)+VLOOKUP(VLOOKUP(C$1,main!$A$3:$I$56,7,FALSE),main!$K$19:$O$22,MATCH(VLOOKUP($A53,main!$A$3:$I$56,8,FALSE),main!$K$18:$O$18,0))))),1,0)</f>
        <v>0</v>
      </c>
      <c r="D53">
        <f>IF((AND(VLOOKUP(D$1,main!$A$3:$I$56,5,FALSE)-VLOOKUP($A53,main!$A$3:$I$56,6,FALSE)&gt;=(VLOOKUP(VLOOKUP(D$1,main!$A$3:$I$56,8,FALSE),main!$K$11:$M$14,2,FALSE)+VLOOKUP(VLOOKUP(D$1,main!$A$3:$I$56,7,FALSE),main!$K$19:$O$22,MATCH(VLOOKUP($A53,main!$A$3:$I$56,8,FALSE),main!$K$18:$O$18,0))))),1,0)</f>
        <v>0</v>
      </c>
      <c r="E53">
        <f>IF((AND(VLOOKUP(E$1,main!$A$3:$I$56,5,FALSE)-VLOOKUP($A53,main!$A$3:$I$56,6,FALSE)&gt;=(VLOOKUP(VLOOKUP(E$1,main!$A$3:$I$56,8,FALSE),main!$K$11:$M$14,2,FALSE)+VLOOKUP(VLOOKUP(E$1,main!$A$3:$I$56,7,FALSE),main!$K$19:$O$22,MATCH(VLOOKUP($A53,main!$A$3:$I$56,8,FALSE),main!$K$18:$O$18,0))))),1,0)</f>
        <v>0</v>
      </c>
      <c r="F53">
        <f>IF((AND(VLOOKUP(F$1,main!$A$3:$I$56,5,FALSE)-VLOOKUP($A53,main!$A$3:$I$56,6,FALSE)&gt;=(VLOOKUP(VLOOKUP(F$1,main!$A$3:$I$56,8,FALSE),main!$K$11:$M$14,2,FALSE)+VLOOKUP(VLOOKUP(F$1,main!$A$3:$I$56,7,FALSE),main!$K$19:$O$22,MATCH(VLOOKUP($A53,main!$A$3:$I$56,8,FALSE),main!$K$18:$O$18,0))))),1,0)</f>
        <v>0</v>
      </c>
      <c r="G53">
        <f>IF((AND(VLOOKUP(G$1,main!$A$3:$I$56,5,FALSE)-VLOOKUP($A53,main!$A$3:$I$56,6,FALSE)&gt;=(VLOOKUP(VLOOKUP(G$1,main!$A$3:$I$56,8,FALSE),main!$K$11:$M$14,2,FALSE)+VLOOKUP(VLOOKUP(G$1,main!$A$3:$I$56,7,FALSE),main!$K$19:$O$22,MATCH(VLOOKUP($A53,main!$A$3:$I$56,8,FALSE),main!$K$18:$O$18,0))))),1,0)</f>
        <v>1</v>
      </c>
      <c r="H53">
        <f>IF((AND(VLOOKUP(H$1,main!$A$3:$I$56,5,FALSE)-VLOOKUP($A53,main!$A$3:$I$56,6,FALSE)&gt;=(VLOOKUP(VLOOKUP(H$1,main!$A$3:$I$56,8,FALSE),main!$K$11:$M$14,2,FALSE)+VLOOKUP(VLOOKUP(H$1,main!$A$3:$I$56,7,FALSE),main!$K$19:$O$22,MATCH(VLOOKUP($A53,main!$A$3:$I$56,8,FALSE),main!$K$18:$O$18,0))))),1,0)</f>
        <v>1</v>
      </c>
      <c r="I53">
        <f>IF((AND(VLOOKUP(I$1,main!$A$3:$I$56,5,FALSE)-VLOOKUP($A53,main!$A$3:$I$56,6,FALSE)&gt;=(VLOOKUP(VLOOKUP(I$1,main!$A$3:$I$56,8,FALSE),main!$K$11:$M$14,2,FALSE)+VLOOKUP(VLOOKUP(I$1,main!$A$3:$I$56,7,FALSE),main!$K$19:$O$22,MATCH(VLOOKUP($A53,main!$A$3:$I$56,8,FALSE),main!$K$18:$O$18,0))))),1,0)</f>
        <v>1</v>
      </c>
      <c r="J53">
        <f>IF((AND(VLOOKUP(J$1,main!$A$3:$I$56,5,FALSE)-VLOOKUP($A53,main!$A$3:$I$56,6,FALSE)&gt;=(VLOOKUP(VLOOKUP(J$1,main!$A$3:$I$56,8,FALSE),main!$K$11:$M$14,2,FALSE)+VLOOKUP(VLOOKUP(J$1,main!$A$3:$I$56,7,FALSE),main!$K$19:$O$22,MATCH(VLOOKUP($A53,main!$A$3:$I$56,8,FALSE),main!$K$18:$O$18,0))))),1,0)</f>
        <v>1</v>
      </c>
      <c r="K53">
        <f>IF((AND(VLOOKUP(K$1,main!$A$3:$I$56,5,FALSE)-VLOOKUP($A53,main!$A$3:$I$56,6,FALSE)&gt;=(VLOOKUP(VLOOKUP(K$1,main!$A$3:$I$56,8,FALSE),main!$K$11:$M$14,2,FALSE)+VLOOKUP(VLOOKUP(K$1,main!$A$3:$I$56,7,FALSE),main!$K$19:$O$22,MATCH(VLOOKUP($A53,main!$A$3:$I$56,8,FALSE),main!$K$18:$O$18,0))))),1,0)</f>
        <v>0</v>
      </c>
      <c r="L53">
        <f>IF((AND(VLOOKUP(L$1,main!$A$3:$I$56,5,FALSE)-VLOOKUP($A53,main!$A$3:$I$56,6,FALSE)&gt;=(VLOOKUP(VLOOKUP(L$1,main!$A$3:$I$56,8,FALSE),main!$K$11:$M$14,2,FALSE)+VLOOKUP(VLOOKUP(L$1,main!$A$3:$I$56,7,FALSE),main!$K$19:$O$22,MATCH(VLOOKUP($A53,main!$A$3:$I$56,8,FALSE),main!$K$18:$O$18,0))))),1,0)</f>
        <v>0</v>
      </c>
      <c r="M53">
        <f>IF((AND(VLOOKUP(M$1,main!$A$3:$I$56,5,FALSE)-VLOOKUP($A53,main!$A$3:$I$56,6,FALSE)&gt;=(VLOOKUP(VLOOKUP(M$1,main!$A$3:$I$56,8,FALSE),main!$K$11:$M$14,2,FALSE)+VLOOKUP(VLOOKUP(M$1,main!$A$3:$I$56,7,FALSE),main!$K$19:$O$22,MATCH(VLOOKUP($A53,main!$A$3:$I$56,8,FALSE),main!$K$18:$O$18,0))))),1,0)</f>
        <v>0</v>
      </c>
      <c r="N53">
        <f>IF((AND(VLOOKUP(N$1,main!$A$3:$I$56,5,FALSE)-VLOOKUP($A53,main!$A$3:$I$56,6,FALSE)&gt;=(VLOOKUP(VLOOKUP(N$1,main!$A$3:$I$56,8,FALSE),main!$K$11:$M$14,2,FALSE)+VLOOKUP(VLOOKUP(N$1,main!$A$3:$I$56,7,FALSE),main!$K$19:$O$22,MATCH(VLOOKUP($A53,main!$A$3:$I$56,8,FALSE),main!$K$18:$O$18,0))))),1,0)</f>
        <v>1</v>
      </c>
      <c r="O53">
        <f>IF((AND(VLOOKUP(O$1,main!$A$3:$I$56,5,FALSE)-VLOOKUP($A53,main!$A$3:$I$56,6,FALSE)&gt;=(VLOOKUP(VLOOKUP(O$1,main!$A$3:$I$56,8,FALSE),main!$K$11:$M$14,2,FALSE)+VLOOKUP(VLOOKUP(O$1,main!$A$3:$I$56,7,FALSE),main!$K$19:$O$22,MATCH(VLOOKUP($A53,main!$A$3:$I$56,8,FALSE),main!$K$18:$O$18,0))))),1,0)</f>
        <v>1</v>
      </c>
      <c r="P53">
        <f>IF((AND(VLOOKUP(P$1,main!$A$3:$I$56,5,FALSE)-VLOOKUP($A53,main!$A$3:$I$56,6,FALSE)&gt;=(VLOOKUP(VLOOKUP(P$1,main!$A$3:$I$56,8,FALSE),main!$K$11:$M$14,2,FALSE)+VLOOKUP(VLOOKUP(P$1,main!$A$3:$I$56,7,FALSE),main!$K$19:$O$22,MATCH(VLOOKUP($A53,main!$A$3:$I$56,8,FALSE),main!$K$18:$O$18,0))))),1,0)</f>
        <v>0</v>
      </c>
      <c r="Q53">
        <f>IF((AND(VLOOKUP(Q$1,main!$A$3:$I$56,5,FALSE)-VLOOKUP($A53,main!$A$3:$I$56,6,FALSE)&gt;=(VLOOKUP(VLOOKUP(Q$1,main!$A$3:$I$56,8,FALSE),main!$K$11:$M$14,2,FALSE)+VLOOKUP(VLOOKUP(Q$1,main!$A$3:$I$56,7,FALSE),main!$K$19:$O$22,MATCH(VLOOKUP($A53,main!$A$3:$I$56,8,FALSE),main!$K$18:$O$18,0))))),1,0)</f>
        <v>0</v>
      </c>
      <c r="R53">
        <f>IF((AND(VLOOKUP(R$1,main!$A$3:$I$56,5,FALSE)-VLOOKUP($A53,main!$A$3:$I$56,6,FALSE)&gt;=(VLOOKUP(VLOOKUP(R$1,main!$A$3:$I$56,8,FALSE),main!$K$11:$M$14,2,FALSE)+VLOOKUP(VLOOKUP(R$1,main!$A$3:$I$56,7,FALSE),main!$K$19:$O$22,MATCH(VLOOKUP($A53,main!$A$3:$I$56,8,FALSE),main!$K$18:$O$18,0))))),1,0)</f>
        <v>0</v>
      </c>
      <c r="S53">
        <f>IF((AND(VLOOKUP(S$1,main!$A$3:$I$56,5,FALSE)-VLOOKUP($A53,main!$A$3:$I$56,6,FALSE)&gt;=(VLOOKUP(VLOOKUP(S$1,main!$A$3:$I$56,8,FALSE),main!$K$11:$M$14,2,FALSE)+VLOOKUP(VLOOKUP(S$1,main!$A$3:$I$56,7,FALSE),main!$K$19:$O$22,MATCH(VLOOKUP($A53,main!$A$3:$I$56,8,FALSE),main!$K$18:$O$18,0))))),1,0)</f>
        <v>1</v>
      </c>
      <c r="T53">
        <f>IF((AND(VLOOKUP(T$1,main!$A$3:$I$56,5,FALSE)-VLOOKUP($A53,main!$A$3:$I$56,6,FALSE)&gt;=(VLOOKUP(VLOOKUP(T$1,main!$A$3:$I$56,8,FALSE),main!$K$11:$M$14,2,FALSE)+VLOOKUP(VLOOKUP(T$1,main!$A$3:$I$56,7,FALSE),main!$K$19:$O$22,MATCH(VLOOKUP($A53,main!$A$3:$I$56,8,FALSE),main!$K$18:$O$18,0))))),1,0)</f>
        <v>1</v>
      </c>
      <c r="U53">
        <f>IF((AND(VLOOKUP(U$1,main!$A$3:$I$56,5,FALSE)-VLOOKUP($A53,main!$A$3:$I$56,6,FALSE)&gt;=(VLOOKUP(VLOOKUP(U$1,main!$A$3:$I$56,8,FALSE),main!$K$11:$M$14,2,FALSE)+VLOOKUP(VLOOKUP(U$1,main!$A$3:$I$56,7,FALSE),main!$K$19:$O$22,MATCH(VLOOKUP($A53,main!$A$3:$I$56,8,FALSE),main!$K$18:$O$18,0))))),1,0)</f>
        <v>0</v>
      </c>
      <c r="V53">
        <f>IF((AND(VLOOKUP(V$1,main!$A$3:$I$56,5,FALSE)-VLOOKUP($A53,main!$A$3:$I$56,6,FALSE)&gt;=(VLOOKUP(VLOOKUP(V$1,main!$A$3:$I$56,8,FALSE),main!$K$11:$M$14,2,FALSE)+VLOOKUP(VLOOKUP(V$1,main!$A$3:$I$56,7,FALSE),main!$K$19:$O$22,MATCH(VLOOKUP($A53,main!$A$3:$I$56,8,FALSE),main!$K$18:$O$18,0))))),1,0)</f>
        <v>0</v>
      </c>
      <c r="W53">
        <f>IF((AND(VLOOKUP(W$1,main!$A$3:$I$56,5,FALSE)-VLOOKUP($A53,main!$A$3:$I$56,6,FALSE)&gt;=(VLOOKUP(VLOOKUP(W$1,main!$A$3:$I$56,8,FALSE),main!$K$11:$M$14,2,FALSE)+VLOOKUP(VLOOKUP(W$1,main!$A$3:$I$56,7,FALSE),main!$K$19:$O$22,MATCH(VLOOKUP($A53,main!$A$3:$I$56,8,FALSE),main!$K$18:$O$18,0))))),1,0)</f>
        <v>0</v>
      </c>
      <c r="X53">
        <f>IF((AND(VLOOKUP(X$1,main!$A$3:$I$56,5,FALSE)-VLOOKUP($A53,main!$A$3:$I$56,6,FALSE)&gt;=(VLOOKUP(VLOOKUP(X$1,main!$A$3:$I$56,8,FALSE),main!$K$11:$M$14,2,FALSE)+VLOOKUP(VLOOKUP(X$1,main!$A$3:$I$56,7,FALSE),main!$K$19:$O$22,MATCH(VLOOKUP($A53,main!$A$3:$I$56,8,FALSE),main!$K$18:$O$18,0))))),1,0)</f>
        <v>0</v>
      </c>
      <c r="Y53">
        <f>IF((AND(VLOOKUP(Y$1,main!$A$3:$I$56,5,FALSE)-VLOOKUP($A53,main!$A$3:$I$56,6,FALSE)&gt;=(VLOOKUP(VLOOKUP(Y$1,main!$A$3:$I$56,8,FALSE),main!$K$11:$M$14,2,FALSE)+VLOOKUP(VLOOKUP(Y$1,main!$A$3:$I$56,7,FALSE),main!$K$19:$O$22,MATCH(VLOOKUP($A53,main!$A$3:$I$56,8,FALSE),main!$K$18:$O$18,0))))),1,0)</f>
        <v>0</v>
      </c>
      <c r="Z53">
        <f>IF((AND(VLOOKUP(Z$1,main!$A$3:$I$56,5,FALSE)-VLOOKUP($A53,main!$A$3:$I$56,6,FALSE)&gt;=(VLOOKUP(VLOOKUP(Z$1,main!$A$3:$I$56,8,FALSE),main!$K$11:$M$14,2,FALSE)+VLOOKUP(VLOOKUP(Z$1,main!$A$3:$I$56,7,FALSE),main!$K$19:$O$22,MATCH(VLOOKUP($A53,main!$A$3:$I$56,8,FALSE),main!$K$18:$O$18,0))))),1,0)</f>
        <v>1</v>
      </c>
      <c r="AA53">
        <f>IF((AND(VLOOKUP(AA$1,main!$A$3:$I$56,5,FALSE)-VLOOKUP($A53,main!$A$3:$I$56,6,FALSE)&gt;=(VLOOKUP(VLOOKUP(AA$1,main!$A$3:$I$56,8,FALSE),main!$K$11:$M$14,2,FALSE)+VLOOKUP(VLOOKUP(AA$1,main!$A$3:$I$56,7,FALSE),main!$K$19:$O$22,MATCH(VLOOKUP($A53,main!$A$3:$I$56,8,FALSE),main!$K$18:$O$18,0))))),1,0)</f>
        <v>1</v>
      </c>
      <c r="AB53">
        <f>IF((AND(VLOOKUP(AB$1,main!$A$3:$I$56,5,FALSE)-VLOOKUP($A53,main!$A$3:$I$56,6,FALSE)&gt;=(VLOOKUP(VLOOKUP(AB$1,main!$A$3:$I$56,8,FALSE),main!$K$11:$M$14,2,FALSE)+VLOOKUP(VLOOKUP(AB$1,main!$A$3:$I$56,7,FALSE),main!$K$19:$O$22,MATCH(VLOOKUP($A53,main!$A$3:$I$56,8,FALSE),main!$K$18:$O$18,0))))),1,0)</f>
        <v>1</v>
      </c>
      <c r="AC53">
        <f>IF((AND(VLOOKUP(AC$1,main!$A$3:$I$56,5,FALSE)-VLOOKUP($A53,main!$A$3:$I$56,6,FALSE)&gt;=(VLOOKUP(VLOOKUP(AC$1,main!$A$3:$I$56,8,FALSE),main!$K$11:$M$14,2,FALSE)+VLOOKUP(VLOOKUP(AC$1,main!$A$3:$I$56,7,FALSE),main!$K$19:$O$22,MATCH(VLOOKUP($A53,main!$A$3:$I$56,8,FALSE),main!$K$18:$O$18,0))))),1,0)</f>
        <v>0</v>
      </c>
      <c r="AD53">
        <f>IF((AND(VLOOKUP(AD$1,main!$A$3:$I$56,5,FALSE)-VLOOKUP($A53,main!$A$3:$I$56,6,FALSE)&gt;=(VLOOKUP(VLOOKUP(AD$1,main!$A$3:$I$56,8,FALSE),main!$K$11:$M$14,2,FALSE)+VLOOKUP(VLOOKUP(AD$1,main!$A$3:$I$56,7,FALSE),main!$K$19:$O$22,MATCH(VLOOKUP($A53,main!$A$3:$I$56,8,FALSE),main!$K$18:$O$18,0))))),1,0)</f>
        <v>0</v>
      </c>
      <c r="AE53">
        <f>IF((AND(VLOOKUP(AE$1,main!$A$3:$I$56,5,FALSE)-VLOOKUP($A53,main!$A$3:$I$56,6,FALSE)&gt;=(VLOOKUP(VLOOKUP(AE$1,main!$A$3:$I$56,8,FALSE),main!$K$11:$M$14,2,FALSE)+VLOOKUP(VLOOKUP(AE$1,main!$A$3:$I$56,7,FALSE),main!$K$19:$O$22,MATCH(VLOOKUP($A53,main!$A$3:$I$56,8,FALSE),main!$K$18:$O$18,0))))),1,0)</f>
        <v>0</v>
      </c>
      <c r="AF53">
        <f>IF((AND(VLOOKUP(AF$1,main!$A$3:$I$56,5,FALSE)-VLOOKUP($A53,main!$A$3:$I$56,6,FALSE)&gt;=(VLOOKUP(VLOOKUP(AF$1,main!$A$3:$I$56,8,FALSE),main!$K$11:$M$14,2,FALSE)+VLOOKUP(VLOOKUP(AF$1,main!$A$3:$I$56,7,FALSE),main!$K$19:$O$22,MATCH(VLOOKUP($A53,main!$A$3:$I$56,8,FALSE),main!$K$18:$O$18,0))))),1,0)</f>
        <v>1</v>
      </c>
      <c r="AG53">
        <f>IF((AND(VLOOKUP(AG$1,main!$A$3:$I$56,5,FALSE)-VLOOKUP($A53,main!$A$3:$I$56,6,FALSE)&gt;=(VLOOKUP(VLOOKUP(AG$1,main!$A$3:$I$56,8,FALSE),main!$K$11:$M$14,2,FALSE)+VLOOKUP(VLOOKUP(AG$1,main!$A$3:$I$56,7,FALSE),main!$K$19:$O$22,MATCH(VLOOKUP($A53,main!$A$3:$I$56,8,FALSE),main!$K$18:$O$18,0))))),1,0)</f>
        <v>0</v>
      </c>
      <c r="AH53">
        <f>IF((AND(VLOOKUP(AH$1,main!$A$3:$I$56,5,FALSE)-VLOOKUP($A53,main!$A$3:$I$56,6,FALSE)&gt;=(VLOOKUP(VLOOKUP(AH$1,main!$A$3:$I$56,8,FALSE),main!$K$11:$M$14,2,FALSE)+VLOOKUP(VLOOKUP(AH$1,main!$A$3:$I$56,7,FALSE),main!$K$19:$O$22,MATCH(VLOOKUP($A53,main!$A$3:$I$56,8,FALSE),main!$K$18:$O$18,0))))),1,0)</f>
        <v>0</v>
      </c>
      <c r="AI53">
        <f>IF((AND(VLOOKUP(AI$1,main!$A$3:$I$56,5,FALSE)-VLOOKUP($A53,main!$A$3:$I$56,6,FALSE)&gt;=(VLOOKUP(VLOOKUP(AI$1,main!$A$3:$I$56,8,FALSE),main!$K$11:$M$14,2,FALSE)+VLOOKUP(VLOOKUP(AI$1,main!$A$3:$I$56,7,FALSE),main!$K$19:$O$22,MATCH(VLOOKUP($A53,main!$A$3:$I$56,8,FALSE),main!$K$18:$O$18,0))))),1,0)</f>
        <v>0</v>
      </c>
      <c r="AJ53">
        <f>IF((AND(VLOOKUP(AJ$1,main!$A$3:$I$56,5,FALSE)-VLOOKUP($A53,main!$A$3:$I$56,6,FALSE)&gt;=(VLOOKUP(VLOOKUP(AJ$1,main!$A$3:$I$56,8,FALSE),main!$K$11:$M$14,2,FALSE)+VLOOKUP(VLOOKUP(AJ$1,main!$A$3:$I$56,7,FALSE),main!$K$19:$O$22,MATCH(VLOOKUP($A53,main!$A$3:$I$56,8,FALSE),main!$K$18:$O$18,0))))),1,0)</f>
        <v>1</v>
      </c>
      <c r="AK53">
        <f>IF((AND(VLOOKUP(AK$1,main!$A$3:$I$56,5,FALSE)-VLOOKUP($A53,main!$A$3:$I$56,6,FALSE)&gt;=(VLOOKUP(VLOOKUP(AK$1,main!$A$3:$I$56,8,FALSE),main!$K$11:$M$14,2,FALSE)+VLOOKUP(VLOOKUP(AK$1,main!$A$3:$I$56,7,FALSE),main!$K$19:$O$22,MATCH(VLOOKUP($A53,main!$A$3:$I$56,8,FALSE),main!$K$18:$O$18,0))))),1,0)</f>
        <v>1</v>
      </c>
      <c r="AL53">
        <f>IF((AND(VLOOKUP(AL$1,main!$A$3:$I$56,5,FALSE)-VLOOKUP($A53,main!$A$3:$I$56,6,FALSE)&gt;=(VLOOKUP(VLOOKUP(AL$1,main!$A$3:$I$56,8,FALSE),main!$K$11:$M$14,2,FALSE)+VLOOKUP(VLOOKUP(AL$1,main!$A$3:$I$56,7,FALSE),main!$K$19:$O$22,MATCH(VLOOKUP($A53,main!$A$3:$I$56,8,FALSE),main!$K$18:$O$18,0))))),1,0)</f>
        <v>0</v>
      </c>
      <c r="AM53">
        <f>IF((AND(VLOOKUP(AM$1,main!$A$3:$I$56,5,FALSE)-VLOOKUP($A53,main!$A$3:$I$56,6,FALSE)&gt;=(VLOOKUP(VLOOKUP(AM$1,main!$A$3:$I$56,8,FALSE),main!$K$11:$M$14,2,FALSE)+VLOOKUP(VLOOKUP(AM$1,main!$A$3:$I$56,7,FALSE),main!$K$19:$O$22,MATCH(VLOOKUP($A53,main!$A$3:$I$56,8,FALSE),main!$K$18:$O$18,0))))),1,0)</f>
        <v>0</v>
      </c>
      <c r="AN53">
        <f>IF((AND(VLOOKUP(AN$1,main!$A$3:$I$56,5,FALSE)-VLOOKUP($A53,main!$A$3:$I$56,6,FALSE)&gt;=(VLOOKUP(VLOOKUP(AN$1,main!$A$3:$I$56,8,FALSE),main!$K$11:$M$14,2,FALSE)+VLOOKUP(VLOOKUP(AN$1,main!$A$3:$I$56,7,FALSE),main!$K$19:$O$22,MATCH(VLOOKUP($A53,main!$A$3:$I$56,8,FALSE),main!$K$18:$O$18,0))))),1,0)</f>
        <v>1</v>
      </c>
      <c r="AO53">
        <f>IF((AND(VLOOKUP(AO$1,main!$A$3:$I$56,5,FALSE)-VLOOKUP($A53,main!$A$3:$I$56,6,FALSE)&gt;=(VLOOKUP(VLOOKUP(AO$1,main!$A$3:$I$56,8,FALSE),main!$K$11:$M$14,2,FALSE)+VLOOKUP(VLOOKUP(AO$1,main!$A$3:$I$56,7,FALSE),main!$K$19:$O$22,MATCH(VLOOKUP($A53,main!$A$3:$I$56,8,FALSE),main!$K$18:$O$18,0))))),1,0)</f>
        <v>1</v>
      </c>
      <c r="AP53">
        <f>IF((AND(VLOOKUP(AP$1,main!$A$3:$I$56,5,FALSE)-VLOOKUP($A53,main!$A$3:$I$56,6,FALSE)&gt;=(VLOOKUP(VLOOKUP(AP$1,main!$A$3:$I$56,8,FALSE),main!$K$11:$M$14,2,FALSE)+VLOOKUP(VLOOKUP(AP$1,main!$A$3:$I$56,7,FALSE),main!$K$19:$O$22,MATCH(VLOOKUP($A53,main!$A$3:$I$56,8,FALSE),main!$K$18:$O$18,0))))),1,0)</f>
        <v>0</v>
      </c>
      <c r="AQ53">
        <f>IF((AND(VLOOKUP(AQ$1,main!$A$3:$I$56,5,FALSE)-VLOOKUP($A53,main!$A$3:$I$56,6,FALSE)&gt;=(VLOOKUP(VLOOKUP(AQ$1,main!$A$3:$I$56,8,FALSE),main!$K$11:$M$14,2,FALSE)+VLOOKUP(VLOOKUP(AQ$1,main!$A$3:$I$56,7,FALSE),main!$K$19:$O$22,MATCH(VLOOKUP($A53,main!$A$3:$I$56,8,FALSE),main!$K$18:$O$18,0))))),1,0)</f>
        <v>0</v>
      </c>
      <c r="AR53">
        <f>IF((AND(VLOOKUP(AR$1,main!$A$3:$I$56,5,FALSE)-VLOOKUP($A53,main!$A$3:$I$56,6,FALSE)&gt;=(VLOOKUP(VLOOKUP(AR$1,main!$A$3:$I$56,8,FALSE),main!$K$11:$M$14,2,FALSE)+VLOOKUP(VLOOKUP(AR$1,main!$A$3:$I$56,7,FALSE),main!$K$19:$O$22,MATCH(VLOOKUP($A53,main!$A$3:$I$56,8,FALSE),main!$K$18:$O$18,0))))),1,0)</f>
        <v>0</v>
      </c>
      <c r="AS53">
        <f>IF((AND(VLOOKUP(AS$1,main!$A$3:$I$56,5,FALSE)-VLOOKUP($A53,main!$A$3:$I$56,6,FALSE)&gt;=(VLOOKUP(VLOOKUP(AS$1,main!$A$3:$I$56,8,FALSE),main!$K$11:$M$14,2,FALSE)+VLOOKUP(VLOOKUP(AS$1,main!$A$3:$I$56,7,FALSE),main!$K$19:$O$22,MATCH(VLOOKUP($A53,main!$A$3:$I$56,8,FALSE),main!$K$18:$O$18,0))))),1,0)</f>
        <v>0</v>
      </c>
      <c r="AT53">
        <f>IF((AND(VLOOKUP(AT$1,main!$A$3:$I$56,5,FALSE)-VLOOKUP($A53,main!$A$3:$I$56,6,FALSE)&gt;=(VLOOKUP(VLOOKUP(AT$1,main!$A$3:$I$56,8,FALSE),main!$K$11:$M$14,2,FALSE)+VLOOKUP(VLOOKUP(AT$1,main!$A$3:$I$56,7,FALSE),main!$K$19:$O$22,MATCH(VLOOKUP($A53,main!$A$3:$I$56,8,FALSE),main!$K$18:$O$18,0))))),1,0)</f>
        <v>0</v>
      </c>
      <c r="AU53">
        <f>IF((AND(VLOOKUP(AU$1,main!$A$3:$I$56,5,FALSE)-VLOOKUP($A53,main!$A$3:$I$56,6,FALSE)&gt;=(VLOOKUP(VLOOKUP(AU$1,main!$A$3:$I$56,8,FALSE),main!$K$11:$M$14,2,FALSE)+VLOOKUP(VLOOKUP(AU$1,main!$A$3:$I$56,7,FALSE),main!$K$19:$O$22,MATCH(VLOOKUP($A53,main!$A$3:$I$56,8,FALSE),main!$K$18:$O$18,0))))),1,0)</f>
        <v>0</v>
      </c>
      <c r="AV53">
        <f>IF((AND(VLOOKUP(AV$1,main!$A$3:$I$56,5,FALSE)-VLOOKUP($A53,main!$A$3:$I$56,6,FALSE)&gt;=(VLOOKUP(VLOOKUP(AV$1,main!$A$3:$I$56,8,FALSE),main!$K$11:$M$14,2,FALSE)+VLOOKUP(VLOOKUP(AV$1,main!$A$3:$I$56,7,FALSE),main!$K$19:$O$22,MATCH(VLOOKUP($A53,main!$A$3:$I$56,8,FALSE),main!$K$18:$O$18,0))))),1,0)</f>
        <v>0</v>
      </c>
      <c r="AW53">
        <f>IF((AND(VLOOKUP(AW$1,main!$A$3:$I$56,5,FALSE)-VLOOKUP($A53,main!$A$3:$I$56,6,FALSE)&gt;=(VLOOKUP(VLOOKUP(AW$1,main!$A$3:$I$56,8,FALSE),main!$K$11:$M$14,2,FALSE)+VLOOKUP(VLOOKUP(AW$1,main!$A$3:$I$56,7,FALSE),main!$K$19:$O$22,MATCH(VLOOKUP($A53,main!$A$3:$I$56,8,FALSE),main!$K$18:$O$18,0))))),1,0)</f>
        <v>0</v>
      </c>
      <c r="AX53">
        <f>IF((AND(VLOOKUP(AX$1,main!$A$3:$I$56,5,FALSE)-VLOOKUP($A53,main!$A$3:$I$56,6,FALSE)&gt;=(VLOOKUP(VLOOKUP(AX$1,main!$A$3:$I$56,8,FALSE),main!$K$11:$M$14,2,FALSE)+VLOOKUP(VLOOKUP(AX$1,main!$A$3:$I$56,7,FALSE),main!$K$19:$O$22,MATCH(VLOOKUP($A53,main!$A$3:$I$56,8,FALSE),main!$K$18:$O$18,0))))),1,0)</f>
        <v>1</v>
      </c>
      <c r="AY53">
        <f>IF((AND(VLOOKUP(AY$1,main!$A$3:$I$56,5,FALSE)-VLOOKUP($A53,main!$A$3:$I$56,6,FALSE)&gt;=(VLOOKUP(VLOOKUP(AY$1,main!$A$3:$I$56,8,FALSE),main!$K$11:$M$14,2,FALSE)+VLOOKUP(VLOOKUP(AY$1,main!$A$3:$I$56,7,FALSE),main!$K$19:$O$22,MATCH(VLOOKUP($A53,main!$A$3:$I$56,8,FALSE),main!$K$18:$O$18,0))))),1,0)</f>
        <v>1</v>
      </c>
      <c r="AZ53">
        <f>IF((AND(VLOOKUP(AZ$1,main!$A$3:$I$56,5,FALSE)-VLOOKUP($A53,main!$A$3:$I$56,6,FALSE)&gt;=(VLOOKUP(VLOOKUP(AZ$1,main!$A$3:$I$56,8,FALSE),main!$K$11:$M$14,2,FALSE)+VLOOKUP(VLOOKUP(AZ$1,main!$A$3:$I$56,7,FALSE),main!$K$19:$O$22,MATCH(VLOOKUP($A53,main!$A$3:$I$56,8,FALSE),main!$K$18:$O$18,0))))),1,0)</f>
        <v>0</v>
      </c>
      <c r="BA53">
        <f>IF((AND(VLOOKUP(BA$1,main!$A$3:$I$56,5,FALSE)-VLOOKUP($A53,main!$A$3:$I$56,6,FALSE)&gt;=(VLOOKUP(VLOOKUP(BA$1,main!$A$3:$I$56,8,FALSE),main!$K$11:$M$14,2,FALSE)+VLOOKUP(VLOOKUP(BA$1,main!$A$3:$I$56,7,FALSE),main!$K$19:$O$22,MATCH(VLOOKUP($A53,main!$A$3:$I$56,8,FALSE),main!$K$18:$O$18,0))))),1,0)</f>
        <v>0</v>
      </c>
      <c r="BB53">
        <f>IF((AND(VLOOKUP(BB$1,main!$A$3:$I$56,5,FALSE)-VLOOKUP($A53,main!$A$3:$I$56,6,FALSE)&gt;=(VLOOKUP(VLOOKUP(BB$1,main!$A$3:$I$56,8,FALSE),main!$K$11:$M$14,2,FALSE)+VLOOKUP(VLOOKUP(BB$1,main!$A$3:$I$56,7,FALSE),main!$K$19:$O$22,MATCH(VLOOKUP($A53,main!$A$3:$I$56,8,FALSE),main!$K$18:$O$18,0))))),1,0)</f>
        <v>0</v>
      </c>
      <c r="BC53">
        <f>IF((AND(VLOOKUP(BC$1,main!$A$3:$I$56,5,FALSE)-VLOOKUP($A53,main!$A$3:$I$56,6,FALSE)&gt;=(VLOOKUP(VLOOKUP(BC$1,main!$A$3:$I$56,8,FALSE),main!$K$11:$M$14,2,FALSE)+VLOOKUP(VLOOKUP(BC$1,main!$A$3:$I$56,7,FALSE),main!$K$19:$O$22,MATCH(VLOOKUP($A53,main!$A$3:$I$56,8,FALSE),main!$K$18:$O$18,0))))),1,0)</f>
        <v>1</v>
      </c>
      <c r="BD53">
        <f>IF((AND(VLOOKUP(BD$1,main!$A$3:$I$56,5,FALSE)-VLOOKUP($A53,main!$A$3:$I$56,6,FALSE)&gt;=(VLOOKUP(VLOOKUP(BD$1,main!$A$3:$I$56,8,FALSE),main!$K$11:$M$14,2,FALSE)+VLOOKUP(VLOOKUP(BD$1,main!$A$3:$I$56,7,FALSE),main!$K$19:$O$22,MATCH(VLOOKUP($A53,main!$A$3:$I$56,8,FALSE),main!$K$18:$O$18,0))))),1,0)</f>
        <v>1</v>
      </c>
    </row>
    <row r="54" spans="1:56" x14ac:dyDescent="0.25">
      <c r="A54">
        <f t="shared" si="0"/>
        <v>52</v>
      </c>
      <c r="B54">
        <v>1</v>
      </c>
      <c r="C54">
        <f>IF((AND(VLOOKUP(C$1,main!$A$3:$I$56,5,FALSE)-VLOOKUP($A54,main!$A$3:$I$56,6,FALSE)&gt;=(VLOOKUP(VLOOKUP(C$1,main!$A$3:$I$56,8,FALSE),main!$K$11:$M$14,2,FALSE)+VLOOKUP(VLOOKUP(C$1,main!$A$3:$I$56,7,FALSE),main!$K$19:$O$22,MATCH(VLOOKUP($A54,main!$A$3:$I$56,8,FALSE),main!$K$18:$O$18,0))))),1,0)</f>
        <v>0</v>
      </c>
      <c r="D54">
        <f>IF((AND(VLOOKUP(D$1,main!$A$3:$I$56,5,FALSE)-VLOOKUP($A54,main!$A$3:$I$56,6,FALSE)&gt;=(VLOOKUP(VLOOKUP(D$1,main!$A$3:$I$56,8,FALSE),main!$K$11:$M$14,2,FALSE)+VLOOKUP(VLOOKUP(D$1,main!$A$3:$I$56,7,FALSE),main!$K$19:$O$22,MATCH(VLOOKUP($A54,main!$A$3:$I$56,8,FALSE),main!$K$18:$O$18,0))))),1,0)</f>
        <v>0</v>
      </c>
      <c r="E54">
        <f>IF((AND(VLOOKUP(E$1,main!$A$3:$I$56,5,FALSE)-VLOOKUP($A54,main!$A$3:$I$56,6,FALSE)&gt;=(VLOOKUP(VLOOKUP(E$1,main!$A$3:$I$56,8,FALSE),main!$K$11:$M$14,2,FALSE)+VLOOKUP(VLOOKUP(E$1,main!$A$3:$I$56,7,FALSE),main!$K$19:$O$22,MATCH(VLOOKUP($A54,main!$A$3:$I$56,8,FALSE),main!$K$18:$O$18,0))))),1,0)</f>
        <v>0</v>
      </c>
      <c r="F54">
        <f>IF((AND(VLOOKUP(F$1,main!$A$3:$I$56,5,FALSE)-VLOOKUP($A54,main!$A$3:$I$56,6,FALSE)&gt;=(VLOOKUP(VLOOKUP(F$1,main!$A$3:$I$56,8,FALSE),main!$K$11:$M$14,2,FALSE)+VLOOKUP(VLOOKUP(F$1,main!$A$3:$I$56,7,FALSE),main!$K$19:$O$22,MATCH(VLOOKUP($A54,main!$A$3:$I$56,8,FALSE),main!$K$18:$O$18,0))))),1,0)</f>
        <v>0</v>
      </c>
      <c r="G54">
        <f>IF((AND(VLOOKUP(G$1,main!$A$3:$I$56,5,FALSE)-VLOOKUP($A54,main!$A$3:$I$56,6,FALSE)&gt;=(VLOOKUP(VLOOKUP(G$1,main!$A$3:$I$56,8,FALSE),main!$K$11:$M$14,2,FALSE)+VLOOKUP(VLOOKUP(G$1,main!$A$3:$I$56,7,FALSE),main!$K$19:$O$22,MATCH(VLOOKUP($A54,main!$A$3:$I$56,8,FALSE),main!$K$18:$O$18,0))))),1,0)</f>
        <v>1</v>
      </c>
      <c r="H54">
        <f>IF((AND(VLOOKUP(H$1,main!$A$3:$I$56,5,FALSE)-VLOOKUP($A54,main!$A$3:$I$56,6,FALSE)&gt;=(VLOOKUP(VLOOKUP(H$1,main!$A$3:$I$56,8,FALSE),main!$K$11:$M$14,2,FALSE)+VLOOKUP(VLOOKUP(H$1,main!$A$3:$I$56,7,FALSE),main!$K$19:$O$22,MATCH(VLOOKUP($A54,main!$A$3:$I$56,8,FALSE),main!$K$18:$O$18,0))))),1,0)</f>
        <v>1</v>
      </c>
      <c r="I54">
        <f>IF((AND(VLOOKUP(I$1,main!$A$3:$I$56,5,FALSE)-VLOOKUP($A54,main!$A$3:$I$56,6,FALSE)&gt;=(VLOOKUP(VLOOKUP(I$1,main!$A$3:$I$56,8,FALSE),main!$K$11:$M$14,2,FALSE)+VLOOKUP(VLOOKUP(I$1,main!$A$3:$I$56,7,FALSE),main!$K$19:$O$22,MATCH(VLOOKUP($A54,main!$A$3:$I$56,8,FALSE),main!$K$18:$O$18,0))))),1,0)</f>
        <v>1</v>
      </c>
      <c r="J54">
        <f>IF((AND(VLOOKUP(J$1,main!$A$3:$I$56,5,FALSE)-VLOOKUP($A54,main!$A$3:$I$56,6,FALSE)&gt;=(VLOOKUP(VLOOKUP(J$1,main!$A$3:$I$56,8,FALSE),main!$K$11:$M$14,2,FALSE)+VLOOKUP(VLOOKUP(J$1,main!$A$3:$I$56,7,FALSE),main!$K$19:$O$22,MATCH(VLOOKUP($A54,main!$A$3:$I$56,8,FALSE),main!$K$18:$O$18,0))))),1,0)</f>
        <v>1</v>
      </c>
      <c r="K54">
        <f>IF((AND(VLOOKUP(K$1,main!$A$3:$I$56,5,FALSE)-VLOOKUP($A54,main!$A$3:$I$56,6,FALSE)&gt;=(VLOOKUP(VLOOKUP(K$1,main!$A$3:$I$56,8,FALSE),main!$K$11:$M$14,2,FALSE)+VLOOKUP(VLOOKUP(K$1,main!$A$3:$I$56,7,FALSE),main!$K$19:$O$22,MATCH(VLOOKUP($A54,main!$A$3:$I$56,8,FALSE),main!$K$18:$O$18,0))))),1,0)</f>
        <v>0</v>
      </c>
      <c r="L54">
        <f>IF((AND(VLOOKUP(L$1,main!$A$3:$I$56,5,FALSE)-VLOOKUP($A54,main!$A$3:$I$56,6,FALSE)&gt;=(VLOOKUP(VLOOKUP(L$1,main!$A$3:$I$56,8,FALSE),main!$K$11:$M$14,2,FALSE)+VLOOKUP(VLOOKUP(L$1,main!$A$3:$I$56,7,FALSE),main!$K$19:$O$22,MATCH(VLOOKUP($A54,main!$A$3:$I$56,8,FALSE),main!$K$18:$O$18,0))))),1,0)</f>
        <v>0</v>
      </c>
      <c r="M54">
        <f>IF((AND(VLOOKUP(M$1,main!$A$3:$I$56,5,FALSE)-VLOOKUP($A54,main!$A$3:$I$56,6,FALSE)&gt;=(VLOOKUP(VLOOKUP(M$1,main!$A$3:$I$56,8,FALSE),main!$K$11:$M$14,2,FALSE)+VLOOKUP(VLOOKUP(M$1,main!$A$3:$I$56,7,FALSE),main!$K$19:$O$22,MATCH(VLOOKUP($A54,main!$A$3:$I$56,8,FALSE),main!$K$18:$O$18,0))))),1,0)</f>
        <v>0</v>
      </c>
      <c r="N54">
        <f>IF((AND(VLOOKUP(N$1,main!$A$3:$I$56,5,FALSE)-VLOOKUP($A54,main!$A$3:$I$56,6,FALSE)&gt;=(VLOOKUP(VLOOKUP(N$1,main!$A$3:$I$56,8,FALSE),main!$K$11:$M$14,2,FALSE)+VLOOKUP(VLOOKUP(N$1,main!$A$3:$I$56,7,FALSE),main!$K$19:$O$22,MATCH(VLOOKUP($A54,main!$A$3:$I$56,8,FALSE),main!$K$18:$O$18,0))))),1,0)</f>
        <v>1</v>
      </c>
      <c r="O54">
        <f>IF((AND(VLOOKUP(O$1,main!$A$3:$I$56,5,FALSE)-VLOOKUP($A54,main!$A$3:$I$56,6,FALSE)&gt;=(VLOOKUP(VLOOKUP(O$1,main!$A$3:$I$56,8,FALSE),main!$K$11:$M$14,2,FALSE)+VLOOKUP(VLOOKUP(O$1,main!$A$3:$I$56,7,FALSE),main!$K$19:$O$22,MATCH(VLOOKUP($A54,main!$A$3:$I$56,8,FALSE),main!$K$18:$O$18,0))))),1,0)</f>
        <v>1</v>
      </c>
      <c r="P54">
        <f>IF((AND(VLOOKUP(P$1,main!$A$3:$I$56,5,FALSE)-VLOOKUP($A54,main!$A$3:$I$56,6,FALSE)&gt;=(VLOOKUP(VLOOKUP(P$1,main!$A$3:$I$56,8,FALSE),main!$K$11:$M$14,2,FALSE)+VLOOKUP(VLOOKUP(P$1,main!$A$3:$I$56,7,FALSE),main!$K$19:$O$22,MATCH(VLOOKUP($A54,main!$A$3:$I$56,8,FALSE),main!$K$18:$O$18,0))))),1,0)</f>
        <v>0</v>
      </c>
      <c r="Q54">
        <f>IF((AND(VLOOKUP(Q$1,main!$A$3:$I$56,5,FALSE)-VLOOKUP($A54,main!$A$3:$I$56,6,FALSE)&gt;=(VLOOKUP(VLOOKUP(Q$1,main!$A$3:$I$56,8,FALSE),main!$K$11:$M$14,2,FALSE)+VLOOKUP(VLOOKUP(Q$1,main!$A$3:$I$56,7,FALSE),main!$K$19:$O$22,MATCH(VLOOKUP($A54,main!$A$3:$I$56,8,FALSE),main!$K$18:$O$18,0))))),1,0)</f>
        <v>0</v>
      </c>
      <c r="R54">
        <f>IF((AND(VLOOKUP(R$1,main!$A$3:$I$56,5,FALSE)-VLOOKUP($A54,main!$A$3:$I$56,6,FALSE)&gt;=(VLOOKUP(VLOOKUP(R$1,main!$A$3:$I$56,8,FALSE),main!$K$11:$M$14,2,FALSE)+VLOOKUP(VLOOKUP(R$1,main!$A$3:$I$56,7,FALSE),main!$K$19:$O$22,MATCH(VLOOKUP($A54,main!$A$3:$I$56,8,FALSE),main!$K$18:$O$18,0))))),1,0)</f>
        <v>0</v>
      </c>
      <c r="S54">
        <f>IF((AND(VLOOKUP(S$1,main!$A$3:$I$56,5,FALSE)-VLOOKUP($A54,main!$A$3:$I$56,6,FALSE)&gt;=(VLOOKUP(VLOOKUP(S$1,main!$A$3:$I$56,8,FALSE),main!$K$11:$M$14,2,FALSE)+VLOOKUP(VLOOKUP(S$1,main!$A$3:$I$56,7,FALSE),main!$K$19:$O$22,MATCH(VLOOKUP($A54,main!$A$3:$I$56,8,FALSE),main!$K$18:$O$18,0))))),1,0)</f>
        <v>1</v>
      </c>
      <c r="T54">
        <f>IF((AND(VLOOKUP(T$1,main!$A$3:$I$56,5,FALSE)-VLOOKUP($A54,main!$A$3:$I$56,6,FALSE)&gt;=(VLOOKUP(VLOOKUP(T$1,main!$A$3:$I$56,8,FALSE),main!$K$11:$M$14,2,FALSE)+VLOOKUP(VLOOKUP(T$1,main!$A$3:$I$56,7,FALSE),main!$K$19:$O$22,MATCH(VLOOKUP($A54,main!$A$3:$I$56,8,FALSE),main!$K$18:$O$18,0))))),1,0)</f>
        <v>1</v>
      </c>
      <c r="U54">
        <f>IF((AND(VLOOKUP(U$1,main!$A$3:$I$56,5,FALSE)-VLOOKUP($A54,main!$A$3:$I$56,6,FALSE)&gt;=(VLOOKUP(VLOOKUP(U$1,main!$A$3:$I$56,8,FALSE),main!$K$11:$M$14,2,FALSE)+VLOOKUP(VLOOKUP(U$1,main!$A$3:$I$56,7,FALSE),main!$K$19:$O$22,MATCH(VLOOKUP($A54,main!$A$3:$I$56,8,FALSE),main!$K$18:$O$18,0))))),1,0)</f>
        <v>0</v>
      </c>
      <c r="V54">
        <f>IF((AND(VLOOKUP(V$1,main!$A$3:$I$56,5,FALSE)-VLOOKUP($A54,main!$A$3:$I$56,6,FALSE)&gt;=(VLOOKUP(VLOOKUP(V$1,main!$A$3:$I$56,8,FALSE),main!$K$11:$M$14,2,FALSE)+VLOOKUP(VLOOKUP(V$1,main!$A$3:$I$56,7,FALSE),main!$K$19:$O$22,MATCH(VLOOKUP($A54,main!$A$3:$I$56,8,FALSE),main!$K$18:$O$18,0))))),1,0)</f>
        <v>0</v>
      </c>
      <c r="W54">
        <f>IF((AND(VLOOKUP(W$1,main!$A$3:$I$56,5,FALSE)-VLOOKUP($A54,main!$A$3:$I$56,6,FALSE)&gt;=(VLOOKUP(VLOOKUP(W$1,main!$A$3:$I$56,8,FALSE),main!$K$11:$M$14,2,FALSE)+VLOOKUP(VLOOKUP(W$1,main!$A$3:$I$56,7,FALSE),main!$K$19:$O$22,MATCH(VLOOKUP($A54,main!$A$3:$I$56,8,FALSE),main!$K$18:$O$18,0))))),1,0)</f>
        <v>0</v>
      </c>
      <c r="X54">
        <f>IF((AND(VLOOKUP(X$1,main!$A$3:$I$56,5,FALSE)-VLOOKUP($A54,main!$A$3:$I$56,6,FALSE)&gt;=(VLOOKUP(VLOOKUP(X$1,main!$A$3:$I$56,8,FALSE),main!$K$11:$M$14,2,FALSE)+VLOOKUP(VLOOKUP(X$1,main!$A$3:$I$56,7,FALSE),main!$K$19:$O$22,MATCH(VLOOKUP($A54,main!$A$3:$I$56,8,FALSE),main!$K$18:$O$18,0))))),1,0)</f>
        <v>0</v>
      </c>
      <c r="Y54">
        <f>IF((AND(VLOOKUP(Y$1,main!$A$3:$I$56,5,FALSE)-VLOOKUP($A54,main!$A$3:$I$56,6,FALSE)&gt;=(VLOOKUP(VLOOKUP(Y$1,main!$A$3:$I$56,8,FALSE),main!$K$11:$M$14,2,FALSE)+VLOOKUP(VLOOKUP(Y$1,main!$A$3:$I$56,7,FALSE),main!$K$19:$O$22,MATCH(VLOOKUP($A54,main!$A$3:$I$56,8,FALSE),main!$K$18:$O$18,0))))),1,0)</f>
        <v>0</v>
      </c>
      <c r="Z54">
        <f>IF((AND(VLOOKUP(Z$1,main!$A$3:$I$56,5,FALSE)-VLOOKUP($A54,main!$A$3:$I$56,6,FALSE)&gt;=(VLOOKUP(VLOOKUP(Z$1,main!$A$3:$I$56,8,FALSE),main!$K$11:$M$14,2,FALSE)+VLOOKUP(VLOOKUP(Z$1,main!$A$3:$I$56,7,FALSE),main!$K$19:$O$22,MATCH(VLOOKUP($A54,main!$A$3:$I$56,8,FALSE),main!$K$18:$O$18,0))))),1,0)</f>
        <v>1</v>
      </c>
      <c r="AA54">
        <f>IF((AND(VLOOKUP(AA$1,main!$A$3:$I$56,5,FALSE)-VLOOKUP($A54,main!$A$3:$I$56,6,FALSE)&gt;=(VLOOKUP(VLOOKUP(AA$1,main!$A$3:$I$56,8,FALSE),main!$K$11:$M$14,2,FALSE)+VLOOKUP(VLOOKUP(AA$1,main!$A$3:$I$56,7,FALSE),main!$K$19:$O$22,MATCH(VLOOKUP($A54,main!$A$3:$I$56,8,FALSE),main!$K$18:$O$18,0))))),1,0)</f>
        <v>1</v>
      </c>
      <c r="AB54">
        <f>IF((AND(VLOOKUP(AB$1,main!$A$3:$I$56,5,FALSE)-VLOOKUP($A54,main!$A$3:$I$56,6,FALSE)&gt;=(VLOOKUP(VLOOKUP(AB$1,main!$A$3:$I$56,8,FALSE),main!$K$11:$M$14,2,FALSE)+VLOOKUP(VLOOKUP(AB$1,main!$A$3:$I$56,7,FALSE),main!$K$19:$O$22,MATCH(VLOOKUP($A54,main!$A$3:$I$56,8,FALSE),main!$K$18:$O$18,0))))),1,0)</f>
        <v>1</v>
      </c>
      <c r="AC54">
        <f>IF((AND(VLOOKUP(AC$1,main!$A$3:$I$56,5,FALSE)-VLOOKUP($A54,main!$A$3:$I$56,6,FALSE)&gt;=(VLOOKUP(VLOOKUP(AC$1,main!$A$3:$I$56,8,FALSE),main!$K$11:$M$14,2,FALSE)+VLOOKUP(VLOOKUP(AC$1,main!$A$3:$I$56,7,FALSE),main!$K$19:$O$22,MATCH(VLOOKUP($A54,main!$A$3:$I$56,8,FALSE),main!$K$18:$O$18,0))))),1,0)</f>
        <v>0</v>
      </c>
      <c r="AD54">
        <f>IF((AND(VLOOKUP(AD$1,main!$A$3:$I$56,5,FALSE)-VLOOKUP($A54,main!$A$3:$I$56,6,FALSE)&gt;=(VLOOKUP(VLOOKUP(AD$1,main!$A$3:$I$56,8,FALSE),main!$K$11:$M$14,2,FALSE)+VLOOKUP(VLOOKUP(AD$1,main!$A$3:$I$56,7,FALSE),main!$K$19:$O$22,MATCH(VLOOKUP($A54,main!$A$3:$I$56,8,FALSE),main!$K$18:$O$18,0))))),1,0)</f>
        <v>0</v>
      </c>
      <c r="AE54">
        <f>IF((AND(VLOOKUP(AE$1,main!$A$3:$I$56,5,FALSE)-VLOOKUP($A54,main!$A$3:$I$56,6,FALSE)&gt;=(VLOOKUP(VLOOKUP(AE$1,main!$A$3:$I$56,8,FALSE),main!$K$11:$M$14,2,FALSE)+VLOOKUP(VLOOKUP(AE$1,main!$A$3:$I$56,7,FALSE),main!$K$19:$O$22,MATCH(VLOOKUP($A54,main!$A$3:$I$56,8,FALSE),main!$K$18:$O$18,0))))),1,0)</f>
        <v>0</v>
      </c>
      <c r="AF54">
        <f>IF((AND(VLOOKUP(AF$1,main!$A$3:$I$56,5,FALSE)-VLOOKUP($A54,main!$A$3:$I$56,6,FALSE)&gt;=(VLOOKUP(VLOOKUP(AF$1,main!$A$3:$I$56,8,FALSE),main!$K$11:$M$14,2,FALSE)+VLOOKUP(VLOOKUP(AF$1,main!$A$3:$I$56,7,FALSE),main!$K$19:$O$22,MATCH(VLOOKUP($A54,main!$A$3:$I$56,8,FALSE),main!$K$18:$O$18,0))))),1,0)</f>
        <v>1</v>
      </c>
      <c r="AG54">
        <f>IF((AND(VLOOKUP(AG$1,main!$A$3:$I$56,5,FALSE)-VLOOKUP($A54,main!$A$3:$I$56,6,FALSE)&gt;=(VLOOKUP(VLOOKUP(AG$1,main!$A$3:$I$56,8,FALSE),main!$K$11:$M$14,2,FALSE)+VLOOKUP(VLOOKUP(AG$1,main!$A$3:$I$56,7,FALSE),main!$K$19:$O$22,MATCH(VLOOKUP($A54,main!$A$3:$I$56,8,FALSE),main!$K$18:$O$18,0))))),1,0)</f>
        <v>0</v>
      </c>
      <c r="AH54">
        <f>IF((AND(VLOOKUP(AH$1,main!$A$3:$I$56,5,FALSE)-VLOOKUP($A54,main!$A$3:$I$56,6,FALSE)&gt;=(VLOOKUP(VLOOKUP(AH$1,main!$A$3:$I$56,8,FALSE),main!$K$11:$M$14,2,FALSE)+VLOOKUP(VLOOKUP(AH$1,main!$A$3:$I$56,7,FALSE),main!$K$19:$O$22,MATCH(VLOOKUP($A54,main!$A$3:$I$56,8,FALSE),main!$K$18:$O$18,0))))),1,0)</f>
        <v>0</v>
      </c>
      <c r="AI54">
        <f>IF((AND(VLOOKUP(AI$1,main!$A$3:$I$56,5,FALSE)-VLOOKUP($A54,main!$A$3:$I$56,6,FALSE)&gt;=(VLOOKUP(VLOOKUP(AI$1,main!$A$3:$I$56,8,FALSE),main!$K$11:$M$14,2,FALSE)+VLOOKUP(VLOOKUP(AI$1,main!$A$3:$I$56,7,FALSE),main!$K$19:$O$22,MATCH(VLOOKUP($A54,main!$A$3:$I$56,8,FALSE),main!$K$18:$O$18,0))))),1,0)</f>
        <v>0</v>
      </c>
      <c r="AJ54">
        <f>IF((AND(VLOOKUP(AJ$1,main!$A$3:$I$56,5,FALSE)-VLOOKUP($A54,main!$A$3:$I$56,6,FALSE)&gt;=(VLOOKUP(VLOOKUP(AJ$1,main!$A$3:$I$56,8,FALSE),main!$K$11:$M$14,2,FALSE)+VLOOKUP(VLOOKUP(AJ$1,main!$A$3:$I$56,7,FALSE),main!$K$19:$O$22,MATCH(VLOOKUP($A54,main!$A$3:$I$56,8,FALSE),main!$K$18:$O$18,0))))),1,0)</f>
        <v>1</v>
      </c>
      <c r="AK54">
        <f>IF((AND(VLOOKUP(AK$1,main!$A$3:$I$56,5,FALSE)-VLOOKUP($A54,main!$A$3:$I$56,6,FALSE)&gt;=(VLOOKUP(VLOOKUP(AK$1,main!$A$3:$I$56,8,FALSE),main!$K$11:$M$14,2,FALSE)+VLOOKUP(VLOOKUP(AK$1,main!$A$3:$I$56,7,FALSE),main!$K$19:$O$22,MATCH(VLOOKUP($A54,main!$A$3:$I$56,8,FALSE),main!$K$18:$O$18,0))))),1,0)</f>
        <v>1</v>
      </c>
      <c r="AL54">
        <f>IF((AND(VLOOKUP(AL$1,main!$A$3:$I$56,5,FALSE)-VLOOKUP($A54,main!$A$3:$I$56,6,FALSE)&gt;=(VLOOKUP(VLOOKUP(AL$1,main!$A$3:$I$56,8,FALSE),main!$K$11:$M$14,2,FALSE)+VLOOKUP(VLOOKUP(AL$1,main!$A$3:$I$56,7,FALSE),main!$K$19:$O$22,MATCH(VLOOKUP($A54,main!$A$3:$I$56,8,FALSE),main!$K$18:$O$18,0))))),1,0)</f>
        <v>0</v>
      </c>
      <c r="AM54">
        <f>IF((AND(VLOOKUP(AM$1,main!$A$3:$I$56,5,FALSE)-VLOOKUP($A54,main!$A$3:$I$56,6,FALSE)&gt;=(VLOOKUP(VLOOKUP(AM$1,main!$A$3:$I$56,8,FALSE),main!$K$11:$M$14,2,FALSE)+VLOOKUP(VLOOKUP(AM$1,main!$A$3:$I$56,7,FALSE),main!$K$19:$O$22,MATCH(VLOOKUP($A54,main!$A$3:$I$56,8,FALSE),main!$K$18:$O$18,0))))),1,0)</f>
        <v>0</v>
      </c>
      <c r="AN54">
        <f>IF((AND(VLOOKUP(AN$1,main!$A$3:$I$56,5,FALSE)-VLOOKUP($A54,main!$A$3:$I$56,6,FALSE)&gt;=(VLOOKUP(VLOOKUP(AN$1,main!$A$3:$I$56,8,FALSE),main!$K$11:$M$14,2,FALSE)+VLOOKUP(VLOOKUP(AN$1,main!$A$3:$I$56,7,FALSE),main!$K$19:$O$22,MATCH(VLOOKUP($A54,main!$A$3:$I$56,8,FALSE),main!$K$18:$O$18,0))))),1,0)</f>
        <v>0</v>
      </c>
      <c r="AO54">
        <f>IF((AND(VLOOKUP(AO$1,main!$A$3:$I$56,5,FALSE)-VLOOKUP($A54,main!$A$3:$I$56,6,FALSE)&gt;=(VLOOKUP(VLOOKUP(AO$1,main!$A$3:$I$56,8,FALSE),main!$K$11:$M$14,2,FALSE)+VLOOKUP(VLOOKUP(AO$1,main!$A$3:$I$56,7,FALSE),main!$K$19:$O$22,MATCH(VLOOKUP($A54,main!$A$3:$I$56,8,FALSE),main!$K$18:$O$18,0))))),1,0)</f>
        <v>1</v>
      </c>
      <c r="AP54">
        <f>IF((AND(VLOOKUP(AP$1,main!$A$3:$I$56,5,FALSE)-VLOOKUP($A54,main!$A$3:$I$56,6,FALSE)&gt;=(VLOOKUP(VLOOKUP(AP$1,main!$A$3:$I$56,8,FALSE),main!$K$11:$M$14,2,FALSE)+VLOOKUP(VLOOKUP(AP$1,main!$A$3:$I$56,7,FALSE),main!$K$19:$O$22,MATCH(VLOOKUP($A54,main!$A$3:$I$56,8,FALSE),main!$K$18:$O$18,0))))),1,0)</f>
        <v>0</v>
      </c>
      <c r="AQ54">
        <f>IF((AND(VLOOKUP(AQ$1,main!$A$3:$I$56,5,FALSE)-VLOOKUP($A54,main!$A$3:$I$56,6,FALSE)&gt;=(VLOOKUP(VLOOKUP(AQ$1,main!$A$3:$I$56,8,FALSE),main!$K$11:$M$14,2,FALSE)+VLOOKUP(VLOOKUP(AQ$1,main!$A$3:$I$56,7,FALSE),main!$K$19:$O$22,MATCH(VLOOKUP($A54,main!$A$3:$I$56,8,FALSE),main!$K$18:$O$18,0))))),1,0)</f>
        <v>0</v>
      </c>
      <c r="AR54">
        <f>IF((AND(VLOOKUP(AR$1,main!$A$3:$I$56,5,FALSE)-VLOOKUP($A54,main!$A$3:$I$56,6,FALSE)&gt;=(VLOOKUP(VLOOKUP(AR$1,main!$A$3:$I$56,8,FALSE),main!$K$11:$M$14,2,FALSE)+VLOOKUP(VLOOKUP(AR$1,main!$A$3:$I$56,7,FALSE),main!$K$19:$O$22,MATCH(VLOOKUP($A54,main!$A$3:$I$56,8,FALSE),main!$K$18:$O$18,0))))),1,0)</f>
        <v>0</v>
      </c>
      <c r="AS54">
        <f>IF((AND(VLOOKUP(AS$1,main!$A$3:$I$56,5,FALSE)-VLOOKUP($A54,main!$A$3:$I$56,6,FALSE)&gt;=(VLOOKUP(VLOOKUP(AS$1,main!$A$3:$I$56,8,FALSE),main!$K$11:$M$14,2,FALSE)+VLOOKUP(VLOOKUP(AS$1,main!$A$3:$I$56,7,FALSE),main!$K$19:$O$22,MATCH(VLOOKUP($A54,main!$A$3:$I$56,8,FALSE),main!$K$18:$O$18,0))))),1,0)</f>
        <v>0</v>
      </c>
      <c r="AT54">
        <f>IF((AND(VLOOKUP(AT$1,main!$A$3:$I$56,5,FALSE)-VLOOKUP($A54,main!$A$3:$I$56,6,FALSE)&gt;=(VLOOKUP(VLOOKUP(AT$1,main!$A$3:$I$56,8,FALSE),main!$K$11:$M$14,2,FALSE)+VLOOKUP(VLOOKUP(AT$1,main!$A$3:$I$56,7,FALSE),main!$K$19:$O$22,MATCH(VLOOKUP($A54,main!$A$3:$I$56,8,FALSE),main!$K$18:$O$18,0))))),1,0)</f>
        <v>0</v>
      </c>
      <c r="AU54">
        <f>IF((AND(VLOOKUP(AU$1,main!$A$3:$I$56,5,FALSE)-VLOOKUP($A54,main!$A$3:$I$56,6,FALSE)&gt;=(VLOOKUP(VLOOKUP(AU$1,main!$A$3:$I$56,8,FALSE),main!$K$11:$M$14,2,FALSE)+VLOOKUP(VLOOKUP(AU$1,main!$A$3:$I$56,7,FALSE),main!$K$19:$O$22,MATCH(VLOOKUP($A54,main!$A$3:$I$56,8,FALSE),main!$K$18:$O$18,0))))),1,0)</f>
        <v>0</v>
      </c>
      <c r="AV54">
        <f>IF((AND(VLOOKUP(AV$1,main!$A$3:$I$56,5,FALSE)-VLOOKUP($A54,main!$A$3:$I$56,6,FALSE)&gt;=(VLOOKUP(VLOOKUP(AV$1,main!$A$3:$I$56,8,FALSE),main!$K$11:$M$14,2,FALSE)+VLOOKUP(VLOOKUP(AV$1,main!$A$3:$I$56,7,FALSE),main!$K$19:$O$22,MATCH(VLOOKUP($A54,main!$A$3:$I$56,8,FALSE),main!$K$18:$O$18,0))))),1,0)</f>
        <v>0</v>
      </c>
      <c r="AW54">
        <f>IF((AND(VLOOKUP(AW$1,main!$A$3:$I$56,5,FALSE)-VLOOKUP($A54,main!$A$3:$I$56,6,FALSE)&gt;=(VLOOKUP(VLOOKUP(AW$1,main!$A$3:$I$56,8,FALSE),main!$K$11:$M$14,2,FALSE)+VLOOKUP(VLOOKUP(AW$1,main!$A$3:$I$56,7,FALSE),main!$K$19:$O$22,MATCH(VLOOKUP($A54,main!$A$3:$I$56,8,FALSE),main!$K$18:$O$18,0))))),1,0)</f>
        <v>0</v>
      </c>
      <c r="AX54">
        <f>IF((AND(VLOOKUP(AX$1,main!$A$3:$I$56,5,FALSE)-VLOOKUP($A54,main!$A$3:$I$56,6,FALSE)&gt;=(VLOOKUP(VLOOKUP(AX$1,main!$A$3:$I$56,8,FALSE),main!$K$11:$M$14,2,FALSE)+VLOOKUP(VLOOKUP(AX$1,main!$A$3:$I$56,7,FALSE),main!$K$19:$O$22,MATCH(VLOOKUP($A54,main!$A$3:$I$56,8,FALSE),main!$K$18:$O$18,0))))),1,0)</f>
        <v>1</v>
      </c>
      <c r="AY54">
        <f>IF((AND(VLOOKUP(AY$1,main!$A$3:$I$56,5,FALSE)-VLOOKUP($A54,main!$A$3:$I$56,6,FALSE)&gt;=(VLOOKUP(VLOOKUP(AY$1,main!$A$3:$I$56,8,FALSE),main!$K$11:$M$14,2,FALSE)+VLOOKUP(VLOOKUP(AY$1,main!$A$3:$I$56,7,FALSE),main!$K$19:$O$22,MATCH(VLOOKUP($A54,main!$A$3:$I$56,8,FALSE),main!$K$18:$O$18,0))))),1,0)</f>
        <v>1</v>
      </c>
      <c r="AZ54">
        <f>IF((AND(VLOOKUP(AZ$1,main!$A$3:$I$56,5,FALSE)-VLOOKUP($A54,main!$A$3:$I$56,6,FALSE)&gt;=(VLOOKUP(VLOOKUP(AZ$1,main!$A$3:$I$56,8,FALSE),main!$K$11:$M$14,2,FALSE)+VLOOKUP(VLOOKUP(AZ$1,main!$A$3:$I$56,7,FALSE),main!$K$19:$O$22,MATCH(VLOOKUP($A54,main!$A$3:$I$56,8,FALSE),main!$K$18:$O$18,0))))),1,0)</f>
        <v>0</v>
      </c>
      <c r="BA54">
        <f>IF((AND(VLOOKUP(BA$1,main!$A$3:$I$56,5,FALSE)-VLOOKUP($A54,main!$A$3:$I$56,6,FALSE)&gt;=(VLOOKUP(VLOOKUP(BA$1,main!$A$3:$I$56,8,FALSE),main!$K$11:$M$14,2,FALSE)+VLOOKUP(VLOOKUP(BA$1,main!$A$3:$I$56,7,FALSE),main!$K$19:$O$22,MATCH(VLOOKUP($A54,main!$A$3:$I$56,8,FALSE),main!$K$18:$O$18,0))))),1,0)</f>
        <v>0</v>
      </c>
      <c r="BB54">
        <f>IF((AND(VLOOKUP(BB$1,main!$A$3:$I$56,5,FALSE)-VLOOKUP($A54,main!$A$3:$I$56,6,FALSE)&gt;=(VLOOKUP(VLOOKUP(BB$1,main!$A$3:$I$56,8,FALSE),main!$K$11:$M$14,2,FALSE)+VLOOKUP(VLOOKUP(BB$1,main!$A$3:$I$56,7,FALSE),main!$K$19:$O$22,MATCH(VLOOKUP($A54,main!$A$3:$I$56,8,FALSE),main!$K$18:$O$18,0))))),1,0)</f>
        <v>0</v>
      </c>
      <c r="BC54">
        <f>IF((AND(VLOOKUP(BC$1,main!$A$3:$I$56,5,FALSE)-VLOOKUP($A54,main!$A$3:$I$56,6,FALSE)&gt;=(VLOOKUP(VLOOKUP(BC$1,main!$A$3:$I$56,8,FALSE),main!$K$11:$M$14,2,FALSE)+VLOOKUP(VLOOKUP(BC$1,main!$A$3:$I$56,7,FALSE),main!$K$19:$O$22,MATCH(VLOOKUP($A54,main!$A$3:$I$56,8,FALSE),main!$K$18:$O$18,0))))),1,0)</f>
        <v>1</v>
      </c>
      <c r="BD54">
        <f>IF((AND(VLOOKUP(BD$1,main!$A$3:$I$56,5,FALSE)-VLOOKUP($A54,main!$A$3:$I$56,6,FALSE)&gt;=(VLOOKUP(VLOOKUP(BD$1,main!$A$3:$I$56,8,FALSE),main!$K$11:$M$14,2,FALSE)+VLOOKUP(VLOOKUP(BD$1,main!$A$3:$I$56,7,FALSE),main!$K$19:$O$22,MATCH(VLOOKUP($A54,main!$A$3:$I$56,8,FALSE),main!$K$18:$O$18,0))))),1,0)</f>
        <v>1</v>
      </c>
    </row>
    <row r="55" spans="1:56" x14ac:dyDescent="0.25">
      <c r="A55">
        <f t="shared" si="0"/>
        <v>53</v>
      </c>
      <c r="B55">
        <v>1</v>
      </c>
      <c r="C55">
        <f>IF((AND(VLOOKUP(C$1,main!$A$3:$I$56,5,FALSE)-VLOOKUP($A55,main!$A$3:$I$56,6,FALSE)&gt;=(VLOOKUP(VLOOKUP(C$1,main!$A$3:$I$56,8,FALSE),main!$K$11:$M$14,2,FALSE)+VLOOKUP(VLOOKUP(C$1,main!$A$3:$I$56,7,FALSE),main!$K$19:$O$22,MATCH(VLOOKUP($A55,main!$A$3:$I$56,8,FALSE),main!$K$18:$O$18,0))))),1,0)</f>
        <v>0</v>
      </c>
      <c r="D55">
        <f>IF((AND(VLOOKUP(D$1,main!$A$3:$I$56,5,FALSE)-VLOOKUP($A55,main!$A$3:$I$56,6,FALSE)&gt;=(VLOOKUP(VLOOKUP(D$1,main!$A$3:$I$56,8,FALSE),main!$K$11:$M$14,2,FALSE)+VLOOKUP(VLOOKUP(D$1,main!$A$3:$I$56,7,FALSE),main!$K$19:$O$22,MATCH(VLOOKUP($A55,main!$A$3:$I$56,8,FALSE),main!$K$18:$O$18,0))))),1,0)</f>
        <v>0</v>
      </c>
      <c r="E55">
        <f>IF((AND(VLOOKUP(E$1,main!$A$3:$I$56,5,FALSE)-VLOOKUP($A55,main!$A$3:$I$56,6,FALSE)&gt;=(VLOOKUP(VLOOKUP(E$1,main!$A$3:$I$56,8,FALSE),main!$K$11:$M$14,2,FALSE)+VLOOKUP(VLOOKUP(E$1,main!$A$3:$I$56,7,FALSE),main!$K$19:$O$22,MATCH(VLOOKUP($A55,main!$A$3:$I$56,8,FALSE),main!$K$18:$O$18,0))))),1,0)</f>
        <v>0</v>
      </c>
      <c r="F55">
        <f>IF((AND(VLOOKUP(F$1,main!$A$3:$I$56,5,FALSE)-VLOOKUP($A55,main!$A$3:$I$56,6,FALSE)&gt;=(VLOOKUP(VLOOKUP(F$1,main!$A$3:$I$56,8,FALSE),main!$K$11:$M$14,2,FALSE)+VLOOKUP(VLOOKUP(F$1,main!$A$3:$I$56,7,FALSE),main!$K$19:$O$22,MATCH(VLOOKUP($A55,main!$A$3:$I$56,8,FALSE),main!$K$18:$O$18,0))))),1,0)</f>
        <v>0</v>
      </c>
      <c r="G55">
        <f>IF((AND(VLOOKUP(G$1,main!$A$3:$I$56,5,FALSE)-VLOOKUP($A55,main!$A$3:$I$56,6,FALSE)&gt;=(VLOOKUP(VLOOKUP(G$1,main!$A$3:$I$56,8,FALSE),main!$K$11:$M$14,2,FALSE)+VLOOKUP(VLOOKUP(G$1,main!$A$3:$I$56,7,FALSE),main!$K$19:$O$22,MATCH(VLOOKUP($A55,main!$A$3:$I$56,8,FALSE),main!$K$18:$O$18,0))))),1,0)</f>
        <v>0</v>
      </c>
      <c r="H55">
        <f>IF((AND(VLOOKUP(H$1,main!$A$3:$I$56,5,FALSE)-VLOOKUP($A55,main!$A$3:$I$56,6,FALSE)&gt;=(VLOOKUP(VLOOKUP(H$1,main!$A$3:$I$56,8,FALSE),main!$K$11:$M$14,2,FALSE)+VLOOKUP(VLOOKUP(H$1,main!$A$3:$I$56,7,FALSE),main!$K$19:$O$22,MATCH(VLOOKUP($A55,main!$A$3:$I$56,8,FALSE),main!$K$18:$O$18,0))))),1,0)</f>
        <v>0</v>
      </c>
      <c r="I55">
        <f>IF((AND(VLOOKUP(I$1,main!$A$3:$I$56,5,FALSE)-VLOOKUP($A55,main!$A$3:$I$56,6,FALSE)&gt;=(VLOOKUP(VLOOKUP(I$1,main!$A$3:$I$56,8,FALSE),main!$K$11:$M$14,2,FALSE)+VLOOKUP(VLOOKUP(I$1,main!$A$3:$I$56,7,FALSE),main!$K$19:$O$22,MATCH(VLOOKUP($A55,main!$A$3:$I$56,8,FALSE),main!$K$18:$O$18,0))))),1,0)</f>
        <v>0</v>
      </c>
      <c r="J55">
        <f>IF((AND(VLOOKUP(J$1,main!$A$3:$I$56,5,FALSE)-VLOOKUP($A55,main!$A$3:$I$56,6,FALSE)&gt;=(VLOOKUP(VLOOKUP(J$1,main!$A$3:$I$56,8,FALSE),main!$K$11:$M$14,2,FALSE)+VLOOKUP(VLOOKUP(J$1,main!$A$3:$I$56,7,FALSE),main!$K$19:$O$22,MATCH(VLOOKUP($A55,main!$A$3:$I$56,8,FALSE),main!$K$18:$O$18,0))))),1,0)</f>
        <v>1</v>
      </c>
      <c r="K55">
        <f>IF((AND(VLOOKUP(K$1,main!$A$3:$I$56,5,FALSE)-VLOOKUP($A55,main!$A$3:$I$56,6,FALSE)&gt;=(VLOOKUP(VLOOKUP(K$1,main!$A$3:$I$56,8,FALSE),main!$K$11:$M$14,2,FALSE)+VLOOKUP(VLOOKUP(K$1,main!$A$3:$I$56,7,FALSE),main!$K$19:$O$22,MATCH(VLOOKUP($A55,main!$A$3:$I$56,8,FALSE),main!$K$18:$O$18,0))))),1,0)</f>
        <v>0</v>
      </c>
      <c r="L55">
        <f>IF((AND(VLOOKUP(L$1,main!$A$3:$I$56,5,FALSE)-VLOOKUP($A55,main!$A$3:$I$56,6,FALSE)&gt;=(VLOOKUP(VLOOKUP(L$1,main!$A$3:$I$56,8,FALSE),main!$K$11:$M$14,2,FALSE)+VLOOKUP(VLOOKUP(L$1,main!$A$3:$I$56,7,FALSE),main!$K$19:$O$22,MATCH(VLOOKUP($A55,main!$A$3:$I$56,8,FALSE),main!$K$18:$O$18,0))))),1,0)</f>
        <v>0</v>
      </c>
      <c r="M55">
        <f>IF((AND(VLOOKUP(M$1,main!$A$3:$I$56,5,FALSE)-VLOOKUP($A55,main!$A$3:$I$56,6,FALSE)&gt;=(VLOOKUP(VLOOKUP(M$1,main!$A$3:$I$56,8,FALSE),main!$K$11:$M$14,2,FALSE)+VLOOKUP(VLOOKUP(M$1,main!$A$3:$I$56,7,FALSE),main!$K$19:$O$22,MATCH(VLOOKUP($A55,main!$A$3:$I$56,8,FALSE),main!$K$18:$O$18,0))))),1,0)</f>
        <v>0</v>
      </c>
      <c r="N55">
        <f>IF((AND(VLOOKUP(N$1,main!$A$3:$I$56,5,FALSE)-VLOOKUP($A55,main!$A$3:$I$56,6,FALSE)&gt;=(VLOOKUP(VLOOKUP(N$1,main!$A$3:$I$56,8,FALSE),main!$K$11:$M$14,2,FALSE)+VLOOKUP(VLOOKUP(N$1,main!$A$3:$I$56,7,FALSE),main!$K$19:$O$22,MATCH(VLOOKUP($A55,main!$A$3:$I$56,8,FALSE),main!$K$18:$O$18,0))))),1,0)</f>
        <v>1</v>
      </c>
      <c r="O55">
        <f>IF((AND(VLOOKUP(O$1,main!$A$3:$I$56,5,FALSE)-VLOOKUP($A55,main!$A$3:$I$56,6,FALSE)&gt;=(VLOOKUP(VLOOKUP(O$1,main!$A$3:$I$56,8,FALSE),main!$K$11:$M$14,2,FALSE)+VLOOKUP(VLOOKUP(O$1,main!$A$3:$I$56,7,FALSE),main!$K$19:$O$22,MATCH(VLOOKUP($A55,main!$A$3:$I$56,8,FALSE),main!$K$18:$O$18,0))))),1,0)</f>
        <v>1</v>
      </c>
      <c r="P55">
        <f>IF((AND(VLOOKUP(P$1,main!$A$3:$I$56,5,FALSE)-VLOOKUP($A55,main!$A$3:$I$56,6,FALSE)&gt;=(VLOOKUP(VLOOKUP(P$1,main!$A$3:$I$56,8,FALSE),main!$K$11:$M$14,2,FALSE)+VLOOKUP(VLOOKUP(P$1,main!$A$3:$I$56,7,FALSE),main!$K$19:$O$22,MATCH(VLOOKUP($A55,main!$A$3:$I$56,8,FALSE),main!$K$18:$O$18,0))))),1,0)</f>
        <v>0</v>
      </c>
      <c r="Q55">
        <f>IF((AND(VLOOKUP(Q$1,main!$A$3:$I$56,5,FALSE)-VLOOKUP($A55,main!$A$3:$I$56,6,FALSE)&gt;=(VLOOKUP(VLOOKUP(Q$1,main!$A$3:$I$56,8,FALSE),main!$K$11:$M$14,2,FALSE)+VLOOKUP(VLOOKUP(Q$1,main!$A$3:$I$56,7,FALSE),main!$K$19:$O$22,MATCH(VLOOKUP($A55,main!$A$3:$I$56,8,FALSE),main!$K$18:$O$18,0))))),1,0)</f>
        <v>0</v>
      </c>
      <c r="R55">
        <f>IF((AND(VLOOKUP(R$1,main!$A$3:$I$56,5,FALSE)-VLOOKUP($A55,main!$A$3:$I$56,6,FALSE)&gt;=(VLOOKUP(VLOOKUP(R$1,main!$A$3:$I$56,8,FALSE),main!$K$11:$M$14,2,FALSE)+VLOOKUP(VLOOKUP(R$1,main!$A$3:$I$56,7,FALSE),main!$K$19:$O$22,MATCH(VLOOKUP($A55,main!$A$3:$I$56,8,FALSE),main!$K$18:$O$18,0))))),1,0)</f>
        <v>0</v>
      </c>
      <c r="S55">
        <f>IF((AND(VLOOKUP(S$1,main!$A$3:$I$56,5,FALSE)-VLOOKUP($A55,main!$A$3:$I$56,6,FALSE)&gt;=(VLOOKUP(VLOOKUP(S$1,main!$A$3:$I$56,8,FALSE),main!$K$11:$M$14,2,FALSE)+VLOOKUP(VLOOKUP(S$1,main!$A$3:$I$56,7,FALSE),main!$K$19:$O$22,MATCH(VLOOKUP($A55,main!$A$3:$I$56,8,FALSE),main!$K$18:$O$18,0))))),1,0)</f>
        <v>0</v>
      </c>
      <c r="T55">
        <f>IF((AND(VLOOKUP(T$1,main!$A$3:$I$56,5,FALSE)-VLOOKUP($A55,main!$A$3:$I$56,6,FALSE)&gt;=(VLOOKUP(VLOOKUP(T$1,main!$A$3:$I$56,8,FALSE),main!$K$11:$M$14,2,FALSE)+VLOOKUP(VLOOKUP(T$1,main!$A$3:$I$56,7,FALSE),main!$K$19:$O$22,MATCH(VLOOKUP($A55,main!$A$3:$I$56,8,FALSE),main!$K$18:$O$18,0))))),1,0)</f>
        <v>0</v>
      </c>
      <c r="U55">
        <f>IF((AND(VLOOKUP(U$1,main!$A$3:$I$56,5,FALSE)-VLOOKUP($A55,main!$A$3:$I$56,6,FALSE)&gt;=(VLOOKUP(VLOOKUP(U$1,main!$A$3:$I$56,8,FALSE),main!$K$11:$M$14,2,FALSE)+VLOOKUP(VLOOKUP(U$1,main!$A$3:$I$56,7,FALSE),main!$K$19:$O$22,MATCH(VLOOKUP($A55,main!$A$3:$I$56,8,FALSE),main!$K$18:$O$18,0))))),1,0)</f>
        <v>0</v>
      </c>
      <c r="V55">
        <f>IF((AND(VLOOKUP(V$1,main!$A$3:$I$56,5,FALSE)-VLOOKUP($A55,main!$A$3:$I$56,6,FALSE)&gt;=(VLOOKUP(VLOOKUP(V$1,main!$A$3:$I$56,8,FALSE),main!$K$11:$M$14,2,FALSE)+VLOOKUP(VLOOKUP(V$1,main!$A$3:$I$56,7,FALSE),main!$K$19:$O$22,MATCH(VLOOKUP($A55,main!$A$3:$I$56,8,FALSE),main!$K$18:$O$18,0))))),1,0)</f>
        <v>0</v>
      </c>
      <c r="W55">
        <f>IF((AND(VLOOKUP(W$1,main!$A$3:$I$56,5,FALSE)-VLOOKUP($A55,main!$A$3:$I$56,6,FALSE)&gt;=(VLOOKUP(VLOOKUP(W$1,main!$A$3:$I$56,8,FALSE),main!$K$11:$M$14,2,FALSE)+VLOOKUP(VLOOKUP(W$1,main!$A$3:$I$56,7,FALSE),main!$K$19:$O$22,MATCH(VLOOKUP($A55,main!$A$3:$I$56,8,FALSE),main!$K$18:$O$18,0))))),1,0)</f>
        <v>0</v>
      </c>
      <c r="X55">
        <f>IF((AND(VLOOKUP(X$1,main!$A$3:$I$56,5,FALSE)-VLOOKUP($A55,main!$A$3:$I$56,6,FALSE)&gt;=(VLOOKUP(VLOOKUP(X$1,main!$A$3:$I$56,8,FALSE),main!$K$11:$M$14,2,FALSE)+VLOOKUP(VLOOKUP(X$1,main!$A$3:$I$56,7,FALSE),main!$K$19:$O$22,MATCH(VLOOKUP($A55,main!$A$3:$I$56,8,FALSE),main!$K$18:$O$18,0))))),1,0)</f>
        <v>0</v>
      </c>
      <c r="Y55">
        <f>IF((AND(VLOOKUP(Y$1,main!$A$3:$I$56,5,FALSE)-VLOOKUP($A55,main!$A$3:$I$56,6,FALSE)&gt;=(VLOOKUP(VLOOKUP(Y$1,main!$A$3:$I$56,8,FALSE),main!$K$11:$M$14,2,FALSE)+VLOOKUP(VLOOKUP(Y$1,main!$A$3:$I$56,7,FALSE),main!$K$19:$O$22,MATCH(VLOOKUP($A55,main!$A$3:$I$56,8,FALSE),main!$K$18:$O$18,0))))),1,0)</f>
        <v>0</v>
      </c>
      <c r="Z55">
        <f>IF((AND(VLOOKUP(Z$1,main!$A$3:$I$56,5,FALSE)-VLOOKUP($A55,main!$A$3:$I$56,6,FALSE)&gt;=(VLOOKUP(VLOOKUP(Z$1,main!$A$3:$I$56,8,FALSE),main!$K$11:$M$14,2,FALSE)+VLOOKUP(VLOOKUP(Z$1,main!$A$3:$I$56,7,FALSE),main!$K$19:$O$22,MATCH(VLOOKUP($A55,main!$A$3:$I$56,8,FALSE),main!$K$18:$O$18,0))))),1,0)</f>
        <v>0</v>
      </c>
      <c r="AA55">
        <f>IF((AND(VLOOKUP(AA$1,main!$A$3:$I$56,5,FALSE)-VLOOKUP($A55,main!$A$3:$I$56,6,FALSE)&gt;=(VLOOKUP(VLOOKUP(AA$1,main!$A$3:$I$56,8,FALSE),main!$K$11:$M$14,2,FALSE)+VLOOKUP(VLOOKUP(AA$1,main!$A$3:$I$56,7,FALSE),main!$K$19:$O$22,MATCH(VLOOKUP($A55,main!$A$3:$I$56,8,FALSE),main!$K$18:$O$18,0))))),1,0)</f>
        <v>0</v>
      </c>
      <c r="AB55">
        <f>IF((AND(VLOOKUP(AB$1,main!$A$3:$I$56,5,FALSE)-VLOOKUP($A55,main!$A$3:$I$56,6,FALSE)&gt;=(VLOOKUP(VLOOKUP(AB$1,main!$A$3:$I$56,8,FALSE),main!$K$11:$M$14,2,FALSE)+VLOOKUP(VLOOKUP(AB$1,main!$A$3:$I$56,7,FALSE),main!$K$19:$O$22,MATCH(VLOOKUP($A55,main!$A$3:$I$56,8,FALSE),main!$K$18:$O$18,0))))),1,0)</f>
        <v>0</v>
      </c>
      <c r="AC55">
        <f>IF((AND(VLOOKUP(AC$1,main!$A$3:$I$56,5,FALSE)-VLOOKUP($A55,main!$A$3:$I$56,6,FALSE)&gt;=(VLOOKUP(VLOOKUP(AC$1,main!$A$3:$I$56,8,FALSE),main!$K$11:$M$14,2,FALSE)+VLOOKUP(VLOOKUP(AC$1,main!$A$3:$I$56,7,FALSE),main!$K$19:$O$22,MATCH(VLOOKUP($A55,main!$A$3:$I$56,8,FALSE),main!$K$18:$O$18,0))))),1,0)</f>
        <v>0</v>
      </c>
      <c r="AD55">
        <f>IF((AND(VLOOKUP(AD$1,main!$A$3:$I$56,5,FALSE)-VLOOKUP($A55,main!$A$3:$I$56,6,FALSE)&gt;=(VLOOKUP(VLOOKUP(AD$1,main!$A$3:$I$56,8,FALSE),main!$K$11:$M$14,2,FALSE)+VLOOKUP(VLOOKUP(AD$1,main!$A$3:$I$56,7,FALSE),main!$K$19:$O$22,MATCH(VLOOKUP($A55,main!$A$3:$I$56,8,FALSE),main!$K$18:$O$18,0))))),1,0)</f>
        <v>0</v>
      </c>
      <c r="AE55">
        <f>IF((AND(VLOOKUP(AE$1,main!$A$3:$I$56,5,FALSE)-VLOOKUP($A55,main!$A$3:$I$56,6,FALSE)&gt;=(VLOOKUP(VLOOKUP(AE$1,main!$A$3:$I$56,8,FALSE),main!$K$11:$M$14,2,FALSE)+VLOOKUP(VLOOKUP(AE$1,main!$A$3:$I$56,7,FALSE),main!$K$19:$O$22,MATCH(VLOOKUP($A55,main!$A$3:$I$56,8,FALSE),main!$K$18:$O$18,0))))),1,0)</f>
        <v>0</v>
      </c>
      <c r="AF55">
        <f>IF((AND(VLOOKUP(AF$1,main!$A$3:$I$56,5,FALSE)-VLOOKUP($A55,main!$A$3:$I$56,6,FALSE)&gt;=(VLOOKUP(VLOOKUP(AF$1,main!$A$3:$I$56,8,FALSE),main!$K$11:$M$14,2,FALSE)+VLOOKUP(VLOOKUP(AF$1,main!$A$3:$I$56,7,FALSE),main!$K$19:$O$22,MATCH(VLOOKUP($A55,main!$A$3:$I$56,8,FALSE),main!$K$18:$O$18,0))))),1,0)</f>
        <v>0</v>
      </c>
      <c r="AG55">
        <f>IF((AND(VLOOKUP(AG$1,main!$A$3:$I$56,5,FALSE)-VLOOKUP($A55,main!$A$3:$I$56,6,FALSE)&gt;=(VLOOKUP(VLOOKUP(AG$1,main!$A$3:$I$56,8,FALSE),main!$K$11:$M$14,2,FALSE)+VLOOKUP(VLOOKUP(AG$1,main!$A$3:$I$56,7,FALSE),main!$K$19:$O$22,MATCH(VLOOKUP($A55,main!$A$3:$I$56,8,FALSE),main!$K$18:$O$18,0))))),1,0)</f>
        <v>0</v>
      </c>
      <c r="AH55">
        <f>IF((AND(VLOOKUP(AH$1,main!$A$3:$I$56,5,FALSE)-VLOOKUP($A55,main!$A$3:$I$56,6,FALSE)&gt;=(VLOOKUP(VLOOKUP(AH$1,main!$A$3:$I$56,8,FALSE),main!$K$11:$M$14,2,FALSE)+VLOOKUP(VLOOKUP(AH$1,main!$A$3:$I$56,7,FALSE),main!$K$19:$O$22,MATCH(VLOOKUP($A55,main!$A$3:$I$56,8,FALSE),main!$K$18:$O$18,0))))),1,0)</f>
        <v>0</v>
      </c>
      <c r="AI55">
        <f>IF((AND(VLOOKUP(AI$1,main!$A$3:$I$56,5,FALSE)-VLOOKUP($A55,main!$A$3:$I$56,6,FALSE)&gt;=(VLOOKUP(VLOOKUP(AI$1,main!$A$3:$I$56,8,FALSE),main!$K$11:$M$14,2,FALSE)+VLOOKUP(VLOOKUP(AI$1,main!$A$3:$I$56,7,FALSE),main!$K$19:$O$22,MATCH(VLOOKUP($A55,main!$A$3:$I$56,8,FALSE),main!$K$18:$O$18,0))))),1,0)</f>
        <v>0</v>
      </c>
      <c r="AJ55">
        <f>IF((AND(VLOOKUP(AJ$1,main!$A$3:$I$56,5,FALSE)-VLOOKUP($A55,main!$A$3:$I$56,6,FALSE)&gt;=(VLOOKUP(VLOOKUP(AJ$1,main!$A$3:$I$56,8,FALSE),main!$K$11:$M$14,2,FALSE)+VLOOKUP(VLOOKUP(AJ$1,main!$A$3:$I$56,7,FALSE),main!$K$19:$O$22,MATCH(VLOOKUP($A55,main!$A$3:$I$56,8,FALSE),main!$K$18:$O$18,0))))),1,0)</f>
        <v>0</v>
      </c>
      <c r="AK55">
        <f>IF((AND(VLOOKUP(AK$1,main!$A$3:$I$56,5,FALSE)-VLOOKUP($A55,main!$A$3:$I$56,6,FALSE)&gt;=(VLOOKUP(VLOOKUP(AK$1,main!$A$3:$I$56,8,FALSE),main!$K$11:$M$14,2,FALSE)+VLOOKUP(VLOOKUP(AK$1,main!$A$3:$I$56,7,FALSE),main!$K$19:$O$22,MATCH(VLOOKUP($A55,main!$A$3:$I$56,8,FALSE),main!$K$18:$O$18,0))))),1,0)</f>
        <v>0</v>
      </c>
      <c r="AL55">
        <f>IF((AND(VLOOKUP(AL$1,main!$A$3:$I$56,5,FALSE)-VLOOKUP($A55,main!$A$3:$I$56,6,FALSE)&gt;=(VLOOKUP(VLOOKUP(AL$1,main!$A$3:$I$56,8,FALSE),main!$K$11:$M$14,2,FALSE)+VLOOKUP(VLOOKUP(AL$1,main!$A$3:$I$56,7,FALSE),main!$K$19:$O$22,MATCH(VLOOKUP($A55,main!$A$3:$I$56,8,FALSE),main!$K$18:$O$18,0))))),1,0)</f>
        <v>0</v>
      </c>
      <c r="AM55">
        <f>IF((AND(VLOOKUP(AM$1,main!$A$3:$I$56,5,FALSE)-VLOOKUP($A55,main!$A$3:$I$56,6,FALSE)&gt;=(VLOOKUP(VLOOKUP(AM$1,main!$A$3:$I$56,8,FALSE),main!$K$11:$M$14,2,FALSE)+VLOOKUP(VLOOKUP(AM$1,main!$A$3:$I$56,7,FALSE),main!$K$19:$O$22,MATCH(VLOOKUP($A55,main!$A$3:$I$56,8,FALSE),main!$K$18:$O$18,0))))),1,0)</f>
        <v>0</v>
      </c>
      <c r="AN55">
        <f>IF((AND(VLOOKUP(AN$1,main!$A$3:$I$56,5,FALSE)-VLOOKUP($A55,main!$A$3:$I$56,6,FALSE)&gt;=(VLOOKUP(VLOOKUP(AN$1,main!$A$3:$I$56,8,FALSE),main!$K$11:$M$14,2,FALSE)+VLOOKUP(VLOOKUP(AN$1,main!$A$3:$I$56,7,FALSE),main!$K$19:$O$22,MATCH(VLOOKUP($A55,main!$A$3:$I$56,8,FALSE),main!$K$18:$O$18,0))))),1,0)</f>
        <v>0</v>
      </c>
      <c r="AO55">
        <f>IF((AND(VLOOKUP(AO$1,main!$A$3:$I$56,5,FALSE)-VLOOKUP($A55,main!$A$3:$I$56,6,FALSE)&gt;=(VLOOKUP(VLOOKUP(AO$1,main!$A$3:$I$56,8,FALSE),main!$K$11:$M$14,2,FALSE)+VLOOKUP(VLOOKUP(AO$1,main!$A$3:$I$56,7,FALSE),main!$K$19:$O$22,MATCH(VLOOKUP($A55,main!$A$3:$I$56,8,FALSE),main!$K$18:$O$18,0))))),1,0)</f>
        <v>0</v>
      </c>
      <c r="AP55">
        <f>IF((AND(VLOOKUP(AP$1,main!$A$3:$I$56,5,FALSE)-VLOOKUP($A55,main!$A$3:$I$56,6,FALSE)&gt;=(VLOOKUP(VLOOKUP(AP$1,main!$A$3:$I$56,8,FALSE),main!$K$11:$M$14,2,FALSE)+VLOOKUP(VLOOKUP(AP$1,main!$A$3:$I$56,7,FALSE),main!$K$19:$O$22,MATCH(VLOOKUP($A55,main!$A$3:$I$56,8,FALSE),main!$K$18:$O$18,0))))),1,0)</f>
        <v>0</v>
      </c>
      <c r="AQ55">
        <f>IF((AND(VLOOKUP(AQ$1,main!$A$3:$I$56,5,FALSE)-VLOOKUP($A55,main!$A$3:$I$56,6,FALSE)&gt;=(VLOOKUP(VLOOKUP(AQ$1,main!$A$3:$I$56,8,FALSE),main!$K$11:$M$14,2,FALSE)+VLOOKUP(VLOOKUP(AQ$1,main!$A$3:$I$56,7,FALSE),main!$K$19:$O$22,MATCH(VLOOKUP($A55,main!$A$3:$I$56,8,FALSE),main!$K$18:$O$18,0))))),1,0)</f>
        <v>0</v>
      </c>
      <c r="AR55">
        <f>IF((AND(VLOOKUP(AR$1,main!$A$3:$I$56,5,FALSE)-VLOOKUP($A55,main!$A$3:$I$56,6,FALSE)&gt;=(VLOOKUP(VLOOKUP(AR$1,main!$A$3:$I$56,8,FALSE),main!$K$11:$M$14,2,FALSE)+VLOOKUP(VLOOKUP(AR$1,main!$A$3:$I$56,7,FALSE),main!$K$19:$O$22,MATCH(VLOOKUP($A55,main!$A$3:$I$56,8,FALSE),main!$K$18:$O$18,0))))),1,0)</f>
        <v>0</v>
      </c>
      <c r="AS55">
        <f>IF((AND(VLOOKUP(AS$1,main!$A$3:$I$56,5,FALSE)-VLOOKUP($A55,main!$A$3:$I$56,6,FALSE)&gt;=(VLOOKUP(VLOOKUP(AS$1,main!$A$3:$I$56,8,FALSE),main!$K$11:$M$14,2,FALSE)+VLOOKUP(VLOOKUP(AS$1,main!$A$3:$I$56,7,FALSE),main!$K$19:$O$22,MATCH(VLOOKUP($A55,main!$A$3:$I$56,8,FALSE),main!$K$18:$O$18,0))))),1,0)</f>
        <v>0</v>
      </c>
      <c r="AT55">
        <f>IF((AND(VLOOKUP(AT$1,main!$A$3:$I$56,5,FALSE)-VLOOKUP($A55,main!$A$3:$I$56,6,FALSE)&gt;=(VLOOKUP(VLOOKUP(AT$1,main!$A$3:$I$56,8,FALSE),main!$K$11:$M$14,2,FALSE)+VLOOKUP(VLOOKUP(AT$1,main!$A$3:$I$56,7,FALSE),main!$K$19:$O$22,MATCH(VLOOKUP($A55,main!$A$3:$I$56,8,FALSE),main!$K$18:$O$18,0))))),1,0)</f>
        <v>0</v>
      </c>
      <c r="AU55">
        <f>IF((AND(VLOOKUP(AU$1,main!$A$3:$I$56,5,FALSE)-VLOOKUP($A55,main!$A$3:$I$56,6,FALSE)&gt;=(VLOOKUP(VLOOKUP(AU$1,main!$A$3:$I$56,8,FALSE),main!$K$11:$M$14,2,FALSE)+VLOOKUP(VLOOKUP(AU$1,main!$A$3:$I$56,7,FALSE),main!$K$19:$O$22,MATCH(VLOOKUP($A55,main!$A$3:$I$56,8,FALSE),main!$K$18:$O$18,0))))),1,0)</f>
        <v>0</v>
      </c>
      <c r="AV55">
        <f>IF((AND(VLOOKUP(AV$1,main!$A$3:$I$56,5,FALSE)-VLOOKUP($A55,main!$A$3:$I$56,6,FALSE)&gt;=(VLOOKUP(VLOOKUP(AV$1,main!$A$3:$I$56,8,FALSE),main!$K$11:$M$14,2,FALSE)+VLOOKUP(VLOOKUP(AV$1,main!$A$3:$I$56,7,FALSE),main!$K$19:$O$22,MATCH(VLOOKUP($A55,main!$A$3:$I$56,8,FALSE),main!$K$18:$O$18,0))))),1,0)</f>
        <v>0</v>
      </c>
      <c r="AW55">
        <f>IF((AND(VLOOKUP(AW$1,main!$A$3:$I$56,5,FALSE)-VLOOKUP($A55,main!$A$3:$I$56,6,FALSE)&gt;=(VLOOKUP(VLOOKUP(AW$1,main!$A$3:$I$56,8,FALSE),main!$K$11:$M$14,2,FALSE)+VLOOKUP(VLOOKUP(AW$1,main!$A$3:$I$56,7,FALSE),main!$K$19:$O$22,MATCH(VLOOKUP($A55,main!$A$3:$I$56,8,FALSE),main!$K$18:$O$18,0))))),1,0)</f>
        <v>0</v>
      </c>
      <c r="AX55">
        <f>IF((AND(VLOOKUP(AX$1,main!$A$3:$I$56,5,FALSE)-VLOOKUP($A55,main!$A$3:$I$56,6,FALSE)&gt;=(VLOOKUP(VLOOKUP(AX$1,main!$A$3:$I$56,8,FALSE),main!$K$11:$M$14,2,FALSE)+VLOOKUP(VLOOKUP(AX$1,main!$A$3:$I$56,7,FALSE),main!$K$19:$O$22,MATCH(VLOOKUP($A55,main!$A$3:$I$56,8,FALSE),main!$K$18:$O$18,0))))),1,0)</f>
        <v>0</v>
      </c>
      <c r="AY55">
        <f>IF((AND(VLOOKUP(AY$1,main!$A$3:$I$56,5,FALSE)-VLOOKUP($A55,main!$A$3:$I$56,6,FALSE)&gt;=(VLOOKUP(VLOOKUP(AY$1,main!$A$3:$I$56,8,FALSE),main!$K$11:$M$14,2,FALSE)+VLOOKUP(VLOOKUP(AY$1,main!$A$3:$I$56,7,FALSE),main!$K$19:$O$22,MATCH(VLOOKUP($A55,main!$A$3:$I$56,8,FALSE),main!$K$18:$O$18,0))))),1,0)</f>
        <v>1</v>
      </c>
      <c r="AZ55">
        <f>IF((AND(VLOOKUP(AZ$1,main!$A$3:$I$56,5,FALSE)-VLOOKUP($A55,main!$A$3:$I$56,6,FALSE)&gt;=(VLOOKUP(VLOOKUP(AZ$1,main!$A$3:$I$56,8,FALSE),main!$K$11:$M$14,2,FALSE)+VLOOKUP(VLOOKUP(AZ$1,main!$A$3:$I$56,7,FALSE),main!$K$19:$O$22,MATCH(VLOOKUP($A55,main!$A$3:$I$56,8,FALSE),main!$K$18:$O$18,0))))),1,0)</f>
        <v>0</v>
      </c>
      <c r="BA55">
        <f>IF((AND(VLOOKUP(BA$1,main!$A$3:$I$56,5,FALSE)-VLOOKUP($A55,main!$A$3:$I$56,6,FALSE)&gt;=(VLOOKUP(VLOOKUP(BA$1,main!$A$3:$I$56,8,FALSE),main!$K$11:$M$14,2,FALSE)+VLOOKUP(VLOOKUP(BA$1,main!$A$3:$I$56,7,FALSE),main!$K$19:$O$22,MATCH(VLOOKUP($A55,main!$A$3:$I$56,8,FALSE),main!$K$18:$O$18,0))))),1,0)</f>
        <v>0</v>
      </c>
      <c r="BB55">
        <f>IF((AND(VLOOKUP(BB$1,main!$A$3:$I$56,5,FALSE)-VLOOKUP($A55,main!$A$3:$I$56,6,FALSE)&gt;=(VLOOKUP(VLOOKUP(BB$1,main!$A$3:$I$56,8,FALSE),main!$K$11:$M$14,2,FALSE)+VLOOKUP(VLOOKUP(BB$1,main!$A$3:$I$56,7,FALSE),main!$K$19:$O$22,MATCH(VLOOKUP($A55,main!$A$3:$I$56,8,FALSE),main!$K$18:$O$18,0))))),1,0)</f>
        <v>0</v>
      </c>
      <c r="BC55">
        <f>IF((AND(VLOOKUP(BC$1,main!$A$3:$I$56,5,FALSE)-VLOOKUP($A55,main!$A$3:$I$56,6,FALSE)&gt;=(VLOOKUP(VLOOKUP(BC$1,main!$A$3:$I$56,8,FALSE),main!$K$11:$M$14,2,FALSE)+VLOOKUP(VLOOKUP(BC$1,main!$A$3:$I$56,7,FALSE),main!$K$19:$O$22,MATCH(VLOOKUP($A55,main!$A$3:$I$56,8,FALSE),main!$K$18:$O$18,0))))),1,0)</f>
        <v>0</v>
      </c>
      <c r="BD55">
        <f>IF((AND(VLOOKUP(BD$1,main!$A$3:$I$56,5,FALSE)-VLOOKUP($A55,main!$A$3:$I$56,6,FALSE)&gt;=(VLOOKUP(VLOOKUP(BD$1,main!$A$3:$I$56,8,FALSE),main!$K$11:$M$14,2,FALSE)+VLOOKUP(VLOOKUP(BD$1,main!$A$3:$I$56,7,FALSE),main!$K$19:$O$22,MATCH(VLOOKUP($A55,main!$A$3:$I$56,8,FALSE),main!$K$18:$O$18,0))))),1,0)</f>
        <v>0</v>
      </c>
    </row>
    <row r="56" spans="1:56" x14ac:dyDescent="0.25">
      <c r="A56">
        <f t="shared" si="0"/>
        <v>54</v>
      </c>
      <c r="B56">
        <v>1</v>
      </c>
      <c r="C56">
        <f>IF((AND(VLOOKUP(C$1,main!$A$3:$I$56,5,FALSE)-VLOOKUP($A56,main!$A$3:$I$56,6,FALSE)&gt;=(VLOOKUP(VLOOKUP(C$1,main!$A$3:$I$56,8,FALSE),main!$K$11:$M$14,2,FALSE)+VLOOKUP(VLOOKUP(C$1,main!$A$3:$I$56,7,FALSE),main!$K$19:$O$22,MATCH(VLOOKUP($A56,main!$A$3:$I$56,8,FALSE),main!$K$18:$O$18,0))))),1,0)</f>
        <v>0</v>
      </c>
      <c r="D56">
        <f>IF((AND(VLOOKUP(D$1,main!$A$3:$I$56,5,FALSE)-VLOOKUP($A56,main!$A$3:$I$56,6,FALSE)&gt;=(VLOOKUP(VLOOKUP(D$1,main!$A$3:$I$56,8,FALSE),main!$K$11:$M$14,2,FALSE)+VLOOKUP(VLOOKUP(D$1,main!$A$3:$I$56,7,FALSE),main!$K$19:$O$22,MATCH(VLOOKUP($A56,main!$A$3:$I$56,8,FALSE),main!$K$18:$O$18,0))))),1,0)</f>
        <v>0</v>
      </c>
      <c r="E56">
        <f>IF((AND(VLOOKUP(E$1,main!$A$3:$I$56,5,FALSE)-VLOOKUP($A56,main!$A$3:$I$56,6,FALSE)&gt;=(VLOOKUP(VLOOKUP(E$1,main!$A$3:$I$56,8,FALSE),main!$K$11:$M$14,2,FALSE)+VLOOKUP(VLOOKUP(E$1,main!$A$3:$I$56,7,FALSE),main!$K$19:$O$22,MATCH(VLOOKUP($A56,main!$A$3:$I$56,8,FALSE),main!$K$18:$O$18,0))))),1,0)</f>
        <v>0</v>
      </c>
      <c r="F56">
        <f>IF((AND(VLOOKUP(F$1,main!$A$3:$I$56,5,FALSE)-VLOOKUP($A56,main!$A$3:$I$56,6,FALSE)&gt;=(VLOOKUP(VLOOKUP(F$1,main!$A$3:$I$56,8,FALSE),main!$K$11:$M$14,2,FALSE)+VLOOKUP(VLOOKUP(F$1,main!$A$3:$I$56,7,FALSE),main!$K$19:$O$22,MATCH(VLOOKUP($A56,main!$A$3:$I$56,8,FALSE),main!$K$18:$O$18,0))))),1,0)</f>
        <v>0</v>
      </c>
      <c r="G56">
        <f>IF((AND(VLOOKUP(G$1,main!$A$3:$I$56,5,FALSE)-VLOOKUP($A56,main!$A$3:$I$56,6,FALSE)&gt;=(VLOOKUP(VLOOKUP(G$1,main!$A$3:$I$56,8,FALSE),main!$K$11:$M$14,2,FALSE)+VLOOKUP(VLOOKUP(G$1,main!$A$3:$I$56,7,FALSE),main!$K$19:$O$22,MATCH(VLOOKUP($A56,main!$A$3:$I$56,8,FALSE),main!$K$18:$O$18,0))))),1,0)</f>
        <v>0</v>
      </c>
      <c r="H56">
        <f>IF((AND(VLOOKUP(H$1,main!$A$3:$I$56,5,FALSE)-VLOOKUP($A56,main!$A$3:$I$56,6,FALSE)&gt;=(VLOOKUP(VLOOKUP(H$1,main!$A$3:$I$56,8,FALSE),main!$K$11:$M$14,2,FALSE)+VLOOKUP(VLOOKUP(H$1,main!$A$3:$I$56,7,FALSE),main!$K$19:$O$22,MATCH(VLOOKUP($A56,main!$A$3:$I$56,8,FALSE),main!$K$18:$O$18,0))))),1,0)</f>
        <v>0</v>
      </c>
      <c r="I56">
        <f>IF((AND(VLOOKUP(I$1,main!$A$3:$I$56,5,FALSE)-VLOOKUP($A56,main!$A$3:$I$56,6,FALSE)&gt;=(VLOOKUP(VLOOKUP(I$1,main!$A$3:$I$56,8,FALSE),main!$K$11:$M$14,2,FALSE)+VLOOKUP(VLOOKUP(I$1,main!$A$3:$I$56,7,FALSE),main!$K$19:$O$22,MATCH(VLOOKUP($A56,main!$A$3:$I$56,8,FALSE),main!$K$18:$O$18,0))))),1,0)</f>
        <v>0</v>
      </c>
      <c r="J56">
        <f>IF((AND(VLOOKUP(J$1,main!$A$3:$I$56,5,FALSE)-VLOOKUP($A56,main!$A$3:$I$56,6,FALSE)&gt;=(VLOOKUP(VLOOKUP(J$1,main!$A$3:$I$56,8,FALSE),main!$K$11:$M$14,2,FALSE)+VLOOKUP(VLOOKUP(J$1,main!$A$3:$I$56,7,FALSE),main!$K$19:$O$22,MATCH(VLOOKUP($A56,main!$A$3:$I$56,8,FALSE),main!$K$18:$O$18,0))))),1,0)</f>
        <v>1</v>
      </c>
      <c r="K56">
        <f>IF((AND(VLOOKUP(K$1,main!$A$3:$I$56,5,FALSE)-VLOOKUP($A56,main!$A$3:$I$56,6,FALSE)&gt;=(VLOOKUP(VLOOKUP(K$1,main!$A$3:$I$56,8,FALSE),main!$K$11:$M$14,2,FALSE)+VLOOKUP(VLOOKUP(K$1,main!$A$3:$I$56,7,FALSE),main!$K$19:$O$22,MATCH(VLOOKUP($A56,main!$A$3:$I$56,8,FALSE),main!$K$18:$O$18,0))))),1,0)</f>
        <v>0</v>
      </c>
      <c r="L56">
        <f>IF((AND(VLOOKUP(L$1,main!$A$3:$I$56,5,FALSE)-VLOOKUP($A56,main!$A$3:$I$56,6,FALSE)&gt;=(VLOOKUP(VLOOKUP(L$1,main!$A$3:$I$56,8,FALSE),main!$K$11:$M$14,2,FALSE)+VLOOKUP(VLOOKUP(L$1,main!$A$3:$I$56,7,FALSE),main!$K$19:$O$22,MATCH(VLOOKUP($A56,main!$A$3:$I$56,8,FALSE),main!$K$18:$O$18,0))))),1,0)</f>
        <v>0</v>
      </c>
      <c r="M56">
        <f>IF((AND(VLOOKUP(M$1,main!$A$3:$I$56,5,FALSE)-VLOOKUP($A56,main!$A$3:$I$56,6,FALSE)&gt;=(VLOOKUP(VLOOKUP(M$1,main!$A$3:$I$56,8,FALSE),main!$K$11:$M$14,2,FALSE)+VLOOKUP(VLOOKUP(M$1,main!$A$3:$I$56,7,FALSE),main!$K$19:$O$22,MATCH(VLOOKUP($A56,main!$A$3:$I$56,8,FALSE),main!$K$18:$O$18,0))))),1,0)</f>
        <v>0</v>
      </c>
      <c r="N56">
        <f>IF((AND(VLOOKUP(N$1,main!$A$3:$I$56,5,FALSE)-VLOOKUP($A56,main!$A$3:$I$56,6,FALSE)&gt;=(VLOOKUP(VLOOKUP(N$1,main!$A$3:$I$56,8,FALSE),main!$K$11:$M$14,2,FALSE)+VLOOKUP(VLOOKUP(N$1,main!$A$3:$I$56,7,FALSE),main!$K$19:$O$22,MATCH(VLOOKUP($A56,main!$A$3:$I$56,8,FALSE),main!$K$18:$O$18,0))))),1,0)</f>
        <v>1</v>
      </c>
      <c r="O56">
        <f>IF((AND(VLOOKUP(O$1,main!$A$3:$I$56,5,FALSE)-VLOOKUP($A56,main!$A$3:$I$56,6,FALSE)&gt;=(VLOOKUP(VLOOKUP(O$1,main!$A$3:$I$56,8,FALSE),main!$K$11:$M$14,2,FALSE)+VLOOKUP(VLOOKUP(O$1,main!$A$3:$I$56,7,FALSE),main!$K$19:$O$22,MATCH(VLOOKUP($A56,main!$A$3:$I$56,8,FALSE),main!$K$18:$O$18,0))))),1,0)</f>
        <v>1</v>
      </c>
      <c r="P56">
        <f>IF((AND(VLOOKUP(P$1,main!$A$3:$I$56,5,FALSE)-VLOOKUP($A56,main!$A$3:$I$56,6,FALSE)&gt;=(VLOOKUP(VLOOKUP(P$1,main!$A$3:$I$56,8,FALSE),main!$K$11:$M$14,2,FALSE)+VLOOKUP(VLOOKUP(P$1,main!$A$3:$I$56,7,FALSE),main!$K$19:$O$22,MATCH(VLOOKUP($A56,main!$A$3:$I$56,8,FALSE),main!$K$18:$O$18,0))))),1,0)</f>
        <v>0</v>
      </c>
      <c r="Q56">
        <f>IF((AND(VLOOKUP(Q$1,main!$A$3:$I$56,5,FALSE)-VLOOKUP($A56,main!$A$3:$I$56,6,FALSE)&gt;=(VLOOKUP(VLOOKUP(Q$1,main!$A$3:$I$56,8,FALSE),main!$K$11:$M$14,2,FALSE)+VLOOKUP(VLOOKUP(Q$1,main!$A$3:$I$56,7,FALSE),main!$K$19:$O$22,MATCH(VLOOKUP($A56,main!$A$3:$I$56,8,FALSE),main!$K$18:$O$18,0))))),1,0)</f>
        <v>0</v>
      </c>
      <c r="R56">
        <f>IF((AND(VLOOKUP(R$1,main!$A$3:$I$56,5,FALSE)-VLOOKUP($A56,main!$A$3:$I$56,6,FALSE)&gt;=(VLOOKUP(VLOOKUP(R$1,main!$A$3:$I$56,8,FALSE),main!$K$11:$M$14,2,FALSE)+VLOOKUP(VLOOKUP(R$1,main!$A$3:$I$56,7,FALSE),main!$K$19:$O$22,MATCH(VLOOKUP($A56,main!$A$3:$I$56,8,FALSE),main!$K$18:$O$18,0))))),1,0)</f>
        <v>0</v>
      </c>
      <c r="S56">
        <f>IF((AND(VLOOKUP(S$1,main!$A$3:$I$56,5,FALSE)-VLOOKUP($A56,main!$A$3:$I$56,6,FALSE)&gt;=(VLOOKUP(VLOOKUP(S$1,main!$A$3:$I$56,8,FALSE),main!$K$11:$M$14,2,FALSE)+VLOOKUP(VLOOKUP(S$1,main!$A$3:$I$56,7,FALSE),main!$K$19:$O$22,MATCH(VLOOKUP($A56,main!$A$3:$I$56,8,FALSE),main!$K$18:$O$18,0))))),1,0)</f>
        <v>0</v>
      </c>
      <c r="T56">
        <f>IF((AND(VLOOKUP(T$1,main!$A$3:$I$56,5,FALSE)-VLOOKUP($A56,main!$A$3:$I$56,6,FALSE)&gt;=(VLOOKUP(VLOOKUP(T$1,main!$A$3:$I$56,8,FALSE),main!$K$11:$M$14,2,FALSE)+VLOOKUP(VLOOKUP(T$1,main!$A$3:$I$56,7,FALSE),main!$K$19:$O$22,MATCH(VLOOKUP($A56,main!$A$3:$I$56,8,FALSE),main!$K$18:$O$18,0))))),1,0)</f>
        <v>0</v>
      </c>
      <c r="U56">
        <f>IF((AND(VLOOKUP(U$1,main!$A$3:$I$56,5,FALSE)-VLOOKUP($A56,main!$A$3:$I$56,6,FALSE)&gt;=(VLOOKUP(VLOOKUP(U$1,main!$A$3:$I$56,8,FALSE),main!$K$11:$M$14,2,FALSE)+VLOOKUP(VLOOKUP(U$1,main!$A$3:$I$56,7,FALSE),main!$K$19:$O$22,MATCH(VLOOKUP($A56,main!$A$3:$I$56,8,FALSE),main!$K$18:$O$18,0))))),1,0)</f>
        <v>0</v>
      </c>
      <c r="V56">
        <f>IF((AND(VLOOKUP(V$1,main!$A$3:$I$56,5,FALSE)-VLOOKUP($A56,main!$A$3:$I$56,6,FALSE)&gt;=(VLOOKUP(VLOOKUP(V$1,main!$A$3:$I$56,8,FALSE),main!$K$11:$M$14,2,FALSE)+VLOOKUP(VLOOKUP(V$1,main!$A$3:$I$56,7,FALSE),main!$K$19:$O$22,MATCH(VLOOKUP($A56,main!$A$3:$I$56,8,FALSE),main!$K$18:$O$18,0))))),1,0)</f>
        <v>0</v>
      </c>
      <c r="W56">
        <f>IF((AND(VLOOKUP(W$1,main!$A$3:$I$56,5,FALSE)-VLOOKUP($A56,main!$A$3:$I$56,6,FALSE)&gt;=(VLOOKUP(VLOOKUP(W$1,main!$A$3:$I$56,8,FALSE),main!$K$11:$M$14,2,FALSE)+VLOOKUP(VLOOKUP(W$1,main!$A$3:$I$56,7,FALSE),main!$K$19:$O$22,MATCH(VLOOKUP($A56,main!$A$3:$I$56,8,FALSE),main!$K$18:$O$18,0))))),1,0)</f>
        <v>0</v>
      </c>
      <c r="X56">
        <f>IF((AND(VLOOKUP(X$1,main!$A$3:$I$56,5,FALSE)-VLOOKUP($A56,main!$A$3:$I$56,6,FALSE)&gt;=(VLOOKUP(VLOOKUP(X$1,main!$A$3:$I$56,8,FALSE),main!$K$11:$M$14,2,FALSE)+VLOOKUP(VLOOKUP(X$1,main!$A$3:$I$56,7,FALSE),main!$K$19:$O$22,MATCH(VLOOKUP($A56,main!$A$3:$I$56,8,FALSE),main!$K$18:$O$18,0))))),1,0)</f>
        <v>0</v>
      </c>
      <c r="Y56">
        <f>IF((AND(VLOOKUP(Y$1,main!$A$3:$I$56,5,FALSE)-VLOOKUP($A56,main!$A$3:$I$56,6,FALSE)&gt;=(VLOOKUP(VLOOKUP(Y$1,main!$A$3:$I$56,8,FALSE),main!$K$11:$M$14,2,FALSE)+VLOOKUP(VLOOKUP(Y$1,main!$A$3:$I$56,7,FALSE),main!$K$19:$O$22,MATCH(VLOOKUP($A56,main!$A$3:$I$56,8,FALSE),main!$K$18:$O$18,0))))),1,0)</f>
        <v>0</v>
      </c>
      <c r="Z56">
        <f>IF((AND(VLOOKUP(Z$1,main!$A$3:$I$56,5,FALSE)-VLOOKUP($A56,main!$A$3:$I$56,6,FALSE)&gt;=(VLOOKUP(VLOOKUP(Z$1,main!$A$3:$I$56,8,FALSE),main!$K$11:$M$14,2,FALSE)+VLOOKUP(VLOOKUP(Z$1,main!$A$3:$I$56,7,FALSE),main!$K$19:$O$22,MATCH(VLOOKUP($A56,main!$A$3:$I$56,8,FALSE),main!$K$18:$O$18,0))))),1,0)</f>
        <v>0</v>
      </c>
      <c r="AA56">
        <f>IF((AND(VLOOKUP(AA$1,main!$A$3:$I$56,5,FALSE)-VLOOKUP($A56,main!$A$3:$I$56,6,FALSE)&gt;=(VLOOKUP(VLOOKUP(AA$1,main!$A$3:$I$56,8,FALSE),main!$K$11:$M$14,2,FALSE)+VLOOKUP(VLOOKUP(AA$1,main!$A$3:$I$56,7,FALSE),main!$K$19:$O$22,MATCH(VLOOKUP($A56,main!$A$3:$I$56,8,FALSE),main!$K$18:$O$18,0))))),1,0)</f>
        <v>0</v>
      </c>
      <c r="AB56">
        <f>IF((AND(VLOOKUP(AB$1,main!$A$3:$I$56,5,FALSE)-VLOOKUP($A56,main!$A$3:$I$56,6,FALSE)&gt;=(VLOOKUP(VLOOKUP(AB$1,main!$A$3:$I$56,8,FALSE),main!$K$11:$M$14,2,FALSE)+VLOOKUP(VLOOKUP(AB$1,main!$A$3:$I$56,7,FALSE),main!$K$19:$O$22,MATCH(VLOOKUP($A56,main!$A$3:$I$56,8,FALSE),main!$K$18:$O$18,0))))),1,0)</f>
        <v>0</v>
      </c>
      <c r="AC56">
        <f>IF((AND(VLOOKUP(AC$1,main!$A$3:$I$56,5,FALSE)-VLOOKUP($A56,main!$A$3:$I$56,6,FALSE)&gt;=(VLOOKUP(VLOOKUP(AC$1,main!$A$3:$I$56,8,FALSE),main!$K$11:$M$14,2,FALSE)+VLOOKUP(VLOOKUP(AC$1,main!$A$3:$I$56,7,FALSE),main!$K$19:$O$22,MATCH(VLOOKUP($A56,main!$A$3:$I$56,8,FALSE),main!$K$18:$O$18,0))))),1,0)</f>
        <v>0</v>
      </c>
      <c r="AD56">
        <f>IF((AND(VLOOKUP(AD$1,main!$A$3:$I$56,5,FALSE)-VLOOKUP($A56,main!$A$3:$I$56,6,FALSE)&gt;=(VLOOKUP(VLOOKUP(AD$1,main!$A$3:$I$56,8,FALSE),main!$K$11:$M$14,2,FALSE)+VLOOKUP(VLOOKUP(AD$1,main!$A$3:$I$56,7,FALSE),main!$K$19:$O$22,MATCH(VLOOKUP($A56,main!$A$3:$I$56,8,FALSE),main!$K$18:$O$18,0))))),1,0)</f>
        <v>0</v>
      </c>
      <c r="AE56">
        <f>IF((AND(VLOOKUP(AE$1,main!$A$3:$I$56,5,FALSE)-VLOOKUP($A56,main!$A$3:$I$56,6,FALSE)&gt;=(VLOOKUP(VLOOKUP(AE$1,main!$A$3:$I$56,8,FALSE),main!$K$11:$M$14,2,FALSE)+VLOOKUP(VLOOKUP(AE$1,main!$A$3:$I$56,7,FALSE),main!$K$19:$O$22,MATCH(VLOOKUP($A56,main!$A$3:$I$56,8,FALSE),main!$K$18:$O$18,0))))),1,0)</f>
        <v>0</v>
      </c>
      <c r="AF56">
        <f>IF((AND(VLOOKUP(AF$1,main!$A$3:$I$56,5,FALSE)-VLOOKUP($A56,main!$A$3:$I$56,6,FALSE)&gt;=(VLOOKUP(VLOOKUP(AF$1,main!$A$3:$I$56,8,FALSE),main!$K$11:$M$14,2,FALSE)+VLOOKUP(VLOOKUP(AF$1,main!$A$3:$I$56,7,FALSE),main!$K$19:$O$22,MATCH(VLOOKUP($A56,main!$A$3:$I$56,8,FALSE),main!$K$18:$O$18,0))))),1,0)</f>
        <v>0</v>
      </c>
      <c r="AG56">
        <f>IF((AND(VLOOKUP(AG$1,main!$A$3:$I$56,5,FALSE)-VLOOKUP($A56,main!$A$3:$I$56,6,FALSE)&gt;=(VLOOKUP(VLOOKUP(AG$1,main!$A$3:$I$56,8,FALSE),main!$K$11:$M$14,2,FALSE)+VLOOKUP(VLOOKUP(AG$1,main!$A$3:$I$56,7,FALSE),main!$K$19:$O$22,MATCH(VLOOKUP($A56,main!$A$3:$I$56,8,FALSE),main!$K$18:$O$18,0))))),1,0)</f>
        <v>0</v>
      </c>
      <c r="AH56">
        <f>IF((AND(VLOOKUP(AH$1,main!$A$3:$I$56,5,FALSE)-VLOOKUP($A56,main!$A$3:$I$56,6,FALSE)&gt;=(VLOOKUP(VLOOKUP(AH$1,main!$A$3:$I$56,8,FALSE),main!$K$11:$M$14,2,FALSE)+VLOOKUP(VLOOKUP(AH$1,main!$A$3:$I$56,7,FALSE),main!$K$19:$O$22,MATCH(VLOOKUP($A56,main!$A$3:$I$56,8,FALSE),main!$K$18:$O$18,0))))),1,0)</f>
        <v>0</v>
      </c>
      <c r="AI56">
        <f>IF((AND(VLOOKUP(AI$1,main!$A$3:$I$56,5,FALSE)-VLOOKUP($A56,main!$A$3:$I$56,6,FALSE)&gt;=(VLOOKUP(VLOOKUP(AI$1,main!$A$3:$I$56,8,FALSE),main!$K$11:$M$14,2,FALSE)+VLOOKUP(VLOOKUP(AI$1,main!$A$3:$I$56,7,FALSE),main!$K$19:$O$22,MATCH(VLOOKUP($A56,main!$A$3:$I$56,8,FALSE),main!$K$18:$O$18,0))))),1,0)</f>
        <v>0</v>
      </c>
      <c r="AJ56">
        <f>IF((AND(VLOOKUP(AJ$1,main!$A$3:$I$56,5,FALSE)-VLOOKUP($A56,main!$A$3:$I$56,6,FALSE)&gt;=(VLOOKUP(VLOOKUP(AJ$1,main!$A$3:$I$56,8,FALSE),main!$K$11:$M$14,2,FALSE)+VLOOKUP(VLOOKUP(AJ$1,main!$A$3:$I$56,7,FALSE),main!$K$19:$O$22,MATCH(VLOOKUP($A56,main!$A$3:$I$56,8,FALSE),main!$K$18:$O$18,0))))),1,0)</f>
        <v>0</v>
      </c>
      <c r="AK56">
        <f>IF((AND(VLOOKUP(AK$1,main!$A$3:$I$56,5,FALSE)-VLOOKUP($A56,main!$A$3:$I$56,6,FALSE)&gt;=(VLOOKUP(VLOOKUP(AK$1,main!$A$3:$I$56,8,FALSE),main!$K$11:$M$14,2,FALSE)+VLOOKUP(VLOOKUP(AK$1,main!$A$3:$I$56,7,FALSE),main!$K$19:$O$22,MATCH(VLOOKUP($A56,main!$A$3:$I$56,8,FALSE),main!$K$18:$O$18,0))))),1,0)</f>
        <v>0</v>
      </c>
      <c r="AL56">
        <f>IF((AND(VLOOKUP(AL$1,main!$A$3:$I$56,5,FALSE)-VLOOKUP($A56,main!$A$3:$I$56,6,FALSE)&gt;=(VLOOKUP(VLOOKUP(AL$1,main!$A$3:$I$56,8,FALSE),main!$K$11:$M$14,2,FALSE)+VLOOKUP(VLOOKUP(AL$1,main!$A$3:$I$56,7,FALSE),main!$K$19:$O$22,MATCH(VLOOKUP($A56,main!$A$3:$I$56,8,FALSE),main!$K$18:$O$18,0))))),1,0)</f>
        <v>0</v>
      </c>
      <c r="AM56">
        <f>IF((AND(VLOOKUP(AM$1,main!$A$3:$I$56,5,FALSE)-VLOOKUP($A56,main!$A$3:$I$56,6,FALSE)&gt;=(VLOOKUP(VLOOKUP(AM$1,main!$A$3:$I$56,8,FALSE),main!$K$11:$M$14,2,FALSE)+VLOOKUP(VLOOKUP(AM$1,main!$A$3:$I$56,7,FALSE),main!$K$19:$O$22,MATCH(VLOOKUP($A56,main!$A$3:$I$56,8,FALSE),main!$K$18:$O$18,0))))),1,0)</f>
        <v>0</v>
      </c>
      <c r="AN56">
        <f>IF((AND(VLOOKUP(AN$1,main!$A$3:$I$56,5,FALSE)-VLOOKUP($A56,main!$A$3:$I$56,6,FALSE)&gt;=(VLOOKUP(VLOOKUP(AN$1,main!$A$3:$I$56,8,FALSE),main!$K$11:$M$14,2,FALSE)+VLOOKUP(VLOOKUP(AN$1,main!$A$3:$I$56,7,FALSE),main!$K$19:$O$22,MATCH(VLOOKUP($A56,main!$A$3:$I$56,8,FALSE),main!$K$18:$O$18,0))))),1,0)</f>
        <v>0</v>
      </c>
      <c r="AO56">
        <f>IF((AND(VLOOKUP(AO$1,main!$A$3:$I$56,5,FALSE)-VLOOKUP($A56,main!$A$3:$I$56,6,FALSE)&gt;=(VLOOKUP(VLOOKUP(AO$1,main!$A$3:$I$56,8,FALSE),main!$K$11:$M$14,2,FALSE)+VLOOKUP(VLOOKUP(AO$1,main!$A$3:$I$56,7,FALSE),main!$K$19:$O$22,MATCH(VLOOKUP($A56,main!$A$3:$I$56,8,FALSE),main!$K$18:$O$18,0))))),1,0)</f>
        <v>0</v>
      </c>
      <c r="AP56">
        <f>IF((AND(VLOOKUP(AP$1,main!$A$3:$I$56,5,FALSE)-VLOOKUP($A56,main!$A$3:$I$56,6,FALSE)&gt;=(VLOOKUP(VLOOKUP(AP$1,main!$A$3:$I$56,8,FALSE),main!$K$11:$M$14,2,FALSE)+VLOOKUP(VLOOKUP(AP$1,main!$A$3:$I$56,7,FALSE),main!$K$19:$O$22,MATCH(VLOOKUP($A56,main!$A$3:$I$56,8,FALSE),main!$K$18:$O$18,0))))),1,0)</f>
        <v>0</v>
      </c>
      <c r="AQ56">
        <f>IF((AND(VLOOKUP(AQ$1,main!$A$3:$I$56,5,FALSE)-VLOOKUP($A56,main!$A$3:$I$56,6,FALSE)&gt;=(VLOOKUP(VLOOKUP(AQ$1,main!$A$3:$I$56,8,FALSE),main!$K$11:$M$14,2,FALSE)+VLOOKUP(VLOOKUP(AQ$1,main!$A$3:$I$56,7,FALSE),main!$K$19:$O$22,MATCH(VLOOKUP($A56,main!$A$3:$I$56,8,FALSE),main!$K$18:$O$18,0))))),1,0)</f>
        <v>0</v>
      </c>
      <c r="AR56">
        <f>IF((AND(VLOOKUP(AR$1,main!$A$3:$I$56,5,FALSE)-VLOOKUP($A56,main!$A$3:$I$56,6,FALSE)&gt;=(VLOOKUP(VLOOKUP(AR$1,main!$A$3:$I$56,8,FALSE),main!$K$11:$M$14,2,FALSE)+VLOOKUP(VLOOKUP(AR$1,main!$A$3:$I$56,7,FALSE),main!$K$19:$O$22,MATCH(VLOOKUP($A56,main!$A$3:$I$56,8,FALSE),main!$K$18:$O$18,0))))),1,0)</f>
        <v>0</v>
      </c>
      <c r="AS56">
        <f>IF((AND(VLOOKUP(AS$1,main!$A$3:$I$56,5,FALSE)-VLOOKUP($A56,main!$A$3:$I$56,6,FALSE)&gt;=(VLOOKUP(VLOOKUP(AS$1,main!$A$3:$I$56,8,FALSE),main!$K$11:$M$14,2,FALSE)+VLOOKUP(VLOOKUP(AS$1,main!$A$3:$I$56,7,FALSE),main!$K$19:$O$22,MATCH(VLOOKUP($A56,main!$A$3:$I$56,8,FALSE),main!$K$18:$O$18,0))))),1,0)</f>
        <v>0</v>
      </c>
      <c r="AT56">
        <f>IF((AND(VLOOKUP(AT$1,main!$A$3:$I$56,5,FALSE)-VLOOKUP($A56,main!$A$3:$I$56,6,FALSE)&gt;=(VLOOKUP(VLOOKUP(AT$1,main!$A$3:$I$56,8,FALSE),main!$K$11:$M$14,2,FALSE)+VLOOKUP(VLOOKUP(AT$1,main!$A$3:$I$56,7,FALSE),main!$K$19:$O$22,MATCH(VLOOKUP($A56,main!$A$3:$I$56,8,FALSE),main!$K$18:$O$18,0))))),1,0)</f>
        <v>0</v>
      </c>
      <c r="AU56">
        <f>IF((AND(VLOOKUP(AU$1,main!$A$3:$I$56,5,FALSE)-VLOOKUP($A56,main!$A$3:$I$56,6,FALSE)&gt;=(VLOOKUP(VLOOKUP(AU$1,main!$A$3:$I$56,8,FALSE),main!$K$11:$M$14,2,FALSE)+VLOOKUP(VLOOKUP(AU$1,main!$A$3:$I$56,7,FALSE),main!$K$19:$O$22,MATCH(VLOOKUP($A56,main!$A$3:$I$56,8,FALSE),main!$K$18:$O$18,0))))),1,0)</f>
        <v>0</v>
      </c>
      <c r="AV56">
        <f>IF((AND(VLOOKUP(AV$1,main!$A$3:$I$56,5,FALSE)-VLOOKUP($A56,main!$A$3:$I$56,6,FALSE)&gt;=(VLOOKUP(VLOOKUP(AV$1,main!$A$3:$I$56,8,FALSE),main!$K$11:$M$14,2,FALSE)+VLOOKUP(VLOOKUP(AV$1,main!$A$3:$I$56,7,FALSE),main!$K$19:$O$22,MATCH(VLOOKUP($A56,main!$A$3:$I$56,8,FALSE),main!$K$18:$O$18,0))))),1,0)</f>
        <v>0</v>
      </c>
      <c r="AW56">
        <f>IF((AND(VLOOKUP(AW$1,main!$A$3:$I$56,5,FALSE)-VLOOKUP($A56,main!$A$3:$I$56,6,FALSE)&gt;=(VLOOKUP(VLOOKUP(AW$1,main!$A$3:$I$56,8,FALSE),main!$K$11:$M$14,2,FALSE)+VLOOKUP(VLOOKUP(AW$1,main!$A$3:$I$56,7,FALSE),main!$K$19:$O$22,MATCH(VLOOKUP($A56,main!$A$3:$I$56,8,FALSE),main!$K$18:$O$18,0))))),1,0)</f>
        <v>0</v>
      </c>
      <c r="AX56">
        <f>IF((AND(VLOOKUP(AX$1,main!$A$3:$I$56,5,FALSE)-VLOOKUP($A56,main!$A$3:$I$56,6,FALSE)&gt;=(VLOOKUP(VLOOKUP(AX$1,main!$A$3:$I$56,8,FALSE),main!$K$11:$M$14,2,FALSE)+VLOOKUP(VLOOKUP(AX$1,main!$A$3:$I$56,7,FALSE),main!$K$19:$O$22,MATCH(VLOOKUP($A56,main!$A$3:$I$56,8,FALSE),main!$K$18:$O$18,0))))),1,0)</f>
        <v>0</v>
      </c>
      <c r="AY56">
        <f>IF((AND(VLOOKUP(AY$1,main!$A$3:$I$56,5,FALSE)-VLOOKUP($A56,main!$A$3:$I$56,6,FALSE)&gt;=(VLOOKUP(VLOOKUP(AY$1,main!$A$3:$I$56,8,FALSE),main!$K$11:$M$14,2,FALSE)+VLOOKUP(VLOOKUP(AY$1,main!$A$3:$I$56,7,FALSE),main!$K$19:$O$22,MATCH(VLOOKUP($A56,main!$A$3:$I$56,8,FALSE),main!$K$18:$O$18,0))))),1,0)</f>
        <v>1</v>
      </c>
      <c r="AZ56">
        <f>IF((AND(VLOOKUP(AZ$1,main!$A$3:$I$56,5,FALSE)-VLOOKUP($A56,main!$A$3:$I$56,6,FALSE)&gt;=(VLOOKUP(VLOOKUP(AZ$1,main!$A$3:$I$56,8,FALSE),main!$K$11:$M$14,2,FALSE)+VLOOKUP(VLOOKUP(AZ$1,main!$A$3:$I$56,7,FALSE),main!$K$19:$O$22,MATCH(VLOOKUP($A56,main!$A$3:$I$56,8,FALSE),main!$K$18:$O$18,0))))),1,0)</f>
        <v>0</v>
      </c>
      <c r="BA56">
        <f>IF((AND(VLOOKUP(BA$1,main!$A$3:$I$56,5,FALSE)-VLOOKUP($A56,main!$A$3:$I$56,6,FALSE)&gt;=(VLOOKUP(VLOOKUP(BA$1,main!$A$3:$I$56,8,FALSE),main!$K$11:$M$14,2,FALSE)+VLOOKUP(VLOOKUP(BA$1,main!$A$3:$I$56,7,FALSE),main!$K$19:$O$22,MATCH(VLOOKUP($A56,main!$A$3:$I$56,8,FALSE),main!$K$18:$O$18,0))))),1,0)</f>
        <v>0</v>
      </c>
      <c r="BB56">
        <f>IF((AND(VLOOKUP(BB$1,main!$A$3:$I$56,5,FALSE)-VLOOKUP($A56,main!$A$3:$I$56,6,FALSE)&gt;=(VLOOKUP(VLOOKUP(BB$1,main!$A$3:$I$56,8,FALSE),main!$K$11:$M$14,2,FALSE)+VLOOKUP(VLOOKUP(BB$1,main!$A$3:$I$56,7,FALSE),main!$K$19:$O$22,MATCH(VLOOKUP($A56,main!$A$3:$I$56,8,FALSE),main!$K$18:$O$18,0))))),1,0)</f>
        <v>0</v>
      </c>
      <c r="BC56">
        <f>IF((AND(VLOOKUP(BC$1,main!$A$3:$I$56,5,FALSE)-VLOOKUP($A56,main!$A$3:$I$56,6,FALSE)&gt;=(VLOOKUP(VLOOKUP(BC$1,main!$A$3:$I$56,8,FALSE),main!$K$11:$M$14,2,FALSE)+VLOOKUP(VLOOKUP(BC$1,main!$A$3:$I$56,7,FALSE),main!$K$19:$O$22,MATCH(VLOOKUP($A56,main!$A$3:$I$56,8,FALSE),main!$K$18:$O$18,0))))),1,0)</f>
        <v>0</v>
      </c>
      <c r="BD56">
        <f>IF((AND(VLOOKUP(BD$1,main!$A$3:$I$56,5,FALSE)-VLOOKUP($A56,main!$A$3:$I$56,6,FALSE)&gt;=(VLOOKUP(VLOOKUP(BD$1,main!$A$3:$I$56,8,FALSE),main!$K$11:$M$14,2,FALSE)+VLOOKUP(VLOOKUP(BD$1,main!$A$3:$I$56,7,FALSE),main!$K$19:$O$22,MATCH(VLOOKUP($A56,main!$A$3:$I$56,8,FALSE),main!$K$18:$O$18,0))))),1,0)</f>
        <v>0</v>
      </c>
    </row>
    <row r="62" spans="1:56" x14ac:dyDescent="0.25">
      <c r="G62">
        <f>VLOOKUP(VLOOKUP(C$1,main!$A$3:$I$56,8,FALSE),main!$K$11:$M$14,2,FALSE)</f>
        <v>15</v>
      </c>
      <c r="J62" t="s">
        <v>77</v>
      </c>
    </row>
    <row r="63" spans="1:56" x14ac:dyDescent="0.25">
      <c r="G63">
        <f>VLOOKUP(VLOOKUP(C$1,main!$A$3:$I$56,7,FALSE),main!$K$19:$O$22,MATCH(VLOOKUP($A3,main!$A$3:$I$56,8,FALSE),main!$K$18:$O$18,0))</f>
        <v>25</v>
      </c>
    </row>
    <row r="65" spans="7:7" x14ac:dyDescent="0.25">
      <c r="G65" t="str">
        <f>VLOOKUP(C$1,main!$A$3:$I$56,8,FALSE)</f>
        <v>Terminal B</v>
      </c>
    </row>
    <row r="66" spans="7:7" x14ac:dyDescent="0.25">
      <c r="G66" t="e">
        <f>MATCH(VLOOKUP($A3,main!$A$3:$I$56,9,FALSE),main!$K$18:$O$18,0)</f>
        <v>#N/A</v>
      </c>
    </row>
    <row r="67" spans="7:7" x14ac:dyDescent="0.25">
      <c r="G67">
        <f>VLOOKUP($A3,main!$A$3:$I$56,9,FALSE)</f>
        <v>1</v>
      </c>
    </row>
  </sheetData>
  <conditionalFormatting sqref="B2:BD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81"/>
  <sheetViews>
    <sheetView topLeftCell="AJ40" workbookViewId="0">
      <selection activeCell="BH60" sqref="BH60"/>
    </sheetView>
  </sheetViews>
  <sheetFormatPr defaultRowHeight="15" x14ac:dyDescent="0.25"/>
  <cols>
    <col min="4" max="4" width="10.140625" bestFit="1" customWidth="1"/>
  </cols>
  <sheetData>
    <row r="1" spans="1:6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2">
        <v>58</v>
      </c>
      <c r="BI1" s="2">
        <v>59</v>
      </c>
    </row>
    <row r="2" spans="1:6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>
        <f>A2+1</f>
        <v>1</v>
      </c>
      <c r="B3">
        <v>0</v>
      </c>
      <c r="C3">
        <f>IF((gamma!C3),IF(VLOOKUP(C$1,main!$A$3:$I$56,7,FALSE)=VLOOKUP($A3,main!$A$3:$I$56,8,FALSE),VLOOKUP(C$1,main!$A$3:$I$56,4,FALSE),VLOOKUP(C$1,main!$A$3:$I$56,4,FALSE)+VLOOKUP($A3,main!$A$3:$I$56,4,FALSE)+(VLOOKUP(VLOOKUP(C$1,main!$A$3:$I$56,8,FALSE),main!$K$19:$O$22,MATCH(VLOOKUP($A3,main!$A$3:$I$56,7,FALSE),main!$K$18:$O$18,0),0))),0)</f>
        <v>0</v>
      </c>
      <c r="D3">
        <f>IF((gamma!D3),IF(VLOOKUP(D$1,main!$A$3:$I$56,7,FALSE)=VLOOKUP($A3,main!$A$3:$I$56,8,FALSE),VLOOKUP(D$1,main!$A$3:$I$56,4,FALSE),VLOOKUP(D$1,main!$A$3:$I$56,4,FALSE)+VLOOKUP($A3,main!$A$3:$I$56,4,FALSE)+(VLOOKUP(VLOOKUP(D$1,main!$A$3:$I$56,8,FALSE),main!$K$19:$O$22,MATCH(VLOOKUP($A3,main!$A$3:$I$56,7,FALSE),main!$K$18:$O$18,0),0))),0)</f>
        <v>295</v>
      </c>
      <c r="E3">
        <f>IF((gamma!E3),IF(VLOOKUP(E$1,main!$A$3:$I$56,7,FALSE)=VLOOKUP($A3,main!$A$3:$I$56,8,FALSE),VLOOKUP(E$1,main!$A$3:$I$56,4,FALSE),VLOOKUP(E$1,main!$A$3:$I$56,4,FALSE)+VLOOKUP($A3,main!$A$3:$I$56,4,FALSE)+(VLOOKUP(VLOOKUP(E$1,main!$A$3:$I$56,8,FALSE),main!$K$19:$O$22,MATCH(VLOOKUP($A3,main!$A$3:$I$56,7,FALSE),main!$K$18:$O$18,0),0))),0)</f>
        <v>295</v>
      </c>
      <c r="F3">
        <f>IF((gamma!F3),IF(VLOOKUP(F$1,main!$A$3:$I$56,7,FALSE)=VLOOKUP($A3,main!$A$3:$I$56,8,FALSE),VLOOKUP(F$1,main!$A$3:$I$56,4,FALSE),VLOOKUP(F$1,main!$A$3:$I$56,4,FALSE)+VLOOKUP($A3,main!$A$3:$I$56,4,FALSE)+(VLOOKUP(VLOOKUP(F$1,main!$A$3:$I$56,8,FALSE),main!$K$19:$O$22,MATCH(VLOOKUP($A3,main!$A$3:$I$56,7,FALSE),main!$K$18:$O$18,0),0))),0)</f>
        <v>295</v>
      </c>
      <c r="G3">
        <f>IF((gamma!G3),IF(VLOOKUP(G$1,main!$A$3:$I$56,7,FALSE)=VLOOKUP($A3,main!$A$3:$I$56,8,FALSE),VLOOKUP(G$1,main!$A$3:$I$56,4,FALSE),VLOOKUP(G$1,main!$A$3:$I$56,4,FALSE)+VLOOKUP($A3,main!$A$3:$I$56,4,FALSE)+(VLOOKUP(VLOOKUP(G$1,main!$A$3:$I$56,8,FALSE),main!$K$19:$O$22,MATCH(VLOOKUP($A3,main!$A$3:$I$56,7,FALSE),main!$K$18:$O$18,0),0))),0)</f>
        <v>295</v>
      </c>
      <c r="H3">
        <f>IF((gamma!H3),IF(VLOOKUP(H$1,main!$A$3:$I$56,7,FALSE)=VLOOKUP($A3,main!$A$3:$I$56,8,FALSE),VLOOKUP(H$1,main!$A$3:$I$56,4,FALSE),VLOOKUP(H$1,main!$A$3:$I$56,4,FALSE)+VLOOKUP($A3,main!$A$3:$I$56,4,FALSE)+(VLOOKUP(VLOOKUP(H$1,main!$A$3:$I$56,8,FALSE),main!$K$19:$O$22,MATCH(VLOOKUP($A3,main!$A$3:$I$56,7,FALSE),main!$K$18:$O$18,0),0))),0)</f>
        <v>295</v>
      </c>
      <c r="I3">
        <f>IF((gamma!I3),IF(VLOOKUP(I$1,main!$A$3:$I$56,7,FALSE)=VLOOKUP($A3,main!$A$3:$I$56,8,FALSE),VLOOKUP(I$1,main!$A$3:$I$56,4,FALSE),VLOOKUP(I$1,main!$A$3:$I$56,4,FALSE)+VLOOKUP($A3,main!$A$3:$I$56,4,FALSE)+(VLOOKUP(VLOOKUP(I$1,main!$A$3:$I$56,8,FALSE),main!$K$19:$O$22,MATCH(VLOOKUP($A3,main!$A$3:$I$56,7,FALSE),main!$K$18:$O$18,0),0))),0)</f>
        <v>295</v>
      </c>
      <c r="J3">
        <f>IF((gamma!J3),IF(VLOOKUP(J$1,main!$A$3:$I$56,7,FALSE)=VLOOKUP($A3,main!$A$3:$I$56,8,FALSE),VLOOKUP(J$1,main!$A$3:$I$56,4,FALSE),VLOOKUP(J$1,main!$A$3:$I$56,4,FALSE)+VLOOKUP($A3,main!$A$3:$I$56,4,FALSE)+(VLOOKUP(VLOOKUP(J$1,main!$A$3:$I$56,8,FALSE),main!$K$19:$O$22,MATCH(VLOOKUP($A3,main!$A$3:$I$56,7,FALSE),main!$K$18:$O$18,0),0))),0)</f>
        <v>295</v>
      </c>
      <c r="K3">
        <f>IF((gamma!K3),IF(VLOOKUP(K$1,main!$A$3:$I$56,7,FALSE)=VLOOKUP($A3,main!$A$3:$I$56,8,FALSE),VLOOKUP(K$1,main!$A$3:$I$56,4,FALSE),VLOOKUP(K$1,main!$A$3:$I$56,4,FALSE)+VLOOKUP($A3,main!$A$3:$I$56,4,FALSE)+(VLOOKUP(VLOOKUP(K$1,main!$A$3:$I$56,8,FALSE),main!$K$19:$O$22,MATCH(VLOOKUP($A3,main!$A$3:$I$56,7,FALSE),main!$K$18:$O$18,0),0))),0)</f>
        <v>0</v>
      </c>
      <c r="L3">
        <f>IF((gamma!L3),IF(VLOOKUP(L$1,main!$A$3:$I$56,7,FALSE)=VLOOKUP($A3,main!$A$3:$I$56,8,FALSE),VLOOKUP(L$1,main!$A$3:$I$56,4,FALSE),VLOOKUP(L$1,main!$A$3:$I$56,4,FALSE)+VLOOKUP($A3,main!$A$3:$I$56,4,FALSE)+(VLOOKUP(VLOOKUP(L$1,main!$A$3:$I$56,8,FALSE),main!$K$19:$O$22,MATCH(VLOOKUP($A3,main!$A$3:$I$56,7,FALSE),main!$K$18:$O$18,0),0))),0)</f>
        <v>0</v>
      </c>
      <c r="M3">
        <f>IF((gamma!M3),IF(VLOOKUP(M$1,main!$A$3:$I$56,7,FALSE)=VLOOKUP($A3,main!$A$3:$I$56,8,FALSE),VLOOKUP(M$1,main!$A$3:$I$56,4,FALSE),VLOOKUP(M$1,main!$A$3:$I$56,4,FALSE)+VLOOKUP($A3,main!$A$3:$I$56,4,FALSE)+(VLOOKUP(VLOOKUP(M$1,main!$A$3:$I$56,8,FALSE),main!$K$19:$O$22,MATCH(VLOOKUP($A3,main!$A$3:$I$56,7,FALSE),main!$K$18:$O$18,0),0))),0)</f>
        <v>305</v>
      </c>
      <c r="N3">
        <f>IF((gamma!N3),IF(VLOOKUP(N$1,main!$A$3:$I$56,7,FALSE)=VLOOKUP($A3,main!$A$3:$I$56,8,FALSE),VLOOKUP(N$1,main!$A$3:$I$56,4,FALSE),VLOOKUP(N$1,main!$A$3:$I$56,4,FALSE)+VLOOKUP($A3,main!$A$3:$I$56,4,FALSE)+(VLOOKUP(VLOOKUP(N$1,main!$A$3:$I$56,8,FALSE),main!$K$19:$O$22,MATCH(VLOOKUP($A3,main!$A$3:$I$56,7,FALSE),main!$K$18:$O$18,0),0))),0)</f>
        <v>305</v>
      </c>
      <c r="O3">
        <f>IF((gamma!O3),IF(VLOOKUP(O$1,main!$A$3:$I$56,7,FALSE)=VLOOKUP($A3,main!$A$3:$I$56,8,FALSE),VLOOKUP(O$1,main!$A$3:$I$56,4,FALSE),VLOOKUP(O$1,main!$A$3:$I$56,4,FALSE)+VLOOKUP($A3,main!$A$3:$I$56,4,FALSE)+(VLOOKUP(VLOOKUP(O$1,main!$A$3:$I$56,8,FALSE),main!$K$19:$O$22,MATCH(VLOOKUP($A3,main!$A$3:$I$56,7,FALSE),main!$K$18:$O$18,0),0))),0)</f>
        <v>305</v>
      </c>
      <c r="P3">
        <f>IF((gamma!P3),IF(VLOOKUP(P$1,main!$A$3:$I$56,7,FALSE)=VLOOKUP($A3,main!$A$3:$I$56,8,FALSE),VLOOKUP(P$1,main!$A$3:$I$56,4,FALSE),VLOOKUP(P$1,main!$A$3:$I$56,4,FALSE)+VLOOKUP($A3,main!$A$3:$I$56,4,FALSE)+(VLOOKUP(VLOOKUP(P$1,main!$A$3:$I$56,8,FALSE),main!$K$19:$O$22,MATCH(VLOOKUP($A3,main!$A$3:$I$56,7,FALSE),main!$K$18:$O$18,0),0))),0)</f>
        <v>0</v>
      </c>
      <c r="Q3">
        <f>IF((gamma!Q3),IF(VLOOKUP(Q$1,main!$A$3:$I$56,7,FALSE)=VLOOKUP($A3,main!$A$3:$I$56,8,FALSE),VLOOKUP(Q$1,main!$A$3:$I$56,4,FALSE),VLOOKUP(Q$1,main!$A$3:$I$56,4,FALSE)+VLOOKUP($A3,main!$A$3:$I$56,4,FALSE)+(VLOOKUP(VLOOKUP(Q$1,main!$A$3:$I$56,8,FALSE),main!$K$19:$O$22,MATCH(VLOOKUP($A3,main!$A$3:$I$56,7,FALSE),main!$K$18:$O$18,0),0))),0)</f>
        <v>0</v>
      </c>
      <c r="R3">
        <f>IF((gamma!R3),IF(VLOOKUP(R$1,main!$A$3:$I$56,7,FALSE)=VLOOKUP($A3,main!$A$3:$I$56,8,FALSE),VLOOKUP(R$1,main!$A$3:$I$56,4,FALSE),VLOOKUP(R$1,main!$A$3:$I$56,4,FALSE)+VLOOKUP($A3,main!$A$3:$I$56,4,FALSE)+(VLOOKUP(VLOOKUP(R$1,main!$A$3:$I$56,8,FALSE),main!$K$19:$O$22,MATCH(VLOOKUP($A3,main!$A$3:$I$56,7,FALSE),main!$K$18:$O$18,0),0))),0)</f>
        <v>305</v>
      </c>
      <c r="S3">
        <f>IF((gamma!S3),IF(VLOOKUP(S$1,main!$A$3:$I$56,7,FALSE)=VLOOKUP($A3,main!$A$3:$I$56,8,FALSE),VLOOKUP(S$1,main!$A$3:$I$56,4,FALSE),VLOOKUP(S$1,main!$A$3:$I$56,4,FALSE)+VLOOKUP($A3,main!$A$3:$I$56,4,FALSE)+(VLOOKUP(VLOOKUP(S$1,main!$A$3:$I$56,8,FALSE),main!$K$19:$O$22,MATCH(VLOOKUP($A3,main!$A$3:$I$56,7,FALSE),main!$K$18:$O$18,0),0))),0)</f>
        <v>310</v>
      </c>
      <c r="T3">
        <f>IF((gamma!T3),IF(VLOOKUP(T$1,main!$A$3:$I$56,7,FALSE)=VLOOKUP($A3,main!$A$3:$I$56,8,FALSE),VLOOKUP(T$1,main!$A$3:$I$56,4,FALSE),VLOOKUP(T$1,main!$A$3:$I$56,4,FALSE)+VLOOKUP($A3,main!$A$3:$I$56,4,FALSE)+(VLOOKUP(VLOOKUP(T$1,main!$A$3:$I$56,8,FALSE),main!$K$19:$O$22,MATCH(VLOOKUP($A3,main!$A$3:$I$56,7,FALSE),main!$K$18:$O$18,0),0))),0)</f>
        <v>310</v>
      </c>
      <c r="U3">
        <f>IF((gamma!U3),IF(VLOOKUP(U$1,main!$A$3:$I$56,7,FALSE)=VLOOKUP($A3,main!$A$3:$I$56,8,FALSE),VLOOKUP(U$1,main!$A$3:$I$56,4,FALSE),VLOOKUP(U$1,main!$A$3:$I$56,4,FALSE)+VLOOKUP($A3,main!$A$3:$I$56,4,FALSE)+(VLOOKUP(VLOOKUP(U$1,main!$A$3:$I$56,8,FALSE),main!$K$19:$O$22,MATCH(VLOOKUP($A3,main!$A$3:$I$56,7,FALSE),main!$K$18:$O$18,0),0))),0)</f>
        <v>0</v>
      </c>
      <c r="V3">
        <f>IF((gamma!V3),IF(VLOOKUP(V$1,main!$A$3:$I$56,7,FALSE)=VLOOKUP($A3,main!$A$3:$I$56,8,FALSE),VLOOKUP(V$1,main!$A$3:$I$56,4,FALSE),VLOOKUP(V$1,main!$A$3:$I$56,4,FALSE)+VLOOKUP($A3,main!$A$3:$I$56,4,FALSE)+(VLOOKUP(VLOOKUP(V$1,main!$A$3:$I$56,8,FALSE),main!$K$19:$O$22,MATCH(VLOOKUP($A3,main!$A$3:$I$56,7,FALSE),main!$K$18:$O$18,0),0))),0)</f>
        <v>0</v>
      </c>
      <c r="W3">
        <f>IF((gamma!W3),IF(VLOOKUP(W$1,main!$A$3:$I$56,7,FALSE)=VLOOKUP($A3,main!$A$3:$I$56,8,FALSE),VLOOKUP(W$1,main!$A$3:$I$56,4,FALSE),VLOOKUP(W$1,main!$A$3:$I$56,4,FALSE)+VLOOKUP($A3,main!$A$3:$I$56,4,FALSE)+(VLOOKUP(VLOOKUP(W$1,main!$A$3:$I$56,8,FALSE),main!$K$19:$O$22,MATCH(VLOOKUP($A3,main!$A$3:$I$56,7,FALSE),main!$K$18:$O$18,0),0))),0)</f>
        <v>135</v>
      </c>
      <c r="X3">
        <f>IF((gamma!X3),IF(VLOOKUP(X$1,main!$A$3:$I$56,7,FALSE)=VLOOKUP($A3,main!$A$3:$I$56,8,FALSE),VLOOKUP(X$1,main!$A$3:$I$56,4,FALSE),VLOOKUP(X$1,main!$A$3:$I$56,4,FALSE)+VLOOKUP($A3,main!$A$3:$I$56,4,FALSE)+(VLOOKUP(VLOOKUP(X$1,main!$A$3:$I$56,8,FALSE),main!$K$19:$O$22,MATCH(VLOOKUP($A3,main!$A$3:$I$56,7,FALSE),main!$K$18:$O$18,0),0))),0)</f>
        <v>135</v>
      </c>
      <c r="Y3">
        <f>IF((gamma!Y3),IF(VLOOKUP(Y$1,main!$A$3:$I$56,7,FALSE)=VLOOKUP($A3,main!$A$3:$I$56,8,FALSE),VLOOKUP(Y$1,main!$A$3:$I$56,4,FALSE),VLOOKUP(Y$1,main!$A$3:$I$56,4,FALSE)+VLOOKUP($A3,main!$A$3:$I$56,4,FALSE)+(VLOOKUP(VLOOKUP(Y$1,main!$A$3:$I$56,8,FALSE),main!$K$19:$O$22,MATCH(VLOOKUP($A3,main!$A$3:$I$56,7,FALSE),main!$K$18:$O$18,0),0))),0)</f>
        <v>135</v>
      </c>
      <c r="Z3">
        <f>IF((gamma!Z3),IF(VLOOKUP(Z$1,main!$A$3:$I$56,7,FALSE)=VLOOKUP($A3,main!$A$3:$I$56,8,FALSE),VLOOKUP(Z$1,main!$A$3:$I$56,4,FALSE),VLOOKUP(Z$1,main!$A$3:$I$56,4,FALSE)+VLOOKUP($A3,main!$A$3:$I$56,4,FALSE)+(VLOOKUP(VLOOKUP(Z$1,main!$A$3:$I$56,8,FALSE),main!$K$19:$O$22,MATCH(VLOOKUP($A3,main!$A$3:$I$56,7,FALSE),main!$K$18:$O$18,0),0))),0)</f>
        <v>135</v>
      </c>
      <c r="AA3">
        <f>IF((gamma!AA3),IF(VLOOKUP(AA$1,main!$A$3:$I$56,7,FALSE)=VLOOKUP($A3,main!$A$3:$I$56,8,FALSE),VLOOKUP(AA$1,main!$A$3:$I$56,4,FALSE),VLOOKUP(AA$1,main!$A$3:$I$56,4,FALSE)+VLOOKUP($A3,main!$A$3:$I$56,4,FALSE)+(VLOOKUP(VLOOKUP(AA$1,main!$A$3:$I$56,8,FALSE),main!$K$19:$O$22,MATCH(VLOOKUP($A3,main!$A$3:$I$56,7,FALSE),main!$K$18:$O$18,0),0))),0)</f>
        <v>135</v>
      </c>
      <c r="AB3">
        <f>IF((gamma!AB3),IF(VLOOKUP(AB$1,main!$A$3:$I$56,7,FALSE)=VLOOKUP($A3,main!$A$3:$I$56,8,FALSE),VLOOKUP(AB$1,main!$A$3:$I$56,4,FALSE),VLOOKUP(AB$1,main!$A$3:$I$56,4,FALSE)+VLOOKUP($A3,main!$A$3:$I$56,4,FALSE)+(VLOOKUP(VLOOKUP(AB$1,main!$A$3:$I$56,8,FALSE),main!$K$19:$O$22,MATCH(VLOOKUP($A3,main!$A$3:$I$56,7,FALSE),main!$K$18:$O$18,0),0))),0)</f>
        <v>135</v>
      </c>
      <c r="AC3">
        <f>IF((gamma!AC3),IF(VLOOKUP(AC$1,main!$A$3:$I$56,7,FALSE)=VLOOKUP($A3,main!$A$3:$I$56,8,FALSE),VLOOKUP(AC$1,main!$A$3:$I$56,4,FALSE),VLOOKUP(AC$1,main!$A$3:$I$56,4,FALSE)+VLOOKUP($A3,main!$A$3:$I$56,4,FALSE)+(VLOOKUP(VLOOKUP(AC$1,main!$A$3:$I$56,8,FALSE),main!$K$19:$O$22,MATCH(VLOOKUP($A3,main!$A$3:$I$56,7,FALSE),main!$K$18:$O$18,0),0))),0)</f>
        <v>0</v>
      </c>
      <c r="AD3">
        <f>IF((gamma!AD3),IF(VLOOKUP(AD$1,main!$A$3:$I$56,7,FALSE)=VLOOKUP($A3,main!$A$3:$I$56,8,FALSE),VLOOKUP(AD$1,main!$A$3:$I$56,4,FALSE),VLOOKUP(AD$1,main!$A$3:$I$56,4,FALSE)+VLOOKUP($A3,main!$A$3:$I$56,4,FALSE)+(VLOOKUP(VLOOKUP(AD$1,main!$A$3:$I$56,8,FALSE),main!$K$19:$O$22,MATCH(VLOOKUP($A3,main!$A$3:$I$56,7,FALSE),main!$K$18:$O$18,0),0))),0)</f>
        <v>0</v>
      </c>
      <c r="AE3">
        <f>IF((gamma!AE3),IF(VLOOKUP(AE$1,main!$A$3:$I$56,7,FALSE)=VLOOKUP($A3,main!$A$3:$I$56,8,FALSE),VLOOKUP(AE$1,main!$A$3:$I$56,4,FALSE),VLOOKUP(AE$1,main!$A$3:$I$56,4,FALSE)+VLOOKUP($A3,main!$A$3:$I$56,4,FALSE)+(VLOOKUP(VLOOKUP(AE$1,main!$A$3:$I$56,8,FALSE),main!$K$19:$O$22,MATCH(VLOOKUP($A3,main!$A$3:$I$56,7,FALSE),main!$K$18:$O$18,0),0))),0)</f>
        <v>120</v>
      </c>
      <c r="AF3">
        <f>IF((gamma!AF3),IF(VLOOKUP(AF$1,main!$A$3:$I$56,7,FALSE)=VLOOKUP($A3,main!$A$3:$I$56,8,FALSE),VLOOKUP(AF$1,main!$A$3:$I$56,4,FALSE),VLOOKUP(AF$1,main!$A$3:$I$56,4,FALSE)+VLOOKUP($A3,main!$A$3:$I$56,4,FALSE)+(VLOOKUP(VLOOKUP(AF$1,main!$A$3:$I$56,8,FALSE),main!$K$19:$O$22,MATCH(VLOOKUP($A3,main!$A$3:$I$56,7,FALSE),main!$K$18:$O$18,0),0))),0)</f>
        <v>130</v>
      </c>
      <c r="AG3">
        <f>IF((gamma!AG3),IF(VLOOKUP(AG$1,main!$A$3:$I$56,7,FALSE)=VLOOKUP($A3,main!$A$3:$I$56,8,FALSE),VLOOKUP(AG$1,main!$A$3:$I$56,4,FALSE),VLOOKUP(AG$1,main!$A$3:$I$56,4,FALSE)+VLOOKUP($A3,main!$A$3:$I$56,4,FALSE)+(VLOOKUP(VLOOKUP(AG$1,main!$A$3:$I$56,8,FALSE),main!$K$19:$O$22,MATCH(VLOOKUP($A3,main!$A$3:$I$56,7,FALSE),main!$K$18:$O$18,0),0))),0)</f>
        <v>0</v>
      </c>
      <c r="AH3">
        <f>IF((gamma!AH3),IF(VLOOKUP(AH$1,main!$A$3:$I$56,7,FALSE)=VLOOKUP($A3,main!$A$3:$I$56,8,FALSE),VLOOKUP(AH$1,main!$A$3:$I$56,4,FALSE),VLOOKUP(AH$1,main!$A$3:$I$56,4,FALSE)+VLOOKUP($A3,main!$A$3:$I$56,4,FALSE)+(VLOOKUP(VLOOKUP(AH$1,main!$A$3:$I$56,8,FALSE),main!$K$19:$O$22,MATCH(VLOOKUP($A3,main!$A$3:$I$56,7,FALSE),main!$K$18:$O$18,0),0))),0)</f>
        <v>275</v>
      </c>
      <c r="AI3">
        <f>IF((gamma!AI3),IF(VLOOKUP(AI$1,main!$A$3:$I$56,7,FALSE)=VLOOKUP($A3,main!$A$3:$I$56,8,FALSE),VLOOKUP(AI$1,main!$A$3:$I$56,4,FALSE),VLOOKUP(AI$1,main!$A$3:$I$56,4,FALSE)+VLOOKUP($A3,main!$A$3:$I$56,4,FALSE)+(VLOOKUP(VLOOKUP(AI$1,main!$A$3:$I$56,8,FALSE),main!$K$19:$O$22,MATCH(VLOOKUP($A3,main!$A$3:$I$56,7,FALSE),main!$K$18:$O$18,0),0))),0)</f>
        <v>275</v>
      </c>
      <c r="AJ3">
        <f>IF((gamma!AJ3),IF(VLOOKUP(AJ$1,main!$A$3:$I$56,7,FALSE)=VLOOKUP($A3,main!$A$3:$I$56,8,FALSE),VLOOKUP(AJ$1,main!$A$3:$I$56,4,FALSE),VLOOKUP(AJ$1,main!$A$3:$I$56,4,FALSE)+VLOOKUP($A3,main!$A$3:$I$56,4,FALSE)+(VLOOKUP(VLOOKUP(AJ$1,main!$A$3:$I$56,8,FALSE),main!$K$19:$O$22,MATCH(VLOOKUP($A3,main!$A$3:$I$56,7,FALSE),main!$K$18:$O$18,0),0))),0)</f>
        <v>275</v>
      </c>
      <c r="AK3">
        <f>IF((gamma!AK3),IF(VLOOKUP(AK$1,main!$A$3:$I$56,7,FALSE)=VLOOKUP($A3,main!$A$3:$I$56,8,FALSE),VLOOKUP(AK$1,main!$A$3:$I$56,4,FALSE),VLOOKUP(AK$1,main!$A$3:$I$56,4,FALSE)+VLOOKUP($A3,main!$A$3:$I$56,4,FALSE)+(VLOOKUP(VLOOKUP(AK$1,main!$A$3:$I$56,8,FALSE),main!$K$19:$O$22,MATCH(VLOOKUP($A3,main!$A$3:$I$56,7,FALSE),main!$K$18:$O$18,0),0))),0)</f>
        <v>275</v>
      </c>
      <c r="AL3">
        <f>IF((gamma!AL3),IF(VLOOKUP(AL$1,main!$A$3:$I$56,7,FALSE)=VLOOKUP($A3,main!$A$3:$I$56,8,FALSE),VLOOKUP(AL$1,main!$A$3:$I$56,4,FALSE),VLOOKUP(AL$1,main!$A$3:$I$56,4,FALSE)+VLOOKUP($A3,main!$A$3:$I$56,4,FALSE)+(VLOOKUP(VLOOKUP(AL$1,main!$A$3:$I$56,8,FALSE),main!$K$19:$O$22,MATCH(VLOOKUP($A3,main!$A$3:$I$56,7,FALSE),main!$K$18:$O$18,0),0))),0)</f>
        <v>0</v>
      </c>
      <c r="AM3">
        <f>IF((gamma!AM3),IF(VLOOKUP(AM$1,main!$A$3:$I$56,7,FALSE)=VLOOKUP($A3,main!$A$3:$I$56,8,FALSE),VLOOKUP(AM$1,main!$A$3:$I$56,4,FALSE),VLOOKUP(AM$1,main!$A$3:$I$56,4,FALSE)+VLOOKUP($A3,main!$A$3:$I$56,4,FALSE)+(VLOOKUP(VLOOKUP(AM$1,main!$A$3:$I$56,8,FALSE),main!$K$19:$O$22,MATCH(VLOOKUP($A3,main!$A$3:$I$56,7,FALSE),main!$K$18:$O$18,0),0))),0)</f>
        <v>0</v>
      </c>
      <c r="AN3">
        <f>IF((gamma!AN3),IF(VLOOKUP(AN$1,main!$A$3:$I$56,7,FALSE)=VLOOKUP($A3,main!$A$3:$I$56,8,FALSE),VLOOKUP(AN$1,main!$A$3:$I$56,4,FALSE),VLOOKUP(AN$1,main!$A$3:$I$56,4,FALSE)+VLOOKUP($A3,main!$A$3:$I$56,4,FALSE)+(VLOOKUP(VLOOKUP(AN$1,main!$A$3:$I$56,8,FALSE),main!$K$19:$O$22,MATCH(VLOOKUP($A3,main!$A$3:$I$56,7,FALSE),main!$K$18:$O$18,0),0))),0)</f>
        <v>280</v>
      </c>
      <c r="AO3">
        <f>IF((gamma!AO3),IF(VLOOKUP(AO$1,main!$A$3:$I$56,7,FALSE)=VLOOKUP($A3,main!$A$3:$I$56,8,FALSE),VLOOKUP(AO$1,main!$A$3:$I$56,4,FALSE),VLOOKUP(AO$1,main!$A$3:$I$56,4,FALSE)+VLOOKUP($A3,main!$A$3:$I$56,4,FALSE)+(VLOOKUP(VLOOKUP(AO$1,main!$A$3:$I$56,8,FALSE),main!$K$19:$O$22,MATCH(VLOOKUP($A3,main!$A$3:$I$56,7,FALSE),main!$K$18:$O$18,0),0))),0)</f>
        <v>290</v>
      </c>
      <c r="AP3">
        <f>IF((gamma!AP3),IF(VLOOKUP(AP$1,main!$A$3:$I$56,7,FALSE)=VLOOKUP($A3,main!$A$3:$I$56,8,FALSE),VLOOKUP(AP$1,main!$A$3:$I$56,4,FALSE),VLOOKUP(AP$1,main!$A$3:$I$56,4,FALSE)+VLOOKUP($A3,main!$A$3:$I$56,4,FALSE)+(VLOOKUP(VLOOKUP(AP$1,main!$A$3:$I$56,8,FALSE),main!$K$19:$O$22,MATCH(VLOOKUP($A3,main!$A$3:$I$56,7,FALSE),main!$K$18:$O$18,0),0))),0)</f>
        <v>0</v>
      </c>
      <c r="AQ3">
        <f>IF((gamma!AQ3),IF(VLOOKUP(AQ$1,main!$A$3:$I$56,7,FALSE)=VLOOKUP($A3,main!$A$3:$I$56,8,FALSE),VLOOKUP(AQ$1,main!$A$3:$I$56,4,FALSE),VLOOKUP(AQ$1,main!$A$3:$I$56,4,FALSE)+VLOOKUP($A3,main!$A$3:$I$56,4,FALSE)+(VLOOKUP(VLOOKUP(AQ$1,main!$A$3:$I$56,8,FALSE),main!$K$19:$O$22,MATCH(VLOOKUP($A3,main!$A$3:$I$56,7,FALSE),main!$K$18:$O$18,0),0))),0)</f>
        <v>0</v>
      </c>
      <c r="AR3">
        <f>IF((gamma!AR3),IF(VLOOKUP(AR$1,main!$A$3:$I$56,7,FALSE)=VLOOKUP($A3,main!$A$3:$I$56,8,FALSE),VLOOKUP(AR$1,main!$A$3:$I$56,4,FALSE),VLOOKUP(AR$1,main!$A$3:$I$56,4,FALSE)+VLOOKUP($A3,main!$A$3:$I$56,4,FALSE)+(VLOOKUP(VLOOKUP(AR$1,main!$A$3:$I$56,8,FALSE),main!$K$19:$O$22,MATCH(VLOOKUP($A3,main!$A$3:$I$56,7,FALSE),main!$K$18:$O$18,0),0))),0)</f>
        <v>0</v>
      </c>
      <c r="AS3">
        <f>IF((gamma!AS3),IF(VLOOKUP(AS$1,main!$A$3:$I$56,7,FALSE)=VLOOKUP($A3,main!$A$3:$I$56,8,FALSE),VLOOKUP(AS$1,main!$A$3:$I$56,4,FALSE),VLOOKUP(AS$1,main!$A$3:$I$56,4,FALSE)+VLOOKUP($A3,main!$A$3:$I$56,4,FALSE)+(VLOOKUP(VLOOKUP(AS$1,main!$A$3:$I$56,8,FALSE),main!$K$19:$O$22,MATCH(VLOOKUP($A3,main!$A$3:$I$56,7,FALSE),main!$K$18:$O$18,0),0))),0)</f>
        <v>305</v>
      </c>
      <c r="AT3">
        <f>IF((gamma!AT3),IF(VLOOKUP(AT$1,main!$A$3:$I$56,7,FALSE)=VLOOKUP($A3,main!$A$3:$I$56,8,FALSE),VLOOKUP(AT$1,main!$A$3:$I$56,4,FALSE),VLOOKUP(AT$1,main!$A$3:$I$56,4,FALSE)+VLOOKUP($A3,main!$A$3:$I$56,4,FALSE)+(VLOOKUP(VLOOKUP(AT$1,main!$A$3:$I$56,8,FALSE),main!$K$19:$O$22,MATCH(VLOOKUP($A3,main!$A$3:$I$56,7,FALSE),main!$K$18:$O$18,0),0))),0)</f>
        <v>290</v>
      </c>
      <c r="AU3">
        <f>IF((gamma!AU3),IF(VLOOKUP(AU$1,main!$A$3:$I$56,7,FALSE)=VLOOKUP($A3,main!$A$3:$I$56,8,FALSE),VLOOKUP(AU$1,main!$A$3:$I$56,4,FALSE),VLOOKUP(AU$1,main!$A$3:$I$56,4,FALSE)+VLOOKUP($A3,main!$A$3:$I$56,4,FALSE)+(VLOOKUP(VLOOKUP(AU$1,main!$A$3:$I$56,8,FALSE),main!$K$19:$O$22,MATCH(VLOOKUP($A3,main!$A$3:$I$56,7,FALSE),main!$K$18:$O$18,0),0))),0)</f>
        <v>0</v>
      </c>
      <c r="AV3">
        <f>IF((gamma!AV3),IF(VLOOKUP(AV$1,main!$A$3:$I$56,7,FALSE)=VLOOKUP($A3,main!$A$3:$I$56,8,FALSE),VLOOKUP(AV$1,main!$A$3:$I$56,4,FALSE),VLOOKUP(AV$1,main!$A$3:$I$56,4,FALSE)+VLOOKUP($A3,main!$A$3:$I$56,4,FALSE)+(VLOOKUP(VLOOKUP(AV$1,main!$A$3:$I$56,8,FALSE),main!$K$19:$O$22,MATCH(VLOOKUP($A3,main!$A$3:$I$56,7,FALSE),main!$K$18:$O$18,0),0))),0)</f>
        <v>270</v>
      </c>
      <c r="AW3">
        <f>IF((gamma!AW3),IF(VLOOKUP(AW$1,main!$A$3:$I$56,7,FALSE)=VLOOKUP($A3,main!$A$3:$I$56,8,FALSE),VLOOKUP(AW$1,main!$A$3:$I$56,4,FALSE),VLOOKUP(AW$1,main!$A$3:$I$56,4,FALSE)+VLOOKUP($A3,main!$A$3:$I$56,4,FALSE)+(VLOOKUP(VLOOKUP(AW$1,main!$A$3:$I$56,8,FALSE),main!$K$19:$O$22,MATCH(VLOOKUP($A3,main!$A$3:$I$56,7,FALSE),main!$K$18:$O$18,0),0))),0)</f>
        <v>275</v>
      </c>
      <c r="AX3">
        <f>IF((gamma!AX3),IF(VLOOKUP(AX$1,main!$A$3:$I$56,7,FALSE)=VLOOKUP($A3,main!$A$3:$I$56,8,FALSE),VLOOKUP(AX$1,main!$A$3:$I$56,4,FALSE),VLOOKUP(AX$1,main!$A$3:$I$56,4,FALSE)+VLOOKUP($A3,main!$A$3:$I$56,4,FALSE)+(VLOOKUP(VLOOKUP(AX$1,main!$A$3:$I$56,8,FALSE),main!$K$19:$O$22,MATCH(VLOOKUP($A3,main!$A$3:$I$56,7,FALSE),main!$K$18:$O$18,0),0))),0)</f>
        <v>275</v>
      </c>
      <c r="AY3">
        <f>IF((gamma!AY3),IF(VLOOKUP(AY$1,main!$A$3:$I$56,7,FALSE)=VLOOKUP($A3,main!$A$3:$I$56,8,FALSE),VLOOKUP(AY$1,main!$A$3:$I$56,4,FALSE),VLOOKUP(AY$1,main!$A$3:$I$56,4,FALSE)+VLOOKUP($A3,main!$A$3:$I$56,4,FALSE)+(VLOOKUP(VLOOKUP(AY$1,main!$A$3:$I$56,8,FALSE),main!$K$19:$O$22,MATCH(VLOOKUP($A3,main!$A$3:$I$56,7,FALSE),main!$K$18:$O$18,0),0))),0)</f>
        <v>275</v>
      </c>
      <c r="AZ3">
        <f>IF((gamma!AZ3),IF(VLOOKUP(AZ$1,main!$A$3:$I$56,7,FALSE)=VLOOKUP($A3,main!$A$3:$I$56,8,FALSE),VLOOKUP(AZ$1,main!$A$3:$I$56,4,FALSE),VLOOKUP(AZ$1,main!$A$3:$I$56,4,FALSE)+VLOOKUP($A3,main!$A$3:$I$56,4,FALSE)+(VLOOKUP(VLOOKUP(AZ$1,main!$A$3:$I$56,8,FALSE),main!$K$19:$O$22,MATCH(VLOOKUP($A3,main!$A$3:$I$56,7,FALSE),main!$K$18:$O$18,0),0))),0)</f>
        <v>0</v>
      </c>
      <c r="BA3">
        <f>IF((gamma!BA3),IF(VLOOKUP(BA$1,main!$A$3:$I$56,7,FALSE)=VLOOKUP($A3,main!$A$3:$I$56,8,FALSE),VLOOKUP(BA$1,main!$A$3:$I$56,4,FALSE),VLOOKUP(BA$1,main!$A$3:$I$56,4,FALSE)+VLOOKUP($A3,main!$A$3:$I$56,4,FALSE)+(VLOOKUP(VLOOKUP(BA$1,main!$A$3:$I$56,8,FALSE),main!$K$19:$O$22,MATCH(VLOOKUP($A3,main!$A$3:$I$56,7,FALSE),main!$K$18:$O$18,0),0))),0)</f>
        <v>285</v>
      </c>
      <c r="BB3">
        <f>IF((gamma!BB3),IF(VLOOKUP(BB$1,main!$A$3:$I$56,7,FALSE)=VLOOKUP($A3,main!$A$3:$I$56,8,FALSE),VLOOKUP(BB$1,main!$A$3:$I$56,4,FALSE),VLOOKUP(BB$1,main!$A$3:$I$56,4,FALSE)+VLOOKUP($A3,main!$A$3:$I$56,4,FALSE)+(VLOOKUP(VLOOKUP(BB$1,main!$A$3:$I$56,8,FALSE),main!$K$19:$O$22,MATCH(VLOOKUP($A3,main!$A$3:$I$56,7,FALSE),main!$K$18:$O$18,0),0))),0)</f>
        <v>285</v>
      </c>
      <c r="BC3">
        <f>IF((gamma!BC3),IF(VLOOKUP(BC$1,main!$A$3:$I$56,7,FALSE)=VLOOKUP($A3,main!$A$3:$I$56,8,FALSE),VLOOKUP(BC$1,main!$A$3:$I$56,4,FALSE),VLOOKUP(BC$1,main!$A$3:$I$56,4,FALSE)+VLOOKUP($A3,main!$A$3:$I$56,4,FALSE)+(VLOOKUP(VLOOKUP(BC$1,main!$A$3:$I$56,8,FALSE),main!$K$19:$O$22,MATCH(VLOOKUP($A3,main!$A$3:$I$56,7,FALSE),main!$K$18:$O$18,0),0))),0)</f>
        <v>300</v>
      </c>
      <c r="BD3">
        <f>IF((gamma!BD3),IF(VLOOKUP(BD$1,main!$A$3:$I$56,7,FALSE)=VLOOKUP($A3,main!$A$3:$I$56,8,FALSE),VLOOKUP(BD$1,main!$A$3:$I$56,4,FALSE),VLOOKUP(BD$1,main!$A$3:$I$56,4,FALSE)+VLOOKUP($A3,main!$A$3:$I$56,4,FALSE)+(VLOOKUP(VLOOKUP(BD$1,main!$A$3:$I$56,8,FALSE),main!$K$19:$O$22,MATCH(VLOOKUP($A3,main!$A$3:$I$56,7,FALSE),main!$K$18:$O$18,0),0))),0)</f>
        <v>300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5">
      <c r="A4">
        <f t="shared" ref="A4:A61" si="0">A3+1</f>
        <v>2</v>
      </c>
      <c r="B4">
        <v>0</v>
      </c>
      <c r="C4">
        <f>IF((gamma!C4),IF(VLOOKUP(C$1,main!$A$3:$I$56,7,FALSE)=VLOOKUP($A4,main!$A$3:$I$56,8,FALSE),VLOOKUP(C$1,main!$A$3:$I$56,4,FALSE),VLOOKUP(C$1,main!$A$3:$I$56,4,FALSE)+VLOOKUP($A4,main!$A$3:$I$56,4,FALSE)+(VLOOKUP(VLOOKUP(C$1,main!$A$3:$I$56,8,FALSE),main!$K$19:$O$22,MATCH(VLOOKUP($A4,main!$A$3:$I$56,7,FALSE),main!$K$18:$O$18,0),0))),0)</f>
        <v>0</v>
      </c>
      <c r="D4">
        <f>IF((gamma!D4),IF(VLOOKUP(D$1,main!$A$3:$I$56,7,FALSE)=VLOOKUP($A4,main!$A$3:$I$56,8,FALSE),VLOOKUP(D$1,main!$A$3:$I$56,4,FALSE),VLOOKUP(D$1,main!$A$3:$I$56,4,FALSE)+VLOOKUP($A4,main!$A$3:$I$56,4,FALSE)+(VLOOKUP(VLOOKUP(D$1,main!$A$3:$I$56,8,FALSE),main!$K$19:$O$22,MATCH(VLOOKUP($A4,main!$A$3:$I$56,7,FALSE),main!$K$18:$O$18,0),0))),0)</f>
        <v>0</v>
      </c>
      <c r="E4">
        <f>IF((gamma!E4),IF(VLOOKUP(E$1,main!$A$3:$I$56,7,FALSE)=VLOOKUP($A4,main!$A$3:$I$56,8,FALSE),VLOOKUP(E$1,main!$A$3:$I$56,4,FALSE),VLOOKUP(E$1,main!$A$3:$I$56,4,FALSE)+VLOOKUP($A4,main!$A$3:$I$56,4,FALSE)+(VLOOKUP(VLOOKUP(E$1,main!$A$3:$I$56,8,FALSE),main!$K$19:$O$22,MATCH(VLOOKUP($A4,main!$A$3:$I$56,7,FALSE),main!$K$18:$O$18,0),0))),0)</f>
        <v>0</v>
      </c>
      <c r="F4">
        <f>IF((gamma!F4),IF(VLOOKUP(F$1,main!$A$3:$I$56,7,FALSE)=VLOOKUP($A4,main!$A$3:$I$56,8,FALSE),VLOOKUP(F$1,main!$A$3:$I$56,4,FALSE),VLOOKUP(F$1,main!$A$3:$I$56,4,FALSE)+VLOOKUP($A4,main!$A$3:$I$56,4,FALSE)+(VLOOKUP(VLOOKUP(F$1,main!$A$3:$I$56,8,FALSE),main!$K$19:$O$22,MATCH(VLOOKUP($A4,main!$A$3:$I$56,7,FALSE),main!$K$18:$O$18,0),0))),0)</f>
        <v>295</v>
      </c>
      <c r="G4">
        <f>IF((gamma!G4),IF(VLOOKUP(G$1,main!$A$3:$I$56,7,FALSE)=VLOOKUP($A4,main!$A$3:$I$56,8,FALSE),VLOOKUP(G$1,main!$A$3:$I$56,4,FALSE),VLOOKUP(G$1,main!$A$3:$I$56,4,FALSE)+VLOOKUP($A4,main!$A$3:$I$56,4,FALSE)+(VLOOKUP(VLOOKUP(G$1,main!$A$3:$I$56,8,FALSE),main!$K$19:$O$22,MATCH(VLOOKUP($A4,main!$A$3:$I$56,7,FALSE),main!$K$18:$O$18,0),0))),0)</f>
        <v>295</v>
      </c>
      <c r="H4">
        <f>IF((gamma!H4),IF(VLOOKUP(H$1,main!$A$3:$I$56,7,FALSE)=VLOOKUP($A4,main!$A$3:$I$56,8,FALSE),VLOOKUP(H$1,main!$A$3:$I$56,4,FALSE),VLOOKUP(H$1,main!$A$3:$I$56,4,FALSE)+VLOOKUP($A4,main!$A$3:$I$56,4,FALSE)+(VLOOKUP(VLOOKUP(H$1,main!$A$3:$I$56,8,FALSE),main!$K$19:$O$22,MATCH(VLOOKUP($A4,main!$A$3:$I$56,7,FALSE),main!$K$18:$O$18,0),0))),0)</f>
        <v>295</v>
      </c>
      <c r="I4">
        <f>IF((gamma!I4),IF(VLOOKUP(I$1,main!$A$3:$I$56,7,FALSE)=VLOOKUP($A4,main!$A$3:$I$56,8,FALSE),VLOOKUP(I$1,main!$A$3:$I$56,4,FALSE),VLOOKUP(I$1,main!$A$3:$I$56,4,FALSE)+VLOOKUP($A4,main!$A$3:$I$56,4,FALSE)+(VLOOKUP(VLOOKUP(I$1,main!$A$3:$I$56,8,FALSE),main!$K$19:$O$22,MATCH(VLOOKUP($A4,main!$A$3:$I$56,7,FALSE),main!$K$18:$O$18,0),0))),0)</f>
        <v>295</v>
      </c>
      <c r="J4">
        <f>IF((gamma!J4),IF(VLOOKUP(J$1,main!$A$3:$I$56,7,FALSE)=VLOOKUP($A4,main!$A$3:$I$56,8,FALSE),VLOOKUP(J$1,main!$A$3:$I$56,4,FALSE),VLOOKUP(J$1,main!$A$3:$I$56,4,FALSE)+VLOOKUP($A4,main!$A$3:$I$56,4,FALSE)+(VLOOKUP(VLOOKUP(J$1,main!$A$3:$I$56,8,FALSE),main!$K$19:$O$22,MATCH(VLOOKUP($A4,main!$A$3:$I$56,7,FALSE),main!$K$18:$O$18,0),0))),0)</f>
        <v>295</v>
      </c>
      <c r="K4">
        <f>IF((gamma!K4),IF(VLOOKUP(K$1,main!$A$3:$I$56,7,FALSE)=VLOOKUP($A4,main!$A$3:$I$56,8,FALSE),VLOOKUP(K$1,main!$A$3:$I$56,4,FALSE),VLOOKUP(K$1,main!$A$3:$I$56,4,FALSE)+VLOOKUP($A4,main!$A$3:$I$56,4,FALSE)+(VLOOKUP(VLOOKUP(K$1,main!$A$3:$I$56,8,FALSE),main!$K$19:$O$22,MATCH(VLOOKUP($A4,main!$A$3:$I$56,7,FALSE),main!$K$18:$O$18,0),0))),0)</f>
        <v>0</v>
      </c>
      <c r="L4">
        <f>IF((gamma!L4),IF(VLOOKUP(L$1,main!$A$3:$I$56,7,FALSE)=VLOOKUP($A4,main!$A$3:$I$56,8,FALSE),VLOOKUP(L$1,main!$A$3:$I$56,4,FALSE),VLOOKUP(L$1,main!$A$3:$I$56,4,FALSE)+VLOOKUP($A4,main!$A$3:$I$56,4,FALSE)+(VLOOKUP(VLOOKUP(L$1,main!$A$3:$I$56,8,FALSE),main!$K$19:$O$22,MATCH(VLOOKUP($A4,main!$A$3:$I$56,7,FALSE),main!$K$18:$O$18,0),0))),0)</f>
        <v>0</v>
      </c>
      <c r="M4">
        <f>IF((gamma!M4),IF(VLOOKUP(M$1,main!$A$3:$I$56,7,FALSE)=VLOOKUP($A4,main!$A$3:$I$56,8,FALSE),VLOOKUP(M$1,main!$A$3:$I$56,4,FALSE),VLOOKUP(M$1,main!$A$3:$I$56,4,FALSE)+VLOOKUP($A4,main!$A$3:$I$56,4,FALSE)+(VLOOKUP(VLOOKUP(M$1,main!$A$3:$I$56,8,FALSE),main!$K$19:$O$22,MATCH(VLOOKUP($A4,main!$A$3:$I$56,7,FALSE),main!$K$18:$O$18,0),0))),0)</f>
        <v>0</v>
      </c>
      <c r="N4">
        <f>IF((gamma!N4),IF(VLOOKUP(N$1,main!$A$3:$I$56,7,FALSE)=VLOOKUP($A4,main!$A$3:$I$56,8,FALSE),VLOOKUP(N$1,main!$A$3:$I$56,4,FALSE),VLOOKUP(N$1,main!$A$3:$I$56,4,FALSE)+VLOOKUP($A4,main!$A$3:$I$56,4,FALSE)+(VLOOKUP(VLOOKUP(N$1,main!$A$3:$I$56,8,FALSE),main!$K$19:$O$22,MATCH(VLOOKUP($A4,main!$A$3:$I$56,7,FALSE),main!$K$18:$O$18,0),0))),0)</f>
        <v>305</v>
      </c>
      <c r="O4">
        <f>IF((gamma!O4),IF(VLOOKUP(O$1,main!$A$3:$I$56,7,FALSE)=VLOOKUP($A4,main!$A$3:$I$56,8,FALSE),VLOOKUP(O$1,main!$A$3:$I$56,4,FALSE),VLOOKUP(O$1,main!$A$3:$I$56,4,FALSE)+VLOOKUP($A4,main!$A$3:$I$56,4,FALSE)+(VLOOKUP(VLOOKUP(O$1,main!$A$3:$I$56,8,FALSE),main!$K$19:$O$22,MATCH(VLOOKUP($A4,main!$A$3:$I$56,7,FALSE),main!$K$18:$O$18,0),0))),0)</f>
        <v>305</v>
      </c>
      <c r="P4">
        <f>IF((gamma!P4),IF(VLOOKUP(P$1,main!$A$3:$I$56,7,FALSE)=VLOOKUP($A4,main!$A$3:$I$56,8,FALSE),VLOOKUP(P$1,main!$A$3:$I$56,4,FALSE),VLOOKUP(P$1,main!$A$3:$I$56,4,FALSE)+VLOOKUP($A4,main!$A$3:$I$56,4,FALSE)+(VLOOKUP(VLOOKUP(P$1,main!$A$3:$I$56,8,FALSE),main!$K$19:$O$22,MATCH(VLOOKUP($A4,main!$A$3:$I$56,7,FALSE),main!$K$18:$O$18,0),0))),0)</f>
        <v>0</v>
      </c>
      <c r="Q4">
        <f>IF((gamma!Q4),IF(VLOOKUP(Q$1,main!$A$3:$I$56,7,FALSE)=VLOOKUP($A4,main!$A$3:$I$56,8,FALSE),VLOOKUP(Q$1,main!$A$3:$I$56,4,FALSE),VLOOKUP(Q$1,main!$A$3:$I$56,4,FALSE)+VLOOKUP($A4,main!$A$3:$I$56,4,FALSE)+(VLOOKUP(VLOOKUP(Q$1,main!$A$3:$I$56,8,FALSE),main!$K$19:$O$22,MATCH(VLOOKUP($A4,main!$A$3:$I$56,7,FALSE),main!$K$18:$O$18,0),0))),0)</f>
        <v>0</v>
      </c>
      <c r="R4">
        <f>IF((gamma!R4),IF(VLOOKUP(R$1,main!$A$3:$I$56,7,FALSE)=VLOOKUP($A4,main!$A$3:$I$56,8,FALSE),VLOOKUP(R$1,main!$A$3:$I$56,4,FALSE),VLOOKUP(R$1,main!$A$3:$I$56,4,FALSE)+VLOOKUP($A4,main!$A$3:$I$56,4,FALSE)+(VLOOKUP(VLOOKUP(R$1,main!$A$3:$I$56,8,FALSE),main!$K$19:$O$22,MATCH(VLOOKUP($A4,main!$A$3:$I$56,7,FALSE),main!$K$18:$O$18,0),0))),0)</f>
        <v>0</v>
      </c>
      <c r="S4">
        <f>IF((gamma!S4),IF(VLOOKUP(S$1,main!$A$3:$I$56,7,FALSE)=VLOOKUP($A4,main!$A$3:$I$56,8,FALSE),VLOOKUP(S$1,main!$A$3:$I$56,4,FALSE),VLOOKUP(S$1,main!$A$3:$I$56,4,FALSE)+VLOOKUP($A4,main!$A$3:$I$56,4,FALSE)+(VLOOKUP(VLOOKUP(S$1,main!$A$3:$I$56,8,FALSE),main!$K$19:$O$22,MATCH(VLOOKUP($A4,main!$A$3:$I$56,7,FALSE),main!$K$18:$O$18,0),0))),0)</f>
        <v>310</v>
      </c>
      <c r="T4">
        <f>IF((gamma!T4),IF(VLOOKUP(T$1,main!$A$3:$I$56,7,FALSE)=VLOOKUP($A4,main!$A$3:$I$56,8,FALSE),VLOOKUP(T$1,main!$A$3:$I$56,4,FALSE),VLOOKUP(T$1,main!$A$3:$I$56,4,FALSE)+VLOOKUP($A4,main!$A$3:$I$56,4,FALSE)+(VLOOKUP(VLOOKUP(T$1,main!$A$3:$I$56,8,FALSE),main!$K$19:$O$22,MATCH(VLOOKUP($A4,main!$A$3:$I$56,7,FALSE),main!$K$18:$O$18,0),0))),0)</f>
        <v>310</v>
      </c>
      <c r="U4">
        <f>IF((gamma!U4),IF(VLOOKUP(U$1,main!$A$3:$I$56,7,FALSE)=VLOOKUP($A4,main!$A$3:$I$56,8,FALSE),VLOOKUP(U$1,main!$A$3:$I$56,4,FALSE),VLOOKUP(U$1,main!$A$3:$I$56,4,FALSE)+VLOOKUP($A4,main!$A$3:$I$56,4,FALSE)+(VLOOKUP(VLOOKUP(U$1,main!$A$3:$I$56,8,FALSE),main!$K$19:$O$22,MATCH(VLOOKUP($A4,main!$A$3:$I$56,7,FALSE),main!$K$18:$O$18,0),0))),0)</f>
        <v>0</v>
      </c>
      <c r="V4">
        <f>IF((gamma!V4),IF(VLOOKUP(V$1,main!$A$3:$I$56,7,FALSE)=VLOOKUP($A4,main!$A$3:$I$56,8,FALSE),VLOOKUP(V$1,main!$A$3:$I$56,4,FALSE),VLOOKUP(V$1,main!$A$3:$I$56,4,FALSE)+VLOOKUP($A4,main!$A$3:$I$56,4,FALSE)+(VLOOKUP(VLOOKUP(V$1,main!$A$3:$I$56,8,FALSE),main!$K$19:$O$22,MATCH(VLOOKUP($A4,main!$A$3:$I$56,7,FALSE),main!$K$18:$O$18,0),0))),0)</f>
        <v>0</v>
      </c>
      <c r="W4">
        <f>IF((gamma!W4),IF(VLOOKUP(W$1,main!$A$3:$I$56,7,FALSE)=VLOOKUP($A4,main!$A$3:$I$56,8,FALSE),VLOOKUP(W$1,main!$A$3:$I$56,4,FALSE),VLOOKUP(W$1,main!$A$3:$I$56,4,FALSE)+VLOOKUP($A4,main!$A$3:$I$56,4,FALSE)+(VLOOKUP(VLOOKUP(W$1,main!$A$3:$I$56,8,FALSE),main!$K$19:$O$22,MATCH(VLOOKUP($A4,main!$A$3:$I$56,7,FALSE),main!$K$18:$O$18,0),0))),0)</f>
        <v>0</v>
      </c>
      <c r="X4">
        <f>IF((gamma!X4),IF(VLOOKUP(X$1,main!$A$3:$I$56,7,FALSE)=VLOOKUP($A4,main!$A$3:$I$56,8,FALSE),VLOOKUP(X$1,main!$A$3:$I$56,4,FALSE),VLOOKUP(X$1,main!$A$3:$I$56,4,FALSE)+VLOOKUP($A4,main!$A$3:$I$56,4,FALSE)+(VLOOKUP(VLOOKUP(X$1,main!$A$3:$I$56,8,FALSE),main!$K$19:$O$22,MATCH(VLOOKUP($A4,main!$A$3:$I$56,7,FALSE),main!$K$18:$O$18,0),0))),0)</f>
        <v>0</v>
      </c>
      <c r="Y4">
        <f>IF((gamma!Y4),IF(VLOOKUP(Y$1,main!$A$3:$I$56,7,FALSE)=VLOOKUP($A4,main!$A$3:$I$56,8,FALSE),VLOOKUP(Y$1,main!$A$3:$I$56,4,FALSE),VLOOKUP(Y$1,main!$A$3:$I$56,4,FALSE)+VLOOKUP($A4,main!$A$3:$I$56,4,FALSE)+(VLOOKUP(VLOOKUP(Y$1,main!$A$3:$I$56,8,FALSE),main!$K$19:$O$22,MATCH(VLOOKUP($A4,main!$A$3:$I$56,7,FALSE),main!$K$18:$O$18,0),0))),0)</f>
        <v>135</v>
      </c>
      <c r="Z4">
        <f>IF((gamma!Z4),IF(VLOOKUP(Z$1,main!$A$3:$I$56,7,FALSE)=VLOOKUP($A4,main!$A$3:$I$56,8,FALSE),VLOOKUP(Z$1,main!$A$3:$I$56,4,FALSE),VLOOKUP(Z$1,main!$A$3:$I$56,4,FALSE)+VLOOKUP($A4,main!$A$3:$I$56,4,FALSE)+(VLOOKUP(VLOOKUP(Z$1,main!$A$3:$I$56,8,FALSE),main!$K$19:$O$22,MATCH(VLOOKUP($A4,main!$A$3:$I$56,7,FALSE),main!$K$18:$O$18,0),0))),0)</f>
        <v>135</v>
      </c>
      <c r="AA4">
        <f>IF((gamma!AA4),IF(VLOOKUP(AA$1,main!$A$3:$I$56,7,FALSE)=VLOOKUP($A4,main!$A$3:$I$56,8,FALSE),VLOOKUP(AA$1,main!$A$3:$I$56,4,FALSE),VLOOKUP(AA$1,main!$A$3:$I$56,4,FALSE)+VLOOKUP($A4,main!$A$3:$I$56,4,FALSE)+(VLOOKUP(VLOOKUP(AA$1,main!$A$3:$I$56,8,FALSE),main!$K$19:$O$22,MATCH(VLOOKUP($A4,main!$A$3:$I$56,7,FALSE),main!$K$18:$O$18,0),0))),0)</f>
        <v>135</v>
      </c>
      <c r="AB4">
        <f>IF((gamma!AB4),IF(VLOOKUP(AB$1,main!$A$3:$I$56,7,FALSE)=VLOOKUP($A4,main!$A$3:$I$56,8,FALSE),VLOOKUP(AB$1,main!$A$3:$I$56,4,FALSE),VLOOKUP(AB$1,main!$A$3:$I$56,4,FALSE)+VLOOKUP($A4,main!$A$3:$I$56,4,FALSE)+(VLOOKUP(VLOOKUP(AB$1,main!$A$3:$I$56,8,FALSE),main!$K$19:$O$22,MATCH(VLOOKUP($A4,main!$A$3:$I$56,7,FALSE),main!$K$18:$O$18,0),0))),0)</f>
        <v>135</v>
      </c>
      <c r="AC4">
        <f>IF((gamma!AC4),IF(VLOOKUP(AC$1,main!$A$3:$I$56,7,FALSE)=VLOOKUP($A4,main!$A$3:$I$56,8,FALSE),VLOOKUP(AC$1,main!$A$3:$I$56,4,FALSE),VLOOKUP(AC$1,main!$A$3:$I$56,4,FALSE)+VLOOKUP($A4,main!$A$3:$I$56,4,FALSE)+(VLOOKUP(VLOOKUP(AC$1,main!$A$3:$I$56,8,FALSE),main!$K$19:$O$22,MATCH(VLOOKUP($A4,main!$A$3:$I$56,7,FALSE),main!$K$18:$O$18,0),0))),0)</f>
        <v>0</v>
      </c>
      <c r="AD4">
        <f>IF((gamma!AD4),IF(VLOOKUP(AD$1,main!$A$3:$I$56,7,FALSE)=VLOOKUP($A4,main!$A$3:$I$56,8,FALSE),VLOOKUP(AD$1,main!$A$3:$I$56,4,FALSE),VLOOKUP(AD$1,main!$A$3:$I$56,4,FALSE)+VLOOKUP($A4,main!$A$3:$I$56,4,FALSE)+(VLOOKUP(VLOOKUP(AD$1,main!$A$3:$I$56,8,FALSE),main!$K$19:$O$22,MATCH(VLOOKUP($A4,main!$A$3:$I$56,7,FALSE),main!$K$18:$O$18,0),0))),0)</f>
        <v>0</v>
      </c>
      <c r="AE4">
        <f>IF((gamma!AE4),IF(VLOOKUP(AE$1,main!$A$3:$I$56,7,FALSE)=VLOOKUP($A4,main!$A$3:$I$56,8,FALSE),VLOOKUP(AE$1,main!$A$3:$I$56,4,FALSE),VLOOKUP(AE$1,main!$A$3:$I$56,4,FALSE)+VLOOKUP($A4,main!$A$3:$I$56,4,FALSE)+(VLOOKUP(VLOOKUP(AE$1,main!$A$3:$I$56,8,FALSE),main!$K$19:$O$22,MATCH(VLOOKUP($A4,main!$A$3:$I$56,7,FALSE),main!$K$18:$O$18,0),0))),0)</f>
        <v>0</v>
      </c>
      <c r="AF4">
        <f>IF((gamma!AF4),IF(VLOOKUP(AF$1,main!$A$3:$I$56,7,FALSE)=VLOOKUP($A4,main!$A$3:$I$56,8,FALSE),VLOOKUP(AF$1,main!$A$3:$I$56,4,FALSE),VLOOKUP(AF$1,main!$A$3:$I$56,4,FALSE)+VLOOKUP($A4,main!$A$3:$I$56,4,FALSE)+(VLOOKUP(VLOOKUP(AF$1,main!$A$3:$I$56,8,FALSE),main!$K$19:$O$22,MATCH(VLOOKUP($A4,main!$A$3:$I$56,7,FALSE),main!$K$18:$O$18,0),0))),0)</f>
        <v>130</v>
      </c>
      <c r="AG4">
        <f>IF((gamma!AG4),IF(VLOOKUP(AG$1,main!$A$3:$I$56,7,FALSE)=VLOOKUP($A4,main!$A$3:$I$56,8,FALSE),VLOOKUP(AG$1,main!$A$3:$I$56,4,FALSE),VLOOKUP(AG$1,main!$A$3:$I$56,4,FALSE)+VLOOKUP($A4,main!$A$3:$I$56,4,FALSE)+(VLOOKUP(VLOOKUP(AG$1,main!$A$3:$I$56,8,FALSE),main!$K$19:$O$22,MATCH(VLOOKUP($A4,main!$A$3:$I$56,7,FALSE),main!$K$18:$O$18,0),0))),0)</f>
        <v>0</v>
      </c>
      <c r="AH4">
        <f>IF((gamma!AH4),IF(VLOOKUP(AH$1,main!$A$3:$I$56,7,FALSE)=VLOOKUP($A4,main!$A$3:$I$56,8,FALSE),VLOOKUP(AH$1,main!$A$3:$I$56,4,FALSE),VLOOKUP(AH$1,main!$A$3:$I$56,4,FALSE)+VLOOKUP($A4,main!$A$3:$I$56,4,FALSE)+(VLOOKUP(VLOOKUP(AH$1,main!$A$3:$I$56,8,FALSE),main!$K$19:$O$22,MATCH(VLOOKUP($A4,main!$A$3:$I$56,7,FALSE),main!$K$18:$O$18,0),0))),0)</f>
        <v>0</v>
      </c>
      <c r="AI4">
        <f>IF((gamma!AI4),IF(VLOOKUP(AI$1,main!$A$3:$I$56,7,FALSE)=VLOOKUP($A4,main!$A$3:$I$56,8,FALSE),VLOOKUP(AI$1,main!$A$3:$I$56,4,FALSE),VLOOKUP(AI$1,main!$A$3:$I$56,4,FALSE)+VLOOKUP($A4,main!$A$3:$I$56,4,FALSE)+(VLOOKUP(VLOOKUP(AI$1,main!$A$3:$I$56,8,FALSE),main!$K$19:$O$22,MATCH(VLOOKUP($A4,main!$A$3:$I$56,7,FALSE),main!$K$18:$O$18,0),0))),0)</f>
        <v>0</v>
      </c>
      <c r="AJ4">
        <f>IF((gamma!AJ4),IF(VLOOKUP(AJ$1,main!$A$3:$I$56,7,FALSE)=VLOOKUP($A4,main!$A$3:$I$56,8,FALSE),VLOOKUP(AJ$1,main!$A$3:$I$56,4,FALSE),VLOOKUP(AJ$1,main!$A$3:$I$56,4,FALSE)+VLOOKUP($A4,main!$A$3:$I$56,4,FALSE)+(VLOOKUP(VLOOKUP(AJ$1,main!$A$3:$I$56,8,FALSE),main!$K$19:$O$22,MATCH(VLOOKUP($A4,main!$A$3:$I$56,7,FALSE),main!$K$18:$O$18,0),0))),0)</f>
        <v>275</v>
      </c>
      <c r="AK4">
        <f>IF((gamma!AK4),IF(VLOOKUP(AK$1,main!$A$3:$I$56,7,FALSE)=VLOOKUP($A4,main!$A$3:$I$56,8,FALSE),VLOOKUP(AK$1,main!$A$3:$I$56,4,FALSE),VLOOKUP(AK$1,main!$A$3:$I$56,4,FALSE)+VLOOKUP($A4,main!$A$3:$I$56,4,FALSE)+(VLOOKUP(VLOOKUP(AK$1,main!$A$3:$I$56,8,FALSE),main!$K$19:$O$22,MATCH(VLOOKUP($A4,main!$A$3:$I$56,7,FALSE),main!$K$18:$O$18,0),0))),0)</f>
        <v>275</v>
      </c>
      <c r="AL4">
        <f>IF((gamma!AL4),IF(VLOOKUP(AL$1,main!$A$3:$I$56,7,FALSE)=VLOOKUP($A4,main!$A$3:$I$56,8,FALSE),VLOOKUP(AL$1,main!$A$3:$I$56,4,FALSE),VLOOKUP(AL$1,main!$A$3:$I$56,4,FALSE)+VLOOKUP($A4,main!$A$3:$I$56,4,FALSE)+(VLOOKUP(VLOOKUP(AL$1,main!$A$3:$I$56,8,FALSE),main!$K$19:$O$22,MATCH(VLOOKUP($A4,main!$A$3:$I$56,7,FALSE),main!$K$18:$O$18,0),0))),0)</f>
        <v>0</v>
      </c>
      <c r="AM4">
        <f>IF((gamma!AM4),IF(VLOOKUP(AM$1,main!$A$3:$I$56,7,FALSE)=VLOOKUP($A4,main!$A$3:$I$56,8,FALSE),VLOOKUP(AM$1,main!$A$3:$I$56,4,FALSE),VLOOKUP(AM$1,main!$A$3:$I$56,4,FALSE)+VLOOKUP($A4,main!$A$3:$I$56,4,FALSE)+(VLOOKUP(VLOOKUP(AM$1,main!$A$3:$I$56,8,FALSE),main!$K$19:$O$22,MATCH(VLOOKUP($A4,main!$A$3:$I$56,7,FALSE),main!$K$18:$O$18,0),0))),0)</f>
        <v>0</v>
      </c>
      <c r="AN4">
        <f>IF((gamma!AN4),IF(VLOOKUP(AN$1,main!$A$3:$I$56,7,FALSE)=VLOOKUP($A4,main!$A$3:$I$56,8,FALSE),VLOOKUP(AN$1,main!$A$3:$I$56,4,FALSE),VLOOKUP(AN$1,main!$A$3:$I$56,4,FALSE)+VLOOKUP($A4,main!$A$3:$I$56,4,FALSE)+(VLOOKUP(VLOOKUP(AN$1,main!$A$3:$I$56,8,FALSE),main!$K$19:$O$22,MATCH(VLOOKUP($A4,main!$A$3:$I$56,7,FALSE),main!$K$18:$O$18,0),0))),0)</f>
        <v>0</v>
      </c>
      <c r="AO4">
        <f>IF((gamma!AO4),IF(VLOOKUP(AO$1,main!$A$3:$I$56,7,FALSE)=VLOOKUP($A4,main!$A$3:$I$56,8,FALSE),VLOOKUP(AO$1,main!$A$3:$I$56,4,FALSE),VLOOKUP(AO$1,main!$A$3:$I$56,4,FALSE)+VLOOKUP($A4,main!$A$3:$I$56,4,FALSE)+(VLOOKUP(VLOOKUP(AO$1,main!$A$3:$I$56,8,FALSE),main!$K$19:$O$22,MATCH(VLOOKUP($A4,main!$A$3:$I$56,7,FALSE),main!$K$18:$O$18,0),0))),0)</f>
        <v>290</v>
      </c>
      <c r="AP4">
        <f>IF((gamma!AP4),IF(VLOOKUP(AP$1,main!$A$3:$I$56,7,FALSE)=VLOOKUP($A4,main!$A$3:$I$56,8,FALSE),VLOOKUP(AP$1,main!$A$3:$I$56,4,FALSE),VLOOKUP(AP$1,main!$A$3:$I$56,4,FALSE)+VLOOKUP($A4,main!$A$3:$I$56,4,FALSE)+(VLOOKUP(VLOOKUP(AP$1,main!$A$3:$I$56,8,FALSE),main!$K$19:$O$22,MATCH(VLOOKUP($A4,main!$A$3:$I$56,7,FALSE),main!$K$18:$O$18,0),0))),0)</f>
        <v>0</v>
      </c>
      <c r="AQ4">
        <f>IF((gamma!AQ4),IF(VLOOKUP(AQ$1,main!$A$3:$I$56,7,FALSE)=VLOOKUP($A4,main!$A$3:$I$56,8,FALSE),VLOOKUP(AQ$1,main!$A$3:$I$56,4,FALSE),VLOOKUP(AQ$1,main!$A$3:$I$56,4,FALSE)+VLOOKUP($A4,main!$A$3:$I$56,4,FALSE)+(VLOOKUP(VLOOKUP(AQ$1,main!$A$3:$I$56,8,FALSE),main!$K$19:$O$22,MATCH(VLOOKUP($A4,main!$A$3:$I$56,7,FALSE),main!$K$18:$O$18,0),0))),0)</f>
        <v>0</v>
      </c>
      <c r="AR4">
        <f>IF((gamma!AR4),IF(VLOOKUP(AR$1,main!$A$3:$I$56,7,FALSE)=VLOOKUP($A4,main!$A$3:$I$56,8,FALSE),VLOOKUP(AR$1,main!$A$3:$I$56,4,FALSE),VLOOKUP(AR$1,main!$A$3:$I$56,4,FALSE)+VLOOKUP($A4,main!$A$3:$I$56,4,FALSE)+(VLOOKUP(VLOOKUP(AR$1,main!$A$3:$I$56,8,FALSE),main!$K$19:$O$22,MATCH(VLOOKUP($A4,main!$A$3:$I$56,7,FALSE),main!$K$18:$O$18,0),0))),0)</f>
        <v>0</v>
      </c>
      <c r="AS4">
        <f>IF((gamma!AS4),IF(VLOOKUP(AS$1,main!$A$3:$I$56,7,FALSE)=VLOOKUP($A4,main!$A$3:$I$56,8,FALSE),VLOOKUP(AS$1,main!$A$3:$I$56,4,FALSE),VLOOKUP(AS$1,main!$A$3:$I$56,4,FALSE)+VLOOKUP($A4,main!$A$3:$I$56,4,FALSE)+(VLOOKUP(VLOOKUP(AS$1,main!$A$3:$I$56,8,FALSE),main!$K$19:$O$22,MATCH(VLOOKUP($A4,main!$A$3:$I$56,7,FALSE),main!$K$18:$O$18,0),0))),0)</f>
        <v>0</v>
      </c>
      <c r="AT4">
        <f>IF((gamma!AT4),IF(VLOOKUP(AT$1,main!$A$3:$I$56,7,FALSE)=VLOOKUP($A4,main!$A$3:$I$56,8,FALSE),VLOOKUP(AT$1,main!$A$3:$I$56,4,FALSE),VLOOKUP(AT$1,main!$A$3:$I$56,4,FALSE)+VLOOKUP($A4,main!$A$3:$I$56,4,FALSE)+(VLOOKUP(VLOOKUP(AT$1,main!$A$3:$I$56,8,FALSE),main!$K$19:$O$22,MATCH(VLOOKUP($A4,main!$A$3:$I$56,7,FALSE),main!$K$18:$O$18,0),0))),0)</f>
        <v>0</v>
      </c>
      <c r="AU4">
        <f>IF((gamma!AU4),IF(VLOOKUP(AU$1,main!$A$3:$I$56,7,FALSE)=VLOOKUP($A4,main!$A$3:$I$56,8,FALSE),VLOOKUP(AU$1,main!$A$3:$I$56,4,FALSE),VLOOKUP(AU$1,main!$A$3:$I$56,4,FALSE)+VLOOKUP($A4,main!$A$3:$I$56,4,FALSE)+(VLOOKUP(VLOOKUP(AU$1,main!$A$3:$I$56,8,FALSE),main!$K$19:$O$22,MATCH(VLOOKUP($A4,main!$A$3:$I$56,7,FALSE),main!$K$18:$O$18,0),0))),0)</f>
        <v>0</v>
      </c>
      <c r="AV4">
        <f>IF((gamma!AV4),IF(VLOOKUP(AV$1,main!$A$3:$I$56,7,FALSE)=VLOOKUP($A4,main!$A$3:$I$56,8,FALSE),VLOOKUP(AV$1,main!$A$3:$I$56,4,FALSE),VLOOKUP(AV$1,main!$A$3:$I$56,4,FALSE)+VLOOKUP($A4,main!$A$3:$I$56,4,FALSE)+(VLOOKUP(VLOOKUP(AV$1,main!$A$3:$I$56,8,FALSE),main!$K$19:$O$22,MATCH(VLOOKUP($A4,main!$A$3:$I$56,7,FALSE),main!$K$18:$O$18,0),0))),0)</f>
        <v>0</v>
      </c>
      <c r="AW4">
        <f>IF((gamma!AW4),IF(VLOOKUP(AW$1,main!$A$3:$I$56,7,FALSE)=VLOOKUP($A4,main!$A$3:$I$56,8,FALSE),VLOOKUP(AW$1,main!$A$3:$I$56,4,FALSE),VLOOKUP(AW$1,main!$A$3:$I$56,4,FALSE)+VLOOKUP($A4,main!$A$3:$I$56,4,FALSE)+(VLOOKUP(VLOOKUP(AW$1,main!$A$3:$I$56,8,FALSE),main!$K$19:$O$22,MATCH(VLOOKUP($A4,main!$A$3:$I$56,7,FALSE),main!$K$18:$O$18,0),0))),0)</f>
        <v>0</v>
      </c>
      <c r="AX4">
        <f>IF((gamma!AX4),IF(VLOOKUP(AX$1,main!$A$3:$I$56,7,FALSE)=VLOOKUP($A4,main!$A$3:$I$56,8,FALSE),VLOOKUP(AX$1,main!$A$3:$I$56,4,FALSE),VLOOKUP(AX$1,main!$A$3:$I$56,4,FALSE)+VLOOKUP($A4,main!$A$3:$I$56,4,FALSE)+(VLOOKUP(VLOOKUP(AX$1,main!$A$3:$I$56,8,FALSE),main!$K$19:$O$22,MATCH(VLOOKUP($A4,main!$A$3:$I$56,7,FALSE),main!$K$18:$O$18,0),0))),0)</f>
        <v>275</v>
      </c>
      <c r="AY4">
        <f>IF((gamma!AY4),IF(VLOOKUP(AY$1,main!$A$3:$I$56,7,FALSE)=VLOOKUP($A4,main!$A$3:$I$56,8,FALSE),VLOOKUP(AY$1,main!$A$3:$I$56,4,FALSE),VLOOKUP(AY$1,main!$A$3:$I$56,4,FALSE)+VLOOKUP($A4,main!$A$3:$I$56,4,FALSE)+(VLOOKUP(VLOOKUP(AY$1,main!$A$3:$I$56,8,FALSE),main!$K$19:$O$22,MATCH(VLOOKUP($A4,main!$A$3:$I$56,7,FALSE),main!$K$18:$O$18,0),0))),0)</f>
        <v>275</v>
      </c>
      <c r="AZ4">
        <f>IF((gamma!AZ4),IF(VLOOKUP(AZ$1,main!$A$3:$I$56,7,FALSE)=VLOOKUP($A4,main!$A$3:$I$56,8,FALSE),VLOOKUP(AZ$1,main!$A$3:$I$56,4,FALSE),VLOOKUP(AZ$1,main!$A$3:$I$56,4,FALSE)+VLOOKUP($A4,main!$A$3:$I$56,4,FALSE)+(VLOOKUP(VLOOKUP(AZ$1,main!$A$3:$I$56,8,FALSE),main!$K$19:$O$22,MATCH(VLOOKUP($A4,main!$A$3:$I$56,7,FALSE),main!$K$18:$O$18,0),0))),0)</f>
        <v>0</v>
      </c>
      <c r="BA4">
        <f>IF((gamma!BA4),IF(VLOOKUP(BA$1,main!$A$3:$I$56,7,FALSE)=VLOOKUP($A4,main!$A$3:$I$56,8,FALSE),VLOOKUP(BA$1,main!$A$3:$I$56,4,FALSE),VLOOKUP(BA$1,main!$A$3:$I$56,4,FALSE)+VLOOKUP($A4,main!$A$3:$I$56,4,FALSE)+(VLOOKUP(VLOOKUP(BA$1,main!$A$3:$I$56,8,FALSE),main!$K$19:$O$22,MATCH(VLOOKUP($A4,main!$A$3:$I$56,7,FALSE),main!$K$18:$O$18,0),0))),0)</f>
        <v>0</v>
      </c>
      <c r="BB4">
        <f>IF((gamma!BB4),IF(VLOOKUP(BB$1,main!$A$3:$I$56,7,FALSE)=VLOOKUP($A4,main!$A$3:$I$56,8,FALSE),VLOOKUP(BB$1,main!$A$3:$I$56,4,FALSE),VLOOKUP(BB$1,main!$A$3:$I$56,4,FALSE)+VLOOKUP($A4,main!$A$3:$I$56,4,FALSE)+(VLOOKUP(VLOOKUP(BB$1,main!$A$3:$I$56,8,FALSE),main!$K$19:$O$22,MATCH(VLOOKUP($A4,main!$A$3:$I$56,7,FALSE),main!$K$18:$O$18,0),0))),0)</f>
        <v>0</v>
      </c>
      <c r="BC4">
        <f>IF((gamma!BC4),IF(VLOOKUP(BC$1,main!$A$3:$I$56,7,FALSE)=VLOOKUP($A4,main!$A$3:$I$56,8,FALSE),VLOOKUP(BC$1,main!$A$3:$I$56,4,FALSE),VLOOKUP(BC$1,main!$A$3:$I$56,4,FALSE)+VLOOKUP($A4,main!$A$3:$I$56,4,FALSE)+(VLOOKUP(VLOOKUP(BC$1,main!$A$3:$I$56,8,FALSE),main!$K$19:$O$22,MATCH(VLOOKUP($A4,main!$A$3:$I$56,7,FALSE),main!$K$18:$O$18,0),0))),0)</f>
        <v>300</v>
      </c>
      <c r="BD4">
        <f>IF((gamma!BD4),IF(VLOOKUP(BD$1,main!$A$3:$I$56,7,FALSE)=VLOOKUP($A4,main!$A$3:$I$56,8,FALSE),VLOOKUP(BD$1,main!$A$3:$I$56,4,FALSE),VLOOKUP(BD$1,main!$A$3:$I$56,4,FALSE)+VLOOKUP($A4,main!$A$3:$I$56,4,FALSE)+(VLOOKUP(VLOOKUP(BD$1,main!$A$3:$I$56,8,FALSE),main!$K$19:$O$22,MATCH(VLOOKUP($A4,main!$A$3:$I$56,7,FALSE),main!$K$18:$O$18,0),0))),0)</f>
        <v>300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5">
      <c r="A5">
        <f t="shared" si="0"/>
        <v>3</v>
      </c>
      <c r="B5">
        <v>0</v>
      </c>
      <c r="C5">
        <f>IF((gamma!C5),IF(VLOOKUP(C$1,main!$A$3:$I$56,7,FALSE)=VLOOKUP($A5,main!$A$3:$I$56,8,FALSE),VLOOKUP(C$1,main!$A$3:$I$56,4,FALSE),VLOOKUP(C$1,main!$A$3:$I$56,4,FALSE)+VLOOKUP($A5,main!$A$3:$I$56,4,FALSE)+(VLOOKUP(VLOOKUP(C$1,main!$A$3:$I$56,8,FALSE),main!$K$19:$O$22,MATCH(VLOOKUP($A5,main!$A$3:$I$56,7,FALSE),main!$K$18:$O$18,0),0))),0)</f>
        <v>0</v>
      </c>
      <c r="D5">
        <f>IF((gamma!D5),IF(VLOOKUP(D$1,main!$A$3:$I$56,7,FALSE)=VLOOKUP($A5,main!$A$3:$I$56,8,FALSE),VLOOKUP(D$1,main!$A$3:$I$56,4,FALSE),VLOOKUP(D$1,main!$A$3:$I$56,4,FALSE)+VLOOKUP($A5,main!$A$3:$I$56,4,FALSE)+(VLOOKUP(VLOOKUP(D$1,main!$A$3:$I$56,8,FALSE),main!$K$19:$O$22,MATCH(VLOOKUP($A5,main!$A$3:$I$56,7,FALSE),main!$K$18:$O$18,0),0))),0)</f>
        <v>0</v>
      </c>
      <c r="E5">
        <f>IF((gamma!E5),IF(VLOOKUP(E$1,main!$A$3:$I$56,7,FALSE)=VLOOKUP($A5,main!$A$3:$I$56,8,FALSE),VLOOKUP(E$1,main!$A$3:$I$56,4,FALSE),VLOOKUP(E$1,main!$A$3:$I$56,4,FALSE)+VLOOKUP($A5,main!$A$3:$I$56,4,FALSE)+(VLOOKUP(VLOOKUP(E$1,main!$A$3:$I$56,8,FALSE),main!$K$19:$O$22,MATCH(VLOOKUP($A5,main!$A$3:$I$56,7,FALSE),main!$K$18:$O$18,0),0))),0)</f>
        <v>0</v>
      </c>
      <c r="F5">
        <f>IF((gamma!F5),IF(VLOOKUP(F$1,main!$A$3:$I$56,7,FALSE)=VLOOKUP($A5,main!$A$3:$I$56,8,FALSE),VLOOKUP(F$1,main!$A$3:$I$56,4,FALSE),VLOOKUP(F$1,main!$A$3:$I$56,4,FALSE)+VLOOKUP($A5,main!$A$3:$I$56,4,FALSE)+(VLOOKUP(VLOOKUP(F$1,main!$A$3:$I$56,8,FALSE),main!$K$19:$O$22,MATCH(VLOOKUP($A5,main!$A$3:$I$56,7,FALSE),main!$K$18:$O$18,0),0))),0)</f>
        <v>0</v>
      </c>
      <c r="G5">
        <f>IF((gamma!G5),IF(VLOOKUP(G$1,main!$A$3:$I$56,7,FALSE)=VLOOKUP($A5,main!$A$3:$I$56,8,FALSE),VLOOKUP(G$1,main!$A$3:$I$56,4,FALSE),VLOOKUP(G$1,main!$A$3:$I$56,4,FALSE)+VLOOKUP($A5,main!$A$3:$I$56,4,FALSE)+(VLOOKUP(VLOOKUP(G$1,main!$A$3:$I$56,8,FALSE),main!$K$19:$O$22,MATCH(VLOOKUP($A5,main!$A$3:$I$56,7,FALSE),main!$K$18:$O$18,0),0))),0)</f>
        <v>0</v>
      </c>
      <c r="H5">
        <f>IF((gamma!H5),IF(VLOOKUP(H$1,main!$A$3:$I$56,7,FALSE)=VLOOKUP($A5,main!$A$3:$I$56,8,FALSE),VLOOKUP(H$1,main!$A$3:$I$56,4,FALSE),VLOOKUP(H$1,main!$A$3:$I$56,4,FALSE)+VLOOKUP($A5,main!$A$3:$I$56,4,FALSE)+(VLOOKUP(VLOOKUP(H$1,main!$A$3:$I$56,8,FALSE),main!$K$19:$O$22,MATCH(VLOOKUP($A5,main!$A$3:$I$56,7,FALSE),main!$K$18:$O$18,0),0))),0)</f>
        <v>295</v>
      </c>
      <c r="I5">
        <f>IF((gamma!I5),IF(VLOOKUP(I$1,main!$A$3:$I$56,7,FALSE)=VLOOKUP($A5,main!$A$3:$I$56,8,FALSE),VLOOKUP(I$1,main!$A$3:$I$56,4,FALSE),VLOOKUP(I$1,main!$A$3:$I$56,4,FALSE)+VLOOKUP($A5,main!$A$3:$I$56,4,FALSE)+(VLOOKUP(VLOOKUP(I$1,main!$A$3:$I$56,8,FALSE),main!$K$19:$O$22,MATCH(VLOOKUP($A5,main!$A$3:$I$56,7,FALSE),main!$K$18:$O$18,0),0))),0)</f>
        <v>295</v>
      </c>
      <c r="J5">
        <f>IF((gamma!J5),IF(VLOOKUP(J$1,main!$A$3:$I$56,7,FALSE)=VLOOKUP($A5,main!$A$3:$I$56,8,FALSE),VLOOKUP(J$1,main!$A$3:$I$56,4,FALSE),VLOOKUP(J$1,main!$A$3:$I$56,4,FALSE)+VLOOKUP($A5,main!$A$3:$I$56,4,FALSE)+(VLOOKUP(VLOOKUP(J$1,main!$A$3:$I$56,8,FALSE),main!$K$19:$O$22,MATCH(VLOOKUP($A5,main!$A$3:$I$56,7,FALSE),main!$K$18:$O$18,0),0))),0)</f>
        <v>295</v>
      </c>
      <c r="K5">
        <f>IF((gamma!K5),IF(VLOOKUP(K$1,main!$A$3:$I$56,7,FALSE)=VLOOKUP($A5,main!$A$3:$I$56,8,FALSE),VLOOKUP(K$1,main!$A$3:$I$56,4,FALSE),VLOOKUP(K$1,main!$A$3:$I$56,4,FALSE)+VLOOKUP($A5,main!$A$3:$I$56,4,FALSE)+(VLOOKUP(VLOOKUP(K$1,main!$A$3:$I$56,8,FALSE),main!$K$19:$O$22,MATCH(VLOOKUP($A5,main!$A$3:$I$56,7,FALSE),main!$K$18:$O$18,0),0))),0)</f>
        <v>0</v>
      </c>
      <c r="L5">
        <f>IF((gamma!L5),IF(VLOOKUP(L$1,main!$A$3:$I$56,7,FALSE)=VLOOKUP($A5,main!$A$3:$I$56,8,FALSE),VLOOKUP(L$1,main!$A$3:$I$56,4,FALSE),VLOOKUP(L$1,main!$A$3:$I$56,4,FALSE)+VLOOKUP($A5,main!$A$3:$I$56,4,FALSE)+(VLOOKUP(VLOOKUP(L$1,main!$A$3:$I$56,8,FALSE),main!$K$19:$O$22,MATCH(VLOOKUP($A5,main!$A$3:$I$56,7,FALSE),main!$K$18:$O$18,0),0))),0)</f>
        <v>0</v>
      </c>
      <c r="M5">
        <f>IF((gamma!M5),IF(VLOOKUP(M$1,main!$A$3:$I$56,7,FALSE)=VLOOKUP($A5,main!$A$3:$I$56,8,FALSE),VLOOKUP(M$1,main!$A$3:$I$56,4,FALSE),VLOOKUP(M$1,main!$A$3:$I$56,4,FALSE)+VLOOKUP($A5,main!$A$3:$I$56,4,FALSE)+(VLOOKUP(VLOOKUP(M$1,main!$A$3:$I$56,8,FALSE),main!$K$19:$O$22,MATCH(VLOOKUP($A5,main!$A$3:$I$56,7,FALSE),main!$K$18:$O$18,0),0))),0)</f>
        <v>0</v>
      </c>
      <c r="N5">
        <f>IF((gamma!N5),IF(VLOOKUP(N$1,main!$A$3:$I$56,7,FALSE)=VLOOKUP($A5,main!$A$3:$I$56,8,FALSE),VLOOKUP(N$1,main!$A$3:$I$56,4,FALSE),VLOOKUP(N$1,main!$A$3:$I$56,4,FALSE)+VLOOKUP($A5,main!$A$3:$I$56,4,FALSE)+(VLOOKUP(VLOOKUP(N$1,main!$A$3:$I$56,8,FALSE),main!$K$19:$O$22,MATCH(VLOOKUP($A5,main!$A$3:$I$56,7,FALSE),main!$K$18:$O$18,0),0))),0)</f>
        <v>305</v>
      </c>
      <c r="O5">
        <f>IF((gamma!O5),IF(VLOOKUP(O$1,main!$A$3:$I$56,7,FALSE)=VLOOKUP($A5,main!$A$3:$I$56,8,FALSE),VLOOKUP(O$1,main!$A$3:$I$56,4,FALSE),VLOOKUP(O$1,main!$A$3:$I$56,4,FALSE)+VLOOKUP($A5,main!$A$3:$I$56,4,FALSE)+(VLOOKUP(VLOOKUP(O$1,main!$A$3:$I$56,8,FALSE),main!$K$19:$O$22,MATCH(VLOOKUP($A5,main!$A$3:$I$56,7,FALSE),main!$K$18:$O$18,0),0))),0)</f>
        <v>305</v>
      </c>
      <c r="P5">
        <f>IF((gamma!P5),IF(VLOOKUP(P$1,main!$A$3:$I$56,7,FALSE)=VLOOKUP($A5,main!$A$3:$I$56,8,FALSE),VLOOKUP(P$1,main!$A$3:$I$56,4,FALSE),VLOOKUP(P$1,main!$A$3:$I$56,4,FALSE)+VLOOKUP($A5,main!$A$3:$I$56,4,FALSE)+(VLOOKUP(VLOOKUP(P$1,main!$A$3:$I$56,8,FALSE),main!$K$19:$O$22,MATCH(VLOOKUP($A5,main!$A$3:$I$56,7,FALSE),main!$K$18:$O$18,0),0))),0)</f>
        <v>0</v>
      </c>
      <c r="Q5">
        <f>IF((gamma!Q5),IF(VLOOKUP(Q$1,main!$A$3:$I$56,7,FALSE)=VLOOKUP($A5,main!$A$3:$I$56,8,FALSE),VLOOKUP(Q$1,main!$A$3:$I$56,4,FALSE),VLOOKUP(Q$1,main!$A$3:$I$56,4,FALSE)+VLOOKUP($A5,main!$A$3:$I$56,4,FALSE)+(VLOOKUP(VLOOKUP(Q$1,main!$A$3:$I$56,8,FALSE),main!$K$19:$O$22,MATCH(VLOOKUP($A5,main!$A$3:$I$56,7,FALSE),main!$K$18:$O$18,0),0))),0)</f>
        <v>0</v>
      </c>
      <c r="R5">
        <f>IF((gamma!R5),IF(VLOOKUP(R$1,main!$A$3:$I$56,7,FALSE)=VLOOKUP($A5,main!$A$3:$I$56,8,FALSE),VLOOKUP(R$1,main!$A$3:$I$56,4,FALSE),VLOOKUP(R$1,main!$A$3:$I$56,4,FALSE)+VLOOKUP($A5,main!$A$3:$I$56,4,FALSE)+(VLOOKUP(VLOOKUP(R$1,main!$A$3:$I$56,8,FALSE),main!$K$19:$O$22,MATCH(VLOOKUP($A5,main!$A$3:$I$56,7,FALSE),main!$K$18:$O$18,0),0))),0)</f>
        <v>0</v>
      </c>
      <c r="S5">
        <f>IF((gamma!S5),IF(VLOOKUP(S$1,main!$A$3:$I$56,7,FALSE)=VLOOKUP($A5,main!$A$3:$I$56,8,FALSE),VLOOKUP(S$1,main!$A$3:$I$56,4,FALSE),VLOOKUP(S$1,main!$A$3:$I$56,4,FALSE)+VLOOKUP($A5,main!$A$3:$I$56,4,FALSE)+(VLOOKUP(VLOOKUP(S$1,main!$A$3:$I$56,8,FALSE),main!$K$19:$O$22,MATCH(VLOOKUP($A5,main!$A$3:$I$56,7,FALSE),main!$K$18:$O$18,0),0))),0)</f>
        <v>0</v>
      </c>
      <c r="T5">
        <f>IF((gamma!T5),IF(VLOOKUP(T$1,main!$A$3:$I$56,7,FALSE)=VLOOKUP($A5,main!$A$3:$I$56,8,FALSE),VLOOKUP(T$1,main!$A$3:$I$56,4,FALSE),VLOOKUP(T$1,main!$A$3:$I$56,4,FALSE)+VLOOKUP($A5,main!$A$3:$I$56,4,FALSE)+(VLOOKUP(VLOOKUP(T$1,main!$A$3:$I$56,8,FALSE),main!$K$19:$O$22,MATCH(VLOOKUP($A5,main!$A$3:$I$56,7,FALSE),main!$K$18:$O$18,0),0))),0)</f>
        <v>310</v>
      </c>
      <c r="U5">
        <f>IF((gamma!U5),IF(VLOOKUP(U$1,main!$A$3:$I$56,7,FALSE)=VLOOKUP($A5,main!$A$3:$I$56,8,FALSE),VLOOKUP(U$1,main!$A$3:$I$56,4,FALSE),VLOOKUP(U$1,main!$A$3:$I$56,4,FALSE)+VLOOKUP($A5,main!$A$3:$I$56,4,FALSE)+(VLOOKUP(VLOOKUP(U$1,main!$A$3:$I$56,8,FALSE),main!$K$19:$O$22,MATCH(VLOOKUP($A5,main!$A$3:$I$56,7,FALSE),main!$K$18:$O$18,0),0))),0)</f>
        <v>0</v>
      </c>
      <c r="V5">
        <f>IF((gamma!V5),IF(VLOOKUP(V$1,main!$A$3:$I$56,7,FALSE)=VLOOKUP($A5,main!$A$3:$I$56,8,FALSE),VLOOKUP(V$1,main!$A$3:$I$56,4,FALSE),VLOOKUP(V$1,main!$A$3:$I$56,4,FALSE)+VLOOKUP($A5,main!$A$3:$I$56,4,FALSE)+(VLOOKUP(VLOOKUP(V$1,main!$A$3:$I$56,8,FALSE),main!$K$19:$O$22,MATCH(VLOOKUP($A5,main!$A$3:$I$56,7,FALSE),main!$K$18:$O$18,0),0))),0)</f>
        <v>0</v>
      </c>
      <c r="W5">
        <f>IF((gamma!W5),IF(VLOOKUP(W$1,main!$A$3:$I$56,7,FALSE)=VLOOKUP($A5,main!$A$3:$I$56,8,FALSE),VLOOKUP(W$1,main!$A$3:$I$56,4,FALSE),VLOOKUP(W$1,main!$A$3:$I$56,4,FALSE)+VLOOKUP($A5,main!$A$3:$I$56,4,FALSE)+(VLOOKUP(VLOOKUP(W$1,main!$A$3:$I$56,8,FALSE),main!$K$19:$O$22,MATCH(VLOOKUP($A5,main!$A$3:$I$56,7,FALSE),main!$K$18:$O$18,0),0))),0)</f>
        <v>0</v>
      </c>
      <c r="X5">
        <f>IF((gamma!X5),IF(VLOOKUP(X$1,main!$A$3:$I$56,7,FALSE)=VLOOKUP($A5,main!$A$3:$I$56,8,FALSE),VLOOKUP(X$1,main!$A$3:$I$56,4,FALSE),VLOOKUP(X$1,main!$A$3:$I$56,4,FALSE)+VLOOKUP($A5,main!$A$3:$I$56,4,FALSE)+(VLOOKUP(VLOOKUP(X$1,main!$A$3:$I$56,8,FALSE),main!$K$19:$O$22,MATCH(VLOOKUP($A5,main!$A$3:$I$56,7,FALSE),main!$K$18:$O$18,0),0))),0)</f>
        <v>0</v>
      </c>
      <c r="Y5">
        <f>IF((gamma!Y5),IF(VLOOKUP(Y$1,main!$A$3:$I$56,7,FALSE)=VLOOKUP($A5,main!$A$3:$I$56,8,FALSE),VLOOKUP(Y$1,main!$A$3:$I$56,4,FALSE),VLOOKUP(Y$1,main!$A$3:$I$56,4,FALSE)+VLOOKUP($A5,main!$A$3:$I$56,4,FALSE)+(VLOOKUP(VLOOKUP(Y$1,main!$A$3:$I$56,8,FALSE),main!$K$19:$O$22,MATCH(VLOOKUP($A5,main!$A$3:$I$56,7,FALSE),main!$K$18:$O$18,0),0))),0)</f>
        <v>0</v>
      </c>
      <c r="Z5">
        <f>IF((gamma!Z5),IF(VLOOKUP(Z$1,main!$A$3:$I$56,7,FALSE)=VLOOKUP($A5,main!$A$3:$I$56,8,FALSE),VLOOKUP(Z$1,main!$A$3:$I$56,4,FALSE),VLOOKUP(Z$1,main!$A$3:$I$56,4,FALSE)+VLOOKUP($A5,main!$A$3:$I$56,4,FALSE)+(VLOOKUP(VLOOKUP(Z$1,main!$A$3:$I$56,8,FALSE),main!$K$19:$O$22,MATCH(VLOOKUP($A5,main!$A$3:$I$56,7,FALSE),main!$K$18:$O$18,0),0))),0)</f>
        <v>135</v>
      </c>
      <c r="AA5">
        <f>IF((gamma!AA5),IF(VLOOKUP(AA$1,main!$A$3:$I$56,7,FALSE)=VLOOKUP($A5,main!$A$3:$I$56,8,FALSE),VLOOKUP(AA$1,main!$A$3:$I$56,4,FALSE),VLOOKUP(AA$1,main!$A$3:$I$56,4,FALSE)+VLOOKUP($A5,main!$A$3:$I$56,4,FALSE)+(VLOOKUP(VLOOKUP(AA$1,main!$A$3:$I$56,8,FALSE),main!$K$19:$O$22,MATCH(VLOOKUP($A5,main!$A$3:$I$56,7,FALSE),main!$K$18:$O$18,0),0))),0)</f>
        <v>135</v>
      </c>
      <c r="AB5">
        <f>IF((gamma!AB5),IF(VLOOKUP(AB$1,main!$A$3:$I$56,7,FALSE)=VLOOKUP($A5,main!$A$3:$I$56,8,FALSE),VLOOKUP(AB$1,main!$A$3:$I$56,4,FALSE),VLOOKUP(AB$1,main!$A$3:$I$56,4,FALSE)+VLOOKUP($A5,main!$A$3:$I$56,4,FALSE)+(VLOOKUP(VLOOKUP(AB$1,main!$A$3:$I$56,8,FALSE),main!$K$19:$O$22,MATCH(VLOOKUP($A5,main!$A$3:$I$56,7,FALSE),main!$K$18:$O$18,0),0))),0)</f>
        <v>135</v>
      </c>
      <c r="AC5">
        <f>IF((gamma!AC5),IF(VLOOKUP(AC$1,main!$A$3:$I$56,7,FALSE)=VLOOKUP($A5,main!$A$3:$I$56,8,FALSE),VLOOKUP(AC$1,main!$A$3:$I$56,4,FALSE),VLOOKUP(AC$1,main!$A$3:$I$56,4,FALSE)+VLOOKUP($A5,main!$A$3:$I$56,4,FALSE)+(VLOOKUP(VLOOKUP(AC$1,main!$A$3:$I$56,8,FALSE),main!$K$19:$O$22,MATCH(VLOOKUP($A5,main!$A$3:$I$56,7,FALSE),main!$K$18:$O$18,0),0))),0)</f>
        <v>0</v>
      </c>
      <c r="AD5">
        <f>IF((gamma!AD5),IF(VLOOKUP(AD$1,main!$A$3:$I$56,7,FALSE)=VLOOKUP($A5,main!$A$3:$I$56,8,FALSE),VLOOKUP(AD$1,main!$A$3:$I$56,4,FALSE),VLOOKUP(AD$1,main!$A$3:$I$56,4,FALSE)+VLOOKUP($A5,main!$A$3:$I$56,4,FALSE)+(VLOOKUP(VLOOKUP(AD$1,main!$A$3:$I$56,8,FALSE),main!$K$19:$O$22,MATCH(VLOOKUP($A5,main!$A$3:$I$56,7,FALSE),main!$K$18:$O$18,0),0))),0)</f>
        <v>0</v>
      </c>
      <c r="AE5">
        <f>IF((gamma!AE5),IF(VLOOKUP(AE$1,main!$A$3:$I$56,7,FALSE)=VLOOKUP($A5,main!$A$3:$I$56,8,FALSE),VLOOKUP(AE$1,main!$A$3:$I$56,4,FALSE),VLOOKUP(AE$1,main!$A$3:$I$56,4,FALSE)+VLOOKUP($A5,main!$A$3:$I$56,4,FALSE)+(VLOOKUP(VLOOKUP(AE$1,main!$A$3:$I$56,8,FALSE),main!$K$19:$O$22,MATCH(VLOOKUP($A5,main!$A$3:$I$56,7,FALSE),main!$K$18:$O$18,0),0))),0)</f>
        <v>0</v>
      </c>
      <c r="AF5">
        <f>IF((gamma!AF5),IF(VLOOKUP(AF$1,main!$A$3:$I$56,7,FALSE)=VLOOKUP($A5,main!$A$3:$I$56,8,FALSE),VLOOKUP(AF$1,main!$A$3:$I$56,4,FALSE),VLOOKUP(AF$1,main!$A$3:$I$56,4,FALSE)+VLOOKUP($A5,main!$A$3:$I$56,4,FALSE)+(VLOOKUP(VLOOKUP(AF$1,main!$A$3:$I$56,8,FALSE),main!$K$19:$O$22,MATCH(VLOOKUP($A5,main!$A$3:$I$56,7,FALSE),main!$K$18:$O$18,0),0))),0)</f>
        <v>0</v>
      </c>
      <c r="AG5">
        <f>IF((gamma!AG5),IF(VLOOKUP(AG$1,main!$A$3:$I$56,7,FALSE)=VLOOKUP($A5,main!$A$3:$I$56,8,FALSE),VLOOKUP(AG$1,main!$A$3:$I$56,4,FALSE),VLOOKUP(AG$1,main!$A$3:$I$56,4,FALSE)+VLOOKUP($A5,main!$A$3:$I$56,4,FALSE)+(VLOOKUP(VLOOKUP(AG$1,main!$A$3:$I$56,8,FALSE),main!$K$19:$O$22,MATCH(VLOOKUP($A5,main!$A$3:$I$56,7,FALSE),main!$K$18:$O$18,0),0))),0)</f>
        <v>0</v>
      </c>
      <c r="AH5">
        <f>IF((gamma!AH5),IF(VLOOKUP(AH$1,main!$A$3:$I$56,7,FALSE)=VLOOKUP($A5,main!$A$3:$I$56,8,FALSE),VLOOKUP(AH$1,main!$A$3:$I$56,4,FALSE),VLOOKUP(AH$1,main!$A$3:$I$56,4,FALSE)+VLOOKUP($A5,main!$A$3:$I$56,4,FALSE)+(VLOOKUP(VLOOKUP(AH$1,main!$A$3:$I$56,8,FALSE),main!$K$19:$O$22,MATCH(VLOOKUP($A5,main!$A$3:$I$56,7,FALSE),main!$K$18:$O$18,0),0))),0)</f>
        <v>0</v>
      </c>
      <c r="AI5">
        <f>IF((gamma!AI5),IF(VLOOKUP(AI$1,main!$A$3:$I$56,7,FALSE)=VLOOKUP($A5,main!$A$3:$I$56,8,FALSE),VLOOKUP(AI$1,main!$A$3:$I$56,4,FALSE),VLOOKUP(AI$1,main!$A$3:$I$56,4,FALSE)+VLOOKUP($A5,main!$A$3:$I$56,4,FALSE)+(VLOOKUP(VLOOKUP(AI$1,main!$A$3:$I$56,8,FALSE),main!$K$19:$O$22,MATCH(VLOOKUP($A5,main!$A$3:$I$56,7,FALSE),main!$K$18:$O$18,0),0))),0)</f>
        <v>0</v>
      </c>
      <c r="AJ5">
        <f>IF((gamma!AJ5),IF(VLOOKUP(AJ$1,main!$A$3:$I$56,7,FALSE)=VLOOKUP($A5,main!$A$3:$I$56,8,FALSE),VLOOKUP(AJ$1,main!$A$3:$I$56,4,FALSE),VLOOKUP(AJ$1,main!$A$3:$I$56,4,FALSE)+VLOOKUP($A5,main!$A$3:$I$56,4,FALSE)+(VLOOKUP(VLOOKUP(AJ$1,main!$A$3:$I$56,8,FALSE),main!$K$19:$O$22,MATCH(VLOOKUP($A5,main!$A$3:$I$56,7,FALSE),main!$K$18:$O$18,0),0))),0)</f>
        <v>0</v>
      </c>
      <c r="AK5">
        <f>IF((gamma!AK5),IF(VLOOKUP(AK$1,main!$A$3:$I$56,7,FALSE)=VLOOKUP($A5,main!$A$3:$I$56,8,FALSE),VLOOKUP(AK$1,main!$A$3:$I$56,4,FALSE),VLOOKUP(AK$1,main!$A$3:$I$56,4,FALSE)+VLOOKUP($A5,main!$A$3:$I$56,4,FALSE)+(VLOOKUP(VLOOKUP(AK$1,main!$A$3:$I$56,8,FALSE),main!$K$19:$O$22,MATCH(VLOOKUP($A5,main!$A$3:$I$56,7,FALSE),main!$K$18:$O$18,0),0))),0)</f>
        <v>275</v>
      </c>
      <c r="AL5">
        <f>IF((gamma!AL5),IF(VLOOKUP(AL$1,main!$A$3:$I$56,7,FALSE)=VLOOKUP($A5,main!$A$3:$I$56,8,FALSE),VLOOKUP(AL$1,main!$A$3:$I$56,4,FALSE),VLOOKUP(AL$1,main!$A$3:$I$56,4,FALSE)+VLOOKUP($A5,main!$A$3:$I$56,4,FALSE)+(VLOOKUP(VLOOKUP(AL$1,main!$A$3:$I$56,8,FALSE),main!$K$19:$O$22,MATCH(VLOOKUP($A5,main!$A$3:$I$56,7,FALSE),main!$K$18:$O$18,0),0))),0)</f>
        <v>0</v>
      </c>
      <c r="AM5">
        <f>IF((gamma!AM5),IF(VLOOKUP(AM$1,main!$A$3:$I$56,7,FALSE)=VLOOKUP($A5,main!$A$3:$I$56,8,FALSE),VLOOKUP(AM$1,main!$A$3:$I$56,4,FALSE),VLOOKUP(AM$1,main!$A$3:$I$56,4,FALSE)+VLOOKUP($A5,main!$A$3:$I$56,4,FALSE)+(VLOOKUP(VLOOKUP(AM$1,main!$A$3:$I$56,8,FALSE),main!$K$19:$O$22,MATCH(VLOOKUP($A5,main!$A$3:$I$56,7,FALSE),main!$K$18:$O$18,0),0))),0)</f>
        <v>0</v>
      </c>
      <c r="AN5">
        <f>IF((gamma!AN5),IF(VLOOKUP(AN$1,main!$A$3:$I$56,7,FALSE)=VLOOKUP($A5,main!$A$3:$I$56,8,FALSE),VLOOKUP(AN$1,main!$A$3:$I$56,4,FALSE),VLOOKUP(AN$1,main!$A$3:$I$56,4,FALSE)+VLOOKUP($A5,main!$A$3:$I$56,4,FALSE)+(VLOOKUP(VLOOKUP(AN$1,main!$A$3:$I$56,8,FALSE),main!$K$19:$O$22,MATCH(VLOOKUP($A5,main!$A$3:$I$56,7,FALSE),main!$K$18:$O$18,0),0))),0)</f>
        <v>0</v>
      </c>
      <c r="AO5">
        <f>IF((gamma!AO5),IF(VLOOKUP(AO$1,main!$A$3:$I$56,7,FALSE)=VLOOKUP($A5,main!$A$3:$I$56,8,FALSE),VLOOKUP(AO$1,main!$A$3:$I$56,4,FALSE),VLOOKUP(AO$1,main!$A$3:$I$56,4,FALSE)+VLOOKUP($A5,main!$A$3:$I$56,4,FALSE)+(VLOOKUP(VLOOKUP(AO$1,main!$A$3:$I$56,8,FALSE),main!$K$19:$O$22,MATCH(VLOOKUP($A5,main!$A$3:$I$56,7,FALSE),main!$K$18:$O$18,0),0))),0)</f>
        <v>0</v>
      </c>
      <c r="AP5">
        <f>IF((gamma!AP5),IF(VLOOKUP(AP$1,main!$A$3:$I$56,7,FALSE)=VLOOKUP($A5,main!$A$3:$I$56,8,FALSE),VLOOKUP(AP$1,main!$A$3:$I$56,4,FALSE),VLOOKUP(AP$1,main!$A$3:$I$56,4,FALSE)+VLOOKUP($A5,main!$A$3:$I$56,4,FALSE)+(VLOOKUP(VLOOKUP(AP$1,main!$A$3:$I$56,8,FALSE),main!$K$19:$O$22,MATCH(VLOOKUP($A5,main!$A$3:$I$56,7,FALSE),main!$K$18:$O$18,0),0))),0)</f>
        <v>0</v>
      </c>
      <c r="AQ5">
        <f>IF((gamma!AQ5),IF(VLOOKUP(AQ$1,main!$A$3:$I$56,7,FALSE)=VLOOKUP($A5,main!$A$3:$I$56,8,FALSE),VLOOKUP(AQ$1,main!$A$3:$I$56,4,FALSE),VLOOKUP(AQ$1,main!$A$3:$I$56,4,FALSE)+VLOOKUP($A5,main!$A$3:$I$56,4,FALSE)+(VLOOKUP(VLOOKUP(AQ$1,main!$A$3:$I$56,8,FALSE),main!$K$19:$O$22,MATCH(VLOOKUP($A5,main!$A$3:$I$56,7,FALSE),main!$K$18:$O$18,0),0))),0)</f>
        <v>0</v>
      </c>
      <c r="AR5">
        <f>IF((gamma!AR5),IF(VLOOKUP(AR$1,main!$A$3:$I$56,7,FALSE)=VLOOKUP($A5,main!$A$3:$I$56,8,FALSE),VLOOKUP(AR$1,main!$A$3:$I$56,4,FALSE),VLOOKUP(AR$1,main!$A$3:$I$56,4,FALSE)+VLOOKUP($A5,main!$A$3:$I$56,4,FALSE)+(VLOOKUP(VLOOKUP(AR$1,main!$A$3:$I$56,8,FALSE),main!$K$19:$O$22,MATCH(VLOOKUP($A5,main!$A$3:$I$56,7,FALSE),main!$K$18:$O$18,0),0))),0)</f>
        <v>0</v>
      </c>
      <c r="AS5">
        <f>IF((gamma!AS5),IF(VLOOKUP(AS$1,main!$A$3:$I$56,7,FALSE)=VLOOKUP($A5,main!$A$3:$I$56,8,FALSE),VLOOKUP(AS$1,main!$A$3:$I$56,4,FALSE),VLOOKUP(AS$1,main!$A$3:$I$56,4,FALSE)+VLOOKUP($A5,main!$A$3:$I$56,4,FALSE)+(VLOOKUP(VLOOKUP(AS$1,main!$A$3:$I$56,8,FALSE),main!$K$19:$O$22,MATCH(VLOOKUP($A5,main!$A$3:$I$56,7,FALSE),main!$K$18:$O$18,0),0))),0)</f>
        <v>0</v>
      </c>
      <c r="AT5">
        <f>IF((gamma!AT5),IF(VLOOKUP(AT$1,main!$A$3:$I$56,7,FALSE)=VLOOKUP($A5,main!$A$3:$I$56,8,FALSE),VLOOKUP(AT$1,main!$A$3:$I$56,4,FALSE),VLOOKUP(AT$1,main!$A$3:$I$56,4,FALSE)+VLOOKUP($A5,main!$A$3:$I$56,4,FALSE)+(VLOOKUP(VLOOKUP(AT$1,main!$A$3:$I$56,8,FALSE),main!$K$19:$O$22,MATCH(VLOOKUP($A5,main!$A$3:$I$56,7,FALSE),main!$K$18:$O$18,0),0))),0)</f>
        <v>0</v>
      </c>
      <c r="AU5">
        <f>IF((gamma!AU5),IF(VLOOKUP(AU$1,main!$A$3:$I$56,7,FALSE)=VLOOKUP($A5,main!$A$3:$I$56,8,FALSE),VLOOKUP(AU$1,main!$A$3:$I$56,4,FALSE),VLOOKUP(AU$1,main!$A$3:$I$56,4,FALSE)+VLOOKUP($A5,main!$A$3:$I$56,4,FALSE)+(VLOOKUP(VLOOKUP(AU$1,main!$A$3:$I$56,8,FALSE),main!$K$19:$O$22,MATCH(VLOOKUP($A5,main!$A$3:$I$56,7,FALSE),main!$K$18:$O$18,0),0))),0)</f>
        <v>0</v>
      </c>
      <c r="AV5">
        <f>IF((gamma!AV5),IF(VLOOKUP(AV$1,main!$A$3:$I$56,7,FALSE)=VLOOKUP($A5,main!$A$3:$I$56,8,FALSE),VLOOKUP(AV$1,main!$A$3:$I$56,4,FALSE),VLOOKUP(AV$1,main!$A$3:$I$56,4,FALSE)+VLOOKUP($A5,main!$A$3:$I$56,4,FALSE)+(VLOOKUP(VLOOKUP(AV$1,main!$A$3:$I$56,8,FALSE),main!$K$19:$O$22,MATCH(VLOOKUP($A5,main!$A$3:$I$56,7,FALSE),main!$K$18:$O$18,0),0))),0)</f>
        <v>0</v>
      </c>
      <c r="AW5">
        <f>IF((gamma!AW5),IF(VLOOKUP(AW$1,main!$A$3:$I$56,7,FALSE)=VLOOKUP($A5,main!$A$3:$I$56,8,FALSE),VLOOKUP(AW$1,main!$A$3:$I$56,4,FALSE),VLOOKUP(AW$1,main!$A$3:$I$56,4,FALSE)+VLOOKUP($A5,main!$A$3:$I$56,4,FALSE)+(VLOOKUP(VLOOKUP(AW$1,main!$A$3:$I$56,8,FALSE),main!$K$19:$O$22,MATCH(VLOOKUP($A5,main!$A$3:$I$56,7,FALSE),main!$K$18:$O$18,0),0))),0)</f>
        <v>0</v>
      </c>
      <c r="AX5">
        <f>IF((gamma!AX5),IF(VLOOKUP(AX$1,main!$A$3:$I$56,7,FALSE)=VLOOKUP($A5,main!$A$3:$I$56,8,FALSE),VLOOKUP(AX$1,main!$A$3:$I$56,4,FALSE),VLOOKUP(AX$1,main!$A$3:$I$56,4,FALSE)+VLOOKUP($A5,main!$A$3:$I$56,4,FALSE)+(VLOOKUP(VLOOKUP(AX$1,main!$A$3:$I$56,8,FALSE),main!$K$19:$O$22,MATCH(VLOOKUP($A5,main!$A$3:$I$56,7,FALSE),main!$K$18:$O$18,0),0))),0)</f>
        <v>0</v>
      </c>
      <c r="AY5">
        <f>IF((gamma!AY5),IF(VLOOKUP(AY$1,main!$A$3:$I$56,7,FALSE)=VLOOKUP($A5,main!$A$3:$I$56,8,FALSE),VLOOKUP(AY$1,main!$A$3:$I$56,4,FALSE),VLOOKUP(AY$1,main!$A$3:$I$56,4,FALSE)+VLOOKUP($A5,main!$A$3:$I$56,4,FALSE)+(VLOOKUP(VLOOKUP(AY$1,main!$A$3:$I$56,8,FALSE),main!$K$19:$O$22,MATCH(VLOOKUP($A5,main!$A$3:$I$56,7,FALSE),main!$K$18:$O$18,0),0))),0)</f>
        <v>275</v>
      </c>
      <c r="AZ5">
        <f>IF((gamma!AZ5),IF(VLOOKUP(AZ$1,main!$A$3:$I$56,7,FALSE)=VLOOKUP($A5,main!$A$3:$I$56,8,FALSE),VLOOKUP(AZ$1,main!$A$3:$I$56,4,FALSE),VLOOKUP(AZ$1,main!$A$3:$I$56,4,FALSE)+VLOOKUP($A5,main!$A$3:$I$56,4,FALSE)+(VLOOKUP(VLOOKUP(AZ$1,main!$A$3:$I$56,8,FALSE),main!$K$19:$O$22,MATCH(VLOOKUP($A5,main!$A$3:$I$56,7,FALSE),main!$K$18:$O$18,0),0))),0)</f>
        <v>0</v>
      </c>
      <c r="BA5">
        <f>IF((gamma!BA5),IF(VLOOKUP(BA$1,main!$A$3:$I$56,7,FALSE)=VLOOKUP($A5,main!$A$3:$I$56,8,FALSE),VLOOKUP(BA$1,main!$A$3:$I$56,4,FALSE),VLOOKUP(BA$1,main!$A$3:$I$56,4,FALSE)+VLOOKUP($A5,main!$A$3:$I$56,4,FALSE)+(VLOOKUP(VLOOKUP(BA$1,main!$A$3:$I$56,8,FALSE),main!$K$19:$O$22,MATCH(VLOOKUP($A5,main!$A$3:$I$56,7,FALSE),main!$K$18:$O$18,0),0))),0)</f>
        <v>0</v>
      </c>
      <c r="BB5">
        <f>IF((gamma!BB5),IF(VLOOKUP(BB$1,main!$A$3:$I$56,7,FALSE)=VLOOKUP($A5,main!$A$3:$I$56,8,FALSE),VLOOKUP(BB$1,main!$A$3:$I$56,4,FALSE),VLOOKUP(BB$1,main!$A$3:$I$56,4,FALSE)+VLOOKUP($A5,main!$A$3:$I$56,4,FALSE)+(VLOOKUP(VLOOKUP(BB$1,main!$A$3:$I$56,8,FALSE),main!$K$19:$O$22,MATCH(VLOOKUP($A5,main!$A$3:$I$56,7,FALSE),main!$K$18:$O$18,0),0))),0)</f>
        <v>0</v>
      </c>
      <c r="BC5">
        <f>IF((gamma!BC5),IF(VLOOKUP(BC$1,main!$A$3:$I$56,7,FALSE)=VLOOKUP($A5,main!$A$3:$I$56,8,FALSE),VLOOKUP(BC$1,main!$A$3:$I$56,4,FALSE),VLOOKUP(BC$1,main!$A$3:$I$56,4,FALSE)+VLOOKUP($A5,main!$A$3:$I$56,4,FALSE)+(VLOOKUP(VLOOKUP(BC$1,main!$A$3:$I$56,8,FALSE),main!$K$19:$O$22,MATCH(VLOOKUP($A5,main!$A$3:$I$56,7,FALSE),main!$K$18:$O$18,0),0))),0)</f>
        <v>0</v>
      </c>
      <c r="BD5">
        <f>IF((gamma!BD5),IF(VLOOKUP(BD$1,main!$A$3:$I$56,7,FALSE)=VLOOKUP($A5,main!$A$3:$I$56,8,FALSE),VLOOKUP(BD$1,main!$A$3:$I$56,4,FALSE),VLOOKUP(BD$1,main!$A$3:$I$56,4,FALSE)+VLOOKUP($A5,main!$A$3:$I$56,4,FALSE)+(VLOOKUP(VLOOKUP(BD$1,main!$A$3:$I$56,8,FALSE),main!$K$19:$O$22,MATCH(VLOOKUP($A5,main!$A$3:$I$56,7,FALSE),main!$K$18:$O$18,0),0))),0)</f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25">
      <c r="A6">
        <f t="shared" si="0"/>
        <v>4</v>
      </c>
      <c r="B6">
        <v>0</v>
      </c>
      <c r="C6">
        <f>IF((gamma!C6),IF(VLOOKUP(C$1,main!$A$3:$I$56,7,FALSE)=VLOOKUP($A6,main!$A$3:$I$56,8,FALSE),VLOOKUP(C$1,main!$A$3:$I$56,4,FALSE),VLOOKUP(C$1,main!$A$3:$I$56,4,FALSE)+VLOOKUP($A6,main!$A$3:$I$56,4,FALSE)+(VLOOKUP(VLOOKUP(C$1,main!$A$3:$I$56,8,FALSE),main!$K$19:$O$22,MATCH(VLOOKUP($A6,main!$A$3:$I$56,7,FALSE),main!$K$18:$O$18,0),0))),0)</f>
        <v>0</v>
      </c>
      <c r="D6">
        <f>IF((gamma!D6),IF(VLOOKUP(D$1,main!$A$3:$I$56,7,FALSE)=VLOOKUP($A6,main!$A$3:$I$56,8,FALSE),VLOOKUP(D$1,main!$A$3:$I$56,4,FALSE),VLOOKUP(D$1,main!$A$3:$I$56,4,FALSE)+VLOOKUP($A6,main!$A$3:$I$56,4,FALSE)+(VLOOKUP(VLOOKUP(D$1,main!$A$3:$I$56,8,FALSE),main!$K$19:$O$22,MATCH(VLOOKUP($A6,main!$A$3:$I$56,7,FALSE),main!$K$18:$O$18,0),0))),0)</f>
        <v>0</v>
      </c>
      <c r="E6">
        <f>IF((gamma!E6),IF(VLOOKUP(E$1,main!$A$3:$I$56,7,FALSE)=VLOOKUP($A6,main!$A$3:$I$56,8,FALSE),VLOOKUP(E$1,main!$A$3:$I$56,4,FALSE),VLOOKUP(E$1,main!$A$3:$I$56,4,FALSE)+VLOOKUP($A6,main!$A$3:$I$56,4,FALSE)+(VLOOKUP(VLOOKUP(E$1,main!$A$3:$I$56,8,FALSE),main!$K$19:$O$22,MATCH(VLOOKUP($A6,main!$A$3:$I$56,7,FALSE),main!$K$18:$O$18,0),0))),0)</f>
        <v>0</v>
      </c>
      <c r="F6">
        <f>IF((gamma!F6),IF(VLOOKUP(F$1,main!$A$3:$I$56,7,FALSE)=VLOOKUP($A6,main!$A$3:$I$56,8,FALSE),VLOOKUP(F$1,main!$A$3:$I$56,4,FALSE),VLOOKUP(F$1,main!$A$3:$I$56,4,FALSE)+VLOOKUP($A6,main!$A$3:$I$56,4,FALSE)+(VLOOKUP(VLOOKUP(F$1,main!$A$3:$I$56,8,FALSE),main!$K$19:$O$22,MATCH(VLOOKUP($A6,main!$A$3:$I$56,7,FALSE),main!$K$18:$O$18,0),0))),0)</f>
        <v>0</v>
      </c>
      <c r="G6">
        <f>IF((gamma!G6),IF(VLOOKUP(G$1,main!$A$3:$I$56,7,FALSE)=VLOOKUP($A6,main!$A$3:$I$56,8,FALSE),VLOOKUP(G$1,main!$A$3:$I$56,4,FALSE),VLOOKUP(G$1,main!$A$3:$I$56,4,FALSE)+VLOOKUP($A6,main!$A$3:$I$56,4,FALSE)+(VLOOKUP(VLOOKUP(G$1,main!$A$3:$I$56,8,FALSE),main!$K$19:$O$22,MATCH(VLOOKUP($A6,main!$A$3:$I$56,7,FALSE),main!$K$18:$O$18,0),0))),0)</f>
        <v>0</v>
      </c>
      <c r="H6">
        <f>IF((gamma!H6),IF(VLOOKUP(H$1,main!$A$3:$I$56,7,FALSE)=VLOOKUP($A6,main!$A$3:$I$56,8,FALSE),VLOOKUP(H$1,main!$A$3:$I$56,4,FALSE),VLOOKUP(H$1,main!$A$3:$I$56,4,FALSE)+VLOOKUP($A6,main!$A$3:$I$56,4,FALSE)+(VLOOKUP(VLOOKUP(H$1,main!$A$3:$I$56,8,FALSE),main!$K$19:$O$22,MATCH(VLOOKUP($A6,main!$A$3:$I$56,7,FALSE),main!$K$18:$O$18,0),0))),0)</f>
        <v>0</v>
      </c>
      <c r="I6">
        <f>IF((gamma!I6),IF(VLOOKUP(I$1,main!$A$3:$I$56,7,FALSE)=VLOOKUP($A6,main!$A$3:$I$56,8,FALSE),VLOOKUP(I$1,main!$A$3:$I$56,4,FALSE),VLOOKUP(I$1,main!$A$3:$I$56,4,FALSE)+VLOOKUP($A6,main!$A$3:$I$56,4,FALSE)+(VLOOKUP(VLOOKUP(I$1,main!$A$3:$I$56,8,FALSE),main!$K$19:$O$22,MATCH(VLOOKUP($A6,main!$A$3:$I$56,7,FALSE),main!$K$18:$O$18,0),0))),0)</f>
        <v>295</v>
      </c>
      <c r="J6">
        <f>IF((gamma!J6),IF(VLOOKUP(J$1,main!$A$3:$I$56,7,FALSE)=VLOOKUP($A6,main!$A$3:$I$56,8,FALSE),VLOOKUP(J$1,main!$A$3:$I$56,4,FALSE),VLOOKUP(J$1,main!$A$3:$I$56,4,FALSE)+VLOOKUP($A6,main!$A$3:$I$56,4,FALSE)+(VLOOKUP(VLOOKUP(J$1,main!$A$3:$I$56,8,FALSE),main!$K$19:$O$22,MATCH(VLOOKUP($A6,main!$A$3:$I$56,7,FALSE),main!$K$18:$O$18,0),0))),0)</f>
        <v>295</v>
      </c>
      <c r="K6">
        <f>IF((gamma!K6),IF(VLOOKUP(K$1,main!$A$3:$I$56,7,FALSE)=VLOOKUP($A6,main!$A$3:$I$56,8,FALSE),VLOOKUP(K$1,main!$A$3:$I$56,4,FALSE),VLOOKUP(K$1,main!$A$3:$I$56,4,FALSE)+VLOOKUP($A6,main!$A$3:$I$56,4,FALSE)+(VLOOKUP(VLOOKUP(K$1,main!$A$3:$I$56,8,FALSE),main!$K$19:$O$22,MATCH(VLOOKUP($A6,main!$A$3:$I$56,7,FALSE),main!$K$18:$O$18,0),0))),0)</f>
        <v>0</v>
      </c>
      <c r="L6">
        <f>IF((gamma!L6),IF(VLOOKUP(L$1,main!$A$3:$I$56,7,FALSE)=VLOOKUP($A6,main!$A$3:$I$56,8,FALSE),VLOOKUP(L$1,main!$A$3:$I$56,4,FALSE),VLOOKUP(L$1,main!$A$3:$I$56,4,FALSE)+VLOOKUP($A6,main!$A$3:$I$56,4,FALSE)+(VLOOKUP(VLOOKUP(L$1,main!$A$3:$I$56,8,FALSE),main!$K$19:$O$22,MATCH(VLOOKUP($A6,main!$A$3:$I$56,7,FALSE),main!$K$18:$O$18,0),0))),0)</f>
        <v>0</v>
      </c>
      <c r="M6">
        <f>IF((gamma!M6),IF(VLOOKUP(M$1,main!$A$3:$I$56,7,FALSE)=VLOOKUP($A6,main!$A$3:$I$56,8,FALSE),VLOOKUP(M$1,main!$A$3:$I$56,4,FALSE),VLOOKUP(M$1,main!$A$3:$I$56,4,FALSE)+VLOOKUP($A6,main!$A$3:$I$56,4,FALSE)+(VLOOKUP(VLOOKUP(M$1,main!$A$3:$I$56,8,FALSE),main!$K$19:$O$22,MATCH(VLOOKUP($A6,main!$A$3:$I$56,7,FALSE),main!$K$18:$O$18,0),0))),0)</f>
        <v>0</v>
      </c>
      <c r="N6">
        <f>IF((gamma!N6),IF(VLOOKUP(N$1,main!$A$3:$I$56,7,FALSE)=VLOOKUP($A6,main!$A$3:$I$56,8,FALSE),VLOOKUP(N$1,main!$A$3:$I$56,4,FALSE),VLOOKUP(N$1,main!$A$3:$I$56,4,FALSE)+VLOOKUP($A6,main!$A$3:$I$56,4,FALSE)+(VLOOKUP(VLOOKUP(N$1,main!$A$3:$I$56,8,FALSE),main!$K$19:$O$22,MATCH(VLOOKUP($A6,main!$A$3:$I$56,7,FALSE),main!$K$18:$O$18,0),0))),0)</f>
        <v>305</v>
      </c>
      <c r="O6">
        <f>IF((gamma!O6),IF(VLOOKUP(O$1,main!$A$3:$I$56,7,FALSE)=VLOOKUP($A6,main!$A$3:$I$56,8,FALSE),VLOOKUP(O$1,main!$A$3:$I$56,4,FALSE),VLOOKUP(O$1,main!$A$3:$I$56,4,FALSE)+VLOOKUP($A6,main!$A$3:$I$56,4,FALSE)+(VLOOKUP(VLOOKUP(O$1,main!$A$3:$I$56,8,FALSE),main!$K$19:$O$22,MATCH(VLOOKUP($A6,main!$A$3:$I$56,7,FALSE),main!$K$18:$O$18,0),0))),0)</f>
        <v>305</v>
      </c>
      <c r="P6">
        <f>IF((gamma!P6),IF(VLOOKUP(P$1,main!$A$3:$I$56,7,FALSE)=VLOOKUP($A6,main!$A$3:$I$56,8,FALSE),VLOOKUP(P$1,main!$A$3:$I$56,4,FALSE),VLOOKUP(P$1,main!$A$3:$I$56,4,FALSE)+VLOOKUP($A6,main!$A$3:$I$56,4,FALSE)+(VLOOKUP(VLOOKUP(P$1,main!$A$3:$I$56,8,FALSE),main!$K$19:$O$22,MATCH(VLOOKUP($A6,main!$A$3:$I$56,7,FALSE),main!$K$18:$O$18,0),0))),0)</f>
        <v>0</v>
      </c>
      <c r="Q6">
        <f>IF((gamma!Q6),IF(VLOOKUP(Q$1,main!$A$3:$I$56,7,FALSE)=VLOOKUP($A6,main!$A$3:$I$56,8,FALSE),VLOOKUP(Q$1,main!$A$3:$I$56,4,FALSE),VLOOKUP(Q$1,main!$A$3:$I$56,4,FALSE)+VLOOKUP($A6,main!$A$3:$I$56,4,FALSE)+(VLOOKUP(VLOOKUP(Q$1,main!$A$3:$I$56,8,FALSE),main!$K$19:$O$22,MATCH(VLOOKUP($A6,main!$A$3:$I$56,7,FALSE),main!$K$18:$O$18,0),0))),0)</f>
        <v>0</v>
      </c>
      <c r="R6">
        <f>IF((gamma!R6),IF(VLOOKUP(R$1,main!$A$3:$I$56,7,FALSE)=VLOOKUP($A6,main!$A$3:$I$56,8,FALSE),VLOOKUP(R$1,main!$A$3:$I$56,4,FALSE),VLOOKUP(R$1,main!$A$3:$I$56,4,FALSE)+VLOOKUP($A6,main!$A$3:$I$56,4,FALSE)+(VLOOKUP(VLOOKUP(R$1,main!$A$3:$I$56,8,FALSE),main!$K$19:$O$22,MATCH(VLOOKUP($A6,main!$A$3:$I$56,7,FALSE),main!$K$18:$O$18,0),0))),0)</f>
        <v>0</v>
      </c>
      <c r="S6">
        <f>IF((gamma!S6),IF(VLOOKUP(S$1,main!$A$3:$I$56,7,FALSE)=VLOOKUP($A6,main!$A$3:$I$56,8,FALSE),VLOOKUP(S$1,main!$A$3:$I$56,4,FALSE),VLOOKUP(S$1,main!$A$3:$I$56,4,FALSE)+VLOOKUP($A6,main!$A$3:$I$56,4,FALSE)+(VLOOKUP(VLOOKUP(S$1,main!$A$3:$I$56,8,FALSE),main!$K$19:$O$22,MATCH(VLOOKUP($A6,main!$A$3:$I$56,7,FALSE),main!$K$18:$O$18,0),0))),0)</f>
        <v>0</v>
      </c>
      <c r="T6">
        <f>IF((gamma!T6),IF(VLOOKUP(T$1,main!$A$3:$I$56,7,FALSE)=VLOOKUP($A6,main!$A$3:$I$56,8,FALSE),VLOOKUP(T$1,main!$A$3:$I$56,4,FALSE),VLOOKUP(T$1,main!$A$3:$I$56,4,FALSE)+VLOOKUP($A6,main!$A$3:$I$56,4,FALSE)+(VLOOKUP(VLOOKUP(T$1,main!$A$3:$I$56,8,FALSE),main!$K$19:$O$22,MATCH(VLOOKUP($A6,main!$A$3:$I$56,7,FALSE),main!$K$18:$O$18,0),0))),0)</f>
        <v>310</v>
      </c>
      <c r="U6">
        <f>IF((gamma!U6),IF(VLOOKUP(U$1,main!$A$3:$I$56,7,FALSE)=VLOOKUP($A6,main!$A$3:$I$56,8,FALSE),VLOOKUP(U$1,main!$A$3:$I$56,4,FALSE),VLOOKUP(U$1,main!$A$3:$I$56,4,FALSE)+VLOOKUP($A6,main!$A$3:$I$56,4,FALSE)+(VLOOKUP(VLOOKUP(U$1,main!$A$3:$I$56,8,FALSE),main!$K$19:$O$22,MATCH(VLOOKUP($A6,main!$A$3:$I$56,7,FALSE),main!$K$18:$O$18,0),0))),0)</f>
        <v>0</v>
      </c>
      <c r="V6">
        <f>IF((gamma!V6),IF(VLOOKUP(V$1,main!$A$3:$I$56,7,FALSE)=VLOOKUP($A6,main!$A$3:$I$56,8,FALSE),VLOOKUP(V$1,main!$A$3:$I$56,4,FALSE),VLOOKUP(V$1,main!$A$3:$I$56,4,FALSE)+VLOOKUP($A6,main!$A$3:$I$56,4,FALSE)+(VLOOKUP(VLOOKUP(V$1,main!$A$3:$I$56,8,FALSE),main!$K$19:$O$22,MATCH(VLOOKUP($A6,main!$A$3:$I$56,7,FALSE),main!$K$18:$O$18,0),0))),0)</f>
        <v>0</v>
      </c>
      <c r="W6">
        <f>IF((gamma!W6),IF(VLOOKUP(W$1,main!$A$3:$I$56,7,FALSE)=VLOOKUP($A6,main!$A$3:$I$56,8,FALSE),VLOOKUP(W$1,main!$A$3:$I$56,4,FALSE),VLOOKUP(W$1,main!$A$3:$I$56,4,FALSE)+VLOOKUP($A6,main!$A$3:$I$56,4,FALSE)+(VLOOKUP(VLOOKUP(W$1,main!$A$3:$I$56,8,FALSE),main!$K$19:$O$22,MATCH(VLOOKUP($A6,main!$A$3:$I$56,7,FALSE),main!$K$18:$O$18,0),0))),0)</f>
        <v>0</v>
      </c>
      <c r="X6">
        <f>IF((gamma!X6),IF(VLOOKUP(X$1,main!$A$3:$I$56,7,FALSE)=VLOOKUP($A6,main!$A$3:$I$56,8,FALSE),VLOOKUP(X$1,main!$A$3:$I$56,4,FALSE),VLOOKUP(X$1,main!$A$3:$I$56,4,FALSE)+VLOOKUP($A6,main!$A$3:$I$56,4,FALSE)+(VLOOKUP(VLOOKUP(X$1,main!$A$3:$I$56,8,FALSE),main!$K$19:$O$22,MATCH(VLOOKUP($A6,main!$A$3:$I$56,7,FALSE),main!$K$18:$O$18,0),0))),0)</f>
        <v>0</v>
      </c>
      <c r="Y6">
        <f>IF((gamma!Y6),IF(VLOOKUP(Y$1,main!$A$3:$I$56,7,FALSE)=VLOOKUP($A6,main!$A$3:$I$56,8,FALSE),VLOOKUP(Y$1,main!$A$3:$I$56,4,FALSE),VLOOKUP(Y$1,main!$A$3:$I$56,4,FALSE)+VLOOKUP($A6,main!$A$3:$I$56,4,FALSE)+(VLOOKUP(VLOOKUP(Y$1,main!$A$3:$I$56,8,FALSE),main!$K$19:$O$22,MATCH(VLOOKUP($A6,main!$A$3:$I$56,7,FALSE),main!$K$18:$O$18,0),0))),0)</f>
        <v>0</v>
      </c>
      <c r="Z6">
        <f>IF((gamma!Z6),IF(VLOOKUP(Z$1,main!$A$3:$I$56,7,FALSE)=VLOOKUP($A6,main!$A$3:$I$56,8,FALSE),VLOOKUP(Z$1,main!$A$3:$I$56,4,FALSE),VLOOKUP(Z$1,main!$A$3:$I$56,4,FALSE)+VLOOKUP($A6,main!$A$3:$I$56,4,FALSE)+(VLOOKUP(VLOOKUP(Z$1,main!$A$3:$I$56,8,FALSE),main!$K$19:$O$22,MATCH(VLOOKUP($A6,main!$A$3:$I$56,7,FALSE),main!$K$18:$O$18,0),0))),0)</f>
        <v>0</v>
      </c>
      <c r="AA6">
        <f>IF((gamma!AA6),IF(VLOOKUP(AA$1,main!$A$3:$I$56,7,FALSE)=VLOOKUP($A6,main!$A$3:$I$56,8,FALSE),VLOOKUP(AA$1,main!$A$3:$I$56,4,FALSE),VLOOKUP(AA$1,main!$A$3:$I$56,4,FALSE)+VLOOKUP($A6,main!$A$3:$I$56,4,FALSE)+(VLOOKUP(VLOOKUP(AA$1,main!$A$3:$I$56,8,FALSE),main!$K$19:$O$22,MATCH(VLOOKUP($A6,main!$A$3:$I$56,7,FALSE),main!$K$18:$O$18,0),0))),0)</f>
        <v>135</v>
      </c>
      <c r="AB6">
        <f>IF((gamma!AB6),IF(VLOOKUP(AB$1,main!$A$3:$I$56,7,FALSE)=VLOOKUP($A6,main!$A$3:$I$56,8,FALSE),VLOOKUP(AB$1,main!$A$3:$I$56,4,FALSE),VLOOKUP(AB$1,main!$A$3:$I$56,4,FALSE)+VLOOKUP($A6,main!$A$3:$I$56,4,FALSE)+(VLOOKUP(VLOOKUP(AB$1,main!$A$3:$I$56,8,FALSE),main!$K$19:$O$22,MATCH(VLOOKUP($A6,main!$A$3:$I$56,7,FALSE),main!$K$18:$O$18,0),0))),0)</f>
        <v>135</v>
      </c>
      <c r="AC6">
        <f>IF((gamma!AC6),IF(VLOOKUP(AC$1,main!$A$3:$I$56,7,FALSE)=VLOOKUP($A6,main!$A$3:$I$56,8,FALSE),VLOOKUP(AC$1,main!$A$3:$I$56,4,FALSE),VLOOKUP(AC$1,main!$A$3:$I$56,4,FALSE)+VLOOKUP($A6,main!$A$3:$I$56,4,FALSE)+(VLOOKUP(VLOOKUP(AC$1,main!$A$3:$I$56,8,FALSE),main!$K$19:$O$22,MATCH(VLOOKUP($A6,main!$A$3:$I$56,7,FALSE),main!$K$18:$O$18,0),0))),0)</f>
        <v>0</v>
      </c>
      <c r="AD6">
        <f>IF((gamma!AD6),IF(VLOOKUP(AD$1,main!$A$3:$I$56,7,FALSE)=VLOOKUP($A6,main!$A$3:$I$56,8,FALSE),VLOOKUP(AD$1,main!$A$3:$I$56,4,FALSE),VLOOKUP(AD$1,main!$A$3:$I$56,4,FALSE)+VLOOKUP($A6,main!$A$3:$I$56,4,FALSE)+(VLOOKUP(VLOOKUP(AD$1,main!$A$3:$I$56,8,FALSE),main!$K$19:$O$22,MATCH(VLOOKUP($A6,main!$A$3:$I$56,7,FALSE),main!$K$18:$O$18,0),0))),0)</f>
        <v>0</v>
      </c>
      <c r="AE6">
        <f>IF((gamma!AE6),IF(VLOOKUP(AE$1,main!$A$3:$I$56,7,FALSE)=VLOOKUP($A6,main!$A$3:$I$56,8,FALSE),VLOOKUP(AE$1,main!$A$3:$I$56,4,FALSE),VLOOKUP(AE$1,main!$A$3:$I$56,4,FALSE)+VLOOKUP($A6,main!$A$3:$I$56,4,FALSE)+(VLOOKUP(VLOOKUP(AE$1,main!$A$3:$I$56,8,FALSE),main!$K$19:$O$22,MATCH(VLOOKUP($A6,main!$A$3:$I$56,7,FALSE),main!$K$18:$O$18,0),0))),0)</f>
        <v>0</v>
      </c>
      <c r="AF6">
        <f>IF((gamma!AF6),IF(VLOOKUP(AF$1,main!$A$3:$I$56,7,FALSE)=VLOOKUP($A6,main!$A$3:$I$56,8,FALSE),VLOOKUP(AF$1,main!$A$3:$I$56,4,FALSE),VLOOKUP(AF$1,main!$A$3:$I$56,4,FALSE)+VLOOKUP($A6,main!$A$3:$I$56,4,FALSE)+(VLOOKUP(VLOOKUP(AF$1,main!$A$3:$I$56,8,FALSE),main!$K$19:$O$22,MATCH(VLOOKUP($A6,main!$A$3:$I$56,7,FALSE),main!$K$18:$O$18,0),0))),0)</f>
        <v>0</v>
      </c>
      <c r="AG6">
        <f>IF((gamma!AG6),IF(VLOOKUP(AG$1,main!$A$3:$I$56,7,FALSE)=VLOOKUP($A6,main!$A$3:$I$56,8,FALSE),VLOOKUP(AG$1,main!$A$3:$I$56,4,FALSE),VLOOKUP(AG$1,main!$A$3:$I$56,4,FALSE)+VLOOKUP($A6,main!$A$3:$I$56,4,FALSE)+(VLOOKUP(VLOOKUP(AG$1,main!$A$3:$I$56,8,FALSE),main!$K$19:$O$22,MATCH(VLOOKUP($A6,main!$A$3:$I$56,7,FALSE),main!$K$18:$O$18,0),0))),0)</f>
        <v>0</v>
      </c>
      <c r="AH6">
        <f>IF((gamma!AH6),IF(VLOOKUP(AH$1,main!$A$3:$I$56,7,FALSE)=VLOOKUP($A6,main!$A$3:$I$56,8,FALSE),VLOOKUP(AH$1,main!$A$3:$I$56,4,FALSE),VLOOKUP(AH$1,main!$A$3:$I$56,4,FALSE)+VLOOKUP($A6,main!$A$3:$I$56,4,FALSE)+(VLOOKUP(VLOOKUP(AH$1,main!$A$3:$I$56,8,FALSE),main!$K$19:$O$22,MATCH(VLOOKUP($A6,main!$A$3:$I$56,7,FALSE),main!$K$18:$O$18,0),0))),0)</f>
        <v>0</v>
      </c>
      <c r="AI6">
        <f>IF((gamma!AI6),IF(VLOOKUP(AI$1,main!$A$3:$I$56,7,FALSE)=VLOOKUP($A6,main!$A$3:$I$56,8,FALSE),VLOOKUP(AI$1,main!$A$3:$I$56,4,FALSE),VLOOKUP(AI$1,main!$A$3:$I$56,4,FALSE)+VLOOKUP($A6,main!$A$3:$I$56,4,FALSE)+(VLOOKUP(VLOOKUP(AI$1,main!$A$3:$I$56,8,FALSE),main!$K$19:$O$22,MATCH(VLOOKUP($A6,main!$A$3:$I$56,7,FALSE),main!$K$18:$O$18,0),0))),0)</f>
        <v>0</v>
      </c>
      <c r="AJ6">
        <f>IF((gamma!AJ6),IF(VLOOKUP(AJ$1,main!$A$3:$I$56,7,FALSE)=VLOOKUP($A6,main!$A$3:$I$56,8,FALSE),VLOOKUP(AJ$1,main!$A$3:$I$56,4,FALSE),VLOOKUP(AJ$1,main!$A$3:$I$56,4,FALSE)+VLOOKUP($A6,main!$A$3:$I$56,4,FALSE)+(VLOOKUP(VLOOKUP(AJ$1,main!$A$3:$I$56,8,FALSE),main!$K$19:$O$22,MATCH(VLOOKUP($A6,main!$A$3:$I$56,7,FALSE),main!$K$18:$O$18,0),0))),0)</f>
        <v>0</v>
      </c>
      <c r="AK6">
        <f>IF((gamma!AK6),IF(VLOOKUP(AK$1,main!$A$3:$I$56,7,FALSE)=VLOOKUP($A6,main!$A$3:$I$56,8,FALSE),VLOOKUP(AK$1,main!$A$3:$I$56,4,FALSE),VLOOKUP(AK$1,main!$A$3:$I$56,4,FALSE)+VLOOKUP($A6,main!$A$3:$I$56,4,FALSE)+(VLOOKUP(VLOOKUP(AK$1,main!$A$3:$I$56,8,FALSE),main!$K$19:$O$22,MATCH(VLOOKUP($A6,main!$A$3:$I$56,7,FALSE),main!$K$18:$O$18,0),0))),0)</f>
        <v>0</v>
      </c>
      <c r="AL6">
        <f>IF((gamma!AL6),IF(VLOOKUP(AL$1,main!$A$3:$I$56,7,FALSE)=VLOOKUP($A6,main!$A$3:$I$56,8,FALSE),VLOOKUP(AL$1,main!$A$3:$I$56,4,FALSE),VLOOKUP(AL$1,main!$A$3:$I$56,4,FALSE)+VLOOKUP($A6,main!$A$3:$I$56,4,FALSE)+(VLOOKUP(VLOOKUP(AL$1,main!$A$3:$I$56,8,FALSE),main!$K$19:$O$22,MATCH(VLOOKUP($A6,main!$A$3:$I$56,7,FALSE),main!$K$18:$O$18,0),0))),0)</f>
        <v>0</v>
      </c>
      <c r="AM6">
        <f>IF((gamma!AM6),IF(VLOOKUP(AM$1,main!$A$3:$I$56,7,FALSE)=VLOOKUP($A6,main!$A$3:$I$56,8,FALSE),VLOOKUP(AM$1,main!$A$3:$I$56,4,FALSE),VLOOKUP(AM$1,main!$A$3:$I$56,4,FALSE)+VLOOKUP($A6,main!$A$3:$I$56,4,FALSE)+(VLOOKUP(VLOOKUP(AM$1,main!$A$3:$I$56,8,FALSE),main!$K$19:$O$22,MATCH(VLOOKUP($A6,main!$A$3:$I$56,7,FALSE),main!$K$18:$O$18,0),0))),0)</f>
        <v>0</v>
      </c>
      <c r="AN6">
        <f>IF((gamma!AN6),IF(VLOOKUP(AN$1,main!$A$3:$I$56,7,FALSE)=VLOOKUP($A6,main!$A$3:$I$56,8,FALSE),VLOOKUP(AN$1,main!$A$3:$I$56,4,FALSE),VLOOKUP(AN$1,main!$A$3:$I$56,4,FALSE)+VLOOKUP($A6,main!$A$3:$I$56,4,FALSE)+(VLOOKUP(VLOOKUP(AN$1,main!$A$3:$I$56,8,FALSE),main!$K$19:$O$22,MATCH(VLOOKUP($A6,main!$A$3:$I$56,7,FALSE),main!$K$18:$O$18,0),0))),0)</f>
        <v>0</v>
      </c>
      <c r="AO6">
        <f>IF((gamma!AO6),IF(VLOOKUP(AO$1,main!$A$3:$I$56,7,FALSE)=VLOOKUP($A6,main!$A$3:$I$56,8,FALSE),VLOOKUP(AO$1,main!$A$3:$I$56,4,FALSE),VLOOKUP(AO$1,main!$A$3:$I$56,4,FALSE)+VLOOKUP($A6,main!$A$3:$I$56,4,FALSE)+(VLOOKUP(VLOOKUP(AO$1,main!$A$3:$I$56,8,FALSE),main!$K$19:$O$22,MATCH(VLOOKUP($A6,main!$A$3:$I$56,7,FALSE),main!$K$18:$O$18,0),0))),0)</f>
        <v>0</v>
      </c>
      <c r="AP6">
        <f>IF((gamma!AP6),IF(VLOOKUP(AP$1,main!$A$3:$I$56,7,FALSE)=VLOOKUP($A6,main!$A$3:$I$56,8,FALSE),VLOOKUP(AP$1,main!$A$3:$I$56,4,FALSE),VLOOKUP(AP$1,main!$A$3:$I$56,4,FALSE)+VLOOKUP($A6,main!$A$3:$I$56,4,FALSE)+(VLOOKUP(VLOOKUP(AP$1,main!$A$3:$I$56,8,FALSE),main!$K$19:$O$22,MATCH(VLOOKUP($A6,main!$A$3:$I$56,7,FALSE),main!$K$18:$O$18,0),0))),0)</f>
        <v>0</v>
      </c>
      <c r="AQ6">
        <f>IF((gamma!AQ6),IF(VLOOKUP(AQ$1,main!$A$3:$I$56,7,FALSE)=VLOOKUP($A6,main!$A$3:$I$56,8,FALSE),VLOOKUP(AQ$1,main!$A$3:$I$56,4,FALSE),VLOOKUP(AQ$1,main!$A$3:$I$56,4,FALSE)+VLOOKUP($A6,main!$A$3:$I$56,4,FALSE)+(VLOOKUP(VLOOKUP(AQ$1,main!$A$3:$I$56,8,FALSE),main!$K$19:$O$22,MATCH(VLOOKUP($A6,main!$A$3:$I$56,7,FALSE),main!$K$18:$O$18,0),0))),0)</f>
        <v>0</v>
      </c>
      <c r="AR6">
        <f>IF((gamma!AR6),IF(VLOOKUP(AR$1,main!$A$3:$I$56,7,FALSE)=VLOOKUP($A6,main!$A$3:$I$56,8,FALSE),VLOOKUP(AR$1,main!$A$3:$I$56,4,FALSE),VLOOKUP(AR$1,main!$A$3:$I$56,4,FALSE)+VLOOKUP($A6,main!$A$3:$I$56,4,FALSE)+(VLOOKUP(VLOOKUP(AR$1,main!$A$3:$I$56,8,FALSE),main!$K$19:$O$22,MATCH(VLOOKUP($A6,main!$A$3:$I$56,7,FALSE),main!$K$18:$O$18,0),0))),0)</f>
        <v>0</v>
      </c>
      <c r="AS6">
        <f>IF((gamma!AS6),IF(VLOOKUP(AS$1,main!$A$3:$I$56,7,FALSE)=VLOOKUP($A6,main!$A$3:$I$56,8,FALSE),VLOOKUP(AS$1,main!$A$3:$I$56,4,FALSE),VLOOKUP(AS$1,main!$A$3:$I$56,4,FALSE)+VLOOKUP($A6,main!$A$3:$I$56,4,FALSE)+(VLOOKUP(VLOOKUP(AS$1,main!$A$3:$I$56,8,FALSE),main!$K$19:$O$22,MATCH(VLOOKUP($A6,main!$A$3:$I$56,7,FALSE),main!$K$18:$O$18,0),0))),0)</f>
        <v>0</v>
      </c>
      <c r="AT6">
        <f>IF((gamma!AT6),IF(VLOOKUP(AT$1,main!$A$3:$I$56,7,FALSE)=VLOOKUP($A6,main!$A$3:$I$56,8,FALSE),VLOOKUP(AT$1,main!$A$3:$I$56,4,FALSE),VLOOKUP(AT$1,main!$A$3:$I$56,4,FALSE)+VLOOKUP($A6,main!$A$3:$I$56,4,FALSE)+(VLOOKUP(VLOOKUP(AT$1,main!$A$3:$I$56,8,FALSE),main!$K$19:$O$22,MATCH(VLOOKUP($A6,main!$A$3:$I$56,7,FALSE),main!$K$18:$O$18,0),0))),0)</f>
        <v>0</v>
      </c>
      <c r="AU6">
        <f>IF((gamma!AU6),IF(VLOOKUP(AU$1,main!$A$3:$I$56,7,FALSE)=VLOOKUP($A6,main!$A$3:$I$56,8,FALSE),VLOOKUP(AU$1,main!$A$3:$I$56,4,FALSE),VLOOKUP(AU$1,main!$A$3:$I$56,4,FALSE)+VLOOKUP($A6,main!$A$3:$I$56,4,FALSE)+(VLOOKUP(VLOOKUP(AU$1,main!$A$3:$I$56,8,FALSE),main!$K$19:$O$22,MATCH(VLOOKUP($A6,main!$A$3:$I$56,7,FALSE),main!$K$18:$O$18,0),0))),0)</f>
        <v>0</v>
      </c>
      <c r="AV6">
        <f>IF((gamma!AV6),IF(VLOOKUP(AV$1,main!$A$3:$I$56,7,FALSE)=VLOOKUP($A6,main!$A$3:$I$56,8,FALSE),VLOOKUP(AV$1,main!$A$3:$I$56,4,FALSE),VLOOKUP(AV$1,main!$A$3:$I$56,4,FALSE)+VLOOKUP($A6,main!$A$3:$I$56,4,FALSE)+(VLOOKUP(VLOOKUP(AV$1,main!$A$3:$I$56,8,FALSE),main!$K$19:$O$22,MATCH(VLOOKUP($A6,main!$A$3:$I$56,7,FALSE),main!$K$18:$O$18,0),0))),0)</f>
        <v>0</v>
      </c>
      <c r="AW6">
        <f>IF((gamma!AW6),IF(VLOOKUP(AW$1,main!$A$3:$I$56,7,FALSE)=VLOOKUP($A6,main!$A$3:$I$56,8,FALSE),VLOOKUP(AW$1,main!$A$3:$I$56,4,FALSE),VLOOKUP(AW$1,main!$A$3:$I$56,4,FALSE)+VLOOKUP($A6,main!$A$3:$I$56,4,FALSE)+(VLOOKUP(VLOOKUP(AW$1,main!$A$3:$I$56,8,FALSE),main!$K$19:$O$22,MATCH(VLOOKUP($A6,main!$A$3:$I$56,7,FALSE),main!$K$18:$O$18,0),0))),0)</f>
        <v>0</v>
      </c>
      <c r="AX6">
        <f>IF((gamma!AX6),IF(VLOOKUP(AX$1,main!$A$3:$I$56,7,FALSE)=VLOOKUP($A6,main!$A$3:$I$56,8,FALSE),VLOOKUP(AX$1,main!$A$3:$I$56,4,FALSE),VLOOKUP(AX$1,main!$A$3:$I$56,4,FALSE)+VLOOKUP($A6,main!$A$3:$I$56,4,FALSE)+(VLOOKUP(VLOOKUP(AX$1,main!$A$3:$I$56,8,FALSE),main!$K$19:$O$22,MATCH(VLOOKUP($A6,main!$A$3:$I$56,7,FALSE),main!$K$18:$O$18,0),0))),0)</f>
        <v>0</v>
      </c>
      <c r="AY6">
        <f>IF((gamma!AY6),IF(VLOOKUP(AY$1,main!$A$3:$I$56,7,FALSE)=VLOOKUP($A6,main!$A$3:$I$56,8,FALSE),VLOOKUP(AY$1,main!$A$3:$I$56,4,FALSE),VLOOKUP(AY$1,main!$A$3:$I$56,4,FALSE)+VLOOKUP($A6,main!$A$3:$I$56,4,FALSE)+(VLOOKUP(VLOOKUP(AY$1,main!$A$3:$I$56,8,FALSE),main!$K$19:$O$22,MATCH(VLOOKUP($A6,main!$A$3:$I$56,7,FALSE),main!$K$18:$O$18,0),0))),0)</f>
        <v>275</v>
      </c>
      <c r="AZ6">
        <f>IF((gamma!AZ6),IF(VLOOKUP(AZ$1,main!$A$3:$I$56,7,FALSE)=VLOOKUP($A6,main!$A$3:$I$56,8,FALSE),VLOOKUP(AZ$1,main!$A$3:$I$56,4,FALSE),VLOOKUP(AZ$1,main!$A$3:$I$56,4,FALSE)+VLOOKUP($A6,main!$A$3:$I$56,4,FALSE)+(VLOOKUP(VLOOKUP(AZ$1,main!$A$3:$I$56,8,FALSE),main!$K$19:$O$22,MATCH(VLOOKUP($A6,main!$A$3:$I$56,7,FALSE),main!$K$18:$O$18,0),0))),0)</f>
        <v>0</v>
      </c>
      <c r="BA6">
        <f>IF((gamma!BA6),IF(VLOOKUP(BA$1,main!$A$3:$I$56,7,FALSE)=VLOOKUP($A6,main!$A$3:$I$56,8,FALSE),VLOOKUP(BA$1,main!$A$3:$I$56,4,FALSE),VLOOKUP(BA$1,main!$A$3:$I$56,4,FALSE)+VLOOKUP($A6,main!$A$3:$I$56,4,FALSE)+(VLOOKUP(VLOOKUP(BA$1,main!$A$3:$I$56,8,FALSE),main!$K$19:$O$22,MATCH(VLOOKUP($A6,main!$A$3:$I$56,7,FALSE),main!$K$18:$O$18,0),0))),0)</f>
        <v>0</v>
      </c>
      <c r="BB6">
        <f>IF((gamma!BB6),IF(VLOOKUP(BB$1,main!$A$3:$I$56,7,FALSE)=VLOOKUP($A6,main!$A$3:$I$56,8,FALSE),VLOOKUP(BB$1,main!$A$3:$I$56,4,FALSE),VLOOKUP(BB$1,main!$A$3:$I$56,4,FALSE)+VLOOKUP($A6,main!$A$3:$I$56,4,FALSE)+(VLOOKUP(VLOOKUP(BB$1,main!$A$3:$I$56,8,FALSE),main!$K$19:$O$22,MATCH(VLOOKUP($A6,main!$A$3:$I$56,7,FALSE),main!$K$18:$O$18,0),0))),0)</f>
        <v>0</v>
      </c>
      <c r="BC6">
        <f>IF((gamma!BC6),IF(VLOOKUP(BC$1,main!$A$3:$I$56,7,FALSE)=VLOOKUP($A6,main!$A$3:$I$56,8,FALSE),VLOOKUP(BC$1,main!$A$3:$I$56,4,FALSE),VLOOKUP(BC$1,main!$A$3:$I$56,4,FALSE)+VLOOKUP($A6,main!$A$3:$I$56,4,FALSE)+(VLOOKUP(VLOOKUP(BC$1,main!$A$3:$I$56,8,FALSE),main!$K$19:$O$22,MATCH(VLOOKUP($A6,main!$A$3:$I$56,7,FALSE),main!$K$18:$O$18,0),0))),0)</f>
        <v>0</v>
      </c>
      <c r="BD6">
        <f>IF((gamma!BD6),IF(VLOOKUP(BD$1,main!$A$3:$I$56,7,FALSE)=VLOOKUP($A6,main!$A$3:$I$56,8,FALSE),VLOOKUP(BD$1,main!$A$3:$I$56,4,FALSE),VLOOKUP(BD$1,main!$A$3:$I$56,4,FALSE)+VLOOKUP($A6,main!$A$3:$I$56,4,FALSE)+(VLOOKUP(VLOOKUP(BD$1,main!$A$3:$I$56,8,FALSE),main!$K$19:$O$22,MATCH(VLOOKUP($A6,main!$A$3:$I$56,7,FALSE),main!$K$18:$O$18,0),0))),0)</f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25">
      <c r="A7">
        <f t="shared" si="0"/>
        <v>5</v>
      </c>
      <c r="B7">
        <v>0</v>
      </c>
      <c r="C7">
        <f>IF((gamma!C7),IF(VLOOKUP(C$1,main!$A$3:$I$56,7,FALSE)=VLOOKUP($A7,main!$A$3:$I$56,8,FALSE),VLOOKUP(C$1,main!$A$3:$I$56,4,FALSE),VLOOKUP(C$1,main!$A$3:$I$56,4,FALSE)+VLOOKUP($A7,main!$A$3:$I$56,4,FALSE)+(VLOOKUP(VLOOKUP(C$1,main!$A$3:$I$56,8,FALSE),main!$K$19:$O$22,MATCH(VLOOKUP($A7,main!$A$3:$I$56,7,FALSE),main!$K$18:$O$18,0),0))),0)</f>
        <v>0</v>
      </c>
      <c r="D7">
        <f>IF((gamma!D7),IF(VLOOKUP(D$1,main!$A$3:$I$56,7,FALSE)=VLOOKUP($A7,main!$A$3:$I$56,8,FALSE),VLOOKUP(D$1,main!$A$3:$I$56,4,FALSE),VLOOKUP(D$1,main!$A$3:$I$56,4,FALSE)+VLOOKUP($A7,main!$A$3:$I$56,4,FALSE)+(VLOOKUP(VLOOKUP(D$1,main!$A$3:$I$56,8,FALSE),main!$K$19:$O$22,MATCH(VLOOKUP($A7,main!$A$3:$I$56,7,FALSE),main!$K$18:$O$18,0),0))),0)</f>
        <v>0</v>
      </c>
      <c r="E7">
        <f>IF((gamma!E7),IF(VLOOKUP(E$1,main!$A$3:$I$56,7,FALSE)=VLOOKUP($A7,main!$A$3:$I$56,8,FALSE),VLOOKUP(E$1,main!$A$3:$I$56,4,FALSE),VLOOKUP(E$1,main!$A$3:$I$56,4,FALSE)+VLOOKUP($A7,main!$A$3:$I$56,4,FALSE)+(VLOOKUP(VLOOKUP(E$1,main!$A$3:$I$56,8,FALSE),main!$K$19:$O$22,MATCH(VLOOKUP($A7,main!$A$3:$I$56,7,FALSE),main!$K$18:$O$18,0),0))),0)</f>
        <v>0</v>
      </c>
      <c r="F7">
        <f>IF((gamma!F7),IF(VLOOKUP(F$1,main!$A$3:$I$56,7,FALSE)=VLOOKUP($A7,main!$A$3:$I$56,8,FALSE),VLOOKUP(F$1,main!$A$3:$I$56,4,FALSE),VLOOKUP(F$1,main!$A$3:$I$56,4,FALSE)+VLOOKUP($A7,main!$A$3:$I$56,4,FALSE)+(VLOOKUP(VLOOKUP(F$1,main!$A$3:$I$56,8,FALSE),main!$K$19:$O$22,MATCH(VLOOKUP($A7,main!$A$3:$I$56,7,FALSE),main!$K$18:$O$18,0),0))),0)</f>
        <v>0</v>
      </c>
      <c r="G7">
        <f>IF((gamma!G7),IF(VLOOKUP(G$1,main!$A$3:$I$56,7,FALSE)=VLOOKUP($A7,main!$A$3:$I$56,8,FALSE),VLOOKUP(G$1,main!$A$3:$I$56,4,FALSE),VLOOKUP(G$1,main!$A$3:$I$56,4,FALSE)+VLOOKUP($A7,main!$A$3:$I$56,4,FALSE)+(VLOOKUP(VLOOKUP(G$1,main!$A$3:$I$56,8,FALSE),main!$K$19:$O$22,MATCH(VLOOKUP($A7,main!$A$3:$I$56,7,FALSE),main!$K$18:$O$18,0),0))),0)</f>
        <v>0</v>
      </c>
      <c r="H7">
        <f>IF((gamma!H7),IF(VLOOKUP(H$1,main!$A$3:$I$56,7,FALSE)=VLOOKUP($A7,main!$A$3:$I$56,8,FALSE),VLOOKUP(H$1,main!$A$3:$I$56,4,FALSE),VLOOKUP(H$1,main!$A$3:$I$56,4,FALSE)+VLOOKUP($A7,main!$A$3:$I$56,4,FALSE)+(VLOOKUP(VLOOKUP(H$1,main!$A$3:$I$56,8,FALSE),main!$K$19:$O$22,MATCH(VLOOKUP($A7,main!$A$3:$I$56,7,FALSE),main!$K$18:$O$18,0),0))),0)</f>
        <v>0</v>
      </c>
      <c r="I7">
        <f>IF((gamma!I7),IF(VLOOKUP(I$1,main!$A$3:$I$56,7,FALSE)=VLOOKUP($A7,main!$A$3:$I$56,8,FALSE),VLOOKUP(I$1,main!$A$3:$I$56,4,FALSE),VLOOKUP(I$1,main!$A$3:$I$56,4,FALSE)+VLOOKUP($A7,main!$A$3:$I$56,4,FALSE)+(VLOOKUP(VLOOKUP(I$1,main!$A$3:$I$56,8,FALSE),main!$K$19:$O$22,MATCH(VLOOKUP($A7,main!$A$3:$I$56,7,FALSE),main!$K$18:$O$18,0),0))),0)</f>
        <v>0</v>
      </c>
      <c r="J7">
        <f>IF((gamma!J7),IF(VLOOKUP(J$1,main!$A$3:$I$56,7,FALSE)=VLOOKUP($A7,main!$A$3:$I$56,8,FALSE),VLOOKUP(J$1,main!$A$3:$I$56,4,FALSE),VLOOKUP(J$1,main!$A$3:$I$56,4,FALSE)+VLOOKUP($A7,main!$A$3:$I$56,4,FALSE)+(VLOOKUP(VLOOKUP(J$1,main!$A$3:$I$56,8,FALSE),main!$K$19:$O$22,MATCH(VLOOKUP($A7,main!$A$3:$I$56,7,FALSE),main!$K$18:$O$18,0),0))),0)</f>
        <v>295</v>
      </c>
      <c r="K7">
        <f>IF((gamma!K7),IF(VLOOKUP(K$1,main!$A$3:$I$56,7,FALSE)=VLOOKUP($A7,main!$A$3:$I$56,8,FALSE),VLOOKUP(K$1,main!$A$3:$I$56,4,FALSE),VLOOKUP(K$1,main!$A$3:$I$56,4,FALSE)+VLOOKUP($A7,main!$A$3:$I$56,4,FALSE)+(VLOOKUP(VLOOKUP(K$1,main!$A$3:$I$56,8,FALSE),main!$K$19:$O$22,MATCH(VLOOKUP($A7,main!$A$3:$I$56,7,FALSE),main!$K$18:$O$18,0),0))),0)</f>
        <v>0</v>
      </c>
      <c r="L7">
        <f>IF((gamma!L7),IF(VLOOKUP(L$1,main!$A$3:$I$56,7,FALSE)=VLOOKUP($A7,main!$A$3:$I$56,8,FALSE),VLOOKUP(L$1,main!$A$3:$I$56,4,FALSE),VLOOKUP(L$1,main!$A$3:$I$56,4,FALSE)+VLOOKUP($A7,main!$A$3:$I$56,4,FALSE)+(VLOOKUP(VLOOKUP(L$1,main!$A$3:$I$56,8,FALSE),main!$K$19:$O$22,MATCH(VLOOKUP($A7,main!$A$3:$I$56,7,FALSE),main!$K$18:$O$18,0),0))),0)</f>
        <v>0</v>
      </c>
      <c r="M7">
        <f>IF((gamma!M7),IF(VLOOKUP(M$1,main!$A$3:$I$56,7,FALSE)=VLOOKUP($A7,main!$A$3:$I$56,8,FALSE),VLOOKUP(M$1,main!$A$3:$I$56,4,FALSE),VLOOKUP(M$1,main!$A$3:$I$56,4,FALSE)+VLOOKUP($A7,main!$A$3:$I$56,4,FALSE)+(VLOOKUP(VLOOKUP(M$1,main!$A$3:$I$56,8,FALSE),main!$K$19:$O$22,MATCH(VLOOKUP($A7,main!$A$3:$I$56,7,FALSE),main!$K$18:$O$18,0),0))),0)</f>
        <v>0</v>
      </c>
      <c r="N7">
        <f>IF((gamma!N7),IF(VLOOKUP(N$1,main!$A$3:$I$56,7,FALSE)=VLOOKUP($A7,main!$A$3:$I$56,8,FALSE),VLOOKUP(N$1,main!$A$3:$I$56,4,FALSE),VLOOKUP(N$1,main!$A$3:$I$56,4,FALSE)+VLOOKUP($A7,main!$A$3:$I$56,4,FALSE)+(VLOOKUP(VLOOKUP(N$1,main!$A$3:$I$56,8,FALSE),main!$K$19:$O$22,MATCH(VLOOKUP($A7,main!$A$3:$I$56,7,FALSE),main!$K$18:$O$18,0),0))),0)</f>
        <v>305</v>
      </c>
      <c r="O7">
        <f>IF((gamma!O7),IF(VLOOKUP(O$1,main!$A$3:$I$56,7,FALSE)=VLOOKUP($A7,main!$A$3:$I$56,8,FALSE),VLOOKUP(O$1,main!$A$3:$I$56,4,FALSE),VLOOKUP(O$1,main!$A$3:$I$56,4,FALSE)+VLOOKUP($A7,main!$A$3:$I$56,4,FALSE)+(VLOOKUP(VLOOKUP(O$1,main!$A$3:$I$56,8,FALSE),main!$K$19:$O$22,MATCH(VLOOKUP($A7,main!$A$3:$I$56,7,FALSE),main!$K$18:$O$18,0),0))),0)</f>
        <v>305</v>
      </c>
      <c r="P7">
        <f>IF((gamma!P7),IF(VLOOKUP(P$1,main!$A$3:$I$56,7,FALSE)=VLOOKUP($A7,main!$A$3:$I$56,8,FALSE),VLOOKUP(P$1,main!$A$3:$I$56,4,FALSE),VLOOKUP(P$1,main!$A$3:$I$56,4,FALSE)+VLOOKUP($A7,main!$A$3:$I$56,4,FALSE)+(VLOOKUP(VLOOKUP(P$1,main!$A$3:$I$56,8,FALSE),main!$K$19:$O$22,MATCH(VLOOKUP($A7,main!$A$3:$I$56,7,FALSE),main!$K$18:$O$18,0),0))),0)</f>
        <v>0</v>
      </c>
      <c r="Q7">
        <f>IF((gamma!Q7),IF(VLOOKUP(Q$1,main!$A$3:$I$56,7,FALSE)=VLOOKUP($A7,main!$A$3:$I$56,8,FALSE),VLOOKUP(Q$1,main!$A$3:$I$56,4,FALSE),VLOOKUP(Q$1,main!$A$3:$I$56,4,FALSE)+VLOOKUP($A7,main!$A$3:$I$56,4,FALSE)+(VLOOKUP(VLOOKUP(Q$1,main!$A$3:$I$56,8,FALSE),main!$K$19:$O$22,MATCH(VLOOKUP($A7,main!$A$3:$I$56,7,FALSE),main!$K$18:$O$18,0),0))),0)</f>
        <v>0</v>
      </c>
      <c r="R7">
        <f>IF((gamma!R7),IF(VLOOKUP(R$1,main!$A$3:$I$56,7,FALSE)=VLOOKUP($A7,main!$A$3:$I$56,8,FALSE),VLOOKUP(R$1,main!$A$3:$I$56,4,FALSE),VLOOKUP(R$1,main!$A$3:$I$56,4,FALSE)+VLOOKUP($A7,main!$A$3:$I$56,4,FALSE)+(VLOOKUP(VLOOKUP(R$1,main!$A$3:$I$56,8,FALSE),main!$K$19:$O$22,MATCH(VLOOKUP($A7,main!$A$3:$I$56,7,FALSE),main!$K$18:$O$18,0),0))),0)</f>
        <v>0</v>
      </c>
      <c r="S7">
        <f>IF((gamma!S7),IF(VLOOKUP(S$1,main!$A$3:$I$56,7,FALSE)=VLOOKUP($A7,main!$A$3:$I$56,8,FALSE),VLOOKUP(S$1,main!$A$3:$I$56,4,FALSE),VLOOKUP(S$1,main!$A$3:$I$56,4,FALSE)+VLOOKUP($A7,main!$A$3:$I$56,4,FALSE)+(VLOOKUP(VLOOKUP(S$1,main!$A$3:$I$56,8,FALSE),main!$K$19:$O$22,MATCH(VLOOKUP($A7,main!$A$3:$I$56,7,FALSE),main!$K$18:$O$18,0),0))),0)</f>
        <v>0</v>
      </c>
      <c r="T7">
        <f>IF((gamma!T7),IF(VLOOKUP(T$1,main!$A$3:$I$56,7,FALSE)=VLOOKUP($A7,main!$A$3:$I$56,8,FALSE),VLOOKUP(T$1,main!$A$3:$I$56,4,FALSE),VLOOKUP(T$1,main!$A$3:$I$56,4,FALSE)+VLOOKUP($A7,main!$A$3:$I$56,4,FALSE)+(VLOOKUP(VLOOKUP(T$1,main!$A$3:$I$56,8,FALSE),main!$K$19:$O$22,MATCH(VLOOKUP($A7,main!$A$3:$I$56,7,FALSE),main!$K$18:$O$18,0),0))),0)</f>
        <v>0</v>
      </c>
      <c r="U7">
        <f>IF((gamma!U7),IF(VLOOKUP(U$1,main!$A$3:$I$56,7,FALSE)=VLOOKUP($A7,main!$A$3:$I$56,8,FALSE),VLOOKUP(U$1,main!$A$3:$I$56,4,FALSE),VLOOKUP(U$1,main!$A$3:$I$56,4,FALSE)+VLOOKUP($A7,main!$A$3:$I$56,4,FALSE)+(VLOOKUP(VLOOKUP(U$1,main!$A$3:$I$56,8,FALSE),main!$K$19:$O$22,MATCH(VLOOKUP($A7,main!$A$3:$I$56,7,FALSE),main!$K$18:$O$18,0),0))),0)</f>
        <v>0</v>
      </c>
      <c r="V7">
        <f>IF((gamma!V7),IF(VLOOKUP(V$1,main!$A$3:$I$56,7,FALSE)=VLOOKUP($A7,main!$A$3:$I$56,8,FALSE),VLOOKUP(V$1,main!$A$3:$I$56,4,FALSE),VLOOKUP(V$1,main!$A$3:$I$56,4,FALSE)+VLOOKUP($A7,main!$A$3:$I$56,4,FALSE)+(VLOOKUP(VLOOKUP(V$1,main!$A$3:$I$56,8,FALSE),main!$K$19:$O$22,MATCH(VLOOKUP($A7,main!$A$3:$I$56,7,FALSE),main!$K$18:$O$18,0),0))),0)</f>
        <v>0</v>
      </c>
      <c r="W7">
        <f>IF((gamma!W7),IF(VLOOKUP(W$1,main!$A$3:$I$56,7,FALSE)=VLOOKUP($A7,main!$A$3:$I$56,8,FALSE),VLOOKUP(W$1,main!$A$3:$I$56,4,FALSE),VLOOKUP(W$1,main!$A$3:$I$56,4,FALSE)+VLOOKUP($A7,main!$A$3:$I$56,4,FALSE)+(VLOOKUP(VLOOKUP(W$1,main!$A$3:$I$56,8,FALSE),main!$K$19:$O$22,MATCH(VLOOKUP($A7,main!$A$3:$I$56,7,FALSE),main!$K$18:$O$18,0),0))),0)</f>
        <v>0</v>
      </c>
      <c r="X7">
        <f>IF((gamma!X7),IF(VLOOKUP(X$1,main!$A$3:$I$56,7,FALSE)=VLOOKUP($A7,main!$A$3:$I$56,8,FALSE),VLOOKUP(X$1,main!$A$3:$I$56,4,FALSE),VLOOKUP(X$1,main!$A$3:$I$56,4,FALSE)+VLOOKUP($A7,main!$A$3:$I$56,4,FALSE)+(VLOOKUP(VLOOKUP(X$1,main!$A$3:$I$56,8,FALSE),main!$K$19:$O$22,MATCH(VLOOKUP($A7,main!$A$3:$I$56,7,FALSE),main!$K$18:$O$18,0),0))),0)</f>
        <v>0</v>
      </c>
      <c r="Y7">
        <f>IF((gamma!Y7),IF(VLOOKUP(Y$1,main!$A$3:$I$56,7,FALSE)=VLOOKUP($A7,main!$A$3:$I$56,8,FALSE),VLOOKUP(Y$1,main!$A$3:$I$56,4,FALSE),VLOOKUP(Y$1,main!$A$3:$I$56,4,FALSE)+VLOOKUP($A7,main!$A$3:$I$56,4,FALSE)+(VLOOKUP(VLOOKUP(Y$1,main!$A$3:$I$56,8,FALSE),main!$K$19:$O$22,MATCH(VLOOKUP($A7,main!$A$3:$I$56,7,FALSE),main!$K$18:$O$18,0),0))),0)</f>
        <v>0</v>
      </c>
      <c r="Z7">
        <f>IF((gamma!Z7),IF(VLOOKUP(Z$1,main!$A$3:$I$56,7,FALSE)=VLOOKUP($A7,main!$A$3:$I$56,8,FALSE),VLOOKUP(Z$1,main!$A$3:$I$56,4,FALSE),VLOOKUP(Z$1,main!$A$3:$I$56,4,FALSE)+VLOOKUP($A7,main!$A$3:$I$56,4,FALSE)+(VLOOKUP(VLOOKUP(Z$1,main!$A$3:$I$56,8,FALSE),main!$K$19:$O$22,MATCH(VLOOKUP($A7,main!$A$3:$I$56,7,FALSE),main!$K$18:$O$18,0),0))),0)</f>
        <v>0</v>
      </c>
      <c r="AA7">
        <f>IF((gamma!AA7),IF(VLOOKUP(AA$1,main!$A$3:$I$56,7,FALSE)=VLOOKUP($A7,main!$A$3:$I$56,8,FALSE),VLOOKUP(AA$1,main!$A$3:$I$56,4,FALSE),VLOOKUP(AA$1,main!$A$3:$I$56,4,FALSE)+VLOOKUP($A7,main!$A$3:$I$56,4,FALSE)+(VLOOKUP(VLOOKUP(AA$1,main!$A$3:$I$56,8,FALSE),main!$K$19:$O$22,MATCH(VLOOKUP($A7,main!$A$3:$I$56,7,FALSE),main!$K$18:$O$18,0),0))),0)</f>
        <v>0</v>
      </c>
      <c r="AB7">
        <f>IF((gamma!AB7),IF(VLOOKUP(AB$1,main!$A$3:$I$56,7,FALSE)=VLOOKUP($A7,main!$A$3:$I$56,8,FALSE),VLOOKUP(AB$1,main!$A$3:$I$56,4,FALSE),VLOOKUP(AB$1,main!$A$3:$I$56,4,FALSE)+VLOOKUP($A7,main!$A$3:$I$56,4,FALSE)+(VLOOKUP(VLOOKUP(AB$1,main!$A$3:$I$56,8,FALSE),main!$K$19:$O$22,MATCH(VLOOKUP($A7,main!$A$3:$I$56,7,FALSE),main!$K$18:$O$18,0),0))),0)</f>
        <v>135</v>
      </c>
      <c r="AC7">
        <f>IF((gamma!AC7),IF(VLOOKUP(AC$1,main!$A$3:$I$56,7,FALSE)=VLOOKUP($A7,main!$A$3:$I$56,8,FALSE),VLOOKUP(AC$1,main!$A$3:$I$56,4,FALSE),VLOOKUP(AC$1,main!$A$3:$I$56,4,FALSE)+VLOOKUP($A7,main!$A$3:$I$56,4,FALSE)+(VLOOKUP(VLOOKUP(AC$1,main!$A$3:$I$56,8,FALSE),main!$K$19:$O$22,MATCH(VLOOKUP($A7,main!$A$3:$I$56,7,FALSE),main!$K$18:$O$18,0),0))),0)</f>
        <v>0</v>
      </c>
      <c r="AD7">
        <f>IF((gamma!AD7),IF(VLOOKUP(AD$1,main!$A$3:$I$56,7,FALSE)=VLOOKUP($A7,main!$A$3:$I$56,8,FALSE),VLOOKUP(AD$1,main!$A$3:$I$56,4,FALSE),VLOOKUP(AD$1,main!$A$3:$I$56,4,FALSE)+VLOOKUP($A7,main!$A$3:$I$56,4,FALSE)+(VLOOKUP(VLOOKUP(AD$1,main!$A$3:$I$56,8,FALSE),main!$K$19:$O$22,MATCH(VLOOKUP($A7,main!$A$3:$I$56,7,FALSE),main!$K$18:$O$18,0),0))),0)</f>
        <v>0</v>
      </c>
      <c r="AE7">
        <f>IF((gamma!AE7),IF(VLOOKUP(AE$1,main!$A$3:$I$56,7,FALSE)=VLOOKUP($A7,main!$A$3:$I$56,8,FALSE),VLOOKUP(AE$1,main!$A$3:$I$56,4,FALSE),VLOOKUP(AE$1,main!$A$3:$I$56,4,FALSE)+VLOOKUP($A7,main!$A$3:$I$56,4,FALSE)+(VLOOKUP(VLOOKUP(AE$1,main!$A$3:$I$56,8,FALSE),main!$K$19:$O$22,MATCH(VLOOKUP($A7,main!$A$3:$I$56,7,FALSE),main!$K$18:$O$18,0),0))),0)</f>
        <v>0</v>
      </c>
      <c r="AF7">
        <f>IF((gamma!AF7),IF(VLOOKUP(AF$1,main!$A$3:$I$56,7,FALSE)=VLOOKUP($A7,main!$A$3:$I$56,8,FALSE),VLOOKUP(AF$1,main!$A$3:$I$56,4,FALSE),VLOOKUP(AF$1,main!$A$3:$I$56,4,FALSE)+VLOOKUP($A7,main!$A$3:$I$56,4,FALSE)+(VLOOKUP(VLOOKUP(AF$1,main!$A$3:$I$56,8,FALSE),main!$K$19:$O$22,MATCH(VLOOKUP($A7,main!$A$3:$I$56,7,FALSE),main!$K$18:$O$18,0),0))),0)</f>
        <v>0</v>
      </c>
      <c r="AG7">
        <f>IF((gamma!AG7),IF(VLOOKUP(AG$1,main!$A$3:$I$56,7,FALSE)=VLOOKUP($A7,main!$A$3:$I$56,8,FALSE),VLOOKUP(AG$1,main!$A$3:$I$56,4,FALSE),VLOOKUP(AG$1,main!$A$3:$I$56,4,FALSE)+VLOOKUP($A7,main!$A$3:$I$56,4,FALSE)+(VLOOKUP(VLOOKUP(AG$1,main!$A$3:$I$56,8,FALSE),main!$K$19:$O$22,MATCH(VLOOKUP($A7,main!$A$3:$I$56,7,FALSE),main!$K$18:$O$18,0),0))),0)</f>
        <v>0</v>
      </c>
      <c r="AH7">
        <f>IF((gamma!AH7),IF(VLOOKUP(AH$1,main!$A$3:$I$56,7,FALSE)=VLOOKUP($A7,main!$A$3:$I$56,8,FALSE),VLOOKUP(AH$1,main!$A$3:$I$56,4,FALSE),VLOOKUP(AH$1,main!$A$3:$I$56,4,FALSE)+VLOOKUP($A7,main!$A$3:$I$56,4,FALSE)+(VLOOKUP(VLOOKUP(AH$1,main!$A$3:$I$56,8,FALSE),main!$K$19:$O$22,MATCH(VLOOKUP($A7,main!$A$3:$I$56,7,FALSE),main!$K$18:$O$18,0),0))),0)</f>
        <v>0</v>
      </c>
      <c r="AI7">
        <f>IF((gamma!AI7),IF(VLOOKUP(AI$1,main!$A$3:$I$56,7,FALSE)=VLOOKUP($A7,main!$A$3:$I$56,8,FALSE),VLOOKUP(AI$1,main!$A$3:$I$56,4,FALSE),VLOOKUP(AI$1,main!$A$3:$I$56,4,FALSE)+VLOOKUP($A7,main!$A$3:$I$56,4,FALSE)+(VLOOKUP(VLOOKUP(AI$1,main!$A$3:$I$56,8,FALSE),main!$K$19:$O$22,MATCH(VLOOKUP($A7,main!$A$3:$I$56,7,FALSE),main!$K$18:$O$18,0),0))),0)</f>
        <v>0</v>
      </c>
      <c r="AJ7">
        <f>IF((gamma!AJ7),IF(VLOOKUP(AJ$1,main!$A$3:$I$56,7,FALSE)=VLOOKUP($A7,main!$A$3:$I$56,8,FALSE),VLOOKUP(AJ$1,main!$A$3:$I$56,4,FALSE),VLOOKUP(AJ$1,main!$A$3:$I$56,4,FALSE)+VLOOKUP($A7,main!$A$3:$I$56,4,FALSE)+(VLOOKUP(VLOOKUP(AJ$1,main!$A$3:$I$56,8,FALSE),main!$K$19:$O$22,MATCH(VLOOKUP($A7,main!$A$3:$I$56,7,FALSE),main!$K$18:$O$18,0),0))),0)</f>
        <v>0</v>
      </c>
      <c r="AK7">
        <f>IF((gamma!AK7),IF(VLOOKUP(AK$1,main!$A$3:$I$56,7,FALSE)=VLOOKUP($A7,main!$A$3:$I$56,8,FALSE),VLOOKUP(AK$1,main!$A$3:$I$56,4,FALSE),VLOOKUP(AK$1,main!$A$3:$I$56,4,FALSE)+VLOOKUP($A7,main!$A$3:$I$56,4,FALSE)+(VLOOKUP(VLOOKUP(AK$1,main!$A$3:$I$56,8,FALSE),main!$K$19:$O$22,MATCH(VLOOKUP($A7,main!$A$3:$I$56,7,FALSE),main!$K$18:$O$18,0),0))),0)</f>
        <v>0</v>
      </c>
      <c r="AL7">
        <f>IF((gamma!AL7),IF(VLOOKUP(AL$1,main!$A$3:$I$56,7,FALSE)=VLOOKUP($A7,main!$A$3:$I$56,8,FALSE),VLOOKUP(AL$1,main!$A$3:$I$56,4,FALSE),VLOOKUP(AL$1,main!$A$3:$I$56,4,FALSE)+VLOOKUP($A7,main!$A$3:$I$56,4,FALSE)+(VLOOKUP(VLOOKUP(AL$1,main!$A$3:$I$56,8,FALSE),main!$K$19:$O$22,MATCH(VLOOKUP($A7,main!$A$3:$I$56,7,FALSE),main!$K$18:$O$18,0),0))),0)</f>
        <v>0</v>
      </c>
      <c r="AM7">
        <f>IF((gamma!AM7),IF(VLOOKUP(AM$1,main!$A$3:$I$56,7,FALSE)=VLOOKUP($A7,main!$A$3:$I$56,8,FALSE),VLOOKUP(AM$1,main!$A$3:$I$56,4,FALSE),VLOOKUP(AM$1,main!$A$3:$I$56,4,FALSE)+VLOOKUP($A7,main!$A$3:$I$56,4,FALSE)+(VLOOKUP(VLOOKUP(AM$1,main!$A$3:$I$56,8,FALSE),main!$K$19:$O$22,MATCH(VLOOKUP($A7,main!$A$3:$I$56,7,FALSE),main!$K$18:$O$18,0),0))),0)</f>
        <v>0</v>
      </c>
      <c r="AN7">
        <f>IF((gamma!AN7),IF(VLOOKUP(AN$1,main!$A$3:$I$56,7,FALSE)=VLOOKUP($A7,main!$A$3:$I$56,8,FALSE),VLOOKUP(AN$1,main!$A$3:$I$56,4,FALSE),VLOOKUP(AN$1,main!$A$3:$I$56,4,FALSE)+VLOOKUP($A7,main!$A$3:$I$56,4,FALSE)+(VLOOKUP(VLOOKUP(AN$1,main!$A$3:$I$56,8,FALSE),main!$K$19:$O$22,MATCH(VLOOKUP($A7,main!$A$3:$I$56,7,FALSE),main!$K$18:$O$18,0),0))),0)</f>
        <v>0</v>
      </c>
      <c r="AO7">
        <f>IF((gamma!AO7),IF(VLOOKUP(AO$1,main!$A$3:$I$56,7,FALSE)=VLOOKUP($A7,main!$A$3:$I$56,8,FALSE),VLOOKUP(AO$1,main!$A$3:$I$56,4,FALSE),VLOOKUP(AO$1,main!$A$3:$I$56,4,FALSE)+VLOOKUP($A7,main!$A$3:$I$56,4,FALSE)+(VLOOKUP(VLOOKUP(AO$1,main!$A$3:$I$56,8,FALSE),main!$K$19:$O$22,MATCH(VLOOKUP($A7,main!$A$3:$I$56,7,FALSE),main!$K$18:$O$18,0),0))),0)</f>
        <v>0</v>
      </c>
      <c r="AP7">
        <f>IF((gamma!AP7),IF(VLOOKUP(AP$1,main!$A$3:$I$56,7,FALSE)=VLOOKUP($A7,main!$A$3:$I$56,8,FALSE),VLOOKUP(AP$1,main!$A$3:$I$56,4,FALSE),VLOOKUP(AP$1,main!$A$3:$I$56,4,FALSE)+VLOOKUP($A7,main!$A$3:$I$56,4,FALSE)+(VLOOKUP(VLOOKUP(AP$1,main!$A$3:$I$56,8,FALSE),main!$K$19:$O$22,MATCH(VLOOKUP($A7,main!$A$3:$I$56,7,FALSE),main!$K$18:$O$18,0),0))),0)</f>
        <v>0</v>
      </c>
      <c r="AQ7">
        <f>IF((gamma!AQ7),IF(VLOOKUP(AQ$1,main!$A$3:$I$56,7,FALSE)=VLOOKUP($A7,main!$A$3:$I$56,8,FALSE),VLOOKUP(AQ$1,main!$A$3:$I$56,4,FALSE),VLOOKUP(AQ$1,main!$A$3:$I$56,4,FALSE)+VLOOKUP($A7,main!$A$3:$I$56,4,FALSE)+(VLOOKUP(VLOOKUP(AQ$1,main!$A$3:$I$56,8,FALSE),main!$K$19:$O$22,MATCH(VLOOKUP($A7,main!$A$3:$I$56,7,FALSE),main!$K$18:$O$18,0),0))),0)</f>
        <v>0</v>
      </c>
      <c r="AR7">
        <f>IF((gamma!AR7),IF(VLOOKUP(AR$1,main!$A$3:$I$56,7,FALSE)=VLOOKUP($A7,main!$A$3:$I$56,8,FALSE),VLOOKUP(AR$1,main!$A$3:$I$56,4,FALSE),VLOOKUP(AR$1,main!$A$3:$I$56,4,FALSE)+VLOOKUP($A7,main!$A$3:$I$56,4,FALSE)+(VLOOKUP(VLOOKUP(AR$1,main!$A$3:$I$56,8,FALSE),main!$K$19:$O$22,MATCH(VLOOKUP($A7,main!$A$3:$I$56,7,FALSE),main!$K$18:$O$18,0),0))),0)</f>
        <v>0</v>
      </c>
      <c r="AS7">
        <f>IF((gamma!AS7),IF(VLOOKUP(AS$1,main!$A$3:$I$56,7,FALSE)=VLOOKUP($A7,main!$A$3:$I$56,8,FALSE),VLOOKUP(AS$1,main!$A$3:$I$56,4,FALSE),VLOOKUP(AS$1,main!$A$3:$I$56,4,FALSE)+VLOOKUP($A7,main!$A$3:$I$56,4,FALSE)+(VLOOKUP(VLOOKUP(AS$1,main!$A$3:$I$56,8,FALSE),main!$K$19:$O$22,MATCH(VLOOKUP($A7,main!$A$3:$I$56,7,FALSE),main!$K$18:$O$18,0),0))),0)</f>
        <v>0</v>
      </c>
      <c r="AT7">
        <f>IF((gamma!AT7),IF(VLOOKUP(AT$1,main!$A$3:$I$56,7,FALSE)=VLOOKUP($A7,main!$A$3:$I$56,8,FALSE),VLOOKUP(AT$1,main!$A$3:$I$56,4,FALSE),VLOOKUP(AT$1,main!$A$3:$I$56,4,FALSE)+VLOOKUP($A7,main!$A$3:$I$56,4,FALSE)+(VLOOKUP(VLOOKUP(AT$1,main!$A$3:$I$56,8,FALSE),main!$K$19:$O$22,MATCH(VLOOKUP($A7,main!$A$3:$I$56,7,FALSE),main!$K$18:$O$18,0),0))),0)</f>
        <v>0</v>
      </c>
      <c r="AU7">
        <f>IF((gamma!AU7),IF(VLOOKUP(AU$1,main!$A$3:$I$56,7,FALSE)=VLOOKUP($A7,main!$A$3:$I$56,8,FALSE),VLOOKUP(AU$1,main!$A$3:$I$56,4,FALSE),VLOOKUP(AU$1,main!$A$3:$I$56,4,FALSE)+VLOOKUP($A7,main!$A$3:$I$56,4,FALSE)+(VLOOKUP(VLOOKUP(AU$1,main!$A$3:$I$56,8,FALSE),main!$K$19:$O$22,MATCH(VLOOKUP($A7,main!$A$3:$I$56,7,FALSE),main!$K$18:$O$18,0),0))),0)</f>
        <v>0</v>
      </c>
      <c r="AV7">
        <f>IF((gamma!AV7),IF(VLOOKUP(AV$1,main!$A$3:$I$56,7,FALSE)=VLOOKUP($A7,main!$A$3:$I$56,8,FALSE),VLOOKUP(AV$1,main!$A$3:$I$56,4,FALSE),VLOOKUP(AV$1,main!$A$3:$I$56,4,FALSE)+VLOOKUP($A7,main!$A$3:$I$56,4,FALSE)+(VLOOKUP(VLOOKUP(AV$1,main!$A$3:$I$56,8,FALSE),main!$K$19:$O$22,MATCH(VLOOKUP($A7,main!$A$3:$I$56,7,FALSE),main!$K$18:$O$18,0),0))),0)</f>
        <v>0</v>
      </c>
      <c r="AW7">
        <f>IF((gamma!AW7),IF(VLOOKUP(AW$1,main!$A$3:$I$56,7,FALSE)=VLOOKUP($A7,main!$A$3:$I$56,8,FALSE),VLOOKUP(AW$1,main!$A$3:$I$56,4,FALSE),VLOOKUP(AW$1,main!$A$3:$I$56,4,FALSE)+VLOOKUP($A7,main!$A$3:$I$56,4,FALSE)+(VLOOKUP(VLOOKUP(AW$1,main!$A$3:$I$56,8,FALSE),main!$K$19:$O$22,MATCH(VLOOKUP($A7,main!$A$3:$I$56,7,FALSE),main!$K$18:$O$18,0),0))),0)</f>
        <v>0</v>
      </c>
      <c r="AX7">
        <f>IF((gamma!AX7),IF(VLOOKUP(AX$1,main!$A$3:$I$56,7,FALSE)=VLOOKUP($A7,main!$A$3:$I$56,8,FALSE),VLOOKUP(AX$1,main!$A$3:$I$56,4,FALSE),VLOOKUP(AX$1,main!$A$3:$I$56,4,FALSE)+VLOOKUP($A7,main!$A$3:$I$56,4,FALSE)+(VLOOKUP(VLOOKUP(AX$1,main!$A$3:$I$56,8,FALSE),main!$K$19:$O$22,MATCH(VLOOKUP($A7,main!$A$3:$I$56,7,FALSE),main!$K$18:$O$18,0),0))),0)</f>
        <v>0</v>
      </c>
      <c r="AY7">
        <f>IF((gamma!AY7),IF(VLOOKUP(AY$1,main!$A$3:$I$56,7,FALSE)=VLOOKUP($A7,main!$A$3:$I$56,8,FALSE),VLOOKUP(AY$1,main!$A$3:$I$56,4,FALSE),VLOOKUP(AY$1,main!$A$3:$I$56,4,FALSE)+VLOOKUP($A7,main!$A$3:$I$56,4,FALSE)+(VLOOKUP(VLOOKUP(AY$1,main!$A$3:$I$56,8,FALSE),main!$K$19:$O$22,MATCH(VLOOKUP($A7,main!$A$3:$I$56,7,FALSE),main!$K$18:$O$18,0),0))),0)</f>
        <v>275</v>
      </c>
      <c r="AZ7">
        <f>IF((gamma!AZ7),IF(VLOOKUP(AZ$1,main!$A$3:$I$56,7,FALSE)=VLOOKUP($A7,main!$A$3:$I$56,8,FALSE),VLOOKUP(AZ$1,main!$A$3:$I$56,4,FALSE),VLOOKUP(AZ$1,main!$A$3:$I$56,4,FALSE)+VLOOKUP($A7,main!$A$3:$I$56,4,FALSE)+(VLOOKUP(VLOOKUP(AZ$1,main!$A$3:$I$56,8,FALSE),main!$K$19:$O$22,MATCH(VLOOKUP($A7,main!$A$3:$I$56,7,FALSE),main!$K$18:$O$18,0),0))),0)</f>
        <v>0</v>
      </c>
      <c r="BA7">
        <f>IF((gamma!BA7),IF(VLOOKUP(BA$1,main!$A$3:$I$56,7,FALSE)=VLOOKUP($A7,main!$A$3:$I$56,8,FALSE),VLOOKUP(BA$1,main!$A$3:$I$56,4,FALSE),VLOOKUP(BA$1,main!$A$3:$I$56,4,FALSE)+VLOOKUP($A7,main!$A$3:$I$56,4,FALSE)+(VLOOKUP(VLOOKUP(BA$1,main!$A$3:$I$56,8,FALSE),main!$K$19:$O$22,MATCH(VLOOKUP($A7,main!$A$3:$I$56,7,FALSE),main!$K$18:$O$18,0),0))),0)</f>
        <v>0</v>
      </c>
      <c r="BB7">
        <f>IF((gamma!BB7),IF(VLOOKUP(BB$1,main!$A$3:$I$56,7,FALSE)=VLOOKUP($A7,main!$A$3:$I$56,8,FALSE),VLOOKUP(BB$1,main!$A$3:$I$56,4,FALSE),VLOOKUP(BB$1,main!$A$3:$I$56,4,FALSE)+VLOOKUP($A7,main!$A$3:$I$56,4,FALSE)+(VLOOKUP(VLOOKUP(BB$1,main!$A$3:$I$56,8,FALSE),main!$K$19:$O$22,MATCH(VLOOKUP($A7,main!$A$3:$I$56,7,FALSE),main!$K$18:$O$18,0),0))),0)</f>
        <v>0</v>
      </c>
      <c r="BC7">
        <f>IF((gamma!BC7),IF(VLOOKUP(BC$1,main!$A$3:$I$56,7,FALSE)=VLOOKUP($A7,main!$A$3:$I$56,8,FALSE),VLOOKUP(BC$1,main!$A$3:$I$56,4,FALSE),VLOOKUP(BC$1,main!$A$3:$I$56,4,FALSE)+VLOOKUP($A7,main!$A$3:$I$56,4,FALSE)+(VLOOKUP(VLOOKUP(BC$1,main!$A$3:$I$56,8,FALSE),main!$K$19:$O$22,MATCH(VLOOKUP($A7,main!$A$3:$I$56,7,FALSE),main!$K$18:$O$18,0),0))),0)</f>
        <v>0</v>
      </c>
      <c r="BD7">
        <f>IF((gamma!BD7),IF(VLOOKUP(BD$1,main!$A$3:$I$56,7,FALSE)=VLOOKUP($A7,main!$A$3:$I$56,8,FALSE),VLOOKUP(BD$1,main!$A$3:$I$56,4,FALSE),VLOOKUP(BD$1,main!$A$3:$I$56,4,FALSE)+VLOOKUP($A7,main!$A$3:$I$56,4,FALSE)+(VLOOKUP(VLOOKUP(BD$1,main!$A$3:$I$56,8,FALSE),main!$K$19:$O$22,MATCH(VLOOKUP($A7,main!$A$3:$I$56,7,FALSE),main!$K$18:$O$18,0),0))),0)</f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>
        <f t="shared" si="0"/>
        <v>6</v>
      </c>
      <c r="B8">
        <v>0</v>
      </c>
      <c r="C8">
        <f>IF((gamma!C8),IF(VLOOKUP(C$1,main!$A$3:$I$56,7,FALSE)=VLOOKUP($A8,main!$A$3:$I$56,8,FALSE),VLOOKUP(C$1,main!$A$3:$I$56,4,FALSE),VLOOKUP(C$1,main!$A$3:$I$56,4,FALSE)+VLOOKUP($A8,main!$A$3:$I$56,4,FALSE)+(VLOOKUP(VLOOKUP(C$1,main!$A$3:$I$56,8,FALSE),main!$K$19:$O$22,MATCH(VLOOKUP($A8,main!$A$3:$I$56,7,FALSE),main!$K$18:$O$18,0),0))),0)</f>
        <v>0</v>
      </c>
      <c r="D8">
        <f>IF((gamma!D8),IF(VLOOKUP(D$1,main!$A$3:$I$56,7,FALSE)=VLOOKUP($A8,main!$A$3:$I$56,8,FALSE),VLOOKUP(D$1,main!$A$3:$I$56,4,FALSE),VLOOKUP(D$1,main!$A$3:$I$56,4,FALSE)+VLOOKUP($A8,main!$A$3:$I$56,4,FALSE)+(VLOOKUP(VLOOKUP(D$1,main!$A$3:$I$56,8,FALSE),main!$K$19:$O$22,MATCH(VLOOKUP($A8,main!$A$3:$I$56,7,FALSE),main!$K$18:$O$18,0),0))),0)</f>
        <v>0</v>
      </c>
      <c r="E8">
        <f>IF((gamma!E8),IF(VLOOKUP(E$1,main!$A$3:$I$56,7,FALSE)=VLOOKUP($A8,main!$A$3:$I$56,8,FALSE),VLOOKUP(E$1,main!$A$3:$I$56,4,FALSE),VLOOKUP(E$1,main!$A$3:$I$56,4,FALSE)+VLOOKUP($A8,main!$A$3:$I$56,4,FALSE)+(VLOOKUP(VLOOKUP(E$1,main!$A$3:$I$56,8,FALSE),main!$K$19:$O$22,MATCH(VLOOKUP($A8,main!$A$3:$I$56,7,FALSE),main!$K$18:$O$18,0),0))),0)</f>
        <v>0</v>
      </c>
      <c r="F8">
        <f>IF((gamma!F8),IF(VLOOKUP(F$1,main!$A$3:$I$56,7,FALSE)=VLOOKUP($A8,main!$A$3:$I$56,8,FALSE),VLOOKUP(F$1,main!$A$3:$I$56,4,FALSE),VLOOKUP(F$1,main!$A$3:$I$56,4,FALSE)+VLOOKUP($A8,main!$A$3:$I$56,4,FALSE)+(VLOOKUP(VLOOKUP(F$1,main!$A$3:$I$56,8,FALSE),main!$K$19:$O$22,MATCH(VLOOKUP($A8,main!$A$3:$I$56,7,FALSE),main!$K$18:$O$18,0),0))),0)</f>
        <v>0</v>
      </c>
      <c r="G8">
        <f>IF((gamma!G8),IF(VLOOKUP(G$1,main!$A$3:$I$56,7,FALSE)=VLOOKUP($A8,main!$A$3:$I$56,8,FALSE),VLOOKUP(G$1,main!$A$3:$I$56,4,FALSE),VLOOKUP(G$1,main!$A$3:$I$56,4,FALSE)+VLOOKUP($A8,main!$A$3:$I$56,4,FALSE)+(VLOOKUP(VLOOKUP(G$1,main!$A$3:$I$56,8,FALSE),main!$K$19:$O$22,MATCH(VLOOKUP($A8,main!$A$3:$I$56,7,FALSE),main!$K$18:$O$18,0),0))),0)</f>
        <v>0</v>
      </c>
      <c r="H8">
        <f>IF((gamma!H8),IF(VLOOKUP(H$1,main!$A$3:$I$56,7,FALSE)=VLOOKUP($A8,main!$A$3:$I$56,8,FALSE),VLOOKUP(H$1,main!$A$3:$I$56,4,FALSE),VLOOKUP(H$1,main!$A$3:$I$56,4,FALSE)+VLOOKUP($A8,main!$A$3:$I$56,4,FALSE)+(VLOOKUP(VLOOKUP(H$1,main!$A$3:$I$56,8,FALSE),main!$K$19:$O$22,MATCH(VLOOKUP($A8,main!$A$3:$I$56,7,FALSE),main!$K$18:$O$18,0),0))),0)</f>
        <v>0</v>
      </c>
      <c r="I8">
        <f>IF((gamma!I8),IF(VLOOKUP(I$1,main!$A$3:$I$56,7,FALSE)=VLOOKUP($A8,main!$A$3:$I$56,8,FALSE),VLOOKUP(I$1,main!$A$3:$I$56,4,FALSE),VLOOKUP(I$1,main!$A$3:$I$56,4,FALSE)+VLOOKUP($A8,main!$A$3:$I$56,4,FALSE)+(VLOOKUP(VLOOKUP(I$1,main!$A$3:$I$56,8,FALSE),main!$K$19:$O$22,MATCH(VLOOKUP($A8,main!$A$3:$I$56,7,FALSE),main!$K$18:$O$18,0),0))),0)</f>
        <v>0</v>
      </c>
      <c r="J8">
        <f>IF((gamma!J8),IF(VLOOKUP(J$1,main!$A$3:$I$56,7,FALSE)=VLOOKUP($A8,main!$A$3:$I$56,8,FALSE),VLOOKUP(J$1,main!$A$3:$I$56,4,FALSE),VLOOKUP(J$1,main!$A$3:$I$56,4,FALSE)+VLOOKUP($A8,main!$A$3:$I$56,4,FALSE)+(VLOOKUP(VLOOKUP(J$1,main!$A$3:$I$56,8,FALSE),main!$K$19:$O$22,MATCH(VLOOKUP($A8,main!$A$3:$I$56,7,FALSE),main!$K$18:$O$18,0),0))),0)</f>
        <v>0</v>
      </c>
      <c r="K8">
        <f>IF((gamma!K8),IF(VLOOKUP(K$1,main!$A$3:$I$56,7,FALSE)=VLOOKUP($A8,main!$A$3:$I$56,8,FALSE),VLOOKUP(K$1,main!$A$3:$I$56,4,FALSE),VLOOKUP(K$1,main!$A$3:$I$56,4,FALSE)+VLOOKUP($A8,main!$A$3:$I$56,4,FALSE)+(VLOOKUP(VLOOKUP(K$1,main!$A$3:$I$56,8,FALSE),main!$K$19:$O$22,MATCH(VLOOKUP($A8,main!$A$3:$I$56,7,FALSE),main!$K$18:$O$18,0),0))),0)</f>
        <v>0</v>
      </c>
      <c r="L8">
        <f>IF((gamma!L8),IF(VLOOKUP(L$1,main!$A$3:$I$56,7,FALSE)=VLOOKUP($A8,main!$A$3:$I$56,8,FALSE),VLOOKUP(L$1,main!$A$3:$I$56,4,FALSE),VLOOKUP(L$1,main!$A$3:$I$56,4,FALSE)+VLOOKUP($A8,main!$A$3:$I$56,4,FALSE)+(VLOOKUP(VLOOKUP(L$1,main!$A$3:$I$56,8,FALSE),main!$K$19:$O$22,MATCH(VLOOKUP($A8,main!$A$3:$I$56,7,FALSE),main!$K$18:$O$18,0),0))),0)</f>
        <v>0</v>
      </c>
      <c r="M8">
        <f>IF((gamma!M8),IF(VLOOKUP(M$1,main!$A$3:$I$56,7,FALSE)=VLOOKUP($A8,main!$A$3:$I$56,8,FALSE),VLOOKUP(M$1,main!$A$3:$I$56,4,FALSE),VLOOKUP(M$1,main!$A$3:$I$56,4,FALSE)+VLOOKUP($A8,main!$A$3:$I$56,4,FALSE)+(VLOOKUP(VLOOKUP(M$1,main!$A$3:$I$56,8,FALSE),main!$K$19:$O$22,MATCH(VLOOKUP($A8,main!$A$3:$I$56,7,FALSE),main!$K$18:$O$18,0),0))),0)</f>
        <v>0</v>
      </c>
      <c r="N8">
        <f>IF((gamma!N8),IF(VLOOKUP(N$1,main!$A$3:$I$56,7,FALSE)=VLOOKUP($A8,main!$A$3:$I$56,8,FALSE),VLOOKUP(N$1,main!$A$3:$I$56,4,FALSE),VLOOKUP(N$1,main!$A$3:$I$56,4,FALSE)+VLOOKUP($A8,main!$A$3:$I$56,4,FALSE)+(VLOOKUP(VLOOKUP(N$1,main!$A$3:$I$56,8,FALSE),main!$K$19:$O$22,MATCH(VLOOKUP($A8,main!$A$3:$I$56,7,FALSE),main!$K$18:$O$18,0),0))),0)</f>
        <v>0</v>
      </c>
      <c r="O8">
        <f>IF((gamma!O8),IF(VLOOKUP(O$1,main!$A$3:$I$56,7,FALSE)=VLOOKUP($A8,main!$A$3:$I$56,8,FALSE),VLOOKUP(O$1,main!$A$3:$I$56,4,FALSE),VLOOKUP(O$1,main!$A$3:$I$56,4,FALSE)+VLOOKUP($A8,main!$A$3:$I$56,4,FALSE)+(VLOOKUP(VLOOKUP(O$1,main!$A$3:$I$56,8,FALSE),main!$K$19:$O$22,MATCH(VLOOKUP($A8,main!$A$3:$I$56,7,FALSE),main!$K$18:$O$18,0),0))),0)</f>
        <v>305</v>
      </c>
      <c r="P8">
        <f>IF((gamma!P8),IF(VLOOKUP(P$1,main!$A$3:$I$56,7,FALSE)=VLOOKUP($A8,main!$A$3:$I$56,8,FALSE),VLOOKUP(P$1,main!$A$3:$I$56,4,FALSE),VLOOKUP(P$1,main!$A$3:$I$56,4,FALSE)+VLOOKUP($A8,main!$A$3:$I$56,4,FALSE)+(VLOOKUP(VLOOKUP(P$1,main!$A$3:$I$56,8,FALSE),main!$K$19:$O$22,MATCH(VLOOKUP($A8,main!$A$3:$I$56,7,FALSE),main!$K$18:$O$18,0),0))),0)</f>
        <v>0</v>
      </c>
      <c r="Q8">
        <f>IF((gamma!Q8),IF(VLOOKUP(Q$1,main!$A$3:$I$56,7,FALSE)=VLOOKUP($A8,main!$A$3:$I$56,8,FALSE),VLOOKUP(Q$1,main!$A$3:$I$56,4,FALSE),VLOOKUP(Q$1,main!$A$3:$I$56,4,FALSE)+VLOOKUP($A8,main!$A$3:$I$56,4,FALSE)+(VLOOKUP(VLOOKUP(Q$1,main!$A$3:$I$56,8,FALSE),main!$K$19:$O$22,MATCH(VLOOKUP($A8,main!$A$3:$I$56,7,FALSE),main!$K$18:$O$18,0),0))),0)</f>
        <v>0</v>
      </c>
      <c r="R8">
        <f>IF((gamma!R8),IF(VLOOKUP(R$1,main!$A$3:$I$56,7,FALSE)=VLOOKUP($A8,main!$A$3:$I$56,8,FALSE),VLOOKUP(R$1,main!$A$3:$I$56,4,FALSE),VLOOKUP(R$1,main!$A$3:$I$56,4,FALSE)+VLOOKUP($A8,main!$A$3:$I$56,4,FALSE)+(VLOOKUP(VLOOKUP(R$1,main!$A$3:$I$56,8,FALSE),main!$K$19:$O$22,MATCH(VLOOKUP($A8,main!$A$3:$I$56,7,FALSE),main!$K$18:$O$18,0),0))),0)</f>
        <v>0</v>
      </c>
      <c r="S8">
        <f>IF((gamma!S8),IF(VLOOKUP(S$1,main!$A$3:$I$56,7,FALSE)=VLOOKUP($A8,main!$A$3:$I$56,8,FALSE),VLOOKUP(S$1,main!$A$3:$I$56,4,FALSE),VLOOKUP(S$1,main!$A$3:$I$56,4,FALSE)+VLOOKUP($A8,main!$A$3:$I$56,4,FALSE)+(VLOOKUP(VLOOKUP(S$1,main!$A$3:$I$56,8,FALSE),main!$K$19:$O$22,MATCH(VLOOKUP($A8,main!$A$3:$I$56,7,FALSE),main!$K$18:$O$18,0),0))),0)</f>
        <v>0</v>
      </c>
      <c r="T8">
        <f>IF((gamma!T8),IF(VLOOKUP(T$1,main!$A$3:$I$56,7,FALSE)=VLOOKUP($A8,main!$A$3:$I$56,8,FALSE),VLOOKUP(T$1,main!$A$3:$I$56,4,FALSE),VLOOKUP(T$1,main!$A$3:$I$56,4,FALSE)+VLOOKUP($A8,main!$A$3:$I$56,4,FALSE)+(VLOOKUP(VLOOKUP(T$1,main!$A$3:$I$56,8,FALSE),main!$K$19:$O$22,MATCH(VLOOKUP($A8,main!$A$3:$I$56,7,FALSE),main!$K$18:$O$18,0),0))),0)</f>
        <v>0</v>
      </c>
      <c r="U8">
        <f>IF((gamma!U8),IF(VLOOKUP(U$1,main!$A$3:$I$56,7,FALSE)=VLOOKUP($A8,main!$A$3:$I$56,8,FALSE),VLOOKUP(U$1,main!$A$3:$I$56,4,FALSE),VLOOKUP(U$1,main!$A$3:$I$56,4,FALSE)+VLOOKUP($A8,main!$A$3:$I$56,4,FALSE)+(VLOOKUP(VLOOKUP(U$1,main!$A$3:$I$56,8,FALSE),main!$K$19:$O$22,MATCH(VLOOKUP($A8,main!$A$3:$I$56,7,FALSE),main!$K$18:$O$18,0),0))),0)</f>
        <v>0</v>
      </c>
      <c r="V8">
        <f>IF((gamma!V8),IF(VLOOKUP(V$1,main!$A$3:$I$56,7,FALSE)=VLOOKUP($A8,main!$A$3:$I$56,8,FALSE),VLOOKUP(V$1,main!$A$3:$I$56,4,FALSE),VLOOKUP(V$1,main!$A$3:$I$56,4,FALSE)+VLOOKUP($A8,main!$A$3:$I$56,4,FALSE)+(VLOOKUP(VLOOKUP(V$1,main!$A$3:$I$56,8,FALSE),main!$K$19:$O$22,MATCH(VLOOKUP($A8,main!$A$3:$I$56,7,FALSE),main!$K$18:$O$18,0),0))),0)</f>
        <v>0</v>
      </c>
      <c r="W8">
        <f>IF((gamma!W8),IF(VLOOKUP(W$1,main!$A$3:$I$56,7,FALSE)=VLOOKUP($A8,main!$A$3:$I$56,8,FALSE),VLOOKUP(W$1,main!$A$3:$I$56,4,FALSE),VLOOKUP(W$1,main!$A$3:$I$56,4,FALSE)+VLOOKUP($A8,main!$A$3:$I$56,4,FALSE)+(VLOOKUP(VLOOKUP(W$1,main!$A$3:$I$56,8,FALSE),main!$K$19:$O$22,MATCH(VLOOKUP($A8,main!$A$3:$I$56,7,FALSE),main!$K$18:$O$18,0),0))),0)</f>
        <v>0</v>
      </c>
      <c r="X8">
        <f>IF((gamma!X8),IF(VLOOKUP(X$1,main!$A$3:$I$56,7,FALSE)=VLOOKUP($A8,main!$A$3:$I$56,8,FALSE),VLOOKUP(X$1,main!$A$3:$I$56,4,FALSE),VLOOKUP(X$1,main!$A$3:$I$56,4,FALSE)+VLOOKUP($A8,main!$A$3:$I$56,4,FALSE)+(VLOOKUP(VLOOKUP(X$1,main!$A$3:$I$56,8,FALSE),main!$K$19:$O$22,MATCH(VLOOKUP($A8,main!$A$3:$I$56,7,FALSE),main!$K$18:$O$18,0),0))),0)</f>
        <v>0</v>
      </c>
      <c r="Y8">
        <f>IF((gamma!Y8),IF(VLOOKUP(Y$1,main!$A$3:$I$56,7,FALSE)=VLOOKUP($A8,main!$A$3:$I$56,8,FALSE),VLOOKUP(Y$1,main!$A$3:$I$56,4,FALSE),VLOOKUP(Y$1,main!$A$3:$I$56,4,FALSE)+VLOOKUP($A8,main!$A$3:$I$56,4,FALSE)+(VLOOKUP(VLOOKUP(Y$1,main!$A$3:$I$56,8,FALSE),main!$K$19:$O$22,MATCH(VLOOKUP($A8,main!$A$3:$I$56,7,FALSE),main!$K$18:$O$18,0),0))),0)</f>
        <v>0</v>
      </c>
      <c r="Z8">
        <f>IF((gamma!Z8),IF(VLOOKUP(Z$1,main!$A$3:$I$56,7,FALSE)=VLOOKUP($A8,main!$A$3:$I$56,8,FALSE),VLOOKUP(Z$1,main!$A$3:$I$56,4,FALSE),VLOOKUP(Z$1,main!$A$3:$I$56,4,FALSE)+VLOOKUP($A8,main!$A$3:$I$56,4,FALSE)+(VLOOKUP(VLOOKUP(Z$1,main!$A$3:$I$56,8,FALSE),main!$K$19:$O$22,MATCH(VLOOKUP($A8,main!$A$3:$I$56,7,FALSE),main!$K$18:$O$18,0),0))),0)</f>
        <v>0</v>
      </c>
      <c r="AA8">
        <f>IF((gamma!AA8),IF(VLOOKUP(AA$1,main!$A$3:$I$56,7,FALSE)=VLOOKUP($A8,main!$A$3:$I$56,8,FALSE),VLOOKUP(AA$1,main!$A$3:$I$56,4,FALSE),VLOOKUP(AA$1,main!$A$3:$I$56,4,FALSE)+VLOOKUP($A8,main!$A$3:$I$56,4,FALSE)+(VLOOKUP(VLOOKUP(AA$1,main!$A$3:$I$56,8,FALSE),main!$K$19:$O$22,MATCH(VLOOKUP($A8,main!$A$3:$I$56,7,FALSE),main!$K$18:$O$18,0),0))),0)</f>
        <v>0</v>
      </c>
      <c r="AB8">
        <f>IF((gamma!AB8),IF(VLOOKUP(AB$1,main!$A$3:$I$56,7,FALSE)=VLOOKUP($A8,main!$A$3:$I$56,8,FALSE),VLOOKUP(AB$1,main!$A$3:$I$56,4,FALSE),VLOOKUP(AB$1,main!$A$3:$I$56,4,FALSE)+VLOOKUP($A8,main!$A$3:$I$56,4,FALSE)+(VLOOKUP(VLOOKUP(AB$1,main!$A$3:$I$56,8,FALSE),main!$K$19:$O$22,MATCH(VLOOKUP($A8,main!$A$3:$I$56,7,FALSE),main!$K$18:$O$18,0),0))),0)</f>
        <v>0</v>
      </c>
      <c r="AC8">
        <f>IF((gamma!AC8),IF(VLOOKUP(AC$1,main!$A$3:$I$56,7,FALSE)=VLOOKUP($A8,main!$A$3:$I$56,8,FALSE),VLOOKUP(AC$1,main!$A$3:$I$56,4,FALSE),VLOOKUP(AC$1,main!$A$3:$I$56,4,FALSE)+VLOOKUP($A8,main!$A$3:$I$56,4,FALSE)+(VLOOKUP(VLOOKUP(AC$1,main!$A$3:$I$56,8,FALSE),main!$K$19:$O$22,MATCH(VLOOKUP($A8,main!$A$3:$I$56,7,FALSE),main!$K$18:$O$18,0),0))),0)</f>
        <v>0</v>
      </c>
      <c r="AD8">
        <f>IF((gamma!AD8),IF(VLOOKUP(AD$1,main!$A$3:$I$56,7,FALSE)=VLOOKUP($A8,main!$A$3:$I$56,8,FALSE),VLOOKUP(AD$1,main!$A$3:$I$56,4,FALSE),VLOOKUP(AD$1,main!$A$3:$I$56,4,FALSE)+VLOOKUP($A8,main!$A$3:$I$56,4,FALSE)+(VLOOKUP(VLOOKUP(AD$1,main!$A$3:$I$56,8,FALSE),main!$K$19:$O$22,MATCH(VLOOKUP($A8,main!$A$3:$I$56,7,FALSE),main!$K$18:$O$18,0),0))),0)</f>
        <v>0</v>
      </c>
      <c r="AE8">
        <f>IF((gamma!AE8),IF(VLOOKUP(AE$1,main!$A$3:$I$56,7,FALSE)=VLOOKUP($A8,main!$A$3:$I$56,8,FALSE),VLOOKUP(AE$1,main!$A$3:$I$56,4,FALSE),VLOOKUP(AE$1,main!$A$3:$I$56,4,FALSE)+VLOOKUP($A8,main!$A$3:$I$56,4,FALSE)+(VLOOKUP(VLOOKUP(AE$1,main!$A$3:$I$56,8,FALSE),main!$K$19:$O$22,MATCH(VLOOKUP($A8,main!$A$3:$I$56,7,FALSE),main!$K$18:$O$18,0),0))),0)</f>
        <v>0</v>
      </c>
      <c r="AF8">
        <f>IF((gamma!AF8),IF(VLOOKUP(AF$1,main!$A$3:$I$56,7,FALSE)=VLOOKUP($A8,main!$A$3:$I$56,8,FALSE),VLOOKUP(AF$1,main!$A$3:$I$56,4,FALSE),VLOOKUP(AF$1,main!$A$3:$I$56,4,FALSE)+VLOOKUP($A8,main!$A$3:$I$56,4,FALSE)+(VLOOKUP(VLOOKUP(AF$1,main!$A$3:$I$56,8,FALSE),main!$K$19:$O$22,MATCH(VLOOKUP($A8,main!$A$3:$I$56,7,FALSE),main!$K$18:$O$18,0),0))),0)</f>
        <v>0</v>
      </c>
      <c r="AG8">
        <f>IF((gamma!AG8),IF(VLOOKUP(AG$1,main!$A$3:$I$56,7,FALSE)=VLOOKUP($A8,main!$A$3:$I$56,8,FALSE),VLOOKUP(AG$1,main!$A$3:$I$56,4,FALSE),VLOOKUP(AG$1,main!$A$3:$I$56,4,FALSE)+VLOOKUP($A8,main!$A$3:$I$56,4,FALSE)+(VLOOKUP(VLOOKUP(AG$1,main!$A$3:$I$56,8,FALSE),main!$K$19:$O$22,MATCH(VLOOKUP($A8,main!$A$3:$I$56,7,FALSE),main!$K$18:$O$18,0),0))),0)</f>
        <v>0</v>
      </c>
      <c r="AH8">
        <f>IF((gamma!AH8),IF(VLOOKUP(AH$1,main!$A$3:$I$56,7,FALSE)=VLOOKUP($A8,main!$A$3:$I$56,8,FALSE),VLOOKUP(AH$1,main!$A$3:$I$56,4,FALSE),VLOOKUP(AH$1,main!$A$3:$I$56,4,FALSE)+VLOOKUP($A8,main!$A$3:$I$56,4,FALSE)+(VLOOKUP(VLOOKUP(AH$1,main!$A$3:$I$56,8,FALSE),main!$K$19:$O$22,MATCH(VLOOKUP($A8,main!$A$3:$I$56,7,FALSE),main!$K$18:$O$18,0),0))),0)</f>
        <v>0</v>
      </c>
      <c r="AI8">
        <f>IF((gamma!AI8),IF(VLOOKUP(AI$1,main!$A$3:$I$56,7,FALSE)=VLOOKUP($A8,main!$A$3:$I$56,8,FALSE),VLOOKUP(AI$1,main!$A$3:$I$56,4,FALSE),VLOOKUP(AI$1,main!$A$3:$I$56,4,FALSE)+VLOOKUP($A8,main!$A$3:$I$56,4,FALSE)+(VLOOKUP(VLOOKUP(AI$1,main!$A$3:$I$56,8,FALSE),main!$K$19:$O$22,MATCH(VLOOKUP($A8,main!$A$3:$I$56,7,FALSE),main!$K$18:$O$18,0),0))),0)</f>
        <v>0</v>
      </c>
      <c r="AJ8">
        <f>IF((gamma!AJ8),IF(VLOOKUP(AJ$1,main!$A$3:$I$56,7,FALSE)=VLOOKUP($A8,main!$A$3:$I$56,8,FALSE),VLOOKUP(AJ$1,main!$A$3:$I$56,4,FALSE),VLOOKUP(AJ$1,main!$A$3:$I$56,4,FALSE)+VLOOKUP($A8,main!$A$3:$I$56,4,FALSE)+(VLOOKUP(VLOOKUP(AJ$1,main!$A$3:$I$56,8,FALSE),main!$K$19:$O$22,MATCH(VLOOKUP($A8,main!$A$3:$I$56,7,FALSE),main!$K$18:$O$18,0),0))),0)</f>
        <v>0</v>
      </c>
      <c r="AK8">
        <f>IF((gamma!AK8),IF(VLOOKUP(AK$1,main!$A$3:$I$56,7,FALSE)=VLOOKUP($A8,main!$A$3:$I$56,8,FALSE),VLOOKUP(AK$1,main!$A$3:$I$56,4,FALSE),VLOOKUP(AK$1,main!$A$3:$I$56,4,FALSE)+VLOOKUP($A8,main!$A$3:$I$56,4,FALSE)+(VLOOKUP(VLOOKUP(AK$1,main!$A$3:$I$56,8,FALSE),main!$K$19:$O$22,MATCH(VLOOKUP($A8,main!$A$3:$I$56,7,FALSE),main!$K$18:$O$18,0),0))),0)</f>
        <v>0</v>
      </c>
      <c r="AL8">
        <f>IF((gamma!AL8),IF(VLOOKUP(AL$1,main!$A$3:$I$56,7,FALSE)=VLOOKUP($A8,main!$A$3:$I$56,8,FALSE),VLOOKUP(AL$1,main!$A$3:$I$56,4,FALSE),VLOOKUP(AL$1,main!$A$3:$I$56,4,FALSE)+VLOOKUP($A8,main!$A$3:$I$56,4,FALSE)+(VLOOKUP(VLOOKUP(AL$1,main!$A$3:$I$56,8,FALSE),main!$K$19:$O$22,MATCH(VLOOKUP($A8,main!$A$3:$I$56,7,FALSE),main!$K$18:$O$18,0),0))),0)</f>
        <v>0</v>
      </c>
      <c r="AM8">
        <f>IF((gamma!AM8),IF(VLOOKUP(AM$1,main!$A$3:$I$56,7,FALSE)=VLOOKUP($A8,main!$A$3:$I$56,8,FALSE),VLOOKUP(AM$1,main!$A$3:$I$56,4,FALSE),VLOOKUP(AM$1,main!$A$3:$I$56,4,FALSE)+VLOOKUP($A8,main!$A$3:$I$56,4,FALSE)+(VLOOKUP(VLOOKUP(AM$1,main!$A$3:$I$56,8,FALSE),main!$K$19:$O$22,MATCH(VLOOKUP($A8,main!$A$3:$I$56,7,FALSE),main!$K$18:$O$18,0),0))),0)</f>
        <v>0</v>
      </c>
      <c r="AN8">
        <f>IF((gamma!AN8),IF(VLOOKUP(AN$1,main!$A$3:$I$56,7,FALSE)=VLOOKUP($A8,main!$A$3:$I$56,8,FALSE),VLOOKUP(AN$1,main!$A$3:$I$56,4,FALSE),VLOOKUP(AN$1,main!$A$3:$I$56,4,FALSE)+VLOOKUP($A8,main!$A$3:$I$56,4,FALSE)+(VLOOKUP(VLOOKUP(AN$1,main!$A$3:$I$56,8,FALSE),main!$K$19:$O$22,MATCH(VLOOKUP($A8,main!$A$3:$I$56,7,FALSE),main!$K$18:$O$18,0),0))),0)</f>
        <v>0</v>
      </c>
      <c r="AO8">
        <f>IF((gamma!AO8),IF(VLOOKUP(AO$1,main!$A$3:$I$56,7,FALSE)=VLOOKUP($A8,main!$A$3:$I$56,8,FALSE),VLOOKUP(AO$1,main!$A$3:$I$56,4,FALSE),VLOOKUP(AO$1,main!$A$3:$I$56,4,FALSE)+VLOOKUP($A8,main!$A$3:$I$56,4,FALSE)+(VLOOKUP(VLOOKUP(AO$1,main!$A$3:$I$56,8,FALSE),main!$K$19:$O$22,MATCH(VLOOKUP($A8,main!$A$3:$I$56,7,FALSE),main!$K$18:$O$18,0),0))),0)</f>
        <v>0</v>
      </c>
      <c r="AP8">
        <f>IF((gamma!AP8),IF(VLOOKUP(AP$1,main!$A$3:$I$56,7,FALSE)=VLOOKUP($A8,main!$A$3:$I$56,8,FALSE),VLOOKUP(AP$1,main!$A$3:$I$56,4,FALSE),VLOOKUP(AP$1,main!$A$3:$I$56,4,FALSE)+VLOOKUP($A8,main!$A$3:$I$56,4,FALSE)+(VLOOKUP(VLOOKUP(AP$1,main!$A$3:$I$56,8,FALSE),main!$K$19:$O$22,MATCH(VLOOKUP($A8,main!$A$3:$I$56,7,FALSE),main!$K$18:$O$18,0),0))),0)</f>
        <v>0</v>
      </c>
      <c r="AQ8">
        <f>IF((gamma!AQ8),IF(VLOOKUP(AQ$1,main!$A$3:$I$56,7,FALSE)=VLOOKUP($A8,main!$A$3:$I$56,8,FALSE),VLOOKUP(AQ$1,main!$A$3:$I$56,4,FALSE),VLOOKUP(AQ$1,main!$A$3:$I$56,4,FALSE)+VLOOKUP($A8,main!$A$3:$I$56,4,FALSE)+(VLOOKUP(VLOOKUP(AQ$1,main!$A$3:$I$56,8,FALSE),main!$K$19:$O$22,MATCH(VLOOKUP($A8,main!$A$3:$I$56,7,FALSE),main!$K$18:$O$18,0),0))),0)</f>
        <v>0</v>
      </c>
      <c r="AR8">
        <f>IF((gamma!AR8),IF(VLOOKUP(AR$1,main!$A$3:$I$56,7,FALSE)=VLOOKUP($A8,main!$A$3:$I$56,8,FALSE),VLOOKUP(AR$1,main!$A$3:$I$56,4,FALSE),VLOOKUP(AR$1,main!$A$3:$I$56,4,FALSE)+VLOOKUP($A8,main!$A$3:$I$56,4,FALSE)+(VLOOKUP(VLOOKUP(AR$1,main!$A$3:$I$56,8,FALSE),main!$K$19:$O$22,MATCH(VLOOKUP($A8,main!$A$3:$I$56,7,FALSE),main!$K$18:$O$18,0),0))),0)</f>
        <v>0</v>
      </c>
      <c r="AS8">
        <f>IF((gamma!AS8),IF(VLOOKUP(AS$1,main!$A$3:$I$56,7,FALSE)=VLOOKUP($A8,main!$A$3:$I$56,8,FALSE),VLOOKUP(AS$1,main!$A$3:$I$56,4,FALSE),VLOOKUP(AS$1,main!$A$3:$I$56,4,FALSE)+VLOOKUP($A8,main!$A$3:$I$56,4,FALSE)+(VLOOKUP(VLOOKUP(AS$1,main!$A$3:$I$56,8,FALSE),main!$K$19:$O$22,MATCH(VLOOKUP($A8,main!$A$3:$I$56,7,FALSE),main!$K$18:$O$18,0),0))),0)</f>
        <v>0</v>
      </c>
      <c r="AT8">
        <f>IF((gamma!AT8),IF(VLOOKUP(AT$1,main!$A$3:$I$56,7,FALSE)=VLOOKUP($A8,main!$A$3:$I$56,8,FALSE),VLOOKUP(AT$1,main!$A$3:$I$56,4,FALSE),VLOOKUP(AT$1,main!$A$3:$I$56,4,FALSE)+VLOOKUP($A8,main!$A$3:$I$56,4,FALSE)+(VLOOKUP(VLOOKUP(AT$1,main!$A$3:$I$56,8,FALSE),main!$K$19:$O$22,MATCH(VLOOKUP($A8,main!$A$3:$I$56,7,FALSE),main!$K$18:$O$18,0),0))),0)</f>
        <v>0</v>
      </c>
      <c r="AU8">
        <f>IF((gamma!AU8),IF(VLOOKUP(AU$1,main!$A$3:$I$56,7,FALSE)=VLOOKUP($A8,main!$A$3:$I$56,8,FALSE),VLOOKUP(AU$1,main!$A$3:$I$56,4,FALSE),VLOOKUP(AU$1,main!$A$3:$I$56,4,FALSE)+VLOOKUP($A8,main!$A$3:$I$56,4,FALSE)+(VLOOKUP(VLOOKUP(AU$1,main!$A$3:$I$56,8,FALSE),main!$K$19:$O$22,MATCH(VLOOKUP($A8,main!$A$3:$I$56,7,FALSE),main!$K$18:$O$18,0),0))),0)</f>
        <v>0</v>
      </c>
      <c r="AV8">
        <f>IF((gamma!AV8),IF(VLOOKUP(AV$1,main!$A$3:$I$56,7,FALSE)=VLOOKUP($A8,main!$A$3:$I$56,8,FALSE),VLOOKUP(AV$1,main!$A$3:$I$56,4,FALSE),VLOOKUP(AV$1,main!$A$3:$I$56,4,FALSE)+VLOOKUP($A8,main!$A$3:$I$56,4,FALSE)+(VLOOKUP(VLOOKUP(AV$1,main!$A$3:$I$56,8,FALSE),main!$K$19:$O$22,MATCH(VLOOKUP($A8,main!$A$3:$I$56,7,FALSE),main!$K$18:$O$18,0),0))),0)</f>
        <v>0</v>
      </c>
      <c r="AW8">
        <f>IF((gamma!AW8),IF(VLOOKUP(AW$1,main!$A$3:$I$56,7,FALSE)=VLOOKUP($A8,main!$A$3:$I$56,8,FALSE),VLOOKUP(AW$1,main!$A$3:$I$56,4,FALSE),VLOOKUP(AW$1,main!$A$3:$I$56,4,FALSE)+VLOOKUP($A8,main!$A$3:$I$56,4,FALSE)+(VLOOKUP(VLOOKUP(AW$1,main!$A$3:$I$56,8,FALSE),main!$K$19:$O$22,MATCH(VLOOKUP($A8,main!$A$3:$I$56,7,FALSE),main!$K$18:$O$18,0),0))),0)</f>
        <v>0</v>
      </c>
      <c r="AX8">
        <f>IF((gamma!AX8),IF(VLOOKUP(AX$1,main!$A$3:$I$56,7,FALSE)=VLOOKUP($A8,main!$A$3:$I$56,8,FALSE),VLOOKUP(AX$1,main!$A$3:$I$56,4,FALSE),VLOOKUP(AX$1,main!$A$3:$I$56,4,FALSE)+VLOOKUP($A8,main!$A$3:$I$56,4,FALSE)+(VLOOKUP(VLOOKUP(AX$1,main!$A$3:$I$56,8,FALSE),main!$K$19:$O$22,MATCH(VLOOKUP($A8,main!$A$3:$I$56,7,FALSE),main!$K$18:$O$18,0),0))),0)</f>
        <v>0</v>
      </c>
      <c r="AY8">
        <f>IF((gamma!AY8),IF(VLOOKUP(AY$1,main!$A$3:$I$56,7,FALSE)=VLOOKUP($A8,main!$A$3:$I$56,8,FALSE),VLOOKUP(AY$1,main!$A$3:$I$56,4,FALSE),VLOOKUP(AY$1,main!$A$3:$I$56,4,FALSE)+VLOOKUP($A8,main!$A$3:$I$56,4,FALSE)+(VLOOKUP(VLOOKUP(AY$1,main!$A$3:$I$56,8,FALSE),main!$K$19:$O$22,MATCH(VLOOKUP($A8,main!$A$3:$I$56,7,FALSE),main!$K$18:$O$18,0),0))),0)</f>
        <v>0</v>
      </c>
      <c r="AZ8">
        <f>IF((gamma!AZ8),IF(VLOOKUP(AZ$1,main!$A$3:$I$56,7,FALSE)=VLOOKUP($A8,main!$A$3:$I$56,8,FALSE),VLOOKUP(AZ$1,main!$A$3:$I$56,4,FALSE),VLOOKUP(AZ$1,main!$A$3:$I$56,4,FALSE)+VLOOKUP($A8,main!$A$3:$I$56,4,FALSE)+(VLOOKUP(VLOOKUP(AZ$1,main!$A$3:$I$56,8,FALSE),main!$K$19:$O$22,MATCH(VLOOKUP($A8,main!$A$3:$I$56,7,FALSE),main!$K$18:$O$18,0),0))),0)</f>
        <v>0</v>
      </c>
      <c r="BA8">
        <f>IF((gamma!BA8),IF(VLOOKUP(BA$1,main!$A$3:$I$56,7,FALSE)=VLOOKUP($A8,main!$A$3:$I$56,8,FALSE),VLOOKUP(BA$1,main!$A$3:$I$56,4,FALSE),VLOOKUP(BA$1,main!$A$3:$I$56,4,FALSE)+VLOOKUP($A8,main!$A$3:$I$56,4,FALSE)+(VLOOKUP(VLOOKUP(BA$1,main!$A$3:$I$56,8,FALSE),main!$K$19:$O$22,MATCH(VLOOKUP($A8,main!$A$3:$I$56,7,FALSE),main!$K$18:$O$18,0),0))),0)</f>
        <v>0</v>
      </c>
      <c r="BB8">
        <f>IF((gamma!BB8),IF(VLOOKUP(BB$1,main!$A$3:$I$56,7,FALSE)=VLOOKUP($A8,main!$A$3:$I$56,8,FALSE),VLOOKUP(BB$1,main!$A$3:$I$56,4,FALSE),VLOOKUP(BB$1,main!$A$3:$I$56,4,FALSE)+VLOOKUP($A8,main!$A$3:$I$56,4,FALSE)+(VLOOKUP(VLOOKUP(BB$1,main!$A$3:$I$56,8,FALSE),main!$K$19:$O$22,MATCH(VLOOKUP($A8,main!$A$3:$I$56,7,FALSE),main!$K$18:$O$18,0),0))),0)</f>
        <v>0</v>
      </c>
      <c r="BC8">
        <f>IF((gamma!BC8),IF(VLOOKUP(BC$1,main!$A$3:$I$56,7,FALSE)=VLOOKUP($A8,main!$A$3:$I$56,8,FALSE),VLOOKUP(BC$1,main!$A$3:$I$56,4,FALSE),VLOOKUP(BC$1,main!$A$3:$I$56,4,FALSE)+VLOOKUP($A8,main!$A$3:$I$56,4,FALSE)+(VLOOKUP(VLOOKUP(BC$1,main!$A$3:$I$56,8,FALSE),main!$K$19:$O$22,MATCH(VLOOKUP($A8,main!$A$3:$I$56,7,FALSE),main!$K$18:$O$18,0),0))),0)</f>
        <v>0</v>
      </c>
      <c r="BD8">
        <f>IF((gamma!BD8),IF(VLOOKUP(BD$1,main!$A$3:$I$56,7,FALSE)=VLOOKUP($A8,main!$A$3:$I$56,8,FALSE),VLOOKUP(BD$1,main!$A$3:$I$56,4,FALSE),VLOOKUP(BD$1,main!$A$3:$I$56,4,FALSE)+VLOOKUP($A8,main!$A$3:$I$56,4,FALSE)+(VLOOKUP(VLOOKUP(BD$1,main!$A$3:$I$56,8,FALSE),main!$K$19:$O$22,MATCH(VLOOKUP($A8,main!$A$3:$I$56,7,FALSE),main!$K$18:$O$18,0),0))),0)</f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>
        <f t="shared" si="0"/>
        <v>7</v>
      </c>
      <c r="B9">
        <v>0</v>
      </c>
      <c r="C9">
        <f>IF((gamma!C9),IF(VLOOKUP(C$1,main!$A$3:$I$56,7,FALSE)=VLOOKUP($A9,main!$A$3:$I$56,8,FALSE),VLOOKUP(C$1,main!$A$3:$I$56,4,FALSE),VLOOKUP(C$1,main!$A$3:$I$56,4,FALSE)+VLOOKUP($A9,main!$A$3:$I$56,4,FALSE)+(VLOOKUP(VLOOKUP(C$1,main!$A$3:$I$56,8,FALSE),main!$K$19:$O$22,MATCH(VLOOKUP($A9,main!$A$3:$I$56,7,FALSE),main!$K$18:$O$18,0),0))),0)</f>
        <v>0</v>
      </c>
      <c r="D9">
        <f>IF((gamma!D9),IF(VLOOKUP(D$1,main!$A$3:$I$56,7,FALSE)=VLOOKUP($A9,main!$A$3:$I$56,8,FALSE),VLOOKUP(D$1,main!$A$3:$I$56,4,FALSE),VLOOKUP(D$1,main!$A$3:$I$56,4,FALSE)+VLOOKUP($A9,main!$A$3:$I$56,4,FALSE)+(VLOOKUP(VLOOKUP(D$1,main!$A$3:$I$56,8,FALSE),main!$K$19:$O$22,MATCH(VLOOKUP($A9,main!$A$3:$I$56,7,FALSE),main!$K$18:$O$18,0),0))),0)</f>
        <v>0</v>
      </c>
      <c r="E9">
        <f>IF((gamma!E9),IF(VLOOKUP(E$1,main!$A$3:$I$56,7,FALSE)=VLOOKUP($A9,main!$A$3:$I$56,8,FALSE),VLOOKUP(E$1,main!$A$3:$I$56,4,FALSE),VLOOKUP(E$1,main!$A$3:$I$56,4,FALSE)+VLOOKUP($A9,main!$A$3:$I$56,4,FALSE)+(VLOOKUP(VLOOKUP(E$1,main!$A$3:$I$56,8,FALSE),main!$K$19:$O$22,MATCH(VLOOKUP($A9,main!$A$3:$I$56,7,FALSE),main!$K$18:$O$18,0),0))),0)</f>
        <v>0</v>
      </c>
      <c r="F9">
        <f>IF((gamma!F9),IF(VLOOKUP(F$1,main!$A$3:$I$56,7,FALSE)=VLOOKUP($A9,main!$A$3:$I$56,8,FALSE),VLOOKUP(F$1,main!$A$3:$I$56,4,FALSE),VLOOKUP(F$1,main!$A$3:$I$56,4,FALSE)+VLOOKUP($A9,main!$A$3:$I$56,4,FALSE)+(VLOOKUP(VLOOKUP(F$1,main!$A$3:$I$56,8,FALSE),main!$K$19:$O$22,MATCH(VLOOKUP($A9,main!$A$3:$I$56,7,FALSE),main!$K$18:$O$18,0),0))),0)</f>
        <v>0</v>
      </c>
      <c r="G9">
        <f>IF((gamma!G9),IF(VLOOKUP(G$1,main!$A$3:$I$56,7,FALSE)=VLOOKUP($A9,main!$A$3:$I$56,8,FALSE),VLOOKUP(G$1,main!$A$3:$I$56,4,FALSE),VLOOKUP(G$1,main!$A$3:$I$56,4,FALSE)+VLOOKUP($A9,main!$A$3:$I$56,4,FALSE)+(VLOOKUP(VLOOKUP(G$1,main!$A$3:$I$56,8,FALSE),main!$K$19:$O$22,MATCH(VLOOKUP($A9,main!$A$3:$I$56,7,FALSE),main!$K$18:$O$18,0),0))),0)</f>
        <v>0</v>
      </c>
      <c r="H9">
        <f>IF((gamma!H9),IF(VLOOKUP(H$1,main!$A$3:$I$56,7,FALSE)=VLOOKUP($A9,main!$A$3:$I$56,8,FALSE),VLOOKUP(H$1,main!$A$3:$I$56,4,FALSE),VLOOKUP(H$1,main!$A$3:$I$56,4,FALSE)+VLOOKUP($A9,main!$A$3:$I$56,4,FALSE)+(VLOOKUP(VLOOKUP(H$1,main!$A$3:$I$56,8,FALSE),main!$K$19:$O$22,MATCH(VLOOKUP($A9,main!$A$3:$I$56,7,FALSE),main!$K$18:$O$18,0),0))),0)</f>
        <v>0</v>
      </c>
      <c r="I9">
        <f>IF((gamma!I9),IF(VLOOKUP(I$1,main!$A$3:$I$56,7,FALSE)=VLOOKUP($A9,main!$A$3:$I$56,8,FALSE),VLOOKUP(I$1,main!$A$3:$I$56,4,FALSE),VLOOKUP(I$1,main!$A$3:$I$56,4,FALSE)+VLOOKUP($A9,main!$A$3:$I$56,4,FALSE)+(VLOOKUP(VLOOKUP(I$1,main!$A$3:$I$56,8,FALSE),main!$K$19:$O$22,MATCH(VLOOKUP($A9,main!$A$3:$I$56,7,FALSE),main!$K$18:$O$18,0),0))),0)</f>
        <v>0</v>
      </c>
      <c r="J9">
        <f>IF((gamma!J9),IF(VLOOKUP(J$1,main!$A$3:$I$56,7,FALSE)=VLOOKUP($A9,main!$A$3:$I$56,8,FALSE),VLOOKUP(J$1,main!$A$3:$I$56,4,FALSE),VLOOKUP(J$1,main!$A$3:$I$56,4,FALSE)+VLOOKUP($A9,main!$A$3:$I$56,4,FALSE)+(VLOOKUP(VLOOKUP(J$1,main!$A$3:$I$56,8,FALSE),main!$K$19:$O$22,MATCH(VLOOKUP($A9,main!$A$3:$I$56,7,FALSE),main!$K$18:$O$18,0),0))),0)</f>
        <v>0</v>
      </c>
      <c r="K9">
        <f>IF((gamma!K9),IF(VLOOKUP(K$1,main!$A$3:$I$56,7,FALSE)=VLOOKUP($A9,main!$A$3:$I$56,8,FALSE),VLOOKUP(K$1,main!$A$3:$I$56,4,FALSE),VLOOKUP(K$1,main!$A$3:$I$56,4,FALSE)+VLOOKUP($A9,main!$A$3:$I$56,4,FALSE)+(VLOOKUP(VLOOKUP(K$1,main!$A$3:$I$56,8,FALSE),main!$K$19:$O$22,MATCH(VLOOKUP($A9,main!$A$3:$I$56,7,FALSE),main!$K$18:$O$18,0),0))),0)</f>
        <v>0</v>
      </c>
      <c r="L9">
        <f>IF((gamma!L9),IF(VLOOKUP(L$1,main!$A$3:$I$56,7,FALSE)=VLOOKUP($A9,main!$A$3:$I$56,8,FALSE),VLOOKUP(L$1,main!$A$3:$I$56,4,FALSE),VLOOKUP(L$1,main!$A$3:$I$56,4,FALSE)+VLOOKUP($A9,main!$A$3:$I$56,4,FALSE)+(VLOOKUP(VLOOKUP(L$1,main!$A$3:$I$56,8,FALSE),main!$K$19:$O$22,MATCH(VLOOKUP($A9,main!$A$3:$I$56,7,FALSE),main!$K$18:$O$18,0),0))),0)</f>
        <v>0</v>
      </c>
      <c r="M9">
        <f>IF((gamma!M9),IF(VLOOKUP(M$1,main!$A$3:$I$56,7,FALSE)=VLOOKUP($A9,main!$A$3:$I$56,8,FALSE),VLOOKUP(M$1,main!$A$3:$I$56,4,FALSE),VLOOKUP(M$1,main!$A$3:$I$56,4,FALSE)+VLOOKUP($A9,main!$A$3:$I$56,4,FALSE)+(VLOOKUP(VLOOKUP(M$1,main!$A$3:$I$56,8,FALSE),main!$K$19:$O$22,MATCH(VLOOKUP($A9,main!$A$3:$I$56,7,FALSE),main!$K$18:$O$18,0),0))),0)</f>
        <v>0</v>
      </c>
      <c r="N9">
        <f>IF((gamma!N9),IF(VLOOKUP(N$1,main!$A$3:$I$56,7,FALSE)=VLOOKUP($A9,main!$A$3:$I$56,8,FALSE),VLOOKUP(N$1,main!$A$3:$I$56,4,FALSE),VLOOKUP(N$1,main!$A$3:$I$56,4,FALSE)+VLOOKUP($A9,main!$A$3:$I$56,4,FALSE)+(VLOOKUP(VLOOKUP(N$1,main!$A$3:$I$56,8,FALSE),main!$K$19:$O$22,MATCH(VLOOKUP($A9,main!$A$3:$I$56,7,FALSE),main!$K$18:$O$18,0),0))),0)</f>
        <v>0</v>
      </c>
      <c r="O9">
        <f>IF((gamma!O9),IF(VLOOKUP(O$1,main!$A$3:$I$56,7,FALSE)=VLOOKUP($A9,main!$A$3:$I$56,8,FALSE),VLOOKUP(O$1,main!$A$3:$I$56,4,FALSE),VLOOKUP(O$1,main!$A$3:$I$56,4,FALSE)+VLOOKUP($A9,main!$A$3:$I$56,4,FALSE)+(VLOOKUP(VLOOKUP(O$1,main!$A$3:$I$56,8,FALSE),main!$K$19:$O$22,MATCH(VLOOKUP($A9,main!$A$3:$I$56,7,FALSE),main!$K$18:$O$18,0),0))),0)</f>
        <v>0</v>
      </c>
      <c r="P9">
        <f>IF((gamma!P9),IF(VLOOKUP(P$1,main!$A$3:$I$56,7,FALSE)=VLOOKUP($A9,main!$A$3:$I$56,8,FALSE),VLOOKUP(P$1,main!$A$3:$I$56,4,FALSE),VLOOKUP(P$1,main!$A$3:$I$56,4,FALSE)+VLOOKUP($A9,main!$A$3:$I$56,4,FALSE)+(VLOOKUP(VLOOKUP(P$1,main!$A$3:$I$56,8,FALSE),main!$K$19:$O$22,MATCH(VLOOKUP($A9,main!$A$3:$I$56,7,FALSE),main!$K$18:$O$18,0),0))),0)</f>
        <v>0</v>
      </c>
      <c r="Q9">
        <f>IF((gamma!Q9),IF(VLOOKUP(Q$1,main!$A$3:$I$56,7,FALSE)=VLOOKUP($A9,main!$A$3:$I$56,8,FALSE),VLOOKUP(Q$1,main!$A$3:$I$56,4,FALSE),VLOOKUP(Q$1,main!$A$3:$I$56,4,FALSE)+VLOOKUP($A9,main!$A$3:$I$56,4,FALSE)+(VLOOKUP(VLOOKUP(Q$1,main!$A$3:$I$56,8,FALSE),main!$K$19:$O$22,MATCH(VLOOKUP($A9,main!$A$3:$I$56,7,FALSE),main!$K$18:$O$18,0),0))),0)</f>
        <v>0</v>
      </c>
      <c r="R9">
        <f>IF((gamma!R9),IF(VLOOKUP(R$1,main!$A$3:$I$56,7,FALSE)=VLOOKUP($A9,main!$A$3:$I$56,8,FALSE),VLOOKUP(R$1,main!$A$3:$I$56,4,FALSE),VLOOKUP(R$1,main!$A$3:$I$56,4,FALSE)+VLOOKUP($A9,main!$A$3:$I$56,4,FALSE)+(VLOOKUP(VLOOKUP(R$1,main!$A$3:$I$56,8,FALSE),main!$K$19:$O$22,MATCH(VLOOKUP($A9,main!$A$3:$I$56,7,FALSE),main!$K$18:$O$18,0),0))),0)</f>
        <v>0</v>
      </c>
      <c r="S9">
        <f>IF((gamma!S9),IF(VLOOKUP(S$1,main!$A$3:$I$56,7,FALSE)=VLOOKUP($A9,main!$A$3:$I$56,8,FALSE),VLOOKUP(S$1,main!$A$3:$I$56,4,FALSE),VLOOKUP(S$1,main!$A$3:$I$56,4,FALSE)+VLOOKUP($A9,main!$A$3:$I$56,4,FALSE)+(VLOOKUP(VLOOKUP(S$1,main!$A$3:$I$56,8,FALSE),main!$K$19:$O$22,MATCH(VLOOKUP($A9,main!$A$3:$I$56,7,FALSE),main!$K$18:$O$18,0),0))),0)</f>
        <v>0</v>
      </c>
      <c r="T9">
        <f>IF((gamma!T9),IF(VLOOKUP(T$1,main!$A$3:$I$56,7,FALSE)=VLOOKUP($A9,main!$A$3:$I$56,8,FALSE),VLOOKUP(T$1,main!$A$3:$I$56,4,FALSE),VLOOKUP(T$1,main!$A$3:$I$56,4,FALSE)+VLOOKUP($A9,main!$A$3:$I$56,4,FALSE)+(VLOOKUP(VLOOKUP(T$1,main!$A$3:$I$56,8,FALSE),main!$K$19:$O$22,MATCH(VLOOKUP($A9,main!$A$3:$I$56,7,FALSE),main!$K$18:$O$18,0),0))),0)</f>
        <v>0</v>
      </c>
      <c r="U9">
        <f>IF((gamma!U9),IF(VLOOKUP(U$1,main!$A$3:$I$56,7,FALSE)=VLOOKUP($A9,main!$A$3:$I$56,8,FALSE),VLOOKUP(U$1,main!$A$3:$I$56,4,FALSE),VLOOKUP(U$1,main!$A$3:$I$56,4,FALSE)+VLOOKUP($A9,main!$A$3:$I$56,4,FALSE)+(VLOOKUP(VLOOKUP(U$1,main!$A$3:$I$56,8,FALSE),main!$K$19:$O$22,MATCH(VLOOKUP($A9,main!$A$3:$I$56,7,FALSE),main!$K$18:$O$18,0),0))),0)</f>
        <v>0</v>
      </c>
      <c r="V9">
        <f>IF((gamma!V9),IF(VLOOKUP(V$1,main!$A$3:$I$56,7,FALSE)=VLOOKUP($A9,main!$A$3:$I$56,8,FALSE),VLOOKUP(V$1,main!$A$3:$I$56,4,FALSE),VLOOKUP(V$1,main!$A$3:$I$56,4,FALSE)+VLOOKUP($A9,main!$A$3:$I$56,4,FALSE)+(VLOOKUP(VLOOKUP(V$1,main!$A$3:$I$56,8,FALSE),main!$K$19:$O$22,MATCH(VLOOKUP($A9,main!$A$3:$I$56,7,FALSE),main!$K$18:$O$18,0),0))),0)</f>
        <v>0</v>
      </c>
      <c r="W9">
        <f>IF((gamma!W9),IF(VLOOKUP(W$1,main!$A$3:$I$56,7,FALSE)=VLOOKUP($A9,main!$A$3:$I$56,8,FALSE),VLOOKUP(W$1,main!$A$3:$I$56,4,FALSE),VLOOKUP(W$1,main!$A$3:$I$56,4,FALSE)+VLOOKUP($A9,main!$A$3:$I$56,4,FALSE)+(VLOOKUP(VLOOKUP(W$1,main!$A$3:$I$56,8,FALSE),main!$K$19:$O$22,MATCH(VLOOKUP($A9,main!$A$3:$I$56,7,FALSE),main!$K$18:$O$18,0),0))),0)</f>
        <v>0</v>
      </c>
      <c r="X9">
        <f>IF((gamma!X9),IF(VLOOKUP(X$1,main!$A$3:$I$56,7,FALSE)=VLOOKUP($A9,main!$A$3:$I$56,8,FALSE),VLOOKUP(X$1,main!$A$3:$I$56,4,FALSE),VLOOKUP(X$1,main!$A$3:$I$56,4,FALSE)+VLOOKUP($A9,main!$A$3:$I$56,4,FALSE)+(VLOOKUP(VLOOKUP(X$1,main!$A$3:$I$56,8,FALSE),main!$K$19:$O$22,MATCH(VLOOKUP($A9,main!$A$3:$I$56,7,FALSE),main!$K$18:$O$18,0),0))),0)</f>
        <v>0</v>
      </c>
      <c r="Y9">
        <f>IF((gamma!Y9),IF(VLOOKUP(Y$1,main!$A$3:$I$56,7,FALSE)=VLOOKUP($A9,main!$A$3:$I$56,8,FALSE),VLOOKUP(Y$1,main!$A$3:$I$56,4,FALSE),VLOOKUP(Y$1,main!$A$3:$I$56,4,FALSE)+VLOOKUP($A9,main!$A$3:$I$56,4,FALSE)+(VLOOKUP(VLOOKUP(Y$1,main!$A$3:$I$56,8,FALSE),main!$K$19:$O$22,MATCH(VLOOKUP($A9,main!$A$3:$I$56,7,FALSE),main!$K$18:$O$18,0),0))),0)</f>
        <v>0</v>
      </c>
      <c r="Z9">
        <f>IF((gamma!Z9),IF(VLOOKUP(Z$1,main!$A$3:$I$56,7,FALSE)=VLOOKUP($A9,main!$A$3:$I$56,8,FALSE),VLOOKUP(Z$1,main!$A$3:$I$56,4,FALSE),VLOOKUP(Z$1,main!$A$3:$I$56,4,FALSE)+VLOOKUP($A9,main!$A$3:$I$56,4,FALSE)+(VLOOKUP(VLOOKUP(Z$1,main!$A$3:$I$56,8,FALSE),main!$K$19:$O$22,MATCH(VLOOKUP($A9,main!$A$3:$I$56,7,FALSE),main!$K$18:$O$18,0),0))),0)</f>
        <v>0</v>
      </c>
      <c r="AA9">
        <f>IF((gamma!AA9),IF(VLOOKUP(AA$1,main!$A$3:$I$56,7,FALSE)=VLOOKUP($A9,main!$A$3:$I$56,8,FALSE),VLOOKUP(AA$1,main!$A$3:$I$56,4,FALSE),VLOOKUP(AA$1,main!$A$3:$I$56,4,FALSE)+VLOOKUP($A9,main!$A$3:$I$56,4,FALSE)+(VLOOKUP(VLOOKUP(AA$1,main!$A$3:$I$56,8,FALSE),main!$K$19:$O$22,MATCH(VLOOKUP($A9,main!$A$3:$I$56,7,FALSE),main!$K$18:$O$18,0),0))),0)</f>
        <v>0</v>
      </c>
      <c r="AB9">
        <f>IF((gamma!AB9),IF(VLOOKUP(AB$1,main!$A$3:$I$56,7,FALSE)=VLOOKUP($A9,main!$A$3:$I$56,8,FALSE),VLOOKUP(AB$1,main!$A$3:$I$56,4,FALSE),VLOOKUP(AB$1,main!$A$3:$I$56,4,FALSE)+VLOOKUP($A9,main!$A$3:$I$56,4,FALSE)+(VLOOKUP(VLOOKUP(AB$1,main!$A$3:$I$56,8,FALSE),main!$K$19:$O$22,MATCH(VLOOKUP($A9,main!$A$3:$I$56,7,FALSE),main!$K$18:$O$18,0),0))),0)</f>
        <v>0</v>
      </c>
      <c r="AC9">
        <f>IF((gamma!AC9),IF(VLOOKUP(AC$1,main!$A$3:$I$56,7,FALSE)=VLOOKUP($A9,main!$A$3:$I$56,8,FALSE),VLOOKUP(AC$1,main!$A$3:$I$56,4,FALSE),VLOOKUP(AC$1,main!$A$3:$I$56,4,FALSE)+VLOOKUP($A9,main!$A$3:$I$56,4,FALSE)+(VLOOKUP(VLOOKUP(AC$1,main!$A$3:$I$56,8,FALSE),main!$K$19:$O$22,MATCH(VLOOKUP($A9,main!$A$3:$I$56,7,FALSE),main!$K$18:$O$18,0),0))),0)</f>
        <v>0</v>
      </c>
      <c r="AD9">
        <f>IF((gamma!AD9),IF(VLOOKUP(AD$1,main!$A$3:$I$56,7,FALSE)=VLOOKUP($A9,main!$A$3:$I$56,8,FALSE),VLOOKUP(AD$1,main!$A$3:$I$56,4,FALSE),VLOOKUP(AD$1,main!$A$3:$I$56,4,FALSE)+VLOOKUP($A9,main!$A$3:$I$56,4,FALSE)+(VLOOKUP(VLOOKUP(AD$1,main!$A$3:$I$56,8,FALSE),main!$K$19:$O$22,MATCH(VLOOKUP($A9,main!$A$3:$I$56,7,FALSE),main!$K$18:$O$18,0),0))),0)</f>
        <v>0</v>
      </c>
      <c r="AE9">
        <f>IF((gamma!AE9),IF(VLOOKUP(AE$1,main!$A$3:$I$56,7,FALSE)=VLOOKUP($A9,main!$A$3:$I$56,8,FALSE),VLOOKUP(AE$1,main!$A$3:$I$56,4,FALSE),VLOOKUP(AE$1,main!$A$3:$I$56,4,FALSE)+VLOOKUP($A9,main!$A$3:$I$56,4,FALSE)+(VLOOKUP(VLOOKUP(AE$1,main!$A$3:$I$56,8,FALSE),main!$K$19:$O$22,MATCH(VLOOKUP($A9,main!$A$3:$I$56,7,FALSE),main!$K$18:$O$18,0),0))),0)</f>
        <v>0</v>
      </c>
      <c r="AF9">
        <f>IF((gamma!AF9),IF(VLOOKUP(AF$1,main!$A$3:$I$56,7,FALSE)=VLOOKUP($A9,main!$A$3:$I$56,8,FALSE),VLOOKUP(AF$1,main!$A$3:$I$56,4,FALSE),VLOOKUP(AF$1,main!$A$3:$I$56,4,FALSE)+VLOOKUP($A9,main!$A$3:$I$56,4,FALSE)+(VLOOKUP(VLOOKUP(AF$1,main!$A$3:$I$56,8,FALSE),main!$K$19:$O$22,MATCH(VLOOKUP($A9,main!$A$3:$I$56,7,FALSE),main!$K$18:$O$18,0),0))),0)</f>
        <v>0</v>
      </c>
      <c r="AG9">
        <f>IF((gamma!AG9),IF(VLOOKUP(AG$1,main!$A$3:$I$56,7,FALSE)=VLOOKUP($A9,main!$A$3:$I$56,8,FALSE),VLOOKUP(AG$1,main!$A$3:$I$56,4,FALSE),VLOOKUP(AG$1,main!$A$3:$I$56,4,FALSE)+VLOOKUP($A9,main!$A$3:$I$56,4,FALSE)+(VLOOKUP(VLOOKUP(AG$1,main!$A$3:$I$56,8,FALSE),main!$K$19:$O$22,MATCH(VLOOKUP($A9,main!$A$3:$I$56,7,FALSE),main!$K$18:$O$18,0),0))),0)</f>
        <v>0</v>
      </c>
      <c r="AH9">
        <f>IF((gamma!AH9),IF(VLOOKUP(AH$1,main!$A$3:$I$56,7,FALSE)=VLOOKUP($A9,main!$A$3:$I$56,8,FALSE),VLOOKUP(AH$1,main!$A$3:$I$56,4,FALSE),VLOOKUP(AH$1,main!$A$3:$I$56,4,FALSE)+VLOOKUP($A9,main!$A$3:$I$56,4,FALSE)+(VLOOKUP(VLOOKUP(AH$1,main!$A$3:$I$56,8,FALSE),main!$K$19:$O$22,MATCH(VLOOKUP($A9,main!$A$3:$I$56,7,FALSE),main!$K$18:$O$18,0),0))),0)</f>
        <v>0</v>
      </c>
      <c r="AI9">
        <f>IF((gamma!AI9),IF(VLOOKUP(AI$1,main!$A$3:$I$56,7,FALSE)=VLOOKUP($A9,main!$A$3:$I$56,8,FALSE),VLOOKUP(AI$1,main!$A$3:$I$56,4,FALSE),VLOOKUP(AI$1,main!$A$3:$I$56,4,FALSE)+VLOOKUP($A9,main!$A$3:$I$56,4,FALSE)+(VLOOKUP(VLOOKUP(AI$1,main!$A$3:$I$56,8,FALSE),main!$K$19:$O$22,MATCH(VLOOKUP($A9,main!$A$3:$I$56,7,FALSE),main!$K$18:$O$18,0),0))),0)</f>
        <v>0</v>
      </c>
      <c r="AJ9">
        <f>IF((gamma!AJ9),IF(VLOOKUP(AJ$1,main!$A$3:$I$56,7,FALSE)=VLOOKUP($A9,main!$A$3:$I$56,8,FALSE),VLOOKUP(AJ$1,main!$A$3:$I$56,4,FALSE),VLOOKUP(AJ$1,main!$A$3:$I$56,4,FALSE)+VLOOKUP($A9,main!$A$3:$I$56,4,FALSE)+(VLOOKUP(VLOOKUP(AJ$1,main!$A$3:$I$56,8,FALSE),main!$K$19:$O$22,MATCH(VLOOKUP($A9,main!$A$3:$I$56,7,FALSE),main!$K$18:$O$18,0),0))),0)</f>
        <v>0</v>
      </c>
      <c r="AK9">
        <f>IF((gamma!AK9),IF(VLOOKUP(AK$1,main!$A$3:$I$56,7,FALSE)=VLOOKUP($A9,main!$A$3:$I$56,8,FALSE),VLOOKUP(AK$1,main!$A$3:$I$56,4,FALSE),VLOOKUP(AK$1,main!$A$3:$I$56,4,FALSE)+VLOOKUP($A9,main!$A$3:$I$56,4,FALSE)+(VLOOKUP(VLOOKUP(AK$1,main!$A$3:$I$56,8,FALSE),main!$K$19:$O$22,MATCH(VLOOKUP($A9,main!$A$3:$I$56,7,FALSE),main!$K$18:$O$18,0),0))),0)</f>
        <v>0</v>
      </c>
      <c r="AL9">
        <f>IF((gamma!AL9),IF(VLOOKUP(AL$1,main!$A$3:$I$56,7,FALSE)=VLOOKUP($A9,main!$A$3:$I$56,8,FALSE),VLOOKUP(AL$1,main!$A$3:$I$56,4,FALSE),VLOOKUP(AL$1,main!$A$3:$I$56,4,FALSE)+VLOOKUP($A9,main!$A$3:$I$56,4,FALSE)+(VLOOKUP(VLOOKUP(AL$1,main!$A$3:$I$56,8,FALSE),main!$K$19:$O$22,MATCH(VLOOKUP($A9,main!$A$3:$I$56,7,FALSE),main!$K$18:$O$18,0),0))),0)</f>
        <v>0</v>
      </c>
      <c r="AM9">
        <f>IF((gamma!AM9),IF(VLOOKUP(AM$1,main!$A$3:$I$56,7,FALSE)=VLOOKUP($A9,main!$A$3:$I$56,8,FALSE),VLOOKUP(AM$1,main!$A$3:$I$56,4,FALSE),VLOOKUP(AM$1,main!$A$3:$I$56,4,FALSE)+VLOOKUP($A9,main!$A$3:$I$56,4,FALSE)+(VLOOKUP(VLOOKUP(AM$1,main!$A$3:$I$56,8,FALSE),main!$K$19:$O$22,MATCH(VLOOKUP($A9,main!$A$3:$I$56,7,FALSE),main!$K$18:$O$18,0),0))),0)</f>
        <v>0</v>
      </c>
      <c r="AN9">
        <f>IF((gamma!AN9),IF(VLOOKUP(AN$1,main!$A$3:$I$56,7,FALSE)=VLOOKUP($A9,main!$A$3:$I$56,8,FALSE),VLOOKUP(AN$1,main!$A$3:$I$56,4,FALSE),VLOOKUP(AN$1,main!$A$3:$I$56,4,FALSE)+VLOOKUP($A9,main!$A$3:$I$56,4,FALSE)+(VLOOKUP(VLOOKUP(AN$1,main!$A$3:$I$56,8,FALSE),main!$K$19:$O$22,MATCH(VLOOKUP($A9,main!$A$3:$I$56,7,FALSE),main!$K$18:$O$18,0),0))),0)</f>
        <v>0</v>
      </c>
      <c r="AO9">
        <f>IF((gamma!AO9),IF(VLOOKUP(AO$1,main!$A$3:$I$56,7,FALSE)=VLOOKUP($A9,main!$A$3:$I$56,8,FALSE),VLOOKUP(AO$1,main!$A$3:$I$56,4,FALSE),VLOOKUP(AO$1,main!$A$3:$I$56,4,FALSE)+VLOOKUP($A9,main!$A$3:$I$56,4,FALSE)+(VLOOKUP(VLOOKUP(AO$1,main!$A$3:$I$56,8,FALSE),main!$K$19:$O$22,MATCH(VLOOKUP($A9,main!$A$3:$I$56,7,FALSE),main!$K$18:$O$18,0),0))),0)</f>
        <v>0</v>
      </c>
      <c r="AP9">
        <f>IF((gamma!AP9),IF(VLOOKUP(AP$1,main!$A$3:$I$56,7,FALSE)=VLOOKUP($A9,main!$A$3:$I$56,8,FALSE),VLOOKUP(AP$1,main!$A$3:$I$56,4,FALSE),VLOOKUP(AP$1,main!$A$3:$I$56,4,FALSE)+VLOOKUP($A9,main!$A$3:$I$56,4,FALSE)+(VLOOKUP(VLOOKUP(AP$1,main!$A$3:$I$56,8,FALSE),main!$K$19:$O$22,MATCH(VLOOKUP($A9,main!$A$3:$I$56,7,FALSE),main!$K$18:$O$18,0),0))),0)</f>
        <v>0</v>
      </c>
      <c r="AQ9">
        <f>IF((gamma!AQ9),IF(VLOOKUP(AQ$1,main!$A$3:$I$56,7,FALSE)=VLOOKUP($A9,main!$A$3:$I$56,8,FALSE),VLOOKUP(AQ$1,main!$A$3:$I$56,4,FALSE),VLOOKUP(AQ$1,main!$A$3:$I$56,4,FALSE)+VLOOKUP($A9,main!$A$3:$I$56,4,FALSE)+(VLOOKUP(VLOOKUP(AQ$1,main!$A$3:$I$56,8,FALSE),main!$K$19:$O$22,MATCH(VLOOKUP($A9,main!$A$3:$I$56,7,FALSE),main!$K$18:$O$18,0),0))),0)</f>
        <v>0</v>
      </c>
      <c r="AR9">
        <f>IF((gamma!AR9),IF(VLOOKUP(AR$1,main!$A$3:$I$56,7,FALSE)=VLOOKUP($A9,main!$A$3:$I$56,8,FALSE),VLOOKUP(AR$1,main!$A$3:$I$56,4,FALSE),VLOOKUP(AR$1,main!$A$3:$I$56,4,FALSE)+VLOOKUP($A9,main!$A$3:$I$56,4,FALSE)+(VLOOKUP(VLOOKUP(AR$1,main!$A$3:$I$56,8,FALSE),main!$K$19:$O$22,MATCH(VLOOKUP($A9,main!$A$3:$I$56,7,FALSE),main!$K$18:$O$18,0),0))),0)</f>
        <v>0</v>
      </c>
      <c r="AS9">
        <f>IF((gamma!AS9),IF(VLOOKUP(AS$1,main!$A$3:$I$56,7,FALSE)=VLOOKUP($A9,main!$A$3:$I$56,8,FALSE),VLOOKUP(AS$1,main!$A$3:$I$56,4,FALSE),VLOOKUP(AS$1,main!$A$3:$I$56,4,FALSE)+VLOOKUP($A9,main!$A$3:$I$56,4,FALSE)+(VLOOKUP(VLOOKUP(AS$1,main!$A$3:$I$56,8,FALSE),main!$K$19:$O$22,MATCH(VLOOKUP($A9,main!$A$3:$I$56,7,FALSE),main!$K$18:$O$18,0),0))),0)</f>
        <v>0</v>
      </c>
      <c r="AT9">
        <f>IF((gamma!AT9),IF(VLOOKUP(AT$1,main!$A$3:$I$56,7,FALSE)=VLOOKUP($A9,main!$A$3:$I$56,8,FALSE),VLOOKUP(AT$1,main!$A$3:$I$56,4,FALSE),VLOOKUP(AT$1,main!$A$3:$I$56,4,FALSE)+VLOOKUP($A9,main!$A$3:$I$56,4,FALSE)+(VLOOKUP(VLOOKUP(AT$1,main!$A$3:$I$56,8,FALSE),main!$K$19:$O$22,MATCH(VLOOKUP($A9,main!$A$3:$I$56,7,FALSE),main!$K$18:$O$18,0),0))),0)</f>
        <v>0</v>
      </c>
      <c r="AU9">
        <f>IF((gamma!AU9),IF(VLOOKUP(AU$1,main!$A$3:$I$56,7,FALSE)=VLOOKUP($A9,main!$A$3:$I$56,8,FALSE),VLOOKUP(AU$1,main!$A$3:$I$56,4,FALSE),VLOOKUP(AU$1,main!$A$3:$I$56,4,FALSE)+VLOOKUP($A9,main!$A$3:$I$56,4,FALSE)+(VLOOKUP(VLOOKUP(AU$1,main!$A$3:$I$56,8,FALSE),main!$K$19:$O$22,MATCH(VLOOKUP($A9,main!$A$3:$I$56,7,FALSE),main!$K$18:$O$18,0),0))),0)</f>
        <v>0</v>
      </c>
      <c r="AV9">
        <f>IF((gamma!AV9),IF(VLOOKUP(AV$1,main!$A$3:$I$56,7,FALSE)=VLOOKUP($A9,main!$A$3:$I$56,8,FALSE),VLOOKUP(AV$1,main!$A$3:$I$56,4,FALSE),VLOOKUP(AV$1,main!$A$3:$I$56,4,FALSE)+VLOOKUP($A9,main!$A$3:$I$56,4,FALSE)+(VLOOKUP(VLOOKUP(AV$1,main!$A$3:$I$56,8,FALSE),main!$K$19:$O$22,MATCH(VLOOKUP($A9,main!$A$3:$I$56,7,FALSE),main!$K$18:$O$18,0),0))),0)</f>
        <v>0</v>
      </c>
      <c r="AW9">
        <f>IF((gamma!AW9),IF(VLOOKUP(AW$1,main!$A$3:$I$56,7,FALSE)=VLOOKUP($A9,main!$A$3:$I$56,8,FALSE),VLOOKUP(AW$1,main!$A$3:$I$56,4,FALSE),VLOOKUP(AW$1,main!$A$3:$I$56,4,FALSE)+VLOOKUP($A9,main!$A$3:$I$56,4,FALSE)+(VLOOKUP(VLOOKUP(AW$1,main!$A$3:$I$56,8,FALSE),main!$K$19:$O$22,MATCH(VLOOKUP($A9,main!$A$3:$I$56,7,FALSE),main!$K$18:$O$18,0),0))),0)</f>
        <v>0</v>
      </c>
      <c r="AX9">
        <f>IF((gamma!AX9),IF(VLOOKUP(AX$1,main!$A$3:$I$56,7,FALSE)=VLOOKUP($A9,main!$A$3:$I$56,8,FALSE),VLOOKUP(AX$1,main!$A$3:$I$56,4,FALSE),VLOOKUP(AX$1,main!$A$3:$I$56,4,FALSE)+VLOOKUP($A9,main!$A$3:$I$56,4,FALSE)+(VLOOKUP(VLOOKUP(AX$1,main!$A$3:$I$56,8,FALSE),main!$K$19:$O$22,MATCH(VLOOKUP($A9,main!$A$3:$I$56,7,FALSE),main!$K$18:$O$18,0),0))),0)</f>
        <v>0</v>
      </c>
      <c r="AY9">
        <f>IF((gamma!AY9),IF(VLOOKUP(AY$1,main!$A$3:$I$56,7,FALSE)=VLOOKUP($A9,main!$A$3:$I$56,8,FALSE),VLOOKUP(AY$1,main!$A$3:$I$56,4,FALSE),VLOOKUP(AY$1,main!$A$3:$I$56,4,FALSE)+VLOOKUP($A9,main!$A$3:$I$56,4,FALSE)+(VLOOKUP(VLOOKUP(AY$1,main!$A$3:$I$56,8,FALSE),main!$K$19:$O$22,MATCH(VLOOKUP($A9,main!$A$3:$I$56,7,FALSE),main!$K$18:$O$18,0),0))),0)</f>
        <v>0</v>
      </c>
      <c r="AZ9">
        <f>IF((gamma!AZ9),IF(VLOOKUP(AZ$1,main!$A$3:$I$56,7,FALSE)=VLOOKUP($A9,main!$A$3:$I$56,8,FALSE),VLOOKUP(AZ$1,main!$A$3:$I$56,4,FALSE),VLOOKUP(AZ$1,main!$A$3:$I$56,4,FALSE)+VLOOKUP($A9,main!$A$3:$I$56,4,FALSE)+(VLOOKUP(VLOOKUP(AZ$1,main!$A$3:$I$56,8,FALSE),main!$K$19:$O$22,MATCH(VLOOKUP($A9,main!$A$3:$I$56,7,FALSE),main!$K$18:$O$18,0),0))),0)</f>
        <v>0</v>
      </c>
      <c r="BA9">
        <f>IF((gamma!BA9),IF(VLOOKUP(BA$1,main!$A$3:$I$56,7,FALSE)=VLOOKUP($A9,main!$A$3:$I$56,8,FALSE),VLOOKUP(BA$1,main!$A$3:$I$56,4,FALSE),VLOOKUP(BA$1,main!$A$3:$I$56,4,FALSE)+VLOOKUP($A9,main!$A$3:$I$56,4,FALSE)+(VLOOKUP(VLOOKUP(BA$1,main!$A$3:$I$56,8,FALSE),main!$K$19:$O$22,MATCH(VLOOKUP($A9,main!$A$3:$I$56,7,FALSE),main!$K$18:$O$18,0),0))),0)</f>
        <v>0</v>
      </c>
      <c r="BB9">
        <f>IF((gamma!BB9),IF(VLOOKUP(BB$1,main!$A$3:$I$56,7,FALSE)=VLOOKUP($A9,main!$A$3:$I$56,8,FALSE),VLOOKUP(BB$1,main!$A$3:$I$56,4,FALSE),VLOOKUP(BB$1,main!$A$3:$I$56,4,FALSE)+VLOOKUP($A9,main!$A$3:$I$56,4,FALSE)+(VLOOKUP(VLOOKUP(BB$1,main!$A$3:$I$56,8,FALSE),main!$K$19:$O$22,MATCH(VLOOKUP($A9,main!$A$3:$I$56,7,FALSE),main!$K$18:$O$18,0),0))),0)</f>
        <v>0</v>
      </c>
      <c r="BC9">
        <f>IF((gamma!BC9),IF(VLOOKUP(BC$1,main!$A$3:$I$56,7,FALSE)=VLOOKUP($A9,main!$A$3:$I$56,8,FALSE),VLOOKUP(BC$1,main!$A$3:$I$56,4,FALSE),VLOOKUP(BC$1,main!$A$3:$I$56,4,FALSE)+VLOOKUP($A9,main!$A$3:$I$56,4,FALSE)+(VLOOKUP(VLOOKUP(BC$1,main!$A$3:$I$56,8,FALSE),main!$K$19:$O$22,MATCH(VLOOKUP($A9,main!$A$3:$I$56,7,FALSE),main!$K$18:$O$18,0),0))),0)</f>
        <v>0</v>
      </c>
      <c r="BD9">
        <f>IF((gamma!BD9),IF(VLOOKUP(BD$1,main!$A$3:$I$56,7,FALSE)=VLOOKUP($A9,main!$A$3:$I$56,8,FALSE),VLOOKUP(BD$1,main!$A$3:$I$56,4,FALSE),VLOOKUP(BD$1,main!$A$3:$I$56,4,FALSE)+VLOOKUP($A9,main!$A$3:$I$56,4,FALSE)+(VLOOKUP(VLOOKUP(BD$1,main!$A$3:$I$56,8,FALSE),main!$K$19:$O$22,MATCH(VLOOKUP($A9,main!$A$3:$I$56,7,FALSE),main!$K$18:$O$18,0),0))),0)</f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>
        <f t="shared" si="0"/>
        <v>8</v>
      </c>
      <c r="B10">
        <v>0</v>
      </c>
      <c r="C10">
        <f>IF((gamma!C10),IF(VLOOKUP(C$1,main!$A$3:$I$56,7,FALSE)=VLOOKUP($A10,main!$A$3:$I$56,8,FALSE),VLOOKUP(C$1,main!$A$3:$I$56,4,FALSE),VLOOKUP(C$1,main!$A$3:$I$56,4,FALSE)+VLOOKUP($A10,main!$A$3:$I$56,4,FALSE)+(VLOOKUP(VLOOKUP(C$1,main!$A$3:$I$56,8,FALSE),main!$K$19:$O$22,MATCH(VLOOKUP($A10,main!$A$3:$I$56,7,FALSE),main!$K$18:$O$18,0),0))),0)</f>
        <v>0</v>
      </c>
      <c r="D10">
        <f>IF((gamma!D10),IF(VLOOKUP(D$1,main!$A$3:$I$56,7,FALSE)=VLOOKUP($A10,main!$A$3:$I$56,8,FALSE),VLOOKUP(D$1,main!$A$3:$I$56,4,FALSE),VLOOKUP(D$1,main!$A$3:$I$56,4,FALSE)+VLOOKUP($A10,main!$A$3:$I$56,4,FALSE)+(VLOOKUP(VLOOKUP(D$1,main!$A$3:$I$56,8,FALSE),main!$K$19:$O$22,MATCH(VLOOKUP($A10,main!$A$3:$I$56,7,FALSE),main!$K$18:$O$18,0),0))),0)</f>
        <v>0</v>
      </c>
      <c r="E10">
        <f>IF((gamma!E10),IF(VLOOKUP(E$1,main!$A$3:$I$56,7,FALSE)=VLOOKUP($A10,main!$A$3:$I$56,8,FALSE),VLOOKUP(E$1,main!$A$3:$I$56,4,FALSE),VLOOKUP(E$1,main!$A$3:$I$56,4,FALSE)+VLOOKUP($A10,main!$A$3:$I$56,4,FALSE)+(VLOOKUP(VLOOKUP(E$1,main!$A$3:$I$56,8,FALSE),main!$K$19:$O$22,MATCH(VLOOKUP($A10,main!$A$3:$I$56,7,FALSE),main!$K$18:$O$18,0),0))),0)</f>
        <v>0</v>
      </c>
      <c r="F10">
        <f>IF((gamma!F10),IF(VLOOKUP(F$1,main!$A$3:$I$56,7,FALSE)=VLOOKUP($A10,main!$A$3:$I$56,8,FALSE),VLOOKUP(F$1,main!$A$3:$I$56,4,FALSE),VLOOKUP(F$1,main!$A$3:$I$56,4,FALSE)+VLOOKUP($A10,main!$A$3:$I$56,4,FALSE)+(VLOOKUP(VLOOKUP(F$1,main!$A$3:$I$56,8,FALSE),main!$K$19:$O$22,MATCH(VLOOKUP($A10,main!$A$3:$I$56,7,FALSE),main!$K$18:$O$18,0),0))),0)</f>
        <v>0</v>
      </c>
      <c r="G10">
        <f>IF((gamma!G10),IF(VLOOKUP(G$1,main!$A$3:$I$56,7,FALSE)=VLOOKUP($A10,main!$A$3:$I$56,8,FALSE),VLOOKUP(G$1,main!$A$3:$I$56,4,FALSE),VLOOKUP(G$1,main!$A$3:$I$56,4,FALSE)+VLOOKUP($A10,main!$A$3:$I$56,4,FALSE)+(VLOOKUP(VLOOKUP(G$1,main!$A$3:$I$56,8,FALSE),main!$K$19:$O$22,MATCH(VLOOKUP($A10,main!$A$3:$I$56,7,FALSE),main!$K$18:$O$18,0),0))),0)</f>
        <v>0</v>
      </c>
      <c r="H10">
        <f>IF((gamma!H10),IF(VLOOKUP(H$1,main!$A$3:$I$56,7,FALSE)=VLOOKUP($A10,main!$A$3:$I$56,8,FALSE),VLOOKUP(H$1,main!$A$3:$I$56,4,FALSE),VLOOKUP(H$1,main!$A$3:$I$56,4,FALSE)+VLOOKUP($A10,main!$A$3:$I$56,4,FALSE)+(VLOOKUP(VLOOKUP(H$1,main!$A$3:$I$56,8,FALSE),main!$K$19:$O$22,MATCH(VLOOKUP($A10,main!$A$3:$I$56,7,FALSE),main!$K$18:$O$18,0),0))),0)</f>
        <v>0</v>
      </c>
      <c r="I10">
        <f>IF((gamma!I10),IF(VLOOKUP(I$1,main!$A$3:$I$56,7,FALSE)=VLOOKUP($A10,main!$A$3:$I$56,8,FALSE),VLOOKUP(I$1,main!$A$3:$I$56,4,FALSE),VLOOKUP(I$1,main!$A$3:$I$56,4,FALSE)+VLOOKUP($A10,main!$A$3:$I$56,4,FALSE)+(VLOOKUP(VLOOKUP(I$1,main!$A$3:$I$56,8,FALSE),main!$K$19:$O$22,MATCH(VLOOKUP($A10,main!$A$3:$I$56,7,FALSE),main!$K$18:$O$18,0),0))),0)</f>
        <v>0</v>
      </c>
      <c r="J10">
        <f>IF((gamma!J10),IF(VLOOKUP(J$1,main!$A$3:$I$56,7,FALSE)=VLOOKUP($A10,main!$A$3:$I$56,8,FALSE),VLOOKUP(J$1,main!$A$3:$I$56,4,FALSE),VLOOKUP(J$1,main!$A$3:$I$56,4,FALSE)+VLOOKUP($A10,main!$A$3:$I$56,4,FALSE)+(VLOOKUP(VLOOKUP(J$1,main!$A$3:$I$56,8,FALSE),main!$K$19:$O$22,MATCH(VLOOKUP($A10,main!$A$3:$I$56,7,FALSE),main!$K$18:$O$18,0),0))),0)</f>
        <v>0</v>
      </c>
      <c r="K10">
        <f>IF((gamma!K10),IF(VLOOKUP(K$1,main!$A$3:$I$56,7,FALSE)=VLOOKUP($A10,main!$A$3:$I$56,8,FALSE),VLOOKUP(K$1,main!$A$3:$I$56,4,FALSE),VLOOKUP(K$1,main!$A$3:$I$56,4,FALSE)+VLOOKUP($A10,main!$A$3:$I$56,4,FALSE)+(VLOOKUP(VLOOKUP(K$1,main!$A$3:$I$56,8,FALSE),main!$K$19:$O$22,MATCH(VLOOKUP($A10,main!$A$3:$I$56,7,FALSE),main!$K$18:$O$18,0),0))),0)</f>
        <v>0</v>
      </c>
      <c r="L10">
        <f>IF((gamma!L10),IF(VLOOKUP(L$1,main!$A$3:$I$56,7,FALSE)=VLOOKUP($A10,main!$A$3:$I$56,8,FALSE),VLOOKUP(L$1,main!$A$3:$I$56,4,FALSE),VLOOKUP(L$1,main!$A$3:$I$56,4,FALSE)+VLOOKUP($A10,main!$A$3:$I$56,4,FALSE)+(VLOOKUP(VLOOKUP(L$1,main!$A$3:$I$56,8,FALSE),main!$K$19:$O$22,MATCH(VLOOKUP($A10,main!$A$3:$I$56,7,FALSE),main!$K$18:$O$18,0),0))),0)</f>
        <v>0</v>
      </c>
      <c r="M10">
        <f>IF((gamma!M10),IF(VLOOKUP(M$1,main!$A$3:$I$56,7,FALSE)=VLOOKUP($A10,main!$A$3:$I$56,8,FALSE),VLOOKUP(M$1,main!$A$3:$I$56,4,FALSE),VLOOKUP(M$1,main!$A$3:$I$56,4,FALSE)+VLOOKUP($A10,main!$A$3:$I$56,4,FALSE)+(VLOOKUP(VLOOKUP(M$1,main!$A$3:$I$56,8,FALSE),main!$K$19:$O$22,MATCH(VLOOKUP($A10,main!$A$3:$I$56,7,FALSE),main!$K$18:$O$18,0),0))),0)</f>
        <v>0</v>
      </c>
      <c r="N10">
        <f>IF((gamma!N10),IF(VLOOKUP(N$1,main!$A$3:$I$56,7,FALSE)=VLOOKUP($A10,main!$A$3:$I$56,8,FALSE),VLOOKUP(N$1,main!$A$3:$I$56,4,FALSE),VLOOKUP(N$1,main!$A$3:$I$56,4,FALSE)+VLOOKUP($A10,main!$A$3:$I$56,4,FALSE)+(VLOOKUP(VLOOKUP(N$1,main!$A$3:$I$56,8,FALSE),main!$K$19:$O$22,MATCH(VLOOKUP($A10,main!$A$3:$I$56,7,FALSE),main!$K$18:$O$18,0),0))),0)</f>
        <v>0</v>
      </c>
      <c r="O10">
        <f>IF((gamma!O10),IF(VLOOKUP(O$1,main!$A$3:$I$56,7,FALSE)=VLOOKUP($A10,main!$A$3:$I$56,8,FALSE),VLOOKUP(O$1,main!$A$3:$I$56,4,FALSE),VLOOKUP(O$1,main!$A$3:$I$56,4,FALSE)+VLOOKUP($A10,main!$A$3:$I$56,4,FALSE)+(VLOOKUP(VLOOKUP(O$1,main!$A$3:$I$56,8,FALSE),main!$K$19:$O$22,MATCH(VLOOKUP($A10,main!$A$3:$I$56,7,FALSE),main!$K$18:$O$18,0),0))),0)</f>
        <v>0</v>
      </c>
      <c r="P10">
        <f>IF((gamma!P10),IF(VLOOKUP(P$1,main!$A$3:$I$56,7,FALSE)=VLOOKUP($A10,main!$A$3:$I$56,8,FALSE),VLOOKUP(P$1,main!$A$3:$I$56,4,FALSE),VLOOKUP(P$1,main!$A$3:$I$56,4,FALSE)+VLOOKUP($A10,main!$A$3:$I$56,4,FALSE)+(VLOOKUP(VLOOKUP(P$1,main!$A$3:$I$56,8,FALSE),main!$K$19:$O$22,MATCH(VLOOKUP($A10,main!$A$3:$I$56,7,FALSE),main!$K$18:$O$18,0),0))),0)</f>
        <v>0</v>
      </c>
      <c r="Q10">
        <f>IF((gamma!Q10),IF(VLOOKUP(Q$1,main!$A$3:$I$56,7,FALSE)=VLOOKUP($A10,main!$A$3:$I$56,8,FALSE),VLOOKUP(Q$1,main!$A$3:$I$56,4,FALSE),VLOOKUP(Q$1,main!$A$3:$I$56,4,FALSE)+VLOOKUP($A10,main!$A$3:$I$56,4,FALSE)+(VLOOKUP(VLOOKUP(Q$1,main!$A$3:$I$56,8,FALSE),main!$K$19:$O$22,MATCH(VLOOKUP($A10,main!$A$3:$I$56,7,FALSE),main!$K$18:$O$18,0),0))),0)</f>
        <v>0</v>
      </c>
      <c r="R10">
        <f>IF((gamma!R10),IF(VLOOKUP(R$1,main!$A$3:$I$56,7,FALSE)=VLOOKUP($A10,main!$A$3:$I$56,8,FALSE),VLOOKUP(R$1,main!$A$3:$I$56,4,FALSE),VLOOKUP(R$1,main!$A$3:$I$56,4,FALSE)+VLOOKUP($A10,main!$A$3:$I$56,4,FALSE)+(VLOOKUP(VLOOKUP(R$1,main!$A$3:$I$56,8,FALSE),main!$K$19:$O$22,MATCH(VLOOKUP($A10,main!$A$3:$I$56,7,FALSE),main!$K$18:$O$18,0),0))),0)</f>
        <v>0</v>
      </c>
      <c r="S10">
        <f>IF((gamma!S10),IF(VLOOKUP(S$1,main!$A$3:$I$56,7,FALSE)=VLOOKUP($A10,main!$A$3:$I$56,8,FALSE),VLOOKUP(S$1,main!$A$3:$I$56,4,FALSE),VLOOKUP(S$1,main!$A$3:$I$56,4,FALSE)+VLOOKUP($A10,main!$A$3:$I$56,4,FALSE)+(VLOOKUP(VLOOKUP(S$1,main!$A$3:$I$56,8,FALSE),main!$K$19:$O$22,MATCH(VLOOKUP($A10,main!$A$3:$I$56,7,FALSE),main!$K$18:$O$18,0),0))),0)</f>
        <v>0</v>
      </c>
      <c r="T10">
        <f>IF((gamma!T10),IF(VLOOKUP(T$1,main!$A$3:$I$56,7,FALSE)=VLOOKUP($A10,main!$A$3:$I$56,8,FALSE),VLOOKUP(T$1,main!$A$3:$I$56,4,FALSE),VLOOKUP(T$1,main!$A$3:$I$56,4,FALSE)+VLOOKUP($A10,main!$A$3:$I$56,4,FALSE)+(VLOOKUP(VLOOKUP(T$1,main!$A$3:$I$56,8,FALSE),main!$K$19:$O$22,MATCH(VLOOKUP($A10,main!$A$3:$I$56,7,FALSE),main!$K$18:$O$18,0),0))),0)</f>
        <v>0</v>
      </c>
      <c r="U10">
        <f>IF((gamma!U10),IF(VLOOKUP(U$1,main!$A$3:$I$56,7,FALSE)=VLOOKUP($A10,main!$A$3:$I$56,8,FALSE),VLOOKUP(U$1,main!$A$3:$I$56,4,FALSE),VLOOKUP(U$1,main!$A$3:$I$56,4,FALSE)+VLOOKUP($A10,main!$A$3:$I$56,4,FALSE)+(VLOOKUP(VLOOKUP(U$1,main!$A$3:$I$56,8,FALSE),main!$K$19:$O$22,MATCH(VLOOKUP($A10,main!$A$3:$I$56,7,FALSE),main!$K$18:$O$18,0),0))),0)</f>
        <v>0</v>
      </c>
      <c r="V10">
        <f>IF((gamma!V10),IF(VLOOKUP(V$1,main!$A$3:$I$56,7,FALSE)=VLOOKUP($A10,main!$A$3:$I$56,8,FALSE),VLOOKUP(V$1,main!$A$3:$I$56,4,FALSE),VLOOKUP(V$1,main!$A$3:$I$56,4,FALSE)+VLOOKUP($A10,main!$A$3:$I$56,4,FALSE)+(VLOOKUP(VLOOKUP(V$1,main!$A$3:$I$56,8,FALSE),main!$K$19:$O$22,MATCH(VLOOKUP($A10,main!$A$3:$I$56,7,FALSE),main!$K$18:$O$18,0),0))),0)</f>
        <v>0</v>
      </c>
      <c r="W10">
        <f>IF((gamma!W10),IF(VLOOKUP(W$1,main!$A$3:$I$56,7,FALSE)=VLOOKUP($A10,main!$A$3:$I$56,8,FALSE),VLOOKUP(W$1,main!$A$3:$I$56,4,FALSE),VLOOKUP(W$1,main!$A$3:$I$56,4,FALSE)+VLOOKUP($A10,main!$A$3:$I$56,4,FALSE)+(VLOOKUP(VLOOKUP(W$1,main!$A$3:$I$56,8,FALSE),main!$K$19:$O$22,MATCH(VLOOKUP($A10,main!$A$3:$I$56,7,FALSE),main!$K$18:$O$18,0),0))),0)</f>
        <v>0</v>
      </c>
      <c r="X10">
        <f>IF((gamma!X10),IF(VLOOKUP(X$1,main!$A$3:$I$56,7,FALSE)=VLOOKUP($A10,main!$A$3:$I$56,8,FALSE),VLOOKUP(X$1,main!$A$3:$I$56,4,FALSE),VLOOKUP(X$1,main!$A$3:$I$56,4,FALSE)+VLOOKUP($A10,main!$A$3:$I$56,4,FALSE)+(VLOOKUP(VLOOKUP(X$1,main!$A$3:$I$56,8,FALSE),main!$K$19:$O$22,MATCH(VLOOKUP($A10,main!$A$3:$I$56,7,FALSE),main!$K$18:$O$18,0),0))),0)</f>
        <v>0</v>
      </c>
      <c r="Y10">
        <f>IF((gamma!Y10),IF(VLOOKUP(Y$1,main!$A$3:$I$56,7,FALSE)=VLOOKUP($A10,main!$A$3:$I$56,8,FALSE),VLOOKUP(Y$1,main!$A$3:$I$56,4,FALSE),VLOOKUP(Y$1,main!$A$3:$I$56,4,FALSE)+VLOOKUP($A10,main!$A$3:$I$56,4,FALSE)+(VLOOKUP(VLOOKUP(Y$1,main!$A$3:$I$56,8,FALSE),main!$K$19:$O$22,MATCH(VLOOKUP($A10,main!$A$3:$I$56,7,FALSE),main!$K$18:$O$18,0),0))),0)</f>
        <v>0</v>
      </c>
      <c r="Z10">
        <f>IF((gamma!Z10),IF(VLOOKUP(Z$1,main!$A$3:$I$56,7,FALSE)=VLOOKUP($A10,main!$A$3:$I$56,8,FALSE),VLOOKUP(Z$1,main!$A$3:$I$56,4,FALSE),VLOOKUP(Z$1,main!$A$3:$I$56,4,FALSE)+VLOOKUP($A10,main!$A$3:$I$56,4,FALSE)+(VLOOKUP(VLOOKUP(Z$1,main!$A$3:$I$56,8,FALSE),main!$K$19:$O$22,MATCH(VLOOKUP($A10,main!$A$3:$I$56,7,FALSE),main!$K$18:$O$18,0),0))),0)</f>
        <v>0</v>
      </c>
      <c r="AA10">
        <f>IF((gamma!AA10),IF(VLOOKUP(AA$1,main!$A$3:$I$56,7,FALSE)=VLOOKUP($A10,main!$A$3:$I$56,8,FALSE),VLOOKUP(AA$1,main!$A$3:$I$56,4,FALSE),VLOOKUP(AA$1,main!$A$3:$I$56,4,FALSE)+VLOOKUP($A10,main!$A$3:$I$56,4,FALSE)+(VLOOKUP(VLOOKUP(AA$1,main!$A$3:$I$56,8,FALSE),main!$K$19:$O$22,MATCH(VLOOKUP($A10,main!$A$3:$I$56,7,FALSE),main!$K$18:$O$18,0),0))),0)</f>
        <v>0</v>
      </c>
      <c r="AB10">
        <f>IF((gamma!AB10),IF(VLOOKUP(AB$1,main!$A$3:$I$56,7,FALSE)=VLOOKUP($A10,main!$A$3:$I$56,8,FALSE),VLOOKUP(AB$1,main!$A$3:$I$56,4,FALSE),VLOOKUP(AB$1,main!$A$3:$I$56,4,FALSE)+VLOOKUP($A10,main!$A$3:$I$56,4,FALSE)+(VLOOKUP(VLOOKUP(AB$1,main!$A$3:$I$56,8,FALSE),main!$K$19:$O$22,MATCH(VLOOKUP($A10,main!$A$3:$I$56,7,FALSE),main!$K$18:$O$18,0),0))),0)</f>
        <v>0</v>
      </c>
      <c r="AC10">
        <f>IF((gamma!AC10),IF(VLOOKUP(AC$1,main!$A$3:$I$56,7,FALSE)=VLOOKUP($A10,main!$A$3:$I$56,8,FALSE),VLOOKUP(AC$1,main!$A$3:$I$56,4,FALSE),VLOOKUP(AC$1,main!$A$3:$I$56,4,FALSE)+VLOOKUP($A10,main!$A$3:$I$56,4,FALSE)+(VLOOKUP(VLOOKUP(AC$1,main!$A$3:$I$56,8,FALSE),main!$K$19:$O$22,MATCH(VLOOKUP($A10,main!$A$3:$I$56,7,FALSE),main!$K$18:$O$18,0),0))),0)</f>
        <v>0</v>
      </c>
      <c r="AD10">
        <f>IF((gamma!AD10),IF(VLOOKUP(AD$1,main!$A$3:$I$56,7,FALSE)=VLOOKUP($A10,main!$A$3:$I$56,8,FALSE),VLOOKUP(AD$1,main!$A$3:$I$56,4,FALSE),VLOOKUP(AD$1,main!$A$3:$I$56,4,FALSE)+VLOOKUP($A10,main!$A$3:$I$56,4,FALSE)+(VLOOKUP(VLOOKUP(AD$1,main!$A$3:$I$56,8,FALSE),main!$K$19:$O$22,MATCH(VLOOKUP($A10,main!$A$3:$I$56,7,FALSE),main!$K$18:$O$18,0),0))),0)</f>
        <v>0</v>
      </c>
      <c r="AE10">
        <f>IF((gamma!AE10),IF(VLOOKUP(AE$1,main!$A$3:$I$56,7,FALSE)=VLOOKUP($A10,main!$A$3:$I$56,8,FALSE),VLOOKUP(AE$1,main!$A$3:$I$56,4,FALSE),VLOOKUP(AE$1,main!$A$3:$I$56,4,FALSE)+VLOOKUP($A10,main!$A$3:$I$56,4,FALSE)+(VLOOKUP(VLOOKUP(AE$1,main!$A$3:$I$56,8,FALSE),main!$K$19:$O$22,MATCH(VLOOKUP($A10,main!$A$3:$I$56,7,FALSE),main!$K$18:$O$18,0),0))),0)</f>
        <v>0</v>
      </c>
      <c r="AF10">
        <f>IF((gamma!AF10),IF(VLOOKUP(AF$1,main!$A$3:$I$56,7,FALSE)=VLOOKUP($A10,main!$A$3:$I$56,8,FALSE),VLOOKUP(AF$1,main!$A$3:$I$56,4,FALSE),VLOOKUP(AF$1,main!$A$3:$I$56,4,FALSE)+VLOOKUP($A10,main!$A$3:$I$56,4,FALSE)+(VLOOKUP(VLOOKUP(AF$1,main!$A$3:$I$56,8,FALSE),main!$K$19:$O$22,MATCH(VLOOKUP($A10,main!$A$3:$I$56,7,FALSE),main!$K$18:$O$18,0),0))),0)</f>
        <v>0</v>
      </c>
      <c r="AG10">
        <f>IF((gamma!AG10),IF(VLOOKUP(AG$1,main!$A$3:$I$56,7,FALSE)=VLOOKUP($A10,main!$A$3:$I$56,8,FALSE),VLOOKUP(AG$1,main!$A$3:$I$56,4,FALSE),VLOOKUP(AG$1,main!$A$3:$I$56,4,FALSE)+VLOOKUP($A10,main!$A$3:$I$56,4,FALSE)+(VLOOKUP(VLOOKUP(AG$1,main!$A$3:$I$56,8,FALSE),main!$K$19:$O$22,MATCH(VLOOKUP($A10,main!$A$3:$I$56,7,FALSE),main!$K$18:$O$18,0),0))),0)</f>
        <v>0</v>
      </c>
      <c r="AH10">
        <f>IF((gamma!AH10),IF(VLOOKUP(AH$1,main!$A$3:$I$56,7,FALSE)=VLOOKUP($A10,main!$A$3:$I$56,8,FALSE),VLOOKUP(AH$1,main!$A$3:$I$56,4,FALSE),VLOOKUP(AH$1,main!$A$3:$I$56,4,FALSE)+VLOOKUP($A10,main!$A$3:$I$56,4,FALSE)+(VLOOKUP(VLOOKUP(AH$1,main!$A$3:$I$56,8,FALSE),main!$K$19:$O$22,MATCH(VLOOKUP($A10,main!$A$3:$I$56,7,FALSE),main!$K$18:$O$18,0),0))),0)</f>
        <v>0</v>
      </c>
      <c r="AI10">
        <f>IF((gamma!AI10),IF(VLOOKUP(AI$1,main!$A$3:$I$56,7,FALSE)=VLOOKUP($A10,main!$A$3:$I$56,8,FALSE),VLOOKUP(AI$1,main!$A$3:$I$56,4,FALSE),VLOOKUP(AI$1,main!$A$3:$I$56,4,FALSE)+VLOOKUP($A10,main!$A$3:$I$56,4,FALSE)+(VLOOKUP(VLOOKUP(AI$1,main!$A$3:$I$56,8,FALSE),main!$K$19:$O$22,MATCH(VLOOKUP($A10,main!$A$3:$I$56,7,FALSE),main!$K$18:$O$18,0),0))),0)</f>
        <v>0</v>
      </c>
      <c r="AJ10">
        <f>IF((gamma!AJ10),IF(VLOOKUP(AJ$1,main!$A$3:$I$56,7,FALSE)=VLOOKUP($A10,main!$A$3:$I$56,8,FALSE),VLOOKUP(AJ$1,main!$A$3:$I$56,4,FALSE),VLOOKUP(AJ$1,main!$A$3:$I$56,4,FALSE)+VLOOKUP($A10,main!$A$3:$I$56,4,FALSE)+(VLOOKUP(VLOOKUP(AJ$1,main!$A$3:$I$56,8,FALSE),main!$K$19:$O$22,MATCH(VLOOKUP($A10,main!$A$3:$I$56,7,FALSE),main!$K$18:$O$18,0),0))),0)</f>
        <v>0</v>
      </c>
      <c r="AK10">
        <f>IF((gamma!AK10),IF(VLOOKUP(AK$1,main!$A$3:$I$56,7,FALSE)=VLOOKUP($A10,main!$A$3:$I$56,8,FALSE),VLOOKUP(AK$1,main!$A$3:$I$56,4,FALSE),VLOOKUP(AK$1,main!$A$3:$I$56,4,FALSE)+VLOOKUP($A10,main!$A$3:$I$56,4,FALSE)+(VLOOKUP(VLOOKUP(AK$1,main!$A$3:$I$56,8,FALSE),main!$K$19:$O$22,MATCH(VLOOKUP($A10,main!$A$3:$I$56,7,FALSE),main!$K$18:$O$18,0),0))),0)</f>
        <v>0</v>
      </c>
      <c r="AL10">
        <f>IF((gamma!AL10),IF(VLOOKUP(AL$1,main!$A$3:$I$56,7,FALSE)=VLOOKUP($A10,main!$A$3:$I$56,8,FALSE),VLOOKUP(AL$1,main!$A$3:$I$56,4,FALSE),VLOOKUP(AL$1,main!$A$3:$I$56,4,FALSE)+VLOOKUP($A10,main!$A$3:$I$56,4,FALSE)+(VLOOKUP(VLOOKUP(AL$1,main!$A$3:$I$56,8,FALSE),main!$K$19:$O$22,MATCH(VLOOKUP($A10,main!$A$3:$I$56,7,FALSE),main!$K$18:$O$18,0),0))),0)</f>
        <v>0</v>
      </c>
      <c r="AM10">
        <f>IF((gamma!AM10),IF(VLOOKUP(AM$1,main!$A$3:$I$56,7,FALSE)=VLOOKUP($A10,main!$A$3:$I$56,8,FALSE),VLOOKUP(AM$1,main!$A$3:$I$56,4,FALSE),VLOOKUP(AM$1,main!$A$3:$I$56,4,FALSE)+VLOOKUP($A10,main!$A$3:$I$56,4,FALSE)+(VLOOKUP(VLOOKUP(AM$1,main!$A$3:$I$56,8,FALSE),main!$K$19:$O$22,MATCH(VLOOKUP($A10,main!$A$3:$I$56,7,FALSE),main!$K$18:$O$18,0),0))),0)</f>
        <v>0</v>
      </c>
      <c r="AN10">
        <f>IF((gamma!AN10),IF(VLOOKUP(AN$1,main!$A$3:$I$56,7,FALSE)=VLOOKUP($A10,main!$A$3:$I$56,8,FALSE),VLOOKUP(AN$1,main!$A$3:$I$56,4,FALSE),VLOOKUP(AN$1,main!$A$3:$I$56,4,FALSE)+VLOOKUP($A10,main!$A$3:$I$56,4,FALSE)+(VLOOKUP(VLOOKUP(AN$1,main!$A$3:$I$56,8,FALSE),main!$K$19:$O$22,MATCH(VLOOKUP($A10,main!$A$3:$I$56,7,FALSE),main!$K$18:$O$18,0),0))),0)</f>
        <v>0</v>
      </c>
      <c r="AO10">
        <f>IF((gamma!AO10),IF(VLOOKUP(AO$1,main!$A$3:$I$56,7,FALSE)=VLOOKUP($A10,main!$A$3:$I$56,8,FALSE),VLOOKUP(AO$1,main!$A$3:$I$56,4,FALSE),VLOOKUP(AO$1,main!$A$3:$I$56,4,FALSE)+VLOOKUP($A10,main!$A$3:$I$56,4,FALSE)+(VLOOKUP(VLOOKUP(AO$1,main!$A$3:$I$56,8,FALSE),main!$K$19:$O$22,MATCH(VLOOKUP($A10,main!$A$3:$I$56,7,FALSE),main!$K$18:$O$18,0),0))),0)</f>
        <v>0</v>
      </c>
      <c r="AP10">
        <f>IF((gamma!AP10),IF(VLOOKUP(AP$1,main!$A$3:$I$56,7,FALSE)=VLOOKUP($A10,main!$A$3:$I$56,8,FALSE),VLOOKUP(AP$1,main!$A$3:$I$56,4,FALSE),VLOOKUP(AP$1,main!$A$3:$I$56,4,FALSE)+VLOOKUP($A10,main!$A$3:$I$56,4,FALSE)+(VLOOKUP(VLOOKUP(AP$1,main!$A$3:$I$56,8,FALSE),main!$K$19:$O$22,MATCH(VLOOKUP($A10,main!$A$3:$I$56,7,FALSE),main!$K$18:$O$18,0),0))),0)</f>
        <v>0</v>
      </c>
      <c r="AQ10">
        <f>IF((gamma!AQ10),IF(VLOOKUP(AQ$1,main!$A$3:$I$56,7,FALSE)=VLOOKUP($A10,main!$A$3:$I$56,8,FALSE),VLOOKUP(AQ$1,main!$A$3:$I$56,4,FALSE),VLOOKUP(AQ$1,main!$A$3:$I$56,4,FALSE)+VLOOKUP($A10,main!$A$3:$I$56,4,FALSE)+(VLOOKUP(VLOOKUP(AQ$1,main!$A$3:$I$56,8,FALSE),main!$K$19:$O$22,MATCH(VLOOKUP($A10,main!$A$3:$I$56,7,FALSE),main!$K$18:$O$18,0),0))),0)</f>
        <v>0</v>
      </c>
      <c r="AR10">
        <f>IF((gamma!AR10),IF(VLOOKUP(AR$1,main!$A$3:$I$56,7,FALSE)=VLOOKUP($A10,main!$A$3:$I$56,8,FALSE),VLOOKUP(AR$1,main!$A$3:$I$56,4,FALSE),VLOOKUP(AR$1,main!$A$3:$I$56,4,FALSE)+VLOOKUP($A10,main!$A$3:$I$56,4,FALSE)+(VLOOKUP(VLOOKUP(AR$1,main!$A$3:$I$56,8,FALSE),main!$K$19:$O$22,MATCH(VLOOKUP($A10,main!$A$3:$I$56,7,FALSE),main!$K$18:$O$18,0),0))),0)</f>
        <v>0</v>
      </c>
      <c r="AS10">
        <f>IF((gamma!AS10),IF(VLOOKUP(AS$1,main!$A$3:$I$56,7,FALSE)=VLOOKUP($A10,main!$A$3:$I$56,8,FALSE),VLOOKUP(AS$1,main!$A$3:$I$56,4,FALSE),VLOOKUP(AS$1,main!$A$3:$I$56,4,FALSE)+VLOOKUP($A10,main!$A$3:$I$56,4,FALSE)+(VLOOKUP(VLOOKUP(AS$1,main!$A$3:$I$56,8,FALSE),main!$K$19:$O$22,MATCH(VLOOKUP($A10,main!$A$3:$I$56,7,FALSE),main!$K$18:$O$18,0),0))),0)</f>
        <v>0</v>
      </c>
      <c r="AT10">
        <f>IF((gamma!AT10),IF(VLOOKUP(AT$1,main!$A$3:$I$56,7,FALSE)=VLOOKUP($A10,main!$A$3:$I$56,8,FALSE),VLOOKUP(AT$1,main!$A$3:$I$56,4,FALSE),VLOOKUP(AT$1,main!$A$3:$I$56,4,FALSE)+VLOOKUP($A10,main!$A$3:$I$56,4,FALSE)+(VLOOKUP(VLOOKUP(AT$1,main!$A$3:$I$56,8,FALSE),main!$K$19:$O$22,MATCH(VLOOKUP($A10,main!$A$3:$I$56,7,FALSE),main!$K$18:$O$18,0),0))),0)</f>
        <v>0</v>
      </c>
      <c r="AU10">
        <f>IF((gamma!AU10),IF(VLOOKUP(AU$1,main!$A$3:$I$56,7,FALSE)=VLOOKUP($A10,main!$A$3:$I$56,8,FALSE),VLOOKUP(AU$1,main!$A$3:$I$56,4,FALSE),VLOOKUP(AU$1,main!$A$3:$I$56,4,FALSE)+VLOOKUP($A10,main!$A$3:$I$56,4,FALSE)+(VLOOKUP(VLOOKUP(AU$1,main!$A$3:$I$56,8,FALSE),main!$K$19:$O$22,MATCH(VLOOKUP($A10,main!$A$3:$I$56,7,FALSE),main!$K$18:$O$18,0),0))),0)</f>
        <v>0</v>
      </c>
      <c r="AV10">
        <f>IF((gamma!AV10),IF(VLOOKUP(AV$1,main!$A$3:$I$56,7,FALSE)=VLOOKUP($A10,main!$A$3:$I$56,8,FALSE),VLOOKUP(AV$1,main!$A$3:$I$56,4,FALSE),VLOOKUP(AV$1,main!$A$3:$I$56,4,FALSE)+VLOOKUP($A10,main!$A$3:$I$56,4,FALSE)+(VLOOKUP(VLOOKUP(AV$1,main!$A$3:$I$56,8,FALSE),main!$K$19:$O$22,MATCH(VLOOKUP($A10,main!$A$3:$I$56,7,FALSE),main!$K$18:$O$18,0),0))),0)</f>
        <v>0</v>
      </c>
      <c r="AW10">
        <f>IF((gamma!AW10),IF(VLOOKUP(AW$1,main!$A$3:$I$56,7,FALSE)=VLOOKUP($A10,main!$A$3:$I$56,8,FALSE),VLOOKUP(AW$1,main!$A$3:$I$56,4,FALSE),VLOOKUP(AW$1,main!$A$3:$I$56,4,FALSE)+VLOOKUP($A10,main!$A$3:$I$56,4,FALSE)+(VLOOKUP(VLOOKUP(AW$1,main!$A$3:$I$56,8,FALSE),main!$K$19:$O$22,MATCH(VLOOKUP($A10,main!$A$3:$I$56,7,FALSE),main!$K$18:$O$18,0),0))),0)</f>
        <v>0</v>
      </c>
      <c r="AX10">
        <f>IF((gamma!AX10),IF(VLOOKUP(AX$1,main!$A$3:$I$56,7,FALSE)=VLOOKUP($A10,main!$A$3:$I$56,8,FALSE),VLOOKUP(AX$1,main!$A$3:$I$56,4,FALSE),VLOOKUP(AX$1,main!$A$3:$I$56,4,FALSE)+VLOOKUP($A10,main!$A$3:$I$56,4,FALSE)+(VLOOKUP(VLOOKUP(AX$1,main!$A$3:$I$56,8,FALSE),main!$K$19:$O$22,MATCH(VLOOKUP($A10,main!$A$3:$I$56,7,FALSE),main!$K$18:$O$18,0),0))),0)</f>
        <v>0</v>
      </c>
      <c r="AY10">
        <f>IF((gamma!AY10),IF(VLOOKUP(AY$1,main!$A$3:$I$56,7,FALSE)=VLOOKUP($A10,main!$A$3:$I$56,8,FALSE),VLOOKUP(AY$1,main!$A$3:$I$56,4,FALSE),VLOOKUP(AY$1,main!$A$3:$I$56,4,FALSE)+VLOOKUP($A10,main!$A$3:$I$56,4,FALSE)+(VLOOKUP(VLOOKUP(AY$1,main!$A$3:$I$56,8,FALSE),main!$K$19:$O$22,MATCH(VLOOKUP($A10,main!$A$3:$I$56,7,FALSE),main!$K$18:$O$18,0),0))),0)</f>
        <v>0</v>
      </c>
      <c r="AZ10">
        <f>IF((gamma!AZ10),IF(VLOOKUP(AZ$1,main!$A$3:$I$56,7,FALSE)=VLOOKUP($A10,main!$A$3:$I$56,8,FALSE),VLOOKUP(AZ$1,main!$A$3:$I$56,4,FALSE),VLOOKUP(AZ$1,main!$A$3:$I$56,4,FALSE)+VLOOKUP($A10,main!$A$3:$I$56,4,FALSE)+(VLOOKUP(VLOOKUP(AZ$1,main!$A$3:$I$56,8,FALSE),main!$K$19:$O$22,MATCH(VLOOKUP($A10,main!$A$3:$I$56,7,FALSE),main!$K$18:$O$18,0),0))),0)</f>
        <v>0</v>
      </c>
      <c r="BA10">
        <f>IF((gamma!BA10),IF(VLOOKUP(BA$1,main!$A$3:$I$56,7,FALSE)=VLOOKUP($A10,main!$A$3:$I$56,8,FALSE),VLOOKUP(BA$1,main!$A$3:$I$56,4,FALSE),VLOOKUP(BA$1,main!$A$3:$I$56,4,FALSE)+VLOOKUP($A10,main!$A$3:$I$56,4,FALSE)+(VLOOKUP(VLOOKUP(BA$1,main!$A$3:$I$56,8,FALSE),main!$K$19:$O$22,MATCH(VLOOKUP($A10,main!$A$3:$I$56,7,FALSE),main!$K$18:$O$18,0),0))),0)</f>
        <v>0</v>
      </c>
      <c r="BB10">
        <f>IF((gamma!BB10),IF(VLOOKUP(BB$1,main!$A$3:$I$56,7,FALSE)=VLOOKUP($A10,main!$A$3:$I$56,8,FALSE),VLOOKUP(BB$1,main!$A$3:$I$56,4,FALSE),VLOOKUP(BB$1,main!$A$3:$I$56,4,FALSE)+VLOOKUP($A10,main!$A$3:$I$56,4,FALSE)+(VLOOKUP(VLOOKUP(BB$1,main!$A$3:$I$56,8,FALSE),main!$K$19:$O$22,MATCH(VLOOKUP($A10,main!$A$3:$I$56,7,FALSE),main!$K$18:$O$18,0),0))),0)</f>
        <v>0</v>
      </c>
      <c r="BC10">
        <f>IF((gamma!BC10),IF(VLOOKUP(BC$1,main!$A$3:$I$56,7,FALSE)=VLOOKUP($A10,main!$A$3:$I$56,8,FALSE),VLOOKUP(BC$1,main!$A$3:$I$56,4,FALSE),VLOOKUP(BC$1,main!$A$3:$I$56,4,FALSE)+VLOOKUP($A10,main!$A$3:$I$56,4,FALSE)+(VLOOKUP(VLOOKUP(BC$1,main!$A$3:$I$56,8,FALSE),main!$K$19:$O$22,MATCH(VLOOKUP($A10,main!$A$3:$I$56,7,FALSE),main!$K$18:$O$18,0),0))),0)</f>
        <v>0</v>
      </c>
      <c r="BD10">
        <f>IF((gamma!BD10),IF(VLOOKUP(BD$1,main!$A$3:$I$56,7,FALSE)=VLOOKUP($A10,main!$A$3:$I$56,8,FALSE),VLOOKUP(BD$1,main!$A$3:$I$56,4,FALSE),VLOOKUP(BD$1,main!$A$3:$I$56,4,FALSE)+VLOOKUP($A10,main!$A$3:$I$56,4,FALSE)+(VLOOKUP(VLOOKUP(BD$1,main!$A$3:$I$56,8,FALSE),main!$K$19:$O$22,MATCH(VLOOKUP($A10,main!$A$3:$I$56,7,FALSE),main!$K$18:$O$18,0),0))),0)</f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>
        <f t="shared" si="0"/>
        <v>9</v>
      </c>
      <c r="B11">
        <v>0</v>
      </c>
      <c r="C11">
        <f>IF((gamma!C11),IF(VLOOKUP(C$1,main!$A$3:$I$56,7,FALSE)=VLOOKUP($A11,main!$A$3:$I$56,8,FALSE),VLOOKUP(C$1,main!$A$3:$I$56,4,FALSE),VLOOKUP(C$1,main!$A$3:$I$56,4,FALSE)+VLOOKUP($A11,main!$A$3:$I$56,4,FALSE)+(VLOOKUP(VLOOKUP(C$1,main!$A$3:$I$56,8,FALSE),main!$K$19:$O$22,MATCH(VLOOKUP($A11,main!$A$3:$I$56,7,FALSE),main!$K$18:$O$18,0),0))),0)</f>
        <v>0</v>
      </c>
      <c r="D11">
        <f>IF((gamma!D11),IF(VLOOKUP(D$1,main!$A$3:$I$56,7,FALSE)=VLOOKUP($A11,main!$A$3:$I$56,8,FALSE),VLOOKUP(D$1,main!$A$3:$I$56,4,FALSE),VLOOKUP(D$1,main!$A$3:$I$56,4,FALSE)+VLOOKUP($A11,main!$A$3:$I$56,4,FALSE)+(VLOOKUP(VLOOKUP(D$1,main!$A$3:$I$56,8,FALSE),main!$K$19:$O$22,MATCH(VLOOKUP($A11,main!$A$3:$I$56,7,FALSE),main!$K$18:$O$18,0),0))),0)</f>
        <v>300</v>
      </c>
      <c r="E11">
        <f>IF((gamma!E11),IF(VLOOKUP(E$1,main!$A$3:$I$56,7,FALSE)=VLOOKUP($A11,main!$A$3:$I$56,8,FALSE),VLOOKUP(E$1,main!$A$3:$I$56,4,FALSE),VLOOKUP(E$1,main!$A$3:$I$56,4,FALSE)+VLOOKUP($A11,main!$A$3:$I$56,4,FALSE)+(VLOOKUP(VLOOKUP(E$1,main!$A$3:$I$56,8,FALSE),main!$K$19:$O$22,MATCH(VLOOKUP($A11,main!$A$3:$I$56,7,FALSE),main!$K$18:$O$18,0),0))),0)</f>
        <v>300</v>
      </c>
      <c r="F11">
        <f>IF((gamma!F11),IF(VLOOKUP(F$1,main!$A$3:$I$56,7,FALSE)=VLOOKUP($A11,main!$A$3:$I$56,8,FALSE),VLOOKUP(F$1,main!$A$3:$I$56,4,FALSE),VLOOKUP(F$1,main!$A$3:$I$56,4,FALSE)+VLOOKUP($A11,main!$A$3:$I$56,4,FALSE)+(VLOOKUP(VLOOKUP(F$1,main!$A$3:$I$56,8,FALSE),main!$K$19:$O$22,MATCH(VLOOKUP($A11,main!$A$3:$I$56,7,FALSE),main!$K$18:$O$18,0),0))),0)</f>
        <v>300</v>
      </c>
      <c r="G11">
        <f>IF((gamma!G11),IF(VLOOKUP(G$1,main!$A$3:$I$56,7,FALSE)=VLOOKUP($A11,main!$A$3:$I$56,8,FALSE),VLOOKUP(G$1,main!$A$3:$I$56,4,FALSE),VLOOKUP(G$1,main!$A$3:$I$56,4,FALSE)+VLOOKUP($A11,main!$A$3:$I$56,4,FALSE)+(VLOOKUP(VLOOKUP(G$1,main!$A$3:$I$56,8,FALSE),main!$K$19:$O$22,MATCH(VLOOKUP($A11,main!$A$3:$I$56,7,FALSE),main!$K$18:$O$18,0),0))),0)</f>
        <v>300</v>
      </c>
      <c r="H11">
        <f>IF((gamma!H11),IF(VLOOKUP(H$1,main!$A$3:$I$56,7,FALSE)=VLOOKUP($A11,main!$A$3:$I$56,8,FALSE),VLOOKUP(H$1,main!$A$3:$I$56,4,FALSE),VLOOKUP(H$1,main!$A$3:$I$56,4,FALSE)+VLOOKUP($A11,main!$A$3:$I$56,4,FALSE)+(VLOOKUP(VLOOKUP(H$1,main!$A$3:$I$56,8,FALSE),main!$K$19:$O$22,MATCH(VLOOKUP($A11,main!$A$3:$I$56,7,FALSE),main!$K$18:$O$18,0),0))),0)</f>
        <v>300</v>
      </c>
      <c r="I11">
        <f>IF((gamma!I11),IF(VLOOKUP(I$1,main!$A$3:$I$56,7,FALSE)=VLOOKUP($A11,main!$A$3:$I$56,8,FALSE),VLOOKUP(I$1,main!$A$3:$I$56,4,FALSE),VLOOKUP(I$1,main!$A$3:$I$56,4,FALSE)+VLOOKUP($A11,main!$A$3:$I$56,4,FALSE)+(VLOOKUP(VLOOKUP(I$1,main!$A$3:$I$56,8,FALSE),main!$K$19:$O$22,MATCH(VLOOKUP($A11,main!$A$3:$I$56,7,FALSE),main!$K$18:$O$18,0),0))),0)</f>
        <v>300</v>
      </c>
      <c r="J11">
        <f>IF((gamma!J11),IF(VLOOKUP(J$1,main!$A$3:$I$56,7,FALSE)=VLOOKUP($A11,main!$A$3:$I$56,8,FALSE),VLOOKUP(J$1,main!$A$3:$I$56,4,FALSE),VLOOKUP(J$1,main!$A$3:$I$56,4,FALSE)+VLOOKUP($A11,main!$A$3:$I$56,4,FALSE)+(VLOOKUP(VLOOKUP(J$1,main!$A$3:$I$56,8,FALSE),main!$K$19:$O$22,MATCH(VLOOKUP($A11,main!$A$3:$I$56,7,FALSE),main!$K$18:$O$18,0),0))),0)</f>
        <v>300</v>
      </c>
      <c r="K11">
        <f>IF((gamma!K11),IF(VLOOKUP(K$1,main!$A$3:$I$56,7,FALSE)=VLOOKUP($A11,main!$A$3:$I$56,8,FALSE),VLOOKUP(K$1,main!$A$3:$I$56,4,FALSE),VLOOKUP(K$1,main!$A$3:$I$56,4,FALSE)+VLOOKUP($A11,main!$A$3:$I$56,4,FALSE)+(VLOOKUP(VLOOKUP(K$1,main!$A$3:$I$56,8,FALSE),main!$K$19:$O$22,MATCH(VLOOKUP($A11,main!$A$3:$I$56,7,FALSE),main!$K$18:$O$18,0),0))),0)</f>
        <v>0</v>
      </c>
      <c r="L11">
        <f>IF((gamma!L11),IF(VLOOKUP(L$1,main!$A$3:$I$56,7,FALSE)=VLOOKUP($A11,main!$A$3:$I$56,8,FALSE),VLOOKUP(L$1,main!$A$3:$I$56,4,FALSE),VLOOKUP(L$1,main!$A$3:$I$56,4,FALSE)+VLOOKUP($A11,main!$A$3:$I$56,4,FALSE)+(VLOOKUP(VLOOKUP(L$1,main!$A$3:$I$56,8,FALSE),main!$K$19:$O$22,MATCH(VLOOKUP($A11,main!$A$3:$I$56,7,FALSE),main!$K$18:$O$18,0),0))),0)</f>
        <v>0</v>
      </c>
      <c r="M11">
        <f>IF((gamma!M11),IF(VLOOKUP(M$1,main!$A$3:$I$56,7,FALSE)=VLOOKUP($A11,main!$A$3:$I$56,8,FALSE),VLOOKUP(M$1,main!$A$3:$I$56,4,FALSE),VLOOKUP(M$1,main!$A$3:$I$56,4,FALSE)+VLOOKUP($A11,main!$A$3:$I$56,4,FALSE)+(VLOOKUP(VLOOKUP(M$1,main!$A$3:$I$56,8,FALSE),main!$K$19:$O$22,MATCH(VLOOKUP($A11,main!$A$3:$I$56,7,FALSE),main!$K$18:$O$18,0),0))),0)</f>
        <v>310</v>
      </c>
      <c r="N11">
        <f>IF((gamma!N11),IF(VLOOKUP(N$1,main!$A$3:$I$56,7,FALSE)=VLOOKUP($A11,main!$A$3:$I$56,8,FALSE),VLOOKUP(N$1,main!$A$3:$I$56,4,FALSE),VLOOKUP(N$1,main!$A$3:$I$56,4,FALSE)+VLOOKUP($A11,main!$A$3:$I$56,4,FALSE)+(VLOOKUP(VLOOKUP(N$1,main!$A$3:$I$56,8,FALSE),main!$K$19:$O$22,MATCH(VLOOKUP($A11,main!$A$3:$I$56,7,FALSE),main!$K$18:$O$18,0),0))),0)</f>
        <v>310</v>
      </c>
      <c r="O11">
        <f>IF((gamma!O11),IF(VLOOKUP(O$1,main!$A$3:$I$56,7,FALSE)=VLOOKUP($A11,main!$A$3:$I$56,8,FALSE),VLOOKUP(O$1,main!$A$3:$I$56,4,FALSE),VLOOKUP(O$1,main!$A$3:$I$56,4,FALSE)+VLOOKUP($A11,main!$A$3:$I$56,4,FALSE)+(VLOOKUP(VLOOKUP(O$1,main!$A$3:$I$56,8,FALSE),main!$K$19:$O$22,MATCH(VLOOKUP($A11,main!$A$3:$I$56,7,FALSE),main!$K$18:$O$18,0),0))),0)</f>
        <v>310</v>
      </c>
      <c r="P11">
        <f>IF((gamma!P11),IF(VLOOKUP(P$1,main!$A$3:$I$56,7,FALSE)=VLOOKUP($A11,main!$A$3:$I$56,8,FALSE),VLOOKUP(P$1,main!$A$3:$I$56,4,FALSE),VLOOKUP(P$1,main!$A$3:$I$56,4,FALSE)+VLOOKUP($A11,main!$A$3:$I$56,4,FALSE)+(VLOOKUP(VLOOKUP(P$1,main!$A$3:$I$56,8,FALSE),main!$K$19:$O$22,MATCH(VLOOKUP($A11,main!$A$3:$I$56,7,FALSE),main!$K$18:$O$18,0),0))),0)</f>
        <v>0</v>
      </c>
      <c r="Q11">
        <f>IF((gamma!Q11),IF(VLOOKUP(Q$1,main!$A$3:$I$56,7,FALSE)=VLOOKUP($A11,main!$A$3:$I$56,8,FALSE),VLOOKUP(Q$1,main!$A$3:$I$56,4,FALSE),VLOOKUP(Q$1,main!$A$3:$I$56,4,FALSE)+VLOOKUP($A11,main!$A$3:$I$56,4,FALSE)+(VLOOKUP(VLOOKUP(Q$1,main!$A$3:$I$56,8,FALSE),main!$K$19:$O$22,MATCH(VLOOKUP($A11,main!$A$3:$I$56,7,FALSE),main!$K$18:$O$18,0),0))),0)</f>
        <v>0</v>
      </c>
      <c r="R11">
        <f>IF((gamma!R11),IF(VLOOKUP(R$1,main!$A$3:$I$56,7,FALSE)=VLOOKUP($A11,main!$A$3:$I$56,8,FALSE),VLOOKUP(R$1,main!$A$3:$I$56,4,FALSE),VLOOKUP(R$1,main!$A$3:$I$56,4,FALSE)+VLOOKUP($A11,main!$A$3:$I$56,4,FALSE)+(VLOOKUP(VLOOKUP(R$1,main!$A$3:$I$56,8,FALSE),main!$K$19:$O$22,MATCH(VLOOKUP($A11,main!$A$3:$I$56,7,FALSE),main!$K$18:$O$18,0),0))),0)</f>
        <v>310</v>
      </c>
      <c r="S11">
        <f>IF((gamma!S11),IF(VLOOKUP(S$1,main!$A$3:$I$56,7,FALSE)=VLOOKUP($A11,main!$A$3:$I$56,8,FALSE),VLOOKUP(S$1,main!$A$3:$I$56,4,FALSE),VLOOKUP(S$1,main!$A$3:$I$56,4,FALSE)+VLOOKUP($A11,main!$A$3:$I$56,4,FALSE)+(VLOOKUP(VLOOKUP(S$1,main!$A$3:$I$56,8,FALSE),main!$K$19:$O$22,MATCH(VLOOKUP($A11,main!$A$3:$I$56,7,FALSE),main!$K$18:$O$18,0),0))),0)</f>
        <v>315</v>
      </c>
      <c r="T11">
        <f>IF((gamma!T11),IF(VLOOKUP(T$1,main!$A$3:$I$56,7,FALSE)=VLOOKUP($A11,main!$A$3:$I$56,8,FALSE),VLOOKUP(T$1,main!$A$3:$I$56,4,FALSE),VLOOKUP(T$1,main!$A$3:$I$56,4,FALSE)+VLOOKUP($A11,main!$A$3:$I$56,4,FALSE)+(VLOOKUP(VLOOKUP(T$1,main!$A$3:$I$56,8,FALSE),main!$K$19:$O$22,MATCH(VLOOKUP($A11,main!$A$3:$I$56,7,FALSE),main!$K$18:$O$18,0),0))),0)</f>
        <v>315</v>
      </c>
      <c r="U11">
        <f>IF((gamma!U11),IF(VLOOKUP(U$1,main!$A$3:$I$56,7,FALSE)=VLOOKUP($A11,main!$A$3:$I$56,8,FALSE),VLOOKUP(U$1,main!$A$3:$I$56,4,FALSE),VLOOKUP(U$1,main!$A$3:$I$56,4,FALSE)+VLOOKUP($A11,main!$A$3:$I$56,4,FALSE)+(VLOOKUP(VLOOKUP(U$1,main!$A$3:$I$56,8,FALSE),main!$K$19:$O$22,MATCH(VLOOKUP($A11,main!$A$3:$I$56,7,FALSE),main!$K$18:$O$18,0),0))),0)</f>
        <v>0</v>
      </c>
      <c r="V11">
        <f>IF((gamma!V11),IF(VLOOKUP(V$1,main!$A$3:$I$56,7,FALSE)=VLOOKUP($A11,main!$A$3:$I$56,8,FALSE),VLOOKUP(V$1,main!$A$3:$I$56,4,FALSE),VLOOKUP(V$1,main!$A$3:$I$56,4,FALSE)+VLOOKUP($A11,main!$A$3:$I$56,4,FALSE)+(VLOOKUP(VLOOKUP(V$1,main!$A$3:$I$56,8,FALSE),main!$K$19:$O$22,MATCH(VLOOKUP($A11,main!$A$3:$I$56,7,FALSE),main!$K$18:$O$18,0),0))),0)</f>
        <v>0</v>
      </c>
      <c r="W11">
        <f>IF((gamma!W11),IF(VLOOKUP(W$1,main!$A$3:$I$56,7,FALSE)=VLOOKUP($A11,main!$A$3:$I$56,8,FALSE),VLOOKUP(W$1,main!$A$3:$I$56,4,FALSE),VLOOKUP(W$1,main!$A$3:$I$56,4,FALSE)+VLOOKUP($A11,main!$A$3:$I$56,4,FALSE)+(VLOOKUP(VLOOKUP(W$1,main!$A$3:$I$56,8,FALSE),main!$K$19:$O$22,MATCH(VLOOKUP($A11,main!$A$3:$I$56,7,FALSE),main!$K$18:$O$18,0),0))),0)</f>
        <v>0</v>
      </c>
      <c r="X11">
        <f>IF((gamma!X11),IF(VLOOKUP(X$1,main!$A$3:$I$56,7,FALSE)=VLOOKUP($A11,main!$A$3:$I$56,8,FALSE),VLOOKUP(X$1,main!$A$3:$I$56,4,FALSE),VLOOKUP(X$1,main!$A$3:$I$56,4,FALSE)+VLOOKUP($A11,main!$A$3:$I$56,4,FALSE)+(VLOOKUP(VLOOKUP(X$1,main!$A$3:$I$56,8,FALSE),main!$K$19:$O$22,MATCH(VLOOKUP($A11,main!$A$3:$I$56,7,FALSE),main!$K$18:$O$18,0),0))),0)</f>
        <v>275</v>
      </c>
      <c r="Y11">
        <f>IF((gamma!Y11),IF(VLOOKUP(Y$1,main!$A$3:$I$56,7,FALSE)=VLOOKUP($A11,main!$A$3:$I$56,8,FALSE),VLOOKUP(Y$1,main!$A$3:$I$56,4,FALSE),VLOOKUP(Y$1,main!$A$3:$I$56,4,FALSE)+VLOOKUP($A11,main!$A$3:$I$56,4,FALSE)+(VLOOKUP(VLOOKUP(Y$1,main!$A$3:$I$56,8,FALSE),main!$K$19:$O$22,MATCH(VLOOKUP($A11,main!$A$3:$I$56,7,FALSE),main!$K$18:$O$18,0),0))),0)</f>
        <v>275</v>
      </c>
      <c r="Z11">
        <f>IF((gamma!Z11),IF(VLOOKUP(Z$1,main!$A$3:$I$56,7,FALSE)=VLOOKUP($A11,main!$A$3:$I$56,8,FALSE),VLOOKUP(Z$1,main!$A$3:$I$56,4,FALSE),VLOOKUP(Z$1,main!$A$3:$I$56,4,FALSE)+VLOOKUP($A11,main!$A$3:$I$56,4,FALSE)+(VLOOKUP(VLOOKUP(Z$1,main!$A$3:$I$56,8,FALSE),main!$K$19:$O$22,MATCH(VLOOKUP($A11,main!$A$3:$I$56,7,FALSE),main!$K$18:$O$18,0),0))),0)</f>
        <v>275</v>
      </c>
      <c r="AA11">
        <f>IF((gamma!AA11),IF(VLOOKUP(AA$1,main!$A$3:$I$56,7,FALSE)=VLOOKUP($A11,main!$A$3:$I$56,8,FALSE),VLOOKUP(AA$1,main!$A$3:$I$56,4,FALSE),VLOOKUP(AA$1,main!$A$3:$I$56,4,FALSE)+VLOOKUP($A11,main!$A$3:$I$56,4,FALSE)+(VLOOKUP(VLOOKUP(AA$1,main!$A$3:$I$56,8,FALSE),main!$K$19:$O$22,MATCH(VLOOKUP($A11,main!$A$3:$I$56,7,FALSE),main!$K$18:$O$18,0),0))),0)</f>
        <v>275</v>
      </c>
      <c r="AB11">
        <f>IF((gamma!AB11),IF(VLOOKUP(AB$1,main!$A$3:$I$56,7,FALSE)=VLOOKUP($A11,main!$A$3:$I$56,8,FALSE),VLOOKUP(AB$1,main!$A$3:$I$56,4,FALSE),VLOOKUP(AB$1,main!$A$3:$I$56,4,FALSE)+VLOOKUP($A11,main!$A$3:$I$56,4,FALSE)+(VLOOKUP(VLOOKUP(AB$1,main!$A$3:$I$56,8,FALSE),main!$K$19:$O$22,MATCH(VLOOKUP($A11,main!$A$3:$I$56,7,FALSE),main!$K$18:$O$18,0),0))),0)</f>
        <v>275</v>
      </c>
      <c r="AC11">
        <f>IF((gamma!AC11),IF(VLOOKUP(AC$1,main!$A$3:$I$56,7,FALSE)=VLOOKUP($A11,main!$A$3:$I$56,8,FALSE),VLOOKUP(AC$1,main!$A$3:$I$56,4,FALSE),VLOOKUP(AC$1,main!$A$3:$I$56,4,FALSE)+VLOOKUP($A11,main!$A$3:$I$56,4,FALSE)+(VLOOKUP(VLOOKUP(AC$1,main!$A$3:$I$56,8,FALSE),main!$K$19:$O$22,MATCH(VLOOKUP($A11,main!$A$3:$I$56,7,FALSE),main!$K$18:$O$18,0),0))),0)</f>
        <v>0</v>
      </c>
      <c r="AD11">
        <f>IF((gamma!AD11),IF(VLOOKUP(AD$1,main!$A$3:$I$56,7,FALSE)=VLOOKUP($A11,main!$A$3:$I$56,8,FALSE),VLOOKUP(AD$1,main!$A$3:$I$56,4,FALSE),VLOOKUP(AD$1,main!$A$3:$I$56,4,FALSE)+VLOOKUP($A11,main!$A$3:$I$56,4,FALSE)+(VLOOKUP(VLOOKUP(AD$1,main!$A$3:$I$56,8,FALSE),main!$K$19:$O$22,MATCH(VLOOKUP($A11,main!$A$3:$I$56,7,FALSE),main!$K$18:$O$18,0),0))),0)</f>
        <v>0</v>
      </c>
      <c r="AE11">
        <f>IF((gamma!AE11),IF(VLOOKUP(AE$1,main!$A$3:$I$56,7,FALSE)=VLOOKUP($A11,main!$A$3:$I$56,8,FALSE),VLOOKUP(AE$1,main!$A$3:$I$56,4,FALSE),VLOOKUP(AE$1,main!$A$3:$I$56,4,FALSE)+VLOOKUP($A11,main!$A$3:$I$56,4,FALSE)+(VLOOKUP(VLOOKUP(AE$1,main!$A$3:$I$56,8,FALSE),main!$K$19:$O$22,MATCH(VLOOKUP($A11,main!$A$3:$I$56,7,FALSE),main!$K$18:$O$18,0),0))),0)</f>
        <v>290</v>
      </c>
      <c r="AF11">
        <f>IF((gamma!AF11),IF(VLOOKUP(AF$1,main!$A$3:$I$56,7,FALSE)=VLOOKUP($A11,main!$A$3:$I$56,8,FALSE),VLOOKUP(AF$1,main!$A$3:$I$56,4,FALSE),VLOOKUP(AF$1,main!$A$3:$I$56,4,FALSE)+VLOOKUP($A11,main!$A$3:$I$56,4,FALSE)+(VLOOKUP(VLOOKUP(AF$1,main!$A$3:$I$56,8,FALSE),main!$K$19:$O$22,MATCH(VLOOKUP($A11,main!$A$3:$I$56,7,FALSE),main!$K$18:$O$18,0),0))),0)</f>
        <v>300</v>
      </c>
      <c r="AG11">
        <f>IF((gamma!AG11),IF(VLOOKUP(AG$1,main!$A$3:$I$56,7,FALSE)=VLOOKUP($A11,main!$A$3:$I$56,8,FALSE),VLOOKUP(AG$1,main!$A$3:$I$56,4,FALSE),VLOOKUP(AG$1,main!$A$3:$I$56,4,FALSE)+VLOOKUP($A11,main!$A$3:$I$56,4,FALSE)+(VLOOKUP(VLOOKUP(AG$1,main!$A$3:$I$56,8,FALSE),main!$K$19:$O$22,MATCH(VLOOKUP($A11,main!$A$3:$I$56,7,FALSE),main!$K$18:$O$18,0),0))),0)</f>
        <v>0</v>
      </c>
      <c r="AH11">
        <f>IF((gamma!AH11),IF(VLOOKUP(AH$1,main!$A$3:$I$56,7,FALSE)=VLOOKUP($A11,main!$A$3:$I$56,8,FALSE),VLOOKUP(AH$1,main!$A$3:$I$56,4,FALSE),VLOOKUP(AH$1,main!$A$3:$I$56,4,FALSE)+VLOOKUP($A11,main!$A$3:$I$56,4,FALSE)+(VLOOKUP(VLOOKUP(AH$1,main!$A$3:$I$56,8,FALSE),main!$K$19:$O$22,MATCH(VLOOKUP($A11,main!$A$3:$I$56,7,FALSE),main!$K$18:$O$18,0),0))),0)</f>
        <v>140</v>
      </c>
      <c r="AI11">
        <f>IF((gamma!AI11),IF(VLOOKUP(AI$1,main!$A$3:$I$56,7,FALSE)=VLOOKUP($A11,main!$A$3:$I$56,8,FALSE),VLOOKUP(AI$1,main!$A$3:$I$56,4,FALSE),VLOOKUP(AI$1,main!$A$3:$I$56,4,FALSE)+VLOOKUP($A11,main!$A$3:$I$56,4,FALSE)+(VLOOKUP(VLOOKUP(AI$1,main!$A$3:$I$56,8,FALSE),main!$K$19:$O$22,MATCH(VLOOKUP($A11,main!$A$3:$I$56,7,FALSE),main!$K$18:$O$18,0),0))),0)</f>
        <v>140</v>
      </c>
      <c r="AJ11">
        <f>IF((gamma!AJ11),IF(VLOOKUP(AJ$1,main!$A$3:$I$56,7,FALSE)=VLOOKUP($A11,main!$A$3:$I$56,8,FALSE),VLOOKUP(AJ$1,main!$A$3:$I$56,4,FALSE),VLOOKUP(AJ$1,main!$A$3:$I$56,4,FALSE)+VLOOKUP($A11,main!$A$3:$I$56,4,FALSE)+(VLOOKUP(VLOOKUP(AJ$1,main!$A$3:$I$56,8,FALSE),main!$K$19:$O$22,MATCH(VLOOKUP($A11,main!$A$3:$I$56,7,FALSE),main!$K$18:$O$18,0),0))),0)</f>
        <v>140</v>
      </c>
      <c r="AK11">
        <f>IF((gamma!AK11),IF(VLOOKUP(AK$1,main!$A$3:$I$56,7,FALSE)=VLOOKUP($A11,main!$A$3:$I$56,8,FALSE),VLOOKUP(AK$1,main!$A$3:$I$56,4,FALSE),VLOOKUP(AK$1,main!$A$3:$I$56,4,FALSE)+VLOOKUP($A11,main!$A$3:$I$56,4,FALSE)+(VLOOKUP(VLOOKUP(AK$1,main!$A$3:$I$56,8,FALSE),main!$K$19:$O$22,MATCH(VLOOKUP($A11,main!$A$3:$I$56,7,FALSE),main!$K$18:$O$18,0),0))),0)</f>
        <v>140</v>
      </c>
      <c r="AL11">
        <f>IF((gamma!AL11),IF(VLOOKUP(AL$1,main!$A$3:$I$56,7,FALSE)=VLOOKUP($A11,main!$A$3:$I$56,8,FALSE),VLOOKUP(AL$1,main!$A$3:$I$56,4,FALSE),VLOOKUP(AL$1,main!$A$3:$I$56,4,FALSE)+VLOOKUP($A11,main!$A$3:$I$56,4,FALSE)+(VLOOKUP(VLOOKUP(AL$1,main!$A$3:$I$56,8,FALSE),main!$K$19:$O$22,MATCH(VLOOKUP($A11,main!$A$3:$I$56,7,FALSE),main!$K$18:$O$18,0),0))),0)</f>
        <v>0</v>
      </c>
      <c r="AM11">
        <f>IF((gamma!AM11),IF(VLOOKUP(AM$1,main!$A$3:$I$56,7,FALSE)=VLOOKUP($A11,main!$A$3:$I$56,8,FALSE),VLOOKUP(AM$1,main!$A$3:$I$56,4,FALSE),VLOOKUP(AM$1,main!$A$3:$I$56,4,FALSE)+VLOOKUP($A11,main!$A$3:$I$56,4,FALSE)+(VLOOKUP(VLOOKUP(AM$1,main!$A$3:$I$56,8,FALSE),main!$K$19:$O$22,MATCH(VLOOKUP($A11,main!$A$3:$I$56,7,FALSE),main!$K$18:$O$18,0),0))),0)</f>
        <v>0</v>
      </c>
      <c r="AN11">
        <f>IF((gamma!AN11),IF(VLOOKUP(AN$1,main!$A$3:$I$56,7,FALSE)=VLOOKUP($A11,main!$A$3:$I$56,8,FALSE),VLOOKUP(AN$1,main!$A$3:$I$56,4,FALSE),VLOOKUP(AN$1,main!$A$3:$I$56,4,FALSE)+VLOOKUP($A11,main!$A$3:$I$56,4,FALSE)+(VLOOKUP(VLOOKUP(AN$1,main!$A$3:$I$56,8,FALSE),main!$K$19:$O$22,MATCH(VLOOKUP($A11,main!$A$3:$I$56,7,FALSE),main!$K$18:$O$18,0),0))),0)</f>
        <v>120</v>
      </c>
      <c r="AO11">
        <f>IF((gamma!AO11),IF(VLOOKUP(AO$1,main!$A$3:$I$56,7,FALSE)=VLOOKUP($A11,main!$A$3:$I$56,8,FALSE),VLOOKUP(AO$1,main!$A$3:$I$56,4,FALSE),VLOOKUP(AO$1,main!$A$3:$I$56,4,FALSE)+VLOOKUP($A11,main!$A$3:$I$56,4,FALSE)+(VLOOKUP(VLOOKUP(AO$1,main!$A$3:$I$56,8,FALSE),main!$K$19:$O$22,MATCH(VLOOKUP($A11,main!$A$3:$I$56,7,FALSE),main!$K$18:$O$18,0),0))),0)</f>
        <v>130</v>
      </c>
      <c r="AP11">
        <f>IF((gamma!AP11),IF(VLOOKUP(AP$1,main!$A$3:$I$56,7,FALSE)=VLOOKUP($A11,main!$A$3:$I$56,8,FALSE),VLOOKUP(AP$1,main!$A$3:$I$56,4,FALSE),VLOOKUP(AP$1,main!$A$3:$I$56,4,FALSE)+VLOOKUP($A11,main!$A$3:$I$56,4,FALSE)+(VLOOKUP(VLOOKUP(AP$1,main!$A$3:$I$56,8,FALSE),main!$K$19:$O$22,MATCH(VLOOKUP($A11,main!$A$3:$I$56,7,FALSE),main!$K$18:$O$18,0),0))),0)</f>
        <v>0</v>
      </c>
      <c r="AQ11">
        <f>IF((gamma!AQ11),IF(VLOOKUP(AQ$1,main!$A$3:$I$56,7,FALSE)=VLOOKUP($A11,main!$A$3:$I$56,8,FALSE),VLOOKUP(AQ$1,main!$A$3:$I$56,4,FALSE),VLOOKUP(AQ$1,main!$A$3:$I$56,4,FALSE)+VLOOKUP($A11,main!$A$3:$I$56,4,FALSE)+(VLOOKUP(VLOOKUP(AQ$1,main!$A$3:$I$56,8,FALSE),main!$K$19:$O$22,MATCH(VLOOKUP($A11,main!$A$3:$I$56,7,FALSE),main!$K$18:$O$18,0),0))),0)</f>
        <v>0</v>
      </c>
      <c r="AR11">
        <f>IF((gamma!AR11),IF(VLOOKUP(AR$1,main!$A$3:$I$56,7,FALSE)=VLOOKUP($A11,main!$A$3:$I$56,8,FALSE),VLOOKUP(AR$1,main!$A$3:$I$56,4,FALSE),VLOOKUP(AR$1,main!$A$3:$I$56,4,FALSE)+VLOOKUP($A11,main!$A$3:$I$56,4,FALSE)+(VLOOKUP(VLOOKUP(AR$1,main!$A$3:$I$56,8,FALSE),main!$K$19:$O$22,MATCH(VLOOKUP($A11,main!$A$3:$I$56,7,FALSE),main!$K$18:$O$18,0),0))),0)</f>
        <v>0</v>
      </c>
      <c r="AS11">
        <f>IF((gamma!AS11),IF(VLOOKUP(AS$1,main!$A$3:$I$56,7,FALSE)=VLOOKUP($A11,main!$A$3:$I$56,8,FALSE),VLOOKUP(AS$1,main!$A$3:$I$56,4,FALSE),VLOOKUP(AS$1,main!$A$3:$I$56,4,FALSE)+VLOOKUP($A11,main!$A$3:$I$56,4,FALSE)+(VLOOKUP(VLOOKUP(AS$1,main!$A$3:$I$56,8,FALSE),main!$K$19:$O$22,MATCH(VLOOKUP($A11,main!$A$3:$I$56,7,FALSE),main!$K$18:$O$18,0),0))),0)</f>
        <v>135</v>
      </c>
      <c r="AT11">
        <f>IF((gamma!AT11),IF(VLOOKUP(AT$1,main!$A$3:$I$56,7,FALSE)=VLOOKUP($A11,main!$A$3:$I$56,8,FALSE),VLOOKUP(AT$1,main!$A$3:$I$56,4,FALSE),VLOOKUP(AT$1,main!$A$3:$I$56,4,FALSE)+VLOOKUP($A11,main!$A$3:$I$56,4,FALSE)+(VLOOKUP(VLOOKUP(AT$1,main!$A$3:$I$56,8,FALSE),main!$K$19:$O$22,MATCH(VLOOKUP($A11,main!$A$3:$I$56,7,FALSE),main!$K$18:$O$18,0),0))),0)</f>
        <v>120</v>
      </c>
      <c r="AU11">
        <f>IF((gamma!AU11),IF(VLOOKUP(AU$1,main!$A$3:$I$56,7,FALSE)=VLOOKUP($A11,main!$A$3:$I$56,8,FALSE),VLOOKUP(AU$1,main!$A$3:$I$56,4,FALSE),VLOOKUP(AU$1,main!$A$3:$I$56,4,FALSE)+VLOOKUP($A11,main!$A$3:$I$56,4,FALSE)+(VLOOKUP(VLOOKUP(AU$1,main!$A$3:$I$56,8,FALSE),main!$K$19:$O$22,MATCH(VLOOKUP($A11,main!$A$3:$I$56,7,FALSE),main!$K$18:$O$18,0),0))),0)</f>
        <v>0</v>
      </c>
      <c r="AV11">
        <f>IF((gamma!AV11),IF(VLOOKUP(AV$1,main!$A$3:$I$56,7,FALSE)=VLOOKUP($A11,main!$A$3:$I$56,8,FALSE),VLOOKUP(AV$1,main!$A$3:$I$56,4,FALSE),VLOOKUP(AV$1,main!$A$3:$I$56,4,FALSE)+VLOOKUP($A11,main!$A$3:$I$56,4,FALSE)+(VLOOKUP(VLOOKUP(AV$1,main!$A$3:$I$56,8,FALSE),main!$K$19:$O$22,MATCH(VLOOKUP($A11,main!$A$3:$I$56,7,FALSE),main!$K$18:$O$18,0),0))),0)</f>
        <v>275</v>
      </c>
      <c r="AW11">
        <f>IF((gamma!AW11),IF(VLOOKUP(AW$1,main!$A$3:$I$56,7,FALSE)=VLOOKUP($A11,main!$A$3:$I$56,8,FALSE),VLOOKUP(AW$1,main!$A$3:$I$56,4,FALSE),VLOOKUP(AW$1,main!$A$3:$I$56,4,FALSE)+VLOOKUP($A11,main!$A$3:$I$56,4,FALSE)+(VLOOKUP(VLOOKUP(AW$1,main!$A$3:$I$56,8,FALSE),main!$K$19:$O$22,MATCH(VLOOKUP($A11,main!$A$3:$I$56,7,FALSE),main!$K$18:$O$18,0),0))),0)</f>
        <v>280</v>
      </c>
      <c r="AX11">
        <f>IF((gamma!AX11),IF(VLOOKUP(AX$1,main!$A$3:$I$56,7,FALSE)=VLOOKUP($A11,main!$A$3:$I$56,8,FALSE),VLOOKUP(AX$1,main!$A$3:$I$56,4,FALSE),VLOOKUP(AX$1,main!$A$3:$I$56,4,FALSE)+VLOOKUP($A11,main!$A$3:$I$56,4,FALSE)+(VLOOKUP(VLOOKUP(AX$1,main!$A$3:$I$56,8,FALSE),main!$K$19:$O$22,MATCH(VLOOKUP($A11,main!$A$3:$I$56,7,FALSE),main!$K$18:$O$18,0),0))),0)</f>
        <v>280</v>
      </c>
      <c r="AY11">
        <f>IF((gamma!AY11),IF(VLOOKUP(AY$1,main!$A$3:$I$56,7,FALSE)=VLOOKUP($A11,main!$A$3:$I$56,8,FALSE),VLOOKUP(AY$1,main!$A$3:$I$56,4,FALSE),VLOOKUP(AY$1,main!$A$3:$I$56,4,FALSE)+VLOOKUP($A11,main!$A$3:$I$56,4,FALSE)+(VLOOKUP(VLOOKUP(AY$1,main!$A$3:$I$56,8,FALSE),main!$K$19:$O$22,MATCH(VLOOKUP($A11,main!$A$3:$I$56,7,FALSE),main!$K$18:$O$18,0),0))),0)</f>
        <v>280</v>
      </c>
      <c r="AZ11">
        <f>IF((gamma!AZ11),IF(VLOOKUP(AZ$1,main!$A$3:$I$56,7,FALSE)=VLOOKUP($A11,main!$A$3:$I$56,8,FALSE),VLOOKUP(AZ$1,main!$A$3:$I$56,4,FALSE),VLOOKUP(AZ$1,main!$A$3:$I$56,4,FALSE)+VLOOKUP($A11,main!$A$3:$I$56,4,FALSE)+(VLOOKUP(VLOOKUP(AZ$1,main!$A$3:$I$56,8,FALSE),main!$K$19:$O$22,MATCH(VLOOKUP($A11,main!$A$3:$I$56,7,FALSE),main!$K$18:$O$18,0),0))),0)</f>
        <v>0</v>
      </c>
      <c r="BA11">
        <f>IF((gamma!BA11),IF(VLOOKUP(BA$1,main!$A$3:$I$56,7,FALSE)=VLOOKUP($A11,main!$A$3:$I$56,8,FALSE),VLOOKUP(BA$1,main!$A$3:$I$56,4,FALSE),VLOOKUP(BA$1,main!$A$3:$I$56,4,FALSE)+VLOOKUP($A11,main!$A$3:$I$56,4,FALSE)+(VLOOKUP(VLOOKUP(BA$1,main!$A$3:$I$56,8,FALSE),main!$K$19:$O$22,MATCH(VLOOKUP($A11,main!$A$3:$I$56,7,FALSE),main!$K$18:$O$18,0),0))),0)</f>
        <v>290</v>
      </c>
      <c r="BB11">
        <f>IF((gamma!BB11),IF(VLOOKUP(BB$1,main!$A$3:$I$56,7,FALSE)=VLOOKUP($A11,main!$A$3:$I$56,8,FALSE),VLOOKUP(BB$1,main!$A$3:$I$56,4,FALSE),VLOOKUP(BB$1,main!$A$3:$I$56,4,FALSE)+VLOOKUP($A11,main!$A$3:$I$56,4,FALSE)+(VLOOKUP(VLOOKUP(BB$1,main!$A$3:$I$56,8,FALSE),main!$K$19:$O$22,MATCH(VLOOKUP($A11,main!$A$3:$I$56,7,FALSE),main!$K$18:$O$18,0),0))),0)</f>
        <v>290</v>
      </c>
      <c r="BC11">
        <f>IF((gamma!BC11),IF(VLOOKUP(BC$1,main!$A$3:$I$56,7,FALSE)=VLOOKUP($A11,main!$A$3:$I$56,8,FALSE),VLOOKUP(BC$1,main!$A$3:$I$56,4,FALSE),VLOOKUP(BC$1,main!$A$3:$I$56,4,FALSE)+VLOOKUP($A11,main!$A$3:$I$56,4,FALSE)+(VLOOKUP(VLOOKUP(BC$1,main!$A$3:$I$56,8,FALSE),main!$K$19:$O$22,MATCH(VLOOKUP($A11,main!$A$3:$I$56,7,FALSE),main!$K$18:$O$18,0),0))),0)</f>
        <v>305</v>
      </c>
      <c r="BD11">
        <f>IF((gamma!BD11),IF(VLOOKUP(BD$1,main!$A$3:$I$56,7,FALSE)=VLOOKUP($A11,main!$A$3:$I$56,8,FALSE),VLOOKUP(BD$1,main!$A$3:$I$56,4,FALSE),VLOOKUP(BD$1,main!$A$3:$I$56,4,FALSE)+VLOOKUP($A11,main!$A$3:$I$56,4,FALSE)+(VLOOKUP(VLOOKUP(BD$1,main!$A$3:$I$56,8,FALSE),main!$K$19:$O$22,MATCH(VLOOKUP($A11,main!$A$3:$I$56,7,FALSE),main!$K$18:$O$18,0),0))),0)</f>
        <v>305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>
        <f t="shared" si="0"/>
        <v>10</v>
      </c>
      <c r="B12">
        <v>0</v>
      </c>
      <c r="C12">
        <f>IF((gamma!C12),IF(VLOOKUP(C$1,main!$A$3:$I$56,7,FALSE)=VLOOKUP($A12,main!$A$3:$I$56,8,FALSE),VLOOKUP(C$1,main!$A$3:$I$56,4,FALSE),VLOOKUP(C$1,main!$A$3:$I$56,4,FALSE)+VLOOKUP($A12,main!$A$3:$I$56,4,FALSE)+(VLOOKUP(VLOOKUP(C$1,main!$A$3:$I$56,8,FALSE),main!$K$19:$O$22,MATCH(VLOOKUP($A12,main!$A$3:$I$56,7,FALSE),main!$K$18:$O$18,0),0))),0)</f>
        <v>0</v>
      </c>
      <c r="D12">
        <f>IF((gamma!D12),IF(VLOOKUP(D$1,main!$A$3:$I$56,7,FALSE)=VLOOKUP($A12,main!$A$3:$I$56,8,FALSE),VLOOKUP(D$1,main!$A$3:$I$56,4,FALSE),VLOOKUP(D$1,main!$A$3:$I$56,4,FALSE)+VLOOKUP($A12,main!$A$3:$I$56,4,FALSE)+(VLOOKUP(VLOOKUP(D$1,main!$A$3:$I$56,8,FALSE),main!$K$19:$O$22,MATCH(VLOOKUP($A12,main!$A$3:$I$56,7,FALSE),main!$K$18:$O$18,0),0))),0)</f>
        <v>0</v>
      </c>
      <c r="E12">
        <f>IF((gamma!E12),IF(VLOOKUP(E$1,main!$A$3:$I$56,7,FALSE)=VLOOKUP($A12,main!$A$3:$I$56,8,FALSE),VLOOKUP(E$1,main!$A$3:$I$56,4,FALSE),VLOOKUP(E$1,main!$A$3:$I$56,4,FALSE)+VLOOKUP($A12,main!$A$3:$I$56,4,FALSE)+(VLOOKUP(VLOOKUP(E$1,main!$A$3:$I$56,8,FALSE),main!$K$19:$O$22,MATCH(VLOOKUP($A12,main!$A$3:$I$56,7,FALSE),main!$K$18:$O$18,0),0))),0)</f>
        <v>0</v>
      </c>
      <c r="F12">
        <f>IF((gamma!F12),IF(VLOOKUP(F$1,main!$A$3:$I$56,7,FALSE)=VLOOKUP($A12,main!$A$3:$I$56,8,FALSE),VLOOKUP(F$1,main!$A$3:$I$56,4,FALSE),VLOOKUP(F$1,main!$A$3:$I$56,4,FALSE)+VLOOKUP($A12,main!$A$3:$I$56,4,FALSE)+(VLOOKUP(VLOOKUP(F$1,main!$A$3:$I$56,8,FALSE),main!$K$19:$O$22,MATCH(VLOOKUP($A12,main!$A$3:$I$56,7,FALSE),main!$K$18:$O$18,0),0))),0)</f>
        <v>300</v>
      </c>
      <c r="G12">
        <f>IF((gamma!G12),IF(VLOOKUP(G$1,main!$A$3:$I$56,7,FALSE)=VLOOKUP($A12,main!$A$3:$I$56,8,FALSE),VLOOKUP(G$1,main!$A$3:$I$56,4,FALSE),VLOOKUP(G$1,main!$A$3:$I$56,4,FALSE)+VLOOKUP($A12,main!$A$3:$I$56,4,FALSE)+(VLOOKUP(VLOOKUP(G$1,main!$A$3:$I$56,8,FALSE),main!$K$19:$O$22,MATCH(VLOOKUP($A12,main!$A$3:$I$56,7,FALSE),main!$K$18:$O$18,0),0))),0)</f>
        <v>300</v>
      </c>
      <c r="H12">
        <f>IF((gamma!H12),IF(VLOOKUP(H$1,main!$A$3:$I$56,7,FALSE)=VLOOKUP($A12,main!$A$3:$I$56,8,FALSE),VLOOKUP(H$1,main!$A$3:$I$56,4,FALSE),VLOOKUP(H$1,main!$A$3:$I$56,4,FALSE)+VLOOKUP($A12,main!$A$3:$I$56,4,FALSE)+(VLOOKUP(VLOOKUP(H$1,main!$A$3:$I$56,8,FALSE),main!$K$19:$O$22,MATCH(VLOOKUP($A12,main!$A$3:$I$56,7,FALSE),main!$K$18:$O$18,0),0))),0)</f>
        <v>300</v>
      </c>
      <c r="I12">
        <f>IF((gamma!I12),IF(VLOOKUP(I$1,main!$A$3:$I$56,7,FALSE)=VLOOKUP($A12,main!$A$3:$I$56,8,FALSE),VLOOKUP(I$1,main!$A$3:$I$56,4,FALSE),VLOOKUP(I$1,main!$A$3:$I$56,4,FALSE)+VLOOKUP($A12,main!$A$3:$I$56,4,FALSE)+(VLOOKUP(VLOOKUP(I$1,main!$A$3:$I$56,8,FALSE),main!$K$19:$O$22,MATCH(VLOOKUP($A12,main!$A$3:$I$56,7,FALSE),main!$K$18:$O$18,0),0))),0)</f>
        <v>300</v>
      </c>
      <c r="J12">
        <f>IF((gamma!J12),IF(VLOOKUP(J$1,main!$A$3:$I$56,7,FALSE)=VLOOKUP($A12,main!$A$3:$I$56,8,FALSE),VLOOKUP(J$1,main!$A$3:$I$56,4,FALSE),VLOOKUP(J$1,main!$A$3:$I$56,4,FALSE)+VLOOKUP($A12,main!$A$3:$I$56,4,FALSE)+(VLOOKUP(VLOOKUP(J$1,main!$A$3:$I$56,8,FALSE),main!$K$19:$O$22,MATCH(VLOOKUP($A12,main!$A$3:$I$56,7,FALSE),main!$K$18:$O$18,0),0))),0)</f>
        <v>300</v>
      </c>
      <c r="K12">
        <f>IF((gamma!K12),IF(VLOOKUP(K$1,main!$A$3:$I$56,7,FALSE)=VLOOKUP($A12,main!$A$3:$I$56,8,FALSE),VLOOKUP(K$1,main!$A$3:$I$56,4,FALSE),VLOOKUP(K$1,main!$A$3:$I$56,4,FALSE)+VLOOKUP($A12,main!$A$3:$I$56,4,FALSE)+(VLOOKUP(VLOOKUP(K$1,main!$A$3:$I$56,8,FALSE),main!$K$19:$O$22,MATCH(VLOOKUP($A12,main!$A$3:$I$56,7,FALSE),main!$K$18:$O$18,0),0))),0)</f>
        <v>0</v>
      </c>
      <c r="L12">
        <f>IF((gamma!L12),IF(VLOOKUP(L$1,main!$A$3:$I$56,7,FALSE)=VLOOKUP($A12,main!$A$3:$I$56,8,FALSE),VLOOKUP(L$1,main!$A$3:$I$56,4,FALSE),VLOOKUP(L$1,main!$A$3:$I$56,4,FALSE)+VLOOKUP($A12,main!$A$3:$I$56,4,FALSE)+(VLOOKUP(VLOOKUP(L$1,main!$A$3:$I$56,8,FALSE),main!$K$19:$O$22,MATCH(VLOOKUP($A12,main!$A$3:$I$56,7,FALSE),main!$K$18:$O$18,0),0))),0)</f>
        <v>0</v>
      </c>
      <c r="M12">
        <f>IF((gamma!M12),IF(VLOOKUP(M$1,main!$A$3:$I$56,7,FALSE)=VLOOKUP($A12,main!$A$3:$I$56,8,FALSE),VLOOKUP(M$1,main!$A$3:$I$56,4,FALSE),VLOOKUP(M$1,main!$A$3:$I$56,4,FALSE)+VLOOKUP($A12,main!$A$3:$I$56,4,FALSE)+(VLOOKUP(VLOOKUP(M$1,main!$A$3:$I$56,8,FALSE),main!$K$19:$O$22,MATCH(VLOOKUP($A12,main!$A$3:$I$56,7,FALSE),main!$K$18:$O$18,0),0))),0)</f>
        <v>0</v>
      </c>
      <c r="N12">
        <f>IF((gamma!N12),IF(VLOOKUP(N$1,main!$A$3:$I$56,7,FALSE)=VLOOKUP($A12,main!$A$3:$I$56,8,FALSE),VLOOKUP(N$1,main!$A$3:$I$56,4,FALSE),VLOOKUP(N$1,main!$A$3:$I$56,4,FALSE)+VLOOKUP($A12,main!$A$3:$I$56,4,FALSE)+(VLOOKUP(VLOOKUP(N$1,main!$A$3:$I$56,8,FALSE),main!$K$19:$O$22,MATCH(VLOOKUP($A12,main!$A$3:$I$56,7,FALSE),main!$K$18:$O$18,0),0))),0)</f>
        <v>310</v>
      </c>
      <c r="O12">
        <f>IF((gamma!O12),IF(VLOOKUP(O$1,main!$A$3:$I$56,7,FALSE)=VLOOKUP($A12,main!$A$3:$I$56,8,FALSE),VLOOKUP(O$1,main!$A$3:$I$56,4,FALSE),VLOOKUP(O$1,main!$A$3:$I$56,4,FALSE)+VLOOKUP($A12,main!$A$3:$I$56,4,FALSE)+(VLOOKUP(VLOOKUP(O$1,main!$A$3:$I$56,8,FALSE),main!$K$19:$O$22,MATCH(VLOOKUP($A12,main!$A$3:$I$56,7,FALSE),main!$K$18:$O$18,0),0))),0)</f>
        <v>310</v>
      </c>
      <c r="P12">
        <f>IF((gamma!P12),IF(VLOOKUP(P$1,main!$A$3:$I$56,7,FALSE)=VLOOKUP($A12,main!$A$3:$I$56,8,FALSE),VLOOKUP(P$1,main!$A$3:$I$56,4,FALSE),VLOOKUP(P$1,main!$A$3:$I$56,4,FALSE)+VLOOKUP($A12,main!$A$3:$I$56,4,FALSE)+(VLOOKUP(VLOOKUP(P$1,main!$A$3:$I$56,8,FALSE),main!$K$19:$O$22,MATCH(VLOOKUP($A12,main!$A$3:$I$56,7,FALSE),main!$K$18:$O$18,0),0))),0)</f>
        <v>0</v>
      </c>
      <c r="Q12">
        <f>IF((gamma!Q12),IF(VLOOKUP(Q$1,main!$A$3:$I$56,7,FALSE)=VLOOKUP($A12,main!$A$3:$I$56,8,FALSE),VLOOKUP(Q$1,main!$A$3:$I$56,4,FALSE),VLOOKUP(Q$1,main!$A$3:$I$56,4,FALSE)+VLOOKUP($A12,main!$A$3:$I$56,4,FALSE)+(VLOOKUP(VLOOKUP(Q$1,main!$A$3:$I$56,8,FALSE),main!$K$19:$O$22,MATCH(VLOOKUP($A12,main!$A$3:$I$56,7,FALSE),main!$K$18:$O$18,0),0))),0)</f>
        <v>0</v>
      </c>
      <c r="R12">
        <f>IF((gamma!R12),IF(VLOOKUP(R$1,main!$A$3:$I$56,7,FALSE)=VLOOKUP($A12,main!$A$3:$I$56,8,FALSE),VLOOKUP(R$1,main!$A$3:$I$56,4,FALSE),VLOOKUP(R$1,main!$A$3:$I$56,4,FALSE)+VLOOKUP($A12,main!$A$3:$I$56,4,FALSE)+(VLOOKUP(VLOOKUP(R$1,main!$A$3:$I$56,8,FALSE),main!$K$19:$O$22,MATCH(VLOOKUP($A12,main!$A$3:$I$56,7,FALSE),main!$K$18:$O$18,0),0))),0)</f>
        <v>0</v>
      </c>
      <c r="S12">
        <f>IF((gamma!S12),IF(VLOOKUP(S$1,main!$A$3:$I$56,7,FALSE)=VLOOKUP($A12,main!$A$3:$I$56,8,FALSE),VLOOKUP(S$1,main!$A$3:$I$56,4,FALSE),VLOOKUP(S$1,main!$A$3:$I$56,4,FALSE)+VLOOKUP($A12,main!$A$3:$I$56,4,FALSE)+(VLOOKUP(VLOOKUP(S$1,main!$A$3:$I$56,8,FALSE),main!$K$19:$O$22,MATCH(VLOOKUP($A12,main!$A$3:$I$56,7,FALSE),main!$K$18:$O$18,0),0))),0)</f>
        <v>315</v>
      </c>
      <c r="T12">
        <f>IF((gamma!T12),IF(VLOOKUP(T$1,main!$A$3:$I$56,7,FALSE)=VLOOKUP($A12,main!$A$3:$I$56,8,FALSE),VLOOKUP(T$1,main!$A$3:$I$56,4,FALSE),VLOOKUP(T$1,main!$A$3:$I$56,4,FALSE)+VLOOKUP($A12,main!$A$3:$I$56,4,FALSE)+(VLOOKUP(VLOOKUP(T$1,main!$A$3:$I$56,8,FALSE),main!$K$19:$O$22,MATCH(VLOOKUP($A12,main!$A$3:$I$56,7,FALSE),main!$K$18:$O$18,0),0))),0)</f>
        <v>315</v>
      </c>
      <c r="U12">
        <f>IF((gamma!U12),IF(VLOOKUP(U$1,main!$A$3:$I$56,7,FALSE)=VLOOKUP($A12,main!$A$3:$I$56,8,FALSE),VLOOKUP(U$1,main!$A$3:$I$56,4,FALSE),VLOOKUP(U$1,main!$A$3:$I$56,4,FALSE)+VLOOKUP($A12,main!$A$3:$I$56,4,FALSE)+(VLOOKUP(VLOOKUP(U$1,main!$A$3:$I$56,8,FALSE),main!$K$19:$O$22,MATCH(VLOOKUP($A12,main!$A$3:$I$56,7,FALSE),main!$K$18:$O$18,0),0))),0)</f>
        <v>0</v>
      </c>
      <c r="V12">
        <f>IF((gamma!V12),IF(VLOOKUP(V$1,main!$A$3:$I$56,7,FALSE)=VLOOKUP($A12,main!$A$3:$I$56,8,FALSE),VLOOKUP(V$1,main!$A$3:$I$56,4,FALSE),VLOOKUP(V$1,main!$A$3:$I$56,4,FALSE)+VLOOKUP($A12,main!$A$3:$I$56,4,FALSE)+(VLOOKUP(VLOOKUP(V$1,main!$A$3:$I$56,8,FALSE),main!$K$19:$O$22,MATCH(VLOOKUP($A12,main!$A$3:$I$56,7,FALSE),main!$K$18:$O$18,0),0))),0)</f>
        <v>0</v>
      </c>
      <c r="W12">
        <f>IF((gamma!W12),IF(VLOOKUP(W$1,main!$A$3:$I$56,7,FALSE)=VLOOKUP($A12,main!$A$3:$I$56,8,FALSE),VLOOKUP(W$1,main!$A$3:$I$56,4,FALSE),VLOOKUP(W$1,main!$A$3:$I$56,4,FALSE)+VLOOKUP($A12,main!$A$3:$I$56,4,FALSE)+(VLOOKUP(VLOOKUP(W$1,main!$A$3:$I$56,8,FALSE),main!$K$19:$O$22,MATCH(VLOOKUP($A12,main!$A$3:$I$56,7,FALSE),main!$K$18:$O$18,0),0))),0)</f>
        <v>0</v>
      </c>
      <c r="X12">
        <f>IF((gamma!X12),IF(VLOOKUP(X$1,main!$A$3:$I$56,7,FALSE)=VLOOKUP($A12,main!$A$3:$I$56,8,FALSE),VLOOKUP(X$1,main!$A$3:$I$56,4,FALSE),VLOOKUP(X$1,main!$A$3:$I$56,4,FALSE)+VLOOKUP($A12,main!$A$3:$I$56,4,FALSE)+(VLOOKUP(VLOOKUP(X$1,main!$A$3:$I$56,8,FALSE),main!$K$19:$O$22,MATCH(VLOOKUP($A12,main!$A$3:$I$56,7,FALSE),main!$K$18:$O$18,0),0))),0)</f>
        <v>0</v>
      </c>
      <c r="Y12">
        <f>IF((gamma!Y12),IF(VLOOKUP(Y$1,main!$A$3:$I$56,7,FALSE)=VLOOKUP($A12,main!$A$3:$I$56,8,FALSE),VLOOKUP(Y$1,main!$A$3:$I$56,4,FALSE),VLOOKUP(Y$1,main!$A$3:$I$56,4,FALSE)+VLOOKUP($A12,main!$A$3:$I$56,4,FALSE)+(VLOOKUP(VLOOKUP(Y$1,main!$A$3:$I$56,8,FALSE),main!$K$19:$O$22,MATCH(VLOOKUP($A12,main!$A$3:$I$56,7,FALSE),main!$K$18:$O$18,0),0))),0)</f>
        <v>275</v>
      </c>
      <c r="Z12">
        <f>IF((gamma!Z12),IF(VLOOKUP(Z$1,main!$A$3:$I$56,7,FALSE)=VLOOKUP($A12,main!$A$3:$I$56,8,FALSE),VLOOKUP(Z$1,main!$A$3:$I$56,4,FALSE),VLOOKUP(Z$1,main!$A$3:$I$56,4,FALSE)+VLOOKUP($A12,main!$A$3:$I$56,4,FALSE)+(VLOOKUP(VLOOKUP(Z$1,main!$A$3:$I$56,8,FALSE),main!$K$19:$O$22,MATCH(VLOOKUP($A12,main!$A$3:$I$56,7,FALSE),main!$K$18:$O$18,0),0))),0)</f>
        <v>275</v>
      </c>
      <c r="AA12">
        <f>IF((gamma!AA12),IF(VLOOKUP(AA$1,main!$A$3:$I$56,7,FALSE)=VLOOKUP($A12,main!$A$3:$I$56,8,FALSE),VLOOKUP(AA$1,main!$A$3:$I$56,4,FALSE),VLOOKUP(AA$1,main!$A$3:$I$56,4,FALSE)+VLOOKUP($A12,main!$A$3:$I$56,4,FALSE)+(VLOOKUP(VLOOKUP(AA$1,main!$A$3:$I$56,8,FALSE),main!$K$19:$O$22,MATCH(VLOOKUP($A12,main!$A$3:$I$56,7,FALSE),main!$K$18:$O$18,0),0))),0)</f>
        <v>275</v>
      </c>
      <c r="AB12">
        <f>IF((gamma!AB12),IF(VLOOKUP(AB$1,main!$A$3:$I$56,7,FALSE)=VLOOKUP($A12,main!$A$3:$I$56,8,FALSE),VLOOKUP(AB$1,main!$A$3:$I$56,4,FALSE),VLOOKUP(AB$1,main!$A$3:$I$56,4,FALSE)+VLOOKUP($A12,main!$A$3:$I$56,4,FALSE)+(VLOOKUP(VLOOKUP(AB$1,main!$A$3:$I$56,8,FALSE),main!$K$19:$O$22,MATCH(VLOOKUP($A12,main!$A$3:$I$56,7,FALSE),main!$K$18:$O$18,0),0))),0)</f>
        <v>275</v>
      </c>
      <c r="AC12">
        <f>IF((gamma!AC12),IF(VLOOKUP(AC$1,main!$A$3:$I$56,7,FALSE)=VLOOKUP($A12,main!$A$3:$I$56,8,FALSE),VLOOKUP(AC$1,main!$A$3:$I$56,4,FALSE),VLOOKUP(AC$1,main!$A$3:$I$56,4,FALSE)+VLOOKUP($A12,main!$A$3:$I$56,4,FALSE)+(VLOOKUP(VLOOKUP(AC$1,main!$A$3:$I$56,8,FALSE),main!$K$19:$O$22,MATCH(VLOOKUP($A12,main!$A$3:$I$56,7,FALSE),main!$K$18:$O$18,0),0))),0)</f>
        <v>0</v>
      </c>
      <c r="AD12">
        <f>IF((gamma!AD12),IF(VLOOKUP(AD$1,main!$A$3:$I$56,7,FALSE)=VLOOKUP($A12,main!$A$3:$I$56,8,FALSE),VLOOKUP(AD$1,main!$A$3:$I$56,4,FALSE),VLOOKUP(AD$1,main!$A$3:$I$56,4,FALSE)+VLOOKUP($A12,main!$A$3:$I$56,4,FALSE)+(VLOOKUP(VLOOKUP(AD$1,main!$A$3:$I$56,8,FALSE),main!$K$19:$O$22,MATCH(VLOOKUP($A12,main!$A$3:$I$56,7,FALSE),main!$K$18:$O$18,0),0))),0)</f>
        <v>0</v>
      </c>
      <c r="AE12">
        <f>IF((gamma!AE12),IF(VLOOKUP(AE$1,main!$A$3:$I$56,7,FALSE)=VLOOKUP($A12,main!$A$3:$I$56,8,FALSE),VLOOKUP(AE$1,main!$A$3:$I$56,4,FALSE),VLOOKUP(AE$1,main!$A$3:$I$56,4,FALSE)+VLOOKUP($A12,main!$A$3:$I$56,4,FALSE)+(VLOOKUP(VLOOKUP(AE$1,main!$A$3:$I$56,8,FALSE),main!$K$19:$O$22,MATCH(VLOOKUP($A12,main!$A$3:$I$56,7,FALSE),main!$K$18:$O$18,0),0))),0)</f>
        <v>0</v>
      </c>
      <c r="AF12">
        <f>IF((gamma!AF12),IF(VLOOKUP(AF$1,main!$A$3:$I$56,7,FALSE)=VLOOKUP($A12,main!$A$3:$I$56,8,FALSE),VLOOKUP(AF$1,main!$A$3:$I$56,4,FALSE),VLOOKUP(AF$1,main!$A$3:$I$56,4,FALSE)+VLOOKUP($A12,main!$A$3:$I$56,4,FALSE)+(VLOOKUP(VLOOKUP(AF$1,main!$A$3:$I$56,8,FALSE),main!$K$19:$O$22,MATCH(VLOOKUP($A12,main!$A$3:$I$56,7,FALSE),main!$K$18:$O$18,0),0))),0)</f>
        <v>300</v>
      </c>
      <c r="AG12">
        <f>IF((gamma!AG12),IF(VLOOKUP(AG$1,main!$A$3:$I$56,7,FALSE)=VLOOKUP($A12,main!$A$3:$I$56,8,FALSE),VLOOKUP(AG$1,main!$A$3:$I$56,4,FALSE),VLOOKUP(AG$1,main!$A$3:$I$56,4,FALSE)+VLOOKUP($A12,main!$A$3:$I$56,4,FALSE)+(VLOOKUP(VLOOKUP(AG$1,main!$A$3:$I$56,8,FALSE),main!$K$19:$O$22,MATCH(VLOOKUP($A12,main!$A$3:$I$56,7,FALSE),main!$K$18:$O$18,0),0))),0)</f>
        <v>0</v>
      </c>
      <c r="AH12">
        <f>IF((gamma!AH12),IF(VLOOKUP(AH$1,main!$A$3:$I$56,7,FALSE)=VLOOKUP($A12,main!$A$3:$I$56,8,FALSE),VLOOKUP(AH$1,main!$A$3:$I$56,4,FALSE),VLOOKUP(AH$1,main!$A$3:$I$56,4,FALSE)+VLOOKUP($A12,main!$A$3:$I$56,4,FALSE)+(VLOOKUP(VLOOKUP(AH$1,main!$A$3:$I$56,8,FALSE),main!$K$19:$O$22,MATCH(VLOOKUP($A12,main!$A$3:$I$56,7,FALSE),main!$K$18:$O$18,0),0))),0)</f>
        <v>0</v>
      </c>
      <c r="AI12">
        <f>IF((gamma!AI12),IF(VLOOKUP(AI$1,main!$A$3:$I$56,7,FALSE)=VLOOKUP($A12,main!$A$3:$I$56,8,FALSE),VLOOKUP(AI$1,main!$A$3:$I$56,4,FALSE),VLOOKUP(AI$1,main!$A$3:$I$56,4,FALSE)+VLOOKUP($A12,main!$A$3:$I$56,4,FALSE)+(VLOOKUP(VLOOKUP(AI$1,main!$A$3:$I$56,8,FALSE),main!$K$19:$O$22,MATCH(VLOOKUP($A12,main!$A$3:$I$56,7,FALSE),main!$K$18:$O$18,0),0))),0)</f>
        <v>140</v>
      </c>
      <c r="AJ12">
        <f>IF((gamma!AJ12),IF(VLOOKUP(AJ$1,main!$A$3:$I$56,7,FALSE)=VLOOKUP($A12,main!$A$3:$I$56,8,FALSE),VLOOKUP(AJ$1,main!$A$3:$I$56,4,FALSE),VLOOKUP(AJ$1,main!$A$3:$I$56,4,FALSE)+VLOOKUP($A12,main!$A$3:$I$56,4,FALSE)+(VLOOKUP(VLOOKUP(AJ$1,main!$A$3:$I$56,8,FALSE),main!$K$19:$O$22,MATCH(VLOOKUP($A12,main!$A$3:$I$56,7,FALSE),main!$K$18:$O$18,0),0))),0)</f>
        <v>140</v>
      </c>
      <c r="AK12">
        <f>IF((gamma!AK12),IF(VLOOKUP(AK$1,main!$A$3:$I$56,7,FALSE)=VLOOKUP($A12,main!$A$3:$I$56,8,FALSE),VLOOKUP(AK$1,main!$A$3:$I$56,4,FALSE),VLOOKUP(AK$1,main!$A$3:$I$56,4,FALSE)+VLOOKUP($A12,main!$A$3:$I$56,4,FALSE)+(VLOOKUP(VLOOKUP(AK$1,main!$A$3:$I$56,8,FALSE),main!$K$19:$O$22,MATCH(VLOOKUP($A12,main!$A$3:$I$56,7,FALSE),main!$K$18:$O$18,0),0))),0)</f>
        <v>140</v>
      </c>
      <c r="AL12">
        <f>IF((gamma!AL12),IF(VLOOKUP(AL$1,main!$A$3:$I$56,7,FALSE)=VLOOKUP($A12,main!$A$3:$I$56,8,FALSE),VLOOKUP(AL$1,main!$A$3:$I$56,4,FALSE),VLOOKUP(AL$1,main!$A$3:$I$56,4,FALSE)+VLOOKUP($A12,main!$A$3:$I$56,4,FALSE)+(VLOOKUP(VLOOKUP(AL$1,main!$A$3:$I$56,8,FALSE),main!$K$19:$O$22,MATCH(VLOOKUP($A12,main!$A$3:$I$56,7,FALSE),main!$K$18:$O$18,0),0))),0)</f>
        <v>0</v>
      </c>
      <c r="AM12">
        <f>IF((gamma!AM12),IF(VLOOKUP(AM$1,main!$A$3:$I$56,7,FALSE)=VLOOKUP($A12,main!$A$3:$I$56,8,FALSE),VLOOKUP(AM$1,main!$A$3:$I$56,4,FALSE),VLOOKUP(AM$1,main!$A$3:$I$56,4,FALSE)+VLOOKUP($A12,main!$A$3:$I$56,4,FALSE)+(VLOOKUP(VLOOKUP(AM$1,main!$A$3:$I$56,8,FALSE),main!$K$19:$O$22,MATCH(VLOOKUP($A12,main!$A$3:$I$56,7,FALSE),main!$K$18:$O$18,0),0))),0)</f>
        <v>0</v>
      </c>
      <c r="AN12">
        <f>IF((gamma!AN12),IF(VLOOKUP(AN$1,main!$A$3:$I$56,7,FALSE)=VLOOKUP($A12,main!$A$3:$I$56,8,FALSE),VLOOKUP(AN$1,main!$A$3:$I$56,4,FALSE),VLOOKUP(AN$1,main!$A$3:$I$56,4,FALSE)+VLOOKUP($A12,main!$A$3:$I$56,4,FALSE)+(VLOOKUP(VLOOKUP(AN$1,main!$A$3:$I$56,8,FALSE),main!$K$19:$O$22,MATCH(VLOOKUP($A12,main!$A$3:$I$56,7,FALSE),main!$K$18:$O$18,0),0))),0)</f>
        <v>120</v>
      </c>
      <c r="AO12">
        <f>IF((gamma!AO12),IF(VLOOKUP(AO$1,main!$A$3:$I$56,7,FALSE)=VLOOKUP($A12,main!$A$3:$I$56,8,FALSE),VLOOKUP(AO$1,main!$A$3:$I$56,4,FALSE),VLOOKUP(AO$1,main!$A$3:$I$56,4,FALSE)+VLOOKUP($A12,main!$A$3:$I$56,4,FALSE)+(VLOOKUP(VLOOKUP(AO$1,main!$A$3:$I$56,8,FALSE),main!$K$19:$O$22,MATCH(VLOOKUP($A12,main!$A$3:$I$56,7,FALSE),main!$K$18:$O$18,0),0))),0)</f>
        <v>130</v>
      </c>
      <c r="AP12">
        <f>IF((gamma!AP12),IF(VLOOKUP(AP$1,main!$A$3:$I$56,7,FALSE)=VLOOKUP($A12,main!$A$3:$I$56,8,FALSE),VLOOKUP(AP$1,main!$A$3:$I$56,4,FALSE),VLOOKUP(AP$1,main!$A$3:$I$56,4,FALSE)+VLOOKUP($A12,main!$A$3:$I$56,4,FALSE)+(VLOOKUP(VLOOKUP(AP$1,main!$A$3:$I$56,8,FALSE),main!$K$19:$O$22,MATCH(VLOOKUP($A12,main!$A$3:$I$56,7,FALSE),main!$K$18:$O$18,0),0))),0)</f>
        <v>0</v>
      </c>
      <c r="AQ12">
        <f>IF((gamma!AQ12),IF(VLOOKUP(AQ$1,main!$A$3:$I$56,7,FALSE)=VLOOKUP($A12,main!$A$3:$I$56,8,FALSE),VLOOKUP(AQ$1,main!$A$3:$I$56,4,FALSE),VLOOKUP(AQ$1,main!$A$3:$I$56,4,FALSE)+VLOOKUP($A12,main!$A$3:$I$56,4,FALSE)+(VLOOKUP(VLOOKUP(AQ$1,main!$A$3:$I$56,8,FALSE),main!$K$19:$O$22,MATCH(VLOOKUP($A12,main!$A$3:$I$56,7,FALSE),main!$K$18:$O$18,0),0))),0)</f>
        <v>0</v>
      </c>
      <c r="AR12">
        <f>IF((gamma!AR12),IF(VLOOKUP(AR$1,main!$A$3:$I$56,7,FALSE)=VLOOKUP($A12,main!$A$3:$I$56,8,FALSE),VLOOKUP(AR$1,main!$A$3:$I$56,4,FALSE),VLOOKUP(AR$1,main!$A$3:$I$56,4,FALSE)+VLOOKUP($A12,main!$A$3:$I$56,4,FALSE)+(VLOOKUP(VLOOKUP(AR$1,main!$A$3:$I$56,8,FALSE),main!$K$19:$O$22,MATCH(VLOOKUP($A12,main!$A$3:$I$56,7,FALSE),main!$K$18:$O$18,0),0))),0)</f>
        <v>0</v>
      </c>
      <c r="AS12">
        <f>IF((gamma!AS12),IF(VLOOKUP(AS$1,main!$A$3:$I$56,7,FALSE)=VLOOKUP($A12,main!$A$3:$I$56,8,FALSE),VLOOKUP(AS$1,main!$A$3:$I$56,4,FALSE),VLOOKUP(AS$1,main!$A$3:$I$56,4,FALSE)+VLOOKUP($A12,main!$A$3:$I$56,4,FALSE)+(VLOOKUP(VLOOKUP(AS$1,main!$A$3:$I$56,8,FALSE),main!$K$19:$O$22,MATCH(VLOOKUP($A12,main!$A$3:$I$56,7,FALSE),main!$K$18:$O$18,0),0))),0)</f>
        <v>0</v>
      </c>
      <c r="AT12">
        <f>IF((gamma!AT12),IF(VLOOKUP(AT$1,main!$A$3:$I$56,7,FALSE)=VLOOKUP($A12,main!$A$3:$I$56,8,FALSE),VLOOKUP(AT$1,main!$A$3:$I$56,4,FALSE),VLOOKUP(AT$1,main!$A$3:$I$56,4,FALSE)+VLOOKUP($A12,main!$A$3:$I$56,4,FALSE)+(VLOOKUP(VLOOKUP(AT$1,main!$A$3:$I$56,8,FALSE),main!$K$19:$O$22,MATCH(VLOOKUP($A12,main!$A$3:$I$56,7,FALSE),main!$K$18:$O$18,0),0))),0)</f>
        <v>120</v>
      </c>
      <c r="AU12">
        <f>IF((gamma!AU12),IF(VLOOKUP(AU$1,main!$A$3:$I$56,7,FALSE)=VLOOKUP($A12,main!$A$3:$I$56,8,FALSE),VLOOKUP(AU$1,main!$A$3:$I$56,4,FALSE),VLOOKUP(AU$1,main!$A$3:$I$56,4,FALSE)+VLOOKUP($A12,main!$A$3:$I$56,4,FALSE)+(VLOOKUP(VLOOKUP(AU$1,main!$A$3:$I$56,8,FALSE),main!$K$19:$O$22,MATCH(VLOOKUP($A12,main!$A$3:$I$56,7,FALSE),main!$K$18:$O$18,0),0))),0)</f>
        <v>0</v>
      </c>
      <c r="AV12">
        <f>IF((gamma!AV12),IF(VLOOKUP(AV$1,main!$A$3:$I$56,7,FALSE)=VLOOKUP($A12,main!$A$3:$I$56,8,FALSE),VLOOKUP(AV$1,main!$A$3:$I$56,4,FALSE),VLOOKUP(AV$1,main!$A$3:$I$56,4,FALSE)+VLOOKUP($A12,main!$A$3:$I$56,4,FALSE)+(VLOOKUP(VLOOKUP(AV$1,main!$A$3:$I$56,8,FALSE),main!$K$19:$O$22,MATCH(VLOOKUP($A12,main!$A$3:$I$56,7,FALSE),main!$K$18:$O$18,0),0))),0)</f>
        <v>0</v>
      </c>
      <c r="AW12">
        <f>IF((gamma!AW12),IF(VLOOKUP(AW$1,main!$A$3:$I$56,7,FALSE)=VLOOKUP($A12,main!$A$3:$I$56,8,FALSE),VLOOKUP(AW$1,main!$A$3:$I$56,4,FALSE),VLOOKUP(AW$1,main!$A$3:$I$56,4,FALSE)+VLOOKUP($A12,main!$A$3:$I$56,4,FALSE)+(VLOOKUP(VLOOKUP(AW$1,main!$A$3:$I$56,8,FALSE),main!$K$19:$O$22,MATCH(VLOOKUP($A12,main!$A$3:$I$56,7,FALSE),main!$K$18:$O$18,0),0))),0)</f>
        <v>0</v>
      </c>
      <c r="AX12">
        <f>IF((gamma!AX12),IF(VLOOKUP(AX$1,main!$A$3:$I$56,7,FALSE)=VLOOKUP($A12,main!$A$3:$I$56,8,FALSE),VLOOKUP(AX$1,main!$A$3:$I$56,4,FALSE),VLOOKUP(AX$1,main!$A$3:$I$56,4,FALSE)+VLOOKUP($A12,main!$A$3:$I$56,4,FALSE)+(VLOOKUP(VLOOKUP(AX$1,main!$A$3:$I$56,8,FALSE),main!$K$19:$O$22,MATCH(VLOOKUP($A12,main!$A$3:$I$56,7,FALSE),main!$K$18:$O$18,0),0))),0)</f>
        <v>280</v>
      </c>
      <c r="AY12">
        <f>IF((gamma!AY12),IF(VLOOKUP(AY$1,main!$A$3:$I$56,7,FALSE)=VLOOKUP($A12,main!$A$3:$I$56,8,FALSE),VLOOKUP(AY$1,main!$A$3:$I$56,4,FALSE),VLOOKUP(AY$1,main!$A$3:$I$56,4,FALSE)+VLOOKUP($A12,main!$A$3:$I$56,4,FALSE)+(VLOOKUP(VLOOKUP(AY$1,main!$A$3:$I$56,8,FALSE),main!$K$19:$O$22,MATCH(VLOOKUP($A12,main!$A$3:$I$56,7,FALSE),main!$K$18:$O$18,0),0))),0)</f>
        <v>280</v>
      </c>
      <c r="AZ12">
        <f>IF((gamma!AZ12),IF(VLOOKUP(AZ$1,main!$A$3:$I$56,7,FALSE)=VLOOKUP($A12,main!$A$3:$I$56,8,FALSE),VLOOKUP(AZ$1,main!$A$3:$I$56,4,FALSE),VLOOKUP(AZ$1,main!$A$3:$I$56,4,FALSE)+VLOOKUP($A12,main!$A$3:$I$56,4,FALSE)+(VLOOKUP(VLOOKUP(AZ$1,main!$A$3:$I$56,8,FALSE),main!$K$19:$O$22,MATCH(VLOOKUP($A12,main!$A$3:$I$56,7,FALSE),main!$K$18:$O$18,0),0))),0)</f>
        <v>0</v>
      </c>
      <c r="BA12">
        <f>IF((gamma!BA12),IF(VLOOKUP(BA$1,main!$A$3:$I$56,7,FALSE)=VLOOKUP($A12,main!$A$3:$I$56,8,FALSE),VLOOKUP(BA$1,main!$A$3:$I$56,4,FALSE),VLOOKUP(BA$1,main!$A$3:$I$56,4,FALSE)+VLOOKUP($A12,main!$A$3:$I$56,4,FALSE)+(VLOOKUP(VLOOKUP(BA$1,main!$A$3:$I$56,8,FALSE),main!$K$19:$O$22,MATCH(VLOOKUP($A12,main!$A$3:$I$56,7,FALSE),main!$K$18:$O$18,0),0))),0)</f>
        <v>0</v>
      </c>
      <c r="BB12">
        <f>IF((gamma!BB12),IF(VLOOKUP(BB$1,main!$A$3:$I$56,7,FALSE)=VLOOKUP($A12,main!$A$3:$I$56,8,FALSE),VLOOKUP(BB$1,main!$A$3:$I$56,4,FALSE),VLOOKUP(BB$1,main!$A$3:$I$56,4,FALSE)+VLOOKUP($A12,main!$A$3:$I$56,4,FALSE)+(VLOOKUP(VLOOKUP(BB$1,main!$A$3:$I$56,8,FALSE),main!$K$19:$O$22,MATCH(VLOOKUP($A12,main!$A$3:$I$56,7,FALSE),main!$K$18:$O$18,0),0))),0)</f>
        <v>0</v>
      </c>
      <c r="BC12">
        <f>IF((gamma!BC12),IF(VLOOKUP(BC$1,main!$A$3:$I$56,7,FALSE)=VLOOKUP($A12,main!$A$3:$I$56,8,FALSE),VLOOKUP(BC$1,main!$A$3:$I$56,4,FALSE),VLOOKUP(BC$1,main!$A$3:$I$56,4,FALSE)+VLOOKUP($A12,main!$A$3:$I$56,4,FALSE)+(VLOOKUP(VLOOKUP(BC$1,main!$A$3:$I$56,8,FALSE),main!$K$19:$O$22,MATCH(VLOOKUP($A12,main!$A$3:$I$56,7,FALSE),main!$K$18:$O$18,0),0))),0)</f>
        <v>305</v>
      </c>
      <c r="BD12">
        <f>IF((gamma!BD12),IF(VLOOKUP(BD$1,main!$A$3:$I$56,7,FALSE)=VLOOKUP($A12,main!$A$3:$I$56,8,FALSE),VLOOKUP(BD$1,main!$A$3:$I$56,4,FALSE),VLOOKUP(BD$1,main!$A$3:$I$56,4,FALSE)+VLOOKUP($A12,main!$A$3:$I$56,4,FALSE)+(VLOOKUP(VLOOKUP(BD$1,main!$A$3:$I$56,8,FALSE),main!$K$19:$O$22,MATCH(VLOOKUP($A12,main!$A$3:$I$56,7,FALSE),main!$K$18:$O$18,0),0))),0)</f>
        <v>305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>
        <f t="shared" si="0"/>
        <v>11</v>
      </c>
      <c r="B13">
        <v>0</v>
      </c>
      <c r="C13">
        <f>IF((gamma!C13),IF(VLOOKUP(C$1,main!$A$3:$I$56,7,FALSE)=VLOOKUP($A13,main!$A$3:$I$56,8,FALSE),VLOOKUP(C$1,main!$A$3:$I$56,4,FALSE),VLOOKUP(C$1,main!$A$3:$I$56,4,FALSE)+VLOOKUP($A13,main!$A$3:$I$56,4,FALSE)+(VLOOKUP(VLOOKUP(C$1,main!$A$3:$I$56,8,FALSE),main!$K$19:$O$22,MATCH(VLOOKUP($A13,main!$A$3:$I$56,7,FALSE),main!$K$18:$O$18,0),0))),0)</f>
        <v>0</v>
      </c>
      <c r="D13">
        <f>IF((gamma!D13),IF(VLOOKUP(D$1,main!$A$3:$I$56,7,FALSE)=VLOOKUP($A13,main!$A$3:$I$56,8,FALSE),VLOOKUP(D$1,main!$A$3:$I$56,4,FALSE),VLOOKUP(D$1,main!$A$3:$I$56,4,FALSE)+VLOOKUP($A13,main!$A$3:$I$56,4,FALSE)+(VLOOKUP(VLOOKUP(D$1,main!$A$3:$I$56,8,FALSE),main!$K$19:$O$22,MATCH(VLOOKUP($A13,main!$A$3:$I$56,7,FALSE),main!$K$18:$O$18,0),0))),0)</f>
        <v>0</v>
      </c>
      <c r="E13">
        <f>IF((gamma!E13),IF(VLOOKUP(E$1,main!$A$3:$I$56,7,FALSE)=VLOOKUP($A13,main!$A$3:$I$56,8,FALSE),VLOOKUP(E$1,main!$A$3:$I$56,4,FALSE),VLOOKUP(E$1,main!$A$3:$I$56,4,FALSE)+VLOOKUP($A13,main!$A$3:$I$56,4,FALSE)+(VLOOKUP(VLOOKUP(E$1,main!$A$3:$I$56,8,FALSE),main!$K$19:$O$22,MATCH(VLOOKUP($A13,main!$A$3:$I$56,7,FALSE),main!$K$18:$O$18,0),0))),0)</f>
        <v>0</v>
      </c>
      <c r="F13">
        <f>IF((gamma!F13),IF(VLOOKUP(F$1,main!$A$3:$I$56,7,FALSE)=VLOOKUP($A13,main!$A$3:$I$56,8,FALSE),VLOOKUP(F$1,main!$A$3:$I$56,4,FALSE),VLOOKUP(F$1,main!$A$3:$I$56,4,FALSE)+VLOOKUP($A13,main!$A$3:$I$56,4,FALSE)+(VLOOKUP(VLOOKUP(F$1,main!$A$3:$I$56,8,FALSE),main!$K$19:$O$22,MATCH(VLOOKUP($A13,main!$A$3:$I$56,7,FALSE),main!$K$18:$O$18,0),0))),0)</f>
        <v>0</v>
      </c>
      <c r="G13">
        <f>IF((gamma!G13),IF(VLOOKUP(G$1,main!$A$3:$I$56,7,FALSE)=VLOOKUP($A13,main!$A$3:$I$56,8,FALSE),VLOOKUP(G$1,main!$A$3:$I$56,4,FALSE),VLOOKUP(G$1,main!$A$3:$I$56,4,FALSE)+VLOOKUP($A13,main!$A$3:$I$56,4,FALSE)+(VLOOKUP(VLOOKUP(G$1,main!$A$3:$I$56,8,FALSE),main!$K$19:$O$22,MATCH(VLOOKUP($A13,main!$A$3:$I$56,7,FALSE),main!$K$18:$O$18,0),0))),0)</f>
        <v>300</v>
      </c>
      <c r="H13">
        <f>IF((gamma!H13),IF(VLOOKUP(H$1,main!$A$3:$I$56,7,FALSE)=VLOOKUP($A13,main!$A$3:$I$56,8,FALSE),VLOOKUP(H$1,main!$A$3:$I$56,4,FALSE),VLOOKUP(H$1,main!$A$3:$I$56,4,FALSE)+VLOOKUP($A13,main!$A$3:$I$56,4,FALSE)+(VLOOKUP(VLOOKUP(H$1,main!$A$3:$I$56,8,FALSE),main!$K$19:$O$22,MATCH(VLOOKUP($A13,main!$A$3:$I$56,7,FALSE),main!$K$18:$O$18,0),0))),0)</f>
        <v>300</v>
      </c>
      <c r="I13">
        <f>IF((gamma!I13),IF(VLOOKUP(I$1,main!$A$3:$I$56,7,FALSE)=VLOOKUP($A13,main!$A$3:$I$56,8,FALSE),VLOOKUP(I$1,main!$A$3:$I$56,4,FALSE),VLOOKUP(I$1,main!$A$3:$I$56,4,FALSE)+VLOOKUP($A13,main!$A$3:$I$56,4,FALSE)+(VLOOKUP(VLOOKUP(I$1,main!$A$3:$I$56,8,FALSE),main!$K$19:$O$22,MATCH(VLOOKUP($A13,main!$A$3:$I$56,7,FALSE),main!$K$18:$O$18,0),0))),0)</f>
        <v>300</v>
      </c>
      <c r="J13">
        <f>IF((gamma!J13),IF(VLOOKUP(J$1,main!$A$3:$I$56,7,FALSE)=VLOOKUP($A13,main!$A$3:$I$56,8,FALSE),VLOOKUP(J$1,main!$A$3:$I$56,4,FALSE),VLOOKUP(J$1,main!$A$3:$I$56,4,FALSE)+VLOOKUP($A13,main!$A$3:$I$56,4,FALSE)+(VLOOKUP(VLOOKUP(J$1,main!$A$3:$I$56,8,FALSE),main!$K$19:$O$22,MATCH(VLOOKUP($A13,main!$A$3:$I$56,7,FALSE),main!$K$18:$O$18,0),0))),0)</f>
        <v>300</v>
      </c>
      <c r="K13">
        <f>IF((gamma!K13),IF(VLOOKUP(K$1,main!$A$3:$I$56,7,FALSE)=VLOOKUP($A13,main!$A$3:$I$56,8,FALSE),VLOOKUP(K$1,main!$A$3:$I$56,4,FALSE),VLOOKUP(K$1,main!$A$3:$I$56,4,FALSE)+VLOOKUP($A13,main!$A$3:$I$56,4,FALSE)+(VLOOKUP(VLOOKUP(K$1,main!$A$3:$I$56,8,FALSE),main!$K$19:$O$22,MATCH(VLOOKUP($A13,main!$A$3:$I$56,7,FALSE),main!$K$18:$O$18,0),0))),0)</f>
        <v>0</v>
      </c>
      <c r="L13">
        <f>IF((gamma!L13),IF(VLOOKUP(L$1,main!$A$3:$I$56,7,FALSE)=VLOOKUP($A13,main!$A$3:$I$56,8,FALSE),VLOOKUP(L$1,main!$A$3:$I$56,4,FALSE),VLOOKUP(L$1,main!$A$3:$I$56,4,FALSE)+VLOOKUP($A13,main!$A$3:$I$56,4,FALSE)+(VLOOKUP(VLOOKUP(L$1,main!$A$3:$I$56,8,FALSE),main!$K$19:$O$22,MATCH(VLOOKUP($A13,main!$A$3:$I$56,7,FALSE),main!$K$18:$O$18,0),0))),0)</f>
        <v>0</v>
      </c>
      <c r="M13">
        <f>IF((gamma!M13),IF(VLOOKUP(M$1,main!$A$3:$I$56,7,FALSE)=VLOOKUP($A13,main!$A$3:$I$56,8,FALSE),VLOOKUP(M$1,main!$A$3:$I$56,4,FALSE),VLOOKUP(M$1,main!$A$3:$I$56,4,FALSE)+VLOOKUP($A13,main!$A$3:$I$56,4,FALSE)+(VLOOKUP(VLOOKUP(M$1,main!$A$3:$I$56,8,FALSE),main!$K$19:$O$22,MATCH(VLOOKUP($A13,main!$A$3:$I$56,7,FALSE),main!$K$18:$O$18,0),0))),0)</f>
        <v>0</v>
      </c>
      <c r="N13">
        <f>IF((gamma!N13),IF(VLOOKUP(N$1,main!$A$3:$I$56,7,FALSE)=VLOOKUP($A13,main!$A$3:$I$56,8,FALSE),VLOOKUP(N$1,main!$A$3:$I$56,4,FALSE),VLOOKUP(N$1,main!$A$3:$I$56,4,FALSE)+VLOOKUP($A13,main!$A$3:$I$56,4,FALSE)+(VLOOKUP(VLOOKUP(N$1,main!$A$3:$I$56,8,FALSE),main!$K$19:$O$22,MATCH(VLOOKUP($A13,main!$A$3:$I$56,7,FALSE),main!$K$18:$O$18,0),0))),0)</f>
        <v>310</v>
      </c>
      <c r="O13">
        <f>IF((gamma!O13),IF(VLOOKUP(O$1,main!$A$3:$I$56,7,FALSE)=VLOOKUP($A13,main!$A$3:$I$56,8,FALSE),VLOOKUP(O$1,main!$A$3:$I$56,4,FALSE),VLOOKUP(O$1,main!$A$3:$I$56,4,FALSE)+VLOOKUP($A13,main!$A$3:$I$56,4,FALSE)+(VLOOKUP(VLOOKUP(O$1,main!$A$3:$I$56,8,FALSE),main!$K$19:$O$22,MATCH(VLOOKUP($A13,main!$A$3:$I$56,7,FALSE),main!$K$18:$O$18,0),0))),0)</f>
        <v>310</v>
      </c>
      <c r="P13">
        <f>IF((gamma!P13),IF(VLOOKUP(P$1,main!$A$3:$I$56,7,FALSE)=VLOOKUP($A13,main!$A$3:$I$56,8,FALSE),VLOOKUP(P$1,main!$A$3:$I$56,4,FALSE),VLOOKUP(P$1,main!$A$3:$I$56,4,FALSE)+VLOOKUP($A13,main!$A$3:$I$56,4,FALSE)+(VLOOKUP(VLOOKUP(P$1,main!$A$3:$I$56,8,FALSE),main!$K$19:$O$22,MATCH(VLOOKUP($A13,main!$A$3:$I$56,7,FALSE),main!$K$18:$O$18,0),0))),0)</f>
        <v>0</v>
      </c>
      <c r="Q13">
        <f>IF((gamma!Q13),IF(VLOOKUP(Q$1,main!$A$3:$I$56,7,FALSE)=VLOOKUP($A13,main!$A$3:$I$56,8,FALSE),VLOOKUP(Q$1,main!$A$3:$I$56,4,FALSE),VLOOKUP(Q$1,main!$A$3:$I$56,4,FALSE)+VLOOKUP($A13,main!$A$3:$I$56,4,FALSE)+(VLOOKUP(VLOOKUP(Q$1,main!$A$3:$I$56,8,FALSE),main!$K$19:$O$22,MATCH(VLOOKUP($A13,main!$A$3:$I$56,7,FALSE),main!$K$18:$O$18,0),0))),0)</f>
        <v>0</v>
      </c>
      <c r="R13">
        <f>IF((gamma!R13),IF(VLOOKUP(R$1,main!$A$3:$I$56,7,FALSE)=VLOOKUP($A13,main!$A$3:$I$56,8,FALSE),VLOOKUP(R$1,main!$A$3:$I$56,4,FALSE),VLOOKUP(R$1,main!$A$3:$I$56,4,FALSE)+VLOOKUP($A13,main!$A$3:$I$56,4,FALSE)+(VLOOKUP(VLOOKUP(R$1,main!$A$3:$I$56,8,FALSE),main!$K$19:$O$22,MATCH(VLOOKUP($A13,main!$A$3:$I$56,7,FALSE),main!$K$18:$O$18,0),0))),0)</f>
        <v>0</v>
      </c>
      <c r="S13">
        <f>IF((gamma!S13),IF(VLOOKUP(S$1,main!$A$3:$I$56,7,FALSE)=VLOOKUP($A13,main!$A$3:$I$56,8,FALSE),VLOOKUP(S$1,main!$A$3:$I$56,4,FALSE),VLOOKUP(S$1,main!$A$3:$I$56,4,FALSE)+VLOOKUP($A13,main!$A$3:$I$56,4,FALSE)+(VLOOKUP(VLOOKUP(S$1,main!$A$3:$I$56,8,FALSE),main!$K$19:$O$22,MATCH(VLOOKUP($A13,main!$A$3:$I$56,7,FALSE),main!$K$18:$O$18,0),0))),0)</f>
        <v>0</v>
      </c>
      <c r="T13">
        <f>IF((gamma!T13),IF(VLOOKUP(T$1,main!$A$3:$I$56,7,FALSE)=VLOOKUP($A13,main!$A$3:$I$56,8,FALSE),VLOOKUP(T$1,main!$A$3:$I$56,4,FALSE),VLOOKUP(T$1,main!$A$3:$I$56,4,FALSE)+VLOOKUP($A13,main!$A$3:$I$56,4,FALSE)+(VLOOKUP(VLOOKUP(T$1,main!$A$3:$I$56,8,FALSE),main!$K$19:$O$22,MATCH(VLOOKUP($A13,main!$A$3:$I$56,7,FALSE),main!$K$18:$O$18,0),0))),0)</f>
        <v>315</v>
      </c>
      <c r="U13">
        <f>IF((gamma!U13),IF(VLOOKUP(U$1,main!$A$3:$I$56,7,FALSE)=VLOOKUP($A13,main!$A$3:$I$56,8,FALSE),VLOOKUP(U$1,main!$A$3:$I$56,4,FALSE),VLOOKUP(U$1,main!$A$3:$I$56,4,FALSE)+VLOOKUP($A13,main!$A$3:$I$56,4,FALSE)+(VLOOKUP(VLOOKUP(U$1,main!$A$3:$I$56,8,FALSE),main!$K$19:$O$22,MATCH(VLOOKUP($A13,main!$A$3:$I$56,7,FALSE),main!$K$18:$O$18,0),0))),0)</f>
        <v>0</v>
      </c>
      <c r="V13">
        <f>IF((gamma!V13),IF(VLOOKUP(V$1,main!$A$3:$I$56,7,FALSE)=VLOOKUP($A13,main!$A$3:$I$56,8,FALSE),VLOOKUP(V$1,main!$A$3:$I$56,4,FALSE),VLOOKUP(V$1,main!$A$3:$I$56,4,FALSE)+VLOOKUP($A13,main!$A$3:$I$56,4,FALSE)+(VLOOKUP(VLOOKUP(V$1,main!$A$3:$I$56,8,FALSE),main!$K$19:$O$22,MATCH(VLOOKUP($A13,main!$A$3:$I$56,7,FALSE),main!$K$18:$O$18,0),0))),0)</f>
        <v>0</v>
      </c>
      <c r="W13">
        <f>IF((gamma!W13),IF(VLOOKUP(W$1,main!$A$3:$I$56,7,FALSE)=VLOOKUP($A13,main!$A$3:$I$56,8,FALSE),VLOOKUP(W$1,main!$A$3:$I$56,4,FALSE),VLOOKUP(W$1,main!$A$3:$I$56,4,FALSE)+VLOOKUP($A13,main!$A$3:$I$56,4,FALSE)+(VLOOKUP(VLOOKUP(W$1,main!$A$3:$I$56,8,FALSE),main!$K$19:$O$22,MATCH(VLOOKUP($A13,main!$A$3:$I$56,7,FALSE),main!$K$18:$O$18,0),0))),0)</f>
        <v>0</v>
      </c>
      <c r="X13">
        <f>IF((gamma!X13),IF(VLOOKUP(X$1,main!$A$3:$I$56,7,FALSE)=VLOOKUP($A13,main!$A$3:$I$56,8,FALSE),VLOOKUP(X$1,main!$A$3:$I$56,4,FALSE),VLOOKUP(X$1,main!$A$3:$I$56,4,FALSE)+VLOOKUP($A13,main!$A$3:$I$56,4,FALSE)+(VLOOKUP(VLOOKUP(X$1,main!$A$3:$I$56,8,FALSE),main!$K$19:$O$22,MATCH(VLOOKUP($A13,main!$A$3:$I$56,7,FALSE),main!$K$18:$O$18,0),0))),0)</f>
        <v>0</v>
      </c>
      <c r="Y13">
        <f>IF((gamma!Y13),IF(VLOOKUP(Y$1,main!$A$3:$I$56,7,FALSE)=VLOOKUP($A13,main!$A$3:$I$56,8,FALSE),VLOOKUP(Y$1,main!$A$3:$I$56,4,FALSE),VLOOKUP(Y$1,main!$A$3:$I$56,4,FALSE)+VLOOKUP($A13,main!$A$3:$I$56,4,FALSE)+(VLOOKUP(VLOOKUP(Y$1,main!$A$3:$I$56,8,FALSE),main!$K$19:$O$22,MATCH(VLOOKUP($A13,main!$A$3:$I$56,7,FALSE),main!$K$18:$O$18,0),0))),0)</f>
        <v>0</v>
      </c>
      <c r="Z13">
        <f>IF((gamma!Z13),IF(VLOOKUP(Z$1,main!$A$3:$I$56,7,FALSE)=VLOOKUP($A13,main!$A$3:$I$56,8,FALSE),VLOOKUP(Z$1,main!$A$3:$I$56,4,FALSE),VLOOKUP(Z$1,main!$A$3:$I$56,4,FALSE)+VLOOKUP($A13,main!$A$3:$I$56,4,FALSE)+(VLOOKUP(VLOOKUP(Z$1,main!$A$3:$I$56,8,FALSE),main!$K$19:$O$22,MATCH(VLOOKUP($A13,main!$A$3:$I$56,7,FALSE),main!$K$18:$O$18,0),0))),0)</f>
        <v>275</v>
      </c>
      <c r="AA13">
        <f>IF((gamma!AA13),IF(VLOOKUP(AA$1,main!$A$3:$I$56,7,FALSE)=VLOOKUP($A13,main!$A$3:$I$56,8,FALSE),VLOOKUP(AA$1,main!$A$3:$I$56,4,FALSE),VLOOKUP(AA$1,main!$A$3:$I$56,4,FALSE)+VLOOKUP($A13,main!$A$3:$I$56,4,FALSE)+(VLOOKUP(VLOOKUP(AA$1,main!$A$3:$I$56,8,FALSE),main!$K$19:$O$22,MATCH(VLOOKUP($A13,main!$A$3:$I$56,7,FALSE),main!$K$18:$O$18,0),0))),0)</f>
        <v>275</v>
      </c>
      <c r="AB13">
        <f>IF((gamma!AB13),IF(VLOOKUP(AB$1,main!$A$3:$I$56,7,FALSE)=VLOOKUP($A13,main!$A$3:$I$56,8,FALSE),VLOOKUP(AB$1,main!$A$3:$I$56,4,FALSE),VLOOKUP(AB$1,main!$A$3:$I$56,4,FALSE)+VLOOKUP($A13,main!$A$3:$I$56,4,FALSE)+(VLOOKUP(VLOOKUP(AB$1,main!$A$3:$I$56,8,FALSE),main!$K$19:$O$22,MATCH(VLOOKUP($A13,main!$A$3:$I$56,7,FALSE),main!$K$18:$O$18,0),0))),0)</f>
        <v>275</v>
      </c>
      <c r="AC13">
        <f>IF((gamma!AC13),IF(VLOOKUP(AC$1,main!$A$3:$I$56,7,FALSE)=VLOOKUP($A13,main!$A$3:$I$56,8,FALSE),VLOOKUP(AC$1,main!$A$3:$I$56,4,FALSE),VLOOKUP(AC$1,main!$A$3:$I$56,4,FALSE)+VLOOKUP($A13,main!$A$3:$I$56,4,FALSE)+(VLOOKUP(VLOOKUP(AC$1,main!$A$3:$I$56,8,FALSE),main!$K$19:$O$22,MATCH(VLOOKUP($A13,main!$A$3:$I$56,7,FALSE),main!$K$18:$O$18,0),0))),0)</f>
        <v>0</v>
      </c>
      <c r="AD13">
        <f>IF((gamma!AD13),IF(VLOOKUP(AD$1,main!$A$3:$I$56,7,FALSE)=VLOOKUP($A13,main!$A$3:$I$56,8,FALSE),VLOOKUP(AD$1,main!$A$3:$I$56,4,FALSE),VLOOKUP(AD$1,main!$A$3:$I$56,4,FALSE)+VLOOKUP($A13,main!$A$3:$I$56,4,FALSE)+(VLOOKUP(VLOOKUP(AD$1,main!$A$3:$I$56,8,FALSE),main!$K$19:$O$22,MATCH(VLOOKUP($A13,main!$A$3:$I$56,7,FALSE),main!$K$18:$O$18,0),0))),0)</f>
        <v>0</v>
      </c>
      <c r="AE13">
        <f>IF((gamma!AE13),IF(VLOOKUP(AE$1,main!$A$3:$I$56,7,FALSE)=VLOOKUP($A13,main!$A$3:$I$56,8,FALSE),VLOOKUP(AE$1,main!$A$3:$I$56,4,FALSE),VLOOKUP(AE$1,main!$A$3:$I$56,4,FALSE)+VLOOKUP($A13,main!$A$3:$I$56,4,FALSE)+(VLOOKUP(VLOOKUP(AE$1,main!$A$3:$I$56,8,FALSE),main!$K$19:$O$22,MATCH(VLOOKUP($A13,main!$A$3:$I$56,7,FALSE),main!$K$18:$O$18,0),0))),0)</f>
        <v>0</v>
      </c>
      <c r="AF13">
        <f>IF((gamma!AF13),IF(VLOOKUP(AF$1,main!$A$3:$I$56,7,FALSE)=VLOOKUP($A13,main!$A$3:$I$56,8,FALSE),VLOOKUP(AF$1,main!$A$3:$I$56,4,FALSE),VLOOKUP(AF$1,main!$A$3:$I$56,4,FALSE)+VLOOKUP($A13,main!$A$3:$I$56,4,FALSE)+(VLOOKUP(VLOOKUP(AF$1,main!$A$3:$I$56,8,FALSE),main!$K$19:$O$22,MATCH(VLOOKUP($A13,main!$A$3:$I$56,7,FALSE),main!$K$18:$O$18,0),0))),0)</f>
        <v>0</v>
      </c>
      <c r="AG13">
        <f>IF((gamma!AG13),IF(VLOOKUP(AG$1,main!$A$3:$I$56,7,FALSE)=VLOOKUP($A13,main!$A$3:$I$56,8,FALSE),VLOOKUP(AG$1,main!$A$3:$I$56,4,FALSE),VLOOKUP(AG$1,main!$A$3:$I$56,4,FALSE)+VLOOKUP($A13,main!$A$3:$I$56,4,FALSE)+(VLOOKUP(VLOOKUP(AG$1,main!$A$3:$I$56,8,FALSE),main!$K$19:$O$22,MATCH(VLOOKUP($A13,main!$A$3:$I$56,7,FALSE),main!$K$18:$O$18,0),0))),0)</f>
        <v>0</v>
      </c>
      <c r="AH13">
        <f>IF((gamma!AH13),IF(VLOOKUP(AH$1,main!$A$3:$I$56,7,FALSE)=VLOOKUP($A13,main!$A$3:$I$56,8,FALSE),VLOOKUP(AH$1,main!$A$3:$I$56,4,FALSE),VLOOKUP(AH$1,main!$A$3:$I$56,4,FALSE)+VLOOKUP($A13,main!$A$3:$I$56,4,FALSE)+(VLOOKUP(VLOOKUP(AH$1,main!$A$3:$I$56,8,FALSE),main!$K$19:$O$22,MATCH(VLOOKUP($A13,main!$A$3:$I$56,7,FALSE),main!$K$18:$O$18,0),0))),0)</f>
        <v>0</v>
      </c>
      <c r="AI13">
        <f>IF((gamma!AI13),IF(VLOOKUP(AI$1,main!$A$3:$I$56,7,FALSE)=VLOOKUP($A13,main!$A$3:$I$56,8,FALSE),VLOOKUP(AI$1,main!$A$3:$I$56,4,FALSE),VLOOKUP(AI$1,main!$A$3:$I$56,4,FALSE)+VLOOKUP($A13,main!$A$3:$I$56,4,FALSE)+(VLOOKUP(VLOOKUP(AI$1,main!$A$3:$I$56,8,FALSE),main!$K$19:$O$22,MATCH(VLOOKUP($A13,main!$A$3:$I$56,7,FALSE),main!$K$18:$O$18,0),0))),0)</f>
        <v>0</v>
      </c>
      <c r="AJ13">
        <f>IF((gamma!AJ13),IF(VLOOKUP(AJ$1,main!$A$3:$I$56,7,FALSE)=VLOOKUP($A13,main!$A$3:$I$56,8,FALSE),VLOOKUP(AJ$1,main!$A$3:$I$56,4,FALSE),VLOOKUP(AJ$1,main!$A$3:$I$56,4,FALSE)+VLOOKUP($A13,main!$A$3:$I$56,4,FALSE)+(VLOOKUP(VLOOKUP(AJ$1,main!$A$3:$I$56,8,FALSE),main!$K$19:$O$22,MATCH(VLOOKUP($A13,main!$A$3:$I$56,7,FALSE),main!$K$18:$O$18,0),0))),0)</f>
        <v>0</v>
      </c>
      <c r="AK13">
        <f>IF((gamma!AK13),IF(VLOOKUP(AK$1,main!$A$3:$I$56,7,FALSE)=VLOOKUP($A13,main!$A$3:$I$56,8,FALSE),VLOOKUP(AK$1,main!$A$3:$I$56,4,FALSE),VLOOKUP(AK$1,main!$A$3:$I$56,4,FALSE)+VLOOKUP($A13,main!$A$3:$I$56,4,FALSE)+(VLOOKUP(VLOOKUP(AK$1,main!$A$3:$I$56,8,FALSE),main!$K$19:$O$22,MATCH(VLOOKUP($A13,main!$A$3:$I$56,7,FALSE),main!$K$18:$O$18,0),0))),0)</f>
        <v>140</v>
      </c>
      <c r="AL13">
        <f>IF((gamma!AL13),IF(VLOOKUP(AL$1,main!$A$3:$I$56,7,FALSE)=VLOOKUP($A13,main!$A$3:$I$56,8,FALSE),VLOOKUP(AL$1,main!$A$3:$I$56,4,FALSE),VLOOKUP(AL$1,main!$A$3:$I$56,4,FALSE)+VLOOKUP($A13,main!$A$3:$I$56,4,FALSE)+(VLOOKUP(VLOOKUP(AL$1,main!$A$3:$I$56,8,FALSE),main!$K$19:$O$22,MATCH(VLOOKUP($A13,main!$A$3:$I$56,7,FALSE),main!$K$18:$O$18,0),0))),0)</f>
        <v>0</v>
      </c>
      <c r="AM13">
        <f>IF((gamma!AM13),IF(VLOOKUP(AM$1,main!$A$3:$I$56,7,FALSE)=VLOOKUP($A13,main!$A$3:$I$56,8,FALSE),VLOOKUP(AM$1,main!$A$3:$I$56,4,FALSE),VLOOKUP(AM$1,main!$A$3:$I$56,4,FALSE)+VLOOKUP($A13,main!$A$3:$I$56,4,FALSE)+(VLOOKUP(VLOOKUP(AM$1,main!$A$3:$I$56,8,FALSE),main!$K$19:$O$22,MATCH(VLOOKUP($A13,main!$A$3:$I$56,7,FALSE),main!$K$18:$O$18,0),0))),0)</f>
        <v>0</v>
      </c>
      <c r="AN13">
        <f>IF((gamma!AN13),IF(VLOOKUP(AN$1,main!$A$3:$I$56,7,FALSE)=VLOOKUP($A13,main!$A$3:$I$56,8,FALSE),VLOOKUP(AN$1,main!$A$3:$I$56,4,FALSE),VLOOKUP(AN$1,main!$A$3:$I$56,4,FALSE)+VLOOKUP($A13,main!$A$3:$I$56,4,FALSE)+(VLOOKUP(VLOOKUP(AN$1,main!$A$3:$I$56,8,FALSE),main!$K$19:$O$22,MATCH(VLOOKUP($A13,main!$A$3:$I$56,7,FALSE),main!$K$18:$O$18,0),0))),0)</f>
        <v>0</v>
      </c>
      <c r="AO13">
        <f>IF((gamma!AO13),IF(VLOOKUP(AO$1,main!$A$3:$I$56,7,FALSE)=VLOOKUP($A13,main!$A$3:$I$56,8,FALSE),VLOOKUP(AO$1,main!$A$3:$I$56,4,FALSE),VLOOKUP(AO$1,main!$A$3:$I$56,4,FALSE)+VLOOKUP($A13,main!$A$3:$I$56,4,FALSE)+(VLOOKUP(VLOOKUP(AO$1,main!$A$3:$I$56,8,FALSE),main!$K$19:$O$22,MATCH(VLOOKUP($A13,main!$A$3:$I$56,7,FALSE),main!$K$18:$O$18,0),0))),0)</f>
        <v>130</v>
      </c>
      <c r="AP13">
        <f>IF((gamma!AP13),IF(VLOOKUP(AP$1,main!$A$3:$I$56,7,FALSE)=VLOOKUP($A13,main!$A$3:$I$56,8,FALSE),VLOOKUP(AP$1,main!$A$3:$I$56,4,FALSE),VLOOKUP(AP$1,main!$A$3:$I$56,4,FALSE)+VLOOKUP($A13,main!$A$3:$I$56,4,FALSE)+(VLOOKUP(VLOOKUP(AP$1,main!$A$3:$I$56,8,FALSE),main!$K$19:$O$22,MATCH(VLOOKUP($A13,main!$A$3:$I$56,7,FALSE),main!$K$18:$O$18,0),0))),0)</f>
        <v>0</v>
      </c>
      <c r="AQ13">
        <f>IF((gamma!AQ13),IF(VLOOKUP(AQ$1,main!$A$3:$I$56,7,FALSE)=VLOOKUP($A13,main!$A$3:$I$56,8,FALSE),VLOOKUP(AQ$1,main!$A$3:$I$56,4,FALSE),VLOOKUP(AQ$1,main!$A$3:$I$56,4,FALSE)+VLOOKUP($A13,main!$A$3:$I$56,4,FALSE)+(VLOOKUP(VLOOKUP(AQ$1,main!$A$3:$I$56,8,FALSE),main!$K$19:$O$22,MATCH(VLOOKUP($A13,main!$A$3:$I$56,7,FALSE),main!$K$18:$O$18,0),0))),0)</f>
        <v>0</v>
      </c>
      <c r="AR13">
        <f>IF((gamma!AR13),IF(VLOOKUP(AR$1,main!$A$3:$I$56,7,FALSE)=VLOOKUP($A13,main!$A$3:$I$56,8,FALSE),VLOOKUP(AR$1,main!$A$3:$I$56,4,FALSE),VLOOKUP(AR$1,main!$A$3:$I$56,4,FALSE)+VLOOKUP($A13,main!$A$3:$I$56,4,FALSE)+(VLOOKUP(VLOOKUP(AR$1,main!$A$3:$I$56,8,FALSE),main!$K$19:$O$22,MATCH(VLOOKUP($A13,main!$A$3:$I$56,7,FALSE),main!$K$18:$O$18,0),0))),0)</f>
        <v>0</v>
      </c>
      <c r="AS13">
        <f>IF((gamma!AS13),IF(VLOOKUP(AS$1,main!$A$3:$I$56,7,FALSE)=VLOOKUP($A13,main!$A$3:$I$56,8,FALSE),VLOOKUP(AS$1,main!$A$3:$I$56,4,FALSE),VLOOKUP(AS$1,main!$A$3:$I$56,4,FALSE)+VLOOKUP($A13,main!$A$3:$I$56,4,FALSE)+(VLOOKUP(VLOOKUP(AS$1,main!$A$3:$I$56,8,FALSE),main!$K$19:$O$22,MATCH(VLOOKUP($A13,main!$A$3:$I$56,7,FALSE),main!$K$18:$O$18,0),0))),0)</f>
        <v>0</v>
      </c>
      <c r="AT13">
        <f>IF((gamma!AT13),IF(VLOOKUP(AT$1,main!$A$3:$I$56,7,FALSE)=VLOOKUP($A13,main!$A$3:$I$56,8,FALSE),VLOOKUP(AT$1,main!$A$3:$I$56,4,FALSE),VLOOKUP(AT$1,main!$A$3:$I$56,4,FALSE)+VLOOKUP($A13,main!$A$3:$I$56,4,FALSE)+(VLOOKUP(VLOOKUP(AT$1,main!$A$3:$I$56,8,FALSE),main!$K$19:$O$22,MATCH(VLOOKUP($A13,main!$A$3:$I$56,7,FALSE),main!$K$18:$O$18,0),0))),0)</f>
        <v>0</v>
      </c>
      <c r="AU13">
        <f>IF((gamma!AU13),IF(VLOOKUP(AU$1,main!$A$3:$I$56,7,FALSE)=VLOOKUP($A13,main!$A$3:$I$56,8,FALSE),VLOOKUP(AU$1,main!$A$3:$I$56,4,FALSE),VLOOKUP(AU$1,main!$A$3:$I$56,4,FALSE)+VLOOKUP($A13,main!$A$3:$I$56,4,FALSE)+(VLOOKUP(VLOOKUP(AU$1,main!$A$3:$I$56,8,FALSE),main!$K$19:$O$22,MATCH(VLOOKUP($A13,main!$A$3:$I$56,7,FALSE),main!$K$18:$O$18,0),0))),0)</f>
        <v>0</v>
      </c>
      <c r="AV13">
        <f>IF((gamma!AV13),IF(VLOOKUP(AV$1,main!$A$3:$I$56,7,FALSE)=VLOOKUP($A13,main!$A$3:$I$56,8,FALSE),VLOOKUP(AV$1,main!$A$3:$I$56,4,FALSE),VLOOKUP(AV$1,main!$A$3:$I$56,4,FALSE)+VLOOKUP($A13,main!$A$3:$I$56,4,FALSE)+(VLOOKUP(VLOOKUP(AV$1,main!$A$3:$I$56,8,FALSE),main!$K$19:$O$22,MATCH(VLOOKUP($A13,main!$A$3:$I$56,7,FALSE),main!$K$18:$O$18,0),0))),0)</f>
        <v>0</v>
      </c>
      <c r="AW13">
        <f>IF((gamma!AW13),IF(VLOOKUP(AW$1,main!$A$3:$I$56,7,FALSE)=VLOOKUP($A13,main!$A$3:$I$56,8,FALSE),VLOOKUP(AW$1,main!$A$3:$I$56,4,FALSE),VLOOKUP(AW$1,main!$A$3:$I$56,4,FALSE)+VLOOKUP($A13,main!$A$3:$I$56,4,FALSE)+(VLOOKUP(VLOOKUP(AW$1,main!$A$3:$I$56,8,FALSE),main!$K$19:$O$22,MATCH(VLOOKUP($A13,main!$A$3:$I$56,7,FALSE),main!$K$18:$O$18,0),0))),0)</f>
        <v>0</v>
      </c>
      <c r="AX13">
        <f>IF((gamma!AX13),IF(VLOOKUP(AX$1,main!$A$3:$I$56,7,FALSE)=VLOOKUP($A13,main!$A$3:$I$56,8,FALSE),VLOOKUP(AX$1,main!$A$3:$I$56,4,FALSE),VLOOKUP(AX$1,main!$A$3:$I$56,4,FALSE)+VLOOKUP($A13,main!$A$3:$I$56,4,FALSE)+(VLOOKUP(VLOOKUP(AX$1,main!$A$3:$I$56,8,FALSE),main!$K$19:$O$22,MATCH(VLOOKUP($A13,main!$A$3:$I$56,7,FALSE),main!$K$18:$O$18,0),0))),0)</f>
        <v>280</v>
      </c>
      <c r="AY13">
        <f>IF((gamma!AY13),IF(VLOOKUP(AY$1,main!$A$3:$I$56,7,FALSE)=VLOOKUP($A13,main!$A$3:$I$56,8,FALSE),VLOOKUP(AY$1,main!$A$3:$I$56,4,FALSE),VLOOKUP(AY$1,main!$A$3:$I$56,4,FALSE)+VLOOKUP($A13,main!$A$3:$I$56,4,FALSE)+(VLOOKUP(VLOOKUP(AY$1,main!$A$3:$I$56,8,FALSE),main!$K$19:$O$22,MATCH(VLOOKUP($A13,main!$A$3:$I$56,7,FALSE),main!$K$18:$O$18,0),0))),0)</f>
        <v>280</v>
      </c>
      <c r="AZ13">
        <f>IF((gamma!AZ13),IF(VLOOKUP(AZ$1,main!$A$3:$I$56,7,FALSE)=VLOOKUP($A13,main!$A$3:$I$56,8,FALSE),VLOOKUP(AZ$1,main!$A$3:$I$56,4,FALSE),VLOOKUP(AZ$1,main!$A$3:$I$56,4,FALSE)+VLOOKUP($A13,main!$A$3:$I$56,4,FALSE)+(VLOOKUP(VLOOKUP(AZ$1,main!$A$3:$I$56,8,FALSE),main!$K$19:$O$22,MATCH(VLOOKUP($A13,main!$A$3:$I$56,7,FALSE),main!$K$18:$O$18,0),0))),0)</f>
        <v>0</v>
      </c>
      <c r="BA13">
        <f>IF((gamma!BA13),IF(VLOOKUP(BA$1,main!$A$3:$I$56,7,FALSE)=VLOOKUP($A13,main!$A$3:$I$56,8,FALSE),VLOOKUP(BA$1,main!$A$3:$I$56,4,FALSE),VLOOKUP(BA$1,main!$A$3:$I$56,4,FALSE)+VLOOKUP($A13,main!$A$3:$I$56,4,FALSE)+(VLOOKUP(VLOOKUP(BA$1,main!$A$3:$I$56,8,FALSE),main!$K$19:$O$22,MATCH(VLOOKUP($A13,main!$A$3:$I$56,7,FALSE),main!$K$18:$O$18,0),0))),0)</f>
        <v>0</v>
      </c>
      <c r="BB13">
        <f>IF((gamma!BB13),IF(VLOOKUP(BB$1,main!$A$3:$I$56,7,FALSE)=VLOOKUP($A13,main!$A$3:$I$56,8,FALSE),VLOOKUP(BB$1,main!$A$3:$I$56,4,FALSE),VLOOKUP(BB$1,main!$A$3:$I$56,4,FALSE)+VLOOKUP($A13,main!$A$3:$I$56,4,FALSE)+(VLOOKUP(VLOOKUP(BB$1,main!$A$3:$I$56,8,FALSE),main!$K$19:$O$22,MATCH(VLOOKUP($A13,main!$A$3:$I$56,7,FALSE),main!$K$18:$O$18,0),0))),0)</f>
        <v>0</v>
      </c>
      <c r="BC13">
        <f>IF((gamma!BC13),IF(VLOOKUP(BC$1,main!$A$3:$I$56,7,FALSE)=VLOOKUP($A13,main!$A$3:$I$56,8,FALSE),VLOOKUP(BC$1,main!$A$3:$I$56,4,FALSE),VLOOKUP(BC$1,main!$A$3:$I$56,4,FALSE)+VLOOKUP($A13,main!$A$3:$I$56,4,FALSE)+(VLOOKUP(VLOOKUP(BC$1,main!$A$3:$I$56,8,FALSE),main!$K$19:$O$22,MATCH(VLOOKUP($A13,main!$A$3:$I$56,7,FALSE),main!$K$18:$O$18,0),0))),0)</f>
        <v>0</v>
      </c>
      <c r="BD13">
        <f>IF((gamma!BD13),IF(VLOOKUP(BD$1,main!$A$3:$I$56,7,FALSE)=VLOOKUP($A13,main!$A$3:$I$56,8,FALSE),VLOOKUP(BD$1,main!$A$3:$I$56,4,FALSE),VLOOKUP(BD$1,main!$A$3:$I$56,4,FALSE)+VLOOKUP($A13,main!$A$3:$I$56,4,FALSE)+(VLOOKUP(VLOOKUP(BD$1,main!$A$3:$I$56,8,FALSE),main!$K$19:$O$22,MATCH(VLOOKUP($A13,main!$A$3:$I$56,7,FALSE),main!$K$18:$O$18,0),0))),0)</f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>
        <f t="shared" si="0"/>
        <v>12</v>
      </c>
      <c r="B14">
        <v>0</v>
      </c>
      <c r="C14">
        <f>IF((gamma!C14),IF(VLOOKUP(C$1,main!$A$3:$I$56,7,FALSE)=VLOOKUP($A14,main!$A$3:$I$56,8,FALSE),VLOOKUP(C$1,main!$A$3:$I$56,4,FALSE),VLOOKUP(C$1,main!$A$3:$I$56,4,FALSE)+VLOOKUP($A14,main!$A$3:$I$56,4,FALSE)+(VLOOKUP(VLOOKUP(C$1,main!$A$3:$I$56,8,FALSE),main!$K$19:$O$22,MATCH(VLOOKUP($A14,main!$A$3:$I$56,7,FALSE),main!$K$18:$O$18,0),0))),0)</f>
        <v>0</v>
      </c>
      <c r="D14">
        <f>IF((gamma!D14),IF(VLOOKUP(D$1,main!$A$3:$I$56,7,FALSE)=VLOOKUP($A14,main!$A$3:$I$56,8,FALSE),VLOOKUP(D$1,main!$A$3:$I$56,4,FALSE),VLOOKUP(D$1,main!$A$3:$I$56,4,FALSE)+VLOOKUP($A14,main!$A$3:$I$56,4,FALSE)+(VLOOKUP(VLOOKUP(D$1,main!$A$3:$I$56,8,FALSE),main!$K$19:$O$22,MATCH(VLOOKUP($A14,main!$A$3:$I$56,7,FALSE),main!$K$18:$O$18,0),0))),0)</f>
        <v>0</v>
      </c>
      <c r="E14">
        <f>IF((gamma!E14),IF(VLOOKUP(E$1,main!$A$3:$I$56,7,FALSE)=VLOOKUP($A14,main!$A$3:$I$56,8,FALSE),VLOOKUP(E$1,main!$A$3:$I$56,4,FALSE),VLOOKUP(E$1,main!$A$3:$I$56,4,FALSE)+VLOOKUP($A14,main!$A$3:$I$56,4,FALSE)+(VLOOKUP(VLOOKUP(E$1,main!$A$3:$I$56,8,FALSE),main!$K$19:$O$22,MATCH(VLOOKUP($A14,main!$A$3:$I$56,7,FALSE),main!$K$18:$O$18,0),0))),0)</f>
        <v>0</v>
      </c>
      <c r="F14">
        <f>IF((gamma!F14),IF(VLOOKUP(F$1,main!$A$3:$I$56,7,FALSE)=VLOOKUP($A14,main!$A$3:$I$56,8,FALSE),VLOOKUP(F$1,main!$A$3:$I$56,4,FALSE),VLOOKUP(F$1,main!$A$3:$I$56,4,FALSE)+VLOOKUP($A14,main!$A$3:$I$56,4,FALSE)+(VLOOKUP(VLOOKUP(F$1,main!$A$3:$I$56,8,FALSE),main!$K$19:$O$22,MATCH(VLOOKUP($A14,main!$A$3:$I$56,7,FALSE),main!$K$18:$O$18,0),0))),0)</f>
        <v>0</v>
      </c>
      <c r="G14">
        <f>IF((gamma!G14),IF(VLOOKUP(G$1,main!$A$3:$I$56,7,FALSE)=VLOOKUP($A14,main!$A$3:$I$56,8,FALSE),VLOOKUP(G$1,main!$A$3:$I$56,4,FALSE),VLOOKUP(G$1,main!$A$3:$I$56,4,FALSE)+VLOOKUP($A14,main!$A$3:$I$56,4,FALSE)+(VLOOKUP(VLOOKUP(G$1,main!$A$3:$I$56,8,FALSE),main!$K$19:$O$22,MATCH(VLOOKUP($A14,main!$A$3:$I$56,7,FALSE),main!$K$18:$O$18,0),0))),0)</f>
        <v>0</v>
      </c>
      <c r="H14">
        <f>IF((gamma!H14),IF(VLOOKUP(H$1,main!$A$3:$I$56,7,FALSE)=VLOOKUP($A14,main!$A$3:$I$56,8,FALSE),VLOOKUP(H$1,main!$A$3:$I$56,4,FALSE),VLOOKUP(H$1,main!$A$3:$I$56,4,FALSE)+VLOOKUP($A14,main!$A$3:$I$56,4,FALSE)+(VLOOKUP(VLOOKUP(H$1,main!$A$3:$I$56,8,FALSE),main!$K$19:$O$22,MATCH(VLOOKUP($A14,main!$A$3:$I$56,7,FALSE),main!$K$18:$O$18,0),0))),0)</f>
        <v>0</v>
      </c>
      <c r="I14">
        <f>IF((gamma!I14),IF(VLOOKUP(I$1,main!$A$3:$I$56,7,FALSE)=VLOOKUP($A14,main!$A$3:$I$56,8,FALSE),VLOOKUP(I$1,main!$A$3:$I$56,4,FALSE),VLOOKUP(I$1,main!$A$3:$I$56,4,FALSE)+VLOOKUP($A14,main!$A$3:$I$56,4,FALSE)+(VLOOKUP(VLOOKUP(I$1,main!$A$3:$I$56,8,FALSE),main!$K$19:$O$22,MATCH(VLOOKUP($A14,main!$A$3:$I$56,7,FALSE),main!$K$18:$O$18,0),0))),0)</f>
        <v>0</v>
      </c>
      <c r="J14">
        <f>IF((gamma!J14),IF(VLOOKUP(J$1,main!$A$3:$I$56,7,FALSE)=VLOOKUP($A14,main!$A$3:$I$56,8,FALSE),VLOOKUP(J$1,main!$A$3:$I$56,4,FALSE),VLOOKUP(J$1,main!$A$3:$I$56,4,FALSE)+VLOOKUP($A14,main!$A$3:$I$56,4,FALSE)+(VLOOKUP(VLOOKUP(J$1,main!$A$3:$I$56,8,FALSE),main!$K$19:$O$22,MATCH(VLOOKUP($A14,main!$A$3:$I$56,7,FALSE),main!$K$18:$O$18,0),0))),0)</f>
        <v>0</v>
      </c>
      <c r="K14">
        <f>IF((gamma!K14),IF(VLOOKUP(K$1,main!$A$3:$I$56,7,FALSE)=VLOOKUP($A14,main!$A$3:$I$56,8,FALSE),VLOOKUP(K$1,main!$A$3:$I$56,4,FALSE),VLOOKUP(K$1,main!$A$3:$I$56,4,FALSE)+VLOOKUP($A14,main!$A$3:$I$56,4,FALSE)+(VLOOKUP(VLOOKUP(K$1,main!$A$3:$I$56,8,FALSE),main!$K$19:$O$22,MATCH(VLOOKUP($A14,main!$A$3:$I$56,7,FALSE),main!$K$18:$O$18,0),0))),0)</f>
        <v>0</v>
      </c>
      <c r="L14">
        <f>IF((gamma!L14),IF(VLOOKUP(L$1,main!$A$3:$I$56,7,FALSE)=VLOOKUP($A14,main!$A$3:$I$56,8,FALSE),VLOOKUP(L$1,main!$A$3:$I$56,4,FALSE),VLOOKUP(L$1,main!$A$3:$I$56,4,FALSE)+VLOOKUP($A14,main!$A$3:$I$56,4,FALSE)+(VLOOKUP(VLOOKUP(L$1,main!$A$3:$I$56,8,FALSE),main!$K$19:$O$22,MATCH(VLOOKUP($A14,main!$A$3:$I$56,7,FALSE),main!$K$18:$O$18,0),0))),0)</f>
        <v>0</v>
      </c>
      <c r="M14">
        <f>IF((gamma!M14),IF(VLOOKUP(M$1,main!$A$3:$I$56,7,FALSE)=VLOOKUP($A14,main!$A$3:$I$56,8,FALSE),VLOOKUP(M$1,main!$A$3:$I$56,4,FALSE),VLOOKUP(M$1,main!$A$3:$I$56,4,FALSE)+VLOOKUP($A14,main!$A$3:$I$56,4,FALSE)+(VLOOKUP(VLOOKUP(M$1,main!$A$3:$I$56,8,FALSE),main!$K$19:$O$22,MATCH(VLOOKUP($A14,main!$A$3:$I$56,7,FALSE),main!$K$18:$O$18,0),0))),0)</f>
        <v>0</v>
      </c>
      <c r="N14">
        <f>IF((gamma!N14),IF(VLOOKUP(N$1,main!$A$3:$I$56,7,FALSE)=VLOOKUP($A14,main!$A$3:$I$56,8,FALSE),VLOOKUP(N$1,main!$A$3:$I$56,4,FALSE),VLOOKUP(N$1,main!$A$3:$I$56,4,FALSE)+VLOOKUP($A14,main!$A$3:$I$56,4,FALSE)+(VLOOKUP(VLOOKUP(N$1,main!$A$3:$I$56,8,FALSE),main!$K$19:$O$22,MATCH(VLOOKUP($A14,main!$A$3:$I$56,7,FALSE),main!$K$18:$O$18,0),0))),0)</f>
        <v>0</v>
      </c>
      <c r="O14">
        <f>IF((gamma!O14),IF(VLOOKUP(O$1,main!$A$3:$I$56,7,FALSE)=VLOOKUP($A14,main!$A$3:$I$56,8,FALSE),VLOOKUP(O$1,main!$A$3:$I$56,4,FALSE),VLOOKUP(O$1,main!$A$3:$I$56,4,FALSE)+VLOOKUP($A14,main!$A$3:$I$56,4,FALSE)+(VLOOKUP(VLOOKUP(O$1,main!$A$3:$I$56,8,FALSE),main!$K$19:$O$22,MATCH(VLOOKUP($A14,main!$A$3:$I$56,7,FALSE),main!$K$18:$O$18,0),0))),0)</f>
        <v>0</v>
      </c>
      <c r="P14">
        <f>IF((gamma!P14),IF(VLOOKUP(P$1,main!$A$3:$I$56,7,FALSE)=VLOOKUP($A14,main!$A$3:$I$56,8,FALSE),VLOOKUP(P$1,main!$A$3:$I$56,4,FALSE),VLOOKUP(P$1,main!$A$3:$I$56,4,FALSE)+VLOOKUP($A14,main!$A$3:$I$56,4,FALSE)+(VLOOKUP(VLOOKUP(P$1,main!$A$3:$I$56,8,FALSE),main!$K$19:$O$22,MATCH(VLOOKUP($A14,main!$A$3:$I$56,7,FALSE),main!$K$18:$O$18,0),0))),0)</f>
        <v>0</v>
      </c>
      <c r="Q14">
        <f>IF((gamma!Q14),IF(VLOOKUP(Q$1,main!$A$3:$I$56,7,FALSE)=VLOOKUP($A14,main!$A$3:$I$56,8,FALSE),VLOOKUP(Q$1,main!$A$3:$I$56,4,FALSE),VLOOKUP(Q$1,main!$A$3:$I$56,4,FALSE)+VLOOKUP($A14,main!$A$3:$I$56,4,FALSE)+(VLOOKUP(VLOOKUP(Q$1,main!$A$3:$I$56,8,FALSE),main!$K$19:$O$22,MATCH(VLOOKUP($A14,main!$A$3:$I$56,7,FALSE),main!$K$18:$O$18,0),0))),0)</f>
        <v>0</v>
      </c>
      <c r="R14">
        <f>IF((gamma!R14),IF(VLOOKUP(R$1,main!$A$3:$I$56,7,FALSE)=VLOOKUP($A14,main!$A$3:$I$56,8,FALSE),VLOOKUP(R$1,main!$A$3:$I$56,4,FALSE),VLOOKUP(R$1,main!$A$3:$I$56,4,FALSE)+VLOOKUP($A14,main!$A$3:$I$56,4,FALSE)+(VLOOKUP(VLOOKUP(R$1,main!$A$3:$I$56,8,FALSE),main!$K$19:$O$22,MATCH(VLOOKUP($A14,main!$A$3:$I$56,7,FALSE),main!$K$18:$O$18,0),0))),0)</f>
        <v>0</v>
      </c>
      <c r="S14">
        <f>IF((gamma!S14),IF(VLOOKUP(S$1,main!$A$3:$I$56,7,FALSE)=VLOOKUP($A14,main!$A$3:$I$56,8,FALSE),VLOOKUP(S$1,main!$A$3:$I$56,4,FALSE),VLOOKUP(S$1,main!$A$3:$I$56,4,FALSE)+VLOOKUP($A14,main!$A$3:$I$56,4,FALSE)+(VLOOKUP(VLOOKUP(S$1,main!$A$3:$I$56,8,FALSE),main!$K$19:$O$22,MATCH(VLOOKUP($A14,main!$A$3:$I$56,7,FALSE),main!$K$18:$O$18,0),0))),0)</f>
        <v>0</v>
      </c>
      <c r="T14">
        <f>IF((gamma!T14),IF(VLOOKUP(T$1,main!$A$3:$I$56,7,FALSE)=VLOOKUP($A14,main!$A$3:$I$56,8,FALSE),VLOOKUP(T$1,main!$A$3:$I$56,4,FALSE),VLOOKUP(T$1,main!$A$3:$I$56,4,FALSE)+VLOOKUP($A14,main!$A$3:$I$56,4,FALSE)+(VLOOKUP(VLOOKUP(T$1,main!$A$3:$I$56,8,FALSE),main!$K$19:$O$22,MATCH(VLOOKUP($A14,main!$A$3:$I$56,7,FALSE),main!$K$18:$O$18,0),0))),0)</f>
        <v>0</v>
      </c>
      <c r="U14">
        <f>IF((gamma!U14),IF(VLOOKUP(U$1,main!$A$3:$I$56,7,FALSE)=VLOOKUP($A14,main!$A$3:$I$56,8,FALSE),VLOOKUP(U$1,main!$A$3:$I$56,4,FALSE),VLOOKUP(U$1,main!$A$3:$I$56,4,FALSE)+VLOOKUP($A14,main!$A$3:$I$56,4,FALSE)+(VLOOKUP(VLOOKUP(U$1,main!$A$3:$I$56,8,FALSE),main!$K$19:$O$22,MATCH(VLOOKUP($A14,main!$A$3:$I$56,7,FALSE),main!$K$18:$O$18,0),0))),0)</f>
        <v>0</v>
      </c>
      <c r="V14">
        <f>IF((gamma!V14),IF(VLOOKUP(V$1,main!$A$3:$I$56,7,FALSE)=VLOOKUP($A14,main!$A$3:$I$56,8,FALSE),VLOOKUP(V$1,main!$A$3:$I$56,4,FALSE),VLOOKUP(V$1,main!$A$3:$I$56,4,FALSE)+VLOOKUP($A14,main!$A$3:$I$56,4,FALSE)+(VLOOKUP(VLOOKUP(V$1,main!$A$3:$I$56,8,FALSE),main!$K$19:$O$22,MATCH(VLOOKUP($A14,main!$A$3:$I$56,7,FALSE),main!$K$18:$O$18,0),0))),0)</f>
        <v>0</v>
      </c>
      <c r="W14">
        <f>IF((gamma!W14),IF(VLOOKUP(W$1,main!$A$3:$I$56,7,FALSE)=VLOOKUP($A14,main!$A$3:$I$56,8,FALSE),VLOOKUP(W$1,main!$A$3:$I$56,4,FALSE),VLOOKUP(W$1,main!$A$3:$I$56,4,FALSE)+VLOOKUP($A14,main!$A$3:$I$56,4,FALSE)+(VLOOKUP(VLOOKUP(W$1,main!$A$3:$I$56,8,FALSE),main!$K$19:$O$22,MATCH(VLOOKUP($A14,main!$A$3:$I$56,7,FALSE),main!$K$18:$O$18,0),0))),0)</f>
        <v>0</v>
      </c>
      <c r="X14">
        <f>IF((gamma!X14),IF(VLOOKUP(X$1,main!$A$3:$I$56,7,FALSE)=VLOOKUP($A14,main!$A$3:$I$56,8,FALSE),VLOOKUP(X$1,main!$A$3:$I$56,4,FALSE),VLOOKUP(X$1,main!$A$3:$I$56,4,FALSE)+VLOOKUP($A14,main!$A$3:$I$56,4,FALSE)+(VLOOKUP(VLOOKUP(X$1,main!$A$3:$I$56,8,FALSE),main!$K$19:$O$22,MATCH(VLOOKUP($A14,main!$A$3:$I$56,7,FALSE),main!$K$18:$O$18,0),0))),0)</f>
        <v>0</v>
      </c>
      <c r="Y14">
        <f>IF((gamma!Y14),IF(VLOOKUP(Y$1,main!$A$3:$I$56,7,FALSE)=VLOOKUP($A14,main!$A$3:$I$56,8,FALSE),VLOOKUP(Y$1,main!$A$3:$I$56,4,FALSE),VLOOKUP(Y$1,main!$A$3:$I$56,4,FALSE)+VLOOKUP($A14,main!$A$3:$I$56,4,FALSE)+(VLOOKUP(VLOOKUP(Y$1,main!$A$3:$I$56,8,FALSE),main!$K$19:$O$22,MATCH(VLOOKUP($A14,main!$A$3:$I$56,7,FALSE),main!$K$18:$O$18,0),0))),0)</f>
        <v>0</v>
      </c>
      <c r="Z14">
        <f>IF((gamma!Z14),IF(VLOOKUP(Z$1,main!$A$3:$I$56,7,FALSE)=VLOOKUP($A14,main!$A$3:$I$56,8,FALSE),VLOOKUP(Z$1,main!$A$3:$I$56,4,FALSE),VLOOKUP(Z$1,main!$A$3:$I$56,4,FALSE)+VLOOKUP($A14,main!$A$3:$I$56,4,FALSE)+(VLOOKUP(VLOOKUP(Z$1,main!$A$3:$I$56,8,FALSE),main!$K$19:$O$22,MATCH(VLOOKUP($A14,main!$A$3:$I$56,7,FALSE),main!$K$18:$O$18,0),0))),0)</f>
        <v>0</v>
      </c>
      <c r="AA14">
        <f>IF((gamma!AA14),IF(VLOOKUP(AA$1,main!$A$3:$I$56,7,FALSE)=VLOOKUP($A14,main!$A$3:$I$56,8,FALSE),VLOOKUP(AA$1,main!$A$3:$I$56,4,FALSE),VLOOKUP(AA$1,main!$A$3:$I$56,4,FALSE)+VLOOKUP($A14,main!$A$3:$I$56,4,FALSE)+(VLOOKUP(VLOOKUP(AA$1,main!$A$3:$I$56,8,FALSE),main!$K$19:$O$22,MATCH(VLOOKUP($A14,main!$A$3:$I$56,7,FALSE),main!$K$18:$O$18,0),0))),0)</f>
        <v>0</v>
      </c>
      <c r="AB14">
        <f>IF((gamma!AB14),IF(VLOOKUP(AB$1,main!$A$3:$I$56,7,FALSE)=VLOOKUP($A14,main!$A$3:$I$56,8,FALSE),VLOOKUP(AB$1,main!$A$3:$I$56,4,FALSE),VLOOKUP(AB$1,main!$A$3:$I$56,4,FALSE)+VLOOKUP($A14,main!$A$3:$I$56,4,FALSE)+(VLOOKUP(VLOOKUP(AB$1,main!$A$3:$I$56,8,FALSE),main!$K$19:$O$22,MATCH(VLOOKUP($A14,main!$A$3:$I$56,7,FALSE),main!$K$18:$O$18,0),0))),0)</f>
        <v>0</v>
      </c>
      <c r="AC14">
        <f>IF((gamma!AC14),IF(VLOOKUP(AC$1,main!$A$3:$I$56,7,FALSE)=VLOOKUP($A14,main!$A$3:$I$56,8,FALSE),VLOOKUP(AC$1,main!$A$3:$I$56,4,FALSE),VLOOKUP(AC$1,main!$A$3:$I$56,4,FALSE)+VLOOKUP($A14,main!$A$3:$I$56,4,FALSE)+(VLOOKUP(VLOOKUP(AC$1,main!$A$3:$I$56,8,FALSE),main!$K$19:$O$22,MATCH(VLOOKUP($A14,main!$A$3:$I$56,7,FALSE),main!$K$18:$O$18,0),0))),0)</f>
        <v>0</v>
      </c>
      <c r="AD14">
        <f>IF((gamma!AD14),IF(VLOOKUP(AD$1,main!$A$3:$I$56,7,FALSE)=VLOOKUP($A14,main!$A$3:$I$56,8,FALSE),VLOOKUP(AD$1,main!$A$3:$I$56,4,FALSE),VLOOKUP(AD$1,main!$A$3:$I$56,4,FALSE)+VLOOKUP($A14,main!$A$3:$I$56,4,FALSE)+(VLOOKUP(VLOOKUP(AD$1,main!$A$3:$I$56,8,FALSE),main!$K$19:$O$22,MATCH(VLOOKUP($A14,main!$A$3:$I$56,7,FALSE),main!$K$18:$O$18,0),0))),0)</f>
        <v>0</v>
      </c>
      <c r="AE14">
        <f>IF((gamma!AE14),IF(VLOOKUP(AE$1,main!$A$3:$I$56,7,FALSE)=VLOOKUP($A14,main!$A$3:$I$56,8,FALSE),VLOOKUP(AE$1,main!$A$3:$I$56,4,FALSE),VLOOKUP(AE$1,main!$A$3:$I$56,4,FALSE)+VLOOKUP($A14,main!$A$3:$I$56,4,FALSE)+(VLOOKUP(VLOOKUP(AE$1,main!$A$3:$I$56,8,FALSE),main!$K$19:$O$22,MATCH(VLOOKUP($A14,main!$A$3:$I$56,7,FALSE),main!$K$18:$O$18,0),0))),0)</f>
        <v>0</v>
      </c>
      <c r="AF14">
        <f>IF((gamma!AF14),IF(VLOOKUP(AF$1,main!$A$3:$I$56,7,FALSE)=VLOOKUP($A14,main!$A$3:$I$56,8,FALSE),VLOOKUP(AF$1,main!$A$3:$I$56,4,FALSE),VLOOKUP(AF$1,main!$A$3:$I$56,4,FALSE)+VLOOKUP($A14,main!$A$3:$I$56,4,FALSE)+(VLOOKUP(VLOOKUP(AF$1,main!$A$3:$I$56,8,FALSE),main!$K$19:$O$22,MATCH(VLOOKUP($A14,main!$A$3:$I$56,7,FALSE),main!$K$18:$O$18,0),0))),0)</f>
        <v>0</v>
      </c>
      <c r="AG14">
        <f>IF((gamma!AG14),IF(VLOOKUP(AG$1,main!$A$3:$I$56,7,FALSE)=VLOOKUP($A14,main!$A$3:$I$56,8,FALSE),VLOOKUP(AG$1,main!$A$3:$I$56,4,FALSE),VLOOKUP(AG$1,main!$A$3:$I$56,4,FALSE)+VLOOKUP($A14,main!$A$3:$I$56,4,FALSE)+(VLOOKUP(VLOOKUP(AG$1,main!$A$3:$I$56,8,FALSE),main!$K$19:$O$22,MATCH(VLOOKUP($A14,main!$A$3:$I$56,7,FALSE),main!$K$18:$O$18,0),0))),0)</f>
        <v>0</v>
      </c>
      <c r="AH14">
        <f>IF((gamma!AH14),IF(VLOOKUP(AH$1,main!$A$3:$I$56,7,FALSE)=VLOOKUP($A14,main!$A$3:$I$56,8,FALSE),VLOOKUP(AH$1,main!$A$3:$I$56,4,FALSE),VLOOKUP(AH$1,main!$A$3:$I$56,4,FALSE)+VLOOKUP($A14,main!$A$3:$I$56,4,FALSE)+(VLOOKUP(VLOOKUP(AH$1,main!$A$3:$I$56,8,FALSE),main!$K$19:$O$22,MATCH(VLOOKUP($A14,main!$A$3:$I$56,7,FALSE),main!$K$18:$O$18,0),0))),0)</f>
        <v>0</v>
      </c>
      <c r="AI14">
        <f>IF((gamma!AI14),IF(VLOOKUP(AI$1,main!$A$3:$I$56,7,FALSE)=VLOOKUP($A14,main!$A$3:$I$56,8,FALSE),VLOOKUP(AI$1,main!$A$3:$I$56,4,FALSE),VLOOKUP(AI$1,main!$A$3:$I$56,4,FALSE)+VLOOKUP($A14,main!$A$3:$I$56,4,FALSE)+(VLOOKUP(VLOOKUP(AI$1,main!$A$3:$I$56,8,FALSE),main!$K$19:$O$22,MATCH(VLOOKUP($A14,main!$A$3:$I$56,7,FALSE),main!$K$18:$O$18,0),0))),0)</f>
        <v>0</v>
      </c>
      <c r="AJ14">
        <f>IF((gamma!AJ14),IF(VLOOKUP(AJ$1,main!$A$3:$I$56,7,FALSE)=VLOOKUP($A14,main!$A$3:$I$56,8,FALSE),VLOOKUP(AJ$1,main!$A$3:$I$56,4,FALSE),VLOOKUP(AJ$1,main!$A$3:$I$56,4,FALSE)+VLOOKUP($A14,main!$A$3:$I$56,4,FALSE)+(VLOOKUP(VLOOKUP(AJ$1,main!$A$3:$I$56,8,FALSE),main!$K$19:$O$22,MATCH(VLOOKUP($A14,main!$A$3:$I$56,7,FALSE),main!$K$18:$O$18,0),0))),0)</f>
        <v>0</v>
      </c>
      <c r="AK14">
        <f>IF((gamma!AK14),IF(VLOOKUP(AK$1,main!$A$3:$I$56,7,FALSE)=VLOOKUP($A14,main!$A$3:$I$56,8,FALSE),VLOOKUP(AK$1,main!$A$3:$I$56,4,FALSE),VLOOKUP(AK$1,main!$A$3:$I$56,4,FALSE)+VLOOKUP($A14,main!$A$3:$I$56,4,FALSE)+(VLOOKUP(VLOOKUP(AK$1,main!$A$3:$I$56,8,FALSE),main!$K$19:$O$22,MATCH(VLOOKUP($A14,main!$A$3:$I$56,7,FALSE),main!$K$18:$O$18,0),0))),0)</f>
        <v>0</v>
      </c>
      <c r="AL14">
        <f>IF((gamma!AL14),IF(VLOOKUP(AL$1,main!$A$3:$I$56,7,FALSE)=VLOOKUP($A14,main!$A$3:$I$56,8,FALSE),VLOOKUP(AL$1,main!$A$3:$I$56,4,FALSE),VLOOKUP(AL$1,main!$A$3:$I$56,4,FALSE)+VLOOKUP($A14,main!$A$3:$I$56,4,FALSE)+(VLOOKUP(VLOOKUP(AL$1,main!$A$3:$I$56,8,FALSE),main!$K$19:$O$22,MATCH(VLOOKUP($A14,main!$A$3:$I$56,7,FALSE),main!$K$18:$O$18,0),0))),0)</f>
        <v>0</v>
      </c>
      <c r="AM14">
        <f>IF((gamma!AM14),IF(VLOOKUP(AM$1,main!$A$3:$I$56,7,FALSE)=VLOOKUP($A14,main!$A$3:$I$56,8,FALSE),VLOOKUP(AM$1,main!$A$3:$I$56,4,FALSE),VLOOKUP(AM$1,main!$A$3:$I$56,4,FALSE)+VLOOKUP($A14,main!$A$3:$I$56,4,FALSE)+(VLOOKUP(VLOOKUP(AM$1,main!$A$3:$I$56,8,FALSE),main!$K$19:$O$22,MATCH(VLOOKUP($A14,main!$A$3:$I$56,7,FALSE),main!$K$18:$O$18,0),0))),0)</f>
        <v>0</v>
      </c>
      <c r="AN14">
        <f>IF((gamma!AN14),IF(VLOOKUP(AN$1,main!$A$3:$I$56,7,FALSE)=VLOOKUP($A14,main!$A$3:$I$56,8,FALSE),VLOOKUP(AN$1,main!$A$3:$I$56,4,FALSE),VLOOKUP(AN$1,main!$A$3:$I$56,4,FALSE)+VLOOKUP($A14,main!$A$3:$I$56,4,FALSE)+(VLOOKUP(VLOOKUP(AN$1,main!$A$3:$I$56,8,FALSE),main!$K$19:$O$22,MATCH(VLOOKUP($A14,main!$A$3:$I$56,7,FALSE),main!$K$18:$O$18,0),0))),0)</f>
        <v>0</v>
      </c>
      <c r="AO14">
        <f>IF((gamma!AO14),IF(VLOOKUP(AO$1,main!$A$3:$I$56,7,FALSE)=VLOOKUP($A14,main!$A$3:$I$56,8,FALSE),VLOOKUP(AO$1,main!$A$3:$I$56,4,FALSE),VLOOKUP(AO$1,main!$A$3:$I$56,4,FALSE)+VLOOKUP($A14,main!$A$3:$I$56,4,FALSE)+(VLOOKUP(VLOOKUP(AO$1,main!$A$3:$I$56,8,FALSE),main!$K$19:$O$22,MATCH(VLOOKUP($A14,main!$A$3:$I$56,7,FALSE),main!$K$18:$O$18,0),0))),0)</f>
        <v>0</v>
      </c>
      <c r="AP14">
        <f>IF((gamma!AP14),IF(VLOOKUP(AP$1,main!$A$3:$I$56,7,FALSE)=VLOOKUP($A14,main!$A$3:$I$56,8,FALSE),VLOOKUP(AP$1,main!$A$3:$I$56,4,FALSE),VLOOKUP(AP$1,main!$A$3:$I$56,4,FALSE)+VLOOKUP($A14,main!$A$3:$I$56,4,FALSE)+(VLOOKUP(VLOOKUP(AP$1,main!$A$3:$I$56,8,FALSE),main!$K$19:$O$22,MATCH(VLOOKUP($A14,main!$A$3:$I$56,7,FALSE),main!$K$18:$O$18,0),0))),0)</f>
        <v>0</v>
      </c>
      <c r="AQ14">
        <f>IF((gamma!AQ14),IF(VLOOKUP(AQ$1,main!$A$3:$I$56,7,FALSE)=VLOOKUP($A14,main!$A$3:$I$56,8,FALSE),VLOOKUP(AQ$1,main!$A$3:$I$56,4,FALSE),VLOOKUP(AQ$1,main!$A$3:$I$56,4,FALSE)+VLOOKUP($A14,main!$A$3:$I$56,4,FALSE)+(VLOOKUP(VLOOKUP(AQ$1,main!$A$3:$I$56,8,FALSE),main!$K$19:$O$22,MATCH(VLOOKUP($A14,main!$A$3:$I$56,7,FALSE),main!$K$18:$O$18,0),0))),0)</f>
        <v>0</v>
      </c>
      <c r="AR14">
        <f>IF((gamma!AR14),IF(VLOOKUP(AR$1,main!$A$3:$I$56,7,FALSE)=VLOOKUP($A14,main!$A$3:$I$56,8,FALSE),VLOOKUP(AR$1,main!$A$3:$I$56,4,FALSE),VLOOKUP(AR$1,main!$A$3:$I$56,4,FALSE)+VLOOKUP($A14,main!$A$3:$I$56,4,FALSE)+(VLOOKUP(VLOOKUP(AR$1,main!$A$3:$I$56,8,FALSE),main!$K$19:$O$22,MATCH(VLOOKUP($A14,main!$A$3:$I$56,7,FALSE),main!$K$18:$O$18,0),0))),0)</f>
        <v>0</v>
      </c>
      <c r="AS14">
        <f>IF((gamma!AS14),IF(VLOOKUP(AS$1,main!$A$3:$I$56,7,FALSE)=VLOOKUP($A14,main!$A$3:$I$56,8,FALSE),VLOOKUP(AS$1,main!$A$3:$I$56,4,FALSE),VLOOKUP(AS$1,main!$A$3:$I$56,4,FALSE)+VLOOKUP($A14,main!$A$3:$I$56,4,FALSE)+(VLOOKUP(VLOOKUP(AS$1,main!$A$3:$I$56,8,FALSE),main!$K$19:$O$22,MATCH(VLOOKUP($A14,main!$A$3:$I$56,7,FALSE),main!$K$18:$O$18,0),0))),0)</f>
        <v>0</v>
      </c>
      <c r="AT14">
        <f>IF((gamma!AT14),IF(VLOOKUP(AT$1,main!$A$3:$I$56,7,FALSE)=VLOOKUP($A14,main!$A$3:$I$56,8,FALSE),VLOOKUP(AT$1,main!$A$3:$I$56,4,FALSE),VLOOKUP(AT$1,main!$A$3:$I$56,4,FALSE)+VLOOKUP($A14,main!$A$3:$I$56,4,FALSE)+(VLOOKUP(VLOOKUP(AT$1,main!$A$3:$I$56,8,FALSE),main!$K$19:$O$22,MATCH(VLOOKUP($A14,main!$A$3:$I$56,7,FALSE),main!$K$18:$O$18,0),0))),0)</f>
        <v>0</v>
      </c>
      <c r="AU14">
        <f>IF((gamma!AU14),IF(VLOOKUP(AU$1,main!$A$3:$I$56,7,FALSE)=VLOOKUP($A14,main!$A$3:$I$56,8,FALSE),VLOOKUP(AU$1,main!$A$3:$I$56,4,FALSE),VLOOKUP(AU$1,main!$A$3:$I$56,4,FALSE)+VLOOKUP($A14,main!$A$3:$I$56,4,FALSE)+(VLOOKUP(VLOOKUP(AU$1,main!$A$3:$I$56,8,FALSE),main!$K$19:$O$22,MATCH(VLOOKUP($A14,main!$A$3:$I$56,7,FALSE),main!$K$18:$O$18,0),0))),0)</f>
        <v>0</v>
      </c>
      <c r="AV14">
        <f>IF((gamma!AV14),IF(VLOOKUP(AV$1,main!$A$3:$I$56,7,FALSE)=VLOOKUP($A14,main!$A$3:$I$56,8,FALSE),VLOOKUP(AV$1,main!$A$3:$I$56,4,FALSE),VLOOKUP(AV$1,main!$A$3:$I$56,4,FALSE)+VLOOKUP($A14,main!$A$3:$I$56,4,FALSE)+(VLOOKUP(VLOOKUP(AV$1,main!$A$3:$I$56,8,FALSE),main!$K$19:$O$22,MATCH(VLOOKUP($A14,main!$A$3:$I$56,7,FALSE),main!$K$18:$O$18,0),0))),0)</f>
        <v>0</v>
      </c>
      <c r="AW14">
        <f>IF((gamma!AW14),IF(VLOOKUP(AW$1,main!$A$3:$I$56,7,FALSE)=VLOOKUP($A14,main!$A$3:$I$56,8,FALSE),VLOOKUP(AW$1,main!$A$3:$I$56,4,FALSE),VLOOKUP(AW$1,main!$A$3:$I$56,4,FALSE)+VLOOKUP($A14,main!$A$3:$I$56,4,FALSE)+(VLOOKUP(VLOOKUP(AW$1,main!$A$3:$I$56,8,FALSE),main!$K$19:$O$22,MATCH(VLOOKUP($A14,main!$A$3:$I$56,7,FALSE),main!$K$18:$O$18,0),0))),0)</f>
        <v>0</v>
      </c>
      <c r="AX14">
        <f>IF((gamma!AX14),IF(VLOOKUP(AX$1,main!$A$3:$I$56,7,FALSE)=VLOOKUP($A14,main!$A$3:$I$56,8,FALSE),VLOOKUP(AX$1,main!$A$3:$I$56,4,FALSE),VLOOKUP(AX$1,main!$A$3:$I$56,4,FALSE)+VLOOKUP($A14,main!$A$3:$I$56,4,FALSE)+(VLOOKUP(VLOOKUP(AX$1,main!$A$3:$I$56,8,FALSE),main!$K$19:$O$22,MATCH(VLOOKUP($A14,main!$A$3:$I$56,7,FALSE),main!$K$18:$O$18,0),0))),0)</f>
        <v>0</v>
      </c>
      <c r="AY14">
        <f>IF((gamma!AY14),IF(VLOOKUP(AY$1,main!$A$3:$I$56,7,FALSE)=VLOOKUP($A14,main!$A$3:$I$56,8,FALSE),VLOOKUP(AY$1,main!$A$3:$I$56,4,FALSE),VLOOKUP(AY$1,main!$A$3:$I$56,4,FALSE)+VLOOKUP($A14,main!$A$3:$I$56,4,FALSE)+(VLOOKUP(VLOOKUP(AY$1,main!$A$3:$I$56,8,FALSE),main!$K$19:$O$22,MATCH(VLOOKUP($A14,main!$A$3:$I$56,7,FALSE),main!$K$18:$O$18,0),0))),0)</f>
        <v>0</v>
      </c>
      <c r="AZ14">
        <f>IF((gamma!AZ14),IF(VLOOKUP(AZ$1,main!$A$3:$I$56,7,FALSE)=VLOOKUP($A14,main!$A$3:$I$56,8,FALSE),VLOOKUP(AZ$1,main!$A$3:$I$56,4,FALSE),VLOOKUP(AZ$1,main!$A$3:$I$56,4,FALSE)+VLOOKUP($A14,main!$A$3:$I$56,4,FALSE)+(VLOOKUP(VLOOKUP(AZ$1,main!$A$3:$I$56,8,FALSE),main!$K$19:$O$22,MATCH(VLOOKUP($A14,main!$A$3:$I$56,7,FALSE),main!$K$18:$O$18,0),0))),0)</f>
        <v>0</v>
      </c>
      <c r="BA14">
        <f>IF((gamma!BA14),IF(VLOOKUP(BA$1,main!$A$3:$I$56,7,FALSE)=VLOOKUP($A14,main!$A$3:$I$56,8,FALSE),VLOOKUP(BA$1,main!$A$3:$I$56,4,FALSE),VLOOKUP(BA$1,main!$A$3:$I$56,4,FALSE)+VLOOKUP($A14,main!$A$3:$I$56,4,FALSE)+(VLOOKUP(VLOOKUP(BA$1,main!$A$3:$I$56,8,FALSE),main!$K$19:$O$22,MATCH(VLOOKUP($A14,main!$A$3:$I$56,7,FALSE),main!$K$18:$O$18,0),0))),0)</f>
        <v>0</v>
      </c>
      <c r="BB14">
        <f>IF((gamma!BB14),IF(VLOOKUP(BB$1,main!$A$3:$I$56,7,FALSE)=VLOOKUP($A14,main!$A$3:$I$56,8,FALSE),VLOOKUP(BB$1,main!$A$3:$I$56,4,FALSE),VLOOKUP(BB$1,main!$A$3:$I$56,4,FALSE)+VLOOKUP($A14,main!$A$3:$I$56,4,FALSE)+(VLOOKUP(VLOOKUP(BB$1,main!$A$3:$I$56,8,FALSE),main!$K$19:$O$22,MATCH(VLOOKUP($A14,main!$A$3:$I$56,7,FALSE),main!$K$18:$O$18,0),0))),0)</f>
        <v>0</v>
      </c>
      <c r="BC14">
        <f>IF((gamma!BC14),IF(VLOOKUP(BC$1,main!$A$3:$I$56,7,FALSE)=VLOOKUP($A14,main!$A$3:$I$56,8,FALSE),VLOOKUP(BC$1,main!$A$3:$I$56,4,FALSE),VLOOKUP(BC$1,main!$A$3:$I$56,4,FALSE)+VLOOKUP($A14,main!$A$3:$I$56,4,FALSE)+(VLOOKUP(VLOOKUP(BC$1,main!$A$3:$I$56,8,FALSE),main!$K$19:$O$22,MATCH(VLOOKUP($A14,main!$A$3:$I$56,7,FALSE),main!$K$18:$O$18,0),0))),0)</f>
        <v>0</v>
      </c>
      <c r="BD14">
        <f>IF((gamma!BD14),IF(VLOOKUP(BD$1,main!$A$3:$I$56,7,FALSE)=VLOOKUP($A14,main!$A$3:$I$56,8,FALSE),VLOOKUP(BD$1,main!$A$3:$I$56,4,FALSE),VLOOKUP(BD$1,main!$A$3:$I$56,4,FALSE)+VLOOKUP($A14,main!$A$3:$I$56,4,FALSE)+(VLOOKUP(VLOOKUP(BD$1,main!$A$3:$I$56,8,FALSE),main!$K$19:$O$22,MATCH(VLOOKUP($A14,main!$A$3:$I$56,7,FALSE),main!$K$18:$O$18,0),0))),0)</f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>
        <f t="shared" si="0"/>
        <v>13</v>
      </c>
      <c r="B15">
        <v>0</v>
      </c>
      <c r="C15">
        <f>IF((gamma!C15),IF(VLOOKUP(C$1,main!$A$3:$I$56,7,FALSE)=VLOOKUP($A15,main!$A$3:$I$56,8,FALSE),VLOOKUP(C$1,main!$A$3:$I$56,4,FALSE),VLOOKUP(C$1,main!$A$3:$I$56,4,FALSE)+VLOOKUP($A15,main!$A$3:$I$56,4,FALSE)+(VLOOKUP(VLOOKUP(C$1,main!$A$3:$I$56,8,FALSE),main!$K$19:$O$22,MATCH(VLOOKUP($A15,main!$A$3:$I$56,7,FALSE),main!$K$18:$O$18,0),0))),0)</f>
        <v>0</v>
      </c>
      <c r="D15">
        <f>IF((gamma!D15),IF(VLOOKUP(D$1,main!$A$3:$I$56,7,FALSE)=VLOOKUP($A15,main!$A$3:$I$56,8,FALSE),VLOOKUP(D$1,main!$A$3:$I$56,4,FALSE),VLOOKUP(D$1,main!$A$3:$I$56,4,FALSE)+VLOOKUP($A15,main!$A$3:$I$56,4,FALSE)+(VLOOKUP(VLOOKUP(D$1,main!$A$3:$I$56,8,FALSE),main!$K$19:$O$22,MATCH(VLOOKUP($A15,main!$A$3:$I$56,7,FALSE),main!$K$18:$O$18,0),0))),0)</f>
        <v>0</v>
      </c>
      <c r="E15">
        <f>IF((gamma!E15),IF(VLOOKUP(E$1,main!$A$3:$I$56,7,FALSE)=VLOOKUP($A15,main!$A$3:$I$56,8,FALSE),VLOOKUP(E$1,main!$A$3:$I$56,4,FALSE),VLOOKUP(E$1,main!$A$3:$I$56,4,FALSE)+VLOOKUP($A15,main!$A$3:$I$56,4,FALSE)+(VLOOKUP(VLOOKUP(E$1,main!$A$3:$I$56,8,FALSE),main!$K$19:$O$22,MATCH(VLOOKUP($A15,main!$A$3:$I$56,7,FALSE),main!$K$18:$O$18,0),0))),0)</f>
        <v>0</v>
      </c>
      <c r="F15">
        <f>IF((gamma!F15),IF(VLOOKUP(F$1,main!$A$3:$I$56,7,FALSE)=VLOOKUP($A15,main!$A$3:$I$56,8,FALSE),VLOOKUP(F$1,main!$A$3:$I$56,4,FALSE),VLOOKUP(F$1,main!$A$3:$I$56,4,FALSE)+VLOOKUP($A15,main!$A$3:$I$56,4,FALSE)+(VLOOKUP(VLOOKUP(F$1,main!$A$3:$I$56,8,FALSE),main!$K$19:$O$22,MATCH(VLOOKUP($A15,main!$A$3:$I$56,7,FALSE),main!$K$18:$O$18,0),0))),0)</f>
        <v>0</v>
      </c>
      <c r="G15">
        <f>IF((gamma!G15),IF(VLOOKUP(G$1,main!$A$3:$I$56,7,FALSE)=VLOOKUP($A15,main!$A$3:$I$56,8,FALSE),VLOOKUP(G$1,main!$A$3:$I$56,4,FALSE),VLOOKUP(G$1,main!$A$3:$I$56,4,FALSE)+VLOOKUP($A15,main!$A$3:$I$56,4,FALSE)+(VLOOKUP(VLOOKUP(G$1,main!$A$3:$I$56,8,FALSE),main!$K$19:$O$22,MATCH(VLOOKUP($A15,main!$A$3:$I$56,7,FALSE),main!$K$18:$O$18,0),0))),0)</f>
        <v>0</v>
      </c>
      <c r="H15">
        <f>IF((gamma!H15),IF(VLOOKUP(H$1,main!$A$3:$I$56,7,FALSE)=VLOOKUP($A15,main!$A$3:$I$56,8,FALSE),VLOOKUP(H$1,main!$A$3:$I$56,4,FALSE),VLOOKUP(H$1,main!$A$3:$I$56,4,FALSE)+VLOOKUP($A15,main!$A$3:$I$56,4,FALSE)+(VLOOKUP(VLOOKUP(H$1,main!$A$3:$I$56,8,FALSE),main!$K$19:$O$22,MATCH(VLOOKUP($A15,main!$A$3:$I$56,7,FALSE),main!$K$18:$O$18,0),0))),0)</f>
        <v>0</v>
      </c>
      <c r="I15">
        <f>IF((gamma!I15),IF(VLOOKUP(I$1,main!$A$3:$I$56,7,FALSE)=VLOOKUP($A15,main!$A$3:$I$56,8,FALSE),VLOOKUP(I$1,main!$A$3:$I$56,4,FALSE),VLOOKUP(I$1,main!$A$3:$I$56,4,FALSE)+VLOOKUP($A15,main!$A$3:$I$56,4,FALSE)+(VLOOKUP(VLOOKUP(I$1,main!$A$3:$I$56,8,FALSE),main!$K$19:$O$22,MATCH(VLOOKUP($A15,main!$A$3:$I$56,7,FALSE),main!$K$18:$O$18,0),0))),0)</f>
        <v>0</v>
      </c>
      <c r="J15">
        <f>IF((gamma!J15),IF(VLOOKUP(J$1,main!$A$3:$I$56,7,FALSE)=VLOOKUP($A15,main!$A$3:$I$56,8,FALSE),VLOOKUP(J$1,main!$A$3:$I$56,4,FALSE),VLOOKUP(J$1,main!$A$3:$I$56,4,FALSE)+VLOOKUP($A15,main!$A$3:$I$56,4,FALSE)+(VLOOKUP(VLOOKUP(J$1,main!$A$3:$I$56,8,FALSE),main!$K$19:$O$22,MATCH(VLOOKUP($A15,main!$A$3:$I$56,7,FALSE),main!$K$18:$O$18,0),0))),0)</f>
        <v>0</v>
      </c>
      <c r="K15">
        <f>IF((gamma!K15),IF(VLOOKUP(K$1,main!$A$3:$I$56,7,FALSE)=VLOOKUP($A15,main!$A$3:$I$56,8,FALSE),VLOOKUP(K$1,main!$A$3:$I$56,4,FALSE),VLOOKUP(K$1,main!$A$3:$I$56,4,FALSE)+VLOOKUP($A15,main!$A$3:$I$56,4,FALSE)+(VLOOKUP(VLOOKUP(K$1,main!$A$3:$I$56,8,FALSE),main!$K$19:$O$22,MATCH(VLOOKUP($A15,main!$A$3:$I$56,7,FALSE),main!$K$18:$O$18,0),0))),0)</f>
        <v>0</v>
      </c>
      <c r="L15">
        <f>IF((gamma!L15),IF(VLOOKUP(L$1,main!$A$3:$I$56,7,FALSE)=VLOOKUP($A15,main!$A$3:$I$56,8,FALSE),VLOOKUP(L$1,main!$A$3:$I$56,4,FALSE),VLOOKUP(L$1,main!$A$3:$I$56,4,FALSE)+VLOOKUP($A15,main!$A$3:$I$56,4,FALSE)+(VLOOKUP(VLOOKUP(L$1,main!$A$3:$I$56,8,FALSE),main!$K$19:$O$22,MATCH(VLOOKUP($A15,main!$A$3:$I$56,7,FALSE),main!$K$18:$O$18,0),0))),0)</f>
        <v>0</v>
      </c>
      <c r="M15">
        <f>IF((gamma!M15),IF(VLOOKUP(M$1,main!$A$3:$I$56,7,FALSE)=VLOOKUP($A15,main!$A$3:$I$56,8,FALSE),VLOOKUP(M$1,main!$A$3:$I$56,4,FALSE),VLOOKUP(M$1,main!$A$3:$I$56,4,FALSE)+VLOOKUP($A15,main!$A$3:$I$56,4,FALSE)+(VLOOKUP(VLOOKUP(M$1,main!$A$3:$I$56,8,FALSE),main!$K$19:$O$22,MATCH(VLOOKUP($A15,main!$A$3:$I$56,7,FALSE),main!$K$18:$O$18,0),0))),0)</f>
        <v>0</v>
      </c>
      <c r="N15">
        <f>IF((gamma!N15),IF(VLOOKUP(N$1,main!$A$3:$I$56,7,FALSE)=VLOOKUP($A15,main!$A$3:$I$56,8,FALSE),VLOOKUP(N$1,main!$A$3:$I$56,4,FALSE),VLOOKUP(N$1,main!$A$3:$I$56,4,FALSE)+VLOOKUP($A15,main!$A$3:$I$56,4,FALSE)+(VLOOKUP(VLOOKUP(N$1,main!$A$3:$I$56,8,FALSE),main!$K$19:$O$22,MATCH(VLOOKUP($A15,main!$A$3:$I$56,7,FALSE),main!$K$18:$O$18,0),0))),0)</f>
        <v>0</v>
      </c>
      <c r="O15">
        <f>IF((gamma!O15),IF(VLOOKUP(O$1,main!$A$3:$I$56,7,FALSE)=VLOOKUP($A15,main!$A$3:$I$56,8,FALSE),VLOOKUP(O$1,main!$A$3:$I$56,4,FALSE),VLOOKUP(O$1,main!$A$3:$I$56,4,FALSE)+VLOOKUP($A15,main!$A$3:$I$56,4,FALSE)+(VLOOKUP(VLOOKUP(O$1,main!$A$3:$I$56,8,FALSE),main!$K$19:$O$22,MATCH(VLOOKUP($A15,main!$A$3:$I$56,7,FALSE),main!$K$18:$O$18,0),0))),0)</f>
        <v>0</v>
      </c>
      <c r="P15">
        <f>IF((gamma!P15),IF(VLOOKUP(P$1,main!$A$3:$I$56,7,FALSE)=VLOOKUP($A15,main!$A$3:$I$56,8,FALSE),VLOOKUP(P$1,main!$A$3:$I$56,4,FALSE),VLOOKUP(P$1,main!$A$3:$I$56,4,FALSE)+VLOOKUP($A15,main!$A$3:$I$56,4,FALSE)+(VLOOKUP(VLOOKUP(P$1,main!$A$3:$I$56,8,FALSE),main!$K$19:$O$22,MATCH(VLOOKUP($A15,main!$A$3:$I$56,7,FALSE),main!$K$18:$O$18,0),0))),0)</f>
        <v>0</v>
      </c>
      <c r="Q15">
        <f>IF((gamma!Q15),IF(VLOOKUP(Q$1,main!$A$3:$I$56,7,FALSE)=VLOOKUP($A15,main!$A$3:$I$56,8,FALSE),VLOOKUP(Q$1,main!$A$3:$I$56,4,FALSE),VLOOKUP(Q$1,main!$A$3:$I$56,4,FALSE)+VLOOKUP($A15,main!$A$3:$I$56,4,FALSE)+(VLOOKUP(VLOOKUP(Q$1,main!$A$3:$I$56,8,FALSE),main!$K$19:$O$22,MATCH(VLOOKUP($A15,main!$A$3:$I$56,7,FALSE),main!$K$18:$O$18,0),0))),0)</f>
        <v>0</v>
      </c>
      <c r="R15">
        <f>IF((gamma!R15),IF(VLOOKUP(R$1,main!$A$3:$I$56,7,FALSE)=VLOOKUP($A15,main!$A$3:$I$56,8,FALSE),VLOOKUP(R$1,main!$A$3:$I$56,4,FALSE),VLOOKUP(R$1,main!$A$3:$I$56,4,FALSE)+VLOOKUP($A15,main!$A$3:$I$56,4,FALSE)+(VLOOKUP(VLOOKUP(R$1,main!$A$3:$I$56,8,FALSE),main!$K$19:$O$22,MATCH(VLOOKUP($A15,main!$A$3:$I$56,7,FALSE),main!$K$18:$O$18,0),0))),0)</f>
        <v>0</v>
      </c>
      <c r="S15">
        <f>IF((gamma!S15),IF(VLOOKUP(S$1,main!$A$3:$I$56,7,FALSE)=VLOOKUP($A15,main!$A$3:$I$56,8,FALSE),VLOOKUP(S$1,main!$A$3:$I$56,4,FALSE),VLOOKUP(S$1,main!$A$3:$I$56,4,FALSE)+VLOOKUP($A15,main!$A$3:$I$56,4,FALSE)+(VLOOKUP(VLOOKUP(S$1,main!$A$3:$I$56,8,FALSE),main!$K$19:$O$22,MATCH(VLOOKUP($A15,main!$A$3:$I$56,7,FALSE),main!$K$18:$O$18,0),0))),0)</f>
        <v>0</v>
      </c>
      <c r="T15">
        <f>IF((gamma!T15),IF(VLOOKUP(T$1,main!$A$3:$I$56,7,FALSE)=VLOOKUP($A15,main!$A$3:$I$56,8,FALSE),VLOOKUP(T$1,main!$A$3:$I$56,4,FALSE),VLOOKUP(T$1,main!$A$3:$I$56,4,FALSE)+VLOOKUP($A15,main!$A$3:$I$56,4,FALSE)+(VLOOKUP(VLOOKUP(T$1,main!$A$3:$I$56,8,FALSE),main!$K$19:$O$22,MATCH(VLOOKUP($A15,main!$A$3:$I$56,7,FALSE),main!$K$18:$O$18,0),0))),0)</f>
        <v>0</v>
      </c>
      <c r="U15">
        <f>IF((gamma!U15),IF(VLOOKUP(U$1,main!$A$3:$I$56,7,FALSE)=VLOOKUP($A15,main!$A$3:$I$56,8,FALSE),VLOOKUP(U$1,main!$A$3:$I$56,4,FALSE),VLOOKUP(U$1,main!$A$3:$I$56,4,FALSE)+VLOOKUP($A15,main!$A$3:$I$56,4,FALSE)+(VLOOKUP(VLOOKUP(U$1,main!$A$3:$I$56,8,FALSE),main!$K$19:$O$22,MATCH(VLOOKUP($A15,main!$A$3:$I$56,7,FALSE),main!$K$18:$O$18,0),0))),0)</f>
        <v>0</v>
      </c>
      <c r="V15">
        <f>IF((gamma!V15),IF(VLOOKUP(V$1,main!$A$3:$I$56,7,FALSE)=VLOOKUP($A15,main!$A$3:$I$56,8,FALSE),VLOOKUP(V$1,main!$A$3:$I$56,4,FALSE),VLOOKUP(V$1,main!$A$3:$I$56,4,FALSE)+VLOOKUP($A15,main!$A$3:$I$56,4,FALSE)+(VLOOKUP(VLOOKUP(V$1,main!$A$3:$I$56,8,FALSE),main!$K$19:$O$22,MATCH(VLOOKUP($A15,main!$A$3:$I$56,7,FALSE),main!$K$18:$O$18,0),0))),0)</f>
        <v>0</v>
      </c>
      <c r="W15">
        <f>IF((gamma!W15),IF(VLOOKUP(W$1,main!$A$3:$I$56,7,FALSE)=VLOOKUP($A15,main!$A$3:$I$56,8,FALSE),VLOOKUP(W$1,main!$A$3:$I$56,4,FALSE),VLOOKUP(W$1,main!$A$3:$I$56,4,FALSE)+VLOOKUP($A15,main!$A$3:$I$56,4,FALSE)+(VLOOKUP(VLOOKUP(W$1,main!$A$3:$I$56,8,FALSE),main!$K$19:$O$22,MATCH(VLOOKUP($A15,main!$A$3:$I$56,7,FALSE),main!$K$18:$O$18,0),0))),0)</f>
        <v>0</v>
      </c>
      <c r="X15">
        <f>IF((gamma!X15),IF(VLOOKUP(X$1,main!$A$3:$I$56,7,FALSE)=VLOOKUP($A15,main!$A$3:$I$56,8,FALSE),VLOOKUP(X$1,main!$A$3:$I$56,4,FALSE),VLOOKUP(X$1,main!$A$3:$I$56,4,FALSE)+VLOOKUP($A15,main!$A$3:$I$56,4,FALSE)+(VLOOKUP(VLOOKUP(X$1,main!$A$3:$I$56,8,FALSE),main!$K$19:$O$22,MATCH(VLOOKUP($A15,main!$A$3:$I$56,7,FALSE),main!$K$18:$O$18,0),0))),0)</f>
        <v>0</v>
      </c>
      <c r="Y15">
        <f>IF((gamma!Y15),IF(VLOOKUP(Y$1,main!$A$3:$I$56,7,FALSE)=VLOOKUP($A15,main!$A$3:$I$56,8,FALSE),VLOOKUP(Y$1,main!$A$3:$I$56,4,FALSE),VLOOKUP(Y$1,main!$A$3:$I$56,4,FALSE)+VLOOKUP($A15,main!$A$3:$I$56,4,FALSE)+(VLOOKUP(VLOOKUP(Y$1,main!$A$3:$I$56,8,FALSE),main!$K$19:$O$22,MATCH(VLOOKUP($A15,main!$A$3:$I$56,7,FALSE),main!$K$18:$O$18,0),0))),0)</f>
        <v>0</v>
      </c>
      <c r="Z15">
        <f>IF((gamma!Z15),IF(VLOOKUP(Z$1,main!$A$3:$I$56,7,FALSE)=VLOOKUP($A15,main!$A$3:$I$56,8,FALSE),VLOOKUP(Z$1,main!$A$3:$I$56,4,FALSE),VLOOKUP(Z$1,main!$A$3:$I$56,4,FALSE)+VLOOKUP($A15,main!$A$3:$I$56,4,FALSE)+(VLOOKUP(VLOOKUP(Z$1,main!$A$3:$I$56,8,FALSE),main!$K$19:$O$22,MATCH(VLOOKUP($A15,main!$A$3:$I$56,7,FALSE),main!$K$18:$O$18,0),0))),0)</f>
        <v>0</v>
      </c>
      <c r="AA15">
        <f>IF((gamma!AA15),IF(VLOOKUP(AA$1,main!$A$3:$I$56,7,FALSE)=VLOOKUP($A15,main!$A$3:$I$56,8,FALSE),VLOOKUP(AA$1,main!$A$3:$I$56,4,FALSE),VLOOKUP(AA$1,main!$A$3:$I$56,4,FALSE)+VLOOKUP($A15,main!$A$3:$I$56,4,FALSE)+(VLOOKUP(VLOOKUP(AA$1,main!$A$3:$I$56,8,FALSE),main!$K$19:$O$22,MATCH(VLOOKUP($A15,main!$A$3:$I$56,7,FALSE),main!$K$18:$O$18,0),0))),0)</f>
        <v>0</v>
      </c>
      <c r="AB15">
        <f>IF((gamma!AB15),IF(VLOOKUP(AB$1,main!$A$3:$I$56,7,FALSE)=VLOOKUP($A15,main!$A$3:$I$56,8,FALSE),VLOOKUP(AB$1,main!$A$3:$I$56,4,FALSE),VLOOKUP(AB$1,main!$A$3:$I$56,4,FALSE)+VLOOKUP($A15,main!$A$3:$I$56,4,FALSE)+(VLOOKUP(VLOOKUP(AB$1,main!$A$3:$I$56,8,FALSE),main!$K$19:$O$22,MATCH(VLOOKUP($A15,main!$A$3:$I$56,7,FALSE),main!$K$18:$O$18,0),0))),0)</f>
        <v>0</v>
      </c>
      <c r="AC15">
        <f>IF((gamma!AC15),IF(VLOOKUP(AC$1,main!$A$3:$I$56,7,FALSE)=VLOOKUP($A15,main!$A$3:$I$56,8,FALSE),VLOOKUP(AC$1,main!$A$3:$I$56,4,FALSE),VLOOKUP(AC$1,main!$A$3:$I$56,4,FALSE)+VLOOKUP($A15,main!$A$3:$I$56,4,FALSE)+(VLOOKUP(VLOOKUP(AC$1,main!$A$3:$I$56,8,FALSE),main!$K$19:$O$22,MATCH(VLOOKUP($A15,main!$A$3:$I$56,7,FALSE),main!$K$18:$O$18,0),0))),0)</f>
        <v>0</v>
      </c>
      <c r="AD15">
        <f>IF((gamma!AD15),IF(VLOOKUP(AD$1,main!$A$3:$I$56,7,FALSE)=VLOOKUP($A15,main!$A$3:$I$56,8,FALSE),VLOOKUP(AD$1,main!$A$3:$I$56,4,FALSE),VLOOKUP(AD$1,main!$A$3:$I$56,4,FALSE)+VLOOKUP($A15,main!$A$3:$I$56,4,FALSE)+(VLOOKUP(VLOOKUP(AD$1,main!$A$3:$I$56,8,FALSE),main!$K$19:$O$22,MATCH(VLOOKUP($A15,main!$A$3:$I$56,7,FALSE),main!$K$18:$O$18,0),0))),0)</f>
        <v>0</v>
      </c>
      <c r="AE15">
        <f>IF((gamma!AE15),IF(VLOOKUP(AE$1,main!$A$3:$I$56,7,FALSE)=VLOOKUP($A15,main!$A$3:$I$56,8,FALSE),VLOOKUP(AE$1,main!$A$3:$I$56,4,FALSE),VLOOKUP(AE$1,main!$A$3:$I$56,4,FALSE)+VLOOKUP($A15,main!$A$3:$I$56,4,FALSE)+(VLOOKUP(VLOOKUP(AE$1,main!$A$3:$I$56,8,FALSE),main!$K$19:$O$22,MATCH(VLOOKUP($A15,main!$A$3:$I$56,7,FALSE),main!$K$18:$O$18,0),0))),0)</f>
        <v>0</v>
      </c>
      <c r="AF15">
        <f>IF((gamma!AF15),IF(VLOOKUP(AF$1,main!$A$3:$I$56,7,FALSE)=VLOOKUP($A15,main!$A$3:$I$56,8,FALSE),VLOOKUP(AF$1,main!$A$3:$I$56,4,FALSE),VLOOKUP(AF$1,main!$A$3:$I$56,4,FALSE)+VLOOKUP($A15,main!$A$3:$I$56,4,FALSE)+(VLOOKUP(VLOOKUP(AF$1,main!$A$3:$I$56,8,FALSE),main!$K$19:$O$22,MATCH(VLOOKUP($A15,main!$A$3:$I$56,7,FALSE),main!$K$18:$O$18,0),0))),0)</f>
        <v>0</v>
      </c>
      <c r="AG15">
        <f>IF((gamma!AG15),IF(VLOOKUP(AG$1,main!$A$3:$I$56,7,FALSE)=VLOOKUP($A15,main!$A$3:$I$56,8,FALSE),VLOOKUP(AG$1,main!$A$3:$I$56,4,FALSE),VLOOKUP(AG$1,main!$A$3:$I$56,4,FALSE)+VLOOKUP($A15,main!$A$3:$I$56,4,FALSE)+(VLOOKUP(VLOOKUP(AG$1,main!$A$3:$I$56,8,FALSE),main!$K$19:$O$22,MATCH(VLOOKUP($A15,main!$A$3:$I$56,7,FALSE),main!$K$18:$O$18,0),0))),0)</f>
        <v>0</v>
      </c>
      <c r="AH15">
        <f>IF((gamma!AH15),IF(VLOOKUP(AH$1,main!$A$3:$I$56,7,FALSE)=VLOOKUP($A15,main!$A$3:$I$56,8,FALSE),VLOOKUP(AH$1,main!$A$3:$I$56,4,FALSE),VLOOKUP(AH$1,main!$A$3:$I$56,4,FALSE)+VLOOKUP($A15,main!$A$3:$I$56,4,FALSE)+(VLOOKUP(VLOOKUP(AH$1,main!$A$3:$I$56,8,FALSE),main!$K$19:$O$22,MATCH(VLOOKUP($A15,main!$A$3:$I$56,7,FALSE),main!$K$18:$O$18,0),0))),0)</f>
        <v>0</v>
      </c>
      <c r="AI15">
        <f>IF((gamma!AI15),IF(VLOOKUP(AI$1,main!$A$3:$I$56,7,FALSE)=VLOOKUP($A15,main!$A$3:$I$56,8,FALSE),VLOOKUP(AI$1,main!$A$3:$I$56,4,FALSE),VLOOKUP(AI$1,main!$A$3:$I$56,4,FALSE)+VLOOKUP($A15,main!$A$3:$I$56,4,FALSE)+(VLOOKUP(VLOOKUP(AI$1,main!$A$3:$I$56,8,FALSE),main!$K$19:$O$22,MATCH(VLOOKUP($A15,main!$A$3:$I$56,7,FALSE),main!$K$18:$O$18,0),0))),0)</f>
        <v>0</v>
      </c>
      <c r="AJ15">
        <f>IF((gamma!AJ15),IF(VLOOKUP(AJ$1,main!$A$3:$I$56,7,FALSE)=VLOOKUP($A15,main!$A$3:$I$56,8,FALSE),VLOOKUP(AJ$1,main!$A$3:$I$56,4,FALSE),VLOOKUP(AJ$1,main!$A$3:$I$56,4,FALSE)+VLOOKUP($A15,main!$A$3:$I$56,4,FALSE)+(VLOOKUP(VLOOKUP(AJ$1,main!$A$3:$I$56,8,FALSE),main!$K$19:$O$22,MATCH(VLOOKUP($A15,main!$A$3:$I$56,7,FALSE),main!$K$18:$O$18,0),0))),0)</f>
        <v>0</v>
      </c>
      <c r="AK15">
        <f>IF((gamma!AK15),IF(VLOOKUP(AK$1,main!$A$3:$I$56,7,FALSE)=VLOOKUP($A15,main!$A$3:$I$56,8,FALSE),VLOOKUP(AK$1,main!$A$3:$I$56,4,FALSE),VLOOKUP(AK$1,main!$A$3:$I$56,4,FALSE)+VLOOKUP($A15,main!$A$3:$I$56,4,FALSE)+(VLOOKUP(VLOOKUP(AK$1,main!$A$3:$I$56,8,FALSE),main!$K$19:$O$22,MATCH(VLOOKUP($A15,main!$A$3:$I$56,7,FALSE),main!$K$18:$O$18,0),0))),0)</f>
        <v>0</v>
      </c>
      <c r="AL15">
        <f>IF((gamma!AL15),IF(VLOOKUP(AL$1,main!$A$3:$I$56,7,FALSE)=VLOOKUP($A15,main!$A$3:$I$56,8,FALSE),VLOOKUP(AL$1,main!$A$3:$I$56,4,FALSE),VLOOKUP(AL$1,main!$A$3:$I$56,4,FALSE)+VLOOKUP($A15,main!$A$3:$I$56,4,FALSE)+(VLOOKUP(VLOOKUP(AL$1,main!$A$3:$I$56,8,FALSE),main!$K$19:$O$22,MATCH(VLOOKUP($A15,main!$A$3:$I$56,7,FALSE),main!$K$18:$O$18,0),0))),0)</f>
        <v>0</v>
      </c>
      <c r="AM15">
        <f>IF((gamma!AM15),IF(VLOOKUP(AM$1,main!$A$3:$I$56,7,FALSE)=VLOOKUP($A15,main!$A$3:$I$56,8,FALSE),VLOOKUP(AM$1,main!$A$3:$I$56,4,FALSE),VLOOKUP(AM$1,main!$A$3:$I$56,4,FALSE)+VLOOKUP($A15,main!$A$3:$I$56,4,FALSE)+(VLOOKUP(VLOOKUP(AM$1,main!$A$3:$I$56,8,FALSE),main!$K$19:$O$22,MATCH(VLOOKUP($A15,main!$A$3:$I$56,7,FALSE),main!$K$18:$O$18,0),0))),0)</f>
        <v>0</v>
      </c>
      <c r="AN15">
        <f>IF((gamma!AN15),IF(VLOOKUP(AN$1,main!$A$3:$I$56,7,FALSE)=VLOOKUP($A15,main!$A$3:$I$56,8,FALSE),VLOOKUP(AN$1,main!$A$3:$I$56,4,FALSE),VLOOKUP(AN$1,main!$A$3:$I$56,4,FALSE)+VLOOKUP($A15,main!$A$3:$I$56,4,FALSE)+(VLOOKUP(VLOOKUP(AN$1,main!$A$3:$I$56,8,FALSE),main!$K$19:$O$22,MATCH(VLOOKUP($A15,main!$A$3:$I$56,7,FALSE),main!$K$18:$O$18,0),0))),0)</f>
        <v>0</v>
      </c>
      <c r="AO15">
        <f>IF((gamma!AO15),IF(VLOOKUP(AO$1,main!$A$3:$I$56,7,FALSE)=VLOOKUP($A15,main!$A$3:$I$56,8,FALSE),VLOOKUP(AO$1,main!$A$3:$I$56,4,FALSE),VLOOKUP(AO$1,main!$A$3:$I$56,4,FALSE)+VLOOKUP($A15,main!$A$3:$I$56,4,FALSE)+(VLOOKUP(VLOOKUP(AO$1,main!$A$3:$I$56,8,FALSE),main!$K$19:$O$22,MATCH(VLOOKUP($A15,main!$A$3:$I$56,7,FALSE),main!$K$18:$O$18,0),0))),0)</f>
        <v>0</v>
      </c>
      <c r="AP15">
        <f>IF((gamma!AP15),IF(VLOOKUP(AP$1,main!$A$3:$I$56,7,FALSE)=VLOOKUP($A15,main!$A$3:$I$56,8,FALSE),VLOOKUP(AP$1,main!$A$3:$I$56,4,FALSE),VLOOKUP(AP$1,main!$A$3:$I$56,4,FALSE)+VLOOKUP($A15,main!$A$3:$I$56,4,FALSE)+(VLOOKUP(VLOOKUP(AP$1,main!$A$3:$I$56,8,FALSE),main!$K$19:$O$22,MATCH(VLOOKUP($A15,main!$A$3:$I$56,7,FALSE),main!$K$18:$O$18,0),0))),0)</f>
        <v>0</v>
      </c>
      <c r="AQ15">
        <f>IF((gamma!AQ15),IF(VLOOKUP(AQ$1,main!$A$3:$I$56,7,FALSE)=VLOOKUP($A15,main!$A$3:$I$56,8,FALSE),VLOOKUP(AQ$1,main!$A$3:$I$56,4,FALSE),VLOOKUP(AQ$1,main!$A$3:$I$56,4,FALSE)+VLOOKUP($A15,main!$A$3:$I$56,4,FALSE)+(VLOOKUP(VLOOKUP(AQ$1,main!$A$3:$I$56,8,FALSE),main!$K$19:$O$22,MATCH(VLOOKUP($A15,main!$A$3:$I$56,7,FALSE),main!$K$18:$O$18,0),0))),0)</f>
        <v>0</v>
      </c>
      <c r="AR15">
        <f>IF((gamma!AR15),IF(VLOOKUP(AR$1,main!$A$3:$I$56,7,FALSE)=VLOOKUP($A15,main!$A$3:$I$56,8,FALSE),VLOOKUP(AR$1,main!$A$3:$I$56,4,FALSE),VLOOKUP(AR$1,main!$A$3:$I$56,4,FALSE)+VLOOKUP($A15,main!$A$3:$I$56,4,FALSE)+(VLOOKUP(VLOOKUP(AR$1,main!$A$3:$I$56,8,FALSE),main!$K$19:$O$22,MATCH(VLOOKUP($A15,main!$A$3:$I$56,7,FALSE),main!$K$18:$O$18,0),0))),0)</f>
        <v>0</v>
      </c>
      <c r="AS15">
        <f>IF((gamma!AS15),IF(VLOOKUP(AS$1,main!$A$3:$I$56,7,FALSE)=VLOOKUP($A15,main!$A$3:$I$56,8,FALSE),VLOOKUP(AS$1,main!$A$3:$I$56,4,FALSE),VLOOKUP(AS$1,main!$A$3:$I$56,4,FALSE)+VLOOKUP($A15,main!$A$3:$I$56,4,FALSE)+(VLOOKUP(VLOOKUP(AS$1,main!$A$3:$I$56,8,FALSE),main!$K$19:$O$22,MATCH(VLOOKUP($A15,main!$A$3:$I$56,7,FALSE),main!$K$18:$O$18,0),0))),0)</f>
        <v>0</v>
      </c>
      <c r="AT15">
        <f>IF((gamma!AT15),IF(VLOOKUP(AT$1,main!$A$3:$I$56,7,FALSE)=VLOOKUP($A15,main!$A$3:$I$56,8,FALSE),VLOOKUP(AT$1,main!$A$3:$I$56,4,FALSE),VLOOKUP(AT$1,main!$A$3:$I$56,4,FALSE)+VLOOKUP($A15,main!$A$3:$I$56,4,FALSE)+(VLOOKUP(VLOOKUP(AT$1,main!$A$3:$I$56,8,FALSE),main!$K$19:$O$22,MATCH(VLOOKUP($A15,main!$A$3:$I$56,7,FALSE),main!$K$18:$O$18,0),0))),0)</f>
        <v>0</v>
      </c>
      <c r="AU15">
        <f>IF((gamma!AU15),IF(VLOOKUP(AU$1,main!$A$3:$I$56,7,FALSE)=VLOOKUP($A15,main!$A$3:$I$56,8,FALSE),VLOOKUP(AU$1,main!$A$3:$I$56,4,FALSE),VLOOKUP(AU$1,main!$A$3:$I$56,4,FALSE)+VLOOKUP($A15,main!$A$3:$I$56,4,FALSE)+(VLOOKUP(VLOOKUP(AU$1,main!$A$3:$I$56,8,FALSE),main!$K$19:$O$22,MATCH(VLOOKUP($A15,main!$A$3:$I$56,7,FALSE),main!$K$18:$O$18,0),0))),0)</f>
        <v>0</v>
      </c>
      <c r="AV15">
        <f>IF((gamma!AV15),IF(VLOOKUP(AV$1,main!$A$3:$I$56,7,FALSE)=VLOOKUP($A15,main!$A$3:$I$56,8,FALSE),VLOOKUP(AV$1,main!$A$3:$I$56,4,FALSE),VLOOKUP(AV$1,main!$A$3:$I$56,4,FALSE)+VLOOKUP($A15,main!$A$3:$I$56,4,FALSE)+(VLOOKUP(VLOOKUP(AV$1,main!$A$3:$I$56,8,FALSE),main!$K$19:$O$22,MATCH(VLOOKUP($A15,main!$A$3:$I$56,7,FALSE),main!$K$18:$O$18,0),0))),0)</f>
        <v>0</v>
      </c>
      <c r="AW15">
        <f>IF((gamma!AW15),IF(VLOOKUP(AW$1,main!$A$3:$I$56,7,FALSE)=VLOOKUP($A15,main!$A$3:$I$56,8,FALSE),VLOOKUP(AW$1,main!$A$3:$I$56,4,FALSE),VLOOKUP(AW$1,main!$A$3:$I$56,4,FALSE)+VLOOKUP($A15,main!$A$3:$I$56,4,FALSE)+(VLOOKUP(VLOOKUP(AW$1,main!$A$3:$I$56,8,FALSE),main!$K$19:$O$22,MATCH(VLOOKUP($A15,main!$A$3:$I$56,7,FALSE),main!$K$18:$O$18,0),0))),0)</f>
        <v>0</v>
      </c>
      <c r="AX15">
        <f>IF((gamma!AX15),IF(VLOOKUP(AX$1,main!$A$3:$I$56,7,FALSE)=VLOOKUP($A15,main!$A$3:$I$56,8,FALSE),VLOOKUP(AX$1,main!$A$3:$I$56,4,FALSE),VLOOKUP(AX$1,main!$A$3:$I$56,4,FALSE)+VLOOKUP($A15,main!$A$3:$I$56,4,FALSE)+(VLOOKUP(VLOOKUP(AX$1,main!$A$3:$I$56,8,FALSE),main!$K$19:$O$22,MATCH(VLOOKUP($A15,main!$A$3:$I$56,7,FALSE),main!$K$18:$O$18,0),0))),0)</f>
        <v>0</v>
      </c>
      <c r="AY15">
        <f>IF((gamma!AY15),IF(VLOOKUP(AY$1,main!$A$3:$I$56,7,FALSE)=VLOOKUP($A15,main!$A$3:$I$56,8,FALSE),VLOOKUP(AY$1,main!$A$3:$I$56,4,FALSE),VLOOKUP(AY$1,main!$A$3:$I$56,4,FALSE)+VLOOKUP($A15,main!$A$3:$I$56,4,FALSE)+(VLOOKUP(VLOOKUP(AY$1,main!$A$3:$I$56,8,FALSE),main!$K$19:$O$22,MATCH(VLOOKUP($A15,main!$A$3:$I$56,7,FALSE),main!$K$18:$O$18,0),0))),0)</f>
        <v>0</v>
      </c>
      <c r="AZ15">
        <f>IF((gamma!AZ15),IF(VLOOKUP(AZ$1,main!$A$3:$I$56,7,FALSE)=VLOOKUP($A15,main!$A$3:$I$56,8,FALSE),VLOOKUP(AZ$1,main!$A$3:$I$56,4,FALSE),VLOOKUP(AZ$1,main!$A$3:$I$56,4,FALSE)+VLOOKUP($A15,main!$A$3:$I$56,4,FALSE)+(VLOOKUP(VLOOKUP(AZ$1,main!$A$3:$I$56,8,FALSE),main!$K$19:$O$22,MATCH(VLOOKUP($A15,main!$A$3:$I$56,7,FALSE),main!$K$18:$O$18,0),0))),0)</f>
        <v>0</v>
      </c>
      <c r="BA15">
        <f>IF((gamma!BA15),IF(VLOOKUP(BA$1,main!$A$3:$I$56,7,FALSE)=VLOOKUP($A15,main!$A$3:$I$56,8,FALSE),VLOOKUP(BA$1,main!$A$3:$I$56,4,FALSE),VLOOKUP(BA$1,main!$A$3:$I$56,4,FALSE)+VLOOKUP($A15,main!$A$3:$I$56,4,FALSE)+(VLOOKUP(VLOOKUP(BA$1,main!$A$3:$I$56,8,FALSE),main!$K$19:$O$22,MATCH(VLOOKUP($A15,main!$A$3:$I$56,7,FALSE),main!$K$18:$O$18,0),0))),0)</f>
        <v>0</v>
      </c>
      <c r="BB15">
        <f>IF((gamma!BB15),IF(VLOOKUP(BB$1,main!$A$3:$I$56,7,FALSE)=VLOOKUP($A15,main!$A$3:$I$56,8,FALSE),VLOOKUP(BB$1,main!$A$3:$I$56,4,FALSE),VLOOKUP(BB$1,main!$A$3:$I$56,4,FALSE)+VLOOKUP($A15,main!$A$3:$I$56,4,FALSE)+(VLOOKUP(VLOOKUP(BB$1,main!$A$3:$I$56,8,FALSE),main!$K$19:$O$22,MATCH(VLOOKUP($A15,main!$A$3:$I$56,7,FALSE),main!$K$18:$O$18,0),0))),0)</f>
        <v>0</v>
      </c>
      <c r="BC15">
        <f>IF((gamma!BC15),IF(VLOOKUP(BC$1,main!$A$3:$I$56,7,FALSE)=VLOOKUP($A15,main!$A$3:$I$56,8,FALSE),VLOOKUP(BC$1,main!$A$3:$I$56,4,FALSE),VLOOKUP(BC$1,main!$A$3:$I$56,4,FALSE)+VLOOKUP($A15,main!$A$3:$I$56,4,FALSE)+(VLOOKUP(VLOOKUP(BC$1,main!$A$3:$I$56,8,FALSE),main!$K$19:$O$22,MATCH(VLOOKUP($A15,main!$A$3:$I$56,7,FALSE),main!$K$18:$O$18,0),0))),0)</f>
        <v>0</v>
      </c>
      <c r="BD15">
        <f>IF((gamma!BD15),IF(VLOOKUP(BD$1,main!$A$3:$I$56,7,FALSE)=VLOOKUP($A15,main!$A$3:$I$56,8,FALSE),VLOOKUP(BD$1,main!$A$3:$I$56,4,FALSE),VLOOKUP(BD$1,main!$A$3:$I$56,4,FALSE)+VLOOKUP($A15,main!$A$3:$I$56,4,FALSE)+(VLOOKUP(VLOOKUP(BD$1,main!$A$3:$I$56,8,FALSE),main!$K$19:$O$22,MATCH(VLOOKUP($A15,main!$A$3:$I$56,7,FALSE),main!$K$18:$O$18,0),0))),0)</f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>
        <f t="shared" si="0"/>
        <v>14</v>
      </c>
      <c r="B16">
        <v>0</v>
      </c>
      <c r="C16">
        <f>IF((gamma!C16),IF(VLOOKUP(C$1,main!$A$3:$I$56,7,FALSE)=VLOOKUP($A16,main!$A$3:$I$56,8,FALSE),VLOOKUP(C$1,main!$A$3:$I$56,4,FALSE),VLOOKUP(C$1,main!$A$3:$I$56,4,FALSE)+VLOOKUP($A16,main!$A$3:$I$56,4,FALSE)+(VLOOKUP(VLOOKUP(C$1,main!$A$3:$I$56,8,FALSE),main!$K$19:$O$22,MATCH(VLOOKUP($A16,main!$A$3:$I$56,7,FALSE),main!$K$18:$O$18,0),0))),0)</f>
        <v>0</v>
      </c>
      <c r="D16">
        <f>IF((gamma!D16),IF(VLOOKUP(D$1,main!$A$3:$I$56,7,FALSE)=VLOOKUP($A16,main!$A$3:$I$56,8,FALSE),VLOOKUP(D$1,main!$A$3:$I$56,4,FALSE),VLOOKUP(D$1,main!$A$3:$I$56,4,FALSE)+VLOOKUP($A16,main!$A$3:$I$56,4,FALSE)+(VLOOKUP(VLOOKUP(D$1,main!$A$3:$I$56,8,FALSE),main!$K$19:$O$22,MATCH(VLOOKUP($A16,main!$A$3:$I$56,7,FALSE),main!$K$18:$O$18,0),0))),0)</f>
        <v>0</v>
      </c>
      <c r="E16">
        <f>IF((gamma!E16),IF(VLOOKUP(E$1,main!$A$3:$I$56,7,FALSE)=VLOOKUP($A16,main!$A$3:$I$56,8,FALSE),VLOOKUP(E$1,main!$A$3:$I$56,4,FALSE),VLOOKUP(E$1,main!$A$3:$I$56,4,FALSE)+VLOOKUP($A16,main!$A$3:$I$56,4,FALSE)+(VLOOKUP(VLOOKUP(E$1,main!$A$3:$I$56,8,FALSE),main!$K$19:$O$22,MATCH(VLOOKUP($A16,main!$A$3:$I$56,7,FALSE),main!$K$18:$O$18,0),0))),0)</f>
        <v>300</v>
      </c>
      <c r="F16">
        <f>IF((gamma!F16),IF(VLOOKUP(F$1,main!$A$3:$I$56,7,FALSE)=VLOOKUP($A16,main!$A$3:$I$56,8,FALSE),VLOOKUP(F$1,main!$A$3:$I$56,4,FALSE),VLOOKUP(F$1,main!$A$3:$I$56,4,FALSE)+VLOOKUP($A16,main!$A$3:$I$56,4,FALSE)+(VLOOKUP(VLOOKUP(F$1,main!$A$3:$I$56,8,FALSE),main!$K$19:$O$22,MATCH(VLOOKUP($A16,main!$A$3:$I$56,7,FALSE),main!$K$18:$O$18,0),0))),0)</f>
        <v>300</v>
      </c>
      <c r="G16">
        <f>IF((gamma!G16),IF(VLOOKUP(G$1,main!$A$3:$I$56,7,FALSE)=VLOOKUP($A16,main!$A$3:$I$56,8,FALSE),VLOOKUP(G$1,main!$A$3:$I$56,4,FALSE),VLOOKUP(G$1,main!$A$3:$I$56,4,FALSE)+VLOOKUP($A16,main!$A$3:$I$56,4,FALSE)+(VLOOKUP(VLOOKUP(G$1,main!$A$3:$I$56,8,FALSE),main!$K$19:$O$22,MATCH(VLOOKUP($A16,main!$A$3:$I$56,7,FALSE),main!$K$18:$O$18,0),0))),0)</f>
        <v>300</v>
      </c>
      <c r="H16">
        <f>IF((gamma!H16),IF(VLOOKUP(H$1,main!$A$3:$I$56,7,FALSE)=VLOOKUP($A16,main!$A$3:$I$56,8,FALSE),VLOOKUP(H$1,main!$A$3:$I$56,4,FALSE),VLOOKUP(H$1,main!$A$3:$I$56,4,FALSE)+VLOOKUP($A16,main!$A$3:$I$56,4,FALSE)+(VLOOKUP(VLOOKUP(H$1,main!$A$3:$I$56,8,FALSE),main!$K$19:$O$22,MATCH(VLOOKUP($A16,main!$A$3:$I$56,7,FALSE),main!$K$18:$O$18,0),0))),0)</f>
        <v>300</v>
      </c>
      <c r="I16">
        <f>IF((gamma!I16),IF(VLOOKUP(I$1,main!$A$3:$I$56,7,FALSE)=VLOOKUP($A16,main!$A$3:$I$56,8,FALSE),VLOOKUP(I$1,main!$A$3:$I$56,4,FALSE),VLOOKUP(I$1,main!$A$3:$I$56,4,FALSE)+VLOOKUP($A16,main!$A$3:$I$56,4,FALSE)+(VLOOKUP(VLOOKUP(I$1,main!$A$3:$I$56,8,FALSE),main!$K$19:$O$22,MATCH(VLOOKUP($A16,main!$A$3:$I$56,7,FALSE),main!$K$18:$O$18,0),0))),0)</f>
        <v>300</v>
      </c>
      <c r="J16">
        <f>IF((gamma!J16),IF(VLOOKUP(J$1,main!$A$3:$I$56,7,FALSE)=VLOOKUP($A16,main!$A$3:$I$56,8,FALSE),VLOOKUP(J$1,main!$A$3:$I$56,4,FALSE),VLOOKUP(J$1,main!$A$3:$I$56,4,FALSE)+VLOOKUP($A16,main!$A$3:$I$56,4,FALSE)+(VLOOKUP(VLOOKUP(J$1,main!$A$3:$I$56,8,FALSE),main!$K$19:$O$22,MATCH(VLOOKUP($A16,main!$A$3:$I$56,7,FALSE),main!$K$18:$O$18,0),0))),0)</f>
        <v>300</v>
      </c>
      <c r="K16">
        <f>IF((gamma!K16),IF(VLOOKUP(K$1,main!$A$3:$I$56,7,FALSE)=VLOOKUP($A16,main!$A$3:$I$56,8,FALSE),VLOOKUP(K$1,main!$A$3:$I$56,4,FALSE),VLOOKUP(K$1,main!$A$3:$I$56,4,FALSE)+VLOOKUP($A16,main!$A$3:$I$56,4,FALSE)+(VLOOKUP(VLOOKUP(K$1,main!$A$3:$I$56,8,FALSE),main!$K$19:$O$22,MATCH(VLOOKUP($A16,main!$A$3:$I$56,7,FALSE),main!$K$18:$O$18,0),0))),0)</f>
        <v>0</v>
      </c>
      <c r="L16">
        <f>IF((gamma!L16),IF(VLOOKUP(L$1,main!$A$3:$I$56,7,FALSE)=VLOOKUP($A16,main!$A$3:$I$56,8,FALSE),VLOOKUP(L$1,main!$A$3:$I$56,4,FALSE),VLOOKUP(L$1,main!$A$3:$I$56,4,FALSE)+VLOOKUP($A16,main!$A$3:$I$56,4,FALSE)+(VLOOKUP(VLOOKUP(L$1,main!$A$3:$I$56,8,FALSE),main!$K$19:$O$22,MATCH(VLOOKUP($A16,main!$A$3:$I$56,7,FALSE),main!$K$18:$O$18,0),0))),0)</f>
        <v>0</v>
      </c>
      <c r="M16">
        <f>IF((gamma!M16),IF(VLOOKUP(M$1,main!$A$3:$I$56,7,FALSE)=VLOOKUP($A16,main!$A$3:$I$56,8,FALSE),VLOOKUP(M$1,main!$A$3:$I$56,4,FALSE),VLOOKUP(M$1,main!$A$3:$I$56,4,FALSE)+VLOOKUP($A16,main!$A$3:$I$56,4,FALSE)+(VLOOKUP(VLOOKUP(M$1,main!$A$3:$I$56,8,FALSE),main!$K$19:$O$22,MATCH(VLOOKUP($A16,main!$A$3:$I$56,7,FALSE),main!$K$18:$O$18,0),0))),0)</f>
        <v>310</v>
      </c>
      <c r="N16">
        <f>IF((gamma!N16),IF(VLOOKUP(N$1,main!$A$3:$I$56,7,FALSE)=VLOOKUP($A16,main!$A$3:$I$56,8,FALSE),VLOOKUP(N$1,main!$A$3:$I$56,4,FALSE),VLOOKUP(N$1,main!$A$3:$I$56,4,FALSE)+VLOOKUP($A16,main!$A$3:$I$56,4,FALSE)+(VLOOKUP(VLOOKUP(N$1,main!$A$3:$I$56,8,FALSE),main!$K$19:$O$22,MATCH(VLOOKUP($A16,main!$A$3:$I$56,7,FALSE),main!$K$18:$O$18,0),0))),0)</f>
        <v>310</v>
      </c>
      <c r="O16">
        <f>IF((gamma!O16),IF(VLOOKUP(O$1,main!$A$3:$I$56,7,FALSE)=VLOOKUP($A16,main!$A$3:$I$56,8,FALSE),VLOOKUP(O$1,main!$A$3:$I$56,4,FALSE),VLOOKUP(O$1,main!$A$3:$I$56,4,FALSE)+VLOOKUP($A16,main!$A$3:$I$56,4,FALSE)+(VLOOKUP(VLOOKUP(O$1,main!$A$3:$I$56,8,FALSE),main!$K$19:$O$22,MATCH(VLOOKUP($A16,main!$A$3:$I$56,7,FALSE),main!$K$18:$O$18,0),0))),0)</f>
        <v>310</v>
      </c>
      <c r="P16">
        <f>IF((gamma!P16),IF(VLOOKUP(P$1,main!$A$3:$I$56,7,FALSE)=VLOOKUP($A16,main!$A$3:$I$56,8,FALSE),VLOOKUP(P$1,main!$A$3:$I$56,4,FALSE),VLOOKUP(P$1,main!$A$3:$I$56,4,FALSE)+VLOOKUP($A16,main!$A$3:$I$56,4,FALSE)+(VLOOKUP(VLOOKUP(P$1,main!$A$3:$I$56,8,FALSE),main!$K$19:$O$22,MATCH(VLOOKUP($A16,main!$A$3:$I$56,7,FALSE),main!$K$18:$O$18,0),0))),0)</f>
        <v>0</v>
      </c>
      <c r="Q16">
        <f>IF((gamma!Q16),IF(VLOOKUP(Q$1,main!$A$3:$I$56,7,FALSE)=VLOOKUP($A16,main!$A$3:$I$56,8,FALSE),VLOOKUP(Q$1,main!$A$3:$I$56,4,FALSE),VLOOKUP(Q$1,main!$A$3:$I$56,4,FALSE)+VLOOKUP($A16,main!$A$3:$I$56,4,FALSE)+(VLOOKUP(VLOOKUP(Q$1,main!$A$3:$I$56,8,FALSE),main!$K$19:$O$22,MATCH(VLOOKUP($A16,main!$A$3:$I$56,7,FALSE),main!$K$18:$O$18,0),0))),0)</f>
        <v>0</v>
      </c>
      <c r="R16">
        <f>IF((gamma!R16),IF(VLOOKUP(R$1,main!$A$3:$I$56,7,FALSE)=VLOOKUP($A16,main!$A$3:$I$56,8,FALSE),VLOOKUP(R$1,main!$A$3:$I$56,4,FALSE),VLOOKUP(R$1,main!$A$3:$I$56,4,FALSE)+VLOOKUP($A16,main!$A$3:$I$56,4,FALSE)+(VLOOKUP(VLOOKUP(R$1,main!$A$3:$I$56,8,FALSE),main!$K$19:$O$22,MATCH(VLOOKUP($A16,main!$A$3:$I$56,7,FALSE),main!$K$18:$O$18,0),0))),0)</f>
        <v>310</v>
      </c>
      <c r="S16">
        <f>IF((gamma!S16),IF(VLOOKUP(S$1,main!$A$3:$I$56,7,FALSE)=VLOOKUP($A16,main!$A$3:$I$56,8,FALSE),VLOOKUP(S$1,main!$A$3:$I$56,4,FALSE),VLOOKUP(S$1,main!$A$3:$I$56,4,FALSE)+VLOOKUP($A16,main!$A$3:$I$56,4,FALSE)+(VLOOKUP(VLOOKUP(S$1,main!$A$3:$I$56,8,FALSE),main!$K$19:$O$22,MATCH(VLOOKUP($A16,main!$A$3:$I$56,7,FALSE),main!$K$18:$O$18,0),0))),0)</f>
        <v>315</v>
      </c>
      <c r="T16">
        <f>IF((gamma!T16),IF(VLOOKUP(T$1,main!$A$3:$I$56,7,FALSE)=VLOOKUP($A16,main!$A$3:$I$56,8,FALSE),VLOOKUP(T$1,main!$A$3:$I$56,4,FALSE),VLOOKUP(T$1,main!$A$3:$I$56,4,FALSE)+VLOOKUP($A16,main!$A$3:$I$56,4,FALSE)+(VLOOKUP(VLOOKUP(T$1,main!$A$3:$I$56,8,FALSE),main!$K$19:$O$22,MATCH(VLOOKUP($A16,main!$A$3:$I$56,7,FALSE),main!$K$18:$O$18,0),0))),0)</f>
        <v>315</v>
      </c>
      <c r="U16">
        <f>IF((gamma!U16),IF(VLOOKUP(U$1,main!$A$3:$I$56,7,FALSE)=VLOOKUP($A16,main!$A$3:$I$56,8,FALSE),VLOOKUP(U$1,main!$A$3:$I$56,4,FALSE),VLOOKUP(U$1,main!$A$3:$I$56,4,FALSE)+VLOOKUP($A16,main!$A$3:$I$56,4,FALSE)+(VLOOKUP(VLOOKUP(U$1,main!$A$3:$I$56,8,FALSE),main!$K$19:$O$22,MATCH(VLOOKUP($A16,main!$A$3:$I$56,7,FALSE),main!$K$18:$O$18,0),0))),0)</f>
        <v>0</v>
      </c>
      <c r="V16">
        <f>IF((gamma!V16),IF(VLOOKUP(V$1,main!$A$3:$I$56,7,FALSE)=VLOOKUP($A16,main!$A$3:$I$56,8,FALSE),VLOOKUP(V$1,main!$A$3:$I$56,4,FALSE),VLOOKUP(V$1,main!$A$3:$I$56,4,FALSE)+VLOOKUP($A16,main!$A$3:$I$56,4,FALSE)+(VLOOKUP(VLOOKUP(V$1,main!$A$3:$I$56,8,FALSE),main!$K$19:$O$22,MATCH(VLOOKUP($A16,main!$A$3:$I$56,7,FALSE),main!$K$18:$O$18,0),0))),0)</f>
        <v>0</v>
      </c>
      <c r="W16">
        <f>IF((gamma!W16),IF(VLOOKUP(W$1,main!$A$3:$I$56,7,FALSE)=VLOOKUP($A16,main!$A$3:$I$56,8,FALSE),VLOOKUP(W$1,main!$A$3:$I$56,4,FALSE),VLOOKUP(W$1,main!$A$3:$I$56,4,FALSE)+VLOOKUP($A16,main!$A$3:$I$56,4,FALSE)+(VLOOKUP(VLOOKUP(W$1,main!$A$3:$I$56,8,FALSE),main!$K$19:$O$22,MATCH(VLOOKUP($A16,main!$A$3:$I$56,7,FALSE),main!$K$18:$O$18,0),0))),0)</f>
        <v>0</v>
      </c>
      <c r="X16">
        <f>IF((gamma!X16),IF(VLOOKUP(X$1,main!$A$3:$I$56,7,FALSE)=VLOOKUP($A16,main!$A$3:$I$56,8,FALSE),VLOOKUP(X$1,main!$A$3:$I$56,4,FALSE),VLOOKUP(X$1,main!$A$3:$I$56,4,FALSE)+VLOOKUP($A16,main!$A$3:$I$56,4,FALSE)+(VLOOKUP(VLOOKUP(X$1,main!$A$3:$I$56,8,FALSE),main!$K$19:$O$22,MATCH(VLOOKUP($A16,main!$A$3:$I$56,7,FALSE),main!$K$18:$O$18,0),0))),0)</f>
        <v>275</v>
      </c>
      <c r="Y16">
        <f>IF((gamma!Y16),IF(VLOOKUP(Y$1,main!$A$3:$I$56,7,FALSE)=VLOOKUP($A16,main!$A$3:$I$56,8,FALSE),VLOOKUP(Y$1,main!$A$3:$I$56,4,FALSE),VLOOKUP(Y$1,main!$A$3:$I$56,4,FALSE)+VLOOKUP($A16,main!$A$3:$I$56,4,FALSE)+(VLOOKUP(VLOOKUP(Y$1,main!$A$3:$I$56,8,FALSE),main!$K$19:$O$22,MATCH(VLOOKUP($A16,main!$A$3:$I$56,7,FALSE),main!$K$18:$O$18,0),0))),0)</f>
        <v>275</v>
      </c>
      <c r="Z16">
        <f>IF((gamma!Z16),IF(VLOOKUP(Z$1,main!$A$3:$I$56,7,FALSE)=VLOOKUP($A16,main!$A$3:$I$56,8,FALSE),VLOOKUP(Z$1,main!$A$3:$I$56,4,FALSE),VLOOKUP(Z$1,main!$A$3:$I$56,4,FALSE)+VLOOKUP($A16,main!$A$3:$I$56,4,FALSE)+(VLOOKUP(VLOOKUP(Z$1,main!$A$3:$I$56,8,FALSE),main!$K$19:$O$22,MATCH(VLOOKUP($A16,main!$A$3:$I$56,7,FALSE),main!$K$18:$O$18,0),0))),0)</f>
        <v>275</v>
      </c>
      <c r="AA16">
        <f>IF((gamma!AA16),IF(VLOOKUP(AA$1,main!$A$3:$I$56,7,FALSE)=VLOOKUP($A16,main!$A$3:$I$56,8,FALSE),VLOOKUP(AA$1,main!$A$3:$I$56,4,FALSE),VLOOKUP(AA$1,main!$A$3:$I$56,4,FALSE)+VLOOKUP($A16,main!$A$3:$I$56,4,FALSE)+(VLOOKUP(VLOOKUP(AA$1,main!$A$3:$I$56,8,FALSE),main!$K$19:$O$22,MATCH(VLOOKUP($A16,main!$A$3:$I$56,7,FALSE),main!$K$18:$O$18,0),0))),0)</f>
        <v>275</v>
      </c>
      <c r="AB16">
        <f>IF((gamma!AB16),IF(VLOOKUP(AB$1,main!$A$3:$I$56,7,FALSE)=VLOOKUP($A16,main!$A$3:$I$56,8,FALSE),VLOOKUP(AB$1,main!$A$3:$I$56,4,FALSE),VLOOKUP(AB$1,main!$A$3:$I$56,4,FALSE)+VLOOKUP($A16,main!$A$3:$I$56,4,FALSE)+(VLOOKUP(VLOOKUP(AB$1,main!$A$3:$I$56,8,FALSE),main!$K$19:$O$22,MATCH(VLOOKUP($A16,main!$A$3:$I$56,7,FALSE),main!$K$18:$O$18,0),0))),0)</f>
        <v>275</v>
      </c>
      <c r="AC16">
        <f>IF((gamma!AC16),IF(VLOOKUP(AC$1,main!$A$3:$I$56,7,FALSE)=VLOOKUP($A16,main!$A$3:$I$56,8,FALSE),VLOOKUP(AC$1,main!$A$3:$I$56,4,FALSE),VLOOKUP(AC$1,main!$A$3:$I$56,4,FALSE)+VLOOKUP($A16,main!$A$3:$I$56,4,FALSE)+(VLOOKUP(VLOOKUP(AC$1,main!$A$3:$I$56,8,FALSE),main!$K$19:$O$22,MATCH(VLOOKUP($A16,main!$A$3:$I$56,7,FALSE),main!$K$18:$O$18,0),0))),0)</f>
        <v>0</v>
      </c>
      <c r="AD16">
        <f>IF((gamma!AD16),IF(VLOOKUP(AD$1,main!$A$3:$I$56,7,FALSE)=VLOOKUP($A16,main!$A$3:$I$56,8,FALSE),VLOOKUP(AD$1,main!$A$3:$I$56,4,FALSE),VLOOKUP(AD$1,main!$A$3:$I$56,4,FALSE)+VLOOKUP($A16,main!$A$3:$I$56,4,FALSE)+(VLOOKUP(VLOOKUP(AD$1,main!$A$3:$I$56,8,FALSE),main!$K$19:$O$22,MATCH(VLOOKUP($A16,main!$A$3:$I$56,7,FALSE),main!$K$18:$O$18,0),0))),0)</f>
        <v>0</v>
      </c>
      <c r="AE16">
        <f>IF((gamma!AE16),IF(VLOOKUP(AE$1,main!$A$3:$I$56,7,FALSE)=VLOOKUP($A16,main!$A$3:$I$56,8,FALSE),VLOOKUP(AE$1,main!$A$3:$I$56,4,FALSE),VLOOKUP(AE$1,main!$A$3:$I$56,4,FALSE)+VLOOKUP($A16,main!$A$3:$I$56,4,FALSE)+(VLOOKUP(VLOOKUP(AE$1,main!$A$3:$I$56,8,FALSE),main!$K$19:$O$22,MATCH(VLOOKUP($A16,main!$A$3:$I$56,7,FALSE),main!$K$18:$O$18,0),0))),0)</f>
        <v>290</v>
      </c>
      <c r="AF16">
        <f>IF((gamma!AF16),IF(VLOOKUP(AF$1,main!$A$3:$I$56,7,FALSE)=VLOOKUP($A16,main!$A$3:$I$56,8,FALSE),VLOOKUP(AF$1,main!$A$3:$I$56,4,FALSE),VLOOKUP(AF$1,main!$A$3:$I$56,4,FALSE)+VLOOKUP($A16,main!$A$3:$I$56,4,FALSE)+(VLOOKUP(VLOOKUP(AF$1,main!$A$3:$I$56,8,FALSE),main!$K$19:$O$22,MATCH(VLOOKUP($A16,main!$A$3:$I$56,7,FALSE),main!$K$18:$O$18,0),0))),0)</f>
        <v>300</v>
      </c>
      <c r="AG16">
        <f>IF((gamma!AG16),IF(VLOOKUP(AG$1,main!$A$3:$I$56,7,FALSE)=VLOOKUP($A16,main!$A$3:$I$56,8,FALSE),VLOOKUP(AG$1,main!$A$3:$I$56,4,FALSE),VLOOKUP(AG$1,main!$A$3:$I$56,4,FALSE)+VLOOKUP($A16,main!$A$3:$I$56,4,FALSE)+(VLOOKUP(VLOOKUP(AG$1,main!$A$3:$I$56,8,FALSE),main!$K$19:$O$22,MATCH(VLOOKUP($A16,main!$A$3:$I$56,7,FALSE),main!$K$18:$O$18,0),0))),0)</f>
        <v>0</v>
      </c>
      <c r="AH16">
        <f>IF((gamma!AH16),IF(VLOOKUP(AH$1,main!$A$3:$I$56,7,FALSE)=VLOOKUP($A16,main!$A$3:$I$56,8,FALSE),VLOOKUP(AH$1,main!$A$3:$I$56,4,FALSE),VLOOKUP(AH$1,main!$A$3:$I$56,4,FALSE)+VLOOKUP($A16,main!$A$3:$I$56,4,FALSE)+(VLOOKUP(VLOOKUP(AH$1,main!$A$3:$I$56,8,FALSE),main!$K$19:$O$22,MATCH(VLOOKUP($A16,main!$A$3:$I$56,7,FALSE),main!$K$18:$O$18,0),0))),0)</f>
        <v>0</v>
      </c>
      <c r="AI16">
        <f>IF((gamma!AI16),IF(VLOOKUP(AI$1,main!$A$3:$I$56,7,FALSE)=VLOOKUP($A16,main!$A$3:$I$56,8,FALSE),VLOOKUP(AI$1,main!$A$3:$I$56,4,FALSE),VLOOKUP(AI$1,main!$A$3:$I$56,4,FALSE)+VLOOKUP($A16,main!$A$3:$I$56,4,FALSE)+(VLOOKUP(VLOOKUP(AI$1,main!$A$3:$I$56,8,FALSE),main!$K$19:$O$22,MATCH(VLOOKUP($A16,main!$A$3:$I$56,7,FALSE),main!$K$18:$O$18,0),0))),0)</f>
        <v>280</v>
      </c>
      <c r="AJ16">
        <f>IF((gamma!AJ16),IF(VLOOKUP(AJ$1,main!$A$3:$I$56,7,FALSE)=VLOOKUP($A16,main!$A$3:$I$56,8,FALSE),VLOOKUP(AJ$1,main!$A$3:$I$56,4,FALSE),VLOOKUP(AJ$1,main!$A$3:$I$56,4,FALSE)+VLOOKUP($A16,main!$A$3:$I$56,4,FALSE)+(VLOOKUP(VLOOKUP(AJ$1,main!$A$3:$I$56,8,FALSE),main!$K$19:$O$22,MATCH(VLOOKUP($A16,main!$A$3:$I$56,7,FALSE),main!$K$18:$O$18,0),0))),0)</f>
        <v>280</v>
      </c>
      <c r="AK16">
        <f>IF((gamma!AK16),IF(VLOOKUP(AK$1,main!$A$3:$I$56,7,FALSE)=VLOOKUP($A16,main!$A$3:$I$56,8,FALSE),VLOOKUP(AK$1,main!$A$3:$I$56,4,FALSE),VLOOKUP(AK$1,main!$A$3:$I$56,4,FALSE)+VLOOKUP($A16,main!$A$3:$I$56,4,FALSE)+(VLOOKUP(VLOOKUP(AK$1,main!$A$3:$I$56,8,FALSE),main!$K$19:$O$22,MATCH(VLOOKUP($A16,main!$A$3:$I$56,7,FALSE),main!$K$18:$O$18,0),0))),0)</f>
        <v>280</v>
      </c>
      <c r="AL16">
        <f>IF((gamma!AL16),IF(VLOOKUP(AL$1,main!$A$3:$I$56,7,FALSE)=VLOOKUP($A16,main!$A$3:$I$56,8,FALSE),VLOOKUP(AL$1,main!$A$3:$I$56,4,FALSE),VLOOKUP(AL$1,main!$A$3:$I$56,4,FALSE)+VLOOKUP($A16,main!$A$3:$I$56,4,FALSE)+(VLOOKUP(VLOOKUP(AL$1,main!$A$3:$I$56,8,FALSE),main!$K$19:$O$22,MATCH(VLOOKUP($A16,main!$A$3:$I$56,7,FALSE),main!$K$18:$O$18,0),0))),0)</f>
        <v>0</v>
      </c>
      <c r="AM16">
        <f>IF((gamma!AM16),IF(VLOOKUP(AM$1,main!$A$3:$I$56,7,FALSE)=VLOOKUP($A16,main!$A$3:$I$56,8,FALSE),VLOOKUP(AM$1,main!$A$3:$I$56,4,FALSE),VLOOKUP(AM$1,main!$A$3:$I$56,4,FALSE)+VLOOKUP($A16,main!$A$3:$I$56,4,FALSE)+(VLOOKUP(VLOOKUP(AM$1,main!$A$3:$I$56,8,FALSE),main!$K$19:$O$22,MATCH(VLOOKUP($A16,main!$A$3:$I$56,7,FALSE),main!$K$18:$O$18,0),0))),0)</f>
        <v>0</v>
      </c>
      <c r="AN16">
        <f>IF((gamma!AN16),IF(VLOOKUP(AN$1,main!$A$3:$I$56,7,FALSE)=VLOOKUP($A16,main!$A$3:$I$56,8,FALSE),VLOOKUP(AN$1,main!$A$3:$I$56,4,FALSE),VLOOKUP(AN$1,main!$A$3:$I$56,4,FALSE)+VLOOKUP($A16,main!$A$3:$I$56,4,FALSE)+(VLOOKUP(VLOOKUP(AN$1,main!$A$3:$I$56,8,FALSE),main!$K$19:$O$22,MATCH(VLOOKUP($A16,main!$A$3:$I$56,7,FALSE),main!$K$18:$O$18,0),0))),0)</f>
        <v>285</v>
      </c>
      <c r="AO16">
        <f>IF((gamma!AO16),IF(VLOOKUP(AO$1,main!$A$3:$I$56,7,FALSE)=VLOOKUP($A16,main!$A$3:$I$56,8,FALSE),VLOOKUP(AO$1,main!$A$3:$I$56,4,FALSE),VLOOKUP(AO$1,main!$A$3:$I$56,4,FALSE)+VLOOKUP($A16,main!$A$3:$I$56,4,FALSE)+(VLOOKUP(VLOOKUP(AO$1,main!$A$3:$I$56,8,FALSE),main!$K$19:$O$22,MATCH(VLOOKUP($A16,main!$A$3:$I$56,7,FALSE),main!$K$18:$O$18,0),0))),0)</f>
        <v>295</v>
      </c>
      <c r="AP16">
        <f>IF((gamma!AP16),IF(VLOOKUP(AP$1,main!$A$3:$I$56,7,FALSE)=VLOOKUP($A16,main!$A$3:$I$56,8,FALSE),VLOOKUP(AP$1,main!$A$3:$I$56,4,FALSE),VLOOKUP(AP$1,main!$A$3:$I$56,4,FALSE)+VLOOKUP($A16,main!$A$3:$I$56,4,FALSE)+(VLOOKUP(VLOOKUP(AP$1,main!$A$3:$I$56,8,FALSE),main!$K$19:$O$22,MATCH(VLOOKUP($A16,main!$A$3:$I$56,7,FALSE),main!$K$18:$O$18,0),0))),0)</f>
        <v>0</v>
      </c>
      <c r="AQ16">
        <f>IF((gamma!AQ16),IF(VLOOKUP(AQ$1,main!$A$3:$I$56,7,FALSE)=VLOOKUP($A16,main!$A$3:$I$56,8,FALSE),VLOOKUP(AQ$1,main!$A$3:$I$56,4,FALSE),VLOOKUP(AQ$1,main!$A$3:$I$56,4,FALSE)+VLOOKUP($A16,main!$A$3:$I$56,4,FALSE)+(VLOOKUP(VLOOKUP(AQ$1,main!$A$3:$I$56,8,FALSE),main!$K$19:$O$22,MATCH(VLOOKUP($A16,main!$A$3:$I$56,7,FALSE),main!$K$18:$O$18,0),0))),0)</f>
        <v>0</v>
      </c>
      <c r="AR16">
        <f>IF((gamma!AR16),IF(VLOOKUP(AR$1,main!$A$3:$I$56,7,FALSE)=VLOOKUP($A16,main!$A$3:$I$56,8,FALSE),VLOOKUP(AR$1,main!$A$3:$I$56,4,FALSE),VLOOKUP(AR$1,main!$A$3:$I$56,4,FALSE)+VLOOKUP($A16,main!$A$3:$I$56,4,FALSE)+(VLOOKUP(VLOOKUP(AR$1,main!$A$3:$I$56,8,FALSE),main!$K$19:$O$22,MATCH(VLOOKUP($A16,main!$A$3:$I$56,7,FALSE),main!$K$18:$O$18,0),0))),0)</f>
        <v>0</v>
      </c>
      <c r="AS16">
        <f>IF((gamma!AS16),IF(VLOOKUP(AS$1,main!$A$3:$I$56,7,FALSE)=VLOOKUP($A16,main!$A$3:$I$56,8,FALSE),VLOOKUP(AS$1,main!$A$3:$I$56,4,FALSE),VLOOKUP(AS$1,main!$A$3:$I$56,4,FALSE)+VLOOKUP($A16,main!$A$3:$I$56,4,FALSE)+(VLOOKUP(VLOOKUP(AS$1,main!$A$3:$I$56,8,FALSE),main!$K$19:$O$22,MATCH(VLOOKUP($A16,main!$A$3:$I$56,7,FALSE),main!$K$18:$O$18,0),0))),0)</f>
        <v>310</v>
      </c>
      <c r="AT16">
        <f>IF((gamma!AT16),IF(VLOOKUP(AT$1,main!$A$3:$I$56,7,FALSE)=VLOOKUP($A16,main!$A$3:$I$56,8,FALSE),VLOOKUP(AT$1,main!$A$3:$I$56,4,FALSE),VLOOKUP(AT$1,main!$A$3:$I$56,4,FALSE)+VLOOKUP($A16,main!$A$3:$I$56,4,FALSE)+(VLOOKUP(VLOOKUP(AT$1,main!$A$3:$I$56,8,FALSE),main!$K$19:$O$22,MATCH(VLOOKUP($A16,main!$A$3:$I$56,7,FALSE),main!$K$18:$O$18,0),0))),0)</f>
        <v>295</v>
      </c>
      <c r="AU16">
        <f>IF((gamma!AU16),IF(VLOOKUP(AU$1,main!$A$3:$I$56,7,FALSE)=VLOOKUP($A16,main!$A$3:$I$56,8,FALSE),VLOOKUP(AU$1,main!$A$3:$I$56,4,FALSE),VLOOKUP(AU$1,main!$A$3:$I$56,4,FALSE)+VLOOKUP($A16,main!$A$3:$I$56,4,FALSE)+(VLOOKUP(VLOOKUP(AU$1,main!$A$3:$I$56,8,FALSE),main!$K$19:$O$22,MATCH(VLOOKUP($A16,main!$A$3:$I$56,7,FALSE),main!$K$18:$O$18,0),0))),0)</f>
        <v>140</v>
      </c>
      <c r="AV16">
        <f>IF((gamma!AV16),IF(VLOOKUP(AV$1,main!$A$3:$I$56,7,FALSE)=VLOOKUP($A16,main!$A$3:$I$56,8,FALSE),VLOOKUP(AV$1,main!$A$3:$I$56,4,FALSE),VLOOKUP(AV$1,main!$A$3:$I$56,4,FALSE)+VLOOKUP($A16,main!$A$3:$I$56,4,FALSE)+(VLOOKUP(VLOOKUP(AV$1,main!$A$3:$I$56,8,FALSE),main!$K$19:$O$22,MATCH(VLOOKUP($A16,main!$A$3:$I$56,7,FALSE),main!$K$18:$O$18,0),0))),0)</f>
        <v>135</v>
      </c>
      <c r="AW16">
        <f>IF((gamma!AW16),IF(VLOOKUP(AW$1,main!$A$3:$I$56,7,FALSE)=VLOOKUP($A16,main!$A$3:$I$56,8,FALSE),VLOOKUP(AW$1,main!$A$3:$I$56,4,FALSE),VLOOKUP(AW$1,main!$A$3:$I$56,4,FALSE)+VLOOKUP($A16,main!$A$3:$I$56,4,FALSE)+(VLOOKUP(VLOOKUP(AW$1,main!$A$3:$I$56,8,FALSE),main!$K$19:$O$22,MATCH(VLOOKUP($A16,main!$A$3:$I$56,7,FALSE),main!$K$18:$O$18,0),0))),0)</f>
        <v>140</v>
      </c>
      <c r="AX16">
        <f>IF((gamma!AX16),IF(VLOOKUP(AX$1,main!$A$3:$I$56,7,FALSE)=VLOOKUP($A16,main!$A$3:$I$56,8,FALSE),VLOOKUP(AX$1,main!$A$3:$I$56,4,FALSE),VLOOKUP(AX$1,main!$A$3:$I$56,4,FALSE)+VLOOKUP($A16,main!$A$3:$I$56,4,FALSE)+(VLOOKUP(VLOOKUP(AX$1,main!$A$3:$I$56,8,FALSE),main!$K$19:$O$22,MATCH(VLOOKUP($A16,main!$A$3:$I$56,7,FALSE),main!$K$18:$O$18,0),0))),0)</f>
        <v>140</v>
      </c>
      <c r="AY16">
        <f>IF((gamma!AY16),IF(VLOOKUP(AY$1,main!$A$3:$I$56,7,FALSE)=VLOOKUP($A16,main!$A$3:$I$56,8,FALSE),VLOOKUP(AY$1,main!$A$3:$I$56,4,FALSE),VLOOKUP(AY$1,main!$A$3:$I$56,4,FALSE)+VLOOKUP($A16,main!$A$3:$I$56,4,FALSE)+(VLOOKUP(VLOOKUP(AY$1,main!$A$3:$I$56,8,FALSE),main!$K$19:$O$22,MATCH(VLOOKUP($A16,main!$A$3:$I$56,7,FALSE),main!$K$18:$O$18,0),0))),0)</f>
        <v>140</v>
      </c>
      <c r="AZ16">
        <f>IF((gamma!AZ16),IF(VLOOKUP(AZ$1,main!$A$3:$I$56,7,FALSE)=VLOOKUP($A16,main!$A$3:$I$56,8,FALSE),VLOOKUP(AZ$1,main!$A$3:$I$56,4,FALSE),VLOOKUP(AZ$1,main!$A$3:$I$56,4,FALSE)+VLOOKUP($A16,main!$A$3:$I$56,4,FALSE)+(VLOOKUP(VLOOKUP(AZ$1,main!$A$3:$I$56,8,FALSE),main!$K$19:$O$22,MATCH(VLOOKUP($A16,main!$A$3:$I$56,7,FALSE),main!$K$18:$O$18,0),0))),0)</f>
        <v>0</v>
      </c>
      <c r="BA16">
        <f>IF((gamma!BA16),IF(VLOOKUP(BA$1,main!$A$3:$I$56,7,FALSE)=VLOOKUP($A16,main!$A$3:$I$56,8,FALSE),VLOOKUP(BA$1,main!$A$3:$I$56,4,FALSE),VLOOKUP(BA$1,main!$A$3:$I$56,4,FALSE)+VLOOKUP($A16,main!$A$3:$I$56,4,FALSE)+(VLOOKUP(VLOOKUP(BA$1,main!$A$3:$I$56,8,FALSE),main!$K$19:$O$22,MATCH(VLOOKUP($A16,main!$A$3:$I$56,7,FALSE),main!$K$18:$O$18,0),0))),0)</f>
        <v>120</v>
      </c>
      <c r="BB16">
        <f>IF((gamma!BB16),IF(VLOOKUP(BB$1,main!$A$3:$I$56,7,FALSE)=VLOOKUP($A16,main!$A$3:$I$56,8,FALSE),VLOOKUP(BB$1,main!$A$3:$I$56,4,FALSE),VLOOKUP(BB$1,main!$A$3:$I$56,4,FALSE)+VLOOKUP($A16,main!$A$3:$I$56,4,FALSE)+(VLOOKUP(VLOOKUP(BB$1,main!$A$3:$I$56,8,FALSE),main!$K$19:$O$22,MATCH(VLOOKUP($A16,main!$A$3:$I$56,7,FALSE),main!$K$18:$O$18,0),0))),0)</f>
        <v>120</v>
      </c>
      <c r="BC16">
        <f>IF((gamma!BC16),IF(VLOOKUP(BC$1,main!$A$3:$I$56,7,FALSE)=VLOOKUP($A16,main!$A$3:$I$56,8,FALSE),VLOOKUP(BC$1,main!$A$3:$I$56,4,FALSE),VLOOKUP(BC$1,main!$A$3:$I$56,4,FALSE)+VLOOKUP($A16,main!$A$3:$I$56,4,FALSE)+(VLOOKUP(VLOOKUP(BC$1,main!$A$3:$I$56,8,FALSE),main!$K$19:$O$22,MATCH(VLOOKUP($A16,main!$A$3:$I$56,7,FALSE),main!$K$18:$O$18,0),0))),0)</f>
        <v>135</v>
      </c>
      <c r="BD16">
        <f>IF((gamma!BD16),IF(VLOOKUP(BD$1,main!$A$3:$I$56,7,FALSE)=VLOOKUP($A16,main!$A$3:$I$56,8,FALSE),VLOOKUP(BD$1,main!$A$3:$I$56,4,FALSE),VLOOKUP(BD$1,main!$A$3:$I$56,4,FALSE)+VLOOKUP($A16,main!$A$3:$I$56,4,FALSE)+(VLOOKUP(VLOOKUP(BD$1,main!$A$3:$I$56,8,FALSE),main!$K$19:$O$22,MATCH(VLOOKUP($A16,main!$A$3:$I$56,7,FALSE),main!$K$18:$O$18,0),0))),0)</f>
        <v>135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>
        <f t="shared" si="0"/>
        <v>15</v>
      </c>
      <c r="B17">
        <v>0</v>
      </c>
      <c r="C17">
        <f>IF((gamma!C17),IF(VLOOKUP(C$1,main!$A$3:$I$56,7,FALSE)=VLOOKUP($A17,main!$A$3:$I$56,8,FALSE),VLOOKUP(C$1,main!$A$3:$I$56,4,FALSE),VLOOKUP(C$1,main!$A$3:$I$56,4,FALSE)+VLOOKUP($A17,main!$A$3:$I$56,4,FALSE)+(VLOOKUP(VLOOKUP(C$1,main!$A$3:$I$56,8,FALSE),main!$K$19:$O$22,MATCH(VLOOKUP($A17,main!$A$3:$I$56,7,FALSE),main!$K$18:$O$18,0),0))),0)</f>
        <v>0</v>
      </c>
      <c r="D17">
        <f>IF((gamma!D17),IF(VLOOKUP(D$1,main!$A$3:$I$56,7,FALSE)=VLOOKUP($A17,main!$A$3:$I$56,8,FALSE),VLOOKUP(D$1,main!$A$3:$I$56,4,FALSE),VLOOKUP(D$1,main!$A$3:$I$56,4,FALSE)+VLOOKUP($A17,main!$A$3:$I$56,4,FALSE)+(VLOOKUP(VLOOKUP(D$1,main!$A$3:$I$56,8,FALSE),main!$K$19:$O$22,MATCH(VLOOKUP($A17,main!$A$3:$I$56,7,FALSE),main!$K$18:$O$18,0),0))),0)</f>
        <v>0</v>
      </c>
      <c r="E17">
        <f>IF((gamma!E17),IF(VLOOKUP(E$1,main!$A$3:$I$56,7,FALSE)=VLOOKUP($A17,main!$A$3:$I$56,8,FALSE),VLOOKUP(E$1,main!$A$3:$I$56,4,FALSE),VLOOKUP(E$1,main!$A$3:$I$56,4,FALSE)+VLOOKUP($A17,main!$A$3:$I$56,4,FALSE)+(VLOOKUP(VLOOKUP(E$1,main!$A$3:$I$56,8,FALSE),main!$K$19:$O$22,MATCH(VLOOKUP($A17,main!$A$3:$I$56,7,FALSE),main!$K$18:$O$18,0),0))),0)</f>
        <v>300</v>
      </c>
      <c r="F17">
        <f>IF((gamma!F17),IF(VLOOKUP(F$1,main!$A$3:$I$56,7,FALSE)=VLOOKUP($A17,main!$A$3:$I$56,8,FALSE),VLOOKUP(F$1,main!$A$3:$I$56,4,FALSE),VLOOKUP(F$1,main!$A$3:$I$56,4,FALSE)+VLOOKUP($A17,main!$A$3:$I$56,4,FALSE)+(VLOOKUP(VLOOKUP(F$1,main!$A$3:$I$56,8,FALSE),main!$K$19:$O$22,MATCH(VLOOKUP($A17,main!$A$3:$I$56,7,FALSE),main!$K$18:$O$18,0),0))),0)</f>
        <v>300</v>
      </c>
      <c r="G17">
        <f>IF((gamma!G17),IF(VLOOKUP(G$1,main!$A$3:$I$56,7,FALSE)=VLOOKUP($A17,main!$A$3:$I$56,8,FALSE),VLOOKUP(G$1,main!$A$3:$I$56,4,FALSE),VLOOKUP(G$1,main!$A$3:$I$56,4,FALSE)+VLOOKUP($A17,main!$A$3:$I$56,4,FALSE)+(VLOOKUP(VLOOKUP(G$1,main!$A$3:$I$56,8,FALSE),main!$K$19:$O$22,MATCH(VLOOKUP($A17,main!$A$3:$I$56,7,FALSE),main!$K$18:$O$18,0),0))),0)</f>
        <v>300</v>
      </c>
      <c r="H17">
        <f>IF((gamma!H17),IF(VLOOKUP(H$1,main!$A$3:$I$56,7,FALSE)=VLOOKUP($A17,main!$A$3:$I$56,8,FALSE),VLOOKUP(H$1,main!$A$3:$I$56,4,FALSE),VLOOKUP(H$1,main!$A$3:$I$56,4,FALSE)+VLOOKUP($A17,main!$A$3:$I$56,4,FALSE)+(VLOOKUP(VLOOKUP(H$1,main!$A$3:$I$56,8,FALSE),main!$K$19:$O$22,MATCH(VLOOKUP($A17,main!$A$3:$I$56,7,FALSE),main!$K$18:$O$18,0),0))),0)</f>
        <v>300</v>
      </c>
      <c r="I17">
        <f>IF((gamma!I17),IF(VLOOKUP(I$1,main!$A$3:$I$56,7,FALSE)=VLOOKUP($A17,main!$A$3:$I$56,8,FALSE),VLOOKUP(I$1,main!$A$3:$I$56,4,FALSE),VLOOKUP(I$1,main!$A$3:$I$56,4,FALSE)+VLOOKUP($A17,main!$A$3:$I$56,4,FALSE)+(VLOOKUP(VLOOKUP(I$1,main!$A$3:$I$56,8,FALSE),main!$K$19:$O$22,MATCH(VLOOKUP($A17,main!$A$3:$I$56,7,FALSE),main!$K$18:$O$18,0),0))),0)</f>
        <v>300</v>
      </c>
      <c r="J17">
        <f>IF((gamma!J17),IF(VLOOKUP(J$1,main!$A$3:$I$56,7,FALSE)=VLOOKUP($A17,main!$A$3:$I$56,8,FALSE),VLOOKUP(J$1,main!$A$3:$I$56,4,FALSE),VLOOKUP(J$1,main!$A$3:$I$56,4,FALSE)+VLOOKUP($A17,main!$A$3:$I$56,4,FALSE)+(VLOOKUP(VLOOKUP(J$1,main!$A$3:$I$56,8,FALSE),main!$K$19:$O$22,MATCH(VLOOKUP($A17,main!$A$3:$I$56,7,FALSE),main!$K$18:$O$18,0),0))),0)</f>
        <v>300</v>
      </c>
      <c r="K17">
        <f>IF((gamma!K17),IF(VLOOKUP(K$1,main!$A$3:$I$56,7,FALSE)=VLOOKUP($A17,main!$A$3:$I$56,8,FALSE),VLOOKUP(K$1,main!$A$3:$I$56,4,FALSE),VLOOKUP(K$1,main!$A$3:$I$56,4,FALSE)+VLOOKUP($A17,main!$A$3:$I$56,4,FALSE)+(VLOOKUP(VLOOKUP(K$1,main!$A$3:$I$56,8,FALSE),main!$K$19:$O$22,MATCH(VLOOKUP($A17,main!$A$3:$I$56,7,FALSE),main!$K$18:$O$18,0),0))),0)</f>
        <v>0</v>
      </c>
      <c r="L17">
        <f>IF((gamma!L17),IF(VLOOKUP(L$1,main!$A$3:$I$56,7,FALSE)=VLOOKUP($A17,main!$A$3:$I$56,8,FALSE),VLOOKUP(L$1,main!$A$3:$I$56,4,FALSE),VLOOKUP(L$1,main!$A$3:$I$56,4,FALSE)+VLOOKUP($A17,main!$A$3:$I$56,4,FALSE)+(VLOOKUP(VLOOKUP(L$1,main!$A$3:$I$56,8,FALSE),main!$K$19:$O$22,MATCH(VLOOKUP($A17,main!$A$3:$I$56,7,FALSE),main!$K$18:$O$18,0),0))),0)</f>
        <v>0</v>
      </c>
      <c r="M17">
        <f>IF((gamma!M17),IF(VLOOKUP(M$1,main!$A$3:$I$56,7,FALSE)=VLOOKUP($A17,main!$A$3:$I$56,8,FALSE),VLOOKUP(M$1,main!$A$3:$I$56,4,FALSE),VLOOKUP(M$1,main!$A$3:$I$56,4,FALSE)+VLOOKUP($A17,main!$A$3:$I$56,4,FALSE)+(VLOOKUP(VLOOKUP(M$1,main!$A$3:$I$56,8,FALSE),main!$K$19:$O$22,MATCH(VLOOKUP($A17,main!$A$3:$I$56,7,FALSE),main!$K$18:$O$18,0),0))),0)</f>
        <v>0</v>
      </c>
      <c r="N17">
        <f>IF((gamma!N17),IF(VLOOKUP(N$1,main!$A$3:$I$56,7,FALSE)=VLOOKUP($A17,main!$A$3:$I$56,8,FALSE),VLOOKUP(N$1,main!$A$3:$I$56,4,FALSE),VLOOKUP(N$1,main!$A$3:$I$56,4,FALSE)+VLOOKUP($A17,main!$A$3:$I$56,4,FALSE)+(VLOOKUP(VLOOKUP(N$1,main!$A$3:$I$56,8,FALSE),main!$K$19:$O$22,MATCH(VLOOKUP($A17,main!$A$3:$I$56,7,FALSE),main!$K$18:$O$18,0),0))),0)</f>
        <v>310</v>
      </c>
      <c r="O17">
        <f>IF((gamma!O17),IF(VLOOKUP(O$1,main!$A$3:$I$56,7,FALSE)=VLOOKUP($A17,main!$A$3:$I$56,8,FALSE),VLOOKUP(O$1,main!$A$3:$I$56,4,FALSE),VLOOKUP(O$1,main!$A$3:$I$56,4,FALSE)+VLOOKUP($A17,main!$A$3:$I$56,4,FALSE)+(VLOOKUP(VLOOKUP(O$1,main!$A$3:$I$56,8,FALSE),main!$K$19:$O$22,MATCH(VLOOKUP($A17,main!$A$3:$I$56,7,FALSE),main!$K$18:$O$18,0),0))),0)</f>
        <v>310</v>
      </c>
      <c r="P17">
        <f>IF((gamma!P17),IF(VLOOKUP(P$1,main!$A$3:$I$56,7,FALSE)=VLOOKUP($A17,main!$A$3:$I$56,8,FALSE),VLOOKUP(P$1,main!$A$3:$I$56,4,FALSE),VLOOKUP(P$1,main!$A$3:$I$56,4,FALSE)+VLOOKUP($A17,main!$A$3:$I$56,4,FALSE)+(VLOOKUP(VLOOKUP(P$1,main!$A$3:$I$56,8,FALSE),main!$K$19:$O$22,MATCH(VLOOKUP($A17,main!$A$3:$I$56,7,FALSE),main!$K$18:$O$18,0),0))),0)</f>
        <v>0</v>
      </c>
      <c r="Q17">
        <f>IF((gamma!Q17),IF(VLOOKUP(Q$1,main!$A$3:$I$56,7,FALSE)=VLOOKUP($A17,main!$A$3:$I$56,8,FALSE),VLOOKUP(Q$1,main!$A$3:$I$56,4,FALSE),VLOOKUP(Q$1,main!$A$3:$I$56,4,FALSE)+VLOOKUP($A17,main!$A$3:$I$56,4,FALSE)+(VLOOKUP(VLOOKUP(Q$1,main!$A$3:$I$56,8,FALSE),main!$K$19:$O$22,MATCH(VLOOKUP($A17,main!$A$3:$I$56,7,FALSE),main!$K$18:$O$18,0),0))),0)</f>
        <v>0</v>
      </c>
      <c r="R17">
        <f>IF((gamma!R17),IF(VLOOKUP(R$1,main!$A$3:$I$56,7,FALSE)=VLOOKUP($A17,main!$A$3:$I$56,8,FALSE),VLOOKUP(R$1,main!$A$3:$I$56,4,FALSE),VLOOKUP(R$1,main!$A$3:$I$56,4,FALSE)+VLOOKUP($A17,main!$A$3:$I$56,4,FALSE)+(VLOOKUP(VLOOKUP(R$1,main!$A$3:$I$56,8,FALSE),main!$K$19:$O$22,MATCH(VLOOKUP($A17,main!$A$3:$I$56,7,FALSE),main!$K$18:$O$18,0),0))),0)</f>
        <v>0</v>
      </c>
      <c r="S17">
        <f>IF((gamma!S17),IF(VLOOKUP(S$1,main!$A$3:$I$56,7,FALSE)=VLOOKUP($A17,main!$A$3:$I$56,8,FALSE),VLOOKUP(S$1,main!$A$3:$I$56,4,FALSE),VLOOKUP(S$1,main!$A$3:$I$56,4,FALSE)+VLOOKUP($A17,main!$A$3:$I$56,4,FALSE)+(VLOOKUP(VLOOKUP(S$1,main!$A$3:$I$56,8,FALSE),main!$K$19:$O$22,MATCH(VLOOKUP($A17,main!$A$3:$I$56,7,FALSE),main!$K$18:$O$18,0),0))),0)</f>
        <v>315</v>
      </c>
      <c r="T17">
        <f>IF((gamma!T17),IF(VLOOKUP(T$1,main!$A$3:$I$56,7,FALSE)=VLOOKUP($A17,main!$A$3:$I$56,8,FALSE),VLOOKUP(T$1,main!$A$3:$I$56,4,FALSE),VLOOKUP(T$1,main!$A$3:$I$56,4,FALSE)+VLOOKUP($A17,main!$A$3:$I$56,4,FALSE)+(VLOOKUP(VLOOKUP(T$1,main!$A$3:$I$56,8,FALSE),main!$K$19:$O$22,MATCH(VLOOKUP($A17,main!$A$3:$I$56,7,FALSE),main!$K$18:$O$18,0),0))),0)</f>
        <v>315</v>
      </c>
      <c r="U17">
        <f>IF((gamma!U17),IF(VLOOKUP(U$1,main!$A$3:$I$56,7,FALSE)=VLOOKUP($A17,main!$A$3:$I$56,8,FALSE),VLOOKUP(U$1,main!$A$3:$I$56,4,FALSE),VLOOKUP(U$1,main!$A$3:$I$56,4,FALSE)+VLOOKUP($A17,main!$A$3:$I$56,4,FALSE)+(VLOOKUP(VLOOKUP(U$1,main!$A$3:$I$56,8,FALSE),main!$K$19:$O$22,MATCH(VLOOKUP($A17,main!$A$3:$I$56,7,FALSE),main!$K$18:$O$18,0),0))),0)</f>
        <v>0</v>
      </c>
      <c r="V17">
        <f>IF((gamma!V17),IF(VLOOKUP(V$1,main!$A$3:$I$56,7,FALSE)=VLOOKUP($A17,main!$A$3:$I$56,8,FALSE),VLOOKUP(V$1,main!$A$3:$I$56,4,FALSE),VLOOKUP(V$1,main!$A$3:$I$56,4,FALSE)+VLOOKUP($A17,main!$A$3:$I$56,4,FALSE)+(VLOOKUP(VLOOKUP(V$1,main!$A$3:$I$56,8,FALSE),main!$K$19:$O$22,MATCH(VLOOKUP($A17,main!$A$3:$I$56,7,FALSE),main!$K$18:$O$18,0),0))),0)</f>
        <v>0</v>
      </c>
      <c r="W17">
        <f>IF((gamma!W17),IF(VLOOKUP(W$1,main!$A$3:$I$56,7,FALSE)=VLOOKUP($A17,main!$A$3:$I$56,8,FALSE),VLOOKUP(W$1,main!$A$3:$I$56,4,FALSE),VLOOKUP(W$1,main!$A$3:$I$56,4,FALSE)+VLOOKUP($A17,main!$A$3:$I$56,4,FALSE)+(VLOOKUP(VLOOKUP(W$1,main!$A$3:$I$56,8,FALSE),main!$K$19:$O$22,MATCH(VLOOKUP($A17,main!$A$3:$I$56,7,FALSE),main!$K$18:$O$18,0),0))),0)</f>
        <v>0</v>
      </c>
      <c r="X17">
        <f>IF((gamma!X17),IF(VLOOKUP(X$1,main!$A$3:$I$56,7,FALSE)=VLOOKUP($A17,main!$A$3:$I$56,8,FALSE),VLOOKUP(X$1,main!$A$3:$I$56,4,FALSE),VLOOKUP(X$1,main!$A$3:$I$56,4,FALSE)+VLOOKUP($A17,main!$A$3:$I$56,4,FALSE)+(VLOOKUP(VLOOKUP(X$1,main!$A$3:$I$56,8,FALSE),main!$K$19:$O$22,MATCH(VLOOKUP($A17,main!$A$3:$I$56,7,FALSE),main!$K$18:$O$18,0),0))),0)</f>
        <v>0</v>
      </c>
      <c r="Y17">
        <f>IF((gamma!Y17),IF(VLOOKUP(Y$1,main!$A$3:$I$56,7,FALSE)=VLOOKUP($A17,main!$A$3:$I$56,8,FALSE),VLOOKUP(Y$1,main!$A$3:$I$56,4,FALSE),VLOOKUP(Y$1,main!$A$3:$I$56,4,FALSE)+VLOOKUP($A17,main!$A$3:$I$56,4,FALSE)+(VLOOKUP(VLOOKUP(Y$1,main!$A$3:$I$56,8,FALSE),main!$K$19:$O$22,MATCH(VLOOKUP($A17,main!$A$3:$I$56,7,FALSE),main!$K$18:$O$18,0),0))),0)</f>
        <v>275</v>
      </c>
      <c r="Z17">
        <f>IF((gamma!Z17),IF(VLOOKUP(Z$1,main!$A$3:$I$56,7,FALSE)=VLOOKUP($A17,main!$A$3:$I$56,8,FALSE),VLOOKUP(Z$1,main!$A$3:$I$56,4,FALSE),VLOOKUP(Z$1,main!$A$3:$I$56,4,FALSE)+VLOOKUP($A17,main!$A$3:$I$56,4,FALSE)+(VLOOKUP(VLOOKUP(Z$1,main!$A$3:$I$56,8,FALSE),main!$K$19:$O$22,MATCH(VLOOKUP($A17,main!$A$3:$I$56,7,FALSE),main!$K$18:$O$18,0),0))),0)</f>
        <v>275</v>
      </c>
      <c r="AA17">
        <f>IF((gamma!AA17),IF(VLOOKUP(AA$1,main!$A$3:$I$56,7,FALSE)=VLOOKUP($A17,main!$A$3:$I$56,8,FALSE),VLOOKUP(AA$1,main!$A$3:$I$56,4,FALSE),VLOOKUP(AA$1,main!$A$3:$I$56,4,FALSE)+VLOOKUP($A17,main!$A$3:$I$56,4,FALSE)+(VLOOKUP(VLOOKUP(AA$1,main!$A$3:$I$56,8,FALSE),main!$K$19:$O$22,MATCH(VLOOKUP($A17,main!$A$3:$I$56,7,FALSE),main!$K$18:$O$18,0),0))),0)</f>
        <v>275</v>
      </c>
      <c r="AB17">
        <f>IF((gamma!AB17),IF(VLOOKUP(AB$1,main!$A$3:$I$56,7,FALSE)=VLOOKUP($A17,main!$A$3:$I$56,8,FALSE),VLOOKUP(AB$1,main!$A$3:$I$56,4,FALSE),VLOOKUP(AB$1,main!$A$3:$I$56,4,FALSE)+VLOOKUP($A17,main!$A$3:$I$56,4,FALSE)+(VLOOKUP(VLOOKUP(AB$1,main!$A$3:$I$56,8,FALSE),main!$K$19:$O$22,MATCH(VLOOKUP($A17,main!$A$3:$I$56,7,FALSE),main!$K$18:$O$18,0),0))),0)</f>
        <v>275</v>
      </c>
      <c r="AC17">
        <f>IF((gamma!AC17),IF(VLOOKUP(AC$1,main!$A$3:$I$56,7,FALSE)=VLOOKUP($A17,main!$A$3:$I$56,8,FALSE),VLOOKUP(AC$1,main!$A$3:$I$56,4,FALSE),VLOOKUP(AC$1,main!$A$3:$I$56,4,FALSE)+VLOOKUP($A17,main!$A$3:$I$56,4,FALSE)+(VLOOKUP(VLOOKUP(AC$1,main!$A$3:$I$56,8,FALSE),main!$K$19:$O$22,MATCH(VLOOKUP($A17,main!$A$3:$I$56,7,FALSE),main!$K$18:$O$18,0),0))),0)</f>
        <v>0</v>
      </c>
      <c r="AD17">
        <f>IF((gamma!AD17),IF(VLOOKUP(AD$1,main!$A$3:$I$56,7,FALSE)=VLOOKUP($A17,main!$A$3:$I$56,8,FALSE),VLOOKUP(AD$1,main!$A$3:$I$56,4,FALSE),VLOOKUP(AD$1,main!$A$3:$I$56,4,FALSE)+VLOOKUP($A17,main!$A$3:$I$56,4,FALSE)+(VLOOKUP(VLOOKUP(AD$1,main!$A$3:$I$56,8,FALSE),main!$K$19:$O$22,MATCH(VLOOKUP($A17,main!$A$3:$I$56,7,FALSE),main!$K$18:$O$18,0),0))),0)</f>
        <v>0</v>
      </c>
      <c r="AE17">
        <f>IF((gamma!AE17),IF(VLOOKUP(AE$1,main!$A$3:$I$56,7,FALSE)=VLOOKUP($A17,main!$A$3:$I$56,8,FALSE),VLOOKUP(AE$1,main!$A$3:$I$56,4,FALSE),VLOOKUP(AE$1,main!$A$3:$I$56,4,FALSE)+VLOOKUP($A17,main!$A$3:$I$56,4,FALSE)+(VLOOKUP(VLOOKUP(AE$1,main!$A$3:$I$56,8,FALSE),main!$K$19:$O$22,MATCH(VLOOKUP($A17,main!$A$3:$I$56,7,FALSE),main!$K$18:$O$18,0),0))),0)</f>
        <v>0</v>
      </c>
      <c r="AF17">
        <f>IF((gamma!AF17),IF(VLOOKUP(AF$1,main!$A$3:$I$56,7,FALSE)=VLOOKUP($A17,main!$A$3:$I$56,8,FALSE),VLOOKUP(AF$1,main!$A$3:$I$56,4,FALSE),VLOOKUP(AF$1,main!$A$3:$I$56,4,FALSE)+VLOOKUP($A17,main!$A$3:$I$56,4,FALSE)+(VLOOKUP(VLOOKUP(AF$1,main!$A$3:$I$56,8,FALSE),main!$K$19:$O$22,MATCH(VLOOKUP($A17,main!$A$3:$I$56,7,FALSE),main!$K$18:$O$18,0),0))),0)</f>
        <v>300</v>
      </c>
      <c r="AG17">
        <f>IF((gamma!AG17),IF(VLOOKUP(AG$1,main!$A$3:$I$56,7,FALSE)=VLOOKUP($A17,main!$A$3:$I$56,8,FALSE),VLOOKUP(AG$1,main!$A$3:$I$56,4,FALSE),VLOOKUP(AG$1,main!$A$3:$I$56,4,FALSE)+VLOOKUP($A17,main!$A$3:$I$56,4,FALSE)+(VLOOKUP(VLOOKUP(AG$1,main!$A$3:$I$56,8,FALSE),main!$K$19:$O$22,MATCH(VLOOKUP($A17,main!$A$3:$I$56,7,FALSE),main!$K$18:$O$18,0),0))),0)</f>
        <v>0</v>
      </c>
      <c r="AH17">
        <f>IF((gamma!AH17),IF(VLOOKUP(AH$1,main!$A$3:$I$56,7,FALSE)=VLOOKUP($A17,main!$A$3:$I$56,8,FALSE),VLOOKUP(AH$1,main!$A$3:$I$56,4,FALSE),VLOOKUP(AH$1,main!$A$3:$I$56,4,FALSE)+VLOOKUP($A17,main!$A$3:$I$56,4,FALSE)+(VLOOKUP(VLOOKUP(AH$1,main!$A$3:$I$56,8,FALSE),main!$K$19:$O$22,MATCH(VLOOKUP($A17,main!$A$3:$I$56,7,FALSE),main!$K$18:$O$18,0),0))),0)</f>
        <v>0</v>
      </c>
      <c r="AI17">
        <f>IF((gamma!AI17),IF(VLOOKUP(AI$1,main!$A$3:$I$56,7,FALSE)=VLOOKUP($A17,main!$A$3:$I$56,8,FALSE),VLOOKUP(AI$1,main!$A$3:$I$56,4,FALSE),VLOOKUP(AI$1,main!$A$3:$I$56,4,FALSE)+VLOOKUP($A17,main!$A$3:$I$56,4,FALSE)+(VLOOKUP(VLOOKUP(AI$1,main!$A$3:$I$56,8,FALSE),main!$K$19:$O$22,MATCH(VLOOKUP($A17,main!$A$3:$I$56,7,FALSE),main!$K$18:$O$18,0),0))),0)</f>
        <v>280</v>
      </c>
      <c r="AJ17">
        <f>IF((gamma!AJ17),IF(VLOOKUP(AJ$1,main!$A$3:$I$56,7,FALSE)=VLOOKUP($A17,main!$A$3:$I$56,8,FALSE),VLOOKUP(AJ$1,main!$A$3:$I$56,4,FALSE),VLOOKUP(AJ$1,main!$A$3:$I$56,4,FALSE)+VLOOKUP($A17,main!$A$3:$I$56,4,FALSE)+(VLOOKUP(VLOOKUP(AJ$1,main!$A$3:$I$56,8,FALSE),main!$K$19:$O$22,MATCH(VLOOKUP($A17,main!$A$3:$I$56,7,FALSE),main!$K$18:$O$18,0),0))),0)</f>
        <v>280</v>
      </c>
      <c r="AK17">
        <f>IF((gamma!AK17),IF(VLOOKUP(AK$1,main!$A$3:$I$56,7,FALSE)=VLOOKUP($A17,main!$A$3:$I$56,8,FALSE),VLOOKUP(AK$1,main!$A$3:$I$56,4,FALSE),VLOOKUP(AK$1,main!$A$3:$I$56,4,FALSE)+VLOOKUP($A17,main!$A$3:$I$56,4,FALSE)+(VLOOKUP(VLOOKUP(AK$1,main!$A$3:$I$56,8,FALSE),main!$K$19:$O$22,MATCH(VLOOKUP($A17,main!$A$3:$I$56,7,FALSE),main!$K$18:$O$18,0),0))),0)</f>
        <v>280</v>
      </c>
      <c r="AL17">
        <f>IF((gamma!AL17),IF(VLOOKUP(AL$1,main!$A$3:$I$56,7,FALSE)=VLOOKUP($A17,main!$A$3:$I$56,8,FALSE),VLOOKUP(AL$1,main!$A$3:$I$56,4,FALSE),VLOOKUP(AL$1,main!$A$3:$I$56,4,FALSE)+VLOOKUP($A17,main!$A$3:$I$56,4,FALSE)+(VLOOKUP(VLOOKUP(AL$1,main!$A$3:$I$56,8,FALSE),main!$K$19:$O$22,MATCH(VLOOKUP($A17,main!$A$3:$I$56,7,FALSE),main!$K$18:$O$18,0),0))),0)</f>
        <v>0</v>
      </c>
      <c r="AM17">
        <f>IF((gamma!AM17),IF(VLOOKUP(AM$1,main!$A$3:$I$56,7,FALSE)=VLOOKUP($A17,main!$A$3:$I$56,8,FALSE),VLOOKUP(AM$1,main!$A$3:$I$56,4,FALSE),VLOOKUP(AM$1,main!$A$3:$I$56,4,FALSE)+VLOOKUP($A17,main!$A$3:$I$56,4,FALSE)+(VLOOKUP(VLOOKUP(AM$1,main!$A$3:$I$56,8,FALSE),main!$K$19:$O$22,MATCH(VLOOKUP($A17,main!$A$3:$I$56,7,FALSE),main!$K$18:$O$18,0),0))),0)</f>
        <v>0</v>
      </c>
      <c r="AN17">
        <f>IF((gamma!AN17),IF(VLOOKUP(AN$1,main!$A$3:$I$56,7,FALSE)=VLOOKUP($A17,main!$A$3:$I$56,8,FALSE),VLOOKUP(AN$1,main!$A$3:$I$56,4,FALSE),VLOOKUP(AN$1,main!$A$3:$I$56,4,FALSE)+VLOOKUP($A17,main!$A$3:$I$56,4,FALSE)+(VLOOKUP(VLOOKUP(AN$1,main!$A$3:$I$56,8,FALSE),main!$K$19:$O$22,MATCH(VLOOKUP($A17,main!$A$3:$I$56,7,FALSE),main!$K$18:$O$18,0),0))),0)</f>
        <v>285</v>
      </c>
      <c r="AO17">
        <f>IF((gamma!AO17),IF(VLOOKUP(AO$1,main!$A$3:$I$56,7,FALSE)=VLOOKUP($A17,main!$A$3:$I$56,8,FALSE),VLOOKUP(AO$1,main!$A$3:$I$56,4,FALSE),VLOOKUP(AO$1,main!$A$3:$I$56,4,FALSE)+VLOOKUP($A17,main!$A$3:$I$56,4,FALSE)+(VLOOKUP(VLOOKUP(AO$1,main!$A$3:$I$56,8,FALSE),main!$K$19:$O$22,MATCH(VLOOKUP($A17,main!$A$3:$I$56,7,FALSE),main!$K$18:$O$18,0),0))),0)</f>
        <v>295</v>
      </c>
      <c r="AP17">
        <f>IF((gamma!AP17),IF(VLOOKUP(AP$1,main!$A$3:$I$56,7,FALSE)=VLOOKUP($A17,main!$A$3:$I$56,8,FALSE),VLOOKUP(AP$1,main!$A$3:$I$56,4,FALSE),VLOOKUP(AP$1,main!$A$3:$I$56,4,FALSE)+VLOOKUP($A17,main!$A$3:$I$56,4,FALSE)+(VLOOKUP(VLOOKUP(AP$1,main!$A$3:$I$56,8,FALSE),main!$K$19:$O$22,MATCH(VLOOKUP($A17,main!$A$3:$I$56,7,FALSE),main!$K$18:$O$18,0),0))),0)</f>
        <v>0</v>
      </c>
      <c r="AQ17">
        <f>IF((gamma!AQ17),IF(VLOOKUP(AQ$1,main!$A$3:$I$56,7,FALSE)=VLOOKUP($A17,main!$A$3:$I$56,8,FALSE),VLOOKUP(AQ$1,main!$A$3:$I$56,4,FALSE),VLOOKUP(AQ$1,main!$A$3:$I$56,4,FALSE)+VLOOKUP($A17,main!$A$3:$I$56,4,FALSE)+(VLOOKUP(VLOOKUP(AQ$1,main!$A$3:$I$56,8,FALSE),main!$K$19:$O$22,MATCH(VLOOKUP($A17,main!$A$3:$I$56,7,FALSE),main!$K$18:$O$18,0),0))),0)</f>
        <v>0</v>
      </c>
      <c r="AR17">
        <f>IF((gamma!AR17),IF(VLOOKUP(AR$1,main!$A$3:$I$56,7,FALSE)=VLOOKUP($A17,main!$A$3:$I$56,8,FALSE),VLOOKUP(AR$1,main!$A$3:$I$56,4,FALSE),VLOOKUP(AR$1,main!$A$3:$I$56,4,FALSE)+VLOOKUP($A17,main!$A$3:$I$56,4,FALSE)+(VLOOKUP(VLOOKUP(AR$1,main!$A$3:$I$56,8,FALSE),main!$K$19:$O$22,MATCH(VLOOKUP($A17,main!$A$3:$I$56,7,FALSE),main!$K$18:$O$18,0),0))),0)</f>
        <v>0</v>
      </c>
      <c r="AS17">
        <f>IF((gamma!AS17),IF(VLOOKUP(AS$1,main!$A$3:$I$56,7,FALSE)=VLOOKUP($A17,main!$A$3:$I$56,8,FALSE),VLOOKUP(AS$1,main!$A$3:$I$56,4,FALSE),VLOOKUP(AS$1,main!$A$3:$I$56,4,FALSE)+VLOOKUP($A17,main!$A$3:$I$56,4,FALSE)+(VLOOKUP(VLOOKUP(AS$1,main!$A$3:$I$56,8,FALSE),main!$K$19:$O$22,MATCH(VLOOKUP($A17,main!$A$3:$I$56,7,FALSE),main!$K$18:$O$18,0),0))),0)</f>
        <v>0</v>
      </c>
      <c r="AT17">
        <f>IF((gamma!AT17),IF(VLOOKUP(AT$1,main!$A$3:$I$56,7,FALSE)=VLOOKUP($A17,main!$A$3:$I$56,8,FALSE),VLOOKUP(AT$1,main!$A$3:$I$56,4,FALSE),VLOOKUP(AT$1,main!$A$3:$I$56,4,FALSE)+VLOOKUP($A17,main!$A$3:$I$56,4,FALSE)+(VLOOKUP(VLOOKUP(AT$1,main!$A$3:$I$56,8,FALSE),main!$K$19:$O$22,MATCH(VLOOKUP($A17,main!$A$3:$I$56,7,FALSE),main!$K$18:$O$18,0),0))),0)</f>
        <v>295</v>
      </c>
      <c r="AU17">
        <f>IF((gamma!AU17),IF(VLOOKUP(AU$1,main!$A$3:$I$56,7,FALSE)=VLOOKUP($A17,main!$A$3:$I$56,8,FALSE),VLOOKUP(AU$1,main!$A$3:$I$56,4,FALSE),VLOOKUP(AU$1,main!$A$3:$I$56,4,FALSE)+VLOOKUP($A17,main!$A$3:$I$56,4,FALSE)+(VLOOKUP(VLOOKUP(AU$1,main!$A$3:$I$56,8,FALSE),main!$K$19:$O$22,MATCH(VLOOKUP($A17,main!$A$3:$I$56,7,FALSE),main!$K$18:$O$18,0),0))),0)</f>
        <v>0</v>
      </c>
      <c r="AV17">
        <f>IF((gamma!AV17),IF(VLOOKUP(AV$1,main!$A$3:$I$56,7,FALSE)=VLOOKUP($A17,main!$A$3:$I$56,8,FALSE),VLOOKUP(AV$1,main!$A$3:$I$56,4,FALSE),VLOOKUP(AV$1,main!$A$3:$I$56,4,FALSE)+VLOOKUP($A17,main!$A$3:$I$56,4,FALSE)+(VLOOKUP(VLOOKUP(AV$1,main!$A$3:$I$56,8,FALSE),main!$K$19:$O$22,MATCH(VLOOKUP($A17,main!$A$3:$I$56,7,FALSE),main!$K$18:$O$18,0),0))),0)</f>
        <v>0</v>
      </c>
      <c r="AW17">
        <f>IF((gamma!AW17),IF(VLOOKUP(AW$1,main!$A$3:$I$56,7,FALSE)=VLOOKUP($A17,main!$A$3:$I$56,8,FALSE),VLOOKUP(AW$1,main!$A$3:$I$56,4,FALSE),VLOOKUP(AW$1,main!$A$3:$I$56,4,FALSE)+VLOOKUP($A17,main!$A$3:$I$56,4,FALSE)+(VLOOKUP(VLOOKUP(AW$1,main!$A$3:$I$56,8,FALSE),main!$K$19:$O$22,MATCH(VLOOKUP($A17,main!$A$3:$I$56,7,FALSE),main!$K$18:$O$18,0),0))),0)</f>
        <v>140</v>
      </c>
      <c r="AX17">
        <f>IF((gamma!AX17),IF(VLOOKUP(AX$1,main!$A$3:$I$56,7,FALSE)=VLOOKUP($A17,main!$A$3:$I$56,8,FALSE),VLOOKUP(AX$1,main!$A$3:$I$56,4,FALSE),VLOOKUP(AX$1,main!$A$3:$I$56,4,FALSE)+VLOOKUP($A17,main!$A$3:$I$56,4,FALSE)+(VLOOKUP(VLOOKUP(AX$1,main!$A$3:$I$56,8,FALSE),main!$K$19:$O$22,MATCH(VLOOKUP($A17,main!$A$3:$I$56,7,FALSE),main!$K$18:$O$18,0),0))),0)</f>
        <v>140</v>
      </c>
      <c r="AY17">
        <f>IF((gamma!AY17),IF(VLOOKUP(AY$1,main!$A$3:$I$56,7,FALSE)=VLOOKUP($A17,main!$A$3:$I$56,8,FALSE),VLOOKUP(AY$1,main!$A$3:$I$56,4,FALSE),VLOOKUP(AY$1,main!$A$3:$I$56,4,FALSE)+VLOOKUP($A17,main!$A$3:$I$56,4,FALSE)+(VLOOKUP(VLOOKUP(AY$1,main!$A$3:$I$56,8,FALSE),main!$K$19:$O$22,MATCH(VLOOKUP($A17,main!$A$3:$I$56,7,FALSE),main!$K$18:$O$18,0),0))),0)</f>
        <v>140</v>
      </c>
      <c r="AZ17">
        <f>IF((gamma!AZ17),IF(VLOOKUP(AZ$1,main!$A$3:$I$56,7,FALSE)=VLOOKUP($A17,main!$A$3:$I$56,8,FALSE),VLOOKUP(AZ$1,main!$A$3:$I$56,4,FALSE),VLOOKUP(AZ$1,main!$A$3:$I$56,4,FALSE)+VLOOKUP($A17,main!$A$3:$I$56,4,FALSE)+(VLOOKUP(VLOOKUP(AZ$1,main!$A$3:$I$56,8,FALSE),main!$K$19:$O$22,MATCH(VLOOKUP($A17,main!$A$3:$I$56,7,FALSE),main!$K$18:$O$18,0),0))),0)</f>
        <v>0</v>
      </c>
      <c r="BA17">
        <f>IF((gamma!BA17),IF(VLOOKUP(BA$1,main!$A$3:$I$56,7,FALSE)=VLOOKUP($A17,main!$A$3:$I$56,8,FALSE),VLOOKUP(BA$1,main!$A$3:$I$56,4,FALSE),VLOOKUP(BA$1,main!$A$3:$I$56,4,FALSE)+VLOOKUP($A17,main!$A$3:$I$56,4,FALSE)+(VLOOKUP(VLOOKUP(BA$1,main!$A$3:$I$56,8,FALSE),main!$K$19:$O$22,MATCH(VLOOKUP($A17,main!$A$3:$I$56,7,FALSE),main!$K$18:$O$18,0),0))),0)</f>
        <v>0</v>
      </c>
      <c r="BB17">
        <f>IF((gamma!BB17),IF(VLOOKUP(BB$1,main!$A$3:$I$56,7,FALSE)=VLOOKUP($A17,main!$A$3:$I$56,8,FALSE),VLOOKUP(BB$1,main!$A$3:$I$56,4,FALSE),VLOOKUP(BB$1,main!$A$3:$I$56,4,FALSE)+VLOOKUP($A17,main!$A$3:$I$56,4,FALSE)+(VLOOKUP(VLOOKUP(BB$1,main!$A$3:$I$56,8,FALSE),main!$K$19:$O$22,MATCH(VLOOKUP($A17,main!$A$3:$I$56,7,FALSE),main!$K$18:$O$18,0),0))),0)</f>
        <v>0</v>
      </c>
      <c r="BC17">
        <f>IF((gamma!BC17),IF(VLOOKUP(BC$1,main!$A$3:$I$56,7,FALSE)=VLOOKUP($A17,main!$A$3:$I$56,8,FALSE),VLOOKUP(BC$1,main!$A$3:$I$56,4,FALSE),VLOOKUP(BC$1,main!$A$3:$I$56,4,FALSE)+VLOOKUP($A17,main!$A$3:$I$56,4,FALSE)+(VLOOKUP(VLOOKUP(BC$1,main!$A$3:$I$56,8,FALSE),main!$K$19:$O$22,MATCH(VLOOKUP($A17,main!$A$3:$I$56,7,FALSE),main!$K$18:$O$18,0),0))),0)</f>
        <v>135</v>
      </c>
      <c r="BD17">
        <f>IF((gamma!BD17),IF(VLOOKUP(BD$1,main!$A$3:$I$56,7,FALSE)=VLOOKUP($A17,main!$A$3:$I$56,8,FALSE),VLOOKUP(BD$1,main!$A$3:$I$56,4,FALSE),VLOOKUP(BD$1,main!$A$3:$I$56,4,FALSE)+VLOOKUP($A17,main!$A$3:$I$56,4,FALSE)+(VLOOKUP(VLOOKUP(BD$1,main!$A$3:$I$56,8,FALSE),main!$K$19:$O$22,MATCH(VLOOKUP($A17,main!$A$3:$I$56,7,FALSE),main!$K$18:$O$18,0),0))),0)</f>
        <v>135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>
        <f t="shared" si="0"/>
        <v>16</v>
      </c>
      <c r="B18">
        <v>0</v>
      </c>
      <c r="C18">
        <f>IF((gamma!C18),IF(VLOOKUP(C$1,main!$A$3:$I$56,7,FALSE)=VLOOKUP($A18,main!$A$3:$I$56,8,FALSE),VLOOKUP(C$1,main!$A$3:$I$56,4,FALSE),VLOOKUP(C$1,main!$A$3:$I$56,4,FALSE)+VLOOKUP($A18,main!$A$3:$I$56,4,FALSE)+(VLOOKUP(VLOOKUP(C$1,main!$A$3:$I$56,8,FALSE),main!$K$19:$O$22,MATCH(VLOOKUP($A18,main!$A$3:$I$56,7,FALSE),main!$K$18:$O$18,0),0))),0)</f>
        <v>0</v>
      </c>
      <c r="D18">
        <f>IF((gamma!D18),IF(VLOOKUP(D$1,main!$A$3:$I$56,7,FALSE)=VLOOKUP($A18,main!$A$3:$I$56,8,FALSE),VLOOKUP(D$1,main!$A$3:$I$56,4,FALSE),VLOOKUP(D$1,main!$A$3:$I$56,4,FALSE)+VLOOKUP($A18,main!$A$3:$I$56,4,FALSE)+(VLOOKUP(VLOOKUP(D$1,main!$A$3:$I$56,8,FALSE),main!$K$19:$O$22,MATCH(VLOOKUP($A18,main!$A$3:$I$56,7,FALSE),main!$K$18:$O$18,0),0))),0)</f>
        <v>0</v>
      </c>
      <c r="E18">
        <f>IF((gamma!E18),IF(VLOOKUP(E$1,main!$A$3:$I$56,7,FALSE)=VLOOKUP($A18,main!$A$3:$I$56,8,FALSE),VLOOKUP(E$1,main!$A$3:$I$56,4,FALSE),VLOOKUP(E$1,main!$A$3:$I$56,4,FALSE)+VLOOKUP($A18,main!$A$3:$I$56,4,FALSE)+(VLOOKUP(VLOOKUP(E$1,main!$A$3:$I$56,8,FALSE),main!$K$19:$O$22,MATCH(VLOOKUP($A18,main!$A$3:$I$56,7,FALSE),main!$K$18:$O$18,0),0))),0)</f>
        <v>0</v>
      </c>
      <c r="F18">
        <f>IF((gamma!F18),IF(VLOOKUP(F$1,main!$A$3:$I$56,7,FALSE)=VLOOKUP($A18,main!$A$3:$I$56,8,FALSE),VLOOKUP(F$1,main!$A$3:$I$56,4,FALSE),VLOOKUP(F$1,main!$A$3:$I$56,4,FALSE)+VLOOKUP($A18,main!$A$3:$I$56,4,FALSE)+(VLOOKUP(VLOOKUP(F$1,main!$A$3:$I$56,8,FALSE),main!$K$19:$O$22,MATCH(VLOOKUP($A18,main!$A$3:$I$56,7,FALSE),main!$K$18:$O$18,0),0))),0)</f>
        <v>0</v>
      </c>
      <c r="G18">
        <f>IF((gamma!G18),IF(VLOOKUP(G$1,main!$A$3:$I$56,7,FALSE)=VLOOKUP($A18,main!$A$3:$I$56,8,FALSE),VLOOKUP(G$1,main!$A$3:$I$56,4,FALSE),VLOOKUP(G$1,main!$A$3:$I$56,4,FALSE)+VLOOKUP($A18,main!$A$3:$I$56,4,FALSE)+(VLOOKUP(VLOOKUP(G$1,main!$A$3:$I$56,8,FALSE),main!$K$19:$O$22,MATCH(VLOOKUP($A18,main!$A$3:$I$56,7,FALSE),main!$K$18:$O$18,0),0))),0)</f>
        <v>295</v>
      </c>
      <c r="H18">
        <f>IF((gamma!H18),IF(VLOOKUP(H$1,main!$A$3:$I$56,7,FALSE)=VLOOKUP($A18,main!$A$3:$I$56,8,FALSE),VLOOKUP(H$1,main!$A$3:$I$56,4,FALSE),VLOOKUP(H$1,main!$A$3:$I$56,4,FALSE)+VLOOKUP($A18,main!$A$3:$I$56,4,FALSE)+(VLOOKUP(VLOOKUP(H$1,main!$A$3:$I$56,8,FALSE),main!$K$19:$O$22,MATCH(VLOOKUP($A18,main!$A$3:$I$56,7,FALSE),main!$K$18:$O$18,0),0))),0)</f>
        <v>295</v>
      </c>
      <c r="I18">
        <f>IF((gamma!I18),IF(VLOOKUP(I$1,main!$A$3:$I$56,7,FALSE)=VLOOKUP($A18,main!$A$3:$I$56,8,FALSE),VLOOKUP(I$1,main!$A$3:$I$56,4,FALSE),VLOOKUP(I$1,main!$A$3:$I$56,4,FALSE)+VLOOKUP($A18,main!$A$3:$I$56,4,FALSE)+(VLOOKUP(VLOOKUP(I$1,main!$A$3:$I$56,8,FALSE),main!$K$19:$O$22,MATCH(VLOOKUP($A18,main!$A$3:$I$56,7,FALSE),main!$K$18:$O$18,0),0))),0)</f>
        <v>295</v>
      </c>
      <c r="J18">
        <f>IF((gamma!J18),IF(VLOOKUP(J$1,main!$A$3:$I$56,7,FALSE)=VLOOKUP($A18,main!$A$3:$I$56,8,FALSE),VLOOKUP(J$1,main!$A$3:$I$56,4,FALSE),VLOOKUP(J$1,main!$A$3:$I$56,4,FALSE)+VLOOKUP($A18,main!$A$3:$I$56,4,FALSE)+(VLOOKUP(VLOOKUP(J$1,main!$A$3:$I$56,8,FALSE),main!$K$19:$O$22,MATCH(VLOOKUP($A18,main!$A$3:$I$56,7,FALSE),main!$K$18:$O$18,0),0))),0)</f>
        <v>295</v>
      </c>
      <c r="K18">
        <f>IF((gamma!K18),IF(VLOOKUP(K$1,main!$A$3:$I$56,7,FALSE)=VLOOKUP($A18,main!$A$3:$I$56,8,FALSE),VLOOKUP(K$1,main!$A$3:$I$56,4,FALSE),VLOOKUP(K$1,main!$A$3:$I$56,4,FALSE)+VLOOKUP($A18,main!$A$3:$I$56,4,FALSE)+(VLOOKUP(VLOOKUP(K$1,main!$A$3:$I$56,8,FALSE),main!$K$19:$O$22,MATCH(VLOOKUP($A18,main!$A$3:$I$56,7,FALSE),main!$K$18:$O$18,0),0))),0)</f>
        <v>0</v>
      </c>
      <c r="L18">
        <f>IF((gamma!L18),IF(VLOOKUP(L$1,main!$A$3:$I$56,7,FALSE)=VLOOKUP($A18,main!$A$3:$I$56,8,FALSE),VLOOKUP(L$1,main!$A$3:$I$56,4,FALSE),VLOOKUP(L$1,main!$A$3:$I$56,4,FALSE)+VLOOKUP($A18,main!$A$3:$I$56,4,FALSE)+(VLOOKUP(VLOOKUP(L$1,main!$A$3:$I$56,8,FALSE),main!$K$19:$O$22,MATCH(VLOOKUP($A18,main!$A$3:$I$56,7,FALSE),main!$K$18:$O$18,0),0))),0)</f>
        <v>0</v>
      </c>
      <c r="M18">
        <f>IF((gamma!M18),IF(VLOOKUP(M$1,main!$A$3:$I$56,7,FALSE)=VLOOKUP($A18,main!$A$3:$I$56,8,FALSE),VLOOKUP(M$1,main!$A$3:$I$56,4,FALSE),VLOOKUP(M$1,main!$A$3:$I$56,4,FALSE)+VLOOKUP($A18,main!$A$3:$I$56,4,FALSE)+(VLOOKUP(VLOOKUP(M$1,main!$A$3:$I$56,8,FALSE),main!$K$19:$O$22,MATCH(VLOOKUP($A18,main!$A$3:$I$56,7,FALSE),main!$K$18:$O$18,0),0))),0)</f>
        <v>0</v>
      </c>
      <c r="N18">
        <f>IF((gamma!N18),IF(VLOOKUP(N$1,main!$A$3:$I$56,7,FALSE)=VLOOKUP($A18,main!$A$3:$I$56,8,FALSE),VLOOKUP(N$1,main!$A$3:$I$56,4,FALSE),VLOOKUP(N$1,main!$A$3:$I$56,4,FALSE)+VLOOKUP($A18,main!$A$3:$I$56,4,FALSE)+(VLOOKUP(VLOOKUP(N$1,main!$A$3:$I$56,8,FALSE),main!$K$19:$O$22,MATCH(VLOOKUP($A18,main!$A$3:$I$56,7,FALSE),main!$K$18:$O$18,0),0))),0)</f>
        <v>305</v>
      </c>
      <c r="O18">
        <f>IF((gamma!O18),IF(VLOOKUP(O$1,main!$A$3:$I$56,7,FALSE)=VLOOKUP($A18,main!$A$3:$I$56,8,FALSE),VLOOKUP(O$1,main!$A$3:$I$56,4,FALSE),VLOOKUP(O$1,main!$A$3:$I$56,4,FALSE)+VLOOKUP($A18,main!$A$3:$I$56,4,FALSE)+(VLOOKUP(VLOOKUP(O$1,main!$A$3:$I$56,8,FALSE),main!$K$19:$O$22,MATCH(VLOOKUP($A18,main!$A$3:$I$56,7,FALSE),main!$K$18:$O$18,0),0))),0)</f>
        <v>305</v>
      </c>
      <c r="P18">
        <f>IF((gamma!P18),IF(VLOOKUP(P$1,main!$A$3:$I$56,7,FALSE)=VLOOKUP($A18,main!$A$3:$I$56,8,FALSE),VLOOKUP(P$1,main!$A$3:$I$56,4,FALSE),VLOOKUP(P$1,main!$A$3:$I$56,4,FALSE)+VLOOKUP($A18,main!$A$3:$I$56,4,FALSE)+(VLOOKUP(VLOOKUP(P$1,main!$A$3:$I$56,8,FALSE),main!$K$19:$O$22,MATCH(VLOOKUP($A18,main!$A$3:$I$56,7,FALSE),main!$K$18:$O$18,0),0))),0)</f>
        <v>0</v>
      </c>
      <c r="Q18">
        <f>IF((gamma!Q18),IF(VLOOKUP(Q$1,main!$A$3:$I$56,7,FALSE)=VLOOKUP($A18,main!$A$3:$I$56,8,FALSE),VLOOKUP(Q$1,main!$A$3:$I$56,4,FALSE),VLOOKUP(Q$1,main!$A$3:$I$56,4,FALSE)+VLOOKUP($A18,main!$A$3:$I$56,4,FALSE)+(VLOOKUP(VLOOKUP(Q$1,main!$A$3:$I$56,8,FALSE),main!$K$19:$O$22,MATCH(VLOOKUP($A18,main!$A$3:$I$56,7,FALSE),main!$K$18:$O$18,0),0))),0)</f>
        <v>0</v>
      </c>
      <c r="R18">
        <f>IF((gamma!R18),IF(VLOOKUP(R$1,main!$A$3:$I$56,7,FALSE)=VLOOKUP($A18,main!$A$3:$I$56,8,FALSE),VLOOKUP(R$1,main!$A$3:$I$56,4,FALSE),VLOOKUP(R$1,main!$A$3:$I$56,4,FALSE)+VLOOKUP($A18,main!$A$3:$I$56,4,FALSE)+(VLOOKUP(VLOOKUP(R$1,main!$A$3:$I$56,8,FALSE),main!$K$19:$O$22,MATCH(VLOOKUP($A18,main!$A$3:$I$56,7,FALSE),main!$K$18:$O$18,0),0))),0)</f>
        <v>0</v>
      </c>
      <c r="S18">
        <f>IF((gamma!S18),IF(VLOOKUP(S$1,main!$A$3:$I$56,7,FALSE)=VLOOKUP($A18,main!$A$3:$I$56,8,FALSE),VLOOKUP(S$1,main!$A$3:$I$56,4,FALSE),VLOOKUP(S$1,main!$A$3:$I$56,4,FALSE)+VLOOKUP($A18,main!$A$3:$I$56,4,FALSE)+(VLOOKUP(VLOOKUP(S$1,main!$A$3:$I$56,8,FALSE),main!$K$19:$O$22,MATCH(VLOOKUP($A18,main!$A$3:$I$56,7,FALSE),main!$K$18:$O$18,0),0))),0)</f>
        <v>0</v>
      </c>
      <c r="T18">
        <f>IF((gamma!T18),IF(VLOOKUP(T$1,main!$A$3:$I$56,7,FALSE)=VLOOKUP($A18,main!$A$3:$I$56,8,FALSE),VLOOKUP(T$1,main!$A$3:$I$56,4,FALSE),VLOOKUP(T$1,main!$A$3:$I$56,4,FALSE)+VLOOKUP($A18,main!$A$3:$I$56,4,FALSE)+(VLOOKUP(VLOOKUP(T$1,main!$A$3:$I$56,8,FALSE),main!$K$19:$O$22,MATCH(VLOOKUP($A18,main!$A$3:$I$56,7,FALSE),main!$K$18:$O$18,0),0))),0)</f>
        <v>310</v>
      </c>
      <c r="U18">
        <f>IF((gamma!U18),IF(VLOOKUP(U$1,main!$A$3:$I$56,7,FALSE)=VLOOKUP($A18,main!$A$3:$I$56,8,FALSE),VLOOKUP(U$1,main!$A$3:$I$56,4,FALSE),VLOOKUP(U$1,main!$A$3:$I$56,4,FALSE)+VLOOKUP($A18,main!$A$3:$I$56,4,FALSE)+(VLOOKUP(VLOOKUP(U$1,main!$A$3:$I$56,8,FALSE),main!$K$19:$O$22,MATCH(VLOOKUP($A18,main!$A$3:$I$56,7,FALSE),main!$K$18:$O$18,0),0))),0)</f>
        <v>0</v>
      </c>
      <c r="V18">
        <f>IF((gamma!V18),IF(VLOOKUP(V$1,main!$A$3:$I$56,7,FALSE)=VLOOKUP($A18,main!$A$3:$I$56,8,FALSE),VLOOKUP(V$1,main!$A$3:$I$56,4,FALSE),VLOOKUP(V$1,main!$A$3:$I$56,4,FALSE)+VLOOKUP($A18,main!$A$3:$I$56,4,FALSE)+(VLOOKUP(VLOOKUP(V$1,main!$A$3:$I$56,8,FALSE),main!$K$19:$O$22,MATCH(VLOOKUP($A18,main!$A$3:$I$56,7,FALSE),main!$K$18:$O$18,0),0))),0)</f>
        <v>0</v>
      </c>
      <c r="W18">
        <f>IF((gamma!W18),IF(VLOOKUP(W$1,main!$A$3:$I$56,7,FALSE)=VLOOKUP($A18,main!$A$3:$I$56,8,FALSE),VLOOKUP(W$1,main!$A$3:$I$56,4,FALSE),VLOOKUP(W$1,main!$A$3:$I$56,4,FALSE)+VLOOKUP($A18,main!$A$3:$I$56,4,FALSE)+(VLOOKUP(VLOOKUP(W$1,main!$A$3:$I$56,8,FALSE),main!$K$19:$O$22,MATCH(VLOOKUP($A18,main!$A$3:$I$56,7,FALSE),main!$K$18:$O$18,0),0))),0)</f>
        <v>0</v>
      </c>
      <c r="X18">
        <f>IF((gamma!X18),IF(VLOOKUP(X$1,main!$A$3:$I$56,7,FALSE)=VLOOKUP($A18,main!$A$3:$I$56,8,FALSE),VLOOKUP(X$1,main!$A$3:$I$56,4,FALSE),VLOOKUP(X$1,main!$A$3:$I$56,4,FALSE)+VLOOKUP($A18,main!$A$3:$I$56,4,FALSE)+(VLOOKUP(VLOOKUP(X$1,main!$A$3:$I$56,8,FALSE),main!$K$19:$O$22,MATCH(VLOOKUP($A18,main!$A$3:$I$56,7,FALSE),main!$K$18:$O$18,0),0))),0)</f>
        <v>0</v>
      </c>
      <c r="Y18">
        <f>IF((gamma!Y18),IF(VLOOKUP(Y$1,main!$A$3:$I$56,7,FALSE)=VLOOKUP($A18,main!$A$3:$I$56,8,FALSE),VLOOKUP(Y$1,main!$A$3:$I$56,4,FALSE),VLOOKUP(Y$1,main!$A$3:$I$56,4,FALSE)+VLOOKUP($A18,main!$A$3:$I$56,4,FALSE)+(VLOOKUP(VLOOKUP(Y$1,main!$A$3:$I$56,8,FALSE),main!$K$19:$O$22,MATCH(VLOOKUP($A18,main!$A$3:$I$56,7,FALSE),main!$K$18:$O$18,0),0))),0)</f>
        <v>0</v>
      </c>
      <c r="Z18">
        <f>IF((gamma!Z18),IF(VLOOKUP(Z$1,main!$A$3:$I$56,7,FALSE)=VLOOKUP($A18,main!$A$3:$I$56,8,FALSE),VLOOKUP(Z$1,main!$A$3:$I$56,4,FALSE),VLOOKUP(Z$1,main!$A$3:$I$56,4,FALSE)+VLOOKUP($A18,main!$A$3:$I$56,4,FALSE)+(VLOOKUP(VLOOKUP(Z$1,main!$A$3:$I$56,8,FALSE),main!$K$19:$O$22,MATCH(VLOOKUP($A18,main!$A$3:$I$56,7,FALSE),main!$K$18:$O$18,0),0))),0)</f>
        <v>270</v>
      </c>
      <c r="AA18">
        <f>IF((gamma!AA18),IF(VLOOKUP(AA$1,main!$A$3:$I$56,7,FALSE)=VLOOKUP($A18,main!$A$3:$I$56,8,FALSE),VLOOKUP(AA$1,main!$A$3:$I$56,4,FALSE),VLOOKUP(AA$1,main!$A$3:$I$56,4,FALSE)+VLOOKUP($A18,main!$A$3:$I$56,4,FALSE)+(VLOOKUP(VLOOKUP(AA$1,main!$A$3:$I$56,8,FALSE),main!$K$19:$O$22,MATCH(VLOOKUP($A18,main!$A$3:$I$56,7,FALSE),main!$K$18:$O$18,0),0))),0)</f>
        <v>270</v>
      </c>
      <c r="AB18">
        <f>IF((gamma!AB18),IF(VLOOKUP(AB$1,main!$A$3:$I$56,7,FALSE)=VLOOKUP($A18,main!$A$3:$I$56,8,FALSE),VLOOKUP(AB$1,main!$A$3:$I$56,4,FALSE),VLOOKUP(AB$1,main!$A$3:$I$56,4,FALSE)+VLOOKUP($A18,main!$A$3:$I$56,4,FALSE)+(VLOOKUP(VLOOKUP(AB$1,main!$A$3:$I$56,8,FALSE),main!$K$19:$O$22,MATCH(VLOOKUP($A18,main!$A$3:$I$56,7,FALSE),main!$K$18:$O$18,0),0))),0)</f>
        <v>270</v>
      </c>
      <c r="AC18">
        <f>IF((gamma!AC18),IF(VLOOKUP(AC$1,main!$A$3:$I$56,7,FALSE)=VLOOKUP($A18,main!$A$3:$I$56,8,FALSE),VLOOKUP(AC$1,main!$A$3:$I$56,4,FALSE),VLOOKUP(AC$1,main!$A$3:$I$56,4,FALSE)+VLOOKUP($A18,main!$A$3:$I$56,4,FALSE)+(VLOOKUP(VLOOKUP(AC$1,main!$A$3:$I$56,8,FALSE),main!$K$19:$O$22,MATCH(VLOOKUP($A18,main!$A$3:$I$56,7,FALSE),main!$K$18:$O$18,0),0))),0)</f>
        <v>0</v>
      </c>
      <c r="AD18">
        <f>IF((gamma!AD18),IF(VLOOKUP(AD$1,main!$A$3:$I$56,7,FALSE)=VLOOKUP($A18,main!$A$3:$I$56,8,FALSE),VLOOKUP(AD$1,main!$A$3:$I$56,4,FALSE),VLOOKUP(AD$1,main!$A$3:$I$56,4,FALSE)+VLOOKUP($A18,main!$A$3:$I$56,4,FALSE)+(VLOOKUP(VLOOKUP(AD$1,main!$A$3:$I$56,8,FALSE),main!$K$19:$O$22,MATCH(VLOOKUP($A18,main!$A$3:$I$56,7,FALSE),main!$K$18:$O$18,0),0))),0)</f>
        <v>0</v>
      </c>
      <c r="AE18">
        <f>IF((gamma!AE18),IF(VLOOKUP(AE$1,main!$A$3:$I$56,7,FALSE)=VLOOKUP($A18,main!$A$3:$I$56,8,FALSE),VLOOKUP(AE$1,main!$A$3:$I$56,4,FALSE),VLOOKUP(AE$1,main!$A$3:$I$56,4,FALSE)+VLOOKUP($A18,main!$A$3:$I$56,4,FALSE)+(VLOOKUP(VLOOKUP(AE$1,main!$A$3:$I$56,8,FALSE),main!$K$19:$O$22,MATCH(VLOOKUP($A18,main!$A$3:$I$56,7,FALSE),main!$K$18:$O$18,0),0))),0)</f>
        <v>0</v>
      </c>
      <c r="AF18">
        <f>IF((gamma!AF18),IF(VLOOKUP(AF$1,main!$A$3:$I$56,7,FALSE)=VLOOKUP($A18,main!$A$3:$I$56,8,FALSE),VLOOKUP(AF$1,main!$A$3:$I$56,4,FALSE),VLOOKUP(AF$1,main!$A$3:$I$56,4,FALSE)+VLOOKUP($A18,main!$A$3:$I$56,4,FALSE)+(VLOOKUP(VLOOKUP(AF$1,main!$A$3:$I$56,8,FALSE),main!$K$19:$O$22,MATCH(VLOOKUP($A18,main!$A$3:$I$56,7,FALSE),main!$K$18:$O$18,0),0))),0)</f>
        <v>0</v>
      </c>
      <c r="AG18">
        <f>IF((gamma!AG18),IF(VLOOKUP(AG$1,main!$A$3:$I$56,7,FALSE)=VLOOKUP($A18,main!$A$3:$I$56,8,FALSE),VLOOKUP(AG$1,main!$A$3:$I$56,4,FALSE),VLOOKUP(AG$1,main!$A$3:$I$56,4,FALSE)+VLOOKUP($A18,main!$A$3:$I$56,4,FALSE)+(VLOOKUP(VLOOKUP(AG$1,main!$A$3:$I$56,8,FALSE),main!$K$19:$O$22,MATCH(VLOOKUP($A18,main!$A$3:$I$56,7,FALSE),main!$K$18:$O$18,0),0))),0)</f>
        <v>0</v>
      </c>
      <c r="AH18">
        <f>IF((gamma!AH18),IF(VLOOKUP(AH$1,main!$A$3:$I$56,7,FALSE)=VLOOKUP($A18,main!$A$3:$I$56,8,FALSE),VLOOKUP(AH$1,main!$A$3:$I$56,4,FALSE),VLOOKUP(AH$1,main!$A$3:$I$56,4,FALSE)+VLOOKUP($A18,main!$A$3:$I$56,4,FALSE)+(VLOOKUP(VLOOKUP(AH$1,main!$A$3:$I$56,8,FALSE),main!$K$19:$O$22,MATCH(VLOOKUP($A18,main!$A$3:$I$56,7,FALSE),main!$K$18:$O$18,0),0))),0)</f>
        <v>0</v>
      </c>
      <c r="AI18">
        <f>IF((gamma!AI18),IF(VLOOKUP(AI$1,main!$A$3:$I$56,7,FALSE)=VLOOKUP($A18,main!$A$3:$I$56,8,FALSE),VLOOKUP(AI$1,main!$A$3:$I$56,4,FALSE),VLOOKUP(AI$1,main!$A$3:$I$56,4,FALSE)+VLOOKUP($A18,main!$A$3:$I$56,4,FALSE)+(VLOOKUP(VLOOKUP(AI$1,main!$A$3:$I$56,8,FALSE),main!$K$19:$O$22,MATCH(VLOOKUP($A18,main!$A$3:$I$56,7,FALSE),main!$K$18:$O$18,0),0))),0)</f>
        <v>0</v>
      </c>
      <c r="AJ18">
        <f>IF((gamma!AJ18),IF(VLOOKUP(AJ$1,main!$A$3:$I$56,7,FALSE)=VLOOKUP($A18,main!$A$3:$I$56,8,FALSE),VLOOKUP(AJ$1,main!$A$3:$I$56,4,FALSE),VLOOKUP(AJ$1,main!$A$3:$I$56,4,FALSE)+VLOOKUP($A18,main!$A$3:$I$56,4,FALSE)+(VLOOKUP(VLOOKUP(AJ$1,main!$A$3:$I$56,8,FALSE),main!$K$19:$O$22,MATCH(VLOOKUP($A18,main!$A$3:$I$56,7,FALSE),main!$K$18:$O$18,0),0))),0)</f>
        <v>0</v>
      </c>
      <c r="AK18">
        <f>IF((gamma!AK18),IF(VLOOKUP(AK$1,main!$A$3:$I$56,7,FALSE)=VLOOKUP($A18,main!$A$3:$I$56,8,FALSE),VLOOKUP(AK$1,main!$A$3:$I$56,4,FALSE),VLOOKUP(AK$1,main!$A$3:$I$56,4,FALSE)+VLOOKUP($A18,main!$A$3:$I$56,4,FALSE)+(VLOOKUP(VLOOKUP(AK$1,main!$A$3:$I$56,8,FALSE),main!$K$19:$O$22,MATCH(VLOOKUP($A18,main!$A$3:$I$56,7,FALSE),main!$K$18:$O$18,0),0))),0)</f>
        <v>275</v>
      </c>
      <c r="AL18">
        <f>IF((gamma!AL18),IF(VLOOKUP(AL$1,main!$A$3:$I$56,7,FALSE)=VLOOKUP($A18,main!$A$3:$I$56,8,FALSE),VLOOKUP(AL$1,main!$A$3:$I$56,4,FALSE),VLOOKUP(AL$1,main!$A$3:$I$56,4,FALSE)+VLOOKUP($A18,main!$A$3:$I$56,4,FALSE)+(VLOOKUP(VLOOKUP(AL$1,main!$A$3:$I$56,8,FALSE),main!$K$19:$O$22,MATCH(VLOOKUP($A18,main!$A$3:$I$56,7,FALSE),main!$K$18:$O$18,0),0))),0)</f>
        <v>0</v>
      </c>
      <c r="AM18">
        <f>IF((gamma!AM18),IF(VLOOKUP(AM$1,main!$A$3:$I$56,7,FALSE)=VLOOKUP($A18,main!$A$3:$I$56,8,FALSE),VLOOKUP(AM$1,main!$A$3:$I$56,4,FALSE),VLOOKUP(AM$1,main!$A$3:$I$56,4,FALSE)+VLOOKUP($A18,main!$A$3:$I$56,4,FALSE)+(VLOOKUP(VLOOKUP(AM$1,main!$A$3:$I$56,8,FALSE),main!$K$19:$O$22,MATCH(VLOOKUP($A18,main!$A$3:$I$56,7,FALSE),main!$K$18:$O$18,0),0))),0)</f>
        <v>0</v>
      </c>
      <c r="AN18">
        <f>IF((gamma!AN18),IF(VLOOKUP(AN$1,main!$A$3:$I$56,7,FALSE)=VLOOKUP($A18,main!$A$3:$I$56,8,FALSE),VLOOKUP(AN$1,main!$A$3:$I$56,4,FALSE),VLOOKUP(AN$1,main!$A$3:$I$56,4,FALSE)+VLOOKUP($A18,main!$A$3:$I$56,4,FALSE)+(VLOOKUP(VLOOKUP(AN$1,main!$A$3:$I$56,8,FALSE),main!$K$19:$O$22,MATCH(VLOOKUP($A18,main!$A$3:$I$56,7,FALSE),main!$K$18:$O$18,0),0))),0)</f>
        <v>0</v>
      </c>
      <c r="AO18">
        <f>IF((gamma!AO18),IF(VLOOKUP(AO$1,main!$A$3:$I$56,7,FALSE)=VLOOKUP($A18,main!$A$3:$I$56,8,FALSE),VLOOKUP(AO$1,main!$A$3:$I$56,4,FALSE),VLOOKUP(AO$1,main!$A$3:$I$56,4,FALSE)+VLOOKUP($A18,main!$A$3:$I$56,4,FALSE)+(VLOOKUP(VLOOKUP(AO$1,main!$A$3:$I$56,8,FALSE),main!$K$19:$O$22,MATCH(VLOOKUP($A18,main!$A$3:$I$56,7,FALSE),main!$K$18:$O$18,0),0))),0)</f>
        <v>0</v>
      </c>
      <c r="AP18">
        <f>IF((gamma!AP18),IF(VLOOKUP(AP$1,main!$A$3:$I$56,7,FALSE)=VLOOKUP($A18,main!$A$3:$I$56,8,FALSE),VLOOKUP(AP$1,main!$A$3:$I$56,4,FALSE),VLOOKUP(AP$1,main!$A$3:$I$56,4,FALSE)+VLOOKUP($A18,main!$A$3:$I$56,4,FALSE)+(VLOOKUP(VLOOKUP(AP$1,main!$A$3:$I$56,8,FALSE),main!$K$19:$O$22,MATCH(VLOOKUP($A18,main!$A$3:$I$56,7,FALSE),main!$K$18:$O$18,0),0))),0)</f>
        <v>0</v>
      </c>
      <c r="AQ18">
        <f>IF((gamma!AQ18),IF(VLOOKUP(AQ$1,main!$A$3:$I$56,7,FALSE)=VLOOKUP($A18,main!$A$3:$I$56,8,FALSE),VLOOKUP(AQ$1,main!$A$3:$I$56,4,FALSE),VLOOKUP(AQ$1,main!$A$3:$I$56,4,FALSE)+VLOOKUP($A18,main!$A$3:$I$56,4,FALSE)+(VLOOKUP(VLOOKUP(AQ$1,main!$A$3:$I$56,8,FALSE),main!$K$19:$O$22,MATCH(VLOOKUP($A18,main!$A$3:$I$56,7,FALSE),main!$K$18:$O$18,0),0))),0)</f>
        <v>0</v>
      </c>
      <c r="AR18">
        <f>IF((gamma!AR18),IF(VLOOKUP(AR$1,main!$A$3:$I$56,7,FALSE)=VLOOKUP($A18,main!$A$3:$I$56,8,FALSE),VLOOKUP(AR$1,main!$A$3:$I$56,4,FALSE),VLOOKUP(AR$1,main!$A$3:$I$56,4,FALSE)+VLOOKUP($A18,main!$A$3:$I$56,4,FALSE)+(VLOOKUP(VLOOKUP(AR$1,main!$A$3:$I$56,8,FALSE),main!$K$19:$O$22,MATCH(VLOOKUP($A18,main!$A$3:$I$56,7,FALSE),main!$K$18:$O$18,0),0))),0)</f>
        <v>0</v>
      </c>
      <c r="AS18">
        <f>IF((gamma!AS18),IF(VLOOKUP(AS$1,main!$A$3:$I$56,7,FALSE)=VLOOKUP($A18,main!$A$3:$I$56,8,FALSE),VLOOKUP(AS$1,main!$A$3:$I$56,4,FALSE),VLOOKUP(AS$1,main!$A$3:$I$56,4,FALSE)+VLOOKUP($A18,main!$A$3:$I$56,4,FALSE)+(VLOOKUP(VLOOKUP(AS$1,main!$A$3:$I$56,8,FALSE),main!$K$19:$O$22,MATCH(VLOOKUP($A18,main!$A$3:$I$56,7,FALSE),main!$K$18:$O$18,0),0))),0)</f>
        <v>0</v>
      </c>
      <c r="AT18">
        <f>IF((gamma!AT18),IF(VLOOKUP(AT$1,main!$A$3:$I$56,7,FALSE)=VLOOKUP($A18,main!$A$3:$I$56,8,FALSE),VLOOKUP(AT$1,main!$A$3:$I$56,4,FALSE),VLOOKUP(AT$1,main!$A$3:$I$56,4,FALSE)+VLOOKUP($A18,main!$A$3:$I$56,4,FALSE)+(VLOOKUP(VLOOKUP(AT$1,main!$A$3:$I$56,8,FALSE),main!$K$19:$O$22,MATCH(VLOOKUP($A18,main!$A$3:$I$56,7,FALSE),main!$K$18:$O$18,0),0))),0)</f>
        <v>0</v>
      </c>
      <c r="AU18">
        <f>IF((gamma!AU18),IF(VLOOKUP(AU$1,main!$A$3:$I$56,7,FALSE)=VLOOKUP($A18,main!$A$3:$I$56,8,FALSE),VLOOKUP(AU$1,main!$A$3:$I$56,4,FALSE),VLOOKUP(AU$1,main!$A$3:$I$56,4,FALSE)+VLOOKUP($A18,main!$A$3:$I$56,4,FALSE)+(VLOOKUP(VLOOKUP(AU$1,main!$A$3:$I$56,8,FALSE),main!$K$19:$O$22,MATCH(VLOOKUP($A18,main!$A$3:$I$56,7,FALSE),main!$K$18:$O$18,0),0))),0)</f>
        <v>0</v>
      </c>
      <c r="AV18">
        <f>IF((gamma!AV18),IF(VLOOKUP(AV$1,main!$A$3:$I$56,7,FALSE)=VLOOKUP($A18,main!$A$3:$I$56,8,FALSE),VLOOKUP(AV$1,main!$A$3:$I$56,4,FALSE),VLOOKUP(AV$1,main!$A$3:$I$56,4,FALSE)+VLOOKUP($A18,main!$A$3:$I$56,4,FALSE)+(VLOOKUP(VLOOKUP(AV$1,main!$A$3:$I$56,8,FALSE),main!$K$19:$O$22,MATCH(VLOOKUP($A18,main!$A$3:$I$56,7,FALSE),main!$K$18:$O$18,0),0))),0)</f>
        <v>0</v>
      </c>
      <c r="AW18">
        <f>IF((gamma!AW18),IF(VLOOKUP(AW$1,main!$A$3:$I$56,7,FALSE)=VLOOKUP($A18,main!$A$3:$I$56,8,FALSE),VLOOKUP(AW$1,main!$A$3:$I$56,4,FALSE),VLOOKUP(AW$1,main!$A$3:$I$56,4,FALSE)+VLOOKUP($A18,main!$A$3:$I$56,4,FALSE)+(VLOOKUP(VLOOKUP(AW$1,main!$A$3:$I$56,8,FALSE),main!$K$19:$O$22,MATCH(VLOOKUP($A18,main!$A$3:$I$56,7,FALSE),main!$K$18:$O$18,0),0))),0)</f>
        <v>0</v>
      </c>
      <c r="AX18">
        <f>IF((gamma!AX18),IF(VLOOKUP(AX$1,main!$A$3:$I$56,7,FALSE)=VLOOKUP($A18,main!$A$3:$I$56,8,FALSE),VLOOKUP(AX$1,main!$A$3:$I$56,4,FALSE),VLOOKUP(AX$1,main!$A$3:$I$56,4,FALSE)+VLOOKUP($A18,main!$A$3:$I$56,4,FALSE)+(VLOOKUP(VLOOKUP(AX$1,main!$A$3:$I$56,8,FALSE),main!$K$19:$O$22,MATCH(VLOOKUP($A18,main!$A$3:$I$56,7,FALSE),main!$K$18:$O$18,0),0))),0)</f>
        <v>140</v>
      </c>
      <c r="AY18">
        <f>IF((gamma!AY18),IF(VLOOKUP(AY$1,main!$A$3:$I$56,7,FALSE)=VLOOKUP($A18,main!$A$3:$I$56,8,FALSE),VLOOKUP(AY$1,main!$A$3:$I$56,4,FALSE),VLOOKUP(AY$1,main!$A$3:$I$56,4,FALSE)+VLOOKUP($A18,main!$A$3:$I$56,4,FALSE)+(VLOOKUP(VLOOKUP(AY$1,main!$A$3:$I$56,8,FALSE),main!$K$19:$O$22,MATCH(VLOOKUP($A18,main!$A$3:$I$56,7,FALSE),main!$K$18:$O$18,0),0))),0)</f>
        <v>140</v>
      </c>
      <c r="AZ18">
        <f>IF((gamma!AZ18),IF(VLOOKUP(AZ$1,main!$A$3:$I$56,7,FALSE)=VLOOKUP($A18,main!$A$3:$I$56,8,FALSE),VLOOKUP(AZ$1,main!$A$3:$I$56,4,FALSE),VLOOKUP(AZ$1,main!$A$3:$I$56,4,FALSE)+VLOOKUP($A18,main!$A$3:$I$56,4,FALSE)+(VLOOKUP(VLOOKUP(AZ$1,main!$A$3:$I$56,8,FALSE),main!$K$19:$O$22,MATCH(VLOOKUP($A18,main!$A$3:$I$56,7,FALSE),main!$K$18:$O$18,0),0))),0)</f>
        <v>0</v>
      </c>
      <c r="BA18">
        <f>IF((gamma!BA18),IF(VLOOKUP(BA$1,main!$A$3:$I$56,7,FALSE)=VLOOKUP($A18,main!$A$3:$I$56,8,FALSE),VLOOKUP(BA$1,main!$A$3:$I$56,4,FALSE),VLOOKUP(BA$1,main!$A$3:$I$56,4,FALSE)+VLOOKUP($A18,main!$A$3:$I$56,4,FALSE)+(VLOOKUP(VLOOKUP(BA$1,main!$A$3:$I$56,8,FALSE),main!$K$19:$O$22,MATCH(VLOOKUP($A18,main!$A$3:$I$56,7,FALSE),main!$K$18:$O$18,0),0))),0)</f>
        <v>0</v>
      </c>
      <c r="BB18">
        <f>IF((gamma!BB18),IF(VLOOKUP(BB$1,main!$A$3:$I$56,7,FALSE)=VLOOKUP($A18,main!$A$3:$I$56,8,FALSE),VLOOKUP(BB$1,main!$A$3:$I$56,4,FALSE),VLOOKUP(BB$1,main!$A$3:$I$56,4,FALSE)+VLOOKUP($A18,main!$A$3:$I$56,4,FALSE)+(VLOOKUP(VLOOKUP(BB$1,main!$A$3:$I$56,8,FALSE),main!$K$19:$O$22,MATCH(VLOOKUP($A18,main!$A$3:$I$56,7,FALSE),main!$K$18:$O$18,0),0))),0)</f>
        <v>0</v>
      </c>
      <c r="BC18">
        <f>IF((gamma!BC18),IF(VLOOKUP(BC$1,main!$A$3:$I$56,7,FALSE)=VLOOKUP($A18,main!$A$3:$I$56,8,FALSE),VLOOKUP(BC$1,main!$A$3:$I$56,4,FALSE),VLOOKUP(BC$1,main!$A$3:$I$56,4,FALSE)+VLOOKUP($A18,main!$A$3:$I$56,4,FALSE)+(VLOOKUP(VLOOKUP(BC$1,main!$A$3:$I$56,8,FALSE),main!$K$19:$O$22,MATCH(VLOOKUP($A18,main!$A$3:$I$56,7,FALSE),main!$K$18:$O$18,0),0))),0)</f>
        <v>135</v>
      </c>
      <c r="BD18">
        <f>IF((gamma!BD18),IF(VLOOKUP(BD$1,main!$A$3:$I$56,7,FALSE)=VLOOKUP($A18,main!$A$3:$I$56,8,FALSE),VLOOKUP(BD$1,main!$A$3:$I$56,4,FALSE),VLOOKUP(BD$1,main!$A$3:$I$56,4,FALSE)+VLOOKUP($A18,main!$A$3:$I$56,4,FALSE)+(VLOOKUP(VLOOKUP(BD$1,main!$A$3:$I$56,8,FALSE),main!$K$19:$O$22,MATCH(VLOOKUP($A18,main!$A$3:$I$56,7,FALSE),main!$K$18:$O$18,0),0))),0)</f>
        <v>135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25">
      <c r="A19">
        <f t="shared" si="0"/>
        <v>17</v>
      </c>
      <c r="B19">
        <v>0</v>
      </c>
      <c r="C19">
        <f>IF((gamma!C19),IF(VLOOKUP(C$1,main!$A$3:$I$56,7,FALSE)=VLOOKUP($A19,main!$A$3:$I$56,8,FALSE),VLOOKUP(C$1,main!$A$3:$I$56,4,FALSE),VLOOKUP(C$1,main!$A$3:$I$56,4,FALSE)+VLOOKUP($A19,main!$A$3:$I$56,4,FALSE)+(VLOOKUP(VLOOKUP(C$1,main!$A$3:$I$56,8,FALSE),main!$K$19:$O$22,MATCH(VLOOKUP($A19,main!$A$3:$I$56,7,FALSE),main!$K$18:$O$18,0),0))),0)</f>
        <v>0</v>
      </c>
      <c r="D19">
        <f>IF((gamma!D19),IF(VLOOKUP(D$1,main!$A$3:$I$56,7,FALSE)=VLOOKUP($A19,main!$A$3:$I$56,8,FALSE),VLOOKUP(D$1,main!$A$3:$I$56,4,FALSE),VLOOKUP(D$1,main!$A$3:$I$56,4,FALSE)+VLOOKUP($A19,main!$A$3:$I$56,4,FALSE)+(VLOOKUP(VLOOKUP(D$1,main!$A$3:$I$56,8,FALSE),main!$K$19:$O$22,MATCH(VLOOKUP($A19,main!$A$3:$I$56,7,FALSE),main!$K$18:$O$18,0),0))),0)</f>
        <v>0</v>
      </c>
      <c r="E19">
        <f>IF((gamma!E19),IF(VLOOKUP(E$1,main!$A$3:$I$56,7,FALSE)=VLOOKUP($A19,main!$A$3:$I$56,8,FALSE),VLOOKUP(E$1,main!$A$3:$I$56,4,FALSE),VLOOKUP(E$1,main!$A$3:$I$56,4,FALSE)+VLOOKUP($A19,main!$A$3:$I$56,4,FALSE)+(VLOOKUP(VLOOKUP(E$1,main!$A$3:$I$56,8,FALSE),main!$K$19:$O$22,MATCH(VLOOKUP($A19,main!$A$3:$I$56,7,FALSE),main!$K$18:$O$18,0),0))),0)</f>
        <v>0</v>
      </c>
      <c r="F19">
        <f>IF((gamma!F19),IF(VLOOKUP(F$1,main!$A$3:$I$56,7,FALSE)=VLOOKUP($A19,main!$A$3:$I$56,8,FALSE),VLOOKUP(F$1,main!$A$3:$I$56,4,FALSE),VLOOKUP(F$1,main!$A$3:$I$56,4,FALSE)+VLOOKUP($A19,main!$A$3:$I$56,4,FALSE)+(VLOOKUP(VLOOKUP(F$1,main!$A$3:$I$56,8,FALSE),main!$K$19:$O$22,MATCH(VLOOKUP($A19,main!$A$3:$I$56,7,FALSE),main!$K$18:$O$18,0),0))),0)</f>
        <v>0</v>
      </c>
      <c r="G19">
        <f>IF((gamma!G19),IF(VLOOKUP(G$1,main!$A$3:$I$56,7,FALSE)=VLOOKUP($A19,main!$A$3:$I$56,8,FALSE),VLOOKUP(G$1,main!$A$3:$I$56,4,FALSE),VLOOKUP(G$1,main!$A$3:$I$56,4,FALSE)+VLOOKUP($A19,main!$A$3:$I$56,4,FALSE)+(VLOOKUP(VLOOKUP(G$1,main!$A$3:$I$56,8,FALSE),main!$K$19:$O$22,MATCH(VLOOKUP($A19,main!$A$3:$I$56,7,FALSE),main!$K$18:$O$18,0),0))),0)</f>
        <v>0</v>
      </c>
      <c r="H19">
        <f>IF((gamma!H19),IF(VLOOKUP(H$1,main!$A$3:$I$56,7,FALSE)=VLOOKUP($A19,main!$A$3:$I$56,8,FALSE),VLOOKUP(H$1,main!$A$3:$I$56,4,FALSE),VLOOKUP(H$1,main!$A$3:$I$56,4,FALSE)+VLOOKUP($A19,main!$A$3:$I$56,4,FALSE)+(VLOOKUP(VLOOKUP(H$1,main!$A$3:$I$56,8,FALSE),main!$K$19:$O$22,MATCH(VLOOKUP($A19,main!$A$3:$I$56,7,FALSE),main!$K$18:$O$18,0),0))),0)</f>
        <v>0</v>
      </c>
      <c r="I19">
        <f>IF((gamma!I19),IF(VLOOKUP(I$1,main!$A$3:$I$56,7,FALSE)=VLOOKUP($A19,main!$A$3:$I$56,8,FALSE),VLOOKUP(I$1,main!$A$3:$I$56,4,FALSE),VLOOKUP(I$1,main!$A$3:$I$56,4,FALSE)+VLOOKUP($A19,main!$A$3:$I$56,4,FALSE)+(VLOOKUP(VLOOKUP(I$1,main!$A$3:$I$56,8,FALSE),main!$K$19:$O$22,MATCH(VLOOKUP($A19,main!$A$3:$I$56,7,FALSE),main!$K$18:$O$18,0),0))),0)</f>
        <v>0</v>
      </c>
      <c r="J19">
        <f>IF((gamma!J19),IF(VLOOKUP(J$1,main!$A$3:$I$56,7,FALSE)=VLOOKUP($A19,main!$A$3:$I$56,8,FALSE),VLOOKUP(J$1,main!$A$3:$I$56,4,FALSE),VLOOKUP(J$1,main!$A$3:$I$56,4,FALSE)+VLOOKUP($A19,main!$A$3:$I$56,4,FALSE)+(VLOOKUP(VLOOKUP(J$1,main!$A$3:$I$56,8,FALSE),main!$K$19:$O$22,MATCH(VLOOKUP($A19,main!$A$3:$I$56,7,FALSE),main!$K$18:$O$18,0),0))),0)</f>
        <v>300</v>
      </c>
      <c r="K19">
        <f>IF((gamma!K19),IF(VLOOKUP(K$1,main!$A$3:$I$56,7,FALSE)=VLOOKUP($A19,main!$A$3:$I$56,8,FALSE),VLOOKUP(K$1,main!$A$3:$I$56,4,FALSE),VLOOKUP(K$1,main!$A$3:$I$56,4,FALSE)+VLOOKUP($A19,main!$A$3:$I$56,4,FALSE)+(VLOOKUP(VLOOKUP(K$1,main!$A$3:$I$56,8,FALSE),main!$K$19:$O$22,MATCH(VLOOKUP($A19,main!$A$3:$I$56,7,FALSE),main!$K$18:$O$18,0),0))),0)</f>
        <v>0</v>
      </c>
      <c r="L19">
        <f>IF((gamma!L19),IF(VLOOKUP(L$1,main!$A$3:$I$56,7,FALSE)=VLOOKUP($A19,main!$A$3:$I$56,8,FALSE),VLOOKUP(L$1,main!$A$3:$I$56,4,FALSE),VLOOKUP(L$1,main!$A$3:$I$56,4,FALSE)+VLOOKUP($A19,main!$A$3:$I$56,4,FALSE)+(VLOOKUP(VLOOKUP(L$1,main!$A$3:$I$56,8,FALSE),main!$K$19:$O$22,MATCH(VLOOKUP($A19,main!$A$3:$I$56,7,FALSE),main!$K$18:$O$18,0),0))),0)</f>
        <v>0</v>
      </c>
      <c r="M19">
        <f>IF((gamma!M19),IF(VLOOKUP(M$1,main!$A$3:$I$56,7,FALSE)=VLOOKUP($A19,main!$A$3:$I$56,8,FALSE),VLOOKUP(M$1,main!$A$3:$I$56,4,FALSE),VLOOKUP(M$1,main!$A$3:$I$56,4,FALSE)+VLOOKUP($A19,main!$A$3:$I$56,4,FALSE)+(VLOOKUP(VLOOKUP(M$1,main!$A$3:$I$56,8,FALSE),main!$K$19:$O$22,MATCH(VLOOKUP($A19,main!$A$3:$I$56,7,FALSE),main!$K$18:$O$18,0),0))),0)</f>
        <v>0</v>
      </c>
      <c r="N19">
        <f>IF((gamma!N19),IF(VLOOKUP(N$1,main!$A$3:$I$56,7,FALSE)=VLOOKUP($A19,main!$A$3:$I$56,8,FALSE),VLOOKUP(N$1,main!$A$3:$I$56,4,FALSE),VLOOKUP(N$1,main!$A$3:$I$56,4,FALSE)+VLOOKUP($A19,main!$A$3:$I$56,4,FALSE)+(VLOOKUP(VLOOKUP(N$1,main!$A$3:$I$56,8,FALSE),main!$K$19:$O$22,MATCH(VLOOKUP($A19,main!$A$3:$I$56,7,FALSE),main!$K$18:$O$18,0),0))),0)</f>
        <v>0</v>
      </c>
      <c r="O19">
        <f>IF((gamma!O19),IF(VLOOKUP(O$1,main!$A$3:$I$56,7,FALSE)=VLOOKUP($A19,main!$A$3:$I$56,8,FALSE),VLOOKUP(O$1,main!$A$3:$I$56,4,FALSE),VLOOKUP(O$1,main!$A$3:$I$56,4,FALSE)+VLOOKUP($A19,main!$A$3:$I$56,4,FALSE)+(VLOOKUP(VLOOKUP(O$1,main!$A$3:$I$56,8,FALSE),main!$K$19:$O$22,MATCH(VLOOKUP($A19,main!$A$3:$I$56,7,FALSE),main!$K$18:$O$18,0),0))),0)</f>
        <v>310</v>
      </c>
      <c r="P19">
        <f>IF((gamma!P19),IF(VLOOKUP(P$1,main!$A$3:$I$56,7,FALSE)=VLOOKUP($A19,main!$A$3:$I$56,8,FALSE),VLOOKUP(P$1,main!$A$3:$I$56,4,FALSE),VLOOKUP(P$1,main!$A$3:$I$56,4,FALSE)+VLOOKUP($A19,main!$A$3:$I$56,4,FALSE)+(VLOOKUP(VLOOKUP(P$1,main!$A$3:$I$56,8,FALSE),main!$K$19:$O$22,MATCH(VLOOKUP($A19,main!$A$3:$I$56,7,FALSE),main!$K$18:$O$18,0),0))),0)</f>
        <v>0</v>
      </c>
      <c r="Q19">
        <f>IF((gamma!Q19),IF(VLOOKUP(Q$1,main!$A$3:$I$56,7,FALSE)=VLOOKUP($A19,main!$A$3:$I$56,8,FALSE),VLOOKUP(Q$1,main!$A$3:$I$56,4,FALSE),VLOOKUP(Q$1,main!$A$3:$I$56,4,FALSE)+VLOOKUP($A19,main!$A$3:$I$56,4,FALSE)+(VLOOKUP(VLOOKUP(Q$1,main!$A$3:$I$56,8,FALSE),main!$K$19:$O$22,MATCH(VLOOKUP($A19,main!$A$3:$I$56,7,FALSE),main!$K$18:$O$18,0),0))),0)</f>
        <v>0</v>
      </c>
      <c r="R19">
        <f>IF((gamma!R19),IF(VLOOKUP(R$1,main!$A$3:$I$56,7,FALSE)=VLOOKUP($A19,main!$A$3:$I$56,8,FALSE),VLOOKUP(R$1,main!$A$3:$I$56,4,FALSE),VLOOKUP(R$1,main!$A$3:$I$56,4,FALSE)+VLOOKUP($A19,main!$A$3:$I$56,4,FALSE)+(VLOOKUP(VLOOKUP(R$1,main!$A$3:$I$56,8,FALSE),main!$K$19:$O$22,MATCH(VLOOKUP($A19,main!$A$3:$I$56,7,FALSE),main!$K$18:$O$18,0),0))),0)</f>
        <v>0</v>
      </c>
      <c r="S19">
        <f>IF((gamma!S19),IF(VLOOKUP(S$1,main!$A$3:$I$56,7,FALSE)=VLOOKUP($A19,main!$A$3:$I$56,8,FALSE),VLOOKUP(S$1,main!$A$3:$I$56,4,FALSE),VLOOKUP(S$1,main!$A$3:$I$56,4,FALSE)+VLOOKUP($A19,main!$A$3:$I$56,4,FALSE)+(VLOOKUP(VLOOKUP(S$1,main!$A$3:$I$56,8,FALSE),main!$K$19:$O$22,MATCH(VLOOKUP($A19,main!$A$3:$I$56,7,FALSE),main!$K$18:$O$18,0),0))),0)</f>
        <v>0</v>
      </c>
      <c r="T19">
        <f>IF((gamma!T19),IF(VLOOKUP(T$1,main!$A$3:$I$56,7,FALSE)=VLOOKUP($A19,main!$A$3:$I$56,8,FALSE),VLOOKUP(T$1,main!$A$3:$I$56,4,FALSE),VLOOKUP(T$1,main!$A$3:$I$56,4,FALSE)+VLOOKUP($A19,main!$A$3:$I$56,4,FALSE)+(VLOOKUP(VLOOKUP(T$1,main!$A$3:$I$56,8,FALSE),main!$K$19:$O$22,MATCH(VLOOKUP($A19,main!$A$3:$I$56,7,FALSE),main!$K$18:$O$18,0),0))),0)</f>
        <v>0</v>
      </c>
      <c r="U19">
        <f>IF((gamma!U19),IF(VLOOKUP(U$1,main!$A$3:$I$56,7,FALSE)=VLOOKUP($A19,main!$A$3:$I$56,8,FALSE),VLOOKUP(U$1,main!$A$3:$I$56,4,FALSE),VLOOKUP(U$1,main!$A$3:$I$56,4,FALSE)+VLOOKUP($A19,main!$A$3:$I$56,4,FALSE)+(VLOOKUP(VLOOKUP(U$1,main!$A$3:$I$56,8,FALSE),main!$K$19:$O$22,MATCH(VLOOKUP($A19,main!$A$3:$I$56,7,FALSE),main!$K$18:$O$18,0),0))),0)</f>
        <v>0</v>
      </c>
      <c r="V19">
        <f>IF((gamma!V19),IF(VLOOKUP(V$1,main!$A$3:$I$56,7,FALSE)=VLOOKUP($A19,main!$A$3:$I$56,8,FALSE),VLOOKUP(V$1,main!$A$3:$I$56,4,FALSE),VLOOKUP(V$1,main!$A$3:$I$56,4,FALSE)+VLOOKUP($A19,main!$A$3:$I$56,4,FALSE)+(VLOOKUP(VLOOKUP(V$1,main!$A$3:$I$56,8,FALSE),main!$K$19:$O$22,MATCH(VLOOKUP($A19,main!$A$3:$I$56,7,FALSE),main!$K$18:$O$18,0),0))),0)</f>
        <v>0</v>
      </c>
      <c r="W19">
        <f>IF((gamma!W19),IF(VLOOKUP(W$1,main!$A$3:$I$56,7,FALSE)=VLOOKUP($A19,main!$A$3:$I$56,8,FALSE),VLOOKUP(W$1,main!$A$3:$I$56,4,FALSE),VLOOKUP(W$1,main!$A$3:$I$56,4,FALSE)+VLOOKUP($A19,main!$A$3:$I$56,4,FALSE)+(VLOOKUP(VLOOKUP(W$1,main!$A$3:$I$56,8,FALSE),main!$K$19:$O$22,MATCH(VLOOKUP($A19,main!$A$3:$I$56,7,FALSE),main!$K$18:$O$18,0),0))),0)</f>
        <v>0</v>
      </c>
      <c r="X19">
        <f>IF((gamma!X19),IF(VLOOKUP(X$1,main!$A$3:$I$56,7,FALSE)=VLOOKUP($A19,main!$A$3:$I$56,8,FALSE),VLOOKUP(X$1,main!$A$3:$I$56,4,FALSE),VLOOKUP(X$1,main!$A$3:$I$56,4,FALSE)+VLOOKUP($A19,main!$A$3:$I$56,4,FALSE)+(VLOOKUP(VLOOKUP(X$1,main!$A$3:$I$56,8,FALSE),main!$K$19:$O$22,MATCH(VLOOKUP($A19,main!$A$3:$I$56,7,FALSE),main!$K$18:$O$18,0),0))),0)</f>
        <v>0</v>
      </c>
      <c r="Y19">
        <f>IF((gamma!Y19),IF(VLOOKUP(Y$1,main!$A$3:$I$56,7,FALSE)=VLOOKUP($A19,main!$A$3:$I$56,8,FALSE),VLOOKUP(Y$1,main!$A$3:$I$56,4,FALSE),VLOOKUP(Y$1,main!$A$3:$I$56,4,FALSE)+VLOOKUP($A19,main!$A$3:$I$56,4,FALSE)+(VLOOKUP(VLOOKUP(Y$1,main!$A$3:$I$56,8,FALSE),main!$K$19:$O$22,MATCH(VLOOKUP($A19,main!$A$3:$I$56,7,FALSE),main!$K$18:$O$18,0),0))),0)</f>
        <v>0</v>
      </c>
      <c r="Z19">
        <f>IF((gamma!Z19),IF(VLOOKUP(Z$1,main!$A$3:$I$56,7,FALSE)=VLOOKUP($A19,main!$A$3:$I$56,8,FALSE),VLOOKUP(Z$1,main!$A$3:$I$56,4,FALSE),VLOOKUP(Z$1,main!$A$3:$I$56,4,FALSE)+VLOOKUP($A19,main!$A$3:$I$56,4,FALSE)+(VLOOKUP(VLOOKUP(Z$1,main!$A$3:$I$56,8,FALSE),main!$K$19:$O$22,MATCH(VLOOKUP($A19,main!$A$3:$I$56,7,FALSE),main!$K$18:$O$18,0),0))),0)</f>
        <v>0</v>
      </c>
      <c r="AA19">
        <f>IF((gamma!AA19),IF(VLOOKUP(AA$1,main!$A$3:$I$56,7,FALSE)=VLOOKUP($A19,main!$A$3:$I$56,8,FALSE),VLOOKUP(AA$1,main!$A$3:$I$56,4,FALSE),VLOOKUP(AA$1,main!$A$3:$I$56,4,FALSE)+VLOOKUP($A19,main!$A$3:$I$56,4,FALSE)+(VLOOKUP(VLOOKUP(AA$1,main!$A$3:$I$56,8,FALSE),main!$K$19:$O$22,MATCH(VLOOKUP($A19,main!$A$3:$I$56,7,FALSE),main!$K$18:$O$18,0),0))),0)</f>
        <v>0</v>
      </c>
      <c r="AB19">
        <f>IF((gamma!AB19),IF(VLOOKUP(AB$1,main!$A$3:$I$56,7,FALSE)=VLOOKUP($A19,main!$A$3:$I$56,8,FALSE),VLOOKUP(AB$1,main!$A$3:$I$56,4,FALSE),VLOOKUP(AB$1,main!$A$3:$I$56,4,FALSE)+VLOOKUP($A19,main!$A$3:$I$56,4,FALSE)+(VLOOKUP(VLOOKUP(AB$1,main!$A$3:$I$56,8,FALSE),main!$K$19:$O$22,MATCH(VLOOKUP($A19,main!$A$3:$I$56,7,FALSE),main!$K$18:$O$18,0),0))),0)</f>
        <v>0</v>
      </c>
      <c r="AC19">
        <f>IF((gamma!AC19),IF(VLOOKUP(AC$1,main!$A$3:$I$56,7,FALSE)=VLOOKUP($A19,main!$A$3:$I$56,8,FALSE),VLOOKUP(AC$1,main!$A$3:$I$56,4,FALSE),VLOOKUP(AC$1,main!$A$3:$I$56,4,FALSE)+VLOOKUP($A19,main!$A$3:$I$56,4,FALSE)+(VLOOKUP(VLOOKUP(AC$1,main!$A$3:$I$56,8,FALSE),main!$K$19:$O$22,MATCH(VLOOKUP($A19,main!$A$3:$I$56,7,FALSE),main!$K$18:$O$18,0),0))),0)</f>
        <v>0</v>
      </c>
      <c r="AD19">
        <f>IF((gamma!AD19),IF(VLOOKUP(AD$1,main!$A$3:$I$56,7,FALSE)=VLOOKUP($A19,main!$A$3:$I$56,8,FALSE),VLOOKUP(AD$1,main!$A$3:$I$56,4,FALSE),VLOOKUP(AD$1,main!$A$3:$I$56,4,FALSE)+VLOOKUP($A19,main!$A$3:$I$56,4,FALSE)+(VLOOKUP(VLOOKUP(AD$1,main!$A$3:$I$56,8,FALSE),main!$K$19:$O$22,MATCH(VLOOKUP($A19,main!$A$3:$I$56,7,FALSE),main!$K$18:$O$18,0),0))),0)</f>
        <v>0</v>
      </c>
      <c r="AE19">
        <f>IF((gamma!AE19),IF(VLOOKUP(AE$1,main!$A$3:$I$56,7,FALSE)=VLOOKUP($A19,main!$A$3:$I$56,8,FALSE),VLOOKUP(AE$1,main!$A$3:$I$56,4,FALSE),VLOOKUP(AE$1,main!$A$3:$I$56,4,FALSE)+VLOOKUP($A19,main!$A$3:$I$56,4,FALSE)+(VLOOKUP(VLOOKUP(AE$1,main!$A$3:$I$56,8,FALSE),main!$K$19:$O$22,MATCH(VLOOKUP($A19,main!$A$3:$I$56,7,FALSE),main!$K$18:$O$18,0),0))),0)</f>
        <v>0</v>
      </c>
      <c r="AF19">
        <f>IF((gamma!AF19),IF(VLOOKUP(AF$1,main!$A$3:$I$56,7,FALSE)=VLOOKUP($A19,main!$A$3:$I$56,8,FALSE),VLOOKUP(AF$1,main!$A$3:$I$56,4,FALSE),VLOOKUP(AF$1,main!$A$3:$I$56,4,FALSE)+VLOOKUP($A19,main!$A$3:$I$56,4,FALSE)+(VLOOKUP(VLOOKUP(AF$1,main!$A$3:$I$56,8,FALSE),main!$K$19:$O$22,MATCH(VLOOKUP($A19,main!$A$3:$I$56,7,FALSE),main!$K$18:$O$18,0),0))),0)</f>
        <v>0</v>
      </c>
      <c r="AG19">
        <f>IF((gamma!AG19),IF(VLOOKUP(AG$1,main!$A$3:$I$56,7,FALSE)=VLOOKUP($A19,main!$A$3:$I$56,8,FALSE),VLOOKUP(AG$1,main!$A$3:$I$56,4,FALSE),VLOOKUP(AG$1,main!$A$3:$I$56,4,FALSE)+VLOOKUP($A19,main!$A$3:$I$56,4,FALSE)+(VLOOKUP(VLOOKUP(AG$1,main!$A$3:$I$56,8,FALSE),main!$K$19:$O$22,MATCH(VLOOKUP($A19,main!$A$3:$I$56,7,FALSE),main!$K$18:$O$18,0),0))),0)</f>
        <v>0</v>
      </c>
      <c r="AH19">
        <f>IF((gamma!AH19),IF(VLOOKUP(AH$1,main!$A$3:$I$56,7,FALSE)=VLOOKUP($A19,main!$A$3:$I$56,8,FALSE),VLOOKUP(AH$1,main!$A$3:$I$56,4,FALSE),VLOOKUP(AH$1,main!$A$3:$I$56,4,FALSE)+VLOOKUP($A19,main!$A$3:$I$56,4,FALSE)+(VLOOKUP(VLOOKUP(AH$1,main!$A$3:$I$56,8,FALSE),main!$K$19:$O$22,MATCH(VLOOKUP($A19,main!$A$3:$I$56,7,FALSE),main!$K$18:$O$18,0),0))),0)</f>
        <v>0</v>
      </c>
      <c r="AI19">
        <f>IF((gamma!AI19),IF(VLOOKUP(AI$1,main!$A$3:$I$56,7,FALSE)=VLOOKUP($A19,main!$A$3:$I$56,8,FALSE),VLOOKUP(AI$1,main!$A$3:$I$56,4,FALSE),VLOOKUP(AI$1,main!$A$3:$I$56,4,FALSE)+VLOOKUP($A19,main!$A$3:$I$56,4,FALSE)+(VLOOKUP(VLOOKUP(AI$1,main!$A$3:$I$56,8,FALSE),main!$K$19:$O$22,MATCH(VLOOKUP($A19,main!$A$3:$I$56,7,FALSE),main!$K$18:$O$18,0),0))),0)</f>
        <v>0</v>
      </c>
      <c r="AJ19">
        <f>IF((gamma!AJ19),IF(VLOOKUP(AJ$1,main!$A$3:$I$56,7,FALSE)=VLOOKUP($A19,main!$A$3:$I$56,8,FALSE),VLOOKUP(AJ$1,main!$A$3:$I$56,4,FALSE),VLOOKUP(AJ$1,main!$A$3:$I$56,4,FALSE)+VLOOKUP($A19,main!$A$3:$I$56,4,FALSE)+(VLOOKUP(VLOOKUP(AJ$1,main!$A$3:$I$56,8,FALSE),main!$K$19:$O$22,MATCH(VLOOKUP($A19,main!$A$3:$I$56,7,FALSE),main!$K$18:$O$18,0),0))),0)</f>
        <v>0</v>
      </c>
      <c r="AK19">
        <f>IF((gamma!AK19),IF(VLOOKUP(AK$1,main!$A$3:$I$56,7,FALSE)=VLOOKUP($A19,main!$A$3:$I$56,8,FALSE),VLOOKUP(AK$1,main!$A$3:$I$56,4,FALSE),VLOOKUP(AK$1,main!$A$3:$I$56,4,FALSE)+VLOOKUP($A19,main!$A$3:$I$56,4,FALSE)+(VLOOKUP(VLOOKUP(AK$1,main!$A$3:$I$56,8,FALSE),main!$K$19:$O$22,MATCH(VLOOKUP($A19,main!$A$3:$I$56,7,FALSE),main!$K$18:$O$18,0),0))),0)</f>
        <v>0</v>
      </c>
      <c r="AL19">
        <f>IF((gamma!AL19),IF(VLOOKUP(AL$1,main!$A$3:$I$56,7,FALSE)=VLOOKUP($A19,main!$A$3:$I$56,8,FALSE),VLOOKUP(AL$1,main!$A$3:$I$56,4,FALSE),VLOOKUP(AL$1,main!$A$3:$I$56,4,FALSE)+VLOOKUP($A19,main!$A$3:$I$56,4,FALSE)+(VLOOKUP(VLOOKUP(AL$1,main!$A$3:$I$56,8,FALSE),main!$K$19:$O$22,MATCH(VLOOKUP($A19,main!$A$3:$I$56,7,FALSE),main!$K$18:$O$18,0),0))),0)</f>
        <v>0</v>
      </c>
      <c r="AM19">
        <f>IF((gamma!AM19),IF(VLOOKUP(AM$1,main!$A$3:$I$56,7,FALSE)=VLOOKUP($A19,main!$A$3:$I$56,8,FALSE),VLOOKUP(AM$1,main!$A$3:$I$56,4,FALSE),VLOOKUP(AM$1,main!$A$3:$I$56,4,FALSE)+VLOOKUP($A19,main!$A$3:$I$56,4,FALSE)+(VLOOKUP(VLOOKUP(AM$1,main!$A$3:$I$56,8,FALSE),main!$K$19:$O$22,MATCH(VLOOKUP($A19,main!$A$3:$I$56,7,FALSE),main!$K$18:$O$18,0),0))),0)</f>
        <v>0</v>
      </c>
      <c r="AN19">
        <f>IF((gamma!AN19),IF(VLOOKUP(AN$1,main!$A$3:$I$56,7,FALSE)=VLOOKUP($A19,main!$A$3:$I$56,8,FALSE),VLOOKUP(AN$1,main!$A$3:$I$56,4,FALSE),VLOOKUP(AN$1,main!$A$3:$I$56,4,FALSE)+VLOOKUP($A19,main!$A$3:$I$56,4,FALSE)+(VLOOKUP(VLOOKUP(AN$1,main!$A$3:$I$56,8,FALSE),main!$K$19:$O$22,MATCH(VLOOKUP($A19,main!$A$3:$I$56,7,FALSE),main!$K$18:$O$18,0),0))),0)</f>
        <v>0</v>
      </c>
      <c r="AO19">
        <f>IF((gamma!AO19),IF(VLOOKUP(AO$1,main!$A$3:$I$56,7,FALSE)=VLOOKUP($A19,main!$A$3:$I$56,8,FALSE),VLOOKUP(AO$1,main!$A$3:$I$56,4,FALSE),VLOOKUP(AO$1,main!$A$3:$I$56,4,FALSE)+VLOOKUP($A19,main!$A$3:$I$56,4,FALSE)+(VLOOKUP(VLOOKUP(AO$1,main!$A$3:$I$56,8,FALSE),main!$K$19:$O$22,MATCH(VLOOKUP($A19,main!$A$3:$I$56,7,FALSE),main!$K$18:$O$18,0),0))),0)</f>
        <v>0</v>
      </c>
      <c r="AP19">
        <f>IF((gamma!AP19),IF(VLOOKUP(AP$1,main!$A$3:$I$56,7,FALSE)=VLOOKUP($A19,main!$A$3:$I$56,8,FALSE),VLOOKUP(AP$1,main!$A$3:$I$56,4,FALSE),VLOOKUP(AP$1,main!$A$3:$I$56,4,FALSE)+VLOOKUP($A19,main!$A$3:$I$56,4,FALSE)+(VLOOKUP(VLOOKUP(AP$1,main!$A$3:$I$56,8,FALSE),main!$K$19:$O$22,MATCH(VLOOKUP($A19,main!$A$3:$I$56,7,FALSE),main!$K$18:$O$18,0),0))),0)</f>
        <v>0</v>
      </c>
      <c r="AQ19">
        <f>IF((gamma!AQ19),IF(VLOOKUP(AQ$1,main!$A$3:$I$56,7,FALSE)=VLOOKUP($A19,main!$A$3:$I$56,8,FALSE),VLOOKUP(AQ$1,main!$A$3:$I$56,4,FALSE),VLOOKUP(AQ$1,main!$A$3:$I$56,4,FALSE)+VLOOKUP($A19,main!$A$3:$I$56,4,FALSE)+(VLOOKUP(VLOOKUP(AQ$1,main!$A$3:$I$56,8,FALSE),main!$K$19:$O$22,MATCH(VLOOKUP($A19,main!$A$3:$I$56,7,FALSE),main!$K$18:$O$18,0),0))),0)</f>
        <v>0</v>
      </c>
      <c r="AR19">
        <f>IF((gamma!AR19),IF(VLOOKUP(AR$1,main!$A$3:$I$56,7,FALSE)=VLOOKUP($A19,main!$A$3:$I$56,8,FALSE),VLOOKUP(AR$1,main!$A$3:$I$56,4,FALSE),VLOOKUP(AR$1,main!$A$3:$I$56,4,FALSE)+VLOOKUP($A19,main!$A$3:$I$56,4,FALSE)+(VLOOKUP(VLOOKUP(AR$1,main!$A$3:$I$56,8,FALSE),main!$K$19:$O$22,MATCH(VLOOKUP($A19,main!$A$3:$I$56,7,FALSE),main!$K$18:$O$18,0),0))),0)</f>
        <v>0</v>
      </c>
      <c r="AS19">
        <f>IF((gamma!AS19),IF(VLOOKUP(AS$1,main!$A$3:$I$56,7,FALSE)=VLOOKUP($A19,main!$A$3:$I$56,8,FALSE),VLOOKUP(AS$1,main!$A$3:$I$56,4,FALSE),VLOOKUP(AS$1,main!$A$3:$I$56,4,FALSE)+VLOOKUP($A19,main!$A$3:$I$56,4,FALSE)+(VLOOKUP(VLOOKUP(AS$1,main!$A$3:$I$56,8,FALSE),main!$K$19:$O$22,MATCH(VLOOKUP($A19,main!$A$3:$I$56,7,FALSE),main!$K$18:$O$18,0),0))),0)</f>
        <v>0</v>
      </c>
      <c r="AT19">
        <f>IF((gamma!AT19),IF(VLOOKUP(AT$1,main!$A$3:$I$56,7,FALSE)=VLOOKUP($A19,main!$A$3:$I$56,8,FALSE),VLOOKUP(AT$1,main!$A$3:$I$56,4,FALSE),VLOOKUP(AT$1,main!$A$3:$I$56,4,FALSE)+VLOOKUP($A19,main!$A$3:$I$56,4,FALSE)+(VLOOKUP(VLOOKUP(AT$1,main!$A$3:$I$56,8,FALSE),main!$K$19:$O$22,MATCH(VLOOKUP($A19,main!$A$3:$I$56,7,FALSE),main!$K$18:$O$18,0),0))),0)</f>
        <v>0</v>
      </c>
      <c r="AU19">
        <f>IF((gamma!AU19),IF(VLOOKUP(AU$1,main!$A$3:$I$56,7,FALSE)=VLOOKUP($A19,main!$A$3:$I$56,8,FALSE),VLOOKUP(AU$1,main!$A$3:$I$56,4,FALSE),VLOOKUP(AU$1,main!$A$3:$I$56,4,FALSE)+VLOOKUP($A19,main!$A$3:$I$56,4,FALSE)+(VLOOKUP(VLOOKUP(AU$1,main!$A$3:$I$56,8,FALSE),main!$K$19:$O$22,MATCH(VLOOKUP($A19,main!$A$3:$I$56,7,FALSE),main!$K$18:$O$18,0),0))),0)</f>
        <v>0</v>
      </c>
      <c r="AV19">
        <f>IF((gamma!AV19),IF(VLOOKUP(AV$1,main!$A$3:$I$56,7,FALSE)=VLOOKUP($A19,main!$A$3:$I$56,8,FALSE),VLOOKUP(AV$1,main!$A$3:$I$56,4,FALSE),VLOOKUP(AV$1,main!$A$3:$I$56,4,FALSE)+VLOOKUP($A19,main!$A$3:$I$56,4,FALSE)+(VLOOKUP(VLOOKUP(AV$1,main!$A$3:$I$56,8,FALSE),main!$K$19:$O$22,MATCH(VLOOKUP($A19,main!$A$3:$I$56,7,FALSE),main!$K$18:$O$18,0),0))),0)</f>
        <v>0</v>
      </c>
      <c r="AW19">
        <f>IF((gamma!AW19),IF(VLOOKUP(AW$1,main!$A$3:$I$56,7,FALSE)=VLOOKUP($A19,main!$A$3:$I$56,8,FALSE),VLOOKUP(AW$1,main!$A$3:$I$56,4,FALSE),VLOOKUP(AW$1,main!$A$3:$I$56,4,FALSE)+VLOOKUP($A19,main!$A$3:$I$56,4,FALSE)+(VLOOKUP(VLOOKUP(AW$1,main!$A$3:$I$56,8,FALSE),main!$K$19:$O$22,MATCH(VLOOKUP($A19,main!$A$3:$I$56,7,FALSE),main!$K$18:$O$18,0),0))),0)</f>
        <v>0</v>
      </c>
      <c r="AX19">
        <f>IF((gamma!AX19),IF(VLOOKUP(AX$1,main!$A$3:$I$56,7,FALSE)=VLOOKUP($A19,main!$A$3:$I$56,8,FALSE),VLOOKUP(AX$1,main!$A$3:$I$56,4,FALSE),VLOOKUP(AX$1,main!$A$3:$I$56,4,FALSE)+VLOOKUP($A19,main!$A$3:$I$56,4,FALSE)+(VLOOKUP(VLOOKUP(AX$1,main!$A$3:$I$56,8,FALSE),main!$K$19:$O$22,MATCH(VLOOKUP($A19,main!$A$3:$I$56,7,FALSE),main!$K$18:$O$18,0),0))),0)</f>
        <v>0</v>
      </c>
      <c r="AY19">
        <f>IF((gamma!AY19),IF(VLOOKUP(AY$1,main!$A$3:$I$56,7,FALSE)=VLOOKUP($A19,main!$A$3:$I$56,8,FALSE),VLOOKUP(AY$1,main!$A$3:$I$56,4,FALSE),VLOOKUP(AY$1,main!$A$3:$I$56,4,FALSE)+VLOOKUP($A19,main!$A$3:$I$56,4,FALSE)+(VLOOKUP(VLOOKUP(AY$1,main!$A$3:$I$56,8,FALSE),main!$K$19:$O$22,MATCH(VLOOKUP($A19,main!$A$3:$I$56,7,FALSE),main!$K$18:$O$18,0),0))),0)</f>
        <v>140</v>
      </c>
      <c r="AZ19">
        <f>IF((gamma!AZ19),IF(VLOOKUP(AZ$1,main!$A$3:$I$56,7,FALSE)=VLOOKUP($A19,main!$A$3:$I$56,8,FALSE),VLOOKUP(AZ$1,main!$A$3:$I$56,4,FALSE),VLOOKUP(AZ$1,main!$A$3:$I$56,4,FALSE)+VLOOKUP($A19,main!$A$3:$I$56,4,FALSE)+(VLOOKUP(VLOOKUP(AZ$1,main!$A$3:$I$56,8,FALSE),main!$K$19:$O$22,MATCH(VLOOKUP($A19,main!$A$3:$I$56,7,FALSE),main!$K$18:$O$18,0),0))),0)</f>
        <v>0</v>
      </c>
      <c r="BA19">
        <f>IF((gamma!BA19),IF(VLOOKUP(BA$1,main!$A$3:$I$56,7,FALSE)=VLOOKUP($A19,main!$A$3:$I$56,8,FALSE),VLOOKUP(BA$1,main!$A$3:$I$56,4,FALSE),VLOOKUP(BA$1,main!$A$3:$I$56,4,FALSE)+VLOOKUP($A19,main!$A$3:$I$56,4,FALSE)+(VLOOKUP(VLOOKUP(BA$1,main!$A$3:$I$56,8,FALSE),main!$K$19:$O$22,MATCH(VLOOKUP($A19,main!$A$3:$I$56,7,FALSE),main!$K$18:$O$18,0),0))),0)</f>
        <v>0</v>
      </c>
      <c r="BB19">
        <f>IF((gamma!BB19),IF(VLOOKUP(BB$1,main!$A$3:$I$56,7,FALSE)=VLOOKUP($A19,main!$A$3:$I$56,8,FALSE),VLOOKUP(BB$1,main!$A$3:$I$56,4,FALSE),VLOOKUP(BB$1,main!$A$3:$I$56,4,FALSE)+VLOOKUP($A19,main!$A$3:$I$56,4,FALSE)+(VLOOKUP(VLOOKUP(BB$1,main!$A$3:$I$56,8,FALSE),main!$K$19:$O$22,MATCH(VLOOKUP($A19,main!$A$3:$I$56,7,FALSE),main!$K$18:$O$18,0),0))),0)</f>
        <v>0</v>
      </c>
      <c r="BC19">
        <f>IF((gamma!BC19),IF(VLOOKUP(BC$1,main!$A$3:$I$56,7,FALSE)=VLOOKUP($A19,main!$A$3:$I$56,8,FALSE),VLOOKUP(BC$1,main!$A$3:$I$56,4,FALSE),VLOOKUP(BC$1,main!$A$3:$I$56,4,FALSE)+VLOOKUP($A19,main!$A$3:$I$56,4,FALSE)+(VLOOKUP(VLOOKUP(BC$1,main!$A$3:$I$56,8,FALSE),main!$K$19:$O$22,MATCH(VLOOKUP($A19,main!$A$3:$I$56,7,FALSE),main!$K$18:$O$18,0),0))),0)</f>
        <v>0</v>
      </c>
      <c r="BD19">
        <f>IF((gamma!BD19),IF(VLOOKUP(BD$1,main!$A$3:$I$56,7,FALSE)=VLOOKUP($A19,main!$A$3:$I$56,8,FALSE),VLOOKUP(BD$1,main!$A$3:$I$56,4,FALSE),VLOOKUP(BD$1,main!$A$3:$I$56,4,FALSE)+VLOOKUP($A19,main!$A$3:$I$56,4,FALSE)+(VLOOKUP(VLOOKUP(BD$1,main!$A$3:$I$56,8,FALSE),main!$K$19:$O$22,MATCH(VLOOKUP($A19,main!$A$3:$I$56,7,FALSE),main!$K$18:$O$18,0),0))),0)</f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>
        <f t="shared" si="0"/>
        <v>18</v>
      </c>
      <c r="B20">
        <v>0</v>
      </c>
      <c r="C20">
        <f>IF((gamma!C20),IF(VLOOKUP(C$1,main!$A$3:$I$56,7,FALSE)=VLOOKUP($A20,main!$A$3:$I$56,8,FALSE),VLOOKUP(C$1,main!$A$3:$I$56,4,FALSE),VLOOKUP(C$1,main!$A$3:$I$56,4,FALSE)+VLOOKUP($A20,main!$A$3:$I$56,4,FALSE)+(VLOOKUP(VLOOKUP(C$1,main!$A$3:$I$56,8,FALSE),main!$K$19:$O$22,MATCH(VLOOKUP($A20,main!$A$3:$I$56,7,FALSE),main!$K$18:$O$18,0),0))),0)</f>
        <v>0</v>
      </c>
      <c r="D20">
        <f>IF((gamma!D20),IF(VLOOKUP(D$1,main!$A$3:$I$56,7,FALSE)=VLOOKUP($A20,main!$A$3:$I$56,8,FALSE),VLOOKUP(D$1,main!$A$3:$I$56,4,FALSE),VLOOKUP(D$1,main!$A$3:$I$56,4,FALSE)+VLOOKUP($A20,main!$A$3:$I$56,4,FALSE)+(VLOOKUP(VLOOKUP(D$1,main!$A$3:$I$56,8,FALSE),main!$K$19:$O$22,MATCH(VLOOKUP($A20,main!$A$3:$I$56,7,FALSE),main!$K$18:$O$18,0),0))),0)</f>
        <v>0</v>
      </c>
      <c r="E20">
        <f>IF((gamma!E20),IF(VLOOKUP(E$1,main!$A$3:$I$56,7,FALSE)=VLOOKUP($A20,main!$A$3:$I$56,8,FALSE),VLOOKUP(E$1,main!$A$3:$I$56,4,FALSE),VLOOKUP(E$1,main!$A$3:$I$56,4,FALSE)+VLOOKUP($A20,main!$A$3:$I$56,4,FALSE)+(VLOOKUP(VLOOKUP(E$1,main!$A$3:$I$56,8,FALSE),main!$K$19:$O$22,MATCH(VLOOKUP($A20,main!$A$3:$I$56,7,FALSE),main!$K$18:$O$18,0),0))),0)</f>
        <v>0</v>
      </c>
      <c r="F20">
        <f>IF((gamma!F20),IF(VLOOKUP(F$1,main!$A$3:$I$56,7,FALSE)=VLOOKUP($A20,main!$A$3:$I$56,8,FALSE),VLOOKUP(F$1,main!$A$3:$I$56,4,FALSE),VLOOKUP(F$1,main!$A$3:$I$56,4,FALSE)+VLOOKUP($A20,main!$A$3:$I$56,4,FALSE)+(VLOOKUP(VLOOKUP(F$1,main!$A$3:$I$56,8,FALSE),main!$K$19:$O$22,MATCH(VLOOKUP($A20,main!$A$3:$I$56,7,FALSE),main!$K$18:$O$18,0),0))),0)</f>
        <v>0</v>
      </c>
      <c r="G20">
        <f>IF((gamma!G20),IF(VLOOKUP(G$1,main!$A$3:$I$56,7,FALSE)=VLOOKUP($A20,main!$A$3:$I$56,8,FALSE),VLOOKUP(G$1,main!$A$3:$I$56,4,FALSE),VLOOKUP(G$1,main!$A$3:$I$56,4,FALSE)+VLOOKUP($A20,main!$A$3:$I$56,4,FALSE)+(VLOOKUP(VLOOKUP(G$1,main!$A$3:$I$56,8,FALSE),main!$K$19:$O$22,MATCH(VLOOKUP($A20,main!$A$3:$I$56,7,FALSE),main!$K$18:$O$18,0),0))),0)</f>
        <v>0</v>
      </c>
      <c r="H20">
        <f>IF((gamma!H20),IF(VLOOKUP(H$1,main!$A$3:$I$56,7,FALSE)=VLOOKUP($A20,main!$A$3:$I$56,8,FALSE),VLOOKUP(H$1,main!$A$3:$I$56,4,FALSE),VLOOKUP(H$1,main!$A$3:$I$56,4,FALSE)+VLOOKUP($A20,main!$A$3:$I$56,4,FALSE)+(VLOOKUP(VLOOKUP(H$1,main!$A$3:$I$56,8,FALSE),main!$K$19:$O$22,MATCH(VLOOKUP($A20,main!$A$3:$I$56,7,FALSE),main!$K$18:$O$18,0),0))),0)</f>
        <v>0</v>
      </c>
      <c r="I20">
        <f>IF((gamma!I20),IF(VLOOKUP(I$1,main!$A$3:$I$56,7,FALSE)=VLOOKUP($A20,main!$A$3:$I$56,8,FALSE),VLOOKUP(I$1,main!$A$3:$I$56,4,FALSE),VLOOKUP(I$1,main!$A$3:$I$56,4,FALSE)+VLOOKUP($A20,main!$A$3:$I$56,4,FALSE)+(VLOOKUP(VLOOKUP(I$1,main!$A$3:$I$56,8,FALSE),main!$K$19:$O$22,MATCH(VLOOKUP($A20,main!$A$3:$I$56,7,FALSE),main!$K$18:$O$18,0),0))),0)</f>
        <v>0</v>
      </c>
      <c r="J20">
        <f>IF((gamma!J20),IF(VLOOKUP(J$1,main!$A$3:$I$56,7,FALSE)=VLOOKUP($A20,main!$A$3:$I$56,8,FALSE),VLOOKUP(J$1,main!$A$3:$I$56,4,FALSE),VLOOKUP(J$1,main!$A$3:$I$56,4,FALSE)+VLOOKUP($A20,main!$A$3:$I$56,4,FALSE)+(VLOOKUP(VLOOKUP(J$1,main!$A$3:$I$56,8,FALSE),main!$K$19:$O$22,MATCH(VLOOKUP($A20,main!$A$3:$I$56,7,FALSE),main!$K$18:$O$18,0),0))),0)</f>
        <v>0</v>
      </c>
      <c r="K20">
        <f>IF((gamma!K20),IF(VLOOKUP(K$1,main!$A$3:$I$56,7,FALSE)=VLOOKUP($A20,main!$A$3:$I$56,8,FALSE),VLOOKUP(K$1,main!$A$3:$I$56,4,FALSE),VLOOKUP(K$1,main!$A$3:$I$56,4,FALSE)+VLOOKUP($A20,main!$A$3:$I$56,4,FALSE)+(VLOOKUP(VLOOKUP(K$1,main!$A$3:$I$56,8,FALSE),main!$K$19:$O$22,MATCH(VLOOKUP($A20,main!$A$3:$I$56,7,FALSE),main!$K$18:$O$18,0),0))),0)</f>
        <v>0</v>
      </c>
      <c r="L20">
        <f>IF((gamma!L20),IF(VLOOKUP(L$1,main!$A$3:$I$56,7,FALSE)=VLOOKUP($A20,main!$A$3:$I$56,8,FALSE),VLOOKUP(L$1,main!$A$3:$I$56,4,FALSE),VLOOKUP(L$1,main!$A$3:$I$56,4,FALSE)+VLOOKUP($A20,main!$A$3:$I$56,4,FALSE)+(VLOOKUP(VLOOKUP(L$1,main!$A$3:$I$56,8,FALSE),main!$K$19:$O$22,MATCH(VLOOKUP($A20,main!$A$3:$I$56,7,FALSE),main!$K$18:$O$18,0),0))),0)</f>
        <v>0</v>
      </c>
      <c r="M20">
        <f>IF((gamma!M20),IF(VLOOKUP(M$1,main!$A$3:$I$56,7,FALSE)=VLOOKUP($A20,main!$A$3:$I$56,8,FALSE),VLOOKUP(M$1,main!$A$3:$I$56,4,FALSE),VLOOKUP(M$1,main!$A$3:$I$56,4,FALSE)+VLOOKUP($A20,main!$A$3:$I$56,4,FALSE)+(VLOOKUP(VLOOKUP(M$1,main!$A$3:$I$56,8,FALSE),main!$K$19:$O$22,MATCH(VLOOKUP($A20,main!$A$3:$I$56,7,FALSE),main!$K$18:$O$18,0),0))),0)</f>
        <v>0</v>
      </c>
      <c r="N20">
        <f>IF((gamma!N20),IF(VLOOKUP(N$1,main!$A$3:$I$56,7,FALSE)=VLOOKUP($A20,main!$A$3:$I$56,8,FALSE),VLOOKUP(N$1,main!$A$3:$I$56,4,FALSE),VLOOKUP(N$1,main!$A$3:$I$56,4,FALSE)+VLOOKUP($A20,main!$A$3:$I$56,4,FALSE)+(VLOOKUP(VLOOKUP(N$1,main!$A$3:$I$56,8,FALSE),main!$K$19:$O$22,MATCH(VLOOKUP($A20,main!$A$3:$I$56,7,FALSE),main!$K$18:$O$18,0),0))),0)</f>
        <v>0</v>
      </c>
      <c r="O20">
        <f>IF((gamma!O20),IF(VLOOKUP(O$1,main!$A$3:$I$56,7,FALSE)=VLOOKUP($A20,main!$A$3:$I$56,8,FALSE),VLOOKUP(O$1,main!$A$3:$I$56,4,FALSE),VLOOKUP(O$1,main!$A$3:$I$56,4,FALSE)+VLOOKUP($A20,main!$A$3:$I$56,4,FALSE)+(VLOOKUP(VLOOKUP(O$1,main!$A$3:$I$56,8,FALSE),main!$K$19:$O$22,MATCH(VLOOKUP($A20,main!$A$3:$I$56,7,FALSE),main!$K$18:$O$18,0),0))),0)</f>
        <v>0</v>
      </c>
      <c r="P20">
        <f>IF((gamma!P20),IF(VLOOKUP(P$1,main!$A$3:$I$56,7,FALSE)=VLOOKUP($A20,main!$A$3:$I$56,8,FALSE),VLOOKUP(P$1,main!$A$3:$I$56,4,FALSE),VLOOKUP(P$1,main!$A$3:$I$56,4,FALSE)+VLOOKUP($A20,main!$A$3:$I$56,4,FALSE)+(VLOOKUP(VLOOKUP(P$1,main!$A$3:$I$56,8,FALSE),main!$K$19:$O$22,MATCH(VLOOKUP($A20,main!$A$3:$I$56,7,FALSE),main!$K$18:$O$18,0),0))),0)</f>
        <v>0</v>
      </c>
      <c r="Q20">
        <f>IF((gamma!Q20),IF(VLOOKUP(Q$1,main!$A$3:$I$56,7,FALSE)=VLOOKUP($A20,main!$A$3:$I$56,8,FALSE),VLOOKUP(Q$1,main!$A$3:$I$56,4,FALSE),VLOOKUP(Q$1,main!$A$3:$I$56,4,FALSE)+VLOOKUP($A20,main!$A$3:$I$56,4,FALSE)+(VLOOKUP(VLOOKUP(Q$1,main!$A$3:$I$56,8,FALSE),main!$K$19:$O$22,MATCH(VLOOKUP($A20,main!$A$3:$I$56,7,FALSE),main!$K$18:$O$18,0),0))),0)</f>
        <v>0</v>
      </c>
      <c r="R20">
        <f>IF((gamma!R20),IF(VLOOKUP(R$1,main!$A$3:$I$56,7,FALSE)=VLOOKUP($A20,main!$A$3:$I$56,8,FALSE),VLOOKUP(R$1,main!$A$3:$I$56,4,FALSE),VLOOKUP(R$1,main!$A$3:$I$56,4,FALSE)+VLOOKUP($A20,main!$A$3:$I$56,4,FALSE)+(VLOOKUP(VLOOKUP(R$1,main!$A$3:$I$56,8,FALSE),main!$K$19:$O$22,MATCH(VLOOKUP($A20,main!$A$3:$I$56,7,FALSE),main!$K$18:$O$18,0),0))),0)</f>
        <v>0</v>
      </c>
      <c r="S20">
        <f>IF((gamma!S20),IF(VLOOKUP(S$1,main!$A$3:$I$56,7,FALSE)=VLOOKUP($A20,main!$A$3:$I$56,8,FALSE),VLOOKUP(S$1,main!$A$3:$I$56,4,FALSE),VLOOKUP(S$1,main!$A$3:$I$56,4,FALSE)+VLOOKUP($A20,main!$A$3:$I$56,4,FALSE)+(VLOOKUP(VLOOKUP(S$1,main!$A$3:$I$56,8,FALSE),main!$K$19:$O$22,MATCH(VLOOKUP($A20,main!$A$3:$I$56,7,FALSE),main!$K$18:$O$18,0),0))),0)</f>
        <v>0</v>
      </c>
      <c r="T20">
        <f>IF((gamma!T20),IF(VLOOKUP(T$1,main!$A$3:$I$56,7,FALSE)=VLOOKUP($A20,main!$A$3:$I$56,8,FALSE),VLOOKUP(T$1,main!$A$3:$I$56,4,FALSE),VLOOKUP(T$1,main!$A$3:$I$56,4,FALSE)+VLOOKUP($A20,main!$A$3:$I$56,4,FALSE)+(VLOOKUP(VLOOKUP(T$1,main!$A$3:$I$56,8,FALSE),main!$K$19:$O$22,MATCH(VLOOKUP($A20,main!$A$3:$I$56,7,FALSE),main!$K$18:$O$18,0),0))),0)</f>
        <v>0</v>
      </c>
      <c r="U20">
        <f>IF((gamma!U20),IF(VLOOKUP(U$1,main!$A$3:$I$56,7,FALSE)=VLOOKUP($A20,main!$A$3:$I$56,8,FALSE),VLOOKUP(U$1,main!$A$3:$I$56,4,FALSE),VLOOKUP(U$1,main!$A$3:$I$56,4,FALSE)+VLOOKUP($A20,main!$A$3:$I$56,4,FALSE)+(VLOOKUP(VLOOKUP(U$1,main!$A$3:$I$56,8,FALSE),main!$K$19:$O$22,MATCH(VLOOKUP($A20,main!$A$3:$I$56,7,FALSE),main!$K$18:$O$18,0),0))),0)</f>
        <v>0</v>
      </c>
      <c r="V20">
        <f>IF((gamma!V20),IF(VLOOKUP(V$1,main!$A$3:$I$56,7,FALSE)=VLOOKUP($A20,main!$A$3:$I$56,8,FALSE),VLOOKUP(V$1,main!$A$3:$I$56,4,FALSE),VLOOKUP(V$1,main!$A$3:$I$56,4,FALSE)+VLOOKUP($A20,main!$A$3:$I$56,4,FALSE)+(VLOOKUP(VLOOKUP(V$1,main!$A$3:$I$56,8,FALSE),main!$K$19:$O$22,MATCH(VLOOKUP($A20,main!$A$3:$I$56,7,FALSE),main!$K$18:$O$18,0),0))),0)</f>
        <v>0</v>
      </c>
      <c r="W20">
        <f>IF((gamma!W20),IF(VLOOKUP(W$1,main!$A$3:$I$56,7,FALSE)=VLOOKUP($A20,main!$A$3:$I$56,8,FALSE),VLOOKUP(W$1,main!$A$3:$I$56,4,FALSE),VLOOKUP(W$1,main!$A$3:$I$56,4,FALSE)+VLOOKUP($A20,main!$A$3:$I$56,4,FALSE)+(VLOOKUP(VLOOKUP(W$1,main!$A$3:$I$56,8,FALSE),main!$K$19:$O$22,MATCH(VLOOKUP($A20,main!$A$3:$I$56,7,FALSE),main!$K$18:$O$18,0),0))),0)</f>
        <v>0</v>
      </c>
      <c r="X20">
        <f>IF((gamma!X20),IF(VLOOKUP(X$1,main!$A$3:$I$56,7,FALSE)=VLOOKUP($A20,main!$A$3:$I$56,8,FALSE),VLOOKUP(X$1,main!$A$3:$I$56,4,FALSE),VLOOKUP(X$1,main!$A$3:$I$56,4,FALSE)+VLOOKUP($A20,main!$A$3:$I$56,4,FALSE)+(VLOOKUP(VLOOKUP(X$1,main!$A$3:$I$56,8,FALSE),main!$K$19:$O$22,MATCH(VLOOKUP($A20,main!$A$3:$I$56,7,FALSE),main!$K$18:$O$18,0),0))),0)</f>
        <v>0</v>
      </c>
      <c r="Y20">
        <f>IF((gamma!Y20),IF(VLOOKUP(Y$1,main!$A$3:$I$56,7,FALSE)=VLOOKUP($A20,main!$A$3:$I$56,8,FALSE),VLOOKUP(Y$1,main!$A$3:$I$56,4,FALSE),VLOOKUP(Y$1,main!$A$3:$I$56,4,FALSE)+VLOOKUP($A20,main!$A$3:$I$56,4,FALSE)+(VLOOKUP(VLOOKUP(Y$1,main!$A$3:$I$56,8,FALSE),main!$K$19:$O$22,MATCH(VLOOKUP($A20,main!$A$3:$I$56,7,FALSE),main!$K$18:$O$18,0),0))),0)</f>
        <v>0</v>
      </c>
      <c r="Z20">
        <f>IF((gamma!Z20),IF(VLOOKUP(Z$1,main!$A$3:$I$56,7,FALSE)=VLOOKUP($A20,main!$A$3:$I$56,8,FALSE),VLOOKUP(Z$1,main!$A$3:$I$56,4,FALSE),VLOOKUP(Z$1,main!$A$3:$I$56,4,FALSE)+VLOOKUP($A20,main!$A$3:$I$56,4,FALSE)+(VLOOKUP(VLOOKUP(Z$1,main!$A$3:$I$56,8,FALSE),main!$K$19:$O$22,MATCH(VLOOKUP($A20,main!$A$3:$I$56,7,FALSE),main!$K$18:$O$18,0),0))),0)</f>
        <v>0</v>
      </c>
      <c r="AA20">
        <f>IF((gamma!AA20),IF(VLOOKUP(AA$1,main!$A$3:$I$56,7,FALSE)=VLOOKUP($A20,main!$A$3:$I$56,8,FALSE),VLOOKUP(AA$1,main!$A$3:$I$56,4,FALSE),VLOOKUP(AA$1,main!$A$3:$I$56,4,FALSE)+VLOOKUP($A20,main!$A$3:$I$56,4,FALSE)+(VLOOKUP(VLOOKUP(AA$1,main!$A$3:$I$56,8,FALSE),main!$K$19:$O$22,MATCH(VLOOKUP($A20,main!$A$3:$I$56,7,FALSE),main!$K$18:$O$18,0),0))),0)</f>
        <v>0</v>
      </c>
      <c r="AB20">
        <f>IF((gamma!AB20),IF(VLOOKUP(AB$1,main!$A$3:$I$56,7,FALSE)=VLOOKUP($A20,main!$A$3:$I$56,8,FALSE),VLOOKUP(AB$1,main!$A$3:$I$56,4,FALSE),VLOOKUP(AB$1,main!$A$3:$I$56,4,FALSE)+VLOOKUP($A20,main!$A$3:$I$56,4,FALSE)+(VLOOKUP(VLOOKUP(AB$1,main!$A$3:$I$56,8,FALSE),main!$K$19:$O$22,MATCH(VLOOKUP($A20,main!$A$3:$I$56,7,FALSE),main!$K$18:$O$18,0),0))),0)</f>
        <v>0</v>
      </c>
      <c r="AC20">
        <f>IF((gamma!AC20),IF(VLOOKUP(AC$1,main!$A$3:$I$56,7,FALSE)=VLOOKUP($A20,main!$A$3:$I$56,8,FALSE),VLOOKUP(AC$1,main!$A$3:$I$56,4,FALSE),VLOOKUP(AC$1,main!$A$3:$I$56,4,FALSE)+VLOOKUP($A20,main!$A$3:$I$56,4,FALSE)+(VLOOKUP(VLOOKUP(AC$1,main!$A$3:$I$56,8,FALSE),main!$K$19:$O$22,MATCH(VLOOKUP($A20,main!$A$3:$I$56,7,FALSE),main!$K$18:$O$18,0),0))),0)</f>
        <v>0</v>
      </c>
      <c r="AD20">
        <f>IF((gamma!AD20),IF(VLOOKUP(AD$1,main!$A$3:$I$56,7,FALSE)=VLOOKUP($A20,main!$A$3:$I$56,8,FALSE),VLOOKUP(AD$1,main!$A$3:$I$56,4,FALSE),VLOOKUP(AD$1,main!$A$3:$I$56,4,FALSE)+VLOOKUP($A20,main!$A$3:$I$56,4,FALSE)+(VLOOKUP(VLOOKUP(AD$1,main!$A$3:$I$56,8,FALSE),main!$K$19:$O$22,MATCH(VLOOKUP($A20,main!$A$3:$I$56,7,FALSE),main!$K$18:$O$18,0),0))),0)</f>
        <v>0</v>
      </c>
      <c r="AE20">
        <f>IF((gamma!AE20),IF(VLOOKUP(AE$1,main!$A$3:$I$56,7,FALSE)=VLOOKUP($A20,main!$A$3:$I$56,8,FALSE),VLOOKUP(AE$1,main!$A$3:$I$56,4,FALSE),VLOOKUP(AE$1,main!$A$3:$I$56,4,FALSE)+VLOOKUP($A20,main!$A$3:$I$56,4,FALSE)+(VLOOKUP(VLOOKUP(AE$1,main!$A$3:$I$56,8,FALSE),main!$K$19:$O$22,MATCH(VLOOKUP($A20,main!$A$3:$I$56,7,FALSE),main!$K$18:$O$18,0),0))),0)</f>
        <v>0</v>
      </c>
      <c r="AF20">
        <f>IF((gamma!AF20),IF(VLOOKUP(AF$1,main!$A$3:$I$56,7,FALSE)=VLOOKUP($A20,main!$A$3:$I$56,8,FALSE),VLOOKUP(AF$1,main!$A$3:$I$56,4,FALSE),VLOOKUP(AF$1,main!$A$3:$I$56,4,FALSE)+VLOOKUP($A20,main!$A$3:$I$56,4,FALSE)+(VLOOKUP(VLOOKUP(AF$1,main!$A$3:$I$56,8,FALSE),main!$K$19:$O$22,MATCH(VLOOKUP($A20,main!$A$3:$I$56,7,FALSE),main!$K$18:$O$18,0),0))),0)</f>
        <v>0</v>
      </c>
      <c r="AG20">
        <f>IF((gamma!AG20),IF(VLOOKUP(AG$1,main!$A$3:$I$56,7,FALSE)=VLOOKUP($A20,main!$A$3:$I$56,8,FALSE),VLOOKUP(AG$1,main!$A$3:$I$56,4,FALSE),VLOOKUP(AG$1,main!$A$3:$I$56,4,FALSE)+VLOOKUP($A20,main!$A$3:$I$56,4,FALSE)+(VLOOKUP(VLOOKUP(AG$1,main!$A$3:$I$56,8,FALSE),main!$K$19:$O$22,MATCH(VLOOKUP($A20,main!$A$3:$I$56,7,FALSE),main!$K$18:$O$18,0),0))),0)</f>
        <v>0</v>
      </c>
      <c r="AH20">
        <f>IF((gamma!AH20),IF(VLOOKUP(AH$1,main!$A$3:$I$56,7,FALSE)=VLOOKUP($A20,main!$A$3:$I$56,8,FALSE),VLOOKUP(AH$1,main!$A$3:$I$56,4,FALSE),VLOOKUP(AH$1,main!$A$3:$I$56,4,FALSE)+VLOOKUP($A20,main!$A$3:$I$56,4,FALSE)+(VLOOKUP(VLOOKUP(AH$1,main!$A$3:$I$56,8,FALSE),main!$K$19:$O$22,MATCH(VLOOKUP($A20,main!$A$3:$I$56,7,FALSE),main!$K$18:$O$18,0),0))),0)</f>
        <v>0</v>
      </c>
      <c r="AI20">
        <f>IF((gamma!AI20),IF(VLOOKUP(AI$1,main!$A$3:$I$56,7,FALSE)=VLOOKUP($A20,main!$A$3:$I$56,8,FALSE),VLOOKUP(AI$1,main!$A$3:$I$56,4,FALSE),VLOOKUP(AI$1,main!$A$3:$I$56,4,FALSE)+VLOOKUP($A20,main!$A$3:$I$56,4,FALSE)+(VLOOKUP(VLOOKUP(AI$1,main!$A$3:$I$56,8,FALSE),main!$K$19:$O$22,MATCH(VLOOKUP($A20,main!$A$3:$I$56,7,FALSE),main!$K$18:$O$18,0),0))),0)</f>
        <v>0</v>
      </c>
      <c r="AJ20">
        <f>IF((gamma!AJ20),IF(VLOOKUP(AJ$1,main!$A$3:$I$56,7,FALSE)=VLOOKUP($A20,main!$A$3:$I$56,8,FALSE),VLOOKUP(AJ$1,main!$A$3:$I$56,4,FALSE),VLOOKUP(AJ$1,main!$A$3:$I$56,4,FALSE)+VLOOKUP($A20,main!$A$3:$I$56,4,FALSE)+(VLOOKUP(VLOOKUP(AJ$1,main!$A$3:$I$56,8,FALSE),main!$K$19:$O$22,MATCH(VLOOKUP($A20,main!$A$3:$I$56,7,FALSE),main!$K$18:$O$18,0),0))),0)</f>
        <v>0</v>
      </c>
      <c r="AK20">
        <f>IF((gamma!AK20),IF(VLOOKUP(AK$1,main!$A$3:$I$56,7,FALSE)=VLOOKUP($A20,main!$A$3:$I$56,8,FALSE),VLOOKUP(AK$1,main!$A$3:$I$56,4,FALSE),VLOOKUP(AK$1,main!$A$3:$I$56,4,FALSE)+VLOOKUP($A20,main!$A$3:$I$56,4,FALSE)+(VLOOKUP(VLOOKUP(AK$1,main!$A$3:$I$56,8,FALSE),main!$K$19:$O$22,MATCH(VLOOKUP($A20,main!$A$3:$I$56,7,FALSE),main!$K$18:$O$18,0),0))),0)</f>
        <v>0</v>
      </c>
      <c r="AL20">
        <f>IF((gamma!AL20),IF(VLOOKUP(AL$1,main!$A$3:$I$56,7,FALSE)=VLOOKUP($A20,main!$A$3:$I$56,8,FALSE),VLOOKUP(AL$1,main!$A$3:$I$56,4,FALSE),VLOOKUP(AL$1,main!$A$3:$I$56,4,FALSE)+VLOOKUP($A20,main!$A$3:$I$56,4,FALSE)+(VLOOKUP(VLOOKUP(AL$1,main!$A$3:$I$56,8,FALSE),main!$K$19:$O$22,MATCH(VLOOKUP($A20,main!$A$3:$I$56,7,FALSE),main!$K$18:$O$18,0),0))),0)</f>
        <v>0</v>
      </c>
      <c r="AM20">
        <f>IF((gamma!AM20),IF(VLOOKUP(AM$1,main!$A$3:$I$56,7,FALSE)=VLOOKUP($A20,main!$A$3:$I$56,8,FALSE),VLOOKUP(AM$1,main!$A$3:$I$56,4,FALSE),VLOOKUP(AM$1,main!$A$3:$I$56,4,FALSE)+VLOOKUP($A20,main!$A$3:$I$56,4,FALSE)+(VLOOKUP(VLOOKUP(AM$1,main!$A$3:$I$56,8,FALSE),main!$K$19:$O$22,MATCH(VLOOKUP($A20,main!$A$3:$I$56,7,FALSE),main!$K$18:$O$18,0),0))),0)</f>
        <v>0</v>
      </c>
      <c r="AN20">
        <f>IF((gamma!AN20),IF(VLOOKUP(AN$1,main!$A$3:$I$56,7,FALSE)=VLOOKUP($A20,main!$A$3:$I$56,8,FALSE),VLOOKUP(AN$1,main!$A$3:$I$56,4,FALSE),VLOOKUP(AN$1,main!$A$3:$I$56,4,FALSE)+VLOOKUP($A20,main!$A$3:$I$56,4,FALSE)+(VLOOKUP(VLOOKUP(AN$1,main!$A$3:$I$56,8,FALSE),main!$K$19:$O$22,MATCH(VLOOKUP($A20,main!$A$3:$I$56,7,FALSE),main!$K$18:$O$18,0),0))),0)</f>
        <v>0</v>
      </c>
      <c r="AO20">
        <f>IF((gamma!AO20),IF(VLOOKUP(AO$1,main!$A$3:$I$56,7,FALSE)=VLOOKUP($A20,main!$A$3:$I$56,8,FALSE),VLOOKUP(AO$1,main!$A$3:$I$56,4,FALSE),VLOOKUP(AO$1,main!$A$3:$I$56,4,FALSE)+VLOOKUP($A20,main!$A$3:$I$56,4,FALSE)+(VLOOKUP(VLOOKUP(AO$1,main!$A$3:$I$56,8,FALSE),main!$K$19:$O$22,MATCH(VLOOKUP($A20,main!$A$3:$I$56,7,FALSE),main!$K$18:$O$18,0),0))),0)</f>
        <v>0</v>
      </c>
      <c r="AP20">
        <f>IF((gamma!AP20),IF(VLOOKUP(AP$1,main!$A$3:$I$56,7,FALSE)=VLOOKUP($A20,main!$A$3:$I$56,8,FALSE),VLOOKUP(AP$1,main!$A$3:$I$56,4,FALSE),VLOOKUP(AP$1,main!$A$3:$I$56,4,FALSE)+VLOOKUP($A20,main!$A$3:$I$56,4,FALSE)+(VLOOKUP(VLOOKUP(AP$1,main!$A$3:$I$56,8,FALSE),main!$K$19:$O$22,MATCH(VLOOKUP($A20,main!$A$3:$I$56,7,FALSE),main!$K$18:$O$18,0),0))),0)</f>
        <v>0</v>
      </c>
      <c r="AQ20">
        <f>IF((gamma!AQ20),IF(VLOOKUP(AQ$1,main!$A$3:$I$56,7,FALSE)=VLOOKUP($A20,main!$A$3:$I$56,8,FALSE),VLOOKUP(AQ$1,main!$A$3:$I$56,4,FALSE),VLOOKUP(AQ$1,main!$A$3:$I$56,4,FALSE)+VLOOKUP($A20,main!$A$3:$I$56,4,FALSE)+(VLOOKUP(VLOOKUP(AQ$1,main!$A$3:$I$56,8,FALSE),main!$K$19:$O$22,MATCH(VLOOKUP($A20,main!$A$3:$I$56,7,FALSE),main!$K$18:$O$18,0),0))),0)</f>
        <v>0</v>
      </c>
      <c r="AR20">
        <f>IF((gamma!AR20),IF(VLOOKUP(AR$1,main!$A$3:$I$56,7,FALSE)=VLOOKUP($A20,main!$A$3:$I$56,8,FALSE),VLOOKUP(AR$1,main!$A$3:$I$56,4,FALSE),VLOOKUP(AR$1,main!$A$3:$I$56,4,FALSE)+VLOOKUP($A20,main!$A$3:$I$56,4,FALSE)+(VLOOKUP(VLOOKUP(AR$1,main!$A$3:$I$56,8,FALSE),main!$K$19:$O$22,MATCH(VLOOKUP($A20,main!$A$3:$I$56,7,FALSE),main!$K$18:$O$18,0),0))),0)</f>
        <v>0</v>
      </c>
      <c r="AS20">
        <f>IF((gamma!AS20),IF(VLOOKUP(AS$1,main!$A$3:$I$56,7,FALSE)=VLOOKUP($A20,main!$A$3:$I$56,8,FALSE),VLOOKUP(AS$1,main!$A$3:$I$56,4,FALSE),VLOOKUP(AS$1,main!$A$3:$I$56,4,FALSE)+VLOOKUP($A20,main!$A$3:$I$56,4,FALSE)+(VLOOKUP(VLOOKUP(AS$1,main!$A$3:$I$56,8,FALSE),main!$K$19:$O$22,MATCH(VLOOKUP($A20,main!$A$3:$I$56,7,FALSE),main!$K$18:$O$18,0),0))),0)</f>
        <v>0</v>
      </c>
      <c r="AT20">
        <f>IF((gamma!AT20),IF(VLOOKUP(AT$1,main!$A$3:$I$56,7,FALSE)=VLOOKUP($A20,main!$A$3:$I$56,8,FALSE),VLOOKUP(AT$1,main!$A$3:$I$56,4,FALSE),VLOOKUP(AT$1,main!$A$3:$I$56,4,FALSE)+VLOOKUP($A20,main!$A$3:$I$56,4,FALSE)+(VLOOKUP(VLOOKUP(AT$1,main!$A$3:$I$56,8,FALSE),main!$K$19:$O$22,MATCH(VLOOKUP($A20,main!$A$3:$I$56,7,FALSE),main!$K$18:$O$18,0),0))),0)</f>
        <v>0</v>
      </c>
      <c r="AU20">
        <f>IF((gamma!AU20),IF(VLOOKUP(AU$1,main!$A$3:$I$56,7,FALSE)=VLOOKUP($A20,main!$A$3:$I$56,8,FALSE),VLOOKUP(AU$1,main!$A$3:$I$56,4,FALSE),VLOOKUP(AU$1,main!$A$3:$I$56,4,FALSE)+VLOOKUP($A20,main!$A$3:$I$56,4,FALSE)+(VLOOKUP(VLOOKUP(AU$1,main!$A$3:$I$56,8,FALSE),main!$K$19:$O$22,MATCH(VLOOKUP($A20,main!$A$3:$I$56,7,FALSE),main!$K$18:$O$18,0),0))),0)</f>
        <v>0</v>
      </c>
      <c r="AV20">
        <f>IF((gamma!AV20),IF(VLOOKUP(AV$1,main!$A$3:$I$56,7,FALSE)=VLOOKUP($A20,main!$A$3:$I$56,8,FALSE),VLOOKUP(AV$1,main!$A$3:$I$56,4,FALSE),VLOOKUP(AV$1,main!$A$3:$I$56,4,FALSE)+VLOOKUP($A20,main!$A$3:$I$56,4,FALSE)+(VLOOKUP(VLOOKUP(AV$1,main!$A$3:$I$56,8,FALSE),main!$K$19:$O$22,MATCH(VLOOKUP($A20,main!$A$3:$I$56,7,FALSE),main!$K$18:$O$18,0),0))),0)</f>
        <v>0</v>
      </c>
      <c r="AW20">
        <f>IF((gamma!AW20),IF(VLOOKUP(AW$1,main!$A$3:$I$56,7,FALSE)=VLOOKUP($A20,main!$A$3:$I$56,8,FALSE),VLOOKUP(AW$1,main!$A$3:$I$56,4,FALSE),VLOOKUP(AW$1,main!$A$3:$I$56,4,FALSE)+VLOOKUP($A20,main!$A$3:$I$56,4,FALSE)+(VLOOKUP(VLOOKUP(AW$1,main!$A$3:$I$56,8,FALSE),main!$K$19:$O$22,MATCH(VLOOKUP($A20,main!$A$3:$I$56,7,FALSE),main!$K$18:$O$18,0),0))),0)</f>
        <v>0</v>
      </c>
      <c r="AX20">
        <f>IF((gamma!AX20),IF(VLOOKUP(AX$1,main!$A$3:$I$56,7,FALSE)=VLOOKUP($A20,main!$A$3:$I$56,8,FALSE),VLOOKUP(AX$1,main!$A$3:$I$56,4,FALSE),VLOOKUP(AX$1,main!$A$3:$I$56,4,FALSE)+VLOOKUP($A20,main!$A$3:$I$56,4,FALSE)+(VLOOKUP(VLOOKUP(AX$1,main!$A$3:$I$56,8,FALSE),main!$K$19:$O$22,MATCH(VLOOKUP($A20,main!$A$3:$I$56,7,FALSE),main!$K$18:$O$18,0),0))),0)</f>
        <v>0</v>
      </c>
      <c r="AY20">
        <f>IF((gamma!AY20),IF(VLOOKUP(AY$1,main!$A$3:$I$56,7,FALSE)=VLOOKUP($A20,main!$A$3:$I$56,8,FALSE),VLOOKUP(AY$1,main!$A$3:$I$56,4,FALSE),VLOOKUP(AY$1,main!$A$3:$I$56,4,FALSE)+VLOOKUP($A20,main!$A$3:$I$56,4,FALSE)+(VLOOKUP(VLOOKUP(AY$1,main!$A$3:$I$56,8,FALSE),main!$K$19:$O$22,MATCH(VLOOKUP($A20,main!$A$3:$I$56,7,FALSE),main!$K$18:$O$18,0),0))),0)</f>
        <v>0</v>
      </c>
      <c r="AZ20">
        <f>IF((gamma!AZ20),IF(VLOOKUP(AZ$1,main!$A$3:$I$56,7,FALSE)=VLOOKUP($A20,main!$A$3:$I$56,8,FALSE),VLOOKUP(AZ$1,main!$A$3:$I$56,4,FALSE),VLOOKUP(AZ$1,main!$A$3:$I$56,4,FALSE)+VLOOKUP($A20,main!$A$3:$I$56,4,FALSE)+(VLOOKUP(VLOOKUP(AZ$1,main!$A$3:$I$56,8,FALSE),main!$K$19:$O$22,MATCH(VLOOKUP($A20,main!$A$3:$I$56,7,FALSE),main!$K$18:$O$18,0),0))),0)</f>
        <v>0</v>
      </c>
      <c r="BA20">
        <f>IF((gamma!BA20),IF(VLOOKUP(BA$1,main!$A$3:$I$56,7,FALSE)=VLOOKUP($A20,main!$A$3:$I$56,8,FALSE),VLOOKUP(BA$1,main!$A$3:$I$56,4,FALSE),VLOOKUP(BA$1,main!$A$3:$I$56,4,FALSE)+VLOOKUP($A20,main!$A$3:$I$56,4,FALSE)+(VLOOKUP(VLOOKUP(BA$1,main!$A$3:$I$56,8,FALSE),main!$K$19:$O$22,MATCH(VLOOKUP($A20,main!$A$3:$I$56,7,FALSE),main!$K$18:$O$18,0),0))),0)</f>
        <v>0</v>
      </c>
      <c r="BB20">
        <f>IF((gamma!BB20),IF(VLOOKUP(BB$1,main!$A$3:$I$56,7,FALSE)=VLOOKUP($A20,main!$A$3:$I$56,8,FALSE),VLOOKUP(BB$1,main!$A$3:$I$56,4,FALSE),VLOOKUP(BB$1,main!$A$3:$I$56,4,FALSE)+VLOOKUP($A20,main!$A$3:$I$56,4,FALSE)+(VLOOKUP(VLOOKUP(BB$1,main!$A$3:$I$56,8,FALSE),main!$K$19:$O$22,MATCH(VLOOKUP($A20,main!$A$3:$I$56,7,FALSE),main!$K$18:$O$18,0),0))),0)</f>
        <v>0</v>
      </c>
      <c r="BC20">
        <f>IF((gamma!BC20),IF(VLOOKUP(BC$1,main!$A$3:$I$56,7,FALSE)=VLOOKUP($A20,main!$A$3:$I$56,8,FALSE),VLOOKUP(BC$1,main!$A$3:$I$56,4,FALSE),VLOOKUP(BC$1,main!$A$3:$I$56,4,FALSE)+VLOOKUP($A20,main!$A$3:$I$56,4,FALSE)+(VLOOKUP(VLOOKUP(BC$1,main!$A$3:$I$56,8,FALSE),main!$K$19:$O$22,MATCH(VLOOKUP($A20,main!$A$3:$I$56,7,FALSE),main!$K$18:$O$18,0),0))),0)</f>
        <v>0</v>
      </c>
      <c r="BD20">
        <f>IF((gamma!BD20),IF(VLOOKUP(BD$1,main!$A$3:$I$56,7,FALSE)=VLOOKUP($A20,main!$A$3:$I$56,8,FALSE),VLOOKUP(BD$1,main!$A$3:$I$56,4,FALSE),VLOOKUP(BD$1,main!$A$3:$I$56,4,FALSE)+VLOOKUP($A20,main!$A$3:$I$56,4,FALSE)+(VLOOKUP(VLOOKUP(BD$1,main!$A$3:$I$56,8,FALSE),main!$K$19:$O$22,MATCH(VLOOKUP($A20,main!$A$3:$I$56,7,FALSE),main!$K$18:$O$18,0),0))),0)</f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>
        <f t="shared" si="0"/>
        <v>19</v>
      </c>
      <c r="B21">
        <v>0</v>
      </c>
      <c r="C21">
        <f>IF((gamma!C21),IF(VLOOKUP(C$1,main!$A$3:$I$56,7,FALSE)=VLOOKUP($A21,main!$A$3:$I$56,8,FALSE),VLOOKUP(C$1,main!$A$3:$I$56,4,FALSE),VLOOKUP(C$1,main!$A$3:$I$56,4,FALSE)+VLOOKUP($A21,main!$A$3:$I$56,4,FALSE)+(VLOOKUP(VLOOKUP(C$1,main!$A$3:$I$56,8,FALSE),main!$K$19:$O$22,MATCH(VLOOKUP($A21,main!$A$3:$I$56,7,FALSE),main!$K$18:$O$18,0),0))),0)</f>
        <v>0</v>
      </c>
      <c r="D21">
        <f>IF((gamma!D21),IF(VLOOKUP(D$1,main!$A$3:$I$56,7,FALSE)=VLOOKUP($A21,main!$A$3:$I$56,8,FALSE),VLOOKUP(D$1,main!$A$3:$I$56,4,FALSE),VLOOKUP(D$1,main!$A$3:$I$56,4,FALSE)+VLOOKUP($A21,main!$A$3:$I$56,4,FALSE)+(VLOOKUP(VLOOKUP(D$1,main!$A$3:$I$56,8,FALSE),main!$K$19:$O$22,MATCH(VLOOKUP($A21,main!$A$3:$I$56,7,FALSE),main!$K$18:$O$18,0),0))),0)</f>
        <v>135</v>
      </c>
      <c r="E21">
        <f>IF((gamma!E21),IF(VLOOKUP(E$1,main!$A$3:$I$56,7,FALSE)=VLOOKUP($A21,main!$A$3:$I$56,8,FALSE),VLOOKUP(E$1,main!$A$3:$I$56,4,FALSE),VLOOKUP(E$1,main!$A$3:$I$56,4,FALSE)+VLOOKUP($A21,main!$A$3:$I$56,4,FALSE)+(VLOOKUP(VLOOKUP(E$1,main!$A$3:$I$56,8,FALSE),main!$K$19:$O$22,MATCH(VLOOKUP($A21,main!$A$3:$I$56,7,FALSE),main!$K$18:$O$18,0),0))),0)</f>
        <v>135</v>
      </c>
      <c r="F21">
        <f>IF((gamma!F21),IF(VLOOKUP(F$1,main!$A$3:$I$56,7,FALSE)=VLOOKUP($A21,main!$A$3:$I$56,8,FALSE),VLOOKUP(F$1,main!$A$3:$I$56,4,FALSE),VLOOKUP(F$1,main!$A$3:$I$56,4,FALSE)+VLOOKUP($A21,main!$A$3:$I$56,4,FALSE)+(VLOOKUP(VLOOKUP(F$1,main!$A$3:$I$56,8,FALSE),main!$K$19:$O$22,MATCH(VLOOKUP($A21,main!$A$3:$I$56,7,FALSE),main!$K$18:$O$18,0),0))),0)</f>
        <v>135</v>
      </c>
      <c r="G21">
        <f>IF((gamma!G21),IF(VLOOKUP(G$1,main!$A$3:$I$56,7,FALSE)=VLOOKUP($A21,main!$A$3:$I$56,8,FALSE),VLOOKUP(G$1,main!$A$3:$I$56,4,FALSE),VLOOKUP(G$1,main!$A$3:$I$56,4,FALSE)+VLOOKUP($A21,main!$A$3:$I$56,4,FALSE)+(VLOOKUP(VLOOKUP(G$1,main!$A$3:$I$56,8,FALSE),main!$K$19:$O$22,MATCH(VLOOKUP($A21,main!$A$3:$I$56,7,FALSE),main!$K$18:$O$18,0),0))),0)</f>
        <v>135</v>
      </c>
      <c r="H21">
        <f>IF((gamma!H21),IF(VLOOKUP(H$1,main!$A$3:$I$56,7,FALSE)=VLOOKUP($A21,main!$A$3:$I$56,8,FALSE),VLOOKUP(H$1,main!$A$3:$I$56,4,FALSE),VLOOKUP(H$1,main!$A$3:$I$56,4,FALSE)+VLOOKUP($A21,main!$A$3:$I$56,4,FALSE)+(VLOOKUP(VLOOKUP(H$1,main!$A$3:$I$56,8,FALSE),main!$K$19:$O$22,MATCH(VLOOKUP($A21,main!$A$3:$I$56,7,FALSE),main!$K$18:$O$18,0),0))),0)</f>
        <v>135</v>
      </c>
      <c r="I21">
        <f>IF((gamma!I21),IF(VLOOKUP(I$1,main!$A$3:$I$56,7,FALSE)=VLOOKUP($A21,main!$A$3:$I$56,8,FALSE),VLOOKUP(I$1,main!$A$3:$I$56,4,FALSE),VLOOKUP(I$1,main!$A$3:$I$56,4,FALSE)+VLOOKUP($A21,main!$A$3:$I$56,4,FALSE)+(VLOOKUP(VLOOKUP(I$1,main!$A$3:$I$56,8,FALSE),main!$K$19:$O$22,MATCH(VLOOKUP($A21,main!$A$3:$I$56,7,FALSE),main!$K$18:$O$18,0),0))),0)</f>
        <v>135</v>
      </c>
      <c r="J21">
        <f>IF((gamma!J21),IF(VLOOKUP(J$1,main!$A$3:$I$56,7,FALSE)=VLOOKUP($A21,main!$A$3:$I$56,8,FALSE),VLOOKUP(J$1,main!$A$3:$I$56,4,FALSE),VLOOKUP(J$1,main!$A$3:$I$56,4,FALSE)+VLOOKUP($A21,main!$A$3:$I$56,4,FALSE)+(VLOOKUP(VLOOKUP(J$1,main!$A$3:$I$56,8,FALSE),main!$K$19:$O$22,MATCH(VLOOKUP($A21,main!$A$3:$I$56,7,FALSE),main!$K$18:$O$18,0),0))),0)</f>
        <v>135</v>
      </c>
      <c r="K21">
        <f>IF((gamma!K21),IF(VLOOKUP(K$1,main!$A$3:$I$56,7,FALSE)=VLOOKUP($A21,main!$A$3:$I$56,8,FALSE),VLOOKUP(K$1,main!$A$3:$I$56,4,FALSE),VLOOKUP(K$1,main!$A$3:$I$56,4,FALSE)+VLOOKUP($A21,main!$A$3:$I$56,4,FALSE)+(VLOOKUP(VLOOKUP(K$1,main!$A$3:$I$56,8,FALSE),main!$K$19:$O$22,MATCH(VLOOKUP($A21,main!$A$3:$I$56,7,FALSE),main!$K$18:$O$18,0),0))),0)</f>
        <v>0</v>
      </c>
      <c r="L21">
        <f>IF((gamma!L21),IF(VLOOKUP(L$1,main!$A$3:$I$56,7,FALSE)=VLOOKUP($A21,main!$A$3:$I$56,8,FALSE),VLOOKUP(L$1,main!$A$3:$I$56,4,FALSE),VLOOKUP(L$1,main!$A$3:$I$56,4,FALSE)+VLOOKUP($A21,main!$A$3:$I$56,4,FALSE)+(VLOOKUP(VLOOKUP(L$1,main!$A$3:$I$56,8,FALSE),main!$K$19:$O$22,MATCH(VLOOKUP($A21,main!$A$3:$I$56,7,FALSE),main!$K$18:$O$18,0),0))),0)</f>
        <v>0</v>
      </c>
      <c r="M21">
        <f>IF((gamma!M21),IF(VLOOKUP(M$1,main!$A$3:$I$56,7,FALSE)=VLOOKUP($A21,main!$A$3:$I$56,8,FALSE),VLOOKUP(M$1,main!$A$3:$I$56,4,FALSE),VLOOKUP(M$1,main!$A$3:$I$56,4,FALSE)+VLOOKUP($A21,main!$A$3:$I$56,4,FALSE)+(VLOOKUP(VLOOKUP(M$1,main!$A$3:$I$56,8,FALSE),main!$K$19:$O$22,MATCH(VLOOKUP($A21,main!$A$3:$I$56,7,FALSE),main!$K$18:$O$18,0),0))),0)</f>
        <v>140</v>
      </c>
      <c r="N21">
        <f>IF((gamma!N21),IF(VLOOKUP(N$1,main!$A$3:$I$56,7,FALSE)=VLOOKUP($A21,main!$A$3:$I$56,8,FALSE),VLOOKUP(N$1,main!$A$3:$I$56,4,FALSE),VLOOKUP(N$1,main!$A$3:$I$56,4,FALSE)+VLOOKUP($A21,main!$A$3:$I$56,4,FALSE)+(VLOOKUP(VLOOKUP(N$1,main!$A$3:$I$56,8,FALSE),main!$K$19:$O$22,MATCH(VLOOKUP($A21,main!$A$3:$I$56,7,FALSE),main!$K$18:$O$18,0),0))),0)</f>
        <v>140</v>
      </c>
      <c r="O21">
        <f>IF((gamma!O21),IF(VLOOKUP(O$1,main!$A$3:$I$56,7,FALSE)=VLOOKUP($A21,main!$A$3:$I$56,8,FALSE),VLOOKUP(O$1,main!$A$3:$I$56,4,FALSE),VLOOKUP(O$1,main!$A$3:$I$56,4,FALSE)+VLOOKUP($A21,main!$A$3:$I$56,4,FALSE)+(VLOOKUP(VLOOKUP(O$1,main!$A$3:$I$56,8,FALSE),main!$K$19:$O$22,MATCH(VLOOKUP($A21,main!$A$3:$I$56,7,FALSE),main!$K$18:$O$18,0),0))),0)</f>
        <v>140</v>
      </c>
      <c r="P21">
        <f>IF((gamma!P21),IF(VLOOKUP(P$1,main!$A$3:$I$56,7,FALSE)=VLOOKUP($A21,main!$A$3:$I$56,8,FALSE),VLOOKUP(P$1,main!$A$3:$I$56,4,FALSE),VLOOKUP(P$1,main!$A$3:$I$56,4,FALSE)+VLOOKUP($A21,main!$A$3:$I$56,4,FALSE)+(VLOOKUP(VLOOKUP(P$1,main!$A$3:$I$56,8,FALSE),main!$K$19:$O$22,MATCH(VLOOKUP($A21,main!$A$3:$I$56,7,FALSE),main!$K$18:$O$18,0),0))),0)</f>
        <v>0</v>
      </c>
      <c r="Q21">
        <f>IF((gamma!Q21),IF(VLOOKUP(Q$1,main!$A$3:$I$56,7,FALSE)=VLOOKUP($A21,main!$A$3:$I$56,8,FALSE),VLOOKUP(Q$1,main!$A$3:$I$56,4,FALSE),VLOOKUP(Q$1,main!$A$3:$I$56,4,FALSE)+VLOOKUP($A21,main!$A$3:$I$56,4,FALSE)+(VLOOKUP(VLOOKUP(Q$1,main!$A$3:$I$56,8,FALSE),main!$K$19:$O$22,MATCH(VLOOKUP($A21,main!$A$3:$I$56,7,FALSE),main!$K$18:$O$18,0),0))),0)</f>
        <v>0</v>
      </c>
      <c r="R21">
        <f>IF((gamma!R21),IF(VLOOKUP(R$1,main!$A$3:$I$56,7,FALSE)=VLOOKUP($A21,main!$A$3:$I$56,8,FALSE),VLOOKUP(R$1,main!$A$3:$I$56,4,FALSE),VLOOKUP(R$1,main!$A$3:$I$56,4,FALSE)+VLOOKUP($A21,main!$A$3:$I$56,4,FALSE)+(VLOOKUP(VLOOKUP(R$1,main!$A$3:$I$56,8,FALSE),main!$K$19:$O$22,MATCH(VLOOKUP($A21,main!$A$3:$I$56,7,FALSE),main!$K$18:$O$18,0),0))),0)</f>
        <v>135</v>
      </c>
      <c r="S21">
        <f>IF((gamma!S21),IF(VLOOKUP(S$1,main!$A$3:$I$56,7,FALSE)=VLOOKUP($A21,main!$A$3:$I$56,8,FALSE),VLOOKUP(S$1,main!$A$3:$I$56,4,FALSE),VLOOKUP(S$1,main!$A$3:$I$56,4,FALSE)+VLOOKUP($A21,main!$A$3:$I$56,4,FALSE)+(VLOOKUP(VLOOKUP(S$1,main!$A$3:$I$56,8,FALSE),main!$K$19:$O$22,MATCH(VLOOKUP($A21,main!$A$3:$I$56,7,FALSE),main!$K$18:$O$18,0),0))),0)</f>
        <v>140</v>
      </c>
      <c r="T21">
        <f>IF((gamma!T21),IF(VLOOKUP(T$1,main!$A$3:$I$56,7,FALSE)=VLOOKUP($A21,main!$A$3:$I$56,8,FALSE),VLOOKUP(T$1,main!$A$3:$I$56,4,FALSE),VLOOKUP(T$1,main!$A$3:$I$56,4,FALSE)+VLOOKUP($A21,main!$A$3:$I$56,4,FALSE)+(VLOOKUP(VLOOKUP(T$1,main!$A$3:$I$56,8,FALSE),main!$K$19:$O$22,MATCH(VLOOKUP($A21,main!$A$3:$I$56,7,FALSE),main!$K$18:$O$18,0),0))),0)</f>
        <v>140</v>
      </c>
      <c r="U21">
        <f>IF((gamma!U21),IF(VLOOKUP(U$1,main!$A$3:$I$56,7,FALSE)=VLOOKUP($A21,main!$A$3:$I$56,8,FALSE),VLOOKUP(U$1,main!$A$3:$I$56,4,FALSE),VLOOKUP(U$1,main!$A$3:$I$56,4,FALSE)+VLOOKUP($A21,main!$A$3:$I$56,4,FALSE)+(VLOOKUP(VLOOKUP(U$1,main!$A$3:$I$56,8,FALSE),main!$K$19:$O$22,MATCH(VLOOKUP($A21,main!$A$3:$I$56,7,FALSE),main!$K$18:$O$18,0),0))),0)</f>
        <v>0</v>
      </c>
      <c r="V21">
        <f>IF((gamma!V21),IF(VLOOKUP(V$1,main!$A$3:$I$56,7,FALSE)=VLOOKUP($A21,main!$A$3:$I$56,8,FALSE),VLOOKUP(V$1,main!$A$3:$I$56,4,FALSE),VLOOKUP(V$1,main!$A$3:$I$56,4,FALSE)+VLOOKUP($A21,main!$A$3:$I$56,4,FALSE)+(VLOOKUP(VLOOKUP(V$1,main!$A$3:$I$56,8,FALSE),main!$K$19:$O$22,MATCH(VLOOKUP($A21,main!$A$3:$I$56,7,FALSE),main!$K$18:$O$18,0),0))),0)</f>
        <v>0</v>
      </c>
      <c r="W21">
        <f>IF((gamma!W21),IF(VLOOKUP(W$1,main!$A$3:$I$56,7,FALSE)=VLOOKUP($A21,main!$A$3:$I$56,8,FALSE),VLOOKUP(W$1,main!$A$3:$I$56,4,FALSE),VLOOKUP(W$1,main!$A$3:$I$56,4,FALSE)+VLOOKUP($A21,main!$A$3:$I$56,4,FALSE)+(VLOOKUP(VLOOKUP(W$1,main!$A$3:$I$56,8,FALSE),main!$K$19:$O$22,MATCH(VLOOKUP($A21,main!$A$3:$I$56,7,FALSE),main!$K$18:$O$18,0),0))),0)</f>
        <v>295</v>
      </c>
      <c r="X21">
        <f>IF((gamma!X21),IF(VLOOKUP(X$1,main!$A$3:$I$56,7,FALSE)=VLOOKUP($A21,main!$A$3:$I$56,8,FALSE),VLOOKUP(X$1,main!$A$3:$I$56,4,FALSE),VLOOKUP(X$1,main!$A$3:$I$56,4,FALSE)+VLOOKUP($A21,main!$A$3:$I$56,4,FALSE)+(VLOOKUP(VLOOKUP(X$1,main!$A$3:$I$56,8,FALSE),main!$K$19:$O$22,MATCH(VLOOKUP($A21,main!$A$3:$I$56,7,FALSE),main!$K$18:$O$18,0),0))),0)</f>
        <v>295</v>
      </c>
      <c r="Y21">
        <f>IF((gamma!Y21),IF(VLOOKUP(Y$1,main!$A$3:$I$56,7,FALSE)=VLOOKUP($A21,main!$A$3:$I$56,8,FALSE),VLOOKUP(Y$1,main!$A$3:$I$56,4,FALSE),VLOOKUP(Y$1,main!$A$3:$I$56,4,FALSE)+VLOOKUP($A21,main!$A$3:$I$56,4,FALSE)+(VLOOKUP(VLOOKUP(Y$1,main!$A$3:$I$56,8,FALSE),main!$K$19:$O$22,MATCH(VLOOKUP($A21,main!$A$3:$I$56,7,FALSE),main!$K$18:$O$18,0),0))),0)</f>
        <v>295</v>
      </c>
      <c r="Z21">
        <f>IF((gamma!Z21),IF(VLOOKUP(Z$1,main!$A$3:$I$56,7,FALSE)=VLOOKUP($A21,main!$A$3:$I$56,8,FALSE),VLOOKUP(Z$1,main!$A$3:$I$56,4,FALSE),VLOOKUP(Z$1,main!$A$3:$I$56,4,FALSE)+VLOOKUP($A21,main!$A$3:$I$56,4,FALSE)+(VLOOKUP(VLOOKUP(Z$1,main!$A$3:$I$56,8,FALSE),main!$K$19:$O$22,MATCH(VLOOKUP($A21,main!$A$3:$I$56,7,FALSE),main!$K$18:$O$18,0),0))),0)</f>
        <v>295</v>
      </c>
      <c r="AA21">
        <f>IF((gamma!AA21),IF(VLOOKUP(AA$1,main!$A$3:$I$56,7,FALSE)=VLOOKUP($A21,main!$A$3:$I$56,8,FALSE),VLOOKUP(AA$1,main!$A$3:$I$56,4,FALSE),VLOOKUP(AA$1,main!$A$3:$I$56,4,FALSE)+VLOOKUP($A21,main!$A$3:$I$56,4,FALSE)+(VLOOKUP(VLOOKUP(AA$1,main!$A$3:$I$56,8,FALSE),main!$K$19:$O$22,MATCH(VLOOKUP($A21,main!$A$3:$I$56,7,FALSE),main!$K$18:$O$18,0),0))),0)</f>
        <v>295</v>
      </c>
      <c r="AB21">
        <f>IF((gamma!AB21),IF(VLOOKUP(AB$1,main!$A$3:$I$56,7,FALSE)=VLOOKUP($A21,main!$A$3:$I$56,8,FALSE),VLOOKUP(AB$1,main!$A$3:$I$56,4,FALSE),VLOOKUP(AB$1,main!$A$3:$I$56,4,FALSE)+VLOOKUP($A21,main!$A$3:$I$56,4,FALSE)+(VLOOKUP(VLOOKUP(AB$1,main!$A$3:$I$56,8,FALSE),main!$K$19:$O$22,MATCH(VLOOKUP($A21,main!$A$3:$I$56,7,FALSE),main!$K$18:$O$18,0),0))),0)</f>
        <v>295</v>
      </c>
      <c r="AC21">
        <f>IF((gamma!AC21),IF(VLOOKUP(AC$1,main!$A$3:$I$56,7,FALSE)=VLOOKUP($A21,main!$A$3:$I$56,8,FALSE),VLOOKUP(AC$1,main!$A$3:$I$56,4,FALSE),VLOOKUP(AC$1,main!$A$3:$I$56,4,FALSE)+VLOOKUP($A21,main!$A$3:$I$56,4,FALSE)+(VLOOKUP(VLOOKUP(AC$1,main!$A$3:$I$56,8,FALSE),main!$K$19:$O$22,MATCH(VLOOKUP($A21,main!$A$3:$I$56,7,FALSE),main!$K$18:$O$18,0),0))),0)</f>
        <v>0</v>
      </c>
      <c r="AD21">
        <f>IF((gamma!AD21),IF(VLOOKUP(AD$1,main!$A$3:$I$56,7,FALSE)=VLOOKUP($A21,main!$A$3:$I$56,8,FALSE),VLOOKUP(AD$1,main!$A$3:$I$56,4,FALSE),VLOOKUP(AD$1,main!$A$3:$I$56,4,FALSE)+VLOOKUP($A21,main!$A$3:$I$56,4,FALSE)+(VLOOKUP(VLOOKUP(AD$1,main!$A$3:$I$56,8,FALSE),main!$K$19:$O$22,MATCH(VLOOKUP($A21,main!$A$3:$I$56,7,FALSE),main!$K$18:$O$18,0),0))),0)</f>
        <v>0</v>
      </c>
      <c r="AE21">
        <f>IF((gamma!AE21),IF(VLOOKUP(AE$1,main!$A$3:$I$56,7,FALSE)=VLOOKUP($A21,main!$A$3:$I$56,8,FALSE),VLOOKUP(AE$1,main!$A$3:$I$56,4,FALSE),VLOOKUP(AE$1,main!$A$3:$I$56,4,FALSE)+VLOOKUP($A21,main!$A$3:$I$56,4,FALSE)+(VLOOKUP(VLOOKUP(AE$1,main!$A$3:$I$56,8,FALSE),main!$K$19:$O$22,MATCH(VLOOKUP($A21,main!$A$3:$I$56,7,FALSE),main!$K$18:$O$18,0),0))),0)</f>
        <v>283</v>
      </c>
      <c r="AF21">
        <f>IF((gamma!AF21),IF(VLOOKUP(AF$1,main!$A$3:$I$56,7,FALSE)=VLOOKUP($A21,main!$A$3:$I$56,8,FALSE),VLOOKUP(AF$1,main!$A$3:$I$56,4,FALSE),VLOOKUP(AF$1,main!$A$3:$I$56,4,FALSE)+VLOOKUP($A21,main!$A$3:$I$56,4,FALSE)+(VLOOKUP(VLOOKUP(AF$1,main!$A$3:$I$56,8,FALSE),main!$K$19:$O$22,MATCH(VLOOKUP($A21,main!$A$3:$I$56,7,FALSE),main!$K$18:$O$18,0),0))),0)</f>
        <v>293</v>
      </c>
      <c r="AG21">
        <f>IF((gamma!AG21),IF(VLOOKUP(AG$1,main!$A$3:$I$56,7,FALSE)=VLOOKUP($A21,main!$A$3:$I$56,8,FALSE),VLOOKUP(AG$1,main!$A$3:$I$56,4,FALSE),VLOOKUP(AG$1,main!$A$3:$I$56,4,FALSE)+VLOOKUP($A21,main!$A$3:$I$56,4,FALSE)+(VLOOKUP(VLOOKUP(AG$1,main!$A$3:$I$56,8,FALSE),main!$K$19:$O$22,MATCH(VLOOKUP($A21,main!$A$3:$I$56,7,FALSE),main!$K$18:$O$18,0),0))),0)</f>
        <v>0</v>
      </c>
      <c r="AH21">
        <f>IF((gamma!AH21),IF(VLOOKUP(AH$1,main!$A$3:$I$56,7,FALSE)=VLOOKUP($A21,main!$A$3:$I$56,8,FALSE),VLOOKUP(AH$1,main!$A$3:$I$56,4,FALSE),VLOOKUP(AH$1,main!$A$3:$I$56,4,FALSE)+VLOOKUP($A21,main!$A$3:$I$56,4,FALSE)+(VLOOKUP(VLOOKUP(AH$1,main!$A$3:$I$56,8,FALSE),main!$K$19:$O$22,MATCH(VLOOKUP($A21,main!$A$3:$I$56,7,FALSE),main!$K$18:$O$18,0),0))),0)</f>
        <v>300</v>
      </c>
      <c r="AI21">
        <f>IF((gamma!AI21),IF(VLOOKUP(AI$1,main!$A$3:$I$56,7,FALSE)=VLOOKUP($A21,main!$A$3:$I$56,8,FALSE),VLOOKUP(AI$1,main!$A$3:$I$56,4,FALSE),VLOOKUP(AI$1,main!$A$3:$I$56,4,FALSE)+VLOOKUP($A21,main!$A$3:$I$56,4,FALSE)+(VLOOKUP(VLOOKUP(AI$1,main!$A$3:$I$56,8,FALSE),main!$K$19:$O$22,MATCH(VLOOKUP($A21,main!$A$3:$I$56,7,FALSE),main!$K$18:$O$18,0),0))),0)</f>
        <v>300</v>
      </c>
      <c r="AJ21">
        <f>IF((gamma!AJ21),IF(VLOOKUP(AJ$1,main!$A$3:$I$56,7,FALSE)=VLOOKUP($A21,main!$A$3:$I$56,8,FALSE),VLOOKUP(AJ$1,main!$A$3:$I$56,4,FALSE),VLOOKUP(AJ$1,main!$A$3:$I$56,4,FALSE)+VLOOKUP($A21,main!$A$3:$I$56,4,FALSE)+(VLOOKUP(VLOOKUP(AJ$1,main!$A$3:$I$56,8,FALSE),main!$K$19:$O$22,MATCH(VLOOKUP($A21,main!$A$3:$I$56,7,FALSE),main!$K$18:$O$18,0),0))),0)</f>
        <v>300</v>
      </c>
      <c r="AK21">
        <f>IF((gamma!AK21),IF(VLOOKUP(AK$1,main!$A$3:$I$56,7,FALSE)=VLOOKUP($A21,main!$A$3:$I$56,8,FALSE),VLOOKUP(AK$1,main!$A$3:$I$56,4,FALSE),VLOOKUP(AK$1,main!$A$3:$I$56,4,FALSE)+VLOOKUP($A21,main!$A$3:$I$56,4,FALSE)+(VLOOKUP(VLOOKUP(AK$1,main!$A$3:$I$56,8,FALSE),main!$K$19:$O$22,MATCH(VLOOKUP($A21,main!$A$3:$I$56,7,FALSE),main!$K$18:$O$18,0),0))),0)</f>
        <v>300</v>
      </c>
      <c r="AL21">
        <f>IF((gamma!AL21),IF(VLOOKUP(AL$1,main!$A$3:$I$56,7,FALSE)=VLOOKUP($A21,main!$A$3:$I$56,8,FALSE),VLOOKUP(AL$1,main!$A$3:$I$56,4,FALSE),VLOOKUP(AL$1,main!$A$3:$I$56,4,FALSE)+VLOOKUP($A21,main!$A$3:$I$56,4,FALSE)+(VLOOKUP(VLOOKUP(AL$1,main!$A$3:$I$56,8,FALSE),main!$K$19:$O$22,MATCH(VLOOKUP($A21,main!$A$3:$I$56,7,FALSE),main!$K$18:$O$18,0),0))),0)</f>
        <v>0</v>
      </c>
      <c r="AM21">
        <f>IF((gamma!AM21),IF(VLOOKUP(AM$1,main!$A$3:$I$56,7,FALSE)=VLOOKUP($A21,main!$A$3:$I$56,8,FALSE),VLOOKUP(AM$1,main!$A$3:$I$56,4,FALSE),VLOOKUP(AM$1,main!$A$3:$I$56,4,FALSE)+VLOOKUP($A21,main!$A$3:$I$56,4,FALSE)+(VLOOKUP(VLOOKUP(AM$1,main!$A$3:$I$56,8,FALSE),main!$K$19:$O$22,MATCH(VLOOKUP($A21,main!$A$3:$I$56,7,FALSE),main!$K$18:$O$18,0),0))),0)</f>
        <v>0</v>
      </c>
      <c r="AN21">
        <f>IF((gamma!AN21),IF(VLOOKUP(AN$1,main!$A$3:$I$56,7,FALSE)=VLOOKUP($A21,main!$A$3:$I$56,8,FALSE),VLOOKUP(AN$1,main!$A$3:$I$56,4,FALSE),VLOOKUP(AN$1,main!$A$3:$I$56,4,FALSE)+VLOOKUP($A21,main!$A$3:$I$56,4,FALSE)+(VLOOKUP(VLOOKUP(AN$1,main!$A$3:$I$56,8,FALSE),main!$K$19:$O$22,MATCH(VLOOKUP($A21,main!$A$3:$I$56,7,FALSE),main!$K$18:$O$18,0),0))),0)</f>
        <v>255</v>
      </c>
      <c r="AO21">
        <f>IF((gamma!AO21),IF(VLOOKUP(AO$1,main!$A$3:$I$56,7,FALSE)=VLOOKUP($A21,main!$A$3:$I$56,8,FALSE),VLOOKUP(AO$1,main!$A$3:$I$56,4,FALSE),VLOOKUP(AO$1,main!$A$3:$I$56,4,FALSE)+VLOOKUP($A21,main!$A$3:$I$56,4,FALSE)+(VLOOKUP(VLOOKUP(AO$1,main!$A$3:$I$56,8,FALSE),main!$K$19:$O$22,MATCH(VLOOKUP($A21,main!$A$3:$I$56,7,FALSE),main!$K$18:$O$18,0),0))),0)</f>
        <v>265</v>
      </c>
      <c r="AP21">
        <f>IF((gamma!AP21),IF(VLOOKUP(AP$1,main!$A$3:$I$56,7,FALSE)=VLOOKUP($A21,main!$A$3:$I$56,8,FALSE),VLOOKUP(AP$1,main!$A$3:$I$56,4,FALSE),VLOOKUP(AP$1,main!$A$3:$I$56,4,FALSE)+VLOOKUP($A21,main!$A$3:$I$56,4,FALSE)+(VLOOKUP(VLOOKUP(AP$1,main!$A$3:$I$56,8,FALSE),main!$K$19:$O$22,MATCH(VLOOKUP($A21,main!$A$3:$I$56,7,FALSE),main!$K$18:$O$18,0),0))),0)</f>
        <v>0</v>
      </c>
      <c r="AQ21">
        <f>IF((gamma!AQ21),IF(VLOOKUP(AQ$1,main!$A$3:$I$56,7,FALSE)=VLOOKUP($A21,main!$A$3:$I$56,8,FALSE),VLOOKUP(AQ$1,main!$A$3:$I$56,4,FALSE),VLOOKUP(AQ$1,main!$A$3:$I$56,4,FALSE)+VLOOKUP($A21,main!$A$3:$I$56,4,FALSE)+(VLOOKUP(VLOOKUP(AQ$1,main!$A$3:$I$56,8,FALSE),main!$K$19:$O$22,MATCH(VLOOKUP($A21,main!$A$3:$I$56,7,FALSE),main!$K$18:$O$18,0),0))),0)</f>
        <v>0</v>
      </c>
      <c r="AR21">
        <f>IF((gamma!AR21),IF(VLOOKUP(AR$1,main!$A$3:$I$56,7,FALSE)=VLOOKUP($A21,main!$A$3:$I$56,8,FALSE),VLOOKUP(AR$1,main!$A$3:$I$56,4,FALSE),VLOOKUP(AR$1,main!$A$3:$I$56,4,FALSE)+VLOOKUP($A21,main!$A$3:$I$56,4,FALSE)+(VLOOKUP(VLOOKUP(AR$1,main!$A$3:$I$56,8,FALSE),main!$K$19:$O$22,MATCH(VLOOKUP($A21,main!$A$3:$I$56,7,FALSE),main!$K$18:$O$18,0),0))),0)</f>
        <v>0</v>
      </c>
      <c r="AS21">
        <f>IF((gamma!AS21),IF(VLOOKUP(AS$1,main!$A$3:$I$56,7,FALSE)=VLOOKUP($A21,main!$A$3:$I$56,8,FALSE),VLOOKUP(AS$1,main!$A$3:$I$56,4,FALSE),VLOOKUP(AS$1,main!$A$3:$I$56,4,FALSE)+VLOOKUP($A21,main!$A$3:$I$56,4,FALSE)+(VLOOKUP(VLOOKUP(AS$1,main!$A$3:$I$56,8,FALSE),main!$K$19:$O$22,MATCH(VLOOKUP($A21,main!$A$3:$I$56,7,FALSE),main!$K$18:$O$18,0),0))),0)</f>
        <v>310</v>
      </c>
      <c r="AT21">
        <f>IF((gamma!AT21),IF(VLOOKUP(AT$1,main!$A$3:$I$56,7,FALSE)=VLOOKUP($A21,main!$A$3:$I$56,8,FALSE),VLOOKUP(AT$1,main!$A$3:$I$56,4,FALSE),VLOOKUP(AT$1,main!$A$3:$I$56,4,FALSE)+VLOOKUP($A21,main!$A$3:$I$56,4,FALSE)+(VLOOKUP(VLOOKUP(AT$1,main!$A$3:$I$56,8,FALSE),main!$K$19:$O$22,MATCH(VLOOKUP($A21,main!$A$3:$I$56,7,FALSE),main!$K$18:$O$18,0),0))),0)</f>
        <v>295</v>
      </c>
      <c r="AU21">
        <f>IF((gamma!AU21),IF(VLOOKUP(AU$1,main!$A$3:$I$56,7,FALSE)=VLOOKUP($A21,main!$A$3:$I$56,8,FALSE),VLOOKUP(AU$1,main!$A$3:$I$56,4,FALSE),VLOOKUP(AU$1,main!$A$3:$I$56,4,FALSE)+VLOOKUP($A21,main!$A$3:$I$56,4,FALSE)+(VLOOKUP(VLOOKUP(AU$1,main!$A$3:$I$56,8,FALSE),main!$K$19:$O$22,MATCH(VLOOKUP($A21,main!$A$3:$I$56,7,FALSE),main!$K$18:$O$18,0),0))),0)</f>
        <v>0</v>
      </c>
      <c r="AV21">
        <f>IF((gamma!AV21),IF(VLOOKUP(AV$1,main!$A$3:$I$56,7,FALSE)=VLOOKUP($A21,main!$A$3:$I$56,8,FALSE),VLOOKUP(AV$1,main!$A$3:$I$56,4,FALSE),VLOOKUP(AV$1,main!$A$3:$I$56,4,FALSE)+VLOOKUP($A21,main!$A$3:$I$56,4,FALSE)+(VLOOKUP(VLOOKUP(AV$1,main!$A$3:$I$56,8,FALSE),main!$K$19:$O$22,MATCH(VLOOKUP($A21,main!$A$3:$I$56,7,FALSE),main!$K$18:$O$18,0),0))),0)</f>
        <v>295</v>
      </c>
      <c r="AW21">
        <f>IF((gamma!AW21),IF(VLOOKUP(AW$1,main!$A$3:$I$56,7,FALSE)=VLOOKUP($A21,main!$A$3:$I$56,8,FALSE),VLOOKUP(AW$1,main!$A$3:$I$56,4,FALSE),VLOOKUP(AW$1,main!$A$3:$I$56,4,FALSE)+VLOOKUP($A21,main!$A$3:$I$56,4,FALSE)+(VLOOKUP(VLOOKUP(AW$1,main!$A$3:$I$56,8,FALSE),main!$K$19:$O$22,MATCH(VLOOKUP($A21,main!$A$3:$I$56,7,FALSE),main!$K$18:$O$18,0),0))),0)</f>
        <v>300</v>
      </c>
      <c r="AX21">
        <f>IF((gamma!AX21),IF(VLOOKUP(AX$1,main!$A$3:$I$56,7,FALSE)=VLOOKUP($A21,main!$A$3:$I$56,8,FALSE),VLOOKUP(AX$1,main!$A$3:$I$56,4,FALSE),VLOOKUP(AX$1,main!$A$3:$I$56,4,FALSE)+VLOOKUP($A21,main!$A$3:$I$56,4,FALSE)+(VLOOKUP(VLOOKUP(AX$1,main!$A$3:$I$56,8,FALSE),main!$K$19:$O$22,MATCH(VLOOKUP($A21,main!$A$3:$I$56,7,FALSE),main!$K$18:$O$18,0),0))),0)</f>
        <v>300</v>
      </c>
      <c r="AY21">
        <f>IF((gamma!AY21),IF(VLOOKUP(AY$1,main!$A$3:$I$56,7,FALSE)=VLOOKUP($A21,main!$A$3:$I$56,8,FALSE),VLOOKUP(AY$1,main!$A$3:$I$56,4,FALSE),VLOOKUP(AY$1,main!$A$3:$I$56,4,FALSE)+VLOOKUP($A21,main!$A$3:$I$56,4,FALSE)+(VLOOKUP(VLOOKUP(AY$1,main!$A$3:$I$56,8,FALSE),main!$K$19:$O$22,MATCH(VLOOKUP($A21,main!$A$3:$I$56,7,FALSE),main!$K$18:$O$18,0),0))),0)</f>
        <v>300</v>
      </c>
      <c r="AZ21">
        <f>IF((gamma!AZ21),IF(VLOOKUP(AZ$1,main!$A$3:$I$56,7,FALSE)=VLOOKUP($A21,main!$A$3:$I$56,8,FALSE),VLOOKUP(AZ$1,main!$A$3:$I$56,4,FALSE),VLOOKUP(AZ$1,main!$A$3:$I$56,4,FALSE)+VLOOKUP($A21,main!$A$3:$I$56,4,FALSE)+(VLOOKUP(VLOOKUP(AZ$1,main!$A$3:$I$56,8,FALSE),main!$K$19:$O$22,MATCH(VLOOKUP($A21,main!$A$3:$I$56,7,FALSE),main!$K$18:$O$18,0),0))),0)</f>
        <v>0</v>
      </c>
      <c r="BA21">
        <f>IF((gamma!BA21),IF(VLOOKUP(BA$1,main!$A$3:$I$56,7,FALSE)=VLOOKUP($A21,main!$A$3:$I$56,8,FALSE),VLOOKUP(BA$1,main!$A$3:$I$56,4,FALSE),VLOOKUP(BA$1,main!$A$3:$I$56,4,FALSE)+VLOOKUP($A21,main!$A$3:$I$56,4,FALSE)+(VLOOKUP(VLOOKUP(BA$1,main!$A$3:$I$56,8,FALSE),main!$K$19:$O$22,MATCH(VLOOKUP($A21,main!$A$3:$I$56,7,FALSE),main!$K$18:$O$18,0),0))),0)</f>
        <v>283</v>
      </c>
      <c r="BB21">
        <f>IF((gamma!BB21),IF(VLOOKUP(BB$1,main!$A$3:$I$56,7,FALSE)=VLOOKUP($A21,main!$A$3:$I$56,8,FALSE),VLOOKUP(BB$1,main!$A$3:$I$56,4,FALSE),VLOOKUP(BB$1,main!$A$3:$I$56,4,FALSE)+VLOOKUP($A21,main!$A$3:$I$56,4,FALSE)+(VLOOKUP(VLOOKUP(BB$1,main!$A$3:$I$56,8,FALSE),main!$K$19:$O$22,MATCH(VLOOKUP($A21,main!$A$3:$I$56,7,FALSE),main!$K$18:$O$18,0),0))),0)</f>
        <v>283</v>
      </c>
      <c r="BC21">
        <f>IF((gamma!BC21),IF(VLOOKUP(BC$1,main!$A$3:$I$56,7,FALSE)=VLOOKUP($A21,main!$A$3:$I$56,8,FALSE),VLOOKUP(BC$1,main!$A$3:$I$56,4,FALSE),VLOOKUP(BC$1,main!$A$3:$I$56,4,FALSE)+VLOOKUP($A21,main!$A$3:$I$56,4,FALSE)+(VLOOKUP(VLOOKUP(BC$1,main!$A$3:$I$56,8,FALSE),main!$K$19:$O$22,MATCH(VLOOKUP($A21,main!$A$3:$I$56,7,FALSE),main!$K$18:$O$18,0),0))),0)</f>
        <v>298</v>
      </c>
      <c r="BD21">
        <f>IF((gamma!BD21),IF(VLOOKUP(BD$1,main!$A$3:$I$56,7,FALSE)=VLOOKUP($A21,main!$A$3:$I$56,8,FALSE),VLOOKUP(BD$1,main!$A$3:$I$56,4,FALSE),VLOOKUP(BD$1,main!$A$3:$I$56,4,FALSE)+VLOOKUP($A21,main!$A$3:$I$56,4,FALSE)+(VLOOKUP(VLOOKUP(BD$1,main!$A$3:$I$56,8,FALSE),main!$K$19:$O$22,MATCH(VLOOKUP($A21,main!$A$3:$I$56,7,FALSE),main!$K$18:$O$18,0),0))),0)</f>
        <v>298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>
        <f t="shared" si="0"/>
        <v>20</v>
      </c>
      <c r="B22">
        <v>0</v>
      </c>
      <c r="C22">
        <f>IF((gamma!C22),IF(VLOOKUP(C$1,main!$A$3:$I$56,7,FALSE)=VLOOKUP($A22,main!$A$3:$I$56,8,FALSE),VLOOKUP(C$1,main!$A$3:$I$56,4,FALSE),VLOOKUP(C$1,main!$A$3:$I$56,4,FALSE)+VLOOKUP($A22,main!$A$3:$I$56,4,FALSE)+(VLOOKUP(VLOOKUP(C$1,main!$A$3:$I$56,8,FALSE),main!$K$19:$O$22,MATCH(VLOOKUP($A22,main!$A$3:$I$56,7,FALSE),main!$K$18:$O$18,0),0))),0)</f>
        <v>0</v>
      </c>
      <c r="D22">
        <f>IF((gamma!D22),IF(VLOOKUP(D$1,main!$A$3:$I$56,7,FALSE)=VLOOKUP($A22,main!$A$3:$I$56,8,FALSE),VLOOKUP(D$1,main!$A$3:$I$56,4,FALSE),VLOOKUP(D$1,main!$A$3:$I$56,4,FALSE)+VLOOKUP($A22,main!$A$3:$I$56,4,FALSE)+(VLOOKUP(VLOOKUP(D$1,main!$A$3:$I$56,8,FALSE),main!$K$19:$O$22,MATCH(VLOOKUP($A22,main!$A$3:$I$56,7,FALSE),main!$K$18:$O$18,0),0))),0)</f>
        <v>0</v>
      </c>
      <c r="E22">
        <f>IF((gamma!E22),IF(VLOOKUP(E$1,main!$A$3:$I$56,7,FALSE)=VLOOKUP($A22,main!$A$3:$I$56,8,FALSE),VLOOKUP(E$1,main!$A$3:$I$56,4,FALSE),VLOOKUP(E$1,main!$A$3:$I$56,4,FALSE)+VLOOKUP($A22,main!$A$3:$I$56,4,FALSE)+(VLOOKUP(VLOOKUP(E$1,main!$A$3:$I$56,8,FALSE),main!$K$19:$O$22,MATCH(VLOOKUP($A22,main!$A$3:$I$56,7,FALSE),main!$K$18:$O$18,0),0))),0)</f>
        <v>135</v>
      </c>
      <c r="F22">
        <f>IF((gamma!F22),IF(VLOOKUP(F$1,main!$A$3:$I$56,7,FALSE)=VLOOKUP($A22,main!$A$3:$I$56,8,FALSE),VLOOKUP(F$1,main!$A$3:$I$56,4,FALSE),VLOOKUP(F$1,main!$A$3:$I$56,4,FALSE)+VLOOKUP($A22,main!$A$3:$I$56,4,FALSE)+(VLOOKUP(VLOOKUP(F$1,main!$A$3:$I$56,8,FALSE),main!$K$19:$O$22,MATCH(VLOOKUP($A22,main!$A$3:$I$56,7,FALSE),main!$K$18:$O$18,0),0))),0)</f>
        <v>135</v>
      </c>
      <c r="G22">
        <f>IF((gamma!G22),IF(VLOOKUP(G$1,main!$A$3:$I$56,7,FALSE)=VLOOKUP($A22,main!$A$3:$I$56,8,FALSE),VLOOKUP(G$1,main!$A$3:$I$56,4,FALSE),VLOOKUP(G$1,main!$A$3:$I$56,4,FALSE)+VLOOKUP($A22,main!$A$3:$I$56,4,FALSE)+(VLOOKUP(VLOOKUP(G$1,main!$A$3:$I$56,8,FALSE),main!$K$19:$O$22,MATCH(VLOOKUP($A22,main!$A$3:$I$56,7,FALSE),main!$K$18:$O$18,0),0))),0)</f>
        <v>135</v>
      </c>
      <c r="H22">
        <f>IF((gamma!H22),IF(VLOOKUP(H$1,main!$A$3:$I$56,7,FALSE)=VLOOKUP($A22,main!$A$3:$I$56,8,FALSE),VLOOKUP(H$1,main!$A$3:$I$56,4,FALSE),VLOOKUP(H$1,main!$A$3:$I$56,4,FALSE)+VLOOKUP($A22,main!$A$3:$I$56,4,FALSE)+(VLOOKUP(VLOOKUP(H$1,main!$A$3:$I$56,8,FALSE),main!$K$19:$O$22,MATCH(VLOOKUP($A22,main!$A$3:$I$56,7,FALSE),main!$K$18:$O$18,0),0))),0)</f>
        <v>135</v>
      </c>
      <c r="I22">
        <f>IF((gamma!I22),IF(VLOOKUP(I$1,main!$A$3:$I$56,7,FALSE)=VLOOKUP($A22,main!$A$3:$I$56,8,FALSE),VLOOKUP(I$1,main!$A$3:$I$56,4,FALSE),VLOOKUP(I$1,main!$A$3:$I$56,4,FALSE)+VLOOKUP($A22,main!$A$3:$I$56,4,FALSE)+(VLOOKUP(VLOOKUP(I$1,main!$A$3:$I$56,8,FALSE),main!$K$19:$O$22,MATCH(VLOOKUP($A22,main!$A$3:$I$56,7,FALSE),main!$K$18:$O$18,0),0))),0)</f>
        <v>135</v>
      </c>
      <c r="J22">
        <f>IF((gamma!J22),IF(VLOOKUP(J$1,main!$A$3:$I$56,7,FALSE)=VLOOKUP($A22,main!$A$3:$I$56,8,FALSE),VLOOKUP(J$1,main!$A$3:$I$56,4,FALSE),VLOOKUP(J$1,main!$A$3:$I$56,4,FALSE)+VLOOKUP($A22,main!$A$3:$I$56,4,FALSE)+(VLOOKUP(VLOOKUP(J$1,main!$A$3:$I$56,8,FALSE),main!$K$19:$O$22,MATCH(VLOOKUP($A22,main!$A$3:$I$56,7,FALSE),main!$K$18:$O$18,0),0))),0)</f>
        <v>135</v>
      </c>
      <c r="K22">
        <f>IF((gamma!K22),IF(VLOOKUP(K$1,main!$A$3:$I$56,7,FALSE)=VLOOKUP($A22,main!$A$3:$I$56,8,FALSE),VLOOKUP(K$1,main!$A$3:$I$56,4,FALSE),VLOOKUP(K$1,main!$A$3:$I$56,4,FALSE)+VLOOKUP($A22,main!$A$3:$I$56,4,FALSE)+(VLOOKUP(VLOOKUP(K$1,main!$A$3:$I$56,8,FALSE),main!$K$19:$O$22,MATCH(VLOOKUP($A22,main!$A$3:$I$56,7,FALSE),main!$K$18:$O$18,0),0))),0)</f>
        <v>0</v>
      </c>
      <c r="L22">
        <f>IF((gamma!L22),IF(VLOOKUP(L$1,main!$A$3:$I$56,7,FALSE)=VLOOKUP($A22,main!$A$3:$I$56,8,FALSE),VLOOKUP(L$1,main!$A$3:$I$56,4,FALSE),VLOOKUP(L$1,main!$A$3:$I$56,4,FALSE)+VLOOKUP($A22,main!$A$3:$I$56,4,FALSE)+(VLOOKUP(VLOOKUP(L$1,main!$A$3:$I$56,8,FALSE),main!$K$19:$O$22,MATCH(VLOOKUP($A22,main!$A$3:$I$56,7,FALSE),main!$K$18:$O$18,0),0))),0)</f>
        <v>0</v>
      </c>
      <c r="M22">
        <f>IF((gamma!M22),IF(VLOOKUP(M$1,main!$A$3:$I$56,7,FALSE)=VLOOKUP($A22,main!$A$3:$I$56,8,FALSE),VLOOKUP(M$1,main!$A$3:$I$56,4,FALSE),VLOOKUP(M$1,main!$A$3:$I$56,4,FALSE)+VLOOKUP($A22,main!$A$3:$I$56,4,FALSE)+(VLOOKUP(VLOOKUP(M$1,main!$A$3:$I$56,8,FALSE),main!$K$19:$O$22,MATCH(VLOOKUP($A22,main!$A$3:$I$56,7,FALSE),main!$K$18:$O$18,0),0))),0)</f>
        <v>140</v>
      </c>
      <c r="N22">
        <f>IF((gamma!N22),IF(VLOOKUP(N$1,main!$A$3:$I$56,7,FALSE)=VLOOKUP($A22,main!$A$3:$I$56,8,FALSE),VLOOKUP(N$1,main!$A$3:$I$56,4,FALSE),VLOOKUP(N$1,main!$A$3:$I$56,4,FALSE)+VLOOKUP($A22,main!$A$3:$I$56,4,FALSE)+(VLOOKUP(VLOOKUP(N$1,main!$A$3:$I$56,8,FALSE),main!$K$19:$O$22,MATCH(VLOOKUP($A22,main!$A$3:$I$56,7,FALSE),main!$K$18:$O$18,0),0))),0)</f>
        <v>140</v>
      </c>
      <c r="O22">
        <f>IF((gamma!O22),IF(VLOOKUP(O$1,main!$A$3:$I$56,7,FALSE)=VLOOKUP($A22,main!$A$3:$I$56,8,FALSE),VLOOKUP(O$1,main!$A$3:$I$56,4,FALSE),VLOOKUP(O$1,main!$A$3:$I$56,4,FALSE)+VLOOKUP($A22,main!$A$3:$I$56,4,FALSE)+(VLOOKUP(VLOOKUP(O$1,main!$A$3:$I$56,8,FALSE),main!$K$19:$O$22,MATCH(VLOOKUP($A22,main!$A$3:$I$56,7,FALSE),main!$K$18:$O$18,0),0))),0)</f>
        <v>140</v>
      </c>
      <c r="P22">
        <f>IF((gamma!P22),IF(VLOOKUP(P$1,main!$A$3:$I$56,7,FALSE)=VLOOKUP($A22,main!$A$3:$I$56,8,FALSE),VLOOKUP(P$1,main!$A$3:$I$56,4,FALSE),VLOOKUP(P$1,main!$A$3:$I$56,4,FALSE)+VLOOKUP($A22,main!$A$3:$I$56,4,FALSE)+(VLOOKUP(VLOOKUP(P$1,main!$A$3:$I$56,8,FALSE),main!$K$19:$O$22,MATCH(VLOOKUP($A22,main!$A$3:$I$56,7,FALSE),main!$K$18:$O$18,0),0))),0)</f>
        <v>0</v>
      </c>
      <c r="Q22">
        <f>IF((gamma!Q22),IF(VLOOKUP(Q$1,main!$A$3:$I$56,7,FALSE)=VLOOKUP($A22,main!$A$3:$I$56,8,FALSE),VLOOKUP(Q$1,main!$A$3:$I$56,4,FALSE),VLOOKUP(Q$1,main!$A$3:$I$56,4,FALSE)+VLOOKUP($A22,main!$A$3:$I$56,4,FALSE)+(VLOOKUP(VLOOKUP(Q$1,main!$A$3:$I$56,8,FALSE),main!$K$19:$O$22,MATCH(VLOOKUP($A22,main!$A$3:$I$56,7,FALSE),main!$K$18:$O$18,0),0))),0)</f>
        <v>0</v>
      </c>
      <c r="R22">
        <f>IF((gamma!R22),IF(VLOOKUP(R$1,main!$A$3:$I$56,7,FALSE)=VLOOKUP($A22,main!$A$3:$I$56,8,FALSE),VLOOKUP(R$1,main!$A$3:$I$56,4,FALSE),VLOOKUP(R$1,main!$A$3:$I$56,4,FALSE)+VLOOKUP($A22,main!$A$3:$I$56,4,FALSE)+(VLOOKUP(VLOOKUP(R$1,main!$A$3:$I$56,8,FALSE),main!$K$19:$O$22,MATCH(VLOOKUP($A22,main!$A$3:$I$56,7,FALSE),main!$K$18:$O$18,0),0))),0)</f>
        <v>135</v>
      </c>
      <c r="S22">
        <f>IF((gamma!S22),IF(VLOOKUP(S$1,main!$A$3:$I$56,7,FALSE)=VLOOKUP($A22,main!$A$3:$I$56,8,FALSE),VLOOKUP(S$1,main!$A$3:$I$56,4,FALSE),VLOOKUP(S$1,main!$A$3:$I$56,4,FALSE)+VLOOKUP($A22,main!$A$3:$I$56,4,FALSE)+(VLOOKUP(VLOOKUP(S$1,main!$A$3:$I$56,8,FALSE),main!$K$19:$O$22,MATCH(VLOOKUP($A22,main!$A$3:$I$56,7,FALSE),main!$K$18:$O$18,0),0))),0)</f>
        <v>140</v>
      </c>
      <c r="T22">
        <f>IF((gamma!T22),IF(VLOOKUP(T$1,main!$A$3:$I$56,7,FALSE)=VLOOKUP($A22,main!$A$3:$I$56,8,FALSE),VLOOKUP(T$1,main!$A$3:$I$56,4,FALSE),VLOOKUP(T$1,main!$A$3:$I$56,4,FALSE)+VLOOKUP($A22,main!$A$3:$I$56,4,FALSE)+(VLOOKUP(VLOOKUP(T$1,main!$A$3:$I$56,8,FALSE),main!$K$19:$O$22,MATCH(VLOOKUP($A22,main!$A$3:$I$56,7,FALSE),main!$K$18:$O$18,0),0))),0)</f>
        <v>140</v>
      </c>
      <c r="U22">
        <f>IF((gamma!U22),IF(VLOOKUP(U$1,main!$A$3:$I$56,7,FALSE)=VLOOKUP($A22,main!$A$3:$I$56,8,FALSE),VLOOKUP(U$1,main!$A$3:$I$56,4,FALSE),VLOOKUP(U$1,main!$A$3:$I$56,4,FALSE)+VLOOKUP($A22,main!$A$3:$I$56,4,FALSE)+(VLOOKUP(VLOOKUP(U$1,main!$A$3:$I$56,8,FALSE),main!$K$19:$O$22,MATCH(VLOOKUP($A22,main!$A$3:$I$56,7,FALSE),main!$K$18:$O$18,0),0))),0)</f>
        <v>0</v>
      </c>
      <c r="V22">
        <f>IF((gamma!V22),IF(VLOOKUP(V$1,main!$A$3:$I$56,7,FALSE)=VLOOKUP($A22,main!$A$3:$I$56,8,FALSE),VLOOKUP(V$1,main!$A$3:$I$56,4,FALSE),VLOOKUP(V$1,main!$A$3:$I$56,4,FALSE)+VLOOKUP($A22,main!$A$3:$I$56,4,FALSE)+(VLOOKUP(VLOOKUP(V$1,main!$A$3:$I$56,8,FALSE),main!$K$19:$O$22,MATCH(VLOOKUP($A22,main!$A$3:$I$56,7,FALSE),main!$K$18:$O$18,0),0))),0)</f>
        <v>0</v>
      </c>
      <c r="W22">
        <f>IF((gamma!W22),IF(VLOOKUP(W$1,main!$A$3:$I$56,7,FALSE)=VLOOKUP($A22,main!$A$3:$I$56,8,FALSE),VLOOKUP(W$1,main!$A$3:$I$56,4,FALSE),VLOOKUP(W$1,main!$A$3:$I$56,4,FALSE)+VLOOKUP($A22,main!$A$3:$I$56,4,FALSE)+(VLOOKUP(VLOOKUP(W$1,main!$A$3:$I$56,8,FALSE),main!$K$19:$O$22,MATCH(VLOOKUP($A22,main!$A$3:$I$56,7,FALSE),main!$K$18:$O$18,0),0))),0)</f>
        <v>0</v>
      </c>
      <c r="X22">
        <f>IF((gamma!X22),IF(VLOOKUP(X$1,main!$A$3:$I$56,7,FALSE)=VLOOKUP($A22,main!$A$3:$I$56,8,FALSE),VLOOKUP(X$1,main!$A$3:$I$56,4,FALSE),VLOOKUP(X$1,main!$A$3:$I$56,4,FALSE)+VLOOKUP($A22,main!$A$3:$I$56,4,FALSE)+(VLOOKUP(VLOOKUP(X$1,main!$A$3:$I$56,8,FALSE),main!$K$19:$O$22,MATCH(VLOOKUP($A22,main!$A$3:$I$56,7,FALSE),main!$K$18:$O$18,0),0))),0)</f>
        <v>295</v>
      </c>
      <c r="Y22">
        <f>IF((gamma!Y22),IF(VLOOKUP(Y$1,main!$A$3:$I$56,7,FALSE)=VLOOKUP($A22,main!$A$3:$I$56,8,FALSE),VLOOKUP(Y$1,main!$A$3:$I$56,4,FALSE),VLOOKUP(Y$1,main!$A$3:$I$56,4,FALSE)+VLOOKUP($A22,main!$A$3:$I$56,4,FALSE)+(VLOOKUP(VLOOKUP(Y$1,main!$A$3:$I$56,8,FALSE),main!$K$19:$O$22,MATCH(VLOOKUP($A22,main!$A$3:$I$56,7,FALSE),main!$K$18:$O$18,0),0))),0)</f>
        <v>295</v>
      </c>
      <c r="Z22">
        <f>IF((gamma!Z22),IF(VLOOKUP(Z$1,main!$A$3:$I$56,7,FALSE)=VLOOKUP($A22,main!$A$3:$I$56,8,FALSE),VLOOKUP(Z$1,main!$A$3:$I$56,4,FALSE),VLOOKUP(Z$1,main!$A$3:$I$56,4,FALSE)+VLOOKUP($A22,main!$A$3:$I$56,4,FALSE)+(VLOOKUP(VLOOKUP(Z$1,main!$A$3:$I$56,8,FALSE),main!$K$19:$O$22,MATCH(VLOOKUP($A22,main!$A$3:$I$56,7,FALSE),main!$K$18:$O$18,0),0))),0)</f>
        <v>295</v>
      </c>
      <c r="AA22">
        <f>IF((gamma!AA22),IF(VLOOKUP(AA$1,main!$A$3:$I$56,7,FALSE)=VLOOKUP($A22,main!$A$3:$I$56,8,FALSE),VLOOKUP(AA$1,main!$A$3:$I$56,4,FALSE),VLOOKUP(AA$1,main!$A$3:$I$56,4,FALSE)+VLOOKUP($A22,main!$A$3:$I$56,4,FALSE)+(VLOOKUP(VLOOKUP(AA$1,main!$A$3:$I$56,8,FALSE),main!$K$19:$O$22,MATCH(VLOOKUP($A22,main!$A$3:$I$56,7,FALSE),main!$K$18:$O$18,0),0))),0)</f>
        <v>295</v>
      </c>
      <c r="AB22">
        <f>IF((gamma!AB22),IF(VLOOKUP(AB$1,main!$A$3:$I$56,7,FALSE)=VLOOKUP($A22,main!$A$3:$I$56,8,FALSE),VLOOKUP(AB$1,main!$A$3:$I$56,4,FALSE),VLOOKUP(AB$1,main!$A$3:$I$56,4,FALSE)+VLOOKUP($A22,main!$A$3:$I$56,4,FALSE)+(VLOOKUP(VLOOKUP(AB$1,main!$A$3:$I$56,8,FALSE),main!$K$19:$O$22,MATCH(VLOOKUP($A22,main!$A$3:$I$56,7,FALSE),main!$K$18:$O$18,0),0))),0)</f>
        <v>295</v>
      </c>
      <c r="AC22">
        <f>IF((gamma!AC22),IF(VLOOKUP(AC$1,main!$A$3:$I$56,7,FALSE)=VLOOKUP($A22,main!$A$3:$I$56,8,FALSE),VLOOKUP(AC$1,main!$A$3:$I$56,4,FALSE),VLOOKUP(AC$1,main!$A$3:$I$56,4,FALSE)+VLOOKUP($A22,main!$A$3:$I$56,4,FALSE)+(VLOOKUP(VLOOKUP(AC$1,main!$A$3:$I$56,8,FALSE),main!$K$19:$O$22,MATCH(VLOOKUP($A22,main!$A$3:$I$56,7,FALSE),main!$K$18:$O$18,0),0))),0)</f>
        <v>0</v>
      </c>
      <c r="AD22">
        <f>IF((gamma!AD22),IF(VLOOKUP(AD$1,main!$A$3:$I$56,7,FALSE)=VLOOKUP($A22,main!$A$3:$I$56,8,FALSE),VLOOKUP(AD$1,main!$A$3:$I$56,4,FALSE),VLOOKUP(AD$1,main!$A$3:$I$56,4,FALSE)+VLOOKUP($A22,main!$A$3:$I$56,4,FALSE)+(VLOOKUP(VLOOKUP(AD$1,main!$A$3:$I$56,8,FALSE),main!$K$19:$O$22,MATCH(VLOOKUP($A22,main!$A$3:$I$56,7,FALSE),main!$K$18:$O$18,0),0))),0)</f>
        <v>0</v>
      </c>
      <c r="AE22">
        <f>IF((gamma!AE22),IF(VLOOKUP(AE$1,main!$A$3:$I$56,7,FALSE)=VLOOKUP($A22,main!$A$3:$I$56,8,FALSE),VLOOKUP(AE$1,main!$A$3:$I$56,4,FALSE),VLOOKUP(AE$1,main!$A$3:$I$56,4,FALSE)+VLOOKUP($A22,main!$A$3:$I$56,4,FALSE)+(VLOOKUP(VLOOKUP(AE$1,main!$A$3:$I$56,8,FALSE),main!$K$19:$O$22,MATCH(VLOOKUP($A22,main!$A$3:$I$56,7,FALSE),main!$K$18:$O$18,0),0))),0)</f>
        <v>0</v>
      </c>
      <c r="AF22">
        <f>IF((gamma!AF22),IF(VLOOKUP(AF$1,main!$A$3:$I$56,7,FALSE)=VLOOKUP($A22,main!$A$3:$I$56,8,FALSE),VLOOKUP(AF$1,main!$A$3:$I$56,4,FALSE),VLOOKUP(AF$1,main!$A$3:$I$56,4,FALSE)+VLOOKUP($A22,main!$A$3:$I$56,4,FALSE)+(VLOOKUP(VLOOKUP(AF$1,main!$A$3:$I$56,8,FALSE),main!$K$19:$O$22,MATCH(VLOOKUP($A22,main!$A$3:$I$56,7,FALSE),main!$K$18:$O$18,0),0))),0)</f>
        <v>293</v>
      </c>
      <c r="AG22">
        <f>IF((gamma!AG22),IF(VLOOKUP(AG$1,main!$A$3:$I$56,7,FALSE)=VLOOKUP($A22,main!$A$3:$I$56,8,FALSE),VLOOKUP(AG$1,main!$A$3:$I$56,4,FALSE),VLOOKUP(AG$1,main!$A$3:$I$56,4,FALSE)+VLOOKUP($A22,main!$A$3:$I$56,4,FALSE)+(VLOOKUP(VLOOKUP(AG$1,main!$A$3:$I$56,8,FALSE),main!$K$19:$O$22,MATCH(VLOOKUP($A22,main!$A$3:$I$56,7,FALSE),main!$K$18:$O$18,0),0))),0)</f>
        <v>0</v>
      </c>
      <c r="AH22">
        <f>IF((gamma!AH22),IF(VLOOKUP(AH$1,main!$A$3:$I$56,7,FALSE)=VLOOKUP($A22,main!$A$3:$I$56,8,FALSE),VLOOKUP(AH$1,main!$A$3:$I$56,4,FALSE),VLOOKUP(AH$1,main!$A$3:$I$56,4,FALSE)+VLOOKUP($A22,main!$A$3:$I$56,4,FALSE)+(VLOOKUP(VLOOKUP(AH$1,main!$A$3:$I$56,8,FALSE),main!$K$19:$O$22,MATCH(VLOOKUP($A22,main!$A$3:$I$56,7,FALSE),main!$K$18:$O$18,0),0))),0)</f>
        <v>0</v>
      </c>
      <c r="AI22">
        <f>IF((gamma!AI22),IF(VLOOKUP(AI$1,main!$A$3:$I$56,7,FALSE)=VLOOKUP($A22,main!$A$3:$I$56,8,FALSE),VLOOKUP(AI$1,main!$A$3:$I$56,4,FALSE),VLOOKUP(AI$1,main!$A$3:$I$56,4,FALSE)+VLOOKUP($A22,main!$A$3:$I$56,4,FALSE)+(VLOOKUP(VLOOKUP(AI$1,main!$A$3:$I$56,8,FALSE),main!$K$19:$O$22,MATCH(VLOOKUP($A22,main!$A$3:$I$56,7,FALSE),main!$K$18:$O$18,0),0))),0)</f>
        <v>300</v>
      </c>
      <c r="AJ22">
        <f>IF((gamma!AJ22),IF(VLOOKUP(AJ$1,main!$A$3:$I$56,7,FALSE)=VLOOKUP($A22,main!$A$3:$I$56,8,FALSE),VLOOKUP(AJ$1,main!$A$3:$I$56,4,FALSE),VLOOKUP(AJ$1,main!$A$3:$I$56,4,FALSE)+VLOOKUP($A22,main!$A$3:$I$56,4,FALSE)+(VLOOKUP(VLOOKUP(AJ$1,main!$A$3:$I$56,8,FALSE),main!$K$19:$O$22,MATCH(VLOOKUP($A22,main!$A$3:$I$56,7,FALSE),main!$K$18:$O$18,0),0))),0)</f>
        <v>300</v>
      </c>
      <c r="AK22">
        <f>IF((gamma!AK22),IF(VLOOKUP(AK$1,main!$A$3:$I$56,7,FALSE)=VLOOKUP($A22,main!$A$3:$I$56,8,FALSE),VLOOKUP(AK$1,main!$A$3:$I$56,4,FALSE),VLOOKUP(AK$1,main!$A$3:$I$56,4,FALSE)+VLOOKUP($A22,main!$A$3:$I$56,4,FALSE)+(VLOOKUP(VLOOKUP(AK$1,main!$A$3:$I$56,8,FALSE),main!$K$19:$O$22,MATCH(VLOOKUP($A22,main!$A$3:$I$56,7,FALSE),main!$K$18:$O$18,0),0))),0)</f>
        <v>300</v>
      </c>
      <c r="AL22">
        <f>IF((gamma!AL22),IF(VLOOKUP(AL$1,main!$A$3:$I$56,7,FALSE)=VLOOKUP($A22,main!$A$3:$I$56,8,FALSE),VLOOKUP(AL$1,main!$A$3:$I$56,4,FALSE),VLOOKUP(AL$1,main!$A$3:$I$56,4,FALSE)+VLOOKUP($A22,main!$A$3:$I$56,4,FALSE)+(VLOOKUP(VLOOKUP(AL$1,main!$A$3:$I$56,8,FALSE),main!$K$19:$O$22,MATCH(VLOOKUP($A22,main!$A$3:$I$56,7,FALSE),main!$K$18:$O$18,0),0))),0)</f>
        <v>0</v>
      </c>
      <c r="AM22">
        <f>IF((gamma!AM22),IF(VLOOKUP(AM$1,main!$A$3:$I$56,7,FALSE)=VLOOKUP($A22,main!$A$3:$I$56,8,FALSE),VLOOKUP(AM$1,main!$A$3:$I$56,4,FALSE),VLOOKUP(AM$1,main!$A$3:$I$56,4,FALSE)+VLOOKUP($A22,main!$A$3:$I$56,4,FALSE)+(VLOOKUP(VLOOKUP(AM$1,main!$A$3:$I$56,8,FALSE),main!$K$19:$O$22,MATCH(VLOOKUP($A22,main!$A$3:$I$56,7,FALSE),main!$K$18:$O$18,0),0))),0)</f>
        <v>0</v>
      </c>
      <c r="AN22">
        <f>IF((gamma!AN22),IF(VLOOKUP(AN$1,main!$A$3:$I$56,7,FALSE)=VLOOKUP($A22,main!$A$3:$I$56,8,FALSE),VLOOKUP(AN$1,main!$A$3:$I$56,4,FALSE),VLOOKUP(AN$1,main!$A$3:$I$56,4,FALSE)+VLOOKUP($A22,main!$A$3:$I$56,4,FALSE)+(VLOOKUP(VLOOKUP(AN$1,main!$A$3:$I$56,8,FALSE),main!$K$19:$O$22,MATCH(VLOOKUP($A22,main!$A$3:$I$56,7,FALSE),main!$K$18:$O$18,0),0))),0)</f>
        <v>255</v>
      </c>
      <c r="AO22">
        <f>IF((gamma!AO22),IF(VLOOKUP(AO$1,main!$A$3:$I$56,7,FALSE)=VLOOKUP($A22,main!$A$3:$I$56,8,FALSE),VLOOKUP(AO$1,main!$A$3:$I$56,4,FALSE),VLOOKUP(AO$1,main!$A$3:$I$56,4,FALSE)+VLOOKUP($A22,main!$A$3:$I$56,4,FALSE)+(VLOOKUP(VLOOKUP(AO$1,main!$A$3:$I$56,8,FALSE),main!$K$19:$O$22,MATCH(VLOOKUP($A22,main!$A$3:$I$56,7,FALSE),main!$K$18:$O$18,0),0))),0)</f>
        <v>265</v>
      </c>
      <c r="AP22">
        <f>IF((gamma!AP22),IF(VLOOKUP(AP$1,main!$A$3:$I$56,7,FALSE)=VLOOKUP($A22,main!$A$3:$I$56,8,FALSE),VLOOKUP(AP$1,main!$A$3:$I$56,4,FALSE),VLOOKUP(AP$1,main!$A$3:$I$56,4,FALSE)+VLOOKUP($A22,main!$A$3:$I$56,4,FALSE)+(VLOOKUP(VLOOKUP(AP$1,main!$A$3:$I$56,8,FALSE),main!$K$19:$O$22,MATCH(VLOOKUP($A22,main!$A$3:$I$56,7,FALSE),main!$K$18:$O$18,0),0))),0)</f>
        <v>0</v>
      </c>
      <c r="AQ22">
        <f>IF((gamma!AQ22),IF(VLOOKUP(AQ$1,main!$A$3:$I$56,7,FALSE)=VLOOKUP($A22,main!$A$3:$I$56,8,FALSE),VLOOKUP(AQ$1,main!$A$3:$I$56,4,FALSE),VLOOKUP(AQ$1,main!$A$3:$I$56,4,FALSE)+VLOOKUP($A22,main!$A$3:$I$56,4,FALSE)+(VLOOKUP(VLOOKUP(AQ$1,main!$A$3:$I$56,8,FALSE),main!$K$19:$O$22,MATCH(VLOOKUP($A22,main!$A$3:$I$56,7,FALSE),main!$K$18:$O$18,0),0))),0)</f>
        <v>0</v>
      </c>
      <c r="AR22">
        <f>IF((gamma!AR22),IF(VLOOKUP(AR$1,main!$A$3:$I$56,7,FALSE)=VLOOKUP($A22,main!$A$3:$I$56,8,FALSE),VLOOKUP(AR$1,main!$A$3:$I$56,4,FALSE),VLOOKUP(AR$1,main!$A$3:$I$56,4,FALSE)+VLOOKUP($A22,main!$A$3:$I$56,4,FALSE)+(VLOOKUP(VLOOKUP(AR$1,main!$A$3:$I$56,8,FALSE),main!$K$19:$O$22,MATCH(VLOOKUP($A22,main!$A$3:$I$56,7,FALSE),main!$K$18:$O$18,0),0))),0)</f>
        <v>0</v>
      </c>
      <c r="AS22">
        <f>IF((gamma!AS22),IF(VLOOKUP(AS$1,main!$A$3:$I$56,7,FALSE)=VLOOKUP($A22,main!$A$3:$I$56,8,FALSE),VLOOKUP(AS$1,main!$A$3:$I$56,4,FALSE),VLOOKUP(AS$1,main!$A$3:$I$56,4,FALSE)+VLOOKUP($A22,main!$A$3:$I$56,4,FALSE)+(VLOOKUP(VLOOKUP(AS$1,main!$A$3:$I$56,8,FALSE),main!$K$19:$O$22,MATCH(VLOOKUP($A22,main!$A$3:$I$56,7,FALSE),main!$K$18:$O$18,0),0))),0)</f>
        <v>0</v>
      </c>
      <c r="AT22">
        <f>IF((gamma!AT22),IF(VLOOKUP(AT$1,main!$A$3:$I$56,7,FALSE)=VLOOKUP($A22,main!$A$3:$I$56,8,FALSE),VLOOKUP(AT$1,main!$A$3:$I$56,4,FALSE),VLOOKUP(AT$1,main!$A$3:$I$56,4,FALSE)+VLOOKUP($A22,main!$A$3:$I$56,4,FALSE)+(VLOOKUP(VLOOKUP(AT$1,main!$A$3:$I$56,8,FALSE),main!$K$19:$O$22,MATCH(VLOOKUP($A22,main!$A$3:$I$56,7,FALSE),main!$K$18:$O$18,0),0))),0)</f>
        <v>295</v>
      </c>
      <c r="AU22">
        <f>IF((gamma!AU22),IF(VLOOKUP(AU$1,main!$A$3:$I$56,7,FALSE)=VLOOKUP($A22,main!$A$3:$I$56,8,FALSE),VLOOKUP(AU$1,main!$A$3:$I$56,4,FALSE),VLOOKUP(AU$1,main!$A$3:$I$56,4,FALSE)+VLOOKUP($A22,main!$A$3:$I$56,4,FALSE)+(VLOOKUP(VLOOKUP(AU$1,main!$A$3:$I$56,8,FALSE),main!$K$19:$O$22,MATCH(VLOOKUP($A22,main!$A$3:$I$56,7,FALSE),main!$K$18:$O$18,0),0))),0)</f>
        <v>0</v>
      </c>
      <c r="AV22">
        <f>IF((gamma!AV22),IF(VLOOKUP(AV$1,main!$A$3:$I$56,7,FALSE)=VLOOKUP($A22,main!$A$3:$I$56,8,FALSE),VLOOKUP(AV$1,main!$A$3:$I$56,4,FALSE),VLOOKUP(AV$1,main!$A$3:$I$56,4,FALSE)+VLOOKUP($A22,main!$A$3:$I$56,4,FALSE)+(VLOOKUP(VLOOKUP(AV$1,main!$A$3:$I$56,8,FALSE),main!$K$19:$O$22,MATCH(VLOOKUP($A22,main!$A$3:$I$56,7,FALSE),main!$K$18:$O$18,0),0))),0)</f>
        <v>0</v>
      </c>
      <c r="AW22">
        <f>IF((gamma!AW22),IF(VLOOKUP(AW$1,main!$A$3:$I$56,7,FALSE)=VLOOKUP($A22,main!$A$3:$I$56,8,FALSE),VLOOKUP(AW$1,main!$A$3:$I$56,4,FALSE),VLOOKUP(AW$1,main!$A$3:$I$56,4,FALSE)+VLOOKUP($A22,main!$A$3:$I$56,4,FALSE)+(VLOOKUP(VLOOKUP(AW$1,main!$A$3:$I$56,8,FALSE),main!$K$19:$O$22,MATCH(VLOOKUP($A22,main!$A$3:$I$56,7,FALSE),main!$K$18:$O$18,0),0))),0)</f>
        <v>0</v>
      </c>
      <c r="AX22">
        <f>IF((gamma!AX22),IF(VLOOKUP(AX$1,main!$A$3:$I$56,7,FALSE)=VLOOKUP($A22,main!$A$3:$I$56,8,FALSE),VLOOKUP(AX$1,main!$A$3:$I$56,4,FALSE),VLOOKUP(AX$1,main!$A$3:$I$56,4,FALSE)+VLOOKUP($A22,main!$A$3:$I$56,4,FALSE)+(VLOOKUP(VLOOKUP(AX$1,main!$A$3:$I$56,8,FALSE),main!$K$19:$O$22,MATCH(VLOOKUP($A22,main!$A$3:$I$56,7,FALSE),main!$K$18:$O$18,0),0))),0)</f>
        <v>300</v>
      </c>
      <c r="AY22">
        <f>IF((gamma!AY22),IF(VLOOKUP(AY$1,main!$A$3:$I$56,7,FALSE)=VLOOKUP($A22,main!$A$3:$I$56,8,FALSE),VLOOKUP(AY$1,main!$A$3:$I$56,4,FALSE),VLOOKUP(AY$1,main!$A$3:$I$56,4,FALSE)+VLOOKUP($A22,main!$A$3:$I$56,4,FALSE)+(VLOOKUP(VLOOKUP(AY$1,main!$A$3:$I$56,8,FALSE),main!$K$19:$O$22,MATCH(VLOOKUP($A22,main!$A$3:$I$56,7,FALSE),main!$K$18:$O$18,0),0))),0)</f>
        <v>300</v>
      </c>
      <c r="AZ22">
        <f>IF((gamma!AZ22),IF(VLOOKUP(AZ$1,main!$A$3:$I$56,7,FALSE)=VLOOKUP($A22,main!$A$3:$I$56,8,FALSE),VLOOKUP(AZ$1,main!$A$3:$I$56,4,FALSE),VLOOKUP(AZ$1,main!$A$3:$I$56,4,FALSE)+VLOOKUP($A22,main!$A$3:$I$56,4,FALSE)+(VLOOKUP(VLOOKUP(AZ$1,main!$A$3:$I$56,8,FALSE),main!$K$19:$O$22,MATCH(VLOOKUP($A22,main!$A$3:$I$56,7,FALSE),main!$K$18:$O$18,0),0))),0)</f>
        <v>0</v>
      </c>
      <c r="BA22">
        <f>IF((gamma!BA22),IF(VLOOKUP(BA$1,main!$A$3:$I$56,7,FALSE)=VLOOKUP($A22,main!$A$3:$I$56,8,FALSE),VLOOKUP(BA$1,main!$A$3:$I$56,4,FALSE),VLOOKUP(BA$1,main!$A$3:$I$56,4,FALSE)+VLOOKUP($A22,main!$A$3:$I$56,4,FALSE)+(VLOOKUP(VLOOKUP(BA$1,main!$A$3:$I$56,8,FALSE),main!$K$19:$O$22,MATCH(VLOOKUP($A22,main!$A$3:$I$56,7,FALSE),main!$K$18:$O$18,0),0))),0)</f>
        <v>0</v>
      </c>
      <c r="BB22">
        <f>IF((gamma!BB22),IF(VLOOKUP(BB$1,main!$A$3:$I$56,7,FALSE)=VLOOKUP($A22,main!$A$3:$I$56,8,FALSE),VLOOKUP(BB$1,main!$A$3:$I$56,4,FALSE),VLOOKUP(BB$1,main!$A$3:$I$56,4,FALSE)+VLOOKUP($A22,main!$A$3:$I$56,4,FALSE)+(VLOOKUP(VLOOKUP(BB$1,main!$A$3:$I$56,8,FALSE),main!$K$19:$O$22,MATCH(VLOOKUP($A22,main!$A$3:$I$56,7,FALSE),main!$K$18:$O$18,0),0))),0)</f>
        <v>0</v>
      </c>
      <c r="BC22">
        <f>IF((gamma!BC22),IF(VLOOKUP(BC$1,main!$A$3:$I$56,7,FALSE)=VLOOKUP($A22,main!$A$3:$I$56,8,FALSE),VLOOKUP(BC$1,main!$A$3:$I$56,4,FALSE),VLOOKUP(BC$1,main!$A$3:$I$56,4,FALSE)+VLOOKUP($A22,main!$A$3:$I$56,4,FALSE)+(VLOOKUP(VLOOKUP(BC$1,main!$A$3:$I$56,8,FALSE),main!$K$19:$O$22,MATCH(VLOOKUP($A22,main!$A$3:$I$56,7,FALSE),main!$K$18:$O$18,0),0))),0)</f>
        <v>298</v>
      </c>
      <c r="BD22">
        <f>IF((gamma!BD22),IF(VLOOKUP(BD$1,main!$A$3:$I$56,7,FALSE)=VLOOKUP($A22,main!$A$3:$I$56,8,FALSE),VLOOKUP(BD$1,main!$A$3:$I$56,4,FALSE),VLOOKUP(BD$1,main!$A$3:$I$56,4,FALSE)+VLOOKUP($A22,main!$A$3:$I$56,4,FALSE)+(VLOOKUP(VLOOKUP(BD$1,main!$A$3:$I$56,8,FALSE),main!$K$19:$O$22,MATCH(VLOOKUP($A22,main!$A$3:$I$56,7,FALSE),main!$K$18:$O$18,0),0))),0)</f>
        <v>298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>
        <f t="shared" si="0"/>
        <v>21</v>
      </c>
      <c r="B23">
        <v>0</v>
      </c>
      <c r="C23">
        <f>IF((gamma!C23),IF(VLOOKUP(C$1,main!$A$3:$I$56,7,FALSE)=VLOOKUP($A23,main!$A$3:$I$56,8,FALSE),VLOOKUP(C$1,main!$A$3:$I$56,4,FALSE),VLOOKUP(C$1,main!$A$3:$I$56,4,FALSE)+VLOOKUP($A23,main!$A$3:$I$56,4,FALSE)+(VLOOKUP(VLOOKUP(C$1,main!$A$3:$I$56,8,FALSE),main!$K$19:$O$22,MATCH(VLOOKUP($A23,main!$A$3:$I$56,7,FALSE),main!$K$18:$O$18,0),0))),0)</f>
        <v>0</v>
      </c>
      <c r="D23">
        <f>IF((gamma!D23),IF(VLOOKUP(D$1,main!$A$3:$I$56,7,FALSE)=VLOOKUP($A23,main!$A$3:$I$56,8,FALSE),VLOOKUP(D$1,main!$A$3:$I$56,4,FALSE),VLOOKUP(D$1,main!$A$3:$I$56,4,FALSE)+VLOOKUP($A23,main!$A$3:$I$56,4,FALSE)+(VLOOKUP(VLOOKUP(D$1,main!$A$3:$I$56,8,FALSE),main!$K$19:$O$22,MATCH(VLOOKUP($A23,main!$A$3:$I$56,7,FALSE),main!$K$18:$O$18,0),0))),0)</f>
        <v>0</v>
      </c>
      <c r="E23">
        <f>IF((gamma!E23),IF(VLOOKUP(E$1,main!$A$3:$I$56,7,FALSE)=VLOOKUP($A23,main!$A$3:$I$56,8,FALSE),VLOOKUP(E$1,main!$A$3:$I$56,4,FALSE),VLOOKUP(E$1,main!$A$3:$I$56,4,FALSE)+VLOOKUP($A23,main!$A$3:$I$56,4,FALSE)+(VLOOKUP(VLOOKUP(E$1,main!$A$3:$I$56,8,FALSE),main!$K$19:$O$22,MATCH(VLOOKUP($A23,main!$A$3:$I$56,7,FALSE),main!$K$18:$O$18,0),0))),0)</f>
        <v>0</v>
      </c>
      <c r="F23">
        <f>IF((gamma!F23),IF(VLOOKUP(F$1,main!$A$3:$I$56,7,FALSE)=VLOOKUP($A23,main!$A$3:$I$56,8,FALSE),VLOOKUP(F$1,main!$A$3:$I$56,4,FALSE),VLOOKUP(F$1,main!$A$3:$I$56,4,FALSE)+VLOOKUP($A23,main!$A$3:$I$56,4,FALSE)+(VLOOKUP(VLOOKUP(F$1,main!$A$3:$I$56,8,FALSE),main!$K$19:$O$22,MATCH(VLOOKUP($A23,main!$A$3:$I$56,7,FALSE),main!$K$18:$O$18,0),0))),0)</f>
        <v>135</v>
      </c>
      <c r="G23">
        <f>IF((gamma!G23),IF(VLOOKUP(G$1,main!$A$3:$I$56,7,FALSE)=VLOOKUP($A23,main!$A$3:$I$56,8,FALSE),VLOOKUP(G$1,main!$A$3:$I$56,4,FALSE),VLOOKUP(G$1,main!$A$3:$I$56,4,FALSE)+VLOOKUP($A23,main!$A$3:$I$56,4,FALSE)+(VLOOKUP(VLOOKUP(G$1,main!$A$3:$I$56,8,FALSE),main!$K$19:$O$22,MATCH(VLOOKUP($A23,main!$A$3:$I$56,7,FALSE),main!$K$18:$O$18,0),0))),0)</f>
        <v>135</v>
      </c>
      <c r="H23">
        <f>IF((gamma!H23),IF(VLOOKUP(H$1,main!$A$3:$I$56,7,FALSE)=VLOOKUP($A23,main!$A$3:$I$56,8,FALSE),VLOOKUP(H$1,main!$A$3:$I$56,4,FALSE),VLOOKUP(H$1,main!$A$3:$I$56,4,FALSE)+VLOOKUP($A23,main!$A$3:$I$56,4,FALSE)+(VLOOKUP(VLOOKUP(H$1,main!$A$3:$I$56,8,FALSE),main!$K$19:$O$22,MATCH(VLOOKUP($A23,main!$A$3:$I$56,7,FALSE),main!$K$18:$O$18,0),0))),0)</f>
        <v>135</v>
      </c>
      <c r="I23">
        <f>IF((gamma!I23),IF(VLOOKUP(I$1,main!$A$3:$I$56,7,FALSE)=VLOOKUP($A23,main!$A$3:$I$56,8,FALSE),VLOOKUP(I$1,main!$A$3:$I$56,4,FALSE),VLOOKUP(I$1,main!$A$3:$I$56,4,FALSE)+VLOOKUP($A23,main!$A$3:$I$56,4,FALSE)+(VLOOKUP(VLOOKUP(I$1,main!$A$3:$I$56,8,FALSE),main!$K$19:$O$22,MATCH(VLOOKUP($A23,main!$A$3:$I$56,7,FALSE),main!$K$18:$O$18,0),0))),0)</f>
        <v>135</v>
      </c>
      <c r="J23">
        <f>IF((gamma!J23),IF(VLOOKUP(J$1,main!$A$3:$I$56,7,FALSE)=VLOOKUP($A23,main!$A$3:$I$56,8,FALSE),VLOOKUP(J$1,main!$A$3:$I$56,4,FALSE),VLOOKUP(J$1,main!$A$3:$I$56,4,FALSE)+VLOOKUP($A23,main!$A$3:$I$56,4,FALSE)+(VLOOKUP(VLOOKUP(J$1,main!$A$3:$I$56,8,FALSE),main!$K$19:$O$22,MATCH(VLOOKUP($A23,main!$A$3:$I$56,7,FALSE),main!$K$18:$O$18,0),0))),0)</f>
        <v>135</v>
      </c>
      <c r="K23">
        <f>IF((gamma!K23),IF(VLOOKUP(K$1,main!$A$3:$I$56,7,FALSE)=VLOOKUP($A23,main!$A$3:$I$56,8,FALSE),VLOOKUP(K$1,main!$A$3:$I$56,4,FALSE),VLOOKUP(K$1,main!$A$3:$I$56,4,FALSE)+VLOOKUP($A23,main!$A$3:$I$56,4,FALSE)+(VLOOKUP(VLOOKUP(K$1,main!$A$3:$I$56,8,FALSE),main!$K$19:$O$22,MATCH(VLOOKUP($A23,main!$A$3:$I$56,7,FALSE),main!$K$18:$O$18,0),0))),0)</f>
        <v>0</v>
      </c>
      <c r="L23">
        <f>IF((gamma!L23),IF(VLOOKUP(L$1,main!$A$3:$I$56,7,FALSE)=VLOOKUP($A23,main!$A$3:$I$56,8,FALSE),VLOOKUP(L$1,main!$A$3:$I$56,4,FALSE),VLOOKUP(L$1,main!$A$3:$I$56,4,FALSE)+VLOOKUP($A23,main!$A$3:$I$56,4,FALSE)+(VLOOKUP(VLOOKUP(L$1,main!$A$3:$I$56,8,FALSE),main!$K$19:$O$22,MATCH(VLOOKUP($A23,main!$A$3:$I$56,7,FALSE),main!$K$18:$O$18,0),0))),0)</f>
        <v>0</v>
      </c>
      <c r="M23">
        <f>IF((gamma!M23),IF(VLOOKUP(M$1,main!$A$3:$I$56,7,FALSE)=VLOOKUP($A23,main!$A$3:$I$56,8,FALSE),VLOOKUP(M$1,main!$A$3:$I$56,4,FALSE),VLOOKUP(M$1,main!$A$3:$I$56,4,FALSE)+VLOOKUP($A23,main!$A$3:$I$56,4,FALSE)+(VLOOKUP(VLOOKUP(M$1,main!$A$3:$I$56,8,FALSE),main!$K$19:$O$22,MATCH(VLOOKUP($A23,main!$A$3:$I$56,7,FALSE),main!$K$18:$O$18,0),0))),0)</f>
        <v>0</v>
      </c>
      <c r="N23">
        <f>IF((gamma!N23),IF(VLOOKUP(N$1,main!$A$3:$I$56,7,FALSE)=VLOOKUP($A23,main!$A$3:$I$56,8,FALSE),VLOOKUP(N$1,main!$A$3:$I$56,4,FALSE),VLOOKUP(N$1,main!$A$3:$I$56,4,FALSE)+VLOOKUP($A23,main!$A$3:$I$56,4,FALSE)+(VLOOKUP(VLOOKUP(N$1,main!$A$3:$I$56,8,FALSE),main!$K$19:$O$22,MATCH(VLOOKUP($A23,main!$A$3:$I$56,7,FALSE),main!$K$18:$O$18,0),0))),0)</f>
        <v>140</v>
      </c>
      <c r="O23">
        <f>IF((gamma!O23),IF(VLOOKUP(O$1,main!$A$3:$I$56,7,FALSE)=VLOOKUP($A23,main!$A$3:$I$56,8,FALSE),VLOOKUP(O$1,main!$A$3:$I$56,4,FALSE),VLOOKUP(O$1,main!$A$3:$I$56,4,FALSE)+VLOOKUP($A23,main!$A$3:$I$56,4,FALSE)+(VLOOKUP(VLOOKUP(O$1,main!$A$3:$I$56,8,FALSE),main!$K$19:$O$22,MATCH(VLOOKUP($A23,main!$A$3:$I$56,7,FALSE),main!$K$18:$O$18,0),0))),0)</f>
        <v>140</v>
      </c>
      <c r="P23">
        <f>IF((gamma!P23),IF(VLOOKUP(P$1,main!$A$3:$I$56,7,FALSE)=VLOOKUP($A23,main!$A$3:$I$56,8,FALSE),VLOOKUP(P$1,main!$A$3:$I$56,4,FALSE),VLOOKUP(P$1,main!$A$3:$I$56,4,FALSE)+VLOOKUP($A23,main!$A$3:$I$56,4,FALSE)+(VLOOKUP(VLOOKUP(P$1,main!$A$3:$I$56,8,FALSE),main!$K$19:$O$22,MATCH(VLOOKUP($A23,main!$A$3:$I$56,7,FALSE),main!$K$18:$O$18,0),0))),0)</f>
        <v>0</v>
      </c>
      <c r="Q23">
        <f>IF((gamma!Q23),IF(VLOOKUP(Q$1,main!$A$3:$I$56,7,FALSE)=VLOOKUP($A23,main!$A$3:$I$56,8,FALSE),VLOOKUP(Q$1,main!$A$3:$I$56,4,FALSE),VLOOKUP(Q$1,main!$A$3:$I$56,4,FALSE)+VLOOKUP($A23,main!$A$3:$I$56,4,FALSE)+(VLOOKUP(VLOOKUP(Q$1,main!$A$3:$I$56,8,FALSE),main!$K$19:$O$22,MATCH(VLOOKUP($A23,main!$A$3:$I$56,7,FALSE),main!$K$18:$O$18,0),0))),0)</f>
        <v>0</v>
      </c>
      <c r="R23">
        <f>IF((gamma!R23),IF(VLOOKUP(R$1,main!$A$3:$I$56,7,FALSE)=VLOOKUP($A23,main!$A$3:$I$56,8,FALSE),VLOOKUP(R$1,main!$A$3:$I$56,4,FALSE),VLOOKUP(R$1,main!$A$3:$I$56,4,FALSE)+VLOOKUP($A23,main!$A$3:$I$56,4,FALSE)+(VLOOKUP(VLOOKUP(R$1,main!$A$3:$I$56,8,FALSE),main!$K$19:$O$22,MATCH(VLOOKUP($A23,main!$A$3:$I$56,7,FALSE),main!$K$18:$O$18,0),0))),0)</f>
        <v>0</v>
      </c>
      <c r="S23">
        <f>IF((gamma!S23),IF(VLOOKUP(S$1,main!$A$3:$I$56,7,FALSE)=VLOOKUP($A23,main!$A$3:$I$56,8,FALSE),VLOOKUP(S$1,main!$A$3:$I$56,4,FALSE),VLOOKUP(S$1,main!$A$3:$I$56,4,FALSE)+VLOOKUP($A23,main!$A$3:$I$56,4,FALSE)+(VLOOKUP(VLOOKUP(S$1,main!$A$3:$I$56,8,FALSE),main!$K$19:$O$22,MATCH(VLOOKUP($A23,main!$A$3:$I$56,7,FALSE),main!$K$18:$O$18,0),0))),0)</f>
        <v>140</v>
      </c>
      <c r="T23">
        <f>IF((gamma!T23),IF(VLOOKUP(T$1,main!$A$3:$I$56,7,FALSE)=VLOOKUP($A23,main!$A$3:$I$56,8,FALSE),VLOOKUP(T$1,main!$A$3:$I$56,4,FALSE),VLOOKUP(T$1,main!$A$3:$I$56,4,FALSE)+VLOOKUP($A23,main!$A$3:$I$56,4,FALSE)+(VLOOKUP(VLOOKUP(T$1,main!$A$3:$I$56,8,FALSE),main!$K$19:$O$22,MATCH(VLOOKUP($A23,main!$A$3:$I$56,7,FALSE),main!$K$18:$O$18,0),0))),0)</f>
        <v>140</v>
      </c>
      <c r="U23">
        <f>IF((gamma!U23),IF(VLOOKUP(U$1,main!$A$3:$I$56,7,FALSE)=VLOOKUP($A23,main!$A$3:$I$56,8,FALSE),VLOOKUP(U$1,main!$A$3:$I$56,4,FALSE),VLOOKUP(U$1,main!$A$3:$I$56,4,FALSE)+VLOOKUP($A23,main!$A$3:$I$56,4,FALSE)+(VLOOKUP(VLOOKUP(U$1,main!$A$3:$I$56,8,FALSE),main!$K$19:$O$22,MATCH(VLOOKUP($A23,main!$A$3:$I$56,7,FALSE),main!$K$18:$O$18,0),0))),0)</f>
        <v>0</v>
      </c>
      <c r="V23">
        <f>IF((gamma!V23),IF(VLOOKUP(V$1,main!$A$3:$I$56,7,FALSE)=VLOOKUP($A23,main!$A$3:$I$56,8,FALSE),VLOOKUP(V$1,main!$A$3:$I$56,4,FALSE),VLOOKUP(V$1,main!$A$3:$I$56,4,FALSE)+VLOOKUP($A23,main!$A$3:$I$56,4,FALSE)+(VLOOKUP(VLOOKUP(V$1,main!$A$3:$I$56,8,FALSE),main!$K$19:$O$22,MATCH(VLOOKUP($A23,main!$A$3:$I$56,7,FALSE),main!$K$18:$O$18,0),0))),0)</f>
        <v>0</v>
      </c>
      <c r="W23">
        <f>IF((gamma!W23),IF(VLOOKUP(W$1,main!$A$3:$I$56,7,FALSE)=VLOOKUP($A23,main!$A$3:$I$56,8,FALSE),VLOOKUP(W$1,main!$A$3:$I$56,4,FALSE),VLOOKUP(W$1,main!$A$3:$I$56,4,FALSE)+VLOOKUP($A23,main!$A$3:$I$56,4,FALSE)+(VLOOKUP(VLOOKUP(W$1,main!$A$3:$I$56,8,FALSE),main!$K$19:$O$22,MATCH(VLOOKUP($A23,main!$A$3:$I$56,7,FALSE),main!$K$18:$O$18,0),0))),0)</f>
        <v>0</v>
      </c>
      <c r="X23">
        <f>IF((gamma!X23),IF(VLOOKUP(X$1,main!$A$3:$I$56,7,FALSE)=VLOOKUP($A23,main!$A$3:$I$56,8,FALSE),VLOOKUP(X$1,main!$A$3:$I$56,4,FALSE),VLOOKUP(X$1,main!$A$3:$I$56,4,FALSE)+VLOOKUP($A23,main!$A$3:$I$56,4,FALSE)+(VLOOKUP(VLOOKUP(X$1,main!$A$3:$I$56,8,FALSE),main!$K$19:$O$22,MATCH(VLOOKUP($A23,main!$A$3:$I$56,7,FALSE),main!$K$18:$O$18,0),0))),0)</f>
        <v>0</v>
      </c>
      <c r="Y23">
        <f>IF((gamma!Y23),IF(VLOOKUP(Y$1,main!$A$3:$I$56,7,FALSE)=VLOOKUP($A23,main!$A$3:$I$56,8,FALSE),VLOOKUP(Y$1,main!$A$3:$I$56,4,FALSE),VLOOKUP(Y$1,main!$A$3:$I$56,4,FALSE)+VLOOKUP($A23,main!$A$3:$I$56,4,FALSE)+(VLOOKUP(VLOOKUP(Y$1,main!$A$3:$I$56,8,FALSE),main!$K$19:$O$22,MATCH(VLOOKUP($A23,main!$A$3:$I$56,7,FALSE),main!$K$18:$O$18,0),0))),0)</f>
        <v>295</v>
      </c>
      <c r="Z23">
        <f>IF((gamma!Z23),IF(VLOOKUP(Z$1,main!$A$3:$I$56,7,FALSE)=VLOOKUP($A23,main!$A$3:$I$56,8,FALSE),VLOOKUP(Z$1,main!$A$3:$I$56,4,FALSE),VLOOKUP(Z$1,main!$A$3:$I$56,4,FALSE)+VLOOKUP($A23,main!$A$3:$I$56,4,FALSE)+(VLOOKUP(VLOOKUP(Z$1,main!$A$3:$I$56,8,FALSE),main!$K$19:$O$22,MATCH(VLOOKUP($A23,main!$A$3:$I$56,7,FALSE),main!$K$18:$O$18,0),0))),0)</f>
        <v>295</v>
      </c>
      <c r="AA23">
        <f>IF((gamma!AA23),IF(VLOOKUP(AA$1,main!$A$3:$I$56,7,FALSE)=VLOOKUP($A23,main!$A$3:$I$56,8,FALSE),VLOOKUP(AA$1,main!$A$3:$I$56,4,FALSE),VLOOKUP(AA$1,main!$A$3:$I$56,4,FALSE)+VLOOKUP($A23,main!$A$3:$I$56,4,FALSE)+(VLOOKUP(VLOOKUP(AA$1,main!$A$3:$I$56,8,FALSE),main!$K$19:$O$22,MATCH(VLOOKUP($A23,main!$A$3:$I$56,7,FALSE),main!$K$18:$O$18,0),0))),0)</f>
        <v>295</v>
      </c>
      <c r="AB23">
        <f>IF((gamma!AB23),IF(VLOOKUP(AB$1,main!$A$3:$I$56,7,FALSE)=VLOOKUP($A23,main!$A$3:$I$56,8,FALSE),VLOOKUP(AB$1,main!$A$3:$I$56,4,FALSE),VLOOKUP(AB$1,main!$A$3:$I$56,4,FALSE)+VLOOKUP($A23,main!$A$3:$I$56,4,FALSE)+(VLOOKUP(VLOOKUP(AB$1,main!$A$3:$I$56,8,FALSE),main!$K$19:$O$22,MATCH(VLOOKUP($A23,main!$A$3:$I$56,7,FALSE),main!$K$18:$O$18,0),0))),0)</f>
        <v>295</v>
      </c>
      <c r="AC23">
        <f>IF((gamma!AC23),IF(VLOOKUP(AC$1,main!$A$3:$I$56,7,FALSE)=VLOOKUP($A23,main!$A$3:$I$56,8,FALSE),VLOOKUP(AC$1,main!$A$3:$I$56,4,FALSE),VLOOKUP(AC$1,main!$A$3:$I$56,4,FALSE)+VLOOKUP($A23,main!$A$3:$I$56,4,FALSE)+(VLOOKUP(VLOOKUP(AC$1,main!$A$3:$I$56,8,FALSE),main!$K$19:$O$22,MATCH(VLOOKUP($A23,main!$A$3:$I$56,7,FALSE),main!$K$18:$O$18,0),0))),0)</f>
        <v>0</v>
      </c>
      <c r="AD23">
        <f>IF((gamma!AD23),IF(VLOOKUP(AD$1,main!$A$3:$I$56,7,FALSE)=VLOOKUP($A23,main!$A$3:$I$56,8,FALSE),VLOOKUP(AD$1,main!$A$3:$I$56,4,FALSE),VLOOKUP(AD$1,main!$A$3:$I$56,4,FALSE)+VLOOKUP($A23,main!$A$3:$I$56,4,FALSE)+(VLOOKUP(VLOOKUP(AD$1,main!$A$3:$I$56,8,FALSE),main!$K$19:$O$22,MATCH(VLOOKUP($A23,main!$A$3:$I$56,7,FALSE),main!$K$18:$O$18,0),0))),0)</f>
        <v>0</v>
      </c>
      <c r="AE23">
        <f>IF((gamma!AE23),IF(VLOOKUP(AE$1,main!$A$3:$I$56,7,FALSE)=VLOOKUP($A23,main!$A$3:$I$56,8,FALSE),VLOOKUP(AE$1,main!$A$3:$I$56,4,FALSE),VLOOKUP(AE$1,main!$A$3:$I$56,4,FALSE)+VLOOKUP($A23,main!$A$3:$I$56,4,FALSE)+(VLOOKUP(VLOOKUP(AE$1,main!$A$3:$I$56,8,FALSE),main!$K$19:$O$22,MATCH(VLOOKUP($A23,main!$A$3:$I$56,7,FALSE),main!$K$18:$O$18,0),0))),0)</f>
        <v>0</v>
      </c>
      <c r="AF23">
        <f>IF((gamma!AF23),IF(VLOOKUP(AF$1,main!$A$3:$I$56,7,FALSE)=VLOOKUP($A23,main!$A$3:$I$56,8,FALSE),VLOOKUP(AF$1,main!$A$3:$I$56,4,FALSE),VLOOKUP(AF$1,main!$A$3:$I$56,4,FALSE)+VLOOKUP($A23,main!$A$3:$I$56,4,FALSE)+(VLOOKUP(VLOOKUP(AF$1,main!$A$3:$I$56,8,FALSE),main!$K$19:$O$22,MATCH(VLOOKUP($A23,main!$A$3:$I$56,7,FALSE),main!$K$18:$O$18,0),0))),0)</f>
        <v>293</v>
      </c>
      <c r="AG23">
        <f>IF((gamma!AG23),IF(VLOOKUP(AG$1,main!$A$3:$I$56,7,FALSE)=VLOOKUP($A23,main!$A$3:$I$56,8,FALSE),VLOOKUP(AG$1,main!$A$3:$I$56,4,FALSE),VLOOKUP(AG$1,main!$A$3:$I$56,4,FALSE)+VLOOKUP($A23,main!$A$3:$I$56,4,FALSE)+(VLOOKUP(VLOOKUP(AG$1,main!$A$3:$I$56,8,FALSE),main!$K$19:$O$22,MATCH(VLOOKUP($A23,main!$A$3:$I$56,7,FALSE),main!$K$18:$O$18,0),0))),0)</f>
        <v>0</v>
      </c>
      <c r="AH23">
        <f>IF((gamma!AH23),IF(VLOOKUP(AH$1,main!$A$3:$I$56,7,FALSE)=VLOOKUP($A23,main!$A$3:$I$56,8,FALSE),VLOOKUP(AH$1,main!$A$3:$I$56,4,FALSE),VLOOKUP(AH$1,main!$A$3:$I$56,4,FALSE)+VLOOKUP($A23,main!$A$3:$I$56,4,FALSE)+(VLOOKUP(VLOOKUP(AH$1,main!$A$3:$I$56,8,FALSE),main!$K$19:$O$22,MATCH(VLOOKUP($A23,main!$A$3:$I$56,7,FALSE),main!$K$18:$O$18,0),0))),0)</f>
        <v>0</v>
      </c>
      <c r="AI23">
        <f>IF((gamma!AI23),IF(VLOOKUP(AI$1,main!$A$3:$I$56,7,FALSE)=VLOOKUP($A23,main!$A$3:$I$56,8,FALSE),VLOOKUP(AI$1,main!$A$3:$I$56,4,FALSE),VLOOKUP(AI$1,main!$A$3:$I$56,4,FALSE)+VLOOKUP($A23,main!$A$3:$I$56,4,FALSE)+(VLOOKUP(VLOOKUP(AI$1,main!$A$3:$I$56,8,FALSE),main!$K$19:$O$22,MATCH(VLOOKUP($A23,main!$A$3:$I$56,7,FALSE),main!$K$18:$O$18,0),0))),0)</f>
        <v>0</v>
      </c>
      <c r="AJ23">
        <f>IF((gamma!AJ23),IF(VLOOKUP(AJ$1,main!$A$3:$I$56,7,FALSE)=VLOOKUP($A23,main!$A$3:$I$56,8,FALSE),VLOOKUP(AJ$1,main!$A$3:$I$56,4,FALSE),VLOOKUP(AJ$1,main!$A$3:$I$56,4,FALSE)+VLOOKUP($A23,main!$A$3:$I$56,4,FALSE)+(VLOOKUP(VLOOKUP(AJ$1,main!$A$3:$I$56,8,FALSE),main!$K$19:$O$22,MATCH(VLOOKUP($A23,main!$A$3:$I$56,7,FALSE),main!$K$18:$O$18,0),0))),0)</f>
        <v>300</v>
      </c>
      <c r="AK23">
        <f>IF((gamma!AK23),IF(VLOOKUP(AK$1,main!$A$3:$I$56,7,FALSE)=VLOOKUP($A23,main!$A$3:$I$56,8,FALSE),VLOOKUP(AK$1,main!$A$3:$I$56,4,FALSE),VLOOKUP(AK$1,main!$A$3:$I$56,4,FALSE)+VLOOKUP($A23,main!$A$3:$I$56,4,FALSE)+(VLOOKUP(VLOOKUP(AK$1,main!$A$3:$I$56,8,FALSE),main!$K$19:$O$22,MATCH(VLOOKUP($A23,main!$A$3:$I$56,7,FALSE),main!$K$18:$O$18,0),0))),0)</f>
        <v>300</v>
      </c>
      <c r="AL23">
        <f>IF((gamma!AL23),IF(VLOOKUP(AL$1,main!$A$3:$I$56,7,FALSE)=VLOOKUP($A23,main!$A$3:$I$56,8,FALSE),VLOOKUP(AL$1,main!$A$3:$I$56,4,FALSE),VLOOKUP(AL$1,main!$A$3:$I$56,4,FALSE)+VLOOKUP($A23,main!$A$3:$I$56,4,FALSE)+(VLOOKUP(VLOOKUP(AL$1,main!$A$3:$I$56,8,FALSE),main!$K$19:$O$22,MATCH(VLOOKUP($A23,main!$A$3:$I$56,7,FALSE),main!$K$18:$O$18,0),0))),0)</f>
        <v>0</v>
      </c>
      <c r="AM23">
        <f>IF((gamma!AM23),IF(VLOOKUP(AM$1,main!$A$3:$I$56,7,FALSE)=VLOOKUP($A23,main!$A$3:$I$56,8,FALSE),VLOOKUP(AM$1,main!$A$3:$I$56,4,FALSE),VLOOKUP(AM$1,main!$A$3:$I$56,4,FALSE)+VLOOKUP($A23,main!$A$3:$I$56,4,FALSE)+(VLOOKUP(VLOOKUP(AM$1,main!$A$3:$I$56,8,FALSE),main!$K$19:$O$22,MATCH(VLOOKUP($A23,main!$A$3:$I$56,7,FALSE),main!$K$18:$O$18,0),0))),0)</f>
        <v>0</v>
      </c>
      <c r="AN23">
        <f>IF((gamma!AN23),IF(VLOOKUP(AN$1,main!$A$3:$I$56,7,FALSE)=VLOOKUP($A23,main!$A$3:$I$56,8,FALSE),VLOOKUP(AN$1,main!$A$3:$I$56,4,FALSE),VLOOKUP(AN$1,main!$A$3:$I$56,4,FALSE)+VLOOKUP($A23,main!$A$3:$I$56,4,FALSE)+(VLOOKUP(VLOOKUP(AN$1,main!$A$3:$I$56,8,FALSE),main!$K$19:$O$22,MATCH(VLOOKUP($A23,main!$A$3:$I$56,7,FALSE),main!$K$18:$O$18,0),0))),0)</f>
        <v>255</v>
      </c>
      <c r="AO23">
        <f>IF((gamma!AO23),IF(VLOOKUP(AO$1,main!$A$3:$I$56,7,FALSE)=VLOOKUP($A23,main!$A$3:$I$56,8,FALSE),VLOOKUP(AO$1,main!$A$3:$I$56,4,FALSE),VLOOKUP(AO$1,main!$A$3:$I$56,4,FALSE)+VLOOKUP($A23,main!$A$3:$I$56,4,FALSE)+(VLOOKUP(VLOOKUP(AO$1,main!$A$3:$I$56,8,FALSE),main!$K$19:$O$22,MATCH(VLOOKUP($A23,main!$A$3:$I$56,7,FALSE),main!$K$18:$O$18,0),0))),0)</f>
        <v>265</v>
      </c>
      <c r="AP23">
        <f>IF((gamma!AP23),IF(VLOOKUP(AP$1,main!$A$3:$I$56,7,FALSE)=VLOOKUP($A23,main!$A$3:$I$56,8,FALSE),VLOOKUP(AP$1,main!$A$3:$I$56,4,FALSE),VLOOKUP(AP$1,main!$A$3:$I$56,4,FALSE)+VLOOKUP($A23,main!$A$3:$I$56,4,FALSE)+(VLOOKUP(VLOOKUP(AP$1,main!$A$3:$I$56,8,FALSE),main!$K$19:$O$22,MATCH(VLOOKUP($A23,main!$A$3:$I$56,7,FALSE),main!$K$18:$O$18,0),0))),0)</f>
        <v>0</v>
      </c>
      <c r="AQ23">
        <f>IF((gamma!AQ23),IF(VLOOKUP(AQ$1,main!$A$3:$I$56,7,FALSE)=VLOOKUP($A23,main!$A$3:$I$56,8,FALSE),VLOOKUP(AQ$1,main!$A$3:$I$56,4,FALSE),VLOOKUP(AQ$1,main!$A$3:$I$56,4,FALSE)+VLOOKUP($A23,main!$A$3:$I$56,4,FALSE)+(VLOOKUP(VLOOKUP(AQ$1,main!$A$3:$I$56,8,FALSE),main!$K$19:$O$22,MATCH(VLOOKUP($A23,main!$A$3:$I$56,7,FALSE),main!$K$18:$O$18,0),0))),0)</f>
        <v>0</v>
      </c>
      <c r="AR23">
        <f>IF((gamma!AR23),IF(VLOOKUP(AR$1,main!$A$3:$I$56,7,FALSE)=VLOOKUP($A23,main!$A$3:$I$56,8,FALSE),VLOOKUP(AR$1,main!$A$3:$I$56,4,FALSE),VLOOKUP(AR$1,main!$A$3:$I$56,4,FALSE)+VLOOKUP($A23,main!$A$3:$I$56,4,FALSE)+(VLOOKUP(VLOOKUP(AR$1,main!$A$3:$I$56,8,FALSE),main!$K$19:$O$22,MATCH(VLOOKUP($A23,main!$A$3:$I$56,7,FALSE),main!$K$18:$O$18,0),0))),0)</f>
        <v>0</v>
      </c>
      <c r="AS23">
        <f>IF((gamma!AS23),IF(VLOOKUP(AS$1,main!$A$3:$I$56,7,FALSE)=VLOOKUP($A23,main!$A$3:$I$56,8,FALSE),VLOOKUP(AS$1,main!$A$3:$I$56,4,FALSE),VLOOKUP(AS$1,main!$A$3:$I$56,4,FALSE)+VLOOKUP($A23,main!$A$3:$I$56,4,FALSE)+(VLOOKUP(VLOOKUP(AS$1,main!$A$3:$I$56,8,FALSE),main!$K$19:$O$22,MATCH(VLOOKUP($A23,main!$A$3:$I$56,7,FALSE),main!$K$18:$O$18,0),0))),0)</f>
        <v>0</v>
      </c>
      <c r="AT23">
        <f>IF((gamma!AT23),IF(VLOOKUP(AT$1,main!$A$3:$I$56,7,FALSE)=VLOOKUP($A23,main!$A$3:$I$56,8,FALSE),VLOOKUP(AT$1,main!$A$3:$I$56,4,FALSE),VLOOKUP(AT$1,main!$A$3:$I$56,4,FALSE)+VLOOKUP($A23,main!$A$3:$I$56,4,FALSE)+(VLOOKUP(VLOOKUP(AT$1,main!$A$3:$I$56,8,FALSE),main!$K$19:$O$22,MATCH(VLOOKUP($A23,main!$A$3:$I$56,7,FALSE),main!$K$18:$O$18,0),0))),0)</f>
        <v>0</v>
      </c>
      <c r="AU23">
        <f>IF((gamma!AU23),IF(VLOOKUP(AU$1,main!$A$3:$I$56,7,FALSE)=VLOOKUP($A23,main!$A$3:$I$56,8,FALSE),VLOOKUP(AU$1,main!$A$3:$I$56,4,FALSE),VLOOKUP(AU$1,main!$A$3:$I$56,4,FALSE)+VLOOKUP($A23,main!$A$3:$I$56,4,FALSE)+(VLOOKUP(VLOOKUP(AU$1,main!$A$3:$I$56,8,FALSE),main!$K$19:$O$22,MATCH(VLOOKUP($A23,main!$A$3:$I$56,7,FALSE),main!$K$18:$O$18,0),0))),0)</f>
        <v>0</v>
      </c>
      <c r="AV23">
        <f>IF((gamma!AV23),IF(VLOOKUP(AV$1,main!$A$3:$I$56,7,FALSE)=VLOOKUP($A23,main!$A$3:$I$56,8,FALSE),VLOOKUP(AV$1,main!$A$3:$I$56,4,FALSE),VLOOKUP(AV$1,main!$A$3:$I$56,4,FALSE)+VLOOKUP($A23,main!$A$3:$I$56,4,FALSE)+(VLOOKUP(VLOOKUP(AV$1,main!$A$3:$I$56,8,FALSE),main!$K$19:$O$22,MATCH(VLOOKUP($A23,main!$A$3:$I$56,7,FALSE),main!$K$18:$O$18,0),0))),0)</f>
        <v>0</v>
      </c>
      <c r="AW23">
        <f>IF((gamma!AW23),IF(VLOOKUP(AW$1,main!$A$3:$I$56,7,FALSE)=VLOOKUP($A23,main!$A$3:$I$56,8,FALSE),VLOOKUP(AW$1,main!$A$3:$I$56,4,FALSE),VLOOKUP(AW$1,main!$A$3:$I$56,4,FALSE)+VLOOKUP($A23,main!$A$3:$I$56,4,FALSE)+(VLOOKUP(VLOOKUP(AW$1,main!$A$3:$I$56,8,FALSE),main!$K$19:$O$22,MATCH(VLOOKUP($A23,main!$A$3:$I$56,7,FALSE),main!$K$18:$O$18,0),0))),0)</f>
        <v>0</v>
      </c>
      <c r="AX23">
        <f>IF((gamma!AX23),IF(VLOOKUP(AX$1,main!$A$3:$I$56,7,FALSE)=VLOOKUP($A23,main!$A$3:$I$56,8,FALSE),VLOOKUP(AX$1,main!$A$3:$I$56,4,FALSE),VLOOKUP(AX$1,main!$A$3:$I$56,4,FALSE)+VLOOKUP($A23,main!$A$3:$I$56,4,FALSE)+(VLOOKUP(VLOOKUP(AX$1,main!$A$3:$I$56,8,FALSE),main!$K$19:$O$22,MATCH(VLOOKUP($A23,main!$A$3:$I$56,7,FALSE),main!$K$18:$O$18,0),0))),0)</f>
        <v>300</v>
      </c>
      <c r="AY23">
        <f>IF((gamma!AY23),IF(VLOOKUP(AY$1,main!$A$3:$I$56,7,FALSE)=VLOOKUP($A23,main!$A$3:$I$56,8,FALSE),VLOOKUP(AY$1,main!$A$3:$I$56,4,FALSE),VLOOKUP(AY$1,main!$A$3:$I$56,4,FALSE)+VLOOKUP($A23,main!$A$3:$I$56,4,FALSE)+(VLOOKUP(VLOOKUP(AY$1,main!$A$3:$I$56,8,FALSE),main!$K$19:$O$22,MATCH(VLOOKUP($A23,main!$A$3:$I$56,7,FALSE),main!$K$18:$O$18,0),0))),0)</f>
        <v>300</v>
      </c>
      <c r="AZ23">
        <f>IF((gamma!AZ23),IF(VLOOKUP(AZ$1,main!$A$3:$I$56,7,FALSE)=VLOOKUP($A23,main!$A$3:$I$56,8,FALSE),VLOOKUP(AZ$1,main!$A$3:$I$56,4,FALSE),VLOOKUP(AZ$1,main!$A$3:$I$56,4,FALSE)+VLOOKUP($A23,main!$A$3:$I$56,4,FALSE)+(VLOOKUP(VLOOKUP(AZ$1,main!$A$3:$I$56,8,FALSE),main!$K$19:$O$22,MATCH(VLOOKUP($A23,main!$A$3:$I$56,7,FALSE),main!$K$18:$O$18,0),0))),0)</f>
        <v>0</v>
      </c>
      <c r="BA23">
        <f>IF((gamma!BA23),IF(VLOOKUP(BA$1,main!$A$3:$I$56,7,FALSE)=VLOOKUP($A23,main!$A$3:$I$56,8,FALSE),VLOOKUP(BA$1,main!$A$3:$I$56,4,FALSE),VLOOKUP(BA$1,main!$A$3:$I$56,4,FALSE)+VLOOKUP($A23,main!$A$3:$I$56,4,FALSE)+(VLOOKUP(VLOOKUP(BA$1,main!$A$3:$I$56,8,FALSE),main!$K$19:$O$22,MATCH(VLOOKUP($A23,main!$A$3:$I$56,7,FALSE),main!$K$18:$O$18,0),0))),0)</f>
        <v>0</v>
      </c>
      <c r="BB23">
        <f>IF((gamma!BB23),IF(VLOOKUP(BB$1,main!$A$3:$I$56,7,FALSE)=VLOOKUP($A23,main!$A$3:$I$56,8,FALSE),VLOOKUP(BB$1,main!$A$3:$I$56,4,FALSE),VLOOKUP(BB$1,main!$A$3:$I$56,4,FALSE)+VLOOKUP($A23,main!$A$3:$I$56,4,FALSE)+(VLOOKUP(VLOOKUP(BB$1,main!$A$3:$I$56,8,FALSE),main!$K$19:$O$22,MATCH(VLOOKUP($A23,main!$A$3:$I$56,7,FALSE),main!$K$18:$O$18,0),0))),0)</f>
        <v>0</v>
      </c>
      <c r="BC23">
        <f>IF((gamma!BC23),IF(VLOOKUP(BC$1,main!$A$3:$I$56,7,FALSE)=VLOOKUP($A23,main!$A$3:$I$56,8,FALSE),VLOOKUP(BC$1,main!$A$3:$I$56,4,FALSE),VLOOKUP(BC$1,main!$A$3:$I$56,4,FALSE)+VLOOKUP($A23,main!$A$3:$I$56,4,FALSE)+(VLOOKUP(VLOOKUP(BC$1,main!$A$3:$I$56,8,FALSE),main!$K$19:$O$22,MATCH(VLOOKUP($A23,main!$A$3:$I$56,7,FALSE),main!$K$18:$O$18,0),0))),0)</f>
        <v>298</v>
      </c>
      <c r="BD23">
        <f>IF((gamma!BD23),IF(VLOOKUP(BD$1,main!$A$3:$I$56,7,FALSE)=VLOOKUP($A23,main!$A$3:$I$56,8,FALSE),VLOOKUP(BD$1,main!$A$3:$I$56,4,FALSE),VLOOKUP(BD$1,main!$A$3:$I$56,4,FALSE)+VLOOKUP($A23,main!$A$3:$I$56,4,FALSE)+(VLOOKUP(VLOOKUP(BD$1,main!$A$3:$I$56,8,FALSE),main!$K$19:$O$22,MATCH(VLOOKUP($A23,main!$A$3:$I$56,7,FALSE),main!$K$18:$O$18,0),0))),0)</f>
        <v>298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>
        <f t="shared" si="0"/>
        <v>22</v>
      </c>
      <c r="B24">
        <v>0</v>
      </c>
      <c r="C24">
        <f>IF((gamma!C24),IF(VLOOKUP(C$1,main!$A$3:$I$56,7,FALSE)=VLOOKUP($A24,main!$A$3:$I$56,8,FALSE),VLOOKUP(C$1,main!$A$3:$I$56,4,FALSE),VLOOKUP(C$1,main!$A$3:$I$56,4,FALSE)+VLOOKUP($A24,main!$A$3:$I$56,4,FALSE)+(VLOOKUP(VLOOKUP(C$1,main!$A$3:$I$56,8,FALSE),main!$K$19:$O$22,MATCH(VLOOKUP($A24,main!$A$3:$I$56,7,FALSE),main!$K$18:$O$18,0),0))),0)</f>
        <v>0</v>
      </c>
      <c r="D24">
        <f>IF((gamma!D24),IF(VLOOKUP(D$1,main!$A$3:$I$56,7,FALSE)=VLOOKUP($A24,main!$A$3:$I$56,8,FALSE),VLOOKUP(D$1,main!$A$3:$I$56,4,FALSE),VLOOKUP(D$1,main!$A$3:$I$56,4,FALSE)+VLOOKUP($A24,main!$A$3:$I$56,4,FALSE)+(VLOOKUP(VLOOKUP(D$1,main!$A$3:$I$56,8,FALSE),main!$K$19:$O$22,MATCH(VLOOKUP($A24,main!$A$3:$I$56,7,FALSE),main!$K$18:$O$18,0),0))),0)</f>
        <v>0</v>
      </c>
      <c r="E24">
        <f>IF((gamma!E24),IF(VLOOKUP(E$1,main!$A$3:$I$56,7,FALSE)=VLOOKUP($A24,main!$A$3:$I$56,8,FALSE),VLOOKUP(E$1,main!$A$3:$I$56,4,FALSE),VLOOKUP(E$1,main!$A$3:$I$56,4,FALSE)+VLOOKUP($A24,main!$A$3:$I$56,4,FALSE)+(VLOOKUP(VLOOKUP(E$1,main!$A$3:$I$56,8,FALSE),main!$K$19:$O$22,MATCH(VLOOKUP($A24,main!$A$3:$I$56,7,FALSE),main!$K$18:$O$18,0),0))),0)</f>
        <v>0</v>
      </c>
      <c r="F24">
        <f>IF((gamma!F24),IF(VLOOKUP(F$1,main!$A$3:$I$56,7,FALSE)=VLOOKUP($A24,main!$A$3:$I$56,8,FALSE),VLOOKUP(F$1,main!$A$3:$I$56,4,FALSE),VLOOKUP(F$1,main!$A$3:$I$56,4,FALSE)+VLOOKUP($A24,main!$A$3:$I$56,4,FALSE)+(VLOOKUP(VLOOKUP(F$1,main!$A$3:$I$56,8,FALSE),main!$K$19:$O$22,MATCH(VLOOKUP($A24,main!$A$3:$I$56,7,FALSE),main!$K$18:$O$18,0),0))),0)</f>
        <v>0</v>
      </c>
      <c r="G24">
        <f>IF((gamma!G24),IF(VLOOKUP(G$1,main!$A$3:$I$56,7,FALSE)=VLOOKUP($A24,main!$A$3:$I$56,8,FALSE),VLOOKUP(G$1,main!$A$3:$I$56,4,FALSE),VLOOKUP(G$1,main!$A$3:$I$56,4,FALSE)+VLOOKUP($A24,main!$A$3:$I$56,4,FALSE)+(VLOOKUP(VLOOKUP(G$1,main!$A$3:$I$56,8,FALSE),main!$K$19:$O$22,MATCH(VLOOKUP($A24,main!$A$3:$I$56,7,FALSE),main!$K$18:$O$18,0),0))),0)</f>
        <v>135</v>
      </c>
      <c r="H24">
        <f>IF((gamma!H24),IF(VLOOKUP(H$1,main!$A$3:$I$56,7,FALSE)=VLOOKUP($A24,main!$A$3:$I$56,8,FALSE),VLOOKUP(H$1,main!$A$3:$I$56,4,FALSE),VLOOKUP(H$1,main!$A$3:$I$56,4,FALSE)+VLOOKUP($A24,main!$A$3:$I$56,4,FALSE)+(VLOOKUP(VLOOKUP(H$1,main!$A$3:$I$56,8,FALSE),main!$K$19:$O$22,MATCH(VLOOKUP($A24,main!$A$3:$I$56,7,FALSE),main!$K$18:$O$18,0),0))),0)</f>
        <v>135</v>
      </c>
      <c r="I24">
        <f>IF((gamma!I24),IF(VLOOKUP(I$1,main!$A$3:$I$56,7,FALSE)=VLOOKUP($A24,main!$A$3:$I$56,8,FALSE),VLOOKUP(I$1,main!$A$3:$I$56,4,FALSE),VLOOKUP(I$1,main!$A$3:$I$56,4,FALSE)+VLOOKUP($A24,main!$A$3:$I$56,4,FALSE)+(VLOOKUP(VLOOKUP(I$1,main!$A$3:$I$56,8,FALSE),main!$K$19:$O$22,MATCH(VLOOKUP($A24,main!$A$3:$I$56,7,FALSE),main!$K$18:$O$18,0),0))),0)</f>
        <v>135</v>
      </c>
      <c r="J24">
        <f>IF((gamma!J24),IF(VLOOKUP(J$1,main!$A$3:$I$56,7,FALSE)=VLOOKUP($A24,main!$A$3:$I$56,8,FALSE),VLOOKUP(J$1,main!$A$3:$I$56,4,FALSE),VLOOKUP(J$1,main!$A$3:$I$56,4,FALSE)+VLOOKUP($A24,main!$A$3:$I$56,4,FALSE)+(VLOOKUP(VLOOKUP(J$1,main!$A$3:$I$56,8,FALSE),main!$K$19:$O$22,MATCH(VLOOKUP($A24,main!$A$3:$I$56,7,FALSE),main!$K$18:$O$18,0),0))),0)</f>
        <v>135</v>
      </c>
      <c r="K24">
        <f>IF((gamma!K24),IF(VLOOKUP(K$1,main!$A$3:$I$56,7,FALSE)=VLOOKUP($A24,main!$A$3:$I$56,8,FALSE),VLOOKUP(K$1,main!$A$3:$I$56,4,FALSE),VLOOKUP(K$1,main!$A$3:$I$56,4,FALSE)+VLOOKUP($A24,main!$A$3:$I$56,4,FALSE)+(VLOOKUP(VLOOKUP(K$1,main!$A$3:$I$56,8,FALSE),main!$K$19:$O$22,MATCH(VLOOKUP($A24,main!$A$3:$I$56,7,FALSE),main!$K$18:$O$18,0),0))),0)</f>
        <v>0</v>
      </c>
      <c r="L24">
        <f>IF((gamma!L24),IF(VLOOKUP(L$1,main!$A$3:$I$56,7,FALSE)=VLOOKUP($A24,main!$A$3:$I$56,8,FALSE),VLOOKUP(L$1,main!$A$3:$I$56,4,FALSE),VLOOKUP(L$1,main!$A$3:$I$56,4,FALSE)+VLOOKUP($A24,main!$A$3:$I$56,4,FALSE)+(VLOOKUP(VLOOKUP(L$1,main!$A$3:$I$56,8,FALSE),main!$K$19:$O$22,MATCH(VLOOKUP($A24,main!$A$3:$I$56,7,FALSE),main!$K$18:$O$18,0),0))),0)</f>
        <v>0</v>
      </c>
      <c r="M24">
        <f>IF((gamma!M24),IF(VLOOKUP(M$1,main!$A$3:$I$56,7,FALSE)=VLOOKUP($A24,main!$A$3:$I$56,8,FALSE),VLOOKUP(M$1,main!$A$3:$I$56,4,FALSE),VLOOKUP(M$1,main!$A$3:$I$56,4,FALSE)+VLOOKUP($A24,main!$A$3:$I$56,4,FALSE)+(VLOOKUP(VLOOKUP(M$1,main!$A$3:$I$56,8,FALSE),main!$K$19:$O$22,MATCH(VLOOKUP($A24,main!$A$3:$I$56,7,FALSE),main!$K$18:$O$18,0),0))),0)</f>
        <v>0</v>
      </c>
      <c r="N24">
        <f>IF((gamma!N24),IF(VLOOKUP(N$1,main!$A$3:$I$56,7,FALSE)=VLOOKUP($A24,main!$A$3:$I$56,8,FALSE),VLOOKUP(N$1,main!$A$3:$I$56,4,FALSE),VLOOKUP(N$1,main!$A$3:$I$56,4,FALSE)+VLOOKUP($A24,main!$A$3:$I$56,4,FALSE)+(VLOOKUP(VLOOKUP(N$1,main!$A$3:$I$56,8,FALSE),main!$K$19:$O$22,MATCH(VLOOKUP($A24,main!$A$3:$I$56,7,FALSE),main!$K$18:$O$18,0),0))),0)</f>
        <v>140</v>
      </c>
      <c r="O24">
        <f>IF((gamma!O24),IF(VLOOKUP(O$1,main!$A$3:$I$56,7,FALSE)=VLOOKUP($A24,main!$A$3:$I$56,8,FALSE),VLOOKUP(O$1,main!$A$3:$I$56,4,FALSE),VLOOKUP(O$1,main!$A$3:$I$56,4,FALSE)+VLOOKUP($A24,main!$A$3:$I$56,4,FALSE)+(VLOOKUP(VLOOKUP(O$1,main!$A$3:$I$56,8,FALSE),main!$K$19:$O$22,MATCH(VLOOKUP($A24,main!$A$3:$I$56,7,FALSE),main!$K$18:$O$18,0),0))),0)</f>
        <v>140</v>
      </c>
      <c r="P24">
        <f>IF((gamma!P24),IF(VLOOKUP(P$1,main!$A$3:$I$56,7,FALSE)=VLOOKUP($A24,main!$A$3:$I$56,8,FALSE),VLOOKUP(P$1,main!$A$3:$I$56,4,FALSE),VLOOKUP(P$1,main!$A$3:$I$56,4,FALSE)+VLOOKUP($A24,main!$A$3:$I$56,4,FALSE)+(VLOOKUP(VLOOKUP(P$1,main!$A$3:$I$56,8,FALSE),main!$K$19:$O$22,MATCH(VLOOKUP($A24,main!$A$3:$I$56,7,FALSE),main!$K$18:$O$18,0),0))),0)</f>
        <v>0</v>
      </c>
      <c r="Q24">
        <f>IF((gamma!Q24),IF(VLOOKUP(Q$1,main!$A$3:$I$56,7,FALSE)=VLOOKUP($A24,main!$A$3:$I$56,8,FALSE),VLOOKUP(Q$1,main!$A$3:$I$56,4,FALSE),VLOOKUP(Q$1,main!$A$3:$I$56,4,FALSE)+VLOOKUP($A24,main!$A$3:$I$56,4,FALSE)+(VLOOKUP(VLOOKUP(Q$1,main!$A$3:$I$56,8,FALSE),main!$K$19:$O$22,MATCH(VLOOKUP($A24,main!$A$3:$I$56,7,FALSE),main!$K$18:$O$18,0),0))),0)</f>
        <v>0</v>
      </c>
      <c r="R24">
        <f>IF((gamma!R24),IF(VLOOKUP(R$1,main!$A$3:$I$56,7,FALSE)=VLOOKUP($A24,main!$A$3:$I$56,8,FALSE),VLOOKUP(R$1,main!$A$3:$I$56,4,FALSE),VLOOKUP(R$1,main!$A$3:$I$56,4,FALSE)+VLOOKUP($A24,main!$A$3:$I$56,4,FALSE)+(VLOOKUP(VLOOKUP(R$1,main!$A$3:$I$56,8,FALSE),main!$K$19:$O$22,MATCH(VLOOKUP($A24,main!$A$3:$I$56,7,FALSE),main!$K$18:$O$18,0),0))),0)</f>
        <v>0</v>
      </c>
      <c r="S24">
        <f>IF((gamma!S24),IF(VLOOKUP(S$1,main!$A$3:$I$56,7,FALSE)=VLOOKUP($A24,main!$A$3:$I$56,8,FALSE),VLOOKUP(S$1,main!$A$3:$I$56,4,FALSE),VLOOKUP(S$1,main!$A$3:$I$56,4,FALSE)+VLOOKUP($A24,main!$A$3:$I$56,4,FALSE)+(VLOOKUP(VLOOKUP(S$1,main!$A$3:$I$56,8,FALSE),main!$K$19:$O$22,MATCH(VLOOKUP($A24,main!$A$3:$I$56,7,FALSE),main!$K$18:$O$18,0),0))),0)</f>
        <v>140</v>
      </c>
      <c r="T24">
        <f>IF((gamma!T24),IF(VLOOKUP(T$1,main!$A$3:$I$56,7,FALSE)=VLOOKUP($A24,main!$A$3:$I$56,8,FALSE),VLOOKUP(T$1,main!$A$3:$I$56,4,FALSE),VLOOKUP(T$1,main!$A$3:$I$56,4,FALSE)+VLOOKUP($A24,main!$A$3:$I$56,4,FALSE)+(VLOOKUP(VLOOKUP(T$1,main!$A$3:$I$56,8,FALSE),main!$K$19:$O$22,MATCH(VLOOKUP($A24,main!$A$3:$I$56,7,FALSE),main!$K$18:$O$18,0),0))),0)</f>
        <v>140</v>
      </c>
      <c r="U24">
        <f>IF((gamma!U24),IF(VLOOKUP(U$1,main!$A$3:$I$56,7,FALSE)=VLOOKUP($A24,main!$A$3:$I$56,8,FALSE),VLOOKUP(U$1,main!$A$3:$I$56,4,FALSE),VLOOKUP(U$1,main!$A$3:$I$56,4,FALSE)+VLOOKUP($A24,main!$A$3:$I$56,4,FALSE)+(VLOOKUP(VLOOKUP(U$1,main!$A$3:$I$56,8,FALSE),main!$K$19:$O$22,MATCH(VLOOKUP($A24,main!$A$3:$I$56,7,FALSE),main!$K$18:$O$18,0),0))),0)</f>
        <v>0</v>
      </c>
      <c r="V24">
        <f>IF((gamma!V24),IF(VLOOKUP(V$1,main!$A$3:$I$56,7,FALSE)=VLOOKUP($A24,main!$A$3:$I$56,8,FALSE),VLOOKUP(V$1,main!$A$3:$I$56,4,FALSE),VLOOKUP(V$1,main!$A$3:$I$56,4,FALSE)+VLOOKUP($A24,main!$A$3:$I$56,4,FALSE)+(VLOOKUP(VLOOKUP(V$1,main!$A$3:$I$56,8,FALSE),main!$K$19:$O$22,MATCH(VLOOKUP($A24,main!$A$3:$I$56,7,FALSE),main!$K$18:$O$18,0),0))),0)</f>
        <v>0</v>
      </c>
      <c r="W24">
        <f>IF((gamma!W24),IF(VLOOKUP(W$1,main!$A$3:$I$56,7,FALSE)=VLOOKUP($A24,main!$A$3:$I$56,8,FALSE),VLOOKUP(W$1,main!$A$3:$I$56,4,FALSE),VLOOKUP(W$1,main!$A$3:$I$56,4,FALSE)+VLOOKUP($A24,main!$A$3:$I$56,4,FALSE)+(VLOOKUP(VLOOKUP(W$1,main!$A$3:$I$56,8,FALSE),main!$K$19:$O$22,MATCH(VLOOKUP($A24,main!$A$3:$I$56,7,FALSE),main!$K$18:$O$18,0),0))),0)</f>
        <v>0</v>
      </c>
      <c r="X24">
        <f>IF((gamma!X24),IF(VLOOKUP(X$1,main!$A$3:$I$56,7,FALSE)=VLOOKUP($A24,main!$A$3:$I$56,8,FALSE),VLOOKUP(X$1,main!$A$3:$I$56,4,FALSE),VLOOKUP(X$1,main!$A$3:$I$56,4,FALSE)+VLOOKUP($A24,main!$A$3:$I$56,4,FALSE)+(VLOOKUP(VLOOKUP(X$1,main!$A$3:$I$56,8,FALSE),main!$K$19:$O$22,MATCH(VLOOKUP($A24,main!$A$3:$I$56,7,FALSE),main!$K$18:$O$18,0),0))),0)</f>
        <v>0</v>
      </c>
      <c r="Y24">
        <f>IF((gamma!Y24),IF(VLOOKUP(Y$1,main!$A$3:$I$56,7,FALSE)=VLOOKUP($A24,main!$A$3:$I$56,8,FALSE),VLOOKUP(Y$1,main!$A$3:$I$56,4,FALSE),VLOOKUP(Y$1,main!$A$3:$I$56,4,FALSE)+VLOOKUP($A24,main!$A$3:$I$56,4,FALSE)+(VLOOKUP(VLOOKUP(Y$1,main!$A$3:$I$56,8,FALSE),main!$K$19:$O$22,MATCH(VLOOKUP($A24,main!$A$3:$I$56,7,FALSE),main!$K$18:$O$18,0),0))),0)</f>
        <v>0</v>
      </c>
      <c r="Z24">
        <f>IF((gamma!Z24),IF(VLOOKUP(Z$1,main!$A$3:$I$56,7,FALSE)=VLOOKUP($A24,main!$A$3:$I$56,8,FALSE),VLOOKUP(Z$1,main!$A$3:$I$56,4,FALSE),VLOOKUP(Z$1,main!$A$3:$I$56,4,FALSE)+VLOOKUP($A24,main!$A$3:$I$56,4,FALSE)+(VLOOKUP(VLOOKUP(Z$1,main!$A$3:$I$56,8,FALSE),main!$K$19:$O$22,MATCH(VLOOKUP($A24,main!$A$3:$I$56,7,FALSE),main!$K$18:$O$18,0),0))),0)</f>
        <v>295</v>
      </c>
      <c r="AA24">
        <f>IF((gamma!AA24),IF(VLOOKUP(AA$1,main!$A$3:$I$56,7,FALSE)=VLOOKUP($A24,main!$A$3:$I$56,8,FALSE),VLOOKUP(AA$1,main!$A$3:$I$56,4,FALSE),VLOOKUP(AA$1,main!$A$3:$I$56,4,FALSE)+VLOOKUP($A24,main!$A$3:$I$56,4,FALSE)+(VLOOKUP(VLOOKUP(AA$1,main!$A$3:$I$56,8,FALSE),main!$K$19:$O$22,MATCH(VLOOKUP($A24,main!$A$3:$I$56,7,FALSE),main!$K$18:$O$18,0),0))),0)</f>
        <v>295</v>
      </c>
      <c r="AB24">
        <f>IF((gamma!AB24),IF(VLOOKUP(AB$1,main!$A$3:$I$56,7,FALSE)=VLOOKUP($A24,main!$A$3:$I$56,8,FALSE),VLOOKUP(AB$1,main!$A$3:$I$56,4,FALSE),VLOOKUP(AB$1,main!$A$3:$I$56,4,FALSE)+VLOOKUP($A24,main!$A$3:$I$56,4,FALSE)+(VLOOKUP(VLOOKUP(AB$1,main!$A$3:$I$56,8,FALSE),main!$K$19:$O$22,MATCH(VLOOKUP($A24,main!$A$3:$I$56,7,FALSE),main!$K$18:$O$18,0),0))),0)</f>
        <v>295</v>
      </c>
      <c r="AC24">
        <f>IF((gamma!AC24),IF(VLOOKUP(AC$1,main!$A$3:$I$56,7,FALSE)=VLOOKUP($A24,main!$A$3:$I$56,8,FALSE),VLOOKUP(AC$1,main!$A$3:$I$56,4,FALSE),VLOOKUP(AC$1,main!$A$3:$I$56,4,FALSE)+VLOOKUP($A24,main!$A$3:$I$56,4,FALSE)+(VLOOKUP(VLOOKUP(AC$1,main!$A$3:$I$56,8,FALSE),main!$K$19:$O$22,MATCH(VLOOKUP($A24,main!$A$3:$I$56,7,FALSE),main!$K$18:$O$18,0),0))),0)</f>
        <v>0</v>
      </c>
      <c r="AD24">
        <f>IF((gamma!AD24),IF(VLOOKUP(AD$1,main!$A$3:$I$56,7,FALSE)=VLOOKUP($A24,main!$A$3:$I$56,8,FALSE),VLOOKUP(AD$1,main!$A$3:$I$56,4,FALSE),VLOOKUP(AD$1,main!$A$3:$I$56,4,FALSE)+VLOOKUP($A24,main!$A$3:$I$56,4,FALSE)+(VLOOKUP(VLOOKUP(AD$1,main!$A$3:$I$56,8,FALSE),main!$K$19:$O$22,MATCH(VLOOKUP($A24,main!$A$3:$I$56,7,FALSE),main!$K$18:$O$18,0),0))),0)</f>
        <v>0</v>
      </c>
      <c r="AE24">
        <f>IF((gamma!AE24),IF(VLOOKUP(AE$1,main!$A$3:$I$56,7,FALSE)=VLOOKUP($A24,main!$A$3:$I$56,8,FALSE),VLOOKUP(AE$1,main!$A$3:$I$56,4,FALSE),VLOOKUP(AE$1,main!$A$3:$I$56,4,FALSE)+VLOOKUP($A24,main!$A$3:$I$56,4,FALSE)+(VLOOKUP(VLOOKUP(AE$1,main!$A$3:$I$56,8,FALSE),main!$K$19:$O$22,MATCH(VLOOKUP($A24,main!$A$3:$I$56,7,FALSE),main!$K$18:$O$18,0),0))),0)</f>
        <v>0</v>
      </c>
      <c r="AF24">
        <f>IF((gamma!AF24),IF(VLOOKUP(AF$1,main!$A$3:$I$56,7,FALSE)=VLOOKUP($A24,main!$A$3:$I$56,8,FALSE),VLOOKUP(AF$1,main!$A$3:$I$56,4,FALSE),VLOOKUP(AF$1,main!$A$3:$I$56,4,FALSE)+VLOOKUP($A24,main!$A$3:$I$56,4,FALSE)+(VLOOKUP(VLOOKUP(AF$1,main!$A$3:$I$56,8,FALSE),main!$K$19:$O$22,MATCH(VLOOKUP($A24,main!$A$3:$I$56,7,FALSE),main!$K$18:$O$18,0),0))),0)</f>
        <v>0</v>
      </c>
      <c r="AG24">
        <f>IF((gamma!AG24),IF(VLOOKUP(AG$1,main!$A$3:$I$56,7,FALSE)=VLOOKUP($A24,main!$A$3:$I$56,8,FALSE),VLOOKUP(AG$1,main!$A$3:$I$56,4,FALSE),VLOOKUP(AG$1,main!$A$3:$I$56,4,FALSE)+VLOOKUP($A24,main!$A$3:$I$56,4,FALSE)+(VLOOKUP(VLOOKUP(AG$1,main!$A$3:$I$56,8,FALSE),main!$K$19:$O$22,MATCH(VLOOKUP($A24,main!$A$3:$I$56,7,FALSE),main!$K$18:$O$18,0),0))),0)</f>
        <v>0</v>
      </c>
      <c r="AH24">
        <f>IF((gamma!AH24),IF(VLOOKUP(AH$1,main!$A$3:$I$56,7,FALSE)=VLOOKUP($A24,main!$A$3:$I$56,8,FALSE),VLOOKUP(AH$1,main!$A$3:$I$56,4,FALSE),VLOOKUP(AH$1,main!$A$3:$I$56,4,FALSE)+VLOOKUP($A24,main!$A$3:$I$56,4,FALSE)+(VLOOKUP(VLOOKUP(AH$1,main!$A$3:$I$56,8,FALSE),main!$K$19:$O$22,MATCH(VLOOKUP($A24,main!$A$3:$I$56,7,FALSE),main!$K$18:$O$18,0),0))),0)</f>
        <v>0</v>
      </c>
      <c r="AI24">
        <f>IF((gamma!AI24),IF(VLOOKUP(AI$1,main!$A$3:$I$56,7,FALSE)=VLOOKUP($A24,main!$A$3:$I$56,8,FALSE),VLOOKUP(AI$1,main!$A$3:$I$56,4,FALSE),VLOOKUP(AI$1,main!$A$3:$I$56,4,FALSE)+VLOOKUP($A24,main!$A$3:$I$56,4,FALSE)+(VLOOKUP(VLOOKUP(AI$1,main!$A$3:$I$56,8,FALSE),main!$K$19:$O$22,MATCH(VLOOKUP($A24,main!$A$3:$I$56,7,FALSE),main!$K$18:$O$18,0),0))),0)</f>
        <v>0</v>
      </c>
      <c r="AJ24">
        <f>IF((gamma!AJ24),IF(VLOOKUP(AJ$1,main!$A$3:$I$56,7,FALSE)=VLOOKUP($A24,main!$A$3:$I$56,8,FALSE),VLOOKUP(AJ$1,main!$A$3:$I$56,4,FALSE),VLOOKUP(AJ$1,main!$A$3:$I$56,4,FALSE)+VLOOKUP($A24,main!$A$3:$I$56,4,FALSE)+(VLOOKUP(VLOOKUP(AJ$1,main!$A$3:$I$56,8,FALSE),main!$K$19:$O$22,MATCH(VLOOKUP($A24,main!$A$3:$I$56,7,FALSE),main!$K$18:$O$18,0),0))),0)</f>
        <v>0</v>
      </c>
      <c r="AK24">
        <f>IF((gamma!AK24),IF(VLOOKUP(AK$1,main!$A$3:$I$56,7,FALSE)=VLOOKUP($A24,main!$A$3:$I$56,8,FALSE),VLOOKUP(AK$1,main!$A$3:$I$56,4,FALSE),VLOOKUP(AK$1,main!$A$3:$I$56,4,FALSE)+VLOOKUP($A24,main!$A$3:$I$56,4,FALSE)+(VLOOKUP(VLOOKUP(AK$1,main!$A$3:$I$56,8,FALSE),main!$K$19:$O$22,MATCH(VLOOKUP($A24,main!$A$3:$I$56,7,FALSE),main!$K$18:$O$18,0),0))),0)</f>
        <v>300</v>
      </c>
      <c r="AL24">
        <f>IF((gamma!AL24),IF(VLOOKUP(AL$1,main!$A$3:$I$56,7,FALSE)=VLOOKUP($A24,main!$A$3:$I$56,8,FALSE),VLOOKUP(AL$1,main!$A$3:$I$56,4,FALSE),VLOOKUP(AL$1,main!$A$3:$I$56,4,FALSE)+VLOOKUP($A24,main!$A$3:$I$56,4,FALSE)+(VLOOKUP(VLOOKUP(AL$1,main!$A$3:$I$56,8,FALSE),main!$K$19:$O$22,MATCH(VLOOKUP($A24,main!$A$3:$I$56,7,FALSE),main!$K$18:$O$18,0),0))),0)</f>
        <v>0</v>
      </c>
      <c r="AM24">
        <f>IF((gamma!AM24),IF(VLOOKUP(AM$1,main!$A$3:$I$56,7,FALSE)=VLOOKUP($A24,main!$A$3:$I$56,8,FALSE),VLOOKUP(AM$1,main!$A$3:$I$56,4,FALSE),VLOOKUP(AM$1,main!$A$3:$I$56,4,FALSE)+VLOOKUP($A24,main!$A$3:$I$56,4,FALSE)+(VLOOKUP(VLOOKUP(AM$1,main!$A$3:$I$56,8,FALSE),main!$K$19:$O$22,MATCH(VLOOKUP($A24,main!$A$3:$I$56,7,FALSE),main!$K$18:$O$18,0),0))),0)</f>
        <v>0</v>
      </c>
      <c r="AN24">
        <f>IF((gamma!AN24),IF(VLOOKUP(AN$1,main!$A$3:$I$56,7,FALSE)=VLOOKUP($A24,main!$A$3:$I$56,8,FALSE),VLOOKUP(AN$1,main!$A$3:$I$56,4,FALSE),VLOOKUP(AN$1,main!$A$3:$I$56,4,FALSE)+VLOOKUP($A24,main!$A$3:$I$56,4,FALSE)+(VLOOKUP(VLOOKUP(AN$1,main!$A$3:$I$56,8,FALSE),main!$K$19:$O$22,MATCH(VLOOKUP($A24,main!$A$3:$I$56,7,FALSE),main!$K$18:$O$18,0),0))),0)</f>
        <v>0</v>
      </c>
      <c r="AO24">
        <f>IF((gamma!AO24),IF(VLOOKUP(AO$1,main!$A$3:$I$56,7,FALSE)=VLOOKUP($A24,main!$A$3:$I$56,8,FALSE),VLOOKUP(AO$1,main!$A$3:$I$56,4,FALSE),VLOOKUP(AO$1,main!$A$3:$I$56,4,FALSE)+VLOOKUP($A24,main!$A$3:$I$56,4,FALSE)+(VLOOKUP(VLOOKUP(AO$1,main!$A$3:$I$56,8,FALSE),main!$K$19:$O$22,MATCH(VLOOKUP($A24,main!$A$3:$I$56,7,FALSE),main!$K$18:$O$18,0),0))),0)</f>
        <v>0</v>
      </c>
      <c r="AP24">
        <f>IF((gamma!AP24),IF(VLOOKUP(AP$1,main!$A$3:$I$56,7,FALSE)=VLOOKUP($A24,main!$A$3:$I$56,8,FALSE),VLOOKUP(AP$1,main!$A$3:$I$56,4,FALSE),VLOOKUP(AP$1,main!$A$3:$I$56,4,FALSE)+VLOOKUP($A24,main!$A$3:$I$56,4,FALSE)+(VLOOKUP(VLOOKUP(AP$1,main!$A$3:$I$56,8,FALSE),main!$K$19:$O$22,MATCH(VLOOKUP($A24,main!$A$3:$I$56,7,FALSE),main!$K$18:$O$18,0),0))),0)</f>
        <v>0</v>
      </c>
      <c r="AQ24">
        <f>IF((gamma!AQ24),IF(VLOOKUP(AQ$1,main!$A$3:$I$56,7,FALSE)=VLOOKUP($A24,main!$A$3:$I$56,8,FALSE),VLOOKUP(AQ$1,main!$A$3:$I$56,4,FALSE),VLOOKUP(AQ$1,main!$A$3:$I$56,4,FALSE)+VLOOKUP($A24,main!$A$3:$I$56,4,FALSE)+(VLOOKUP(VLOOKUP(AQ$1,main!$A$3:$I$56,8,FALSE),main!$K$19:$O$22,MATCH(VLOOKUP($A24,main!$A$3:$I$56,7,FALSE),main!$K$18:$O$18,0),0))),0)</f>
        <v>0</v>
      </c>
      <c r="AR24">
        <f>IF((gamma!AR24),IF(VLOOKUP(AR$1,main!$A$3:$I$56,7,FALSE)=VLOOKUP($A24,main!$A$3:$I$56,8,FALSE),VLOOKUP(AR$1,main!$A$3:$I$56,4,FALSE),VLOOKUP(AR$1,main!$A$3:$I$56,4,FALSE)+VLOOKUP($A24,main!$A$3:$I$56,4,FALSE)+(VLOOKUP(VLOOKUP(AR$1,main!$A$3:$I$56,8,FALSE),main!$K$19:$O$22,MATCH(VLOOKUP($A24,main!$A$3:$I$56,7,FALSE),main!$K$18:$O$18,0),0))),0)</f>
        <v>0</v>
      </c>
      <c r="AS24">
        <f>IF((gamma!AS24),IF(VLOOKUP(AS$1,main!$A$3:$I$56,7,FALSE)=VLOOKUP($A24,main!$A$3:$I$56,8,FALSE),VLOOKUP(AS$1,main!$A$3:$I$56,4,FALSE),VLOOKUP(AS$1,main!$A$3:$I$56,4,FALSE)+VLOOKUP($A24,main!$A$3:$I$56,4,FALSE)+(VLOOKUP(VLOOKUP(AS$1,main!$A$3:$I$56,8,FALSE),main!$K$19:$O$22,MATCH(VLOOKUP($A24,main!$A$3:$I$56,7,FALSE),main!$K$18:$O$18,0),0))),0)</f>
        <v>0</v>
      </c>
      <c r="AT24">
        <f>IF((gamma!AT24),IF(VLOOKUP(AT$1,main!$A$3:$I$56,7,FALSE)=VLOOKUP($A24,main!$A$3:$I$56,8,FALSE),VLOOKUP(AT$1,main!$A$3:$I$56,4,FALSE),VLOOKUP(AT$1,main!$A$3:$I$56,4,FALSE)+VLOOKUP($A24,main!$A$3:$I$56,4,FALSE)+(VLOOKUP(VLOOKUP(AT$1,main!$A$3:$I$56,8,FALSE),main!$K$19:$O$22,MATCH(VLOOKUP($A24,main!$A$3:$I$56,7,FALSE),main!$K$18:$O$18,0),0))),0)</f>
        <v>0</v>
      </c>
      <c r="AU24">
        <f>IF((gamma!AU24),IF(VLOOKUP(AU$1,main!$A$3:$I$56,7,FALSE)=VLOOKUP($A24,main!$A$3:$I$56,8,FALSE),VLOOKUP(AU$1,main!$A$3:$I$56,4,FALSE),VLOOKUP(AU$1,main!$A$3:$I$56,4,FALSE)+VLOOKUP($A24,main!$A$3:$I$56,4,FALSE)+(VLOOKUP(VLOOKUP(AU$1,main!$A$3:$I$56,8,FALSE),main!$K$19:$O$22,MATCH(VLOOKUP($A24,main!$A$3:$I$56,7,FALSE),main!$K$18:$O$18,0),0))),0)</f>
        <v>0</v>
      </c>
      <c r="AV24">
        <f>IF((gamma!AV24),IF(VLOOKUP(AV$1,main!$A$3:$I$56,7,FALSE)=VLOOKUP($A24,main!$A$3:$I$56,8,FALSE),VLOOKUP(AV$1,main!$A$3:$I$56,4,FALSE),VLOOKUP(AV$1,main!$A$3:$I$56,4,FALSE)+VLOOKUP($A24,main!$A$3:$I$56,4,FALSE)+(VLOOKUP(VLOOKUP(AV$1,main!$A$3:$I$56,8,FALSE),main!$K$19:$O$22,MATCH(VLOOKUP($A24,main!$A$3:$I$56,7,FALSE),main!$K$18:$O$18,0),0))),0)</f>
        <v>0</v>
      </c>
      <c r="AW24">
        <f>IF((gamma!AW24),IF(VLOOKUP(AW$1,main!$A$3:$I$56,7,FALSE)=VLOOKUP($A24,main!$A$3:$I$56,8,FALSE),VLOOKUP(AW$1,main!$A$3:$I$56,4,FALSE),VLOOKUP(AW$1,main!$A$3:$I$56,4,FALSE)+VLOOKUP($A24,main!$A$3:$I$56,4,FALSE)+(VLOOKUP(VLOOKUP(AW$1,main!$A$3:$I$56,8,FALSE),main!$K$19:$O$22,MATCH(VLOOKUP($A24,main!$A$3:$I$56,7,FALSE),main!$K$18:$O$18,0),0))),0)</f>
        <v>0</v>
      </c>
      <c r="AX24">
        <f>IF((gamma!AX24),IF(VLOOKUP(AX$1,main!$A$3:$I$56,7,FALSE)=VLOOKUP($A24,main!$A$3:$I$56,8,FALSE),VLOOKUP(AX$1,main!$A$3:$I$56,4,FALSE),VLOOKUP(AX$1,main!$A$3:$I$56,4,FALSE)+VLOOKUP($A24,main!$A$3:$I$56,4,FALSE)+(VLOOKUP(VLOOKUP(AX$1,main!$A$3:$I$56,8,FALSE),main!$K$19:$O$22,MATCH(VLOOKUP($A24,main!$A$3:$I$56,7,FALSE),main!$K$18:$O$18,0),0))),0)</f>
        <v>300</v>
      </c>
      <c r="AY24">
        <f>IF((gamma!AY24),IF(VLOOKUP(AY$1,main!$A$3:$I$56,7,FALSE)=VLOOKUP($A24,main!$A$3:$I$56,8,FALSE),VLOOKUP(AY$1,main!$A$3:$I$56,4,FALSE),VLOOKUP(AY$1,main!$A$3:$I$56,4,FALSE)+VLOOKUP($A24,main!$A$3:$I$56,4,FALSE)+(VLOOKUP(VLOOKUP(AY$1,main!$A$3:$I$56,8,FALSE),main!$K$19:$O$22,MATCH(VLOOKUP($A24,main!$A$3:$I$56,7,FALSE),main!$K$18:$O$18,0),0))),0)</f>
        <v>300</v>
      </c>
      <c r="AZ24">
        <f>IF((gamma!AZ24),IF(VLOOKUP(AZ$1,main!$A$3:$I$56,7,FALSE)=VLOOKUP($A24,main!$A$3:$I$56,8,FALSE),VLOOKUP(AZ$1,main!$A$3:$I$56,4,FALSE),VLOOKUP(AZ$1,main!$A$3:$I$56,4,FALSE)+VLOOKUP($A24,main!$A$3:$I$56,4,FALSE)+(VLOOKUP(VLOOKUP(AZ$1,main!$A$3:$I$56,8,FALSE),main!$K$19:$O$22,MATCH(VLOOKUP($A24,main!$A$3:$I$56,7,FALSE),main!$K$18:$O$18,0),0))),0)</f>
        <v>0</v>
      </c>
      <c r="BA24">
        <f>IF((gamma!BA24),IF(VLOOKUP(BA$1,main!$A$3:$I$56,7,FALSE)=VLOOKUP($A24,main!$A$3:$I$56,8,FALSE),VLOOKUP(BA$1,main!$A$3:$I$56,4,FALSE),VLOOKUP(BA$1,main!$A$3:$I$56,4,FALSE)+VLOOKUP($A24,main!$A$3:$I$56,4,FALSE)+(VLOOKUP(VLOOKUP(BA$1,main!$A$3:$I$56,8,FALSE),main!$K$19:$O$22,MATCH(VLOOKUP($A24,main!$A$3:$I$56,7,FALSE),main!$K$18:$O$18,0),0))),0)</f>
        <v>0</v>
      </c>
      <c r="BB24">
        <f>IF((gamma!BB24),IF(VLOOKUP(BB$1,main!$A$3:$I$56,7,FALSE)=VLOOKUP($A24,main!$A$3:$I$56,8,FALSE),VLOOKUP(BB$1,main!$A$3:$I$56,4,FALSE),VLOOKUP(BB$1,main!$A$3:$I$56,4,FALSE)+VLOOKUP($A24,main!$A$3:$I$56,4,FALSE)+(VLOOKUP(VLOOKUP(BB$1,main!$A$3:$I$56,8,FALSE),main!$K$19:$O$22,MATCH(VLOOKUP($A24,main!$A$3:$I$56,7,FALSE),main!$K$18:$O$18,0),0))),0)</f>
        <v>0</v>
      </c>
      <c r="BC24">
        <f>IF((gamma!BC24),IF(VLOOKUP(BC$1,main!$A$3:$I$56,7,FALSE)=VLOOKUP($A24,main!$A$3:$I$56,8,FALSE),VLOOKUP(BC$1,main!$A$3:$I$56,4,FALSE),VLOOKUP(BC$1,main!$A$3:$I$56,4,FALSE)+VLOOKUP($A24,main!$A$3:$I$56,4,FALSE)+(VLOOKUP(VLOOKUP(BC$1,main!$A$3:$I$56,8,FALSE),main!$K$19:$O$22,MATCH(VLOOKUP($A24,main!$A$3:$I$56,7,FALSE),main!$K$18:$O$18,0),0))),0)</f>
        <v>0</v>
      </c>
      <c r="BD24">
        <f>IF((gamma!BD24),IF(VLOOKUP(BD$1,main!$A$3:$I$56,7,FALSE)=VLOOKUP($A24,main!$A$3:$I$56,8,FALSE),VLOOKUP(BD$1,main!$A$3:$I$56,4,FALSE),VLOOKUP(BD$1,main!$A$3:$I$56,4,FALSE)+VLOOKUP($A24,main!$A$3:$I$56,4,FALSE)+(VLOOKUP(VLOOKUP(BD$1,main!$A$3:$I$56,8,FALSE),main!$K$19:$O$22,MATCH(VLOOKUP($A24,main!$A$3:$I$56,7,FALSE),main!$K$18:$O$18,0),0))),0)</f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>
        <f t="shared" si="0"/>
        <v>23</v>
      </c>
      <c r="B25">
        <v>0</v>
      </c>
      <c r="C25">
        <f>IF((gamma!C25),IF(VLOOKUP(C$1,main!$A$3:$I$56,7,FALSE)=VLOOKUP($A25,main!$A$3:$I$56,8,FALSE),VLOOKUP(C$1,main!$A$3:$I$56,4,FALSE),VLOOKUP(C$1,main!$A$3:$I$56,4,FALSE)+VLOOKUP($A25,main!$A$3:$I$56,4,FALSE)+(VLOOKUP(VLOOKUP(C$1,main!$A$3:$I$56,8,FALSE),main!$K$19:$O$22,MATCH(VLOOKUP($A25,main!$A$3:$I$56,7,FALSE),main!$K$18:$O$18,0),0))),0)</f>
        <v>0</v>
      </c>
      <c r="D25">
        <f>IF((gamma!D25),IF(VLOOKUP(D$1,main!$A$3:$I$56,7,FALSE)=VLOOKUP($A25,main!$A$3:$I$56,8,FALSE),VLOOKUP(D$1,main!$A$3:$I$56,4,FALSE),VLOOKUP(D$1,main!$A$3:$I$56,4,FALSE)+VLOOKUP($A25,main!$A$3:$I$56,4,FALSE)+(VLOOKUP(VLOOKUP(D$1,main!$A$3:$I$56,8,FALSE),main!$K$19:$O$22,MATCH(VLOOKUP($A25,main!$A$3:$I$56,7,FALSE),main!$K$18:$O$18,0),0))),0)</f>
        <v>0</v>
      </c>
      <c r="E25">
        <f>IF((gamma!E25),IF(VLOOKUP(E$1,main!$A$3:$I$56,7,FALSE)=VLOOKUP($A25,main!$A$3:$I$56,8,FALSE),VLOOKUP(E$1,main!$A$3:$I$56,4,FALSE),VLOOKUP(E$1,main!$A$3:$I$56,4,FALSE)+VLOOKUP($A25,main!$A$3:$I$56,4,FALSE)+(VLOOKUP(VLOOKUP(E$1,main!$A$3:$I$56,8,FALSE),main!$K$19:$O$22,MATCH(VLOOKUP($A25,main!$A$3:$I$56,7,FALSE),main!$K$18:$O$18,0),0))),0)</f>
        <v>0</v>
      </c>
      <c r="F25">
        <f>IF((gamma!F25),IF(VLOOKUP(F$1,main!$A$3:$I$56,7,FALSE)=VLOOKUP($A25,main!$A$3:$I$56,8,FALSE),VLOOKUP(F$1,main!$A$3:$I$56,4,FALSE),VLOOKUP(F$1,main!$A$3:$I$56,4,FALSE)+VLOOKUP($A25,main!$A$3:$I$56,4,FALSE)+(VLOOKUP(VLOOKUP(F$1,main!$A$3:$I$56,8,FALSE),main!$K$19:$O$22,MATCH(VLOOKUP($A25,main!$A$3:$I$56,7,FALSE),main!$K$18:$O$18,0),0))),0)</f>
        <v>0</v>
      </c>
      <c r="G25">
        <f>IF((gamma!G25),IF(VLOOKUP(G$1,main!$A$3:$I$56,7,FALSE)=VLOOKUP($A25,main!$A$3:$I$56,8,FALSE),VLOOKUP(G$1,main!$A$3:$I$56,4,FALSE),VLOOKUP(G$1,main!$A$3:$I$56,4,FALSE)+VLOOKUP($A25,main!$A$3:$I$56,4,FALSE)+(VLOOKUP(VLOOKUP(G$1,main!$A$3:$I$56,8,FALSE),main!$K$19:$O$22,MATCH(VLOOKUP($A25,main!$A$3:$I$56,7,FALSE),main!$K$18:$O$18,0),0))),0)</f>
        <v>0</v>
      </c>
      <c r="H25">
        <f>IF((gamma!H25),IF(VLOOKUP(H$1,main!$A$3:$I$56,7,FALSE)=VLOOKUP($A25,main!$A$3:$I$56,8,FALSE),VLOOKUP(H$1,main!$A$3:$I$56,4,FALSE),VLOOKUP(H$1,main!$A$3:$I$56,4,FALSE)+VLOOKUP($A25,main!$A$3:$I$56,4,FALSE)+(VLOOKUP(VLOOKUP(H$1,main!$A$3:$I$56,8,FALSE),main!$K$19:$O$22,MATCH(VLOOKUP($A25,main!$A$3:$I$56,7,FALSE),main!$K$18:$O$18,0),0))),0)</f>
        <v>0</v>
      </c>
      <c r="I25">
        <f>IF((gamma!I25),IF(VLOOKUP(I$1,main!$A$3:$I$56,7,FALSE)=VLOOKUP($A25,main!$A$3:$I$56,8,FALSE),VLOOKUP(I$1,main!$A$3:$I$56,4,FALSE),VLOOKUP(I$1,main!$A$3:$I$56,4,FALSE)+VLOOKUP($A25,main!$A$3:$I$56,4,FALSE)+(VLOOKUP(VLOOKUP(I$1,main!$A$3:$I$56,8,FALSE),main!$K$19:$O$22,MATCH(VLOOKUP($A25,main!$A$3:$I$56,7,FALSE),main!$K$18:$O$18,0),0))),0)</f>
        <v>135</v>
      </c>
      <c r="J25">
        <f>IF((gamma!J25),IF(VLOOKUP(J$1,main!$A$3:$I$56,7,FALSE)=VLOOKUP($A25,main!$A$3:$I$56,8,FALSE),VLOOKUP(J$1,main!$A$3:$I$56,4,FALSE),VLOOKUP(J$1,main!$A$3:$I$56,4,FALSE)+VLOOKUP($A25,main!$A$3:$I$56,4,FALSE)+(VLOOKUP(VLOOKUP(J$1,main!$A$3:$I$56,8,FALSE),main!$K$19:$O$22,MATCH(VLOOKUP($A25,main!$A$3:$I$56,7,FALSE),main!$K$18:$O$18,0),0))),0)</f>
        <v>135</v>
      </c>
      <c r="K25">
        <f>IF((gamma!K25),IF(VLOOKUP(K$1,main!$A$3:$I$56,7,FALSE)=VLOOKUP($A25,main!$A$3:$I$56,8,FALSE),VLOOKUP(K$1,main!$A$3:$I$56,4,FALSE),VLOOKUP(K$1,main!$A$3:$I$56,4,FALSE)+VLOOKUP($A25,main!$A$3:$I$56,4,FALSE)+(VLOOKUP(VLOOKUP(K$1,main!$A$3:$I$56,8,FALSE),main!$K$19:$O$22,MATCH(VLOOKUP($A25,main!$A$3:$I$56,7,FALSE),main!$K$18:$O$18,0),0))),0)</f>
        <v>0</v>
      </c>
      <c r="L25">
        <f>IF((gamma!L25),IF(VLOOKUP(L$1,main!$A$3:$I$56,7,FALSE)=VLOOKUP($A25,main!$A$3:$I$56,8,FALSE),VLOOKUP(L$1,main!$A$3:$I$56,4,FALSE),VLOOKUP(L$1,main!$A$3:$I$56,4,FALSE)+VLOOKUP($A25,main!$A$3:$I$56,4,FALSE)+(VLOOKUP(VLOOKUP(L$1,main!$A$3:$I$56,8,FALSE),main!$K$19:$O$22,MATCH(VLOOKUP($A25,main!$A$3:$I$56,7,FALSE),main!$K$18:$O$18,0),0))),0)</f>
        <v>0</v>
      </c>
      <c r="M25">
        <f>IF((gamma!M25),IF(VLOOKUP(M$1,main!$A$3:$I$56,7,FALSE)=VLOOKUP($A25,main!$A$3:$I$56,8,FALSE),VLOOKUP(M$1,main!$A$3:$I$56,4,FALSE),VLOOKUP(M$1,main!$A$3:$I$56,4,FALSE)+VLOOKUP($A25,main!$A$3:$I$56,4,FALSE)+(VLOOKUP(VLOOKUP(M$1,main!$A$3:$I$56,8,FALSE),main!$K$19:$O$22,MATCH(VLOOKUP($A25,main!$A$3:$I$56,7,FALSE),main!$K$18:$O$18,0),0))),0)</f>
        <v>0</v>
      </c>
      <c r="N25">
        <f>IF((gamma!N25),IF(VLOOKUP(N$1,main!$A$3:$I$56,7,FALSE)=VLOOKUP($A25,main!$A$3:$I$56,8,FALSE),VLOOKUP(N$1,main!$A$3:$I$56,4,FALSE),VLOOKUP(N$1,main!$A$3:$I$56,4,FALSE)+VLOOKUP($A25,main!$A$3:$I$56,4,FALSE)+(VLOOKUP(VLOOKUP(N$1,main!$A$3:$I$56,8,FALSE),main!$K$19:$O$22,MATCH(VLOOKUP($A25,main!$A$3:$I$56,7,FALSE),main!$K$18:$O$18,0),0))),0)</f>
        <v>140</v>
      </c>
      <c r="O25">
        <f>IF((gamma!O25),IF(VLOOKUP(O$1,main!$A$3:$I$56,7,FALSE)=VLOOKUP($A25,main!$A$3:$I$56,8,FALSE),VLOOKUP(O$1,main!$A$3:$I$56,4,FALSE),VLOOKUP(O$1,main!$A$3:$I$56,4,FALSE)+VLOOKUP($A25,main!$A$3:$I$56,4,FALSE)+(VLOOKUP(VLOOKUP(O$1,main!$A$3:$I$56,8,FALSE),main!$K$19:$O$22,MATCH(VLOOKUP($A25,main!$A$3:$I$56,7,FALSE),main!$K$18:$O$18,0),0))),0)</f>
        <v>140</v>
      </c>
      <c r="P25">
        <f>IF((gamma!P25),IF(VLOOKUP(P$1,main!$A$3:$I$56,7,FALSE)=VLOOKUP($A25,main!$A$3:$I$56,8,FALSE),VLOOKUP(P$1,main!$A$3:$I$56,4,FALSE),VLOOKUP(P$1,main!$A$3:$I$56,4,FALSE)+VLOOKUP($A25,main!$A$3:$I$56,4,FALSE)+(VLOOKUP(VLOOKUP(P$1,main!$A$3:$I$56,8,FALSE),main!$K$19:$O$22,MATCH(VLOOKUP($A25,main!$A$3:$I$56,7,FALSE),main!$K$18:$O$18,0),0))),0)</f>
        <v>0</v>
      </c>
      <c r="Q25">
        <f>IF((gamma!Q25),IF(VLOOKUP(Q$1,main!$A$3:$I$56,7,FALSE)=VLOOKUP($A25,main!$A$3:$I$56,8,FALSE),VLOOKUP(Q$1,main!$A$3:$I$56,4,FALSE),VLOOKUP(Q$1,main!$A$3:$I$56,4,FALSE)+VLOOKUP($A25,main!$A$3:$I$56,4,FALSE)+(VLOOKUP(VLOOKUP(Q$1,main!$A$3:$I$56,8,FALSE),main!$K$19:$O$22,MATCH(VLOOKUP($A25,main!$A$3:$I$56,7,FALSE),main!$K$18:$O$18,0),0))),0)</f>
        <v>0</v>
      </c>
      <c r="R25">
        <f>IF((gamma!R25),IF(VLOOKUP(R$1,main!$A$3:$I$56,7,FALSE)=VLOOKUP($A25,main!$A$3:$I$56,8,FALSE),VLOOKUP(R$1,main!$A$3:$I$56,4,FALSE),VLOOKUP(R$1,main!$A$3:$I$56,4,FALSE)+VLOOKUP($A25,main!$A$3:$I$56,4,FALSE)+(VLOOKUP(VLOOKUP(R$1,main!$A$3:$I$56,8,FALSE),main!$K$19:$O$22,MATCH(VLOOKUP($A25,main!$A$3:$I$56,7,FALSE),main!$K$18:$O$18,0),0))),0)</f>
        <v>0</v>
      </c>
      <c r="S25">
        <f>IF((gamma!S25),IF(VLOOKUP(S$1,main!$A$3:$I$56,7,FALSE)=VLOOKUP($A25,main!$A$3:$I$56,8,FALSE),VLOOKUP(S$1,main!$A$3:$I$56,4,FALSE),VLOOKUP(S$1,main!$A$3:$I$56,4,FALSE)+VLOOKUP($A25,main!$A$3:$I$56,4,FALSE)+(VLOOKUP(VLOOKUP(S$1,main!$A$3:$I$56,8,FALSE),main!$K$19:$O$22,MATCH(VLOOKUP($A25,main!$A$3:$I$56,7,FALSE),main!$K$18:$O$18,0),0))),0)</f>
        <v>0</v>
      </c>
      <c r="T25">
        <f>IF((gamma!T25),IF(VLOOKUP(T$1,main!$A$3:$I$56,7,FALSE)=VLOOKUP($A25,main!$A$3:$I$56,8,FALSE),VLOOKUP(T$1,main!$A$3:$I$56,4,FALSE),VLOOKUP(T$1,main!$A$3:$I$56,4,FALSE)+VLOOKUP($A25,main!$A$3:$I$56,4,FALSE)+(VLOOKUP(VLOOKUP(T$1,main!$A$3:$I$56,8,FALSE),main!$K$19:$O$22,MATCH(VLOOKUP($A25,main!$A$3:$I$56,7,FALSE),main!$K$18:$O$18,0),0))),0)</f>
        <v>140</v>
      </c>
      <c r="U25">
        <f>IF((gamma!U25),IF(VLOOKUP(U$1,main!$A$3:$I$56,7,FALSE)=VLOOKUP($A25,main!$A$3:$I$56,8,FALSE),VLOOKUP(U$1,main!$A$3:$I$56,4,FALSE),VLOOKUP(U$1,main!$A$3:$I$56,4,FALSE)+VLOOKUP($A25,main!$A$3:$I$56,4,FALSE)+(VLOOKUP(VLOOKUP(U$1,main!$A$3:$I$56,8,FALSE),main!$K$19:$O$22,MATCH(VLOOKUP($A25,main!$A$3:$I$56,7,FALSE),main!$K$18:$O$18,0),0))),0)</f>
        <v>0</v>
      </c>
      <c r="V25">
        <f>IF((gamma!V25),IF(VLOOKUP(V$1,main!$A$3:$I$56,7,FALSE)=VLOOKUP($A25,main!$A$3:$I$56,8,FALSE),VLOOKUP(V$1,main!$A$3:$I$56,4,FALSE),VLOOKUP(V$1,main!$A$3:$I$56,4,FALSE)+VLOOKUP($A25,main!$A$3:$I$56,4,FALSE)+(VLOOKUP(VLOOKUP(V$1,main!$A$3:$I$56,8,FALSE),main!$K$19:$O$22,MATCH(VLOOKUP($A25,main!$A$3:$I$56,7,FALSE),main!$K$18:$O$18,0),0))),0)</f>
        <v>0</v>
      </c>
      <c r="W25">
        <f>IF((gamma!W25),IF(VLOOKUP(W$1,main!$A$3:$I$56,7,FALSE)=VLOOKUP($A25,main!$A$3:$I$56,8,FALSE),VLOOKUP(W$1,main!$A$3:$I$56,4,FALSE),VLOOKUP(W$1,main!$A$3:$I$56,4,FALSE)+VLOOKUP($A25,main!$A$3:$I$56,4,FALSE)+(VLOOKUP(VLOOKUP(W$1,main!$A$3:$I$56,8,FALSE),main!$K$19:$O$22,MATCH(VLOOKUP($A25,main!$A$3:$I$56,7,FALSE),main!$K$18:$O$18,0),0))),0)</f>
        <v>0</v>
      </c>
      <c r="X25">
        <f>IF((gamma!X25),IF(VLOOKUP(X$1,main!$A$3:$I$56,7,FALSE)=VLOOKUP($A25,main!$A$3:$I$56,8,FALSE),VLOOKUP(X$1,main!$A$3:$I$56,4,FALSE),VLOOKUP(X$1,main!$A$3:$I$56,4,FALSE)+VLOOKUP($A25,main!$A$3:$I$56,4,FALSE)+(VLOOKUP(VLOOKUP(X$1,main!$A$3:$I$56,8,FALSE),main!$K$19:$O$22,MATCH(VLOOKUP($A25,main!$A$3:$I$56,7,FALSE),main!$K$18:$O$18,0),0))),0)</f>
        <v>0</v>
      </c>
      <c r="Y25">
        <f>IF((gamma!Y25),IF(VLOOKUP(Y$1,main!$A$3:$I$56,7,FALSE)=VLOOKUP($A25,main!$A$3:$I$56,8,FALSE),VLOOKUP(Y$1,main!$A$3:$I$56,4,FALSE),VLOOKUP(Y$1,main!$A$3:$I$56,4,FALSE)+VLOOKUP($A25,main!$A$3:$I$56,4,FALSE)+(VLOOKUP(VLOOKUP(Y$1,main!$A$3:$I$56,8,FALSE),main!$K$19:$O$22,MATCH(VLOOKUP($A25,main!$A$3:$I$56,7,FALSE),main!$K$18:$O$18,0),0))),0)</f>
        <v>0</v>
      </c>
      <c r="Z25">
        <f>IF((gamma!Z25),IF(VLOOKUP(Z$1,main!$A$3:$I$56,7,FALSE)=VLOOKUP($A25,main!$A$3:$I$56,8,FALSE),VLOOKUP(Z$1,main!$A$3:$I$56,4,FALSE),VLOOKUP(Z$1,main!$A$3:$I$56,4,FALSE)+VLOOKUP($A25,main!$A$3:$I$56,4,FALSE)+(VLOOKUP(VLOOKUP(Z$1,main!$A$3:$I$56,8,FALSE),main!$K$19:$O$22,MATCH(VLOOKUP($A25,main!$A$3:$I$56,7,FALSE),main!$K$18:$O$18,0),0))),0)</f>
        <v>0</v>
      </c>
      <c r="AA25">
        <f>IF((gamma!AA25),IF(VLOOKUP(AA$1,main!$A$3:$I$56,7,FALSE)=VLOOKUP($A25,main!$A$3:$I$56,8,FALSE),VLOOKUP(AA$1,main!$A$3:$I$56,4,FALSE),VLOOKUP(AA$1,main!$A$3:$I$56,4,FALSE)+VLOOKUP($A25,main!$A$3:$I$56,4,FALSE)+(VLOOKUP(VLOOKUP(AA$1,main!$A$3:$I$56,8,FALSE),main!$K$19:$O$22,MATCH(VLOOKUP($A25,main!$A$3:$I$56,7,FALSE),main!$K$18:$O$18,0),0))),0)</f>
        <v>295</v>
      </c>
      <c r="AB25">
        <f>IF((gamma!AB25),IF(VLOOKUP(AB$1,main!$A$3:$I$56,7,FALSE)=VLOOKUP($A25,main!$A$3:$I$56,8,FALSE),VLOOKUP(AB$1,main!$A$3:$I$56,4,FALSE),VLOOKUP(AB$1,main!$A$3:$I$56,4,FALSE)+VLOOKUP($A25,main!$A$3:$I$56,4,FALSE)+(VLOOKUP(VLOOKUP(AB$1,main!$A$3:$I$56,8,FALSE),main!$K$19:$O$22,MATCH(VLOOKUP($A25,main!$A$3:$I$56,7,FALSE),main!$K$18:$O$18,0),0))),0)</f>
        <v>295</v>
      </c>
      <c r="AC25">
        <f>IF((gamma!AC25),IF(VLOOKUP(AC$1,main!$A$3:$I$56,7,FALSE)=VLOOKUP($A25,main!$A$3:$I$56,8,FALSE),VLOOKUP(AC$1,main!$A$3:$I$56,4,FALSE),VLOOKUP(AC$1,main!$A$3:$I$56,4,FALSE)+VLOOKUP($A25,main!$A$3:$I$56,4,FALSE)+(VLOOKUP(VLOOKUP(AC$1,main!$A$3:$I$56,8,FALSE),main!$K$19:$O$22,MATCH(VLOOKUP($A25,main!$A$3:$I$56,7,FALSE),main!$K$18:$O$18,0),0))),0)</f>
        <v>0</v>
      </c>
      <c r="AD25">
        <f>IF((gamma!AD25),IF(VLOOKUP(AD$1,main!$A$3:$I$56,7,FALSE)=VLOOKUP($A25,main!$A$3:$I$56,8,FALSE),VLOOKUP(AD$1,main!$A$3:$I$56,4,FALSE),VLOOKUP(AD$1,main!$A$3:$I$56,4,FALSE)+VLOOKUP($A25,main!$A$3:$I$56,4,FALSE)+(VLOOKUP(VLOOKUP(AD$1,main!$A$3:$I$56,8,FALSE),main!$K$19:$O$22,MATCH(VLOOKUP($A25,main!$A$3:$I$56,7,FALSE),main!$K$18:$O$18,0),0))),0)</f>
        <v>0</v>
      </c>
      <c r="AE25">
        <f>IF((gamma!AE25),IF(VLOOKUP(AE$1,main!$A$3:$I$56,7,FALSE)=VLOOKUP($A25,main!$A$3:$I$56,8,FALSE),VLOOKUP(AE$1,main!$A$3:$I$56,4,FALSE),VLOOKUP(AE$1,main!$A$3:$I$56,4,FALSE)+VLOOKUP($A25,main!$A$3:$I$56,4,FALSE)+(VLOOKUP(VLOOKUP(AE$1,main!$A$3:$I$56,8,FALSE),main!$K$19:$O$22,MATCH(VLOOKUP($A25,main!$A$3:$I$56,7,FALSE),main!$K$18:$O$18,0),0))),0)</f>
        <v>0</v>
      </c>
      <c r="AF25">
        <f>IF((gamma!AF25),IF(VLOOKUP(AF$1,main!$A$3:$I$56,7,FALSE)=VLOOKUP($A25,main!$A$3:$I$56,8,FALSE),VLOOKUP(AF$1,main!$A$3:$I$56,4,FALSE),VLOOKUP(AF$1,main!$A$3:$I$56,4,FALSE)+VLOOKUP($A25,main!$A$3:$I$56,4,FALSE)+(VLOOKUP(VLOOKUP(AF$1,main!$A$3:$I$56,8,FALSE),main!$K$19:$O$22,MATCH(VLOOKUP($A25,main!$A$3:$I$56,7,FALSE),main!$K$18:$O$18,0),0))),0)</f>
        <v>0</v>
      </c>
      <c r="AG25">
        <f>IF((gamma!AG25),IF(VLOOKUP(AG$1,main!$A$3:$I$56,7,FALSE)=VLOOKUP($A25,main!$A$3:$I$56,8,FALSE),VLOOKUP(AG$1,main!$A$3:$I$56,4,FALSE),VLOOKUP(AG$1,main!$A$3:$I$56,4,FALSE)+VLOOKUP($A25,main!$A$3:$I$56,4,FALSE)+(VLOOKUP(VLOOKUP(AG$1,main!$A$3:$I$56,8,FALSE),main!$K$19:$O$22,MATCH(VLOOKUP($A25,main!$A$3:$I$56,7,FALSE),main!$K$18:$O$18,0),0))),0)</f>
        <v>0</v>
      </c>
      <c r="AH25">
        <f>IF((gamma!AH25),IF(VLOOKUP(AH$1,main!$A$3:$I$56,7,FALSE)=VLOOKUP($A25,main!$A$3:$I$56,8,FALSE),VLOOKUP(AH$1,main!$A$3:$I$56,4,FALSE),VLOOKUP(AH$1,main!$A$3:$I$56,4,FALSE)+VLOOKUP($A25,main!$A$3:$I$56,4,FALSE)+(VLOOKUP(VLOOKUP(AH$1,main!$A$3:$I$56,8,FALSE),main!$K$19:$O$22,MATCH(VLOOKUP($A25,main!$A$3:$I$56,7,FALSE),main!$K$18:$O$18,0),0))),0)</f>
        <v>0</v>
      </c>
      <c r="AI25">
        <f>IF((gamma!AI25),IF(VLOOKUP(AI$1,main!$A$3:$I$56,7,FALSE)=VLOOKUP($A25,main!$A$3:$I$56,8,FALSE),VLOOKUP(AI$1,main!$A$3:$I$56,4,FALSE),VLOOKUP(AI$1,main!$A$3:$I$56,4,FALSE)+VLOOKUP($A25,main!$A$3:$I$56,4,FALSE)+(VLOOKUP(VLOOKUP(AI$1,main!$A$3:$I$56,8,FALSE),main!$K$19:$O$22,MATCH(VLOOKUP($A25,main!$A$3:$I$56,7,FALSE),main!$K$18:$O$18,0),0))),0)</f>
        <v>0</v>
      </c>
      <c r="AJ25">
        <f>IF((gamma!AJ25),IF(VLOOKUP(AJ$1,main!$A$3:$I$56,7,FALSE)=VLOOKUP($A25,main!$A$3:$I$56,8,FALSE),VLOOKUP(AJ$1,main!$A$3:$I$56,4,FALSE),VLOOKUP(AJ$1,main!$A$3:$I$56,4,FALSE)+VLOOKUP($A25,main!$A$3:$I$56,4,FALSE)+(VLOOKUP(VLOOKUP(AJ$1,main!$A$3:$I$56,8,FALSE),main!$K$19:$O$22,MATCH(VLOOKUP($A25,main!$A$3:$I$56,7,FALSE),main!$K$18:$O$18,0),0))),0)</f>
        <v>0</v>
      </c>
      <c r="AK25">
        <f>IF((gamma!AK25),IF(VLOOKUP(AK$1,main!$A$3:$I$56,7,FALSE)=VLOOKUP($A25,main!$A$3:$I$56,8,FALSE),VLOOKUP(AK$1,main!$A$3:$I$56,4,FALSE),VLOOKUP(AK$1,main!$A$3:$I$56,4,FALSE)+VLOOKUP($A25,main!$A$3:$I$56,4,FALSE)+(VLOOKUP(VLOOKUP(AK$1,main!$A$3:$I$56,8,FALSE),main!$K$19:$O$22,MATCH(VLOOKUP($A25,main!$A$3:$I$56,7,FALSE),main!$K$18:$O$18,0),0))),0)</f>
        <v>0</v>
      </c>
      <c r="AL25">
        <f>IF((gamma!AL25),IF(VLOOKUP(AL$1,main!$A$3:$I$56,7,FALSE)=VLOOKUP($A25,main!$A$3:$I$56,8,FALSE),VLOOKUP(AL$1,main!$A$3:$I$56,4,FALSE),VLOOKUP(AL$1,main!$A$3:$I$56,4,FALSE)+VLOOKUP($A25,main!$A$3:$I$56,4,FALSE)+(VLOOKUP(VLOOKUP(AL$1,main!$A$3:$I$56,8,FALSE),main!$K$19:$O$22,MATCH(VLOOKUP($A25,main!$A$3:$I$56,7,FALSE),main!$K$18:$O$18,0),0))),0)</f>
        <v>0</v>
      </c>
      <c r="AM25">
        <f>IF((gamma!AM25),IF(VLOOKUP(AM$1,main!$A$3:$I$56,7,FALSE)=VLOOKUP($A25,main!$A$3:$I$56,8,FALSE),VLOOKUP(AM$1,main!$A$3:$I$56,4,FALSE),VLOOKUP(AM$1,main!$A$3:$I$56,4,FALSE)+VLOOKUP($A25,main!$A$3:$I$56,4,FALSE)+(VLOOKUP(VLOOKUP(AM$1,main!$A$3:$I$56,8,FALSE),main!$K$19:$O$22,MATCH(VLOOKUP($A25,main!$A$3:$I$56,7,FALSE),main!$K$18:$O$18,0),0))),0)</f>
        <v>0</v>
      </c>
      <c r="AN25">
        <f>IF((gamma!AN25),IF(VLOOKUP(AN$1,main!$A$3:$I$56,7,FALSE)=VLOOKUP($A25,main!$A$3:$I$56,8,FALSE),VLOOKUP(AN$1,main!$A$3:$I$56,4,FALSE),VLOOKUP(AN$1,main!$A$3:$I$56,4,FALSE)+VLOOKUP($A25,main!$A$3:$I$56,4,FALSE)+(VLOOKUP(VLOOKUP(AN$1,main!$A$3:$I$56,8,FALSE),main!$K$19:$O$22,MATCH(VLOOKUP($A25,main!$A$3:$I$56,7,FALSE),main!$K$18:$O$18,0),0))),0)</f>
        <v>0</v>
      </c>
      <c r="AO25">
        <f>IF((gamma!AO25),IF(VLOOKUP(AO$1,main!$A$3:$I$56,7,FALSE)=VLOOKUP($A25,main!$A$3:$I$56,8,FALSE),VLOOKUP(AO$1,main!$A$3:$I$56,4,FALSE),VLOOKUP(AO$1,main!$A$3:$I$56,4,FALSE)+VLOOKUP($A25,main!$A$3:$I$56,4,FALSE)+(VLOOKUP(VLOOKUP(AO$1,main!$A$3:$I$56,8,FALSE),main!$K$19:$O$22,MATCH(VLOOKUP($A25,main!$A$3:$I$56,7,FALSE),main!$K$18:$O$18,0),0))),0)</f>
        <v>0</v>
      </c>
      <c r="AP25">
        <f>IF((gamma!AP25),IF(VLOOKUP(AP$1,main!$A$3:$I$56,7,FALSE)=VLOOKUP($A25,main!$A$3:$I$56,8,FALSE),VLOOKUP(AP$1,main!$A$3:$I$56,4,FALSE),VLOOKUP(AP$1,main!$A$3:$I$56,4,FALSE)+VLOOKUP($A25,main!$A$3:$I$56,4,FALSE)+(VLOOKUP(VLOOKUP(AP$1,main!$A$3:$I$56,8,FALSE),main!$K$19:$O$22,MATCH(VLOOKUP($A25,main!$A$3:$I$56,7,FALSE),main!$K$18:$O$18,0),0))),0)</f>
        <v>0</v>
      </c>
      <c r="AQ25">
        <f>IF((gamma!AQ25),IF(VLOOKUP(AQ$1,main!$A$3:$I$56,7,FALSE)=VLOOKUP($A25,main!$A$3:$I$56,8,FALSE),VLOOKUP(AQ$1,main!$A$3:$I$56,4,FALSE),VLOOKUP(AQ$1,main!$A$3:$I$56,4,FALSE)+VLOOKUP($A25,main!$A$3:$I$56,4,FALSE)+(VLOOKUP(VLOOKUP(AQ$1,main!$A$3:$I$56,8,FALSE),main!$K$19:$O$22,MATCH(VLOOKUP($A25,main!$A$3:$I$56,7,FALSE),main!$K$18:$O$18,0),0))),0)</f>
        <v>0</v>
      </c>
      <c r="AR25">
        <f>IF((gamma!AR25),IF(VLOOKUP(AR$1,main!$A$3:$I$56,7,FALSE)=VLOOKUP($A25,main!$A$3:$I$56,8,FALSE),VLOOKUP(AR$1,main!$A$3:$I$56,4,FALSE),VLOOKUP(AR$1,main!$A$3:$I$56,4,FALSE)+VLOOKUP($A25,main!$A$3:$I$56,4,FALSE)+(VLOOKUP(VLOOKUP(AR$1,main!$A$3:$I$56,8,FALSE),main!$K$19:$O$22,MATCH(VLOOKUP($A25,main!$A$3:$I$56,7,FALSE),main!$K$18:$O$18,0),0))),0)</f>
        <v>0</v>
      </c>
      <c r="AS25">
        <f>IF((gamma!AS25),IF(VLOOKUP(AS$1,main!$A$3:$I$56,7,FALSE)=VLOOKUP($A25,main!$A$3:$I$56,8,FALSE),VLOOKUP(AS$1,main!$A$3:$I$56,4,FALSE),VLOOKUP(AS$1,main!$A$3:$I$56,4,FALSE)+VLOOKUP($A25,main!$A$3:$I$56,4,FALSE)+(VLOOKUP(VLOOKUP(AS$1,main!$A$3:$I$56,8,FALSE),main!$K$19:$O$22,MATCH(VLOOKUP($A25,main!$A$3:$I$56,7,FALSE),main!$K$18:$O$18,0),0))),0)</f>
        <v>0</v>
      </c>
      <c r="AT25">
        <f>IF((gamma!AT25),IF(VLOOKUP(AT$1,main!$A$3:$I$56,7,FALSE)=VLOOKUP($A25,main!$A$3:$I$56,8,FALSE),VLOOKUP(AT$1,main!$A$3:$I$56,4,FALSE),VLOOKUP(AT$1,main!$A$3:$I$56,4,FALSE)+VLOOKUP($A25,main!$A$3:$I$56,4,FALSE)+(VLOOKUP(VLOOKUP(AT$1,main!$A$3:$I$56,8,FALSE),main!$K$19:$O$22,MATCH(VLOOKUP($A25,main!$A$3:$I$56,7,FALSE),main!$K$18:$O$18,0),0))),0)</f>
        <v>0</v>
      </c>
      <c r="AU25">
        <f>IF((gamma!AU25),IF(VLOOKUP(AU$1,main!$A$3:$I$56,7,FALSE)=VLOOKUP($A25,main!$A$3:$I$56,8,FALSE),VLOOKUP(AU$1,main!$A$3:$I$56,4,FALSE),VLOOKUP(AU$1,main!$A$3:$I$56,4,FALSE)+VLOOKUP($A25,main!$A$3:$I$56,4,FALSE)+(VLOOKUP(VLOOKUP(AU$1,main!$A$3:$I$56,8,FALSE),main!$K$19:$O$22,MATCH(VLOOKUP($A25,main!$A$3:$I$56,7,FALSE),main!$K$18:$O$18,0),0))),0)</f>
        <v>0</v>
      </c>
      <c r="AV25">
        <f>IF((gamma!AV25),IF(VLOOKUP(AV$1,main!$A$3:$I$56,7,FALSE)=VLOOKUP($A25,main!$A$3:$I$56,8,FALSE),VLOOKUP(AV$1,main!$A$3:$I$56,4,FALSE),VLOOKUP(AV$1,main!$A$3:$I$56,4,FALSE)+VLOOKUP($A25,main!$A$3:$I$56,4,FALSE)+(VLOOKUP(VLOOKUP(AV$1,main!$A$3:$I$56,8,FALSE),main!$K$19:$O$22,MATCH(VLOOKUP($A25,main!$A$3:$I$56,7,FALSE),main!$K$18:$O$18,0),0))),0)</f>
        <v>0</v>
      </c>
      <c r="AW25">
        <f>IF((gamma!AW25),IF(VLOOKUP(AW$1,main!$A$3:$I$56,7,FALSE)=VLOOKUP($A25,main!$A$3:$I$56,8,FALSE),VLOOKUP(AW$1,main!$A$3:$I$56,4,FALSE),VLOOKUP(AW$1,main!$A$3:$I$56,4,FALSE)+VLOOKUP($A25,main!$A$3:$I$56,4,FALSE)+(VLOOKUP(VLOOKUP(AW$1,main!$A$3:$I$56,8,FALSE),main!$K$19:$O$22,MATCH(VLOOKUP($A25,main!$A$3:$I$56,7,FALSE),main!$K$18:$O$18,0),0))),0)</f>
        <v>0</v>
      </c>
      <c r="AX25">
        <f>IF((gamma!AX25),IF(VLOOKUP(AX$1,main!$A$3:$I$56,7,FALSE)=VLOOKUP($A25,main!$A$3:$I$56,8,FALSE),VLOOKUP(AX$1,main!$A$3:$I$56,4,FALSE),VLOOKUP(AX$1,main!$A$3:$I$56,4,FALSE)+VLOOKUP($A25,main!$A$3:$I$56,4,FALSE)+(VLOOKUP(VLOOKUP(AX$1,main!$A$3:$I$56,8,FALSE),main!$K$19:$O$22,MATCH(VLOOKUP($A25,main!$A$3:$I$56,7,FALSE),main!$K$18:$O$18,0),0))),0)</f>
        <v>0</v>
      </c>
      <c r="AY25">
        <f>IF((gamma!AY25),IF(VLOOKUP(AY$1,main!$A$3:$I$56,7,FALSE)=VLOOKUP($A25,main!$A$3:$I$56,8,FALSE),VLOOKUP(AY$1,main!$A$3:$I$56,4,FALSE),VLOOKUP(AY$1,main!$A$3:$I$56,4,FALSE)+VLOOKUP($A25,main!$A$3:$I$56,4,FALSE)+(VLOOKUP(VLOOKUP(AY$1,main!$A$3:$I$56,8,FALSE),main!$K$19:$O$22,MATCH(VLOOKUP($A25,main!$A$3:$I$56,7,FALSE),main!$K$18:$O$18,0),0))),0)</f>
        <v>300</v>
      </c>
      <c r="AZ25">
        <f>IF((gamma!AZ25),IF(VLOOKUP(AZ$1,main!$A$3:$I$56,7,FALSE)=VLOOKUP($A25,main!$A$3:$I$56,8,FALSE),VLOOKUP(AZ$1,main!$A$3:$I$56,4,FALSE),VLOOKUP(AZ$1,main!$A$3:$I$56,4,FALSE)+VLOOKUP($A25,main!$A$3:$I$56,4,FALSE)+(VLOOKUP(VLOOKUP(AZ$1,main!$A$3:$I$56,8,FALSE),main!$K$19:$O$22,MATCH(VLOOKUP($A25,main!$A$3:$I$56,7,FALSE),main!$K$18:$O$18,0),0))),0)</f>
        <v>0</v>
      </c>
      <c r="BA25">
        <f>IF((gamma!BA25),IF(VLOOKUP(BA$1,main!$A$3:$I$56,7,FALSE)=VLOOKUP($A25,main!$A$3:$I$56,8,FALSE),VLOOKUP(BA$1,main!$A$3:$I$56,4,FALSE),VLOOKUP(BA$1,main!$A$3:$I$56,4,FALSE)+VLOOKUP($A25,main!$A$3:$I$56,4,FALSE)+(VLOOKUP(VLOOKUP(BA$1,main!$A$3:$I$56,8,FALSE),main!$K$19:$O$22,MATCH(VLOOKUP($A25,main!$A$3:$I$56,7,FALSE),main!$K$18:$O$18,0),0))),0)</f>
        <v>0</v>
      </c>
      <c r="BB25">
        <f>IF((gamma!BB25),IF(VLOOKUP(BB$1,main!$A$3:$I$56,7,FALSE)=VLOOKUP($A25,main!$A$3:$I$56,8,FALSE),VLOOKUP(BB$1,main!$A$3:$I$56,4,FALSE),VLOOKUP(BB$1,main!$A$3:$I$56,4,FALSE)+VLOOKUP($A25,main!$A$3:$I$56,4,FALSE)+(VLOOKUP(VLOOKUP(BB$1,main!$A$3:$I$56,8,FALSE),main!$K$19:$O$22,MATCH(VLOOKUP($A25,main!$A$3:$I$56,7,FALSE),main!$K$18:$O$18,0),0))),0)</f>
        <v>0</v>
      </c>
      <c r="BC25">
        <f>IF((gamma!BC25),IF(VLOOKUP(BC$1,main!$A$3:$I$56,7,FALSE)=VLOOKUP($A25,main!$A$3:$I$56,8,FALSE),VLOOKUP(BC$1,main!$A$3:$I$56,4,FALSE),VLOOKUP(BC$1,main!$A$3:$I$56,4,FALSE)+VLOOKUP($A25,main!$A$3:$I$56,4,FALSE)+(VLOOKUP(VLOOKUP(BC$1,main!$A$3:$I$56,8,FALSE),main!$K$19:$O$22,MATCH(VLOOKUP($A25,main!$A$3:$I$56,7,FALSE),main!$K$18:$O$18,0),0))),0)</f>
        <v>0</v>
      </c>
      <c r="BD25">
        <f>IF((gamma!BD25),IF(VLOOKUP(BD$1,main!$A$3:$I$56,7,FALSE)=VLOOKUP($A25,main!$A$3:$I$56,8,FALSE),VLOOKUP(BD$1,main!$A$3:$I$56,4,FALSE),VLOOKUP(BD$1,main!$A$3:$I$56,4,FALSE)+VLOOKUP($A25,main!$A$3:$I$56,4,FALSE)+(VLOOKUP(VLOOKUP(BD$1,main!$A$3:$I$56,8,FALSE),main!$K$19:$O$22,MATCH(VLOOKUP($A25,main!$A$3:$I$56,7,FALSE),main!$K$18:$O$18,0),0))),0)</f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>
        <f t="shared" si="0"/>
        <v>24</v>
      </c>
      <c r="B26">
        <v>0</v>
      </c>
      <c r="C26">
        <f>IF((gamma!C26),IF(VLOOKUP(C$1,main!$A$3:$I$56,7,FALSE)=VLOOKUP($A26,main!$A$3:$I$56,8,FALSE),VLOOKUP(C$1,main!$A$3:$I$56,4,FALSE),VLOOKUP(C$1,main!$A$3:$I$56,4,FALSE)+VLOOKUP($A26,main!$A$3:$I$56,4,FALSE)+(VLOOKUP(VLOOKUP(C$1,main!$A$3:$I$56,8,FALSE),main!$K$19:$O$22,MATCH(VLOOKUP($A26,main!$A$3:$I$56,7,FALSE),main!$K$18:$O$18,0),0))),0)</f>
        <v>0</v>
      </c>
      <c r="D26">
        <f>IF((gamma!D26),IF(VLOOKUP(D$1,main!$A$3:$I$56,7,FALSE)=VLOOKUP($A26,main!$A$3:$I$56,8,FALSE),VLOOKUP(D$1,main!$A$3:$I$56,4,FALSE),VLOOKUP(D$1,main!$A$3:$I$56,4,FALSE)+VLOOKUP($A26,main!$A$3:$I$56,4,FALSE)+(VLOOKUP(VLOOKUP(D$1,main!$A$3:$I$56,8,FALSE),main!$K$19:$O$22,MATCH(VLOOKUP($A26,main!$A$3:$I$56,7,FALSE),main!$K$18:$O$18,0),0))),0)</f>
        <v>0</v>
      </c>
      <c r="E26">
        <f>IF((gamma!E26),IF(VLOOKUP(E$1,main!$A$3:$I$56,7,FALSE)=VLOOKUP($A26,main!$A$3:$I$56,8,FALSE),VLOOKUP(E$1,main!$A$3:$I$56,4,FALSE),VLOOKUP(E$1,main!$A$3:$I$56,4,FALSE)+VLOOKUP($A26,main!$A$3:$I$56,4,FALSE)+(VLOOKUP(VLOOKUP(E$1,main!$A$3:$I$56,8,FALSE),main!$K$19:$O$22,MATCH(VLOOKUP($A26,main!$A$3:$I$56,7,FALSE),main!$K$18:$O$18,0),0))),0)</f>
        <v>0</v>
      </c>
      <c r="F26">
        <f>IF((gamma!F26),IF(VLOOKUP(F$1,main!$A$3:$I$56,7,FALSE)=VLOOKUP($A26,main!$A$3:$I$56,8,FALSE),VLOOKUP(F$1,main!$A$3:$I$56,4,FALSE),VLOOKUP(F$1,main!$A$3:$I$56,4,FALSE)+VLOOKUP($A26,main!$A$3:$I$56,4,FALSE)+(VLOOKUP(VLOOKUP(F$1,main!$A$3:$I$56,8,FALSE),main!$K$19:$O$22,MATCH(VLOOKUP($A26,main!$A$3:$I$56,7,FALSE),main!$K$18:$O$18,0),0))),0)</f>
        <v>0</v>
      </c>
      <c r="G26">
        <f>IF((gamma!G26),IF(VLOOKUP(G$1,main!$A$3:$I$56,7,FALSE)=VLOOKUP($A26,main!$A$3:$I$56,8,FALSE),VLOOKUP(G$1,main!$A$3:$I$56,4,FALSE),VLOOKUP(G$1,main!$A$3:$I$56,4,FALSE)+VLOOKUP($A26,main!$A$3:$I$56,4,FALSE)+(VLOOKUP(VLOOKUP(G$1,main!$A$3:$I$56,8,FALSE),main!$K$19:$O$22,MATCH(VLOOKUP($A26,main!$A$3:$I$56,7,FALSE),main!$K$18:$O$18,0),0))),0)</f>
        <v>0</v>
      </c>
      <c r="H26">
        <f>IF((gamma!H26),IF(VLOOKUP(H$1,main!$A$3:$I$56,7,FALSE)=VLOOKUP($A26,main!$A$3:$I$56,8,FALSE),VLOOKUP(H$1,main!$A$3:$I$56,4,FALSE),VLOOKUP(H$1,main!$A$3:$I$56,4,FALSE)+VLOOKUP($A26,main!$A$3:$I$56,4,FALSE)+(VLOOKUP(VLOOKUP(H$1,main!$A$3:$I$56,8,FALSE),main!$K$19:$O$22,MATCH(VLOOKUP($A26,main!$A$3:$I$56,7,FALSE),main!$K$18:$O$18,0),0))),0)</f>
        <v>0</v>
      </c>
      <c r="I26">
        <f>IF((gamma!I26),IF(VLOOKUP(I$1,main!$A$3:$I$56,7,FALSE)=VLOOKUP($A26,main!$A$3:$I$56,8,FALSE),VLOOKUP(I$1,main!$A$3:$I$56,4,FALSE),VLOOKUP(I$1,main!$A$3:$I$56,4,FALSE)+VLOOKUP($A26,main!$A$3:$I$56,4,FALSE)+(VLOOKUP(VLOOKUP(I$1,main!$A$3:$I$56,8,FALSE),main!$K$19:$O$22,MATCH(VLOOKUP($A26,main!$A$3:$I$56,7,FALSE),main!$K$18:$O$18,0),0))),0)</f>
        <v>0</v>
      </c>
      <c r="J26">
        <f>IF((gamma!J26),IF(VLOOKUP(J$1,main!$A$3:$I$56,7,FALSE)=VLOOKUP($A26,main!$A$3:$I$56,8,FALSE),VLOOKUP(J$1,main!$A$3:$I$56,4,FALSE),VLOOKUP(J$1,main!$A$3:$I$56,4,FALSE)+VLOOKUP($A26,main!$A$3:$I$56,4,FALSE)+(VLOOKUP(VLOOKUP(J$1,main!$A$3:$I$56,8,FALSE),main!$K$19:$O$22,MATCH(VLOOKUP($A26,main!$A$3:$I$56,7,FALSE),main!$K$18:$O$18,0),0))),0)</f>
        <v>135</v>
      </c>
      <c r="K26">
        <f>IF((gamma!K26),IF(VLOOKUP(K$1,main!$A$3:$I$56,7,FALSE)=VLOOKUP($A26,main!$A$3:$I$56,8,FALSE),VLOOKUP(K$1,main!$A$3:$I$56,4,FALSE),VLOOKUP(K$1,main!$A$3:$I$56,4,FALSE)+VLOOKUP($A26,main!$A$3:$I$56,4,FALSE)+(VLOOKUP(VLOOKUP(K$1,main!$A$3:$I$56,8,FALSE),main!$K$19:$O$22,MATCH(VLOOKUP($A26,main!$A$3:$I$56,7,FALSE),main!$K$18:$O$18,0),0))),0)</f>
        <v>0</v>
      </c>
      <c r="L26">
        <f>IF((gamma!L26),IF(VLOOKUP(L$1,main!$A$3:$I$56,7,FALSE)=VLOOKUP($A26,main!$A$3:$I$56,8,FALSE),VLOOKUP(L$1,main!$A$3:$I$56,4,FALSE),VLOOKUP(L$1,main!$A$3:$I$56,4,FALSE)+VLOOKUP($A26,main!$A$3:$I$56,4,FALSE)+(VLOOKUP(VLOOKUP(L$1,main!$A$3:$I$56,8,FALSE),main!$K$19:$O$22,MATCH(VLOOKUP($A26,main!$A$3:$I$56,7,FALSE),main!$K$18:$O$18,0),0))),0)</f>
        <v>0</v>
      </c>
      <c r="M26">
        <f>IF((gamma!M26),IF(VLOOKUP(M$1,main!$A$3:$I$56,7,FALSE)=VLOOKUP($A26,main!$A$3:$I$56,8,FALSE),VLOOKUP(M$1,main!$A$3:$I$56,4,FALSE),VLOOKUP(M$1,main!$A$3:$I$56,4,FALSE)+VLOOKUP($A26,main!$A$3:$I$56,4,FALSE)+(VLOOKUP(VLOOKUP(M$1,main!$A$3:$I$56,8,FALSE),main!$K$19:$O$22,MATCH(VLOOKUP($A26,main!$A$3:$I$56,7,FALSE),main!$K$18:$O$18,0),0))),0)</f>
        <v>0</v>
      </c>
      <c r="N26">
        <f>IF((gamma!N26),IF(VLOOKUP(N$1,main!$A$3:$I$56,7,FALSE)=VLOOKUP($A26,main!$A$3:$I$56,8,FALSE),VLOOKUP(N$1,main!$A$3:$I$56,4,FALSE),VLOOKUP(N$1,main!$A$3:$I$56,4,FALSE)+VLOOKUP($A26,main!$A$3:$I$56,4,FALSE)+(VLOOKUP(VLOOKUP(N$1,main!$A$3:$I$56,8,FALSE),main!$K$19:$O$22,MATCH(VLOOKUP($A26,main!$A$3:$I$56,7,FALSE),main!$K$18:$O$18,0),0))),0)</f>
        <v>140</v>
      </c>
      <c r="O26">
        <f>IF((gamma!O26),IF(VLOOKUP(O$1,main!$A$3:$I$56,7,FALSE)=VLOOKUP($A26,main!$A$3:$I$56,8,FALSE),VLOOKUP(O$1,main!$A$3:$I$56,4,FALSE),VLOOKUP(O$1,main!$A$3:$I$56,4,FALSE)+VLOOKUP($A26,main!$A$3:$I$56,4,FALSE)+(VLOOKUP(VLOOKUP(O$1,main!$A$3:$I$56,8,FALSE),main!$K$19:$O$22,MATCH(VLOOKUP($A26,main!$A$3:$I$56,7,FALSE),main!$K$18:$O$18,0),0))),0)</f>
        <v>140</v>
      </c>
      <c r="P26">
        <f>IF((gamma!P26),IF(VLOOKUP(P$1,main!$A$3:$I$56,7,FALSE)=VLOOKUP($A26,main!$A$3:$I$56,8,FALSE),VLOOKUP(P$1,main!$A$3:$I$56,4,FALSE),VLOOKUP(P$1,main!$A$3:$I$56,4,FALSE)+VLOOKUP($A26,main!$A$3:$I$56,4,FALSE)+(VLOOKUP(VLOOKUP(P$1,main!$A$3:$I$56,8,FALSE),main!$K$19:$O$22,MATCH(VLOOKUP($A26,main!$A$3:$I$56,7,FALSE),main!$K$18:$O$18,0),0))),0)</f>
        <v>0</v>
      </c>
      <c r="Q26">
        <f>IF((gamma!Q26),IF(VLOOKUP(Q$1,main!$A$3:$I$56,7,FALSE)=VLOOKUP($A26,main!$A$3:$I$56,8,FALSE),VLOOKUP(Q$1,main!$A$3:$I$56,4,FALSE),VLOOKUP(Q$1,main!$A$3:$I$56,4,FALSE)+VLOOKUP($A26,main!$A$3:$I$56,4,FALSE)+(VLOOKUP(VLOOKUP(Q$1,main!$A$3:$I$56,8,FALSE),main!$K$19:$O$22,MATCH(VLOOKUP($A26,main!$A$3:$I$56,7,FALSE),main!$K$18:$O$18,0),0))),0)</f>
        <v>0</v>
      </c>
      <c r="R26">
        <f>IF((gamma!R26),IF(VLOOKUP(R$1,main!$A$3:$I$56,7,FALSE)=VLOOKUP($A26,main!$A$3:$I$56,8,FALSE),VLOOKUP(R$1,main!$A$3:$I$56,4,FALSE),VLOOKUP(R$1,main!$A$3:$I$56,4,FALSE)+VLOOKUP($A26,main!$A$3:$I$56,4,FALSE)+(VLOOKUP(VLOOKUP(R$1,main!$A$3:$I$56,8,FALSE),main!$K$19:$O$22,MATCH(VLOOKUP($A26,main!$A$3:$I$56,7,FALSE),main!$K$18:$O$18,0),0))),0)</f>
        <v>0</v>
      </c>
      <c r="S26">
        <f>IF((gamma!S26),IF(VLOOKUP(S$1,main!$A$3:$I$56,7,FALSE)=VLOOKUP($A26,main!$A$3:$I$56,8,FALSE),VLOOKUP(S$1,main!$A$3:$I$56,4,FALSE),VLOOKUP(S$1,main!$A$3:$I$56,4,FALSE)+VLOOKUP($A26,main!$A$3:$I$56,4,FALSE)+(VLOOKUP(VLOOKUP(S$1,main!$A$3:$I$56,8,FALSE),main!$K$19:$O$22,MATCH(VLOOKUP($A26,main!$A$3:$I$56,7,FALSE),main!$K$18:$O$18,0),0))),0)</f>
        <v>0</v>
      </c>
      <c r="T26">
        <f>IF((gamma!T26),IF(VLOOKUP(T$1,main!$A$3:$I$56,7,FALSE)=VLOOKUP($A26,main!$A$3:$I$56,8,FALSE),VLOOKUP(T$1,main!$A$3:$I$56,4,FALSE),VLOOKUP(T$1,main!$A$3:$I$56,4,FALSE)+VLOOKUP($A26,main!$A$3:$I$56,4,FALSE)+(VLOOKUP(VLOOKUP(T$1,main!$A$3:$I$56,8,FALSE),main!$K$19:$O$22,MATCH(VLOOKUP($A26,main!$A$3:$I$56,7,FALSE),main!$K$18:$O$18,0),0))),0)</f>
        <v>0</v>
      </c>
      <c r="U26">
        <f>IF((gamma!U26),IF(VLOOKUP(U$1,main!$A$3:$I$56,7,FALSE)=VLOOKUP($A26,main!$A$3:$I$56,8,FALSE),VLOOKUP(U$1,main!$A$3:$I$56,4,FALSE),VLOOKUP(U$1,main!$A$3:$I$56,4,FALSE)+VLOOKUP($A26,main!$A$3:$I$56,4,FALSE)+(VLOOKUP(VLOOKUP(U$1,main!$A$3:$I$56,8,FALSE),main!$K$19:$O$22,MATCH(VLOOKUP($A26,main!$A$3:$I$56,7,FALSE),main!$K$18:$O$18,0),0))),0)</f>
        <v>0</v>
      </c>
      <c r="V26">
        <f>IF((gamma!V26),IF(VLOOKUP(V$1,main!$A$3:$I$56,7,FALSE)=VLOOKUP($A26,main!$A$3:$I$56,8,FALSE),VLOOKUP(V$1,main!$A$3:$I$56,4,FALSE),VLOOKUP(V$1,main!$A$3:$I$56,4,FALSE)+VLOOKUP($A26,main!$A$3:$I$56,4,FALSE)+(VLOOKUP(VLOOKUP(V$1,main!$A$3:$I$56,8,FALSE),main!$K$19:$O$22,MATCH(VLOOKUP($A26,main!$A$3:$I$56,7,FALSE),main!$K$18:$O$18,0),0))),0)</f>
        <v>0</v>
      </c>
      <c r="W26">
        <f>IF((gamma!W26),IF(VLOOKUP(W$1,main!$A$3:$I$56,7,FALSE)=VLOOKUP($A26,main!$A$3:$I$56,8,FALSE),VLOOKUP(W$1,main!$A$3:$I$56,4,FALSE),VLOOKUP(W$1,main!$A$3:$I$56,4,FALSE)+VLOOKUP($A26,main!$A$3:$I$56,4,FALSE)+(VLOOKUP(VLOOKUP(W$1,main!$A$3:$I$56,8,FALSE),main!$K$19:$O$22,MATCH(VLOOKUP($A26,main!$A$3:$I$56,7,FALSE),main!$K$18:$O$18,0),0))),0)</f>
        <v>0</v>
      </c>
      <c r="X26">
        <f>IF((gamma!X26),IF(VLOOKUP(X$1,main!$A$3:$I$56,7,FALSE)=VLOOKUP($A26,main!$A$3:$I$56,8,FALSE),VLOOKUP(X$1,main!$A$3:$I$56,4,FALSE),VLOOKUP(X$1,main!$A$3:$I$56,4,FALSE)+VLOOKUP($A26,main!$A$3:$I$56,4,FALSE)+(VLOOKUP(VLOOKUP(X$1,main!$A$3:$I$56,8,FALSE),main!$K$19:$O$22,MATCH(VLOOKUP($A26,main!$A$3:$I$56,7,FALSE),main!$K$18:$O$18,0),0))),0)</f>
        <v>0</v>
      </c>
      <c r="Y26">
        <f>IF((gamma!Y26),IF(VLOOKUP(Y$1,main!$A$3:$I$56,7,FALSE)=VLOOKUP($A26,main!$A$3:$I$56,8,FALSE),VLOOKUP(Y$1,main!$A$3:$I$56,4,FALSE),VLOOKUP(Y$1,main!$A$3:$I$56,4,FALSE)+VLOOKUP($A26,main!$A$3:$I$56,4,FALSE)+(VLOOKUP(VLOOKUP(Y$1,main!$A$3:$I$56,8,FALSE),main!$K$19:$O$22,MATCH(VLOOKUP($A26,main!$A$3:$I$56,7,FALSE),main!$K$18:$O$18,0),0))),0)</f>
        <v>0</v>
      </c>
      <c r="Z26">
        <f>IF((gamma!Z26),IF(VLOOKUP(Z$1,main!$A$3:$I$56,7,FALSE)=VLOOKUP($A26,main!$A$3:$I$56,8,FALSE),VLOOKUP(Z$1,main!$A$3:$I$56,4,FALSE),VLOOKUP(Z$1,main!$A$3:$I$56,4,FALSE)+VLOOKUP($A26,main!$A$3:$I$56,4,FALSE)+(VLOOKUP(VLOOKUP(Z$1,main!$A$3:$I$56,8,FALSE),main!$K$19:$O$22,MATCH(VLOOKUP($A26,main!$A$3:$I$56,7,FALSE),main!$K$18:$O$18,0),0))),0)</f>
        <v>0</v>
      </c>
      <c r="AA26">
        <f>IF((gamma!AA26),IF(VLOOKUP(AA$1,main!$A$3:$I$56,7,FALSE)=VLOOKUP($A26,main!$A$3:$I$56,8,FALSE),VLOOKUP(AA$1,main!$A$3:$I$56,4,FALSE),VLOOKUP(AA$1,main!$A$3:$I$56,4,FALSE)+VLOOKUP($A26,main!$A$3:$I$56,4,FALSE)+(VLOOKUP(VLOOKUP(AA$1,main!$A$3:$I$56,8,FALSE),main!$K$19:$O$22,MATCH(VLOOKUP($A26,main!$A$3:$I$56,7,FALSE),main!$K$18:$O$18,0),0))),0)</f>
        <v>0</v>
      </c>
      <c r="AB26">
        <f>IF((gamma!AB26),IF(VLOOKUP(AB$1,main!$A$3:$I$56,7,FALSE)=VLOOKUP($A26,main!$A$3:$I$56,8,FALSE),VLOOKUP(AB$1,main!$A$3:$I$56,4,FALSE),VLOOKUP(AB$1,main!$A$3:$I$56,4,FALSE)+VLOOKUP($A26,main!$A$3:$I$56,4,FALSE)+(VLOOKUP(VLOOKUP(AB$1,main!$A$3:$I$56,8,FALSE),main!$K$19:$O$22,MATCH(VLOOKUP($A26,main!$A$3:$I$56,7,FALSE),main!$K$18:$O$18,0),0))),0)</f>
        <v>0</v>
      </c>
      <c r="AC26">
        <f>IF((gamma!AC26),IF(VLOOKUP(AC$1,main!$A$3:$I$56,7,FALSE)=VLOOKUP($A26,main!$A$3:$I$56,8,FALSE),VLOOKUP(AC$1,main!$A$3:$I$56,4,FALSE),VLOOKUP(AC$1,main!$A$3:$I$56,4,FALSE)+VLOOKUP($A26,main!$A$3:$I$56,4,FALSE)+(VLOOKUP(VLOOKUP(AC$1,main!$A$3:$I$56,8,FALSE),main!$K$19:$O$22,MATCH(VLOOKUP($A26,main!$A$3:$I$56,7,FALSE),main!$K$18:$O$18,0),0))),0)</f>
        <v>0</v>
      </c>
      <c r="AD26">
        <f>IF((gamma!AD26),IF(VLOOKUP(AD$1,main!$A$3:$I$56,7,FALSE)=VLOOKUP($A26,main!$A$3:$I$56,8,FALSE),VLOOKUP(AD$1,main!$A$3:$I$56,4,FALSE),VLOOKUP(AD$1,main!$A$3:$I$56,4,FALSE)+VLOOKUP($A26,main!$A$3:$I$56,4,FALSE)+(VLOOKUP(VLOOKUP(AD$1,main!$A$3:$I$56,8,FALSE),main!$K$19:$O$22,MATCH(VLOOKUP($A26,main!$A$3:$I$56,7,FALSE),main!$K$18:$O$18,0),0))),0)</f>
        <v>0</v>
      </c>
      <c r="AE26">
        <f>IF((gamma!AE26),IF(VLOOKUP(AE$1,main!$A$3:$I$56,7,FALSE)=VLOOKUP($A26,main!$A$3:$I$56,8,FALSE),VLOOKUP(AE$1,main!$A$3:$I$56,4,FALSE),VLOOKUP(AE$1,main!$A$3:$I$56,4,FALSE)+VLOOKUP($A26,main!$A$3:$I$56,4,FALSE)+(VLOOKUP(VLOOKUP(AE$1,main!$A$3:$I$56,8,FALSE),main!$K$19:$O$22,MATCH(VLOOKUP($A26,main!$A$3:$I$56,7,FALSE),main!$K$18:$O$18,0),0))),0)</f>
        <v>0</v>
      </c>
      <c r="AF26">
        <f>IF((gamma!AF26),IF(VLOOKUP(AF$1,main!$A$3:$I$56,7,FALSE)=VLOOKUP($A26,main!$A$3:$I$56,8,FALSE),VLOOKUP(AF$1,main!$A$3:$I$56,4,FALSE),VLOOKUP(AF$1,main!$A$3:$I$56,4,FALSE)+VLOOKUP($A26,main!$A$3:$I$56,4,FALSE)+(VLOOKUP(VLOOKUP(AF$1,main!$A$3:$I$56,8,FALSE),main!$K$19:$O$22,MATCH(VLOOKUP($A26,main!$A$3:$I$56,7,FALSE),main!$K$18:$O$18,0),0))),0)</f>
        <v>0</v>
      </c>
      <c r="AG26">
        <f>IF((gamma!AG26),IF(VLOOKUP(AG$1,main!$A$3:$I$56,7,FALSE)=VLOOKUP($A26,main!$A$3:$I$56,8,FALSE),VLOOKUP(AG$1,main!$A$3:$I$56,4,FALSE),VLOOKUP(AG$1,main!$A$3:$I$56,4,FALSE)+VLOOKUP($A26,main!$A$3:$I$56,4,FALSE)+(VLOOKUP(VLOOKUP(AG$1,main!$A$3:$I$56,8,FALSE),main!$K$19:$O$22,MATCH(VLOOKUP($A26,main!$A$3:$I$56,7,FALSE),main!$K$18:$O$18,0),0))),0)</f>
        <v>0</v>
      </c>
      <c r="AH26">
        <f>IF((gamma!AH26),IF(VLOOKUP(AH$1,main!$A$3:$I$56,7,FALSE)=VLOOKUP($A26,main!$A$3:$I$56,8,FALSE),VLOOKUP(AH$1,main!$A$3:$I$56,4,FALSE),VLOOKUP(AH$1,main!$A$3:$I$56,4,FALSE)+VLOOKUP($A26,main!$A$3:$I$56,4,FALSE)+(VLOOKUP(VLOOKUP(AH$1,main!$A$3:$I$56,8,FALSE),main!$K$19:$O$22,MATCH(VLOOKUP($A26,main!$A$3:$I$56,7,FALSE),main!$K$18:$O$18,0),0))),0)</f>
        <v>0</v>
      </c>
      <c r="AI26">
        <f>IF((gamma!AI26),IF(VLOOKUP(AI$1,main!$A$3:$I$56,7,FALSE)=VLOOKUP($A26,main!$A$3:$I$56,8,FALSE),VLOOKUP(AI$1,main!$A$3:$I$56,4,FALSE),VLOOKUP(AI$1,main!$A$3:$I$56,4,FALSE)+VLOOKUP($A26,main!$A$3:$I$56,4,FALSE)+(VLOOKUP(VLOOKUP(AI$1,main!$A$3:$I$56,8,FALSE),main!$K$19:$O$22,MATCH(VLOOKUP($A26,main!$A$3:$I$56,7,FALSE),main!$K$18:$O$18,0),0))),0)</f>
        <v>0</v>
      </c>
      <c r="AJ26">
        <f>IF((gamma!AJ26),IF(VLOOKUP(AJ$1,main!$A$3:$I$56,7,FALSE)=VLOOKUP($A26,main!$A$3:$I$56,8,FALSE),VLOOKUP(AJ$1,main!$A$3:$I$56,4,FALSE),VLOOKUP(AJ$1,main!$A$3:$I$56,4,FALSE)+VLOOKUP($A26,main!$A$3:$I$56,4,FALSE)+(VLOOKUP(VLOOKUP(AJ$1,main!$A$3:$I$56,8,FALSE),main!$K$19:$O$22,MATCH(VLOOKUP($A26,main!$A$3:$I$56,7,FALSE),main!$K$18:$O$18,0),0))),0)</f>
        <v>0</v>
      </c>
      <c r="AK26">
        <f>IF((gamma!AK26),IF(VLOOKUP(AK$1,main!$A$3:$I$56,7,FALSE)=VLOOKUP($A26,main!$A$3:$I$56,8,FALSE),VLOOKUP(AK$1,main!$A$3:$I$56,4,FALSE),VLOOKUP(AK$1,main!$A$3:$I$56,4,FALSE)+VLOOKUP($A26,main!$A$3:$I$56,4,FALSE)+(VLOOKUP(VLOOKUP(AK$1,main!$A$3:$I$56,8,FALSE),main!$K$19:$O$22,MATCH(VLOOKUP($A26,main!$A$3:$I$56,7,FALSE),main!$K$18:$O$18,0),0))),0)</f>
        <v>0</v>
      </c>
      <c r="AL26">
        <f>IF((gamma!AL26),IF(VLOOKUP(AL$1,main!$A$3:$I$56,7,FALSE)=VLOOKUP($A26,main!$A$3:$I$56,8,FALSE),VLOOKUP(AL$1,main!$A$3:$I$56,4,FALSE),VLOOKUP(AL$1,main!$A$3:$I$56,4,FALSE)+VLOOKUP($A26,main!$A$3:$I$56,4,FALSE)+(VLOOKUP(VLOOKUP(AL$1,main!$A$3:$I$56,8,FALSE),main!$K$19:$O$22,MATCH(VLOOKUP($A26,main!$A$3:$I$56,7,FALSE),main!$K$18:$O$18,0),0))),0)</f>
        <v>0</v>
      </c>
      <c r="AM26">
        <f>IF((gamma!AM26),IF(VLOOKUP(AM$1,main!$A$3:$I$56,7,FALSE)=VLOOKUP($A26,main!$A$3:$I$56,8,FALSE),VLOOKUP(AM$1,main!$A$3:$I$56,4,FALSE),VLOOKUP(AM$1,main!$A$3:$I$56,4,FALSE)+VLOOKUP($A26,main!$A$3:$I$56,4,FALSE)+(VLOOKUP(VLOOKUP(AM$1,main!$A$3:$I$56,8,FALSE),main!$K$19:$O$22,MATCH(VLOOKUP($A26,main!$A$3:$I$56,7,FALSE),main!$K$18:$O$18,0),0))),0)</f>
        <v>0</v>
      </c>
      <c r="AN26">
        <f>IF((gamma!AN26),IF(VLOOKUP(AN$1,main!$A$3:$I$56,7,FALSE)=VLOOKUP($A26,main!$A$3:$I$56,8,FALSE),VLOOKUP(AN$1,main!$A$3:$I$56,4,FALSE),VLOOKUP(AN$1,main!$A$3:$I$56,4,FALSE)+VLOOKUP($A26,main!$A$3:$I$56,4,FALSE)+(VLOOKUP(VLOOKUP(AN$1,main!$A$3:$I$56,8,FALSE),main!$K$19:$O$22,MATCH(VLOOKUP($A26,main!$A$3:$I$56,7,FALSE),main!$K$18:$O$18,0),0))),0)</f>
        <v>0</v>
      </c>
      <c r="AO26">
        <f>IF((gamma!AO26),IF(VLOOKUP(AO$1,main!$A$3:$I$56,7,FALSE)=VLOOKUP($A26,main!$A$3:$I$56,8,FALSE),VLOOKUP(AO$1,main!$A$3:$I$56,4,FALSE),VLOOKUP(AO$1,main!$A$3:$I$56,4,FALSE)+VLOOKUP($A26,main!$A$3:$I$56,4,FALSE)+(VLOOKUP(VLOOKUP(AO$1,main!$A$3:$I$56,8,FALSE),main!$K$19:$O$22,MATCH(VLOOKUP($A26,main!$A$3:$I$56,7,FALSE),main!$K$18:$O$18,0),0))),0)</f>
        <v>0</v>
      </c>
      <c r="AP26">
        <f>IF((gamma!AP26),IF(VLOOKUP(AP$1,main!$A$3:$I$56,7,FALSE)=VLOOKUP($A26,main!$A$3:$I$56,8,FALSE),VLOOKUP(AP$1,main!$A$3:$I$56,4,FALSE),VLOOKUP(AP$1,main!$A$3:$I$56,4,FALSE)+VLOOKUP($A26,main!$A$3:$I$56,4,FALSE)+(VLOOKUP(VLOOKUP(AP$1,main!$A$3:$I$56,8,FALSE),main!$K$19:$O$22,MATCH(VLOOKUP($A26,main!$A$3:$I$56,7,FALSE),main!$K$18:$O$18,0),0))),0)</f>
        <v>0</v>
      </c>
      <c r="AQ26">
        <f>IF((gamma!AQ26),IF(VLOOKUP(AQ$1,main!$A$3:$I$56,7,FALSE)=VLOOKUP($A26,main!$A$3:$I$56,8,FALSE),VLOOKUP(AQ$1,main!$A$3:$I$56,4,FALSE),VLOOKUP(AQ$1,main!$A$3:$I$56,4,FALSE)+VLOOKUP($A26,main!$A$3:$I$56,4,FALSE)+(VLOOKUP(VLOOKUP(AQ$1,main!$A$3:$I$56,8,FALSE),main!$K$19:$O$22,MATCH(VLOOKUP($A26,main!$A$3:$I$56,7,FALSE),main!$K$18:$O$18,0),0))),0)</f>
        <v>0</v>
      </c>
      <c r="AR26">
        <f>IF((gamma!AR26),IF(VLOOKUP(AR$1,main!$A$3:$I$56,7,FALSE)=VLOOKUP($A26,main!$A$3:$I$56,8,FALSE),VLOOKUP(AR$1,main!$A$3:$I$56,4,FALSE),VLOOKUP(AR$1,main!$A$3:$I$56,4,FALSE)+VLOOKUP($A26,main!$A$3:$I$56,4,FALSE)+(VLOOKUP(VLOOKUP(AR$1,main!$A$3:$I$56,8,FALSE),main!$K$19:$O$22,MATCH(VLOOKUP($A26,main!$A$3:$I$56,7,FALSE),main!$K$18:$O$18,0),0))),0)</f>
        <v>0</v>
      </c>
      <c r="AS26">
        <f>IF((gamma!AS26),IF(VLOOKUP(AS$1,main!$A$3:$I$56,7,FALSE)=VLOOKUP($A26,main!$A$3:$I$56,8,FALSE),VLOOKUP(AS$1,main!$A$3:$I$56,4,FALSE),VLOOKUP(AS$1,main!$A$3:$I$56,4,FALSE)+VLOOKUP($A26,main!$A$3:$I$56,4,FALSE)+(VLOOKUP(VLOOKUP(AS$1,main!$A$3:$I$56,8,FALSE),main!$K$19:$O$22,MATCH(VLOOKUP($A26,main!$A$3:$I$56,7,FALSE),main!$K$18:$O$18,0),0))),0)</f>
        <v>0</v>
      </c>
      <c r="AT26">
        <f>IF((gamma!AT26),IF(VLOOKUP(AT$1,main!$A$3:$I$56,7,FALSE)=VLOOKUP($A26,main!$A$3:$I$56,8,FALSE),VLOOKUP(AT$1,main!$A$3:$I$56,4,FALSE),VLOOKUP(AT$1,main!$A$3:$I$56,4,FALSE)+VLOOKUP($A26,main!$A$3:$I$56,4,FALSE)+(VLOOKUP(VLOOKUP(AT$1,main!$A$3:$I$56,8,FALSE),main!$K$19:$O$22,MATCH(VLOOKUP($A26,main!$A$3:$I$56,7,FALSE),main!$K$18:$O$18,0),0))),0)</f>
        <v>0</v>
      </c>
      <c r="AU26">
        <f>IF((gamma!AU26),IF(VLOOKUP(AU$1,main!$A$3:$I$56,7,FALSE)=VLOOKUP($A26,main!$A$3:$I$56,8,FALSE),VLOOKUP(AU$1,main!$A$3:$I$56,4,FALSE),VLOOKUP(AU$1,main!$A$3:$I$56,4,FALSE)+VLOOKUP($A26,main!$A$3:$I$56,4,FALSE)+(VLOOKUP(VLOOKUP(AU$1,main!$A$3:$I$56,8,FALSE),main!$K$19:$O$22,MATCH(VLOOKUP($A26,main!$A$3:$I$56,7,FALSE),main!$K$18:$O$18,0),0))),0)</f>
        <v>0</v>
      </c>
      <c r="AV26">
        <f>IF((gamma!AV26),IF(VLOOKUP(AV$1,main!$A$3:$I$56,7,FALSE)=VLOOKUP($A26,main!$A$3:$I$56,8,FALSE),VLOOKUP(AV$1,main!$A$3:$I$56,4,FALSE),VLOOKUP(AV$1,main!$A$3:$I$56,4,FALSE)+VLOOKUP($A26,main!$A$3:$I$56,4,FALSE)+(VLOOKUP(VLOOKUP(AV$1,main!$A$3:$I$56,8,FALSE),main!$K$19:$O$22,MATCH(VLOOKUP($A26,main!$A$3:$I$56,7,FALSE),main!$K$18:$O$18,0),0))),0)</f>
        <v>0</v>
      </c>
      <c r="AW26">
        <f>IF((gamma!AW26),IF(VLOOKUP(AW$1,main!$A$3:$I$56,7,FALSE)=VLOOKUP($A26,main!$A$3:$I$56,8,FALSE),VLOOKUP(AW$1,main!$A$3:$I$56,4,FALSE),VLOOKUP(AW$1,main!$A$3:$I$56,4,FALSE)+VLOOKUP($A26,main!$A$3:$I$56,4,FALSE)+(VLOOKUP(VLOOKUP(AW$1,main!$A$3:$I$56,8,FALSE),main!$K$19:$O$22,MATCH(VLOOKUP($A26,main!$A$3:$I$56,7,FALSE),main!$K$18:$O$18,0),0))),0)</f>
        <v>0</v>
      </c>
      <c r="AX26">
        <f>IF((gamma!AX26),IF(VLOOKUP(AX$1,main!$A$3:$I$56,7,FALSE)=VLOOKUP($A26,main!$A$3:$I$56,8,FALSE),VLOOKUP(AX$1,main!$A$3:$I$56,4,FALSE),VLOOKUP(AX$1,main!$A$3:$I$56,4,FALSE)+VLOOKUP($A26,main!$A$3:$I$56,4,FALSE)+(VLOOKUP(VLOOKUP(AX$1,main!$A$3:$I$56,8,FALSE),main!$K$19:$O$22,MATCH(VLOOKUP($A26,main!$A$3:$I$56,7,FALSE),main!$K$18:$O$18,0),0))),0)</f>
        <v>0</v>
      </c>
      <c r="AY26">
        <f>IF((gamma!AY26),IF(VLOOKUP(AY$1,main!$A$3:$I$56,7,FALSE)=VLOOKUP($A26,main!$A$3:$I$56,8,FALSE),VLOOKUP(AY$1,main!$A$3:$I$56,4,FALSE),VLOOKUP(AY$1,main!$A$3:$I$56,4,FALSE)+VLOOKUP($A26,main!$A$3:$I$56,4,FALSE)+(VLOOKUP(VLOOKUP(AY$1,main!$A$3:$I$56,8,FALSE),main!$K$19:$O$22,MATCH(VLOOKUP($A26,main!$A$3:$I$56,7,FALSE),main!$K$18:$O$18,0),0))),0)</f>
        <v>300</v>
      </c>
      <c r="AZ26">
        <f>IF((gamma!AZ26),IF(VLOOKUP(AZ$1,main!$A$3:$I$56,7,FALSE)=VLOOKUP($A26,main!$A$3:$I$56,8,FALSE),VLOOKUP(AZ$1,main!$A$3:$I$56,4,FALSE),VLOOKUP(AZ$1,main!$A$3:$I$56,4,FALSE)+VLOOKUP($A26,main!$A$3:$I$56,4,FALSE)+(VLOOKUP(VLOOKUP(AZ$1,main!$A$3:$I$56,8,FALSE),main!$K$19:$O$22,MATCH(VLOOKUP($A26,main!$A$3:$I$56,7,FALSE),main!$K$18:$O$18,0),0))),0)</f>
        <v>0</v>
      </c>
      <c r="BA26">
        <f>IF((gamma!BA26),IF(VLOOKUP(BA$1,main!$A$3:$I$56,7,FALSE)=VLOOKUP($A26,main!$A$3:$I$56,8,FALSE),VLOOKUP(BA$1,main!$A$3:$I$56,4,FALSE),VLOOKUP(BA$1,main!$A$3:$I$56,4,FALSE)+VLOOKUP($A26,main!$A$3:$I$56,4,FALSE)+(VLOOKUP(VLOOKUP(BA$1,main!$A$3:$I$56,8,FALSE),main!$K$19:$O$22,MATCH(VLOOKUP($A26,main!$A$3:$I$56,7,FALSE),main!$K$18:$O$18,0),0))),0)</f>
        <v>0</v>
      </c>
      <c r="BB26">
        <f>IF((gamma!BB26),IF(VLOOKUP(BB$1,main!$A$3:$I$56,7,FALSE)=VLOOKUP($A26,main!$A$3:$I$56,8,FALSE),VLOOKUP(BB$1,main!$A$3:$I$56,4,FALSE),VLOOKUP(BB$1,main!$A$3:$I$56,4,FALSE)+VLOOKUP($A26,main!$A$3:$I$56,4,FALSE)+(VLOOKUP(VLOOKUP(BB$1,main!$A$3:$I$56,8,FALSE),main!$K$19:$O$22,MATCH(VLOOKUP($A26,main!$A$3:$I$56,7,FALSE),main!$K$18:$O$18,0),0))),0)</f>
        <v>0</v>
      </c>
      <c r="BC26">
        <f>IF((gamma!BC26),IF(VLOOKUP(BC$1,main!$A$3:$I$56,7,FALSE)=VLOOKUP($A26,main!$A$3:$I$56,8,FALSE),VLOOKUP(BC$1,main!$A$3:$I$56,4,FALSE),VLOOKUP(BC$1,main!$A$3:$I$56,4,FALSE)+VLOOKUP($A26,main!$A$3:$I$56,4,FALSE)+(VLOOKUP(VLOOKUP(BC$1,main!$A$3:$I$56,8,FALSE),main!$K$19:$O$22,MATCH(VLOOKUP($A26,main!$A$3:$I$56,7,FALSE),main!$K$18:$O$18,0),0))),0)</f>
        <v>0</v>
      </c>
      <c r="BD26">
        <f>IF((gamma!BD26),IF(VLOOKUP(BD$1,main!$A$3:$I$56,7,FALSE)=VLOOKUP($A26,main!$A$3:$I$56,8,FALSE),VLOOKUP(BD$1,main!$A$3:$I$56,4,FALSE),VLOOKUP(BD$1,main!$A$3:$I$56,4,FALSE)+VLOOKUP($A26,main!$A$3:$I$56,4,FALSE)+(VLOOKUP(VLOOKUP(BD$1,main!$A$3:$I$56,8,FALSE),main!$K$19:$O$22,MATCH(VLOOKUP($A26,main!$A$3:$I$56,7,FALSE),main!$K$18:$O$18,0),0))),0)</f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25">
      <c r="A27">
        <f t="shared" si="0"/>
        <v>25</v>
      </c>
      <c r="B27">
        <v>0</v>
      </c>
      <c r="C27">
        <f>IF((gamma!C27),IF(VLOOKUP(C$1,main!$A$3:$I$56,7,FALSE)=VLOOKUP($A27,main!$A$3:$I$56,8,FALSE),VLOOKUP(C$1,main!$A$3:$I$56,4,FALSE),VLOOKUP(C$1,main!$A$3:$I$56,4,FALSE)+VLOOKUP($A27,main!$A$3:$I$56,4,FALSE)+(VLOOKUP(VLOOKUP(C$1,main!$A$3:$I$56,8,FALSE),main!$K$19:$O$22,MATCH(VLOOKUP($A27,main!$A$3:$I$56,7,FALSE),main!$K$18:$O$18,0),0))),0)</f>
        <v>0</v>
      </c>
      <c r="D27">
        <f>IF((gamma!D27),IF(VLOOKUP(D$1,main!$A$3:$I$56,7,FALSE)=VLOOKUP($A27,main!$A$3:$I$56,8,FALSE),VLOOKUP(D$1,main!$A$3:$I$56,4,FALSE),VLOOKUP(D$1,main!$A$3:$I$56,4,FALSE)+VLOOKUP($A27,main!$A$3:$I$56,4,FALSE)+(VLOOKUP(VLOOKUP(D$1,main!$A$3:$I$56,8,FALSE),main!$K$19:$O$22,MATCH(VLOOKUP($A27,main!$A$3:$I$56,7,FALSE),main!$K$18:$O$18,0),0))),0)</f>
        <v>0</v>
      </c>
      <c r="E27">
        <f>IF((gamma!E27),IF(VLOOKUP(E$1,main!$A$3:$I$56,7,FALSE)=VLOOKUP($A27,main!$A$3:$I$56,8,FALSE),VLOOKUP(E$1,main!$A$3:$I$56,4,FALSE),VLOOKUP(E$1,main!$A$3:$I$56,4,FALSE)+VLOOKUP($A27,main!$A$3:$I$56,4,FALSE)+(VLOOKUP(VLOOKUP(E$1,main!$A$3:$I$56,8,FALSE),main!$K$19:$O$22,MATCH(VLOOKUP($A27,main!$A$3:$I$56,7,FALSE),main!$K$18:$O$18,0),0))),0)</f>
        <v>0</v>
      </c>
      <c r="F27">
        <f>IF((gamma!F27),IF(VLOOKUP(F$1,main!$A$3:$I$56,7,FALSE)=VLOOKUP($A27,main!$A$3:$I$56,8,FALSE),VLOOKUP(F$1,main!$A$3:$I$56,4,FALSE),VLOOKUP(F$1,main!$A$3:$I$56,4,FALSE)+VLOOKUP($A27,main!$A$3:$I$56,4,FALSE)+(VLOOKUP(VLOOKUP(F$1,main!$A$3:$I$56,8,FALSE),main!$K$19:$O$22,MATCH(VLOOKUP($A27,main!$A$3:$I$56,7,FALSE),main!$K$18:$O$18,0),0))),0)</f>
        <v>0</v>
      </c>
      <c r="G27">
        <f>IF((gamma!G27),IF(VLOOKUP(G$1,main!$A$3:$I$56,7,FALSE)=VLOOKUP($A27,main!$A$3:$I$56,8,FALSE),VLOOKUP(G$1,main!$A$3:$I$56,4,FALSE),VLOOKUP(G$1,main!$A$3:$I$56,4,FALSE)+VLOOKUP($A27,main!$A$3:$I$56,4,FALSE)+(VLOOKUP(VLOOKUP(G$1,main!$A$3:$I$56,8,FALSE),main!$K$19:$O$22,MATCH(VLOOKUP($A27,main!$A$3:$I$56,7,FALSE),main!$K$18:$O$18,0),0))),0)</f>
        <v>0</v>
      </c>
      <c r="H27">
        <f>IF((gamma!H27),IF(VLOOKUP(H$1,main!$A$3:$I$56,7,FALSE)=VLOOKUP($A27,main!$A$3:$I$56,8,FALSE),VLOOKUP(H$1,main!$A$3:$I$56,4,FALSE),VLOOKUP(H$1,main!$A$3:$I$56,4,FALSE)+VLOOKUP($A27,main!$A$3:$I$56,4,FALSE)+(VLOOKUP(VLOOKUP(H$1,main!$A$3:$I$56,8,FALSE),main!$K$19:$O$22,MATCH(VLOOKUP($A27,main!$A$3:$I$56,7,FALSE),main!$K$18:$O$18,0),0))),0)</f>
        <v>0</v>
      </c>
      <c r="I27">
        <f>IF((gamma!I27),IF(VLOOKUP(I$1,main!$A$3:$I$56,7,FALSE)=VLOOKUP($A27,main!$A$3:$I$56,8,FALSE),VLOOKUP(I$1,main!$A$3:$I$56,4,FALSE),VLOOKUP(I$1,main!$A$3:$I$56,4,FALSE)+VLOOKUP($A27,main!$A$3:$I$56,4,FALSE)+(VLOOKUP(VLOOKUP(I$1,main!$A$3:$I$56,8,FALSE),main!$K$19:$O$22,MATCH(VLOOKUP($A27,main!$A$3:$I$56,7,FALSE),main!$K$18:$O$18,0),0))),0)</f>
        <v>0</v>
      </c>
      <c r="J27">
        <f>IF((gamma!J27),IF(VLOOKUP(J$1,main!$A$3:$I$56,7,FALSE)=VLOOKUP($A27,main!$A$3:$I$56,8,FALSE),VLOOKUP(J$1,main!$A$3:$I$56,4,FALSE),VLOOKUP(J$1,main!$A$3:$I$56,4,FALSE)+VLOOKUP($A27,main!$A$3:$I$56,4,FALSE)+(VLOOKUP(VLOOKUP(J$1,main!$A$3:$I$56,8,FALSE),main!$K$19:$O$22,MATCH(VLOOKUP($A27,main!$A$3:$I$56,7,FALSE),main!$K$18:$O$18,0),0))),0)</f>
        <v>0</v>
      </c>
      <c r="K27">
        <f>IF((gamma!K27),IF(VLOOKUP(K$1,main!$A$3:$I$56,7,FALSE)=VLOOKUP($A27,main!$A$3:$I$56,8,FALSE),VLOOKUP(K$1,main!$A$3:$I$56,4,FALSE),VLOOKUP(K$1,main!$A$3:$I$56,4,FALSE)+VLOOKUP($A27,main!$A$3:$I$56,4,FALSE)+(VLOOKUP(VLOOKUP(K$1,main!$A$3:$I$56,8,FALSE),main!$K$19:$O$22,MATCH(VLOOKUP($A27,main!$A$3:$I$56,7,FALSE),main!$K$18:$O$18,0),0))),0)</f>
        <v>0</v>
      </c>
      <c r="L27">
        <f>IF((gamma!L27),IF(VLOOKUP(L$1,main!$A$3:$I$56,7,FALSE)=VLOOKUP($A27,main!$A$3:$I$56,8,FALSE),VLOOKUP(L$1,main!$A$3:$I$56,4,FALSE),VLOOKUP(L$1,main!$A$3:$I$56,4,FALSE)+VLOOKUP($A27,main!$A$3:$I$56,4,FALSE)+(VLOOKUP(VLOOKUP(L$1,main!$A$3:$I$56,8,FALSE),main!$K$19:$O$22,MATCH(VLOOKUP($A27,main!$A$3:$I$56,7,FALSE),main!$K$18:$O$18,0),0))),0)</f>
        <v>0</v>
      </c>
      <c r="M27">
        <f>IF((gamma!M27),IF(VLOOKUP(M$1,main!$A$3:$I$56,7,FALSE)=VLOOKUP($A27,main!$A$3:$I$56,8,FALSE),VLOOKUP(M$1,main!$A$3:$I$56,4,FALSE),VLOOKUP(M$1,main!$A$3:$I$56,4,FALSE)+VLOOKUP($A27,main!$A$3:$I$56,4,FALSE)+(VLOOKUP(VLOOKUP(M$1,main!$A$3:$I$56,8,FALSE),main!$K$19:$O$22,MATCH(VLOOKUP($A27,main!$A$3:$I$56,7,FALSE),main!$K$18:$O$18,0),0))),0)</f>
        <v>0</v>
      </c>
      <c r="N27">
        <f>IF((gamma!N27),IF(VLOOKUP(N$1,main!$A$3:$I$56,7,FALSE)=VLOOKUP($A27,main!$A$3:$I$56,8,FALSE),VLOOKUP(N$1,main!$A$3:$I$56,4,FALSE),VLOOKUP(N$1,main!$A$3:$I$56,4,FALSE)+VLOOKUP($A27,main!$A$3:$I$56,4,FALSE)+(VLOOKUP(VLOOKUP(N$1,main!$A$3:$I$56,8,FALSE),main!$K$19:$O$22,MATCH(VLOOKUP($A27,main!$A$3:$I$56,7,FALSE),main!$K$18:$O$18,0),0))),0)</f>
        <v>0</v>
      </c>
      <c r="O27">
        <f>IF((gamma!O27),IF(VLOOKUP(O$1,main!$A$3:$I$56,7,FALSE)=VLOOKUP($A27,main!$A$3:$I$56,8,FALSE),VLOOKUP(O$1,main!$A$3:$I$56,4,FALSE),VLOOKUP(O$1,main!$A$3:$I$56,4,FALSE)+VLOOKUP($A27,main!$A$3:$I$56,4,FALSE)+(VLOOKUP(VLOOKUP(O$1,main!$A$3:$I$56,8,FALSE),main!$K$19:$O$22,MATCH(VLOOKUP($A27,main!$A$3:$I$56,7,FALSE),main!$K$18:$O$18,0),0))),0)</f>
        <v>0</v>
      </c>
      <c r="P27">
        <f>IF((gamma!P27),IF(VLOOKUP(P$1,main!$A$3:$I$56,7,FALSE)=VLOOKUP($A27,main!$A$3:$I$56,8,FALSE),VLOOKUP(P$1,main!$A$3:$I$56,4,FALSE),VLOOKUP(P$1,main!$A$3:$I$56,4,FALSE)+VLOOKUP($A27,main!$A$3:$I$56,4,FALSE)+(VLOOKUP(VLOOKUP(P$1,main!$A$3:$I$56,8,FALSE),main!$K$19:$O$22,MATCH(VLOOKUP($A27,main!$A$3:$I$56,7,FALSE),main!$K$18:$O$18,0),0))),0)</f>
        <v>0</v>
      </c>
      <c r="Q27">
        <f>IF((gamma!Q27),IF(VLOOKUP(Q$1,main!$A$3:$I$56,7,FALSE)=VLOOKUP($A27,main!$A$3:$I$56,8,FALSE),VLOOKUP(Q$1,main!$A$3:$I$56,4,FALSE),VLOOKUP(Q$1,main!$A$3:$I$56,4,FALSE)+VLOOKUP($A27,main!$A$3:$I$56,4,FALSE)+(VLOOKUP(VLOOKUP(Q$1,main!$A$3:$I$56,8,FALSE),main!$K$19:$O$22,MATCH(VLOOKUP($A27,main!$A$3:$I$56,7,FALSE),main!$K$18:$O$18,0),0))),0)</f>
        <v>0</v>
      </c>
      <c r="R27">
        <f>IF((gamma!R27),IF(VLOOKUP(R$1,main!$A$3:$I$56,7,FALSE)=VLOOKUP($A27,main!$A$3:$I$56,8,FALSE),VLOOKUP(R$1,main!$A$3:$I$56,4,FALSE),VLOOKUP(R$1,main!$A$3:$I$56,4,FALSE)+VLOOKUP($A27,main!$A$3:$I$56,4,FALSE)+(VLOOKUP(VLOOKUP(R$1,main!$A$3:$I$56,8,FALSE),main!$K$19:$O$22,MATCH(VLOOKUP($A27,main!$A$3:$I$56,7,FALSE),main!$K$18:$O$18,0),0))),0)</f>
        <v>0</v>
      </c>
      <c r="S27">
        <f>IF((gamma!S27),IF(VLOOKUP(S$1,main!$A$3:$I$56,7,FALSE)=VLOOKUP($A27,main!$A$3:$I$56,8,FALSE),VLOOKUP(S$1,main!$A$3:$I$56,4,FALSE),VLOOKUP(S$1,main!$A$3:$I$56,4,FALSE)+VLOOKUP($A27,main!$A$3:$I$56,4,FALSE)+(VLOOKUP(VLOOKUP(S$1,main!$A$3:$I$56,8,FALSE),main!$K$19:$O$22,MATCH(VLOOKUP($A27,main!$A$3:$I$56,7,FALSE),main!$K$18:$O$18,0),0))),0)</f>
        <v>0</v>
      </c>
      <c r="T27">
        <f>IF((gamma!T27),IF(VLOOKUP(T$1,main!$A$3:$I$56,7,FALSE)=VLOOKUP($A27,main!$A$3:$I$56,8,FALSE),VLOOKUP(T$1,main!$A$3:$I$56,4,FALSE),VLOOKUP(T$1,main!$A$3:$I$56,4,FALSE)+VLOOKUP($A27,main!$A$3:$I$56,4,FALSE)+(VLOOKUP(VLOOKUP(T$1,main!$A$3:$I$56,8,FALSE),main!$K$19:$O$22,MATCH(VLOOKUP($A27,main!$A$3:$I$56,7,FALSE),main!$K$18:$O$18,0),0))),0)</f>
        <v>0</v>
      </c>
      <c r="U27">
        <f>IF((gamma!U27),IF(VLOOKUP(U$1,main!$A$3:$I$56,7,FALSE)=VLOOKUP($A27,main!$A$3:$I$56,8,FALSE),VLOOKUP(U$1,main!$A$3:$I$56,4,FALSE),VLOOKUP(U$1,main!$A$3:$I$56,4,FALSE)+VLOOKUP($A27,main!$A$3:$I$56,4,FALSE)+(VLOOKUP(VLOOKUP(U$1,main!$A$3:$I$56,8,FALSE),main!$K$19:$O$22,MATCH(VLOOKUP($A27,main!$A$3:$I$56,7,FALSE),main!$K$18:$O$18,0),0))),0)</f>
        <v>0</v>
      </c>
      <c r="V27">
        <f>IF((gamma!V27),IF(VLOOKUP(V$1,main!$A$3:$I$56,7,FALSE)=VLOOKUP($A27,main!$A$3:$I$56,8,FALSE),VLOOKUP(V$1,main!$A$3:$I$56,4,FALSE),VLOOKUP(V$1,main!$A$3:$I$56,4,FALSE)+VLOOKUP($A27,main!$A$3:$I$56,4,FALSE)+(VLOOKUP(VLOOKUP(V$1,main!$A$3:$I$56,8,FALSE),main!$K$19:$O$22,MATCH(VLOOKUP($A27,main!$A$3:$I$56,7,FALSE),main!$K$18:$O$18,0),0))),0)</f>
        <v>0</v>
      </c>
      <c r="W27">
        <f>IF((gamma!W27),IF(VLOOKUP(W$1,main!$A$3:$I$56,7,FALSE)=VLOOKUP($A27,main!$A$3:$I$56,8,FALSE),VLOOKUP(W$1,main!$A$3:$I$56,4,FALSE),VLOOKUP(W$1,main!$A$3:$I$56,4,FALSE)+VLOOKUP($A27,main!$A$3:$I$56,4,FALSE)+(VLOOKUP(VLOOKUP(W$1,main!$A$3:$I$56,8,FALSE),main!$K$19:$O$22,MATCH(VLOOKUP($A27,main!$A$3:$I$56,7,FALSE),main!$K$18:$O$18,0),0))),0)</f>
        <v>0</v>
      </c>
      <c r="X27">
        <f>IF((gamma!X27),IF(VLOOKUP(X$1,main!$A$3:$I$56,7,FALSE)=VLOOKUP($A27,main!$A$3:$I$56,8,FALSE),VLOOKUP(X$1,main!$A$3:$I$56,4,FALSE),VLOOKUP(X$1,main!$A$3:$I$56,4,FALSE)+VLOOKUP($A27,main!$A$3:$I$56,4,FALSE)+(VLOOKUP(VLOOKUP(X$1,main!$A$3:$I$56,8,FALSE),main!$K$19:$O$22,MATCH(VLOOKUP($A27,main!$A$3:$I$56,7,FALSE),main!$K$18:$O$18,0),0))),0)</f>
        <v>0</v>
      </c>
      <c r="Y27">
        <f>IF((gamma!Y27),IF(VLOOKUP(Y$1,main!$A$3:$I$56,7,FALSE)=VLOOKUP($A27,main!$A$3:$I$56,8,FALSE),VLOOKUP(Y$1,main!$A$3:$I$56,4,FALSE),VLOOKUP(Y$1,main!$A$3:$I$56,4,FALSE)+VLOOKUP($A27,main!$A$3:$I$56,4,FALSE)+(VLOOKUP(VLOOKUP(Y$1,main!$A$3:$I$56,8,FALSE),main!$K$19:$O$22,MATCH(VLOOKUP($A27,main!$A$3:$I$56,7,FALSE),main!$K$18:$O$18,0),0))),0)</f>
        <v>0</v>
      </c>
      <c r="Z27">
        <f>IF((gamma!Z27),IF(VLOOKUP(Z$1,main!$A$3:$I$56,7,FALSE)=VLOOKUP($A27,main!$A$3:$I$56,8,FALSE),VLOOKUP(Z$1,main!$A$3:$I$56,4,FALSE),VLOOKUP(Z$1,main!$A$3:$I$56,4,FALSE)+VLOOKUP($A27,main!$A$3:$I$56,4,FALSE)+(VLOOKUP(VLOOKUP(Z$1,main!$A$3:$I$56,8,FALSE),main!$K$19:$O$22,MATCH(VLOOKUP($A27,main!$A$3:$I$56,7,FALSE),main!$K$18:$O$18,0),0))),0)</f>
        <v>0</v>
      </c>
      <c r="AA27">
        <f>IF((gamma!AA27),IF(VLOOKUP(AA$1,main!$A$3:$I$56,7,FALSE)=VLOOKUP($A27,main!$A$3:$I$56,8,FALSE),VLOOKUP(AA$1,main!$A$3:$I$56,4,FALSE),VLOOKUP(AA$1,main!$A$3:$I$56,4,FALSE)+VLOOKUP($A27,main!$A$3:$I$56,4,FALSE)+(VLOOKUP(VLOOKUP(AA$1,main!$A$3:$I$56,8,FALSE),main!$K$19:$O$22,MATCH(VLOOKUP($A27,main!$A$3:$I$56,7,FALSE),main!$K$18:$O$18,0),0))),0)</f>
        <v>0</v>
      </c>
      <c r="AB27">
        <f>IF((gamma!AB27),IF(VLOOKUP(AB$1,main!$A$3:$I$56,7,FALSE)=VLOOKUP($A27,main!$A$3:$I$56,8,FALSE),VLOOKUP(AB$1,main!$A$3:$I$56,4,FALSE),VLOOKUP(AB$1,main!$A$3:$I$56,4,FALSE)+VLOOKUP($A27,main!$A$3:$I$56,4,FALSE)+(VLOOKUP(VLOOKUP(AB$1,main!$A$3:$I$56,8,FALSE),main!$K$19:$O$22,MATCH(VLOOKUP($A27,main!$A$3:$I$56,7,FALSE),main!$K$18:$O$18,0),0))),0)</f>
        <v>0</v>
      </c>
      <c r="AC27">
        <f>IF((gamma!AC27),IF(VLOOKUP(AC$1,main!$A$3:$I$56,7,FALSE)=VLOOKUP($A27,main!$A$3:$I$56,8,FALSE),VLOOKUP(AC$1,main!$A$3:$I$56,4,FALSE),VLOOKUP(AC$1,main!$A$3:$I$56,4,FALSE)+VLOOKUP($A27,main!$A$3:$I$56,4,FALSE)+(VLOOKUP(VLOOKUP(AC$1,main!$A$3:$I$56,8,FALSE),main!$K$19:$O$22,MATCH(VLOOKUP($A27,main!$A$3:$I$56,7,FALSE),main!$K$18:$O$18,0),0))),0)</f>
        <v>0</v>
      </c>
      <c r="AD27">
        <f>IF((gamma!AD27),IF(VLOOKUP(AD$1,main!$A$3:$I$56,7,FALSE)=VLOOKUP($A27,main!$A$3:$I$56,8,FALSE),VLOOKUP(AD$1,main!$A$3:$I$56,4,FALSE),VLOOKUP(AD$1,main!$A$3:$I$56,4,FALSE)+VLOOKUP($A27,main!$A$3:$I$56,4,FALSE)+(VLOOKUP(VLOOKUP(AD$1,main!$A$3:$I$56,8,FALSE),main!$K$19:$O$22,MATCH(VLOOKUP($A27,main!$A$3:$I$56,7,FALSE),main!$K$18:$O$18,0),0))),0)</f>
        <v>0</v>
      </c>
      <c r="AE27">
        <f>IF((gamma!AE27),IF(VLOOKUP(AE$1,main!$A$3:$I$56,7,FALSE)=VLOOKUP($A27,main!$A$3:$I$56,8,FALSE),VLOOKUP(AE$1,main!$A$3:$I$56,4,FALSE),VLOOKUP(AE$1,main!$A$3:$I$56,4,FALSE)+VLOOKUP($A27,main!$A$3:$I$56,4,FALSE)+(VLOOKUP(VLOOKUP(AE$1,main!$A$3:$I$56,8,FALSE),main!$K$19:$O$22,MATCH(VLOOKUP($A27,main!$A$3:$I$56,7,FALSE),main!$K$18:$O$18,0),0))),0)</f>
        <v>0</v>
      </c>
      <c r="AF27">
        <f>IF((gamma!AF27),IF(VLOOKUP(AF$1,main!$A$3:$I$56,7,FALSE)=VLOOKUP($A27,main!$A$3:$I$56,8,FALSE),VLOOKUP(AF$1,main!$A$3:$I$56,4,FALSE),VLOOKUP(AF$1,main!$A$3:$I$56,4,FALSE)+VLOOKUP($A27,main!$A$3:$I$56,4,FALSE)+(VLOOKUP(VLOOKUP(AF$1,main!$A$3:$I$56,8,FALSE),main!$K$19:$O$22,MATCH(VLOOKUP($A27,main!$A$3:$I$56,7,FALSE),main!$K$18:$O$18,0),0))),0)</f>
        <v>0</v>
      </c>
      <c r="AG27">
        <f>IF((gamma!AG27),IF(VLOOKUP(AG$1,main!$A$3:$I$56,7,FALSE)=VLOOKUP($A27,main!$A$3:$I$56,8,FALSE),VLOOKUP(AG$1,main!$A$3:$I$56,4,FALSE),VLOOKUP(AG$1,main!$A$3:$I$56,4,FALSE)+VLOOKUP($A27,main!$A$3:$I$56,4,FALSE)+(VLOOKUP(VLOOKUP(AG$1,main!$A$3:$I$56,8,FALSE),main!$K$19:$O$22,MATCH(VLOOKUP($A27,main!$A$3:$I$56,7,FALSE),main!$K$18:$O$18,0),0))),0)</f>
        <v>0</v>
      </c>
      <c r="AH27">
        <f>IF((gamma!AH27),IF(VLOOKUP(AH$1,main!$A$3:$I$56,7,FALSE)=VLOOKUP($A27,main!$A$3:$I$56,8,FALSE),VLOOKUP(AH$1,main!$A$3:$I$56,4,FALSE),VLOOKUP(AH$1,main!$A$3:$I$56,4,FALSE)+VLOOKUP($A27,main!$A$3:$I$56,4,FALSE)+(VLOOKUP(VLOOKUP(AH$1,main!$A$3:$I$56,8,FALSE),main!$K$19:$O$22,MATCH(VLOOKUP($A27,main!$A$3:$I$56,7,FALSE),main!$K$18:$O$18,0),0))),0)</f>
        <v>0</v>
      </c>
      <c r="AI27">
        <f>IF((gamma!AI27),IF(VLOOKUP(AI$1,main!$A$3:$I$56,7,FALSE)=VLOOKUP($A27,main!$A$3:$I$56,8,FALSE),VLOOKUP(AI$1,main!$A$3:$I$56,4,FALSE),VLOOKUP(AI$1,main!$A$3:$I$56,4,FALSE)+VLOOKUP($A27,main!$A$3:$I$56,4,FALSE)+(VLOOKUP(VLOOKUP(AI$1,main!$A$3:$I$56,8,FALSE),main!$K$19:$O$22,MATCH(VLOOKUP($A27,main!$A$3:$I$56,7,FALSE),main!$K$18:$O$18,0),0))),0)</f>
        <v>0</v>
      </c>
      <c r="AJ27">
        <f>IF((gamma!AJ27),IF(VLOOKUP(AJ$1,main!$A$3:$I$56,7,FALSE)=VLOOKUP($A27,main!$A$3:$I$56,8,FALSE),VLOOKUP(AJ$1,main!$A$3:$I$56,4,FALSE),VLOOKUP(AJ$1,main!$A$3:$I$56,4,FALSE)+VLOOKUP($A27,main!$A$3:$I$56,4,FALSE)+(VLOOKUP(VLOOKUP(AJ$1,main!$A$3:$I$56,8,FALSE),main!$K$19:$O$22,MATCH(VLOOKUP($A27,main!$A$3:$I$56,7,FALSE),main!$K$18:$O$18,0),0))),0)</f>
        <v>0</v>
      </c>
      <c r="AK27">
        <f>IF((gamma!AK27),IF(VLOOKUP(AK$1,main!$A$3:$I$56,7,FALSE)=VLOOKUP($A27,main!$A$3:$I$56,8,FALSE),VLOOKUP(AK$1,main!$A$3:$I$56,4,FALSE),VLOOKUP(AK$1,main!$A$3:$I$56,4,FALSE)+VLOOKUP($A27,main!$A$3:$I$56,4,FALSE)+(VLOOKUP(VLOOKUP(AK$1,main!$A$3:$I$56,8,FALSE),main!$K$19:$O$22,MATCH(VLOOKUP($A27,main!$A$3:$I$56,7,FALSE),main!$K$18:$O$18,0),0))),0)</f>
        <v>0</v>
      </c>
      <c r="AL27">
        <f>IF((gamma!AL27),IF(VLOOKUP(AL$1,main!$A$3:$I$56,7,FALSE)=VLOOKUP($A27,main!$A$3:$I$56,8,FALSE),VLOOKUP(AL$1,main!$A$3:$I$56,4,FALSE),VLOOKUP(AL$1,main!$A$3:$I$56,4,FALSE)+VLOOKUP($A27,main!$A$3:$I$56,4,FALSE)+(VLOOKUP(VLOOKUP(AL$1,main!$A$3:$I$56,8,FALSE),main!$K$19:$O$22,MATCH(VLOOKUP($A27,main!$A$3:$I$56,7,FALSE),main!$K$18:$O$18,0),0))),0)</f>
        <v>0</v>
      </c>
      <c r="AM27">
        <f>IF((gamma!AM27),IF(VLOOKUP(AM$1,main!$A$3:$I$56,7,FALSE)=VLOOKUP($A27,main!$A$3:$I$56,8,FALSE),VLOOKUP(AM$1,main!$A$3:$I$56,4,FALSE),VLOOKUP(AM$1,main!$A$3:$I$56,4,FALSE)+VLOOKUP($A27,main!$A$3:$I$56,4,FALSE)+(VLOOKUP(VLOOKUP(AM$1,main!$A$3:$I$56,8,FALSE),main!$K$19:$O$22,MATCH(VLOOKUP($A27,main!$A$3:$I$56,7,FALSE),main!$K$18:$O$18,0),0))),0)</f>
        <v>0</v>
      </c>
      <c r="AN27">
        <f>IF((gamma!AN27),IF(VLOOKUP(AN$1,main!$A$3:$I$56,7,FALSE)=VLOOKUP($A27,main!$A$3:$I$56,8,FALSE),VLOOKUP(AN$1,main!$A$3:$I$56,4,FALSE),VLOOKUP(AN$1,main!$A$3:$I$56,4,FALSE)+VLOOKUP($A27,main!$A$3:$I$56,4,FALSE)+(VLOOKUP(VLOOKUP(AN$1,main!$A$3:$I$56,8,FALSE),main!$K$19:$O$22,MATCH(VLOOKUP($A27,main!$A$3:$I$56,7,FALSE),main!$K$18:$O$18,0),0))),0)</f>
        <v>0</v>
      </c>
      <c r="AO27">
        <f>IF((gamma!AO27),IF(VLOOKUP(AO$1,main!$A$3:$I$56,7,FALSE)=VLOOKUP($A27,main!$A$3:$I$56,8,FALSE),VLOOKUP(AO$1,main!$A$3:$I$56,4,FALSE),VLOOKUP(AO$1,main!$A$3:$I$56,4,FALSE)+VLOOKUP($A27,main!$A$3:$I$56,4,FALSE)+(VLOOKUP(VLOOKUP(AO$1,main!$A$3:$I$56,8,FALSE),main!$K$19:$O$22,MATCH(VLOOKUP($A27,main!$A$3:$I$56,7,FALSE),main!$K$18:$O$18,0),0))),0)</f>
        <v>0</v>
      </c>
      <c r="AP27">
        <f>IF((gamma!AP27),IF(VLOOKUP(AP$1,main!$A$3:$I$56,7,FALSE)=VLOOKUP($A27,main!$A$3:$I$56,8,FALSE),VLOOKUP(AP$1,main!$A$3:$I$56,4,FALSE),VLOOKUP(AP$1,main!$A$3:$I$56,4,FALSE)+VLOOKUP($A27,main!$A$3:$I$56,4,FALSE)+(VLOOKUP(VLOOKUP(AP$1,main!$A$3:$I$56,8,FALSE),main!$K$19:$O$22,MATCH(VLOOKUP($A27,main!$A$3:$I$56,7,FALSE),main!$K$18:$O$18,0),0))),0)</f>
        <v>0</v>
      </c>
      <c r="AQ27">
        <f>IF((gamma!AQ27),IF(VLOOKUP(AQ$1,main!$A$3:$I$56,7,FALSE)=VLOOKUP($A27,main!$A$3:$I$56,8,FALSE),VLOOKUP(AQ$1,main!$A$3:$I$56,4,FALSE),VLOOKUP(AQ$1,main!$A$3:$I$56,4,FALSE)+VLOOKUP($A27,main!$A$3:$I$56,4,FALSE)+(VLOOKUP(VLOOKUP(AQ$1,main!$A$3:$I$56,8,FALSE),main!$K$19:$O$22,MATCH(VLOOKUP($A27,main!$A$3:$I$56,7,FALSE),main!$K$18:$O$18,0),0))),0)</f>
        <v>0</v>
      </c>
      <c r="AR27">
        <f>IF((gamma!AR27),IF(VLOOKUP(AR$1,main!$A$3:$I$56,7,FALSE)=VLOOKUP($A27,main!$A$3:$I$56,8,FALSE),VLOOKUP(AR$1,main!$A$3:$I$56,4,FALSE),VLOOKUP(AR$1,main!$A$3:$I$56,4,FALSE)+VLOOKUP($A27,main!$A$3:$I$56,4,FALSE)+(VLOOKUP(VLOOKUP(AR$1,main!$A$3:$I$56,8,FALSE),main!$K$19:$O$22,MATCH(VLOOKUP($A27,main!$A$3:$I$56,7,FALSE),main!$K$18:$O$18,0),0))),0)</f>
        <v>0</v>
      </c>
      <c r="AS27">
        <f>IF((gamma!AS27),IF(VLOOKUP(AS$1,main!$A$3:$I$56,7,FALSE)=VLOOKUP($A27,main!$A$3:$I$56,8,FALSE),VLOOKUP(AS$1,main!$A$3:$I$56,4,FALSE),VLOOKUP(AS$1,main!$A$3:$I$56,4,FALSE)+VLOOKUP($A27,main!$A$3:$I$56,4,FALSE)+(VLOOKUP(VLOOKUP(AS$1,main!$A$3:$I$56,8,FALSE),main!$K$19:$O$22,MATCH(VLOOKUP($A27,main!$A$3:$I$56,7,FALSE),main!$K$18:$O$18,0),0))),0)</f>
        <v>0</v>
      </c>
      <c r="AT27">
        <f>IF((gamma!AT27),IF(VLOOKUP(AT$1,main!$A$3:$I$56,7,FALSE)=VLOOKUP($A27,main!$A$3:$I$56,8,FALSE),VLOOKUP(AT$1,main!$A$3:$I$56,4,FALSE),VLOOKUP(AT$1,main!$A$3:$I$56,4,FALSE)+VLOOKUP($A27,main!$A$3:$I$56,4,FALSE)+(VLOOKUP(VLOOKUP(AT$1,main!$A$3:$I$56,8,FALSE),main!$K$19:$O$22,MATCH(VLOOKUP($A27,main!$A$3:$I$56,7,FALSE),main!$K$18:$O$18,0),0))),0)</f>
        <v>0</v>
      </c>
      <c r="AU27">
        <f>IF((gamma!AU27),IF(VLOOKUP(AU$1,main!$A$3:$I$56,7,FALSE)=VLOOKUP($A27,main!$A$3:$I$56,8,FALSE),VLOOKUP(AU$1,main!$A$3:$I$56,4,FALSE),VLOOKUP(AU$1,main!$A$3:$I$56,4,FALSE)+VLOOKUP($A27,main!$A$3:$I$56,4,FALSE)+(VLOOKUP(VLOOKUP(AU$1,main!$A$3:$I$56,8,FALSE),main!$K$19:$O$22,MATCH(VLOOKUP($A27,main!$A$3:$I$56,7,FALSE),main!$K$18:$O$18,0),0))),0)</f>
        <v>0</v>
      </c>
      <c r="AV27">
        <f>IF((gamma!AV27),IF(VLOOKUP(AV$1,main!$A$3:$I$56,7,FALSE)=VLOOKUP($A27,main!$A$3:$I$56,8,FALSE),VLOOKUP(AV$1,main!$A$3:$I$56,4,FALSE),VLOOKUP(AV$1,main!$A$3:$I$56,4,FALSE)+VLOOKUP($A27,main!$A$3:$I$56,4,FALSE)+(VLOOKUP(VLOOKUP(AV$1,main!$A$3:$I$56,8,FALSE),main!$K$19:$O$22,MATCH(VLOOKUP($A27,main!$A$3:$I$56,7,FALSE),main!$K$18:$O$18,0),0))),0)</f>
        <v>0</v>
      </c>
      <c r="AW27">
        <f>IF((gamma!AW27),IF(VLOOKUP(AW$1,main!$A$3:$I$56,7,FALSE)=VLOOKUP($A27,main!$A$3:$I$56,8,FALSE),VLOOKUP(AW$1,main!$A$3:$I$56,4,FALSE),VLOOKUP(AW$1,main!$A$3:$I$56,4,FALSE)+VLOOKUP($A27,main!$A$3:$I$56,4,FALSE)+(VLOOKUP(VLOOKUP(AW$1,main!$A$3:$I$56,8,FALSE),main!$K$19:$O$22,MATCH(VLOOKUP($A27,main!$A$3:$I$56,7,FALSE),main!$K$18:$O$18,0),0))),0)</f>
        <v>0</v>
      </c>
      <c r="AX27">
        <f>IF((gamma!AX27),IF(VLOOKUP(AX$1,main!$A$3:$I$56,7,FALSE)=VLOOKUP($A27,main!$A$3:$I$56,8,FALSE),VLOOKUP(AX$1,main!$A$3:$I$56,4,FALSE),VLOOKUP(AX$1,main!$A$3:$I$56,4,FALSE)+VLOOKUP($A27,main!$A$3:$I$56,4,FALSE)+(VLOOKUP(VLOOKUP(AX$1,main!$A$3:$I$56,8,FALSE),main!$K$19:$O$22,MATCH(VLOOKUP($A27,main!$A$3:$I$56,7,FALSE),main!$K$18:$O$18,0),0))),0)</f>
        <v>0</v>
      </c>
      <c r="AY27">
        <f>IF((gamma!AY27),IF(VLOOKUP(AY$1,main!$A$3:$I$56,7,FALSE)=VLOOKUP($A27,main!$A$3:$I$56,8,FALSE),VLOOKUP(AY$1,main!$A$3:$I$56,4,FALSE),VLOOKUP(AY$1,main!$A$3:$I$56,4,FALSE)+VLOOKUP($A27,main!$A$3:$I$56,4,FALSE)+(VLOOKUP(VLOOKUP(AY$1,main!$A$3:$I$56,8,FALSE),main!$K$19:$O$22,MATCH(VLOOKUP($A27,main!$A$3:$I$56,7,FALSE),main!$K$18:$O$18,0),0))),0)</f>
        <v>0</v>
      </c>
      <c r="AZ27">
        <f>IF((gamma!AZ27),IF(VLOOKUP(AZ$1,main!$A$3:$I$56,7,FALSE)=VLOOKUP($A27,main!$A$3:$I$56,8,FALSE),VLOOKUP(AZ$1,main!$A$3:$I$56,4,FALSE),VLOOKUP(AZ$1,main!$A$3:$I$56,4,FALSE)+VLOOKUP($A27,main!$A$3:$I$56,4,FALSE)+(VLOOKUP(VLOOKUP(AZ$1,main!$A$3:$I$56,8,FALSE),main!$K$19:$O$22,MATCH(VLOOKUP($A27,main!$A$3:$I$56,7,FALSE),main!$K$18:$O$18,0),0))),0)</f>
        <v>0</v>
      </c>
      <c r="BA27">
        <f>IF((gamma!BA27),IF(VLOOKUP(BA$1,main!$A$3:$I$56,7,FALSE)=VLOOKUP($A27,main!$A$3:$I$56,8,FALSE),VLOOKUP(BA$1,main!$A$3:$I$56,4,FALSE),VLOOKUP(BA$1,main!$A$3:$I$56,4,FALSE)+VLOOKUP($A27,main!$A$3:$I$56,4,FALSE)+(VLOOKUP(VLOOKUP(BA$1,main!$A$3:$I$56,8,FALSE),main!$K$19:$O$22,MATCH(VLOOKUP($A27,main!$A$3:$I$56,7,FALSE),main!$K$18:$O$18,0),0))),0)</f>
        <v>0</v>
      </c>
      <c r="BB27">
        <f>IF((gamma!BB27),IF(VLOOKUP(BB$1,main!$A$3:$I$56,7,FALSE)=VLOOKUP($A27,main!$A$3:$I$56,8,FALSE),VLOOKUP(BB$1,main!$A$3:$I$56,4,FALSE),VLOOKUP(BB$1,main!$A$3:$I$56,4,FALSE)+VLOOKUP($A27,main!$A$3:$I$56,4,FALSE)+(VLOOKUP(VLOOKUP(BB$1,main!$A$3:$I$56,8,FALSE),main!$K$19:$O$22,MATCH(VLOOKUP($A27,main!$A$3:$I$56,7,FALSE),main!$K$18:$O$18,0),0))),0)</f>
        <v>0</v>
      </c>
      <c r="BC27">
        <f>IF((gamma!BC27),IF(VLOOKUP(BC$1,main!$A$3:$I$56,7,FALSE)=VLOOKUP($A27,main!$A$3:$I$56,8,FALSE),VLOOKUP(BC$1,main!$A$3:$I$56,4,FALSE),VLOOKUP(BC$1,main!$A$3:$I$56,4,FALSE)+VLOOKUP($A27,main!$A$3:$I$56,4,FALSE)+(VLOOKUP(VLOOKUP(BC$1,main!$A$3:$I$56,8,FALSE),main!$K$19:$O$22,MATCH(VLOOKUP($A27,main!$A$3:$I$56,7,FALSE),main!$K$18:$O$18,0),0))),0)</f>
        <v>0</v>
      </c>
      <c r="BD27">
        <f>IF((gamma!BD27),IF(VLOOKUP(BD$1,main!$A$3:$I$56,7,FALSE)=VLOOKUP($A27,main!$A$3:$I$56,8,FALSE),VLOOKUP(BD$1,main!$A$3:$I$56,4,FALSE),VLOOKUP(BD$1,main!$A$3:$I$56,4,FALSE)+VLOOKUP($A27,main!$A$3:$I$56,4,FALSE)+(VLOOKUP(VLOOKUP(BD$1,main!$A$3:$I$56,8,FALSE),main!$K$19:$O$22,MATCH(VLOOKUP($A27,main!$A$3:$I$56,7,FALSE),main!$K$18:$O$18,0),0))),0)</f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>
        <f t="shared" si="0"/>
        <v>26</v>
      </c>
      <c r="B28">
        <v>0</v>
      </c>
      <c r="C28">
        <f>IF((gamma!C28),IF(VLOOKUP(C$1,main!$A$3:$I$56,7,FALSE)=VLOOKUP($A28,main!$A$3:$I$56,8,FALSE),VLOOKUP(C$1,main!$A$3:$I$56,4,FALSE),VLOOKUP(C$1,main!$A$3:$I$56,4,FALSE)+VLOOKUP($A28,main!$A$3:$I$56,4,FALSE)+(VLOOKUP(VLOOKUP(C$1,main!$A$3:$I$56,8,FALSE),main!$K$19:$O$22,MATCH(VLOOKUP($A28,main!$A$3:$I$56,7,FALSE),main!$K$18:$O$18,0),0))),0)</f>
        <v>0</v>
      </c>
      <c r="D28">
        <f>IF((gamma!D28),IF(VLOOKUP(D$1,main!$A$3:$I$56,7,FALSE)=VLOOKUP($A28,main!$A$3:$I$56,8,FALSE),VLOOKUP(D$1,main!$A$3:$I$56,4,FALSE),VLOOKUP(D$1,main!$A$3:$I$56,4,FALSE)+VLOOKUP($A28,main!$A$3:$I$56,4,FALSE)+(VLOOKUP(VLOOKUP(D$1,main!$A$3:$I$56,8,FALSE),main!$K$19:$O$22,MATCH(VLOOKUP($A28,main!$A$3:$I$56,7,FALSE),main!$K$18:$O$18,0),0))),0)</f>
        <v>0</v>
      </c>
      <c r="E28">
        <f>IF((gamma!E28),IF(VLOOKUP(E$1,main!$A$3:$I$56,7,FALSE)=VLOOKUP($A28,main!$A$3:$I$56,8,FALSE),VLOOKUP(E$1,main!$A$3:$I$56,4,FALSE),VLOOKUP(E$1,main!$A$3:$I$56,4,FALSE)+VLOOKUP($A28,main!$A$3:$I$56,4,FALSE)+(VLOOKUP(VLOOKUP(E$1,main!$A$3:$I$56,8,FALSE),main!$K$19:$O$22,MATCH(VLOOKUP($A28,main!$A$3:$I$56,7,FALSE),main!$K$18:$O$18,0),0))),0)</f>
        <v>0</v>
      </c>
      <c r="F28">
        <f>IF((gamma!F28),IF(VLOOKUP(F$1,main!$A$3:$I$56,7,FALSE)=VLOOKUP($A28,main!$A$3:$I$56,8,FALSE),VLOOKUP(F$1,main!$A$3:$I$56,4,FALSE),VLOOKUP(F$1,main!$A$3:$I$56,4,FALSE)+VLOOKUP($A28,main!$A$3:$I$56,4,FALSE)+(VLOOKUP(VLOOKUP(F$1,main!$A$3:$I$56,8,FALSE),main!$K$19:$O$22,MATCH(VLOOKUP($A28,main!$A$3:$I$56,7,FALSE),main!$K$18:$O$18,0),0))),0)</f>
        <v>0</v>
      </c>
      <c r="G28">
        <f>IF((gamma!G28),IF(VLOOKUP(G$1,main!$A$3:$I$56,7,FALSE)=VLOOKUP($A28,main!$A$3:$I$56,8,FALSE),VLOOKUP(G$1,main!$A$3:$I$56,4,FALSE),VLOOKUP(G$1,main!$A$3:$I$56,4,FALSE)+VLOOKUP($A28,main!$A$3:$I$56,4,FALSE)+(VLOOKUP(VLOOKUP(G$1,main!$A$3:$I$56,8,FALSE),main!$K$19:$O$22,MATCH(VLOOKUP($A28,main!$A$3:$I$56,7,FALSE),main!$K$18:$O$18,0),0))),0)</f>
        <v>0</v>
      </c>
      <c r="H28">
        <f>IF((gamma!H28),IF(VLOOKUP(H$1,main!$A$3:$I$56,7,FALSE)=VLOOKUP($A28,main!$A$3:$I$56,8,FALSE),VLOOKUP(H$1,main!$A$3:$I$56,4,FALSE),VLOOKUP(H$1,main!$A$3:$I$56,4,FALSE)+VLOOKUP($A28,main!$A$3:$I$56,4,FALSE)+(VLOOKUP(VLOOKUP(H$1,main!$A$3:$I$56,8,FALSE),main!$K$19:$O$22,MATCH(VLOOKUP($A28,main!$A$3:$I$56,7,FALSE),main!$K$18:$O$18,0),0))),0)</f>
        <v>0</v>
      </c>
      <c r="I28">
        <f>IF((gamma!I28),IF(VLOOKUP(I$1,main!$A$3:$I$56,7,FALSE)=VLOOKUP($A28,main!$A$3:$I$56,8,FALSE),VLOOKUP(I$1,main!$A$3:$I$56,4,FALSE),VLOOKUP(I$1,main!$A$3:$I$56,4,FALSE)+VLOOKUP($A28,main!$A$3:$I$56,4,FALSE)+(VLOOKUP(VLOOKUP(I$1,main!$A$3:$I$56,8,FALSE),main!$K$19:$O$22,MATCH(VLOOKUP($A28,main!$A$3:$I$56,7,FALSE),main!$K$18:$O$18,0),0))),0)</f>
        <v>0</v>
      </c>
      <c r="J28">
        <f>IF((gamma!J28),IF(VLOOKUP(J$1,main!$A$3:$I$56,7,FALSE)=VLOOKUP($A28,main!$A$3:$I$56,8,FALSE),VLOOKUP(J$1,main!$A$3:$I$56,4,FALSE),VLOOKUP(J$1,main!$A$3:$I$56,4,FALSE)+VLOOKUP($A28,main!$A$3:$I$56,4,FALSE)+(VLOOKUP(VLOOKUP(J$1,main!$A$3:$I$56,8,FALSE),main!$K$19:$O$22,MATCH(VLOOKUP($A28,main!$A$3:$I$56,7,FALSE),main!$K$18:$O$18,0),0))),0)</f>
        <v>0</v>
      </c>
      <c r="K28">
        <f>IF((gamma!K28),IF(VLOOKUP(K$1,main!$A$3:$I$56,7,FALSE)=VLOOKUP($A28,main!$A$3:$I$56,8,FALSE),VLOOKUP(K$1,main!$A$3:$I$56,4,FALSE),VLOOKUP(K$1,main!$A$3:$I$56,4,FALSE)+VLOOKUP($A28,main!$A$3:$I$56,4,FALSE)+(VLOOKUP(VLOOKUP(K$1,main!$A$3:$I$56,8,FALSE),main!$K$19:$O$22,MATCH(VLOOKUP($A28,main!$A$3:$I$56,7,FALSE),main!$K$18:$O$18,0),0))),0)</f>
        <v>0</v>
      </c>
      <c r="L28">
        <f>IF((gamma!L28),IF(VLOOKUP(L$1,main!$A$3:$I$56,7,FALSE)=VLOOKUP($A28,main!$A$3:$I$56,8,FALSE),VLOOKUP(L$1,main!$A$3:$I$56,4,FALSE),VLOOKUP(L$1,main!$A$3:$I$56,4,FALSE)+VLOOKUP($A28,main!$A$3:$I$56,4,FALSE)+(VLOOKUP(VLOOKUP(L$1,main!$A$3:$I$56,8,FALSE),main!$K$19:$O$22,MATCH(VLOOKUP($A28,main!$A$3:$I$56,7,FALSE),main!$K$18:$O$18,0),0))),0)</f>
        <v>0</v>
      </c>
      <c r="M28">
        <f>IF((gamma!M28),IF(VLOOKUP(M$1,main!$A$3:$I$56,7,FALSE)=VLOOKUP($A28,main!$A$3:$I$56,8,FALSE),VLOOKUP(M$1,main!$A$3:$I$56,4,FALSE),VLOOKUP(M$1,main!$A$3:$I$56,4,FALSE)+VLOOKUP($A28,main!$A$3:$I$56,4,FALSE)+(VLOOKUP(VLOOKUP(M$1,main!$A$3:$I$56,8,FALSE),main!$K$19:$O$22,MATCH(VLOOKUP($A28,main!$A$3:$I$56,7,FALSE),main!$K$18:$O$18,0),0))),0)</f>
        <v>0</v>
      </c>
      <c r="N28">
        <f>IF((gamma!N28),IF(VLOOKUP(N$1,main!$A$3:$I$56,7,FALSE)=VLOOKUP($A28,main!$A$3:$I$56,8,FALSE),VLOOKUP(N$1,main!$A$3:$I$56,4,FALSE),VLOOKUP(N$1,main!$A$3:$I$56,4,FALSE)+VLOOKUP($A28,main!$A$3:$I$56,4,FALSE)+(VLOOKUP(VLOOKUP(N$1,main!$A$3:$I$56,8,FALSE),main!$K$19:$O$22,MATCH(VLOOKUP($A28,main!$A$3:$I$56,7,FALSE),main!$K$18:$O$18,0),0))),0)</f>
        <v>0</v>
      </c>
      <c r="O28">
        <f>IF((gamma!O28),IF(VLOOKUP(O$1,main!$A$3:$I$56,7,FALSE)=VLOOKUP($A28,main!$A$3:$I$56,8,FALSE),VLOOKUP(O$1,main!$A$3:$I$56,4,FALSE),VLOOKUP(O$1,main!$A$3:$I$56,4,FALSE)+VLOOKUP($A28,main!$A$3:$I$56,4,FALSE)+(VLOOKUP(VLOOKUP(O$1,main!$A$3:$I$56,8,FALSE),main!$K$19:$O$22,MATCH(VLOOKUP($A28,main!$A$3:$I$56,7,FALSE),main!$K$18:$O$18,0),0))),0)</f>
        <v>0</v>
      </c>
      <c r="P28">
        <f>IF((gamma!P28),IF(VLOOKUP(P$1,main!$A$3:$I$56,7,FALSE)=VLOOKUP($A28,main!$A$3:$I$56,8,FALSE),VLOOKUP(P$1,main!$A$3:$I$56,4,FALSE),VLOOKUP(P$1,main!$A$3:$I$56,4,FALSE)+VLOOKUP($A28,main!$A$3:$I$56,4,FALSE)+(VLOOKUP(VLOOKUP(P$1,main!$A$3:$I$56,8,FALSE),main!$K$19:$O$22,MATCH(VLOOKUP($A28,main!$A$3:$I$56,7,FALSE),main!$K$18:$O$18,0),0))),0)</f>
        <v>0</v>
      </c>
      <c r="Q28">
        <f>IF((gamma!Q28),IF(VLOOKUP(Q$1,main!$A$3:$I$56,7,FALSE)=VLOOKUP($A28,main!$A$3:$I$56,8,FALSE),VLOOKUP(Q$1,main!$A$3:$I$56,4,FALSE),VLOOKUP(Q$1,main!$A$3:$I$56,4,FALSE)+VLOOKUP($A28,main!$A$3:$I$56,4,FALSE)+(VLOOKUP(VLOOKUP(Q$1,main!$A$3:$I$56,8,FALSE),main!$K$19:$O$22,MATCH(VLOOKUP($A28,main!$A$3:$I$56,7,FALSE),main!$K$18:$O$18,0),0))),0)</f>
        <v>0</v>
      </c>
      <c r="R28">
        <f>IF((gamma!R28),IF(VLOOKUP(R$1,main!$A$3:$I$56,7,FALSE)=VLOOKUP($A28,main!$A$3:$I$56,8,FALSE),VLOOKUP(R$1,main!$A$3:$I$56,4,FALSE),VLOOKUP(R$1,main!$A$3:$I$56,4,FALSE)+VLOOKUP($A28,main!$A$3:$I$56,4,FALSE)+(VLOOKUP(VLOOKUP(R$1,main!$A$3:$I$56,8,FALSE),main!$K$19:$O$22,MATCH(VLOOKUP($A28,main!$A$3:$I$56,7,FALSE),main!$K$18:$O$18,0),0))),0)</f>
        <v>0</v>
      </c>
      <c r="S28">
        <f>IF((gamma!S28),IF(VLOOKUP(S$1,main!$A$3:$I$56,7,FALSE)=VLOOKUP($A28,main!$A$3:$I$56,8,FALSE),VLOOKUP(S$1,main!$A$3:$I$56,4,FALSE),VLOOKUP(S$1,main!$A$3:$I$56,4,FALSE)+VLOOKUP($A28,main!$A$3:$I$56,4,FALSE)+(VLOOKUP(VLOOKUP(S$1,main!$A$3:$I$56,8,FALSE),main!$K$19:$O$22,MATCH(VLOOKUP($A28,main!$A$3:$I$56,7,FALSE),main!$K$18:$O$18,0),0))),0)</f>
        <v>0</v>
      </c>
      <c r="T28">
        <f>IF((gamma!T28),IF(VLOOKUP(T$1,main!$A$3:$I$56,7,FALSE)=VLOOKUP($A28,main!$A$3:$I$56,8,FALSE),VLOOKUP(T$1,main!$A$3:$I$56,4,FALSE),VLOOKUP(T$1,main!$A$3:$I$56,4,FALSE)+VLOOKUP($A28,main!$A$3:$I$56,4,FALSE)+(VLOOKUP(VLOOKUP(T$1,main!$A$3:$I$56,8,FALSE),main!$K$19:$O$22,MATCH(VLOOKUP($A28,main!$A$3:$I$56,7,FALSE),main!$K$18:$O$18,0),0))),0)</f>
        <v>0</v>
      </c>
      <c r="U28">
        <f>IF((gamma!U28),IF(VLOOKUP(U$1,main!$A$3:$I$56,7,FALSE)=VLOOKUP($A28,main!$A$3:$I$56,8,FALSE),VLOOKUP(U$1,main!$A$3:$I$56,4,FALSE),VLOOKUP(U$1,main!$A$3:$I$56,4,FALSE)+VLOOKUP($A28,main!$A$3:$I$56,4,FALSE)+(VLOOKUP(VLOOKUP(U$1,main!$A$3:$I$56,8,FALSE),main!$K$19:$O$22,MATCH(VLOOKUP($A28,main!$A$3:$I$56,7,FALSE),main!$K$18:$O$18,0),0))),0)</f>
        <v>0</v>
      </c>
      <c r="V28">
        <f>IF((gamma!V28),IF(VLOOKUP(V$1,main!$A$3:$I$56,7,FALSE)=VLOOKUP($A28,main!$A$3:$I$56,8,FALSE),VLOOKUP(V$1,main!$A$3:$I$56,4,FALSE),VLOOKUP(V$1,main!$A$3:$I$56,4,FALSE)+VLOOKUP($A28,main!$A$3:$I$56,4,FALSE)+(VLOOKUP(VLOOKUP(V$1,main!$A$3:$I$56,8,FALSE),main!$K$19:$O$22,MATCH(VLOOKUP($A28,main!$A$3:$I$56,7,FALSE),main!$K$18:$O$18,0),0))),0)</f>
        <v>0</v>
      </c>
      <c r="W28">
        <f>IF((gamma!W28),IF(VLOOKUP(W$1,main!$A$3:$I$56,7,FALSE)=VLOOKUP($A28,main!$A$3:$I$56,8,FALSE),VLOOKUP(W$1,main!$A$3:$I$56,4,FALSE),VLOOKUP(W$1,main!$A$3:$I$56,4,FALSE)+VLOOKUP($A28,main!$A$3:$I$56,4,FALSE)+(VLOOKUP(VLOOKUP(W$1,main!$A$3:$I$56,8,FALSE),main!$K$19:$O$22,MATCH(VLOOKUP($A28,main!$A$3:$I$56,7,FALSE),main!$K$18:$O$18,0),0))),0)</f>
        <v>0</v>
      </c>
      <c r="X28">
        <f>IF((gamma!X28),IF(VLOOKUP(X$1,main!$A$3:$I$56,7,FALSE)=VLOOKUP($A28,main!$A$3:$I$56,8,FALSE),VLOOKUP(X$1,main!$A$3:$I$56,4,FALSE),VLOOKUP(X$1,main!$A$3:$I$56,4,FALSE)+VLOOKUP($A28,main!$A$3:$I$56,4,FALSE)+(VLOOKUP(VLOOKUP(X$1,main!$A$3:$I$56,8,FALSE),main!$K$19:$O$22,MATCH(VLOOKUP($A28,main!$A$3:$I$56,7,FALSE),main!$K$18:$O$18,0),0))),0)</f>
        <v>0</v>
      </c>
      <c r="Y28">
        <f>IF((gamma!Y28),IF(VLOOKUP(Y$1,main!$A$3:$I$56,7,FALSE)=VLOOKUP($A28,main!$A$3:$I$56,8,FALSE),VLOOKUP(Y$1,main!$A$3:$I$56,4,FALSE),VLOOKUP(Y$1,main!$A$3:$I$56,4,FALSE)+VLOOKUP($A28,main!$A$3:$I$56,4,FALSE)+(VLOOKUP(VLOOKUP(Y$1,main!$A$3:$I$56,8,FALSE),main!$K$19:$O$22,MATCH(VLOOKUP($A28,main!$A$3:$I$56,7,FALSE),main!$K$18:$O$18,0),0))),0)</f>
        <v>0</v>
      </c>
      <c r="Z28">
        <f>IF((gamma!Z28),IF(VLOOKUP(Z$1,main!$A$3:$I$56,7,FALSE)=VLOOKUP($A28,main!$A$3:$I$56,8,FALSE),VLOOKUP(Z$1,main!$A$3:$I$56,4,FALSE),VLOOKUP(Z$1,main!$A$3:$I$56,4,FALSE)+VLOOKUP($A28,main!$A$3:$I$56,4,FALSE)+(VLOOKUP(VLOOKUP(Z$1,main!$A$3:$I$56,8,FALSE),main!$K$19:$O$22,MATCH(VLOOKUP($A28,main!$A$3:$I$56,7,FALSE),main!$K$18:$O$18,0),0))),0)</f>
        <v>0</v>
      </c>
      <c r="AA28">
        <f>IF((gamma!AA28),IF(VLOOKUP(AA$1,main!$A$3:$I$56,7,FALSE)=VLOOKUP($A28,main!$A$3:$I$56,8,FALSE),VLOOKUP(AA$1,main!$A$3:$I$56,4,FALSE),VLOOKUP(AA$1,main!$A$3:$I$56,4,FALSE)+VLOOKUP($A28,main!$A$3:$I$56,4,FALSE)+(VLOOKUP(VLOOKUP(AA$1,main!$A$3:$I$56,8,FALSE),main!$K$19:$O$22,MATCH(VLOOKUP($A28,main!$A$3:$I$56,7,FALSE),main!$K$18:$O$18,0),0))),0)</f>
        <v>0</v>
      </c>
      <c r="AB28">
        <f>IF((gamma!AB28),IF(VLOOKUP(AB$1,main!$A$3:$I$56,7,FALSE)=VLOOKUP($A28,main!$A$3:$I$56,8,FALSE),VLOOKUP(AB$1,main!$A$3:$I$56,4,FALSE),VLOOKUP(AB$1,main!$A$3:$I$56,4,FALSE)+VLOOKUP($A28,main!$A$3:$I$56,4,FALSE)+(VLOOKUP(VLOOKUP(AB$1,main!$A$3:$I$56,8,FALSE),main!$K$19:$O$22,MATCH(VLOOKUP($A28,main!$A$3:$I$56,7,FALSE),main!$K$18:$O$18,0),0))),0)</f>
        <v>0</v>
      </c>
      <c r="AC28">
        <f>IF((gamma!AC28),IF(VLOOKUP(AC$1,main!$A$3:$I$56,7,FALSE)=VLOOKUP($A28,main!$A$3:$I$56,8,FALSE),VLOOKUP(AC$1,main!$A$3:$I$56,4,FALSE),VLOOKUP(AC$1,main!$A$3:$I$56,4,FALSE)+VLOOKUP($A28,main!$A$3:$I$56,4,FALSE)+(VLOOKUP(VLOOKUP(AC$1,main!$A$3:$I$56,8,FALSE),main!$K$19:$O$22,MATCH(VLOOKUP($A28,main!$A$3:$I$56,7,FALSE),main!$K$18:$O$18,0),0))),0)</f>
        <v>0</v>
      </c>
      <c r="AD28">
        <f>IF((gamma!AD28),IF(VLOOKUP(AD$1,main!$A$3:$I$56,7,FALSE)=VLOOKUP($A28,main!$A$3:$I$56,8,FALSE),VLOOKUP(AD$1,main!$A$3:$I$56,4,FALSE),VLOOKUP(AD$1,main!$A$3:$I$56,4,FALSE)+VLOOKUP($A28,main!$A$3:$I$56,4,FALSE)+(VLOOKUP(VLOOKUP(AD$1,main!$A$3:$I$56,8,FALSE),main!$K$19:$O$22,MATCH(VLOOKUP($A28,main!$A$3:$I$56,7,FALSE),main!$K$18:$O$18,0),0))),0)</f>
        <v>0</v>
      </c>
      <c r="AE28">
        <f>IF((gamma!AE28),IF(VLOOKUP(AE$1,main!$A$3:$I$56,7,FALSE)=VLOOKUP($A28,main!$A$3:$I$56,8,FALSE),VLOOKUP(AE$1,main!$A$3:$I$56,4,FALSE),VLOOKUP(AE$1,main!$A$3:$I$56,4,FALSE)+VLOOKUP($A28,main!$A$3:$I$56,4,FALSE)+(VLOOKUP(VLOOKUP(AE$1,main!$A$3:$I$56,8,FALSE),main!$K$19:$O$22,MATCH(VLOOKUP($A28,main!$A$3:$I$56,7,FALSE),main!$K$18:$O$18,0),0))),0)</f>
        <v>0</v>
      </c>
      <c r="AF28">
        <f>IF((gamma!AF28),IF(VLOOKUP(AF$1,main!$A$3:$I$56,7,FALSE)=VLOOKUP($A28,main!$A$3:$I$56,8,FALSE),VLOOKUP(AF$1,main!$A$3:$I$56,4,FALSE),VLOOKUP(AF$1,main!$A$3:$I$56,4,FALSE)+VLOOKUP($A28,main!$A$3:$I$56,4,FALSE)+(VLOOKUP(VLOOKUP(AF$1,main!$A$3:$I$56,8,FALSE),main!$K$19:$O$22,MATCH(VLOOKUP($A28,main!$A$3:$I$56,7,FALSE),main!$K$18:$O$18,0),0))),0)</f>
        <v>0</v>
      </c>
      <c r="AG28">
        <f>IF((gamma!AG28),IF(VLOOKUP(AG$1,main!$A$3:$I$56,7,FALSE)=VLOOKUP($A28,main!$A$3:$I$56,8,FALSE),VLOOKUP(AG$1,main!$A$3:$I$56,4,FALSE),VLOOKUP(AG$1,main!$A$3:$I$56,4,FALSE)+VLOOKUP($A28,main!$A$3:$I$56,4,FALSE)+(VLOOKUP(VLOOKUP(AG$1,main!$A$3:$I$56,8,FALSE),main!$K$19:$O$22,MATCH(VLOOKUP($A28,main!$A$3:$I$56,7,FALSE),main!$K$18:$O$18,0),0))),0)</f>
        <v>0</v>
      </c>
      <c r="AH28">
        <f>IF((gamma!AH28),IF(VLOOKUP(AH$1,main!$A$3:$I$56,7,FALSE)=VLOOKUP($A28,main!$A$3:$I$56,8,FALSE),VLOOKUP(AH$1,main!$A$3:$I$56,4,FALSE),VLOOKUP(AH$1,main!$A$3:$I$56,4,FALSE)+VLOOKUP($A28,main!$A$3:$I$56,4,FALSE)+(VLOOKUP(VLOOKUP(AH$1,main!$A$3:$I$56,8,FALSE),main!$K$19:$O$22,MATCH(VLOOKUP($A28,main!$A$3:$I$56,7,FALSE),main!$K$18:$O$18,0),0))),0)</f>
        <v>0</v>
      </c>
      <c r="AI28">
        <f>IF((gamma!AI28),IF(VLOOKUP(AI$1,main!$A$3:$I$56,7,FALSE)=VLOOKUP($A28,main!$A$3:$I$56,8,FALSE),VLOOKUP(AI$1,main!$A$3:$I$56,4,FALSE),VLOOKUP(AI$1,main!$A$3:$I$56,4,FALSE)+VLOOKUP($A28,main!$A$3:$I$56,4,FALSE)+(VLOOKUP(VLOOKUP(AI$1,main!$A$3:$I$56,8,FALSE),main!$K$19:$O$22,MATCH(VLOOKUP($A28,main!$A$3:$I$56,7,FALSE),main!$K$18:$O$18,0),0))),0)</f>
        <v>0</v>
      </c>
      <c r="AJ28">
        <f>IF((gamma!AJ28),IF(VLOOKUP(AJ$1,main!$A$3:$I$56,7,FALSE)=VLOOKUP($A28,main!$A$3:$I$56,8,FALSE),VLOOKUP(AJ$1,main!$A$3:$I$56,4,FALSE),VLOOKUP(AJ$1,main!$A$3:$I$56,4,FALSE)+VLOOKUP($A28,main!$A$3:$I$56,4,FALSE)+(VLOOKUP(VLOOKUP(AJ$1,main!$A$3:$I$56,8,FALSE),main!$K$19:$O$22,MATCH(VLOOKUP($A28,main!$A$3:$I$56,7,FALSE),main!$K$18:$O$18,0),0))),0)</f>
        <v>0</v>
      </c>
      <c r="AK28">
        <f>IF((gamma!AK28),IF(VLOOKUP(AK$1,main!$A$3:$I$56,7,FALSE)=VLOOKUP($A28,main!$A$3:$I$56,8,FALSE),VLOOKUP(AK$1,main!$A$3:$I$56,4,FALSE),VLOOKUP(AK$1,main!$A$3:$I$56,4,FALSE)+VLOOKUP($A28,main!$A$3:$I$56,4,FALSE)+(VLOOKUP(VLOOKUP(AK$1,main!$A$3:$I$56,8,FALSE),main!$K$19:$O$22,MATCH(VLOOKUP($A28,main!$A$3:$I$56,7,FALSE),main!$K$18:$O$18,0),0))),0)</f>
        <v>0</v>
      </c>
      <c r="AL28">
        <f>IF((gamma!AL28),IF(VLOOKUP(AL$1,main!$A$3:$I$56,7,FALSE)=VLOOKUP($A28,main!$A$3:$I$56,8,FALSE),VLOOKUP(AL$1,main!$A$3:$I$56,4,FALSE),VLOOKUP(AL$1,main!$A$3:$I$56,4,FALSE)+VLOOKUP($A28,main!$A$3:$I$56,4,FALSE)+(VLOOKUP(VLOOKUP(AL$1,main!$A$3:$I$56,8,FALSE),main!$K$19:$O$22,MATCH(VLOOKUP($A28,main!$A$3:$I$56,7,FALSE),main!$K$18:$O$18,0),0))),0)</f>
        <v>0</v>
      </c>
      <c r="AM28">
        <f>IF((gamma!AM28),IF(VLOOKUP(AM$1,main!$A$3:$I$56,7,FALSE)=VLOOKUP($A28,main!$A$3:$I$56,8,FALSE),VLOOKUP(AM$1,main!$A$3:$I$56,4,FALSE),VLOOKUP(AM$1,main!$A$3:$I$56,4,FALSE)+VLOOKUP($A28,main!$A$3:$I$56,4,FALSE)+(VLOOKUP(VLOOKUP(AM$1,main!$A$3:$I$56,8,FALSE),main!$K$19:$O$22,MATCH(VLOOKUP($A28,main!$A$3:$I$56,7,FALSE),main!$K$18:$O$18,0),0))),0)</f>
        <v>0</v>
      </c>
      <c r="AN28">
        <f>IF((gamma!AN28),IF(VLOOKUP(AN$1,main!$A$3:$I$56,7,FALSE)=VLOOKUP($A28,main!$A$3:$I$56,8,FALSE),VLOOKUP(AN$1,main!$A$3:$I$56,4,FALSE),VLOOKUP(AN$1,main!$A$3:$I$56,4,FALSE)+VLOOKUP($A28,main!$A$3:$I$56,4,FALSE)+(VLOOKUP(VLOOKUP(AN$1,main!$A$3:$I$56,8,FALSE),main!$K$19:$O$22,MATCH(VLOOKUP($A28,main!$A$3:$I$56,7,FALSE),main!$K$18:$O$18,0),0))),0)</f>
        <v>0</v>
      </c>
      <c r="AO28">
        <f>IF((gamma!AO28),IF(VLOOKUP(AO$1,main!$A$3:$I$56,7,FALSE)=VLOOKUP($A28,main!$A$3:$I$56,8,FALSE),VLOOKUP(AO$1,main!$A$3:$I$56,4,FALSE),VLOOKUP(AO$1,main!$A$3:$I$56,4,FALSE)+VLOOKUP($A28,main!$A$3:$I$56,4,FALSE)+(VLOOKUP(VLOOKUP(AO$1,main!$A$3:$I$56,8,FALSE),main!$K$19:$O$22,MATCH(VLOOKUP($A28,main!$A$3:$I$56,7,FALSE),main!$K$18:$O$18,0),0))),0)</f>
        <v>0</v>
      </c>
      <c r="AP28">
        <f>IF((gamma!AP28),IF(VLOOKUP(AP$1,main!$A$3:$I$56,7,FALSE)=VLOOKUP($A28,main!$A$3:$I$56,8,FALSE),VLOOKUP(AP$1,main!$A$3:$I$56,4,FALSE),VLOOKUP(AP$1,main!$A$3:$I$56,4,FALSE)+VLOOKUP($A28,main!$A$3:$I$56,4,FALSE)+(VLOOKUP(VLOOKUP(AP$1,main!$A$3:$I$56,8,FALSE),main!$K$19:$O$22,MATCH(VLOOKUP($A28,main!$A$3:$I$56,7,FALSE),main!$K$18:$O$18,0),0))),0)</f>
        <v>0</v>
      </c>
      <c r="AQ28">
        <f>IF((gamma!AQ28),IF(VLOOKUP(AQ$1,main!$A$3:$I$56,7,FALSE)=VLOOKUP($A28,main!$A$3:$I$56,8,FALSE),VLOOKUP(AQ$1,main!$A$3:$I$56,4,FALSE),VLOOKUP(AQ$1,main!$A$3:$I$56,4,FALSE)+VLOOKUP($A28,main!$A$3:$I$56,4,FALSE)+(VLOOKUP(VLOOKUP(AQ$1,main!$A$3:$I$56,8,FALSE),main!$K$19:$O$22,MATCH(VLOOKUP($A28,main!$A$3:$I$56,7,FALSE),main!$K$18:$O$18,0),0))),0)</f>
        <v>0</v>
      </c>
      <c r="AR28">
        <f>IF((gamma!AR28),IF(VLOOKUP(AR$1,main!$A$3:$I$56,7,FALSE)=VLOOKUP($A28,main!$A$3:$I$56,8,FALSE),VLOOKUP(AR$1,main!$A$3:$I$56,4,FALSE),VLOOKUP(AR$1,main!$A$3:$I$56,4,FALSE)+VLOOKUP($A28,main!$A$3:$I$56,4,FALSE)+(VLOOKUP(VLOOKUP(AR$1,main!$A$3:$I$56,8,FALSE),main!$K$19:$O$22,MATCH(VLOOKUP($A28,main!$A$3:$I$56,7,FALSE),main!$K$18:$O$18,0),0))),0)</f>
        <v>0</v>
      </c>
      <c r="AS28">
        <f>IF((gamma!AS28),IF(VLOOKUP(AS$1,main!$A$3:$I$56,7,FALSE)=VLOOKUP($A28,main!$A$3:$I$56,8,FALSE),VLOOKUP(AS$1,main!$A$3:$I$56,4,FALSE),VLOOKUP(AS$1,main!$A$3:$I$56,4,FALSE)+VLOOKUP($A28,main!$A$3:$I$56,4,FALSE)+(VLOOKUP(VLOOKUP(AS$1,main!$A$3:$I$56,8,FALSE),main!$K$19:$O$22,MATCH(VLOOKUP($A28,main!$A$3:$I$56,7,FALSE),main!$K$18:$O$18,0),0))),0)</f>
        <v>0</v>
      </c>
      <c r="AT28">
        <f>IF((gamma!AT28),IF(VLOOKUP(AT$1,main!$A$3:$I$56,7,FALSE)=VLOOKUP($A28,main!$A$3:$I$56,8,FALSE),VLOOKUP(AT$1,main!$A$3:$I$56,4,FALSE),VLOOKUP(AT$1,main!$A$3:$I$56,4,FALSE)+VLOOKUP($A28,main!$A$3:$I$56,4,FALSE)+(VLOOKUP(VLOOKUP(AT$1,main!$A$3:$I$56,8,FALSE),main!$K$19:$O$22,MATCH(VLOOKUP($A28,main!$A$3:$I$56,7,FALSE),main!$K$18:$O$18,0),0))),0)</f>
        <v>0</v>
      </c>
      <c r="AU28">
        <f>IF((gamma!AU28),IF(VLOOKUP(AU$1,main!$A$3:$I$56,7,FALSE)=VLOOKUP($A28,main!$A$3:$I$56,8,FALSE),VLOOKUP(AU$1,main!$A$3:$I$56,4,FALSE),VLOOKUP(AU$1,main!$A$3:$I$56,4,FALSE)+VLOOKUP($A28,main!$A$3:$I$56,4,FALSE)+(VLOOKUP(VLOOKUP(AU$1,main!$A$3:$I$56,8,FALSE),main!$K$19:$O$22,MATCH(VLOOKUP($A28,main!$A$3:$I$56,7,FALSE),main!$K$18:$O$18,0),0))),0)</f>
        <v>0</v>
      </c>
      <c r="AV28">
        <f>IF((gamma!AV28),IF(VLOOKUP(AV$1,main!$A$3:$I$56,7,FALSE)=VLOOKUP($A28,main!$A$3:$I$56,8,FALSE),VLOOKUP(AV$1,main!$A$3:$I$56,4,FALSE),VLOOKUP(AV$1,main!$A$3:$I$56,4,FALSE)+VLOOKUP($A28,main!$A$3:$I$56,4,FALSE)+(VLOOKUP(VLOOKUP(AV$1,main!$A$3:$I$56,8,FALSE),main!$K$19:$O$22,MATCH(VLOOKUP($A28,main!$A$3:$I$56,7,FALSE),main!$K$18:$O$18,0),0))),0)</f>
        <v>0</v>
      </c>
      <c r="AW28">
        <f>IF((gamma!AW28),IF(VLOOKUP(AW$1,main!$A$3:$I$56,7,FALSE)=VLOOKUP($A28,main!$A$3:$I$56,8,FALSE),VLOOKUP(AW$1,main!$A$3:$I$56,4,FALSE),VLOOKUP(AW$1,main!$A$3:$I$56,4,FALSE)+VLOOKUP($A28,main!$A$3:$I$56,4,FALSE)+(VLOOKUP(VLOOKUP(AW$1,main!$A$3:$I$56,8,FALSE),main!$K$19:$O$22,MATCH(VLOOKUP($A28,main!$A$3:$I$56,7,FALSE),main!$K$18:$O$18,0),0))),0)</f>
        <v>0</v>
      </c>
      <c r="AX28">
        <f>IF((gamma!AX28),IF(VLOOKUP(AX$1,main!$A$3:$I$56,7,FALSE)=VLOOKUP($A28,main!$A$3:$I$56,8,FALSE),VLOOKUP(AX$1,main!$A$3:$I$56,4,FALSE),VLOOKUP(AX$1,main!$A$3:$I$56,4,FALSE)+VLOOKUP($A28,main!$A$3:$I$56,4,FALSE)+(VLOOKUP(VLOOKUP(AX$1,main!$A$3:$I$56,8,FALSE),main!$K$19:$O$22,MATCH(VLOOKUP($A28,main!$A$3:$I$56,7,FALSE),main!$K$18:$O$18,0),0))),0)</f>
        <v>0</v>
      </c>
      <c r="AY28">
        <f>IF((gamma!AY28),IF(VLOOKUP(AY$1,main!$A$3:$I$56,7,FALSE)=VLOOKUP($A28,main!$A$3:$I$56,8,FALSE),VLOOKUP(AY$1,main!$A$3:$I$56,4,FALSE),VLOOKUP(AY$1,main!$A$3:$I$56,4,FALSE)+VLOOKUP($A28,main!$A$3:$I$56,4,FALSE)+(VLOOKUP(VLOOKUP(AY$1,main!$A$3:$I$56,8,FALSE),main!$K$19:$O$22,MATCH(VLOOKUP($A28,main!$A$3:$I$56,7,FALSE),main!$K$18:$O$18,0),0))),0)</f>
        <v>0</v>
      </c>
      <c r="AZ28">
        <f>IF((gamma!AZ28),IF(VLOOKUP(AZ$1,main!$A$3:$I$56,7,FALSE)=VLOOKUP($A28,main!$A$3:$I$56,8,FALSE),VLOOKUP(AZ$1,main!$A$3:$I$56,4,FALSE),VLOOKUP(AZ$1,main!$A$3:$I$56,4,FALSE)+VLOOKUP($A28,main!$A$3:$I$56,4,FALSE)+(VLOOKUP(VLOOKUP(AZ$1,main!$A$3:$I$56,8,FALSE),main!$K$19:$O$22,MATCH(VLOOKUP($A28,main!$A$3:$I$56,7,FALSE),main!$K$18:$O$18,0),0))),0)</f>
        <v>0</v>
      </c>
      <c r="BA28">
        <f>IF((gamma!BA28),IF(VLOOKUP(BA$1,main!$A$3:$I$56,7,FALSE)=VLOOKUP($A28,main!$A$3:$I$56,8,FALSE),VLOOKUP(BA$1,main!$A$3:$I$56,4,FALSE),VLOOKUP(BA$1,main!$A$3:$I$56,4,FALSE)+VLOOKUP($A28,main!$A$3:$I$56,4,FALSE)+(VLOOKUP(VLOOKUP(BA$1,main!$A$3:$I$56,8,FALSE),main!$K$19:$O$22,MATCH(VLOOKUP($A28,main!$A$3:$I$56,7,FALSE),main!$K$18:$O$18,0),0))),0)</f>
        <v>0</v>
      </c>
      <c r="BB28">
        <f>IF((gamma!BB28),IF(VLOOKUP(BB$1,main!$A$3:$I$56,7,FALSE)=VLOOKUP($A28,main!$A$3:$I$56,8,FALSE),VLOOKUP(BB$1,main!$A$3:$I$56,4,FALSE),VLOOKUP(BB$1,main!$A$3:$I$56,4,FALSE)+VLOOKUP($A28,main!$A$3:$I$56,4,FALSE)+(VLOOKUP(VLOOKUP(BB$1,main!$A$3:$I$56,8,FALSE),main!$K$19:$O$22,MATCH(VLOOKUP($A28,main!$A$3:$I$56,7,FALSE),main!$K$18:$O$18,0),0))),0)</f>
        <v>0</v>
      </c>
      <c r="BC28">
        <f>IF((gamma!BC28),IF(VLOOKUP(BC$1,main!$A$3:$I$56,7,FALSE)=VLOOKUP($A28,main!$A$3:$I$56,8,FALSE),VLOOKUP(BC$1,main!$A$3:$I$56,4,FALSE),VLOOKUP(BC$1,main!$A$3:$I$56,4,FALSE)+VLOOKUP($A28,main!$A$3:$I$56,4,FALSE)+(VLOOKUP(VLOOKUP(BC$1,main!$A$3:$I$56,8,FALSE),main!$K$19:$O$22,MATCH(VLOOKUP($A28,main!$A$3:$I$56,7,FALSE),main!$K$18:$O$18,0),0))),0)</f>
        <v>0</v>
      </c>
      <c r="BD28">
        <f>IF((gamma!BD28),IF(VLOOKUP(BD$1,main!$A$3:$I$56,7,FALSE)=VLOOKUP($A28,main!$A$3:$I$56,8,FALSE),VLOOKUP(BD$1,main!$A$3:$I$56,4,FALSE),VLOOKUP(BD$1,main!$A$3:$I$56,4,FALSE)+VLOOKUP($A28,main!$A$3:$I$56,4,FALSE)+(VLOOKUP(VLOOKUP(BD$1,main!$A$3:$I$56,8,FALSE),main!$K$19:$O$22,MATCH(VLOOKUP($A28,main!$A$3:$I$56,7,FALSE),main!$K$18:$O$18,0),0))),0)</f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>
        <f t="shared" si="0"/>
        <v>27</v>
      </c>
      <c r="B29">
        <v>0</v>
      </c>
      <c r="C29">
        <f>IF((gamma!C29),IF(VLOOKUP(C$1,main!$A$3:$I$56,7,FALSE)=VLOOKUP($A29,main!$A$3:$I$56,8,FALSE),VLOOKUP(C$1,main!$A$3:$I$56,4,FALSE),VLOOKUP(C$1,main!$A$3:$I$56,4,FALSE)+VLOOKUP($A29,main!$A$3:$I$56,4,FALSE)+(VLOOKUP(VLOOKUP(C$1,main!$A$3:$I$56,8,FALSE),main!$K$19:$O$22,MATCH(VLOOKUP($A29,main!$A$3:$I$56,7,FALSE),main!$K$18:$O$18,0),0))),0)</f>
        <v>283</v>
      </c>
      <c r="D29">
        <f>IF((gamma!D29),IF(VLOOKUP(D$1,main!$A$3:$I$56,7,FALSE)=VLOOKUP($A29,main!$A$3:$I$56,8,FALSE),VLOOKUP(D$1,main!$A$3:$I$56,4,FALSE),VLOOKUP(D$1,main!$A$3:$I$56,4,FALSE)+VLOOKUP($A29,main!$A$3:$I$56,4,FALSE)+(VLOOKUP(VLOOKUP(D$1,main!$A$3:$I$56,8,FALSE),main!$K$19:$O$22,MATCH(VLOOKUP($A29,main!$A$3:$I$56,7,FALSE),main!$K$18:$O$18,0),0))),0)</f>
        <v>283</v>
      </c>
      <c r="E29">
        <f>IF((gamma!E29),IF(VLOOKUP(E$1,main!$A$3:$I$56,7,FALSE)=VLOOKUP($A29,main!$A$3:$I$56,8,FALSE),VLOOKUP(E$1,main!$A$3:$I$56,4,FALSE),VLOOKUP(E$1,main!$A$3:$I$56,4,FALSE)+VLOOKUP($A29,main!$A$3:$I$56,4,FALSE)+(VLOOKUP(VLOOKUP(E$1,main!$A$3:$I$56,8,FALSE),main!$K$19:$O$22,MATCH(VLOOKUP($A29,main!$A$3:$I$56,7,FALSE),main!$K$18:$O$18,0),0))),0)</f>
        <v>283</v>
      </c>
      <c r="F29">
        <f>IF((gamma!F29),IF(VLOOKUP(F$1,main!$A$3:$I$56,7,FALSE)=VLOOKUP($A29,main!$A$3:$I$56,8,FALSE),VLOOKUP(F$1,main!$A$3:$I$56,4,FALSE),VLOOKUP(F$1,main!$A$3:$I$56,4,FALSE)+VLOOKUP($A29,main!$A$3:$I$56,4,FALSE)+(VLOOKUP(VLOOKUP(F$1,main!$A$3:$I$56,8,FALSE),main!$K$19:$O$22,MATCH(VLOOKUP($A29,main!$A$3:$I$56,7,FALSE),main!$K$18:$O$18,0),0))),0)</f>
        <v>283</v>
      </c>
      <c r="G29">
        <f>IF((gamma!G29),IF(VLOOKUP(G$1,main!$A$3:$I$56,7,FALSE)=VLOOKUP($A29,main!$A$3:$I$56,8,FALSE),VLOOKUP(G$1,main!$A$3:$I$56,4,FALSE),VLOOKUP(G$1,main!$A$3:$I$56,4,FALSE)+VLOOKUP($A29,main!$A$3:$I$56,4,FALSE)+(VLOOKUP(VLOOKUP(G$1,main!$A$3:$I$56,8,FALSE),main!$K$19:$O$22,MATCH(VLOOKUP($A29,main!$A$3:$I$56,7,FALSE),main!$K$18:$O$18,0),0))),0)</f>
        <v>283</v>
      </c>
      <c r="H29">
        <f>IF((gamma!H29),IF(VLOOKUP(H$1,main!$A$3:$I$56,7,FALSE)=VLOOKUP($A29,main!$A$3:$I$56,8,FALSE),VLOOKUP(H$1,main!$A$3:$I$56,4,FALSE),VLOOKUP(H$1,main!$A$3:$I$56,4,FALSE)+VLOOKUP($A29,main!$A$3:$I$56,4,FALSE)+(VLOOKUP(VLOOKUP(H$1,main!$A$3:$I$56,8,FALSE),main!$K$19:$O$22,MATCH(VLOOKUP($A29,main!$A$3:$I$56,7,FALSE),main!$K$18:$O$18,0),0))),0)</f>
        <v>283</v>
      </c>
      <c r="I29">
        <f>IF((gamma!I29),IF(VLOOKUP(I$1,main!$A$3:$I$56,7,FALSE)=VLOOKUP($A29,main!$A$3:$I$56,8,FALSE),VLOOKUP(I$1,main!$A$3:$I$56,4,FALSE),VLOOKUP(I$1,main!$A$3:$I$56,4,FALSE)+VLOOKUP($A29,main!$A$3:$I$56,4,FALSE)+(VLOOKUP(VLOOKUP(I$1,main!$A$3:$I$56,8,FALSE),main!$K$19:$O$22,MATCH(VLOOKUP($A29,main!$A$3:$I$56,7,FALSE),main!$K$18:$O$18,0),0))),0)</f>
        <v>283</v>
      </c>
      <c r="J29">
        <f>IF((gamma!J29),IF(VLOOKUP(J$1,main!$A$3:$I$56,7,FALSE)=VLOOKUP($A29,main!$A$3:$I$56,8,FALSE),VLOOKUP(J$1,main!$A$3:$I$56,4,FALSE),VLOOKUP(J$1,main!$A$3:$I$56,4,FALSE)+VLOOKUP($A29,main!$A$3:$I$56,4,FALSE)+(VLOOKUP(VLOOKUP(J$1,main!$A$3:$I$56,8,FALSE),main!$K$19:$O$22,MATCH(VLOOKUP($A29,main!$A$3:$I$56,7,FALSE),main!$K$18:$O$18,0),0))),0)</f>
        <v>283</v>
      </c>
      <c r="K29">
        <f>IF((gamma!K29),IF(VLOOKUP(K$1,main!$A$3:$I$56,7,FALSE)=VLOOKUP($A29,main!$A$3:$I$56,8,FALSE),VLOOKUP(K$1,main!$A$3:$I$56,4,FALSE),VLOOKUP(K$1,main!$A$3:$I$56,4,FALSE)+VLOOKUP($A29,main!$A$3:$I$56,4,FALSE)+(VLOOKUP(VLOOKUP(K$1,main!$A$3:$I$56,8,FALSE),main!$K$19:$O$22,MATCH(VLOOKUP($A29,main!$A$3:$I$56,7,FALSE),main!$K$18:$O$18,0),0))),0)</f>
        <v>260</v>
      </c>
      <c r="L29">
        <f>IF((gamma!L29),IF(VLOOKUP(L$1,main!$A$3:$I$56,7,FALSE)=VLOOKUP($A29,main!$A$3:$I$56,8,FALSE),VLOOKUP(L$1,main!$A$3:$I$56,4,FALSE),VLOOKUP(L$1,main!$A$3:$I$56,4,FALSE)+VLOOKUP($A29,main!$A$3:$I$56,4,FALSE)+(VLOOKUP(VLOOKUP(L$1,main!$A$3:$I$56,8,FALSE),main!$K$19:$O$22,MATCH(VLOOKUP($A29,main!$A$3:$I$56,7,FALSE),main!$K$18:$O$18,0),0))),0)</f>
        <v>260</v>
      </c>
      <c r="M29">
        <f>IF((gamma!M29),IF(VLOOKUP(M$1,main!$A$3:$I$56,7,FALSE)=VLOOKUP($A29,main!$A$3:$I$56,8,FALSE),VLOOKUP(M$1,main!$A$3:$I$56,4,FALSE),VLOOKUP(M$1,main!$A$3:$I$56,4,FALSE)+VLOOKUP($A29,main!$A$3:$I$56,4,FALSE)+(VLOOKUP(VLOOKUP(M$1,main!$A$3:$I$56,8,FALSE),main!$K$19:$O$22,MATCH(VLOOKUP($A29,main!$A$3:$I$56,7,FALSE),main!$K$18:$O$18,0),0))),0)</f>
        <v>260</v>
      </c>
      <c r="N29">
        <f>IF((gamma!N29),IF(VLOOKUP(N$1,main!$A$3:$I$56,7,FALSE)=VLOOKUP($A29,main!$A$3:$I$56,8,FALSE),VLOOKUP(N$1,main!$A$3:$I$56,4,FALSE),VLOOKUP(N$1,main!$A$3:$I$56,4,FALSE)+VLOOKUP($A29,main!$A$3:$I$56,4,FALSE)+(VLOOKUP(VLOOKUP(N$1,main!$A$3:$I$56,8,FALSE),main!$K$19:$O$22,MATCH(VLOOKUP($A29,main!$A$3:$I$56,7,FALSE),main!$K$18:$O$18,0),0))),0)</f>
        <v>260</v>
      </c>
      <c r="O29">
        <f>IF((gamma!O29),IF(VLOOKUP(O$1,main!$A$3:$I$56,7,FALSE)=VLOOKUP($A29,main!$A$3:$I$56,8,FALSE),VLOOKUP(O$1,main!$A$3:$I$56,4,FALSE),VLOOKUP(O$1,main!$A$3:$I$56,4,FALSE)+VLOOKUP($A29,main!$A$3:$I$56,4,FALSE)+(VLOOKUP(VLOOKUP(O$1,main!$A$3:$I$56,8,FALSE),main!$K$19:$O$22,MATCH(VLOOKUP($A29,main!$A$3:$I$56,7,FALSE),main!$K$18:$O$18,0),0))),0)</f>
        <v>260</v>
      </c>
      <c r="P29">
        <f>IF((gamma!P29),IF(VLOOKUP(P$1,main!$A$3:$I$56,7,FALSE)=VLOOKUP($A29,main!$A$3:$I$56,8,FALSE),VLOOKUP(P$1,main!$A$3:$I$56,4,FALSE),VLOOKUP(P$1,main!$A$3:$I$56,4,FALSE)+VLOOKUP($A29,main!$A$3:$I$56,4,FALSE)+(VLOOKUP(VLOOKUP(P$1,main!$A$3:$I$56,8,FALSE),main!$K$19:$O$22,MATCH(VLOOKUP($A29,main!$A$3:$I$56,7,FALSE),main!$K$18:$O$18,0),0))),0)</f>
        <v>293</v>
      </c>
      <c r="Q29">
        <f>IF((gamma!Q29),IF(VLOOKUP(Q$1,main!$A$3:$I$56,7,FALSE)=VLOOKUP($A29,main!$A$3:$I$56,8,FALSE),VLOOKUP(Q$1,main!$A$3:$I$56,4,FALSE),VLOOKUP(Q$1,main!$A$3:$I$56,4,FALSE)+VLOOKUP($A29,main!$A$3:$I$56,4,FALSE)+(VLOOKUP(VLOOKUP(Q$1,main!$A$3:$I$56,8,FALSE),main!$K$19:$O$22,MATCH(VLOOKUP($A29,main!$A$3:$I$56,7,FALSE),main!$K$18:$O$18,0),0))),0)</f>
        <v>293</v>
      </c>
      <c r="R29">
        <f>IF((gamma!R29),IF(VLOOKUP(R$1,main!$A$3:$I$56,7,FALSE)=VLOOKUP($A29,main!$A$3:$I$56,8,FALSE),VLOOKUP(R$1,main!$A$3:$I$56,4,FALSE),VLOOKUP(R$1,main!$A$3:$I$56,4,FALSE)+VLOOKUP($A29,main!$A$3:$I$56,4,FALSE)+(VLOOKUP(VLOOKUP(R$1,main!$A$3:$I$56,8,FALSE),main!$K$19:$O$22,MATCH(VLOOKUP($A29,main!$A$3:$I$56,7,FALSE),main!$K$18:$O$18,0),0))),0)</f>
        <v>288</v>
      </c>
      <c r="S29">
        <f>IF((gamma!S29),IF(VLOOKUP(S$1,main!$A$3:$I$56,7,FALSE)=VLOOKUP($A29,main!$A$3:$I$56,8,FALSE),VLOOKUP(S$1,main!$A$3:$I$56,4,FALSE),VLOOKUP(S$1,main!$A$3:$I$56,4,FALSE)+VLOOKUP($A29,main!$A$3:$I$56,4,FALSE)+(VLOOKUP(VLOOKUP(S$1,main!$A$3:$I$56,8,FALSE),main!$K$19:$O$22,MATCH(VLOOKUP($A29,main!$A$3:$I$56,7,FALSE),main!$K$18:$O$18,0),0))),0)</f>
        <v>293</v>
      </c>
      <c r="T29">
        <f>IF((gamma!T29),IF(VLOOKUP(T$1,main!$A$3:$I$56,7,FALSE)=VLOOKUP($A29,main!$A$3:$I$56,8,FALSE),VLOOKUP(T$1,main!$A$3:$I$56,4,FALSE),VLOOKUP(T$1,main!$A$3:$I$56,4,FALSE)+VLOOKUP($A29,main!$A$3:$I$56,4,FALSE)+(VLOOKUP(VLOOKUP(T$1,main!$A$3:$I$56,8,FALSE),main!$K$19:$O$22,MATCH(VLOOKUP($A29,main!$A$3:$I$56,7,FALSE),main!$K$18:$O$18,0),0))),0)</f>
        <v>293</v>
      </c>
      <c r="U29">
        <f>IF((gamma!U29),IF(VLOOKUP(U$1,main!$A$3:$I$56,7,FALSE)=VLOOKUP($A29,main!$A$3:$I$56,8,FALSE),VLOOKUP(U$1,main!$A$3:$I$56,4,FALSE),VLOOKUP(U$1,main!$A$3:$I$56,4,FALSE)+VLOOKUP($A29,main!$A$3:$I$56,4,FALSE)+(VLOOKUP(VLOOKUP(U$1,main!$A$3:$I$56,8,FALSE),main!$K$19:$O$22,MATCH(VLOOKUP($A29,main!$A$3:$I$56,7,FALSE),main!$K$18:$O$18,0),0))),0)</f>
        <v>135</v>
      </c>
      <c r="V29">
        <f>IF((gamma!V29),IF(VLOOKUP(V$1,main!$A$3:$I$56,7,FALSE)=VLOOKUP($A29,main!$A$3:$I$56,8,FALSE),VLOOKUP(V$1,main!$A$3:$I$56,4,FALSE),VLOOKUP(V$1,main!$A$3:$I$56,4,FALSE)+VLOOKUP($A29,main!$A$3:$I$56,4,FALSE)+(VLOOKUP(VLOOKUP(V$1,main!$A$3:$I$56,8,FALSE),main!$K$19:$O$22,MATCH(VLOOKUP($A29,main!$A$3:$I$56,7,FALSE),main!$K$18:$O$18,0),0))),0)</f>
        <v>135</v>
      </c>
      <c r="W29">
        <f>IF((gamma!W29),IF(VLOOKUP(W$1,main!$A$3:$I$56,7,FALSE)=VLOOKUP($A29,main!$A$3:$I$56,8,FALSE),VLOOKUP(W$1,main!$A$3:$I$56,4,FALSE),VLOOKUP(W$1,main!$A$3:$I$56,4,FALSE)+VLOOKUP($A29,main!$A$3:$I$56,4,FALSE)+(VLOOKUP(VLOOKUP(W$1,main!$A$3:$I$56,8,FALSE),main!$K$19:$O$22,MATCH(VLOOKUP($A29,main!$A$3:$I$56,7,FALSE),main!$K$18:$O$18,0),0))),0)</f>
        <v>135</v>
      </c>
      <c r="X29">
        <f>IF((gamma!X29),IF(VLOOKUP(X$1,main!$A$3:$I$56,7,FALSE)=VLOOKUP($A29,main!$A$3:$I$56,8,FALSE),VLOOKUP(X$1,main!$A$3:$I$56,4,FALSE),VLOOKUP(X$1,main!$A$3:$I$56,4,FALSE)+VLOOKUP($A29,main!$A$3:$I$56,4,FALSE)+(VLOOKUP(VLOOKUP(X$1,main!$A$3:$I$56,8,FALSE),main!$K$19:$O$22,MATCH(VLOOKUP($A29,main!$A$3:$I$56,7,FALSE),main!$K$18:$O$18,0),0))),0)</f>
        <v>135</v>
      </c>
      <c r="Y29">
        <f>IF((gamma!Y29),IF(VLOOKUP(Y$1,main!$A$3:$I$56,7,FALSE)=VLOOKUP($A29,main!$A$3:$I$56,8,FALSE),VLOOKUP(Y$1,main!$A$3:$I$56,4,FALSE),VLOOKUP(Y$1,main!$A$3:$I$56,4,FALSE)+VLOOKUP($A29,main!$A$3:$I$56,4,FALSE)+(VLOOKUP(VLOOKUP(Y$1,main!$A$3:$I$56,8,FALSE),main!$K$19:$O$22,MATCH(VLOOKUP($A29,main!$A$3:$I$56,7,FALSE),main!$K$18:$O$18,0),0))),0)</f>
        <v>135</v>
      </c>
      <c r="Z29">
        <f>IF((gamma!Z29),IF(VLOOKUP(Z$1,main!$A$3:$I$56,7,FALSE)=VLOOKUP($A29,main!$A$3:$I$56,8,FALSE),VLOOKUP(Z$1,main!$A$3:$I$56,4,FALSE),VLOOKUP(Z$1,main!$A$3:$I$56,4,FALSE)+VLOOKUP($A29,main!$A$3:$I$56,4,FALSE)+(VLOOKUP(VLOOKUP(Z$1,main!$A$3:$I$56,8,FALSE),main!$K$19:$O$22,MATCH(VLOOKUP($A29,main!$A$3:$I$56,7,FALSE),main!$K$18:$O$18,0),0))),0)</f>
        <v>135</v>
      </c>
      <c r="AA29">
        <f>IF((gamma!AA29),IF(VLOOKUP(AA$1,main!$A$3:$I$56,7,FALSE)=VLOOKUP($A29,main!$A$3:$I$56,8,FALSE),VLOOKUP(AA$1,main!$A$3:$I$56,4,FALSE),VLOOKUP(AA$1,main!$A$3:$I$56,4,FALSE)+VLOOKUP($A29,main!$A$3:$I$56,4,FALSE)+(VLOOKUP(VLOOKUP(AA$1,main!$A$3:$I$56,8,FALSE),main!$K$19:$O$22,MATCH(VLOOKUP($A29,main!$A$3:$I$56,7,FALSE),main!$K$18:$O$18,0),0))),0)</f>
        <v>135</v>
      </c>
      <c r="AB29">
        <f>IF((gamma!AB29),IF(VLOOKUP(AB$1,main!$A$3:$I$56,7,FALSE)=VLOOKUP($A29,main!$A$3:$I$56,8,FALSE),VLOOKUP(AB$1,main!$A$3:$I$56,4,FALSE),VLOOKUP(AB$1,main!$A$3:$I$56,4,FALSE)+VLOOKUP($A29,main!$A$3:$I$56,4,FALSE)+(VLOOKUP(VLOOKUP(AB$1,main!$A$3:$I$56,8,FALSE),main!$K$19:$O$22,MATCH(VLOOKUP($A29,main!$A$3:$I$56,7,FALSE),main!$K$18:$O$18,0),0))),0)</f>
        <v>135</v>
      </c>
      <c r="AC29">
        <f>IF((gamma!AC29),IF(VLOOKUP(AC$1,main!$A$3:$I$56,7,FALSE)=VLOOKUP($A29,main!$A$3:$I$56,8,FALSE),VLOOKUP(AC$1,main!$A$3:$I$56,4,FALSE),VLOOKUP(AC$1,main!$A$3:$I$56,4,FALSE)+VLOOKUP($A29,main!$A$3:$I$56,4,FALSE)+(VLOOKUP(VLOOKUP(AC$1,main!$A$3:$I$56,8,FALSE),main!$K$19:$O$22,MATCH(VLOOKUP($A29,main!$A$3:$I$56,7,FALSE),main!$K$18:$O$18,0),0))),0)</f>
        <v>0</v>
      </c>
      <c r="AD29">
        <f>IF((gamma!AD29),IF(VLOOKUP(AD$1,main!$A$3:$I$56,7,FALSE)=VLOOKUP($A29,main!$A$3:$I$56,8,FALSE),VLOOKUP(AD$1,main!$A$3:$I$56,4,FALSE),VLOOKUP(AD$1,main!$A$3:$I$56,4,FALSE)+VLOOKUP($A29,main!$A$3:$I$56,4,FALSE)+(VLOOKUP(VLOOKUP(AD$1,main!$A$3:$I$56,8,FALSE),main!$K$19:$O$22,MATCH(VLOOKUP($A29,main!$A$3:$I$56,7,FALSE),main!$K$18:$O$18,0),0))),0)</f>
        <v>140</v>
      </c>
      <c r="AE29">
        <f>IF((gamma!AE29),IF(VLOOKUP(AE$1,main!$A$3:$I$56,7,FALSE)=VLOOKUP($A29,main!$A$3:$I$56,8,FALSE),VLOOKUP(AE$1,main!$A$3:$I$56,4,FALSE),VLOOKUP(AE$1,main!$A$3:$I$56,4,FALSE)+VLOOKUP($A29,main!$A$3:$I$56,4,FALSE)+(VLOOKUP(VLOOKUP(AE$1,main!$A$3:$I$56,8,FALSE),main!$K$19:$O$22,MATCH(VLOOKUP($A29,main!$A$3:$I$56,7,FALSE),main!$K$18:$O$18,0),0))),0)</f>
        <v>120</v>
      </c>
      <c r="AF29">
        <f>IF((gamma!AF29),IF(VLOOKUP(AF$1,main!$A$3:$I$56,7,FALSE)=VLOOKUP($A29,main!$A$3:$I$56,8,FALSE),VLOOKUP(AF$1,main!$A$3:$I$56,4,FALSE),VLOOKUP(AF$1,main!$A$3:$I$56,4,FALSE)+VLOOKUP($A29,main!$A$3:$I$56,4,FALSE)+(VLOOKUP(VLOOKUP(AF$1,main!$A$3:$I$56,8,FALSE),main!$K$19:$O$22,MATCH(VLOOKUP($A29,main!$A$3:$I$56,7,FALSE),main!$K$18:$O$18,0),0))),0)</f>
        <v>130</v>
      </c>
      <c r="AG29">
        <f>IF((gamma!AG29),IF(VLOOKUP(AG$1,main!$A$3:$I$56,7,FALSE)=VLOOKUP($A29,main!$A$3:$I$56,8,FALSE),VLOOKUP(AG$1,main!$A$3:$I$56,4,FALSE),VLOOKUP(AG$1,main!$A$3:$I$56,4,FALSE)+VLOOKUP($A29,main!$A$3:$I$56,4,FALSE)+(VLOOKUP(VLOOKUP(AG$1,main!$A$3:$I$56,8,FALSE),main!$K$19:$O$22,MATCH(VLOOKUP($A29,main!$A$3:$I$56,7,FALSE),main!$K$18:$O$18,0),0))),0)</f>
        <v>290</v>
      </c>
      <c r="AH29">
        <f>IF((gamma!AH29),IF(VLOOKUP(AH$1,main!$A$3:$I$56,7,FALSE)=VLOOKUP($A29,main!$A$3:$I$56,8,FALSE),VLOOKUP(AH$1,main!$A$3:$I$56,4,FALSE),VLOOKUP(AH$1,main!$A$3:$I$56,4,FALSE)+VLOOKUP($A29,main!$A$3:$I$56,4,FALSE)+(VLOOKUP(VLOOKUP(AH$1,main!$A$3:$I$56,8,FALSE),main!$K$19:$O$22,MATCH(VLOOKUP($A29,main!$A$3:$I$56,7,FALSE),main!$K$18:$O$18,0),0))),0)</f>
        <v>290</v>
      </c>
      <c r="AI29">
        <f>IF((gamma!AI29),IF(VLOOKUP(AI$1,main!$A$3:$I$56,7,FALSE)=VLOOKUP($A29,main!$A$3:$I$56,8,FALSE),VLOOKUP(AI$1,main!$A$3:$I$56,4,FALSE),VLOOKUP(AI$1,main!$A$3:$I$56,4,FALSE)+VLOOKUP($A29,main!$A$3:$I$56,4,FALSE)+(VLOOKUP(VLOOKUP(AI$1,main!$A$3:$I$56,8,FALSE),main!$K$19:$O$22,MATCH(VLOOKUP($A29,main!$A$3:$I$56,7,FALSE),main!$K$18:$O$18,0),0))),0)</f>
        <v>290</v>
      </c>
      <c r="AJ29">
        <f>IF((gamma!AJ29),IF(VLOOKUP(AJ$1,main!$A$3:$I$56,7,FALSE)=VLOOKUP($A29,main!$A$3:$I$56,8,FALSE),VLOOKUP(AJ$1,main!$A$3:$I$56,4,FALSE),VLOOKUP(AJ$1,main!$A$3:$I$56,4,FALSE)+VLOOKUP($A29,main!$A$3:$I$56,4,FALSE)+(VLOOKUP(VLOOKUP(AJ$1,main!$A$3:$I$56,8,FALSE),main!$K$19:$O$22,MATCH(VLOOKUP($A29,main!$A$3:$I$56,7,FALSE),main!$K$18:$O$18,0),0))),0)</f>
        <v>290</v>
      </c>
      <c r="AK29">
        <f>IF((gamma!AK29),IF(VLOOKUP(AK$1,main!$A$3:$I$56,7,FALSE)=VLOOKUP($A29,main!$A$3:$I$56,8,FALSE),VLOOKUP(AK$1,main!$A$3:$I$56,4,FALSE),VLOOKUP(AK$1,main!$A$3:$I$56,4,FALSE)+VLOOKUP($A29,main!$A$3:$I$56,4,FALSE)+(VLOOKUP(VLOOKUP(AK$1,main!$A$3:$I$56,8,FALSE),main!$K$19:$O$22,MATCH(VLOOKUP($A29,main!$A$3:$I$56,7,FALSE),main!$K$18:$O$18,0),0))),0)</f>
        <v>290</v>
      </c>
      <c r="AL29">
        <f>IF((gamma!AL29),IF(VLOOKUP(AL$1,main!$A$3:$I$56,7,FALSE)=VLOOKUP($A29,main!$A$3:$I$56,8,FALSE),VLOOKUP(AL$1,main!$A$3:$I$56,4,FALSE),VLOOKUP(AL$1,main!$A$3:$I$56,4,FALSE)+VLOOKUP($A29,main!$A$3:$I$56,4,FALSE)+(VLOOKUP(VLOOKUP(AL$1,main!$A$3:$I$56,8,FALSE),main!$K$19:$O$22,MATCH(VLOOKUP($A29,main!$A$3:$I$56,7,FALSE),main!$K$18:$O$18,0),0))),0)</f>
        <v>288</v>
      </c>
      <c r="AM29">
        <f>IF((gamma!AM29),IF(VLOOKUP(AM$1,main!$A$3:$I$56,7,FALSE)=VLOOKUP($A29,main!$A$3:$I$56,8,FALSE),VLOOKUP(AM$1,main!$A$3:$I$56,4,FALSE),VLOOKUP(AM$1,main!$A$3:$I$56,4,FALSE)+VLOOKUP($A29,main!$A$3:$I$56,4,FALSE)+(VLOOKUP(VLOOKUP(AM$1,main!$A$3:$I$56,8,FALSE),main!$K$19:$O$22,MATCH(VLOOKUP($A29,main!$A$3:$I$56,7,FALSE),main!$K$18:$O$18,0),0))),0)</f>
        <v>288</v>
      </c>
      <c r="AN29">
        <f>IF((gamma!AN29),IF(VLOOKUP(AN$1,main!$A$3:$I$56,7,FALSE)=VLOOKUP($A29,main!$A$3:$I$56,8,FALSE),VLOOKUP(AN$1,main!$A$3:$I$56,4,FALSE),VLOOKUP(AN$1,main!$A$3:$I$56,4,FALSE)+VLOOKUP($A29,main!$A$3:$I$56,4,FALSE)+(VLOOKUP(VLOOKUP(AN$1,main!$A$3:$I$56,8,FALSE),main!$K$19:$O$22,MATCH(VLOOKUP($A29,main!$A$3:$I$56,7,FALSE),main!$K$18:$O$18,0),0))),0)</f>
        <v>268</v>
      </c>
      <c r="AO29">
        <f>IF((gamma!AO29),IF(VLOOKUP(AO$1,main!$A$3:$I$56,7,FALSE)=VLOOKUP($A29,main!$A$3:$I$56,8,FALSE),VLOOKUP(AO$1,main!$A$3:$I$56,4,FALSE),VLOOKUP(AO$1,main!$A$3:$I$56,4,FALSE)+VLOOKUP($A29,main!$A$3:$I$56,4,FALSE)+(VLOOKUP(VLOOKUP(AO$1,main!$A$3:$I$56,8,FALSE),main!$K$19:$O$22,MATCH(VLOOKUP($A29,main!$A$3:$I$56,7,FALSE),main!$K$18:$O$18,0),0))),0)</f>
        <v>278</v>
      </c>
      <c r="AP29">
        <f>IF((gamma!AP29),IF(VLOOKUP(AP$1,main!$A$3:$I$56,7,FALSE)=VLOOKUP($A29,main!$A$3:$I$56,8,FALSE),VLOOKUP(AP$1,main!$A$3:$I$56,4,FALSE),VLOOKUP(AP$1,main!$A$3:$I$56,4,FALSE)+VLOOKUP($A29,main!$A$3:$I$56,4,FALSE)+(VLOOKUP(VLOOKUP(AP$1,main!$A$3:$I$56,8,FALSE),main!$K$19:$O$22,MATCH(VLOOKUP($A29,main!$A$3:$I$56,7,FALSE),main!$K$18:$O$18,0),0))),0)</f>
        <v>0</v>
      </c>
      <c r="AQ29">
        <f>IF((gamma!AQ29),IF(VLOOKUP(AQ$1,main!$A$3:$I$56,7,FALSE)=VLOOKUP($A29,main!$A$3:$I$56,8,FALSE),VLOOKUP(AQ$1,main!$A$3:$I$56,4,FALSE),VLOOKUP(AQ$1,main!$A$3:$I$56,4,FALSE)+VLOOKUP($A29,main!$A$3:$I$56,4,FALSE)+(VLOOKUP(VLOOKUP(AQ$1,main!$A$3:$I$56,8,FALSE),main!$K$19:$O$22,MATCH(VLOOKUP($A29,main!$A$3:$I$56,7,FALSE),main!$K$18:$O$18,0),0))),0)</f>
        <v>288</v>
      </c>
      <c r="AR29">
        <f>IF((gamma!AR29),IF(VLOOKUP(AR$1,main!$A$3:$I$56,7,FALSE)=VLOOKUP($A29,main!$A$3:$I$56,8,FALSE),VLOOKUP(AR$1,main!$A$3:$I$56,4,FALSE),VLOOKUP(AR$1,main!$A$3:$I$56,4,FALSE)+VLOOKUP($A29,main!$A$3:$I$56,4,FALSE)+(VLOOKUP(VLOOKUP(AR$1,main!$A$3:$I$56,8,FALSE),main!$K$19:$O$22,MATCH(VLOOKUP($A29,main!$A$3:$I$56,7,FALSE),main!$K$18:$O$18,0),0))),0)</f>
        <v>288</v>
      </c>
      <c r="AS29">
        <f>IF((gamma!AS29),IF(VLOOKUP(AS$1,main!$A$3:$I$56,7,FALSE)=VLOOKUP($A29,main!$A$3:$I$56,8,FALSE),VLOOKUP(AS$1,main!$A$3:$I$56,4,FALSE),VLOOKUP(AS$1,main!$A$3:$I$56,4,FALSE)+VLOOKUP($A29,main!$A$3:$I$56,4,FALSE)+(VLOOKUP(VLOOKUP(AS$1,main!$A$3:$I$56,8,FALSE),main!$K$19:$O$22,MATCH(VLOOKUP($A29,main!$A$3:$I$56,7,FALSE),main!$K$18:$O$18,0),0))),0)</f>
        <v>288</v>
      </c>
      <c r="AT29">
        <f>IF((gamma!AT29),IF(VLOOKUP(AT$1,main!$A$3:$I$56,7,FALSE)=VLOOKUP($A29,main!$A$3:$I$56,8,FALSE),VLOOKUP(AT$1,main!$A$3:$I$56,4,FALSE),VLOOKUP(AT$1,main!$A$3:$I$56,4,FALSE)+VLOOKUP($A29,main!$A$3:$I$56,4,FALSE)+(VLOOKUP(VLOOKUP(AT$1,main!$A$3:$I$56,8,FALSE),main!$K$19:$O$22,MATCH(VLOOKUP($A29,main!$A$3:$I$56,7,FALSE),main!$K$18:$O$18,0),0))),0)</f>
        <v>273</v>
      </c>
      <c r="AU29">
        <f>IF((gamma!AU29),IF(VLOOKUP(AU$1,main!$A$3:$I$56,7,FALSE)=VLOOKUP($A29,main!$A$3:$I$56,8,FALSE),VLOOKUP(AU$1,main!$A$3:$I$56,4,FALSE),VLOOKUP(AU$1,main!$A$3:$I$56,4,FALSE)+VLOOKUP($A29,main!$A$3:$I$56,4,FALSE)+(VLOOKUP(VLOOKUP(AU$1,main!$A$3:$I$56,8,FALSE),main!$K$19:$O$22,MATCH(VLOOKUP($A29,main!$A$3:$I$56,7,FALSE),main!$K$18:$O$18,0),0))),0)</f>
        <v>290</v>
      </c>
      <c r="AV29">
        <f>IF((gamma!AV29),IF(VLOOKUP(AV$1,main!$A$3:$I$56,7,FALSE)=VLOOKUP($A29,main!$A$3:$I$56,8,FALSE),VLOOKUP(AV$1,main!$A$3:$I$56,4,FALSE),VLOOKUP(AV$1,main!$A$3:$I$56,4,FALSE)+VLOOKUP($A29,main!$A$3:$I$56,4,FALSE)+(VLOOKUP(VLOOKUP(AV$1,main!$A$3:$I$56,8,FALSE),main!$K$19:$O$22,MATCH(VLOOKUP($A29,main!$A$3:$I$56,7,FALSE),main!$K$18:$O$18,0),0))),0)</f>
        <v>285</v>
      </c>
      <c r="AW29">
        <f>IF((gamma!AW29),IF(VLOOKUP(AW$1,main!$A$3:$I$56,7,FALSE)=VLOOKUP($A29,main!$A$3:$I$56,8,FALSE),VLOOKUP(AW$1,main!$A$3:$I$56,4,FALSE),VLOOKUP(AW$1,main!$A$3:$I$56,4,FALSE)+VLOOKUP($A29,main!$A$3:$I$56,4,FALSE)+(VLOOKUP(VLOOKUP(AW$1,main!$A$3:$I$56,8,FALSE),main!$K$19:$O$22,MATCH(VLOOKUP($A29,main!$A$3:$I$56,7,FALSE),main!$K$18:$O$18,0),0))),0)</f>
        <v>290</v>
      </c>
      <c r="AX29">
        <f>IF((gamma!AX29),IF(VLOOKUP(AX$1,main!$A$3:$I$56,7,FALSE)=VLOOKUP($A29,main!$A$3:$I$56,8,FALSE),VLOOKUP(AX$1,main!$A$3:$I$56,4,FALSE),VLOOKUP(AX$1,main!$A$3:$I$56,4,FALSE)+VLOOKUP($A29,main!$A$3:$I$56,4,FALSE)+(VLOOKUP(VLOOKUP(AX$1,main!$A$3:$I$56,8,FALSE),main!$K$19:$O$22,MATCH(VLOOKUP($A29,main!$A$3:$I$56,7,FALSE),main!$K$18:$O$18,0),0))),0)</f>
        <v>290</v>
      </c>
      <c r="AY29">
        <f>IF((gamma!AY29),IF(VLOOKUP(AY$1,main!$A$3:$I$56,7,FALSE)=VLOOKUP($A29,main!$A$3:$I$56,8,FALSE),VLOOKUP(AY$1,main!$A$3:$I$56,4,FALSE),VLOOKUP(AY$1,main!$A$3:$I$56,4,FALSE)+VLOOKUP($A29,main!$A$3:$I$56,4,FALSE)+(VLOOKUP(VLOOKUP(AY$1,main!$A$3:$I$56,8,FALSE),main!$K$19:$O$22,MATCH(VLOOKUP($A29,main!$A$3:$I$56,7,FALSE),main!$K$18:$O$18,0),0))),0)</f>
        <v>290</v>
      </c>
      <c r="AZ29">
        <f>IF((gamma!AZ29),IF(VLOOKUP(AZ$1,main!$A$3:$I$56,7,FALSE)=VLOOKUP($A29,main!$A$3:$I$56,8,FALSE),VLOOKUP(AZ$1,main!$A$3:$I$56,4,FALSE),VLOOKUP(AZ$1,main!$A$3:$I$56,4,FALSE)+VLOOKUP($A29,main!$A$3:$I$56,4,FALSE)+(VLOOKUP(VLOOKUP(AZ$1,main!$A$3:$I$56,8,FALSE),main!$K$19:$O$22,MATCH(VLOOKUP($A29,main!$A$3:$I$56,7,FALSE),main!$K$18:$O$18,0),0))),0)</f>
        <v>260</v>
      </c>
      <c r="BA29">
        <f>IF((gamma!BA29),IF(VLOOKUP(BA$1,main!$A$3:$I$56,7,FALSE)=VLOOKUP($A29,main!$A$3:$I$56,8,FALSE),VLOOKUP(BA$1,main!$A$3:$I$56,4,FALSE),VLOOKUP(BA$1,main!$A$3:$I$56,4,FALSE)+VLOOKUP($A29,main!$A$3:$I$56,4,FALSE)+(VLOOKUP(VLOOKUP(BA$1,main!$A$3:$I$56,8,FALSE),main!$K$19:$O$22,MATCH(VLOOKUP($A29,main!$A$3:$I$56,7,FALSE),main!$K$18:$O$18,0),0))),0)</f>
        <v>240</v>
      </c>
      <c r="BB29">
        <f>IF((gamma!BB29),IF(VLOOKUP(BB$1,main!$A$3:$I$56,7,FALSE)=VLOOKUP($A29,main!$A$3:$I$56,8,FALSE),VLOOKUP(BB$1,main!$A$3:$I$56,4,FALSE),VLOOKUP(BB$1,main!$A$3:$I$56,4,FALSE)+VLOOKUP($A29,main!$A$3:$I$56,4,FALSE)+(VLOOKUP(VLOOKUP(BB$1,main!$A$3:$I$56,8,FALSE),main!$K$19:$O$22,MATCH(VLOOKUP($A29,main!$A$3:$I$56,7,FALSE),main!$K$18:$O$18,0),0))),0)</f>
        <v>240</v>
      </c>
      <c r="BC29">
        <f>IF((gamma!BC29),IF(VLOOKUP(BC$1,main!$A$3:$I$56,7,FALSE)=VLOOKUP($A29,main!$A$3:$I$56,8,FALSE),VLOOKUP(BC$1,main!$A$3:$I$56,4,FALSE),VLOOKUP(BC$1,main!$A$3:$I$56,4,FALSE)+VLOOKUP($A29,main!$A$3:$I$56,4,FALSE)+(VLOOKUP(VLOOKUP(BC$1,main!$A$3:$I$56,8,FALSE),main!$K$19:$O$22,MATCH(VLOOKUP($A29,main!$A$3:$I$56,7,FALSE),main!$K$18:$O$18,0),0))),0)</f>
        <v>255</v>
      </c>
      <c r="BD29">
        <f>IF((gamma!BD29),IF(VLOOKUP(BD$1,main!$A$3:$I$56,7,FALSE)=VLOOKUP($A29,main!$A$3:$I$56,8,FALSE),VLOOKUP(BD$1,main!$A$3:$I$56,4,FALSE),VLOOKUP(BD$1,main!$A$3:$I$56,4,FALSE)+VLOOKUP($A29,main!$A$3:$I$56,4,FALSE)+(VLOOKUP(VLOOKUP(BD$1,main!$A$3:$I$56,8,FALSE),main!$K$19:$O$22,MATCH(VLOOKUP($A29,main!$A$3:$I$56,7,FALSE),main!$K$18:$O$18,0),0))),0)</f>
        <v>255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>
        <f t="shared" si="0"/>
        <v>28</v>
      </c>
      <c r="B30">
        <v>0</v>
      </c>
      <c r="C30">
        <f>IF((gamma!C30),IF(VLOOKUP(C$1,main!$A$3:$I$56,7,FALSE)=VLOOKUP($A30,main!$A$3:$I$56,8,FALSE),VLOOKUP(C$1,main!$A$3:$I$56,4,FALSE),VLOOKUP(C$1,main!$A$3:$I$56,4,FALSE)+VLOOKUP($A30,main!$A$3:$I$56,4,FALSE)+(VLOOKUP(VLOOKUP(C$1,main!$A$3:$I$56,8,FALSE),main!$K$19:$O$22,MATCH(VLOOKUP($A30,main!$A$3:$I$56,7,FALSE),main!$K$18:$O$18,0),0))),0)</f>
        <v>0</v>
      </c>
      <c r="D30">
        <f>IF((gamma!D30),IF(VLOOKUP(D$1,main!$A$3:$I$56,7,FALSE)=VLOOKUP($A30,main!$A$3:$I$56,8,FALSE),VLOOKUP(D$1,main!$A$3:$I$56,4,FALSE),VLOOKUP(D$1,main!$A$3:$I$56,4,FALSE)+VLOOKUP($A30,main!$A$3:$I$56,4,FALSE)+(VLOOKUP(VLOOKUP(D$1,main!$A$3:$I$56,8,FALSE),main!$K$19:$O$22,MATCH(VLOOKUP($A30,main!$A$3:$I$56,7,FALSE),main!$K$18:$O$18,0),0))),0)</f>
        <v>0</v>
      </c>
      <c r="E30">
        <f>IF((gamma!E30),IF(VLOOKUP(E$1,main!$A$3:$I$56,7,FALSE)=VLOOKUP($A30,main!$A$3:$I$56,8,FALSE),VLOOKUP(E$1,main!$A$3:$I$56,4,FALSE),VLOOKUP(E$1,main!$A$3:$I$56,4,FALSE)+VLOOKUP($A30,main!$A$3:$I$56,4,FALSE)+(VLOOKUP(VLOOKUP(E$1,main!$A$3:$I$56,8,FALSE),main!$K$19:$O$22,MATCH(VLOOKUP($A30,main!$A$3:$I$56,7,FALSE),main!$K$18:$O$18,0),0))),0)</f>
        <v>275</v>
      </c>
      <c r="F30">
        <f>IF((gamma!F30),IF(VLOOKUP(F$1,main!$A$3:$I$56,7,FALSE)=VLOOKUP($A30,main!$A$3:$I$56,8,FALSE),VLOOKUP(F$1,main!$A$3:$I$56,4,FALSE),VLOOKUP(F$1,main!$A$3:$I$56,4,FALSE)+VLOOKUP($A30,main!$A$3:$I$56,4,FALSE)+(VLOOKUP(VLOOKUP(F$1,main!$A$3:$I$56,8,FALSE),main!$K$19:$O$22,MATCH(VLOOKUP($A30,main!$A$3:$I$56,7,FALSE),main!$K$18:$O$18,0),0))),0)</f>
        <v>275</v>
      </c>
      <c r="G30">
        <f>IF((gamma!G30),IF(VLOOKUP(G$1,main!$A$3:$I$56,7,FALSE)=VLOOKUP($A30,main!$A$3:$I$56,8,FALSE),VLOOKUP(G$1,main!$A$3:$I$56,4,FALSE),VLOOKUP(G$1,main!$A$3:$I$56,4,FALSE)+VLOOKUP($A30,main!$A$3:$I$56,4,FALSE)+(VLOOKUP(VLOOKUP(G$1,main!$A$3:$I$56,8,FALSE),main!$K$19:$O$22,MATCH(VLOOKUP($A30,main!$A$3:$I$56,7,FALSE),main!$K$18:$O$18,0),0))),0)</f>
        <v>275</v>
      </c>
      <c r="H30">
        <f>IF((gamma!H30),IF(VLOOKUP(H$1,main!$A$3:$I$56,7,FALSE)=VLOOKUP($A30,main!$A$3:$I$56,8,FALSE),VLOOKUP(H$1,main!$A$3:$I$56,4,FALSE),VLOOKUP(H$1,main!$A$3:$I$56,4,FALSE)+VLOOKUP($A30,main!$A$3:$I$56,4,FALSE)+(VLOOKUP(VLOOKUP(H$1,main!$A$3:$I$56,8,FALSE),main!$K$19:$O$22,MATCH(VLOOKUP($A30,main!$A$3:$I$56,7,FALSE),main!$K$18:$O$18,0),0))),0)</f>
        <v>275</v>
      </c>
      <c r="I30">
        <f>IF((gamma!I30),IF(VLOOKUP(I$1,main!$A$3:$I$56,7,FALSE)=VLOOKUP($A30,main!$A$3:$I$56,8,FALSE),VLOOKUP(I$1,main!$A$3:$I$56,4,FALSE),VLOOKUP(I$1,main!$A$3:$I$56,4,FALSE)+VLOOKUP($A30,main!$A$3:$I$56,4,FALSE)+(VLOOKUP(VLOOKUP(I$1,main!$A$3:$I$56,8,FALSE),main!$K$19:$O$22,MATCH(VLOOKUP($A30,main!$A$3:$I$56,7,FALSE),main!$K$18:$O$18,0),0))),0)</f>
        <v>275</v>
      </c>
      <c r="J30">
        <f>IF((gamma!J30),IF(VLOOKUP(J$1,main!$A$3:$I$56,7,FALSE)=VLOOKUP($A30,main!$A$3:$I$56,8,FALSE),VLOOKUP(J$1,main!$A$3:$I$56,4,FALSE),VLOOKUP(J$1,main!$A$3:$I$56,4,FALSE)+VLOOKUP($A30,main!$A$3:$I$56,4,FALSE)+(VLOOKUP(VLOOKUP(J$1,main!$A$3:$I$56,8,FALSE),main!$K$19:$O$22,MATCH(VLOOKUP($A30,main!$A$3:$I$56,7,FALSE),main!$K$18:$O$18,0),0))),0)</f>
        <v>275</v>
      </c>
      <c r="K30">
        <f>IF((gamma!K30),IF(VLOOKUP(K$1,main!$A$3:$I$56,7,FALSE)=VLOOKUP($A30,main!$A$3:$I$56,8,FALSE),VLOOKUP(K$1,main!$A$3:$I$56,4,FALSE),VLOOKUP(K$1,main!$A$3:$I$56,4,FALSE)+VLOOKUP($A30,main!$A$3:$I$56,4,FALSE)+(VLOOKUP(VLOOKUP(K$1,main!$A$3:$I$56,8,FALSE),main!$K$19:$O$22,MATCH(VLOOKUP($A30,main!$A$3:$I$56,7,FALSE),main!$K$18:$O$18,0),0))),0)</f>
        <v>0</v>
      </c>
      <c r="L30">
        <f>IF((gamma!L30),IF(VLOOKUP(L$1,main!$A$3:$I$56,7,FALSE)=VLOOKUP($A30,main!$A$3:$I$56,8,FALSE),VLOOKUP(L$1,main!$A$3:$I$56,4,FALSE),VLOOKUP(L$1,main!$A$3:$I$56,4,FALSE)+VLOOKUP($A30,main!$A$3:$I$56,4,FALSE)+(VLOOKUP(VLOOKUP(L$1,main!$A$3:$I$56,8,FALSE),main!$K$19:$O$22,MATCH(VLOOKUP($A30,main!$A$3:$I$56,7,FALSE),main!$K$18:$O$18,0),0))),0)</f>
        <v>0</v>
      </c>
      <c r="M30">
        <f>IF((gamma!M30),IF(VLOOKUP(M$1,main!$A$3:$I$56,7,FALSE)=VLOOKUP($A30,main!$A$3:$I$56,8,FALSE),VLOOKUP(M$1,main!$A$3:$I$56,4,FALSE),VLOOKUP(M$1,main!$A$3:$I$56,4,FALSE)+VLOOKUP($A30,main!$A$3:$I$56,4,FALSE)+(VLOOKUP(VLOOKUP(M$1,main!$A$3:$I$56,8,FALSE),main!$K$19:$O$22,MATCH(VLOOKUP($A30,main!$A$3:$I$56,7,FALSE),main!$K$18:$O$18,0),0))),0)</f>
        <v>308</v>
      </c>
      <c r="N30">
        <f>IF((gamma!N30),IF(VLOOKUP(N$1,main!$A$3:$I$56,7,FALSE)=VLOOKUP($A30,main!$A$3:$I$56,8,FALSE),VLOOKUP(N$1,main!$A$3:$I$56,4,FALSE),VLOOKUP(N$1,main!$A$3:$I$56,4,FALSE)+VLOOKUP($A30,main!$A$3:$I$56,4,FALSE)+(VLOOKUP(VLOOKUP(N$1,main!$A$3:$I$56,8,FALSE),main!$K$19:$O$22,MATCH(VLOOKUP($A30,main!$A$3:$I$56,7,FALSE),main!$K$18:$O$18,0),0))),0)</f>
        <v>308</v>
      </c>
      <c r="O30">
        <f>IF((gamma!O30),IF(VLOOKUP(O$1,main!$A$3:$I$56,7,FALSE)=VLOOKUP($A30,main!$A$3:$I$56,8,FALSE),VLOOKUP(O$1,main!$A$3:$I$56,4,FALSE),VLOOKUP(O$1,main!$A$3:$I$56,4,FALSE)+VLOOKUP($A30,main!$A$3:$I$56,4,FALSE)+(VLOOKUP(VLOOKUP(O$1,main!$A$3:$I$56,8,FALSE),main!$K$19:$O$22,MATCH(VLOOKUP($A30,main!$A$3:$I$56,7,FALSE),main!$K$18:$O$18,0),0))),0)</f>
        <v>308</v>
      </c>
      <c r="P30">
        <f>IF((gamma!P30),IF(VLOOKUP(P$1,main!$A$3:$I$56,7,FALSE)=VLOOKUP($A30,main!$A$3:$I$56,8,FALSE),VLOOKUP(P$1,main!$A$3:$I$56,4,FALSE),VLOOKUP(P$1,main!$A$3:$I$56,4,FALSE)+VLOOKUP($A30,main!$A$3:$I$56,4,FALSE)+(VLOOKUP(VLOOKUP(P$1,main!$A$3:$I$56,8,FALSE),main!$K$19:$O$22,MATCH(VLOOKUP($A30,main!$A$3:$I$56,7,FALSE),main!$K$18:$O$18,0),0))),0)</f>
        <v>0</v>
      </c>
      <c r="Q30">
        <f>IF((gamma!Q30),IF(VLOOKUP(Q$1,main!$A$3:$I$56,7,FALSE)=VLOOKUP($A30,main!$A$3:$I$56,8,FALSE),VLOOKUP(Q$1,main!$A$3:$I$56,4,FALSE),VLOOKUP(Q$1,main!$A$3:$I$56,4,FALSE)+VLOOKUP($A30,main!$A$3:$I$56,4,FALSE)+(VLOOKUP(VLOOKUP(Q$1,main!$A$3:$I$56,8,FALSE),main!$K$19:$O$22,MATCH(VLOOKUP($A30,main!$A$3:$I$56,7,FALSE),main!$K$18:$O$18,0),0))),0)</f>
        <v>0</v>
      </c>
      <c r="R30">
        <f>IF((gamma!R30),IF(VLOOKUP(R$1,main!$A$3:$I$56,7,FALSE)=VLOOKUP($A30,main!$A$3:$I$56,8,FALSE),VLOOKUP(R$1,main!$A$3:$I$56,4,FALSE),VLOOKUP(R$1,main!$A$3:$I$56,4,FALSE)+VLOOKUP($A30,main!$A$3:$I$56,4,FALSE)+(VLOOKUP(VLOOKUP(R$1,main!$A$3:$I$56,8,FALSE),main!$K$19:$O$22,MATCH(VLOOKUP($A30,main!$A$3:$I$56,7,FALSE),main!$K$18:$O$18,0),0))),0)</f>
        <v>315</v>
      </c>
      <c r="S30">
        <f>IF((gamma!S30),IF(VLOOKUP(S$1,main!$A$3:$I$56,7,FALSE)=VLOOKUP($A30,main!$A$3:$I$56,8,FALSE),VLOOKUP(S$1,main!$A$3:$I$56,4,FALSE),VLOOKUP(S$1,main!$A$3:$I$56,4,FALSE)+VLOOKUP($A30,main!$A$3:$I$56,4,FALSE)+(VLOOKUP(VLOOKUP(S$1,main!$A$3:$I$56,8,FALSE),main!$K$19:$O$22,MATCH(VLOOKUP($A30,main!$A$3:$I$56,7,FALSE),main!$K$18:$O$18,0),0))),0)</f>
        <v>320</v>
      </c>
      <c r="T30">
        <f>IF((gamma!T30),IF(VLOOKUP(T$1,main!$A$3:$I$56,7,FALSE)=VLOOKUP($A30,main!$A$3:$I$56,8,FALSE),VLOOKUP(T$1,main!$A$3:$I$56,4,FALSE),VLOOKUP(T$1,main!$A$3:$I$56,4,FALSE)+VLOOKUP($A30,main!$A$3:$I$56,4,FALSE)+(VLOOKUP(VLOOKUP(T$1,main!$A$3:$I$56,8,FALSE),main!$K$19:$O$22,MATCH(VLOOKUP($A30,main!$A$3:$I$56,7,FALSE),main!$K$18:$O$18,0),0))),0)</f>
        <v>320</v>
      </c>
      <c r="U30">
        <f>IF((gamma!U30),IF(VLOOKUP(U$1,main!$A$3:$I$56,7,FALSE)=VLOOKUP($A30,main!$A$3:$I$56,8,FALSE),VLOOKUP(U$1,main!$A$3:$I$56,4,FALSE),VLOOKUP(U$1,main!$A$3:$I$56,4,FALSE)+VLOOKUP($A30,main!$A$3:$I$56,4,FALSE)+(VLOOKUP(VLOOKUP(U$1,main!$A$3:$I$56,8,FALSE),main!$K$19:$O$22,MATCH(VLOOKUP($A30,main!$A$3:$I$56,7,FALSE),main!$K$18:$O$18,0),0))),0)</f>
        <v>0</v>
      </c>
      <c r="V30">
        <f>IF((gamma!V30),IF(VLOOKUP(V$1,main!$A$3:$I$56,7,FALSE)=VLOOKUP($A30,main!$A$3:$I$56,8,FALSE),VLOOKUP(V$1,main!$A$3:$I$56,4,FALSE),VLOOKUP(V$1,main!$A$3:$I$56,4,FALSE)+VLOOKUP($A30,main!$A$3:$I$56,4,FALSE)+(VLOOKUP(VLOOKUP(V$1,main!$A$3:$I$56,8,FALSE),main!$K$19:$O$22,MATCH(VLOOKUP($A30,main!$A$3:$I$56,7,FALSE),main!$K$18:$O$18,0),0))),0)</f>
        <v>0</v>
      </c>
      <c r="W30">
        <f>IF((gamma!W30),IF(VLOOKUP(W$1,main!$A$3:$I$56,7,FALSE)=VLOOKUP($A30,main!$A$3:$I$56,8,FALSE),VLOOKUP(W$1,main!$A$3:$I$56,4,FALSE),VLOOKUP(W$1,main!$A$3:$I$56,4,FALSE)+VLOOKUP($A30,main!$A$3:$I$56,4,FALSE)+(VLOOKUP(VLOOKUP(W$1,main!$A$3:$I$56,8,FALSE),main!$K$19:$O$22,MATCH(VLOOKUP($A30,main!$A$3:$I$56,7,FALSE),main!$K$18:$O$18,0),0))),0)</f>
        <v>0</v>
      </c>
      <c r="X30">
        <f>IF((gamma!X30),IF(VLOOKUP(X$1,main!$A$3:$I$56,7,FALSE)=VLOOKUP($A30,main!$A$3:$I$56,8,FALSE),VLOOKUP(X$1,main!$A$3:$I$56,4,FALSE),VLOOKUP(X$1,main!$A$3:$I$56,4,FALSE)+VLOOKUP($A30,main!$A$3:$I$56,4,FALSE)+(VLOOKUP(VLOOKUP(X$1,main!$A$3:$I$56,8,FALSE),main!$K$19:$O$22,MATCH(VLOOKUP($A30,main!$A$3:$I$56,7,FALSE),main!$K$18:$O$18,0),0))),0)</f>
        <v>300</v>
      </c>
      <c r="Y30">
        <f>IF((gamma!Y30),IF(VLOOKUP(Y$1,main!$A$3:$I$56,7,FALSE)=VLOOKUP($A30,main!$A$3:$I$56,8,FALSE),VLOOKUP(Y$1,main!$A$3:$I$56,4,FALSE),VLOOKUP(Y$1,main!$A$3:$I$56,4,FALSE)+VLOOKUP($A30,main!$A$3:$I$56,4,FALSE)+(VLOOKUP(VLOOKUP(Y$1,main!$A$3:$I$56,8,FALSE),main!$K$19:$O$22,MATCH(VLOOKUP($A30,main!$A$3:$I$56,7,FALSE),main!$K$18:$O$18,0),0))),0)</f>
        <v>300</v>
      </c>
      <c r="Z30">
        <f>IF((gamma!Z30),IF(VLOOKUP(Z$1,main!$A$3:$I$56,7,FALSE)=VLOOKUP($A30,main!$A$3:$I$56,8,FALSE),VLOOKUP(Z$1,main!$A$3:$I$56,4,FALSE),VLOOKUP(Z$1,main!$A$3:$I$56,4,FALSE)+VLOOKUP($A30,main!$A$3:$I$56,4,FALSE)+(VLOOKUP(VLOOKUP(Z$1,main!$A$3:$I$56,8,FALSE),main!$K$19:$O$22,MATCH(VLOOKUP($A30,main!$A$3:$I$56,7,FALSE),main!$K$18:$O$18,0),0))),0)</f>
        <v>300</v>
      </c>
      <c r="AA30">
        <f>IF((gamma!AA30),IF(VLOOKUP(AA$1,main!$A$3:$I$56,7,FALSE)=VLOOKUP($A30,main!$A$3:$I$56,8,FALSE),VLOOKUP(AA$1,main!$A$3:$I$56,4,FALSE),VLOOKUP(AA$1,main!$A$3:$I$56,4,FALSE)+VLOOKUP($A30,main!$A$3:$I$56,4,FALSE)+(VLOOKUP(VLOOKUP(AA$1,main!$A$3:$I$56,8,FALSE),main!$K$19:$O$22,MATCH(VLOOKUP($A30,main!$A$3:$I$56,7,FALSE),main!$K$18:$O$18,0),0))),0)</f>
        <v>300</v>
      </c>
      <c r="AB30">
        <f>IF((gamma!AB30),IF(VLOOKUP(AB$1,main!$A$3:$I$56,7,FALSE)=VLOOKUP($A30,main!$A$3:$I$56,8,FALSE),VLOOKUP(AB$1,main!$A$3:$I$56,4,FALSE),VLOOKUP(AB$1,main!$A$3:$I$56,4,FALSE)+VLOOKUP($A30,main!$A$3:$I$56,4,FALSE)+(VLOOKUP(VLOOKUP(AB$1,main!$A$3:$I$56,8,FALSE),main!$K$19:$O$22,MATCH(VLOOKUP($A30,main!$A$3:$I$56,7,FALSE),main!$K$18:$O$18,0),0))),0)</f>
        <v>300</v>
      </c>
      <c r="AC30">
        <f>IF((gamma!AC30),IF(VLOOKUP(AC$1,main!$A$3:$I$56,7,FALSE)=VLOOKUP($A30,main!$A$3:$I$56,8,FALSE),VLOOKUP(AC$1,main!$A$3:$I$56,4,FALSE),VLOOKUP(AC$1,main!$A$3:$I$56,4,FALSE)+VLOOKUP($A30,main!$A$3:$I$56,4,FALSE)+(VLOOKUP(VLOOKUP(AC$1,main!$A$3:$I$56,8,FALSE),main!$K$19:$O$22,MATCH(VLOOKUP($A30,main!$A$3:$I$56,7,FALSE),main!$K$18:$O$18,0),0))),0)</f>
        <v>0</v>
      </c>
      <c r="AD30">
        <f>IF((gamma!AD30),IF(VLOOKUP(AD$1,main!$A$3:$I$56,7,FALSE)=VLOOKUP($A30,main!$A$3:$I$56,8,FALSE),VLOOKUP(AD$1,main!$A$3:$I$56,4,FALSE),VLOOKUP(AD$1,main!$A$3:$I$56,4,FALSE)+VLOOKUP($A30,main!$A$3:$I$56,4,FALSE)+(VLOOKUP(VLOOKUP(AD$1,main!$A$3:$I$56,8,FALSE),main!$K$19:$O$22,MATCH(VLOOKUP($A30,main!$A$3:$I$56,7,FALSE),main!$K$18:$O$18,0),0))),0)</f>
        <v>0</v>
      </c>
      <c r="AE30">
        <f>IF((gamma!AE30),IF(VLOOKUP(AE$1,main!$A$3:$I$56,7,FALSE)=VLOOKUP($A30,main!$A$3:$I$56,8,FALSE),VLOOKUP(AE$1,main!$A$3:$I$56,4,FALSE),VLOOKUP(AE$1,main!$A$3:$I$56,4,FALSE)+VLOOKUP($A30,main!$A$3:$I$56,4,FALSE)+(VLOOKUP(VLOOKUP(AE$1,main!$A$3:$I$56,8,FALSE),main!$K$19:$O$22,MATCH(VLOOKUP($A30,main!$A$3:$I$56,7,FALSE),main!$K$18:$O$18,0),0))),0)</f>
        <v>288</v>
      </c>
      <c r="AF30">
        <f>IF((gamma!AF30),IF(VLOOKUP(AF$1,main!$A$3:$I$56,7,FALSE)=VLOOKUP($A30,main!$A$3:$I$56,8,FALSE),VLOOKUP(AF$1,main!$A$3:$I$56,4,FALSE),VLOOKUP(AF$1,main!$A$3:$I$56,4,FALSE)+VLOOKUP($A30,main!$A$3:$I$56,4,FALSE)+(VLOOKUP(VLOOKUP(AF$1,main!$A$3:$I$56,8,FALSE),main!$K$19:$O$22,MATCH(VLOOKUP($A30,main!$A$3:$I$56,7,FALSE),main!$K$18:$O$18,0),0))),0)</f>
        <v>298</v>
      </c>
      <c r="AG30">
        <f>IF((gamma!AG30),IF(VLOOKUP(AG$1,main!$A$3:$I$56,7,FALSE)=VLOOKUP($A30,main!$A$3:$I$56,8,FALSE),VLOOKUP(AG$1,main!$A$3:$I$56,4,FALSE),VLOOKUP(AG$1,main!$A$3:$I$56,4,FALSE)+VLOOKUP($A30,main!$A$3:$I$56,4,FALSE)+(VLOOKUP(VLOOKUP(AG$1,main!$A$3:$I$56,8,FALSE),main!$K$19:$O$22,MATCH(VLOOKUP($A30,main!$A$3:$I$56,7,FALSE),main!$K$18:$O$18,0),0))),0)</f>
        <v>0</v>
      </c>
      <c r="AH30">
        <f>IF((gamma!AH30),IF(VLOOKUP(AH$1,main!$A$3:$I$56,7,FALSE)=VLOOKUP($A30,main!$A$3:$I$56,8,FALSE),VLOOKUP(AH$1,main!$A$3:$I$56,4,FALSE),VLOOKUP(AH$1,main!$A$3:$I$56,4,FALSE)+VLOOKUP($A30,main!$A$3:$I$56,4,FALSE)+(VLOOKUP(VLOOKUP(AH$1,main!$A$3:$I$56,8,FALSE),main!$K$19:$O$22,MATCH(VLOOKUP($A30,main!$A$3:$I$56,7,FALSE),main!$K$18:$O$18,0),0))),0)</f>
        <v>0</v>
      </c>
      <c r="AI30">
        <f>IF((gamma!AI30),IF(VLOOKUP(AI$1,main!$A$3:$I$56,7,FALSE)=VLOOKUP($A30,main!$A$3:$I$56,8,FALSE),VLOOKUP(AI$1,main!$A$3:$I$56,4,FALSE),VLOOKUP(AI$1,main!$A$3:$I$56,4,FALSE)+VLOOKUP($A30,main!$A$3:$I$56,4,FALSE)+(VLOOKUP(VLOOKUP(AI$1,main!$A$3:$I$56,8,FALSE),main!$K$19:$O$22,MATCH(VLOOKUP($A30,main!$A$3:$I$56,7,FALSE),main!$K$18:$O$18,0),0))),0)</f>
        <v>140</v>
      </c>
      <c r="AJ30">
        <f>IF((gamma!AJ30),IF(VLOOKUP(AJ$1,main!$A$3:$I$56,7,FALSE)=VLOOKUP($A30,main!$A$3:$I$56,8,FALSE),VLOOKUP(AJ$1,main!$A$3:$I$56,4,FALSE),VLOOKUP(AJ$1,main!$A$3:$I$56,4,FALSE)+VLOOKUP($A30,main!$A$3:$I$56,4,FALSE)+(VLOOKUP(VLOOKUP(AJ$1,main!$A$3:$I$56,8,FALSE),main!$K$19:$O$22,MATCH(VLOOKUP($A30,main!$A$3:$I$56,7,FALSE),main!$K$18:$O$18,0),0))),0)</f>
        <v>140</v>
      </c>
      <c r="AK30">
        <f>IF((gamma!AK30),IF(VLOOKUP(AK$1,main!$A$3:$I$56,7,FALSE)=VLOOKUP($A30,main!$A$3:$I$56,8,FALSE),VLOOKUP(AK$1,main!$A$3:$I$56,4,FALSE),VLOOKUP(AK$1,main!$A$3:$I$56,4,FALSE)+VLOOKUP($A30,main!$A$3:$I$56,4,FALSE)+(VLOOKUP(VLOOKUP(AK$1,main!$A$3:$I$56,8,FALSE),main!$K$19:$O$22,MATCH(VLOOKUP($A30,main!$A$3:$I$56,7,FALSE),main!$K$18:$O$18,0),0))),0)</f>
        <v>140</v>
      </c>
      <c r="AL30">
        <f>IF((gamma!AL30),IF(VLOOKUP(AL$1,main!$A$3:$I$56,7,FALSE)=VLOOKUP($A30,main!$A$3:$I$56,8,FALSE),VLOOKUP(AL$1,main!$A$3:$I$56,4,FALSE),VLOOKUP(AL$1,main!$A$3:$I$56,4,FALSE)+VLOOKUP($A30,main!$A$3:$I$56,4,FALSE)+(VLOOKUP(VLOOKUP(AL$1,main!$A$3:$I$56,8,FALSE),main!$K$19:$O$22,MATCH(VLOOKUP($A30,main!$A$3:$I$56,7,FALSE),main!$K$18:$O$18,0),0))),0)</f>
        <v>0</v>
      </c>
      <c r="AM30">
        <f>IF((gamma!AM30),IF(VLOOKUP(AM$1,main!$A$3:$I$56,7,FALSE)=VLOOKUP($A30,main!$A$3:$I$56,8,FALSE),VLOOKUP(AM$1,main!$A$3:$I$56,4,FALSE),VLOOKUP(AM$1,main!$A$3:$I$56,4,FALSE)+VLOOKUP($A30,main!$A$3:$I$56,4,FALSE)+(VLOOKUP(VLOOKUP(AM$1,main!$A$3:$I$56,8,FALSE),main!$K$19:$O$22,MATCH(VLOOKUP($A30,main!$A$3:$I$56,7,FALSE),main!$K$18:$O$18,0),0))),0)</f>
        <v>0</v>
      </c>
      <c r="AN30">
        <f>IF((gamma!AN30),IF(VLOOKUP(AN$1,main!$A$3:$I$56,7,FALSE)=VLOOKUP($A30,main!$A$3:$I$56,8,FALSE),VLOOKUP(AN$1,main!$A$3:$I$56,4,FALSE),VLOOKUP(AN$1,main!$A$3:$I$56,4,FALSE)+VLOOKUP($A30,main!$A$3:$I$56,4,FALSE)+(VLOOKUP(VLOOKUP(AN$1,main!$A$3:$I$56,8,FALSE),main!$K$19:$O$22,MATCH(VLOOKUP($A30,main!$A$3:$I$56,7,FALSE),main!$K$18:$O$18,0),0))),0)</f>
        <v>120</v>
      </c>
      <c r="AO30">
        <f>IF((gamma!AO30),IF(VLOOKUP(AO$1,main!$A$3:$I$56,7,FALSE)=VLOOKUP($A30,main!$A$3:$I$56,8,FALSE),VLOOKUP(AO$1,main!$A$3:$I$56,4,FALSE),VLOOKUP(AO$1,main!$A$3:$I$56,4,FALSE)+VLOOKUP($A30,main!$A$3:$I$56,4,FALSE)+(VLOOKUP(VLOOKUP(AO$1,main!$A$3:$I$56,8,FALSE),main!$K$19:$O$22,MATCH(VLOOKUP($A30,main!$A$3:$I$56,7,FALSE),main!$K$18:$O$18,0),0))),0)</f>
        <v>130</v>
      </c>
      <c r="AP30">
        <f>IF((gamma!AP30),IF(VLOOKUP(AP$1,main!$A$3:$I$56,7,FALSE)=VLOOKUP($A30,main!$A$3:$I$56,8,FALSE),VLOOKUP(AP$1,main!$A$3:$I$56,4,FALSE),VLOOKUP(AP$1,main!$A$3:$I$56,4,FALSE)+VLOOKUP($A30,main!$A$3:$I$56,4,FALSE)+(VLOOKUP(VLOOKUP(AP$1,main!$A$3:$I$56,8,FALSE),main!$K$19:$O$22,MATCH(VLOOKUP($A30,main!$A$3:$I$56,7,FALSE),main!$K$18:$O$18,0),0))),0)</f>
        <v>0</v>
      </c>
      <c r="AQ30">
        <f>IF((gamma!AQ30),IF(VLOOKUP(AQ$1,main!$A$3:$I$56,7,FALSE)=VLOOKUP($A30,main!$A$3:$I$56,8,FALSE),VLOOKUP(AQ$1,main!$A$3:$I$56,4,FALSE),VLOOKUP(AQ$1,main!$A$3:$I$56,4,FALSE)+VLOOKUP($A30,main!$A$3:$I$56,4,FALSE)+(VLOOKUP(VLOOKUP(AQ$1,main!$A$3:$I$56,8,FALSE),main!$K$19:$O$22,MATCH(VLOOKUP($A30,main!$A$3:$I$56,7,FALSE),main!$K$18:$O$18,0),0))),0)</f>
        <v>0</v>
      </c>
      <c r="AR30">
        <f>IF((gamma!AR30),IF(VLOOKUP(AR$1,main!$A$3:$I$56,7,FALSE)=VLOOKUP($A30,main!$A$3:$I$56,8,FALSE),VLOOKUP(AR$1,main!$A$3:$I$56,4,FALSE),VLOOKUP(AR$1,main!$A$3:$I$56,4,FALSE)+VLOOKUP($A30,main!$A$3:$I$56,4,FALSE)+(VLOOKUP(VLOOKUP(AR$1,main!$A$3:$I$56,8,FALSE),main!$K$19:$O$22,MATCH(VLOOKUP($A30,main!$A$3:$I$56,7,FALSE),main!$K$18:$O$18,0),0))),0)</f>
        <v>0</v>
      </c>
      <c r="AS30">
        <f>IF((gamma!AS30),IF(VLOOKUP(AS$1,main!$A$3:$I$56,7,FALSE)=VLOOKUP($A30,main!$A$3:$I$56,8,FALSE),VLOOKUP(AS$1,main!$A$3:$I$56,4,FALSE),VLOOKUP(AS$1,main!$A$3:$I$56,4,FALSE)+VLOOKUP($A30,main!$A$3:$I$56,4,FALSE)+(VLOOKUP(VLOOKUP(AS$1,main!$A$3:$I$56,8,FALSE),main!$K$19:$O$22,MATCH(VLOOKUP($A30,main!$A$3:$I$56,7,FALSE),main!$K$18:$O$18,0),0))),0)</f>
        <v>135</v>
      </c>
      <c r="AT30">
        <f>IF((gamma!AT30),IF(VLOOKUP(AT$1,main!$A$3:$I$56,7,FALSE)=VLOOKUP($A30,main!$A$3:$I$56,8,FALSE),VLOOKUP(AT$1,main!$A$3:$I$56,4,FALSE),VLOOKUP(AT$1,main!$A$3:$I$56,4,FALSE)+VLOOKUP($A30,main!$A$3:$I$56,4,FALSE)+(VLOOKUP(VLOOKUP(AT$1,main!$A$3:$I$56,8,FALSE),main!$K$19:$O$22,MATCH(VLOOKUP($A30,main!$A$3:$I$56,7,FALSE),main!$K$18:$O$18,0),0))),0)</f>
        <v>120</v>
      </c>
      <c r="AU30">
        <f>IF((gamma!AU30),IF(VLOOKUP(AU$1,main!$A$3:$I$56,7,FALSE)=VLOOKUP($A30,main!$A$3:$I$56,8,FALSE),VLOOKUP(AU$1,main!$A$3:$I$56,4,FALSE),VLOOKUP(AU$1,main!$A$3:$I$56,4,FALSE)+VLOOKUP($A30,main!$A$3:$I$56,4,FALSE)+(VLOOKUP(VLOOKUP(AU$1,main!$A$3:$I$56,8,FALSE),main!$K$19:$O$22,MATCH(VLOOKUP($A30,main!$A$3:$I$56,7,FALSE),main!$K$18:$O$18,0),0))),0)</f>
        <v>0</v>
      </c>
      <c r="AV30">
        <f>IF((gamma!AV30),IF(VLOOKUP(AV$1,main!$A$3:$I$56,7,FALSE)=VLOOKUP($A30,main!$A$3:$I$56,8,FALSE),VLOOKUP(AV$1,main!$A$3:$I$56,4,FALSE),VLOOKUP(AV$1,main!$A$3:$I$56,4,FALSE)+VLOOKUP($A30,main!$A$3:$I$56,4,FALSE)+(VLOOKUP(VLOOKUP(AV$1,main!$A$3:$I$56,8,FALSE),main!$K$19:$O$22,MATCH(VLOOKUP($A30,main!$A$3:$I$56,7,FALSE),main!$K$18:$O$18,0),0))),0)</f>
        <v>0</v>
      </c>
      <c r="AW30">
        <f>IF((gamma!AW30),IF(VLOOKUP(AW$1,main!$A$3:$I$56,7,FALSE)=VLOOKUP($A30,main!$A$3:$I$56,8,FALSE),VLOOKUP(AW$1,main!$A$3:$I$56,4,FALSE),VLOOKUP(AW$1,main!$A$3:$I$56,4,FALSE)+VLOOKUP($A30,main!$A$3:$I$56,4,FALSE)+(VLOOKUP(VLOOKUP(AW$1,main!$A$3:$I$56,8,FALSE),main!$K$19:$O$22,MATCH(VLOOKUP($A30,main!$A$3:$I$56,7,FALSE),main!$K$18:$O$18,0),0))),0)</f>
        <v>305</v>
      </c>
      <c r="AX30">
        <f>IF((gamma!AX30),IF(VLOOKUP(AX$1,main!$A$3:$I$56,7,FALSE)=VLOOKUP($A30,main!$A$3:$I$56,8,FALSE),VLOOKUP(AX$1,main!$A$3:$I$56,4,FALSE),VLOOKUP(AX$1,main!$A$3:$I$56,4,FALSE)+VLOOKUP($A30,main!$A$3:$I$56,4,FALSE)+(VLOOKUP(VLOOKUP(AX$1,main!$A$3:$I$56,8,FALSE),main!$K$19:$O$22,MATCH(VLOOKUP($A30,main!$A$3:$I$56,7,FALSE),main!$K$18:$O$18,0),0))),0)</f>
        <v>305</v>
      </c>
      <c r="AY30">
        <f>IF((gamma!AY30),IF(VLOOKUP(AY$1,main!$A$3:$I$56,7,FALSE)=VLOOKUP($A30,main!$A$3:$I$56,8,FALSE),VLOOKUP(AY$1,main!$A$3:$I$56,4,FALSE),VLOOKUP(AY$1,main!$A$3:$I$56,4,FALSE)+VLOOKUP($A30,main!$A$3:$I$56,4,FALSE)+(VLOOKUP(VLOOKUP(AY$1,main!$A$3:$I$56,8,FALSE),main!$K$19:$O$22,MATCH(VLOOKUP($A30,main!$A$3:$I$56,7,FALSE),main!$K$18:$O$18,0),0))),0)</f>
        <v>305</v>
      </c>
      <c r="AZ30">
        <f>IF((gamma!AZ30),IF(VLOOKUP(AZ$1,main!$A$3:$I$56,7,FALSE)=VLOOKUP($A30,main!$A$3:$I$56,8,FALSE),VLOOKUP(AZ$1,main!$A$3:$I$56,4,FALSE),VLOOKUP(AZ$1,main!$A$3:$I$56,4,FALSE)+VLOOKUP($A30,main!$A$3:$I$56,4,FALSE)+(VLOOKUP(VLOOKUP(AZ$1,main!$A$3:$I$56,8,FALSE),main!$K$19:$O$22,MATCH(VLOOKUP($A30,main!$A$3:$I$56,7,FALSE),main!$K$18:$O$18,0),0))),0)</f>
        <v>0</v>
      </c>
      <c r="BA30">
        <f>IF((gamma!BA30),IF(VLOOKUP(BA$1,main!$A$3:$I$56,7,FALSE)=VLOOKUP($A30,main!$A$3:$I$56,8,FALSE),VLOOKUP(BA$1,main!$A$3:$I$56,4,FALSE),VLOOKUP(BA$1,main!$A$3:$I$56,4,FALSE)+VLOOKUP($A30,main!$A$3:$I$56,4,FALSE)+(VLOOKUP(VLOOKUP(BA$1,main!$A$3:$I$56,8,FALSE),main!$K$19:$O$22,MATCH(VLOOKUP($A30,main!$A$3:$I$56,7,FALSE),main!$K$18:$O$18,0),0))),0)</f>
        <v>0</v>
      </c>
      <c r="BB30">
        <f>IF((gamma!BB30),IF(VLOOKUP(BB$1,main!$A$3:$I$56,7,FALSE)=VLOOKUP($A30,main!$A$3:$I$56,8,FALSE),VLOOKUP(BB$1,main!$A$3:$I$56,4,FALSE),VLOOKUP(BB$1,main!$A$3:$I$56,4,FALSE)+VLOOKUP($A30,main!$A$3:$I$56,4,FALSE)+(VLOOKUP(VLOOKUP(BB$1,main!$A$3:$I$56,8,FALSE),main!$K$19:$O$22,MATCH(VLOOKUP($A30,main!$A$3:$I$56,7,FALSE),main!$K$18:$O$18,0),0))),0)</f>
        <v>0</v>
      </c>
      <c r="BC30">
        <f>IF((gamma!BC30),IF(VLOOKUP(BC$1,main!$A$3:$I$56,7,FALSE)=VLOOKUP($A30,main!$A$3:$I$56,8,FALSE),VLOOKUP(BC$1,main!$A$3:$I$56,4,FALSE),VLOOKUP(BC$1,main!$A$3:$I$56,4,FALSE)+VLOOKUP($A30,main!$A$3:$I$56,4,FALSE)+(VLOOKUP(VLOOKUP(BC$1,main!$A$3:$I$56,8,FALSE),main!$K$19:$O$22,MATCH(VLOOKUP($A30,main!$A$3:$I$56,7,FALSE),main!$K$18:$O$18,0),0))),0)</f>
        <v>303</v>
      </c>
      <c r="BD30">
        <f>IF((gamma!BD30),IF(VLOOKUP(BD$1,main!$A$3:$I$56,7,FALSE)=VLOOKUP($A30,main!$A$3:$I$56,8,FALSE),VLOOKUP(BD$1,main!$A$3:$I$56,4,FALSE),VLOOKUP(BD$1,main!$A$3:$I$56,4,FALSE)+VLOOKUP($A30,main!$A$3:$I$56,4,FALSE)+(VLOOKUP(VLOOKUP(BD$1,main!$A$3:$I$56,8,FALSE),main!$K$19:$O$22,MATCH(VLOOKUP($A30,main!$A$3:$I$56,7,FALSE),main!$K$18:$O$18,0),0))),0)</f>
        <v>303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>
        <f t="shared" si="0"/>
        <v>29</v>
      </c>
      <c r="B31">
        <v>0</v>
      </c>
      <c r="C31">
        <f>IF((gamma!C31),IF(VLOOKUP(C$1,main!$A$3:$I$56,7,FALSE)=VLOOKUP($A31,main!$A$3:$I$56,8,FALSE),VLOOKUP(C$1,main!$A$3:$I$56,4,FALSE),VLOOKUP(C$1,main!$A$3:$I$56,4,FALSE)+VLOOKUP($A31,main!$A$3:$I$56,4,FALSE)+(VLOOKUP(VLOOKUP(C$1,main!$A$3:$I$56,8,FALSE),main!$K$19:$O$22,MATCH(VLOOKUP($A31,main!$A$3:$I$56,7,FALSE),main!$K$18:$O$18,0),0))),0)</f>
        <v>0</v>
      </c>
      <c r="D31">
        <f>IF((gamma!D31),IF(VLOOKUP(D$1,main!$A$3:$I$56,7,FALSE)=VLOOKUP($A31,main!$A$3:$I$56,8,FALSE),VLOOKUP(D$1,main!$A$3:$I$56,4,FALSE),VLOOKUP(D$1,main!$A$3:$I$56,4,FALSE)+VLOOKUP($A31,main!$A$3:$I$56,4,FALSE)+(VLOOKUP(VLOOKUP(D$1,main!$A$3:$I$56,8,FALSE),main!$K$19:$O$22,MATCH(VLOOKUP($A31,main!$A$3:$I$56,7,FALSE),main!$K$18:$O$18,0),0))),0)</f>
        <v>0</v>
      </c>
      <c r="E31">
        <f>IF((gamma!E31),IF(VLOOKUP(E$1,main!$A$3:$I$56,7,FALSE)=VLOOKUP($A31,main!$A$3:$I$56,8,FALSE),VLOOKUP(E$1,main!$A$3:$I$56,4,FALSE),VLOOKUP(E$1,main!$A$3:$I$56,4,FALSE)+VLOOKUP($A31,main!$A$3:$I$56,4,FALSE)+(VLOOKUP(VLOOKUP(E$1,main!$A$3:$I$56,8,FALSE),main!$K$19:$O$22,MATCH(VLOOKUP($A31,main!$A$3:$I$56,7,FALSE),main!$K$18:$O$18,0),0))),0)</f>
        <v>0</v>
      </c>
      <c r="F31">
        <f>IF((gamma!F31),IF(VLOOKUP(F$1,main!$A$3:$I$56,7,FALSE)=VLOOKUP($A31,main!$A$3:$I$56,8,FALSE),VLOOKUP(F$1,main!$A$3:$I$56,4,FALSE),VLOOKUP(F$1,main!$A$3:$I$56,4,FALSE)+VLOOKUP($A31,main!$A$3:$I$56,4,FALSE)+(VLOOKUP(VLOOKUP(F$1,main!$A$3:$I$56,8,FALSE),main!$K$19:$O$22,MATCH(VLOOKUP($A31,main!$A$3:$I$56,7,FALSE),main!$K$18:$O$18,0),0))),0)</f>
        <v>0</v>
      </c>
      <c r="G31">
        <f>IF((gamma!G31),IF(VLOOKUP(G$1,main!$A$3:$I$56,7,FALSE)=VLOOKUP($A31,main!$A$3:$I$56,8,FALSE),VLOOKUP(G$1,main!$A$3:$I$56,4,FALSE),VLOOKUP(G$1,main!$A$3:$I$56,4,FALSE)+VLOOKUP($A31,main!$A$3:$I$56,4,FALSE)+(VLOOKUP(VLOOKUP(G$1,main!$A$3:$I$56,8,FALSE),main!$K$19:$O$22,MATCH(VLOOKUP($A31,main!$A$3:$I$56,7,FALSE),main!$K$18:$O$18,0),0))),0)</f>
        <v>255</v>
      </c>
      <c r="H31">
        <f>IF((gamma!H31),IF(VLOOKUP(H$1,main!$A$3:$I$56,7,FALSE)=VLOOKUP($A31,main!$A$3:$I$56,8,FALSE),VLOOKUP(H$1,main!$A$3:$I$56,4,FALSE),VLOOKUP(H$1,main!$A$3:$I$56,4,FALSE)+VLOOKUP($A31,main!$A$3:$I$56,4,FALSE)+(VLOOKUP(VLOOKUP(H$1,main!$A$3:$I$56,8,FALSE),main!$K$19:$O$22,MATCH(VLOOKUP($A31,main!$A$3:$I$56,7,FALSE),main!$K$18:$O$18,0),0))),0)</f>
        <v>255</v>
      </c>
      <c r="I31">
        <f>IF((gamma!I31),IF(VLOOKUP(I$1,main!$A$3:$I$56,7,FALSE)=VLOOKUP($A31,main!$A$3:$I$56,8,FALSE),VLOOKUP(I$1,main!$A$3:$I$56,4,FALSE),VLOOKUP(I$1,main!$A$3:$I$56,4,FALSE)+VLOOKUP($A31,main!$A$3:$I$56,4,FALSE)+(VLOOKUP(VLOOKUP(I$1,main!$A$3:$I$56,8,FALSE),main!$K$19:$O$22,MATCH(VLOOKUP($A31,main!$A$3:$I$56,7,FALSE),main!$K$18:$O$18,0),0))),0)</f>
        <v>255</v>
      </c>
      <c r="J31">
        <f>IF((gamma!J31),IF(VLOOKUP(J$1,main!$A$3:$I$56,7,FALSE)=VLOOKUP($A31,main!$A$3:$I$56,8,FALSE),VLOOKUP(J$1,main!$A$3:$I$56,4,FALSE),VLOOKUP(J$1,main!$A$3:$I$56,4,FALSE)+VLOOKUP($A31,main!$A$3:$I$56,4,FALSE)+(VLOOKUP(VLOOKUP(J$1,main!$A$3:$I$56,8,FALSE),main!$K$19:$O$22,MATCH(VLOOKUP($A31,main!$A$3:$I$56,7,FALSE),main!$K$18:$O$18,0),0))),0)</f>
        <v>255</v>
      </c>
      <c r="K31">
        <f>IF((gamma!K31),IF(VLOOKUP(K$1,main!$A$3:$I$56,7,FALSE)=VLOOKUP($A31,main!$A$3:$I$56,8,FALSE),VLOOKUP(K$1,main!$A$3:$I$56,4,FALSE),VLOOKUP(K$1,main!$A$3:$I$56,4,FALSE)+VLOOKUP($A31,main!$A$3:$I$56,4,FALSE)+(VLOOKUP(VLOOKUP(K$1,main!$A$3:$I$56,8,FALSE),main!$K$19:$O$22,MATCH(VLOOKUP($A31,main!$A$3:$I$56,7,FALSE),main!$K$18:$O$18,0),0))),0)</f>
        <v>0</v>
      </c>
      <c r="L31">
        <f>IF((gamma!L31),IF(VLOOKUP(L$1,main!$A$3:$I$56,7,FALSE)=VLOOKUP($A31,main!$A$3:$I$56,8,FALSE),VLOOKUP(L$1,main!$A$3:$I$56,4,FALSE),VLOOKUP(L$1,main!$A$3:$I$56,4,FALSE)+VLOOKUP($A31,main!$A$3:$I$56,4,FALSE)+(VLOOKUP(VLOOKUP(L$1,main!$A$3:$I$56,8,FALSE),main!$K$19:$O$22,MATCH(VLOOKUP($A31,main!$A$3:$I$56,7,FALSE),main!$K$18:$O$18,0),0))),0)</f>
        <v>0</v>
      </c>
      <c r="M31">
        <f>IF((gamma!M31),IF(VLOOKUP(M$1,main!$A$3:$I$56,7,FALSE)=VLOOKUP($A31,main!$A$3:$I$56,8,FALSE),VLOOKUP(M$1,main!$A$3:$I$56,4,FALSE),VLOOKUP(M$1,main!$A$3:$I$56,4,FALSE)+VLOOKUP($A31,main!$A$3:$I$56,4,FALSE)+(VLOOKUP(VLOOKUP(M$1,main!$A$3:$I$56,8,FALSE),main!$K$19:$O$22,MATCH(VLOOKUP($A31,main!$A$3:$I$56,7,FALSE),main!$K$18:$O$18,0),0))),0)</f>
        <v>0</v>
      </c>
      <c r="N31">
        <f>IF((gamma!N31),IF(VLOOKUP(N$1,main!$A$3:$I$56,7,FALSE)=VLOOKUP($A31,main!$A$3:$I$56,8,FALSE),VLOOKUP(N$1,main!$A$3:$I$56,4,FALSE),VLOOKUP(N$1,main!$A$3:$I$56,4,FALSE)+VLOOKUP($A31,main!$A$3:$I$56,4,FALSE)+(VLOOKUP(VLOOKUP(N$1,main!$A$3:$I$56,8,FALSE),main!$K$19:$O$22,MATCH(VLOOKUP($A31,main!$A$3:$I$56,7,FALSE),main!$K$18:$O$18,0),0))),0)</f>
        <v>288</v>
      </c>
      <c r="O31">
        <f>IF((gamma!O31),IF(VLOOKUP(O$1,main!$A$3:$I$56,7,FALSE)=VLOOKUP($A31,main!$A$3:$I$56,8,FALSE),VLOOKUP(O$1,main!$A$3:$I$56,4,FALSE),VLOOKUP(O$1,main!$A$3:$I$56,4,FALSE)+VLOOKUP($A31,main!$A$3:$I$56,4,FALSE)+(VLOOKUP(VLOOKUP(O$1,main!$A$3:$I$56,8,FALSE),main!$K$19:$O$22,MATCH(VLOOKUP($A31,main!$A$3:$I$56,7,FALSE),main!$K$18:$O$18,0),0))),0)</f>
        <v>288</v>
      </c>
      <c r="P31">
        <f>IF((gamma!P31),IF(VLOOKUP(P$1,main!$A$3:$I$56,7,FALSE)=VLOOKUP($A31,main!$A$3:$I$56,8,FALSE),VLOOKUP(P$1,main!$A$3:$I$56,4,FALSE),VLOOKUP(P$1,main!$A$3:$I$56,4,FALSE)+VLOOKUP($A31,main!$A$3:$I$56,4,FALSE)+(VLOOKUP(VLOOKUP(P$1,main!$A$3:$I$56,8,FALSE),main!$K$19:$O$22,MATCH(VLOOKUP($A31,main!$A$3:$I$56,7,FALSE),main!$K$18:$O$18,0),0))),0)</f>
        <v>0</v>
      </c>
      <c r="Q31">
        <f>IF((gamma!Q31),IF(VLOOKUP(Q$1,main!$A$3:$I$56,7,FALSE)=VLOOKUP($A31,main!$A$3:$I$56,8,FALSE),VLOOKUP(Q$1,main!$A$3:$I$56,4,FALSE),VLOOKUP(Q$1,main!$A$3:$I$56,4,FALSE)+VLOOKUP($A31,main!$A$3:$I$56,4,FALSE)+(VLOOKUP(VLOOKUP(Q$1,main!$A$3:$I$56,8,FALSE),main!$K$19:$O$22,MATCH(VLOOKUP($A31,main!$A$3:$I$56,7,FALSE),main!$K$18:$O$18,0),0))),0)</f>
        <v>0</v>
      </c>
      <c r="R31">
        <f>IF((gamma!R31),IF(VLOOKUP(R$1,main!$A$3:$I$56,7,FALSE)=VLOOKUP($A31,main!$A$3:$I$56,8,FALSE),VLOOKUP(R$1,main!$A$3:$I$56,4,FALSE),VLOOKUP(R$1,main!$A$3:$I$56,4,FALSE)+VLOOKUP($A31,main!$A$3:$I$56,4,FALSE)+(VLOOKUP(VLOOKUP(R$1,main!$A$3:$I$56,8,FALSE),main!$K$19:$O$22,MATCH(VLOOKUP($A31,main!$A$3:$I$56,7,FALSE),main!$K$18:$O$18,0),0))),0)</f>
        <v>0</v>
      </c>
      <c r="S31">
        <f>IF((gamma!S31),IF(VLOOKUP(S$1,main!$A$3:$I$56,7,FALSE)=VLOOKUP($A31,main!$A$3:$I$56,8,FALSE),VLOOKUP(S$1,main!$A$3:$I$56,4,FALSE),VLOOKUP(S$1,main!$A$3:$I$56,4,FALSE)+VLOOKUP($A31,main!$A$3:$I$56,4,FALSE)+(VLOOKUP(VLOOKUP(S$1,main!$A$3:$I$56,8,FALSE),main!$K$19:$O$22,MATCH(VLOOKUP($A31,main!$A$3:$I$56,7,FALSE),main!$K$18:$O$18,0),0))),0)</f>
        <v>300</v>
      </c>
      <c r="T31">
        <f>IF((gamma!T31),IF(VLOOKUP(T$1,main!$A$3:$I$56,7,FALSE)=VLOOKUP($A31,main!$A$3:$I$56,8,FALSE),VLOOKUP(T$1,main!$A$3:$I$56,4,FALSE),VLOOKUP(T$1,main!$A$3:$I$56,4,FALSE)+VLOOKUP($A31,main!$A$3:$I$56,4,FALSE)+(VLOOKUP(VLOOKUP(T$1,main!$A$3:$I$56,8,FALSE),main!$K$19:$O$22,MATCH(VLOOKUP($A31,main!$A$3:$I$56,7,FALSE),main!$K$18:$O$18,0),0))),0)</f>
        <v>300</v>
      </c>
      <c r="U31">
        <f>IF((gamma!U31),IF(VLOOKUP(U$1,main!$A$3:$I$56,7,FALSE)=VLOOKUP($A31,main!$A$3:$I$56,8,FALSE),VLOOKUP(U$1,main!$A$3:$I$56,4,FALSE),VLOOKUP(U$1,main!$A$3:$I$56,4,FALSE)+VLOOKUP($A31,main!$A$3:$I$56,4,FALSE)+(VLOOKUP(VLOOKUP(U$1,main!$A$3:$I$56,8,FALSE),main!$K$19:$O$22,MATCH(VLOOKUP($A31,main!$A$3:$I$56,7,FALSE),main!$K$18:$O$18,0),0))),0)</f>
        <v>0</v>
      </c>
      <c r="V31">
        <f>IF((gamma!V31),IF(VLOOKUP(V$1,main!$A$3:$I$56,7,FALSE)=VLOOKUP($A31,main!$A$3:$I$56,8,FALSE),VLOOKUP(V$1,main!$A$3:$I$56,4,FALSE),VLOOKUP(V$1,main!$A$3:$I$56,4,FALSE)+VLOOKUP($A31,main!$A$3:$I$56,4,FALSE)+(VLOOKUP(VLOOKUP(V$1,main!$A$3:$I$56,8,FALSE),main!$K$19:$O$22,MATCH(VLOOKUP($A31,main!$A$3:$I$56,7,FALSE),main!$K$18:$O$18,0),0))),0)</f>
        <v>0</v>
      </c>
      <c r="W31">
        <f>IF((gamma!W31),IF(VLOOKUP(W$1,main!$A$3:$I$56,7,FALSE)=VLOOKUP($A31,main!$A$3:$I$56,8,FALSE),VLOOKUP(W$1,main!$A$3:$I$56,4,FALSE),VLOOKUP(W$1,main!$A$3:$I$56,4,FALSE)+VLOOKUP($A31,main!$A$3:$I$56,4,FALSE)+(VLOOKUP(VLOOKUP(W$1,main!$A$3:$I$56,8,FALSE),main!$K$19:$O$22,MATCH(VLOOKUP($A31,main!$A$3:$I$56,7,FALSE),main!$K$18:$O$18,0),0))),0)</f>
        <v>0</v>
      </c>
      <c r="X31">
        <f>IF((gamma!X31),IF(VLOOKUP(X$1,main!$A$3:$I$56,7,FALSE)=VLOOKUP($A31,main!$A$3:$I$56,8,FALSE),VLOOKUP(X$1,main!$A$3:$I$56,4,FALSE),VLOOKUP(X$1,main!$A$3:$I$56,4,FALSE)+VLOOKUP($A31,main!$A$3:$I$56,4,FALSE)+(VLOOKUP(VLOOKUP(X$1,main!$A$3:$I$56,8,FALSE),main!$K$19:$O$22,MATCH(VLOOKUP($A31,main!$A$3:$I$56,7,FALSE),main!$K$18:$O$18,0),0))),0)</f>
        <v>0</v>
      </c>
      <c r="Y31">
        <f>IF((gamma!Y31),IF(VLOOKUP(Y$1,main!$A$3:$I$56,7,FALSE)=VLOOKUP($A31,main!$A$3:$I$56,8,FALSE),VLOOKUP(Y$1,main!$A$3:$I$56,4,FALSE),VLOOKUP(Y$1,main!$A$3:$I$56,4,FALSE)+VLOOKUP($A31,main!$A$3:$I$56,4,FALSE)+(VLOOKUP(VLOOKUP(Y$1,main!$A$3:$I$56,8,FALSE),main!$K$19:$O$22,MATCH(VLOOKUP($A31,main!$A$3:$I$56,7,FALSE),main!$K$18:$O$18,0),0))),0)</f>
        <v>0</v>
      </c>
      <c r="Z31">
        <f>IF((gamma!Z31),IF(VLOOKUP(Z$1,main!$A$3:$I$56,7,FALSE)=VLOOKUP($A31,main!$A$3:$I$56,8,FALSE),VLOOKUP(Z$1,main!$A$3:$I$56,4,FALSE),VLOOKUP(Z$1,main!$A$3:$I$56,4,FALSE)+VLOOKUP($A31,main!$A$3:$I$56,4,FALSE)+(VLOOKUP(VLOOKUP(Z$1,main!$A$3:$I$56,8,FALSE),main!$K$19:$O$22,MATCH(VLOOKUP($A31,main!$A$3:$I$56,7,FALSE),main!$K$18:$O$18,0),0))),0)</f>
        <v>280</v>
      </c>
      <c r="AA31">
        <f>IF((gamma!AA31),IF(VLOOKUP(AA$1,main!$A$3:$I$56,7,FALSE)=VLOOKUP($A31,main!$A$3:$I$56,8,FALSE),VLOOKUP(AA$1,main!$A$3:$I$56,4,FALSE),VLOOKUP(AA$1,main!$A$3:$I$56,4,FALSE)+VLOOKUP($A31,main!$A$3:$I$56,4,FALSE)+(VLOOKUP(VLOOKUP(AA$1,main!$A$3:$I$56,8,FALSE),main!$K$19:$O$22,MATCH(VLOOKUP($A31,main!$A$3:$I$56,7,FALSE),main!$K$18:$O$18,0),0))),0)</f>
        <v>280</v>
      </c>
      <c r="AB31">
        <f>IF((gamma!AB31),IF(VLOOKUP(AB$1,main!$A$3:$I$56,7,FALSE)=VLOOKUP($A31,main!$A$3:$I$56,8,FALSE),VLOOKUP(AB$1,main!$A$3:$I$56,4,FALSE),VLOOKUP(AB$1,main!$A$3:$I$56,4,FALSE)+VLOOKUP($A31,main!$A$3:$I$56,4,FALSE)+(VLOOKUP(VLOOKUP(AB$1,main!$A$3:$I$56,8,FALSE),main!$K$19:$O$22,MATCH(VLOOKUP($A31,main!$A$3:$I$56,7,FALSE),main!$K$18:$O$18,0),0))),0)</f>
        <v>280</v>
      </c>
      <c r="AC31">
        <f>IF((gamma!AC31),IF(VLOOKUP(AC$1,main!$A$3:$I$56,7,FALSE)=VLOOKUP($A31,main!$A$3:$I$56,8,FALSE),VLOOKUP(AC$1,main!$A$3:$I$56,4,FALSE),VLOOKUP(AC$1,main!$A$3:$I$56,4,FALSE)+VLOOKUP($A31,main!$A$3:$I$56,4,FALSE)+(VLOOKUP(VLOOKUP(AC$1,main!$A$3:$I$56,8,FALSE),main!$K$19:$O$22,MATCH(VLOOKUP($A31,main!$A$3:$I$56,7,FALSE),main!$K$18:$O$18,0),0))),0)</f>
        <v>0</v>
      </c>
      <c r="AD31">
        <f>IF((gamma!AD31),IF(VLOOKUP(AD$1,main!$A$3:$I$56,7,FALSE)=VLOOKUP($A31,main!$A$3:$I$56,8,FALSE),VLOOKUP(AD$1,main!$A$3:$I$56,4,FALSE),VLOOKUP(AD$1,main!$A$3:$I$56,4,FALSE)+VLOOKUP($A31,main!$A$3:$I$56,4,FALSE)+(VLOOKUP(VLOOKUP(AD$1,main!$A$3:$I$56,8,FALSE),main!$K$19:$O$22,MATCH(VLOOKUP($A31,main!$A$3:$I$56,7,FALSE),main!$K$18:$O$18,0),0))),0)</f>
        <v>0</v>
      </c>
      <c r="AE31">
        <f>IF((gamma!AE31),IF(VLOOKUP(AE$1,main!$A$3:$I$56,7,FALSE)=VLOOKUP($A31,main!$A$3:$I$56,8,FALSE),VLOOKUP(AE$1,main!$A$3:$I$56,4,FALSE),VLOOKUP(AE$1,main!$A$3:$I$56,4,FALSE)+VLOOKUP($A31,main!$A$3:$I$56,4,FALSE)+(VLOOKUP(VLOOKUP(AE$1,main!$A$3:$I$56,8,FALSE),main!$K$19:$O$22,MATCH(VLOOKUP($A31,main!$A$3:$I$56,7,FALSE),main!$K$18:$O$18,0),0))),0)</f>
        <v>0</v>
      </c>
      <c r="AF31">
        <f>IF((gamma!AF31),IF(VLOOKUP(AF$1,main!$A$3:$I$56,7,FALSE)=VLOOKUP($A31,main!$A$3:$I$56,8,FALSE),VLOOKUP(AF$1,main!$A$3:$I$56,4,FALSE),VLOOKUP(AF$1,main!$A$3:$I$56,4,FALSE)+VLOOKUP($A31,main!$A$3:$I$56,4,FALSE)+(VLOOKUP(VLOOKUP(AF$1,main!$A$3:$I$56,8,FALSE),main!$K$19:$O$22,MATCH(VLOOKUP($A31,main!$A$3:$I$56,7,FALSE),main!$K$18:$O$18,0),0))),0)</f>
        <v>0</v>
      </c>
      <c r="AG31">
        <f>IF((gamma!AG31),IF(VLOOKUP(AG$1,main!$A$3:$I$56,7,FALSE)=VLOOKUP($A31,main!$A$3:$I$56,8,FALSE),VLOOKUP(AG$1,main!$A$3:$I$56,4,FALSE),VLOOKUP(AG$1,main!$A$3:$I$56,4,FALSE)+VLOOKUP($A31,main!$A$3:$I$56,4,FALSE)+(VLOOKUP(VLOOKUP(AG$1,main!$A$3:$I$56,8,FALSE),main!$K$19:$O$22,MATCH(VLOOKUP($A31,main!$A$3:$I$56,7,FALSE),main!$K$18:$O$18,0),0))),0)</f>
        <v>0</v>
      </c>
      <c r="AH31">
        <f>IF((gamma!AH31),IF(VLOOKUP(AH$1,main!$A$3:$I$56,7,FALSE)=VLOOKUP($A31,main!$A$3:$I$56,8,FALSE),VLOOKUP(AH$1,main!$A$3:$I$56,4,FALSE),VLOOKUP(AH$1,main!$A$3:$I$56,4,FALSE)+VLOOKUP($A31,main!$A$3:$I$56,4,FALSE)+(VLOOKUP(VLOOKUP(AH$1,main!$A$3:$I$56,8,FALSE),main!$K$19:$O$22,MATCH(VLOOKUP($A31,main!$A$3:$I$56,7,FALSE),main!$K$18:$O$18,0),0))),0)</f>
        <v>0</v>
      </c>
      <c r="AI31">
        <f>IF((gamma!AI31),IF(VLOOKUP(AI$1,main!$A$3:$I$56,7,FALSE)=VLOOKUP($A31,main!$A$3:$I$56,8,FALSE),VLOOKUP(AI$1,main!$A$3:$I$56,4,FALSE),VLOOKUP(AI$1,main!$A$3:$I$56,4,FALSE)+VLOOKUP($A31,main!$A$3:$I$56,4,FALSE)+(VLOOKUP(VLOOKUP(AI$1,main!$A$3:$I$56,8,FALSE),main!$K$19:$O$22,MATCH(VLOOKUP($A31,main!$A$3:$I$56,7,FALSE),main!$K$18:$O$18,0),0))),0)</f>
        <v>0</v>
      </c>
      <c r="AJ31">
        <f>IF((gamma!AJ31),IF(VLOOKUP(AJ$1,main!$A$3:$I$56,7,FALSE)=VLOOKUP($A31,main!$A$3:$I$56,8,FALSE),VLOOKUP(AJ$1,main!$A$3:$I$56,4,FALSE),VLOOKUP(AJ$1,main!$A$3:$I$56,4,FALSE)+VLOOKUP($A31,main!$A$3:$I$56,4,FALSE)+(VLOOKUP(VLOOKUP(AJ$1,main!$A$3:$I$56,8,FALSE),main!$K$19:$O$22,MATCH(VLOOKUP($A31,main!$A$3:$I$56,7,FALSE),main!$K$18:$O$18,0),0))),0)</f>
        <v>0</v>
      </c>
      <c r="AK31">
        <f>IF((gamma!AK31),IF(VLOOKUP(AK$1,main!$A$3:$I$56,7,FALSE)=VLOOKUP($A31,main!$A$3:$I$56,8,FALSE),VLOOKUP(AK$1,main!$A$3:$I$56,4,FALSE),VLOOKUP(AK$1,main!$A$3:$I$56,4,FALSE)+VLOOKUP($A31,main!$A$3:$I$56,4,FALSE)+(VLOOKUP(VLOOKUP(AK$1,main!$A$3:$I$56,8,FALSE),main!$K$19:$O$22,MATCH(VLOOKUP($A31,main!$A$3:$I$56,7,FALSE),main!$K$18:$O$18,0),0))),0)</f>
        <v>140</v>
      </c>
      <c r="AL31">
        <f>IF((gamma!AL31),IF(VLOOKUP(AL$1,main!$A$3:$I$56,7,FALSE)=VLOOKUP($A31,main!$A$3:$I$56,8,FALSE),VLOOKUP(AL$1,main!$A$3:$I$56,4,FALSE),VLOOKUP(AL$1,main!$A$3:$I$56,4,FALSE)+VLOOKUP($A31,main!$A$3:$I$56,4,FALSE)+(VLOOKUP(VLOOKUP(AL$1,main!$A$3:$I$56,8,FALSE),main!$K$19:$O$22,MATCH(VLOOKUP($A31,main!$A$3:$I$56,7,FALSE),main!$K$18:$O$18,0),0))),0)</f>
        <v>0</v>
      </c>
      <c r="AM31">
        <f>IF((gamma!AM31),IF(VLOOKUP(AM$1,main!$A$3:$I$56,7,FALSE)=VLOOKUP($A31,main!$A$3:$I$56,8,FALSE),VLOOKUP(AM$1,main!$A$3:$I$56,4,FALSE),VLOOKUP(AM$1,main!$A$3:$I$56,4,FALSE)+VLOOKUP($A31,main!$A$3:$I$56,4,FALSE)+(VLOOKUP(VLOOKUP(AM$1,main!$A$3:$I$56,8,FALSE),main!$K$19:$O$22,MATCH(VLOOKUP($A31,main!$A$3:$I$56,7,FALSE),main!$K$18:$O$18,0),0))),0)</f>
        <v>0</v>
      </c>
      <c r="AN31">
        <f>IF((gamma!AN31),IF(VLOOKUP(AN$1,main!$A$3:$I$56,7,FALSE)=VLOOKUP($A31,main!$A$3:$I$56,8,FALSE),VLOOKUP(AN$1,main!$A$3:$I$56,4,FALSE),VLOOKUP(AN$1,main!$A$3:$I$56,4,FALSE)+VLOOKUP($A31,main!$A$3:$I$56,4,FALSE)+(VLOOKUP(VLOOKUP(AN$1,main!$A$3:$I$56,8,FALSE),main!$K$19:$O$22,MATCH(VLOOKUP($A31,main!$A$3:$I$56,7,FALSE),main!$K$18:$O$18,0),0))),0)</f>
        <v>0</v>
      </c>
      <c r="AO31">
        <f>IF((gamma!AO31),IF(VLOOKUP(AO$1,main!$A$3:$I$56,7,FALSE)=VLOOKUP($A31,main!$A$3:$I$56,8,FALSE),VLOOKUP(AO$1,main!$A$3:$I$56,4,FALSE),VLOOKUP(AO$1,main!$A$3:$I$56,4,FALSE)+VLOOKUP($A31,main!$A$3:$I$56,4,FALSE)+(VLOOKUP(VLOOKUP(AO$1,main!$A$3:$I$56,8,FALSE),main!$K$19:$O$22,MATCH(VLOOKUP($A31,main!$A$3:$I$56,7,FALSE),main!$K$18:$O$18,0),0))),0)</f>
        <v>130</v>
      </c>
      <c r="AP31">
        <f>IF((gamma!AP31),IF(VLOOKUP(AP$1,main!$A$3:$I$56,7,FALSE)=VLOOKUP($A31,main!$A$3:$I$56,8,FALSE),VLOOKUP(AP$1,main!$A$3:$I$56,4,FALSE),VLOOKUP(AP$1,main!$A$3:$I$56,4,FALSE)+VLOOKUP($A31,main!$A$3:$I$56,4,FALSE)+(VLOOKUP(VLOOKUP(AP$1,main!$A$3:$I$56,8,FALSE),main!$K$19:$O$22,MATCH(VLOOKUP($A31,main!$A$3:$I$56,7,FALSE),main!$K$18:$O$18,0),0))),0)</f>
        <v>0</v>
      </c>
      <c r="AQ31">
        <f>IF((gamma!AQ31),IF(VLOOKUP(AQ$1,main!$A$3:$I$56,7,FALSE)=VLOOKUP($A31,main!$A$3:$I$56,8,FALSE),VLOOKUP(AQ$1,main!$A$3:$I$56,4,FALSE),VLOOKUP(AQ$1,main!$A$3:$I$56,4,FALSE)+VLOOKUP($A31,main!$A$3:$I$56,4,FALSE)+(VLOOKUP(VLOOKUP(AQ$1,main!$A$3:$I$56,8,FALSE),main!$K$19:$O$22,MATCH(VLOOKUP($A31,main!$A$3:$I$56,7,FALSE),main!$K$18:$O$18,0),0))),0)</f>
        <v>0</v>
      </c>
      <c r="AR31">
        <f>IF((gamma!AR31),IF(VLOOKUP(AR$1,main!$A$3:$I$56,7,FALSE)=VLOOKUP($A31,main!$A$3:$I$56,8,FALSE),VLOOKUP(AR$1,main!$A$3:$I$56,4,FALSE),VLOOKUP(AR$1,main!$A$3:$I$56,4,FALSE)+VLOOKUP($A31,main!$A$3:$I$56,4,FALSE)+(VLOOKUP(VLOOKUP(AR$1,main!$A$3:$I$56,8,FALSE),main!$K$19:$O$22,MATCH(VLOOKUP($A31,main!$A$3:$I$56,7,FALSE),main!$K$18:$O$18,0),0))),0)</f>
        <v>0</v>
      </c>
      <c r="AS31">
        <f>IF((gamma!AS31),IF(VLOOKUP(AS$1,main!$A$3:$I$56,7,FALSE)=VLOOKUP($A31,main!$A$3:$I$56,8,FALSE),VLOOKUP(AS$1,main!$A$3:$I$56,4,FALSE),VLOOKUP(AS$1,main!$A$3:$I$56,4,FALSE)+VLOOKUP($A31,main!$A$3:$I$56,4,FALSE)+(VLOOKUP(VLOOKUP(AS$1,main!$A$3:$I$56,8,FALSE),main!$K$19:$O$22,MATCH(VLOOKUP($A31,main!$A$3:$I$56,7,FALSE),main!$K$18:$O$18,0),0))),0)</f>
        <v>0</v>
      </c>
      <c r="AT31">
        <f>IF((gamma!AT31),IF(VLOOKUP(AT$1,main!$A$3:$I$56,7,FALSE)=VLOOKUP($A31,main!$A$3:$I$56,8,FALSE),VLOOKUP(AT$1,main!$A$3:$I$56,4,FALSE),VLOOKUP(AT$1,main!$A$3:$I$56,4,FALSE)+VLOOKUP($A31,main!$A$3:$I$56,4,FALSE)+(VLOOKUP(VLOOKUP(AT$1,main!$A$3:$I$56,8,FALSE),main!$K$19:$O$22,MATCH(VLOOKUP($A31,main!$A$3:$I$56,7,FALSE),main!$K$18:$O$18,0),0))),0)</f>
        <v>0</v>
      </c>
      <c r="AU31">
        <f>IF((gamma!AU31),IF(VLOOKUP(AU$1,main!$A$3:$I$56,7,FALSE)=VLOOKUP($A31,main!$A$3:$I$56,8,FALSE),VLOOKUP(AU$1,main!$A$3:$I$56,4,FALSE),VLOOKUP(AU$1,main!$A$3:$I$56,4,FALSE)+VLOOKUP($A31,main!$A$3:$I$56,4,FALSE)+(VLOOKUP(VLOOKUP(AU$1,main!$A$3:$I$56,8,FALSE),main!$K$19:$O$22,MATCH(VLOOKUP($A31,main!$A$3:$I$56,7,FALSE),main!$K$18:$O$18,0),0))),0)</f>
        <v>0</v>
      </c>
      <c r="AV31">
        <f>IF((gamma!AV31),IF(VLOOKUP(AV$1,main!$A$3:$I$56,7,FALSE)=VLOOKUP($A31,main!$A$3:$I$56,8,FALSE),VLOOKUP(AV$1,main!$A$3:$I$56,4,FALSE),VLOOKUP(AV$1,main!$A$3:$I$56,4,FALSE)+VLOOKUP($A31,main!$A$3:$I$56,4,FALSE)+(VLOOKUP(VLOOKUP(AV$1,main!$A$3:$I$56,8,FALSE),main!$K$19:$O$22,MATCH(VLOOKUP($A31,main!$A$3:$I$56,7,FALSE),main!$K$18:$O$18,0),0))),0)</f>
        <v>0</v>
      </c>
      <c r="AW31">
        <f>IF((gamma!AW31),IF(VLOOKUP(AW$1,main!$A$3:$I$56,7,FALSE)=VLOOKUP($A31,main!$A$3:$I$56,8,FALSE),VLOOKUP(AW$1,main!$A$3:$I$56,4,FALSE),VLOOKUP(AW$1,main!$A$3:$I$56,4,FALSE)+VLOOKUP($A31,main!$A$3:$I$56,4,FALSE)+(VLOOKUP(VLOOKUP(AW$1,main!$A$3:$I$56,8,FALSE),main!$K$19:$O$22,MATCH(VLOOKUP($A31,main!$A$3:$I$56,7,FALSE),main!$K$18:$O$18,0),0))),0)</f>
        <v>0</v>
      </c>
      <c r="AX31">
        <f>IF((gamma!AX31),IF(VLOOKUP(AX$1,main!$A$3:$I$56,7,FALSE)=VLOOKUP($A31,main!$A$3:$I$56,8,FALSE),VLOOKUP(AX$1,main!$A$3:$I$56,4,FALSE),VLOOKUP(AX$1,main!$A$3:$I$56,4,FALSE)+VLOOKUP($A31,main!$A$3:$I$56,4,FALSE)+(VLOOKUP(VLOOKUP(AX$1,main!$A$3:$I$56,8,FALSE),main!$K$19:$O$22,MATCH(VLOOKUP($A31,main!$A$3:$I$56,7,FALSE),main!$K$18:$O$18,0),0))),0)</f>
        <v>285</v>
      </c>
      <c r="AY31">
        <f>IF((gamma!AY31),IF(VLOOKUP(AY$1,main!$A$3:$I$56,7,FALSE)=VLOOKUP($A31,main!$A$3:$I$56,8,FALSE),VLOOKUP(AY$1,main!$A$3:$I$56,4,FALSE),VLOOKUP(AY$1,main!$A$3:$I$56,4,FALSE)+VLOOKUP($A31,main!$A$3:$I$56,4,FALSE)+(VLOOKUP(VLOOKUP(AY$1,main!$A$3:$I$56,8,FALSE),main!$K$19:$O$22,MATCH(VLOOKUP($A31,main!$A$3:$I$56,7,FALSE),main!$K$18:$O$18,0),0))),0)</f>
        <v>285</v>
      </c>
      <c r="AZ31">
        <f>IF((gamma!AZ31),IF(VLOOKUP(AZ$1,main!$A$3:$I$56,7,FALSE)=VLOOKUP($A31,main!$A$3:$I$56,8,FALSE),VLOOKUP(AZ$1,main!$A$3:$I$56,4,FALSE),VLOOKUP(AZ$1,main!$A$3:$I$56,4,FALSE)+VLOOKUP($A31,main!$A$3:$I$56,4,FALSE)+(VLOOKUP(VLOOKUP(AZ$1,main!$A$3:$I$56,8,FALSE),main!$K$19:$O$22,MATCH(VLOOKUP($A31,main!$A$3:$I$56,7,FALSE),main!$K$18:$O$18,0),0))),0)</f>
        <v>0</v>
      </c>
      <c r="BA31">
        <f>IF((gamma!BA31),IF(VLOOKUP(BA$1,main!$A$3:$I$56,7,FALSE)=VLOOKUP($A31,main!$A$3:$I$56,8,FALSE),VLOOKUP(BA$1,main!$A$3:$I$56,4,FALSE),VLOOKUP(BA$1,main!$A$3:$I$56,4,FALSE)+VLOOKUP($A31,main!$A$3:$I$56,4,FALSE)+(VLOOKUP(VLOOKUP(BA$1,main!$A$3:$I$56,8,FALSE),main!$K$19:$O$22,MATCH(VLOOKUP($A31,main!$A$3:$I$56,7,FALSE),main!$K$18:$O$18,0),0))),0)</f>
        <v>0</v>
      </c>
      <c r="BB31">
        <f>IF((gamma!BB31),IF(VLOOKUP(BB$1,main!$A$3:$I$56,7,FALSE)=VLOOKUP($A31,main!$A$3:$I$56,8,FALSE),VLOOKUP(BB$1,main!$A$3:$I$56,4,FALSE),VLOOKUP(BB$1,main!$A$3:$I$56,4,FALSE)+VLOOKUP($A31,main!$A$3:$I$56,4,FALSE)+(VLOOKUP(VLOOKUP(BB$1,main!$A$3:$I$56,8,FALSE),main!$K$19:$O$22,MATCH(VLOOKUP($A31,main!$A$3:$I$56,7,FALSE),main!$K$18:$O$18,0),0))),0)</f>
        <v>0</v>
      </c>
      <c r="BC31">
        <f>IF((gamma!BC31),IF(VLOOKUP(BC$1,main!$A$3:$I$56,7,FALSE)=VLOOKUP($A31,main!$A$3:$I$56,8,FALSE),VLOOKUP(BC$1,main!$A$3:$I$56,4,FALSE),VLOOKUP(BC$1,main!$A$3:$I$56,4,FALSE)+VLOOKUP($A31,main!$A$3:$I$56,4,FALSE)+(VLOOKUP(VLOOKUP(BC$1,main!$A$3:$I$56,8,FALSE),main!$K$19:$O$22,MATCH(VLOOKUP($A31,main!$A$3:$I$56,7,FALSE),main!$K$18:$O$18,0),0))),0)</f>
        <v>0</v>
      </c>
      <c r="BD31">
        <f>IF((gamma!BD31),IF(VLOOKUP(BD$1,main!$A$3:$I$56,7,FALSE)=VLOOKUP($A31,main!$A$3:$I$56,8,FALSE),VLOOKUP(BD$1,main!$A$3:$I$56,4,FALSE),VLOOKUP(BD$1,main!$A$3:$I$56,4,FALSE)+VLOOKUP($A31,main!$A$3:$I$56,4,FALSE)+(VLOOKUP(VLOOKUP(BD$1,main!$A$3:$I$56,8,FALSE),main!$K$19:$O$22,MATCH(VLOOKUP($A31,main!$A$3:$I$56,7,FALSE),main!$K$18:$O$18,0),0))),0)</f>
        <v>283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>
        <f t="shared" si="0"/>
        <v>30</v>
      </c>
      <c r="B32">
        <v>0</v>
      </c>
      <c r="C32">
        <f>IF((gamma!C32),IF(VLOOKUP(C$1,main!$A$3:$I$56,7,FALSE)=VLOOKUP($A32,main!$A$3:$I$56,8,FALSE),VLOOKUP(C$1,main!$A$3:$I$56,4,FALSE),VLOOKUP(C$1,main!$A$3:$I$56,4,FALSE)+VLOOKUP($A32,main!$A$3:$I$56,4,FALSE)+(VLOOKUP(VLOOKUP(C$1,main!$A$3:$I$56,8,FALSE),main!$K$19:$O$22,MATCH(VLOOKUP($A32,main!$A$3:$I$56,7,FALSE),main!$K$18:$O$18,0),0))),0)</f>
        <v>0</v>
      </c>
      <c r="D32">
        <f>IF((gamma!D32),IF(VLOOKUP(D$1,main!$A$3:$I$56,7,FALSE)=VLOOKUP($A32,main!$A$3:$I$56,8,FALSE),VLOOKUP(D$1,main!$A$3:$I$56,4,FALSE),VLOOKUP(D$1,main!$A$3:$I$56,4,FALSE)+VLOOKUP($A32,main!$A$3:$I$56,4,FALSE)+(VLOOKUP(VLOOKUP(D$1,main!$A$3:$I$56,8,FALSE),main!$K$19:$O$22,MATCH(VLOOKUP($A32,main!$A$3:$I$56,7,FALSE),main!$K$18:$O$18,0),0))),0)</f>
        <v>0</v>
      </c>
      <c r="E32">
        <f>IF((gamma!E32),IF(VLOOKUP(E$1,main!$A$3:$I$56,7,FALSE)=VLOOKUP($A32,main!$A$3:$I$56,8,FALSE),VLOOKUP(E$1,main!$A$3:$I$56,4,FALSE),VLOOKUP(E$1,main!$A$3:$I$56,4,FALSE)+VLOOKUP($A32,main!$A$3:$I$56,4,FALSE)+(VLOOKUP(VLOOKUP(E$1,main!$A$3:$I$56,8,FALSE),main!$K$19:$O$22,MATCH(VLOOKUP($A32,main!$A$3:$I$56,7,FALSE),main!$K$18:$O$18,0),0))),0)</f>
        <v>0</v>
      </c>
      <c r="F32">
        <f>IF((gamma!F32),IF(VLOOKUP(F$1,main!$A$3:$I$56,7,FALSE)=VLOOKUP($A32,main!$A$3:$I$56,8,FALSE),VLOOKUP(F$1,main!$A$3:$I$56,4,FALSE),VLOOKUP(F$1,main!$A$3:$I$56,4,FALSE)+VLOOKUP($A32,main!$A$3:$I$56,4,FALSE)+(VLOOKUP(VLOOKUP(F$1,main!$A$3:$I$56,8,FALSE),main!$K$19:$O$22,MATCH(VLOOKUP($A32,main!$A$3:$I$56,7,FALSE),main!$K$18:$O$18,0),0))),0)</f>
        <v>0</v>
      </c>
      <c r="G32">
        <f>IF((gamma!G32),IF(VLOOKUP(G$1,main!$A$3:$I$56,7,FALSE)=VLOOKUP($A32,main!$A$3:$I$56,8,FALSE),VLOOKUP(G$1,main!$A$3:$I$56,4,FALSE),VLOOKUP(G$1,main!$A$3:$I$56,4,FALSE)+VLOOKUP($A32,main!$A$3:$I$56,4,FALSE)+(VLOOKUP(VLOOKUP(G$1,main!$A$3:$I$56,8,FALSE),main!$K$19:$O$22,MATCH(VLOOKUP($A32,main!$A$3:$I$56,7,FALSE),main!$K$18:$O$18,0),0))),0)</f>
        <v>0</v>
      </c>
      <c r="H32">
        <f>IF((gamma!H32),IF(VLOOKUP(H$1,main!$A$3:$I$56,7,FALSE)=VLOOKUP($A32,main!$A$3:$I$56,8,FALSE),VLOOKUP(H$1,main!$A$3:$I$56,4,FALSE),VLOOKUP(H$1,main!$A$3:$I$56,4,FALSE)+VLOOKUP($A32,main!$A$3:$I$56,4,FALSE)+(VLOOKUP(VLOOKUP(H$1,main!$A$3:$I$56,8,FALSE),main!$K$19:$O$22,MATCH(VLOOKUP($A32,main!$A$3:$I$56,7,FALSE),main!$K$18:$O$18,0),0))),0)</f>
        <v>0</v>
      </c>
      <c r="I32">
        <f>IF((gamma!I32),IF(VLOOKUP(I$1,main!$A$3:$I$56,7,FALSE)=VLOOKUP($A32,main!$A$3:$I$56,8,FALSE),VLOOKUP(I$1,main!$A$3:$I$56,4,FALSE),VLOOKUP(I$1,main!$A$3:$I$56,4,FALSE)+VLOOKUP($A32,main!$A$3:$I$56,4,FALSE)+(VLOOKUP(VLOOKUP(I$1,main!$A$3:$I$56,8,FALSE),main!$K$19:$O$22,MATCH(VLOOKUP($A32,main!$A$3:$I$56,7,FALSE),main!$K$18:$O$18,0),0))),0)</f>
        <v>0</v>
      </c>
      <c r="J32">
        <f>IF((gamma!J32),IF(VLOOKUP(J$1,main!$A$3:$I$56,7,FALSE)=VLOOKUP($A32,main!$A$3:$I$56,8,FALSE),VLOOKUP(J$1,main!$A$3:$I$56,4,FALSE),VLOOKUP(J$1,main!$A$3:$I$56,4,FALSE)+VLOOKUP($A32,main!$A$3:$I$56,4,FALSE)+(VLOOKUP(VLOOKUP(J$1,main!$A$3:$I$56,8,FALSE),main!$K$19:$O$22,MATCH(VLOOKUP($A32,main!$A$3:$I$56,7,FALSE),main!$K$18:$O$18,0),0))),0)</f>
        <v>265</v>
      </c>
      <c r="K32">
        <f>IF((gamma!K32),IF(VLOOKUP(K$1,main!$A$3:$I$56,7,FALSE)=VLOOKUP($A32,main!$A$3:$I$56,8,FALSE),VLOOKUP(K$1,main!$A$3:$I$56,4,FALSE),VLOOKUP(K$1,main!$A$3:$I$56,4,FALSE)+VLOOKUP($A32,main!$A$3:$I$56,4,FALSE)+(VLOOKUP(VLOOKUP(K$1,main!$A$3:$I$56,8,FALSE),main!$K$19:$O$22,MATCH(VLOOKUP($A32,main!$A$3:$I$56,7,FALSE),main!$K$18:$O$18,0),0))),0)</f>
        <v>0</v>
      </c>
      <c r="L32">
        <f>IF((gamma!L32),IF(VLOOKUP(L$1,main!$A$3:$I$56,7,FALSE)=VLOOKUP($A32,main!$A$3:$I$56,8,FALSE),VLOOKUP(L$1,main!$A$3:$I$56,4,FALSE),VLOOKUP(L$1,main!$A$3:$I$56,4,FALSE)+VLOOKUP($A32,main!$A$3:$I$56,4,FALSE)+(VLOOKUP(VLOOKUP(L$1,main!$A$3:$I$56,8,FALSE),main!$K$19:$O$22,MATCH(VLOOKUP($A32,main!$A$3:$I$56,7,FALSE),main!$K$18:$O$18,0),0))),0)</f>
        <v>0</v>
      </c>
      <c r="M32">
        <f>IF((gamma!M32),IF(VLOOKUP(M$1,main!$A$3:$I$56,7,FALSE)=VLOOKUP($A32,main!$A$3:$I$56,8,FALSE),VLOOKUP(M$1,main!$A$3:$I$56,4,FALSE),VLOOKUP(M$1,main!$A$3:$I$56,4,FALSE)+VLOOKUP($A32,main!$A$3:$I$56,4,FALSE)+(VLOOKUP(VLOOKUP(M$1,main!$A$3:$I$56,8,FALSE),main!$K$19:$O$22,MATCH(VLOOKUP($A32,main!$A$3:$I$56,7,FALSE),main!$K$18:$O$18,0),0))),0)</f>
        <v>0</v>
      </c>
      <c r="N32">
        <f>IF((gamma!N32),IF(VLOOKUP(N$1,main!$A$3:$I$56,7,FALSE)=VLOOKUP($A32,main!$A$3:$I$56,8,FALSE),VLOOKUP(N$1,main!$A$3:$I$56,4,FALSE),VLOOKUP(N$1,main!$A$3:$I$56,4,FALSE)+VLOOKUP($A32,main!$A$3:$I$56,4,FALSE)+(VLOOKUP(VLOOKUP(N$1,main!$A$3:$I$56,8,FALSE),main!$K$19:$O$22,MATCH(VLOOKUP($A32,main!$A$3:$I$56,7,FALSE),main!$K$18:$O$18,0),0))),0)</f>
        <v>0</v>
      </c>
      <c r="O32">
        <f>IF((gamma!O32),IF(VLOOKUP(O$1,main!$A$3:$I$56,7,FALSE)=VLOOKUP($A32,main!$A$3:$I$56,8,FALSE),VLOOKUP(O$1,main!$A$3:$I$56,4,FALSE),VLOOKUP(O$1,main!$A$3:$I$56,4,FALSE)+VLOOKUP($A32,main!$A$3:$I$56,4,FALSE)+(VLOOKUP(VLOOKUP(O$1,main!$A$3:$I$56,8,FALSE),main!$K$19:$O$22,MATCH(VLOOKUP($A32,main!$A$3:$I$56,7,FALSE),main!$K$18:$O$18,0),0))),0)</f>
        <v>298</v>
      </c>
      <c r="P32">
        <f>IF((gamma!P32),IF(VLOOKUP(P$1,main!$A$3:$I$56,7,FALSE)=VLOOKUP($A32,main!$A$3:$I$56,8,FALSE),VLOOKUP(P$1,main!$A$3:$I$56,4,FALSE),VLOOKUP(P$1,main!$A$3:$I$56,4,FALSE)+VLOOKUP($A32,main!$A$3:$I$56,4,FALSE)+(VLOOKUP(VLOOKUP(P$1,main!$A$3:$I$56,8,FALSE),main!$K$19:$O$22,MATCH(VLOOKUP($A32,main!$A$3:$I$56,7,FALSE),main!$K$18:$O$18,0),0))),0)</f>
        <v>0</v>
      </c>
      <c r="Q32">
        <f>IF((gamma!Q32),IF(VLOOKUP(Q$1,main!$A$3:$I$56,7,FALSE)=VLOOKUP($A32,main!$A$3:$I$56,8,FALSE),VLOOKUP(Q$1,main!$A$3:$I$56,4,FALSE),VLOOKUP(Q$1,main!$A$3:$I$56,4,FALSE)+VLOOKUP($A32,main!$A$3:$I$56,4,FALSE)+(VLOOKUP(VLOOKUP(Q$1,main!$A$3:$I$56,8,FALSE),main!$K$19:$O$22,MATCH(VLOOKUP($A32,main!$A$3:$I$56,7,FALSE),main!$K$18:$O$18,0),0))),0)</f>
        <v>0</v>
      </c>
      <c r="R32">
        <f>IF((gamma!R32),IF(VLOOKUP(R$1,main!$A$3:$I$56,7,FALSE)=VLOOKUP($A32,main!$A$3:$I$56,8,FALSE),VLOOKUP(R$1,main!$A$3:$I$56,4,FALSE),VLOOKUP(R$1,main!$A$3:$I$56,4,FALSE)+VLOOKUP($A32,main!$A$3:$I$56,4,FALSE)+(VLOOKUP(VLOOKUP(R$1,main!$A$3:$I$56,8,FALSE),main!$K$19:$O$22,MATCH(VLOOKUP($A32,main!$A$3:$I$56,7,FALSE),main!$K$18:$O$18,0),0))),0)</f>
        <v>0</v>
      </c>
      <c r="S32">
        <f>IF((gamma!S32),IF(VLOOKUP(S$1,main!$A$3:$I$56,7,FALSE)=VLOOKUP($A32,main!$A$3:$I$56,8,FALSE),VLOOKUP(S$1,main!$A$3:$I$56,4,FALSE),VLOOKUP(S$1,main!$A$3:$I$56,4,FALSE)+VLOOKUP($A32,main!$A$3:$I$56,4,FALSE)+(VLOOKUP(VLOOKUP(S$1,main!$A$3:$I$56,8,FALSE),main!$K$19:$O$22,MATCH(VLOOKUP($A32,main!$A$3:$I$56,7,FALSE),main!$K$18:$O$18,0),0))),0)</f>
        <v>0</v>
      </c>
      <c r="T32">
        <f>IF((gamma!T32),IF(VLOOKUP(T$1,main!$A$3:$I$56,7,FALSE)=VLOOKUP($A32,main!$A$3:$I$56,8,FALSE),VLOOKUP(T$1,main!$A$3:$I$56,4,FALSE),VLOOKUP(T$1,main!$A$3:$I$56,4,FALSE)+VLOOKUP($A32,main!$A$3:$I$56,4,FALSE)+(VLOOKUP(VLOOKUP(T$1,main!$A$3:$I$56,8,FALSE),main!$K$19:$O$22,MATCH(VLOOKUP($A32,main!$A$3:$I$56,7,FALSE),main!$K$18:$O$18,0),0))),0)</f>
        <v>0</v>
      </c>
      <c r="U32">
        <f>IF((gamma!U32),IF(VLOOKUP(U$1,main!$A$3:$I$56,7,FALSE)=VLOOKUP($A32,main!$A$3:$I$56,8,FALSE),VLOOKUP(U$1,main!$A$3:$I$56,4,FALSE),VLOOKUP(U$1,main!$A$3:$I$56,4,FALSE)+VLOOKUP($A32,main!$A$3:$I$56,4,FALSE)+(VLOOKUP(VLOOKUP(U$1,main!$A$3:$I$56,8,FALSE),main!$K$19:$O$22,MATCH(VLOOKUP($A32,main!$A$3:$I$56,7,FALSE),main!$K$18:$O$18,0),0))),0)</f>
        <v>0</v>
      </c>
      <c r="V32">
        <f>IF((gamma!V32),IF(VLOOKUP(V$1,main!$A$3:$I$56,7,FALSE)=VLOOKUP($A32,main!$A$3:$I$56,8,FALSE),VLOOKUP(V$1,main!$A$3:$I$56,4,FALSE),VLOOKUP(V$1,main!$A$3:$I$56,4,FALSE)+VLOOKUP($A32,main!$A$3:$I$56,4,FALSE)+(VLOOKUP(VLOOKUP(V$1,main!$A$3:$I$56,8,FALSE),main!$K$19:$O$22,MATCH(VLOOKUP($A32,main!$A$3:$I$56,7,FALSE),main!$K$18:$O$18,0),0))),0)</f>
        <v>0</v>
      </c>
      <c r="W32">
        <f>IF((gamma!W32),IF(VLOOKUP(W$1,main!$A$3:$I$56,7,FALSE)=VLOOKUP($A32,main!$A$3:$I$56,8,FALSE),VLOOKUP(W$1,main!$A$3:$I$56,4,FALSE),VLOOKUP(W$1,main!$A$3:$I$56,4,FALSE)+VLOOKUP($A32,main!$A$3:$I$56,4,FALSE)+(VLOOKUP(VLOOKUP(W$1,main!$A$3:$I$56,8,FALSE),main!$K$19:$O$22,MATCH(VLOOKUP($A32,main!$A$3:$I$56,7,FALSE),main!$K$18:$O$18,0),0))),0)</f>
        <v>0</v>
      </c>
      <c r="X32">
        <f>IF((gamma!X32),IF(VLOOKUP(X$1,main!$A$3:$I$56,7,FALSE)=VLOOKUP($A32,main!$A$3:$I$56,8,FALSE),VLOOKUP(X$1,main!$A$3:$I$56,4,FALSE),VLOOKUP(X$1,main!$A$3:$I$56,4,FALSE)+VLOOKUP($A32,main!$A$3:$I$56,4,FALSE)+(VLOOKUP(VLOOKUP(X$1,main!$A$3:$I$56,8,FALSE),main!$K$19:$O$22,MATCH(VLOOKUP($A32,main!$A$3:$I$56,7,FALSE),main!$K$18:$O$18,0),0))),0)</f>
        <v>0</v>
      </c>
      <c r="Y32">
        <f>IF((gamma!Y32),IF(VLOOKUP(Y$1,main!$A$3:$I$56,7,FALSE)=VLOOKUP($A32,main!$A$3:$I$56,8,FALSE),VLOOKUP(Y$1,main!$A$3:$I$56,4,FALSE),VLOOKUP(Y$1,main!$A$3:$I$56,4,FALSE)+VLOOKUP($A32,main!$A$3:$I$56,4,FALSE)+(VLOOKUP(VLOOKUP(Y$1,main!$A$3:$I$56,8,FALSE),main!$K$19:$O$22,MATCH(VLOOKUP($A32,main!$A$3:$I$56,7,FALSE),main!$K$18:$O$18,0),0))),0)</f>
        <v>0</v>
      </c>
      <c r="Z32">
        <f>IF((gamma!Z32),IF(VLOOKUP(Z$1,main!$A$3:$I$56,7,FALSE)=VLOOKUP($A32,main!$A$3:$I$56,8,FALSE),VLOOKUP(Z$1,main!$A$3:$I$56,4,FALSE),VLOOKUP(Z$1,main!$A$3:$I$56,4,FALSE)+VLOOKUP($A32,main!$A$3:$I$56,4,FALSE)+(VLOOKUP(VLOOKUP(Z$1,main!$A$3:$I$56,8,FALSE),main!$K$19:$O$22,MATCH(VLOOKUP($A32,main!$A$3:$I$56,7,FALSE),main!$K$18:$O$18,0),0))),0)</f>
        <v>0</v>
      </c>
      <c r="AA32">
        <f>IF((gamma!AA32),IF(VLOOKUP(AA$1,main!$A$3:$I$56,7,FALSE)=VLOOKUP($A32,main!$A$3:$I$56,8,FALSE),VLOOKUP(AA$1,main!$A$3:$I$56,4,FALSE),VLOOKUP(AA$1,main!$A$3:$I$56,4,FALSE)+VLOOKUP($A32,main!$A$3:$I$56,4,FALSE)+(VLOOKUP(VLOOKUP(AA$1,main!$A$3:$I$56,8,FALSE),main!$K$19:$O$22,MATCH(VLOOKUP($A32,main!$A$3:$I$56,7,FALSE),main!$K$18:$O$18,0),0))),0)</f>
        <v>0</v>
      </c>
      <c r="AB32">
        <f>IF((gamma!AB32),IF(VLOOKUP(AB$1,main!$A$3:$I$56,7,FALSE)=VLOOKUP($A32,main!$A$3:$I$56,8,FALSE),VLOOKUP(AB$1,main!$A$3:$I$56,4,FALSE),VLOOKUP(AB$1,main!$A$3:$I$56,4,FALSE)+VLOOKUP($A32,main!$A$3:$I$56,4,FALSE)+(VLOOKUP(VLOOKUP(AB$1,main!$A$3:$I$56,8,FALSE),main!$K$19:$O$22,MATCH(VLOOKUP($A32,main!$A$3:$I$56,7,FALSE),main!$K$18:$O$18,0),0))),0)</f>
        <v>0</v>
      </c>
      <c r="AC32">
        <f>IF((gamma!AC32),IF(VLOOKUP(AC$1,main!$A$3:$I$56,7,FALSE)=VLOOKUP($A32,main!$A$3:$I$56,8,FALSE),VLOOKUP(AC$1,main!$A$3:$I$56,4,FALSE),VLOOKUP(AC$1,main!$A$3:$I$56,4,FALSE)+VLOOKUP($A32,main!$A$3:$I$56,4,FALSE)+(VLOOKUP(VLOOKUP(AC$1,main!$A$3:$I$56,8,FALSE),main!$K$19:$O$22,MATCH(VLOOKUP($A32,main!$A$3:$I$56,7,FALSE),main!$K$18:$O$18,0),0))),0)</f>
        <v>0</v>
      </c>
      <c r="AD32">
        <f>IF((gamma!AD32),IF(VLOOKUP(AD$1,main!$A$3:$I$56,7,FALSE)=VLOOKUP($A32,main!$A$3:$I$56,8,FALSE),VLOOKUP(AD$1,main!$A$3:$I$56,4,FALSE),VLOOKUP(AD$1,main!$A$3:$I$56,4,FALSE)+VLOOKUP($A32,main!$A$3:$I$56,4,FALSE)+(VLOOKUP(VLOOKUP(AD$1,main!$A$3:$I$56,8,FALSE),main!$K$19:$O$22,MATCH(VLOOKUP($A32,main!$A$3:$I$56,7,FALSE),main!$K$18:$O$18,0),0))),0)</f>
        <v>0</v>
      </c>
      <c r="AE32">
        <f>IF((gamma!AE32),IF(VLOOKUP(AE$1,main!$A$3:$I$56,7,FALSE)=VLOOKUP($A32,main!$A$3:$I$56,8,FALSE),VLOOKUP(AE$1,main!$A$3:$I$56,4,FALSE),VLOOKUP(AE$1,main!$A$3:$I$56,4,FALSE)+VLOOKUP($A32,main!$A$3:$I$56,4,FALSE)+(VLOOKUP(VLOOKUP(AE$1,main!$A$3:$I$56,8,FALSE),main!$K$19:$O$22,MATCH(VLOOKUP($A32,main!$A$3:$I$56,7,FALSE),main!$K$18:$O$18,0),0))),0)</f>
        <v>0</v>
      </c>
      <c r="AF32">
        <f>IF((gamma!AF32),IF(VLOOKUP(AF$1,main!$A$3:$I$56,7,FALSE)=VLOOKUP($A32,main!$A$3:$I$56,8,FALSE),VLOOKUP(AF$1,main!$A$3:$I$56,4,FALSE),VLOOKUP(AF$1,main!$A$3:$I$56,4,FALSE)+VLOOKUP($A32,main!$A$3:$I$56,4,FALSE)+(VLOOKUP(VLOOKUP(AF$1,main!$A$3:$I$56,8,FALSE),main!$K$19:$O$22,MATCH(VLOOKUP($A32,main!$A$3:$I$56,7,FALSE),main!$K$18:$O$18,0),0))),0)</f>
        <v>0</v>
      </c>
      <c r="AG32">
        <f>IF((gamma!AG32),IF(VLOOKUP(AG$1,main!$A$3:$I$56,7,FALSE)=VLOOKUP($A32,main!$A$3:$I$56,8,FALSE),VLOOKUP(AG$1,main!$A$3:$I$56,4,FALSE),VLOOKUP(AG$1,main!$A$3:$I$56,4,FALSE)+VLOOKUP($A32,main!$A$3:$I$56,4,FALSE)+(VLOOKUP(VLOOKUP(AG$1,main!$A$3:$I$56,8,FALSE),main!$K$19:$O$22,MATCH(VLOOKUP($A32,main!$A$3:$I$56,7,FALSE),main!$K$18:$O$18,0),0))),0)</f>
        <v>0</v>
      </c>
      <c r="AH32">
        <f>IF((gamma!AH32),IF(VLOOKUP(AH$1,main!$A$3:$I$56,7,FALSE)=VLOOKUP($A32,main!$A$3:$I$56,8,FALSE),VLOOKUP(AH$1,main!$A$3:$I$56,4,FALSE),VLOOKUP(AH$1,main!$A$3:$I$56,4,FALSE)+VLOOKUP($A32,main!$A$3:$I$56,4,FALSE)+(VLOOKUP(VLOOKUP(AH$1,main!$A$3:$I$56,8,FALSE),main!$K$19:$O$22,MATCH(VLOOKUP($A32,main!$A$3:$I$56,7,FALSE),main!$K$18:$O$18,0),0))),0)</f>
        <v>0</v>
      </c>
      <c r="AI32">
        <f>IF((gamma!AI32),IF(VLOOKUP(AI$1,main!$A$3:$I$56,7,FALSE)=VLOOKUP($A32,main!$A$3:$I$56,8,FALSE),VLOOKUP(AI$1,main!$A$3:$I$56,4,FALSE),VLOOKUP(AI$1,main!$A$3:$I$56,4,FALSE)+VLOOKUP($A32,main!$A$3:$I$56,4,FALSE)+(VLOOKUP(VLOOKUP(AI$1,main!$A$3:$I$56,8,FALSE),main!$K$19:$O$22,MATCH(VLOOKUP($A32,main!$A$3:$I$56,7,FALSE),main!$K$18:$O$18,0),0))),0)</f>
        <v>0</v>
      </c>
      <c r="AJ32">
        <f>IF((gamma!AJ32),IF(VLOOKUP(AJ$1,main!$A$3:$I$56,7,FALSE)=VLOOKUP($A32,main!$A$3:$I$56,8,FALSE),VLOOKUP(AJ$1,main!$A$3:$I$56,4,FALSE),VLOOKUP(AJ$1,main!$A$3:$I$56,4,FALSE)+VLOOKUP($A32,main!$A$3:$I$56,4,FALSE)+(VLOOKUP(VLOOKUP(AJ$1,main!$A$3:$I$56,8,FALSE),main!$K$19:$O$22,MATCH(VLOOKUP($A32,main!$A$3:$I$56,7,FALSE),main!$K$18:$O$18,0),0))),0)</f>
        <v>0</v>
      </c>
      <c r="AK32">
        <f>IF((gamma!AK32),IF(VLOOKUP(AK$1,main!$A$3:$I$56,7,FALSE)=VLOOKUP($A32,main!$A$3:$I$56,8,FALSE),VLOOKUP(AK$1,main!$A$3:$I$56,4,FALSE),VLOOKUP(AK$1,main!$A$3:$I$56,4,FALSE)+VLOOKUP($A32,main!$A$3:$I$56,4,FALSE)+(VLOOKUP(VLOOKUP(AK$1,main!$A$3:$I$56,8,FALSE),main!$K$19:$O$22,MATCH(VLOOKUP($A32,main!$A$3:$I$56,7,FALSE),main!$K$18:$O$18,0),0))),0)</f>
        <v>0</v>
      </c>
      <c r="AL32">
        <f>IF((gamma!AL32),IF(VLOOKUP(AL$1,main!$A$3:$I$56,7,FALSE)=VLOOKUP($A32,main!$A$3:$I$56,8,FALSE),VLOOKUP(AL$1,main!$A$3:$I$56,4,FALSE),VLOOKUP(AL$1,main!$A$3:$I$56,4,FALSE)+VLOOKUP($A32,main!$A$3:$I$56,4,FALSE)+(VLOOKUP(VLOOKUP(AL$1,main!$A$3:$I$56,8,FALSE),main!$K$19:$O$22,MATCH(VLOOKUP($A32,main!$A$3:$I$56,7,FALSE),main!$K$18:$O$18,0),0))),0)</f>
        <v>0</v>
      </c>
      <c r="AM32">
        <f>IF((gamma!AM32),IF(VLOOKUP(AM$1,main!$A$3:$I$56,7,FALSE)=VLOOKUP($A32,main!$A$3:$I$56,8,FALSE),VLOOKUP(AM$1,main!$A$3:$I$56,4,FALSE),VLOOKUP(AM$1,main!$A$3:$I$56,4,FALSE)+VLOOKUP($A32,main!$A$3:$I$56,4,FALSE)+(VLOOKUP(VLOOKUP(AM$1,main!$A$3:$I$56,8,FALSE),main!$K$19:$O$22,MATCH(VLOOKUP($A32,main!$A$3:$I$56,7,FALSE),main!$K$18:$O$18,0),0))),0)</f>
        <v>0</v>
      </c>
      <c r="AN32">
        <f>IF((gamma!AN32),IF(VLOOKUP(AN$1,main!$A$3:$I$56,7,FALSE)=VLOOKUP($A32,main!$A$3:$I$56,8,FALSE),VLOOKUP(AN$1,main!$A$3:$I$56,4,FALSE),VLOOKUP(AN$1,main!$A$3:$I$56,4,FALSE)+VLOOKUP($A32,main!$A$3:$I$56,4,FALSE)+(VLOOKUP(VLOOKUP(AN$1,main!$A$3:$I$56,8,FALSE),main!$K$19:$O$22,MATCH(VLOOKUP($A32,main!$A$3:$I$56,7,FALSE),main!$K$18:$O$18,0),0))),0)</f>
        <v>0</v>
      </c>
      <c r="AO32">
        <f>IF((gamma!AO32),IF(VLOOKUP(AO$1,main!$A$3:$I$56,7,FALSE)=VLOOKUP($A32,main!$A$3:$I$56,8,FALSE),VLOOKUP(AO$1,main!$A$3:$I$56,4,FALSE),VLOOKUP(AO$1,main!$A$3:$I$56,4,FALSE)+VLOOKUP($A32,main!$A$3:$I$56,4,FALSE)+(VLOOKUP(VLOOKUP(AO$1,main!$A$3:$I$56,8,FALSE),main!$K$19:$O$22,MATCH(VLOOKUP($A32,main!$A$3:$I$56,7,FALSE),main!$K$18:$O$18,0),0))),0)</f>
        <v>0</v>
      </c>
      <c r="AP32">
        <f>IF((gamma!AP32),IF(VLOOKUP(AP$1,main!$A$3:$I$56,7,FALSE)=VLOOKUP($A32,main!$A$3:$I$56,8,FALSE),VLOOKUP(AP$1,main!$A$3:$I$56,4,FALSE),VLOOKUP(AP$1,main!$A$3:$I$56,4,FALSE)+VLOOKUP($A32,main!$A$3:$I$56,4,FALSE)+(VLOOKUP(VLOOKUP(AP$1,main!$A$3:$I$56,8,FALSE),main!$K$19:$O$22,MATCH(VLOOKUP($A32,main!$A$3:$I$56,7,FALSE),main!$K$18:$O$18,0),0))),0)</f>
        <v>0</v>
      </c>
      <c r="AQ32">
        <f>IF((gamma!AQ32),IF(VLOOKUP(AQ$1,main!$A$3:$I$56,7,FALSE)=VLOOKUP($A32,main!$A$3:$I$56,8,FALSE),VLOOKUP(AQ$1,main!$A$3:$I$56,4,FALSE),VLOOKUP(AQ$1,main!$A$3:$I$56,4,FALSE)+VLOOKUP($A32,main!$A$3:$I$56,4,FALSE)+(VLOOKUP(VLOOKUP(AQ$1,main!$A$3:$I$56,8,FALSE),main!$K$19:$O$22,MATCH(VLOOKUP($A32,main!$A$3:$I$56,7,FALSE),main!$K$18:$O$18,0),0))),0)</f>
        <v>0</v>
      </c>
      <c r="AR32">
        <f>IF((gamma!AR32),IF(VLOOKUP(AR$1,main!$A$3:$I$56,7,FALSE)=VLOOKUP($A32,main!$A$3:$I$56,8,FALSE),VLOOKUP(AR$1,main!$A$3:$I$56,4,FALSE),VLOOKUP(AR$1,main!$A$3:$I$56,4,FALSE)+VLOOKUP($A32,main!$A$3:$I$56,4,FALSE)+(VLOOKUP(VLOOKUP(AR$1,main!$A$3:$I$56,8,FALSE),main!$K$19:$O$22,MATCH(VLOOKUP($A32,main!$A$3:$I$56,7,FALSE),main!$K$18:$O$18,0),0))),0)</f>
        <v>0</v>
      </c>
      <c r="AS32">
        <f>IF((gamma!AS32),IF(VLOOKUP(AS$1,main!$A$3:$I$56,7,FALSE)=VLOOKUP($A32,main!$A$3:$I$56,8,FALSE),VLOOKUP(AS$1,main!$A$3:$I$56,4,FALSE),VLOOKUP(AS$1,main!$A$3:$I$56,4,FALSE)+VLOOKUP($A32,main!$A$3:$I$56,4,FALSE)+(VLOOKUP(VLOOKUP(AS$1,main!$A$3:$I$56,8,FALSE),main!$K$19:$O$22,MATCH(VLOOKUP($A32,main!$A$3:$I$56,7,FALSE),main!$K$18:$O$18,0),0))),0)</f>
        <v>0</v>
      </c>
      <c r="AT32">
        <f>IF((gamma!AT32),IF(VLOOKUP(AT$1,main!$A$3:$I$56,7,FALSE)=VLOOKUP($A32,main!$A$3:$I$56,8,FALSE),VLOOKUP(AT$1,main!$A$3:$I$56,4,FALSE),VLOOKUP(AT$1,main!$A$3:$I$56,4,FALSE)+VLOOKUP($A32,main!$A$3:$I$56,4,FALSE)+(VLOOKUP(VLOOKUP(AT$1,main!$A$3:$I$56,8,FALSE),main!$K$19:$O$22,MATCH(VLOOKUP($A32,main!$A$3:$I$56,7,FALSE),main!$K$18:$O$18,0),0))),0)</f>
        <v>0</v>
      </c>
      <c r="AU32">
        <f>IF((gamma!AU32),IF(VLOOKUP(AU$1,main!$A$3:$I$56,7,FALSE)=VLOOKUP($A32,main!$A$3:$I$56,8,FALSE),VLOOKUP(AU$1,main!$A$3:$I$56,4,FALSE),VLOOKUP(AU$1,main!$A$3:$I$56,4,FALSE)+VLOOKUP($A32,main!$A$3:$I$56,4,FALSE)+(VLOOKUP(VLOOKUP(AU$1,main!$A$3:$I$56,8,FALSE),main!$K$19:$O$22,MATCH(VLOOKUP($A32,main!$A$3:$I$56,7,FALSE),main!$K$18:$O$18,0),0))),0)</f>
        <v>0</v>
      </c>
      <c r="AV32">
        <f>IF((gamma!AV32),IF(VLOOKUP(AV$1,main!$A$3:$I$56,7,FALSE)=VLOOKUP($A32,main!$A$3:$I$56,8,FALSE),VLOOKUP(AV$1,main!$A$3:$I$56,4,FALSE),VLOOKUP(AV$1,main!$A$3:$I$56,4,FALSE)+VLOOKUP($A32,main!$A$3:$I$56,4,FALSE)+(VLOOKUP(VLOOKUP(AV$1,main!$A$3:$I$56,8,FALSE),main!$K$19:$O$22,MATCH(VLOOKUP($A32,main!$A$3:$I$56,7,FALSE),main!$K$18:$O$18,0),0))),0)</f>
        <v>0</v>
      </c>
      <c r="AW32">
        <f>IF((gamma!AW32),IF(VLOOKUP(AW$1,main!$A$3:$I$56,7,FALSE)=VLOOKUP($A32,main!$A$3:$I$56,8,FALSE),VLOOKUP(AW$1,main!$A$3:$I$56,4,FALSE),VLOOKUP(AW$1,main!$A$3:$I$56,4,FALSE)+VLOOKUP($A32,main!$A$3:$I$56,4,FALSE)+(VLOOKUP(VLOOKUP(AW$1,main!$A$3:$I$56,8,FALSE),main!$K$19:$O$22,MATCH(VLOOKUP($A32,main!$A$3:$I$56,7,FALSE),main!$K$18:$O$18,0),0))),0)</f>
        <v>0</v>
      </c>
      <c r="AX32">
        <f>IF((gamma!AX32),IF(VLOOKUP(AX$1,main!$A$3:$I$56,7,FALSE)=VLOOKUP($A32,main!$A$3:$I$56,8,FALSE),VLOOKUP(AX$1,main!$A$3:$I$56,4,FALSE),VLOOKUP(AX$1,main!$A$3:$I$56,4,FALSE)+VLOOKUP($A32,main!$A$3:$I$56,4,FALSE)+(VLOOKUP(VLOOKUP(AX$1,main!$A$3:$I$56,8,FALSE),main!$K$19:$O$22,MATCH(VLOOKUP($A32,main!$A$3:$I$56,7,FALSE),main!$K$18:$O$18,0),0))),0)</f>
        <v>0</v>
      </c>
      <c r="AY32">
        <f>IF((gamma!AY32),IF(VLOOKUP(AY$1,main!$A$3:$I$56,7,FALSE)=VLOOKUP($A32,main!$A$3:$I$56,8,FALSE),VLOOKUP(AY$1,main!$A$3:$I$56,4,FALSE),VLOOKUP(AY$1,main!$A$3:$I$56,4,FALSE)+VLOOKUP($A32,main!$A$3:$I$56,4,FALSE)+(VLOOKUP(VLOOKUP(AY$1,main!$A$3:$I$56,8,FALSE),main!$K$19:$O$22,MATCH(VLOOKUP($A32,main!$A$3:$I$56,7,FALSE),main!$K$18:$O$18,0),0))),0)</f>
        <v>295</v>
      </c>
      <c r="AZ32">
        <f>IF((gamma!AZ32),IF(VLOOKUP(AZ$1,main!$A$3:$I$56,7,FALSE)=VLOOKUP($A32,main!$A$3:$I$56,8,FALSE),VLOOKUP(AZ$1,main!$A$3:$I$56,4,FALSE),VLOOKUP(AZ$1,main!$A$3:$I$56,4,FALSE)+VLOOKUP($A32,main!$A$3:$I$56,4,FALSE)+(VLOOKUP(VLOOKUP(AZ$1,main!$A$3:$I$56,8,FALSE),main!$K$19:$O$22,MATCH(VLOOKUP($A32,main!$A$3:$I$56,7,FALSE),main!$K$18:$O$18,0),0))),0)</f>
        <v>0</v>
      </c>
      <c r="BA32">
        <f>IF((gamma!BA32),IF(VLOOKUP(BA$1,main!$A$3:$I$56,7,FALSE)=VLOOKUP($A32,main!$A$3:$I$56,8,FALSE),VLOOKUP(BA$1,main!$A$3:$I$56,4,FALSE),VLOOKUP(BA$1,main!$A$3:$I$56,4,FALSE)+VLOOKUP($A32,main!$A$3:$I$56,4,FALSE)+(VLOOKUP(VLOOKUP(BA$1,main!$A$3:$I$56,8,FALSE),main!$K$19:$O$22,MATCH(VLOOKUP($A32,main!$A$3:$I$56,7,FALSE),main!$K$18:$O$18,0),0))),0)</f>
        <v>0</v>
      </c>
      <c r="BB32">
        <f>IF((gamma!BB32),IF(VLOOKUP(BB$1,main!$A$3:$I$56,7,FALSE)=VLOOKUP($A32,main!$A$3:$I$56,8,FALSE),VLOOKUP(BB$1,main!$A$3:$I$56,4,FALSE),VLOOKUP(BB$1,main!$A$3:$I$56,4,FALSE)+VLOOKUP($A32,main!$A$3:$I$56,4,FALSE)+(VLOOKUP(VLOOKUP(BB$1,main!$A$3:$I$56,8,FALSE),main!$K$19:$O$22,MATCH(VLOOKUP($A32,main!$A$3:$I$56,7,FALSE),main!$K$18:$O$18,0),0))),0)</f>
        <v>0</v>
      </c>
      <c r="BC32">
        <f>IF((gamma!BC32),IF(VLOOKUP(BC$1,main!$A$3:$I$56,7,FALSE)=VLOOKUP($A32,main!$A$3:$I$56,8,FALSE),VLOOKUP(BC$1,main!$A$3:$I$56,4,FALSE),VLOOKUP(BC$1,main!$A$3:$I$56,4,FALSE)+VLOOKUP($A32,main!$A$3:$I$56,4,FALSE)+(VLOOKUP(VLOOKUP(BC$1,main!$A$3:$I$56,8,FALSE),main!$K$19:$O$22,MATCH(VLOOKUP($A32,main!$A$3:$I$56,7,FALSE),main!$K$18:$O$18,0),0))),0)</f>
        <v>0</v>
      </c>
      <c r="BD32">
        <f>IF((gamma!BD32),IF(VLOOKUP(BD$1,main!$A$3:$I$56,7,FALSE)=VLOOKUP($A32,main!$A$3:$I$56,8,FALSE),VLOOKUP(BD$1,main!$A$3:$I$56,4,FALSE),VLOOKUP(BD$1,main!$A$3:$I$56,4,FALSE)+VLOOKUP($A32,main!$A$3:$I$56,4,FALSE)+(VLOOKUP(VLOOKUP(BD$1,main!$A$3:$I$56,8,FALSE),main!$K$19:$O$22,MATCH(VLOOKUP($A32,main!$A$3:$I$56,7,FALSE),main!$K$18:$O$18,0),0))),0)</f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5">
      <c r="A33">
        <f t="shared" si="0"/>
        <v>31</v>
      </c>
      <c r="B33">
        <v>0</v>
      </c>
      <c r="C33">
        <f>IF((gamma!C33),IF(VLOOKUP(C$1,main!$A$3:$I$56,7,FALSE)=VLOOKUP($A33,main!$A$3:$I$56,8,FALSE),VLOOKUP(C$1,main!$A$3:$I$56,4,FALSE),VLOOKUP(C$1,main!$A$3:$I$56,4,FALSE)+VLOOKUP($A33,main!$A$3:$I$56,4,FALSE)+(VLOOKUP(VLOOKUP(C$1,main!$A$3:$I$56,8,FALSE),main!$K$19:$O$22,MATCH(VLOOKUP($A33,main!$A$3:$I$56,7,FALSE),main!$K$18:$O$18,0),0))),0)</f>
        <v>0</v>
      </c>
      <c r="D33">
        <f>IF((gamma!D33),IF(VLOOKUP(D$1,main!$A$3:$I$56,7,FALSE)=VLOOKUP($A33,main!$A$3:$I$56,8,FALSE),VLOOKUP(D$1,main!$A$3:$I$56,4,FALSE),VLOOKUP(D$1,main!$A$3:$I$56,4,FALSE)+VLOOKUP($A33,main!$A$3:$I$56,4,FALSE)+(VLOOKUP(VLOOKUP(D$1,main!$A$3:$I$56,8,FALSE),main!$K$19:$O$22,MATCH(VLOOKUP($A33,main!$A$3:$I$56,7,FALSE),main!$K$18:$O$18,0),0))),0)</f>
        <v>135</v>
      </c>
      <c r="E33">
        <f>IF((gamma!E33),IF(VLOOKUP(E$1,main!$A$3:$I$56,7,FALSE)=VLOOKUP($A33,main!$A$3:$I$56,8,FALSE),VLOOKUP(E$1,main!$A$3:$I$56,4,FALSE),VLOOKUP(E$1,main!$A$3:$I$56,4,FALSE)+VLOOKUP($A33,main!$A$3:$I$56,4,FALSE)+(VLOOKUP(VLOOKUP(E$1,main!$A$3:$I$56,8,FALSE),main!$K$19:$O$22,MATCH(VLOOKUP($A33,main!$A$3:$I$56,7,FALSE),main!$K$18:$O$18,0),0))),0)</f>
        <v>135</v>
      </c>
      <c r="F33">
        <f>IF((gamma!F33),IF(VLOOKUP(F$1,main!$A$3:$I$56,7,FALSE)=VLOOKUP($A33,main!$A$3:$I$56,8,FALSE),VLOOKUP(F$1,main!$A$3:$I$56,4,FALSE),VLOOKUP(F$1,main!$A$3:$I$56,4,FALSE)+VLOOKUP($A33,main!$A$3:$I$56,4,FALSE)+(VLOOKUP(VLOOKUP(F$1,main!$A$3:$I$56,8,FALSE),main!$K$19:$O$22,MATCH(VLOOKUP($A33,main!$A$3:$I$56,7,FALSE),main!$K$18:$O$18,0),0))),0)</f>
        <v>135</v>
      </c>
      <c r="G33">
        <f>IF((gamma!G33),IF(VLOOKUP(G$1,main!$A$3:$I$56,7,FALSE)=VLOOKUP($A33,main!$A$3:$I$56,8,FALSE),VLOOKUP(G$1,main!$A$3:$I$56,4,FALSE),VLOOKUP(G$1,main!$A$3:$I$56,4,FALSE)+VLOOKUP($A33,main!$A$3:$I$56,4,FALSE)+(VLOOKUP(VLOOKUP(G$1,main!$A$3:$I$56,8,FALSE),main!$K$19:$O$22,MATCH(VLOOKUP($A33,main!$A$3:$I$56,7,FALSE),main!$K$18:$O$18,0),0))),0)</f>
        <v>135</v>
      </c>
      <c r="H33">
        <f>IF((gamma!H33),IF(VLOOKUP(H$1,main!$A$3:$I$56,7,FALSE)=VLOOKUP($A33,main!$A$3:$I$56,8,FALSE),VLOOKUP(H$1,main!$A$3:$I$56,4,FALSE),VLOOKUP(H$1,main!$A$3:$I$56,4,FALSE)+VLOOKUP($A33,main!$A$3:$I$56,4,FALSE)+(VLOOKUP(VLOOKUP(H$1,main!$A$3:$I$56,8,FALSE),main!$K$19:$O$22,MATCH(VLOOKUP($A33,main!$A$3:$I$56,7,FALSE),main!$K$18:$O$18,0),0))),0)</f>
        <v>135</v>
      </c>
      <c r="I33">
        <f>IF((gamma!I33),IF(VLOOKUP(I$1,main!$A$3:$I$56,7,FALSE)=VLOOKUP($A33,main!$A$3:$I$56,8,FALSE),VLOOKUP(I$1,main!$A$3:$I$56,4,FALSE),VLOOKUP(I$1,main!$A$3:$I$56,4,FALSE)+VLOOKUP($A33,main!$A$3:$I$56,4,FALSE)+(VLOOKUP(VLOOKUP(I$1,main!$A$3:$I$56,8,FALSE),main!$K$19:$O$22,MATCH(VLOOKUP($A33,main!$A$3:$I$56,7,FALSE),main!$K$18:$O$18,0),0))),0)</f>
        <v>135</v>
      </c>
      <c r="J33">
        <f>IF((gamma!J33),IF(VLOOKUP(J$1,main!$A$3:$I$56,7,FALSE)=VLOOKUP($A33,main!$A$3:$I$56,8,FALSE),VLOOKUP(J$1,main!$A$3:$I$56,4,FALSE),VLOOKUP(J$1,main!$A$3:$I$56,4,FALSE)+VLOOKUP($A33,main!$A$3:$I$56,4,FALSE)+(VLOOKUP(VLOOKUP(J$1,main!$A$3:$I$56,8,FALSE),main!$K$19:$O$22,MATCH(VLOOKUP($A33,main!$A$3:$I$56,7,FALSE),main!$K$18:$O$18,0),0))),0)</f>
        <v>135</v>
      </c>
      <c r="K33">
        <f>IF((gamma!K33),IF(VLOOKUP(K$1,main!$A$3:$I$56,7,FALSE)=VLOOKUP($A33,main!$A$3:$I$56,8,FALSE),VLOOKUP(K$1,main!$A$3:$I$56,4,FALSE),VLOOKUP(K$1,main!$A$3:$I$56,4,FALSE)+VLOOKUP($A33,main!$A$3:$I$56,4,FALSE)+(VLOOKUP(VLOOKUP(K$1,main!$A$3:$I$56,8,FALSE),main!$K$19:$O$22,MATCH(VLOOKUP($A33,main!$A$3:$I$56,7,FALSE),main!$K$18:$O$18,0),0))),0)</f>
        <v>0</v>
      </c>
      <c r="L33">
        <f>IF((gamma!L33),IF(VLOOKUP(L$1,main!$A$3:$I$56,7,FALSE)=VLOOKUP($A33,main!$A$3:$I$56,8,FALSE),VLOOKUP(L$1,main!$A$3:$I$56,4,FALSE),VLOOKUP(L$1,main!$A$3:$I$56,4,FALSE)+VLOOKUP($A33,main!$A$3:$I$56,4,FALSE)+(VLOOKUP(VLOOKUP(L$1,main!$A$3:$I$56,8,FALSE),main!$K$19:$O$22,MATCH(VLOOKUP($A33,main!$A$3:$I$56,7,FALSE),main!$K$18:$O$18,0),0))),0)</f>
        <v>0</v>
      </c>
      <c r="M33">
        <f>IF((gamma!M33),IF(VLOOKUP(M$1,main!$A$3:$I$56,7,FALSE)=VLOOKUP($A33,main!$A$3:$I$56,8,FALSE),VLOOKUP(M$1,main!$A$3:$I$56,4,FALSE),VLOOKUP(M$1,main!$A$3:$I$56,4,FALSE)+VLOOKUP($A33,main!$A$3:$I$56,4,FALSE)+(VLOOKUP(VLOOKUP(M$1,main!$A$3:$I$56,8,FALSE),main!$K$19:$O$22,MATCH(VLOOKUP($A33,main!$A$3:$I$56,7,FALSE),main!$K$18:$O$18,0),0))),0)</f>
        <v>140</v>
      </c>
      <c r="N33">
        <f>IF((gamma!N33),IF(VLOOKUP(N$1,main!$A$3:$I$56,7,FALSE)=VLOOKUP($A33,main!$A$3:$I$56,8,FALSE),VLOOKUP(N$1,main!$A$3:$I$56,4,FALSE),VLOOKUP(N$1,main!$A$3:$I$56,4,FALSE)+VLOOKUP($A33,main!$A$3:$I$56,4,FALSE)+(VLOOKUP(VLOOKUP(N$1,main!$A$3:$I$56,8,FALSE),main!$K$19:$O$22,MATCH(VLOOKUP($A33,main!$A$3:$I$56,7,FALSE),main!$K$18:$O$18,0),0))),0)</f>
        <v>140</v>
      </c>
      <c r="O33">
        <f>IF((gamma!O33),IF(VLOOKUP(O$1,main!$A$3:$I$56,7,FALSE)=VLOOKUP($A33,main!$A$3:$I$56,8,FALSE),VLOOKUP(O$1,main!$A$3:$I$56,4,FALSE),VLOOKUP(O$1,main!$A$3:$I$56,4,FALSE)+VLOOKUP($A33,main!$A$3:$I$56,4,FALSE)+(VLOOKUP(VLOOKUP(O$1,main!$A$3:$I$56,8,FALSE),main!$K$19:$O$22,MATCH(VLOOKUP($A33,main!$A$3:$I$56,7,FALSE),main!$K$18:$O$18,0),0))),0)</f>
        <v>140</v>
      </c>
      <c r="P33">
        <f>IF((gamma!P33),IF(VLOOKUP(P$1,main!$A$3:$I$56,7,FALSE)=VLOOKUP($A33,main!$A$3:$I$56,8,FALSE),VLOOKUP(P$1,main!$A$3:$I$56,4,FALSE),VLOOKUP(P$1,main!$A$3:$I$56,4,FALSE)+VLOOKUP($A33,main!$A$3:$I$56,4,FALSE)+(VLOOKUP(VLOOKUP(P$1,main!$A$3:$I$56,8,FALSE),main!$K$19:$O$22,MATCH(VLOOKUP($A33,main!$A$3:$I$56,7,FALSE),main!$K$18:$O$18,0),0))),0)</f>
        <v>0</v>
      </c>
      <c r="Q33">
        <f>IF((gamma!Q33),IF(VLOOKUP(Q$1,main!$A$3:$I$56,7,FALSE)=VLOOKUP($A33,main!$A$3:$I$56,8,FALSE),VLOOKUP(Q$1,main!$A$3:$I$56,4,FALSE),VLOOKUP(Q$1,main!$A$3:$I$56,4,FALSE)+VLOOKUP($A33,main!$A$3:$I$56,4,FALSE)+(VLOOKUP(VLOOKUP(Q$1,main!$A$3:$I$56,8,FALSE),main!$K$19:$O$22,MATCH(VLOOKUP($A33,main!$A$3:$I$56,7,FALSE),main!$K$18:$O$18,0),0))),0)</f>
        <v>0</v>
      </c>
      <c r="R33">
        <f>IF((gamma!R33),IF(VLOOKUP(R$1,main!$A$3:$I$56,7,FALSE)=VLOOKUP($A33,main!$A$3:$I$56,8,FALSE),VLOOKUP(R$1,main!$A$3:$I$56,4,FALSE),VLOOKUP(R$1,main!$A$3:$I$56,4,FALSE)+VLOOKUP($A33,main!$A$3:$I$56,4,FALSE)+(VLOOKUP(VLOOKUP(R$1,main!$A$3:$I$56,8,FALSE),main!$K$19:$O$22,MATCH(VLOOKUP($A33,main!$A$3:$I$56,7,FALSE),main!$K$18:$O$18,0),0))),0)</f>
        <v>135</v>
      </c>
      <c r="S33">
        <f>IF((gamma!S33),IF(VLOOKUP(S$1,main!$A$3:$I$56,7,FALSE)=VLOOKUP($A33,main!$A$3:$I$56,8,FALSE),VLOOKUP(S$1,main!$A$3:$I$56,4,FALSE),VLOOKUP(S$1,main!$A$3:$I$56,4,FALSE)+VLOOKUP($A33,main!$A$3:$I$56,4,FALSE)+(VLOOKUP(VLOOKUP(S$1,main!$A$3:$I$56,8,FALSE),main!$K$19:$O$22,MATCH(VLOOKUP($A33,main!$A$3:$I$56,7,FALSE),main!$K$18:$O$18,0),0))),0)</f>
        <v>140</v>
      </c>
      <c r="T33">
        <f>IF((gamma!T33),IF(VLOOKUP(T$1,main!$A$3:$I$56,7,FALSE)=VLOOKUP($A33,main!$A$3:$I$56,8,FALSE),VLOOKUP(T$1,main!$A$3:$I$56,4,FALSE),VLOOKUP(T$1,main!$A$3:$I$56,4,FALSE)+VLOOKUP($A33,main!$A$3:$I$56,4,FALSE)+(VLOOKUP(VLOOKUP(T$1,main!$A$3:$I$56,8,FALSE),main!$K$19:$O$22,MATCH(VLOOKUP($A33,main!$A$3:$I$56,7,FALSE),main!$K$18:$O$18,0),0))),0)</f>
        <v>140</v>
      </c>
      <c r="U33">
        <f>IF((gamma!U33),IF(VLOOKUP(U$1,main!$A$3:$I$56,7,FALSE)=VLOOKUP($A33,main!$A$3:$I$56,8,FALSE),VLOOKUP(U$1,main!$A$3:$I$56,4,FALSE),VLOOKUP(U$1,main!$A$3:$I$56,4,FALSE)+VLOOKUP($A33,main!$A$3:$I$56,4,FALSE)+(VLOOKUP(VLOOKUP(U$1,main!$A$3:$I$56,8,FALSE),main!$K$19:$O$22,MATCH(VLOOKUP($A33,main!$A$3:$I$56,7,FALSE),main!$K$18:$O$18,0),0))),0)</f>
        <v>0</v>
      </c>
      <c r="V33">
        <f>IF((gamma!V33),IF(VLOOKUP(V$1,main!$A$3:$I$56,7,FALSE)=VLOOKUP($A33,main!$A$3:$I$56,8,FALSE),VLOOKUP(V$1,main!$A$3:$I$56,4,FALSE),VLOOKUP(V$1,main!$A$3:$I$56,4,FALSE)+VLOOKUP($A33,main!$A$3:$I$56,4,FALSE)+(VLOOKUP(VLOOKUP(V$1,main!$A$3:$I$56,8,FALSE),main!$K$19:$O$22,MATCH(VLOOKUP($A33,main!$A$3:$I$56,7,FALSE),main!$K$18:$O$18,0),0))),0)</f>
        <v>0</v>
      </c>
      <c r="W33">
        <f>IF((gamma!W33),IF(VLOOKUP(W$1,main!$A$3:$I$56,7,FALSE)=VLOOKUP($A33,main!$A$3:$I$56,8,FALSE),VLOOKUP(W$1,main!$A$3:$I$56,4,FALSE),VLOOKUP(W$1,main!$A$3:$I$56,4,FALSE)+VLOOKUP($A33,main!$A$3:$I$56,4,FALSE)+(VLOOKUP(VLOOKUP(W$1,main!$A$3:$I$56,8,FALSE),main!$K$19:$O$22,MATCH(VLOOKUP($A33,main!$A$3:$I$56,7,FALSE),main!$K$18:$O$18,0),0))),0)</f>
        <v>0</v>
      </c>
      <c r="X33">
        <f>IF((gamma!X33),IF(VLOOKUP(X$1,main!$A$3:$I$56,7,FALSE)=VLOOKUP($A33,main!$A$3:$I$56,8,FALSE),VLOOKUP(X$1,main!$A$3:$I$56,4,FALSE),VLOOKUP(X$1,main!$A$3:$I$56,4,FALSE)+VLOOKUP($A33,main!$A$3:$I$56,4,FALSE)+(VLOOKUP(VLOOKUP(X$1,main!$A$3:$I$56,8,FALSE),main!$K$19:$O$22,MATCH(VLOOKUP($A33,main!$A$3:$I$56,7,FALSE),main!$K$18:$O$18,0),0))),0)</f>
        <v>305</v>
      </c>
      <c r="Y33">
        <f>IF((gamma!Y33),IF(VLOOKUP(Y$1,main!$A$3:$I$56,7,FALSE)=VLOOKUP($A33,main!$A$3:$I$56,8,FALSE),VLOOKUP(Y$1,main!$A$3:$I$56,4,FALSE),VLOOKUP(Y$1,main!$A$3:$I$56,4,FALSE)+VLOOKUP($A33,main!$A$3:$I$56,4,FALSE)+(VLOOKUP(VLOOKUP(Y$1,main!$A$3:$I$56,8,FALSE),main!$K$19:$O$22,MATCH(VLOOKUP($A33,main!$A$3:$I$56,7,FALSE),main!$K$18:$O$18,0),0))),0)</f>
        <v>305</v>
      </c>
      <c r="Z33">
        <f>IF((gamma!Z33),IF(VLOOKUP(Z$1,main!$A$3:$I$56,7,FALSE)=VLOOKUP($A33,main!$A$3:$I$56,8,FALSE),VLOOKUP(Z$1,main!$A$3:$I$56,4,FALSE),VLOOKUP(Z$1,main!$A$3:$I$56,4,FALSE)+VLOOKUP($A33,main!$A$3:$I$56,4,FALSE)+(VLOOKUP(VLOOKUP(Z$1,main!$A$3:$I$56,8,FALSE),main!$K$19:$O$22,MATCH(VLOOKUP($A33,main!$A$3:$I$56,7,FALSE),main!$K$18:$O$18,0),0))),0)</f>
        <v>305</v>
      </c>
      <c r="AA33">
        <f>IF((gamma!AA33),IF(VLOOKUP(AA$1,main!$A$3:$I$56,7,FALSE)=VLOOKUP($A33,main!$A$3:$I$56,8,FALSE),VLOOKUP(AA$1,main!$A$3:$I$56,4,FALSE),VLOOKUP(AA$1,main!$A$3:$I$56,4,FALSE)+VLOOKUP($A33,main!$A$3:$I$56,4,FALSE)+(VLOOKUP(VLOOKUP(AA$1,main!$A$3:$I$56,8,FALSE),main!$K$19:$O$22,MATCH(VLOOKUP($A33,main!$A$3:$I$56,7,FALSE),main!$K$18:$O$18,0),0))),0)</f>
        <v>305</v>
      </c>
      <c r="AB33">
        <f>IF((gamma!AB33),IF(VLOOKUP(AB$1,main!$A$3:$I$56,7,FALSE)=VLOOKUP($A33,main!$A$3:$I$56,8,FALSE),VLOOKUP(AB$1,main!$A$3:$I$56,4,FALSE),VLOOKUP(AB$1,main!$A$3:$I$56,4,FALSE)+VLOOKUP($A33,main!$A$3:$I$56,4,FALSE)+(VLOOKUP(VLOOKUP(AB$1,main!$A$3:$I$56,8,FALSE),main!$K$19:$O$22,MATCH(VLOOKUP($A33,main!$A$3:$I$56,7,FALSE),main!$K$18:$O$18,0),0))),0)</f>
        <v>305</v>
      </c>
      <c r="AC33">
        <f>IF((gamma!AC33),IF(VLOOKUP(AC$1,main!$A$3:$I$56,7,FALSE)=VLOOKUP($A33,main!$A$3:$I$56,8,FALSE),VLOOKUP(AC$1,main!$A$3:$I$56,4,FALSE),VLOOKUP(AC$1,main!$A$3:$I$56,4,FALSE)+VLOOKUP($A33,main!$A$3:$I$56,4,FALSE)+(VLOOKUP(VLOOKUP(AC$1,main!$A$3:$I$56,8,FALSE),main!$K$19:$O$22,MATCH(VLOOKUP($A33,main!$A$3:$I$56,7,FALSE),main!$K$18:$O$18,0),0))),0)</f>
        <v>0</v>
      </c>
      <c r="AD33">
        <f>IF((gamma!AD33),IF(VLOOKUP(AD$1,main!$A$3:$I$56,7,FALSE)=VLOOKUP($A33,main!$A$3:$I$56,8,FALSE),VLOOKUP(AD$1,main!$A$3:$I$56,4,FALSE),VLOOKUP(AD$1,main!$A$3:$I$56,4,FALSE)+VLOOKUP($A33,main!$A$3:$I$56,4,FALSE)+(VLOOKUP(VLOOKUP(AD$1,main!$A$3:$I$56,8,FALSE),main!$K$19:$O$22,MATCH(VLOOKUP($A33,main!$A$3:$I$56,7,FALSE),main!$K$18:$O$18,0),0))),0)</f>
        <v>0</v>
      </c>
      <c r="AE33">
        <f>IF((gamma!AE33),IF(VLOOKUP(AE$1,main!$A$3:$I$56,7,FALSE)=VLOOKUP($A33,main!$A$3:$I$56,8,FALSE),VLOOKUP(AE$1,main!$A$3:$I$56,4,FALSE),VLOOKUP(AE$1,main!$A$3:$I$56,4,FALSE)+VLOOKUP($A33,main!$A$3:$I$56,4,FALSE)+(VLOOKUP(VLOOKUP(AE$1,main!$A$3:$I$56,8,FALSE),main!$K$19:$O$22,MATCH(VLOOKUP($A33,main!$A$3:$I$56,7,FALSE),main!$K$18:$O$18,0),0))),0)</f>
        <v>260</v>
      </c>
      <c r="AF33">
        <f>IF((gamma!AF33),IF(VLOOKUP(AF$1,main!$A$3:$I$56,7,FALSE)=VLOOKUP($A33,main!$A$3:$I$56,8,FALSE),VLOOKUP(AF$1,main!$A$3:$I$56,4,FALSE),VLOOKUP(AF$1,main!$A$3:$I$56,4,FALSE)+VLOOKUP($A33,main!$A$3:$I$56,4,FALSE)+(VLOOKUP(VLOOKUP(AF$1,main!$A$3:$I$56,8,FALSE),main!$K$19:$O$22,MATCH(VLOOKUP($A33,main!$A$3:$I$56,7,FALSE),main!$K$18:$O$18,0),0))),0)</f>
        <v>270</v>
      </c>
      <c r="AG33">
        <f>IF((gamma!AG33),IF(VLOOKUP(AG$1,main!$A$3:$I$56,7,FALSE)=VLOOKUP($A33,main!$A$3:$I$56,8,FALSE),VLOOKUP(AG$1,main!$A$3:$I$56,4,FALSE),VLOOKUP(AG$1,main!$A$3:$I$56,4,FALSE)+VLOOKUP($A33,main!$A$3:$I$56,4,FALSE)+(VLOOKUP(VLOOKUP(AG$1,main!$A$3:$I$56,8,FALSE),main!$K$19:$O$22,MATCH(VLOOKUP($A33,main!$A$3:$I$56,7,FALSE),main!$K$18:$O$18,0),0))),0)</f>
        <v>0</v>
      </c>
      <c r="AH33">
        <f>IF((gamma!AH33),IF(VLOOKUP(AH$1,main!$A$3:$I$56,7,FALSE)=VLOOKUP($A33,main!$A$3:$I$56,8,FALSE),VLOOKUP(AH$1,main!$A$3:$I$56,4,FALSE),VLOOKUP(AH$1,main!$A$3:$I$56,4,FALSE)+VLOOKUP($A33,main!$A$3:$I$56,4,FALSE)+(VLOOKUP(VLOOKUP(AH$1,main!$A$3:$I$56,8,FALSE),main!$K$19:$O$22,MATCH(VLOOKUP($A33,main!$A$3:$I$56,7,FALSE),main!$K$18:$O$18,0),0))),0)</f>
        <v>0</v>
      </c>
      <c r="AI33">
        <f>IF((gamma!AI33),IF(VLOOKUP(AI$1,main!$A$3:$I$56,7,FALSE)=VLOOKUP($A33,main!$A$3:$I$56,8,FALSE),VLOOKUP(AI$1,main!$A$3:$I$56,4,FALSE),VLOOKUP(AI$1,main!$A$3:$I$56,4,FALSE)+VLOOKUP($A33,main!$A$3:$I$56,4,FALSE)+(VLOOKUP(VLOOKUP(AI$1,main!$A$3:$I$56,8,FALSE),main!$K$19:$O$22,MATCH(VLOOKUP($A33,main!$A$3:$I$56,7,FALSE),main!$K$18:$O$18,0),0))),0)</f>
        <v>310</v>
      </c>
      <c r="AJ33">
        <f>IF((gamma!AJ33),IF(VLOOKUP(AJ$1,main!$A$3:$I$56,7,FALSE)=VLOOKUP($A33,main!$A$3:$I$56,8,FALSE),VLOOKUP(AJ$1,main!$A$3:$I$56,4,FALSE),VLOOKUP(AJ$1,main!$A$3:$I$56,4,FALSE)+VLOOKUP($A33,main!$A$3:$I$56,4,FALSE)+(VLOOKUP(VLOOKUP(AJ$1,main!$A$3:$I$56,8,FALSE),main!$K$19:$O$22,MATCH(VLOOKUP($A33,main!$A$3:$I$56,7,FALSE),main!$K$18:$O$18,0),0))),0)</f>
        <v>310</v>
      </c>
      <c r="AK33">
        <f>IF((gamma!AK33),IF(VLOOKUP(AK$1,main!$A$3:$I$56,7,FALSE)=VLOOKUP($A33,main!$A$3:$I$56,8,FALSE),VLOOKUP(AK$1,main!$A$3:$I$56,4,FALSE),VLOOKUP(AK$1,main!$A$3:$I$56,4,FALSE)+VLOOKUP($A33,main!$A$3:$I$56,4,FALSE)+(VLOOKUP(VLOOKUP(AK$1,main!$A$3:$I$56,8,FALSE),main!$K$19:$O$22,MATCH(VLOOKUP($A33,main!$A$3:$I$56,7,FALSE),main!$K$18:$O$18,0),0))),0)</f>
        <v>310</v>
      </c>
      <c r="AL33">
        <f>IF((gamma!AL33),IF(VLOOKUP(AL$1,main!$A$3:$I$56,7,FALSE)=VLOOKUP($A33,main!$A$3:$I$56,8,FALSE),VLOOKUP(AL$1,main!$A$3:$I$56,4,FALSE),VLOOKUP(AL$1,main!$A$3:$I$56,4,FALSE)+VLOOKUP($A33,main!$A$3:$I$56,4,FALSE)+(VLOOKUP(VLOOKUP(AL$1,main!$A$3:$I$56,8,FALSE),main!$K$19:$O$22,MATCH(VLOOKUP($A33,main!$A$3:$I$56,7,FALSE),main!$K$18:$O$18,0),0))),0)</f>
        <v>0</v>
      </c>
      <c r="AM33">
        <f>IF((gamma!AM33),IF(VLOOKUP(AM$1,main!$A$3:$I$56,7,FALSE)=VLOOKUP($A33,main!$A$3:$I$56,8,FALSE),VLOOKUP(AM$1,main!$A$3:$I$56,4,FALSE),VLOOKUP(AM$1,main!$A$3:$I$56,4,FALSE)+VLOOKUP($A33,main!$A$3:$I$56,4,FALSE)+(VLOOKUP(VLOOKUP(AM$1,main!$A$3:$I$56,8,FALSE),main!$K$19:$O$22,MATCH(VLOOKUP($A33,main!$A$3:$I$56,7,FALSE),main!$K$18:$O$18,0),0))),0)</f>
        <v>0</v>
      </c>
      <c r="AN33">
        <f>IF((gamma!AN33),IF(VLOOKUP(AN$1,main!$A$3:$I$56,7,FALSE)=VLOOKUP($A33,main!$A$3:$I$56,8,FALSE),VLOOKUP(AN$1,main!$A$3:$I$56,4,FALSE),VLOOKUP(AN$1,main!$A$3:$I$56,4,FALSE)+VLOOKUP($A33,main!$A$3:$I$56,4,FALSE)+(VLOOKUP(VLOOKUP(AN$1,main!$A$3:$I$56,8,FALSE),main!$K$19:$O$22,MATCH(VLOOKUP($A33,main!$A$3:$I$56,7,FALSE),main!$K$18:$O$18,0),0))),0)</f>
        <v>288</v>
      </c>
      <c r="AO33">
        <f>IF((gamma!AO33),IF(VLOOKUP(AO$1,main!$A$3:$I$56,7,FALSE)=VLOOKUP($A33,main!$A$3:$I$56,8,FALSE),VLOOKUP(AO$1,main!$A$3:$I$56,4,FALSE),VLOOKUP(AO$1,main!$A$3:$I$56,4,FALSE)+VLOOKUP($A33,main!$A$3:$I$56,4,FALSE)+(VLOOKUP(VLOOKUP(AO$1,main!$A$3:$I$56,8,FALSE),main!$K$19:$O$22,MATCH(VLOOKUP($A33,main!$A$3:$I$56,7,FALSE),main!$K$18:$O$18,0),0))),0)</f>
        <v>298</v>
      </c>
      <c r="AP33">
        <f>IF((gamma!AP33),IF(VLOOKUP(AP$1,main!$A$3:$I$56,7,FALSE)=VLOOKUP($A33,main!$A$3:$I$56,8,FALSE),VLOOKUP(AP$1,main!$A$3:$I$56,4,FALSE),VLOOKUP(AP$1,main!$A$3:$I$56,4,FALSE)+VLOOKUP($A33,main!$A$3:$I$56,4,FALSE)+(VLOOKUP(VLOOKUP(AP$1,main!$A$3:$I$56,8,FALSE),main!$K$19:$O$22,MATCH(VLOOKUP($A33,main!$A$3:$I$56,7,FALSE),main!$K$18:$O$18,0),0))),0)</f>
        <v>0</v>
      </c>
      <c r="AQ33">
        <f>IF((gamma!AQ33),IF(VLOOKUP(AQ$1,main!$A$3:$I$56,7,FALSE)=VLOOKUP($A33,main!$A$3:$I$56,8,FALSE),VLOOKUP(AQ$1,main!$A$3:$I$56,4,FALSE),VLOOKUP(AQ$1,main!$A$3:$I$56,4,FALSE)+VLOOKUP($A33,main!$A$3:$I$56,4,FALSE)+(VLOOKUP(VLOOKUP(AQ$1,main!$A$3:$I$56,8,FALSE),main!$K$19:$O$22,MATCH(VLOOKUP($A33,main!$A$3:$I$56,7,FALSE),main!$K$18:$O$18,0),0))),0)</f>
        <v>0</v>
      </c>
      <c r="AR33">
        <f>IF((gamma!AR33),IF(VLOOKUP(AR$1,main!$A$3:$I$56,7,FALSE)=VLOOKUP($A33,main!$A$3:$I$56,8,FALSE),VLOOKUP(AR$1,main!$A$3:$I$56,4,FALSE),VLOOKUP(AR$1,main!$A$3:$I$56,4,FALSE)+VLOOKUP($A33,main!$A$3:$I$56,4,FALSE)+(VLOOKUP(VLOOKUP(AR$1,main!$A$3:$I$56,8,FALSE),main!$K$19:$O$22,MATCH(VLOOKUP($A33,main!$A$3:$I$56,7,FALSE),main!$K$18:$O$18,0),0))),0)</f>
        <v>0</v>
      </c>
      <c r="AS33">
        <f>IF((gamma!AS33),IF(VLOOKUP(AS$1,main!$A$3:$I$56,7,FALSE)=VLOOKUP($A33,main!$A$3:$I$56,8,FALSE),VLOOKUP(AS$1,main!$A$3:$I$56,4,FALSE),VLOOKUP(AS$1,main!$A$3:$I$56,4,FALSE)+VLOOKUP($A33,main!$A$3:$I$56,4,FALSE)+(VLOOKUP(VLOOKUP(AS$1,main!$A$3:$I$56,8,FALSE),main!$K$19:$O$22,MATCH(VLOOKUP($A33,main!$A$3:$I$56,7,FALSE),main!$K$18:$O$18,0),0))),0)</f>
        <v>308</v>
      </c>
      <c r="AT33">
        <f>IF((gamma!AT33),IF(VLOOKUP(AT$1,main!$A$3:$I$56,7,FALSE)=VLOOKUP($A33,main!$A$3:$I$56,8,FALSE),VLOOKUP(AT$1,main!$A$3:$I$56,4,FALSE),VLOOKUP(AT$1,main!$A$3:$I$56,4,FALSE)+VLOOKUP($A33,main!$A$3:$I$56,4,FALSE)+(VLOOKUP(VLOOKUP(AT$1,main!$A$3:$I$56,8,FALSE),main!$K$19:$O$22,MATCH(VLOOKUP($A33,main!$A$3:$I$56,7,FALSE),main!$K$18:$O$18,0),0))),0)</f>
        <v>293</v>
      </c>
      <c r="AU33">
        <f>IF((gamma!AU33),IF(VLOOKUP(AU$1,main!$A$3:$I$56,7,FALSE)=VLOOKUP($A33,main!$A$3:$I$56,8,FALSE),VLOOKUP(AU$1,main!$A$3:$I$56,4,FALSE),VLOOKUP(AU$1,main!$A$3:$I$56,4,FALSE)+VLOOKUP($A33,main!$A$3:$I$56,4,FALSE)+(VLOOKUP(VLOOKUP(AU$1,main!$A$3:$I$56,8,FALSE),main!$K$19:$O$22,MATCH(VLOOKUP($A33,main!$A$3:$I$56,7,FALSE),main!$K$18:$O$18,0),0))),0)</f>
        <v>0</v>
      </c>
      <c r="AV33">
        <f>IF((gamma!AV33),IF(VLOOKUP(AV$1,main!$A$3:$I$56,7,FALSE)=VLOOKUP($A33,main!$A$3:$I$56,8,FALSE),VLOOKUP(AV$1,main!$A$3:$I$56,4,FALSE),VLOOKUP(AV$1,main!$A$3:$I$56,4,FALSE)+VLOOKUP($A33,main!$A$3:$I$56,4,FALSE)+(VLOOKUP(VLOOKUP(AV$1,main!$A$3:$I$56,8,FALSE),main!$K$19:$O$22,MATCH(VLOOKUP($A33,main!$A$3:$I$56,7,FALSE),main!$K$18:$O$18,0),0))),0)</f>
        <v>0</v>
      </c>
      <c r="AW33">
        <f>IF((gamma!AW33),IF(VLOOKUP(AW$1,main!$A$3:$I$56,7,FALSE)=VLOOKUP($A33,main!$A$3:$I$56,8,FALSE),VLOOKUP(AW$1,main!$A$3:$I$56,4,FALSE),VLOOKUP(AW$1,main!$A$3:$I$56,4,FALSE)+VLOOKUP($A33,main!$A$3:$I$56,4,FALSE)+(VLOOKUP(VLOOKUP(AW$1,main!$A$3:$I$56,8,FALSE),main!$K$19:$O$22,MATCH(VLOOKUP($A33,main!$A$3:$I$56,7,FALSE),main!$K$18:$O$18,0),0))),0)</f>
        <v>310</v>
      </c>
      <c r="AX33">
        <f>IF((gamma!AX33),IF(VLOOKUP(AX$1,main!$A$3:$I$56,7,FALSE)=VLOOKUP($A33,main!$A$3:$I$56,8,FALSE),VLOOKUP(AX$1,main!$A$3:$I$56,4,FALSE),VLOOKUP(AX$1,main!$A$3:$I$56,4,FALSE)+VLOOKUP($A33,main!$A$3:$I$56,4,FALSE)+(VLOOKUP(VLOOKUP(AX$1,main!$A$3:$I$56,8,FALSE),main!$K$19:$O$22,MATCH(VLOOKUP($A33,main!$A$3:$I$56,7,FALSE),main!$K$18:$O$18,0),0))),0)</f>
        <v>310</v>
      </c>
      <c r="AY33">
        <f>IF((gamma!AY33),IF(VLOOKUP(AY$1,main!$A$3:$I$56,7,FALSE)=VLOOKUP($A33,main!$A$3:$I$56,8,FALSE),VLOOKUP(AY$1,main!$A$3:$I$56,4,FALSE),VLOOKUP(AY$1,main!$A$3:$I$56,4,FALSE)+VLOOKUP($A33,main!$A$3:$I$56,4,FALSE)+(VLOOKUP(VLOOKUP(AY$1,main!$A$3:$I$56,8,FALSE),main!$K$19:$O$22,MATCH(VLOOKUP($A33,main!$A$3:$I$56,7,FALSE),main!$K$18:$O$18,0),0))),0)</f>
        <v>310</v>
      </c>
      <c r="AZ33">
        <f>IF((gamma!AZ33),IF(VLOOKUP(AZ$1,main!$A$3:$I$56,7,FALSE)=VLOOKUP($A33,main!$A$3:$I$56,8,FALSE),VLOOKUP(AZ$1,main!$A$3:$I$56,4,FALSE),VLOOKUP(AZ$1,main!$A$3:$I$56,4,FALSE)+VLOOKUP($A33,main!$A$3:$I$56,4,FALSE)+(VLOOKUP(VLOOKUP(AZ$1,main!$A$3:$I$56,8,FALSE),main!$K$19:$O$22,MATCH(VLOOKUP($A33,main!$A$3:$I$56,7,FALSE),main!$K$18:$O$18,0),0))),0)</f>
        <v>0</v>
      </c>
      <c r="BA33">
        <f>IF((gamma!BA33),IF(VLOOKUP(BA$1,main!$A$3:$I$56,7,FALSE)=VLOOKUP($A33,main!$A$3:$I$56,8,FALSE),VLOOKUP(BA$1,main!$A$3:$I$56,4,FALSE),VLOOKUP(BA$1,main!$A$3:$I$56,4,FALSE)+VLOOKUP($A33,main!$A$3:$I$56,4,FALSE)+(VLOOKUP(VLOOKUP(BA$1,main!$A$3:$I$56,8,FALSE),main!$K$19:$O$22,MATCH(VLOOKUP($A33,main!$A$3:$I$56,7,FALSE),main!$K$18:$O$18,0),0))),0)</f>
        <v>260</v>
      </c>
      <c r="BB33">
        <f>IF((gamma!BB33),IF(VLOOKUP(BB$1,main!$A$3:$I$56,7,FALSE)=VLOOKUP($A33,main!$A$3:$I$56,8,FALSE),VLOOKUP(BB$1,main!$A$3:$I$56,4,FALSE),VLOOKUP(BB$1,main!$A$3:$I$56,4,FALSE)+VLOOKUP($A33,main!$A$3:$I$56,4,FALSE)+(VLOOKUP(VLOOKUP(BB$1,main!$A$3:$I$56,8,FALSE),main!$K$19:$O$22,MATCH(VLOOKUP($A33,main!$A$3:$I$56,7,FALSE),main!$K$18:$O$18,0),0))),0)</f>
        <v>260</v>
      </c>
      <c r="BC33">
        <f>IF((gamma!BC33),IF(VLOOKUP(BC$1,main!$A$3:$I$56,7,FALSE)=VLOOKUP($A33,main!$A$3:$I$56,8,FALSE),VLOOKUP(BC$1,main!$A$3:$I$56,4,FALSE),VLOOKUP(BC$1,main!$A$3:$I$56,4,FALSE)+VLOOKUP($A33,main!$A$3:$I$56,4,FALSE)+(VLOOKUP(VLOOKUP(BC$1,main!$A$3:$I$56,8,FALSE),main!$K$19:$O$22,MATCH(VLOOKUP($A33,main!$A$3:$I$56,7,FALSE),main!$K$18:$O$18,0),0))),0)</f>
        <v>275</v>
      </c>
      <c r="BD33">
        <f>IF((gamma!BD33),IF(VLOOKUP(BD$1,main!$A$3:$I$56,7,FALSE)=VLOOKUP($A33,main!$A$3:$I$56,8,FALSE),VLOOKUP(BD$1,main!$A$3:$I$56,4,FALSE),VLOOKUP(BD$1,main!$A$3:$I$56,4,FALSE)+VLOOKUP($A33,main!$A$3:$I$56,4,FALSE)+(VLOOKUP(VLOOKUP(BD$1,main!$A$3:$I$56,8,FALSE),main!$K$19:$O$22,MATCH(VLOOKUP($A33,main!$A$3:$I$56,7,FALSE),main!$K$18:$O$18,0),0))),0)</f>
        <v>275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>
        <f t="shared" si="0"/>
        <v>32</v>
      </c>
      <c r="B34">
        <v>0</v>
      </c>
      <c r="C34">
        <f>IF((gamma!C34),IF(VLOOKUP(C$1,main!$A$3:$I$56,7,FALSE)=VLOOKUP($A34,main!$A$3:$I$56,8,FALSE),VLOOKUP(C$1,main!$A$3:$I$56,4,FALSE),VLOOKUP(C$1,main!$A$3:$I$56,4,FALSE)+VLOOKUP($A34,main!$A$3:$I$56,4,FALSE)+(VLOOKUP(VLOOKUP(C$1,main!$A$3:$I$56,8,FALSE),main!$K$19:$O$22,MATCH(VLOOKUP($A34,main!$A$3:$I$56,7,FALSE),main!$K$18:$O$18,0),0))),0)</f>
        <v>0</v>
      </c>
      <c r="D34">
        <f>IF((gamma!D34),IF(VLOOKUP(D$1,main!$A$3:$I$56,7,FALSE)=VLOOKUP($A34,main!$A$3:$I$56,8,FALSE),VLOOKUP(D$1,main!$A$3:$I$56,4,FALSE),VLOOKUP(D$1,main!$A$3:$I$56,4,FALSE)+VLOOKUP($A34,main!$A$3:$I$56,4,FALSE)+(VLOOKUP(VLOOKUP(D$1,main!$A$3:$I$56,8,FALSE),main!$K$19:$O$22,MATCH(VLOOKUP($A34,main!$A$3:$I$56,7,FALSE),main!$K$18:$O$18,0),0))),0)</f>
        <v>0</v>
      </c>
      <c r="E34">
        <f>IF((gamma!E34),IF(VLOOKUP(E$1,main!$A$3:$I$56,7,FALSE)=VLOOKUP($A34,main!$A$3:$I$56,8,FALSE),VLOOKUP(E$1,main!$A$3:$I$56,4,FALSE),VLOOKUP(E$1,main!$A$3:$I$56,4,FALSE)+VLOOKUP($A34,main!$A$3:$I$56,4,FALSE)+(VLOOKUP(VLOOKUP(E$1,main!$A$3:$I$56,8,FALSE),main!$K$19:$O$22,MATCH(VLOOKUP($A34,main!$A$3:$I$56,7,FALSE),main!$K$18:$O$18,0),0))),0)</f>
        <v>0</v>
      </c>
      <c r="F34">
        <f>IF((gamma!F34),IF(VLOOKUP(F$1,main!$A$3:$I$56,7,FALSE)=VLOOKUP($A34,main!$A$3:$I$56,8,FALSE),VLOOKUP(F$1,main!$A$3:$I$56,4,FALSE),VLOOKUP(F$1,main!$A$3:$I$56,4,FALSE)+VLOOKUP($A34,main!$A$3:$I$56,4,FALSE)+(VLOOKUP(VLOOKUP(F$1,main!$A$3:$I$56,8,FALSE),main!$K$19:$O$22,MATCH(VLOOKUP($A34,main!$A$3:$I$56,7,FALSE),main!$K$18:$O$18,0),0))),0)</f>
        <v>135</v>
      </c>
      <c r="G34">
        <f>IF((gamma!G34),IF(VLOOKUP(G$1,main!$A$3:$I$56,7,FALSE)=VLOOKUP($A34,main!$A$3:$I$56,8,FALSE),VLOOKUP(G$1,main!$A$3:$I$56,4,FALSE),VLOOKUP(G$1,main!$A$3:$I$56,4,FALSE)+VLOOKUP($A34,main!$A$3:$I$56,4,FALSE)+(VLOOKUP(VLOOKUP(G$1,main!$A$3:$I$56,8,FALSE),main!$K$19:$O$22,MATCH(VLOOKUP($A34,main!$A$3:$I$56,7,FALSE),main!$K$18:$O$18,0),0))),0)</f>
        <v>135</v>
      </c>
      <c r="H34">
        <f>IF((gamma!H34),IF(VLOOKUP(H$1,main!$A$3:$I$56,7,FALSE)=VLOOKUP($A34,main!$A$3:$I$56,8,FALSE),VLOOKUP(H$1,main!$A$3:$I$56,4,FALSE),VLOOKUP(H$1,main!$A$3:$I$56,4,FALSE)+VLOOKUP($A34,main!$A$3:$I$56,4,FALSE)+(VLOOKUP(VLOOKUP(H$1,main!$A$3:$I$56,8,FALSE),main!$K$19:$O$22,MATCH(VLOOKUP($A34,main!$A$3:$I$56,7,FALSE),main!$K$18:$O$18,0),0))),0)</f>
        <v>135</v>
      </c>
      <c r="I34">
        <f>IF((gamma!I34),IF(VLOOKUP(I$1,main!$A$3:$I$56,7,FALSE)=VLOOKUP($A34,main!$A$3:$I$56,8,FALSE),VLOOKUP(I$1,main!$A$3:$I$56,4,FALSE),VLOOKUP(I$1,main!$A$3:$I$56,4,FALSE)+VLOOKUP($A34,main!$A$3:$I$56,4,FALSE)+(VLOOKUP(VLOOKUP(I$1,main!$A$3:$I$56,8,FALSE),main!$K$19:$O$22,MATCH(VLOOKUP($A34,main!$A$3:$I$56,7,FALSE),main!$K$18:$O$18,0),0))),0)</f>
        <v>135</v>
      </c>
      <c r="J34">
        <f>IF((gamma!J34),IF(VLOOKUP(J$1,main!$A$3:$I$56,7,FALSE)=VLOOKUP($A34,main!$A$3:$I$56,8,FALSE),VLOOKUP(J$1,main!$A$3:$I$56,4,FALSE),VLOOKUP(J$1,main!$A$3:$I$56,4,FALSE)+VLOOKUP($A34,main!$A$3:$I$56,4,FALSE)+(VLOOKUP(VLOOKUP(J$1,main!$A$3:$I$56,8,FALSE),main!$K$19:$O$22,MATCH(VLOOKUP($A34,main!$A$3:$I$56,7,FALSE),main!$K$18:$O$18,0),0))),0)</f>
        <v>135</v>
      </c>
      <c r="K34">
        <f>IF((gamma!K34),IF(VLOOKUP(K$1,main!$A$3:$I$56,7,FALSE)=VLOOKUP($A34,main!$A$3:$I$56,8,FALSE),VLOOKUP(K$1,main!$A$3:$I$56,4,FALSE),VLOOKUP(K$1,main!$A$3:$I$56,4,FALSE)+VLOOKUP($A34,main!$A$3:$I$56,4,FALSE)+(VLOOKUP(VLOOKUP(K$1,main!$A$3:$I$56,8,FALSE),main!$K$19:$O$22,MATCH(VLOOKUP($A34,main!$A$3:$I$56,7,FALSE),main!$K$18:$O$18,0),0))),0)</f>
        <v>0</v>
      </c>
      <c r="L34">
        <f>IF((gamma!L34),IF(VLOOKUP(L$1,main!$A$3:$I$56,7,FALSE)=VLOOKUP($A34,main!$A$3:$I$56,8,FALSE),VLOOKUP(L$1,main!$A$3:$I$56,4,FALSE),VLOOKUP(L$1,main!$A$3:$I$56,4,FALSE)+VLOOKUP($A34,main!$A$3:$I$56,4,FALSE)+(VLOOKUP(VLOOKUP(L$1,main!$A$3:$I$56,8,FALSE),main!$K$19:$O$22,MATCH(VLOOKUP($A34,main!$A$3:$I$56,7,FALSE),main!$K$18:$O$18,0),0))),0)</f>
        <v>0</v>
      </c>
      <c r="M34">
        <f>IF((gamma!M34),IF(VLOOKUP(M$1,main!$A$3:$I$56,7,FALSE)=VLOOKUP($A34,main!$A$3:$I$56,8,FALSE),VLOOKUP(M$1,main!$A$3:$I$56,4,FALSE),VLOOKUP(M$1,main!$A$3:$I$56,4,FALSE)+VLOOKUP($A34,main!$A$3:$I$56,4,FALSE)+(VLOOKUP(VLOOKUP(M$1,main!$A$3:$I$56,8,FALSE),main!$K$19:$O$22,MATCH(VLOOKUP($A34,main!$A$3:$I$56,7,FALSE),main!$K$18:$O$18,0),0))),0)</f>
        <v>0</v>
      </c>
      <c r="N34">
        <f>IF((gamma!N34),IF(VLOOKUP(N$1,main!$A$3:$I$56,7,FALSE)=VLOOKUP($A34,main!$A$3:$I$56,8,FALSE),VLOOKUP(N$1,main!$A$3:$I$56,4,FALSE),VLOOKUP(N$1,main!$A$3:$I$56,4,FALSE)+VLOOKUP($A34,main!$A$3:$I$56,4,FALSE)+(VLOOKUP(VLOOKUP(N$1,main!$A$3:$I$56,8,FALSE),main!$K$19:$O$22,MATCH(VLOOKUP($A34,main!$A$3:$I$56,7,FALSE),main!$K$18:$O$18,0),0))),0)</f>
        <v>140</v>
      </c>
      <c r="O34">
        <f>IF((gamma!O34),IF(VLOOKUP(O$1,main!$A$3:$I$56,7,FALSE)=VLOOKUP($A34,main!$A$3:$I$56,8,FALSE),VLOOKUP(O$1,main!$A$3:$I$56,4,FALSE),VLOOKUP(O$1,main!$A$3:$I$56,4,FALSE)+VLOOKUP($A34,main!$A$3:$I$56,4,FALSE)+(VLOOKUP(VLOOKUP(O$1,main!$A$3:$I$56,8,FALSE),main!$K$19:$O$22,MATCH(VLOOKUP($A34,main!$A$3:$I$56,7,FALSE),main!$K$18:$O$18,0),0))),0)</f>
        <v>140</v>
      </c>
      <c r="P34">
        <f>IF((gamma!P34),IF(VLOOKUP(P$1,main!$A$3:$I$56,7,FALSE)=VLOOKUP($A34,main!$A$3:$I$56,8,FALSE),VLOOKUP(P$1,main!$A$3:$I$56,4,FALSE),VLOOKUP(P$1,main!$A$3:$I$56,4,FALSE)+VLOOKUP($A34,main!$A$3:$I$56,4,FALSE)+(VLOOKUP(VLOOKUP(P$1,main!$A$3:$I$56,8,FALSE),main!$K$19:$O$22,MATCH(VLOOKUP($A34,main!$A$3:$I$56,7,FALSE),main!$K$18:$O$18,0),0))),0)</f>
        <v>0</v>
      </c>
      <c r="Q34">
        <f>IF((gamma!Q34),IF(VLOOKUP(Q$1,main!$A$3:$I$56,7,FALSE)=VLOOKUP($A34,main!$A$3:$I$56,8,FALSE),VLOOKUP(Q$1,main!$A$3:$I$56,4,FALSE),VLOOKUP(Q$1,main!$A$3:$I$56,4,FALSE)+VLOOKUP($A34,main!$A$3:$I$56,4,FALSE)+(VLOOKUP(VLOOKUP(Q$1,main!$A$3:$I$56,8,FALSE),main!$K$19:$O$22,MATCH(VLOOKUP($A34,main!$A$3:$I$56,7,FALSE),main!$K$18:$O$18,0),0))),0)</f>
        <v>0</v>
      </c>
      <c r="R34">
        <f>IF((gamma!R34),IF(VLOOKUP(R$1,main!$A$3:$I$56,7,FALSE)=VLOOKUP($A34,main!$A$3:$I$56,8,FALSE),VLOOKUP(R$1,main!$A$3:$I$56,4,FALSE),VLOOKUP(R$1,main!$A$3:$I$56,4,FALSE)+VLOOKUP($A34,main!$A$3:$I$56,4,FALSE)+(VLOOKUP(VLOOKUP(R$1,main!$A$3:$I$56,8,FALSE),main!$K$19:$O$22,MATCH(VLOOKUP($A34,main!$A$3:$I$56,7,FALSE),main!$K$18:$O$18,0),0))),0)</f>
        <v>0</v>
      </c>
      <c r="S34">
        <f>IF((gamma!S34),IF(VLOOKUP(S$1,main!$A$3:$I$56,7,FALSE)=VLOOKUP($A34,main!$A$3:$I$56,8,FALSE),VLOOKUP(S$1,main!$A$3:$I$56,4,FALSE),VLOOKUP(S$1,main!$A$3:$I$56,4,FALSE)+VLOOKUP($A34,main!$A$3:$I$56,4,FALSE)+(VLOOKUP(VLOOKUP(S$1,main!$A$3:$I$56,8,FALSE),main!$K$19:$O$22,MATCH(VLOOKUP($A34,main!$A$3:$I$56,7,FALSE),main!$K$18:$O$18,0),0))),0)</f>
        <v>140</v>
      </c>
      <c r="T34">
        <f>IF((gamma!T34),IF(VLOOKUP(T$1,main!$A$3:$I$56,7,FALSE)=VLOOKUP($A34,main!$A$3:$I$56,8,FALSE),VLOOKUP(T$1,main!$A$3:$I$56,4,FALSE),VLOOKUP(T$1,main!$A$3:$I$56,4,FALSE)+VLOOKUP($A34,main!$A$3:$I$56,4,FALSE)+(VLOOKUP(VLOOKUP(T$1,main!$A$3:$I$56,8,FALSE),main!$K$19:$O$22,MATCH(VLOOKUP($A34,main!$A$3:$I$56,7,FALSE),main!$K$18:$O$18,0),0))),0)</f>
        <v>140</v>
      </c>
      <c r="U34">
        <f>IF((gamma!U34),IF(VLOOKUP(U$1,main!$A$3:$I$56,7,FALSE)=VLOOKUP($A34,main!$A$3:$I$56,8,FALSE),VLOOKUP(U$1,main!$A$3:$I$56,4,FALSE),VLOOKUP(U$1,main!$A$3:$I$56,4,FALSE)+VLOOKUP($A34,main!$A$3:$I$56,4,FALSE)+(VLOOKUP(VLOOKUP(U$1,main!$A$3:$I$56,8,FALSE),main!$K$19:$O$22,MATCH(VLOOKUP($A34,main!$A$3:$I$56,7,FALSE),main!$K$18:$O$18,0),0))),0)</f>
        <v>0</v>
      </c>
      <c r="V34">
        <f>IF((gamma!V34),IF(VLOOKUP(V$1,main!$A$3:$I$56,7,FALSE)=VLOOKUP($A34,main!$A$3:$I$56,8,FALSE),VLOOKUP(V$1,main!$A$3:$I$56,4,FALSE),VLOOKUP(V$1,main!$A$3:$I$56,4,FALSE)+VLOOKUP($A34,main!$A$3:$I$56,4,FALSE)+(VLOOKUP(VLOOKUP(V$1,main!$A$3:$I$56,8,FALSE),main!$K$19:$O$22,MATCH(VLOOKUP($A34,main!$A$3:$I$56,7,FALSE),main!$K$18:$O$18,0),0))),0)</f>
        <v>0</v>
      </c>
      <c r="W34">
        <f>IF((gamma!W34),IF(VLOOKUP(W$1,main!$A$3:$I$56,7,FALSE)=VLOOKUP($A34,main!$A$3:$I$56,8,FALSE),VLOOKUP(W$1,main!$A$3:$I$56,4,FALSE),VLOOKUP(W$1,main!$A$3:$I$56,4,FALSE)+VLOOKUP($A34,main!$A$3:$I$56,4,FALSE)+(VLOOKUP(VLOOKUP(W$1,main!$A$3:$I$56,8,FALSE),main!$K$19:$O$22,MATCH(VLOOKUP($A34,main!$A$3:$I$56,7,FALSE),main!$K$18:$O$18,0),0))),0)</f>
        <v>0</v>
      </c>
      <c r="X34">
        <f>IF((gamma!X34),IF(VLOOKUP(X$1,main!$A$3:$I$56,7,FALSE)=VLOOKUP($A34,main!$A$3:$I$56,8,FALSE),VLOOKUP(X$1,main!$A$3:$I$56,4,FALSE),VLOOKUP(X$1,main!$A$3:$I$56,4,FALSE)+VLOOKUP($A34,main!$A$3:$I$56,4,FALSE)+(VLOOKUP(VLOOKUP(X$1,main!$A$3:$I$56,8,FALSE),main!$K$19:$O$22,MATCH(VLOOKUP($A34,main!$A$3:$I$56,7,FALSE),main!$K$18:$O$18,0),0))),0)</f>
        <v>0</v>
      </c>
      <c r="Y34">
        <f>IF((gamma!Y34),IF(VLOOKUP(Y$1,main!$A$3:$I$56,7,FALSE)=VLOOKUP($A34,main!$A$3:$I$56,8,FALSE),VLOOKUP(Y$1,main!$A$3:$I$56,4,FALSE),VLOOKUP(Y$1,main!$A$3:$I$56,4,FALSE)+VLOOKUP($A34,main!$A$3:$I$56,4,FALSE)+(VLOOKUP(VLOOKUP(Y$1,main!$A$3:$I$56,8,FALSE),main!$K$19:$O$22,MATCH(VLOOKUP($A34,main!$A$3:$I$56,7,FALSE),main!$K$18:$O$18,0),0))),0)</f>
        <v>0</v>
      </c>
      <c r="Z34">
        <f>IF((gamma!Z34),IF(VLOOKUP(Z$1,main!$A$3:$I$56,7,FALSE)=VLOOKUP($A34,main!$A$3:$I$56,8,FALSE),VLOOKUP(Z$1,main!$A$3:$I$56,4,FALSE),VLOOKUP(Z$1,main!$A$3:$I$56,4,FALSE)+VLOOKUP($A34,main!$A$3:$I$56,4,FALSE)+(VLOOKUP(VLOOKUP(Z$1,main!$A$3:$I$56,8,FALSE),main!$K$19:$O$22,MATCH(VLOOKUP($A34,main!$A$3:$I$56,7,FALSE),main!$K$18:$O$18,0),0))),0)</f>
        <v>305</v>
      </c>
      <c r="AA34">
        <f>IF((gamma!AA34),IF(VLOOKUP(AA$1,main!$A$3:$I$56,7,FALSE)=VLOOKUP($A34,main!$A$3:$I$56,8,FALSE),VLOOKUP(AA$1,main!$A$3:$I$56,4,FALSE),VLOOKUP(AA$1,main!$A$3:$I$56,4,FALSE)+VLOOKUP($A34,main!$A$3:$I$56,4,FALSE)+(VLOOKUP(VLOOKUP(AA$1,main!$A$3:$I$56,8,FALSE),main!$K$19:$O$22,MATCH(VLOOKUP($A34,main!$A$3:$I$56,7,FALSE),main!$K$18:$O$18,0),0))),0)</f>
        <v>305</v>
      </c>
      <c r="AB34">
        <f>IF((gamma!AB34),IF(VLOOKUP(AB$1,main!$A$3:$I$56,7,FALSE)=VLOOKUP($A34,main!$A$3:$I$56,8,FALSE),VLOOKUP(AB$1,main!$A$3:$I$56,4,FALSE),VLOOKUP(AB$1,main!$A$3:$I$56,4,FALSE)+VLOOKUP($A34,main!$A$3:$I$56,4,FALSE)+(VLOOKUP(VLOOKUP(AB$1,main!$A$3:$I$56,8,FALSE),main!$K$19:$O$22,MATCH(VLOOKUP($A34,main!$A$3:$I$56,7,FALSE),main!$K$18:$O$18,0),0))),0)</f>
        <v>305</v>
      </c>
      <c r="AC34">
        <f>IF((gamma!AC34),IF(VLOOKUP(AC$1,main!$A$3:$I$56,7,FALSE)=VLOOKUP($A34,main!$A$3:$I$56,8,FALSE),VLOOKUP(AC$1,main!$A$3:$I$56,4,FALSE),VLOOKUP(AC$1,main!$A$3:$I$56,4,FALSE)+VLOOKUP($A34,main!$A$3:$I$56,4,FALSE)+(VLOOKUP(VLOOKUP(AC$1,main!$A$3:$I$56,8,FALSE),main!$K$19:$O$22,MATCH(VLOOKUP($A34,main!$A$3:$I$56,7,FALSE),main!$K$18:$O$18,0),0))),0)</f>
        <v>0</v>
      </c>
      <c r="AD34">
        <f>IF((gamma!AD34),IF(VLOOKUP(AD$1,main!$A$3:$I$56,7,FALSE)=VLOOKUP($A34,main!$A$3:$I$56,8,FALSE),VLOOKUP(AD$1,main!$A$3:$I$56,4,FALSE),VLOOKUP(AD$1,main!$A$3:$I$56,4,FALSE)+VLOOKUP($A34,main!$A$3:$I$56,4,FALSE)+(VLOOKUP(VLOOKUP(AD$1,main!$A$3:$I$56,8,FALSE),main!$K$19:$O$22,MATCH(VLOOKUP($A34,main!$A$3:$I$56,7,FALSE),main!$K$18:$O$18,0),0))),0)</f>
        <v>0</v>
      </c>
      <c r="AE34">
        <f>IF((gamma!AE34),IF(VLOOKUP(AE$1,main!$A$3:$I$56,7,FALSE)=VLOOKUP($A34,main!$A$3:$I$56,8,FALSE),VLOOKUP(AE$1,main!$A$3:$I$56,4,FALSE),VLOOKUP(AE$1,main!$A$3:$I$56,4,FALSE)+VLOOKUP($A34,main!$A$3:$I$56,4,FALSE)+(VLOOKUP(VLOOKUP(AE$1,main!$A$3:$I$56,8,FALSE),main!$K$19:$O$22,MATCH(VLOOKUP($A34,main!$A$3:$I$56,7,FALSE),main!$K$18:$O$18,0),0))),0)</f>
        <v>0</v>
      </c>
      <c r="AF34">
        <f>IF((gamma!AF34),IF(VLOOKUP(AF$1,main!$A$3:$I$56,7,FALSE)=VLOOKUP($A34,main!$A$3:$I$56,8,FALSE),VLOOKUP(AF$1,main!$A$3:$I$56,4,FALSE),VLOOKUP(AF$1,main!$A$3:$I$56,4,FALSE)+VLOOKUP($A34,main!$A$3:$I$56,4,FALSE)+(VLOOKUP(VLOOKUP(AF$1,main!$A$3:$I$56,8,FALSE),main!$K$19:$O$22,MATCH(VLOOKUP($A34,main!$A$3:$I$56,7,FALSE),main!$K$18:$O$18,0),0))),0)</f>
        <v>270</v>
      </c>
      <c r="AG34">
        <f>IF((gamma!AG34),IF(VLOOKUP(AG$1,main!$A$3:$I$56,7,FALSE)=VLOOKUP($A34,main!$A$3:$I$56,8,FALSE),VLOOKUP(AG$1,main!$A$3:$I$56,4,FALSE),VLOOKUP(AG$1,main!$A$3:$I$56,4,FALSE)+VLOOKUP($A34,main!$A$3:$I$56,4,FALSE)+(VLOOKUP(VLOOKUP(AG$1,main!$A$3:$I$56,8,FALSE),main!$K$19:$O$22,MATCH(VLOOKUP($A34,main!$A$3:$I$56,7,FALSE),main!$K$18:$O$18,0),0))),0)</f>
        <v>0</v>
      </c>
      <c r="AH34">
        <f>IF((gamma!AH34),IF(VLOOKUP(AH$1,main!$A$3:$I$56,7,FALSE)=VLOOKUP($A34,main!$A$3:$I$56,8,FALSE),VLOOKUP(AH$1,main!$A$3:$I$56,4,FALSE),VLOOKUP(AH$1,main!$A$3:$I$56,4,FALSE)+VLOOKUP($A34,main!$A$3:$I$56,4,FALSE)+(VLOOKUP(VLOOKUP(AH$1,main!$A$3:$I$56,8,FALSE),main!$K$19:$O$22,MATCH(VLOOKUP($A34,main!$A$3:$I$56,7,FALSE),main!$K$18:$O$18,0),0))),0)</f>
        <v>0</v>
      </c>
      <c r="AI34">
        <f>IF((gamma!AI34),IF(VLOOKUP(AI$1,main!$A$3:$I$56,7,FALSE)=VLOOKUP($A34,main!$A$3:$I$56,8,FALSE),VLOOKUP(AI$1,main!$A$3:$I$56,4,FALSE),VLOOKUP(AI$1,main!$A$3:$I$56,4,FALSE)+VLOOKUP($A34,main!$A$3:$I$56,4,FALSE)+(VLOOKUP(VLOOKUP(AI$1,main!$A$3:$I$56,8,FALSE),main!$K$19:$O$22,MATCH(VLOOKUP($A34,main!$A$3:$I$56,7,FALSE),main!$K$18:$O$18,0),0))),0)</f>
        <v>0</v>
      </c>
      <c r="AJ34">
        <f>IF((gamma!AJ34),IF(VLOOKUP(AJ$1,main!$A$3:$I$56,7,FALSE)=VLOOKUP($A34,main!$A$3:$I$56,8,FALSE),VLOOKUP(AJ$1,main!$A$3:$I$56,4,FALSE),VLOOKUP(AJ$1,main!$A$3:$I$56,4,FALSE)+VLOOKUP($A34,main!$A$3:$I$56,4,FALSE)+(VLOOKUP(VLOOKUP(AJ$1,main!$A$3:$I$56,8,FALSE),main!$K$19:$O$22,MATCH(VLOOKUP($A34,main!$A$3:$I$56,7,FALSE),main!$K$18:$O$18,0),0))),0)</f>
        <v>0</v>
      </c>
      <c r="AK34">
        <f>IF((gamma!AK34),IF(VLOOKUP(AK$1,main!$A$3:$I$56,7,FALSE)=VLOOKUP($A34,main!$A$3:$I$56,8,FALSE),VLOOKUP(AK$1,main!$A$3:$I$56,4,FALSE),VLOOKUP(AK$1,main!$A$3:$I$56,4,FALSE)+VLOOKUP($A34,main!$A$3:$I$56,4,FALSE)+(VLOOKUP(VLOOKUP(AK$1,main!$A$3:$I$56,8,FALSE),main!$K$19:$O$22,MATCH(VLOOKUP($A34,main!$A$3:$I$56,7,FALSE),main!$K$18:$O$18,0),0))),0)</f>
        <v>310</v>
      </c>
      <c r="AL34">
        <f>IF((gamma!AL34),IF(VLOOKUP(AL$1,main!$A$3:$I$56,7,FALSE)=VLOOKUP($A34,main!$A$3:$I$56,8,FALSE),VLOOKUP(AL$1,main!$A$3:$I$56,4,FALSE),VLOOKUP(AL$1,main!$A$3:$I$56,4,FALSE)+VLOOKUP($A34,main!$A$3:$I$56,4,FALSE)+(VLOOKUP(VLOOKUP(AL$1,main!$A$3:$I$56,8,FALSE),main!$K$19:$O$22,MATCH(VLOOKUP($A34,main!$A$3:$I$56,7,FALSE),main!$K$18:$O$18,0),0))),0)</f>
        <v>0</v>
      </c>
      <c r="AM34">
        <f>IF((gamma!AM34),IF(VLOOKUP(AM$1,main!$A$3:$I$56,7,FALSE)=VLOOKUP($A34,main!$A$3:$I$56,8,FALSE),VLOOKUP(AM$1,main!$A$3:$I$56,4,FALSE),VLOOKUP(AM$1,main!$A$3:$I$56,4,FALSE)+VLOOKUP($A34,main!$A$3:$I$56,4,FALSE)+(VLOOKUP(VLOOKUP(AM$1,main!$A$3:$I$56,8,FALSE),main!$K$19:$O$22,MATCH(VLOOKUP($A34,main!$A$3:$I$56,7,FALSE),main!$K$18:$O$18,0),0))),0)</f>
        <v>0</v>
      </c>
      <c r="AN34">
        <f>IF((gamma!AN34),IF(VLOOKUP(AN$1,main!$A$3:$I$56,7,FALSE)=VLOOKUP($A34,main!$A$3:$I$56,8,FALSE),VLOOKUP(AN$1,main!$A$3:$I$56,4,FALSE),VLOOKUP(AN$1,main!$A$3:$I$56,4,FALSE)+VLOOKUP($A34,main!$A$3:$I$56,4,FALSE)+(VLOOKUP(VLOOKUP(AN$1,main!$A$3:$I$56,8,FALSE),main!$K$19:$O$22,MATCH(VLOOKUP($A34,main!$A$3:$I$56,7,FALSE),main!$K$18:$O$18,0),0))),0)</f>
        <v>0</v>
      </c>
      <c r="AO34">
        <f>IF((gamma!AO34),IF(VLOOKUP(AO$1,main!$A$3:$I$56,7,FALSE)=VLOOKUP($A34,main!$A$3:$I$56,8,FALSE),VLOOKUP(AO$1,main!$A$3:$I$56,4,FALSE),VLOOKUP(AO$1,main!$A$3:$I$56,4,FALSE)+VLOOKUP($A34,main!$A$3:$I$56,4,FALSE)+(VLOOKUP(VLOOKUP(AO$1,main!$A$3:$I$56,8,FALSE),main!$K$19:$O$22,MATCH(VLOOKUP($A34,main!$A$3:$I$56,7,FALSE),main!$K$18:$O$18,0),0))),0)</f>
        <v>298</v>
      </c>
      <c r="AP34">
        <f>IF((gamma!AP34),IF(VLOOKUP(AP$1,main!$A$3:$I$56,7,FALSE)=VLOOKUP($A34,main!$A$3:$I$56,8,FALSE),VLOOKUP(AP$1,main!$A$3:$I$56,4,FALSE),VLOOKUP(AP$1,main!$A$3:$I$56,4,FALSE)+VLOOKUP($A34,main!$A$3:$I$56,4,FALSE)+(VLOOKUP(VLOOKUP(AP$1,main!$A$3:$I$56,8,FALSE),main!$K$19:$O$22,MATCH(VLOOKUP($A34,main!$A$3:$I$56,7,FALSE),main!$K$18:$O$18,0),0))),0)</f>
        <v>0</v>
      </c>
      <c r="AQ34">
        <f>IF((gamma!AQ34),IF(VLOOKUP(AQ$1,main!$A$3:$I$56,7,FALSE)=VLOOKUP($A34,main!$A$3:$I$56,8,FALSE),VLOOKUP(AQ$1,main!$A$3:$I$56,4,FALSE),VLOOKUP(AQ$1,main!$A$3:$I$56,4,FALSE)+VLOOKUP($A34,main!$A$3:$I$56,4,FALSE)+(VLOOKUP(VLOOKUP(AQ$1,main!$A$3:$I$56,8,FALSE),main!$K$19:$O$22,MATCH(VLOOKUP($A34,main!$A$3:$I$56,7,FALSE),main!$K$18:$O$18,0),0))),0)</f>
        <v>0</v>
      </c>
      <c r="AR34">
        <f>IF((gamma!AR34),IF(VLOOKUP(AR$1,main!$A$3:$I$56,7,FALSE)=VLOOKUP($A34,main!$A$3:$I$56,8,FALSE),VLOOKUP(AR$1,main!$A$3:$I$56,4,FALSE),VLOOKUP(AR$1,main!$A$3:$I$56,4,FALSE)+VLOOKUP($A34,main!$A$3:$I$56,4,FALSE)+(VLOOKUP(VLOOKUP(AR$1,main!$A$3:$I$56,8,FALSE),main!$K$19:$O$22,MATCH(VLOOKUP($A34,main!$A$3:$I$56,7,FALSE),main!$K$18:$O$18,0),0))),0)</f>
        <v>0</v>
      </c>
      <c r="AS34">
        <f>IF((gamma!AS34),IF(VLOOKUP(AS$1,main!$A$3:$I$56,7,FALSE)=VLOOKUP($A34,main!$A$3:$I$56,8,FALSE),VLOOKUP(AS$1,main!$A$3:$I$56,4,FALSE),VLOOKUP(AS$1,main!$A$3:$I$56,4,FALSE)+VLOOKUP($A34,main!$A$3:$I$56,4,FALSE)+(VLOOKUP(VLOOKUP(AS$1,main!$A$3:$I$56,8,FALSE),main!$K$19:$O$22,MATCH(VLOOKUP($A34,main!$A$3:$I$56,7,FALSE),main!$K$18:$O$18,0),0))),0)</f>
        <v>0</v>
      </c>
      <c r="AT34">
        <f>IF((gamma!AT34),IF(VLOOKUP(AT$1,main!$A$3:$I$56,7,FALSE)=VLOOKUP($A34,main!$A$3:$I$56,8,FALSE),VLOOKUP(AT$1,main!$A$3:$I$56,4,FALSE),VLOOKUP(AT$1,main!$A$3:$I$56,4,FALSE)+VLOOKUP($A34,main!$A$3:$I$56,4,FALSE)+(VLOOKUP(VLOOKUP(AT$1,main!$A$3:$I$56,8,FALSE),main!$K$19:$O$22,MATCH(VLOOKUP($A34,main!$A$3:$I$56,7,FALSE),main!$K$18:$O$18,0),0))),0)</f>
        <v>0</v>
      </c>
      <c r="AU34">
        <f>IF((gamma!AU34),IF(VLOOKUP(AU$1,main!$A$3:$I$56,7,FALSE)=VLOOKUP($A34,main!$A$3:$I$56,8,FALSE),VLOOKUP(AU$1,main!$A$3:$I$56,4,FALSE),VLOOKUP(AU$1,main!$A$3:$I$56,4,FALSE)+VLOOKUP($A34,main!$A$3:$I$56,4,FALSE)+(VLOOKUP(VLOOKUP(AU$1,main!$A$3:$I$56,8,FALSE),main!$K$19:$O$22,MATCH(VLOOKUP($A34,main!$A$3:$I$56,7,FALSE),main!$K$18:$O$18,0),0))),0)</f>
        <v>0</v>
      </c>
      <c r="AV34">
        <f>IF((gamma!AV34),IF(VLOOKUP(AV$1,main!$A$3:$I$56,7,FALSE)=VLOOKUP($A34,main!$A$3:$I$56,8,FALSE),VLOOKUP(AV$1,main!$A$3:$I$56,4,FALSE),VLOOKUP(AV$1,main!$A$3:$I$56,4,FALSE)+VLOOKUP($A34,main!$A$3:$I$56,4,FALSE)+(VLOOKUP(VLOOKUP(AV$1,main!$A$3:$I$56,8,FALSE),main!$K$19:$O$22,MATCH(VLOOKUP($A34,main!$A$3:$I$56,7,FALSE),main!$K$18:$O$18,0),0))),0)</f>
        <v>0</v>
      </c>
      <c r="AW34">
        <f>IF((gamma!AW34),IF(VLOOKUP(AW$1,main!$A$3:$I$56,7,FALSE)=VLOOKUP($A34,main!$A$3:$I$56,8,FALSE),VLOOKUP(AW$1,main!$A$3:$I$56,4,FALSE),VLOOKUP(AW$1,main!$A$3:$I$56,4,FALSE)+VLOOKUP($A34,main!$A$3:$I$56,4,FALSE)+(VLOOKUP(VLOOKUP(AW$1,main!$A$3:$I$56,8,FALSE),main!$K$19:$O$22,MATCH(VLOOKUP($A34,main!$A$3:$I$56,7,FALSE),main!$K$18:$O$18,0),0))),0)</f>
        <v>0</v>
      </c>
      <c r="AX34">
        <f>IF((gamma!AX34),IF(VLOOKUP(AX$1,main!$A$3:$I$56,7,FALSE)=VLOOKUP($A34,main!$A$3:$I$56,8,FALSE),VLOOKUP(AX$1,main!$A$3:$I$56,4,FALSE),VLOOKUP(AX$1,main!$A$3:$I$56,4,FALSE)+VLOOKUP($A34,main!$A$3:$I$56,4,FALSE)+(VLOOKUP(VLOOKUP(AX$1,main!$A$3:$I$56,8,FALSE),main!$K$19:$O$22,MATCH(VLOOKUP($A34,main!$A$3:$I$56,7,FALSE),main!$K$18:$O$18,0),0))),0)</f>
        <v>310</v>
      </c>
      <c r="AY34">
        <f>IF((gamma!AY34),IF(VLOOKUP(AY$1,main!$A$3:$I$56,7,FALSE)=VLOOKUP($A34,main!$A$3:$I$56,8,FALSE),VLOOKUP(AY$1,main!$A$3:$I$56,4,FALSE),VLOOKUP(AY$1,main!$A$3:$I$56,4,FALSE)+VLOOKUP($A34,main!$A$3:$I$56,4,FALSE)+(VLOOKUP(VLOOKUP(AY$1,main!$A$3:$I$56,8,FALSE),main!$K$19:$O$22,MATCH(VLOOKUP($A34,main!$A$3:$I$56,7,FALSE),main!$K$18:$O$18,0),0))),0)</f>
        <v>310</v>
      </c>
      <c r="AZ34">
        <f>IF((gamma!AZ34),IF(VLOOKUP(AZ$1,main!$A$3:$I$56,7,FALSE)=VLOOKUP($A34,main!$A$3:$I$56,8,FALSE),VLOOKUP(AZ$1,main!$A$3:$I$56,4,FALSE),VLOOKUP(AZ$1,main!$A$3:$I$56,4,FALSE)+VLOOKUP($A34,main!$A$3:$I$56,4,FALSE)+(VLOOKUP(VLOOKUP(AZ$1,main!$A$3:$I$56,8,FALSE),main!$K$19:$O$22,MATCH(VLOOKUP($A34,main!$A$3:$I$56,7,FALSE),main!$K$18:$O$18,0),0))),0)</f>
        <v>0</v>
      </c>
      <c r="BA34">
        <f>IF((gamma!BA34),IF(VLOOKUP(BA$1,main!$A$3:$I$56,7,FALSE)=VLOOKUP($A34,main!$A$3:$I$56,8,FALSE),VLOOKUP(BA$1,main!$A$3:$I$56,4,FALSE),VLOOKUP(BA$1,main!$A$3:$I$56,4,FALSE)+VLOOKUP($A34,main!$A$3:$I$56,4,FALSE)+(VLOOKUP(VLOOKUP(BA$1,main!$A$3:$I$56,8,FALSE),main!$K$19:$O$22,MATCH(VLOOKUP($A34,main!$A$3:$I$56,7,FALSE),main!$K$18:$O$18,0),0))),0)</f>
        <v>0</v>
      </c>
      <c r="BB34">
        <f>IF((gamma!BB34),IF(VLOOKUP(BB$1,main!$A$3:$I$56,7,FALSE)=VLOOKUP($A34,main!$A$3:$I$56,8,FALSE),VLOOKUP(BB$1,main!$A$3:$I$56,4,FALSE),VLOOKUP(BB$1,main!$A$3:$I$56,4,FALSE)+VLOOKUP($A34,main!$A$3:$I$56,4,FALSE)+(VLOOKUP(VLOOKUP(BB$1,main!$A$3:$I$56,8,FALSE),main!$K$19:$O$22,MATCH(VLOOKUP($A34,main!$A$3:$I$56,7,FALSE),main!$K$18:$O$18,0),0))),0)</f>
        <v>0</v>
      </c>
      <c r="BC34">
        <f>IF((gamma!BC34),IF(VLOOKUP(BC$1,main!$A$3:$I$56,7,FALSE)=VLOOKUP($A34,main!$A$3:$I$56,8,FALSE),VLOOKUP(BC$1,main!$A$3:$I$56,4,FALSE),VLOOKUP(BC$1,main!$A$3:$I$56,4,FALSE)+VLOOKUP($A34,main!$A$3:$I$56,4,FALSE)+(VLOOKUP(VLOOKUP(BC$1,main!$A$3:$I$56,8,FALSE),main!$K$19:$O$22,MATCH(VLOOKUP($A34,main!$A$3:$I$56,7,FALSE),main!$K$18:$O$18,0),0))),0)</f>
        <v>275</v>
      </c>
      <c r="BD34">
        <f>IF((gamma!BD34),IF(VLOOKUP(BD$1,main!$A$3:$I$56,7,FALSE)=VLOOKUP($A34,main!$A$3:$I$56,8,FALSE),VLOOKUP(BD$1,main!$A$3:$I$56,4,FALSE),VLOOKUP(BD$1,main!$A$3:$I$56,4,FALSE)+VLOOKUP($A34,main!$A$3:$I$56,4,FALSE)+(VLOOKUP(VLOOKUP(BD$1,main!$A$3:$I$56,8,FALSE),main!$K$19:$O$22,MATCH(VLOOKUP($A34,main!$A$3:$I$56,7,FALSE),main!$K$18:$O$18,0),0))),0)</f>
        <v>275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>
        <f t="shared" si="0"/>
        <v>33</v>
      </c>
      <c r="B35">
        <v>0</v>
      </c>
      <c r="C35">
        <f>IF((gamma!C35),IF(VLOOKUP(C$1,main!$A$3:$I$56,7,FALSE)=VLOOKUP($A35,main!$A$3:$I$56,8,FALSE),VLOOKUP(C$1,main!$A$3:$I$56,4,FALSE),VLOOKUP(C$1,main!$A$3:$I$56,4,FALSE)+VLOOKUP($A35,main!$A$3:$I$56,4,FALSE)+(VLOOKUP(VLOOKUP(C$1,main!$A$3:$I$56,8,FALSE),main!$K$19:$O$22,MATCH(VLOOKUP($A35,main!$A$3:$I$56,7,FALSE),main!$K$18:$O$18,0),0))),0)</f>
        <v>0</v>
      </c>
      <c r="D35">
        <f>IF((gamma!D35),IF(VLOOKUP(D$1,main!$A$3:$I$56,7,FALSE)=VLOOKUP($A35,main!$A$3:$I$56,8,FALSE),VLOOKUP(D$1,main!$A$3:$I$56,4,FALSE),VLOOKUP(D$1,main!$A$3:$I$56,4,FALSE)+VLOOKUP($A35,main!$A$3:$I$56,4,FALSE)+(VLOOKUP(VLOOKUP(D$1,main!$A$3:$I$56,8,FALSE),main!$K$19:$O$22,MATCH(VLOOKUP($A35,main!$A$3:$I$56,7,FALSE),main!$K$18:$O$18,0),0))),0)</f>
        <v>0</v>
      </c>
      <c r="E35">
        <f>IF((gamma!E35),IF(VLOOKUP(E$1,main!$A$3:$I$56,7,FALSE)=VLOOKUP($A35,main!$A$3:$I$56,8,FALSE),VLOOKUP(E$1,main!$A$3:$I$56,4,FALSE),VLOOKUP(E$1,main!$A$3:$I$56,4,FALSE)+VLOOKUP($A35,main!$A$3:$I$56,4,FALSE)+(VLOOKUP(VLOOKUP(E$1,main!$A$3:$I$56,8,FALSE),main!$K$19:$O$22,MATCH(VLOOKUP($A35,main!$A$3:$I$56,7,FALSE),main!$K$18:$O$18,0),0))),0)</f>
        <v>0</v>
      </c>
      <c r="F35">
        <f>IF((gamma!F35),IF(VLOOKUP(F$1,main!$A$3:$I$56,7,FALSE)=VLOOKUP($A35,main!$A$3:$I$56,8,FALSE),VLOOKUP(F$1,main!$A$3:$I$56,4,FALSE),VLOOKUP(F$1,main!$A$3:$I$56,4,FALSE)+VLOOKUP($A35,main!$A$3:$I$56,4,FALSE)+(VLOOKUP(VLOOKUP(F$1,main!$A$3:$I$56,8,FALSE),main!$K$19:$O$22,MATCH(VLOOKUP($A35,main!$A$3:$I$56,7,FALSE),main!$K$18:$O$18,0),0))),0)</f>
        <v>0</v>
      </c>
      <c r="G35">
        <f>IF((gamma!G35),IF(VLOOKUP(G$1,main!$A$3:$I$56,7,FALSE)=VLOOKUP($A35,main!$A$3:$I$56,8,FALSE),VLOOKUP(G$1,main!$A$3:$I$56,4,FALSE),VLOOKUP(G$1,main!$A$3:$I$56,4,FALSE)+VLOOKUP($A35,main!$A$3:$I$56,4,FALSE)+(VLOOKUP(VLOOKUP(G$1,main!$A$3:$I$56,8,FALSE),main!$K$19:$O$22,MATCH(VLOOKUP($A35,main!$A$3:$I$56,7,FALSE),main!$K$18:$O$18,0),0))),0)</f>
        <v>0</v>
      </c>
      <c r="H35">
        <f>IF((gamma!H35),IF(VLOOKUP(H$1,main!$A$3:$I$56,7,FALSE)=VLOOKUP($A35,main!$A$3:$I$56,8,FALSE),VLOOKUP(H$1,main!$A$3:$I$56,4,FALSE),VLOOKUP(H$1,main!$A$3:$I$56,4,FALSE)+VLOOKUP($A35,main!$A$3:$I$56,4,FALSE)+(VLOOKUP(VLOOKUP(H$1,main!$A$3:$I$56,8,FALSE),main!$K$19:$O$22,MATCH(VLOOKUP($A35,main!$A$3:$I$56,7,FALSE),main!$K$18:$O$18,0),0))),0)</f>
        <v>135</v>
      </c>
      <c r="I35">
        <f>IF((gamma!I35),IF(VLOOKUP(I$1,main!$A$3:$I$56,7,FALSE)=VLOOKUP($A35,main!$A$3:$I$56,8,FALSE),VLOOKUP(I$1,main!$A$3:$I$56,4,FALSE),VLOOKUP(I$1,main!$A$3:$I$56,4,FALSE)+VLOOKUP($A35,main!$A$3:$I$56,4,FALSE)+(VLOOKUP(VLOOKUP(I$1,main!$A$3:$I$56,8,FALSE),main!$K$19:$O$22,MATCH(VLOOKUP($A35,main!$A$3:$I$56,7,FALSE),main!$K$18:$O$18,0),0))),0)</f>
        <v>135</v>
      </c>
      <c r="J35">
        <f>IF((gamma!J35),IF(VLOOKUP(J$1,main!$A$3:$I$56,7,FALSE)=VLOOKUP($A35,main!$A$3:$I$56,8,FALSE),VLOOKUP(J$1,main!$A$3:$I$56,4,FALSE),VLOOKUP(J$1,main!$A$3:$I$56,4,FALSE)+VLOOKUP($A35,main!$A$3:$I$56,4,FALSE)+(VLOOKUP(VLOOKUP(J$1,main!$A$3:$I$56,8,FALSE),main!$K$19:$O$22,MATCH(VLOOKUP($A35,main!$A$3:$I$56,7,FALSE),main!$K$18:$O$18,0),0))),0)</f>
        <v>135</v>
      </c>
      <c r="K35">
        <f>IF((gamma!K35),IF(VLOOKUP(K$1,main!$A$3:$I$56,7,FALSE)=VLOOKUP($A35,main!$A$3:$I$56,8,FALSE),VLOOKUP(K$1,main!$A$3:$I$56,4,FALSE),VLOOKUP(K$1,main!$A$3:$I$56,4,FALSE)+VLOOKUP($A35,main!$A$3:$I$56,4,FALSE)+(VLOOKUP(VLOOKUP(K$1,main!$A$3:$I$56,8,FALSE),main!$K$19:$O$22,MATCH(VLOOKUP($A35,main!$A$3:$I$56,7,FALSE),main!$K$18:$O$18,0),0))),0)</f>
        <v>0</v>
      </c>
      <c r="L35">
        <f>IF((gamma!L35),IF(VLOOKUP(L$1,main!$A$3:$I$56,7,FALSE)=VLOOKUP($A35,main!$A$3:$I$56,8,FALSE),VLOOKUP(L$1,main!$A$3:$I$56,4,FALSE),VLOOKUP(L$1,main!$A$3:$I$56,4,FALSE)+VLOOKUP($A35,main!$A$3:$I$56,4,FALSE)+(VLOOKUP(VLOOKUP(L$1,main!$A$3:$I$56,8,FALSE),main!$K$19:$O$22,MATCH(VLOOKUP($A35,main!$A$3:$I$56,7,FALSE),main!$K$18:$O$18,0),0))),0)</f>
        <v>0</v>
      </c>
      <c r="M35">
        <f>IF((gamma!M35),IF(VLOOKUP(M$1,main!$A$3:$I$56,7,FALSE)=VLOOKUP($A35,main!$A$3:$I$56,8,FALSE),VLOOKUP(M$1,main!$A$3:$I$56,4,FALSE),VLOOKUP(M$1,main!$A$3:$I$56,4,FALSE)+VLOOKUP($A35,main!$A$3:$I$56,4,FALSE)+(VLOOKUP(VLOOKUP(M$1,main!$A$3:$I$56,8,FALSE),main!$K$19:$O$22,MATCH(VLOOKUP($A35,main!$A$3:$I$56,7,FALSE),main!$K$18:$O$18,0),0))),0)</f>
        <v>0</v>
      </c>
      <c r="N35">
        <f>IF((gamma!N35),IF(VLOOKUP(N$1,main!$A$3:$I$56,7,FALSE)=VLOOKUP($A35,main!$A$3:$I$56,8,FALSE),VLOOKUP(N$1,main!$A$3:$I$56,4,FALSE),VLOOKUP(N$1,main!$A$3:$I$56,4,FALSE)+VLOOKUP($A35,main!$A$3:$I$56,4,FALSE)+(VLOOKUP(VLOOKUP(N$1,main!$A$3:$I$56,8,FALSE),main!$K$19:$O$22,MATCH(VLOOKUP($A35,main!$A$3:$I$56,7,FALSE),main!$K$18:$O$18,0),0))),0)</f>
        <v>140</v>
      </c>
      <c r="O35">
        <f>IF((gamma!O35),IF(VLOOKUP(O$1,main!$A$3:$I$56,7,FALSE)=VLOOKUP($A35,main!$A$3:$I$56,8,FALSE),VLOOKUP(O$1,main!$A$3:$I$56,4,FALSE),VLOOKUP(O$1,main!$A$3:$I$56,4,FALSE)+VLOOKUP($A35,main!$A$3:$I$56,4,FALSE)+(VLOOKUP(VLOOKUP(O$1,main!$A$3:$I$56,8,FALSE),main!$K$19:$O$22,MATCH(VLOOKUP($A35,main!$A$3:$I$56,7,FALSE),main!$K$18:$O$18,0),0))),0)</f>
        <v>140</v>
      </c>
      <c r="P35">
        <f>IF((gamma!P35),IF(VLOOKUP(P$1,main!$A$3:$I$56,7,FALSE)=VLOOKUP($A35,main!$A$3:$I$56,8,FALSE),VLOOKUP(P$1,main!$A$3:$I$56,4,FALSE),VLOOKUP(P$1,main!$A$3:$I$56,4,FALSE)+VLOOKUP($A35,main!$A$3:$I$56,4,FALSE)+(VLOOKUP(VLOOKUP(P$1,main!$A$3:$I$56,8,FALSE),main!$K$19:$O$22,MATCH(VLOOKUP($A35,main!$A$3:$I$56,7,FALSE),main!$K$18:$O$18,0),0))),0)</f>
        <v>0</v>
      </c>
      <c r="Q35">
        <f>IF((gamma!Q35),IF(VLOOKUP(Q$1,main!$A$3:$I$56,7,FALSE)=VLOOKUP($A35,main!$A$3:$I$56,8,FALSE),VLOOKUP(Q$1,main!$A$3:$I$56,4,FALSE),VLOOKUP(Q$1,main!$A$3:$I$56,4,FALSE)+VLOOKUP($A35,main!$A$3:$I$56,4,FALSE)+(VLOOKUP(VLOOKUP(Q$1,main!$A$3:$I$56,8,FALSE),main!$K$19:$O$22,MATCH(VLOOKUP($A35,main!$A$3:$I$56,7,FALSE),main!$K$18:$O$18,0),0))),0)</f>
        <v>0</v>
      </c>
      <c r="R35">
        <f>IF((gamma!R35),IF(VLOOKUP(R$1,main!$A$3:$I$56,7,FALSE)=VLOOKUP($A35,main!$A$3:$I$56,8,FALSE),VLOOKUP(R$1,main!$A$3:$I$56,4,FALSE),VLOOKUP(R$1,main!$A$3:$I$56,4,FALSE)+VLOOKUP($A35,main!$A$3:$I$56,4,FALSE)+(VLOOKUP(VLOOKUP(R$1,main!$A$3:$I$56,8,FALSE),main!$K$19:$O$22,MATCH(VLOOKUP($A35,main!$A$3:$I$56,7,FALSE),main!$K$18:$O$18,0),0))),0)</f>
        <v>0</v>
      </c>
      <c r="S35">
        <f>IF((gamma!S35),IF(VLOOKUP(S$1,main!$A$3:$I$56,7,FALSE)=VLOOKUP($A35,main!$A$3:$I$56,8,FALSE),VLOOKUP(S$1,main!$A$3:$I$56,4,FALSE),VLOOKUP(S$1,main!$A$3:$I$56,4,FALSE)+VLOOKUP($A35,main!$A$3:$I$56,4,FALSE)+(VLOOKUP(VLOOKUP(S$1,main!$A$3:$I$56,8,FALSE),main!$K$19:$O$22,MATCH(VLOOKUP($A35,main!$A$3:$I$56,7,FALSE),main!$K$18:$O$18,0),0))),0)</f>
        <v>0</v>
      </c>
      <c r="T35">
        <f>IF((gamma!T35),IF(VLOOKUP(T$1,main!$A$3:$I$56,7,FALSE)=VLOOKUP($A35,main!$A$3:$I$56,8,FALSE),VLOOKUP(T$1,main!$A$3:$I$56,4,FALSE),VLOOKUP(T$1,main!$A$3:$I$56,4,FALSE)+VLOOKUP($A35,main!$A$3:$I$56,4,FALSE)+(VLOOKUP(VLOOKUP(T$1,main!$A$3:$I$56,8,FALSE),main!$K$19:$O$22,MATCH(VLOOKUP($A35,main!$A$3:$I$56,7,FALSE),main!$K$18:$O$18,0),0))),0)</f>
        <v>140</v>
      </c>
      <c r="U35">
        <f>IF((gamma!U35),IF(VLOOKUP(U$1,main!$A$3:$I$56,7,FALSE)=VLOOKUP($A35,main!$A$3:$I$56,8,FALSE),VLOOKUP(U$1,main!$A$3:$I$56,4,FALSE),VLOOKUP(U$1,main!$A$3:$I$56,4,FALSE)+VLOOKUP($A35,main!$A$3:$I$56,4,FALSE)+(VLOOKUP(VLOOKUP(U$1,main!$A$3:$I$56,8,FALSE),main!$K$19:$O$22,MATCH(VLOOKUP($A35,main!$A$3:$I$56,7,FALSE),main!$K$18:$O$18,0),0))),0)</f>
        <v>0</v>
      </c>
      <c r="V35">
        <f>IF((gamma!V35),IF(VLOOKUP(V$1,main!$A$3:$I$56,7,FALSE)=VLOOKUP($A35,main!$A$3:$I$56,8,FALSE),VLOOKUP(V$1,main!$A$3:$I$56,4,FALSE),VLOOKUP(V$1,main!$A$3:$I$56,4,FALSE)+VLOOKUP($A35,main!$A$3:$I$56,4,FALSE)+(VLOOKUP(VLOOKUP(V$1,main!$A$3:$I$56,8,FALSE),main!$K$19:$O$22,MATCH(VLOOKUP($A35,main!$A$3:$I$56,7,FALSE),main!$K$18:$O$18,0),0))),0)</f>
        <v>0</v>
      </c>
      <c r="W35">
        <f>IF((gamma!W35),IF(VLOOKUP(W$1,main!$A$3:$I$56,7,FALSE)=VLOOKUP($A35,main!$A$3:$I$56,8,FALSE),VLOOKUP(W$1,main!$A$3:$I$56,4,FALSE),VLOOKUP(W$1,main!$A$3:$I$56,4,FALSE)+VLOOKUP($A35,main!$A$3:$I$56,4,FALSE)+(VLOOKUP(VLOOKUP(W$1,main!$A$3:$I$56,8,FALSE),main!$K$19:$O$22,MATCH(VLOOKUP($A35,main!$A$3:$I$56,7,FALSE),main!$K$18:$O$18,0),0))),0)</f>
        <v>0</v>
      </c>
      <c r="X35">
        <f>IF((gamma!X35),IF(VLOOKUP(X$1,main!$A$3:$I$56,7,FALSE)=VLOOKUP($A35,main!$A$3:$I$56,8,FALSE),VLOOKUP(X$1,main!$A$3:$I$56,4,FALSE),VLOOKUP(X$1,main!$A$3:$I$56,4,FALSE)+VLOOKUP($A35,main!$A$3:$I$56,4,FALSE)+(VLOOKUP(VLOOKUP(X$1,main!$A$3:$I$56,8,FALSE),main!$K$19:$O$22,MATCH(VLOOKUP($A35,main!$A$3:$I$56,7,FALSE),main!$K$18:$O$18,0),0))),0)</f>
        <v>0</v>
      </c>
      <c r="Y35">
        <f>IF((gamma!Y35),IF(VLOOKUP(Y$1,main!$A$3:$I$56,7,FALSE)=VLOOKUP($A35,main!$A$3:$I$56,8,FALSE),VLOOKUP(Y$1,main!$A$3:$I$56,4,FALSE),VLOOKUP(Y$1,main!$A$3:$I$56,4,FALSE)+VLOOKUP($A35,main!$A$3:$I$56,4,FALSE)+(VLOOKUP(VLOOKUP(Y$1,main!$A$3:$I$56,8,FALSE),main!$K$19:$O$22,MATCH(VLOOKUP($A35,main!$A$3:$I$56,7,FALSE),main!$K$18:$O$18,0),0))),0)</f>
        <v>0</v>
      </c>
      <c r="Z35">
        <f>IF((gamma!Z35),IF(VLOOKUP(Z$1,main!$A$3:$I$56,7,FALSE)=VLOOKUP($A35,main!$A$3:$I$56,8,FALSE),VLOOKUP(Z$1,main!$A$3:$I$56,4,FALSE),VLOOKUP(Z$1,main!$A$3:$I$56,4,FALSE)+VLOOKUP($A35,main!$A$3:$I$56,4,FALSE)+(VLOOKUP(VLOOKUP(Z$1,main!$A$3:$I$56,8,FALSE),main!$K$19:$O$22,MATCH(VLOOKUP($A35,main!$A$3:$I$56,7,FALSE),main!$K$18:$O$18,0),0))),0)</f>
        <v>0</v>
      </c>
      <c r="AA35">
        <f>IF((gamma!AA35),IF(VLOOKUP(AA$1,main!$A$3:$I$56,7,FALSE)=VLOOKUP($A35,main!$A$3:$I$56,8,FALSE),VLOOKUP(AA$1,main!$A$3:$I$56,4,FALSE),VLOOKUP(AA$1,main!$A$3:$I$56,4,FALSE)+VLOOKUP($A35,main!$A$3:$I$56,4,FALSE)+(VLOOKUP(VLOOKUP(AA$1,main!$A$3:$I$56,8,FALSE),main!$K$19:$O$22,MATCH(VLOOKUP($A35,main!$A$3:$I$56,7,FALSE),main!$K$18:$O$18,0),0))),0)</f>
        <v>305</v>
      </c>
      <c r="AB35">
        <f>IF((gamma!AB35),IF(VLOOKUP(AB$1,main!$A$3:$I$56,7,FALSE)=VLOOKUP($A35,main!$A$3:$I$56,8,FALSE),VLOOKUP(AB$1,main!$A$3:$I$56,4,FALSE),VLOOKUP(AB$1,main!$A$3:$I$56,4,FALSE)+VLOOKUP($A35,main!$A$3:$I$56,4,FALSE)+(VLOOKUP(VLOOKUP(AB$1,main!$A$3:$I$56,8,FALSE),main!$K$19:$O$22,MATCH(VLOOKUP($A35,main!$A$3:$I$56,7,FALSE),main!$K$18:$O$18,0),0))),0)</f>
        <v>305</v>
      </c>
      <c r="AC35">
        <f>IF((gamma!AC35),IF(VLOOKUP(AC$1,main!$A$3:$I$56,7,FALSE)=VLOOKUP($A35,main!$A$3:$I$56,8,FALSE),VLOOKUP(AC$1,main!$A$3:$I$56,4,FALSE),VLOOKUP(AC$1,main!$A$3:$I$56,4,FALSE)+VLOOKUP($A35,main!$A$3:$I$56,4,FALSE)+(VLOOKUP(VLOOKUP(AC$1,main!$A$3:$I$56,8,FALSE),main!$K$19:$O$22,MATCH(VLOOKUP($A35,main!$A$3:$I$56,7,FALSE),main!$K$18:$O$18,0),0))),0)</f>
        <v>0</v>
      </c>
      <c r="AD35">
        <f>IF((gamma!AD35),IF(VLOOKUP(AD$1,main!$A$3:$I$56,7,FALSE)=VLOOKUP($A35,main!$A$3:$I$56,8,FALSE),VLOOKUP(AD$1,main!$A$3:$I$56,4,FALSE),VLOOKUP(AD$1,main!$A$3:$I$56,4,FALSE)+VLOOKUP($A35,main!$A$3:$I$56,4,FALSE)+(VLOOKUP(VLOOKUP(AD$1,main!$A$3:$I$56,8,FALSE),main!$K$19:$O$22,MATCH(VLOOKUP($A35,main!$A$3:$I$56,7,FALSE),main!$K$18:$O$18,0),0))),0)</f>
        <v>0</v>
      </c>
      <c r="AE35">
        <f>IF((gamma!AE35),IF(VLOOKUP(AE$1,main!$A$3:$I$56,7,FALSE)=VLOOKUP($A35,main!$A$3:$I$56,8,FALSE),VLOOKUP(AE$1,main!$A$3:$I$56,4,FALSE),VLOOKUP(AE$1,main!$A$3:$I$56,4,FALSE)+VLOOKUP($A35,main!$A$3:$I$56,4,FALSE)+(VLOOKUP(VLOOKUP(AE$1,main!$A$3:$I$56,8,FALSE),main!$K$19:$O$22,MATCH(VLOOKUP($A35,main!$A$3:$I$56,7,FALSE),main!$K$18:$O$18,0),0))),0)</f>
        <v>0</v>
      </c>
      <c r="AF35">
        <f>IF((gamma!AF35),IF(VLOOKUP(AF$1,main!$A$3:$I$56,7,FALSE)=VLOOKUP($A35,main!$A$3:$I$56,8,FALSE),VLOOKUP(AF$1,main!$A$3:$I$56,4,FALSE),VLOOKUP(AF$1,main!$A$3:$I$56,4,FALSE)+VLOOKUP($A35,main!$A$3:$I$56,4,FALSE)+(VLOOKUP(VLOOKUP(AF$1,main!$A$3:$I$56,8,FALSE),main!$K$19:$O$22,MATCH(VLOOKUP($A35,main!$A$3:$I$56,7,FALSE),main!$K$18:$O$18,0),0))),0)</f>
        <v>0</v>
      </c>
      <c r="AG35">
        <f>IF((gamma!AG35),IF(VLOOKUP(AG$1,main!$A$3:$I$56,7,FALSE)=VLOOKUP($A35,main!$A$3:$I$56,8,FALSE),VLOOKUP(AG$1,main!$A$3:$I$56,4,FALSE),VLOOKUP(AG$1,main!$A$3:$I$56,4,FALSE)+VLOOKUP($A35,main!$A$3:$I$56,4,FALSE)+(VLOOKUP(VLOOKUP(AG$1,main!$A$3:$I$56,8,FALSE),main!$K$19:$O$22,MATCH(VLOOKUP($A35,main!$A$3:$I$56,7,FALSE),main!$K$18:$O$18,0),0))),0)</f>
        <v>0</v>
      </c>
      <c r="AH35">
        <f>IF((gamma!AH35),IF(VLOOKUP(AH$1,main!$A$3:$I$56,7,FALSE)=VLOOKUP($A35,main!$A$3:$I$56,8,FALSE),VLOOKUP(AH$1,main!$A$3:$I$56,4,FALSE),VLOOKUP(AH$1,main!$A$3:$I$56,4,FALSE)+VLOOKUP($A35,main!$A$3:$I$56,4,FALSE)+(VLOOKUP(VLOOKUP(AH$1,main!$A$3:$I$56,8,FALSE),main!$K$19:$O$22,MATCH(VLOOKUP($A35,main!$A$3:$I$56,7,FALSE),main!$K$18:$O$18,0),0))),0)</f>
        <v>0</v>
      </c>
      <c r="AI35">
        <f>IF((gamma!AI35),IF(VLOOKUP(AI$1,main!$A$3:$I$56,7,FALSE)=VLOOKUP($A35,main!$A$3:$I$56,8,FALSE),VLOOKUP(AI$1,main!$A$3:$I$56,4,FALSE),VLOOKUP(AI$1,main!$A$3:$I$56,4,FALSE)+VLOOKUP($A35,main!$A$3:$I$56,4,FALSE)+(VLOOKUP(VLOOKUP(AI$1,main!$A$3:$I$56,8,FALSE),main!$K$19:$O$22,MATCH(VLOOKUP($A35,main!$A$3:$I$56,7,FALSE),main!$K$18:$O$18,0),0))),0)</f>
        <v>0</v>
      </c>
      <c r="AJ35">
        <f>IF((gamma!AJ35),IF(VLOOKUP(AJ$1,main!$A$3:$I$56,7,FALSE)=VLOOKUP($A35,main!$A$3:$I$56,8,FALSE),VLOOKUP(AJ$1,main!$A$3:$I$56,4,FALSE),VLOOKUP(AJ$1,main!$A$3:$I$56,4,FALSE)+VLOOKUP($A35,main!$A$3:$I$56,4,FALSE)+(VLOOKUP(VLOOKUP(AJ$1,main!$A$3:$I$56,8,FALSE),main!$K$19:$O$22,MATCH(VLOOKUP($A35,main!$A$3:$I$56,7,FALSE),main!$K$18:$O$18,0),0))),0)</f>
        <v>0</v>
      </c>
      <c r="AK35">
        <f>IF((gamma!AK35),IF(VLOOKUP(AK$1,main!$A$3:$I$56,7,FALSE)=VLOOKUP($A35,main!$A$3:$I$56,8,FALSE),VLOOKUP(AK$1,main!$A$3:$I$56,4,FALSE),VLOOKUP(AK$1,main!$A$3:$I$56,4,FALSE)+VLOOKUP($A35,main!$A$3:$I$56,4,FALSE)+(VLOOKUP(VLOOKUP(AK$1,main!$A$3:$I$56,8,FALSE),main!$K$19:$O$22,MATCH(VLOOKUP($A35,main!$A$3:$I$56,7,FALSE),main!$K$18:$O$18,0),0))),0)</f>
        <v>0</v>
      </c>
      <c r="AL35">
        <f>IF((gamma!AL35),IF(VLOOKUP(AL$1,main!$A$3:$I$56,7,FALSE)=VLOOKUP($A35,main!$A$3:$I$56,8,FALSE),VLOOKUP(AL$1,main!$A$3:$I$56,4,FALSE),VLOOKUP(AL$1,main!$A$3:$I$56,4,FALSE)+VLOOKUP($A35,main!$A$3:$I$56,4,FALSE)+(VLOOKUP(VLOOKUP(AL$1,main!$A$3:$I$56,8,FALSE),main!$K$19:$O$22,MATCH(VLOOKUP($A35,main!$A$3:$I$56,7,FALSE),main!$K$18:$O$18,0),0))),0)</f>
        <v>0</v>
      </c>
      <c r="AM35">
        <f>IF((gamma!AM35),IF(VLOOKUP(AM$1,main!$A$3:$I$56,7,FALSE)=VLOOKUP($A35,main!$A$3:$I$56,8,FALSE),VLOOKUP(AM$1,main!$A$3:$I$56,4,FALSE),VLOOKUP(AM$1,main!$A$3:$I$56,4,FALSE)+VLOOKUP($A35,main!$A$3:$I$56,4,FALSE)+(VLOOKUP(VLOOKUP(AM$1,main!$A$3:$I$56,8,FALSE),main!$K$19:$O$22,MATCH(VLOOKUP($A35,main!$A$3:$I$56,7,FALSE),main!$K$18:$O$18,0),0))),0)</f>
        <v>0</v>
      </c>
      <c r="AN35">
        <f>IF((gamma!AN35),IF(VLOOKUP(AN$1,main!$A$3:$I$56,7,FALSE)=VLOOKUP($A35,main!$A$3:$I$56,8,FALSE),VLOOKUP(AN$1,main!$A$3:$I$56,4,FALSE),VLOOKUP(AN$1,main!$A$3:$I$56,4,FALSE)+VLOOKUP($A35,main!$A$3:$I$56,4,FALSE)+(VLOOKUP(VLOOKUP(AN$1,main!$A$3:$I$56,8,FALSE),main!$K$19:$O$22,MATCH(VLOOKUP($A35,main!$A$3:$I$56,7,FALSE),main!$K$18:$O$18,0),0))),0)</f>
        <v>0</v>
      </c>
      <c r="AO35">
        <f>IF((gamma!AO35),IF(VLOOKUP(AO$1,main!$A$3:$I$56,7,FALSE)=VLOOKUP($A35,main!$A$3:$I$56,8,FALSE),VLOOKUP(AO$1,main!$A$3:$I$56,4,FALSE),VLOOKUP(AO$1,main!$A$3:$I$56,4,FALSE)+VLOOKUP($A35,main!$A$3:$I$56,4,FALSE)+(VLOOKUP(VLOOKUP(AO$1,main!$A$3:$I$56,8,FALSE),main!$K$19:$O$22,MATCH(VLOOKUP($A35,main!$A$3:$I$56,7,FALSE),main!$K$18:$O$18,0),0))),0)</f>
        <v>0</v>
      </c>
      <c r="AP35">
        <f>IF((gamma!AP35),IF(VLOOKUP(AP$1,main!$A$3:$I$56,7,FALSE)=VLOOKUP($A35,main!$A$3:$I$56,8,FALSE),VLOOKUP(AP$1,main!$A$3:$I$56,4,FALSE),VLOOKUP(AP$1,main!$A$3:$I$56,4,FALSE)+VLOOKUP($A35,main!$A$3:$I$56,4,FALSE)+(VLOOKUP(VLOOKUP(AP$1,main!$A$3:$I$56,8,FALSE),main!$K$19:$O$22,MATCH(VLOOKUP($A35,main!$A$3:$I$56,7,FALSE),main!$K$18:$O$18,0),0))),0)</f>
        <v>0</v>
      </c>
      <c r="AQ35">
        <f>IF((gamma!AQ35),IF(VLOOKUP(AQ$1,main!$A$3:$I$56,7,FALSE)=VLOOKUP($A35,main!$A$3:$I$56,8,FALSE),VLOOKUP(AQ$1,main!$A$3:$I$56,4,FALSE),VLOOKUP(AQ$1,main!$A$3:$I$56,4,FALSE)+VLOOKUP($A35,main!$A$3:$I$56,4,FALSE)+(VLOOKUP(VLOOKUP(AQ$1,main!$A$3:$I$56,8,FALSE),main!$K$19:$O$22,MATCH(VLOOKUP($A35,main!$A$3:$I$56,7,FALSE),main!$K$18:$O$18,0),0))),0)</f>
        <v>0</v>
      </c>
      <c r="AR35">
        <f>IF((gamma!AR35),IF(VLOOKUP(AR$1,main!$A$3:$I$56,7,FALSE)=VLOOKUP($A35,main!$A$3:$I$56,8,FALSE),VLOOKUP(AR$1,main!$A$3:$I$56,4,FALSE),VLOOKUP(AR$1,main!$A$3:$I$56,4,FALSE)+VLOOKUP($A35,main!$A$3:$I$56,4,FALSE)+(VLOOKUP(VLOOKUP(AR$1,main!$A$3:$I$56,8,FALSE),main!$K$19:$O$22,MATCH(VLOOKUP($A35,main!$A$3:$I$56,7,FALSE),main!$K$18:$O$18,0),0))),0)</f>
        <v>0</v>
      </c>
      <c r="AS35">
        <f>IF((gamma!AS35),IF(VLOOKUP(AS$1,main!$A$3:$I$56,7,FALSE)=VLOOKUP($A35,main!$A$3:$I$56,8,FALSE),VLOOKUP(AS$1,main!$A$3:$I$56,4,FALSE),VLOOKUP(AS$1,main!$A$3:$I$56,4,FALSE)+VLOOKUP($A35,main!$A$3:$I$56,4,FALSE)+(VLOOKUP(VLOOKUP(AS$1,main!$A$3:$I$56,8,FALSE),main!$K$19:$O$22,MATCH(VLOOKUP($A35,main!$A$3:$I$56,7,FALSE),main!$K$18:$O$18,0),0))),0)</f>
        <v>0</v>
      </c>
      <c r="AT35">
        <f>IF((gamma!AT35),IF(VLOOKUP(AT$1,main!$A$3:$I$56,7,FALSE)=VLOOKUP($A35,main!$A$3:$I$56,8,FALSE),VLOOKUP(AT$1,main!$A$3:$I$56,4,FALSE),VLOOKUP(AT$1,main!$A$3:$I$56,4,FALSE)+VLOOKUP($A35,main!$A$3:$I$56,4,FALSE)+(VLOOKUP(VLOOKUP(AT$1,main!$A$3:$I$56,8,FALSE),main!$K$19:$O$22,MATCH(VLOOKUP($A35,main!$A$3:$I$56,7,FALSE),main!$K$18:$O$18,0),0))),0)</f>
        <v>0</v>
      </c>
      <c r="AU35">
        <f>IF((gamma!AU35),IF(VLOOKUP(AU$1,main!$A$3:$I$56,7,FALSE)=VLOOKUP($A35,main!$A$3:$I$56,8,FALSE),VLOOKUP(AU$1,main!$A$3:$I$56,4,FALSE),VLOOKUP(AU$1,main!$A$3:$I$56,4,FALSE)+VLOOKUP($A35,main!$A$3:$I$56,4,FALSE)+(VLOOKUP(VLOOKUP(AU$1,main!$A$3:$I$56,8,FALSE),main!$K$19:$O$22,MATCH(VLOOKUP($A35,main!$A$3:$I$56,7,FALSE),main!$K$18:$O$18,0),0))),0)</f>
        <v>0</v>
      </c>
      <c r="AV35">
        <f>IF((gamma!AV35),IF(VLOOKUP(AV$1,main!$A$3:$I$56,7,FALSE)=VLOOKUP($A35,main!$A$3:$I$56,8,FALSE),VLOOKUP(AV$1,main!$A$3:$I$56,4,FALSE),VLOOKUP(AV$1,main!$A$3:$I$56,4,FALSE)+VLOOKUP($A35,main!$A$3:$I$56,4,FALSE)+(VLOOKUP(VLOOKUP(AV$1,main!$A$3:$I$56,8,FALSE),main!$K$19:$O$22,MATCH(VLOOKUP($A35,main!$A$3:$I$56,7,FALSE),main!$K$18:$O$18,0),0))),0)</f>
        <v>0</v>
      </c>
      <c r="AW35">
        <f>IF((gamma!AW35),IF(VLOOKUP(AW$1,main!$A$3:$I$56,7,FALSE)=VLOOKUP($A35,main!$A$3:$I$56,8,FALSE),VLOOKUP(AW$1,main!$A$3:$I$56,4,FALSE),VLOOKUP(AW$1,main!$A$3:$I$56,4,FALSE)+VLOOKUP($A35,main!$A$3:$I$56,4,FALSE)+(VLOOKUP(VLOOKUP(AW$1,main!$A$3:$I$56,8,FALSE),main!$K$19:$O$22,MATCH(VLOOKUP($A35,main!$A$3:$I$56,7,FALSE),main!$K$18:$O$18,0),0))),0)</f>
        <v>0</v>
      </c>
      <c r="AX35">
        <f>IF((gamma!AX35),IF(VLOOKUP(AX$1,main!$A$3:$I$56,7,FALSE)=VLOOKUP($A35,main!$A$3:$I$56,8,FALSE),VLOOKUP(AX$1,main!$A$3:$I$56,4,FALSE),VLOOKUP(AX$1,main!$A$3:$I$56,4,FALSE)+VLOOKUP($A35,main!$A$3:$I$56,4,FALSE)+(VLOOKUP(VLOOKUP(AX$1,main!$A$3:$I$56,8,FALSE),main!$K$19:$O$22,MATCH(VLOOKUP($A35,main!$A$3:$I$56,7,FALSE),main!$K$18:$O$18,0),0))),0)</f>
        <v>0</v>
      </c>
      <c r="AY35">
        <f>IF((gamma!AY35),IF(VLOOKUP(AY$1,main!$A$3:$I$56,7,FALSE)=VLOOKUP($A35,main!$A$3:$I$56,8,FALSE),VLOOKUP(AY$1,main!$A$3:$I$56,4,FALSE),VLOOKUP(AY$1,main!$A$3:$I$56,4,FALSE)+VLOOKUP($A35,main!$A$3:$I$56,4,FALSE)+(VLOOKUP(VLOOKUP(AY$1,main!$A$3:$I$56,8,FALSE),main!$K$19:$O$22,MATCH(VLOOKUP($A35,main!$A$3:$I$56,7,FALSE),main!$K$18:$O$18,0),0))),0)</f>
        <v>310</v>
      </c>
      <c r="AZ35">
        <f>IF((gamma!AZ35),IF(VLOOKUP(AZ$1,main!$A$3:$I$56,7,FALSE)=VLOOKUP($A35,main!$A$3:$I$56,8,FALSE),VLOOKUP(AZ$1,main!$A$3:$I$56,4,FALSE),VLOOKUP(AZ$1,main!$A$3:$I$56,4,FALSE)+VLOOKUP($A35,main!$A$3:$I$56,4,FALSE)+(VLOOKUP(VLOOKUP(AZ$1,main!$A$3:$I$56,8,FALSE),main!$K$19:$O$22,MATCH(VLOOKUP($A35,main!$A$3:$I$56,7,FALSE),main!$K$18:$O$18,0),0))),0)</f>
        <v>0</v>
      </c>
      <c r="BA35">
        <f>IF((gamma!BA35),IF(VLOOKUP(BA$1,main!$A$3:$I$56,7,FALSE)=VLOOKUP($A35,main!$A$3:$I$56,8,FALSE),VLOOKUP(BA$1,main!$A$3:$I$56,4,FALSE),VLOOKUP(BA$1,main!$A$3:$I$56,4,FALSE)+VLOOKUP($A35,main!$A$3:$I$56,4,FALSE)+(VLOOKUP(VLOOKUP(BA$1,main!$A$3:$I$56,8,FALSE),main!$K$19:$O$22,MATCH(VLOOKUP($A35,main!$A$3:$I$56,7,FALSE),main!$K$18:$O$18,0),0))),0)</f>
        <v>0</v>
      </c>
      <c r="BB35">
        <f>IF((gamma!BB35),IF(VLOOKUP(BB$1,main!$A$3:$I$56,7,FALSE)=VLOOKUP($A35,main!$A$3:$I$56,8,FALSE),VLOOKUP(BB$1,main!$A$3:$I$56,4,FALSE),VLOOKUP(BB$1,main!$A$3:$I$56,4,FALSE)+VLOOKUP($A35,main!$A$3:$I$56,4,FALSE)+(VLOOKUP(VLOOKUP(BB$1,main!$A$3:$I$56,8,FALSE),main!$K$19:$O$22,MATCH(VLOOKUP($A35,main!$A$3:$I$56,7,FALSE),main!$K$18:$O$18,0),0))),0)</f>
        <v>0</v>
      </c>
      <c r="BC35">
        <f>IF((gamma!BC35),IF(VLOOKUP(BC$1,main!$A$3:$I$56,7,FALSE)=VLOOKUP($A35,main!$A$3:$I$56,8,FALSE),VLOOKUP(BC$1,main!$A$3:$I$56,4,FALSE),VLOOKUP(BC$1,main!$A$3:$I$56,4,FALSE)+VLOOKUP($A35,main!$A$3:$I$56,4,FALSE)+(VLOOKUP(VLOOKUP(BC$1,main!$A$3:$I$56,8,FALSE),main!$K$19:$O$22,MATCH(VLOOKUP($A35,main!$A$3:$I$56,7,FALSE),main!$K$18:$O$18,0),0))),0)</f>
        <v>0</v>
      </c>
      <c r="BD35">
        <f>IF((gamma!BD35),IF(VLOOKUP(BD$1,main!$A$3:$I$56,7,FALSE)=VLOOKUP($A35,main!$A$3:$I$56,8,FALSE),VLOOKUP(BD$1,main!$A$3:$I$56,4,FALSE),VLOOKUP(BD$1,main!$A$3:$I$56,4,FALSE)+VLOOKUP($A35,main!$A$3:$I$56,4,FALSE)+(VLOOKUP(VLOOKUP(BD$1,main!$A$3:$I$56,8,FALSE),main!$K$19:$O$22,MATCH(VLOOKUP($A35,main!$A$3:$I$56,7,FALSE),main!$K$18:$O$18,0),0))),0)</f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5">
      <c r="A36">
        <f t="shared" si="0"/>
        <v>34</v>
      </c>
      <c r="B36">
        <v>0</v>
      </c>
      <c r="C36">
        <f>IF((gamma!C36),IF(VLOOKUP(C$1,main!$A$3:$I$56,7,FALSE)=VLOOKUP($A36,main!$A$3:$I$56,8,FALSE),VLOOKUP(C$1,main!$A$3:$I$56,4,FALSE),VLOOKUP(C$1,main!$A$3:$I$56,4,FALSE)+VLOOKUP($A36,main!$A$3:$I$56,4,FALSE)+(VLOOKUP(VLOOKUP(C$1,main!$A$3:$I$56,8,FALSE),main!$K$19:$O$22,MATCH(VLOOKUP($A36,main!$A$3:$I$56,7,FALSE),main!$K$18:$O$18,0),0))),0)</f>
        <v>0</v>
      </c>
      <c r="D36">
        <f>IF((gamma!D36),IF(VLOOKUP(D$1,main!$A$3:$I$56,7,FALSE)=VLOOKUP($A36,main!$A$3:$I$56,8,FALSE),VLOOKUP(D$1,main!$A$3:$I$56,4,FALSE),VLOOKUP(D$1,main!$A$3:$I$56,4,FALSE)+VLOOKUP($A36,main!$A$3:$I$56,4,FALSE)+(VLOOKUP(VLOOKUP(D$1,main!$A$3:$I$56,8,FALSE),main!$K$19:$O$22,MATCH(VLOOKUP($A36,main!$A$3:$I$56,7,FALSE),main!$K$18:$O$18,0),0))),0)</f>
        <v>0</v>
      </c>
      <c r="E36">
        <f>IF((gamma!E36),IF(VLOOKUP(E$1,main!$A$3:$I$56,7,FALSE)=VLOOKUP($A36,main!$A$3:$I$56,8,FALSE),VLOOKUP(E$1,main!$A$3:$I$56,4,FALSE),VLOOKUP(E$1,main!$A$3:$I$56,4,FALSE)+VLOOKUP($A36,main!$A$3:$I$56,4,FALSE)+(VLOOKUP(VLOOKUP(E$1,main!$A$3:$I$56,8,FALSE),main!$K$19:$O$22,MATCH(VLOOKUP($A36,main!$A$3:$I$56,7,FALSE),main!$K$18:$O$18,0),0))),0)</f>
        <v>0</v>
      </c>
      <c r="F36">
        <f>IF((gamma!F36),IF(VLOOKUP(F$1,main!$A$3:$I$56,7,FALSE)=VLOOKUP($A36,main!$A$3:$I$56,8,FALSE),VLOOKUP(F$1,main!$A$3:$I$56,4,FALSE),VLOOKUP(F$1,main!$A$3:$I$56,4,FALSE)+VLOOKUP($A36,main!$A$3:$I$56,4,FALSE)+(VLOOKUP(VLOOKUP(F$1,main!$A$3:$I$56,8,FALSE),main!$K$19:$O$22,MATCH(VLOOKUP($A36,main!$A$3:$I$56,7,FALSE),main!$K$18:$O$18,0),0))),0)</f>
        <v>0</v>
      </c>
      <c r="G36">
        <f>IF((gamma!G36),IF(VLOOKUP(G$1,main!$A$3:$I$56,7,FALSE)=VLOOKUP($A36,main!$A$3:$I$56,8,FALSE),VLOOKUP(G$1,main!$A$3:$I$56,4,FALSE),VLOOKUP(G$1,main!$A$3:$I$56,4,FALSE)+VLOOKUP($A36,main!$A$3:$I$56,4,FALSE)+(VLOOKUP(VLOOKUP(G$1,main!$A$3:$I$56,8,FALSE),main!$K$19:$O$22,MATCH(VLOOKUP($A36,main!$A$3:$I$56,7,FALSE),main!$K$18:$O$18,0),0))),0)</f>
        <v>0</v>
      </c>
      <c r="H36">
        <f>IF((gamma!H36),IF(VLOOKUP(H$1,main!$A$3:$I$56,7,FALSE)=VLOOKUP($A36,main!$A$3:$I$56,8,FALSE),VLOOKUP(H$1,main!$A$3:$I$56,4,FALSE),VLOOKUP(H$1,main!$A$3:$I$56,4,FALSE)+VLOOKUP($A36,main!$A$3:$I$56,4,FALSE)+(VLOOKUP(VLOOKUP(H$1,main!$A$3:$I$56,8,FALSE),main!$K$19:$O$22,MATCH(VLOOKUP($A36,main!$A$3:$I$56,7,FALSE),main!$K$18:$O$18,0),0))),0)</f>
        <v>0</v>
      </c>
      <c r="I36">
        <f>IF((gamma!I36),IF(VLOOKUP(I$1,main!$A$3:$I$56,7,FALSE)=VLOOKUP($A36,main!$A$3:$I$56,8,FALSE),VLOOKUP(I$1,main!$A$3:$I$56,4,FALSE),VLOOKUP(I$1,main!$A$3:$I$56,4,FALSE)+VLOOKUP($A36,main!$A$3:$I$56,4,FALSE)+(VLOOKUP(VLOOKUP(I$1,main!$A$3:$I$56,8,FALSE),main!$K$19:$O$22,MATCH(VLOOKUP($A36,main!$A$3:$I$56,7,FALSE),main!$K$18:$O$18,0),0))),0)</f>
        <v>135</v>
      </c>
      <c r="J36">
        <f>IF((gamma!J36),IF(VLOOKUP(J$1,main!$A$3:$I$56,7,FALSE)=VLOOKUP($A36,main!$A$3:$I$56,8,FALSE),VLOOKUP(J$1,main!$A$3:$I$56,4,FALSE),VLOOKUP(J$1,main!$A$3:$I$56,4,FALSE)+VLOOKUP($A36,main!$A$3:$I$56,4,FALSE)+(VLOOKUP(VLOOKUP(J$1,main!$A$3:$I$56,8,FALSE),main!$K$19:$O$22,MATCH(VLOOKUP($A36,main!$A$3:$I$56,7,FALSE),main!$K$18:$O$18,0),0))),0)</f>
        <v>135</v>
      </c>
      <c r="K36">
        <f>IF((gamma!K36),IF(VLOOKUP(K$1,main!$A$3:$I$56,7,FALSE)=VLOOKUP($A36,main!$A$3:$I$56,8,FALSE),VLOOKUP(K$1,main!$A$3:$I$56,4,FALSE),VLOOKUP(K$1,main!$A$3:$I$56,4,FALSE)+VLOOKUP($A36,main!$A$3:$I$56,4,FALSE)+(VLOOKUP(VLOOKUP(K$1,main!$A$3:$I$56,8,FALSE),main!$K$19:$O$22,MATCH(VLOOKUP($A36,main!$A$3:$I$56,7,FALSE),main!$K$18:$O$18,0),0))),0)</f>
        <v>0</v>
      </c>
      <c r="L36">
        <f>IF((gamma!L36),IF(VLOOKUP(L$1,main!$A$3:$I$56,7,FALSE)=VLOOKUP($A36,main!$A$3:$I$56,8,FALSE),VLOOKUP(L$1,main!$A$3:$I$56,4,FALSE),VLOOKUP(L$1,main!$A$3:$I$56,4,FALSE)+VLOOKUP($A36,main!$A$3:$I$56,4,FALSE)+(VLOOKUP(VLOOKUP(L$1,main!$A$3:$I$56,8,FALSE),main!$K$19:$O$22,MATCH(VLOOKUP($A36,main!$A$3:$I$56,7,FALSE),main!$K$18:$O$18,0),0))),0)</f>
        <v>0</v>
      </c>
      <c r="M36">
        <f>IF((gamma!M36),IF(VLOOKUP(M$1,main!$A$3:$I$56,7,FALSE)=VLOOKUP($A36,main!$A$3:$I$56,8,FALSE),VLOOKUP(M$1,main!$A$3:$I$56,4,FALSE),VLOOKUP(M$1,main!$A$3:$I$56,4,FALSE)+VLOOKUP($A36,main!$A$3:$I$56,4,FALSE)+(VLOOKUP(VLOOKUP(M$1,main!$A$3:$I$56,8,FALSE),main!$K$19:$O$22,MATCH(VLOOKUP($A36,main!$A$3:$I$56,7,FALSE),main!$K$18:$O$18,0),0))),0)</f>
        <v>0</v>
      </c>
      <c r="N36">
        <f>IF((gamma!N36),IF(VLOOKUP(N$1,main!$A$3:$I$56,7,FALSE)=VLOOKUP($A36,main!$A$3:$I$56,8,FALSE),VLOOKUP(N$1,main!$A$3:$I$56,4,FALSE),VLOOKUP(N$1,main!$A$3:$I$56,4,FALSE)+VLOOKUP($A36,main!$A$3:$I$56,4,FALSE)+(VLOOKUP(VLOOKUP(N$1,main!$A$3:$I$56,8,FALSE),main!$K$19:$O$22,MATCH(VLOOKUP($A36,main!$A$3:$I$56,7,FALSE),main!$K$18:$O$18,0),0))),0)</f>
        <v>140</v>
      </c>
      <c r="O36">
        <f>IF((gamma!O36),IF(VLOOKUP(O$1,main!$A$3:$I$56,7,FALSE)=VLOOKUP($A36,main!$A$3:$I$56,8,FALSE),VLOOKUP(O$1,main!$A$3:$I$56,4,FALSE),VLOOKUP(O$1,main!$A$3:$I$56,4,FALSE)+VLOOKUP($A36,main!$A$3:$I$56,4,FALSE)+(VLOOKUP(VLOOKUP(O$1,main!$A$3:$I$56,8,FALSE),main!$K$19:$O$22,MATCH(VLOOKUP($A36,main!$A$3:$I$56,7,FALSE),main!$K$18:$O$18,0),0))),0)</f>
        <v>140</v>
      </c>
      <c r="P36">
        <f>IF((gamma!P36),IF(VLOOKUP(P$1,main!$A$3:$I$56,7,FALSE)=VLOOKUP($A36,main!$A$3:$I$56,8,FALSE),VLOOKUP(P$1,main!$A$3:$I$56,4,FALSE),VLOOKUP(P$1,main!$A$3:$I$56,4,FALSE)+VLOOKUP($A36,main!$A$3:$I$56,4,FALSE)+(VLOOKUP(VLOOKUP(P$1,main!$A$3:$I$56,8,FALSE),main!$K$19:$O$22,MATCH(VLOOKUP($A36,main!$A$3:$I$56,7,FALSE),main!$K$18:$O$18,0),0))),0)</f>
        <v>0</v>
      </c>
      <c r="Q36">
        <f>IF((gamma!Q36),IF(VLOOKUP(Q$1,main!$A$3:$I$56,7,FALSE)=VLOOKUP($A36,main!$A$3:$I$56,8,FALSE),VLOOKUP(Q$1,main!$A$3:$I$56,4,FALSE),VLOOKUP(Q$1,main!$A$3:$I$56,4,FALSE)+VLOOKUP($A36,main!$A$3:$I$56,4,FALSE)+(VLOOKUP(VLOOKUP(Q$1,main!$A$3:$I$56,8,FALSE),main!$K$19:$O$22,MATCH(VLOOKUP($A36,main!$A$3:$I$56,7,FALSE),main!$K$18:$O$18,0),0))),0)</f>
        <v>0</v>
      </c>
      <c r="R36">
        <f>IF((gamma!R36),IF(VLOOKUP(R$1,main!$A$3:$I$56,7,FALSE)=VLOOKUP($A36,main!$A$3:$I$56,8,FALSE),VLOOKUP(R$1,main!$A$3:$I$56,4,FALSE),VLOOKUP(R$1,main!$A$3:$I$56,4,FALSE)+VLOOKUP($A36,main!$A$3:$I$56,4,FALSE)+(VLOOKUP(VLOOKUP(R$1,main!$A$3:$I$56,8,FALSE),main!$K$19:$O$22,MATCH(VLOOKUP($A36,main!$A$3:$I$56,7,FALSE),main!$K$18:$O$18,0),0))),0)</f>
        <v>0</v>
      </c>
      <c r="S36">
        <f>IF((gamma!S36),IF(VLOOKUP(S$1,main!$A$3:$I$56,7,FALSE)=VLOOKUP($A36,main!$A$3:$I$56,8,FALSE),VLOOKUP(S$1,main!$A$3:$I$56,4,FALSE),VLOOKUP(S$1,main!$A$3:$I$56,4,FALSE)+VLOOKUP($A36,main!$A$3:$I$56,4,FALSE)+(VLOOKUP(VLOOKUP(S$1,main!$A$3:$I$56,8,FALSE),main!$K$19:$O$22,MATCH(VLOOKUP($A36,main!$A$3:$I$56,7,FALSE),main!$K$18:$O$18,0),0))),0)</f>
        <v>0</v>
      </c>
      <c r="T36">
        <f>IF((gamma!T36),IF(VLOOKUP(T$1,main!$A$3:$I$56,7,FALSE)=VLOOKUP($A36,main!$A$3:$I$56,8,FALSE),VLOOKUP(T$1,main!$A$3:$I$56,4,FALSE),VLOOKUP(T$1,main!$A$3:$I$56,4,FALSE)+VLOOKUP($A36,main!$A$3:$I$56,4,FALSE)+(VLOOKUP(VLOOKUP(T$1,main!$A$3:$I$56,8,FALSE),main!$K$19:$O$22,MATCH(VLOOKUP($A36,main!$A$3:$I$56,7,FALSE),main!$K$18:$O$18,0),0))),0)</f>
        <v>140</v>
      </c>
      <c r="U36">
        <f>IF((gamma!U36),IF(VLOOKUP(U$1,main!$A$3:$I$56,7,FALSE)=VLOOKUP($A36,main!$A$3:$I$56,8,FALSE),VLOOKUP(U$1,main!$A$3:$I$56,4,FALSE),VLOOKUP(U$1,main!$A$3:$I$56,4,FALSE)+VLOOKUP($A36,main!$A$3:$I$56,4,FALSE)+(VLOOKUP(VLOOKUP(U$1,main!$A$3:$I$56,8,FALSE),main!$K$19:$O$22,MATCH(VLOOKUP($A36,main!$A$3:$I$56,7,FALSE),main!$K$18:$O$18,0),0))),0)</f>
        <v>0</v>
      </c>
      <c r="V36">
        <f>IF((gamma!V36),IF(VLOOKUP(V$1,main!$A$3:$I$56,7,FALSE)=VLOOKUP($A36,main!$A$3:$I$56,8,FALSE),VLOOKUP(V$1,main!$A$3:$I$56,4,FALSE),VLOOKUP(V$1,main!$A$3:$I$56,4,FALSE)+VLOOKUP($A36,main!$A$3:$I$56,4,FALSE)+(VLOOKUP(VLOOKUP(V$1,main!$A$3:$I$56,8,FALSE),main!$K$19:$O$22,MATCH(VLOOKUP($A36,main!$A$3:$I$56,7,FALSE),main!$K$18:$O$18,0),0))),0)</f>
        <v>0</v>
      </c>
      <c r="W36">
        <f>IF((gamma!W36),IF(VLOOKUP(W$1,main!$A$3:$I$56,7,FALSE)=VLOOKUP($A36,main!$A$3:$I$56,8,FALSE),VLOOKUP(W$1,main!$A$3:$I$56,4,FALSE),VLOOKUP(W$1,main!$A$3:$I$56,4,FALSE)+VLOOKUP($A36,main!$A$3:$I$56,4,FALSE)+(VLOOKUP(VLOOKUP(W$1,main!$A$3:$I$56,8,FALSE),main!$K$19:$O$22,MATCH(VLOOKUP($A36,main!$A$3:$I$56,7,FALSE),main!$K$18:$O$18,0),0))),0)</f>
        <v>0</v>
      </c>
      <c r="X36">
        <f>IF((gamma!X36),IF(VLOOKUP(X$1,main!$A$3:$I$56,7,FALSE)=VLOOKUP($A36,main!$A$3:$I$56,8,FALSE),VLOOKUP(X$1,main!$A$3:$I$56,4,FALSE),VLOOKUP(X$1,main!$A$3:$I$56,4,FALSE)+VLOOKUP($A36,main!$A$3:$I$56,4,FALSE)+(VLOOKUP(VLOOKUP(X$1,main!$A$3:$I$56,8,FALSE),main!$K$19:$O$22,MATCH(VLOOKUP($A36,main!$A$3:$I$56,7,FALSE),main!$K$18:$O$18,0),0))),0)</f>
        <v>0</v>
      </c>
      <c r="Y36">
        <f>IF((gamma!Y36),IF(VLOOKUP(Y$1,main!$A$3:$I$56,7,FALSE)=VLOOKUP($A36,main!$A$3:$I$56,8,FALSE),VLOOKUP(Y$1,main!$A$3:$I$56,4,FALSE),VLOOKUP(Y$1,main!$A$3:$I$56,4,FALSE)+VLOOKUP($A36,main!$A$3:$I$56,4,FALSE)+(VLOOKUP(VLOOKUP(Y$1,main!$A$3:$I$56,8,FALSE),main!$K$19:$O$22,MATCH(VLOOKUP($A36,main!$A$3:$I$56,7,FALSE),main!$K$18:$O$18,0),0))),0)</f>
        <v>0</v>
      </c>
      <c r="Z36">
        <f>IF((gamma!Z36),IF(VLOOKUP(Z$1,main!$A$3:$I$56,7,FALSE)=VLOOKUP($A36,main!$A$3:$I$56,8,FALSE),VLOOKUP(Z$1,main!$A$3:$I$56,4,FALSE),VLOOKUP(Z$1,main!$A$3:$I$56,4,FALSE)+VLOOKUP($A36,main!$A$3:$I$56,4,FALSE)+(VLOOKUP(VLOOKUP(Z$1,main!$A$3:$I$56,8,FALSE),main!$K$19:$O$22,MATCH(VLOOKUP($A36,main!$A$3:$I$56,7,FALSE),main!$K$18:$O$18,0),0))),0)</f>
        <v>0</v>
      </c>
      <c r="AA36">
        <f>IF((gamma!AA36),IF(VLOOKUP(AA$1,main!$A$3:$I$56,7,FALSE)=VLOOKUP($A36,main!$A$3:$I$56,8,FALSE),VLOOKUP(AA$1,main!$A$3:$I$56,4,FALSE),VLOOKUP(AA$1,main!$A$3:$I$56,4,FALSE)+VLOOKUP($A36,main!$A$3:$I$56,4,FALSE)+(VLOOKUP(VLOOKUP(AA$1,main!$A$3:$I$56,8,FALSE),main!$K$19:$O$22,MATCH(VLOOKUP($A36,main!$A$3:$I$56,7,FALSE),main!$K$18:$O$18,0),0))),0)</f>
        <v>0</v>
      </c>
      <c r="AB36">
        <f>IF((gamma!AB36),IF(VLOOKUP(AB$1,main!$A$3:$I$56,7,FALSE)=VLOOKUP($A36,main!$A$3:$I$56,8,FALSE),VLOOKUP(AB$1,main!$A$3:$I$56,4,FALSE),VLOOKUP(AB$1,main!$A$3:$I$56,4,FALSE)+VLOOKUP($A36,main!$A$3:$I$56,4,FALSE)+(VLOOKUP(VLOOKUP(AB$1,main!$A$3:$I$56,8,FALSE),main!$K$19:$O$22,MATCH(VLOOKUP($A36,main!$A$3:$I$56,7,FALSE),main!$K$18:$O$18,0),0))),0)</f>
        <v>305</v>
      </c>
      <c r="AC36">
        <f>IF((gamma!AC36),IF(VLOOKUP(AC$1,main!$A$3:$I$56,7,FALSE)=VLOOKUP($A36,main!$A$3:$I$56,8,FALSE),VLOOKUP(AC$1,main!$A$3:$I$56,4,FALSE),VLOOKUP(AC$1,main!$A$3:$I$56,4,FALSE)+VLOOKUP($A36,main!$A$3:$I$56,4,FALSE)+(VLOOKUP(VLOOKUP(AC$1,main!$A$3:$I$56,8,FALSE),main!$K$19:$O$22,MATCH(VLOOKUP($A36,main!$A$3:$I$56,7,FALSE),main!$K$18:$O$18,0),0))),0)</f>
        <v>0</v>
      </c>
      <c r="AD36">
        <f>IF((gamma!AD36),IF(VLOOKUP(AD$1,main!$A$3:$I$56,7,FALSE)=VLOOKUP($A36,main!$A$3:$I$56,8,FALSE),VLOOKUP(AD$1,main!$A$3:$I$56,4,FALSE),VLOOKUP(AD$1,main!$A$3:$I$56,4,FALSE)+VLOOKUP($A36,main!$A$3:$I$56,4,FALSE)+(VLOOKUP(VLOOKUP(AD$1,main!$A$3:$I$56,8,FALSE),main!$K$19:$O$22,MATCH(VLOOKUP($A36,main!$A$3:$I$56,7,FALSE),main!$K$18:$O$18,0),0))),0)</f>
        <v>0</v>
      </c>
      <c r="AE36">
        <f>IF((gamma!AE36),IF(VLOOKUP(AE$1,main!$A$3:$I$56,7,FALSE)=VLOOKUP($A36,main!$A$3:$I$56,8,FALSE),VLOOKUP(AE$1,main!$A$3:$I$56,4,FALSE),VLOOKUP(AE$1,main!$A$3:$I$56,4,FALSE)+VLOOKUP($A36,main!$A$3:$I$56,4,FALSE)+(VLOOKUP(VLOOKUP(AE$1,main!$A$3:$I$56,8,FALSE),main!$K$19:$O$22,MATCH(VLOOKUP($A36,main!$A$3:$I$56,7,FALSE),main!$K$18:$O$18,0),0))),0)</f>
        <v>0</v>
      </c>
      <c r="AF36">
        <f>IF((gamma!AF36),IF(VLOOKUP(AF$1,main!$A$3:$I$56,7,FALSE)=VLOOKUP($A36,main!$A$3:$I$56,8,FALSE),VLOOKUP(AF$1,main!$A$3:$I$56,4,FALSE),VLOOKUP(AF$1,main!$A$3:$I$56,4,FALSE)+VLOOKUP($A36,main!$A$3:$I$56,4,FALSE)+(VLOOKUP(VLOOKUP(AF$1,main!$A$3:$I$56,8,FALSE),main!$K$19:$O$22,MATCH(VLOOKUP($A36,main!$A$3:$I$56,7,FALSE),main!$K$18:$O$18,0),0))),0)</f>
        <v>0</v>
      </c>
      <c r="AG36">
        <f>IF((gamma!AG36),IF(VLOOKUP(AG$1,main!$A$3:$I$56,7,FALSE)=VLOOKUP($A36,main!$A$3:$I$56,8,FALSE),VLOOKUP(AG$1,main!$A$3:$I$56,4,FALSE),VLOOKUP(AG$1,main!$A$3:$I$56,4,FALSE)+VLOOKUP($A36,main!$A$3:$I$56,4,FALSE)+(VLOOKUP(VLOOKUP(AG$1,main!$A$3:$I$56,8,FALSE),main!$K$19:$O$22,MATCH(VLOOKUP($A36,main!$A$3:$I$56,7,FALSE),main!$K$18:$O$18,0),0))),0)</f>
        <v>0</v>
      </c>
      <c r="AH36">
        <f>IF((gamma!AH36),IF(VLOOKUP(AH$1,main!$A$3:$I$56,7,FALSE)=VLOOKUP($A36,main!$A$3:$I$56,8,FALSE),VLOOKUP(AH$1,main!$A$3:$I$56,4,FALSE),VLOOKUP(AH$1,main!$A$3:$I$56,4,FALSE)+VLOOKUP($A36,main!$A$3:$I$56,4,FALSE)+(VLOOKUP(VLOOKUP(AH$1,main!$A$3:$I$56,8,FALSE),main!$K$19:$O$22,MATCH(VLOOKUP($A36,main!$A$3:$I$56,7,FALSE),main!$K$18:$O$18,0),0))),0)</f>
        <v>0</v>
      </c>
      <c r="AI36">
        <f>IF((gamma!AI36),IF(VLOOKUP(AI$1,main!$A$3:$I$56,7,FALSE)=VLOOKUP($A36,main!$A$3:$I$56,8,FALSE),VLOOKUP(AI$1,main!$A$3:$I$56,4,FALSE),VLOOKUP(AI$1,main!$A$3:$I$56,4,FALSE)+VLOOKUP($A36,main!$A$3:$I$56,4,FALSE)+(VLOOKUP(VLOOKUP(AI$1,main!$A$3:$I$56,8,FALSE),main!$K$19:$O$22,MATCH(VLOOKUP($A36,main!$A$3:$I$56,7,FALSE),main!$K$18:$O$18,0),0))),0)</f>
        <v>0</v>
      </c>
      <c r="AJ36">
        <f>IF((gamma!AJ36),IF(VLOOKUP(AJ$1,main!$A$3:$I$56,7,FALSE)=VLOOKUP($A36,main!$A$3:$I$56,8,FALSE),VLOOKUP(AJ$1,main!$A$3:$I$56,4,FALSE),VLOOKUP(AJ$1,main!$A$3:$I$56,4,FALSE)+VLOOKUP($A36,main!$A$3:$I$56,4,FALSE)+(VLOOKUP(VLOOKUP(AJ$1,main!$A$3:$I$56,8,FALSE),main!$K$19:$O$22,MATCH(VLOOKUP($A36,main!$A$3:$I$56,7,FALSE),main!$K$18:$O$18,0),0))),0)</f>
        <v>0</v>
      </c>
      <c r="AK36">
        <f>IF((gamma!AK36),IF(VLOOKUP(AK$1,main!$A$3:$I$56,7,FALSE)=VLOOKUP($A36,main!$A$3:$I$56,8,FALSE),VLOOKUP(AK$1,main!$A$3:$I$56,4,FALSE),VLOOKUP(AK$1,main!$A$3:$I$56,4,FALSE)+VLOOKUP($A36,main!$A$3:$I$56,4,FALSE)+(VLOOKUP(VLOOKUP(AK$1,main!$A$3:$I$56,8,FALSE),main!$K$19:$O$22,MATCH(VLOOKUP($A36,main!$A$3:$I$56,7,FALSE),main!$K$18:$O$18,0),0))),0)</f>
        <v>0</v>
      </c>
      <c r="AL36">
        <f>IF((gamma!AL36),IF(VLOOKUP(AL$1,main!$A$3:$I$56,7,FALSE)=VLOOKUP($A36,main!$A$3:$I$56,8,FALSE),VLOOKUP(AL$1,main!$A$3:$I$56,4,FALSE),VLOOKUP(AL$1,main!$A$3:$I$56,4,FALSE)+VLOOKUP($A36,main!$A$3:$I$56,4,FALSE)+(VLOOKUP(VLOOKUP(AL$1,main!$A$3:$I$56,8,FALSE),main!$K$19:$O$22,MATCH(VLOOKUP($A36,main!$A$3:$I$56,7,FALSE),main!$K$18:$O$18,0),0))),0)</f>
        <v>0</v>
      </c>
      <c r="AM36">
        <f>IF((gamma!AM36),IF(VLOOKUP(AM$1,main!$A$3:$I$56,7,FALSE)=VLOOKUP($A36,main!$A$3:$I$56,8,FALSE),VLOOKUP(AM$1,main!$A$3:$I$56,4,FALSE),VLOOKUP(AM$1,main!$A$3:$I$56,4,FALSE)+VLOOKUP($A36,main!$A$3:$I$56,4,FALSE)+(VLOOKUP(VLOOKUP(AM$1,main!$A$3:$I$56,8,FALSE),main!$K$19:$O$22,MATCH(VLOOKUP($A36,main!$A$3:$I$56,7,FALSE),main!$K$18:$O$18,0),0))),0)</f>
        <v>0</v>
      </c>
      <c r="AN36">
        <f>IF((gamma!AN36),IF(VLOOKUP(AN$1,main!$A$3:$I$56,7,FALSE)=VLOOKUP($A36,main!$A$3:$I$56,8,FALSE),VLOOKUP(AN$1,main!$A$3:$I$56,4,FALSE),VLOOKUP(AN$1,main!$A$3:$I$56,4,FALSE)+VLOOKUP($A36,main!$A$3:$I$56,4,FALSE)+(VLOOKUP(VLOOKUP(AN$1,main!$A$3:$I$56,8,FALSE),main!$K$19:$O$22,MATCH(VLOOKUP($A36,main!$A$3:$I$56,7,FALSE),main!$K$18:$O$18,0),0))),0)</f>
        <v>0</v>
      </c>
      <c r="AO36">
        <f>IF((gamma!AO36),IF(VLOOKUP(AO$1,main!$A$3:$I$56,7,FALSE)=VLOOKUP($A36,main!$A$3:$I$56,8,FALSE),VLOOKUP(AO$1,main!$A$3:$I$56,4,FALSE),VLOOKUP(AO$1,main!$A$3:$I$56,4,FALSE)+VLOOKUP($A36,main!$A$3:$I$56,4,FALSE)+(VLOOKUP(VLOOKUP(AO$1,main!$A$3:$I$56,8,FALSE),main!$K$19:$O$22,MATCH(VLOOKUP($A36,main!$A$3:$I$56,7,FALSE),main!$K$18:$O$18,0),0))),0)</f>
        <v>0</v>
      </c>
      <c r="AP36">
        <f>IF((gamma!AP36),IF(VLOOKUP(AP$1,main!$A$3:$I$56,7,FALSE)=VLOOKUP($A36,main!$A$3:$I$56,8,FALSE),VLOOKUP(AP$1,main!$A$3:$I$56,4,FALSE),VLOOKUP(AP$1,main!$A$3:$I$56,4,FALSE)+VLOOKUP($A36,main!$A$3:$I$56,4,FALSE)+(VLOOKUP(VLOOKUP(AP$1,main!$A$3:$I$56,8,FALSE),main!$K$19:$O$22,MATCH(VLOOKUP($A36,main!$A$3:$I$56,7,FALSE),main!$K$18:$O$18,0),0))),0)</f>
        <v>0</v>
      </c>
      <c r="AQ36">
        <f>IF((gamma!AQ36),IF(VLOOKUP(AQ$1,main!$A$3:$I$56,7,FALSE)=VLOOKUP($A36,main!$A$3:$I$56,8,FALSE),VLOOKUP(AQ$1,main!$A$3:$I$56,4,FALSE),VLOOKUP(AQ$1,main!$A$3:$I$56,4,FALSE)+VLOOKUP($A36,main!$A$3:$I$56,4,FALSE)+(VLOOKUP(VLOOKUP(AQ$1,main!$A$3:$I$56,8,FALSE),main!$K$19:$O$22,MATCH(VLOOKUP($A36,main!$A$3:$I$56,7,FALSE),main!$K$18:$O$18,0),0))),0)</f>
        <v>0</v>
      </c>
      <c r="AR36">
        <f>IF((gamma!AR36),IF(VLOOKUP(AR$1,main!$A$3:$I$56,7,FALSE)=VLOOKUP($A36,main!$A$3:$I$56,8,FALSE),VLOOKUP(AR$1,main!$A$3:$I$56,4,FALSE),VLOOKUP(AR$1,main!$A$3:$I$56,4,FALSE)+VLOOKUP($A36,main!$A$3:$I$56,4,FALSE)+(VLOOKUP(VLOOKUP(AR$1,main!$A$3:$I$56,8,FALSE),main!$K$19:$O$22,MATCH(VLOOKUP($A36,main!$A$3:$I$56,7,FALSE),main!$K$18:$O$18,0),0))),0)</f>
        <v>0</v>
      </c>
      <c r="AS36">
        <f>IF((gamma!AS36),IF(VLOOKUP(AS$1,main!$A$3:$I$56,7,FALSE)=VLOOKUP($A36,main!$A$3:$I$56,8,FALSE),VLOOKUP(AS$1,main!$A$3:$I$56,4,FALSE),VLOOKUP(AS$1,main!$A$3:$I$56,4,FALSE)+VLOOKUP($A36,main!$A$3:$I$56,4,FALSE)+(VLOOKUP(VLOOKUP(AS$1,main!$A$3:$I$56,8,FALSE),main!$K$19:$O$22,MATCH(VLOOKUP($A36,main!$A$3:$I$56,7,FALSE),main!$K$18:$O$18,0),0))),0)</f>
        <v>0</v>
      </c>
      <c r="AT36">
        <f>IF((gamma!AT36),IF(VLOOKUP(AT$1,main!$A$3:$I$56,7,FALSE)=VLOOKUP($A36,main!$A$3:$I$56,8,FALSE),VLOOKUP(AT$1,main!$A$3:$I$56,4,FALSE),VLOOKUP(AT$1,main!$A$3:$I$56,4,FALSE)+VLOOKUP($A36,main!$A$3:$I$56,4,FALSE)+(VLOOKUP(VLOOKUP(AT$1,main!$A$3:$I$56,8,FALSE),main!$K$19:$O$22,MATCH(VLOOKUP($A36,main!$A$3:$I$56,7,FALSE),main!$K$18:$O$18,0),0))),0)</f>
        <v>0</v>
      </c>
      <c r="AU36">
        <f>IF((gamma!AU36),IF(VLOOKUP(AU$1,main!$A$3:$I$56,7,FALSE)=VLOOKUP($A36,main!$A$3:$I$56,8,FALSE),VLOOKUP(AU$1,main!$A$3:$I$56,4,FALSE),VLOOKUP(AU$1,main!$A$3:$I$56,4,FALSE)+VLOOKUP($A36,main!$A$3:$I$56,4,FALSE)+(VLOOKUP(VLOOKUP(AU$1,main!$A$3:$I$56,8,FALSE),main!$K$19:$O$22,MATCH(VLOOKUP($A36,main!$A$3:$I$56,7,FALSE),main!$K$18:$O$18,0),0))),0)</f>
        <v>0</v>
      </c>
      <c r="AV36">
        <f>IF((gamma!AV36),IF(VLOOKUP(AV$1,main!$A$3:$I$56,7,FALSE)=VLOOKUP($A36,main!$A$3:$I$56,8,FALSE),VLOOKUP(AV$1,main!$A$3:$I$56,4,FALSE),VLOOKUP(AV$1,main!$A$3:$I$56,4,FALSE)+VLOOKUP($A36,main!$A$3:$I$56,4,FALSE)+(VLOOKUP(VLOOKUP(AV$1,main!$A$3:$I$56,8,FALSE),main!$K$19:$O$22,MATCH(VLOOKUP($A36,main!$A$3:$I$56,7,FALSE),main!$K$18:$O$18,0),0))),0)</f>
        <v>0</v>
      </c>
      <c r="AW36">
        <f>IF((gamma!AW36),IF(VLOOKUP(AW$1,main!$A$3:$I$56,7,FALSE)=VLOOKUP($A36,main!$A$3:$I$56,8,FALSE),VLOOKUP(AW$1,main!$A$3:$I$56,4,FALSE),VLOOKUP(AW$1,main!$A$3:$I$56,4,FALSE)+VLOOKUP($A36,main!$A$3:$I$56,4,FALSE)+(VLOOKUP(VLOOKUP(AW$1,main!$A$3:$I$56,8,FALSE),main!$K$19:$O$22,MATCH(VLOOKUP($A36,main!$A$3:$I$56,7,FALSE),main!$K$18:$O$18,0),0))),0)</f>
        <v>0</v>
      </c>
      <c r="AX36">
        <f>IF((gamma!AX36),IF(VLOOKUP(AX$1,main!$A$3:$I$56,7,FALSE)=VLOOKUP($A36,main!$A$3:$I$56,8,FALSE),VLOOKUP(AX$1,main!$A$3:$I$56,4,FALSE),VLOOKUP(AX$1,main!$A$3:$I$56,4,FALSE)+VLOOKUP($A36,main!$A$3:$I$56,4,FALSE)+(VLOOKUP(VLOOKUP(AX$1,main!$A$3:$I$56,8,FALSE),main!$K$19:$O$22,MATCH(VLOOKUP($A36,main!$A$3:$I$56,7,FALSE),main!$K$18:$O$18,0),0))),0)</f>
        <v>0</v>
      </c>
      <c r="AY36">
        <f>IF((gamma!AY36),IF(VLOOKUP(AY$1,main!$A$3:$I$56,7,FALSE)=VLOOKUP($A36,main!$A$3:$I$56,8,FALSE),VLOOKUP(AY$1,main!$A$3:$I$56,4,FALSE),VLOOKUP(AY$1,main!$A$3:$I$56,4,FALSE)+VLOOKUP($A36,main!$A$3:$I$56,4,FALSE)+(VLOOKUP(VLOOKUP(AY$1,main!$A$3:$I$56,8,FALSE),main!$K$19:$O$22,MATCH(VLOOKUP($A36,main!$A$3:$I$56,7,FALSE),main!$K$18:$O$18,0),0))),0)</f>
        <v>310</v>
      </c>
      <c r="AZ36">
        <f>IF((gamma!AZ36),IF(VLOOKUP(AZ$1,main!$A$3:$I$56,7,FALSE)=VLOOKUP($A36,main!$A$3:$I$56,8,FALSE),VLOOKUP(AZ$1,main!$A$3:$I$56,4,FALSE),VLOOKUP(AZ$1,main!$A$3:$I$56,4,FALSE)+VLOOKUP($A36,main!$A$3:$I$56,4,FALSE)+(VLOOKUP(VLOOKUP(AZ$1,main!$A$3:$I$56,8,FALSE),main!$K$19:$O$22,MATCH(VLOOKUP($A36,main!$A$3:$I$56,7,FALSE),main!$K$18:$O$18,0),0))),0)</f>
        <v>0</v>
      </c>
      <c r="BA36">
        <f>IF((gamma!BA36),IF(VLOOKUP(BA$1,main!$A$3:$I$56,7,FALSE)=VLOOKUP($A36,main!$A$3:$I$56,8,FALSE),VLOOKUP(BA$1,main!$A$3:$I$56,4,FALSE),VLOOKUP(BA$1,main!$A$3:$I$56,4,FALSE)+VLOOKUP($A36,main!$A$3:$I$56,4,FALSE)+(VLOOKUP(VLOOKUP(BA$1,main!$A$3:$I$56,8,FALSE),main!$K$19:$O$22,MATCH(VLOOKUP($A36,main!$A$3:$I$56,7,FALSE),main!$K$18:$O$18,0),0))),0)</f>
        <v>0</v>
      </c>
      <c r="BB36">
        <f>IF((gamma!BB36),IF(VLOOKUP(BB$1,main!$A$3:$I$56,7,FALSE)=VLOOKUP($A36,main!$A$3:$I$56,8,FALSE),VLOOKUP(BB$1,main!$A$3:$I$56,4,FALSE),VLOOKUP(BB$1,main!$A$3:$I$56,4,FALSE)+VLOOKUP($A36,main!$A$3:$I$56,4,FALSE)+(VLOOKUP(VLOOKUP(BB$1,main!$A$3:$I$56,8,FALSE),main!$K$19:$O$22,MATCH(VLOOKUP($A36,main!$A$3:$I$56,7,FALSE),main!$K$18:$O$18,0),0))),0)</f>
        <v>0</v>
      </c>
      <c r="BC36">
        <f>IF((gamma!BC36),IF(VLOOKUP(BC$1,main!$A$3:$I$56,7,FALSE)=VLOOKUP($A36,main!$A$3:$I$56,8,FALSE),VLOOKUP(BC$1,main!$A$3:$I$56,4,FALSE),VLOOKUP(BC$1,main!$A$3:$I$56,4,FALSE)+VLOOKUP($A36,main!$A$3:$I$56,4,FALSE)+(VLOOKUP(VLOOKUP(BC$1,main!$A$3:$I$56,8,FALSE),main!$K$19:$O$22,MATCH(VLOOKUP($A36,main!$A$3:$I$56,7,FALSE),main!$K$18:$O$18,0),0))),0)</f>
        <v>0</v>
      </c>
      <c r="BD36">
        <f>IF((gamma!BD36),IF(VLOOKUP(BD$1,main!$A$3:$I$56,7,FALSE)=VLOOKUP($A36,main!$A$3:$I$56,8,FALSE),VLOOKUP(BD$1,main!$A$3:$I$56,4,FALSE),VLOOKUP(BD$1,main!$A$3:$I$56,4,FALSE)+VLOOKUP($A36,main!$A$3:$I$56,4,FALSE)+(VLOOKUP(VLOOKUP(BD$1,main!$A$3:$I$56,8,FALSE),main!$K$19:$O$22,MATCH(VLOOKUP($A36,main!$A$3:$I$56,7,FALSE),main!$K$18:$O$18,0),0))),0)</f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5">
      <c r="A37">
        <f t="shared" si="0"/>
        <v>35</v>
      </c>
      <c r="B37">
        <v>0</v>
      </c>
      <c r="C37">
        <f>IF((gamma!C37),IF(VLOOKUP(C$1,main!$A$3:$I$56,7,FALSE)=VLOOKUP($A37,main!$A$3:$I$56,8,FALSE),VLOOKUP(C$1,main!$A$3:$I$56,4,FALSE),VLOOKUP(C$1,main!$A$3:$I$56,4,FALSE)+VLOOKUP($A37,main!$A$3:$I$56,4,FALSE)+(VLOOKUP(VLOOKUP(C$1,main!$A$3:$I$56,8,FALSE),main!$K$19:$O$22,MATCH(VLOOKUP($A37,main!$A$3:$I$56,7,FALSE),main!$K$18:$O$18,0),0))),0)</f>
        <v>0</v>
      </c>
      <c r="D37">
        <f>IF((gamma!D37),IF(VLOOKUP(D$1,main!$A$3:$I$56,7,FALSE)=VLOOKUP($A37,main!$A$3:$I$56,8,FALSE),VLOOKUP(D$1,main!$A$3:$I$56,4,FALSE),VLOOKUP(D$1,main!$A$3:$I$56,4,FALSE)+VLOOKUP($A37,main!$A$3:$I$56,4,FALSE)+(VLOOKUP(VLOOKUP(D$1,main!$A$3:$I$56,8,FALSE),main!$K$19:$O$22,MATCH(VLOOKUP($A37,main!$A$3:$I$56,7,FALSE),main!$K$18:$O$18,0),0))),0)</f>
        <v>0</v>
      </c>
      <c r="E37">
        <f>IF((gamma!E37),IF(VLOOKUP(E$1,main!$A$3:$I$56,7,FALSE)=VLOOKUP($A37,main!$A$3:$I$56,8,FALSE),VLOOKUP(E$1,main!$A$3:$I$56,4,FALSE),VLOOKUP(E$1,main!$A$3:$I$56,4,FALSE)+VLOOKUP($A37,main!$A$3:$I$56,4,FALSE)+(VLOOKUP(VLOOKUP(E$1,main!$A$3:$I$56,8,FALSE),main!$K$19:$O$22,MATCH(VLOOKUP($A37,main!$A$3:$I$56,7,FALSE),main!$K$18:$O$18,0),0))),0)</f>
        <v>0</v>
      </c>
      <c r="F37">
        <f>IF((gamma!F37),IF(VLOOKUP(F$1,main!$A$3:$I$56,7,FALSE)=VLOOKUP($A37,main!$A$3:$I$56,8,FALSE),VLOOKUP(F$1,main!$A$3:$I$56,4,FALSE),VLOOKUP(F$1,main!$A$3:$I$56,4,FALSE)+VLOOKUP($A37,main!$A$3:$I$56,4,FALSE)+(VLOOKUP(VLOOKUP(F$1,main!$A$3:$I$56,8,FALSE),main!$K$19:$O$22,MATCH(VLOOKUP($A37,main!$A$3:$I$56,7,FALSE),main!$K$18:$O$18,0),0))),0)</f>
        <v>0</v>
      </c>
      <c r="G37">
        <f>IF((gamma!G37),IF(VLOOKUP(G$1,main!$A$3:$I$56,7,FALSE)=VLOOKUP($A37,main!$A$3:$I$56,8,FALSE),VLOOKUP(G$1,main!$A$3:$I$56,4,FALSE),VLOOKUP(G$1,main!$A$3:$I$56,4,FALSE)+VLOOKUP($A37,main!$A$3:$I$56,4,FALSE)+(VLOOKUP(VLOOKUP(G$1,main!$A$3:$I$56,8,FALSE),main!$K$19:$O$22,MATCH(VLOOKUP($A37,main!$A$3:$I$56,7,FALSE),main!$K$18:$O$18,0),0))),0)</f>
        <v>0</v>
      </c>
      <c r="H37">
        <f>IF((gamma!H37),IF(VLOOKUP(H$1,main!$A$3:$I$56,7,FALSE)=VLOOKUP($A37,main!$A$3:$I$56,8,FALSE),VLOOKUP(H$1,main!$A$3:$I$56,4,FALSE),VLOOKUP(H$1,main!$A$3:$I$56,4,FALSE)+VLOOKUP($A37,main!$A$3:$I$56,4,FALSE)+(VLOOKUP(VLOOKUP(H$1,main!$A$3:$I$56,8,FALSE),main!$K$19:$O$22,MATCH(VLOOKUP($A37,main!$A$3:$I$56,7,FALSE),main!$K$18:$O$18,0),0))),0)</f>
        <v>0</v>
      </c>
      <c r="I37">
        <f>IF((gamma!I37),IF(VLOOKUP(I$1,main!$A$3:$I$56,7,FALSE)=VLOOKUP($A37,main!$A$3:$I$56,8,FALSE),VLOOKUP(I$1,main!$A$3:$I$56,4,FALSE),VLOOKUP(I$1,main!$A$3:$I$56,4,FALSE)+VLOOKUP($A37,main!$A$3:$I$56,4,FALSE)+(VLOOKUP(VLOOKUP(I$1,main!$A$3:$I$56,8,FALSE),main!$K$19:$O$22,MATCH(VLOOKUP($A37,main!$A$3:$I$56,7,FALSE),main!$K$18:$O$18,0),0))),0)</f>
        <v>0</v>
      </c>
      <c r="J37">
        <f>IF((gamma!J37),IF(VLOOKUP(J$1,main!$A$3:$I$56,7,FALSE)=VLOOKUP($A37,main!$A$3:$I$56,8,FALSE),VLOOKUP(J$1,main!$A$3:$I$56,4,FALSE),VLOOKUP(J$1,main!$A$3:$I$56,4,FALSE)+VLOOKUP($A37,main!$A$3:$I$56,4,FALSE)+(VLOOKUP(VLOOKUP(J$1,main!$A$3:$I$56,8,FALSE),main!$K$19:$O$22,MATCH(VLOOKUP($A37,main!$A$3:$I$56,7,FALSE),main!$K$18:$O$18,0),0))),0)</f>
        <v>0</v>
      </c>
      <c r="K37">
        <f>IF((gamma!K37),IF(VLOOKUP(K$1,main!$A$3:$I$56,7,FALSE)=VLOOKUP($A37,main!$A$3:$I$56,8,FALSE),VLOOKUP(K$1,main!$A$3:$I$56,4,FALSE),VLOOKUP(K$1,main!$A$3:$I$56,4,FALSE)+VLOOKUP($A37,main!$A$3:$I$56,4,FALSE)+(VLOOKUP(VLOOKUP(K$1,main!$A$3:$I$56,8,FALSE),main!$K$19:$O$22,MATCH(VLOOKUP($A37,main!$A$3:$I$56,7,FALSE),main!$K$18:$O$18,0),0))),0)</f>
        <v>0</v>
      </c>
      <c r="L37">
        <f>IF((gamma!L37),IF(VLOOKUP(L$1,main!$A$3:$I$56,7,FALSE)=VLOOKUP($A37,main!$A$3:$I$56,8,FALSE),VLOOKUP(L$1,main!$A$3:$I$56,4,FALSE),VLOOKUP(L$1,main!$A$3:$I$56,4,FALSE)+VLOOKUP($A37,main!$A$3:$I$56,4,FALSE)+(VLOOKUP(VLOOKUP(L$1,main!$A$3:$I$56,8,FALSE),main!$K$19:$O$22,MATCH(VLOOKUP($A37,main!$A$3:$I$56,7,FALSE),main!$K$18:$O$18,0),0))),0)</f>
        <v>0</v>
      </c>
      <c r="M37">
        <f>IF((gamma!M37),IF(VLOOKUP(M$1,main!$A$3:$I$56,7,FALSE)=VLOOKUP($A37,main!$A$3:$I$56,8,FALSE),VLOOKUP(M$1,main!$A$3:$I$56,4,FALSE),VLOOKUP(M$1,main!$A$3:$I$56,4,FALSE)+VLOOKUP($A37,main!$A$3:$I$56,4,FALSE)+(VLOOKUP(VLOOKUP(M$1,main!$A$3:$I$56,8,FALSE),main!$K$19:$O$22,MATCH(VLOOKUP($A37,main!$A$3:$I$56,7,FALSE),main!$K$18:$O$18,0),0))),0)</f>
        <v>0</v>
      </c>
      <c r="N37">
        <f>IF((gamma!N37),IF(VLOOKUP(N$1,main!$A$3:$I$56,7,FALSE)=VLOOKUP($A37,main!$A$3:$I$56,8,FALSE),VLOOKUP(N$1,main!$A$3:$I$56,4,FALSE),VLOOKUP(N$1,main!$A$3:$I$56,4,FALSE)+VLOOKUP($A37,main!$A$3:$I$56,4,FALSE)+(VLOOKUP(VLOOKUP(N$1,main!$A$3:$I$56,8,FALSE),main!$K$19:$O$22,MATCH(VLOOKUP($A37,main!$A$3:$I$56,7,FALSE),main!$K$18:$O$18,0),0))),0)</f>
        <v>0</v>
      </c>
      <c r="O37">
        <f>IF((gamma!O37),IF(VLOOKUP(O$1,main!$A$3:$I$56,7,FALSE)=VLOOKUP($A37,main!$A$3:$I$56,8,FALSE),VLOOKUP(O$1,main!$A$3:$I$56,4,FALSE),VLOOKUP(O$1,main!$A$3:$I$56,4,FALSE)+VLOOKUP($A37,main!$A$3:$I$56,4,FALSE)+(VLOOKUP(VLOOKUP(O$1,main!$A$3:$I$56,8,FALSE),main!$K$19:$O$22,MATCH(VLOOKUP($A37,main!$A$3:$I$56,7,FALSE),main!$K$18:$O$18,0),0))),0)</f>
        <v>140</v>
      </c>
      <c r="P37">
        <f>IF((gamma!P37),IF(VLOOKUP(P$1,main!$A$3:$I$56,7,FALSE)=VLOOKUP($A37,main!$A$3:$I$56,8,FALSE),VLOOKUP(P$1,main!$A$3:$I$56,4,FALSE),VLOOKUP(P$1,main!$A$3:$I$56,4,FALSE)+VLOOKUP($A37,main!$A$3:$I$56,4,FALSE)+(VLOOKUP(VLOOKUP(P$1,main!$A$3:$I$56,8,FALSE),main!$K$19:$O$22,MATCH(VLOOKUP($A37,main!$A$3:$I$56,7,FALSE),main!$K$18:$O$18,0),0))),0)</f>
        <v>0</v>
      </c>
      <c r="Q37">
        <f>IF((gamma!Q37),IF(VLOOKUP(Q$1,main!$A$3:$I$56,7,FALSE)=VLOOKUP($A37,main!$A$3:$I$56,8,FALSE),VLOOKUP(Q$1,main!$A$3:$I$56,4,FALSE),VLOOKUP(Q$1,main!$A$3:$I$56,4,FALSE)+VLOOKUP($A37,main!$A$3:$I$56,4,FALSE)+(VLOOKUP(VLOOKUP(Q$1,main!$A$3:$I$56,8,FALSE),main!$K$19:$O$22,MATCH(VLOOKUP($A37,main!$A$3:$I$56,7,FALSE),main!$K$18:$O$18,0),0))),0)</f>
        <v>0</v>
      </c>
      <c r="R37">
        <f>IF((gamma!R37),IF(VLOOKUP(R$1,main!$A$3:$I$56,7,FALSE)=VLOOKUP($A37,main!$A$3:$I$56,8,FALSE),VLOOKUP(R$1,main!$A$3:$I$56,4,FALSE),VLOOKUP(R$1,main!$A$3:$I$56,4,FALSE)+VLOOKUP($A37,main!$A$3:$I$56,4,FALSE)+(VLOOKUP(VLOOKUP(R$1,main!$A$3:$I$56,8,FALSE),main!$K$19:$O$22,MATCH(VLOOKUP($A37,main!$A$3:$I$56,7,FALSE),main!$K$18:$O$18,0),0))),0)</f>
        <v>0</v>
      </c>
      <c r="S37">
        <f>IF((gamma!S37),IF(VLOOKUP(S$1,main!$A$3:$I$56,7,FALSE)=VLOOKUP($A37,main!$A$3:$I$56,8,FALSE),VLOOKUP(S$1,main!$A$3:$I$56,4,FALSE),VLOOKUP(S$1,main!$A$3:$I$56,4,FALSE)+VLOOKUP($A37,main!$A$3:$I$56,4,FALSE)+(VLOOKUP(VLOOKUP(S$1,main!$A$3:$I$56,8,FALSE),main!$K$19:$O$22,MATCH(VLOOKUP($A37,main!$A$3:$I$56,7,FALSE),main!$K$18:$O$18,0),0))),0)</f>
        <v>0</v>
      </c>
      <c r="T37">
        <f>IF((gamma!T37),IF(VLOOKUP(T$1,main!$A$3:$I$56,7,FALSE)=VLOOKUP($A37,main!$A$3:$I$56,8,FALSE),VLOOKUP(T$1,main!$A$3:$I$56,4,FALSE),VLOOKUP(T$1,main!$A$3:$I$56,4,FALSE)+VLOOKUP($A37,main!$A$3:$I$56,4,FALSE)+(VLOOKUP(VLOOKUP(T$1,main!$A$3:$I$56,8,FALSE),main!$K$19:$O$22,MATCH(VLOOKUP($A37,main!$A$3:$I$56,7,FALSE),main!$K$18:$O$18,0),0))),0)</f>
        <v>0</v>
      </c>
      <c r="U37">
        <f>IF((gamma!U37),IF(VLOOKUP(U$1,main!$A$3:$I$56,7,FALSE)=VLOOKUP($A37,main!$A$3:$I$56,8,FALSE),VLOOKUP(U$1,main!$A$3:$I$56,4,FALSE),VLOOKUP(U$1,main!$A$3:$I$56,4,FALSE)+VLOOKUP($A37,main!$A$3:$I$56,4,FALSE)+(VLOOKUP(VLOOKUP(U$1,main!$A$3:$I$56,8,FALSE),main!$K$19:$O$22,MATCH(VLOOKUP($A37,main!$A$3:$I$56,7,FALSE),main!$K$18:$O$18,0),0))),0)</f>
        <v>0</v>
      </c>
      <c r="V37">
        <f>IF((gamma!V37),IF(VLOOKUP(V$1,main!$A$3:$I$56,7,FALSE)=VLOOKUP($A37,main!$A$3:$I$56,8,FALSE),VLOOKUP(V$1,main!$A$3:$I$56,4,FALSE),VLOOKUP(V$1,main!$A$3:$I$56,4,FALSE)+VLOOKUP($A37,main!$A$3:$I$56,4,FALSE)+(VLOOKUP(VLOOKUP(V$1,main!$A$3:$I$56,8,FALSE),main!$K$19:$O$22,MATCH(VLOOKUP($A37,main!$A$3:$I$56,7,FALSE),main!$K$18:$O$18,0),0))),0)</f>
        <v>0</v>
      </c>
      <c r="W37">
        <f>IF((gamma!W37),IF(VLOOKUP(W$1,main!$A$3:$I$56,7,FALSE)=VLOOKUP($A37,main!$A$3:$I$56,8,FALSE),VLOOKUP(W$1,main!$A$3:$I$56,4,FALSE),VLOOKUP(W$1,main!$A$3:$I$56,4,FALSE)+VLOOKUP($A37,main!$A$3:$I$56,4,FALSE)+(VLOOKUP(VLOOKUP(W$1,main!$A$3:$I$56,8,FALSE),main!$K$19:$O$22,MATCH(VLOOKUP($A37,main!$A$3:$I$56,7,FALSE),main!$K$18:$O$18,0),0))),0)</f>
        <v>0</v>
      </c>
      <c r="X37">
        <f>IF((gamma!X37),IF(VLOOKUP(X$1,main!$A$3:$I$56,7,FALSE)=VLOOKUP($A37,main!$A$3:$I$56,8,FALSE),VLOOKUP(X$1,main!$A$3:$I$56,4,FALSE),VLOOKUP(X$1,main!$A$3:$I$56,4,FALSE)+VLOOKUP($A37,main!$A$3:$I$56,4,FALSE)+(VLOOKUP(VLOOKUP(X$1,main!$A$3:$I$56,8,FALSE),main!$K$19:$O$22,MATCH(VLOOKUP($A37,main!$A$3:$I$56,7,FALSE),main!$K$18:$O$18,0),0))),0)</f>
        <v>0</v>
      </c>
      <c r="Y37">
        <f>IF((gamma!Y37),IF(VLOOKUP(Y$1,main!$A$3:$I$56,7,FALSE)=VLOOKUP($A37,main!$A$3:$I$56,8,FALSE),VLOOKUP(Y$1,main!$A$3:$I$56,4,FALSE),VLOOKUP(Y$1,main!$A$3:$I$56,4,FALSE)+VLOOKUP($A37,main!$A$3:$I$56,4,FALSE)+(VLOOKUP(VLOOKUP(Y$1,main!$A$3:$I$56,8,FALSE),main!$K$19:$O$22,MATCH(VLOOKUP($A37,main!$A$3:$I$56,7,FALSE),main!$K$18:$O$18,0),0))),0)</f>
        <v>0</v>
      </c>
      <c r="Z37">
        <f>IF((gamma!Z37),IF(VLOOKUP(Z$1,main!$A$3:$I$56,7,FALSE)=VLOOKUP($A37,main!$A$3:$I$56,8,FALSE),VLOOKUP(Z$1,main!$A$3:$I$56,4,FALSE),VLOOKUP(Z$1,main!$A$3:$I$56,4,FALSE)+VLOOKUP($A37,main!$A$3:$I$56,4,FALSE)+(VLOOKUP(VLOOKUP(Z$1,main!$A$3:$I$56,8,FALSE),main!$K$19:$O$22,MATCH(VLOOKUP($A37,main!$A$3:$I$56,7,FALSE),main!$K$18:$O$18,0),0))),0)</f>
        <v>0</v>
      </c>
      <c r="AA37">
        <f>IF((gamma!AA37),IF(VLOOKUP(AA$1,main!$A$3:$I$56,7,FALSE)=VLOOKUP($A37,main!$A$3:$I$56,8,FALSE),VLOOKUP(AA$1,main!$A$3:$I$56,4,FALSE),VLOOKUP(AA$1,main!$A$3:$I$56,4,FALSE)+VLOOKUP($A37,main!$A$3:$I$56,4,FALSE)+(VLOOKUP(VLOOKUP(AA$1,main!$A$3:$I$56,8,FALSE),main!$K$19:$O$22,MATCH(VLOOKUP($A37,main!$A$3:$I$56,7,FALSE),main!$K$18:$O$18,0),0))),0)</f>
        <v>0</v>
      </c>
      <c r="AB37">
        <f>IF((gamma!AB37),IF(VLOOKUP(AB$1,main!$A$3:$I$56,7,FALSE)=VLOOKUP($A37,main!$A$3:$I$56,8,FALSE),VLOOKUP(AB$1,main!$A$3:$I$56,4,FALSE),VLOOKUP(AB$1,main!$A$3:$I$56,4,FALSE)+VLOOKUP($A37,main!$A$3:$I$56,4,FALSE)+(VLOOKUP(VLOOKUP(AB$1,main!$A$3:$I$56,8,FALSE),main!$K$19:$O$22,MATCH(VLOOKUP($A37,main!$A$3:$I$56,7,FALSE),main!$K$18:$O$18,0),0))),0)</f>
        <v>0</v>
      </c>
      <c r="AC37">
        <f>IF((gamma!AC37),IF(VLOOKUP(AC$1,main!$A$3:$I$56,7,FALSE)=VLOOKUP($A37,main!$A$3:$I$56,8,FALSE),VLOOKUP(AC$1,main!$A$3:$I$56,4,FALSE),VLOOKUP(AC$1,main!$A$3:$I$56,4,FALSE)+VLOOKUP($A37,main!$A$3:$I$56,4,FALSE)+(VLOOKUP(VLOOKUP(AC$1,main!$A$3:$I$56,8,FALSE),main!$K$19:$O$22,MATCH(VLOOKUP($A37,main!$A$3:$I$56,7,FALSE),main!$K$18:$O$18,0),0))),0)</f>
        <v>0</v>
      </c>
      <c r="AD37">
        <f>IF((gamma!AD37),IF(VLOOKUP(AD$1,main!$A$3:$I$56,7,FALSE)=VLOOKUP($A37,main!$A$3:$I$56,8,FALSE),VLOOKUP(AD$1,main!$A$3:$I$56,4,FALSE),VLOOKUP(AD$1,main!$A$3:$I$56,4,FALSE)+VLOOKUP($A37,main!$A$3:$I$56,4,FALSE)+(VLOOKUP(VLOOKUP(AD$1,main!$A$3:$I$56,8,FALSE),main!$K$19:$O$22,MATCH(VLOOKUP($A37,main!$A$3:$I$56,7,FALSE),main!$K$18:$O$18,0),0))),0)</f>
        <v>0</v>
      </c>
      <c r="AE37">
        <f>IF((gamma!AE37),IF(VLOOKUP(AE$1,main!$A$3:$I$56,7,FALSE)=VLOOKUP($A37,main!$A$3:$I$56,8,FALSE),VLOOKUP(AE$1,main!$A$3:$I$56,4,FALSE),VLOOKUP(AE$1,main!$A$3:$I$56,4,FALSE)+VLOOKUP($A37,main!$A$3:$I$56,4,FALSE)+(VLOOKUP(VLOOKUP(AE$1,main!$A$3:$I$56,8,FALSE),main!$K$19:$O$22,MATCH(VLOOKUP($A37,main!$A$3:$I$56,7,FALSE),main!$K$18:$O$18,0),0))),0)</f>
        <v>0</v>
      </c>
      <c r="AF37">
        <f>IF((gamma!AF37),IF(VLOOKUP(AF$1,main!$A$3:$I$56,7,FALSE)=VLOOKUP($A37,main!$A$3:$I$56,8,FALSE),VLOOKUP(AF$1,main!$A$3:$I$56,4,FALSE),VLOOKUP(AF$1,main!$A$3:$I$56,4,FALSE)+VLOOKUP($A37,main!$A$3:$I$56,4,FALSE)+(VLOOKUP(VLOOKUP(AF$1,main!$A$3:$I$56,8,FALSE),main!$K$19:$O$22,MATCH(VLOOKUP($A37,main!$A$3:$I$56,7,FALSE),main!$K$18:$O$18,0),0))),0)</f>
        <v>0</v>
      </c>
      <c r="AG37">
        <f>IF((gamma!AG37),IF(VLOOKUP(AG$1,main!$A$3:$I$56,7,FALSE)=VLOOKUP($A37,main!$A$3:$I$56,8,FALSE),VLOOKUP(AG$1,main!$A$3:$I$56,4,FALSE),VLOOKUP(AG$1,main!$A$3:$I$56,4,FALSE)+VLOOKUP($A37,main!$A$3:$I$56,4,FALSE)+(VLOOKUP(VLOOKUP(AG$1,main!$A$3:$I$56,8,FALSE),main!$K$19:$O$22,MATCH(VLOOKUP($A37,main!$A$3:$I$56,7,FALSE),main!$K$18:$O$18,0),0))),0)</f>
        <v>0</v>
      </c>
      <c r="AH37">
        <f>IF((gamma!AH37),IF(VLOOKUP(AH$1,main!$A$3:$I$56,7,FALSE)=VLOOKUP($A37,main!$A$3:$I$56,8,FALSE),VLOOKUP(AH$1,main!$A$3:$I$56,4,FALSE),VLOOKUP(AH$1,main!$A$3:$I$56,4,FALSE)+VLOOKUP($A37,main!$A$3:$I$56,4,FALSE)+(VLOOKUP(VLOOKUP(AH$1,main!$A$3:$I$56,8,FALSE),main!$K$19:$O$22,MATCH(VLOOKUP($A37,main!$A$3:$I$56,7,FALSE),main!$K$18:$O$18,0),0))),0)</f>
        <v>0</v>
      </c>
      <c r="AI37">
        <f>IF((gamma!AI37),IF(VLOOKUP(AI$1,main!$A$3:$I$56,7,FALSE)=VLOOKUP($A37,main!$A$3:$I$56,8,FALSE),VLOOKUP(AI$1,main!$A$3:$I$56,4,FALSE),VLOOKUP(AI$1,main!$A$3:$I$56,4,FALSE)+VLOOKUP($A37,main!$A$3:$I$56,4,FALSE)+(VLOOKUP(VLOOKUP(AI$1,main!$A$3:$I$56,8,FALSE),main!$K$19:$O$22,MATCH(VLOOKUP($A37,main!$A$3:$I$56,7,FALSE),main!$K$18:$O$18,0),0))),0)</f>
        <v>0</v>
      </c>
      <c r="AJ37">
        <f>IF((gamma!AJ37),IF(VLOOKUP(AJ$1,main!$A$3:$I$56,7,FALSE)=VLOOKUP($A37,main!$A$3:$I$56,8,FALSE),VLOOKUP(AJ$1,main!$A$3:$I$56,4,FALSE),VLOOKUP(AJ$1,main!$A$3:$I$56,4,FALSE)+VLOOKUP($A37,main!$A$3:$I$56,4,FALSE)+(VLOOKUP(VLOOKUP(AJ$1,main!$A$3:$I$56,8,FALSE),main!$K$19:$O$22,MATCH(VLOOKUP($A37,main!$A$3:$I$56,7,FALSE),main!$K$18:$O$18,0),0))),0)</f>
        <v>0</v>
      </c>
      <c r="AK37">
        <f>IF((gamma!AK37),IF(VLOOKUP(AK$1,main!$A$3:$I$56,7,FALSE)=VLOOKUP($A37,main!$A$3:$I$56,8,FALSE),VLOOKUP(AK$1,main!$A$3:$I$56,4,FALSE),VLOOKUP(AK$1,main!$A$3:$I$56,4,FALSE)+VLOOKUP($A37,main!$A$3:$I$56,4,FALSE)+(VLOOKUP(VLOOKUP(AK$1,main!$A$3:$I$56,8,FALSE),main!$K$19:$O$22,MATCH(VLOOKUP($A37,main!$A$3:$I$56,7,FALSE),main!$K$18:$O$18,0),0))),0)</f>
        <v>0</v>
      </c>
      <c r="AL37">
        <f>IF((gamma!AL37),IF(VLOOKUP(AL$1,main!$A$3:$I$56,7,FALSE)=VLOOKUP($A37,main!$A$3:$I$56,8,FALSE),VLOOKUP(AL$1,main!$A$3:$I$56,4,FALSE),VLOOKUP(AL$1,main!$A$3:$I$56,4,FALSE)+VLOOKUP($A37,main!$A$3:$I$56,4,FALSE)+(VLOOKUP(VLOOKUP(AL$1,main!$A$3:$I$56,8,FALSE),main!$K$19:$O$22,MATCH(VLOOKUP($A37,main!$A$3:$I$56,7,FALSE),main!$K$18:$O$18,0),0))),0)</f>
        <v>0</v>
      </c>
      <c r="AM37">
        <f>IF((gamma!AM37),IF(VLOOKUP(AM$1,main!$A$3:$I$56,7,FALSE)=VLOOKUP($A37,main!$A$3:$I$56,8,FALSE),VLOOKUP(AM$1,main!$A$3:$I$56,4,FALSE),VLOOKUP(AM$1,main!$A$3:$I$56,4,FALSE)+VLOOKUP($A37,main!$A$3:$I$56,4,FALSE)+(VLOOKUP(VLOOKUP(AM$1,main!$A$3:$I$56,8,FALSE),main!$K$19:$O$22,MATCH(VLOOKUP($A37,main!$A$3:$I$56,7,FALSE),main!$K$18:$O$18,0),0))),0)</f>
        <v>0</v>
      </c>
      <c r="AN37">
        <f>IF((gamma!AN37),IF(VLOOKUP(AN$1,main!$A$3:$I$56,7,FALSE)=VLOOKUP($A37,main!$A$3:$I$56,8,FALSE),VLOOKUP(AN$1,main!$A$3:$I$56,4,FALSE),VLOOKUP(AN$1,main!$A$3:$I$56,4,FALSE)+VLOOKUP($A37,main!$A$3:$I$56,4,FALSE)+(VLOOKUP(VLOOKUP(AN$1,main!$A$3:$I$56,8,FALSE),main!$K$19:$O$22,MATCH(VLOOKUP($A37,main!$A$3:$I$56,7,FALSE),main!$K$18:$O$18,0),0))),0)</f>
        <v>0</v>
      </c>
      <c r="AO37">
        <f>IF((gamma!AO37),IF(VLOOKUP(AO$1,main!$A$3:$I$56,7,FALSE)=VLOOKUP($A37,main!$A$3:$I$56,8,FALSE),VLOOKUP(AO$1,main!$A$3:$I$56,4,FALSE),VLOOKUP(AO$1,main!$A$3:$I$56,4,FALSE)+VLOOKUP($A37,main!$A$3:$I$56,4,FALSE)+(VLOOKUP(VLOOKUP(AO$1,main!$A$3:$I$56,8,FALSE),main!$K$19:$O$22,MATCH(VLOOKUP($A37,main!$A$3:$I$56,7,FALSE),main!$K$18:$O$18,0),0))),0)</f>
        <v>0</v>
      </c>
      <c r="AP37">
        <f>IF((gamma!AP37),IF(VLOOKUP(AP$1,main!$A$3:$I$56,7,FALSE)=VLOOKUP($A37,main!$A$3:$I$56,8,FALSE),VLOOKUP(AP$1,main!$A$3:$I$56,4,FALSE),VLOOKUP(AP$1,main!$A$3:$I$56,4,FALSE)+VLOOKUP($A37,main!$A$3:$I$56,4,FALSE)+(VLOOKUP(VLOOKUP(AP$1,main!$A$3:$I$56,8,FALSE),main!$K$19:$O$22,MATCH(VLOOKUP($A37,main!$A$3:$I$56,7,FALSE),main!$K$18:$O$18,0),0))),0)</f>
        <v>0</v>
      </c>
      <c r="AQ37">
        <f>IF((gamma!AQ37),IF(VLOOKUP(AQ$1,main!$A$3:$I$56,7,FALSE)=VLOOKUP($A37,main!$A$3:$I$56,8,FALSE),VLOOKUP(AQ$1,main!$A$3:$I$56,4,FALSE),VLOOKUP(AQ$1,main!$A$3:$I$56,4,FALSE)+VLOOKUP($A37,main!$A$3:$I$56,4,FALSE)+(VLOOKUP(VLOOKUP(AQ$1,main!$A$3:$I$56,8,FALSE),main!$K$19:$O$22,MATCH(VLOOKUP($A37,main!$A$3:$I$56,7,FALSE),main!$K$18:$O$18,0),0))),0)</f>
        <v>0</v>
      </c>
      <c r="AR37">
        <f>IF((gamma!AR37),IF(VLOOKUP(AR$1,main!$A$3:$I$56,7,FALSE)=VLOOKUP($A37,main!$A$3:$I$56,8,FALSE),VLOOKUP(AR$1,main!$A$3:$I$56,4,FALSE),VLOOKUP(AR$1,main!$A$3:$I$56,4,FALSE)+VLOOKUP($A37,main!$A$3:$I$56,4,FALSE)+(VLOOKUP(VLOOKUP(AR$1,main!$A$3:$I$56,8,FALSE),main!$K$19:$O$22,MATCH(VLOOKUP($A37,main!$A$3:$I$56,7,FALSE),main!$K$18:$O$18,0),0))),0)</f>
        <v>0</v>
      </c>
      <c r="AS37">
        <f>IF((gamma!AS37),IF(VLOOKUP(AS$1,main!$A$3:$I$56,7,FALSE)=VLOOKUP($A37,main!$A$3:$I$56,8,FALSE),VLOOKUP(AS$1,main!$A$3:$I$56,4,FALSE),VLOOKUP(AS$1,main!$A$3:$I$56,4,FALSE)+VLOOKUP($A37,main!$A$3:$I$56,4,FALSE)+(VLOOKUP(VLOOKUP(AS$1,main!$A$3:$I$56,8,FALSE),main!$K$19:$O$22,MATCH(VLOOKUP($A37,main!$A$3:$I$56,7,FALSE),main!$K$18:$O$18,0),0))),0)</f>
        <v>0</v>
      </c>
      <c r="AT37">
        <f>IF((gamma!AT37),IF(VLOOKUP(AT$1,main!$A$3:$I$56,7,FALSE)=VLOOKUP($A37,main!$A$3:$I$56,8,FALSE),VLOOKUP(AT$1,main!$A$3:$I$56,4,FALSE),VLOOKUP(AT$1,main!$A$3:$I$56,4,FALSE)+VLOOKUP($A37,main!$A$3:$I$56,4,FALSE)+(VLOOKUP(VLOOKUP(AT$1,main!$A$3:$I$56,8,FALSE),main!$K$19:$O$22,MATCH(VLOOKUP($A37,main!$A$3:$I$56,7,FALSE),main!$K$18:$O$18,0),0))),0)</f>
        <v>0</v>
      </c>
      <c r="AU37">
        <f>IF((gamma!AU37),IF(VLOOKUP(AU$1,main!$A$3:$I$56,7,FALSE)=VLOOKUP($A37,main!$A$3:$I$56,8,FALSE),VLOOKUP(AU$1,main!$A$3:$I$56,4,FALSE),VLOOKUP(AU$1,main!$A$3:$I$56,4,FALSE)+VLOOKUP($A37,main!$A$3:$I$56,4,FALSE)+(VLOOKUP(VLOOKUP(AU$1,main!$A$3:$I$56,8,FALSE),main!$K$19:$O$22,MATCH(VLOOKUP($A37,main!$A$3:$I$56,7,FALSE),main!$K$18:$O$18,0),0))),0)</f>
        <v>0</v>
      </c>
      <c r="AV37">
        <f>IF((gamma!AV37),IF(VLOOKUP(AV$1,main!$A$3:$I$56,7,FALSE)=VLOOKUP($A37,main!$A$3:$I$56,8,FALSE),VLOOKUP(AV$1,main!$A$3:$I$56,4,FALSE),VLOOKUP(AV$1,main!$A$3:$I$56,4,FALSE)+VLOOKUP($A37,main!$A$3:$I$56,4,FALSE)+(VLOOKUP(VLOOKUP(AV$1,main!$A$3:$I$56,8,FALSE),main!$K$19:$O$22,MATCH(VLOOKUP($A37,main!$A$3:$I$56,7,FALSE),main!$K$18:$O$18,0),0))),0)</f>
        <v>0</v>
      </c>
      <c r="AW37">
        <f>IF((gamma!AW37),IF(VLOOKUP(AW$1,main!$A$3:$I$56,7,FALSE)=VLOOKUP($A37,main!$A$3:$I$56,8,FALSE),VLOOKUP(AW$1,main!$A$3:$I$56,4,FALSE),VLOOKUP(AW$1,main!$A$3:$I$56,4,FALSE)+VLOOKUP($A37,main!$A$3:$I$56,4,FALSE)+(VLOOKUP(VLOOKUP(AW$1,main!$A$3:$I$56,8,FALSE),main!$K$19:$O$22,MATCH(VLOOKUP($A37,main!$A$3:$I$56,7,FALSE),main!$K$18:$O$18,0),0))),0)</f>
        <v>0</v>
      </c>
      <c r="AX37">
        <f>IF((gamma!AX37),IF(VLOOKUP(AX$1,main!$A$3:$I$56,7,FALSE)=VLOOKUP($A37,main!$A$3:$I$56,8,FALSE),VLOOKUP(AX$1,main!$A$3:$I$56,4,FALSE),VLOOKUP(AX$1,main!$A$3:$I$56,4,FALSE)+VLOOKUP($A37,main!$A$3:$I$56,4,FALSE)+(VLOOKUP(VLOOKUP(AX$1,main!$A$3:$I$56,8,FALSE),main!$K$19:$O$22,MATCH(VLOOKUP($A37,main!$A$3:$I$56,7,FALSE),main!$K$18:$O$18,0),0))),0)</f>
        <v>0</v>
      </c>
      <c r="AY37">
        <f>IF((gamma!AY37),IF(VLOOKUP(AY$1,main!$A$3:$I$56,7,FALSE)=VLOOKUP($A37,main!$A$3:$I$56,8,FALSE),VLOOKUP(AY$1,main!$A$3:$I$56,4,FALSE),VLOOKUP(AY$1,main!$A$3:$I$56,4,FALSE)+VLOOKUP($A37,main!$A$3:$I$56,4,FALSE)+(VLOOKUP(VLOOKUP(AY$1,main!$A$3:$I$56,8,FALSE),main!$K$19:$O$22,MATCH(VLOOKUP($A37,main!$A$3:$I$56,7,FALSE),main!$K$18:$O$18,0),0))),0)</f>
        <v>0</v>
      </c>
      <c r="AZ37">
        <f>IF((gamma!AZ37),IF(VLOOKUP(AZ$1,main!$A$3:$I$56,7,FALSE)=VLOOKUP($A37,main!$A$3:$I$56,8,FALSE),VLOOKUP(AZ$1,main!$A$3:$I$56,4,FALSE),VLOOKUP(AZ$1,main!$A$3:$I$56,4,FALSE)+VLOOKUP($A37,main!$A$3:$I$56,4,FALSE)+(VLOOKUP(VLOOKUP(AZ$1,main!$A$3:$I$56,8,FALSE),main!$K$19:$O$22,MATCH(VLOOKUP($A37,main!$A$3:$I$56,7,FALSE),main!$K$18:$O$18,0),0))),0)</f>
        <v>0</v>
      </c>
      <c r="BA37">
        <f>IF((gamma!BA37),IF(VLOOKUP(BA$1,main!$A$3:$I$56,7,FALSE)=VLOOKUP($A37,main!$A$3:$I$56,8,FALSE),VLOOKUP(BA$1,main!$A$3:$I$56,4,FALSE),VLOOKUP(BA$1,main!$A$3:$I$56,4,FALSE)+VLOOKUP($A37,main!$A$3:$I$56,4,FALSE)+(VLOOKUP(VLOOKUP(BA$1,main!$A$3:$I$56,8,FALSE),main!$K$19:$O$22,MATCH(VLOOKUP($A37,main!$A$3:$I$56,7,FALSE),main!$K$18:$O$18,0),0))),0)</f>
        <v>0</v>
      </c>
      <c r="BB37">
        <f>IF((gamma!BB37),IF(VLOOKUP(BB$1,main!$A$3:$I$56,7,FALSE)=VLOOKUP($A37,main!$A$3:$I$56,8,FALSE),VLOOKUP(BB$1,main!$A$3:$I$56,4,FALSE),VLOOKUP(BB$1,main!$A$3:$I$56,4,FALSE)+VLOOKUP($A37,main!$A$3:$I$56,4,FALSE)+(VLOOKUP(VLOOKUP(BB$1,main!$A$3:$I$56,8,FALSE),main!$K$19:$O$22,MATCH(VLOOKUP($A37,main!$A$3:$I$56,7,FALSE),main!$K$18:$O$18,0),0))),0)</f>
        <v>0</v>
      </c>
      <c r="BC37">
        <f>IF((gamma!BC37),IF(VLOOKUP(BC$1,main!$A$3:$I$56,7,FALSE)=VLOOKUP($A37,main!$A$3:$I$56,8,FALSE),VLOOKUP(BC$1,main!$A$3:$I$56,4,FALSE),VLOOKUP(BC$1,main!$A$3:$I$56,4,FALSE)+VLOOKUP($A37,main!$A$3:$I$56,4,FALSE)+(VLOOKUP(VLOOKUP(BC$1,main!$A$3:$I$56,8,FALSE),main!$K$19:$O$22,MATCH(VLOOKUP($A37,main!$A$3:$I$56,7,FALSE),main!$K$18:$O$18,0),0))),0)</f>
        <v>0</v>
      </c>
      <c r="BD37">
        <f>IF((gamma!BD37),IF(VLOOKUP(BD$1,main!$A$3:$I$56,7,FALSE)=VLOOKUP($A37,main!$A$3:$I$56,8,FALSE),VLOOKUP(BD$1,main!$A$3:$I$56,4,FALSE),VLOOKUP(BD$1,main!$A$3:$I$56,4,FALSE)+VLOOKUP($A37,main!$A$3:$I$56,4,FALSE)+(VLOOKUP(VLOOKUP(BD$1,main!$A$3:$I$56,8,FALSE),main!$K$19:$O$22,MATCH(VLOOKUP($A37,main!$A$3:$I$56,7,FALSE),main!$K$18:$O$18,0),0))),0)</f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>
        <f t="shared" si="0"/>
        <v>36</v>
      </c>
      <c r="B38">
        <v>0</v>
      </c>
      <c r="C38">
        <f>IF((gamma!C38),IF(VLOOKUP(C$1,main!$A$3:$I$56,7,FALSE)=VLOOKUP($A38,main!$A$3:$I$56,8,FALSE),VLOOKUP(C$1,main!$A$3:$I$56,4,FALSE),VLOOKUP(C$1,main!$A$3:$I$56,4,FALSE)+VLOOKUP($A38,main!$A$3:$I$56,4,FALSE)+(VLOOKUP(VLOOKUP(C$1,main!$A$3:$I$56,8,FALSE),main!$K$19:$O$22,MATCH(VLOOKUP($A38,main!$A$3:$I$56,7,FALSE),main!$K$18:$O$18,0),0))),0)</f>
        <v>0</v>
      </c>
      <c r="D38">
        <f>IF((gamma!D38),IF(VLOOKUP(D$1,main!$A$3:$I$56,7,FALSE)=VLOOKUP($A38,main!$A$3:$I$56,8,FALSE),VLOOKUP(D$1,main!$A$3:$I$56,4,FALSE),VLOOKUP(D$1,main!$A$3:$I$56,4,FALSE)+VLOOKUP($A38,main!$A$3:$I$56,4,FALSE)+(VLOOKUP(VLOOKUP(D$1,main!$A$3:$I$56,8,FALSE),main!$K$19:$O$22,MATCH(VLOOKUP($A38,main!$A$3:$I$56,7,FALSE),main!$K$18:$O$18,0),0))),0)</f>
        <v>303</v>
      </c>
      <c r="E38">
        <f>IF((gamma!E38),IF(VLOOKUP(E$1,main!$A$3:$I$56,7,FALSE)=VLOOKUP($A38,main!$A$3:$I$56,8,FALSE),VLOOKUP(E$1,main!$A$3:$I$56,4,FALSE),VLOOKUP(E$1,main!$A$3:$I$56,4,FALSE)+VLOOKUP($A38,main!$A$3:$I$56,4,FALSE)+(VLOOKUP(VLOOKUP(E$1,main!$A$3:$I$56,8,FALSE),main!$K$19:$O$22,MATCH(VLOOKUP($A38,main!$A$3:$I$56,7,FALSE),main!$K$18:$O$18,0),0))),0)</f>
        <v>303</v>
      </c>
      <c r="F38">
        <f>IF((gamma!F38),IF(VLOOKUP(F$1,main!$A$3:$I$56,7,FALSE)=VLOOKUP($A38,main!$A$3:$I$56,8,FALSE),VLOOKUP(F$1,main!$A$3:$I$56,4,FALSE),VLOOKUP(F$1,main!$A$3:$I$56,4,FALSE)+VLOOKUP($A38,main!$A$3:$I$56,4,FALSE)+(VLOOKUP(VLOOKUP(F$1,main!$A$3:$I$56,8,FALSE),main!$K$19:$O$22,MATCH(VLOOKUP($A38,main!$A$3:$I$56,7,FALSE),main!$K$18:$O$18,0),0))),0)</f>
        <v>303</v>
      </c>
      <c r="G38">
        <f>IF((gamma!G38),IF(VLOOKUP(G$1,main!$A$3:$I$56,7,FALSE)=VLOOKUP($A38,main!$A$3:$I$56,8,FALSE),VLOOKUP(G$1,main!$A$3:$I$56,4,FALSE),VLOOKUP(G$1,main!$A$3:$I$56,4,FALSE)+VLOOKUP($A38,main!$A$3:$I$56,4,FALSE)+(VLOOKUP(VLOOKUP(G$1,main!$A$3:$I$56,8,FALSE),main!$K$19:$O$22,MATCH(VLOOKUP($A38,main!$A$3:$I$56,7,FALSE),main!$K$18:$O$18,0),0))),0)</f>
        <v>303</v>
      </c>
      <c r="H38">
        <f>IF((gamma!H38),IF(VLOOKUP(H$1,main!$A$3:$I$56,7,FALSE)=VLOOKUP($A38,main!$A$3:$I$56,8,FALSE),VLOOKUP(H$1,main!$A$3:$I$56,4,FALSE),VLOOKUP(H$1,main!$A$3:$I$56,4,FALSE)+VLOOKUP($A38,main!$A$3:$I$56,4,FALSE)+(VLOOKUP(VLOOKUP(H$1,main!$A$3:$I$56,8,FALSE),main!$K$19:$O$22,MATCH(VLOOKUP($A38,main!$A$3:$I$56,7,FALSE),main!$K$18:$O$18,0),0))),0)</f>
        <v>303</v>
      </c>
      <c r="I38">
        <f>IF((gamma!I38),IF(VLOOKUP(I$1,main!$A$3:$I$56,7,FALSE)=VLOOKUP($A38,main!$A$3:$I$56,8,FALSE),VLOOKUP(I$1,main!$A$3:$I$56,4,FALSE),VLOOKUP(I$1,main!$A$3:$I$56,4,FALSE)+VLOOKUP($A38,main!$A$3:$I$56,4,FALSE)+(VLOOKUP(VLOOKUP(I$1,main!$A$3:$I$56,8,FALSE),main!$K$19:$O$22,MATCH(VLOOKUP($A38,main!$A$3:$I$56,7,FALSE),main!$K$18:$O$18,0),0))),0)</f>
        <v>303</v>
      </c>
      <c r="J38">
        <f>IF((gamma!J38),IF(VLOOKUP(J$1,main!$A$3:$I$56,7,FALSE)=VLOOKUP($A38,main!$A$3:$I$56,8,FALSE),VLOOKUP(J$1,main!$A$3:$I$56,4,FALSE),VLOOKUP(J$1,main!$A$3:$I$56,4,FALSE)+VLOOKUP($A38,main!$A$3:$I$56,4,FALSE)+(VLOOKUP(VLOOKUP(J$1,main!$A$3:$I$56,8,FALSE),main!$K$19:$O$22,MATCH(VLOOKUP($A38,main!$A$3:$I$56,7,FALSE),main!$K$18:$O$18,0),0))),0)</f>
        <v>303</v>
      </c>
      <c r="K38">
        <f>IF((gamma!K38),IF(VLOOKUP(K$1,main!$A$3:$I$56,7,FALSE)=VLOOKUP($A38,main!$A$3:$I$56,8,FALSE),VLOOKUP(K$1,main!$A$3:$I$56,4,FALSE),VLOOKUP(K$1,main!$A$3:$I$56,4,FALSE)+VLOOKUP($A38,main!$A$3:$I$56,4,FALSE)+(VLOOKUP(VLOOKUP(K$1,main!$A$3:$I$56,8,FALSE),main!$K$19:$O$22,MATCH(VLOOKUP($A38,main!$A$3:$I$56,7,FALSE),main!$K$18:$O$18,0),0))),0)</f>
        <v>0</v>
      </c>
      <c r="L38">
        <f>IF((gamma!L38),IF(VLOOKUP(L$1,main!$A$3:$I$56,7,FALSE)=VLOOKUP($A38,main!$A$3:$I$56,8,FALSE),VLOOKUP(L$1,main!$A$3:$I$56,4,FALSE),VLOOKUP(L$1,main!$A$3:$I$56,4,FALSE)+VLOOKUP($A38,main!$A$3:$I$56,4,FALSE)+(VLOOKUP(VLOOKUP(L$1,main!$A$3:$I$56,8,FALSE),main!$K$19:$O$22,MATCH(VLOOKUP($A38,main!$A$3:$I$56,7,FALSE),main!$K$18:$O$18,0),0))),0)</f>
        <v>0</v>
      </c>
      <c r="M38">
        <f>IF((gamma!M38),IF(VLOOKUP(M$1,main!$A$3:$I$56,7,FALSE)=VLOOKUP($A38,main!$A$3:$I$56,8,FALSE),VLOOKUP(M$1,main!$A$3:$I$56,4,FALSE),VLOOKUP(M$1,main!$A$3:$I$56,4,FALSE)+VLOOKUP($A38,main!$A$3:$I$56,4,FALSE)+(VLOOKUP(VLOOKUP(M$1,main!$A$3:$I$56,8,FALSE),main!$K$19:$O$22,MATCH(VLOOKUP($A38,main!$A$3:$I$56,7,FALSE),main!$K$18:$O$18,0),0))),0)</f>
        <v>280</v>
      </c>
      <c r="N38">
        <f>IF((gamma!N38),IF(VLOOKUP(N$1,main!$A$3:$I$56,7,FALSE)=VLOOKUP($A38,main!$A$3:$I$56,8,FALSE),VLOOKUP(N$1,main!$A$3:$I$56,4,FALSE),VLOOKUP(N$1,main!$A$3:$I$56,4,FALSE)+VLOOKUP($A38,main!$A$3:$I$56,4,FALSE)+(VLOOKUP(VLOOKUP(N$1,main!$A$3:$I$56,8,FALSE),main!$K$19:$O$22,MATCH(VLOOKUP($A38,main!$A$3:$I$56,7,FALSE),main!$K$18:$O$18,0),0))),0)</f>
        <v>280</v>
      </c>
      <c r="O38">
        <f>IF((gamma!O38),IF(VLOOKUP(O$1,main!$A$3:$I$56,7,FALSE)=VLOOKUP($A38,main!$A$3:$I$56,8,FALSE),VLOOKUP(O$1,main!$A$3:$I$56,4,FALSE),VLOOKUP(O$1,main!$A$3:$I$56,4,FALSE)+VLOOKUP($A38,main!$A$3:$I$56,4,FALSE)+(VLOOKUP(VLOOKUP(O$1,main!$A$3:$I$56,8,FALSE),main!$K$19:$O$22,MATCH(VLOOKUP($A38,main!$A$3:$I$56,7,FALSE),main!$K$18:$O$18,0),0))),0)</f>
        <v>280</v>
      </c>
      <c r="P38">
        <f>IF((gamma!P38),IF(VLOOKUP(P$1,main!$A$3:$I$56,7,FALSE)=VLOOKUP($A38,main!$A$3:$I$56,8,FALSE),VLOOKUP(P$1,main!$A$3:$I$56,4,FALSE),VLOOKUP(P$1,main!$A$3:$I$56,4,FALSE)+VLOOKUP($A38,main!$A$3:$I$56,4,FALSE)+(VLOOKUP(VLOOKUP(P$1,main!$A$3:$I$56,8,FALSE),main!$K$19:$O$22,MATCH(VLOOKUP($A38,main!$A$3:$I$56,7,FALSE),main!$K$18:$O$18,0),0))),0)</f>
        <v>0</v>
      </c>
      <c r="Q38">
        <f>IF((gamma!Q38),IF(VLOOKUP(Q$1,main!$A$3:$I$56,7,FALSE)=VLOOKUP($A38,main!$A$3:$I$56,8,FALSE),VLOOKUP(Q$1,main!$A$3:$I$56,4,FALSE),VLOOKUP(Q$1,main!$A$3:$I$56,4,FALSE)+VLOOKUP($A38,main!$A$3:$I$56,4,FALSE)+(VLOOKUP(VLOOKUP(Q$1,main!$A$3:$I$56,8,FALSE),main!$K$19:$O$22,MATCH(VLOOKUP($A38,main!$A$3:$I$56,7,FALSE),main!$K$18:$O$18,0),0))),0)</f>
        <v>0</v>
      </c>
      <c r="R38">
        <f>IF((gamma!R38),IF(VLOOKUP(R$1,main!$A$3:$I$56,7,FALSE)=VLOOKUP($A38,main!$A$3:$I$56,8,FALSE),VLOOKUP(R$1,main!$A$3:$I$56,4,FALSE),VLOOKUP(R$1,main!$A$3:$I$56,4,FALSE)+VLOOKUP($A38,main!$A$3:$I$56,4,FALSE)+(VLOOKUP(VLOOKUP(R$1,main!$A$3:$I$56,8,FALSE),main!$K$19:$O$22,MATCH(VLOOKUP($A38,main!$A$3:$I$56,7,FALSE),main!$K$18:$O$18,0),0))),0)</f>
        <v>308</v>
      </c>
      <c r="S38">
        <f>IF((gamma!S38),IF(VLOOKUP(S$1,main!$A$3:$I$56,7,FALSE)=VLOOKUP($A38,main!$A$3:$I$56,8,FALSE),VLOOKUP(S$1,main!$A$3:$I$56,4,FALSE),VLOOKUP(S$1,main!$A$3:$I$56,4,FALSE)+VLOOKUP($A38,main!$A$3:$I$56,4,FALSE)+(VLOOKUP(VLOOKUP(S$1,main!$A$3:$I$56,8,FALSE),main!$K$19:$O$22,MATCH(VLOOKUP($A38,main!$A$3:$I$56,7,FALSE),main!$K$18:$O$18,0),0))),0)</f>
        <v>313</v>
      </c>
      <c r="T38">
        <f>IF((gamma!T38),IF(VLOOKUP(T$1,main!$A$3:$I$56,7,FALSE)=VLOOKUP($A38,main!$A$3:$I$56,8,FALSE),VLOOKUP(T$1,main!$A$3:$I$56,4,FALSE),VLOOKUP(T$1,main!$A$3:$I$56,4,FALSE)+VLOOKUP($A38,main!$A$3:$I$56,4,FALSE)+(VLOOKUP(VLOOKUP(T$1,main!$A$3:$I$56,8,FALSE),main!$K$19:$O$22,MATCH(VLOOKUP($A38,main!$A$3:$I$56,7,FALSE),main!$K$18:$O$18,0),0))),0)</f>
        <v>313</v>
      </c>
      <c r="U38">
        <f>IF((gamma!U38),IF(VLOOKUP(U$1,main!$A$3:$I$56,7,FALSE)=VLOOKUP($A38,main!$A$3:$I$56,8,FALSE),VLOOKUP(U$1,main!$A$3:$I$56,4,FALSE),VLOOKUP(U$1,main!$A$3:$I$56,4,FALSE)+VLOOKUP($A38,main!$A$3:$I$56,4,FALSE)+(VLOOKUP(VLOOKUP(U$1,main!$A$3:$I$56,8,FALSE),main!$K$19:$O$22,MATCH(VLOOKUP($A38,main!$A$3:$I$56,7,FALSE),main!$K$18:$O$18,0),0))),0)</f>
        <v>0</v>
      </c>
      <c r="V38">
        <f>IF((gamma!V38),IF(VLOOKUP(V$1,main!$A$3:$I$56,7,FALSE)=VLOOKUP($A38,main!$A$3:$I$56,8,FALSE),VLOOKUP(V$1,main!$A$3:$I$56,4,FALSE),VLOOKUP(V$1,main!$A$3:$I$56,4,FALSE)+VLOOKUP($A38,main!$A$3:$I$56,4,FALSE)+(VLOOKUP(VLOOKUP(V$1,main!$A$3:$I$56,8,FALSE),main!$K$19:$O$22,MATCH(VLOOKUP($A38,main!$A$3:$I$56,7,FALSE),main!$K$18:$O$18,0),0))),0)</f>
        <v>0</v>
      </c>
      <c r="W38">
        <f>IF((gamma!W38),IF(VLOOKUP(W$1,main!$A$3:$I$56,7,FALSE)=VLOOKUP($A38,main!$A$3:$I$56,8,FALSE),VLOOKUP(W$1,main!$A$3:$I$56,4,FALSE),VLOOKUP(W$1,main!$A$3:$I$56,4,FALSE)+VLOOKUP($A38,main!$A$3:$I$56,4,FALSE)+(VLOOKUP(VLOOKUP(W$1,main!$A$3:$I$56,8,FALSE),main!$K$19:$O$22,MATCH(VLOOKUP($A38,main!$A$3:$I$56,7,FALSE),main!$K$18:$O$18,0),0))),0)</f>
        <v>135</v>
      </c>
      <c r="X38">
        <f>IF((gamma!X38),IF(VLOOKUP(X$1,main!$A$3:$I$56,7,FALSE)=VLOOKUP($A38,main!$A$3:$I$56,8,FALSE),VLOOKUP(X$1,main!$A$3:$I$56,4,FALSE),VLOOKUP(X$1,main!$A$3:$I$56,4,FALSE)+VLOOKUP($A38,main!$A$3:$I$56,4,FALSE)+(VLOOKUP(VLOOKUP(X$1,main!$A$3:$I$56,8,FALSE),main!$K$19:$O$22,MATCH(VLOOKUP($A38,main!$A$3:$I$56,7,FALSE),main!$K$18:$O$18,0),0))),0)</f>
        <v>135</v>
      </c>
      <c r="Y38">
        <f>IF((gamma!Y38),IF(VLOOKUP(Y$1,main!$A$3:$I$56,7,FALSE)=VLOOKUP($A38,main!$A$3:$I$56,8,FALSE),VLOOKUP(Y$1,main!$A$3:$I$56,4,FALSE),VLOOKUP(Y$1,main!$A$3:$I$56,4,FALSE)+VLOOKUP($A38,main!$A$3:$I$56,4,FALSE)+(VLOOKUP(VLOOKUP(Y$1,main!$A$3:$I$56,8,FALSE),main!$K$19:$O$22,MATCH(VLOOKUP($A38,main!$A$3:$I$56,7,FALSE),main!$K$18:$O$18,0),0))),0)</f>
        <v>135</v>
      </c>
      <c r="Z38">
        <f>IF((gamma!Z38),IF(VLOOKUP(Z$1,main!$A$3:$I$56,7,FALSE)=VLOOKUP($A38,main!$A$3:$I$56,8,FALSE),VLOOKUP(Z$1,main!$A$3:$I$56,4,FALSE),VLOOKUP(Z$1,main!$A$3:$I$56,4,FALSE)+VLOOKUP($A38,main!$A$3:$I$56,4,FALSE)+(VLOOKUP(VLOOKUP(Z$1,main!$A$3:$I$56,8,FALSE),main!$K$19:$O$22,MATCH(VLOOKUP($A38,main!$A$3:$I$56,7,FALSE),main!$K$18:$O$18,0),0))),0)</f>
        <v>135</v>
      </c>
      <c r="AA38">
        <f>IF((gamma!AA38),IF(VLOOKUP(AA$1,main!$A$3:$I$56,7,FALSE)=VLOOKUP($A38,main!$A$3:$I$56,8,FALSE),VLOOKUP(AA$1,main!$A$3:$I$56,4,FALSE),VLOOKUP(AA$1,main!$A$3:$I$56,4,FALSE)+VLOOKUP($A38,main!$A$3:$I$56,4,FALSE)+(VLOOKUP(VLOOKUP(AA$1,main!$A$3:$I$56,8,FALSE),main!$K$19:$O$22,MATCH(VLOOKUP($A38,main!$A$3:$I$56,7,FALSE),main!$K$18:$O$18,0),0))),0)</f>
        <v>135</v>
      </c>
      <c r="AB38">
        <f>IF((gamma!AB38),IF(VLOOKUP(AB$1,main!$A$3:$I$56,7,FALSE)=VLOOKUP($A38,main!$A$3:$I$56,8,FALSE),VLOOKUP(AB$1,main!$A$3:$I$56,4,FALSE),VLOOKUP(AB$1,main!$A$3:$I$56,4,FALSE)+VLOOKUP($A38,main!$A$3:$I$56,4,FALSE)+(VLOOKUP(VLOOKUP(AB$1,main!$A$3:$I$56,8,FALSE),main!$K$19:$O$22,MATCH(VLOOKUP($A38,main!$A$3:$I$56,7,FALSE),main!$K$18:$O$18,0),0))),0)</f>
        <v>135</v>
      </c>
      <c r="AC38">
        <f>IF((gamma!AC38),IF(VLOOKUP(AC$1,main!$A$3:$I$56,7,FALSE)=VLOOKUP($A38,main!$A$3:$I$56,8,FALSE),VLOOKUP(AC$1,main!$A$3:$I$56,4,FALSE),VLOOKUP(AC$1,main!$A$3:$I$56,4,FALSE)+VLOOKUP($A38,main!$A$3:$I$56,4,FALSE)+(VLOOKUP(VLOOKUP(AC$1,main!$A$3:$I$56,8,FALSE),main!$K$19:$O$22,MATCH(VLOOKUP($A38,main!$A$3:$I$56,7,FALSE),main!$K$18:$O$18,0),0))),0)</f>
        <v>0</v>
      </c>
      <c r="AD38">
        <f>IF((gamma!AD38),IF(VLOOKUP(AD$1,main!$A$3:$I$56,7,FALSE)=VLOOKUP($A38,main!$A$3:$I$56,8,FALSE),VLOOKUP(AD$1,main!$A$3:$I$56,4,FALSE),VLOOKUP(AD$1,main!$A$3:$I$56,4,FALSE)+VLOOKUP($A38,main!$A$3:$I$56,4,FALSE)+(VLOOKUP(VLOOKUP(AD$1,main!$A$3:$I$56,8,FALSE),main!$K$19:$O$22,MATCH(VLOOKUP($A38,main!$A$3:$I$56,7,FALSE),main!$K$18:$O$18,0),0))),0)</f>
        <v>0</v>
      </c>
      <c r="AE38">
        <f>IF((gamma!AE38),IF(VLOOKUP(AE$1,main!$A$3:$I$56,7,FALSE)=VLOOKUP($A38,main!$A$3:$I$56,8,FALSE),VLOOKUP(AE$1,main!$A$3:$I$56,4,FALSE),VLOOKUP(AE$1,main!$A$3:$I$56,4,FALSE)+VLOOKUP($A38,main!$A$3:$I$56,4,FALSE)+(VLOOKUP(VLOOKUP(AE$1,main!$A$3:$I$56,8,FALSE),main!$K$19:$O$22,MATCH(VLOOKUP($A38,main!$A$3:$I$56,7,FALSE),main!$K$18:$O$18,0),0))),0)</f>
        <v>120</v>
      </c>
      <c r="AF38">
        <f>IF((gamma!AF38),IF(VLOOKUP(AF$1,main!$A$3:$I$56,7,FALSE)=VLOOKUP($A38,main!$A$3:$I$56,8,FALSE),VLOOKUP(AF$1,main!$A$3:$I$56,4,FALSE),VLOOKUP(AF$1,main!$A$3:$I$56,4,FALSE)+VLOOKUP($A38,main!$A$3:$I$56,4,FALSE)+(VLOOKUP(VLOOKUP(AF$1,main!$A$3:$I$56,8,FALSE),main!$K$19:$O$22,MATCH(VLOOKUP($A38,main!$A$3:$I$56,7,FALSE),main!$K$18:$O$18,0),0))),0)</f>
        <v>130</v>
      </c>
      <c r="AG38">
        <f>IF((gamma!AG38),IF(VLOOKUP(AG$1,main!$A$3:$I$56,7,FALSE)=VLOOKUP($A38,main!$A$3:$I$56,8,FALSE),VLOOKUP(AG$1,main!$A$3:$I$56,4,FALSE),VLOOKUP(AG$1,main!$A$3:$I$56,4,FALSE)+VLOOKUP($A38,main!$A$3:$I$56,4,FALSE)+(VLOOKUP(VLOOKUP(AG$1,main!$A$3:$I$56,8,FALSE),main!$K$19:$O$22,MATCH(VLOOKUP($A38,main!$A$3:$I$56,7,FALSE),main!$K$18:$O$18,0),0))),0)</f>
        <v>0</v>
      </c>
      <c r="AH38">
        <f>IF((gamma!AH38),IF(VLOOKUP(AH$1,main!$A$3:$I$56,7,FALSE)=VLOOKUP($A38,main!$A$3:$I$56,8,FALSE),VLOOKUP(AH$1,main!$A$3:$I$56,4,FALSE),VLOOKUP(AH$1,main!$A$3:$I$56,4,FALSE)+VLOOKUP($A38,main!$A$3:$I$56,4,FALSE)+(VLOOKUP(VLOOKUP(AH$1,main!$A$3:$I$56,8,FALSE),main!$K$19:$O$22,MATCH(VLOOKUP($A38,main!$A$3:$I$56,7,FALSE),main!$K$18:$O$18,0),0))),0)</f>
        <v>310</v>
      </c>
      <c r="AI38">
        <f>IF((gamma!AI38),IF(VLOOKUP(AI$1,main!$A$3:$I$56,7,FALSE)=VLOOKUP($A38,main!$A$3:$I$56,8,FALSE),VLOOKUP(AI$1,main!$A$3:$I$56,4,FALSE),VLOOKUP(AI$1,main!$A$3:$I$56,4,FALSE)+VLOOKUP($A38,main!$A$3:$I$56,4,FALSE)+(VLOOKUP(VLOOKUP(AI$1,main!$A$3:$I$56,8,FALSE),main!$K$19:$O$22,MATCH(VLOOKUP($A38,main!$A$3:$I$56,7,FALSE),main!$K$18:$O$18,0),0))),0)</f>
        <v>310</v>
      </c>
      <c r="AJ38">
        <f>IF((gamma!AJ38),IF(VLOOKUP(AJ$1,main!$A$3:$I$56,7,FALSE)=VLOOKUP($A38,main!$A$3:$I$56,8,FALSE),VLOOKUP(AJ$1,main!$A$3:$I$56,4,FALSE),VLOOKUP(AJ$1,main!$A$3:$I$56,4,FALSE)+VLOOKUP($A38,main!$A$3:$I$56,4,FALSE)+(VLOOKUP(VLOOKUP(AJ$1,main!$A$3:$I$56,8,FALSE),main!$K$19:$O$22,MATCH(VLOOKUP($A38,main!$A$3:$I$56,7,FALSE),main!$K$18:$O$18,0),0))),0)</f>
        <v>310</v>
      </c>
      <c r="AK38">
        <f>IF((gamma!AK38),IF(VLOOKUP(AK$1,main!$A$3:$I$56,7,FALSE)=VLOOKUP($A38,main!$A$3:$I$56,8,FALSE),VLOOKUP(AK$1,main!$A$3:$I$56,4,FALSE),VLOOKUP(AK$1,main!$A$3:$I$56,4,FALSE)+VLOOKUP($A38,main!$A$3:$I$56,4,FALSE)+(VLOOKUP(VLOOKUP(AK$1,main!$A$3:$I$56,8,FALSE),main!$K$19:$O$22,MATCH(VLOOKUP($A38,main!$A$3:$I$56,7,FALSE),main!$K$18:$O$18,0),0))),0)</f>
        <v>310</v>
      </c>
      <c r="AL38">
        <f>IF((gamma!AL38),IF(VLOOKUP(AL$1,main!$A$3:$I$56,7,FALSE)=VLOOKUP($A38,main!$A$3:$I$56,8,FALSE),VLOOKUP(AL$1,main!$A$3:$I$56,4,FALSE),VLOOKUP(AL$1,main!$A$3:$I$56,4,FALSE)+VLOOKUP($A38,main!$A$3:$I$56,4,FALSE)+(VLOOKUP(VLOOKUP(AL$1,main!$A$3:$I$56,8,FALSE),main!$K$19:$O$22,MATCH(VLOOKUP($A38,main!$A$3:$I$56,7,FALSE),main!$K$18:$O$18,0),0))),0)</f>
        <v>0</v>
      </c>
      <c r="AM38">
        <f>IF((gamma!AM38),IF(VLOOKUP(AM$1,main!$A$3:$I$56,7,FALSE)=VLOOKUP($A38,main!$A$3:$I$56,8,FALSE),VLOOKUP(AM$1,main!$A$3:$I$56,4,FALSE),VLOOKUP(AM$1,main!$A$3:$I$56,4,FALSE)+VLOOKUP($A38,main!$A$3:$I$56,4,FALSE)+(VLOOKUP(VLOOKUP(AM$1,main!$A$3:$I$56,8,FALSE),main!$K$19:$O$22,MATCH(VLOOKUP($A38,main!$A$3:$I$56,7,FALSE),main!$K$18:$O$18,0),0))),0)</f>
        <v>0</v>
      </c>
      <c r="AN38">
        <f>IF((gamma!AN38),IF(VLOOKUP(AN$1,main!$A$3:$I$56,7,FALSE)=VLOOKUP($A38,main!$A$3:$I$56,8,FALSE),VLOOKUP(AN$1,main!$A$3:$I$56,4,FALSE),VLOOKUP(AN$1,main!$A$3:$I$56,4,FALSE)+VLOOKUP($A38,main!$A$3:$I$56,4,FALSE)+(VLOOKUP(VLOOKUP(AN$1,main!$A$3:$I$56,8,FALSE),main!$K$19:$O$22,MATCH(VLOOKUP($A38,main!$A$3:$I$56,7,FALSE),main!$K$18:$O$18,0),0))),0)</f>
        <v>288</v>
      </c>
      <c r="AO38">
        <f>IF((gamma!AO38),IF(VLOOKUP(AO$1,main!$A$3:$I$56,7,FALSE)=VLOOKUP($A38,main!$A$3:$I$56,8,FALSE),VLOOKUP(AO$1,main!$A$3:$I$56,4,FALSE),VLOOKUP(AO$1,main!$A$3:$I$56,4,FALSE)+VLOOKUP($A38,main!$A$3:$I$56,4,FALSE)+(VLOOKUP(VLOOKUP(AO$1,main!$A$3:$I$56,8,FALSE),main!$K$19:$O$22,MATCH(VLOOKUP($A38,main!$A$3:$I$56,7,FALSE),main!$K$18:$O$18,0),0))),0)</f>
        <v>298</v>
      </c>
      <c r="AP38">
        <f>IF((gamma!AP38),IF(VLOOKUP(AP$1,main!$A$3:$I$56,7,FALSE)=VLOOKUP($A38,main!$A$3:$I$56,8,FALSE),VLOOKUP(AP$1,main!$A$3:$I$56,4,FALSE),VLOOKUP(AP$1,main!$A$3:$I$56,4,FALSE)+VLOOKUP($A38,main!$A$3:$I$56,4,FALSE)+(VLOOKUP(VLOOKUP(AP$1,main!$A$3:$I$56,8,FALSE),main!$K$19:$O$22,MATCH(VLOOKUP($A38,main!$A$3:$I$56,7,FALSE),main!$K$18:$O$18,0),0))),0)</f>
        <v>0</v>
      </c>
      <c r="AQ38">
        <f>IF((gamma!AQ38),IF(VLOOKUP(AQ$1,main!$A$3:$I$56,7,FALSE)=VLOOKUP($A38,main!$A$3:$I$56,8,FALSE),VLOOKUP(AQ$1,main!$A$3:$I$56,4,FALSE),VLOOKUP(AQ$1,main!$A$3:$I$56,4,FALSE)+VLOOKUP($A38,main!$A$3:$I$56,4,FALSE)+(VLOOKUP(VLOOKUP(AQ$1,main!$A$3:$I$56,8,FALSE),main!$K$19:$O$22,MATCH(VLOOKUP($A38,main!$A$3:$I$56,7,FALSE),main!$K$18:$O$18,0),0))),0)</f>
        <v>0</v>
      </c>
      <c r="AR38">
        <f>IF((gamma!AR38),IF(VLOOKUP(AR$1,main!$A$3:$I$56,7,FALSE)=VLOOKUP($A38,main!$A$3:$I$56,8,FALSE),VLOOKUP(AR$1,main!$A$3:$I$56,4,FALSE),VLOOKUP(AR$1,main!$A$3:$I$56,4,FALSE)+VLOOKUP($A38,main!$A$3:$I$56,4,FALSE)+(VLOOKUP(VLOOKUP(AR$1,main!$A$3:$I$56,8,FALSE),main!$K$19:$O$22,MATCH(VLOOKUP($A38,main!$A$3:$I$56,7,FALSE),main!$K$18:$O$18,0),0))),0)</f>
        <v>0</v>
      </c>
      <c r="AS38">
        <f>IF((gamma!AS38),IF(VLOOKUP(AS$1,main!$A$3:$I$56,7,FALSE)=VLOOKUP($A38,main!$A$3:$I$56,8,FALSE),VLOOKUP(AS$1,main!$A$3:$I$56,4,FALSE),VLOOKUP(AS$1,main!$A$3:$I$56,4,FALSE)+VLOOKUP($A38,main!$A$3:$I$56,4,FALSE)+(VLOOKUP(VLOOKUP(AS$1,main!$A$3:$I$56,8,FALSE),main!$K$19:$O$22,MATCH(VLOOKUP($A38,main!$A$3:$I$56,7,FALSE),main!$K$18:$O$18,0),0))),0)</f>
        <v>308</v>
      </c>
      <c r="AT38">
        <f>IF((gamma!AT38),IF(VLOOKUP(AT$1,main!$A$3:$I$56,7,FALSE)=VLOOKUP($A38,main!$A$3:$I$56,8,FALSE),VLOOKUP(AT$1,main!$A$3:$I$56,4,FALSE),VLOOKUP(AT$1,main!$A$3:$I$56,4,FALSE)+VLOOKUP($A38,main!$A$3:$I$56,4,FALSE)+(VLOOKUP(VLOOKUP(AT$1,main!$A$3:$I$56,8,FALSE),main!$K$19:$O$22,MATCH(VLOOKUP($A38,main!$A$3:$I$56,7,FALSE),main!$K$18:$O$18,0),0))),0)</f>
        <v>293</v>
      </c>
      <c r="AU38">
        <f>IF((gamma!AU38),IF(VLOOKUP(AU$1,main!$A$3:$I$56,7,FALSE)=VLOOKUP($A38,main!$A$3:$I$56,8,FALSE),VLOOKUP(AU$1,main!$A$3:$I$56,4,FALSE),VLOOKUP(AU$1,main!$A$3:$I$56,4,FALSE)+VLOOKUP($A38,main!$A$3:$I$56,4,FALSE)+(VLOOKUP(VLOOKUP(AU$1,main!$A$3:$I$56,8,FALSE),main!$K$19:$O$22,MATCH(VLOOKUP($A38,main!$A$3:$I$56,7,FALSE),main!$K$18:$O$18,0),0))),0)</f>
        <v>0</v>
      </c>
      <c r="AV38">
        <f>IF((gamma!AV38),IF(VLOOKUP(AV$1,main!$A$3:$I$56,7,FALSE)=VLOOKUP($A38,main!$A$3:$I$56,8,FALSE),VLOOKUP(AV$1,main!$A$3:$I$56,4,FALSE),VLOOKUP(AV$1,main!$A$3:$I$56,4,FALSE)+VLOOKUP($A38,main!$A$3:$I$56,4,FALSE)+(VLOOKUP(VLOOKUP(AV$1,main!$A$3:$I$56,8,FALSE),main!$K$19:$O$22,MATCH(VLOOKUP($A38,main!$A$3:$I$56,7,FALSE),main!$K$18:$O$18,0),0))),0)</f>
        <v>305</v>
      </c>
      <c r="AW38">
        <f>IF((gamma!AW38),IF(VLOOKUP(AW$1,main!$A$3:$I$56,7,FALSE)=VLOOKUP($A38,main!$A$3:$I$56,8,FALSE),VLOOKUP(AW$1,main!$A$3:$I$56,4,FALSE),VLOOKUP(AW$1,main!$A$3:$I$56,4,FALSE)+VLOOKUP($A38,main!$A$3:$I$56,4,FALSE)+(VLOOKUP(VLOOKUP(AW$1,main!$A$3:$I$56,8,FALSE),main!$K$19:$O$22,MATCH(VLOOKUP($A38,main!$A$3:$I$56,7,FALSE),main!$K$18:$O$18,0),0))),0)</f>
        <v>310</v>
      </c>
      <c r="AX38">
        <f>IF((gamma!AX38),IF(VLOOKUP(AX$1,main!$A$3:$I$56,7,FALSE)=VLOOKUP($A38,main!$A$3:$I$56,8,FALSE),VLOOKUP(AX$1,main!$A$3:$I$56,4,FALSE),VLOOKUP(AX$1,main!$A$3:$I$56,4,FALSE)+VLOOKUP($A38,main!$A$3:$I$56,4,FALSE)+(VLOOKUP(VLOOKUP(AX$1,main!$A$3:$I$56,8,FALSE),main!$K$19:$O$22,MATCH(VLOOKUP($A38,main!$A$3:$I$56,7,FALSE),main!$K$18:$O$18,0),0))),0)</f>
        <v>310</v>
      </c>
      <c r="AY38">
        <f>IF((gamma!AY38),IF(VLOOKUP(AY$1,main!$A$3:$I$56,7,FALSE)=VLOOKUP($A38,main!$A$3:$I$56,8,FALSE),VLOOKUP(AY$1,main!$A$3:$I$56,4,FALSE),VLOOKUP(AY$1,main!$A$3:$I$56,4,FALSE)+VLOOKUP($A38,main!$A$3:$I$56,4,FALSE)+(VLOOKUP(VLOOKUP(AY$1,main!$A$3:$I$56,8,FALSE),main!$K$19:$O$22,MATCH(VLOOKUP($A38,main!$A$3:$I$56,7,FALSE),main!$K$18:$O$18,0),0))),0)</f>
        <v>310</v>
      </c>
      <c r="AZ38">
        <f>IF((gamma!AZ38),IF(VLOOKUP(AZ$1,main!$A$3:$I$56,7,FALSE)=VLOOKUP($A38,main!$A$3:$I$56,8,FALSE),VLOOKUP(AZ$1,main!$A$3:$I$56,4,FALSE),VLOOKUP(AZ$1,main!$A$3:$I$56,4,FALSE)+VLOOKUP($A38,main!$A$3:$I$56,4,FALSE)+(VLOOKUP(VLOOKUP(AZ$1,main!$A$3:$I$56,8,FALSE),main!$K$19:$O$22,MATCH(VLOOKUP($A38,main!$A$3:$I$56,7,FALSE),main!$K$18:$O$18,0),0))),0)</f>
        <v>0</v>
      </c>
      <c r="BA38">
        <f>IF((gamma!BA38),IF(VLOOKUP(BA$1,main!$A$3:$I$56,7,FALSE)=VLOOKUP($A38,main!$A$3:$I$56,8,FALSE),VLOOKUP(BA$1,main!$A$3:$I$56,4,FALSE),VLOOKUP(BA$1,main!$A$3:$I$56,4,FALSE)+VLOOKUP($A38,main!$A$3:$I$56,4,FALSE)+(VLOOKUP(VLOOKUP(BA$1,main!$A$3:$I$56,8,FALSE),main!$K$19:$O$22,MATCH(VLOOKUP($A38,main!$A$3:$I$56,7,FALSE),main!$K$18:$O$18,0),0))),0)</f>
        <v>260</v>
      </c>
      <c r="BB38">
        <f>IF((gamma!BB38),IF(VLOOKUP(BB$1,main!$A$3:$I$56,7,FALSE)=VLOOKUP($A38,main!$A$3:$I$56,8,FALSE),VLOOKUP(BB$1,main!$A$3:$I$56,4,FALSE),VLOOKUP(BB$1,main!$A$3:$I$56,4,FALSE)+VLOOKUP($A38,main!$A$3:$I$56,4,FALSE)+(VLOOKUP(VLOOKUP(BB$1,main!$A$3:$I$56,8,FALSE),main!$K$19:$O$22,MATCH(VLOOKUP($A38,main!$A$3:$I$56,7,FALSE),main!$K$18:$O$18,0),0))),0)</f>
        <v>260</v>
      </c>
      <c r="BC38">
        <f>IF((gamma!BC38),IF(VLOOKUP(BC$1,main!$A$3:$I$56,7,FALSE)=VLOOKUP($A38,main!$A$3:$I$56,8,FALSE),VLOOKUP(BC$1,main!$A$3:$I$56,4,FALSE),VLOOKUP(BC$1,main!$A$3:$I$56,4,FALSE)+VLOOKUP($A38,main!$A$3:$I$56,4,FALSE)+(VLOOKUP(VLOOKUP(BC$1,main!$A$3:$I$56,8,FALSE),main!$K$19:$O$22,MATCH(VLOOKUP($A38,main!$A$3:$I$56,7,FALSE),main!$K$18:$O$18,0),0))),0)</f>
        <v>275</v>
      </c>
      <c r="BD38">
        <f>IF((gamma!BD38),IF(VLOOKUP(BD$1,main!$A$3:$I$56,7,FALSE)=VLOOKUP($A38,main!$A$3:$I$56,8,FALSE),VLOOKUP(BD$1,main!$A$3:$I$56,4,FALSE),VLOOKUP(BD$1,main!$A$3:$I$56,4,FALSE)+VLOOKUP($A38,main!$A$3:$I$56,4,FALSE)+(VLOOKUP(VLOOKUP(BD$1,main!$A$3:$I$56,8,FALSE),main!$K$19:$O$22,MATCH(VLOOKUP($A38,main!$A$3:$I$56,7,FALSE),main!$K$18:$O$18,0),0))),0)</f>
        <v>275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>
        <f t="shared" si="0"/>
        <v>37</v>
      </c>
      <c r="B39">
        <v>0</v>
      </c>
      <c r="C39">
        <f>IF((gamma!C39),IF(VLOOKUP(C$1,main!$A$3:$I$56,7,FALSE)=VLOOKUP($A39,main!$A$3:$I$56,8,FALSE),VLOOKUP(C$1,main!$A$3:$I$56,4,FALSE),VLOOKUP(C$1,main!$A$3:$I$56,4,FALSE)+VLOOKUP($A39,main!$A$3:$I$56,4,FALSE)+(VLOOKUP(VLOOKUP(C$1,main!$A$3:$I$56,8,FALSE),main!$K$19:$O$22,MATCH(VLOOKUP($A39,main!$A$3:$I$56,7,FALSE),main!$K$18:$O$18,0),0))),0)</f>
        <v>0</v>
      </c>
      <c r="D39">
        <f>IF((gamma!D39),IF(VLOOKUP(D$1,main!$A$3:$I$56,7,FALSE)=VLOOKUP($A39,main!$A$3:$I$56,8,FALSE),VLOOKUP(D$1,main!$A$3:$I$56,4,FALSE),VLOOKUP(D$1,main!$A$3:$I$56,4,FALSE)+VLOOKUP($A39,main!$A$3:$I$56,4,FALSE)+(VLOOKUP(VLOOKUP(D$1,main!$A$3:$I$56,8,FALSE),main!$K$19:$O$22,MATCH(VLOOKUP($A39,main!$A$3:$I$56,7,FALSE),main!$K$18:$O$18,0),0))),0)</f>
        <v>0</v>
      </c>
      <c r="E39">
        <f>IF((gamma!E39),IF(VLOOKUP(E$1,main!$A$3:$I$56,7,FALSE)=VLOOKUP($A39,main!$A$3:$I$56,8,FALSE),VLOOKUP(E$1,main!$A$3:$I$56,4,FALSE),VLOOKUP(E$1,main!$A$3:$I$56,4,FALSE)+VLOOKUP($A39,main!$A$3:$I$56,4,FALSE)+(VLOOKUP(VLOOKUP(E$1,main!$A$3:$I$56,8,FALSE),main!$K$19:$O$22,MATCH(VLOOKUP($A39,main!$A$3:$I$56,7,FALSE),main!$K$18:$O$18,0),0))),0)</f>
        <v>303</v>
      </c>
      <c r="F39">
        <f>IF((gamma!F39),IF(VLOOKUP(F$1,main!$A$3:$I$56,7,FALSE)=VLOOKUP($A39,main!$A$3:$I$56,8,FALSE),VLOOKUP(F$1,main!$A$3:$I$56,4,FALSE),VLOOKUP(F$1,main!$A$3:$I$56,4,FALSE)+VLOOKUP($A39,main!$A$3:$I$56,4,FALSE)+(VLOOKUP(VLOOKUP(F$1,main!$A$3:$I$56,8,FALSE),main!$K$19:$O$22,MATCH(VLOOKUP($A39,main!$A$3:$I$56,7,FALSE),main!$K$18:$O$18,0),0))),0)</f>
        <v>303</v>
      </c>
      <c r="G39">
        <f>IF((gamma!G39),IF(VLOOKUP(G$1,main!$A$3:$I$56,7,FALSE)=VLOOKUP($A39,main!$A$3:$I$56,8,FALSE),VLOOKUP(G$1,main!$A$3:$I$56,4,FALSE),VLOOKUP(G$1,main!$A$3:$I$56,4,FALSE)+VLOOKUP($A39,main!$A$3:$I$56,4,FALSE)+(VLOOKUP(VLOOKUP(G$1,main!$A$3:$I$56,8,FALSE),main!$K$19:$O$22,MATCH(VLOOKUP($A39,main!$A$3:$I$56,7,FALSE),main!$K$18:$O$18,0),0))),0)</f>
        <v>303</v>
      </c>
      <c r="H39">
        <f>IF((gamma!H39),IF(VLOOKUP(H$1,main!$A$3:$I$56,7,FALSE)=VLOOKUP($A39,main!$A$3:$I$56,8,FALSE),VLOOKUP(H$1,main!$A$3:$I$56,4,FALSE),VLOOKUP(H$1,main!$A$3:$I$56,4,FALSE)+VLOOKUP($A39,main!$A$3:$I$56,4,FALSE)+(VLOOKUP(VLOOKUP(H$1,main!$A$3:$I$56,8,FALSE),main!$K$19:$O$22,MATCH(VLOOKUP($A39,main!$A$3:$I$56,7,FALSE),main!$K$18:$O$18,0),0))),0)</f>
        <v>303</v>
      </c>
      <c r="I39">
        <f>IF((gamma!I39),IF(VLOOKUP(I$1,main!$A$3:$I$56,7,FALSE)=VLOOKUP($A39,main!$A$3:$I$56,8,FALSE),VLOOKUP(I$1,main!$A$3:$I$56,4,FALSE),VLOOKUP(I$1,main!$A$3:$I$56,4,FALSE)+VLOOKUP($A39,main!$A$3:$I$56,4,FALSE)+(VLOOKUP(VLOOKUP(I$1,main!$A$3:$I$56,8,FALSE),main!$K$19:$O$22,MATCH(VLOOKUP($A39,main!$A$3:$I$56,7,FALSE),main!$K$18:$O$18,0),0))),0)</f>
        <v>303</v>
      </c>
      <c r="J39">
        <f>IF((gamma!J39),IF(VLOOKUP(J$1,main!$A$3:$I$56,7,FALSE)=VLOOKUP($A39,main!$A$3:$I$56,8,FALSE),VLOOKUP(J$1,main!$A$3:$I$56,4,FALSE),VLOOKUP(J$1,main!$A$3:$I$56,4,FALSE)+VLOOKUP($A39,main!$A$3:$I$56,4,FALSE)+(VLOOKUP(VLOOKUP(J$1,main!$A$3:$I$56,8,FALSE),main!$K$19:$O$22,MATCH(VLOOKUP($A39,main!$A$3:$I$56,7,FALSE),main!$K$18:$O$18,0),0))),0)</f>
        <v>303</v>
      </c>
      <c r="K39">
        <f>IF((gamma!K39),IF(VLOOKUP(K$1,main!$A$3:$I$56,7,FALSE)=VLOOKUP($A39,main!$A$3:$I$56,8,FALSE),VLOOKUP(K$1,main!$A$3:$I$56,4,FALSE),VLOOKUP(K$1,main!$A$3:$I$56,4,FALSE)+VLOOKUP($A39,main!$A$3:$I$56,4,FALSE)+(VLOOKUP(VLOOKUP(K$1,main!$A$3:$I$56,8,FALSE),main!$K$19:$O$22,MATCH(VLOOKUP($A39,main!$A$3:$I$56,7,FALSE),main!$K$18:$O$18,0),0))),0)</f>
        <v>0</v>
      </c>
      <c r="L39">
        <f>IF((gamma!L39),IF(VLOOKUP(L$1,main!$A$3:$I$56,7,FALSE)=VLOOKUP($A39,main!$A$3:$I$56,8,FALSE),VLOOKUP(L$1,main!$A$3:$I$56,4,FALSE),VLOOKUP(L$1,main!$A$3:$I$56,4,FALSE)+VLOOKUP($A39,main!$A$3:$I$56,4,FALSE)+(VLOOKUP(VLOOKUP(L$1,main!$A$3:$I$56,8,FALSE),main!$K$19:$O$22,MATCH(VLOOKUP($A39,main!$A$3:$I$56,7,FALSE),main!$K$18:$O$18,0),0))),0)</f>
        <v>0</v>
      </c>
      <c r="M39">
        <f>IF((gamma!M39),IF(VLOOKUP(M$1,main!$A$3:$I$56,7,FALSE)=VLOOKUP($A39,main!$A$3:$I$56,8,FALSE),VLOOKUP(M$1,main!$A$3:$I$56,4,FALSE),VLOOKUP(M$1,main!$A$3:$I$56,4,FALSE)+VLOOKUP($A39,main!$A$3:$I$56,4,FALSE)+(VLOOKUP(VLOOKUP(M$1,main!$A$3:$I$56,8,FALSE),main!$K$19:$O$22,MATCH(VLOOKUP($A39,main!$A$3:$I$56,7,FALSE),main!$K$18:$O$18,0),0))),0)</f>
        <v>0</v>
      </c>
      <c r="N39">
        <f>IF((gamma!N39),IF(VLOOKUP(N$1,main!$A$3:$I$56,7,FALSE)=VLOOKUP($A39,main!$A$3:$I$56,8,FALSE),VLOOKUP(N$1,main!$A$3:$I$56,4,FALSE),VLOOKUP(N$1,main!$A$3:$I$56,4,FALSE)+VLOOKUP($A39,main!$A$3:$I$56,4,FALSE)+(VLOOKUP(VLOOKUP(N$1,main!$A$3:$I$56,8,FALSE),main!$K$19:$O$22,MATCH(VLOOKUP($A39,main!$A$3:$I$56,7,FALSE),main!$K$18:$O$18,0),0))),0)</f>
        <v>280</v>
      </c>
      <c r="O39">
        <f>IF((gamma!O39),IF(VLOOKUP(O$1,main!$A$3:$I$56,7,FALSE)=VLOOKUP($A39,main!$A$3:$I$56,8,FALSE),VLOOKUP(O$1,main!$A$3:$I$56,4,FALSE),VLOOKUP(O$1,main!$A$3:$I$56,4,FALSE)+VLOOKUP($A39,main!$A$3:$I$56,4,FALSE)+(VLOOKUP(VLOOKUP(O$1,main!$A$3:$I$56,8,FALSE),main!$K$19:$O$22,MATCH(VLOOKUP($A39,main!$A$3:$I$56,7,FALSE),main!$K$18:$O$18,0),0))),0)</f>
        <v>280</v>
      </c>
      <c r="P39">
        <f>IF((gamma!P39),IF(VLOOKUP(P$1,main!$A$3:$I$56,7,FALSE)=VLOOKUP($A39,main!$A$3:$I$56,8,FALSE),VLOOKUP(P$1,main!$A$3:$I$56,4,FALSE),VLOOKUP(P$1,main!$A$3:$I$56,4,FALSE)+VLOOKUP($A39,main!$A$3:$I$56,4,FALSE)+(VLOOKUP(VLOOKUP(P$1,main!$A$3:$I$56,8,FALSE),main!$K$19:$O$22,MATCH(VLOOKUP($A39,main!$A$3:$I$56,7,FALSE),main!$K$18:$O$18,0),0))),0)</f>
        <v>0</v>
      </c>
      <c r="Q39">
        <f>IF((gamma!Q39),IF(VLOOKUP(Q$1,main!$A$3:$I$56,7,FALSE)=VLOOKUP($A39,main!$A$3:$I$56,8,FALSE),VLOOKUP(Q$1,main!$A$3:$I$56,4,FALSE),VLOOKUP(Q$1,main!$A$3:$I$56,4,FALSE)+VLOOKUP($A39,main!$A$3:$I$56,4,FALSE)+(VLOOKUP(VLOOKUP(Q$1,main!$A$3:$I$56,8,FALSE),main!$K$19:$O$22,MATCH(VLOOKUP($A39,main!$A$3:$I$56,7,FALSE),main!$K$18:$O$18,0),0))),0)</f>
        <v>0</v>
      </c>
      <c r="R39">
        <f>IF((gamma!R39),IF(VLOOKUP(R$1,main!$A$3:$I$56,7,FALSE)=VLOOKUP($A39,main!$A$3:$I$56,8,FALSE),VLOOKUP(R$1,main!$A$3:$I$56,4,FALSE),VLOOKUP(R$1,main!$A$3:$I$56,4,FALSE)+VLOOKUP($A39,main!$A$3:$I$56,4,FALSE)+(VLOOKUP(VLOOKUP(R$1,main!$A$3:$I$56,8,FALSE),main!$K$19:$O$22,MATCH(VLOOKUP($A39,main!$A$3:$I$56,7,FALSE),main!$K$18:$O$18,0),0))),0)</f>
        <v>0</v>
      </c>
      <c r="S39">
        <f>IF((gamma!S39),IF(VLOOKUP(S$1,main!$A$3:$I$56,7,FALSE)=VLOOKUP($A39,main!$A$3:$I$56,8,FALSE),VLOOKUP(S$1,main!$A$3:$I$56,4,FALSE),VLOOKUP(S$1,main!$A$3:$I$56,4,FALSE)+VLOOKUP($A39,main!$A$3:$I$56,4,FALSE)+(VLOOKUP(VLOOKUP(S$1,main!$A$3:$I$56,8,FALSE),main!$K$19:$O$22,MATCH(VLOOKUP($A39,main!$A$3:$I$56,7,FALSE),main!$K$18:$O$18,0),0))),0)</f>
        <v>313</v>
      </c>
      <c r="T39">
        <f>IF((gamma!T39),IF(VLOOKUP(T$1,main!$A$3:$I$56,7,FALSE)=VLOOKUP($A39,main!$A$3:$I$56,8,FALSE),VLOOKUP(T$1,main!$A$3:$I$56,4,FALSE),VLOOKUP(T$1,main!$A$3:$I$56,4,FALSE)+VLOOKUP($A39,main!$A$3:$I$56,4,FALSE)+(VLOOKUP(VLOOKUP(T$1,main!$A$3:$I$56,8,FALSE),main!$K$19:$O$22,MATCH(VLOOKUP($A39,main!$A$3:$I$56,7,FALSE),main!$K$18:$O$18,0),0))),0)</f>
        <v>313</v>
      </c>
      <c r="U39">
        <f>IF((gamma!U39),IF(VLOOKUP(U$1,main!$A$3:$I$56,7,FALSE)=VLOOKUP($A39,main!$A$3:$I$56,8,FALSE),VLOOKUP(U$1,main!$A$3:$I$56,4,FALSE),VLOOKUP(U$1,main!$A$3:$I$56,4,FALSE)+VLOOKUP($A39,main!$A$3:$I$56,4,FALSE)+(VLOOKUP(VLOOKUP(U$1,main!$A$3:$I$56,8,FALSE),main!$K$19:$O$22,MATCH(VLOOKUP($A39,main!$A$3:$I$56,7,FALSE),main!$K$18:$O$18,0),0))),0)</f>
        <v>0</v>
      </c>
      <c r="V39">
        <f>IF((gamma!V39),IF(VLOOKUP(V$1,main!$A$3:$I$56,7,FALSE)=VLOOKUP($A39,main!$A$3:$I$56,8,FALSE),VLOOKUP(V$1,main!$A$3:$I$56,4,FALSE),VLOOKUP(V$1,main!$A$3:$I$56,4,FALSE)+VLOOKUP($A39,main!$A$3:$I$56,4,FALSE)+(VLOOKUP(VLOOKUP(V$1,main!$A$3:$I$56,8,FALSE),main!$K$19:$O$22,MATCH(VLOOKUP($A39,main!$A$3:$I$56,7,FALSE),main!$K$18:$O$18,0),0))),0)</f>
        <v>0</v>
      </c>
      <c r="W39">
        <f>IF((gamma!W39),IF(VLOOKUP(W$1,main!$A$3:$I$56,7,FALSE)=VLOOKUP($A39,main!$A$3:$I$56,8,FALSE),VLOOKUP(W$1,main!$A$3:$I$56,4,FALSE),VLOOKUP(W$1,main!$A$3:$I$56,4,FALSE)+VLOOKUP($A39,main!$A$3:$I$56,4,FALSE)+(VLOOKUP(VLOOKUP(W$1,main!$A$3:$I$56,8,FALSE),main!$K$19:$O$22,MATCH(VLOOKUP($A39,main!$A$3:$I$56,7,FALSE),main!$K$18:$O$18,0),0))),0)</f>
        <v>0</v>
      </c>
      <c r="X39">
        <f>IF((gamma!X39),IF(VLOOKUP(X$1,main!$A$3:$I$56,7,FALSE)=VLOOKUP($A39,main!$A$3:$I$56,8,FALSE),VLOOKUP(X$1,main!$A$3:$I$56,4,FALSE),VLOOKUP(X$1,main!$A$3:$I$56,4,FALSE)+VLOOKUP($A39,main!$A$3:$I$56,4,FALSE)+(VLOOKUP(VLOOKUP(X$1,main!$A$3:$I$56,8,FALSE),main!$K$19:$O$22,MATCH(VLOOKUP($A39,main!$A$3:$I$56,7,FALSE),main!$K$18:$O$18,0),0))),0)</f>
        <v>135</v>
      </c>
      <c r="Y39">
        <f>IF((gamma!Y39),IF(VLOOKUP(Y$1,main!$A$3:$I$56,7,FALSE)=VLOOKUP($A39,main!$A$3:$I$56,8,FALSE),VLOOKUP(Y$1,main!$A$3:$I$56,4,FALSE),VLOOKUP(Y$1,main!$A$3:$I$56,4,FALSE)+VLOOKUP($A39,main!$A$3:$I$56,4,FALSE)+(VLOOKUP(VLOOKUP(Y$1,main!$A$3:$I$56,8,FALSE),main!$K$19:$O$22,MATCH(VLOOKUP($A39,main!$A$3:$I$56,7,FALSE),main!$K$18:$O$18,0),0))),0)</f>
        <v>135</v>
      </c>
      <c r="Z39">
        <f>IF((gamma!Z39),IF(VLOOKUP(Z$1,main!$A$3:$I$56,7,FALSE)=VLOOKUP($A39,main!$A$3:$I$56,8,FALSE),VLOOKUP(Z$1,main!$A$3:$I$56,4,FALSE),VLOOKUP(Z$1,main!$A$3:$I$56,4,FALSE)+VLOOKUP($A39,main!$A$3:$I$56,4,FALSE)+(VLOOKUP(VLOOKUP(Z$1,main!$A$3:$I$56,8,FALSE),main!$K$19:$O$22,MATCH(VLOOKUP($A39,main!$A$3:$I$56,7,FALSE),main!$K$18:$O$18,0),0))),0)</f>
        <v>135</v>
      </c>
      <c r="AA39">
        <f>IF((gamma!AA39),IF(VLOOKUP(AA$1,main!$A$3:$I$56,7,FALSE)=VLOOKUP($A39,main!$A$3:$I$56,8,FALSE),VLOOKUP(AA$1,main!$A$3:$I$56,4,FALSE),VLOOKUP(AA$1,main!$A$3:$I$56,4,FALSE)+VLOOKUP($A39,main!$A$3:$I$56,4,FALSE)+(VLOOKUP(VLOOKUP(AA$1,main!$A$3:$I$56,8,FALSE),main!$K$19:$O$22,MATCH(VLOOKUP($A39,main!$A$3:$I$56,7,FALSE),main!$K$18:$O$18,0),0))),0)</f>
        <v>135</v>
      </c>
      <c r="AB39">
        <f>IF((gamma!AB39),IF(VLOOKUP(AB$1,main!$A$3:$I$56,7,FALSE)=VLOOKUP($A39,main!$A$3:$I$56,8,FALSE),VLOOKUP(AB$1,main!$A$3:$I$56,4,FALSE),VLOOKUP(AB$1,main!$A$3:$I$56,4,FALSE)+VLOOKUP($A39,main!$A$3:$I$56,4,FALSE)+(VLOOKUP(VLOOKUP(AB$1,main!$A$3:$I$56,8,FALSE),main!$K$19:$O$22,MATCH(VLOOKUP($A39,main!$A$3:$I$56,7,FALSE),main!$K$18:$O$18,0),0))),0)</f>
        <v>135</v>
      </c>
      <c r="AC39">
        <f>IF((gamma!AC39),IF(VLOOKUP(AC$1,main!$A$3:$I$56,7,FALSE)=VLOOKUP($A39,main!$A$3:$I$56,8,FALSE),VLOOKUP(AC$1,main!$A$3:$I$56,4,FALSE),VLOOKUP(AC$1,main!$A$3:$I$56,4,FALSE)+VLOOKUP($A39,main!$A$3:$I$56,4,FALSE)+(VLOOKUP(VLOOKUP(AC$1,main!$A$3:$I$56,8,FALSE),main!$K$19:$O$22,MATCH(VLOOKUP($A39,main!$A$3:$I$56,7,FALSE),main!$K$18:$O$18,0),0))),0)</f>
        <v>0</v>
      </c>
      <c r="AD39">
        <f>IF((gamma!AD39),IF(VLOOKUP(AD$1,main!$A$3:$I$56,7,FALSE)=VLOOKUP($A39,main!$A$3:$I$56,8,FALSE),VLOOKUP(AD$1,main!$A$3:$I$56,4,FALSE),VLOOKUP(AD$1,main!$A$3:$I$56,4,FALSE)+VLOOKUP($A39,main!$A$3:$I$56,4,FALSE)+(VLOOKUP(VLOOKUP(AD$1,main!$A$3:$I$56,8,FALSE),main!$K$19:$O$22,MATCH(VLOOKUP($A39,main!$A$3:$I$56,7,FALSE),main!$K$18:$O$18,0),0))),0)</f>
        <v>0</v>
      </c>
      <c r="AE39">
        <f>IF((gamma!AE39),IF(VLOOKUP(AE$1,main!$A$3:$I$56,7,FALSE)=VLOOKUP($A39,main!$A$3:$I$56,8,FALSE),VLOOKUP(AE$1,main!$A$3:$I$56,4,FALSE),VLOOKUP(AE$1,main!$A$3:$I$56,4,FALSE)+VLOOKUP($A39,main!$A$3:$I$56,4,FALSE)+(VLOOKUP(VLOOKUP(AE$1,main!$A$3:$I$56,8,FALSE),main!$K$19:$O$22,MATCH(VLOOKUP($A39,main!$A$3:$I$56,7,FALSE),main!$K$18:$O$18,0),0))),0)</f>
        <v>120</v>
      </c>
      <c r="AF39">
        <f>IF((gamma!AF39),IF(VLOOKUP(AF$1,main!$A$3:$I$56,7,FALSE)=VLOOKUP($A39,main!$A$3:$I$56,8,FALSE),VLOOKUP(AF$1,main!$A$3:$I$56,4,FALSE),VLOOKUP(AF$1,main!$A$3:$I$56,4,FALSE)+VLOOKUP($A39,main!$A$3:$I$56,4,FALSE)+(VLOOKUP(VLOOKUP(AF$1,main!$A$3:$I$56,8,FALSE),main!$K$19:$O$22,MATCH(VLOOKUP($A39,main!$A$3:$I$56,7,FALSE),main!$K$18:$O$18,0),0))),0)</f>
        <v>130</v>
      </c>
      <c r="AG39">
        <f>IF((gamma!AG39),IF(VLOOKUP(AG$1,main!$A$3:$I$56,7,FALSE)=VLOOKUP($A39,main!$A$3:$I$56,8,FALSE),VLOOKUP(AG$1,main!$A$3:$I$56,4,FALSE),VLOOKUP(AG$1,main!$A$3:$I$56,4,FALSE)+VLOOKUP($A39,main!$A$3:$I$56,4,FALSE)+(VLOOKUP(VLOOKUP(AG$1,main!$A$3:$I$56,8,FALSE),main!$K$19:$O$22,MATCH(VLOOKUP($A39,main!$A$3:$I$56,7,FALSE),main!$K$18:$O$18,0),0))),0)</f>
        <v>0</v>
      </c>
      <c r="AH39">
        <f>IF((gamma!AH39),IF(VLOOKUP(AH$1,main!$A$3:$I$56,7,FALSE)=VLOOKUP($A39,main!$A$3:$I$56,8,FALSE),VLOOKUP(AH$1,main!$A$3:$I$56,4,FALSE),VLOOKUP(AH$1,main!$A$3:$I$56,4,FALSE)+VLOOKUP($A39,main!$A$3:$I$56,4,FALSE)+(VLOOKUP(VLOOKUP(AH$1,main!$A$3:$I$56,8,FALSE),main!$K$19:$O$22,MATCH(VLOOKUP($A39,main!$A$3:$I$56,7,FALSE),main!$K$18:$O$18,0),0))),0)</f>
        <v>0</v>
      </c>
      <c r="AI39">
        <f>IF((gamma!AI39),IF(VLOOKUP(AI$1,main!$A$3:$I$56,7,FALSE)=VLOOKUP($A39,main!$A$3:$I$56,8,FALSE),VLOOKUP(AI$1,main!$A$3:$I$56,4,FALSE),VLOOKUP(AI$1,main!$A$3:$I$56,4,FALSE)+VLOOKUP($A39,main!$A$3:$I$56,4,FALSE)+(VLOOKUP(VLOOKUP(AI$1,main!$A$3:$I$56,8,FALSE),main!$K$19:$O$22,MATCH(VLOOKUP($A39,main!$A$3:$I$56,7,FALSE),main!$K$18:$O$18,0),0))),0)</f>
        <v>310</v>
      </c>
      <c r="AJ39">
        <f>IF((gamma!AJ39),IF(VLOOKUP(AJ$1,main!$A$3:$I$56,7,FALSE)=VLOOKUP($A39,main!$A$3:$I$56,8,FALSE),VLOOKUP(AJ$1,main!$A$3:$I$56,4,FALSE),VLOOKUP(AJ$1,main!$A$3:$I$56,4,FALSE)+VLOOKUP($A39,main!$A$3:$I$56,4,FALSE)+(VLOOKUP(VLOOKUP(AJ$1,main!$A$3:$I$56,8,FALSE),main!$K$19:$O$22,MATCH(VLOOKUP($A39,main!$A$3:$I$56,7,FALSE),main!$K$18:$O$18,0),0))),0)</f>
        <v>310</v>
      </c>
      <c r="AK39">
        <f>IF((gamma!AK39),IF(VLOOKUP(AK$1,main!$A$3:$I$56,7,FALSE)=VLOOKUP($A39,main!$A$3:$I$56,8,FALSE),VLOOKUP(AK$1,main!$A$3:$I$56,4,FALSE),VLOOKUP(AK$1,main!$A$3:$I$56,4,FALSE)+VLOOKUP($A39,main!$A$3:$I$56,4,FALSE)+(VLOOKUP(VLOOKUP(AK$1,main!$A$3:$I$56,8,FALSE),main!$K$19:$O$22,MATCH(VLOOKUP($A39,main!$A$3:$I$56,7,FALSE),main!$K$18:$O$18,0),0))),0)</f>
        <v>310</v>
      </c>
      <c r="AL39">
        <f>IF((gamma!AL39),IF(VLOOKUP(AL$1,main!$A$3:$I$56,7,FALSE)=VLOOKUP($A39,main!$A$3:$I$56,8,FALSE),VLOOKUP(AL$1,main!$A$3:$I$56,4,FALSE),VLOOKUP(AL$1,main!$A$3:$I$56,4,FALSE)+VLOOKUP($A39,main!$A$3:$I$56,4,FALSE)+(VLOOKUP(VLOOKUP(AL$1,main!$A$3:$I$56,8,FALSE),main!$K$19:$O$22,MATCH(VLOOKUP($A39,main!$A$3:$I$56,7,FALSE),main!$K$18:$O$18,0),0))),0)</f>
        <v>0</v>
      </c>
      <c r="AM39">
        <f>IF((gamma!AM39),IF(VLOOKUP(AM$1,main!$A$3:$I$56,7,FALSE)=VLOOKUP($A39,main!$A$3:$I$56,8,FALSE),VLOOKUP(AM$1,main!$A$3:$I$56,4,FALSE),VLOOKUP(AM$1,main!$A$3:$I$56,4,FALSE)+VLOOKUP($A39,main!$A$3:$I$56,4,FALSE)+(VLOOKUP(VLOOKUP(AM$1,main!$A$3:$I$56,8,FALSE),main!$K$19:$O$22,MATCH(VLOOKUP($A39,main!$A$3:$I$56,7,FALSE),main!$K$18:$O$18,0),0))),0)</f>
        <v>0</v>
      </c>
      <c r="AN39">
        <f>IF((gamma!AN39),IF(VLOOKUP(AN$1,main!$A$3:$I$56,7,FALSE)=VLOOKUP($A39,main!$A$3:$I$56,8,FALSE),VLOOKUP(AN$1,main!$A$3:$I$56,4,FALSE),VLOOKUP(AN$1,main!$A$3:$I$56,4,FALSE)+VLOOKUP($A39,main!$A$3:$I$56,4,FALSE)+(VLOOKUP(VLOOKUP(AN$1,main!$A$3:$I$56,8,FALSE),main!$K$19:$O$22,MATCH(VLOOKUP($A39,main!$A$3:$I$56,7,FALSE),main!$K$18:$O$18,0),0))),0)</f>
        <v>288</v>
      </c>
      <c r="AO39">
        <f>IF((gamma!AO39),IF(VLOOKUP(AO$1,main!$A$3:$I$56,7,FALSE)=VLOOKUP($A39,main!$A$3:$I$56,8,FALSE),VLOOKUP(AO$1,main!$A$3:$I$56,4,FALSE),VLOOKUP(AO$1,main!$A$3:$I$56,4,FALSE)+VLOOKUP($A39,main!$A$3:$I$56,4,FALSE)+(VLOOKUP(VLOOKUP(AO$1,main!$A$3:$I$56,8,FALSE),main!$K$19:$O$22,MATCH(VLOOKUP($A39,main!$A$3:$I$56,7,FALSE),main!$K$18:$O$18,0),0))),0)</f>
        <v>298</v>
      </c>
      <c r="AP39">
        <f>IF((gamma!AP39),IF(VLOOKUP(AP$1,main!$A$3:$I$56,7,FALSE)=VLOOKUP($A39,main!$A$3:$I$56,8,FALSE),VLOOKUP(AP$1,main!$A$3:$I$56,4,FALSE),VLOOKUP(AP$1,main!$A$3:$I$56,4,FALSE)+VLOOKUP($A39,main!$A$3:$I$56,4,FALSE)+(VLOOKUP(VLOOKUP(AP$1,main!$A$3:$I$56,8,FALSE),main!$K$19:$O$22,MATCH(VLOOKUP($A39,main!$A$3:$I$56,7,FALSE),main!$K$18:$O$18,0),0))),0)</f>
        <v>0</v>
      </c>
      <c r="AQ39">
        <f>IF((gamma!AQ39),IF(VLOOKUP(AQ$1,main!$A$3:$I$56,7,FALSE)=VLOOKUP($A39,main!$A$3:$I$56,8,FALSE),VLOOKUP(AQ$1,main!$A$3:$I$56,4,FALSE),VLOOKUP(AQ$1,main!$A$3:$I$56,4,FALSE)+VLOOKUP($A39,main!$A$3:$I$56,4,FALSE)+(VLOOKUP(VLOOKUP(AQ$1,main!$A$3:$I$56,8,FALSE),main!$K$19:$O$22,MATCH(VLOOKUP($A39,main!$A$3:$I$56,7,FALSE),main!$K$18:$O$18,0),0))),0)</f>
        <v>0</v>
      </c>
      <c r="AR39">
        <f>IF((gamma!AR39),IF(VLOOKUP(AR$1,main!$A$3:$I$56,7,FALSE)=VLOOKUP($A39,main!$A$3:$I$56,8,FALSE),VLOOKUP(AR$1,main!$A$3:$I$56,4,FALSE),VLOOKUP(AR$1,main!$A$3:$I$56,4,FALSE)+VLOOKUP($A39,main!$A$3:$I$56,4,FALSE)+(VLOOKUP(VLOOKUP(AR$1,main!$A$3:$I$56,8,FALSE),main!$K$19:$O$22,MATCH(VLOOKUP($A39,main!$A$3:$I$56,7,FALSE),main!$K$18:$O$18,0),0))),0)</f>
        <v>0</v>
      </c>
      <c r="AS39">
        <f>IF((gamma!AS39),IF(VLOOKUP(AS$1,main!$A$3:$I$56,7,FALSE)=VLOOKUP($A39,main!$A$3:$I$56,8,FALSE),VLOOKUP(AS$1,main!$A$3:$I$56,4,FALSE),VLOOKUP(AS$1,main!$A$3:$I$56,4,FALSE)+VLOOKUP($A39,main!$A$3:$I$56,4,FALSE)+(VLOOKUP(VLOOKUP(AS$1,main!$A$3:$I$56,8,FALSE),main!$K$19:$O$22,MATCH(VLOOKUP($A39,main!$A$3:$I$56,7,FALSE),main!$K$18:$O$18,0),0))),0)</f>
        <v>0</v>
      </c>
      <c r="AT39">
        <f>IF((gamma!AT39),IF(VLOOKUP(AT$1,main!$A$3:$I$56,7,FALSE)=VLOOKUP($A39,main!$A$3:$I$56,8,FALSE),VLOOKUP(AT$1,main!$A$3:$I$56,4,FALSE),VLOOKUP(AT$1,main!$A$3:$I$56,4,FALSE)+VLOOKUP($A39,main!$A$3:$I$56,4,FALSE)+(VLOOKUP(VLOOKUP(AT$1,main!$A$3:$I$56,8,FALSE),main!$K$19:$O$22,MATCH(VLOOKUP($A39,main!$A$3:$I$56,7,FALSE),main!$K$18:$O$18,0),0))),0)</f>
        <v>293</v>
      </c>
      <c r="AU39">
        <f>IF((gamma!AU39),IF(VLOOKUP(AU$1,main!$A$3:$I$56,7,FALSE)=VLOOKUP($A39,main!$A$3:$I$56,8,FALSE),VLOOKUP(AU$1,main!$A$3:$I$56,4,FALSE),VLOOKUP(AU$1,main!$A$3:$I$56,4,FALSE)+VLOOKUP($A39,main!$A$3:$I$56,4,FALSE)+(VLOOKUP(VLOOKUP(AU$1,main!$A$3:$I$56,8,FALSE),main!$K$19:$O$22,MATCH(VLOOKUP($A39,main!$A$3:$I$56,7,FALSE),main!$K$18:$O$18,0),0))),0)</f>
        <v>0</v>
      </c>
      <c r="AV39">
        <f>IF((gamma!AV39),IF(VLOOKUP(AV$1,main!$A$3:$I$56,7,FALSE)=VLOOKUP($A39,main!$A$3:$I$56,8,FALSE),VLOOKUP(AV$1,main!$A$3:$I$56,4,FALSE),VLOOKUP(AV$1,main!$A$3:$I$56,4,FALSE)+VLOOKUP($A39,main!$A$3:$I$56,4,FALSE)+(VLOOKUP(VLOOKUP(AV$1,main!$A$3:$I$56,8,FALSE),main!$K$19:$O$22,MATCH(VLOOKUP($A39,main!$A$3:$I$56,7,FALSE),main!$K$18:$O$18,0),0))),0)</f>
        <v>0</v>
      </c>
      <c r="AW39">
        <f>IF((gamma!AW39),IF(VLOOKUP(AW$1,main!$A$3:$I$56,7,FALSE)=VLOOKUP($A39,main!$A$3:$I$56,8,FALSE),VLOOKUP(AW$1,main!$A$3:$I$56,4,FALSE),VLOOKUP(AW$1,main!$A$3:$I$56,4,FALSE)+VLOOKUP($A39,main!$A$3:$I$56,4,FALSE)+(VLOOKUP(VLOOKUP(AW$1,main!$A$3:$I$56,8,FALSE),main!$K$19:$O$22,MATCH(VLOOKUP($A39,main!$A$3:$I$56,7,FALSE),main!$K$18:$O$18,0),0))),0)</f>
        <v>0</v>
      </c>
      <c r="AX39">
        <f>IF((gamma!AX39),IF(VLOOKUP(AX$1,main!$A$3:$I$56,7,FALSE)=VLOOKUP($A39,main!$A$3:$I$56,8,FALSE),VLOOKUP(AX$1,main!$A$3:$I$56,4,FALSE),VLOOKUP(AX$1,main!$A$3:$I$56,4,FALSE)+VLOOKUP($A39,main!$A$3:$I$56,4,FALSE)+(VLOOKUP(VLOOKUP(AX$1,main!$A$3:$I$56,8,FALSE),main!$K$19:$O$22,MATCH(VLOOKUP($A39,main!$A$3:$I$56,7,FALSE),main!$K$18:$O$18,0),0))),0)</f>
        <v>310</v>
      </c>
      <c r="AY39">
        <f>IF((gamma!AY39),IF(VLOOKUP(AY$1,main!$A$3:$I$56,7,FALSE)=VLOOKUP($A39,main!$A$3:$I$56,8,FALSE),VLOOKUP(AY$1,main!$A$3:$I$56,4,FALSE),VLOOKUP(AY$1,main!$A$3:$I$56,4,FALSE)+VLOOKUP($A39,main!$A$3:$I$56,4,FALSE)+(VLOOKUP(VLOOKUP(AY$1,main!$A$3:$I$56,8,FALSE),main!$K$19:$O$22,MATCH(VLOOKUP($A39,main!$A$3:$I$56,7,FALSE),main!$K$18:$O$18,0),0))),0)</f>
        <v>310</v>
      </c>
      <c r="AZ39">
        <f>IF((gamma!AZ39),IF(VLOOKUP(AZ$1,main!$A$3:$I$56,7,FALSE)=VLOOKUP($A39,main!$A$3:$I$56,8,FALSE),VLOOKUP(AZ$1,main!$A$3:$I$56,4,FALSE),VLOOKUP(AZ$1,main!$A$3:$I$56,4,FALSE)+VLOOKUP($A39,main!$A$3:$I$56,4,FALSE)+(VLOOKUP(VLOOKUP(AZ$1,main!$A$3:$I$56,8,FALSE),main!$K$19:$O$22,MATCH(VLOOKUP($A39,main!$A$3:$I$56,7,FALSE),main!$K$18:$O$18,0),0))),0)</f>
        <v>0</v>
      </c>
      <c r="BA39">
        <f>IF((gamma!BA39),IF(VLOOKUP(BA$1,main!$A$3:$I$56,7,FALSE)=VLOOKUP($A39,main!$A$3:$I$56,8,FALSE),VLOOKUP(BA$1,main!$A$3:$I$56,4,FALSE),VLOOKUP(BA$1,main!$A$3:$I$56,4,FALSE)+VLOOKUP($A39,main!$A$3:$I$56,4,FALSE)+(VLOOKUP(VLOOKUP(BA$1,main!$A$3:$I$56,8,FALSE),main!$K$19:$O$22,MATCH(VLOOKUP($A39,main!$A$3:$I$56,7,FALSE),main!$K$18:$O$18,0),0))),0)</f>
        <v>0</v>
      </c>
      <c r="BB39">
        <f>IF((gamma!BB39),IF(VLOOKUP(BB$1,main!$A$3:$I$56,7,FALSE)=VLOOKUP($A39,main!$A$3:$I$56,8,FALSE),VLOOKUP(BB$1,main!$A$3:$I$56,4,FALSE),VLOOKUP(BB$1,main!$A$3:$I$56,4,FALSE)+VLOOKUP($A39,main!$A$3:$I$56,4,FALSE)+(VLOOKUP(VLOOKUP(BB$1,main!$A$3:$I$56,8,FALSE),main!$K$19:$O$22,MATCH(VLOOKUP($A39,main!$A$3:$I$56,7,FALSE),main!$K$18:$O$18,0),0))),0)</f>
        <v>0</v>
      </c>
      <c r="BC39">
        <f>IF((gamma!BC39),IF(VLOOKUP(BC$1,main!$A$3:$I$56,7,FALSE)=VLOOKUP($A39,main!$A$3:$I$56,8,FALSE),VLOOKUP(BC$1,main!$A$3:$I$56,4,FALSE),VLOOKUP(BC$1,main!$A$3:$I$56,4,FALSE)+VLOOKUP($A39,main!$A$3:$I$56,4,FALSE)+(VLOOKUP(VLOOKUP(BC$1,main!$A$3:$I$56,8,FALSE),main!$K$19:$O$22,MATCH(VLOOKUP($A39,main!$A$3:$I$56,7,FALSE),main!$K$18:$O$18,0),0))),0)</f>
        <v>275</v>
      </c>
      <c r="BD39">
        <f>IF((gamma!BD39),IF(VLOOKUP(BD$1,main!$A$3:$I$56,7,FALSE)=VLOOKUP($A39,main!$A$3:$I$56,8,FALSE),VLOOKUP(BD$1,main!$A$3:$I$56,4,FALSE),VLOOKUP(BD$1,main!$A$3:$I$56,4,FALSE)+VLOOKUP($A39,main!$A$3:$I$56,4,FALSE)+(VLOOKUP(VLOOKUP(BD$1,main!$A$3:$I$56,8,FALSE),main!$K$19:$O$22,MATCH(VLOOKUP($A39,main!$A$3:$I$56,7,FALSE),main!$K$18:$O$18,0),0))),0)</f>
        <v>275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>
        <f t="shared" si="0"/>
        <v>38</v>
      </c>
      <c r="B40">
        <v>0</v>
      </c>
      <c r="C40">
        <f>IF((gamma!C40),IF(VLOOKUP(C$1,main!$A$3:$I$56,7,FALSE)=VLOOKUP($A40,main!$A$3:$I$56,8,FALSE),VLOOKUP(C$1,main!$A$3:$I$56,4,FALSE),VLOOKUP(C$1,main!$A$3:$I$56,4,FALSE)+VLOOKUP($A40,main!$A$3:$I$56,4,FALSE)+(VLOOKUP(VLOOKUP(C$1,main!$A$3:$I$56,8,FALSE),main!$K$19:$O$22,MATCH(VLOOKUP($A40,main!$A$3:$I$56,7,FALSE),main!$K$18:$O$18,0),0))),0)</f>
        <v>0</v>
      </c>
      <c r="D40">
        <f>IF((gamma!D40),IF(VLOOKUP(D$1,main!$A$3:$I$56,7,FALSE)=VLOOKUP($A40,main!$A$3:$I$56,8,FALSE),VLOOKUP(D$1,main!$A$3:$I$56,4,FALSE),VLOOKUP(D$1,main!$A$3:$I$56,4,FALSE)+VLOOKUP($A40,main!$A$3:$I$56,4,FALSE)+(VLOOKUP(VLOOKUP(D$1,main!$A$3:$I$56,8,FALSE),main!$K$19:$O$22,MATCH(VLOOKUP($A40,main!$A$3:$I$56,7,FALSE),main!$K$18:$O$18,0),0))),0)</f>
        <v>0</v>
      </c>
      <c r="E40">
        <f>IF((gamma!E40),IF(VLOOKUP(E$1,main!$A$3:$I$56,7,FALSE)=VLOOKUP($A40,main!$A$3:$I$56,8,FALSE),VLOOKUP(E$1,main!$A$3:$I$56,4,FALSE),VLOOKUP(E$1,main!$A$3:$I$56,4,FALSE)+VLOOKUP($A40,main!$A$3:$I$56,4,FALSE)+(VLOOKUP(VLOOKUP(E$1,main!$A$3:$I$56,8,FALSE),main!$K$19:$O$22,MATCH(VLOOKUP($A40,main!$A$3:$I$56,7,FALSE),main!$K$18:$O$18,0),0))),0)</f>
        <v>0</v>
      </c>
      <c r="F40">
        <f>IF((gamma!F40),IF(VLOOKUP(F$1,main!$A$3:$I$56,7,FALSE)=VLOOKUP($A40,main!$A$3:$I$56,8,FALSE),VLOOKUP(F$1,main!$A$3:$I$56,4,FALSE),VLOOKUP(F$1,main!$A$3:$I$56,4,FALSE)+VLOOKUP($A40,main!$A$3:$I$56,4,FALSE)+(VLOOKUP(VLOOKUP(F$1,main!$A$3:$I$56,8,FALSE),main!$K$19:$O$22,MATCH(VLOOKUP($A40,main!$A$3:$I$56,7,FALSE),main!$K$18:$O$18,0),0))),0)</f>
        <v>0</v>
      </c>
      <c r="G40">
        <f>IF((gamma!G40),IF(VLOOKUP(G$1,main!$A$3:$I$56,7,FALSE)=VLOOKUP($A40,main!$A$3:$I$56,8,FALSE),VLOOKUP(G$1,main!$A$3:$I$56,4,FALSE),VLOOKUP(G$1,main!$A$3:$I$56,4,FALSE)+VLOOKUP($A40,main!$A$3:$I$56,4,FALSE)+(VLOOKUP(VLOOKUP(G$1,main!$A$3:$I$56,8,FALSE),main!$K$19:$O$22,MATCH(VLOOKUP($A40,main!$A$3:$I$56,7,FALSE),main!$K$18:$O$18,0),0))),0)</f>
        <v>0</v>
      </c>
      <c r="H40">
        <f>IF((gamma!H40),IF(VLOOKUP(H$1,main!$A$3:$I$56,7,FALSE)=VLOOKUP($A40,main!$A$3:$I$56,8,FALSE),VLOOKUP(H$1,main!$A$3:$I$56,4,FALSE),VLOOKUP(H$1,main!$A$3:$I$56,4,FALSE)+VLOOKUP($A40,main!$A$3:$I$56,4,FALSE)+(VLOOKUP(VLOOKUP(H$1,main!$A$3:$I$56,8,FALSE),main!$K$19:$O$22,MATCH(VLOOKUP($A40,main!$A$3:$I$56,7,FALSE),main!$K$18:$O$18,0),0))),0)</f>
        <v>0</v>
      </c>
      <c r="I40">
        <f>IF((gamma!I40),IF(VLOOKUP(I$1,main!$A$3:$I$56,7,FALSE)=VLOOKUP($A40,main!$A$3:$I$56,8,FALSE),VLOOKUP(I$1,main!$A$3:$I$56,4,FALSE),VLOOKUP(I$1,main!$A$3:$I$56,4,FALSE)+VLOOKUP($A40,main!$A$3:$I$56,4,FALSE)+(VLOOKUP(VLOOKUP(I$1,main!$A$3:$I$56,8,FALSE),main!$K$19:$O$22,MATCH(VLOOKUP($A40,main!$A$3:$I$56,7,FALSE),main!$K$18:$O$18,0),0))),0)</f>
        <v>283</v>
      </c>
      <c r="J40">
        <f>IF((gamma!J40),IF(VLOOKUP(J$1,main!$A$3:$I$56,7,FALSE)=VLOOKUP($A40,main!$A$3:$I$56,8,FALSE),VLOOKUP(J$1,main!$A$3:$I$56,4,FALSE),VLOOKUP(J$1,main!$A$3:$I$56,4,FALSE)+VLOOKUP($A40,main!$A$3:$I$56,4,FALSE)+(VLOOKUP(VLOOKUP(J$1,main!$A$3:$I$56,8,FALSE),main!$K$19:$O$22,MATCH(VLOOKUP($A40,main!$A$3:$I$56,7,FALSE),main!$K$18:$O$18,0),0))),0)</f>
        <v>283</v>
      </c>
      <c r="K40">
        <f>IF((gamma!K40),IF(VLOOKUP(K$1,main!$A$3:$I$56,7,FALSE)=VLOOKUP($A40,main!$A$3:$I$56,8,FALSE),VLOOKUP(K$1,main!$A$3:$I$56,4,FALSE),VLOOKUP(K$1,main!$A$3:$I$56,4,FALSE)+VLOOKUP($A40,main!$A$3:$I$56,4,FALSE)+(VLOOKUP(VLOOKUP(K$1,main!$A$3:$I$56,8,FALSE),main!$K$19:$O$22,MATCH(VLOOKUP($A40,main!$A$3:$I$56,7,FALSE),main!$K$18:$O$18,0),0))),0)</f>
        <v>0</v>
      </c>
      <c r="L40">
        <f>IF((gamma!L40),IF(VLOOKUP(L$1,main!$A$3:$I$56,7,FALSE)=VLOOKUP($A40,main!$A$3:$I$56,8,FALSE),VLOOKUP(L$1,main!$A$3:$I$56,4,FALSE),VLOOKUP(L$1,main!$A$3:$I$56,4,FALSE)+VLOOKUP($A40,main!$A$3:$I$56,4,FALSE)+(VLOOKUP(VLOOKUP(L$1,main!$A$3:$I$56,8,FALSE),main!$K$19:$O$22,MATCH(VLOOKUP($A40,main!$A$3:$I$56,7,FALSE),main!$K$18:$O$18,0),0))),0)</f>
        <v>0</v>
      </c>
      <c r="M40">
        <f>IF((gamma!M40),IF(VLOOKUP(M$1,main!$A$3:$I$56,7,FALSE)=VLOOKUP($A40,main!$A$3:$I$56,8,FALSE),VLOOKUP(M$1,main!$A$3:$I$56,4,FALSE),VLOOKUP(M$1,main!$A$3:$I$56,4,FALSE)+VLOOKUP($A40,main!$A$3:$I$56,4,FALSE)+(VLOOKUP(VLOOKUP(M$1,main!$A$3:$I$56,8,FALSE),main!$K$19:$O$22,MATCH(VLOOKUP($A40,main!$A$3:$I$56,7,FALSE),main!$K$18:$O$18,0),0))),0)</f>
        <v>0</v>
      </c>
      <c r="N40">
        <f>IF((gamma!N40),IF(VLOOKUP(N$1,main!$A$3:$I$56,7,FALSE)=VLOOKUP($A40,main!$A$3:$I$56,8,FALSE),VLOOKUP(N$1,main!$A$3:$I$56,4,FALSE),VLOOKUP(N$1,main!$A$3:$I$56,4,FALSE)+VLOOKUP($A40,main!$A$3:$I$56,4,FALSE)+(VLOOKUP(VLOOKUP(N$1,main!$A$3:$I$56,8,FALSE),main!$K$19:$O$22,MATCH(VLOOKUP($A40,main!$A$3:$I$56,7,FALSE),main!$K$18:$O$18,0),0))),0)</f>
        <v>260</v>
      </c>
      <c r="O40">
        <f>IF((gamma!O40),IF(VLOOKUP(O$1,main!$A$3:$I$56,7,FALSE)=VLOOKUP($A40,main!$A$3:$I$56,8,FALSE),VLOOKUP(O$1,main!$A$3:$I$56,4,FALSE),VLOOKUP(O$1,main!$A$3:$I$56,4,FALSE)+VLOOKUP($A40,main!$A$3:$I$56,4,FALSE)+(VLOOKUP(VLOOKUP(O$1,main!$A$3:$I$56,8,FALSE),main!$K$19:$O$22,MATCH(VLOOKUP($A40,main!$A$3:$I$56,7,FALSE),main!$K$18:$O$18,0),0))),0)</f>
        <v>260</v>
      </c>
      <c r="P40">
        <f>IF((gamma!P40),IF(VLOOKUP(P$1,main!$A$3:$I$56,7,FALSE)=VLOOKUP($A40,main!$A$3:$I$56,8,FALSE),VLOOKUP(P$1,main!$A$3:$I$56,4,FALSE),VLOOKUP(P$1,main!$A$3:$I$56,4,FALSE)+VLOOKUP($A40,main!$A$3:$I$56,4,FALSE)+(VLOOKUP(VLOOKUP(P$1,main!$A$3:$I$56,8,FALSE),main!$K$19:$O$22,MATCH(VLOOKUP($A40,main!$A$3:$I$56,7,FALSE),main!$K$18:$O$18,0),0))),0)</f>
        <v>0</v>
      </c>
      <c r="Q40">
        <f>IF((gamma!Q40),IF(VLOOKUP(Q$1,main!$A$3:$I$56,7,FALSE)=VLOOKUP($A40,main!$A$3:$I$56,8,FALSE),VLOOKUP(Q$1,main!$A$3:$I$56,4,FALSE),VLOOKUP(Q$1,main!$A$3:$I$56,4,FALSE)+VLOOKUP($A40,main!$A$3:$I$56,4,FALSE)+(VLOOKUP(VLOOKUP(Q$1,main!$A$3:$I$56,8,FALSE),main!$K$19:$O$22,MATCH(VLOOKUP($A40,main!$A$3:$I$56,7,FALSE),main!$K$18:$O$18,0),0))),0)</f>
        <v>0</v>
      </c>
      <c r="R40">
        <f>IF((gamma!R40),IF(VLOOKUP(R$1,main!$A$3:$I$56,7,FALSE)=VLOOKUP($A40,main!$A$3:$I$56,8,FALSE),VLOOKUP(R$1,main!$A$3:$I$56,4,FALSE),VLOOKUP(R$1,main!$A$3:$I$56,4,FALSE)+VLOOKUP($A40,main!$A$3:$I$56,4,FALSE)+(VLOOKUP(VLOOKUP(R$1,main!$A$3:$I$56,8,FALSE),main!$K$19:$O$22,MATCH(VLOOKUP($A40,main!$A$3:$I$56,7,FALSE),main!$K$18:$O$18,0),0))),0)</f>
        <v>0</v>
      </c>
      <c r="S40">
        <f>IF((gamma!S40),IF(VLOOKUP(S$1,main!$A$3:$I$56,7,FALSE)=VLOOKUP($A40,main!$A$3:$I$56,8,FALSE),VLOOKUP(S$1,main!$A$3:$I$56,4,FALSE),VLOOKUP(S$1,main!$A$3:$I$56,4,FALSE)+VLOOKUP($A40,main!$A$3:$I$56,4,FALSE)+(VLOOKUP(VLOOKUP(S$1,main!$A$3:$I$56,8,FALSE),main!$K$19:$O$22,MATCH(VLOOKUP($A40,main!$A$3:$I$56,7,FALSE),main!$K$18:$O$18,0),0))),0)</f>
        <v>0</v>
      </c>
      <c r="T40">
        <f>IF((gamma!T40),IF(VLOOKUP(T$1,main!$A$3:$I$56,7,FALSE)=VLOOKUP($A40,main!$A$3:$I$56,8,FALSE),VLOOKUP(T$1,main!$A$3:$I$56,4,FALSE),VLOOKUP(T$1,main!$A$3:$I$56,4,FALSE)+VLOOKUP($A40,main!$A$3:$I$56,4,FALSE)+(VLOOKUP(VLOOKUP(T$1,main!$A$3:$I$56,8,FALSE),main!$K$19:$O$22,MATCH(VLOOKUP($A40,main!$A$3:$I$56,7,FALSE),main!$K$18:$O$18,0),0))),0)</f>
        <v>293</v>
      </c>
      <c r="U40">
        <f>IF((gamma!U40),IF(VLOOKUP(U$1,main!$A$3:$I$56,7,FALSE)=VLOOKUP($A40,main!$A$3:$I$56,8,FALSE),VLOOKUP(U$1,main!$A$3:$I$56,4,FALSE),VLOOKUP(U$1,main!$A$3:$I$56,4,FALSE)+VLOOKUP($A40,main!$A$3:$I$56,4,FALSE)+(VLOOKUP(VLOOKUP(U$1,main!$A$3:$I$56,8,FALSE),main!$K$19:$O$22,MATCH(VLOOKUP($A40,main!$A$3:$I$56,7,FALSE),main!$K$18:$O$18,0),0))),0)</f>
        <v>0</v>
      </c>
      <c r="V40">
        <f>IF((gamma!V40),IF(VLOOKUP(V$1,main!$A$3:$I$56,7,FALSE)=VLOOKUP($A40,main!$A$3:$I$56,8,FALSE),VLOOKUP(V$1,main!$A$3:$I$56,4,FALSE),VLOOKUP(V$1,main!$A$3:$I$56,4,FALSE)+VLOOKUP($A40,main!$A$3:$I$56,4,FALSE)+(VLOOKUP(VLOOKUP(V$1,main!$A$3:$I$56,8,FALSE),main!$K$19:$O$22,MATCH(VLOOKUP($A40,main!$A$3:$I$56,7,FALSE),main!$K$18:$O$18,0),0))),0)</f>
        <v>0</v>
      </c>
      <c r="W40">
        <f>IF((gamma!W40),IF(VLOOKUP(W$1,main!$A$3:$I$56,7,FALSE)=VLOOKUP($A40,main!$A$3:$I$56,8,FALSE),VLOOKUP(W$1,main!$A$3:$I$56,4,FALSE),VLOOKUP(W$1,main!$A$3:$I$56,4,FALSE)+VLOOKUP($A40,main!$A$3:$I$56,4,FALSE)+(VLOOKUP(VLOOKUP(W$1,main!$A$3:$I$56,8,FALSE),main!$K$19:$O$22,MATCH(VLOOKUP($A40,main!$A$3:$I$56,7,FALSE),main!$K$18:$O$18,0),0))),0)</f>
        <v>0</v>
      </c>
      <c r="X40">
        <f>IF((gamma!X40),IF(VLOOKUP(X$1,main!$A$3:$I$56,7,FALSE)=VLOOKUP($A40,main!$A$3:$I$56,8,FALSE),VLOOKUP(X$1,main!$A$3:$I$56,4,FALSE),VLOOKUP(X$1,main!$A$3:$I$56,4,FALSE)+VLOOKUP($A40,main!$A$3:$I$56,4,FALSE)+(VLOOKUP(VLOOKUP(X$1,main!$A$3:$I$56,8,FALSE),main!$K$19:$O$22,MATCH(VLOOKUP($A40,main!$A$3:$I$56,7,FALSE),main!$K$18:$O$18,0),0))),0)</f>
        <v>0</v>
      </c>
      <c r="Y40">
        <f>IF((gamma!Y40),IF(VLOOKUP(Y$1,main!$A$3:$I$56,7,FALSE)=VLOOKUP($A40,main!$A$3:$I$56,8,FALSE),VLOOKUP(Y$1,main!$A$3:$I$56,4,FALSE),VLOOKUP(Y$1,main!$A$3:$I$56,4,FALSE)+VLOOKUP($A40,main!$A$3:$I$56,4,FALSE)+(VLOOKUP(VLOOKUP(Y$1,main!$A$3:$I$56,8,FALSE),main!$K$19:$O$22,MATCH(VLOOKUP($A40,main!$A$3:$I$56,7,FALSE),main!$K$18:$O$18,0),0))),0)</f>
        <v>0</v>
      </c>
      <c r="Z40">
        <f>IF((gamma!Z40),IF(VLOOKUP(Z$1,main!$A$3:$I$56,7,FALSE)=VLOOKUP($A40,main!$A$3:$I$56,8,FALSE),VLOOKUP(Z$1,main!$A$3:$I$56,4,FALSE),VLOOKUP(Z$1,main!$A$3:$I$56,4,FALSE)+VLOOKUP($A40,main!$A$3:$I$56,4,FALSE)+(VLOOKUP(VLOOKUP(Z$1,main!$A$3:$I$56,8,FALSE),main!$K$19:$O$22,MATCH(VLOOKUP($A40,main!$A$3:$I$56,7,FALSE),main!$K$18:$O$18,0),0))),0)</f>
        <v>0</v>
      </c>
      <c r="AA40">
        <f>IF((gamma!AA40),IF(VLOOKUP(AA$1,main!$A$3:$I$56,7,FALSE)=VLOOKUP($A40,main!$A$3:$I$56,8,FALSE),VLOOKUP(AA$1,main!$A$3:$I$56,4,FALSE),VLOOKUP(AA$1,main!$A$3:$I$56,4,FALSE)+VLOOKUP($A40,main!$A$3:$I$56,4,FALSE)+(VLOOKUP(VLOOKUP(AA$1,main!$A$3:$I$56,8,FALSE),main!$K$19:$O$22,MATCH(VLOOKUP($A40,main!$A$3:$I$56,7,FALSE),main!$K$18:$O$18,0),0))),0)</f>
        <v>135</v>
      </c>
      <c r="AB40">
        <f>IF((gamma!AB40),IF(VLOOKUP(AB$1,main!$A$3:$I$56,7,FALSE)=VLOOKUP($A40,main!$A$3:$I$56,8,FALSE),VLOOKUP(AB$1,main!$A$3:$I$56,4,FALSE),VLOOKUP(AB$1,main!$A$3:$I$56,4,FALSE)+VLOOKUP($A40,main!$A$3:$I$56,4,FALSE)+(VLOOKUP(VLOOKUP(AB$1,main!$A$3:$I$56,8,FALSE),main!$K$19:$O$22,MATCH(VLOOKUP($A40,main!$A$3:$I$56,7,FALSE),main!$K$18:$O$18,0),0))),0)</f>
        <v>135</v>
      </c>
      <c r="AC40">
        <f>IF((gamma!AC40),IF(VLOOKUP(AC$1,main!$A$3:$I$56,7,FALSE)=VLOOKUP($A40,main!$A$3:$I$56,8,FALSE),VLOOKUP(AC$1,main!$A$3:$I$56,4,FALSE),VLOOKUP(AC$1,main!$A$3:$I$56,4,FALSE)+VLOOKUP($A40,main!$A$3:$I$56,4,FALSE)+(VLOOKUP(VLOOKUP(AC$1,main!$A$3:$I$56,8,FALSE),main!$K$19:$O$22,MATCH(VLOOKUP($A40,main!$A$3:$I$56,7,FALSE),main!$K$18:$O$18,0),0))),0)</f>
        <v>0</v>
      </c>
      <c r="AD40">
        <f>IF((gamma!AD40),IF(VLOOKUP(AD$1,main!$A$3:$I$56,7,FALSE)=VLOOKUP($A40,main!$A$3:$I$56,8,FALSE),VLOOKUP(AD$1,main!$A$3:$I$56,4,FALSE),VLOOKUP(AD$1,main!$A$3:$I$56,4,FALSE)+VLOOKUP($A40,main!$A$3:$I$56,4,FALSE)+(VLOOKUP(VLOOKUP(AD$1,main!$A$3:$I$56,8,FALSE),main!$K$19:$O$22,MATCH(VLOOKUP($A40,main!$A$3:$I$56,7,FALSE),main!$K$18:$O$18,0),0))),0)</f>
        <v>0</v>
      </c>
      <c r="AE40">
        <f>IF((gamma!AE40),IF(VLOOKUP(AE$1,main!$A$3:$I$56,7,FALSE)=VLOOKUP($A40,main!$A$3:$I$56,8,FALSE),VLOOKUP(AE$1,main!$A$3:$I$56,4,FALSE),VLOOKUP(AE$1,main!$A$3:$I$56,4,FALSE)+VLOOKUP($A40,main!$A$3:$I$56,4,FALSE)+(VLOOKUP(VLOOKUP(AE$1,main!$A$3:$I$56,8,FALSE),main!$K$19:$O$22,MATCH(VLOOKUP($A40,main!$A$3:$I$56,7,FALSE),main!$K$18:$O$18,0),0))),0)</f>
        <v>0</v>
      </c>
      <c r="AF40">
        <f>IF((gamma!AF40),IF(VLOOKUP(AF$1,main!$A$3:$I$56,7,FALSE)=VLOOKUP($A40,main!$A$3:$I$56,8,FALSE),VLOOKUP(AF$1,main!$A$3:$I$56,4,FALSE),VLOOKUP(AF$1,main!$A$3:$I$56,4,FALSE)+VLOOKUP($A40,main!$A$3:$I$56,4,FALSE)+(VLOOKUP(VLOOKUP(AF$1,main!$A$3:$I$56,8,FALSE),main!$K$19:$O$22,MATCH(VLOOKUP($A40,main!$A$3:$I$56,7,FALSE),main!$K$18:$O$18,0),0))),0)</f>
        <v>0</v>
      </c>
      <c r="AG40">
        <f>IF((gamma!AG40),IF(VLOOKUP(AG$1,main!$A$3:$I$56,7,FALSE)=VLOOKUP($A40,main!$A$3:$I$56,8,FALSE),VLOOKUP(AG$1,main!$A$3:$I$56,4,FALSE),VLOOKUP(AG$1,main!$A$3:$I$56,4,FALSE)+VLOOKUP($A40,main!$A$3:$I$56,4,FALSE)+(VLOOKUP(VLOOKUP(AG$1,main!$A$3:$I$56,8,FALSE),main!$K$19:$O$22,MATCH(VLOOKUP($A40,main!$A$3:$I$56,7,FALSE),main!$K$18:$O$18,0),0))),0)</f>
        <v>0</v>
      </c>
      <c r="AH40">
        <f>IF((gamma!AH40),IF(VLOOKUP(AH$1,main!$A$3:$I$56,7,FALSE)=VLOOKUP($A40,main!$A$3:$I$56,8,FALSE),VLOOKUP(AH$1,main!$A$3:$I$56,4,FALSE),VLOOKUP(AH$1,main!$A$3:$I$56,4,FALSE)+VLOOKUP($A40,main!$A$3:$I$56,4,FALSE)+(VLOOKUP(VLOOKUP(AH$1,main!$A$3:$I$56,8,FALSE),main!$K$19:$O$22,MATCH(VLOOKUP($A40,main!$A$3:$I$56,7,FALSE),main!$K$18:$O$18,0),0))),0)</f>
        <v>0</v>
      </c>
      <c r="AI40">
        <f>IF((gamma!AI40),IF(VLOOKUP(AI$1,main!$A$3:$I$56,7,FALSE)=VLOOKUP($A40,main!$A$3:$I$56,8,FALSE),VLOOKUP(AI$1,main!$A$3:$I$56,4,FALSE),VLOOKUP(AI$1,main!$A$3:$I$56,4,FALSE)+VLOOKUP($A40,main!$A$3:$I$56,4,FALSE)+(VLOOKUP(VLOOKUP(AI$1,main!$A$3:$I$56,8,FALSE),main!$K$19:$O$22,MATCH(VLOOKUP($A40,main!$A$3:$I$56,7,FALSE),main!$K$18:$O$18,0),0))),0)</f>
        <v>0</v>
      </c>
      <c r="AJ40">
        <f>IF((gamma!AJ40),IF(VLOOKUP(AJ$1,main!$A$3:$I$56,7,FALSE)=VLOOKUP($A40,main!$A$3:$I$56,8,FALSE),VLOOKUP(AJ$1,main!$A$3:$I$56,4,FALSE),VLOOKUP(AJ$1,main!$A$3:$I$56,4,FALSE)+VLOOKUP($A40,main!$A$3:$I$56,4,FALSE)+(VLOOKUP(VLOOKUP(AJ$1,main!$A$3:$I$56,8,FALSE),main!$K$19:$O$22,MATCH(VLOOKUP($A40,main!$A$3:$I$56,7,FALSE),main!$K$18:$O$18,0),0))),0)</f>
        <v>0</v>
      </c>
      <c r="AK40">
        <f>IF((gamma!AK40),IF(VLOOKUP(AK$1,main!$A$3:$I$56,7,FALSE)=VLOOKUP($A40,main!$A$3:$I$56,8,FALSE),VLOOKUP(AK$1,main!$A$3:$I$56,4,FALSE),VLOOKUP(AK$1,main!$A$3:$I$56,4,FALSE)+VLOOKUP($A40,main!$A$3:$I$56,4,FALSE)+(VLOOKUP(VLOOKUP(AK$1,main!$A$3:$I$56,8,FALSE),main!$K$19:$O$22,MATCH(VLOOKUP($A40,main!$A$3:$I$56,7,FALSE),main!$K$18:$O$18,0),0))),0)</f>
        <v>0</v>
      </c>
      <c r="AL40">
        <f>IF((gamma!AL40),IF(VLOOKUP(AL$1,main!$A$3:$I$56,7,FALSE)=VLOOKUP($A40,main!$A$3:$I$56,8,FALSE),VLOOKUP(AL$1,main!$A$3:$I$56,4,FALSE),VLOOKUP(AL$1,main!$A$3:$I$56,4,FALSE)+VLOOKUP($A40,main!$A$3:$I$56,4,FALSE)+(VLOOKUP(VLOOKUP(AL$1,main!$A$3:$I$56,8,FALSE),main!$K$19:$O$22,MATCH(VLOOKUP($A40,main!$A$3:$I$56,7,FALSE),main!$K$18:$O$18,0),0))),0)</f>
        <v>0</v>
      </c>
      <c r="AM40">
        <f>IF((gamma!AM40),IF(VLOOKUP(AM$1,main!$A$3:$I$56,7,FALSE)=VLOOKUP($A40,main!$A$3:$I$56,8,FALSE),VLOOKUP(AM$1,main!$A$3:$I$56,4,FALSE),VLOOKUP(AM$1,main!$A$3:$I$56,4,FALSE)+VLOOKUP($A40,main!$A$3:$I$56,4,FALSE)+(VLOOKUP(VLOOKUP(AM$1,main!$A$3:$I$56,8,FALSE),main!$K$19:$O$22,MATCH(VLOOKUP($A40,main!$A$3:$I$56,7,FALSE),main!$K$18:$O$18,0),0))),0)</f>
        <v>0</v>
      </c>
      <c r="AN40">
        <f>IF((gamma!AN40),IF(VLOOKUP(AN$1,main!$A$3:$I$56,7,FALSE)=VLOOKUP($A40,main!$A$3:$I$56,8,FALSE),VLOOKUP(AN$1,main!$A$3:$I$56,4,FALSE),VLOOKUP(AN$1,main!$A$3:$I$56,4,FALSE)+VLOOKUP($A40,main!$A$3:$I$56,4,FALSE)+(VLOOKUP(VLOOKUP(AN$1,main!$A$3:$I$56,8,FALSE),main!$K$19:$O$22,MATCH(VLOOKUP($A40,main!$A$3:$I$56,7,FALSE),main!$K$18:$O$18,0),0))),0)</f>
        <v>0</v>
      </c>
      <c r="AO40">
        <f>IF((gamma!AO40),IF(VLOOKUP(AO$1,main!$A$3:$I$56,7,FALSE)=VLOOKUP($A40,main!$A$3:$I$56,8,FALSE),VLOOKUP(AO$1,main!$A$3:$I$56,4,FALSE),VLOOKUP(AO$1,main!$A$3:$I$56,4,FALSE)+VLOOKUP($A40,main!$A$3:$I$56,4,FALSE)+(VLOOKUP(VLOOKUP(AO$1,main!$A$3:$I$56,8,FALSE),main!$K$19:$O$22,MATCH(VLOOKUP($A40,main!$A$3:$I$56,7,FALSE),main!$K$18:$O$18,0),0))),0)</f>
        <v>0</v>
      </c>
      <c r="AP40">
        <f>IF((gamma!AP40),IF(VLOOKUP(AP$1,main!$A$3:$I$56,7,FALSE)=VLOOKUP($A40,main!$A$3:$I$56,8,FALSE),VLOOKUP(AP$1,main!$A$3:$I$56,4,FALSE),VLOOKUP(AP$1,main!$A$3:$I$56,4,FALSE)+VLOOKUP($A40,main!$A$3:$I$56,4,FALSE)+(VLOOKUP(VLOOKUP(AP$1,main!$A$3:$I$56,8,FALSE),main!$K$19:$O$22,MATCH(VLOOKUP($A40,main!$A$3:$I$56,7,FALSE),main!$K$18:$O$18,0),0))),0)</f>
        <v>0</v>
      </c>
      <c r="AQ40">
        <f>IF((gamma!AQ40),IF(VLOOKUP(AQ$1,main!$A$3:$I$56,7,FALSE)=VLOOKUP($A40,main!$A$3:$I$56,8,FALSE),VLOOKUP(AQ$1,main!$A$3:$I$56,4,FALSE),VLOOKUP(AQ$1,main!$A$3:$I$56,4,FALSE)+VLOOKUP($A40,main!$A$3:$I$56,4,FALSE)+(VLOOKUP(VLOOKUP(AQ$1,main!$A$3:$I$56,8,FALSE),main!$K$19:$O$22,MATCH(VLOOKUP($A40,main!$A$3:$I$56,7,FALSE),main!$K$18:$O$18,0),0))),0)</f>
        <v>0</v>
      </c>
      <c r="AR40">
        <f>IF((gamma!AR40),IF(VLOOKUP(AR$1,main!$A$3:$I$56,7,FALSE)=VLOOKUP($A40,main!$A$3:$I$56,8,FALSE),VLOOKUP(AR$1,main!$A$3:$I$56,4,FALSE),VLOOKUP(AR$1,main!$A$3:$I$56,4,FALSE)+VLOOKUP($A40,main!$A$3:$I$56,4,FALSE)+(VLOOKUP(VLOOKUP(AR$1,main!$A$3:$I$56,8,FALSE),main!$K$19:$O$22,MATCH(VLOOKUP($A40,main!$A$3:$I$56,7,FALSE),main!$K$18:$O$18,0),0))),0)</f>
        <v>0</v>
      </c>
      <c r="AS40">
        <f>IF((gamma!AS40),IF(VLOOKUP(AS$1,main!$A$3:$I$56,7,FALSE)=VLOOKUP($A40,main!$A$3:$I$56,8,FALSE),VLOOKUP(AS$1,main!$A$3:$I$56,4,FALSE),VLOOKUP(AS$1,main!$A$3:$I$56,4,FALSE)+VLOOKUP($A40,main!$A$3:$I$56,4,FALSE)+(VLOOKUP(VLOOKUP(AS$1,main!$A$3:$I$56,8,FALSE),main!$K$19:$O$22,MATCH(VLOOKUP($A40,main!$A$3:$I$56,7,FALSE),main!$K$18:$O$18,0),0))),0)</f>
        <v>0</v>
      </c>
      <c r="AT40">
        <f>IF((gamma!AT40),IF(VLOOKUP(AT$1,main!$A$3:$I$56,7,FALSE)=VLOOKUP($A40,main!$A$3:$I$56,8,FALSE),VLOOKUP(AT$1,main!$A$3:$I$56,4,FALSE),VLOOKUP(AT$1,main!$A$3:$I$56,4,FALSE)+VLOOKUP($A40,main!$A$3:$I$56,4,FALSE)+(VLOOKUP(VLOOKUP(AT$1,main!$A$3:$I$56,8,FALSE),main!$K$19:$O$22,MATCH(VLOOKUP($A40,main!$A$3:$I$56,7,FALSE),main!$K$18:$O$18,0),0))),0)</f>
        <v>0</v>
      </c>
      <c r="AU40">
        <f>IF((gamma!AU40),IF(VLOOKUP(AU$1,main!$A$3:$I$56,7,FALSE)=VLOOKUP($A40,main!$A$3:$I$56,8,FALSE),VLOOKUP(AU$1,main!$A$3:$I$56,4,FALSE),VLOOKUP(AU$1,main!$A$3:$I$56,4,FALSE)+VLOOKUP($A40,main!$A$3:$I$56,4,FALSE)+(VLOOKUP(VLOOKUP(AU$1,main!$A$3:$I$56,8,FALSE),main!$K$19:$O$22,MATCH(VLOOKUP($A40,main!$A$3:$I$56,7,FALSE),main!$K$18:$O$18,0),0))),0)</f>
        <v>0</v>
      </c>
      <c r="AV40">
        <f>IF((gamma!AV40),IF(VLOOKUP(AV$1,main!$A$3:$I$56,7,FALSE)=VLOOKUP($A40,main!$A$3:$I$56,8,FALSE),VLOOKUP(AV$1,main!$A$3:$I$56,4,FALSE),VLOOKUP(AV$1,main!$A$3:$I$56,4,FALSE)+VLOOKUP($A40,main!$A$3:$I$56,4,FALSE)+(VLOOKUP(VLOOKUP(AV$1,main!$A$3:$I$56,8,FALSE),main!$K$19:$O$22,MATCH(VLOOKUP($A40,main!$A$3:$I$56,7,FALSE),main!$K$18:$O$18,0),0))),0)</f>
        <v>0</v>
      </c>
      <c r="AW40">
        <f>IF((gamma!AW40),IF(VLOOKUP(AW$1,main!$A$3:$I$56,7,FALSE)=VLOOKUP($A40,main!$A$3:$I$56,8,FALSE),VLOOKUP(AW$1,main!$A$3:$I$56,4,FALSE),VLOOKUP(AW$1,main!$A$3:$I$56,4,FALSE)+VLOOKUP($A40,main!$A$3:$I$56,4,FALSE)+(VLOOKUP(VLOOKUP(AW$1,main!$A$3:$I$56,8,FALSE),main!$K$19:$O$22,MATCH(VLOOKUP($A40,main!$A$3:$I$56,7,FALSE),main!$K$18:$O$18,0),0))),0)</f>
        <v>0</v>
      </c>
      <c r="AX40">
        <f>IF((gamma!AX40),IF(VLOOKUP(AX$1,main!$A$3:$I$56,7,FALSE)=VLOOKUP($A40,main!$A$3:$I$56,8,FALSE),VLOOKUP(AX$1,main!$A$3:$I$56,4,FALSE),VLOOKUP(AX$1,main!$A$3:$I$56,4,FALSE)+VLOOKUP($A40,main!$A$3:$I$56,4,FALSE)+(VLOOKUP(VLOOKUP(AX$1,main!$A$3:$I$56,8,FALSE),main!$K$19:$O$22,MATCH(VLOOKUP($A40,main!$A$3:$I$56,7,FALSE),main!$K$18:$O$18,0),0))),0)</f>
        <v>0</v>
      </c>
      <c r="AY40">
        <f>IF((gamma!AY40),IF(VLOOKUP(AY$1,main!$A$3:$I$56,7,FALSE)=VLOOKUP($A40,main!$A$3:$I$56,8,FALSE),VLOOKUP(AY$1,main!$A$3:$I$56,4,FALSE),VLOOKUP(AY$1,main!$A$3:$I$56,4,FALSE)+VLOOKUP($A40,main!$A$3:$I$56,4,FALSE)+(VLOOKUP(VLOOKUP(AY$1,main!$A$3:$I$56,8,FALSE),main!$K$19:$O$22,MATCH(VLOOKUP($A40,main!$A$3:$I$56,7,FALSE),main!$K$18:$O$18,0),0))),0)</f>
        <v>290</v>
      </c>
      <c r="AZ40">
        <f>IF((gamma!AZ40),IF(VLOOKUP(AZ$1,main!$A$3:$I$56,7,FALSE)=VLOOKUP($A40,main!$A$3:$I$56,8,FALSE),VLOOKUP(AZ$1,main!$A$3:$I$56,4,FALSE),VLOOKUP(AZ$1,main!$A$3:$I$56,4,FALSE)+VLOOKUP($A40,main!$A$3:$I$56,4,FALSE)+(VLOOKUP(VLOOKUP(AZ$1,main!$A$3:$I$56,8,FALSE),main!$K$19:$O$22,MATCH(VLOOKUP($A40,main!$A$3:$I$56,7,FALSE),main!$K$18:$O$18,0),0))),0)</f>
        <v>0</v>
      </c>
      <c r="BA40">
        <f>IF((gamma!BA40),IF(VLOOKUP(BA$1,main!$A$3:$I$56,7,FALSE)=VLOOKUP($A40,main!$A$3:$I$56,8,FALSE),VLOOKUP(BA$1,main!$A$3:$I$56,4,FALSE),VLOOKUP(BA$1,main!$A$3:$I$56,4,FALSE)+VLOOKUP($A40,main!$A$3:$I$56,4,FALSE)+(VLOOKUP(VLOOKUP(BA$1,main!$A$3:$I$56,8,FALSE),main!$K$19:$O$22,MATCH(VLOOKUP($A40,main!$A$3:$I$56,7,FALSE),main!$K$18:$O$18,0),0))),0)</f>
        <v>0</v>
      </c>
      <c r="BB40">
        <f>IF((gamma!BB40),IF(VLOOKUP(BB$1,main!$A$3:$I$56,7,FALSE)=VLOOKUP($A40,main!$A$3:$I$56,8,FALSE),VLOOKUP(BB$1,main!$A$3:$I$56,4,FALSE),VLOOKUP(BB$1,main!$A$3:$I$56,4,FALSE)+VLOOKUP($A40,main!$A$3:$I$56,4,FALSE)+(VLOOKUP(VLOOKUP(BB$1,main!$A$3:$I$56,8,FALSE),main!$K$19:$O$22,MATCH(VLOOKUP($A40,main!$A$3:$I$56,7,FALSE),main!$K$18:$O$18,0),0))),0)</f>
        <v>0</v>
      </c>
      <c r="BC40">
        <f>IF((gamma!BC40),IF(VLOOKUP(BC$1,main!$A$3:$I$56,7,FALSE)=VLOOKUP($A40,main!$A$3:$I$56,8,FALSE),VLOOKUP(BC$1,main!$A$3:$I$56,4,FALSE),VLOOKUP(BC$1,main!$A$3:$I$56,4,FALSE)+VLOOKUP($A40,main!$A$3:$I$56,4,FALSE)+(VLOOKUP(VLOOKUP(BC$1,main!$A$3:$I$56,8,FALSE),main!$K$19:$O$22,MATCH(VLOOKUP($A40,main!$A$3:$I$56,7,FALSE),main!$K$18:$O$18,0),0))),0)</f>
        <v>0</v>
      </c>
      <c r="BD40">
        <f>IF((gamma!BD40),IF(VLOOKUP(BD$1,main!$A$3:$I$56,7,FALSE)=VLOOKUP($A40,main!$A$3:$I$56,8,FALSE),VLOOKUP(BD$1,main!$A$3:$I$56,4,FALSE),VLOOKUP(BD$1,main!$A$3:$I$56,4,FALSE)+VLOOKUP($A40,main!$A$3:$I$56,4,FALSE)+(VLOOKUP(VLOOKUP(BD$1,main!$A$3:$I$56,8,FALSE),main!$K$19:$O$22,MATCH(VLOOKUP($A40,main!$A$3:$I$56,7,FALSE),main!$K$18:$O$18,0),0))),0)</f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>
        <f t="shared" si="0"/>
        <v>39</v>
      </c>
      <c r="B41">
        <v>0</v>
      </c>
      <c r="C41">
        <f>IF((gamma!C41),IF(VLOOKUP(C$1,main!$A$3:$I$56,7,FALSE)=VLOOKUP($A41,main!$A$3:$I$56,8,FALSE),VLOOKUP(C$1,main!$A$3:$I$56,4,FALSE),VLOOKUP(C$1,main!$A$3:$I$56,4,FALSE)+VLOOKUP($A41,main!$A$3:$I$56,4,FALSE)+(VLOOKUP(VLOOKUP(C$1,main!$A$3:$I$56,8,FALSE),main!$K$19:$O$22,MATCH(VLOOKUP($A41,main!$A$3:$I$56,7,FALSE),main!$K$18:$O$18,0),0))),0)</f>
        <v>0</v>
      </c>
      <c r="D41">
        <f>IF((gamma!D41),IF(VLOOKUP(D$1,main!$A$3:$I$56,7,FALSE)=VLOOKUP($A41,main!$A$3:$I$56,8,FALSE),VLOOKUP(D$1,main!$A$3:$I$56,4,FALSE),VLOOKUP(D$1,main!$A$3:$I$56,4,FALSE)+VLOOKUP($A41,main!$A$3:$I$56,4,FALSE)+(VLOOKUP(VLOOKUP(D$1,main!$A$3:$I$56,8,FALSE),main!$K$19:$O$22,MATCH(VLOOKUP($A41,main!$A$3:$I$56,7,FALSE),main!$K$18:$O$18,0),0))),0)</f>
        <v>0</v>
      </c>
      <c r="E41">
        <f>IF((gamma!E41),IF(VLOOKUP(E$1,main!$A$3:$I$56,7,FALSE)=VLOOKUP($A41,main!$A$3:$I$56,8,FALSE),VLOOKUP(E$1,main!$A$3:$I$56,4,FALSE),VLOOKUP(E$1,main!$A$3:$I$56,4,FALSE)+VLOOKUP($A41,main!$A$3:$I$56,4,FALSE)+(VLOOKUP(VLOOKUP(E$1,main!$A$3:$I$56,8,FALSE),main!$K$19:$O$22,MATCH(VLOOKUP($A41,main!$A$3:$I$56,7,FALSE),main!$K$18:$O$18,0),0))),0)</f>
        <v>0</v>
      </c>
      <c r="F41">
        <f>IF((gamma!F41),IF(VLOOKUP(F$1,main!$A$3:$I$56,7,FALSE)=VLOOKUP($A41,main!$A$3:$I$56,8,FALSE),VLOOKUP(F$1,main!$A$3:$I$56,4,FALSE),VLOOKUP(F$1,main!$A$3:$I$56,4,FALSE)+VLOOKUP($A41,main!$A$3:$I$56,4,FALSE)+(VLOOKUP(VLOOKUP(F$1,main!$A$3:$I$56,8,FALSE),main!$K$19:$O$22,MATCH(VLOOKUP($A41,main!$A$3:$I$56,7,FALSE),main!$K$18:$O$18,0),0))),0)</f>
        <v>0</v>
      </c>
      <c r="G41">
        <f>IF((gamma!G41),IF(VLOOKUP(G$1,main!$A$3:$I$56,7,FALSE)=VLOOKUP($A41,main!$A$3:$I$56,8,FALSE),VLOOKUP(G$1,main!$A$3:$I$56,4,FALSE),VLOOKUP(G$1,main!$A$3:$I$56,4,FALSE)+VLOOKUP($A41,main!$A$3:$I$56,4,FALSE)+(VLOOKUP(VLOOKUP(G$1,main!$A$3:$I$56,8,FALSE),main!$K$19:$O$22,MATCH(VLOOKUP($A41,main!$A$3:$I$56,7,FALSE),main!$K$18:$O$18,0),0))),0)</f>
        <v>0</v>
      </c>
      <c r="H41">
        <f>IF((gamma!H41),IF(VLOOKUP(H$1,main!$A$3:$I$56,7,FALSE)=VLOOKUP($A41,main!$A$3:$I$56,8,FALSE),VLOOKUP(H$1,main!$A$3:$I$56,4,FALSE),VLOOKUP(H$1,main!$A$3:$I$56,4,FALSE)+VLOOKUP($A41,main!$A$3:$I$56,4,FALSE)+(VLOOKUP(VLOOKUP(H$1,main!$A$3:$I$56,8,FALSE),main!$K$19:$O$22,MATCH(VLOOKUP($A41,main!$A$3:$I$56,7,FALSE),main!$K$18:$O$18,0),0))),0)</f>
        <v>0</v>
      </c>
      <c r="I41">
        <f>IF((gamma!I41),IF(VLOOKUP(I$1,main!$A$3:$I$56,7,FALSE)=VLOOKUP($A41,main!$A$3:$I$56,8,FALSE),VLOOKUP(I$1,main!$A$3:$I$56,4,FALSE),VLOOKUP(I$1,main!$A$3:$I$56,4,FALSE)+VLOOKUP($A41,main!$A$3:$I$56,4,FALSE)+(VLOOKUP(VLOOKUP(I$1,main!$A$3:$I$56,8,FALSE),main!$K$19:$O$22,MATCH(VLOOKUP($A41,main!$A$3:$I$56,7,FALSE),main!$K$18:$O$18,0),0))),0)</f>
        <v>0</v>
      </c>
      <c r="J41">
        <f>IF((gamma!J41),IF(VLOOKUP(J$1,main!$A$3:$I$56,7,FALSE)=VLOOKUP($A41,main!$A$3:$I$56,8,FALSE),VLOOKUP(J$1,main!$A$3:$I$56,4,FALSE),VLOOKUP(J$1,main!$A$3:$I$56,4,FALSE)+VLOOKUP($A41,main!$A$3:$I$56,4,FALSE)+(VLOOKUP(VLOOKUP(J$1,main!$A$3:$I$56,8,FALSE),main!$K$19:$O$22,MATCH(VLOOKUP($A41,main!$A$3:$I$56,7,FALSE),main!$K$18:$O$18,0),0))),0)</f>
        <v>293</v>
      </c>
      <c r="K41">
        <f>IF((gamma!K41),IF(VLOOKUP(K$1,main!$A$3:$I$56,7,FALSE)=VLOOKUP($A41,main!$A$3:$I$56,8,FALSE),VLOOKUP(K$1,main!$A$3:$I$56,4,FALSE),VLOOKUP(K$1,main!$A$3:$I$56,4,FALSE)+VLOOKUP($A41,main!$A$3:$I$56,4,FALSE)+(VLOOKUP(VLOOKUP(K$1,main!$A$3:$I$56,8,FALSE),main!$K$19:$O$22,MATCH(VLOOKUP($A41,main!$A$3:$I$56,7,FALSE),main!$K$18:$O$18,0),0))),0)</f>
        <v>0</v>
      </c>
      <c r="L41">
        <f>IF((gamma!L41),IF(VLOOKUP(L$1,main!$A$3:$I$56,7,FALSE)=VLOOKUP($A41,main!$A$3:$I$56,8,FALSE),VLOOKUP(L$1,main!$A$3:$I$56,4,FALSE),VLOOKUP(L$1,main!$A$3:$I$56,4,FALSE)+VLOOKUP($A41,main!$A$3:$I$56,4,FALSE)+(VLOOKUP(VLOOKUP(L$1,main!$A$3:$I$56,8,FALSE),main!$K$19:$O$22,MATCH(VLOOKUP($A41,main!$A$3:$I$56,7,FALSE),main!$K$18:$O$18,0),0))),0)</f>
        <v>0</v>
      </c>
      <c r="M41">
        <f>IF((gamma!M41),IF(VLOOKUP(M$1,main!$A$3:$I$56,7,FALSE)=VLOOKUP($A41,main!$A$3:$I$56,8,FALSE),VLOOKUP(M$1,main!$A$3:$I$56,4,FALSE),VLOOKUP(M$1,main!$A$3:$I$56,4,FALSE)+VLOOKUP($A41,main!$A$3:$I$56,4,FALSE)+(VLOOKUP(VLOOKUP(M$1,main!$A$3:$I$56,8,FALSE),main!$K$19:$O$22,MATCH(VLOOKUP($A41,main!$A$3:$I$56,7,FALSE),main!$K$18:$O$18,0),0))),0)</f>
        <v>0</v>
      </c>
      <c r="N41">
        <f>IF((gamma!N41),IF(VLOOKUP(N$1,main!$A$3:$I$56,7,FALSE)=VLOOKUP($A41,main!$A$3:$I$56,8,FALSE),VLOOKUP(N$1,main!$A$3:$I$56,4,FALSE),VLOOKUP(N$1,main!$A$3:$I$56,4,FALSE)+VLOOKUP($A41,main!$A$3:$I$56,4,FALSE)+(VLOOKUP(VLOOKUP(N$1,main!$A$3:$I$56,8,FALSE),main!$K$19:$O$22,MATCH(VLOOKUP($A41,main!$A$3:$I$56,7,FALSE),main!$K$18:$O$18,0),0))),0)</f>
        <v>270</v>
      </c>
      <c r="O41">
        <f>IF((gamma!O41),IF(VLOOKUP(O$1,main!$A$3:$I$56,7,FALSE)=VLOOKUP($A41,main!$A$3:$I$56,8,FALSE),VLOOKUP(O$1,main!$A$3:$I$56,4,FALSE),VLOOKUP(O$1,main!$A$3:$I$56,4,FALSE)+VLOOKUP($A41,main!$A$3:$I$56,4,FALSE)+(VLOOKUP(VLOOKUP(O$1,main!$A$3:$I$56,8,FALSE),main!$K$19:$O$22,MATCH(VLOOKUP($A41,main!$A$3:$I$56,7,FALSE),main!$K$18:$O$18,0),0))),0)</f>
        <v>270</v>
      </c>
      <c r="P41">
        <f>IF((gamma!P41),IF(VLOOKUP(P$1,main!$A$3:$I$56,7,FALSE)=VLOOKUP($A41,main!$A$3:$I$56,8,FALSE),VLOOKUP(P$1,main!$A$3:$I$56,4,FALSE),VLOOKUP(P$1,main!$A$3:$I$56,4,FALSE)+VLOOKUP($A41,main!$A$3:$I$56,4,FALSE)+(VLOOKUP(VLOOKUP(P$1,main!$A$3:$I$56,8,FALSE),main!$K$19:$O$22,MATCH(VLOOKUP($A41,main!$A$3:$I$56,7,FALSE),main!$K$18:$O$18,0),0))),0)</f>
        <v>0</v>
      </c>
      <c r="Q41">
        <f>IF((gamma!Q41),IF(VLOOKUP(Q$1,main!$A$3:$I$56,7,FALSE)=VLOOKUP($A41,main!$A$3:$I$56,8,FALSE),VLOOKUP(Q$1,main!$A$3:$I$56,4,FALSE),VLOOKUP(Q$1,main!$A$3:$I$56,4,FALSE)+VLOOKUP($A41,main!$A$3:$I$56,4,FALSE)+(VLOOKUP(VLOOKUP(Q$1,main!$A$3:$I$56,8,FALSE),main!$K$19:$O$22,MATCH(VLOOKUP($A41,main!$A$3:$I$56,7,FALSE),main!$K$18:$O$18,0),0))),0)</f>
        <v>0</v>
      </c>
      <c r="R41">
        <f>IF((gamma!R41),IF(VLOOKUP(R$1,main!$A$3:$I$56,7,FALSE)=VLOOKUP($A41,main!$A$3:$I$56,8,FALSE),VLOOKUP(R$1,main!$A$3:$I$56,4,FALSE),VLOOKUP(R$1,main!$A$3:$I$56,4,FALSE)+VLOOKUP($A41,main!$A$3:$I$56,4,FALSE)+(VLOOKUP(VLOOKUP(R$1,main!$A$3:$I$56,8,FALSE),main!$K$19:$O$22,MATCH(VLOOKUP($A41,main!$A$3:$I$56,7,FALSE),main!$K$18:$O$18,0),0))),0)</f>
        <v>0</v>
      </c>
      <c r="S41">
        <f>IF((gamma!S41),IF(VLOOKUP(S$1,main!$A$3:$I$56,7,FALSE)=VLOOKUP($A41,main!$A$3:$I$56,8,FALSE),VLOOKUP(S$1,main!$A$3:$I$56,4,FALSE),VLOOKUP(S$1,main!$A$3:$I$56,4,FALSE)+VLOOKUP($A41,main!$A$3:$I$56,4,FALSE)+(VLOOKUP(VLOOKUP(S$1,main!$A$3:$I$56,8,FALSE),main!$K$19:$O$22,MATCH(VLOOKUP($A41,main!$A$3:$I$56,7,FALSE),main!$K$18:$O$18,0),0))),0)</f>
        <v>0</v>
      </c>
      <c r="T41">
        <f>IF((gamma!T41),IF(VLOOKUP(T$1,main!$A$3:$I$56,7,FALSE)=VLOOKUP($A41,main!$A$3:$I$56,8,FALSE),VLOOKUP(T$1,main!$A$3:$I$56,4,FALSE),VLOOKUP(T$1,main!$A$3:$I$56,4,FALSE)+VLOOKUP($A41,main!$A$3:$I$56,4,FALSE)+(VLOOKUP(VLOOKUP(T$1,main!$A$3:$I$56,8,FALSE),main!$K$19:$O$22,MATCH(VLOOKUP($A41,main!$A$3:$I$56,7,FALSE),main!$K$18:$O$18,0),0))),0)</f>
        <v>303</v>
      </c>
      <c r="U41">
        <f>IF((gamma!U41),IF(VLOOKUP(U$1,main!$A$3:$I$56,7,FALSE)=VLOOKUP($A41,main!$A$3:$I$56,8,FALSE),VLOOKUP(U$1,main!$A$3:$I$56,4,FALSE),VLOOKUP(U$1,main!$A$3:$I$56,4,FALSE)+VLOOKUP($A41,main!$A$3:$I$56,4,FALSE)+(VLOOKUP(VLOOKUP(U$1,main!$A$3:$I$56,8,FALSE),main!$K$19:$O$22,MATCH(VLOOKUP($A41,main!$A$3:$I$56,7,FALSE),main!$K$18:$O$18,0),0))),0)</f>
        <v>0</v>
      </c>
      <c r="V41">
        <f>IF((gamma!V41),IF(VLOOKUP(V$1,main!$A$3:$I$56,7,FALSE)=VLOOKUP($A41,main!$A$3:$I$56,8,FALSE),VLOOKUP(V$1,main!$A$3:$I$56,4,FALSE),VLOOKUP(V$1,main!$A$3:$I$56,4,FALSE)+VLOOKUP($A41,main!$A$3:$I$56,4,FALSE)+(VLOOKUP(VLOOKUP(V$1,main!$A$3:$I$56,8,FALSE),main!$K$19:$O$22,MATCH(VLOOKUP($A41,main!$A$3:$I$56,7,FALSE),main!$K$18:$O$18,0),0))),0)</f>
        <v>0</v>
      </c>
      <c r="W41">
        <f>IF((gamma!W41),IF(VLOOKUP(W$1,main!$A$3:$I$56,7,FALSE)=VLOOKUP($A41,main!$A$3:$I$56,8,FALSE),VLOOKUP(W$1,main!$A$3:$I$56,4,FALSE),VLOOKUP(W$1,main!$A$3:$I$56,4,FALSE)+VLOOKUP($A41,main!$A$3:$I$56,4,FALSE)+(VLOOKUP(VLOOKUP(W$1,main!$A$3:$I$56,8,FALSE),main!$K$19:$O$22,MATCH(VLOOKUP($A41,main!$A$3:$I$56,7,FALSE),main!$K$18:$O$18,0),0))),0)</f>
        <v>0</v>
      </c>
      <c r="X41">
        <f>IF((gamma!X41),IF(VLOOKUP(X$1,main!$A$3:$I$56,7,FALSE)=VLOOKUP($A41,main!$A$3:$I$56,8,FALSE),VLOOKUP(X$1,main!$A$3:$I$56,4,FALSE),VLOOKUP(X$1,main!$A$3:$I$56,4,FALSE)+VLOOKUP($A41,main!$A$3:$I$56,4,FALSE)+(VLOOKUP(VLOOKUP(X$1,main!$A$3:$I$56,8,FALSE),main!$K$19:$O$22,MATCH(VLOOKUP($A41,main!$A$3:$I$56,7,FALSE),main!$K$18:$O$18,0),0))),0)</f>
        <v>0</v>
      </c>
      <c r="Y41">
        <f>IF((gamma!Y41),IF(VLOOKUP(Y$1,main!$A$3:$I$56,7,FALSE)=VLOOKUP($A41,main!$A$3:$I$56,8,FALSE),VLOOKUP(Y$1,main!$A$3:$I$56,4,FALSE),VLOOKUP(Y$1,main!$A$3:$I$56,4,FALSE)+VLOOKUP($A41,main!$A$3:$I$56,4,FALSE)+(VLOOKUP(VLOOKUP(Y$1,main!$A$3:$I$56,8,FALSE),main!$K$19:$O$22,MATCH(VLOOKUP($A41,main!$A$3:$I$56,7,FALSE),main!$K$18:$O$18,0),0))),0)</f>
        <v>0</v>
      </c>
      <c r="Z41">
        <f>IF((gamma!Z41),IF(VLOOKUP(Z$1,main!$A$3:$I$56,7,FALSE)=VLOOKUP($A41,main!$A$3:$I$56,8,FALSE),VLOOKUP(Z$1,main!$A$3:$I$56,4,FALSE),VLOOKUP(Z$1,main!$A$3:$I$56,4,FALSE)+VLOOKUP($A41,main!$A$3:$I$56,4,FALSE)+(VLOOKUP(VLOOKUP(Z$1,main!$A$3:$I$56,8,FALSE),main!$K$19:$O$22,MATCH(VLOOKUP($A41,main!$A$3:$I$56,7,FALSE),main!$K$18:$O$18,0),0))),0)</f>
        <v>0</v>
      </c>
      <c r="AA41">
        <f>IF((gamma!AA41),IF(VLOOKUP(AA$1,main!$A$3:$I$56,7,FALSE)=VLOOKUP($A41,main!$A$3:$I$56,8,FALSE),VLOOKUP(AA$1,main!$A$3:$I$56,4,FALSE),VLOOKUP(AA$1,main!$A$3:$I$56,4,FALSE)+VLOOKUP($A41,main!$A$3:$I$56,4,FALSE)+(VLOOKUP(VLOOKUP(AA$1,main!$A$3:$I$56,8,FALSE),main!$K$19:$O$22,MATCH(VLOOKUP($A41,main!$A$3:$I$56,7,FALSE),main!$K$18:$O$18,0),0))),0)</f>
        <v>0</v>
      </c>
      <c r="AB41">
        <f>IF((gamma!AB41),IF(VLOOKUP(AB$1,main!$A$3:$I$56,7,FALSE)=VLOOKUP($A41,main!$A$3:$I$56,8,FALSE),VLOOKUP(AB$1,main!$A$3:$I$56,4,FALSE),VLOOKUP(AB$1,main!$A$3:$I$56,4,FALSE)+VLOOKUP($A41,main!$A$3:$I$56,4,FALSE)+(VLOOKUP(VLOOKUP(AB$1,main!$A$3:$I$56,8,FALSE),main!$K$19:$O$22,MATCH(VLOOKUP($A41,main!$A$3:$I$56,7,FALSE),main!$K$18:$O$18,0),0))),0)</f>
        <v>135</v>
      </c>
      <c r="AC41">
        <f>IF((gamma!AC41),IF(VLOOKUP(AC$1,main!$A$3:$I$56,7,FALSE)=VLOOKUP($A41,main!$A$3:$I$56,8,FALSE),VLOOKUP(AC$1,main!$A$3:$I$56,4,FALSE),VLOOKUP(AC$1,main!$A$3:$I$56,4,FALSE)+VLOOKUP($A41,main!$A$3:$I$56,4,FALSE)+(VLOOKUP(VLOOKUP(AC$1,main!$A$3:$I$56,8,FALSE),main!$K$19:$O$22,MATCH(VLOOKUP($A41,main!$A$3:$I$56,7,FALSE),main!$K$18:$O$18,0),0))),0)</f>
        <v>0</v>
      </c>
      <c r="AD41">
        <f>IF((gamma!AD41),IF(VLOOKUP(AD$1,main!$A$3:$I$56,7,FALSE)=VLOOKUP($A41,main!$A$3:$I$56,8,FALSE),VLOOKUP(AD$1,main!$A$3:$I$56,4,FALSE),VLOOKUP(AD$1,main!$A$3:$I$56,4,FALSE)+VLOOKUP($A41,main!$A$3:$I$56,4,FALSE)+(VLOOKUP(VLOOKUP(AD$1,main!$A$3:$I$56,8,FALSE),main!$K$19:$O$22,MATCH(VLOOKUP($A41,main!$A$3:$I$56,7,FALSE),main!$K$18:$O$18,0),0))),0)</f>
        <v>0</v>
      </c>
      <c r="AE41">
        <f>IF((gamma!AE41),IF(VLOOKUP(AE$1,main!$A$3:$I$56,7,FALSE)=VLOOKUP($A41,main!$A$3:$I$56,8,FALSE),VLOOKUP(AE$1,main!$A$3:$I$56,4,FALSE),VLOOKUP(AE$1,main!$A$3:$I$56,4,FALSE)+VLOOKUP($A41,main!$A$3:$I$56,4,FALSE)+(VLOOKUP(VLOOKUP(AE$1,main!$A$3:$I$56,8,FALSE),main!$K$19:$O$22,MATCH(VLOOKUP($A41,main!$A$3:$I$56,7,FALSE),main!$K$18:$O$18,0),0))),0)</f>
        <v>0</v>
      </c>
      <c r="AF41">
        <f>IF((gamma!AF41),IF(VLOOKUP(AF$1,main!$A$3:$I$56,7,FALSE)=VLOOKUP($A41,main!$A$3:$I$56,8,FALSE),VLOOKUP(AF$1,main!$A$3:$I$56,4,FALSE),VLOOKUP(AF$1,main!$A$3:$I$56,4,FALSE)+VLOOKUP($A41,main!$A$3:$I$56,4,FALSE)+(VLOOKUP(VLOOKUP(AF$1,main!$A$3:$I$56,8,FALSE),main!$K$19:$O$22,MATCH(VLOOKUP($A41,main!$A$3:$I$56,7,FALSE),main!$K$18:$O$18,0),0))),0)</f>
        <v>0</v>
      </c>
      <c r="AG41">
        <f>IF((gamma!AG41),IF(VLOOKUP(AG$1,main!$A$3:$I$56,7,FALSE)=VLOOKUP($A41,main!$A$3:$I$56,8,FALSE),VLOOKUP(AG$1,main!$A$3:$I$56,4,FALSE),VLOOKUP(AG$1,main!$A$3:$I$56,4,FALSE)+VLOOKUP($A41,main!$A$3:$I$56,4,FALSE)+(VLOOKUP(VLOOKUP(AG$1,main!$A$3:$I$56,8,FALSE),main!$K$19:$O$22,MATCH(VLOOKUP($A41,main!$A$3:$I$56,7,FALSE),main!$K$18:$O$18,0),0))),0)</f>
        <v>0</v>
      </c>
      <c r="AH41">
        <f>IF((gamma!AH41),IF(VLOOKUP(AH$1,main!$A$3:$I$56,7,FALSE)=VLOOKUP($A41,main!$A$3:$I$56,8,FALSE),VLOOKUP(AH$1,main!$A$3:$I$56,4,FALSE),VLOOKUP(AH$1,main!$A$3:$I$56,4,FALSE)+VLOOKUP($A41,main!$A$3:$I$56,4,FALSE)+(VLOOKUP(VLOOKUP(AH$1,main!$A$3:$I$56,8,FALSE),main!$K$19:$O$22,MATCH(VLOOKUP($A41,main!$A$3:$I$56,7,FALSE),main!$K$18:$O$18,0),0))),0)</f>
        <v>0</v>
      </c>
      <c r="AI41">
        <f>IF((gamma!AI41),IF(VLOOKUP(AI$1,main!$A$3:$I$56,7,FALSE)=VLOOKUP($A41,main!$A$3:$I$56,8,FALSE),VLOOKUP(AI$1,main!$A$3:$I$56,4,FALSE),VLOOKUP(AI$1,main!$A$3:$I$56,4,FALSE)+VLOOKUP($A41,main!$A$3:$I$56,4,FALSE)+(VLOOKUP(VLOOKUP(AI$1,main!$A$3:$I$56,8,FALSE),main!$K$19:$O$22,MATCH(VLOOKUP($A41,main!$A$3:$I$56,7,FALSE),main!$K$18:$O$18,0),0))),0)</f>
        <v>0</v>
      </c>
      <c r="AJ41">
        <f>IF((gamma!AJ41),IF(VLOOKUP(AJ$1,main!$A$3:$I$56,7,FALSE)=VLOOKUP($A41,main!$A$3:$I$56,8,FALSE),VLOOKUP(AJ$1,main!$A$3:$I$56,4,FALSE),VLOOKUP(AJ$1,main!$A$3:$I$56,4,FALSE)+VLOOKUP($A41,main!$A$3:$I$56,4,FALSE)+(VLOOKUP(VLOOKUP(AJ$1,main!$A$3:$I$56,8,FALSE),main!$K$19:$O$22,MATCH(VLOOKUP($A41,main!$A$3:$I$56,7,FALSE),main!$K$18:$O$18,0),0))),0)</f>
        <v>0</v>
      </c>
      <c r="AK41">
        <f>IF((gamma!AK41),IF(VLOOKUP(AK$1,main!$A$3:$I$56,7,FALSE)=VLOOKUP($A41,main!$A$3:$I$56,8,FALSE),VLOOKUP(AK$1,main!$A$3:$I$56,4,FALSE),VLOOKUP(AK$1,main!$A$3:$I$56,4,FALSE)+VLOOKUP($A41,main!$A$3:$I$56,4,FALSE)+(VLOOKUP(VLOOKUP(AK$1,main!$A$3:$I$56,8,FALSE),main!$K$19:$O$22,MATCH(VLOOKUP($A41,main!$A$3:$I$56,7,FALSE),main!$K$18:$O$18,0),0))),0)</f>
        <v>0</v>
      </c>
      <c r="AL41">
        <f>IF((gamma!AL41),IF(VLOOKUP(AL$1,main!$A$3:$I$56,7,FALSE)=VLOOKUP($A41,main!$A$3:$I$56,8,FALSE),VLOOKUP(AL$1,main!$A$3:$I$56,4,FALSE),VLOOKUP(AL$1,main!$A$3:$I$56,4,FALSE)+VLOOKUP($A41,main!$A$3:$I$56,4,FALSE)+(VLOOKUP(VLOOKUP(AL$1,main!$A$3:$I$56,8,FALSE),main!$K$19:$O$22,MATCH(VLOOKUP($A41,main!$A$3:$I$56,7,FALSE),main!$K$18:$O$18,0),0))),0)</f>
        <v>0</v>
      </c>
      <c r="AM41">
        <f>IF((gamma!AM41),IF(VLOOKUP(AM$1,main!$A$3:$I$56,7,FALSE)=VLOOKUP($A41,main!$A$3:$I$56,8,FALSE),VLOOKUP(AM$1,main!$A$3:$I$56,4,FALSE),VLOOKUP(AM$1,main!$A$3:$I$56,4,FALSE)+VLOOKUP($A41,main!$A$3:$I$56,4,FALSE)+(VLOOKUP(VLOOKUP(AM$1,main!$A$3:$I$56,8,FALSE),main!$K$19:$O$22,MATCH(VLOOKUP($A41,main!$A$3:$I$56,7,FALSE),main!$K$18:$O$18,0),0))),0)</f>
        <v>0</v>
      </c>
      <c r="AN41">
        <f>IF((gamma!AN41),IF(VLOOKUP(AN$1,main!$A$3:$I$56,7,FALSE)=VLOOKUP($A41,main!$A$3:$I$56,8,FALSE),VLOOKUP(AN$1,main!$A$3:$I$56,4,FALSE),VLOOKUP(AN$1,main!$A$3:$I$56,4,FALSE)+VLOOKUP($A41,main!$A$3:$I$56,4,FALSE)+(VLOOKUP(VLOOKUP(AN$1,main!$A$3:$I$56,8,FALSE),main!$K$19:$O$22,MATCH(VLOOKUP($A41,main!$A$3:$I$56,7,FALSE),main!$K$18:$O$18,0),0))),0)</f>
        <v>0</v>
      </c>
      <c r="AO41">
        <f>IF((gamma!AO41),IF(VLOOKUP(AO$1,main!$A$3:$I$56,7,FALSE)=VLOOKUP($A41,main!$A$3:$I$56,8,FALSE),VLOOKUP(AO$1,main!$A$3:$I$56,4,FALSE),VLOOKUP(AO$1,main!$A$3:$I$56,4,FALSE)+VLOOKUP($A41,main!$A$3:$I$56,4,FALSE)+(VLOOKUP(VLOOKUP(AO$1,main!$A$3:$I$56,8,FALSE),main!$K$19:$O$22,MATCH(VLOOKUP($A41,main!$A$3:$I$56,7,FALSE),main!$K$18:$O$18,0),0))),0)</f>
        <v>0</v>
      </c>
      <c r="AP41">
        <f>IF((gamma!AP41),IF(VLOOKUP(AP$1,main!$A$3:$I$56,7,FALSE)=VLOOKUP($A41,main!$A$3:$I$56,8,FALSE),VLOOKUP(AP$1,main!$A$3:$I$56,4,FALSE),VLOOKUP(AP$1,main!$A$3:$I$56,4,FALSE)+VLOOKUP($A41,main!$A$3:$I$56,4,FALSE)+(VLOOKUP(VLOOKUP(AP$1,main!$A$3:$I$56,8,FALSE),main!$K$19:$O$22,MATCH(VLOOKUP($A41,main!$A$3:$I$56,7,FALSE),main!$K$18:$O$18,0),0))),0)</f>
        <v>0</v>
      </c>
      <c r="AQ41">
        <f>IF((gamma!AQ41),IF(VLOOKUP(AQ$1,main!$A$3:$I$56,7,FALSE)=VLOOKUP($A41,main!$A$3:$I$56,8,FALSE),VLOOKUP(AQ$1,main!$A$3:$I$56,4,FALSE),VLOOKUP(AQ$1,main!$A$3:$I$56,4,FALSE)+VLOOKUP($A41,main!$A$3:$I$56,4,FALSE)+(VLOOKUP(VLOOKUP(AQ$1,main!$A$3:$I$56,8,FALSE),main!$K$19:$O$22,MATCH(VLOOKUP($A41,main!$A$3:$I$56,7,FALSE),main!$K$18:$O$18,0),0))),0)</f>
        <v>0</v>
      </c>
      <c r="AR41">
        <f>IF((gamma!AR41),IF(VLOOKUP(AR$1,main!$A$3:$I$56,7,FALSE)=VLOOKUP($A41,main!$A$3:$I$56,8,FALSE),VLOOKUP(AR$1,main!$A$3:$I$56,4,FALSE),VLOOKUP(AR$1,main!$A$3:$I$56,4,FALSE)+VLOOKUP($A41,main!$A$3:$I$56,4,FALSE)+(VLOOKUP(VLOOKUP(AR$1,main!$A$3:$I$56,8,FALSE),main!$K$19:$O$22,MATCH(VLOOKUP($A41,main!$A$3:$I$56,7,FALSE),main!$K$18:$O$18,0),0))),0)</f>
        <v>0</v>
      </c>
      <c r="AS41">
        <f>IF((gamma!AS41),IF(VLOOKUP(AS$1,main!$A$3:$I$56,7,FALSE)=VLOOKUP($A41,main!$A$3:$I$56,8,FALSE),VLOOKUP(AS$1,main!$A$3:$I$56,4,FALSE),VLOOKUP(AS$1,main!$A$3:$I$56,4,FALSE)+VLOOKUP($A41,main!$A$3:$I$56,4,FALSE)+(VLOOKUP(VLOOKUP(AS$1,main!$A$3:$I$56,8,FALSE),main!$K$19:$O$22,MATCH(VLOOKUP($A41,main!$A$3:$I$56,7,FALSE),main!$K$18:$O$18,0),0))),0)</f>
        <v>0</v>
      </c>
      <c r="AT41">
        <f>IF((gamma!AT41),IF(VLOOKUP(AT$1,main!$A$3:$I$56,7,FALSE)=VLOOKUP($A41,main!$A$3:$I$56,8,FALSE),VLOOKUP(AT$1,main!$A$3:$I$56,4,FALSE),VLOOKUP(AT$1,main!$A$3:$I$56,4,FALSE)+VLOOKUP($A41,main!$A$3:$I$56,4,FALSE)+(VLOOKUP(VLOOKUP(AT$1,main!$A$3:$I$56,8,FALSE),main!$K$19:$O$22,MATCH(VLOOKUP($A41,main!$A$3:$I$56,7,FALSE),main!$K$18:$O$18,0),0))),0)</f>
        <v>0</v>
      </c>
      <c r="AU41">
        <f>IF((gamma!AU41),IF(VLOOKUP(AU$1,main!$A$3:$I$56,7,FALSE)=VLOOKUP($A41,main!$A$3:$I$56,8,FALSE),VLOOKUP(AU$1,main!$A$3:$I$56,4,FALSE),VLOOKUP(AU$1,main!$A$3:$I$56,4,FALSE)+VLOOKUP($A41,main!$A$3:$I$56,4,FALSE)+(VLOOKUP(VLOOKUP(AU$1,main!$A$3:$I$56,8,FALSE),main!$K$19:$O$22,MATCH(VLOOKUP($A41,main!$A$3:$I$56,7,FALSE),main!$K$18:$O$18,0),0))),0)</f>
        <v>0</v>
      </c>
      <c r="AV41">
        <f>IF((gamma!AV41),IF(VLOOKUP(AV$1,main!$A$3:$I$56,7,FALSE)=VLOOKUP($A41,main!$A$3:$I$56,8,FALSE),VLOOKUP(AV$1,main!$A$3:$I$56,4,FALSE),VLOOKUP(AV$1,main!$A$3:$I$56,4,FALSE)+VLOOKUP($A41,main!$A$3:$I$56,4,FALSE)+(VLOOKUP(VLOOKUP(AV$1,main!$A$3:$I$56,8,FALSE),main!$K$19:$O$22,MATCH(VLOOKUP($A41,main!$A$3:$I$56,7,FALSE),main!$K$18:$O$18,0),0))),0)</f>
        <v>0</v>
      </c>
      <c r="AW41">
        <f>IF((gamma!AW41),IF(VLOOKUP(AW$1,main!$A$3:$I$56,7,FALSE)=VLOOKUP($A41,main!$A$3:$I$56,8,FALSE),VLOOKUP(AW$1,main!$A$3:$I$56,4,FALSE),VLOOKUP(AW$1,main!$A$3:$I$56,4,FALSE)+VLOOKUP($A41,main!$A$3:$I$56,4,FALSE)+(VLOOKUP(VLOOKUP(AW$1,main!$A$3:$I$56,8,FALSE),main!$K$19:$O$22,MATCH(VLOOKUP($A41,main!$A$3:$I$56,7,FALSE),main!$K$18:$O$18,0),0))),0)</f>
        <v>0</v>
      </c>
      <c r="AX41">
        <f>IF((gamma!AX41),IF(VLOOKUP(AX$1,main!$A$3:$I$56,7,FALSE)=VLOOKUP($A41,main!$A$3:$I$56,8,FALSE),VLOOKUP(AX$1,main!$A$3:$I$56,4,FALSE),VLOOKUP(AX$1,main!$A$3:$I$56,4,FALSE)+VLOOKUP($A41,main!$A$3:$I$56,4,FALSE)+(VLOOKUP(VLOOKUP(AX$1,main!$A$3:$I$56,8,FALSE),main!$K$19:$O$22,MATCH(VLOOKUP($A41,main!$A$3:$I$56,7,FALSE),main!$K$18:$O$18,0),0))),0)</f>
        <v>0</v>
      </c>
      <c r="AY41">
        <f>IF((gamma!AY41),IF(VLOOKUP(AY$1,main!$A$3:$I$56,7,FALSE)=VLOOKUP($A41,main!$A$3:$I$56,8,FALSE),VLOOKUP(AY$1,main!$A$3:$I$56,4,FALSE),VLOOKUP(AY$1,main!$A$3:$I$56,4,FALSE)+VLOOKUP($A41,main!$A$3:$I$56,4,FALSE)+(VLOOKUP(VLOOKUP(AY$1,main!$A$3:$I$56,8,FALSE),main!$K$19:$O$22,MATCH(VLOOKUP($A41,main!$A$3:$I$56,7,FALSE),main!$K$18:$O$18,0),0))),0)</f>
        <v>300</v>
      </c>
      <c r="AZ41">
        <f>IF((gamma!AZ41),IF(VLOOKUP(AZ$1,main!$A$3:$I$56,7,FALSE)=VLOOKUP($A41,main!$A$3:$I$56,8,FALSE),VLOOKUP(AZ$1,main!$A$3:$I$56,4,FALSE),VLOOKUP(AZ$1,main!$A$3:$I$56,4,FALSE)+VLOOKUP($A41,main!$A$3:$I$56,4,FALSE)+(VLOOKUP(VLOOKUP(AZ$1,main!$A$3:$I$56,8,FALSE),main!$K$19:$O$22,MATCH(VLOOKUP($A41,main!$A$3:$I$56,7,FALSE),main!$K$18:$O$18,0),0))),0)</f>
        <v>0</v>
      </c>
      <c r="BA41">
        <f>IF((gamma!BA41),IF(VLOOKUP(BA$1,main!$A$3:$I$56,7,FALSE)=VLOOKUP($A41,main!$A$3:$I$56,8,FALSE),VLOOKUP(BA$1,main!$A$3:$I$56,4,FALSE),VLOOKUP(BA$1,main!$A$3:$I$56,4,FALSE)+VLOOKUP($A41,main!$A$3:$I$56,4,FALSE)+(VLOOKUP(VLOOKUP(BA$1,main!$A$3:$I$56,8,FALSE),main!$K$19:$O$22,MATCH(VLOOKUP($A41,main!$A$3:$I$56,7,FALSE),main!$K$18:$O$18,0),0))),0)</f>
        <v>0</v>
      </c>
      <c r="BB41">
        <f>IF((gamma!BB41),IF(VLOOKUP(BB$1,main!$A$3:$I$56,7,FALSE)=VLOOKUP($A41,main!$A$3:$I$56,8,FALSE),VLOOKUP(BB$1,main!$A$3:$I$56,4,FALSE),VLOOKUP(BB$1,main!$A$3:$I$56,4,FALSE)+VLOOKUP($A41,main!$A$3:$I$56,4,FALSE)+(VLOOKUP(VLOOKUP(BB$1,main!$A$3:$I$56,8,FALSE),main!$K$19:$O$22,MATCH(VLOOKUP($A41,main!$A$3:$I$56,7,FALSE),main!$K$18:$O$18,0),0))),0)</f>
        <v>0</v>
      </c>
      <c r="BC41">
        <f>IF((gamma!BC41),IF(VLOOKUP(BC$1,main!$A$3:$I$56,7,FALSE)=VLOOKUP($A41,main!$A$3:$I$56,8,FALSE),VLOOKUP(BC$1,main!$A$3:$I$56,4,FALSE),VLOOKUP(BC$1,main!$A$3:$I$56,4,FALSE)+VLOOKUP($A41,main!$A$3:$I$56,4,FALSE)+(VLOOKUP(VLOOKUP(BC$1,main!$A$3:$I$56,8,FALSE),main!$K$19:$O$22,MATCH(VLOOKUP($A41,main!$A$3:$I$56,7,FALSE),main!$K$18:$O$18,0),0))),0)</f>
        <v>0</v>
      </c>
      <c r="BD41">
        <f>IF((gamma!BD41),IF(VLOOKUP(BD$1,main!$A$3:$I$56,7,FALSE)=VLOOKUP($A41,main!$A$3:$I$56,8,FALSE),VLOOKUP(BD$1,main!$A$3:$I$56,4,FALSE),VLOOKUP(BD$1,main!$A$3:$I$56,4,FALSE)+VLOOKUP($A41,main!$A$3:$I$56,4,FALSE)+(VLOOKUP(VLOOKUP(BD$1,main!$A$3:$I$56,8,FALSE),main!$K$19:$O$22,MATCH(VLOOKUP($A41,main!$A$3:$I$56,7,FALSE),main!$K$18:$O$18,0),0))),0)</f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5">
      <c r="A42">
        <f t="shared" si="0"/>
        <v>40</v>
      </c>
      <c r="B42">
        <v>0</v>
      </c>
      <c r="C42">
        <f>IF((gamma!C42),IF(VLOOKUP(C$1,main!$A$3:$I$56,7,FALSE)=VLOOKUP($A42,main!$A$3:$I$56,8,FALSE),VLOOKUP(C$1,main!$A$3:$I$56,4,FALSE),VLOOKUP(C$1,main!$A$3:$I$56,4,FALSE)+VLOOKUP($A42,main!$A$3:$I$56,4,FALSE)+(VLOOKUP(VLOOKUP(C$1,main!$A$3:$I$56,8,FALSE),main!$K$19:$O$22,MATCH(VLOOKUP($A42,main!$A$3:$I$56,7,FALSE),main!$K$18:$O$18,0),0))),0)</f>
        <v>0</v>
      </c>
      <c r="D42">
        <f>IF((gamma!D42),IF(VLOOKUP(D$1,main!$A$3:$I$56,7,FALSE)=VLOOKUP($A42,main!$A$3:$I$56,8,FALSE),VLOOKUP(D$1,main!$A$3:$I$56,4,FALSE),VLOOKUP(D$1,main!$A$3:$I$56,4,FALSE)+VLOOKUP($A42,main!$A$3:$I$56,4,FALSE)+(VLOOKUP(VLOOKUP(D$1,main!$A$3:$I$56,8,FALSE),main!$K$19:$O$22,MATCH(VLOOKUP($A42,main!$A$3:$I$56,7,FALSE),main!$K$18:$O$18,0),0))),0)</f>
        <v>303</v>
      </c>
      <c r="E42">
        <f>IF((gamma!E42),IF(VLOOKUP(E$1,main!$A$3:$I$56,7,FALSE)=VLOOKUP($A42,main!$A$3:$I$56,8,FALSE),VLOOKUP(E$1,main!$A$3:$I$56,4,FALSE),VLOOKUP(E$1,main!$A$3:$I$56,4,FALSE)+VLOOKUP($A42,main!$A$3:$I$56,4,FALSE)+(VLOOKUP(VLOOKUP(E$1,main!$A$3:$I$56,8,FALSE),main!$K$19:$O$22,MATCH(VLOOKUP($A42,main!$A$3:$I$56,7,FALSE),main!$K$18:$O$18,0),0))),0)</f>
        <v>303</v>
      </c>
      <c r="F42">
        <f>IF((gamma!F42),IF(VLOOKUP(F$1,main!$A$3:$I$56,7,FALSE)=VLOOKUP($A42,main!$A$3:$I$56,8,FALSE),VLOOKUP(F$1,main!$A$3:$I$56,4,FALSE),VLOOKUP(F$1,main!$A$3:$I$56,4,FALSE)+VLOOKUP($A42,main!$A$3:$I$56,4,FALSE)+(VLOOKUP(VLOOKUP(F$1,main!$A$3:$I$56,8,FALSE),main!$K$19:$O$22,MATCH(VLOOKUP($A42,main!$A$3:$I$56,7,FALSE),main!$K$18:$O$18,0),0))),0)</f>
        <v>303</v>
      </c>
      <c r="G42">
        <f>IF((gamma!G42),IF(VLOOKUP(G$1,main!$A$3:$I$56,7,FALSE)=VLOOKUP($A42,main!$A$3:$I$56,8,FALSE),VLOOKUP(G$1,main!$A$3:$I$56,4,FALSE),VLOOKUP(G$1,main!$A$3:$I$56,4,FALSE)+VLOOKUP($A42,main!$A$3:$I$56,4,FALSE)+(VLOOKUP(VLOOKUP(G$1,main!$A$3:$I$56,8,FALSE),main!$K$19:$O$22,MATCH(VLOOKUP($A42,main!$A$3:$I$56,7,FALSE),main!$K$18:$O$18,0),0))),0)</f>
        <v>303</v>
      </c>
      <c r="H42">
        <f>IF((gamma!H42),IF(VLOOKUP(H$1,main!$A$3:$I$56,7,FALSE)=VLOOKUP($A42,main!$A$3:$I$56,8,FALSE),VLOOKUP(H$1,main!$A$3:$I$56,4,FALSE),VLOOKUP(H$1,main!$A$3:$I$56,4,FALSE)+VLOOKUP($A42,main!$A$3:$I$56,4,FALSE)+(VLOOKUP(VLOOKUP(H$1,main!$A$3:$I$56,8,FALSE),main!$K$19:$O$22,MATCH(VLOOKUP($A42,main!$A$3:$I$56,7,FALSE),main!$K$18:$O$18,0),0))),0)</f>
        <v>303</v>
      </c>
      <c r="I42">
        <f>IF((gamma!I42),IF(VLOOKUP(I$1,main!$A$3:$I$56,7,FALSE)=VLOOKUP($A42,main!$A$3:$I$56,8,FALSE),VLOOKUP(I$1,main!$A$3:$I$56,4,FALSE),VLOOKUP(I$1,main!$A$3:$I$56,4,FALSE)+VLOOKUP($A42,main!$A$3:$I$56,4,FALSE)+(VLOOKUP(VLOOKUP(I$1,main!$A$3:$I$56,8,FALSE),main!$K$19:$O$22,MATCH(VLOOKUP($A42,main!$A$3:$I$56,7,FALSE),main!$K$18:$O$18,0),0))),0)</f>
        <v>303</v>
      </c>
      <c r="J42">
        <f>IF((gamma!J42),IF(VLOOKUP(J$1,main!$A$3:$I$56,7,FALSE)=VLOOKUP($A42,main!$A$3:$I$56,8,FALSE),VLOOKUP(J$1,main!$A$3:$I$56,4,FALSE),VLOOKUP(J$1,main!$A$3:$I$56,4,FALSE)+VLOOKUP($A42,main!$A$3:$I$56,4,FALSE)+(VLOOKUP(VLOOKUP(J$1,main!$A$3:$I$56,8,FALSE),main!$K$19:$O$22,MATCH(VLOOKUP($A42,main!$A$3:$I$56,7,FALSE),main!$K$18:$O$18,0),0))),0)</f>
        <v>303</v>
      </c>
      <c r="K42">
        <f>IF((gamma!K42),IF(VLOOKUP(K$1,main!$A$3:$I$56,7,FALSE)=VLOOKUP($A42,main!$A$3:$I$56,8,FALSE),VLOOKUP(K$1,main!$A$3:$I$56,4,FALSE),VLOOKUP(K$1,main!$A$3:$I$56,4,FALSE)+VLOOKUP($A42,main!$A$3:$I$56,4,FALSE)+(VLOOKUP(VLOOKUP(K$1,main!$A$3:$I$56,8,FALSE),main!$K$19:$O$22,MATCH(VLOOKUP($A42,main!$A$3:$I$56,7,FALSE),main!$K$18:$O$18,0),0))),0)</f>
        <v>0</v>
      </c>
      <c r="L42">
        <f>IF((gamma!L42),IF(VLOOKUP(L$1,main!$A$3:$I$56,7,FALSE)=VLOOKUP($A42,main!$A$3:$I$56,8,FALSE),VLOOKUP(L$1,main!$A$3:$I$56,4,FALSE),VLOOKUP(L$1,main!$A$3:$I$56,4,FALSE)+VLOOKUP($A42,main!$A$3:$I$56,4,FALSE)+(VLOOKUP(VLOOKUP(L$1,main!$A$3:$I$56,8,FALSE),main!$K$19:$O$22,MATCH(VLOOKUP($A42,main!$A$3:$I$56,7,FALSE),main!$K$18:$O$18,0),0))),0)</f>
        <v>280</v>
      </c>
      <c r="M42">
        <f>IF((gamma!M42),IF(VLOOKUP(M$1,main!$A$3:$I$56,7,FALSE)=VLOOKUP($A42,main!$A$3:$I$56,8,FALSE),VLOOKUP(M$1,main!$A$3:$I$56,4,FALSE),VLOOKUP(M$1,main!$A$3:$I$56,4,FALSE)+VLOOKUP($A42,main!$A$3:$I$56,4,FALSE)+(VLOOKUP(VLOOKUP(M$1,main!$A$3:$I$56,8,FALSE),main!$K$19:$O$22,MATCH(VLOOKUP($A42,main!$A$3:$I$56,7,FALSE),main!$K$18:$O$18,0),0))),0)</f>
        <v>280</v>
      </c>
      <c r="N42">
        <f>IF((gamma!N42),IF(VLOOKUP(N$1,main!$A$3:$I$56,7,FALSE)=VLOOKUP($A42,main!$A$3:$I$56,8,FALSE),VLOOKUP(N$1,main!$A$3:$I$56,4,FALSE),VLOOKUP(N$1,main!$A$3:$I$56,4,FALSE)+VLOOKUP($A42,main!$A$3:$I$56,4,FALSE)+(VLOOKUP(VLOOKUP(N$1,main!$A$3:$I$56,8,FALSE),main!$K$19:$O$22,MATCH(VLOOKUP($A42,main!$A$3:$I$56,7,FALSE),main!$K$18:$O$18,0),0))),0)</f>
        <v>280</v>
      </c>
      <c r="O42">
        <f>IF((gamma!O42),IF(VLOOKUP(O$1,main!$A$3:$I$56,7,FALSE)=VLOOKUP($A42,main!$A$3:$I$56,8,FALSE),VLOOKUP(O$1,main!$A$3:$I$56,4,FALSE),VLOOKUP(O$1,main!$A$3:$I$56,4,FALSE)+VLOOKUP($A42,main!$A$3:$I$56,4,FALSE)+(VLOOKUP(VLOOKUP(O$1,main!$A$3:$I$56,8,FALSE),main!$K$19:$O$22,MATCH(VLOOKUP($A42,main!$A$3:$I$56,7,FALSE),main!$K$18:$O$18,0),0))),0)</f>
        <v>280</v>
      </c>
      <c r="P42">
        <f>IF((gamma!P42),IF(VLOOKUP(P$1,main!$A$3:$I$56,7,FALSE)=VLOOKUP($A42,main!$A$3:$I$56,8,FALSE),VLOOKUP(P$1,main!$A$3:$I$56,4,FALSE),VLOOKUP(P$1,main!$A$3:$I$56,4,FALSE)+VLOOKUP($A42,main!$A$3:$I$56,4,FALSE)+(VLOOKUP(VLOOKUP(P$1,main!$A$3:$I$56,8,FALSE),main!$K$19:$O$22,MATCH(VLOOKUP($A42,main!$A$3:$I$56,7,FALSE),main!$K$18:$O$18,0),0))),0)</f>
        <v>0</v>
      </c>
      <c r="Q42">
        <f>IF((gamma!Q42),IF(VLOOKUP(Q$1,main!$A$3:$I$56,7,FALSE)=VLOOKUP($A42,main!$A$3:$I$56,8,FALSE),VLOOKUP(Q$1,main!$A$3:$I$56,4,FALSE),VLOOKUP(Q$1,main!$A$3:$I$56,4,FALSE)+VLOOKUP($A42,main!$A$3:$I$56,4,FALSE)+(VLOOKUP(VLOOKUP(Q$1,main!$A$3:$I$56,8,FALSE),main!$K$19:$O$22,MATCH(VLOOKUP($A42,main!$A$3:$I$56,7,FALSE),main!$K$18:$O$18,0),0))),0)</f>
        <v>0</v>
      </c>
      <c r="R42">
        <f>IF((gamma!R42),IF(VLOOKUP(R$1,main!$A$3:$I$56,7,FALSE)=VLOOKUP($A42,main!$A$3:$I$56,8,FALSE),VLOOKUP(R$1,main!$A$3:$I$56,4,FALSE),VLOOKUP(R$1,main!$A$3:$I$56,4,FALSE)+VLOOKUP($A42,main!$A$3:$I$56,4,FALSE)+(VLOOKUP(VLOOKUP(R$1,main!$A$3:$I$56,8,FALSE),main!$K$19:$O$22,MATCH(VLOOKUP($A42,main!$A$3:$I$56,7,FALSE),main!$K$18:$O$18,0),0))),0)</f>
        <v>308</v>
      </c>
      <c r="S42">
        <f>IF((gamma!S42),IF(VLOOKUP(S$1,main!$A$3:$I$56,7,FALSE)=VLOOKUP($A42,main!$A$3:$I$56,8,FALSE),VLOOKUP(S$1,main!$A$3:$I$56,4,FALSE),VLOOKUP(S$1,main!$A$3:$I$56,4,FALSE)+VLOOKUP($A42,main!$A$3:$I$56,4,FALSE)+(VLOOKUP(VLOOKUP(S$1,main!$A$3:$I$56,8,FALSE),main!$K$19:$O$22,MATCH(VLOOKUP($A42,main!$A$3:$I$56,7,FALSE),main!$K$18:$O$18,0),0))),0)</f>
        <v>313</v>
      </c>
      <c r="T42">
        <f>IF((gamma!T42),IF(VLOOKUP(T$1,main!$A$3:$I$56,7,FALSE)=VLOOKUP($A42,main!$A$3:$I$56,8,FALSE),VLOOKUP(T$1,main!$A$3:$I$56,4,FALSE),VLOOKUP(T$1,main!$A$3:$I$56,4,FALSE)+VLOOKUP($A42,main!$A$3:$I$56,4,FALSE)+(VLOOKUP(VLOOKUP(T$1,main!$A$3:$I$56,8,FALSE),main!$K$19:$O$22,MATCH(VLOOKUP($A42,main!$A$3:$I$56,7,FALSE),main!$K$18:$O$18,0),0))),0)</f>
        <v>313</v>
      </c>
      <c r="U42">
        <f>IF((gamma!U42),IF(VLOOKUP(U$1,main!$A$3:$I$56,7,FALSE)=VLOOKUP($A42,main!$A$3:$I$56,8,FALSE),VLOOKUP(U$1,main!$A$3:$I$56,4,FALSE),VLOOKUP(U$1,main!$A$3:$I$56,4,FALSE)+VLOOKUP($A42,main!$A$3:$I$56,4,FALSE)+(VLOOKUP(VLOOKUP(U$1,main!$A$3:$I$56,8,FALSE),main!$K$19:$O$22,MATCH(VLOOKUP($A42,main!$A$3:$I$56,7,FALSE),main!$K$18:$O$18,0),0))),0)</f>
        <v>0</v>
      </c>
      <c r="V42">
        <f>IF((gamma!V42),IF(VLOOKUP(V$1,main!$A$3:$I$56,7,FALSE)=VLOOKUP($A42,main!$A$3:$I$56,8,FALSE),VLOOKUP(V$1,main!$A$3:$I$56,4,FALSE),VLOOKUP(V$1,main!$A$3:$I$56,4,FALSE)+VLOOKUP($A42,main!$A$3:$I$56,4,FALSE)+(VLOOKUP(VLOOKUP(V$1,main!$A$3:$I$56,8,FALSE),main!$K$19:$O$22,MATCH(VLOOKUP($A42,main!$A$3:$I$56,7,FALSE),main!$K$18:$O$18,0),0))),0)</f>
        <v>0</v>
      </c>
      <c r="W42">
        <f>IF((gamma!W42),IF(VLOOKUP(W$1,main!$A$3:$I$56,7,FALSE)=VLOOKUP($A42,main!$A$3:$I$56,8,FALSE),VLOOKUP(W$1,main!$A$3:$I$56,4,FALSE),VLOOKUP(W$1,main!$A$3:$I$56,4,FALSE)+VLOOKUP($A42,main!$A$3:$I$56,4,FALSE)+(VLOOKUP(VLOOKUP(W$1,main!$A$3:$I$56,8,FALSE),main!$K$19:$O$22,MATCH(VLOOKUP($A42,main!$A$3:$I$56,7,FALSE),main!$K$18:$O$18,0),0))),0)</f>
        <v>305</v>
      </c>
      <c r="X42">
        <f>IF((gamma!X42),IF(VLOOKUP(X$1,main!$A$3:$I$56,7,FALSE)=VLOOKUP($A42,main!$A$3:$I$56,8,FALSE),VLOOKUP(X$1,main!$A$3:$I$56,4,FALSE),VLOOKUP(X$1,main!$A$3:$I$56,4,FALSE)+VLOOKUP($A42,main!$A$3:$I$56,4,FALSE)+(VLOOKUP(VLOOKUP(X$1,main!$A$3:$I$56,8,FALSE),main!$K$19:$O$22,MATCH(VLOOKUP($A42,main!$A$3:$I$56,7,FALSE),main!$K$18:$O$18,0),0))),0)</f>
        <v>305</v>
      </c>
      <c r="Y42">
        <f>IF((gamma!Y42),IF(VLOOKUP(Y$1,main!$A$3:$I$56,7,FALSE)=VLOOKUP($A42,main!$A$3:$I$56,8,FALSE),VLOOKUP(Y$1,main!$A$3:$I$56,4,FALSE),VLOOKUP(Y$1,main!$A$3:$I$56,4,FALSE)+VLOOKUP($A42,main!$A$3:$I$56,4,FALSE)+(VLOOKUP(VLOOKUP(Y$1,main!$A$3:$I$56,8,FALSE),main!$K$19:$O$22,MATCH(VLOOKUP($A42,main!$A$3:$I$56,7,FALSE),main!$K$18:$O$18,0),0))),0)</f>
        <v>305</v>
      </c>
      <c r="Z42">
        <f>IF((gamma!Z42),IF(VLOOKUP(Z$1,main!$A$3:$I$56,7,FALSE)=VLOOKUP($A42,main!$A$3:$I$56,8,FALSE),VLOOKUP(Z$1,main!$A$3:$I$56,4,FALSE),VLOOKUP(Z$1,main!$A$3:$I$56,4,FALSE)+VLOOKUP($A42,main!$A$3:$I$56,4,FALSE)+(VLOOKUP(VLOOKUP(Z$1,main!$A$3:$I$56,8,FALSE),main!$K$19:$O$22,MATCH(VLOOKUP($A42,main!$A$3:$I$56,7,FALSE),main!$K$18:$O$18,0),0))),0)</f>
        <v>305</v>
      </c>
      <c r="AA42">
        <f>IF((gamma!AA42),IF(VLOOKUP(AA$1,main!$A$3:$I$56,7,FALSE)=VLOOKUP($A42,main!$A$3:$I$56,8,FALSE),VLOOKUP(AA$1,main!$A$3:$I$56,4,FALSE),VLOOKUP(AA$1,main!$A$3:$I$56,4,FALSE)+VLOOKUP($A42,main!$A$3:$I$56,4,FALSE)+(VLOOKUP(VLOOKUP(AA$1,main!$A$3:$I$56,8,FALSE),main!$K$19:$O$22,MATCH(VLOOKUP($A42,main!$A$3:$I$56,7,FALSE),main!$K$18:$O$18,0),0))),0)</f>
        <v>305</v>
      </c>
      <c r="AB42">
        <f>IF((gamma!AB42),IF(VLOOKUP(AB$1,main!$A$3:$I$56,7,FALSE)=VLOOKUP($A42,main!$A$3:$I$56,8,FALSE),VLOOKUP(AB$1,main!$A$3:$I$56,4,FALSE),VLOOKUP(AB$1,main!$A$3:$I$56,4,FALSE)+VLOOKUP($A42,main!$A$3:$I$56,4,FALSE)+(VLOOKUP(VLOOKUP(AB$1,main!$A$3:$I$56,8,FALSE),main!$K$19:$O$22,MATCH(VLOOKUP($A42,main!$A$3:$I$56,7,FALSE),main!$K$18:$O$18,0),0))),0)</f>
        <v>305</v>
      </c>
      <c r="AC42">
        <f>IF((gamma!AC42),IF(VLOOKUP(AC$1,main!$A$3:$I$56,7,FALSE)=VLOOKUP($A42,main!$A$3:$I$56,8,FALSE),VLOOKUP(AC$1,main!$A$3:$I$56,4,FALSE),VLOOKUP(AC$1,main!$A$3:$I$56,4,FALSE)+VLOOKUP($A42,main!$A$3:$I$56,4,FALSE)+(VLOOKUP(VLOOKUP(AC$1,main!$A$3:$I$56,8,FALSE),main!$K$19:$O$22,MATCH(VLOOKUP($A42,main!$A$3:$I$56,7,FALSE),main!$K$18:$O$18,0),0))),0)</f>
        <v>0</v>
      </c>
      <c r="AD42">
        <f>IF((gamma!AD42),IF(VLOOKUP(AD$1,main!$A$3:$I$56,7,FALSE)=VLOOKUP($A42,main!$A$3:$I$56,8,FALSE),VLOOKUP(AD$1,main!$A$3:$I$56,4,FALSE),VLOOKUP(AD$1,main!$A$3:$I$56,4,FALSE)+VLOOKUP($A42,main!$A$3:$I$56,4,FALSE)+(VLOOKUP(VLOOKUP(AD$1,main!$A$3:$I$56,8,FALSE),main!$K$19:$O$22,MATCH(VLOOKUP($A42,main!$A$3:$I$56,7,FALSE),main!$K$18:$O$18,0),0))),0)</f>
        <v>0</v>
      </c>
      <c r="AE42">
        <f>IF((gamma!AE42),IF(VLOOKUP(AE$1,main!$A$3:$I$56,7,FALSE)=VLOOKUP($A42,main!$A$3:$I$56,8,FALSE),VLOOKUP(AE$1,main!$A$3:$I$56,4,FALSE),VLOOKUP(AE$1,main!$A$3:$I$56,4,FALSE)+VLOOKUP($A42,main!$A$3:$I$56,4,FALSE)+(VLOOKUP(VLOOKUP(AE$1,main!$A$3:$I$56,8,FALSE),main!$K$19:$O$22,MATCH(VLOOKUP($A42,main!$A$3:$I$56,7,FALSE),main!$K$18:$O$18,0),0))),0)</f>
        <v>260</v>
      </c>
      <c r="AF42">
        <f>IF((gamma!AF42),IF(VLOOKUP(AF$1,main!$A$3:$I$56,7,FALSE)=VLOOKUP($A42,main!$A$3:$I$56,8,FALSE),VLOOKUP(AF$1,main!$A$3:$I$56,4,FALSE),VLOOKUP(AF$1,main!$A$3:$I$56,4,FALSE)+VLOOKUP($A42,main!$A$3:$I$56,4,FALSE)+(VLOOKUP(VLOOKUP(AF$1,main!$A$3:$I$56,8,FALSE),main!$K$19:$O$22,MATCH(VLOOKUP($A42,main!$A$3:$I$56,7,FALSE),main!$K$18:$O$18,0),0))),0)</f>
        <v>270</v>
      </c>
      <c r="AG42">
        <f>IF((gamma!AG42),IF(VLOOKUP(AG$1,main!$A$3:$I$56,7,FALSE)=VLOOKUP($A42,main!$A$3:$I$56,8,FALSE),VLOOKUP(AG$1,main!$A$3:$I$56,4,FALSE),VLOOKUP(AG$1,main!$A$3:$I$56,4,FALSE)+VLOOKUP($A42,main!$A$3:$I$56,4,FALSE)+(VLOOKUP(VLOOKUP(AG$1,main!$A$3:$I$56,8,FALSE),main!$K$19:$O$22,MATCH(VLOOKUP($A42,main!$A$3:$I$56,7,FALSE),main!$K$18:$O$18,0),0))),0)</f>
        <v>0</v>
      </c>
      <c r="AH42">
        <f>IF((gamma!AH42),IF(VLOOKUP(AH$1,main!$A$3:$I$56,7,FALSE)=VLOOKUP($A42,main!$A$3:$I$56,8,FALSE),VLOOKUP(AH$1,main!$A$3:$I$56,4,FALSE),VLOOKUP(AH$1,main!$A$3:$I$56,4,FALSE)+VLOOKUP($A42,main!$A$3:$I$56,4,FALSE)+(VLOOKUP(VLOOKUP(AH$1,main!$A$3:$I$56,8,FALSE),main!$K$19:$O$22,MATCH(VLOOKUP($A42,main!$A$3:$I$56,7,FALSE),main!$K$18:$O$18,0),0))),0)</f>
        <v>310</v>
      </c>
      <c r="AI42">
        <f>IF((gamma!AI42),IF(VLOOKUP(AI$1,main!$A$3:$I$56,7,FALSE)=VLOOKUP($A42,main!$A$3:$I$56,8,FALSE),VLOOKUP(AI$1,main!$A$3:$I$56,4,FALSE),VLOOKUP(AI$1,main!$A$3:$I$56,4,FALSE)+VLOOKUP($A42,main!$A$3:$I$56,4,FALSE)+(VLOOKUP(VLOOKUP(AI$1,main!$A$3:$I$56,8,FALSE),main!$K$19:$O$22,MATCH(VLOOKUP($A42,main!$A$3:$I$56,7,FALSE),main!$K$18:$O$18,0),0))),0)</f>
        <v>310</v>
      </c>
      <c r="AJ42">
        <f>IF((gamma!AJ42),IF(VLOOKUP(AJ$1,main!$A$3:$I$56,7,FALSE)=VLOOKUP($A42,main!$A$3:$I$56,8,FALSE),VLOOKUP(AJ$1,main!$A$3:$I$56,4,FALSE),VLOOKUP(AJ$1,main!$A$3:$I$56,4,FALSE)+VLOOKUP($A42,main!$A$3:$I$56,4,FALSE)+(VLOOKUP(VLOOKUP(AJ$1,main!$A$3:$I$56,8,FALSE),main!$K$19:$O$22,MATCH(VLOOKUP($A42,main!$A$3:$I$56,7,FALSE),main!$K$18:$O$18,0),0))),0)</f>
        <v>310</v>
      </c>
      <c r="AK42">
        <f>IF((gamma!AK42),IF(VLOOKUP(AK$1,main!$A$3:$I$56,7,FALSE)=VLOOKUP($A42,main!$A$3:$I$56,8,FALSE),VLOOKUP(AK$1,main!$A$3:$I$56,4,FALSE),VLOOKUP(AK$1,main!$A$3:$I$56,4,FALSE)+VLOOKUP($A42,main!$A$3:$I$56,4,FALSE)+(VLOOKUP(VLOOKUP(AK$1,main!$A$3:$I$56,8,FALSE),main!$K$19:$O$22,MATCH(VLOOKUP($A42,main!$A$3:$I$56,7,FALSE),main!$K$18:$O$18,0),0))),0)</f>
        <v>310</v>
      </c>
      <c r="AL42">
        <f>IF((gamma!AL42),IF(VLOOKUP(AL$1,main!$A$3:$I$56,7,FALSE)=VLOOKUP($A42,main!$A$3:$I$56,8,FALSE),VLOOKUP(AL$1,main!$A$3:$I$56,4,FALSE),VLOOKUP(AL$1,main!$A$3:$I$56,4,FALSE)+VLOOKUP($A42,main!$A$3:$I$56,4,FALSE)+(VLOOKUP(VLOOKUP(AL$1,main!$A$3:$I$56,8,FALSE),main!$K$19:$O$22,MATCH(VLOOKUP($A42,main!$A$3:$I$56,7,FALSE),main!$K$18:$O$18,0),0))),0)</f>
        <v>0</v>
      </c>
      <c r="AM42">
        <f>IF((gamma!AM42),IF(VLOOKUP(AM$1,main!$A$3:$I$56,7,FALSE)=VLOOKUP($A42,main!$A$3:$I$56,8,FALSE),VLOOKUP(AM$1,main!$A$3:$I$56,4,FALSE),VLOOKUP(AM$1,main!$A$3:$I$56,4,FALSE)+VLOOKUP($A42,main!$A$3:$I$56,4,FALSE)+(VLOOKUP(VLOOKUP(AM$1,main!$A$3:$I$56,8,FALSE),main!$K$19:$O$22,MATCH(VLOOKUP($A42,main!$A$3:$I$56,7,FALSE),main!$K$18:$O$18,0),0))),0)</f>
        <v>308</v>
      </c>
      <c r="AN42">
        <f>IF((gamma!AN42),IF(VLOOKUP(AN$1,main!$A$3:$I$56,7,FALSE)=VLOOKUP($A42,main!$A$3:$I$56,8,FALSE),VLOOKUP(AN$1,main!$A$3:$I$56,4,FALSE),VLOOKUP(AN$1,main!$A$3:$I$56,4,FALSE)+VLOOKUP($A42,main!$A$3:$I$56,4,FALSE)+(VLOOKUP(VLOOKUP(AN$1,main!$A$3:$I$56,8,FALSE),main!$K$19:$O$22,MATCH(VLOOKUP($A42,main!$A$3:$I$56,7,FALSE),main!$K$18:$O$18,0),0))),0)</f>
        <v>288</v>
      </c>
      <c r="AO42">
        <f>IF((gamma!AO42),IF(VLOOKUP(AO$1,main!$A$3:$I$56,7,FALSE)=VLOOKUP($A42,main!$A$3:$I$56,8,FALSE),VLOOKUP(AO$1,main!$A$3:$I$56,4,FALSE),VLOOKUP(AO$1,main!$A$3:$I$56,4,FALSE)+VLOOKUP($A42,main!$A$3:$I$56,4,FALSE)+(VLOOKUP(VLOOKUP(AO$1,main!$A$3:$I$56,8,FALSE),main!$K$19:$O$22,MATCH(VLOOKUP($A42,main!$A$3:$I$56,7,FALSE),main!$K$18:$O$18,0),0))),0)</f>
        <v>298</v>
      </c>
      <c r="AP42">
        <f>IF((gamma!AP42),IF(VLOOKUP(AP$1,main!$A$3:$I$56,7,FALSE)=VLOOKUP($A42,main!$A$3:$I$56,8,FALSE),VLOOKUP(AP$1,main!$A$3:$I$56,4,FALSE),VLOOKUP(AP$1,main!$A$3:$I$56,4,FALSE)+VLOOKUP($A42,main!$A$3:$I$56,4,FALSE)+(VLOOKUP(VLOOKUP(AP$1,main!$A$3:$I$56,8,FALSE),main!$K$19:$O$22,MATCH(VLOOKUP($A42,main!$A$3:$I$56,7,FALSE),main!$K$18:$O$18,0),0))),0)</f>
        <v>0</v>
      </c>
      <c r="AQ42">
        <f>IF((gamma!AQ42),IF(VLOOKUP(AQ$1,main!$A$3:$I$56,7,FALSE)=VLOOKUP($A42,main!$A$3:$I$56,8,FALSE),VLOOKUP(AQ$1,main!$A$3:$I$56,4,FALSE),VLOOKUP(AQ$1,main!$A$3:$I$56,4,FALSE)+VLOOKUP($A42,main!$A$3:$I$56,4,FALSE)+(VLOOKUP(VLOOKUP(AQ$1,main!$A$3:$I$56,8,FALSE),main!$K$19:$O$22,MATCH(VLOOKUP($A42,main!$A$3:$I$56,7,FALSE),main!$K$18:$O$18,0),0))),0)</f>
        <v>0</v>
      </c>
      <c r="AR42">
        <f>IF((gamma!AR42),IF(VLOOKUP(AR$1,main!$A$3:$I$56,7,FALSE)=VLOOKUP($A42,main!$A$3:$I$56,8,FALSE),VLOOKUP(AR$1,main!$A$3:$I$56,4,FALSE),VLOOKUP(AR$1,main!$A$3:$I$56,4,FALSE)+VLOOKUP($A42,main!$A$3:$I$56,4,FALSE)+(VLOOKUP(VLOOKUP(AR$1,main!$A$3:$I$56,8,FALSE),main!$K$19:$O$22,MATCH(VLOOKUP($A42,main!$A$3:$I$56,7,FALSE),main!$K$18:$O$18,0),0))),0)</f>
        <v>0</v>
      </c>
      <c r="AS42">
        <f>IF((gamma!AS42),IF(VLOOKUP(AS$1,main!$A$3:$I$56,7,FALSE)=VLOOKUP($A42,main!$A$3:$I$56,8,FALSE),VLOOKUP(AS$1,main!$A$3:$I$56,4,FALSE),VLOOKUP(AS$1,main!$A$3:$I$56,4,FALSE)+VLOOKUP($A42,main!$A$3:$I$56,4,FALSE)+(VLOOKUP(VLOOKUP(AS$1,main!$A$3:$I$56,8,FALSE),main!$K$19:$O$22,MATCH(VLOOKUP($A42,main!$A$3:$I$56,7,FALSE),main!$K$18:$O$18,0),0))),0)</f>
        <v>308</v>
      </c>
      <c r="AT42">
        <f>IF((gamma!AT42),IF(VLOOKUP(AT$1,main!$A$3:$I$56,7,FALSE)=VLOOKUP($A42,main!$A$3:$I$56,8,FALSE),VLOOKUP(AT$1,main!$A$3:$I$56,4,FALSE),VLOOKUP(AT$1,main!$A$3:$I$56,4,FALSE)+VLOOKUP($A42,main!$A$3:$I$56,4,FALSE)+(VLOOKUP(VLOOKUP(AT$1,main!$A$3:$I$56,8,FALSE),main!$K$19:$O$22,MATCH(VLOOKUP($A42,main!$A$3:$I$56,7,FALSE),main!$K$18:$O$18,0),0))),0)</f>
        <v>293</v>
      </c>
      <c r="AU42">
        <f>IF((gamma!AU42),IF(VLOOKUP(AU$1,main!$A$3:$I$56,7,FALSE)=VLOOKUP($A42,main!$A$3:$I$56,8,FALSE),VLOOKUP(AU$1,main!$A$3:$I$56,4,FALSE),VLOOKUP(AU$1,main!$A$3:$I$56,4,FALSE)+VLOOKUP($A42,main!$A$3:$I$56,4,FALSE)+(VLOOKUP(VLOOKUP(AU$1,main!$A$3:$I$56,8,FALSE),main!$K$19:$O$22,MATCH(VLOOKUP($A42,main!$A$3:$I$56,7,FALSE),main!$K$18:$O$18,0),0))),0)</f>
        <v>140</v>
      </c>
      <c r="AV42">
        <f>IF((gamma!AV42),IF(VLOOKUP(AV$1,main!$A$3:$I$56,7,FALSE)=VLOOKUP($A42,main!$A$3:$I$56,8,FALSE),VLOOKUP(AV$1,main!$A$3:$I$56,4,FALSE),VLOOKUP(AV$1,main!$A$3:$I$56,4,FALSE)+VLOOKUP($A42,main!$A$3:$I$56,4,FALSE)+(VLOOKUP(VLOOKUP(AV$1,main!$A$3:$I$56,8,FALSE),main!$K$19:$O$22,MATCH(VLOOKUP($A42,main!$A$3:$I$56,7,FALSE),main!$K$18:$O$18,0),0))),0)</f>
        <v>135</v>
      </c>
      <c r="AW42">
        <f>IF((gamma!AW42),IF(VLOOKUP(AW$1,main!$A$3:$I$56,7,FALSE)=VLOOKUP($A42,main!$A$3:$I$56,8,FALSE),VLOOKUP(AW$1,main!$A$3:$I$56,4,FALSE),VLOOKUP(AW$1,main!$A$3:$I$56,4,FALSE)+VLOOKUP($A42,main!$A$3:$I$56,4,FALSE)+(VLOOKUP(VLOOKUP(AW$1,main!$A$3:$I$56,8,FALSE),main!$K$19:$O$22,MATCH(VLOOKUP($A42,main!$A$3:$I$56,7,FALSE),main!$K$18:$O$18,0),0))),0)</f>
        <v>140</v>
      </c>
      <c r="AX42">
        <f>IF((gamma!AX42),IF(VLOOKUP(AX$1,main!$A$3:$I$56,7,FALSE)=VLOOKUP($A42,main!$A$3:$I$56,8,FALSE),VLOOKUP(AX$1,main!$A$3:$I$56,4,FALSE),VLOOKUP(AX$1,main!$A$3:$I$56,4,FALSE)+VLOOKUP($A42,main!$A$3:$I$56,4,FALSE)+(VLOOKUP(VLOOKUP(AX$1,main!$A$3:$I$56,8,FALSE),main!$K$19:$O$22,MATCH(VLOOKUP($A42,main!$A$3:$I$56,7,FALSE),main!$K$18:$O$18,0),0))),0)</f>
        <v>140</v>
      </c>
      <c r="AY42">
        <f>IF((gamma!AY42),IF(VLOOKUP(AY$1,main!$A$3:$I$56,7,FALSE)=VLOOKUP($A42,main!$A$3:$I$56,8,FALSE),VLOOKUP(AY$1,main!$A$3:$I$56,4,FALSE),VLOOKUP(AY$1,main!$A$3:$I$56,4,FALSE)+VLOOKUP($A42,main!$A$3:$I$56,4,FALSE)+(VLOOKUP(VLOOKUP(AY$1,main!$A$3:$I$56,8,FALSE),main!$K$19:$O$22,MATCH(VLOOKUP($A42,main!$A$3:$I$56,7,FALSE),main!$K$18:$O$18,0),0))),0)</f>
        <v>140</v>
      </c>
      <c r="AZ42">
        <f>IF((gamma!AZ42),IF(VLOOKUP(AZ$1,main!$A$3:$I$56,7,FALSE)=VLOOKUP($A42,main!$A$3:$I$56,8,FALSE),VLOOKUP(AZ$1,main!$A$3:$I$56,4,FALSE),VLOOKUP(AZ$1,main!$A$3:$I$56,4,FALSE)+VLOOKUP($A42,main!$A$3:$I$56,4,FALSE)+(VLOOKUP(VLOOKUP(AZ$1,main!$A$3:$I$56,8,FALSE),main!$K$19:$O$22,MATCH(VLOOKUP($A42,main!$A$3:$I$56,7,FALSE),main!$K$18:$O$18,0),0))),0)</f>
        <v>140</v>
      </c>
      <c r="BA42">
        <f>IF((gamma!BA42),IF(VLOOKUP(BA$1,main!$A$3:$I$56,7,FALSE)=VLOOKUP($A42,main!$A$3:$I$56,8,FALSE),VLOOKUP(BA$1,main!$A$3:$I$56,4,FALSE),VLOOKUP(BA$1,main!$A$3:$I$56,4,FALSE)+VLOOKUP($A42,main!$A$3:$I$56,4,FALSE)+(VLOOKUP(VLOOKUP(BA$1,main!$A$3:$I$56,8,FALSE),main!$K$19:$O$22,MATCH(VLOOKUP($A42,main!$A$3:$I$56,7,FALSE),main!$K$18:$O$18,0),0))),0)</f>
        <v>120</v>
      </c>
      <c r="BB42">
        <f>IF((gamma!BB42),IF(VLOOKUP(BB$1,main!$A$3:$I$56,7,FALSE)=VLOOKUP($A42,main!$A$3:$I$56,8,FALSE),VLOOKUP(BB$1,main!$A$3:$I$56,4,FALSE),VLOOKUP(BB$1,main!$A$3:$I$56,4,FALSE)+VLOOKUP($A42,main!$A$3:$I$56,4,FALSE)+(VLOOKUP(VLOOKUP(BB$1,main!$A$3:$I$56,8,FALSE),main!$K$19:$O$22,MATCH(VLOOKUP($A42,main!$A$3:$I$56,7,FALSE),main!$K$18:$O$18,0),0))),0)</f>
        <v>120</v>
      </c>
      <c r="BC42">
        <f>IF((gamma!BC42),IF(VLOOKUP(BC$1,main!$A$3:$I$56,7,FALSE)=VLOOKUP($A42,main!$A$3:$I$56,8,FALSE),VLOOKUP(BC$1,main!$A$3:$I$56,4,FALSE),VLOOKUP(BC$1,main!$A$3:$I$56,4,FALSE)+VLOOKUP($A42,main!$A$3:$I$56,4,FALSE)+(VLOOKUP(VLOOKUP(BC$1,main!$A$3:$I$56,8,FALSE),main!$K$19:$O$22,MATCH(VLOOKUP($A42,main!$A$3:$I$56,7,FALSE),main!$K$18:$O$18,0),0))),0)</f>
        <v>135</v>
      </c>
      <c r="BD42">
        <f>IF((gamma!BD42),IF(VLOOKUP(BD$1,main!$A$3:$I$56,7,FALSE)=VLOOKUP($A42,main!$A$3:$I$56,8,FALSE),VLOOKUP(BD$1,main!$A$3:$I$56,4,FALSE),VLOOKUP(BD$1,main!$A$3:$I$56,4,FALSE)+VLOOKUP($A42,main!$A$3:$I$56,4,FALSE)+(VLOOKUP(VLOOKUP(BD$1,main!$A$3:$I$56,8,FALSE),main!$K$19:$O$22,MATCH(VLOOKUP($A42,main!$A$3:$I$56,7,FALSE),main!$K$18:$O$18,0),0))),0)</f>
        <v>135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>
        <f t="shared" si="0"/>
        <v>41</v>
      </c>
      <c r="B43">
        <v>0</v>
      </c>
      <c r="C43">
        <f>IF((gamma!C43),IF(VLOOKUP(C$1,main!$A$3:$I$56,7,FALSE)=VLOOKUP($A43,main!$A$3:$I$56,8,FALSE),VLOOKUP(C$1,main!$A$3:$I$56,4,FALSE),VLOOKUP(C$1,main!$A$3:$I$56,4,FALSE)+VLOOKUP($A43,main!$A$3:$I$56,4,FALSE)+(VLOOKUP(VLOOKUP(C$1,main!$A$3:$I$56,8,FALSE),main!$K$19:$O$22,MATCH(VLOOKUP($A43,main!$A$3:$I$56,7,FALSE),main!$K$18:$O$18,0),0))),0)</f>
        <v>0</v>
      </c>
      <c r="D43">
        <f>IF((gamma!D43),IF(VLOOKUP(D$1,main!$A$3:$I$56,7,FALSE)=VLOOKUP($A43,main!$A$3:$I$56,8,FALSE),VLOOKUP(D$1,main!$A$3:$I$56,4,FALSE),VLOOKUP(D$1,main!$A$3:$I$56,4,FALSE)+VLOOKUP($A43,main!$A$3:$I$56,4,FALSE)+(VLOOKUP(VLOOKUP(D$1,main!$A$3:$I$56,8,FALSE),main!$K$19:$O$22,MATCH(VLOOKUP($A43,main!$A$3:$I$56,7,FALSE),main!$K$18:$O$18,0),0))),0)</f>
        <v>298</v>
      </c>
      <c r="E43">
        <f>IF((gamma!E43),IF(VLOOKUP(E$1,main!$A$3:$I$56,7,FALSE)=VLOOKUP($A43,main!$A$3:$I$56,8,FALSE),VLOOKUP(E$1,main!$A$3:$I$56,4,FALSE),VLOOKUP(E$1,main!$A$3:$I$56,4,FALSE)+VLOOKUP($A43,main!$A$3:$I$56,4,FALSE)+(VLOOKUP(VLOOKUP(E$1,main!$A$3:$I$56,8,FALSE),main!$K$19:$O$22,MATCH(VLOOKUP($A43,main!$A$3:$I$56,7,FALSE),main!$K$18:$O$18,0),0))),0)</f>
        <v>298</v>
      </c>
      <c r="F43">
        <f>IF((gamma!F43),IF(VLOOKUP(F$1,main!$A$3:$I$56,7,FALSE)=VLOOKUP($A43,main!$A$3:$I$56,8,FALSE),VLOOKUP(F$1,main!$A$3:$I$56,4,FALSE),VLOOKUP(F$1,main!$A$3:$I$56,4,FALSE)+VLOOKUP($A43,main!$A$3:$I$56,4,FALSE)+(VLOOKUP(VLOOKUP(F$1,main!$A$3:$I$56,8,FALSE),main!$K$19:$O$22,MATCH(VLOOKUP($A43,main!$A$3:$I$56,7,FALSE),main!$K$18:$O$18,0),0))),0)</f>
        <v>298</v>
      </c>
      <c r="G43">
        <f>IF((gamma!G43),IF(VLOOKUP(G$1,main!$A$3:$I$56,7,FALSE)=VLOOKUP($A43,main!$A$3:$I$56,8,FALSE),VLOOKUP(G$1,main!$A$3:$I$56,4,FALSE),VLOOKUP(G$1,main!$A$3:$I$56,4,FALSE)+VLOOKUP($A43,main!$A$3:$I$56,4,FALSE)+(VLOOKUP(VLOOKUP(G$1,main!$A$3:$I$56,8,FALSE),main!$K$19:$O$22,MATCH(VLOOKUP($A43,main!$A$3:$I$56,7,FALSE),main!$K$18:$O$18,0),0))),0)</f>
        <v>298</v>
      </c>
      <c r="H43">
        <f>IF((gamma!H43),IF(VLOOKUP(H$1,main!$A$3:$I$56,7,FALSE)=VLOOKUP($A43,main!$A$3:$I$56,8,FALSE),VLOOKUP(H$1,main!$A$3:$I$56,4,FALSE),VLOOKUP(H$1,main!$A$3:$I$56,4,FALSE)+VLOOKUP($A43,main!$A$3:$I$56,4,FALSE)+(VLOOKUP(VLOOKUP(H$1,main!$A$3:$I$56,8,FALSE),main!$K$19:$O$22,MATCH(VLOOKUP($A43,main!$A$3:$I$56,7,FALSE),main!$K$18:$O$18,0),0))),0)</f>
        <v>298</v>
      </c>
      <c r="I43">
        <f>IF((gamma!I43),IF(VLOOKUP(I$1,main!$A$3:$I$56,7,FALSE)=VLOOKUP($A43,main!$A$3:$I$56,8,FALSE),VLOOKUP(I$1,main!$A$3:$I$56,4,FALSE),VLOOKUP(I$1,main!$A$3:$I$56,4,FALSE)+VLOOKUP($A43,main!$A$3:$I$56,4,FALSE)+(VLOOKUP(VLOOKUP(I$1,main!$A$3:$I$56,8,FALSE),main!$K$19:$O$22,MATCH(VLOOKUP($A43,main!$A$3:$I$56,7,FALSE),main!$K$18:$O$18,0),0))),0)</f>
        <v>298</v>
      </c>
      <c r="J43">
        <f>IF((gamma!J43),IF(VLOOKUP(J$1,main!$A$3:$I$56,7,FALSE)=VLOOKUP($A43,main!$A$3:$I$56,8,FALSE),VLOOKUP(J$1,main!$A$3:$I$56,4,FALSE),VLOOKUP(J$1,main!$A$3:$I$56,4,FALSE)+VLOOKUP($A43,main!$A$3:$I$56,4,FALSE)+(VLOOKUP(VLOOKUP(J$1,main!$A$3:$I$56,8,FALSE),main!$K$19:$O$22,MATCH(VLOOKUP($A43,main!$A$3:$I$56,7,FALSE),main!$K$18:$O$18,0),0))),0)</f>
        <v>298</v>
      </c>
      <c r="K43">
        <f>IF((gamma!K43),IF(VLOOKUP(K$1,main!$A$3:$I$56,7,FALSE)=VLOOKUP($A43,main!$A$3:$I$56,8,FALSE),VLOOKUP(K$1,main!$A$3:$I$56,4,FALSE),VLOOKUP(K$1,main!$A$3:$I$56,4,FALSE)+VLOOKUP($A43,main!$A$3:$I$56,4,FALSE)+(VLOOKUP(VLOOKUP(K$1,main!$A$3:$I$56,8,FALSE),main!$K$19:$O$22,MATCH(VLOOKUP($A43,main!$A$3:$I$56,7,FALSE),main!$K$18:$O$18,0),0))),0)</f>
        <v>0</v>
      </c>
      <c r="L43">
        <f>IF((gamma!L43),IF(VLOOKUP(L$1,main!$A$3:$I$56,7,FALSE)=VLOOKUP($A43,main!$A$3:$I$56,8,FALSE),VLOOKUP(L$1,main!$A$3:$I$56,4,FALSE),VLOOKUP(L$1,main!$A$3:$I$56,4,FALSE)+VLOOKUP($A43,main!$A$3:$I$56,4,FALSE)+(VLOOKUP(VLOOKUP(L$1,main!$A$3:$I$56,8,FALSE),main!$K$19:$O$22,MATCH(VLOOKUP($A43,main!$A$3:$I$56,7,FALSE),main!$K$18:$O$18,0),0))),0)</f>
        <v>0</v>
      </c>
      <c r="M43">
        <f>IF((gamma!M43),IF(VLOOKUP(M$1,main!$A$3:$I$56,7,FALSE)=VLOOKUP($A43,main!$A$3:$I$56,8,FALSE),VLOOKUP(M$1,main!$A$3:$I$56,4,FALSE),VLOOKUP(M$1,main!$A$3:$I$56,4,FALSE)+VLOOKUP($A43,main!$A$3:$I$56,4,FALSE)+(VLOOKUP(VLOOKUP(M$1,main!$A$3:$I$56,8,FALSE),main!$K$19:$O$22,MATCH(VLOOKUP($A43,main!$A$3:$I$56,7,FALSE),main!$K$18:$O$18,0),0))),0)</f>
        <v>275</v>
      </c>
      <c r="N43">
        <f>IF((gamma!N43),IF(VLOOKUP(N$1,main!$A$3:$I$56,7,FALSE)=VLOOKUP($A43,main!$A$3:$I$56,8,FALSE),VLOOKUP(N$1,main!$A$3:$I$56,4,FALSE),VLOOKUP(N$1,main!$A$3:$I$56,4,FALSE)+VLOOKUP($A43,main!$A$3:$I$56,4,FALSE)+(VLOOKUP(VLOOKUP(N$1,main!$A$3:$I$56,8,FALSE),main!$K$19:$O$22,MATCH(VLOOKUP($A43,main!$A$3:$I$56,7,FALSE),main!$K$18:$O$18,0),0))),0)</f>
        <v>275</v>
      </c>
      <c r="O43">
        <f>IF((gamma!O43),IF(VLOOKUP(O$1,main!$A$3:$I$56,7,FALSE)=VLOOKUP($A43,main!$A$3:$I$56,8,FALSE),VLOOKUP(O$1,main!$A$3:$I$56,4,FALSE),VLOOKUP(O$1,main!$A$3:$I$56,4,FALSE)+VLOOKUP($A43,main!$A$3:$I$56,4,FALSE)+(VLOOKUP(VLOOKUP(O$1,main!$A$3:$I$56,8,FALSE),main!$K$19:$O$22,MATCH(VLOOKUP($A43,main!$A$3:$I$56,7,FALSE),main!$K$18:$O$18,0),0))),0)</f>
        <v>275</v>
      </c>
      <c r="P43">
        <f>IF((gamma!P43),IF(VLOOKUP(P$1,main!$A$3:$I$56,7,FALSE)=VLOOKUP($A43,main!$A$3:$I$56,8,FALSE),VLOOKUP(P$1,main!$A$3:$I$56,4,FALSE),VLOOKUP(P$1,main!$A$3:$I$56,4,FALSE)+VLOOKUP($A43,main!$A$3:$I$56,4,FALSE)+(VLOOKUP(VLOOKUP(P$1,main!$A$3:$I$56,8,FALSE),main!$K$19:$O$22,MATCH(VLOOKUP($A43,main!$A$3:$I$56,7,FALSE),main!$K$18:$O$18,0),0))),0)</f>
        <v>0</v>
      </c>
      <c r="Q43">
        <f>IF((gamma!Q43),IF(VLOOKUP(Q$1,main!$A$3:$I$56,7,FALSE)=VLOOKUP($A43,main!$A$3:$I$56,8,FALSE),VLOOKUP(Q$1,main!$A$3:$I$56,4,FALSE),VLOOKUP(Q$1,main!$A$3:$I$56,4,FALSE)+VLOOKUP($A43,main!$A$3:$I$56,4,FALSE)+(VLOOKUP(VLOOKUP(Q$1,main!$A$3:$I$56,8,FALSE),main!$K$19:$O$22,MATCH(VLOOKUP($A43,main!$A$3:$I$56,7,FALSE),main!$K$18:$O$18,0),0))),0)</f>
        <v>0</v>
      </c>
      <c r="R43">
        <f>IF((gamma!R43),IF(VLOOKUP(R$1,main!$A$3:$I$56,7,FALSE)=VLOOKUP($A43,main!$A$3:$I$56,8,FALSE),VLOOKUP(R$1,main!$A$3:$I$56,4,FALSE),VLOOKUP(R$1,main!$A$3:$I$56,4,FALSE)+VLOOKUP($A43,main!$A$3:$I$56,4,FALSE)+(VLOOKUP(VLOOKUP(R$1,main!$A$3:$I$56,8,FALSE),main!$K$19:$O$22,MATCH(VLOOKUP($A43,main!$A$3:$I$56,7,FALSE),main!$K$18:$O$18,0),0))),0)</f>
        <v>303</v>
      </c>
      <c r="S43">
        <f>IF((gamma!S43),IF(VLOOKUP(S$1,main!$A$3:$I$56,7,FALSE)=VLOOKUP($A43,main!$A$3:$I$56,8,FALSE),VLOOKUP(S$1,main!$A$3:$I$56,4,FALSE),VLOOKUP(S$1,main!$A$3:$I$56,4,FALSE)+VLOOKUP($A43,main!$A$3:$I$56,4,FALSE)+(VLOOKUP(VLOOKUP(S$1,main!$A$3:$I$56,8,FALSE),main!$K$19:$O$22,MATCH(VLOOKUP($A43,main!$A$3:$I$56,7,FALSE),main!$K$18:$O$18,0),0))),0)</f>
        <v>308</v>
      </c>
      <c r="T43">
        <f>IF((gamma!T43),IF(VLOOKUP(T$1,main!$A$3:$I$56,7,FALSE)=VLOOKUP($A43,main!$A$3:$I$56,8,FALSE),VLOOKUP(T$1,main!$A$3:$I$56,4,FALSE),VLOOKUP(T$1,main!$A$3:$I$56,4,FALSE)+VLOOKUP($A43,main!$A$3:$I$56,4,FALSE)+(VLOOKUP(VLOOKUP(T$1,main!$A$3:$I$56,8,FALSE),main!$K$19:$O$22,MATCH(VLOOKUP($A43,main!$A$3:$I$56,7,FALSE),main!$K$18:$O$18,0),0))),0)</f>
        <v>308</v>
      </c>
      <c r="U43">
        <f>IF((gamma!U43),IF(VLOOKUP(U$1,main!$A$3:$I$56,7,FALSE)=VLOOKUP($A43,main!$A$3:$I$56,8,FALSE),VLOOKUP(U$1,main!$A$3:$I$56,4,FALSE),VLOOKUP(U$1,main!$A$3:$I$56,4,FALSE)+VLOOKUP($A43,main!$A$3:$I$56,4,FALSE)+(VLOOKUP(VLOOKUP(U$1,main!$A$3:$I$56,8,FALSE),main!$K$19:$O$22,MATCH(VLOOKUP($A43,main!$A$3:$I$56,7,FALSE),main!$K$18:$O$18,0),0))),0)</f>
        <v>0</v>
      </c>
      <c r="V43">
        <f>IF((gamma!V43),IF(VLOOKUP(V$1,main!$A$3:$I$56,7,FALSE)=VLOOKUP($A43,main!$A$3:$I$56,8,FALSE),VLOOKUP(V$1,main!$A$3:$I$56,4,FALSE),VLOOKUP(V$1,main!$A$3:$I$56,4,FALSE)+VLOOKUP($A43,main!$A$3:$I$56,4,FALSE)+(VLOOKUP(VLOOKUP(V$1,main!$A$3:$I$56,8,FALSE),main!$K$19:$O$22,MATCH(VLOOKUP($A43,main!$A$3:$I$56,7,FALSE),main!$K$18:$O$18,0),0))),0)</f>
        <v>0</v>
      </c>
      <c r="W43">
        <f>IF((gamma!W43),IF(VLOOKUP(W$1,main!$A$3:$I$56,7,FALSE)=VLOOKUP($A43,main!$A$3:$I$56,8,FALSE),VLOOKUP(W$1,main!$A$3:$I$56,4,FALSE),VLOOKUP(W$1,main!$A$3:$I$56,4,FALSE)+VLOOKUP($A43,main!$A$3:$I$56,4,FALSE)+(VLOOKUP(VLOOKUP(W$1,main!$A$3:$I$56,8,FALSE),main!$K$19:$O$22,MATCH(VLOOKUP($A43,main!$A$3:$I$56,7,FALSE),main!$K$18:$O$18,0),0))),0)</f>
        <v>0</v>
      </c>
      <c r="X43">
        <f>IF((gamma!X43),IF(VLOOKUP(X$1,main!$A$3:$I$56,7,FALSE)=VLOOKUP($A43,main!$A$3:$I$56,8,FALSE),VLOOKUP(X$1,main!$A$3:$I$56,4,FALSE),VLOOKUP(X$1,main!$A$3:$I$56,4,FALSE)+VLOOKUP($A43,main!$A$3:$I$56,4,FALSE)+(VLOOKUP(VLOOKUP(X$1,main!$A$3:$I$56,8,FALSE),main!$K$19:$O$22,MATCH(VLOOKUP($A43,main!$A$3:$I$56,7,FALSE),main!$K$18:$O$18,0),0))),0)</f>
        <v>300</v>
      </c>
      <c r="Y43">
        <f>IF((gamma!Y43),IF(VLOOKUP(Y$1,main!$A$3:$I$56,7,FALSE)=VLOOKUP($A43,main!$A$3:$I$56,8,FALSE),VLOOKUP(Y$1,main!$A$3:$I$56,4,FALSE),VLOOKUP(Y$1,main!$A$3:$I$56,4,FALSE)+VLOOKUP($A43,main!$A$3:$I$56,4,FALSE)+(VLOOKUP(VLOOKUP(Y$1,main!$A$3:$I$56,8,FALSE),main!$K$19:$O$22,MATCH(VLOOKUP($A43,main!$A$3:$I$56,7,FALSE),main!$K$18:$O$18,0),0))),0)</f>
        <v>300</v>
      </c>
      <c r="Z43">
        <f>IF((gamma!Z43),IF(VLOOKUP(Z$1,main!$A$3:$I$56,7,FALSE)=VLOOKUP($A43,main!$A$3:$I$56,8,FALSE),VLOOKUP(Z$1,main!$A$3:$I$56,4,FALSE),VLOOKUP(Z$1,main!$A$3:$I$56,4,FALSE)+VLOOKUP($A43,main!$A$3:$I$56,4,FALSE)+(VLOOKUP(VLOOKUP(Z$1,main!$A$3:$I$56,8,FALSE),main!$K$19:$O$22,MATCH(VLOOKUP($A43,main!$A$3:$I$56,7,FALSE),main!$K$18:$O$18,0),0))),0)</f>
        <v>300</v>
      </c>
      <c r="AA43">
        <f>IF((gamma!AA43),IF(VLOOKUP(AA$1,main!$A$3:$I$56,7,FALSE)=VLOOKUP($A43,main!$A$3:$I$56,8,FALSE),VLOOKUP(AA$1,main!$A$3:$I$56,4,FALSE),VLOOKUP(AA$1,main!$A$3:$I$56,4,FALSE)+VLOOKUP($A43,main!$A$3:$I$56,4,FALSE)+(VLOOKUP(VLOOKUP(AA$1,main!$A$3:$I$56,8,FALSE),main!$K$19:$O$22,MATCH(VLOOKUP($A43,main!$A$3:$I$56,7,FALSE),main!$K$18:$O$18,0),0))),0)</f>
        <v>300</v>
      </c>
      <c r="AB43">
        <f>IF((gamma!AB43),IF(VLOOKUP(AB$1,main!$A$3:$I$56,7,FALSE)=VLOOKUP($A43,main!$A$3:$I$56,8,FALSE),VLOOKUP(AB$1,main!$A$3:$I$56,4,FALSE),VLOOKUP(AB$1,main!$A$3:$I$56,4,FALSE)+VLOOKUP($A43,main!$A$3:$I$56,4,FALSE)+(VLOOKUP(VLOOKUP(AB$1,main!$A$3:$I$56,8,FALSE),main!$K$19:$O$22,MATCH(VLOOKUP($A43,main!$A$3:$I$56,7,FALSE),main!$K$18:$O$18,0),0))),0)</f>
        <v>300</v>
      </c>
      <c r="AC43">
        <f>IF((gamma!AC43),IF(VLOOKUP(AC$1,main!$A$3:$I$56,7,FALSE)=VLOOKUP($A43,main!$A$3:$I$56,8,FALSE),VLOOKUP(AC$1,main!$A$3:$I$56,4,FALSE),VLOOKUP(AC$1,main!$A$3:$I$56,4,FALSE)+VLOOKUP($A43,main!$A$3:$I$56,4,FALSE)+(VLOOKUP(VLOOKUP(AC$1,main!$A$3:$I$56,8,FALSE),main!$K$19:$O$22,MATCH(VLOOKUP($A43,main!$A$3:$I$56,7,FALSE),main!$K$18:$O$18,0),0))),0)</f>
        <v>0</v>
      </c>
      <c r="AD43">
        <f>IF((gamma!AD43),IF(VLOOKUP(AD$1,main!$A$3:$I$56,7,FALSE)=VLOOKUP($A43,main!$A$3:$I$56,8,FALSE),VLOOKUP(AD$1,main!$A$3:$I$56,4,FALSE),VLOOKUP(AD$1,main!$A$3:$I$56,4,FALSE)+VLOOKUP($A43,main!$A$3:$I$56,4,FALSE)+(VLOOKUP(VLOOKUP(AD$1,main!$A$3:$I$56,8,FALSE),main!$K$19:$O$22,MATCH(VLOOKUP($A43,main!$A$3:$I$56,7,FALSE),main!$K$18:$O$18,0),0))),0)</f>
        <v>0</v>
      </c>
      <c r="AE43">
        <f>IF((gamma!AE43),IF(VLOOKUP(AE$1,main!$A$3:$I$56,7,FALSE)=VLOOKUP($A43,main!$A$3:$I$56,8,FALSE),VLOOKUP(AE$1,main!$A$3:$I$56,4,FALSE),VLOOKUP(AE$1,main!$A$3:$I$56,4,FALSE)+VLOOKUP($A43,main!$A$3:$I$56,4,FALSE)+(VLOOKUP(VLOOKUP(AE$1,main!$A$3:$I$56,8,FALSE),main!$K$19:$O$22,MATCH(VLOOKUP($A43,main!$A$3:$I$56,7,FALSE),main!$K$18:$O$18,0),0))),0)</f>
        <v>255</v>
      </c>
      <c r="AF43">
        <f>IF((gamma!AF43),IF(VLOOKUP(AF$1,main!$A$3:$I$56,7,FALSE)=VLOOKUP($A43,main!$A$3:$I$56,8,FALSE),VLOOKUP(AF$1,main!$A$3:$I$56,4,FALSE),VLOOKUP(AF$1,main!$A$3:$I$56,4,FALSE)+VLOOKUP($A43,main!$A$3:$I$56,4,FALSE)+(VLOOKUP(VLOOKUP(AF$1,main!$A$3:$I$56,8,FALSE),main!$K$19:$O$22,MATCH(VLOOKUP($A43,main!$A$3:$I$56,7,FALSE),main!$K$18:$O$18,0),0))),0)</f>
        <v>265</v>
      </c>
      <c r="AG43">
        <f>IF((gamma!AG43),IF(VLOOKUP(AG$1,main!$A$3:$I$56,7,FALSE)=VLOOKUP($A43,main!$A$3:$I$56,8,FALSE),VLOOKUP(AG$1,main!$A$3:$I$56,4,FALSE),VLOOKUP(AG$1,main!$A$3:$I$56,4,FALSE)+VLOOKUP($A43,main!$A$3:$I$56,4,FALSE)+(VLOOKUP(VLOOKUP(AG$1,main!$A$3:$I$56,8,FALSE),main!$K$19:$O$22,MATCH(VLOOKUP($A43,main!$A$3:$I$56,7,FALSE),main!$K$18:$O$18,0),0))),0)</f>
        <v>0</v>
      </c>
      <c r="AH43">
        <f>IF((gamma!AH43),IF(VLOOKUP(AH$1,main!$A$3:$I$56,7,FALSE)=VLOOKUP($A43,main!$A$3:$I$56,8,FALSE),VLOOKUP(AH$1,main!$A$3:$I$56,4,FALSE),VLOOKUP(AH$1,main!$A$3:$I$56,4,FALSE)+VLOOKUP($A43,main!$A$3:$I$56,4,FALSE)+(VLOOKUP(VLOOKUP(AH$1,main!$A$3:$I$56,8,FALSE),main!$K$19:$O$22,MATCH(VLOOKUP($A43,main!$A$3:$I$56,7,FALSE),main!$K$18:$O$18,0),0))),0)</f>
        <v>305</v>
      </c>
      <c r="AI43">
        <f>IF((gamma!AI43),IF(VLOOKUP(AI$1,main!$A$3:$I$56,7,FALSE)=VLOOKUP($A43,main!$A$3:$I$56,8,FALSE),VLOOKUP(AI$1,main!$A$3:$I$56,4,FALSE),VLOOKUP(AI$1,main!$A$3:$I$56,4,FALSE)+VLOOKUP($A43,main!$A$3:$I$56,4,FALSE)+(VLOOKUP(VLOOKUP(AI$1,main!$A$3:$I$56,8,FALSE),main!$K$19:$O$22,MATCH(VLOOKUP($A43,main!$A$3:$I$56,7,FALSE),main!$K$18:$O$18,0),0))),0)</f>
        <v>305</v>
      </c>
      <c r="AJ43">
        <f>IF((gamma!AJ43),IF(VLOOKUP(AJ$1,main!$A$3:$I$56,7,FALSE)=VLOOKUP($A43,main!$A$3:$I$56,8,FALSE),VLOOKUP(AJ$1,main!$A$3:$I$56,4,FALSE),VLOOKUP(AJ$1,main!$A$3:$I$56,4,FALSE)+VLOOKUP($A43,main!$A$3:$I$56,4,FALSE)+(VLOOKUP(VLOOKUP(AJ$1,main!$A$3:$I$56,8,FALSE),main!$K$19:$O$22,MATCH(VLOOKUP($A43,main!$A$3:$I$56,7,FALSE),main!$K$18:$O$18,0),0))),0)</f>
        <v>305</v>
      </c>
      <c r="AK43">
        <f>IF((gamma!AK43),IF(VLOOKUP(AK$1,main!$A$3:$I$56,7,FALSE)=VLOOKUP($A43,main!$A$3:$I$56,8,FALSE),VLOOKUP(AK$1,main!$A$3:$I$56,4,FALSE),VLOOKUP(AK$1,main!$A$3:$I$56,4,FALSE)+VLOOKUP($A43,main!$A$3:$I$56,4,FALSE)+(VLOOKUP(VLOOKUP(AK$1,main!$A$3:$I$56,8,FALSE),main!$K$19:$O$22,MATCH(VLOOKUP($A43,main!$A$3:$I$56,7,FALSE),main!$K$18:$O$18,0),0))),0)</f>
        <v>305</v>
      </c>
      <c r="AL43">
        <f>IF((gamma!AL43),IF(VLOOKUP(AL$1,main!$A$3:$I$56,7,FALSE)=VLOOKUP($A43,main!$A$3:$I$56,8,FALSE),VLOOKUP(AL$1,main!$A$3:$I$56,4,FALSE),VLOOKUP(AL$1,main!$A$3:$I$56,4,FALSE)+VLOOKUP($A43,main!$A$3:$I$56,4,FALSE)+(VLOOKUP(VLOOKUP(AL$1,main!$A$3:$I$56,8,FALSE),main!$K$19:$O$22,MATCH(VLOOKUP($A43,main!$A$3:$I$56,7,FALSE),main!$K$18:$O$18,0),0))),0)</f>
        <v>0</v>
      </c>
      <c r="AM43">
        <f>IF((gamma!AM43),IF(VLOOKUP(AM$1,main!$A$3:$I$56,7,FALSE)=VLOOKUP($A43,main!$A$3:$I$56,8,FALSE),VLOOKUP(AM$1,main!$A$3:$I$56,4,FALSE),VLOOKUP(AM$1,main!$A$3:$I$56,4,FALSE)+VLOOKUP($A43,main!$A$3:$I$56,4,FALSE)+(VLOOKUP(VLOOKUP(AM$1,main!$A$3:$I$56,8,FALSE),main!$K$19:$O$22,MATCH(VLOOKUP($A43,main!$A$3:$I$56,7,FALSE),main!$K$18:$O$18,0),0))),0)</f>
        <v>0</v>
      </c>
      <c r="AN43">
        <f>IF((gamma!AN43),IF(VLOOKUP(AN$1,main!$A$3:$I$56,7,FALSE)=VLOOKUP($A43,main!$A$3:$I$56,8,FALSE),VLOOKUP(AN$1,main!$A$3:$I$56,4,FALSE),VLOOKUP(AN$1,main!$A$3:$I$56,4,FALSE)+VLOOKUP($A43,main!$A$3:$I$56,4,FALSE)+(VLOOKUP(VLOOKUP(AN$1,main!$A$3:$I$56,8,FALSE),main!$K$19:$O$22,MATCH(VLOOKUP($A43,main!$A$3:$I$56,7,FALSE),main!$K$18:$O$18,0),0))),0)</f>
        <v>283</v>
      </c>
      <c r="AO43">
        <f>IF((gamma!AO43),IF(VLOOKUP(AO$1,main!$A$3:$I$56,7,FALSE)=VLOOKUP($A43,main!$A$3:$I$56,8,FALSE),VLOOKUP(AO$1,main!$A$3:$I$56,4,FALSE),VLOOKUP(AO$1,main!$A$3:$I$56,4,FALSE)+VLOOKUP($A43,main!$A$3:$I$56,4,FALSE)+(VLOOKUP(VLOOKUP(AO$1,main!$A$3:$I$56,8,FALSE),main!$K$19:$O$22,MATCH(VLOOKUP($A43,main!$A$3:$I$56,7,FALSE),main!$K$18:$O$18,0),0))),0)</f>
        <v>293</v>
      </c>
      <c r="AP43">
        <f>IF((gamma!AP43),IF(VLOOKUP(AP$1,main!$A$3:$I$56,7,FALSE)=VLOOKUP($A43,main!$A$3:$I$56,8,FALSE),VLOOKUP(AP$1,main!$A$3:$I$56,4,FALSE),VLOOKUP(AP$1,main!$A$3:$I$56,4,FALSE)+VLOOKUP($A43,main!$A$3:$I$56,4,FALSE)+(VLOOKUP(VLOOKUP(AP$1,main!$A$3:$I$56,8,FALSE),main!$K$19:$O$22,MATCH(VLOOKUP($A43,main!$A$3:$I$56,7,FALSE),main!$K$18:$O$18,0),0))),0)</f>
        <v>0</v>
      </c>
      <c r="AQ43">
        <f>IF((gamma!AQ43),IF(VLOOKUP(AQ$1,main!$A$3:$I$56,7,FALSE)=VLOOKUP($A43,main!$A$3:$I$56,8,FALSE),VLOOKUP(AQ$1,main!$A$3:$I$56,4,FALSE),VLOOKUP(AQ$1,main!$A$3:$I$56,4,FALSE)+VLOOKUP($A43,main!$A$3:$I$56,4,FALSE)+(VLOOKUP(VLOOKUP(AQ$1,main!$A$3:$I$56,8,FALSE),main!$K$19:$O$22,MATCH(VLOOKUP($A43,main!$A$3:$I$56,7,FALSE),main!$K$18:$O$18,0),0))),0)</f>
        <v>0</v>
      </c>
      <c r="AR43">
        <f>IF((gamma!AR43),IF(VLOOKUP(AR$1,main!$A$3:$I$56,7,FALSE)=VLOOKUP($A43,main!$A$3:$I$56,8,FALSE),VLOOKUP(AR$1,main!$A$3:$I$56,4,FALSE),VLOOKUP(AR$1,main!$A$3:$I$56,4,FALSE)+VLOOKUP($A43,main!$A$3:$I$56,4,FALSE)+(VLOOKUP(VLOOKUP(AR$1,main!$A$3:$I$56,8,FALSE),main!$K$19:$O$22,MATCH(VLOOKUP($A43,main!$A$3:$I$56,7,FALSE),main!$K$18:$O$18,0),0))),0)</f>
        <v>0</v>
      </c>
      <c r="AS43">
        <f>IF((gamma!AS43),IF(VLOOKUP(AS$1,main!$A$3:$I$56,7,FALSE)=VLOOKUP($A43,main!$A$3:$I$56,8,FALSE),VLOOKUP(AS$1,main!$A$3:$I$56,4,FALSE),VLOOKUP(AS$1,main!$A$3:$I$56,4,FALSE)+VLOOKUP($A43,main!$A$3:$I$56,4,FALSE)+(VLOOKUP(VLOOKUP(AS$1,main!$A$3:$I$56,8,FALSE),main!$K$19:$O$22,MATCH(VLOOKUP($A43,main!$A$3:$I$56,7,FALSE),main!$K$18:$O$18,0),0))),0)</f>
        <v>303</v>
      </c>
      <c r="AT43">
        <f>IF((gamma!AT43),IF(VLOOKUP(AT$1,main!$A$3:$I$56,7,FALSE)=VLOOKUP($A43,main!$A$3:$I$56,8,FALSE),VLOOKUP(AT$1,main!$A$3:$I$56,4,FALSE),VLOOKUP(AT$1,main!$A$3:$I$56,4,FALSE)+VLOOKUP($A43,main!$A$3:$I$56,4,FALSE)+(VLOOKUP(VLOOKUP(AT$1,main!$A$3:$I$56,8,FALSE),main!$K$19:$O$22,MATCH(VLOOKUP($A43,main!$A$3:$I$56,7,FALSE),main!$K$18:$O$18,0),0))),0)</f>
        <v>288</v>
      </c>
      <c r="AU43">
        <f>IF((gamma!AU43),IF(VLOOKUP(AU$1,main!$A$3:$I$56,7,FALSE)=VLOOKUP($A43,main!$A$3:$I$56,8,FALSE),VLOOKUP(AU$1,main!$A$3:$I$56,4,FALSE),VLOOKUP(AU$1,main!$A$3:$I$56,4,FALSE)+VLOOKUP($A43,main!$A$3:$I$56,4,FALSE)+(VLOOKUP(VLOOKUP(AU$1,main!$A$3:$I$56,8,FALSE),main!$K$19:$O$22,MATCH(VLOOKUP($A43,main!$A$3:$I$56,7,FALSE),main!$K$18:$O$18,0),0))),0)</f>
        <v>140</v>
      </c>
      <c r="AV43">
        <f>IF((gamma!AV43),IF(VLOOKUP(AV$1,main!$A$3:$I$56,7,FALSE)=VLOOKUP($A43,main!$A$3:$I$56,8,FALSE),VLOOKUP(AV$1,main!$A$3:$I$56,4,FALSE),VLOOKUP(AV$1,main!$A$3:$I$56,4,FALSE)+VLOOKUP($A43,main!$A$3:$I$56,4,FALSE)+(VLOOKUP(VLOOKUP(AV$1,main!$A$3:$I$56,8,FALSE),main!$K$19:$O$22,MATCH(VLOOKUP($A43,main!$A$3:$I$56,7,FALSE),main!$K$18:$O$18,0),0))),0)</f>
        <v>135</v>
      </c>
      <c r="AW43">
        <f>IF((gamma!AW43),IF(VLOOKUP(AW$1,main!$A$3:$I$56,7,FALSE)=VLOOKUP($A43,main!$A$3:$I$56,8,FALSE),VLOOKUP(AW$1,main!$A$3:$I$56,4,FALSE),VLOOKUP(AW$1,main!$A$3:$I$56,4,FALSE)+VLOOKUP($A43,main!$A$3:$I$56,4,FALSE)+(VLOOKUP(VLOOKUP(AW$1,main!$A$3:$I$56,8,FALSE),main!$K$19:$O$22,MATCH(VLOOKUP($A43,main!$A$3:$I$56,7,FALSE),main!$K$18:$O$18,0),0))),0)</f>
        <v>140</v>
      </c>
      <c r="AX43">
        <f>IF((gamma!AX43),IF(VLOOKUP(AX$1,main!$A$3:$I$56,7,FALSE)=VLOOKUP($A43,main!$A$3:$I$56,8,FALSE),VLOOKUP(AX$1,main!$A$3:$I$56,4,FALSE),VLOOKUP(AX$1,main!$A$3:$I$56,4,FALSE)+VLOOKUP($A43,main!$A$3:$I$56,4,FALSE)+(VLOOKUP(VLOOKUP(AX$1,main!$A$3:$I$56,8,FALSE),main!$K$19:$O$22,MATCH(VLOOKUP($A43,main!$A$3:$I$56,7,FALSE),main!$K$18:$O$18,0),0))),0)</f>
        <v>140</v>
      </c>
      <c r="AY43">
        <f>IF((gamma!AY43),IF(VLOOKUP(AY$1,main!$A$3:$I$56,7,FALSE)=VLOOKUP($A43,main!$A$3:$I$56,8,FALSE),VLOOKUP(AY$1,main!$A$3:$I$56,4,FALSE),VLOOKUP(AY$1,main!$A$3:$I$56,4,FALSE)+VLOOKUP($A43,main!$A$3:$I$56,4,FALSE)+(VLOOKUP(VLOOKUP(AY$1,main!$A$3:$I$56,8,FALSE),main!$K$19:$O$22,MATCH(VLOOKUP($A43,main!$A$3:$I$56,7,FALSE),main!$K$18:$O$18,0),0))),0)</f>
        <v>140</v>
      </c>
      <c r="AZ43">
        <f>IF((gamma!AZ43),IF(VLOOKUP(AZ$1,main!$A$3:$I$56,7,FALSE)=VLOOKUP($A43,main!$A$3:$I$56,8,FALSE),VLOOKUP(AZ$1,main!$A$3:$I$56,4,FALSE),VLOOKUP(AZ$1,main!$A$3:$I$56,4,FALSE)+VLOOKUP($A43,main!$A$3:$I$56,4,FALSE)+(VLOOKUP(VLOOKUP(AZ$1,main!$A$3:$I$56,8,FALSE),main!$K$19:$O$22,MATCH(VLOOKUP($A43,main!$A$3:$I$56,7,FALSE),main!$K$18:$O$18,0),0))),0)</f>
        <v>0</v>
      </c>
      <c r="BA43">
        <f>IF((gamma!BA43),IF(VLOOKUP(BA$1,main!$A$3:$I$56,7,FALSE)=VLOOKUP($A43,main!$A$3:$I$56,8,FALSE),VLOOKUP(BA$1,main!$A$3:$I$56,4,FALSE),VLOOKUP(BA$1,main!$A$3:$I$56,4,FALSE)+VLOOKUP($A43,main!$A$3:$I$56,4,FALSE)+(VLOOKUP(VLOOKUP(BA$1,main!$A$3:$I$56,8,FALSE),main!$K$19:$O$22,MATCH(VLOOKUP($A43,main!$A$3:$I$56,7,FALSE),main!$K$18:$O$18,0),0))),0)</f>
        <v>120</v>
      </c>
      <c r="BB43">
        <f>IF((gamma!BB43),IF(VLOOKUP(BB$1,main!$A$3:$I$56,7,FALSE)=VLOOKUP($A43,main!$A$3:$I$56,8,FALSE),VLOOKUP(BB$1,main!$A$3:$I$56,4,FALSE),VLOOKUP(BB$1,main!$A$3:$I$56,4,FALSE)+VLOOKUP($A43,main!$A$3:$I$56,4,FALSE)+(VLOOKUP(VLOOKUP(BB$1,main!$A$3:$I$56,8,FALSE),main!$K$19:$O$22,MATCH(VLOOKUP($A43,main!$A$3:$I$56,7,FALSE),main!$K$18:$O$18,0),0))),0)</f>
        <v>120</v>
      </c>
      <c r="BC43">
        <f>IF((gamma!BC43),IF(VLOOKUP(BC$1,main!$A$3:$I$56,7,FALSE)=VLOOKUP($A43,main!$A$3:$I$56,8,FALSE),VLOOKUP(BC$1,main!$A$3:$I$56,4,FALSE),VLOOKUP(BC$1,main!$A$3:$I$56,4,FALSE)+VLOOKUP($A43,main!$A$3:$I$56,4,FALSE)+(VLOOKUP(VLOOKUP(BC$1,main!$A$3:$I$56,8,FALSE),main!$K$19:$O$22,MATCH(VLOOKUP($A43,main!$A$3:$I$56,7,FALSE),main!$K$18:$O$18,0),0))),0)</f>
        <v>135</v>
      </c>
      <c r="BD43">
        <f>IF((gamma!BD43),IF(VLOOKUP(BD$1,main!$A$3:$I$56,7,FALSE)=VLOOKUP($A43,main!$A$3:$I$56,8,FALSE),VLOOKUP(BD$1,main!$A$3:$I$56,4,FALSE),VLOOKUP(BD$1,main!$A$3:$I$56,4,FALSE)+VLOOKUP($A43,main!$A$3:$I$56,4,FALSE)+(VLOOKUP(VLOOKUP(BD$1,main!$A$3:$I$56,8,FALSE),main!$K$19:$O$22,MATCH(VLOOKUP($A43,main!$A$3:$I$56,7,FALSE),main!$K$18:$O$18,0),0))),0)</f>
        <v>135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>
        <f t="shared" si="0"/>
        <v>42</v>
      </c>
      <c r="B44">
        <v>0</v>
      </c>
      <c r="C44">
        <f>IF((gamma!C44),IF(VLOOKUP(C$1,main!$A$3:$I$56,7,FALSE)=VLOOKUP($A44,main!$A$3:$I$56,8,FALSE),VLOOKUP(C$1,main!$A$3:$I$56,4,FALSE),VLOOKUP(C$1,main!$A$3:$I$56,4,FALSE)+VLOOKUP($A44,main!$A$3:$I$56,4,FALSE)+(VLOOKUP(VLOOKUP(C$1,main!$A$3:$I$56,8,FALSE),main!$K$19:$O$22,MATCH(VLOOKUP($A44,main!$A$3:$I$56,7,FALSE),main!$K$18:$O$18,0),0))),0)</f>
        <v>0</v>
      </c>
      <c r="D44">
        <f>IF((gamma!D44),IF(VLOOKUP(D$1,main!$A$3:$I$56,7,FALSE)=VLOOKUP($A44,main!$A$3:$I$56,8,FALSE),VLOOKUP(D$1,main!$A$3:$I$56,4,FALSE),VLOOKUP(D$1,main!$A$3:$I$56,4,FALSE)+VLOOKUP($A44,main!$A$3:$I$56,4,FALSE)+(VLOOKUP(VLOOKUP(D$1,main!$A$3:$I$56,8,FALSE),main!$K$19:$O$22,MATCH(VLOOKUP($A44,main!$A$3:$I$56,7,FALSE),main!$K$18:$O$18,0),0))),0)</f>
        <v>0</v>
      </c>
      <c r="E44">
        <f>IF((gamma!E44),IF(VLOOKUP(E$1,main!$A$3:$I$56,7,FALSE)=VLOOKUP($A44,main!$A$3:$I$56,8,FALSE),VLOOKUP(E$1,main!$A$3:$I$56,4,FALSE),VLOOKUP(E$1,main!$A$3:$I$56,4,FALSE)+VLOOKUP($A44,main!$A$3:$I$56,4,FALSE)+(VLOOKUP(VLOOKUP(E$1,main!$A$3:$I$56,8,FALSE),main!$K$19:$O$22,MATCH(VLOOKUP($A44,main!$A$3:$I$56,7,FALSE),main!$K$18:$O$18,0),0))),0)</f>
        <v>298</v>
      </c>
      <c r="F44">
        <f>IF((gamma!F44),IF(VLOOKUP(F$1,main!$A$3:$I$56,7,FALSE)=VLOOKUP($A44,main!$A$3:$I$56,8,FALSE),VLOOKUP(F$1,main!$A$3:$I$56,4,FALSE),VLOOKUP(F$1,main!$A$3:$I$56,4,FALSE)+VLOOKUP($A44,main!$A$3:$I$56,4,FALSE)+(VLOOKUP(VLOOKUP(F$1,main!$A$3:$I$56,8,FALSE),main!$K$19:$O$22,MATCH(VLOOKUP($A44,main!$A$3:$I$56,7,FALSE),main!$K$18:$O$18,0),0))),0)</f>
        <v>298</v>
      </c>
      <c r="G44">
        <f>IF((gamma!G44),IF(VLOOKUP(G$1,main!$A$3:$I$56,7,FALSE)=VLOOKUP($A44,main!$A$3:$I$56,8,FALSE),VLOOKUP(G$1,main!$A$3:$I$56,4,FALSE),VLOOKUP(G$1,main!$A$3:$I$56,4,FALSE)+VLOOKUP($A44,main!$A$3:$I$56,4,FALSE)+(VLOOKUP(VLOOKUP(G$1,main!$A$3:$I$56,8,FALSE),main!$K$19:$O$22,MATCH(VLOOKUP($A44,main!$A$3:$I$56,7,FALSE),main!$K$18:$O$18,0),0))),0)</f>
        <v>298</v>
      </c>
      <c r="H44">
        <f>IF((gamma!H44),IF(VLOOKUP(H$1,main!$A$3:$I$56,7,FALSE)=VLOOKUP($A44,main!$A$3:$I$56,8,FALSE),VLOOKUP(H$1,main!$A$3:$I$56,4,FALSE),VLOOKUP(H$1,main!$A$3:$I$56,4,FALSE)+VLOOKUP($A44,main!$A$3:$I$56,4,FALSE)+(VLOOKUP(VLOOKUP(H$1,main!$A$3:$I$56,8,FALSE),main!$K$19:$O$22,MATCH(VLOOKUP($A44,main!$A$3:$I$56,7,FALSE),main!$K$18:$O$18,0),0))),0)</f>
        <v>298</v>
      </c>
      <c r="I44">
        <f>IF((gamma!I44),IF(VLOOKUP(I$1,main!$A$3:$I$56,7,FALSE)=VLOOKUP($A44,main!$A$3:$I$56,8,FALSE),VLOOKUP(I$1,main!$A$3:$I$56,4,FALSE),VLOOKUP(I$1,main!$A$3:$I$56,4,FALSE)+VLOOKUP($A44,main!$A$3:$I$56,4,FALSE)+(VLOOKUP(VLOOKUP(I$1,main!$A$3:$I$56,8,FALSE),main!$K$19:$O$22,MATCH(VLOOKUP($A44,main!$A$3:$I$56,7,FALSE),main!$K$18:$O$18,0),0))),0)</f>
        <v>298</v>
      </c>
      <c r="J44">
        <f>IF((gamma!J44),IF(VLOOKUP(J$1,main!$A$3:$I$56,7,FALSE)=VLOOKUP($A44,main!$A$3:$I$56,8,FALSE),VLOOKUP(J$1,main!$A$3:$I$56,4,FALSE),VLOOKUP(J$1,main!$A$3:$I$56,4,FALSE)+VLOOKUP($A44,main!$A$3:$I$56,4,FALSE)+(VLOOKUP(VLOOKUP(J$1,main!$A$3:$I$56,8,FALSE),main!$K$19:$O$22,MATCH(VLOOKUP($A44,main!$A$3:$I$56,7,FALSE),main!$K$18:$O$18,0),0))),0)</f>
        <v>298</v>
      </c>
      <c r="K44">
        <f>IF((gamma!K44),IF(VLOOKUP(K$1,main!$A$3:$I$56,7,FALSE)=VLOOKUP($A44,main!$A$3:$I$56,8,FALSE),VLOOKUP(K$1,main!$A$3:$I$56,4,FALSE),VLOOKUP(K$1,main!$A$3:$I$56,4,FALSE)+VLOOKUP($A44,main!$A$3:$I$56,4,FALSE)+(VLOOKUP(VLOOKUP(K$1,main!$A$3:$I$56,8,FALSE),main!$K$19:$O$22,MATCH(VLOOKUP($A44,main!$A$3:$I$56,7,FALSE),main!$K$18:$O$18,0),0))),0)</f>
        <v>0</v>
      </c>
      <c r="L44">
        <f>IF((gamma!L44),IF(VLOOKUP(L$1,main!$A$3:$I$56,7,FALSE)=VLOOKUP($A44,main!$A$3:$I$56,8,FALSE),VLOOKUP(L$1,main!$A$3:$I$56,4,FALSE),VLOOKUP(L$1,main!$A$3:$I$56,4,FALSE)+VLOOKUP($A44,main!$A$3:$I$56,4,FALSE)+(VLOOKUP(VLOOKUP(L$1,main!$A$3:$I$56,8,FALSE),main!$K$19:$O$22,MATCH(VLOOKUP($A44,main!$A$3:$I$56,7,FALSE),main!$K$18:$O$18,0),0))),0)</f>
        <v>0</v>
      </c>
      <c r="M44">
        <f>IF((gamma!M44),IF(VLOOKUP(M$1,main!$A$3:$I$56,7,FALSE)=VLOOKUP($A44,main!$A$3:$I$56,8,FALSE),VLOOKUP(M$1,main!$A$3:$I$56,4,FALSE),VLOOKUP(M$1,main!$A$3:$I$56,4,FALSE)+VLOOKUP($A44,main!$A$3:$I$56,4,FALSE)+(VLOOKUP(VLOOKUP(M$1,main!$A$3:$I$56,8,FALSE),main!$K$19:$O$22,MATCH(VLOOKUP($A44,main!$A$3:$I$56,7,FALSE),main!$K$18:$O$18,0),0))),0)</f>
        <v>275</v>
      </c>
      <c r="N44">
        <f>IF((gamma!N44),IF(VLOOKUP(N$1,main!$A$3:$I$56,7,FALSE)=VLOOKUP($A44,main!$A$3:$I$56,8,FALSE),VLOOKUP(N$1,main!$A$3:$I$56,4,FALSE),VLOOKUP(N$1,main!$A$3:$I$56,4,FALSE)+VLOOKUP($A44,main!$A$3:$I$56,4,FALSE)+(VLOOKUP(VLOOKUP(N$1,main!$A$3:$I$56,8,FALSE),main!$K$19:$O$22,MATCH(VLOOKUP($A44,main!$A$3:$I$56,7,FALSE),main!$K$18:$O$18,0),0))),0)</f>
        <v>275</v>
      </c>
      <c r="O44">
        <f>IF((gamma!O44),IF(VLOOKUP(O$1,main!$A$3:$I$56,7,FALSE)=VLOOKUP($A44,main!$A$3:$I$56,8,FALSE),VLOOKUP(O$1,main!$A$3:$I$56,4,FALSE),VLOOKUP(O$1,main!$A$3:$I$56,4,FALSE)+VLOOKUP($A44,main!$A$3:$I$56,4,FALSE)+(VLOOKUP(VLOOKUP(O$1,main!$A$3:$I$56,8,FALSE),main!$K$19:$O$22,MATCH(VLOOKUP($A44,main!$A$3:$I$56,7,FALSE),main!$K$18:$O$18,0),0))),0)</f>
        <v>275</v>
      </c>
      <c r="P44">
        <f>IF((gamma!P44),IF(VLOOKUP(P$1,main!$A$3:$I$56,7,FALSE)=VLOOKUP($A44,main!$A$3:$I$56,8,FALSE),VLOOKUP(P$1,main!$A$3:$I$56,4,FALSE),VLOOKUP(P$1,main!$A$3:$I$56,4,FALSE)+VLOOKUP($A44,main!$A$3:$I$56,4,FALSE)+(VLOOKUP(VLOOKUP(P$1,main!$A$3:$I$56,8,FALSE),main!$K$19:$O$22,MATCH(VLOOKUP($A44,main!$A$3:$I$56,7,FALSE),main!$K$18:$O$18,0),0))),0)</f>
        <v>0</v>
      </c>
      <c r="Q44">
        <f>IF((gamma!Q44),IF(VLOOKUP(Q$1,main!$A$3:$I$56,7,FALSE)=VLOOKUP($A44,main!$A$3:$I$56,8,FALSE),VLOOKUP(Q$1,main!$A$3:$I$56,4,FALSE),VLOOKUP(Q$1,main!$A$3:$I$56,4,FALSE)+VLOOKUP($A44,main!$A$3:$I$56,4,FALSE)+(VLOOKUP(VLOOKUP(Q$1,main!$A$3:$I$56,8,FALSE),main!$K$19:$O$22,MATCH(VLOOKUP($A44,main!$A$3:$I$56,7,FALSE),main!$K$18:$O$18,0),0))),0)</f>
        <v>0</v>
      </c>
      <c r="R44">
        <f>IF((gamma!R44),IF(VLOOKUP(R$1,main!$A$3:$I$56,7,FALSE)=VLOOKUP($A44,main!$A$3:$I$56,8,FALSE),VLOOKUP(R$1,main!$A$3:$I$56,4,FALSE),VLOOKUP(R$1,main!$A$3:$I$56,4,FALSE)+VLOOKUP($A44,main!$A$3:$I$56,4,FALSE)+(VLOOKUP(VLOOKUP(R$1,main!$A$3:$I$56,8,FALSE),main!$K$19:$O$22,MATCH(VLOOKUP($A44,main!$A$3:$I$56,7,FALSE),main!$K$18:$O$18,0),0))),0)</f>
        <v>303</v>
      </c>
      <c r="S44">
        <f>IF((gamma!S44),IF(VLOOKUP(S$1,main!$A$3:$I$56,7,FALSE)=VLOOKUP($A44,main!$A$3:$I$56,8,FALSE),VLOOKUP(S$1,main!$A$3:$I$56,4,FALSE),VLOOKUP(S$1,main!$A$3:$I$56,4,FALSE)+VLOOKUP($A44,main!$A$3:$I$56,4,FALSE)+(VLOOKUP(VLOOKUP(S$1,main!$A$3:$I$56,8,FALSE),main!$K$19:$O$22,MATCH(VLOOKUP($A44,main!$A$3:$I$56,7,FALSE),main!$K$18:$O$18,0),0))),0)</f>
        <v>308</v>
      </c>
      <c r="T44">
        <f>IF((gamma!T44),IF(VLOOKUP(T$1,main!$A$3:$I$56,7,FALSE)=VLOOKUP($A44,main!$A$3:$I$56,8,FALSE),VLOOKUP(T$1,main!$A$3:$I$56,4,FALSE),VLOOKUP(T$1,main!$A$3:$I$56,4,FALSE)+VLOOKUP($A44,main!$A$3:$I$56,4,FALSE)+(VLOOKUP(VLOOKUP(T$1,main!$A$3:$I$56,8,FALSE),main!$K$19:$O$22,MATCH(VLOOKUP($A44,main!$A$3:$I$56,7,FALSE),main!$K$18:$O$18,0),0))),0)</f>
        <v>308</v>
      </c>
      <c r="U44">
        <f>IF((gamma!U44),IF(VLOOKUP(U$1,main!$A$3:$I$56,7,FALSE)=VLOOKUP($A44,main!$A$3:$I$56,8,FALSE),VLOOKUP(U$1,main!$A$3:$I$56,4,FALSE),VLOOKUP(U$1,main!$A$3:$I$56,4,FALSE)+VLOOKUP($A44,main!$A$3:$I$56,4,FALSE)+(VLOOKUP(VLOOKUP(U$1,main!$A$3:$I$56,8,FALSE),main!$K$19:$O$22,MATCH(VLOOKUP($A44,main!$A$3:$I$56,7,FALSE),main!$K$18:$O$18,0),0))),0)</f>
        <v>0</v>
      </c>
      <c r="V44">
        <f>IF((gamma!V44),IF(VLOOKUP(V$1,main!$A$3:$I$56,7,FALSE)=VLOOKUP($A44,main!$A$3:$I$56,8,FALSE),VLOOKUP(V$1,main!$A$3:$I$56,4,FALSE),VLOOKUP(V$1,main!$A$3:$I$56,4,FALSE)+VLOOKUP($A44,main!$A$3:$I$56,4,FALSE)+(VLOOKUP(VLOOKUP(V$1,main!$A$3:$I$56,8,FALSE),main!$K$19:$O$22,MATCH(VLOOKUP($A44,main!$A$3:$I$56,7,FALSE),main!$K$18:$O$18,0),0))),0)</f>
        <v>0</v>
      </c>
      <c r="W44">
        <f>IF((gamma!W44),IF(VLOOKUP(W$1,main!$A$3:$I$56,7,FALSE)=VLOOKUP($A44,main!$A$3:$I$56,8,FALSE),VLOOKUP(W$1,main!$A$3:$I$56,4,FALSE),VLOOKUP(W$1,main!$A$3:$I$56,4,FALSE)+VLOOKUP($A44,main!$A$3:$I$56,4,FALSE)+(VLOOKUP(VLOOKUP(W$1,main!$A$3:$I$56,8,FALSE),main!$K$19:$O$22,MATCH(VLOOKUP($A44,main!$A$3:$I$56,7,FALSE),main!$K$18:$O$18,0),0))),0)</f>
        <v>0</v>
      </c>
      <c r="X44">
        <f>IF((gamma!X44),IF(VLOOKUP(X$1,main!$A$3:$I$56,7,FALSE)=VLOOKUP($A44,main!$A$3:$I$56,8,FALSE),VLOOKUP(X$1,main!$A$3:$I$56,4,FALSE),VLOOKUP(X$1,main!$A$3:$I$56,4,FALSE)+VLOOKUP($A44,main!$A$3:$I$56,4,FALSE)+(VLOOKUP(VLOOKUP(X$1,main!$A$3:$I$56,8,FALSE),main!$K$19:$O$22,MATCH(VLOOKUP($A44,main!$A$3:$I$56,7,FALSE),main!$K$18:$O$18,0),0))),0)</f>
        <v>300</v>
      </c>
      <c r="Y44">
        <f>IF((gamma!Y44),IF(VLOOKUP(Y$1,main!$A$3:$I$56,7,FALSE)=VLOOKUP($A44,main!$A$3:$I$56,8,FALSE),VLOOKUP(Y$1,main!$A$3:$I$56,4,FALSE),VLOOKUP(Y$1,main!$A$3:$I$56,4,FALSE)+VLOOKUP($A44,main!$A$3:$I$56,4,FALSE)+(VLOOKUP(VLOOKUP(Y$1,main!$A$3:$I$56,8,FALSE),main!$K$19:$O$22,MATCH(VLOOKUP($A44,main!$A$3:$I$56,7,FALSE),main!$K$18:$O$18,0),0))),0)</f>
        <v>300</v>
      </c>
      <c r="Z44">
        <f>IF((gamma!Z44),IF(VLOOKUP(Z$1,main!$A$3:$I$56,7,FALSE)=VLOOKUP($A44,main!$A$3:$I$56,8,FALSE),VLOOKUP(Z$1,main!$A$3:$I$56,4,FALSE),VLOOKUP(Z$1,main!$A$3:$I$56,4,FALSE)+VLOOKUP($A44,main!$A$3:$I$56,4,FALSE)+(VLOOKUP(VLOOKUP(Z$1,main!$A$3:$I$56,8,FALSE),main!$K$19:$O$22,MATCH(VLOOKUP($A44,main!$A$3:$I$56,7,FALSE),main!$K$18:$O$18,0),0))),0)</f>
        <v>300</v>
      </c>
      <c r="AA44">
        <f>IF((gamma!AA44),IF(VLOOKUP(AA$1,main!$A$3:$I$56,7,FALSE)=VLOOKUP($A44,main!$A$3:$I$56,8,FALSE),VLOOKUP(AA$1,main!$A$3:$I$56,4,FALSE),VLOOKUP(AA$1,main!$A$3:$I$56,4,FALSE)+VLOOKUP($A44,main!$A$3:$I$56,4,FALSE)+(VLOOKUP(VLOOKUP(AA$1,main!$A$3:$I$56,8,FALSE),main!$K$19:$O$22,MATCH(VLOOKUP($A44,main!$A$3:$I$56,7,FALSE),main!$K$18:$O$18,0),0))),0)</f>
        <v>300</v>
      </c>
      <c r="AB44">
        <f>IF((gamma!AB44),IF(VLOOKUP(AB$1,main!$A$3:$I$56,7,FALSE)=VLOOKUP($A44,main!$A$3:$I$56,8,FALSE),VLOOKUP(AB$1,main!$A$3:$I$56,4,FALSE),VLOOKUP(AB$1,main!$A$3:$I$56,4,FALSE)+VLOOKUP($A44,main!$A$3:$I$56,4,FALSE)+(VLOOKUP(VLOOKUP(AB$1,main!$A$3:$I$56,8,FALSE),main!$K$19:$O$22,MATCH(VLOOKUP($A44,main!$A$3:$I$56,7,FALSE),main!$K$18:$O$18,0),0))),0)</f>
        <v>300</v>
      </c>
      <c r="AC44">
        <f>IF((gamma!AC44),IF(VLOOKUP(AC$1,main!$A$3:$I$56,7,FALSE)=VLOOKUP($A44,main!$A$3:$I$56,8,FALSE),VLOOKUP(AC$1,main!$A$3:$I$56,4,FALSE),VLOOKUP(AC$1,main!$A$3:$I$56,4,FALSE)+VLOOKUP($A44,main!$A$3:$I$56,4,FALSE)+(VLOOKUP(VLOOKUP(AC$1,main!$A$3:$I$56,8,FALSE),main!$K$19:$O$22,MATCH(VLOOKUP($A44,main!$A$3:$I$56,7,FALSE),main!$K$18:$O$18,0),0))),0)</f>
        <v>0</v>
      </c>
      <c r="AD44">
        <f>IF((gamma!AD44),IF(VLOOKUP(AD$1,main!$A$3:$I$56,7,FALSE)=VLOOKUP($A44,main!$A$3:$I$56,8,FALSE),VLOOKUP(AD$1,main!$A$3:$I$56,4,FALSE),VLOOKUP(AD$1,main!$A$3:$I$56,4,FALSE)+VLOOKUP($A44,main!$A$3:$I$56,4,FALSE)+(VLOOKUP(VLOOKUP(AD$1,main!$A$3:$I$56,8,FALSE),main!$K$19:$O$22,MATCH(VLOOKUP($A44,main!$A$3:$I$56,7,FALSE),main!$K$18:$O$18,0),0))),0)</f>
        <v>0</v>
      </c>
      <c r="AE44">
        <f>IF((gamma!AE44),IF(VLOOKUP(AE$1,main!$A$3:$I$56,7,FALSE)=VLOOKUP($A44,main!$A$3:$I$56,8,FALSE),VLOOKUP(AE$1,main!$A$3:$I$56,4,FALSE),VLOOKUP(AE$1,main!$A$3:$I$56,4,FALSE)+VLOOKUP($A44,main!$A$3:$I$56,4,FALSE)+(VLOOKUP(VLOOKUP(AE$1,main!$A$3:$I$56,8,FALSE),main!$K$19:$O$22,MATCH(VLOOKUP($A44,main!$A$3:$I$56,7,FALSE),main!$K$18:$O$18,0),0))),0)</f>
        <v>255</v>
      </c>
      <c r="AF44">
        <f>IF((gamma!AF44),IF(VLOOKUP(AF$1,main!$A$3:$I$56,7,FALSE)=VLOOKUP($A44,main!$A$3:$I$56,8,FALSE),VLOOKUP(AF$1,main!$A$3:$I$56,4,FALSE),VLOOKUP(AF$1,main!$A$3:$I$56,4,FALSE)+VLOOKUP($A44,main!$A$3:$I$56,4,FALSE)+(VLOOKUP(VLOOKUP(AF$1,main!$A$3:$I$56,8,FALSE),main!$K$19:$O$22,MATCH(VLOOKUP($A44,main!$A$3:$I$56,7,FALSE),main!$K$18:$O$18,0),0))),0)</f>
        <v>265</v>
      </c>
      <c r="AG44">
        <f>IF((gamma!AG44),IF(VLOOKUP(AG$1,main!$A$3:$I$56,7,FALSE)=VLOOKUP($A44,main!$A$3:$I$56,8,FALSE),VLOOKUP(AG$1,main!$A$3:$I$56,4,FALSE),VLOOKUP(AG$1,main!$A$3:$I$56,4,FALSE)+VLOOKUP($A44,main!$A$3:$I$56,4,FALSE)+(VLOOKUP(VLOOKUP(AG$1,main!$A$3:$I$56,8,FALSE),main!$K$19:$O$22,MATCH(VLOOKUP($A44,main!$A$3:$I$56,7,FALSE),main!$K$18:$O$18,0),0))),0)</f>
        <v>0</v>
      </c>
      <c r="AH44">
        <f>IF((gamma!AH44),IF(VLOOKUP(AH$1,main!$A$3:$I$56,7,FALSE)=VLOOKUP($A44,main!$A$3:$I$56,8,FALSE),VLOOKUP(AH$1,main!$A$3:$I$56,4,FALSE),VLOOKUP(AH$1,main!$A$3:$I$56,4,FALSE)+VLOOKUP($A44,main!$A$3:$I$56,4,FALSE)+(VLOOKUP(VLOOKUP(AH$1,main!$A$3:$I$56,8,FALSE),main!$K$19:$O$22,MATCH(VLOOKUP($A44,main!$A$3:$I$56,7,FALSE),main!$K$18:$O$18,0),0))),0)</f>
        <v>0</v>
      </c>
      <c r="AI44">
        <f>IF((gamma!AI44),IF(VLOOKUP(AI$1,main!$A$3:$I$56,7,FALSE)=VLOOKUP($A44,main!$A$3:$I$56,8,FALSE),VLOOKUP(AI$1,main!$A$3:$I$56,4,FALSE),VLOOKUP(AI$1,main!$A$3:$I$56,4,FALSE)+VLOOKUP($A44,main!$A$3:$I$56,4,FALSE)+(VLOOKUP(VLOOKUP(AI$1,main!$A$3:$I$56,8,FALSE),main!$K$19:$O$22,MATCH(VLOOKUP($A44,main!$A$3:$I$56,7,FALSE),main!$K$18:$O$18,0),0))),0)</f>
        <v>305</v>
      </c>
      <c r="AJ44">
        <f>IF((gamma!AJ44),IF(VLOOKUP(AJ$1,main!$A$3:$I$56,7,FALSE)=VLOOKUP($A44,main!$A$3:$I$56,8,FALSE),VLOOKUP(AJ$1,main!$A$3:$I$56,4,FALSE),VLOOKUP(AJ$1,main!$A$3:$I$56,4,FALSE)+VLOOKUP($A44,main!$A$3:$I$56,4,FALSE)+(VLOOKUP(VLOOKUP(AJ$1,main!$A$3:$I$56,8,FALSE),main!$K$19:$O$22,MATCH(VLOOKUP($A44,main!$A$3:$I$56,7,FALSE),main!$K$18:$O$18,0),0))),0)</f>
        <v>305</v>
      </c>
      <c r="AK44">
        <f>IF((gamma!AK44),IF(VLOOKUP(AK$1,main!$A$3:$I$56,7,FALSE)=VLOOKUP($A44,main!$A$3:$I$56,8,FALSE),VLOOKUP(AK$1,main!$A$3:$I$56,4,FALSE),VLOOKUP(AK$1,main!$A$3:$I$56,4,FALSE)+VLOOKUP($A44,main!$A$3:$I$56,4,FALSE)+(VLOOKUP(VLOOKUP(AK$1,main!$A$3:$I$56,8,FALSE),main!$K$19:$O$22,MATCH(VLOOKUP($A44,main!$A$3:$I$56,7,FALSE),main!$K$18:$O$18,0),0))),0)</f>
        <v>305</v>
      </c>
      <c r="AL44">
        <f>IF((gamma!AL44),IF(VLOOKUP(AL$1,main!$A$3:$I$56,7,FALSE)=VLOOKUP($A44,main!$A$3:$I$56,8,FALSE),VLOOKUP(AL$1,main!$A$3:$I$56,4,FALSE),VLOOKUP(AL$1,main!$A$3:$I$56,4,FALSE)+VLOOKUP($A44,main!$A$3:$I$56,4,FALSE)+(VLOOKUP(VLOOKUP(AL$1,main!$A$3:$I$56,8,FALSE),main!$K$19:$O$22,MATCH(VLOOKUP($A44,main!$A$3:$I$56,7,FALSE),main!$K$18:$O$18,0),0))),0)</f>
        <v>0</v>
      </c>
      <c r="AM44">
        <f>IF((gamma!AM44),IF(VLOOKUP(AM$1,main!$A$3:$I$56,7,FALSE)=VLOOKUP($A44,main!$A$3:$I$56,8,FALSE),VLOOKUP(AM$1,main!$A$3:$I$56,4,FALSE),VLOOKUP(AM$1,main!$A$3:$I$56,4,FALSE)+VLOOKUP($A44,main!$A$3:$I$56,4,FALSE)+(VLOOKUP(VLOOKUP(AM$1,main!$A$3:$I$56,8,FALSE),main!$K$19:$O$22,MATCH(VLOOKUP($A44,main!$A$3:$I$56,7,FALSE),main!$K$18:$O$18,0),0))),0)</f>
        <v>0</v>
      </c>
      <c r="AN44">
        <f>IF((gamma!AN44),IF(VLOOKUP(AN$1,main!$A$3:$I$56,7,FALSE)=VLOOKUP($A44,main!$A$3:$I$56,8,FALSE),VLOOKUP(AN$1,main!$A$3:$I$56,4,FALSE),VLOOKUP(AN$1,main!$A$3:$I$56,4,FALSE)+VLOOKUP($A44,main!$A$3:$I$56,4,FALSE)+(VLOOKUP(VLOOKUP(AN$1,main!$A$3:$I$56,8,FALSE),main!$K$19:$O$22,MATCH(VLOOKUP($A44,main!$A$3:$I$56,7,FALSE),main!$K$18:$O$18,0),0))),0)</f>
        <v>283</v>
      </c>
      <c r="AO44">
        <f>IF((gamma!AO44),IF(VLOOKUP(AO$1,main!$A$3:$I$56,7,FALSE)=VLOOKUP($A44,main!$A$3:$I$56,8,FALSE),VLOOKUP(AO$1,main!$A$3:$I$56,4,FALSE),VLOOKUP(AO$1,main!$A$3:$I$56,4,FALSE)+VLOOKUP($A44,main!$A$3:$I$56,4,FALSE)+(VLOOKUP(VLOOKUP(AO$1,main!$A$3:$I$56,8,FALSE),main!$K$19:$O$22,MATCH(VLOOKUP($A44,main!$A$3:$I$56,7,FALSE),main!$K$18:$O$18,0),0))),0)</f>
        <v>293</v>
      </c>
      <c r="AP44">
        <f>IF((gamma!AP44),IF(VLOOKUP(AP$1,main!$A$3:$I$56,7,FALSE)=VLOOKUP($A44,main!$A$3:$I$56,8,FALSE),VLOOKUP(AP$1,main!$A$3:$I$56,4,FALSE),VLOOKUP(AP$1,main!$A$3:$I$56,4,FALSE)+VLOOKUP($A44,main!$A$3:$I$56,4,FALSE)+(VLOOKUP(VLOOKUP(AP$1,main!$A$3:$I$56,8,FALSE),main!$K$19:$O$22,MATCH(VLOOKUP($A44,main!$A$3:$I$56,7,FALSE),main!$K$18:$O$18,0),0))),0)</f>
        <v>0</v>
      </c>
      <c r="AQ44">
        <f>IF((gamma!AQ44),IF(VLOOKUP(AQ$1,main!$A$3:$I$56,7,FALSE)=VLOOKUP($A44,main!$A$3:$I$56,8,FALSE),VLOOKUP(AQ$1,main!$A$3:$I$56,4,FALSE),VLOOKUP(AQ$1,main!$A$3:$I$56,4,FALSE)+VLOOKUP($A44,main!$A$3:$I$56,4,FALSE)+(VLOOKUP(VLOOKUP(AQ$1,main!$A$3:$I$56,8,FALSE),main!$K$19:$O$22,MATCH(VLOOKUP($A44,main!$A$3:$I$56,7,FALSE),main!$K$18:$O$18,0),0))),0)</f>
        <v>0</v>
      </c>
      <c r="AR44">
        <f>IF((gamma!AR44),IF(VLOOKUP(AR$1,main!$A$3:$I$56,7,FALSE)=VLOOKUP($A44,main!$A$3:$I$56,8,FALSE),VLOOKUP(AR$1,main!$A$3:$I$56,4,FALSE),VLOOKUP(AR$1,main!$A$3:$I$56,4,FALSE)+VLOOKUP($A44,main!$A$3:$I$56,4,FALSE)+(VLOOKUP(VLOOKUP(AR$1,main!$A$3:$I$56,8,FALSE),main!$K$19:$O$22,MATCH(VLOOKUP($A44,main!$A$3:$I$56,7,FALSE),main!$K$18:$O$18,0),0))),0)</f>
        <v>0</v>
      </c>
      <c r="AS44">
        <f>IF((gamma!AS44),IF(VLOOKUP(AS$1,main!$A$3:$I$56,7,FALSE)=VLOOKUP($A44,main!$A$3:$I$56,8,FALSE),VLOOKUP(AS$1,main!$A$3:$I$56,4,FALSE),VLOOKUP(AS$1,main!$A$3:$I$56,4,FALSE)+VLOOKUP($A44,main!$A$3:$I$56,4,FALSE)+(VLOOKUP(VLOOKUP(AS$1,main!$A$3:$I$56,8,FALSE),main!$K$19:$O$22,MATCH(VLOOKUP($A44,main!$A$3:$I$56,7,FALSE),main!$K$18:$O$18,0),0))),0)</f>
        <v>0</v>
      </c>
      <c r="AT44">
        <f>IF((gamma!AT44),IF(VLOOKUP(AT$1,main!$A$3:$I$56,7,FALSE)=VLOOKUP($A44,main!$A$3:$I$56,8,FALSE),VLOOKUP(AT$1,main!$A$3:$I$56,4,FALSE),VLOOKUP(AT$1,main!$A$3:$I$56,4,FALSE)+VLOOKUP($A44,main!$A$3:$I$56,4,FALSE)+(VLOOKUP(VLOOKUP(AT$1,main!$A$3:$I$56,8,FALSE),main!$K$19:$O$22,MATCH(VLOOKUP($A44,main!$A$3:$I$56,7,FALSE),main!$K$18:$O$18,0),0))),0)</f>
        <v>288</v>
      </c>
      <c r="AU44">
        <f>IF((gamma!AU44),IF(VLOOKUP(AU$1,main!$A$3:$I$56,7,FALSE)=VLOOKUP($A44,main!$A$3:$I$56,8,FALSE),VLOOKUP(AU$1,main!$A$3:$I$56,4,FALSE),VLOOKUP(AU$1,main!$A$3:$I$56,4,FALSE)+VLOOKUP($A44,main!$A$3:$I$56,4,FALSE)+(VLOOKUP(VLOOKUP(AU$1,main!$A$3:$I$56,8,FALSE),main!$K$19:$O$22,MATCH(VLOOKUP($A44,main!$A$3:$I$56,7,FALSE),main!$K$18:$O$18,0),0))),0)</f>
        <v>0</v>
      </c>
      <c r="AV44">
        <f>IF((gamma!AV44),IF(VLOOKUP(AV$1,main!$A$3:$I$56,7,FALSE)=VLOOKUP($A44,main!$A$3:$I$56,8,FALSE),VLOOKUP(AV$1,main!$A$3:$I$56,4,FALSE),VLOOKUP(AV$1,main!$A$3:$I$56,4,FALSE)+VLOOKUP($A44,main!$A$3:$I$56,4,FALSE)+(VLOOKUP(VLOOKUP(AV$1,main!$A$3:$I$56,8,FALSE),main!$K$19:$O$22,MATCH(VLOOKUP($A44,main!$A$3:$I$56,7,FALSE),main!$K$18:$O$18,0),0))),0)</f>
        <v>135</v>
      </c>
      <c r="AW44">
        <f>IF((gamma!AW44),IF(VLOOKUP(AW$1,main!$A$3:$I$56,7,FALSE)=VLOOKUP($A44,main!$A$3:$I$56,8,FALSE),VLOOKUP(AW$1,main!$A$3:$I$56,4,FALSE),VLOOKUP(AW$1,main!$A$3:$I$56,4,FALSE)+VLOOKUP($A44,main!$A$3:$I$56,4,FALSE)+(VLOOKUP(VLOOKUP(AW$1,main!$A$3:$I$56,8,FALSE),main!$K$19:$O$22,MATCH(VLOOKUP($A44,main!$A$3:$I$56,7,FALSE),main!$K$18:$O$18,0),0))),0)</f>
        <v>140</v>
      </c>
      <c r="AX44">
        <f>IF((gamma!AX44),IF(VLOOKUP(AX$1,main!$A$3:$I$56,7,FALSE)=VLOOKUP($A44,main!$A$3:$I$56,8,FALSE),VLOOKUP(AX$1,main!$A$3:$I$56,4,FALSE),VLOOKUP(AX$1,main!$A$3:$I$56,4,FALSE)+VLOOKUP($A44,main!$A$3:$I$56,4,FALSE)+(VLOOKUP(VLOOKUP(AX$1,main!$A$3:$I$56,8,FALSE),main!$K$19:$O$22,MATCH(VLOOKUP($A44,main!$A$3:$I$56,7,FALSE),main!$K$18:$O$18,0),0))),0)</f>
        <v>140</v>
      </c>
      <c r="AY44">
        <f>IF((gamma!AY44),IF(VLOOKUP(AY$1,main!$A$3:$I$56,7,FALSE)=VLOOKUP($A44,main!$A$3:$I$56,8,FALSE),VLOOKUP(AY$1,main!$A$3:$I$56,4,FALSE),VLOOKUP(AY$1,main!$A$3:$I$56,4,FALSE)+VLOOKUP($A44,main!$A$3:$I$56,4,FALSE)+(VLOOKUP(VLOOKUP(AY$1,main!$A$3:$I$56,8,FALSE),main!$K$19:$O$22,MATCH(VLOOKUP($A44,main!$A$3:$I$56,7,FALSE),main!$K$18:$O$18,0),0))),0)</f>
        <v>140</v>
      </c>
      <c r="AZ44">
        <f>IF((gamma!AZ44),IF(VLOOKUP(AZ$1,main!$A$3:$I$56,7,FALSE)=VLOOKUP($A44,main!$A$3:$I$56,8,FALSE),VLOOKUP(AZ$1,main!$A$3:$I$56,4,FALSE),VLOOKUP(AZ$1,main!$A$3:$I$56,4,FALSE)+VLOOKUP($A44,main!$A$3:$I$56,4,FALSE)+(VLOOKUP(VLOOKUP(AZ$1,main!$A$3:$I$56,8,FALSE),main!$K$19:$O$22,MATCH(VLOOKUP($A44,main!$A$3:$I$56,7,FALSE),main!$K$18:$O$18,0),0))),0)</f>
        <v>0</v>
      </c>
      <c r="BA44">
        <f>IF((gamma!BA44),IF(VLOOKUP(BA$1,main!$A$3:$I$56,7,FALSE)=VLOOKUP($A44,main!$A$3:$I$56,8,FALSE),VLOOKUP(BA$1,main!$A$3:$I$56,4,FALSE),VLOOKUP(BA$1,main!$A$3:$I$56,4,FALSE)+VLOOKUP($A44,main!$A$3:$I$56,4,FALSE)+(VLOOKUP(VLOOKUP(BA$1,main!$A$3:$I$56,8,FALSE),main!$K$19:$O$22,MATCH(VLOOKUP($A44,main!$A$3:$I$56,7,FALSE),main!$K$18:$O$18,0),0))),0)</f>
        <v>120</v>
      </c>
      <c r="BB44">
        <f>IF((gamma!BB44),IF(VLOOKUP(BB$1,main!$A$3:$I$56,7,FALSE)=VLOOKUP($A44,main!$A$3:$I$56,8,FALSE),VLOOKUP(BB$1,main!$A$3:$I$56,4,FALSE),VLOOKUP(BB$1,main!$A$3:$I$56,4,FALSE)+VLOOKUP($A44,main!$A$3:$I$56,4,FALSE)+(VLOOKUP(VLOOKUP(BB$1,main!$A$3:$I$56,8,FALSE),main!$K$19:$O$22,MATCH(VLOOKUP($A44,main!$A$3:$I$56,7,FALSE),main!$K$18:$O$18,0),0))),0)</f>
        <v>120</v>
      </c>
      <c r="BC44">
        <f>IF((gamma!BC44),IF(VLOOKUP(BC$1,main!$A$3:$I$56,7,FALSE)=VLOOKUP($A44,main!$A$3:$I$56,8,FALSE),VLOOKUP(BC$1,main!$A$3:$I$56,4,FALSE),VLOOKUP(BC$1,main!$A$3:$I$56,4,FALSE)+VLOOKUP($A44,main!$A$3:$I$56,4,FALSE)+(VLOOKUP(VLOOKUP(BC$1,main!$A$3:$I$56,8,FALSE),main!$K$19:$O$22,MATCH(VLOOKUP($A44,main!$A$3:$I$56,7,FALSE),main!$K$18:$O$18,0),0))),0)</f>
        <v>135</v>
      </c>
      <c r="BD44">
        <f>IF((gamma!BD44),IF(VLOOKUP(BD$1,main!$A$3:$I$56,7,FALSE)=VLOOKUP($A44,main!$A$3:$I$56,8,FALSE),VLOOKUP(BD$1,main!$A$3:$I$56,4,FALSE),VLOOKUP(BD$1,main!$A$3:$I$56,4,FALSE)+VLOOKUP($A44,main!$A$3:$I$56,4,FALSE)+(VLOOKUP(VLOOKUP(BD$1,main!$A$3:$I$56,8,FALSE),main!$K$19:$O$22,MATCH(VLOOKUP($A44,main!$A$3:$I$56,7,FALSE),main!$K$18:$O$18,0),0))),0)</f>
        <v>135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>
        <f t="shared" si="0"/>
        <v>43</v>
      </c>
      <c r="B45">
        <v>0</v>
      </c>
      <c r="C45">
        <f>IF((gamma!C45),IF(VLOOKUP(C$1,main!$A$3:$I$56,7,FALSE)=VLOOKUP($A45,main!$A$3:$I$56,8,FALSE),VLOOKUP(C$1,main!$A$3:$I$56,4,FALSE),VLOOKUP(C$1,main!$A$3:$I$56,4,FALSE)+VLOOKUP($A45,main!$A$3:$I$56,4,FALSE)+(VLOOKUP(VLOOKUP(C$1,main!$A$3:$I$56,8,FALSE),main!$K$19:$O$22,MATCH(VLOOKUP($A45,main!$A$3:$I$56,7,FALSE),main!$K$18:$O$18,0),0))),0)</f>
        <v>0</v>
      </c>
      <c r="D45">
        <f>IF((gamma!D45),IF(VLOOKUP(D$1,main!$A$3:$I$56,7,FALSE)=VLOOKUP($A45,main!$A$3:$I$56,8,FALSE),VLOOKUP(D$1,main!$A$3:$I$56,4,FALSE),VLOOKUP(D$1,main!$A$3:$I$56,4,FALSE)+VLOOKUP($A45,main!$A$3:$I$56,4,FALSE)+(VLOOKUP(VLOOKUP(D$1,main!$A$3:$I$56,8,FALSE),main!$K$19:$O$22,MATCH(VLOOKUP($A45,main!$A$3:$I$56,7,FALSE),main!$K$18:$O$18,0),0))),0)</f>
        <v>0</v>
      </c>
      <c r="E45">
        <f>IF((gamma!E45),IF(VLOOKUP(E$1,main!$A$3:$I$56,7,FALSE)=VLOOKUP($A45,main!$A$3:$I$56,8,FALSE),VLOOKUP(E$1,main!$A$3:$I$56,4,FALSE),VLOOKUP(E$1,main!$A$3:$I$56,4,FALSE)+VLOOKUP($A45,main!$A$3:$I$56,4,FALSE)+(VLOOKUP(VLOOKUP(E$1,main!$A$3:$I$56,8,FALSE),main!$K$19:$O$22,MATCH(VLOOKUP($A45,main!$A$3:$I$56,7,FALSE),main!$K$18:$O$18,0),0))),0)</f>
        <v>0</v>
      </c>
      <c r="F45">
        <f>IF((gamma!F45),IF(VLOOKUP(F$1,main!$A$3:$I$56,7,FALSE)=VLOOKUP($A45,main!$A$3:$I$56,8,FALSE),VLOOKUP(F$1,main!$A$3:$I$56,4,FALSE),VLOOKUP(F$1,main!$A$3:$I$56,4,FALSE)+VLOOKUP($A45,main!$A$3:$I$56,4,FALSE)+(VLOOKUP(VLOOKUP(F$1,main!$A$3:$I$56,8,FALSE),main!$K$19:$O$22,MATCH(VLOOKUP($A45,main!$A$3:$I$56,7,FALSE),main!$K$18:$O$18,0),0))),0)</f>
        <v>0</v>
      </c>
      <c r="G45">
        <f>IF((gamma!G45),IF(VLOOKUP(G$1,main!$A$3:$I$56,7,FALSE)=VLOOKUP($A45,main!$A$3:$I$56,8,FALSE),VLOOKUP(G$1,main!$A$3:$I$56,4,FALSE),VLOOKUP(G$1,main!$A$3:$I$56,4,FALSE)+VLOOKUP($A45,main!$A$3:$I$56,4,FALSE)+(VLOOKUP(VLOOKUP(G$1,main!$A$3:$I$56,8,FALSE),main!$K$19:$O$22,MATCH(VLOOKUP($A45,main!$A$3:$I$56,7,FALSE),main!$K$18:$O$18,0),0))),0)</f>
        <v>298</v>
      </c>
      <c r="H45">
        <f>IF((gamma!H45),IF(VLOOKUP(H$1,main!$A$3:$I$56,7,FALSE)=VLOOKUP($A45,main!$A$3:$I$56,8,FALSE),VLOOKUP(H$1,main!$A$3:$I$56,4,FALSE),VLOOKUP(H$1,main!$A$3:$I$56,4,FALSE)+VLOOKUP($A45,main!$A$3:$I$56,4,FALSE)+(VLOOKUP(VLOOKUP(H$1,main!$A$3:$I$56,8,FALSE),main!$K$19:$O$22,MATCH(VLOOKUP($A45,main!$A$3:$I$56,7,FALSE),main!$K$18:$O$18,0),0))),0)</f>
        <v>298</v>
      </c>
      <c r="I45">
        <f>IF((gamma!I45),IF(VLOOKUP(I$1,main!$A$3:$I$56,7,FALSE)=VLOOKUP($A45,main!$A$3:$I$56,8,FALSE),VLOOKUP(I$1,main!$A$3:$I$56,4,FALSE),VLOOKUP(I$1,main!$A$3:$I$56,4,FALSE)+VLOOKUP($A45,main!$A$3:$I$56,4,FALSE)+(VLOOKUP(VLOOKUP(I$1,main!$A$3:$I$56,8,FALSE),main!$K$19:$O$22,MATCH(VLOOKUP($A45,main!$A$3:$I$56,7,FALSE),main!$K$18:$O$18,0),0))),0)</f>
        <v>298</v>
      </c>
      <c r="J45">
        <f>IF((gamma!J45),IF(VLOOKUP(J$1,main!$A$3:$I$56,7,FALSE)=VLOOKUP($A45,main!$A$3:$I$56,8,FALSE),VLOOKUP(J$1,main!$A$3:$I$56,4,FALSE),VLOOKUP(J$1,main!$A$3:$I$56,4,FALSE)+VLOOKUP($A45,main!$A$3:$I$56,4,FALSE)+(VLOOKUP(VLOOKUP(J$1,main!$A$3:$I$56,8,FALSE),main!$K$19:$O$22,MATCH(VLOOKUP($A45,main!$A$3:$I$56,7,FALSE),main!$K$18:$O$18,0),0))),0)</f>
        <v>298</v>
      </c>
      <c r="K45">
        <f>IF((gamma!K45),IF(VLOOKUP(K$1,main!$A$3:$I$56,7,FALSE)=VLOOKUP($A45,main!$A$3:$I$56,8,FALSE),VLOOKUP(K$1,main!$A$3:$I$56,4,FALSE),VLOOKUP(K$1,main!$A$3:$I$56,4,FALSE)+VLOOKUP($A45,main!$A$3:$I$56,4,FALSE)+(VLOOKUP(VLOOKUP(K$1,main!$A$3:$I$56,8,FALSE),main!$K$19:$O$22,MATCH(VLOOKUP($A45,main!$A$3:$I$56,7,FALSE),main!$K$18:$O$18,0),0))),0)</f>
        <v>0</v>
      </c>
      <c r="L45">
        <f>IF((gamma!L45),IF(VLOOKUP(L$1,main!$A$3:$I$56,7,FALSE)=VLOOKUP($A45,main!$A$3:$I$56,8,FALSE),VLOOKUP(L$1,main!$A$3:$I$56,4,FALSE),VLOOKUP(L$1,main!$A$3:$I$56,4,FALSE)+VLOOKUP($A45,main!$A$3:$I$56,4,FALSE)+(VLOOKUP(VLOOKUP(L$1,main!$A$3:$I$56,8,FALSE),main!$K$19:$O$22,MATCH(VLOOKUP($A45,main!$A$3:$I$56,7,FALSE),main!$K$18:$O$18,0),0))),0)</f>
        <v>0</v>
      </c>
      <c r="M45">
        <f>IF((gamma!M45),IF(VLOOKUP(M$1,main!$A$3:$I$56,7,FALSE)=VLOOKUP($A45,main!$A$3:$I$56,8,FALSE),VLOOKUP(M$1,main!$A$3:$I$56,4,FALSE),VLOOKUP(M$1,main!$A$3:$I$56,4,FALSE)+VLOOKUP($A45,main!$A$3:$I$56,4,FALSE)+(VLOOKUP(VLOOKUP(M$1,main!$A$3:$I$56,8,FALSE),main!$K$19:$O$22,MATCH(VLOOKUP($A45,main!$A$3:$I$56,7,FALSE),main!$K$18:$O$18,0),0))),0)</f>
        <v>0</v>
      </c>
      <c r="N45">
        <f>IF((gamma!N45),IF(VLOOKUP(N$1,main!$A$3:$I$56,7,FALSE)=VLOOKUP($A45,main!$A$3:$I$56,8,FALSE),VLOOKUP(N$1,main!$A$3:$I$56,4,FALSE),VLOOKUP(N$1,main!$A$3:$I$56,4,FALSE)+VLOOKUP($A45,main!$A$3:$I$56,4,FALSE)+(VLOOKUP(VLOOKUP(N$1,main!$A$3:$I$56,8,FALSE),main!$K$19:$O$22,MATCH(VLOOKUP($A45,main!$A$3:$I$56,7,FALSE),main!$K$18:$O$18,0),0))),0)</f>
        <v>275</v>
      </c>
      <c r="O45">
        <f>IF((gamma!O45),IF(VLOOKUP(O$1,main!$A$3:$I$56,7,FALSE)=VLOOKUP($A45,main!$A$3:$I$56,8,FALSE),VLOOKUP(O$1,main!$A$3:$I$56,4,FALSE),VLOOKUP(O$1,main!$A$3:$I$56,4,FALSE)+VLOOKUP($A45,main!$A$3:$I$56,4,FALSE)+(VLOOKUP(VLOOKUP(O$1,main!$A$3:$I$56,8,FALSE),main!$K$19:$O$22,MATCH(VLOOKUP($A45,main!$A$3:$I$56,7,FALSE),main!$K$18:$O$18,0),0))),0)</f>
        <v>275</v>
      </c>
      <c r="P45">
        <f>IF((gamma!P45),IF(VLOOKUP(P$1,main!$A$3:$I$56,7,FALSE)=VLOOKUP($A45,main!$A$3:$I$56,8,FALSE),VLOOKUP(P$1,main!$A$3:$I$56,4,FALSE),VLOOKUP(P$1,main!$A$3:$I$56,4,FALSE)+VLOOKUP($A45,main!$A$3:$I$56,4,FALSE)+(VLOOKUP(VLOOKUP(P$1,main!$A$3:$I$56,8,FALSE),main!$K$19:$O$22,MATCH(VLOOKUP($A45,main!$A$3:$I$56,7,FALSE),main!$K$18:$O$18,0),0))),0)</f>
        <v>0</v>
      </c>
      <c r="Q45">
        <f>IF((gamma!Q45),IF(VLOOKUP(Q$1,main!$A$3:$I$56,7,FALSE)=VLOOKUP($A45,main!$A$3:$I$56,8,FALSE),VLOOKUP(Q$1,main!$A$3:$I$56,4,FALSE),VLOOKUP(Q$1,main!$A$3:$I$56,4,FALSE)+VLOOKUP($A45,main!$A$3:$I$56,4,FALSE)+(VLOOKUP(VLOOKUP(Q$1,main!$A$3:$I$56,8,FALSE),main!$K$19:$O$22,MATCH(VLOOKUP($A45,main!$A$3:$I$56,7,FALSE),main!$K$18:$O$18,0),0))),0)</f>
        <v>0</v>
      </c>
      <c r="R45">
        <f>IF((gamma!R45),IF(VLOOKUP(R$1,main!$A$3:$I$56,7,FALSE)=VLOOKUP($A45,main!$A$3:$I$56,8,FALSE),VLOOKUP(R$1,main!$A$3:$I$56,4,FALSE),VLOOKUP(R$1,main!$A$3:$I$56,4,FALSE)+VLOOKUP($A45,main!$A$3:$I$56,4,FALSE)+(VLOOKUP(VLOOKUP(R$1,main!$A$3:$I$56,8,FALSE),main!$K$19:$O$22,MATCH(VLOOKUP($A45,main!$A$3:$I$56,7,FALSE),main!$K$18:$O$18,0),0))),0)</f>
        <v>0</v>
      </c>
      <c r="S45">
        <f>IF((gamma!S45),IF(VLOOKUP(S$1,main!$A$3:$I$56,7,FALSE)=VLOOKUP($A45,main!$A$3:$I$56,8,FALSE),VLOOKUP(S$1,main!$A$3:$I$56,4,FALSE),VLOOKUP(S$1,main!$A$3:$I$56,4,FALSE)+VLOOKUP($A45,main!$A$3:$I$56,4,FALSE)+(VLOOKUP(VLOOKUP(S$1,main!$A$3:$I$56,8,FALSE),main!$K$19:$O$22,MATCH(VLOOKUP($A45,main!$A$3:$I$56,7,FALSE),main!$K$18:$O$18,0),0))),0)</f>
        <v>308</v>
      </c>
      <c r="T45">
        <f>IF((gamma!T45),IF(VLOOKUP(T$1,main!$A$3:$I$56,7,FALSE)=VLOOKUP($A45,main!$A$3:$I$56,8,FALSE),VLOOKUP(T$1,main!$A$3:$I$56,4,FALSE),VLOOKUP(T$1,main!$A$3:$I$56,4,FALSE)+VLOOKUP($A45,main!$A$3:$I$56,4,FALSE)+(VLOOKUP(VLOOKUP(T$1,main!$A$3:$I$56,8,FALSE),main!$K$19:$O$22,MATCH(VLOOKUP($A45,main!$A$3:$I$56,7,FALSE),main!$K$18:$O$18,0),0))),0)</f>
        <v>308</v>
      </c>
      <c r="U45">
        <f>IF((gamma!U45),IF(VLOOKUP(U$1,main!$A$3:$I$56,7,FALSE)=VLOOKUP($A45,main!$A$3:$I$56,8,FALSE),VLOOKUP(U$1,main!$A$3:$I$56,4,FALSE),VLOOKUP(U$1,main!$A$3:$I$56,4,FALSE)+VLOOKUP($A45,main!$A$3:$I$56,4,FALSE)+(VLOOKUP(VLOOKUP(U$1,main!$A$3:$I$56,8,FALSE),main!$K$19:$O$22,MATCH(VLOOKUP($A45,main!$A$3:$I$56,7,FALSE),main!$K$18:$O$18,0),0))),0)</f>
        <v>0</v>
      </c>
      <c r="V45">
        <f>IF((gamma!V45),IF(VLOOKUP(V$1,main!$A$3:$I$56,7,FALSE)=VLOOKUP($A45,main!$A$3:$I$56,8,FALSE),VLOOKUP(V$1,main!$A$3:$I$56,4,FALSE),VLOOKUP(V$1,main!$A$3:$I$56,4,FALSE)+VLOOKUP($A45,main!$A$3:$I$56,4,FALSE)+(VLOOKUP(VLOOKUP(V$1,main!$A$3:$I$56,8,FALSE),main!$K$19:$O$22,MATCH(VLOOKUP($A45,main!$A$3:$I$56,7,FALSE),main!$K$18:$O$18,0),0))),0)</f>
        <v>0</v>
      </c>
      <c r="W45">
        <f>IF((gamma!W45),IF(VLOOKUP(W$1,main!$A$3:$I$56,7,FALSE)=VLOOKUP($A45,main!$A$3:$I$56,8,FALSE),VLOOKUP(W$1,main!$A$3:$I$56,4,FALSE),VLOOKUP(W$1,main!$A$3:$I$56,4,FALSE)+VLOOKUP($A45,main!$A$3:$I$56,4,FALSE)+(VLOOKUP(VLOOKUP(W$1,main!$A$3:$I$56,8,FALSE),main!$K$19:$O$22,MATCH(VLOOKUP($A45,main!$A$3:$I$56,7,FALSE),main!$K$18:$O$18,0),0))),0)</f>
        <v>0</v>
      </c>
      <c r="X45">
        <f>IF((gamma!X45),IF(VLOOKUP(X$1,main!$A$3:$I$56,7,FALSE)=VLOOKUP($A45,main!$A$3:$I$56,8,FALSE),VLOOKUP(X$1,main!$A$3:$I$56,4,FALSE),VLOOKUP(X$1,main!$A$3:$I$56,4,FALSE)+VLOOKUP($A45,main!$A$3:$I$56,4,FALSE)+(VLOOKUP(VLOOKUP(X$1,main!$A$3:$I$56,8,FALSE),main!$K$19:$O$22,MATCH(VLOOKUP($A45,main!$A$3:$I$56,7,FALSE),main!$K$18:$O$18,0),0))),0)</f>
        <v>0</v>
      </c>
      <c r="Y45">
        <f>IF((gamma!Y45),IF(VLOOKUP(Y$1,main!$A$3:$I$56,7,FALSE)=VLOOKUP($A45,main!$A$3:$I$56,8,FALSE),VLOOKUP(Y$1,main!$A$3:$I$56,4,FALSE),VLOOKUP(Y$1,main!$A$3:$I$56,4,FALSE)+VLOOKUP($A45,main!$A$3:$I$56,4,FALSE)+(VLOOKUP(VLOOKUP(Y$1,main!$A$3:$I$56,8,FALSE),main!$K$19:$O$22,MATCH(VLOOKUP($A45,main!$A$3:$I$56,7,FALSE),main!$K$18:$O$18,0),0))),0)</f>
        <v>0</v>
      </c>
      <c r="Z45">
        <f>IF((gamma!Z45),IF(VLOOKUP(Z$1,main!$A$3:$I$56,7,FALSE)=VLOOKUP($A45,main!$A$3:$I$56,8,FALSE),VLOOKUP(Z$1,main!$A$3:$I$56,4,FALSE),VLOOKUP(Z$1,main!$A$3:$I$56,4,FALSE)+VLOOKUP($A45,main!$A$3:$I$56,4,FALSE)+(VLOOKUP(VLOOKUP(Z$1,main!$A$3:$I$56,8,FALSE),main!$K$19:$O$22,MATCH(VLOOKUP($A45,main!$A$3:$I$56,7,FALSE),main!$K$18:$O$18,0),0))),0)</f>
        <v>300</v>
      </c>
      <c r="AA45">
        <f>IF((gamma!AA45),IF(VLOOKUP(AA$1,main!$A$3:$I$56,7,FALSE)=VLOOKUP($A45,main!$A$3:$I$56,8,FALSE),VLOOKUP(AA$1,main!$A$3:$I$56,4,FALSE),VLOOKUP(AA$1,main!$A$3:$I$56,4,FALSE)+VLOOKUP($A45,main!$A$3:$I$56,4,FALSE)+(VLOOKUP(VLOOKUP(AA$1,main!$A$3:$I$56,8,FALSE),main!$K$19:$O$22,MATCH(VLOOKUP($A45,main!$A$3:$I$56,7,FALSE),main!$K$18:$O$18,0),0))),0)</f>
        <v>300</v>
      </c>
      <c r="AB45">
        <f>IF((gamma!AB45),IF(VLOOKUP(AB$1,main!$A$3:$I$56,7,FALSE)=VLOOKUP($A45,main!$A$3:$I$56,8,FALSE),VLOOKUP(AB$1,main!$A$3:$I$56,4,FALSE),VLOOKUP(AB$1,main!$A$3:$I$56,4,FALSE)+VLOOKUP($A45,main!$A$3:$I$56,4,FALSE)+(VLOOKUP(VLOOKUP(AB$1,main!$A$3:$I$56,8,FALSE),main!$K$19:$O$22,MATCH(VLOOKUP($A45,main!$A$3:$I$56,7,FALSE),main!$K$18:$O$18,0),0))),0)</f>
        <v>300</v>
      </c>
      <c r="AC45">
        <f>IF((gamma!AC45),IF(VLOOKUP(AC$1,main!$A$3:$I$56,7,FALSE)=VLOOKUP($A45,main!$A$3:$I$56,8,FALSE),VLOOKUP(AC$1,main!$A$3:$I$56,4,FALSE),VLOOKUP(AC$1,main!$A$3:$I$56,4,FALSE)+VLOOKUP($A45,main!$A$3:$I$56,4,FALSE)+(VLOOKUP(VLOOKUP(AC$1,main!$A$3:$I$56,8,FALSE),main!$K$19:$O$22,MATCH(VLOOKUP($A45,main!$A$3:$I$56,7,FALSE),main!$K$18:$O$18,0),0))),0)</f>
        <v>0</v>
      </c>
      <c r="AD45">
        <f>IF((gamma!AD45),IF(VLOOKUP(AD$1,main!$A$3:$I$56,7,FALSE)=VLOOKUP($A45,main!$A$3:$I$56,8,FALSE),VLOOKUP(AD$1,main!$A$3:$I$56,4,FALSE),VLOOKUP(AD$1,main!$A$3:$I$56,4,FALSE)+VLOOKUP($A45,main!$A$3:$I$56,4,FALSE)+(VLOOKUP(VLOOKUP(AD$1,main!$A$3:$I$56,8,FALSE),main!$K$19:$O$22,MATCH(VLOOKUP($A45,main!$A$3:$I$56,7,FALSE),main!$K$18:$O$18,0),0))),0)</f>
        <v>0</v>
      </c>
      <c r="AE45">
        <f>IF((gamma!AE45),IF(VLOOKUP(AE$1,main!$A$3:$I$56,7,FALSE)=VLOOKUP($A45,main!$A$3:$I$56,8,FALSE),VLOOKUP(AE$1,main!$A$3:$I$56,4,FALSE),VLOOKUP(AE$1,main!$A$3:$I$56,4,FALSE)+VLOOKUP($A45,main!$A$3:$I$56,4,FALSE)+(VLOOKUP(VLOOKUP(AE$1,main!$A$3:$I$56,8,FALSE),main!$K$19:$O$22,MATCH(VLOOKUP($A45,main!$A$3:$I$56,7,FALSE),main!$K$18:$O$18,0),0))),0)</f>
        <v>0</v>
      </c>
      <c r="AF45">
        <f>IF((gamma!AF45),IF(VLOOKUP(AF$1,main!$A$3:$I$56,7,FALSE)=VLOOKUP($A45,main!$A$3:$I$56,8,FALSE),VLOOKUP(AF$1,main!$A$3:$I$56,4,FALSE),VLOOKUP(AF$1,main!$A$3:$I$56,4,FALSE)+VLOOKUP($A45,main!$A$3:$I$56,4,FALSE)+(VLOOKUP(VLOOKUP(AF$1,main!$A$3:$I$56,8,FALSE),main!$K$19:$O$22,MATCH(VLOOKUP($A45,main!$A$3:$I$56,7,FALSE),main!$K$18:$O$18,0),0))),0)</f>
        <v>0</v>
      </c>
      <c r="AG45">
        <f>IF((gamma!AG45),IF(VLOOKUP(AG$1,main!$A$3:$I$56,7,FALSE)=VLOOKUP($A45,main!$A$3:$I$56,8,FALSE),VLOOKUP(AG$1,main!$A$3:$I$56,4,FALSE),VLOOKUP(AG$1,main!$A$3:$I$56,4,FALSE)+VLOOKUP($A45,main!$A$3:$I$56,4,FALSE)+(VLOOKUP(VLOOKUP(AG$1,main!$A$3:$I$56,8,FALSE),main!$K$19:$O$22,MATCH(VLOOKUP($A45,main!$A$3:$I$56,7,FALSE),main!$K$18:$O$18,0),0))),0)</f>
        <v>0</v>
      </c>
      <c r="AH45">
        <f>IF((gamma!AH45),IF(VLOOKUP(AH$1,main!$A$3:$I$56,7,FALSE)=VLOOKUP($A45,main!$A$3:$I$56,8,FALSE),VLOOKUP(AH$1,main!$A$3:$I$56,4,FALSE),VLOOKUP(AH$1,main!$A$3:$I$56,4,FALSE)+VLOOKUP($A45,main!$A$3:$I$56,4,FALSE)+(VLOOKUP(VLOOKUP(AH$1,main!$A$3:$I$56,8,FALSE),main!$K$19:$O$22,MATCH(VLOOKUP($A45,main!$A$3:$I$56,7,FALSE),main!$K$18:$O$18,0),0))),0)</f>
        <v>0</v>
      </c>
      <c r="AI45">
        <f>IF((gamma!AI45),IF(VLOOKUP(AI$1,main!$A$3:$I$56,7,FALSE)=VLOOKUP($A45,main!$A$3:$I$56,8,FALSE),VLOOKUP(AI$1,main!$A$3:$I$56,4,FALSE),VLOOKUP(AI$1,main!$A$3:$I$56,4,FALSE)+VLOOKUP($A45,main!$A$3:$I$56,4,FALSE)+(VLOOKUP(VLOOKUP(AI$1,main!$A$3:$I$56,8,FALSE),main!$K$19:$O$22,MATCH(VLOOKUP($A45,main!$A$3:$I$56,7,FALSE),main!$K$18:$O$18,0),0))),0)</f>
        <v>0</v>
      </c>
      <c r="AJ45">
        <f>IF((gamma!AJ45),IF(VLOOKUP(AJ$1,main!$A$3:$I$56,7,FALSE)=VLOOKUP($A45,main!$A$3:$I$56,8,FALSE),VLOOKUP(AJ$1,main!$A$3:$I$56,4,FALSE),VLOOKUP(AJ$1,main!$A$3:$I$56,4,FALSE)+VLOOKUP($A45,main!$A$3:$I$56,4,FALSE)+(VLOOKUP(VLOOKUP(AJ$1,main!$A$3:$I$56,8,FALSE),main!$K$19:$O$22,MATCH(VLOOKUP($A45,main!$A$3:$I$56,7,FALSE),main!$K$18:$O$18,0),0))),0)</f>
        <v>0</v>
      </c>
      <c r="AK45">
        <f>IF((gamma!AK45),IF(VLOOKUP(AK$1,main!$A$3:$I$56,7,FALSE)=VLOOKUP($A45,main!$A$3:$I$56,8,FALSE),VLOOKUP(AK$1,main!$A$3:$I$56,4,FALSE),VLOOKUP(AK$1,main!$A$3:$I$56,4,FALSE)+VLOOKUP($A45,main!$A$3:$I$56,4,FALSE)+(VLOOKUP(VLOOKUP(AK$1,main!$A$3:$I$56,8,FALSE),main!$K$19:$O$22,MATCH(VLOOKUP($A45,main!$A$3:$I$56,7,FALSE),main!$K$18:$O$18,0),0))),0)</f>
        <v>305</v>
      </c>
      <c r="AL45">
        <f>IF((gamma!AL45),IF(VLOOKUP(AL$1,main!$A$3:$I$56,7,FALSE)=VLOOKUP($A45,main!$A$3:$I$56,8,FALSE),VLOOKUP(AL$1,main!$A$3:$I$56,4,FALSE),VLOOKUP(AL$1,main!$A$3:$I$56,4,FALSE)+VLOOKUP($A45,main!$A$3:$I$56,4,FALSE)+(VLOOKUP(VLOOKUP(AL$1,main!$A$3:$I$56,8,FALSE),main!$K$19:$O$22,MATCH(VLOOKUP($A45,main!$A$3:$I$56,7,FALSE),main!$K$18:$O$18,0),0))),0)</f>
        <v>0</v>
      </c>
      <c r="AM45">
        <f>IF((gamma!AM45),IF(VLOOKUP(AM$1,main!$A$3:$I$56,7,FALSE)=VLOOKUP($A45,main!$A$3:$I$56,8,FALSE),VLOOKUP(AM$1,main!$A$3:$I$56,4,FALSE),VLOOKUP(AM$1,main!$A$3:$I$56,4,FALSE)+VLOOKUP($A45,main!$A$3:$I$56,4,FALSE)+(VLOOKUP(VLOOKUP(AM$1,main!$A$3:$I$56,8,FALSE),main!$K$19:$O$22,MATCH(VLOOKUP($A45,main!$A$3:$I$56,7,FALSE),main!$K$18:$O$18,0),0))),0)</f>
        <v>0</v>
      </c>
      <c r="AN45">
        <f>IF((gamma!AN45),IF(VLOOKUP(AN$1,main!$A$3:$I$56,7,FALSE)=VLOOKUP($A45,main!$A$3:$I$56,8,FALSE),VLOOKUP(AN$1,main!$A$3:$I$56,4,FALSE),VLOOKUP(AN$1,main!$A$3:$I$56,4,FALSE)+VLOOKUP($A45,main!$A$3:$I$56,4,FALSE)+(VLOOKUP(VLOOKUP(AN$1,main!$A$3:$I$56,8,FALSE),main!$K$19:$O$22,MATCH(VLOOKUP($A45,main!$A$3:$I$56,7,FALSE),main!$K$18:$O$18,0),0))),0)</f>
        <v>0</v>
      </c>
      <c r="AO45">
        <f>IF((gamma!AO45),IF(VLOOKUP(AO$1,main!$A$3:$I$56,7,FALSE)=VLOOKUP($A45,main!$A$3:$I$56,8,FALSE),VLOOKUP(AO$1,main!$A$3:$I$56,4,FALSE),VLOOKUP(AO$1,main!$A$3:$I$56,4,FALSE)+VLOOKUP($A45,main!$A$3:$I$56,4,FALSE)+(VLOOKUP(VLOOKUP(AO$1,main!$A$3:$I$56,8,FALSE),main!$K$19:$O$22,MATCH(VLOOKUP($A45,main!$A$3:$I$56,7,FALSE),main!$K$18:$O$18,0),0))),0)</f>
        <v>293</v>
      </c>
      <c r="AP45">
        <f>IF((gamma!AP45),IF(VLOOKUP(AP$1,main!$A$3:$I$56,7,FALSE)=VLOOKUP($A45,main!$A$3:$I$56,8,FALSE),VLOOKUP(AP$1,main!$A$3:$I$56,4,FALSE),VLOOKUP(AP$1,main!$A$3:$I$56,4,FALSE)+VLOOKUP($A45,main!$A$3:$I$56,4,FALSE)+(VLOOKUP(VLOOKUP(AP$1,main!$A$3:$I$56,8,FALSE),main!$K$19:$O$22,MATCH(VLOOKUP($A45,main!$A$3:$I$56,7,FALSE),main!$K$18:$O$18,0),0))),0)</f>
        <v>0</v>
      </c>
      <c r="AQ45">
        <f>IF((gamma!AQ45),IF(VLOOKUP(AQ$1,main!$A$3:$I$56,7,FALSE)=VLOOKUP($A45,main!$A$3:$I$56,8,FALSE),VLOOKUP(AQ$1,main!$A$3:$I$56,4,FALSE),VLOOKUP(AQ$1,main!$A$3:$I$56,4,FALSE)+VLOOKUP($A45,main!$A$3:$I$56,4,FALSE)+(VLOOKUP(VLOOKUP(AQ$1,main!$A$3:$I$56,8,FALSE),main!$K$19:$O$22,MATCH(VLOOKUP($A45,main!$A$3:$I$56,7,FALSE),main!$K$18:$O$18,0),0))),0)</f>
        <v>0</v>
      </c>
      <c r="AR45">
        <f>IF((gamma!AR45),IF(VLOOKUP(AR$1,main!$A$3:$I$56,7,FALSE)=VLOOKUP($A45,main!$A$3:$I$56,8,FALSE),VLOOKUP(AR$1,main!$A$3:$I$56,4,FALSE),VLOOKUP(AR$1,main!$A$3:$I$56,4,FALSE)+VLOOKUP($A45,main!$A$3:$I$56,4,FALSE)+(VLOOKUP(VLOOKUP(AR$1,main!$A$3:$I$56,8,FALSE),main!$K$19:$O$22,MATCH(VLOOKUP($A45,main!$A$3:$I$56,7,FALSE),main!$K$18:$O$18,0),0))),0)</f>
        <v>0</v>
      </c>
      <c r="AS45">
        <f>IF((gamma!AS45),IF(VLOOKUP(AS$1,main!$A$3:$I$56,7,FALSE)=VLOOKUP($A45,main!$A$3:$I$56,8,FALSE),VLOOKUP(AS$1,main!$A$3:$I$56,4,FALSE),VLOOKUP(AS$1,main!$A$3:$I$56,4,FALSE)+VLOOKUP($A45,main!$A$3:$I$56,4,FALSE)+(VLOOKUP(VLOOKUP(AS$1,main!$A$3:$I$56,8,FALSE),main!$K$19:$O$22,MATCH(VLOOKUP($A45,main!$A$3:$I$56,7,FALSE),main!$K$18:$O$18,0),0))),0)</f>
        <v>0</v>
      </c>
      <c r="AT45">
        <f>IF((gamma!AT45),IF(VLOOKUP(AT$1,main!$A$3:$I$56,7,FALSE)=VLOOKUP($A45,main!$A$3:$I$56,8,FALSE),VLOOKUP(AT$1,main!$A$3:$I$56,4,FALSE),VLOOKUP(AT$1,main!$A$3:$I$56,4,FALSE)+VLOOKUP($A45,main!$A$3:$I$56,4,FALSE)+(VLOOKUP(VLOOKUP(AT$1,main!$A$3:$I$56,8,FALSE),main!$K$19:$O$22,MATCH(VLOOKUP($A45,main!$A$3:$I$56,7,FALSE),main!$K$18:$O$18,0),0))),0)</f>
        <v>0</v>
      </c>
      <c r="AU45">
        <f>IF((gamma!AU45),IF(VLOOKUP(AU$1,main!$A$3:$I$56,7,FALSE)=VLOOKUP($A45,main!$A$3:$I$56,8,FALSE),VLOOKUP(AU$1,main!$A$3:$I$56,4,FALSE),VLOOKUP(AU$1,main!$A$3:$I$56,4,FALSE)+VLOOKUP($A45,main!$A$3:$I$56,4,FALSE)+(VLOOKUP(VLOOKUP(AU$1,main!$A$3:$I$56,8,FALSE),main!$K$19:$O$22,MATCH(VLOOKUP($A45,main!$A$3:$I$56,7,FALSE),main!$K$18:$O$18,0),0))),0)</f>
        <v>0</v>
      </c>
      <c r="AV45">
        <f>IF((gamma!AV45),IF(VLOOKUP(AV$1,main!$A$3:$I$56,7,FALSE)=VLOOKUP($A45,main!$A$3:$I$56,8,FALSE),VLOOKUP(AV$1,main!$A$3:$I$56,4,FALSE),VLOOKUP(AV$1,main!$A$3:$I$56,4,FALSE)+VLOOKUP($A45,main!$A$3:$I$56,4,FALSE)+(VLOOKUP(VLOOKUP(AV$1,main!$A$3:$I$56,8,FALSE),main!$K$19:$O$22,MATCH(VLOOKUP($A45,main!$A$3:$I$56,7,FALSE),main!$K$18:$O$18,0),0))),0)</f>
        <v>0</v>
      </c>
      <c r="AW45">
        <f>IF((gamma!AW45),IF(VLOOKUP(AW$1,main!$A$3:$I$56,7,FALSE)=VLOOKUP($A45,main!$A$3:$I$56,8,FALSE),VLOOKUP(AW$1,main!$A$3:$I$56,4,FALSE),VLOOKUP(AW$1,main!$A$3:$I$56,4,FALSE)+VLOOKUP($A45,main!$A$3:$I$56,4,FALSE)+(VLOOKUP(VLOOKUP(AW$1,main!$A$3:$I$56,8,FALSE),main!$K$19:$O$22,MATCH(VLOOKUP($A45,main!$A$3:$I$56,7,FALSE),main!$K$18:$O$18,0),0))),0)</f>
        <v>0</v>
      </c>
      <c r="AX45">
        <f>IF((gamma!AX45),IF(VLOOKUP(AX$1,main!$A$3:$I$56,7,FALSE)=VLOOKUP($A45,main!$A$3:$I$56,8,FALSE),VLOOKUP(AX$1,main!$A$3:$I$56,4,FALSE),VLOOKUP(AX$1,main!$A$3:$I$56,4,FALSE)+VLOOKUP($A45,main!$A$3:$I$56,4,FALSE)+(VLOOKUP(VLOOKUP(AX$1,main!$A$3:$I$56,8,FALSE),main!$K$19:$O$22,MATCH(VLOOKUP($A45,main!$A$3:$I$56,7,FALSE),main!$K$18:$O$18,0),0))),0)</f>
        <v>140</v>
      </c>
      <c r="AY45">
        <f>IF((gamma!AY45),IF(VLOOKUP(AY$1,main!$A$3:$I$56,7,FALSE)=VLOOKUP($A45,main!$A$3:$I$56,8,FALSE),VLOOKUP(AY$1,main!$A$3:$I$56,4,FALSE),VLOOKUP(AY$1,main!$A$3:$I$56,4,FALSE)+VLOOKUP($A45,main!$A$3:$I$56,4,FALSE)+(VLOOKUP(VLOOKUP(AY$1,main!$A$3:$I$56,8,FALSE),main!$K$19:$O$22,MATCH(VLOOKUP($A45,main!$A$3:$I$56,7,FALSE),main!$K$18:$O$18,0),0))),0)</f>
        <v>140</v>
      </c>
      <c r="AZ45">
        <f>IF((gamma!AZ45),IF(VLOOKUP(AZ$1,main!$A$3:$I$56,7,FALSE)=VLOOKUP($A45,main!$A$3:$I$56,8,FALSE),VLOOKUP(AZ$1,main!$A$3:$I$56,4,FALSE),VLOOKUP(AZ$1,main!$A$3:$I$56,4,FALSE)+VLOOKUP($A45,main!$A$3:$I$56,4,FALSE)+(VLOOKUP(VLOOKUP(AZ$1,main!$A$3:$I$56,8,FALSE),main!$K$19:$O$22,MATCH(VLOOKUP($A45,main!$A$3:$I$56,7,FALSE),main!$K$18:$O$18,0),0))),0)</f>
        <v>0</v>
      </c>
      <c r="BA45">
        <f>IF((gamma!BA45),IF(VLOOKUP(BA$1,main!$A$3:$I$56,7,FALSE)=VLOOKUP($A45,main!$A$3:$I$56,8,FALSE),VLOOKUP(BA$1,main!$A$3:$I$56,4,FALSE),VLOOKUP(BA$1,main!$A$3:$I$56,4,FALSE)+VLOOKUP($A45,main!$A$3:$I$56,4,FALSE)+(VLOOKUP(VLOOKUP(BA$1,main!$A$3:$I$56,8,FALSE),main!$K$19:$O$22,MATCH(VLOOKUP($A45,main!$A$3:$I$56,7,FALSE),main!$K$18:$O$18,0),0))),0)</f>
        <v>0</v>
      </c>
      <c r="BB45">
        <f>IF((gamma!BB45),IF(VLOOKUP(BB$1,main!$A$3:$I$56,7,FALSE)=VLOOKUP($A45,main!$A$3:$I$56,8,FALSE),VLOOKUP(BB$1,main!$A$3:$I$56,4,FALSE),VLOOKUP(BB$1,main!$A$3:$I$56,4,FALSE)+VLOOKUP($A45,main!$A$3:$I$56,4,FALSE)+(VLOOKUP(VLOOKUP(BB$1,main!$A$3:$I$56,8,FALSE),main!$K$19:$O$22,MATCH(VLOOKUP($A45,main!$A$3:$I$56,7,FALSE),main!$K$18:$O$18,0),0))),0)</f>
        <v>0</v>
      </c>
      <c r="BC45">
        <f>IF((gamma!BC45),IF(VLOOKUP(BC$1,main!$A$3:$I$56,7,FALSE)=VLOOKUP($A45,main!$A$3:$I$56,8,FALSE),VLOOKUP(BC$1,main!$A$3:$I$56,4,FALSE),VLOOKUP(BC$1,main!$A$3:$I$56,4,FALSE)+VLOOKUP($A45,main!$A$3:$I$56,4,FALSE)+(VLOOKUP(VLOOKUP(BC$1,main!$A$3:$I$56,8,FALSE),main!$K$19:$O$22,MATCH(VLOOKUP($A45,main!$A$3:$I$56,7,FALSE),main!$K$18:$O$18,0),0))),0)</f>
        <v>135</v>
      </c>
      <c r="BD45">
        <f>IF((gamma!BD45),IF(VLOOKUP(BD$1,main!$A$3:$I$56,7,FALSE)=VLOOKUP($A45,main!$A$3:$I$56,8,FALSE),VLOOKUP(BD$1,main!$A$3:$I$56,4,FALSE),VLOOKUP(BD$1,main!$A$3:$I$56,4,FALSE)+VLOOKUP($A45,main!$A$3:$I$56,4,FALSE)+(VLOOKUP(VLOOKUP(BD$1,main!$A$3:$I$56,8,FALSE),main!$K$19:$O$22,MATCH(VLOOKUP($A45,main!$A$3:$I$56,7,FALSE),main!$K$18:$O$18,0),0))),0)</f>
        <v>135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>
        <f t="shared" si="0"/>
        <v>44</v>
      </c>
      <c r="B46">
        <v>0</v>
      </c>
      <c r="C46">
        <f>IF((gamma!C46),IF(VLOOKUP(C$1,main!$A$3:$I$56,7,FALSE)=VLOOKUP($A46,main!$A$3:$I$56,8,FALSE),VLOOKUP(C$1,main!$A$3:$I$56,4,FALSE),VLOOKUP(C$1,main!$A$3:$I$56,4,FALSE)+VLOOKUP($A46,main!$A$3:$I$56,4,FALSE)+(VLOOKUP(VLOOKUP(C$1,main!$A$3:$I$56,8,FALSE),main!$K$19:$O$22,MATCH(VLOOKUP($A46,main!$A$3:$I$56,7,FALSE),main!$K$18:$O$18,0),0))),0)</f>
        <v>0</v>
      </c>
      <c r="D46">
        <f>IF((gamma!D46),IF(VLOOKUP(D$1,main!$A$3:$I$56,7,FALSE)=VLOOKUP($A46,main!$A$3:$I$56,8,FALSE),VLOOKUP(D$1,main!$A$3:$I$56,4,FALSE),VLOOKUP(D$1,main!$A$3:$I$56,4,FALSE)+VLOOKUP($A46,main!$A$3:$I$56,4,FALSE)+(VLOOKUP(VLOOKUP(D$1,main!$A$3:$I$56,8,FALSE),main!$K$19:$O$22,MATCH(VLOOKUP($A46,main!$A$3:$I$56,7,FALSE),main!$K$18:$O$18,0),0))),0)</f>
        <v>0</v>
      </c>
      <c r="E46">
        <f>IF((gamma!E46),IF(VLOOKUP(E$1,main!$A$3:$I$56,7,FALSE)=VLOOKUP($A46,main!$A$3:$I$56,8,FALSE),VLOOKUP(E$1,main!$A$3:$I$56,4,FALSE),VLOOKUP(E$1,main!$A$3:$I$56,4,FALSE)+VLOOKUP($A46,main!$A$3:$I$56,4,FALSE)+(VLOOKUP(VLOOKUP(E$1,main!$A$3:$I$56,8,FALSE),main!$K$19:$O$22,MATCH(VLOOKUP($A46,main!$A$3:$I$56,7,FALSE),main!$K$18:$O$18,0),0))),0)</f>
        <v>0</v>
      </c>
      <c r="F46">
        <f>IF((gamma!F46),IF(VLOOKUP(F$1,main!$A$3:$I$56,7,FALSE)=VLOOKUP($A46,main!$A$3:$I$56,8,FALSE),VLOOKUP(F$1,main!$A$3:$I$56,4,FALSE),VLOOKUP(F$1,main!$A$3:$I$56,4,FALSE)+VLOOKUP($A46,main!$A$3:$I$56,4,FALSE)+(VLOOKUP(VLOOKUP(F$1,main!$A$3:$I$56,8,FALSE),main!$K$19:$O$22,MATCH(VLOOKUP($A46,main!$A$3:$I$56,7,FALSE),main!$K$18:$O$18,0),0))),0)</f>
        <v>0</v>
      </c>
      <c r="G46">
        <f>IF((gamma!G46),IF(VLOOKUP(G$1,main!$A$3:$I$56,7,FALSE)=VLOOKUP($A46,main!$A$3:$I$56,8,FALSE),VLOOKUP(G$1,main!$A$3:$I$56,4,FALSE),VLOOKUP(G$1,main!$A$3:$I$56,4,FALSE)+VLOOKUP($A46,main!$A$3:$I$56,4,FALSE)+(VLOOKUP(VLOOKUP(G$1,main!$A$3:$I$56,8,FALSE),main!$K$19:$O$22,MATCH(VLOOKUP($A46,main!$A$3:$I$56,7,FALSE),main!$K$18:$O$18,0),0))),0)</f>
        <v>0</v>
      </c>
      <c r="H46">
        <f>IF((gamma!H46),IF(VLOOKUP(H$1,main!$A$3:$I$56,7,FALSE)=VLOOKUP($A46,main!$A$3:$I$56,8,FALSE),VLOOKUP(H$1,main!$A$3:$I$56,4,FALSE),VLOOKUP(H$1,main!$A$3:$I$56,4,FALSE)+VLOOKUP($A46,main!$A$3:$I$56,4,FALSE)+(VLOOKUP(VLOOKUP(H$1,main!$A$3:$I$56,8,FALSE),main!$K$19:$O$22,MATCH(VLOOKUP($A46,main!$A$3:$I$56,7,FALSE),main!$K$18:$O$18,0),0))),0)</f>
        <v>283</v>
      </c>
      <c r="I46">
        <f>IF((gamma!I46),IF(VLOOKUP(I$1,main!$A$3:$I$56,7,FALSE)=VLOOKUP($A46,main!$A$3:$I$56,8,FALSE),VLOOKUP(I$1,main!$A$3:$I$56,4,FALSE),VLOOKUP(I$1,main!$A$3:$I$56,4,FALSE)+VLOOKUP($A46,main!$A$3:$I$56,4,FALSE)+(VLOOKUP(VLOOKUP(I$1,main!$A$3:$I$56,8,FALSE),main!$K$19:$O$22,MATCH(VLOOKUP($A46,main!$A$3:$I$56,7,FALSE),main!$K$18:$O$18,0),0))),0)</f>
        <v>283</v>
      </c>
      <c r="J46">
        <f>IF((gamma!J46),IF(VLOOKUP(J$1,main!$A$3:$I$56,7,FALSE)=VLOOKUP($A46,main!$A$3:$I$56,8,FALSE),VLOOKUP(J$1,main!$A$3:$I$56,4,FALSE),VLOOKUP(J$1,main!$A$3:$I$56,4,FALSE)+VLOOKUP($A46,main!$A$3:$I$56,4,FALSE)+(VLOOKUP(VLOOKUP(J$1,main!$A$3:$I$56,8,FALSE),main!$K$19:$O$22,MATCH(VLOOKUP($A46,main!$A$3:$I$56,7,FALSE),main!$K$18:$O$18,0),0))),0)</f>
        <v>283</v>
      </c>
      <c r="K46">
        <f>IF((gamma!K46),IF(VLOOKUP(K$1,main!$A$3:$I$56,7,FALSE)=VLOOKUP($A46,main!$A$3:$I$56,8,FALSE),VLOOKUP(K$1,main!$A$3:$I$56,4,FALSE),VLOOKUP(K$1,main!$A$3:$I$56,4,FALSE)+VLOOKUP($A46,main!$A$3:$I$56,4,FALSE)+(VLOOKUP(VLOOKUP(K$1,main!$A$3:$I$56,8,FALSE),main!$K$19:$O$22,MATCH(VLOOKUP($A46,main!$A$3:$I$56,7,FALSE),main!$K$18:$O$18,0),0))),0)</f>
        <v>0</v>
      </c>
      <c r="L46">
        <f>IF((gamma!L46),IF(VLOOKUP(L$1,main!$A$3:$I$56,7,FALSE)=VLOOKUP($A46,main!$A$3:$I$56,8,FALSE),VLOOKUP(L$1,main!$A$3:$I$56,4,FALSE),VLOOKUP(L$1,main!$A$3:$I$56,4,FALSE)+VLOOKUP($A46,main!$A$3:$I$56,4,FALSE)+(VLOOKUP(VLOOKUP(L$1,main!$A$3:$I$56,8,FALSE),main!$K$19:$O$22,MATCH(VLOOKUP($A46,main!$A$3:$I$56,7,FALSE),main!$K$18:$O$18,0),0))),0)</f>
        <v>0</v>
      </c>
      <c r="M46">
        <f>IF((gamma!M46),IF(VLOOKUP(M$1,main!$A$3:$I$56,7,FALSE)=VLOOKUP($A46,main!$A$3:$I$56,8,FALSE),VLOOKUP(M$1,main!$A$3:$I$56,4,FALSE),VLOOKUP(M$1,main!$A$3:$I$56,4,FALSE)+VLOOKUP($A46,main!$A$3:$I$56,4,FALSE)+(VLOOKUP(VLOOKUP(M$1,main!$A$3:$I$56,8,FALSE),main!$K$19:$O$22,MATCH(VLOOKUP($A46,main!$A$3:$I$56,7,FALSE),main!$K$18:$O$18,0),0))),0)</f>
        <v>0</v>
      </c>
      <c r="N46">
        <f>IF((gamma!N46),IF(VLOOKUP(N$1,main!$A$3:$I$56,7,FALSE)=VLOOKUP($A46,main!$A$3:$I$56,8,FALSE),VLOOKUP(N$1,main!$A$3:$I$56,4,FALSE),VLOOKUP(N$1,main!$A$3:$I$56,4,FALSE)+VLOOKUP($A46,main!$A$3:$I$56,4,FALSE)+(VLOOKUP(VLOOKUP(N$1,main!$A$3:$I$56,8,FALSE),main!$K$19:$O$22,MATCH(VLOOKUP($A46,main!$A$3:$I$56,7,FALSE),main!$K$18:$O$18,0),0))),0)</f>
        <v>260</v>
      </c>
      <c r="O46">
        <f>IF((gamma!O46),IF(VLOOKUP(O$1,main!$A$3:$I$56,7,FALSE)=VLOOKUP($A46,main!$A$3:$I$56,8,FALSE),VLOOKUP(O$1,main!$A$3:$I$56,4,FALSE),VLOOKUP(O$1,main!$A$3:$I$56,4,FALSE)+VLOOKUP($A46,main!$A$3:$I$56,4,FALSE)+(VLOOKUP(VLOOKUP(O$1,main!$A$3:$I$56,8,FALSE),main!$K$19:$O$22,MATCH(VLOOKUP($A46,main!$A$3:$I$56,7,FALSE),main!$K$18:$O$18,0),0))),0)</f>
        <v>260</v>
      </c>
      <c r="P46">
        <f>IF((gamma!P46),IF(VLOOKUP(P$1,main!$A$3:$I$56,7,FALSE)=VLOOKUP($A46,main!$A$3:$I$56,8,FALSE),VLOOKUP(P$1,main!$A$3:$I$56,4,FALSE),VLOOKUP(P$1,main!$A$3:$I$56,4,FALSE)+VLOOKUP($A46,main!$A$3:$I$56,4,FALSE)+(VLOOKUP(VLOOKUP(P$1,main!$A$3:$I$56,8,FALSE),main!$K$19:$O$22,MATCH(VLOOKUP($A46,main!$A$3:$I$56,7,FALSE),main!$K$18:$O$18,0),0))),0)</f>
        <v>0</v>
      </c>
      <c r="Q46">
        <f>IF((gamma!Q46),IF(VLOOKUP(Q$1,main!$A$3:$I$56,7,FALSE)=VLOOKUP($A46,main!$A$3:$I$56,8,FALSE),VLOOKUP(Q$1,main!$A$3:$I$56,4,FALSE),VLOOKUP(Q$1,main!$A$3:$I$56,4,FALSE)+VLOOKUP($A46,main!$A$3:$I$56,4,FALSE)+(VLOOKUP(VLOOKUP(Q$1,main!$A$3:$I$56,8,FALSE),main!$K$19:$O$22,MATCH(VLOOKUP($A46,main!$A$3:$I$56,7,FALSE),main!$K$18:$O$18,0),0))),0)</f>
        <v>0</v>
      </c>
      <c r="R46">
        <f>IF((gamma!R46),IF(VLOOKUP(R$1,main!$A$3:$I$56,7,FALSE)=VLOOKUP($A46,main!$A$3:$I$56,8,FALSE),VLOOKUP(R$1,main!$A$3:$I$56,4,FALSE),VLOOKUP(R$1,main!$A$3:$I$56,4,FALSE)+VLOOKUP($A46,main!$A$3:$I$56,4,FALSE)+(VLOOKUP(VLOOKUP(R$1,main!$A$3:$I$56,8,FALSE),main!$K$19:$O$22,MATCH(VLOOKUP($A46,main!$A$3:$I$56,7,FALSE),main!$K$18:$O$18,0),0))),0)</f>
        <v>0</v>
      </c>
      <c r="S46">
        <f>IF((gamma!S46),IF(VLOOKUP(S$1,main!$A$3:$I$56,7,FALSE)=VLOOKUP($A46,main!$A$3:$I$56,8,FALSE),VLOOKUP(S$1,main!$A$3:$I$56,4,FALSE),VLOOKUP(S$1,main!$A$3:$I$56,4,FALSE)+VLOOKUP($A46,main!$A$3:$I$56,4,FALSE)+(VLOOKUP(VLOOKUP(S$1,main!$A$3:$I$56,8,FALSE),main!$K$19:$O$22,MATCH(VLOOKUP($A46,main!$A$3:$I$56,7,FALSE),main!$K$18:$O$18,0),0))),0)</f>
        <v>0</v>
      </c>
      <c r="T46">
        <f>IF((gamma!T46),IF(VLOOKUP(T$1,main!$A$3:$I$56,7,FALSE)=VLOOKUP($A46,main!$A$3:$I$56,8,FALSE),VLOOKUP(T$1,main!$A$3:$I$56,4,FALSE),VLOOKUP(T$1,main!$A$3:$I$56,4,FALSE)+VLOOKUP($A46,main!$A$3:$I$56,4,FALSE)+(VLOOKUP(VLOOKUP(T$1,main!$A$3:$I$56,8,FALSE),main!$K$19:$O$22,MATCH(VLOOKUP($A46,main!$A$3:$I$56,7,FALSE),main!$K$18:$O$18,0),0))),0)</f>
        <v>293</v>
      </c>
      <c r="U46">
        <f>IF((gamma!U46),IF(VLOOKUP(U$1,main!$A$3:$I$56,7,FALSE)=VLOOKUP($A46,main!$A$3:$I$56,8,FALSE),VLOOKUP(U$1,main!$A$3:$I$56,4,FALSE),VLOOKUP(U$1,main!$A$3:$I$56,4,FALSE)+VLOOKUP($A46,main!$A$3:$I$56,4,FALSE)+(VLOOKUP(VLOOKUP(U$1,main!$A$3:$I$56,8,FALSE),main!$K$19:$O$22,MATCH(VLOOKUP($A46,main!$A$3:$I$56,7,FALSE),main!$K$18:$O$18,0),0))),0)</f>
        <v>0</v>
      </c>
      <c r="V46">
        <f>IF((gamma!V46),IF(VLOOKUP(V$1,main!$A$3:$I$56,7,FALSE)=VLOOKUP($A46,main!$A$3:$I$56,8,FALSE),VLOOKUP(V$1,main!$A$3:$I$56,4,FALSE),VLOOKUP(V$1,main!$A$3:$I$56,4,FALSE)+VLOOKUP($A46,main!$A$3:$I$56,4,FALSE)+(VLOOKUP(VLOOKUP(V$1,main!$A$3:$I$56,8,FALSE),main!$K$19:$O$22,MATCH(VLOOKUP($A46,main!$A$3:$I$56,7,FALSE),main!$K$18:$O$18,0),0))),0)</f>
        <v>0</v>
      </c>
      <c r="W46">
        <f>IF((gamma!W46),IF(VLOOKUP(W$1,main!$A$3:$I$56,7,FALSE)=VLOOKUP($A46,main!$A$3:$I$56,8,FALSE),VLOOKUP(W$1,main!$A$3:$I$56,4,FALSE),VLOOKUP(W$1,main!$A$3:$I$56,4,FALSE)+VLOOKUP($A46,main!$A$3:$I$56,4,FALSE)+(VLOOKUP(VLOOKUP(W$1,main!$A$3:$I$56,8,FALSE),main!$K$19:$O$22,MATCH(VLOOKUP($A46,main!$A$3:$I$56,7,FALSE),main!$K$18:$O$18,0),0))),0)</f>
        <v>0</v>
      </c>
      <c r="X46">
        <f>IF((gamma!X46),IF(VLOOKUP(X$1,main!$A$3:$I$56,7,FALSE)=VLOOKUP($A46,main!$A$3:$I$56,8,FALSE),VLOOKUP(X$1,main!$A$3:$I$56,4,FALSE),VLOOKUP(X$1,main!$A$3:$I$56,4,FALSE)+VLOOKUP($A46,main!$A$3:$I$56,4,FALSE)+(VLOOKUP(VLOOKUP(X$1,main!$A$3:$I$56,8,FALSE),main!$K$19:$O$22,MATCH(VLOOKUP($A46,main!$A$3:$I$56,7,FALSE),main!$K$18:$O$18,0),0))),0)</f>
        <v>0</v>
      </c>
      <c r="Y46">
        <f>IF((gamma!Y46),IF(VLOOKUP(Y$1,main!$A$3:$I$56,7,FALSE)=VLOOKUP($A46,main!$A$3:$I$56,8,FALSE),VLOOKUP(Y$1,main!$A$3:$I$56,4,FALSE),VLOOKUP(Y$1,main!$A$3:$I$56,4,FALSE)+VLOOKUP($A46,main!$A$3:$I$56,4,FALSE)+(VLOOKUP(VLOOKUP(Y$1,main!$A$3:$I$56,8,FALSE),main!$K$19:$O$22,MATCH(VLOOKUP($A46,main!$A$3:$I$56,7,FALSE),main!$K$18:$O$18,0),0))),0)</f>
        <v>0</v>
      </c>
      <c r="Z46">
        <f>IF((gamma!Z46),IF(VLOOKUP(Z$1,main!$A$3:$I$56,7,FALSE)=VLOOKUP($A46,main!$A$3:$I$56,8,FALSE),VLOOKUP(Z$1,main!$A$3:$I$56,4,FALSE),VLOOKUP(Z$1,main!$A$3:$I$56,4,FALSE)+VLOOKUP($A46,main!$A$3:$I$56,4,FALSE)+(VLOOKUP(VLOOKUP(Z$1,main!$A$3:$I$56,8,FALSE),main!$K$19:$O$22,MATCH(VLOOKUP($A46,main!$A$3:$I$56,7,FALSE),main!$K$18:$O$18,0),0))),0)</f>
        <v>0</v>
      </c>
      <c r="AA46">
        <f>IF((gamma!AA46),IF(VLOOKUP(AA$1,main!$A$3:$I$56,7,FALSE)=VLOOKUP($A46,main!$A$3:$I$56,8,FALSE),VLOOKUP(AA$1,main!$A$3:$I$56,4,FALSE),VLOOKUP(AA$1,main!$A$3:$I$56,4,FALSE)+VLOOKUP($A46,main!$A$3:$I$56,4,FALSE)+(VLOOKUP(VLOOKUP(AA$1,main!$A$3:$I$56,8,FALSE),main!$K$19:$O$22,MATCH(VLOOKUP($A46,main!$A$3:$I$56,7,FALSE),main!$K$18:$O$18,0),0))),0)</f>
        <v>285</v>
      </c>
      <c r="AB46">
        <f>IF((gamma!AB46),IF(VLOOKUP(AB$1,main!$A$3:$I$56,7,FALSE)=VLOOKUP($A46,main!$A$3:$I$56,8,FALSE),VLOOKUP(AB$1,main!$A$3:$I$56,4,FALSE),VLOOKUP(AB$1,main!$A$3:$I$56,4,FALSE)+VLOOKUP($A46,main!$A$3:$I$56,4,FALSE)+(VLOOKUP(VLOOKUP(AB$1,main!$A$3:$I$56,8,FALSE),main!$K$19:$O$22,MATCH(VLOOKUP($A46,main!$A$3:$I$56,7,FALSE),main!$K$18:$O$18,0),0))),0)</f>
        <v>285</v>
      </c>
      <c r="AC46">
        <f>IF((gamma!AC46),IF(VLOOKUP(AC$1,main!$A$3:$I$56,7,FALSE)=VLOOKUP($A46,main!$A$3:$I$56,8,FALSE),VLOOKUP(AC$1,main!$A$3:$I$56,4,FALSE),VLOOKUP(AC$1,main!$A$3:$I$56,4,FALSE)+VLOOKUP($A46,main!$A$3:$I$56,4,FALSE)+(VLOOKUP(VLOOKUP(AC$1,main!$A$3:$I$56,8,FALSE),main!$K$19:$O$22,MATCH(VLOOKUP($A46,main!$A$3:$I$56,7,FALSE),main!$K$18:$O$18,0),0))),0)</f>
        <v>0</v>
      </c>
      <c r="AD46">
        <f>IF((gamma!AD46),IF(VLOOKUP(AD$1,main!$A$3:$I$56,7,FALSE)=VLOOKUP($A46,main!$A$3:$I$56,8,FALSE),VLOOKUP(AD$1,main!$A$3:$I$56,4,FALSE),VLOOKUP(AD$1,main!$A$3:$I$56,4,FALSE)+VLOOKUP($A46,main!$A$3:$I$56,4,FALSE)+(VLOOKUP(VLOOKUP(AD$1,main!$A$3:$I$56,8,FALSE),main!$K$19:$O$22,MATCH(VLOOKUP($A46,main!$A$3:$I$56,7,FALSE),main!$K$18:$O$18,0),0))),0)</f>
        <v>0</v>
      </c>
      <c r="AE46">
        <f>IF((gamma!AE46),IF(VLOOKUP(AE$1,main!$A$3:$I$56,7,FALSE)=VLOOKUP($A46,main!$A$3:$I$56,8,FALSE),VLOOKUP(AE$1,main!$A$3:$I$56,4,FALSE),VLOOKUP(AE$1,main!$A$3:$I$56,4,FALSE)+VLOOKUP($A46,main!$A$3:$I$56,4,FALSE)+(VLOOKUP(VLOOKUP(AE$1,main!$A$3:$I$56,8,FALSE),main!$K$19:$O$22,MATCH(VLOOKUP($A46,main!$A$3:$I$56,7,FALSE),main!$K$18:$O$18,0),0))),0)</f>
        <v>0</v>
      </c>
      <c r="AF46">
        <f>IF((gamma!AF46),IF(VLOOKUP(AF$1,main!$A$3:$I$56,7,FALSE)=VLOOKUP($A46,main!$A$3:$I$56,8,FALSE),VLOOKUP(AF$1,main!$A$3:$I$56,4,FALSE),VLOOKUP(AF$1,main!$A$3:$I$56,4,FALSE)+VLOOKUP($A46,main!$A$3:$I$56,4,FALSE)+(VLOOKUP(VLOOKUP(AF$1,main!$A$3:$I$56,8,FALSE),main!$K$19:$O$22,MATCH(VLOOKUP($A46,main!$A$3:$I$56,7,FALSE),main!$K$18:$O$18,0),0))),0)</f>
        <v>0</v>
      </c>
      <c r="AG46">
        <f>IF((gamma!AG46),IF(VLOOKUP(AG$1,main!$A$3:$I$56,7,FALSE)=VLOOKUP($A46,main!$A$3:$I$56,8,FALSE),VLOOKUP(AG$1,main!$A$3:$I$56,4,FALSE),VLOOKUP(AG$1,main!$A$3:$I$56,4,FALSE)+VLOOKUP($A46,main!$A$3:$I$56,4,FALSE)+(VLOOKUP(VLOOKUP(AG$1,main!$A$3:$I$56,8,FALSE),main!$K$19:$O$22,MATCH(VLOOKUP($A46,main!$A$3:$I$56,7,FALSE),main!$K$18:$O$18,0),0))),0)</f>
        <v>0</v>
      </c>
      <c r="AH46">
        <f>IF((gamma!AH46),IF(VLOOKUP(AH$1,main!$A$3:$I$56,7,FALSE)=VLOOKUP($A46,main!$A$3:$I$56,8,FALSE),VLOOKUP(AH$1,main!$A$3:$I$56,4,FALSE),VLOOKUP(AH$1,main!$A$3:$I$56,4,FALSE)+VLOOKUP($A46,main!$A$3:$I$56,4,FALSE)+(VLOOKUP(VLOOKUP(AH$1,main!$A$3:$I$56,8,FALSE),main!$K$19:$O$22,MATCH(VLOOKUP($A46,main!$A$3:$I$56,7,FALSE),main!$K$18:$O$18,0),0))),0)</f>
        <v>0</v>
      </c>
      <c r="AI46">
        <f>IF((gamma!AI46),IF(VLOOKUP(AI$1,main!$A$3:$I$56,7,FALSE)=VLOOKUP($A46,main!$A$3:$I$56,8,FALSE),VLOOKUP(AI$1,main!$A$3:$I$56,4,FALSE),VLOOKUP(AI$1,main!$A$3:$I$56,4,FALSE)+VLOOKUP($A46,main!$A$3:$I$56,4,FALSE)+(VLOOKUP(VLOOKUP(AI$1,main!$A$3:$I$56,8,FALSE),main!$K$19:$O$22,MATCH(VLOOKUP($A46,main!$A$3:$I$56,7,FALSE),main!$K$18:$O$18,0),0))),0)</f>
        <v>0</v>
      </c>
      <c r="AJ46">
        <f>IF((gamma!AJ46),IF(VLOOKUP(AJ$1,main!$A$3:$I$56,7,FALSE)=VLOOKUP($A46,main!$A$3:$I$56,8,FALSE),VLOOKUP(AJ$1,main!$A$3:$I$56,4,FALSE),VLOOKUP(AJ$1,main!$A$3:$I$56,4,FALSE)+VLOOKUP($A46,main!$A$3:$I$56,4,FALSE)+(VLOOKUP(VLOOKUP(AJ$1,main!$A$3:$I$56,8,FALSE),main!$K$19:$O$22,MATCH(VLOOKUP($A46,main!$A$3:$I$56,7,FALSE),main!$K$18:$O$18,0),0))),0)</f>
        <v>0</v>
      </c>
      <c r="AK46">
        <f>IF((gamma!AK46),IF(VLOOKUP(AK$1,main!$A$3:$I$56,7,FALSE)=VLOOKUP($A46,main!$A$3:$I$56,8,FALSE),VLOOKUP(AK$1,main!$A$3:$I$56,4,FALSE),VLOOKUP(AK$1,main!$A$3:$I$56,4,FALSE)+VLOOKUP($A46,main!$A$3:$I$56,4,FALSE)+(VLOOKUP(VLOOKUP(AK$1,main!$A$3:$I$56,8,FALSE),main!$K$19:$O$22,MATCH(VLOOKUP($A46,main!$A$3:$I$56,7,FALSE),main!$K$18:$O$18,0),0))),0)</f>
        <v>290</v>
      </c>
      <c r="AL46">
        <f>IF((gamma!AL46),IF(VLOOKUP(AL$1,main!$A$3:$I$56,7,FALSE)=VLOOKUP($A46,main!$A$3:$I$56,8,FALSE),VLOOKUP(AL$1,main!$A$3:$I$56,4,FALSE),VLOOKUP(AL$1,main!$A$3:$I$56,4,FALSE)+VLOOKUP($A46,main!$A$3:$I$56,4,FALSE)+(VLOOKUP(VLOOKUP(AL$1,main!$A$3:$I$56,8,FALSE),main!$K$19:$O$22,MATCH(VLOOKUP($A46,main!$A$3:$I$56,7,FALSE),main!$K$18:$O$18,0),0))),0)</f>
        <v>0</v>
      </c>
      <c r="AM46">
        <f>IF((gamma!AM46),IF(VLOOKUP(AM$1,main!$A$3:$I$56,7,FALSE)=VLOOKUP($A46,main!$A$3:$I$56,8,FALSE),VLOOKUP(AM$1,main!$A$3:$I$56,4,FALSE),VLOOKUP(AM$1,main!$A$3:$I$56,4,FALSE)+VLOOKUP($A46,main!$A$3:$I$56,4,FALSE)+(VLOOKUP(VLOOKUP(AM$1,main!$A$3:$I$56,8,FALSE),main!$K$19:$O$22,MATCH(VLOOKUP($A46,main!$A$3:$I$56,7,FALSE),main!$K$18:$O$18,0),0))),0)</f>
        <v>0</v>
      </c>
      <c r="AN46">
        <f>IF((gamma!AN46),IF(VLOOKUP(AN$1,main!$A$3:$I$56,7,FALSE)=VLOOKUP($A46,main!$A$3:$I$56,8,FALSE),VLOOKUP(AN$1,main!$A$3:$I$56,4,FALSE),VLOOKUP(AN$1,main!$A$3:$I$56,4,FALSE)+VLOOKUP($A46,main!$A$3:$I$56,4,FALSE)+(VLOOKUP(VLOOKUP(AN$1,main!$A$3:$I$56,8,FALSE),main!$K$19:$O$22,MATCH(VLOOKUP($A46,main!$A$3:$I$56,7,FALSE),main!$K$18:$O$18,0),0))),0)</f>
        <v>0</v>
      </c>
      <c r="AO46">
        <f>IF((gamma!AO46),IF(VLOOKUP(AO$1,main!$A$3:$I$56,7,FALSE)=VLOOKUP($A46,main!$A$3:$I$56,8,FALSE),VLOOKUP(AO$1,main!$A$3:$I$56,4,FALSE),VLOOKUP(AO$1,main!$A$3:$I$56,4,FALSE)+VLOOKUP($A46,main!$A$3:$I$56,4,FALSE)+(VLOOKUP(VLOOKUP(AO$1,main!$A$3:$I$56,8,FALSE),main!$K$19:$O$22,MATCH(VLOOKUP($A46,main!$A$3:$I$56,7,FALSE),main!$K$18:$O$18,0),0))),0)</f>
        <v>0</v>
      </c>
      <c r="AP46">
        <f>IF((gamma!AP46),IF(VLOOKUP(AP$1,main!$A$3:$I$56,7,FALSE)=VLOOKUP($A46,main!$A$3:$I$56,8,FALSE),VLOOKUP(AP$1,main!$A$3:$I$56,4,FALSE),VLOOKUP(AP$1,main!$A$3:$I$56,4,FALSE)+VLOOKUP($A46,main!$A$3:$I$56,4,FALSE)+(VLOOKUP(VLOOKUP(AP$1,main!$A$3:$I$56,8,FALSE),main!$K$19:$O$22,MATCH(VLOOKUP($A46,main!$A$3:$I$56,7,FALSE),main!$K$18:$O$18,0),0))),0)</f>
        <v>0</v>
      </c>
      <c r="AQ46">
        <f>IF((gamma!AQ46),IF(VLOOKUP(AQ$1,main!$A$3:$I$56,7,FALSE)=VLOOKUP($A46,main!$A$3:$I$56,8,FALSE),VLOOKUP(AQ$1,main!$A$3:$I$56,4,FALSE),VLOOKUP(AQ$1,main!$A$3:$I$56,4,FALSE)+VLOOKUP($A46,main!$A$3:$I$56,4,FALSE)+(VLOOKUP(VLOOKUP(AQ$1,main!$A$3:$I$56,8,FALSE),main!$K$19:$O$22,MATCH(VLOOKUP($A46,main!$A$3:$I$56,7,FALSE),main!$K$18:$O$18,0),0))),0)</f>
        <v>0</v>
      </c>
      <c r="AR46">
        <f>IF((gamma!AR46),IF(VLOOKUP(AR$1,main!$A$3:$I$56,7,FALSE)=VLOOKUP($A46,main!$A$3:$I$56,8,FALSE),VLOOKUP(AR$1,main!$A$3:$I$56,4,FALSE),VLOOKUP(AR$1,main!$A$3:$I$56,4,FALSE)+VLOOKUP($A46,main!$A$3:$I$56,4,FALSE)+(VLOOKUP(VLOOKUP(AR$1,main!$A$3:$I$56,8,FALSE),main!$K$19:$O$22,MATCH(VLOOKUP($A46,main!$A$3:$I$56,7,FALSE),main!$K$18:$O$18,0),0))),0)</f>
        <v>0</v>
      </c>
      <c r="AS46">
        <f>IF((gamma!AS46),IF(VLOOKUP(AS$1,main!$A$3:$I$56,7,FALSE)=VLOOKUP($A46,main!$A$3:$I$56,8,FALSE),VLOOKUP(AS$1,main!$A$3:$I$56,4,FALSE),VLOOKUP(AS$1,main!$A$3:$I$56,4,FALSE)+VLOOKUP($A46,main!$A$3:$I$56,4,FALSE)+(VLOOKUP(VLOOKUP(AS$1,main!$A$3:$I$56,8,FALSE),main!$K$19:$O$22,MATCH(VLOOKUP($A46,main!$A$3:$I$56,7,FALSE),main!$K$18:$O$18,0),0))),0)</f>
        <v>0</v>
      </c>
      <c r="AT46">
        <f>IF((gamma!AT46),IF(VLOOKUP(AT$1,main!$A$3:$I$56,7,FALSE)=VLOOKUP($A46,main!$A$3:$I$56,8,FALSE),VLOOKUP(AT$1,main!$A$3:$I$56,4,FALSE),VLOOKUP(AT$1,main!$A$3:$I$56,4,FALSE)+VLOOKUP($A46,main!$A$3:$I$56,4,FALSE)+(VLOOKUP(VLOOKUP(AT$1,main!$A$3:$I$56,8,FALSE),main!$K$19:$O$22,MATCH(VLOOKUP($A46,main!$A$3:$I$56,7,FALSE),main!$K$18:$O$18,0),0))),0)</f>
        <v>0</v>
      </c>
      <c r="AU46">
        <f>IF((gamma!AU46),IF(VLOOKUP(AU$1,main!$A$3:$I$56,7,FALSE)=VLOOKUP($A46,main!$A$3:$I$56,8,FALSE),VLOOKUP(AU$1,main!$A$3:$I$56,4,FALSE),VLOOKUP(AU$1,main!$A$3:$I$56,4,FALSE)+VLOOKUP($A46,main!$A$3:$I$56,4,FALSE)+(VLOOKUP(VLOOKUP(AU$1,main!$A$3:$I$56,8,FALSE),main!$K$19:$O$22,MATCH(VLOOKUP($A46,main!$A$3:$I$56,7,FALSE),main!$K$18:$O$18,0),0))),0)</f>
        <v>0</v>
      </c>
      <c r="AV46">
        <f>IF((gamma!AV46),IF(VLOOKUP(AV$1,main!$A$3:$I$56,7,FALSE)=VLOOKUP($A46,main!$A$3:$I$56,8,FALSE),VLOOKUP(AV$1,main!$A$3:$I$56,4,FALSE),VLOOKUP(AV$1,main!$A$3:$I$56,4,FALSE)+VLOOKUP($A46,main!$A$3:$I$56,4,FALSE)+(VLOOKUP(VLOOKUP(AV$1,main!$A$3:$I$56,8,FALSE),main!$K$19:$O$22,MATCH(VLOOKUP($A46,main!$A$3:$I$56,7,FALSE),main!$K$18:$O$18,0),0))),0)</f>
        <v>0</v>
      </c>
      <c r="AW46">
        <f>IF((gamma!AW46),IF(VLOOKUP(AW$1,main!$A$3:$I$56,7,FALSE)=VLOOKUP($A46,main!$A$3:$I$56,8,FALSE),VLOOKUP(AW$1,main!$A$3:$I$56,4,FALSE),VLOOKUP(AW$1,main!$A$3:$I$56,4,FALSE)+VLOOKUP($A46,main!$A$3:$I$56,4,FALSE)+(VLOOKUP(VLOOKUP(AW$1,main!$A$3:$I$56,8,FALSE),main!$K$19:$O$22,MATCH(VLOOKUP($A46,main!$A$3:$I$56,7,FALSE),main!$K$18:$O$18,0),0))),0)</f>
        <v>0</v>
      </c>
      <c r="AX46">
        <f>IF((gamma!AX46),IF(VLOOKUP(AX$1,main!$A$3:$I$56,7,FALSE)=VLOOKUP($A46,main!$A$3:$I$56,8,FALSE),VLOOKUP(AX$1,main!$A$3:$I$56,4,FALSE),VLOOKUP(AX$1,main!$A$3:$I$56,4,FALSE)+VLOOKUP($A46,main!$A$3:$I$56,4,FALSE)+(VLOOKUP(VLOOKUP(AX$1,main!$A$3:$I$56,8,FALSE),main!$K$19:$O$22,MATCH(VLOOKUP($A46,main!$A$3:$I$56,7,FALSE),main!$K$18:$O$18,0),0))),0)</f>
        <v>140</v>
      </c>
      <c r="AY46">
        <f>IF((gamma!AY46),IF(VLOOKUP(AY$1,main!$A$3:$I$56,7,FALSE)=VLOOKUP($A46,main!$A$3:$I$56,8,FALSE),VLOOKUP(AY$1,main!$A$3:$I$56,4,FALSE),VLOOKUP(AY$1,main!$A$3:$I$56,4,FALSE)+VLOOKUP($A46,main!$A$3:$I$56,4,FALSE)+(VLOOKUP(VLOOKUP(AY$1,main!$A$3:$I$56,8,FALSE),main!$K$19:$O$22,MATCH(VLOOKUP($A46,main!$A$3:$I$56,7,FALSE),main!$K$18:$O$18,0),0))),0)</f>
        <v>140</v>
      </c>
      <c r="AZ46">
        <f>IF((gamma!AZ46),IF(VLOOKUP(AZ$1,main!$A$3:$I$56,7,FALSE)=VLOOKUP($A46,main!$A$3:$I$56,8,FALSE),VLOOKUP(AZ$1,main!$A$3:$I$56,4,FALSE),VLOOKUP(AZ$1,main!$A$3:$I$56,4,FALSE)+VLOOKUP($A46,main!$A$3:$I$56,4,FALSE)+(VLOOKUP(VLOOKUP(AZ$1,main!$A$3:$I$56,8,FALSE),main!$K$19:$O$22,MATCH(VLOOKUP($A46,main!$A$3:$I$56,7,FALSE),main!$K$18:$O$18,0),0))),0)</f>
        <v>0</v>
      </c>
      <c r="BA46">
        <f>IF((gamma!BA46),IF(VLOOKUP(BA$1,main!$A$3:$I$56,7,FALSE)=VLOOKUP($A46,main!$A$3:$I$56,8,FALSE),VLOOKUP(BA$1,main!$A$3:$I$56,4,FALSE),VLOOKUP(BA$1,main!$A$3:$I$56,4,FALSE)+VLOOKUP($A46,main!$A$3:$I$56,4,FALSE)+(VLOOKUP(VLOOKUP(BA$1,main!$A$3:$I$56,8,FALSE),main!$K$19:$O$22,MATCH(VLOOKUP($A46,main!$A$3:$I$56,7,FALSE),main!$K$18:$O$18,0),0))),0)</f>
        <v>0</v>
      </c>
      <c r="BB46">
        <f>IF((gamma!BB46),IF(VLOOKUP(BB$1,main!$A$3:$I$56,7,FALSE)=VLOOKUP($A46,main!$A$3:$I$56,8,FALSE),VLOOKUP(BB$1,main!$A$3:$I$56,4,FALSE),VLOOKUP(BB$1,main!$A$3:$I$56,4,FALSE)+VLOOKUP($A46,main!$A$3:$I$56,4,FALSE)+(VLOOKUP(VLOOKUP(BB$1,main!$A$3:$I$56,8,FALSE),main!$K$19:$O$22,MATCH(VLOOKUP($A46,main!$A$3:$I$56,7,FALSE),main!$K$18:$O$18,0),0))),0)</f>
        <v>0</v>
      </c>
      <c r="BC46">
        <f>IF((gamma!BC46),IF(VLOOKUP(BC$1,main!$A$3:$I$56,7,FALSE)=VLOOKUP($A46,main!$A$3:$I$56,8,FALSE),VLOOKUP(BC$1,main!$A$3:$I$56,4,FALSE),VLOOKUP(BC$1,main!$A$3:$I$56,4,FALSE)+VLOOKUP($A46,main!$A$3:$I$56,4,FALSE)+(VLOOKUP(VLOOKUP(BC$1,main!$A$3:$I$56,8,FALSE),main!$K$19:$O$22,MATCH(VLOOKUP($A46,main!$A$3:$I$56,7,FALSE),main!$K$18:$O$18,0),0))),0)</f>
        <v>0</v>
      </c>
      <c r="BD46">
        <f>IF((gamma!BD46),IF(VLOOKUP(BD$1,main!$A$3:$I$56,7,FALSE)=VLOOKUP($A46,main!$A$3:$I$56,8,FALSE),VLOOKUP(BD$1,main!$A$3:$I$56,4,FALSE),VLOOKUP(BD$1,main!$A$3:$I$56,4,FALSE)+VLOOKUP($A46,main!$A$3:$I$56,4,FALSE)+(VLOOKUP(VLOOKUP(BD$1,main!$A$3:$I$56,8,FALSE),main!$K$19:$O$22,MATCH(VLOOKUP($A46,main!$A$3:$I$56,7,FALSE),main!$K$18:$O$18,0),0))),0)</f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>
        <f t="shared" si="0"/>
        <v>45</v>
      </c>
      <c r="B47">
        <v>0</v>
      </c>
      <c r="C47">
        <f>IF((gamma!C47),IF(VLOOKUP(C$1,main!$A$3:$I$56,7,FALSE)=VLOOKUP($A47,main!$A$3:$I$56,8,FALSE),VLOOKUP(C$1,main!$A$3:$I$56,4,FALSE),VLOOKUP(C$1,main!$A$3:$I$56,4,FALSE)+VLOOKUP($A47,main!$A$3:$I$56,4,FALSE)+(VLOOKUP(VLOOKUP(C$1,main!$A$3:$I$56,8,FALSE),main!$K$19:$O$22,MATCH(VLOOKUP($A47,main!$A$3:$I$56,7,FALSE),main!$K$18:$O$18,0),0))),0)</f>
        <v>0</v>
      </c>
      <c r="D47">
        <f>IF((gamma!D47),IF(VLOOKUP(D$1,main!$A$3:$I$56,7,FALSE)=VLOOKUP($A47,main!$A$3:$I$56,8,FALSE),VLOOKUP(D$1,main!$A$3:$I$56,4,FALSE),VLOOKUP(D$1,main!$A$3:$I$56,4,FALSE)+VLOOKUP($A47,main!$A$3:$I$56,4,FALSE)+(VLOOKUP(VLOOKUP(D$1,main!$A$3:$I$56,8,FALSE),main!$K$19:$O$22,MATCH(VLOOKUP($A47,main!$A$3:$I$56,7,FALSE),main!$K$18:$O$18,0),0))),0)</f>
        <v>0</v>
      </c>
      <c r="E47">
        <f>IF((gamma!E47),IF(VLOOKUP(E$1,main!$A$3:$I$56,7,FALSE)=VLOOKUP($A47,main!$A$3:$I$56,8,FALSE),VLOOKUP(E$1,main!$A$3:$I$56,4,FALSE),VLOOKUP(E$1,main!$A$3:$I$56,4,FALSE)+VLOOKUP($A47,main!$A$3:$I$56,4,FALSE)+(VLOOKUP(VLOOKUP(E$1,main!$A$3:$I$56,8,FALSE),main!$K$19:$O$22,MATCH(VLOOKUP($A47,main!$A$3:$I$56,7,FALSE),main!$K$18:$O$18,0),0))),0)</f>
        <v>0</v>
      </c>
      <c r="F47">
        <f>IF((gamma!F47),IF(VLOOKUP(F$1,main!$A$3:$I$56,7,FALSE)=VLOOKUP($A47,main!$A$3:$I$56,8,FALSE),VLOOKUP(F$1,main!$A$3:$I$56,4,FALSE),VLOOKUP(F$1,main!$A$3:$I$56,4,FALSE)+VLOOKUP($A47,main!$A$3:$I$56,4,FALSE)+(VLOOKUP(VLOOKUP(F$1,main!$A$3:$I$56,8,FALSE),main!$K$19:$O$22,MATCH(VLOOKUP($A47,main!$A$3:$I$56,7,FALSE),main!$K$18:$O$18,0),0))),0)</f>
        <v>135</v>
      </c>
      <c r="G47">
        <f>IF((gamma!G47),IF(VLOOKUP(G$1,main!$A$3:$I$56,7,FALSE)=VLOOKUP($A47,main!$A$3:$I$56,8,FALSE),VLOOKUP(G$1,main!$A$3:$I$56,4,FALSE),VLOOKUP(G$1,main!$A$3:$I$56,4,FALSE)+VLOOKUP($A47,main!$A$3:$I$56,4,FALSE)+(VLOOKUP(VLOOKUP(G$1,main!$A$3:$I$56,8,FALSE),main!$K$19:$O$22,MATCH(VLOOKUP($A47,main!$A$3:$I$56,7,FALSE),main!$K$18:$O$18,0),0))),0)</f>
        <v>135</v>
      </c>
      <c r="H47">
        <f>IF((gamma!H47),IF(VLOOKUP(H$1,main!$A$3:$I$56,7,FALSE)=VLOOKUP($A47,main!$A$3:$I$56,8,FALSE),VLOOKUP(H$1,main!$A$3:$I$56,4,FALSE),VLOOKUP(H$1,main!$A$3:$I$56,4,FALSE)+VLOOKUP($A47,main!$A$3:$I$56,4,FALSE)+(VLOOKUP(VLOOKUP(H$1,main!$A$3:$I$56,8,FALSE),main!$K$19:$O$22,MATCH(VLOOKUP($A47,main!$A$3:$I$56,7,FALSE),main!$K$18:$O$18,0),0))),0)</f>
        <v>135</v>
      </c>
      <c r="I47">
        <f>IF((gamma!I47),IF(VLOOKUP(I$1,main!$A$3:$I$56,7,FALSE)=VLOOKUP($A47,main!$A$3:$I$56,8,FALSE),VLOOKUP(I$1,main!$A$3:$I$56,4,FALSE),VLOOKUP(I$1,main!$A$3:$I$56,4,FALSE)+VLOOKUP($A47,main!$A$3:$I$56,4,FALSE)+(VLOOKUP(VLOOKUP(I$1,main!$A$3:$I$56,8,FALSE),main!$K$19:$O$22,MATCH(VLOOKUP($A47,main!$A$3:$I$56,7,FALSE),main!$K$18:$O$18,0),0))),0)</f>
        <v>135</v>
      </c>
      <c r="J47">
        <f>IF((gamma!J47),IF(VLOOKUP(J$1,main!$A$3:$I$56,7,FALSE)=VLOOKUP($A47,main!$A$3:$I$56,8,FALSE),VLOOKUP(J$1,main!$A$3:$I$56,4,FALSE),VLOOKUP(J$1,main!$A$3:$I$56,4,FALSE)+VLOOKUP($A47,main!$A$3:$I$56,4,FALSE)+(VLOOKUP(VLOOKUP(J$1,main!$A$3:$I$56,8,FALSE),main!$K$19:$O$22,MATCH(VLOOKUP($A47,main!$A$3:$I$56,7,FALSE),main!$K$18:$O$18,0),0))),0)</f>
        <v>135</v>
      </c>
      <c r="K47">
        <f>IF((gamma!K47),IF(VLOOKUP(K$1,main!$A$3:$I$56,7,FALSE)=VLOOKUP($A47,main!$A$3:$I$56,8,FALSE),VLOOKUP(K$1,main!$A$3:$I$56,4,FALSE),VLOOKUP(K$1,main!$A$3:$I$56,4,FALSE)+VLOOKUP($A47,main!$A$3:$I$56,4,FALSE)+(VLOOKUP(VLOOKUP(K$1,main!$A$3:$I$56,8,FALSE),main!$K$19:$O$22,MATCH(VLOOKUP($A47,main!$A$3:$I$56,7,FALSE),main!$K$18:$O$18,0),0))),0)</f>
        <v>0</v>
      </c>
      <c r="L47">
        <f>IF((gamma!L47),IF(VLOOKUP(L$1,main!$A$3:$I$56,7,FALSE)=VLOOKUP($A47,main!$A$3:$I$56,8,FALSE),VLOOKUP(L$1,main!$A$3:$I$56,4,FALSE),VLOOKUP(L$1,main!$A$3:$I$56,4,FALSE)+VLOOKUP($A47,main!$A$3:$I$56,4,FALSE)+(VLOOKUP(VLOOKUP(L$1,main!$A$3:$I$56,8,FALSE),main!$K$19:$O$22,MATCH(VLOOKUP($A47,main!$A$3:$I$56,7,FALSE),main!$K$18:$O$18,0),0))),0)</f>
        <v>0</v>
      </c>
      <c r="M47">
        <f>IF((gamma!M47),IF(VLOOKUP(M$1,main!$A$3:$I$56,7,FALSE)=VLOOKUP($A47,main!$A$3:$I$56,8,FALSE),VLOOKUP(M$1,main!$A$3:$I$56,4,FALSE),VLOOKUP(M$1,main!$A$3:$I$56,4,FALSE)+VLOOKUP($A47,main!$A$3:$I$56,4,FALSE)+(VLOOKUP(VLOOKUP(M$1,main!$A$3:$I$56,8,FALSE),main!$K$19:$O$22,MATCH(VLOOKUP($A47,main!$A$3:$I$56,7,FALSE),main!$K$18:$O$18,0),0))),0)</f>
        <v>0</v>
      </c>
      <c r="N47">
        <f>IF((gamma!N47),IF(VLOOKUP(N$1,main!$A$3:$I$56,7,FALSE)=VLOOKUP($A47,main!$A$3:$I$56,8,FALSE),VLOOKUP(N$1,main!$A$3:$I$56,4,FALSE),VLOOKUP(N$1,main!$A$3:$I$56,4,FALSE)+VLOOKUP($A47,main!$A$3:$I$56,4,FALSE)+(VLOOKUP(VLOOKUP(N$1,main!$A$3:$I$56,8,FALSE),main!$K$19:$O$22,MATCH(VLOOKUP($A47,main!$A$3:$I$56,7,FALSE),main!$K$18:$O$18,0),0))),0)</f>
        <v>140</v>
      </c>
      <c r="O47">
        <f>IF((gamma!O47),IF(VLOOKUP(O$1,main!$A$3:$I$56,7,FALSE)=VLOOKUP($A47,main!$A$3:$I$56,8,FALSE),VLOOKUP(O$1,main!$A$3:$I$56,4,FALSE),VLOOKUP(O$1,main!$A$3:$I$56,4,FALSE)+VLOOKUP($A47,main!$A$3:$I$56,4,FALSE)+(VLOOKUP(VLOOKUP(O$1,main!$A$3:$I$56,8,FALSE),main!$K$19:$O$22,MATCH(VLOOKUP($A47,main!$A$3:$I$56,7,FALSE),main!$K$18:$O$18,0),0))),0)</f>
        <v>140</v>
      </c>
      <c r="P47">
        <f>IF((gamma!P47),IF(VLOOKUP(P$1,main!$A$3:$I$56,7,FALSE)=VLOOKUP($A47,main!$A$3:$I$56,8,FALSE),VLOOKUP(P$1,main!$A$3:$I$56,4,FALSE),VLOOKUP(P$1,main!$A$3:$I$56,4,FALSE)+VLOOKUP($A47,main!$A$3:$I$56,4,FALSE)+(VLOOKUP(VLOOKUP(P$1,main!$A$3:$I$56,8,FALSE),main!$K$19:$O$22,MATCH(VLOOKUP($A47,main!$A$3:$I$56,7,FALSE),main!$K$18:$O$18,0),0))),0)</f>
        <v>0</v>
      </c>
      <c r="Q47">
        <f>IF((gamma!Q47),IF(VLOOKUP(Q$1,main!$A$3:$I$56,7,FALSE)=VLOOKUP($A47,main!$A$3:$I$56,8,FALSE),VLOOKUP(Q$1,main!$A$3:$I$56,4,FALSE),VLOOKUP(Q$1,main!$A$3:$I$56,4,FALSE)+VLOOKUP($A47,main!$A$3:$I$56,4,FALSE)+(VLOOKUP(VLOOKUP(Q$1,main!$A$3:$I$56,8,FALSE),main!$K$19:$O$22,MATCH(VLOOKUP($A47,main!$A$3:$I$56,7,FALSE),main!$K$18:$O$18,0),0))),0)</f>
        <v>0</v>
      </c>
      <c r="R47">
        <f>IF((gamma!R47),IF(VLOOKUP(R$1,main!$A$3:$I$56,7,FALSE)=VLOOKUP($A47,main!$A$3:$I$56,8,FALSE),VLOOKUP(R$1,main!$A$3:$I$56,4,FALSE),VLOOKUP(R$1,main!$A$3:$I$56,4,FALSE)+VLOOKUP($A47,main!$A$3:$I$56,4,FALSE)+(VLOOKUP(VLOOKUP(R$1,main!$A$3:$I$56,8,FALSE),main!$K$19:$O$22,MATCH(VLOOKUP($A47,main!$A$3:$I$56,7,FALSE),main!$K$18:$O$18,0),0))),0)</f>
        <v>0</v>
      </c>
      <c r="S47">
        <f>IF((gamma!S47),IF(VLOOKUP(S$1,main!$A$3:$I$56,7,FALSE)=VLOOKUP($A47,main!$A$3:$I$56,8,FALSE),VLOOKUP(S$1,main!$A$3:$I$56,4,FALSE),VLOOKUP(S$1,main!$A$3:$I$56,4,FALSE)+VLOOKUP($A47,main!$A$3:$I$56,4,FALSE)+(VLOOKUP(VLOOKUP(S$1,main!$A$3:$I$56,8,FALSE),main!$K$19:$O$22,MATCH(VLOOKUP($A47,main!$A$3:$I$56,7,FALSE),main!$K$18:$O$18,0),0))),0)</f>
        <v>140</v>
      </c>
      <c r="T47">
        <f>IF((gamma!T47),IF(VLOOKUP(T$1,main!$A$3:$I$56,7,FALSE)=VLOOKUP($A47,main!$A$3:$I$56,8,FALSE),VLOOKUP(T$1,main!$A$3:$I$56,4,FALSE),VLOOKUP(T$1,main!$A$3:$I$56,4,FALSE)+VLOOKUP($A47,main!$A$3:$I$56,4,FALSE)+(VLOOKUP(VLOOKUP(T$1,main!$A$3:$I$56,8,FALSE),main!$K$19:$O$22,MATCH(VLOOKUP($A47,main!$A$3:$I$56,7,FALSE),main!$K$18:$O$18,0),0))),0)</f>
        <v>140</v>
      </c>
      <c r="U47">
        <f>IF((gamma!U47),IF(VLOOKUP(U$1,main!$A$3:$I$56,7,FALSE)=VLOOKUP($A47,main!$A$3:$I$56,8,FALSE),VLOOKUP(U$1,main!$A$3:$I$56,4,FALSE),VLOOKUP(U$1,main!$A$3:$I$56,4,FALSE)+VLOOKUP($A47,main!$A$3:$I$56,4,FALSE)+(VLOOKUP(VLOOKUP(U$1,main!$A$3:$I$56,8,FALSE),main!$K$19:$O$22,MATCH(VLOOKUP($A47,main!$A$3:$I$56,7,FALSE),main!$K$18:$O$18,0),0))),0)</f>
        <v>0</v>
      </c>
      <c r="V47">
        <f>IF((gamma!V47),IF(VLOOKUP(V$1,main!$A$3:$I$56,7,FALSE)=VLOOKUP($A47,main!$A$3:$I$56,8,FALSE),VLOOKUP(V$1,main!$A$3:$I$56,4,FALSE),VLOOKUP(V$1,main!$A$3:$I$56,4,FALSE)+VLOOKUP($A47,main!$A$3:$I$56,4,FALSE)+(VLOOKUP(VLOOKUP(V$1,main!$A$3:$I$56,8,FALSE),main!$K$19:$O$22,MATCH(VLOOKUP($A47,main!$A$3:$I$56,7,FALSE),main!$K$18:$O$18,0),0))),0)</f>
        <v>0</v>
      </c>
      <c r="W47">
        <f>IF((gamma!W47),IF(VLOOKUP(W$1,main!$A$3:$I$56,7,FALSE)=VLOOKUP($A47,main!$A$3:$I$56,8,FALSE),VLOOKUP(W$1,main!$A$3:$I$56,4,FALSE),VLOOKUP(W$1,main!$A$3:$I$56,4,FALSE)+VLOOKUP($A47,main!$A$3:$I$56,4,FALSE)+(VLOOKUP(VLOOKUP(W$1,main!$A$3:$I$56,8,FALSE),main!$K$19:$O$22,MATCH(VLOOKUP($A47,main!$A$3:$I$56,7,FALSE),main!$K$18:$O$18,0),0))),0)</f>
        <v>0</v>
      </c>
      <c r="X47">
        <f>IF((gamma!X47),IF(VLOOKUP(X$1,main!$A$3:$I$56,7,FALSE)=VLOOKUP($A47,main!$A$3:$I$56,8,FALSE),VLOOKUP(X$1,main!$A$3:$I$56,4,FALSE),VLOOKUP(X$1,main!$A$3:$I$56,4,FALSE)+VLOOKUP($A47,main!$A$3:$I$56,4,FALSE)+(VLOOKUP(VLOOKUP(X$1,main!$A$3:$I$56,8,FALSE),main!$K$19:$O$22,MATCH(VLOOKUP($A47,main!$A$3:$I$56,7,FALSE),main!$K$18:$O$18,0),0))),0)</f>
        <v>0</v>
      </c>
      <c r="Y47">
        <f>IF((gamma!Y47),IF(VLOOKUP(Y$1,main!$A$3:$I$56,7,FALSE)=VLOOKUP($A47,main!$A$3:$I$56,8,FALSE),VLOOKUP(Y$1,main!$A$3:$I$56,4,FALSE),VLOOKUP(Y$1,main!$A$3:$I$56,4,FALSE)+VLOOKUP($A47,main!$A$3:$I$56,4,FALSE)+(VLOOKUP(VLOOKUP(Y$1,main!$A$3:$I$56,8,FALSE),main!$K$19:$O$22,MATCH(VLOOKUP($A47,main!$A$3:$I$56,7,FALSE),main!$K$18:$O$18,0),0))),0)</f>
        <v>310</v>
      </c>
      <c r="Z47">
        <f>IF((gamma!Z47),IF(VLOOKUP(Z$1,main!$A$3:$I$56,7,FALSE)=VLOOKUP($A47,main!$A$3:$I$56,8,FALSE),VLOOKUP(Z$1,main!$A$3:$I$56,4,FALSE),VLOOKUP(Z$1,main!$A$3:$I$56,4,FALSE)+VLOOKUP($A47,main!$A$3:$I$56,4,FALSE)+(VLOOKUP(VLOOKUP(Z$1,main!$A$3:$I$56,8,FALSE),main!$K$19:$O$22,MATCH(VLOOKUP($A47,main!$A$3:$I$56,7,FALSE),main!$K$18:$O$18,0),0))),0)</f>
        <v>310</v>
      </c>
      <c r="AA47">
        <f>IF((gamma!AA47),IF(VLOOKUP(AA$1,main!$A$3:$I$56,7,FALSE)=VLOOKUP($A47,main!$A$3:$I$56,8,FALSE),VLOOKUP(AA$1,main!$A$3:$I$56,4,FALSE),VLOOKUP(AA$1,main!$A$3:$I$56,4,FALSE)+VLOOKUP($A47,main!$A$3:$I$56,4,FALSE)+(VLOOKUP(VLOOKUP(AA$1,main!$A$3:$I$56,8,FALSE),main!$K$19:$O$22,MATCH(VLOOKUP($A47,main!$A$3:$I$56,7,FALSE),main!$K$18:$O$18,0),0))),0)</f>
        <v>310</v>
      </c>
      <c r="AB47">
        <f>IF((gamma!AB47),IF(VLOOKUP(AB$1,main!$A$3:$I$56,7,FALSE)=VLOOKUP($A47,main!$A$3:$I$56,8,FALSE),VLOOKUP(AB$1,main!$A$3:$I$56,4,FALSE),VLOOKUP(AB$1,main!$A$3:$I$56,4,FALSE)+VLOOKUP($A47,main!$A$3:$I$56,4,FALSE)+(VLOOKUP(VLOOKUP(AB$1,main!$A$3:$I$56,8,FALSE),main!$K$19:$O$22,MATCH(VLOOKUP($A47,main!$A$3:$I$56,7,FALSE),main!$K$18:$O$18,0),0))),0)</f>
        <v>310</v>
      </c>
      <c r="AC47">
        <f>IF((gamma!AC47),IF(VLOOKUP(AC$1,main!$A$3:$I$56,7,FALSE)=VLOOKUP($A47,main!$A$3:$I$56,8,FALSE),VLOOKUP(AC$1,main!$A$3:$I$56,4,FALSE),VLOOKUP(AC$1,main!$A$3:$I$56,4,FALSE)+VLOOKUP($A47,main!$A$3:$I$56,4,FALSE)+(VLOOKUP(VLOOKUP(AC$1,main!$A$3:$I$56,8,FALSE),main!$K$19:$O$22,MATCH(VLOOKUP($A47,main!$A$3:$I$56,7,FALSE),main!$K$18:$O$18,0),0))),0)</f>
        <v>0</v>
      </c>
      <c r="AD47">
        <f>IF((gamma!AD47),IF(VLOOKUP(AD$1,main!$A$3:$I$56,7,FALSE)=VLOOKUP($A47,main!$A$3:$I$56,8,FALSE),VLOOKUP(AD$1,main!$A$3:$I$56,4,FALSE),VLOOKUP(AD$1,main!$A$3:$I$56,4,FALSE)+VLOOKUP($A47,main!$A$3:$I$56,4,FALSE)+(VLOOKUP(VLOOKUP(AD$1,main!$A$3:$I$56,8,FALSE),main!$K$19:$O$22,MATCH(VLOOKUP($A47,main!$A$3:$I$56,7,FALSE),main!$K$18:$O$18,0),0))),0)</f>
        <v>0</v>
      </c>
      <c r="AE47">
        <f>IF((gamma!AE47),IF(VLOOKUP(AE$1,main!$A$3:$I$56,7,FALSE)=VLOOKUP($A47,main!$A$3:$I$56,8,FALSE),VLOOKUP(AE$1,main!$A$3:$I$56,4,FALSE),VLOOKUP(AE$1,main!$A$3:$I$56,4,FALSE)+VLOOKUP($A47,main!$A$3:$I$56,4,FALSE)+(VLOOKUP(VLOOKUP(AE$1,main!$A$3:$I$56,8,FALSE),main!$K$19:$O$22,MATCH(VLOOKUP($A47,main!$A$3:$I$56,7,FALSE),main!$K$18:$O$18,0),0))),0)</f>
        <v>0</v>
      </c>
      <c r="AF47">
        <f>IF((gamma!AF47),IF(VLOOKUP(AF$1,main!$A$3:$I$56,7,FALSE)=VLOOKUP($A47,main!$A$3:$I$56,8,FALSE),VLOOKUP(AF$1,main!$A$3:$I$56,4,FALSE),VLOOKUP(AF$1,main!$A$3:$I$56,4,FALSE)+VLOOKUP($A47,main!$A$3:$I$56,4,FALSE)+(VLOOKUP(VLOOKUP(AF$1,main!$A$3:$I$56,8,FALSE),main!$K$19:$O$22,MATCH(VLOOKUP($A47,main!$A$3:$I$56,7,FALSE),main!$K$18:$O$18,0),0))),0)</f>
        <v>303</v>
      </c>
      <c r="AG47">
        <f>IF((gamma!AG47),IF(VLOOKUP(AG$1,main!$A$3:$I$56,7,FALSE)=VLOOKUP($A47,main!$A$3:$I$56,8,FALSE),VLOOKUP(AG$1,main!$A$3:$I$56,4,FALSE),VLOOKUP(AG$1,main!$A$3:$I$56,4,FALSE)+VLOOKUP($A47,main!$A$3:$I$56,4,FALSE)+(VLOOKUP(VLOOKUP(AG$1,main!$A$3:$I$56,8,FALSE),main!$K$19:$O$22,MATCH(VLOOKUP($A47,main!$A$3:$I$56,7,FALSE),main!$K$18:$O$18,0),0))),0)</f>
        <v>0</v>
      </c>
      <c r="AH47">
        <f>IF((gamma!AH47),IF(VLOOKUP(AH$1,main!$A$3:$I$56,7,FALSE)=VLOOKUP($A47,main!$A$3:$I$56,8,FALSE),VLOOKUP(AH$1,main!$A$3:$I$56,4,FALSE),VLOOKUP(AH$1,main!$A$3:$I$56,4,FALSE)+VLOOKUP($A47,main!$A$3:$I$56,4,FALSE)+(VLOOKUP(VLOOKUP(AH$1,main!$A$3:$I$56,8,FALSE),main!$K$19:$O$22,MATCH(VLOOKUP($A47,main!$A$3:$I$56,7,FALSE),main!$K$18:$O$18,0),0))),0)</f>
        <v>0</v>
      </c>
      <c r="AI47">
        <f>IF((gamma!AI47),IF(VLOOKUP(AI$1,main!$A$3:$I$56,7,FALSE)=VLOOKUP($A47,main!$A$3:$I$56,8,FALSE),VLOOKUP(AI$1,main!$A$3:$I$56,4,FALSE),VLOOKUP(AI$1,main!$A$3:$I$56,4,FALSE)+VLOOKUP($A47,main!$A$3:$I$56,4,FALSE)+(VLOOKUP(VLOOKUP(AI$1,main!$A$3:$I$56,8,FALSE),main!$K$19:$O$22,MATCH(VLOOKUP($A47,main!$A$3:$I$56,7,FALSE),main!$K$18:$O$18,0),0))),0)</f>
        <v>0</v>
      </c>
      <c r="AJ47">
        <f>IF((gamma!AJ47),IF(VLOOKUP(AJ$1,main!$A$3:$I$56,7,FALSE)=VLOOKUP($A47,main!$A$3:$I$56,8,FALSE),VLOOKUP(AJ$1,main!$A$3:$I$56,4,FALSE),VLOOKUP(AJ$1,main!$A$3:$I$56,4,FALSE)+VLOOKUP($A47,main!$A$3:$I$56,4,FALSE)+(VLOOKUP(VLOOKUP(AJ$1,main!$A$3:$I$56,8,FALSE),main!$K$19:$O$22,MATCH(VLOOKUP($A47,main!$A$3:$I$56,7,FALSE),main!$K$18:$O$18,0),0))),0)</f>
        <v>315</v>
      </c>
      <c r="AK47">
        <f>IF((gamma!AK47),IF(VLOOKUP(AK$1,main!$A$3:$I$56,7,FALSE)=VLOOKUP($A47,main!$A$3:$I$56,8,FALSE),VLOOKUP(AK$1,main!$A$3:$I$56,4,FALSE),VLOOKUP(AK$1,main!$A$3:$I$56,4,FALSE)+VLOOKUP($A47,main!$A$3:$I$56,4,FALSE)+(VLOOKUP(VLOOKUP(AK$1,main!$A$3:$I$56,8,FALSE),main!$K$19:$O$22,MATCH(VLOOKUP($A47,main!$A$3:$I$56,7,FALSE),main!$K$18:$O$18,0),0))),0)</f>
        <v>315</v>
      </c>
      <c r="AL47">
        <f>IF((gamma!AL47),IF(VLOOKUP(AL$1,main!$A$3:$I$56,7,FALSE)=VLOOKUP($A47,main!$A$3:$I$56,8,FALSE),VLOOKUP(AL$1,main!$A$3:$I$56,4,FALSE),VLOOKUP(AL$1,main!$A$3:$I$56,4,FALSE)+VLOOKUP($A47,main!$A$3:$I$56,4,FALSE)+(VLOOKUP(VLOOKUP(AL$1,main!$A$3:$I$56,8,FALSE),main!$K$19:$O$22,MATCH(VLOOKUP($A47,main!$A$3:$I$56,7,FALSE),main!$K$18:$O$18,0),0))),0)</f>
        <v>0</v>
      </c>
      <c r="AM47">
        <f>IF((gamma!AM47),IF(VLOOKUP(AM$1,main!$A$3:$I$56,7,FALSE)=VLOOKUP($A47,main!$A$3:$I$56,8,FALSE),VLOOKUP(AM$1,main!$A$3:$I$56,4,FALSE),VLOOKUP(AM$1,main!$A$3:$I$56,4,FALSE)+VLOOKUP($A47,main!$A$3:$I$56,4,FALSE)+(VLOOKUP(VLOOKUP(AM$1,main!$A$3:$I$56,8,FALSE),main!$K$19:$O$22,MATCH(VLOOKUP($A47,main!$A$3:$I$56,7,FALSE),main!$K$18:$O$18,0),0))),0)</f>
        <v>0</v>
      </c>
      <c r="AN47">
        <f>IF((gamma!AN47),IF(VLOOKUP(AN$1,main!$A$3:$I$56,7,FALSE)=VLOOKUP($A47,main!$A$3:$I$56,8,FALSE),VLOOKUP(AN$1,main!$A$3:$I$56,4,FALSE),VLOOKUP(AN$1,main!$A$3:$I$56,4,FALSE)+VLOOKUP($A47,main!$A$3:$I$56,4,FALSE)+(VLOOKUP(VLOOKUP(AN$1,main!$A$3:$I$56,8,FALSE),main!$K$19:$O$22,MATCH(VLOOKUP($A47,main!$A$3:$I$56,7,FALSE),main!$K$18:$O$18,0),0))),0)</f>
        <v>0</v>
      </c>
      <c r="AO47">
        <f>IF((gamma!AO47),IF(VLOOKUP(AO$1,main!$A$3:$I$56,7,FALSE)=VLOOKUP($A47,main!$A$3:$I$56,8,FALSE),VLOOKUP(AO$1,main!$A$3:$I$56,4,FALSE),VLOOKUP(AO$1,main!$A$3:$I$56,4,FALSE)+VLOOKUP($A47,main!$A$3:$I$56,4,FALSE)+(VLOOKUP(VLOOKUP(AO$1,main!$A$3:$I$56,8,FALSE),main!$K$19:$O$22,MATCH(VLOOKUP($A47,main!$A$3:$I$56,7,FALSE),main!$K$18:$O$18,0),0))),0)</f>
        <v>310</v>
      </c>
      <c r="AP47">
        <f>IF((gamma!AP47),IF(VLOOKUP(AP$1,main!$A$3:$I$56,7,FALSE)=VLOOKUP($A47,main!$A$3:$I$56,8,FALSE),VLOOKUP(AP$1,main!$A$3:$I$56,4,FALSE),VLOOKUP(AP$1,main!$A$3:$I$56,4,FALSE)+VLOOKUP($A47,main!$A$3:$I$56,4,FALSE)+(VLOOKUP(VLOOKUP(AP$1,main!$A$3:$I$56,8,FALSE),main!$K$19:$O$22,MATCH(VLOOKUP($A47,main!$A$3:$I$56,7,FALSE),main!$K$18:$O$18,0),0))),0)</f>
        <v>0</v>
      </c>
      <c r="AQ47">
        <f>IF((gamma!AQ47),IF(VLOOKUP(AQ$1,main!$A$3:$I$56,7,FALSE)=VLOOKUP($A47,main!$A$3:$I$56,8,FALSE),VLOOKUP(AQ$1,main!$A$3:$I$56,4,FALSE),VLOOKUP(AQ$1,main!$A$3:$I$56,4,FALSE)+VLOOKUP($A47,main!$A$3:$I$56,4,FALSE)+(VLOOKUP(VLOOKUP(AQ$1,main!$A$3:$I$56,8,FALSE),main!$K$19:$O$22,MATCH(VLOOKUP($A47,main!$A$3:$I$56,7,FALSE),main!$K$18:$O$18,0),0))),0)</f>
        <v>0</v>
      </c>
      <c r="AR47">
        <f>IF((gamma!AR47),IF(VLOOKUP(AR$1,main!$A$3:$I$56,7,FALSE)=VLOOKUP($A47,main!$A$3:$I$56,8,FALSE),VLOOKUP(AR$1,main!$A$3:$I$56,4,FALSE),VLOOKUP(AR$1,main!$A$3:$I$56,4,FALSE)+VLOOKUP($A47,main!$A$3:$I$56,4,FALSE)+(VLOOKUP(VLOOKUP(AR$1,main!$A$3:$I$56,8,FALSE),main!$K$19:$O$22,MATCH(VLOOKUP($A47,main!$A$3:$I$56,7,FALSE),main!$K$18:$O$18,0),0))),0)</f>
        <v>0</v>
      </c>
      <c r="AS47">
        <f>IF((gamma!AS47),IF(VLOOKUP(AS$1,main!$A$3:$I$56,7,FALSE)=VLOOKUP($A47,main!$A$3:$I$56,8,FALSE),VLOOKUP(AS$1,main!$A$3:$I$56,4,FALSE),VLOOKUP(AS$1,main!$A$3:$I$56,4,FALSE)+VLOOKUP($A47,main!$A$3:$I$56,4,FALSE)+(VLOOKUP(VLOOKUP(AS$1,main!$A$3:$I$56,8,FALSE),main!$K$19:$O$22,MATCH(VLOOKUP($A47,main!$A$3:$I$56,7,FALSE),main!$K$18:$O$18,0),0))),0)</f>
        <v>0</v>
      </c>
      <c r="AT47">
        <f>IF((gamma!AT47),IF(VLOOKUP(AT$1,main!$A$3:$I$56,7,FALSE)=VLOOKUP($A47,main!$A$3:$I$56,8,FALSE),VLOOKUP(AT$1,main!$A$3:$I$56,4,FALSE),VLOOKUP(AT$1,main!$A$3:$I$56,4,FALSE)+VLOOKUP($A47,main!$A$3:$I$56,4,FALSE)+(VLOOKUP(VLOOKUP(AT$1,main!$A$3:$I$56,8,FALSE),main!$K$19:$O$22,MATCH(VLOOKUP($A47,main!$A$3:$I$56,7,FALSE),main!$K$18:$O$18,0),0))),0)</f>
        <v>0</v>
      </c>
      <c r="AU47">
        <f>IF((gamma!AU47),IF(VLOOKUP(AU$1,main!$A$3:$I$56,7,FALSE)=VLOOKUP($A47,main!$A$3:$I$56,8,FALSE),VLOOKUP(AU$1,main!$A$3:$I$56,4,FALSE),VLOOKUP(AU$1,main!$A$3:$I$56,4,FALSE)+VLOOKUP($A47,main!$A$3:$I$56,4,FALSE)+(VLOOKUP(VLOOKUP(AU$1,main!$A$3:$I$56,8,FALSE),main!$K$19:$O$22,MATCH(VLOOKUP($A47,main!$A$3:$I$56,7,FALSE),main!$K$18:$O$18,0),0))),0)</f>
        <v>0</v>
      </c>
      <c r="AV47">
        <f>IF((gamma!AV47),IF(VLOOKUP(AV$1,main!$A$3:$I$56,7,FALSE)=VLOOKUP($A47,main!$A$3:$I$56,8,FALSE),VLOOKUP(AV$1,main!$A$3:$I$56,4,FALSE),VLOOKUP(AV$1,main!$A$3:$I$56,4,FALSE)+VLOOKUP($A47,main!$A$3:$I$56,4,FALSE)+(VLOOKUP(VLOOKUP(AV$1,main!$A$3:$I$56,8,FALSE),main!$K$19:$O$22,MATCH(VLOOKUP($A47,main!$A$3:$I$56,7,FALSE),main!$K$18:$O$18,0),0))),0)</f>
        <v>0</v>
      </c>
      <c r="AW47">
        <f>IF((gamma!AW47),IF(VLOOKUP(AW$1,main!$A$3:$I$56,7,FALSE)=VLOOKUP($A47,main!$A$3:$I$56,8,FALSE),VLOOKUP(AW$1,main!$A$3:$I$56,4,FALSE),VLOOKUP(AW$1,main!$A$3:$I$56,4,FALSE)+VLOOKUP($A47,main!$A$3:$I$56,4,FALSE)+(VLOOKUP(VLOOKUP(AW$1,main!$A$3:$I$56,8,FALSE),main!$K$19:$O$22,MATCH(VLOOKUP($A47,main!$A$3:$I$56,7,FALSE),main!$K$18:$O$18,0),0))),0)</f>
        <v>0</v>
      </c>
      <c r="AX47">
        <f>IF((gamma!AX47),IF(VLOOKUP(AX$1,main!$A$3:$I$56,7,FALSE)=VLOOKUP($A47,main!$A$3:$I$56,8,FALSE),VLOOKUP(AX$1,main!$A$3:$I$56,4,FALSE),VLOOKUP(AX$1,main!$A$3:$I$56,4,FALSE)+VLOOKUP($A47,main!$A$3:$I$56,4,FALSE)+(VLOOKUP(VLOOKUP(AX$1,main!$A$3:$I$56,8,FALSE),main!$K$19:$O$22,MATCH(VLOOKUP($A47,main!$A$3:$I$56,7,FALSE),main!$K$18:$O$18,0),0))),0)</f>
        <v>315</v>
      </c>
      <c r="AY47">
        <f>IF((gamma!AY47),IF(VLOOKUP(AY$1,main!$A$3:$I$56,7,FALSE)=VLOOKUP($A47,main!$A$3:$I$56,8,FALSE),VLOOKUP(AY$1,main!$A$3:$I$56,4,FALSE),VLOOKUP(AY$1,main!$A$3:$I$56,4,FALSE)+VLOOKUP($A47,main!$A$3:$I$56,4,FALSE)+(VLOOKUP(VLOOKUP(AY$1,main!$A$3:$I$56,8,FALSE),main!$K$19:$O$22,MATCH(VLOOKUP($A47,main!$A$3:$I$56,7,FALSE),main!$K$18:$O$18,0),0))),0)</f>
        <v>315</v>
      </c>
      <c r="AZ47">
        <f>IF((gamma!AZ47),IF(VLOOKUP(AZ$1,main!$A$3:$I$56,7,FALSE)=VLOOKUP($A47,main!$A$3:$I$56,8,FALSE),VLOOKUP(AZ$1,main!$A$3:$I$56,4,FALSE),VLOOKUP(AZ$1,main!$A$3:$I$56,4,FALSE)+VLOOKUP($A47,main!$A$3:$I$56,4,FALSE)+(VLOOKUP(VLOOKUP(AZ$1,main!$A$3:$I$56,8,FALSE),main!$K$19:$O$22,MATCH(VLOOKUP($A47,main!$A$3:$I$56,7,FALSE),main!$K$18:$O$18,0),0))),0)</f>
        <v>0</v>
      </c>
      <c r="BA47">
        <f>IF((gamma!BA47),IF(VLOOKUP(BA$1,main!$A$3:$I$56,7,FALSE)=VLOOKUP($A47,main!$A$3:$I$56,8,FALSE),VLOOKUP(BA$1,main!$A$3:$I$56,4,FALSE),VLOOKUP(BA$1,main!$A$3:$I$56,4,FALSE)+VLOOKUP($A47,main!$A$3:$I$56,4,FALSE)+(VLOOKUP(VLOOKUP(BA$1,main!$A$3:$I$56,8,FALSE),main!$K$19:$O$22,MATCH(VLOOKUP($A47,main!$A$3:$I$56,7,FALSE),main!$K$18:$O$18,0),0))),0)</f>
        <v>0</v>
      </c>
      <c r="BB47">
        <f>IF((gamma!BB47),IF(VLOOKUP(BB$1,main!$A$3:$I$56,7,FALSE)=VLOOKUP($A47,main!$A$3:$I$56,8,FALSE),VLOOKUP(BB$1,main!$A$3:$I$56,4,FALSE),VLOOKUP(BB$1,main!$A$3:$I$56,4,FALSE)+VLOOKUP($A47,main!$A$3:$I$56,4,FALSE)+(VLOOKUP(VLOOKUP(BB$1,main!$A$3:$I$56,8,FALSE),main!$K$19:$O$22,MATCH(VLOOKUP($A47,main!$A$3:$I$56,7,FALSE),main!$K$18:$O$18,0),0))),0)</f>
        <v>0</v>
      </c>
      <c r="BC47">
        <f>IF((gamma!BC47),IF(VLOOKUP(BC$1,main!$A$3:$I$56,7,FALSE)=VLOOKUP($A47,main!$A$3:$I$56,8,FALSE),VLOOKUP(BC$1,main!$A$3:$I$56,4,FALSE),VLOOKUP(BC$1,main!$A$3:$I$56,4,FALSE)+VLOOKUP($A47,main!$A$3:$I$56,4,FALSE)+(VLOOKUP(VLOOKUP(BC$1,main!$A$3:$I$56,8,FALSE),main!$K$19:$O$22,MATCH(VLOOKUP($A47,main!$A$3:$I$56,7,FALSE),main!$K$18:$O$18,0),0))),0)</f>
        <v>308</v>
      </c>
      <c r="BD47">
        <f>IF((gamma!BD47),IF(VLOOKUP(BD$1,main!$A$3:$I$56,7,FALSE)=VLOOKUP($A47,main!$A$3:$I$56,8,FALSE),VLOOKUP(BD$1,main!$A$3:$I$56,4,FALSE),VLOOKUP(BD$1,main!$A$3:$I$56,4,FALSE)+VLOOKUP($A47,main!$A$3:$I$56,4,FALSE)+(VLOOKUP(VLOOKUP(BD$1,main!$A$3:$I$56,8,FALSE),main!$K$19:$O$22,MATCH(VLOOKUP($A47,main!$A$3:$I$56,7,FALSE),main!$K$18:$O$18,0),0))),0)</f>
        <v>308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25">
      <c r="A48">
        <f t="shared" si="0"/>
        <v>46</v>
      </c>
      <c r="B48">
        <v>0</v>
      </c>
      <c r="C48">
        <f>IF((gamma!C48),IF(VLOOKUP(C$1,main!$A$3:$I$56,7,FALSE)=VLOOKUP($A48,main!$A$3:$I$56,8,FALSE),VLOOKUP(C$1,main!$A$3:$I$56,4,FALSE),VLOOKUP(C$1,main!$A$3:$I$56,4,FALSE)+VLOOKUP($A48,main!$A$3:$I$56,4,FALSE)+(VLOOKUP(VLOOKUP(C$1,main!$A$3:$I$56,8,FALSE),main!$K$19:$O$22,MATCH(VLOOKUP($A48,main!$A$3:$I$56,7,FALSE),main!$K$18:$O$18,0),0))),0)</f>
        <v>0</v>
      </c>
      <c r="D48">
        <f>IF((gamma!D48),IF(VLOOKUP(D$1,main!$A$3:$I$56,7,FALSE)=VLOOKUP($A48,main!$A$3:$I$56,8,FALSE),VLOOKUP(D$1,main!$A$3:$I$56,4,FALSE),VLOOKUP(D$1,main!$A$3:$I$56,4,FALSE)+VLOOKUP($A48,main!$A$3:$I$56,4,FALSE)+(VLOOKUP(VLOOKUP(D$1,main!$A$3:$I$56,8,FALSE),main!$K$19:$O$22,MATCH(VLOOKUP($A48,main!$A$3:$I$56,7,FALSE),main!$K$18:$O$18,0),0))),0)</f>
        <v>0</v>
      </c>
      <c r="E48">
        <f>IF((gamma!E48),IF(VLOOKUP(E$1,main!$A$3:$I$56,7,FALSE)=VLOOKUP($A48,main!$A$3:$I$56,8,FALSE),VLOOKUP(E$1,main!$A$3:$I$56,4,FALSE),VLOOKUP(E$1,main!$A$3:$I$56,4,FALSE)+VLOOKUP($A48,main!$A$3:$I$56,4,FALSE)+(VLOOKUP(VLOOKUP(E$1,main!$A$3:$I$56,8,FALSE),main!$K$19:$O$22,MATCH(VLOOKUP($A48,main!$A$3:$I$56,7,FALSE),main!$K$18:$O$18,0),0))),0)</f>
        <v>0</v>
      </c>
      <c r="F48">
        <f>IF((gamma!F48),IF(VLOOKUP(F$1,main!$A$3:$I$56,7,FALSE)=VLOOKUP($A48,main!$A$3:$I$56,8,FALSE),VLOOKUP(F$1,main!$A$3:$I$56,4,FALSE),VLOOKUP(F$1,main!$A$3:$I$56,4,FALSE)+VLOOKUP($A48,main!$A$3:$I$56,4,FALSE)+(VLOOKUP(VLOOKUP(F$1,main!$A$3:$I$56,8,FALSE),main!$K$19:$O$22,MATCH(VLOOKUP($A48,main!$A$3:$I$56,7,FALSE),main!$K$18:$O$18,0),0))),0)</f>
        <v>135</v>
      </c>
      <c r="G48">
        <f>IF((gamma!G48),IF(VLOOKUP(G$1,main!$A$3:$I$56,7,FALSE)=VLOOKUP($A48,main!$A$3:$I$56,8,FALSE),VLOOKUP(G$1,main!$A$3:$I$56,4,FALSE),VLOOKUP(G$1,main!$A$3:$I$56,4,FALSE)+VLOOKUP($A48,main!$A$3:$I$56,4,FALSE)+(VLOOKUP(VLOOKUP(G$1,main!$A$3:$I$56,8,FALSE),main!$K$19:$O$22,MATCH(VLOOKUP($A48,main!$A$3:$I$56,7,FALSE),main!$K$18:$O$18,0),0))),0)</f>
        <v>135</v>
      </c>
      <c r="H48">
        <f>IF((gamma!H48),IF(VLOOKUP(H$1,main!$A$3:$I$56,7,FALSE)=VLOOKUP($A48,main!$A$3:$I$56,8,FALSE),VLOOKUP(H$1,main!$A$3:$I$56,4,FALSE),VLOOKUP(H$1,main!$A$3:$I$56,4,FALSE)+VLOOKUP($A48,main!$A$3:$I$56,4,FALSE)+(VLOOKUP(VLOOKUP(H$1,main!$A$3:$I$56,8,FALSE),main!$K$19:$O$22,MATCH(VLOOKUP($A48,main!$A$3:$I$56,7,FALSE),main!$K$18:$O$18,0),0))),0)</f>
        <v>135</v>
      </c>
      <c r="I48">
        <f>IF((gamma!I48),IF(VLOOKUP(I$1,main!$A$3:$I$56,7,FALSE)=VLOOKUP($A48,main!$A$3:$I$56,8,FALSE),VLOOKUP(I$1,main!$A$3:$I$56,4,FALSE),VLOOKUP(I$1,main!$A$3:$I$56,4,FALSE)+VLOOKUP($A48,main!$A$3:$I$56,4,FALSE)+(VLOOKUP(VLOOKUP(I$1,main!$A$3:$I$56,8,FALSE),main!$K$19:$O$22,MATCH(VLOOKUP($A48,main!$A$3:$I$56,7,FALSE),main!$K$18:$O$18,0),0))),0)</f>
        <v>135</v>
      </c>
      <c r="J48">
        <f>IF((gamma!J48),IF(VLOOKUP(J$1,main!$A$3:$I$56,7,FALSE)=VLOOKUP($A48,main!$A$3:$I$56,8,FALSE),VLOOKUP(J$1,main!$A$3:$I$56,4,FALSE),VLOOKUP(J$1,main!$A$3:$I$56,4,FALSE)+VLOOKUP($A48,main!$A$3:$I$56,4,FALSE)+(VLOOKUP(VLOOKUP(J$1,main!$A$3:$I$56,8,FALSE),main!$K$19:$O$22,MATCH(VLOOKUP($A48,main!$A$3:$I$56,7,FALSE),main!$K$18:$O$18,0),0))),0)</f>
        <v>135</v>
      </c>
      <c r="K48">
        <f>IF((gamma!K48),IF(VLOOKUP(K$1,main!$A$3:$I$56,7,FALSE)=VLOOKUP($A48,main!$A$3:$I$56,8,FALSE),VLOOKUP(K$1,main!$A$3:$I$56,4,FALSE),VLOOKUP(K$1,main!$A$3:$I$56,4,FALSE)+VLOOKUP($A48,main!$A$3:$I$56,4,FALSE)+(VLOOKUP(VLOOKUP(K$1,main!$A$3:$I$56,8,FALSE),main!$K$19:$O$22,MATCH(VLOOKUP($A48,main!$A$3:$I$56,7,FALSE),main!$K$18:$O$18,0),0))),0)</f>
        <v>0</v>
      </c>
      <c r="L48">
        <f>IF((gamma!L48),IF(VLOOKUP(L$1,main!$A$3:$I$56,7,FALSE)=VLOOKUP($A48,main!$A$3:$I$56,8,FALSE),VLOOKUP(L$1,main!$A$3:$I$56,4,FALSE),VLOOKUP(L$1,main!$A$3:$I$56,4,FALSE)+VLOOKUP($A48,main!$A$3:$I$56,4,FALSE)+(VLOOKUP(VLOOKUP(L$1,main!$A$3:$I$56,8,FALSE),main!$K$19:$O$22,MATCH(VLOOKUP($A48,main!$A$3:$I$56,7,FALSE),main!$K$18:$O$18,0),0))),0)</f>
        <v>0</v>
      </c>
      <c r="M48">
        <f>IF((gamma!M48),IF(VLOOKUP(M$1,main!$A$3:$I$56,7,FALSE)=VLOOKUP($A48,main!$A$3:$I$56,8,FALSE),VLOOKUP(M$1,main!$A$3:$I$56,4,FALSE),VLOOKUP(M$1,main!$A$3:$I$56,4,FALSE)+VLOOKUP($A48,main!$A$3:$I$56,4,FALSE)+(VLOOKUP(VLOOKUP(M$1,main!$A$3:$I$56,8,FALSE),main!$K$19:$O$22,MATCH(VLOOKUP($A48,main!$A$3:$I$56,7,FALSE),main!$K$18:$O$18,0),0))),0)</f>
        <v>0</v>
      </c>
      <c r="N48">
        <f>IF((gamma!N48),IF(VLOOKUP(N$1,main!$A$3:$I$56,7,FALSE)=VLOOKUP($A48,main!$A$3:$I$56,8,FALSE),VLOOKUP(N$1,main!$A$3:$I$56,4,FALSE),VLOOKUP(N$1,main!$A$3:$I$56,4,FALSE)+VLOOKUP($A48,main!$A$3:$I$56,4,FALSE)+(VLOOKUP(VLOOKUP(N$1,main!$A$3:$I$56,8,FALSE),main!$K$19:$O$22,MATCH(VLOOKUP($A48,main!$A$3:$I$56,7,FALSE),main!$K$18:$O$18,0),0))),0)</f>
        <v>140</v>
      </c>
      <c r="O48">
        <f>IF((gamma!O48),IF(VLOOKUP(O$1,main!$A$3:$I$56,7,FALSE)=VLOOKUP($A48,main!$A$3:$I$56,8,FALSE),VLOOKUP(O$1,main!$A$3:$I$56,4,FALSE),VLOOKUP(O$1,main!$A$3:$I$56,4,FALSE)+VLOOKUP($A48,main!$A$3:$I$56,4,FALSE)+(VLOOKUP(VLOOKUP(O$1,main!$A$3:$I$56,8,FALSE),main!$K$19:$O$22,MATCH(VLOOKUP($A48,main!$A$3:$I$56,7,FALSE),main!$K$18:$O$18,0),0))),0)</f>
        <v>140</v>
      </c>
      <c r="P48">
        <f>IF((gamma!P48),IF(VLOOKUP(P$1,main!$A$3:$I$56,7,FALSE)=VLOOKUP($A48,main!$A$3:$I$56,8,FALSE),VLOOKUP(P$1,main!$A$3:$I$56,4,FALSE),VLOOKUP(P$1,main!$A$3:$I$56,4,FALSE)+VLOOKUP($A48,main!$A$3:$I$56,4,FALSE)+(VLOOKUP(VLOOKUP(P$1,main!$A$3:$I$56,8,FALSE),main!$K$19:$O$22,MATCH(VLOOKUP($A48,main!$A$3:$I$56,7,FALSE),main!$K$18:$O$18,0),0))),0)</f>
        <v>0</v>
      </c>
      <c r="Q48">
        <f>IF((gamma!Q48),IF(VLOOKUP(Q$1,main!$A$3:$I$56,7,FALSE)=VLOOKUP($A48,main!$A$3:$I$56,8,FALSE),VLOOKUP(Q$1,main!$A$3:$I$56,4,FALSE),VLOOKUP(Q$1,main!$A$3:$I$56,4,FALSE)+VLOOKUP($A48,main!$A$3:$I$56,4,FALSE)+(VLOOKUP(VLOOKUP(Q$1,main!$A$3:$I$56,8,FALSE),main!$K$19:$O$22,MATCH(VLOOKUP($A48,main!$A$3:$I$56,7,FALSE),main!$K$18:$O$18,0),0))),0)</f>
        <v>0</v>
      </c>
      <c r="R48">
        <f>IF((gamma!R48),IF(VLOOKUP(R$1,main!$A$3:$I$56,7,FALSE)=VLOOKUP($A48,main!$A$3:$I$56,8,FALSE),VLOOKUP(R$1,main!$A$3:$I$56,4,FALSE),VLOOKUP(R$1,main!$A$3:$I$56,4,FALSE)+VLOOKUP($A48,main!$A$3:$I$56,4,FALSE)+(VLOOKUP(VLOOKUP(R$1,main!$A$3:$I$56,8,FALSE),main!$K$19:$O$22,MATCH(VLOOKUP($A48,main!$A$3:$I$56,7,FALSE),main!$K$18:$O$18,0),0))),0)</f>
        <v>0</v>
      </c>
      <c r="S48">
        <f>IF((gamma!S48),IF(VLOOKUP(S$1,main!$A$3:$I$56,7,FALSE)=VLOOKUP($A48,main!$A$3:$I$56,8,FALSE),VLOOKUP(S$1,main!$A$3:$I$56,4,FALSE),VLOOKUP(S$1,main!$A$3:$I$56,4,FALSE)+VLOOKUP($A48,main!$A$3:$I$56,4,FALSE)+(VLOOKUP(VLOOKUP(S$1,main!$A$3:$I$56,8,FALSE),main!$K$19:$O$22,MATCH(VLOOKUP($A48,main!$A$3:$I$56,7,FALSE),main!$K$18:$O$18,0),0))),0)</f>
        <v>140</v>
      </c>
      <c r="T48">
        <f>IF((gamma!T48),IF(VLOOKUP(T$1,main!$A$3:$I$56,7,FALSE)=VLOOKUP($A48,main!$A$3:$I$56,8,FALSE),VLOOKUP(T$1,main!$A$3:$I$56,4,FALSE),VLOOKUP(T$1,main!$A$3:$I$56,4,FALSE)+VLOOKUP($A48,main!$A$3:$I$56,4,FALSE)+(VLOOKUP(VLOOKUP(T$1,main!$A$3:$I$56,8,FALSE),main!$K$19:$O$22,MATCH(VLOOKUP($A48,main!$A$3:$I$56,7,FALSE),main!$K$18:$O$18,0),0))),0)</f>
        <v>140</v>
      </c>
      <c r="U48">
        <f>IF((gamma!U48),IF(VLOOKUP(U$1,main!$A$3:$I$56,7,FALSE)=VLOOKUP($A48,main!$A$3:$I$56,8,FALSE),VLOOKUP(U$1,main!$A$3:$I$56,4,FALSE),VLOOKUP(U$1,main!$A$3:$I$56,4,FALSE)+VLOOKUP($A48,main!$A$3:$I$56,4,FALSE)+(VLOOKUP(VLOOKUP(U$1,main!$A$3:$I$56,8,FALSE),main!$K$19:$O$22,MATCH(VLOOKUP($A48,main!$A$3:$I$56,7,FALSE),main!$K$18:$O$18,0),0))),0)</f>
        <v>0</v>
      </c>
      <c r="V48">
        <f>IF((gamma!V48),IF(VLOOKUP(V$1,main!$A$3:$I$56,7,FALSE)=VLOOKUP($A48,main!$A$3:$I$56,8,FALSE),VLOOKUP(V$1,main!$A$3:$I$56,4,FALSE),VLOOKUP(V$1,main!$A$3:$I$56,4,FALSE)+VLOOKUP($A48,main!$A$3:$I$56,4,FALSE)+(VLOOKUP(VLOOKUP(V$1,main!$A$3:$I$56,8,FALSE),main!$K$19:$O$22,MATCH(VLOOKUP($A48,main!$A$3:$I$56,7,FALSE),main!$K$18:$O$18,0),0))),0)</f>
        <v>0</v>
      </c>
      <c r="W48">
        <f>IF((gamma!W48),IF(VLOOKUP(W$1,main!$A$3:$I$56,7,FALSE)=VLOOKUP($A48,main!$A$3:$I$56,8,FALSE),VLOOKUP(W$1,main!$A$3:$I$56,4,FALSE),VLOOKUP(W$1,main!$A$3:$I$56,4,FALSE)+VLOOKUP($A48,main!$A$3:$I$56,4,FALSE)+(VLOOKUP(VLOOKUP(W$1,main!$A$3:$I$56,8,FALSE),main!$K$19:$O$22,MATCH(VLOOKUP($A48,main!$A$3:$I$56,7,FALSE),main!$K$18:$O$18,0),0))),0)</f>
        <v>0</v>
      </c>
      <c r="X48">
        <f>IF((gamma!X48),IF(VLOOKUP(X$1,main!$A$3:$I$56,7,FALSE)=VLOOKUP($A48,main!$A$3:$I$56,8,FALSE),VLOOKUP(X$1,main!$A$3:$I$56,4,FALSE),VLOOKUP(X$1,main!$A$3:$I$56,4,FALSE)+VLOOKUP($A48,main!$A$3:$I$56,4,FALSE)+(VLOOKUP(VLOOKUP(X$1,main!$A$3:$I$56,8,FALSE),main!$K$19:$O$22,MATCH(VLOOKUP($A48,main!$A$3:$I$56,7,FALSE),main!$K$18:$O$18,0),0))),0)</f>
        <v>0</v>
      </c>
      <c r="Y48">
        <f>IF((gamma!Y48),IF(VLOOKUP(Y$1,main!$A$3:$I$56,7,FALSE)=VLOOKUP($A48,main!$A$3:$I$56,8,FALSE),VLOOKUP(Y$1,main!$A$3:$I$56,4,FALSE),VLOOKUP(Y$1,main!$A$3:$I$56,4,FALSE)+VLOOKUP($A48,main!$A$3:$I$56,4,FALSE)+(VLOOKUP(VLOOKUP(Y$1,main!$A$3:$I$56,8,FALSE),main!$K$19:$O$22,MATCH(VLOOKUP($A48,main!$A$3:$I$56,7,FALSE),main!$K$18:$O$18,0),0))),0)</f>
        <v>0</v>
      </c>
      <c r="Z48">
        <f>IF((gamma!Z48),IF(VLOOKUP(Z$1,main!$A$3:$I$56,7,FALSE)=VLOOKUP($A48,main!$A$3:$I$56,8,FALSE),VLOOKUP(Z$1,main!$A$3:$I$56,4,FALSE),VLOOKUP(Z$1,main!$A$3:$I$56,4,FALSE)+VLOOKUP($A48,main!$A$3:$I$56,4,FALSE)+(VLOOKUP(VLOOKUP(Z$1,main!$A$3:$I$56,8,FALSE),main!$K$19:$O$22,MATCH(VLOOKUP($A48,main!$A$3:$I$56,7,FALSE),main!$K$18:$O$18,0),0))),0)</f>
        <v>305</v>
      </c>
      <c r="AA48">
        <f>IF((gamma!AA48),IF(VLOOKUP(AA$1,main!$A$3:$I$56,7,FALSE)=VLOOKUP($A48,main!$A$3:$I$56,8,FALSE),VLOOKUP(AA$1,main!$A$3:$I$56,4,FALSE),VLOOKUP(AA$1,main!$A$3:$I$56,4,FALSE)+VLOOKUP($A48,main!$A$3:$I$56,4,FALSE)+(VLOOKUP(VLOOKUP(AA$1,main!$A$3:$I$56,8,FALSE),main!$K$19:$O$22,MATCH(VLOOKUP($A48,main!$A$3:$I$56,7,FALSE),main!$K$18:$O$18,0),0))),0)</f>
        <v>305</v>
      </c>
      <c r="AB48">
        <f>IF((gamma!AB48),IF(VLOOKUP(AB$1,main!$A$3:$I$56,7,FALSE)=VLOOKUP($A48,main!$A$3:$I$56,8,FALSE),VLOOKUP(AB$1,main!$A$3:$I$56,4,FALSE),VLOOKUP(AB$1,main!$A$3:$I$56,4,FALSE)+VLOOKUP($A48,main!$A$3:$I$56,4,FALSE)+(VLOOKUP(VLOOKUP(AB$1,main!$A$3:$I$56,8,FALSE),main!$K$19:$O$22,MATCH(VLOOKUP($A48,main!$A$3:$I$56,7,FALSE),main!$K$18:$O$18,0),0))),0)</f>
        <v>305</v>
      </c>
      <c r="AC48">
        <f>IF((gamma!AC48),IF(VLOOKUP(AC$1,main!$A$3:$I$56,7,FALSE)=VLOOKUP($A48,main!$A$3:$I$56,8,FALSE),VLOOKUP(AC$1,main!$A$3:$I$56,4,FALSE),VLOOKUP(AC$1,main!$A$3:$I$56,4,FALSE)+VLOOKUP($A48,main!$A$3:$I$56,4,FALSE)+(VLOOKUP(VLOOKUP(AC$1,main!$A$3:$I$56,8,FALSE),main!$K$19:$O$22,MATCH(VLOOKUP($A48,main!$A$3:$I$56,7,FALSE),main!$K$18:$O$18,0),0))),0)</f>
        <v>0</v>
      </c>
      <c r="AD48">
        <f>IF((gamma!AD48),IF(VLOOKUP(AD$1,main!$A$3:$I$56,7,FALSE)=VLOOKUP($A48,main!$A$3:$I$56,8,FALSE),VLOOKUP(AD$1,main!$A$3:$I$56,4,FALSE),VLOOKUP(AD$1,main!$A$3:$I$56,4,FALSE)+VLOOKUP($A48,main!$A$3:$I$56,4,FALSE)+(VLOOKUP(VLOOKUP(AD$1,main!$A$3:$I$56,8,FALSE),main!$K$19:$O$22,MATCH(VLOOKUP($A48,main!$A$3:$I$56,7,FALSE),main!$K$18:$O$18,0),0))),0)</f>
        <v>0</v>
      </c>
      <c r="AE48">
        <f>IF((gamma!AE48),IF(VLOOKUP(AE$1,main!$A$3:$I$56,7,FALSE)=VLOOKUP($A48,main!$A$3:$I$56,8,FALSE),VLOOKUP(AE$1,main!$A$3:$I$56,4,FALSE),VLOOKUP(AE$1,main!$A$3:$I$56,4,FALSE)+VLOOKUP($A48,main!$A$3:$I$56,4,FALSE)+(VLOOKUP(VLOOKUP(AE$1,main!$A$3:$I$56,8,FALSE),main!$K$19:$O$22,MATCH(VLOOKUP($A48,main!$A$3:$I$56,7,FALSE),main!$K$18:$O$18,0),0))),0)</f>
        <v>0</v>
      </c>
      <c r="AF48">
        <f>IF((gamma!AF48),IF(VLOOKUP(AF$1,main!$A$3:$I$56,7,FALSE)=VLOOKUP($A48,main!$A$3:$I$56,8,FALSE),VLOOKUP(AF$1,main!$A$3:$I$56,4,FALSE),VLOOKUP(AF$1,main!$A$3:$I$56,4,FALSE)+VLOOKUP($A48,main!$A$3:$I$56,4,FALSE)+(VLOOKUP(VLOOKUP(AF$1,main!$A$3:$I$56,8,FALSE),main!$K$19:$O$22,MATCH(VLOOKUP($A48,main!$A$3:$I$56,7,FALSE),main!$K$18:$O$18,0),0))),0)</f>
        <v>298</v>
      </c>
      <c r="AG48">
        <f>IF((gamma!AG48),IF(VLOOKUP(AG$1,main!$A$3:$I$56,7,FALSE)=VLOOKUP($A48,main!$A$3:$I$56,8,FALSE),VLOOKUP(AG$1,main!$A$3:$I$56,4,FALSE),VLOOKUP(AG$1,main!$A$3:$I$56,4,FALSE)+VLOOKUP($A48,main!$A$3:$I$56,4,FALSE)+(VLOOKUP(VLOOKUP(AG$1,main!$A$3:$I$56,8,FALSE),main!$K$19:$O$22,MATCH(VLOOKUP($A48,main!$A$3:$I$56,7,FALSE),main!$K$18:$O$18,0),0))),0)</f>
        <v>0</v>
      </c>
      <c r="AH48">
        <f>IF((gamma!AH48),IF(VLOOKUP(AH$1,main!$A$3:$I$56,7,FALSE)=VLOOKUP($A48,main!$A$3:$I$56,8,FALSE),VLOOKUP(AH$1,main!$A$3:$I$56,4,FALSE),VLOOKUP(AH$1,main!$A$3:$I$56,4,FALSE)+VLOOKUP($A48,main!$A$3:$I$56,4,FALSE)+(VLOOKUP(VLOOKUP(AH$1,main!$A$3:$I$56,8,FALSE),main!$K$19:$O$22,MATCH(VLOOKUP($A48,main!$A$3:$I$56,7,FALSE),main!$K$18:$O$18,0),0))),0)</f>
        <v>0</v>
      </c>
      <c r="AI48">
        <f>IF((gamma!AI48),IF(VLOOKUP(AI$1,main!$A$3:$I$56,7,FALSE)=VLOOKUP($A48,main!$A$3:$I$56,8,FALSE),VLOOKUP(AI$1,main!$A$3:$I$56,4,FALSE),VLOOKUP(AI$1,main!$A$3:$I$56,4,FALSE)+VLOOKUP($A48,main!$A$3:$I$56,4,FALSE)+(VLOOKUP(VLOOKUP(AI$1,main!$A$3:$I$56,8,FALSE),main!$K$19:$O$22,MATCH(VLOOKUP($A48,main!$A$3:$I$56,7,FALSE),main!$K$18:$O$18,0),0))),0)</f>
        <v>0</v>
      </c>
      <c r="AJ48">
        <f>IF((gamma!AJ48),IF(VLOOKUP(AJ$1,main!$A$3:$I$56,7,FALSE)=VLOOKUP($A48,main!$A$3:$I$56,8,FALSE),VLOOKUP(AJ$1,main!$A$3:$I$56,4,FALSE),VLOOKUP(AJ$1,main!$A$3:$I$56,4,FALSE)+VLOOKUP($A48,main!$A$3:$I$56,4,FALSE)+(VLOOKUP(VLOOKUP(AJ$1,main!$A$3:$I$56,8,FALSE),main!$K$19:$O$22,MATCH(VLOOKUP($A48,main!$A$3:$I$56,7,FALSE),main!$K$18:$O$18,0),0))),0)</f>
        <v>0</v>
      </c>
      <c r="AK48">
        <f>IF((gamma!AK48),IF(VLOOKUP(AK$1,main!$A$3:$I$56,7,FALSE)=VLOOKUP($A48,main!$A$3:$I$56,8,FALSE),VLOOKUP(AK$1,main!$A$3:$I$56,4,FALSE),VLOOKUP(AK$1,main!$A$3:$I$56,4,FALSE)+VLOOKUP($A48,main!$A$3:$I$56,4,FALSE)+(VLOOKUP(VLOOKUP(AK$1,main!$A$3:$I$56,8,FALSE),main!$K$19:$O$22,MATCH(VLOOKUP($A48,main!$A$3:$I$56,7,FALSE),main!$K$18:$O$18,0),0))),0)</f>
        <v>310</v>
      </c>
      <c r="AL48">
        <f>IF((gamma!AL48),IF(VLOOKUP(AL$1,main!$A$3:$I$56,7,FALSE)=VLOOKUP($A48,main!$A$3:$I$56,8,FALSE),VLOOKUP(AL$1,main!$A$3:$I$56,4,FALSE),VLOOKUP(AL$1,main!$A$3:$I$56,4,FALSE)+VLOOKUP($A48,main!$A$3:$I$56,4,FALSE)+(VLOOKUP(VLOOKUP(AL$1,main!$A$3:$I$56,8,FALSE),main!$K$19:$O$22,MATCH(VLOOKUP($A48,main!$A$3:$I$56,7,FALSE),main!$K$18:$O$18,0),0))),0)</f>
        <v>0</v>
      </c>
      <c r="AM48">
        <f>IF((gamma!AM48),IF(VLOOKUP(AM$1,main!$A$3:$I$56,7,FALSE)=VLOOKUP($A48,main!$A$3:$I$56,8,FALSE),VLOOKUP(AM$1,main!$A$3:$I$56,4,FALSE),VLOOKUP(AM$1,main!$A$3:$I$56,4,FALSE)+VLOOKUP($A48,main!$A$3:$I$56,4,FALSE)+(VLOOKUP(VLOOKUP(AM$1,main!$A$3:$I$56,8,FALSE),main!$K$19:$O$22,MATCH(VLOOKUP($A48,main!$A$3:$I$56,7,FALSE),main!$K$18:$O$18,0),0))),0)</f>
        <v>0</v>
      </c>
      <c r="AN48">
        <f>IF((gamma!AN48),IF(VLOOKUP(AN$1,main!$A$3:$I$56,7,FALSE)=VLOOKUP($A48,main!$A$3:$I$56,8,FALSE),VLOOKUP(AN$1,main!$A$3:$I$56,4,FALSE),VLOOKUP(AN$1,main!$A$3:$I$56,4,FALSE)+VLOOKUP($A48,main!$A$3:$I$56,4,FALSE)+(VLOOKUP(VLOOKUP(AN$1,main!$A$3:$I$56,8,FALSE),main!$K$19:$O$22,MATCH(VLOOKUP($A48,main!$A$3:$I$56,7,FALSE),main!$K$18:$O$18,0),0))),0)</f>
        <v>0</v>
      </c>
      <c r="AO48">
        <f>IF((gamma!AO48),IF(VLOOKUP(AO$1,main!$A$3:$I$56,7,FALSE)=VLOOKUP($A48,main!$A$3:$I$56,8,FALSE),VLOOKUP(AO$1,main!$A$3:$I$56,4,FALSE),VLOOKUP(AO$1,main!$A$3:$I$56,4,FALSE)+VLOOKUP($A48,main!$A$3:$I$56,4,FALSE)+(VLOOKUP(VLOOKUP(AO$1,main!$A$3:$I$56,8,FALSE),main!$K$19:$O$22,MATCH(VLOOKUP($A48,main!$A$3:$I$56,7,FALSE),main!$K$18:$O$18,0),0))),0)</f>
        <v>305</v>
      </c>
      <c r="AP48">
        <f>IF((gamma!AP48),IF(VLOOKUP(AP$1,main!$A$3:$I$56,7,FALSE)=VLOOKUP($A48,main!$A$3:$I$56,8,FALSE),VLOOKUP(AP$1,main!$A$3:$I$56,4,FALSE),VLOOKUP(AP$1,main!$A$3:$I$56,4,FALSE)+VLOOKUP($A48,main!$A$3:$I$56,4,FALSE)+(VLOOKUP(VLOOKUP(AP$1,main!$A$3:$I$56,8,FALSE),main!$K$19:$O$22,MATCH(VLOOKUP($A48,main!$A$3:$I$56,7,FALSE),main!$K$18:$O$18,0),0))),0)</f>
        <v>0</v>
      </c>
      <c r="AQ48">
        <f>IF((gamma!AQ48),IF(VLOOKUP(AQ$1,main!$A$3:$I$56,7,FALSE)=VLOOKUP($A48,main!$A$3:$I$56,8,FALSE),VLOOKUP(AQ$1,main!$A$3:$I$56,4,FALSE),VLOOKUP(AQ$1,main!$A$3:$I$56,4,FALSE)+VLOOKUP($A48,main!$A$3:$I$56,4,FALSE)+(VLOOKUP(VLOOKUP(AQ$1,main!$A$3:$I$56,8,FALSE),main!$K$19:$O$22,MATCH(VLOOKUP($A48,main!$A$3:$I$56,7,FALSE),main!$K$18:$O$18,0),0))),0)</f>
        <v>0</v>
      </c>
      <c r="AR48">
        <f>IF((gamma!AR48),IF(VLOOKUP(AR$1,main!$A$3:$I$56,7,FALSE)=VLOOKUP($A48,main!$A$3:$I$56,8,FALSE),VLOOKUP(AR$1,main!$A$3:$I$56,4,FALSE),VLOOKUP(AR$1,main!$A$3:$I$56,4,FALSE)+VLOOKUP($A48,main!$A$3:$I$56,4,FALSE)+(VLOOKUP(VLOOKUP(AR$1,main!$A$3:$I$56,8,FALSE),main!$K$19:$O$22,MATCH(VLOOKUP($A48,main!$A$3:$I$56,7,FALSE),main!$K$18:$O$18,0),0))),0)</f>
        <v>0</v>
      </c>
      <c r="AS48">
        <f>IF((gamma!AS48),IF(VLOOKUP(AS$1,main!$A$3:$I$56,7,FALSE)=VLOOKUP($A48,main!$A$3:$I$56,8,FALSE),VLOOKUP(AS$1,main!$A$3:$I$56,4,FALSE),VLOOKUP(AS$1,main!$A$3:$I$56,4,FALSE)+VLOOKUP($A48,main!$A$3:$I$56,4,FALSE)+(VLOOKUP(VLOOKUP(AS$1,main!$A$3:$I$56,8,FALSE),main!$K$19:$O$22,MATCH(VLOOKUP($A48,main!$A$3:$I$56,7,FALSE),main!$K$18:$O$18,0),0))),0)</f>
        <v>0</v>
      </c>
      <c r="AT48">
        <f>IF((gamma!AT48),IF(VLOOKUP(AT$1,main!$A$3:$I$56,7,FALSE)=VLOOKUP($A48,main!$A$3:$I$56,8,FALSE),VLOOKUP(AT$1,main!$A$3:$I$56,4,FALSE),VLOOKUP(AT$1,main!$A$3:$I$56,4,FALSE)+VLOOKUP($A48,main!$A$3:$I$56,4,FALSE)+(VLOOKUP(VLOOKUP(AT$1,main!$A$3:$I$56,8,FALSE),main!$K$19:$O$22,MATCH(VLOOKUP($A48,main!$A$3:$I$56,7,FALSE),main!$K$18:$O$18,0),0))),0)</f>
        <v>0</v>
      </c>
      <c r="AU48">
        <f>IF((gamma!AU48),IF(VLOOKUP(AU$1,main!$A$3:$I$56,7,FALSE)=VLOOKUP($A48,main!$A$3:$I$56,8,FALSE),VLOOKUP(AU$1,main!$A$3:$I$56,4,FALSE),VLOOKUP(AU$1,main!$A$3:$I$56,4,FALSE)+VLOOKUP($A48,main!$A$3:$I$56,4,FALSE)+(VLOOKUP(VLOOKUP(AU$1,main!$A$3:$I$56,8,FALSE),main!$K$19:$O$22,MATCH(VLOOKUP($A48,main!$A$3:$I$56,7,FALSE),main!$K$18:$O$18,0),0))),0)</f>
        <v>0</v>
      </c>
      <c r="AV48">
        <f>IF((gamma!AV48),IF(VLOOKUP(AV$1,main!$A$3:$I$56,7,FALSE)=VLOOKUP($A48,main!$A$3:$I$56,8,FALSE),VLOOKUP(AV$1,main!$A$3:$I$56,4,FALSE),VLOOKUP(AV$1,main!$A$3:$I$56,4,FALSE)+VLOOKUP($A48,main!$A$3:$I$56,4,FALSE)+(VLOOKUP(VLOOKUP(AV$1,main!$A$3:$I$56,8,FALSE),main!$K$19:$O$22,MATCH(VLOOKUP($A48,main!$A$3:$I$56,7,FALSE),main!$K$18:$O$18,0),0))),0)</f>
        <v>0</v>
      </c>
      <c r="AW48">
        <f>IF((gamma!AW48),IF(VLOOKUP(AW$1,main!$A$3:$I$56,7,FALSE)=VLOOKUP($A48,main!$A$3:$I$56,8,FALSE),VLOOKUP(AW$1,main!$A$3:$I$56,4,FALSE),VLOOKUP(AW$1,main!$A$3:$I$56,4,FALSE)+VLOOKUP($A48,main!$A$3:$I$56,4,FALSE)+(VLOOKUP(VLOOKUP(AW$1,main!$A$3:$I$56,8,FALSE),main!$K$19:$O$22,MATCH(VLOOKUP($A48,main!$A$3:$I$56,7,FALSE),main!$K$18:$O$18,0),0))),0)</f>
        <v>0</v>
      </c>
      <c r="AX48">
        <f>IF((gamma!AX48),IF(VLOOKUP(AX$1,main!$A$3:$I$56,7,FALSE)=VLOOKUP($A48,main!$A$3:$I$56,8,FALSE),VLOOKUP(AX$1,main!$A$3:$I$56,4,FALSE),VLOOKUP(AX$1,main!$A$3:$I$56,4,FALSE)+VLOOKUP($A48,main!$A$3:$I$56,4,FALSE)+(VLOOKUP(VLOOKUP(AX$1,main!$A$3:$I$56,8,FALSE),main!$K$19:$O$22,MATCH(VLOOKUP($A48,main!$A$3:$I$56,7,FALSE),main!$K$18:$O$18,0),0))),0)</f>
        <v>310</v>
      </c>
      <c r="AY48">
        <f>IF((gamma!AY48),IF(VLOOKUP(AY$1,main!$A$3:$I$56,7,FALSE)=VLOOKUP($A48,main!$A$3:$I$56,8,FALSE),VLOOKUP(AY$1,main!$A$3:$I$56,4,FALSE),VLOOKUP(AY$1,main!$A$3:$I$56,4,FALSE)+VLOOKUP($A48,main!$A$3:$I$56,4,FALSE)+(VLOOKUP(VLOOKUP(AY$1,main!$A$3:$I$56,8,FALSE),main!$K$19:$O$22,MATCH(VLOOKUP($A48,main!$A$3:$I$56,7,FALSE),main!$K$18:$O$18,0),0))),0)</f>
        <v>310</v>
      </c>
      <c r="AZ48">
        <f>IF((gamma!AZ48),IF(VLOOKUP(AZ$1,main!$A$3:$I$56,7,FALSE)=VLOOKUP($A48,main!$A$3:$I$56,8,FALSE),VLOOKUP(AZ$1,main!$A$3:$I$56,4,FALSE),VLOOKUP(AZ$1,main!$A$3:$I$56,4,FALSE)+VLOOKUP($A48,main!$A$3:$I$56,4,FALSE)+(VLOOKUP(VLOOKUP(AZ$1,main!$A$3:$I$56,8,FALSE),main!$K$19:$O$22,MATCH(VLOOKUP($A48,main!$A$3:$I$56,7,FALSE),main!$K$18:$O$18,0),0))),0)</f>
        <v>0</v>
      </c>
      <c r="BA48">
        <f>IF((gamma!BA48),IF(VLOOKUP(BA$1,main!$A$3:$I$56,7,FALSE)=VLOOKUP($A48,main!$A$3:$I$56,8,FALSE),VLOOKUP(BA$1,main!$A$3:$I$56,4,FALSE),VLOOKUP(BA$1,main!$A$3:$I$56,4,FALSE)+VLOOKUP($A48,main!$A$3:$I$56,4,FALSE)+(VLOOKUP(VLOOKUP(BA$1,main!$A$3:$I$56,8,FALSE),main!$K$19:$O$22,MATCH(VLOOKUP($A48,main!$A$3:$I$56,7,FALSE),main!$K$18:$O$18,0),0))),0)</f>
        <v>0</v>
      </c>
      <c r="BB48">
        <f>IF((gamma!BB48),IF(VLOOKUP(BB$1,main!$A$3:$I$56,7,FALSE)=VLOOKUP($A48,main!$A$3:$I$56,8,FALSE),VLOOKUP(BB$1,main!$A$3:$I$56,4,FALSE),VLOOKUP(BB$1,main!$A$3:$I$56,4,FALSE)+VLOOKUP($A48,main!$A$3:$I$56,4,FALSE)+(VLOOKUP(VLOOKUP(BB$1,main!$A$3:$I$56,8,FALSE),main!$K$19:$O$22,MATCH(VLOOKUP($A48,main!$A$3:$I$56,7,FALSE),main!$K$18:$O$18,0),0))),0)</f>
        <v>0</v>
      </c>
      <c r="BC48">
        <f>IF((gamma!BC48),IF(VLOOKUP(BC$1,main!$A$3:$I$56,7,FALSE)=VLOOKUP($A48,main!$A$3:$I$56,8,FALSE),VLOOKUP(BC$1,main!$A$3:$I$56,4,FALSE),VLOOKUP(BC$1,main!$A$3:$I$56,4,FALSE)+VLOOKUP($A48,main!$A$3:$I$56,4,FALSE)+(VLOOKUP(VLOOKUP(BC$1,main!$A$3:$I$56,8,FALSE),main!$K$19:$O$22,MATCH(VLOOKUP($A48,main!$A$3:$I$56,7,FALSE),main!$K$18:$O$18,0),0))),0)</f>
        <v>303</v>
      </c>
      <c r="BD48">
        <f>IF((gamma!BD48),IF(VLOOKUP(BD$1,main!$A$3:$I$56,7,FALSE)=VLOOKUP($A48,main!$A$3:$I$56,8,FALSE),VLOOKUP(BD$1,main!$A$3:$I$56,4,FALSE),VLOOKUP(BD$1,main!$A$3:$I$56,4,FALSE)+VLOOKUP($A48,main!$A$3:$I$56,4,FALSE)+(VLOOKUP(VLOOKUP(BD$1,main!$A$3:$I$56,8,FALSE),main!$K$19:$O$22,MATCH(VLOOKUP($A48,main!$A$3:$I$56,7,FALSE),main!$K$18:$O$18,0),0))),0)</f>
        <v>303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5">
      <c r="A49">
        <f t="shared" si="0"/>
        <v>47</v>
      </c>
      <c r="B49">
        <v>0</v>
      </c>
      <c r="C49">
        <f>IF((gamma!C49),IF(VLOOKUP(C$1,main!$A$3:$I$56,7,FALSE)=VLOOKUP($A49,main!$A$3:$I$56,8,FALSE),VLOOKUP(C$1,main!$A$3:$I$56,4,FALSE),VLOOKUP(C$1,main!$A$3:$I$56,4,FALSE)+VLOOKUP($A49,main!$A$3:$I$56,4,FALSE)+(VLOOKUP(VLOOKUP(C$1,main!$A$3:$I$56,8,FALSE),main!$K$19:$O$22,MATCH(VLOOKUP($A49,main!$A$3:$I$56,7,FALSE),main!$K$18:$O$18,0),0))),0)</f>
        <v>0</v>
      </c>
      <c r="D49">
        <f>IF((gamma!D49),IF(VLOOKUP(D$1,main!$A$3:$I$56,7,FALSE)=VLOOKUP($A49,main!$A$3:$I$56,8,FALSE),VLOOKUP(D$1,main!$A$3:$I$56,4,FALSE),VLOOKUP(D$1,main!$A$3:$I$56,4,FALSE)+VLOOKUP($A49,main!$A$3:$I$56,4,FALSE)+(VLOOKUP(VLOOKUP(D$1,main!$A$3:$I$56,8,FALSE),main!$K$19:$O$22,MATCH(VLOOKUP($A49,main!$A$3:$I$56,7,FALSE),main!$K$18:$O$18,0),0))),0)</f>
        <v>0</v>
      </c>
      <c r="E49">
        <f>IF((gamma!E49),IF(VLOOKUP(E$1,main!$A$3:$I$56,7,FALSE)=VLOOKUP($A49,main!$A$3:$I$56,8,FALSE),VLOOKUP(E$1,main!$A$3:$I$56,4,FALSE),VLOOKUP(E$1,main!$A$3:$I$56,4,FALSE)+VLOOKUP($A49,main!$A$3:$I$56,4,FALSE)+(VLOOKUP(VLOOKUP(E$1,main!$A$3:$I$56,8,FALSE),main!$K$19:$O$22,MATCH(VLOOKUP($A49,main!$A$3:$I$56,7,FALSE),main!$K$18:$O$18,0),0))),0)</f>
        <v>0</v>
      </c>
      <c r="F49">
        <f>IF((gamma!F49),IF(VLOOKUP(F$1,main!$A$3:$I$56,7,FALSE)=VLOOKUP($A49,main!$A$3:$I$56,8,FALSE),VLOOKUP(F$1,main!$A$3:$I$56,4,FALSE),VLOOKUP(F$1,main!$A$3:$I$56,4,FALSE)+VLOOKUP($A49,main!$A$3:$I$56,4,FALSE)+(VLOOKUP(VLOOKUP(F$1,main!$A$3:$I$56,8,FALSE),main!$K$19:$O$22,MATCH(VLOOKUP($A49,main!$A$3:$I$56,7,FALSE),main!$K$18:$O$18,0),0))),0)</f>
        <v>0</v>
      </c>
      <c r="G49">
        <f>IF((gamma!G49),IF(VLOOKUP(G$1,main!$A$3:$I$56,7,FALSE)=VLOOKUP($A49,main!$A$3:$I$56,8,FALSE),VLOOKUP(G$1,main!$A$3:$I$56,4,FALSE),VLOOKUP(G$1,main!$A$3:$I$56,4,FALSE)+VLOOKUP($A49,main!$A$3:$I$56,4,FALSE)+(VLOOKUP(VLOOKUP(G$1,main!$A$3:$I$56,8,FALSE),main!$K$19:$O$22,MATCH(VLOOKUP($A49,main!$A$3:$I$56,7,FALSE),main!$K$18:$O$18,0),0))),0)</f>
        <v>135</v>
      </c>
      <c r="H49">
        <f>IF((gamma!H49),IF(VLOOKUP(H$1,main!$A$3:$I$56,7,FALSE)=VLOOKUP($A49,main!$A$3:$I$56,8,FALSE),VLOOKUP(H$1,main!$A$3:$I$56,4,FALSE),VLOOKUP(H$1,main!$A$3:$I$56,4,FALSE)+VLOOKUP($A49,main!$A$3:$I$56,4,FALSE)+(VLOOKUP(VLOOKUP(H$1,main!$A$3:$I$56,8,FALSE),main!$K$19:$O$22,MATCH(VLOOKUP($A49,main!$A$3:$I$56,7,FALSE),main!$K$18:$O$18,0),0))),0)</f>
        <v>135</v>
      </c>
      <c r="I49">
        <f>IF((gamma!I49),IF(VLOOKUP(I$1,main!$A$3:$I$56,7,FALSE)=VLOOKUP($A49,main!$A$3:$I$56,8,FALSE),VLOOKUP(I$1,main!$A$3:$I$56,4,FALSE),VLOOKUP(I$1,main!$A$3:$I$56,4,FALSE)+VLOOKUP($A49,main!$A$3:$I$56,4,FALSE)+(VLOOKUP(VLOOKUP(I$1,main!$A$3:$I$56,8,FALSE),main!$K$19:$O$22,MATCH(VLOOKUP($A49,main!$A$3:$I$56,7,FALSE),main!$K$18:$O$18,0),0))),0)</f>
        <v>135</v>
      </c>
      <c r="J49">
        <f>IF((gamma!J49),IF(VLOOKUP(J$1,main!$A$3:$I$56,7,FALSE)=VLOOKUP($A49,main!$A$3:$I$56,8,FALSE),VLOOKUP(J$1,main!$A$3:$I$56,4,FALSE),VLOOKUP(J$1,main!$A$3:$I$56,4,FALSE)+VLOOKUP($A49,main!$A$3:$I$56,4,FALSE)+(VLOOKUP(VLOOKUP(J$1,main!$A$3:$I$56,8,FALSE),main!$K$19:$O$22,MATCH(VLOOKUP($A49,main!$A$3:$I$56,7,FALSE),main!$K$18:$O$18,0),0))),0)</f>
        <v>135</v>
      </c>
      <c r="K49">
        <f>IF((gamma!K49),IF(VLOOKUP(K$1,main!$A$3:$I$56,7,FALSE)=VLOOKUP($A49,main!$A$3:$I$56,8,FALSE),VLOOKUP(K$1,main!$A$3:$I$56,4,FALSE),VLOOKUP(K$1,main!$A$3:$I$56,4,FALSE)+VLOOKUP($A49,main!$A$3:$I$56,4,FALSE)+(VLOOKUP(VLOOKUP(K$1,main!$A$3:$I$56,8,FALSE),main!$K$19:$O$22,MATCH(VLOOKUP($A49,main!$A$3:$I$56,7,FALSE),main!$K$18:$O$18,0),0))),0)</f>
        <v>0</v>
      </c>
      <c r="L49">
        <f>IF((gamma!L49),IF(VLOOKUP(L$1,main!$A$3:$I$56,7,FALSE)=VLOOKUP($A49,main!$A$3:$I$56,8,FALSE),VLOOKUP(L$1,main!$A$3:$I$56,4,FALSE),VLOOKUP(L$1,main!$A$3:$I$56,4,FALSE)+VLOOKUP($A49,main!$A$3:$I$56,4,FALSE)+(VLOOKUP(VLOOKUP(L$1,main!$A$3:$I$56,8,FALSE),main!$K$19:$O$22,MATCH(VLOOKUP($A49,main!$A$3:$I$56,7,FALSE),main!$K$18:$O$18,0),0))),0)</f>
        <v>0</v>
      </c>
      <c r="M49">
        <f>IF((gamma!M49),IF(VLOOKUP(M$1,main!$A$3:$I$56,7,FALSE)=VLOOKUP($A49,main!$A$3:$I$56,8,FALSE),VLOOKUP(M$1,main!$A$3:$I$56,4,FALSE),VLOOKUP(M$1,main!$A$3:$I$56,4,FALSE)+VLOOKUP($A49,main!$A$3:$I$56,4,FALSE)+(VLOOKUP(VLOOKUP(M$1,main!$A$3:$I$56,8,FALSE),main!$K$19:$O$22,MATCH(VLOOKUP($A49,main!$A$3:$I$56,7,FALSE),main!$K$18:$O$18,0),0))),0)</f>
        <v>0</v>
      </c>
      <c r="N49">
        <f>IF((gamma!N49),IF(VLOOKUP(N$1,main!$A$3:$I$56,7,FALSE)=VLOOKUP($A49,main!$A$3:$I$56,8,FALSE),VLOOKUP(N$1,main!$A$3:$I$56,4,FALSE),VLOOKUP(N$1,main!$A$3:$I$56,4,FALSE)+VLOOKUP($A49,main!$A$3:$I$56,4,FALSE)+(VLOOKUP(VLOOKUP(N$1,main!$A$3:$I$56,8,FALSE),main!$K$19:$O$22,MATCH(VLOOKUP($A49,main!$A$3:$I$56,7,FALSE),main!$K$18:$O$18,0),0))),0)</f>
        <v>140</v>
      </c>
      <c r="O49">
        <f>IF((gamma!O49),IF(VLOOKUP(O$1,main!$A$3:$I$56,7,FALSE)=VLOOKUP($A49,main!$A$3:$I$56,8,FALSE),VLOOKUP(O$1,main!$A$3:$I$56,4,FALSE),VLOOKUP(O$1,main!$A$3:$I$56,4,FALSE)+VLOOKUP($A49,main!$A$3:$I$56,4,FALSE)+(VLOOKUP(VLOOKUP(O$1,main!$A$3:$I$56,8,FALSE),main!$K$19:$O$22,MATCH(VLOOKUP($A49,main!$A$3:$I$56,7,FALSE),main!$K$18:$O$18,0),0))),0)</f>
        <v>140</v>
      </c>
      <c r="P49">
        <f>IF((gamma!P49),IF(VLOOKUP(P$1,main!$A$3:$I$56,7,FALSE)=VLOOKUP($A49,main!$A$3:$I$56,8,FALSE),VLOOKUP(P$1,main!$A$3:$I$56,4,FALSE),VLOOKUP(P$1,main!$A$3:$I$56,4,FALSE)+VLOOKUP($A49,main!$A$3:$I$56,4,FALSE)+(VLOOKUP(VLOOKUP(P$1,main!$A$3:$I$56,8,FALSE),main!$K$19:$O$22,MATCH(VLOOKUP($A49,main!$A$3:$I$56,7,FALSE),main!$K$18:$O$18,0),0))),0)</f>
        <v>0</v>
      </c>
      <c r="Q49">
        <f>IF((gamma!Q49),IF(VLOOKUP(Q$1,main!$A$3:$I$56,7,FALSE)=VLOOKUP($A49,main!$A$3:$I$56,8,FALSE),VLOOKUP(Q$1,main!$A$3:$I$56,4,FALSE),VLOOKUP(Q$1,main!$A$3:$I$56,4,FALSE)+VLOOKUP($A49,main!$A$3:$I$56,4,FALSE)+(VLOOKUP(VLOOKUP(Q$1,main!$A$3:$I$56,8,FALSE),main!$K$19:$O$22,MATCH(VLOOKUP($A49,main!$A$3:$I$56,7,FALSE),main!$K$18:$O$18,0),0))),0)</f>
        <v>0</v>
      </c>
      <c r="R49">
        <f>IF((gamma!R49),IF(VLOOKUP(R$1,main!$A$3:$I$56,7,FALSE)=VLOOKUP($A49,main!$A$3:$I$56,8,FALSE),VLOOKUP(R$1,main!$A$3:$I$56,4,FALSE),VLOOKUP(R$1,main!$A$3:$I$56,4,FALSE)+VLOOKUP($A49,main!$A$3:$I$56,4,FALSE)+(VLOOKUP(VLOOKUP(R$1,main!$A$3:$I$56,8,FALSE),main!$K$19:$O$22,MATCH(VLOOKUP($A49,main!$A$3:$I$56,7,FALSE),main!$K$18:$O$18,0),0))),0)</f>
        <v>0</v>
      </c>
      <c r="S49">
        <f>IF((gamma!S49),IF(VLOOKUP(S$1,main!$A$3:$I$56,7,FALSE)=VLOOKUP($A49,main!$A$3:$I$56,8,FALSE),VLOOKUP(S$1,main!$A$3:$I$56,4,FALSE),VLOOKUP(S$1,main!$A$3:$I$56,4,FALSE)+VLOOKUP($A49,main!$A$3:$I$56,4,FALSE)+(VLOOKUP(VLOOKUP(S$1,main!$A$3:$I$56,8,FALSE),main!$K$19:$O$22,MATCH(VLOOKUP($A49,main!$A$3:$I$56,7,FALSE),main!$K$18:$O$18,0),0))),0)</f>
        <v>140</v>
      </c>
      <c r="T49">
        <f>IF((gamma!T49),IF(VLOOKUP(T$1,main!$A$3:$I$56,7,FALSE)=VLOOKUP($A49,main!$A$3:$I$56,8,FALSE),VLOOKUP(T$1,main!$A$3:$I$56,4,FALSE),VLOOKUP(T$1,main!$A$3:$I$56,4,FALSE)+VLOOKUP($A49,main!$A$3:$I$56,4,FALSE)+(VLOOKUP(VLOOKUP(T$1,main!$A$3:$I$56,8,FALSE),main!$K$19:$O$22,MATCH(VLOOKUP($A49,main!$A$3:$I$56,7,FALSE),main!$K$18:$O$18,0),0))),0)</f>
        <v>140</v>
      </c>
      <c r="U49">
        <f>IF((gamma!U49),IF(VLOOKUP(U$1,main!$A$3:$I$56,7,FALSE)=VLOOKUP($A49,main!$A$3:$I$56,8,FALSE),VLOOKUP(U$1,main!$A$3:$I$56,4,FALSE),VLOOKUP(U$1,main!$A$3:$I$56,4,FALSE)+VLOOKUP($A49,main!$A$3:$I$56,4,FALSE)+(VLOOKUP(VLOOKUP(U$1,main!$A$3:$I$56,8,FALSE),main!$K$19:$O$22,MATCH(VLOOKUP($A49,main!$A$3:$I$56,7,FALSE),main!$K$18:$O$18,0),0))),0)</f>
        <v>0</v>
      </c>
      <c r="V49">
        <f>IF((gamma!V49),IF(VLOOKUP(V$1,main!$A$3:$I$56,7,FALSE)=VLOOKUP($A49,main!$A$3:$I$56,8,FALSE),VLOOKUP(V$1,main!$A$3:$I$56,4,FALSE),VLOOKUP(V$1,main!$A$3:$I$56,4,FALSE)+VLOOKUP($A49,main!$A$3:$I$56,4,FALSE)+(VLOOKUP(VLOOKUP(V$1,main!$A$3:$I$56,8,FALSE),main!$K$19:$O$22,MATCH(VLOOKUP($A49,main!$A$3:$I$56,7,FALSE),main!$K$18:$O$18,0),0))),0)</f>
        <v>0</v>
      </c>
      <c r="W49">
        <f>IF((gamma!W49),IF(VLOOKUP(W$1,main!$A$3:$I$56,7,FALSE)=VLOOKUP($A49,main!$A$3:$I$56,8,FALSE),VLOOKUP(W$1,main!$A$3:$I$56,4,FALSE),VLOOKUP(W$1,main!$A$3:$I$56,4,FALSE)+VLOOKUP($A49,main!$A$3:$I$56,4,FALSE)+(VLOOKUP(VLOOKUP(W$1,main!$A$3:$I$56,8,FALSE),main!$K$19:$O$22,MATCH(VLOOKUP($A49,main!$A$3:$I$56,7,FALSE),main!$K$18:$O$18,0),0))),0)</f>
        <v>0</v>
      </c>
      <c r="X49">
        <f>IF((gamma!X49),IF(VLOOKUP(X$1,main!$A$3:$I$56,7,FALSE)=VLOOKUP($A49,main!$A$3:$I$56,8,FALSE),VLOOKUP(X$1,main!$A$3:$I$56,4,FALSE),VLOOKUP(X$1,main!$A$3:$I$56,4,FALSE)+VLOOKUP($A49,main!$A$3:$I$56,4,FALSE)+(VLOOKUP(VLOOKUP(X$1,main!$A$3:$I$56,8,FALSE),main!$K$19:$O$22,MATCH(VLOOKUP($A49,main!$A$3:$I$56,7,FALSE),main!$K$18:$O$18,0),0))),0)</f>
        <v>0</v>
      </c>
      <c r="Y49">
        <f>IF((gamma!Y49),IF(VLOOKUP(Y$1,main!$A$3:$I$56,7,FALSE)=VLOOKUP($A49,main!$A$3:$I$56,8,FALSE),VLOOKUP(Y$1,main!$A$3:$I$56,4,FALSE),VLOOKUP(Y$1,main!$A$3:$I$56,4,FALSE)+VLOOKUP($A49,main!$A$3:$I$56,4,FALSE)+(VLOOKUP(VLOOKUP(Y$1,main!$A$3:$I$56,8,FALSE),main!$K$19:$O$22,MATCH(VLOOKUP($A49,main!$A$3:$I$56,7,FALSE),main!$K$18:$O$18,0),0))),0)</f>
        <v>0</v>
      </c>
      <c r="Z49">
        <f>IF((gamma!Z49),IF(VLOOKUP(Z$1,main!$A$3:$I$56,7,FALSE)=VLOOKUP($A49,main!$A$3:$I$56,8,FALSE),VLOOKUP(Z$1,main!$A$3:$I$56,4,FALSE),VLOOKUP(Z$1,main!$A$3:$I$56,4,FALSE)+VLOOKUP($A49,main!$A$3:$I$56,4,FALSE)+(VLOOKUP(VLOOKUP(Z$1,main!$A$3:$I$56,8,FALSE),main!$K$19:$O$22,MATCH(VLOOKUP($A49,main!$A$3:$I$56,7,FALSE),main!$K$18:$O$18,0),0))),0)</f>
        <v>310</v>
      </c>
      <c r="AA49">
        <f>IF((gamma!AA49),IF(VLOOKUP(AA$1,main!$A$3:$I$56,7,FALSE)=VLOOKUP($A49,main!$A$3:$I$56,8,FALSE),VLOOKUP(AA$1,main!$A$3:$I$56,4,FALSE),VLOOKUP(AA$1,main!$A$3:$I$56,4,FALSE)+VLOOKUP($A49,main!$A$3:$I$56,4,FALSE)+(VLOOKUP(VLOOKUP(AA$1,main!$A$3:$I$56,8,FALSE),main!$K$19:$O$22,MATCH(VLOOKUP($A49,main!$A$3:$I$56,7,FALSE),main!$K$18:$O$18,0),0))),0)</f>
        <v>310</v>
      </c>
      <c r="AB49">
        <f>IF((gamma!AB49),IF(VLOOKUP(AB$1,main!$A$3:$I$56,7,FALSE)=VLOOKUP($A49,main!$A$3:$I$56,8,FALSE),VLOOKUP(AB$1,main!$A$3:$I$56,4,FALSE),VLOOKUP(AB$1,main!$A$3:$I$56,4,FALSE)+VLOOKUP($A49,main!$A$3:$I$56,4,FALSE)+(VLOOKUP(VLOOKUP(AB$1,main!$A$3:$I$56,8,FALSE),main!$K$19:$O$22,MATCH(VLOOKUP($A49,main!$A$3:$I$56,7,FALSE),main!$K$18:$O$18,0),0))),0)</f>
        <v>310</v>
      </c>
      <c r="AC49">
        <f>IF((gamma!AC49),IF(VLOOKUP(AC$1,main!$A$3:$I$56,7,FALSE)=VLOOKUP($A49,main!$A$3:$I$56,8,FALSE),VLOOKUP(AC$1,main!$A$3:$I$56,4,FALSE),VLOOKUP(AC$1,main!$A$3:$I$56,4,FALSE)+VLOOKUP($A49,main!$A$3:$I$56,4,FALSE)+(VLOOKUP(VLOOKUP(AC$1,main!$A$3:$I$56,8,FALSE),main!$K$19:$O$22,MATCH(VLOOKUP($A49,main!$A$3:$I$56,7,FALSE),main!$K$18:$O$18,0),0))),0)</f>
        <v>0</v>
      </c>
      <c r="AD49">
        <f>IF((gamma!AD49),IF(VLOOKUP(AD$1,main!$A$3:$I$56,7,FALSE)=VLOOKUP($A49,main!$A$3:$I$56,8,FALSE),VLOOKUP(AD$1,main!$A$3:$I$56,4,FALSE),VLOOKUP(AD$1,main!$A$3:$I$56,4,FALSE)+VLOOKUP($A49,main!$A$3:$I$56,4,FALSE)+(VLOOKUP(VLOOKUP(AD$1,main!$A$3:$I$56,8,FALSE),main!$K$19:$O$22,MATCH(VLOOKUP($A49,main!$A$3:$I$56,7,FALSE),main!$K$18:$O$18,0),0))),0)</f>
        <v>0</v>
      </c>
      <c r="AE49">
        <f>IF((gamma!AE49),IF(VLOOKUP(AE$1,main!$A$3:$I$56,7,FALSE)=VLOOKUP($A49,main!$A$3:$I$56,8,FALSE),VLOOKUP(AE$1,main!$A$3:$I$56,4,FALSE),VLOOKUP(AE$1,main!$A$3:$I$56,4,FALSE)+VLOOKUP($A49,main!$A$3:$I$56,4,FALSE)+(VLOOKUP(VLOOKUP(AE$1,main!$A$3:$I$56,8,FALSE),main!$K$19:$O$22,MATCH(VLOOKUP($A49,main!$A$3:$I$56,7,FALSE),main!$K$18:$O$18,0),0))),0)</f>
        <v>0</v>
      </c>
      <c r="AF49">
        <f>IF((gamma!AF49),IF(VLOOKUP(AF$1,main!$A$3:$I$56,7,FALSE)=VLOOKUP($A49,main!$A$3:$I$56,8,FALSE),VLOOKUP(AF$1,main!$A$3:$I$56,4,FALSE),VLOOKUP(AF$1,main!$A$3:$I$56,4,FALSE)+VLOOKUP($A49,main!$A$3:$I$56,4,FALSE)+(VLOOKUP(VLOOKUP(AF$1,main!$A$3:$I$56,8,FALSE),main!$K$19:$O$22,MATCH(VLOOKUP($A49,main!$A$3:$I$56,7,FALSE),main!$K$18:$O$18,0),0))),0)</f>
        <v>0</v>
      </c>
      <c r="AG49">
        <f>IF((gamma!AG49),IF(VLOOKUP(AG$1,main!$A$3:$I$56,7,FALSE)=VLOOKUP($A49,main!$A$3:$I$56,8,FALSE),VLOOKUP(AG$1,main!$A$3:$I$56,4,FALSE),VLOOKUP(AG$1,main!$A$3:$I$56,4,FALSE)+VLOOKUP($A49,main!$A$3:$I$56,4,FALSE)+(VLOOKUP(VLOOKUP(AG$1,main!$A$3:$I$56,8,FALSE),main!$K$19:$O$22,MATCH(VLOOKUP($A49,main!$A$3:$I$56,7,FALSE),main!$K$18:$O$18,0),0))),0)</f>
        <v>0</v>
      </c>
      <c r="AH49">
        <f>IF((gamma!AH49),IF(VLOOKUP(AH$1,main!$A$3:$I$56,7,FALSE)=VLOOKUP($A49,main!$A$3:$I$56,8,FALSE),VLOOKUP(AH$1,main!$A$3:$I$56,4,FALSE),VLOOKUP(AH$1,main!$A$3:$I$56,4,FALSE)+VLOOKUP($A49,main!$A$3:$I$56,4,FALSE)+(VLOOKUP(VLOOKUP(AH$1,main!$A$3:$I$56,8,FALSE),main!$K$19:$O$22,MATCH(VLOOKUP($A49,main!$A$3:$I$56,7,FALSE),main!$K$18:$O$18,0),0))),0)</f>
        <v>0</v>
      </c>
      <c r="AI49">
        <f>IF((gamma!AI49),IF(VLOOKUP(AI$1,main!$A$3:$I$56,7,FALSE)=VLOOKUP($A49,main!$A$3:$I$56,8,FALSE),VLOOKUP(AI$1,main!$A$3:$I$56,4,FALSE),VLOOKUP(AI$1,main!$A$3:$I$56,4,FALSE)+VLOOKUP($A49,main!$A$3:$I$56,4,FALSE)+(VLOOKUP(VLOOKUP(AI$1,main!$A$3:$I$56,8,FALSE),main!$K$19:$O$22,MATCH(VLOOKUP($A49,main!$A$3:$I$56,7,FALSE),main!$K$18:$O$18,0),0))),0)</f>
        <v>0</v>
      </c>
      <c r="AJ49">
        <f>IF((gamma!AJ49),IF(VLOOKUP(AJ$1,main!$A$3:$I$56,7,FALSE)=VLOOKUP($A49,main!$A$3:$I$56,8,FALSE),VLOOKUP(AJ$1,main!$A$3:$I$56,4,FALSE),VLOOKUP(AJ$1,main!$A$3:$I$56,4,FALSE)+VLOOKUP($A49,main!$A$3:$I$56,4,FALSE)+(VLOOKUP(VLOOKUP(AJ$1,main!$A$3:$I$56,8,FALSE),main!$K$19:$O$22,MATCH(VLOOKUP($A49,main!$A$3:$I$56,7,FALSE),main!$K$18:$O$18,0),0))),0)</f>
        <v>0</v>
      </c>
      <c r="AK49">
        <f>IF((gamma!AK49),IF(VLOOKUP(AK$1,main!$A$3:$I$56,7,FALSE)=VLOOKUP($A49,main!$A$3:$I$56,8,FALSE),VLOOKUP(AK$1,main!$A$3:$I$56,4,FALSE),VLOOKUP(AK$1,main!$A$3:$I$56,4,FALSE)+VLOOKUP($A49,main!$A$3:$I$56,4,FALSE)+(VLOOKUP(VLOOKUP(AK$1,main!$A$3:$I$56,8,FALSE),main!$K$19:$O$22,MATCH(VLOOKUP($A49,main!$A$3:$I$56,7,FALSE),main!$K$18:$O$18,0),0))),0)</f>
        <v>315</v>
      </c>
      <c r="AL49">
        <f>IF((gamma!AL49),IF(VLOOKUP(AL$1,main!$A$3:$I$56,7,FALSE)=VLOOKUP($A49,main!$A$3:$I$56,8,FALSE),VLOOKUP(AL$1,main!$A$3:$I$56,4,FALSE),VLOOKUP(AL$1,main!$A$3:$I$56,4,FALSE)+VLOOKUP($A49,main!$A$3:$I$56,4,FALSE)+(VLOOKUP(VLOOKUP(AL$1,main!$A$3:$I$56,8,FALSE),main!$K$19:$O$22,MATCH(VLOOKUP($A49,main!$A$3:$I$56,7,FALSE),main!$K$18:$O$18,0),0))),0)</f>
        <v>0</v>
      </c>
      <c r="AM49">
        <f>IF((gamma!AM49),IF(VLOOKUP(AM$1,main!$A$3:$I$56,7,FALSE)=VLOOKUP($A49,main!$A$3:$I$56,8,FALSE),VLOOKUP(AM$1,main!$A$3:$I$56,4,FALSE),VLOOKUP(AM$1,main!$A$3:$I$56,4,FALSE)+VLOOKUP($A49,main!$A$3:$I$56,4,FALSE)+(VLOOKUP(VLOOKUP(AM$1,main!$A$3:$I$56,8,FALSE),main!$K$19:$O$22,MATCH(VLOOKUP($A49,main!$A$3:$I$56,7,FALSE),main!$K$18:$O$18,0),0))),0)</f>
        <v>0</v>
      </c>
      <c r="AN49">
        <f>IF((gamma!AN49),IF(VLOOKUP(AN$1,main!$A$3:$I$56,7,FALSE)=VLOOKUP($A49,main!$A$3:$I$56,8,FALSE),VLOOKUP(AN$1,main!$A$3:$I$56,4,FALSE),VLOOKUP(AN$1,main!$A$3:$I$56,4,FALSE)+VLOOKUP($A49,main!$A$3:$I$56,4,FALSE)+(VLOOKUP(VLOOKUP(AN$1,main!$A$3:$I$56,8,FALSE),main!$K$19:$O$22,MATCH(VLOOKUP($A49,main!$A$3:$I$56,7,FALSE),main!$K$18:$O$18,0),0))),0)</f>
        <v>0</v>
      </c>
      <c r="AO49">
        <f>IF((gamma!AO49),IF(VLOOKUP(AO$1,main!$A$3:$I$56,7,FALSE)=VLOOKUP($A49,main!$A$3:$I$56,8,FALSE),VLOOKUP(AO$1,main!$A$3:$I$56,4,FALSE),VLOOKUP(AO$1,main!$A$3:$I$56,4,FALSE)+VLOOKUP($A49,main!$A$3:$I$56,4,FALSE)+(VLOOKUP(VLOOKUP(AO$1,main!$A$3:$I$56,8,FALSE),main!$K$19:$O$22,MATCH(VLOOKUP($A49,main!$A$3:$I$56,7,FALSE),main!$K$18:$O$18,0),0))),0)</f>
        <v>0</v>
      </c>
      <c r="AP49">
        <f>IF((gamma!AP49),IF(VLOOKUP(AP$1,main!$A$3:$I$56,7,FALSE)=VLOOKUP($A49,main!$A$3:$I$56,8,FALSE),VLOOKUP(AP$1,main!$A$3:$I$56,4,FALSE),VLOOKUP(AP$1,main!$A$3:$I$56,4,FALSE)+VLOOKUP($A49,main!$A$3:$I$56,4,FALSE)+(VLOOKUP(VLOOKUP(AP$1,main!$A$3:$I$56,8,FALSE),main!$K$19:$O$22,MATCH(VLOOKUP($A49,main!$A$3:$I$56,7,FALSE),main!$K$18:$O$18,0),0))),0)</f>
        <v>0</v>
      </c>
      <c r="AQ49">
        <f>IF((gamma!AQ49),IF(VLOOKUP(AQ$1,main!$A$3:$I$56,7,FALSE)=VLOOKUP($A49,main!$A$3:$I$56,8,FALSE),VLOOKUP(AQ$1,main!$A$3:$I$56,4,FALSE),VLOOKUP(AQ$1,main!$A$3:$I$56,4,FALSE)+VLOOKUP($A49,main!$A$3:$I$56,4,FALSE)+(VLOOKUP(VLOOKUP(AQ$1,main!$A$3:$I$56,8,FALSE),main!$K$19:$O$22,MATCH(VLOOKUP($A49,main!$A$3:$I$56,7,FALSE),main!$K$18:$O$18,0),0))),0)</f>
        <v>0</v>
      </c>
      <c r="AR49">
        <f>IF((gamma!AR49),IF(VLOOKUP(AR$1,main!$A$3:$I$56,7,FALSE)=VLOOKUP($A49,main!$A$3:$I$56,8,FALSE),VLOOKUP(AR$1,main!$A$3:$I$56,4,FALSE),VLOOKUP(AR$1,main!$A$3:$I$56,4,FALSE)+VLOOKUP($A49,main!$A$3:$I$56,4,FALSE)+(VLOOKUP(VLOOKUP(AR$1,main!$A$3:$I$56,8,FALSE),main!$K$19:$O$22,MATCH(VLOOKUP($A49,main!$A$3:$I$56,7,FALSE),main!$K$18:$O$18,0),0))),0)</f>
        <v>0</v>
      </c>
      <c r="AS49">
        <f>IF((gamma!AS49),IF(VLOOKUP(AS$1,main!$A$3:$I$56,7,FALSE)=VLOOKUP($A49,main!$A$3:$I$56,8,FALSE),VLOOKUP(AS$1,main!$A$3:$I$56,4,FALSE),VLOOKUP(AS$1,main!$A$3:$I$56,4,FALSE)+VLOOKUP($A49,main!$A$3:$I$56,4,FALSE)+(VLOOKUP(VLOOKUP(AS$1,main!$A$3:$I$56,8,FALSE),main!$K$19:$O$22,MATCH(VLOOKUP($A49,main!$A$3:$I$56,7,FALSE),main!$K$18:$O$18,0),0))),0)</f>
        <v>0</v>
      </c>
      <c r="AT49">
        <f>IF((gamma!AT49),IF(VLOOKUP(AT$1,main!$A$3:$I$56,7,FALSE)=VLOOKUP($A49,main!$A$3:$I$56,8,FALSE),VLOOKUP(AT$1,main!$A$3:$I$56,4,FALSE),VLOOKUP(AT$1,main!$A$3:$I$56,4,FALSE)+VLOOKUP($A49,main!$A$3:$I$56,4,FALSE)+(VLOOKUP(VLOOKUP(AT$1,main!$A$3:$I$56,8,FALSE),main!$K$19:$O$22,MATCH(VLOOKUP($A49,main!$A$3:$I$56,7,FALSE),main!$K$18:$O$18,0),0))),0)</f>
        <v>0</v>
      </c>
      <c r="AU49">
        <f>IF((gamma!AU49),IF(VLOOKUP(AU$1,main!$A$3:$I$56,7,FALSE)=VLOOKUP($A49,main!$A$3:$I$56,8,FALSE),VLOOKUP(AU$1,main!$A$3:$I$56,4,FALSE),VLOOKUP(AU$1,main!$A$3:$I$56,4,FALSE)+VLOOKUP($A49,main!$A$3:$I$56,4,FALSE)+(VLOOKUP(VLOOKUP(AU$1,main!$A$3:$I$56,8,FALSE),main!$K$19:$O$22,MATCH(VLOOKUP($A49,main!$A$3:$I$56,7,FALSE),main!$K$18:$O$18,0),0))),0)</f>
        <v>0</v>
      </c>
      <c r="AV49">
        <f>IF((gamma!AV49),IF(VLOOKUP(AV$1,main!$A$3:$I$56,7,FALSE)=VLOOKUP($A49,main!$A$3:$I$56,8,FALSE),VLOOKUP(AV$1,main!$A$3:$I$56,4,FALSE),VLOOKUP(AV$1,main!$A$3:$I$56,4,FALSE)+VLOOKUP($A49,main!$A$3:$I$56,4,FALSE)+(VLOOKUP(VLOOKUP(AV$1,main!$A$3:$I$56,8,FALSE),main!$K$19:$O$22,MATCH(VLOOKUP($A49,main!$A$3:$I$56,7,FALSE),main!$K$18:$O$18,0),0))),0)</f>
        <v>0</v>
      </c>
      <c r="AW49">
        <f>IF((gamma!AW49),IF(VLOOKUP(AW$1,main!$A$3:$I$56,7,FALSE)=VLOOKUP($A49,main!$A$3:$I$56,8,FALSE),VLOOKUP(AW$1,main!$A$3:$I$56,4,FALSE),VLOOKUP(AW$1,main!$A$3:$I$56,4,FALSE)+VLOOKUP($A49,main!$A$3:$I$56,4,FALSE)+(VLOOKUP(VLOOKUP(AW$1,main!$A$3:$I$56,8,FALSE),main!$K$19:$O$22,MATCH(VLOOKUP($A49,main!$A$3:$I$56,7,FALSE),main!$K$18:$O$18,0),0))),0)</f>
        <v>0</v>
      </c>
      <c r="AX49">
        <f>IF((gamma!AX49),IF(VLOOKUP(AX$1,main!$A$3:$I$56,7,FALSE)=VLOOKUP($A49,main!$A$3:$I$56,8,FALSE),VLOOKUP(AX$1,main!$A$3:$I$56,4,FALSE),VLOOKUP(AX$1,main!$A$3:$I$56,4,FALSE)+VLOOKUP($A49,main!$A$3:$I$56,4,FALSE)+(VLOOKUP(VLOOKUP(AX$1,main!$A$3:$I$56,8,FALSE),main!$K$19:$O$22,MATCH(VLOOKUP($A49,main!$A$3:$I$56,7,FALSE),main!$K$18:$O$18,0),0))),0)</f>
        <v>315</v>
      </c>
      <c r="AY49">
        <f>IF((gamma!AY49),IF(VLOOKUP(AY$1,main!$A$3:$I$56,7,FALSE)=VLOOKUP($A49,main!$A$3:$I$56,8,FALSE),VLOOKUP(AY$1,main!$A$3:$I$56,4,FALSE),VLOOKUP(AY$1,main!$A$3:$I$56,4,FALSE)+VLOOKUP($A49,main!$A$3:$I$56,4,FALSE)+(VLOOKUP(VLOOKUP(AY$1,main!$A$3:$I$56,8,FALSE),main!$K$19:$O$22,MATCH(VLOOKUP($A49,main!$A$3:$I$56,7,FALSE),main!$K$18:$O$18,0),0))),0)</f>
        <v>315</v>
      </c>
      <c r="AZ49">
        <f>IF((gamma!AZ49),IF(VLOOKUP(AZ$1,main!$A$3:$I$56,7,FALSE)=VLOOKUP($A49,main!$A$3:$I$56,8,FALSE),VLOOKUP(AZ$1,main!$A$3:$I$56,4,FALSE),VLOOKUP(AZ$1,main!$A$3:$I$56,4,FALSE)+VLOOKUP($A49,main!$A$3:$I$56,4,FALSE)+(VLOOKUP(VLOOKUP(AZ$1,main!$A$3:$I$56,8,FALSE),main!$K$19:$O$22,MATCH(VLOOKUP($A49,main!$A$3:$I$56,7,FALSE),main!$K$18:$O$18,0),0))),0)</f>
        <v>0</v>
      </c>
      <c r="BA49">
        <f>IF((gamma!BA49),IF(VLOOKUP(BA$1,main!$A$3:$I$56,7,FALSE)=VLOOKUP($A49,main!$A$3:$I$56,8,FALSE),VLOOKUP(BA$1,main!$A$3:$I$56,4,FALSE),VLOOKUP(BA$1,main!$A$3:$I$56,4,FALSE)+VLOOKUP($A49,main!$A$3:$I$56,4,FALSE)+(VLOOKUP(VLOOKUP(BA$1,main!$A$3:$I$56,8,FALSE),main!$K$19:$O$22,MATCH(VLOOKUP($A49,main!$A$3:$I$56,7,FALSE),main!$K$18:$O$18,0),0))),0)</f>
        <v>0</v>
      </c>
      <c r="BB49">
        <f>IF((gamma!BB49),IF(VLOOKUP(BB$1,main!$A$3:$I$56,7,FALSE)=VLOOKUP($A49,main!$A$3:$I$56,8,FALSE),VLOOKUP(BB$1,main!$A$3:$I$56,4,FALSE),VLOOKUP(BB$1,main!$A$3:$I$56,4,FALSE)+VLOOKUP($A49,main!$A$3:$I$56,4,FALSE)+(VLOOKUP(VLOOKUP(BB$1,main!$A$3:$I$56,8,FALSE),main!$K$19:$O$22,MATCH(VLOOKUP($A49,main!$A$3:$I$56,7,FALSE),main!$K$18:$O$18,0),0))),0)</f>
        <v>0</v>
      </c>
      <c r="BC49">
        <f>IF((gamma!BC49),IF(VLOOKUP(BC$1,main!$A$3:$I$56,7,FALSE)=VLOOKUP($A49,main!$A$3:$I$56,8,FALSE),VLOOKUP(BC$1,main!$A$3:$I$56,4,FALSE),VLOOKUP(BC$1,main!$A$3:$I$56,4,FALSE)+VLOOKUP($A49,main!$A$3:$I$56,4,FALSE)+(VLOOKUP(VLOOKUP(BC$1,main!$A$3:$I$56,8,FALSE),main!$K$19:$O$22,MATCH(VLOOKUP($A49,main!$A$3:$I$56,7,FALSE),main!$K$18:$O$18,0),0))),0)</f>
        <v>0</v>
      </c>
      <c r="BD49">
        <f>IF((gamma!BD49),IF(VLOOKUP(BD$1,main!$A$3:$I$56,7,FALSE)=VLOOKUP($A49,main!$A$3:$I$56,8,FALSE),VLOOKUP(BD$1,main!$A$3:$I$56,4,FALSE),VLOOKUP(BD$1,main!$A$3:$I$56,4,FALSE)+VLOOKUP($A49,main!$A$3:$I$56,4,FALSE)+(VLOOKUP(VLOOKUP(BD$1,main!$A$3:$I$56,8,FALSE),main!$K$19:$O$22,MATCH(VLOOKUP($A49,main!$A$3:$I$56,7,FALSE),main!$K$18:$O$18,0),0))),0)</f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25">
      <c r="A50">
        <f t="shared" si="0"/>
        <v>48</v>
      </c>
      <c r="B50">
        <v>0</v>
      </c>
      <c r="C50">
        <f>IF((gamma!C50),IF(VLOOKUP(C$1,main!$A$3:$I$56,7,FALSE)=VLOOKUP($A50,main!$A$3:$I$56,8,FALSE),VLOOKUP(C$1,main!$A$3:$I$56,4,FALSE),VLOOKUP(C$1,main!$A$3:$I$56,4,FALSE)+VLOOKUP($A50,main!$A$3:$I$56,4,FALSE)+(VLOOKUP(VLOOKUP(C$1,main!$A$3:$I$56,8,FALSE),main!$K$19:$O$22,MATCH(VLOOKUP($A50,main!$A$3:$I$56,7,FALSE),main!$K$18:$O$18,0),0))),0)</f>
        <v>0</v>
      </c>
      <c r="D50">
        <f>IF((gamma!D50),IF(VLOOKUP(D$1,main!$A$3:$I$56,7,FALSE)=VLOOKUP($A50,main!$A$3:$I$56,8,FALSE),VLOOKUP(D$1,main!$A$3:$I$56,4,FALSE),VLOOKUP(D$1,main!$A$3:$I$56,4,FALSE)+VLOOKUP($A50,main!$A$3:$I$56,4,FALSE)+(VLOOKUP(VLOOKUP(D$1,main!$A$3:$I$56,8,FALSE),main!$K$19:$O$22,MATCH(VLOOKUP($A50,main!$A$3:$I$56,7,FALSE),main!$K$18:$O$18,0),0))),0)</f>
        <v>0</v>
      </c>
      <c r="E50">
        <f>IF((gamma!E50),IF(VLOOKUP(E$1,main!$A$3:$I$56,7,FALSE)=VLOOKUP($A50,main!$A$3:$I$56,8,FALSE),VLOOKUP(E$1,main!$A$3:$I$56,4,FALSE),VLOOKUP(E$1,main!$A$3:$I$56,4,FALSE)+VLOOKUP($A50,main!$A$3:$I$56,4,FALSE)+(VLOOKUP(VLOOKUP(E$1,main!$A$3:$I$56,8,FALSE),main!$K$19:$O$22,MATCH(VLOOKUP($A50,main!$A$3:$I$56,7,FALSE),main!$K$18:$O$18,0),0))),0)</f>
        <v>0</v>
      </c>
      <c r="F50">
        <f>IF((gamma!F50),IF(VLOOKUP(F$1,main!$A$3:$I$56,7,FALSE)=VLOOKUP($A50,main!$A$3:$I$56,8,FALSE),VLOOKUP(F$1,main!$A$3:$I$56,4,FALSE),VLOOKUP(F$1,main!$A$3:$I$56,4,FALSE)+VLOOKUP($A50,main!$A$3:$I$56,4,FALSE)+(VLOOKUP(VLOOKUP(F$1,main!$A$3:$I$56,8,FALSE),main!$K$19:$O$22,MATCH(VLOOKUP($A50,main!$A$3:$I$56,7,FALSE),main!$K$18:$O$18,0),0))),0)</f>
        <v>0</v>
      </c>
      <c r="G50">
        <f>IF((gamma!G50),IF(VLOOKUP(G$1,main!$A$3:$I$56,7,FALSE)=VLOOKUP($A50,main!$A$3:$I$56,8,FALSE),VLOOKUP(G$1,main!$A$3:$I$56,4,FALSE),VLOOKUP(G$1,main!$A$3:$I$56,4,FALSE)+VLOOKUP($A50,main!$A$3:$I$56,4,FALSE)+(VLOOKUP(VLOOKUP(G$1,main!$A$3:$I$56,8,FALSE),main!$K$19:$O$22,MATCH(VLOOKUP($A50,main!$A$3:$I$56,7,FALSE),main!$K$18:$O$18,0),0))),0)</f>
        <v>0</v>
      </c>
      <c r="H50">
        <f>IF((gamma!H50),IF(VLOOKUP(H$1,main!$A$3:$I$56,7,FALSE)=VLOOKUP($A50,main!$A$3:$I$56,8,FALSE),VLOOKUP(H$1,main!$A$3:$I$56,4,FALSE),VLOOKUP(H$1,main!$A$3:$I$56,4,FALSE)+VLOOKUP($A50,main!$A$3:$I$56,4,FALSE)+(VLOOKUP(VLOOKUP(H$1,main!$A$3:$I$56,8,FALSE),main!$K$19:$O$22,MATCH(VLOOKUP($A50,main!$A$3:$I$56,7,FALSE),main!$K$18:$O$18,0),0))),0)</f>
        <v>0</v>
      </c>
      <c r="I50">
        <f>IF((gamma!I50),IF(VLOOKUP(I$1,main!$A$3:$I$56,7,FALSE)=VLOOKUP($A50,main!$A$3:$I$56,8,FALSE),VLOOKUP(I$1,main!$A$3:$I$56,4,FALSE),VLOOKUP(I$1,main!$A$3:$I$56,4,FALSE)+VLOOKUP($A50,main!$A$3:$I$56,4,FALSE)+(VLOOKUP(VLOOKUP(I$1,main!$A$3:$I$56,8,FALSE),main!$K$19:$O$22,MATCH(VLOOKUP($A50,main!$A$3:$I$56,7,FALSE),main!$K$18:$O$18,0),0))),0)</f>
        <v>0</v>
      </c>
      <c r="J50">
        <f>IF((gamma!J50),IF(VLOOKUP(J$1,main!$A$3:$I$56,7,FALSE)=VLOOKUP($A50,main!$A$3:$I$56,8,FALSE),VLOOKUP(J$1,main!$A$3:$I$56,4,FALSE),VLOOKUP(J$1,main!$A$3:$I$56,4,FALSE)+VLOOKUP($A50,main!$A$3:$I$56,4,FALSE)+(VLOOKUP(VLOOKUP(J$1,main!$A$3:$I$56,8,FALSE),main!$K$19:$O$22,MATCH(VLOOKUP($A50,main!$A$3:$I$56,7,FALSE),main!$K$18:$O$18,0),0))),0)</f>
        <v>135</v>
      </c>
      <c r="K50">
        <f>IF((gamma!K50),IF(VLOOKUP(K$1,main!$A$3:$I$56,7,FALSE)=VLOOKUP($A50,main!$A$3:$I$56,8,FALSE),VLOOKUP(K$1,main!$A$3:$I$56,4,FALSE),VLOOKUP(K$1,main!$A$3:$I$56,4,FALSE)+VLOOKUP($A50,main!$A$3:$I$56,4,FALSE)+(VLOOKUP(VLOOKUP(K$1,main!$A$3:$I$56,8,FALSE),main!$K$19:$O$22,MATCH(VLOOKUP($A50,main!$A$3:$I$56,7,FALSE),main!$K$18:$O$18,0),0))),0)</f>
        <v>0</v>
      </c>
      <c r="L50">
        <f>IF((gamma!L50),IF(VLOOKUP(L$1,main!$A$3:$I$56,7,FALSE)=VLOOKUP($A50,main!$A$3:$I$56,8,FALSE),VLOOKUP(L$1,main!$A$3:$I$56,4,FALSE),VLOOKUP(L$1,main!$A$3:$I$56,4,FALSE)+VLOOKUP($A50,main!$A$3:$I$56,4,FALSE)+(VLOOKUP(VLOOKUP(L$1,main!$A$3:$I$56,8,FALSE),main!$K$19:$O$22,MATCH(VLOOKUP($A50,main!$A$3:$I$56,7,FALSE),main!$K$18:$O$18,0),0))),0)</f>
        <v>0</v>
      </c>
      <c r="M50">
        <f>IF((gamma!M50),IF(VLOOKUP(M$1,main!$A$3:$I$56,7,FALSE)=VLOOKUP($A50,main!$A$3:$I$56,8,FALSE),VLOOKUP(M$1,main!$A$3:$I$56,4,FALSE),VLOOKUP(M$1,main!$A$3:$I$56,4,FALSE)+VLOOKUP($A50,main!$A$3:$I$56,4,FALSE)+(VLOOKUP(VLOOKUP(M$1,main!$A$3:$I$56,8,FALSE),main!$K$19:$O$22,MATCH(VLOOKUP($A50,main!$A$3:$I$56,7,FALSE),main!$K$18:$O$18,0),0))),0)</f>
        <v>0</v>
      </c>
      <c r="N50">
        <f>IF((gamma!N50),IF(VLOOKUP(N$1,main!$A$3:$I$56,7,FALSE)=VLOOKUP($A50,main!$A$3:$I$56,8,FALSE),VLOOKUP(N$1,main!$A$3:$I$56,4,FALSE),VLOOKUP(N$1,main!$A$3:$I$56,4,FALSE)+VLOOKUP($A50,main!$A$3:$I$56,4,FALSE)+(VLOOKUP(VLOOKUP(N$1,main!$A$3:$I$56,8,FALSE),main!$K$19:$O$22,MATCH(VLOOKUP($A50,main!$A$3:$I$56,7,FALSE),main!$K$18:$O$18,0),0))),0)</f>
        <v>140</v>
      </c>
      <c r="O50">
        <f>IF((gamma!O50),IF(VLOOKUP(O$1,main!$A$3:$I$56,7,FALSE)=VLOOKUP($A50,main!$A$3:$I$56,8,FALSE),VLOOKUP(O$1,main!$A$3:$I$56,4,FALSE),VLOOKUP(O$1,main!$A$3:$I$56,4,FALSE)+VLOOKUP($A50,main!$A$3:$I$56,4,FALSE)+(VLOOKUP(VLOOKUP(O$1,main!$A$3:$I$56,8,FALSE),main!$K$19:$O$22,MATCH(VLOOKUP($A50,main!$A$3:$I$56,7,FALSE),main!$K$18:$O$18,0),0))),0)</f>
        <v>140</v>
      </c>
      <c r="P50">
        <f>IF((gamma!P50),IF(VLOOKUP(P$1,main!$A$3:$I$56,7,FALSE)=VLOOKUP($A50,main!$A$3:$I$56,8,FALSE),VLOOKUP(P$1,main!$A$3:$I$56,4,FALSE),VLOOKUP(P$1,main!$A$3:$I$56,4,FALSE)+VLOOKUP($A50,main!$A$3:$I$56,4,FALSE)+(VLOOKUP(VLOOKUP(P$1,main!$A$3:$I$56,8,FALSE),main!$K$19:$O$22,MATCH(VLOOKUP($A50,main!$A$3:$I$56,7,FALSE),main!$K$18:$O$18,0),0))),0)</f>
        <v>0</v>
      </c>
      <c r="Q50">
        <f>IF((gamma!Q50),IF(VLOOKUP(Q$1,main!$A$3:$I$56,7,FALSE)=VLOOKUP($A50,main!$A$3:$I$56,8,FALSE),VLOOKUP(Q$1,main!$A$3:$I$56,4,FALSE),VLOOKUP(Q$1,main!$A$3:$I$56,4,FALSE)+VLOOKUP($A50,main!$A$3:$I$56,4,FALSE)+(VLOOKUP(VLOOKUP(Q$1,main!$A$3:$I$56,8,FALSE),main!$K$19:$O$22,MATCH(VLOOKUP($A50,main!$A$3:$I$56,7,FALSE),main!$K$18:$O$18,0),0))),0)</f>
        <v>0</v>
      </c>
      <c r="R50">
        <f>IF((gamma!R50),IF(VLOOKUP(R$1,main!$A$3:$I$56,7,FALSE)=VLOOKUP($A50,main!$A$3:$I$56,8,FALSE),VLOOKUP(R$1,main!$A$3:$I$56,4,FALSE),VLOOKUP(R$1,main!$A$3:$I$56,4,FALSE)+VLOOKUP($A50,main!$A$3:$I$56,4,FALSE)+(VLOOKUP(VLOOKUP(R$1,main!$A$3:$I$56,8,FALSE),main!$K$19:$O$22,MATCH(VLOOKUP($A50,main!$A$3:$I$56,7,FALSE),main!$K$18:$O$18,0),0))),0)</f>
        <v>0</v>
      </c>
      <c r="S50">
        <f>IF((gamma!S50),IF(VLOOKUP(S$1,main!$A$3:$I$56,7,FALSE)=VLOOKUP($A50,main!$A$3:$I$56,8,FALSE),VLOOKUP(S$1,main!$A$3:$I$56,4,FALSE),VLOOKUP(S$1,main!$A$3:$I$56,4,FALSE)+VLOOKUP($A50,main!$A$3:$I$56,4,FALSE)+(VLOOKUP(VLOOKUP(S$1,main!$A$3:$I$56,8,FALSE),main!$K$19:$O$22,MATCH(VLOOKUP($A50,main!$A$3:$I$56,7,FALSE),main!$K$18:$O$18,0),0))),0)</f>
        <v>0</v>
      </c>
      <c r="T50">
        <f>IF((gamma!T50),IF(VLOOKUP(T$1,main!$A$3:$I$56,7,FALSE)=VLOOKUP($A50,main!$A$3:$I$56,8,FALSE),VLOOKUP(T$1,main!$A$3:$I$56,4,FALSE),VLOOKUP(T$1,main!$A$3:$I$56,4,FALSE)+VLOOKUP($A50,main!$A$3:$I$56,4,FALSE)+(VLOOKUP(VLOOKUP(T$1,main!$A$3:$I$56,8,FALSE),main!$K$19:$O$22,MATCH(VLOOKUP($A50,main!$A$3:$I$56,7,FALSE),main!$K$18:$O$18,0),0))),0)</f>
        <v>0</v>
      </c>
      <c r="U50">
        <f>IF((gamma!U50),IF(VLOOKUP(U$1,main!$A$3:$I$56,7,FALSE)=VLOOKUP($A50,main!$A$3:$I$56,8,FALSE),VLOOKUP(U$1,main!$A$3:$I$56,4,FALSE),VLOOKUP(U$1,main!$A$3:$I$56,4,FALSE)+VLOOKUP($A50,main!$A$3:$I$56,4,FALSE)+(VLOOKUP(VLOOKUP(U$1,main!$A$3:$I$56,8,FALSE),main!$K$19:$O$22,MATCH(VLOOKUP($A50,main!$A$3:$I$56,7,FALSE),main!$K$18:$O$18,0),0))),0)</f>
        <v>0</v>
      </c>
      <c r="V50">
        <f>IF((gamma!V50),IF(VLOOKUP(V$1,main!$A$3:$I$56,7,FALSE)=VLOOKUP($A50,main!$A$3:$I$56,8,FALSE),VLOOKUP(V$1,main!$A$3:$I$56,4,FALSE),VLOOKUP(V$1,main!$A$3:$I$56,4,FALSE)+VLOOKUP($A50,main!$A$3:$I$56,4,FALSE)+(VLOOKUP(VLOOKUP(V$1,main!$A$3:$I$56,8,FALSE),main!$K$19:$O$22,MATCH(VLOOKUP($A50,main!$A$3:$I$56,7,FALSE),main!$K$18:$O$18,0),0))),0)</f>
        <v>0</v>
      </c>
      <c r="W50">
        <f>IF((gamma!W50),IF(VLOOKUP(W$1,main!$A$3:$I$56,7,FALSE)=VLOOKUP($A50,main!$A$3:$I$56,8,FALSE),VLOOKUP(W$1,main!$A$3:$I$56,4,FALSE),VLOOKUP(W$1,main!$A$3:$I$56,4,FALSE)+VLOOKUP($A50,main!$A$3:$I$56,4,FALSE)+(VLOOKUP(VLOOKUP(W$1,main!$A$3:$I$56,8,FALSE),main!$K$19:$O$22,MATCH(VLOOKUP($A50,main!$A$3:$I$56,7,FALSE),main!$K$18:$O$18,0),0))),0)</f>
        <v>0</v>
      </c>
      <c r="X50">
        <f>IF((gamma!X50),IF(VLOOKUP(X$1,main!$A$3:$I$56,7,FALSE)=VLOOKUP($A50,main!$A$3:$I$56,8,FALSE),VLOOKUP(X$1,main!$A$3:$I$56,4,FALSE),VLOOKUP(X$1,main!$A$3:$I$56,4,FALSE)+VLOOKUP($A50,main!$A$3:$I$56,4,FALSE)+(VLOOKUP(VLOOKUP(X$1,main!$A$3:$I$56,8,FALSE),main!$K$19:$O$22,MATCH(VLOOKUP($A50,main!$A$3:$I$56,7,FALSE),main!$K$18:$O$18,0),0))),0)</f>
        <v>0</v>
      </c>
      <c r="Y50">
        <f>IF((gamma!Y50),IF(VLOOKUP(Y$1,main!$A$3:$I$56,7,FALSE)=VLOOKUP($A50,main!$A$3:$I$56,8,FALSE),VLOOKUP(Y$1,main!$A$3:$I$56,4,FALSE),VLOOKUP(Y$1,main!$A$3:$I$56,4,FALSE)+VLOOKUP($A50,main!$A$3:$I$56,4,FALSE)+(VLOOKUP(VLOOKUP(Y$1,main!$A$3:$I$56,8,FALSE),main!$K$19:$O$22,MATCH(VLOOKUP($A50,main!$A$3:$I$56,7,FALSE),main!$K$18:$O$18,0),0))),0)</f>
        <v>0</v>
      </c>
      <c r="Z50">
        <f>IF((gamma!Z50),IF(VLOOKUP(Z$1,main!$A$3:$I$56,7,FALSE)=VLOOKUP($A50,main!$A$3:$I$56,8,FALSE),VLOOKUP(Z$1,main!$A$3:$I$56,4,FALSE),VLOOKUP(Z$1,main!$A$3:$I$56,4,FALSE)+VLOOKUP($A50,main!$A$3:$I$56,4,FALSE)+(VLOOKUP(VLOOKUP(Z$1,main!$A$3:$I$56,8,FALSE),main!$K$19:$O$22,MATCH(VLOOKUP($A50,main!$A$3:$I$56,7,FALSE),main!$K$18:$O$18,0),0))),0)</f>
        <v>0</v>
      </c>
      <c r="AA50">
        <f>IF((gamma!AA50),IF(VLOOKUP(AA$1,main!$A$3:$I$56,7,FALSE)=VLOOKUP($A50,main!$A$3:$I$56,8,FALSE),VLOOKUP(AA$1,main!$A$3:$I$56,4,FALSE),VLOOKUP(AA$1,main!$A$3:$I$56,4,FALSE)+VLOOKUP($A50,main!$A$3:$I$56,4,FALSE)+(VLOOKUP(VLOOKUP(AA$1,main!$A$3:$I$56,8,FALSE),main!$K$19:$O$22,MATCH(VLOOKUP($A50,main!$A$3:$I$56,7,FALSE),main!$K$18:$O$18,0),0))),0)</f>
        <v>0</v>
      </c>
      <c r="AB50">
        <f>IF((gamma!AB50),IF(VLOOKUP(AB$1,main!$A$3:$I$56,7,FALSE)=VLOOKUP($A50,main!$A$3:$I$56,8,FALSE),VLOOKUP(AB$1,main!$A$3:$I$56,4,FALSE),VLOOKUP(AB$1,main!$A$3:$I$56,4,FALSE)+VLOOKUP($A50,main!$A$3:$I$56,4,FALSE)+(VLOOKUP(VLOOKUP(AB$1,main!$A$3:$I$56,8,FALSE),main!$K$19:$O$22,MATCH(VLOOKUP($A50,main!$A$3:$I$56,7,FALSE),main!$K$18:$O$18,0),0))),0)</f>
        <v>0</v>
      </c>
      <c r="AC50">
        <f>IF((gamma!AC50),IF(VLOOKUP(AC$1,main!$A$3:$I$56,7,FALSE)=VLOOKUP($A50,main!$A$3:$I$56,8,FALSE),VLOOKUP(AC$1,main!$A$3:$I$56,4,FALSE),VLOOKUP(AC$1,main!$A$3:$I$56,4,FALSE)+VLOOKUP($A50,main!$A$3:$I$56,4,FALSE)+(VLOOKUP(VLOOKUP(AC$1,main!$A$3:$I$56,8,FALSE),main!$K$19:$O$22,MATCH(VLOOKUP($A50,main!$A$3:$I$56,7,FALSE),main!$K$18:$O$18,0),0))),0)</f>
        <v>0</v>
      </c>
      <c r="AD50">
        <f>IF((gamma!AD50),IF(VLOOKUP(AD$1,main!$A$3:$I$56,7,FALSE)=VLOOKUP($A50,main!$A$3:$I$56,8,FALSE),VLOOKUP(AD$1,main!$A$3:$I$56,4,FALSE),VLOOKUP(AD$1,main!$A$3:$I$56,4,FALSE)+VLOOKUP($A50,main!$A$3:$I$56,4,FALSE)+(VLOOKUP(VLOOKUP(AD$1,main!$A$3:$I$56,8,FALSE),main!$K$19:$O$22,MATCH(VLOOKUP($A50,main!$A$3:$I$56,7,FALSE),main!$K$18:$O$18,0),0))),0)</f>
        <v>0</v>
      </c>
      <c r="AE50">
        <f>IF((gamma!AE50),IF(VLOOKUP(AE$1,main!$A$3:$I$56,7,FALSE)=VLOOKUP($A50,main!$A$3:$I$56,8,FALSE),VLOOKUP(AE$1,main!$A$3:$I$56,4,FALSE),VLOOKUP(AE$1,main!$A$3:$I$56,4,FALSE)+VLOOKUP($A50,main!$A$3:$I$56,4,FALSE)+(VLOOKUP(VLOOKUP(AE$1,main!$A$3:$I$56,8,FALSE),main!$K$19:$O$22,MATCH(VLOOKUP($A50,main!$A$3:$I$56,7,FALSE),main!$K$18:$O$18,0),0))),0)</f>
        <v>0</v>
      </c>
      <c r="AF50">
        <f>IF((gamma!AF50),IF(VLOOKUP(AF$1,main!$A$3:$I$56,7,FALSE)=VLOOKUP($A50,main!$A$3:$I$56,8,FALSE),VLOOKUP(AF$1,main!$A$3:$I$56,4,FALSE),VLOOKUP(AF$1,main!$A$3:$I$56,4,FALSE)+VLOOKUP($A50,main!$A$3:$I$56,4,FALSE)+(VLOOKUP(VLOOKUP(AF$1,main!$A$3:$I$56,8,FALSE),main!$K$19:$O$22,MATCH(VLOOKUP($A50,main!$A$3:$I$56,7,FALSE),main!$K$18:$O$18,0),0))),0)</f>
        <v>0</v>
      </c>
      <c r="AG50">
        <f>IF((gamma!AG50),IF(VLOOKUP(AG$1,main!$A$3:$I$56,7,FALSE)=VLOOKUP($A50,main!$A$3:$I$56,8,FALSE),VLOOKUP(AG$1,main!$A$3:$I$56,4,FALSE),VLOOKUP(AG$1,main!$A$3:$I$56,4,FALSE)+VLOOKUP($A50,main!$A$3:$I$56,4,FALSE)+(VLOOKUP(VLOOKUP(AG$1,main!$A$3:$I$56,8,FALSE),main!$K$19:$O$22,MATCH(VLOOKUP($A50,main!$A$3:$I$56,7,FALSE),main!$K$18:$O$18,0),0))),0)</f>
        <v>0</v>
      </c>
      <c r="AH50">
        <f>IF((gamma!AH50),IF(VLOOKUP(AH$1,main!$A$3:$I$56,7,FALSE)=VLOOKUP($A50,main!$A$3:$I$56,8,FALSE),VLOOKUP(AH$1,main!$A$3:$I$56,4,FALSE),VLOOKUP(AH$1,main!$A$3:$I$56,4,FALSE)+VLOOKUP($A50,main!$A$3:$I$56,4,FALSE)+(VLOOKUP(VLOOKUP(AH$1,main!$A$3:$I$56,8,FALSE),main!$K$19:$O$22,MATCH(VLOOKUP($A50,main!$A$3:$I$56,7,FALSE),main!$K$18:$O$18,0),0))),0)</f>
        <v>0</v>
      </c>
      <c r="AI50">
        <f>IF((gamma!AI50),IF(VLOOKUP(AI$1,main!$A$3:$I$56,7,FALSE)=VLOOKUP($A50,main!$A$3:$I$56,8,FALSE),VLOOKUP(AI$1,main!$A$3:$I$56,4,FALSE),VLOOKUP(AI$1,main!$A$3:$I$56,4,FALSE)+VLOOKUP($A50,main!$A$3:$I$56,4,FALSE)+(VLOOKUP(VLOOKUP(AI$1,main!$A$3:$I$56,8,FALSE),main!$K$19:$O$22,MATCH(VLOOKUP($A50,main!$A$3:$I$56,7,FALSE),main!$K$18:$O$18,0),0))),0)</f>
        <v>0</v>
      </c>
      <c r="AJ50">
        <f>IF((gamma!AJ50),IF(VLOOKUP(AJ$1,main!$A$3:$I$56,7,FALSE)=VLOOKUP($A50,main!$A$3:$I$56,8,FALSE),VLOOKUP(AJ$1,main!$A$3:$I$56,4,FALSE),VLOOKUP(AJ$1,main!$A$3:$I$56,4,FALSE)+VLOOKUP($A50,main!$A$3:$I$56,4,FALSE)+(VLOOKUP(VLOOKUP(AJ$1,main!$A$3:$I$56,8,FALSE),main!$K$19:$O$22,MATCH(VLOOKUP($A50,main!$A$3:$I$56,7,FALSE),main!$K$18:$O$18,0),0))),0)</f>
        <v>0</v>
      </c>
      <c r="AK50">
        <f>IF((gamma!AK50),IF(VLOOKUP(AK$1,main!$A$3:$I$56,7,FALSE)=VLOOKUP($A50,main!$A$3:$I$56,8,FALSE),VLOOKUP(AK$1,main!$A$3:$I$56,4,FALSE),VLOOKUP(AK$1,main!$A$3:$I$56,4,FALSE)+VLOOKUP($A50,main!$A$3:$I$56,4,FALSE)+(VLOOKUP(VLOOKUP(AK$1,main!$A$3:$I$56,8,FALSE),main!$K$19:$O$22,MATCH(VLOOKUP($A50,main!$A$3:$I$56,7,FALSE),main!$K$18:$O$18,0),0))),0)</f>
        <v>0</v>
      </c>
      <c r="AL50">
        <f>IF((gamma!AL50),IF(VLOOKUP(AL$1,main!$A$3:$I$56,7,FALSE)=VLOOKUP($A50,main!$A$3:$I$56,8,FALSE),VLOOKUP(AL$1,main!$A$3:$I$56,4,FALSE),VLOOKUP(AL$1,main!$A$3:$I$56,4,FALSE)+VLOOKUP($A50,main!$A$3:$I$56,4,FALSE)+(VLOOKUP(VLOOKUP(AL$1,main!$A$3:$I$56,8,FALSE),main!$K$19:$O$22,MATCH(VLOOKUP($A50,main!$A$3:$I$56,7,FALSE),main!$K$18:$O$18,0),0))),0)</f>
        <v>0</v>
      </c>
      <c r="AM50">
        <f>IF((gamma!AM50),IF(VLOOKUP(AM$1,main!$A$3:$I$56,7,FALSE)=VLOOKUP($A50,main!$A$3:$I$56,8,FALSE),VLOOKUP(AM$1,main!$A$3:$I$56,4,FALSE),VLOOKUP(AM$1,main!$A$3:$I$56,4,FALSE)+VLOOKUP($A50,main!$A$3:$I$56,4,FALSE)+(VLOOKUP(VLOOKUP(AM$1,main!$A$3:$I$56,8,FALSE),main!$K$19:$O$22,MATCH(VLOOKUP($A50,main!$A$3:$I$56,7,FALSE),main!$K$18:$O$18,0),0))),0)</f>
        <v>0</v>
      </c>
      <c r="AN50">
        <f>IF((gamma!AN50),IF(VLOOKUP(AN$1,main!$A$3:$I$56,7,FALSE)=VLOOKUP($A50,main!$A$3:$I$56,8,FALSE),VLOOKUP(AN$1,main!$A$3:$I$56,4,FALSE),VLOOKUP(AN$1,main!$A$3:$I$56,4,FALSE)+VLOOKUP($A50,main!$A$3:$I$56,4,FALSE)+(VLOOKUP(VLOOKUP(AN$1,main!$A$3:$I$56,8,FALSE),main!$K$19:$O$22,MATCH(VLOOKUP($A50,main!$A$3:$I$56,7,FALSE),main!$K$18:$O$18,0),0))),0)</f>
        <v>0</v>
      </c>
      <c r="AO50">
        <f>IF((gamma!AO50),IF(VLOOKUP(AO$1,main!$A$3:$I$56,7,FALSE)=VLOOKUP($A50,main!$A$3:$I$56,8,FALSE),VLOOKUP(AO$1,main!$A$3:$I$56,4,FALSE),VLOOKUP(AO$1,main!$A$3:$I$56,4,FALSE)+VLOOKUP($A50,main!$A$3:$I$56,4,FALSE)+(VLOOKUP(VLOOKUP(AO$1,main!$A$3:$I$56,8,FALSE),main!$K$19:$O$22,MATCH(VLOOKUP($A50,main!$A$3:$I$56,7,FALSE),main!$K$18:$O$18,0),0))),0)</f>
        <v>0</v>
      </c>
      <c r="AP50">
        <f>IF((gamma!AP50),IF(VLOOKUP(AP$1,main!$A$3:$I$56,7,FALSE)=VLOOKUP($A50,main!$A$3:$I$56,8,FALSE),VLOOKUP(AP$1,main!$A$3:$I$56,4,FALSE),VLOOKUP(AP$1,main!$A$3:$I$56,4,FALSE)+VLOOKUP($A50,main!$A$3:$I$56,4,FALSE)+(VLOOKUP(VLOOKUP(AP$1,main!$A$3:$I$56,8,FALSE),main!$K$19:$O$22,MATCH(VLOOKUP($A50,main!$A$3:$I$56,7,FALSE),main!$K$18:$O$18,0),0))),0)</f>
        <v>0</v>
      </c>
      <c r="AQ50">
        <f>IF((gamma!AQ50),IF(VLOOKUP(AQ$1,main!$A$3:$I$56,7,FALSE)=VLOOKUP($A50,main!$A$3:$I$56,8,FALSE),VLOOKUP(AQ$1,main!$A$3:$I$56,4,FALSE),VLOOKUP(AQ$1,main!$A$3:$I$56,4,FALSE)+VLOOKUP($A50,main!$A$3:$I$56,4,FALSE)+(VLOOKUP(VLOOKUP(AQ$1,main!$A$3:$I$56,8,FALSE),main!$K$19:$O$22,MATCH(VLOOKUP($A50,main!$A$3:$I$56,7,FALSE),main!$K$18:$O$18,0),0))),0)</f>
        <v>0</v>
      </c>
      <c r="AR50">
        <f>IF((gamma!AR50),IF(VLOOKUP(AR$1,main!$A$3:$I$56,7,FALSE)=VLOOKUP($A50,main!$A$3:$I$56,8,FALSE),VLOOKUP(AR$1,main!$A$3:$I$56,4,FALSE),VLOOKUP(AR$1,main!$A$3:$I$56,4,FALSE)+VLOOKUP($A50,main!$A$3:$I$56,4,FALSE)+(VLOOKUP(VLOOKUP(AR$1,main!$A$3:$I$56,8,FALSE),main!$K$19:$O$22,MATCH(VLOOKUP($A50,main!$A$3:$I$56,7,FALSE),main!$K$18:$O$18,0),0))),0)</f>
        <v>0</v>
      </c>
      <c r="AS50">
        <f>IF((gamma!AS50),IF(VLOOKUP(AS$1,main!$A$3:$I$56,7,FALSE)=VLOOKUP($A50,main!$A$3:$I$56,8,FALSE),VLOOKUP(AS$1,main!$A$3:$I$56,4,FALSE),VLOOKUP(AS$1,main!$A$3:$I$56,4,FALSE)+VLOOKUP($A50,main!$A$3:$I$56,4,FALSE)+(VLOOKUP(VLOOKUP(AS$1,main!$A$3:$I$56,8,FALSE),main!$K$19:$O$22,MATCH(VLOOKUP($A50,main!$A$3:$I$56,7,FALSE),main!$K$18:$O$18,0),0))),0)</f>
        <v>0</v>
      </c>
      <c r="AT50">
        <f>IF((gamma!AT50),IF(VLOOKUP(AT$1,main!$A$3:$I$56,7,FALSE)=VLOOKUP($A50,main!$A$3:$I$56,8,FALSE),VLOOKUP(AT$1,main!$A$3:$I$56,4,FALSE),VLOOKUP(AT$1,main!$A$3:$I$56,4,FALSE)+VLOOKUP($A50,main!$A$3:$I$56,4,FALSE)+(VLOOKUP(VLOOKUP(AT$1,main!$A$3:$I$56,8,FALSE),main!$K$19:$O$22,MATCH(VLOOKUP($A50,main!$A$3:$I$56,7,FALSE),main!$K$18:$O$18,0),0))),0)</f>
        <v>0</v>
      </c>
      <c r="AU50">
        <f>IF((gamma!AU50),IF(VLOOKUP(AU$1,main!$A$3:$I$56,7,FALSE)=VLOOKUP($A50,main!$A$3:$I$56,8,FALSE),VLOOKUP(AU$1,main!$A$3:$I$56,4,FALSE),VLOOKUP(AU$1,main!$A$3:$I$56,4,FALSE)+VLOOKUP($A50,main!$A$3:$I$56,4,FALSE)+(VLOOKUP(VLOOKUP(AU$1,main!$A$3:$I$56,8,FALSE),main!$K$19:$O$22,MATCH(VLOOKUP($A50,main!$A$3:$I$56,7,FALSE),main!$K$18:$O$18,0),0))),0)</f>
        <v>0</v>
      </c>
      <c r="AV50">
        <f>IF((gamma!AV50),IF(VLOOKUP(AV$1,main!$A$3:$I$56,7,FALSE)=VLOOKUP($A50,main!$A$3:$I$56,8,FALSE),VLOOKUP(AV$1,main!$A$3:$I$56,4,FALSE),VLOOKUP(AV$1,main!$A$3:$I$56,4,FALSE)+VLOOKUP($A50,main!$A$3:$I$56,4,FALSE)+(VLOOKUP(VLOOKUP(AV$1,main!$A$3:$I$56,8,FALSE),main!$K$19:$O$22,MATCH(VLOOKUP($A50,main!$A$3:$I$56,7,FALSE),main!$K$18:$O$18,0),0))),0)</f>
        <v>0</v>
      </c>
      <c r="AW50">
        <f>IF((gamma!AW50),IF(VLOOKUP(AW$1,main!$A$3:$I$56,7,FALSE)=VLOOKUP($A50,main!$A$3:$I$56,8,FALSE),VLOOKUP(AW$1,main!$A$3:$I$56,4,FALSE),VLOOKUP(AW$1,main!$A$3:$I$56,4,FALSE)+VLOOKUP($A50,main!$A$3:$I$56,4,FALSE)+(VLOOKUP(VLOOKUP(AW$1,main!$A$3:$I$56,8,FALSE),main!$K$19:$O$22,MATCH(VLOOKUP($A50,main!$A$3:$I$56,7,FALSE),main!$K$18:$O$18,0),0))),0)</f>
        <v>0</v>
      </c>
      <c r="AX50">
        <f>IF((gamma!AX50),IF(VLOOKUP(AX$1,main!$A$3:$I$56,7,FALSE)=VLOOKUP($A50,main!$A$3:$I$56,8,FALSE),VLOOKUP(AX$1,main!$A$3:$I$56,4,FALSE),VLOOKUP(AX$1,main!$A$3:$I$56,4,FALSE)+VLOOKUP($A50,main!$A$3:$I$56,4,FALSE)+(VLOOKUP(VLOOKUP(AX$1,main!$A$3:$I$56,8,FALSE),main!$K$19:$O$22,MATCH(VLOOKUP($A50,main!$A$3:$I$56,7,FALSE),main!$K$18:$O$18,0),0))),0)</f>
        <v>0</v>
      </c>
      <c r="AY50">
        <f>IF((gamma!AY50),IF(VLOOKUP(AY$1,main!$A$3:$I$56,7,FALSE)=VLOOKUP($A50,main!$A$3:$I$56,8,FALSE),VLOOKUP(AY$1,main!$A$3:$I$56,4,FALSE),VLOOKUP(AY$1,main!$A$3:$I$56,4,FALSE)+VLOOKUP($A50,main!$A$3:$I$56,4,FALSE)+(VLOOKUP(VLOOKUP(AY$1,main!$A$3:$I$56,8,FALSE),main!$K$19:$O$22,MATCH(VLOOKUP($A50,main!$A$3:$I$56,7,FALSE),main!$K$18:$O$18,0),0))),0)</f>
        <v>315</v>
      </c>
      <c r="AZ50">
        <f>IF((gamma!AZ50),IF(VLOOKUP(AZ$1,main!$A$3:$I$56,7,FALSE)=VLOOKUP($A50,main!$A$3:$I$56,8,FALSE),VLOOKUP(AZ$1,main!$A$3:$I$56,4,FALSE),VLOOKUP(AZ$1,main!$A$3:$I$56,4,FALSE)+VLOOKUP($A50,main!$A$3:$I$56,4,FALSE)+(VLOOKUP(VLOOKUP(AZ$1,main!$A$3:$I$56,8,FALSE),main!$K$19:$O$22,MATCH(VLOOKUP($A50,main!$A$3:$I$56,7,FALSE),main!$K$18:$O$18,0),0))),0)</f>
        <v>0</v>
      </c>
      <c r="BA50">
        <f>IF((gamma!BA50),IF(VLOOKUP(BA$1,main!$A$3:$I$56,7,FALSE)=VLOOKUP($A50,main!$A$3:$I$56,8,FALSE),VLOOKUP(BA$1,main!$A$3:$I$56,4,FALSE),VLOOKUP(BA$1,main!$A$3:$I$56,4,FALSE)+VLOOKUP($A50,main!$A$3:$I$56,4,FALSE)+(VLOOKUP(VLOOKUP(BA$1,main!$A$3:$I$56,8,FALSE),main!$K$19:$O$22,MATCH(VLOOKUP($A50,main!$A$3:$I$56,7,FALSE),main!$K$18:$O$18,0),0))),0)</f>
        <v>0</v>
      </c>
      <c r="BB50">
        <f>IF((gamma!BB50),IF(VLOOKUP(BB$1,main!$A$3:$I$56,7,FALSE)=VLOOKUP($A50,main!$A$3:$I$56,8,FALSE),VLOOKUP(BB$1,main!$A$3:$I$56,4,FALSE),VLOOKUP(BB$1,main!$A$3:$I$56,4,FALSE)+VLOOKUP($A50,main!$A$3:$I$56,4,FALSE)+(VLOOKUP(VLOOKUP(BB$1,main!$A$3:$I$56,8,FALSE),main!$K$19:$O$22,MATCH(VLOOKUP($A50,main!$A$3:$I$56,7,FALSE),main!$K$18:$O$18,0),0))),0)</f>
        <v>0</v>
      </c>
      <c r="BC50">
        <f>IF((gamma!BC50),IF(VLOOKUP(BC$1,main!$A$3:$I$56,7,FALSE)=VLOOKUP($A50,main!$A$3:$I$56,8,FALSE),VLOOKUP(BC$1,main!$A$3:$I$56,4,FALSE),VLOOKUP(BC$1,main!$A$3:$I$56,4,FALSE)+VLOOKUP($A50,main!$A$3:$I$56,4,FALSE)+(VLOOKUP(VLOOKUP(BC$1,main!$A$3:$I$56,8,FALSE),main!$K$19:$O$22,MATCH(VLOOKUP($A50,main!$A$3:$I$56,7,FALSE),main!$K$18:$O$18,0),0))),0)</f>
        <v>0</v>
      </c>
      <c r="BD50">
        <f>IF((gamma!BD50),IF(VLOOKUP(BD$1,main!$A$3:$I$56,7,FALSE)=VLOOKUP($A50,main!$A$3:$I$56,8,FALSE),VLOOKUP(BD$1,main!$A$3:$I$56,4,FALSE),VLOOKUP(BD$1,main!$A$3:$I$56,4,FALSE)+VLOOKUP($A50,main!$A$3:$I$56,4,FALSE)+(VLOOKUP(VLOOKUP(BD$1,main!$A$3:$I$56,8,FALSE),main!$K$19:$O$22,MATCH(VLOOKUP($A50,main!$A$3:$I$56,7,FALSE),main!$K$18:$O$18,0),0))),0)</f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5">
      <c r="A51">
        <f t="shared" si="0"/>
        <v>49</v>
      </c>
      <c r="B51">
        <v>0</v>
      </c>
      <c r="C51">
        <f>IF((gamma!C51),IF(VLOOKUP(C$1,main!$A$3:$I$56,7,FALSE)=VLOOKUP($A51,main!$A$3:$I$56,8,FALSE),VLOOKUP(C$1,main!$A$3:$I$56,4,FALSE),VLOOKUP(C$1,main!$A$3:$I$56,4,FALSE)+VLOOKUP($A51,main!$A$3:$I$56,4,FALSE)+(VLOOKUP(VLOOKUP(C$1,main!$A$3:$I$56,8,FALSE),main!$K$19:$O$22,MATCH(VLOOKUP($A51,main!$A$3:$I$56,7,FALSE),main!$K$18:$O$18,0),0))),0)</f>
        <v>0</v>
      </c>
      <c r="D51">
        <f>IF((gamma!D51),IF(VLOOKUP(D$1,main!$A$3:$I$56,7,FALSE)=VLOOKUP($A51,main!$A$3:$I$56,8,FALSE),VLOOKUP(D$1,main!$A$3:$I$56,4,FALSE),VLOOKUP(D$1,main!$A$3:$I$56,4,FALSE)+VLOOKUP($A51,main!$A$3:$I$56,4,FALSE)+(VLOOKUP(VLOOKUP(D$1,main!$A$3:$I$56,8,FALSE),main!$K$19:$O$22,MATCH(VLOOKUP($A51,main!$A$3:$I$56,7,FALSE),main!$K$18:$O$18,0),0))),0)</f>
        <v>0</v>
      </c>
      <c r="E51">
        <f>IF((gamma!E51),IF(VLOOKUP(E$1,main!$A$3:$I$56,7,FALSE)=VLOOKUP($A51,main!$A$3:$I$56,8,FALSE),VLOOKUP(E$1,main!$A$3:$I$56,4,FALSE),VLOOKUP(E$1,main!$A$3:$I$56,4,FALSE)+VLOOKUP($A51,main!$A$3:$I$56,4,FALSE)+(VLOOKUP(VLOOKUP(E$1,main!$A$3:$I$56,8,FALSE),main!$K$19:$O$22,MATCH(VLOOKUP($A51,main!$A$3:$I$56,7,FALSE),main!$K$18:$O$18,0),0))),0)</f>
        <v>0</v>
      </c>
      <c r="F51">
        <f>IF((gamma!F51),IF(VLOOKUP(F$1,main!$A$3:$I$56,7,FALSE)=VLOOKUP($A51,main!$A$3:$I$56,8,FALSE),VLOOKUP(F$1,main!$A$3:$I$56,4,FALSE),VLOOKUP(F$1,main!$A$3:$I$56,4,FALSE)+VLOOKUP($A51,main!$A$3:$I$56,4,FALSE)+(VLOOKUP(VLOOKUP(F$1,main!$A$3:$I$56,8,FALSE),main!$K$19:$O$22,MATCH(VLOOKUP($A51,main!$A$3:$I$56,7,FALSE),main!$K$18:$O$18,0),0))),0)</f>
        <v>0</v>
      </c>
      <c r="G51">
        <f>IF((gamma!G51),IF(VLOOKUP(G$1,main!$A$3:$I$56,7,FALSE)=VLOOKUP($A51,main!$A$3:$I$56,8,FALSE),VLOOKUP(G$1,main!$A$3:$I$56,4,FALSE),VLOOKUP(G$1,main!$A$3:$I$56,4,FALSE)+VLOOKUP($A51,main!$A$3:$I$56,4,FALSE)+(VLOOKUP(VLOOKUP(G$1,main!$A$3:$I$56,8,FALSE),main!$K$19:$O$22,MATCH(VLOOKUP($A51,main!$A$3:$I$56,7,FALSE),main!$K$18:$O$18,0),0))),0)</f>
        <v>0</v>
      </c>
      <c r="H51">
        <f>IF((gamma!H51),IF(VLOOKUP(H$1,main!$A$3:$I$56,7,FALSE)=VLOOKUP($A51,main!$A$3:$I$56,8,FALSE),VLOOKUP(H$1,main!$A$3:$I$56,4,FALSE),VLOOKUP(H$1,main!$A$3:$I$56,4,FALSE)+VLOOKUP($A51,main!$A$3:$I$56,4,FALSE)+(VLOOKUP(VLOOKUP(H$1,main!$A$3:$I$56,8,FALSE),main!$K$19:$O$22,MATCH(VLOOKUP($A51,main!$A$3:$I$56,7,FALSE),main!$K$18:$O$18,0),0))),0)</f>
        <v>0</v>
      </c>
      <c r="I51">
        <f>IF((gamma!I51),IF(VLOOKUP(I$1,main!$A$3:$I$56,7,FALSE)=VLOOKUP($A51,main!$A$3:$I$56,8,FALSE),VLOOKUP(I$1,main!$A$3:$I$56,4,FALSE),VLOOKUP(I$1,main!$A$3:$I$56,4,FALSE)+VLOOKUP($A51,main!$A$3:$I$56,4,FALSE)+(VLOOKUP(VLOOKUP(I$1,main!$A$3:$I$56,8,FALSE),main!$K$19:$O$22,MATCH(VLOOKUP($A51,main!$A$3:$I$56,7,FALSE),main!$K$18:$O$18,0),0))),0)</f>
        <v>0</v>
      </c>
      <c r="J51">
        <f>IF((gamma!J51),IF(VLOOKUP(J$1,main!$A$3:$I$56,7,FALSE)=VLOOKUP($A51,main!$A$3:$I$56,8,FALSE),VLOOKUP(J$1,main!$A$3:$I$56,4,FALSE),VLOOKUP(J$1,main!$A$3:$I$56,4,FALSE)+VLOOKUP($A51,main!$A$3:$I$56,4,FALSE)+(VLOOKUP(VLOOKUP(J$1,main!$A$3:$I$56,8,FALSE),main!$K$19:$O$22,MATCH(VLOOKUP($A51,main!$A$3:$I$56,7,FALSE),main!$K$18:$O$18,0),0))),0)</f>
        <v>0</v>
      </c>
      <c r="K51">
        <f>IF((gamma!K51),IF(VLOOKUP(K$1,main!$A$3:$I$56,7,FALSE)=VLOOKUP($A51,main!$A$3:$I$56,8,FALSE),VLOOKUP(K$1,main!$A$3:$I$56,4,FALSE),VLOOKUP(K$1,main!$A$3:$I$56,4,FALSE)+VLOOKUP($A51,main!$A$3:$I$56,4,FALSE)+(VLOOKUP(VLOOKUP(K$1,main!$A$3:$I$56,8,FALSE),main!$K$19:$O$22,MATCH(VLOOKUP($A51,main!$A$3:$I$56,7,FALSE),main!$K$18:$O$18,0),0))),0)</f>
        <v>0</v>
      </c>
      <c r="L51">
        <f>IF((gamma!L51),IF(VLOOKUP(L$1,main!$A$3:$I$56,7,FALSE)=VLOOKUP($A51,main!$A$3:$I$56,8,FALSE),VLOOKUP(L$1,main!$A$3:$I$56,4,FALSE),VLOOKUP(L$1,main!$A$3:$I$56,4,FALSE)+VLOOKUP($A51,main!$A$3:$I$56,4,FALSE)+(VLOOKUP(VLOOKUP(L$1,main!$A$3:$I$56,8,FALSE),main!$K$19:$O$22,MATCH(VLOOKUP($A51,main!$A$3:$I$56,7,FALSE),main!$K$18:$O$18,0),0))),0)</f>
        <v>0</v>
      </c>
      <c r="M51">
        <f>IF((gamma!M51),IF(VLOOKUP(M$1,main!$A$3:$I$56,7,FALSE)=VLOOKUP($A51,main!$A$3:$I$56,8,FALSE),VLOOKUP(M$1,main!$A$3:$I$56,4,FALSE),VLOOKUP(M$1,main!$A$3:$I$56,4,FALSE)+VLOOKUP($A51,main!$A$3:$I$56,4,FALSE)+(VLOOKUP(VLOOKUP(M$1,main!$A$3:$I$56,8,FALSE),main!$K$19:$O$22,MATCH(VLOOKUP($A51,main!$A$3:$I$56,7,FALSE),main!$K$18:$O$18,0),0))),0)</f>
        <v>0</v>
      </c>
      <c r="N51">
        <f>IF((gamma!N51),IF(VLOOKUP(N$1,main!$A$3:$I$56,7,FALSE)=VLOOKUP($A51,main!$A$3:$I$56,8,FALSE),VLOOKUP(N$1,main!$A$3:$I$56,4,FALSE),VLOOKUP(N$1,main!$A$3:$I$56,4,FALSE)+VLOOKUP($A51,main!$A$3:$I$56,4,FALSE)+(VLOOKUP(VLOOKUP(N$1,main!$A$3:$I$56,8,FALSE),main!$K$19:$O$22,MATCH(VLOOKUP($A51,main!$A$3:$I$56,7,FALSE),main!$K$18:$O$18,0),0))),0)</f>
        <v>0</v>
      </c>
      <c r="O51">
        <f>IF((gamma!O51),IF(VLOOKUP(O$1,main!$A$3:$I$56,7,FALSE)=VLOOKUP($A51,main!$A$3:$I$56,8,FALSE),VLOOKUP(O$1,main!$A$3:$I$56,4,FALSE),VLOOKUP(O$1,main!$A$3:$I$56,4,FALSE)+VLOOKUP($A51,main!$A$3:$I$56,4,FALSE)+(VLOOKUP(VLOOKUP(O$1,main!$A$3:$I$56,8,FALSE),main!$K$19:$O$22,MATCH(VLOOKUP($A51,main!$A$3:$I$56,7,FALSE),main!$K$18:$O$18,0),0))),0)</f>
        <v>0</v>
      </c>
      <c r="P51">
        <f>IF((gamma!P51),IF(VLOOKUP(P$1,main!$A$3:$I$56,7,FALSE)=VLOOKUP($A51,main!$A$3:$I$56,8,FALSE),VLOOKUP(P$1,main!$A$3:$I$56,4,FALSE),VLOOKUP(P$1,main!$A$3:$I$56,4,FALSE)+VLOOKUP($A51,main!$A$3:$I$56,4,FALSE)+(VLOOKUP(VLOOKUP(P$1,main!$A$3:$I$56,8,FALSE),main!$K$19:$O$22,MATCH(VLOOKUP($A51,main!$A$3:$I$56,7,FALSE),main!$K$18:$O$18,0),0))),0)</f>
        <v>0</v>
      </c>
      <c r="Q51">
        <f>IF((gamma!Q51),IF(VLOOKUP(Q$1,main!$A$3:$I$56,7,FALSE)=VLOOKUP($A51,main!$A$3:$I$56,8,FALSE),VLOOKUP(Q$1,main!$A$3:$I$56,4,FALSE),VLOOKUP(Q$1,main!$A$3:$I$56,4,FALSE)+VLOOKUP($A51,main!$A$3:$I$56,4,FALSE)+(VLOOKUP(VLOOKUP(Q$1,main!$A$3:$I$56,8,FALSE),main!$K$19:$O$22,MATCH(VLOOKUP($A51,main!$A$3:$I$56,7,FALSE),main!$K$18:$O$18,0),0))),0)</f>
        <v>0</v>
      </c>
      <c r="R51">
        <f>IF((gamma!R51),IF(VLOOKUP(R$1,main!$A$3:$I$56,7,FALSE)=VLOOKUP($A51,main!$A$3:$I$56,8,FALSE),VLOOKUP(R$1,main!$A$3:$I$56,4,FALSE),VLOOKUP(R$1,main!$A$3:$I$56,4,FALSE)+VLOOKUP($A51,main!$A$3:$I$56,4,FALSE)+(VLOOKUP(VLOOKUP(R$1,main!$A$3:$I$56,8,FALSE),main!$K$19:$O$22,MATCH(VLOOKUP($A51,main!$A$3:$I$56,7,FALSE),main!$K$18:$O$18,0),0))),0)</f>
        <v>0</v>
      </c>
      <c r="S51">
        <f>IF((gamma!S51),IF(VLOOKUP(S$1,main!$A$3:$I$56,7,FALSE)=VLOOKUP($A51,main!$A$3:$I$56,8,FALSE),VLOOKUP(S$1,main!$A$3:$I$56,4,FALSE),VLOOKUP(S$1,main!$A$3:$I$56,4,FALSE)+VLOOKUP($A51,main!$A$3:$I$56,4,FALSE)+(VLOOKUP(VLOOKUP(S$1,main!$A$3:$I$56,8,FALSE),main!$K$19:$O$22,MATCH(VLOOKUP($A51,main!$A$3:$I$56,7,FALSE),main!$K$18:$O$18,0),0))),0)</f>
        <v>0</v>
      </c>
      <c r="T51">
        <f>IF((gamma!T51),IF(VLOOKUP(T$1,main!$A$3:$I$56,7,FALSE)=VLOOKUP($A51,main!$A$3:$I$56,8,FALSE),VLOOKUP(T$1,main!$A$3:$I$56,4,FALSE),VLOOKUP(T$1,main!$A$3:$I$56,4,FALSE)+VLOOKUP($A51,main!$A$3:$I$56,4,FALSE)+(VLOOKUP(VLOOKUP(T$1,main!$A$3:$I$56,8,FALSE),main!$K$19:$O$22,MATCH(VLOOKUP($A51,main!$A$3:$I$56,7,FALSE),main!$K$18:$O$18,0),0))),0)</f>
        <v>0</v>
      </c>
      <c r="U51">
        <f>IF((gamma!U51),IF(VLOOKUP(U$1,main!$A$3:$I$56,7,FALSE)=VLOOKUP($A51,main!$A$3:$I$56,8,FALSE),VLOOKUP(U$1,main!$A$3:$I$56,4,FALSE),VLOOKUP(U$1,main!$A$3:$I$56,4,FALSE)+VLOOKUP($A51,main!$A$3:$I$56,4,FALSE)+(VLOOKUP(VLOOKUP(U$1,main!$A$3:$I$56,8,FALSE),main!$K$19:$O$22,MATCH(VLOOKUP($A51,main!$A$3:$I$56,7,FALSE),main!$K$18:$O$18,0),0))),0)</f>
        <v>0</v>
      </c>
      <c r="V51">
        <f>IF((gamma!V51),IF(VLOOKUP(V$1,main!$A$3:$I$56,7,FALSE)=VLOOKUP($A51,main!$A$3:$I$56,8,FALSE),VLOOKUP(V$1,main!$A$3:$I$56,4,FALSE),VLOOKUP(V$1,main!$A$3:$I$56,4,FALSE)+VLOOKUP($A51,main!$A$3:$I$56,4,FALSE)+(VLOOKUP(VLOOKUP(V$1,main!$A$3:$I$56,8,FALSE),main!$K$19:$O$22,MATCH(VLOOKUP($A51,main!$A$3:$I$56,7,FALSE),main!$K$18:$O$18,0),0))),0)</f>
        <v>0</v>
      </c>
      <c r="W51">
        <f>IF((gamma!W51),IF(VLOOKUP(W$1,main!$A$3:$I$56,7,FALSE)=VLOOKUP($A51,main!$A$3:$I$56,8,FALSE),VLOOKUP(W$1,main!$A$3:$I$56,4,FALSE),VLOOKUP(W$1,main!$A$3:$I$56,4,FALSE)+VLOOKUP($A51,main!$A$3:$I$56,4,FALSE)+(VLOOKUP(VLOOKUP(W$1,main!$A$3:$I$56,8,FALSE),main!$K$19:$O$22,MATCH(VLOOKUP($A51,main!$A$3:$I$56,7,FALSE),main!$K$18:$O$18,0),0))),0)</f>
        <v>0</v>
      </c>
      <c r="X51">
        <f>IF((gamma!X51),IF(VLOOKUP(X$1,main!$A$3:$I$56,7,FALSE)=VLOOKUP($A51,main!$A$3:$I$56,8,FALSE),VLOOKUP(X$1,main!$A$3:$I$56,4,FALSE),VLOOKUP(X$1,main!$A$3:$I$56,4,FALSE)+VLOOKUP($A51,main!$A$3:$I$56,4,FALSE)+(VLOOKUP(VLOOKUP(X$1,main!$A$3:$I$56,8,FALSE),main!$K$19:$O$22,MATCH(VLOOKUP($A51,main!$A$3:$I$56,7,FALSE),main!$K$18:$O$18,0),0))),0)</f>
        <v>0</v>
      </c>
      <c r="Y51">
        <f>IF((gamma!Y51),IF(VLOOKUP(Y$1,main!$A$3:$I$56,7,FALSE)=VLOOKUP($A51,main!$A$3:$I$56,8,FALSE),VLOOKUP(Y$1,main!$A$3:$I$56,4,FALSE),VLOOKUP(Y$1,main!$A$3:$I$56,4,FALSE)+VLOOKUP($A51,main!$A$3:$I$56,4,FALSE)+(VLOOKUP(VLOOKUP(Y$1,main!$A$3:$I$56,8,FALSE),main!$K$19:$O$22,MATCH(VLOOKUP($A51,main!$A$3:$I$56,7,FALSE),main!$K$18:$O$18,0),0))),0)</f>
        <v>0</v>
      </c>
      <c r="Z51">
        <f>IF((gamma!Z51),IF(VLOOKUP(Z$1,main!$A$3:$I$56,7,FALSE)=VLOOKUP($A51,main!$A$3:$I$56,8,FALSE),VLOOKUP(Z$1,main!$A$3:$I$56,4,FALSE),VLOOKUP(Z$1,main!$A$3:$I$56,4,FALSE)+VLOOKUP($A51,main!$A$3:$I$56,4,FALSE)+(VLOOKUP(VLOOKUP(Z$1,main!$A$3:$I$56,8,FALSE),main!$K$19:$O$22,MATCH(VLOOKUP($A51,main!$A$3:$I$56,7,FALSE),main!$K$18:$O$18,0),0))),0)</f>
        <v>0</v>
      </c>
      <c r="AA51">
        <f>IF((gamma!AA51),IF(VLOOKUP(AA$1,main!$A$3:$I$56,7,FALSE)=VLOOKUP($A51,main!$A$3:$I$56,8,FALSE),VLOOKUP(AA$1,main!$A$3:$I$56,4,FALSE),VLOOKUP(AA$1,main!$A$3:$I$56,4,FALSE)+VLOOKUP($A51,main!$A$3:$I$56,4,FALSE)+(VLOOKUP(VLOOKUP(AA$1,main!$A$3:$I$56,8,FALSE),main!$K$19:$O$22,MATCH(VLOOKUP($A51,main!$A$3:$I$56,7,FALSE),main!$K$18:$O$18,0),0))),0)</f>
        <v>0</v>
      </c>
      <c r="AB51">
        <f>IF((gamma!AB51),IF(VLOOKUP(AB$1,main!$A$3:$I$56,7,FALSE)=VLOOKUP($A51,main!$A$3:$I$56,8,FALSE),VLOOKUP(AB$1,main!$A$3:$I$56,4,FALSE),VLOOKUP(AB$1,main!$A$3:$I$56,4,FALSE)+VLOOKUP($A51,main!$A$3:$I$56,4,FALSE)+(VLOOKUP(VLOOKUP(AB$1,main!$A$3:$I$56,8,FALSE),main!$K$19:$O$22,MATCH(VLOOKUP($A51,main!$A$3:$I$56,7,FALSE),main!$K$18:$O$18,0),0))),0)</f>
        <v>0</v>
      </c>
      <c r="AC51">
        <f>IF((gamma!AC51),IF(VLOOKUP(AC$1,main!$A$3:$I$56,7,FALSE)=VLOOKUP($A51,main!$A$3:$I$56,8,FALSE),VLOOKUP(AC$1,main!$A$3:$I$56,4,FALSE),VLOOKUP(AC$1,main!$A$3:$I$56,4,FALSE)+VLOOKUP($A51,main!$A$3:$I$56,4,FALSE)+(VLOOKUP(VLOOKUP(AC$1,main!$A$3:$I$56,8,FALSE),main!$K$19:$O$22,MATCH(VLOOKUP($A51,main!$A$3:$I$56,7,FALSE),main!$K$18:$O$18,0),0))),0)</f>
        <v>0</v>
      </c>
      <c r="AD51">
        <f>IF((gamma!AD51),IF(VLOOKUP(AD$1,main!$A$3:$I$56,7,FALSE)=VLOOKUP($A51,main!$A$3:$I$56,8,FALSE),VLOOKUP(AD$1,main!$A$3:$I$56,4,FALSE),VLOOKUP(AD$1,main!$A$3:$I$56,4,FALSE)+VLOOKUP($A51,main!$A$3:$I$56,4,FALSE)+(VLOOKUP(VLOOKUP(AD$1,main!$A$3:$I$56,8,FALSE),main!$K$19:$O$22,MATCH(VLOOKUP($A51,main!$A$3:$I$56,7,FALSE),main!$K$18:$O$18,0),0))),0)</f>
        <v>0</v>
      </c>
      <c r="AE51">
        <f>IF((gamma!AE51),IF(VLOOKUP(AE$1,main!$A$3:$I$56,7,FALSE)=VLOOKUP($A51,main!$A$3:$I$56,8,FALSE),VLOOKUP(AE$1,main!$A$3:$I$56,4,FALSE),VLOOKUP(AE$1,main!$A$3:$I$56,4,FALSE)+VLOOKUP($A51,main!$A$3:$I$56,4,FALSE)+(VLOOKUP(VLOOKUP(AE$1,main!$A$3:$I$56,8,FALSE),main!$K$19:$O$22,MATCH(VLOOKUP($A51,main!$A$3:$I$56,7,FALSE),main!$K$18:$O$18,0),0))),0)</f>
        <v>0</v>
      </c>
      <c r="AF51">
        <f>IF((gamma!AF51),IF(VLOOKUP(AF$1,main!$A$3:$I$56,7,FALSE)=VLOOKUP($A51,main!$A$3:$I$56,8,FALSE),VLOOKUP(AF$1,main!$A$3:$I$56,4,FALSE),VLOOKUP(AF$1,main!$A$3:$I$56,4,FALSE)+VLOOKUP($A51,main!$A$3:$I$56,4,FALSE)+(VLOOKUP(VLOOKUP(AF$1,main!$A$3:$I$56,8,FALSE),main!$K$19:$O$22,MATCH(VLOOKUP($A51,main!$A$3:$I$56,7,FALSE),main!$K$18:$O$18,0),0))),0)</f>
        <v>0</v>
      </c>
      <c r="AG51">
        <f>IF((gamma!AG51),IF(VLOOKUP(AG$1,main!$A$3:$I$56,7,FALSE)=VLOOKUP($A51,main!$A$3:$I$56,8,FALSE),VLOOKUP(AG$1,main!$A$3:$I$56,4,FALSE),VLOOKUP(AG$1,main!$A$3:$I$56,4,FALSE)+VLOOKUP($A51,main!$A$3:$I$56,4,FALSE)+(VLOOKUP(VLOOKUP(AG$1,main!$A$3:$I$56,8,FALSE),main!$K$19:$O$22,MATCH(VLOOKUP($A51,main!$A$3:$I$56,7,FALSE),main!$K$18:$O$18,0),0))),0)</f>
        <v>0</v>
      </c>
      <c r="AH51">
        <f>IF((gamma!AH51),IF(VLOOKUP(AH$1,main!$A$3:$I$56,7,FALSE)=VLOOKUP($A51,main!$A$3:$I$56,8,FALSE),VLOOKUP(AH$1,main!$A$3:$I$56,4,FALSE),VLOOKUP(AH$1,main!$A$3:$I$56,4,FALSE)+VLOOKUP($A51,main!$A$3:$I$56,4,FALSE)+(VLOOKUP(VLOOKUP(AH$1,main!$A$3:$I$56,8,FALSE),main!$K$19:$O$22,MATCH(VLOOKUP($A51,main!$A$3:$I$56,7,FALSE),main!$K$18:$O$18,0),0))),0)</f>
        <v>0</v>
      </c>
      <c r="AI51">
        <f>IF((gamma!AI51),IF(VLOOKUP(AI$1,main!$A$3:$I$56,7,FALSE)=VLOOKUP($A51,main!$A$3:$I$56,8,FALSE),VLOOKUP(AI$1,main!$A$3:$I$56,4,FALSE),VLOOKUP(AI$1,main!$A$3:$I$56,4,FALSE)+VLOOKUP($A51,main!$A$3:$I$56,4,FALSE)+(VLOOKUP(VLOOKUP(AI$1,main!$A$3:$I$56,8,FALSE),main!$K$19:$O$22,MATCH(VLOOKUP($A51,main!$A$3:$I$56,7,FALSE),main!$K$18:$O$18,0),0))),0)</f>
        <v>0</v>
      </c>
      <c r="AJ51">
        <f>IF((gamma!AJ51),IF(VLOOKUP(AJ$1,main!$A$3:$I$56,7,FALSE)=VLOOKUP($A51,main!$A$3:$I$56,8,FALSE),VLOOKUP(AJ$1,main!$A$3:$I$56,4,FALSE),VLOOKUP(AJ$1,main!$A$3:$I$56,4,FALSE)+VLOOKUP($A51,main!$A$3:$I$56,4,FALSE)+(VLOOKUP(VLOOKUP(AJ$1,main!$A$3:$I$56,8,FALSE),main!$K$19:$O$22,MATCH(VLOOKUP($A51,main!$A$3:$I$56,7,FALSE),main!$K$18:$O$18,0),0))),0)</f>
        <v>0</v>
      </c>
      <c r="AK51">
        <f>IF((gamma!AK51),IF(VLOOKUP(AK$1,main!$A$3:$I$56,7,FALSE)=VLOOKUP($A51,main!$A$3:$I$56,8,FALSE),VLOOKUP(AK$1,main!$A$3:$I$56,4,FALSE),VLOOKUP(AK$1,main!$A$3:$I$56,4,FALSE)+VLOOKUP($A51,main!$A$3:$I$56,4,FALSE)+(VLOOKUP(VLOOKUP(AK$1,main!$A$3:$I$56,8,FALSE),main!$K$19:$O$22,MATCH(VLOOKUP($A51,main!$A$3:$I$56,7,FALSE),main!$K$18:$O$18,0),0))),0)</f>
        <v>0</v>
      </c>
      <c r="AL51">
        <f>IF((gamma!AL51),IF(VLOOKUP(AL$1,main!$A$3:$I$56,7,FALSE)=VLOOKUP($A51,main!$A$3:$I$56,8,FALSE),VLOOKUP(AL$1,main!$A$3:$I$56,4,FALSE),VLOOKUP(AL$1,main!$A$3:$I$56,4,FALSE)+VLOOKUP($A51,main!$A$3:$I$56,4,FALSE)+(VLOOKUP(VLOOKUP(AL$1,main!$A$3:$I$56,8,FALSE),main!$K$19:$O$22,MATCH(VLOOKUP($A51,main!$A$3:$I$56,7,FALSE),main!$K$18:$O$18,0),0))),0)</f>
        <v>0</v>
      </c>
      <c r="AM51">
        <f>IF((gamma!AM51),IF(VLOOKUP(AM$1,main!$A$3:$I$56,7,FALSE)=VLOOKUP($A51,main!$A$3:$I$56,8,FALSE),VLOOKUP(AM$1,main!$A$3:$I$56,4,FALSE),VLOOKUP(AM$1,main!$A$3:$I$56,4,FALSE)+VLOOKUP($A51,main!$A$3:$I$56,4,FALSE)+(VLOOKUP(VLOOKUP(AM$1,main!$A$3:$I$56,8,FALSE),main!$K$19:$O$22,MATCH(VLOOKUP($A51,main!$A$3:$I$56,7,FALSE),main!$K$18:$O$18,0),0))),0)</f>
        <v>0</v>
      </c>
      <c r="AN51">
        <f>IF((gamma!AN51),IF(VLOOKUP(AN$1,main!$A$3:$I$56,7,FALSE)=VLOOKUP($A51,main!$A$3:$I$56,8,FALSE),VLOOKUP(AN$1,main!$A$3:$I$56,4,FALSE),VLOOKUP(AN$1,main!$A$3:$I$56,4,FALSE)+VLOOKUP($A51,main!$A$3:$I$56,4,FALSE)+(VLOOKUP(VLOOKUP(AN$1,main!$A$3:$I$56,8,FALSE),main!$K$19:$O$22,MATCH(VLOOKUP($A51,main!$A$3:$I$56,7,FALSE),main!$K$18:$O$18,0),0))),0)</f>
        <v>0</v>
      </c>
      <c r="AO51">
        <f>IF((gamma!AO51),IF(VLOOKUP(AO$1,main!$A$3:$I$56,7,FALSE)=VLOOKUP($A51,main!$A$3:$I$56,8,FALSE),VLOOKUP(AO$1,main!$A$3:$I$56,4,FALSE),VLOOKUP(AO$1,main!$A$3:$I$56,4,FALSE)+VLOOKUP($A51,main!$A$3:$I$56,4,FALSE)+(VLOOKUP(VLOOKUP(AO$1,main!$A$3:$I$56,8,FALSE),main!$K$19:$O$22,MATCH(VLOOKUP($A51,main!$A$3:$I$56,7,FALSE),main!$K$18:$O$18,0),0))),0)</f>
        <v>0</v>
      </c>
      <c r="AP51">
        <f>IF((gamma!AP51),IF(VLOOKUP(AP$1,main!$A$3:$I$56,7,FALSE)=VLOOKUP($A51,main!$A$3:$I$56,8,FALSE),VLOOKUP(AP$1,main!$A$3:$I$56,4,FALSE),VLOOKUP(AP$1,main!$A$3:$I$56,4,FALSE)+VLOOKUP($A51,main!$A$3:$I$56,4,FALSE)+(VLOOKUP(VLOOKUP(AP$1,main!$A$3:$I$56,8,FALSE),main!$K$19:$O$22,MATCH(VLOOKUP($A51,main!$A$3:$I$56,7,FALSE),main!$K$18:$O$18,0),0))),0)</f>
        <v>0</v>
      </c>
      <c r="AQ51">
        <f>IF((gamma!AQ51),IF(VLOOKUP(AQ$1,main!$A$3:$I$56,7,FALSE)=VLOOKUP($A51,main!$A$3:$I$56,8,FALSE),VLOOKUP(AQ$1,main!$A$3:$I$56,4,FALSE),VLOOKUP(AQ$1,main!$A$3:$I$56,4,FALSE)+VLOOKUP($A51,main!$A$3:$I$56,4,FALSE)+(VLOOKUP(VLOOKUP(AQ$1,main!$A$3:$I$56,8,FALSE),main!$K$19:$O$22,MATCH(VLOOKUP($A51,main!$A$3:$I$56,7,FALSE),main!$K$18:$O$18,0),0))),0)</f>
        <v>0</v>
      </c>
      <c r="AR51">
        <f>IF((gamma!AR51),IF(VLOOKUP(AR$1,main!$A$3:$I$56,7,FALSE)=VLOOKUP($A51,main!$A$3:$I$56,8,FALSE),VLOOKUP(AR$1,main!$A$3:$I$56,4,FALSE),VLOOKUP(AR$1,main!$A$3:$I$56,4,FALSE)+VLOOKUP($A51,main!$A$3:$I$56,4,FALSE)+(VLOOKUP(VLOOKUP(AR$1,main!$A$3:$I$56,8,FALSE),main!$K$19:$O$22,MATCH(VLOOKUP($A51,main!$A$3:$I$56,7,FALSE),main!$K$18:$O$18,0),0))),0)</f>
        <v>0</v>
      </c>
      <c r="AS51">
        <f>IF((gamma!AS51),IF(VLOOKUP(AS$1,main!$A$3:$I$56,7,FALSE)=VLOOKUP($A51,main!$A$3:$I$56,8,FALSE),VLOOKUP(AS$1,main!$A$3:$I$56,4,FALSE),VLOOKUP(AS$1,main!$A$3:$I$56,4,FALSE)+VLOOKUP($A51,main!$A$3:$I$56,4,FALSE)+(VLOOKUP(VLOOKUP(AS$1,main!$A$3:$I$56,8,FALSE),main!$K$19:$O$22,MATCH(VLOOKUP($A51,main!$A$3:$I$56,7,FALSE),main!$K$18:$O$18,0),0))),0)</f>
        <v>0</v>
      </c>
      <c r="AT51">
        <f>IF((gamma!AT51),IF(VLOOKUP(AT$1,main!$A$3:$I$56,7,FALSE)=VLOOKUP($A51,main!$A$3:$I$56,8,FALSE),VLOOKUP(AT$1,main!$A$3:$I$56,4,FALSE),VLOOKUP(AT$1,main!$A$3:$I$56,4,FALSE)+VLOOKUP($A51,main!$A$3:$I$56,4,FALSE)+(VLOOKUP(VLOOKUP(AT$1,main!$A$3:$I$56,8,FALSE),main!$K$19:$O$22,MATCH(VLOOKUP($A51,main!$A$3:$I$56,7,FALSE),main!$K$18:$O$18,0),0))),0)</f>
        <v>0</v>
      </c>
      <c r="AU51">
        <f>IF((gamma!AU51),IF(VLOOKUP(AU$1,main!$A$3:$I$56,7,FALSE)=VLOOKUP($A51,main!$A$3:$I$56,8,FALSE),VLOOKUP(AU$1,main!$A$3:$I$56,4,FALSE),VLOOKUP(AU$1,main!$A$3:$I$56,4,FALSE)+VLOOKUP($A51,main!$A$3:$I$56,4,FALSE)+(VLOOKUP(VLOOKUP(AU$1,main!$A$3:$I$56,8,FALSE),main!$K$19:$O$22,MATCH(VLOOKUP($A51,main!$A$3:$I$56,7,FALSE),main!$K$18:$O$18,0),0))),0)</f>
        <v>0</v>
      </c>
      <c r="AV51">
        <f>IF((gamma!AV51),IF(VLOOKUP(AV$1,main!$A$3:$I$56,7,FALSE)=VLOOKUP($A51,main!$A$3:$I$56,8,FALSE),VLOOKUP(AV$1,main!$A$3:$I$56,4,FALSE),VLOOKUP(AV$1,main!$A$3:$I$56,4,FALSE)+VLOOKUP($A51,main!$A$3:$I$56,4,FALSE)+(VLOOKUP(VLOOKUP(AV$1,main!$A$3:$I$56,8,FALSE),main!$K$19:$O$22,MATCH(VLOOKUP($A51,main!$A$3:$I$56,7,FALSE),main!$K$18:$O$18,0),0))),0)</f>
        <v>0</v>
      </c>
      <c r="AW51">
        <f>IF((gamma!AW51),IF(VLOOKUP(AW$1,main!$A$3:$I$56,7,FALSE)=VLOOKUP($A51,main!$A$3:$I$56,8,FALSE),VLOOKUP(AW$1,main!$A$3:$I$56,4,FALSE),VLOOKUP(AW$1,main!$A$3:$I$56,4,FALSE)+VLOOKUP($A51,main!$A$3:$I$56,4,FALSE)+(VLOOKUP(VLOOKUP(AW$1,main!$A$3:$I$56,8,FALSE),main!$K$19:$O$22,MATCH(VLOOKUP($A51,main!$A$3:$I$56,7,FALSE),main!$K$18:$O$18,0),0))),0)</f>
        <v>0</v>
      </c>
      <c r="AX51">
        <f>IF((gamma!AX51),IF(VLOOKUP(AX$1,main!$A$3:$I$56,7,FALSE)=VLOOKUP($A51,main!$A$3:$I$56,8,FALSE),VLOOKUP(AX$1,main!$A$3:$I$56,4,FALSE),VLOOKUP(AX$1,main!$A$3:$I$56,4,FALSE)+VLOOKUP($A51,main!$A$3:$I$56,4,FALSE)+(VLOOKUP(VLOOKUP(AX$1,main!$A$3:$I$56,8,FALSE),main!$K$19:$O$22,MATCH(VLOOKUP($A51,main!$A$3:$I$56,7,FALSE),main!$K$18:$O$18,0),0))),0)</f>
        <v>0</v>
      </c>
      <c r="AY51">
        <f>IF((gamma!AY51),IF(VLOOKUP(AY$1,main!$A$3:$I$56,7,FALSE)=VLOOKUP($A51,main!$A$3:$I$56,8,FALSE),VLOOKUP(AY$1,main!$A$3:$I$56,4,FALSE),VLOOKUP(AY$1,main!$A$3:$I$56,4,FALSE)+VLOOKUP($A51,main!$A$3:$I$56,4,FALSE)+(VLOOKUP(VLOOKUP(AY$1,main!$A$3:$I$56,8,FALSE),main!$K$19:$O$22,MATCH(VLOOKUP($A51,main!$A$3:$I$56,7,FALSE),main!$K$18:$O$18,0),0))),0)</f>
        <v>0</v>
      </c>
      <c r="AZ51">
        <f>IF((gamma!AZ51),IF(VLOOKUP(AZ$1,main!$A$3:$I$56,7,FALSE)=VLOOKUP($A51,main!$A$3:$I$56,8,FALSE),VLOOKUP(AZ$1,main!$A$3:$I$56,4,FALSE),VLOOKUP(AZ$1,main!$A$3:$I$56,4,FALSE)+VLOOKUP($A51,main!$A$3:$I$56,4,FALSE)+(VLOOKUP(VLOOKUP(AZ$1,main!$A$3:$I$56,8,FALSE),main!$K$19:$O$22,MATCH(VLOOKUP($A51,main!$A$3:$I$56,7,FALSE),main!$K$18:$O$18,0),0))),0)</f>
        <v>0</v>
      </c>
      <c r="BA51">
        <f>IF((gamma!BA51),IF(VLOOKUP(BA$1,main!$A$3:$I$56,7,FALSE)=VLOOKUP($A51,main!$A$3:$I$56,8,FALSE),VLOOKUP(BA$1,main!$A$3:$I$56,4,FALSE),VLOOKUP(BA$1,main!$A$3:$I$56,4,FALSE)+VLOOKUP($A51,main!$A$3:$I$56,4,FALSE)+(VLOOKUP(VLOOKUP(BA$1,main!$A$3:$I$56,8,FALSE),main!$K$19:$O$22,MATCH(VLOOKUP($A51,main!$A$3:$I$56,7,FALSE),main!$K$18:$O$18,0),0))),0)</f>
        <v>0</v>
      </c>
      <c r="BB51">
        <f>IF((gamma!BB51),IF(VLOOKUP(BB$1,main!$A$3:$I$56,7,FALSE)=VLOOKUP($A51,main!$A$3:$I$56,8,FALSE),VLOOKUP(BB$1,main!$A$3:$I$56,4,FALSE),VLOOKUP(BB$1,main!$A$3:$I$56,4,FALSE)+VLOOKUP($A51,main!$A$3:$I$56,4,FALSE)+(VLOOKUP(VLOOKUP(BB$1,main!$A$3:$I$56,8,FALSE),main!$K$19:$O$22,MATCH(VLOOKUP($A51,main!$A$3:$I$56,7,FALSE),main!$K$18:$O$18,0),0))),0)</f>
        <v>0</v>
      </c>
      <c r="BC51">
        <f>IF((gamma!BC51),IF(VLOOKUP(BC$1,main!$A$3:$I$56,7,FALSE)=VLOOKUP($A51,main!$A$3:$I$56,8,FALSE),VLOOKUP(BC$1,main!$A$3:$I$56,4,FALSE),VLOOKUP(BC$1,main!$A$3:$I$56,4,FALSE)+VLOOKUP($A51,main!$A$3:$I$56,4,FALSE)+(VLOOKUP(VLOOKUP(BC$1,main!$A$3:$I$56,8,FALSE),main!$K$19:$O$22,MATCH(VLOOKUP($A51,main!$A$3:$I$56,7,FALSE),main!$K$18:$O$18,0),0))),0)</f>
        <v>0</v>
      </c>
      <c r="BD51">
        <f>IF((gamma!BD51),IF(VLOOKUP(BD$1,main!$A$3:$I$56,7,FALSE)=VLOOKUP($A51,main!$A$3:$I$56,8,FALSE),VLOOKUP(BD$1,main!$A$3:$I$56,4,FALSE),VLOOKUP(BD$1,main!$A$3:$I$56,4,FALSE)+VLOOKUP($A51,main!$A$3:$I$56,4,FALSE)+(VLOOKUP(VLOOKUP(BD$1,main!$A$3:$I$56,8,FALSE),main!$K$19:$O$22,MATCH(VLOOKUP($A51,main!$A$3:$I$56,7,FALSE),main!$K$18:$O$18,0),0))),0)</f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5">
      <c r="A52">
        <f t="shared" si="0"/>
        <v>50</v>
      </c>
      <c r="B52">
        <v>0</v>
      </c>
      <c r="C52">
        <f>IF((gamma!C52),IF(VLOOKUP(C$1,main!$A$3:$I$56,7,FALSE)=VLOOKUP($A52,main!$A$3:$I$56,8,FALSE),VLOOKUP(C$1,main!$A$3:$I$56,4,FALSE),VLOOKUP(C$1,main!$A$3:$I$56,4,FALSE)+VLOOKUP($A52,main!$A$3:$I$56,4,FALSE)+(VLOOKUP(VLOOKUP(C$1,main!$A$3:$I$56,8,FALSE),main!$K$19:$O$22,MATCH(VLOOKUP($A52,main!$A$3:$I$56,7,FALSE),main!$K$18:$O$18,0),0))),0)</f>
        <v>0</v>
      </c>
      <c r="D52">
        <f>IF((gamma!D52),IF(VLOOKUP(D$1,main!$A$3:$I$56,7,FALSE)=VLOOKUP($A52,main!$A$3:$I$56,8,FALSE),VLOOKUP(D$1,main!$A$3:$I$56,4,FALSE),VLOOKUP(D$1,main!$A$3:$I$56,4,FALSE)+VLOOKUP($A52,main!$A$3:$I$56,4,FALSE)+(VLOOKUP(VLOOKUP(D$1,main!$A$3:$I$56,8,FALSE),main!$K$19:$O$22,MATCH(VLOOKUP($A52,main!$A$3:$I$56,7,FALSE),main!$K$18:$O$18,0),0))),0)</f>
        <v>0</v>
      </c>
      <c r="E52">
        <f>IF((gamma!E52),IF(VLOOKUP(E$1,main!$A$3:$I$56,7,FALSE)=VLOOKUP($A52,main!$A$3:$I$56,8,FALSE),VLOOKUP(E$1,main!$A$3:$I$56,4,FALSE),VLOOKUP(E$1,main!$A$3:$I$56,4,FALSE)+VLOOKUP($A52,main!$A$3:$I$56,4,FALSE)+(VLOOKUP(VLOOKUP(E$1,main!$A$3:$I$56,8,FALSE),main!$K$19:$O$22,MATCH(VLOOKUP($A52,main!$A$3:$I$56,7,FALSE),main!$K$18:$O$18,0),0))),0)</f>
        <v>315</v>
      </c>
      <c r="F52">
        <f>IF((gamma!F52),IF(VLOOKUP(F$1,main!$A$3:$I$56,7,FALSE)=VLOOKUP($A52,main!$A$3:$I$56,8,FALSE),VLOOKUP(F$1,main!$A$3:$I$56,4,FALSE),VLOOKUP(F$1,main!$A$3:$I$56,4,FALSE)+VLOOKUP($A52,main!$A$3:$I$56,4,FALSE)+(VLOOKUP(VLOOKUP(F$1,main!$A$3:$I$56,8,FALSE),main!$K$19:$O$22,MATCH(VLOOKUP($A52,main!$A$3:$I$56,7,FALSE),main!$K$18:$O$18,0),0))),0)</f>
        <v>315</v>
      </c>
      <c r="G52">
        <f>IF((gamma!G52),IF(VLOOKUP(G$1,main!$A$3:$I$56,7,FALSE)=VLOOKUP($A52,main!$A$3:$I$56,8,FALSE),VLOOKUP(G$1,main!$A$3:$I$56,4,FALSE),VLOOKUP(G$1,main!$A$3:$I$56,4,FALSE)+VLOOKUP($A52,main!$A$3:$I$56,4,FALSE)+(VLOOKUP(VLOOKUP(G$1,main!$A$3:$I$56,8,FALSE),main!$K$19:$O$22,MATCH(VLOOKUP($A52,main!$A$3:$I$56,7,FALSE),main!$K$18:$O$18,0),0))),0)</f>
        <v>315</v>
      </c>
      <c r="H52">
        <f>IF((gamma!H52),IF(VLOOKUP(H$1,main!$A$3:$I$56,7,FALSE)=VLOOKUP($A52,main!$A$3:$I$56,8,FALSE),VLOOKUP(H$1,main!$A$3:$I$56,4,FALSE),VLOOKUP(H$1,main!$A$3:$I$56,4,FALSE)+VLOOKUP($A52,main!$A$3:$I$56,4,FALSE)+(VLOOKUP(VLOOKUP(H$1,main!$A$3:$I$56,8,FALSE),main!$K$19:$O$22,MATCH(VLOOKUP($A52,main!$A$3:$I$56,7,FALSE),main!$K$18:$O$18,0),0))),0)</f>
        <v>315</v>
      </c>
      <c r="I52">
        <f>IF((gamma!I52),IF(VLOOKUP(I$1,main!$A$3:$I$56,7,FALSE)=VLOOKUP($A52,main!$A$3:$I$56,8,FALSE),VLOOKUP(I$1,main!$A$3:$I$56,4,FALSE),VLOOKUP(I$1,main!$A$3:$I$56,4,FALSE)+VLOOKUP($A52,main!$A$3:$I$56,4,FALSE)+(VLOOKUP(VLOOKUP(I$1,main!$A$3:$I$56,8,FALSE),main!$K$19:$O$22,MATCH(VLOOKUP($A52,main!$A$3:$I$56,7,FALSE),main!$K$18:$O$18,0),0))),0)</f>
        <v>315</v>
      </c>
      <c r="J52">
        <f>IF((gamma!J52),IF(VLOOKUP(J$1,main!$A$3:$I$56,7,FALSE)=VLOOKUP($A52,main!$A$3:$I$56,8,FALSE),VLOOKUP(J$1,main!$A$3:$I$56,4,FALSE),VLOOKUP(J$1,main!$A$3:$I$56,4,FALSE)+VLOOKUP($A52,main!$A$3:$I$56,4,FALSE)+(VLOOKUP(VLOOKUP(J$1,main!$A$3:$I$56,8,FALSE),main!$K$19:$O$22,MATCH(VLOOKUP($A52,main!$A$3:$I$56,7,FALSE),main!$K$18:$O$18,0),0))),0)</f>
        <v>315</v>
      </c>
      <c r="K52">
        <f>IF((gamma!K52),IF(VLOOKUP(K$1,main!$A$3:$I$56,7,FALSE)=VLOOKUP($A52,main!$A$3:$I$56,8,FALSE),VLOOKUP(K$1,main!$A$3:$I$56,4,FALSE),VLOOKUP(K$1,main!$A$3:$I$56,4,FALSE)+VLOOKUP($A52,main!$A$3:$I$56,4,FALSE)+(VLOOKUP(VLOOKUP(K$1,main!$A$3:$I$56,8,FALSE),main!$K$19:$O$22,MATCH(VLOOKUP($A52,main!$A$3:$I$56,7,FALSE),main!$K$18:$O$18,0),0))),0)</f>
        <v>0</v>
      </c>
      <c r="L52">
        <f>IF((gamma!L52),IF(VLOOKUP(L$1,main!$A$3:$I$56,7,FALSE)=VLOOKUP($A52,main!$A$3:$I$56,8,FALSE),VLOOKUP(L$1,main!$A$3:$I$56,4,FALSE),VLOOKUP(L$1,main!$A$3:$I$56,4,FALSE)+VLOOKUP($A52,main!$A$3:$I$56,4,FALSE)+(VLOOKUP(VLOOKUP(L$1,main!$A$3:$I$56,8,FALSE),main!$K$19:$O$22,MATCH(VLOOKUP($A52,main!$A$3:$I$56,7,FALSE),main!$K$18:$O$18,0),0))),0)</f>
        <v>0</v>
      </c>
      <c r="M52">
        <f>IF((gamma!M52),IF(VLOOKUP(M$1,main!$A$3:$I$56,7,FALSE)=VLOOKUP($A52,main!$A$3:$I$56,8,FALSE),VLOOKUP(M$1,main!$A$3:$I$56,4,FALSE),VLOOKUP(M$1,main!$A$3:$I$56,4,FALSE)+VLOOKUP($A52,main!$A$3:$I$56,4,FALSE)+(VLOOKUP(VLOOKUP(M$1,main!$A$3:$I$56,8,FALSE),main!$K$19:$O$22,MATCH(VLOOKUP($A52,main!$A$3:$I$56,7,FALSE),main!$K$18:$O$18,0),0))),0)</f>
        <v>313</v>
      </c>
      <c r="N52">
        <f>IF((gamma!N52),IF(VLOOKUP(N$1,main!$A$3:$I$56,7,FALSE)=VLOOKUP($A52,main!$A$3:$I$56,8,FALSE),VLOOKUP(N$1,main!$A$3:$I$56,4,FALSE),VLOOKUP(N$1,main!$A$3:$I$56,4,FALSE)+VLOOKUP($A52,main!$A$3:$I$56,4,FALSE)+(VLOOKUP(VLOOKUP(N$1,main!$A$3:$I$56,8,FALSE),main!$K$19:$O$22,MATCH(VLOOKUP($A52,main!$A$3:$I$56,7,FALSE),main!$K$18:$O$18,0),0))),0)</f>
        <v>313</v>
      </c>
      <c r="O52">
        <f>IF((gamma!O52),IF(VLOOKUP(O$1,main!$A$3:$I$56,7,FALSE)=VLOOKUP($A52,main!$A$3:$I$56,8,FALSE),VLOOKUP(O$1,main!$A$3:$I$56,4,FALSE),VLOOKUP(O$1,main!$A$3:$I$56,4,FALSE)+VLOOKUP($A52,main!$A$3:$I$56,4,FALSE)+(VLOOKUP(VLOOKUP(O$1,main!$A$3:$I$56,8,FALSE),main!$K$19:$O$22,MATCH(VLOOKUP($A52,main!$A$3:$I$56,7,FALSE),main!$K$18:$O$18,0),0))),0)</f>
        <v>313</v>
      </c>
      <c r="P52">
        <f>IF((gamma!P52),IF(VLOOKUP(P$1,main!$A$3:$I$56,7,FALSE)=VLOOKUP($A52,main!$A$3:$I$56,8,FALSE),VLOOKUP(P$1,main!$A$3:$I$56,4,FALSE),VLOOKUP(P$1,main!$A$3:$I$56,4,FALSE)+VLOOKUP($A52,main!$A$3:$I$56,4,FALSE)+(VLOOKUP(VLOOKUP(P$1,main!$A$3:$I$56,8,FALSE),main!$K$19:$O$22,MATCH(VLOOKUP($A52,main!$A$3:$I$56,7,FALSE),main!$K$18:$O$18,0),0))),0)</f>
        <v>0</v>
      </c>
      <c r="Q52">
        <f>IF((gamma!Q52),IF(VLOOKUP(Q$1,main!$A$3:$I$56,7,FALSE)=VLOOKUP($A52,main!$A$3:$I$56,8,FALSE),VLOOKUP(Q$1,main!$A$3:$I$56,4,FALSE),VLOOKUP(Q$1,main!$A$3:$I$56,4,FALSE)+VLOOKUP($A52,main!$A$3:$I$56,4,FALSE)+(VLOOKUP(VLOOKUP(Q$1,main!$A$3:$I$56,8,FALSE),main!$K$19:$O$22,MATCH(VLOOKUP($A52,main!$A$3:$I$56,7,FALSE),main!$K$18:$O$18,0),0))),0)</f>
        <v>0</v>
      </c>
      <c r="R52">
        <f>IF((gamma!R52),IF(VLOOKUP(R$1,main!$A$3:$I$56,7,FALSE)=VLOOKUP($A52,main!$A$3:$I$56,8,FALSE),VLOOKUP(R$1,main!$A$3:$I$56,4,FALSE),VLOOKUP(R$1,main!$A$3:$I$56,4,FALSE)+VLOOKUP($A52,main!$A$3:$I$56,4,FALSE)+(VLOOKUP(VLOOKUP(R$1,main!$A$3:$I$56,8,FALSE),main!$K$19:$O$22,MATCH(VLOOKUP($A52,main!$A$3:$I$56,7,FALSE),main!$K$18:$O$18,0),0))),0)</f>
        <v>275</v>
      </c>
      <c r="S52">
        <f>IF((gamma!S52),IF(VLOOKUP(S$1,main!$A$3:$I$56,7,FALSE)=VLOOKUP($A52,main!$A$3:$I$56,8,FALSE),VLOOKUP(S$1,main!$A$3:$I$56,4,FALSE),VLOOKUP(S$1,main!$A$3:$I$56,4,FALSE)+VLOOKUP($A52,main!$A$3:$I$56,4,FALSE)+(VLOOKUP(VLOOKUP(S$1,main!$A$3:$I$56,8,FALSE),main!$K$19:$O$22,MATCH(VLOOKUP($A52,main!$A$3:$I$56,7,FALSE),main!$K$18:$O$18,0),0))),0)</f>
        <v>280</v>
      </c>
      <c r="T52">
        <f>IF((gamma!T52),IF(VLOOKUP(T$1,main!$A$3:$I$56,7,FALSE)=VLOOKUP($A52,main!$A$3:$I$56,8,FALSE),VLOOKUP(T$1,main!$A$3:$I$56,4,FALSE),VLOOKUP(T$1,main!$A$3:$I$56,4,FALSE)+VLOOKUP($A52,main!$A$3:$I$56,4,FALSE)+(VLOOKUP(VLOOKUP(T$1,main!$A$3:$I$56,8,FALSE),main!$K$19:$O$22,MATCH(VLOOKUP($A52,main!$A$3:$I$56,7,FALSE),main!$K$18:$O$18,0),0))),0)</f>
        <v>280</v>
      </c>
      <c r="U52">
        <f>IF((gamma!U52),IF(VLOOKUP(U$1,main!$A$3:$I$56,7,FALSE)=VLOOKUP($A52,main!$A$3:$I$56,8,FALSE),VLOOKUP(U$1,main!$A$3:$I$56,4,FALSE),VLOOKUP(U$1,main!$A$3:$I$56,4,FALSE)+VLOOKUP($A52,main!$A$3:$I$56,4,FALSE)+(VLOOKUP(VLOOKUP(U$1,main!$A$3:$I$56,8,FALSE),main!$K$19:$O$22,MATCH(VLOOKUP($A52,main!$A$3:$I$56,7,FALSE),main!$K$18:$O$18,0),0))),0)</f>
        <v>0</v>
      </c>
      <c r="V52">
        <f>IF((gamma!V52),IF(VLOOKUP(V$1,main!$A$3:$I$56,7,FALSE)=VLOOKUP($A52,main!$A$3:$I$56,8,FALSE),VLOOKUP(V$1,main!$A$3:$I$56,4,FALSE),VLOOKUP(V$1,main!$A$3:$I$56,4,FALSE)+VLOOKUP($A52,main!$A$3:$I$56,4,FALSE)+(VLOOKUP(VLOOKUP(V$1,main!$A$3:$I$56,8,FALSE),main!$K$19:$O$22,MATCH(VLOOKUP($A52,main!$A$3:$I$56,7,FALSE),main!$K$18:$O$18,0),0))),0)</f>
        <v>0</v>
      </c>
      <c r="W52">
        <f>IF((gamma!W52),IF(VLOOKUP(W$1,main!$A$3:$I$56,7,FALSE)=VLOOKUP($A52,main!$A$3:$I$56,8,FALSE),VLOOKUP(W$1,main!$A$3:$I$56,4,FALSE),VLOOKUP(W$1,main!$A$3:$I$56,4,FALSE)+VLOOKUP($A52,main!$A$3:$I$56,4,FALSE)+(VLOOKUP(VLOOKUP(W$1,main!$A$3:$I$56,8,FALSE),main!$K$19:$O$22,MATCH(VLOOKUP($A52,main!$A$3:$I$56,7,FALSE),main!$K$18:$O$18,0),0))),0)</f>
        <v>0</v>
      </c>
      <c r="X52">
        <f>IF((gamma!X52),IF(VLOOKUP(X$1,main!$A$3:$I$56,7,FALSE)=VLOOKUP($A52,main!$A$3:$I$56,8,FALSE),VLOOKUP(X$1,main!$A$3:$I$56,4,FALSE),VLOOKUP(X$1,main!$A$3:$I$56,4,FALSE)+VLOOKUP($A52,main!$A$3:$I$56,4,FALSE)+(VLOOKUP(VLOOKUP(X$1,main!$A$3:$I$56,8,FALSE),main!$K$19:$O$22,MATCH(VLOOKUP($A52,main!$A$3:$I$56,7,FALSE),main!$K$18:$O$18,0),0))),0)</f>
        <v>310</v>
      </c>
      <c r="Y52">
        <f>IF((gamma!Y52),IF(VLOOKUP(Y$1,main!$A$3:$I$56,7,FALSE)=VLOOKUP($A52,main!$A$3:$I$56,8,FALSE),VLOOKUP(Y$1,main!$A$3:$I$56,4,FALSE),VLOOKUP(Y$1,main!$A$3:$I$56,4,FALSE)+VLOOKUP($A52,main!$A$3:$I$56,4,FALSE)+(VLOOKUP(VLOOKUP(Y$1,main!$A$3:$I$56,8,FALSE),main!$K$19:$O$22,MATCH(VLOOKUP($A52,main!$A$3:$I$56,7,FALSE),main!$K$18:$O$18,0),0))),0)</f>
        <v>310</v>
      </c>
      <c r="Z52">
        <f>IF((gamma!Z52),IF(VLOOKUP(Z$1,main!$A$3:$I$56,7,FALSE)=VLOOKUP($A52,main!$A$3:$I$56,8,FALSE),VLOOKUP(Z$1,main!$A$3:$I$56,4,FALSE),VLOOKUP(Z$1,main!$A$3:$I$56,4,FALSE)+VLOOKUP($A52,main!$A$3:$I$56,4,FALSE)+(VLOOKUP(VLOOKUP(Z$1,main!$A$3:$I$56,8,FALSE),main!$K$19:$O$22,MATCH(VLOOKUP($A52,main!$A$3:$I$56,7,FALSE),main!$K$18:$O$18,0),0))),0)</f>
        <v>310</v>
      </c>
      <c r="AA52">
        <f>IF((gamma!AA52),IF(VLOOKUP(AA$1,main!$A$3:$I$56,7,FALSE)=VLOOKUP($A52,main!$A$3:$I$56,8,FALSE),VLOOKUP(AA$1,main!$A$3:$I$56,4,FALSE),VLOOKUP(AA$1,main!$A$3:$I$56,4,FALSE)+VLOOKUP($A52,main!$A$3:$I$56,4,FALSE)+(VLOOKUP(VLOOKUP(AA$1,main!$A$3:$I$56,8,FALSE),main!$K$19:$O$22,MATCH(VLOOKUP($A52,main!$A$3:$I$56,7,FALSE),main!$K$18:$O$18,0),0))),0)</f>
        <v>310</v>
      </c>
      <c r="AB52">
        <f>IF((gamma!AB52),IF(VLOOKUP(AB$1,main!$A$3:$I$56,7,FALSE)=VLOOKUP($A52,main!$A$3:$I$56,8,FALSE),VLOOKUP(AB$1,main!$A$3:$I$56,4,FALSE),VLOOKUP(AB$1,main!$A$3:$I$56,4,FALSE)+VLOOKUP($A52,main!$A$3:$I$56,4,FALSE)+(VLOOKUP(VLOOKUP(AB$1,main!$A$3:$I$56,8,FALSE),main!$K$19:$O$22,MATCH(VLOOKUP($A52,main!$A$3:$I$56,7,FALSE),main!$K$18:$O$18,0),0))),0)</f>
        <v>310</v>
      </c>
      <c r="AC52">
        <f>IF((gamma!AC52),IF(VLOOKUP(AC$1,main!$A$3:$I$56,7,FALSE)=VLOOKUP($A52,main!$A$3:$I$56,8,FALSE),VLOOKUP(AC$1,main!$A$3:$I$56,4,FALSE),VLOOKUP(AC$1,main!$A$3:$I$56,4,FALSE)+VLOOKUP($A52,main!$A$3:$I$56,4,FALSE)+(VLOOKUP(VLOOKUP(AC$1,main!$A$3:$I$56,8,FALSE),main!$K$19:$O$22,MATCH(VLOOKUP($A52,main!$A$3:$I$56,7,FALSE),main!$K$18:$O$18,0),0))),0)</f>
        <v>0</v>
      </c>
      <c r="AD52">
        <f>IF((gamma!AD52),IF(VLOOKUP(AD$1,main!$A$3:$I$56,7,FALSE)=VLOOKUP($A52,main!$A$3:$I$56,8,FALSE),VLOOKUP(AD$1,main!$A$3:$I$56,4,FALSE),VLOOKUP(AD$1,main!$A$3:$I$56,4,FALSE)+VLOOKUP($A52,main!$A$3:$I$56,4,FALSE)+(VLOOKUP(VLOOKUP(AD$1,main!$A$3:$I$56,8,FALSE),main!$K$19:$O$22,MATCH(VLOOKUP($A52,main!$A$3:$I$56,7,FALSE),main!$K$18:$O$18,0),0))),0)</f>
        <v>0</v>
      </c>
      <c r="AE52">
        <f>IF((gamma!AE52),IF(VLOOKUP(AE$1,main!$A$3:$I$56,7,FALSE)=VLOOKUP($A52,main!$A$3:$I$56,8,FALSE),VLOOKUP(AE$1,main!$A$3:$I$56,4,FALSE),VLOOKUP(AE$1,main!$A$3:$I$56,4,FALSE)+VLOOKUP($A52,main!$A$3:$I$56,4,FALSE)+(VLOOKUP(VLOOKUP(AE$1,main!$A$3:$I$56,8,FALSE),main!$K$19:$O$22,MATCH(VLOOKUP($A52,main!$A$3:$I$56,7,FALSE),main!$K$18:$O$18,0),0))),0)</f>
        <v>293</v>
      </c>
      <c r="AF52">
        <f>IF((gamma!AF52),IF(VLOOKUP(AF$1,main!$A$3:$I$56,7,FALSE)=VLOOKUP($A52,main!$A$3:$I$56,8,FALSE),VLOOKUP(AF$1,main!$A$3:$I$56,4,FALSE),VLOOKUP(AF$1,main!$A$3:$I$56,4,FALSE)+VLOOKUP($A52,main!$A$3:$I$56,4,FALSE)+(VLOOKUP(VLOOKUP(AF$1,main!$A$3:$I$56,8,FALSE),main!$K$19:$O$22,MATCH(VLOOKUP($A52,main!$A$3:$I$56,7,FALSE),main!$K$18:$O$18,0),0))),0)</f>
        <v>303</v>
      </c>
      <c r="AG52">
        <f>IF((gamma!AG52),IF(VLOOKUP(AG$1,main!$A$3:$I$56,7,FALSE)=VLOOKUP($A52,main!$A$3:$I$56,8,FALSE),VLOOKUP(AG$1,main!$A$3:$I$56,4,FALSE),VLOOKUP(AG$1,main!$A$3:$I$56,4,FALSE)+VLOOKUP($A52,main!$A$3:$I$56,4,FALSE)+(VLOOKUP(VLOOKUP(AG$1,main!$A$3:$I$56,8,FALSE),main!$K$19:$O$22,MATCH(VLOOKUP($A52,main!$A$3:$I$56,7,FALSE),main!$K$18:$O$18,0),0))),0)</f>
        <v>0</v>
      </c>
      <c r="AH52">
        <f>IF((gamma!AH52),IF(VLOOKUP(AH$1,main!$A$3:$I$56,7,FALSE)=VLOOKUP($A52,main!$A$3:$I$56,8,FALSE),VLOOKUP(AH$1,main!$A$3:$I$56,4,FALSE),VLOOKUP(AH$1,main!$A$3:$I$56,4,FALSE)+VLOOKUP($A52,main!$A$3:$I$56,4,FALSE)+(VLOOKUP(VLOOKUP(AH$1,main!$A$3:$I$56,8,FALSE),main!$K$19:$O$22,MATCH(VLOOKUP($A52,main!$A$3:$I$56,7,FALSE),main!$K$18:$O$18,0),0))),0)</f>
        <v>0</v>
      </c>
      <c r="AI52">
        <f>IF((gamma!AI52),IF(VLOOKUP(AI$1,main!$A$3:$I$56,7,FALSE)=VLOOKUP($A52,main!$A$3:$I$56,8,FALSE),VLOOKUP(AI$1,main!$A$3:$I$56,4,FALSE),VLOOKUP(AI$1,main!$A$3:$I$56,4,FALSE)+VLOOKUP($A52,main!$A$3:$I$56,4,FALSE)+(VLOOKUP(VLOOKUP(AI$1,main!$A$3:$I$56,8,FALSE),main!$K$19:$O$22,MATCH(VLOOKUP($A52,main!$A$3:$I$56,7,FALSE),main!$K$18:$O$18,0),0))),0)</f>
        <v>140</v>
      </c>
      <c r="AJ52">
        <f>IF((gamma!AJ52),IF(VLOOKUP(AJ$1,main!$A$3:$I$56,7,FALSE)=VLOOKUP($A52,main!$A$3:$I$56,8,FALSE),VLOOKUP(AJ$1,main!$A$3:$I$56,4,FALSE),VLOOKUP(AJ$1,main!$A$3:$I$56,4,FALSE)+VLOOKUP($A52,main!$A$3:$I$56,4,FALSE)+(VLOOKUP(VLOOKUP(AJ$1,main!$A$3:$I$56,8,FALSE),main!$K$19:$O$22,MATCH(VLOOKUP($A52,main!$A$3:$I$56,7,FALSE),main!$K$18:$O$18,0),0))),0)</f>
        <v>140</v>
      </c>
      <c r="AK52">
        <f>IF((gamma!AK52),IF(VLOOKUP(AK$1,main!$A$3:$I$56,7,FALSE)=VLOOKUP($A52,main!$A$3:$I$56,8,FALSE),VLOOKUP(AK$1,main!$A$3:$I$56,4,FALSE),VLOOKUP(AK$1,main!$A$3:$I$56,4,FALSE)+VLOOKUP($A52,main!$A$3:$I$56,4,FALSE)+(VLOOKUP(VLOOKUP(AK$1,main!$A$3:$I$56,8,FALSE),main!$K$19:$O$22,MATCH(VLOOKUP($A52,main!$A$3:$I$56,7,FALSE),main!$K$18:$O$18,0),0))),0)</f>
        <v>140</v>
      </c>
      <c r="AL52">
        <f>IF((gamma!AL52),IF(VLOOKUP(AL$1,main!$A$3:$I$56,7,FALSE)=VLOOKUP($A52,main!$A$3:$I$56,8,FALSE),VLOOKUP(AL$1,main!$A$3:$I$56,4,FALSE),VLOOKUP(AL$1,main!$A$3:$I$56,4,FALSE)+VLOOKUP($A52,main!$A$3:$I$56,4,FALSE)+(VLOOKUP(VLOOKUP(AL$1,main!$A$3:$I$56,8,FALSE),main!$K$19:$O$22,MATCH(VLOOKUP($A52,main!$A$3:$I$56,7,FALSE),main!$K$18:$O$18,0),0))),0)</f>
        <v>0</v>
      </c>
      <c r="AM52">
        <f>IF((gamma!AM52),IF(VLOOKUP(AM$1,main!$A$3:$I$56,7,FALSE)=VLOOKUP($A52,main!$A$3:$I$56,8,FALSE),VLOOKUP(AM$1,main!$A$3:$I$56,4,FALSE),VLOOKUP(AM$1,main!$A$3:$I$56,4,FALSE)+VLOOKUP($A52,main!$A$3:$I$56,4,FALSE)+(VLOOKUP(VLOOKUP(AM$1,main!$A$3:$I$56,8,FALSE),main!$K$19:$O$22,MATCH(VLOOKUP($A52,main!$A$3:$I$56,7,FALSE),main!$K$18:$O$18,0),0))),0)</f>
        <v>0</v>
      </c>
      <c r="AN52">
        <f>IF((gamma!AN52),IF(VLOOKUP(AN$1,main!$A$3:$I$56,7,FALSE)=VLOOKUP($A52,main!$A$3:$I$56,8,FALSE),VLOOKUP(AN$1,main!$A$3:$I$56,4,FALSE),VLOOKUP(AN$1,main!$A$3:$I$56,4,FALSE)+VLOOKUP($A52,main!$A$3:$I$56,4,FALSE)+(VLOOKUP(VLOOKUP(AN$1,main!$A$3:$I$56,8,FALSE),main!$K$19:$O$22,MATCH(VLOOKUP($A52,main!$A$3:$I$56,7,FALSE),main!$K$18:$O$18,0),0))),0)</f>
        <v>120</v>
      </c>
      <c r="AO52">
        <f>IF((gamma!AO52),IF(VLOOKUP(AO$1,main!$A$3:$I$56,7,FALSE)=VLOOKUP($A52,main!$A$3:$I$56,8,FALSE),VLOOKUP(AO$1,main!$A$3:$I$56,4,FALSE),VLOOKUP(AO$1,main!$A$3:$I$56,4,FALSE)+VLOOKUP($A52,main!$A$3:$I$56,4,FALSE)+(VLOOKUP(VLOOKUP(AO$1,main!$A$3:$I$56,8,FALSE),main!$K$19:$O$22,MATCH(VLOOKUP($A52,main!$A$3:$I$56,7,FALSE),main!$K$18:$O$18,0),0))),0)</f>
        <v>130</v>
      </c>
      <c r="AP52">
        <f>IF((gamma!AP52),IF(VLOOKUP(AP$1,main!$A$3:$I$56,7,FALSE)=VLOOKUP($A52,main!$A$3:$I$56,8,FALSE),VLOOKUP(AP$1,main!$A$3:$I$56,4,FALSE),VLOOKUP(AP$1,main!$A$3:$I$56,4,FALSE)+VLOOKUP($A52,main!$A$3:$I$56,4,FALSE)+(VLOOKUP(VLOOKUP(AP$1,main!$A$3:$I$56,8,FALSE),main!$K$19:$O$22,MATCH(VLOOKUP($A52,main!$A$3:$I$56,7,FALSE),main!$K$18:$O$18,0),0))),0)</f>
        <v>0</v>
      </c>
      <c r="AQ52">
        <f>IF((gamma!AQ52),IF(VLOOKUP(AQ$1,main!$A$3:$I$56,7,FALSE)=VLOOKUP($A52,main!$A$3:$I$56,8,FALSE),VLOOKUP(AQ$1,main!$A$3:$I$56,4,FALSE),VLOOKUP(AQ$1,main!$A$3:$I$56,4,FALSE)+VLOOKUP($A52,main!$A$3:$I$56,4,FALSE)+(VLOOKUP(VLOOKUP(AQ$1,main!$A$3:$I$56,8,FALSE),main!$K$19:$O$22,MATCH(VLOOKUP($A52,main!$A$3:$I$56,7,FALSE),main!$K$18:$O$18,0),0))),0)</f>
        <v>0</v>
      </c>
      <c r="AR52">
        <f>IF((gamma!AR52),IF(VLOOKUP(AR$1,main!$A$3:$I$56,7,FALSE)=VLOOKUP($A52,main!$A$3:$I$56,8,FALSE),VLOOKUP(AR$1,main!$A$3:$I$56,4,FALSE),VLOOKUP(AR$1,main!$A$3:$I$56,4,FALSE)+VLOOKUP($A52,main!$A$3:$I$56,4,FALSE)+(VLOOKUP(VLOOKUP(AR$1,main!$A$3:$I$56,8,FALSE),main!$K$19:$O$22,MATCH(VLOOKUP($A52,main!$A$3:$I$56,7,FALSE),main!$K$18:$O$18,0),0))),0)</f>
        <v>0</v>
      </c>
      <c r="AS52">
        <f>IF((gamma!AS52),IF(VLOOKUP(AS$1,main!$A$3:$I$56,7,FALSE)=VLOOKUP($A52,main!$A$3:$I$56,8,FALSE),VLOOKUP(AS$1,main!$A$3:$I$56,4,FALSE),VLOOKUP(AS$1,main!$A$3:$I$56,4,FALSE)+VLOOKUP($A52,main!$A$3:$I$56,4,FALSE)+(VLOOKUP(VLOOKUP(AS$1,main!$A$3:$I$56,8,FALSE),main!$K$19:$O$22,MATCH(VLOOKUP($A52,main!$A$3:$I$56,7,FALSE),main!$K$18:$O$18,0),0))),0)</f>
        <v>135</v>
      </c>
      <c r="AT52">
        <f>IF((gamma!AT52),IF(VLOOKUP(AT$1,main!$A$3:$I$56,7,FALSE)=VLOOKUP($A52,main!$A$3:$I$56,8,FALSE),VLOOKUP(AT$1,main!$A$3:$I$56,4,FALSE),VLOOKUP(AT$1,main!$A$3:$I$56,4,FALSE)+VLOOKUP($A52,main!$A$3:$I$56,4,FALSE)+(VLOOKUP(VLOOKUP(AT$1,main!$A$3:$I$56,8,FALSE),main!$K$19:$O$22,MATCH(VLOOKUP($A52,main!$A$3:$I$56,7,FALSE),main!$K$18:$O$18,0),0))),0)</f>
        <v>120</v>
      </c>
      <c r="AU52">
        <f>IF((gamma!AU52),IF(VLOOKUP(AU$1,main!$A$3:$I$56,7,FALSE)=VLOOKUP($A52,main!$A$3:$I$56,8,FALSE),VLOOKUP(AU$1,main!$A$3:$I$56,4,FALSE),VLOOKUP(AU$1,main!$A$3:$I$56,4,FALSE)+VLOOKUP($A52,main!$A$3:$I$56,4,FALSE)+(VLOOKUP(VLOOKUP(AU$1,main!$A$3:$I$56,8,FALSE),main!$K$19:$O$22,MATCH(VLOOKUP($A52,main!$A$3:$I$56,7,FALSE),main!$K$18:$O$18,0),0))),0)</f>
        <v>0</v>
      </c>
      <c r="AV52">
        <f>IF((gamma!AV52),IF(VLOOKUP(AV$1,main!$A$3:$I$56,7,FALSE)=VLOOKUP($A52,main!$A$3:$I$56,8,FALSE),VLOOKUP(AV$1,main!$A$3:$I$56,4,FALSE),VLOOKUP(AV$1,main!$A$3:$I$56,4,FALSE)+VLOOKUP($A52,main!$A$3:$I$56,4,FALSE)+(VLOOKUP(VLOOKUP(AV$1,main!$A$3:$I$56,8,FALSE),main!$K$19:$O$22,MATCH(VLOOKUP($A52,main!$A$3:$I$56,7,FALSE),main!$K$18:$O$18,0),0))),0)</f>
        <v>0</v>
      </c>
      <c r="AW52">
        <f>IF((gamma!AW52),IF(VLOOKUP(AW$1,main!$A$3:$I$56,7,FALSE)=VLOOKUP($A52,main!$A$3:$I$56,8,FALSE),VLOOKUP(AW$1,main!$A$3:$I$56,4,FALSE),VLOOKUP(AW$1,main!$A$3:$I$56,4,FALSE)+VLOOKUP($A52,main!$A$3:$I$56,4,FALSE)+(VLOOKUP(VLOOKUP(AW$1,main!$A$3:$I$56,8,FALSE),main!$K$19:$O$22,MATCH(VLOOKUP($A52,main!$A$3:$I$56,7,FALSE),main!$K$18:$O$18,0),0))),0)</f>
        <v>315</v>
      </c>
      <c r="AX52">
        <f>IF((gamma!AX52),IF(VLOOKUP(AX$1,main!$A$3:$I$56,7,FALSE)=VLOOKUP($A52,main!$A$3:$I$56,8,FALSE),VLOOKUP(AX$1,main!$A$3:$I$56,4,FALSE),VLOOKUP(AX$1,main!$A$3:$I$56,4,FALSE)+VLOOKUP($A52,main!$A$3:$I$56,4,FALSE)+(VLOOKUP(VLOOKUP(AX$1,main!$A$3:$I$56,8,FALSE),main!$K$19:$O$22,MATCH(VLOOKUP($A52,main!$A$3:$I$56,7,FALSE),main!$K$18:$O$18,0),0))),0)</f>
        <v>315</v>
      </c>
      <c r="AY52">
        <f>IF((gamma!AY52),IF(VLOOKUP(AY$1,main!$A$3:$I$56,7,FALSE)=VLOOKUP($A52,main!$A$3:$I$56,8,FALSE),VLOOKUP(AY$1,main!$A$3:$I$56,4,FALSE),VLOOKUP(AY$1,main!$A$3:$I$56,4,FALSE)+VLOOKUP($A52,main!$A$3:$I$56,4,FALSE)+(VLOOKUP(VLOOKUP(AY$1,main!$A$3:$I$56,8,FALSE),main!$K$19:$O$22,MATCH(VLOOKUP($A52,main!$A$3:$I$56,7,FALSE),main!$K$18:$O$18,0),0))),0)</f>
        <v>315</v>
      </c>
      <c r="AZ52">
        <f>IF((gamma!AZ52),IF(VLOOKUP(AZ$1,main!$A$3:$I$56,7,FALSE)=VLOOKUP($A52,main!$A$3:$I$56,8,FALSE),VLOOKUP(AZ$1,main!$A$3:$I$56,4,FALSE),VLOOKUP(AZ$1,main!$A$3:$I$56,4,FALSE)+VLOOKUP($A52,main!$A$3:$I$56,4,FALSE)+(VLOOKUP(VLOOKUP(AZ$1,main!$A$3:$I$56,8,FALSE),main!$K$19:$O$22,MATCH(VLOOKUP($A52,main!$A$3:$I$56,7,FALSE),main!$K$18:$O$18,0),0))),0)</f>
        <v>0</v>
      </c>
      <c r="BA52">
        <f>IF((gamma!BA52),IF(VLOOKUP(BA$1,main!$A$3:$I$56,7,FALSE)=VLOOKUP($A52,main!$A$3:$I$56,8,FALSE),VLOOKUP(BA$1,main!$A$3:$I$56,4,FALSE),VLOOKUP(BA$1,main!$A$3:$I$56,4,FALSE)+VLOOKUP($A52,main!$A$3:$I$56,4,FALSE)+(VLOOKUP(VLOOKUP(BA$1,main!$A$3:$I$56,8,FALSE),main!$K$19:$O$22,MATCH(VLOOKUP($A52,main!$A$3:$I$56,7,FALSE),main!$K$18:$O$18,0),0))),0)</f>
        <v>0</v>
      </c>
      <c r="BB52">
        <f>IF((gamma!BB52),IF(VLOOKUP(BB$1,main!$A$3:$I$56,7,FALSE)=VLOOKUP($A52,main!$A$3:$I$56,8,FALSE),VLOOKUP(BB$1,main!$A$3:$I$56,4,FALSE),VLOOKUP(BB$1,main!$A$3:$I$56,4,FALSE)+VLOOKUP($A52,main!$A$3:$I$56,4,FALSE)+(VLOOKUP(VLOOKUP(BB$1,main!$A$3:$I$56,8,FALSE),main!$K$19:$O$22,MATCH(VLOOKUP($A52,main!$A$3:$I$56,7,FALSE),main!$K$18:$O$18,0),0))),0)</f>
        <v>0</v>
      </c>
      <c r="BC52">
        <f>IF((gamma!BC52),IF(VLOOKUP(BC$1,main!$A$3:$I$56,7,FALSE)=VLOOKUP($A52,main!$A$3:$I$56,8,FALSE),VLOOKUP(BC$1,main!$A$3:$I$56,4,FALSE),VLOOKUP(BC$1,main!$A$3:$I$56,4,FALSE)+VLOOKUP($A52,main!$A$3:$I$56,4,FALSE)+(VLOOKUP(VLOOKUP(BC$1,main!$A$3:$I$56,8,FALSE),main!$K$19:$O$22,MATCH(VLOOKUP($A52,main!$A$3:$I$56,7,FALSE),main!$K$18:$O$18,0),0))),0)</f>
        <v>308</v>
      </c>
      <c r="BD52">
        <f>IF((gamma!BD52),IF(VLOOKUP(BD$1,main!$A$3:$I$56,7,FALSE)=VLOOKUP($A52,main!$A$3:$I$56,8,FALSE),VLOOKUP(BD$1,main!$A$3:$I$56,4,FALSE),VLOOKUP(BD$1,main!$A$3:$I$56,4,FALSE)+VLOOKUP($A52,main!$A$3:$I$56,4,FALSE)+(VLOOKUP(VLOOKUP(BD$1,main!$A$3:$I$56,8,FALSE),main!$K$19:$O$22,MATCH(VLOOKUP($A52,main!$A$3:$I$56,7,FALSE),main!$K$18:$O$18,0),0))),0)</f>
        <v>308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>
        <f t="shared" si="0"/>
        <v>51</v>
      </c>
      <c r="B53">
        <v>0</v>
      </c>
      <c r="C53">
        <f>IF((gamma!C53),IF(VLOOKUP(C$1,main!$A$3:$I$56,7,FALSE)=VLOOKUP($A53,main!$A$3:$I$56,8,FALSE),VLOOKUP(C$1,main!$A$3:$I$56,4,FALSE),VLOOKUP(C$1,main!$A$3:$I$56,4,FALSE)+VLOOKUP($A53,main!$A$3:$I$56,4,FALSE)+(VLOOKUP(VLOOKUP(C$1,main!$A$3:$I$56,8,FALSE),main!$K$19:$O$22,MATCH(VLOOKUP($A53,main!$A$3:$I$56,7,FALSE),main!$K$18:$O$18,0),0))),0)</f>
        <v>0</v>
      </c>
      <c r="D53">
        <f>IF((gamma!D53),IF(VLOOKUP(D$1,main!$A$3:$I$56,7,FALSE)=VLOOKUP($A53,main!$A$3:$I$56,8,FALSE),VLOOKUP(D$1,main!$A$3:$I$56,4,FALSE),VLOOKUP(D$1,main!$A$3:$I$56,4,FALSE)+VLOOKUP($A53,main!$A$3:$I$56,4,FALSE)+(VLOOKUP(VLOOKUP(D$1,main!$A$3:$I$56,8,FALSE),main!$K$19:$O$22,MATCH(VLOOKUP($A53,main!$A$3:$I$56,7,FALSE),main!$K$18:$O$18,0),0))),0)</f>
        <v>0</v>
      </c>
      <c r="E53">
        <f>IF((gamma!E53),IF(VLOOKUP(E$1,main!$A$3:$I$56,7,FALSE)=VLOOKUP($A53,main!$A$3:$I$56,8,FALSE),VLOOKUP(E$1,main!$A$3:$I$56,4,FALSE),VLOOKUP(E$1,main!$A$3:$I$56,4,FALSE)+VLOOKUP($A53,main!$A$3:$I$56,4,FALSE)+(VLOOKUP(VLOOKUP(E$1,main!$A$3:$I$56,8,FALSE),main!$K$19:$O$22,MATCH(VLOOKUP($A53,main!$A$3:$I$56,7,FALSE),main!$K$18:$O$18,0),0))),0)</f>
        <v>0</v>
      </c>
      <c r="F53">
        <f>IF((gamma!F53),IF(VLOOKUP(F$1,main!$A$3:$I$56,7,FALSE)=VLOOKUP($A53,main!$A$3:$I$56,8,FALSE),VLOOKUP(F$1,main!$A$3:$I$56,4,FALSE),VLOOKUP(F$1,main!$A$3:$I$56,4,FALSE)+VLOOKUP($A53,main!$A$3:$I$56,4,FALSE)+(VLOOKUP(VLOOKUP(F$1,main!$A$3:$I$56,8,FALSE),main!$K$19:$O$22,MATCH(VLOOKUP($A53,main!$A$3:$I$56,7,FALSE),main!$K$18:$O$18,0),0))),0)</f>
        <v>0</v>
      </c>
      <c r="G53">
        <f>IF((gamma!G53),IF(VLOOKUP(G$1,main!$A$3:$I$56,7,FALSE)=VLOOKUP($A53,main!$A$3:$I$56,8,FALSE),VLOOKUP(G$1,main!$A$3:$I$56,4,FALSE),VLOOKUP(G$1,main!$A$3:$I$56,4,FALSE)+VLOOKUP($A53,main!$A$3:$I$56,4,FALSE)+(VLOOKUP(VLOOKUP(G$1,main!$A$3:$I$56,8,FALSE),main!$K$19:$O$22,MATCH(VLOOKUP($A53,main!$A$3:$I$56,7,FALSE),main!$K$18:$O$18,0),0))),0)</f>
        <v>295</v>
      </c>
      <c r="H53">
        <f>IF((gamma!H53),IF(VLOOKUP(H$1,main!$A$3:$I$56,7,FALSE)=VLOOKUP($A53,main!$A$3:$I$56,8,FALSE),VLOOKUP(H$1,main!$A$3:$I$56,4,FALSE),VLOOKUP(H$1,main!$A$3:$I$56,4,FALSE)+VLOOKUP($A53,main!$A$3:$I$56,4,FALSE)+(VLOOKUP(VLOOKUP(H$1,main!$A$3:$I$56,8,FALSE),main!$K$19:$O$22,MATCH(VLOOKUP($A53,main!$A$3:$I$56,7,FALSE),main!$K$18:$O$18,0),0))),0)</f>
        <v>295</v>
      </c>
      <c r="I53">
        <f>IF((gamma!I53),IF(VLOOKUP(I$1,main!$A$3:$I$56,7,FALSE)=VLOOKUP($A53,main!$A$3:$I$56,8,FALSE),VLOOKUP(I$1,main!$A$3:$I$56,4,FALSE),VLOOKUP(I$1,main!$A$3:$I$56,4,FALSE)+VLOOKUP($A53,main!$A$3:$I$56,4,FALSE)+(VLOOKUP(VLOOKUP(I$1,main!$A$3:$I$56,8,FALSE),main!$K$19:$O$22,MATCH(VLOOKUP($A53,main!$A$3:$I$56,7,FALSE),main!$K$18:$O$18,0),0))),0)</f>
        <v>295</v>
      </c>
      <c r="J53">
        <f>IF((gamma!J53),IF(VLOOKUP(J$1,main!$A$3:$I$56,7,FALSE)=VLOOKUP($A53,main!$A$3:$I$56,8,FALSE),VLOOKUP(J$1,main!$A$3:$I$56,4,FALSE),VLOOKUP(J$1,main!$A$3:$I$56,4,FALSE)+VLOOKUP($A53,main!$A$3:$I$56,4,FALSE)+(VLOOKUP(VLOOKUP(J$1,main!$A$3:$I$56,8,FALSE),main!$K$19:$O$22,MATCH(VLOOKUP($A53,main!$A$3:$I$56,7,FALSE),main!$K$18:$O$18,0),0))),0)</f>
        <v>295</v>
      </c>
      <c r="K53">
        <f>IF((gamma!K53),IF(VLOOKUP(K$1,main!$A$3:$I$56,7,FALSE)=VLOOKUP($A53,main!$A$3:$I$56,8,FALSE),VLOOKUP(K$1,main!$A$3:$I$56,4,FALSE),VLOOKUP(K$1,main!$A$3:$I$56,4,FALSE)+VLOOKUP($A53,main!$A$3:$I$56,4,FALSE)+(VLOOKUP(VLOOKUP(K$1,main!$A$3:$I$56,8,FALSE),main!$K$19:$O$22,MATCH(VLOOKUP($A53,main!$A$3:$I$56,7,FALSE),main!$K$18:$O$18,0),0))),0)</f>
        <v>0</v>
      </c>
      <c r="L53">
        <f>IF((gamma!L53),IF(VLOOKUP(L$1,main!$A$3:$I$56,7,FALSE)=VLOOKUP($A53,main!$A$3:$I$56,8,FALSE),VLOOKUP(L$1,main!$A$3:$I$56,4,FALSE),VLOOKUP(L$1,main!$A$3:$I$56,4,FALSE)+VLOOKUP($A53,main!$A$3:$I$56,4,FALSE)+(VLOOKUP(VLOOKUP(L$1,main!$A$3:$I$56,8,FALSE),main!$K$19:$O$22,MATCH(VLOOKUP($A53,main!$A$3:$I$56,7,FALSE),main!$K$18:$O$18,0),0))),0)</f>
        <v>0</v>
      </c>
      <c r="M53">
        <f>IF((gamma!M53),IF(VLOOKUP(M$1,main!$A$3:$I$56,7,FALSE)=VLOOKUP($A53,main!$A$3:$I$56,8,FALSE),VLOOKUP(M$1,main!$A$3:$I$56,4,FALSE),VLOOKUP(M$1,main!$A$3:$I$56,4,FALSE)+VLOOKUP($A53,main!$A$3:$I$56,4,FALSE)+(VLOOKUP(VLOOKUP(M$1,main!$A$3:$I$56,8,FALSE),main!$K$19:$O$22,MATCH(VLOOKUP($A53,main!$A$3:$I$56,7,FALSE),main!$K$18:$O$18,0),0))),0)</f>
        <v>0</v>
      </c>
      <c r="N53">
        <f>IF((gamma!N53),IF(VLOOKUP(N$1,main!$A$3:$I$56,7,FALSE)=VLOOKUP($A53,main!$A$3:$I$56,8,FALSE),VLOOKUP(N$1,main!$A$3:$I$56,4,FALSE),VLOOKUP(N$1,main!$A$3:$I$56,4,FALSE)+VLOOKUP($A53,main!$A$3:$I$56,4,FALSE)+(VLOOKUP(VLOOKUP(N$1,main!$A$3:$I$56,8,FALSE),main!$K$19:$O$22,MATCH(VLOOKUP($A53,main!$A$3:$I$56,7,FALSE),main!$K$18:$O$18,0),0))),0)</f>
        <v>293</v>
      </c>
      <c r="O53">
        <f>IF((gamma!O53),IF(VLOOKUP(O$1,main!$A$3:$I$56,7,FALSE)=VLOOKUP($A53,main!$A$3:$I$56,8,FALSE),VLOOKUP(O$1,main!$A$3:$I$56,4,FALSE),VLOOKUP(O$1,main!$A$3:$I$56,4,FALSE)+VLOOKUP($A53,main!$A$3:$I$56,4,FALSE)+(VLOOKUP(VLOOKUP(O$1,main!$A$3:$I$56,8,FALSE),main!$K$19:$O$22,MATCH(VLOOKUP($A53,main!$A$3:$I$56,7,FALSE),main!$K$18:$O$18,0),0))),0)</f>
        <v>293</v>
      </c>
      <c r="P53">
        <f>IF((gamma!P53),IF(VLOOKUP(P$1,main!$A$3:$I$56,7,FALSE)=VLOOKUP($A53,main!$A$3:$I$56,8,FALSE),VLOOKUP(P$1,main!$A$3:$I$56,4,FALSE),VLOOKUP(P$1,main!$A$3:$I$56,4,FALSE)+VLOOKUP($A53,main!$A$3:$I$56,4,FALSE)+(VLOOKUP(VLOOKUP(P$1,main!$A$3:$I$56,8,FALSE),main!$K$19:$O$22,MATCH(VLOOKUP($A53,main!$A$3:$I$56,7,FALSE),main!$K$18:$O$18,0),0))),0)</f>
        <v>0</v>
      </c>
      <c r="Q53">
        <f>IF((gamma!Q53),IF(VLOOKUP(Q$1,main!$A$3:$I$56,7,FALSE)=VLOOKUP($A53,main!$A$3:$I$56,8,FALSE),VLOOKUP(Q$1,main!$A$3:$I$56,4,FALSE),VLOOKUP(Q$1,main!$A$3:$I$56,4,FALSE)+VLOOKUP($A53,main!$A$3:$I$56,4,FALSE)+(VLOOKUP(VLOOKUP(Q$1,main!$A$3:$I$56,8,FALSE),main!$K$19:$O$22,MATCH(VLOOKUP($A53,main!$A$3:$I$56,7,FALSE),main!$K$18:$O$18,0),0))),0)</f>
        <v>0</v>
      </c>
      <c r="R53">
        <f>IF((gamma!R53),IF(VLOOKUP(R$1,main!$A$3:$I$56,7,FALSE)=VLOOKUP($A53,main!$A$3:$I$56,8,FALSE),VLOOKUP(R$1,main!$A$3:$I$56,4,FALSE),VLOOKUP(R$1,main!$A$3:$I$56,4,FALSE)+VLOOKUP($A53,main!$A$3:$I$56,4,FALSE)+(VLOOKUP(VLOOKUP(R$1,main!$A$3:$I$56,8,FALSE),main!$K$19:$O$22,MATCH(VLOOKUP($A53,main!$A$3:$I$56,7,FALSE),main!$K$18:$O$18,0),0))),0)</f>
        <v>0</v>
      </c>
      <c r="S53">
        <f>IF((gamma!S53),IF(VLOOKUP(S$1,main!$A$3:$I$56,7,FALSE)=VLOOKUP($A53,main!$A$3:$I$56,8,FALSE),VLOOKUP(S$1,main!$A$3:$I$56,4,FALSE),VLOOKUP(S$1,main!$A$3:$I$56,4,FALSE)+VLOOKUP($A53,main!$A$3:$I$56,4,FALSE)+(VLOOKUP(VLOOKUP(S$1,main!$A$3:$I$56,8,FALSE),main!$K$19:$O$22,MATCH(VLOOKUP($A53,main!$A$3:$I$56,7,FALSE),main!$K$18:$O$18,0),0))),0)</f>
        <v>260</v>
      </c>
      <c r="T53">
        <f>IF((gamma!T53),IF(VLOOKUP(T$1,main!$A$3:$I$56,7,FALSE)=VLOOKUP($A53,main!$A$3:$I$56,8,FALSE),VLOOKUP(T$1,main!$A$3:$I$56,4,FALSE),VLOOKUP(T$1,main!$A$3:$I$56,4,FALSE)+VLOOKUP($A53,main!$A$3:$I$56,4,FALSE)+(VLOOKUP(VLOOKUP(T$1,main!$A$3:$I$56,8,FALSE),main!$K$19:$O$22,MATCH(VLOOKUP($A53,main!$A$3:$I$56,7,FALSE),main!$K$18:$O$18,0),0))),0)</f>
        <v>260</v>
      </c>
      <c r="U53">
        <f>IF((gamma!U53),IF(VLOOKUP(U$1,main!$A$3:$I$56,7,FALSE)=VLOOKUP($A53,main!$A$3:$I$56,8,FALSE),VLOOKUP(U$1,main!$A$3:$I$56,4,FALSE),VLOOKUP(U$1,main!$A$3:$I$56,4,FALSE)+VLOOKUP($A53,main!$A$3:$I$56,4,FALSE)+(VLOOKUP(VLOOKUP(U$1,main!$A$3:$I$56,8,FALSE),main!$K$19:$O$22,MATCH(VLOOKUP($A53,main!$A$3:$I$56,7,FALSE),main!$K$18:$O$18,0),0))),0)</f>
        <v>0</v>
      </c>
      <c r="V53">
        <f>IF((gamma!V53),IF(VLOOKUP(V$1,main!$A$3:$I$56,7,FALSE)=VLOOKUP($A53,main!$A$3:$I$56,8,FALSE),VLOOKUP(V$1,main!$A$3:$I$56,4,FALSE),VLOOKUP(V$1,main!$A$3:$I$56,4,FALSE)+VLOOKUP($A53,main!$A$3:$I$56,4,FALSE)+(VLOOKUP(VLOOKUP(V$1,main!$A$3:$I$56,8,FALSE),main!$K$19:$O$22,MATCH(VLOOKUP($A53,main!$A$3:$I$56,7,FALSE),main!$K$18:$O$18,0),0))),0)</f>
        <v>0</v>
      </c>
      <c r="W53">
        <f>IF((gamma!W53),IF(VLOOKUP(W$1,main!$A$3:$I$56,7,FALSE)=VLOOKUP($A53,main!$A$3:$I$56,8,FALSE),VLOOKUP(W$1,main!$A$3:$I$56,4,FALSE),VLOOKUP(W$1,main!$A$3:$I$56,4,FALSE)+VLOOKUP($A53,main!$A$3:$I$56,4,FALSE)+(VLOOKUP(VLOOKUP(W$1,main!$A$3:$I$56,8,FALSE),main!$K$19:$O$22,MATCH(VLOOKUP($A53,main!$A$3:$I$56,7,FALSE),main!$K$18:$O$18,0),0))),0)</f>
        <v>0</v>
      </c>
      <c r="X53">
        <f>IF((gamma!X53),IF(VLOOKUP(X$1,main!$A$3:$I$56,7,FALSE)=VLOOKUP($A53,main!$A$3:$I$56,8,FALSE),VLOOKUP(X$1,main!$A$3:$I$56,4,FALSE),VLOOKUP(X$1,main!$A$3:$I$56,4,FALSE)+VLOOKUP($A53,main!$A$3:$I$56,4,FALSE)+(VLOOKUP(VLOOKUP(X$1,main!$A$3:$I$56,8,FALSE),main!$K$19:$O$22,MATCH(VLOOKUP($A53,main!$A$3:$I$56,7,FALSE),main!$K$18:$O$18,0),0))),0)</f>
        <v>0</v>
      </c>
      <c r="Y53">
        <f>IF((gamma!Y53),IF(VLOOKUP(Y$1,main!$A$3:$I$56,7,FALSE)=VLOOKUP($A53,main!$A$3:$I$56,8,FALSE),VLOOKUP(Y$1,main!$A$3:$I$56,4,FALSE),VLOOKUP(Y$1,main!$A$3:$I$56,4,FALSE)+VLOOKUP($A53,main!$A$3:$I$56,4,FALSE)+(VLOOKUP(VLOOKUP(Y$1,main!$A$3:$I$56,8,FALSE),main!$K$19:$O$22,MATCH(VLOOKUP($A53,main!$A$3:$I$56,7,FALSE),main!$K$18:$O$18,0),0))),0)</f>
        <v>0</v>
      </c>
      <c r="Z53">
        <f>IF((gamma!Z53),IF(VLOOKUP(Z$1,main!$A$3:$I$56,7,FALSE)=VLOOKUP($A53,main!$A$3:$I$56,8,FALSE),VLOOKUP(Z$1,main!$A$3:$I$56,4,FALSE),VLOOKUP(Z$1,main!$A$3:$I$56,4,FALSE)+VLOOKUP($A53,main!$A$3:$I$56,4,FALSE)+(VLOOKUP(VLOOKUP(Z$1,main!$A$3:$I$56,8,FALSE),main!$K$19:$O$22,MATCH(VLOOKUP($A53,main!$A$3:$I$56,7,FALSE),main!$K$18:$O$18,0),0))),0)</f>
        <v>290</v>
      </c>
      <c r="AA53">
        <f>IF((gamma!AA53),IF(VLOOKUP(AA$1,main!$A$3:$I$56,7,FALSE)=VLOOKUP($A53,main!$A$3:$I$56,8,FALSE),VLOOKUP(AA$1,main!$A$3:$I$56,4,FALSE),VLOOKUP(AA$1,main!$A$3:$I$56,4,FALSE)+VLOOKUP($A53,main!$A$3:$I$56,4,FALSE)+(VLOOKUP(VLOOKUP(AA$1,main!$A$3:$I$56,8,FALSE),main!$K$19:$O$22,MATCH(VLOOKUP($A53,main!$A$3:$I$56,7,FALSE),main!$K$18:$O$18,0),0))),0)</f>
        <v>290</v>
      </c>
      <c r="AB53">
        <f>IF((gamma!AB53),IF(VLOOKUP(AB$1,main!$A$3:$I$56,7,FALSE)=VLOOKUP($A53,main!$A$3:$I$56,8,FALSE),VLOOKUP(AB$1,main!$A$3:$I$56,4,FALSE),VLOOKUP(AB$1,main!$A$3:$I$56,4,FALSE)+VLOOKUP($A53,main!$A$3:$I$56,4,FALSE)+(VLOOKUP(VLOOKUP(AB$1,main!$A$3:$I$56,8,FALSE),main!$K$19:$O$22,MATCH(VLOOKUP($A53,main!$A$3:$I$56,7,FALSE),main!$K$18:$O$18,0),0))),0)</f>
        <v>290</v>
      </c>
      <c r="AC53">
        <f>IF((gamma!AC53),IF(VLOOKUP(AC$1,main!$A$3:$I$56,7,FALSE)=VLOOKUP($A53,main!$A$3:$I$56,8,FALSE),VLOOKUP(AC$1,main!$A$3:$I$56,4,FALSE),VLOOKUP(AC$1,main!$A$3:$I$56,4,FALSE)+VLOOKUP($A53,main!$A$3:$I$56,4,FALSE)+(VLOOKUP(VLOOKUP(AC$1,main!$A$3:$I$56,8,FALSE),main!$K$19:$O$22,MATCH(VLOOKUP($A53,main!$A$3:$I$56,7,FALSE),main!$K$18:$O$18,0),0))),0)</f>
        <v>0</v>
      </c>
      <c r="AD53">
        <f>IF((gamma!AD53),IF(VLOOKUP(AD$1,main!$A$3:$I$56,7,FALSE)=VLOOKUP($A53,main!$A$3:$I$56,8,FALSE),VLOOKUP(AD$1,main!$A$3:$I$56,4,FALSE),VLOOKUP(AD$1,main!$A$3:$I$56,4,FALSE)+VLOOKUP($A53,main!$A$3:$I$56,4,FALSE)+(VLOOKUP(VLOOKUP(AD$1,main!$A$3:$I$56,8,FALSE),main!$K$19:$O$22,MATCH(VLOOKUP($A53,main!$A$3:$I$56,7,FALSE),main!$K$18:$O$18,0),0))),0)</f>
        <v>0</v>
      </c>
      <c r="AE53">
        <f>IF((gamma!AE53),IF(VLOOKUP(AE$1,main!$A$3:$I$56,7,FALSE)=VLOOKUP($A53,main!$A$3:$I$56,8,FALSE),VLOOKUP(AE$1,main!$A$3:$I$56,4,FALSE),VLOOKUP(AE$1,main!$A$3:$I$56,4,FALSE)+VLOOKUP($A53,main!$A$3:$I$56,4,FALSE)+(VLOOKUP(VLOOKUP(AE$1,main!$A$3:$I$56,8,FALSE),main!$K$19:$O$22,MATCH(VLOOKUP($A53,main!$A$3:$I$56,7,FALSE),main!$K$18:$O$18,0),0))),0)</f>
        <v>0</v>
      </c>
      <c r="AF53">
        <f>IF((gamma!AF53),IF(VLOOKUP(AF$1,main!$A$3:$I$56,7,FALSE)=VLOOKUP($A53,main!$A$3:$I$56,8,FALSE),VLOOKUP(AF$1,main!$A$3:$I$56,4,FALSE),VLOOKUP(AF$1,main!$A$3:$I$56,4,FALSE)+VLOOKUP($A53,main!$A$3:$I$56,4,FALSE)+(VLOOKUP(VLOOKUP(AF$1,main!$A$3:$I$56,8,FALSE),main!$K$19:$O$22,MATCH(VLOOKUP($A53,main!$A$3:$I$56,7,FALSE),main!$K$18:$O$18,0),0))),0)</f>
        <v>283</v>
      </c>
      <c r="AG53">
        <f>IF((gamma!AG53),IF(VLOOKUP(AG$1,main!$A$3:$I$56,7,FALSE)=VLOOKUP($A53,main!$A$3:$I$56,8,FALSE),VLOOKUP(AG$1,main!$A$3:$I$56,4,FALSE),VLOOKUP(AG$1,main!$A$3:$I$56,4,FALSE)+VLOOKUP($A53,main!$A$3:$I$56,4,FALSE)+(VLOOKUP(VLOOKUP(AG$1,main!$A$3:$I$56,8,FALSE),main!$K$19:$O$22,MATCH(VLOOKUP($A53,main!$A$3:$I$56,7,FALSE),main!$K$18:$O$18,0),0))),0)</f>
        <v>0</v>
      </c>
      <c r="AH53">
        <f>IF((gamma!AH53),IF(VLOOKUP(AH$1,main!$A$3:$I$56,7,FALSE)=VLOOKUP($A53,main!$A$3:$I$56,8,FALSE),VLOOKUP(AH$1,main!$A$3:$I$56,4,FALSE),VLOOKUP(AH$1,main!$A$3:$I$56,4,FALSE)+VLOOKUP($A53,main!$A$3:$I$56,4,FALSE)+(VLOOKUP(VLOOKUP(AH$1,main!$A$3:$I$56,8,FALSE),main!$K$19:$O$22,MATCH(VLOOKUP($A53,main!$A$3:$I$56,7,FALSE),main!$K$18:$O$18,0),0))),0)</f>
        <v>0</v>
      </c>
      <c r="AI53">
        <f>IF((gamma!AI53),IF(VLOOKUP(AI$1,main!$A$3:$I$56,7,FALSE)=VLOOKUP($A53,main!$A$3:$I$56,8,FALSE),VLOOKUP(AI$1,main!$A$3:$I$56,4,FALSE),VLOOKUP(AI$1,main!$A$3:$I$56,4,FALSE)+VLOOKUP($A53,main!$A$3:$I$56,4,FALSE)+(VLOOKUP(VLOOKUP(AI$1,main!$A$3:$I$56,8,FALSE),main!$K$19:$O$22,MATCH(VLOOKUP($A53,main!$A$3:$I$56,7,FALSE),main!$K$18:$O$18,0),0))),0)</f>
        <v>0</v>
      </c>
      <c r="AJ53">
        <f>IF((gamma!AJ53),IF(VLOOKUP(AJ$1,main!$A$3:$I$56,7,FALSE)=VLOOKUP($A53,main!$A$3:$I$56,8,FALSE),VLOOKUP(AJ$1,main!$A$3:$I$56,4,FALSE),VLOOKUP(AJ$1,main!$A$3:$I$56,4,FALSE)+VLOOKUP($A53,main!$A$3:$I$56,4,FALSE)+(VLOOKUP(VLOOKUP(AJ$1,main!$A$3:$I$56,8,FALSE),main!$K$19:$O$22,MATCH(VLOOKUP($A53,main!$A$3:$I$56,7,FALSE),main!$K$18:$O$18,0),0))),0)</f>
        <v>140</v>
      </c>
      <c r="AK53">
        <f>IF((gamma!AK53),IF(VLOOKUP(AK$1,main!$A$3:$I$56,7,FALSE)=VLOOKUP($A53,main!$A$3:$I$56,8,FALSE),VLOOKUP(AK$1,main!$A$3:$I$56,4,FALSE),VLOOKUP(AK$1,main!$A$3:$I$56,4,FALSE)+VLOOKUP($A53,main!$A$3:$I$56,4,FALSE)+(VLOOKUP(VLOOKUP(AK$1,main!$A$3:$I$56,8,FALSE),main!$K$19:$O$22,MATCH(VLOOKUP($A53,main!$A$3:$I$56,7,FALSE),main!$K$18:$O$18,0),0))),0)</f>
        <v>140</v>
      </c>
      <c r="AL53">
        <f>IF((gamma!AL53),IF(VLOOKUP(AL$1,main!$A$3:$I$56,7,FALSE)=VLOOKUP($A53,main!$A$3:$I$56,8,FALSE),VLOOKUP(AL$1,main!$A$3:$I$56,4,FALSE),VLOOKUP(AL$1,main!$A$3:$I$56,4,FALSE)+VLOOKUP($A53,main!$A$3:$I$56,4,FALSE)+(VLOOKUP(VLOOKUP(AL$1,main!$A$3:$I$56,8,FALSE),main!$K$19:$O$22,MATCH(VLOOKUP($A53,main!$A$3:$I$56,7,FALSE),main!$K$18:$O$18,0),0))),0)</f>
        <v>0</v>
      </c>
      <c r="AM53">
        <f>IF((gamma!AM53),IF(VLOOKUP(AM$1,main!$A$3:$I$56,7,FALSE)=VLOOKUP($A53,main!$A$3:$I$56,8,FALSE),VLOOKUP(AM$1,main!$A$3:$I$56,4,FALSE),VLOOKUP(AM$1,main!$A$3:$I$56,4,FALSE)+VLOOKUP($A53,main!$A$3:$I$56,4,FALSE)+(VLOOKUP(VLOOKUP(AM$1,main!$A$3:$I$56,8,FALSE),main!$K$19:$O$22,MATCH(VLOOKUP($A53,main!$A$3:$I$56,7,FALSE),main!$K$18:$O$18,0),0))),0)</f>
        <v>0</v>
      </c>
      <c r="AN53">
        <f>IF((gamma!AN53),IF(VLOOKUP(AN$1,main!$A$3:$I$56,7,FALSE)=VLOOKUP($A53,main!$A$3:$I$56,8,FALSE),VLOOKUP(AN$1,main!$A$3:$I$56,4,FALSE),VLOOKUP(AN$1,main!$A$3:$I$56,4,FALSE)+VLOOKUP($A53,main!$A$3:$I$56,4,FALSE)+(VLOOKUP(VLOOKUP(AN$1,main!$A$3:$I$56,8,FALSE),main!$K$19:$O$22,MATCH(VLOOKUP($A53,main!$A$3:$I$56,7,FALSE),main!$K$18:$O$18,0),0))),0)</f>
        <v>120</v>
      </c>
      <c r="AO53">
        <f>IF((gamma!AO53),IF(VLOOKUP(AO$1,main!$A$3:$I$56,7,FALSE)=VLOOKUP($A53,main!$A$3:$I$56,8,FALSE),VLOOKUP(AO$1,main!$A$3:$I$56,4,FALSE),VLOOKUP(AO$1,main!$A$3:$I$56,4,FALSE)+VLOOKUP($A53,main!$A$3:$I$56,4,FALSE)+(VLOOKUP(VLOOKUP(AO$1,main!$A$3:$I$56,8,FALSE),main!$K$19:$O$22,MATCH(VLOOKUP($A53,main!$A$3:$I$56,7,FALSE),main!$K$18:$O$18,0),0))),0)</f>
        <v>130</v>
      </c>
      <c r="AP53">
        <f>IF((gamma!AP53),IF(VLOOKUP(AP$1,main!$A$3:$I$56,7,FALSE)=VLOOKUP($A53,main!$A$3:$I$56,8,FALSE),VLOOKUP(AP$1,main!$A$3:$I$56,4,FALSE),VLOOKUP(AP$1,main!$A$3:$I$56,4,FALSE)+VLOOKUP($A53,main!$A$3:$I$56,4,FALSE)+(VLOOKUP(VLOOKUP(AP$1,main!$A$3:$I$56,8,FALSE),main!$K$19:$O$22,MATCH(VLOOKUP($A53,main!$A$3:$I$56,7,FALSE),main!$K$18:$O$18,0),0))),0)</f>
        <v>0</v>
      </c>
      <c r="AQ53">
        <f>IF((gamma!AQ53),IF(VLOOKUP(AQ$1,main!$A$3:$I$56,7,FALSE)=VLOOKUP($A53,main!$A$3:$I$56,8,FALSE),VLOOKUP(AQ$1,main!$A$3:$I$56,4,FALSE),VLOOKUP(AQ$1,main!$A$3:$I$56,4,FALSE)+VLOOKUP($A53,main!$A$3:$I$56,4,FALSE)+(VLOOKUP(VLOOKUP(AQ$1,main!$A$3:$I$56,8,FALSE),main!$K$19:$O$22,MATCH(VLOOKUP($A53,main!$A$3:$I$56,7,FALSE),main!$K$18:$O$18,0),0))),0)</f>
        <v>0</v>
      </c>
      <c r="AR53">
        <f>IF((gamma!AR53),IF(VLOOKUP(AR$1,main!$A$3:$I$56,7,FALSE)=VLOOKUP($A53,main!$A$3:$I$56,8,FALSE),VLOOKUP(AR$1,main!$A$3:$I$56,4,FALSE),VLOOKUP(AR$1,main!$A$3:$I$56,4,FALSE)+VLOOKUP($A53,main!$A$3:$I$56,4,FALSE)+(VLOOKUP(VLOOKUP(AR$1,main!$A$3:$I$56,8,FALSE),main!$K$19:$O$22,MATCH(VLOOKUP($A53,main!$A$3:$I$56,7,FALSE),main!$K$18:$O$18,0),0))),0)</f>
        <v>0</v>
      </c>
      <c r="AS53">
        <f>IF((gamma!AS53),IF(VLOOKUP(AS$1,main!$A$3:$I$56,7,FALSE)=VLOOKUP($A53,main!$A$3:$I$56,8,FALSE),VLOOKUP(AS$1,main!$A$3:$I$56,4,FALSE),VLOOKUP(AS$1,main!$A$3:$I$56,4,FALSE)+VLOOKUP($A53,main!$A$3:$I$56,4,FALSE)+(VLOOKUP(VLOOKUP(AS$1,main!$A$3:$I$56,8,FALSE),main!$K$19:$O$22,MATCH(VLOOKUP($A53,main!$A$3:$I$56,7,FALSE),main!$K$18:$O$18,0),0))),0)</f>
        <v>0</v>
      </c>
      <c r="AT53">
        <f>IF((gamma!AT53),IF(VLOOKUP(AT$1,main!$A$3:$I$56,7,FALSE)=VLOOKUP($A53,main!$A$3:$I$56,8,FALSE),VLOOKUP(AT$1,main!$A$3:$I$56,4,FALSE),VLOOKUP(AT$1,main!$A$3:$I$56,4,FALSE)+VLOOKUP($A53,main!$A$3:$I$56,4,FALSE)+(VLOOKUP(VLOOKUP(AT$1,main!$A$3:$I$56,8,FALSE),main!$K$19:$O$22,MATCH(VLOOKUP($A53,main!$A$3:$I$56,7,FALSE),main!$K$18:$O$18,0),0))),0)</f>
        <v>0</v>
      </c>
      <c r="AU53">
        <f>IF((gamma!AU53),IF(VLOOKUP(AU$1,main!$A$3:$I$56,7,FALSE)=VLOOKUP($A53,main!$A$3:$I$56,8,FALSE),VLOOKUP(AU$1,main!$A$3:$I$56,4,FALSE),VLOOKUP(AU$1,main!$A$3:$I$56,4,FALSE)+VLOOKUP($A53,main!$A$3:$I$56,4,FALSE)+(VLOOKUP(VLOOKUP(AU$1,main!$A$3:$I$56,8,FALSE),main!$K$19:$O$22,MATCH(VLOOKUP($A53,main!$A$3:$I$56,7,FALSE),main!$K$18:$O$18,0),0))),0)</f>
        <v>0</v>
      </c>
      <c r="AV53">
        <f>IF((gamma!AV53),IF(VLOOKUP(AV$1,main!$A$3:$I$56,7,FALSE)=VLOOKUP($A53,main!$A$3:$I$56,8,FALSE),VLOOKUP(AV$1,main!$A$3:$I$56,4,FALSE),VLOOKUP(AV$1,main!$A$3:$I$56,4,FALSE)+VLOOKUP($A53,main!$A$3:$I$56,4,FALSE)+(VLOOKUP(VLOOKUP(AV$1,main!$A$3:$I$56,8,FALSE),main!$K$19:$O$22,MATCH(VLOOKUP($A53,main!$A$3:$I$56,7,FALSE),main!$K$18:$O$18,0),0))),0)</f>
        <v>0</v>
      </c>
      <c r="AW53">
        <f>IF((gamma!AW53),IF(VLOOKUP(AW$1,main!$A$3:$I$56,7,FALSE)=VLOOKUP($A53,main!$A$3:$I$56,8,FALSE),VLOOKUP(AW$1,main!$A$3:$I$56,4,FALSE),VLOOKUP(AW$1,main!$A$3:$I$56,4,FALSE)+VLOOKUP($A53,main!$A$3:$I$56,4,FALSE)+(VLOOKUP(VLOOKUP(AW$1,main!$A$3:$I$56,8,FALSE),main!$K$19:$O$22,MATCH(VLOOKUP($A53,main!$A$3:$I$56,7,FALSE),main!$K$18:$O$18,0),0))),0)</f>
        <v>0</v>
      </c>
      <c r="AX53">
        <f>IF((gamma!AX53),IF(VLOOKUP(AX$1,main!$A$3:$I$56,7,FALSE)=VLOOKUP($A53,main!$A$3:$I$56,8,FALSE),VLOOKUP(AX$1,main!$A$3:$I$56,4,FALSE),VLOOKUP(AX$1,main!$A$3:$I$56,4,FALSE)+VLOOKUP($A53,main!$A$3:$I$56,4,FALSE)+(VLOOKUP(VLOOKUP(AX$1,main!$A$3:$I$56,8,FALSE),main!$K$19:$O$22,MATCH(VLOOKUP($A53,main!$A$3:$I$56,7,FALSE),main!$K$18:$O$18,0),0))),0)</f>
        <v>295</v>
      </c>
      <c r="AY53">
        <f>IF((gamma!AY53),IF(VLOOKUP(AY$1,main!$A$3:$I$56,7,FALSE)=VLOOKUP($A53,main!$A$3:$I$56,8,FALSE),VLOOKUP(AY$1,main!$A$3:$I$56,4,FALSE),VLOOKUP(AY$1,main!$A$3:$I$56,4,FALSE)+VLOOKUP($A53,main!$A$3:$I$56,4,FALSE)+(VLOOKUP(VLOOKUP(AY$1,main!$A$3:$I$56,8,FALSE),main!$K$19:$O$22,MATCH(VLOOKUP($A53,main!$A$3:$I$56,7,FALSE),main!$K$18:$O$18,0),0))),0)</f>
        <v>295</v>
      </c>
      <c r="AZ53">
        <f>IF((gamma!AZ53),IF(VLOOKUP(AZ$1,main!$A$3:$I$56,7,FALSE)=VLOOKUP($A53,main!$A$3:$I$56,8,FALSE),VLOOKUP(AZ$1,main!$A$3:$I$56,4,FALSE),VLOOKUP(AZ$1,main!$A$3:$I$56,4,FALSE)+VLOOKUP($A53,main!$A$3:$I$56,4,FALSE)+(VLOOKUP(VLOOKUP(AZ$1,main!$A$3:$I$56,8,FALSE),main!$K$19:$O$22,MATCH(VLOOKUP($A53,main!$A$3:$I$56,7,FALSE),main!$K$18:$O$18,0),0))),0)</f>
        <v>0</v>
      </c>
      <c r="BA53">
        <f>IF((gamma!BA53),IF(VLOOKUP(BA$1,main!$A$3:$I$56,7,FALSE)=VLOOKUP($A53,main!$A$3:$I$56,8,FALSE),VLOOKUP(BA$1,main!$A$3:$I$56,4,FALSE),VLOOKUP(BA$1,main!$A$3:$I$56,4,FALSE)+VLOOKUP($A53,main!$A$3:$I$56,4,FALSE)+(VLOOKUP(VLOOKUP(BA$1,main!$A$3:$I$56,8,FALSE),main!$K$19:$O$22,MATCH(VLOOKUP($A53,main!$A$3:$I$56,7,FALSE),main!$K$18:$O$18,0),0))),0)</f>
        <v>0</v>
      </c>
      <c r="BB53">
        <f>IF((gamma!BB53),IF(VLOOKUP(BB$1,main!$A$3:$I$56,7,FALSE)=VLOOKUP($A53,main!$A$3:$I$56,8,FALSE),VLOOKUP(BB$1,main!$A$3:$I$56,4,FALSE),VLOOKUP(BB$1,main!$A$3:$I$56,4,FALSE)+VLOOKUP($A53,main!$A$3:$I$56,4,FALSE)+(VLOOKUP(VLOOKUP(BB$1,main!$A$3:$I$56,8,FALSE),main!$K$19:$O$22,MATCH(VLOOKUP($A53,main!$A$3:$I$56,7,FALSE),main!$K$18:$O$18,0),0))),0)</f>
        <v>0</v>
      </c>
      <c r="BC53">
        <f>IF((gamma!BC53),IF(VLOOKUP(BC$1,main!$A$3:$I$56,7,FALSE)=VLOOKUP($A53,main!$A$3:$I$56,8,FALSE),VLOOKUP(BC$1,main!$A$3:$I$56,4,FALSE),VLOOKUP(BC$1,main!$A$3:$I$56,4,FALSE)+VLOOKUP($A53,main!$A$3:$I$56,4,FALSE)+(VLOOKUP(VLOOKUP(BC$1,main!$A$3:$I$56,8,FALSE),main!$K$19:$O$22,MATCH(VLOOKUP($A53,main!$A$3:$I$56,7,FALSE),main!$K$18:$O$18,0),0))),0)</f>
        <v>288</v>
      </c>
      <c r="BD53">
        <f>IF((gamma!BD53),IF(VLOOKUP(BD$1,main!$A$3:$I$56,7,FALSE)=VLOOKUP($A53,main!$A$3:$I$56,8,FALSE),VLOOKUP(BD$1,main!$A$3:$I$56,4,FALSE),VLOOKUP(BD$1,main!$A$3:$I$56,4,FALSE)+VLOOKUP($A53,main!$A$3:$I$56,4,FALSE)+(VLOOKUP(VLOOKUP(BD$1,main!$A$3:$I$56,8,FALSE),main!$K$19:$O$22,MATCH(VLOOKUP($A53,main!$A$3:$I$56,7,FALSE),main!$K$18:$O$18,0),0))),0)</f>
        <v>288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25">
      <c r="A54">
        <f t="shared" si="0"/>
        <v>52</v>
      </c>
      <c r="B54">
        <v>0</v>
      </c>
      <c r="C54">
        <f>IF((gamma!C54),IF(VLOOKUP(C$1,main!$A$3:$I$56,7,FALSE)=VLOOKUP($A54,main!$A$3:$I$56,8,FALSE),VLOOKUP(C$1,main!$A$3:$I$56,4,FALSE),VLOOKUP(C$1,main!$A$3:$I$56,4,FALSE)+VLOOKUP($A54,main!$A$3:$I$56,4,FALSE)+(VLOOKUP(VLOOKUP(C$1,main!$A$3:$I$56,8,FALSE),main!$K$19:$O$22,MATCH(VLOOKUP($A54,main!$A$3:$I$56,7,FALSE),main!$K$18:$O$18,0),0))),0)</f>
        <v>0</v>
      </c>
      <c r="D54">
        <f>IF((gamma!D54),IF(VLOOKUP(D$1,main!$A$3:$I$56,7,FALSE)=VLOOKUP($A54,main!$A$3:$I$56,8,FALSE),VLOOKUP(D$1,main!$A$3:$I$56,4,FALSE),VLOOKUP(D$1,main!$A$3:$I$56,4,FALSE)+VLOOKUP($A54,main!$A$3:$I$56,4,FALSE)+(VLOOKUP(VLOOKUP(D$1,main!$A$3:$I$56,8,FALSE),main!$K$19:$O$22,MATCH(VLOOKUP($A54,main!$A$3:$I$56,7,FALSE),main!$K$18:$O$18,0),0))),0)</f>
        <v>0</v>
      </c>
      <c r="E54">
        <f>IF((gamma!E54),IF(VLOOKUP(E$1,main!$A$3:$I$56,7,FALSE)=VLOOKUP($A54,main!$A$3:$I$56,8,FALSE),VLOOKUP(E$1,main!$A$3:$I$56,4,FALSE),VLOOKUP(E$1,main!$A$3:$I$56,4,FALSE)+VLOOKUP($A54,main!$A$3:$I$56,4,FALSE)+(VLOOKUP(VLOOKUP(E$1,main!$A$3:$I$56,8,FALSE),main!$K$19:$O$22,MATCH(VLOOKUP($A54,main!$A$3:$I$56,7,FALSE),main!$K$18:$O$18,0),0))),0)</f>
        <v>0</v>
      </c>
      <c r="F54">
        <f>IF((gamma!F54),IF(VLOOKUP(F$1,main!$A$3:$I$56,7,FALSE)=VLOOKUP($A54,main!$A$3:$I$56,8,FALSE),VLOOKUP(F$1,main!$A$3:$I$56,4,FALSE),VLOOKUP(F$1,main!$A$3:$I$56,4,FALSE)+VLOOKUP($A54,main!$A$3:$I$56,4,FALSE)+(VLOOKUP(VLOOKUP(F$1,main!$A$3:$I$56,8,FALSE),main!$K$19:$O$22,MATCH(VLOOKUP($A54,main!$A$3:$I$56,7,FALSE),main!$K$18:$O$18,0),0))),0)</f>
        <v>0</v>
      </c>
      <c r="G54">
        <f>IF((gamma!G54),IF(VLOOKUP(G$1,main!$A$3:$I$56,7,FALSE)=VLOOKUP($A54,main!$A$3:$I$56,8,FALSE),VLOOKUP(G$1,main!$A$3:$I$56,4,FALSE),VLOOKUP(G$1,main!$A$3:$I$56,4,FALSE)+VLOOKUP($A54,main!$A$3:$I$56,4,FALSE)+(VLOOKUP(VLOOKUP(G$1,main!$A$3:$I$56,8,FALSE),main!$K$19:$O$22,MATCH(VLOOKUP($A54,main!$A$3:$I$56,7,FALSE),main!$K$18:$O$18,0),0))),0)</f>
        <v>295</v>
      </c>
      <c r="H54">
        <f>IF((gamma!H54),IF(VLOOKUP(H$1,main!$A$3:$I$56,7,FALSE)=VLOOKUP($A54,main!$A$3:$I$56,8,FALSE),VLOOKUP(H$1,main!$A$3:$I$56,4,FALSE),VLOOKUP(H$1,main!$A$3:$I$56,4,FALSE)+VLOOKUP($A54,main!$A$3:$I$56,4,FALSE)+(VLOOKUP(VLOOKUP(H$1,main!$A$3:$I$56,8,FALSE),main!$K$19:$O$22,MATCH(VLOOKUP($A54,main!$A$3:$I$56,7,FALSE),main!$K$18:$O$18,0),0))),0)</f>
        <v>295</v>
      </c>
      <c r="I54">
        <f>IF((gamma!I54),IF(VLOOKUP(I$1,main!$A$3:$I$56,7,FALSE)=VLOOKUP($A54,main!$A$3:$I$56,8,FALSE),VLOOKUP(I$1,main!$A$3:$I$56,4,FALSE),VLOOKUP(I$1,main!$A$3:$I$56,4,FALSE)+VLOOKUP($A54,main!$A$3:$I$56,4,FALSE)+(VLOOKUP(VLOOKUP(I$1,main!$A$3:$I$56,8,FALSE),main!$K$19:$O$22,MATCH(VLOOKUP($A54,main!$A$3:$I$56,7,FALSE),main!$K$18:$O$18,0),0))),0)</f>
        <v>295</v>
      </c>
      <c r="J54">
        <f>IF((gamma!J54),IF(VLOOKUP(J$1,main!$A$3:$I$56,7,FALSE)=VLOOKUP($A54,main!$A$3:$I$56,8,FALSE),VLOOKUP(J$1,main!$A$3:$I$56,4,FALSE),VLOOKUP(J$1,main!$A$3:$I$56,4,FALSE)+VLOOKUP($A54,main!$A$3:$I$56,4,FALSE)+(VLOOKUP(VLOOKUP(J$1,main!$A$3:$I$56,8,FALSE),main!$K$19:$O$22,MATCH(VLOOKUP($A54,main!$A$3:$I$56,7,FALSE),main!$K$18:$O$18,0),0))),0)</f>
        <v>295</v>
      </c>
      <c r="K54">
        <f>IF((gamma!K54),IF(VLOOKUP(K$1,main!$A$3:$I$56,7,FALSE)=VLOOKUP($A54,main!$A$3:$I$56,8,FALSE),VLOOKUP(K$1,main!$A$3:$I$56,4,FALSE),VLOOKUP(K$1,main!$A$3:$I$56,4,FALSE)+VLOOKUP($A54,main!$A$3:$I$56,4,FALSE)+(VLOOKUP(VLOOKUP(K$1,main!$A$3:$I$56,8,FALSE),main!$K$19:$O$22,MATCH(VLOOKUP($A54,main!$A$3:$I$56,7,FALSE),main!$K$18:$O$18,0),0))),0)</f>
        <v>0</v>
      </c>
      <c r="L54">
        <f>IF((gamma!L54),IF(VLOOKUP(L$1,main!$A$3:$I$56,7,FALSE)=VLOOKUP($A54,main!$A$3:$I$56,8,FALSE),VLOOKUP(L$1,main!$A$3:$I$56,4,FALSE),VLOOKUP(L$1,main!$A$3:$I$56,4,FALSE)+VLOOKUP($A54,main!$A$3:$I$56,4,FALSE)+(VLOOKUP(VLOOKUP(L$1,main!$A$3:$I$56,8,FALSE),main!$K$19:$O$22,MATCH(VLOOKUP($A54,main!$A$3:$I$56,7,FALSE),main!$K$18:$O$18,0),0))),0)</f>
        <v>0</v>
      </c>
      <c r="M54">
        <f>IF((gamma!M54),IF(VLOOKUP(M$1,main!$A$3:$I$56,7,FALSE)=VLOOKUP($A54,main!$A$3:$I$56,8,FALSE),VLOOKUP(M$1,main!$A$3:$I$56,4,FALSE),VLOOKUP(M$1,main!$A$3:$I$56,4,FALSE)+VLOOKUP($A54,main!$A$3:$I$56,4,FALSE)+(VLOOKUP(VLOOKUP(M$1,main!$A$3:$I$56,8,FALSE),main!$K$19:$O$22,MATCH(VLOOKUP($A54,main!$A$3:$I$56,7,FALSE),main!$K$18:$O$18,0),0))),0)</f>
        <v>0</v>
      </c>
      <c r="N54">
        <f>IF((gamma!N54),IF(VLOOKUP(N$1,main!$A$3:$I$56,7,FALSE)=VLOOKUP($A54,main!$A$3:$I$56,8,FALSE),VLOOKUP(N$1,main!$A$3:$I$56,4,FALSE),VLOOKUP(N$1,main!$A$3:$I$56,4,FALSE)+VLOOKUP($A54,main!$A$3:$I$56,4,FALSE)+(VLOOKUP(VLOOKUP(N$1,main!$A$3:$I$56,8,FALSE),main!$K$19:$O$22,MATCH(VLOOKUP($A54,main!$A$3:$I$56,7,FALSE),main!$K$18:$O$18,0),0))),0)</f>
        <v>293</v>
      </c>
      <c r="O54">
        <f>IF((gamma!O54),IF(VLOOKUP(O$1,main!$A$3:$I$56,7,FALSE)=VLOOKUP($A54,main!$A$3:$I$56,8,FALSE),VLOOKUP(O$1,main!$A$3:$I$56,4,FALSE),VLOOKUP(O$1,main!$A$3:$I$56,4,FALSE)+VLOOKUP($A54,main!$A$3:$I$56,4,FALSE)+(VLOOKUP(VLOOKUP(O$1,main!$A$3:$I$56,8,FALSE),main!$K$19:$O$22,MATCH(VLOOKUP($A54,main!$A$3:$I$56,7,FALSE),main!$K$18:$O$18,0),0))),0)</f>
        <v>293</v>
      </c>
      <c r="P54">
        <f>IF((gamma!P54),IF(VLOOKUP(P$1,main!$A$3:$I$56,7,FALSE)=VLOOKUP($A54,main!$A$3:$I$56,8,FALSE),VLOOKUP(P$1,main!$A$3:$I$56,4,FALSE),VLOOKUP(P$1,main!$A$3:$I$56,4,FALSE)+VLOOKUP($A54,main!$A$3:$I$56,4,FALSE)+(VLOOKUP(VLOOKUP(P$1,main!$A$3:$I$56,8,FALSE),main!$K$19:$O$22,MATCH(VLOOKUP($A54,main!$A$3:$I$56,7,FALSE),main!$K$18:$O$18,0),0))),0)</f>
        <v>0</v>
      </c>
      <c r="Q54">
        <f>IF((gamma!Q54),IF(VLOOKUP(Q$1,main!$A$3:$I$56,7,FALSE)=VLOOKUP($A54,main!$A$3:$I$56,8,FALSE),VLOOKUP(Q$1,main!$A$3:$I$56,4,FALSE),VLOOKUP(Q$1,main!$A$3:$I$56,4,FALSE)+VLOOKUP($A54,main!$A$3:$I$56,4,FALSE)+(VLOOKUP(VLOOKUP(Q$1,main!$A$3:$I$56,8,FALSE),main!$K$19:$O$22,MATCH(VLOOKUP($A54,main!$A$3:$I$56,7,FALSE),main!$K$18:$O$18,0),0))),0)</f>
        <v>0</v>
      </c>
      <c r="R54">
        <f>IF((gamma!R54),IF(VLOOKUP(R$1,main!$A$3:$I$56,7,FALSE)=VLOOKUP($A54,main!$A$3:$I$56,8,FALSE),VLOOKUP(R$1,main!$A$3:$I$56,4,FALSE),VLOOKUP(R$1,main!$A$3:$I$56,4,FALSE)+VLOOKUP($A54,main!$A$3:$I$56,4,FALSE)+(VLOOKUP(VLOOKUP(R$1,main!$A$3:$I$56,8,FALSE),main!$K$19:$O$22,MATCH(VLOOKUP($A54,main!$A$3:$I$56,7,FALSE),main!$K$18:$O$18,0),0))),0)</f>
        <v>0</v>
      </c>
      <c r="S54">
        <f>IF((gamma!S54),IF(VLOOKUP(S$1,main!$A$3:$I$56,7,FALSE)=VLOOKUP($A54,main!$A$3:$I$56,8,FALSE),VLOOKUP(S$1,main!$A$3:$I$56,4,FALSE),VLOOKUP(S$1,main!$A$3:$I$56,4,FALSE)+VLOOKUP($A54,main!$A$3:$I$56,4,FALSE)+(VLOOKUP(VLOOKUP(S$1,main!$A$3:$I$56,8,FALSE),main!$K$19:$O$22,MATCH(VLOOKUP($A54,main!$A$3:$I$56,7,FALSE),main!$K$18:$O$18,0),0))),0)</f>
        <v>260</v>
      </c>
      <c r="T54">
        <f>IF((gamma!T54),IF(VLOOKUP(T$1,main!$A$3:$I$56,7,FALSE)=VLOOKUP($A54,main!$A$3:$I$56,8,FALSE),VLOOKUP(T$1,main!$A$3:$I$56,4,FALSE),VLOOKUP(T$1,main!$A$3:$I$56,4,FALSE)+VLOOKUP($A54,main!$A$3:$I$56,4,FALSE)+(VLOOKUP(VLOOKUP(T$1,main!$A$3:$I$56,8,FALSE),main!$K$19:$O$22,MATCH(VLOOKUP($A54,main!$A$3:$I$56,7,FALSE),main!$K$18:$O$18,0),0))),0)</f>
        <v>260</v>
      </c>
      <c r="U54">
        <f>IF((gamma!U54),IF(VLOOKUP(U$1,main!$A$3:$I$56,7,FALSE)=VLOOKUP($A54,main!$A$3:$I$56,8,FALSE),VLOOKUP(U$1,main!$A$3:$I$56,4,FALSE),VLOOKUP(U$1,main!$A$3:$I$56,4,FALSE)+VLOOKUP($A54,main!$A$3:$I$56,4,FALSE)+(VLOOKUP(VLOOKUP(U$1,main!$A$3:$I$56,8,FALSE),main!$K$19:$O$22,MATCH(VLOOKUP($A54,main!$A$3:$I$56,7,FALSE),main!$K$18:$O$18,0),0))),0)</f>
        <v>0</v>
      </c>
      <c r="V54">
        <f>IF((gamma!V54),IF(VLOOKUP(V$1,main!$A$3:$I$56,7,FALSE)=VLOOKUP($A54,main!$A$3:$I$56,8,FALSE),VLOOKUP(V$1,main!$A$3:$I$56,4,FALSE),VLOOKUP(V$1,main!$A$3:$I$56,4,FALSE)+VLOOKUP($A54,main!$A$3:$I$56,4,FALSE)+(VLOOKUP(VLOOKUP(V$1,main!$A$3:$I$56,8,FALSE),main!$K$19:$O$22,MATCH(VLOOKUP($A54,main!$A$3:$I$56,7,FALSE),main!$K$18:$O$18,0),0))),0)</f>
        <v>0</v>
      </c>
      <c r="W54">
        <f>IF((gamma!W54),IF(VLOOKUP(W$1,main!$A$3:$I$56,7,FALSE)=VLOOKUP($A54,main!$A$3:$I$56,8,FALSE),VLOOKUP(W$1,main!$A$3:$I$56,4,FALSE),VLOOKUP(W$1,main!$A$3:$I$56,4,FALSE)+VLOOKUP($A54,main!$A$3:$I$56,4,FALSE)+(VLOOKUP(VLOOKUP(W$1,main!$A$3:$I$56,8,FALSE),main!$K$19:$O$22,MATCH(VLOOKUP($A54,main!$A$3:$I$56,7,FALSE),main!$K$18:$O$18,0),0))),0)</f>
        <v>0</v>
      </c>
      <c r="X54">
        <f>IF((gamma!X54),IF(VLOOKUP(X$1,main!$A$3:$I$56,7,FALSE)=VLOOKUP($A54,main!$A$3:$I$56,8,FALSE),VLOOKUP(X$1,main!$A$3:$I$56,4,FALSE),VLOOKUP(X$1,main!$A$3:$I$56,4,FALSE)+VLOOKUP($A54,main!$A$3:$I$56,4,FALSE)+(VLOOKUP(VLOOKUP(X$1,main!$A$3:$I$56,8,FALSE),main!$K$19:$O$22,MATCH(VLOOKUP($A54,main!$A$3:$I$56,7,FALSE),main!$K$18:$O$18,0),0))),0)</f>
        <v>0</v>
      </c>
      <c r="Y54">
        <f>IF((gamma!Y54),IF(VLOOKUP(Y$1,main!$A$3:$I$56,7,FALSE)=VLOOKUP($A54,main!$A$3:$I$56,8,FALSE),VLOOKUP(Y$1,main!$A$3:$I$56,4,FALSE),VLOOKUP(Y$1,main!$A$3:$I$56,4,FALSE)+VLOOKUP($A54,main!$A$3:$I$56,4,FALSE)+(VLOOKUP(VLOOKUP(Y$1,main!$A$3:$I$56,8,FALSE),main!$K$19:$O$22,MATCH(VLOOKUP($A54,main!$A$3:$I$56,7,FALSE),main!$K$18:$O$18,0),0))),0)</f>
        <v>0</v>
      </c>
      <c r="Z54">
        <f>IF((gamma!Z54),IF(VLOOKUP(Z$1,main!$A$3:$I$56,7,FALSE)=VLOOKUP($A54,main!$A$3:$I$56,8,FALSE),VLOOKUP(Z$1,main!$A$3:$I$56,4,FALSE),VLOOKUP(Z$1,main!$A$3:$I$56,4,FALSE)+VLOOKUP($A54,main!$A$3:$I$56,4,FALSE)+(VLOOKUP(VLOOKUP(Z$1,main!$A$3:$I$56,8,FALSE),main!$K$19:$O$22,MATCH(VLOOKUP($A54,main!$A$3:$I$56,7,FALSE),main!$K$18:$O$18,0),0))),0)</f>
        <v>290</v>
      </c>
      <c r="AA54">
        <f>IF((gamma!AA54),IF(VLOOKUP(AA$1,main!$A$3:$I$56,7,FALSE)=VLOOKUP($A54,main!$A$3:$I$56,8,FALSE),VLOOKUP(AA$1,main!$A$3:$I$56,4,FALSE),VLOOKUP(AA$1,main!$A$3:$I$56,4,FALSE)+VLOOKUP($A54,main!$A$3:$I$56,4,FALSE)+(VLOOKUP(VLOOKUP(AA$1,main!$A$3:$I$56,8,FALSE),main!$K$19:$O$22,MATCH(VLOOKUP($A54,main!$A$3:$I$56,7,FALSE),main!$K$18:$O$18,0),0))),0)</f>
        <v>290</v>
      </c>
      <c r="AB54">
        <f>IF((gamma!AB54),IF(VLOOKUP(AB$1,main!$A$3:$I$56,7,FALSE)=VLOOKUP($A54,main!$A$3:$I$56,8,FALSE),VLOOKUP(AB$1,main!$A$3:$I$56,4,FALSE),VLOOKUP(AB$1,main!$A$3:$I$56,4,FALSE)+VLOOKUP($A54,main!$A$3:$I$56,4,FALSE)+(VLOOKUP(VLOOKUP(AB$1,main!$A$3:$I$56,8,FALSE),main!$K$19:$O$22,MATCH(VLOOKUP($A54,main!$A$3:$I$56,7,FALSE),main!$K$18:$O$18,0),0))),0)</f>
        <v>290</v>
      </c>
      <c r="AC54">
        <f>IF((gamma!AC54),IF(VLOOKUP(AC$1,main!$A$3:$I$56,7,FALSE)=VLOOKUP($A54,main!$A$3:$I$56,8,FALSE),VLOOKUP(AC$1,main!$A$3:$I$56,4,FALSE),VLOOKUP(AC$1,main!$A$3:$I$56,4,FALSE)+VLOOKUP($A54,main!$A$3:$I$56,4,FALSE)+(VLOOKUP(VLOOKUP(AC$1,main!$A$3:$I$56,8,FALSE),main!$K$19:$O$22,MATCH(VLOOKUP($A54,main!$A$3:$I$56,7,FALSE),main!$K$18:$O$18,0),0))),0)</f>
        <v>0</v>
      </c>
      <c r="AD54">
        <f>IF((gamma!AD54),IF(VLOOKUP(AD$1,main!$A$3:$I$56,7,FALSE)=VLOOKUP($A54,main!$A$3:$I$56,8,FALSE),VLOOKUP(AD$1,main!$A$3:$I$56,4,FALSE),VLOOKUP(AD$1,main!$A$3:$I$56,4,FALSE)+VLOOKUP($A54,main!$A$3:$I$56,4,FALSE)+(VLOOKUP(VLOOKUP(AD$1,main!$A$3:$I$56,8,FALSE),main!$K$19:$O$22,MATCH(VLOOKUP($A54,main!$A$3:$I$56,7,FALSE),main!$K$18:$O$18,0),0))),0)</f>
        <v>0</v>
      </c>
      <c r="AE54">
        <f>IF((gamma!AE54),IF(VLOOKUP(AE$1,main!$A$3:$I$56,7,FALSE)=VLOOKUP($A54,main!$A$3:$I$56,8,FALSE),VLOOKUP(AE$1,main!$A$3:$I$56,4,FALSE),VLOOKUP(AE$1,main!$A$3:$I$56,4,FALSE)+VLOOKUP($A54,main!$A$3:$I$56,4,FALSE)+(VLOOKUP(VLOOKUP(AE$1,main!$A$3:$I$56,8,FALSE),main!$K$19:$O$22,MATCH(VLOOKUP($A54,main!$A$3:$I$56,7,FALSE),main!$K$18:$O$18,0),0))),0)</f>
        <v>0</v>
      </c>
      <c r="AF54">
        <f>IF((gamma!AF54),IF(VLOOKUP(AF$1,main!$A$3:$I$56,7,FALSE)=VLOOKUP($A54,main!$A$3:$I$56,8,FALSE),VLOOKUP(AF$1,main!$A$3:$I$56,4,FALSE),VLOOKUP(AF$1,main!$A$3:$I$56,4,FALSE)+VLOOKUP($A54,main!$A$3:$I$56,4,FALSE)+(VLOOKUP(VLOOKUP(AF$1,main!$A$3:$I$56,8,FALSE),main!$K$19:$O$22,MATCH(VLOOKUP($A54,main!$A$3:$I$56,7,FALSE),main!$K$18:$O$18,0),0))),0)</f>
        <v>283</v>
      </c>
      <c r="AG54">
        <f>IF((gamma!AG54),IF(VLOOKUP(AG$1,main!$A$3:$I$56,7,FALSE)=VLOOKUP($A54,main!$A$3:$I$56,8,FALSE),VLOOKUP(AG$1,main!$A$3:$I$56,4,FALSE),VLOOKUP(AG$1,main!$A$3:$I$56,4,FALSE)+VLOOKUP($A54,main!$A$3:$I$56,4,FALSE)+(VLOOKUP(VLOOKUP(AG$1,main!$A$3:$I$56,8,FALSE),main!$K$19:$O$22,MATCH(VLOOKUP($A54,main!$A$3:$I$56,7,FALSE),main!$K$18:$O$18,0),0))),0)</f>
        <v>0</v>
      </c>
      <c r="AH54">
        <f>IF((gamma!AH54),IF(VLOOKUP(AH$1,main!$A$3:$I$56,7,FALSE)=VLOOKUP($A54,main!$A$3:$I$56,8,FALSE),VLOOKUP(AH$1,main!$A$3:$I$56,4,FALSE),VLOOKUP(AH$1,main!$A$3:$I$56,4,FALSE)+VLOOKUP($A54,main!$A$3:$I$56,4,FALSE)+(VLOOKUP(VLOOKUP(AH$1,main!$A$3:$I$56,8,FALSE),main!$K$19:$O$22,MATCH(VLOOKUP($A54,main!$A$3:$I$56,7,FALSE),main!$K$18:$O$18,0),0))),0)</f>
        <v>0</v>
      </c>
      <c r="AI54">
        <f>IF((gamma!AI54),IF(VLOOKUP(AI$1,main!$A$3:$I$56,7,FALSE)=VLOOKUP($A54,main!$A$3:$I$56,8,FALSE),VLOOKUP(AI$1,main!$A$3:$I$56,4,FALSE),VLOOKUP(AI$1,main!$A$3:$I$56,4,FALSE)+VLOOKUP($A54,main!$A$3:$I$56,4,FALSE)+(VLOOKUP(VLOOKUP(AI$1,main!$A$3:$I$56,8,FALSE),main!$K$19:$O$22,MATCH(VLOOKUP($A54,main!$A$3:$I$56,7,FALSE),main!$K$18:$O$18,0),0))),0)</f>
        <v>0</v>
      </c>
      <c r="AJ54">
        <f>IF((gamma!AJ54),IF(VLOOKUP(AJ$1,main!$A$3:$I$56,7,FALSE)=VLOOKUP($A54,main!$A$3:$I$56,8,FALSE),VLOOKUP(AJ$1,main!$A$3:$I$56,4,FALSE),VLOOKUP(AJ$1,main!$A$3:$I$56,4,FALSE)+VLOOKUP($A54,main!$A$3:$I$56,4,FALSE)+(VLOOKUP(VLOOKUP(AJ$1,main!$A$3:$I$56,8,FALSE),main!$K$19:$O$22,MATCH(VLOOKUP($A54,main!$A$3:$I$56,7,FALSE),main!$K$18:$O$18,0),0))),0)</f>
        <v>140</v>
      </c>
      <c r="AK54">
        <f>IF((gamma!AK54),IF(VLOOKUP(AK$1,main!$A$3:$I$56,7,FALSE)=VLOOKUP($A54,main!$A$3:$I$56,8,FALSE),VLOOKUP(AK$1,main!$A$3:$I$56,4,FALSE),VLOOKUP(AK$1,main!$A$3:$I$56,4,FALSE)+VLOOKUP($A54,main!$A$3:$I$56,4,FALSE)+(VLOOKUP(VLOOKUP(AK$1,main!$A$3:$I$56,8,FALSE),main!$K$19:$O$22,MATCH(VLOOKUP($A54,main!$A$3:$I$56,7,FALSE),main!$K$18:$O$18,0),0))),0)</f>
        <v>140</v>
      </c>
      <c r="AL54">
        <f>IF((gamma!AL54),IF(VLOOKUP(AL$1,main!$A$3:$I$56,7,FALSE)=VLOOKUP($A54,main!$A$3:$I$56,8,FALSE),VLOOKUP(AL$1,main!$A$3:$I$56,4,FALSE),VLOOKUP(AL$1,main!$A$3:$I$56,4,FALSE)+VLOOKUP($A54,main!$A$3:$I$56,4,FALSE)+(VLOOKUP(VLOOKUP(AL$1,main!$A$3:$I$56,8,FALSE),main!$K$19:$O$22,MATCH(VLOOKUP($A54,main!$A$3:$I$56,7,FALSE),main!$K$18:$O$18,0),0))),0)</f>
        <v>0</v>
      </c>
      <c r="AM54">
        <f>IF((gamma!AM54),IF(VLOOKUP(AM$1,main!$A$3:$I$56,7,FALSE)=VLOOKUP($A54,main!$A$3:$I$56,8,FALSE),VLOOKUP(AM$1,main!$A$3:$I$56,4,FALSE),VLOOKUP(AM$1,main!$A$3:$I$56,4,FALSE)+VLOOKUP($A54,main!$A$3:$I$56,4,FALSE)+(VLOOKUP(VLOOKUP(AM$1,main!$A$3:$I$56,8,FALSE),main!$K$19:$O$22,MATCH(VLOOKUP($A54,main!$A$3:$I$56,7,FALSE),main!$K$18:$O$18,0),0))),0)</f>
        <v>0</v>
      </c>
      <c r="AN54">
        <f>IF((gamma!AN54),IF(VLOOKUP(AN$1,main!$A$3:$I$56,7,FALSE)=VLOOKUP($A54,main!$A$3:$I$56,8,FALSE),VLOOKUP(AN$1,main!$A$3:$I$56,4,FALSE),VLOOKUP(AN$1,main!$A$3:$I$56,4,FALSE)+VLOOKUP($A54,main!$A$3:$I$56,4,FALSE)+(VLOOKUP(VLOOKUP(AN$1,main!$A$3:$I$56,8,FALSE),main!$K$19:$O$22,MATCH(VLOOKUP($A54,main!$A$3:$I$56,7,FALSE),main!$K$18:$O$18,0),0))),0)</f>
        <v>0</v>
      </c>
      <c r="AO54">
        <f>IF((gamma!AO54),IF(VLOOKUP(AO$1,main!$A$3:$I$56,7,FALSE)=VLOOKUP($A54,main!$A$3:$I$56,8,FALSE),VLOOKUP(AO$1,main!$A$3:$I$56,4,FALSE),VLOOKUP(AO$1,main!$A$3:$I$56,4,FALSE)+VLOOKUP($A54,main!$A$3:$I$56,4,FALSE)+(VLOOKUP(VLOOKUP(AO$1,main!$A$3:$I$56,8,FALSE),main!$K$19:$O$22,MATCH(VLOOKUP($A54,main!$A$3:$I$56,7,FALSE),main!$K$18:$O$18,0),0))),0)</f>
        <v>130</v>
      </c>
      <c r="AP54">
        <f>IF((gamma!AP54),IF(VLOOKUP(AP$1,main!$A$3:$I$56,7,FALSE)=VLOOKUP($A54,main!$A$3:$I$56,8,FALSE),VLOOKUP(AP$1,main!$A$3:$I$56,4,FALSE),VLOOKUP(AP$1,main!$A$3:$I$56,4,FALSE)+VLOOKUP($A54,main!$A$3:$I$56,4,FALSE)+(VLOOKUP(VLOOKUP(AP$1,main!$A$3:$I$56,8,FALSE),main!$K$19:$O$22,MATCH(VLOOKUP($A54,main!$A$3:$I$56,7,FALSE),main!$K$18:$O$18,0),0))),0)</f>
        <v>0</v>
      </c>
      <c r="AQ54">
        <f>IF((gamma!AQ54),IF(VLOOKUP(AQ$1,main!$A$3:$I$56,7,FALSE)=VLOOKUP($A54,main!$A$3:$I$56,8,FALSE),VLOOKUP(AQ$1,main!$A$3:$I$56,4,FALSE),VLOOKUP(AQ$1,main!$A$3:$I$56,4,FALSE)+VLOOKUP($A54,main!$A$3:$I$56,4,FALSE)+(VLOOKUP(VLOOKUP(AQ$1,main!$A$3:$I$56,8,FALSE),main!$K$19:$O$22,MATCH(VLOOKUP($A54,main!$A$3:$I$56,7,FALSE),main!$K$18:$O$18,0),0))),0)</f>
        <v>0</v>
      </c>
      <c r="AR54">
        <f>IF((gamma!AR54),IF(VLOOKUP(AR$1,main!$A$3:$I$56,7,FALSE)=VLOOKUP($A54,main!$A$3:$I$56,8,FALSE),VLOOKUP(AR$1,main!$A$3:$I$56,4,FALSE),VLOOKUP(AR$1,main!$A$3:$I$56,4,FALSE)+VLOOKUP($A54,main!$A$3:$I$56,4,FALSE)+(VLOOKUP(VLOOKUP(AR$1,main!$A$3:$I$56,8,FALSE),main!$K$19:$O$22,MATCH(VLOOKUP($A54,main!$A$3:$I$56,7,FALSE),main!$K$18:$O$18,0),0))),0)</f>
        <v>0</v>
      </c>
      <c r="AS54">
        <f>IF((gamma!AS54),IF(VLOOKUP(AS$1,main!$A$3:$I$56,7,FALSE)=VLOOKUP($A54,main!$A$3:$I$56,8,FALSE),VLOOKUP(AS$1,main!$A$3:$I$56,4,FALSE),VLOOKUP(AS$1,main!$A$3:$I$56,4,FALSE)+VLOOKUP($A54,main!$A$3:$I$56,4,FALSE)+(VLOOKUP(VLOOKUP(AS$1,main!$A$3:$I$56,8,FALSE),main!$K$19:$O$22,MATCH(VLOOKUP($A54,main!$A$3:$I$56,7,FALSE),main!$K$18:$O$18,0),0))),0)</f>
        <v>0</v>
      </c>
      <c r="AT54">
        <f>IF((gamma!AT54),IF(VLOOKUP(AT$1,main!$A$3:$I$56,7,FALSE)=VLOOKUP($A54,main!$A$3:$I$56,8,FALSE),VLOOKUP(AT$1,main!$A$3:$I$56,4,FALSE),VLOOKUP(AT$1,main!$A$3:$I$56,4,FALSE)+VLOOKUP($A54,main!$A$3:$I$56,4,FALSE)+(VLOOKUP(VLOOKUP(AT$1,main!$A$3:$I$56,8,FALSE),main!$K$19:$O$22,MATCH(VLOOKUP($A54,main!$A$3:$I$56,7,FALSE),main!$K$18:$O$18,0),0))),0)</f>
        <v>0</v>
      </c>
      <c r="AU54">
        <f>IF((gamma!AU54),IF(VLOOKUP(AU$1,main!$A$3:$I$56,7,FALSE)=VLOOKUP($A54,main!$A$3:$I$56,8,FALSE),VLOOKUP(AU$1,main!$A$3:$I$56,4,FALSE),VLOOKUP(AU$1,main!$A$3:$I$56,4,FALSE)+VLOOKUP($A54,main!$A$3:$I$56,4,FALSE)+(VLOOKUP(VLOOKUP(AU$1,main!$A$3:$I$56,8,FALSE),main!$K$19:$O$22,MATCH(VLOOKUP($A54,main!$A$3:$I$56,7,FALSE),main!$K$18:$O$18,0),0))),0)</f>
        <v>0</v>
      </c>
      <c r="AV54">
        <f>IF((gamma!AV54),IF(VLOOKUP(AV$1,main!$A$3:$I$56,7,FALSE)=VLOOKUP($A54,main!$A$3:$I$56,8,FALSE),VLOOKUP(AV$1,main!$A$3:$I$56,4,FALSE),VLOOKUP(AV$1,main!$A$3:$I$56,4,FALSE)+VLOOKUP($A54,main!$A$3:$I$56,4,FALSE)+(VLOOKUP(VLOOKUP(AV$1,main!$A$3:$I$56,8,FALSE),main!$K$19:$O$22,MATCH(VLOOKUP($A54,main!$A$3:$I$56,7,FALSE),main!$K$18:$O$18,0),0))),0)</f>
        <v>0</v>
      </c>
      <c r="AW54">
        <f>IF((gamma!AW54),IF(VLOOKUP(AW$1,main!$A$3:$I$56,7,FALSE)=VLOOKUP($A54,main!$A$3:$I$56,8,FALSE),VLOOKUP(AW$1,main!$A$3:$I$56,4,FALSE),VLOOKUP(AW$1,main!$A$3:$I$56,4,FALSE)+VLOOKUP($A54,main!$A$3:$I$56,4,FALSE)+(VLOOKUP(VLOOKUP(AW$1,main!$A$3:$I$56,8,FALSE),main!$K$19:$O$22,MATCH(VLOOKUP($A54,main!$A$3:$I$56,7,FALSE),main!$K$18:$O$18,0),0))),0)</f>
        <v>0</v>
      </c>
      <c r="AX54">
        <f>IF((gamma!AX54),IF(VLOOKUP(AX$1,main!$A$3:$I$56,7,FALSE)=VLOOKUP($A54,main!$A$3:$I$56,8,FALSE),VLOOKUP(AX$1,main!$A$3:$I$56,4,FALSE),VLOOKUP(AX$1,main!$A$3:$I$56,4,FALSE)+VLOOKUP($A54,main!$A$3:$I$56,4,FALSE)+(VLOOKUP(VLOOKUP(AX$1,main!$A$3:$I$56,8,FALSE),main!$K$19:$O$22,MATCH(VLOOKUP($A54,main!$A$3:$I$56,7,FALSE),main!$K$18:$O$18,0),0))),0)</f>
        <v>295</v>
      </c>
      <c r="AY54">
        <f>IF((gamma!AY54),IF(VLOOKUP(AY$1,main!$A$3:$I$56,7,FALSE)=VLOOKUP($A54,main!$A$3:$I$56,8,FALSE),VLOOKUP(AY$1,main!$A$3:$I$56,4,FALSE),VLOOKUP(AY$1,main!$A$3:$I$56,4,FALSE)+VLOOKUP($A54,main!$A$3:$I$56,4,FALSE)+(VLOOKUP(VLOOKUP(AY$1,main!$A$3:$I$56,8,FALSE),main!$K$19:$O$22,MATCH(VLOOKUP($A54,main!$A$3:$I$56,7,FALSE),main!$K$18:$O$18,0),0))),0)</f>
        <v>295</v>
      </c>
      <c r="AZ54">
        <f>IF((gamma!AZ54),IF(VLOOKUP(AZ$1,main!$A$3:$I$56,7,FALSE)=VLOOKUP($A54,main!$A$3:$I$56,8,FALSE),VLOOKUP(AZ$1,main!$A$3:$I$56,4,FALSE),VLOOKUP(AZ$1,main!$A$3:$I$56,4,FALSE)+VLOOKUP($A54,main!$A$3:$I$56,4,FALSE)+(VLOOKUP(VLOOKUP(AZ$1,main!$A$3:$I$56,8,FALSE),main!$K$19:$O$22,MATCH(VLOOKUP($A54,main!$A$3:$I$56,7,FALSE),main!$K$18:$O$18,0),0))),0)</f>
        <v>0</v>
      </c>
      <c r="BA54">
        <f>IF((gamma!BA54),IF(VLOOKUP(BA$1,main!$A$3:$I$56,7,FALSE)=VLOOKUP($A54,main!$A$3:$I$56,8,FALSE),VLOOKUP(BA$1,main!$A$3:$I$56,4,FALSE),VLOOKUP(BA$1,main!$A$3:$I$56,4,FALSE)+VLOOKUP($A54,main!$A$3:$I$56,4,FALSE)+(VLOOKUP(VLOOKUP(BA$1,main!$A$3:$I$56,8,FALSE),main!$K$19:$O$22,MATCH(VLOOKUP($A54,main!$A$3:$I$56,7,FALSE),main!$K$18:$O$18,0),0))),0)</f>
        <v>0</v>
      </c>
      <c r="BB54">
        <f>IF((gamma!BB54),IF(VLOOKUP(BB$1,main!$A$3:$I$56,7,FALSE)=VLOOKUP($A54,main!$A$3:$I$56,8,FALSE),VLOOKUP(BB$1,main!$A$3:$I$56,4,FALSE),VLOOKUP(BB$1,main!$A$3:$I$56,4,FALSE)+VLOOKUP($A54,main!$A$3:$I$56,4,FALSE)+(VLOOKUP(VLOOKUP(BB$1,main!$A$3:$I$56,8,FALSE),main!$K$19:$O$22,MATCH(VLOOKUP($A54,main!$A$3:$I$56,7,FALSE),main!$K$18:$O$18,0),0))),0)</f>
        <v>0</v>
      </c>
      <c r="BC54">
        <f>IF((gamma!BC54),IF(VLOOKUP(BC$1,main!$A$3:$I$56,7,FALSE)=VLOOKUP($A54,main!$A$3:$I$56,8,FALSE),VLOOKUP(BC$1,main!$A$3:$I$56,4,FALSE),VLOOKUP(BC$1,main!$A$3:$I$56,4,FALSE)+VLOOKUP($A54,main!$A$3:$I$56,4,FALSE)+(VLOOKUP(VLOOKUP(BC$1,main!$A$3:$I$56,8,FALSE),main!$K$19:$O$22,MATCH(VLOOKUP($A54,main!$A$3:$I$56,7,FALSE),main!$K$18:$O$18,0),0))),0)</f>
        <v>288</v>
      </c>
      <c r="BD54">
        <f>IF((gamma!BD54),IF(VLOOKUP(BD$1,main!$A$3:$I$56,7,FALSE)=VLOOKUP($A54,main!$A$3:$I$56,8,FALSE),VLOOKUP(BD$1,main!$A$3:$I$56,4,FALSE),VLOOKUP(BD$1,main!$A$3:$I$56,4,FALSE)+VLOOKUP($A54,main!$A$3:$I$56,4,FALSE)+(VLOOKUP(VLOOKUP(BD$1,main!$A$3:$I$56,8,FALSE),main!$K$19:$O$22,MATCH(VLOOKUP($A54,main!$A$3:$I$56,7,FALSE),main!$K$18:$O$18,0),0))),0)</f>
        <v>288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25">
      <c r="A55">
        <f t="shared" si="0"/>
        <v>53</v>
      </c>
      <c r="B55">
        <v>0</v>
      </c>
      <c r="C55">
        <f>IF((gamma!C55),IF(VLOOKUP(C$1,main!$A$3:$I$56,7,FALSE)=VLOOKUP($A55,main!$A$3:$I$56,8,FALSE),VLOOKUP(C$1,main!$A$3:$I$56,4,FALSE),VLOOKUP(C$1,main!$A$3:$I$56,4,FALSE)+VLOOKUP($A55,main!$A$3:$I$56,4,FALSE)+(VLOOKUP(VLOOKUP(C$1,main!$A$3:$I$56,8,FALSE),main!$K$19:$O$22,MATCH(VLOOKUP($A55,main!$A$3:$I$56,7,FALSE),main!$K$18:$O$18,0),0))),0)</f>
        <v>0</v>
      </c>
      <c r="D55">
        <f>IF((gamma!D55),IF(VLOOKUP(D$1,main!$A$3:$I$56,7,FALSE)=VLOOKUP($A55,main!$A$3:$I$56,8,FALSE),VLOOKUP(D$1,main!$A$3:$I$56,4,FALSE),VLOOKUP(D$1,main!$A$3:$I$56,4,FALSE)+VLOOKUP($A55,main!$A$3:$I$56,4,FALSE)+(VLOOKUP(VLOOKUP(D$1,main!$A$3:$I$56,8,FALSE),main!$K$19:$O$22,MATCH(VLOOKUP($A55,main!$A$3:$I$56,7,FALSE),main!$K$18:$O$18,0),0))),0)</f>
        <v>0</v>
      </c>
      <c r="E55">
        <f>IF((gamma!E55),IF(VLOOKUP(E$1,main!$A$3:$I$56,7,FALSE)=VLOOKUP($A55,main!$A$3:$I$56,8,FALSE),VLOOKUP(E$1,main!$A$3:$I$56,4,FALSE),VLOOKUP(E$1,main!$A$3:$I$56,4,FALSE)+VLOOKUP($A55,main!$A$3:$I$56,4,FALSE)+(VLOOKUP(VLOOKUP(E$1,main!$A$3:$I$56,8,FALSE),main!$K$19:$O$22,MATCH(VLOOKUP($A55,main!$A$3:$I$56,7,FALSE),main!$K$18:$O$18,0),0))),0)</f>
        <v>0</v>
      </c>
      <c r="F55">
        <f>IF((gamma!F55),IF(VLOOKUP(F$1,main!$A$3:$I$56,7,FALSE)=VLOOKUP($A55,main!$A$3:$I$56,8,FALSE),VLOOKUP(F$1,main!$A$3:$I$56,4,FALSE),VLOOKUP(F$1,main!$A$3:$I$56,4,FALSE)+VLOOKUP($A55,main!$A$3:$I$56,4,FALSE)+(VLOOKUP(VLOOKUP(F$1,main!$A$3:$I$56,8,FALSE),main!$K$19:$O$22,MATCH(VLOOKUP($A55,main!$A$3:$I$56,7,FALSE),main!$K$18:$O$18,0),0))),0)</f>
        <v>0</v>
      </c>
      <c r="G55">
        <f>IF((gamma!G55),IF(VLOOKUP(G$1,main!$A$3:$I$56,7,FALSE)=VLOOKUP($A55,main!$A$3:$I$56,8,FALSE),VLOOKUP(G$1,main!$A$3:$I$56,4,FALSE),VLOOKUP(G$1,main!$A$3:$I$56,4,FALSE)+VLOOKUP($A55,main!$A$3:$I$56,4,FALSE)+(VLOOKUP(VLOOKUP(G$1,main!$A$3:$I$56,8,FALSE),main!$K$19:$O$22,MATCH(VLOOKUP($A55,main!$A$3:$I$56,7,FALSE),main!$K$18:$O$18,0),0))),0)</f>
        <v>0</v>
      </c>
      <c r="H55">
        <f>IF((gamma!H55),IF(VLOOKUP(H$1,main!$A$3:$I$56,7,FALSE)=VLOOKUP($A55,main!$A$3:$I$56,8,FALSE),VLOOKUP(H$1,main!$A$3:$I$56,4,FALSE),VLOOKUP(H$1,main!$A$3:$I$56,4,FALSE)+VLOOKUP($A55,main!$A$3:$I$56,4,FALSE)+(VLOOKUP(VLOOKUP(H$1,main!$A$3:$I$56,8,FALSE),main!$K$19:$O$22,MATCH(VLOOKUP($A55,main!$A$3:$I$56,7,FALSE),main!$K$18:$O$18,0),0))),0)</f>
        <v>0</v>
      </c>
      <c r="I55">
        <f>IF((gamma!I55),IF(VLOOKUP(I$1,main!$A$3:$I$56,7,FALSE)=VLOOKUP($A55,main!$A$3:$I$56,8,FALSE),VLOOKUP(I$1,main!$A$3:$I$56,4,FALSE),VLOOKUP(I$1,main!$A$3:$I$56,4,FALSE)+VLOOKUP($A55,main!$A$3:$I$56,4,FALSE)+(VLOOKUP(VLOOKUP(I$1,main!$A$3:$I$56,8,FALSE),main!$K$19:$O$22,MATCH(VLOOKUP($A55,main!$A$3:$I$56,7,FALSE),main!$K$18:$O$18,0),0))),0)</f>
        <v>0</v>
      </c>
      <c r="J55">
        <f>IF((gamma!J55),IF(VLOOKUP(J$1,main!$A$3:$I$56,7,FALSE)=VLOOKUP($A55,main!$A$3:$I$56,8,FALSE),VLOOKUP(J$1,main!$A$3:$I$56,4,FALSE),VLOOKUP(J$1,main!$A$3:$I$56,4,FALSE)+VLOOKUP($A55,main!$A$3:$I$56,4,FALSE)+(VLOOKUP(VLOOKUP(J$1,main!$A$3:$I$56,8,FALSE),main!$K$19:$O$22,MATCH(VLOOKUP($A55,main!$A$3:$I$56,7,FALSE),main!$K$18:$O$18,0),0))),0)</f>
        <v>310</v>
      </c>
      <c r="K55">
        <f>IF((gamma!K55),IF(VLOOKUP(K$1,main!$A$3:$I$56,7,FALSE)=VLOOKUP($A55,main!$A$3:$I$56,8,FALSE),VLOOKUP(K$1,main!$A$3:$I$56,4,FALSE),VLOOKUP(K$1,main!$A$3:$I$56,4,FALSE)+VLOOKUP($A55,main!$A$3:$I$56,4,FALSE)+(VLOOKUP(VLOOKUP(K$1,main!$A$3:$I$56,8,FALSE),main!$K$19:$O$22,MATCH(VLOOKUP($A55,main!$A$3:$I$56,7,FALSE),main!$K$18:$O$18,0),0))),0)</f>
        <v>0</v>
      </c>
      <c r="L55">
        <f>IF((gamma!L55),IF(VLOOKUP(L$1,main!$A$3:$I$56,7,FALSE)=VLOOKUP($A55,main!$A$3:$I$56,8,FALSE),VLOOKUP(L$1,main!$A$3:$I$56,4,FALSE),VLOOKUP(L$1,main!$A$3:$I$56,4,FALSE)+VLOOKUP($A55,main!$A$3:$I$56,4,FALSE)+(VLOOKUP(VLOOKUP(L$1,main!$A$3:$I$56,8,FALSE),main!$K$19:$O$22,MATCH(VLOOKUP($A55,main!$A$3:$I$56,7,FALSE),main!$K$18:$O$18,0),0))),0)</f>
        <v>0</v>
      </c>
      <c r="M55">
        <f>IF((gamma!M55),IF(VLOOKUP(M$1,main!$A$3:$I$56,7,FALSE)=VLOOKUP($A55,main!$A$3:$I$56,8,FALSE),VLOOKUP(M$1,main!$A$3:$I$56,4,FALSE),VLOOKUP(M$1,main!$A$3:$I$56,4,FALSE)+VLOOKUP($A55,main!$A$3:$I$56,4,FALSE)+(VLOOKUP(VLOOKUP(M$1,main!$A$3:$I$56,8,FALSE),main!$K$19:$O$22,MATCH(VLOOKUP($A55,main!$A$3:$I$56,7,FALSE),main!$K$18:$O$18,0),0))),0)</f>
        <v>0</v>
      </c>
      <c r="N55">
        <f>IF((gamma!N55),IF(VLOOKUP(N$1,main!$A$3:$I$56,7,FALSE)=VLOOKUP($A55,main!$A$3:$I$56,8,FALSE),VLOOKUP(N$1,main!$A$3:$I$56,4,FALSE),VLOOKUP(N$1,main!$A$3:$I$56,4,FALSE)+VLOOKUP($A55,main!$A$3:$I$56,4,FALSE)+(VLOOKUP(VLOOKUP(N$1,main!$A$3:$I$56,8,FALSE),main!$K$19:$O$22,MATCH(VLOOKUP($A55,main!$A$3:$I$56,7,FALSE),main!$K$18:$O$18,0),0))),0)</f>
        <v>308</v>
      </c>
      <c r="O55">
        <f>IF((gamma!O55),IF(VLOOKUP(O$1,main!$A$3:$I$56,7,FALSE)=VLOOKUP($A55,main!$A$3:$I$56,8,FALSE),VLOOKUP(O$1,main!$A$3:$I$56,4,FALSE),VLOOKUP(O$1,main!$A$3:$I$56,4,FALSE)+VLOOKUP($A55,main!$A$3:$I$56,4,FALSE)+(VLOOKUP(VLOOKUP(O$1,main!$A$3:$I$56,8,FALSE),main!$K$19:$O$22,MATCH(VLOOKUP($A55,main!$A$3:$I$56,7,FALSE),main!$K$18:$O$18,0),0))),0)</f>
        <v>308</v>
      </c>
      <c r="P55">
        <f>IF((gamma!P55),IF(VLOOKUP(P$1,main!$A$3:$I$56,7,FALSE)=VLOOKUP($A55,main!$A$3:$I$56,8,FALSE),VLOOKUP(P$1,main!$A$3:$I$56,4,FALSE),VLOOKUP(P$1,main!$A$3:$I$56,4,FALSE)+VLOOKUP($A55,main!$A$3:$I$56,4,FALSE)+(VLOOKUP(VLOOKUP(P$1,main!$A$3:$I$56,8,FALSE),main!$K$19:$O$22,MATCH(VLOOKUP($A55,main!$A$3:$I$56,7,FALSE),main!$K$18:$O$18,0),0))),0)</f>
        <v>0</v>
      </c>
      <c r="Q55">
        <f>IF((gamma!Q55),IF(VLOOKUP(Q$1,main!$A$3:$I$56,7,FALSE)=VLOOKUP($A55,main!$A$3:$I$56,8,FALSE),VLOOKUP(Q$1,main!$A$3:$I$56,4,FALSE),VLOOKUP(Q$1,main!$A$3:$I$56,4,FALSE)+VLOOKUP($A55,main!$A$3:$I$56,4,FALSE)+(VLOOKUP(VLOOKUP(Q$1,main!$A$3:$I$56,8,FALSE),main!$K$19:$O$22,MATCH(VLOOKUP($A55,main!$A$3:$I$56,7,FALSE),main!$K$18:$O$18,0),0))),0)</f>
        <v>0</v>
      </c>
      <c r="R55">
        <f>IF((gamma!R55),IF(VLOOKUP(R$1,main!$A$3:$I$56,7,FALSE)=VLOOKUP($A55,main!$A$3:$I$56,8,FALSE),VLOOKUP(R$1,main!$A$3:$I$56,4,FALSE),VLOOKUP(R$1,main!$A$3:$I$56,4,FALSE)+VLOOKUP($A55,main!$A$3:$I$56,4,FALSE)+(VLOOKUP(VLOOKUP(R$1,main!$A$3:$I$56,8,FALSE),main!$K$19:$O$22,MATCH(VLOOKUP($A55,main!$A$3:$I$56,7,FALSE),main!$K$18:$O$18,0),0))),0)</f>
        <v>0</v>
      </c>
      <c r="S55">
        <f>IF((gamma!S55),IF(VLOOKUP(S$1,main!$A$3:$I$56,7,FALSE)=VLOOKUP($A55,main!$A$3:$I$56,8,FALSE),VLOOKUP(S$1,main!$A$3:$I$56,4,FALSE),VLOOKUP(S$1,main!$A$3:$I$56,4,FALSE)+VLOOKUP($A55,main!$A$3:$I$56,4,FALSE)+(VLOOKUP(VLOOKUP(S$1,main!$A$3:$I$56,8,FALSE),main!$K$19:$O$22,MATCH(VLOOKUP($A55,main!$A$3:$I$56,7,FALSE),main!$K$18:$O$18,0),0))),0)</f>
        <v>0</v>
      </c>
      <c r="T55">
        <f>IF((gamma!T55),IF(VLOOKUP(T$1,main!$A$3:$I$56,7,FALSE)=VLOOKUP($A55,main!$A$3:$I$56,8,FALSE),VLOOKUP(T$1,main!$A$3:$I$56,4,FALSE),VLOOKUP(T$1,main!$A$3:$I$56,4,FALSE)+VLOOKUP($A55,main!$A$3:$I$56,4,FALSE)+(VLOOKUP(VLOOKUP(T$1,main!$A$3:$I$56,8,FALSE),main!$K$19:$O$22,MATCH(VLOOKUP($A55,main!$A$3:$I$56,7,FALSE),main!$K$18:$O$18,0),0))),0)</f>
        <v>0</v>
      </c>
      <c r="U55">
        <f>IF((gamma!U55),IF(VLOOKUP(U$1,main!$A$3:$I$56,7,FALSE)=VLOOKUP($A55,main!$A$3:$I$56,8,FALSE),VLOOKUP(U$1,main!$A$3:$I$56,4,FALSE),VLOOKUP(U$1,main!$A$3:$I$56,4,FALSE)+VLOOKUP($A55,main!$A$3:$I$56,4,FALSE)+(VLOOKUP(VLOOKUP(U$1,main!$A$3:$I$56,8,FALSE),main!$K$19:$O$22,MATCH(VLOOKUP($A55,main!$A$3:$I$56,7,FALSE),main!$K$18:$O$18,0),0))),0)</f>
        <v>0</v>
      </c>
      <c r="V55">
        <f>IF((gamma!V55),IF(VLOOKUP(V$1,main!$A$3:$I$56,7,FALSE)=VLOOKUP($A55,main!$A$3:$I$56,8,FALSE),VLOOKUP(V$1,main!$A$3:$I$56,4,FALSE),VLOOKUP(V$1,main!$A$3:$I$56,4,FALSE)+VLOOKUP($A55,main!$A$3:$I$56,4,FALSE)+(VLOOKUP(VLOOKUP(V$1,main!$A$3:$I$56,8,FALSE),main!$K$19:$O$22,MATCH(VLOOKUP($A55,main!$A$3:$I$56,7,FALSE),main!$K$18:$O$18,0),0))),0)</f>
        <v>0</v>
      </c>
      <c r="W55">
        <f>IF((gamma!W55),IF(VLOOKUP(W$1,main!$A$3:$I$56,7,FALSE)=VLOOKUP($A55,main!$A$3:$I$56,8,FALSE),VLOOKUP(W$1,main!$A$3:$I$56,4,FALSE),VLOOKUP(W$1,main!$A$3:$I$56,4,FALSE)+VLOOKUP($A55,main!$A$3:$I$56,4,FALSE)+(VLOOKUP(VLOOKUP(W$1,main!$A$3:$I$56,8,FALSE),main!$K$19:$O$22,MATCH(VLOOKUP($A55,main!$A$3:$I$56,7,FALSE),main!$K$18:$O$18,0),0))),0)</f>
        <v>0</v>
      </c>
      <c r="X55">
        <f>IF((gamma!X55),IF(VLOOKUP(X$1,main!$A$3:$I$56,7,FALSE)=VLOOKUP($A55,main!$A$3:$I$56,8,FALSE),VLOOKUP(X$1,main!$A$3:$I$56,4,FALSE),VLOOKUP(X$1,main!$A$3:$I$56,4,FALSE)+VLOOKUP($A55,main!$A$3:$I$56,4,FALSE)+(VLOOKUP(VLOOKUP(X$1,main!$A$3:$I$56,8,FALSE),main!$K$19:$O$22,MATCH(VLOOKUP($A55,main!$A$3:$I$56,7,FALSE),main!$K$18:$O$18,0),0))),0)</f>
        <v>0</v>
      </c>
      <c r="Y55">
        <f>IF((gamma!Y55),IF(VLOOKUP(Y$1,main!$A$3:$I$56,7,FALSE)=VLOOKUP($A55,main!$A$3:$I$56,8,FALSE),VLOOKUP(Y$1,main!$A$3:$I$56,4,FALSE),VLOOKUP(Y$1,main!$A$3:$I$56,4,FALSE)+VLOOKUP($A55,main!$A$3:$I$56,4,FALSE)+(VLOOKUP(VLOOKUP(Y$1,main!$A$3:$I$56,8,FALSE),main!$K$19:$O$22,MATCH(VLOOKUP($A55,main!$A$3:$I$56,7,FALSE),main!$K$18:$O$18,0),0))),0)</f>
        <v>0</v>
      </c>
      <c r="Z55">
        <f>IF((gamma!Z55),IF(VLOOKUP(Z$1,main!$A$3:$I$56,7,FALSE)=VLOOKUP($A55,main!$A$3:$I$56,8,FALSE),VLOOKUP(Z$1,main!$A$3:$I$56,4,FALSE),VLOOKUP(Z$1,main!$A$3:$I$56,4,FALSE)+VLOOKUP($A55,main!$A$3:$I$56,4,FALSE)+(VLOOKUP(VLOOKUP(Z$1,main!$A$3:$I$56,8,FALSE),main!$K$19:$O$22,MATCH(VLOOKUP($A55,main!$A$3:$I$56,7,FALSE),main!$K$18:$O$18,0),0))),0)</f>
        <v>0</v>
      </c>
      <c r="AA55">
        <f>IF((gamma!AA55),IF(VLOOKUP(AA$1,main!$A$3:$I$56,7,FALSE)=VLOOKUP($A55,main!$A$3:$I$56,8,FALSE),VLOOKUP(AA$1,main!$A$3:$I$56,4,FALSE),VLOOKUP(AA$1,main!$A$3:$I$56,4,FALSE)+VLOOKUP($A55,main!$A$3:$I$56,4,FALSE)+(VLOOKUP(VLOOKUP(AA$1,main!$A$3:$I$56,8,FALSE),main!$K$19:$O$22,MATCH(VLOOKUP($A55,main!$A$3:$I$56,7,FALSE),main!$K$18:$O$18,0),0))),0)</f>
        <v>0</v>
      </c>
      <c r="AB55">
        <f>IF((gamma!AB55),IF(VLOOKUP(AB$1,main!$A$3:$I$56,7,FALSE)=VLOOKUP($A55,main!$A$3:$I$56,8,FALSE),VLOOKUP(AB$1,main!$A$3:$I$56,4,FALSE),VLOOKUP(AB$1,main!$A$3:$I$56,4,FALSE)+VLOOKUP($A55,main!$A$3:$I$56,4,FALSE)+(VLOOKUP(VLOOKUP(AB$1,main!$A$3:$I$56,8,FALSE),main!$K$19:$O$22,MATCH(VLOOKUP($A55,main!$A$3:$I$56,7,FALSE),main!$K$18:$O$18,0),0))),0)</f>
        <v>0</v>
      </c>
      <c r="AC55">
        <f>IF((gamma!AC55),IF(VLOOKUP(AC$1,main!$A$3:$I$56,7,FALSE)=VLOOKUP($A55,main!$A$3:$I$56,8,FALSE),VLOOKUP(AC$1,main!$A$3:$I$56,4,FALSE),VLOOKUP(AC$1,main!$A$3:$I$56,4,FALSE)+VLOOKUP($A55,main!$A$3:$I$56,4,FALSE)+(VLOOKUP(VLOOKUP(AC$1,main!$A$3:$I$56,8,FALSE),main!$K$19:$O$22,MATCH(VLOOKUP($A55,main!$A$3:$I$56,7,FALSE),main!$K$18:$O$18,0),0))),0)</f>
        <v>0</v>
      </c>
      <c r="AD55">
        <f>IF((gamma!AD55),IF(VLOOKUP(AD$1,main!$A$3:$I$56,7,FALSE)=VLOOKUP($A55,main!$A$3:$I$56,8,FALSE),VLOOKUP(AD$1,main!$A$3:$I$56,4,FALSE),VLOOKUP(AD$1,main!$A$3:$I$56,4,FALSE)+VLOOKUP($A55,main!$A$3:$I$56,4,FALSE)+(VLOOKUP(VLOOKUP(AD$1,main!$A$3:$I$56,8,FALSE),main!$K$19:$O$22,MATCH(VLOOKUP($A55,main!$A$3:$I$56,7,FALSE),main!$K$18:$O$18,0),0))),0)</f>
        <v>0</v>
      </c>
      <c r="AE55">
        <f>IF((gamma!AE55),IF(VLOOKUP(AE$1,main!$A$3:$I$56,7,FALSE)=VLOOKUP($A55,main!$A$3:$I$56,8,FALSE),VLOOKUP(AE$1,main!$A$3:$I$56,4,FALSE),VLOOKUP(AE$1,main!$A$3:$I$56,4,FALSE)+VLOOKUP($A55,main!$A$3:$I$56,4,FALSE)+(VLOOKUP(VLOOKUP(AE$1,main!$A$3:$I$56,8,FALSE),main!$K$19:$O$22,MATCH(VLOOKUP($A55,main!$A$3:$I$56,7,FALSE),main!$K$18:$O$18,0),0))),0)</f>
        <v>0</v>
      </c>
      <c r="AF55">
        <f>IF((gamma!AF55),IF(VLOOKUP(AF$1,main!$A$3:$I$56,7,FALSE)=VLOOKUP($A55,main!$A$3:$I$56,8,FALSE),VLOOKUP(AF$1,main!$A$3:$I$56,4,FALSE),VLOOKUP(AF$1,main!$A$3:$I$56,4,FALSE)+VLOOKUP($A55,main!$A$3:$I$56,4,FALSE)+(VLOOKUP(VLOOKUP(AF$1,main!$A$3:$I$56,8,FALSE),main!$K$19:$O$22,MATCH(VLOOKUP($A55,main!$A$3:$I$56,7,FALSE),main!$K$18:$O$18,0),0))),0)</f>
        <v>0</v>
      </c>
      <c r="AG55">
        <f>IF((gamma!AG55),IF(VLOOKUP(AG$1,main!$A$3:$I$56,7,FALSE)=VLOOKUP($A55,main!$A$3:$I$56,8,FALSE),VLOOKUP(AG$1,main!$A$3:$I$56,4,FALSE),VLOOKUP(AG$1,main!$A$3:$I$56,4,FALSE)+VLOOKUP($A55,main!$A$3:$I$56,4,FALSE)+(VLOOKUP(VLOOKUP(AG$1,main!$A$3:$I$56,8,FALSE),main!$K$19:$O$22,MATCH(VLOOKUP($A55,main!$A$3:$I$56,7,FALSE),main!$K$18:$O$18,0),0))),0)</f>
        <v>0</v>
      </c>
      <c r="AH55">
        <f>IF((gamma!AH55),IF(VLOOKUP(AH$1,main!$A$3:$I$56,7,FALSE)=VLOOKUP($A55,main!$A$3:$I$56,8,FALSE),VLOOKUP(AH$1,main!$A$3:$I$56,4,FALSE),VLOOKUP(AH$1,main!$A$3:$I$56,4,FALSE)+VLOOKUP($A55,main!$A$3:$I$56,4,FALSE)+(VLOOKUP(VLOOKUP(AH$1,main!$A$3:$I$56,8,FALSE),main!$K$19:$O$22,MATCH(VLOOKUP($A55,main!$A$3:$I$56,7,FALSE),main!$K$18:$O$18,0),0))),0)</f>
        <v>0</v>
      </c>
      <c r="AI55">
        <f>IF((gamma!AI55),IF(VLOOKUP(AI$1,main!$A$3:$I$56,7,FALSE)=VLOOKUP($A55,main!$A$3:$I$56,8,FALSE),VLOOKUP(AI$1,main!$A$3:$I$56,4,FALSE),VLOOKUP(AI$1,main!$A$3:$I$56,4,FALSE)+VLOOKUP($A55,main!$A$3:$I$56,4,FALSE)+(VLOOKUP(VLOOKUP(AI$1,main!$A$3:$I$56,8,FALSE),main!$K$19:$O$22,MATCH(VLOOKUP($A55,main!$A$3:$I$56,7,FALSE),main!$K$18:$O$18,0),0))),0)</f>
        <v>0</v>
      </c>
      <c r="AJ55">
        <f>IF((gamma!AJ55),IF(VLOOKUP(AJ$1,main!$A$3:$I$56,7,FALSE)=VLOOKUP($A55,main!$A$3:$I$56,8,FALSE),VLOOKUP(AJ$1,main!$A$3:$I$56,4,FALSE),VLOOKUP(AJ$1,main!$A$3:$I$56,4,FALSE)+VLOOKUP($A55,main!$A$3:$I$56,4,FALSE)+(VLOOKUP(VLOOKUP(AJ$1,main!$A$3:$I$56,8,FALSE),main!$K$19:$O$22,MATCH(VLOOKUP($A55,main!$A$3:$I$56,7,FALSE),main!$K$18:$O$18,0),0))),0)</f>
        <v>0</v>
      </c>
      <c r="AK55">
        <f>IF((gamma!AK55),IF(VLOOKUP(AK$1,main!$A$3:$I$56,7,FALSE)=VLOOKUP($A55,main!$A$3:$I$56,8,FALSE),VLOOKUP(AK$1,main!$A$3:$I$56,4,FALSE),VLOOKUP(AK$1,main!$A$3:$I$56,4,FALSE)+VLOOKUP($A55,main!$A$3:$I$56,4,FALSE)+(VLOOKUP(VLOOKUP(AK$1,main!$A$3:$I$56,8,FALSE),main!$K$19:$O$22,MATCH(VLOOKUP($A55,main!$A$3:$I$56,7,FALSE),main!$K$18:$O$18,0),0))),0)</f>
        <v>0</v>
      </c>
      <c r="AL55">
        <f>IF((gamma!AL55),IF(VLOOKUP(AL$1,main!$A$3:$I$56,7,FALSE)=VLOOKUP($A55,main!$A$3:$I$56,8,FALSE),VLOOKUP(AL$1,main!$A$3:$I$56,4,FALSE),VLOOKUP(AL$1,main!$A$3:$I$56,4,FALSE)+VLOOKUP($A55,main!$A$3:$I$56,4,FALSE)+(VLOOKUP(VLOOKUP(AL$1,main!$A$3:$I$56,8,FALSE),main!$K$19:$O$22,MATCH(VLOOKUP($A55,main!$A$3:$I$56,7,FALSE),main!$K$18:$O$18,0),0))),0)</f>
        <v>0</v>
      </c>
      <c r="AM55">
        <f>IF((gamma!AM55),IF(VLOOKUP(AM$1,main!$A$3:$I$56,7,FALSE)=VLOOKUP($A55,main!$A$3:$I$56,8,FALSE),VLOOKUP(AM$1,main!$A$3:$I$56,4,FALSE),VLOOKUP(AM$1,main!$A$3:$I$56,4,FALSE)+VLOOKUP($A55,main!$A$3:$I$56,4,FALSE)+(VLOOKUP(VLOOKUP(AM$1,main!$A$3:$I$56,8,FALSE),main!$K$19:$O$22,MATCH(VLOOKUP($A55,main!$A$3:$I$56,7,FALSE),main!$K$18:$O$18,0),0))),0)</f>
        <v>0</v>
      </c>
      <c r="AN55">
        <f>IF((gamma!AN55),IF(VLOOKUP(AN$1,main!$A$3:$I$56,7,FALSE)=VLOOKUP($A55,main!$A$3:$I$56,8,FALSE),VLOOKUP(AN$1,main!$A$3:$I$56,4,FALSE),VLOOKUP(AN$1,main!$A$3:$I$56,4,FALSE)+VLOOKUP($A55,main!$A$3:$I$56,4,FALSE)+(VLOOKUP(VLOOKUP(AN$1,main!$A$3:$I$56,8,FALSE),main!$K$19:$O$22,MATCH(VLOOKUP($A55,main!$A$3:$I$56,7,FALSE),main!$K$18:$O$18,0),0))),0)</f>
        <v>0</v>
      </c>
      <c r="AO55">
        <f>IF((gamma!AO55),IF(VLOOKUP(AO$1,main!$A$3:$I$56,7,FALSE)=VLOOKUP($A55,main!$A$3:$I$56,8,FALSE),VLOOKUP(AO$1,main!$A$3:$I$56,4,FALSE),VLOOKUP(AO$1,main!$A$3:$I$56,4,FALSE)+VLOOKUP($A55,main!$A$3:$I$56,4,FALSE)+(VLOOKUP(VLOOKUP(AO$1,main!$A$3:$I$56,8,FALSE),main!$K$19:$O$22,MATCH(VLOOKUP($A55,main!$A$3:$I$56,7,FALSE),main!$K$18:$O$18,0),0))),0)</f>
        <v>0</v>
      </c>
      <c r="AP55">
        <f>IF((gamma!AP55),IF(VLOOKUP(AP$1,main!$A$3:$I$56,7,FALSE)=VLOOKUP($A55,main!$A$3:$I$56,8,FALSE),VLOOKUP(AP$1,main!$A$3:$I$56,4,FALSE),VLOOKUP(AP$1,main!$A$3:$I$56,4,FALSE)+VLOOKUP($A55,main!$A$3:$I$56,4,FALSE)+(VLOOKUP(VLOOKUP(AP$1,main!$A$3:$I$56,8,FALSE),main!$K$19:$O$22,MATCH(VLOOKUP($A55,main!$A$3:$I$56,7,FALSE),main!$K$18:$O$18,0),0))),0)</f>
        <v>0</v>
      </c>
      <c r="AQ55">
        <f>IF((gamma!AQ55),IF(VLOOKUP(AQ$1,main!$A$3:$I$56,7,FALSE)=VLOOKUP($A55,main!$A$3:$I$56,8,FALSE),VLOOKUP(AQ$1,main!$A$3:$I$56,4,FALSE),VLOOKUP(AQ$1,main!$A$3:$I$56,4,FALSE)+VLOOKUP($A55,main!$A$3:$I$56,4,FALSE)+(VLOOKUP(VLOOKUP(AQ$1,main!$A$3:$I$56,8,FALSE),main!$K$19:$O$22,MATCH(VLOOKUP($A55,main!$A$3:$I$56,7,FALSE),main!$K$18:$O$18,0),0))),0)</f>
        <v>0</v>
      </c>
      <c r="AR55">
        <f>IF((gamma!AR55),IF(VLOOKUP(AR$1,main!$A$3:$I$56,7,FALSE)=VLOOKUP($A55,main!$A$3:$I$56,8,FALSE),VLOOKUP(AR$1,main!$A$3:$I$56,4,FALSE),VLOOKUP(AR$1,main!$A$3:$I$56,4,FALSE)+VLOOKUP($A55,main!$A$3:$I$56,4,FALSE)+(VLOOKUP(VLOOKUP(AR$1,main!$A$3:$I$56,8,FALSE),main!$K$19:$O$22,MATCH(VLOOKUP($A55,main!$A$3:$I$56,7,FALSE),main!$K$18:$O$18,0),0))),0)</f>
        <v>0</v>
      </c>
      <c r="AS55">
        <f>IF((gamma!AS55),IF(VLOOKUP(AS$1,main!$A$3:$I$56,7,FALSE)=VLOOKUP($A55,main!$A$3:$I$56,8,FALSE),VLOOKUP(AS$1,main!$A$3:$I$56,4,FALSE),VLOOKUP(AS$1,main!$A$3:$I$56,4,FALSE)+VLOOKUP($A55,main!$A$3:$I$56,4,FALSE)+(VLOOKUP(VLOOKUP(AS$1,main!$A$3:$I$56,8,FALSE),main!$K$19:$O$22,MATCH(VLOOKUP($A55,main!$A$3:$I$56,7,FALSE),main!$K$18:$O$18,0),0))),0)</f>
        <v>0</v>
      </c>
      <c r="AT55">
        <f>IF((gamma!AT55),IF(VLOOKUP(AT$1,main!$A$3:$I$56,7,FALSE)=VLOOKUP($A55,main!$A$3:$I$56,8,FALSE),VLOOKUP(AT$1,main!$A$3:$I$56,4,FALSE),VLOOKUP(AT$1,main!$A$3:$I$56,4,FALSE)+VLOOKUP($A55,main!$A$3:$I$56,4,FALSE)+(VLOOKUP(VLOOKUP(AT$1,main!$A$3:$I$56,8,FALSE),main!$K$19:$O$22,MATCH(VLOOKUP($A55,main!$A$3:$I$56,7,FALSE),main!$K$18:$O$18,0),0))),0)</f>
        <v>0</v>
      </c>
      <c r="AU55">
        <f>IF((gamma!AU55),IF(VLOOKUP(AU$1,main!$A$3:$I$56,7,FALSE)=VLOOKUP($A55,main!$A$3:$I$56,8,FALSE),VLOOKUP(AU$1,main!$A$3:$I$56,4,FALSE),VLOOKUP(AU$1,main!$A$3:$I$56,4,FALSE)+VLOOKUP($A55,main!$A$3:$I$56,4,FALSE)+(VLOOKUP(VLOOKUP(AU$1,main!$A$3:$I$56,8,FALSE),main!$K$19:$O$22,MATCH(VLOOKUP($A55,main!$A$3:$I$56,7,FALSE),main!$K$18:$O$18,0),0))),0)</f>
        <v>0</v>
      </c>
      <c r="AV55">
        <f>IF((gamma!AV55),IF(VLOOKUP(AV$1,main!$A$3:$I$56,7,FALSE)=VLOOKUP($A55,main!$A$3:$I$56,8,FALSE),VLOOKUP(AV$1,main!$A$3:$I$56,4,FALSE),VLOOKUP(AV$1,main!$A$3:$I$56,4,FALSE)+VLOOKUP($A55,main!$A$3:$I$56,4,FALSE)+(VLOOKUP(VLOOKUP(AV$1,main!$A$3:$I$56,8,FALSE),main!$K$19:$O$22,MATCH(VLOOKUP($A55,main!$A$3:$I$56,7,FALSE),main!$K$18:$O$18,0),0))),0)</f>
        <v>0</v>
      </c>
      <c r="AW55">
        <f>IF((gamma!AW55),IF(VLOOKUP(AW$1,main!$A$3:$I$56,7,FALSE)=VLOOKUP($A55,main!$A$3:$I$56,8,FALSE),VLOOKUP(AW$1,main!$A$3:$I$56,4,FALSE),VLOOKUP(AW$1,main!$A$3:$I$56,4,FALSE)+VLOOKUP($A55,main!$A$3:$I$56,4,FALSE)+(VLOOKUP(VLOOKUP(AW$1,main!$A$3:$I$56,8,FALSE),main!$K$19:$O$22,MATCH(VLOOKUP($A55,main!$A$3:$I$56,7,FALSE),main!$K$18:$O$18,0),0))),0)</f>
        <v>0</v>
      </c>
      <c r="AX55">
        <f>IF((gamma!AX55),IF(VLOOKUP(AX$1,main!$A$3:$I$56,7,FALSE)=VLOOKUP($A55,main!$A$3:$I$56,8,FALSE),VLOOKUP(AX$1,main!$A$3:$I$56,4,FALSE),VLOOKUP(AX$1,main!$A$3:$I$56,4,FALSE)+VLOOKUP($A55,main!$A$3:$I$56,4,FALSE)+(VLOOKUP(VLOOKUP(AX$1,main!$A$3:$I$56,8,FALSE),main!$K$19:$O$22,MATCH(VLOOKUP($A55,main!$A$3:$I$56,7,FALSE),main!$K$18:$O$18,0),0))),0)</f>
        <v>0</v>
      </c>
      <c r="AY55">
        <f>IF((gamma!AY55),IF(VLOOKUP(AY$1,main!$A$3:$I$56,7,FALSE)=VLOOKUP($A55,main!$A$3:$I$56,8,FALSE),VLOOKUP(AY$1,main!$A$3:$I$56,4,FALSE),VLOOKUP(AY$1,main!$A$3:$I$56,4,FALSE)+VLOOKUP($A55,main!$A$3:$I$56,4,FALSE)+(VLOOKUP(VLOOKUP(AY$1,main!$A$3:$I$56,8,FALSE),main!$K$19:$O$22,MATCH(VLOOKUP($A55,main!$A$3:$I$56,7,FALSE),main!$K$18:$O$18,0),0))),0)</f>
        <v>310</v>
      </c>
      <c r="AZ55">
        <f>IF((gamma!AZ55),IF(VLOOKUP(AZ$1,main!$A$3:$I$56,7,FALSE)=VLOOKUP($A55,main!$A$3:$I$56,8,FALSE),VLOOKUP(AZ$1,main!$A$3:$I$56,4,FALSE),VLOOKUP(AZ$1,main!$A$3:$I$56,4,FALSE)+VLOOKUP($A55,main!$A$3:$I$56,4,FALSE)+(VLOOKUP(VLOOKUP(AZ$1,main!$A$3:$I$56,8,FALSE),main!$K$19:$O$22,MATCH(VLOOKUP($A55,main!$A$3:$I$56,7,FALSE),main!$K$18:$O$18,0),0))),0)</f>
        <v>0</v>
      </c>
      <c r="BA55">
        <f>IF((gamma!BA55),IF(VLOOKUP(BA$1,main!$A$3:$I$56,7,FALSE)=VLOOKUP($A55,main!$A$3:$I$56,8,FALSE),VLOOKUP(BA$1,main!$A$3:$I$56,4,FALSE),VLOOKUP(BA$1,main!$A$3:$I$56,4,FALSE)+VLOOKUP($A55,main!$A$3:$I$56,4,FALSE)+(VLOOKUP(VLOOKUP(BA$1,main!$A$3:$I$56,8,FALSE),main!$K$19:$O$22,MATCH(VLOOKUP($A55,main!$A$3:$I$56,7,FALSE),main!$K$18:$O$18,0),0))),0)</f>
        <v>0</v>
      </c>
      <c r="BB55">
        <f>IF((gamma!BB55),IF(VLOOKUP(BB$1,main!$A$3:$I$56,7,FALSE)=VLOOKUP($A55,main!$A$3:$I$56,8,FALSE),VLOOKUP(BB$1,main!$A$3:$I$56,4,FALSE),VLOOKUP(BB$1,main!$A$3:$I$56,4,FALSE)+VLOOKUP($A55,main!$A$3:$I$56,4,FALSE)+(VLOOKUP(VLOOKUP(BB$1,main!$A$3:$I$56,8,FALSE),main!$K$19:$O$22,MATCH(VLOOKUP($A55,main!$A$3:$I$56,7,FALSE),main!$K$18:$O$18,0),0))),0)</f>
        <v>0</v>
      </c>
      <c r="BC55">
        <f>IF((gamma!BC55),IF(VLOOKUP(BC$1,main!$A$3:$I$56,7,FALSE)=VLOOKUP($A55,main!$A$3:$I$56,8,FALSE),VLOOKUP(BC$1,main!$A$3:$I$56,4,FALSE),VLOOKUP(BC$1,main!$A$3:$I$56,4,FALSE)+VLOOKUP($A55,main!$A$3:$I$56,4,FALSE)+(VLOOKUP(VLOOKUP(BC$1,main!$A$3:$I$56,8,FALSE),main!$K$19:$O$22,MATCH(VLOOKUP($A55,main!$A$3:$I$56,7,FALSE),main!$K$18:$O$18,0),0))),0)</f>
        <v>0</v>
      </c>
      <c r="BD55">
        <f>IF((gamma!BD55),IF(VLOOKUP(BD$1,main!$A$3:$I$56,7,FALSE)=VLOOKUP($A55,main!$A$3:$I$56,8,FALSE),VLOOKUP(BD$1,main!$A$3:$I$56,4,FALSE),VLOOKUP(BD$1,main!$A$3:$I$56,4,FALSE)+VLOOKUP($A55,main!$A$3:$I$56,4,FALSE)+(VLOOKUP(VLOOKUP(BD$1,main!$A$3:$I$56,8,FALSE),main!$K$19:$O$22,MATCH(VLOOKUP($A55,main!$A$3:$I$56,7,FALSE),main!$K$18:$O$18,0),0))),0)</f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>
        <f t="shared" si="0"/>
        <v>54</v>
      </c>
      <c r="B56">
        <v>0</v>
      </c>
      <c r="C56">
        <f>IF((gamma!C56),IF(VLOOKUP(C$1,main!$A$3:$I$56,7,FALSE)=VLOOKUP($A56,main!$A$3:$I$56,8,FALSE),VLOOKUP(C$1,main!$A$3:$I$56,4,FALSE),VLOOKUP(C$1,main!$A$3:$I$56,4,FALSE)+VLOOKUP($A56,main!$A$3:$I$56,4,FALSE)+(VLOOKUP(VLOOKUP(C$1,main!$A$3:$I$56,8,FALSE),main!$K$19:$O$22,MATCH(VLOOKUP($A56,main!$A$3:$I$56,7,FALSE),main!$K$18:$O$18,0),0))),0)</f>
        <v>0</v>
      </c>
      <c r="D56">
        <f>IF((gamma!D56),IF(VLOOKUP(D$1,main!$A$3:$I$56,7,FALSE)=VLOOKUP($A56,main!$A$3:$I$56,8,FALSE),VLOOKUP(D$1,main!$A$3:$I$56,4,FALSE),VLOOKUP(D$1,main!$A$3:$I$56,4,FALSE)+VLOOKUP($A56,main!$A$3:$I$56,4,FALSE)+(VLOOKUP(VLOOKUP(D$1,main!$A$3:$I$56,8,FALSE),main!$K$19:$O$22,MATCH(VLOOKUP($A56,main!$A$3:$I$56,7,FALSE),main!$K$18:$O$18,0),0))),0)</f>
        <v>0</v>
      </c>
      <c r="E56">
        <f>IF((gamma!E56),IF(VLOOKUP(E$1,main!$A$3:$I$56,7,FALSE)=VLOOKUP($A56,main!$A$3:$I$56,8,FALSE),VLOOKUP(E$1,main!$A$3:$I$56,4,FALSE),VLOOKUP(E$1,main!$A$3:$I$56,4,FALSE)+VLOOKUP($A56,main!$A$3:$I$56,4,FALSE)+(VLOOKUP(VLOOKUP(E$1,main!$A$3:$I$56,8,FALSE),main!$K$19:$O$22,MATCH(VLOOKUP($A56,main!$A$3:$I$56,7,FALSE),main!$K$18:$O$18,0),0))),0)</f>
        <v>0</v>
      </c>
      <c r="F56">
        <f>IF((gamma!F56),IF(VLOOKUP(F$1,main!$A$3:$I$56,7,FALSE)=VLOOKUP($A56,main!$A$3:$I$56,8,FALSE),VLOOKUP(F$1,main!$A$3:$I$56,4,FALSE),VLOOKUP(F$1,main!$A$3:$I$56,4,FALSE)+VLOOKUP($A56,main!$A$3:$I$56,4,FALSE)+(VLOOKUP(VLOOKUP(F$1,main!$A$3:$I$56,8,FALSE),main!$K$19:$O$22,MATCH(VLOOKUP($A56,main!$A$3:$I$56,7,FALSE),main!$K$18:$O$18,0),0))),0)</f>
        <v>0</v>
      </c>
      <c r="G56">
        <f>IF((gamma!G56),IF(VLOOKUP(G$1,main!$A$3:$I$56,7,FALSE)=VLOOKUP($A56,main!$A$3:$I$56,8,FALSE),VLOOKUP(G$1,main!$A$3:$I$56,4,FALSE),VLOOKUP(G$1,main!$A$3:$I$56,4,FALSE)+VLOOKUP($A56,main!$A$3:$I$56,4,FALSE)+(VLOOKUP(VLOOKUP(G$1,main!$A$3:$I$56,8,FALSE),main!$K$19:$O$22,MATCH(VLOOKUP($A56,main!$A$3:$I$56,7,FALSE),main!$K$18:$O$18,0),0))),0)</f>
        <v>0</v>
      </c>
      <c r="H56">
        <f>IF((gamma!H56),IF(VLOOKUP(H$1,main!$A$3:$I$56,7,FALSE)=VLOOKUP($A56,main!$A$3:$I$56,8,FALSE),VLOOKUP(H$1,main!$A$3:$I$56,4,FALSE),VLOOKUP(H$1,main!$A$3:$I$56,4,FALSE)+VLOOKUP($A56,main!$A$3:$I$56,4,FALSE)+(VLOOKUP(VLOOKUP(H$1,main!$A$3:$I$56,8,FALSE),main!$K$19:$O$22,MATCH(VLOOKUP($A56,main!$A$3:$I$56,7,FALSE),main!$K$18:$O$18,0),0))),0)</f>
        <v>0</v>
      </c>
      <c r="I56">
        <f>IF((gamma!I56),IF(VLOOKUP(I$1,main!$A$3:$I$56,7,FALSE)=VLOOKUP($A56,main!$A$3:$I$56,8,FALSE),VLOOKUP(I$1,main!$A$3:$I$56,4,FALSE),VLOOKUP(I$1,main!$A$3:$I$56,4,FALSE)+VLOOKUP($A56,main!$A$3:$I$56,4,FALSE)+(VLOOKUP(VLOOKUP(I$1,main!$A$3:$I$56,8,FALSE),main!$K$19:$O$22,MATCH(VLOOKUP($A56,main!$A$3:$I$56,7,FALSE),main!$K$18:$O$18,0),0))),0)</f>
        <v>0</v>
      </c>
      <c r="J56">
        <f>IF((gamma!J56),IF(VLOOKUP(J$1,main!$A$3:$I$56,7,FALSE)=VLOOKUP($A56,main!$A$3:$I$56,8,FALSE),VLOOKUP(J$1,main!$A$3:$I$56,4,FALSE),VLOOKUP(J$1,main!$A$3:$I$56,4,FALSE)+VLOOKUP($A56,main!$A$3:$I$56,4,FALSE)+(VLOOKUP(VLOOKUP(J$1,main!$A$3:$I$56,8,FALSE),main!$K$19:$O$22,MATCH(VLOOKUP($A56,main!$A$3:$I$56,7,FALSE),main!$K$18:$O$18,0),0))),0)</f>
        <v>310</v>
      </c>
      <c r="K56">
        <f>IF((gamma!K56),IF(VLOOKUP(K$1,main!$A$3:$I$56,7,FALSE)=VLOOKUP($A56,main!$A$3:$I$56,8,FALSE),VLOOKUP(K$1,main!$A$3:$I$56,4,FALSE),VLOOKUP(K$1,main!$A$3:$I$56,4,FALSE)+VLOOKUP($A56,main!$A$3:$I$56,4,FALSE)+(VLOOKUP(VLOOKUP(K$1,main!$A$3:$I$56,8,FALSE),main!$K$19:$O$22,MATCH(VLOOKUP($A56,main!$A$3:$I$56,7,FALSE),main!$K$18:$O$18,0),0))),0)</f>
        <v>0</v>
      </c>
      <c r="L56">
        <f>IF((gamma!L56),IF(VLOOKUP(L$1,main!$A$3:$I$56,7,FALSE)=VLOOKUP($A56,main!$A$3:$I$56,8,FALSE),VLOOKUP(L$1,main!$A$3:$I$56,4,FALSE),VLOOKUP(L$1,main!$A$3:$I$56,4,FALSE)+VLOOKUP($A56,main!$A$3:$I$56,4,FALSE)+(VLOOKUP(VLOOKUP(L$1,main!$A$3:$I$56,8,FALSE),main!$K$19:$O$22,MATCH(VLOOKUP($A56,main!$A$3:$I$56,7,FALSE),main!$K$18:$O$18,0),0))),0)</f>
        <v>0</v>
      </c>
      <c r="M56">
        <f>IF((gamma!M56),IF(VLOOKUP(M$1,main!$A$3:$I$56,7,FALSE)=VLOOKUP($A56,main!$A$3:$I$56,8,FALSE),VLOOKUP(M$1,main!$A$3:$I$56,4,FALSE),VLOOKUP(M$1,main!$A$3:$I$56,4,FALSE)+VLOOKUP($A56,main!$A$3:$I$56,4,FALSE)+(VLOOKUP(VLOOKUP(M$1,main!$A$3:$I$56,8,FALSE),main!$K$19:$O$22,MATCH(VLOOKUP($A56,main!$A$3:$I$56,7,FALSE),main!$K$18:$O$18,0),0))),0)</f>
        <v>0</v>
      </c>
      <c r="N56">
        <f>IF((gamma!N56),IF(VLOOKUP(N$1,main!$A$3:$I$56,7,FALSE)=VLOOKUP($A56,main!$A$3:$I$56,8,FALSE),VLOOKUP(N$1,main!$A$3:$I$56,4,FALSE),VLOOKUP(N$1,main!$A$3:$I$56,4,FALSE)+VLOOKUP($A56,main!$A$3:$I$56,4,FALSE)+(VLOOKUP(VLOOKUP(N$1,main!$A$3:$I$56,8,FALSE),main!$K$19:$O$22,MATCH(VLOOKUP($A56,main!$A$3:$I$56,7,FALSE),main!$K$18:$O$18,0),0))),0)</f>
        <v>308</v>
      </c>
      <c r="O56">
        <f>IF((gamma!O56),IF(VLOOKUP(O$1,main!$A$3:$I$56,7,FALSE)=VLOOKUP($A56,main!$A$3:$I$56,8,FALSE),VLOOKUP(O$1,main!$A$3:$I$56,4,FALSE),VLOOKUP(O$1,main!$A$3:$I$56,4,FALSE)+VLOOKUP($A56,main!$A$3:$I$56,4,FALSE)+(VLOOKUP(VLOOKUP(O$1,main!$A$3:$I$56,8,FALSE),main!$K$19:$O$22,MATCH(VLOOKUP($A56,main!$A$3:$I$56,7,FALSE),main!$K$18:$O$18,0),0))),0)</f>
        <v>308</v>
      </c>
      <c r="P56">
        <f>IF((gamma!P56),IF(VLOOKUP(P$1,main!$A$3:$I$56,7,FALSE)=VLOOKUP($A56,main!$A$3:$I$56,8,FALSE),VLOOKUP(P$1,main!$A$3:$I$56,4,FALSE),VLOOKUP(P$1,main!$A$3:$I$56,4,FALSE)+VLOOKUP($A56,main!$A$3:$I$56,4,FALSE)+(VLOOKUP(VLOOKUP(P$1,main!$A$3:$I$56,8,FALSE),main!$K$19:$O$22,MATCH(VLOOKUP($A56,main!$A$3:$I$56,7,FALSE),main!$K$18:$O$18,0),0))),0)</f>
        <v>0</v>
      </c>
      <c r="Q56">
        <f>IF((gamma!Q56),IF(VLOOKUP(Q$1,main!$A$3:$I$56,7,FALSE)=VLOOKUP($A56,main!$A$3:$I$56,8,FALSE),VLOOKUP(Q$1,main!$A$3:$I$56,4,FALSE),VLOOKUP(Q$1,main!$A$3:$I$56,4,FALSE)+VLOOKUP($A56,main!$A$3:$I$56,4,FALSE)+(VLOOKUP(VLOOKUP(Q$1,main!$A$3:$I$56,8,FALSE),main!$K$19:$O$22,MATCH(VLOOKUP($A56,main!$A$3:$I$56,7,FALSE),main!$K$18:$O$18,0),0))),0)</f>
        <v>0</v>
      </c>
      <c r="R56">
        <f>IF((gamma!R56),IF(VLOOKUP(R$1,main!$A$3:$I$56,7,FALSE)=VLOOKUP($A56,main!$A$3:$I$56,8,FALSE),VLOOKUP(R$1,main!$A$3:$I$56,4,FALSE),VLOOKUP(R$1,main!$A$3:$I$56,4,FALSE)+VLOOKUP($A56,main!$A$3:$I$56,4,FALSE)+(VLOOKUP(VLOOKUP(R$1,main!$A$3:$I$56,8,FALSE),main!$K$19:$O$22,MATCH(VLOOKUP($A56,main!$A$3:$I$56,7,FALSE),main!$K$18:$O$18,0),0))),0)</f>
        <v>0</v>
      </c>
      <c r="S56">
        <f>IF((gamma!S56),IF(VLOOKUP(S$1,main!$A$3:$I$56,7,FALSE)=VLOOKUP($A56,main!$A$3:$I$56,8,FALSE),VLOOKUP(S$1,main!$A$3:$I$56,4,FALSE),VLOOKUP(S$1,main!$A$3:$I$56,4,FALSE)+VLOOKUP($A56,main!$A$3:$I$56,4,FALSE)+(VLOOKUP(VLOOKUP(S$1,main!$A$3:$I$56,8,FALSE),main!$K$19:$O$22,MATCH(VLOOKUP($A56,main!$A$3:$I$56,7,FALSE),main!$K$18:$O$18,0),0))),0)</f>
        <v>0</v>
      </c>
      <c r="T56">
        <f>IF((gamma!T56),IF(VLOOKUP(T$1,main!$A$3:$I$56,7,FALSE)=VLOOKUP($A56,main!$A$3:$I$56,8,FALSE),VLOOKUP(T$1,main!$A$3:$I$56,4,FALSE),VLOOKUP(T$1,main!$A$3:$I$56,4,FALSE)+VLOOKUP($A56,main!$A$3:$I$56,4,FALSE)+(VLOOKUP(VLOOKUP(T$1,main!$A$3:$I$56,8,FALSE),main!$K$19:$O$22,MATCH(VLOOKUP($A56,main!$A$3:$I$56,7,FALSE),main!$K$18:$O$18,0),0))),0)</f>
        <v>0</v>
      </c>
      <c r="U56">
        <f>IF((gamma!U56),IF(VLOOKUP(U$1,main!$A$3:$I$56,7,FALSE)=VLOOKUP($A56,main!$A$3:$I$56,8,FALSE),VLOOKUP(U$1,main!$A$3:$I$56,4,FALSE),VLOOKUP(U$1,main!$A$3:$I$56,4,FALSE)+VLOOKUP($A56,main!$A$3:$I$56,4,FALSE)+(VLOOKUP(VLOOKUP(U$1,main!$A$3:$I$56,8,FALSE),main!$K$19:$O$22,MATCH(VLOOKUP($A56,main!$A$3:$I$56,7,FALSE),main!$K$18:$O$18,0),0))),0)</f>
        <v>0</v>
      </c>
      <c r="V56">
        <f>IF((gamma!V56),IF(VLOOKUP(V$1,main!$A$3:$I$56,7,FALSE)=VLOOKUP($A56,main!$A$3:$I$56,8,FALSE),VLOOKUP(V$1,main!$A$3:$I$56,4,FALSE),VLOOKUP(V$1,main!$A$3:$I$56,4,FALSE)+VLOOKUP($A56,main!$A$3:$I$56,4,FALSE)+(VLOOKUP(VLOOKUP(V$1,main!$A$3:$I$56,8,FALSE),main!$K$19:$O$22,MATCH(VLOOKUP($A56,main!$A$3:$I$56,7,FALSE),main!$K$18:$O$18,0),0))),0)</f>
        <v>0</v>
      </c>
      <c r="W56">
        <f>IF((gamma!W56),IF(VLOOKUP(W$1,main!$A$3:$I$56,7,FALSE)=VLOOKUP($A56,main!$A$3:$I$56,8,FALSE),VLOOKUP(W$1,main!$A$3:$I$56,4,FALSE),VLOOKUP(W$1,main!$A$3:$I$56,4,FALSE)+VLOOKUP($A56,main!$A$3:$I$56,4,FALSE)+(VLOOKUP(VLOOKUP(W$1,main!$A$3:$I$56,8,FALSE),main!$K$19:$O$22,MATCH(VLOOKUP($A56,main!$A$3:$I$56,7,FALSE),main!$K$18:$O$18,0),0))),0)</f>
        <v>0</v>
      </c>
      <c r="X56">
        <f>IF((gamma!X56),IF(VLOOKUP(X$1,main!$A$3:$I$56,7,FALSE)=VLOOKUP($A56,main!$A$3:$I$56,8,FALSE),VLOOKUP(X$1,main!$A$3:$I$56,4,FALSE),VLOOKUP(X$1,main!$A$3:$I$56,4,FALSE)+VLOOKUP($A56,main!$A$3:$I$56,4,FALSE)+(VLOOKUP(VLOOKUP(X$1,main!$A$3:$I$56,8,FALSE),main!$K$19:$O$22,MATCH(VLOOKUP($A56,main!$A$3:$I$56,7,FALSE),main!$K$18:$O$18,0),0))),0)</f>
        <v>0</v>
      </c>
      <c r="Y56">
        <f>IF((gamma!Y56),IF(VLOOKUP(Y$1,main!$A$3:$I$56,7,FALSE)=VLOOKUP($A56,main!$A$3:$I$56,8,FALSE),VLOOKUP(Y$1,main!$A$3:$I$56,4,FALSE),VLOOKUP(Y$1,main!$A$3:$I$56,4,FALSE)+VLOOKUP($A56,main!$A$3:$I$56,4,FALSE)+(VLOOKUP(VLOOKUP(Y$1,main!$A$3:$I$56,8,FALSE),main!$K$19:$O$22,MATCH(VLOOKUP($A56,main!$A$3:$I$56,7,FALSE),main!$K$18:$O$18,0),0))),0)</f>
        <v>0</v>
      </c>
      <c r="Z56">
        <f>IF((gamma!Z56),IF(VLOOKUP(Z$1,main!$A$3:$I$56,7,FALSE)=VLOOKUP($A56,main!$A$3:$I$56,8,FALSE),VLOOKUP(Z$1,main!$A$3:$I$56,4,FALSE),VLOOKUP(Z$1,main!$A$3:$I$56,4,FALSE)+VLOOKUP($A56,main!$A$3:$I$56,4,FALSE)+(VLOOKUP(VLOOKUP(Z$1,main!$A$3:$I$56,8,FALSE),main!$K$19:$O$22,MATCH(VLOOKUP($A56,main!$A$3:$I$56,7,FALSE),main!$K$18:$O$18,0),0))),0)</f>
        <v>0</v>
      </c>
      <c r="AA56">
        <f>IF((gamma!AA56),IF(VLOOKUP(AA$1,main!$A$3:$I$56,7,FALSE)=VLOOKUP($A56,main!$A$3:$I$56,8,FALSE),VLOOKUP(AA$1,main!$A$3:$I$56,4,FALSE),VLOOKUP(AA$1,main!$A$3:$I$56,4,FALSE)+VLOOKUP($A56,main!$A$3:$I$56,4,FALSE)+(VLOOKUP(VLOOKUP(AA$1,main!$A$3:$I$56,8,FALSE),main!$K$19:$O$22,MATCH(VLOOKUP($A56,main!$A$3:$I$56,7,FALSE),main!$K$18:$O$18,0),0))),0)</f>
        <v>0</v>
      </c>
      <c r="AB56">
        <f>IF((gamma!AB56),IF(VLOOKUP(AB$1,main!$A$3:$I$56,7,FALSE)=VLOOKUP($A56,main!$A$3:$I$56,8,FALSE),VLOOKUP(AB$1,main!$A$3:$I$56,4,FALSE),VLOOKUP(AB$1,main!$A$3:$I$56,4,FALSE)+VLOOKUP($A56,main!$A$3:$I$56,4,FALSE)+(VLOOKUP(VLOOKUP(AB$1,main!$A$3:$I$56,8,FALSE),main!$K$19:$O$22,MATCH(VLOOKUP($A56,main!$A$3:$I$56,7,FALSE),main!$K$18:$O$18,0),0))),0)</f>
        <v>0</v>
      </c>
      <c r="AC56">
        <f>IF((gamma!AC56),IF(VLOOKUP(AC$1,main!$A$3:$I$56,7,FALSE)=VLOOKUP($A56,main!$A$3:$I$56,8,FALSE),VLOOKUP(AC$1,main!$A$3:$I$56,4,FALSE),VLOOKUP(AC$1,main!$A$3:$I$56,4,FALSE)+VLOOKUP($A56,main!$A$3:$I$56,4,FALSE)+(VLOOKUP(VLOOKUP(AC$1,main!$A$3:$I$56,8,FALSE),main!$K$19:$O$22,MATCH(VLOOKUP($A56,main!$A$3:$I$56,7,FALSE),main!$K$18:$O$18,0),0))),0)</f>
        <v>0</v>
      </c>
      <c r="AD56">
        <f>IF((gamma!AD56),IF(VLOOKUP(AD$1,main!$A$3:$I$56,7,FALSE)=VLOOKUP($A56,main!$A$3:$I$56,8,FALSE),VLOOKUP(AD$1,main!$A$3:$I$56,4,FALSE),VLOOKUP(AD$1,main!$A$3:$I$56,4,FALSE)+VLOOKUP($A56,main!$A$3:$I$56,4,FALSE)+(VLOOKUP(VLOOKUP(AD$1,main!$A$3:$I$56,8,FALSE),main!$K$19:$O$22,MATCH(VLOOKUP($A56,main!$A$3:$I$56,7,FALSE),main!$K$18:$O$18,0),0))),0)</f>
        <v>0</v>
      </c>
      <c r="AE56">
        <f>IF((gamma!AE56),IF(VLOOKUP(AE$1,main!$A$3:$I$56,7,FALSE)=VLOOKUP($A56,main!$A$3:$I$56,8,FALSE),VLOOKUP(AE$1,main!$A$3:$I$56,4,FALSE),VLOOKUP(AE$1,main!$A$3:$I$56,4,FALSE)+VLOOKUP($A56,main!$A$3:$I$56,4,FALSE)+(VLOOKUP(VLOOKUP(AE$1,main!$A$3:$I$56,8,FALSE),main!$K$19:$O$22,MATCH(VLOOKUP($A56,main!$A$3:$I$56,7,FALSE),main!$K$18:$O$18,0),0))),0)</f>
        <v>0</v>
      </c>
      <c r="AF56">
        <f>IF((gamma!AF56),IF(VLOOKUP(AF$1,main!$A$3:$I$56,7,FALSE)=VLOOKUP($A56,main!$A$3:$I$56,8,FALSE),VLOOKUP(AF$1,main!$A$3:$I$56,4,FALSE),VLOOKUP(AF$1,main!$A$3:$I$56,4,FALSE)+VLOOKUP($A56,main!$A$3:$I$56,4,FALSE)+(VLOOKUP(VLOOKUP(AF$1,main!$A$3:$I$56,8,FALSE),main!$K$19:$O$22,MATCH(VLOOKUP($A56,main!$A$3:$I$56,7,FALSE),main!$K$18:$O$18,0),0))),0)</f>
        <v>0</v>
      </c>
      <c r="AG56">
        <f>IF((gamma!AG56),IF(VLOOKUP(AG$1,main!$A$3:$I$56,7,FALSE)=VLOOKUP($A56,main!$A$3:$I$56,8,FALSE),VLOOKUP(AG$1,main!$A$3:$I$56,4,FALSE),VLOOKUP(AG$1,main!$A$3:$I$56,4,FALSE)+VLOOKUP($A56,main!$A$3:$I$56,4,FALSE)+(VLOOKUP(VLOOKUP(AG$1,main!$A$3:$I$56,8,FALSE),main!$K$19:$O$22,MATCH(VLOOKUP($A56,main!$A$3:$I$56,7,FALSE),main!$K$18:$O$18,0),0))),0)</f>
        <v>0</v>
      </c>
      <c r="AH56">
        <f>IF((gamma!AH56),IF(VLOOKUP(AH$1,main!$A$3:$I$56,7,FALSE)=VLOOKUP($A56,main!$A$3:$I$56,8,FALSE),VLOOKUP(AH$1,main!$A$3:$I$56,4,FALSE),VLOOKUP(AH$1,main!$A$3:$I$56,4,FALSE)+VLOOKUP($A56,main!$A$3:$I$56,4,FALSE)+(VLOOKUP(VLOOKUP(AH$1,main!$A$3:$I$56,8,FALSE),main!$K$19:$O$22,MATCH(VLOOKUP($A56,main!$A$3:$I$56,7,FALSE),main!$K$18:$O$18,0),0))),0)</f>
        <v>0</v>
      </c>
      <c r="AI56">
        <f>IF((gamma!AI56),IF(VLOOKUP(AI$1,main!$A$3:$I$56,7,FALSE)=VLOOKUP($A56,main!$A$3:$I$56,8,FALSE),VLOOKUP(AI$1,main!$A$3:$I$56,4,FALSE),VLOOKUP(AI$1,main!$A$3:$I$56,4,FALSE)+VLOOKUP($A56,main!$A$3:$I$56,4,FALSE)+(VLOOKUP(VLOOKUP(AI$1,main!$A$3:$I$56,8,FALSE),main!$K$19:$O$22,MATCH(VLOOKUP($A56,main!$A$3:$I$56,7,FALSE),main!$K$18:$O$18,0),0))),0)</f>
        <v>0</v>
      </c>
      <c r="AJ56">
        <f>IF((gamma!AJ56),IF(VLOOKUP(AJ$1,main!$A$3:$I$56,7,FALSE)=VLOOKUP($A56,main!$A$3:$I$56,8,FALSE),VLOOKUP(AJ$1,main!$A$3:$I$56,4,FALSE),VLOOKUP(AJ$1,main!$A$3:$I$56,4,FALSE)+VLOOKUP($A56,main!$A$3:$I$56,4,FALSE)+(VLOOKUP(VLOOKUP(AJ$1,main!$A$3:$I$56,8,FALSE),main!$K$19:$O$22,MATCH(VLOOKUP($A56,main!$A$3:$I$56,7,FALSE),main!$K$18:$O$18,0),0))),0)</f>
        <v>0</v>
      </c>
      <c r="AK56">
        <f>IF((gamma!AK56),IF(VLOOKUP(AK$1,main!$A$3:$I$56,7,FALSE)=VLOOKUP($A56,main!$A$3:$I$56,8,FALSE),VLOOKUP(AK$1,main!$A$3:$I$56,4,FALSE),VLOOKUP(AK$1,main!$A$3:$I$56,4,FALSE)+VLOOKUP($A56,main!$A$3:$I$56,4,FALSE)+(VLOOKUP(VLOOKUP(AK$1,main!$A$3:$I$56,8,FALSE),main!$K$19:$O$22,MATCH(VLOOKUP($A56,main!$A$3:$I$56,7,FALSE),main!$K$18:$O$18,0),0))),0)</f>
        <v>0</v>
      </c>
      <c r="AL56">
        <f>IF((gamma!AL56),IF(VLOOKUP(AL$1,main!$A$3:$I$56,7,FALSE)=VLOOKUP($A56,main!$A$3:$I$56,8,FALSE),VLOOKUP(AL$1,main!$A$3:$I$56,4,FALSE),VLOOKUP(AL$1,main!$A$3:$I$56,4,FALSE)+VLOOKUP($A56,main!$A$3:$I$56,4,FALSE)+(VLOOKUP(VLOOKUP(AL$1,main!$A$3:$I$56,8,FALSE),main!$K$19:$O$22,MATCH(VLOOKUP($A56,main!$A$3:$I$56,7,FALSE),main!$K$18:$O$18,0),0))),0)</f>
        <v>0</v>
      </c>
      <c r="AM56">
        <f>IF((gamma!AM56),IF(VLOOKUP(AM$1,main!$A$3:$I$56,7,FALSE)=VLOOKUP($A56,main!$A$3:$I$56,8,FALSE),VLOOKUP(AM$1,main!$A$3:$I$56,4,FALSE),VLOOKUP(AM$1,main!$A$3:$I$56,4,FALSE)+VLOOKUP($A56,main!$A$3:$I$56,4,FALSE)+(VLOOKUP(VLOOKUP(AM$1,main!$A$3:$I$56,8,FALSE),main!$K$19:$O$22,MATCH(VLOOKUP($A56,main!$A$3:$I$56,7,FALSE),main!$K$18:$O$18,0),0))),0)</f>
        <v>0</v>
      </c>
      <c r="AN56">
        <f>IF((gamma!AN56),IF(VLOOKUP(AN$1,main!$A$3:$I$56,7,FALSE)=VLOOKUP($A56,main!$A$3:$I$56,8,FALSE),VLOOKUP(AN$1,main!$A$3:$I$56,4,FALSE),VLOOKUP(AN$1,main!$A$3:$I$56,4,FALSE)+VLOOKUP($A56,main!$A$3:$I$56,4,FALSE)+(VLOOKUP(VLOOKUP(AN$1,main!$A$3:$I$56,8,FALSE),main!$K$19:$O$22,MATCH(VLOOKUP($A56,main!$A$3:$I$56,7,FALSE),main!$K$18:$O$18,0),0))),0)</f>
        <v>0</v>
      </c>
      <c r="AO56">
        <f>IF((gamma!AO56),IF(VLOOKUP(AO$1,main!$A$3:$I$56,7,FALSE)=VLOOKUP($A56,main!$A$3:$I$56,8,FALSE),VLOOKUP(AO$1,main!$A$3:$I$56,4,FALSE),VLOOKUP(AO$1,main!$A$3:$I$56,4,FALSE)+VLOOKUP($A56,main!$A$3:$I$56,4,FALSE)+(VLOOKUP(VLOOKUP(AO$1,main!$A$3:$I$56,8,FALSE),main!$K$19:$O$22,MATCH(VLOOKUP($A56,main!$A$3:$I$56,7,FALSE),main!$K$18:$O$18,0),0))),0)</f>
        <v>0</v>
      </c>
      <c r="AP56">
        <f>IF((gamma!AP56),IF(VLOOKUP(AP$1,main!$A$3:$I$56,7,FALSE)=VLOOKUP($A56,main!$A$3:$I$56,8,FALSE),VLOOKUP(AP$1,main!$A$3:$I$56,4,FALSE),VLOOKUP(AP$1,main!$A$3:$I$56,4,FALSE)+VLOOKUP($A56,main!$A$3:$I$56,4,FALSE)+(VLOOKUP(VLOOKUP(AP$1,main!$A$3:$I$56,8,FALSE),main!$K$19:$O$22,MATCH(VLOOKUP($A56,main!$A$3:$I$56,7,FALSE),main!$K$18:$O$18,0),0))),0)</f>
        <v>0</v>
      </c>
      <c r="AQ56">
        <f>IF((gamma!AQ56),IF(VLOOKUP(AQ$1,main!$A$3:$I$56,7,FALSE)=VLOOKUP($A56,main!$A$3:$I$56,8,FALSE),VLOOKUP(AQ$1,main!$A$3:$I$56,4,FALSE),VLOOKUP(AQ$1,main!$A$3:$I$56,4,FALSE)+VLOOKUP($A56,main!$A$3:$I$56,4,FALSE)+(VLOOKUP(VLOOKUP(AQ$1,main!$A$3:$I$56,8,FALSE),main!$K$19:$O$22,MATCH(VLOOKUP($A56,main!$A$3:$I$56,7,FALSE),main!$K$18:$O$18,0),0))),0)</f>
        <v>0</v>
      </c>
      <c r="AR56">
        <f>IF((gamma!AR56),IF(VLOOKUP(AR$1,main!$A$3:$I$56,7,FALSE)=VLOOKUP($A56,main!$A$3:$I$56,8,FALSE),VLOOKUP(AR$1,main!$A$3:$I$56,4,FALSE),VLOOKUP(AR$1,main!$A$3:$I$56,4,FALSE)+VLOOKUP($A56,main!$A$3:$I$56,4,FALSE)+(VLOOKUP(VLOOKUP(AR$1,main!$A$3:$I$56,8,FALSE),main!$K$19:$O$22,MATCH(VLOOKUP($A56,main!$A$3:$I$56,7,FALSE),main!$K$18:$O$18,0),0))),0)</f>
        <v>0</v>
      </c>
      <c r="AS56">
        <f>IF((gamma!AS56),IF(VLOOKUP(AS$1,main!$A$3:$I$56,7,FALSE)=VLOOKUP($A56,main!$A$3:$I$56,8,FALSE),VLOOKUP(AS$1,main!$A$3:$I$56,4,FALSE),VLOOKUP(AS$1,main!$A$3:$I$56,4,FALSE)+VLOOKUP($A56,main!$A$3:$I$56,4,FALSE)+(VLOOKUP(VLOOKUP(AS$1,main!$A$3:$I$56,8,FALSE),main!$K$19:$O$22,MATCH(VLOOKUP($A56,main!$A$3:$I$56,7,FALSE),main!$K$18:$O$18,0),0))),0)</f>
        <v>0</v>
      </c>
      <c r="AT56">
        <f>IF((gamma!AT56),IF(VLOOKUP(AT$1,main!$A$3:$I$56,7,FALSE)=VLOOKUP($A56,main!$A$3:$I$56,8,FALSE),VLOOKUP(AT$1,main!$A$3:$I$56,4,FALSE),VLOOKUP(AT$1,main!$A$3:$I$56,4,FALSE)+VLOOKUP($A56,main!$A$3:$I$56,4,FALSE)+(VLOOKUP(VLOOKUP(AT$1,main!$A$3:$I$56,8,FALSE),main!$K$19:$O$22,MATCH(VLOOKUP($A56,main!$A$3:$I$56,7,FALSE),main!$K$18:$O$18,0),0))),0)</f>
        <v>0</v>
      </c>
      <c r="AU56">
        <f>IF((gamma!AU56),IF(VLOOKUP(AU$1,main!$A$3:$I$56,7,FALSE)=VLOOKUP($A56,main!$A$3:$I$56,8,FALSE),VLOOKUP(AU$1,main!$A$3:$I$56,4,FALSE),VLOOKUP(AU$1,main!$A$3:$I$56,4,FALSE)+VLOOKUP($A56,main!$A$3:$I$56,4,FALSE)+(VLOOKUP(VLOOKUP(AU$1,main!$A$3:$I$56,8,FALSE),main!$K$19:$O$22,MATCH(VLOOKUP($A56,main!$A$3:$I$56,7,FALSE),main!$K$18:$O$18,0),0))),0)</f>
        <v>0</v>
      </c>
      <c r="AV56">
        <f>IF((gamma!AV56),IF(VLOOKUP(AV$1,main!$A$3:$I$56,7,FALSE)=VLOOKUP($A56,main!$A$3:$I$56,8,FALSE),VLOOKUP(AV$1,main!$A$3:$I$56,4,FALSE),VLOOKUP(AV$1,main!$A$3:$I$56,4,FALSE)+VLOOKUP($A56,main!$A$3:$I$56,4,FALSE)+(VLOOKUP(VLOOKUP(AV$1,main!$A$3:$I$56,8,FALSE),main!$K$19:$O$22,MATCH(VLOOKUP($A56,main!$A$3:$I$56,7,FALSE),main!$K$18:$O$18,0),0))),0)</f>
        <v>0</v>
      </c>
      <c r="AW56">
        <f>IF((gamma!AW56),IF(VLOOKUP(AW$1,main!$A$3:$I$56,7,FALSE)=VLOOKUP($A56,main!$A$3:$I$56,8,FALSE),VLOOKUP(AW$1,main!$A$3:$I$56,4,FALSE),VLOOKUP(AW$1,main!$A$3:$I$56,4,FALSE)+VLOOKUP($A56,main!$A$3:$I$56,4,FALSE)+(VLOOKUP(VLOOKUP(AW$1,main!$A$3:$I$56,8,FALSE),main!$K$19:$O$22,MATCH(VLOOKUP($A56,main!$A$3:$I$56,7,FALSE),main!$K$18:$O$18,0),0))),0)</f>
        <v>0</v>
      </c>
      <c r="AX56">
        <f>IF((gamma!AX56),IF(VLOOKUP(AX$1,main!$A$3:$I$56,7,FALSE)=VLOOKUP($A56,main!$A$3:$I$56,8,FALSE),VLOOKUP(AX$1,main!$A$3:$I$56,4,FALSE),VLOOKUP(AX$1,main!$A$3:$I$56,4,FALSE)+VLOOKUP($A56,main!$A$3:$I$56,4,FALSE)+(VLOOKUP(VLOOKUP(AX$1,main!$A$3:$I$56,8,FALSE),main!$K$19:$O$22,MATCH(VLOOKUP($A56,main!$A$3:$I$56,7,FALSE),main!$K$18:$O$18,0),0))),0)</f>
        <v>0</v>
      </c>
      <c r="AY56">
        <f>IF((gamma!AY56),IF(VLOOKUP(AY$1,main!$A$3:$I$56,7,FALSE)=VLOOKUP($A56,main!$A$3:$I$56,8,FALSE),VLOOKUP(AY$1,main!$A$3:$I$56,4,FALSE),VLOOKUP(AY$1,main!$A$3:$I$56,4,FALSE)+VLOOKUP($A56,main!$A$3:$I$56,4,FALSE)+(VLOOKUP(VLOOKUP(AY$1,main!$A$3:$I$56,8,FALSE),main!$K$19:$O$22,MATCH(VLOOKUP($A56,main!$A$3:$I$56,7,FALSE),main!$K$18:$O$18,0),0))),0)</f>
        <v>310</v>
      </c>
      <c r="AZ56">
        <f>IF((gamma!AZ56),IF(VLOOKUP(AZ$1,main!$A$3:$I$56,7,FALSE)=VLOOKUP($A56,main!$A$3:$I$56,8,FALSE),VLOOKUP(AZ$1,main!$A$3:$I$56,4,FALSE),VLOOKUP(AZ$1,main!$A$3:$I$56,4,FALSE)+VLOOKUP($A56,main!$A$3:$I$56,4,FALSE)+(VLOOKUP(VLOOKUP(AZ$1,main!$A$3:$I$56,8,FALSE),main!$K$19:$O$22,MATCH(VLOOKUP($A56,main!$A$3:$I$56,7,FALSE),main!$K$18:$O$18,0),0))),0)</f>
        <v>0</v>
      </c>
      <c r="BA56">
        <f>IF((gamma!BA56),IF(VLOOKUP(BA$1,main!$A$3:$I$56,7,FALSE)=VLOOKUP($A56,main!$A$3:$I$56,8,FALSE),VLOOKUP(BA$1,main!$A$3:$I$56,4,FALSE),VLOOKUP(BA$1,main!$A$3:$I$56,4,FALSE)+VLOOKUP($A56,main!$A$3:$I$56,4,FALSE)+(VLOOKUP(VLOOKUP(BA$1,main!$A$3:$I$56,8,FALSE),main!$K$19:$O$22,MATCH(VLOOKUP($A56,main!$A$3:$I$56,7,FALSE),main!$K$18:$O$18,0),0))),0)</f>
        <v>0</v>
      </c>
      <c r="BB56">
        <f>IF((gamma!BB56),IF(VLOOKUP(BB$1,main!$A$3:$I$56,7,FALSE)=VLOOKUP($A56,main!$A$3:$I$56,8,FALSE),VLOOKUP(BB$1,main!$A$3:$I$56,4,FALSE),VLOOKUP(BB$1,main!$A$3:$I$56,4,FALSE)+VLOOKUP($A56,main!$A$3:$I$56,4,FALSE)+(VLOOKUP(VLOOKUP(BB$1,main!$A$3:$I$56,8,FALSE),main!$K$19:$O$22,MATCH(VLOOKUP($A56,main!$A$3:$I$56,7,FALSE),main!$K$18:$O$18,0),0))),0)</f>
        <v>0</v>
      </c>
      <c r="BC56">
        <f>IF((gamma!BC56),IF(VLOOKUP(BC$1,main!$A$3:$I$56,7,FALSE)=VLOOKUP($A56,main!$A$3:$I$56,8,FALSE),VLOOKUP(BC$1,main!$A$3:$I$56,4,FALSE),VLOOKUP(BC$1,main!$A$3:$I$56,4,FALSE)+VLOOKUP($A56,main!$A$3:$I$56,4,FALSE)+(VLOOKUP(VLOOKUP(BC$1,main!$A$3:$I$56,8,FALSE),main!$K$19:$O$22,MATCH(VLOOKUP($A56,main!$A$3:$I$56,7,FALSE),main!$K$18:$O$18,0),0))),0)</f>
        <v>0</v>
      </c>
      <c r="BD56">
        <f>IF((gamma!BD56),IF(VLOOKUP(BD$1,main!$A$3:$I$56,7,FALSE)=VLOOKUP($A56,main!$A$3:$I$56,8,FALSE),VLOOKUP(BD$1,main!$A$3:$I$56,4,FALSE),VLOOKUP(BD$1,main!$A$3:$I$56,4,FALSE)+VLOOKUP($A56,main!$A$3:$I$56,4,FALSE)+(VLOOKUP(VLOOKUP(BD$1,main!$A$3:$I$56,8,FALSE),main!$K$19:$O$22,MATCH(VLOOKUP($A56,main!$A$3:$I$56,7,FALSE),main!$K$18:$O$18,0),0))),0)</f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>
        <f t="shared" si="0"/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5">
      <c r="A58">
        <f t="shared" si="0"/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>
        <f t="shared" si="0"/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5">
      <c r="A60">
        <f t="shared" si="0"/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>
        <f t="shared" si="0"/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25">
      <c r="E62" t="s">
        <v>13</v>
      </c>
      <c r="F62" t="s">
        <v>14</v>
      </c>
      <c r="G62" t="s">
        <v>23</v>
      </c>
      <c r="H62" t="s">
        <v>29</v>
      </c>
    </row>
    <row r="63" spans="1:61" x14ac:dyDescent="0.25">
      <c r="D63" t="s">
        <v>13</v>
      </c>
      <c r="E63">
        <v>0</v>
      </c>
      <c r="F63">
        <v>25</v>
      </c>
      <c r="G63">
        <v>30</v>
      </c>
      <c r="H63">
        <v>35</v>
      </c>
    </row>
    <row r="64" spans="1:61" x14ac:dyDescent="0.25">
      <c r="D64" t="s">
        <v>14</v>
      </c>
      <c r="E64">
        <v>25</v>
      </c>
      <c r="F64">
        <v>0</v>
      </c>
      <c r="G64">
        <v>28</v>
      </c>
      <c r="H64">
        <v>40</v>
      </c>
    </row>
    <row r="65" spans="4:13" x14ac:dyDescent="0.25">
      <c r="D65" t="s">
        <v>23</v>
      </c>
      <c r="E65">
        <v>30</v>
      </c>
      <c r="F65">
        <v>28</v>
      </c>
      <c r="G65">
        <v>0</v>
      </c>
      <c r="H65">
        <v>33</v>
      </c>
      <c r="M65" t="s">
        <v>76</v>
      </c>
    </row>
    <row r="66" spans="4:13" x14ac:dyDescent="0.25">
      <c r="D66" t="s">
        <v>29</v>
      </c>
      <c r="E66">
        <v>35</v>
      </c>
      <c r="F66">
        <v>40</v>
      </c>
      <c r="G66">
        <v>33</v>
      </c>
      <c r="H66">
        <v>0</v>
      </c>
      <c r="M66">
        <f>VLOOKUP(D$1,main!$A$3:$I$56,4,FALSE)</f>
        <v>135</v>
      </c>
    </row>
    <row r="67" spans="4:13" x14ac:dyDescent="0.25">
      <c r="M67">
        <f>(VLOOKUP(VLOOKUP(D$1,main!$A$3:$I$56,7,FALSE),main!$K$19:$O$22,MATCH(VLOOKUP($A29,main!$A$3:$I$56,7,FALSE),main!$K$18:$O$18,0),0))</f>
        <v>30</v>
      </c>
    </row>
    <row r="68" spans="4:13" x14ac:dyDescent="0.25">
      <c r="M68" t="str">
        <f>VLOOKUP(D$1,main!$A$3:$I$56,7,FALSE)</f>
        <v>Terminal A</v>
      </c>
    </row>
    <row r="69" spans="4:13" x14ac:dyDescent="0.25">
      <c r="F69">
        <f>D1</f>
        <v>2</v>
      </c>
      <c r="G69" t="str">
        <f>VLOOKUP(F69,main!A2:I59,7,FALSE)</f>
        <v>Terminal A</v>
      </c>
      <c r="I69">
        <f>VLOOKUP(G69,D63:H66,MATCH(G70,D62:H62,0),0)</f>
        <v>35</v>
      </c>
      <c r="M69" t="str">
        <f>VLOOKUP($A29,main!$A$3:$I$56,8,FALSE)</f>
        <v>Terminal B</v>
      </c>
    </row>
    <row r="70" spans="4:13" x14ac:dyDescent="0.25">
      <c r="F70">
        <v>49</v>
      </c>
      <c r="G70" t="str">
        <f>VLOOKUP(F70,main!A3:I60,7,FALSE)</f>
        <v>Terminal D</v>
      </c>
    </row>
    <row r="72" spans="4:13" x14ac:dyDescent="0.25">
      <c r="M72">
        <f>VLOOKUP(VLOOKUP(C$1,main!$A$3:$I$56,8,FALSE),main!$K$19:$O$22,MATCH(VLOOKUP($A3,main!$A$3:$I$56,7,FALSE),main!$K$18:$O$18,0))</f>
        <v>25</v>
      </c>
    </row>
    <row r="73" spans="4:13" x14ac:dyDescent="0.25">
      <c r="M73" t="str">
        <f>VLOOKUP(C$1,main!$A$3:$I$56,8,FALSE)</f>
        <v>Terminal B</v>
      </c>
    </row>
    <row r="74" spans="4:13" x14ac:dyDescent="0.25">
      <c r="M74" t="str">
        <f>VLOOKUP($A3,main!$A$3:$I$56,7,FALSE)</f>
        <v>Terminal A</v>
      </c>
    </row>
    <row r="75" spans="4:13" x14ac:dyDescent="0.25">
      <c r="D75" t="s">
        <v>80</v>
      </c>
    </row>
    <row r="76" spans="4:13" x14ac:dyDescent="0.25">
      <c r="D76" t="s">
        <v>81</v>
      </c>
    </row>
    <row r="77" spans="4:13" x14ac:dyDescent="0.25">
      <c r="D77">
        <f>VLOOKUP(D$1,main!$A$3:$I$56,4,FALSE)</f>
        <v>135</v>
      </c>
    </row>
    <row r="78" spans="4:13" x14ac:dyDescent="0.25">
      <c r="D78">
        <f>(VLOOKUP(VLOOKUP(D$1,main!$A$3:$I$56,8,FALSE),main!$K$19:$O$22,MATCH(VLOOKUP($A3,main!$A$3:$I$56,7,FALSE),main!$K$18:$O$18,0)))</f>
        <v>25</v>
      </c>
    </row>
    <row r="79" spans="4:13" x14ac:dyDescent="0.25">
      <c r="D79">
        <f>VLOOKUP($A3,main!$A$3:$I$56,4,FALSE)</f>
        <v>135</v>
      </c>
    </row>
    <row r="81" spans="4:4" x14ac:dyDescent="0.25">
      <c r="D81">
        <f>-(VLOOKUP($A3,main!$A$3:$I$56,6,FALSE)+(VLOOKUP(VLOOKUP(D$1,main!$A$3:$I$56,8,FALSE),main!$K$19:$O$22,MATCH(VLOOKUP($A3,main!$A$3:$I$56,7,FALSE),main!$K$18:$O$18,0))))</f>
        <v>-720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76"/>
  <sheetViews>
    <sheetView tabSelected="1" workbookViewId="0">
      <pane xSplit="1" topLeftCell="B1" activePane="topRight" state="frozen"/>
      <selection activeCell="A56" sqref="A56"/>
      <selection pane="topRight" activeCell="BD166" sqref="BD166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IF(VLOOKUP(C$1,main!$A$3:$I$56,5,FALSE)-VLOOKUP($A3,main!$A$3:$I$56,6,FALSE)&gt;=VLOOKUP(55,main!$A$57:$I$59,4,FALSE)+VLOOKUP(VLOOKUP(C$1,main!$A$3:$I$56,7,FALSE),main!$K$10:$Q$14,3,FALSE),1,0)</f>
        <v>0</v>
      </c>
      <c r="D3">
        <f>IF(VLOOKUP(D$1,main!$A$3:$I$56,5,FALSE)-VLOOKUP($A3,main!$A$3:$I$56,6,FALSE)&gt;=VLOOKUP(55,main!$A$57:$I$59,4,FALSE)+VLOOKUP(VLOOKUP(D$1,main!$A$3:$I$56,7,FALSE),main!$K$10:$Q$14,3,FALSE),1,0)</f>
        <v>0</v>
      </c>
      <c r="E3">
        <f>IF(VLOOKUP(E$1,main!$A$3:$I$56,5,FALSE)-VLOOKUP($A3,main!$A$3:$I$56,6,FALSE)&gt;=VLOOKUP(55,main!$A$57:$I$59,4,FALSE)+VLOOKUP(VLOOKUP(E$1,main!$A$3:$I$56,7,FALSE),main!$K$10:$Q$14,3,FALSE),1,0)</f>
        <v>1</v>
      </c>
      <c r="F3">
        <f>IF(VLOOKUP(F$1,main!$A$3:$I$56,5,FALSE)-VLOOKUP($A3,main!$A$3:$I$56,6,FALSE)&gt;=VLOOKUP(55,main!$A$57:$I$59,4,FALSE)+VLOOKUP(VLOOKUP(F$1,main!$A$3:$I$56,7,FALSE),main!$K$10:$Q$14,3,FALSE),1,0)</f>
        <v>1</v>
      </c>
      <c r="G3">
        <f>IF(VLOOKUP(G$1,main!$A$3:$I$56,5,FALSE)-VLOOKUP($A3,main!$A$3:$I$56,6,FALSE)&gt;=VLOOKUP(55,main!$A$57:$I$59,4,FALSE)+VLOOKUP(VLOOKUP(G$1,main!$A$3:$I$56,7,FALSE),main!$K$10:$Q$14,3,FALSE),1,0)</f>
        <v>1</v>
      </c>
      <c r="H3">
        <f>IF(VLOOKUP(H$1,main!$A$3:$I$56,5,FALSE)-VLOOKUP($A3,main!$A$3:$I$56,6,FALSE)&gt;=VLOOKUP(55,main!$A$57:$I$59,4,FALSE)+VLOOKUP(VLOOKUP(H$1,main!$A$3:$I$56,7,FALSE),main!$K$10:$Q$14,3,FALSE),1,0)</f>
        <v>1</v>
      </c>
      <c r="I3">
        <f>IF(VLOOKUP(I$1,main!$A$3:$I$56,5,FALSE)-VLOOKUP($A3,main!$A$3:$I$56,6,FALSE)&gt;=VLOOKUP(55,main!$A$57:$I$59,4,FALSE)+VLOOKUP(VLOOKUP(I$1,main!$A$3:$I$56,7,FALSE),main!$K$10:$Q$14,3,FALSE),1,0)</f>
        <v>1</v>
      </c>
      <c r="J3">
        <f>IF(VLOOKUP(J$1,main!$A$3:$I$56,5,FALSE)-VLOOKUP($A3,main!$A$3:$I$56,6,FALSE)&gt;=VLOOKUP(55,main!$A$57:$I$59,4,FALSE)+VLOOKUP(VLOOKUP(J$1,main!$A$3:$I$56,7,FALSE),main!$K$10:$Q$14,3,FALSE),1,0)</f>
        <v>1</v>
      </c>
      <c r="K3">
        <f>IF(VLOOKUP(K$1,main!$A$3:$I$56,5,FALSE)-VLOOKUP($A3,main!$A$3:$I$56,6,FALSE)&gt;=VLOOKUP(55,main!$A$57:$I$59,4,FALSE)+VLOOKUP(VLOOKUP(K$1,main!$A$3:$I$56,7,FALSE),main!$K$10:$Q$14,3,FALSE),1,0)</f>
        <v>0</v>
      </c>
      <c r="L3">
        <f>IF(VLOOKUP(L$1,main!$A$3:$I$56,5,FALSE)-VLOOKUP($A3,main!$A$3:$I$56,6,FALSE)&gt;=VLOOKUP(55,main!$A$57:$I$59,4,FALSE)+VLOOKUP(VLOOKUP(L$1,main!$A$3:$I$56,7,FALSE),main!$K$10:$Q$14,3,FALSE),1,0)</f>
        <v>0</v>
      </c>
      <c r="M3">
        <f>IF(VLOOKUP(M$1,main!$A$3:$I$56,5,FALSE)-VLOOKUP($A3,main!$A$3:$I$56,6,FALSE)&gt;=VLOOKUP(55,main!$A$57:$I$59,4,FALSE)+VLOOKUP(VLOOKUP(M$1,main!$A$3:$I$56,7,FALSE),main!$K$10:$Q$14,3,FALSE),1,0)</f>
        <v>1</v>
      </c>
      <c r="N3">
        <f>IF(VLOOKUP(N$1,main!$A$3:$I$56,5,FALSE)-VLOOKUP($A3,main!$A$3:$I$56,6,FALSE)&gt;=VLOOKUP(55,main!$A$57:$I$59,4,FALSE)+VLOOKUP(VLOOKUP(N$1,main!$A$3:$I$56,7,FALSE),main!$K$10:$Q$14,3,FALSE),1,0)</f>
        <v>1</v>
      </c>
      <c r="O3">
        <f>IF(VLOOKUP(O$1,main!$A$3:$I$56,5,FALSE)-VLOOKUP($A3,main!$A$3:$I$56,6,FALSE)&gt;=VLOOKUP(55,main!$A$57:$I$59,4,FALSE)+VLOOKUP(VLOOKUP(O$1,main!$A$3:$I$56,7,FALSE),main!$K$10:$Q$14,3,FALSE),1,0)</f>
        <v>1</v>
      </c>
      <c r="P3">
        <f>IF(VLOOKUP(P$1,main!$A$3:$I$56,5,FALSE)-VLOOKUP($A3,main!$A$3:$I$56,6,FALSE)&gt;=VLOOKUP(55,main!$A$57:$I$59,4,FALSE)+VLOOKUP(VLOOKUP(P$1,main!$A$3:$I$56,7,FALSE),main!$K$10:$Q$14,3,FALSE),1,0)</f>
        <v>0</v>
      </c>
      <c r="Q3">
        <f>IF(VLOOKUP(Q$1,main!$A$3:$I$56,5,FALSE)-VLOOKUP($A3,main!$A$3:$I$56,6,FALSE)&gt;=VLOOKUP(55,main!$A$57:$I$59,4,FALSE)+VLOOKUP(VLOOKUP(Q$1,main!$A$3:$I$56,7,FALSE),main!$K$10:$Q$14,3,FALSE),1,0)</f>
        <v>0</v>
      </c>
      <c r="R3">
        <f>IF(VLOOKUP(R$1,main!$A$3:$I$56,5,FALSE)-VLOOKUP($A3,main!$A$3:$I$56,6,FALSE)&gt;=VLOOKUP(55,main!$A$57:$I$59,4,FALSE)+VLOOKUP(VLOOKUP(R$1,main!$A$3:$I$56,7,FALSE),main!$K$10:$Q$14,3,FALSE),1,0)</f>
        <v>1</v>
      </c>
      <c r="S3">
        <f>IF(VLOOKUP(S$1,main!$A$3:$I$56,5,FALSE)-VLOOKUP($A3,main!$A$3:$I$56,6,FALSE)&gt;=VLOOKUP(55,main!$A$57:$I$59,4,FALSE)+VLOOKUP(VLOOKUP(S$1,main!$A$3:$I$56,7,FALSE),main!$K$10:$Q$14,3,FALSE),1,0)</f>
        <v>1</v>
      </c>
      <c r="T3">
        <f>IF(VLOOKUP(T$1,main!$A$3:$I$56,5,FALSE)-VLOOKUP($A3,main!$A$3:$I$56,6,FALSE)&gt;=VLOOKUP(55,main!$A$57:$I$59,4,FALSE)+VLOOKUP(VLOOKUP(T$1,main!$A$3:$I$56,7,FALSE),main!$K$10:$Q$14,3,FALSE),1,0)</f>
        <v>1</v>
      </c>
      <c r="U3">
        <f>IF(VLOOKUP(U$1,main!$A$3:$I$56,5,FALSE)-VLOOKUP($A3,main!$A$3:$I$56,6,FALSE)&gt;=VLOOKUP(55,main!$A$57:$I$59,4,FALSE)+VLOOKUP(VLOOKUP(U$1,main!$A$3:$I$56,7,FALSE),main!$K$10:$Q$14,3,FALSE),1,0)</f>
        <v>0</v>
      </c>
      <c r="V3">
        <f>IF(VLOOKUP(V$1,main!$A$3:$I$56,5,FALSE)-VLOOKUP($A3,main!$A$3:$I$56,6,FALSE)&gt;=VLOOKUP(55,main!$A$57:$I$59,4,FALSE)+VLOOKUP(VLOOKUP(V$1,main!$A$3:$I$56,7,FALSE),main!$K$10:$Q$14,3,FALSE),1,0)</f>
        <v>0</v>
      </c>
      <c r="W3">
        <f>IF(VLOOKUP(W$1,main!$A$3:$I$56,5,FALSE)-VLOOKUP($A3,main!$A$3:$I$56,6,FALSE)&gt;=VLOOKUP(55,main!$A$57:$I$59,4,FALSE)+VLOOKUP(VLOOKUP(W$1,main!$A$3:$I$56,7,FALSE),main!$K$10:$Q$14,3,FALSE),1,0)</f>
        <v>0</v>
      </c>
      <c r="X3">
        <f>IF(VLOOKUP(X$1,main!$A$3:$I$56,5,FALSE)-VLOOKUP($A3,main!$A$3:$I$56,6,FALSE)&gt;=VLOOKUP(55,main!$A$57:$I$59,4,FALSE)+VLOOKUP(VLOOKUP(X$1,main!$A$3:$I$56,7,FALSE),main!$K$10:$Q$14,3,FALSE),1,0)</f>
        <v>1</v>
      </c>
      <c r="Y3">
        <f>IF(VLOOKUP(Y$1,main!$A$3:$I$56,5,FALSE)-VLOOKUP($A3,main!$A$3:$I$56,6,FALSE)&gt;=VLOOKUP(55,main!$A$57:$I$59,4,FALSE)+VLOOKUP(VLOOKUP(Y$1,main!$A$3:$I$56,7,FALSE),main!$K$10:$Q$14,3,FALSE),1,0)</f>
        <v>1</v>
      </c>
      <c r="Z3">
        <f>IF(VLOOKUP(Z$1,main!$A$3:$I$56,5,FALSE)-VLOOKUP($A3,main!$A$3:$I$56,6,FALSE)&gt;=VLOOKUP(55,main!$A$57:$I$59,4,FALSE)+VLOOKUP(VLOOKUP(Z$1,main!$A$3:$I$56,7,FALSE),main!$K$10:$Q$14,3,FALSE),1,0)</f>
        <v>1</v>
      </c>
      <c r="AA3">
        <f>IF(VLOOKUP(AA$1,main!$A$3:$I$56,5,FALSE)-VLOOKUP($A3,main!$A$3:$I$56,6,FALSE)&gt;=VLOOKUP(55,main!$A$57:$I$59,4,FALSE)+VLOOKUP(VLOOKUP(AA$1,main!$A$3:$I$56,7,FALSE),main!$K$10:$Q$14,3,FALSE),1,0)</f>
        <v>1</v>
      </c>
      <c r="AB3">
        <f>IF(VLOOKUP(AB$1,main!$A$3:$I$56,5,FALSE)-VLOOKUP($A3,main!$A$3:$I$56,6,FALSE)&gt;=VLOOKUP(55,main!$A$57:$I$59,4,FALSE)+VLOOKUP(VLOOKUP(AB$1,main!$A$3:$I$56,7,FALSE),main!$K$10:$Q$14,3,FALSE),1,0)</f>
        <v>1</v>
      </c>
      <c r="AC3">
        <f>IF(VLOOKUP(AC$1,main!$A$3:$I$56,5,FALSE)-VLOOKUP($A3,main!$A$3:$I$56,6,FALSE)&gt;=VLOOKUP(55,main!$A$57:$I$59,4,FALSE)+VLOOKUP(VLOOKUP(AC$1,main!$A$3:$I$56,7,FALSE),main!$K$10:$Q$14,3,FALSE),1,0)</f>
        <v>0</v>
      </c>
      <c r="AD3">
        <f>IF(VLOOKUP(AD$1,main!$A$3:$I$56,5,FALSE)-VLOOKUP($A3,main!$A$3:$I$56,6,FALSE)&gt;=VLOOKUP(55,main!$A$57:$I$59,4,FALSE)+VLOOKUP(VLOOKUP(AD$1,main!$A$3:$I$56,7,FALSE),main!$K$10:$Q$14,3,FALSE),1,0)</f>
        <v>0</v>
      </c>
      <c r="AE3">
        <f>IF(VLOOKUP(AE$1,main!$A$3:$I$56,5,FALSE)-VLOOKUP($A3,main!$A$3:$I$56,6,FALSE)&gt;=VLOOKUP(55,main!$A$57:$I$59,4,FALSE)+VLOOKUP(VLOOKUP(AE$1,main!$A$3:$I$56,7,FALSE),main!$K$10:$Q$14,3,FALSE),1,0)</f>
        <v>1</v>
      </c>
      <c r="AF3">
        <f>IF(VLOOKUP(AF$1,main!$A$3:$I$56,5,FALSE)-VLOOKUP($A3,main!$A$3:$I$56,6,FALSE)&gt;=VLOOKUP(55,main!$A$57:$I$59,4,FALSE)+VLOOKUP(VLOOKUP(AF$1,main!$A$3:$I$56,7,FALSE),main!$K$10:$Q$14,3,FALSE),1,0)</f>
        <v>1</v>
      </c>
      <c r="AG3">
        <f>IF(VLOOKUP(AG$1,main!$A$3:$I$56,5,FALSE)-VLOOKUP($A3,main!$A$3:$I$56,6,FALSE)&gt;=VLOOKUP(55,main!$A$57:$I$59,4,FALSE)+VLOOKUP(VLOOKUP(AG$1,main!$A$3:$I$56,7,FALSE),main!$K$10:$Q$14,3,FALSE),1,0)</f>
        <v>0</v>
      </c>
      <c r="AH3">
        <f>IF(VLOOKUP(AH$1,main!$A$3:$I$56,5,FALSE)-VLOOKUP($A3,main!$A$3:$I$56,6,FALSE)&gt;=VLOOKUP(55,main!$A$57:$I$59,4,FALSE)+VLOOKUP(VLOOKUP(AH$1,main!$A$3:$I$56,7,FALSE),main!$K$10:$Q$14,3,FALSE),1,0)</f>
        <v>0</v>
      </c>
      <c r="AI3">
        <f>IF(VLOOKUP(AI$1,main!$A$3:$I$56,5,FALSE)-VLOOKUP($A3,main!$A$3:$I$56,6,FALSE)&gt;=VLOOKUP(55,main!$A$57:$I$59,4,FALSE)+VLOOKUP(VLOOKUP(AI$1,main!$A$3:$I$56,7,FALSE),main!$K$10:$Q$14,3,FALSE),1,0)</f>
        <v>1</v>
      </c>
      <c r="AJ3">
        <f>IF(VLOOKUP(AJ$1,main!$A$3:$I$56,5,FALSE)-VLOOKUP($A3,main!$A$3:$I$56,6,FALSE)&gt;=VLOOKUP(55,main!$A$57:$I$59,4,FALSE)+VLOOKUP(VLOOKUP(AJ$1,main!$A$3:$I$56,7,FALSE),main!$K$10:$Q$14,3,FALSE),1,0)</f>
        <v>1</v>
      </c>
      <c r="AK3">
        <f>IF(VLOOKUP(AK$1,main!$A$3:$I$56,5,FALSE)-VLOOKUP($A3,main!$A$3:$I$56,6,FALSE)&gt;=VLOOKUP(55,main!$A$57:$I$59,4,FALSE)+VLOOKUP(VLOOKUP(AK$1,main!$A$3:$I$56,7,FALSE),main!$K$10:$Q$14,3,FALSE),1,0)</f>
        <v>1</v>
      </c>
      <c r="AL3">
        <f>IF(VLOOKUP(AL$1,main!$A$3:$I$56,5,FALSE)-VLOOKUP($A3,main!$A$3:$I$56,6,FALSE)&gt;=VLOOKUP(55,main!$A$57:$I$59,4,FALSE)+VLOOKUP(VLOOKUP(AL$1,main!$A$3:$I$56,7,FALSE),main!$K$10:$Q$14,3,FALSE),1,0)</f>
        <v>0</v>
      </c>
      <c r="AM3">
        <f>IF(VLOOKUP(AM$1,main!$A$3:$I$56,5,FALSE)-VLOOKUP($A3,main!$A$3:$I$56,6,FALSE)&gt;=VLOOKUP(55,main!$A$57:$I$59,4,FALSE)+VLOOKUP(VLOOKUP(AM$1,main!$A$3:$I$56,7,FALSE),main!$K$10:$Q$14,3,FALSE),1,0)</f>
        <v>0</v>
      </c>
      <c r="AN3">
        <f>IF(VLOOKUP(AN$1,main!$A$3:$I$56,5,FALSE)-VLOOKUP($A3,main!$A$3:$I$56,6,FALSE)&gt;=VLOOKUP(55,main!$A$57:$I$59,4,FALSE)+VLOOKUP(VLOOKUP(AN$1,main!$A$3:$I$56,7,FALSE),main!$K$10:$Q$14,3,FALSE),1,0)</f>
        <v>1</v>
      </c>
      <c r="AO3">
        <f>IF(VLOOKUP(AO$1,main!$A$3:$I$56,5,FALSE)-VLOOKUP($A3,main!$A$3:$I$56,6,FALSE)&gt;=VLOOKUP(55,main!$A$57:$I$59,4,FALSE)+VLOOKUP(VLOOKUP(AO$1,main!$A$3:$I$56,7,FALSE),main!$K$10:$Q$14,3,FALSE),1,0)</f>
        <v>1</v>
      </c>
      <c r="AP3">
        <f>IF(VLOOKUP(AP$1,main!$A$3:$I$56,5,FALSE)-VLOOKUP($A3,main!$A$3:$I$56,6,FALSE)&gt;=VLOOKUP(55,main!$A$57:$I$59,4,FALSE)+VLOOKUP(VLOOKUP(AP$1,main!$A$3:$I$56,7,FALSE),main!$K$10:$Q$14,3,FALSE),1,0)</f>
        <v>0</v>
      </c>
      <c r="AQ3">
        <f>IF(VLOOKUP(AQ$1,main!$A$3:$I$56,5,FALSE)-VLOOKUP($A3,main!$A$3:$I$56,6,FALSE)&gt;=VLOOKUP(55,main!$A$57:$I$59,4,FALSE)+VLOOKUP(VLOOKUP(AQ$1,main!$A$3:$I$56,7,FALSE),main!$K$10:$Q$14,3,FALSE),1,0)</f>
        <v>0</v>
      </c>
      <c r="AR3">
        <f>IF(VLOOKUP(AR$1,main!$A$3:$I$56,5,FALSE)-VLOOKUP($A3,main!$A$3:$I$56,6,FALSE)&gt;=VLOOKUP(55,main!$A$57:$I$59,4,FALSE)+VLOOKUP(VLOOKUP(AR$1,main!$A$3:$I$56,7,FALSE),main!$K$10:$Q$14,3,FALSE),1,0)</f>
        <v>0</v>
      </c>
      <c r="AS3">
        <f>IF(VLOOKUP(AS$1,main!$A$3:$I$56,5,FALSE)-VLOOKUP($A3,main!$A$3:$I$56,6,FALSE)&gt;=VLOOKUP(55,main!$A$57:$I$59,4,FALSE)+VLOOKUP(VLOOKUP(AS$1,main!$A$3:$I$56,7,FALSE),main!$K$10:$Q$14,3,FALSE),1,0)</f>
        <v>0</v>
      </c>
      <c r="AT3">
        <f>IF(VLOOKUP(AT$1,main!$A$3:$I$56,5,FALSE)-VLOOKUP($A3,main!$A$3:$I$56,6,FALSE)&gt;=VLOOKUP(55,main!$A$57:$I$59,4,FALSE)+VLOOKUP(VLOOKUP(AT$1,main!$A$3:$I$56,7,FALSE),main!$K$10:$Q$14,3,FALSE),1,0)</f>
        <v>1</v>
      </c>
      <c r="AU3">
        <f>IF(VLOOKUP(AU$1,main!$A$3:$I$56,5,FALSE)-VLOOKUP($A3,main!$A$3:$I$56,6,FALSE)&gt;=VLOOKUP(55,main!$A$57:$I$59,4,FALSE)+VLOOKUP(VLOOKUP(AU$1,main!$A$3:$I$56,7,FALSE),main!$K$10:$Q$14,3,FALSE),1,0)</f>
        <v>0</v>
      </c>
      <c r="AV3">
        <f>IF(VLOOKUP(AV$1,main!$A$3:$I$56,5,FALSE)-VLOOKUP($A3,main!$A$3:$I$56,6,FALSE)&gt;=VLOOKUP(55,main!$A$57:$I$59,4,FALSE)+VLOOKUP(VLOOKUP(AV$1,main!$A$3:$I$56,7,FALSE),main!$K$10:$Q$14,3,FALSE),1,0)</f>
        <v>0</v>
      </c>
      <c r="AW3">
        <f>IF(VLOOKUP(AW$1,main!$A$3:$I$56,5,FALSE)-VLOOKUP($A3,main!$A$3:$I$56,6,FALSE)&gt;=VLOOKUP(55,main!$A$57:$I$59,4,FALSE)+VLOOKUP(VLOOKUP(AW$1,main!$A$3:$I$56,7,FALSE),main!$K$10:$Q$14,3,FALSE),1,0)</f>
        <v>1</v>
      </c>
      <c r="AX3">
        <f>IF(VLOOKUP(AX$1,main!$A$3:$I$56,5,FALSE)-VLOOKUP($A3,main!$A$3:$I$56,6,FALSE)&gt;=VLOOKUP(55,main!$A$57:$I$59,4,FALSE)+VLOOKUP(VLOOKUP(AX$1,main!$A$3:$I$56,7,FALSE),main!$K$10:$Q$14,3,FALSE),1,0)</f>
        <v>1</v>
      </c>
      <c r="AY3">
        <f>IF(VLOOKUP(AY$1,main!$A$3:$I$56,5,FALSE)-VLOOKUP($A3,main!$A$3:$I$56,6,FALSE)&gt;=VLOOKUP(55,main!$A$57:$I$59,4,FALSE)+VLOOKUP(VLOOKUP(AY$1,main!$A$3:$I$56,7,FALSE),main!$K$10:$Q$14,3,FALSE),1,0)</f>
        <v>1</v>
      </c>
      <c r="AZ3">
        <f>IF(VLOOKUP(AZ$1,main!$A$3:$I$56,5,FALSE)-VLOOKUP($A3,main!$A$3:$I$56,6,FALSE)&gt;=VLOOKUP(55,main!$A$57:$I$59,4,FALSE)+VLOOKUP(VLOOKUP(AZ$1,main!$A$3:$I$56,7,FALSE),main!$K$10:$Q$14,3,FALSE),1,0)</f>
        <v>0</v>
      </c>
      <c r="BA3">
        <f>IF(VLOOKUP(BA$1,main!$A$3:$I$56,5,FALSE)-VLOOKUP($A3,main!$A$3:$I$56,6,FALSE)&gt;=VLOOKUP(55,main!$A$57:$I$59,4,FALSE)+VLOOKUP(VLOOKUP(BA$1,main!$A$3:$I$56,7,FALSE),main!$K$10:$Q$14,3,FALSE),1,0)</f>
        <v>0</v>
      </c>
      <c r="BB3">
        <f>IF(VLOOKUP(BB$1,main!$A$3:$I$56,5,FALSE)-VLOOKUP($A3,main!$A$3:$I$56,6,FALSE)&gt;=VLOOKUP(55,main!$A$57:$I$59,4,FALSE)+VLOOKUP(VLOOKUP(BB$1,main!$A$3:$I$56,7,FALSE),main!$K$10:$Q$14,3,FALSE),1,0)</f>
        <v>1</v>
      </c>
      <c r="BC3">
        <f>IF(VLOOKUP(BC$1,main!$A$3:$I$56,5,FALSE)-VLOOKUP($A3,main!$A$3:$I$56,6,FALSE)&gt;=VLOOKUP(55,main!$A$57:$I$59,4,FALSE)+VLOOKUP(VLOOKUP(BC$1,main!$A$3:$I$56,7,FALSE),main!$K$10:$Q$14,3,FALSE),1,0)</f>
        <v>1</v>
      </c>
      <c r="BD3">
        <f>IF(VLOOKUP(BD$1,main!$A$3:$I$56,5,FALSE)-VLOOKUP($A3,main!$A$3:$I$56,6,FALSE)&gt;=VLOOKUP(55,main!$A$57:$I$59,4,FALSE)+VLOOKUP(VLOOKUP(BD$1,main!$A$3:$I$56,7,FALSE),main!$K$10:$Q$14,3,FALSE),1,0)</f>
        <v>1</v>
      </c>
    </row>
    <row r="4" spans="1:56" x14ac:dyDescent="0.25">
      <c r="A4">
        <f t="shared" ref="A4:A56" si="0">A3+1</f>
        <v>2</v>
      </c>
      <c r="B4">
        <v>0</v>
      </c>
      <c r="C4">
        <f>IF(VLOOKUP(C$1,main!$A$3:$I$56,5,FALSE)-VLOOKUP($A4,main!$A$3:$I$56,6,FALSE)&gt;=VLOOKUP(55,main!$A$57:$I$59,4,FALSE)+VLOOKUP(VLOOKUP(C$1,main!$A$3:$I$56,7,FALSE),main!$K$10:$Q$14,3,FALSE),1,0)</f>
        <v>0</v>
      </c>
      <c r="D4">
        <f>IF(VLOOKUP(D$1,main!$A$3:$I$56,5,FALSE)-VLOOKUP($A4,main!$A$3:$I$56,6,FALSE)&gt;=VLOOKUP(55,main!$A$57:$I$59,4,FALSE)+VLOOKUP(VLOOKUP(D$1,main!$A$3:$I$56,7,FALSE),main!$K$10:$Q$14,3,FALSE),1,0)</f>
        <v>0</v>
      </c>
      <c r="E4">
        <f>IF(VLOOKUP(E$1,main!$A$3:$I$56,5,FALSE)-VLOOKUP($A4,main!$A$3:$I$56,6,FALSE)&gt;=VLOOKUP(55,main!$A$57:$I$59,4,FALSE)+VLOOKUP(VLOOKUP(E$1,main!$A$3:$I$56,7,FALSE),main!$K$10:$Q$14,3,FALSE),1,0)</f>
        <v>0</v>
      </c>
      <c r="F4">
        <f>IF(VLOOKUP(F$1,main!$A$3:$I$56,5,FALSE)-VLOOKUP($A4,main!$A$3:$I$56,6,FALSE)&gt;=VLOOKUP(55,main!$A$57:$I$59,4,FALSE)+VLOOKUP(VLOOKUP(F$1,main!$A$3:$I$56,7,FALSE),main!$K$10:$Q$14,3,FALSE),1,0)</f>
        <v>0</v>
      </c>
      <c r="G4">
        <f>IF(VLOOKUP(G$1,main!$A$3:$I$56,5,FALSE)-VLOOKUP($A4,main!$A$3:$I$56,6,FALSE)&gt;=VLOOKUP(55,main!$A$57:$I$59,4,FALSE)+VLOOKUP(VLOOKUP(G$1,main!$A$3:$I$56,7,FALSE),main!$K$10:$Q$14,3,FALSE),1,0)</f>
        <v>1</v>
      </c>
      <c r="H4">
        <f>IF(VLOOKUP(H$1,main!$A$3:$I$56,5,FALSE)-VLOOKUP($A4,main!$A$3:$I$56,6,FALSE)&gt;=VLOOKUP(55,main!$A$57:$I$59,4,FALSE)+VLOOKUP(VLOOKUP(H$1,main!$A$3:$I$56,7,FALSE),main!$K$10:$Q$14,3,FALSE),1,0)</f>
        <v>1</v>
      </c>
      <c r="I4">
        <f>IF(VLOOKUP(I$1,main!$A$3:$I$56,5,FALSE)-VLOOKUP($A4,main!$A$3:$I$56,6,FALSE)&gt;=VLOOKUP(55,main!$A$57:$I$59,4,FALSE)+VLOOKUP(VLOOKUP(I$1,main!$A$3:$I$56,7,FALSE),main!$K$10:$Q$14,3,FALSE),1,0)</f>
        <v>1</v>
      </c>
      <c r="J4">
        <f>IF(VLOOKUP(J$1,main!$A$3:$I$56,5,FALSE)-VLOOKUP($A4,main!$A$3:$I$56,6,FALSE)&gt;=VLOOKUP(55,main!$A$57:$I$59,4,FALSE)+VLOOKUP(VLOOKUP(J$1,main!$A$3:$I$56,7,FALSE),main!$K$10:$Q$14,3,FALSE),1,0)</f>
        <v>1</v>
      </c>
      <c r="K4">
        <f>IF(VLOOKUP(K$1,main!$A$3:$I$56,5,FALSE)-VLOOKUP($A4,main!$A$3:$I$56,6,FALSE)&gt;=VLOOKUP(55,main!$A$57:$I$59,4,FALSE)+VLOOKUP(VLOOKUP(K$1,main!$A$3:$I$56,7,FALSE),main!$K$10:$Q$14,3,FALSE),1,0)</f>
        <v>0</v>
      </c>
      <c r="L4">
        <f>IF(VLOOKUP(L$1,main!$A$3:$I$56,5,FALSE)-VLOOKUP($A4,main!$A$3:$I$56,6,FALSE)&gt;=VLOOKUP(55,main!$A$57:$I$59,4,FALSE)+VLOOKUP(VLOOKUP(L$1,main!$A$3:$I$56,7,FALSE),main!$K$10:$Q$14,3,FALSE),1,0)</f>
        <v>0</v>
      </c>
      <c r="M4">
        <f>IF(VLOOKUP(M$1,main!$A$3:$I$56,5,FALSE)-VLOOKUP($A4,main!$A$3:$I$56,6,FALSE)&gt;=VLOOKUP(55,main!$A$57:$I$59,4,FALSE)+VLOOKUP(VLOOKUP(M$1,main!$A$3:$I$56,7,FALSE),main!$K$10:$Q$14,3,FALSE),1,0)</f>
        <v>0</v>
      </c>
      <c r="N4">
        <f>IF(VLOOKUP(N$1,main!$A$3:$I$56,5,FALSE)-VLOOKUP($A4,main!$A$3:$I$56,6,FALSE)&gt;=VLOOKUP(55,main!$A$57:$I$59,4,FALSE)+VLOOKUP(VLOOKUP(N$1,main!$A$3:$I$56,7,FALSE),main!$K$10:$Q$14,3,FALSE),1,0)</f>
        <v>1</v>
      </c>
      <c r="O4">
        <f>IF(VLOOKUP(O$1,main!$A$3:$I$56,5,FALSE)-VLOOKUP($A4,main!$A$3:$I$56,6,FALSE)&gt;=VLOOKUP(55,main!$A$57:$I$59,4,FALSE)+VLOOKUP(VLOOKUP(O$1,main!$A$3:$I$56,7,FALSE),main!$K$10:$Q$14,3,FALSE),1,0)</f>
        <v>1</v>
      </c>
      <c r="P4">
        <f>IF(VLOOKUP(P$1,main!$A$3:$I$56,5,FALSE)-VLOOKUP($A4,main!$A$3:$I$56,6,FALSE)&gt;=VLOOKUP(55,main!$A$57:$I$59,4,FALSE)+VLOOKUP(VLOOKUP(P$1,main!$A$3:$I$56,7,FALSE),main!$K$10:$Q$14,3,FALSE),1,0)</f>
        <v>0</v>
      </c>
      <c r="Q4">
        <f>IF(VLOOKUP(Q$1,main!$A$3:$I$56,5,FALSE)-VLOOKUP($A4,main!$A$3:$I$56,6,FALSE)&gt;=VLOOKUP(55,main!$A$57:$I$59,4,FALSE)+VLOOKUP(VLOOKUP(Q$1,main!$A$3:$I$56,7,FALSE),main!$K$10:$Q$14,3,FALSE),1,0)</f>
        <v>0</v>
      </c>
      <c r="R4">
        <f>IF(VLOOKUP(R$1,main!$A$3:$I$56,5,FALSE)-VLOOKUP($A4,main!$A$3:$I$56,6,FALSE)&gt;=VLOOKUP(55,main!$A$57:$I$59,4,FALSE)+VLOOKUP(VLOOKUP(R$1,main!$A$3:$I$56,7,FALSE),main!$K$10:$Q$14,3,FALSE),1,0)</f>
        <v>0</v>
      </c>
      <c r="S4">
        <f>IF(VLOOKUP(S$1,main!$A$3:$I$56,5,FALSE)-VLOOKUP($A4,main!$A$3:$I$56,6,FALSE)&gt;=VLOOKUP(55,main!$A$57:$I$59,4,FALSE)+VLOOKUP(VLOOKUP(S$1,main!$A$3:$I$56,7,FALSE),main!$K$10:$Q$14,3,FALSE),1,0)</f>
        <v>1</v>
      </c>
      <c r="T4">
        <f>IF(VLOOKUP(T$1,main!$A$3:$I$56,5,FALSE)-VLOOKUP($A4,main!$A$3:$I$56,6,FALSE)&gt;=VLOOKUP(55,main!$A$57:$I$59,4,FALSE)+VLOOKUP(VLOOKUP(T$1,main!$A$3:$I$56,7,FALSE),main!$K$10:$Q$14,3,FALSE),1,0)</f>
        <v>1</v>
      </c>
      <c r="U4">
        <f>IF(VLOOKUP(U$1,main!$A$3:$I$56,5,FALSE)-VLOOKUP($A4,main!$A$3:$I$56,6,FALSE)&gt;=VLOOKUP(55,main!$A$57:$I$59,4,FALSE)+VLOOKUP(VLOOKUP(U$1,main!$A$3:$I$56,7,FALSE),main!$K$10:$Q$14,3,FALSE),1,0)</f>
        <v>0</v>
      </c>
      <c r="V4">
        <f>IF(VLOOKUP(V$1,main!$A$3:$I$56,5,FALSE)-VLOOKUP($A4,main!$A$3:$I$56,6,FALSE)&gt;=VLOOKUP(55,main!$A$57:$I$59,4,FALSE)+VLOOKUP(VLOOKUP(V$1,main!$A$3:$I$56,7,FALSE),main!$K$10:$Q$14,3,FALSE),1,0)</f>
        <v>0</v>
      </c>
      <c r="W4">
        <f>IF(VLOOKUP(W$1,main!$A$3:$I$56,5,FALSE)-VLOOKUP($A4,main!$A$3:$I$56,6,FALSE)&gt;=VLOOKUP(55,main!$A$57:$I$59,4,FALSE)+VLOOKUP(VLOOKUP(W$1,main!$A$3:$I$56,7,FALSE),main!$K$10:$Q$14,3,FALSE),1,0)</f>
        <v>0</v>
      </c>
      <c r="X4">
        <f>IF(VLOOKUP(X$1,main!$A$3:$I$56,5,FALSE)-VLOOKUP($A4,main!$A$3:$I$56,6,FALSE)&gt;=VLOOKUP(55,main!$A$57:$I$59,4,FALSE)+VLOOKUP(VLOOKUP(X$1,main!$A$3:$I$56,7,FALSE),main!$K$10:$Q$14,3,FALSE),1,0)</f>
        <v>0</v>
      </c>
      <c r="Y4">
        <f>IF(VLOOKUP(Y$1,main!$A$3:$I$56,5,FALSE)-VLOOKUP($A4,main!$A$3:$I$56,6,FALSE)&gt;=VLOOKUP(55,main!$A$57:$I$59,4,FALSE)+VLOOKUP(VLOOKUP(Y$1,main!$A$3:$I$56,7,FALSE),main!$K$10:$Q$14,3,FALSE),1,0)</f>
        <v>0</v>
      </c>
      <c r="Z4">
        <f>IF(VLOOKUP(Z$1,main!$A$3:$I$56,5,FALSE)-VLOOKUP($A4,main!$A$3:$I$56,6,FALSE)&gt;=VLOOKUP(55,main!$A$57:$I$59,4,FALSE)+VLOOKUP(VLOOKUP(Z$1,main!$A$3:$I$56,7,FALSE),main!$K$10:$Q$14,3,FALSE),1,0)</f>
        <v>1</v>
      </c>
      <c r="AA4">
        <f>IF(VLOOKUP(AA$1,main!$A$3:$I$56,5,FALSE)-VLOOKUP($A4,main!$A$3:$I$56,6,FALSE)&gt;=VLOOKUP(55,main!$A$57:$I$59,4,FALSE)+VLOOKUP(VLOOKUP(AA$1,main!$A$3:$I$56,7,FALSE),main!$K$10:$Q$14,3,FALSE),1,0)</f>
        <v>1</v>
      </c>
      <c r="AB4">
        <f>IF(VLOOKUP(AB$1,main!$A$3:$I$56,5,FALSE)-VLOOKUP($A4,main!$A$3:$I$56,6,FALSE)&gt;=VLOOKUP(55,main!$A$57:$I$59,4,FALSE)+VLOOKUP(VLOOKUP(AB$1,main!$A$3:$I$56,7,FALSE),main!$K$10:$Q$14,3,FALSE),1,0)</f>
        <v>1</v>
      </c>
      <c r="AC4">
        <f>IF(VLOOKUP(AC$1,main!$A$3:$I$56,5,FALSE)-VLOOKUP($A4,main!$A$3:$I$56,6,FALSE)&gt;=VLOOKUP(55,main!$A$57:$I$59,4,FALSE)+VLOOKUP(VLOOKUP(AC$1,main!$A$3:$I$56,7,FALSE),main!$K$10:$Q$14,3,FALSE),1,0)</f>
        <v>0</v>
      </c>
      <c r="AD4">
        <f>IF(VLOOKUP(AD$1,main!$A$3:$I$56,5,FALSE)-VLOOKUP($A4,main!$A$3:$I$56,6,FALSE)&gt;=VLOOKUP(55,main!$A$57:$I$59,4,FALSE)+VLOOKUP(VLOOKUP(AD$1,main!$A$3:$I$56,7,FALSE),main!$K$10:$Q$14,3,FALSE),1,0)</f>
        <v>0</v>
      </c>
      <c r="AE4">
        <f>IF(VLOOKUP(AE$1,main!$A$3:$I$56,5,FALSE)-VLOOKUP($A4,main!$A$3:$I$56,6,FALSE)&gt;=VLOOKUP(55,main!$A$57:$I$59,4,FALSE)+VLOOKUP(VLOOKUP(AE$1,main!$A$3:$I$56,7,FALSE),main!$K$10:$Q$14,3,FALSE),1,0)</f>
        <v>0</v>
      </c>
      <c r="AF4">
        <f>IF(VLOOKUP(AF$1,main!$A$3:$I$56,5,FALSE)-VLOOKUP($A4,main!$A$3:$I$56,6,FALSE)&gt;=VLOOKUP(55,main!$A$57:$I$59,4,FALSE)+VLOOKUP(VLOOKUP(AF$1,main!$A$3:$I$56,7,FALSE),main!$K$10:$Q$14,3,FALSE),1,0)</f>
        <v>0</v>
      </c>
      <c r="AG4">
        <f>IF(VLOOKUP(AG$1,main!$A$3:$I$56,5,FALSE)-VLOOKUP($A4,main!$A$3:$I$56,6,FALSE)&gt;=VLOOKUP(55,main!$A$57:$I$59,4,FALSE)+VLOOKUP(VLOOKUP(AG$1,main!$A$3:$I$56,7,FALSE),main!$K$10:$Q$14,3,FALSE),1,0)</f>
        <v>0</v>
      </c>
      <c r="AH4">
        <f>IF(VLOOKUP(AH$1,main!$A$3:$I$56,5,FALSE)-VLOOKUP($A4,main!$A$3:$I$56,6,FALSE)&gt;=VLOOKUP(55,main!$A$57:$I$59,4,FALSE)+VLOOKUP(VLOOKUP(AH$1,main!$A$3:$I$56,7,FALSE),main!$K$10:$Q$14,3,FALSE),1,0)</f>
        <v>0</v>
      </c>
      <c r="AI4">
        <f>IF(VLOOKUP(AI$1,main!$A$3:$I$56,5,FALSE)-VLOOKUP($A4,main!$A$3:$I$56,6,FALSE)&gt;=VLOOKUP(55,main!$A$57:$I$59,4,FALSE)+VLOOKUP(VLOOKUP(AI$1,main!$A$3:$I$56,7,FALSE),main!$K$10:$Q$14,3,FALSE),1,0)</f>
        <v>0</v>
      </c>
      <c r="AJ4">
        <f>IF(VLOOKUP(AJ$1,main!$A$3:$I$56,5,FALSE)-VLOOKUP($A4,main!$A$3:$I$56,6,FALSE)&gt;=VLOOKUP(55,main!$A$57:$I$59,4,FALSE)+VLOOKUP(VLOOKUP(AJ$1,main!$A$3:$I$56,7,FALSE),main!$K$10:$Q$14,3,FALSE),1,0)</f>
        <v>0</v>
      </c>
      <c r="AK4">
        <f>IF(VLOOKUP(AK$1,main!$A$3:$I$56,5,FALSE)-VLOOKUP($A4,main!$A$3:$I$56,6,FALSE)&gt;=VLOOKUP(55,main!$A$57:$I$59,4,FALSE)+VLOOKUP(VLOOKUP(AK$1,main!$A$3:$I$56,7,FALSE),main!$K$10:$Q$14,3,FALSE),1,0)</f>
        <v>1</v>
      </c>
      <c r="AL4">
        <f>IF(VLOOKUP(AL$1,main!$A$3:$I$56,5,FALSE)-VLOOKUP($A4,main!$A$3:$I$56,6,FALSE)&gt;=VLOOKUP(55,main!$A$57:$I$59,4,FALSE)+VLOOKUP(VLOOKUP(AL$1,main!$A$3:$I$56,7,FALSE),main!$K$10:$Q$14,3,FALSE),1,0)</f>
        <v>0</v>
      </c>
      <c r="AM4">
        <f>IF(VLOOKUP(AM$1,main!$A$3:$I$56,5,FALSE)-VLOOKUP($A4,main!$A$3:$I$56,6,FALSE)&gt;=VLOOKUP(55,main!$A$57:$I$59,4,FALSE)+VLOOKUP(VLOOKUP(AM$1,main!$A$3:$I$56,7,FALSE),main!$K$10:$Q$14,3,FALSE),1,0)</f>
        <v>0</v>
      </c>
      <c r="AN4">
        <f>IF(VLOOKUP(AN$1,main!$A$3:$I$56,5,FALSE)-VLOOKUP($A4,main!$A$3:$I$56,6,FALSE)&gt;=VLOOKUP(55,main!$A$57:$I$59,4,FALSE)+VLOOKUP(VLOOKUP(AN$1,main!$A$3:$I$56,7,FALSE),main!$K$10:$Q$14,3,FALSE),1,0)</f>
        <v>0</v>
      </c>
      <c r="AO4">
        <f>IF(VLOOKUP(AO$1,main!$A$3:$I$56,5,FALSE)-VLOOKUP($A4,main!$A$3:$I$56,6,FALSE)&gt;=VLOOKUP(55,main!$A$57:$I$59,4,FALSE)+VLOOKUP(VLOOKUP(AO$1,main!$A$3:$I$56,7,FALSE),main!$K$10:$Q$14,3,FALSE),1,0)</f>
        <v>0</v>
      </c>
      <c r="AP4">
        <f>IF(VLOOKUP(AP$1,main!$A$3:$I$56,5,FALSE)-VLOOKUP($A4,main!$A$3:$I$56,6,FALSE)&gt;=VLOOKUP(55,main!$A$57:$I$59,4,FALSE)+VLOOKUP(VLOOKUP(AP$1,main!$A$3:$I$56,7,FALSE),main!$K$10:$Q$14,3,FALSE),1,0)</f>
        <v>0</v>
      </c>
      <c r="AQ4">
        <f>IF(VLOOKUP(AQ$1,main!$A$3:$I$56,5,FALSE)-VLOOKUP($A4,main!$A$3:$I$56,6,FALSE)&gt;=VLOOKUP(55,main!$A$57:$I$59,4,FALSE)+VLOOKUP(VLOOKUP(AQ$1,main!$A$3:$I$56,7,FALSE),main!$K$10:$Q$14,3,FALSE),1,0)</f>
        <v>0</v>
      </c>
      <c r="AR4">
        <f>IF(VLOOKUP(AR$1,main!$A$3:$I$56,5,FALSE)-VLOOKUP($A4,main!$A$3:$I$56,6,FALSE)&gt;=VLOOKUP(55,main!$A$57:$I$59,4,FALSE)+VLOOKUP(VLOOKUP(AR$1,main!$A$3:$I$56,7,FALSE),main!$K$10:$Q$14,3,FALSE),1,0)</f>
        <v>0</v>
      </c>
      <c r="AS4">
        <f>IF(VLOOKUP(AS$1,main!$A$3:$I$56,5,FALSE)-VLOOKUP($A4,main!$A$3:$I$56,6,FALSE)&gt;=VLOOKUP(55,main!$A$57:$I$59,4,FALSE)+VLOOKUP(VLOOKUP(AS$1,main!$A$3:$I$56,7,FALSE),main!$K$10:$Q$14,3,FALSE),1,0)</f>
        <v>0</v>
      </c>
      <c r="AT4">
        <f>IF(VLOOKUP(AT$1,main!$A$3:$I$56,5,FALSE)-VLOOKUP($A4,main!$A$3:$I$56,6,FALSE)&gt;=VLOOKUP(55,main!$A$57:$I$59,4,FALSE)+VLOOKUP(VLOOKUP(AT$1,main!$A$3:$I$56,7,FALSE),main!$K$10:$Q$14,3,FALSE),1,0)</f>
        <v>0</v>
      </c>
      <c r="AU4">
        <f>IF(VLOOKUP(AU$1,main!$A$3:$I$56,5,FALSE)-VLOOKUP($A4,main!$A$3:$I$56,6,FALSE)&gt;=VLOOKUP(55,main!$A$57:$I$59,4,FALSE)+VLOOKUP(VLOOKUP(AU$1,main!$A$3:$I$56,7,FALSE),main!$K$10:$Q$14,3,FALSE),1,0)</f>
        <v>0</v>
      </c>
      <c r="AV4">
        <f>IF(VLOOKUP(AV$1,main!$A$3:$I$56,5,FALSE)-VLOOKUP($A4,main!$A$3:$I$56,6,FALSE)&gt;=VLOOKUP(55,main!$A$57:$I$59,4,FALSE)+VLOOKUP(VLOOKUP(AV$1,main!$A$3:$I$56,7,FALSE),main!$K$10:$Q$14,3,FALSE),1,0)</f>
        <v>0</v>
      </c>
      <c r="AW4">
        <f>IF(VLOOKUP(AW$1,main!$A$3:$I$56,5,FALSE)-VLOOKUP($A4,main!$A$3:$I$56,6,FALSE)&gt;=VLOOKUP(55,main!$A$57:$I$59,4,FALSE)+VLOOKUP(VLOOKUP(AW$1,main!$A$3:$I$56,7,FALSE),main!$K$10:$Q$14,3,FALSE),1,0)</f>
        <v>0</v>
      </c>
      <c r="AX4">
        <f>IF(VLOOKUP(AX$1,main!$A$3:$I$56,5,FALSE)-VLOOKUP($A4,main!$A$3:$I$56,6,FALSE)&gt;=VLOOKUP(55,main!$A$57:$I$59,4,FALSE)+VLOOKUP(VLOOKUP(AX$1,main!$A$3:$I$56,7,FALSE),main!$K$10:$Q$14,3,FALSE),1,0)</f>
        <v>1</v>
      </c>
      <c r="AY4">
        <f>IF(VLOOKUP(AY$1,main!$A$3:$I$56,5,FALSE)-VLOOKUP($A4,main!$A$3:$I$56,6,FALSE)&gt;=VLOOKUP(55,main!$A$57:$I$59,4,FALSE)+VLOOKUP(VLOOKUP(AY$1,main!$A$3:$I$56,7,FALSE),main!$K$10:$Q$14,3,FALSE),1,0)</f>
        <v>1</v>
      </c>
      <c r="AZ4">
        <f>IF(VLOOKUP(AZ$1,main!$A$3:$I$56,5,FALSE)-VLOOKUP($A4,main!$A$3:$I$56,6,FALSE)&gt;=VLOOKUP(55,main!$A$57:$I$59,4,FALSE)+VLOOKUP(VLOOKUP(AZ$1,main!$A$3:$I$56,7,FALSE),main!$K$10:$Q$14,3,FALSE),1,0)</f>
        <v>0</v>
      </c>
      <c r="BA4">
        <f>IF(VLOOKUP(BA$1,main!$A$3:$I$56,5,FALSE)-VLOOKUP($A4,main!$A$3:$I$56,6,FALSE)&gt;=VLOOKUP(55,main!$A$57:$I$59,4,FALSE)+VLOOKUP(VLOOKUP(BA$1,main!$A$3:$I$56,7,FALSE),main!$K$10:$Q$14,3,FALSE),1,0)</f>
        <v>0</v>
      </c>
      <c r="BB4">
        <f>IF(VLOOKUP(BB$1,main!$A$3:$I$56,5,FALSE)-VLOOKUP($A4,main!$A$3:$I$56,6,FALSE)&gt;=VLOOKUP(55,main!$A$57:$I$59,4,FALSE)+VLOOKUP(VLOOKUP(BB$1,main!$A$3:$I$56,7,FALSE),main!$K$10:$Q$14,3,FALSE),1,0)</f>
        <v>0</v>
      </c>
      <c r="BC4">
        <f>IF(VLOOKUP(BC$1,main!$A$3:$I$56,5,FALSE)-VLOOKUP($A4,main!$A$3:$I$56,6,FALSE)&gt;=VLOOKUP(55,main!$A$57:$I$59,4,FALSE)+VLOOKUP(VLOOKUP(BC$1,main!$A$3:$I$56,7,FALSE),main!$K$10:$Q$14,3,FALSE),1,0)</f>
        <v>1</v>
      </c>
      <c r="BD4">
        <f>IF(VLOOKUP(BD$1,main!$A$3:$I$56,5,FALSE)-VLOOKUP($A4,main!$A$3:$I$56,6,FALSE)&gt;=VLOOKUP(55,main!$A$57:$I$59,4,FALSE)+VLOOKUP(VLOOKUP(BD$1,main!$A$3:$I$56,7,FALSE),main!$K$10:$Q$14,3,FALSE),1,0)</f>
        <v>1</v>
      </c>
    </row>
    <row r="5" spans="1:56" x14ac:dyDescent="0.25">
      <c r="A5">
        <f t="shared" si="0"/>
        <v>3</v>
      </c>
      <c r="B5">
        <v>0</v>
      </c>
      <c r="C5">
        <f>IF(VLOOKUP(C$1,main!$A$3:$I$56,5,FALSE)-VLOOKUP($A5,main!$A$3:$I$56,6,FALSE)&gt;=VLOOKUP(55,main!$A$57:$I$59,4,FALSE)+VLOOKUP(VLOOKUP(C$1,main!$A$3:$I$56,7,FALSE),main!$K$10:$Q$14,3,FALSE),1,0)</f>
        <v>0</v>
      </c>
      <c r="D5">
        <f>IF(VLOOKUP(D$1,main!$A$3:$I$56,5,FALSE)-VLOOKUP($A5,main!$A$3:$I$56,6,FALSE)&gt;=VLOOKUP(55,main!$A$57:$I$59,4,FALSE)+VLOOKUP(VLOOKUP(D$1,main!$A$3:$I$56,7,FALSE),main!$K$10:$Q$14,3,FALSE),1,0)</f>
        <v>0</v>
      </c>
      <c r="E5">
        <f>IF(VLOOKUP(E$1,main!$A$3:$I$56,5,FALSE)-VLOOKUP($A5,main!$A$3:$I$56,6,FALSE)&gt;=VLOOKUP(55,main!$A$57:$I$59,4,FALSE)+VLOOKUP(VLOOKUP(E$1,main!$A$3:$I$56,7,FALSE),main!$K$10:$Q$14,3,FALSE),1,0)</f>
        <v>0</v>
      </c>
      <c r="F5">
        <f>IF(VLOOKUP(F$1,main!$A$3:$I$56,5,FALSE)-VLOOKUP($A5,main!$A$3:$I$56,6,FALSE)&gt;=VLOOKUP(55,main!$A$57:$I$59,4,FALSE)+VLOOKUP(VLOOKUP(F$1,main!$A$3:$I$56,7,FALSE),main!$K$10:$Q$14,3,FALSE),1,0)</f>
        <v>0</v>
      </c>
      <c r="G5">
        <f>IF(VLOOKUP(G$1,main!$A$3:$I$56,5,FALSE)-VLOOKUP($A5,main!$A$3:$I$56,6,FALSE)&gt;=VLOOKUP(55,main!$A$57:$I$59,4,FALSE)+VLOOKUP(VLOOKUP(G$1,main!$A$3:$I$56,7,FALSE),main!$K$10:$Q$14,3,FALSE),1,0)</f>
        <v>0</v>
      </c>
      <c r="H5">
        <f>IF(VLOOKUP(H$1,main!$A$3:$I$56,5,FALSE)-VLOOKUP($A5,main!$A$3:$I$56,6,FALSE)&gt;=VLOOKUP(55,main!$A$57:$I$59,4,FALSE)+VLOOKUP(VLOOKUP(H$1,main!$A$3:$I$56,7,FALSE),main!$K$10:$Q$14,3,FALSE),1,0)</f>
        <v>0</v>
      </c>
      <c r="I5">
        <f>IF(VLOOKUP(I$1,main!$A$3:$I$56,5,FALSE)-VLOOKUP($A5,main!$A$3:$I$56,6,FALSE)&gt;=VLOOKUP(55,main!$A$57:$I$59,4,FALSE)+VLOOKUP(VLOOKUP(I$1,main!$A$3:$I$56,7,FALSE),main!$K$10:$Q$14,3,FALSE),1,0)</f>
        <v>1</v>
      </c>
      <c r="J5">
        <f>IF(VLOOKUP(J$1,main!$A$3:$I$56,5,FALSE)-VLOOKUP($A5,main!$A$3:$I$56,6,FALSE)&gt;=VLOOKUP(55,main!$A$57:$I$59,4,FALSE)+VLOOKUP(VLOOKUP(J$1,main!$A$3:$I$56,7,FALSE),main!$K$10:$Q$14,3,FALSE),1,0)</f>
        <v>1</v>
      </c>
      <c r="K5">
        <f>IF(VLOOKUP(K$1,main!$A$3:$I$56,5,FALSE)-VLOOKUP($A5,main!$A$3:$I$56,6,FALSE)&gt;=VLOOKUP(55,main!$A$57:$I$59,4,FALSE)+VLOOKUP(VLOOKUP(K$1,main!$A$3:$I$56,7,FALSE),main!$K$10:$Q$14,3,FALSE),1,0)</f>
        <v>0</v>
      </c>
      <c r="L5">
        <f>IF(VLOOKUP(L$1,main!$A$3:$I$56,5,FALSE)-VLOOKUP($A5,main!$A$3:$I$56,6,FALSE)&gt;=VLOOKUP(55,main!$A$57:$I$59,4,FALSE)+VLOOKUP(VLOOKUP(L$1,main!$A$3:$I$56,7,FALSE),main!$K$10:$Q$14,3,FALSE),1,0)</f>
        <v>0</v>
      </c>
      <c r="M5">
        <f>IF(VLOOKUP(M$1,main!$A$3:$I$56,5,FALSE)-VLOOKUP($A5,main!$A$3:$I$56,6,FALSE)&gt;=VLOOKUP(55,main!$A$57:$I$59,4,FALSE)+VLOOKUP(VLOOKUP(M$1,main!$A$3:$I$56,7,FALSE),main!$K$10:$Q$14,3,FALSE),1,0)</f>
        <v>0</v>
      </c>
      <c r="N5">
        <f>IF(VLOOKUP(N$1,main!$A$3:$I$56,5,FALSE)-VLOOKUP($A5,main!$A$3:$I$56,6,FALSE)&gt;=VLOOKUP(55,main!$A$57:$I$59,4,FALSE)+VLOOKUP(VLOOKUP(N$1,main!$A$3:$I$56,7,FALSE),main!$K$10:$Q$14,3,FALSE),1,0)</f>
        <v>1</v>
      </c>
      <c r="O5">
        <f>IF(VLOOKUP(O$1,main!$A$3:$I$56,5,FALSE)-VLOOKUP($A5,main!$A$3:$I$56,6,FALSE)&gt;=VLOOKUP(55,main!$A$57:$I$59,4,FALSE)+VLOOKUP(VLOOKUP(O$1,main!$A$3:$I$56,7,FALSE),main!$K$10:$Q$14,3,FALSE),1,0)</f>
        <v>1</v>
      </c>
      <c r="P5">
        <f>IF(VLOOKUP(P$1,main!$A$3:$I$56,5,FALSE)-VLOOKUP($A5,main!$A$3:$I$56,6,FALSE)&gt;=VLOOKUP(55,main!$A$57:$I$59,4,FALSE)+VLOOKUP(VLOOKUP(P$1,main!$A$3:$I$56,7,FALSE),main!$K$10:$Q$14,3,FALSE),1,0)</f>
        <v>0</v>
      </c>
      <c r="Q5">
        <f>IF(VLOOKUP(Q$1,main!$A$3:$I$56,5,FALSE)-VLOOKUP($A5,main!$A$3:$I$56,6,FALSE)&gt;=VLOOKUP(55,main!$A$57:$I$59,4,FALSE)+VLOOKUP(VLOOKUP(Q$1,main!$A$3:$I$56,7,FALSE),main!$K$10:$Q$14,3,FALSE),1,0)</f>
        <v>0</v>
      </c>
      <c r="R5">
        <f>IF(VLOOKUP(R$1,main!$A$3:$I$56,5,FALSE)-VLOOKUP($A5,main!$A$3:$I$56,6,FALSE)&gt;=VLOOKUP(55,main!$A$57:$I$59,4,FALSE)+VLOOKUP(VLOOKUP(R$1,main!$A$3:$I$56,7,FALSE),main!$K$10:$Q$14,3,FALSE),1,0)</f>
        <v>0</v>
      </c>
      <c r="S5">
        <f>IF(VLOOKUP(S$1,main!$A$3:$I$56,5,FALSE)-VLOOKUP($A5,main!$A$3:$I$56,6,FALSE)&gt;=VLOOKUP(55,main!$A$57:$I$59,4,FALSE)+VLOOKUP(VLOOKUP(S$1,main!$A$3:$I$56,7,FALSE),main!$K$10:$Q$14,3,FALSE),1,0)</f>
        <v>0</v>
      </c>
      <c r="T5">
        <f>IF(VLOOKUP(T$1,main!$A$3:$I$56,5,FALSE)-VLOOKUP($A5,main!$A$3:$I$56,6,FALSE)&gt;=VLOOKUP(55,main!$A$57:$I$59,4,FALSE)+VLOOKUP(VLOOKUP(T$1,main!$A$3:$I$56,7,FALSE),main!$K$10:$Q$14,3,FALSE),1,0)</f>
        <v>1</v>
      </c>
      <c r="U5">
        <f>IF(VLOOKUP(U$1,main!$A$3:$I$56,5,FALSE)-VLOOKUP($A5,main!$A$3:$I$56,6,FALSE)&gt;=VLOOKUP(55,main!$A$57:$I$59,4,FALSE)+VLOOKUP(VLOOKUP(U$1,main!$A$3:$I$56,7,FALSE),main!$K$10:$Q$14,3,FALSE),1,0)</f>
        <v>0</v>
      </c>
      <c r="V5">
        <f>IF(VLOOKUP(V$1,main!$A$3:$I$56,5,FALSE)-VLOOKUP($A5,main!$A$3:$I$56,6,FALSE)&gt;=VLOOKUP(55,main!$A$57:$I$59,4,FALSE)+VLOOKUP(VLOOKUP(V$1,main!$A$3:$I$56,7,FALSE),main!$K$10:$Q$14,3,FALSE),1,0)</f>
        <v>0</v>
      </c>
      <c r="W5">
        <f>IF(VLOOKUP(W$1,main!$A$3:$I$56,5,FALSE)-VLOOKUP($A5,main!$A$3:$I$56,6,FALSE)&gt;=VLOOKUP(55,main!$A$57:$I$59,4,FALSE)+VLOOKUP(VLOOKUP(W$1,main!$A$3:$I$56,7,FALSE),main!$K$10:$Q$14,3,FALSE),1,0)</f>
        <v>0</v>
      </c>
      <c r="X5">
        <f>IF(VLOOKUP(X$1,main!$A$3:$I$56,5,FALSE)-VLOOKUP($A5,main!$A$3:$I$56,6,FALSE)&gt;=VLOOKUP(55,main!$A$57:$I$59,4,FALSE)+VLOOKUP(VLOOKUP(X$1,main!$A$3:$I$56,7,FALSE),main!$K$10:$Q$14,3,FALSE),1,0)</f>
        <v>0</v>
      </c>
      <c r="Y5">
        <f>IF(VLOOKUP(Y$1,main!$A$3:$I$56,5,FALSE)-VLOOKUP($A5,main!$A$3:$I$56,6,FALSE)&gt;=VLOOKUP(55,main!$A$57:$I$59,4,FALSE)+VLOOKUP(VLOOKUP(Y$1,main!$A$3:$I$56,7,FALSE),main!$K$10:$Q$14,3,FALSE),1,0)</f>
        <v>0</v>
      </c>
      <c r="Z5">
        <f>IF(VLOOKUP(Z$1,main!$A$3:$I$56,5,FALSE)-VLOOKUP($A5,main!$A$3:$I$56,6,FALSE)&gt;=VLOOKUP(55,main!$A$57:$I$59,4,FALSE)+VLOOKUP(VLOOKUP(Z$1,main!$A$3:$I$56,7,FALSE),main!$K$10:$Q$14,3,FALSE),1,0)</f>
        <v>0</v>
      </c>
      <c r="AA5">
        <f>IF(VLOOKUP(AA$1,main!$A$3:$I$56,5,FALSE)-VLOOKUP($A5,main!$A$3:$I$56,6,FALSE)&gt;=VLOOKUP(55,main!$A$57:$I$59,4,FALSE)+VLOOKUP(VLOOKUP(AA$1,main!$A$3:$I$56,7,FALSE),main!$K$10:$Q$14,3,FALSE),1,0)</f>
        <v>1</v>
      </c>
      <c r="AB5">
        <f>IF(VLOOKUP(AB$1,main!$A$3:$I$56,5,FALSE)-VLOOKUP($A5,main!$A$3:$I$56,6,FALSE)&gt;=VLOOKUP(55,main!$A$57:$I$59,4,FALSE)+VLOOKUP(VLOOKUP(AB$1,main!$A$3:$I$56,7,FALSE),main!$K$10:$Q$14,3,FALSE),1,0)</f>
        <v>1</v>
      </c>
      <c r="AC5">
        <f>IF(VLOOKUP(AC$1,main!$A$3:$I$56,5,FALSE)-VLOOKUP($A5,main!$A$3:$I$56,6,FALSE)&gt;=VLOOKUP(55,main!$A$57:$I$59,4,FALSE)+VLOOKUP(VLOOKUP(AC$1,main!$A$3:$I$56,7,FALSE),main!$K$10:$Q$14,3,FALSE),1,0)</f>
        <v>0</v>
      </c>
      <c r="AD5">
        <f>IF(VLOOKUP(AD$1,main!$A$3:$I$56,5,FALSE)-VLOOKUP($A5,main!$A$3:$I$56,6,FALSE)&gt;=VLOOKUP(55,main!$A$57:$I$59,4,FALSE)+VLOOKUP(VLOOKUP(AD$1,main!$A$3:$I$56,7,FALSE),main!$K$10:$Q$14,3,FALSE),1,0)</f>
        <v>0</v>
      </c>
      <c r="AE5">
        <f>IF(VLOOKUP(AE$1,main!$A$3:$I$56,5,FALSE)-VLOOKUP($A5,main!$A$3:$I$56,6,FALSE)&gt;=VLOOKUP(55,main!$A$57:$I$59,4,FALSE)+VLOOKUP(VLOOKUP(AE$1,main!$A$3:$I$56,7,FALSE),main!$K$10:$Q$14,3,FALSE),1,0)</f>
        <v>0</v>
      </c>
      <c r="AF5">
        <f>IF(VLOOKUP(AF$1,main!$A$3:$I$56,5,FALSE)-VLOOKUP($A5,main!$A$3:$I$56,6,FALSE)&gt;=VLOOKUP(55,main!$A$57:$I$59,4,FALSE)+VLOOKUP(VLOOKUP(AF$1,main!$A$3:$I$56,7,FALSE),main!$K$10:$Q$14,3,FALSE),1,0)</f>
        <v>0</v>
      </c>
      <c r="AG5">
        <f>IF(VLOOKUP(AG$1,main!$A$3:$I$56,5,FALSE)-VLOOKUP($A5,main!$A$3:$I$56,6,FALSE)&gt;=VLOOKUP(55,main!$A$57:$I$59,4,FALSE)+VLOOKUP(VLOOKUP(AG$1,main!$A$3:$I$56,7,FALSE),main!$K$10:$Q$14,3,FALSE),1,0)</f>
        <v>0</v>
      </c>
      <c r="AH5">
        <f>IF(VLOOKUP(AH$1,main!$A$3:$I$56,5,FALSE)-VLOOKUP($A5,main!$A$3:$I$56,6,FALSE)&gt;=VLOOKUP(55,main!$A$57:$I$59,4,FALSE)+VLOOKUP(VLOOKUP(AH$1,main!$A$3:$I$56,7,FALSE),main!$K$10:$Q$14,3,FALSE),1,0)</f>
        <v>0</v>
      </c>
      <c r="AI5">
        <f>IF(VLOOKUP(AI$1,main!$A$3:$I$56,5,FALSE)-VLOOKUP($A5,main!$A$3:$I$56,6,FALSE)&gt;=VLOOKUP(55,main!$A$57:$I$59,4,FALSE)+VLOOKUP(VLOOKUP(AI$1,main!$A$3:$I$56,7,FALSE),main!$K$10:$Q$14,3,FALSE),1,0)</f>
        <v>0</v>
      </c>
      <c r="AJ5">
        <f>IF(VLOOKUP(AJ$1,main!$A$3:$I$56,5,FALSE)-VLOOKUP($A5,main!$A$3:$I$56,6,FALSE)&gt;=VLOOKUP(55,main!$A$57:$I$59,4,FALSE)+VLOOKUP(VLOOKUP(AJ$1,main!$A$3:$I$56,7,FALSE),main!$K$10:$Q$14,3,FALSE),1,0)</f>
        <v>0</v>
      </c>
      <c r="AK5">
        <f>IF(VLOOKUP(AK$1,main!$A$3:$I$56,5,FALSE)-VLOOKUP($A5,main!$A$3:$I$56,6,FALSE)&gt;=VLOOKUP(55,main!$A$57:$I$59,4,FALSE)+VLOOKUP(VLOOKUP(AK$1,main!$A$3:$I$56,7,FALSE),main!$K$10:$Q$14,3,FALSE),1,0)</f>
        <v>0</v>
      </c>
      <c r="AL5">
        <f>IF(VLOOKUP(AL$1,main!$A$3:$I$56,5,FALSE)-VLOOKUP($A5,main!$A$3:$I$56,6,FALSE)&gt;=VLOOKUP(55,main!$A$57:$I$59,4,FALSE)+VLOOKUP(VLOOKUP(AL$1,main!$A$3:$I$56,7,FALSE),main!$K$10:$Q$14,3,FALSE),1,0)</f>
        <v>0</v>
      </c>
      <c r="AM5">
        <f>IF(VLOOKUP(AM$1,main!$A$3:$I$56,5,FALSE)-VLOOKUP($A5,main!$A$3:$I$56,6,FALSE)&gt;=VLOOKUP(55,main!$A$57:$I$59,4,FALSE)+VLOOKUP(VLOOKUP(AM$1,main!$A$3:$I$56,7,FALSE),main!$K$10:$Q$14,3,FALSE),1,0)</f>
        <v>0</v>
      </c>
      <c r="AN5">
        <f>IF(VLOOKUP(AN$1,main!$A$3:$I$56,5,FALSE)-VLOOKUP($A5,main!$A$3:$I$56,6,FALSE)&gt;=VLOOKUP(55,main!$A$57:$I$59,4,FALSE)+VLOOKUP(VLOOKUP(AN$1,main!$A$3:$I$56,7,FALSE),main!$K$10:$Q$14,3,FALSE),1,0)</f>
        <v>0</v>
      </c>
      <c r="AO5">
        <f>IF(VLOOKUP(AO$1,main!$A$3:$I$56,5,FALSE)-VLOOKUP($A5,main!$A$3:$I$56,6,FALSE)&gt;=VLOOKUP(55,main!$A$57:$I$59,4,FALSE)+VLOOKUP(VLOOKUP(AO$1,main!$A$3:$I$56,7,FALSE),main!$K$10:$Q$14,3,FALSE),1,0)</f>
        <v>0</v>
      </c>
      <c r="AP5">
        <f>IF(VLOOKUP(AP$1,main!$A$3:$I$56,5,FALSE)-VLOOKUP($A5,main!$A$3:$I$56,6,FALSE)&gt;=VLOOKUP(55,main!$A$57:$I$59,4,FALSE)+VLOOKUP(VLOOKUP(AP$1,main!$A$3:$I$56,7,FALSE),main!$K$10:$Q$14,3,FALSE),1,0)</f>
        <v>0</v>
      </c>
      <c r="AQ5">
        <f>IF(VLOOKUP(AQ$1,main!$A$3:$I$56,5,FALSE)-VLOOKUP($A5,main!$A$3:$I$56,6,FALSE)&gt;=VLOOKUP(55,main!$A$57:$I$59,4,FALSE)+VLOOKUP(VLOOKUP(AQ$1,main!$A$3:$I$56,7,FALSE),main!$K$10:$Q$14,3,FALSE),1,0)</f>
        <v>0</v>
      </c>
      <c r="AR5">
        <f>IF(VLOOKUP(AR$1,main!$A$3:$I$56,5,FALSE)-VLOOKUP($A5,main!$A$3:$I$56,6,FALSE)&gt;=VLOOKUP(55,main!$A$57:$I$59,4,FALSE)+VLOOKUP(VLOOKUP(AR$1,main!$A$3:$I$56,7,FALSE),main!$K$10:$Q$14,3,FALSE),1,0)</f>
        <v>0</v>
      </c>
      <c r="AS5">
        <f>IF(VLOOKUP(AS$1,main!$A$3:$I$56,5,FALSE)-VLOOKUP($A5,main!$A$3:$I$56,6,FALSE)&gt;=VLOOKUP(55,main!$A$57:$I$59,4,FALSE)+VLOOKUP(VLOOKUP(AS$1,main!$A$3:$I$56,7,FALSE),main!$K$10:$Q$14,3,FALSE),1,0)</f>
        <v>0</v>
      </c>
      <c r="AT5">
        <f>IF(VLOOKUP(AT$1,main!$A$3:$I$56,5,FALSE)-VLOOKUP($A5,main!$A$3:$I$56,6,FALSE)&gt;=VLOOKUP(55,main!$A$57:$I$59,4,FALSE)+VLOOKUP(VLOOKUP(AT$1,main!$A$3:$I$56,7,FALSE),main!$K$10:$Q$14,3,FALSE),1,0)</f>
        <v>0</v>
      </c>
      <c r="AU5">
        <f>IF(VLOOKUP(AU$1,main!$A$3:$I$56,5,FALSE)-VLOOKUP($A5,main!$A$3:$I$56,6,FALSE)&gt;=VLOOKUP(55,main!$A$57:$I$59,4,FALSE)+VLOOKUP(VLOOKUP(AU$1,main!$A$3:$I$56,7,FALSE),main!$K$10:$Q$14,3,FALSE),1,0)</f>
        <v>0</v>
      </c>
      <c r="AV5">
        <f>IF(VLOOKUP(AV$1,main!$A$3:$I$56,5,FALSE)-VLOOKUP($A5,main!$A$3:$I$56,6,FALSE)&gt;=VLOOKUP(55,main!$A$57:$I$59,4,FALSE)+VLOOKUP(VLOOKUP(AV$1,main!$A$3:$I$56,7,FALSE),main!$K$10:$Q$14,3,FALSE),1,0)</f>
        <v>0</v>
      </c>
      <c r="AW5">
        <f>IF(VLOOKUP(AW$1,main!$A$3:$I$56,5,FALSE)-VLOOKUP($A5,main!$A$3:$I$56,6,FALSE)&gt;=VLOOKUP(55,main!$A$57:$I$59,4,FALSE)+VLOOKUP(VLOOKUP(AW$1,main!$A$3:$I$56,7,FALSE),main!$K$10:$Q$14,3,FALSE),1,0)</f>
        <v>0</v>
      </c>
      <c r="AX5">
        <f>IF(VLOOKUP(AX$1,main!$A$3:$I$56,5,FALSE)-VLOOKUP($A5,main!$A$3:$I$56,6,FALSE)&gt;=VLOOKUP(55,main!$A$57:$I$59,4,FALSE)+VLOOKUP(VLOOKUP(AX$1,main!$A$3:$I$56,7,FALSE),main!$K$10:$Q$14,3,FALSE),1,0)</f>
        <v>0</v>
      </c>
      <c r="AY5">
        <f>IF(VLOOKUP(AY$1,main!$A$3:$I$56,5,FALSE)-VLOOKUP($A5,main!$A$3:$I$56,6,FALSE)&gt;=VLOOKUP(55,main!$A$57:$I$59,4,FALSE)+VLOOKUP(VLOOKUP(AY$1,main!$A$3:$I$56,7,FALSE),main!$K$10:$Q$14,3,FALSE),1,0)</f>
        <v>1</v>
      </c>
      <c r="AZ5">
        <f>IF(VLOOKUP(AZ$1,main!$A$3:$I$56,5,FALSE)-VLOOKUP($A5,main!$A$3:$I$56,6,FALSE)&gt;=VLOOKUP(55,main!$A$57:$I$59,4,FALSE)+VLOOKUP(VLOOKUP(AZ$1,main!$A$3:$I$56,7,FALSE),main!$K$10:$Q$14,3,FALSE),1,0)</f>
        <v>0</v>
      </c>
      <c r="BA5">
        <f>IF(VLOOKUP(BA$1,main!$A$3:$I$56,5,FALSE)-VLOOKUP($A5,main!$A$3:$I$56,6,FALSE)&gt;=VLOOKUP(55,main!$A$57:$I$59,4,FALSE)+VLOOKUP(VLOOKUP(BA$1,main!$A$3:$I$56,7,FALSE),main!$K$10:$Q$14,3,FALSE),1,0)</f>
        <v>0</v>
      </c>
      <c r="BB5">
        <f>IF(VLOOKUP(BB$1,main!$A$3:$I$56,5,FALSE)-VLOOKUP($A5,main!$A$3:$I$56,6,FALSE)&gt;=VLOOKUP(55,main!$A$57:$I$59,4,FALSE)+VLOOKUP(VLOOKUP(BB$1,main!$A$3:$I$56,7,FALSE),main!$K$10:$Q$14,3,FALSE),1,0)</f>
        <v>0</v>
      </c>
      <c r="BC5">
        <f>IF(VLOOKUP(BC$1,main!$A$3:$I$56,5,FALSE)-VLOOKUP($A5,main!$A$3:$I$56,6,FALSE)&gt;=VLOOKUP(55,main!$A$57:$I$59,4,FALSE)+VLOOKUP(VLOOKUP(BC$1,main!$A$3:$I$56,7,FALSE),main!$K$10:$Q$14,3,FALSE),1,0)</f>
        <v>0</v>
      </c>
      <c r="BD5">
        <f>IF(VLOOKUP(BD$1,main!$A$3:$I$56,5,FALSE)-VLOOKUP($A5,main!$A$3:$I$56,6,FALSE)&gt;=VLOOKUP(55,main!$A$57:$I$59,4,FALSE)+VLOOKUP(VLOOKUP(BD$1,main!$A$3:$I$56,7,FALSE),main!$K$10:$Q$14,3,FALSE),1,0)</f>
        <v>0</v>
      </c>
    </row>
    <row r="6" spans="1:56" x14ac:dyDescent="0.25">
      <c r="A6">
        <f t="shared" si="0"/>
        <v>4</v>
      </c>
      <c r="B6">
        <v>0</v>
      </c>
      <c r="C6">
        <f>IF(VLOOKUP(C$1,main!$A$3:$I$56,5,FALSE)-VLOOKUP($A6,main!$A$3:$I$56,6,FALSE)&gt;=VLOOKUP(55,main!$A$57:$I$59,4,FALSE)+VLOOKUP(VLOOKUP(C$1,main!$A$3:$I$56,7,FALSE),main!$K$10:$Q$14,3,FALSE),1,0)</f>
        <v>0</v>
      </c>
      <c r="D6">
        <f>IF(VLOOKUP(D$1,main!$A$3:$I$56,5,FALSE)-VLOOKUP($A6,main!$A$3:$I$56,6,FALSE)&gt;=VLOOKUP(55,main!$A$57:$I$59,4,FALSE)+VLOOKUP(VLOOKUP(D$1,main!$A$3:$I$56,7,FALSE),main!$K$10:$Q$14,3,FALSE),1,0)</f>
        <v>0</v>
      </c>
      <c r="E6">
        <f>IF(VLOOKUP(E$1,main!$A$3:$I$56,5,FALSE)-VLOOKUP($A6,main!$A$3:$I$56,6,FALSE)&gt;=VLOOKUP(55,main!$A$57:$I$59,4,FALSE)+VLOOKUP(VLOOKUP(E$1,main!$A$3:$I$56,7,FALSE),main!$K$10:$Q$14,3,FALSE),1,0)</f>
        <v>0</v>
      </c>
      <c r="F6">
        <f>IF(VLOOKUP(F$1,main!$A$3:$I$56,5,FALSE)-VLOOKUP($A6,main!$A$3:$I$56,6,FALSE)&gt;=VLOOKUP(55,main!$A$57:$I$59,4,FALSE)+VLOOKUP(VLOOKUP(F$1,main!$A$3:$I$56,7,FALSE),main!$K$10:$Q$14,3,FALSE),1,0)</f>
        <v>0</v>
      </c>
      <c r="G6">
        <f>IF(VLOOKUP(G$1,main!$A$3:$I$56,5,FALSE)-VLOOKUP($A6,main!$A$3:$I$56,6,FALSE)&gt;=VLOOKUP(55,main!$A$57:$I$59,4,FALSE)+VLOOKUP(VLOOKUP(G$1,main!$A$3:$I$56,7,FALSE),main!$K$10:$Q$14,3,FALSE),1,0)</f>
        <v>0</v>
      </c>
      <c r="H6">
        <f>IF(VLOOKUP(H$1,main!$A$3:$I$56,5,FALSE)-VLOOKUP($A6,main!$A$3:$I$56,6,FALSE)&gt;=VLOOKUP(55,main!$A$57:$I$59,4,FALSE)+VLOOKUP(VLOOKUP(H$1,main!$A$3:$I$56,7,FALSE),main!$K$10:$Q$14,3,FALSE),1,0)</f>
        <v>0</v>
      </c>
      <c r="I6">
        <f>IF(VLOOKUP(I$1,main!$A$3:$I$56,5,FALSE)-VLOOKUP($A6,main!$A$3:$I$56,6,FALSE)&gt;=VLOOKUP(55,main!$A$57:$I$59,4,FALSE)+VLOOKUP(VLOOKUP(I$1,main!$A$3:$I$56,7,FALSE),main!$K$10:$Q$14,3,FALSE),1,0)</f>
        <v>0</v>
      </c>
      <c r="J6">
        <f>IF(VLOOKUP(J$1,main!$A$3:$I$56,5,FALSE)-VLOOKUP($A6,main!$A$3:$I$56,6,FALSE)&gt;=VLOOKUP(55,main!$A$57:$I$59,4,FALSE)+VLOOKUP(VLOOKUP(J$1,main!$A$3:$I$56,7,FALSE),main!$K$10:$Q$14,3,FALSE),1,0)</f>
        <v>1</v>
      </c>
      <c r="K6">
        <f>IF(VLOOKUP(K$1,main!$A$3:$I$56,5,FALSE)-VLOOKUP($A6,main!$A$3:$I$56,6,FALSE)&gt;=VLOOKUP(55,main!$A$57:$I$59,4,FALSE)+VLOOKUP(VLOOKUP(K$1,main!$A$3:$I$56,7,FALSE),main!$K$10:$Q$14,3,FALSE),1,0)</f>
        <v>0</v>
      </c>
      <c r="L6">
        <f>IF(VLOOKUP(L$1,main!$A$3:$I$56,5,FALSE)-VLOOKUP($A6,main!$A$3:$I$56,6,FALSE)&gt;=VLOOKUP(55,main!$A$57:$I$59,4,FALSE)+VLOOKUP(VLOOKUP(L$1,main!$A$3:$I$56,7,FALSE),main!$K$10:$Q$14,3,FALSE),1,0)</f>
        <v>0</v>
      </c>
      <c r="M6">
        <f>IF(VLOOKUP(M$1,main!$A$3:$I$56,5,FALSE)-VLOOKUP($A6,main!$A$3:$I$56,6,FALSE)&gt;=VLOOKUP(55,main!$A$57:$I$59,4,FALSE)+VLOOKUP(VLOOKUP(M$1,main!$A$3:$I$56,7,FALSE),main!$K$10:$Q$14,3,FALSE),1,0)</f>
        <v>0</v>
      </c>
      <c r="N6">
        <f>IF(VLOOKUP(N$1,main!$A$3:$I$56,5,FALSE)-VLOOKUP($A6,main!$A$3:$I$56,6,FALSE)&gt;=VLOOKUP(55,main!$A$57:$I$59,4,FALSE)+VLOOKUP(VLOOKUP(N$1,main!$A$3:$I$56,7,FALSE),main!$K$10:$Q$14,3,FALSE),1,0)</f>
        <v>1</v>
      </c>
      <c r="O6">
        <f>IF(VLOOKUP(O$1,main!$A$3:$I$56,5,FALSE)-VLOOKUP($A6,main!$A$3:$I$56,6,FALSE)&gt;=VLOOKUP(55,main!$A$57:$I$59,4,FALSE)+VLOOKUP(VLOOKUP(O$1,main!$A$3:$I$56,7,FALSE),main!$K$10:$Q$14,3,FALSE),1,0)</f>
        <v>1</v>
      </c>
      <c r="P6">
        <f>IF(VLOOKUP(P$1,main!$A$3:$I$56,5,FALSE)-VLOOKUP($A6,main!$A$3:$I$56,6,FALSE)&gt;=VLOOKUP(55,main!$A$57:$I$59,4,FALSE)+VLOOKUP(VLOOKUP(P$1,main!$A$3:$I$56,7,FALSE),main!$K$10:$Q$14,3,FALSE),1,0)</f>
        <v>0</v>
      </c>
      <c r="Q6">
        <f>IF(VLOOKUP(Q$1,main!$A$3:$I$56,5,FALSE)-VLOOKUP($A6,main!$A$3:$I$56,6,FALSE)&gt;=VLOOKUP(55,main!$A$57:$I$59,4,FALSE)+VLOOKUP(VLOOKUP(Q$1,main!$A$3:$I$56,7,FALSE),main!$K$10:$Q$14,3,FALSE),1,0)</f>
        <v>0</v>
      </c>
      <c r="R6">
        <f>IF(VLOOKUP(R$1,main!$A$3:$I$56,5,FALSE)-VLOOKUP($A6,main!$A$3:$I$56,6,FALSE)&gt;=VLOOKUP(55,main!$A$57:$I$59,4,FALSE)+VLOOKUP(VLOOKUP(R$1,main!$A$3:$I$56,7,FALSE),main!$K$10:$Q$14,3,FALSE),1,0)</f>
        <v>0</v>
      </c>
      <c r="S6">
        <f>IF(VLOOKUP(S$1,main!$A$3:$I$56,5,FALSE)-VLOOKUP($A6,main!$A$3:$I$56,6,FALSE)&gt;=VLOOKUP(55,main!$A$57:$I$59,4,FALSE)+VLOOKUP(VLOOKUP(S$1,main!$A$3:$I$56,7,FALSE),main!$K$10:$Q$14,3,FALSE),1,0)</f>
        <v>0</v>
      </c>
      <c r="T6">
        <f>IF(VLOOKUP(T$1,main!$A$3:$I$56,5,FALSE)-VLOOKUP($A6,main!$A$3:$I$56,6,FALSE)&gt;=VLOOKUP(55,main!$A$57:$I$59,4,FALSE)+VLOOKUP(VLOOKUP(T$1,main!$A$3:$I$56,7,FALSE),main!$K$10:$Q$14,3,FALSE),1,0)</f>
        <v>0</v>
      </c>
      <c r="U6">
        <f>IF(VLOOKUP(U$1,main!$A$3:$I$56,5,FALSE)-VLOOKUP($A6,main!$A$3:$I$56,6,FALSE)&gt;=VLOOKUP(55,main!$A$57:$I$59,4,FALSE)+VLOOKUP(VLOOKUP(U$1,main!$A$3:$I$56,7,FALSE),main!$K$10:$Q$14,3,FALSE),1,0)</f>
        <v>0</v>
      </c>
      <c r="V6">
        <f>IF(VLOOKUP(V$1,main!$A$3:$I$56,5,FALSE)-VLOOKUP($A6,main!$A$3:$I$56,6,FALSE)&gt;=VLOOKUP(55,main!$A$57:$I$59,4,FALSE)+VLOOKUP(VLOOKUP(V$1,main!$A$3:$I$56,7,FALSE),main!$K$10:$Q$14,3,FALSE),1,0)</f>
        <v>0</v>
      </c>
      <c r="W6">
        <f>IF(VLOOKUP(W$1,main!$A$3:$I$56,5,FALSE)-VLOOKUP($A6,main!$A$3:$I$56,6,FALSE)&gt;=VLOOKUP(55,main!$A$57:$I$59,4,FALSE)+VLOOKUP(VLOOKUP(W$1,main!$A$3:$I$56,7,FALSE),main!$K$10:$Q$14,3,FALSE),1,0)</f>
        <v>0</v>
      </c>
      <c r="X6">
        <f>IF(VLOOKUP(X$1,main!$A$3:$I$56,5,FALSE)-VLOOKUP($A6,main!$A$3:$I$56,6,FALSE)&gt;=VLOOKUP(55,main!$A$57:$I$59,4,FALSE)+VLOOKUP(VLOOKUP(X$1,main!$A$3:$I$56,7,FALSE),main!$K$10:$Q$14,3,FALSE),1,0)</f>
        <v>0</v>
      </c>
      <c r="Y6">
        <f>IF(VLOOKUP(Y$1,main!$A$3:$I$56,5,FALSE)-VLOOKUP($A6,main!$A$3:$I$56,6,FALSE)&gt;=VLOOKUP(55,main!$A$57:$I$59,4,FALSE)+VLOOKUP(VLOOKUP(Y$1,main!$A$3:$I$56,7,FALSE),main!$K$10:$Q$14,3,FALSE),1,0)</f>
        <v>0</v>
      </c>
      <c r="Z6">
        <f>IF(VLOOKUP(Z$1,main!$A$3:$I$56,5,FALSE)-VLOOKUP($A6,main!$A$3:$I$56,6,FALSE)&gt;=VLOOKUP(55,main!$A$57:$I$59,4,FALSE)+VLOOKUP(VLOOKUP(Z$1,main!$A$3:$I$56,7,FALSE),main!$K$10:$Q$14,3,FALSE),1,0)</f>
        <v>0</v>
      </c>
      <c r="AA6">
        <f>IF(VLOOKUP(AA$1,main!$A$3:$I$56,5,FALSE)-VLOOKUP($A6,main!$A$3:$I$56,6,FALSE)&gt;=VLOOKUP(55,main!$A$57:$I$59,4,FALSE)+VLOOKUP(VLOOKUP(AA$1,main!$A$3:$I$56,7,FALSE),main!$K$10:$Q$14,3,FALSE),1,0)</f>
        <v>0</v>
      </c>
      <c r="AB6">
        <f>IF(VLOOKUP(AB$1,main!$A$3:$I$56,5,FALSE)-VLOOKUP($A6,main!$A$3:$I$56,6,FALSE)&gt;=VLOOKUP(55,main!$A$57:$I$59,4,FALSE)+VLOOKUP(VLOOKUP(AB$1,main!$A$3:$I$56,7,FALSE),main!$K$10:$Q$14,3,FALSE),1,0)</f>
        <v>1</v>
      </c>
      <c r="AC6">
        <f>IF(VLOOKUP(AC$1,main!$A$3:$I$56,5,FALSE)-VLOOKUP($A6,main!$A$3:$I$56,6,FALSE)&gt;=VLOOKUP(55,main!$A$57:$I$59,4,FALSE)+VLOOKUP(VLOOKUP(AC$1,main!$A$3:$I$56,7,FALSE),main!$K$10:$Q$14,3,FALSE),1,0)</f>
        <v>0</v>
      </c>
      <c r="AD6">
        <f>IF(VLOOKUP(AD$1,main!$A$3:$I$56,5,FALSE)-VLOOKUP($A6,main!$A$3:$I$56,6,FALSE)&gt;=VLOOKUP(55,main!$A$57:$I$59,4,FALSE)+VLOOKUP(VLOOKUP(AD$1,main!$A$3:$I$56,7,FALSE),main!$K$10:$Q$14,3,FALSE),1,0)</f>
        <v>0</v>
      </c>
      <c r="AE6">
        <f>IF(VLOOKUP(AE$1,main!$A$3:$I$56,5,FALSE)-VLOOKUP($A6,main!$A$3:$I$56,6,FALSE)&gt;=VLOOKUP(55,main!$A$57:$I$59,4,FALSE)+VLOOKUP(VLOOKUP(AE$1,main!$A$3:$I$56,7,FALSE),main!$K$10:$Q$14,3,FALSE),1,0)</f>
        <v>0</v>
      </c>
      <c r="AF6">
        <f>IF(VLOOKUP(AF$1,main!$A$3:$I$56,5,FALSE)-VLOOKUP($A6,main!$A$3:$I$56,6,FALSE)&gt;=VLOOKUP(55,main!$A$57:$I$59,4,FALSE)+VLOOKUP(VLOOKUP(AF$1,main!$A$3:$I$56,7,FALSE),main!$K$10:$Q$14,3,FALSE),1,0)</f>
        <v>0</v>
      </c>
      <c r="AG6">
        <f>IF(VLOOKUP(AG$1,main!$A$3:$I$56,5,FALSE)-VLOOKUP($A6,main!$A$3:$I$56,6,FALSE)&gt;=VLOOKUP(55,main!$A$57:$I$59,4,FALSE)+VLOOKUP(VLOOKUP(AG$1,main!$A$3:$I$56,7,FALSE),main!$K$10:$Q$14,3,FALSE),1,0)</f>
        <v>0</v>
      </c>
      <c r="AH6">
        <f>IF(VLOOKUP(AH$1,main!$A$3:$I$56,5,FALSE)-VLOOKUP($A6,main!$A$3:$I$56,6,FALSE)&gt;=VLOOKUP(55,main!$A$57:$I$59,4,FALSE)+VLOOKUP(VLOOKUP(AH$1,main!$A$3:$I$56,7,FALSE),main!$K$10:$Q$14,3,FALSE),1,0)</f>
        <v>0</v>
      </c>
      <c r="AI6">
        <f>IF(VLOOKUP(AI$1,main!$A$3:$I$56,5,FALSE)-VLOOKUP($A6,main!$A$3:$I$56,6,FALSE)&gt;=VLOOKUP(55,main!$A$57:$I$59,4,FALSE)+VLOOKUP(VLOOKUP(AI$1,main!$A$3:$I$56,7,FALSE),main!$K$10:$Q$14,3,FALSE),1,0)</f>
        <v>0</v>
      </c>
      <c r="AJ6">
        <f>IF(VLOOKUP(AJ$1,main!$A$3:$I$56,5,FALSE)-VLOOKUP($A6,main!$A$3:$I$56,6,FALSE)&gt;=VLOOKUP(55,main!$A$57:$I$59,4,FALSE)+VLOOKUP(VLOOKUP(AJ$1,main!$A$3:$I$56,7,FALSE),main!$K$10:$Q$14,3,FALSE),1,0)</f>
        <v>0</v>
      </c>
      <c r="AK6">
        <f>IF(VLOOKUP(AK$1,main!$A$3:$I$56,5,FALSE)-VLOOKUP($A6,main!$A$3:$I$56,6,FALSE)&gt;=VLOOKUP(55,main!$A$57:$I$59,4,FALSE)+VLOOKUP(VLOOKUP(AK$1,main!$A$3:$I$56,7,FALSE),main!$K$10:$Q$14,3,FALSE),1,0)</f>
        <v>0</v>
      </c>
      <c r="AL6">
        <f>IF(VLOOKUP(AL$1,main!$A$3:$I$56,5,FALSE)-VLOOKUP($A6,main!$A$3:$I$56,6,FALSE)&gt;=VLOOKUP(55,main!$A$57:$I$59,4,FALSE)+VLOOKUP(VLOOKUP(AL$1,main!$A$3:$I$56,7,FALSE),main!$K$10:$Q$14,3,FALSE),1,0)</f>
        <v>0</v>
      </c>
      <c r="AM6">
        <f>IF(VLOOKUP(AM$1,main!$A$3:$I$56,5,FALSE)-VLOOKUP($A6,main!$A$3:$I$56,6,FALSE)&gt;=VLOOKUP(55,main!$A$57:$I$59,4,FALSE)+VLOOKUP(VLOOKUP(AM$1,main!$A$3:$I$56,7,FALSE),main!$K$10:$Q$14,3,FALSE),1,0)</f>
        <v>0</v>
      </c>
      <c r="AN6">
        <f>IF(VLOOKUP(AN$1,main!$A$3:$I$56,5,FALSE)-VLOOKUP($A6,main!$A$3:$I$56,6,FALSE)&gt;=VLOOKUP(55,main!$A$57:$I$59,4,FALSE)+VLOOKUP(VLOOKUP(AN$1,main!$A$3:$I$56,7,FALSE),main!$K$10:$Q$14,3,FALSE),1,0)</f>
        <v>0</v>
      </c>
      <c r="AO6">
        <f>IF(VLOOKUP(AO$1,main!$A$3:$I$56,5,FALSE)-VLOOKUP($A6,main!$A$3:$I$56,6,FALSE)&gt;=VLOOKUP(55,main!$A$57:$I$59,4,FALSE)+VLOOKUP(VLOOKUP(AO$1,main!$A$3:$I$56,7,FALSE),main!$K$10:$Q$14,3,FALSE),1,0)</f>
        <v>0</v>
      </c>
      <c r="AP6">
        <f>IF(VLOOKUP(AP$1,main!$A$3:$I$56,5,FALSE)-VLOOKUP($A6,main!$A$3:$I$56,6,FALSE)&gt;=VLOOKUP(55,main!$A$57:$I$59,4,FALSE)+VLOOKUP(VLOOKUP(AP$1,main!$A$3:$I$56,7,FALSE),main!$K$10:$Q$14,3,FALSE),1,0)</f>
        <v>0</v>
      </c>
      <c r="AQ6">
        <f>IF(VLOOKUP(AQ$1,main!$A$3:$I$56,5,FALSE)-VLOOKUP($A6,main!$A$3:$I$56,6,FALSE)&gt;=VLOOKUP(55,main!$A$57:$I$59,4,FALSE)+VLOOKUP(VLOOKUP(AQ$1,main!$A$3:$I$56,7,FALSE),main!$K$10:$Q$14,3,FALSE),1,0)</f>
        <v>0</v>
      </c>
      <c r="AR6">
        <f>IF(VLOOKUP(AR$1,main!$A$3:$I$56,5,FALSE)-VLOOKUP($A6,main!$A$3:$I$56,6,FALSE)&gt;=VLOOKUP(55,main!$A$57:$I$59,4,FALSE)+VLOOKUP(VLOOKUP(AR$1,main!$A$3:$I$56,7,FALSE),main!$K$10:$Q$14,3,FALSE),1,0)</f>
        <v>0</v>
      </c>
      <c r="AS6">
        <f>IF(VLOOKUP(AS$1,main!$A$3:$I$56,5,FALSE)-VLOOKUP($A6,main!$A$3:$I$56,6,FALSE)&gt;=VLOOKUP(55,main!$A$57:$I$59,4,FALSE)+VLOOKUP(VLOOKUP(AS$1,main!$A$3:$I$56,7,FALSE),main!$K$10:$Q$14,3,FALSE),1,0)</f>
        <v>0</v>
      </c>
      <c r="AT6">
        <f>IF(VLOOKUP(AT$1,main!$A$3:$I$56,5,FALSE)-VLOOKUP($A6,main!$A$3:$I$56,6,FALSE)&gt;=VLOOKUP(55,main!$A$57:$I$59,4,FALSE)+VLOOKUP(VLOOKUP(AT$1,main!$A$3:$I$56,7,FALSE),main!$K$10:$Q$14,3,FALSE),1,0)</f>
        <v>0</v>
      </c>
      <c r="AU6">
        <f>IF(VLOOKUP(AU$1,main!$A$3:$I$56,5,FALSE)-VLOOKUP($A6,main!$A$3:$I$56,6,FALSE)&gt;=VLOOKUP(55,main!$A$57:$I$59,4,FALSE)+VLOOKUP(VLOOKUP(AU$1,main!$A$3:$I$56,7,FALSE),main!$K$10:$Q$14,3,FALSE),1,0)</f>
        <v>0</v>
      </c>
      <c r="AV6">
        <f>IF(VLOOKUP(AV$1,main!$A$3:$I$56,5,FALSE)-VLOOKUP($A6,main!$A$3:$I$56,6,FALSE)&gt;=VLOOKUP(55,main!$A$57:$I$59,4,FALSE)+VLOOKUP(VLOOKUP(AV$1,main!$A$3:$I$56,7,FALSE),main!$K$10:$Q$14,3,FALSE),1,0)</f>
        <v>0</v>
      </c>
      <c r="AW6">
        <f>IF(VLOOKUP(AW$1,main!$A$3:$I$56,5,FALSE)-VLOOKUP($A6,main!$A$3:$I$56,6,FALSE)&gt;=VLOOKUP(55,main!$A$57:$I$59,4,FALSE)+VLOOKUP(VLOOKUP(AW$1,main!$A$3:$I$56,7,FALSE),main!$K$10:$Q$14,3,FALSE),1,0)</f>
        <v>0</v>
      </c>
      <c r="AX6">
        <f>IF(VLOOKUP(AX$1,main!$A$3:$I$56,5,FALSE)-VLOOKUP($A6,main!$A$3:$I$56,6,FALSE)&gt;=VLOOKUP(55,main!$A$57:$I$59,4,FALSE)+VLOOKUP(VLOOKUP(AX$1,main!$A$3:$I$56,7,FALSE),main!$K$10:$Q$14,3,FALSE),1,0)</f>
        <v>0</v>
      </c>
      <c r="AY6">
        <f>IF(VLOOKUP(AY$1,main!$A$3:$I$56,5,FALSE)-VLOOKUP($A6,main!$A$3:$I$56,6,FALSE)&gt;=VLOOKUP(55,main!$A$57:$I$59,4,FALSE)+VLOOKUP(VLOOKUP(AY$1,main!$A$3:$I$56,7,FALSE),main!$K$10:$Q$14,3,FALSE),1,0)</f>
        <v>1</v>
      </c>
      <c r="AZ6">
        <f>IF(VLOOKUP(AZ$1,main!$A$3:$I$56,5,FALSE)-VLOOKUP($A6,main!$A$3:$I$56,6,FALSE)&gt;=VLOOKUP(55,main!$A$57:$I$59,4,FALSE)+VLOOKUP(VLOOKUP(AZ$1,main!$A$3:$I$56,7,FALSE),main!$K$10:$Q$14,3,FALSE),1,0)</f>
        <v>0</v>
      </c>
      <c r="BA6">
        <f>IF(VLOOKUP(BA$1,main!$A$3:$I$56,5,FALSE)-VLOOKUP($A6,main!$A$3:$I$56,6,FALSE)&gt;=VLOOKUP(55,main!$A$57:$I$59,4,FALSE)+VLOOKUP(VLOOKUP(BA$1,main!$A$3:$I$56,7,FALSE),main!$K$10:$Q$14,3,FALSE),1,0)</f>
        <v>0</v>
      </c>
      <c r="BB6">
        <f>IF(VLOOKUP(BB$1,main!$A$3:$I$56,5,FALSE)-VLOOKUP($A6,main!$A$3:$I$56,6,FALSE)&gt;=VLOOKUP(55,main!$A$57:$I$59,4,FALSE)+VLOOKUP(VLOOKUP(BB$1,main!$A$3:$I$56,7,FALSE),main!$K$10:$Q$14,3,FALSE),1,0)</f>
        <v>0</v>
      </c>
      <c r="BC6">
        <f>IF(VLOOKUP(BC$1,main!$A$3:$I$56,5,FALSE)-VLOOKUP($A6,main!$A$3:$I$56,6,FALSE)&gt;=VLOOKUP(55,main!$A$57:$I$59,4,FALSE)+VLOOKUP(VLOOKUP(BC$1,main!$A$3:$I$56,7,FALSE),main!$K$10:$Q$14,3,FALSE),1,0)</f>
        <v>0</v>
      </c>
      <c r="BD6">
        <f>IF(VLOOKUP(BD$1,main!$A$3:$I$56,5,FALSE)-VLOOKUP($A6,main!$A$3:$I$56,6,FALSE)&gt;=VLOOKUP(55,main!$A$57:$I$59,4,FALSE)+VLOOKUP(VLOOKUP(BD$1,main!$A$3:$I$56,7,FALSE),main!$K$10:$Q$14,3,FALSE),1,0)</f>
        <v>0</v>
      </c>
    </row>
    <row r="7" spans="1:56" x14ac:dyDescent="0.25">
      <c r="A7">
        <f t="shared" si="0"/>
        <v>5</v>
      </c>
      <c r="B7">
        <v>0</v>
      </c>
      <c r="C7">
        <f>IF(VLOOKUP(C$1,main!$A$3:$I$56,5,FALSE)-VLOOKUP($A7,main!$A$3:$I$56,6,FALSE)&gt;=VLOOKUP(55,main!$A$57:$I$59,4,FALSE)+VLOOKUP(VLOOKUP(C$1,main!$A$3:$I$56,7,FALSE),main!$K$10:$Q$14,3,FALSE),1,0)</f>
        <v>0</v>
      </c>
      <c r="D7">
        <f>IF(VLOOKUP(D$1,main!$A$3:$I$56,5,FALSE)-VLOOKUP($A7,main!$A$3:$I$56,6,FALSE)&gt;=VLOOKUP(55,main!$A$57:$I$59,4,FALSE)+VLOOKUP(VLOOKUP(D$1,main!$A$3:$I$56,7,FALSE),main!$K$10:$Q$14,3,FALSE),1,0)</f>
        <v>0</v>
      </c>
      <c r="E7">
        <f>IF(VLOOKUP(E$1,main!$A$3:$I$56,5,FALSE)-VLOOKUP($A7,main!$A$3:$I$56,6,FALSE)&gt;=VLOOKUP(55,main!$A$57:$I$59,4,FALSE)+VLOOKUP(VLOOKUP(E$1,main!$A$3:$I$56,7,FALSE),main!$K$10:$Q$14,3,FALSE),1,0)</f>
        <v>0</v>
      </c>
      <c r="F7">
        <f>IF(VLOOKUP(F$1,main!$A$3:$I$56,5,FALSE)-VLOOKUP($A7,main!$A$3:$I$56,6,FALSE)&gt;=VLOOKUP(55,main!$A$57:$I$59,4,FALSE)+VLOOKUP(VLOOKUP(F$1,main!$A$3:$I$56,7,FALSE),main!$K$10:$Q$14,3,FALSE),1,0)</f>
        <v>0</v>
      </c>
      <c r="G7">
        <f>IF(VLOOKUP(G$1,main!$A$3:$I$56,5,FALSE)-VLOOKUP($A7,main!$A$3:$I$56,6,FALSE)&gt;=VLOOKUP(55,main!$A$57:$I$59,4,FALSE)+VLOOKUP(VLOOKUP(G$1,main!$A$3:$I$56,7,FALSE),main!$K$10:$Q$14,3,FALSE),1,0)</f>
        <v>0</v>
      </c>
      <c r="H7">
        <f>IF(VLOOKUP(H$1,main!$A$3:$I$56,5,FALSE)-VLOOKUP($A7,main!$A$3:$I$56,6,FALSE)&gt;=VLOOKUP(55,main!$A$57:$I$59,4,FALSE)+VLOOKUP(VLOOKUP(H$1,main!$A$3:$I$56,7,FALSE),main!$K$10:$Q$14,3,FALSE),1,0)</f>
        <v>0</v>
      </c>
      <c r="I7">
        <f>IF(VLOOKUP(I$1,main!$A$3:$I$56,5,FALSE)-VLOOKUP($A7,main!$A$3:$I$56,6,FALSE)&gt;=VLOOKUP(55,main!$A$57:$I$59,4,FALSE)+VLOOKUP(VLOOKUP(I$1,main!$A$3:$I$56,7,FALSE),main!$K$10:$Q$14,3,FALSE),1,0)</f>
        <v>0</v>
      </c>
      <c r="J7">
        <f>IF(VLOOKUP(J$1,main!$A$3:$I$56,5,FALSE)-VLOOKUP($A7,main!$A$3:$I$56,6,FALSE)&gt;=VLOOKUP(55,main!$A$57:$I$59,4,FALSE)+VLOOKUP(VLOOKUP(J$1,main!$A$3:$I$56,7,FALSE),main!$K$10:$Q$14,3,FALSE),1,0)</f>
        <v>0</v>
      </c>
      <c r="K7">
        <f>IF(VLOOKUP(K$1,main!$A$3:$I$56,5,FALSE)-VLOOKUP($A7,main!$A$3:$I$56,6,FALSE)&gt;=VLOOKUP(55,main!$A$57:$I$59,4,FALSE)+VLOOKUP(VLOOKUP(K$1,main!$A$3:$I$56,7,FALSE),main!$K$10:$Q$14,3,FALSE),1,0)</f>
        <v>0</v>
      </c>
      <c r="L7">
        <f>IF(VLOOKUP(L$1,main!$A$3:$I$56,5,FALSE)-VLOOKUP($A7,main!$A$3:$I$56,6,FALSE)&gt;=VLOOKUP(55,main!$A$57:$I$59,4,FALSE)+VLOOKUP(VLOOKUP(L$1,main!$A$3:$I$56,7,FALSE),main!$K$10:$Q$14,3,FALSE),1,0)</f>
        <v>0</v>
      </c>
      <c r="M7">
        <f>IF(VLOOKUP(M$1,main!$A$3:$I$56,5,FALSE)-VLOOKUP($A7,main!$A$3:$I$56,6,FALSE)&gt;=VLOOKUP(55,main!$A$57:$I$59,4,FALSE)+VLOOKUP(VLOOKUP(M$1,main!$A$3:$I$56,7,FALSE),main!$K$10:$Q$14,3,FALSE),1,0)</f>
        <v>0</v>
      </c>
      <c r="N7">
        <f>IF(VLOOKUP(N$1,main!$A$3:$I$56,5,FALSE)-VLOOKUP($A7,main!$A$3:$I$56,6,FALSE)&gt;=VLOOKUP(55,main!$A$57:$I$59,4,FALSE)+VLOOKUP(VLOOKUP(N$1,main!$A$3:$I$56,7,FALSE),main!$K$10:$Q$14,3,FALSE),1,0)</f>
        <v>0</v>
      </c>
      <c r="O7">
        <f>IF(VLOOKUP(O$1,main!$A$3:$I$56,5,FALSE)-VLOOKUP($A7,main!$A$3:$I$56,6,FALSE)&gt;=VLOOKUP(55,main!$A$57:$I$59,4,FALSE)+VLOOKUP(VLOOKUP(O$1,main!$A$3:$I$56,7,FALSE),main!$K$10:$Q$14,3,FALSE),1,0)</f>
        <v>1</v>
      </c>
      <c r="P7">
        <f>IF(VLOOKUP(P$1,main!$A$3:$I$56,5,FALSE)-VLOOKUP($A7,main!$A$3:$I$56,6,FALSE)&gt;=VLOOKUP(55,main!$A$57:$I$59,4,FALSE)+VLOOKUP(VLOOKUP(P$1,main!$A$3:$I$56,7,FALSE),main!$K$10:$Q$14,3,FALSE),1,0)</f>
        <v>0</v>
      </c>
      <c r="Q7">
        <f>IF(VLOOKUP(Q$1,main!$A$3:$I$56,5,FALSE)-VLOOKUP($A7,main!$A$3:$I$56,6,FALSE)&gt;=VLOOKUP(55,main!$A$57:$I$59,4,FALSE)+VLOOKUP(VLOOKUP(Q$1,main!$A$3:$I$56,7,FALSE),main!$K$10:$Q$14,3,FALSE),1,0)</f>
        <v>0</v>
      </c>
      <c r="R7">
        <f>IF(VLOOKUP(R$1,main!$A$3:$I$56,5,FALSE)-VLOOKUP($A7,main!$A$3:$I$56,6,FALSE)&gt;=VLOOKUP(55,main!$A$57:$I$59,4,FALSE)+VLOOKUP(VLOOKUP(R$1,main!$A$3:$I$56,7,FALSE),main!$K$10:$Q$14,3,FALSE),1,0)</f>
        <v>0</v>
      </c>
      <c r="S7">
        <f>IF(VLOOKUP(S$1,main!$A$3:$I$56,5,FALSE)-VLOOKUP($A7,main!$A$3:$I$56,6,FALSE)&gt;=VLOOKUP(55,main!$A$57:$I$59,4,FALSE)+VLOOKUP(VLOOKUP(S$1,main!$A$3:$I$56,7,FALSE),main!$K$10:$Q$14,3,FALSE),1,0)</f>
        <v>0</v>
      </c>
      <c r="T7">
        <f>IF(VLOOKUP(T$1,main!$A$3:$I$56,5,FALSE)-VLOOKUP($A7,main!$A$3:$I$56,6,FALSE)&gt;=VLOOKUP(55,main!$A$57:$I$59,4,FALSE)+VLOOKUP(VLOOKUP(T$1,main!$A$3:$I$56,7,FALSE),main!$K$10:$Q$14,3,FALSE),1,0)</f>
        <v>0</v>
      </c>
      <c r="U7">
        <f>IF(VLOOKUP(U$1,main!$A$3:$I$56,5,FALSE)-VLOOKUP($A7,main!$A$3:$I$56,6,FALSE)&gt;=VLOOKUP(55,main!$A$57:$I$59,4,FALSE)+VLOOKUP(VLOOKUP(U$1,main!$A$3:$I$56,7,FALSE),main!$K$10:$Q$14,3,FALSE),1,0)</f>
        <v>0</v>
      </c>
      <c r="V7">
        <f>IF(VLOOKUP(V$1,main!$A$3:$I$56,5,FALSE)-VLOOKUP($A7,main!$A$3:$I$56,6,FALSE)&gt;=VLOOKUP(55,main!$A$57:$I$59,4,FALSE)+VLOOKUP(VLOOKUP(V$1,main!$A$3:$I$56,7,FALSE),main!$K$10:$Q$14,3,FALSE),1,0)</f>
        <v>0</v>
      </c>
      <c r="W7">
        <f>IF(VLOOKUP(W$1,main!$A$3:$I$56,5,FALSE)-VLOOKUP($A7,main!$A$3:$I$56,6,FALSE)&gt;=VLOOKUP(55,main!$A$57:$I$59,4,FALSE)+VLOOKUP(VLOOKUP(W$1,main!$A$3:$I$56,7,FALSE),main!$K$10:$Q$14,3,FALSE),1,0)</f>
        <v>0</v>
      </c>
      <c r="X7">
        <f>IF(VLOOKUP(X$1,main!$A$3:$I$56,5,FALSE)-VLOOKUP($A7,main!$A$3:$I$56,6,FALSE)&gt;=VLOOKUP(55,main!$A$57:$I$59,4,FALSE)+VLOOKUP(VLOOKUP(X$1,main!$A$3:$I$56,7,FALSE),main!$K$10:$Q$14,3,FALSE),1,0)</f>
        <v>0</v>
      </c>
      <c r="Y7">
        <f>IF(VLOOKUP(Y$1,main!$A$3:$I$56,5,FALSE)-VLOOKUP($A7,main!$A$3:$I$56,6,FALSE)&gt;=VLOOKUP(55,main!$A$57:$I$59,4,FALSE)+VLOOKUP(VLOOKUP(Y$1,main!$A$3:$I$56,7,FALSE),main!$K$10:$Q$14,3,FALSE),1,0)</f>
        <v>0</v>
      </c>
      <c r="Z7">
        <f>IF(VLOOKUP(Z$1,main!$A$3:$I$56,5,FALSE)-VLOOKUP($A7,main!$A$3:$I$56,6,FALSE)&gt;=VLOOKUP(55,main!$A$57:$I$59,4,FALSE)+VLOOKUP(VLOOKUP(Z$1,main!$A$3:$I$56,7,FALSE),main!$K$10:$Q$14,3,FALSE),1,0)</f>
        <v>0</v>
      </c>
      <c r="AA7">
        <f>IF(VLOOKUP(AA$1,main!$A$3:$I$56,5,FALSE)-VLOOKUP($A7,main!$A$3:$I$56,6,FALSE)&gt;=VLOOKUP(55,main!$A$57:$I$59,4,FALSE)+VLOOKUP(VLOOKUP(AA$1,main!$A$3:$I$56,7,FALSE),main!$K$10:$Q$14,3,FALSE),1,0)</f>
        <v>0</v>
      </c>
      <c r="AB7">
        <f>IF(VLOOKUP(AB$1,main!$A$3:$I$56,5,FALSE)-VLOOKUP($A7,main!$A$3:$I$56,6,FALSE)&gt;=VLOOKUP(55,main!$A$57:$I$59,4,FALSE)+VLOOKUP(VLOOKUP(AB$1,main!$A$3:$I$56,7,FALSE),main!$K$10:$Q$14,3,FALSE),1,0)</f>
        <v>0</v>
      </c>
      <c r="AC7">
        <f>IF(VLOOKUP(AC$1,main!$A$3:$I$56,5,FALSE)-VLOOKUP($A7,main!$A$3:$I$56,6,FALSE)&gt;=VLOOKUP(55,main!$A$57:$I$59,4,FALSE)+VLOOKUP(VLOOKUP(AC$1,main!$A$3:$I$56,7,FALSE),main!$K$10:$Q$14,3,FALSE),1,0)</f>
        <v>0</v>
      </c>
      <c r="AD7">
        <f>IF(VLOOKUP(AD$1,main!$A$3:$I$56,5,FALSE)-VLOOKUP($A7,main!$A$3:$I$56,6,FALSE)&gt;=VLOOKUP(55,main!$A$57:$I$59,4,FALSE)+VLOOKUP(VLOOKUP(AD$1,main!$A$3:$I$56,7,FALSE),main!$K$10:$Q$14,3,FALSE),1,0)</f>
        <v>0</v>
      </c>
      <c r="AE7">
        <f>IF(VLOOKUP(AE$1,main!$A$3:$I$56,5,FALSE)-VLOOKUP($A7,main!$A$3:$I$56,6,FALSE)&gt;=VLOOKUP(55,main!$A$57:$I$59,4,FALSE)+VLOOKUP(VLOOKUP(AE$1,main!$A$3:$I$56,7,FALSE),main!$K$10:$Q$14,3,FALSE),1,0)</f>
        <v>0</v>
      </c>
      <c r="AF7">
        <f>IF(VLOOKUP(AF$1,main!$A$3:$I$56,5,FALSE)-VLOOKUP($A7,main!$A$3:$I$56,6,FALSE)&gt;=VLOOKUP(55,main!$A$57:$I$59,4,FALSE)+VLOOKUP(VLOOKUP(AF$1,main!$A$3:$I$56,7,FALSE),main!$K$10:$Q$14,3,FALSE),1,0)</f>
        <v>0</v>
      </c>
      <c r="AG7">
        <f>IF(VLOOKUP(AG$1,main!$A$3:$I$56,5,FALSE)-VLOOKUP($A7,main!$A$3:$I$56,6,FALSE)&gt;=VLOOKUP(55,main!$A$57:$I$59,4,FALSE)+VLOOKUP(VLOOKUP(AG$1,main!$A$3:$I$56,7,FALSE),main!$K$10:$Q$14,3,FALSE),1,0)</f>
        <v>0</v>
      </c>
      <c r="AH7">
        <f>IF(VLOOKUP(AH$1,main!$A$3:$I$56,5,FALSE)-VLOOKUP($A7,main!$A$3:$I$56,6,FALSE)&gt;=VLOOKUP(55,main!$A$57:$I$59,4,FALSE)+VLOOKUP(VLOOKUP(AH$1,main!$A$3:$I$56,7,FALSE),main!$K$10:$Q$14,3,FALSE),1,0)</f>
        <v>0</v>
      </c>
      <c r="AI7">
        <f>IF(VLOOKUP(AI$1,main!$A$3:$I$56,5,FALSE)-VLOOKUP($A7,main!$A$3:$I$56,6,FALSE)&gt;=VLOOKUP(55,main!$A$57:$I$59,4,FALSE)+VLOOKUP(VLOOKUP(AI$1,main!$A$3:$I$56,7,FALSE),main!$K$10:$Q$14,3,FALSE),1,0)</f>
        <v>0</v>
      </c>
      <c r="AJ7">
        <f>IF(VLOOKUP(AJ$1,main!$A$3:$I$56,5,FALSE)-VLOOKUP($A7,main!$A$3:$I$56,6,FALSE)&gt;=VLOOKUP(55,main!$A$57:$I$59,4,FALSE)+VLOOKUP(VLOOKUP(AJ$1,main!$A$3:$I$56,7,FALSE),main!$K$10:$Q$14,3,FALSE),1,0)</f>
        <v>0</v>
      </c>
      <c r="AK7">
        <f>IF(VLOOKUP(AK$1,main!$A$3:$I$56,5,FALSE)-VLOOKUP($A7,main!$A$3:$I$56,6,FALSE)&gt;=VLOOKUP(55,main!$A$57:$I$59,4,FALSE)+VLOOKUP(VLOOKUP(AK$1,main!$A$3:$I$56,7,FALSE),main!$K$10:$Q$14,3,FALSE),1,0)</f>
        <v>0</v>
      </c>
      <c r="AL7">
        <f>IF(VLOOKUP(AL$1,main!$A$3:$I$56,5,FALSE)-VLOOKUP($A7,main!$A$3:$I$56,6,FALSE)&gt;=VLOOKUP(55,main!$A$57:$I$59,4,FALSE)+VLOOKUP(VLOOKUP(AL$1,main!$A$3:$I$56,7,FALSE),main!$K$10:$Q$14,3,FALSE),1,0)</f>
        <v>0</v>
      </c>
      <c r="AM7">
        <f>IF(VLOOKUP(AM$1,main!$A$3:$I$56,5,FALSE)-VLOOKUP($A7,main!$A$3:$I$56,6,FALSE)&gt;=VLOOKUP(55,main!$A$57:$I$59,4,FALSE)+VLOOKUP(VLOOKUP(AM$1,main!$A$3:$I$56,7,FALSE),main!$K$10:$Q$14,3,FALSE),1,0)</f>
        <v>0</v>
      </c>
      <c r="AN7">
        <f>IF(VLOOKUP(AN$1,main!$A$3:$I$56,5,FALSE)-VLOOKUP($A7,main!$A$3:$I$56,6,FALSE)&gt;=VLOOKUP(55,main!$A$57:$I$59,4,FALSE)+VLOOKUP(VLOOKUP(AN$1,main!$A$3:$I$56,7,FALSE),main!$K$10:$Q$14,3,FALSE),1,0)</f>
        <v>0</v>
      </c>
      <c r="AO7">
        <f>IF(VLOOKUP(AO$1,main!$A$3:$I$56,5,FALSE)-VLOOKUP($A7,main!$A$3:$I$56,6,FALSE)&gt;=VLOOKUP(55,main!$A$57:$I$59,4,FALSE)+VLOOKUP(VLOOKUP(AO$1,main!$A$3:$I$56,7,FALSE),main!$K$10:$Q$14,3,FALSE),1,0)</f>
        <v>0</v>
      </c>
      <c r="AP7">
        <f>IF(VLOOKUP(AP$1,main!$A$3:$I$56,5,FALSE)-VLOOKUP($A7,main!$A$3:$I$56,6,FALSE)&gt;=VLOOKUP(55,main!$A$57:$I$59,4,FALSE)+VLOOKUP(VLOOKUP(AP$1,main!$A$3:$I$56,7,FALSE),main!$K$10:$Q$14,3,FALSE),1,0)</f>
        <v>0</v>
      </c>
      <c r="AQ7">
        <f>IF(VLOOKUP(AQ$1,main!$A$3:$I$56,5,FALSE)-VLOOKUP($A7,main!$A$3:$I$56,6,FALSE)&gt;=VLOOKUP(55,main!$A$57:$I$59,4,FALSE)+VLOOKUP(VLOOKUP(AQ$1,main!$A$3:$I$56,7,FALSE),main!$K$10:$Q$14,3,FALSE),1,0)</f>
        <v>0</v>
      </c>
      <c r="AR7">
        <f>IF(VLOOKUP(AR$1,main!$A$3:$I$56,5,FALSE)-VLOOKUP($A7,main!$A$3:$I$56,6,FALSE)&gt;=VLOOKUP(55,main!$A$57:$I$59,4,FALSE)+VLOOKUP(VLOOKUP(AR$1,main!$A$3:$I$56,7,FALSE),main!$K$10:$Q$14,3,FALSE),1,0)</f>
        <v>0</v>
      </c>
      <c r="AS7">
        <f>IF(VLOOKUP(AS$1,main!$A$3:$I$56,5,FALSE)-VLOOKUP($A7,main!$A$3:$I$56,6,FALSE)&gt;=VLOOKUP(55,main!$A$57:$I$59,4,FALSE)+VLOOKUP(VLOOKUP(AS$1,main!$A$3:$I$56,7,FALSE),main!$K$10:$Q$14,3,FALSE),1,0)</f>
        <v>0</v>
      </c>
      <c r="AT7">
        <f>IF(VLOOKUP(AT$1,main!$A$3:$I$56,5,FALSE)-VLOOKUP($A7,main!$A$3:$I$56,6,FALSE)&gt;=VLOOKUP(55,main!$A$57:$I$59,4,FALSE)+VLOOKUP(VLOOKUP(AT$1,main!$A$3:$I$56,7,FALSE),main!$K$10:$Q$14,3,FALSE),1,0)</f>
        <v>0</v>
      </c>
      <c r="AU7">
        <f>IF(VLOOKUP(AU$1,main!$A$3:$I$56,5,FALSE)-VLOOKUP($A7,main!$A$3:$I$56,6,FALSE)&gt;=VLOOKUP(55,main!$A$57:$I$59,4,FALSE)+VLOOKUP(VLOOKUP(AU$1,main!$A$3:$I$56,7,FALSE),main!$K$10:$Q$14,3,FALSE),1,0)</f>
        <v>0</v>
      </c>
      <c r="AV7">
        <f>IF(VLOOKUP(AV$1,main!$A$3:$I$56,5,FALSE)-VLOOKUP($A7,main!$A$3:$I$56,6,FALSE)&gt;=VLOOKUP(55,main!$A$57:$I$59,4,FALSE)+VLOOKUP(VLOOKUP(AV$1,main!$A$3:$I$56,7,FALSE),main!$K$10:$Q$14,3,FALSE),1,0)</f>
        <v>0</v>
      </c>
      <c r="AW7">
        <f>IF(VLOOKUP(AW$1,main!$A$3:$I$56,5,FALSE)-VLOOKUP($A7,main!$A$3:$I$56,6,FALSE)&gt;=VLOOKUP(55,main!$A$57:$I$59,4,FALSE)+VLOOKUP(VLOOKUP(AW$1,main!$A$3:$I$56,7,FALSE),main!$K$10:$Q$14,3,FALSE),1,0)</f>
        <v>0</v>
      </c>
      <c r="AX7">
        <f>IF(VLOOKUP(AX$1,main!$A$3:$I$56,5,FALSE)-VLOOKUP($A7,main!$A$3:$I$56,6,FALSE)&gt;=VLOOKUP(55,main!$A$57:$I$59,4,FALSE)+VLOOKUP(VLOOKUP(AX$1,main!$A$3:$I$56,7,FALSE),main!$K$10:$Q$14,3,FALSE),1,0)</f>
        <v>0</v>
      </c>
      <c r="AY7">
        <f>IF(VLOOKUP(AY$1,main!$A$3:$I$56,5,FALSE)-VLOOKUP($A7,main!$A$3:$I$56,6,FALSE)&gt;=VLOOKUP(55,main!$A$57:$I$59,4,FALSE)+VLOOKUP(VLOOKUP(AY$1,main!$A$3:$I$56,7,FALSE),main!$K$10:$Q$14,3,FALSE),1,0)</f>
        <v>1</v>
      </c>
      <c r="AZ7">
        <f>IF(VLOOKUP(AZ$1,main!$A$3:$I$56,5,FALSE)-VLOOKUP($A7,main!$A$3:$I$56,6,FALSE)&gt;=VLOOKUP(55,main!$A$57:$I$59,4,FALSE)+VLOOKUP(VLOOKUP(AZ$1,main!$A$3:$I$56,7,FALSE),main!$K$10:$Q$14,3,FALSE),1,0)</f>
        <v>0</v>
      </c>
      <c r="BA7">
        <f>IF(VLOOKUP(BA$1,main!$A$3:$I$56,5,FALSE)-VLOOKUP($A7,main!$A$3:$I$56,6,FALSE)&gt;=VLOOKUP(55,main!$A$57:$I$59,4,FALSE)+VLOOKUP(VLOOKUP(BA$1,main!$A$3:$I$56,7,FALSE),main!$K$10:$Q$14,3,FALSE),1,0)</f>
        <v>0</v>
      </c>
      <c r="BB7">
        <f>IF(VLOOKUP(BB$1,main!$A$3:$I$56,5,FALSE)-VLOOKUP($A7,main!$A$3:$I$56,6,FALSE)&gt;=VLOOKUP(55,main!$A$57:$I$59,4,FALSE)+VLOOKUP(VLOOKUP(BB$1,main!$A$3:$I$56,7,FALSE),main!$K$10:$Q$14,3,FALSE),1,0)</f>
        <v>0</v>
      </c>
      <c r="BC7">
        <f>IF(VLOOKUP(BC$1,main!$A$3:$I$56,5,FALSE)-VLOOKUP($A7,main!$A$3:$I$56,6,FALSE)&gt;=VLOOKUP(55,main!$A$57:$I$59,4,FALSE)+VLOOKUP(VLOOKUP(BC$1,main!$A$3:$I$56,7,FALSE),main!$K$10:$Q$14,3,FALSE),1,0)</f>
        <v>0</v>
      </c>
      <c r="BD7">
        <f>IF(VLOOKUP(BD$1,main!$A$3:$I$56,5,FALSE)-VLOOKUP($A7,main!$A$3:$I$56,6,FALSE)&gt;=VLOOKUP(55,main!$A$57:$I$59,4,FALSE)+VLOOKUP(VLOOKUP(BD$1,main!$A$3:$I$56,7,FALSE),main!$K$10:$Q$14,3,FALSE),1,0)</f>
        <v>0</v>
      </c>
    </row>
    <row r="8" spans="1:56" x14ac:dyDescent="0.25">
      <c r="A8">
        <f t="shared" si="0"/>
        <v>6</v>
      </c>
      <c r="B8">
        <v>0</v>
      </c>
      <c r="C8">
        <f>IF(VLOOKUP(C$1,main!$A$3:$I$56,5,FALSE)-VLOOKUP($A8,main!$A$3:$I$56,6,FALSE)&gt;=VLOOKUP(55,main!$A$57:$I$59,4,FALSE)+VLOOKUP(VLOOKUP(C$1,main!$A$3:$I$56,7,FALSE),main!$K$10:$Q$14,3,FALSE),1,0)</f>
        <v>0</v>
      </c>
      <c r="D8">
        <f>IF(VLOOKUP(D$1,main!$A$3:$I$56,5,FALSE)-VLOOKUP($A8,main!$A$3:$I$56,6,FALSE)&gt;=VLOOKUP(55,main!$A$57:$I$59,4,FALSE)+VLOOKUP(VLOOKUP(D$1,main!$A$3:$I$56,7,FALSE),main!$K$10:$Q$14,3,FALSE),1,0)</f>
        <v>0</v>
      </c>
      <c r="E8">
        <f>IF(VLOOKUP(E$1,main!$A$3:$I$56,5,FALSE)-VLOOKUP($A8,main!$A$3:$I$56,6,FALSE)&gt;=VLOOKUP(55,main!$A$57:$I$59,4,FALSE)+VLOOKUP(VLOOKUP(E$1,main!$A$3:$I$56,7,FALSE),main!$K$10:$Q$14,3,FALSE),1,0)</f>
        <v>0</v>
      </c>
      <c r="F8">
        <f>IF(VLOOKUP(F$1,main!$A$3:$I$56,5,FALSE)-VLOOKUP($A8,main!$A$3:$I$56,6,FALSE)&gt;=VLOOKUP(55,main!$A$57:$I$59,4,FALSE)+VLOOKUP(VLOOKUP(F$1,main!$A$3:$I$56,7,FALSE),main!$K$10:$Q$14,3,FALSE),1,0)</f>
        <v>0</v>
      </c>
      <c r="G8">
        <f>IF(VLOOKUP(G$1,main!$A$3:$I$56,5,FALSE)-VLOOKUP($A8,main!$A$3:$I$56,6,FALSE)&gt;=VLOOKUP(55,main!$A$57:$I$59,4,FALSE)+VLOOKUP(VLOOKUP(G$1,main!$A$3:$I$56,7,FALSE),main!$K$10:$Q$14,3,FALSE),1,0)</f>
        <v>0</v>
      </c>
      <c r="H8">
        <f>IF(VLOOKUP(H$1,main!$A$3:$I$56,5,FALSE)-VLOOKUP($A8,main!$A$3:$I$56,6,FALSE)&gt;=VLOOKUP(55,main!$A$57:$I$59,4,FALSE)+VLOOKUP(VLOOKUP(H$1,main!$A$3:$I$56,7,FALSE),main!$K$10:$Q$14,3,FALSE),1,0)</f>
        <v>0</v>
      </c>
      <c r="I8">
        <f>IF(VLOOKUP(I$1,main!$A$3:$I$56,5,FALSE)-VLOOKUP($A8,main!$A$3:$I$56,6,FALSE)&gt;=VLOOKUP(55,main!$A$57:$I$59,4,FALSE)+VLOOKUP(VLOOKUP(I$1,main!$A$3:$I$56,7,FALSE),main!$K$10:$Q$14,3,FALSE),1,0)</f>
        <v>0</v>
      </c>
      <c r="J8">
        <f>IF(VLOOKUP(J$1,main!$A$3:$I$56,5,FALSE)-VLOOKUP($A8,main!$A$3:$I$56,6,FALSE)&gt;=VLOOKUP(55,main!$A$57:$I$59,4,FALSE)+VLOOKUP(VLOOKUP(J$1,main!$A$3:$I$56,7,FALSE),main!$K$10:$Q$14,3,FALSE),1,0)</f>
        <v>0</v>
      </c>
      <c r="K8">
        <f>IF(VLOOKUP(K$1,main!$A$3:$I$56,5,FALSE)-VLOOKUP($A8,main!$A$3:$I$56,6,FALSE)&gt;=VLOOKUP(55,main!$A$57:$I$59,4,FALSE)+VLOOKUP(VLOOKUP(K$1,main!$A$3:$I$56,7,FALSE),main!$K$10:$Q$14,3,FALSE),1,0)</f>
        <v>0</v>
      </c>
      <c r="L8">
        <f>IF(VLOOKUP(L$1,main!$A$3:$I$56,5,FALSE)-VLOOKUP($A8,main!$A$3:$I$56,6,FALSE)&gt;=VLOOKUP(55,main!$A$57:$I$59,4,FALSE)+VLOOKUP(VLOOKUP(L$1,main!$A$3:$I$56,7,FALSE),main!$K$10:$Q$14,3,FALSE),1,0)</f>
        <v>0</v>
      </c>
      <c r="M8">
        <f>IF(VLOOKUP(M$1,main!$A$3:$I$56,5,FALSE)-VLOOKUP($A8,main!$A$3:$I$56,6,FALSE)&gt;=VLOOKUP(55,main!$A$57:$I$59,4,FALSE)+VLOOKUP(VLOOKUP(M$1,main!$A$3:$I$56,7,FALSE),main!$K$10:$Q$14,3,FALSE),1,0)</f>
        <v>0</v>
      </c>
      <c r="N8">
        <f>IF(VLOOKUP(N$1,main!$A$3:$I$56,5,FALSE)-VLOOKUP($A8,main!$A$3:$I$56,6,FALSE)&gt;=VLOOKUP(55,main!$A$57:$I$59,4,FALSE)+VLOOKUP(VLOOKUP(N$1,main!$A$3:$I$56,7,FALSE),main!$K$10:$Q$14,3,FALSE),1,0)</f>
        <v>0</v>
      </c>
      <c r="O8">
        <f>IF(VLOOKUP(O$1,main!$A$3:$I$56,5,FALSE)-VLOOKUP($A8,main!$A$3:$I$56,6,FALSE)&gt;=VLOOKUP(55,main!$A$57:$I$59,4,FALSE)+VLOOKUP(VLOOKUP(O$1,main!$A$3:$I$56,7,FALSE),main!$K$10:$Q$14,3,FALSE),1,0)</f>
        <v>0</v>
      </c>
      <c r="P8">
        <f>IF(VLOOKUP(P$1,main!$A$3:$I$56,5,FALSE)-VLOOKUP($A8,main!$A$3:$I$56,6,FALSE)&gt;=VLOOKUP(55,main!$A$57:$I$59,4,FALSE)+VLOOKUP(VLOOKUP(P$1,main!$A$3:$I$56,7,FALSE),main!$K$10:$Q$14,3,FALSE),1,0)</f>
        <v>0</v>
      </c>
      <c r="Q8">
        <f>IF(VLOOKUP(Q$1,main!$A$3:$I$56,5,FALSE)-VLOOKUP($A8,main!$A$3:$I$56,6,FALSE)&gt;=VLOOKUP(55,main!$A$57:$I$59,4,FALSE)+VLOOKUP(VLOOKUP(Q$1,main!$A$3:$I$56,7,FALSE),main!$K$10:$Q$14,3,FALSE),1,0)</f>
        <v>0</v>
      </c>
      <c r="R8">
        <f>IF(VLOOKUP(R$1,main!$A$3:$I$56,5,FALSE)-VLOOKUP($A8,main!$A$3:$I$56,6,FALSE)&gt;=VLOOKUP(55,main!$A$57:$I$59,4,FALSE)+VLOOKUP(VLOOKUP(R$1,main!$A$3:$I$56,7,FALSE),main!$K$10:$Q$14,3,FALSE),1,0)</f>
        <v>0</v>
      </c>
      <c r="S8">
        <f>IF(VLOOKUP(S$1,main!$A$3:$I$56,5,FALSE)-VLOOKUP($A8,main!$A$3:$I$56,6,FALSE)&gt;=VLOOKUP(55,main!$A$57:$I$59,4,FALSE)+VLOOKUP(VLOOKUP(S$1,main!$A$3:$I$56,7,FALSE),main!$K$10:$Q$14,3,FALSE),1,0)</f>
        <v>0</v>
      </c>
      <c r="T8">
        <f>IF(VLOOKUP(T$1,main!$A$3:$I$56,5,FALSE)-VLOOKUP($A8,main!$A$3:$I$56,6,FALSE)&gt;=VLOOKUP(55,main!$A$57:$I$59,4,FALSE)+VLOOKUP(VLOOKUP(T$1,main!$A$3:$I$56,7,FALSE),main!$K$10:$Q$14,3,FALSE),1,0)</f>
        <v>0</v>
      </c>
      <c r="U8">
        <f>IF(VLOOKUP(U$1,main!$A$3:$I$56,5,FALSE)-VLOOKUP($A8,main!$A$3:$I$56,6,FALSE)&gt;=VLOOKUP(55,main!$A$57:$I$59,4,FALSE)+VLOOKUP(VLOOKUP(U$1,main!$A$3:$I$56,7,FALSE),main!$K$10:$Q$14,3,FALSE),1,0)</f>
        <v>0</v>
      </c>
      <c r="V8">
        <f>IF(VLOOKUP(V$1,main!$A$3:$I$56,5,FALSE)-VLOOKUP($A8,main!$A$3:$I$56,6,FALSE)&gt;=VLOOKUP(55,main!$A$57:$I$59,4,FALSE)+VLOOKUP(VLOOKUP(V$1,main!$A$3:$I$56,7,FALSE),main!$K$10:$Q$14,3,FALSE),1,0)</f>
        <v>0</v>
      </c>
      <c r="W8">
        <f>IF(VLOOKUP(W$1,main!$A$3:$I$56,5,FALSE)-VLOOKUP($A8,main!$A$3:$I$56,6,FALSE)&gt;=VLOOKUP(55,main!$A$57:$I$59,4,FALSE)+VLOOKUP(VLOOKUP(W$1,main!$A$3:$I$56,7,FALSE),main!$K$10:$Q$14,3,FALSE),1,0)</f>
        <v>0</v>
      </c>
      <c r="X8">
        <f>IF(VLOOKUP(X$1,main!$A$3:$I$56,5,FALSE)-VLOOKUP($A8,main!$A$3:$I$56,6,FALSE)&gt;=VLOOKUP(55,main!$A$57:$I$59,4,FALSE)+VLOOKUP(VLOOKUP(X$1,main!$A$3:$I$56,7,FALSE),main!$K$10:$Q$14,3,FALSE),1,0)</f>
        <v>0</v>
      </c>
      <c r="Y8">
        <f>IF(VLOOKUP(Y$1,main!$A$3:$I$56,5,FALSE)-VLOOKUP($A8,main!$A$3:$I$56,6,FALSE)&gt;=VLOOKUP(55,main!$A$57:$I$59,4,FALSE)+VLOOKUP(VLOOKUP(Y$1,main!$A$3:$I$56,7,FALSE),main!$K$10:$Q$14,3,FALSE),1,0)</f>
        <v>0</v>
      </c>
      <c r="Z8">
        <f>IF(VLOOKUP(Z$1,main!$A$3:$I$56,5,FALSE)-VLOOKUP($A8,main!$A$3:$I$56,6,FALSE)&gt;=VLOOKUP(55,main!$A$57:$I$59,4,FALSE)+VLOOKUP(VLOOKUP(Z$1,main!$A$3:$I$56,7,FALSE),main!$K$10:$Q$14,3,FALSE),1,0)</f>
        <v>0</v>
      </c>
      <c r="AA8">
        <f>IF(VLOOKUP(AA$1,main!$A$3:$I$56,5,FALSE)-VLOOKUP($A8,main!$A$3:$I$56,6,FALSE)&gt;=VLOOKUP(55,main!$A$57:$I$59,4,FALSE)+VLOOKUP(VLOOKUP(AA$1,main!$A$3:$I$56,7,FALSE),main!$K$10:$Q$14,3,FALSE),1,0)</f>
        <v>0</v>
      </c>
      <c r="AB8">
        <f>IF(VLOOKUP(AB$1,main!$A$3:$I$56,5,FALSE)-VLOOKUP($A8,main!$A$3:$I$56,6,FALSE)&gt;=VLOOKUP(55,main!$A$57:$I$59,4,FALSE)+VLOOKUP(VLOOKUP(AB$1,main!$A$3:$I$56,7,FALSE),main!$K$10:$Q$14,3,FALSE),1,0)</f>
        <v>0</v>
      </c>
      <c r="AC8">
        <f>IF(VLOOKUP(AC$1,main!$A$3:$I$56,5,FALSE)-VLOOKUP($A8,main!$A$3:$I$56,6,FALSE)&gt;=VLOOKUP(55,main!$A$57:$I$59,4,FALSE)+VLOOKUP(VLOOKUP(AC$1,main!$A$3:$I$56,7,FALSE),main!$K$10:$Q$14,3,FALSE),1,0)</f>
        <v>0</v>
      </c>
      <c r="AD8">
        <f>IF(VLOOKUP(AD$1,main!$A$3:$I$56,5,FALSE)-VLOOKUP($A8,main!$A$3:$I$56,6,FALSE)&gt;=VLOOKUP(55,main!$A$57:$I$59,4,FALSE)+VLOOKUP(VLOOKUP(AD$1,main!$A$3:$I$56,7,FALSE),main!$K$10:$Q$14,3,FALSE),1,0)</f>
        <v>0</v>
      </c>
      <c r="AE8">
        <f>IF(VLOOKUP(AE$1,main!$A$3:$I$56,5,FALSE)-VLOOKUP($A8,main!$A$3:$I$56,6,FALSE)&gt;=VLOOKUP(55,main!$A$57:$I$59,4,FALSE)+VLOOKUP(VLOOKUP(AE$1,main!$A$3:$I$56,7,FALSE),main!$K$10:$Q$14,3,FALSE),1,0)</f>
        <v>0</v>
      </c>
      <c r="AF8">
        <f>IF(VLOOKUP(AF$1,main!$A$3:$I$56,5,FALSE)-VLOOKUP($A8,main!$A$3:$I$56,6,FALSE)&gt;=VLOOKUP(55,main!$A$57:$I$59,4,FALSE)+VLOOKUP(VLOOKUP(AF$1,main!$A$3:$I$56,7,FALSE),main!$K$10:$Q$14,3,FALSE),1,0)</f>
        <v>0</v>
      </c>
      <c r="AG8">
        <f>IF(VLOOKUP(AG$1,main!$A$3:$I$56,5,FALSE)-VLOOKUP($A8,main!$A$3:$I$56,6,FALSE)&gt;=VLOOKUP(55,main!$A$57:$I$59,4,FALSE)+VLOOKUP(VLOOKUP(AG$1,main!$A$3:$I$56,7,FALSE),main!$K$10:$Q$14,3,FALSE),1,0)</f>
        <v>0</v>
      </c>
      <c r="AH8">
        <f>IF(VLOOKUP(AH$1,main!$A$3:$I$56,5,FALSE)-VLOOKUP($A8,main!$A$3:$I$56,6,FALSE)&gt;=VLOOKUP(55,main!$A$57:$I$59,4,FALSE)+VLOOKUP(VLOOKUP(AH$1,main!$A$3:$I$56,7,FALSE),main!$K$10:$Q$14,3,FALSE),1,0)</f>
        <v>0</v>
      </c>
      <c r="AI8">
        <f>IF(VLOOKUP(AI$1,main!$A$3:$I$56,5,FALSE)-VLOOKUP($A8,main!$A$3:$I$56,6,FALSE)&gt;=VLOOKUP(55,main!$A$57:$I$59,4,FALSE)+VLOOKUP(VLOOKUP(AI$1,main!$A$3:$I$56,7,FALSE),main!$K$10:$Q$14,3,FALSE),1,0)</f>
        <v>0</v>
      </c>
      <c r="AJ8">
        <f>IF(VLOOKUP(AJ$1,main!$A$3:$I$56,5,FALSE)-VLOOKUP($A8,main!$A$3:$I$56,6,FALSE)&gt;=VLOOKUP(55,main!$A$57:$I$59,4,FALSE)+VLOOKUP(VLOOKUP(AJ$1,main!$A$3:$I$56,7,FALSE),main!$K$10:$Q$14,3,FALSE),1,0)</f>
        <v>0</v>
      </c>
      <c r="AK8">
        <f>IF(VLOOKUP(AK$1,main!$A$3:$I$56,5,FALSE)-VLOOKUP($A8,main!$A$3:$I$56,6,FALSE)&gt;=VLOOKUP(55,main!$A$57:$I$59,4,FALSE)+VLOOKUP(VLOOKUP(AK$1,main!$A$3:$I$56,7,FALSE),main!$K$10:$Q$14,3,FALSE),1,0)</f>
        <v>0</v>
      </c>
      <c r="AL8">
        <f>IF(VLOOKUP(AL$1,main!$A$3:$I$56,5,FALSE)-VLOOKUP($A8,main!$A$3:$I$56,6,FALSE)&gt;=VLOOKUP(55,main!$A$57:$I$59,4,FALSE)+VLOOKUP(VLOOKUP(AL$1,main!$A$3:$I$56,7,FALSE),main!$K$10:$Q$14,3,FALSE),1,0)</f>
        <v>0</v>
      </c>
      <c r="AM8">
        <f>IF(VLOOKUP(AM$1,main!$A$3:$I$56,5,FALSE)-VLOOKUP($A8,main!$A$3:$I$56,6,FALSE)&gt;=VLOOKUP(55,main!$A$57:$I$59,4,FALSE)+VLOOKUP(VLOOKUP(AM$1,main!$A$3:$I$56,7,FALSE),main!$K$10:$Q$14,3,FALSE),1,0)</f>
        <v>0</v>
      </c>
      <c r="AN8">
        <f>IF(VLOOKUP(AN$1,main!$A$3:$I$56,5,FALSE)-VLOOKUP($A8,main!$A$3:$I$56,6,FALSE)&gt;=VLOOKUP(55,main!$A$57:$I$59,4,FALSE)+VLOOKUP(VLOOKUP(AN$1,main!$A$3:$I$56,7,FALSE),main!$K$10:$Q$14,3,FALSE),1,0)</f>
        <v>0</v>
      </c>
      <c r="AO8">
        <f>IF(VLOOKUP(AO$1,main!$A$3:$I$56,5,FALSE)-VLOOKUP($A8,main!$A$3:$I$56,6,FALSE)&gt;=VLOOKUP(55,main!$A$57:$I$59,4,FALSE)+VLOOKUP(VLOOKUP(AO$1,main!$A$3:$I$56,7,FALSE),main!$K$10:$Q$14,3,FALSE),1,0)</f>
        <v>0</v>
      </c>
      <c r="AP8">
        <f>IF(VLOOKUP(AP$1,main!$A$3:$I$56,5,FALSE)-VLOOKUP($A8,main!$A$3:$I$56,6,FALSE)&gt;=VLOOKUP(55,main!$A$57:$I$59,4,FALSE)+VLOOKUP(VLOOKUP(AP$1,main!$A$3:$I$56,7,FALSE),main!$K$10:$Q$14,3,FALSE),1,0)</f>
        <v>0</v>
      </c>
      <c r="AQ8">
        <f>IF(VLOOKUP(AQ$1,main!$A$3:$I$56,5,FALSE)-VLOOKUP($A8,main!$A$3:$I$56,6,FALSE)&gt;=VLOOKUP(55,main!$A$57:$I$59,4,FALSE)+VLOOKUP(VLOOKUP(AQ$1,main!$A$3:$I$56,7,FALSE),main!$K$10:$Q$14,3,FALSE),1,0)</f>
        <v>0</v>
      </c>
      <c r="AR8">
        <f>IF(VLOOKUP(AR$1,main!$A$3:$I$56,5,FALSE)-VLOOKUP($A8,main!$A$3:$I$56,6,FALSE)&gt;=VLOOKUP(55,main!$A$57:$I$59,4,FALSE)+VLOOKUP(VLOOKUP(AR$1,main!$A$3:$I$56,7,FALSE),main!$K$10:$Q$14,3,FALSE),1,0)</f>
        <v>0</v>
      </c>
      <c r="AS8">
        <f>IF(VLOOKUP(AS$1,main!$A$3:$I$56,5,FALSE)-VLOOKUP($A8,main!$A$3:$I$56,6,FALSE)&gt;=VLOOKUP(55,main!$A$57:$I$59,4,FALSE)+VLOOKUP(VLOOKUP(AS$1,main!$A$3:$I$56,7,FALSE),main!$K$10:$Q$14,3,FALSE),1,0)</f>
        <v>0</v>
      </c>
      <c r="AT8">
        <f>IF(VLOOKUP(AT$1,main!$A$3:$I$56,5,FALSE)-VLOOKUP($A8,main!$A$3:$I$56,6,FALSE)&gt;=VLOOKUP(55,main!$A$57:$I$59,4,FALSE)+VLOOKUP(VLOOKUP(AT$1,main!$A$3:$I$56,7,FALSE),main!$K$10:$Q$14,3,FALSE),1,0)</f>
        <v>0</v>
      </c>
      <c r="AU8">
        <f>IF(VLOOKUP(AU$1,main!$A$3:$I$56,5,FALSE)-VLOOKUP($A8,main!$A$3:$I$56,6,FALSE)&gt;=VLOOKUP(55,main!$A$57:$I$59,4,FALSE)+VLOOKUP(VLOOKUP(AU$1,main!$A$3:$I$56,7,FALSE),main!$K$10:$Q$14,3,FALSE),1,0)</f>
        <v>0</v>
      </c>
      <c r="AV8">
        <f>IF(VLOOKUP(AV$1,main!$A$3:$I$56,5,FALSE)-VLOOKUP($A8,main!$A$3:$I$56,6,FALSE)&gt;=VLOOKUP(55,main!$A$57:$I$59,4,FALSE)+VLOOKUP(VLOOKUP(AV$1,main!$A$3:$I$56,7,FALSE),main!$K$10:$Q$14,3,FALSE),1,0)</f>
        <v>0</v>
      </c>
      <c r="AW8">
        <f>IF(VLOOKUP(AW$1,main!$A$3:$I$56,5,FALSE)-VLOOKUP($A8,main!$A$3:$I$56,6,FALSE)&gt;=VLOOKUP(55,main!$A$57:$I$59,4,FALSE)+VLOOKUP(VLOOKUP(AW$1,main!$A$3:$I$56,7,FALSE),main!$K$10:$Q$14,3,FALSE),1,0)</f>
        <v>0</v>
      </c>
      <c r="AX8">
        <f>IF(VLOOKUP(AX$1,main!$A$3:$I$56,5,FALSE)-VLOOKUP($A8,main!$A$3:$I$56,6,FALSE)&gt;=VLOOKUP(55,main!$A$57:$I$59,4,FALSE)+VLOOKUP(VLOOKUP(AX$1,main!$A$3:$I$56,7,FALSE),main!$K$10:$Q$14,3,FALSE),1,0)</f>
        <v>0</v>
      </c>
      <c r="AY8">
        <f>IF(VLOOKUP(AY$1,main!$A$3:$I$56,5,FALSE)-VLOOKUP($A8,main!$A$3:$I$56,6,FALSE)&gt;=VLOOKUP(55,main!$A$57:$I$59,4,FALSE)+VLOOKUP(VLOOKUP(AY$1,main!$A$3:$I$56,7,FALSE),main!$K$10:$Q$14,3,FALSE),1,0)</f>
        <v>0</v>
      </c>
      <c r="AZ8">
        <f>IF(VLOOKUP(AZ$1,main!$A$3:$I$56,5,FALSE)-VLOOKUP($A8,main!$A$3:$I$56,6,FALSE)&gt;=VLOOKUP(55,main!$A$57:$I$59,4,FALSE)+VLOOKUP(VLOOKUP(AZ$1,main!$A$3:$I$56,7,FALSE),main!$K$10:$Q$14,3,FALSE),1,0)</f>
        <v>0</v>
      </c>
      <c r="BA8">
        <f>IF(VLOOKUP(BA$1,main!$A$3:$I$56,5,FALSE)-VLOOKUP($A8,main!$A$3:$I$56,6,FALSE)&gt;=VLOOKUP(55,main!$A$57:$I$59,4,FALSE)+VLOOKUP(VLOOKUP(BA$1,main!$A$3:$I$56,7,FALSE),main!$K$10:$Q$14,3,FALSE),1,0)</f>
        <v>0</v>
      </c>
      <c r="BB8">
        <f>IF(VLOOKUP(BB$1,main!$A$3:$I$56,5,FALSE)-VLOOKUP($A8,main!$A$3:$I$56,6,FALSE)&gt;=VLOOKUP(55,main!$A$57:$I$59,4,FALSE)+VLOOKUP(VLOOKUP(BB$1,main!$A$3:$I$56,7,FALSE),main!$K$10:$Q$14,3,FALSE),1,0)</f>
        <v>0</v>
      </c>
      <c r="BC8">
        <f>IF(VLOOKUP(BC$1,main!$A$3:$I$56,5,FALSE)-VLOOKUP($A8,main!$A$3:$I$56,6,FALSE)&gt;=VLOOKUP(55,main!$A$57:$I$59,4,FALSE)+VLOOKUP(VLOOKUP(BC$1,main!$A$3:$I$56,7,FALSE),main!$K$10:$Q$14,3,FALSE),1,0)</f>
        <v>0</v>
      </c>
      <c r="BD8">
        <f>IF(VLOOKUP(BD$1,main!$A$3:$I$56,5,FALSE)-VLOOKUP($A8,main!$A$3:$I$56,6,FALSE)&gt;=VLOOKUP(55,main!$A$57:$I$59,4,FALSE)+VLOOKUP(VLOOKUP(BD$1,main!$A$3:$I$56,7,FALSE),main!$K$10:$Q$14,3,FALSE),1,0)</f>
        <v>0</v>
      </c>
    </row>
    <row r="9" spans="1:56" x14ac:dyDescent="0.25">
      <c r="A9">
        <f t="shared" si="0"/>
        <v>7</v>
      </c>
      <c r="B9">
        <v>0</v>
      </c>
      <c r="C9">
        <f>IF(VLOOKUP(C$1,main!$A$3:$I$56,5,FALSE)-VLOOKUP($A9,main!$A$3:$I$56,6,FALSE)&gt;=VLOOKUP(55,main!$A$57:$I$59,4,FALSE)+VLOOKUP(VLOOKUP(C$1,main!$A$3:$I$56,7,FALSE),main!$K$10:$Q$14,3,FALSE),1,0)</f>
        <v>0</v>
      </c>
      <c r="D9">
        <f>IF(VLOOKUP(D$1,main!$A$3:$I$56,5,FALSE)-VLOOKUP($A9,main!$A$3:$I$56,6,FALSE)&gt;=VLOOKUP(55,main!$A$57:$I$59,4,FALSE)+VLOOKUP(VLOOKUP(D$1,main!$A$3:$I$56,7,FALSE),main!$K$10:$Q$14,3,FALSE),1,0)</f>
        <v>0</v>
      </c>
      <c r="E9">
        <f>IF(VLOOKUP(E$1,main!$A$3:$I$56,5,FALSE)-VLOOKUP($A9,main!$A$3:$I$56,6,FALSE)&gt;=VLOOKUP(55,main!$A$57:$I$59,4,FALSE)+VLOOKUP(VLOOKUP(E$1,main!$A$3:$I$56,7,FALSE),main!$K$10:$Q$14,3,FALSE),1,0)</f>
        <v>0</v>
      </c>
      <c r="F9">
        <f>IF(VLOOKUP(F$1,main!$A$3:$I$56,5,FALSE)-VLOOKUP($A9,main!$A$3:$I$56,6,FALSE)&gt;=VLOOKUP(55,main!$A$57:$I$59,4,FALSE)+VLOOKUP(VLOOKUP(F$1,main!$A$3:$I$56,7,FALSE),main!$K$10:$Q$14,3,FALSE),1,0)</f>
        <v>0</v>
      </c>
      <c r="G9">
        <f>IF(VLOOKUP(G$1,main!$A$3:$I$56,5,FALSE)-VLOOKUP($A9,main!$A$3:$I$56,6,FALSE)&gt;=VLOOKUP(55,main!$A$57:$I$59,4,FALSE)+VLOOKUP(VLOOKUP(G$1,main!$A$3:$I$56,7,FALSE),main!$K$10:$Q$14,3,FALSE),1,0)</f>
        <v>0</v>
      </c>
      <c r="H9">
        <f>IF(VLOOKUP(H$1,main!$A$3:$I$56,5,FALSE)-VLOOKUP($A9,main!$A$3:$I$56,6,FALSE)&gt;=VLOOKUP(55,main!$A$57:$I$59,4,FALSE)+VLOOKUP(VLOOKUP(H$1,main!$A$3:$I$56,7,FALSE),main!$K$10:$Q$14,3,FALSE),1,0)</f>
        <v>0</v>
      </c>
      <c r="I9">
        <f>IF(VLOOKUP(I$1,main!$A$3:$I$56,5,FALSE)-VLOOKUP($A9,main!$A$3:$I$56,6,FALSE)&gt;=VLOOKUP(55,main!$A$57:$I$59,4,FALSE)+VLOOKUP(VLOOKUP(I$1,main!$A$3:$I$56,7,FALSE),main!$K$10:$Q$14,3,FALSE),1,0)</f>
        <v>0</v>
      </c>
      <c r="J9">
        <f>IF(VLOOKUP(J$1,main!$A$3:$I$56,5,FALSE)-VLOOKUP($A9,main!$A$3:$I$56,6,FALSE)&gt;=VLOOKUP(55,main!$A$57:$I$59,4,FALSE)+VLOOKUP(VLOOKUP(J$1,main!$A$3:$I$56,7,FALSE),main!$K$10:$Q$14,3,FALSE),1,0)</f>
        <v>0</v>
      </c>
      <c r="K9">
        <f>IF(VLOOKUP(K$1,main!$A$3:$I$56,5,FALSE)-VLOOKUP($A9,main!$A$3:$I$56,6,FALSE)&gt;=VLOOKUP(55,main!$A$57:$I$59,4,FALSE)+VLOOKUP(VLOOKUP(K$1,main!$A$3:$I$56,7,FALSE),main!$K$10:$Q$14,3,FALSE),1,0)</f>
        <v>0</v>
      </c>
      <c r="L9">
        <f>IF(VLOOKUP(L$1,main!$A$3:$I$56,5,FALSE)-VLOOKUP($A9,main!$A$3:$I$56,6,FALSE)&gt;=VLOOKUP(55,main!$A$57:$I$59,4,FALSE)+VLOOKUP(VLOOKUP(L$1,main!$A$3:$I$56,7,FALSE),main!$K$10:$Q$14,3,FALSE),1,0)</f>
        <v>0</v>
      </c>
      <c r="M9">
        <f>IF(VLOOKUP(M$1,main!$A$3:$I$56,5,FALSE)-VLOOKUP($A9,main!$A$3:$I$56,6,FALSE)&gt;=VLOOKUP(55,main!$A$57:$I$59,4,FALSE)+VLOOKUP(VLOOKUP(M$1,main!$A$3:$I$56,7,FALSE),main!$K$10:$Q$14,3,FALSE),1,0)</f>
        <v>0</v>
      </c>
      <c r="N9">
        <f>IF(VLOOKUP(N$1,main!$A$3:$I$56,5,FALSE)-VLOOKUP($A9,main!$A$3:$I$56,6,FALSE)&gt;=VLOOKUP(55,main!$A$57:$I$59,4,FALSE)+VLOOKUP(VLOOKUP(N$1,main!$A$3:$I$56,7,FALSE),main!$K$10:$Q$14,3,FALSE),1,0)</f>
        <v>0</v>
      </c>
      <c r="O9">
        <f>IF(VLOOKUP(O$1,main!$A$3:$I$56,5,FALSE)-VLOOKUP($A9,main!$A$3:$I$56,6,FALSE)&gt;=VLOOKUP(55,main!$A$57:$I$59,4,FALSE)+VLOOKUP(VLOOKUP(O$1,main!$A$3:$I$56,7,FALSE),main!$K$10:$Q$14,3,FALSE),1,0)</f>
        <v>0</v>
      </c>
      <c r="P9">
        <f>IF(VLOOKUP(P$1,main!$A$3:$I$56,5,FALSE)-VLOOKUP($A9,main!$A$3:$I$56,6,FALSE)&gt;=VLOOKUP(55,main!$A$57:$I$59,4,FALSE)+VLOOKUP(VLOOKUP(P$1,main!$A$3:$I$56,7,FALSE),main!$K$10:$Q$14,3,FALSE),1,0)</f>
        <v>0</v>
      </c>
      <c r="Q9">
        <f>IF(VLOOKUP(Q$1,main!$A$3:$I$56,5,FALSE)-VLOOKUP($A9,main!$A$3:$I$56,6,FALSE)&gt;=VLOOKUP(55,main!$A$57:$I$59,4,FALSE)+VLOOKUP(VLOOKUP(Q$1,main!$A$3:$I$56,7,FALSE),main!$K$10:$Q$14,3,FALSE),1,0)</f>
        <v>0</v>
      </c>
      <c r="R9">
        <f>IF(VLOOKUP(R$1,main!$A$3:$I$56,5,FALSE)-VLOOKUP($A9,main!$A$3:$I$56,6,FALSE)&gt;=VLOOKUP(55,main!$A$57:$I$59,4,FALSE)+VLOOKUP(VLOOKUP(R$1,main!$A$3:$I$56,7,FALSE),main!$K$10:$Q$14,3,FALSE),1,0)</f>
        <v>0</v>
      </c>
      <c r="S9">
        <f>IF(VLOOKUP(S$1,main!$A$3:$I$56,5,FALSE)-VLOOKUP($A9,main!$A$3:$I$56,6,FALSE)&gt;=VLOOKUP(55,main!$A$57:$I$59,4,FALSE)+VLOOKUP(VLOOKUP(S$1,main!$A$3:$I$56,7,FALSE),main!$K$10:$Q$14,3,FALSE),1,0)</f>
        <v>0</v>
      </c>
      <c r="T9">
        <f>IF(VLOOKUP(T$1,main!$A$3:$I$56,5,FALSE)-VLOOKUP($A9,main!$A$3:$I$56,6,FALSE)&gt;=VLOOKUP(55,main!$A$57:$I$59,4,FALSE)+VLOOKUP(VLOOKUP(T$1,main!$A$3:$I$56,7,FALSE),main!$K$10:$Q$14,3,FALSE),1,0)</f>
        <v>0</v>
      </c>
      <c r="U9">
        <f>IF(VLOOKUP(U$1,main!$A$3:$I$56,5,FALSE)-VLOOKUP($A9,main!$A$3:$I$56,6,FALSE)&gt;=VLOOKUP(55,main!$A$57:$I$59,4,FALSE)+VLOOKUP(VLOOKUP(U$1,main!$A$3:$I$56,7,FALSE),main!$K$10:$Q$14,3,FALSE),1,0)</f>
        <v>0</v>
      </c>
      <c r="V9">
        <f>IF(VLOOKUP(V$1,main!$A$3:$I$56,5,FALSE)-VLOOKUP($A9,main!$A$3:$I$56,6,FALSE)&gt;=VLOOKUP(55,main!$A$57:$I$59,4,FALSE)+VLOOKUP(VLOOKUP(V$1,main!$A$3:$I$56,7,FALSE),main!$K$10:$Q$14,3,FALSE),1,0)</f>
        <v>0</v>
      </c>
      <c r="W9">
        <f>IF(VLOOKUP(W$1,main!$A$3:$I$56,5,FALSE)-VLOOKUP($A9,main!$A$3:$I$56,6,FALSE)&gt;=VLOOKUP(55,main!$A$57:$I$59,4,FALSE)+VLOOKUP(VLOOKUP(W$1,main!$A$3:$I$56,7,FALSE),main!$K$10:$Q$14,3,FALSE),1,0)</f>
        <v>0</v>
      </c>
      <c r="X9">
        <f>IF(VLOOKUP(X$1,main!$A$3:$I$56,5,FALSE)-VLOOKUP($A9,main!$A$3:$I$56,6,FALSE)&gt;=VLOOKUP(55,main!$A$57:$I$59,4,FALSE)+VLOOKUP(VLOOKUP(X$1,main!$A$3:$I$56,7,FALSE),main!$K$10:$Q$14,3,FALSE),1,0)</f>
        <v>0</v>
      </c>
      <c r="Y9">
        <f>IF(VLOOKUP(Y$1,main!$A$3:$I$56,5,FALSE)-VLOOKUP($A9,main!$A$3:$I$56,6,FALSE)&gt;=VLOOKUP(55,main!$A$57:$I$59,4,FALSE)+VLOOKUP(VLOOKUP(Y$1,main!$A$3:$I$56,7,FALSE),main!$K$10:$Q$14,3,FALSE),1,0)</f>
        <v>0</v>
      </c>
      <c r="Z9">
        <f>IF(VLOOKUP(Z$1,main!$A$3:$I$56,5,FALSE)-VLOOKUP($A9,main!$A$3:$I$56,6,FALSE)&gt;=VLOOKUP(55,main!$A$57:$I$59,4,FALSE)+VLOOKUP(VLOOKUP(Z$1,main!$A$3:$I$56,7,FALSE),main!$K$10:$Q$14,3,FALSE),1,0)</f>
        <v>0</v>
      </c>
      <c r="AA9">
        <f>IF(VLOOKUP(AA$1,main!$A$3:$I$56,5,FALSE)-VLOOKUP($A9,main!$A$3:$I$56,6,FALSE)&gt;=VLOOKUP(55,main!$A$57:$I$59,4,FALSE)+VLOOKUP(VLOOKUP(AA$1,main!$A$3:$I$56,7,FALSE),main!$K$10:$Q$14,3,FALSE),1,0)</f>
        <v>0</v>
      </c>
      <c r="AB9">
        <f>IF(VLOOKUP(AB$1,main!$A$3:$I$56,5,FALSE)-VLOOKUP($A9,main!$A$3:$I$56,6,FALSE)&gt;=VLOOKUP(55,main!$A$57:$I$59,4,FALSE)+VLOOKUP(VLOOKUP(AB$1,main!$A$3:$I$56,7,FALSE),main!$K$10:$Q$14,3,FALSE),1,0)</f>
        <v>0</v>
      </c>
      <c r="AC9">
        <f>IF(VLOOKUP(AC$1,main!$A$3:$I$56,5,FALSE)-VLOOKUP($A9,main!$A$3:$I$56,6,FALSE)&gt;=VLOOKUP(55,main!$A$57:$I$59,4,FALSE)+VLOOKUP(VLOOKUP(AC$1,main!$A$3:$I$56,7,FALSE),main!$K$10:$Q$14,3,FALSE),1,0)</f>
        <v>0</v>
      </c>
      <c r="AD9">
        <f>IF(VLOOKUP(AD$1,main!$A$3:$I$56,5,FALSE)-VLOOKUP($A9,main!$A$3:$I$56,6,FALSE)&gt;=VLOOKUP(55,main!$A$57:$I$59,4,FALSE)+VLOOKUP(VLOOKUP(AD$1,main!$A$3:$I$56,7,FALSE),main!$K$10:$Q$14,3,FALSE),1,0)</f>
        <v>0</v>
      </c>
      <c r="AE9">
        <f>IF(VLOOKUP(AE$1,main!$A$3:$I$56,5,FALSE)-VLOOKUP($A9,main!$A$3:$I$56,6,FALSE)&gt;=VLOOKUP(55,main!$A$57:$I$59,4,FALSE)+VLOOKUP(VLOOKUP(AE$1,main!$A$3:$I$56,7,FALSE),main!$K$10:$Q$14,3,FALSE),1,0)</f>
        <v>0</v>
      </c>
      <c r="AF9">
        <f>IF(VLOOKUP(AF$1,main!$A$3:$I$56,5,FALSE)-VLOOKUP($A9,main!$A$3:$I$56,6,FALSE)&gt;=VLOOKUP(55,main!$A$57:$I$59,4,FALSE)+VLOOKUP(VLOOKUP(AF$1,main!$A$3:$I$56,7,FALSE),main!$K$10:$Q$14,3,FALSE),1,0)</f>
        <v>0</v>
      </c>
      <c r="AG9">
        <f>IF(VLOOKUP(AG$1,main!$A$3:$I$56,5,FALSE)-VLOOKUP($A9,main!$A$3:$I$56,6,FALSE)&gt;=VLOOKUP(55,main!$A$57:$I$59,4,FALSE)+VLOOKUP(VLOOKUP(AG$1,main!$A$3:$I$56,7,FALSE),main!$K$10:$Q$14,3,FALSE),1,0)</f>
        <v>0</v>
      </c>
      <c r="AH9">
        <f>IF(VLOOKUP(AH$1,main!$A$3:$I$56,5,FALSE)-VLOOKUP($A9,main!$A$3:$I$56,6,FALSE)&gt;=VLOOKUP(55,main!$A$57:$I$59,4,FALSE)+VLOOKUP(VLOOKUP(AH$1,main!$A$3:$I$56,7,FALSE),main!$K$10:$Q$14,3,FALSE),1,0)</f>
        <v>0</v>
      </c>
      <c r="AI9">
        <f>IF(VLOOKUP(AI$1,main!$A$3:$I$56,5,FALSE)-VLOOKUP($A9,main!$A$3:$I$56,6,FALSE)&gt;=VLOOKUP(55,main!$A$57:$I$59,4,FALSE)+VLOOKUP(VLOOKUP(AI$1,main!$A$3:$I$56,7,FALSE),main!$K$10:$Q$14,3,FALSE),1,0)</f>
        <v>0</v>
      </c>
      <c r="AJ9">
        <f>IF(VLOOKUP(AJ$1,main!$A$3:$I$56,5,FALSE)-VLOOKUP($A9,main!$A$3:$I$56,6,FALSE)&gt;=VLOOKUP(55,main!$A$57:$I$59,4,FALSE)+VLOOKUP(VLOOKUP(AJ$1,main!$A$3:$I$56,7,FALSE),main!$K$10:$Q$14,3,FALSE),1,0)</f>
        <v>0</v>
      </c>
      <c r="AK9">
        <f>IF(VLOOKUP(AK$1,main!$A$3:$I$56,5,FALSE)-VLOOKUP($A9,main!$A$3:$I$56,6,FALSE)&gt;=VLOOKUP(55,main!$A$57:$I$59,4,FALSE)+VLOOKUP(VLOOKUP(AK$1,main!$A$3:$I$56,7,FALSE),main!$K$10:$Q$14,3,FALSE),1,0)</f>
        <v>0</v>
      </c>
      <c r="AL9">
        <f>IF(VLOOKUP(AL$1,main!$A$3:$I$56,5,FALSE)-VLOOKUP($A9,main!$A$3:$I$56,6,FALSE)&gt;=VLOOKUP(55,main!$A$57:$I$59,4,FALSE)+VLOOKUP(VLOOKUP(AL$1,main!$A$3:$I$56,7,FALSE),main!$K$10:$Q$14,3,FALSE),1,0)</f>
        <v>0</v>
      </c>
      <c r="AM9">
        <f>IF(VLOOKUP(AM$1,main!$A$3:$I$56,5,FALSE)-VLOOKUP($A9,main!$A$3:$I$56,6,FALSE)&gt;=VLOOKUP(55,main!$A$57:$I$59,4,FALSE)+VLOOKUP(VLOOKUP(AM$1,main!$A$3:$I$56,7,FALSE),main!$K$10:$Q$14,3,FALSE),1,0)</f>
        <v>0</v>
      </c>
      <c r="AN9">
        <f>IF(VLOOKUP(AN$1,main!$A$3:$I$56,5,FALSE)-VLOOKUP($A9,main!$A$3:$I$56,6,FALSE)&gt;=VLOOKUP(55,main!$A$57:$I$59,4,FALSE)+VLOOKUP(VLOOKUP(AN$1,main!$A$3:$I$56,7,FALSE),main!$K$10:$Q$14,3,FALSE),1,0)</f>
        <v>0</v>
      </c>
      <c r="AO9">
        <f>IF(VLOOKUP(AO$1,main!$A$3:$I$56,5,FALSE)-VLOOKUP($A9,main!$A$3:$I$56,6,FALSE)&gt;=VLOOKUP(55,main!$A$57:$I$59,4,FALSE)+VLOOKUP(VLOOKUP(AO$1,main!$A$3:$I$56,7,FALSE),main!$K$10:$Q$14,3,FALSE),1,0)</f>
        <v>0</v>
      </c>
      <c r="AP9">
        <f>IF(VLOOKUP(AP$1,main!$A$3:$I$56,5,FALSE)-VLOOKUP($A9,main!$A$3:$I$56,6,FALSE)&gt;=VLOOKUP(55,main!$A$57:$I$59,4,FALSE)+VLOOKUP(VLOOKUP(AP$1,main!$A$3:$I$56,7,FALSE),main!$K$10:$Q$14,3,FALSE),1,0)</f>
        <v>0</v>
      </c>
      <c r="AQ9">
        <f>IF(VLOOKUP(AQ$1,main!$A$3:$I$56,5,FALSE)-VLOOKUP($A9,main!$A$3:$I$56,6,FALSE)&gt;=VLOOKUP(55,main!$A$57:$I$59,4,FALSE)+VLOOKUP(VLOOKUP(AQ$1,main!$A$3:$I$56,7,FALSE),main!$K$10:$Q$14,3,FALSE),1,0)</f>
        <v>0</v>
      </c>
      <c r="AR9">
        <f>IF(VLOOKUP(AR$1,main!$A$3:$I$56,5,FALSE)-VLOOKUP($A9,main!$A$3:$I$56,6,FALSE)&gt;=VLOOKUP(55,main!$A$57:$I$59,4,FALSE)+VLOOKUP(VLOOKUP(AR$1,main!$A$3:$I$56,7,FALSE),main!$K$10:$Q$14,3,FALSE),1,0)</f>
        <v>0</v>
      </c>
      <c r="AS9">
        <f>IF(VLOOKUP(AS$1,main!$A$3:$I$56,5,FALSE)-VLOOKUP($A9,main!$A$3:$I$56,6,FALSE)&gt;=VLOOKUP(55,main!$A$57:$I$59,4,FALSE)+VLOOKUP(VLOOKUP(AS$1,main!$A$3:$I$56,7,FALSE),main!$K$10:$Q$14,3,FALSE),1,0)</f>
        <v>0</v>
      </c>
      <c r="AT9">
        <f>IF(VLOOKUP(AT$1,main!$A$3:$I$56,5,FALSE)-VLOOKUP($A9,main!$A$3:$I$56,6,FALSE)&gt;=VLOOKUP(55,main!$A$57:$I$59,4,FALSE)+VLOOKUP(VLOOKUP(AT$1,main!$A$3:$I$56,7,FALSE),main!$K$10:$Q$14,3,FALSE),1,0)</f>
        <v>0</v>
      </c>
      <c r="AU9">
        <f>IF(VLOOKUP(AU$1,main!$A$3:$I$56,5,FALSE)-VLOOKUP($A9,main!$A$3:$I$56,6,FALSE)&gt;=VLOOKUP(55,main!$A$57:$I$59,4,FALSE)+VLOOKUP(VLOOKUP(AU$1,main!$A$3:$I$56,7,FALSE),main!$K$10:$Q$14,3,FALSE),1,0)</f>
        <v>0</v>
      </c>
      <c r="AV9">
        <f>IF(VLOOKUP(AV$1,main!$A$3:$I$56,5,FALSE)-VLOOKUP($A9,main!$A$3:$I$56,6,FALSE)&gt;=VLOOKUP(55,main!$A$57:$I$59,4,FALSE)+VLOOKUP(VLOOKUP(AV$1,main!$A$3:$I$56,7,FALSE),main!$K$10:$Q$14,3,FALSE),1,0)</f>
        <v>0</v>
      </c>
      <c r="AW9">
        <f>IF(VLOOKUP(AW$1,main!$A$3:$I$56,5,FALSE)-VLOOKUP($A9,main!$A$3:$I$56,6,FALSE)&gt;=VLOOKUP(55,main!$A$57:$I$59,4,FALSE)+VLOOKUP(VLOOKUP(AW$1,main!$A$3:$I$56,7,FALSE),main!$K$10:$Q$14,3,FALSE),1,0)</f>
        <v>0</v>
      </c>
      <c r="AX9">
        <f>IF(VLOOKUP(AX$1,main!$A$3:$I$56,5,FALSE)-VLOOKUP($A9,main!$A$3:$I$56,6,FALSE)&gt;=VLOOKUP(55,main!$A$57:$I$59,4,FALSE)+VLOOKUP(VLOOKUP(AX$1,main!$A$3:$I$56,7,FALSE),main!$K$10:$Q$14,3,FALSE),1,0)</f>
        <v>0</v>
      </c>
      <c r="AY9">
        <f>IF(VLOOKUP(AY$1,main!$A$3:$I$56,5,FALSE)-VLOOKUP($A9,main!$A$3:$I$56,6,FALSE)&gt;=VLOOKUP(55,main!$A$57:$I$59,4,FALSE)+VLOOKUP(VLOOKUP(AY$1,main!$A$3:$I$56,7,FALSE),main!$K$10:$Q$14,3,FALSE),1,0)</f>
        <v>0</v>
      </c>
      <c r="AZ9">
        <f>IF(VLOOKUP(AZ$1,main!$A$3:$I$56,5,FALSE)-VLOOKUP($A9,main!$A$3:$I$56,6,FALSE)&gt;=VLOOKUP(55,main!$A$57:$I$59,4,FALSE)+VLOOKUP(VLOOKUP(AZ$1,main!$A$3:$I$56,7,FALSE),main!$K$10:$Q$14,3,FALSE),1,0)</f>
        <v>0</v>
      </c>
      <c r="BA9">
        <f>IF(VLOOKUP(BA$1,main!$A$3:$I$56,5,FALSE)-VLOOKUP($A9,main!$A$3:$I$56,6,FALSE)&gt;=VLOOKUP(55,main!$A$57:$I$59,4,FALSE)+VLOOKUP(VLOOKUP(BA$1,main!$A$3:$I$56,7,FALSE),main!$K$10:$Q$14,3,FALSE),1,0)</f>
        <v>0</v>
      </c>
      <c r="BB9">
        <f>IF(VLOOKUP(BB$1,main!$A$3:$I$56,5,FALSE)-VLOOKUP($A9,main!$A$3:$I$56,6,FALSE)&gt;=VLOOKUP(55,main!$A$57:$I$59,4,FALSE)+VLOOKUP(VLOOKUP(BB$1,main!$A$3:$I$56,7,FALSE),main!$K$10:$Q$14,3,FALSE),1,0)</f>
        <v>0</v>
      </c>
      <c r="BC9">
        <f>IF(VLOOKUP(BC$1,main!$A$3:$I$56,5,FALSE)-VLOOKUP($A9,main!$A$3:$I$56,6,FALSE)&gt;=VLOOKUP(55,main!$A$57:$I$59,4,FALSE)+VLOOKUP(VLOOKUP(BC$1,main!$A$3:$I$56,7,FALSE),main!$K$10:$Q$14,3,FALSE),1,0)</f>
        <v>0</v>
      </c>
      <c r="BD9">
        <f>IF(VLOOKUP(BD$1,main!$A$3:$I$56,5,FALSE)-VLOOKUP($A9,main!$A$3:$I$56,6,FALSE)&gt;=VLOOKUP(55,main!$A$57:$I$59,4,FALSE)+VLOOKUP(VLOOKUP(BD$1,main!$A$3:$I$56,7,FALSE),main!$K$10:$Q$14,3,FALSE),1,0)</f>
        <v>0</v>
      </c>
    </row>
    <row r="10" spans="1:56" x14ac:dyDescent="0.25">
      <c r="A10">
        <f t="shared" si="0"/>
        <v>8</v>
      </c>
      <c r="B10">
        <v>0</v>
      </c>
      <c r="C10">
        <f>IF(VLOOKUP(C$1,main!$A$3:$I$56,5,FALSE)-VLOOKUP($A10,main!$A$3:$I$56,6,FALSE)&gt;=VLOOKUP(55,main!$A$57:$I$59,4,FALSE)+VLOOKUP(VLOOKUP(C$1,main!$A$3:$I$56,7,FALSE),main!$K$10:$Q$14,3,FALSE),1,0)</f>
        <v>0</v>
      </c>
      <c r="D10">
        <f>IF(VLOOKUP(D$1,main!$A$3:$I$56,5,FALSE)-VLOOKUP($A10,main!$A$3:$I$56,6,FALSE)&gt;=VLOOKUP(55,main!$A$57:$I$59,4,FALSE)+VLOOKUP(VLOOKUP(D$1,main!$A$3:$I$56,7,FALSE),main!$K$10:$Q$14,3,FALSE),1,0)</f>
        <v>0</v>
      </c>
      <c r="E10">
        <f>IF(VLOOKUP(E$1,main!$A$3:$I$56,5,FALSE)-VLOOKUP($A10,main!$A$3:$I$56,6,FALSE)&gt;=VLOOKUP(55,main!$A$57:$I$59,4,FALSE)+VLOOKUP(VLOOKUP(E$1,main!$A$3:$I$56,7,FALSE),main!$K$10:$Q$14,3,FALSE),1,0)</f>
        <v>0</v>
      </c>
      <c r="F10">
        <f>IF(VLOOKUP(F$1,main!$A$3:$I$56,5,FALSE)-VLOOKUP($A10,main!$A$3:$I$56,6,FALSE)&gt;=VLOOKUP(55,main!$A$57:$I$59,4,FALSE)+VLOOKUP(VLOOKUP(F$1,main!$A$3:$I$56,7,FALSE),main!$K$10:$Q$14,3,FALSE),1,0)</f>
        <v>0</v>
      </c>
      <c r="G10">
        <f>IF(VLOOKUP(G$1,main!$A$3:$I$56,5,FALSE)-VLOOKUP($A10,main!$A$3:$I$56,6,FALSE)&gt;=VLOOKUP(55,main!$A$57:$I$59,4,FALSE)+VLOOKUP(VLOOKUP(G$1,main!$A$3:$I$56,7,FALSE),main!$K$10:$Q$14,3,FALSE),1,0)</f>
        <v>0</v>
      </c>
      <c r="H10">
        <f>IF(VLOOKUP(H$1,main!$A$3:$I$56,5,FALSE)-VLOOKUP($A10,main!$A$3:$I$56,6,FALSE)&gt;=VLOOKUP(55,main!$A$57:$I$59,4,FALSE)+VLOOKUP(VLOOKUP(H$1,main!$A$3:$I$56,7,FALSE),main!$K$10:$Q$14,3,FALSE),1,0)</f>
        <v>0</v>
      </c>
      <c r="I10">
        <f>IF(VLOOKUP(I$1,main!$A$3:$I$56,5,FALSE)-VLOOKUP($A10,main!$A$3:$I$56,6,FALSE)&gt;=VLOOKUP(55,main!$A$57:$I$59,4,FALSE)+VLOOKUP(VLOOKUP(I$1,main!$A$3:$I$56,7,FALSE),main!$K$10:$Q$14,3,FALSE),1,0)</f>
        <v>0</v>
      </c>
      <c r="J10">
        <f>IF(VLOOKUP(J$1,main!$A$3:$I$56,5,FALSE)-VLOOKUP($A10,main!$A$3:$I$56,6,FALSE)&gt;=VLOOKUP(55,main!$A$57:$I$59,4,FALSE)+VLOOKUP(VLOOKUP(J$1,main!$A$3:$I$56,7,FALSE),main!$K$10:$Q$14,3,FALSE),1,0)</f>
        <v>0</v>
      </c>
      <c r="K10">
        <f>IF(VLOOKUP(K$1,main!$A$3:$I$56,5,FALSE)-VLOOKUP($A10,main!$A$3:$I$56,6,FALSE)&gt;=VLOOKUP(55,main!$A$57:$I$59,4,FALSE)+VLOOKUP(VLOOKUP(K$1,main!$A$3:$I$56,7,FALSE),main!$K$10:$Q$14,3,FALSE),1,0)</f>
        <v>0</v>
      </c>
      <c r="L10">
        <f>IF(VLOOKUP(L$1,main!$A$3:$I$56,5,FALSE)-VLOOKUP($A10,main!$A$3:$I$56,6,FALSE)&gt;=VLOOKUP(55,main!$A$57:$I$59,4,FALSE)+VLOOKUP(VLOOKUP(L$1,main!$A$3:$I$56,7,FALSE),main!$K$10:$Q$14,3,FALSE),1,0)</f>
        <v>0</v>
      </c>
      <c r="M10">
        <f>IF(VLOOKUP(M$1,main!$A$3:$I$56,5,FALSE)-VLOOKUP($A10,main!$A$3:$I$56,6,FALSE)&gt;=VLOOKUP(55,main!$A$57:$I$59,4,FALSE)+VLOOKUP(VLOOKUP(M$1,main!$A$3:$I$56,7,FALSE),main!$K$10:$Q$14,3,FALSE),1,0)</f>
        <v>0</v>
      </c>
      <c r="N10">
        <f>IF(VLOOKUP(N$1,main!$A$3:$I$56,5,FALSE)-VLOOKUP($A10,main!$A$3:$I$56,6,FALSE)&gt;=VLOOKUP(55,main!$A$57:$I$59,4,FALSE)+VLOOKUP(VLOOKUP(N$1,main!$A$3:$I$56,7,FALSE),main!$K$10:$Q$14,3,FALSE),1,0)</f>
        <v>0</v>
      </c>
      <c r="O10">
        <f>IF(VLOOKUP(O$1,main!$A$3:$I$56,5,FALSE)-VLOOKUP($A10,main!$A$3:$I$56,6,FALSE)&gt;=VLOOKUP(55,main!$A$57:$I$59,4,FALSE)+VLOOKUP(VLOOKUP(O$1,main!$A$3:$I$56,7,FALSE),main!$K$10:$Q$14,3,FALSE),1,0)</f>
        <v>0</v>
      </c>
      <c r="P10">
        <f>IF(VLOOKUP(P$1,main!$A$3:$I$56,5,FALSE)-VLOOKUP($A10,main!$A$3:$I$56,6,FALSE)&gt;=VLOOKUP(55,main!$A$57:$I$59,4,FALSE)+VLOOKUP(VLOOKUP(P$1,main!$A$3:$I$56,7,FALSE),main!$K$10:$Q$14,3,FALSE),1,0)</f>
        <v>0</v>
      </c>
      <c r="Q10">
        <f>IF(VLOOKUP(Q$1,main!$A$3:$I$56,5,FALSE)-VLOOKUP($A10,main!$A$3:$I$56,6,FALSE)&gt;=VLOOKUP(55,main!$A$57:$I$59,4,FALSE)+VLOOKUP(VLOOKUP(Q$1,main!$A$3:$I$56,7,FALSE),main!$K$10:$Q$14,3,FALSE),1,0)</f>
        <v>0</v>
      </c>
      <c r="R10">
        <f>IF(VLOOKUP(R$1,main!$A$3:$I$56,5,FALSE)-VLOOKUP($A10,main!$A$3:$I$56,6,FALSE)&gt;=VLOOKUP(55,main!$A$57:$I$59,4,FALSE)+VLOOKUP(VLOOKUP(R$1,main!$A$3:$I$56,7,FALSE),main!$K$10:$Q$14,3,FALSE),1,0)</f>
        <v>0</v>
      </c>
      <c r="S10">
        <f>IF(VLOOKUP(S$1,main!$A$3:$I$56,5,FALSE)-VLOOKUP($A10,main!$A$3:$I$56,6,FALSE)&gt;=VLOOKUP(55,main!$A$57:$I$59,4,FALSE)+VLOOKUP(VLOOKUP(S$1,main!$A$3:$I$56,7,FALSE),main!$K$10:$Q$14,3,FALSE),1,0)</f>
        <v>0</v>
      </c>
      <c r="T10">
        <f>IF(VLOOKUP(T$1,main!$A$3:$I$56,5,FALSE)-VLOOKUP($A10,main!$A$3:$I$56,6,FALSE)&gt;=VLOOKUP(55,main!$A$57:$I$59,4,FALSE)+VLOOKUP(VLOOKUP(T$1,main!$A$3:$I$56,7,FALSE),main!$K$10:$Q$14,3,FALSE),1,0)</f>
        <v>0</v>
      </c>
      <c r="U10">
        <f>IF(VLOOKUP(U$1,main!$A$3:$I$56,5,FALSE)-VLOOKUP($A10,main!$A$3:$I$56,6,FALSE)&gt;=VLOOKUP(55,main!$A$57:$I$59,4,FALSE)+VLOOKUP(VLOOKUP(U$1,main!$A$3:$I$56,7,FALSE),main!$K$10:$Q$14,3,FALSE),1,0)</f>
        <v>0</v>
      </c>
      <c r="V10">
        <f>IF(VLOOKUP(V$1,main!$A$3:$I$56,5,FALSE)-VLOOKUP($A10,main!$A$3:$I$56,6,FALSE)&gt;=VLOOKUP(55,main!$A$57:$I$59,4,FALSE)+VLOOKUP(VLOOKUP(V$1,main!$A$3:$I$56,7,FALSE),main!$K$10:$Q$14,3,FALSE),1,0)</f>
        <v>0</v>
      </c>
      <c r="W10">
        <f>IF(VLOOKUP(W$1,main!$A$3:$I$56,5,FALSE)-VLOOKUP($A10,main!$A$3:$I$56,6,FALSE)&gt;=VLOOKUP(55,main!$A$57:$I$59,4,FALSE)+VLOOKUP(VLOOKUP(W$1,main!$A$3:$I$56,7,FALSE),main!$K$10:$Q$14,3,FALSE),1,0)</f>
        <v>0</v>
      </c>
      <c r="X10">
        <f>IF(VLOOKUP(X$1,main!$A$3:$I$56,5,FALSE)-VLOOKUP($A10,main!$A$3:$I$56,6,FALSE)&gt;=VLOOKUP(55,main!$A$57:$I$59,4,FALSE)+VLOOKUP(VLOOKUP(X$1,main!$A$3:$I$56,7,FALSE),main!$K$10:$Q$14,3,FALSE),1,0)</f>
        <v>0</v>
      </c>
      <c r="Y10">
        <f>IF(VLOOKUP(Y$1,main!$A$3:$I$56,5,FALSE)-VLOOKUP($A10,main!$A$3:$I$56,6,FALSE)&gt;=VLOOKUP(55,main!$A$57:$I$59,4,FALSE)+VLOOKUP(VLOOKUP(Y$1,main!$A$3:$I$56,7,FALSE),main!$K$10:$Q$14,3,FALSE),1,0)</f>
        <v>0</v>
      </c>
      <c r="Z10">
        <f>IF(VLOOKUP(Z$1,main!$A$3:$I$56,5,FALSE)-VLOOKUP($A10,main!$A$3:$I$56,6,FALSE)&gt;=VLOOKUP(55,main!$A$57:$I$59,4,FALSE)+VLOOKUP(VLOOKUP(Z$1,main!$A$3:$I$56,7,FALSE),main!$K$10:$Q$14,3,FALSE),1,0)</f>
        <v>0</v>
      </c>
      <c r="AA10">
        <f>IF(VLOOKUP(AA$1,main!$A$3:$I$56,5,FALSE)-VLOOKUP($A10,main!$A$3:$I$56,6,FALSE)&gt;=VLOOKUP(55,main!$A$57:$I$59,4,FALSE)+VLOOKUP(VLOOKUP(AA$1,main!$A$3:$I$56,7,FALSE),main!$K$10:$Q$14,3,FALSE),1,0)</f>
        <v>0</v>
      </c>
      <c r="AB10">
        <f>IF(VLOOKUP(AB$1,main!$A$3:$I$56,5,FALSE)-VLOOKUP($A10,main!$A$3:$I$56,6,FALSE)&gt;=VLOOKUP(55,main!$A$57:$I$59,4,FALSE)+VLOOKUP(VLOOKUP(AB$1,main!$A$3:$I$56,7,FALSE),main!$K$10:$Q$14,3,FALSE),1,0)</f>
        <v>0</v>
      </c>
      <c r="AC10">
        <f>IF(VLOOKUP(AC$1,main!$A$3:$I$56,5,FALSE)-VLOOKUP($A10,main!$A$3:$I$56,6,FALSE)&gt;=VLOOKUP(55,main!$A$57:$I$59,4,FALSE)+VLOOKUP(VLOOKUP(AC$1,main!$A$3:$I$56,7,FALSE),main!$K$10:$Q$14,3,FALSE),1,0)</f>
        <v>0</v>
      </c>
      <c r="AD10">
        <f>IF(VLOOKUP(AD$1,main!$A$3:$I$56,5,FALSE)-VLOOKUP($A10,main!$A$3:$I$56,6,FALSE)&gt;=VLOOKUP(55,main!$A$57:$I$59,4,FALSE)+VLOOKUP(VLOOKUP(AD$1,main!$A$3:$I$56,7,FALSE),main!$K$10:$Q$14,3,FALSE),1,0)</f>
        <v>0</v>
      </c>
      <c r="AE10">
        <f>IF(VLOOKUP(AE$1,main!$A$3:$I$56,5,FALSE)-VLOOKUP($A10,main!$A$3:$I$56,6,FALSE)&gt;=VLOOKUP(55,main!$A$57:$I$59,4,FALSE)+VLOOKUP(VLOOKUP(AE$1,main!$A$3:$I$56,7,FALSE),main!$K$10:$Q$14,3,FALSE),1,0)</f>
        <v>0</v>
      </c>
      <c r="AF10">
        <f>IF(VLOOKUP(AF$1,main!$A$3:$I$56,5,FALSE)-VLOOKUP($A10,main!$A$3:$I$56,6,FALSE)&gt;=VLOOKUP(55,main!$A$57:$I$59,4,FALSE)+VLOOKUP(VLOOKUP(AF$1,main!$A$3:$I$56,7,FALSE),main!$K$10:$Q$14,3,FALSE),1,0)</f>
        <v>0</v>
      </c>
      <c r="AG10">
        <f>IF(VLOOKUP(AG$1,main!$A$3:$I$56,5,FALSE)-VLOOKUP($A10,main!$A$3:$I$56,6,FALSE)&gt;=VLOOKUP(55,main!$A$57:$I$59,4,FALSE)+VLOOKUP(VLOOKUP(AG$1,main!$A$3:$I$56,7,FALSE),main!$K$10:$Q$14,3,FALSE),1,0)</f>
        <v>0</v>
      </c>
      <c r="AH10">
        <f>IF(VLOOKUP(AH$1,main!$A$3:$I$56,5,FALSE)-VLOOKUP($A10,main!$A$3:$I$56,6,FALSE)&gt;=VLOOKUP(55,main!$A$57:$I$59,4,FALSE)+VLOOKUP(VLOOKUP(AH$1,main!$A$3:$I$56,7,FALSE),main!$K$10:$Q$14,3,FALSE),1,0)</f>
        <v>0</v>
      </c>
      <c r="AI10">
        <f>IF(VLOOKUP(AI$1,main!$A$3:$I$56,5,FALSE)-VLOOKUP($A10,main!$A$3:$I$56,6,FALSE)&gt;=VLOOKUP(55,main!$A$57:$I$59,4,FALSE)+VLOOKUP(VLOOKUP(AI$1,main!$A$3:$I$56,7,FALSE),main!$K$10:$Q$14,3,FALSE),1,0)</f>
        <v>0</v>
      </c>
      <c r="AJ10">
        <f>IF(VLOOKUP(AJ$1,main!$A$3:$I$56,5,FALSE)-VLOOKUP($A10,main!$A$3:$I$56,6,FALSE)&gt;=VLOOKUP(55,main!$A$57:$I$59,4,FALSE)+VLOOKUP(VLOOKUP(AJ$1,main!$A$3:$I$56,7,FALSE),main!$K$10:$Q$14,3,FALSE),1,0)</f>
        <v>0</v>
      </c>
      <c r="AK10">
        <f>IF(VLOOKUP(AK$1,main!$A$3:$I$56,5,FALSE)-VLOOKUP($A10,main!$A$3:$I$56,6,FALSE)&gt;=VLOOKUP(55,main!$A$57:$I$59,4,FALSE)+VLOOKUP(VLOOKUP(AK$1,main!$A$3:$I$56,7,FALSE),main!$K$10:$Q$14,3,FALSE),1,0)</f>
        <v>0</v>
      </c>
      <c r="AL10">
        <f>IF(VLOOKUP(AL$1,main!$A$3:$I$56,5,FALSE)-VLOOKUP($A10,main!$A$3:$I$56,6,FALSE)&gt;=VLOOKUP(55,main!$A$57:$I$59,4,FALSE)+VLOOKUP(VLOOKUP(AL$1,main!$A$3:$I$56,7,FALSE),main!$K$10:$Q$14,3,FALSE),1,0)</f>
        <v>0</v>
      </c>
      <c r="AM10">
        <f>IF(VLOOKUP(AM$1,main!$A$3:$I$56,5,FALSE)-VLOOKUP($A10,main!$A$3:$I$56,6,FALSE)&gt;=VLOOKUP(55,main!$A$57:$I$59,4,FALSE)+VLOOKUP(VLOOKUP(AM$1,main!$A$3:$I$56,7,FALSE),main!$K$10:$Q$14,3,FALSE),1,0)</f>
        <v>0</v>
      </c>
      <c r="AN10">
        <f>IF(VLOOKUP(AN$1,main!$A$3:$I$56,5,FALSE)-VLOOKUP($A10,main!$A$3:$I$56,6,FALSE)&gt;=VLOOKUP(55,main!$A$57:$I$59,4,FALSE)+VLOOKUP(VLOOKUP(AN$1,main!$A$3:$I$56,7,FALSE),main!$K$10:$Q$14,3,FALSE),1,0)</f>
        <v>0</v>
      </c>
      <c r="AO10">
        <f>IF(VLOOKUP(AO$1,main!$A$3:$I$56,5,FALSE)-VLOOKUP($A10,main!$A$3:$I$56,6,FALSE)&gt;=VLOOKUP(55,main!$A$57:$I$59,4,FALSE)+VLOOKUP(VLOOKUP(AO$1,main!$A$3:$I$56,7,FALSE),main!$K$10:$Q$14,3,FALSE),1,0)</f>
        <v>0</v>
      </c>
      <c r="AP10">
        <f>IF(VLOOKUP(AP$1,main!$A$3:$I$56,5,FALSE)-VLOOKUP($A10,main!$A$3:$I$56,6,FALSE)&gt;=VLOOKUP(55,main!$A$57:$I$59,4,FALSE)+VLOOKUP(VLOOKUP(AP$1,main!$A$3:$I$56,7,FALSE),main!$K$10:$Q$14,3,FALSE),1,0)</f>
        <v>0</v>
      </c>
      <c r="AQ10">
        <f>IF(VLOOKUP(AQ$1,main!$A$3:$I$56,5,FALSE)-VLOOKUP($A10,main!$A$3:$I$56,6,FALSE)&gt;=VLOOKUP(55,main!$A$57:$I$59,4,FALSE)+VLOOKUP(VLOOKUP(AQ$1,main!$A$3:$I$56,7,FALSE),main!$K$10:$Q$14,3,FALSE),1,0)</f>
        <v>0</v>
      </c>
      <c r="AR10">
        <f>IF(VLOOKUP(AR$1,main!$A$3:$I$56,5,FALSE)-VLOOKUP($A10,main!$A$3:$I$56,6,FALSE)&gt;=VLOOKUP(55,main!$A$57:$I$59,4,FALSE)+VLOOKUP(VLOOKUP(AR$1,main!$A$3:$I$56,7,FALSE),main!$K$10:$Q$14,3,FALSE),1,0)</f>
        <v>0</v>
      </c>
      <c r="AS10">
        <f>IF(VLOOKUP(AS$1,main!$A$3:$I$56,5,FALSE)-VLOOKUP($A10,main!$A$3:$I$56,6,FALSE)&gt;=VLOOKUP(55,main!$A$57:$I$59,4,FALSE)+VLOOKUP(VLOOKUP(AS$1,main!$A$3:$I$56,7,FALSE),main!$K$10:$Q$14,3,FALSE),1,0)</f>
        <v>0</v>
      </c>
      <c r="AT10">
        <f>IF(VLOOKUP(AT$1,main!$A$3:$I$56,5,FALSE)-VLOOKUP($A10,main!$A$3:$I$56,6,FALSE)&gt;=VLOOKUP(55,main!$A$57:$I$59,4,FALSE)+VLOOKUP(VLOOKUP(AT$1,main!$A$3:$I$56,7,FALSE),main!$K$10:$Q$14,3,FALSE),1,0)</f>
        <v>0</v>
      </c>
      <c r="AU10">
        <f>IF(VLOOKUP(AU$1,main!$A$3:$I$56,5,FALSE)-VLOOKUP($A10,main!$A$3:$I$56,6,FALSE)&gt;=VLOOKUP(55,main!$A$57:$I$59,4,FALSE)+VLOOKUP(VLOOKUP(AU$1,main!$A$3:$I$56,7,FALSE),main!$K$10:$Q$14,3,FALSE),1,0)</f>
        <v>0</v>
      </c>
      <c r="AV10">
        <f>IF(VLOOKUP(AV$1,main!$A$3:$I$56,5,FALSE)-VLOOKUP($A10,main!$A$3:$I$56,6,FALSE)&gt;=VLOOKUP(55,main!$A$57:$I$59,4,FALSE)+VLOOKUP(VLOOKUP(AV$1,main!$A$3:$I$56,7,FALSE),main!$K$10:$Q$14,3,FALSE),1,0)</f>
        <v>0</v>
      </c>
      <c r="AW10">
        <f>IF(VLOOKUP(AW$1,main!$A$3:$I$56,5,FALSE)-VLOOKUP($A10,main!$A$3:$I$56,6,FALSE)&gt;=VLOOKUP(55,main!$A$57:$I$59,4,FALSE)+VLOOKUP(VLOOKUP(AW$1,main!$A$3:$I$56,7,FALSE),main!$K$10:$Q$14,3,FALSE),1,0)</f>
        <v>0</v>
      </c>
      <c r="AX10">
        <f>IF(VLOOKUP(AX$1,main!$A$3:$I$56,5,FALSE)-VLOOKUP($A10,main!$A$3:$I$56,6,FALSE)&gt;=VLOOKUP(55,main!$A$57:$I$59,4,FALSE)+VLOOKUP(VLOOKUP(AX$1,main!$A$3:$I$56,7,FALSE),main!$K$10:$Q$14,3,FALSE),1,0)</f>
        <v>0</v>
      </c>
      <c r="AY10">
        <f>IF(VLOOKUP(AY$1,main!$A$3:$I$56,5,FALSE)-VLOOKUP($A10,main!$A$3:$I$56,6,FALSE)&gt;=VLOOKUP(55,main!$A$57:$I$59,4,FALSE)+VLOOKUP(VLOOKUP(AY$1,main!$A$3:$I$56,7,FALSE),main!$K$10:$Q$14,3,FALSE),1,0)</f>
        <v>0</v>
      </c>
      <c r="AZ10">
        <f>IF(VLOOKUP(AZ$1,main!$A$3:$I$56,5,FALSE)-VLOOKUP($A10,main!$A$3:$I$56,6,FALSE)&gt;=VLOOKUP(55,main!$A$57:$I$59,4,FALSE)+VLOOKUP(VLOOKUP(AZ$1,main!$A$3:$I$56,7,FALSE),main!$K$10:$Q$14,3,FALSE),1,0)</f>
        <v>0</v>
      </c>
      <c r="BA10">
        <f>IF(VLOOKUP(BA$1,main!$A$3:$I$56,5,FALSE)-VLOOKUP($A10,main!$A$3:$I$56,6,FALSE)&gt;=VLOOKUP(55,main!$A$57:$I$59,4,FALSE)+VLOOKUP(VLOOKUP(BA$1,main!$A$3:$I$56,7,FALSE),main!$K$10:$Q$14,3,FALSE),1,0)</f>
        <v>0</v>
      </c>
      <c r="BB10">
        <f>IF(VLOOKUP(BB$1,main!$A$3:$I$56,5,FALSE)-VLOOKUP($A10,main!$A$3:$I$56,6,FALSE)&gt;=VLOOKUP(55,main!$A$57:$I$59,4,FALSE)+VLOOKUP(VLOOKUP(BB$1,main!$A$3:$I$56,7,FALSE),main!$K$10:$Q$14,3,FALSE),1,0)</f>
        <v>0</v>
      </c>
      <c r="BC10">
        <f>IF(VLOOKUP(BC$1,main!$A$3:$I$56,5,FALSE)-VLOOKUP($A10,main!$A$3:$I$56,6,FALSE)&gt;=VLOOKUP(55,main!$A$57:$I$59,4,FALSE)+VLOOKUP(VLOOKUP(BC$1,main!$A$3:$I$56,7,FALSE),main!$K$10:$Q$14,3,FALSE),1,0)</f>
        <v>0</v>
      </c>
      <c r="BD10">
        <f>IF(VLOOKUP(BD$1,main!$A$3:$I$56,5,FALSE)-VLOOKUP($A10,main!$A$3:$I$56,6,FALSE)&gt;=VLOOKUP(55,main!$A$57:$I$59,4,FALSE)+VLOOKUP(VLOOKUP(BD$1,main!$A$3:$I$56,7,FALSE),main!$K$10:$Q$14,3,FALSE),1,0)</f>
        <v>0</v>
      </c>
    </row>
    <row r="11" spans="1:56" x14ac:dyDescent="0.25">
      <c r="A11">
        <f t="shared" si="0"/>
        <v>9</v>
      </c>
      <c r="B11">
        <v>0</v>
      </c>
      <c r="C11">
        <f>IF(VLOOKUP(C$1,main!$A$3:$I$56,5,FALSE)-VLOOKUP($A11,main!$A$3:$I$56,6,FALSE)&gt;=VLOOKUP(55,main!$A$57:$I$59,4,FALSE)+VLOOKUP(VLOOKUP(C$1,main!$A$3:$I$56,7,FALSE),main!$K$10:$Q$14,3,FALSE),1,0)</f>
        <v>0</v>
      </c>
      <c r="D11">
        <f>IF(VLOOKUP(D$1,main!$A$3:$I$56,5,FALSE)-VLOOKUP($A11,main!$A$3:$I$56,6,FALSE)&gt;=VLOOKUP(55,main!$A$57:$I$59,4,FALSE)+VLOOKUP(VLOOKUP(D$1,main!$A$3:$I$56,7,FALSE),main!$K$10:$Q$14,3,FALSE),1,0)</f>
        <v>0</v>
      </c>
      <c r="E11">
        <f>IF(VLOOKUP(E$1,main!$A$3:$I$56,5,FALSE)-VLOOKUP($A11,main!$A$3:$I$56,6,FALSE)&gt;=VLOOKUP(55,main!$A$57:$I$59,4,FALSE)+VLOOKUP(VLOOKUP(E$1,main!$A$3:$I$56,7,FALSE),main!$K$10:$Q$14,3,FALSE),1,0)</f>
        <v>1</v>
      </c>
      <c r="F11">
        <f>IF(VLOOKUP(F$1,main!$A$3:$I$56,5,FALSE)-VLOOKUP($A11,main!$A$3:$I$56,6,FALSE)&gt;=VLOOKUP(55,main!$A$57:$I$59,4,FALSE)+VLOOKUP(VLOOKUP(F$1,main!$A$3:$I$56,7,FALSE),main!$K$10:$Q$14,3,FALSE),1,0)</f>
        <v>1</v>
      </c>
      <c r="G11">
        <f>IF(VLOOKUP(G$1,main!$A$3:$I$56,5,FALSE)-VLOOKUP($A11,main!$A$3:$I$56,6,FALSE)&gt;=VLOOKUP(55,main!$A$57:$I$59,4,FALSE)+VLOOKUP(VLOOKUP(G$1,main!$A$3:$I$56,7,FALSE),main!$K$10:$Q$14,3,FALSE),1,0)</f>
        <v>1</v>
      </c>
      <c r="H11">
        <f>IF(VLOOKUP(H$1,main!$A$3:$I$56,5,FALSE)-VLOOKUP($A11,main!$A$3:$I$56,6,FALSE)&gt;=VLOOKUP(55,main!$A$57:$I$59,4,FALSE)+VLOOKUP(VLOOKUP(H$1,main!$A$3:$I$56,7,FALSE),main!$K$10:$Q$14,3,FALSE),1,0)</f>
        <v>1</v>
      </c>
      <c r="I11">
        <f>IF(VLOOKUP(I$1,main!$A$3:$I$56,5,FALSE)-VLOOKUP($A11,main!$A$3:$I$56,6,FALSE)&gt;=VLOOKUP(55,main!$A$57:$I$59,4,FALSE)+VLOOKUP(VLOOKUP(I$1,main!$A$3:$I$56,7,FALSE),main!$K$10:$Q$14,3,FALSE),1,0)</f>
        <v>1</v>
      </c>
      <c r="J11">
        <f>IF(VLOOKUP(J$1,main!$A$3:$I$56,5,FALSE)-VLOOKUP($A11,main!$A$3:$I$56,6,FALSE)&gt;=VLOOKUP(55,main!$A$57:$I$59,4,FALSE)+VLOOKUP(VLOOKUP(J$1,main!$A$3:$I$56,7,FALSE),main!$K$10:$Q$14,3,FALSE),1,0)</f>
        <v>1</v>
      </c>
      <c r="K11">
        <f>IF(VLOOKUP(K$1,main!$A$3:$I$56,5,FALSE)-VLOOKUP($A11,main!$A$3:$I$56,6,FALSE)&gt;=VLOOKUP(55,main!$A$57:$I$59,4,FALSE)+VLOOKUP(VLOOKUP(K$1,main!$A$3:$I$56,7,FALSE),main!$K$10:$Q$14,3,FALSE),1,0)</f>
        <v>0</v>
      </c>
      <c r="L11">
        <f>IF(VLOOKUP(L$1,main!$A$3:$I$56,5,FALSE)-VLOOKUP($A11,main!$A$3:$I$56,6,FALSE)&gt;=VLOOKUP(55,main!$A$57:$I$59,4,FALSE)+VLOOKUP(VLOOKUP(L$1,main!$A$3:$I$56,7,FALSE),main!$K$10:$Q$14,3,FALSE),1,0)</f>
        <v>0</v>
      </c>
      <c r="M11">
        <f>IF(VLOOKUP(M$1,main!$A$3:$I$56,5,FALSE)-VLOOKUP($A11,main!$A$3:$I$56,6,FALSE)&gt;=VLOOKUP(55,main!$A$57:$I$59,4,FALSE)+VLOOKUP(VLOOKUP(M$1,main!$A$3:$I$56,7,FALSE),main!$K$10:$Q$14,3,FALSE),1,0)</f>
        <v>1</v>
      </c>
      <c r="N11">
        <f>IF(VLOOKUP(N$1,main!$A$3:$I$56,5,FALSE)-VLOOKUP($A11,main!$A$3:$I$56,6,FALSE)&gt;=VLOOKUP(55,main!$A$57:$I$59,4,FALSE)+VLOOKUP(VLOOKUP(N$1,main!$A$3:$I$56,7,FALSE),main!$K$10:$Q$14,3,FALSE),1,0)</f>
        <v>1</v>
      </c>
      <c r="O11">
        <f>IF(VLOOKUP(O$1,main!$A$3:$I$56,5,FALSE)-VLOOKUP($A11,main!$A$3:$I$56,6,FALSE)&gt;=VLOOKUP(55,main!$A$57:$I$59,4,FALSE)+VLOOKUP(VLOOKUP(O$1,main!$A$3:$I$56,7,FALSE),main!$K$10:$Q$14,3,FALSE),1,0)</f>
        <v>1</v>
      </c>
      <c r="P11">
        <f>IF(VLOOKUP(P$1,main!$A$3:$I$56,5,FALSE)-VLOOKUP($A11,main!$A$3:$I$56,6,FALSE)&gt;=VLOOKUP(55,main!$A$57:$I$59,4,FALSE)+VLOOKUP(VLOOKUP(P$1,main!$A$3:$I$56,7,FALSE),main!$K$10:$Q$14,3,FALSE),1,0)</f>
        <v>0</v>
      </c>
      <c r="Q11">
        <f>IF(VLOOKUP(Q$1,main!$A$3:$I$56,5,FALSE)-VLOOKUP($A11,main!$A$3:$I$56,6,FALSE)&gt;=VLOOKUP(55,main!$A$57:$I$59,4,FALSE)+VLOOKUP(VLOOKUP(Q$1,main!$A$3:$I$56,7,FALSE),main!$K$10:$Q$14,3,FALSE),1,0)</f>
        <v>0</v>
      </c>
      <c r="R11">
        <f>IF(VLOOKUP(R$1,main!$A$3:$I$56,5,FALSE)-VLOOKUP($A11,main!$A$3:$I$56,6,FALSE)&gt;=VLOOKUP(55,main!$A$57:$I$59,4,FALSE)+VLOOKUP(VLOOKUP(R$1,main!$A$3:$I$56,7,FALSE),main!$K$10:$Q$14,3,FALSE),1,0)</f>
        <v>1</v>
      </c>
      <c r="S11">
        <f>IF(VLOOKUP(S$1,main!$A$3:$I$56,5,FALSE)-VLOOKUP($A11,main!$A$3:$I$56,6,FALSE)&gt;=VLOOKUP(55,main!$A$57:$I$59,4,FALSE)+VLOOKUP(VLOOKUP(S$1,main!$A$3:$I$56,7,FALSE),main!$K$10:$Q$14,3,FALSE),1,0)</f>
        <v>1</v>
      </c>
      <c r="T11">
        <f>IF(VLOOKUP(T$1,main!$A$3:$I$56,5,FALSE)-VLOOKUP($A11,main!$A$3:$I$56,6,FALSE)&gt;=VLOOKUP(55,main!$A$57:$I$59,4,FALSE)+VLOOKUP(VLOOKUP(T$1,main!$A$3:$I$56,7,FALSE),main!$K$10:$Q$14,3,FALSE),1,0)</f>
        <v>1</v>
      </c>
      <c r="U11">
        <f>IF(VLOOKUP(U$1,main!$A$3:$I$56,5,FALSE)-VLOOKUP($A11,main!$A$3:$I$56,6,FALSE)&gt;=VLOOKUP(55,main!$A$57:$I$59,4,FALSE)+VLOOKUP(VLOOKUP(U$1,main!$A$3:$I$56,7,FALSE),main!$K$10:$Q$14,3,FALSE),1,0)</f>
        <v>0</v>
      </c>
      <c r="V11">
        <f>IF(VLOOKUP(V$1,main!$A$3:$I$56,5,FALSE)-VLOOKUP($A11,main!$A$3:$I$56,6,FALSE)&gt;=VLOOKUP(55,main!$A$57:$I$59,4,FALSE)+VLOOKUP(VLOOKUP(V$1,main!$A$3:$I$56,7,FALSE),main!$K$10:$Q$14,3,FALSE),1,0)</f>
        <v>0</v>
      </c>
      <c r="W11">
        <f>IF(VLOOKUP(W$1,main!$A$3:$I$56,5,FALSE)-VLOOKUP($A11,main!$A$3:$I$56,6,FALSE)&gt;=VLOOKUP(55,main!$A$57:$I$59,4,FALSE)+VLOOKUP(VLOOKUP(W$1,main!$A$3:$I$56,7,FALSE),main!$K$10:$Q$14,3,FALSE),1,0)</f>
        <v>0</v>
      </c>
      <c r="X11">
        <f>IF(VLOOKUP(X$1,main!$A$3:$I$56,5,FALSE)-VLOOKUP($A11,main!$A$3:$I$56,6,FALSE)&gt;=VLOOKUP(55,main!$A$57:$I$59,4,FALSE)+VLOOKUP(VLOOKUP(X$1,main!$A$3:$I$56,7,FALSE),main!$K$10:$Q$14,3,FALSE),1,0)</f>
        <v>1</v>
      </c>
      <c r="Y11">
        <f>IF(VLOOKUP(Y$1,main!$A$3:$I$56,5,FALSE)-VLOOKUP($A11,main!$A$3:$I$56,6,FALSE)&gt;=VLOOKUP(55,main!$A$57:$I$59,4,FALSE)+VLOOKUP(VLOOKUP(Y$1,main!$A$3:$I$56,7,FALSE),main!$K$10:$Q$14,3,FALSE),1,0)</f>
        <v>1</v>
      </c>
      <c r="Z11">
        <f>IF(VLOOKUP(Z$1,main!$A$3:$I$56,5,FALSE)-VLOOKUP($A11,main!$A$3:$I$56,6,FALSE)&gt;=VLOOKUP(55,main!$A$57:$I$59,4,FALSE)+VLOOKUP(VLOOKUP(Z$1,main!$A$3:$I$56,7,FALSE),main!$K$10:$Q$14,3,FALSE),1,0)</f>
        <v>1</v>
      </c>
      <c r="AA11">
        <f>IF(VLOOKUP(AA$1,main!$A$3:$I$56,5,FALSE)-VLOOKUP($A11,main!$A$3:$I$56,6,FALSE)&gt;=VLOOKUP(55,main!$A$57:$I$59,4,FALSE)+VLOOKUP(VLOOKUP(AA$1,main!$A$3:$I$56,7,FALSE),main!$K$10:$Q$14,3,FALSE),1,0)</f>
        <v>1</v>
      </c>
      <c r="AB11">
        <f>IF(VLOOKUP(AB$1,main!$A$3:$I$56,5,FALSE)-VLOOKUP($A11,main!$A$3:$I$56,6,FALSE)&gt;=VLOOKUP(55,main!$A$57:$I$59,4,FALSE)+VLOOKUP(VLOOKUP(AB$1,main!$A$3:$I$56,7,FALSE),main!$K$10:$Q$14,3,FALSE),1,0)</f>
        <v>1</v>
      </c>
      <c r="AC11">
        <f>IF(VLOOKUP(AC$1,main!$A$3:$I$56,5,FALSE)-VLOOKUP($A11,main!$A$3:$I$56,6,FALSE)&gt;=VLOOKUP(55,main!$A$57:$I$59,4,FALSE)+VLOOKUP(VLOOKUP(AC$1,main!$A$3:$I$56,7,FALSE),main!$K$10:$Q$14,3,FALSE),1,0)</f>
        <v>0</v>
      </c>
      <c r="AD11">
        <f>IF(VLOOKUP(AD$1,main!$A$3:$I$56,5,FALSE)-VLOOKUP($A11,main!$A$3:$I$56,6,FALSE)&gt;=VLOOKUP(55,main!$A$57:$I$59,4,FALSE)+VLOOKUP(VLOOKUP(AD$1,main!$A$3:$I$56,7,FALSE),main!$K$10:$Q$14,3,FALSE),1,0)</f>
        <v>0</v>
      </c>
      <c r="AE11">
        <f>IF(VLOOKUP(AE$1,main!$A$3:$I$56,5,FALSE)-VLOOKUP($A11,main!$A$3:$I$56,6,FALSE)&gt;=VLOOKUP(55,main!$A$57:$I$59,4,FALSE)+VLOOKUP(VLOOKUP(AE$1,main!$A$3:$I$56,7,FALSE),main!$K$10:$Q$14,3,FALSE),1,0)</f>
        <v>1</v>
      </c>
      <c r="AF11">
        <f>IF(VLOOKUP(AF$1,main!$A$3:$I$56,5,FALSE)-VLOOKUP($A11,main!$A$3:$I$56,6,FALSE)&gt;=VLOOKUP(55,main!$A$57:$I$59,4,FALSE)+VLOOKUP(VLOOKUP(AF$1,main!$A$3:$I$56,7,FALSE),main!$K$10:$Q$14,3,FALSE),1,0)</f>
        <v>1</v>
      </c>
      <c r="AG11">
        <f>IF(VLOOKUP(AG$1,main!$A$3:$I$56,5,FALSE)-VLOOKUP($A11,main!$A$3:$I$56,6,FALSE)&gt;=VLOOKUP(55,main!$A$57:$I$59,4,FALSE)+VLOOKUP(VLOOKUP(AG$1,main!$A$3:$I$56,7,FALSE),main!$K$10:$Q$14,3,FALSE),1,0)</f>
        <v>0</v>
      </c>
      <c r="AH11">
        <f>IF(VLOOKUP(AH$1,main!$A$3:$I$56,5,FALSE)-VLOOKUP($A11,main!$A$3:$I$56,6,FALSE)&gt;=VLOOKUP(55,main!$A$57:$I$59,4,FALSE)+VLOOKUP(VLOOKUP(AH$1,main!$A$3:$I$56,7,FALSE),main!$K$10:$Q$14,3,FALSE),1,0)</f>
        <v>0</v>
      </c>
      <c r="AI11">
        <f>IF(VLOOKUP(AI$1,main!$A$3:$I$56,5,FALSE)-VLOOKUP($A11,main!$A$3:$I$56,6,FALSE)&gt;=VLOOKUP(55,main!$A$57:$I$59,4,FALSE)+VLOOKUP(VLOOKUP(AI$1,main!$A$3:$I$56,7,FALSE),main!$K$10:$Q$14,3,FALSE),1,0)</f>
        <v>1</v>
      </c>
      <c r="AJ11">
        <f>IF(VLOOKUP(AJ$1,main!$A$3:$I$56,5,FALSE)-VLOOKUP($A11,main!$A$3:$I$56,6,FALSE)&gt;=VLOOKUP(55,main!$A$57:$I$59,4,FALSE)+VLOOKUP(VLOOKUP(AJ$1,main!$A$3:$I$56,7,FALSE),main!$K$10:$Q$14,3,FALSE),1,0)</f>
        <v>1</v>
      </c>
      <c r="AK11">
        <f>IF(VLOOKUP(AK$1,main!$A$3:$I$56,5,FALSE)-VLOOKUP($A11,main!$A$3:$I$56,6,FALSE)&gt;=VLOOKUP(55,main!$A$57:$I$59,4,FALSE)+VLOOKUP(VLOOKUP(AK$1,main!$A$3:$I$56,7,FALSE),main!$K$10:$Q$14,3,FALSE),1,0)</f>
        <v>1</v>
      </c>
      <c r="AL11">
        <f>IF(VLOOKUP(AL$1,main!$A$3:$I$56,5,FALSE)-VLOOKUP($A11,main!$A$3:$I$56,6,FALSE)&gt;=VLOOKUP(55,main!$A$57:$I$59,4,FALSE)+VLOOKUP(VLOOKUP(AL$1,main!$A$3:$I$56,7,FALSE),main!$K$10:$Q$14,3,FALSE),1,0)</f>
        <v>0</v>
      </c>
      <c r="AM11">
        <f>IF(VLOOKUP(AM$1,main!$A$3:$I$56,5,FALSE)-VLOOKUP($A11,main!$A$3:$I$56,6,FALSE)&gt;=VLOOKUP(55,main!$A$57:$I$59,4,FALSE)+VLOOKUP(VLOOKUP(AM$1,main!$A$3:$I$56,7,FALSE),main!$K$10:$Q$14,3,FALSE),1,0)</f>
        <v>0</v>
      </c>
      <c r="AN11">
        <f>IF(VLOOKUP(AN$1,main!$A$3:$I$56,5,FALSE)-VLOOKUP($A11,main!$A$3:$I$56,6,FALSE)&gt;=VLOOKUP(55,main!$A$57:$I$59,4,FALSE)+VLOOKUP(VLOOKUP(AN$1,main!$A$3:$I$56,7,FALSE),main!$K$10:$Q$14,3,FALSE),1,0)</f>
        <v>1</v>
      </c>
      <c r="AO11">
        <f>IF(VLOOKUP(AO$1,main!$A$3:$I$56,5,FALSE)-VLOOKUP($A11,main!$A$3:$I$56,6,FALSE)&gt;=VLOOKUP(55,main!$A$57:$I$59,4,FALSE)+VLOOKUP(VLOOKUP(AO$1,main!$A$3:$I$56,7,FALSE),main!$K$10:$Q$14,3,FALSE),1,0)</f>
        <v>1</v>
      </c>
      <c r="AP11">
        <f>IF(VLOOKUP(AP$1,main!$A$3:$I$56,5,FALSE)-VLOOKUP($A11,main!$A$3:$I$56,6,FALSE)&gt;=VLOOKUP(55,main!$A$57:$I$59,4,FALSE)+VLOOKUP(VLOOKUP(AP$1,main!$A$3:$I$56,7,FALSE),main!$K$10:$Q$14,3,FALSE),1,0)</f>
        <v>0</v>
      </c>
      <c r="AQ11">
        <f>IF(VLOOKUP(AQ$1,main!$A$3:$I$56,5,FALSE)-VLOOKUP($A11,main!$A$3:$I$56,6,FALSE)&gt;=VLOOKUP(55,main!$A$57:$I$59,4,FALSE)+VLOOKUP(VLOOKUP(AQ$1,main!$A$3:$I$56,7,FALSE),main!$K$10:$Q$14,3,FALSE),1,0)</f>
        <v>0</v>
      </c>
      <c r="AR11">
        <f>IF(VLOOKUP(AR$1,main!$A$3:$I$56,5,FALSE)-VLOOKUP($A11,main!$A$3:$I$56,6,FALSE)&gt;=VLOOKUP(55,main!$A$57:$I$59,4,FALSE)+VLOOKUP(VLOOKUP(AR$1,main!$A$3:$I$56,7,FALSE),main!$K$10:$Q$14,3,FALSE),1,0)</f>
        <v>0</v>
      </c>
      <c r="AS11">
        <f>IF(VLOOKUP(AS$1,main!$A$3:$I$56,5,FALSE)-VLOOKUP($A11,main!$A$3:$I$56,6,FALSE)&gt;=VLOOKUP(55,main!$A$57:$I$59,4,FALSE)+VLOOKUP(VLOOKUP(AS$1,main!$A$3:$I$56,7,FALSE),main!$K$10:$Q$14,3,FALSE),1,0)</f>
        <v>0</v>
      </c>
      <c r="AT11">
        <f>IF(VLOOKUP(AT$1,main!$A$3:$I$56,5,FALSE)-VLOOKUP($A11,main!$A$3:$I$56,6,FALSE)&gt;=VLOOKUP(55,main!$A$57:$I$59,4,FALSE)+VLOOKUP(VLOOKUP(AT$1,main!$A$3:$I$56,7,FALSE),main!$K$10:$Q$14,3,FALSE),1,0)</f>
        <v>1</v>
      </c>
      <c r="AU11">
        <f>IF(VLOOKUP(AU$1,main!$A$3:$I$56,5,FALSE)-VLOOKUP($A11,main!$A$3:$I$56,6,FALSE)&gt;=VLOOKUP(55,main!$A$57:$I$59,4,FALSE)+VLOOKUP(VLOOKUP(AU$1,main!$A$3:$I$56,7,FALSE),main!$K$10:$Q$14,3,FALSE),1,0)</f>
        <v>0</v>
      </c>
      <c r="AV11">
        <f>IF(VLOOKUP(AV$1,main!$A$3:$I$56,5,FALSE)-VLOOKUP($A11,main!$A$3:$I$56,6,FALSE)&gt;=VLOOKUP(55,main!$A$57:$I$59,4,FALSE)+VLOOKUP(VLOOKUP(AV$1,main!$A$3:$I$56,7,FALSE),main!$K$10:$Q$14,3,FALSE),1,0)</f>
        <v>0</v>
      </c>
      <c r="AW11">
        <f>IF(VLOOKUP(AW$1,main!$A$3:$I$56,5,FALSE)-VLOOKUP($A11,main!$A$3:$I$56,6,FALSE)&gt;=VLOOKUP(55,main!$A$57:$I$59,4,FALSE)+VLOOKUP(VLOOKUP(AW$1,main!$A$3:$I$56,7,FALSE),main!$K$10:$Q$14,3,FALSE),1,0)</f>
        <v>1</v>
      </c>
      <c r="AX11">
        <f>IF(VLOOKUP(AX$1,main!$A$3:$I$56,5,FALSE)-VLOOKUP($A11,main!$A$3:$I$56,6,FALSE)&gt;=VLOOKUP(55,main!$A$57:$I$59,4,FALSE)+VLOOKUP(VLOOKUP(AX$1,main!$A$3:$I$56,7,FALSE),main!$K$10:$Q$14,3,FALSE),1,0)</f>
        <v>1</v>
      </c>
      <c r="AY11">
        <f>IF(VLOOKUP(AY$1,main!$A$3:$I$56,5,FALSE)-VLOOKUP($A11,main!$A$3:$I$56,6,FALSE)&gt;=VLOOKUP(55,main!$A$57:$I$59,4,FALSE)+VLOOKUP(VLOOKUP(AY$1,main!$A$3:$I$56,7,FALSE),main!$K$10:$Q$14,3,FALSE),1,0)</f>
        <v>1</v>
      </c>
      <c r="AZ11">
        <f>IF(VLOOKUP(AZ$1,main!$A$3:$I$56,5,FALSE)-VLOOKUP($A11,main!$A$3:$I$56,6,FALSE)&gt;=VLOOKUP(55,main!$A$57:$I$59,4,FALSE)+VLOOKUP(VLOOKUP(AZ$1,main!$A$3:$I$56,7,FALSE),main!$K$10:$Q$14,3,FALSE),1,0)</f>
        <v>0</v>
      </c>
      <c r="BA11">
        <f>IF(VLOOKUP(BA$1,main!$A$3:$I$56,5,FALSE)-VLOOKUP($A11,main!$A$3:$I$56,6,FALSE)&gt;=VLOOKUP(55,main!$A$57:$I$59,4,FALSE)+VLOOKUP(VLOOKUP(BA$1,main!$A$3:$I$56,7,FALSE),main!$K$10:$Q$14,3,FALSE),1,0)</f>
        <v>0</v>
      </c>
      <c r="BB11">
        <f>IF(VLOOKUP(BB$1,main!$A$3:$I$56,5,FALSE)-VLOOKUP($A11,main!$A$3:$I$56,6,FALSE)&gt;=VLOOKUP(55,main!$A$57:$I$59,4,FALSE)+VLOOKUP(VLOOKUP(BB$1,main!$A$3:$I$56,7,FALSE),main!$K$10:$Q$14,3,FALSE),1,0)</f>
        <v>1</v>
      </c>
      <c r="BC11">
        <f>IF(VLOOKUP(BC$1,main!$A$3:$I$56,5,FALSE)-VLOOKUP($A11,main!$A$3:$I$56,6,FALSE)&gt;=VLOOKUP(55,main!$A$57:$I$59,4,FALSE)+VLOOKUP(VLOOKUP(BC$1,main!$A$3:$I$56,7,FALSE),main!$K$10:$Q$14,3,FALSE),1,0)</f>
        <v>1</v>
      </c>
      <c r="BD11">
        <f>IF(VLOOKUP(BD$1,main!$A$3:$I$56,5,FALSE)-VLOOKUP($A11,main!$A$3:$I$56,6,FALSE)&gt;=VLOOKUP(55,main!$A$57:$I$59,4,FALSE)+VLOOKUP(VLOOKUP(BD$1,main!$A$3:$I$56,7,FALSE),main!$K$10:$Q$14,3,FALSE),1,0)</f>
        <v>1</v>
      </c>
    </row>
    <row r="12" spans="1:56" x14ac:dyDescent="0.25">
      <c r="A12">
        <f t="shared" si="0"/>
        <v>10</v>
      </c>
      <c r="B12">
        <v>0</v>
      </c>
      <c r="C12">
        <f>IF(VLOOKUP(C$1,main!$A$3:$I$56,5,FALSE)-VLOOKUP($A12,main!$A$3:$I$56,6,FALSE)&gt;=VLOOKUP(55,main!$A$57:$I$59,4,FALSE)+VLOOKUP(VLOOKUP(C$1,main!$A$3:$I$56,7,FALSE),main!$K$10:$Q$14,3,FALSE),1,0)</f>
        <v>0</v>
      </c>
      <c r="D12">
        <f>IF(VLOOKUP(D$1,main!$A$3:$I$56,5,FALSE)-VLOOKUP($A12,main!$A$3:$I$56,6,FALSE)&gt;=VLOOKUP(55,main!$A$57:$I$59,4,FALSE)+VLOOKUP(VLOOKUP(D$1,main!$A$3:$I$56,7,FALSE),main!$K$10:$Q$14,3,FALSE),1,0)</f>
        <v>0</v>
      </c>
      <c r="E12">
        <f>IF(VLOOKUP(E$1,main!$A$3:$I$56,5,FALSE)-VLOOKUP($A12,main!$A$3:$I$56,6,FALSE)&gt;=VLOOKUP(55,main!$A$57:$I$59,4,FALSE)+VLOOKUP(VLOOKUP(E$1,main!$A$3:$I$56,7,FALSE),main!$K$10:$Q$14,3,FALSE),1,0)</f>
        <v>0</v>
      </c>
      <c r="F12">
        <f>IF(VLOOKUP(F$1,main!$A$3:$I$56,5,FALSE)-VLOOKUP($A12,main!$A$3:$I$56,6,FALSE)&gt;=VLOOKUP(55,main!$A$57:$I$59,4,FALSE)+VLOOKUP(VLOOKUP(F$1,main!$A$3:$I$56,7,FALSE),main!$K$10:$Q$14,3,FALSE),1,0)</f>
        <v>1</v>
      </c>
      <c r="G12">
        <f>IF(VLOOKUP(G$1,main!$A$3:$I$56,5,FALSE)-VLOOKUP($A12,main!$A$3:$I$56,6,FALSE)&gt;=VLOOKUP(55,main!$A$57:$I$59,4,FALSE)+VLOOKUP(VLOOKUP(G$1,main!$A$3:$I$56,7,FALSE),main!$K$10:$Q$14,3,FALSE),1,0)</f>
        <v>1</v>
      </c>
      <c r="H12">
        <f>IF(VLOOKUP(H$1,main!$A$3:$I$56,5,FALSE)-VLOOKUP($A12,main!$A$3:$I$56,6,FALSE)&gt;=VLOOKUP(55,main!$A$57:$I$59,4,FALSE)+VLOOKUP(VLOOKUP(H$1,main!$A$3:$I$56,7,FALSE),main!$K$10:$Q$14,3,FALSE),1,0)</f>
        <v>1</v>
      </c>
      <c r="I12">
        <f>IF(VLOOKUP(I$1,main!$A$3:$I$56,5,FALSE)-VLOOKUP($A12,main!$A$3:$I$56,6,FALSE)&gt;=VLOOKUP(55,main!$A$57:$I$59,4,FALSE)+VLOOKUP(VLOOKUP(I$1,main!$A$3:$I$56,7,FALSE),main!$K$10:$Q$14,3,FALSE),1,0)</f>
        <v>1</v>
      </c>
      <c r="J12">
        <f>IF(VLOOKUP(J$1,main!$A$3:$I$56,5,FALSE)-VLOOKUP($A12,main!$A$3:$I$56,6,FALSE)&gt;=VLOOKUP(55,main!$A$57:$I$59,4,FALSE)+VLOOKUP(VLOOKUP(J$1,main!$A$3:$I$56,7,FALSE),main!$K$10:$Q$14,3,FALSE),1,0)</f>
        <v>1</v>
      </c>
      <c r="K12">
        <f>IF(VLOOKUP(K$1,main!$A$3:$I$56,5,FALSE)-VLOOKUP($A12,main!$A$3:$I$56,6,FALSE)&gt;=VLOOKUP(55,main!$A$57:$I$59,4,FALSE)+VLOOKUP(VLOOKUP(K$1,main!$A$3:$I$56,7,FALSE),main!$K$10:$Q$14,3,FALSE),1,0)</f>
        <v>0</v>
      </c>
      <c r="L12">
        <f>IF(VLOOKUP(L$1,main!$A$3:$I$56,5,FALSE)-VLOOKUP($A12,main!$A$3:$I$56,6,FALSE)&gt;=VLOOKUP(55,main!$A$57:$I$59,4,FALSE)+VLOOKUP(VLOOKUP(L$1,main!$A$3:$I$56,7,FALSE),main!$K$10:$Q$14,3,FALSE),1,0)</f>
        <v>0</v>
      </c>
      <c r="M12">
        <f>IF(VLOOKUP(M$1,main!$A$3:$I$56,5,FALSE)-VLOOKUP($A12,main!$A$3:$I$56,6,FALSE)&gt;=VLOOKUP(55,main!$A$57:$I$59,4,FALSE)+VLOOKUP(VLOOKUP(M$1,main!$A$3:$I$56,7,FALSE),main!$K$10:$Q$14,3,FALSE),1,0)</f>
        <v>0</v>
      </c>
      <c r="N12">
        <f>IF(VLOOKUP(N$1,main!$A$3:$I$56,5,FALSE)-VLOOKUP($A12,main!$A$3:$I$56,6,FALSE)&gt;=VLOOKUP(55,main!$A$57:$I$59,4,FALSE)+VLOOKUP(VLOOKUP(N$1,main!$A$3:$I$56,7,FALSE),main!$K$10:$Q$14,3,FALSE),1,0)</f>
        <v>1</v>
      </c>
      <c r="O12">
        <f>IF(VLOOKUP(O$1,main!$A$3:$I$56,5,FALSE)-VLOOKUP($A12,main!$A$3:$I$56,6,FALSE)&gt;=VLOOKUP(55,main!$A$57:$I$59,4,FALSE)+VLOOKUP(VLOOKUP(O$1,main!$A$3:$I$56,7,FALSE),main!$K$10:$Q$14,3,FALSE),1,0)</f>
        <v>1</v>
      </c>
      <c r="P12">
        <f>IF(VLOOKUP(P$1,main!$A$3:$I$56,5,FALSE)-VLOOKUP($A12,main!$A$3:$I$56,6,FALSE)&gt;=VLOOKUP(55,main!$A$57:$I$59,4,FALSE)+VLOOKUP(VLOOKUP(P$1,main!$A$3:$I$56,7,FALSE),main!$K$10:$Q$14,3,FALSE),1,0)</f>
        <v>0</v>
      </c>
      <c r="Q12">
        <f>IF(VLOOKUP(Q$1,main!$A$3:$I$56,5,FALSE)-VLOOKUP($A12,main!$A$3:$I$56,6,FALSE)&gt;=VLOOKUP(55,main!$A$57:$I$59,4,FALSE)+VLOOKUP(VLOOKUP(Q$1,main!$A$3:$I$56,7,FALSE),main!$K$10:$Q$14,3,FALSE),1,0)</f>
        <v>0</v>
      </c>
      <c r="R12">
        <f>IF(VLOOKUP(R$1,main!$A$3:$I$56,5,FALSE)-VLOOKUP($A12,main!$A$3:$I$56,6,FALSE)&gt;=VLOOKUP(55,main!$A$57:$I$59,4,FALSE)+VLOOKUP(VLOOKUP(R$1,main!$A$3:$I$56,7,FALSE),main!$K$10:$Q$14,3,FALSE),1,0)</f>
        <v>0</v>
      </c>
      <c r="S12">
        <f>IF(VLOOKUP(S$1,main!$A$3:$I$56,5,FALSE)-VLOOKUP($A12,main!$A$3:$I$56,6,FALSE)&gt;=VLOOKUP(55,main!$A$57:$I$59,4,FALSE)+VLOOKUP(VLOOKUP(S$1,main!$A$3:$I$56,7,FALSE),main!$K$10:$Q$14,3,FALSE),1,0)</f>
        <v>1</v>
      </c>
      <c r="T12">
        <f>IF(VLOOKUP(T$1,main!$A$3:$I$56,5,FALSE)-VLOOKUP($A12,main!$A$3:$I$56,6,FALSE)&gt;=VLOOKUP(55,main!$A$57:$I$59,4,FALSE)+VLOOKUP(VLOOKUP(T$1,main!$A$3:$I$56,7,FALSE),main!$K$10:$Q$14,3,FALSE),1,0)</f>
        <v>1</v>
      </c>
      <c r="U12">
        <f>IF(VLOOKUP(U$1,main!$A$3:$I$56,5,FALSE)-VLOOKUP($A12,main!$A$3:$I$56,6,FALSE)&gt;=VLOOKUP(55,main!$A$57:$I$59,4,FALSE)+VLOOKUP(VLOOKUP(U$1,main!$A$3:$I$56,7,FALSE),main!$K$10:$Q$14,3,FALSE),1,0)</f>
        <v>0</v>
      </c>
      <c r="V12">
        <f>IF(VLOOKUP(V$1,main!$A$3:$I$56,5,FALSE)-VLOOKUP($A12,main!$A$3:$I$56,6,FALSE)&gt;=VLOOKUP(55,main!$A$57:$I$59,4,FALSE)+VLOOKUP(VLOOKUP(V$1,main!$A$3:$I$56,7,FALSE),main!$K$10:$Q$14,3,FALSE),1,0)</f>
        <v>0</v>
      </c>
      <c r="W12">
        <f>IF(VLOOKUP(W$1,main!$A$3:$I$56,5,FALSE)-VLOOKUP($A12,main!$A$3:$I$56,6,FALSE)&gt;=VLOOKUP(55,main!$A$57:$I$59,4,FALSE)+VLOOKUP(VLOOKUP(W$1,main!$A$3:$I$56,7,FALSE),main!$K$10:$Q$14,3,FALSE),1,0)</f>
        <v>0</v>
      </c>
      <c r="X12">
        <f>IF(VLOOKUP(X$1,main!$A$3:$I$56,5,FALSE)-VLOOKUP($A12,main!$A$3:$I$56,6,FALSE)&gt;=VLOOKUP(55,main!$A$57:$I$59,4,FALSE)+VLOOKUP(VLOOKUP(X$1,main!$A$3:$I$56,7,FALSE),main!$K$10:$Q$14,3,FALSE),1,0)</f>
        <v>0</v>
      </c>
      <c r="Y12">
        <f>IF(VLOOKUP(Y$1,main!$A$3:$I$56,5,FALSE)-VLOOKUP($A12,main!$A$3:$I$56,6,FALSE)&gt;=VLOOKUP(55,main!$A$57:$I$59,4,FALSE)+VLOOKUP(VLOOKUP(Y$1,main!$A$3:$I$56,7,FALSE),main!$K$10:$Q$14,3,FALSE),1,0)</f>
        <v>1</v>
      </c>
      <c r="Z12">
        <f>IF(VLOOKUP(Z$1,main!$A$3:$I$56,5,FALSE)-VLOOKUP($A12,main!$A$3:$I$56,6,FALSE)&gt;=VLOOKUP(55,main!$A$57:$I$59,4,FALSE)+VLOOKUP(VLOOKUP(Z$1,main!$A$3:$I$56,7,FALSE),main!$K$10:$Q$14,3,FALSE),1,0)</f>
        <v>1</v>
      </c>
      <c r="AA12">
        <f>IF(VLOOKUP(AA$1,main!$A$3:$I$56,5,FALSE)-VLOOKUP($A12,main!$A$3:$I$56,6,FALSE)&gt;=VLOOKUP(55,main!$A$57:$I$59,4,FALSE)+VLOOKUP(VLOOKUP(AA$1,main!$A$3:$I$56,7,FALSE),main!$K$10:$Q$14,3,FALSE),1,0)</f>
        <v>1</v>
      </c>
      <c r="AB12">
        <f>IF(VLOOKUP(AB$1,main!$A$3:$I$56,5,FALSE)-VLOOKUP($A12,main!$A$3:$I$56,6,FALSE)&gt;=VLOOKUP(55,main!$A$57:$I$59,4,FALSE)+VLOOKUP(VLOOKUP(AB$1,main!$A$3:$I$56,7,FALSE),main!$K$10:$Q$14,3,FALSE),1,0)</f>
        <v>1</v>
      </c>
      <c r="AC12">
        <f>IF(VLOOKUP(AC$1,main!$A$3:$I$56,5,FALSE)-VLOOKUP($A12,main!$A$3:$I$56,6,FALSE)&gt;=VLOOKUP(55,main!$A$57:$I$59,4,FALSE)+VLOOKUP(VLOOKUP(AC$1,main!$A$3:$I$56,7,FALSE),main!$K$10:$Q$14,3,FALSE),1,0)</f>
        <v>0</v>
      </c>
      <c r="AD12">
        <f>IF(VLOOKUP(AD$1,main!$A$3:$I$56,5,FALSE)-VLOOKUP($A12,main!$A$3:$I$56,6,FALSE)&gt;=VLOOKUP(55,main!$A$57:$I$59,4,FALSE)+VLOOKUP(VLOOKUP(AD$1,main!$A$3:$I$56,7,FALSE),main!$K$10:$Q$14,3,FALSE),1,0)</f>
        <v>0</v>
      </c>
      <c r="AE12">
        <f>IF(VLOOKUP(AE$1,main!$A$3:$I$56,5,FALSE)-VLOOKUP($A12,main!$A$3:$I$56,6,FALSE)&gt;=VLOOKUP(55,main!$A$57:$I$59,4,FALSE)+VLOOKUP(VLOOKUP(AE$1,main!$A$3:$I$56,7,FALSE),main!$K$10:$Q$14,3,FALSE),1,0)</f>
        <v>0</v>
      </c>
      <c r="AF12">
        <f>IF(VLOOKUP(AF$1,main!$A$3:$I$56,5,FALSE)-VLOOKUP($A12,main!$A$3:$I$56,6,FALSE)&gt;=VLOOKUP(55,main!$A$57:$I$59,4,FALSE)+VLOOKUP(VLOOKUP(AF$1,main!$A$3:$I$56,7,FALSE),main!$K$10:$Q$14,3,FALSE),1,0)</f>
        <v>1</v>
      </c>
      <c r="AG12">
        <f>IF(VLOOKUP(AG$1,main!$A$3:$I$56,5,FALSE)-VLOOKUP($A12,main!$A$3:$I$56,6,FALSE)&gt;=VLOOKUP(55,main!$A$57:$I$59,4,FALSE)+VLOOKUP(VLOOKUP(AG$1,main!$A$3:$I$56,7,FALSE),main!$K$10:$Q$14,3,FALSE),1,0)</f>
        <v>0</v>
      </c>
      <c r="AH12">
        <f>IF(VLOOKUP(AH$1,main!$A$3:$I$56,5,FALSE)-VLOOKUP($A12,main!$A$3:$I$56,6,FALSE)&gt;=VLOOKUP(55,main!$A$57:$I$59,4,FALSE)+VLOOKUP(VLOOKUP(AH$1,main!$A$3:$I$56,7,FALSE),main!$K$10:$Q$14,3,FALSE),1,0)</f>
        <v>0</v>
      </c>
      <c r="AI12">
        <f>IF(VLOOKUP(AI$1,main!$A$3:$I$56,5,FALSE)-VLOOKUP($A12,main!$A$3:$I$56,6,FALSE)&gt;=VLOOKUP(55,main!$A$57:$I$59,4,FALSE)+VLOOKUP(VLOOKUP(AI$1,main!$A$3:$I$56,7,FALSE),main!$K$10:$Q$14,3,FALSE),1,0)</f>
        <v>0</v>
      </c>
      <c r="AJ12">
        <f>IF(VLOOKUP(AJ$1,main!$A$3:$I$56,5,FALSE)-VLOOKUP($A12,main!$A$3:$I$56,6,FALSE)&gt;=VLOOKUP(55,main!$A$57:$I$59,4,FALSE)+VLOOKUP(VLOOKUP(AJ$1,main!$A$3:$I$56,7,FALSE),main!$K$10:$Q$14,3,FALSE),1,0)</f>
        <v>1</v>
      </c>
      <c r="AK12">
        <f>IF(VLOOKUP(AK$1,main!$A$3:$I$56,5,FALSE)-VLOOKUP($A12,main!$A$3:$I$56,6,FALSE)&gt;=VLOOKUP(55,main!$A$57:$I$59,4,FALSE)+VLOOKUP(VLOOKUP(AK$1,main!$A$3:$I$56,7,FALSE),main!$K$10:$Q$14,3,FALSE),1,0)</f>
        <v>1</v>
      </c>
      <c r="AL12">
        <f>IF(VLOOKUP(AL$1,main!$A$3:$I$56,5,FALSE)-VLOOKUP($A12,main!$A$3:$I$56,6,FALSE)&gt;=VLOOKUP(55,main!$A$57:$I$59,4,FALSE)+VLOOKUP(VLOOKUP(AL$1,main!$A$3:$I$56,7,FALSE),main!$K$10:$Q$14,3,FALSE),1,0)</f>
        <v>0</v>
      </c>
      <c r="AM12">
        <f>IF(VLOOKUP(AM$1,main!$A$3:$I$56,5,FALSE)-VLOOKUP($A12,main!$A$3:$I$56,6,FALSE)&gt;=VLOOKUP(55,main!$A$57:$I$59,4,FALSE)+VLOOKUP(VLOOKUP(AM$1,main!$A$3:$I$56,7,FALSE),main!$K$10:$Q$14,3,FALSE),1,0)</f>
        <v>0</v>
      </c>
      <c r="AN12">
        <f>IF(VLOOKUP(AN$1,main!$A$3:$I$56,5,FALSE)-VLOOKUP($A12,main!$A$3:$I$56,6,FALSE)&gt;=VLOOKUP(55,main!$A$57:$I$59,4,FALSE)+VLOOKUP(VLOOKUP(AN$1,main!$A$3:$I$56,7,FALSE),main!$K$10:$Q$14,3,FALSE),1,0)</f>
        <v>1</v>
      </c>
      <c r="AO12">
        <f>IF(VLOOKUP(AO$1,main!$A$3:$I$56,5,FALSE)-VLOOKUP($A12,main!$A$3:$I$56,6,FALSE)&gt;=VLOOKUP(55,main!$A$57:$I$59,4,FALSE)+VLOOKUP(VLOOKUP(AO$1,main!$A$3:$I$56,7,FALSE),main!$K$10:$Q$14,3,FALSE),1,0)</f>
        <v>1</v>
      </c>
      <c r="AP12">
        <f>IF(VLOOKUP(AP$1,main!$A$3:$I$56,5,FALSE)-VLOOKUP($A12,main!$A$3:$I$56,6,FALSE)&gt;=VLOOKUP(55,main!$A$57:$I$59,4,FALSE)+VLOOKUP(VLOOKUP(AP$1,main!$A$3:$I$56,7,FALSE),main!$K$10:$Q$14,3,FALSE),1,0)</f>
        <v>0</v>
      </c>
      <c r="AQ12">
        <f>IF(VLOOKUP(AQ$1,main!$A$3:$I$56,5,FALSE)-VLOOKUP($A12,main!$A$3:$I$56,6,FALSE)&gt;=VLOOKUP(55,main!$A$57:$I$59,4,FALSE)+VLOOKUP(VLOOKUP(AQ$1,main!$A$3:$I$56,7,FALSE),main!$K$10:$Q$14,3,FALSE),1,0)</f>
        <v>0</v>
      </c>
      <c r="AR12">
        <f>IF(VLOOKUP(AR$1,main!$A$3:$I$56,5,FALSE)-VLOOKUP($A12,main!$A$3:$I$56,6,FALSE)&gt;=VLOOKUP(55,main!$A$57:$I$59,4,FALSE)+VLOOKUP(VLOOKUP(AR$1,main!$A$3:$I$56,7,FALSE),main!$K$10:$Q$14,3,FALSE),1,0)</f>
        <v>0</v>
      </c>
      <c r="AS12">
        <f>IF(VLOOKUP(AS$1,main!$A$3:$I$56,5,FALSE)-VLOOKUP($A12,main!$A$3:$I$56,6,FALSE)&gt;=VLOOKUP(55,main!$A$57:$I$59,4,FALSE)+VLOOKUP(VLOOKUP(AS$1,main!$A$3:$I$56,7,FALSE),main!$K$10:$Q$14,3,FALSE),1,0)</f>
        <v>0</v>
      </c>
      <c r="AT12">
        <f>IF(VLOOKUP(AT$1,main!$A$3:$I$56,5,FALSE)-VLOOKUP($A12,main!$A$3:$I$56,6,FALSE)&gt;=VLOOKUP(55,main!$A$57:$I$59,4,FALSE)+VLOOKUP(VLOOKUP(AT$1,main!$A$3:$I$56,7,FALSE),main!$K$10:$Q$14,3,FALSE),1,0)</f>
        <v>0</v>
      </c>
      <c r="AU12">
        <f>IF(VLOOKUP(AU$1,main!$A$3:$I$56,5,FALSE)-VLOOKUP($A12,main!$A$3:$I$56,6,FALSE)&gt;=VLOOKUP(55,main!$A$57:$I$59,4,FALSE)+VLOOKUP(VLOOKUP(AU$1,main!$A$3:$I$56,7,FALSE),main!$K$10:$Q$14,3,FALSE),1,0)</f>
        <v>0</v>
      </c>
      <c r="AV12">
        <f>IF(VLOOKUP(AV$1,main!$A$3:$I$56,5,FALSE)-VLOOKUP($A12,main!$A$3:$I$56,6,FALSE)&gt;=VLOOKUP(55,main!$A$57:$I$59,4,FALSE)+VLOOKUP(VLOOKUP(AV$1,main!$A$3:$I$56,7,FALSE),main!$K$10:$Q$14,3,FALSE),1,0)</f>
        <v>0</v>
      </c>
      <c r="AW12">
        <f>IF(VLOOKUP(AW$1,main!$A$3:$I$56,5,FALSE)-VLOOKUP($A12,main!$A$3:$I$56,6,FALSE)&gt;=VLOOKUP(55,main!$A$57:$I$59,4,FALSE)+VLOOKUP(VLOOKUP(AW$1,main!$A$3:$I$56,7,FALSE),main!$K$10:$Q$14,3,FALSE),1,0)</f>
        <v>0</v>
      </c>
      <c r="AX12">
        <f>IF(VLOOKUP(AX$1,main!$A$3:$I$56,5,FALSE)-VLOOKUP($A12,main!$A$3:$I$56,6,FALSE)&gt;=VLOOKUP(55,main!$A$57:$I$59,4,FALSE)+VLOOKUP(VLOOKUP(AX$1,main!$A$3:$I$56,7,FALSE),main!$K$10:$Q$14,3,FALSE),1,0)</f>
        <v>1</v>
      </c>
      <c r="AY12">
        <f>IF(VLOOKUP(AY$1,main!$A$3:$I$56,5,FALSE)-VLOOKUP($A12,main!$A$3:$I$56,6,FALSE)&gt;=VLOOKUP(55,main!$A$57:$I$59,4,FALSE)+VLOOKUP(VLOOKUP(AY$1,main!$A$3:$I$56,7,FALSE),main!$K$10:$Q$14,3,FALSE),1,0)</f>
        <v>1</v>
      </c>
      <c r="AZ12">
        <f>IF(VLOOKUP(AZ$1,main!$A$3:$I$56,5,FALSE)-VLOOKUP($A12,main!$A$3:$I$56,6,FALSE)&gt;=VLOOKUP(55,main!$A$57:$I$59,4,FALSE)+VLOOKUP(VLOOKUP(AZ$1,main!$A$3:$I$56,7,FALSE),main!$K$10:$Q$14,3,FALSE),1,0)</f>
        <v>0</v>
      </c>
      <c r="BA12">
        <f>IF(VLOOKUP(BA$1,main!$A$3:$I$56,5,FALSE)-VLOOKUP($A12,main!$A$3:$I$56,6,FALSE)&gt;=VLOOKUP(55,main!$A$57:$I$59,4,FALSE)+VLOOKUP(VLOOKUP(BA$1,main!$A$3:$I$56,7,FALSE),main!$K$10:$Q$14,3,FALSE),1,0)</f>
        <v>0</v>
      </c>
      <c r="BB12">
        <f>IF(VLOOKUP(BB$1,main!$A$3:$I$56,5,FALSE)-VLOOKUP($A12,main!$A$3:$I$56,6,FALSE)&gt;=VLOOKUP(55,main!$A$57:$I$59,4,FALSE)+VLOOKUP(VLOOKUP(BB$1,main!$A$3:$I$56,7,FALSE),main!$K$10:$Q$14,3,FALSE),1,0)</f>
        <v>0</v>
      </c>
      <c r="BC12">
        <f>IF(VLOOKUP(BC$1,main!$A$3:$I$56,5,FALSE)-VLOOKUP($A12,main!$A$3:$I$56,6,FALSE)&gt;=VLOOKUP(55,main!$A$57:$I$59,4,FALSE)+VLOOKUP(VLOOKUP(BC$1,main!$A$3:$I$56,7,FALSE),main!$K$10:$Q$14,3,FALSE),1,0)</f>
        <v>1</v>
      </c>
      <c r="BD12">
        <f>IF(VLOOKUP(BD$1,main!$A$3:$I$56,5,FALSE)-VLOOKUP($A12,main!$A$3:$I$56,6,FALSE)&gt;=VLOOKUP(55,main!$A$57:$I$59,4,FALSE)+VLOOKUP(VLOOKUP(BD$1,main!$A$3:$I$56,7,FALSE),main!$K$10:$Q$14,3,FALSE),1,0)</f>
        <v>1</v>
      </c>
    </row>
    <row r="13" spans="1:56" x14ac:dyDescent="0.25">
      <c r="A13">
        <f t="shared" si="0"/>
        <v>11</v>
      </c>
      <c r="B13">
        <v>0</v>
      </c>
      <c r="C13">
        <f>IF(VLOOKUP(C$1,main!$A$3:$I$56,5,FALSE)-VLOOKUP($A13,main!$A$3:$I$56,6,FALSE)&gt;=VLOOKUP(55,main!$A$57:$I$59,4,FALSE)+VLOOKUP(VLOOKUP(C$1,main!$A$3:$I$56,7,FALSE),main!$K$10:$Q$14,3,FALSE),1,0)</f>
        <v>0</v>
      </c>
      <c r="D13">
        <f>IF(VLOOKUP(D$1,main!$A$3:$I$56,5,FALSE)-VLOOKUP($A13,main!$A$3:$I$56,6,FALSE)&gt;=VLOOKUP(55,main!$A$57:$I$59,4,FALSE)+VLOOKUP(VLOOKUP(D$1,main!$A$3:$I$56,7,FALSE),main!$K$10:$Q$14,3,FALSE),1,0)</f>
        <v>0</v>
      </c>
      <c r="E13">
        <f>IF(VLOOKUP(E$1,main!$A$3:$I$56,5,FALSE)-VLOOKUP($A13,main!$A$3:$I$56,6,FALSE)&gt;=VLOOKUP(55,main!$A$57:$I$59,4,FALSE)+VLOOKUP(VLOOKUP(E$1,main!$A$3:$I$56,7,FALSE),main!$K$10:$Q$14,3,FALSE),1,0)</f>
        <v>0</v>
      </c>
      <c r="F13">
        <f>IF(VLOOKUP(F$1,main!$A$3:$I$56,5,FALSE)-VLOOKUP($A13,main!$A$3:$I$56,6,FALSE)&gt;=VLOOKUP(55,main!$A$57:$I$59,4,FALSE)+VLOOKUP(VLOOKUP(F$1,main!$A$3:$I$56,7,FALSE),main!$K$10:$Q$14,3,FALSE),1,0)</f>
        <v>0</v>
      </c>
      <c r="G13">
        <f>IF(VLOOKUP(G$1,main!$A$3:$I$56,5,FALSE)-VLOOKUP($A13,main!$A$3:$I$56,6,FALSE)&gt;=VLOOKUP(55,main!$A$57:$I$59,4,FALSE)+VLOOKUP(VLOOKUP(G$1,main!$A$3:$I$56,7,FALSE),main!$K$10:$Q$14,3,FALSE),1,0)</f>
        <v>0</v>
      </c>
      <c r="H13">
        <f>IF(VLOOKUP(H$1,main!$A$3:$I$56,5,FALSE)-VLOOKUP($A13,main!$A$3:$I$56,6,FALSE)&gt;=VLOOKUP(55,main!$A$57:$I$59,4,FALSE)+VLOOKUP(VLOOKUP(H$1,main!$A$3:$I$56,7,FALSE),main!$K$10:$Q$14,3,FALSE),1,0)</f>
        <v>1</v>
      </c>
      <c r="I13">
        <f>IF(VLOOKUP(I$1,main!$A$3:$I$56,5,FALSE)-VLOOKUP($A13,main!$A$3:$I$56,6,FALSE)&gt;=VLOOKUP(55,main!$A$57:$I$59,4,FALSE)+VLOOKUP(VLOOKUP(I$1,main!$A$3:$I$56,7,FALSE),main!$K$10:$Q$14,3,FALSE),1,0)</f>
        <v>1</v>
      </c>
      <c r="J13">
        <f>IF(VLOOKUP(J$1,main!$A$3:$I$56,5,FALSE)-VLOOKUP($A13,main!$A$3:$I$56,6,FALSE)&gt;=VLOOKUP(55,main!$A$57:$I$59,4,FALSE)+VLOOKUP(VLOOKUP(J$1,main!$A$3:$I$56,7,FALSE),main!$K$10:$Q$14,3,FALSE),1,0)</f>
        <v>1</v>
      </c>
      <c r="K13">
        <f>IF(VLOOKUP(K$1,main!$A$3:$I$56,5,FALSE)-VLOOKUP($A13,main!$A$3:$I$56,6,FALSE)&gt;=VLOOKUP(55,main!$A$57:$I$59,4,FALSE)+VLOOKUP(VLOOKUP(K$1,main!$A$3:$I$56,7,FALSE),main!$K$10:$Q$14,3,FALSE),1,0)</f>
        <v>0</v>
      </c>
      <c r="L13">
        <f>IF(VLOOKUP(L$1,main!$A$3:$I$56,5,FALSE)-VLOOKUP($A13,main!$A$3:$I$56,6,FALSE)&gt;=VLOOKUP(55,main!$A$57:$I$59,4,FALSE)+VLOOKUP(VLOOKUP(L$1,main!$A$3:$I$56,7,FALSE),main!$K$10:$Q$14,3,FALSE),1,0)</f>
        <v>0</v>
      </c>
      <c r="M13">
        <f>IF(VLOOKUP(M$1,main!$A$3:$I$56,5,FALSE)-VLOOKUP($A13,main!$A$3:$I$56,6,FALSE)&gt;=VLOOKUP(55,main!$A$57:$I$59,4,FALSE)+VLOOKUP(VLOOKUP(M$1,main!$A$3:$I$56,7,FALSE),main!$K$10:$Q$14,3,FALSE),1,0)</f>
        <v>0</v>
      </c>
      <c r="N13">
        <f>IF(VLOOKUP(N$1,main!$A$3:$I$56,5,FALSE)-VLOOKUP($A13,main!$A$3:$I$56,6,FALSE)&gt;=VLOOKUP(55,main!$A$57:$I$59,4,FALSE)+VLOOKUP(VLOOKUP(N$1,main!$A$3:$I$56,7,FALSE),main!$K$10:$Q$14,3,FALSE),1,0)</f>
        <v>1</v>
      </c>
      <c r="O13">
        <f>IF(VLOOKUP(O$1,main!$A$3:$I$56,5,FALSE)-VLOOKUP($A13,main!$A$3:$I$56,6,FALSE)&gt;=VLOOKUP(55,main!$A$57:$I$59,4,FALSE)+VLOOKUP(VLOOKUP(O$1,main!$A$3:$I$56,7,FALSE),main!$K$10:$Q$14,3,FALSE),1,0)</f>
        <v>1</v>
      </c>
      <c r="P13">
        <f>IF(VLOOKUP(P$1,main!$A$3:$I$56,5,FALSE)-VLOOKUP($A13,main!$A$3:$I$56,6,FALSE)&gt;=VLOOKUP(55,main!$A$57:$I$59,4,FALSE)+VLOOKUP(VLOOKUP(P$1,main!$A$3:$I$56,7,FALSE),main!$K$10:$Q$14,3,FALSE),1,0)</f>
        <v>0</v>
      </c>
      <c r="Q13">
        <f>IF(VLOOKUP(Q$1,main!$A$3:$I$56,5,FALSE)-VLOOKUP($A13,main!$A$3:$I$56,6,FALSE)&gt;=VLOOKUP(55,main!$A$57:$I$59,4,FALSE)+VLOOKUP(VLOOKUP(Q$1,main!$A$3:$I$56,7,FALSE),main!$K$10:$Q$14,3,FALSE),1,0)</f>
        <v>0</v>
      </c>
      <c r="R13">
        <f>IF(VLOOKUP(R$1,main!$A$3:$I$56,5,FALSE)-VLOOKUP($A13,main!$A$3:$I$56,6,FALSE)&gt;=VLOOKUP(55,main!$A$57:$I$59,4,FALSE)+VLOOKUP(VLOOKUP(R$1,main!$A$3:$I$56,7,FALSE),main!$K$10:$Q$14,3,FALSE),1,0)</f>
        <v>0</v>
      </c>
      <c r="S13">
        <f>IF(VLOOKUP(S$1,main!$A$3:$I$56,5,FALSE)-VLOOKUP($A13,main!$A$3:$I$56,6,FALSE)&gt;=VLOOKUP(55,main!$A$57:$I$59,4,FALSE)+VLOOKUP(VLOOKUP(S$1,main!$A$3:$I$56,7,FALSE),main!$K$10:$Q$14,3,FALSE),1,0)</f>
        <v>0</v>
      </c>
      <c r="T13">
        <f>IF(VLOOKUP(T$1,main!$A$3:$I$56,5,FALSE)-VLOOKUP($A13,main!$A$3:$I$56,6,FALSE)&gt;=VLOOKUP(55,main!$A$57:$I$59,4,FALSE)+VLOOKUP(VLOOKUP(T$1,main!$A$3:$I$56,7,FALSE),main!$K$10:$Q$14,3,FALSE),1,0)</f>
        <v>1</v>
      </c>
      <c r="U13">
        <f>IF(VLOOKUP(U$1,main!$A$3:$I$56,5,FALSE)-VLOOKUP($A13,main!$A$3:$I$56,6,FALSE)&gt;=VLOOKUP(55,main!$A$57:$I$59,4,FALSE)+VLOOKUP(VLOOKUP(U$1,main!$A$3:$I$56,7,FALSE),main!$K$10:$Q$14,3,FALSE),1,0)</f>
        <v>0</v>
      </c>
      <c r="V13">
        <f>IF(VLOOKUP(V$1,main!$A$3:$I$56,5,FALSE)-VLOOKUP($A13,main!$A$3:$I$56,6,FALSE)&gt;=VLOOKUP(55,main!$A$57:$I$59,4,FALSE)+VLOOKUP(VLOOKUP(V$1,main!$A$3:$I$56,7,FALSE),main!$K$10:$Q$14,3,FALSE),1,0)</f>
        <v>0</v>
      </c>
      <c r="W13">
        <f>IF(VLOOKUP(W$1,main!$A$3:$I$56,5,FALSE)-VLOOKUP($A13,main!$A$3:$I$56,6,FALSE)&gt;=VLOOKUP(55,main!$A$57:$I$59,4,FALSE)+VLOOKUP(VLOOKUP(W$1,main!$A$3:$I$56,7,FALSE),main!$K$10:$Q$14,3,FALSE),1,0)</f>
        <v>0</v>
      </c>
      <c r="X13">
        <f>IF(VLOOKUP(X$1,main!$A$3:$I$56,5,FALSE)-VLOOKUP($A13,main!$A$3:$I$56,6,FALSE)&gt;=VLOOKUP(55,main!$A$57:$I$59,4,FALSE)+VLOOKUP(VLOOKUP(X$1,main!$A$3:$I$56,7,FALSE),main!$K$10:$Q$14,3,FALSE),1,0)</f>
        <v>0</v>
      </c>
      <c r="Y13">
        <f>IF(VLOOKUP(Y$1,main!$A$3:$I$56,5,FALSE)-VLOOKUP($A13,main!$A$3:$I$56,6,FALSE)&gt;=VLOOKUP(55,main!$A$57:$I$59,4,FALSE)+VLOOKUP(VLOOKUP(Y$1,main!$A$3:$I$56,7,FALSE),main!$K$10:$Q$14,3,FALSE),1,0)</f>
        <v>0</v>
      </c>
      <c r="Z13">
        <f>IF(VLOOKUP(Z$1,main!$A$3:$I$56,5,FALSE)-VLOOKUP($A13,main!$A$3:$I$56,6,FALSE)&gt;=VLOOKUP(55,main!$A$57:$I$59,4,FALSE)+VLOOKUP(VLOOKUP(Z$1,main!$A$3:$I$56,7,FALSE),main!$K$10:$Q$14,3,FALSE),1,0)</f>
        <v>0</v>
      </c>
      <c r="AA13">
        <f>IF(VLOOKUP(AA$1,main!$A$3:$I$56,5,FALSE)-VLOOKUP($A13,main!$A$3:$I$56,6,FALSE)&gt;=VLOOKUP(55,main!$A$57:$I$59,4,FALSE)+VLOOKUP(VLOOKUP(AA$1,main!$A$3:$I$56,7,FALSE),main!$K$10:$Q$14,3,FALSE),1,0)</f>
        <v>1</v>
      </c>
      <c r="AB13">
        <f>IF(VLOOKUP(AB$1,main!$A$3:$I$56,5,FALSE)-VLOOKUP($A13,main!$A$3:$I$56,6,FALSE)&gt;=VLOOKUP(55,main!$A$57:$I$59,4,FALSE)+VLOOKUP(VLOOKUP(AB$1,main!$A$3:$I$56,7,FALSE),main!$K$10:$Q$14,3,FALSE),1,0)</f>
        <v>1</v>
      </c>
      <c r="AC13">
        <f>IF(VLOOKUP(AC$1,main!$A$3:$I$56,5,FALSE)-VLOOKUP($A13,main!$A$3:$I$56,6,FALSE)&gt;=VLOOKUP(55,main!$A$57:$I$59,4,FALSE)+VLOOKUP(VLOOKUP(AC$1,main!$A$3:$I$56,7,FALSE),main!$K$10:$Q$14,3,FALSE),1,0)</f>
        <v>0</v>
      </c>
      <c r="AD13">
        <f>IF(VLOOKUP(AD$1,main!$A$3:$I$56,5,FALSE)-VLOOKUP($A13,main!$A$3:$I$56,6,FALSE)&gt;=VLOOKUP(55,main!$A$57:$I$59,4,FALSE)+VLOOKUP(VLOOKUP(AD$1,main!$A$3:$I$56,7,FALSE),main!$K$10:$Q$14,3,FALSE),1,0)</f>
        <v>0</v>
      </c>
      <c r="AE13">
        <f>IF(VLOOKUP(AE$1,main!$A$3:$I$56,5,FALSE)-VLOOKUP($A13,main!$A$3:$I$56,6,FALSE)&gt;=VLOOKUP(55,main!$A$57:$I$59,4,FALSE)+VLOOKUP(VLOOKUP(AE$1,main!$A$3:$I$56,7,FALSE),main!$K$10:$Q$14,3,FALSE),1,0)</f>
        <v>0</v>
      </c>
      <c r="AF13">
        <f>IF(VLOOKUP(AF$1,main!$A$3:$I$56,5,FALSE)-VLOOKUP($A13,main!$A$3:$I$56,6,FALSE)&gt;=VLOOKUP(55,main!$A$57:$I$59,4,FALSE)+VLOOKUP(VLOOKUP(AF$1,main!$A$3:$I$56,7,FALSE),main!$K$10:$Q$14,3,FALSE),1,0)</f>
        <v>0</v>
      </c>
      <c r="AG13">
        <f>IF(VLOOKUP(AG$1,main!$A$3:$I$56,5,FALSE)-VLOOKUP($A13,main!$A$3:$I$56,6,FALSE)&gt;=VLOOKUP(55,main!$A$57:$I$59,4,FALSE)+VLOOKUP(VLOOKUP(AG$1,main!$A$3:$I$56,7,FALSE),main!$K$10:$Q$14,3,FALSE),1,0)</f>
        <v>0</v>
      </c>
      <c r="AH13">
        <f>IF(VLOOKUP(AH$1,main!$A$3:$I$56,5,FALSE)-VLOOKUP($A13,main!$A$3:$I$56,6,FALSE)&gt;=VLOOKUP(55,main!$A$57:$I$59,4,FALSE)+VLOOKUP(VLOOKUP(AH$1,main!$A$3:$I$56,7,FALSE),main!$K$10:$Q$14,3,FALSE),1,0)</f>
        <v>0</v>
      </c>
      <c r="AI13">
        <f>IF(VLOOKUP(AI$1,main!$A$3:$I$56,5,FALSE)-VLOOKUP($A13,main!$A$3:$I$56,6,FALSE)&gt;=VLOOKUP(55,main!$A$57:$I$59,4,FALSE)+VLOOKUP(VLOOKUP(AI$1,main!$A$3:$I$56,7,FALSE),main!$K$10:$Q$14,3,FALSE),1,0)</f>
        <v>0</v>
      </c>
      <c r="AJ13">
        <f>IF(VLOOKUP(AJ$1,main!$A$3:$I$56,5,FALSE)-VLOOKUP($A13,main!$A$3:$I$56,6,FALSE)&gt;=VLOOKUP(55,main!$A$57:$I$59,4,FALSE)+VLOOKUP(VLOOKUP(AJ$1,main!$A$3:$I$56,7,FALSE),main!$K$10:$Q$14,3,FALSE),1,0)</f>
        <v>0</v>
      </c>
      <c r="AK13">
        <f>IF(VLOOKUP(AK$1,main!$A$3:$I$56,5,FALSE)-VLOOKUP($A13,main!$A$3:$I$56,6,FALSE)&gt;=VLOOKUP(55,main!$A$57:$I$59,4,FALSE)+VLOOKUP(VLOOKUP(AK$1,main!$A$3:$I$56,7,FALSE),main!$K$10:$Q$14,3,FALSE),1,0)</f>
        <v>1</v>
      </c>
      <c r="AL13">
        <f>IF(VLOOKUP(AL$1,main!$A$3:$I$56,5,FALSE)-VLOOKUP($A13,main!$A$3:$I$56,6,FALSE)&gt;=VLOOKUP(55,main!$A$57:$I$59,4,FALSE)+VLOOKUP(VLOOKUP(AL$1,main!$A$3:$I$56,7,FALSE),main!$K$10:$Q$14,3,FALSE),1,0)</f>
        <v>0</v>
      </c>
      <c r="AM13">
        <f>IF(VLOOKUP(AM$1,main!$A$3:$I$56,5,FALSE)-VLOOKUP($A13,main!$A$3:$I$56,6,FALSE)&gt;=VLOOKUP(55,main!$A$57:$I$59,4,FALSE)+VLOOKUP(VLOOKUP(AM$1,main!$A$3:$I$56,7,FALSE),main!$K$10:$Q$14,3,FALSE),1,0)</f>
        <v>0</v>
      </c>
      <c r="AN13">
        <f>IF(VLOOKUP(AN$1,main!$A$3:$I$56,5,FALSE)-VLOOKUP($A13,main!$A$3:$I$56,6,FALSE)&gt;=VLOOKUP(55,main!$A$57:$I$59,4,FALSE)+VLOOKUP(VLOOKUP(AN$1,main!$A$3:$I$56,7,FALSE),main!$K$10:$Q$14,3,FALSE),1,0)</f>
        <v>0</v>
      </c>
      <c r="AO13">
        <f>IF(VLOOKUP(AO$1,main!$A$3:$I$56,5,FALSE)-VLOOKUP($A13,main!$A$3:$I$56,6,FALSE)&gt;=VLOOKUP(55,main!$A$57:$I$59,4,FALSE)+VLOOKUP(VLOOKUP(AO$1,main!$A$3:$I$56,7,FALSE),main!$K$10:$Q$14,3,FALSE),1,0)</f>
        <v>0</v>
      </c>
      <c r="AP13">
        <f>IF(VLOOKUP(AP$1,main!$A$3:$I$56,5,FALSE)-VLOOKUP($A13,main!$A$3:$I$56,6,FALSE)&gt;=VLOOKUP(55,main!$A$57:$I$59,4,FALSE)+VLOOKUP(VLOOKUP(AP$1,main!$A$3:$I$56,7,FALSE),main!$K$10:$Q$14,3,FALSE),1,0)</f>
        <v>0</v>
      </c>
      <c r="AQ13">
        <f>IF(VLOOKUP(AQ$1,main!$A$3:$I$56,5,FALSE)-VLOOKUP($A13,main!$A$3:$I$56,6,FALSE)&gt;=VLOOKUP(55,main!$A$57:$I$59,4,FALSE)+VLOOKUP(VLOOKUP(AQ$1,main!$A$3:$I$56,7,FALSE),main!$K$10:$Q$14,3,FALSE),1,0)</f>
        <v>0</v>
      </c>
      <c r="AR13">
        <f>IF(VLOOKUP(AR$1,main!$A$3:$I$56,5,FALSE)-VLOOKUP($A13,main!$A$3:$I$56,6,FALSE)&gt;=VLOOKUP(55,main!$A$57:$I$59,4,FALSE)+VLOOKUP(VLOOKUP(AR$1,main!$A$3:$I$56,7,FALSE),main!$K$10:$Q$14,3,FALSE),1,0)</f>
        <v>0</v>
      </c>
      <c r="AS13">
        <f>IF(VLOOKUP(AS$1,main!$A$3:$I$56,5,FALSE)-VLOOKUP($A13,main!$A$3:$I$56,6,FALSE)&gt;=VLOOKUP(55,main!$A$57:$I$59,4,FALSE)+VLOOKUP(VLOOKUP(AS$1,main!$A$3:$I$56,7,FALSE),main!$K$10:$Q$14,3,FALSE),1,0)</f>
        <v>0</v>
      </c>
      <c r="AT13">
        <f>IF(VLOOKUP(AT$1,main!$A$3:$I$56,5,FALSE)-VLOOKUP($A13,main!$A$3:$I$56,6,FALSE)&gt;=VLOOKUP(55,main!$A$57:$I$59,4,FALSE)+VLOOKUP(VLOOKUP(AT$1,main!$A$3:$I$56,7,FALSE),main!$K$10:$Q$14,3,FALSE),1,0)</f>
        <v>0</v>
      </c>
      <c r="AU13">
        <f>IF(VLOOKUP(AU$1,main!$A$3:$I$56,5,FALSE)-VLOOKUP($A13,main!$A$3:$I$56,6,FALSE)&gt;=VLOOKUP(55,main!$A$57:$I$59,4,FALSE)+VLOOKUP(VLOOKUP(AU$1,main!$A$3:$I$56,7,FALSE),main!$K$10:$Q$14,3,FALSE),1,0)</f>
        <v>0</v>
      </c>
      <c r="AV13">
        <f>IF(VLOOKUP(AV$1,main!$A$3:$I$56,5,FALSE)-VLOOKUP($A13,main!$A$3:$I$56,6,FALSE)&gt;=VLOOKUP(55,main!$A$57:$I$59,4,FALSE)+VLOOKUP(VLOOKUP(AV$1,main!$A$3:$I$56,7,FALSE),main!$K$10:$Q$14,3,FALSE),1,0)</f>
        <v>0</v>
      </c>
      <c r="AW13">
        <f>IF(VLOOKUP(AW$1,main!$A$3:$I$56,5,FALSE)-VLOOKUP($A13,main!$A$3:$I$56,6,FALSE)&gt;=VLOOKUP(55,main!$A$57:$I$59,4,FALSE)+VLOOKUP(VLOOKUP(AW$1,main!$A$3:$I$56,7,FALSE),main!$K$10:$Q$14,3,FALSE),1,0)</f>
        <v>0</v>
      </c>
      <c r="AX13">
        <f>IF(VLOOKUP(AX$1,main!$A$3:$I$56,5,FALSE)-VLOOKUP($A13,main!$A$3:$I$56,6,FALSE)&gt;=VLOOKUP(55,main!$A$57:$I$59,4,FALSE)+VLOOKUP(VLOOKUP(AX$1,main!$A$3:$I$56,7,FALSE),main!$K$10:$Q$14,3,FALSE),1,0)</f>
        <v>0</v>
      </c>
      <c r="AY13">
        <f>IF(VLOOKUP(AY$1,main!$A$3:$I$56,5,FALSE)-VLOOKUP($A13,main!$A$3:$I$56,6,FALSE)&gt;=VLOOKUP(55,main!$A$57:$I$59,4,FALSE)+VLOOKUP(VLOOKUP(AY$1,main!$A$3:$I$56,7,FALSE),main!$K$10:$Q$14,3,FALSE),1,0)</f>
        <v>1</v>
      </c>
      <c r="AZ13">
        <f>IF(VLOOKUP(AZ$1,main!$A$3:$I$56,5,FALSE)-VLOOKUP($A13,main!$A$3:$I$56,6,FALSE)&gt;=VLOOKUP(55,main!$A$57:$I$59,4,FALSE)+VLOOKUP(VLOOKUP(AZ$1,main!$A$3:$I$56,7,FALSE),main!$K$10:$Q$14,3,FALSE),1,0)</f>
        <v>0</v>
      </c>
      <c r="BA13">
        <f>IF(VLOOKUP(BA$1,main!$A$3:$I$56,5,FALSE)-VLOOKUP($A13,main!$A$3:$I$56,6,FALSE)&gt;=VLOOKUP(55,main!$A$57:$I$59,4,FALSE)+VLOOKUP(VLOOKUP(BA$1,main!$A$3:$I$56,7,FALSE),main!$K$10:$Q$14,3,FALSE),1,0)</f>
        <v>0</v>
      </c>
      <c r="BB13">
        <f>IF(VLOOKUP(BB$1,main!$A$3:$I$56,5,FALSE)-VLOOKUP($A13,main!$A$3:$I$56,6,FALSE)&gt;=VLOOKUP(55,main!$A$57:$I$59,4,FALSE)+VLOOKUP(VLOOKUP(BB$1,main!$A$3:$I$56,7,FALSE),main!$K$10:$Q$14,3,FALSE),1,0)</f>
        <v>0</v>
      </c>
      <c r="BC13">
        <f>IF(VLOOKUP(BC$1,main!$A$3:$I$56,5,FALSE)-VLOOKUP($A13,main!$A$3:$I$56,6,FALSE)&gt;=VLOOKUP(55,main!$A$57:$I$59,4,FALSE)+VLOOKUP(VLOOKUP(BC$1,main!$A$3:$I$56,7,FALSE),main!$K$10:$Q$14,3,FALSE),1,0)</f>
        <v>0</v>
      </c>
      <c r="BD13">
        <f>IF(VLOOKUP(BD$1,main!$A$3:$I$56,5,FALSE)-VLOOKUP($A13,main!$A$3:$I$56,6,FALSE)&gt;=VLOOKUP(55,main!$A$57:$I$59,4,FALSE)+VLOOKUP(VLOOKUP(BD$1,main!$A$3:$I$56,7,FALSE),main!$K$10:$Q$14,3,FALSE),1,0)</f>
        <v>0</v>
      </c>
    </row>
    <row r="14" spans="1:56" x14ac:dyDescent="0.25">
      <c r="A14">
        <f t="shared" si="0"/>
        <v>12</v>
      </c>
      <c r="B14">
        <v>0</v>
      </c>
      <c r="C14">
        <f>IF(VLOOKUP(C$1,main!$A$3:$I$56,5,FALSE)-VLOOKUP($A14,main!$A$3:$I$56,6,FALSE)&gt;=VLOOKUP(55,main!$A$57:$I$59,4,FALSE)+VLOOKUP(VLOOKUP(C$1,main!$A$3:$I$56,7,FALSE),main!$K$10:$Q$14,3,FALSE),1,0)</f>
        <v>0</v>
      </c>
      <c r="D14">
        <f>IF(VLOOKUP(D$1,main!$A$3:$I$56,5,FALSE)-VLOOKUP($A14,main!$A$3:$I$56,6,FALSE)&gt;=VLOOKUP(55,main!$A$57:$I$59,4,FALSE)+VLOOKUP(VLOOKUP(D$1,main!$A$3:$I$56,7,FALSE),main!$K$10:$Q$14,3,FALSE),1,0)</f>
        <v>0</v>
      </c>
      <c r="E14">
        <f>IF(VLOOKUP(E$1,main!$A$3:$I$56,5,FALSE)-VLOOKUP($A14,main!$A$3:$I$56,6,FALSE)&gt;=VLOOKUP(55,main!$A$57:$I$59,4,FALSE)+VLOOKUP(VLOOKUP(E$1,main!$A$3:$I$56,7,FALSE),main!$K$10:$Q$14,3,FALSE),1,0)</f>
        <v>0</v>
      </c>
      <c r="F14">
        <f>IF(VLOOKUP(F$1,main!$A$3:$I$56,5,FALSE)-VLOOKUP($A14,main!$A$3:$I$56,6,FALSE)&gt;=VLOOKUP(55,main!$A$57:$I$59,4,FALSE)+VLOOKUP(VLOOKUP(F$1,main!$A$3:$I$56,7,FALSE),main!$K$10:$Q$14,3,FALSE),1,0)</f>
        <v>0</v>
      </c>
      <c r="G14">
        <f>IF(VLOOKUP(G$1,main!$A$3:$I$56,5,FALSE)-VLOOKUP($A14,main!$A$3:$I$56,6,FALSE)&gt;=VLOOKUP(55,main!$A$57:$I$59,4,FALSE)+VLOOKUP(VLOOKUP(G$1,main!$A$3:$I$56,7,FALSE),main!$K$10:$Q$14,3,FALSE),1,0)</f>
        <v>0</v>
      </c>
      <c r="H14">
        <f>IF(VLOOKUP(H$1,main!$A$3:$I$56,5,FALSE)-VLOOKUP($A14,main!$A$3:$I$56,6,FALSE)&gt;=VLOOKUP(55,main!$A$57:$I$59,4,FALSE)+VLOOKUP(VLOOKUP(H$1,main!$A$3:$I$56,7,FALSE),main!$K$10:$Q$14,3,FALSE),1,0)</f>
        <v>0</v>
      </c>
      <c r="I14">
        <f>IF(VLOOKUP(I$1,main!$A$3:$I$56,5,FALSE)-VLOOKUP($A14,main!$A$3:$I$56,6,FALSE)&gt;=VLOOKUP(55,main!$A$57:$I$59,4,FALSE)+VLOOKUP(VLOOKUP(I$1,main!$A$3:$I$56,7,FALSE),main!$K$10:$Q$14,3,FALSE),1,0)</f>
        <v>0</v>
      </c>
      <c r="J14">
        <f>IF(VLOOKUP(J$1,main!$A$3:$I$56,5,FALSE)-VLOOKUP($A14,main!$A$3:$I$56,6,FALSE)&gt;=VLOOKUP(55,main!$A$57:$I$59,4,FALSE)+VLOOKUP(VLOOKUP(J$1,main!$A$3:$I$56,7,FALSE),main!$K$10:$Q$14,3,FALSE),1,0)</f>
        <v>0</v>
      </c>
      <c r="K14">
        <f>IF(VLOOKUP(K$1,main!$A$3:$I$56,5,FALSE)-VLOOKUP($A14,main!$A$3:$I$56,6,FALSE)&gt;=VLOOKUP(55,main!$A$57:$I$59,4,FALSE)+VLOOKUP(VLOOKUP(K$1,main!$A$3:$I$56,7,FALSE),main!$K$10:$Q$14,3,FALSE),1,0)</f>
        <v>0</v>
      </c>
      <c r="L14">
        <f>IF(VLOOKUP(L$1,main!$A$3:$I$56,5,FALSE)-VLOOKUP($A14,main!$A$3:$I$56,6,FALSE)&gt;=VLOOKUP(55,main!$A$57:$I$59,4,FALSE)+VLOOKUP(VLOOKUP(L$1,main!$A$3:$I$56,7,FALSE),main!$K$10:$Q$14,3,FALSE),1,0)</f>
        <v>0</v>
      </c>
      <c r="M14">
        <f>IF(VLOOKUP(M$1,main!$A$3:$I$56,5,FALSE)-VLOOKUP($A14,main!$A$3:$I$56,6,FALSE)&gt;=VLOOKUP(55,main!$A$57:$I$59,4,FALSE)+VLOOKUP(VLOOKUP(M$1,main!$A$3:$I$56,7,FALSE),main!$K$10:$Q$14,3,FALSE),1,0)</f>
        <v>0</v>
      </c>
      <c r="N14">
        <f>IF(VLOOKUP(N$1,main!$A$3:$I$56,5,FALSE)-VLOOKUP($A14,main!$A$3:$I$56,6,FALSE)&gt;=VLOOKUP(55,main!$A$57:$I$59,4,FALSE)+VLOOKUP(VLOOKUP(N$1,main!$A$3:$I$56,7,FALSE),main!$K$10:$Q$14,3,FALSE),1,0)</f>
        <v>0</v>
      </c>
      <c r="O14">
        <f>IF(VLOOKUP(O$1,main!$A$3:$I$56,5,FALSE)-VLOOKUP($A14,main!$A$3:$I$56,6,FALSE)&gt;=VLOOKUP(55,main!$A$57:$I$59,4,FALSE)+VLOOKUP(VLOOKUP(O$1,main!$A$3:$I$56,7,FALSE),main!$K$10:$Q$14,3,FALSE),1,0)</f>
        <v>0</v>
      </c>
      <c r="P14">
        <f>IF(VLOOKUP(P$1,main!$A$3:$I$56,5,FALSE)-VLOOKUP($A14,main!$A$3:$I$56,6,FALSE)&gt;=VLOOKUP(55,main!$A$57:$I$59,4,FALSE)+VLOOKUP(VLOOKUP(P$1,main!$A$3:$I$56,7,FALSE),main!$K$10:$Q$14,3,FALSE),1,0)</f>
        <v>0</v>
      </c>
      <c r="Q14">
        <f>IF(VLOOKUP(Q$1,main!$A$3:$I$56,5,FALSE)-VLOOKUP($A14,main!$A$3:$I$56,6,FALSE)&gt;=VLOOKUP(55,main!$A$57:$I$59,4,FALSE)+VLOOKUP(VLOOKUP(Q$1,main!$A$3:$I$56,7,FALSE),main!$K$10:$Q$14,3,FALSE),1,0)</f>
        <v>0</v>
      </c>
      <c r="R14">
        <f>IF(VLOOKUP(R$1,main!$A$3:$I$56,5,FALSE)-VLOOKUP($A14,main!$A$3:$I$56,6,FALSE)&gt;=VLOOKUP(55,main!$A$57:$I$59,4,FALSE)+VLOOKUP(VLOOKUP(R$1,main!$A$3:$I$56,7,FALSE),main!$K$10:$Q$14,3,FALSE),1,0)</f>
        <v>0</v>
      </c>
      <c r="S14">
        <f>IF(VLOOKUP(S$1,main!$A$3:$I$56,5,FALSE)-VLOOKUP($A14,main!$A$3:$I$56,6,FALSE)&gt;=VLOOKUP(55,main!$A$57:$I$59,4,FALSE)+VLOOKUP(VLOOKUP(S$1,main!$A$3:$I$56,7,FALSE),main!$K$10:$Q$14,3,FALSE),1,0)</f>
        <v>0</v>
      </c>
      <c r="T14">
        <f>IF(VLOOKUP(T$1,main!$A$3:$I$56,5,FALSE)-VLOOKUP($A14,main!$A$3:$I$56,6,FALSE)&gt;=VLOOKUP(55,main!$A$57:$I$59,4,FALSE)+VLOOKUP(VLOOKUP(T$1,main!$A$3:$I$56,7,FALSE),main!$K$10:$Q$14,3,FALSE),1,0)</f>
        <v>0</v>
      </c>
      <c r="U14">
        <f>IF(VLOOKUP(U$1,main!$A$3:$I$56,5,FALSE)-VLOOKUP($A14,main!$A$3:$I$56,6,FALSE)&gt;=VLOOKUP(55,main!$A$57:$I$59,4,FALSE)+VLOOKUP(VLOOKUP(U$1,main!$A$3:$I$56,7,FALSE),main!$K$10:$Q$14,3,FALSE),1,0)</f>
        <v>0</v>
      </c>
      <c r="V14">
        <f>IF(VLOOKUP(V$1,main!$A$3:$I$56,5,FALSE)-VLOOKUP($A14,main!$A$3:$I$56,6,FALSE)&gt;=VLOOKUP(55,main!$A$57:$I$59,4,FALSE)+VLOOKUP(VLOOKUP(V$1,main!$A$3:$I$56,7,FALSE),main!$K$10:$Q$14,3,FALSE),1,0)</f>
        <v>0</v>
      </c>
      <c r="W14">
        <f>IF(VLOOKUP(W$1,main!$A$3:$I$56,5,FALSE)-VLOOKUP($A14,main!$A$3:$I$56,6,FALSE)&gt;=VLOOKUP(55,main!$A$57:$I$59,4,FALSE)+VLOOKUP(VLOOKUP(W$1,main!$A$3:$I$56,7,FALSE),main!$K$10:$Q$14,3,FALSE),1,0)</f>
        <v>0</v>
      </c>
      <c r="X14">
        <f>IF(VLOOKUP(X$1,main!$A$3:$I$56,5,FALSE)-VLOOKUP($A14,main!$A$3:$I$56,6,FALSE)&gt;=VLOOKUP(55,main!$A$57:$I$59,4,FALSE)+VLOOKUP(VLOOKUP(X$1,main!$A$3:$I$56,7,FALSE),main!$K$10:$Q$14,3,FALSE),1,0)</f>
        <v>0</v>
      </c>
      <c r="Y14">
        <f>IF(VLOOKUP(Y$1,main!$A$3:$I$56,5,FALSE)-VLOOKUP($A14,main!$A$3:$I$56,6,FALSE)&gt;=VLOOKUP(55,main!$A$57:$I$59,4,FALSE)+VLOOKUP(VLOOKUP(Y$1,main!$A$3:$I$56,7,FALSE),main!$K$10:$Q$14,3,FALSE),1,0)</f>
        <v>0</v>
      </c>
      <c r="Z14">
        <f>IF(VLOOKUP(Z$1,main!$A$3:$I$56,5,FALSE)-VLOOKUP($A14,main!$A$3:$I$56,6,FALSE)&gt;=VLOOKUP(55,main!$A$57:$I$59,4,FALSE)+VLOOKUP(VLOOKUP(Z$1,main!$A$3:$I$56,7,FALSE),main!$K$10:$Q$14,3,FALSE),1,0)</f>
        <v>0</v>
      </c>
      <c r="AA14">
        <f>IF(VLOOKUP(AA$1,main!$A$3:$I$56,5,FALSE)-VLOOKUP($A14,main!$A$3:$I$56,6,FALSE)&gt;=VLOOKUP(55,main!$A$57:$I$59,4,FALSE)+VLOOKUP(VLOOKUP(AA$1,main!$A$3:$I$56,7,FALSE),main!$K$10:$Q$14,3,FALSE),1,0)</f>
        <v>0</v>
      </c>
      <c r="AB14">
        <f>IF(VLOOKUP(AB$1,main!$A$3:$I$56,5,FALSE)-VLOOKUP($A14,main!$A$3:$I$56,6,FALSE)&gt;=VLOOKUP(55,main!$A$57:$I$59,4,FALSE)+VLOOKUP(VLOOKUP(AB$1,main!$A$3:$I$56,7,FALSE),main!$K$10:$Q$14,3,FALSE),1,0)</f>
        <v>0</v>
      </c>
      <c r="AC14">
        <f>IF(VLOOKUP(AC$1,main!$A$3:$I$56,5,FALSE)-VLOOKUP($A14,main!$A$3:$I$56,6,FALSE)&gt;=VLOOKUP(55,main!$A$57:$I$59,4,FALSE)+VLOOKUP(VLOOKUP(AC$1,main!$A$3:$I$56,7,FALSE),main!$K$10:$Q$14,3,FALSE),1,0)</f>
        <v>0</v>
      </c>
      <c r="AD14">
        <f>IF(VLOOKUP(AD$1,main!$A$3:$I$56,5,FALSE)-VLOOKUP($A14,main!$A$3:$I$56,6,FALSE)&gt;=VLOOKUP(55,main!$A$57:$I$59,4,FALSE)+VLOOKUP(VLOOKUP(AD$1,main!$A$3:$I$56,7,FALSE),main!$K$10:$Q$14,3,FALSE),1,0)</f>
        <v>0</v>
      </c>
      <c r="AE14">
        <f>IF(VLOOKUP(AE$1,main!$A$3:$I$56,5,FALSE)-VLOOKUP($A14,main!$A$3:$I$56,6,FALSE)&gt;=VLOOKUP(55,main!$A$57:$I$59,4,FALSE)+VLOOKUP(VLOOKUP(AE$1,main!$A$3:$I$56,7,FALSE),main!$K$10:$Q$14,3,FALSE),1,0)</f>
        <v>0</v>
      </c>
      <c r="AF14">
        <f>IF(VLOOKUP(AF$1,main!$A$3:$I$56,5,FALSE)-VLOOKUP($A14,main!$A$3:$I$56,6,FALSE)&gt;=VLOOKUP(55,main!$A$57:$I$59,4,FALSE)+VLOOKUP(VLOOKUP(AF$1,main!$A$3:$I$56,7,FALSE),main!$K$10:$Q$14,3,FALSE),1,0)</f>
        <v>0</v>
      </c>
      <c r="AG14">
        <f>IF(VLOOKUP(AG$1,main!$A$3:$I$56,5,FALSE)-VLOOKUP($A14,main!$A$3:$I$56,6,FALSE)&gt;=VLOOKUP(55,main!$A$57:$I$59,4,FALSE)+VLOOKUP(VLOOKUP(AG$1,main!$A$3:$I$56,7,FALSE),main!$K$10:$Q$14,3,FALSE),1,0)</f>
        <v>0</v>
      </c>
      <c r="AH14">
        <f>IF(VLOOKUP(AH$1,main!$A$3:$I$56,5,FALSE)-VLOOKUP($A14,main!$A$3:$I$56,6,FALSE)&gt;=VLOOKUP(55,main!$A$57:$I$59,4,FALSE)+VLOOKUP(VLOOKUP(AH$1,main!$A$3:$I$56,7,FALSE),main!$K$10:$Q$14,3,FALSE),1,0)</f>
        <v>0</v>
      </c>
      <c r="AI14">
        <f>IF(VLOOKUP(AI$1,main!$A$3:$I$56,5,FALSE)-VLOOKUP($A14,main!$A$3:$I$56,6,FALSE)&gt;=VLOOKUP(55,main!$A$57:$I$59,4,FALSE)+VLOOKUP(VLOOKUP(AI$1,main!$A$3:$I$56,7,FALSE),main!$K$10:$Q$14,3,FALSE),1,0)</f>
        <v>0</v>
      </c>
      <c r="AJ14">
        <f>IF(VLOOKUP(AJ$1,main!$A$3:$I$56,5,FALSE)-VLOOKUP($A14,main!$A$3:$I$56,6,FALSE)&gt;=VLOOKUP(55,main!$A$57:$I$59,4,FALSE)+VLOOKUP(VLOOKUP(AJ$1,main!$A$3:$I$56,7,FALSE),main!$K$10:$Q$14,3,FALSE),1,0)</f>
        <v>0</v>
      </c>
      <c r="AK14">
        <f>IF(VLOOKUP(AK$1,main!$A$3:$I$56,5,FALSE)-VLOOKUP($A14,main!$A$3:$I$56,6,FALSE)&gt;=VLOOKUP(55,main!$A$57:$I$59,4,FALSE)+VLOOKUP(VLOOKUP(AK$1,main!$A$3:$I$56,7,FALSE),main!$K$10:$Q$14,3,FALSE),1,0)</f>
        <v>0</v>
      </c>
      <c r="AL14">
        <f>IF(VLOOKUP(AL$1,main!$A$3:$I$56,5,FALSE)-VLOOKUP($A14,main!$A$3:$I$56,6,FALSE)&gt;=VLOOKUP(55,main!$A$57:$I$59,4,FALSE)+VLOOKUP(VLOOKUP(AL$1,main!$A$3:$I$56,7,FALSE),main!$K$10:$Q$14,3,FALSE),1,0)</f>
        <v>0</v>
      </c>
      <c r="AM14">
        <f>IF(VLOOKUP(AM$1,main!$A$3:$I$56,5,FALSE)-VLOOKUP($A14,main!$A$3:$I$56,6,FALSE)&gt;=VLOOKUP(55,main!$A$57:$I$59,4,FALSE)+VLOOKUP(VLOOKUP(AM$1,main!$A$3:$I$56,7,FALSE),main!$K$10:$Q$14,3,FALSE),1,0)</f>
        <v>0</v>
      </c>
      <c r="AN14">
        <f>IF(VLOOKUP(AN$1,main!$A$3:$I$56,5,FALSE)-VLOOKUP($A14,main!$A$3:$I$56,6,FALSE)&gt;=VLOOKUP(55,main!$A$57:$I$59,4,FALSE)+VLOOKUP(VLOOKUP(AN$1,main!$A$3:$I$56,7,FALSE),main!$K$10:$Q$14,3,FALSE),1,0)</f>
        <v>0</v>
      </c>
      <c r="AO14">
        <f>IF(VLOOKUP(AO$1,main!$A$3:$I$56,5,FALSE)-VLOOKUP($A14,main!$A$3:$I$56,6,FALSE)&gt;=VLOOKUP(55,main!$A$57:$I$59,4,FALSE)+VLOOKUP(VLOOKUP(AO$1,main!$A$3:$I$56,7,FALSE),main!$K$10:$Q$14,3,FALSE),1,0)</f>
        <v>0</v>
      </c>
      <c r="AP14">
        <f>IF(VLOOKUP(AP$1,main!$A$3:$I$56,5,FALSE)-VLOOKUP($A14,main!$A$3:$I$56,6,FALSE)&gt;=VLOOKUP(55,main!$A$57:$I$59,4,FALSE)+VLOOKUP(VLOOKUP(AP$1,main!$A$3:$I$56,7,FALSE),main!$K$10:$Q$14,3,FALSE),1,0)</f>
        <v>0</v>
      </c>
      <c r="AQ14">
        <f>IF(VLOOKUP(AQ$1,main!$A$3:$I$56,5,FALSE)-VLOOKUP($A14,main!$A$3:$I$56,6,FALSE)&gt;=VLOOKUP(55,main!$A$57:$I$59,4,FALSE)+VLOOKUP(VLOOKUP(AQ$1,main!$A$3:$I$56,7,FALSE),main!$K$10:$Q$14,3,FALSE),1,0)</f>
        <v>0</v>
      </c>
      <c r="AR14">
        <f>IF(VLOOKUP(AR$1,main!$A$3:$I$56,5,FALSE)-VLOOKUP($A14,main!$A$3:$I$56,6,FALSE)&gt;=VLOOKUP(55,main!$A$57:$I$59,4,FALSE)+VLOOKUP(VLOOKUP(AR$1,main!$A$3:$I$56,7,FALSE),main!$K$10:$Q$14,3,FALSE),1,0)</f>
        <v>0</v>
      </c>
      <c r="AS14">
        <f>IF(VLOOKUP(AS$1,main!$A$3:$I$56,5,FALSE)-VLOOKUP($A14,main!$A$3:$I$56,6,FALSE)&gt;=VLOOKUP(55,main!$A$57:$I$59,4,FALSE)+VLOOKUP(VLOOKUP(AS$1,main!$A$3:$I$56,7,FALSE),main!$K$10:$Q$14,3,FALSE),1,0)</f>
        <v>0</v>
      </c>
      <c r="AT14">
        <f>IF(VLOOKUP(AT$1,main!$A$3:$I$56,5,FALSE)-VLOOKUP($A14,main!$A$3:$I$56,6,FALSE)&gt;=VLOOKUP(55,main!$A$57:$I$59,4,FALSE)+VLOOKUP(VLOOKUP(AT$1,main!$A$3:$I$56,7,FALSE),main!$K$10:$Q$14,3,FALSE),1,0)</f>
        <v>0</v>
      </c>
      <c r="AU14">
        <f>IF(VLOOKUP(AU$1,main!$A$3:$I$56,5,FALSE)-VLOOKUP($A14,main!$A$3:$I$56,6,FALSE)&gt;=VLOOKUP(55,main!$A$57:$I$59,4,FALSE)+VLOOKUP(VLOOKUP(AU$1,main!$A$3:$I$56,7,FALSE),main!$K$10:$Q$14,3,FALSE),1,0)</f>
        <v>0</v>
      </c>
      <c r="AV14">
        <f>IF(VLOOKUP(AV$1,main!$A$3:$I$56,5,FALSE)-VLOOKUP($A14,main!$A$3:$I$56,6,FALSE)&gt;=VLOOKUP(55,main!$A$57:$I$59,4,FALSE)+VLOOKUP(VLOOKUP(AV$1,main!$A$3:$I$56,7,FALSE),main!$K$10:$Q$14,3,FALSE),1,0)</f>
        <v>0</v>
      </c>
      <c r="AW14">
        <f>IF(VLOOKUP(AW$1,main!$A$3:$I$56,5,FALSE)-VLOOKUP($A14,main!$A$3:$I$56,6,FALSE)&gt;=VLOOKUP(55,main!$A$57:$I$59,4,FALSE)+VLOOKUP(VLOOKUP(AW$1,main!$A$3:$I$56,7,FALSE),main!$K$10:$Q$14,3,FALSE),1,0)</f>
        <v>0</v>
      </c>
      <c r="AX14">
        <f>IF(VLOOKUP(AX$1,main!$A$3:$I$56,5,FALSE)-VLOOKUP($A14,main!$A$3:$I$56,6,FALSE)&gt;=VLOOKUP(55,main!$A$57:$I$59,4,FALSE)+VLOOKUP(VLOOKUP(AX$1,main!$A$3:$I$56,7,FALSE),main!$K$10:$Q$14,3,FALSE),1,0)</f>
        <v>0</v>
      </c>
      <c r="AY14">
        <f>IF(VLOOKUP(AY$1,main!$A$3:$I$56,5,FALSE)-VLOOKUP($A14,main!$A$3:$I$56,6,FALSE)&gt;=VLOOKUP(55,main!$A$57:$I$59,4,FALSE)+VLOOKUP(VLOOKUP(AY$1,main!$A$3:$I$56,7,FALSE),main!$K$10:$Q$14,3,FALSE),1,0)</f>
        <v>0</v>
      </c>
      <c r="AZ14">
        <f>IF(VLOOKUP(AZ$1,main!$A$3:$I$56,5,FALSE)-VLOOKUP($A14,main!$A$3:$I$56,6,FALSE)&gt;=VLOOKUP(55,main!$A$57:$I$59,4,FALSE)+VLOOKUP(VLOOKUP(AZ$1,main!$A$3:$I$56,7,FALSE),main!$K$10:$Q$14,3,FALSE),1,0)</f>
        <v>0</v>
      </c>
      <c r="BA14">
        <f>IF(VLOOKUP(BA$1,main!$A$3:$I$56,5,FALSE)-VLOOKUP($A14,main!$A$3:$I$56,6,FALSE)&gt;=VLOOKUP(55,main!$A$57:$I$59,4,FALSE)+VLOOKUP(VLOOKUP(BA$1,main!$A$3:$I$56,7,FALSE),main!$K$10:$Q$14,3,FALSE),1,0)</f>
        <v>0</v>
      </c>
      <c r="BB14">
        <f>IF(VLOOKUP(BB$1,main!$A$3:$I$56,5,FALSE)-VLOOKUP($A14,main!$A$3:$I$56,6,FALSE)&gt;=VLOOKUP(55,main!$A$57:$I$59,4,FALSE)+VLOOKUP(VLOOKUP(BB$1,main!$A$3:$I$56,7,FALSE),main!$K$10:$Q$14,3,FALSE),1,0)</f>
        <v>0</v>
      </c>
      <c r="BC14">
        <f>IF(VLOOKUP(BC$1,main!$A$3:$I$56,5,FALSE)-VLOOKUP($A14,main!$A$3:$I$56,6,FALSE)&gt;=VLOOKUP(55,main!$A$57:$I$59,4,FALSE)+VLOOKUP(VLOOKUP(BC$1,main!$A$3:$I$56,7,FALSE),main!$K$10:$Q$14,3,FALSE),1,0)</f>
        <v>0</v>
      </c>
      <c r="BD14">
        <f>IF(VLOOKUP(BD$1,main!$A$3:$I$56,5,FALSE)-VLOOKUP($A14,main!$A$3:$I$56,6,FALSE)&gt;=VLOOKUP(55,main!$A$57:$I$59,4,FALSE)+VLOOKUP(VLOOKUP(BD$1,main!$A$3:$I$56,7,FALSE),main!$K$10:$Q$14,3,FALSE),1,0)</f>
        <v>0</v>
      </c>
    </row>
    <row r="15" spans="1:56" x14ac:dyDescent="0.25">
      <c r="A15">
        <f t="shared" si="0"/>
        <v>13</v>
      </c>
      <c r="B15">
        <v>0</v>
      </c>
      <c r="C15">
        <f>IF(VLOOKUP(C$1,main!$A$3:$I$56,5,FALSE)-VLOOKUP($A15,main!$A$3:$I$56,6,FALSE)&gt;=VLOOKUP(55,main!$A$57:$I$59,4,FALSE)+VLOOKUP(VLOOKUP(C$1,main!$A$3:$I$56,7,FALSE),main!$K$10:$Q$14,3,FALSE),1,0)</f>
        <v>0</v>
      </c>
      <c r="D15">
        <f>IF(VLOOKUP(D$1,main!$A$3:$I$56,5,FALSE)-VLOOKUP($A15,main!$A$3:$I$56,6,FALSE)&gt;=VLOOKUP(55,main!$A$57:$I$59,4,FALSE)+VLOOKUP(VLOOKUP(D$1,main!$A$3:$I$56,7,FALSE),main!$K$10:$Q$14,3,FALSE),1,0)</f>
        <v>0</v>
      </c>
      <c r="E15">
        <f>IF(VLOOKUP(E$1,main!$A$3:$I$56,5,FALSE)-VLOOKUP($A15,main!$A$3:$I$56,6,FALSE)&gt;=VLOOKUP(55,main!$A$57:$I$59,4,FALSE)+VLOOKUP(VLOOKUP(E$1,main!$A$3:$I$56,7,FALSE),main!$K$10:$Q$14,3,FALSE),1,0)</f>
        <v>0</v>
      </c>
      <c r="F15">
        <f>IF(VLOOKUP(F$1,main!$A$3:$I$56,5,FALSE)-VLOOKUP($A15,main!$A$3:$I$56,6,FALSE)&gt;=VLOOKUP(55,main!$A$57:$I$59,4,FALSE)+VLOOKUP(VLOOKUP(F$1,main!$A$3:$I$56,7,FALSE),main!$K$10:$Q$14,3,FALSE),1,0)</f>
        <v>0</v>
      </c>
      <c r="G15">
        <f>IF(VLOOKUP(G$1,main!$A$3:$I$56,5,FALSE)-VLOOKUP($A15,main!$A$3:$I$56,6,FALSE)&gt;=VLOOKUP(55,main!$A$57:$I$59,4,FALSE)+VLOOKUP(VLOOKUP(G$1,main!$A$3:$I$56,7,FALSE),main!$K$10:$Q$14,3,FALSE),1,0)</f>
        <v>0</v>
      </c>
      <c r="H15">
        <f>IF(VLOOKUP(H$1,main!$A$3:$I$56,5,FALSE)-VLOOKUP($A15,main!$A$3:$I$56,6,FALSE)&gt;=VLOOKUP(55,main!$A$57:$I$59,4,FALSE)+VLOOKUP(VLOOKUP(H$1,main!$A$3:$I$56,7,FALSE),main!$K$10:$Q$14,3,FALSE),1,0)</f>
        <v>0</v>
      </c>
      <c r="I15">
        <f>IF(VLOOKUP(I$1,main!$A$3:$I$56,5,FALSE)-VLOOKUP($A15,main!$A$3:$I$56,6,FALSE)&gt;=VLOOKUP(55,main!$A$57:$I$59,4,FALSE)+VLOOKUP(VLOOKUP(I$1,main!$A$3:$I$56,7,FALSE),main!$K$10:$Q$14,3,FALSE),1,0)</f>
        <v>0</v>
      </c>
      <c r="J15">
        <f>IF(VLOOKUP(J$1,main!$A$3:$I$56,5,FALSE)-VLOOKUP($A15,main!$A$3:$I$56,6,FALSE)&gt;=VLOOKUP(55,main!$A$57:$I$59,4,FALSE)+VLOOKUP(VLOOKUP(J$1,main!$A$3:$I$56,7,FALSE),main!$K$10:$Q$14,3,FALSE),1,0)</f>
        <v>0</v>
      </c>
      <c r="K15">
        <f>IF(VLOOKUP(K$1,main!$A$3:$I$56,5,FALSE)-VLOOKUP($A15,main!$A$3:$I$56,6,FALSE)&gt;=VLOOKUP(55,main!$A$57:$I$59,4,FALSE)+VLOOKUP(VLOOKUP(K$1,main!$A$3:$I$56,7,FALSE),main!$K$10:$Q$14,3,FALSE),1,0)</f>
        <v>0</v>
      </c>
      <c r="L15">
        <f>IF(VLOOKUP(L$1,main!$A$3:$I$56,5,FALSE)-VLOOKUP($A15,main!$A$3:$I$56,6,FALSE)&gt;=VLOOKUP(55,main!$A$57:$I$59,4,FALSE)+VLOOKUP(VLOOKUP(L$1,main!$A$3:$I$56,7,FALSE),main!$K$10:$Q$14,3,FALSE),1,0)</f>
        <v>0</v>
      </c>
      <c r="M15">
        <f>IF(VLOOKUP(M$1,main!$A$3:$I$56,5,FALSE)-VLOOKUP($A15,main!$A$3:$I$56,6,FALSE)&gt;=VLOOKUP(55,main!$A$57:$I$59,4,FALSE)+VLOOKUP(VLOOKUP(M$1,main!$A$3:$I$56,7,FALSE),main!$K$10:$Q$14,3,FALSE),1,0)</f>
        <v>0</v>
      </c>
      <c r="N15">
        <f>IF(VLOOKUP(N$1,main!$A$3:$I$56,5,FALSE)-VLOOKUP($A15,main!$A$3:$I$56,6,FALSE)&gt;=VLOOKUP(55,main!$A$57:$I$59,4,FALSE)+VLOOKUP(VLOOKUP(N$1,main!$A$3:$I$56,7,FALSE),main!$K$10:$Q$14,3,FALSE),1,0)</f>
        <v>0</v>
      </c>
      <c r="O15">
        <f>IF(VLOOKUP(O$1,main!$A$3:$I$56,5,FALSE)-VLOOKUP($A15,main!$A$3:$I$56,6,FALSE)&gt;=VLOOKUP(55,main!$A$57:$I$59,4,FALSE)+VLOOKUP(VLOOKUP(O$1,main!$A$3:$I$56,7,FALSE),main!$K$10:$Q$14,3,FALSE),1,0)</f>
        <v>0</v>
      </c>
      <c r="P15">
        <f>IF(VLOOKUP(P$1,main!$A$3:$I$56,5,FALSE)-VLOOKUP($A15,main!$A$3:$I$56,6,FALSE)&gt;=VLOOKUP(55,main!$A$57:$I$59,4,FALSE)+VLOOKUP(VLOOKUP(P$1,main!$A$3:$I$56,7,FALSE),main!$K$10:$Q$14,3,FALSE),1,0)</f>
        <v>0</v>
      </c>
      <c r="Q15">
        <f>IF(VLOOKUP(Q$1,main!$A$3:$I$56,5,FALSE)-VLOOKUP($A15,main!$A$3:$I$56,6,FALSE)&gt;=VLOOKUP(55,main!$A$57:$I$59,4,FALSE)+VLOOKUP(VLOOKUP(Q$1,main!$A$3:$I$56,7,FALSE),main!$K$10:$Q$14,3,FALSE),1,0)</f>
        <v>0</v>
      </c>
      <c r="R15">
        <f>IF(VLOOKUP(R$1,main!$A$3:$I$56,5,FALSE)-VLOOKUP($A15,main!$A$3:$I$56,6,FALSE)&gt;=VLOOKUP(55,main!$A$57:$I$59,4,FALSE)+VLOOKUP(VLOOKUP(R$1,main!$A$3:$I$56,7,FALSE),main!$K$10:$Q$14,3,FALSE),1,0)</f>
        <v>0</v>
      </c>
      <c r="S15">
        <f>IF(VLOOKUP(S$1,main!$A$3:$I$56,5,FALSE)-VLOOKUP($A15,main!$A$3:$I$56,6,FALSE)&gt;=VLOOKUP(55,main!$A$57:$I$59,4,FALSE)+VLOOKUP(VLOOKUP(S$1,main!$A$3:$I$56,7,FALSE),main!$K$10:$Q$14,3,FALSE),1,0)</f>
        <v>0</v>
      </c>
      <c r="T15">
        <f>IF(VLOOKUP(T$1,main!$A$3:$I$56,5,FALSE)-VLOOKUP($A15,main!$A$3:$I$56,6,FALSE)&gt;=VLOOKUP(55,main!$A$57:$I$59,4,FALSE)+VLOOKUP(VLOOKUP(T$1,main!$A$3:$I$56,7,FALSE),main!$K$10:$Q$14,3,FALSE),1,0)</f>
        <v>0</v>
      </c>
      <c r="U15">
        <f>IF(VLOOKUP(U$1,main!$A$3:$I$56,5,FALSE)-VLOOKUP($A15,main!$A$3:$I$56,6,FALSE)&gt;=VLOOKUP(55,main!$A$57:$I$59,4,FALSE)+VLOOKUP(VLOOKUP(U$1,main!$A$3:$I$56,7,FALSE),main!$K$10:$Q$14,3,FALSE),1,0)</f>
        <v>0</v>
      </c>
      <c r="V15">
        <f>IF(VLOOKUP(V$1,main!$A$3:$I$56,5,FALSE)-VLOOKUP($A15,main!$A$3:$I$56,6,FALSE)&gt;=VLOOKUP(55,main!$A$57:$I$59,4,FALSE)+VLOOKUP(VLOOKUP(V$1,main!$A$3:$I$56,7,FALSE),main!$K$10:$Q$14,3,FALSE),1,0)</f>
        <v>0</v>
      </c>
      <c r="W15">
        <f>IF(VLOOKUP(W$1,main!$A$3:$I$56,5,FALSE)-VLOOKUP($A15,main!$A$3:$I$56,6,FALSE)&gt;=VLOOKUP(55,main!$A$57:$I$59,4,FALSE)+VLOOKUP(VLOOKUP(W$1,main!$A$3:$I$56,7,FALSE),main!$K$10:$Q$14,3,FALSE),1,0)</f>
        <v>0</v>
      </c>
      <c r="X15">
        <f>IF(VLOOKUP(X$1,main!$A$3:$I$56,5,FALSE)-VLOOKUP($A15,main!$A$3:$I$56,6,FALSE)&gt;=VLOOKUP(55,main!$A$57:$I$59,4,FALSE)+VLOOKUP(VLOOKUP(X$1,main!$A$3:$I$56,7,FALSE),main!$K$10:$Q$14,3,FALSE),1,0)</f>
        <v>0</v>
      </c>
      <c r="Y15">
        <f>IF(VLOOKUP(Y$1,main!$A$3:$I$56,5,FALSE)-VLOOKUP($A15,main!$A$3:$I$56,6,FALSE)&gt;=VLOOKUP(55,main!$A$57:$I$59,4,FALSE)+VLOOKUP(VLOOKUP(Y$1,main!$A$3:$I$56,7,FALSE),main!$K$10:$Q$14,3,FALSE),1,0)</f>
        <v>0</v>
      </c>
      <c r="Z15">
        <f>IF(VLOOKUP(Z$1,main!$A$3:$I$56,5,FALSE)-VLOOKUP($A15,main!$A$3:$I$56,6,FALSE)&gt;=VLOOKUP(55,main!$A$57:$I$59,4,FALSE)+VLOOKUP(VLOOKUP(Z$1,main!$A$3:$I$56,7,FALSE),main!$K$10:$Q$14,3,FALSE),1,0)</f>
        <v>0</v>
      </c>
      <c r="AA15">
        <f>IF(VLOOKUP(AA$1,main!$A$3:$I$56,5,FALSE)-VLOOKUP($A15,main!$A$3:$I$56,6,FALSE)&gt;=VLOOKUP(55,main!$A$57:$I$59,4,FALSE)+VLOOKUP(VLOOKUP(AA$1,main!$A$3:$I$56,7,FALSE),main!$K$10:$Q$14,3,FALSE),1,0)</f>
        <v>0</v>
      </c>
      <c r="AB15">
        <f>IF(VLOOKUP(AB$1,main!$A$3:$I$56,5,FALSE)-VLOOKUP($A15,main!$A$3:$I$56,6,FALSE)&gt;=VLOOKUP(55,main!$A$57:$I$59,4,FALSE)+VLOOKUP(VLOOKUP(AB$1,main!$A$3:$I$56,7,FALSE),main!$K$10:$Q$14,3,FALSE),1,0)</f>
        <v>0</v>
      </c>
      <c r="AC15">
        <f>IF(VLOOKUP(AC$1,main!$A$3:$I$56,5,FALSE)-VLOOKUP($A15,main!$A$3:$I$56,6,FALSE)&gt;=VLOOKUP(55,main!$A$57:$I$59,4,FALSE)+VLOOKUP(VLOOKUP(AC$1,main!$A$3:$I$56,7,FALSE),main!$K$10:$Q$14,3,FALSE),1,0)</f>
        <v>0</v>
      </c>
      <c r="AD15">
        <f>IF(VLOOKUP(AD$1,main!$A$3:$I$56,5,FALSE)-VLOOKUP($A15,main!$A$3:$I$56,6,FALSE)&gt;=VLOOKUP(55,main!$A$57:$I$59,4,FALSE)+VLOOKUP(VLOOKUP(AD$1,main!$A$3:$I$56,7,FALSE),main!$K$10:$Q$14,3,FALSE),1,0)</f>
        <v>0</v>
      </c>
      <c r="AE15">
        <f>IF(VLOOKUP(AE$1,main!$A$3:$I$56,5,FALSE)-VLOOKUP($A15,main!$A$3:$I$56,6,FALSE)&gt;=VLOOKUP(55,main!$A$57:$I$59,4,FALSE)+VLOOKUP(VLOOKUP(AE$1,main!$A$3:$I$56,7,FALSE),main!$K$10:$Q$14,3,FALSE),1,0)</f>
        <v>0</v>
      </c>
      <c r="AF15">
        <f>IF(VLOOKUP(AF$1,main!$A$3:$I$56,5,FALSE)-VLOOKUP($A15,main!$A$3:$I$56,6,FALSE)&gt;=VLOOKUP(55,main!$A$57:$I$59,4,FALSE)+VLOOKUP(VLOOKUP(AF$1,main!$A$3:$I$56,7,FALSE),main!$K$10:$Q$14,3,FALSE),1,0)</f>
        <v>0</v>
      </c>
      <c r="AG15">
        <f>IF(VLOOKUP(AG$1,main!$A$3:$I$56,5,FALSE)-VLOOKUP($A15,main!$A$3:$I$56,6,FALSE)&gt;=VLOOKUP(55,main!$A$57:$I$59,4,FALSE)+VLOOKUP(VLOOKUP(AG$1,main!$A$3:$I$56,7,FALSE),main!$K$10:$Q$14,3,FALSE),1,0)</f>
        <v>0</v>
      </c>
      <c r="AH15">
        <f>IF(VLOOKUP(AH$1,main!$A$3:$I$56,5,FALSE)-VLOOKUP($A15,main!$A$3:$I$56,6,FALSE)&gt;=VLOOKUP(55,main!$A$57:$I$59,4,FALSE)+VLOOKUP(VLOOKUP(AH$1,main!$A$3:$I$56,7,FALSE),main!$K$10:$Q$14,3,FALSE),1,0)</f>
        <v>0</v>
      </c>
      <c r="AI15">
        <f>IF(VLOOKUP(AI$1,main!$A$3:$I$56,5,FALSE)-VLOOKUP($A15,main!$A$3:$I$56,6,FALSE)&gt;=VLOOKUP(55,main!$A$57:$I$59,4,FALSE)+VLOOKUP(VLOOKUP(AI$1,main!$A$3:$I$56,7,FALSE),main!$K$10:$Q$14,3,FALSE),1,0)</f>
        <v>0</v>
      </c>
      <c r="AJ15">
        <f>IF(VLOOKUP(AJ$1,main!$A$3:$I$56,5,FALSE)-VLOOKUP($A15,main!$A$3:$I$56,6,FALSE)&gt;=VLOOKUP(55,main!$A$57:$I$59,4,FALSE)+VLOOKUP(VLOOKUP(AJ$1,main!$A$3:$I$56,7,FALSE),main!$K$10:$Q$14,3,FALSE),1,0)</f>
        <v>0</v>
      </c>
      <c r="AK15">
        <f>IF(VLOOKUP(AK$1,main!$A$3:$I$56,5,FALSE)-VLOOKUP($A15,main!$A$3:$I$56,6,FALSE)&gt;=VLOOKUP(55,main!$A$57:$I$59,4,FALSE)+VLOOKUP(VLOOKUP(AK$1,main!$A$3:$I$56,7,FALSE),main!$K$10:$Q$14,3,FALSE),1,0)</f>
        <v>0</v>
      </c>
      <c r="AL15">
        <f>IF(VLOOKUP(AL$1,main!$A$3:$I$56,5,FALSE)-VLOOKUP($A15,main!$A$3:$I$56,6,FALSE)&gt;=VLOOKUP(55,main!$A$57:$I$59,4,FALSE)+VLOOKUP(VLOOKUP(AL$1,main!$A$3:$I$56,7,FALSE),main!$K$10:$Q$14,3,FALSE),1,0)</f>
        <v>0</v>
      </c>
      <c r="AM15">
        <f>IF(VLOOKUP(AM$1,main!$A$3:$I$56,5,FALSE)-VLOOKUP($A15,main!$A$3:$I$56,6,FALSE)&gt;=VLOOKUP(55,main!$A$57:$I$59,4,FALSE)+VLOOKUP(VLOOKUP(AM$1,main!$A$3:$I$56,7,FALSE),main!$K$10:$Q$14,3,FALSE),1,0)</f>
        <v>0</v>
      </c>
      <c r="AN15">
        <f>IF(VLOOKUP(AN$1,main!$A$3:$I$56,5,FALSE)-VLOOKUP($A15,main!$A$3:$I$56,6,FALSE)&gt;=VLOOKUP(55,main!$A$57:$I$59,4,FALSE)+VLOOKUP(VLOOKUP(AN$1,main!$A$3:$I$56,7,FALSE),main!$K$10:$Q$14,3,FALSE),1,0)</f>
        <v>0</v>
      </c>
      <c r="AO15">
        <f>IF(VLOOKUP(AO$1,main!$A$3:$I$56,5,FALSE)-VLOOKUP($A15,main!$A$3:$I$56,6,FALSE)&gt;=VLOOKUP(55,main!$A$57:$I$59,4,FALSE)+VLOOKUP(VLOOKUP(AO$1,main!$A$3:$I$56,7,FALSE),main!$K$10:$Q$14,3,FALSE),1,0)</f>
        <v>0</v>
      </c>
      <c r="AP15">
        <f>IF(VLOOKUP(AP$1,main!$A$3:$I$56,5,FALSE)-VLOOKUP($A15,main!$A$3:$I$56,6,FALSE)&gt;=VLOOKUP(55,main!$A$57:$I$59,4,FALSE)+VLOOKUP(VLOOKUP(AP$1,main!$A$3:$I$56,7,FALSE),main!$K$10:$Q$14,3,FALSE),1,0)</f>
        <v>0</v>
      </c>
      <c r="AQ15">
        <f>IF(VLOOKUP(AQ$1,main!$A$3:$I$56,5,FALSE)-VLOOKUP($A15,main!$A$3:$I$56,6,FALSE)&gt;=VLOOKUP(55,main!$A$57:$I$59,4,FALSE)+VLOOKUP(VLOOKUP(AQ$1,main!$A$3:$I$56,7,FALSE),main!$K$10:$Q$14,3,FALSE),1,0)</f>
        <v>0</v>
      </c>
      <c r="AR15">
        <f>IF(VLOOKUP(AR$1,main!$A$3:$I$56,5,FALSE)-VLOOKUP($A15,main!$A$3:$I$56,6,FALSE)&gt;=VLOOKUP(55,main!$A$57:$I$59,4,FALSE)+VLOOKUP(VLOOKUP(AR$1,main!$A$3:$I$56,7,FALSE),main!$K$10:$Q$14,3,FALSE),1,0)</f>
        <v>0</v>
      </c>
      <c r="AS15">
        <f>IF(VLOOKUP(AS$1,main!$A$3:$I$56,5,FALSE)-VLOOKUP($A15,main!$A$3:$I$56,6,FALSE)&gt;=VLOOKUP(55,main!$A$57:$I$59,4,FALSE)+VLOOKUP(VLOOKUP(AS$1,main!$A$3:$I$56,7,FALSE),main!$K$10:$Q$14,3,FALSE),1,0)</f>
        <v>0</v>
      </c>
      <c r="AT15">
        <f>IF(VLOOKUP(AT$1,main!$A$3:$I$56,5,FALSE)-VLOOKUP($A15,main!$A$3:$I$56,6,FALSE)&gt;=VLOOKUP(55,main!$A$57:$I$59,4,FALSE)+VLOOKUP(VLOOKUP(AT$1,main!$A$3:$I$56,7,FALSE),main!$K$10:$Q$14,3,FALSE),1,0)</f>
        <v>0</v>
      </c>
      <c r="AU15">
        <f>IF(VLOOKUP(AU$1,main!$A$3:$I$56,5,FALSE)-VLOOKUP($A15,main!$A$3:$I$56,6,FALSE)&gt;=VLOOKUP(55,main!$A$57:$I$59,4,FALSE)+VLOOKUP(VLOOKUP(AU$1,main!$A$3:$I$56,7,FALSE),main!$K$10:$Q$14,3,FALSE),1,0)</f>
        <v>0</v>
      </c>
      <c r="AV15">
        <f>IF(VLOOKUP(AV$1,main!$A$3:$I$56,5,FALSE)-VLOOKUP($A15,main!$A$3:$I$56,6,FALSE)&gt;=VLOOKUP(55,main!$A$57:$I$59,4,FALSE)+VLOOKUP(VLOOKUP(AV$1,main!$A$3:$I$56,7,FALSE),main!$K$10:$Q$14,3,FALSE),1,0)</f>
        <v>0</v>
      </c>
      <c r="AW15">
        <f>IF(VLOOKUP(AW$1,main!$A$3:$I$56,5,FALSE)-VLOOKUP($A15,main!$A$3:$I$56,6,FALSE)&gt;=VLOOKUP(55,main!$A$57:$I$59,4,FALSE)+VLOOKUP(VLOOKUP(AW$1,main!$A$3:$I$56,7,FALSE),main!$K$10:$Q$14,3,FALSE),1,0)</f>
        <v>0</v>
      </c>
      <c r="AX15">
        <f>IF(VLOOKUP(AX$1,main!$A$3:$I$56,5,FALSE)-VLOOKUP($A15,main!$A$3:$I$56,6,FALSE)&gt;=VLOOKUP(55,main!$A$57:$I$59,4,FALSE)+VLOOKUP(VLOOKUP(AX$1,main!$A$3:$I$56,7,FALSE),main!$K$10:$Q$14,3,FALSE),1,0)</f>
        <v>0</v>
      </c>
      <c r="AY15">
        <f>IF(VLOOKUP(AY$1,main!$A$3:$I$56,5,FALSE)-VLOOKUP($A15,main!$A$3:$I$56,6,FALSE)&gt;=VLOOKUP(55,main!$A$57:$I$59,4,FALSE)+VLOOKUP(VLOOKUP(AY$1,main!$A$3:$I$56,7,FALSE),main!$K$10:$Q$14,3,FALSE),1,0)</f>
        <v>0</v>
      </c>
      <c r="AZ15">
        <f>IF(VLOOKUP(AZ$1,main!$A$3:$I$56,5,FALSE)-VLOOKUP($A15,main!$A$3:$I$56,6,FALSE)&gt;=VLOOKUP(55,main!$A$57:$I$59,4,FALSE)+VLOOKUP(VLOOKUP(AZ$1,main!$A$3:$I$56,7,FALSE),main!$K$10:$Q$14,3,FALSE),1,0)</f>
        <v>0</v>
      </c>
      <c r="BA15">
        <f>IF(VLOOKUP(BA$1,main!$A$3:$I$56,5,FALSE)-VLOOKUP($A15,main!$A$3:$I$56,6,FALSE)&gt;=VLOOKUP(55,main!$A$57:$I$59,4,FALSE)+VLOOKUP(VLOOKUP(BA$1,main!$A$3:$I$56,7,FALSE),main!$K$10:$Q$14,3,FALSE),1,0)</f>
        <v>0</v>
      </c>
      <c r="BB15">
        <f>IF(VLOOKUP(BB$1,main!$A$3:$I$56,5,FALSE)-VLOOKUP($A15,main!$A$3:$I$56,6,FALSE)&gt;=VLOOKUP(55,main!$A$57:$I$59,4,FALSE)+VLOOKUP(VLOOKUP(BB$1,main!$A$3:$I$56,7,FALSE),main!$K$10:$Q$14,3,FALSE),1,0)</f>
        <v>0</v>
      </c>
      <c r="BC15">
        <f>IF(VLOOKUP(BC$1,main!$A$3:$I$56,5,FALSE)-VLOOKUP($A15,main!$A$3:$I$56,6,FALSE)&gt;=VLOOKUP(55,main!$A$57:$I$59,4,FALSE)+VLOOKUP(VLOOKUP(BC$1,main!$A$3:$I$56,7,FALSE),main!$K$10:$Q$14,3,FALSE),1,0)</f>
        <v>0</v>
      </c>
      <c r="BD15">
        <f>IF(VLOOKUP(BD$1,main!$A$3:$I$56,5,FALSE)-VLOOKUP($A15,main!$A$3:$I$56,6,FALSE)&gt;=VLOOKUP(55,main!$A$57:$I$59,4,FALSE)+VLOOKUP(VLOOKUP(BD$1,main!$A$3:$I$56,7,FALSE),main!$K$10:$Q$14,3,FALSE),1,0)</f>
        <v>0</v>
      </c>
    </row>
    <row r="16" spans="1:56" x14ac:dyDescent="0.25">
      <c r="A16">
        <f t="shared" si="0"/>
        <v>14</v>
      </c>
      <c r="B16">
        <v>0</v>
      </c>
      <c r="C16">
        <f>IF(VLOOKUP(C$1,main!$A$3:$I$56,5,FALSE)-VLOOKUP($A16,main!$A$3:$I$56,6,FALSE)&gt;=VLOOKUP(55,main!$A$57:$I$59,4,FALSE)+VLOOKUP(VLOOKUP(C$1,main!$A$3:$I$56,7,FALSE),main!$K$10:$Q$14,3,FALSE),1,0)</f>
        <v>0</v>
      </c>
      <c r="D16">
        <f>IF(VLOOKUP(D$1,main!$A$3:$I$56,5,FALSE)-VLOOKUP($A16,main!$A$3:$I$56,6,FALSE)&gt;=VLOOKUP(55,main!$A$57:$I$59,4,FALSE)+VLOOKUP(VLOOKUP(D$1,main!$A$3:$I$56,7,FALSE),main!$K$10:$Q$14,3,FALSE),1,0)</f>
        <v>0</v>
      </c>
      <c r="E16">
        <f>IF(VLOOKUP(E$1,main!$A$3:$I$56,5,FALSE)-VLOOKUP($A16,main!$A$3:$I$56,6,FALSE)&gt;=VLOOKUP(55,main!$A$57:$I$59,4,FALSE)+VLOOKUP(VLOOKUP(E$1,main!$A$3:$I$56,7,FALSE),main!$K$10:$Q$14,3,FALSE),1,0)</f>
        <v>1</v>
      </c>
      <c r="F16">
        <f>IF(VLOOKUP(F$1,main!$A$3:$I$56,5,FALSE)-VLOOKUP($A16,main!$A$3:$I$56,6,FALSE)&gt;=VLOOKUP(55,main!$A$57:$I$59,4,FALSE)+VLOOKUP(VLOOKUP(F$1,main!$A$3:$I$56,7,FALSE),main!$K$10:$Q$14,3,FALSE),1,0)</f>
        <v>1</v>
      </c>
      <c r="G16">
        <f>IF(VLOOKUP(G$1,main!$A$3:$I$56,5,FALSE)-VLOOKUP($A16,main!$A$3:$I$56,6,FALSE)&gt;=VLOOKUP(55,main!$A$57:$I$59,4,FALSE)+VLOOKUP(VLOOKUP(G$1,main!$A$3:$I$56,7,FALSE),main!$K$10:$Q$14,3,FALSE),1,0)</f>
        <v>1</v>
      </c>
      <c r="H16">
        <f>IF(VLOOKUP(H$1,main!$A$3:$I$56,5,FALSE)-VLOOKUP($A16,main!$A$3:$I$56,6,FALSE)&gt;=VLOOKUP(55,main!$A$57:$I$59,4,FALSE)+VLOOKUP(VLOOKUP(H$1,main!$A$3:$I$56,7,FALSE),main!$K$10:$Q$14,3,FALSE),1,0)</f>
        <v>1</v>
      </c>
      <c r="I16">
        <f>IF(VLOOKUP(I$1,main!$A$3:$I$56,5,FALSE)-VLOOKUP($A16,main!$A$3:$I$56,6,FALSE)&gt;=VLOOKUP(55,main!$A$57:$I$59,4,FALSE)+VLOOKUP(VLOOKUP(I$1,main!$A$3:$I$56,7,FALSE),main!$K$10:$Q$14,3,FALSE),1,0)</f>
        <v>1</v>
      </c>
      <c r="J16">
        <f>IF(VLOOKUP(J$1,main!$A$3:$I$56,5,FALSE)-VLOOKUP($A16,main!$A$3:$I$56,6,FALSE)&gt;=VLOOKUP(55,main!$A$57:$I$59,4,FALSE)+VLOOKUP(VLOOKUP(J$1,main!$A$3:$I$56,7,FALSE),main!$K$10:$Q$14,3,FALSE),1,0)</f>
        <v>1</v>
      </c>
      <c r="K16">
        <f>IF(VLOOKUP(K$1,main!$A$3:$I$56,5,FALSE)-VLOOKUP($A16,main!$A$3:$I$56,6,FALSE)&gt;=VLOOKUP(55,main!$A$57:$I$59,4,FALSE)+VLOOKUP(VLOOKUP(K$1,main!$A$3:$I$56,7,FALSE),main!$K$10:$Q$14,3,FALSE),1,0)</f>
        <v>0</v>
      </c>
      <c r="L16">
        <f>IF(VLOOKUP(L$1,main!$A$3:$I$56,5,FALSE)-VLOOKUP($A16,main!$A$3:$I$56,6,FALSE)&gt;=VLOOKUP(55,main!$A$57:$I$59,4,FALSE)+VLOOKUP(VLOOKUP(L$1,main!$A$3:$I$56,7,FALSE),main!$K$10:$Q$14,3,FALSE),1,0)</f>
        <v>0</v>
      </c>
      <c r="M16">
        <f>IF(VLOOKUP(M$1,main!$A$3:$I$56,5,FALSE)-VLOOKUP($A16,main!$A$3:$I$56,6,FALSE)&gt;=VLOOKUP(55,main!$A$57:$I$59,4,FALSE)+VLOOKUP(VLOOKUP(M$1,main!$A$3:$I$56,7,FALSE),main!$K$10:$Q$14,3,FALSE),1,0)</f>
        <v>1</v>
      </c>
      <c r="N16">
        <f>IF(VLOOKUP(N$1,main!$A$3:$I$56,5,FALSE)-VLOOKUP($A16,main!$A$3:$I$56,6,FALSE)&gt;=VLOOKUP(55,main!$A$57:$I$59,4,FALSE)+VLOOKUP(VLOOKUP(N$1,main!$A$3:$I$56,7,FALSE),main!$K$10:$Q$14,3,FALSE),1,0)</f>
        <v>1</v>
      </c>
      <c r="O16">
        <f>IF(VLOOKUP(O$1,main!$A$3:$I$56,5,FALSE)-VLOOKUP($A16,main!$A$3:$I$56,6,FALSE)&gt;=VLOOKUP(55,main!$A$57:$I$59,4,FALSE)+VLOOKUP(VLOOKUP(O$1,main!$A$3:$I$56,7,FALSE),main!$K$10:$Q$14,3,FALSE),1,0)</f>
        <v>1</v>
      </c>
      <c r="P16">
        <f>IF(VLOOKUP(P$1,main!$A$3:$I$56,5,FALSE)-VLOOKUP($A16,main!$A$3:$I$56,6,FALSE)&gt;=VLOOKUP(55,main!$A$57:$I$59,4,FALSE)+VLOOKUP(VLOOKUP(P$1,main!$A$3:$I$56,7,FALSE),main!$K$10:$Q$14,3,FALSE),1,0)</f>
        <v>0</v>
      </c>
      <c r="Q16">
        <f>IF(VLOOKUP(Q$1,main!$A$3:$I$56,5,FALSE)-VLOOKUP($A16,main!$A$3:$I$56,6,FALSE)&gt;=VLOOKUP(55,main!$A$57:$I$59,4,FALSE)+VLOOKUP(VLOOKUP(Q$1,main!$A$3:$I$56,7,FALSE),main!$K$10:$Q$14,3,FALSE),1,0)</f>
        <v>0</v>
      </c>
      <c r="R16">
        <f>IF(VLOOKUP(R$1,main!$A$3:$I$56,5,FALSE)-VLOOKUP($A16,main!$A$3:$I$56,6,FALSE)&gt;=VLOOKUP(55,main!$A$57:$I$59,4,FALSE)+VLOOKUP(VLOOKUP(R$1,main!$A$3:$I$56,7,FALSE),main!$K$10:$Q$14,3,FALSE),1,0)</f>
        <v>1</v>
      </c>
      <c r="S16">
        <f>IF(VLOOKUP(S$1,main!$A$3:$I$56,5,FALSE)-VLOOKUP($A16,main!$A$3:$I$56,6,FALSE)&gt;=VLOOKUP(55,main!$A$57:$I$59,4,FALSE)+VLOOKUP(VLOOKUP(S$1,main!$A$3:$I$56,7,FALSE),main!$K$10:$Q$14,3,FALSE),1,0)</f>
        <v>1</v>
      </c>
      <c r="T16">
        <f>IF(VLOOKUP(T$1,main!$A$3:$I$56,5,FALSE)-VLOOKUP($A16,main!$A$3:$I$56,6,FALSE)&gt;=VLOOKUP(55,main!$A$57:$I$59,4,FALSE)+VLOOKUP(VLOOKUP(T$1,main!$A$3:$I$56,7,FALSE),main!$K$10:$Q$14,3,FALSE),1,0)</f>
        <v>1</v>
      </c>
      <c r="U16">
        <f>IF(VLOOKUP(U$1,main!$A$3:$I$56,5,FALSE)-VLOOKUP($A16,main!$A$3:$I$56,6,FALSE)&gt;=VLOOKUP(55,main!$A$57:$I$59,4,FALSE)+VLOOKUP(VLOOKUP(U$1,main!$A$3:$I$56,7,FALSE),main!$K$10:$Q$14,3,FALSE),1,0)</f>
        <v>0</v>
      </c>
      <c r="V16">
        <f>IF(VLOOKUP(V$1,main!$A$3:$I$56,5,FALSE)-VLOOKUP($A16,main!$A$3:$I$56,6,FALSE)&gt;=VLOOKUP(55,main!$A$57:$I$59,4,FALSE)+VLOOKUP(VLOOKUP(V$1,main!$A$3:$I$56,7,FALSE),main!$K$10:$Q$14,3,FALSE),1,0)</f>
        <v>0</v>
      </c>
      <c r="W16">
        <f>IF(VLOOKUP(W$1,main!$A$3:$I$56,5,FALSE)-VLOOKUP($A16,main!$A$3:$I$56,6,FALSE)&gt;=VLOOKUP(55,main!$A$57:$I$59,4,FALSE)+VLOOKUP(VLOOKUP(W$1,main!$A$3:$I$56,7,FALSE),main!$K$10:$Q$14,3,FALSE),1,0)</f>
        <v>0</v>
      </c>
      <c r="X16">
        <f>IF(VLOOKUP(X$1,main!$A$3:$I$56,5,FALSE)-VLOOKUP($A16,main!$A$3:$I$56,6,FALSE)&gt;=VLOOKUP(55,main!$A$57:$I$59,4,FALSE)+VLOOKUP(VLOOKUP(X$1,main!$A$3:$I$56,7,FALSE),main!$K$10:$Q$14,3,FALSE),1,0)</f>
        <v>1</v>
      </c>
      <c r="Y16">
        <f>IF(VLOOKUP(Y$1,main!$A$3:$I$56,5,FALSE)-VLOOKUP($A16,main!$A$3:$I$56,6,FALSE)&gt;=VLOOKUP(55,main!$A$57:$I$59,4,FALSE)+VLOOKUP(VLOOKUP(Y$1,main!$A$3:$I$56,7,FALSE),main!$K$10:$Q$14,3,FALSE),1,0)</f>
        <v>1</v>
      </c>
      <c r="Z16">
        <f>IF(VLOOKUP(Z$1,main!$A$3:$I$56,5,FALSE)-VLOOKUP($A16,main!$A$3:$I$56,6,FALSE)&gt;=VLOOKUP(55,main!$A$57:$I$59,4,FALSE)+VLOOKUP(VLOOKUP(Z$1,main!$A$3:$I$56,7,FALSE),main!$K$10:$Q$14,3,FALSE),1,0)</f>
        <v>1</v>
      </c>
      <c r="AA16">
        <f>IF(VLOOKUP(AA$1,main!$A$3:$I$56,5,FALSE)-VLOOKUP($A16,main!$A$3:$I$56,6,FALSE)&gt;=VLOOKUP(55,main!$A$57:$I$59,4,FALSE)+VLOOKUP(VLOOKUP(AA$1,main!$A$3:$I$56,7,FALSE),main!$K$10:$Q$14,3,FALSE),1,0)</f>
        <v>1</v>
      </c>
      <c r="AB16">
        <f>IF(VLOOKUP(AB$1,main!$A$3:$I$56,5,FALSE)-VLOOKUP($A16,main!$A$3:$I$56,6,FALSE)&gt;=VLOOKUP(55,main!$A$57:$I$59,4,FALSE)+VLOOKUP(VLOOKUP(AB$1,main!$A$3:$I$56,7,FALSE),main!$K$10:$Q$14,3,FALSE),1,0)</f>
        <v>1</v>
      </c>
      <c r="AC16">
        <f>IF(VLOOKUP(AC$1,main!$A$3:$I$56,5,FALSE)-VLOOKUP($A16,main!$A$3:$I$56,6,FALSE)&gt;=VLOOKUP(55,main!$A$57:$I$59,4,FALSE)+VLOOKUP(VLOOKUP(AC$1,main!$A$3:$I$56,7,FALSE),main!$K$10:$Q$14,3,FALSE),1,0)</f>
        <v>0</v>
      </c>
      <c r="AD16">
        <f>IF(VLOOKUP(AD$1,main!$A$3:$I$56,5,FALSE)-VLOOKUP($A16,main!$A$3:$I$56,6,FALSE)&gt;=VLOOKUP(55,main!$A$57:$I$59,4,FALSE)+VLOOKUP(VLOOKUP(AD$1,main!$A$3:$I$56,7,FALSE),main!$K$10:$Q$14,3,FALSE),1,0)</f>
        <v>0</v>
      </c>
      <c r="AE16">
        <f>IF(VLOOKUP(AE$1,main!$A$3:$I$56,5,FALSE)-VLOOKUP($A16,main!$A$3:$I$56,6,FALSE)&gt;=VLOOKUP(55,main!$A$57:$I$59,4,FALSE)+VLOOKUP(VLOOKUP(AE$1,main!$A$3:$I$56,7,FALSE),main!$K$10:$Q$14,3,FALSE),1,0)</f>
        <v>1</v>
      </c>
      <c r="AF16">
        <f>IF(VLOOKUP(AF$1,main!$A$3:$I$56,5,FALSE)-VLOOKUP($A16,main!$A$3:$I$56,6,FALSE)&gt;=VLOOKUP(55,main!$A$57:$I$59,4,FALSE)+VLOOKUP(VLOOKUP(AF$1,main!$A$3:$I$56,7,FALSE),main!$K$10:$Q$14,3,FALSE),1,0)</f>
        <v>1</v>
      </c>
      <c r="AG16">
        <f>IF(VLOOKUP(AG$1,main!$A$3:$I$56,5,FALSE)-VLOOKUP($A16,main!$A$3:$I$56,6,FALSE)&gt;=VLOOKUP(55,main!$A$57:$I$59,4,FALSE)+VLOOKUP(VLOOKUP(AG$1,main!$A$3:$I$56,7,FALSE),main!$K$10:$Q$14,3,FALSE),1,0)</f>
        <v>0</v>
      </c>
      <c r="AH16">
        <f>IF(VLOOKUP(AH$1,main!$A$3:$I$56,5,FALSE)-VLOOKUP($A16,main!$A$3:$I$56,6,FALSE)&gt;=VLOOKUP(55,main!$A$57:$I$59,4,FALSE)+VLOOKUP(VLOOKUP(AH$1,main!$A$3:$I$56,7,FALSE),main!$K$10:$Q$14,3,FALSE),1,0)</f>
        <v>0</v>
      </c>
      <c r="AI16">
        <f>IF(VLOOKUP(AI$1,main!$A$3:$I$56,5,FALSE)-VLOOKUP($A16,main!$A$3:$I$56,6,FALSE)&gt;=VLOOKUP(55,main!$A$57:$I$59,4,FALSE)+VLOOKUP(VLOOKUP(AI$1,main!$A$3:$I$56,7,FALSE),main!$K$10:$Q$14,3,FALSE),1,0)</f>
        <v>1</v>
      </c>
      <c r="AJ16">
        <f>IF(VLOOKUP(AJ$1,main!$A$3:$I$56,5,FALSE)-VLOOKUP($A16,main!$A$3:$I$56,6,FALSE)&gt;=VLOOKUP(55,main!$A$57:$I$59,4,FALSE)+VLOOKUP(VLOOKUP(AJ$1,main!$A$3:$I$56,7,FALSE),main!$K$10:$Q$14,3,FALSE),1,0)</f>
        <v>1</v>
      </c>
      <c r="AK16">
        <f>IF(VLOOKUP(AK$1,main!$A$3:$I$56,5,FALSE)-VLOOKUP($A16,main!$A$3:$I$56,6,FALSE)&gt;=VLOOKUP(55,main!$A$57:$I$59,4,FALSE)+VLOOKUP(VLOOKUP(AK$1,main!$A$3:$I$56,7,FALSE),main!$K$10:$Q$14,3,FALSE),1,0)</f>
        <v>1</v>
      </c>
      <c r="AL16">
        <f>IF(VLOOKUP(AL$1,main!$A$3:$I$56,5,FALSE)-VLOOKUP($A16,main!$A$3:$I$56,6,FALSE)&gt;=VLOOKUP(55,main!$A$57:$I$59,4,FALSE)+VLOOKUP(VLOOKUP(AL$1,main!$A$3:$I$56,7,FALSE),main!$K$10:$Q$14,3,FALSE),1,0)</f>
        <v>0</v>
      </c>
      <c r="AM16">
        <f>IF(VLOOKUP(AM$1,main!$A$3:$I$56,5,FALSE)-VLOOKUP($A16,main!$A$3:$I$56,6,FALSE)&gt;=VLOOKUP(55,main!$A$57:$I$59,4,FALSE)+VLOOKUP(VLOOKUP(AM$1,main!$A$3:$I$56,7,FALSE),main!$K$10:$Q$14,3,FALSE),1,0)</f>
        <v>0</v>
      </c>
      <c r="AN16">
        <f>IF(VLOOKUP(AN$1,main!$A$3:$I$56,5,FALSE)-VLOOKUP($A16,main!$A$3:$I$56,6,FALSE)&gt;=VLOOKUP(55,main!$A$57:$I$59,4,FALSE)+VLOOKUP(VLOOKUP(AN$1,main!$A$3:$I$56,7,FALSE),main!$K$10:$Q$14,3,FALSE),1,0)</f>
        <v>1</v>
      </c>
      <c r="AO16">
        <f>IF(VLOOKUP(AO$1,main!$A$3:$I$56,5,FALSE)-VLOOKUP($A16,main!$A$3:$I$56,6,FALSE)&gt;=VLOOKUP(55,main!$A$57:$I$59,4,FALSE)+VLOOKUP(VLOOKUP(AO$1,main!$A$3:$I$56,7,FALSE),main!$K$10:$Q$14,3,FALSE),1,0)</f>
        <v>1</v>
      </c>
      <c r="AP16">
        <f>IF(VLOOKUP(AP$1,main!$A$3:$I$56,5,FALSE)-VLOOKUP($A16,main!$A$3:$I$56,6,FALSE)&gt;=VLOOKUP(55,main!$A$57:$I$59,4,FALSE)+VLOOKUP(VLOOKUP(AP$1,main!$A$3:$I$56,7,FALSE),main!$K$10:$Q$14,3,FALSE),1,0)</f>
        <v>0</v>
      </c>
      <c r="AQ16">
        <f>IF(VLOOKUP(AQ$1,main!$A$3:$I$56,5,FALSE)-VLOOKUP($A16,main!$A$3:$I$56,6,FALSE)&gt;=VLOOKUP(55,main!$A$57:$I$59,4,FALSE)+VLOOKUP(VLOOKUP(AQ$1,main!$A$3:$I$56,7,FALSE),main!$K$10:$Q$14,3,FALSE),1,0)</f>
        <v>0</v>
      </c>
      <c r="AR16">
        <f>IF(VLOOKUP(AR$1,main!$A$3:$I$56,5,FALSE)-VLOOKUP($A16,main!$A$3:$I$56,6,FALSE)&gt;=VLOOKUP(55,main!$A$57:$I$59,4,FALSE)+VLOOKUP(VLOOKUP(AR$1,main!$A$3:$I$56,7,FALSE),main!$K$10:$Q$14,3,FALSE),1,0)</f>
        <v>0</v>
      </c>
      <c r="AS16">
        <f>IF(VLOOKUP(AS$1,main!$A$3:$I$56,5,FALSE)-VLOOKUP($A16,main!$A$3:$I$56,6,FALSE)&gt;=VLOOKUP(55,main!$A$57:$I$59,4,FALSE)+VLOOKUP(VLOOKUP(AS$1,main!$A$3:$I$56,7,FALSE),main!$K$10:$Q$14,3,FALSE),1,0)</f>
        <v>0</v>
      </c>
      <c r="AT16">
        <f>IF(VLOOKUP(AT$1,main!$A$3:$I$56,5,FALSE)-VLOOKUP($A16,main!$A$3:$I$56,6,FALSE)&gt;=VLOOKUP(55,main!$A$57:$I$59,4,FALSE)+VLOOKUP(VLOOKUP(AT$1,main!$A$3:$I$56,7,FALSE),main!$K$10:$Q$14,3,FALSE),1,0)</f>
        <v>1</v>
      </c>
      <c r="AU16">
        <f>IF(VLOOKUP(AU$1,main!$A$3:$I$56,5,FALSE)-VLOOKUP($A16,main!$A$3:$I$56,6,FALSE)&gt;=VLOOKUP(55,main!$A$57:$I$59,4,FALSE)+VLOOKUP(VLOOKUP(AU$1,main!$A$3:$I$56,7,FALSE),main!$K$10:$Q$14,3,FALSE),1,0)</f>
        <v>0</v>
      </c>
      <c r="AV16">
        <f>IF(VLOOKUP(AV$1,main!$A$3:$I$56,5,FALSE)-VLOOKUP($A16,main!$A$3:$I$56,6,FALSE)&gt;=VLOOKUP(55,main!$A$57:$I$59,4,FALSE)+VLOOKUP(VLOOKUP(AV$1,main!$A$3:$I$56,7,FALSE),main!$K$10:$Q$14,3,FALSE),1,0)</f>
        <v>0</v>
      </c>
      <c r="AW16">
        <f>IF(VLOOKUP(AW$1,main!$A$3:$I$56,5,FALSE)-VLOOKUP($A16,main!$A$3:$I$56,6,FALSE)&gt;=VLOOKUP(55,main!$A$57:$I$59,4,FALSE)+VLOOKUP(VLOOKUP(AW$1,main!$A$3:$I$56,7,FALSE),main!$K$10:$Q$14,3,FALSE),1,0)</f>
        <v>1</v>
      </c>
      <c r="AX16">
        <f>IF(VLOOKUP(AX$1,main!$A$3:$I$56,5,FALSE)-VLOOKUP($A16,main!$A$3:$I$56,6,FALSE)&gt;=VLOOKUP(55,main!$A$57:$I$59,4,FALSE)+VLOOKUP(VLOOKUP(AX$1,main!$A$3:$I$56,7,FALSE),main!$K$10:$Q$14,3,FALSE),1,0)</f>
        <v>1</v>
      </c>
      <c r="AY16">
        <f>IF(VLOOKUP(AY$1,main!$A$3:$I$56,5,FALSE)-VLOOKUP($A16,main!$A$3:$I$56,6,FALSE)&gt;=VLOOKUP(55,main!$A$57:$I$59,4,FALSE)+VLOOKUP(VLOOKUP(AY$1,main!$A$3:$I$56,7,FALSE),main!$K$10:$Q$14,3,FALSE),1,0)</f>
        <v>1</v>
      </c>
      <c r="AZ16">
        <f>IF(VLOOKUP(AZ$1,main!$A$3:$I$56,5,FALSE)-VLOOKUP($A16,main!$A$3:$I$56,6,FALSE)&gt;=VLOOKUP(55,main!$A$57:$I$59,4,FALSE)+VLOOKUP(VLOOKUP(AZ$1,main!$A$3:$I$56,7,FALSE),main!$K$10:$Q$14,3,FALSE),1,0)</f>
        <v>0</v>
      </c>
      <c r="BA16">
        <f>IF(VLOOKUP(BA$1,main!$A$3:$I$56,5,FALSE)-VLOOKUP($A16,main!$A$3:$I$56,6,FALSE)&gt;=VLOOKUP(55,main!$A$57:$I$59,4,FALSE)+VLOOKUP(VLOOKUP(BA$1,main!$A$3:$I$56,7,FALSE),main!$K$10:$Q$14,3,FALSE),1,0)</f>
        <v>0</v>
      </c>
      <c r="BB16">
        <f>IF(VLOOKUP(BB$1,main!$A$3:$I$56,5,FALSE)-VLOOKUP($A16,main!$A$3:$I$56,6,FALSE)&gt;=VLOOKUP(55,main!$A$57:$I$59,4,FALSE)+VLOOKUP(VLOOKUP(BB$1,main!$A$3:$I$56,7,FALSE),main!$K$10:$Q$14,3,FALSE),1,0)</f>
        <v>1</v>
      </c>
      <c r="BC16">
        <f>IF(VLOOKUP(BC$1,main!$A$3:$I$56,5,FALSE)-VLOOKUP($A16,main!$A$3:$I$56,6,FALSE)&gt;=VLOOKUP(55,main!$A$57:$I$59,4,FALSE)+VLOOKUP(VLOOKUP(BC$1,main!$A$3:$I$56,7,FALSE),main!$K$10:$Q$14,3,FALSE),1,0)</f>
        <v>1</v>
      </c>
      <c r="BD16">
        <f>IF(VLOOKUP(BD$1,main!$A$3:$I$56,5,FALSE)-VLOOKUP($A16,main!$A$3:$I$56,6,FALSE)&gt;=VLOOKUP(55,main!$A$57:$I$59,4,FALSE)+VLOOKUP(VLOOKUP(BD$1,main!$A$3:$I$56,7,FALSE),main!$K$10:$Q$14,3,FALSE),1,0)</f>
        <v>1</v>
      </c>
    </row>
    <row r="17" spans="1:56" x14ac:dyDescent="0.25">
      <c r="A17">
        <f t="shared" si="0"/>
        <v>15</v>
      </c>
      <c r="B17">
        <v>0</v>
      </c>
      <c r="C17">
        <f>IF(VLOOKUP(C$1,main!$A$3:$I$56,5,FALSE)-VLOOKUP($A17,main!$A$3:$I$56,6,FALSE)&gt;=VLOOKUP(55,main!$A$57:$I$59,4,FALSE)+VLOOKUP(VLOOKUP(C$1,main!$A$3:$I$56,7,FALSE),main!$K$10:$Q$14,3,FALSE),1,0)</f>
        <v>0</v>
      </c>
      <c r="D17">
        <f>IF(VLOOKUP(D$1,main!$A$3:$I$56,5,FALSE)-VLOOKUP($A17,main!$A$3:$I$56,6,FALSE)&gt;=VLOOKUP(55,main!$A$57:$I$59,4,FALSE)+VLOOKUP(VLOOKUP(D$1,main!$A$3:$I$56,7,FALSE),main!$K$10:$Q$14,3,FALSE),1,0)</f>
        <v>0</v>
      </c>
      <c r="E17">
        <f>IF(VLOOKUP(E$1,main!$A$3:$I$56,5,FALSE)-VLOOKUP($A17,main!$A$3:$I$56,6,FALSE)&gt;=VLOOKUP(55,main!$A$57:$I$59,4,FALSE)+VLOOKUP(VLOOKUP(E$1,main!$A$3:$I$56,7,FALSE),main!$K$10:$Q$14,3,FALSE),1,0)</f>
        <v>0</v>
      </c>
      <c r="F17">
        <f>IF(VLOOKUP(F$1,main!$A$3:$I$56,5,FALSE)-VLOOKUP($A17,main!$A$3:$I$56,6,FALSE)&gt;=VLOOKUP(55,main!$A$57:$I$59,4,FALSE)+VLOOKUP(VLOOKUP(F$1,main!$A$3:$I$56,7,FALSE),main!$K$10:$Q$14,3,FALSE),1,0)</f>
        <v>1</v>
      </c>
      <c r="G17">
        <f>IF(VLOOKUP(G$1,main!$A$3:$I$56,5,FALSE)-VLOOKUP($A17,main!$A$3:$I$56,6,FALSE)&gt;=VLOOKUP(55,main!$A$57:$I$59,4,FALSE)+VLOOKUP(VLOOKUP(G$1,main!$A$3:$I$56,7,FALSE),main!$K$10:$Q$14,3,FALSE),1,0)</f>
        <v>1</v>
      </c>
      <c r="H17">
        <f>IF(VLOOKUP(H$1,main!$A$3:$I$56,5,FALSE)-VLOOKUP($A17,main!$A$3:$I$56,6,FALSE)&gt;=VLOOKUP(55,main!$A$57:$I$59,4,FALSE)+VLOOKUP(VLOOKUP(H$1,main!$A$3:$I$56,7,FALSE),main!$K$10:$Q$14,3,FALSE),1,0)</f>
        <v>1</v>
      </c>
      <c r="I17">
        <f>IF(VLOOKUP(I$1,main!$A$3:$I$56,5,FALSE)-VLOOKUP($A17,main!$A$3:$I$56,6,FALSE)&gt;=VLOOKUP(55,main!$A$57:$I$59,4,FALSE)+VLOOKUP(VLOOKUP(I$1,main!$A$3:$I$56,7,FALSE),main!$K$10:$Q$14,3,FALSE),1,0)</f>
        <v>1</v>
      </c>
      <c r="J17">
        <f>IF(VLOOKUP(J$1,main!$A$3:$I$56,5,FALSE)-VLOOKUP($A17,main!$A$3:$I$56,6,FALSE)&gt;=VLOOKUP(55,main!$A$57:$I$59,4,FALSE)+VLOOKUP(VLOOKUP(J$1,main!$A$3:$I$56,7,FALSE),main!$K$10:$Q$14,3,FALSE),1,0)</f>
        <v>1</v>
      </c>
      <c r="K17">
        <f>IF(VLOOKUP(K$1,main!$A$3:$I$56,5,FALSE)-VLOOKUP($A17,main!$A$3:$I$56,6,FALSE)&gt;=VLOOKUP(55,main!$A$57:$I$59,4,FALSE)+VLOOKUP(VLOOKUP(K$1,main!$A$3:$I$56,7,FALSE),main!$K$10:$Q$14,3,FALSE),1,0)</f>
        <v>0</v>
      </c>
      <c r="L17">
        <f>IF(VLOOKUP(L$1,main!$A$3:$I$56,5,FALSE)-VLOOKUP($A17,main!$A$3:$I$56,6,FALSE)&gt;=VLOOKUP(55,main!$A$57:$I$59,4,FALSE)+VLOOKUP(VLOOKUP(L$1,main!$A$3:$I$56,7,FALSE),main!$K$10:$Q$14,3,FALSE),1,0)</f>
        <v>0</v>
      </c>
      <c r="M17">
        <f>IF(VLOOKUP(M$1,main!$A$3:$I$56,5,FALSE)-VLOOKUP($A17,main!$A$3:$I$56,6,FALSE)&gt;=VLOOKUP(55,main!$A$57:$I$59,4,FALSE)+VLOOKUP(VLOOKUP(M$1,main!$A$3:$I$56,7,FALSE),main!$K$10:$Q$14,3,FALSE),1,0)</f>
        <v>0</v>
      </c>
      <c r="N17">
        <f>IF(VLOOKUP(N$1,main!$A$3:$I$56,5,FALSE)-VLOOKUP($A17,main!$A$3:$I$56,6,FALSE)&gt;=VLOOKUP(55,main!$A$57:$I$59,4,FALSE)+VLOOKUP(VLOOKUP(N$1,main!$A$3:$I$56,7,FALSE),main!$K$10:$Q$14,3,FALSE),1,0)</f>
        <v>1</v>
      </c>
      <c r="O17">
        <f>IF(VLOOKUP(O$1,main!$A$3:$I$56,5,FALSE)-VLOOKUP($A17,main!$A$3:$I$56,6,FALSE)&gt;=VLOOKUP(55,main!$A$57:$I$59,4,FALSE)+VLOOKUP(VLOOKUP(O$1,main!$A$3:$I$56,7,FALSE),main!$K$10:$Q$14,3,FALSE),1,0)</f>
        <v>1</v>
      </c>
      <c r="P17">
        <f>IF(VLOOKUP(P$1,main!$A$3:$I$56,5,FALSE)-VLOOKUP($A17,main!$A$3:$I$56,6,FALSE)&gt;=VLOOKUP(55,main!$A$57:$I$59,4,FALSE)+VLOOKUP(VLOOKUP(P$1,main!$A$3:$I$56,7,FALSE),main!$K$10:$Q$14,3,FALSE),1,0)</f>
        <v>0</v>
      </c>
      <c r="Q17">
        <f>IF(VLOOKUP(Q$1,main!$A$3:$I$56,5,FALSE)-VLOOKUP($A17,main!$A$3:$I$56,6,FALSE)&gt;=VLOOKUP(55,main!$A$57:$I$59,4,FALSE)+VLOOKUP(VLOOKUP(Q$1,main!$A$3:$I$56,7,FALSE),main!$K$10:$Q$14,3,FALSE),1,0)</f>
        <v>0</v>
      </c>
      <c r="R17">
        <f>IF(VLOOKUP(R$1,main!$A$3:$I$56,5,FALSE)-VLOOKUP($A17,main!$A$3:$I$56,6,FALSE)&gt;=VLOOKUP(55,main!$A$57:$I$59,4,FALSE)+VLOOKUP(VLOOKUP(R$1,main!$A$3:$I$56,7,FALSE),main!$K$10:$Q$14,3,FALSE),1,0)</f>
        <v>0</v>
      </c>
      <c r="S17">
        <f>IF(VLOOKUP(S$1,main!$A$3:$I$56,5,FALSE)-VLOOKUP($A17,main!$A$3:$I$56,6,FALSE)&gt;=VLOOKUP(55,main!$A$57:$I$59,4,FALSE)+VLOOKUP(VLOOKUP(S$1,main!$A$3:$I$56,7,FALSE),main!$K$10:$Q$14,3,FALSE),1,0)</f>
        <v>1</v>
      </c>
      <c r="T17">
        <f>IF(VLOOKUP(T$1,main!$A$3:$I$56,5,FALSE)-VLOOKUP($A17,main!$A$3:$I$56,6,FALSE)&gt;=VLOOKUP(55,main!$A$57:$I$59,4,FALSE)+VLOOKUP(VLOOKUP(T$1,main!$A$3:$I$56,7,FALSE),main!$K$10:$Q$14,3,FALSE),1,0)</f>
        <v>1</v>
      </c>
      <c r="U17">
        <f>IF(VLOOKUP(U$1,main!$A$3:$I$56,5,FALSE)-VLOOKUP($A17,main!$A$3:$I$56,6,FALSE)&gt;=VLOOKUP(55,main!$A$57:$I$59,4,FALSE)+VLOOKUP(VLOOKUP(U$1,main!$A$3:$I$56,7,FALSE),main!$K$10:$Q$14,3,FALSE),1,0)</f>
        <v>0</v>
      </c>
      <c r="V17">
        <f>IF(VLOOKUP(V$1,main!$A$3:$I$56,5,FALSE)-VLOOKUP($A17,main!$A$3:$I$56,6,FALSE)&gt;=VLOOKUP(55,main!$A$57:$I$59,4,FALSE)+VLOOKUP(VLOOKUP(V$1,main!$A$3:$I$56,7,FALSE),main!$K$10:$Q$14,3,FALSE),1,0)</f>
        <v>0</v>
      </c>
      <c r="W17">
        <f>IF(VLOOKUP(W$1,main!$A$3:$I$56,5,FALSE)-VLOOKUP($A17,main!$A$3:$I$56,6,FALSE)&gt;=VLOOKUP(55,main!$A$57:$I$59,4,FALSE)+VLOOKUP(VLOOKUP(W$1,main!$A$3:$I$56,7,FALSE),main!$K$10:$Q$14,3,FALSE),1,0)</f>
        <v>0</v>
      </c>
      <c r="X17">
        <f>IF(VLOOKUP(X$1,main!$A$3:$I$56,5,FALSE)-VLOOKUP($A17,main!$A$3:$I$56,6,FALSE)&gt;=VLOOKUP(55,main!$A$57:$I$59,4,FALSE)+VLOOKUP(VLOOKUP(X$1,main!$A$3:$I$56,7,FALSE),main!$K$10:$Q$14,3,FALSE),1,0)</f>
        <v>0</v>
      </c>
      <c r="Y17">
        <f>IF(VLOOKUP(Y$1,main!$A$3:$I$56,5,FALSE)-VLOOKUP($A17,main!$A$3:$I$56,6,FALSE)&gt;=VLOOKUP(55,main!$A$57:$I$59,4,FALSE)+VLOOKUP(VLOOKUP(Y$1,main!$A$3:$I$56,7,FALSE),main!$K$10:$Q$14,3,FALSE),1,0)</f>
        <v>1</v>
      </c>
      <c r="Z17">
        <f>IF(VLOOKUP(Z$1,main!$A$3:$I$56,5,FALSE)-VLOOKUP($A17,main!$A$3:$I$56,6,FALSE)&gt;=VLOOKUP(55,main!$A$57:$I$59,4,FALSE)+VLOOKUP(VLOOKUP(Z$1,main!$A$3:$I$56,7,FALSE),main!$K$10:$Q$14,3,FALSE),1,0)</f>
        <v>1</v>
      </c>
      <c r="AA17">
        <f>IF(VLOOKUP(AA$1,main!$A$3:$I$56,5,FALSE)-VLOOKUP($A17,main!$A$3:$I$56,6,FALSE)&gt;=VLOOKUP(55,main!$A$57:$I$59,4,FALSE)+VLOOKUP(VLOOKUP(AA$1,main!$A$3:$I$56,7,FALSE),main!$K$10:$Q$14,3,FALSE),1,0)</f>
        <v>1</v>
      </c>
      <c r="AB17">
        <f>IF(VLOOKUP(AB$1,main!$A$3:$I$56,5,FALSE)-VLOOKUP($A17,main!$A$3:$I$56,6,FALSE)&gt;=VLOOKUP(55,main!$A$57:$I$59,4,FALSE)+VLOOKUP(VLOOKUP(AB$1,main!$A$3:$I$56,7,FALSE),main!$K$10:$Q$14,3,FALSE),1,0)</f>
        <v>1</v>
      </c>
      <c r="AC17">
        <f>IF(VLOOKUP(AC$1,main!$A$3:$I$56,5,FALSE)-VLOOKUP($A17,main!$A$3:$I$56,6,FALSE)&gt;=VLOOKUP(55,main!$A$57:$I$59,4,FALSE)+VLOOKUP(VLOOKUP(AC$1,main!$A$3:$I$56,7,FALSE),main!$K$10:$Q$14,3,FALSE),1,0)</f>
        <v>0</v>
      </c>
      <c r="AD17">
        <f>IF(VLOOKUP(AD$1,main!$A$3:$I$56,5,FALSE)-VLOOKUP($A17,main!$A$3:$I$56,6,FALSE)&gt;=VLOOKUP(55,main!$A$57:$I$59,4,FALSE)+VLOOKUP(VLOOKUP(AD$1,main!$A$3:$I$56,7,FALSE),main!$K$10:$Q$14,3,FALSE),1,0)</f>
        <v>0</v>
      </c>
      <c r="AE17">
        <f>IF(VLOOKUP(AE$1,main!$A$3:$I$56,5,FALSE)-VLOOKUP($A17,main!$A$3:$I$56,6,FALSE)&gt;=VLOOKUP(55,main!$A$57:$I$59,4,FALSE)+VLOOKUP(VLOOKUP(AE$1,main!$A$3:$I$56,7,FALSE),main!$K$10:$Q$14,3,FALSE),1,0)</f>
        <v>0</v>
      </c>
      <c r="AF17">
        <f>IF(VLOOKUP(AF$1,main!$A$3:$I$56,5,FALSE)-VLOOKUP($A17,main!$A$3:$I$56,6,FALSE)&gt;=VLOOKUP(55,main!$A$57:$I$59,4,FALSE)+VLOOKUP(VLOOKUP(AF$1,main!$A$3:$I$56,7,FALSE),main!$K$10:$Q$14,3,FALSE),1,0)</f>
        <v>1</v>
      </c>
      <c r="AG17">
        <f>IF(VLOOKUP(AG$1,main!$A$3:$I$56,5,FALSE)-VLOOKUP($A17,main!$A$3:$I$56,6,FALSE)&gt;=VLOOKUP(55,main!$A$57:$I$59,4,FALSE)+VLOOKUP(VLOOKUP(AG$1,main!$A$3:$I$56,7,FALSE),main!$K$10:$Q$14,3,FALSE),1,0)</f>
        <v>0</v>
      </c>
      <c r="AH17">
        <f>IF(VLOOKUP(AH$1,main!$A$3:$I$56,5,FALSE)-VLOOKUP($A17,main!$A$3:$I$56,6,FALSE)&gt;=VLOOKUP(55,main!$A$57:$I$59,4,FALSE)+VLOOKUP(VLOOKUP(AH$1,main!$A$3:$I$56,7,FALSE),main!$K$10:$Q$14,3,FALSE),1,0)</f>
        <v>0</v>
      </c>
      <c r="AI17">
        <f>IF(VLOOKUP(AI$1,main!$A$3:$I$56,5,FALSE)-VLOOKUP($A17,main!$A$3:$I$56,6,FALSE)&gt;=VLOOKUP(55,main!$A$57:$I$59,4,FALSE)+VLOOKUP(VLOOKUP(AI$1,main!$A$3:$I$56,7,FALSE),main!$K$10:$Q$14,3,FALSE),1,0)</f>
        <v>1</v>
      </c>
      <c r="AJ17">
        <f>IF(VLOOKUP(AJ$1,main!$A$3:$I$56,5,FALSE)-VLOOKUP($A17,main!$A$3:$I$56,6,FALSE)&gt;=VLOOKUP(55,main!$A$57:$I$59,4,FALSE)+VLOOKUP(VLOOKUP(AJ$1,main!$A$3:$I$56,7,FALSE),main!$K$10:$Q$14,3,FALSE),1,0)</f>
        <v>1</v>
      </c>
      <c r="AK17">
        <f>IF(VLOOKUP(AK$1,main!$A$3:$I$56,5,FALSE)-VLOOKUP($A17,main!$A$3:$I$56,6,FALSE)&gt;=VLOOKUP(55,main!$A$57:$I$59,4,FALSE)+VLOOKUP(VLOOKUP(AK$1,main!$A$3:$I$56,7,FALSE),main!$K$10:$Q$14,3,FALSE),1,0)</f>
        <v>1</v>
      </c>
      <c r="AL17">
        <f>IF(VLOOKUP(AL$1,main!$A$3:$I$56,5,FALSE)-VLOOKUP($A17,main!$A$3:$I$56,6,FALSE)&gt;=VLOOKUP(55,main!$A$57:$I$59,4,FALSE)+VLOOKUP(VLOOKUP(AL$1,main!$A$3:$I$56,7,FALSE),main!$K$10:$Q$14,3,FALSE),1,0)</f>
        <v>0</v>
      </c>
      <c r="AM17">
        <f>IF(VLOOKUP(AM$1,main!$A$3:$I$56,5,FALSE)-VLOOKUP($A17,main!$A$3:$I$56,6,FALSE)&gt;=VLOOKUP(55,main!$A$57:$I$59,4,FALSE)+VLOOKUP(VLOOKUP(AM$1,main!$A$3:$I$56,7,FALSE),main!$K$10:$Q$14,3,FALSE),1,0)</f>
        <v>0</v>
      </c>
      <c r="AN17">
        <f>IF(VLOOKUP(AN$1,main!$A$3:$I$56,5,FALSE)-VLOOKUP($A17,main!$A$3:$I$56,6,FALSE)&gt;=VLOOKUP(55,main!$A$57:$I$59,4,FALSE)+VLOOKUP(VLOOKUP(AN$1,main!$A$3:$I$56,7,FALSE),main!$K$10:$Q$14,3,FALSE),1,0)</f>
        <v>1</v>
      </c>
      <c r="AO17">
        <f>IF(VLOOKUP(AO$1,main!$A$3:$I$56,5,FALSE)-VLOOKUP($A17,main!$A$3:$I$56,6,FALSE)&gt;=VLOOKUP(55,main!$A$57:$I$59,4,FALSE)+VLOOKUP(VLOOKUP(AO$1,main!$A$3:$I$56,7,FALSE),main!$K$10:$Q$14,3,FALSE),1,0)</f>
        <v>1</v>
      </c>
      <c r="AP17">
        <f>IF(VLOOKUP(AP$1,main!$A$3:$I$56,5,FALSE)-VLOOKUP($A17,main!$A$3:$I$56,6,FALSE)&gt;=VLOOKUP(55,main!$A$57:$I$59,4,FALSE)+VLOOKUP(VLOOKUP(AP$1,main!$A$3:$I$56,7,FALSE),main!$K$10:$Q$14,3,FALSE),1,0)</f>
        <v>0</v>
      </c>
      <c r="AQ17">
        <f>IF(VLOOKUP(AQ$1,main!$A$3:$I$56,5,FALSE)-VLOOKUP($A17,main!$A$3:$I$56,6,FALSE)&gt;=VLOOKUP(55,main!$A$57:$I$59,4,FALSE)+VLOOKUP(VLOOKUP(AQ$1,main!$A$3:$I$56,7,FALSE),main!$K$10:$Q$14,3,FALSE),1,0)</f>
        <v>0</v>
      </c>
      <c r="AR17">
        <f>IF(VLOOKUP(AR$1,main!$A$3:$I$56,5,FALSE)-VLOOKUP($A17,main!$A$3:$I$56,6,FALSE)&gt;=VLOOKUP(55,main!$A$57:$I$59,4,FALSE)+VLOOKUP(VLOOKUP(AR$1,main!$A$3:$I$56,7,FALSE),main!$K$10:$Q$14,3,FALSE),1,0)</f>
        <v>0</v>
      </c>
      <c r="AS17">
        <f>IF(VLOOKUP(AS$1,main!$A$3:$I$56,5,FALSE)-VLOOKUP($A17,main!$A$3:$I$56,6,FALSE)&gt;=VLOOKUP(55,main!$A$57:$I$59,4,FALSE)+VLOOKUP(VLOOKUP(AS$1,main!$A$3:$I$56,7,FALSE),main!$K$10:$Q$14,3,FALSE),1,0)</f>
        <v>0</v>
      </c>
      <c r="AT17">
        <f>IF(VLOOKUP(AT$1,main!$A$3:$I$56,5,FALSE)-VLOOKUP($A17,main!$A$3:$I$56,6,FALSE)&gt;=VLOOKUP(55,main!$A$57:$I$59,4,FALSE)+VLOOKUP(VLOOKUP(AT$1,main!$A$3:$I$56,7,FALSE),main!$K$10:$Q$14,3,FALSE),1,0)</f>
        <v>1</v>
      </c>
      <c r="AU17">
        <f>IF(VLOOKUP(AU$1,main!$A$3:$I$56,5,FALSE)-VLOOKUP($A17,main!$A$3:$I$56,6,FALSE)&gt;=VLOOKUP(55,main!$A$57:$I$59,4,FALSE)+VLOOKUP(VLOOKUP(AU$1,main!$A$3:$I$56,7,FALSE),main!$K$10:$Q$14,3,FALSE),1,0)</f>
        <v>0</v>
      </c>
      <c r="AV17">
        <f>IF(VLOOKUP(AV$1,main!$A$3:$I$56,5,FALSE)-VLOOKUP($A17,main!$A$3:$I$56,6,FALSE)&gt;=VLOOKUP(55,main!$A$57:$I$59,4,FALSE)+VLOOKUP(VLOOKUP(AV$1,main!$A$3:$I$56,7,FALSE),main!$K$10:$Q$14,3,FALSE),1,0)</f>
        <v>0</v>
      </c>
      <c r="AW17">
        <f>IF(VLOOKUP(AW$1,main!$A$3:$I$56,5,FALSE)-VLOOKUP($A17,main!$A$3:$I$56,6,FALSE)&gt;=VLOOKUP(55,main!$A$57:$I$59,4,FALSE)+VLOOKUP(VLOOKUP(AW$1,main!$A$3:$I$56,7,FALSE),main!$K$10:$Q$14,3,FALSE),1,0)</f>
        <v>0</v>
      </c>
      <c r="AX17">
        <f>IF(VLOOKUP(AX$1,main!$A$3:$I$56,5,FALSE)-VLOOKUP($A17,main!$A$3:$I$56,6,FALSE)&gt;=VLOOKUP(55,main!$A$57:$I$59,4,FALSE)+VLOOKUP(VLOOKUP(AX$1,main!$A$3:$I$56,7,FALSE),main!$K$10:$Q$14,3,FALSE),1,0)</f>
        <v>1</v>
      </c>
      <c r="AY17">
        <f>IF(VLOOKUP(AY$1,main!$A$3:$I$56,5,FALSE)-VLOOKUP($A17,main!$A$3:$I$56,6,FALSE)&gt;=VLOOKUP(55,main!$A$57:$I$59,4,FALSE)+VLOOKUP(VLOOKUP(AY$1,main!$A$3:$I$56,7,FALSE),main!$K$10:$Q$14,3,FALSE),1,0)</f>
        <v>1</v>
      </c>
      <c r="AZ17">
        <f>IF(VLOOKUP(AZ$1,main!$A$3:$I$56,5,FALSE)-VLOOKUP($A17,main!$A$3:$I$56,6,FALSE)&gt;=VLOOKUP(55,main!$A$57:$I$59,4,FALSE)+VLOOKUP(VLOOKUP(AZ$1,main!$A$3:$I$56,7,FALSE),main!$K$10:$Q$14,3,FALSE),1,0)</f>
        <v>0</v>
      </c>
      <c r="BA17">
        <f>IF(VLOOKUP(BA$1,main!$A$3:$I$56,5,FALSE)-VLOOKUP($A17,main!$A$3:$I$56,6,FALSE)&gt;=VLOOKUP(55,main!$A$57:$I$59,4,FALSE)+VLOOKUP(VLOOKUP(BA$1,main!$A$3:$I$56,7,FALSE),main!$K$10:$Q$14,3,FALSE),1,0)</f>
        <v>0</v>
      </c>
      <c r="BB17">
        <f>IF(VLOOKUP(BB$1,main!$A$3:$I$56,5,FALSE)-VLOOKUP($A17,main!$A$3:$I$56,6,FALSE)&gt;=VLOOKUP(55,main!$A$57:$I$59,4,FALSE)+VLOOKUP(VLOOKUP(BB$1,main!$A$3:$I$56,7,FALSE),main!$K$10:$Q$14,3,FALSE),1,0)</f>
        <v>0</v>
      </c>
      <c r="BC17">
        <f>IF(VLOOKUP(BC$1,main!$A$3:$I$56,5,FALSE)-VLOOKUP($A17,main!$A$3:$I$56,6,FALSE)&gt;=VLOOKUP(55,main!$A$57:$I$59,4,FALSE)+VLOOKUP(VLOOKUP(BC$1,main!$A$3:$I$56,7,FALSE),main!$K$10:$Q$14,3,FALSE),1,0)</f>
        <v>1</v>
      </c>
      <c r="BD17">
        <f>IF(VLOOKUP(BD$1,main!$A$3:$I$56,5,FALSE)-VLOOKUP($A17,main!$A$3:$I$56,6,FALSE)&gt;=VLOOKUP(55,main!$A$57:$I$59,4,FALSE)+VLOOKUP(VLOOKUP(BD$1,main!$A$3:$I$56,7,FALSE),main!$K$10:$Q$14,3,FALSE),1,0)</f>
        <v>1</v>
      </c>
    </row>
    <row r="18" spans="1:56" x14ac:dyDescent="0.25">
      <c r="A18">
        <f t="shared" si="0"/>
        <v>16</v>
      </c>
      <c r="B18">
        <v>0</v>
      </c>
      <c r="C18">
        <f>IF(VLOOKUP(C$1,main!$A$3:$I$56,5,FALSE)-VLOOKUP($A18,main!$A$3:$I$56,6,FALSE)&gt;=VLOOKUP(55,main!$A$57:$I$59,4,FALSE)+VLOOKUP(VLOOKUP(C$1,main!$A$3:$I$56,7,FALSE),main!$K$10:$Q$14,3,FALSE),1,0)</f>
        <v>0</v>
      </c>
      <c r="D18">
        <f>IF(VLOOKUP(D$1,main!$A$3:$I$56,5,FALSE)-VLOOKUP($A18,main!$A$3:$I$56,6,FALSE)&gt;=VLOOKUP(55,main!$A$57:$I$59,4,FALSE)+VLOOKUP(VLOOKUP(D$1,main!$A$3:$I$56,7,FALSE),main!$K$10:$Q$14,3,FALSE),1,0)</f>
        <v>0</v>
      </c>
      <c r="E18">
        <f>IF(VLOOKUP(E$1,main!$A$3:$I$56,5,FALSE)-VLOOKUP($A18,main!$A$3:$I$56,6,FALSE)&gt;=VLOOKUP(55,main!$A$57:$I$59,4,FALSE)+VLOOKUP(VLOOKUP(E$1,main!$A$3:$I$56,7,FALSE),main!$K$10:$Q$14,3,FALSE),1,0)</f>
        <v>0</v>
      </c>
      <c r="F18">
        <f>IF(VLOOKUP(F$1,main!$A$3:$I$56,5,FALSE)-VLOOKUP($A18,main!$A$3:$I$56,6,FALSE)&gt;=VLOOKUP(55,main!$A$57:$I$59,4,FALSE)+VLOOKUP(VLOOKUP(F$1,main!$A$3:$I$56,7,FALSE),main!$K$10:$Q$14,3,FALSE),1,0)</f>
        <v>0</v>
      </c>
      <c r="G18">
        <f>IF(VLOOKUP(G$1,main!$A$3:$I$56,5,FALSE)-VLOOKUP($A18,main!$A$3:$I$56,6,FALSE)&gt;=VLOOKUP(55,main!$A$57:$I$59,4,FALSE)+VLOOKUP(VLOOKUP(G$1,main!$A$3:$I$56,7,FALSE),main!$K$10:$Q$14,3,FALSE),1,0)</f>
        <v>0</v>
      </c>
      <c r="H18">
        <f>IF(VLOOKUP(H$1,main!$A$3:$I$56,5,FALSE)-VLOOKUP($A18,main!$A$3:$I$56,6,FALSE)&gt;=VLOOKUP(55,main!$A$57:$I$59,4,FALSE)+VLOOKUP(VLOOKUP(H$1,main!$A$3:$I$56,7,FALSE),main!$K$10:$Q$14,3,FALSE),1,0)</f>
        <v>1</v>
      </c>
      <c r="I18">
        <f>IF(VLOOKUP(I$1,main!$A$3:$I$56,5,FALSE)-VLOOKUP($A18,main!$A$3:$I$56,6,FALSE)&gt;=VLOOKUP(55,main!$A$57:$I$59,4,FALSE)+VLOOKUP(VLOOKUP(I$1,main!$A$3:$I$56,7,FALSE),main!$K$10:$Q$14,3,FALSE),1,0)</f>
        <v>1</v>
      </c>
      <c r="J18">
        <f>IF(VLOOKUP(J$1,main!$A$3:$I$56,5,FALSE)-VLOOKUP($A18,main!$A$3:$I$56,6,FALSE)&gt;=VLOOKUP(55,main!$A$57:$I$59,4,FALSE)+VLOOKUP(VLOOKUP(J$1,main!$A$3:$I$56,7,FALSE),main!$K$10:$Q$14,3,FALSE),1,0)</f>
        <v>1</v>
      </c>
      <c r="K18">
        <f>IF(VLOOKUP(K$1,main!$A$3:$I$56,5,FALSE)-VLOOKUP($A18,main!$A$3:$I$56,6,FALSE)&gt;=VLOOKUP(55,main!$A$57:$I$59,4,FALSE)+VLOOKUP(VLOOKUP(K$1,main!$A$3:$I$56,7,FALSE),main!$K$10:$Q$14,3,FALSE),1,0)</f>
        <v>0</v>
      </c>
      <c r="L18">
        <f>IF(VLOOKUP(L$1,main!$A$3:$I$56,5,FALSE)-VLOOKUP($A18,main!$A$3:$I$56,6,FALSE)&gt;=VLOOKUP(55,main!$A$57:$I$59,4,FALSE)+VLOOKUP(VLOOKUP(L$1,main!$A$3:$I$56,7,FALSE),main!$K$10:$Q$14,3,FALSE),1,0)</f>
        <v>0</v>
      </c>
      <c r="M18">
        <f>IF(VLOOKUP(M$1,main!$A$3:$I$56,5,FALSE)-VLOOKUP($A18,main!$A$3:$I$56,6,FALSE)&gt;=VLOOKUP(55,main!$A$57:$I$59,4,FALSE)+VLOOKUP(VLOOKUP(M$1,main!$A$3:$I$56,7,FALSE),main!$K$10:$Q$14,3,FALSE),1,0)</f>
        <v>0</v>
      </c>
      <c r="N18">
        <f>IF(VLOOKUP(N$1,main!$A$3:$I$56,5,FALSE)-VLOOKUP($A18,main!$A$3:$I$56,6,FALSE)&gt;=VLOOKUP(55,main!$A$57:$I$59,4,FALSE)+VLOOKUP(VLOOKUP(N$1,main!$A$3:$I$56,7,FALSE),main!$K$10:$Q$14,3,FALSE),1,0)</f>
        <v>1</v>
      </c>
      <c r="O18">
        <f>IF(VLOOKUP(O$1,main!$A$3:$I$56,5,FALSE)-VLOOKUP($A18,main!$A$3:$I$56,6,FALSE)&gt;=VLOOKUP(55,main!$A$57:$I$59,4,FALSE)+VLOOKUP(VLOOKUP(O$1,main!$A$3:$I$56,7,FALSE),main!$K$10:$Q$14,3,FALSE),1,0)</f>
        <v>1</v>
      </c>
      <c r="P18">
        <f>IF(VLOOKUP(P$1,main!$A$3:$I$56,5,FALSE)-VLOOKUP($A18,main!$A$3:$I$56,6,FALSE)&gt;=VLOOKUP(55,main!$A$57:$I$59,4,FALSE)+VLOOKUP(VLOOKUP(P$1,main!$A$3:$I$56,7,FALSE),main!$K$10:$Q$14,3,FALSE),1,0)</f>
        <v>0</v>
      </c>
      <c r="Q18">
        <f>IF(VLOOKUP(Q$1,main!$A$3:$I$56,5,FALSE)-VLOOKUP($A18,main!$A$3:$I$56,6,FALSE)&gt;=VLOOKUP(55,main!$A$57:$I$59,4,FALSE)+VLOOKUP(VLOOKUP(Q$1,main!$A$3:$I$56,7,FALSE),main!$K$10:$Q$14,3,FALSE),1,0)</f>
        <v>0</v>
      </c>
      <c r="R18">
        <f>IF(VLOOKUP(R$1,main!$A$3:$I$56,5,FALSE)-VLOOKUP($A18,main!$A$3:$I$56,6,FALSE)&gt;=VLOOKUP(55,main!$A$57:$I$59,4,FALSE)+VLOOKUP(VLOOKUP(R$1,main!$A$3:$I$56,7,FALSE),main!$K$10:$Q$14,3,FALSE),1,0)</f>
        <v>0</v>
      </c>
      <c r="S18">
        <f>IF(VLOOKUP(S$1,main!$A$3:$I$56,5,FALSE)-VLOOKUP($A18,main!$A$3:$I$56,6,FALSE)&gt;=VLOOKUP(55,main!$A$57:$I$59,4,FALSE)+VLOOKUP(VLOOKUP(S$1,main!$A$3:$I$56,7,FALSE),main!$K$10:$Q$14,3,FALSE),1,0)</f>
        <v>0</v>
      </c>
      <c r="T18">
        <f>IF(VLOOKUP(T$1,main!$A$3:$I$56,5,FALSE)-VLOOKUP($A18,main!$A$3:$I$56,6,FALSE)&gt;=VLOOKUP(55,main!$A$57:$I$59,4,FALSE)+VLOOKUP(VLOOKUP(T$1,main!$A$3:$I$56,7,FALSE),main!$K$10:$Q$14,3,FALSE),1,0)</f>
        <v>1</v>
      </c>
      <c r="U18">
        <f>IF(VLOOKUP(U$1,main!$A$3:$I$56,5,FALSE)-VLOOKUP($A18,main!$A$3:$I$56,6,FALSE)&gt;=VLOOKUP(55,main!$A$57:$I$59,4,FALSE)+VLOOKUP(VLOOKUP(U$1,main!$A$3:$I$56,7,FALSE),main!$K$10:$Q$14,3,FALSE),1,0)</f>
        <v>0</v>
      </c>
      <c r="V18">
        <f>IF(VLOOKUP(V$1,main!$A$3:$I$56,5,FALSE)-VLOOKUP($A18,main!$A$3:$I$56,6,FALSE)&gt;=VLOOKUP(55,main!$A$57:$I$59,4,FALSE)+VLOOKUP(VLOOKUP(V$1,main!$A$3:$I$56,7,FALSE),main!$K$10:$Q$14,3,FALSE),1,0)</f>
        <v>0</v>
      </c>
      <c r="W18">
        <f>IF(VLOOKUP(W$1,main!$A$3:$I$56,5,FALSE)-VLOOKUP($A18,main!$A$3:$I$56,6,FALSE)&gt;=VLOOKUP(55,main!$A$57:$I$59,4,FALSE)+VLOOKUP(VLOOKUP(W$1,main!$A$3:$I$56,7,FALSE),main!$K$10:$Q$14,3,FALSE),1,0)</f>
        <v>0</v>
      </c>
      <c r="X18">
        <f>IF(VLOOKUP(X$1,main!$A$3:$I$56,5,FALSE)-VLOOKUP($A18,main!$A$3:$I$56,6,FALSE)&gt;=VLOOKUP(55,main!$A$57:$I$59,4,FALSE)+VLOOKUP(VLOOKUP(X$1,main!$A$3:$I$56,7,FALSE),main!$K$10:$Q$14,3,FALSE),1,0)</f>
        <v>0</v>
      </c>
      <c r="Y18">
        <f>IF(VLOOKUP(Y$1,main!$A$3:$I$56,5,FALSE)-VLOOKUP($A18,main!$A$3:$I$56,6,FALSE)&gt;=VLOOKUP(55,main!$A$57:$I$59,4,FALSE)+VLOOKUP(VLOOKUP(Y$1,main!$A$3:$I$56,7,FALSE),main!$K$10:$Q$14,3,FALSE),1,0)</f>
        <v>0</v>
      </c>
      <c r="Z18">
        <f>IF(VLOOKUP(Z$1,main!$A$3:$I$56,5,FALSE)-VLOOKUP($A18,main!$A$3:$I$56,6,FALSE)&gt;=VLOOKUP(55,main!$A$57:$I$59,4,FALSE)+VLOOKUP(VLOOKUP(Z$1,main!$A$3:$I$56,7,FALSE),main!$K$10:$Q$14,3,FALSE),1,0)</f>
        <v>0</v>
      </c>
      <c r="AA18">
        <f>IF(VLOOKUP(AA$1,main!$A$3:$I$56,5,FALSE)-VLOOKUP($A18,main!$A$3:$I$56,6,FALSE)&gt;=VLOOKUP(55,main!$A$57:$I$59,4,FALSE)+VLOOKUP(VLOOKUP(AA$1,main!$A$3:$I$56,7,FALSE),main!$K$10:$Q$14,3,FALSE),1,0)</f>
        <v>1</v>
      </c>
      <c r="AB18">
        <f>IF(VLOOKUP(AB$1,main!$A$3:$I$56,5,FALSE)-VLOOKUP($A18,main!$A$3:$I$56,6,FALSE)&gt;=VLOOKUP(55,main!$A$57:$I$59,4,FALSE)+VLOOKUP(VLOOKUP(AB$1,main!$A$3:$I$56,7,FALSE),main!$K$10:$Q$14,3,FALSE),1,0)</f>
        <v>1</v>
      </c>
      <c r="AC18">
        <f>IF(VLOOKUP(AC$1,main!$A$3:$I$56,5,FALSE)-VLOOKUP($A18,main!$A$3:$I$56,6,FALSE)&gt;=VLOOKUP(55,main!$A$57:$I$59,4,FALSE)+VLOOKUP(VLOOKUP(AC$1,main!$A$3:$I$56,7,FALSE),main!$K$10:$Q$14,3,FALSE),1,0)</f>
        <v>0</v>
      </c>
      <c r="AD18">
        <f>IF(VLOOKUP(AD$1,main!$A$3:$I$56,5,FALSE)-VLOOKUP($A18,main!$A$3:$I$56,6,FALSE)&gt;=VLOOKUP(55,main!$A$57:$I$59,4,FALSE)+VLOOKUP(VLOOKUP(AD$1,main!$A$3:$I$56,7,FALSE),main!$K$10:$Q$14,3,FALSE),1,0)</f>
        <v>0</v>
      </c>
      <c r="AE18">
        <f>IF(VLOOKUP(AE$1,main!$A$3:$I$56,5,FALSE)-VLOOKUP($A18,main!$A$3:$I$56,6,FALSE)&gt;=VLOOKUP(55,main!$A$57:$I$59,4,FALSE)+VLOOKUP(VLOOKUP(AE$1,main!$A$3:$I$56,7,FALSE),main!$K$10:$Q$14,3,FALSE),1,0)</f>
        <v>0</v>
      </c>
      <c r="AF18">
        <f>IF(VLOOKUP(AF$1,main!$A$3:$I$56,5,FALSE)-VLOOKUP($A18,main!$A$3:$I$56,6,FALSE)&gt;=VLOOKUP(55,main!$A$57:$I$59,4,FALSE)+VLOOKUP(VLOOKUP(AF$1,main!$A$3:$I$56,7,FALSE),main!$K$10:$Q$14,3,FALSE),1,0)</f>
        <v>0</v>
      </c>
      <c r="AG18">
        <f>IF(VLOOKUP(AG$1,main!$A$3:$I$56,5,FALSE)-VLOOKUP($A18,main!$A$3:$I$56,6,FALSE)&gt;=VLOOKUP(55,main!$A$57:$I$59,4,FALSE)+VLOOKUP(VLOOKUP(AG$1,main!$A$3:$I$56,7,FALSE),main!$K$10:$Q$14,3,FALSE),1,0)</f>
        <v>0</v>
      </c>
      <c r="AH18">
        <f>IF(VLOOKUP(AH$1,main!$A$3:$I$56,5,FALSE)-VLOOKUP($A18,main!$A$3:$I$56,6,FALSE)&gt;=VLOOKUP(55,main!$A$57:$I$59,4,FALSE)+VLOOKUP(VLOOKUP(AH$1,main!$A$3:$I$56,7,FALSE),main!$K$10:$Q$14,3,FALSE),1,0)</f>
        <v>0</v>
      </c>
      <c r="AI18">
        <f>IF(VLOOKUP(AI$1,main!$A$3:$I$56,5,FALSE)-VLOOKUP($A18,main!$A$3:$I$56,6,FALSE)&gt;=VLOOKUP(55,main!$A$57:$I$59,4,FALSE)+VLOOKUP(VLOOKUP(AI$1,main!$A$3:$I$56,7,FALSE),main!$K$10:$Q$14,3,FALSE),1,0)</f>
        <v>0</v>
      </c>
      <c r="AJ18">
        <f>IF(VLOOKUP(AJ$1,main!$A$3:$I$56,5,FALSE)-VLOOKUP($A18,main!$A$3:$I$56,6,FALSE)&gt;=VLOOKUP(55,main!$A$57:$I$59,4,FALSE)+VLOOKUP(VLOOKUP(AJ$1,main!$A$3:$I$56,7,FALSE),main!$K$10:$Q$14,3,FALSE),1,0)</f>
        <v>0</v>
      </c>
      <c r="AK18">
        <f>IF(VLOOKUP(AK$1,main!$A$3:$I$56,5,FALSE)-VLOOKUP($A18,main!$A$3:$I$56,6,FALSE)&gt;=VLOOKUP(55,main!$A$57:$I$59,4,FALSE)+VLOOKUP(VLOOKUP(AK$1,main!$A$3:$I$56,7,FALSE),main!$K$10:$Q$14,3,FALSE),1,0)</f>
        <v>1</v>
      </c>
      <c r="AL18">
        <f>IF(VLOOKUP(AL$1,main!$A$3:$I$56,5,FALSE)-VLOOKUP($A18,main!$A$3:$I$56,6,FALSE)&gt;=VLOOKUP(55,main!$A$57:$I$59,4,FALSE)+VLOOKUP(VLOOKUP(AL$1,main!$A$3:$I$56,7,FALSE),main!$K$10:$Q$14,3,FALSE),1,0)</f>
        <v>0</v>
      </c>
      <c r="AM18">
        <f>IF(VLOOKUP(AM$1,main!$A$3:$I$56,5,FALSE)-VLOOKUP($A18,main!$A$3:$I$56,6,FALSE)&gt;=VLOOKUP(55,main!$A$57:$I$59,4,FALSE)+VLOOKUP(VLOOKUP(AM$1,main!$A$3:$I$56,7,FALSE),main!$K$10:$Q$14,3,FALSE),1,0)</f>
        <v>0</v>
      </c>
      <c r="AN18">
        <f>IF(VLOOKUP(AN$1,main!$A$3:$I$56,5,FALSE)-VLOOKUP($A18,main!$A$3:$I$56,6,FALSE)&gt;=VLOOKUP(55,main!$A$57:$I$59,4,FALSE)+VLOOKUP(VLOOKUP(AN$1,main!$A$3:$I$56,7,FALSE),main!$K$10:$Q$14,3,FALSE),1,0)</f>
        <v>0</v>
      </c>
      <c r="AO18">
        <f>IF(VLOOKUP(AO$1,main!$A$3:$I$56,5,FALSE)-VLOOKUP($A18,main!$A$3:$I$56,6,FALSE)&gt;=VLOOKUP(55,main!$A$57:$I$59,4,FALSE)+VLOOKUP(VLOOKUP(AO$1,main!$A$3:$I$56,7,FALSE),main!$K$10:$Q$14,3,FALSE),1,0)</f>
        <v>0</v>
      </c>
      <c r="AP18">
        <f>IF(VLOOKUP(AP$1,main!$A$3:$I$56,5,FALSE)-VLOOKUP($A18,main!$A$3:$I$56,6,FALSE)&gt;=VLOOKUP(55,main!$A$57:$I$59,4,FALSE)+VLOOKUP(VLOOKUP(AP$1,main!$A$3:$I$56,7,FALSE),main!$K$10:$Q$14,3,FALSE),1,0)</f>
        <v>0</v>
      </c>
      <c r="AQ18">
        <f>IF(VLOOKUP(AQ$1,main!$A$3:$I$56,5,FALSE)-VLOOKUP($A18,main!$A$3:$I$56,6,FALSE)&gt;=VLOOKUP(55,main!$A$57:$I$59,4,FALSE)+VLOOKUP(VLOOKUP(AQ$1,main!$A$3:$I$56,7,FALSE),main!$K$10:$Q$14,3,FALSE),1,0)</f>
        <v>0</v>
      </c>
      <c r="AR18">
        <f>IF(VLOOKUP(AR$1,main!$A$3:$I$56,5,FALSE)-VLOOKUP($A18,main!$A$3:$I$56,6,FALSE)&gt;=VLOOKUP(55,main!$A$57:$I$59,4,FALSE)+VLOOKUP(VLOOKUP(AR$1,main!$A$3:$I$56,7,FALSE),main!$K$10:$Q$14,3,FALSE),1,0)</f>
        <v>0</v>
      </c>
      <c r="AS18">
        <f>IF(VLOOKUP(AS$1,main!$A$3:$I$56,5,FALSE)-VLOOKUP($A18,main!$A$3:$I$56,6,FALSE)&gt;=VLOOKUP(55,main!$A$57:$I$59,4,FALSE)+VLOOKUP(VLOOKUP(AS$1,main!$A$3:$I$56,7,FALSE),main!$K$10:$Q$14,3,FALSE),1,0)</f>
        <v>0</v>
      </c>
      <c r="AT18">
        <f>IF(VLOOKUP(AT$1,main!$A$3:$I$56,5,FALSE)-VLOOKUP($A18,main!$A$3:$I$56,6,FALSE)&gt;=VLOOKUP(55,main!$A$57:$I$59,4,FALSE)+VLOOKUP(VLOOKUP(AT$1,main!$A$3:$I$56,7,FALSE),main!$K$10:$Q$14,3,FALSE),1,0)</f>
        <v>0</v>
      </c>
      <c r="AU18">
        <f>IF(VLOOKUP(AU$1,main!$A$3:$I$56,5,FALSE)-VLOOKUP($A18,main!$A$3:$I$56,6,FALSE)&gt;=VLOOKUP(55,main!$A$57:$I$59,4,FALSE)+VLOOKUP(VLOOKUP(AU$1,main!$A$3:$I$56,7,FALSE),main!$K$10:$Q$14,3,FALSE),1,0)</f>
        <v>0</v>
      </c>
      <c r="AV18">
        <f>IF(VLOOKUP(AV$1,main!$A$3:$I$56,5,FALSE)-VLOOKUP($A18,main!$A$3:$I$56,6,FALSE)&gt;=VLOOKUP(55,main!$A$57:$I$59,4,FALSE)+VLOOKUP(VLOOKUP(AV$1,main!$A$3:$I$56,7,FALSE),main!$K$10:$Q$14,3,FALSE),1,0)</f>
        <v>0</v>
      </c>
      <c r="AW18">
        <f>IF(VLOOKUP(AW$1,main!$A$3:$I$56,5,FALSE)-VLOOKUP($A18,main!$A$3:$I$56,6,FALSE)&gt;=VLOOKUP(55,main!$A$57:$I$59,4,FALSE)+VLOOKUP(VLOOKUP(AW$1,main!$A$3:$I$56,7,FALSE),main!$K$10:$Q$14,3,FALSE),1,0)</f>
        <v>0</v>
      </c>
      <c r="AX18">
        <f>IF(VLOOKUP(AX$1,main!$A$3:$I$56,5,FALSE)-VLOOKUP($A18,main!$A$3:$I$56,6,FALSE)&gt;=VLOOKUP(55,main!$A$57:$I$59,4,FALSE)+VLOOKUP(VLOOKUP(AX$1,main!$A$3:$I$56,7,FALSE),main!$K$10:$Q$14,3,FALSE),1,0)</f>
        <v>0</v>
      </c>
      <c r="AY18">
        <f>IF(VLOOKUP(AY$1,main!$A$3:$I$56,5,FALSE)-VLOOKUP($A18,main!$A$3:$I$56,6,FALSE)&gt;=VLOOKUP(55,main!$A$57:$I$59,4,FALSE)+VLOOKUP(VLOOKUP(AY$1,main!$A$3:$I$56,7,FALSE),main!$K$10:$Q$14,3,FALSE),1,0)</f>
        <v>1</v>
      </c>
      <c r="AZ18">
        <f>IF(VLOOKUP(AZ$1,main!$A$3:$I$56,5,FALSE)-VLOOKUP($A18,main!$A$3:$I$56,6,FALSE)&gt;=VLOOKUP(55,main!$A$57:$I$59,4,FALSE)+VLOOKUP(VLOOKUP(AZ$1,main!$A$3:$I$56,7,FALSE),main!$K$10:$Q$14,3,FALSE),1,0)</f>
        <v>0</v>
      </c>
      <c r="BA18">
        <f>IF(VLOOKUP(BA$1,main!$A$3:$I$56,5,FALSE)-VLOOKUP($A18,main!$A$3:$I$56,6,FALSE)&gt;=VLOOKUP(55,main!$A$57:$I$59,4,FALSE)+VLOOKUP(VLOOKUP(BA$1,main!$A$3:$I$56,7,FALSE),main!$K$10:$Q$14,3,FALSE),1,0)</f>
        <v>0</v>
      </c>
      <c r="BB18">
        <f>IF(VLOOKUP(BB$1,main!$A$3:$I$56,5,FALSE)-VLOOKUP($A18,main!$A$3:$I$56,6,FALSE)&gt;=VLOOKUP(55,main!$A$57:$I$59,4,FALSE)+VLOOKUP(VLOOKUP(BB$1,main!$A$3:$I$56,7,FALSE),main!$K$10:$Q$14,3,FALSE),1,0)</f>
        <v>0</v>
      </c>
      <c r="BC18">
        <f>IF(VLOOKUP(BC$1,main!$A$3:$I$56,5,FALSE)-VLOOKUP($A18,main!$A$3:$I$56,6,FALSE)&gt;=VLOOKUP(55,main!$A$57:$I$59,4,FALSE)+VLOOKUP(VLOOKUP(BC$1,main!$A$3:$I$56,7,FALSE),main!$K$10:$Q$14,3,FALSE),1,0)</f>
        <v>0</v>
      </c>
      <c r="BD18">
        <f>IF(VLOOKUP(BD$1,main!$A$3:$I$56,5,FALSE)-VLOOKUP($A18,main!$A$3:$I$56,6,FALSE)&gt;=VLOOKUP(55,main!$A$57:$I$59,4,FALSE)+VLOOKUP(VLOOKUP(BD$1,main!$A$3:$I$56,7,FALSE),main!$K$10:$Q$14,3,FALSE),1,0)</f>
        <v>0</v>
      </c>
    </row>
    <row r="19" spans="1:56" x14ac:dyDescent="0.25">
      <c r="A19">
        <f t="shared" si="0"/>
        <v>17</v>
      </c>
      <c r="B19">
        <v>0</v>
      </c>
      <c r="C19">
        <f>IF(VLOOKUP(C$1,main!$A$3:$I$56,5,FALSE)-VLOOKUP($A19,main!$A$3:$I$56,6,FALSE)&gt;=VLOOKUP(55,main!$A$57:$I$59,4,FALSE)+VLOOKUP(VLOOKUP(C$1,main!$A$3:$I$56,7,FALSE),main!$K$10:$Q$14,3,FALSE),1,0)</f>
        <v>0</v>
      </c>
      <c r="D19">
        <f>IF(VLOOKUP(D$1,main!$A$3:$I$56,5,FALSE)-VLOOKUP($A19,main!$A$3:$I$56,6,FALSE)&gt;=VLOOKUP(55,main!$A$57:$I$59,4,FALSE)+VLOOKUP(VLOOKUP(D$1,main!$A$3:$I$56,7,FALSE),main!$K$10:$Q$14,3,FALSE),1,0)</f>
        <v>0</v>
      </c>
      <c r="E19">
        <f>IF(VLOOKUP(E$1,main!$A$3:$I$56,5,FALSE)-VLOOKUP($A19,main!$A$3:$I$56,6,FALSE)&gt;=VLOOKUP(55,main!$A$57:$I$59,4,FALSE)+VLOOKUP(VLOOKUP(E$1,main!$A$3:$I$56,7,FALSE),main!$K$10:$Q$14,3,FALSE),1,0)</f>
        <v>0</v>
      </c>
      <c r="F19">
        <f>IF(VLOOKUP(F$1,main!$A$3:$I$56,5,FALSE)-VLOOKUP($A19,main!$A$3:$I$56,6,FALSE)&gt;=VLOOKUP(55,main!$A$57:$I$59,4,FALSE)+VLOOKUP(VLOOKUP(F$1,main!$A$3:$I$56,7,FALSE),main!$K$10:$Q$14,3,FALSE),1,0)</f>
        <v>0</v>
      </c>
      <c r="G19">
        <f>IF(VLOOKUP(G$1,main!$A$3:$I$56,5,FALSE)-VLOOKUP($A19,main!$A$3:$I$56,6,FALSE)&gt;=VLOOKUP(55,main!$A$57:$I$59,4,FALSE)+VLOOKUP(VLOOKUP(G$1,main!$A$3:$I$56,7,FALSE),main!$K$10:$Q$14,3,FALSE),1,0)</f>
        <v>0</v>
      </c>
      <c r="H19">
        <f>IF(VLOOKUP(H$1,main!$A$3:$I$56,5,FALSE)-VLOOKUP($A19,main!$A$3:$I$56,6,FALSE)&gt;=VLOOKUP(55,main!$A$57:$I$59,4,FALSE)+VLOOKUP(VLOOKUP(H$1,main!$A$3:$I$56,7,FALSE),main!$K$10:$Q$14,3,FALSE),1,0)</f>
        <v>0</v>
      </c>
      <c r="I19">
        <f>IF(VLOOKUP(I$1,main!$A$3:$I$56,5,FALSE)-VLOOKUP($A19,main!$A$3:$I$56,6,FALSE)&gt;=VLOOKUP(55,main!$A$57:$I$59,4,FALSE)+VLOOKUP(VLOOKUP(I$1,main!$A$3:$I$56,7,FALSE),main!$K$10:$Q$14,3,FALSE),1,0)</f>
        <v>0</v>
      </c>
      <c r="J19">
        <f>IF(VLOOKUP(J$1,main!$A$3:$I$56,5,FALSE)-VLOOKUP($A19,main!$A$3:$I$56,6,FALSE)&gt;=VLOOKUP(55,main!$A$57:$I$59,4,FALSE)+VLOOKUP(VLOOKUP(J$1,main!$A$3:$I$56,7,FALSE),main!$K$10:$Q$14,3,FALSE),1,0)</f>
        <v>1</v>
      </c>
      <c r="K19">
        <f>IF(VLOOKUP(K$1,main!$A$3:$I$56,5,FALSE)-VLOOKUP($A19,main!$A$3:$I$56,6,FALSE)&gt;=VLOOKUP(55,main!$A$57:$I$59,4,FALSE)+VLOOKUP(VLOOKUP(K$1,main!$A$3:$I$56,7,FALSE),main!$K$10:$Q$14,3,FALSE),1,0)</f>
        <v>0</v>
      </c>
      <c r="L19">
        <f>IF(VLOOKUP(L$1,main!$A$3:$I$56,5,FALSE)-VLOOKUP($A19,main!$A$3:$I$56,6,FALSE)&gt;=VLOOKUP(55,main!$A$57:$I$59,4,FALSE)+VLOOKUP(VLOOKUP(L$1,main!$A$3:$I$56,7,FALSE),main!$K$10:$Q$14,3,FALSE),1,0)</f>
        <v>0</v>
      </c>
      <c r="M19">
        <f>IF(VLOOKUP(M$1,main!$A$3:$I$56,5,FALSE)-VLOOKUP($A19,main!$A$3:$I$56,6,FALSE)&gt;=VLOOKUP(55,main!$A$57:$I$59,4,FALSE)+VLOOKUP(VLOOKUP(M$1,main!$A$3:$I$56,7,FALSE),main!$K$10:$Q$14,3,FALSE),1,0)</f>
        <v>0</v>
      </c>
      <c r="N19">
        <f>IF(VLOOKUP(N$1,main!$A$3:$I$56,5,FALSE)-VLOOKUP($A19,main!$A$3:$I$56,6,FALSE)&gt;=VLOOKUP(55,main!$A$57:$I$59,4,FALSE)+VLOOKUP(VLOOKUP(N$1,main!$A$3:$I$56,7,FALSE),main!$K$10:$Q$14,3,FALSE),1,0)</f>
        <v>0</v>
      </c>
      <c r="O19">
        <f>IF(VLOOKUP(O$1,main!$A$3:$I$56,5,FALSE)-VLOOKUP($A19,main!$A$3:$I$56,6,FALSE)&gt;=VLOOKUP(55,main!$A$57:$I$59,4,FALSE)+VLOOKUP(VLOOKUP(O$1,main!$A$3:$I$56,7,FALSE),main!$K$10:$Q$14,3,FALSE),1,0)</f>
        <v>1</v>
      </c>
      <c r="P19">
        <f>IF(VLOOKUP(P$1,main!$A$3:$I$56,5,FALSE)-VLOOKUP($A19,main!$A$3:$I$56,6,FALSE)&gt;=VLOOKUP(55,main!$A$57:$I$59,4,FALSE)+VLOOKUP(VLOOKUP(P$1,main!$A$3:$I$56,7,FALSE),main!$K$10:$Q$14,3,FALSE),1,0)</f>
        <v>0</v>
      </c>
      <c r="Q19">
        <f>IF(VLOOKUP(Q$1,main!$A$3:$I$56,5,FALSE)-VLOOKUP($A19,main!$A$3:$I$56,6,FALSE)&gt;=VLOOKUP(55,main!$A$57:$I$59,4,FALSE)+VLOOKUP(VLOOKUP(Q$1,main!$A$3:$I$56,7,FALSE),main!$K$10:$Q$14,3,FALSE),1,0)</f>
        <v>0</v>
      </c>
      <c r="R19">
        <f>IF(VLOOKUP(R$1,main!$A$3:$I$56,5,FALSE)-VLOOKUP($A19,main!$A$3:$I$56,6,FALSE)&gt;=VLOOKUP(55,main!$A$57:$I$59,4,FALSE)+VLOOKUP(VLOOKUP(R$1,main!$A$3:$I$56,7,FALSE),main!$K$10:$Q$14,3,FALSE),1,0)</f>
        <v>0</v>
      </c>
      <c r="S19">
        <f>IF(VLOOKUP(S$1,main!$A$3:$I$56,5,FALSE)-VLOOKUP($A19,main!$A$3:$I$56,6,FALSE)&gt;=VLOOKUP(55,main!$A$57:$I$59,4,FALSE)+VLOOKUP(VLOOKUP(S$1,main!$A$3:$I$56,7,FALSE),main!$K$10:$Q$14,3,FALSE),1,0)</f>
        <v>0</v>
      </c>
      <c r="T19">
        <f>IF(VLOOKUP(T$1,main!$A$3:$I$56,5,FALSE)-VLOOKUP($A19,main!$A$3:$I$56,6,FALSE)&gt;=VLOOKUP(55,main!$A$57:$I$59,4,FALSE)+VLOOKUP(VLOOKUP(T$1,main!$A$3:$I$56,7,FALSE),main!$K$10:$Q$14,3,FALSE),1,0)</f>
        <v>0</v>
      </c>
      <c r="U19">
        <f>IF(VLOOKUP(U$1,main!$A$3:$I$56,5,FALSE)-VLOOKUP($A19,main!$A$3:$I$56,6,FALSE)&gt;=VLOOKUP(55,main!$A$57:$I$59,4,FALSE)+VLOOKUP(VLOOKUP(U$1,main!$A$3:$I$56,7,FALSE),main!$K$10:$Q$14,3,FALSE),1,0)</f>
        <v>0</v>
      </c>
      <c r="V19">
        <f>IF(VLOOKUP(V$1,main!$A$3:$I$56,5,FALSE)-VLOOKUP($A19,main!$A$3:$I$56,6,FALSE)&gt;=VLOOKUP(55,main!$A$57:$I$59,4,FALSE)+VLOOKUP(VLOOKUP(V$1,main!$A$3:$I$56,7,FALSE),main!$K$10:$Q$14,3,FALSE),1,0)</f>
        <v>0</v>
      </c>
      <c r="W19">
        <f>IF(VLOOKUP(W$1,main!$A$3:$I$56,5,FALSE)-VLOOKUP($A19,main!$A$3:$I$56,6,FALSE)&gt;=VLOOKUP(55,main!$A$57:$I$59,4,FALSE)+VLOOKUP(VLOOKUP(W$1,main!$A$3:$I$56,7,FALSE),main!$K$10:$Q$14,3,FALSE),1,0)</f>
        <v>0</v>
      </c>
      <c r="X19">
        <f>IF(VLOOKUP(X$1,main!$A$3:$I$56,5,FALSE)-VLOOKUP($A19,main!$A$3:$I$56,6,FALSE)&gt;=VLOOKUP(55,main!$A$57:$I$59,4,FALSE)+VLOOKUP(VLOOKUP(X$1,main!$A$3:$I$56,7,FALSE),main!$K$10:$Q$14,3,FALSE),1,0)</f>
        <v>0</v>
      </c>
      <c r="Y19">
        <f>IF(VLOOKUP(Y$1,main!$A$3:$I$56,5,FALSE)-VLOOKUP($A19,main!$A$3:$I$56,6,FALSE)&gt;=VLOOKUP(55,main!$A$57:$I$59,4,FALSE)+VLOOKUP(VLOOKUP(Y$1,main!$A$3:$I$56,7,FALSE),main!$K$10:$Q$14,3,FALSE),1,0)</f>
        <v>0</v>
      </c>
      <c r="Z19">
        <f>IF(VLOOKUP(Z$1,main!$A$3:$I$56,5,FALSE)-VLOOKUP($A19,main!$A$3:$I$56,6,FALSE)&gt;=VLOOKUP(55,main!$A$57:$I$59,4,FALSE)+VLOOKUP(VLOOKUP(Z$1,main!$A$3:$I$56,7,FALSE),main!$K$10:$Q$14,3,FALSE),1,0)</f>
        <v>0</v>
      </c>
      <c r="AA19">
        <f>IF(VLOOKUP(AA$1,main!$A$3:$I$56,5,FALSE)-VLOOKUP($A19,main!$A$3:$I$56,6,FALSE)&gt;=VLOOKUP(55,main!$A$57:$I$59,4,FALSE)+VLOOKUP(VLOOKUP(AA$1,main!$A$3:$I$56,7,FALSE),main!$K$10:$Q$14,3,FALSE),1,0)</f>
        <v>0</v>
      </c>
      <c r="AB19">
        <f>IF(VLOOKUP(AB$1,main!$A$3:$I$56,5,FALSE)-VLOOKUP($A19,main!$A$3:$I$56,6,FALSE)&gt;=VLOOKUP(55,main!$A$57:$I$59,4,FALSE)+VLOOKUP(VLOOKUP(AB$1,main!$A$3:$I$56,7,FALSE),main!$K$10:$Q$14,3,FALSE),1,0)</f>
        <v>0</v>
      </c>
      <c r="AC19">
        <f>IF(VLOOKUP(AC$1,main!$A$3:$I$56,5,FALSE)-VLOOKUP($A19,main!$A$3:$I$56,6,FALSE)&gt;=VLOOKUP(55,main!$A$57:$I$59,4,FALSE)+VLOOKUP(VLOOKUP(AC$1,main!$A$3:$I$56,7,FALSE),main!$K$10:$Q$14,3,FALSE),1,0)</f>
        <v>0</v>
      </c>
      <c r="AD19">
        <f>IF(VLOOKUP(AD$1,main!$A$3:$I$56,5,FALSE)-VLOOKUP($A19,main!$A$3:$I$56,6,FALSE)&gt;=VLOOKUP(55,main!$A$57:$I$59,4,FALSE)+VLOOKUP(VLOOKUP(AD$1,main!$A$3:$I$56,7,FALSE),main!$K$10:$Q$14,3,FALSE),1,0)</f>
        <v>0</v>
      </c>
      <c r="AE19">
        <f>IF(VLOOKUP(AE$1,main!$A$3:$I$56,5,FALSE)-VLOOKUP($A19,main!$A$3:$I$56,6,FALSE)&gt;=VLOOKUP(55,main!$A$57:$I$59,4,FALSE)+VLOOKUP(VLOOKUP(AE$1,main!$A$3:$I$56,7,FALSE),main!$K$10:$Q$14,3,FALSE),1,0)</f>
        <v>0</v>
      </c>
      <c r="AF19">
        <f>IF(VLOOKUP(AF$1,main!$A$3:$I$56,5,FALSE)-VLOOKUP($A19,main!$A$3:$I$56,6,FALSE)&gt;=VLOOKUP(55,main!$A$57:$I$59,4,FALSE)+VLOOKUP(VLOOKUP(AF$1,main!$A$3:$I$56,7,FALSE),main!$K$10:$Q$14,3,FALSE),1,0)</f>
        <v>0</v>
      </c>
      <c r="AG19">
        <f>IF(VLOOKUP(AG$1,main!$A$3:$I$56,5,FALSE)-VLOOKUP($A19,main!$A$3:$I$56,6,FALSE)&gt;=VLOOKUP(55,main!$A$57:$I$59,4,FALSE)+VLOOKUP(VLOOKUP(AG$1,main!$A$3:$I$56,7,FALSE),main!$K$10:$Q$14,3,FALSE),1,0)</f>
        <v>0</v>
      </c>
      <c r="AH19">
        <f>IF(VLOOKUP(AH$1,main!$A$3:$I$56,5,FALSE)-VLOOKUP($A19,main!$A$3:$I$56,6,FALSE)&gt;=VLOOKUP(55,main!$A$57:$I$59,4,FALSE)+VLOOKUP(VLOOKUP(AH$1,main!$A$3:$I$56,7,FALSE),main!$K$10:$Q$14,3,FALSE),1,0)</f>
        <v>0</v>
      </c>
      <c r="AI19">
        <f>IF(VLOOKUP(AI$1,main!$A$3:$I$56,5,FALSE)-VLOOKUP($A19,main!$A$3:$I$56,6,FALSE)&gt;=VLOOKUP(55,main!$A$57:$I$59,4,FALSE)+VLOOKUP(VLOOKUP(AI$1,main!$A$3:$I$56,7,FALSE),main!$K$10:$Q$14,3,FALSE),1,0)</f>
        <v>0</v>
      </c>
      <c r="AJ19">
        <f>IF(VLOOKUP(AJ$1,main!$A$3:$I$56,5,FALSE)-VLOOKUP($A19,main!$A$3:$I$56,6,FALSE)&gt;=VLOOKUP(55,main!$A$57:$I$59,4,FALSE)+VLOOKUP(VLOOKUP(AJ$1,main!$A$3:$I$56,7,FALSE),main!$K$10:$Q$14,3,FALSE),1,0)</f>
        <v>0</v>
      </c>
      <c r="AK19">
        <f>IF(VLOOKUP(AK$1,main!$A$3:$I$56,5,FALSE)-VLOOKUP($A19,main!$A$3:$I$56,6,FALSE)&gt;=VLOOKUP(55,main!$A$57:$I$59,4,FALSE)+VLOOKUP(VLOOKUP(AK$1,main!$A$3:$I$56,7,FALSE),main!$K$10:$Q$14,3,FALSE),1,0)</f>
        <v>0</v>
      </c>
      <c r="AL19">
        <f>IF(VLOOKUP(AL$1,main!$A$3:$I$56,5,FALSE)-VLOOKUP($A19,main!$A$3:$I$56,6,FALSE)&gt;=VLOOKUP(55,main!$A$57:$I$59,4,FALSE)+VLOOKUP(VLOOKUP(AL$1,main!$A$3:$I$56,7,FALSE),main!$K$10:$Q$14,3,FALSE),1,0)</f>
        <v>0</v>
      </c>
      <c r="AM19">
        <f>IF(VLOOKUP(AM$1,main!$A$3:$I$56,5,FALSE)-VLOOKUP($A19,main!$A$3:$I$56,6,FALSE)&gt;=VLOOKUP(55,main!$A$57:$I$59,4,FALSE)+VLOOKUP(VLOOKUP(AM$1,main!$A$3:$I$56,7,FALSE),main!$K$10:$Q$14,3,FALSE),1,0)</f>
        <v>0</v>
      </c>
      <c r="AN19">
        <f>IF(VLOOKUP(AN$1,main!$A$3:$I$56,5,FALSE)-VLOOKUP($A19,main!$A$3:$I$56,6,FALSE)&gt;=VLOOKUP(55,main!$A$57:$I$59,4,FALSE)+VLOOKUP(VLOOKUP(AN$1,main!$A$3:$I$56,7,FALSE),main!$K$10:$Q$14,3,FALSE),1,0)</f>
        <v>0</v>
      </c>
      <c r="AO19">
        <f>IF(VLOOKUP(AO$1,main!$A$3:$I$56,5,FALSE)-VLOOKUP($A19,main!$A$3:$I$56,6,FALSE)&gt;=VLOOKUP(55,main!$A$57:$I$59,4,FALSE)+VLOOKUP(VLOOKUP(AO$1,main!$A$3:$I$56,7,FALSE),main!$K$10:$Q$14,3,FALSE),1,0)</f>
        <v>0</v>
      </c>
      <c r="AP19">
        <f>IF(VLOOKUP(AP$1,main!$A$3:$I$56,5,FALSE)-VLOOKUP($A19,main!$A$3:$I$56,6,FALSE)&gt;=VLOOKUP(55,main!$A$57:$I$59,4,FALSE)+VLOOKUP(VLOOKUP(AP$1,main!$A$3:$I$56,7,FALSE),main!$K$10:$Q$14,3,FALSE),1,0)</f>
        <v>0</v>
      </c>
      <c r="AQ19">
        <f>IF(VLOOKUP(AQ$1,main!$A$3:$I$56,5,FALSE)-VLOOKUP($A19,main!$A$3:$I$56,6,FALSE)&gt;=VLOOKUP(55,main!$A$57:$I$59,4,FALSE)+VLOOKUP(VLOOKUP(AQ$1,main!$A$3:$I$56,7,FALSE),main!$K$10:$Q$14,3,FALSE),1,0)</f>
        <v>0</v>
      </c>
      <c r="AR19">
        <f>IF(VLOOKUP(AR$1,main!$A$3:$I$56,5,FALSE)-VLOOKUP($A19,main!$A$3:$I$56,6,FALSE)&gt;=VLOOKUP(55,main!$A$57:$I$59,4,FALSE)+VLOOKUP(VLOOKUP(AR$1,main!$A$3:$I$56,7,FALSE),main!$K$10:$Q$14,3,FALSE),1,0)</f>
        <v>0</v>
      </c>
      <c r="AS19">
        <f>IF(VLOOKUP(AS$1,main!$A$3:$I$56,5,FALSE)-VLOOKUP($A19,main!$A$3:$I$56,6,FALSE)&gt;=VLOOKUP(55,main!$A$57:$I$59,4,FALSE)+VLOOKUP(VLOOKUP(AS$1,main!$A$3:$I$56,7,FALSE),main!$K$10:$Q$14,3,FALSE),1,0)</f>
        <v>0</v>
      </c>
      <c r="AT19">
        <f>IF(VLOOKUP(AT$1,main!$A$3:$I$56,5,FALSE)-VLOOKUP($A19,main!$A$3:$I$56,6,FALSE)&gt;=VLOOKUP(55,main!$A$57:$I$59,4,FALSE)+VLOOKUP(VLOOKUP(AT$1,main!$A$3:$I$56,7,FALSE),main!$K$10:$Q$14,3,FALSE),1,0)</f>
        <v>0</v>
      </c>
      <c r="AU19">
        <f>IF(VLOOKUP(AU$1,main!$A$3:$I$56,5,FALSE)-VLOOKUP($A19,main!$A$3:$I$56,6,FALSE)&gt;=VLOOKUP(55,main!$A$57:$I$59,4,FALSE)+VLOOKUP(VLOOKUP(AU$1,main!$A$3:$I$56,7,FALSE),main!$K$10:$Q$14,3,FALSE),1,0)</f>
        <v>0</v>
      </c>
      <c r="AV19">
        <f>IF(VLOOKUP(AV$1,main!$A$3:$I$56,5,FALSE)-VLOOKUP($A19,main!$A$3:$I$56,6,FALSE)&gt;=VLOOKUP(55,main!$A$57:$I$59,4,FALSE)+VLOOKUP(VLOOKUP(AV$1,main!$A$3:$I$56,7,FALSE),main!$K$10:$Q$14,3,FALSE),1,0)</f>
        <v>0</v>
      </c>
      <c r="AW19">
        <f>IF(VLOOKUP(AW$1,main!$A$3:$I$56,5,FALSE)-VLOOKUP($A19,main!$A$3:$I$56,6,FALSE)&gt;=VLOOKUP(55,main!$A$57:$I$59,4,FALSE)+VLOOKUP(VLOOKUP(AW$1,main!$A$3:$I$56,7,FALSE),main!$K$10:$Q$14,3,FALSE),1,0)</f>
        <v>0</v>
      </c>
      <c r="AX19">
        <f>IF(VLOOKUP(AX$1,main!$A$3:$I$56,5,FALSE)-VLOOKUP($A19,main!$A$3:$I$56,6,FALSE)&gt;=VLOOKUP(55,main!$A$57:$I$59,4,FALSE)+VLOOKUP(VLOOKUP(AX$1,main!$A$3:$I$56,7,FALSE),main!$K$10:$Q$14,3,FALSE),1,0)</f>
        <v>0</v>
      </c>
      <c r="AY19">
        <f>IF(VLOOKUP(AY$1,main!$A$3:$I$56,5,FALSE)-VLOOKUP($A19,main!$A$3:$I$56,6,FALSE)&gt;=VLOOKUP(55,main!$A$57:$I$59,4,FALSE)+VLOOKUP(VLOOKUP(AY$1,main!$A$3:$I$56,7,FALSE),main!$K$10:$Q$14,3,FALSE),1,0)</f>
        <v>1</v>
      </c>
      <c r="AZ19">
        <f>IF(VLOOKUP(AZ$1,main!$A$3:$I$56,5,FALSE)-VLOOKUP($A19,main!$A$3:$I$56,6,FALSE)&gt;=VLOOKUP(55,main!$A$57:$I$59,4,FALSE)+VLOOKUP(VLOOKUP(AZ$1,main!$A$3:$I$56,7,FALSE),main!$K$10:$Q$14,3,FALSE),1,0)</f>
        <v>0</v>
      </c>
      <c r="BA19">
        <f>IF(VLOOKUP(BA$1,main!$A$3:$I$56,5,FALSE)-VLOOKUP($A19,main!$A$3:$I$56,6,FALSE)&gt;=VLOOKUP(55,main!$A$57:$I$59,4,FALSE)+VLOOKUP(VLOOKUP(BA$1,main!$A$3:$I$56,7,FALSE),main!$K$10:$Q$14,3,FALSE),1,0)</f>
        <v>0</v>
      </c>
      <c r="BB19">
        <f>IF(VLOOKUP(BB$1,main!$A$3:$I$56,5,FALSE)-VLOOKUP($A19,main!$A$3:$I$56,6,FALSE)&gt;=VLOOKUP(55,main!$A$57:$I$59,4,FALSE)+VLOOKUP(VLOOKUP(BB$1,main!$A$3:$I$56,7,FALSE),main!$K$10:$Q$14,3,FALSE),1,0)</f>
        <v>0</v>
      </c>
      <c r="BC19">
        <f>IF(VLOOKUP(BC$1,main!$A$3:$I$56,5,FALSE)-VLOOKUP($A19,main!$A$3:$I$56,6,FALSE)&gt;=VLOOKUP(55,main!$A$57:$I$59,4,FALSE)+VLOOKUP(VLOOKUP(BC$1,main!$A$3:$I$56,7,FALSE),main!$K$10:$Q$14,3,FALSE),1,0)</f>
        <v>0</v>
      </c>
      <c r="BD19">
        <f>IF(VLOOKUP(BD$1,main!$A$3:$I$56,5,FALSE)-VLOOKUP($A19,main!$A$3:$I$56,6,FALSE)&gt;=VLOOKUP(55,main!$A$57:$I$59,4,FALSE)+VLOOKUP(VLOOKUP(BD$1,main!$A$3:$I$56,7,FALSE),main!$K$10:$Q$14,3,FALSE),1,0)</f>
        <v>0</v>
      </c>
    </row>
    <row r="20" spans="1:56" x14ac:dyDescent="0.25">
      <c r="A20">
        <f t="shared" si="0"/>
        <v>18</v>
      </c>
      <c r="B20">
        <v>0</v>
      </c>
      <c r="C20">
        <f>IF(VLOOKUP(C$1,main!$A$3:$I$56,5,FALSE)-VLOOKUP($A20,main!$A$3:$I$56,6,FALSE)&gt;=VLOOKUP(55,main!$A$57:$I$59,4,FALSE)+VLOOKUP(VLOOKUP(C$1,main!$A$3:$I$56,7,FALSE),main!$K$10:$Q$14,3,FALSE),1,0)</f>
        <v>0</v>
      </c>
      <c r="D20">
        <f>IF(VLOOKUP(D$1,main!$A$3:$I$56,5,FALSE)-VLOOKUP($A20,main!$A$3:$I$56,6,FALSE)&gt;=VLOOKUP(55,main!$A$57:$I$59,4,FALSE)+VLOOKUP(VLOOKUP(D$1,main!$A$3:$I$56,7,FALSE),main!$K$10:$Q$14,3,FALSE),1,0)</f>
        <v>0</v>
      </c>
      <c r="E20">
        <f>IF(VLOOKUP(E$1,main!$A$3:$I$56,5,FALSE)-VLOOKUP($A20,main!$A$3:$I$56,6,FALSE)&gt;=VLOOKUP(55,main!$A$57:$I$59,4,FALSE)+VLOOKUP(VLOOKUP(E$1,main!$A$3:$I$56,7,FALSE),main!$K$10:$Q$14,3,FALSE),1,0)</f>
        <v>0</v>
      </c>
      <c r="F20">
        <f>IF(VLOOKUP(F$1,main!$A$3:$I$56,5,FALSE)-VLOOKUP($A20,main!$A$3:$I$56,6,FALSE)&gt;=VLOOKUP(55,main!$A$57:$I$59,4,FALSE)+VLOOKUP(VLOOKUP(F$1,main!$A$3:$I$56,7,FALSE),main!$K$10:$Q$14,3,FALSE),1,0)</f>
        <v>0</v>
      </c>
      <c r="G20">
        <f>IF(VLOOKUP(G$1,main!$A$3:$I$56,5,FALSE)-VLOOKUP($A20,main!$A$3:$I$56,6,FALSE)&gt;=VLOOKUP(55,main!$A$57:$I$59,4,FALSE)+VLOOKUP(VLOOKUP(G$1,main!$A$3:$I$56,7,FALSE),main!$K$10:$Q$14,3,FALSE),1,0)</f>
        <v>0</v>
      </c>
      <c r="H20">
        <f>IF(VLOOKUP(H$1,main!$A$3:$I$56,5,FALSE)-VLOOKUP($A20,main!$A$3:$I$56,6,FALSE)&gt;=VLOOKUP(55,main!$A$57:$I$59,4,FALSE)+VLOOKUP(VLOOKUP(H$1,main!$A$3:$I$56,7,FALSE),main!$K$10:$Q$14,3,FALSE),1,0)</f>
        <v>0</v>
      </c>
      <c r="I20">
        <f>IF(VLOOKUP(I$1,main!$A$3:$I$56,5,FALSE)-VLOOKUP($A20,main!$A$3:$I$56,6,FALSE)&gt;=VLOOKUP(55,main!$A$57:$I$59,4,FALSE)+VLOOKUP(VLOOKUP(I$1,main!$A$3:$I$56,7,FALSE),main!$K$10:$Q$14,3,FALSE),1,0)</f>
        <v>0</v>
      </c>
      <c r="J20">
        <f>IF(VLOOKUP(J$1,main!$A$3:$I$56,5,FALSE)-VLOOKUP($A20,main!$A$3:$I$56,6,FALSE)&gt;=VLOOKUP(55,main!$A$57:$I$59,4,FALSE)+VLOOKUP(VLOOKUP(J$1,main!$A$3:$I$56,7,FALSE),main!$K$10:$Q$14,3,FALSE),1,0)</f>
        <v>0</v>
      </c>
      <c r="K20">
        <f>IF(VLOOKUP(K$1,main!$A$3:$I$56,5,FALSE)-VLOOKUP($A20,main!$A$3:$I$56,6,FALSE)&gt;=VLOOKUP(55,main!$A$57:$I$59,4,FALSE)+VLOOKUP(VLOOKUP(K$1,main!$A$3:$I$56,7,FALSE),main!$K$10:$Q$14,3,FALSE),1,0)</f>
        <v>0</v>
      </c>
      <c r="L20">
        <f>IF(VLOOKUP(L$1,main!$A$3:$I$56,5,FALSE)-VLOOKUP($A20,main!$A$3:$I$56,6,FALSE)&gt;=VLOOKUP(55,main!$A$57:$I$59,4,FALSE)+VLOOKUP(VLOOKUP(L$1,main!$A$3:$I$56,7,FALSE),main!$K$10:$Q$14,3,FALSE),1,0)</f>
        <v>0</v>
      </c>
      <c r="M20">
        <f>IF(VLOOKUP(M$1,main!$A$3:$I$56,5,FALSE)-VLOOKUP($A20,main!$A$3:$I$56,6,FALSE)&gt;=VLOOKUP(55,main!$A$57:$I$59,4,FALSE)+VLOOKUP(VLOOKUP(M$1,main!$A$3:$I$56,7,FALSE),main!$K$10:$Q$14,3,FALSE),1,0)</f>
        <v>0</v>
      </c>
      <c r="N20">
        <f>IF(VLOOKUP(N$1,main!$A$3:$I$56,5,FALSE)-VLOOKUP($A20,main!$A$3:$I$56,6,FALSE)&gt;=VLOOKUP(55,main!$A$57:$I$59,4,FALSE)+VLOOKUP(VLOOKUP(N$1,main!$A$3:$I$56,7,FALSE),main!$K$10:$Q$14,3,FALSE),1,0)</f>
        <v>0</v>
      </c>
      <c r="O20">
        <f>IF(VLOOKUP(O$1,main!$A$3:$I$56,5,FALSE)-VLOOKUP($A20,main!$A$3:$I$56,6,FALSE)&gt;=VLOOKUP(55,main!$A$57:$I$59,4,FALSE)+VLOOKUP(VLOOKUP(O$1,main!$A$3:$I$56,7,FALSE),main!$K$10:$Q$14,3,FALSE),1,0)</f>
        <v>0</v>
      </c>
      <c r="P20">
        <f>IF(VLOOKUP(P$1,main!$A$3:$I$56,5,FALSE)-VLOOKUP($A20,main!$A$3:$I$56,6,FALSE)&gt;=VLOOKUP(55,main!$A$57:$I$59,4,FALSE)+VLOOKUP(VLOOKUP(P$1,main!$A$3:$I$56,7,FALSE),main!$K$10:$Q$14,3,FALSE),1,0)</f>
        <v>0</v>
      </c>
      <c r="Q20">
        <f>IF(VLOOKUP(Q$1,main!$A$3:$I$56,5,FALSE)-VLOOKUP($A20,main!$A$3:$I$56,6,FALSE)&gt;=VLOOKUP(55,main!$A$57:$I$59,4,FALSE)+VLOOKUP(VLOOKUP(Q$1,main!$A$3:$I$56,7,FALSE),main!$K$10:$Q$14,3,FALSE),1,0)</f>
        <v>0</v>
      </c>
      <c r="R20">
        <f>IF(VLOOKUP(R$1,main!$A$3:$I$56,5,FALSE)-VLOOKUP($A20,main!$A$3:$I$56,6,FALSE)&gt;=VLOOKUP(55,main!$A$57:$I$59,4,FALSE)+VLOOKUP(VLOOKUP(R$1,main!$A$3:$I$56,7,FALSE),main!$K$10:$Q$14,3,FALSE),1,0)</f>
        <v>0</v>
      </c>
      <c r="S20">
        <f>IF(VLOOKUP(S$1,main!$A$3:$I$56,5,FALSE)-VLOOKUP($A20,main!$A$3:$I$56,6,FALSE)&gt;=VLOOKUP(55,main!$A$57:$I$59,4,FALSE)+VLOOKUP(VLOOKUP(S$1,main!$A$3:$I$56,7,FALSE),main!$K$10:$Q$14,3,FALSE),1,0)</f>
        <v>0</v>
      </c>
      <c r="T20">
        <f>IF(VLOOKUP(T$1,main!$A$3:$I$56,5,FALSE)-VLOOKUP($A20,main!$A$3:$I$56,6,FALSE)&gt;=VLOOKUP(55,main!$A$57:$I$59,4,FALSE)+VLOOKUP(VLOOKUP(T$1,main!$A$3:$I$56,7,FALSE),main!$K$10:$Q$14,3,FALSE),1,0)</f>
        <v>0</v>
      </c>
      <c r="U20">
        <f>IF(VLOOKUP(U$1,main!$A$3:$I$56,5,FALSE)-VLOOKUP($A20,main!$A$3:$I$56,6,FALSE)&gt;=VLOOKUP(55,main!$A$57:$I$59,4,FALSE)+VLOOKUP(VLOOKUP(U$1,main!$A$3:$I$56,7,FALSE),main!$K$10:$Q$14,3,FALSE),1,0)</f>
        <v>0</v>
      </c>
      <c r="V20">
        <f>IF(VLOOKUP(V$1,main!$A$3:$I$56,5,FALSE)-VLOOKUP($A20,main!$A$3:$I$56,6,FALSE)&gt;=VLOOKUP(55,main!$A$57:$I$59,4,FALSE)+VLOOKUP(VLOOKUP(V$1,main!$A$3:$I$56,7,FALSE),main!$K$10:$Q$14,3,FALSE),1,0)</f>
        <v>0</v>
      </c>
      <c r="W20">
        <f>IF(VLOOKUP(W$1,main!$A$3:$I$56,5,FALSE)-VLOOKUP($A20,main!$A$3:$I$56,6,FALSE)&gt;=VLOOKUP(55,main!$A$57:$I$59,4,FALSE)+VLOOKUP(VLOOKUP(W$1,main!$A$3:$I$56,7,FALSE),main!$K$10:$Q$14,3,FALSE),1,0)</f>
        <v>0</v>
      </c>
      <c r="X20">
        <f>IF(VLOOKUP(X$1,main!$A$3:$I$56,5,FALSE)-VLOOKUP($A20,main!$A$3:$I$56,6,FALSE)&gt;=VLOOKUP(55,main!$A$57:$I$59,4,FALSE)+VLOOKUP(VLOOKUP(X$1,main!$A$3:$I$56,7,FALSE),main!$K$10:$Q$14,3,FALSE),1,0)</f>
        <v>0</v>
      </c>
      <c r="Y20">
        <f>IF(VLOOKUP(Y$1,main!$A$3:$I$56,5,FALSE)-VLOOKUP($A20,main!$A$3:$I$56,6,FALSE)&gt;=VLOOKUP(55,main!$A$57:$I$59,4,FALSE)+VLOOKUP(VLOOKUP(Y$1,main!$A$3:$I$56,7,FALSE),main!$K$10:$Q$14,3,FALSE),1,0)</f>
        <v>0</v>
      </c>
      <c r="Z20">
        <f>IF(VLOOKUP(Z$1,main!$A$3:$I$56,5,FALSE)-VLOOKUP($A20,main!$A$3:$I$56,6,FALSE)&gt;=VLOOKUP(55,main!$A$57:$I$59,4,FALSE)+VLOOKUP(VLOOKUP(Z$1,main!$A$3:$I$56,7,FALSE),main!$K$10:$Q$14,3,FALSE),1,0)</f>
        <v>0</v>
      </c>
      <c r="AA20">
        <f>IF(VLOOKUP(AA$1,main!$A$3:$I$56,5,FALSE)-VLOOKUP($A20,main!$A$3:$I$56,6,FALSE)&gt;=VLOOKUP(55,main!$A$57:$I$59,4,FALSE)+VLOOKUP(VLOOKUP(AA$1,main!$A$3:$I$56,7,FALSE),main!$K$10:$Q$14,3,FALSE),1,0)</f>
        <v>0</v>
      </c>
      <c r="AB20">
        <f>IF(VLOOKUP(AB$1,main!$A$3:$I$56,5,FALSE)-VLOOKUP($A20,main!$A$3:$I$56,6,FALSE)&gt;=VLOOKUP(55,main!$A$57:$I$59,4,FALSE)+VLOOKUP(VLOOKUP(AB$1,main!$A$3:$I$56,7,FALSE),main!$K$10:$Q$14,3,FALSE),1,0)</f>
        <v>0</v>
      </c>
      <c r="AC20">
        <f>IF(VLOOKUP(AC$1,main!$A$3:$I$56,5,FALSE)-VLOOKUP($A20,main!$A$3:$I$56,6,FALSE)&gt;=VLOOKUP(55,main!$A$57:$I$59,4,FALSE)+VLOOKUP(VLOOKUP(AC$1,main!$A$3:$I$56,7,FALSE),main!$K$10:$Q$14,3,FALSE),1,0)</f>
        <v>0</v>
      </c>
      <c r="AD20">
        <f>IF(VLOOKUP(AD$1,main!$A$3:$I$56,5,FALSE)-VLOOKUP($A20,main!$A$3:$I$56,6,FALSE)&gt;=VLOOKUP(55,main!$A$57:$I$59,4,FALSE)+VLOOKUP(VLOOKUP(AD$1,main!$A$3:$I$56,7,FALSE),main!$K$10:$Q$14,3,FALSE),1,0)</f>
        <v>0</v>
      </c>
      <c r="AE20">
        <f>IF(VLOOKUP(AE$1,main!$A$3:$I$56,5,FALSE)-VLOOKUP($A20,main!$A$3:$I$56,6,FALSE)&gt;=VLOOKUP(55,main!$A$57:$I$59,4,FALSE)+VLOOKUP(VLOOKUP(AE$1,main!$A$3:$I$56,7,FALSE),main!$K$10:$Q$14,3,FALSE),1,0)</f>
        <v>0</v>
      </c>
      <c r="AF20">
        <f>IF(VLOOKUP(AF$1,main!$A$3:$I$56,5,FALSE)-VLOOKUP($A20,main!$A$3:$I$56,6,FALSE)&gt;=VLOOKUP(55,main!$A$57:$I$59,4,FALSE)+VLOOKUP(VLOOKUP(AF$1,main!$A$3:$I$56,7,FALSE),main!$K$10:$Q$14,3,FALSE),1,0)</f>
        <v>0</v>
      </c>
      <c r="AG20">
        <f>IF(VLOOKUP(AG$1,main!$A$3:$I$56,5,FALSE)-VLOOKUP($A20,main!$A$3:$I$56,6,FALSE)&gt;=VLOOKUP(55,main!$A$57:$I$59,4,FALSE)+VLOOKUP(VLOOKUP(AG$1,main!$A$3:$I$56,7,FALSE),main!$K$10:$Q$14,3,FALSE),1,0)</f>
        <v>0</v>
      </c>
      <c r="AH20">
        <f>IF(VLOOKUP(AH$1,main!$A$3:$I$56,5,FALSE)-VLOOKUP($A20,main!$A$3:$I$56,6,FALSE)&gt;=VLOOKUP(55,main!$A$57:$I$59,4,FALSE)+VLOOKUP(VLOOKUP(AH$1,main!$A$3:$I$56,7,FALSE),main!$K$10:$Q$14,3,FALSE),1,0)</f>
        <v>0</v>
      </c>
      <c r="AI20">
        <f>IF(VLOOKUP(AI$1,main!$A$3:$I$56,5,FALSE)-VLOOKUP($A20,main!$A$3:$I$56,6,FALSE)&gt;=VLOOKUP(55,main!$A$57:$I$59,4,FALSE)+VLOOKUP(VLOOKUP(AI$1,main!$A$3:$I$56,7,FALSE),main!$K$10:$Q$14,3,FALSE),1,0)</f>
        <v>0</v>
      </c>
      <c r="AJ20">
        <f>IF(VLOOKUP(AJ$1,main!$A$3:$I$56,5,FALSE)-VLOOKUP($A20,main!$A$3:$I$56,6,FALSE)&gt;=VLOOKUP(55,main!$A$57:$I$59,4,FALSE)+VLOOKUP(VLOOKUP(AJ$1,main!$A$3:$I$56,7,FALSE),main!$K$10:$Q$14,3,FALSE),1,0)</f>
        <v>0</v>
      </c>
      <c r="AK20">
        <f>IF(VLOOKUP(AK$1,main!$A$3:$I$56,5,FALSE)-VLOOKUP($A20,main!$A$3:$I$56,6,FALSE)&gt;=VLOOKUP(55,main!$A$57:$I$59,4,FALSE)+VLOOKUP(VLOOKUP(AK$1,main!$A$3:$I$56,7,FALSE),main!$K$10:$Q$14,3,FALSE),1,0)</f>
        <v>0</v>
      </c>
      <c r="AL20">
        <f>IF(VLOOKUP(AL$1,main!$A$3:$I$56,5,FALSE)-VLOOKUP($A20,main!$A$3:$I$56,6,FALSE)&gt;=VLOOKUP(55,main!$A$57:$I$59,4,FALSE)+VLOOKUP(VLOOKUP(AL$1,main!$A$3:$I$56,7,FALSE),main!$K$10:$Q$14,3,FALSE),1,0)</f>
        <v>0</v>
      </c>
      <c r="AM20">
        <f>IF(VLOOKUP(AM$1,main!$A$3:$I$56,5,FALSE)-VLOOKUP($A20,main!$A$3:$I$56,6,FALSE)&gt;=VLOOKUP(55,main!$A$57:$I$59,4,FALSE)+VLOOKUP(VLOOKUP(AM$1,main!$A$3:$I$56,7,FALSE),main!$K$10:$Q$14,3,FALSE),1,0)</f>
        <v>0</v>
      </c>
      <c r="AN20">
        <f>IF(VLOOKUP(AN$1,main!$A$3:$I$56,5,FALSE)-VLOOKUP($A20,main!$A$3:$I$56,6,FALSE)&gt;=VLOOKUP(55,main!$A$57:$I$59,4,FALSE)+VLOOKUP(VLOOKUP(AN$1,main!$A$3:$I$56,7,FALSE),main!$K$10:$Q$14,3,FALSE),1,0)</f>
        <v>0</v>
      </c>
      <c r="AO20">
        <f>IF(VLOOKUP(AO$1,main!$A$3:$I$56,5,FALSE)-VLOOKUP($A20,main!$A$3:$I$56,6,FALSE)&gt;=VLOOKUP(55,main!$A$57:$I$59,4,FALSE)+VLOOKUP(VLOOKUP(AO$1,main!$A$3:$I$56,7,FALSE),main!$K$10:$Q$14,3,FALSE),1,0)</f>
        <v>0</v>
      </c>
      <c r="AP20">
        <f>IF(VLOOKUP(AP$1,main!$A$3:$I$56,5,FALSE)-VLOOKUP($A20,main!$A$3:$I$56,6,FALSE)&gt;=VLOOKUP(55,main!$A$57:$I$59,4,FALSE)+VLOOKUP(VLOOKUP(AP$1,main!$A$3:$I$56,7,FALSE),main!$K$10:$Q$14,3,FALSE),1,0)</f>
        <v>0</v>
      </c>
      <c r="AQ20">
        <f>IF(VLOOKUP(AQ$1,main!$A$3:$I$56,5,FALSE)-VLOOKUP($A20,main!$A$3:$I$56,6,FALSE)&gt;=VLOOKUP(55,main!$A$57:$I$59,4,FALSE)+VLOOKUP(VLOOKUP(AQ$1,main!$A$3:$I$56,7,FALSE),main!$K$10:$Q$14,3,FALSE),1,0)</f>
        <v>0</v>
      </c>
      <c r="AR20">
        <f>IF(VLOOKUP(AR$1,main!$A$3:$I$56,5,FALSE)-VLOOKUP($A20,main!$A$3:$I$56,6,FALSE)&gt;=VLOOKUP(55,main!$A$57:$I$59,4,FALSE)+VLOOKUP(VLOOKUP(AR$1,main!$A$3:$I$56,7,FALSE),main!$K$10:$Q$14,3,FALSE),1,0)</f>
        <v>0</v>
      </c>
      <c r="AS20">
        <f>IF(VLOOKUP(AS$1,main!$A$3:$I$56,5,FALSE)-VLOOKUP($A20,main!$A$3:$I$56,6,FALSE)&gt;=VLOOKUP(55,main!$A$57:$I$59,4,FALSE)+VLOOKUP(VLOOKUP(AS$1,main!$A$3:$I$56,7,FALSE),main!$K$10:$Q$14,3,FALSE),1,0)</f>
        <v>0</v>
      </c>
      <c r="AT20">
        <f>IF(VLOOKUP(AT$1,main!$A$3:$I$56,5,FALSE)-VLOOKUP($A20,main!$A$3:$I$56,6,FALSE)&gt;=VLOOKUP(55,main!$A$57:$I$59,4,FALSE)+VLOOKUP(VLOOKUP(AT$1,main!$A$3:$I$56,7,FALSE),main!$K$10:$Q$14,3,FALSE),1,0)</f>
        <v>0</v>
      </c>
      <c r="AU20">
        <f>IF(VLOOKUP(AU$1,main!$A$3:$I$56,5,FALSE)-VLOOKUP($A20,main!$A$3:$I$56,6,FALSE)&gt;=VLOOKUP(55,main!$A$57:$I$59,4,FALSE)+VLOOKUP(VLOOKUP(AU$1,main!$A$3:$I$56,7,FALSE),main!$K$10:$Q$14,3,FALSE),1,0)</f>
        <v>0</v>
      </c>
      <c r="AV20">
        <f>IF(VLOOKUP(AV$1,main!$A$3:$I$56,5,FALSE)-VLOOKUP($A20,main!$A$3:$I$56,6,FALSE)&gt;=VLOOKUP(55,main!$A$57:$I$59,4,FALSE)+VLOOKUP(VLOOKUP(AV$1,main!$A$3:$I$56,7,FALSE),main!$K$10:$Q$14,3,FALSE),1,0)</f>
        <v>0</v>
      </c>
      <c r="AW20">
        <f>IF(VLOOKUP(AW$1,main!$A$3:$I$56,5,FALSE)-VLOOKUP($A20,main!$A$3:$I$56,6,FALSE)&gt;=VLOOKUP(55,main!$A$57:$I$59,4,FALSE)+VLOOKUP(VLOOKUP(AW$1,main!$A$3:$I$56,7,FALSE),main!$K$10:$Q$14,3,FALSE),1,0)</f>
        <v>0</v>
      </c>
      <c r="AX20">
        <f>IF(VLOOKUP(AX$1,main!$A$3:$I$56,5,FALSE)-VLOOKUP($A20,main!$A$3:$I$56,6,FALSE)&gt;=VLOOKUP(55,main!$A$57:$I$59,4,FALSE)+VLOOKUP(VLOOKUP(AX$1,main!$A$3:$I$56,7,FALSE),main!$K$10:$Q$14,3,FALSE),1,0)</f>
        <v>0</v>
      </c>
      <c r="AY20">
        <f>IF(VLOOKUP(AY$1,main!$A$3:$I$56,5,FALSE)-VLOOKUP($A20,main!$A$3:$I$56,6,FALSE)&gt;=VLOOKUP(55,main!$A$57:$I$59,4,FALSE)+VLOOKUP(VLOOKUP(AY$1,main!$A$3:$I$56,7,FALSE),main!$K$10:$Q$14,3,FALSE),1,0)</f>
        <v>0</v>
      </c>
      <c r="AZ20">
        <f>IF(VLOOKUP(AZ$1,main!$A$3:$I$56,5,FALSE)-VLOOKUP($A20,main!$A$3:$I$56,6,FALSE)&gt;=VLOOKUP(55,main!$A$57:$I$59,4,FALSE)+VLOOKUP(VLOOKUP(AZ$1,main!$A$3:$I$56,7,FALSE),main!$K$10:$Q$14,3,FALSE),1,0)</f>
        <v>0</v>
      </c>
      <c r="BA20">
        <f>IF(VLOOKUP(BA$1,main!$A$3:$I$56,5,FALSE)-VLOOKUP($A20,main!$A$3:$I$56,6,FALSE)&gt;=VLOOKUP(55,main!$A$57:$I$59,4,FALSE)+VLOOKUP(VLOOKUP(BA$1,main!$A$3:$I$56,7,FALSE),main!$K$10:$Q$14,3,FALSE),1,0)</f>
        <v>0</v>
      </c>
      <c r="BB20">
        <f>IF(VLOOKUP(BB$1,main!$A$3:$I$56,5,FALSE)-VLOOKUP($A20,main!$A$3:$I$56,6,FALSE)&gt;=VLOOKUP(55,main!$A$57:$I$59,4,FALSE)+VLOOKUP(VLOOKUP(BB$1,main!$A$3:$I$56,7,FALSE),main!$K$10:$Q$14,3,FALSE),1,0)</f>
        <v>0</v>
      </c>
      <c r="BC20">
        <f>IF(VLOOKUP(BC$1,main!$A$3:$I$56,5,FALSE)-VLOOKUP($A20,main!$A$3:$I$56,6,FALSE)&gt;=VLOOKUP(55,main!$A$57:$I$59,4,FALSE)+VLOOKUP(VLOOKUP(BC$1,main!$A$3:$I$56,7,FALSE),main!$K$10:$Q$14,3,FALSE),1,0)</f>
        <v>0</v>
      </c>
      <c r="BD20">
        <f>IF(VLOOKUP(BD$1,main!$A$3:$I$56,5,FALSE)-VLOOKUP($A20,main!$A$3:$I$56,6,FALSE)&gt;=VLOOKUP(55,main!$A$57:$I$59,4,FALSE)+VLOOKUP(VLOOKUP(BD$1,main!$A$3:$I$56,7,FALSE),main!$K$10:$Q$14,3,FALSE),1,0)</f>
        <v>0</v>
      </c>
    </row>
    <row r="21" spans="1:56" x14ac:dyDescent="0.25">
      <c r="A21">
        <f t="shared" si="0"/>
        <v>19</v>
      </c>
      <c r="B21">
        <v>0</v>
      </c>
      <c r="C21">
        <f>IF(VLOOKUP(C$1,main!$A$3:$I$56,5,FALSE)-VLOOKUP($A21,main!$A$3:$I$56,6,FALSE)&gt;=VLOOKUP(55,main!$A$57:$I$59,4,FALSE)+VLOOKUP(VLOOKUP(C$1,main!$A$3:$I$56,7,FALSE),main!$K$10:$Q$14,3,FALSE),1,0)</f>
        <v>0</v>
      </c>
      <c r="D21">
        <f>IF(VLOOKUP(D$1,main!$A$3:$I$56,5,FALSE)-VLOOKUP($A21,main!$A$3:$I$56,6,FALSE)&gt;=VLOOKUP(55,main!$A$57:$I$59,4,FALSE)+VLOOKUP(VLOOKUP(D$1,main!$A$3:$I$56,7,FALSE),main!$K$10:$Q$14,3,FALSE),1,0)</f>
        <v>0</v>
      </c>
      <c r="E21">
        <f>IF(VLOOKUP(E$1,main!$A$3:$I$56,5,FALSE)-VLOOKUP($A21,main!$A$3:$I$56,6,FALSE)&gt;=VLOOKUP(55,main!$A$57:$I$59,4,FALSE)+VLOOKUP(VLOOKUP(E$1,main!$A$3:$I$56,7,FALSE),main!$K$10:$Q$14,3,FALSE),1,0)</f>
        <v>1</v>
      </c>
      <c r="F21">
        <f>IF(VLOOKUP(F$1,main!$A$3:$I$56,5,FALSE)-VLOOKUP($A21,main!$A$3:$I$56,6,FALSE)&gt;=VLOOKUP(55,main!$A$57:$I$59,4,FALSE)+VLOOKUP(VLOOKUP(F$1,main!$A$3:$I$56,7,FALSE),main!$K$10:$Q$14,3,FALSE),1,0)</f>
        <v>1</v>
      </c>
      <c r="G21">
        <f>IF(VLOOKUP(G$1,main!$A$3:$I$56,5,FALSE)-VLOOKUP($A21,main!$A$3:$I$56,6,FALSE)&gt;=VLOOKUP(55,main!$A$57:$I$59,4,FALSE)+VLOOKUP(VLOOKUP(G$1,main!$A$3:$I$56,7,FALSE),main!$K$10:$Q$14,3,FALSE),1,0)</f>
        <v>1</v>
      </c>
      <c r="H21">
        <f>IF(VLOOKUP(H$1,main!$A$3:$I$56,5,FALSE)-VLOOKUP($A21,main!$A$3:$I$56,6,FALSE)&gt;=VLOOKUP(55,main!$A$57:$I$59,4,FALSE)+VLOOKUP(VLOOKUP(H$1,main!$A$3:$I$56,7,FALSE),main!$K$10:$Q$14,3,FALSE),1,0)</f>
        <v>1</v>
      </c>
      <c r="I21">
        <f>IF(VLOOKUP(I$1,main!$A$3:$I$56,5,FALSE)-VLOOKUP($A21,main!$A$3:$I$56,6,FALSE)&gt;=VLOOKUP(55,main!$A$57:$I$59,4,FALSE)+VLOOKUP(VLOOKUP(I$1,main!$A$3:$I$56,7,FALSE),main!$K$10:$Q$14,3,FALSE),1,0)</f>
        <v>1</v>
      </c>
      <c r="J21">
        <f>IF(VLOOKUP(J$1,main!$A$3:$I$56,5,FALSE)-VLOOKUP($A21,main!$A$3:$I$56,6,FALSE)&gt;=VLOOKUP(55,main!$A$57:$I$59,4,FALSE)+VLOOKUP(VLOOKUP(J$1,main!$A$3:$I$56,7,FALSE),main!$K$10:$Q$14,3,FALSE),1,0)</f>
        <v>1</v>
      </c>
      <c r="K21">
        <f>IF(VLOOKUP(K$1,main!$A$3:$I$56,5,FALSE)-VLOOKUP($A21,main!$A$3:$I$56,6,FALSE)&gt;=VLOOKUP(55,main!$A$57:$I$59,4,FALSE)+VLOOKUP(VLOOKUP(K$1,main!$A$3:$I$56,7,FALSE),main!$K$10:$Q$14,3,FALSE),1,0)</f>
        <v>0</v>
      </c>
      <c r="L21">
        <f>IF(VLOOKUP(L$1,main!$A$3:$I$56,5,FALSE)-VLOOKUP($A21,main!$A$3:$I$56,6,FALSE)&gt;=VLOOKUP(55,main!$A$57:$I$59,4,FALSE)+VLOOKUP(VLOOKUP(L$1,main!$A$3:$I$56,7,FALSE),main!$K$10:$Q$14,3,FALSE),1,0)</f>
        <v>0</v>
      </c>
      <c r="M21">
        <f>IF(VLOOKUP(M$1,main!$A$3:$I$56,5,FALSE)-VLOOKUP($A21,main!$A$3:$I$56,6,FALSE)&gt;=VLOOKUP(55,main!$A$57:$I$59,4,FALSE)+VLOOKUP(VLOOKUP(M$1,main!$A$3:$I$56,7,FALSE),main!$K$10:$Q$14,3,FALSE),1,0)</f>
        <v>1</v>
      </c>
      <c r="N21">
        <f>IF(VLOOKUP(N$1,main!$A$3:$I$56,5,FALSE)-VLOOKUP($A21,main!$A$3:$I$56,6,FALSE)&gt;=VLOOKUP(55,main!$A$57:$I$59,4,FALSE)+VLOOKUP(VLOOKUP(N$1,main!$A$3:$I$56,7,FALSE),main!$K$10:$Q$14,3,FALSE),1,0)</f>
        <v>1</v>
      </c>
      <c r="O21">
        <f>IF(VLOOKUP(O$1,main!$A$3:$I$56,5,FALSE)-VLOOKUP($A21,main!$A$3:$I$56,6,FALSE)&gt;=VLOOKUP(55,main!$A$57:$I$59,4,FALSE)+VLOOKUP(VLOOKUP(O$1,main!$A$3:$I$56,7,FALSE),main!$K$10:$Q$14,3,FALSE),1,0)</f>
        <v>1</v>
      </c>
      <c r="P21">
        <f>IF(VLOOKUP(P$1,main!$A$3:$I$56,5,FALSE)-VLOOKUP($A21,main!$A$3:$I$56,6,FALSE)&gt;=VLOOKUP(55,main!$A$57:$I$59,4,FALSE)+VLOOKUP(VLOOKUP(P$1,main!$A$3:$I$56,7,FALSE),main!$K$10:$Q$14,3,FALSE),1,0)</f>
        <v>0</v>
      </c>
      <c r="Q21">
        <f>IF(VLOOKUP(Q$1,main!$A$3:$I$56,5,FALSE)-VLOOKUP($A21,main!$A$3:$I$56,6,FALSE)&gt;=VLOOKUP(55,main!$A$57:$I$59,4,FALSE)+VLOOKUP(VLOOKUP(Q$1,main!$A$3:$I$56,7,FALSE),main!$K$10:$Q$14,3,FALSE),1,0)</f>
        <v>0</v>
      </c>
      <c r="R21">
        <f>IF(VLOOKUP(R$1,main!$A$3:$I$56,5,FALSE)-VLOOKUP($A21,main!$A$3:$I$56,6,FALSE)&gt;=VLOOKUP(55,main!$A$57:$I$59,4,FALSE)+VLOOKUP(VLOOKUP(R$1,main!$A$3:$I$56,7,FALSE),main!$K$10:$Q$14,3,FALSE),1,0)</f>
        <v>1</v>
      </c>
      <c r="S21">
        <f>IF(VLOOKUP(S$1,main!$A$3:$I$56,5,FALSE)-VLOOKUP($A21,main!$A$3:$I$56,6,FALSE)&gt;=VLOOKUP(55,main!$A$57:$I$59,4,FALSE)+VLOOKUP(VLOOKUP(S$1,main!$A$3:$I$56,7,FALSE),main!$K$10:$Q$14,3,FALSE),1,0)</f>
        <v>1</v>
      </c>
      <c r="T21">
        <f>IF(VLOOKUP(T$1,main!$A$3:$I$56,5,FALSE)-VLOOKUP($A21,main!$A$3:$I$56,6,FALSE)&gt;=VLOOKUP(55,main!$A$57:$I$59,4,FALSE)+VLOOKUP(VLOOKUP(T$1,main!$A$3:$I$56,7,FALSE),main!$K$10:$Q$14,3,FALSE),1,0)</f>
        <v>1</v>
      </c>
      <c r="U21">
        <f>IF(VLOOKUP(U$1,main!$A$3:$I$56,5,FALSE)-VLOOKUP($A21,main!$A$3:$I$56,6,FALSE)&gt;=VLOOKUP(55,main!$A$57:$I$59,4,FALSE)+VLOOKUP(VLOOKUP(U$1,main!$A$3:$I$56,7,FALSE),main!$K$10:$Q$14,3,FALSE),1,0)</f>
        <v>0</v>
      </c>
      <c r="V21">
        <f>IF(VLOOKUP(V$1,main!$A$3:$I$56,5,FALSE)-VLOOKUP($A21,main!$A$3:$I$56,6,FALSE)&gt;=VLOOKUP(55,main!$A$57:$I$59,4,FALSE)+VLOOKUP(VLOOKUP(V$1,main!$A$3:$I$56,7,FALSE),main!$K$10:$Q$14,3,FALSE),1,0)</f>
        <v>0</v>
      </c>
      <c r="W21">
        <f>IF(VLOOKUP(W$1,main!$A$3:$I$56,5,FALSE)-VLOOKUP($A21,main!$A$3:$I$56,6,FALSE)&gt;=VLOOKUP(55,main!$A$57:$I$59,4,FALSE)+VLOOKUP(VLOOKUP(W$1,main!$A$3:$I$56,7,FALSE),main!$K$10:$Q$14,3,FALSE),1,0)</f>
        <v>0</v>
      </c>
      <c r="X21">
        <f>IF(VLOOKUP(X$1,main!$A$3:$I$56,5,FALSE)-VLOOKUP($A21,main!$A$3:$I$56,6,FALSE)&gt;=VLOOKUP(55,main!$A$57:$I$59,4,FALSE)+VLOOKUP(VLOOKUP(X$1,main!$A$3:$I$56,7,FALSE),main!$K$10:$Q$14,3,FALSE),1,0)</f>
        <v>1</v>
      </c>
      <c r="Y21">
        <f>IF(VLOOKUP(Y$1,main!$A$3:$I$56,5,FALSE)-VLOOKUP($A21,main!$A$3:$I$56,6,FALSE)&gt;=VLOOKUP(55,main!$A$57:$I$59,4,FALSE)+VLOOKUP(VLOOKUP(Y$1,main!$A$3:$I$56,7,FALSE),main!$K$10:$Q$14,3,FALSE),1,0)</f>
        <v>1</v>
      </c>
      <c r="Z21">
        <f>IF(VLOOKUP(Z$1,main!$A$3:$I$56,5,FALSE)-VLOOKUP($A21,main!$A$3:$I$56,6,FALSE)&gt;=VLOOKUP(55,main!$A$57:$I$59,4,FALSE)+VLOOKUP(VLOOKUP(Z$1,main!$A$3:$I$56,7,FALSE),main!$K$10:$Q$14,3,FALSE),1,0)</f>
        <v>1</v>
      </c>
      <c r="AA21">
        <f>IF(VLOOKUP(AA$1,main!$A$3:$I$56,5,FALSE)-VLOOKUP($A21,main!$A$3:$I$56,6,FALSE)&gt;=VLOOKUP(55,main!$A$57:$I$59,4,FALSE)+VLOOKUP(VLOOKUP(AA$1,main!$A$3:$I$56,7,FALSE),main!$K$10:$Q$14,3,FALSE),1,0)</f>
        <v>1</v>
      </c>
      <c r="AB21">
        <f>IF(VLOOKUP(AB$1,main!$A$3:$I$56,5,FALSE)-VLOOKUP($A21,main!$A$3:$I$56,6,FALSE)&gt;=VLOOKUP(55,main!$A$57:$I$59,4,FALSE)+VLOOKUP(VLOOKUP(AB$1,main!$A$3:$I$56,7,FALSE),main!$K$10:$Q$14,3,FALSE),1,0)</f>
        <v>1</v>
      </c>
      <c r="AC21">
        <f>IF(VLOOKUP(AC$1,main!$A$3:$I$56,5,FALSE)-VLOOKUP($A21,main!$A$3:$I$56,6,FALSE)&gt;=VLOOKUP(55,main!$A$57:$I$59,4,FALSE)+VLOOKUP(VLOOKUP(AC$1,main!$A$3:$I$56,7,FALSE),main!$K$10:$Q$14,3,FALSE),1,0)</f>
        <v>0</v>
      </c>
      <c r="AD21">
        <f>IF(VLOOKUP(AD$1,main!$A$3:$I$56,5,FALSE)-VLOOKUP($A21,main!$A$3:$I$56,6,FALSE)&gt;=VLOOKUP(55,main!$A$57:$I$59,4,FALSE)+VLOOKUP(VLOOKUP(AD$1,main!$A$3:$I$56,7,FALSE),main!$K$10:$Q$14,3,FALSE),1,0)</f>
        <v>0</v>
      </c>
      <c r="AE21">
        <f>IF(VLOOKUP(AE$1,main!$A$3:$I$56,5,FALSE)-VLOOKUP($A21,main!$A$3:$I$56,6,FALSE)&gt;=VLOOKUP(55,main!$A$57:$I$59,4,FALSE)+VLOOKUP(VLOOKUP(AE$1,main!$A$3:$I$56,7,FALSE),main!$K$10:$Q$14,3,FALSE),1,0)</f>
        <v>1</v>
      </c>
      <c r="AF21">
        <f>IF(VLOOKUP(AF$1,main!$A$3:$I$56,5,FALSE)-VLOOKUP($A21,main!$A$3:$I$56,6,FALSE)&gt;=VLOOKUP(55,main!$A$57:$I$59,4,FALSE)+VLOOKUP(VLOOKUP(AF$1,main!$A$3:$I$56,7,FALSE),main!$K$10:$Q$14,3,FALSE),1,0)</f>
        <v>1</v>
      </c>
      <c r="AG21">
        <f>IF(VLOOKUP(AG$1,main!$A$3:$I$56,5,FALSE)-VLOOKUP($A21,main!$A$3:$I$56,6,FALSE)&gt;=VLOOKUP(55,main!$A$57:$I$59,4,FALSE)+VLOOKUP(VLOOKUP(AG$1,main!$A$3:$I$56,7,FALSE),main!$K$10:$Q$14,3,FALSE),1,0)</f>
        <v>0</v>
      </c>
      <c r="AH21">
        <f>IF(VLOOKUP(AH$1,main!$A$3:$I$56,5,FALSE)-VLOOKUP($A21,main!$A$3:$I$56,6,FALSE)&gt;=VLOOKUP(55,main!$A$57:$I$59,4,FALSE)+VLOOKUP(VLOOKUP(AH$1,main!$A$3:$I$56,7,FALSE),main!$K$10:$Q$14,3,FALSE),1,0)</f>
        <v>0</v>
      </c>
      <c r="AI21">
        <f>IF(VLOOKUP(AI$1,main!$A$3:$I$56,5,FALSE)-VLOOKUP($A21,main!$A$3:$I$56,6,FALSE)&gt;=VLOOKUP(55,main!$A$57:$I$59,4,FALSE)+VLOOKUP(VLOOKUP(AI$1,main!$A$3:$I$56,7,FALSE),main!$K$10:$Q$14,3,FALSE),1,0)</f>
        <v>1</v>
      </c>
      <c r="AJ21">
        <f>IF(VLOOKUP(AJ$1,main!$A$3:$I$56,5,FALSE)-VLOOKUP($A21,main!$A$3:$I$56,6,FALSE)&gt;=VLOOKUP(55,main!$A$57:$I$59,4,FALSE)+VLOOKUP(VLOOKUP(AJ$1,main!$A$3:$I$56,7,FALSE),main!$K$10:$Q$14,3,FALSE),1,0)</f>
        <v>1</v>
      </c>
      <c r="AK21">
        <f>IF(VLOOKUP(AK$1,main!$A$3:$I$56,5,FALSE)-VLOOKUP($A21,main!$A$3:$I$56,6,FALSE)&gt;=VLOOKUP(55,main!$A$57:$I$59,4,FALSE)+VLOOKUP(VLOOKUP(AK$1,main!$A$3:$I$56,7,FALSE),main!$K$10:$Q$14,3,FALSE),1,0)</f>
        <v>1</v>
      </c>
      <c r="AL21">
        <f>IF(VLOOKUP(AL$1,main!$A$3:$I$56,5,FALSE)-VLOOKUP($A21,main!$A$3:$I$56,6,FALSE)&gt;=VLOOKUP(55,main!$A$57:$I$59,4,FALSE)+VLOOKUP(VLOOKUP(AL$1,main!$A$3:$I$56,7,FALSE),main!$K$10:$Q$14,3,FALSE),1,0)</f>
        <v>0</v>
      </c>
      <c r="AM21">
        <f>IF(VLOOKUP(AM$1,main!$A$3:$I$56,5,FALSE)-VLOOKUP($A21,main!$A$3:$I$56,6,FALSE)&gt;=VLOOKUP(55,main!$A$57:$I$59,4,FALSE)+VLOOKUP(VLOOKUP(AM$1,main!$A$3:$I$56,7,FALSE),main!$K$10:$Q$14,3,FALSE),1,0)</f>
        <v>0</v>
      </c>
      <c r="AN21">
        <f>IF(VLOOKUP(AN$1,main!$A$3:$I$56,5,FALSE)-VLOOKUP($A21,main!$A$3:$I$56,6,FALSE)&gt;=VLOOKUP(55,main!$A$57:$I$59,4,FALSE)+VLOOKUP(VLOOKUP(AN$1,main!$A$3:$I$56,7,FALSE),main!$K$10:$Q$14,3,FALSE),1,0)</f>
        <v>1</v>
      </c>
      <c r="AO21">
        <f>IF(VLOOKUP(AO$1,main!$A$3:$I$56,5,FALSE)-VLOOKUP($A21,main!$A$3:$I$56,6,FALSE)&gt;=VLOOKUP(55,main!$A$57:$I$59,4,FALSE)+VLOOKUP(VLOOKUP(AO$1,main!$A$3:$I$56,7,FALSE),main!$K$10:$Q$14,3,FALSE),1,0)</f>
        <v>1</v>
      </c>
      <c r="AP21">
        <f>IF(VLOOKUP(AP$1,main!$A$3:$I$56,5,FALSE)-VLOOKUP($A21,main!$A$3:$I$56,6,FALSE)&gt;=VLOOKUP(55,main!$A$57:$I$59,4,FALSE)+VLOOKUP(VLOOKUP(AP$1,main!$A$3:$I$56,7,FALSE),main!$K$10:$Q$14,3,FALSE),1,0)</f>
        <v>0</v>
      </c>
      <c r="AQ21">
        <f>IF(VLOOKUP(AQ$1,main!$A$3:$I$56,5,FALSE)-VLOOKUP($A21,main!$A$3:$I$56,6,FALSE)&gt;=VLOOKUP(55,main!$A$57:$I$59,4,FALSE)+VLOOKUP(VLOOKUP(AQ$1,main!$A$3:$I$56,7,FALSE),main!$K$10:$Q$14,3,FALSE),1,0)</f>
        <v>0</v>
      </c>
      <c r="AR21">
        <f>IF(VLOOKUP(AR$1,main!$A$3:$I$56,5,FALSE)-VLOOKUP($A21,main!$A$3:$I$56,6,FALSE)&gt;=VLOOKUP(55,main!$A$57:$I$59,4,FALSE)+VLOOKUP(VLOOKUP(AR$1,main!$A$3:$I$56,7,FALSE),main!$K$10:$Q$14,3,FALSE),1,0)</f>
        <v>0</v>
      </c>
      <c r="AS21">
        <f>IF(VLOOKUP(AS$1,main!$A$3:$I$56,5,FALSE)-VLOOKUP($A21,main!$A$3:$I$56,6,FALSE)&gt;=VLOOKUP(55,main!$A$57:$I$59,4,FALSE)+VLOOKUP(VLOOKUP(AS$1,main!$A$3:$I$56,7,FALSE),main!$K$10:$Q$14,3,FALSE),1,0)</f>
        <v>1</v>
      </c>
      <c r="AT21">
        <f>IF(VLOOKUP(AT$1,main!$A$3:$I$56,5,FALSE)-VLOOKUP($A21,main!$A$3:$I$56,6,FALSE)&gt;=VLOOKUP(55,main!$A$57:$I$59,4,FALSE)+VLOOKUP(VLOOKUP(AT$1,main!$A$3:$I$56,7,FALSE),main!$K$10:$Q$14,3,FALSE),1,0)</f>
        <v>1</v>
      </c>
      <c r="AU21">
        <f>IF(VLOOKUP(AU$1,main!$A$3:$I$56,5,FALSE)-VLOOKUP($A21,main!$A$3:$I$56,6,FALSE)&gt;=VLOOKUP(55,main!$A$57:$I$59,4,FALSE)+VLOOKUP(VLOOKUP(AU$1,main!$A$3:$I$56,7,FALSE),main!$K$10:$Q$14,3,FALSE),1,0)</f>
        <v>0</v>
      </c>
      <c r="AV21">
        <f>IF(VLOOKUP(AV$1,main!$A$3:$I$56,5,FALSE)-VLOOKUP($A21,main!$A$3:$I$56,6,FALSE)&gt;=VLOOKUP(55,main!$A$57:$I$59,4,FALSE)+VLOOKUP(VLOOKUP(AV$1,main!$A$3:$I$56,7,FALSE),main!$K$10:$Q$14,3,FALSE),1,0)</f>
        <v>0</v>
      </c>
      <c r="AW21">
        <f>IF(VLOOKUP(AW$1,main!$A$3:$I$56,5,FALSE)-VLOOKUP($A21,main!$A$3:$I$56,6,FALSE)&gt;=VLOOKUP(55,main!$A$57:$I$59,4,FALSE)+VLOOKUP(VLOOKUP(AW$1,main!$A$3:$I$56,7,FALSE),main!$K$10:$Q$14,3,FALSE),1,0)</f>
        <v>1</v>
      </c>
      <c r="AX21">
        <f>IF(VLOOKUP(AX$1,main!$A$3:$I$56,5,FALSE)-VLOOKUP($A21,main!$A$3:$I$56,6,FALSE)&gt;=VLOOKUP(55,main!$A$57:$I$59,4,FALSE)+VLOOKUP(VLOOKUP(AX$1,main!$A$3:$I$56,7,FALSE),main!$K$10:$Q$14,3,FALSE),1,0)</f>
        <v>1</v>
      </c>
      <c r="AY21">
        <f>IF(VLOOKUP(AY$1,main!$A$3:$I$56,5,FALSE)-VLOOKUP($A21,main!$A$3:$I$56,6,FALSE)&gt;=VLOOKUP(55,main!$A$57:$I$59,4,FALSE)+VLOOKUP(VLOOKUP(AY$1,main!$A$3:$I$56,7,FALSE),main!$K$10:$Q$14,3,FALSE),1,0)</f>
        <v>1</v>
      </c>
      <c r="AZ21">
        <f>IF(VLOOKUP(AZ$1,main!$A$3:$I$56,5,FALSE)-VLOOKUP($A21,main!$A$3:$I$56,6,FALSE)&gt;=VLOOKUP(55,main!$A$57:$I$59,4,FALSE)+VLOOKUP(VLOOKUP(AZ$1,main!$A$3:$I$56,7,FALSE),main!$K$10:$Q$14,3,FALSE),1,0)</f>
        <v>0</v>
      </c>
      <c r="BA21">
        <f>IF(VLOOKUP(BA$1,main!$A$3:$I$56,5,FALSE)-VLOOKUP($A21,main!$A$3:$I$56,6,FALSE)&gt;=VLOOKUP(55,main!$A$57:$I$59,4,FALSE)+VLOOKUP(VLOOKUP(BA$1,main!$A$3:$I$56,7,FALSE),main!$K$10:$Q$14,3,FALSE),1,0)</f>
        <v>1</v>
      </c>
      <c r="BB21">
        <f>IF(VLOOKUP(BB$1,main!$A$3:$I$56,5,FALSE)-VLOOKUP($A21,main!$A$3:$I$56,6,FALSE)&gt;=VLOOKUP(55,main!$A$57:$I$59,4,FALSE)+VLOOKUP(VLOOKUP(BB$1,main!$A$3:$I$56,7,FALSE),main!$K$10:$Q$14,3,FALSE),1,0)</f>
        <v>1</v>
      </c>
      <c r="BC21">
        <f>IF(VLOOKUP(BC$1,main!$A$3:$I$56,5,FALSE)-VLOOKUP($A21,main!$A$3:$I$56,6,FALSE)&gt;=VLOOKUP(55,main!$A$57:$I$59,4,FALSE)+VLOOKUP(VLOOKUP(BC$1,main!$A$3:$I$56,7,FALSE),main!$K$10:$Q$14,3,FALSE),1,0)</f>
        <v>1</v>
      </c>
      <c r="BD21">
        <f>IF(VLOOKUP(BD$1,main!$A$3:$I$56,5,FALSE)-VLOOKUP($A21,main!$A$3:$I$56,6,FALSE)&gt;=VLOOKUP(55,main!$A$57:$I$59,4,FALSE)+VLOOKUP(VLOOKUP(BD$1,main!$A$3:$I$56,7,FALSE),main!$K$10:$Q$14,3,FALSE),1,0)</f>
        <v>1</v>
      </c>
    </row>
    <row r="22" spans="1:56" x14ac:dyDescent="0.25">
      <c r="A22">
        <f t="shared" si="0"/>
        <v>20</v>
      </c>
      <c r="B22">
        <v>0</v>
      </c>
      <c r="C22">
        <f>IF(VLOOKUP(C$1,main!$A$3:$I$56,5,FALSE)-VLOOKUP($A22,main!$A$3:$I$56,6,FALSE)&gt;=VLOOKUP(55,main!$A$57:$I$59,4,FALSE)+VLOOKUP(VLOOKUP(C$1,main!$A$3:$I$56,7,FALSE),main!$K$10:$Q$14,3,FALSE),1,0)</f>
        <v>0</v>
      </c>
      <c r="D22">
        <f>IF(VLOOKUP(D$1,main!$A$3:$I$56,5,FALSE)-VLOOKUP($A22,main!$A$3:$I$56,6,FALSE)&gt;=VLOOKUP(55,main!$A$57:$I$59,4,FALSE)+VLOOKUP(VLOOKUP(D$1,main!$A$3:$I$56,7,FALSE),main!$K$10:$Q$14,3,FALSE),1,0)</f>
        <v>0</v>
      </c>
      <c r="E22">
        <f>IF(VLOOKUP(E$1,main!$A$3:$I$56,5,FALSE)-VLOOKUP($A22,main!$A$3:$I$56,6,FALSE)&gt;=VLOOKUP(55,main!$A$57:$I$59,4,FALSE)+VLOOKUP(VLOOKUP(E$1,main!$A$3:$I$56,7,FALSE),main!$K$10:$Q$14,3,FALSE),1,0)</f>
        <v>0</v>
      </c>
      <c r="F22">
        <f>IF(VLOOKUP(F$1,main!$A$3:$I$56,5,FALSE)-VLOOKUP($A22,main!$A$3:$I$56,6,FALSE)&gt;=VLOOKUP(55,main!$A$57:$I$59,4,FALSE)+VLOOKUP(VLOOKUP(F$1,main!$A$3:$I$56,7,FALSE),main!$K$10:$Q$14,3,FALSE),1,0)</f>
        <v>1</v>
      </c>
      <c r="G22">
        <f>IF(VLOOKUP(G$1,main!$A$3:$I$56,5,FALSE)-VLOOKUP($A22,main!$A$3:$I$56,6,FALSE)&gt;=VLOOKUP(55,main!$A$57:$I$59,4,FALSE)+VLOOKUP(VLOOKUP(G$1,main!$A$3:$I$56,7,FALSE),main!$K$10:$Q$14,3,FALSE),1,0)</f>
        <v>1</v>
      </c>
      <c r="H22">
        <f>IF(VLOOKUP(H$1,main!$A$3:$I$56,5,FALSE)-VLOOKUP($A22,main!$A$3:$I$56,6,FALSE)&gt;=VLOOKUP(55,main!$A$57:$I$59,4,FALSE)+VLOOKUP(VLOOKUP(H$1,main!$A$3:$I$56,7,FALSE),main!$K$10:$Q$14,3,FALSE),1,0)</f>
        <v>1</v>
      </c>
      <c r="I22">
        <f>IF(VLOOKUP(I$1,main!$A$3:$I$56,5,FALSE)-VLOOKUP($A22,main!$A$3:$I$56,6,FALSE)&gt;=VLOOKUP(55,main!$A$57:$I$59,4,FALSE)+VLOOKUP(VLOOKUP(I$1,main!$A$3:$I$56,7,FALSE),main!$K$10:$Q$14,3,FALSE),1,0)</f>
        <v>1</v>
      </c>
      <c r="J22">
        <f>IF(VLOOKUP(J$1,main!$A$3:$I$56,5,FALSE)-VLOOKUP($A22,main!$A$3:$I$56,6,FALSE)&gt;=VLOOKUP(55,main!$A$57:$I$59,4,FALSE)+VLOOKUP(VLOOKUP(J$1,main!$A$3:$I$56,7,FALSE),main!$K$10:$Q$14,3,FALSE),1,0)</f>
        <v>1</v>
      </c>
      <c r="K22">
        <f>IF(VLOOKUP(K$1,main!$A$3:$I$56,5,FALSE)-VLOOKUP($A22,main!$A$3:$I$56,6,FALSE)&gt;=VLOOKUP(55,main!$A$57:$I$59,4,FALSE)+VLOOKUP(VLOOKUP(K$1,main!$A$3:$I$56,7,FALSE),main!$K$10:$Q$14,3,FALSE),1,0)</f>
        <v>0</v>
      </c>
      <c r="L22">
        <f>IF(VLOOKUP(L$1,main!$A$3:$I$56,5,FALSE)-VLOOKUP($A22,main!$A$3:$I$56,6,FALSE)&gt;=VLOOKUP(55,main!$A$57:$I$59,4,FALSE)+VLOOKUP(VLOOKUP(L$1,main!$A$3:$I$56,7,FALSE),main!$K$10:$Q$14,3,FALSE),1,0)</f>
        <v>0</v>
      </c>
      <c r="M22">
        <f>IF(VLOOKUP(M$1,main!$A$3:$I$56,5,FALSE)-VLOOKUP($A22,main!$A$3:$I$56,6,FALSE)&gt;=VLOOKUP(55,main!$A$57:$I$59,4,FALSE)+VLOOKUP(VLOOKUP(M$1,main!$A$3:$I$56,7,FALSE),main!$K$10:$Q$14,3,FALSE),1,0)</f>
        <v>0</v>
      </c>
      <c r="N22">
        <f>IF(VLOOKUP(N$1,main!$A$3:$I$56,5,FALSE)-VLOOKUP($A22,main!$A$3:$I$56,6,FALSE)&gt;=VLOOKUP(55,main!$A$57:$I$59,4,FALSE)+VLOOKUP(VLOOKUP(N$1,main!$A$3:$I$56,7,FALSE),main!$K$10:$Q$14,3,FALSE),1,0)</f>
        <v>1</v>
      </c>
      <c r="O22">
        <f>IF(VLOOKUP(O$1,main!$A$3:$I$56,5,FALSE)-VLOOKUP($A22,main!$A$3:$I$56,6,FALSE)&gt;=VLOOKUP(55,main!$A$57:$I$59,4,FALSE)+VLOOKUP(VLOOKUP(O$1,main!$A$3:$I$56,7,FALSE),main!$K$10:$Q$14,3,FALSE),1,0)</f>
        <v>1</v>
      </c>
      <c r="P22">
        <f>IF(VLOOKUP(P$1,main!$A$3:$I$56,5,FALSE)-VLOOKUP($A22,main!$A$3:$I$56,6,FALSE)&gt;=VLOOKUP(55,main!$A$57:$I$59,4,FALSE)+VLOOKUP(VLOOKUP(P$1,main!$A$3:$I$56,7,FALSE),main!$K$10:$Q$14,3,FALSE),1,0)</f>
        <v>0</v>
      </c>
      <c r="Q22">
        <f>IF(VLOOKUP(Q$1,main!$A$3:$I$56,5,FALSE)-VLOOKUP($A22,main!$A$3:$I$56,6,FALSE)&gt;=VLOOKUP(55,main!$A$57:$I$59,4,FALSE)+VLOOKUP(VLOOKUP(Q$1,main!$A$3:$I$56,7,FALSE),main!$K$10:$Q$14,3,FALSE),1,0)</f>
        <v>0</v>
      </c>
      <c r="R22">
        <f>IF(VLOOKUP(R$1,main!$A$3:$I$56,5,FALSE)-VLOOKUP($A22,main!$A$3:$I$56,6,FALSE)&gt;=VLOOKUP(55,main!$A$57:$I$59,4,FALSE)+VLOOKUP(VLOOKUP(R$1,main!$A$3:$I$56,7,FALSE),main!$K$10:$Q$14,3,FALSE),1,0)</f>
        <v>0</v>
      </c>
      <c r="S22">
        <f>IF(VLOOKUP(S$1,main!$A$3:$I$56,5,FALSE)-VLOOKUP($A22,main!$A$3:$I$56,6,FALSE)&gt;=VLOOKUP(55,main!$A$57:$I$59,4,FALSE)+VLOOKUP(VLOOKUP(S$1,main!$A$3:$I$56,7,FALSE),main!$K$10:$Q$14,3,FALSE),1,0)</f>
        <v>1</v>
      </c>
      <c r="T22">
        <f>IF(VLOOKUP(T$1,main!$A$3:$I$56,5,FALSE)-VLOOKUP($A22,main!$A$3:$I$56,6,FALSE)&gt;=VLOOKUP(55,main!$A$57:$I$59,4,FALSE)+VLOOKUP(VLOOKUP(T$1,main!$A$3:$I$56,7,FALSE),main!$K$10:$Q$14,3,FALSE),1,0)</f>
        <v>1</v>
      </c>
      <c r="U22">
        <f>IF(VLOOKUP(U$1,main!$A$3:$I$56,5,FALSE)-VLOOKUP($A22,main!$A$3:$I$56,6,FALSE)&gt;=VLOOKUP(55,main!$A$57:$I$59,4,FALSE)+VLOOKUP(VLOOKUP(U$1,main!$A$3:$I$56,7,FALSE),main!$K$10:$Q$14,3,FALSE),1,0)</f>
        <v>0</v>
      </c>
      <c r="V22">
        <f>IF(VLOOKUP(V$1,main!$A$3:$I$56,5,FALSE)-VLOOKUP($A22,main!$A$3:$I$56,6,FALSE)&gt;=VLOOKUP(55,main!$A$57:$I$59,4,FALSE)+VLOOKUP(VLOOKUP(V$1,main!$A$3:$I$56,7,FALSE),main!$K$10:$Q$14,3,FALSE),1,0)</f>
        <v>0</v>
      </c>
      <c r="W22">
        <f>IF(VLOOKUP(W$1,main!$A$3:$I$56,5,FALSE)-VLOOKUP($A22,main!$A$3:$I$56,6,FALSE)&gt;=VLOOKUP(55,main!$A$57:$I$59,4,FALSE)+VLOOKUP(VLOOKUP(W$1,main!$A$3:$I$56,7,FALSE),main!$K$10:$Q$14,3,FALSE),1,0)</f>
        <v>0</v>
      </c>
      <c r="X22">
        <f>IF(VLOOKUP(X$1,main!$A$3:$I$56,5,FALSE)-VLOOKUP($A22,main!$A$3:$I$56,6,FALSE)&gt;=VLOOKUP(55,main!$A$57:$I$59,4,FALSE)+VLOOKUP(VLOOKUP(X$1,main!$A$3:$I$56,7,FALSE),main!$K$10:$Q$14,3,FALSE),1,0)</f>
        <v>0</v>
      </c>
      <c r="Y22">
        <f>IF(VLOOKUP(Y$1,main!$A$3:$I$56,5,FALSE)-VLOOKUP($A22,main!$A$3:$I$56,6,FALSE)&gt;=VLOOKUP(55,main!$A$57:$I$59,4,FALSE)+VLOOKUP(VLOOKUP(Y$1,main!$A$3:$I$56,7,FALSE),main!$K$10:$Q$14,3,FALSE),1,0)</f>
        <v>1</v>
      </c>
      <c r="Z22">
        <f>IF(VLOOKUP(Z$1,main!$A$3:$I$56,5,FALSE)-VLOOKUP($A22,main!$A$3:$I$56,6,FALSE)&gt;=VLOOKUP(55,main!$A$57:$I$59,4,FALSE)+VLOOKUP(VLOOKUP(Z$1,main!$A$3:$I$56,7,FALSE),main!$K$10:$Q$14,3,FALSE),1,0)</f>
        <v>1</v>
      </c>
      <c r="AA22">
        <f>IF(VLOOKUP(AA$1,main!$A$3:$I$56,5,FALSE)-VLOOKUP($A22,main!$A$3:$I$56,6,FALSE)&gt;=VLOOKUP(55,main!$A$57:$I$59,4,FALSE)+VLOOKUP(VLOOKUP(AA$1,main!$A$3:$I$56,7,FALSE),main!$K$10:$Q$14,3,FALSE),1,0)</f>
        <v>1</v>
      </c>
      <c r="AB22">
        <f>IF(VLOOKUP(AB$1,main!$A$3:$I$56,5,FALSE)-VLOOKUP($A22,main!$A$3:$I$56,6,FALSE)&gt;=VLOOKUP(55,main!$A$57:$I$59,4,FALSE)+VLOOKUP(VLOOKUP(AB$1,main!$A$3:$I$56,7,FALSE),main!$K$10:$Q$14,3,FALSE),1,0)</f>
        <v>1</v>
      </c>
      <c r="AC22">
        <f>IF(VLOOKUP(AC$1,main!$A$3:$I$56,5,FALSE)-VLOOKUP($A22,main!$A$3:$I$56,6,FALSE)&gt;=VLOOKUP(55,main!$A$57:$I$59,4,FALSE)+VLOOKUP(VLOOKUP(AC$1,main!$A$3:$I$56,7,FALSE),main!$K$10:$Q$14,3,FALSE),1,0)</f>
        <v>0</v>
      </c>
      <c r="AD22">
        <f>IF(VLOOKUP(AD$1,main!$A$3:$I$56,5,FALSE)-VLOOKUP($A22,main!$A$3:$I$56,6,FALSE)&gt;=VLOOKUP(55,main!$A$57:$I$59,4,FALSE)+VLOOKUP(VLOOKUP(AD$1,main!$A$3:$I$56,7,FALSE),main!$K$10:$Q$14,3,FALSE),1,0)</f>
        <v>0</v>
      </c>
      <c r="AE22">
        <f>IF(VLOOKUP(AE$1,main!$A$3:$I$56,5,FALSE)-VLOOKUP($A22,main!$A$3:$I$56,6,FALSE)&gt;=VLOOKUP(55,main!$A$57:$I$59,4,FALSE)+VLOOKUP(VLOOKUP(AE$1,main!$A$3:$I$56,7,FALSE),main!$K$10:$Q$14,3,FALSE),1,0)</f>
        <v>0</v>
      </c>
      <c r="AF22">
        <f>IF(VLOOKUP(AF$1,main!$A$3:$I$56,5,FALSE)-VLOOKUP($A22,main!$A$3:$I$56,6,FALSE)&gt;=VLOOKUP(55,main!$A$57:$I$59,4,FALSE)+VLOOKUP(VLOOKUP(AF$1,main!$A$3:$I$56,7,FALSE),main!$K$10:$Q$14,3,FALSE),1,0)</f>
        <v>1</v>
      </c>
      <c r="AG22">
        <f>IF(VLOOKUP(AG$1,main!$A$3:$I$56,5,FALSE)-VLOOKUP($A22,main!$A$3:$I$56,6,FALSE)&gt;=VLOOKUP(55,main!$A$57:$I$59,4,FALSE)+VLOOKUP(VLOOKUP(AG$1,main!$A$3:$I$56,7,FALSE),main!$K$10:$Q$14,3,FALSE),1,0)</f>
        <v>0</v>
      </c>
      <c r="AH22">
        <f>IF(VLOOKUP(AH$1,main!$A$3:$I$56,5,FALSE)-VLOOKUP($A22,main!$A$3:$I$56,6,FALSE)&gt;=VLOOKUP(55,main!$A$57:$I$59,4,FALSE)+VLOOKUP(VLOOKUP(AH$1,main!$A$3:$I$56,7,FALSE),main!$K$10:$Q$14,3,FALSE),1,0)</f>
        <v>0</v>
      </c>
      <c r="AI22">
        <f>IF(VLOOKUP(AI$1,main!$A$3:$I$56,5,FALSE)-VLOOKUP($A22,main!$A$3:$I$56,6,FALSE)&gt;=VLOOKUP(55,main!$A$57:$I$59,4,FALSE)+VLOOKUP(VLOOKUP(AI$1,main!$A$3:$I$56,7,FALSE),main!$K$10:$Q$14,3,FALSE),1,0)</f>
        <v>1</v>
      </c>
      <c r="AJ22">
        <f>IF(VLOOKUP(AJ$1,main!$A$3:$I$56,5,FALSE)-VLOOKUP($A22,main!$A$3:$I$56,6,FALSE)&gt;=VLOOKUP(55,main!$A$57:$I$59,4,FALSE)+VLOOKUP(VLOOKUP(AJ$1,main!$A$3:$I$56,7,FALSE),main!$K$10:$Q$14,3,FALSE),1,0)</f>
        <v>1</v>
      </c>
      <c r="AK22">
        <f>IF(VLOOKUP(AK$1,main!$A$3:$I$56,5,FALSE)-VLOOKUP($A22,main!$A$3:$I$56,6,FALSE)&gt;=VLOOKUP(55,main!$A$57:$I$59,4,FALSE)+VLOOKUP(VLOOKUP(AK$1,main!$A$3:$I$56,7,FALSE),main!$K$10:$Q$14,3,FALSE),1,0)</f>
        <v>1</v>
      </c>
      <c r="AL22">
        <f>IF(VLOOKUP(AL$1,main!$A$3:$I$56,5,FALSE)-VLOOKUP($A22,main!$A$3:$I$56,6,FALSE)&gt;=VLOOKUP(55,main!$A$57:$I$59,4,FALSE)+VLOOKUP(VLOOKUP(AL$1,main!$A$3:$I$56,7,FALSE),main!$K$10:$Q$14,3,FALSE),1,0)</f>
        <v>0</v>
      </c>
      <c r="AM22">
        <f>IF(VLOOKUP(AM$1,main!$A$3:$I$56,5,FALSE)-VLOOKUP($A22,main!$A$3:$I$56,6,FALSE)&gt;=VLOOKUP(55,main!$A$57:$I$59,4,FALSE)+VLOOKUP(VLOOKUP(AM$1,main!$A$3:$I$56,7,FALSE),main!$K$10:$Q$14,3,FALSE),1,0)</f>
        <v>0</v>
      </c>
      <c r="AN22">
        <f>IF(VLOOKUP(AN$1,main!$A$3:$I$56,5,FALSE)-VLOOKUP($A22,main!$A$3:$I$56,6,FALSE)&gt;=VLOOKUP(55,main!$A$57:$I$59,4,FALSE)+VLOOKUP(VLOOKUP(AN$1,main!$A$3:$I$56,7,FALSE),main!$K$10:$Q$14,3,FALSE),1,0)</f>
        <v>1</v>
      </c>
      <c r="AO22">
        <f>IF(VLOOKUP(AO$1,main!$A$3:$I$56,5,FALSE)-VLOOKUP($A22,main!$A$3:$I$56,6,FALSE)&gt;=VLOOKUP(55,main!$A$57:$I$59,4,FALSE)+VLOOKUP(VLOOKUP(AO$1,main!$A$3:$I$56,7,FALSE),main!$K$10:$Q$14,3,FALSE),1,0)</f>
        <v>1</v>
      </c>
      <c r="AP22">
        <f>IF(VLOOKUP(AP$1,main!$A$3:$I$56,5,FALSE)-VLOOKUP($A22,main!$A$3:$I$56,6,FALSE)&gt;=VLOOKUP(55,main!$A$57:$I$59,4,FALSE)+VLOOKUP(VLOOKUP(AP$1,main!$A$3:$I$56,7,FALSE),main!$K$10:$Q$14,3,FALSE),1,0)</f>
        <v>0</v>
      </c>
      <c r="AQ22">
        <f>IF(VLOOKUP(AQ$1,main!$A$3:$I$56,5,FALSE)-VLOOKUP($A22,main!$A$3:$I$56,6,FALSE)&gt;=VLOOKUP(55,main!$A$57:$I$59,4,FALSE)+VLOOKUP(VLOOKUP(AQ$1,main!$A$3:$I$56,7,FALSE),main!$K$10:$Q$14,3,FALSE),1,0)</f>
        <v>0</v>
      </c>
      <c r="AR22">
        <f>IF(VLOOKUP(AR$1,main!$A$3:$I$56,5,FALSE)-VLOOKUP($A22,main!$A$3:$I$56,6,FALSE)&gt;=VLOOKUP(55,main!$A$57:$I$59,4,FALSE)+VLOOKUP(VLOOKUP(AR$1,main!$A$3:$I$56,7,FALSE),main!$K$10:$Q$14,3,FALSE),1,0)</f>
        <v>0</v>
      </c>
      <c r="AS22">
        <f>IF(VLOOKUP(AS$1,main!$A$3:$I$56,5,FALSE)-VLOOKUP($A22,main!$A$3:$I$56,6,FALSE)&gt;=VLOOKUP(55,main!$A$57:$I$59,4,FALSE)+VLOOKUP(VLOOKUP(AS$1,main!$A$3:$I$56,7,FALSE),main!$K$10:$Q$14,3,FALSE),1,0)</f>
        <v>0</v>
      </c>
      <c r="AT22">
        <f>IF(VLOOKUP(AT$1,main!$A$3:$I$56,5,FALSE)-VLOOKUP($A22,main!$A$3:$I$56,6,FALSE)&gt;=VLOOKUP(55,main!$A$57:$I$59,4,FALSE)+VLOOKUP(VLOOKUP(AT$1,main!$A$3:$I$56,7,FALSE),main!$K$10:$Q$14,3,FALSE),1,0)</f>
        <v>1</v>
      </c>
      <c r="AU22">
        <f>IF(VLOOKUP(AU$1,main!$A$3:$I$56,5,FALSE)-VLOOKUP($A22,main!$A$3:$I$56,6,FALSE)&gt;=VLOOKUP(55,main!$A$57:$I$59,4,FALSE)+VLOOKUP(VLOOKUP(AU$1,main!$A$3:$I$56,7,FALSE),main!$K$10:$Q$14,3,FALSE),1,0)</f>
        <v>0</v>
      </c>
      <c r="AV22">
        <f>IF(VLOOKUP(AV$1,main!$A$3:$I$56,5,FALSE)-VLOOKUP($A22,main!$A$3:$I$56,6,FALSE)&gt;=VLOOKUP(55,main!$A$57:$I$59,4,FALSE)+VLOOKUP(VLOOKUP(AV$1,main!$A$3:$I$56,7,FALSE),main!$K$10:$Q$14,3,FALSE),1,0)</f>
        <v>0</v>
      </c>
      <c r="AW22">
        <f>IF(VLOOKUP(AW$1,main!$A$3:$I$56,5,FALSE)-VLOOKUP($A22,main!$A$3:$I$56,6,FALSE)&gt;=VLOOKUP(55,main!$A$57:$I$59,4,FALSE)+VLOOKUP(VLOOKUP(AW$1,main!$A$3:$I$56,7,FALSE),main!$K$10:$Q$14,3,FALSE),1,0)</f>
        <v>0</v>
      </c>
      <c r="AX22">
        <f>IF(VLOOKUP(AX$1,main!$A$3:$I$56,5,FALSE)-VLOOKUP($A22,main!$A$3:$I$56,6,FALSE)&gt;=VLOOKUP(55,main!$A$57:$I$59,4,FALSE)+VLOOKUP(VLOOKUP(AX$1,main!$A$3:$I$56,7,FALSE),main!$K$10:$Q$14,3,FALSE),1,0)</f>
        <v>1</v>
      </c>
      <c r="AY22">
        <f>IF(VLOOKUP(AY$1,main!$A$3:$I$56,5,FALSE)-VLOOKUP($A22,main!$A$3:$I$56,6,FALSE)&gt;=VLOOKUP(55,main!$A$57:$I$59,4,FALSE)+VLOOKUP(VLOOKUP(AY$1,main!$A$3:$I$56,7,FALSE),main!$K$10:$Q$14,3,FALSE),1,0)</f>
        <v>1</v>
      </c>
      <c r="AZ22">
        <f>IF(VLOOKUP(AZ$1,main!$A$3:$I$56,5,FALSE)-VLOOKUP($A22,main!$A$3:$I$56,6,FALSE)&gt;=VLOOKUP(55,main!$A$57:$I$59,4,FALSE)+VLOOKUP(VLOOKUP(AZ$1,main!$A$3:$I$56,7,FALSE),main!$K$10:$Q$14,3,FALSE),1,0)</f>
        <v>0</v>
      </c>
      <c r="BA22">
        <f>IF(VLOOKUP(BA$1,main!$A$3:$I$56,5,FALSE)-VLOOKUP($A22,main!$A$3:$I$56,6,FALSE)&gt;=VLOOKUP(55,main!$A$57:$I$59,4,FALSE)+VLOOKUP(VLOOKUP(BA$1,main!$A$3:$I$56,7,FALSE),main!$K$10:$Q$14,3,FALSE),1,0)</f>
        <v>0</v>
      </c>
      <c r="BB22">
        <f>IF(VLOOKUP(BB$1,main!$A$3:$I$56,5,FALSE)-VLOOKUP($A22,main!$A$3:$I$56,6,FALSE)&gt;=VLOOKUP(55,main!$A$57:$I$59,4,FALSE)+VLOOKUP(VLOOKUP(BB$1,main!$A$3:$I$56,7,FALSE),main!$K$10:$Q$14,3,FALSE),1,0)</f>
        <v>0</v>
      </c>
      <c r="BC22">
        <f>IF(VLOOKUP(BC$1,main!$A$3:$I$56,5,FALSE)-VLOOKUP($A22,main!$A$3:$I$56,6,FALSE)&gt;=VLOOKUP(55,main!$A$57:$I$59,4,FALSE)+VLOOKUP(VLOOKUP(BC$1,main!$A$3:$I$56,7,FALSE),main!$K$10:$Q$14,3,FALSE),1,0)</f>
        <v>1</v>
      </c>
      <c r="BD22">
        <f>IF(VLOOKUP(BD$1,main!$A$3:$I$56,5,FALSE)-VLOOKUP($A22,main!$A$3:$I$56,6,FALSE)&gt;=VLOOKUP(55,main!$A$57:$I$59,4,FALSE)+VLOOKUP(VLOOKUP(BD$1,main!$A$3:$I$56,7,FALSE),main!$K$10:$Q$14,3,FALSE),1,0)</f>
        <v>1</v>
      </c>
    </row>
    <row r="23" spans="1:56" x14ac:dyDescent="0.25">
      <c r="A23">
        <f t="shared" si="0"/>
        <v>21</v>
      </c>
      <c r="B23">
        <v>0</v>
      </c>
      <c r="C23">
        <f>IF(VLOOKUP(C$1,main!$A$3:$I$56,5,FALSE)-VLOOKUP($A23,main!$A$3:$I$56,6,FALSE)&gt;=VLOOKUP(55,main!$A$57:$I$59,4,FALSE)+VLOOKUP(VLOOKUP(C$1,main!$A$3:$I$56,7,FALSE),main!$K$10:$Q$14,3,FALSE),1,0)</f>
        <v>0</v>
      </c>
      <c r="D23">
        <f>IF(VLOOKUP(D$1,main!$A$3:$I$56,5,FALSE)-VLOOKUP($A23,main!$A$3:$I$56,6,FALSE)&gt;=VLOOKUP(55,main!$A$57:$I$59,4,FALSE)+VLOOKUP(VLOOKUP(D$1,main!$A$3:$I$56,7,FALSE),main!$K$10:$Q$14,3,FALSE),1,0)</f>
        <v>0</v>
      </c>
      <c r="E23">
        <f>IF(VLOOKUP(E$1,main!$A$3:$I$56,5,FALSE)-VLOOKUP($A23,main!$A$3:$I$56,6,FALSE)&gt;=VLOOKUP(55,main!$A$57:$I$59,4,FALSE)+VLOOKUP(VLOOKUP(E$1,main!$A$3:$I$56,7,FALSE),main!$K$10:$Q$14,3,FALSE),1,0)</f>
        <v>0</v>
      </c>
      <c r="F23">
        <f>IF(VLOOKUP(F$1,main!$A$3:$I$56,5,FALSE)-VLOOKUP($A23,main!$A$3:$I$56,6,FALSE)&gt;=VLOOKUP(55,main!$A$57:$I$59,4,FALSE)+VLOOKUP(VLOOKUP(F$1,main!$A$3:$I$56,7,FALSE),main!$K$10:$Q$14,3,FALSE),1,0)</f>
        <v>0</v>
      </c>
      <c r="G23">
        <f>IF(VLOOKUP(G$1,main!$A$3:$I$56,5,FALSE)-VLOOKUP($A23,main!$A$3:$I$56,6,FALSE)&gt;=VLOOKUP(55,main!$A$57:$I$59,4,FALSE)+VLOOKUP(VLOOKUP(G$1,main!$A$3:$I$56,7,FALSE),main!$K$10:$Q$14,3,FALSE),1,0)</f>
        <v>1</v>
      </c>
      <c r="H23">
        <f>IF(VLOOKUP(H$1,main!$A$3:$I$56,5,FALSE)-VLOOKUP($A23,main!$A$3:$I$56,6,FALSE)&gt;=VLOOKUP(55,main!$A$57:$I$59,4,FALSE)+VLOOKUP(VLOOKUP(H$1,main!$A$3:$I$56,7,FALSE),main!$K$10:$Q$14,3,FALSE),1,0)</f>
        <v>1</v>
      </c>
      <c r="I23">
        <f>IF(VLOOKUP(I$1,main!$A$3:$I$56,5,FALSE)-VLOOKUP($A23,main!$A$3:$I$56,6,FALSE)&gt;=VLOOKUP(55,main!$A$57:$I$59,4,FALSE)+VLOOKUP(VLOOKUP(I$1,main!$A$3:$I$56,7,FALSE),main!$K$10:$Q$14,3,FALSE),1,0)</f>
        <v>1</v>
      </c>
      <c r="J23">
        <f>IF(VLOOKUP(J$1,main!$A$3:$I$56,5,FALSE)-VLOOKUP($A23,main!$A$3:$I$56,6,FALSE)&gt;=VLOOKUP(55,main!$A$57:$I$59,4,FALSE)+VLOOKUP(VLOOKUP(J$1,main!$A$3:$I$56,7,FALSE),main!$K$10:$Q$14,3,FALSE),1,0)</f>
        <v>1</v>
      </c>
      <c r="K23">
        <f>IF(VLOOKUP(K$1,main!$A$3:$I$56,5,FALSE)-VLOOKUP($A23,main!$A$3:$I$56,6,FALSE)&gt;=VLOOKUP(55,main!$A$57:$I$59,4,FALSE)+VLOOKUP(VLOOKUP(K$1,main!$A$3:$I$56,7,FALSE),main!$K$10:$Q$14,3,FALSE),1,0)</f>
        <v>0</v>
      </c>
      <c r="L23">
        <f>IF(VLOOKUP(L$1,main!$A$3:$I$56,5,FALSE)-VLOOKUP($A23,main!$A$3:$I$56,6,FALSE)&gt;=VLOOKUP(55,main!$A$57:$I$59,4,FALSE)+VLOOKUP(VLOOKUP(L$1,main!$A$3:$I$56,7,FALSE),main!$K$10:$Q$14,3,FALSE),1,0)</f>
        <v>0</v>
      </c>
      <c r="M23">
        <f>IF(VLOOKUP(M$1,main!$A$3:$I$56,5,FALSE)-VLOOKUP($A23,main!$A$3:$I$56,6,FALSE)&gt;=VLOOKUP(55,main!$A$57:$I$59,4,FALSE)+VLOOKUP(VLOOKUP(M$1,main!$A$3:$I$56,7,FALSE),main!$K$10:$Q$14,3,FALSE),1,0)</f>
        <v>0</v>
      </c>
      <c r="N23">
        <f>IF(VLOOKUP(N$1,main!$A$3:$I$56,5,FALSE)-VLOOKUP($A23,main!$A$3:$I$56,6,FALSE)&gt;=VLOOKUP(55,main!$A$57:$I$59,4,FALSE)+VLOOKUP(VLOOKUP(N$1,main!$A$3:$I$56,7,FALSE),main!$K$10:$Q$14,3,FALSE),1,0)</f>
        <v>1</v>
      </c>
      <c r="O23">
        <f>IF(VLOOKUP(O$1,main!$A$3:$I$56,5,FALSE)-VLOOKUP($A23,main!$A$3:$I$56,6,FALSE)&gt;=VLOOKUP(55,main!$A$57:$I$59,4,FALSE)+VLOOKUP(VLOOKUP(O$1,main!$A$3:$I$56,7,FALSE),main!$K$10:$Q$14,3,FALSE),1,0)</f>
        <v>1</v>
      </c>
      <c r="P23">
        <f>IF(VLOOKUP(P$1,main!$A$3:$I$56,5,FALSE)-VLOOKUP($A23,main!$A$3:$I$56,6,FALSE)&gt;=VLOOKUP(55,main!$A$57:$I$59,4,FALSE)+VLOOKUP(VLOOKUP(P$1,main!$A$3:$I$56,7,FALSE),main!$K$10:$Q$14,3,FALSE),1,0)</f>
        <v>0</v>
      </c>
      <c r="Q23">
        <f>IF(VLOOKUP(Q$1,main!$A$3:$I$56,5,FALSE)-VLOOKUP($A23,main!$A$3:$I$56,6,FALSE)&gt;=VLOOKUP(55,main!$A$57:$I$59,4,FALSE)+VLOOKUP(VLOOKUP(Q$1,main!$A$3:$I$56,7,FALSE),main!$K$10:$Q$14,3,FALSE),1,0)</f>
        <v>0</v>
      </c>
      <c r="R23">
        <f>IF(VLOOKUP(R$1,main!$A$3:$I$56,5,FALSE)-VLOOKUP($A23,main!$A$3:$I$56,6,FALSE)&gt;=VLOOKUP(55,main!$A$57:$I$59,4,FALSE)+VLOOKUP(VLOOKUP(R$1,main!$A$3:$I$56,7,FALSE),main!$K$10:$Q$14,3,FALSE),1,0)</f>
        <v>0</v>
      </c>
      <c r="S23">
        <f>IF(VLOOKUP(S$1,main!$A$3:$I$56,5,FALSE)-VLOOKUP($A23,main!$A$3:$I$56,6,FALSE)&gt;=VLOOKUP(55,main!$A$57:$I$59,4,FALSE)+VLOOKUP(VLOOKUP(S$1,main!$A$3:$I$56,7,FALSE),main!$K$10:$Q$14,3,FALSE),1,0)</f>
        <v>1</v>
      </c>
      <c r="T23">
        <f>IF(VLOOKUP(T$1,main!$A$3:$I$56,5,FALSE)-VLOOKUP($A23,main!$A$3:$I$56,6,FALSE)&gt;=VLOOKUP(55,main!$A$57:$I$59,4,FALSE)+VLOOKUP(VLOOKUP(T$1,main!$A$3:$I$56,7,FALSE),main!$K$10:$Q$14,3,FALSE),1,0)</f>
        <v>1</v>
      </c>
      <c r="U23">
        <f>IF(VLOOKUP(U$1,main!$A$3:$I$56,5,FALSE)-VLOOKUP($A23,main!$A$3:$I$56,6,FALSE)&gt;=VLOOKUP(55,main!$A$57:$I$59,4,FALSE)+VLOOKUP(VLOOKUP(U$1,main!$A$3:$I$56,7,FALSE),main!$K$10:$Q$14,3,FALSE),1,0)</f>
        <v>0</v>
      </c>
      <c r="V23">
        <f>IF(VLOOKUP(V$1,main!$A$3:$I$56,5,FALSE)-VLOOKUP($A23,main!$A$3:$I$56,6,FALSE)&gt;=VLOOKUP(55,main!$A$57:$I$59,4,FALSE)+VLOOKUP(VLOOKUP(V$1,main!$A$3:$I$56,7,FALSE),main!$K$10:$Q$14,3,FALSE),1,0)</f>
        <v>0</v>
      </c>
      <c r="W23">
        <f>IF(VLOOKUP(W$1,main!$A$3:$I$56,5,FALSE)-VLOOKUP($A23,main!$A$3:$I$56,6,FALSE)&gt;=VLOOKUP(55,main!$A$57:$I$59,4,FALSE)+VLOOKUP(VLOOKUP(W$1,main!$A$3:$I$56,7,FALSE),main!$K$10:$Q$14,3,FALSE),1,0)</f>
        <v>0</v>
      </c>
      <c r="X23">
        <f>IF(VLOOKUP(X$1,main!$A$3:$I$56,5,FALSE)-VLOOKUP($A23,main!$A$3:$I$56,6,FALSE)&gt;=VLOOKUP(55,main!$A$57:$I$59,4,FALSE)+VLOOKUP(VLOOKUP(X$1,main!$A$3:$I$56,7,FALSE),main!$K$10:$Q$14,3,FALSE),1,0)</f>
        <v>0</v>
      </c>
      <c r="Y23">
        <f>IF(VLOOKUP(Y$1,main!$A$3:$I$56,5,FALSE)-VLOOKUP($A23,main!$A$3:$I$56,6,FALSE)&gt;=VLOOKUP(55,main!$A$57:$I$59,4,FALSE)+VLOOKUP(VLOOKUP(Y$1,main!$A$3:$I$56,7,FALSE),main!$K$10:$Q$14,3,FALSE),1,0)</f>
        <v>0</v>
      </c>
      <c r="Z23">
        <f>IF(VLOOKUP(Z$1,main!$A$3:$I$56,5,FALSE)-VLOOKUP($A23,main!$A$3:$I$56,6,FALSE)&gt;=VLOOKUP(55,main!$A$57:$I$59,4,FALSE)+VLOOKUP(VLOOKUP(Z$1,main!$A$3:$I$56,7,FALSE),main!$K$10:$Q$14,3,FALSE),1,0)</f>
        <v>1</v>
      </c>
      <c r="AA23">
        <f>IF(VLOOKUP(AA$1,main!$A$3:$I$56,5,FALSE)-VLOOKUP($A23,main!$A$3:$I$56,6,FALSE)&gt;=VLOOKUP(55,main!$A$57:$I$59,4,FALSE)+VLOOKUP(VLOOKUP(AA$1,main!$A$3:$I$56,7,FALSE),main!$K$10:$Q$14,3,FALSE),1,0)</f>
        <v>1</v>
      </c>
      <c r="AB23">
        <f>IF(VLOOKUP(AB$1,main!$A$3:$I$56,5,FALSE)-VLOOKUP($A23,main!$A$3:$I$56,6,FALSE)&gt;=VLOOKUP(55,main!$A$57:$I$59,4,FALSE)+VLOOKUP(VLOOKUP(AB$1,main!$A$3:$I$56,7,FALSE),main!$K$10:$Q$14,3,FALSE),1,0)</f>
        <v>1</v>
      </c>
      <c r="AC23">
        <f>IF(VLOOKUP(AC$1,main!$A$3:$I$56,5,FALSE)-VLOOKUP($A23,main!$A$3:$I$56,6,FALSE)&gt;=VLOOKUP(55,main!$A$57:$I$59,4,FALSE)+VLOOKUP(VLOOKUP(AC$1,main!$A$3:$I$56,7,FALSE),main!$K$10:$Q$14,3,FALSE),1,0)</f>
        <v>0</v>
      </c>
      <c r="AD23">
        <f>IF(VLOOKUP(AD$1,main!$A$3:$I$56,5,FALSE)-VLOOKUP($A23,main!$A$3:$I$56,6,FALSE)&gt;=VLOOKUP(55,main!$A$57:$I$59,4,FALSE)+VLOOKUP(VLOOKUP(AD$1,main!$A$3:$I$56,7,FALSE),main!$K$10:$Q$14,3,FALSE),1,0)</f>
        <v>0</v>
      </c>
      <c r="AE23">
        <f>IF(VLOOKUP(AE$1,main!$A$3:$I$56,5,FALSE)-VLOOKUP($A23,main!$A$3:$I$56,6,FALSE)&gt;=VLOOKUP(55,main!$A$57:$I$59,4,FALSE)+VLOOKUP(VLOOKUP(AE$1,main!$A$3:$I$56,7,FALSE),main!$K$10:$Q$14,3,FALSE),1,0)</f>
        <v>0</v>
      </c>
      <c r="AF23">
        <f>IF(VLOOKUP(AF$1,main!$A$3:$I$56,5,FALSE)-VLOOKUP($A23,main!$A$3:$I$56,6,FALSE)&gt;=VLOOKUP(55,main!$A$57:$I$59,4,FALSE)+VLOOKUP(VLOOKUP(AF$1,main!$A$3:$I$56,7,FALSE),main!$K$10:$Q$14,3,FALSE),1,0)</f>
        <v>1</v>
      </c>
      <c r="AG23">
        <f>IF(VLOOKUP(AG$1,main!$A$3:$I$56,5,FALSE)-VLOOKUP($A23,main!$A$3:$I$56,6,FALSE)&gt;=VLOOKUP(55,main!$A$57:$I$59,4,FALSE)+VLOOKUP(VLOOKUP(AG$1,main!$A$3:$I$56,7,FALSE),main!$K$10:$Q$14,3,FALSE),1,0)</f>
        <v>0</v>
      </c>
      <c r="AH23">
        <f>IF(VLOOKUP(AH$1,main!$A$3:$I$56,5,FALSE)-VLOOKUP($A23,main!$A$3:$I$56,6,FALSE)&gt;=VLOOKUP(55,main!$A$57:$I$59,4,FALSE)+VLOOKUP(VLOOKUP(AH$1,main!$A$3:$I$56,7,FALSE),main!$K$10:$Q$14,3,FALSE),1,0)</f>
        <v>0</v>
      </c>
      <c r="AI23">
        <f>IF(VLOOKUP(AI$1,main!$A$3:$I$56,5,FALSE)-VLOOKUP($A23,main!$A$3:$I$56,6,FALSE)&gt;=VLOOKUP(55,main!$A$57:$I$59,4,FALSE)+VLOOKUP(VLOOKUP(AI$1,main!$A$3:$I$56,7,FALSE),main!$K$10:$Q$14,3,FALSE),1,0)</f>
        <v>0</v>
      </c>
      <c r="AJ23">
        <f>IF(VLOOKUP(AJ$1,main!$A$3:$I$56,5,FALSE)-VLOOKUP($A23,main!$A$3:$I$56,6,FALSE)&gt;=VLOOKUP(55,main!$A$57:$I$59,4,FALSE)+VLOOKUP(VLOOKUP(AJ$1,main!$A$3:$I$56,7,FALSE),main!$K$10:$Q$14,3,FALSE),1,0)</f>
        <v>0</v>
      </c>
      <c r="AK23">
        <f>IF(VLOOKUP(AK$1,main!$A$3:$I$56,5,FALSE)-VLOOKUP($A23,main!$A$3:$I$56,6,FALSE)&gt;=VLOOKUP(55,main!$A$57:$I$59,4,FALSE)+VLOOKUP(VLOOKUP(AK$1,main!$A$3:$I$56,7,FALSE),main!$K$10:$Q$14,3,FALSE),1,0)</f>
        <v>1</v>
      </c>
      <c r="AL23">
        <f>IF(VLOOKUP(AL$1,main!$A$3:$I$56,5,FALSE)-VLOOKUP($A23,main!$A$3:$I$56,6,FALSE)&gt;=VLOOKUP(55,main!$A$57:$I$59,4,FALSE)+VLOOKUP(VLOOKUP(AL$1,main!$A$3:$I$56,7,FALSE),main!$K$10:$Q$14,3,FALSE),1,0)</f>
        <v>0</v>
      </c>
      <c r="AM23">
        <f>IF(VLOOKUP(AM$1,main!$A$3:$I$56,5,FALSE)-VLOOKUP($A23,main!$A$3:$I$56,6,FALSE)&gt;=VLOOKUP(55,main!$A$57:$I$59,4,FALSE)+VLOOKUP(VLOOKUP(AM$1,main!$A$3:$I$56,7,FALSE),main!$K$10:$Q$14,3,FALSE),1,0)</f>
        <v>0</v>
      </c>
      <c r="AN23">
        <f>IF(VLOOKUP(AN$1,main!$A$3:$I$56,5,FALSE)-VLOOKUP($A23,main!$A$3:$I$56,6,FALSE)&gt;=VLOOKUP(55,main!$A$57:$I$59,4,FALSE)+VLOOKUP(VLOOKUP(AN$1,main!$A$3:$I$56,7,FALSE),main!$K$10:$Q$14,3,FALSE),1,0)</f>
        <v>0</v>
      </c>
      <c r="AO23">
        <f>IF(VLOOKUP(AO$1,main!$A$3:$I$56,5,FALSE)-VLOOKUP($A23,main!$A$3:$I$56,6,FALSE)&gt;=VLOOKUP(55,main!$A$57:$I$59,4,FALSE)+VLOOKUP(VLOOKUP(AO$1,main!$A$3:$I$56,7,FALSE),main!$K$10:$Q$14,3,FALSE),1,0)</f>
        <v>1</v>
      </c>
      <c r="AP23">
        <f>IF(VLOOKUP(AP$1,main!$A$3:$I$56,5,FALSE)-VLOOKUP($A23,main!$A$3:$I$56,6,FALSE)&gt;=VLOOKUP(55,main!$A$57:$I$59,4,FALSE)+VLOOKUP(VLOOKUP(AP$1,main!$A$3:$I$56,7,FALSE),main!$K$10:$Q$14,3,FALSE),1,0)</f>
        <v>0</v>
      </c>
      <c r="AQ23">
        <f>IF(VLOOKUP(AQ$1,main!$A$3:$I$56,5,FALSE)-VLOOKUP($A23,main!$A$3:$I$56,6,FALSE)&gt;=VLOOKUP(55,main!$A$57:$I$59,4,FALSE)+VLOOKUP(VLOOKUP(AQ$1,main!$A$3:$I$56,7,FALSE),main!$K$10:$Q$14,3,FALSE),1,0)</f>
        <v>0</v>
      </c>
      <c r="AR23">
        <f>IF(VLOOKUP(AR$1,main!$A$3:$I$56,5,FALSE)-VLOOKUP($A23,main!$A$3:$I$56,6,FALSE)&gt;=VLOOKUP(55,main!$A$57:$I$59,4,FALSE)+VLOOKUP(VLOOKUP(AR$1,main!$A$3:$I$56,7,FALSE),main!$K$10:$Q$14,3,FALSE),1,0)</f>
        <v>0</v>
      </c>
      <c r="AS23">
        <f>IF(VLOOKUP(AS$1,main!$A$3:$I$56,5,FALSE)-VLOOKUP($A23,main!$A$3:$I$56,6,FALSE)&gt;=VLOOKUP(55,main!$A$57:$I$59,4,FALSE)+VLOOKUP(VLOOKUP(AS$1,main!$A$3:$I$56,7,FALSE),main!$K$10:$Q$14,3,FALSE),1,0)</f>
        <v>0</v>
      </c>
      <c r="AT23">
        <f>IF(VLOOKUP(AT$1,main!$A$3:$I$56,5,FALSE)-VLOOKUP($A23,main!$A$3:$I$56,6,FALSE)&gt;=VLOOKUP(55,main!$A$57:$I$59,4,FALSE)+VLOOKUP(VLOOKUP(AT$1,main!$A$3:$I$56,7,FALSE),main!$K$10:$Q$14,3,FALSE),1,0)</f>
        <v>0</v>
      </c>
      <c r="AU23">
        <f>IF(VLOOKUP(AU$1,main!$A$3:$I$56,5,FALSE)-VLOOKUP($A23,main!$A$3:$I$56,6,FALSE)&gt;=VLOOKUP(55,main!$A$57:$I$59,4,FALSE)+VLOOKUP(VLOOKUP(AU$1,main!$A$3:$I$56,7,FALSE),main!$K$10:$Q$14,3,FALSE),1,0)</f>
        <v>0</v>
      </c>
      <c r="AV23">
        <f>IF(VLOOKUP(AV$1,main!$A$3:$I$56,5,FALSE)-VLOOKUP($A23,main!$A$3:$I$56,6,FALSE)&gt;=VLOOKUP(55,main!$A$57:$I$59,4,FALSE)+VLOOKUP(VLOOKUP(AV$1,main!$A$3:$I$56,7,FALSE),main!$K$10:$Q$14,3,FALSE),1,0)</f>
        <v>0</v>
      </c>
      <c r="AW23">
        <f>IF(VLOOKUP(AW$1,main!$A$3:$I$56,5,FALSE)-VLOOKUP($A23,main!$A$3:$I$56,6,FALSE)&gt;=VLOOKUP(55,main!$A$57:$I$59,4,FALSE)+VLOOKUP(VLOOKUP(AW$1,main!$A$3:$I$56,7,FALSE),main!$K$10:$Q$14,3,FALSE),1,0)</f>
        <v>0</v>
      </c>
      <c r="AX23">
        <f>IF(VLOOKUP(AX$1,main!$A$3:$I$56,5,FALSE)-VLOOKUP($A23,main!$A$3:$I$56,6,FALSE)&gt;=VLOOKUP(55,main!$A$57:$I$59,4,FALSE)+VLOOKUP(VLOOKUP(AX$1,main!$A$3:$I$56,7,FALSE),main!$K$10:$Q$14,3,FALSE),1,0)</f>
        <v>1</v>
      </c>
      <c r="AY23">
        <f>IF(VLOOKUP(AY$1,main!$A$3:$I$56,5,FALSE)-VLOOKUP($A23,main!$A$3:$I$56,6,FALSE)&gt;=VLOOKUP(55,main!$A$57:$I$59,4,FALSE)+VLOOKUP(VLOOKUP(AY$1,main!$A$3:$I$56,7,FALSE),main!$K$10:$Q$14,3,FALSE),1,0)</f>
        <v>1</v>
      </c>
      <c r="AZ23">
        <f>IF(VLOOKUP(AZ$1,main!$A$3:$I$56,5,FALSE)-VLOOKUP($A23,main!$A$3:$I$56,6,FALSE)&gt;=VLOOKUP(55,main!$A$57:$I$59,4,FALSE)+VLOOKUP(VLOOKUP(AZ$1,main!$A$3:$I$56,7,FALSE),main!$K$10:$Q$14,3,FALSE),1,0)</f>
        <v>0</v>
      </c>
      <c r="BA23">
        <f>IF(VLOOKUP(BA$1,main!$A$3:$I$56,5,FALSE)-VLOOKUP($A23,main!$A$3:$I$56,6,FALSE)&gt;=VLOOKUP(55,main!$A$57:$I$59,4,FALSE)+VLOOKUP(VLOOKUP(BA$1,main!$A$3:$I$56,7,FALSE),main!$K$10:$Q$14,3,FALSE),1,0)</f>
        <v>0</v>
      </c>
      <c r="BB23">
        <f>IF(VLOOKUP(BB$1,main!$A$3:$I$56,5,FALSE)-VLOOKUP($A23,main!$A$3:$I$56,6,FALSE)&gt;=VLOOKUP(55,main!$A$57:$I$59,4,FALSE)+VLOOKUP(VLOOKUP(BB$1,main!$A$3:$I$56,7,FALSE),main!$K$10:$Q$14,3,FALSE),1,0)</f>
        <v>0</v>
      </c>
      <c r="BC23">
        <f>IF(VLOOKUP(BC$1,main!$A$3:$I$56,5,FALSE)-VLOOKUP($A23,main!$A$3:$I$56,6,FALSE)&gt;=VLOOKUP(55,main!$A$57:$I$59,4,FALSE)+VLOOKUP(VLOOKUP(BC$1,main!$A$3:$I$56,7,FALSE),main!$K$10:$Q$14,3,FALSE),1,0)</f>
        <v>1</v>
      </c>
      <c r="BD23">
        <f>IF(VLOOKUP(BD$1,main!$A$3:$I$56,5,FALSE)-VLOOKUP($A23,main!$A$3:$I$56,6,FALSE)&gt;=VLOOKUP(55,main!$A$57:$I$59,4,FALSE)+VLOOKUP(VLOOKUP(BD$1,main!$A$3:$I$56,7,FALSE),main!$K$10:$Q$14,3,FALSE),1,0)</f>
        <v>1</v>
      </c>
    </row>
    <row r="24" spans="1:56" x14ac:dyDescent="0.25">
      <c r="A24">
        <f t="shared" si="0"/>
        <v>22</v>
      </c>
      <c r="B24">
        <v>0</v>
      </c>
      <c r="C24">
        <f>IF(VLOOKUP(C$1,main!$A$3:$I$56,5,FALSE)-VLOOKUP($A24,main!$A$3:$I$56,6,FALSE)&gt;=VLOOKUP(55,main!$A$57:$I$59,4,FALSE)+VLOOKUP(VLOOKUP(C$1,main!$A$3:$I$56,7,FALSE),main!$K$10:$Q$14,3,FALSE),1,0)</f>
        <v>0</v>
      </c>
      <c r="D24">
        <f>IF(VLOOKUP(D$1,main!$A$3:$I$56,5,FALSE)-VLOOKUP($A24,main!$A$3:$I$56,6,FALSE)&gt;=VLOOKUP(55,main!$A$57:$I$59,4,FALSE)+VLOOKUP(VLOOKUP(D$1,main!$A$3:$I$56,7,FALSE),main!$K$10:$Q$14,3,FALSE),1,0)</f>
        <v>0</v>
      </c>
      <c r="E24">
        <f>IF(VLOOKUP(E$1,main!$A$3:$I$56,5,FALSE)-VLOOKUP($A24,main!$A$3:$I$56,6,FALSE)&gt;=VLOOKUP(55,main!$A$57:$I$59,4,FALSE)+VLOOKUP(VLOOKUP(E$1,main!$A$3:$I$56,7,FALSE),main!$K$10:$Q$14,3,FALSE),1,0)</f>
        <v>0</v>
      </c>
      <c r="F24">
        <f>IF(VLOOKUP(F$1,main!$A$3:$I$56,5,FALSE)-VLOOKUP($A24,main!$A$3:$I$56,6,FALSE)&gt;=VLOOKUP(55,main!$A$57:$I$59,4,FALSE)+VLOOKUP(VLOOKUP(F$1,main!$A$3:$I$56,7,FALSE),main!$K$10:$Q$14,3,FALSE),1,0)</f>
        <v>0</v>
      </c>
      <c r="G24">
        <f>IF(VLOOKUP(G$1,main!$A$3:$I$56,5,FALSE)-VLOOKUP($A24,main!$A$3:$I$56,6,FALSE)&gt;=VLOOKUP(55,main!$A$57:$I$59,4,FALSE)+VLOOKUP(VLOOKUP(G$1,main!$A$3:$I$56,7,FALSE),main!$K$10:$Q$14,3,FALSE),1,0)</f>
        <v>0</v>
      </c>
      <c r="H24">
        <f>IF(VLOOKUP(H$1,main!$A$3:$I$56,5,FALSE)-VLOOKUP($A24,main!$A$3:$I$56,6,FALSE)&gt;=VLOOKUP(55,main!$A$57:$I$59,4,FALSE)+VLOOKUP(VLOOKUP(H$1,main!$A$3:$I$56,7,FALSE),main!$K$10:$Q$14,3,FALSE),1,0)</f>
        <v>1</v>
      </c>
      <c r="I24">
        <f>IF(VLOOKUP(I$1,main!$A$3:$I$56,5,FALSE)-VLOOKUP($A24,main!$A$3:$I$56,6,FALSE)&gt;=VLOOKUP(55,main!$A$57:$I$59,4,FALSE)+VLOOKUP(VLOOKUP(I$1,main!$A$3:$I$56,7,FALSE),main!$K$10:$Q$14,3,FALSE),1,0)</f>
        <v>1</v>
      </c>
      <c r="J24">
        <f>IF(VLOOKUP(J$1,main!$A$3:$I$56,5,FALSE)-VLOOKUP($A24,main!$A$3:$I$56,6,FALSE)&gt;=VLOOKUP(55,main!$A$57:$I$59,4,FALSE)+VLOOKUP(VLOOKUP(J$1,main!$A$3:$I$56,7,FALSE),main!$K$10:$Q$14,3,FALSE),1,0)</f>
        <v>1</v>
      </c>
      <c r="K24">
        <f>IF(VLOOKUP(K$1,main!$A$3:$I$56,5,FALSE)-VLOOKUP($A24,main!$A$3:$I$56,6,FALSE)&gt;=VLOOKUP(55,main!$A$57:$I$59,4,FALSE)+VLOOKUP(VLOOKUP(K$1,main!$A$3:$I$56,7,FALSE),main!$K$10:$Q$14,3,FALSE),1,0)</f>
        <v>0</v>
      </c>
      <c r="L24">
        <f>IF(VLOOKUP(L$1,main!$A$3:$I$56,5,FALSE)-VLOOKUP($A24,main!$A$3:$I$56,6,FALSE)&gt;=VLOOKUP(55,main!$A$57:$I$59,4,FALSE)+VLOOKUP(VLOOKUP(L$1,main!$A$3:$I$56,7,FALSE),main!$K$10:$Q$14,3,FALSE),1,0)</f>
        <v>0</v>
      </c>
      <c r="M24">
        <f>IF(VLOOKUP(M$1,main!$A$3:$I$56,5,FALSE)-VLOOKUP($A24,main!$A$3:$I$56,6,FALSE)&gt;=VLOOKUP(55,main!$A$57:$I$59,4,FALSE)+VLOOKUP(VLOOKUP(M$1,main!$A$3:$I$56,7,FALSE),main!$K$10:$Q$14,3,FALSE),1,0)</f>
        <v>0</v>
      </c>
      <c r="N24">
        <f>IF(VLOOKUP(N$1,main!$A$3:$I$56,5,FALSE)-VLOOKUP($A24,main!$A$3:$I$56,6,FALSE)&gt;=VLOOKUP(55,main!$A$57:$I$59,4,FALSE)+VLOOKUP(VLOOKUP(N$1,main!$A$3:$I$56,7,FALSE),main!$K$10:$Q$14,3,FALSE),1,0)</f>
        <v>1</v>
      </c>
      <c r="O24">
        <f>IF(VLOOKUP(O$1,main!$A$3:$I$56,5,FALSE)-VLOOKUP($A24,main!$A$3:$I$56,6,FALSE)&gt;=VLOOKUP(55,main!$A$57:$I$59,4,FALSE)+VLOOKUP(VLOOKUP(O$1,main!$A$3:$I$56,7,FALSE),main!$K$10:$Q$14,3,FALSE),1,0)</f>
        <v>1</v>
      </c>
      <c r="P24">
        <f>IF(VLOOKUP(P$1,main!$A$3:$I$56,5,FALSE)-VLOOKUP($A24,main!$A$3:$I$56,6,FALSE)&gt;=VLOOKUP(55,main!$A$57:$I$59,4,FALSE)+VLOOKUP(VLOOKUP(P$1,main!$A$3:$I$56,7,FALSE),main!$K$10:$Q$14,3,FALSE),1,0)</f>
        <v>0</v>
      </c>
      <c r="Q24">
        <f>IF(VLOOKUP(Q$1,main!$A$3:$I$56,5,FALSE)-VLOOKUP($A24,main!$A$3:$I$56,6,FALSE)&gt;=VLOOKUP(55,main!$A$57:$I$59,4,FALSE)+VLOOKUP(VLOOKUP(Q$1,main!$A$3:$I$56,7,FALSE),main!$K$10:$Q$14,3,FALSE),1,0)</f>
        <v>0</v>
      </c>
      <c r="R24">
        <f>IF(VLOOKUP(R$1,main!$A$3:$I$56,5,FALSE)-VLOOKUP($A24,main!$A$3:$I$56,6,FALSE)&gt;=VLOOKUP(55,main!$A$57:$I$59,4,FALSE)+VLOOKUP(VLOOKUP(R$1,main!$A$3:$I$56,7,FALSE),main!$K$10:$Q$14,3,FALSE),1,0)</f>
        <v>0</v>
      </c>
      <c r="S24">
        <f>IF(VLOOKUP(S$1,main!$A$3:$I$56,5,FALSE)-VLOOKUP($A24,main!$A$3:$I$56,6,FALSE)&gt;=VLOOKUP(55,main!$A$57:$I$59,4,FALSE)+VLOOKUP(VLOOKUP(S$1,main!$A$3:$I$56,7,FALSE),main!$K$10:$Q$14,3,FALSE),1,0)</f>
        <v>0</v>
      </c>
      <c r="T24">
        <f>IF(VLOOKUP(T$1,main!$A$3:$I$56,5,FALSE)-VLOOKUP($A24,main!$A$3:$I$56,6,FALSE)&gt;=VLOOKUP(55,main!$A$57:$I$59,4,FALSE)+VLOOKUP(VLOOKUP(T$1,main!$A$3:$I$56,7,FALSE),main!$K$10:$Q$14,3,FALSE),1,0)</f>
        <v>1</v>
      </c>
      <c r="U24">
        <f>IF(VLOOKUP(U$1,main!$A$3:$I$56,5,FALSE)-VLOOKUP($A24,main!$A$3:$I$56,6,FALSE)&gt;=VLOOKUP(55,main!$A$57:$I$59,4,FALSE)+VLOOKUP(VLOOKUP(U$1,main!$A$3:$I$56,7,FALSE),main!$K$10:$Q$14,3,FALSE),1,0)</f>
        <v>0</v>
      </c>
      <c r="V24">
        <f>IF(VLOOKUP(V$1,main!$A$3:$I$56,5,FALSE)-VLOOKUP($A24,main!$A$3:$I$56,6,FALSE)&gt;=VLOOKUP(55,main!$A$57:$I$59,4,FALSE)+VLOOKUP(VLOOKUP(V$1,main!$A$3:$I$56,7,FALSE),main!$K$10:$Q$14,3,FALSE),1,0)</f>
        <v>0</v>
      </c>
      <c r="W24">
        <f>IF(VLOOKUP(W$1,main!$A$3:$I$56,5,FALSE)-VLOOKUP($A24,main!$A$3:$I$56,6,FALSE)&gt;=VLOOKUP(55,main!$A$57:$I$59,4,FALSE)+VLOOKUP(VLOOKUP(W$1,main!$A$3:$I$56,7,FALSE),main!$K$10:$Q$14,3,FALSE),1,0)</f>
        <v>0</v>
      </c>
      <c r="X24">
        <f>IF(VLOOKUP(X$1,main!$A$3:$I$56,5,FALSE)-VLOOKUP($A24,main!$A$3:$I$56,6,FALSE)&gt;=VLOOKUP(55,main!$A$57:$I$59,4,FALSE)+VLOOKUP(VLOOKUP(X$1,main!$A$3:$I$56,7,FALSE),main!$K$10:$Q$14,3,FALSE),1,0)</f>
        <v>0</v>
      </c>
      <c r="Y24">
        <f>IF(VLOOKUP(Y$1,main!$A$3:$I$56,5,FALSE)-VLOOKUP($A24,main!$A$3:$I$56,6,FALSE)&gt;=VLOOKUP(55,main!$A$57:$I$59,4,FALSE)+VLOOKUP(VLOOKUP(Y$1,main!$A$3:$I$56,7,FALSE),main!$K$10:$Q$14,3,FALSE),1,0)</f>
        <v>0</v>
      </c>
      <c r="Z24">
        <f>IF(VLOOKUP(Z$1,main!$A$3:$I$56,5,FALSE)-VLOOKUP($A24,main!$A$3:$I$56,6,FALSE)&gt;=VLOOKUP(55,main!$A$57:$I$59,4,FALSE)+VLOOKUP(VLOOKUP(Z$1,main!$A$3:$I$56,7,FALSE),main!$K$10:$Q$14,3,FALSE),1,0)</f>
        <v>0</v>
      </c>
      <c r="AA24">
        <f>IF(VLOOKUP(AA$1,main!$A$3:$I$56,5,FALSE)-VLOOKUP($A24,main!$A$3:$I$56,6,FALSE)&gt;=VLOOKUP(55,main!$A$57:$I$59,4,FALSE)+VLOOKUP(VLOOKUP(AA$1,main!$A$3:$I$56,7,FALSE),main!$K$10:$Q$14,3,FALSE),1,0)</f>
        <v>1</v>
      </c>
      <c r="AB24">
        <f>IF(VLOOKUP(AB$1,main!$A$3:$I$56,5,FALSE)-VLOOKUP($A24,main!$A$3:$I$56,6,FALSE)&gt;=VLOOKUP(55,main!$A$57:$I$59,4,FALSE)+VLOOKUP(VLOOKUP(AB$1,main!$A$3:$I$56,7,FALSE),main!$K$10:$Q$14,3,FALSE),1,0)</f>
        <v>1</v>
      </c>
      <c r="AC24">
        <f>IF(VLOOKUP(AC$1,main!$A$3:$I$56,5,FALSE)-VLOOKUP($A24,main!$A$3:$I$56,6,FALSE)&gt;=VLOOKUP(55,main!$A$57:$I$59,4,FALSE)+VLOOKUP(VLOOKUP(AC$1,main!$A$3:$I$56,7,FALSE),main!$K$10:$Q$14,3,FALSE),1,0)</f>
        <v>0</v>
      </c>
      <c r="AD24">
        <f>IF(VLOOKUP(AD$1,main!$A$3:$I$56,5,FALSE)-VLOOKUP($A24,main!$A$3:$I$56,6,FALSE)&gt;=VLOOKUP(55,main!$A$57:$I$59,4,FALSE)+VLOOKUP(VLOOKUP(AD$1,main!$A$3:$I$56,7,FALSE),main!$K$10:$Q$14,3,FALSE),1,0)</f>
        <v>0</v>
      </c>
      <c r="AE24">
        <f>IF(VLOOKUP(AE$1,main!$A$3:$I$56,5,FALSE)-VLOOKUP($A24,main!$A$3:$I$56,6,FALSE)&gt;=VLOOKUP(55,main!$A$57:$I$59,4,FALSE)+VLOOKUP(VLOOKUP(AE$1,main!$A$3:$I$56,7,FALSE),main!$K$10:$Q$14,3,FALSE),1,0)</f>
        <v>0</v>
      </c>
      <c r="AF24">
        <f>IF(VLOOKUP(AF$1,main!$A$3:$I$56,5,FALSE)-VLOOKUP($A24,main!$A$3:$I$56,6,FALSE)&gt;=VLOOKUP(55,main!$A$57:$I$59,4,FALSE)+VLOOKUP(VLOOKUP(AF$1,main!$A$3:$I$56,7,FALSE),main!$K$10:$Q$14,3,FALSE),1,0)</f>
        <v>0</v>
      </c>
      <c r="AG24">
        <f>IF(VLOOKUP(AG$1,main!$A$3:$I$56,5,FALSE)-VLOOKUP($A24,main!$A$3:$I$56,6,FALSE)&gt;=VLOOKUP(55,main!$A$57:$I$59,4,FALSE)+VLOOKUP(VLOOKUP(AG$1,main!$A$3:$I$56,7,FALSE),main!$K$10:$Q$14,3,FALSE),1,0)</f>
        <v>0</v>
      </c>
      <c r="AH24">
        <f>IF(VLOOKUP(AH$1,main!$A$3:$I$56,5,FALSE)-VLOOKUP($A24,main!$A$3:$I$56,6,FALSE)&gt;=VLOOKUP(55,main!$A$57:$I$59,4,FALSE)+VLOOKUP(VLOOKUP(AH$1,main!$A$3:$I$56,7,FALSE),main!$K$10:$Q$14,3,FALSE),1,0)</f>
        <v>0</v>
      </c>
      <c r="AI24">
        <f>IF(VLOOKUP(AI$1,main!$A$3:$I$56,5,FALSE)-VLOOKUP($A24,main!$A$3:$I$56,6,FALSE)&gt;=VLOOKUP(55,main!$A$57:$I$59,4,FALSE)+VLOOKUP(VLOOKUP(AI$1,main!$A$3:$I$56,7,FALSE),main!$K$10:$Q$14,3,FALSE),1,0)</f>
        <v>0</v>
      </c>
      <c r="AJ24">
        <f>IF(VLOOKUP(AJ$1,main!$A$3:$I$56,5,FALSE)-VLOOKUP($A24,main!$A$3:$I$56,6,FALSE)&gt;=VLOOKUP(55,main!$A$57:$I$59,4,FALSE)+VLOOKUP(VLOOKUP(AJ$1,main!$A$3:$I$56,7,FALSE),main!$K$10:$Q$14,3,FALSE),1,0)</f>
        <v>0</v>
      </c>
      <c r="AK24">
        <f>IF(VLOOKUP(AK$1,main!$A$3:$I$56,5,FALSE)-VLOOKUP($A24,main!$A$3:$I$56,6,FALSE)&gt;=VLOOKUP(55,main!$A$57:$I$59,4,FALSE)+VLOOKUP(VLOOKUP(AK$1,main!$A$3:$I$56,7,FALSE),main!$K$10:$Q$14,3,FALSE),1,0)</f>
        <v>1</v>
      </c>
      <c r="AL24">
        <f>IF(VLOOKUP(AL$1,main!$A$3:$I$56,5,FALSE)-VLOOKUP($A24,main!$A$3:$I$56,6,FALSE)&gt;=VLOOKUP(55,main!$A$57:$I$59,4,FALSE)+VLOOKUP(VLOOKUP(AL$1,main!$A$3:$I$56,7,FALSE),main!$K$10:$Q$14,3,FALSE),1,0)</f>
        <v>0</v>
      </c>
      <c r="AM24">
        <f>IF(VLOOKUP(AM$1,main!$A$3:$I$56,5,FALSE)-VLOOKUP($A24,main!$A$3:$I$56,6,FALSE)&gt;=VLOOKUP(55,main!$A$57:$I$59,4,FALSE)+VLOOKUP(VLOOKUP(AM$1,main!$A$3:$I$56,7,FALSE),main!$K$10:$Q$14,3,FALSE),1,0)</f>
        <v>0</v>
      </c>
      <c r="AN24">
        <f>IF(VLOOKUP(AN$1,main!$A$3:$I$56,5,FALSE)-VLOOKUP($A24,main!$A$3:$I$56,6,FALSE)&gt;=VLOOKUP(55,main!$A$57:$I$59,4,FALSE)+VLOOKUP(VLOOKUP(AN$1,main!$A$3:$I$56,7,FALSE),main!$K$10:$Q$14,3,FALSE),1,0)</f>
        <v>0</v>
      </c>
      <c r="AO24">
        <f>IF(VLOOKUP(AO$1,main!$A$3:$I$56,5,FALSE)-VLOOKUP($A24,main!$A$3:$I$56,6,FALSE)&gt;=VLOOKUP(55,main!$A$57:$I$59,4,FALSE)+VLOOKUP(VLOOKUP(AO$1,main!$A$3:$I$56,7,FALSE),main!$K$10:$Q$14,3,FALSE),1,0)</f>
        <v>0</v>
      </c>
      <c r="AP24">
        <f>IF(VLOOKUP(AP$1,main!$A$3:$I$56,5,FALSE)-VLOOKUP($A24,main!$A$3:$I$56,6,FALSE)&gt;=VLOOKUP(55,main!$A$57:$I$59,4,FALSE)+VLOOKUP(VLOOKUP(AP$1,main!$A$3:$I$56,7,FALSE),main!$K$10:$Q$14,3,FALSE),1,0)</f>
        <v>0</v>
      </c>
      <c r="AQ24">
        <f>IF(VLOOKUP(AQ$1,main!$A$3:$I$56,5,FALSE)-VLOOKUP($A24,main!$A$3:$I$56,6,FALSE)&gt;=VLOOKUP(55,main!$A$57:$I$59,4,FALSE)+VLOOKUP(VLOOKUP(AQ$1,main!$A$3:$I$56,7,FALSE),main!$K$10:$Q$14,3,FALSE),1,0)</f>
        <v>0</v>
      </c>
      <c r="AR24">
        <f>IF(VLOOKUP(AR$1,main!$A$3:$I$56,5,FALSE)-VLOOKUP($A24,main!$A$3:$I$56,6,FALSE)&gt;=VLOOKUP(55,main!$A$57:$I$59,4,FALSE)+VLOOKUP(VLOOKUP(AR$1,main!$A$3:$I$56,7,FALSE),main!$K$10:$Q$14,3,FALSE),1,0)</f>
        <v>0</v>
      </c>
      <c r="AS24">
        <f>IF(VLOOKUP(AS$1,main!$A$3:$I$56,5,FALSE)-VLOOKUP($A24,main!$A$3:$I$56,6,FALSE)&gt;=VLOOKUP(55,main!$A$57:$I$59,4,FALSE)+VLOOKUP(VLOOKUP(AS$1,main!$A$3:$I$56,7,FALSE),main!$K$10:$Q$14,3,FALSE),1,0)</f>
        <v>0</v>
      </c>
      <c r="AT24">
        <f>IF(VLOOKUP(AT$1,main!$A$3:$I$56,5,FALSE)-VLOOKUP($A24,main!$A$3:$I$56,6,FALSE)&gt;=VLOOKUP(55,main!$A$57:$I$59,4,FALSE)+VLOOKUP(VLOOKUP(AT$1,main!$A$3:$I$56,7,FALSE),main!$K$10:$Q$14,3,FALSE),1,0)</f>
        <v>0</v>
      </c>
      <c r="AU24">
        <f>IF(VLOOKUP(AU$1,main!$A$3:$I$56,5,FALSE)-VLOOKUP($A24,main!$A$3:$I$56,6,FALSE)&gt;=VLOOKUP(55,main!$A$57:$I$59,4,FALSE)+VLOOKUP(VLOOKUP(AU$1,main!$A$3:$I$56,7,FALSE),main!$K$10:$Q$14,3,FALSE),1,0)</f>
        <v>0</v>
      </c>
      <c r="AV24">
        <f>IF(VLOOKUP(AV$1,main!$A$3:$I$56,5,FALSE)-VLOOKUP($A24,main!$A$3:$I$56,6,FALSE)&gt;=VLOOKUP(55,main!$A$57:$I$59,4,FALSE)+VLOOKUP(VLOOKUP(AV$1,main!$A$3:$I$56,7,FALSE),main!$K$10:$Q$14,3,FALSE),1,0)</f>
        <v>0</v>
      </c>
      <c r="AW24">
        <f>IF(VLOOKUP(AW$1,main!$A$3:$I$56,5,FALSE)-VLOOKUP($A24,main!$A$3:$I$56,6,FALSE)&gt;=VLOOKUP(55,main!$A$57:$I$59,4,FALSE)+VLOOKUP(VLOOKUP(AW$1,main!$A$3:$I$56,7,FALSE),main!$K$10:$Q$14,3,FALSE),1,0)</f>
        <v>0</v>
      </c>
      <c r="AX24">
        <f>IF(VLOOKUP(AX$1,main!$A$3:$I$56,5,FALSE)-VLOOKUP($A24,main!$A$3:$I$56,6,FALSE)&gt;=VLOOKUP(55,main!$A$57:$I$59,4,FALSE)+VLOOKUP(VLOOKUP(AX$1,main!$A$3:$I$56,7,FALSE),main!$K$10:$Q$14,3,FALSE),1,0)</f>
        <v>0</v>
      </c>
      <c r="AY24">
        <f>IF(VLOOKUP(AY$1,main!$A$3:$I$56,5,FALSE)-VLOOKUP($A24,main!$A$3:$I$56,6,FALSE)&gt;=VLOOKUP(55,main!$A$57:$I$59,4,FALSE)+VLOOKUP(VLOOKUP(AY$1,main!$A$3:$I$56,7,FALSE),main!$K$10:$Q$14,3,FALSE),1,0)</f>
        <v>1</v>
      </c>
      <c r="AZ24">
        <f>IF(VLOOKUP(AZ$1,main!$A$3:$I$56,5,FALSE)-VLOOKUP($A24,main!$A$3:$I$56,6,FALSE)&gt;=VLOOKUP(55,main!$A$57:$I$59,4,FALSE)+VLOOKUP(VLOOKUP(AZ$1,main!$A$3:$I$56,7,FALSE),main!$K$10:$Q$14,3,FALSE),1,0)</f>
        <v>0</v>
      </c>
      <c r="BA24">
        <f>IF(VLOOKUP(BA$1,main!$A$3:$I$56,5,FALSE)-VLOOKUP($A24,main!$A$3:$I$56,6,FALSE)&gt;=VLOOKUP(55,main!$A$57:$I$59,4,FALSE)+VLOOKUP(VLOOKUP(BA$1,main!$A$3:$I$56,7,FALSE),main!$K$10:$Q$14,3,FALSE),1,0)</f>
        <v>0</v>
      </c>
      <c r="BB24">
        <f>IF(VLOOKUP(BB$1,main!$A$3:$I$56,5,FALSE)-VLOOKUP($A24,main!$A$3:$I$56,6,FALSE)&gt;=VLOOKUP(55,main!$A$57:$I$59,4,FALSE)+VLOOKUP(VLOOKUP(BB$1,main!$A$3:$I$56,7,FALSE),main!$K$10:$Q$14,3,FALSE),1,0)</f>
        <v>0</v>
      </c>
      <c r="BC24">
        <f>IF(VLOOKUP(BC$1,main!$A$3:$I$56,5,FALSE)-VLOOKUP($A24,main!$A$3:$I$56,6,FALSE)&gt;=VLOOKUP(55,main!$A$57:$I$59,4,FALSE)+VLOOKUP(VLOOKUP(BC$1,main!$A$3:$I$56,7,FALSE),main!$K$10:$Q$14,3,FALSE),1,0)</f>
        <v>0</v>
      </c>
      <c r="BD24">
        <f>IF(VLOOKUP(BD$1,main!$A$3:$I$56,5,FALSE)-VLOOKUP($A24,main!$A$3:$I$56,6,FALSE)&gt;=VLOOKUP(55,main!$A$57:$I$59,4,FALSE)+VLOOKUP(VLOOKUP(BD$1,main!$A$3:$I$56,7,FALSE),main!$K$10:$Q$14,3,FALSE),1,0)</f>
        <v>0</v>
      </c>
    </row>
    <row r="25" spans="1:56" x14ac:dyDescent="0.25">
      <c r="A25">
        <f t="shared" si="0"/>
        <v>23</v>
      </c>
      <c r="B25">
        <v>0</v>
      </c>
      <c r="C25">
        <f>IF(VLOOKUP(C$1,main!$A$3:$I$56,5,FALSE)-VLOOKUP($A25,main!$A$3:$I$56,6,FALSE)&gt;=VLOOKUP(55,main!$A$57:$I$59,4,FALSE)+VLOOKUP(VLOOKUP(C$1,main!$A$3:$I$56,7,FALSE),main!$K$10:$Q$14,3,FALSE),1,0)</f>
        <v>0</v>
      </c>
      <c r="D25">
        <f>IF(VLOOKUP(D$1,main!$A$3:$I$56,5,FALSE)-VLOOKUP($A25,main!$A$3:$I$56,6,FALSE)&gt;=VLOOKUP(55,main!$A$57:$I$59,4,FALSE)+VLOOKUP(VLOOKUP(D$1,main!$A$3:$I$56,7,FALSE),main!$K$10:$Q$14,3,FALSE),1,0)</f>
        <v>0</v>
      </c>
      <c r="E25">
        <f>IF(VLOOKUP(E$1,main!$A$3:$I$56,5,FALSE)-VLOOKUP($A25,main!$A$3:$I$56,6,FALSE)&gt;=VLOOKUP(55,main!$A$57:$I$59,4,FALSE)+VLOOKUP(VLOOKUP(E$1,main!$A$3:$I$56,7,FALSE),main!$K$10:$Q$14,3,FALSE),1,0)</f>
        <v>0</v>
      </c>
      <c r="F25">
        <f>IF(VLOOKUP(F$1,main!$A$3:$I$56,5,FALSE)-VLOOKUP($A25,main!$A$3:$I$56,6,FALSE)&gt;=VLOOKUP(55,main!$A$57:$I$59,4,FALSE)+VLOOKUP(VLOOKUP(F$1,main!$A$3:$I$56,7,FALSE),main!$K$10:$Q$14,3,FALSE),1,0)</f>
        <v>0</v>
      </c>
      <c r="G25">
        <f>IF(VLOOKUP(G$1,main!$A$3:$I$56,5,FALSE)-VLOOKUP($A25,main!$A$3:$I$56,6,FALSE)&gt;=VLOOKUP(55,main!$A$57:$I$59,4,FALSE)+VLOOKUP(VLOOKUP(G$1,main!$A$3:$I$56,7,FALSE),main!$K$10:$Q$14,3,FALSE),1,0)</f>
        <v>0</v>
      </c>
      <c r="H25">
        <f>IF(VLOOKUP(H$1,main!$A$3:$I$56,5,FALSE)-VLOOKUP($A25,main!$A$3:$I$56,6,FALSE)&gt;=VLOOKUP(55,main!$A$57:$I$59,4,FALSE)+VLOOKUP(VLOOKUP(H$1,main!$A$3:$I$56,7,FALSE),main!$K$10:$Q$14,3,FALSE),1,0)</f>
        <v>0</v>
      </c>
      <c r="I25">
        <f>IF(VLOOKUP(I$1,main!$A$3:$I$56,5,FALSE)-VLOOKUP($A25,main!$A$3:$I$56,6,FALSE)&gt;=VLOOKUP(55,main!$A$57:$I$59,4,FALSE)+VLOOKUP(VLOOKUP(I$1,main!$A$3:$I$56,7,FALSE),main!$K$10:$Q$14,3,FALSE),1,0)</f>
        <v>0</v>
      </c>
      <c r="J25">
        <f>IF(VLOOKUP(J$1,main!$A$3:$I$56,5,FALSE)-VLOOKUP($A25,main!$A$3:$I$56,6,FALSE)&gt;=VLOOKUP(55,main!$A$57:$I$59,4,FALSE)+VLOOKUP(VLOOKUP(J$1,main!$A$3:$I$56,7,FALSE),main!$K$10:$Q$14,3,FALSE),1,0)</f>
        <v>1</v>
      </c>
      <c r="K25">
        <f>IF(VLOOKUP(K$1,main!$A$3:$I$56,5,FALSE)-VLOOKUP($A25,main!$A$3:$I$56,6,FALSE)&gt;=VLOOKUP(55,main!$A$57:$I$59,4,FALSE)+VLOOKUP(VLOOKUP(K$1,main!$A$3:$I$56,7,FALSE),main!$K$10:$Q$14,3,FALSE),1,0)</f>
        <v>0</v>
      </c>
      <c r="L25">
        <f>IF(VLOOKUP(L$1,main!$A$3:$I$56,5,FALSE)-VLOOKUP($A25,main!$A$3:$I$56,6,FALSE)&gt;=VLOOKUP(55,main!$A$57:$I$59,4,FALSE)+VLOOKUP(VLOOKUP(L$1,main!$A$3:$I$56,7,FALSE),main!$K$10:$Q$14,3,FALSE),1,0)</f>
        <v>0</v>
      </c>
      <c r="M25">
        <f>IF(VLOOKUP(M$1,main!$A$3:$I$56,5,FALSE)-VLOOKUP($A25,main!$A$3:$I$56,6,FALSE)&gt;=VLOOKUP(55,main!$A$57:$I$59,4,FALSE)+VLOOKUP(VLOOKUP(M$1,main!$A$3:$I$56,7,FALSE),main!$K$10:$Q$14,3,FALSE),1,0)</f>
        <v>0</v>
      </c>
      <c r="N25">
        <f>IF(VLOOKUP(N$1,main!$A$3:$I$56,5,FALSE)-VLOOKUP($A25,main!$A$3:$I$56,6,FALSE)&gt;=VLOOKUP(55,main!$A$57:$I$59,4,FALSE)+VLOOKUP(VLOOKUP(N$1,main!$A$3:$I$56,7,FALSE),main!$K$10:$Q$14,3,FALSE),1,0)</f>
        <v>1</v>
      </c>
      <c r="O25">
        <f>IF(VLOOKUP(O$1,main!$A$3:$I$56,5,FALSE)-VLOOKUP($A25,main!$A$3:$I$56,6,FALSE)&gt;=VLOOKUP(55,main!$A$57:$I$59,4,FALSE)+VLOOKUP(VLOOKUP(O$1,main!$A$3:$I$56,7,FALSE),main!$K$10:$Q$14,3,FALSE),1,0)</f>
        <v>1</v>
      </c>
      <c r="P25">
        <f>IF(VLOOKUP(P$1,main!$A$3:$I$56,5,FALSE)-VLOOKUP($A25,main!$A$3:$I$56,6,FALSE)&gt;=VLOOKUP(55,main!$A$57:$I$59,4,FALSE)+VLOOKUP(VLOOKUP(P$1,main!$A$3:$I$56,7,FALSE),main!$K$10:$Q$14,3,FALSE),1,0)</f>
        <v>0</v>
      </c>
      <c r="Q25">
        <f>IF(VLOOKUP(Q$1,main!$A$3:$I$56,5,FALSE)-VLOOKUP($A25,main!$A$3:$I$56,6,FALSE)&gt;=VLOOKUP(55,main!$A$57:$I$59,4,FALSE)+VLOOKUP(VLOOKUP(Q$1,main!$A$3:$I$56,7,FALSE),main!$K$10:$Q$14,3,FALSE),1,0)</f>
        <v>0</v>
      </c>
      <c r="R25">
        <f>IF(VLOOKUP(R$1,main!$A$3:$I$56,5,FALSE)-VLOOKUP($A25,main!$A$3:$I$56,6,FALSE)&gt;=VLOOKUP(55,main!$A$57:$I$59,4,FALSE)+VLOOKUP(VLOOKUP(R$1,main!$A$3:$I$56,7,FALSE),main!$K$10:$Q$14,3,FALSE),1,0)</f>
        <v>0</v>
      </c>
      <c r="S25">
        <f>IF(VLOOKUP(S$1,main!$A$3:$I$56,5,FALSE)-VLOOKUP($A25,main!$A$3:$I$56,6,FALSE)&gt;=VLOOKUP(55,main!$A$57:$I$59,4,FALSE)+VLOOKUP(VLOOKUP(S$1,main!$A$3:$I$56,7,FALSE),main!$K$10:$Q$14,3,FALSE),1,0)</f>
        <v>0</v>
      </c>
      <c r="T25">
        <f>IF(VLOOKUP(T$1,main!$A$3:$I$56,5,FALSE)-VLOOKUP($A25,main!$A$3:$I$56,6,FALSE)&gt;=VLOOKUP(55,main!$A$57:$I$59,4,FALSE)+VLOOKUP(VLOOKUP(T$1,main!$A$3:$I$56,7,FALSE),main!$K$10:$Q$14,3,FALSE),1,0)</f>
        <v>1</v>
      </c>
      <c r="U25">
        <f>IF(VLOOKUP(U$1,main!$A$3:$I$56,5,FALSE)-VLOOKUP($A25,main!$A$3:$I$56,6,FALSE)&gt;=VLOOKUP(55,main!$A$57:$I$59,4,FALSE)+VLOOKUP(VLOOKUP(U$1,main!$A$3:$I$56,7,FALSE),main!$K$10:$Q$14,3,FALSE),1,0)</f>
        <v>0</v>
      </c>
      <c r="V25">
        <f>IF(VLOOKUP(V$1,main!$A$3:$I$56,5,FALSE)-VLOOKUP($A25,main!$A$3:$I$56,6,FALSE)&gt;=VLOOKUP(55,main!$A$57:$I$59,4,FALSE)+VLOOKUP(VLOOKUP(V$1,main!$A$3:$I$56,7,FALSE),main!$K$10:$Q$14,3,FALSE),1,0)</f>
        <v>0</v>
      </c>
      <c r="W25">
        <f>IF(VLOOKUP(W$1,main!$A$3:$I$56,5,FALSE)-VLOOKUP($A25,main!$A$3:$I$56,6,FALSE)&gt;=VLOOKUP(55,main!$A$57:$I$59,4,FALSE)+VLOOKUP(VLOOKUP(W$1,main!$A$3:$I$56,7,FALSE),main!$K$10:$Q$14,3,FALSE),1,0)</f>
        <v>0</v>
      </c>
      <c r="X25">
        <f>IF(VLOOKUP(X$1,main!$A$3:$I$56,5,FALSE)-VLOOKUP($A25,main!$A$3:$I$56,6,FALSE)&gt;=VLOOKUP(55,main!$A$57:$I$59,4,FALSE)+VLOOKUP(VLOOKUP(X$1,main!$A$3:$I$56,7,FALSE),main!$K$10:$Q$14,3,FALSE),1,0)</f>
        <v>0</v>
      </c>
      <c r="Y25">
        <f>IF(VLOOKUP(Y$1,main!$A$3:$I$56,5,FALSE)-VLOOKUP($A25,main!$A$3:$I$56,6,FALSE)&gt;=VLOOKUP(55,main!$A$57:$I$59,4,FALSE)+VLOOKUP(VLOOKUP(Y$1,main!$A$3:$I$56,7,FALSE),main!$K$10:$Q$14,3,FALSE),1,0)</f>
        <v>0</v>
      </c>
      <c r="Z25">
        <f>IF(VLOOKUP(Z$1,main!$A$3:$I$56,5,FALSE)-VLOOKUP($A25,main!$A$3:$I$56,6,FALSE)&gt;=VLOOKUP(55,main!$A$57:$I$59,4,FALSE)+VLOOKUP(VLOOKUP(Z$1,main!$A$3:$I$56,7,FALSE),main!$K$10:$Q$14,3,FALSE),1,0)</f>
        <v>0</v>
      </c>
      <c r="AA25">
        <f>IF(VLOOKUP(AA$1,main!$A$3:$I$56,5,FALSE)-VLOOKUP($A25,main!$A$3:$I$56,6,FALSE)&gt;=VLOOKUP(55,main!$A$57:$I$59,4,FALSE)+VLOOKUP(VLOOKUP(AA$1,main!$A$3:$I$56,7,FALSE),main!$K$10:$Q$14,3,FALSE),1,0)</f>
        <v>0</v>
      </c>
      <c r="AB25">
        <f>IF(VLOOKUP(AB$1,main!$A$3:$I$56,5,FALSE)-VLOOKUP($A25,main!$A$3:$I$56,6,FALSE)&gt;=VLOOKUP(55,main!$A$57:$I$59,4,FALSE)+VLOOKUP(VLOOKUP(AB$1,main!$A$3:$I$56,7,FALSE),main!$K$10:$Q$14,3,FALSE),1,0)</f>
        <v>1</v>
      </c>
      <c r="AC25">
        <f>IF(VLOOKUP(AC$1,main!$A$3:$I$56,5,FALSE)-VLOOKUP($A25,main!$A$3:$I$56,6,FALSE)&gt;=VLOOKUP(55,main!$A$57:$I$59,4,FALSE)+VLOOKUP(VLOOKUP(AC$1,main!$A$3:$I$56,7,FALSE),main!$K$10:$Q$14,3,FALSE),1,0)</f>
        <v>0</v>
      </c>
      <c r="AD25">
        <f>IF(VLOOKUP(AD$1,main!$A$3:$I$56,5,FALSE)-VLOOKUP($A25,main!$A$3:$I$56,6,FALSE)&gt;=VLOOKUP(55,main!$A$57:$I$59,4,FALSE)+VLOOKUP(VLOOKUP(AD$1,main!$A$3:$I$56,7,FALSE),main!$K$10:$Q$14,3,FALSE),1,0)</f>
        <v>0</v>
      </c>
      <c r="AE25">
        <f>IF(VLOOKUP(AE$1,main!$A$3:$I$56,5,FALSE)-VLOOKUP($A25,main!$A$3:$I$56,6,FALSE)&gt;=VLOOKUP(55,main!$A$57:$I$59,4,FALSE)+VLOOKUP(VLOOKUP(AE$1,main!$A$3:$I$56,7,FALSE),main!$K$10:$Q$14,3,FALSE),1,0)</f>
        <v>0</v>
      </c>
      <c r="AF25">
        <f>IF(VLOOKUP(AF$1,main!$A$3:$I$56,5,FALSE)-VLOOKUP($A25,main!$A$3:$I$56,6,FALSE)&gt;=VLOOKUP(55,main!$A$57:$I$59,4,FALSE)+VLOOKUP(VLOOKUP(AF$1,main!$A$3:$I$56,7,FALSE),main!$K$10:$Q$14,3,FALSE),1,0)</f>
        <v>0</v>
      </c>
      <c r="AG25">
        <f>IF(VLOOKUP(AG$1,main!$A$3:$I$56,5,FALSE)-VLOOKUP($A25,main!$A$3:$I$56,6,FALSE)&gt;=VLOOKUP(55,main!$A$57:$I$59,4,FALSE)+VLOOKUP(VLOOKUP(AG$1,main!$A$3:$I$56,7,FALSE),main!$K$10:$Q$14,3,FALSE),1,0)</f>
        <v>0</v>
      </c>
      <c r="AH25">
        <f>IF(VLOOKUP(AH$1,main!$A$3:$I$56,5,FALSE)-VLOOKUP($A25,main!$A$3:$I$56,6,FALSE)&gt;=VLOOKUP(55,main!$A$57:$I$59,4,FALSE)+VLOOKUP(VLOOKUP(AH$1,main!$A$3:$I$56,7,FALSE),main!$K$10:$Q$14,3,FALSE),1,0)</f>
        <v>0</v>
      </c>
      <c r="AI25">
        <f>IF(VLOOKUP(AI$1,main!$A$3:$I$56,5,FALSE)-VLOOKUP($A25,main!$A$3:$I$56,6,FALSE)&gt;=VLOOKUP(55,main!$A$57:$I$59,4,FALSE)+VLOOKUP(VLOOKUP(AI$1,main!$A$3:$I$56,7,FALSE),main!$K$10:$Q$14,3,FALSE),1,0)</f>
        <v>0</v>
      </c>
      <c r="AJ25">
        <f>IF(VLOOKUP(AJ$1,main!$A$3:$I$56,5,FALSE)-VLOOKUP($A25,main!$A$3:$I$56,6,FALSE)&gt;=VLOOKUP(55,main!$A$57:$I$59,4,FALSE)+VLOOKUP(VLOOKUP(AJ$1,main!$A$3:$I$56,7,FALSE),main!$K$10:$Q$14,3,FALSE),1,0)</f>
        <v>0</v>
      </c>
      <c r="AK25">
        <f>IF(VLOOKUP(AK$1,main!$A$3:$I$56,5,FALSE)-VLOOKUP($A25,main!$A$3:$I$56,6,FALSE)&gt;=VLOOKUP(55,main!$A$57:$I$59,4,FALSE)+VLOOKUP(VLOOKUP(AK$1,main!$A$3:$I$56,7,FALSE),main!$K$10:$Q$14,3,FALSE),1,0)</f>
        <v>0</v>
      </c>
      <c r="AL25">
        <f>IF(VLOOKUP(AL$1,main!$A$3:$I$56,5,FALSE)-VLOOKUP($A25,main!$A$3:$I$56,6,FALSE)&gt;=VLOOKUP(55,main!$A$57:$I$59,4,FALSE)+VLOOKUP(VLOOKUP(AL$1,main!$A$3:$I$56,7,FALSE),main!$K$10:$Q$14,3,FALSE),1,0)</f>
        <v>0</v>
      </c>
      <c r="AM25">
        <f>IF(VLOOKUP(AM$1,main!$A$3:$I$56,5,FALSE)-VLOOKUP($A25,main!$A$3:$I$56,6,FALSE)&gt;=VLOOKUP(55,main!$A$57:$I$59,4,FALSE)+VLOOKUP(VLOOKUP(AM$1,main!$A$3:$I$56,7,FALSE),main!$K$10:$Q$14,3,FALSE),1,0)</f>
        <v>0</v>
      </c>
      <c r="AN25">
        <f>IF(VLOOKUP(AN$1,main!$A$3:$I$56,5,FALSE)-VLOOKUP($A25,main!$A$3:$I$56,6,FALSE)&gt;=VLOOKUP(55,main!$A$57:$I$59,4,FALSE)+VLOOKUP(VLOOKUP(AN$1,main!$A$3:$I$56,7,FALSE),main!$K$10:$Q$14,3,FALSE),1,0)</f>
        <v>0</v>
      </c>
      <c r="AO25">
        <f>IF(VLOOKUP(AO$1,main!$A$3:$I$56,5,FALSE)-VLOOKUP($A25,main!$A$3:$I$56,6,FALSE)&gt;=VLOOKUP(55,main!$A$57:$I$59,4,FALSE)+VLOOKUP(VLOOKUP(AO$1,main!$A$3:$I$56,7,FALSE),main!$K$10:$Q$14,3,FALSE),1,0)</f>
        <v>0</v>
      </c>
      <c r="AP25">
        <f>IF(VLOOKUP(AP$1,main!$A$3:$I$56,5,FALSE)-VLOOKUP($A25,main!$A$3:$I$56,6,FALSE)&gt;=VLOOKUP(55,main!$A$57:$I$59,4,FALSE)+VLOOKUP(VLOOKUP(AP$1,main!$A$3:$I$56,7,FALSE),main!$K$10:$Q$14,3,FALSE),1,0)</f>
        <v>0</v>
      </c>
      <c r="AQ25">
        <f>IF(VLOOKUP(AQ$1,main!$A$3:$I$56,5,FALSE)-VLOOKUP($A25,main!$A$3:$I$56,6,FALSE)&gt;=VLOOKUP(55,main!$A$57:$I$59,4,FALSE)+VLOOKUP(VLOOKUP(AQ$1,main!$A$3:$I$56,7,FALSE),main!$K$10:$Q$14,3,FALSE),1,0)</f>
        <v>0</v>
      </c>
      <c r="AR25">
        <f>IF(VLOOKUP(AR$1,main!$A$3:$I$56,5,FALSE)-VLOOKUP($A25,main!$A$3:$I$56,6,FALSE)&gt;=VLOOKUP(55,main!$A$57:$I$59,4,FALSE)+VLOOKUP(VLOOKUP(AR$1,main!$A$3:$I$56,7,FALSE),main!$K$10:$Q$14,3,FALSE),1,0)</f>
        <v>0</v>
      </c>
      <c r="AS25">
        <f>IF(VLOOKUP(AS$1,main!$A$3:$I$56,5,FALSE)-VLOOKUP($A25,main!$A$3:$I$56,6,FALSE)&gt;=VLOOKUP(55,main!$A$57:$I$59,4,FALSE)+VLOOKUP(VLOOKUP(AS$1,main!$A$3:$I$56,7,FALSE),main!$K$10:$Q$14,3,FALSE),1,0)</f>
        <v>0</v>
      </c>
      <c r="AT25">
        <f>IF(VLOOKUP(AT$1,main!$A$3:$I$56,5,FALSE)-VLOOKUP($A25,main!$A$3:$I$56,6,FALSE)&gt;=VLOOKUP(55,main!$A$57:$I$59,4,FALSE)+VLOOKUP(VLOOKUP(AT$1,main!$A$3:$I$56,7,FALSE),main!$K$10:$Q$14,3,FALSE),1,0)</f>
        <v>0</v>
      </c>
      <c r="AU25">
        <f>IF(VLOOKUP(AU$1,main!$A$3:$I$56,5,FALSE)-VLOOKUP($A25,main!$A$3:$I$56,6,FALSE)&gt;=VLOOKUP(55,main!$A$57:$I$59,4,FALSE)+VLOOKUP(VLOOKUP(AU$1,main!$A$3:$I$56,7,FALSE),main!$K$10:$Q$14,3,FALSE),1,0)</f>
        <v>0</v>
      </c>
      <c r="AV25">
        <f>IF(VLOOKUP(AV$1,main!$A$3:$I$56,5,FALSE)-VLOOKUP($A25,main!$A$3:$I$56,6,FALSE)&gt;=VLOOKUP(55,main!$A$57:$I$59,4,FALSE)+VLOOKUP(VLOOKUP(AV$1,main!$A$3:$I$56,7,FALSE),main!$K$10:$Q$14,3,FALSE),1,0)</f>
        <v>0</v>
      </c>
      <c r="AW25">
        <f>IF(VLOOKUP(AW$1,main!$A$3:$I$56,5,FALSE)-VLOOKUP($A25,main!$A$3:$I$56,6,FALSE)&gt;=VLOOKUP(55,main!$A$57:$I$59,4,FALSE)+VLOOKUP(VLOOKUP(AW$1,main!$A$3:$I$56,7,FALSE),main!$K$10:$Q$14,3,FALSE),1,0)</f>
        <v>0</v>
      </c>
      <c r="AX25">
        <f>IF(VLOOKUP(AX$1,main!$A$3:$I$56,5,FALSE)-VLOOKUP($A25,main!$A$3:$I$56,6,FALSE)&gt;=VLOOKUP(55,main!$A$57:$I$59,4,FALSE)+VLOOKUP(VLOOKUP(AX$1,main!$A$3:$I$56,7,FALSE),main!$K$10:$Q$14,3,FALSE),1,0)</f>
        <v>0</v>
      </c>
      <c r="AY25">
        <f>IF(VLOOKUP(AY$1,main!$A$3:$I$56,5,FALSE)-VLOOKUP($A25,main!$A$3:$I$56,6,FALSE)&gt;=VLOOKUP(55,main!$A$57:$I$59,4,FALSE)+VLOOKUP(VLOOKUP(AY$1,main!$A$3:$I$56,7,FALSE),main!$K$10:$Q$14,3,FALSE),1,0)</f>
        <v>1</v>
      </c>
      <c r="AZ25">
        <f>IF(VLOOKUP(AZ$1,main!$A$3:$I$56,5,FALSE)-VLOOKUP($A25,main!$A$3:$I$56,6,FALSE)&gt;=VLOOKUP(55,main!$A$57:$I$59,4,FALSE)+VLOOKUP(VLOOKUP(AZ$1,main!$A$3:$I$56,7,FALSE),main!$K$10:$Q$14,3,FALSE),1,0)</f>
        <v>0</v>
      </c>
      <c r="BA25">
        <f>IF(VLOOKUP(BA$1,main!$A$3:$I$56,5,FALSE)-VLOOKUP($A25,main!$A$3:$I$56,6,FALSE)&gt;=VLOOKUP(55,main!$A$57:$I$59,4,FALSE)+VLOOKUP(VLOOKUP(BA$1,main!$A$3:$I$56,7,FALSE),main!$K$10:$Q$14,3,FALSE),1,0)</f>
        <v>0</v>
      </c>
      <c r="BB25">
        <f>IF(VLOOKUP(BB$1,main!$A$3:$I$56,5,FALSE)-VLOOKUP($A25,main!$A$3:$I$56,6,FALSE)&gt;=VLOOKUP(55,main!$A$57:$I$59,4,FALSE)+VLOOKUP(VLOOKUP(BB$1,main!$A$3:$I$56,7,FALSE),main!$K$10:$Q$14,3,FALSE),1,0)</f>
        <v>0</v>
      </c>
      <c r="BC25">
        <f>IF(VLOOKUP(BC$1,main!$A$3:$I$56,5,FALSE)-VLOOKUP($A25,main!$A$3:$I$56,6,FALSE)&gt;=VLOOKUP(55,main!$A$57:$I$59,4,FALSE)+VLOOKUP(VLOOKUP(BC$1,main!$A$3:$I$56,7,FALSE),main!$K$10:$Q$14,3,FALSE),1,0)</f>
        <v>0</v>
      </c>
      <c r="BD25">
        <f>IF(VLOOKUP(BD$1,main!$A$3:$I$56,5,FALSE)-VLOOKUP($A25,main!$A$3:$I$56,6,FALSE)&gt;=VLOOKUP(55,main!$A$57:$I$59,4,FALSE)+VLOOKUP(VLOOKUP(BD$1,main!$A$3:$I$56,7,FALSE),main!$K$10:$Q$14,3,FALSE),1,0)</f>
        <v>0</v>
      </c>
    </row>
    <row r="26" spans="1:56" x14ac:dyDescent="0.25">
      <c r="A26">
        <f t="shared" si="0"/>
        <v>24</v>
      </c>
      <c r="B26">
        <v>0</v>
      </c>
      <c r="C26">
        <f>IF(VLOOKUP(C$1,main!$A$3:$I$56,5,FALSE)-VLOOKUP($A26,main!$A$3:$I$56,6,FALSE)&gt;=VLOOKUP(55,main!$A$57:$I$59,4,FALSE)+VLOOKUP(VLOOKUP(C$1,main!$A$3:$I$56,7,FALSE),main!$K$10:$Q$14,3,FALSE),1,0)</f>
        <v>0</v>
      </c>
      <c r="D26">
        <f>IF(VLOOKUP(D$1,main!$A$3:$I$56,5,FALSE)-VLOOKUP($A26,main!$A$3:$I$56,6,FALSE)&gt;=VLOOKUP(55,main!$A$57:$I$59,4,FALSE)+VLOOKUP(VLOOKUP(D$1,main!$A$3:$I$56,7,FALSE),main!$K$10:$Q$14,3,FALSE),1,0)</f>
        <v>0</v>
      </c>
      <c r="E26">
        <f>IF(VLOOKUP(E$1,main!$A$3:$I$56,5,FALSE)-VLOOKUP($A26,main!$A$3:$I$56,6,FALSE)&gt;=VLOOKUP(55,main!$A$57:$I$59,4,FALSE)+VLOOKUP(VLOOKUP(E$1,main!$A$3:$I$56,7,FALSE),main!$K$10:$Q$14,3,FALSE),1,0)</f>
        <v>0</v>
      </c>
      <c r="F26">
        <f>IF(VLOOKUP(F$1,main!$A$3:$I$56,5,FALSE)-VLOOKUP($A26,main!$A$3:$I$56,6,FALSE)&gt;=VLOOKUP(55,main!$A$57:$I$59,4,FALSE)+VLOOKUP(VLOOKUP(F$1,main!$A$3:$I$56,7,FALSE),main!$K$10:$Q$14,3,FALSE),1,0)</f>
        <v>0</v>
      </c>
      <c r="G26">
        <f>IF(VLOOKUP(G$1,main!$A$3:$I$56,5,FALSE)-VLOOKUP($A26,main!$A$3:$I$56,6,FALSE)&gt;=VLOOKUP(55,main!$A$57:$I$59,4,FALSE)+VLOOKUP(VLOOKUP(G$1,main!$A$3:$I$56,7,FALSE),main!$K$10:$Q$14,3,FALSE),1,0)</f>
        <v>0</v>
      </c>
      <c r="H26">
        <f>IF(VLOOKUP(H$1,main!$A$3:$I$56,5,FALSE)-VLOOKUP($A26,main!$A$3:$I$56,6,FALSE)&gt;=VLOOKUP(55,main!$A$57:$I$59,4,FALSE)+VLOOKUP(VLOOKUP(H$1,main!$A$3:$I$56,7,FALSE),main!$K$10:$Q$14,3,FALSE),1,0)</f>
        <v>0</v>
      </c>
      <c r="I26">
        <f>IF(VLOOKUP(I$1,main!$A$3:$I$56,5,FALSE)-VLOOKUP($A26,main!$A$3:$I$56,6,FALSE)&gt;=VLOOKUP(55,main!$A$57:$I$59,4,FALSE)+VLOOKUP(VLOOKUP(I$1,main!$A$3:$I$56,7,FALSE),main!$K$10:$Q$14,3,FALSE),1,0)</f>
        <v>0</v>
      </c>
      <c r="J26">
        <f>IF(VLOOKUP(J$1,main!$A$3:$I$56,5,FALSE)-VLOOKUP($A26,main!$A$3:$I$56,6,FALSE)&gt;=VLOOKUP(55,main!$A$57:$I$59,4,FALSE)+VLOOKUP(VLOOKUP(J$1,main!$A$3:$I$56,7,FALSE),main!$K$10:$Q$14,3,FALSE),1,0)</f>
        <v>0</v>
      </c>
      <c r="K26">
        <f>IF(VLOOKUP(K$1,main!$A$3:$I$56,5,FALSE)-VLOOKUP($A26,main!$A$3:$I$56,6,FALSE)&gt;=VLOOKUP(55,main!$A$57:$I$59,4,FALSE)+VLOOKUP(VLOOKUP(K$1,main!$A$3:$I$56,7,FALSE),main!$K$10:$Q$14,3,FALSE),1,0)</f>
        <v>0</v>
      </c>
      <c r="L26">
        <f>IF(VLOOKUP(L$1,main!$A$3:$I$56,5,FALSE)-VLOOKUP($A26,main!$A$3:$I$56,6,FALSE)&gt;=VLOOKUP(55,main!$A$57:$I$59,4,FALSE)+VLOOKUP(VLOOKUP(L$1,main!$A$3:$I$56,7,FALSE),main!$K$10:$Q$14,3,FALSE),1,0)</f>
        <v>0</v>
      </c>
      <c r="M26">
        <f>IF(VLOOKUP(M$1,main!$A$3:$I$56,5,FALSE)-VLOOKUP($A26,main!$A$3:$I$56,6,FALSE)&gt;=VLOOKUP(55,main!$A$57:$I$59,4,FALSE)+VLOOKUP(VLOOKUP(M$1,main!$A$3:$I$56,7,FALSE),main!$K$10:$Q$14,3,FALSE),1,0)</f>
        <v>0</v>
      </c>
      <c r="N26">
        <f>IF(VLOOKUP(N$1,main!$A$3:$I$56,5,FALSE)-VLOOKUP($A26,main!$A$3:$I$56,6,FALSE)&gt;=VLOOKUP(55,main!$A$57:$I$59,4,FALSE)+VLOOKUP(VLOOKUP(N$1,main!$A$3:$I$56,7,FALSE),main!$K$10:$Q$14,3,FALSE),1,0)</f>
        <v>0</v>
      </c>
      <c r="O26">
        <f>IF(VLOOKUP(O$1,main!$A$3:$I$56,5,FALSE)-VLOOKUP($A26,main!$A$3:$I$56,6,FALSE)&gt;=VLOOKUP(55,main!$A$57:$I$59,4,FALSE)+VLOOKUP(VLOOKUP(O$1,main!$A$3:$I$56,7,FALSE),main!$K$10:$Q$14,3,FALSE),1,0)</f>
        <v>1</v>
      </c>
      <c r="P26">
        <f>IF(VLOOKUP(P$1,main!$A$3:$I$56,5,FALSE)-VLOOKUP($A26,main!$A$3:$I$56,6,FALSE)&gt;=VLOOKUP(55,main!$A$57:$I$59,4,FALSE)+VLOOKUP(VLOOKUP(P$1,main!$A$3:$I$56,7,FALSE),main!$K$10:$Q$14,3,FALSE),1,0)</f>
        <v>0</v>
      </c>
      <c r="Q26">
        <f>IF(VLOOKUP(Q$1,main!$A$3:$I$56,5,FALSE)-VLOOKUP($A26,main!$A$3:$I$56,6,FALSE)&gt;=VLOOKUP(55,main!$A$57:$I$59,4,FALSE)+VLOOKUP(VLOOKUP(Q$1,main!$A$3:$I$56,7,FALSE),main!$K$10:$Q$14,3,FALSE),1,0)</f>
        <v>0</v>
      </c>
      <c r="R26">
        <f>IF(VLOOKUP(R$1,main!$A$3:$I$56,5,FALSE)-VLOOKUP($A26,main!$A$3:$I$56,6,FALSE)&gt;=VLOOKUP(55,main!$A$57:$I$59,4,FALSE)+VLOOKUP(VLOOKUP(R$1,main!$A$3:$I$56,7,FALSE),main!$K$10:$Q$14,3,FALSE),1,0)</f>
        <v>0</v>
      </c>
      <c r="S26">
        <f>IF(VLOOKUP(S$1,main!$A$3:$I$56,5,FALSE)-VLOOKUP($A26,main!$A$3:$I$56,6,FALSE)&gt;=VLOOKUP(55,main!$A$57:$I$59,4,FALSE)+VLOOKUP(VLOOKUP(S$1,main!$A$3:$I$56,7,FALSE),main!$K$10:$Q$14,3,FALSE),1,0)</f>
        <v>0</v>
      </c>
      <c r="T26">
        <f>IF(VLOOKUP(T$1,main!$A$3:$I$56,5,FALSE)-VLOOKUP($A26,main!$A$3:$I$56,6,FALSE)&gt;=VLOOKUP(55,main!$A$57:$I$59,4,FALSE)+VLOOKUP(VLOOKUP(T$1,main!$A$3:$I$56,7,FALSE),main!$K$10:$Q$14,3,FALSE),1,0)</f>
        <v>0</v>
      </c>
      <c r="U26">
        <f>IF(VLOOKUP(U$1,main!$A$3:$I$56,5,FALSE)-VLOOKUP($A26,main!$A$3:$I$56,6,FALSE)&gt;=VLOOKUP(55,main!$A$57:$I$59,4,FALSE)+VLOOKUP(VLOOKUP(U$1,main!$A$3:$I$56,7,FALSE),main!$K$10:$Q$14,3,FALSE),1,0)</f>
        <v>0</v>
      </c>
      <c r="V26">
        <f>IF(VLOOKUP(V$1,main!$A$3:$I$56,5,FALSE)-VLOOKUP($A26,main!$A$3:$I$56,6,FALSE)&gt;=VLOOKUP(55,main!$A$57:$I$59,4,FALSE)+VLOOKUP(VLOOKUP(V$1,main!$A$3:$I$56,7,FALSE),main!$K$10:$Q$14,3,FALSE),1,0)</f>
        <v>0</v>
      </c>
      <c r="W26">
        <f>IF(VLOOKUP(W$1,main!$A$3:$I$56,5,FALSE)-VLOOKUP($A26,main!$A$3:$I$56,6,FALSE)&gt;=VLOOKUP(55,main!$A$57:$I$59,4,FALSE)+VLOOKUP(VLOOKUP(W$1,main!$A$3:$I$56,7,FALSE),main!$K$10:$Q$14,3,FALSE),1,0)</f>
        <v>0</v>
      </c>
      <c r="X26">
        <f>IF(VLOOKUP(X$1,main!$A$3:$I$56,5,FALSE)-VLOOKUP($A26,main!$A$3:$I$56,6,FALSE)&gt;=VLOOKUP(55,main!$A$57:$I$59,4,FALSE)+VLOOKUP(VLOOKUP(X$1,main!$A$3:$I$56,7,FALSE),main!$K$10:$Q$14,3,FALSE),1,0)</f>
        <v>0</v>
      </c>
      <c r="Y26">
        <f>IF(VLOOKUP(Y$1,main!$A$3:$I$56,5,FALSE)-VLOOKUP($A26,main!$A$3:$I$56,6,FALSE)&gt;=VLOOKUP(55,main!$A$57:$I$59,4,FALSE)+VLOOKUP(VLOOKUP(Y$1,main!$A$3:$I$56,7,FALSE),main!$K$10:$Q$14,3,FALSE),1,0)</f>
        <v>0</v>
      </c>
      <c r="Z26">
        <f>IF(VLOOKUP(Z$1,main!$A$3:$I$56,5,FALSE)-VLOOKUP($A26,main!$A$3:$I$56,6,FALSE)&gt;=VLOOKUP(55,main!$A$57:$I$59,4,FALSE)+VLOOKUP(VLOOKUP(Z$1,main!$A$3:$I$56,7,FALSE),main!$K$10:$Q$14,3,FALSE),1,0)</f>
        <v>0</v>
      </c>
      <c r="AA26">
        <f>IF(VLOOKUP(AA$1,main!$A$3:$I$56,5,FALSE)-VLOOKUP($A26,main!$A$3:$I$56,6,FALSE)&gt;=VLOOKUP(55,main!$A$57:$I$59,4,FALSE)+VLOOKUP(VLOOKUP(AA$1,main!$A$3:$I$56,7,FALSE),main!$K$10:$Q$14,3,FALSE),1,0)</f>
        <v>0</v>
      </c>
      <c r="AB26">
        <f>IF(VLOOKUP(AB$1,main!$A$3:$I$56,5,FALSE)-VLOOKUP($A26,main!$A$3:$I$56,6,FALSE)&gt;=VLOOKUP(55,main!$A$57:$I$59,4,FALSE)+VLOOKUP(VLOOKUP(AB$1,main!$A$3:$I$56,7,FALSE),main!$K$10:$Q$14,3,FALSE),1,0)</f>
        <v>0</v>
      </c>
      <c r="AC26">
        <f>IF(VLOOKUP(AC$1,main!$A$3:$I$56,5,FALSE)-VLOOKUP($A26,main!$A$3:$I$56,6,FALSE)&gt;=VLOOKUP(55,main!$A$57:$I$59,4,FALSE)+VLOOKUP(VLOOKUP(AC$1,main!$A$3:$I$56,7,FALSE),main!$K$10:$Q$14,3,FALSE),1,0)</f>
        <v>0</v>
      </c>
      <c r="AD26">
        <f>IF(VLOOKUP(AD$1,main!$A$3:$I$56,5,FALSE)-VLOOKUP($A26,main!$A$3:$I$56,6,FALSE)&gt;=VLOOKUP(55,main!$A$57:$I$59,4,FALSE)+VLOOKUP(VLOOKUP(AD$1,main!$A$3:$I$56,7,FALSE),main!$K$10:$Q$14,3,FALSE),1,0)</f>
        <v>0</v>
      </c>
      <c r="AE26">
        <f>IF(VLOOKUP(AE$1,main!$A$3:$I$56,5,FALSE)-VLOOKUP($A26,main!$A$3:$I$56,6,FALSE)&gt;=VLOOKUP(55,main!$A$57:$I$59,4,FALSE)+VLOOKUP(VLOOKUP(AE$1,main!$A$3:$I$56,7,FALSE),main!$K$10:$Q$14,3,FALSE),1,0)</f>
        <v>0</v>
      </c>
      <c r="AF26">
        <f>IF(VLOOKUP(AF$1,main!$A$3:$I$56,5,FALSE)-VLOOKUP($A26,main!$A$3:$I$56,6,FALSE)&gt;=VLOOKUP(55,main!$A$57:$I$59,4,FALSE)+VLOOKUP(VLOOKUP(AF$1,main!$A$3:$I$56,7,FALSE),main!$K$10:$Q$14,3,FALSE),1,0)</f>
        <v>0</v>
      </c>
      <c r="AG26">
        <f>IF(VLOOKUP(AG$1,main!$A$3:$I$56,5,FALSE)-VLOOKUP($A26,main!$A$3:$I$56,6,FALSE)&gt;=VLOOKUP(55,main!$A$57:$I$59,4,FALSE)+VLOOKUP(VLOOKUP(AG$1,main!$A$3:$I$56,7,FALSE),main!$K$10:$Q$14,3,FALSE),1,0)</f>
        <v>0</v>
      </c>
      <c r="AH26">
        <f>IF(VLOOKUP(AH$1,main!$A$3:$I$56,5,FALSE)-VLOOKUP($A26,main!$A$3:$I$56,6,FALSE)&gt;=VLOOKUP(55,main!$A$57:$I$59,4,FALSE)+VLOOKUP(VLOOKUP(AH$1,main!$A$3:$I$56,7,FALSE),main!$K$10:$Q$14,3,FALSE),1,0)</f>
        <v>0</v>
      </c>
      <c r="AI26">
        <f>IF(VLOOKUP(AI$1,main!$A$3:$I$56,5,FALSE)-VLOOKUP($A26,main!$A$3:$I$56,6,FALSE)&gt;=VLOOKUP(55,main!$A$57:$I$59,4,FALSE)+VLOOKUP(VLOOKUP(AI$1,main!$A$3:$I$56,7,FALSE),main!$K$10:$Q$14,3,FALSE),1,0)</f>
        <v>0</v>
      </c>
      <c r="AJ26">
        <f>IF(VLOOKUP(AJ$1,main!$A$3:$I$56,5,FALSE)-VLOOKUP($A26,main!$A$3:$I$56,6,FALSE)&gt;=VLOOKUP(55,main!$A$57:$I$59,4,FALSE)+VLOOKUP(VLOOKUP(AJ$1,main!$A$3:$I$56,7,FALSE),main!$K$10:$Q$14,3,FALSE),1,0)</f>
        <v>0</v>
      </c>
      <c r="AK26">
        <f>IF(VLOOKUP(AK$1,main!$A$3:$I$56,5,FALSE)-VLOOKUP($A26,main!$A$3:$I$56,6,FALSE)&gt;=VLOOKUP(55,main!$A$57:$I$59,4,FALSE)+VLOOKUP(VLOOKUP(AK$1,main!$A$3:$I$56,7,FALSE),main!$K$10:$Q$14,3,FALSE),1,0)</f>
        <v>0</v>
      </c>
      <c r="AL26">
        <f>IF(VLOOKUP(AL$1,main!$A$3:$I$56,5,FALSE)-VLOOKUP($A26,main!$A$3:$I$56,6,FALSE)&gt;=VLOOKUP(55,main!$A$57:$I$59,4,FALSE)+VLOOKUP(VLOOKUP(AL$1,main!$A$3:$I$56,7,FALSE),main!$K$10:$Q$14,3,FALSE),1,0)</f>
        <v>0</v>
      </c>
      <c r="AM26">
        <f>IF(VLOOKUP(AM$1,main!$A$3:$I$56,5,FALSE)-VLOOKUP($A26,main!$A$3:$I$56,6,FALSE)&gt;=VLOOKUP(55,main!$A$57:$I$59,4,FALSE)+VLOOKUP(VLOOKUP(AM$1,main!$A$3:$I$56,7,FALSE),main!$K$10:$Q$14,3,FALSE),1,0)</f>
        <v>0</v>
      </c>
      <c r="AN26">
        <f>IF(VLOOKUP(AN$1,main!$A$3:$I$56,5,FALSE)-VLOOKUP($A26,main!$A$3:$I$56,6,FALSE)&gt;=VLOOKUP(55,main!$A$57:$I$59,4,FALSE)+VLOOKUP(VLOOKUP(AN$1,main!$A$3:$I$56,7,FALSE),main!$K$10:$Q$14,3,FALSE),1,0)</f>
        <v>0</v>
      </c>
      <c r="AO26">
        <f>IF(VLOOKUP(AO$1,main!$A$3:$I$56,5,FALSE)-VLOOKUP($A26,main!$A$3:$I$56,6,FALSE)&gt;=VLOOKUP(55,main!$A$57:$I$59,4,FALSE)+VLOOKUP(VLOOKUP(AO$1,main!$A$3:$I$56,7,FALSE),main!$K$10:$Q$14,3,FALSE),1,0)</f>
        <v>0</v>
      </c>
      <c r="AP26">
        <f>IF(VLOOKUP(AP$1,main!$A$3:$I$56,5,FALSE)-VLOOKUP($A26,main!$A$3:$I$56,6,FALSE)&gt;=VLOOKUP(55,main!$A$57:$I$59,4,FALSE)+VLOOKUP(VLOOKUP(AP$1,main!$A$3:$I$56,7,FALSE),main!$K$10:$Q$14,3,FALSE),1,0)</f>
        <v>0</v>
      </c>
      <c r="AQ26">
        <f>IF(VLOOKUP(AQ$1,main!$A$3:$I$56,5,FALSE)-VLOOKUP($A26,main!$A$3:$I$56,6,FALSE)&gt;=VLOOKUP(55,main!$A$57:$I$59,4,FALSE)+VLOOKUP(VLOOKUP(AQ$1,main!$A$3:$I$56,7,FALSE),main!$K$10:$Q$14,3,FALSE),1,0)</f>
        <v>0</v>
      </c>
      <c r="AR26">
        <f>IF(VLOOKUP(AR$1,main!$A$3:$I$56,5,FALSE)-VLOOKUP($A26,main!$A$3:$I$56,6,FALSE)&gt;=VLOOKUP(55,main!$A$57:$I$59,4,FALSE)+VLOOKUP(VLOOKUP(AR$1,main!$A$3:$I$56,7,FALSE),main!$K$10:$Q$14,3,FALSE),1,0)</f>
        <v>0</v>
      </c>
      <c r="AS26">
        <f>IF(VLOOKUP(AS$1,main!$A$3:$I$56,5,FALSE)-VLOOKUP($A26,main!$A$3:$I$56,6,FALSE)&gt;=VLOOKUP(55,main!$A$57:$I$59,4,FALSE)+VLOOKUP(VLOOKUP(AS$1,main!$A$3:$I$56,7,FALSE),main!$K$10:$Q$14,3,FALSE),1,0)</f>
        <v>0</v>
      </c>
      <c r="AT26">
        <f>IF(VLOOKUP(AT$1,main!$A$3:$I$56,5,FALSE)-VLOOKUP($A26,main!$A$3:$I$56,6,FALSE)&gt;=VLOOKUP(55,main!$A$57:$I$59,4,FALSE)+VLOOKUP(VLOOKUP(AT$1,main!$A$3:$I$56,7,FALSE),main!$K$10:$Q$14,3,FALSE),1,0)</f>
        <v>0</v>
      </c>
      <c r="AU26">
        <f>IF(VLOOKUP(AU$1,main!$A$3:$I$56,5,FALSE)-VLOOKUP($A26,main!$A$3:$I$56,6,FALSE)&gt;=VLOOKUP(55,main!$A$57:$I$59,4,FALSE)+VLOOKUP(VLOOKUP(AU$1,main!$A$3:$I$56,7,FALSE),main!$K$10:$Q$14,3,FALSE),1,0)</f>
        <v>0</v>
      </c>
      <c r="AV26">
        <f>IF(VLOOKUP(AV$1,main!$A$3:$I$56,5,FALSE)-VLOOKUP($A26,main!$A$3:$I$56,6,FALSE)&gt;=VLOOKUP(55,main!$A$57:$I$59,4,FALSE)+VLOOKUP(VLOOKUP(AV$1,main!$A$3:$I$56,7,FALSE),main!$K$10:$Q$14,3,FALSE),1,0)</f>
        <v>0</v>
      </c>
      <c r="AW26">
        <f>IF(VLOOKUP(AW$1,main!$A$3:$I$56,5,FALSE)-VLOOKUP($A26,main!$A$3:$I$56,6,FALSE)&gt;=VLOOKUP(55,main!$A$57:$I$59,4,FALSE)+VLOOKUP(VLOOKUP(AW$1,main!$A$3:$I$56,7,FALSE),main!$K$10:$Q$14,3,FALSE),1,0)</f>
        <v>0</v>
      </c>
      <c r="AX26">
        <f>IF(VLOOKUP(AX$1,main!$A$3:$I$56,5,FALSE)-VLOOKUP($A26,main!$A$3:$I$56,6,FALSE)&gt;=VLOOKUP(55,main!$A$57:$I$59,4,FALSE)+VLOOKUP(VLOOKUP(AX$1,main!$A$3:$I$56,7,FALSE),main!$K$10:$Q$14,3,FALSE),1,0)</f>
        <v>0</v>
      </c>
      <c r="AY26">
        <f>IF(VLOOKUP(AY$1,main!$A$3:$I$56,5,FALSE)-VLOOKUP($A26,main!$A$3:$I$56,6,FALSE)&gt;=VLOOKUP(55,main!$A$57:$I$59,4,FALSE)+VLOOKUP(VLOOKUP(AY$1,main!$A$3:$I$56,7,FALSE),main!$K$10:$Q$14,3,FALSE),1,0)</f>
        <v>0</v>
      </c>
      <c r="AZ26">
        <f>IF(VLOOKUP(AZ$1,main!$A$3:$I$56,5,FALSE)-VLOOKUP($A26,main!$A$3:$I$56,6,FALSE)&gt;=VLOOKUP(55,main!$A$57:$I$59,4,FALSE)+VLOOKUP(VLOOKUP(AZ$1,main!$A$3:$I$56,7,FALSE),main!$K$10:$Q$14,3,FALSE),1,0)</f>
        <v>0</v>
      </c>
      <c r="BA26">
        <f>IF(VLOOKUP(BA$1,main!$A$3:$I$56,5,FALSE)-VLOOKUP($A26,main!$A$3:$I$56,6,FALSE)&gt;=VLOOKUP(55,main!$A$57:$I$59,4,FALSE)+VLOOKUP(VLOOKUP(BA$1,main!$A$3:$I$56,7,FALSE),main!$K$10:$Q$14,3,FALSE),1,0)</f>
        <v>0</v>
      </c>
      <c r="BB26">
        <f>IF(VLOOKUP(BB$1,main!$A$3:$I$56,5,FALSE)-VLOOKUP($A26,main!$A$3:$I$56,6,FALSE)&gt;=VLOOKUP(55,main!$A$57:$I$59,4,FALSE)+VLOOKUP(VLOOKUP(BB$1,main!$A$3:$I$56,7,FALSE),main!$K$10:$Q$14,3,FALSE),1,0)</f>
        <v>0</v>
      </c>
      <c r="BC26">
        <f>IF(VLOOKUP(BC$1,main!$A$3:$I$56,5,FALSE)-VLOOKUP($A26,main!$A$3:$I$56,6,FALSE)&gt;=VLOOKUP(55,main!$A$57:$I$59,4,FALSE)+VLOOKUP(VLOOKUP(BC$1,main!$A$3:$I$56,7,FALSE),main!$K$10:$Q$14,3,FALSE),1,0)</f>
        <v>0</v>
      </c>
      <c r="BD26">
        <f>IF(VLOOKUP(BD$1,main!$A$3:$I$56,5,FALSE)-VLOOKUP($A26,main!$A$3:$I$56,6,FALSE)&gt;=VLOOKUP(55,main!$A$57:$I$59,4,FALSE)+VLOOKUP(VLOOKUP(BD$1,main!$A$3:$I$56,7,FALSE),main!$K$10:$Q$14,3,FALSE),1,0)</f>
        <v>0</v>
      </c>
    </row>
    <row r="27" spans="1:56" x14ac:dyDescent="0.25">
      <c r="A27">
        <f t="shared" si="0"/>
        <v>25</v>
      </c>
      <c r="B27">
        <v>0</v>
      </c>
      <c r="C27">
        <f>IF(VLOOKUP(C$1,main!$A$3:$I$56,5,FALSE)-VLOOKUP($A27,main!$A$3:$I$56,6,FALSE)&gt;=VLOOKUP(55,main!$A$57:$I$59,4,FALSE)+VLOOKUP(VLOOKUP(C$1,main!$A$3:$I$56,7,FALSE),main!$K$10:$Q$14,3,FALSE),1,0)</f>
        <v>0</v>
      </c>
      <c r="D27">
        <f>IF(VLOOKUP(D$1,main!$A$3:$I$56,5,FALSE)-VLOOKUP($A27,main!$A$3:$I$56,6,FALSE)&gt;=VLOOKUP(55,main!$A$57:$I$59,4,FALSE)+VLOOKUP(VLOOKUP(D$1,main!$A$3:$I$56,7,FALSE),main!$K$10:$Q$14,3,FALSE),1,0)</f>
        <v>0</v>
      </c>
      <c r="E27">
        <f>IF(VLOOKUP(E$1,main!$A$3:$I$56,5,FALSE)-VLOOKUP($A27,main!$A$3:$I$56,6,FALSE)&gt;=VLOOKUP(55,main!$A$57:$I$59,4,FALSE)+VLOOKUP(VLOOKUP(E$1,main!$A$3:$I$56,7,FALSE),main!$K$10:$Q$14,3,FALSE),1,0)</f>
        <v>0</v>
      </c>
      <c r="F27">
        <f>IF(VLOOKUP(F$1,main!$A$3:$I$56,5,FALSE)-VLOOKUP($A27,main!$A$3:$I$56,6,FALSE)&gt;=VLOOKUP(55,main!$A$57:$I$59,4,FALSE)+VLOOKUP(VLOOKUP(F$1,main!$A$3:$I$56,7,FALSE),main!$K$10:$Q$14,3,FALSE),1,0)</f>
        <v>0</v>
      </c>
      <c r="G27">
        <f>IF(VLOOKUP(G$1,main!$A$3:$I$56,5,FALSE)-VLOOKUP($A27,main!$A$3:$I$56,6,FALSE)&gt;=VLOOKUP(55,main!$A$57:$I$59,4,FALSE)+VLOOKUP(VLOOKUP(G$1,main!$A$3:$I$56,7,FALSE),main!$K$10:$Q$14,3,FALSE),1,0)</f>
        <v>0</v>
      </c>
      <c r="H27">
        <f>IF(VLOOKUP(H$1,main!$A$3:$I$56,5,FALSE)-VLOOKUP($A27,main!$A$3:$I$56,6,FALSE)&gt;=VLOOKUP(55,main!$A$57:$I$59,4,FALSE)+VLOOKUP(VLOOKUP(H$1,main!$A$3:$I$56,7,FALSE),main!$K$10:$Q$14,3,FALSE),1,0)</f>
        <v>0</v>
      </c>
      <c r="I27">
        <f>IF(VLOOKUP(I$1,main!$A$3:$I$56,5,FALSE)-VLOOKUP($A27,main!$A$3:$I$56,6,FALSE)&gt;=VLOOKUP(55,main!$A$57:$I$59,4,FALSE)+VLOOKUP(VLOOKUP(I$1,main!$A$3:$I$56,7,FALSE),main!$K$10:$Q$14,3,FALSE),1,0)</f>
        <v>0</v>
      </c>
      <c r="J27">
        <f>IF(VLOOKUP(J$1,main!$A$3:$I$56,5,FALSE)-VLOOKUP($A27,main!$A$3:$I$56,6,FALSE)&gt;=VLOOKUP(55,main!$A$57:$I$59,4,FALSE)+VLOOKUP(VLOOKUP(J$1,main!$A$3:$I$56,7,FALSE),main!$K$10:$Q$14,3,FALSE),1,0)</f>
        <v>0</v>
      </c>
      <c r="K27">
        <f>IF(VLOOKUP(K$1,main!$A$3:$I$56,5,FALSE)-VLOOKUP($A27,main!$A$3:$I$56,6,FALSE)&gt;=VLOOKUP(55,main!$A$57:$I$59,4,FALSE)+VLOOKUP(VLOOKUP(K$1,main!$A$3:$I$56,7,FALSE),main!$K$10:$Q$14,3,FALSE),1,0)</f>
        <v>0</v>
      </c>
      <c r="L27">
        <f>IF(VLOOKUP(L$1,main!$A$3:$I$56,5,FALSE)-VLOOKUP($A27,main!$A$3:$I$56,6,FALSE)&gt;=VLOOKUP(55,main!$A$57:$I$59,4,FALSE)+VLOOKUP(VLOOKUP(L$1,main!$A$3:$I$56,7,FALSE),main!$K$10:$Q$14,3,FALSE),1,0)</f>
        <v>0</v>
      </c>
      <c r="M27">
        <f>IF(VLOOKUP(M$1,main!$A$3:$I$56,5,FALSE)-VLOOKUP($A27,main!$A$3:$I$56,6,FALSE)&gt;=VLOOKUP(55,main!$A$57:$I$59,4,FALSE)+VLOOKUP(VLOOKUP(M$1,main!$A$3:$I$56,7,FALSE),main!$K$10:$Q$14,3,FALSE),1,0)</f>
        <v>0</v>
      </c>
      <c r="N27">
        <f>IF(VLOOKUP(N$1,main!$A$3:$I$56,5,FALSE)-VLOOKUP($A27,main!$A$3:$I$56,6,FALSE)&gt;=VLOOKUP(55,main!$A$57:$I$59,4,FALSE)+VLOOKUP(VLOOKUP(N$1,main!$A$3:$I$56,7,FALSE),main!$K$10:$Q$14,3,FALSE),1,0)</f>
        <v>0</v>
      </c>
      <c r="O27">
        <f>IF(VLOOKUP(O$1,main!$A$3:$I$56,5,FALSE)-VLOOKUP($A27,main!$A$3:$I$56,6,FALSE)&gt;=VLOOKUP(55,main!$A$57:$I$59,4,FALSE)+VLOOKUP(VLOOKUP(O$1,main!$A$3:$I$56,7,FALSE),main!$K$10:$Q$14,3,FALSE),1,0)</f>
        <v>0</v>
      </c>
      <c r="P27">
        <f>IF(VLOOKUP(P$1,main!$A$3:$I$56,5,FALSE)-VLOOKUP($A27,main!$A$3:$I$56,6,FALSE)&gt;=VLOOKUP(55,main!$A$57:$I$59,4,FALSE)+VLOOKUP(VLOOKUP(P$1,main!$A$3:$I$56,7,FALSE),main!$K$10:$Q$14,3,FALSE),1,0)</f>
        <v>0</v>
      </c>
      <c r="Q27">
        <f>IF(VLOOKUP(Q$1,main!$A$3:$I$56,5,FALSE)-VLOOKUP($A27,main!$A$3:$I$56,6,FALSE)&gt;=VLOOKUP(55,main!$A$57:$I$59,4,FALSE)+VLOOKUP(VLOOKUP(Q$1,main!$A$3:$I$56,7,FALSE),main!$K$10:$Q$14,3,FALSE),1,0)</f>
        <v>0</v>
      </c>
      <c r="R27">
        <f>IF(VLOOKUP(R$1,main!$A$3:$I$56,5,FALSE)-VLOOKUP($A27,main!$A$3:$I$56,6,FALSE)&gt;=VLOOKUP(55,main!$A$57:$I$59,4,FALSE)+VLOOKUP(VLOOKUP(R$1,main!$A$3:$I$56,7,FALSE),main!$K$10:$Q$14,3,FALSE),1,0)</f>
        <v>0</v>
      </c>
      <c r="S27">
        <f>IF(VLOOKUP(S$1,main!$A$3:$I$56,5,FALSE)-VLOOKUP($A27,main!$A$3:$I$56,6,FALSE)&gt;=VLOOKUP(55,main!$A$57:$I$59,4,FALSE)+VLOOKUP(VLOOKUP(S$1,main!$A$3:$I$56,7,FALSE),main!$K$10:$Q$14,3,FALSE),1,0)</f>
        <v>0</v>
      </c>
      <c r="T27">
        <f>IF(VLOOKUP(T$1,main!$A$3:$I$56,5,FALSE)-VLOOKUP($A27,main!$A$3:$I$56,6,FALSE)&gt;=VLOOKUP(55,main!$A$57:$I$59,4,FALSE)+VLOOKUP(VLOOKUP(T$1,main!$A$3:$I$56,7,FALSE),main!$K$10:$Q$14,3,FALSE),1,0)</f>
        <v>0</v>
      </c>
      <c r="U27">
        <f>IF(VLOOKUP(U$1,main!$A$3:$I$56,5,FALSE)-VLOOKUP($A27,main!$A$3:$I$56,6,FALSE)&gt;=VLOOKUP(55,main!$A$57:$I$59,4,FALSE)+VLOOKUP(VLOOKUP(U$1,main!$A$3:$I$56,7,FALSE),main!$K$10:$Q$14,3,FALSE),1,0)</f>
        <v>0</v>
      </c>
      <c r="V27">
        <f>IF(VLOOKUP(V$1,main!$A$3:$I$56,5,FALSE)-VLOOKUP($A27,main!$A$3:$I$56,6,FALSE)&gt;=VLOOKUP(55,main!$A$57:$I$59,4,FALSE)+VLOOKUP(VLOOKUP(V$1,main!$A$3:$I$56,7,FALSE),main!$K$10:$Q$14,3,FALSE),1,0)</f>
        <v>0</v>
      </c>
      <c r="W27">
        <f>IF(VLOOKUP(W$1,main!$A$3:$I$56,5,FALSE)-VLOOKUP($A27,main!$A$3:$I$56,6,FALSE)&gt;=VLOOKUP(55,main!$A$57:$I$59,4,FALSE)+VLOOKUP(VLOOKUP(W$1,main!$A$3:$I$56,7,FALSE),main!$K$10:$Q$14,3,FALSE),1,0)</f>
        <v>0</v>
      </c>
      <c r="X27">
        <f>IF(VLOOKUP(X$1,main!$A$3:$I$56,5,FALSE)-VLOOKUP($A27,main!$A$3:$I$56,6,FALSE)&gt;=VLOOKUP(55,main!$A$57:$I$59,4,FALSE)+VLOOKUP(VLOOKUP(X$1,main!$A$3:$I$56,7,FALSE),main!$K$10:$Q$14,3,FALSE),1,0)</f>
        <v>0</v>
      </c>
      <c r="Y27">
        <f>IF(VLOOKUP(Y$1,main!$A$3:$I$56,5,FALSE)-VLOOKUP($A27,main!$A$3:$I$56,6,FALSE)&gt;=VLOOKUP(55,main!$A$57:$I$59,4,FALSE)+VLOOKUP(VLOOKUP(Y$1,main!$A$3:$I$56,7,FALSE),main!$K$10:$Q$14,3,FALSE),1,0)</f>
        <v>0</v>
      </c>
      <c r="Z27">
        <f>IF(VLOOKUP(Z$1,main!$A$3:$I$56,5,FALSE)-VLOOKUP($A27,main!$A$3:$I$56,6,FALSE)&gt;=VLOOKUP(55,main!$A$57:$I$59,4,FALSE)+VLOOKUP(VLOOKUP(Z$1,main!$A$3:$I$56,7,FALSE),main!$K$10:$Q$14,3,FALSE),1,0)</f>
        <v>0</v>
      </c>
      <c r="AA27">
        <f>IF(VLOOKUP(AA$1,main!$A$3:$I$56,5,FALSE)-VLOOKUP($A27,main!$A$3:$I$56,6,FALSE)&gt;=VLOOKUP(55,main!$A$57:$I$59,4,FALSE)+VLOOKUP(VLOOKUP(AA$1,main!$A$3:$I$56,7,FALSE),main!$K$10:$Q$14,3,FALSE),1,0)</f>
        <v>0</v>
      </c>
      <c r="AB27">
        <f>IF(VLOOKUP(AB$1,main!$A$3:$I$56,5,FALSE)-VLOOKUP($A27,main!$A$3:$I$56,6,FALSE)&gt;=VLOOKUP(55,main!$A$57:$I$59,4,FALSE)+VLOOKUP(VLOOKUP(AB$1,main!$A$3:$I$56,7,FALSE),main!$K$10:$Q$14,3,FALSE),1,0)</f>
        <v>0</v>
      </c>
      <c r="AC27">
        <f>IF(VLOOKUP(AC$1,main!$A$3:$I$56,5,FALSE)-VLOOKUP($A27,main!$A$3:$I$56,6,FALSE)&gt;=VLOOKUP(55,main!$A$57:$I$59,4,FALSE)+VLOOKUP(VLOOKUP(AC$1,main!$A$3:$I$56,7,FALSE),main!$K$10:$Q$14,3,FALSE),1,0)</f>
        <v>0</v>
      </c>
      <c r="AD27">
        <f>IF(VLOOKUP(AD$1,main!$A$3:$I$56,5,FALSE)-VLOOKUP($A27,main!$A$3:$I$56,6,FALSE)&gt;=VLOOKUP(55,main!$A$57:$I$59,4,FALSE)+VLOOKUP(VLOOKUP(AD$1,main!$A$3:$I$56,7,FALSE),main!$K$10:$Q$14,3,FALSE),1,0)</f>
        <v>0</v>
      </c>
      <c r="AE27">
        <f>IF(VLOOKUP(AE$1,main!$A$3:$I$56,5,FALSE)-VLOOKUP($A27,main!$A$3:$I$56,6,FALSE)&gt;=VLOOKUP(55,main!$A$57:$I$59,4,FALSE)+VLOOKUP(VLOOKUP(AE$1,main!$A$3:$I$56,7,FALSE),main!$K$10:$Q$14,3,FALSE),1,0)</f>
        <v>0</v>
      </c>
      <c r="AF27">
        <f>IF(VLOOKUP(AF$1,main!$A$3:$I$56,5,FALSE)-VLOOKUP($A27,main!$A$3:$I$56,6,FALSE)&gt;=VLOOKUP(55,main!$A$57:$I$59,4,FALSE)+VLOOKUP(VLOOKUP(AF$1,main!$A$3:$I$56,7,FALSE),main!$K$10:$Q$14,3,FALSE),1,0)</f>
        <v>0</v>
      </c>
      <c r="AG27">
        <f>IF(VLOOKUP(AG$1,main!$A$3:$I$56,5,FALSE)-VLOOKUP($A27,main!$A$3:$I$56,6,FALSE)&gt;=VLOOKUP(55,main!$A$57:$I$59,4,FALSE)+VLOOKUP(VLOOKUP(AG$1,main!$A$3:$I$56,7,FALSE),main!$K$10:$Q$14,3,FALSE),1,0)</f>
        <v>0</v>
      </c>
      <c r="AH27">
        <f>IF(VLOOKUP(AH$1,main!$A$3:$I$56,5,FALSE)-VLOOKUP($A27,main!$A$3:$I$56,6,FALSE)&gt;=VLOOKUP(55,main!$A$57:$I$59,4,FALSE)+VLOOKUP(VLOOKUP(AH$1,main!$A$3:$I$56,7,FALSE),main!$K$10:$Q$14,3,FALSE),1,0)</f>
        <v>0</v>
      </c>
      <c r="AI27">
        <f>IF(VLOOKUP(AI$1,main!$A$3:$I$56,5,FALSE)-VLOOKUP($A27,main!$A$3:$I$56,6,FALSE)&gt;=VLOOKUP(55,main!$A$57:$I$59,4,FALSE)+VLOOKUP(VLOOKUP(AI$1,main!$A$3:$I$56,7,FALSE),main!$K$10:$Q$14,3,FALSE),1,0)</f>
        <v>0</v>
      </c>
      <c r="AJ27">
        <f>IF(VLOOKUP(AJ$1,main!$A$3:$I$56,5,FALSE)-VLOOKUP($A27,main!$A$3:$I$56,6,FALSE)&gt;=VLOOKUP(55,main!$A$57:$I$59,4,FALSE)+VLOOKUP(VLOOKUP(AJ$1,main!$A$3:$I$56,7,FALSE),main!$K$10:$Q$14,3,FALSE),1,0)</f>
        <v>0</v>
      </c>
      <c r="AK27">
        <f>IF(VLOOKUP(AK$1,main!$A$3:$I$56,5,FALSE)-VLOOKUP($A27,main!$A$3:$I$56,6,FALSE)&gt;=VLOOKUP(55,main!$A$57:$I$59,4,FALSE)+VLOOKUP(VLOOKUP(AK$1,main!$A$3:$I$56,7,FALSE),main!$K$10:$Q$14,3,FALSE),1,0)</f>
        <v>0</v>
      </c>
      <c r="AL27">
        <f>IF(VLOOKUP(AL$1,main!$A$3:$I$56,5,FALSE)-VLOOKUP($A27,main!$A$3:$I$56,6,FALSE)&gt;=VLOOKUP(55,main!$A$57:$I$59,4,FALSE)+VLOOKUP(VLOOKUP(AL$1,main!$A$3:$I$56,7,FALSE),main!$K$10:$Q$14,3,FALSE),1,0)</f>
        <v>0</v>
      </c>
      <c r="AM27">
        <f>IF(VLOOKUP(AM$1,main!$A$3:$I$56,5,FALSE)-VLOOKUP($A27,main!$A$3:$I$56,6,FALSE)&gt;=VLOOKUP(55,main!$A$57:$I$59,4,FALSE)+VLOOKUP(VLOOKUP(AM$1,main!$A$3:$I$56,7,FALSE),main!$K$10:$Q$14,3,FALSE),1,0)</f>
        <v>0</v>
      </c>
      <c r="AN27">
        <f>IF(VLOOKUP(AN$1,main!$A$3:$I$56,5,FALSE)-VLOOKUP($A27,main!$A$3:$I$56,6,FALSE)&gt;=VLOOKUP(55,main!$A$57:$I$59,4,FALSE)+VLOOKUP(VLOOKUP(AN$1,main!$A$3:$I$56,7,FALSE),main!$K$10:$Q$14,3,FALSE),1,0)</f>
        <v>0</v>
      </c>
      <c r="AO27">
        <f>IF(VLOOKUP(AO$1,main!$A$3:$I$56,5,FALSE)-VLOOKUP($A27,main!$A$3:$I$56,6,FALSE)&gt;=VLOOKUP(55,main!$A$57:$I$59,4,FALSE)+VLOOKUP(VLOOKUP(AO$1,main!$A$3:$I$56,7,FALSE),main!$K$10:$Q$14,3,FALSE),1,0)</f>
        <v>0</v>
      </c>
      <c r="AP27">
        <f>IF(VLOOKUP(AP$1,main!$A$3:$I$56,5,FALSE)-VLOOKUP($A27,main!$A$3:$I$56,6,FALSE)&gt;=VLOOKUP(55,main!$A$57:$I$59,4,FALSE)+VLOOKUP(VLOOKUP(AP$1,main!$A$3:$I$56,7,FALSE),main!$K$10:$Q$14,3,FALSE),1,0)</f>
        <v>0</v>
      </c>
      <c r="AQ27">
        <f>IF(VLOOKUP(AQ$1,main!$A$3:$I$56,5,FALSE)-VLOOKUP($A27,main!$A$3:$I$56,6,FALSE)&gt;=VLOOKUP(55,main!$A$57:$I$59,4,FALSE)+VLOOKUP(VLOOKUP(AQ$1,main!$A$3:$I$56,7,FALSE),main!$K$10:$Q$14,3,FALSE),1,0)</f>
        <v>0</v>
      </c>
      <c r="AR27">
        <f>IF(VLOOKUP(AR$1,main!$A$3:$I$56,5,FALSE)-VLOOKUP($A27,main!$A$3:$I$56,6,FALSE)&gt;=VLOOKUP(55,main!$A$57:$I$59,4,FALSE)+VLOOKUP(VLOOKUP(AR$1,main!$A$3:$I$56,7,FALSE),main!$K$10:$Q$14,3,FALSE),1,0)</f>
        <v>0</v>
      </c>
      <c r="AS27">
        <f>IF(VLOOKUP(AS$1,main!$A$3:$I$56,5,FALSE)-VLOOKUP($A27,main!$A$3:$I$56,6,FALSE)&gt;=VLOOKUP(55,main!$A$57:$I$59,4,FALSE)+VLOOKUP(VLOOKUP(AS$1,main!$A$3:$I$56,7,FALSE),main!$K$10:$Q$14,3,FALSE),1,0)</f>
        <v>0</v>
      </c>
      <c r="AT27">
        <f>IF(VLOOKUP(AT$1,main!$A$3:$I$56,5,FALSE)-VLOOKUP($A27,main!$A$3:$I$56,6,FALSE)&gt;=VLOOKUP(55,main!$A$57:$I$59,4,FALSE)+VLOOKUP(VLOOKUP(AT$1,main!$A$3:$I$56,7,FALSE),main!$K$10:$Q$14,3,FALSE),1,0)</f>
        <v>0</v>
      </c>
      <c r="AU27">
        <f>IF(VLOOKUP(AU$1,main!$A$3:$I$56,5,FALSE)-VLOOKUP($A27,main!$A$3:$I$56,6,FALSE)&gt;=VLOOKUP(55,main!$A$57:$I$59,4,FALSE)+VLOOKUP(VLOOKUP(AU$1,main!$A$3:$I$56,7,FALSE),main!$K$10:$Q$14,3,FALSE),1,0)</f>
        <v>0</v>
      </c>
      <c r="AV27">
        <f>IF(VLOOKUP(AV$1,main!$A$3:$I$56,5,FALSE)-VLOOKUP($A27,main!$A$3:$I$56,6,FALSE)&gt;=VLOOKUP(55,main!$A$57:$I$59,4,FALSE)+VLOOKUP(VLOOKUP(AV$1,main!$A$3:$I$56,7,FALSE),main!$K$10:$Q$14,3,FALSE),1,0)</f>
        <v>0</v>
      </c>
      <c r="AW27">
        <f>IF(VLOOKUP(AW$1,main!$A$3:$I$56,5,FALSE)-VLOOKUP($A27,main!$A$3:$I$56,6,FALSE)&gt;=VLOOKUP(55,main!$A$57:$I$59,4,FALSE)+VLOOKUP(VLOOKUP(AW$1,main!$A$3:$I$56,7,FALSE),main!$K$10:$Q$14,3,FALSE),1,0)</f>
        <v>0</v>
      </c>
      <c r="AX27">
        <f>IF(VLOOKUP(AX$1,main!$A$3:$I$56,5,FALSE)-VLOOKUP($A27,main!$A$3:$I$56,6,FALSE)&gt;=VLOOKUP(55,main!$A$57:$I$59,4,FALSE)+VLOOKUP(VLOOKUP(AX$1,main!$A$3:$I$56,7,FALSE),main!$K$10:$Q$14,3,FALSE),1,0)</f>
        <v>0</v>
      </c>
      <c r="AY27">
        <f>IF(VLOOKUP(AY$1,main!$A$3:$I$56,5,FALSE)-VLOOKUP($A27,main!$A$3:$I$56,6,FALSE)&gt;=VLOOKUP(55,main!$A$57:$I$59,4,FALSE)+VLOOKUP(VLOOKUP(AY$1,main!$A$3:$I$56,7,FALSE),main!$K$10:$Q$14,3,FALSE),1,0)</f>
        <v>0</v>
      </c>
      <c r="AZ27">
        <f>IF(VLOOKUP(AZ$1,main!$A$3:$I$56,5,FALSE)-VLOOKUP($A27,main!$A$3:$I$56,6,FALSE)&gt;=VLOOKUP(55,main!$A$57:$I$59,4,FALSE)+VLOOKUP(VLOOKUP(AZ$1,main!$A$3:$I$56,7,FALSE),main!$K$10:$Q$14,3,FALSE),1,0)</f>
        <v>0</v>
      </c>
      <c r="BA27">
        <f>IF(VLOOKUP(BA$1,main!$A$3:$I$56,5,FALSE)-VLOOKUP($A27,main!$A$3:$I$56,6,FALSE)&gt;=VLOOKUP(55,main!$A$57:$I$59,4,FALSE)+VLOOKUP(VLOOKUP(BA$1,main!$A$3:$I$56,7,FALSE),main!$K$10:$Q$14,3,FALSE),1,0)</f>
        <v>0</v>
      </c>
      <c r="BB27">
        <f>IF(VLOOKUP(BB$1,main!$A$3:$I$56,5,FALSE)-VLOOKUP($A27,main!$A$3:$I$56,6,FALSE)&gt;=VLOOKUP(55,main!$A$57:$I$59,4,FALSE)+VLOOKUP(VLOOKUP(BB$1,main!$A$3:$I$56,7,FALSE),main!$K$10:$Q$14,3,FALSE),1,0)</f>
        <v>0</v>
      </c>
      <c r="BC27">
        <f>IF(VLOOKUP(BC$1,main!$A$3:$I$56,5,FALSE)-VLOOKUP($A27,main!$A$3:$I$56,6,FALSE)&gt;=VLOOKUP(55,main!$A$57:$I$59,4,FALSE)+VLOOKUP(VLOOKUP(BC$1,main!$A$3:$I$56,7,FALSE),main!$K$10:$Q$14,3,FALSE),1,0)</f>
        <v>0</v>
      </c>
      <c r="BD27">
        <f>IF(VLOOKUP(BD$1,main!$A$3:$I$56,5,FALSE)-VLOOKUP($A27,main!$A$3:$I$56,6,FALSE)&gt;=VLOOKUP(55,main!$A$57:$I$59,4,FALSE)+VLOOKUP(VLOOKUP(BD$1,main!$A$3:$I$56,7,FALSE),main!$K$10:$Q$14,3,FALSE),1,0)</f>
        <v>0</v>
      </c>
    </row>
    <row r="28" spans="1:56" x14ac:dyDescent="0.25">
      <c r="A28">
        <f t="shared" si="0"/>
        <v>26</v>
      </c>
      <c r="B28">
        <v>0</v>
      </c>
      <c r="C28">
        <f>IF(VLOOKUP(C$1,main!$A$3:$I$56,5,FALSE)-VLOOKUP($A28,main!$A$3:$I$56,6,FALSE)&gt;=VLOOKUP(55,main!$A$57:$I$59,4,FALSE)+VLOOKUP(VLOOKUP(C$1,main!$A$3:$I$56,7,FALSE),main!$K$10:$Q$14,3,FALSE),1,0)</f>
        <v>0</v>
      </c>
      <c r="D28">
        <f>IF(VLOOKUP(D$1,main!$A$3:$I$56,5,FALSE)-VLOOKUP($A28,main!$A$3:$I$56,6,FALSE)&gt;=VLOOKUP(55,main!$A$57:$I$59,4,FALSE)+VLOOKUP(VLOOKUP(D$1,main!$A$3:$I$56,7,FALSE),main!$K$10:$Q$14,3,FALSE),1,0)</f>
        <v>0</v>
      </c>
      <c r="E28">
        <f>IF(VLOOKUP(E$1,main!$A$3:$I$56,5,FALSE)-VLOOKUP($A28,main!$A$3:$I$56,6,FALSE)&gt;=VLOOKUP(55,main!$A$57:$I$59,4,FALSE)+VLOOKUP(VLOOKUP(E$1,main!$A$3:$I$56,7,FALSE),main!$K$10:$Q$14,3,FALSE),1,0)</f>
        <v>0</v>
      </c>
      <c r="F28">
        <f>IF(VLOOKUP(F$1,main!$A$3:$I$56,5,FALSE)-VLOOKUP($A28,main!$A$3:$I$56,6,FALSE)&gt;=VLOOKUP(55,main!$A$57:$I$59,4,FALSE)+VLOOKUP(VLOOKUP(F$1,main!$A$3:$I$56,7,FALSE),main!$K$10:$Q$14,3,FALSE),1,0)</f>
        <v>0</v>
      </c>
      <c r="G28">
        <f>IF(VLOOKUP(G$1,main!$A$3:$I$56,5,FALSE)-VLOOKUP($A28,main!$A$3:$I$56,6,FALSE)&gt;=VLOOKUP(55,main!$A$57:$I$59,4,FALSE)+VLOOKUP(VLOOKUP(G$1,main!$A$3:$I$56,7,FALSE),main!$K$10:$Q$14,3,FALSE),1,0)</f>
        <v>0</v>
      </c>
      <c r="H28">
        <f>IF(VLOOKUP(H$1,main!$A$3:$I$56,5,FALSE)-VLOOKUP($A28,main!$A$3:$I$56,6,FALSE)&gt;=VLOOKUP(55,main!$A$57:$I$59,4,FALSE)+VLOOKUP(VLOOKUP(H$1,main!$A$3:$I$56,7,FALSE),main!$K$10:$Q$14,3,FALSE),1,0)</f>
        <v>0</v>
      </c>
      <c r="I28">
        <f>IF(VLOOKUP(I$1,main!$A$3:$I$56,5,FALSE)-VLOOKUP($A28,main!$A$3:$I$56,6,FALSE)&gt;=VLOOKUP(55,main!$A$57:$I$59,4,FALSE)+VLOOKUP(VLOOKUP(I$1,main!$A$3:$I$56,7,FALSE),main!$K$10:$Q$14,3,FALSE),1,0)</f>
        <v>0</v>
      </c>
      <c r="J28">
        <f>IF(VLOOKUP(J$1,main!$A$3:$I$56,5,FALSE)-VLOOKUP($A28,main!$A$3:$I$56,6,FALSE)&gt;=VLOOKUP(55,main!$A$57:$I$59,4,FALSE)+VLOOKUP(VLOOKUP(J$1,main!$A$3:$I$56,7,FALSE),main!$K$10:$Q$14,3,FALSE),1,0)</f>
        <v>0</v>
      </c>
      <c r="K28">
        <f>IF(VLOOKUP(K$1,main!$A$3:$I$56,5,FALSE)-VLOOKUP($A28,main!$A$3:$I$56,6,FALSE)&gt;=VLOOKUP(55,main!$A$57:$I$59,4,FALSE)+VLOOKUP(VLOOKUP(K$1,main!$A$3:$I$56,7,FALSE),main!$K$10:$Q$14,3,FALSE),1,0)</f>
        <v>0</v>
      </c>
      <c r="L28">
        <f>IF(VLOOKUP(L$1,main!$A$3:$I$56,5,FALSE)-VLOOKUP($A28,main!$A$3:$I$56,6,FALSE)&gt;=VLOOKUP(55,main!$A$57:$I$59,4,FALSE)+VLOOKUP(VLOOKUP(L$1,main!$A$3:$I$56,7,FALSE),main!$K$10:$Q$14,3,FALSE),1,0)</f>
        <v>0</v>
      </c>
      <c r="M28">
        <f>IF(VLOOKUP(M$1,main!$A$3:$I$56,5,FALSE)-VLOOKUP($A28,main!$A$3:$I$56,6,FALSE)&gt;=VLOOKUP(55,main!$A$57:$I$59,4,FALSE)+VLOOKUP(VLOOKUP(M$1,main!$A$3:$I$56,7,FALSE),main!$K$10:$Q$14,3,FALSE),1,0)</f>
        <v>0</v>
      </c>
      <c r="N28">
        <f>IF(VLOOKUP(N$1,main!$A$3:$I$56,5,FALSE)-VLOOKUP($A28,main!$A$3:$I$56,6,FALSE)&gt;=VLOOKUP(55,main!$A$57:$I$59,4,FALSE)+VLOOKUP(VLOOKUP(N$1,main!$A$3:$I$56,7,FALSE),main!$K$10:$Q$14,3,FALSE),1,0)</f>
        <v>0</v>
      </c>
      <c r="O28">
        <f>IF(VLOOKUP(O$1,main!$A$3:$I$56,5,FALSE)-VLOOKUP($A28,main!$A$3:$I$56,6,FALSE)&gt;=VLOOKUP(55,main!$A$57:$I$59,4,FALSE)+VLOOKUP(VLOOKUP(O$1,main!$A$3:$I$56,7,FALSE),main!$K$10:$Q$14,3,FALSE),1,0)</f>
        <v>0</v>
      </c>
      <c r="P28">
        <f>IF(VLOOKUP(P$1,main!$A$3:$I$56,5,FALSE)-VLOOKUP($A28,main!$A$3:$I$56,6,FALSE)&gt;=VLOOKUP(55,main!$A$57:$I$59,4,FALSE)+VLOOKUP(VLOOKUP(P$1,main!$A$3:$I$56,7,FALSE),main!$K$10:$Q$14,3,FALSE),1,0)</f>
        <v>0</v>
      </c>
      <c r="Q28">
        <f>IF(VLOOKUP(Q$1,main!$A$3:$I$56,5,FALSE)-VLOOKUP($A28,main!$A$3:$I$56,6,FALSE)&gt;=VLOOKUP(55,main!$A$57:$I$59,4,FALSE)+VLOOKUP(VLOOKUP(Q$1,main!$A$3:$I$56,7,FALSE),main!$K$10:$Q$14,3,FALSE),1,0)</f>
        <v>0</v>
      </c>
      <c r="R28">
        <f>IF(VLOOKUP(R$1,main!$A$3:$I$56,5,FALSE)-VLOOKUP($A28,main!$A$3:$I$56,6,FALSE)&gt;=VLOOKUP(55,main!$A$57:$I$59,4,FALSE)+VLOOKUP(VLOOKUP(R$1,main!$A$3:$I$56,7,FALSE),main!$K$10:$Q$14,3,FALSE),1,0)</f>
        <v>0</v>
      </c>
      <c r="S28">
        <f>IF(VLOOKUP(S$1,main!$A$3:$I$56,5,FALSE)-VLOOKUP($A28,main!$A$3:$I$56,6,FALSE)&gt;=VLOOKUP(55,main!$A$57:$I$59,4,FALSE)+VLOOKUP(VLOOKUP(S$1,main!$A$3:$I$56,7,FALSE),main!$K$10:$Q$14,3,FALSE),1,0)</f>
        <v>0</v>
      </c>
      <c r="T28">
        <f>IF(VLOOKUP(T$1,main!$A$3:$I$56,5,FALSE)-VLOOKUP($A28,main!$A$3:$I$56,6,FALSE)&gt;=VLOOKUP(55,main!$A$57:$I$59,4,FALSE)+VLOOKUP(VLOOKUP(T$1,main!$A$3:$I$56,7,FALSE),main!$K$10:$Q$14,3,FALSE),1,0)</f>
        <v>0</v>
      </c>
      <c r="U28">
        <f>IF(VLOOKUP(U$1,main!$A$3:$I$56,5,FALSE)-VLOOKUP($A28,main!$A$3:$I$56,6,FALSE)&gt;=VLOOKUP(55,main!$A$57:$I$59,4,FALSE)+VLOOKUP(VLOOKUP(U$1,main!$A$3:$I$56,7,FALSE),main!$K$10:$Q$14,3,FALSE),1,0)</f>
        <v>0</v>
      </c>
      <c r="V28">
        <f>IF(VLOOKUP(V$1,main!$A$3:$I$56,5,FALSE)-VLOOKUP($A28,main!$A$3:$I$56,6,FALSE)&gt;=VLOOKUP(55,main!$A$57:$I$59,4,FALSE)+VLOOKUP(VLOOKUP(V$1,main!$A$3:$I$56,7,FALSE),main!$K$10:$Q$14,3,FALSE),1,0)</f>
        <v>0</v>
      </c>
      <c r="W28">
        <f>IF(VLOOKUP(W$1,main!$A$3:$I$56,5,FALSE)-VLOOKUP($A28,main!$A$3:$I$56,6,FALSE)&gt;=VLOOKUP(55,main!$A$57:$I$59,4,FALSE)+VLOOKUP(VLOOKUP(W$1,main!$A$3:$I$56,7,FALSE),main!$K$10:$Q$14,3,FALSE),1,0)</f>
        <v>0</v>
      </c>
      <c r="X28">
        <f>IF(VLOOKUP(X$1,main!$A$3:$I$56,5,FALSE)-VLOOKUP($A28,main!$A$3:$I$56,6,FALSE)&gt;=VLOOKUP(55,main!$A$57:$I$59,4,FALSE)+VLOOKUP(VLOOKUP(X$1,main!$A$3:$I$56,7,FALSE),main!$K$10:$Q$14,3,FALSE),1,0)</f>
        <v>0</v>
      </c>
      <c r="Y28">
        <f>IF(VLOOKUP(Y$1,main!$A$3:$I$56,5,FALSE)-VLOOKUP($A28,main!$A$3:$I$56,6,FALSE)&gt;=VLOOKUP(55,main!$A$57:$I$59,4,FALSE)+VLOOKUP(VLOOKUP(Y$1,main!$A$3:$I$56,7,FALSE),main!$K$10:$Q$14,3,FALSE),1,0)</f>
        <v>0</v>
      </c>
      <c r="Z28">
        <f>IF(VLOOKUP(Z$1,main!$A$3:$I$56,5,FALSE)-VLOOKUP($A28,main!$A$3:$I$56,6,FALSE)&gt;=VLOOKUP(55,main!$A$57:$I$59,4,FALSE)+VLOOKUP(VLOOKUP(Z$1,main!$A$3:$I$56,7,FALSE),main!$K$10:$Q$14,3,FALSE),1,0)</f>
        <v>0</v>
      </c>
      <c r="AA28">
        <f>IF(VLOOKUP(AA$1,main!$A$3:$I$56,5,FALSE)-VLOOKUP($A28,main!$A$3:$I$56,6,FALSE)&gt;=VLOOKUP(55,main!$A$57:$I$59,4,FALSE)+VLOOKUP(VLOOKUP(AA$1,main!$A$3:$I$56,7,FALSE),main!$K$10:$Q$14,3,FALSE),1,0)</f>
        <v>0</v>
      </c>
      <c r="AB28">
        <f>IF(VLOOKUP(AB$1,main!$A$3:$I$56,5,FALSE)-VLOOKUP($A28,main!$A$3:$I$56,6,FALSE)&gt;=VLOOKUP(55,main!$A$57:$I$59,4,FALSE)+VLOOKUP(VLOOKUP(AB$1,main!$A$3:$I$56,7,FALSE),main!$K$10:$Q$14,3,FALSE),1,0)</f>
        <v>0</v>
      </c>
      <c r="AC28">
        <f>IF(VLOOKUP(AC$1,main!$A$3:$I$56,5,FALSE)-VLOOKUP($A28,main!$A$3:$I$56,6,FALSE)&gt;=VLOOKUP(55,main!$A$57:$I$59,4,FALSE)+VLOOKUP(VLOOKUP(AC$1,main!$A$3:$I$56,7,FALSE),main!$K$10:$Q$14,3,FALSE),1,0)</f>
        <v>0</v>
      </c>
      <c r="AD28">
        <f>IF(VLOOKUP(AD$1,main!$A$3:$I$56,5,FALSE)-VLOOKUP($A28,main!$A$3:$I$56,6,FALSE)&gt;=VLOOKUP(55,main!$A$57:$I$59,4,FALSE)+VLOOKUP(VLOOKUP(AD$1,main!$A$3:$I$56,7,FALSE),main!$K$10:$Q$14,3,FALSE),1,0)</f>
        <v>0</v>
      </c>
      <c r="AE28">
        <f>IF(VLOOKUP(AE$1,main!$A$3:$I$56,5,FALSE)-VLOOKUP($A28,main!$A$3:$I$56,6,FALSE)&gt;=VLOOKUP(55,main!$A$57:$I$59,4,FALSE)+VLOOKUP(VLOOKUP(AE$1,main!$A$3:$I$56,7,FALSE),main!$K$10:$Q$14,3,FALSE),1,0)</f>
        <v>0</v>
      </c>
      <c r="AF28">
        <f>IF(VLOOKUP(AF$1,main!$A$3:$I$56,5,FALSE)-VLOOKUP($A28,main!$A$3:$I$56,6,FALSE)&gt;=VLOOKUP(55,main!$A$57:$I$59,4,FALSE)+VLOOKUP(VLOOKUP(AF$1,main!$A$3:$I$56,7,FALSE),main!$K$10:$Q$14,3,FALSE),1,0)</f>
        <v>0</v>
      </c>
      <c r="AG28">
        <f>IF(VLOOKUP(AG$1,main!$A$3:$I$56,5,FALSE)-VLOOKUP($A28,main!$A$3:$I$56,6,FALSE)&gt;=VLOOKUP(55,main!$A$57:$I$59,4,FALSE)+VLOOKUP(VLOOKUP(AG$1,main!$A$3:$I$56,7,FALSE),main!$K$10:$Q$14,3,FALSE),1,0)</f>
        <v>0</v>
      </c>
      <c r="AH28">
        <f>IF(VLOOKUP(AH$1,main!$A$3:$I$56,5,FALSE)-VLOOKUP($A28,main!$A$3:$I$56,6,FALSE)&gt;=VLOOKUP(55,main!$A$57:$I$59,4,FALSE)+VLOOKUP(VLOOKUP(AH$1,main!$A$3:$I$56,7,FALSE),main!$K$10:$Q$14,3,FALSE),1,0)</f>
        <v>0</v>
      </c>
      <c r="AI28">
        <f>IF(VLOOKUP(AI$1,main!$A$3:$I$56,5,FALSE)-VLOOKUP($A28,main!$A$3:$I$56,6,FALSE)&gt;=VLOOKUP(55,main!$A$57:$I$59,4,FALSE)+VLOOKUP(VLOOKUP(AI$1,main!$A$3:$I$56,7,FALSE),main!$K$10:$Q$14,3,FALSE),1,0)</f>
        <v>0</v>
      </c>
      <c r="AJ28">
        <f>IF(VLOOKUP(AJ$1,main!$A$3:$I$56,5,FALSE)-VLOOKUP($A28,main!$A$3:$I$56,6,FALSE)&gt;=VLOOKUP(55,main!$A$57:$I$59,4,FALSE)+VLOOKUP(VLOOKUP(AJ$1,main!$A$3:$I$56,7,FALSE),main!$K$10:$Q$14,3,FALSE),1,0)</f>
        <v>0</v>
      </c>
      <c r="AK28">
        <f>IF(VLOOKUP(AK$1,main!$A$3:$I$56,5,FALSE)-VLOOKUP($A28,main!$A$3:$I$56,6,FALSE)&gt;=VLOOKUP(55,main!$A$57:$I$59,4,FALSE)+VLOOKUP(VLOOKUP(AK$1,main!$A$3:$I$56,7,FALSE),main!$K$10:$Q$14,3,FALSE),1,0)</f>
        <v>0</v>
      </c>
      <c r="AL28">
        <f>IF(VLOOKUP(AL$1,main!$A$3:$I$56,5,FALSE)-VLOOKUP($A28,main!$A$3:$I$56,6,FALSE)&gt;=VLOOKUP(55,main!$A$57:$I$59,4,FALSE)+VLOOKUP(VLOOKUP(AL$1,main!$A$3:$I$56,7,FALSE),main!$K$10:$Q$14,3,FALSE),1,0)</f>
        <v>0</v>
      </c>
      <c r="AM28">
        <f>IF(VLOOKUP(AM$1,main!$A$3:$I$56,5,FALSE)-VLOOKUP($A28,main!$A$3:$I$56,6,FALSE)&gt;=VLOOKUP(55,main!$A$57:$I$59,4,FALSE)+VLOOKUP(VLOOKUP(AM$1,main!$A$3:$I$56,7,FALSE),main!$K$10:$Q$14,3,FALSE),1,0)</f>
        <v>0</v>
      </c>
      <c r="AN28">
        <f>IF(VLOOKUP(AN$1,main!$A$3:$I$56,5,FALSE)-VLOOKUP($A28,main!$A$3:$I$56,6,FALSE)&gt;=VLOOKUP(55,main!$A$57:$I$59,4,FALSE)+VLOOKUP(VLOOKUP(AN$1,main!$A$3:$I$56,7,FALSE),main!$K$10:$Q$14,3,FALSE),1,0)</f>
        <v>0</v>
      </c>
      <c r="AO28">
        <f>IF(VLOOKUP(AO$1,main!$A$3:$I$56,5,FALSE)-VLOOKUP($A28,main!$A$3:$I$56,6,FALSE)&gt;=VLOOKUP(55,main!$A$57:$I$59,4,FALSE)+VLOOKUP(VLOOKUP(AO$1,main!$A$3:$I$56,7,FALSE),main!$K$10:$Q$14,3,FALSE),1,0)</f>
        <v>0</v>
      </c>
      <c r="AP28">
        <f>IF(VLOOKUP(AP$1,main!$A$3:$I$56,5,FALSE)-VLOOKUP($A28,main!$A$3:$I$56,6,FALSE)&gt;=VLOOKUP(55,main!$A$57:$I$59,4,FALSE)+VLOOKUP(VLOOKUP(AP$1,main!$A$3:$I$56,7,FALSE),main!$K$10:$Q$14,3,FALSE),1,0)</f>
        <v>0</v>
      </c>
      <c r="AQ28">
        <f>IF(VLOOKUP(AQ$1,main!$A$3:$I$56,5,FALSE)-VLOOKUP($A28,main!$A$3:$I$56,6,FALSE)&gt;=VLOOKUP(55,main!$A$57:$I$59,4,FALSE)+VLOOKUP(VLOOKUP(AQ$1,main!$A$3:$I$56,7,FALSE),main!$K$10:$Q$14,3,FALSE),1,0)</f>
        <v>0</v>
      </c>
      <c r="AR28">
        <f>IF(VLOOKUP(AR$1,main!$A$3:$I$56,5,FALSE)-VLOOKUP($A28,main!$A$3:$I$56,6,FALSE)&gt;=VLOOKUP(55,main!$A$57:$I$59,4,FALSE)+VLOOKUP(VLOOKUP(AR$1,main!$A$3:$I$56,7,FALSE),main!$K$10:$Q$14,3,FALSE),1,0)</f>
        <v>0</v>
      </c>
      <c r="AS28">
        <f>IF(VLOOKUP(AS$1,main!$A$3:$I$56,5,FALSE)-VLOOKUP($A28,main!$A$3:$I$56,6,FALSE)&gt;=VLOOKUP(55,main!$A$57:$I$59,4,FALSE)+VLOOKUP(VLOOKUP(AS$1,main!$A$3:$I$56,7,FALSE),main!$K$10:$Q$14,3,FALSE),1,0)</f>
        <v>0</v>
      </c>
      <c r="AT28">
        <f>IF(VLOOKUP(AT$1,main!$A$3:$I$56,5,FALSE)-VLOOKUP($A28,main!$A$3:$I$56,6,FALSE)&gt;=VLOOKUP(55,main!$A$57:$I$59,4,FALSE)+VLOOKUP(VLOOKUP(AT$1,main!$A$3:$I$56,7,FALSE),main!$K$10:$Q$14,3,FALSE),1,0)</f>
        <v>0</v>
      </c>
      <c r="AU28">
        <f>IF(VLOOKUP(AU$1,main!$A$3:$I$56,5,FALSE)-VLOOKUP($A28,main!$A$3:$I$56,6,FALSE)&gt;=VLOOKUP(55,main!$A$57:$I$59,4,FALSE)+VLOOKUP(VLOOKUP(AU$1,main!$A$3:$I$56,7,FALSE),main!$K$10:$Q$14,3,FALSE),1,0)</f>
        <v>0</v>
      </c>
      <c r="AV28">
        <f>IF(VLOOKUP(AV$1,main!$A$3:$I$56,5,FALSE)-VLOOKUP($A28,main!$A$3:$I$56,6,FALSE)&gt;=VLOOKUP(55,main!$A$57:$I$59,4,FALSE)+VLOOKUP(VLOOKUP(AV$1,main!$A$3:$I$56,7,FALSE),main!$K$10:$Q$14,3,FALSE),1,0)</f>
        <v>0</v>
      </c>
      <c r="AW28">
        <f>IF(VLOOKUP(AW$1,main!$A$3:$I$56,5,FALSE)-VLOOKUP($A28,main!$A$3:$I$56,6,FALSE)&gt;=VLOOKUP(55,main!$A$57:$I$59,4,FALSE)+VLOOKUP(VLOOKUP(AW$1,main!$A$3:$I$56,7,FALSE),main!$K$10:$Q$14,3,FALSE),1,0)</f>
        <v>0</v>
      </c>
      <c r="AX28">
        <f>IF(VLOOKUP(AX$1,main!$A$3:$I$56,5,FALSE)-VLOOKUP($A28,main!$A$3:$I$56,6,FALSE)&gt;=VLOOKUP(55,main!$A$57:$I$59,4,FALSE)+VLOOKUP(VLOOKUP(AX$1,main!$A$3:$I$56,7,FALSE),main!$K$10:$Q$14,3,FALSE),1,0)</f>
        <v>0</v>
      </c>
      <c r="AY28">
        <f>IF(VLOOKUP(AY$1,main!$A$3:$I$56,5,FALSE)-VLOOKUP($A28,main!$A$3:$I$56,6,FALSE)&gt;=VLOOKUP(55,main!$A$57:$I$59,4,FALSE)+VLOOKUP(VLOOKUP(AY$1,main!$A$3:$I$56,7,FALSE),main!$K$10:$Q$14,3,FALSE),1,0)</f>
        <v>0</v>
      </c>
      <c r="AZ28">
        <f>IF(VLOOKUP(AZ$1,main!$A$3:$I$56,5,FALSE)-VLOOKUP($A28,main!$A$3:$I$56,6,FALSE)&gt;=VLOOKUP(55,main!$A$57:$I$59,4,FALSE)+VLOOKUP(VLOOKUP(AZ$1,main!$A$3:$I$56,7,FALSE),main!$K$10:$Q$14,3,FALSE),1,0)</f>
        <v>0</v>
      </c>
      <c r="BA28">
        <f>IF(VLOOKUP(BA$1,main!$A$3:$I$56,5,FALSE)-VLOOKUP($A28,main!$A$3:$I$56,6,FALSE)&gt;=VLOOKUP(55,main!$A$57:$I$59,4,FALSE)+VLOOKUP(VLOOKUP(BA$1,main!$A$3:$I$56,7,FALSE),main!$K$10:$Q$14,3,FALSE),1,0)</f>
        <v>0</v>
      </c>
      <c r="BB28">
        <f>IF(VLOOKUP(BB$1,main!$A$3:$I$56,5,FALSE)-VLOOKUP($A28,main!$A$3:$I$56,6,FALSE)&gt;=VLOOKUP(55,main!$A$57:$I$59,4,FALSE)+VLOOKUP(VLOOKUP(BB$1,main!$A$3:$I$56,7,FALSE),main!$K$10:$Q$14,3,FALSE),1,0)</f>
        <v>0</v>
      </c>
      <c r="BC28">
        <f>IF(VLOOKUP(BC$1,main!$A$3:$I$56,5,FALSE)-VLOOKUP($A28,main!$A$3:$I$56,6,FALSE)&gt;=VLOOKUP(55,main!$A$57:$I$59,4,FALSE)+VLOOKUP(VLOOKUP(BC$1,main!$A$3:$I$56,7,FALSE),main!$K$10:$Q$14,3,FALSE),1,0)</f>
        <v>0</v>
      </c>
      <c r="BD28">
        <f>IF(VLOOKUP(BD$1,main!$A$3:$I$56,5,FALSE)-VLOOKUP($A28,main!$A$3:$I$56,6,FALSE)&gt;=VLOOKUP(55,main!$A$57:$I$59,4,FALSE)+VLOOKUP(VLOOKUP(BD$1,main!$A$3:$I$56,7,FALSE),main!$K$10:$Q$14,3,FALSE),1,0)</f>
        <v>0</v>
      </c>
    </row>
    <row r="29" spans="1:56" x14ac:dyDescent="0.25">
      <c r="A29">
        <f t="shared" si="0"/>
        <v>27</v>
      </c>
      <c r="B29">
        <v>0</v>
      </c>
      <c r="C29">
        <f>IF(VLOOKUP(C$1,main!$A$3:$I$56,5,FALSE)-VLOOKUP($A29,main!$A$3:$I$56,6,FALSE)&gt;=VLOOKUP(55,main!$A$57:$I$59,4,FALSE)+VLOOKUP(VLOOKUP(C$1,main!$A$3:$I$56,7,FALSE),main!$K$10:$Q$14,3,FALSE),1,0)</f>
        <v>1</v>
      </c>
      <c r="D29">
        <f>IF(VLOOKUP(D$1,main!$A$3:$I$56,5,FALSE)-VLOOKUP($A29,main!$A$3:$I$56,6,FALSE)&gt;=VLOOKUP(55,main!$A$57:$I$59,4,FALSE)+VLOOKUP(VLOOKUP(D$1,main!$A$3:$I$56,7,FALSE),main!$K$10:$Q$14,3,FALSE),1,0)</f>
        <v>1</v>
      </c>
      <c r="E29">
        <f>IF(VLOOKUP(E$1,main!$A$3:$I$56,5,FALSE)-VLOOKUP($A29,main!$A$3:$I$56,6,FALSE)&gt;=VLOOKUP(55,main!$A$57:$I$59,4,FALSE)+VLOOKUP(VLOOKUP(E$1,main!$A$3:$I$56,7,FALSE),main!$K$10:$Q$14,3,FALSE),1,0)</f>
        <v>1</v>
      </c>
      <c r="F29">
        <f>IF(VLOOKUP(F$1,main!$A$3:$I$56,5,FALSE)-VLOOKUP($A29,main!$A$3:$I$56,6,FALSE)&gt;=VLOOKUP(55,main!$A$57:$I$59,4,FALSE)+VLOOKUP(VLOOKUP(F$1,main!$A$3:$I$56,7,FALSE),main!$K$10:$Q$14,3,FALSE),1,0)</f>
        <v>1</v>
      </c>
      <c r="G29">
        <f>IF(VLOOKUP(G$1,main!$A$3:$I$56,5,FALSE)-VLOOKUP($A29,main!$A$3:$I$56,6,FALSE)&gt;=VLOOKUP(55,main!$A$57:$I$59,4,FALSE)+VLOOKUP(VLOOKUP(G$1,main!$A$3:$I$56,7,FALSE),main!$K$10:$Q$14,3,FALSE),1,0)</f>
        <v>1</v>
      </c>
      <c r="H29">
        <f>IF(VLOOKUP(H$1,main!$A$3:$I$56,5,FALSE)-VLOOKUP($A29,main!$A$3:$I$56,6,FALSE)&gt;=VLOOKUP(55,main!$A$57:$I$59,4,FALSE)+VLOOKUP(VLOOKUP(H$1,main!$A$3:$I$56,7,FALSE),main!$K$10:$Q$14,3,FALSE),1,0)</f>
        <v>1</v>
      </c>
      <c r="I29">
        <f>IF(VLOOKUP(I$1,main!$A$3:$I$56,5,FALSE)-VLOOKUP($A29,main!$A$3:$I$56,6,FALSE)&gt;=VLOOKUP(55,main!$A$57:$I$59,4,FALSE)+VLOOKUP(VLOOKUP(I$1,main!$A$3:$I$56,7,FALSE),main!$K$10:$Q$14,3,FALSE),1,0)</f>
        <v>1</v>
      </c>
      <c r="J29">
        <f>IF(VLOOKUP(J$1,main!$A$3:$I$56,5,FALSE)-VLOOKUP($A29,main!$A$3:$I$56,6,FALSE)&gt;=VLOOKUP(55,main!$A$57:$I$59,4,FALSE)+VLOOKUP(VLOOKUP(J$1,main!$A$3:$I$56,7,FALSE),main!$K$10:$Q$14,3,FALSE),1,0)</f>
        <v>1</v>
      </c>
      <c r="K29">
        <f>IF(VLOOKUP(K$1,main!$A$3:$I$56,5,FALSE)-VLOOKUP($A29,main!$A$3:$I$56,6,FALSE)&gt;=VLOOKUP(55,main!$A$57:$I$59,4,FALSE)+VLOOKUP(VLOOKUP(K$1,main!$A$3:$I$56,7,FALSE),main!$K$10:$Q$14,3,FALSE),1,0)</f>
        <v>1</v>
      </c>
      <c r="L29">
        <f>IF(VLOOKUP(L$1,main!$A$3:$I$56,5,FALSE)-VLOOKUP($A29,main!$A$3:$I$56,6,FALSE)&gt;=VLOOKUP(55,main!$A$57:$I$59,4,FALSE)+VLOOKUP(VLOOKUP(L$1,main!$A$3:$I$56,7,FALSE),main!$K$10:$Q$14,3,FALSE),1,0)</f>
        <v>1</v>
      </c>
      <c r="M29">
        <f>IF(VLOOKUP(M$1,main!$A$3:$I$56,5,FALSE)-VLOOKUP($A29,main!$A$3:$I$56,6,FALSE)&gt;=VLOOKUP(55,main!$A$57:$I$59,4,FALSE)+VLOOKUP(VLOOKUP(M$1,main!$A$3:$I$56,7,FALSE),main!$K$10:$Q$14,3,FALSE),1,0)</f>
        <v>1</v>
      </c>
      <c r="N29">
        <f>IF(VLOOKUP(N$1,main!$A$3:$I$56,5,FALSE)-VLOOKUP($A29,main!$A$3:$I$56,6,FALSE)&gt;=VLOOKUP(55,main!$A$57:$I$59,4,FALSE)+VLOOKUP(VLOOKUP(N$1,main!$A$3:$I$56,7,FALSE),main!$K$10:$Q$14,3,FALSE),1,0)</f>
        <v>1</v>
      </c>
      <c r="O29">
        <f>IF(VLOOKUP(O$1,main!$A$3:$I$56,5,FALSE)-VLOOKUP($A29,main!$A$3:$I$56,6,FALSE)&gt;=VLOOKUP(55,main!$A$57:$I$59,4,FALSE)+VLOOKUP(VLOOKUP(O$1,main!$A$3:$I$56,7,FALSE),main!$K$10:$Q$14,3,FALSE),1,0)</f>
        <v>1</v>
      </c>
      <c r="P29">
        <f>IF(VLOOKUP(P$1,main!$A$3:$I$56,5,FALSE)-VLOOKUP($A29,main!$A$3:$I$56,6,FALSE)&gt;=VLOOKUP(55,main!$A$57:$I$59,4,FALSE)+VLOOKUP(VLOOKUP(P$1,main!$A$3:$I$56,7,FALSE),main!$K$10:$Q$14,3,FALSE),1,0)</f>
        <v>1</v>
      </c>
      <c r="Q29">
        <f>IF(VLOOKUP(Q$1,main!$A$3:$I$56,5,FALSE)-VLOOKUP($A29,main!$A$3:$I$56,6,FALSE)&gt;=VLOOKUP(55,main!$A$57:$I$59,4,FALSE)+VLOOKUP(VLOOKUP(Q$1,main!$A$3:$I$56,7,FALSE),main!$K$10:$Q$14,3,FALSE),1,0)</f>
        <v>1</v>
      </c>
      <c r="R29">
        <f>IF(VLOOKUP(R$1,main!$A$3:$I$56,5,FALSE)-VLOOKUP($A29,main!$A$3:$I$56,6,FALSE)&gt;=VLOOKUP(55,main!$A$57:$I$59,4,FALSE)+VLOOKUP(VLOOKUP(R$1,main!$A$3:$I$56,7,FALSE),main!$K$10:$Q$14,3,FALSE),1,0)</f>
        <v>1</v>
      </c>
      <c r="S29">
        <f>IF(VLOOKUP(S$1,main!$A$3:$I$56,5,FALSE)-VLOOKUP($A29,main!$A$3:$I$56,6,FALSE)&gt;=VLOOKUP(55,main!$A$57:$I$59,4,FALSE)+VLOOKUP(VLOOKUP(S$1,main!$A$3:$I$56,7,FALSE),main!$K$10:$Q$14,3,FALSE),1,0)</f>
        <v>1</v>
      </c>
      <c r="T29">
        <f>IF(VLOOKUP(T$1,main!$A$3:$I$56,5,FALSE)-VLOOKUP($A29,main!$A$3:$I$56,6,FALSE)&gt;=VLOOKUP(55,main!$A$57:$I$59,4,FALSE)+VLOOKUP(VLOOKUP(T$1,main!$A$3:$I$56,7,FALSE),main!$K$10:$Q$14,3,FALSE),1,0)</f>
        <v>1</v>
      </c>
      <c r="U29">
        <f>IF(VLOOKUP(U$1,main!$A$3:$I$56,5,FALSE)-VLOOKUP($A29,main!$A$3:$I$56,6,FALSE)&gt;=VLOOKUP(55,main!$A$57:$I$59,4,FALSE)+VLOOKUP(VLOOKUP(U$1,main!$A$3:$I$56,7,FALSE),main!$K$10:$Q$14,3,FALSE),1,0)</f>
        <v>1</v>
      </c>
      <c r="V29">
        <f>IF(VLOOKUP(V$1,main!$A$3:$I$56,5,FALSE)-VLOOKUP($A29,main!$A$3:$I$56,6,FALSE)&gt;=VLOOKUP(55,main!$A$57:$I$59,4,FALSE)+VLOOKUP(VLOOKUP(V$1,main!$A$3:$I$56,7,FALSE),main!$K$10:$Q$14,3,FALSE),1,0)</f>
        <v>1</v>
      </c>
      <c r="W29">
        <f>IF(VLOOKUP(W$1,main!$A$3:$I$56,5,FALSE)-VLOOKUP($A29,main!$A$3:$I$56,6,FALSE)&gt;=VLOOKUP(55,main!$A$57:$I$59,4,FALSE)+VLOOKUP(VLOOKUP(W$1,main!$A$3:$I$56,7,FALSE),main!$K$10:$Q$14,3,FALSE),1,0)</f>
        <v>1</v>
      </c>
      <c r="X29">
        <f>IF(VLOOKUP(X$1,main!$A$3:$I$56,5,FALSE)-VLOOKUP($A29,main!$A$3:$I$56,6,FALSE)&gt;=VLOOKUP(55,main!$A$57:$I$59,4,FALSE)+VLOOKUP(VLOOKUP(X$1,main!$A$3:$I$56,7,FALSE),main!$K$10:$Q$14,3,FALSE),1,0)</f>
        <v>1</v>
      </c>
      <c r="Y29">
        <f>IF(VLOOKUP(Y$1,main!$A$3:$I$56,5,FALSE)-VLOOKUP($A29,main!$A$3:$I$56,6,FALSE)&gt;=VLOOKUP(55,main!$A$57:$I$59,4,FALSE)+VLOOKUP(VLOOKUP(Y$1,main!$A$3:$I$56,7,FALSE),main!$K$10:$Q$14,3,FALSE),1,0)</f>
        <v>1</v>
      </c>
      <c r="Z29">
        <f>IF(VLOOKUP(Z$1,main!$A$3:$I$56,5,FALSE)-VLOOKUP($A29,main!$A$3:$I$56,6,FALSE)&gt;=VLOOKUP(55,main!$A$57:$I$59,4,FALSE)+VLOOKUP(VLOOKUP(Z$1,main!$A$3:$I$56,7,FALSE),main!$K$10:$Q$14,3,FALSE),1,0)</f>
        <v>1</v>
      </c>
      <c r="AA29">
        <f>IF(VLOOKUP(AA$1,main!$A$3:$I$56,5,FALSE)-VLOOKUP($A29,main!$A$3:$I$56,6,FALSE)&gt;=VLOOKUP(55,main!$A$57:$I$59,4,FALSE)+VLOOKUP(VLOOKUP(AA$1,main!$A$3:$I$56,7,FALSE),main!$K$10:$Q$14,3,FALSE),1,0)</f>
        <v>1</v>
      </c>
      <c r="AB29">
        <f>IF(VLOOKUP(AB$1,main!$A$3:$I$56,5,FALSE)-VLOOKUP($A29,main!$A$3:$I$56,6,FALSE)&gt;=VLOOKUP(55,main!$A$57:$I$59,4,FALSE)+VLOOKUP(VLOOKUP(AB$1,main!$A$3:$I$56,7,FALSE),main!$K$10:$Q$14,3,FALSE),1,0)</f>
        <v>1</v>
      </c>
      <c r="AC29">
        <f>IF(VLOOKUP(AC$1,main!$A$3:$I$56,5,FALSE)-VLOOKUP($A29,main!$A$3:$I$56,6,FALSE)&gt;=VLOOKUP(55,main!$A$57:$I$59,4,FALSE)+VLOOKUP(VLOOKUP(AC$1,main!$A$3:$I$56,7,FALSE),main!$K$10:$Q$14,3,FALSE),1,0)</f>
        <v>0</v>
      </c>
      <c r="AD29">
        <f>IF(VLOOKUP(AD$1,main!$A$3:$I$56,5,FALSE)-VLOOKUP($A29,main!$A$3:$I$56,6,FALSE)&gt;=VLOOKUP(55,main!$A$57:$I$59,4,FALSE)+VLOOKUP(VLOOKUP(AD$1,main!$A$3:$I$56,7,FALSE),main!$K$10:$Q$14,3,FALSE),1,0)</f>
        <v>1</v>
      </c>
      <c r="AE29">
        <f>IF(VLOOKUP(AE$1,main!$A$3:$I$56,5,FALSE)-VLOOKUP($A29,main!$A$3:$I$56,6,FALSE)&gt;=VLOOKUP(55,main!$A$57:$I$59,4,FALSE)+VLOOKUP(VLOOKUP(AE$1,main!$A$3:$I$56,7,FALSE),main!$K$10:$Q$14,3,FALSE),1,0)</f>
        <v>1</v>
      </c>
      <c r="AF29">
        <f>IF(VLOOKUP(AF$1,main!$A$3:$I$56,5,FALSE)-VLOOKUP($A29,main!$A$3:$I$56,6,FALSE)&gt;=VLOOKUP(55,main!$A$57:$I$59,4,FALSE)+VLOOKUP(VLOOKUP(AF$1,main!$A$3:$I$56,7,FALSE),main!$K$10:$Q$14,3,FALSE),1,0)</f>
        <v>1</v>
      </c>
      <c r="AG29">
        <f>IF(VLOOKUP(AG$1,main!$A$3:$I$56,5,FALSE)-VLOOKUP($A29,main!$A$3:$I$56,6,FALSE)&gt;=VLOOKUP(55,main!$A$57:$I$59,4,FALSE)+VLOOKUP(VLOOKUP(AG$1,main!$A$3:$I$56,7,FALSE),main!$K$10:$Q$14,3,FALSE),1,0)</f>
        <v>1</v>
      </c>
      <c r="AH29">
        <f>IF(VLOOKUP(AH$1,main!$A$3:$I$56,5,FALSE)-VLOOKUP($A29,main!$A$3:$I$56,6,FALSE)&gt;=VLOOKUP(55,main!$A$57:$I$59,4,FALSE)+VLOOKUP(VLOOKUP(AH$1,main!$A$3:$I$56,7,FALSE),main!$K$10:$Q$14,3,FALSE),1,0)</f>
        <v>1</v>
      </c>
      <c r="AI29">
        <f>IF(VLOOKUP(AI$1,main!$A$3:$I$56,5,FALSE)-VLOOKUP($A29,main!$A$3:$I$56,6,FALSE)&gt;=VLOOKUP(55,main!$A$57:$I$59,4,FALSE)+VLOOKUP(VLOOKUP(AI$1,main!$A$3:$I$56,7,FALSE),main!$K$10:$Q$14,3,FALSE),1,0)</f>
        <v>1</v>
      </c>
      <c r="AJ29">
        <f>IF(VLOOKUP(AJ$1,main!$A$3:$I$56,5,FALSE)-VLOOKUP($A29,main!$A$3:$I$56,6,FALSE)&gt;=VLOOKUP(55,main!$A$57:$I$59,4,FALSE)+VLOOKUP(VLOOKUP(AJ$1,main!$A$3:$I$56,7,FALSE),main!$K$10:$Q$14,3,FALSE),1,0)</f>
        <v>1</v>
      </c>
      <c r="AK29">
        <f>IF(VLOOKUP(AK$1,main!$A$3:$I$56,5,FALSE)-VLOOKUP($A29,main!$A$3:$I$56,6,FALSE)&gt;=VLOOKUP(55,main!$A$57:$I$59,4,FALSE)+VLOOKUP(VLOOKUP(AK$1,main!$A$3:$I$56,7,FALSE),main!$K$10:$Q$14,3,FALSE),1,0)</f>
        <v>1</v>
      </c>
      <c r="AL29">
        <f>IF(VLOOKUP(AL$1,main!$A$3:$I$56,5,FALSE)-VLOOKUP($A29,main!$A$3:$I$56,6,FALSE)&gt;=VLOOKUP(55,main!$A$57:$I$59,4,FALSE)+VLOOKUP(VLOOKUP(AL$1,main!$A$3:$I$56,7,FALSE),main!$K$10:$Q$14,3,FALSE),1,0)</f>
        <v>1</v>
      </c>
      <c r="AM29">
        <f>IF(VLOOKUP(AM$1,main!$A$3:$I$56,5,FALSE)-VLOOKUP($A29,main!$A$3:$I$56,6,FALSE)&gt;=VLOOKUP(55,main!$A$57:$I$59,4,FALSE)+VLOOKUP(VLOOKUP(AM$1,main!$A$3:$I$56,7,FALSE),main!$K$10:$Q$14,3,FALSE),1,0)</f>
        <v>1</v>
      </c>
      <c r="AN29">
        <f>IF(VLOOKUP(AN$1,main!$A$3:$I$56,5,FALSE)-VLOOKUP($A29,main!$A$3:$I$56,6,FALSE)&gt;=VLOOKUP(55,main!$A$57:$I$59,4,FALSE)+VLOOKUP(VLOOKUP(AN$1,main!$A$3:$I$56,7,FALSE),main!$K$10:$Q$14,3,FALSE),1,0)</f>
        <v>1</v>
      </c>
      <c r="AO29">
        <f>IF(VLOOKUP(AO$1,main!$A$3:$I$56,5,FALSE)-VLOOKUP($A29,main!$A$3:$I$56,6,FALSE)&gt;=VLOOKUP(55,main!$A$57:$I$59,4,FALSE)+VLOOKUP(VLOOKUP(AO$1,main!$A$3:$I$56,7,FALSE),main!$K$10:$Q$14,3,FALSE),1,0)</f>
        <v>1</v>
      </c>
      <c r="AP29">
        <f>IF(VLOOKUP(AP$1,main!$A$3:$I$56,5,FALSE)-VLOOKUP($A29,main!$A$3:$I$56,6,FALSE)&gt;=VLOOKUP(55,main!$A$57:$I$59,4,FALSE)+VLOOKUP(VLOOKUP(AP$1,main!$A$3:$I$56,7,FALSE),main!$K$10:$Q$14,3,FALSE),1,0)</f>
        <v>0</v>
      </c>
      <c r="AQ29">
        <f>IF(VLOOKUP(AQ$1,main!$A$3:$I$56,5,FALSE)-VLOOKUP($A29,main!$A$3:$I$56,6,FALSE)&gt;=VLOOKUP(55,main!$A$57:$I$59,4,FALSE)+VLOOKUP(VLOOKUP(AQ$1,main!$A$3:$I$56,7,FALSE),main!$K$10:$Q$14,3,FALSE),1,0)</f>
        <v>1</v>
      </c>
      <c r="AR29">
        <f>IF(VLOOKUP(AR$1,main!$A$3:$I$56,5,FALSE)-VLOOKUP($A29,main!$A$3:$I$56,6,FALSE)&gt;=VLOOKUP(55,main!$A$57:$I$59,4,FALSE)+VLOOKUP(VLOOKUP(AR$1,main!$A$3:$I$56,7,FALSE),main!$K$10:$Q$14,3,FALSE),1,0)</f>
        <v>1</v>
      </c>
      <c r="AS29">
        <f>IF(VLOOKUP(AS$1,main!$A$3:$I$56,5,FALSE)-VLOOKUP($A29,main!$A$3:$I$56,6,FALSE)&gt;=VLOOKUP(55,main!$A$57:$I$59,4,FALSE)+VLOOKUP(VLOOKUP(AS$1,main!$A$3:$I$56,7,FALSE),main!$K$10:$Q$14,3,FALSE),1,0)</f>
        <v>1</v>
      </c>
      <c r="AT29">
        <f>IF(VLOOKUP(AT$1,main!$A$3:$I$56,5,FALSE)-VLOOKUP($A29,main!$A$3:$I$56,6,FALSE)&gt;=VLOOKUP(55,main!$A$57:$I$59,4,FALSE)+VLOOKUP(VLOOKUP(AT$1,main!$A$3:$I$56,7,FALSE),main!$K$10:$Q$14,3,FALSE),1,0)</f>
        <v>1</v>
      </c>
      <c r="AU29">
        <f>IF(VLOOKUP(AU$1,main!$A$3:$I$56,5,FALSE)-VLOOKUP($A29,main!$A$3:$I$56,6,FALSE)&gt;=VLOOKUP(55,main!$A$57:$I$59,4,FALSE)+VLOOKUP(VLOOKUP(AU$1,main!$A$3:$I$56,7,FALSE),main!$K$10:$Q$14,3,FALSE),1,0)</f>
        <v>1</v>
      </c>
      <c r="AV29">
        <f>IF(VLOOKUP(AV$1,main!$A$3:$I$56,5,FALSE)-VLOOKUP($A29,main!$A$3:$I$56,6,FALSE)&gt;=VLOOKUP(55,main!$A$57:$I$59,4,FALSE)+VLOOKUP(VLOOKUP(AV$1,main!$A$3:$I$56,7,FALSE),main!$K$10:$Q$14,3,FALSE),1,0)</f>
        <v>1</v>
      </c>
      <c r="AW29">
        <f>IF(VLOOKUP(AW$1,main!$A$3:$I$56,5,FALSE)-VLOOKUP($A29,main!$A$3:$I$56,6,FALSE)&gt;=VLOOKUP(55,main!$A$57:$I$59,4,FALSE)+VLOOKUP(VLOOKUP(AW$1,main!$A$3:$I$56,7,FALSE),main!$K$10:$Q$14,3,FALSE),1,0)</f>
        <v>1</v>
      </c>
      <c r="AX29">
        <f>IF(VLOOKUP(AX$1,main!$A$3:$I$56,5,FALSE)-VLOOKUP($A29,main!$A$3:$I$56,6,FALSE)&gt;=VLOOKUP(55,main!$A$57:$I$59,4,FALSE)+VLOOKUP(VLOOKUP(AX$1,main!$A$3:$I$56,7,FALSE),main!$K$10:$Q$14,3,FALSE),1,0)</f>
        <v>1</v>
      </c>
      <c r="AY29">
        <f>IF(VLOOKUP(AY$1,main!$A$3:$I$56,5,FALSE)-VLOOKUP($A29,main!$A$3:$I$56,6,FALSE)&gt;=VLOOKUP(55,main!$A$57:$I$59,4,FALSE)+VLOOKUP(VLOOKUP(AY$1,main!$A$3:$I$56,7,FALSE),main!$K$10:$Q$14,3,FALSE),1,0)</f>
        <v>1</v>
      </c>
      <c r="AZ29">
        <f>IF(VLOOKUP(AZ$1,main!$A$3:$I$56,5,FALSE)-VLOOKUP($A29,main!$A$3:$I$56,6,FALSE)&gt;=VLOOKUP(55,main!$A$57:$I$59,4,FALSE)+VLOOKUP(VLOOKUP(AZ$1,main!$A$3:$I$56,7,FALSE),main!$K$10:$Q$14,3,FALSE),1,0)</f>
        <v>1</v>
      </c>
      <c r="BA29">
        <f>IF(VLOOKUP(BA$1,main!$A$3:$I$56,5,FALSE)-VLOOKUP($A29,main!$A$3:$I$56,6,FALSE)&gt;=VLOOKUP(55,main!$A$57:$I$59,4,FALSE)+VLOOKUP(VLOOKUP(BA$1,main!$A$3:$I$56,7,FALSE),main!$K$10:$Q$14,3,FALSE),1,0)</f>
        <v>1</v>
      </c>
      <c r="BB29">
        <f>IF(VLOOKUP(BB$1,main!$A$3:$I$56,5,FALSE)-VLOOKUP($A29,main!$A$3:$I$56,6,FALSE)&gt;=VLOOKUP(55,main!$A$57:$I$59,4,FALSE)+VLOOKUP(VLOOKUP(BB$1,main!$A$3:$I$56,7,FALSE),main!$K$10:$Q$14,3,FALSE),1,0)</f>
        <v>1</v>
      </c>
      <c r="BC29">
        <f>IF(VLOOKUP(BC$1,main!$A$3:$I$56,5,FALSE)-VLOOKUP($A29,main!$A$3:$I$56,6,FALSE)&gt;=VLOOKUP(55,main!$A$57:$I$59,4,FALSE)+VLOOKUP(VLOOKUP(BC$1,main!$A$3:$I$56,7,FALSE),main!$K$10:$Q$14,3,FALSE),1,0)</f>
        <v>1</v>
      </c>
      <c r="BD29">
        <f>IF(VLOOKUP(BD$1,main!$A$3:$I$56,5,FALSE)-VLOOKUP($A29,main!$A$3:$I$56,6,FALSE)&gt;=VLOOKUP(55,main!$A$57:$I$59,4,FALSE)+VLOOKUP(VLOOKUP(BD$1,main!$A$3:$I$56,7,FALSE),main!$K$10:$Q$14,3,FALSE),1,0)</f>
        <v>1</v>
      </c>
    </row>
    <row r="30" spans="1:56" x14ac:dyDescent="0.25">
      <c r="A30">
        <f t="shared" si="0"/>
        <v>28</v>
      </c>
      <c r="B30">
        <v>0</v>
      </c>
      <c r="C30">
        <f>IF(VLOOKUP(C$1,main!$A$3:$I$56,5,FALSE)-VLOOKUP($A30,main!$A$3:$I$56,6,FALSE)&gt;=VLOOKUP(55,main!$A$57:$I$59,4,FALSE)+VLOOKUP(VLOOKUP(C$1,main!$A$3:$I$56,7,FALSE),main!$K$10:$Q$14,3,FALSE),1,0)</f>
        <v>0</v>
      </c>
      <c r="D30">
        <f>IF(VLOOKUP(D$1,main!$A$3:$I$56,5,FALSE)-VLOOKUP($A30,main!$A$3:$I$56,6,FALSE)&gt;=VLOOKUP(55,main!$A$57:$I$59,4,FALSE)+VLOOKUP(VLOOKUP(D$1,main!$A$3:$I$56,7,FALSE),main!$K$10:$Q$14,3,FALSE),1,0)</f>
        <v>0</v>
      </c>
      <c r="E30">
        <f>IF(VLOOKUP(E$1,main!$A$3:$I$56,5,FALSE)-VLOOKUP($A30,main!$A$3:$I$56,6,FALSE)&gt;=VLOOKUP(55,main!$A$57:$I$59,4,FALSE)+VLOOKUP(VLOOKUP(E$1,main!$A$3:$I$56,7,FALSE),main!$K$10:$Q$14,3,FALSE),1,0)</f>
        <v>1</v>
      </c>
      <c r="F30">
        <f>IF(VLOOKUP(F$1,main!$A$3:$I$56,5,FALSE)-VLOOKUP($A30,main!$A$3:$I$56,6,FALSE)&gt;=VLOOKUP(55,main!$A$57:$I$59,4,FALSE)+VLOOKUP(VLOOKUP(F$1,main!$A$3:$I$56,7,FALSE),main!$K$10:$Q$14,3,FALSE),1,0)</f>
        <v>1</v>
      </c>
      <c r="G30">
        <f>IF(VLOOKUP(G$1,main!$A$3:$I$56,5,FALSE)-VLOOKUP($A30,main!$A$3:$I$56,6,FALSE)&gt;=VLOOKUP(55,main!$A$57:$I$59,4,FALSE)+VLOOKUP(VLOOKUP(G$1,main!$A$3:$I$56,7,FALSE),main!$K$10:$Q$14,3,FALSE),1,0)</f>
        <v>1</v>
      </c>
      <c r="H30">
        <f>IF(VLOOKUP(H$1,main!$A$3:$I$56,5,FALSE)-VLOOKUP($A30,main!$A$3:$I$56,6,FALSE)&gt;=VLOOKUP(55,main!$A$57:$I$59,4,FALSE)+VLOOKUP(VLOOKUP(H$1,main!$A$3:$I$56,7,FALSE),main!$K$10:$Q$14,3,FALSE),1,0)</f>
        <v>1</v>
      </c>
      <c r="I30">
        <f>IF(VLOOKUP(I$1,main!$A$3:$I$56,5,FALSE)-VLOOKUP($A30,main!$A$3:$I$56,6,FALSE)&gt;=VLOOKUP(55,main!$A$57:$I$59,4,FALSE)+VLOOKUP(VLOOKUP(I$1,main!$A$3:$I$56,7,FALSE),main!$K$10:$Q$14,3,FALSE),1,0)</f>
        <v>1</v>
      </c>
      <c r="J30">
        <f>IF(VLOOKUP(J$1,main!$A$3:$I$56,5,FALSE)-VLOOKUP($A30,main!$A$3:$I$56,6,FALSE)&gt;=VLOOKUP(55,main!$A$57:$I$59,4,FALSE)+VLOOKUP(VLOOKUP(J$1,main!$A$3:$I$56,7,FALSE),main!$K$10:$Q$14,3,FALSE),1,0)</f>
        <v>1</v>
      </c>
      <c r="K30">
        <f>IF(VLOOKUP(K$1,main!$A$3:$I$56,5,FALSE)-VLOOKUP($A30,main!$A$3:$I$56,6,FALSE)&gt;=VLOOKUP(55,main!$A$57:$I$59,4,FALSE)+VLOOKUP(VLOOKUP(K$1,main!$A$3:$I$56,7,FALSE),main!$K$10:$Q$14,3,FALSE),1,0)</f>
        <v>0</v>
      </c>
      <c r="L30">
        <f>IF(VLOOKUP(L$1,main!$A$3:$I$56,5,FALSE)-VLOOKUP($A30,main!$A$3:$I$56,6,FALSE)&gt;=VLOOKUP(55,main!$A$57:$I$59,4,FALSE)+VLOOKUP(VLOOKUP(L$1,main!$A$3:$I$56,7,FALSE),main!$K$10:$Q$14,3,FALSE),1,0)</f>
        <v>0</v>
      </c>
      <c r="M30">
        <f>IF(VLOOKUP(M$1,main!$A$3:$I$56,5,FALSE)-VLOOKUP($A30,main!$A$3:$I$56,6,FALSE)&gt;=VLOOKUP(55,main!$A$57:$I$59,4,FALSE)+VLOOKUP(VLOOKUP(M$1,main!$A$3:$I$56,7,FALSE),main!$K$10:$Q$14,3,FALSE),1,0)</f>
        <v>0</v>
      </c>
      <c r="N30">
        <f>IF(VLOOKUP(N$1,main!$A$3:$I$56,5,FALSE)-VLOOKUP($A30,main!$A$3:$I$56,6,FALSE)&gt;=VLOOKUP(55,main!$A$57:$I$59,4,FALSE)+VLOOKUP(VLOOKUP(N$1,main!$A$3:$I$56,7,FALSE),main!$K$10:$Q$14,3,FALSE),1,0)</f>
        <v>1</v>
      </c>
      <c r="O30">
        <f>IF(VLOOKUP(O$1,main!$A$3:$I$56,5,FALSE)-VLOOKUP($A30,main!$A$3:$I$56,6,FALSE)&gt;=VLOOKUP(55,main!$A$57:$I$59,4,FALSE)+VLOOKUP(VLOOKUP(O$1,main!$A$3:$I$56,7,FALSE),main!$K$10:$Q$14,3,FALSE),1,0)</f>
        <v>1</v>
      </c>
      <c r="P30">
        <f>IF(VLOOKUP(P$1,main!$A$3:$I$56,5,FALSE)-VLOOKUP($A30,main!$A$3:$I$56,6,FALSE)&gt;=VLOOKUP(55,main!$A$57:$I$59,4,FALSE)+VLOOKUP(VLOOKUP(P$1,main!$A$3:$I$56,7,FALSE),main!$K$10:$Q$14,3,FALSE),1,0)</f>
        <v>0</v>
      </c>
      <c r="Q30">
        <f>IF(VLOOKUP(Q$1,main!$A$3:$I$56,5,FALSE)-VLOOKUP($A30,main!$A$3:$I$56,6,FALSE)&gt;=VLOOKUP(55,main!$A$57:$I$59,4,FALSE)+VLOOKUP(VLOOKUP(Q$1,main!$A$3:$I$56,7,FALSE),main!$K$10:$Q$14,3,FALSE),1,0)</f>
        <v>0</v>
      </c>
      <c r="R30">
        <f>IF(VLOOKUP(R$1,main!$A$3:$I$56,5,FALSE)-VLOOKUP($A30,main!$A$3:$I$56,6,FALSE)&gt;=VLOOKUP(55,main!$A$57:$I$59,4,FALSE)+VLOOKUP(VLOOKUP(R$1,main!$A$3:$I$56,7,FALSE),main!$K$10:$Q$14,3,FALSE),1,0)</f>
        <v>0</v>
      </c>
      <c r="S30">
        <f>IF(VLOOKUP(S$1,main!$A$3:$I$56,5,FALSE)-VLOOKUP($A30,main!$A$3:$I$56,6,FALSE)&gt;=VLOOKUP(55,main!$A$57:$I$59,4,FALSE)+VLOOKUP(VLOOKUP(S$1,main!$A$3:$I$56,7,FALSE),main!$K$10:$Q$14,3,FALSE),1,0)</f>
        <v>1</v>
      </c>
      <c r="T30">
        <f>IF(VLOOKUP(T$1,main!$A$3:$I$56,5,FALSE)-VLOOKUP($A30,main!$A$3:$I$56,6,FALSE)&gt;=VLOOKUP(55,main!$A$57:$I$59,4,FALSE)+VLOOKUP(VLOOKUP(T$1,main!$A$3:$I$56,7,FALSE),main!$K$10:$Q$14,3,FALSE),1,0)</f>
        <v>1</v>
      </c>
      <c r="U30">
        <f>IF(VLOOKUP(U$1,main!$A$3:$I$56,5,FALSE)-VLOOKUP($A30,main!$A$3:$I$56,6,FALSE)&gt;=VLOOKUP(55,main!$A$57:$I$59,4,FALSE)+VLOOKUP(VLOOKUP(U$1,main!$A$3:$I$56,7,FALSE),main!$K$10:$Q$14,3,FALSE),1,0)</f>
        <v>0</v>
      </c>
      <c r="V30">
        <f>IF(VLOOKUP(V$1,main!$A$3:$I$56,5,FALSE)-VLOOKUP($A30,main!$A$3:$I$56,6,FALSE)&gt;=VLOOKUP(55,main!$A$57:$I$59,4,FALSE)+VLOOKUP(VLOOKUP(V$1,main!$A$3:$I$56,7,FALSE),main!$K$10:$Q$14,3,FALSE),1,0)</f>
        <v>0</v>
      </c>
      <c r="W30">
        <f>IF(VLOOKUP(W$1,main!$A$3:$I$56,5,FALSE)-VLOOKUP($A30,main!$A$3:$I$56,6,FALSE)&gt;=VLOOKUP(55,main!$A$57:$I$59,4,FALSE)+VLOOKUP(VLOOKUP(W$1,main!$A$3:$I$56,7,FALSE),main!$K$10:$Q$14,3,FALSE),1,0)</f>
        <v>0</v>
      </c>
      <c r="X30">
        <f>IF(VLOOKUP(X$1,main!$A$3:$I$56,5,FALSE)-VLOOKUP($A30,main!$A$3:$I$56,6,FALSE)&gt;=VLOOKUP(55,main!$A$57:$I$59,4,FALSE)+VLOOKUP(VLOOKUP(X$1,main!$A$3:$I$56,7,FALSE),main!$K$10:$Q$14,3,FALSE),1,0)</f>
        <v>0</v>
      </c>
      <c r="Y30">
        <f>IF(VLOOKUP(Y$1,main!$A$3:$I$56,5,FALSE)-VLOOKUP($A30,main!$A$3:$I$56,6,FALSE)&gt;=VLOOKUP(55,main!$A$57:$I$59,4,FALSE)+VLOOKUP(VLOOKUP(Y$1,main!$A$3:$I$56,7,FALSE),main!$K$10:$Q$14,3,FALSE),1,0)</f>
        <v>1</v>
      </c>
      <c r="Z30">
        <f>IF(VLOOKUP(Z$1,main!$A$3:$I$56,5,FALSE)-VLOOKUP($A30,main!$A$3:$I$56,6,FALSE)&gt;=VLOOKUP(55,main!$A$57:$I$59,4,FALSE)+VLOOKUP(VLOOKUP(Z$1,main!$A$3:$I$56,7,FALSE),main!$K$10:$Q$14,3,FALSE),1,0)</f>
        <v>1</v>
      </c>
      <c r="AA30">
        <f>IF(VLOOKUP(AA$1,main!$A$3:$I$56,5,FALSE)-VLOOKUP($A30,main!$A$3:$I$56,6,FALSE)&gt;=VLOOKUP(55,main!$A$57:$I$59,4,FALSE)+VLOOKUP(VLOOKUP(AA$1,main!$A$3:$I$56,7,FALSE),main!$K$10:$Q$14,3,FALSE),1,0)</f>
        <v>1</v>
      </c>
      <c r="AB30">
        <f>IF(VLOOKUP(AB$1,main!$A$3:$I$56,5,FALSE)-VLOOKUP($A30,main!$A$3:$I$56,6,FALSE)&gt;=VLOOKUP(55,main!$A$57:$I$59,4,FALSE)+VLOOKUP(VLOOKUP(AB$1,main!$A$3:$I$56,7,FALSE),main!$K$10:$Q$14,3,FALSE),1,0)</f>
        <v>1</v>
      </c>
      <c r="AC30">
        <f>IF(VLOOKUP(AC$1,main!$A$3:$I$56,5,FALSE)-VLOOKUP($A30,main!$A$3:$I$56,6,FALSE)&gt;=VLOOKUP(55,main!$A$57:$I$59,4,FALSE)+VLOOKUP(VLOOKUP(AC$1,main!$A$3:$I$56,7,FALSE),main!$K$10:$Q$14,3,FALSE),1,0)</f>
        <v>0</v>
      </c>
      <c r="AD30">
        <f>IF(VLOOKUP(AD$1,main!$A$3:$I$56,5,FALSE)-VLOOKUP($A30,main!$A$3:$I$56,6,FALSE)&gt;=VLOOKUP(55,main!$A$57:$I$59,4,FALSE)+VLOOKUP(VLOOKUP(AD$1,main!$A$3:$I$56,7,FALSE),main!$K$10:$Q$14,3,FALSE),1,0)</f>
        <v>0</v>
      </c>
      <c r="AE30">
        <f>IF(VLOOKUP(AE$1,main!$A$3:$I$56,5,FALSE)-VLOOKUP($A30,main!$A$3:$I$56,6,FALSE)&gt;=VLOOKUP(55,main!$A$57:$I$59,4,FALSE)+VLOOKUP(VLOOKUP(AE$1,main!$A$3:$I$56,7,FALSE),main!$K$10:$Q$14,3,FALSE),1,0)</f>
        <v>0</v>
      </c>
      <c r="AF30">
        <f>IF(VLOOKUP(AF$1,main!$A$3:$I$56,5,FALSE)-VLOOKUP($A30,main!$A$3:$I$56,6,FALSE)&gt;=VLOOKUP(55,main!$A$57:$I$59,4,FALSE)+VLOOKUP(VLOOKUP(AF$1,main!$A$3:$I$56,7,FALSE),main!$K$10:$Q$14,3,FALSE),1,0)</f>
        <v>1</v>
      </c>
      <c r="AG30">
        <f>IF(VLOOKUP(AG$1,main!$A$3:$I$56,5,FALSE)-VLOOKUP($A30,main!$A$3:$I$56,6,FALSE)&gt;=VLOOKUP(55,main!$A$57:$I$59,4,FALSE)+VLOOKUP(VLOOKUP(AG$1,main!$A$3:$I$56,7,FALSE),main!$K$10:$Q$14,3,FALSE),1,0)</f>
        <v>0</v>
      </c>
      <c r="AH30">
        <f>IF(VLOOKUP(AH$1,main!$A$3:$I$56,5,FALSE)-VLOOKUP($A30,main!$A$3:$I$56,6,FALSE)&gt;=VLOOKUP(55,main!$A$57:$I$59,4,FALSE)+VLOOKUP(VLOOKUP(AH$1,main!$A$3:$I$56,7,FALSE),main!$K$10:$Q$14,3,FALSE),1,0)</f>
        <v>0</v>
      </c>
      <c r="AI30">
        <f>IF(VLOOKUP(AI$1,main!$A$3:$I$56,5,FALSE)-VLOOKUP($A30,main!$A$3:$I$56,6,FALSE)&gt;=VLOOKUP(55,main!$A$57:$I$59,4,FALSE)+VLOOKUP(VLOOKUP(AI$1,main!$A$3:$I$56,7,FALSE),main!$K$10:$Q$14,3,FALSE),1,0)</f>
        <v>1</v>
      </c>
      <c r="AJ30">
        <f>IF(VLOOKUP(AJ$1,main!$A$3:$I$56,5,FALSE)-VLOOKUP($A30,main!$A$3:$I$56,6,FALSE)&gt;=VLOOKUP(55,main!$A$57:$I$59,4,FALSE)+VLOOKUP(VLOOKUP(AJ$1,main!$A$3:$I$56,7,FALSE),main!$K$10:$Q$14,3,FALSE),1,0)</f>
        <v>1</v>
      </c>
      <c r="AK30">
        <f>IF(VLOOKUP(AK$1,main!$A$3:$I$56,5,FALSE)-VLOOKUP($A30,main!$A$3:$I$56,6,FALSE)&gt;=VLOOKUP(55,main!$A$57:$I$59,4,FALSE)+VLOOKUP(VLOOKUP(AK$1,main!$A$3:$I$56,7,FALSE),main!$K$10:$Q$14,3,FALSE),1,0)</f>
        <v>1</v>
      </c>
      <c r="AL30">
        <f>IF(VLOOKUP(AL$1,main!$A$3:$I$56,5,FALSE)-VLOOKUP($A30,main!$A$3:$I$56,6,FALSE)&gt;=VLOOKUP(55,main!$A$57:$I$59,4,FALSE)+VLOOKUP(VLOOKUP(AL$1,main!$A$3:$I$56,7,FALSE),main!$K$10:$Q$14,3,FALSE),1,0)</f>
        <v>0</v>
      </c>
      <c r="AM30">
        <f>IF(VLOOKUP(AM$1,main!$A$3:$I$56,5,FALSE)-VLOOKUP($A30,main!$A$3:$I$56,6,FALSE)&gt;=VLOOKUP(55,main!$A$57:$I$59,4,FALSE)+VLOOKUP(VLOOKUP(AM$1,main!$A$3:$I$56,7,FALSE),main!$K$10:$Q$14,3,FALSE),1,0)</f>
        <v>0</v>
      </c>
      <c r="AN30">
        <f>IF(VLOOKUP(AN$1,main!$A$3:$I$56,5,FALSE)-VLOOKUP($A30,main!$A$3:$I$56,6,FALSE)&gt;=VLOOKUP(55,main!$A$57:$I$59,4,FALSE)+VLOOKUP(VLOOKUP(AN$1,main!$A$3:$I$56,7,FALSE),main!$K$10:$Q$14,3,FALSE),1,0)</f>
        <v>1</v>
      </c>
      <c r="AO30">
        <f>IF(VLOOKUP(AO$1,main!$A$3:$I$56,5,FALSE)-VLOOKUP($A30,main!$A$3:$I$56,6,FALSE)&gt;=VLOOKUP(55,main!$A$57:$I$59,4,FALSE)+VLOOKUP(VLOOKUP(AO$1,main!$A$3:$I$56,7,FALSE),main!$K$10:$Q$14,3,FALSE),1,0)</f>
        <v>1</v>
      </c>
      <c r="AP30">
        <f>IF(VLOOKUP(AP$1,main!$A$3:$I$56,5,FALSE)-VLOOKUP($A30,main!$A$3:$I$56,6,FALSE)&gt;=VLOOKUP(55,main!$A$57:$I$59,4,FALSE)+VLOOKUP(VLOOKUP(AP$1,main!$A$3:$I$56,7,FALSE),main!$K$10:$Q$14,3,FALSE),1,0)</f>
        <v>0</v>
      </c>
      <c r="AQ30">
        <f>IF(VLOOKUP(AQ$1,main!$A$3:$I$56,5,FALSE)-VLOOKUP($A30,main!$A$3:$I$56,6,FALSE)&gt;=VLOOKUP(55,main!$A$57:$I$59,4,FALSE)+VLOOKUP(VLOOKUP(AQ$1,main!$A$3:$I$56,7,FALSE),main!$K$10:$Q$14,3,FALSE),1,0)</f>
        <v>0</v>
      </c>
      <c r="AR30">
        <f>IF(VLOOKUP(AR$1,main!$A$3:$I$56,5,FALSE)-VLOOKUP($A30,main!$A$3:$I$56,6,FALSE)&gt;=VLOOKUP(55,main!$A$57:$I$59,4,FALSE)+VLOOKUP(VLOOKUP(AR$1,main!$A$3:$I$56,7,FALSE),main!$K$10:$Q$14,3,FALSE),1,0)</f>
        <v>0</v>
      </c>
      <c r="AS30">
        <f>IF(VLOOKUP(AS$1,main!$A$3:$I$56,5,FALSE)-VLOOKUP($A30,main!$A$3:$I$56,6,FALSE)&gt;=VLOOKUP(55,main!$A$57:$I$59,4,FALSE)+VLOOKUP(VLOOKUP(AS$1,main!$A$3:$I$56,7,FALSE),main!$K$10:$Q$14,3,FALSE),1,0)</f>
        <v>0</v>
      </c>
      <c r="AT30">
        <f>IF(VLOOKUP(AT$1,main!$A$3:$I$56,5,FALSE)-VLOOKUP($A30,main!$A$3:$I$56,6,FALSE)&gt;=VLOOKUP(55,main!$A$57:$I$59,4,FALSE)+VLOOKUP(VLOOKUP(AT$1,main!$A$3:$I$56,7,FALSE),main!$K$10:$Q$14,3,FALSE),1,0)</f>
        <v>1</v>
      </c>
      <c r="AU30">
        <f>IF(VLOOKUP(AU$1,main!$A$3:$I$56,5,FALSE)-VLOOKUP($A30,main!$A$3:$I$56,6,FALSE)&gt;=VLOOKUP(55,main!$A$57:$I$59,4,FALSE)+VLOOKUP(VLOOKUP(AU$1,main!$A$3:$I$56,7,FALSE),main!$K$10:$Q$14,3,FALSE),1,0)</f>
        <v>0</v>
      </c>
      <c r="AV30">
        <f>IF(VLOOKUP(AV$1,main!$A$3:$I$56,5,FALSE)-VLOOKUP($A30,main!$A$3:$I$56,6,FALSE)&gt;=VLOOKUP(55,main!$A$57:$I$59,4,FALSE)+VLOOKUP(VLOOKUP(AV$1,main!$A$3:$I$56,7,FALSE),main!$K$10:$Q$14,3,FALSE),1,0)</f>
        <v>0</v>
      </c>
      <c r="AW30">
        <f>IF(VLOOKUP(AW$1,main!$A$3:$I$56,5,FALSE)-VLOOKUP($A30,main!$A$3:$I$56,6,FALSE)&gt;=VLOOKUP(55,main!$A$57:$I$59,4,FALSE)+VLOOKUP(VLOOKUP(AW$1,main!$A$3:$I$56,7,FALSE),main!$K$10:$Q$14,3,FALSE),1,0)</f>
        <v>0</v>
      </c>
      <c r="AX30">
        <f>IF(VLOOKUP(AX$1,main!$A$3:$I$56,5,FALSE)-VLOOKUP($A30,main!$A$3:$I$56,6,FALSE)&gt;=VLOOKUP(55,main!$A$57:$I$59,4,FALSE)+VLOOKUP(VLOOKUP(AX$1,main!$A$3:$I$56,7,FALSE),main!$K$10:$Q$14,3,FALSE),1,0)</f>
        <v>1</v>
      </c>
      <c r="AY30">
        <f>IF(VLOOKUP(AY$1,main!$A$3:$I$56,5,FALSE)-VLOOKUP($A30,main!$A$3:$I$56,6,FALSE)&gt;=VLOOKUP(55,main!$A$57:$I$59,4,FALSE)+VLOOKUP(VLOOKUP(AY$1,main!$A$3:$I$56,7,FALSE),main!$K$10:$Q$14,3,FALSE),1,0)</f>
        <v>1</v>
      </c>
      <c r="AZ30">
        <f>IF(VLOOKUP(AZ$1,main!$A$3:$I$56,5,FALSE)-VLOOKUP($A30,main!$A$3:$I$56,6,FALSE)&gt;=VLOOKUP(55,main!$A$57:$I$59,4,FALSE)+VLOOKUP(VLOOKUP(AZ$1,main!$A$3:$I$56,7,FALSE),main!$K$10:$Q$14,3,FALSE),1,0)</f>
        <v>0</v>
      </c>
      <c r="BA30">
        <f>IF(VLOOKUP(BA$1,main!$A$3:$I$56,5,FALSE)-VLOOKUP($A30,main!$A$3:$I$56,6,FALSE)&gt;=VLOOKUP(55,main!$A$57:$I$59,4,FALSE)+VLOOKUP(VLOOKUP(BA$1,main!$A$3:$I$56,7,FALSE),main!$K$10:$Q$14,3,FALSE),1,0)</f>
        <v>0</v>
      </c>
      <c r="BB30">
        <f>IF(VLOOKUP(BB$1,main!$A$3:$I$56,5,FALSE)-VLOOKUP($A30,main!$A$3:$I$56,6,FALSE)&gt;=VLOOKUP(55,main!$A$57:$I$59,4,FALSE)+VLOOKUP(VLOOKUP(BB$1,main!$A$3:$I$56,7,FALSE),main!$K$10:$Q$14,3,FALSE),1,0)</f>
        <v>0</v>
      </c>
      <c r="BC30">
        <f>IF(VLOOKUP(BC$1,main!$A$3:$I$56,5,FALSE)-VLOOKUP($A30,main!$A$3:$I$56,6,FALSE)&gt;=VLOOKUP(55,main!$A$57:$I$59,4,FALSE)+VLOOKUP(VLOOKUP(BC$1,main!$A$3:$I$56,7,FALSE),main!$K$10:$Q$14,3,FALSE),1,0)</f>
        <v>1</v>
      </c>
      <c r="BD30">
        <f>IF(VLOOKUP(BD$1,main!$A$3:$I$56,5,FALSE)-VLOOKUP($A30,main!$A$3:$I$56,6,FALSE)&gt;=VLOOKUP(55,main!$A$57:$I$59,4,FALSE)+VLOOKUP(VLOOKUP(BD$1,main!$A$3:$I$56,7,FALSE),main!$K$10:$Q$14,3,FALSE),1,0)</f>
        <v>1</v>
      </c>
    </row>
    <row r="31" spans="1:56" x14ac:dyDescent="0.25">
      <c r="A31">
        <f t="shared" si="0"/>
        <v>29</v>
      </c>
      <c r="B31">
        <v>0</v>
      </c>
      <c r="C31">
        <f>IF(VLOOKUP(C$1,main!$A$3:$I$56,5,FALSE)-VLOOKUP($A31,main!$A$3:$I$56,6,FALSE)&gt;=VLOOKUP(55,main!$A$57:$I$59,4,FALSE)+VLOOKUP(VLOOKUP(C$1,main!$A$3:$I$56,7,FALSE),main!$K$10:$Q$14,3,FALSE),1,0)</f>
        <v>0</v>
      </c>
      <c r="D31">
        <f>IF(VLOOKUP(D$1,main!$A$3:$I$56,5,FALSE)-VLOOKUP($A31,main!$A$3:$I$56,6,FALSE)&gt;=VLOOKUP(55,main!$A$57:$I$59,4,FALSE)+VLOOKUP(VLOOKUP(D$1,main!$A$3:$I$56,7,FALSE),main!$K$10:$Q$14,3,FALSE),1,0)</f>
        <v>0</v>
      </c>
      <c r="E31">
        <f>IF(VLOOKUP(E$1,main!$A$3:$I$56,5,FALSE)-VLOOKUP($A31,main!$A$3:$I$56,6,FALSE)&gt;=VLOOKUP(55,main!$A$57:$I$59,4,FALSE)+VLOOKUP(VLOOKUP(E$1,main!$A$3:$I$56,7,FALSE),main!$K$10:$Q$14,3,FALSE),1,0)</f>
        <v>0</v>
      </c>
      <c r="F31">
        <f>IF(VLOOKUP(F$1,main!$A$3:$I$56,5,FALSE)-VLOOKUP($A31,main!$A$3:$I$56,6,FALSE)&gt;=VLOOKUP(55,main!$A$57:$I$59,4,FALSE)+VLOOKUP(VLOOKUP(F$1,main!$A$3:$I$56,7,FALSE),main!$K$10:$Q$14,3,FALSE),1,0)</f>
        <v>0</v>
      </c>
      <c r="G31">
        <f>IF(VLOOKUP(G$1,main!$A$3:$I$56,5,FALSE)-VLOOKUP($A31,main!$A$3:$I$56,6,FALSE)&gt;=VLOOKUP(55,main!$A$57:$I$59,4,FALSE)+VLOOKUP(VLOOKUP(G$1,main!$A$3:$I$56,7,FALSE),main!$K$10:$Q$14,3,FALSE),1,0)</f>
        <v>0</v>
      </c>
      <c r="H31">
        <f>IF(VLOOKUP(H$1,main!$A$3:$I$56,5,FALSE)-VLOOKUP($A31,main!$A$3:$I$56,6,FALSE)&gt;=VLOOKUP(55,main!$A$57:$I$59,4,FALSE)+VLOOKUP(VLOOKUP(H$1,main!$A$3:$I$56,7,FALSE),main!$K$10:$Q$14,3,FALSE),1,0)</f>
        <v>1</v>
      </c>
      <c r="I31">
        <f>IF(VLOOKUP(I$1,main!$A$3:$I$56,5,FALSE)-VLOOKUP($A31,main!$A$3:$I$56,6,FALSE)&gt;=VLOOKUP(55,main!$A$57:$I$59,4,FALSE)+VLOOKUP(VLOOKUP(I$1,main!$A$3:$I$56,7,FALSE),main!$K$10:$Q$14,3,FALSE),1,0)</f>
        <v>1</v>
      </c>
      <c r="J31">
        <f>IF(VLOOKUP(J$1,main!$A$3:$I$56,5,FALSE)-VLOOKUP($A31,main!$A$3:$I$56,6,FALSE)&gt;=VLOOKUP(55,main!$A$57:$I$59,4,FALSE)+VLOOKUP(VLOOKUP(J$1,main!$A$3:$I$56,7,FALSE),main!$K$10:$Q$14,3,FALSE),1,0)</f>
        <v>1</v>
      </c>
      <c r="K31">
        <f>IF(VLOOKUP(K$1,main!$A$3:$I$56,5,FALSE)-VLOOKUP($A31,main!$A$3:$I$56,6,FALSE)&gt;=VLOOKUP(55,main!$A$57:$I$59,4,FALSE)+VLOOKUP(VLOOKUP(K$1,main!$A$3:$I$56,7,FALSE),main!$K$10:$Q$14,3,FALSE),1,0)</f>
        <v>0</v>
      </c>
      <c r="L31">
        <f>IF(VLOOKUP(L$1,main!$A$3:$I$56,5,FALSE)-VLOOKUP($A31,main!$A$3:$I$56,6,FALSE)&gt;=VLOOKUP(55,main!$A$57:$I$59,4,FALSE)+VLOOKUP(VLOOKUP(L$1,main!$A$3:$I$56,7,FALSE),main!$K$10:$Q$14,3,FALSE),1,0)</f>
        <v>0</v>
      </c>
      <c r="M31">
        <f>IF(VLOOKUP(M$1,main!$A$3:$I$56,5,FALSE)-VLOOKUP($A31,main!$A$3:$I$56,6,FALSE)&gt;=VLOOKUP(55,main!$A$57:$I$59,4,FALSE)+VLOOKUP(VLOOKUP(M$1,main!$A$3:$I$56,7,FALSE),main!$K$10:$Q$14,3,FALSE),1,0)</f>
        <v>0</v>
      </c>
      <c r="N31">
        <f>IF(VLOOKUP(N$1,main!$A$3:$I$56,5,FALSE)-VLOOKUP($A31,main!$A$3:$I$56,6,FALSE)&gt;=VLOOKUP(55,main!$A$57:$I$59,4,FALSE)+VLOOKUP(VLOOKUP(N$1,main!$A$3:$I$56,7,FALSE),main!$K$10:$Q$14,3,FALSE),1,0)</f>
        <v>1</v>
      </c>
      <c r="O31">
        <f>IF(VLOOKUP(O$1,main!$A$3:$I$56,5,FALSE)-VLOOKUP($A31,main!$A$3:$I$56,6,FALSE)&gt;=VLOOKUP(55,main!$A$57:$I$59,4,FALSE)+VLOOKUP(VLOOKUP(O$1,main!$A$3:$I$56,7,FALSE),main!$K$10:$Q$14,3,FALSE),1,0)</f>
        <v>1</v>
      </c>
      <c r="P31">
        <f>IF(VLOOKUP(P$1,main!$A$3:$I$56,5,FALSE)-VLOOKUP($A31,main!$A$3:$I$56,6,FALSE)&gt;=VLOOKUP(55,main!$A$57:$I$59,4,FALSE)+VLOOKUP(VLOOKUP(P$1,main!$A$3:$I$56,7,FALSE),main!$K$10:$Q$14,3,FALSE),1,0)</f>
        <v>0</v>
      </c>
      <c r="Q31">
        <f>IF(VLOOKUP(Q$1,main!$A$3:$I$56,5,FALSE)-VLOOKUP($A31,main!$A$3:$I$56,6,FALSE)&gt;=VLOOKUP(55,main!$A$57:$I$59,4,FALSE)+VLOOKUP(VLOOKUP(Q$1,main!$A$3:$I$56,7,FALSE),main!$K$10:$Q$14,3,FALSE),1,0)</f>
        <v>0</v>
      </c>
      <c r="R31">
        <f>IF(VLOOKUP(R$1,main!$A$3:$I$56,5,FALSE)-VLOOKUP($A31,main!$A$3:$I$56,6,FALSE)&gt;=VLOOKUP(55,main!$A$57:$I$59,4,FALSE)+VLOOKUP(VLOOKUP(R$1,main!$A$3:$I$56,7,FALSE),main!$K$10:$Q$14,3,FALSE),1,0)</f>
        <v>0</v>
      </c>
      <c r="S31">
        <f>IF(VLOOKUP(S$1,main!$A$3:$I$56,5,FALSE)-VLOOKUP($A31,main!$A$3:$I$56,6,FALSE)&gt;=VLOOKUP(55,main!$A$57:$I$59,4,FALSE)+VLOOKUP(VLOOKUP(S$1,main!$A$3:$I$56,7,FALSE),main!$K$10:$Q$14,3,FALSE),1,0)</f>
        <v>0</v>
      </c>
      <c r="T31">
        <f>IF(VLOOKUP(T$1,main!$A$3:$I$56,5,FALSE)-VLOOKUP($A31,main!$A$3:$I$56,6,FALSE)&gt;=VLOOKUP(55,main!$A$57:$I$59,4,FALSE)+VLOOKUP(VLOOKUP(T$1,main!$A$3:$I$56,7,FALSE),main!$K$10:$Q$14,3,FALSE),1,0)</f>
        <v>1</v>
      </c>
      <c r="U31">
        <f>IF(VLOOKUP(U$1,main!$A$3:$I$56,5,FALSE)-VLOOKUP($A31,main!$A$3:$I$56,6,FALSE)&gt;=VLOOKUP(55,main!$A$57:$I$59,4,FALSE)+VLOOKUP(VLOOKUP(U$1,main!$A$3:$I$56,7,FALSE),main!$K$10:$Q$14,3,FALSE),1,0)</f>
        <v>0</v>
      </c>
      <c r="V31">
        <f>IF(VLOOKUP(V$1,main!$A$3:$I$56,5,FALSE)-VLOOKUP($A31,main!$A$3:$I$56,6,FALSE)&gt;=VLOOKUP(55,main!$A$57:$I$59,4,FALSE)+VLOOKUP(VLOOKUP(V$1,main!$A$3:$I$56,7,FALSE),main!$K$10:$Q$14,3,FALSE),1,0)</f>
        <v>0</v>
      </c>
      <c r="W31">
        <f>IF(VLOOKUP(W$1,main!$A$3:$I$56,5,FALSE)-VLOOKUP($A31,main!$A$3:$I$56,6,FALSE)&gt;=VLOOKUP(55,main!$A$57:$I$59,4,FALSE)+VLOOKUP(VLOOKUP(W$1,main!$A$3:$I$56,7,FALSE),main!$K$10:$Q$14,3,FALSE),1,0)</f>
        <v>0</v>
      </c>
      <c r="X31">
        <f>IF(VLOOKUP(X$1,main!$A$3:$I$56,5,FALSE)-VLOOKUP($A31,main!$A$3:$I$56,6,FALSE)&gt;=VLOOKUP(55,main!$A$57:$I$59,4,FALSE)+VLOOKUP(VLOOKUP(X$1,main!$A$3:$I$56,7,FALSE),main!$K$10:$Q$14,3,FALSE),1,0)</f>
        <v>0</v>
      </c>
      <c r="Y31">
        <f>IF(VLOOKUP(Y$1,main!$A$3:$I$56,5,FALSE)-VLOOKUP($A31,main!$A$3:$I$56,6,FALSE)&gt;=VLOOKUP(55,main!$A$57:$I$59,4,FALSE)+VLOOKUP(VLOOKUP(Y$1,main!$A$3:$I$56,7,FALSE),main!$K$10:$Q$14,3,FALSE),1,0)</f>
        <v>0</v>
      </c>
      <c r="Z31">
        <f>IF(VLOOKUP(Z$1,main!$A$3:$I$56,5,FALSE)-VLOOKUP($A31,main!$A$3:$I$56,6,FALSE)&gt;=VLOOKUP(55,main!$A$57:$I$59,4,FALSE)+VLOOKUP(VLOOKUP(Z$1,main!$A$3:$I$56,7,FALSE),main!$K$10:$Q$14,3,FALSE),1,0)</f>
        <v>0</v>
      </c>
      <c r="AA31">
        <f>IF(VLOOKUP(AA$1,main!$A$3:$I$56,5,FALSE)-VLOOKUP($A31,main!$A$3:$I$56,6,FALSE)&gt;=VLOOKUP(55,main!$A$57:$I$59,4,FALSE)+VLOOKUP(VLOOKUP(AA$1,main!$A$3:$I$56,7,FALSE),main!$K$10:$Q$14,3,FALSE),1,0)</f>
        <v>1</v>
      </c>
      <c r="AB31">
        <f>IF(VLOOKUP(AB$1,main!$A$3:$I$56,5,FALSE)-VLOOKUP($A31,main!$A$3:$I$56,6,FALSE)&gt;=VLOOKUP(55,main!$A$57:$I$59,4,FALSE)+VLOOKUP(VLOOKUP(AB$1,main!$A$3:$I$56,7,FALSE),main!$K$10:$Q$14,3,FALSE),1,0)</f>
        <v>1</v>
      </c>
      <c r="AC31">
        <f>IF(VLOOKUP(AC$1,main!$A$3:$I$56,5,FALSE)-VLOOKUP($A31,main!$A$3:$I$56,6,FALSE)&gt;=VLOOKUP(55,main!$A$57:$I$59,4,FALSE)+VLOOKUP(VLOOKUP(AC$1,main!$A$3:$I$56,7,FALSE),main!$K$10:$Q$14,3,FALSE),1,0)</f>
        <v>0</v>
      </c>
      <c r="AD31">
        <f>IF(VLOOKUP(AD$1,main!$A$3:$I$56,5,FALSE)-VLOOKUP($A31,main!$A$3:$I$56,6,FALSE)&gt;=VLOOKUP(55,main!$A$57:$I$59,4,FALSE)+VLOOKUP(VLOOKUP(AD$1,main!$A$3:$I$56,7,FALSE),main!$K$10:$Q$14,3,FALSE),1,0)</f>
        <v>0</v>
      </c>
      <c r="AE31">
        <f>IF(VLOOKUP(AE$1,main!$A$3:$I$56,5,FALSE)-VLOOKUP($A31,main!$A$3:$I$56,6,FALSE)&gt;=VLOOKUP(55,main!$A$57:$I$59,4,FALSE)+VLOOKUP(VLOOKUP(AE$1,main!$A$3:$I$56,7,FALSE),main!$K$10:$Q$14,3,FALSE),1,0)</f>
        <v>0</v>
      </c>
      <c r="AF31">
        <f>IF(VLOOKUP(AF$1,main!$A$3:$I$56,5,FALSE)-VLOOKUP($A31,main!$A$3:$I$56,6,FALSE)&gt;=VLOOKUP(55,main!$A$57:$I$59,4,FALSE)+VLOOKUP(VLOOKUP(AF$1,main!$A$3:$I$56,7,FALSE),main!$K$10:$Q$14,3,FALSE),1,0)</f>
        <v>0</v>
      </c>
      <c r="AG31">
        <f>IF(VLOOKUP(AG$1,main!$A$3:$I$56,5,FALSE)-VLOOKUP($A31,main!$A$3:$I$56,6,FALSE)&gt;=VLOOKUP(55,main!$A$57:$I$59,4,FALSE)+VLOOKUP(VLOOKUP(AG$1,main!$A$3:$I$56,7,FALSE),main!$K$10:$Q$14,3,FALSE),1,0)</f>
        <v>0</v>
      </c>
      <c r="AH31">
        <f>IF(VLOOKUP(AH$1,main!$A$3:$I$56,5,FALSE)-VLOOKUP($A31,main!$A$3:$I$56,6,FALSE)&gt;=VLOOKUP(55,main!$A$57:$I$59,4,FALSE)+VLOOKUP(VLOOKUP(AH$1,main!$A$3:$I$56,7,FALSE),main!$K$10:$Q$14,3,FALSE),1,0)</f>
        <v>0</v>
      </c>
      <c r="AI31">
        <f>IF(VLOOKUP(AI$1,main!$A$3:$I$56,5,FALSE)-VLOOKUP($A31,main!$A$3:$I$56,6,FALSE)&gt;=VLOOKUP(55,main!$A$57:$I$59,4,FALSE)+VLOOKUP(VLOOKUP(AI$1,main!$A$3:$I$56,7,FALSE),main!$K$10:$Q$14,3,FALSE),1,0)</f>
        <v>0</v>
      </c>
      <c r="AJ31">
        <f>IF(VLOOKUP(AJ$1,main!$A$3:$I$56,5,FALSE)-VLOOKUP($A31,main!$A$3:$I$56,6,FALSE)&gt;=VLOOKUP(55,main!$A$57:$I$59,4,FALSE)+VLOOKUP(VLOOKUP(AJ$1,main!$A$3:$I$56,7,FALSE),main!$K$10:$Q$14,3,FALSE),1,0)</f>
        <v>0</v>
      </c>
      <c r="AK31">
        <f>IF(VLOOKUP(AK$1,main!$A$3:$I$56,5,FALSE)-VLOOKUP($A31,main!$A$3:$I$56,6,FALSE)&gt;=VLOOKUP(55,main!$A$57:$I$59,4,FALSE)+VLOOKUP(VLOOKUP(AK$1,main!$A$3:$I$56,7,FALSE),main!$K$10:$Q$14,3,FALSE),1,0)</f>
        <v>1</v>
      </c>
      <c r="AL31">
        <f>IF(VLOOKUP(AL$1,main!$A$3:$I$56,5,FALSE)-VLOOKUP($A31,main!$A$3:$I$56,6,FALSE)&gt;=VLOOKUP(55,main!$A$57:$I$59,4,FALSE)+VLOOKUP(VLOOKUP(AL$1,main!$A$3:$I$56,7,FALSE),main!$K$10:$Q$14,3,FALSE),1,0)</f>
        <v>0</v>
      </c>
      <c r="AM31">
        <f>IF(VLOOKUP(AM$1,main!$A$3:$I$56,5,FALSE)-VLOOKUP($A31,main!$A$3:$I$56,6,FALSE)&gt;=VLOOKUP(55,main!$A$57:$I$59,4,FALSE)+VLOOKUP(VLOOKUP(AM$1,main!$A$3:$I$56,7,FALSE),main!$K$10:$Q$14,3,FALSE),1,0)</f>
        <v>0</v>
      </c>
      <c r="AN31">
        <f>IF(VLOOKUP(AN$1,main!$A$3:$I$56,5,FALSE)-VLOOKUP($A31,main!$A$3:$I$56,6,FALSE)&gt;=VLOOKUP(55,main!$A$57:$I$59,4,FALSE)+VLOOKUP(VLOOKUP(AN$1,main!$A$3:$I$56,7,FALSE),main!$K$10:$Q$14,3,FALSE),1,0)</f>
        <v>0</v>
      </c>
      <c r="AO31">
        <f>IF(VLOOKUP(AO$1,main!$A$3:$I$56,5,FALSE)-VLOOKUP($A31,main!$A$3:$I$56,6,FALSE)&gt;=VLOOKUP(55,main!$A$57:$I$59,4,FALSE)+VLOOKUP(VLOOKUP(AO$1,main!$A$3:$I$56,7,FALSE),main!$K$10:$Q$14,3,FALSE),1,0)</f>
        <v>0</v>
      </c>
      <c r="AP31">
        <f>IF(VLOOKUP(AP$1,main!$A$3:$I$56,5,FALSE)-VLOOKUP($A31,main!$A$3:$I$56,6,FALSE)&gt;=VLOOKUP(55,main!$A$57:$I$59,4,FALSE)+VLOOKUP(VLOOKUP(AP$1,main!$A$3:$I$56,7,FALSE),main!$K$10:$Q$14,3,FALSE),1,0)</f>
        <v>0</v>
      </c>
      <c r="AQ31">
        <f>IF(VLOOKUP(AQ$1,main!$A$3:$I$56,5,FALSE)-VLOOKUP($A31,main!$A$3:$I$56,6,FALSE)&gt;=VLOOKUP(55,main!$A$57:$I$59,4,FALSE)+VLOOKUP(VLOOKUP(AQ$1,main!$A$3:$I$56,7,FALSE),main!$K$10:$Q$14,3,FALSE),1,0)</f>
        <v>0</v>
      </c>
      <c r="AR31">
        <f>IF(VLOOKUP(AR$1,main!$A$3:$I$56,5,FALSE)-VLOOKUP($A31,main!$A$3:$I$56,6,FALSE)&gt;=VLOOKUP(55,main!$A$57:$I$59,4,FALSE)+VLOOKUP(VLOOKUP(AR$1,main!$A$3:$I$56,7,FALSE),main!$K$10:$Q$14,3,FALSE),1,0)</f>
        <v>0</v>
      </c>
      <c r="AS31">
        <f>IF(VLOOKUP(AS$1,main!$A$3:$I$56,5,FALSE)-VLOOKUP($A31,main!$A$3:$I$56,6,FALSE)&gt;=VLOOKUP(55,main!$A$57:$I$59,4,FALSE)+VLOOKUP(VLOOKUP(AS$1,main!$A$3:$I$56,7,FALSE),main!$K$10:$Q$14,3,FALSE),1,0)</f>
        <v>0</v>
      </c>
      <c r="AT31">
        <f>IF(VLOOKUP(AT$1,main!$A$3:$I$56,5,FALSE)-VLOOKUP($A31,main!$A$3:$I$56,6,FALSE)&gt;=VLOOKUP(55,main!$A$57:$I$59,4,FALSE)+VLOOKUP(VLOOKUP(AT$1,main!$A$3:$I$56,7,FALSE),main!$K$10:$Q$14,3,FALSE),1,0)</f>
        <v>0</v>
      </c>
      <c r="AU31">
        <f>IF(VLOOKUP(AU$1,main!$A$3:$I$56,5,FALSE)-VLOOKUP($A31,main!$A$3:$I$56,6,FALSE)&gt;=VLOOKUP(55,main!$A$57:$I$59,4,FALSE)+VLOOKUP(VLOOKUP(AU$1,main!$A$3:$I$56,7,FALSE),main!$K$10:$Q$14,3,FALSE),1,0)</f>
        <v>0</v>
      </c>
      <c r="AV31">
        <f>IF(VLOOKUP(AV$1,main!$A$3:$I$56,5,FALSE)-VLOOKUP($A31,main!$A$3:$I$56,6,FALSE)&gt;=VLOOKUP(55,main!$A$57:$I$59,4,FALSE)+VLOOKUP(VLOOKUP(AV$1,main!$A$3:$I$56,7,FALSE),main!$K$10:$Q$14,3,FALSE),1,0)</f>
        <v>0</v>
      </c>
      <c r="AW31">
        <f>IF(VLOOKUP(AW$1,main!$A$3:$I$56,5,FALSE)-VLOOKUP($A31,main!$A$3:$I$56,6,FALSE)&gt;=VLOOKUP(55,main!$A$57:$I$59,4,FALSE)+VLOOKUP(VLOOKUP(AW$1,main!$A$3:$I$56,7,FALSE),main!$K$10:$Q$14,3,FALSE),1,0)</f>
        <v>0</v>
      </c>
      <c r="AX31">
        <f>IF(VLOOKUP(AX$1,main!$A$3:$I$56,5,FALSE)-VLOOKUP($A31,main!$A$3:$I$56,6,FALSE)&gt;=VLOOKUP(55,main!$A$57:$I$59,4,FALSE)+VLOOKUP(VLOOKUP(AX$1,main!$A$3:$I$56,7,FALSE),main!$K$10:$Q$14,3,FALSE),1,0)</f>
        <v>1</v>
      </c>
      <c r="AY31">
        <f>IF(VLOOKUP(AY$1,main!$A$3:$I$56,5,FALSE)-VLOOKUP($A31,main!$A$3:$I$56,6,FALSE)&gt;=VLOOKUP(55,main!$A$57:$I$59,4,FALSE)+VLOOKUP(VLOOKUP(AY$1,main!$A$3:$I$56,7,FALSE),main!$K$10:$Q$14,3,FALSE),1,0)</f>
        <v>1</v>
      </c>
      <c r="AZ31">
        <f>IF(VLOOKUP(AZ$1,main!$A$3:$I$56,5,FALSE)-VLOOKUP($A31,main!$A$3:$I$56,6,FALSE)&gt;=VLOOKUP(55,main!$A$57:$I$59,4,FALSE)+VLOOKUP(VLOOKUP(AZ$1,main!$A$3:$I$56,7,FALSE),main!$K$10:$Q$14,3,FALSE),1,0)</f>
        <v>0</v>
      </c>
      <c r="BA31">
        <f>IF(VLOOKUP(BA$1,main!$A$3:$I$56,5,FALSE)-VLOOKUP($A31,main!$A$3:$I$56,6,FALSE)&gt;=VLOOKUP(55,main!$A$57:$I$59,4,FALSE)+VLOOKUP(VLOOKUP(BA$1,main!$A$3:$I$56,7,FALSE),main!$K$10:$Q$14,3,FALSE),1,0)</f>
        <v>0</v>
      </c>
      <c r="BB31">
        <f>IF(VLOOKUP(BB$1,main!$A$3:$I$56,5,FALSE)-VLOOKUP($A31,main!$A$3:$I$56,6,FALSE)&gt;=VLOOKUP(55,main!$A$57:$I$59,4,FALSE)+VLOOKUP(VLOOKUP(BB$1,main!$A$3:$I$56,7,FALSE),main!$K$10:$Q$14,3,FALSE),1,0)</f>
        <v>0</v>
      </c>
      <c r="BC31">
        <f>IF(VLOOKUP(BC$1,main!$A$3:$I$56,5,FALSE)-VLOOKUP($A31,main!$A$3:$I$56,6,FALSE)&gt;=VLOOKUP(55,main!$A$57:$I$59,4,FALSE)+VLOOKUP(VLOOKUP(BC$1,main!$A$3:$I$56,7,FALSE),main!$K$10:$Q$14,3,FALSE),1,0)</f>
        <v>0</v>
      </c>
      <c r="BD31">
        <f>IF(VLOOKUP(BD$1,main!$A$3:$I$56,5,FALSE)-VLOOKUP($A31,main!$A$3:$I$56,6,FALSE)&gt;=VLOOKUP(55,main!$A$57:$I$59,4,FALSE)+VLOOKUP(VLOOKUP(BD$1,main!$A$3:$I$56,7,FALSE),main!$K$10:$Q$14,3,FALSE),1,0)</f>
        <v>0</v>
      </c>
    </row>
    <row r="32" spans="1:56" x14ac:dyDescent="0.25">
      <c r="A32">
        <f t="shared" si="0"/>
        <v>30</v>
      </c>
      <c r="B32">
        <v>0</v>
      </c>
      <c r="C32">
        <f>IF(VLOOKUP(C$1,main!$A$3:$I$56,5,FALSE)-VLOOKUP($A32,main!$A$3:$I$56,6,FALSE)&gt;=VLOOKUP(55,main!$A$57:$I$59,4,FALSE)+VLOOKUP(VLOOKUP(C$1,main!$A$3:$I$56,7,FALSE),main!$K$10:$Q$14,3,FALSE),1,0)</f>
        <v>0</v>
      </c>
      <c r="D32">
        <f>IF(VLOOKUP(D$1,main!$A$3:$I$56,5,FALSE)-VLOOKUP($A32,main!$A$3:$I$56,6,FALSE)&gt;=VLOOKUP(55,main!$A$57:$I$59,4,FALSE)+VLOOKUP(VLOOKUP(D$1,main!$A$3:$I$56,7,FALSE),main!$K$10:$Q$14,3,FALSE),1,0)</f>
        <v>0</v>
      </c>
      <c r="E32">
        <f>IF(VLOOKUP(E$1,main!$A$3:$I$56,5,FALSE)-VLOOKUP($A32,main!$A$3:$I$56,6,FALSE)&gt;=VLOOKUP(55,main!$A$57:$I$59,4,FALSE)+VLOOKUP(VLOOKUP(E$1,main!$A$3:$I$56,7,FALSE),main!$K$10:$Q$14,3,FALSE),1,0)</f>
        <v>0</v>
      </c>
      <c r="F32">
        <f>IF(VLOOKUP(F$1,main!$A$3:$I$56,5,FALSE)-VLOOKUP($A32,main!$A$3:$I$56,6,FALSE)&gt;=VLOOKUP(55,main!$A$57:$I$59,4,FALSE)+VLOOKUP(VLOOKUP(F$1,main!$A$3:$I$56,7,FALSE),main!$K$10:$Q$14,3,FALSE),1,0)</f>
        <v>0</v>
      </c>
      <c r="G32">
        <f>IF(VLOOKUP(G$1,main!$A$3:$I$56,5,FALSE)-VLOOKUP($A32,main!$A$3:$I$56,6,FALSE)&gt;=VLOOKUP(55,main!$A$57:$I$59,4,FALSE)+VLOOKUP(VLOOKUP(G$1,main!$A$3:$I$56,7,FALSE),main!$K$10:$Q$14,3,FALSE),1,0)</f>
        <v>0</v>
      </c>
      <c r="H32">
        <f>IF(VLOOKUP(H$1,main!$A$3:$I$56,5,FALSE)-VLOOKUP($A32,main!$A$3:$I$56,6,FALSE)&gt;=VLOOKUP(55,main!$A$57:$I$59,4,FALSE)+VLOOKUP(VLOOKUP(H$1,main!$A$3:$I$56,7,FALSE),main!$K$10:$Q$14,3,FALSE),1,0)</f>
        <v>0</v>
      </c>
      <c r="I32">
        <f>IF(VLOOKUP(I$1,main!$A$3:$I$56,5,FALSE)-VLOOKUP($A32,main!$A$3:$I$56,6,FALSE)&gt;=VLOOKUP(55,main!$A$57:$I$59,4,FALSE)+VLOOKUP(VLOOKUP(I$1,main!$A$3:$I$56,7,FALSE),main!$K$10:$Q$14,3,FALSE),1,0)</f>
        <v>0</v>
      </c>
      <c r="J32">
        <f>IF(VLOOKUP(J$1,main!$A$3:$I$56,5,FALSE)-VLOOKUP($A32,main!$A$3:$I$56,6,FALSE)&gt;=VLOOKUP(55,main!$A$57:$I$59,4,FALSE)+VLOOKUP(VLOOKUP(J$1,main!$A$3:$I$56,7,FALSE),main!$K$10:$Q$14,3,FALSE),1,0)</f>
        <v>0</v>
      </c>
      <c r="K32">
        <f>IF(VLOOKUP(K$1,main!$A$3:$I$56,5,FALSE)-VLOOKUP($A32,main!$A$3:$I$56,6,FALSE)&gt;=VLOOKUP(55,main!$A$57:$I$59,4,FALSE)+VLOOKUP(VLOOKUP(K$1,main!$A$3:$I$56,7,FALSE),main!$K$10:$Q$14,3,FALSE),1,0)</f>
        <v>0</v>
      </c>
      <c r="L32">
        <f>IF(VLOOKUP(L$1,main!$A$3:$I$56,5,FALSE)-VLOOKUP($A32,main!$A$3:$I$56,6,FALSE)&gt;=VLOOKUP(55,main!$A$57:$I$59,4,FALSE)+VLOOKUP(VLOOKUP(L$1,main!$A$3:$I$56,7,FALSE),main!$K$10:$Q$14,3,FALSE),1,0)</f>
        <v>0</v>
      </c>
      <c r="M32">
        <f>IF(VLOOKUP(M$1,main!$A$3:$I$56,5,FALSE)-VLOOKUP($A32,main!$A$3:$I$56,6,FALSE)&gt;=VLOOKUP(55,main!$A$57:$I$59,4,FALSE)+VLOOKUP(VLOOKUP(M$1,main!$A$3:$I$56,7,FALSE),main!$K$10:$Q$14,3,FALSE),1,0)</f>
        <v>0</v>
      </c>
      <c r="N32">
        <f>IF(VLOOKUP(N$1,main!$A$3:$I$56,5,FALSE)-VLOOKUP($A32,main!$A$3:$I$56,6,FALSE)&gt;=VLOOKUP(55,main!$A$57:$I$59,4,FALSE)+VLOOKUP(VLOOKUP(N$1,main!$A$3:$I$56,7,FALSE),main!$K$10:$Q$14,3,FALSE),1,0)</f>
        <v>0</v>
      </c>
      <c r="O32">
        <f>IF(VLOOKUP(O$1,main!$A$3:$I$56,5,FALSE)-VLOOKUP($A32,main!$A$3:$I$56,6,FALSE)&gt;=VLOOKUP(55,main!$A$57:$I$59,4,FALSE)+VLOOKUP(VLOOKUP(O$1,main!$A$3:$I$56,7,FALSE),main!$K$10:$Q$14,3,FALSE),1,0)</f>
        <v>1</v>
      </c>
      <c r="P32">
        <f>IF(VLOOKUP(P$1,main!$A$3:$I$56,5,FALSE)-VLOOKUP($A32,main!$A$3:$I$56,6,FALSE)&gt;=VLOOKUP(55,main!$A$57:$I$59,4,FALSE)+VLOOKUP(VLOOKUP(P$1,main!$A$3:$I$56,7,FALSE),main!$K$10:$Q$14,3,FALSE),1,0)</f>
        <v>0</v>
      </c>
      <c r="Q32">
        <f>IF(VLOOKUP(Q$1,main!$A$3:$I$56,5,FALSE)-VLOOKUP($A32,main!$A$3:$I$56,6,FALSE)&gt;=VLOOKUP(55,main!$A$57:$I$59,4,FALSE)+VLOOKUP(VLOOKUP(Q$1,main!$A$3:$I$56,7,FALSE),main!$K$10:$Q$14,3,FALSE),1,0)</f>
        <v>0</v>
      </c>
      <c r="R32">
        <f>IF(VLOOKUP(R$1,main!$A$3:$I$56,5,FALSE)-VLOOKUP($A32,main!$A$3:$I$56,6,FALSE)&gt;=VLOOKUP(55,main!$A$57:$I$59,4,FALSE)+VLOOKUP(VLOOKUP(R$1,main!$A$3:$I$56,7,FALSE),main!$K$10:$Q$14,3,FALSE),1,0)</f>
        <v>0</v>
      </c>
      <c r="S32">
        <f>IF(VLOOKUP(S$1,main!$A$3:$I$56,5,FALSE)-VLOOKUP($A32,main!$A$3:$I$56,6,FALSE)&gt;=VLOOKUP(55,main!$A$57:$I$59,4,FALSE)+VLOOKUP(VLOOKUP(S$1,main!$A$3:$I$56,7,FALSE),main!$K$10:$Q$14,3,FALSE),1,0)</f>
        <v>0</v>
      </c>
      <c r="T32">
        <f>IF(VLOOKUP(T$1,main!$A$3:$I$56,5,FALSE)-VLOOKUP($A32,main!$A$3:$I$56,6,FALSE)&gt;=VLOOKUP(55,main!$A$57:$I$59,4,FALSE)+VLOOKUP(VLOOKUP(T$1,main!$A$3:$I$56,7,FALSE),main!$K$10:$Q$14,3,FALSE),1,0)</f>
        <v>0</v>
      </c>
      <c r="U32">
        <f>IF(VLOOKUP(U$1,main!$A$3:$I$56,5,FALSE)-VLOOKUP($A32,main!$A$3:$I$56,6,FALSE)&gt;=VLOOKUP(55,main!$A$57:$I$59,4,FALSE)+VLOOKUP(VLOOKUP(U$1,main!$A$3:$I$56,7,FALSE),main!$K$10:$Q$14,3,FALSE),1,0)</f>
        <v>0</v>
      </c>
      <c r="V32">
        <f>IF(VLOOKUP(V$1,main!$A$3:$I$56,5,FALSE)-VLOOKUP($A32,main!$A$3:$I$56,6,FALSE)&gt;=VLOOKUP(55,main!$A$57:$I$59,4,FALSE)+VLOOKUP(VLOOKUP(V$1,main!$A$3:$I$56,7,FALSE),main!$K$10:$Q$14,3,FALSE),1,0)</f>
        <v>0</v>
      </c>
      <c r="W32">
        <f>IF(VLOOKUP(W$1,main!$A$3:$I$56,5,FALSE)-VLOOKUP($A32,main!$A$3:$I$56,6,FALSE)&gt;=VLOOKUP(55,main!$A$57:$I$59,4,FALSE)+VLOOKUP(VLOOKUP(W$1,main!$A$3:$I$56,7,FALSE),main!$K$10:$Q$14,3,FALSE),1,0)</f>
        <v>0</v>
      </c>
      <c r="X32">
        <f>IF(VLOOKUP(X$1,main!$A$3:$I$56,5,FALSE)-VLOOKUP($A32,main!$A$3:$I$56,6,FALSE)&gt;=VLOOKUP(55,main!$A$57:$I$59,4,FALSE)+VLOOKUP(VLOOKUP(X$1,main!$A$3:$I$56,7,FALSE),main!$K$10:$Q$14,3,FALSE),1,0)</f>
        <v>0</v>
      </c>
      <c r="Y32">
        <f>IF(VLOOKUP(Y$1,main!$A$3:$I$56,5,FALSE)-VLOOKUP($A32,main!$A$3:$I$56,6,FALSE)&gt;=VLOOKUP(55,main!$A$57:$I$59,4,FALSE)+VLOOKUP(VLOOKUP(Y$1,main!$A$3:$I$56,7,FALSE),main!$K$10:$Q$14,3,FALSE),1,0)</f>
        <v>0</v>
      </c>
      <c r="Z32">
        <f>IF(VLOOKUP(Z$1,main!$A$3:$I$56,5,FALSE)-VLOOKUP($A32,main!$A$3:$I$56,6,FALSE)&gt;=VLOOKUP(55,main!$A$57:$I$59,4,FALSE)+VLOOKUP(VLOOKUP(Z$1,main!$A$3:$I$56,7,FALSE),main!$K$10:$Q$14,3,FALSE),1,0)</f>
        <v>0</v>
      </c>
      <c r="AA32">
        <f>IF(VLOOKUP(AA$1,main!$A$3:$I$56,5,FALSE)-VLOOKUP($A32,main!$A$3:$I$56,6,FALSE)&gt;=VLOOKUP(55,main!$A$57:$I$59,4,FALSE)+VLOOKUP(VLOOKUP(AA$1,main!$A$3:$I$56,7,FALSE),main!$K$10:$Q$14,3,FALSE),1,0)</f>
        <v>0</v>
      </c>
      <c r="AB32">
        <f>IF(VLOOKUP(AB$1,main!$A$3:$I$56,5,FALSE)-VLOOKUP($A32,main!$A$3:$I$56,6,FALSE)&gt;=VLOOKUP(55,main!$A$57:$I$59,4,FALSE)+VLOOKUP(VLOOKUP(AB$1,main!$A$3:$I$56,7,FALSE),main!$K$10:$Q$14,3,FALSE),1,0)</f>
        <v>0</v>
      </c>
      <c r="AC32">
        <f>IF(VLOOKUP(AC$1,main!$A$3:$I$56,5,FALSE)-VLOOKUP($A32,main!$A$3:$I$56,6,FALSE)&gt;=VLOOKUP(55,main!$A$57:$I$59,4,FALSE)+VLOOKUP(VLOOKUP(AC$1,main!$A$3:$I$56,7,FALSE),main!$K$10:$Q$14,3,FALSE),1,0)</f>
        <v>0</v>
      </c>
      <c r="AD32">
        <f>IF(VLOOKUP(AD$1,main!$A$3:$I$56,5,FALSE)-VLOOKUP($A32,main!$A$3:$I$56,6,FALSE)&gt;=VLOOKUP(55,main!$A$57:$I$59,4,FALSE)+VLOOKUP(VLOOKUP(AD$1,main!$A$3:$I$56,7,FALSE),main!$K$10:$Q$14,3,FALSE),1,0)</f>
        <v>0</v>
      </c>
      <c r="AE32">
        <f>IF(VLOOKUP(AE$1,main!$A$3:$I$56,5,FALSE)-VLOOKUP($A32,main!$A$3:$I$56,6,FALSE)&gt;=VLOOKUP(55,main!$A$57:$I$59,4,FALSE)+VLOOKUP(VLOOKUP(AE$1,main!$A$3:$I$56,7,FALSE),main!$K$10:$Q$14,3,FALSE),1,0)</f>
        <v>0</v>
      </c>
      <c r="AF32">
        <f>IF(VLOOKUP(AF$1,main!$A$3:$I$56,5,FALSE)-VLOOKUP($A32,main!$A$3:$I$56,6,FALSE)&gt;=VLOOKUP(55,main!$A$57:$I$59,4,FALSE)+VLOOKUP(VLOOKUP(AF$1,main!$A$3:$I$56,7,FALSE),main!$K$10:$Q$14,3,FALSE),1,0)</f>
        <v>0</v>
      </c>
      <c r="AG32">
        <f>IF(VLOOKUP(AG$1,main!$A$3:$I$56,5,FALSE)-VLOOKUP($A32,main!$A$3:$I$56,6,FALSE)&gt;=VLOOKUP(55,main!$A$57:$I$59,4,FALSE)+VLOOKUP(VLOOKUP(AG$1,main!$A$3:$I$56,7,FALSE),main!$K$10:$Q$14,3,FALSE),1,0)</f>
        <v>0</v>
      </c>
      <c r="AH32">
        <f>IF(VLOOKUP(AH$1,main!$A$3:$I$56,5,FALSE)-VLOOKUP($A32,main!$A$3:$I$56,6,FALSE)&gt;=VLOOKUP(55,main!$A$57:$I$59,4,FALSE)+VLOOKUP(VLOOKUP(AH$1,main!$A$3:$I$56,7,FALSE),main!$K$10:$Q$14,3,FALSE),1,0)</f>
        <v>0</v>
      </c>
      <c r="AI32">
        <f>IF(VLOOKUP(AI$1,main!$A$3:$I$56,5,FALSE)-VLOOKUP($A32,main!$A$3:$I$56,6,FALSE)&gt;=VLOOKUP(55,main!$A$57:$I$59,4,FALSE)+VLOOKUP(VLOOKUP(AI$1,main!$A$3:$I$56,7,FALSE),main!$K$10:$Q$14,3,FALSE),1,0)</f>
        <v>0</v>
      </c>
      <c r="AJ32">
        <f>IF(VLOOKUP(AJ$1,main!$A$3:$I$56,5,FALSE)-VLOOKUP($A32,main!$A$3:$I$56,6,FALSE)&gt;=VLOOKUP(55,main!$A$57:$I$59,4,FALSE)+VLOOKUP(VLOOKUP(AJ$1,main!$A$3:$I$56,7,FALSE),main!$K$10:$Q$14,3,FALSE),1,0)</f>
        <v>0</v>
      </c>
      <c r="AK32">
        <f>IF(VLOOKUP(AK$1,main!$A$3:$I$56,5,FALSE)-VLOOKUP($A32,main!$A$3:$I$56,6,FALSE)&gt;=VLOOKUP(55,main!$A$57:$I$59,4,FALSE)+VLOOKUP(VLOOKUP(AK$1,main!$A$3:$I$56,7,FALSE),main!$K$10:$Q$14,3,FALSE),1,0)</f>
        <v>0</v>
      </c>
      <c r="AL32">
        <f>IF(VLOOKUP(AL$1,main!$A$3:$I$56,5,FALSE)-VLOOKUP($A32,main!$A$3:$I$56,6,FALSE)&gt;=VLOOKUP(55,main!$A$57:$I$59,4,FALSE)+VLOOKUP(VLOOKUP(AL$1,main!$A$3:$I$56,7,FALSE),main!$K$10:$Q$14,3,FALSE),1,0)</f>
        <v>0</v>
      </c>
      <c r="AM32">
        <f>IF(VLOOKUP(AM$1,main!$A$3:$I$56,5,FALSE)-VLOOKUP($A32,main!$A$3:$I$56,6,FALSE)&gt;=VLOOKUP(55,main!$A$57:$I$59,4,FALSE)+VLOOKUP(VLOOKUP(AM$1,main!$A$3:$I$56,7,FALSE),main!$K$10:$Q$14,3,FALSE),1,0)</f>
        <v>0</v>
      </c>
      <c r="AN32">
        <f>IF(VLOOKUP(AN$1,main!$A$3:$I$56,5,FALSE)-VLOOKUP($A32,main!$A$3:$I$56,6,FALSE)&gt;=VLOOKUP(55,main!$A$57:$I$59,4,FALSE)+VLOOKUP(VLOOKUP(AN$1,main!$A$3:$I$56,7,FALSE),main!$K$10:$Q$14,3,FALSE),1,0)</f>
        <v>0</v>
      </c>
      <c r="AO32">
        <f>IF(VLOOKUP(AO$1,main!$A$3:$I$56,5,FALSE)-VLOOKUP($A32,main!$A$3:$I$56,6,FALSE)&gt;=VLOOKUP(55,main!$A$57:$I$59,4,FALSE)+VLOOKUP(VLOOKUP(AO$1,main!$A$3:$I$56,7,FALSE),main!$K$10:$Q$14,3,FALSE),1,0)</f>
        <v>0</v>
      </c>
      <c r="AP32">
        <f>IF(VLOOKUP(AP$1,main!$A$3:$I$56,5,FALSE)-VLOOKUP($A32,main!$A$3:$I$56,6,FALSE)&gt;=VLOOKUP(55,main!$A$57:$I$59,4,FALSE)+VLOOKUP(VLOOKUP(AP$1,main!$A$3:$I$56,7,FALSE),main!$K$10:$Q$14,3,FALSE),1,0)</f>
        <v>0</v>
      </c>
      <c r="AQ32">
        <f>IF(VLOOKUP(AQ$1,main!$A$3:$I$56,5,FALSE)-VLOOKUP($A32,main!$A$3:$I$56,6,FALSE)&gt;=VLOOKUP(55,main!$A$57:$I$59,4,FALSE)+VLOOKUP(VLOOKUP(AQ$1,main!$A$3:$I$56,7,FALSE),main!$K$10:$Q$14,3,FALSE),1,0)</f>
        <v>0</v>
      </c>
      <c r="AR32">
        <f>IF(VLOOKUP(AR$1,main!$A$3:$I$56,5,FALSE)-VLOOKUP($A32,main!$A$3:$I$56,6,FALSE)&gt;=VLOOKUP(55,main!$A$57:$I$59,4,FALSE)+VLOOKUP(VLOOKUP(AR$1,main!$A$3:$I$56,7,FALSE),main!$K$10:$Q$14,3,FALSE),1,0)</f>
        <v>0</v>
      </c>
      <c r="AS32">
        <f>IF(VLOOKUP(AS$1,main!$A$3:$I$56,5,FALSE)-VLOOKUP($A32,main!$A$3:$I$56,6,FALSE)&gt;=VLOOKUP(55,main!$A$57:$I$59,4,FALSE)+VLOOKUP(VLOOKUP(AS$1,main!$A$3:$I$56,7,FALSE),main!$K$10:$Q$14,3,FALSE),1,0)</f>
        <v>0</v>
      </c>
      <c r="AT32">
        <f>IF(VLOOKUP(AT$1,main!$A$3:$I$56,5,FALSE)-VLOOKUP($A32,main!$A$3:$I$56,6,FALSE)&gt;=VLOOKUP(55,main!$A$57:$I$59,4,FALSE)+VLOOKUP(VLOOKUP(AT$1,main!$A$3:$I$56,7,FALSE),main!$K$10:$Q$14,3,FALSE),1,0)</f>
        <v>0</v>
      </c>
      <c r="AU32">
        <f>IF(VLOOKUP(AU$1,main!$A$3:$I$56,5,FALSE)-VLOOKUP($A32,main!$A$3:$I$56,6,FALSE)&gt;=VLOOKUP(55,main!$A$57:$I$59,4,FALSE)+VLOOKUP(VLOOKUP(AU$1,main!$A$3:$I$56,7,FALSE),main!$K$10:$Q$14,3,FALSE),1,0)</f>
        <v>0</v>
      </c>
      <c r="AV32">
        <f>IF(VLOOKUP(AV$1,main!$A$3:$I$56,5,FALSE)-VLOOKUP($A32,main!$A$3:$I$56,6,FALSE)&gt;=VLOOKUP(55,main!$A$57:$I$59,4,FALSE)+VLOOKUP(VLOOKUP(AV$1,main!$A$3:$I$56,7,FALSE),main!$K$10:$Q$14,3,FALSE),1,0)</f>
        <v>0</v>
      </c>
      <c r="AW32">
        <f>IF(VLOOKUP(AW$1,main!$A$3:$I$56,5,FALSE)-VLOOKUP($A32,main!$A$3:$I$56,6,FALSE)&gt;=VLOOKUP(55,main!$A$57:$I$59,4,FALSE)+VLOOKUP(VLOOKUP(AW$1,main!$A$3:$I$56,7,FALSE),main!$K$10:$Q$14,3,FALSE),1,0)</f>
        <v>0</v>
      </c>
      <c r="AX32">
        <f>IF(VLOOKUP(AX$1,main!$A$3:$I$56,5,FALSE)-VLOOKUP($A32,main!$A$3:$I$56,6,FALSE)&gt;=VLOOKUP(55,main!$A$57:$I$59,4,FALSE)+VLOOKUP(VLOOKUP(AX$1,main!$A$3:$I$56,7,FALSE),main!$K$10:$Q$14,3,FALSE),1,0)</f>
        <v>0</v>
      </c>
      <c r="AY32">
        <f>IF(VLOOKUP(AY$1,main!$A$3:$I$56,5,FALSE)-VLOOKUP($A32,main!$A$3:$I$56,6,FALSE)&gt;=VLOOKUP(55,main!$A$57:$I$59,4,FALSE)+VLOOKUP(VLOOKUP(AY$1,main!$A$3:$I$56,7,FALSE),main!$K$10:$Q$14,3,FALSE),1,0)</f>
        <v>0</v>
      </c>
      <c r="AZ32">
        <f>IF(VLOOKUP(AZ$1,main!$A$3:$I$56,5,FALSE)-VLOOKUP($A32,main!$A$3:$I$56,6,FALSE)&gt;=VLOOKUP(55,main!$A$57:$I$59,4,FALSE)+VLOOKUP(VLOOKUP(AZ$1,main!$A$3:$I$56,7,FALSE),main!$K$10:$Q$14,3,FALSE),1,0)</f>
        <v>0</v>
      </c>
      <c r="BA32">
        <f>IF(VLOOKUP(BA$1,main!$A$3:$I$56,5,FALSE)-VLOOKUP($A32,main!$A$3:$I$56,6,FALSE)&gt;=VLOOKUP(55,main!$A$57:$I$59,4,FALSE)+VLOOKUP(VLOOKUP(BA$1,main!$A$3:$I$56,7,FALSE),main!$K$10:$Q$14,3,FALSE),1,0)</f>
        <v>0</v>
      </c>
      <c r="BB32">
        <f>IF(VLOOKUP(BB$1,main!$A$3:$I$56,5,FALSE)-VLOOKUP($A32,main!$A$3:$I$56,6,FALSE)&gt;=VLOOKUP(55,main!$A$57:$I$59,4,FALSE)+VLOOKUP(VLOOKUP(BB$1,main!$A$3:$I$56,7,FALSE),main!$K$10:$Q$14,3,FALSE),1,0)</f>
        <v>0</v>
      </c>
      <c r="BC32">
        <f>IF(VLOOKUP(BC$1,main!$A$3:$I$56,5,FALSE)-VLOOKUP($A32,main!$A$3:$I$56,6,FALSE)&gt;=VLOOKUP(55,main!$A$57:$I$59,4,FALSE)+VLOOKUP(VLOOKUP(BC$1,main!$A$3:$I$56,7,FALSE),main!$K$10:$Q$14,3,FALSE),1,0)</f>
        <v>0</v>
      </c>
      <c r="BD32">
        <f>IF(VLOOKUP(BD$1,main!$A$3:$I$56,5,FALSE)-VLOOKUP($A32,main!$A$3:$I$56,6,FALSE)&gt;=VLOOKUP(55,main!$A$57:$I$59,4,FALSE)+VLOOKUP(VLOOKUP(BD$1,main!$A$3:$I$56,7,FALSE),main!$K$10:$Q$14,3,FALSE),1,0)</f>
        <v>0</v>
      </c>
    </row>
    <row r="33" spans="1:56" x14ac:dyDescent="0.25">
      <c r="A33">
        <f t="shared" si="0"/>
        <v>31</v>
      </c>
      <c r="B33">
        <v>0</v>
      </c>
      <c r="C33">
        <f>IF(VLOOKUP(C$1,main!$A$3:$I$56,5,FALSE)-VLOOKUP($A33,main!$A$3:$I$56,6,FALSE)&gt;=VLOOKUP(55,main!$A$57:$I$59,4,FALSE)+VLOOKUP(VLOOKUP(C$1,main!$A$3:$I$56,7,FALSE),main!$K$10:$Q$14,3,FALSE),1,0)</f>
        <v>0</v>
      </c>
      <c r="D33">
        <f>IF(VLOOKUP(D$1,main!$A$3:$I$56,5,FALSE)-VLOOKUP($A33,main!$A$3:$I$56,6,FALSE)&gt;=VLOOKUP(55,main!$A$57:$I$59,4,FALSE)+VLOOKUP(VLOOKUP(D$1,main!$A$3:$I$56,7,FALSE),main!$K$10:$Q$14,3,FALSE),1,0)</f>
        <v>0</v>
      </c>
      <c r="E33">
        <f>IF(VLOOKUP(E$1,main!$A$3:$I$56,5,FALSE)-VLOOKUP($A33,main!$A$3:$I$56,6,FALSE)&gt;=VLOOKUP(55,main!$A$57:$I$59,4,FALSE)+VLOOKUP(VLOOKUP(E$1,main!$A$3:$I$56,7,FALSE),main!$K$10:$Q$14,3,FALSE),1,0)</f>
        <v>1</v>
      </c>
      <c r="F33">
        <f>IF(VLOOKUP(F$1,main!$A$3:$I$56,5,FALSE)-VLOOKUP($A33,main!$A$3:$I$56,6,FALSE)&gt;=VLOOKUP(55,main!$A$57:$I$59,4,FALSE)+VLOOKUP(VLOOKUP(F$1,main!$A$3:$I$56,7,FALSE),main!$K$10:$Q$14,3,FALSE),1,0)</f>
        <v>1</v>
      </c>
      <c r="G33">
        <f>IF(VLOOKUP(G$1,main!$A$3:$I$56,5,FALSE)-VLOOKUP($A33,main!$A$3:$I$56,6,FALSE)&gt;=VLOOKUP(55,main!$A$57:$I$59,4,FALSE)+VLOOKUP(VLOOKUP(G$1,main!$A$3:$I$56,7,FALSE),main!$K$10:$Q$14,3,FALSE),1,0)</f>
        <v>1</v>
      </c>
      <c r="H33">
        <f>IF(VLOOKUP(H$1,main!$A$3:$I$56,5,FALSE)-VLOOKUP($A33,main!$A$3:$I$56,6,FALSE)&gt;=VLOOKUP(55,main!$A$57:$I$59,4,FALSE)+VLOOKUP(VLOOKUP(H$1,main!$A$3:$I$56,7,FALSE),main!$K$10:$Q$14,3,FALSE),1,0)</f>
        <v>1</v>
      </c>
      <c r="I33">
        <f>IF(VLOOKUP(I$1,main!$A$3:$I$56,5,FALSE)-VLOOKUP($A33,main!$A$3:$I$56,6,FALSE)&gt;=VLOOKUP(55,main!$A$57:$I$59,4,FALSE)+VLOOKUP(VLOOKUP(I$1,main!$A$3:$I$56,7,FALSE),main!$K$10:$Q$14,3,FALSE),1,0)</f>
        <v>1</v>
      </c>
      <c r="J33">
        <f>IF(VLOOKUP(J$1,main!$A$3:$I$56,5,FALSE)-VLOOKUP($A33,main!$A$3:$I$56,6,FALSE)&gt;=VLOOKUP(55,main!$A$57:$I$59,4,FALSE)+VLOOKUP(VLOOKUP(J$1,main!$A$3:$I$56,7,FALSE),main!$K$10:$Q$14,3,FALSE),1,0)</f>
        <v>1</v>
      </c>
      <c r="K33">
        <f>IF(VLOOKUP(K$1,main!$A$3:$I$56,5,FALSE)-VLOOKUP($A33,main!$A$3:$I$56,6,FALSE)&gt;=VLOOKUP(55,main!$A$57:$I$59,4,FALSE)+VLOOKUP(VLOOKUP(K$1,main!$A$3:$I$56,7,FALSE),main!$K$10:$Q$14,3,FALSE),1,0)</f>
        <v>0</v>
      </c>
      <c r="L33">
        <f>IF(VLOOKUP(L$1,main!$A$3:$I$56,5,FALSE)-VLOOKUP($A33,main!$A$3:$I$56,6,FALSE)&gt;=VLOOKUP(55,main!$A$57:$I$59,4,FALSE)+VLOOKUP(VLOOKUP(L$1,main!$A$3:$I$56,7,FALSE),main!$K$10:$Q$14,3,FALSE),1,0)</f>
        <v>0</v>
      </c>
      <c r="M33">
        <f>IF(VLOOKUP(M$1,main!$A$3:$I$56,5,FALSE)-VLOOKUP($A33,main!$A$3:$I$56,6,FALSE)&gt;=VLOOKUP(55,main!$A$57:$I$59,4,FALSE)+VLOOKUP(VLOOKUP(M$1,main!$A$3:$I$56,7,FALSE),main!$K$10:$Q$14,3,FALSE),1,0)</f>
        <v>1</v>
      </c>
      <c r="N33">
        <f>IF(VLOOKUP(N$1,main!$A$3:$I$56,5,FALSE)-VLOOKUP($A33,main!$A$3:$I$56,6,FALSE)&gt;=VLOOKUP(55,main!$A$57:$I$59,4,FALSE)+VLOOKUP(VLOOKUP(N$1,main!$A$3:$I$56,7,FALSE),main!$K$10:$Q$14,3,FALSE),1,0)</f>
        <v>1</v>
      </c>
      <c r="O33">
        <f>IF(VLOOKUP(O$1,main!$A$3:$I$56,5,FALSE)-VLOOKUP($A33,main!$A$3:$I$56,6,FALSE)&gt;=VLOOKUP(55,main!$A$57:$I$59,4,FALSE)+VLOOKUP(VLOOKUP(O$1,main!$A$3:$I$56,7,FALSE),main!$K$10:$Q$14,3,FALSE),1,0)</f>
        <v>1</v>
      </c>
      <c r="P33">
        <f>IF(VLOOKUP(P$1,main!$A$3:$I$56,5,FALSE)-VLOOKUP($A33,main!$A$3:$I$56,6,FALSE)&gt;=VLOOKUP(55,main!$A$57:$I$59,4,FALSE)+VLOOKUP(VLOOKUP(P$1,main!$A$3:$I$56,7,FALSE),main!$K$10:$Q$14,3,FALSE),1,0)</f>
        <v>0</v>
      </c>
      <c r="Q33">
        <f>IF(VLOOKUP(Q$1,main!$A$3:$I$56,5,FALSE)-VLOOKUP($A33,main!$A$3:$I$56,6,FALSE)&gt;=VLOOKUP(55,main!$A$57:$I$59,4,FALSE)+VLOOKUP(VLOOKUP(Q$1,main!$A$3:$I$56,7,FALSE),main!$K$10:$Q$14,3,FALSE),1,0)</f>
        <v>0</v>
      </c>
      <c r="R33">
        <f>IF(VLOOKUP(R$1,main!$A$3:$I$56,5,FALSE)-VLOOKUP($A33,main!$A$3:$I$56,6,FALSE)&gt;=VLOOKUP(55,main!$A$57:$I$59,4,FALSE)+VLOOKUP(VLOOKUP(R$1,main!$A$3:$I$56,7,FALSE),main!$K$10:$Q$14,3,FALSE),1,0)</f>
        <v>1</v>
      </c>
      <c r="S33">
        <f>IF(VLOOKUP(S$1,main!$A$3:$I$56,5,FALSE)-VLOOKUP($A33,main!$A$3:$I$56,6,FALSE)&gt;=VLOOKUP(55,main!$A$57:$I$59,4,FALSE)+VLOOKUP(VLOOKUP(S$1,main!$A$3:$I$56,7,FALSE),main!$K$10:$Q$14,3,FALSE),1,0)</f>
        <v>1</v>
      </c>
      <c r="T33">
        <f>IF(VLOOKUP(T$1,main!$A$3:$I$56,5,FALSE)-VLOOKUP($A33,main!$A$3:$I$56,6,FALSE)&gt;=VLOOKUP(55,main!$A$57:$I$59,4,FALSE)+VLOOKUP(VLOOKUP(T$1,main!$A$3:$I$56,7,FALSE),main!$K$10:$Q$14,3,FALSE),1,0)</f>
        <v>1</v>
      </c>
      <c r="U33">
        <f>IF(VLOOKUP(U$1,main!$A$3:$I$56,5,FALSE)-VLOOKUP($A33,main!$A$3:$I$56,6,FALSE)&gt;=VLOOKUP(55,main!$A$57:$I$59,4,FALSE)+VLOOKUP(VLOOKUP(U$1,main!$A$3:$I$56,7,FALSE),main!$K$10:$Q$14,3,FALSE),1,0)</f>
        <v>0</v>
      </c>
      <c r="V33">
        <f>IF(VLOOKUP(V$1,main!$A$3:$I$56,5,FALSE)-VLOOKUP($A33,main!$A$3:$I$56,6,FALSE)&gt;=VLOOKUP(55,main!$A$57:$I$59,4,FALSE)+VLOOKUP(VLOOKUP(V$1,main!$A$3:$I$56,7,FALSE),main!$K$10:$Q$14,3,FALSE),1,0)</f>
        <v>0</v>
      </c>
      <c r="W33">
        <f>IF(VLOOKUP(W$1,main!$A$3:$I$56,5,FALSE)-VLOOKUP($A33,main!$A$3:$I$56,6,FALSE)&gt;=VLOOKUP(55,main!$A$57:$I$59,4,FALSE)+VLOOKUP(VLOOKUP(W$1,main!$A$3:$I$56,7,FALSE),main!$K$10:$Q$14,3,FALSE),1,0)</f>
        <v>0</v>
      </c>
      <c r="X33">
        <f>IF(VLOOKUP(X$1,main!$A$3:$I$56,5,FALSE)-VLOOKUP($A33,main!$A$3:$I$56,6,FALSE)&gt;=VLOOKUP(55,main!$A$57:$I$59,4,FALSE)+VLOOKUP(VLOOKUP(X$1,main!$A$3:$I$56,7,FALSE),main!$K$10:$Q$14,3,FALSE),1,0)</f>
        <v>1</v>
      </c>
      <c r="Y33">
        <f>IF(VLOOKUP(Y$1,main!$A$3:$I$56,5,FALSE)-VLOOKUP($A33,main!$A$3:$I$56,6,FALSE)&gt;=VLOOKUP(55,main!$A$57:$I$59,4,FALSE)+VLOOKUP(VLOOKUP(Y$1,main!$A$3:$I$56,7,FALSE),main!$K$10:$Q$14,3,FALSE),1,0)</f>
        <v>1</v>
      </c>
      <c r="Z33">
        <f>IF(VLOOKUP(Z$1,main!$A$3:$I$56,5,FALSE)-VLOOKUP($A33,main!$A$3:$I$56,6,FALSE)&gt;=VLOOKUP(55,main!$A$57:$I$59,4,FALSE)+VLOOKUP(VLOOKUP(Z$1,main!$A$3:$I$56,7,FALSE),main!$K$10:$Q$14,3,FALSE),1,0)</f>
        <v>1</v>
      </c>
      <c r="AA33">
        <f>IF(VLOOKUP(AA$1,main!$A$3:$I$56,5,FALSE)-VLOOKUP($A33,main!$A$3:$I$56,6,FALSE)&gt;=VLOOKUP(55,main!$A$57:$I$59,4,FALSE)+VLOOKUP(VLOOKUP(AA$1,main!$A$3:$I$56,7,FALSE),main!$K$10:$Q$14,3,FALSE),1,0)</f>
        <v>1</v>
      </c>
      <c r="AB33">
        <f>IF(VLOOKUP(AB$1,main!$A$3:$I$56,5,FALSE)-VLOOKUP($A33,main!$A$3:$I$56,6,FALSE)&gt;=VLOOKUP(55,main!$A$57:$I$59,4,FALSE)+VLOOKUP(VLOOKUP(AB$1,main!$A$3:$I$56,7,FALSE),main!$K$10:$Q$14,3,FALSE),1,0)</f>
        <v>1</v>
      </c>
      <c r="AC33">
        <f>IF(VLOOKUP(AC$1,main!$A$3:$I$56,5,FALSE)-VLOOKUP($A33,main!$A$3:$I$56,6,FALSE)&gt;=VLOOKUP(55,main!$A$57:$I$59,4,FALSE)+VLOOKUP(VLOOKUP(AC$1,main!$A$3:$I$56,7,FALSE),main!$K$10:$Q$14,3,FALSE),1,0)</f>
        <v>0</v>
      </c>
      <c r="AD33">
        <f>IF(VLOOKUP(AD$1,main!$A$3:$I$56,5,FALSE)-VLOOKUP($A33,main!$A$3:$I$56,6,FALSE)&gt;=VLOOKUP(55,main!$A$57:$I$59,4,FALSE)+VLOOKUP(VLOOKUP(AD$1,main!$A$3:$I$56,7,FALSE),main!$K$10:$Q$14,3,FALSE),1,0)</f>
        <v>0</v>
      </c>
      <c r="AE33">
        <f>IF(VLOOKUP(AE$1,main!$A$3:$I$56,5,FALSE)-VLOOKUP($A33,main!$A$3:$I$56,6,FALSE)&gt;=VLOOKUP(55,main!$A$57:$I$59,4,FALSE)+VLOOKUP(VLOOKUP(AE$1,main!$A$3:$I$56,7,FALSE),main!$K$10:$Q$14,3,FALSE),1,0)</f>
        <v>1</v>
      </c>
      <c r="AF33">
        <f>IF(VLOOKUP(AF$1,main!$A$3:$I$56,5,FALSE)-VLOOKUP($A33,main!$A$3:$I$56,6,FALSE)&gt;=VLOOKUP(55,main!$A$57:$I$59,4,FALSE)+VLOOKUP(VLOOKUP(AF$1,main!$A$3:$I$56,7,FALSE),main!$K$10:$Q$14,3,FALSE),1,0)</f>
        <v>1</v>
      </c>
      <c r="AG33">
        <f>IF(VLOOKUP(AG$1,main!$A$3:$I$56,5,FALSE)-VLOOKUP($A33,main!$A$3:$I$56,6,FALSE)&gt;=VLOOKUP(55,main!$A$57:$I$59,4,FALSE)+VLOOKUP(VLOOKUP(AG$1,main!$A$3:$I$56,7,FALSE),main!$K$10:$Q$14,3,FALSE),1,0)</f>
        <v>0</v>
      </c>
      <c r="AH33">
        <f>IF(VLOOKUP(AH$1,main!$A$3:$I$56,5,FALSE)-VLOOKUP($A33,main!$A$3:$I$56,6,FALSE)&gt;=VLOOKUP(55,main!$A$57:$I$59,4,FALSE)+VLOOKUP(VLOOKUP(AH$1,main!$A$3:$I$56,7,FALSE),main!$K$10:$Q$14,3,FALSE),1,0)</f>
        <v>0</v>
      </c>
      <c r="AI33">
        <f>IF(VLOOKUP(AI$1,main!$A$3:$I$56,5,FALSE)-VLOOKUP($A33,main!$A$3:$I$56,6,FALSE)&gt;=VLOOKUP(55,main!$A$57:$I$59,4,FALSE)+VLOOKUP(VLOOKUP(AI$1,main!$A$3:$I$56,7,FALSE),main!$K$10:$Q$14,3,FALSE),1,0)</f>
        <v>1</v>
      </c>
      <c r="AJ33">
        <f>IF(VLOOKUP(AJ$1,main!$A$3:$I$56,5,FALSE)-VLOOKUP($A33,main!$A$3:$I$56,6,FALSE)&gt;=VLOOKUP(55,main!$A$57:$I$59,4,FALSE)+VLOOKUP(VLOOKUP(AJ$1,main!$A$3:$I$56,7,FALSE),main!$K$10:$Q$14,3,FALSE),1,0)</f>
        <v>1</v>
      </c>
      <c r="AK33">
        <f>IF(VLOOKUP(AK$1,main!$A$3:$I$56,5,FALSE)-VLOOKUP($A33,main!$A$3:$I$56,6,FALSE)&gt;=VLOOKUP(55,main!$A$57:$I$59,4,FALSE)+VLOOKUP(VLOOKUP(AK$1,main!$A$3:$I$56,7,FALSE),main!$K$10:$Q$14,3,FALSE),1,0)</f>
        <v>1</v>
      </c>
      <c r="AL33">
        <f>IF(VLOOKUP(AL$1,main!$A$3:$I$56,5,FALSE)-VLOOKUP($A33,main!$A$3:$I$56,6,FALSE)&gt;=VLOOKUP(55,main!$A$57:$I$59,4,FALSE)+VLOOKUP(VLOOKUP(AL$1,main!$A$3:$I$56,7,FALSE),main!$K$10:$Q$14,3,FALSE),1,0)</f>
        <v>0</v>
      </c>
      <c r="AM33">
        <f>IF(VLOOKUP(AM$1,main!$A$3:$I$56,5,FALSE)-VLOOKUP($A33,main!$A$3:$I$56,6,FALSE)&gt;=VLOOKUP(55,main!$A$57:$I$59,4,FALSE)+VLOOKUP(VLOOKUP(AM$1,main!$A$3:$I$56,7,FALSE),main!$K$10:$Q$14,3,FALSE),1,0)</f>
        <v>0</v>
      </c>
      <c r="AN33">
        <f>IF(VLOOKUP(AN$1,main!$A$3:$I$56,5,FALSE)-VLOOKUP($A33,main!$A$3:$I$56,6,FALSE)&gt;=VLOOKUP(55,main!$A$57:$I$59,4,FALSE)+VLOOKUP(VLOOKUP(AN$1,main!$A$3:$I$56,7,FALSE),main!$K$10:$Q$14,3,FALSE),1,0)</f>
        <v>1</v>
      </c>
      <c r="AO33">
        <f>IF(VLOOKUP(AO$1,main!$A$3:$I$56,5,FALSE)-VLOOKUP($A33,main!$A$3:$I$56,6,FALSE)&gt;=VLOOKUP(55,main!$A$57:$I$59,4,FALSE)+VLOOKUP(VLOOKUP(AO$1,main!$A$3:$I$56,7,FALSE),main!$K$10:$Q$14,3,FALSE),1,0)</f>
        <v>1</v>
      </c>
      <c r="AP33">
        <f>IF(VLOOKUP(AP$1,main!$A$3:$I$56,5,FALSE)-VLOOKUP($A33,main!$A$3:$I$56,6,FALSE)&gt;=VLOOKUP(55,main!$A$57:$I$59,4,FALSE)+VLOOKUP(VLOOKUP(AP$1,main!$A$3:$I$56,7,FALSE),main!$K$10:$Q$14,3,FALSE),1,0)</f>
        <v>0</v>
      </c>
      <c r="AQ33">
        <f>IF(VLOOKUP(AQ$1,main!$A$3:$I$56,5,FALSE)-VLOOKUP($A33,main!$A$3:$I$56,6,FALSE)&gt;=VLOOKUP(55,main!$A$57:$I$59,4,FALSE)+VLOOKUP(VLOOKUP(AQ$1,main!$A$3:$I$56,7,FALSE),main!$K$10:$Q$14,3,FALSE),1,0)</f>
        <v>0</v>
      </c>
      <c r="AR33">
        <f>IF(VLOOKUP(AR$1,main!$A$3:$I$56,5,FALSE)-VLOOKUP($A33,main!$A$3:$I$56,6,FALSE)&gt;=VLOOKUP(55,main!$A$57:$I$59,4,FALSE)+VLOOKUP(VLOOKUP(AR$1,main!$A$3:$I$56,7,FALSE),main!$K$10:$Q$14,3,FALSE),1,0)</f>
        <v>0</v>
      </c>
      <c r="AS33">
        <f>IF(VLOOKUP(AS$1,main!$A$3:$I$56,5,FALSE)-VLOOKUP($A33,main!$A$3:$I$56,6,FALSE)&gt;=VLOOKUP(55,main!$A$57:$I$59,4,FALSE)+VLOOKUP(VLOOKUP(AS$1,main!$A$3:$I$56,7,FALSE),main!$K$10:$Q$14,3,FALSE),1,0)</f>
        <v>0</v>
      </c>
      <c r="AT33">
        <f>IF(VLOOKUP(AT$1,main!$A$3:$I$56,5,FALSE)-VLOOKUP($A33,main!$A$3:$I$56,6,FALSE)&gt;=VLOOKUP(55,main!$A$57:$I$59,4,FALSE)+VLOOKUP(VLOOKUP(AT$1,main!$A$3:$I$56,7,FALSE),main!$K$10:$Q$14,3,FALSE),1,0)</f>
        <v>1</v>
      </c>
      <c r="AU33">
        <f>IF(VLOOKUP(AU$1,main!$A$3:$I$56,5,FALSE)-VLOOKUP($A33,main!$A$3:$I$56,6,FALSE)&gt;=VLOOKUP(55,main!$A$57:$I$59,4,FALSE)+VLOOKUP(VLOOKUP(AU$1,main!$A$3:$I$56,7,FALSE),main!$K$10:$Q$14,3,FALSE),1,0)</f>
        <v>0</v>
      </c>
      <c r="AV33">
        <f>IF(VLOOKUP(AV$1,main!$A$3:$I$56,5,FALSE)-VLOOKUP($A33,main!$A$3:$I$56,6,FALSE)&gt;=VLOOKUP(55,main!$A$57:$I$59,4,FALSE)+VLOOKUP(VLOOKUP(AV$1,main!$A$3:$I$56,7,FALSE),main!$K$10:$Q$14,3,FALSE),1,0)</f>
        <v>0</v>
      </c>
      <c r="AW33">
        <f>IF(VLOOKUP(AW$1,main!$A$3:$I$56,5,FALSE)-VLOOKUP($A33,main!$A$3:$I$56,6,FALSE)&gt;=VLOOKUP(55,main!$A$57:$I$59,4,FALSE)+VLOOKUP(VLOOKUP(AW$1,main!$A$3:$I$56,7,FALSE),main!$K$10:$Q$14,3,FALSE),1,0)</f>
        <v>1</v>
      </c>
      <c r="AX33">
        <f>IF(VLOOKUP(AX$1,main!$A$3:$I$56,5,FALSE)-VLOOKUP($A33,main!$A$3:$I$56,6,FALSE)&gt;=VLOOKUP(55,main!$A$57:$I$59,4,FALSE)+VLOOKUP(VLOOKUP(AX$1,main!$A$3:$I$56,7,FALSE),main!$K$10:$Q$14,3,FALSE),1,0)</f>
        <v>1</v>
      </c>
      <c r="AY33">
        <f>IF(VLOOKUP(AY$1,main!$A$3:$I$56,5,FALSE)-VLOOKUP($A33,main!$A$3:$I$56,6,FALSE)&gt;=VLOOKUP(55,main!$A$57:$I$59,4,FALSE)+VLOOKUP(VLOOKUP(AY$1,main!$A$3:$I$56,7,FALSE),main!$K$10:$Q$14,3,FALSE),1,0)</f>
        <v>1</v>
      </c>
      <c r="AZ33">
        <f>IF(VLOOKUP(AZ$1,main!$A$3:$I$56,5,FALSE)-VLOOKUP($A33,main!$A$3:$I$56,6,FALSE)&gt;=VLOOKUP(55,main!$A$57:$I$59,4,FALSE)+VLOOKUP(VLOOKUP(AZ$1,main!$A$3:$I$56,7,FALSE),main!$K$10:$Q$14,3,FALSE),1,0)</f>
        <v>0</v>
      </c>
      <c r="BA33">
        <f>IF(VLOOKUP(BA$1,main!$A$3:$I$56,5,FALSE)-VLOOKUP($A33,main!$A$3:$I$56,6,FALSE)&gt;=VLOOKUP(55,main!$A$57:$I$59,4,FALSE)+VLOOKUP(VLOOKUP(BA$1,main!$A$3:$I$56,7,FALSE),main!$K$10:$Q$14,3,FALSE),1,0)</f>
        <v>0</v>
      </c>
      <c r="BB33">
        <f>IF(VLOOKUP(BB$1,main!$A$3:$I$56,5,FALSE)-VLOOKUP($A33,main!$A$3:$I$56,6,FALSE)&gt;=VLOOKUP(55,main!$A$57:$I$59,4,FALSE)+VLOOKUP(VLOOKUP(BB$1,main!$A$3:$I$56,7,FALSE),main!$K$10:$Q$14,3,FALSE),1,0)</f>
        <v>0</v>
      </c>
      <c r="BC33">
        <f>IF(VLOOKUP(BC$1,main!$A$3:$I$56,5,FALSE)-VLOOKUP($A33,main!$A$3:$I$56,6,FALSE)&gt;=VLOOKUP(55,main!$A$57:$I$59,4,FALSE)+VLOOKUP(VLOOKUP(BC$1,main!$A$3:$I$56,7,FALSE),main!$K$10:$Q$14,3,FALSE),1,0)</f>
        <v>1</v>
      </c>
      <c r="BD33">
        <f>IF(VLOOKUP(BD$1,main!$A$3:$I$56,5,FALSE)-VLOOKUP($A33,main!$A$3:$I$56,6,FALSE)&gt;=VLOOKUP(55,main!$A$57:$I$59,4,FALSE)+VLOOKUP(VLOOKUP(BD$1,main!$A$3:$I$56,7,FALSE),main!$K$10:$Q$14,3,FALSE),1,0)</f>
        <v>1</v>
      </c>
    </row>
    <row r="34" spans="1:56" x14ac:dyDescent="0.25">
      <c r="A34">
        <f t="shared" si="0"/>
        <v>32</v>
      </c>
      <c r="B34">
        <v>0</v>
      </c>
      <c r="C34">
        <f>IF(VLOOKUP(C$1,main!$A$3:$I$56,5,FALSE)-VLOOKUP($A34,main!$A$3:$I$56,6,FALSE)&gt;=VLOOKUP(55,main!$A$57:$I$59,4,FALSE)+VLOOKUP(VLOOKUP(C$1,main!$A$3:$I$56,7,FALSE),main!$K$10:$Q$14,3,FALSE),1,0)</f>
        <v>0</v>
      </c>
      <c r="D34">
        <f>IF(VLOOKUP(D$1,main!$A$3:$I$56,5,FALSE)-VLOOKUP($A34,main!$A$3:$I$56,6,FALSE)&gt;=VLOOKUP(55,main!$A$57:$I$59,4,FALSE)+VLOOKUP(VLOOKUP(D$1,main!$A$3:$I$56,7,FALSE),main!$K$10:$Q$14,3,FALSE),1,0)</f>
        <v>0</v>
      </c>
      <c r="E34">
        <f>IF(VLOOKUP(E$1,main!$A$3:$I$56,5,FALSE)-VLOOKUP($A34,main!$A$3:$I$56,6,FALSE)&gt;=VLOOKUP(55,main!$A$57:$I$59,4,FALSE)+VLOOKUP(VLOOKUP(E$1,main!$A$3:$I$56,7,FALSE),main!$K$10:$Q$14,3,FALSE),1,0)</f>
        <v>0</v>
      </c>
      <c r="F34">
        <f>IF(VLOOKUP(F$1,main!$A$3:$I$56,5,FALSE)-VLOOKUP($A34,main!$A$3:$I$56,6,FALSE)&gt;=VLOOKUP(55,main!$A$57:$I$59,4,FALSE)+VLOOKUP(VLOOKUP(F$1,main!$A$3:$I$56,7,FALSE),main!$K$10:$Q$14,3,FALSE),1,0)</f>
        <v>0</v>
      </c>
      <c r="G34">
        <f>IF(VLOOKUP(G$1,main!$A$3:$I$56,5,FALSE)-VLOOKUP($A34,main!$A$3:$I$56,6,FALSE)&gt;=VLOOKUP(55,main!$A$57:$I$59,4,FALSE)+VLOOKUP(VLOOKUP(G$1,main!$A$3:$I$56,7,FALSE),main!$K$10:$Q$14,3,FALSE),1,0)</f>
        <v>1</v>
      </c>
      <c r="H34">
        <f>IF(VLOOKUP(H$1,main!$A$3:$I$56,5,FALSE)-VLOOKUP($A34,main!$A$3:$I$56,6,FALSE)&gt;=VLOOKUP(55,main!$A$57:$I$59,4,FALSE)+VLOOKUP(VLOOKUP(H$1,main!$A$3:$I$56,7,FALSE),main!$K$10:$Q$14,3,FALSE),1,0)</f>
        <v>1</v>
      </c>
      <c r="I34">
        <f>IF(VLOOKUP(I$1,main!$A$3:$I$56,5,FALSE)-VLOOKUP($A34,main!$A$3:$I$56,6,FALSE)&gt;=VLOOKUP(55,main!$A$57:$I$59,4,FALSE)+VLOOKUP(VLOOKUP(I$1,main!$A$3:$I$56,7,FALSE),main!$K$10:$Q$14,3,FALSE),1,0)</f>
        <v>1</v>
      </c>
      <c r="J34">
        <f>IF(VLOOKUP(J$1,main!$A$3:$I$56,5,FALSE)-VLOOKUP($A34,main!$A$3:$I$56,6,FALSE)&gt;=VLOOKUP(55,main!$A$57:$I$59,4,FALSE)+VLOOKUP(VLOOKUP(J$1,main!$A$3:$I$56,7,FALSE),main!$K$10:$Q$14,3,FALSE),1,0)</f>
        <v>1</v>
      </c>
      <c r="K34">
        <f>IF(VLOOKUP(K$1,main!$A$3:$I$56,5,FALSE)-VLOOKUP($A34,main!$A$3:$I$56,6,FALSE)&gt;=VLOOKUP(55,main!$A$57:$I$59,4,FALSE)+VLOOKUP(VLOOKUP(K$1,main!$A$3:$I$56,7,FALSE),main!$K$10:$Q$14,3,FALSE),1,0)</f>
        <v>0</v>
      </c>
      <c r="L34">
        <f>IF(VLOOKUP(L$1,main!$A$3:$I$56,5,FALSE)-VLOOKUP($A34,main!$A$3:$I$56,6,FALSE)&gt;=VLOOKUP(55,main!$A$57:$I$59,4,FALSE)+VLOOKUP(VLOOKUP(L$1,main!$A$3:$I$56,7,FALSE),main!$K$10:$Q$14,3,FALSE),1,0)</f>
        <v>0</v>
      </c>
      <c r="M34">
        <f>IF(VLOOKUP(M$1,main!$A$3:$I$56,5,FALSE)-VLOOKUP($A34,main!$A$3:$I$56,6,FALSE)&gt;=VLOOKUP(55,main!$A$57:$I$59,4,FALSE)+VLOOKUP(VLOOKUP(M$1,main!$A$3:$I$56,7,FALSE),main!$K$10:$Q$14,3,FALSE),1,0)</f>
        <v>0</v>
      </c>
      <c r="N34">
        <f>IF(VLOOKUP(N$1,main!$A$3:$I$56,5,FALSE)-VLOOKUP($A34,main!$A$3:$I$56,6,FALSE)&gt;=VLOOKUP(55,main!$A$57:$I$59,4,FALSE)+VLOOKUP(VLOOKUP(N$1,main!$A$3:$I$56,7,FALSE),main!$K$10:$Q$14,3,FALSE),1,0)</f>
        <v>1</v>
      </c>
      <c r="O34">
        <f>IF(VLOOKUP(O$1,main!$A$3:$I$56,5,FALSE)-VLOOKUP($A34,main!$A$3:$I$56,6,FALSE)&gt;=VLOOKUP(55,main!$A$57:$I$59,4,FALSE)+VLOOKUP(VLOOKUP(O$1,main!$A$3:$I$56,7,FALSE),main!$K$10:$Q$14,3,FALSE),1,0)</f>
        <v>1</v>
      </c>
      <c r="P34">
        <f>IF(VLOOKUP(P$1,main!$A$3:$I$56,5,FALSE)-VLOOKUP($A34,main!$A$3:$I$56,6,FALSE)&gt;=VLOOKUP(55,main!$A$57:$I$59,4,FALSE)+VLOOKUP(VLOOKUP(P$1,main!$A$3:$I$56,7,FALSE),main!$K$10:$Q$14,3,FALSE),1,0)</f>
        <v>0</v>
      </c>
      <c r="Q34">
        <f>IF(VLOOKUP(Q$1,main!$A$3:$I$56,5,FALSE)-VLOOKUP($A34,main!$A$3:$I$56,6,FALSE)&gt;=VLOOKUP(55,main!$A$57:$I$59,4,FALSE)+VLOOKUP(VLOOKUP(Q$1,main!$A$3:$I$56,7,FALSE),main!$K$10:$Q$14,3,FALSE),1,0)</f>
        <v>0</v>
      </c>
      <c r="R34">
        <f>IF(VLOOKUP(R$1,main!$A$3:$I$56,5,FALSE)-VLOOKUP($A34,main!$A$3:$I$56,6,FALSE)&gt;=VLOOKUP(55,main!$A$57:$I$59,4,FALSE)+VLOOKUP(VLOOKUP(R$1,main!$A$3:$I$56,7,FALSE),main!$K$10:$Q$14,3,FALSE),1,0)</f>
        <v>0</v>
      </c>
      <c r="S34">
        <f>IF(VLOOKUP(S$1,main!$A$3:$I$56,5,FALSE)-VLOOKUP($A34,main!$A$3:$I$56,6,FALSE)&gt;=VLOOKUP(55,main!$A$57:$I$59,4,FALSE)+VLOOKUP(VLOOKUP(S$1,main!$A$3:$I$56,7,FALSE),main!$K$10:$Q$14,3,FALSE),1,0)</f>
        <v>1</v>
      </c>
      <c r="T34">
        <f>IF(VLOOKUP(T$1,main!$A$3:$I$56,5,FALSE)-VLOOKUP($A34,main!$A$3:$I$56,6,FALSE)&gt;=VLOOKUP(55,main!$A$57:$I$59,4,FALSE)+VLOOKUP(VLOOKUP(T$1,main!$A$3:$I$56,7,FALSE),main!$K$10:$Q$14,3,FALSE),1,0)</f>
        <v>1</v>
      </c>
      <c r="U34">
        <f>IF(VLOOKUP(U$1,main!$A$3:$I$56,5,FALSE)-VLOOKUP($A34,main!$A$3:$I$56,6,FALSE)&gt;=VLOOKUP(55,main!$A$57:$I$59,4,FALSE)+VLOOKUP(VLOOKUP(U$1,main!$A$3:$I$56,7,FALSE),main!$K$10:$Q$14,3,FALSE),1,0)</f>
        <v>0</v>
      </c>
      <c r="V34">
        <f>IF(VLOOKUP(V$1,main!$A$3:$I$56,5,FALSE)-VLOOKUP($A34,main!$A$3:$I$56,6,FALSE)&gt;=VLOOKUP(55,main!$A$57:$I$59,4,FALSE)+VLOOKUP(VLOOKUP(V$1,main!$A$3:$I$56,7,FALSE),main!$K$10:$Q$14,3,FALSE),1,0)</f>
        <v>0</v>
      </c>
      <c r="W34">
        <f>IF(VLOOKUP(W$1,main!$A$3:$I$56,5,FALSE)-VLOOKUP($A34,main!$A$3:$I$56,6,FALSE)&gt;=VLOOKUP(55,main!$A$57:$I$59,4,FALSE)+VLOOKUP(VLOOKUP(W$1,main!$A$3:$I$56,7,FALSE),main!$K$10:$Q$14,3,FALSE),1,0)</f>
        <v>0</v>
      </c>
      <c r="X34">
        <f>IF(VLOOKUP(X$1,main!$A$3:$I$56,5,FALSE)-VLOOKUP($A34,main!$A$3:$I$56,6,FALSE)&gt;=VLOOKUP(55,main!$A$57:$I$59,4,FALSE)+VLOOKUP(VLOOKUP(X$1,main!$A$3:$I$56,7,FALSE),main!$K$10:$Q$14,3,FALSE),1,0)</f>
        <v>0</v>
      </c>
      <c r="Y34">
        <f>IF(VLOOKUP(Y$1,main!$A$3:$I$56,5,FALSE)-VLOOKUP($A34,main!$A$3:$I$56,6,FALSE)&gt;=VLOOKUP(55,main!$A$57:$I$59,4,FALSE)+VLOOKUP(VLOOKUP(Y$1,main!$A$3:$I$56,7,FALSE),main!$K$10:$Q$14,3,FALSE),1,0)</f>
        <v>0</v>
      </c>
      <c r="Z34">
        <f>IF(VLOOKUP(Z$1,main!$A$3:$I$56,5,FALSE)-VLOOKUP($A34,main!$A$3:$I$56,6,FALSE)&gt;=VLOOKUP(55,main!$A$57:$I$59,4,FALSE)+VLOOKUP(VLOOKUP(Z$1,main!$A$3:$I$56,7,FALSE),main!$K$10:$Q$14,3,FALSE),1,0)</f>
        <v>1</v>
      </c>
      <c r="AA34">
        <f>IF(VLOOKUP(AA$1,main!$A$3:$I$56,5,FALSE)-VLOOKUP($A34,main!$A$3:$I$56,6,FALSE)&gt;=VLOOKUP(55,main!$A$57:$I$59,4,FALSE)+VLOOKUP(VLOOKUP(AA$1,main!$A$3:$I$56,7,FALSE),main!$K$10:$Q$14,3,FALSE),1,0)</f>
        <v>1</v>
      </c>
      <c r="AB34">
        <f>IF(VLOOKUP(AB$1,main!$A$3:$I$56,5,FALSE)-VLOOKUP($A34,main!$A$3:$I$56,6,FALSE)&gt;=VLOOKUP(55,main!$A$57:$I$59,4,FALSE)+VLOOKUP(VLOOKUP(AB$1,main!$A$3:$I$56,7,FALSE),main!$K$10:$Q$14,3,FALSE),1,0)</f>
        <v>1</v>
      </c>
      <c r="AC34">
        <f>IF(VLOOKUP(AC$1,main!$A$3:$I$56,5,FALSE)-VLOOKUP($A34,main!$A$3:$I$56,6,FALSE)&gt;=VLOOKUP(55,main!$A$57:$I$59,4,FALSE)+VLOOKUP(VLOOKUP(AC$1,main!$A$3:$I$56,7,FALSE),main!$K$10:$Q$14,3,FALSE),1,0)</f>
        <v>0</v>
      </c>
      <c r="AD34">
        <f>IF(VLOOKUP(AD$1,main!$A$3:$I$56,5,FALSE)-VLOOKUP($A34,main!$A$3:$I$56,6,FALSE)&gt;=VLOOKUP(55,main!$A$57:$I$59,4,FALSE)+VLOOKUP(VLOOKUP(AD$1,main!$A$3:$I$56,7,FALSE),main!$K$10:$Q$14,3,FALSE),1,0)</f>
        <v>0</v>
      </c>
      <c r="AE34">
        <f>IF(VLOOKUP(AE$1,main!$A$3:$I$56,5,FALSE)-VLOOKUP($A34,main!$A$3:$I$56,6,FALSE)&gt;=VLOOKUP(55,main!$A$57:$I$59,4,FALSE)+VLOOKUP(VLOOKUP(AE$1,main!$A$3:$I$56,7,FALSE),main!$K$10:$Q$14,3,FALSE),1,0)</f>
        <v>0</v>
      </c>
      <c r="AF34">
        <f>IF(VLOOKUP(AF$1,main!$A$3:$I$56,5,FALSE)-VLOOKUP($A34,main!$A$3:$I$56,6,FALSE)&gt;=VLOOKUP(55,main!$A$57:$I$59,4,FALSE)+VLOOKUP(VLOOKUP(AF$1,main!$A$3:$I$56,7,FALSE),main!$K$10:$Q$14,3,FALSE),1,0)</f>
        <v>0</v>
      </c>
      <c r="AG34">
        <f>IF(VLOOKUP(AG$1,main!$A$3:$I$56,5,FALSE)-VLOOKUP($A34,main!$A$3:$I$56,6,FALSE)&gt;=VLOOKUP(55,main!$A$57:$I$59,4,FALSE)+VLOOKUP(VLOOKUP(AG$1,main!$A$3:$I$56,7,FALSE),main!$K$10:$Q$14,3,FALSE),1,0)</f>
        <v>0</v>
      </c>
      <c r="AH34">
        <f>IF(VLOOKUP(AH$1,main!$A$3:$I$56,5,FALSE)-VLOOKUP($A34,main!$A$3:$I$56,6,FALSE)&gt;=VLOOKUP(55,main!$A$57:$I$59,4,FALSE)+VLOOKUP(VLOOKUP(AH$1,main!$A$3:$I$56,7,FALSE),main!$K$10:$Q$14,3,FALSE),1,0)</f>
        <v>0</v>
      </c>
      <c r="AI34">
        <f>IF(VLOOKUP(AI$1,main!$A$3:$I$56,5,FALSE)-VLOOKUP($A34,main!$A$3:$I$56,6,FALSE)&gt;=VLOOKUP(55,main!$A$57:$I$59,4,FALSE)+VLOOKUP(VLOOKUP(AI$1,main!$A$3:$I$56,7,FALSE),main!$K$10:$Q$14,3,FALSE),1,0)</f>
        <v>0</v>
      </c>
      <c r="AJ34">
        <f>IF(VLOOKUP(AJ$1,main!$A$3:$I$56,5,FALSE)-VLOOKUP($A34,main!$A$3:$I$56,6,FALSE)&gt;=VLOOKUP(55,main!$A$57:$I$59,4,FALSE)+VLOOKUP(VLOOKUP(AJ$1,main!$A$3:$I$56,7,FALSE),main!$K$10:$Q$14,3,FALSE),1,0)</f>
        <v>0</v>
      </c>
      <c r="AK34">
        <f>IF(VLOOKUP(AK$1,main!$A$3:$I$56,5,FALSE)-VLOOKUP($A34,main!$A$3:$I$56,6,FALSE)&gt;=VLOOKUP(55,main!$A$57:$I$59,4,FALSE)+VLOOKUP(VLOOKUP(AK$1,main!$A$3:$I$56,7,FALSE),main!$K$10:$Q$14,3,FALSE),1,0)</f>
        <v>1</v>
      </c>
      <c r="AL34">
        <f>IF(VLOOKUP(AL$1,main!$A$3:$I$56,5,FALSE)-VLOOKUP($A34,main!$A$3:$I$56,6,FALSE)&gt;=VLOOKUP(55,main!$A$57:$I$59,4,FALSE)+VLOOKUP(VLOOKUP(AL$1,main!$A$3:$I$56,7,FALSE),main!$K$10:$Q$14,3,FALSE),1,0)</f>
        <v>0</v>
      </c>
      <c r="AM34">
        <f>IF(VLOOKUP(AM$1,main!$A$3:$I$56,5,FALSE)-VLOOKUP($A34,main!$A$3:$I$56,6,FALSE)&gt;=VLOOKUP(55,main!$A$57:$I$59,4,FALSE)+VLOOKUP(VLOOKUP(AM$1,main!$A$3:$I$56,7,FALSE),main!$K$10:$Q$14,3,FALSE),1,0)</f>
        <v>0</v>
      </c>
      <c r="AN34">
        <f>IF(VLOOKUP(AN$1,main!$A$3:$I$56,5,FALSE)-VLOOKUP($A34,main!$A$3:$I$56,6,FALSE)&gt;=VLOOKUP(55,main!$A$57:$I$59,4,FALSE)+VLOOKUP(VLOOKUP(AN$1,main!$A$3:$I$56,7,FALSE),main!$K$10:$Q$14,3,FALSE),1,0)</f>
        <v>0</v>
      </c>
      <c r="AO34">
        <f>IF(VLOOKUP(AO$1,main!$A$3:$I$56,5,FALSE)-VLOOKUP($A34,main!$A$3:$I$56,6,FALSE)&gt;=VLOOKUP(55,main!$A$57:$I$59,4,FALSE)+VLOOKUP(VLOOKUP(AO$1,main!$A$3:$I$56,7,FALSE),main!$K$10:$Q$14,3,FALSE),1,0)</f>
        <v>0</v>
      </c>
      <c r="AP34">
        <f>IF(VLOOKUP(AP$1,main!$A$3:$I$56,5,FALSE)-VLOOKUP($A34,main!$A$3:$I$56,6,FALSE)&gt;=VLOOKUP(55,main!$A$57:$I$59,4,FALSE)+VLOOKUP(VLOOKUP(AP$1,main!$A$3:$I$56,7,FALSE),main!$K$10:$Q$14,3,FALSE),1,0)</f>
        <v>0</v>
      </c>
      <c r="AQ34">
        <f>IF(VLOOKUP(AQ$1,main!$A$3:$I$56,5,FALSE)-VLOOKUP($A34,main!$A$3:$I$56,6,FALSE)&gt;=VLOOKUP(55,main!$A$57:$I$59,4,FALSE)+VLOOKUP(VLOOKUP(AQ$1,main!$A$3:$I$56,7,FALSE),main!$K$10:$Q$14,3,FALSE),1,0)</f>
        <v>0</v>
      </c>
      <c r="AR34">
        <f>IF(VLOOKUP(AR$1,main!$A$3:$I$56,5,FALSE)-VLOOKUP($A34,main!$A$3:$I$56,6,FALSE)&gt;=VLOOKUP(55,main!$A$57:$I$59,4,FALSE)+VLOOKUP(VLOOKUP(AR$1,main!$A$3:$I$56,7,FALSE),main!$K$10:$Q$14,3,FALSE),1,0)</f>
        <v>0</v>
      </c>
      <c r="AS34">
        <f>IF(VLOOKUP(AS$1,main!$A$3:$I$56,5,FALSE)-VLOOKUP($A34,main!$A$3:$I$56,6,FALSE)&gt;=VLOOKUP(55,main!$A$57:$I$59,4,FALSE)+VLOOKUP(VLOOKUP(AS$1,main!$A$3:$I$56,7,FALSE),main!$K$10:$Q$14,3,FALSE),1,0)</f>
        <v>0</v>
      </c>
      <c r="AT34">
        <f>IF(VLOOKUP(AT$1,main!$A$3:$I$56,5,FALSE)-VLOOKUP($A34,main!$A$3:$I$56,6,FALSE)&gt;=VLOOKUP(55,main!$A$57:$I$59,4,FALSE)+VLOOKUP(VLOOKUP(AT$1,main!$A$3:$I$56,7,FALSE),main!$K$10:$Q$14,3,FALSE),1,0)</f>
        <v>0</v>
      </c>
      <c r="AU34">
        <f>IF(VLOOKUP(AU$1,main!$A$3:$I$56,5,FALSE)-VLOOKUP($A34,main!$A$3:$I$56,6,FALSE)&gt;=VLOOKUP(55,main!$A$57:$I$59,4,FALSE)+VLOOKUP(VLOOKUP(AU$1,main!$A$3:$I$56,7,FALSE),main!$K$10:$Q$14,3,FALSE),1,0)</f>
        <v>0</v>
      </c>
      <c r="AV34">
        <f>IF(VLOOKUP(AV$1,main!$A$3:$I$56,5,FALSE)-VLOOKUP($A34,main!$A$3:$I$56,6,FALSE)&gt;=VLOOKUP(55,main!$A$57:$I$59,4,FALSE)+VLOOKUP(VLOOKUP(AV$1,main!$A$3:$I$56,7,FALSE),main!$K$10:$Q$14,3,FALSE),1,0)</f>
        <v>0</v>
      </c>
      <c r="AW34">
        <f>IF(VLOOKUP(AW$1,main!$A$3:$I$56,5,FALSE)-VLOOKUP($A34,main!$A$3:$I$56,6,FALSE)&gt;=VLOOKUP(55,main!$A$57:$I$59,4,FALSE)+VLOOKUP(VLOOKUP(AW$1,main!$A$3:$I$56,7,FALSE),main!$K$10:$Q$14,3,FALSE),1,0)</f>
        <v>0</v>
      </c>
      <c r="AX34">
        <f>IF(VLOOKUP(AX$1,main!$A$3:$I$56,5,FALSE)-VLOOKUP($A34,main!$A$3:$I$56,6,FALSE)&gt;=VLOOKUP(55,main!$A$57:$I$59,4,FALSE)+VLOOKUP(VLOOKUP(AX$1,main!$A$3:$I$56,7,FALSE),main!$K$10:$Q$14,3,FALSE),1,0)</f>
        <v>1</v>
      </c>
      <c r="AY34">
        <f>IF(VLOOKUP(AY$1,main!$A$3:$I$56,5,FALSE)-VLOOKUP($A34,main!$A$3:$I$56,6,FALSE)&gt;=VLOOKUP(55,main!$A$57:$I$59,4,FALSE)+VLOOKUP(VLOOKUP(AY$1,main!$A$3:$I$56,7,FALSE),main!$K$10:$Q$14,3,FALSE),1,0)</f>
        <v>1</v>
      </c>
      <c r="AZ34">
        <f>IF(VLOOKUP(AZ$1,main!$A$3:$I$56,5,FALSE)-VLOOKUP($A34,main!$A$3:$I$56,6,FALSE)&gt;=VLOOKUP(55,main!$A$57:$I$59,4,FALSE)+VLOOKUP(VLOOKUP(AZ$1,main!$A$3:$I$56,7,FALSE),main!$K$10:$Q$14,3,FALSE),1,0)</f>
        <v>0</v>
      </c>
      <c r="BA34">
        <f>IF(VLOOKUP(BA$1,main!$A$3:$I$56,5,FALSE)-VLOOKUP($A34,main!$A$3:$I$56,6,FALSE)&gt;=VLOOKUP(55,main!$A$57:$I$59,4,FALSE)+VLOOKUP(VLOOKUP(BA$1,main!$A$3:$I$56,7,FALSE),main!$K$10:$Q$14,3,FALSE),1,0)</f>
        <v>0</v>
      </c>
      <c r="BB34">
        <f>IF(VLOOKUP(BB$1,main!$A$3:$I$56,5,FALSE)-VLOOKUP($A34,main!$A$3:$I$56,6,FALSE)&gt;=VLOOKUP(55,main!$A$57:$I$59,4,FALSE)+VLOOKUP(VLOOKUP(BB$1,main!$A$3:$I$56,7,FALSE),main!$K$10:$Q$14,3,FALSE),1,0)</f>
        <v>0</v>
      </c>
      <c r="BC34">
        <f>IF(VLOOKUP(BC$1,main!$A$3:$I$56,5,FALSE)-VLOOKUP($A34,main!$A$3:$I$56,6,FALSE)&gt;=VLOOKUP(55,main!$A$57:$I$59,4,FALSE)+VLOOKUP(VLOOKUP(BC$1,main!$A$3:$I$56,7,FALSE),main!$K$10:$Q$14,3,FALSE),1,0)</f>
        <v>1</v>
      </c>
      <c r="BD34">
        <f>IF(VLOOKUP(BD$1,main!$A$3:$I$56,5,FALSE)-VLOOKUP($A34,main!$A$3:$I$56,6,FALSE)&gt;=VLOOKUP(55,main!$A$57:$I$59,4,FALSE)+VLOOKUP(VLOOKUP(BD$1,main!$A$3:$I$56,7,FALSE),main!$K$10:$Q$14,3,FALSE),1,0)</f>
        <v>1</v>
      </c>
    </row>
    <row r="35" spans="1:56" x14ac:dyDescent="0.25">
      <c r="A35">
        <f t="shared" si="0"/>
        <v>33</v>
      </c>
      <c r="B35">
        <v>0</v>
      </c>
      <c r="C35">
        <f>IF(VLOOKUP(C$1,main!$A$3:$I$56,5,FALSE)-VLOOKUP($A35,main!$A$3:$I$56,6,FALSE)&gt;=VLOOKUP(55,main!$A$57:$I$59,4,FALSE)+VLOOKUP(VLOOKUP(C$1,main!$A$3:$I$56,7,FALSE),main!$K$10:$Q$14,3,FALSE),1,0)</f>
        <v>0</v>
      </c>
      <c r="D35">
        <f>IF(VLOOKUP(D$1,main!$A$3:$I$56,5,FALSE)-VLOOKUP($A35,main!$A$3:$I$56,6,FALSE)&gt;=VLOOKUP(55,main!$A$57:$I$59,4,FALSE)+VLOOKUP(VLOOKUP(D$1,main!$A$3:$I$56,7,FALSE),main!$K$10:$Q$14,3,FALSE),1,0)</f>
        <v>0</v>
      </c>
      <c r="E35">
        <f>IF(VLOOKUP(E$1,main!$A$3:$I$56,5,FALSE)-VLOOKUP($A35,main!$A$3:$I$56,6,FALSE)&gt;=VLOOKUP(55,main!$A$57:$I$59,4,FALSE)+VLOOKUP(VLOOKUP(E$1,main!$A$3:$I$56,7,FALSE),main!$K$10:$Q$14,3,FALSE),1,0)</f>
        <v>0</v>
      </c>
      <c r="F35">
        <f>IF(VLOOKUP(F$1,main!$A$3:$I$56,5,FALSE)-VLOOKUP($A35,main!$A$3:$I$56,6,FALSE)&gt;=VLOOKUP(55,main!$A$57:$I$59,4,FALSE)+VLOOKUP(VLOOKUP(F$1,main!$A$3:$I$56,7,FALSE),main!$K$10:$Q$14,3,FALSE),1,0)</f>
        <v>0</v>
      </c>
      <c r="G35">
        <f>IF(VLOOKUP(G$1,main!$A$3:$I$56,5,FALSE)-VLOOKUP($A35,main!$A$3:$I$56,6,FALSE)&gt;=VLOOKUP(55,main!$A$57:$I$59,4,FALSE)+VLOOKUP(VLOOKUP(G$1,main!$A$3:$I$56,7,FALSE),main!$K$10:$Q$14,3,FALSE),1,0)</f>
        <v>0</v>
      </c>
      <c r="H35">
        <f>IF(VLOOKUP(H$1,main!$A$3:$I$56,5,FALSE)-VLOOKUP($A35,main!$A$3:$I$56,6,FALSE)&gt;=VLOOKUP(55,main!$A$57:$I$59,4,FALSE)+VLOOKUP(VLOOKUP(H$1,main!$A$3:$I$56,7,FALSE),main!$K$10:$Q$14,3,FALSE),1,0)</f>
        <v>0</v>
      </c>
      <c r="I35">
        <f>IF(VLOOKUP(I$1,main!$A$3:$I$56,5,FALSE)-VLOOKUP($A35,main!$A$3:$I$56,6,FALSE)&gt;=VLOOKUP(55,main!$A$57:$I$59,4,FALSE)+VLOOKUP(VLOOKUP(I$1,main!$A$3:$I$56,7,FALSE),main!$K$10:$Q$14,3,FALSE),1,0)</f>
        <v>1</v>
      </c>
      <c r="J35">
        <f>IF(VLOOKUP(J$1,main!$A$3:$I$56,5,FALSE)-VLOOKUP($A35,main!$A$3:$I$56,6,FALSE)&gt;=VLOOKUP(55,main!$A$57:$I$59,4,FALSE)+VLOOKUP(VLOOKUP(J$1,main!$A$3:$I$56,7,FALSE),main!$K$10:$Q$14,3,FALSE),1,0)</f>
        <v>1</v>
      </c>
      <c r="K35">
        <f>IF(VLOOKUP(K$1,main!$A$3:$I$56,5,FALSE)-VLOOKUP($A35,main!$A$3:$I$56,6,FALSE)&gt;=VLOOKUP(55,main!$A$57:$I$59,4,FALSE)+VLOOKUP(VLOOKUP(K$1,main!$A$3:$I$56,7,FALSE),main!$K$10:$Q$14,3,FALSE),1,0)</f>
        <v>0</v>
      </c>
      <c r="L35">
        <f>IF(VLOOKUP(L$1,main!$A$3:$I$56,5,FALSE)-VLOOKUP($A35,main!$A$3:$I$56,6,FALSE)&gt;=VLOOKUP(55,main!$A$57:$I$59,4,FALSE)+VLOOKUP(VLOOKUP(L$1,main!$A$3:$I$56,7,FALSE),main!$K$10:$Q$14,3,FALSE),1,0)</f>
        <v>0</v>
      </c>
      <c r="M35">
        <f>IF(VLOOKUP(M$1,main!$A$3:$I$56,5,FALSE)-VLOOKUP($A35,main!$A$3:$I$56,6,FALSE)&gt;=VLOOKUP(55,main!$A$57:$I$59,4,FALSE)+VLOOKUP(VLOOKUP(M$1,main!$A$3:$I$56,7,FALSE),main!$K$10:$Q$14,3,FALSE),1,0)</f>
        <v>0</v>
      </c>
      <c r="N35">
        <f>IF(VLOOKUP(N$1,main!$A$3:$I$56,5,FALSE)-VLOOKUP($A35,main!$A$3:$I$56,6,FALSE)&gt;=VLOOKUP(55,main!$A$57:$I$59,4,FALSE)+VLOOKUP(VLOOKUP(N$1,main!$A$3:$I$56,7,FALSE),main!$K$10:$Q$14,3,FALSE),1,0)</f>
        <v>1</v>
      </c>
      <c r="O35">
        <f>IF(VLOOKUP(O$1,main!$A$3:$I$56,5,FALSE)-VLOOKUP($A35,main!$A$3:$I$56,6,FALSE)&gt;=VLOOKUP(55,main!$A$57:$I$59,4,FALSE)+VLOOKUP(VLOOKUP(O$1,main!$A$3:$I$56,7,FALSE),main!$K$10:$Q$14,3,FALSE),1,0)</f>
        <v>1</v>
      </c>
      <c r="P35">
        <f>IF(VLOOKUP(P$1,main!$A$3:$I$56,5,FALSE)-VLOOKUP($A35,main!$A$3:$I$56,6,FALSE)&gt;=VLOOKUP(55,main!$A$57:$I$59,4,FALSE)+VLOOKUP(VLOOKUP(P$1,main!$A$3:$I$56,7,FALSE),main!$K$10:$Q$14,3,FALSE),1,0)</f>
        <v>0</v>
      </c>
      <c r="Q35">
        <f>IF(VLOOKUP(Q$1,main!$A$3:$I$56,5,FALSE)-VLOOKUP($A35,main!$A$3:$I$56,6,FALSE)&gt;=VLOOKUP(55,main!$A$57:$I$59,4,FALSE)+VLOOKUP(VLOOKUP(Q$1,main!$A$3:$I$56,7,FALSE),main!$K$10:$Q$14,3,FALSE),1,0)</f>
        <v>0</v>
      </c>
      <c r="R35">
        <f>IF(VLOOKUP(R$1,main!$A$3:$I$56,5,FALSE)-VLOOKUP($A35,main!$A$3:$I$56,6,FALSE)&gt;=VLOOKUP(55,main!$A$57:$I$59,4,FALSE)+VLOOKUP(VLOOKUP(R$1,main!$A$3:$I$56,7,FALSE),main!$K$10:$Q$14,3,FALSE),1,0)</f>
        <v>0</v>
      </c>
      <c r="S35">
        <f>IF(VLOOKUP(S$1,main!$A$3:$I$56,5,FALSE)-VLOOKUP($A35,main!$A$3:$I$56,6,FALSE)&gt;=VLOOKUP(55,main!$A$57:$I$59,4,FALSE)+VLOOKUP(VLOOKUP(S$1,main!$A$3:$I$56,7,FALSE),main!$K$10:$Q$14,3,FALSE),1,0)</f>
        <v>0</v>
      </c>
      <c r="T35">
        <f>IF(VLOOKUP(T$1,main!$A$3:$I$56,5,FALSE)-VLOOKUP($A35,main!$A$3:$I$56,6,FALSE)&gt;=VLOOKUP(55,main!$A$57:$I$59,4,FALSE)+VLOOKUP(VLOOKUP(T$1,main!$A$3:$I$56,7,FALSE),main!$K$10:$Q$14,3,FALSE),1,0)</f>
        <v>1</v>
      </c>
      <c r="U35">
        <f>IF(VLOOKUP(U$1,main!$A$3:$I$56,5,FALSE)-VLOOKUP($A35,main!$A$3:$I$56,6,FALSE)&gt;=VLOOKUP(55,main!$A$57:$I$59,4,FALSE)+VLOOKUP(VLOOKUP(U$1,main!$A$3:$I$56,7,FALSE),main!$K$10:$Q$14,3,FALSE),1,0)</f>
        <v>0</v>
      </c>
      <c r="V35">
        <f>IF(VLOOKUP(V$1,main!$A$3:$I$56,5,FALSE)-VLOOKUP($A35,main!$A$3:$I$56,6,FALSE)&gt;=VLOOKUP(55,main!$A$57:$I$59,4,FALSE)+VLOOKUP(VLOOKUP(V$1,main!$A$3:$I$56,7,FALSE),main!$K$10:$Q$14,3,FALSE),1,0)</f>
        <v>0</v>
      </c>
      <c r="W35">
        <f>IF(VLOOKUP(W$1,main!$A$3:$I$56,5,FALSE)-VLOOKUP($A35,main!$A$3:$I$56,6,FALSE)&gt;=VLOOKUP(55,main!$A$57:$I$59,4,FALSE)+VLOOKUP(VLOOKUP(W$1,main!$A$3:$I$56,7,FALSE),main!$K$10:$Q$14,3,FALSE),1,0)</f>
        <v>0</v>
      </c>
      <c r="X35">
        <f>IF(VLOOKUP(X$1,main!$A$3:$I$56,5,FALSE)-VLOOKUP($A35,main!$A$3:$I$56,6,FALSE)&gt;=VLOOKUP(55,main!$A$57:$I$59,4,FALSE)+VLOOKUP(VLOOKUP(X$1,main!$A$3:$I$56,7,FALSE),main!$K$10:$Q$14,3,FALSE),1,0)</f>
        <v>0</v>
      </c>
      <c r="Y35">
        <f>IF(VLOOKUP(Y$1,main!$A$3:$I$56,5,FALSE)-VLOOKUP($A35,main!$A$3:$I$56,6,FALSE)&gt;=VLOOKUP(55,main!$A$57:$I$59,4,FALSE)+VLOOKUP(VLOOKUP(Y$1,main!$A$3:$I$56,7,FALSE),main!$K$10:$Q$14,3,FALSE),1,0)</f>
        <v>0</v>
      </c>
      <c r="Z35">
        <f>IF(VLOOKUP(Z$1,main!$A$3:$I$56,5,FALSE)-VLOOKUP($A35,main!$A$3:$I$56,6,FALSE)&gt;=VLOOKUP(55,main!$A$57:$I$59,4,FALSE)+VLOOKUP(VLOOKUP(Z$1,main!$A$3:$I$56,7,FALSE),main!$K$10:$Q$14,3,FALSE),1,0)</f>
        <v>0</v>
      </c>
      <c r="AA35">
        <f>IF(VLOOKUP(AA$1,main!$A$3:$I$56,5,FALSE)-VLOOKUP($A35,main!$A$3:$I$56,6,FALSE)&gt;=VLOOKUP(55,main!$A$57:$I$59,4,FALSE)+VLOOKUP(VLOOKUP(AA$1,main!$A$3:$I$56,7,FALSE),main!$K$10:$Q$14,3,FALSE),1,0)</f>
        <v>1</v>
      </c>
      <c r="AB35">
        <f>IF(VLOOKUP(AB$1,main!$A$3:$I$56,5,FALSE)-VLOOKUP($A35,main!$A$3:$I$56,6,FALSE)&gt;=VLOOKUP(55,main!$A$57:$I$59,4,FALSE)+VLOOKUP(VLOOKUP(AB$1,main!$A$3:$I$56,7,FALSE),main!$K$10:$Q$14,3,FALSE),1,0)</f>
        <v>1</v>
      </c>
      <c r="AC35">
        <f>IF(VLOOKUP(AC$1,main!$A$3:$I$56,5,FALSE)-VLOOKUP($A35,main!$A$3:$I$56,6,FALSE)&gt;=VLOOKUP(55,main!$A$57:$I$59,4,FALSE)+VLOOKUP(VLOOKUP(AC$1,main!$A$3:$I$56,7,FALSE),main!$K$10:$Q$14,3,FALSE),1,0)</f>
        <v>0</v>
      </c>
      <c r="AD35">
        <f>IF(VLOOKUP(AD$1,main!$A$3:$I$56,5,FALSE)-VLOOKUP($A35,main!$A$3:$I$56,6,FALSE)&gt;=VLOOKUP(55,main!$A$57:$I$59,4,FALSE)+VLOOKUP(VLOOKUP(AD$1,main!$A$3:$I$56,7,FALSE),main!$K$10:$Q$14,3,FALSE),1,0)</f>
        <v>0</v>
      </c>
      <c r="AE35">
        <f>IF(VLOOKUP(AE$1,main!$A$3:$I$56,5,FALSE)-VLOOKUP($A35,main!$A$3:$I$56,6,FALSE)&gt;=VLOOKUP(55,main!$A$57:$I$59,4,FALSE)+VLOOKUP(VLOOKUP(AE$1,main!$A$3:$I$56,7,FALSE),main!$K$10:$Q$14,3,FALSE),1,0)</f>
        <v>0</v>
      </c>
      <c r="AF35">
        <f>IF(VLOOKUP(AF$1,main!$A$3:$I$56,5,FALSE)-VLOOKUP($A35,main!$A$3:$I$56,6,FALSE)&gt;=VLOOKUP(55,main!$A$57:$I$59,4,FALSE)+VLOOKUP(VLOOKUP(AF$1,main!$A$3:$I$56,7,FALSE),main!$K$10:$Q$14,3,FALSE),1,0)</f>
        <v>0</v>
      </c>
      <c r="AG35">
        <f>IF(VLOOKUP(AG$1,main!$A$3:$I$56,5,FALSE)-VLOOKUP($A35,main!$A$3:$I$56,6,FALSE)&gt;=VLOOKUP(55,main!$A$57:$I$59,4,FALSE)+VLOOKUP(VLOOKUP(AG$1,main!$A$3:$I$56,7,FALSE),main!$K$10:$Q$14,3,FALSE),1,0)</f>
        <v>0</v>
      </c>
      <c r="AH35">
        <f>IF(VLOOKUP(AH$1,main!$A$3:$I$56,5,FALSE)-VLOOKUP($A35,main!$A$3:$I$56,6,FALSE)&gt;=VLOOKUP(55,main!$A$57:$I$59,4,FALSE)+VLOOKUP(VLOOKUP(AH$1,main!$A$3:$I$56,7,FALSE),main!$K$10:$Q$14,3,FALSE),1,0)</f>
        <v>0</v>
      </c>
      <c r="AI35">
        <f>IF(VLOOKUP(AI$1,main!$A$3:$I$56,5,FALSE)-VLOOKUP($A35,main!$A$3:$I$56,6,FALSE)&gt;=VLOOKUP(55,main!$A$57:$I$59,4,FALSE)+VLOOKUP(VLOOKUP(AI$1,main!$A$3:$I$56,7,FALSE),main!$K$10:$Q$14,3,FALSE),1,0)</f>
        <v>0</v>
      </c>
      <c r="AJ35">
        <f>IF(VLOOKUP(AJ$1,main!$A$3:$I$56,5,FALSE)-VLOOKUP($A35,main!$A$3:$I$56,6,FALSE)&gt;=VLOOKUP(55,main!$A$57:$I$59,4,FALSE)+VLOOKUP(VLOOKUP(AJ$1,main!$A$3:$I$56,7,FALSE),main!$K$10:$Q$14,3,FALSE),1,0)</f>
        <v>0</v>
      </c>
      <c r="AK35">
        <f>IF(VLOOKUP(AK$1,main!$A$3:$I$56,5,FALSE)-VLOOKUP($A35,main!$A$3:$I$56,6,FALSE)&gt;=VLOOKUP(55,main!$A$57:$I$59,4,FALSE)+VLOOKUP(VLOOKUP(AK$1,main!$A$3:$I$56,7,FALSE),main!$K$10:$Q$14,3,FALSE),1,0)</f>
        <v>0</v>
      </c>
      <c r="AL35">
        <f>IF(VLOOKUP(AL$1,main!$A$3:$I$56,5,FALSE)-VLOOKUP($A35,main!$A$3:$I$56,6,FALSE)&gt;=VLOOKUP(55,main!$A$57:$I$59,4,FALSE)+VLOOKUP(VLOOKUP(AL$1,main!$A$3:$I$56,7,FALSE),main!$K$10:$Q$14,3,FALSE),1,0)</f>
        <v>0</v>
      </c>
      <c r="AM35">
        <f>IF(VLOOKUP(AM$1,main!$A$3:$I$56,5,FALSE)-VLOOKUP($A35,main!$A$3:$I$56,6,FALSE)&gt;=VLOOKUP(55,main!$A$57:$I$59,4,FALSE)+VLOOKUP(VLOOKUP(AM$1,main!$A$3:$I$56,7,FALSE),main!$K$10:$Q$14,3,FALSE),1,0)</f>
        <v>0</v>
      </c>
      <c r="AN35">
        <f>IF(VLOOKUP(AN$1,main!$A$3:$I$56,5,FALSE)-VLOOKUP($A35,main!$A$3:$I$56,6,FALSE)&gt;=VLOOKUP(55,main!$A$57:$I$59,4,FALSE)+VLOOKUP(VLOOKUP(AN$1,main!$A$3:$I$56,7,FALSE),main!$K$10:$Q$14,3,FALSE),1,0)</f>
        <v>0</v>
      </c>
      <c r="AO35">
        <f>IF(VLOOKUP(AO$1,main!$A$3:$I$56,5,FALSE)-VLOOKUP($A35,main!$A$3:$I$56,6,FALSE)&gt;=VLOOKUP(55,main!$A$57:$I$59,4,FALSE)+VLOOKUP(VLOOKUP(AO$1,main!$A$3:$I$56,7,FALSE),main!$K$10:$Q$14,3,FALSE),1,0)</f>
        <v>0</v>
      </c>
      <c r="AP35">
        <f>IF(VLOOKUP(AP$1,main!$A$3:$I$56,5,FALSE)-VLOOKUP($A35,main!$A$3:$I$56,6,FALSE)&gt;=VLOOKUP(55,main!$A$57:$I$59,4,FALSE)+VLOOKUP(VLOOKUP(AP$1,main!$A$3:$I$56,7,FALSE),main!$K$10:$Q$14,3,FALSE),1,0)</f>
        <v>0</v>
      </c>
      <c r="AQ35">
        <f>IF(VLOOKUP(AQ$1,main!$A$3:$I$56,5,FALSE)-VLOOKUP($A35,main!$A$3:$I$56,6,FALSE)&gt;=VLOOKUP(55,main!$A$57:$I$59,4,FALSE)+VLOOKUP(VLOOKUP(AQ$1,main!$A$3:$I$56,7,FALSE),main!$K$10:$Q$14,3,FALSE),1,0)</f>
        <v>0</v>
      </c>
      <c r="AR35">
        <f>IF(VLOOKUP(AR$1,main!$A$3:$I$56,5,FALSE)-VLOOKUP($A35,main!$A$3:$I$56,6,FALSE)&gt;=VLOOKUP(55,main!$A$57:$I$59,4,FALSE)+VLOOKUP(VLOOKUP(AR$1,main!$A$3:$I$56,7,FALSE),main!$K$10:$Q$14,3,FALSE),1,0)</f>
        <v>0</v>
      </c>
      <c r="AS35">
        <f>IF(VLOOKUP(AS$1,main!$A$3:$I$56,5,FALSE)-VLOOKUP($A35,main!$A$3:$I$56,6,FALSE)&gt;=VLOOKUP(55,main!$A$57:$I$59,4,FALSE)+VLOOKUP(VLOOKUP(AS$1,main!$A$3:$I$56,7,FALSE),main!$K$10:$Q$14,3,FALSE),1,0)</f>
        <v>0</v>
      </c>
      <c r="AT35">
        <f>IF(VLOOKUP(AT$1,main!$A$3:$I$56,5,FALSE)-VLOOKUP($A35,main!$A$3:$I$56,6,FALSE)&gt;=VLOOKUP(55,main!$A$57:$I$59,4,FALSE)+VLOOKUP(VLOOKUP(AT$1,main!$A$3:$I$56,7,FALSE),main!$K$10:$Q$14,3,FALSE),1,0)</f>
        <v>0</v>
      </c>
      <c r="AU35">
        <f>IF(VLOOKUP(AU$1,main!$A$3:$I$56,5,FALSE)-VLOOKUP($A35,main!$A$3:$I$56,6,FALSE)&gt;=VLOOKUP(55,main!$A$57:$I$59,4,FALSE)+VLOOKUP(VLOOKUP(AU$1,main!$A$3:$I$56,7,FALSE),main!$K$10:$Q$14,3,FALSE),1,0)</f>
        <v>0</v>
      </c>
      <c r="AV35">
        <f>IF(VLOOKUP(AV$1,main!$A$3:$I$56,5,FALSE)-VLOOKUP($A35,main!$A$3:$I$56,6,FALSE)&gt;=VLOOKUP(55,main!$A$57:$I$59,4,FALSE)+VLOOKUP(VLOOKUP(AV$1,main!$A$3:$I$56,7,FALSE),main!$K$10:$Q$14,3,FALSE),1,0)</f>
        <v>0</v>
      </c>
      <c r="AW35">
        <f>IF(VLOOKUP(AW$1,main!$A$3:$I$56,5,FALSE)-VLOOKUP($A35,main!$A$3:$I$56,6,FALSE)&gt;=VLOOKUP(55,main!$A$57:$I$59,4,FALSE)+VLOOKUP(VLOOKUP(AW$1,main!$A$3:$I$56,7,FALSE),main!$K$10:$Q$14,3,FALSE),1,0)</f>
        <v>0</v>
      </c>
      <c r="AX35">
        <f>IF(VLOOKUP(AX$1,main!$A$3:$I$56,5,FALSE)-VLOOKUP($A35,main!$A$3:$I$56,6,FALSE)&gt;=VLOOKUP(55,main!$A$57:$I$59,4,FALSE)+VLOOKUP(VLOOKUP(AX$1,main!$A$3:$I$56,7,FALSE),main!$K$10:$Q$14,3,FALSE),1,0)</f>
        <v>0</v>
      </c>
      <c r="AY35">
        <f>IF(VLOOKUP(AY$1,main!$A$3:$I$56,5,FALSE)-VLOOKUP($A35,main!$A$3:$I$56,6,FALSE)&gt;=VLOOKUP(55,main!$A$57:$I$59,4,FALSE)+VLOOKUP(VLOOKUP(AY$1,main!$A$3:$I$56,7,FALSE),main!$K$10:$Q$14,3,FALSE),1,0)</f>
        <v>1</v>
      </c>
      <c r="AZ35">
        <f>IF(VLOOKUP(AZ$1,main!$A$3:$I$56,5,FALSE)-VLOOKUP($A35,main!$A$3:$I$56,6,FALSE)&gt;=VLOOKUP(55,main!$A$57:$I$59,4,FALSE)+VLOOKUP(VLOOKUP(AZ$1,main!$A$3:$I$56,7,FALSE),main!$K$10:$Q$14,3,FALSE),1,0)</f>
        <v>0</v>
      </c>
      <c r="BA35">
        <f>IF(VLOOKUP(BA$1,main!$A$3:$I$56,5,FALSE)-VLOOKUP($A35,main!$A$3:$I$56,6,FALSE)&gt;=VLOOKUP(55,main!$A$57:$I$59,4,FALSE)+VLOOKUP(VLOOKUP(BA$1,main!$A$3:$I$56,7,FALSE),main!$K$10:$Q$14,3,FALSE),1,0)</f>
        <v>0</v>
      </c>
      <c r="BB35">
        <f>IF(VLOOKUP(BB$1,main!$A$3:$I$56,5,FALSE)-VLOOKUP($A35,main!$A$3:$I$56,6,FALSE)&gt;=VLOOKUP(55,main!$A$57:$I$59,4,FALSE)+VLOOKUP(VLOOKUP(BB$1,main!$A$3:$I$56,7,FALSE),main!$K$10:$Q$14,3,FALSE),1,0)</f>
        <v>0</v>
      </c>
      <c r="BC35">
        <f>IF(VLOOKUP(BC$1,main!$A$3:$I$56,5,FALSE)-VLOOKUP($A35,main!$A$3:$I$56,6,FALSE)&gt;=VLOOKUP(55,main!$A$57:$I$59,4,FALSE)+VLOOKUP(VLOOKUP(BC$1,main!$A$3:$I$56,7,FALSE),main!$K$10:$Q$14,3,FALSE),1,0)</f>
        <v>0</v>
      </c>
      <c r="BD35">
        <f>IF(VLOOKUP(BD$1,main!$A$3:$I$56,5,FALSE)-VLOOKUP($A35,main!$A$3:$I$56,6,FALSE)&gt;=VLOOKUP(55,main!$A$57:$I$59,4,FALSE)+VLOOKUP(VLOOKUP(BD$1,main!$A$3:$I$56,7,FALSE),main!$K$10:$Q$14,3,FALSE),1,0)</f>
        <v>0</v>
      </c>
    </row>
    <row r="36" spans="1:56" x14ac:dyDescent="0.25">
      <c r="A36">
        <f t="shared" si="0"/>
        <v>34</v>
      </c>
      <c r="B36">
        <v>0</v>
      </c>
      <c r="C36">
        <f>IF(VLOOKUP(C$1,main!$A$3:$I$56,5,FALSE)-VLOOKUP($A36,main!$A$3:$I$56,6,FALSE)&gt;=VLOOKUP(55,main!$A$57:$I$59,4,FALSE)+VLOOKUP(VLOOKUP(C$1,main!$A$3:$I$56,7,FALSE),main!$K$10:$Q$14,3,FALSE),1,0)</f>
        <v>0</v>
      </c>
      <c r="D36">
        <f>IF(VLOOKUP(D$1,main!$A$3:$I$56,5,FALSE)-VLOOKUP($A36,main!$A$3:$I$56,6,FALSE)&gt;=VLOOKUP(55,main!$A$57:$I$59,4,FALSE)+VLOOKUP(VLOOKUP(D$1,main!$A$3:$I$56,7,FALSE),main!$K$10:$Q$14,3,FALSE),1,0)</f>
        <v>0</v>
      </c>
      <c r="E36">
        <f>IF(VLOOKUP(E$1,main!$A$3:$I$56,5,FALSE)-VLOOKUP($A36,main!$A$3:$I$56,6,FALSE)&gt;=VLOOKUP(55,main!$A$57:$I$59,4,FALSE)+VLOOKUP(VLOOKUP(E$1,main!$A$3:$I$56,7,FALSE),main!$K$10:$Q$14,3,FALSE),1,0)</f>
        <v>0</v>
      </c>
      <c r="F36">
        <f>IF(VLOOKUP(F$1,main!$A$3:$I$56,5,FALSE)-VLOOKUP($A36,main!$A$3:$I$56,6,FALSE)&gt;=VLOOKUP(55,main!$A$57:$I$59,4,FALSE)+VLOOKUP(VLOOKUP(F$1,main!$A$3:$I$56,7,FALSE),main!$K$10:$Q$14,3,FALSE),1,0)</f>
        <v>0</v>
      </c>
      <c r="G36">
        <f>IF(VLOOKUP(G$1,main!$A$3:$I$56,5,FALSE)-VLOOKUP($A36,main!$A$3:$I$56,6,FALSE)&gt;=VLOOKUP(55,main!$A$57:$I$59,4,FALSE)+VLOOKUP(VLOOKUP(G$1,main!$A$3:$I$56,7,FALSE),main!$K$10:$Q$14,3,FALSE),1,0)</f>
        <v>0</v>
      </c>
      <c r="H36">
        <f>IF(VLOOKUP(H$1,main!$A$3:$I$56,5,FALSE)-VLOOKUP($A36,main!$A$3:$I$56,6,FALSE)&gt;=VLOOKUP(55,main!$A$57:$I$59,4,FALSE)+VLOOKUP(VLOOKUP(H$1,main!$A$3:$I$56,7,FALSE),main!$K$10:$Q$14,3,FALSE),1,0)</f>
        <v>0</v>
      </c>
      <c r="I36">
        <f>IF(VLOOKUP(I$1,main!$A$3:$I$56,5,FALSE)-VLOOKUP($A36,main!$A$3:$I$56,6,FALSE)&gt;=VLOOKUP(55,main!$A$57:$I$59,4,FALSE)+VLOOKUP(VLOOKUP(I$1,main!$A$3:$I$56,7,FALSE),main!$K$10:$Q$14,3,FALSE),1,0)</f>
        <v>0</v>
      </c>
      <c r="J36">
        <f>IF(VLOOKUP(J$1,main!$A$3:$I$56,5,FALSE)-VLOOKUP($A36,main!$A$3:$I$56,6,FALSE)&gt;=VLOOKUP(55,main!$A$57:$I$59,4,FALSE)+VLOOKUP(VLOOKUP(J$1,main!$A$3:$I$56,7,FALSE),main!$K$10:$Q$14,3,FALSE),1,0)</f>
        <v>1</v>
      </c>
      <c r="K36">
        <f>IF(VLOOKUP(K$1,main!$A$3:$I$56,5,FALSE)-VLOOKUP($A36,main!$A$3:$I$56,6,FALSE)&gt;=VLOOKUP(55,main!$A$57:$I$59,4,FALSE)+VLOOKUP(VLOOKUP(K$1,main!$A$3:$I$56,7,FALSE),main!$K$10:$Q$14,3,FALSE),1,0)</f>
        <v>0</v>
      </c>
      <c r="L36">
        <f>IF(VLOOKUP(L$1,main!$A$3:$I$56,5,FALSE)-VLOOKUP($A36,main!$A$3:$I$56,6,FALSE)&gt;=VLOOKUP(55,main!$A$57:$I$59,4,FALSE)+VLOOKUP(VLOOKUP(L$1,main!$A$3:$I$56,7,FALSE),main!$K$10:$Q$14,3,FALSE),1,0)</f>
        <v>0</v>
      </c>
      <c r="M36">
        <f>IF(VLOOKUP(M$1,main!$A$3:$I$56,5,FALSE)-VLOOKUP($A36,main!$A$3:$I$56,6,FALSE)&gt;=VLOOKUP(55,main!$A$57:$I$59,4,FALSE)+VLOOKUP(VLOOKUP(M$1,main!$A$3:$I$56,7,FALSE),main!$K$10:$Q$14,3,FALSE),1,0)</f>
        <v>0</v>
      </c>
      <c r="N36">
        <f>IF(VLOOKUP(N$1,main!$A$3:$I$56,5,FALSE)-VLOOKUP($A36,main!$A$3:$I$56,6,FALSE)&gt;=VLOOKUP(55,main!$A$57:$I$59,4,FALSE)+VLOOKUP(VLOOKUP(N$1,main!$A$3:$I$56,7,FALSE),main!$K$10:$Q$14,3,FALSE),1,0)</f>
        <v>1</v>
      </c>
      <c r="O36">
        <f>IF(VLOOKUP(O$1,main!$A$3:$I$56,5,FALSE)-VLOOKUP($A36,main!$A$3:$I$56,6,FALSE)&gt;=VLOOKUP(55,main!$A$57:$I$59,4,FALSE)+VLOOKUP(VLOOKUP(O$1,main!$A$3:$I$56,7,FALSE),main!$K$10:$Q$14,3,FALSE),1,0)</f>
        <v>1</v>
      </c>
      <c r="P36">
        <f>IF(VLOOKUP(P$1,main!$A$3:$I$56,5,FALSE)-VLOOKUP($A36,main!$A$3:$I$56,6,FALSE)&gt;=VLOOKUP(55,main!$A$57:$I$59,4,FALSE)+VLOOKUP(VLOOKUP(P$1,main!$A$3:$I$56,7,FALSE),main!$K$10:$Q$14,3,FALSE),1,0)</f>
        <v>0</v>
      </c>
      <c r="Q36">
        <f>IF(VLOOKUP(Q$1,main!$A$3:$I$56,5,FALSE)-VLOOKUP($A36,main!$A$3:$I$56,6,FALSE)&gt;=VLOOKUP(55,main!$A$57:$I$59,4,FALSE)+VLOOKUP(VLOOKUP(Q$1,main!$A$3:$I$56,7,FALSE),main!$K$10:$Q$14,3,FALSE),1,0)</f>
        <v>0</v>
      </c>
      <c r="R36">
        <f>IF(VLOOKUP(R$1,main!$A$3:$I$56,5,FALSE)-VLOOKUP($A36,main!$A$3:$I$56,6,FALSE)&gt;=VLOOKUP(55,main!$A$57:$I$59,4,FALSE)+VLOOKUP(VLOOKUP(R$1,main!$A$3:$I$56,7,FALSE),main!$K$10:$Q$14,3,FALSE),1,0)</f>
        <v>0</v>
      </c>
      <c r="S36">
        <f>IF(VLOOKUP(S$1,main!$A$3:$I$56,5,FALSE)-VLOOKUP($A36,main!$A$3:$I$56,6,FALSE)&gt;=VLOOKUP(55,main!$A$57:$I$59,4,FALSE)+VLOOKUP(VLOOKUP(S$1,main!$A$3:$I$56,7,FALSE),main!$K$10:$Q$14,3,FALSE),1,0)</f>
        <v>0</v>
      </c>
      <c r="T36">
        <f>IF(VLOOKUP(T$1,main!$A$3:$I$56,5,FALSE)-VLOOKUP($A36,main!$A$3:$I$56,6,FALSE)&gt;=VLOOKUP(55,main!$A$57:$I$59,4,FALSE)+VLOOKUP(VLOOKUP(T$1,main!$A$3:$I$56,7,FALSE),main!$K$10:$Q$14,3,FALSE),1,0)</f>
        <v>0</v>
      </c>
      <c r="U36">
        <f>IF(VLOOKUP(U$1,main!$A$3:$I$56,5,FALSE)-VLOOKUP($A36,main!$A$3:$I$56,6,FALSE)&gt;=VLOOKUP(55,main!$A$57:$I$59,4,FALSE)+VLOOKUP(VLOOKUP(U$1,main!$A$3:$I$56,7,FALSE),main!$K$10:$Q$14,3,FALSE),1,0)</f>
        <v>0</v>
      </c>
      <c r="V36">
        <f>IF(VLOOKUP(V$1,main!$A$3:$I$56,5,FALSE)-VLOOKUP($A36,main!$A$3:$I$56,6,FALSE)&gt;=VLOOKUP(55,main!$A$57:$I$59,4,FALSE)+VLOOKUP(VLOOKUP(V$1,main!$A$3:$I$56,7,FALSE),main!$K$10:$Q$14,3,FALSE),1,0)</f>
        <v>0</v>
      </c>
      <c r="W36">
        <f>IF(VLOOKUP(W$1,main!$A$3:$I$56,5,FALSE)-VLOOKUP($A36,main!$A$3:$I$56,6,FALSE)&gt;=VLOOKUP(55,main!$A$57:$I$59,4,FALSE)+VLOOKUP(VLOOKUP(W$1,main!$A$3:$I$56,7,FALSE),main!$K$10:$Q$14,3,FALSE),1,0)</f>
        <v>0</v>
      </c>
      <c r="X36">
        <f>IF(VLOOKUP(X$1,main!$A$3:$I$56,5,FALSE)-VLOOKUP($A36,main!$A$3:$I$56,6,FALSE)&gt;=VLOOKUP(55,main!$A$57:$I$59,4,FALSE)+VLOOKUP(VLOOKUP(X$1,main!$A$3:$I$56,7,FALSE),main!$K$10:$Q$14,3,FALSE),1,0)</f>
        <v>0</v>
      </c>
      <c r="Y36">
        <f>IF(VLOOKUP(Y$1,main!$A$3:$I$56,5,FALSE)-VLOOKUP($A36,main!$A$3:$I$56,6,FALSE)&gt;=VLOOKUP(55,main!$A$57:$I$59,4,FALSE)+VLOOKUP(VLOOKUP(Y$1,main!$A$3:$I$56,7,FALSE),main!$K$10:$Q$14,3,FALSE),1,0)</f>
        <v>0</v>
      </c>
      <c r="Z36">
        <f>IF(VLOOKUP(Z$1,main!$A$3:$I$56,5,FALSE)-VLOOKUP($A36,main!$A$3:$I$56,6,FALSE)&gt;=VLOOKUP(55,main!$A$57:$I$59,4,FALSE)+VLOOKUP(VLOOKUP(Z$1,main!$A$3:$I$56,7,FALSE),main!$K$10:$Q$14,3,FALSE),1,0)</f>
        <v>0</v>
      </c>
      <c r="AA36">
        <f>IF(VLOOKUP(AA$1,main!$A$3:$I$56,5,FALSE)-VLOOKUP($A36,main!$A$3:$I$56,6,FALSE)&gt;=VLOOKUP(55,main!$A$57:$I$59,4,FALSE)+VLOOKUP(VLOOKUP(AA$1,main!$A$3:$I$56,7,FALSE),main!$K$10:$Q$14,3,FALSE),1,0)</f>
        <v>0</v>
      </c>
      <c r="AB36">
        <f>IF(VLOOKUP(AB$1,main!$A$3:$I$56,5,FALSE)-VLOOKUP($A36,main!$A$3:$I$56,6,FALSE)&gt;=VLOOKUP(55,main!$A$57:$I$59,4,FALSE)+VLOOKUP(VLOOKUP(AB$1,main!$A$3:$I$56,7,FALSE),main!$K$10:$Q$14,3,FALSE),1,0)</f>
        <v>1</v>
      </c>
      <c r="AC36">
        <f>IF(VLOOKUP(AC$1,main!$A$3:$I$56,5,FALSE)-VLOOKUP($A36,main!$A$3:$I$56,6,FALSE)&gt;=VLOOKUP(55,main!$A$57:$I$59,4,FALSE)+VLOOKUP(VLOOKUP(AC$1,main!$A$3:$I$56,7,FALSE),main!$K$10:$Q$14,3,FALSE),1,0)</f>
        <v>0</v>
      </c>
      <c r="AD36">
        <f>IF(VLOOKUP(AD$1,main!$A$3:$I$56,5,FALSE)-VLOOKUP($A36,main!$A$3:$I$56,6,FALSE)&gt;=VLOOKUP(55,main!$A$57:$I$59,4,FALSE)+VLOOKUP(VLOOKUP(AD$1,main!$A$3:$I$56,7,FALSE),main!$K$10:$Q$14,3,FALSE),1,0)</f>
        <v>0</v>
      </c>
      <c r="AE36">
        <f>IF(VLOOKUP(AE$1,main!$A$3:$I$56,5,FALSE)-VLOOKUP($A36,main!$A$3:$I$56,6,FALSE)&gt;=VLOOKUP(55,main!$A$57:$I$59,4,FALSE)+VLOOKUP(VLOOKUP(AE$1,main!$A$3:$I$56,7,FALSE),main!$K$10:$Q$14,3,FALSE),1,0)</f>
        <v>0</v>
      </c>
      <c r="AF36">
        <f>IF(VLOOKUP(AF$1,main!$A$3:$I$56,5,FALSE)-VLOOKUP($A36,main!$A$3:$I$56,6,FALSE)&gt;=VLOOKUP(55,main!$A$57:$I$59,4,FALSE)+VLOOKUP(VLOOKUP(AF$1,main!$A$3:$I$56,7,FALSE),main!$K$10:$Q$14,3,FALSE),1,0)</f>
        <v>0</v>
      </c>
      <c r="AG36">
        <f>IF(VLOOKUP(AG$1,main!$A$3:$I$56,5,FALSE)-VLOOKUP($A36,main!$A$3:$I$56,6,FALSE)&gt;=VLOOKUP(55,main!$A$57:$I$59,4,FALSE)+VLOOKUP(VLOOKUP(AG$1,main!$A$3:$I$56,7,FALSE),main!$K$10:$Q$14,3,FALSE),1,0)</f>
        <v>0</v>
      </c>
      <c r="AH36">
        <f>IF(VLOOKUP(AH$1,main!$A$3:$I$56,5,FALSE)-VLOOKUP($A36,main!$A$3:$I$56,6,FALSE)&gt;=VLOOKUP(55,main!$A$57:$I$59,4,FALSE)+VLOOKUP(VLOOKUP(AH$1,main!$A$3:$I$56,7,FALSE),main!$K$10:$Q$14,3,FALSE),1,0)</f>
        <v>0</v>
      </c>
      <c r="AI36">
        <f>IF(VLOOKUP(AI$1,main!$A$3:$I$56,5,FALSE)-VLOOKUP($A36,main!$A$3:$I$56,6,FALSE)&gt;=VLOOKUP(55,main!$A$57:$I$59,4,FALSE)+VLOOKUP(VLOOKUP(AI$1,main!$A$3:$I$56,7,FALSE),main!$K$10:$Q$14,3,FALSE),1,0)</f>
        <v>0</v>
      </c>
      <c r="AJ36">
        <f>IF(VLOOKUP(AJ$1,main!$A$3:$I$56,5,FALSE)-VLOOKUP($A36,main!$A$3:$I$56,6,FALSE)&gt;=VLOOKUP(55,main!$A$57:$I$59,4,FALSE)+VLOOKUP(VLOOKUP(AJ$1,main!$A$3:$I$56,7,FALSE),main!$K$10:$Q$14,3,FALSE),1,0)</f>
        <v>0</v>
      </c>
      <c r="AK36">
        <f>IF(VLOOKUP(AK$1,main!$A$3:$I$56,5,FALSE)-VLOOKUP($A36,main!$A$3:$I$56,6,FALSE)&gt;=VLOOKUP(55,main!$A$57:$I$59,4,FALSE)+VLOOKUP(VLOOKUP(AK$1,main!$A$3:$I$56,7,FALSE),main!$K$10:$Q$14,3,FALSE),1,0)</f>
        <v>0</v>
      </c>
      <c r="AL36">
        <f>IF(VLOOKUP(AL$1,main!$A$3:$I$56,5,FALSE)-VLOOKUP($A36,main!$A$3:$I$56,6,FALSE)&gt;=VLOOKUP(55,main!$A$57:$I$59,4,FALSE)+VLOOKUP(VLOOKUP(AL$1,main!$A$3:$I$56,7,FALSE),main!$K$10:$Q$14,3,FALSE),1,0)</f>
        <v>0</v>
      </c>
      <c r="AM36">
        <f>IF(VLOOKUP(AM$1,main!$A$3:$I$56,5,FALSE)-VLOOKUP($A36,main!$A$3:$I$56,6,FALSE)&gt;=VLOOKUP(55,main!$A$57:$I$59,4,FALSE)+VLOOKUP(VLOOKUP(AM$1,main!$A$3:$I$56,7,FALSE),main!$K$10:$Q$14,3,FALSE),1,0)</f>
        <v>0</v>
      </c>
      <c r="AN36">
        <f>IF(VLOOKUP(AN$1,main!$A$3:$I$56,5,FALSE)-VLOOKUP($A36,main!$A$3:$I$56,6,FALSE)&gt;=VLOOKUP(55,main!$A$57:$I$59,4,FALSE)+VLOOKUP(VLOOKUP(AN$1,main!$A$3:$I$56,7,FALSE),main!$K$10:$Q$14,3,FALSE),1,0)</f>
        <v>0</v>
      </c>
      <c r="AO36">
        <f>IF(VLOOKUP(AO$1,main!$A$3:$I$56,5,FALSE)-VLOOKUP($A36,main!$A$3:$I$56,6,FALSE)&gt;=VLOOKUP(55,main!$A$57:$I$59,4,FALSE)+VLOOKUP(VLOOKUP(AO$1,main!$A$3:$I$56,7,FALSE),main!$K$10:$Q$14,3,FALSE),1,0)</f>
        <v>0</v>
      </c>
      <c r="AP36">
        <f>IF(VLOOKUP(AP$1,main!$A$3:$I$56,5,FALSE)-VLOOKUP($A36,main!$A$3:$I$56,6,FALSE)&gt;=VLOOKUP(55,main!$A$57:$I$59,4,FALSE)+VLOOKUP(VLOOKUP(AP$1,main!$A$3:$I$56,7,FALSE),main!$K$10:$Q$14,3,FALSE),1,0)</f>
        <v>0</v>
      </c>
      <c r="AQ36">
        <f>IF(VLOOKUP(AQ$1,main!$A$3:$I$56,5,FALSE)-VLOOKUP($A36,main!$A$3:$I$56,6,FALSE)&gt;=VLOOKUP(55,main!$A$57:$I$59,4,FALSE)+VLOOKUP(VLOOKUP(AQ$1,main!$A$3:$I$56,7,FALSE),main!$K$10:$Q$14,3,FALSE),1,0)</f>
        <v>0</v>
      </c>
      <c r="AR36">
        <f>IF(VLOOKUP(AR$1,main!$A$3:$I$56,5,FALSE)-VLOOKUP($A36,main!$A$3:$I$56,6,FALSE)&gt;=VLOOKUP(55,main!$A$57:$I$59,4,FALSE)+VLOOKUP(VLOOKUP(AR$1,main!$A$3:$I$56,7,FALSE),main!$K$10:$Q$14,3,FALSE),1,0)</f>
        <v>0</v>
      </c>
      <c r="AS36">
        <f>IF(VLOOKUP(AS$1,main!$A$3:$I$56,5,FALSE)-VLOOKUP($A36,main!$A$3:$I$56,6,FALSE)&gt;=VLOOKUP(55,main!$A$57:$I$59,4,FALSE)+VLOOKUP(VLOOKUP(AS$1,main!$A$3:$I$56,7,FALSE),main!$K$10:$Q$14,3,FALSE),1,0)</f>
        <v>0</v>
      </c>
      <c r="AT36">
        <f>IF(VLOOKUP(AT$1,main!$A$3:$I$56,5,FALSE)-VLOOKUP($A36,main!$A$3:$I$56,6,FALSE)&gt;=VLOOKUP(55,main!$A$57:$I$59,4,FALSE)+VLOOKUP(VLOOKUP(AT$1,main!$A$3:$I$56,7,FALSE),main!$K$10:$Q$14,3,FALSE),1,0)</f>
        <v>0</v>
      </c>
      <c r="AU36">
        <f>IF(VLOOKUP(AU$1,main!$A$3:$I$56,5,FALSE)-VLOOKUP($A36,main!$A$3:$I$56,6,FALSE)&gt;=VLOOKUP(55,main!$A$57:$I$59,4,FALSE)+VLOOKUP(VLOOKUP(AU$1,main!$A$3:$I$56,7,FALSE),main!$K$10:$Q$14,3,FALSE),1,0)</f>
        <v>0</v>
      </c>
      <c r="AV36">
        <f>IF(VLOOKUP(AV$1,main!$A$3:$I$56,5,FALSE)-VLOOKUP($A36,main!$A$3:$I$56,6,FALSE)&gt;=VLOOKUP(55,main!$A$57:$I$59,4,FALSE)+VLOOKUP(VLOOKUP(AV$1,main!$A$3:$I$56,7,FALSE),main!$K$10:$Q$14,3,FALSE),1,0)</f>
        <v>0</v>
      </c>
      <c r="AW36">
        <f>IF(VLOOKUP(AW$1,main!$A$3:$I$56,5,FALSE)-VLOOKUP($A36,main!$A$3:$I$56,6,FALSE)&gt;=VLOOKUP(55,main!$A$57:$I$59,4,FALSE)+VLOOKUP(VLOOKUP(AW$1,main!$A$3:$I$56,7,FALSE),main!$K$10:$Q$14,3,FALSE),1,0)</f>
        <v>0</v>
      </c>
      <c r="AX36">
        <f>IF(VLOOKUP(AX$1,main!$A$3:$I$56,5,FALSE)-VLOOKUP($A36,main!$A$3:$I$56,6,FALSE)&gt;=VLOOKUP(55,main!$A$57:$I$59,4,FALSE)+VLOOKUP(VLOOKUP(AX$1,main!$A$3:$I$56,7,FALSE),main!$K$10:$Q$14,3,FALSE),1,0)</f>
        <v>0</v>
      </c>
      <c r="AY36">
        <f>IF(VLOOKUP(AY$1,main!$A$3:$I$56,5,FALSE)-VLOOKUP($A36,main!$A$3:$I$56,6,FALSE)&gt;=VLOOKUP(55,main!$A$57:$I$59,4,FALSE)+VLOOKUP(VLOOKUP(AY$1,main!$A$3:$I$56,7,FALSE),main!$K$10:$Q$14,3,FALSE),1,0)</f>
        <v>1</v>
      </c>
      <c r="AZ36">
        <f>IF(VLOOKUP(AZ$1,main!$A$3:$I$56,5,FALSE)-VLOOKUP($A36,main!$A$3:$I$56,6,FALSE)&gt;=VLOOKUP(55,main!$A$57:$I$59,4,FALSE)+VLOOKUP(VLOOKUP(AZ$1,main!$A$3:$I$56,7,FALSE),main!$K$10:$Q$14,3,FALSE),1,0)</f>
        <v>0</v>
      </c>
      <c r="BA36">
        <f>IF(VLOOKUP(BA$1,main!$A$3:$I$56,5,FALSE)-VLOOKUP($A36,main!$A$3:$I$56,6,FALSE)&gt;=VLOOKUP(55,main!$A$57:$I$59,4,FALSE)+VLOOKUP(VLOOKUP(BA$1,main!$A$3:$I$56,7,FALSE),main!$K$10:$Q$14,3,FALSE),1,0)</f>
        <v>0</v>
      </c>
      <c r="BB36">
        <f>IF(VLOOKUP(BB$1,main!$A$3:$I$56,5,FALSE)-VLOOKUP($A36,main!$A$3:$I$56,6,FALSE)&gt;=VLOOKUP(55,main!$A$57:$I$59,4,FALSE)+VLOOKUP(VLOOKUP(BB$1,main!$A$3:$I$56,7,FALSE),main!$K$10:$Q$14,3,FALSE),1,0)</f>
        <v>0</v>
      </c>
      <c r="BC36">
        <f>IF(VLOOKUP(BC$1,main!$A$3:$I$56,5,FALSE)-VLOOKUP($A36,main!$A$3:$I$56,6,FALSE)&gt;=VLOOKUP(55,main!$A$57:$I$59,4,FALSE)+VLOOKUP(VLOOKUP(BC$1,main!$A$3:$I$56,7,FALSE),main!$K$10:$Q$14,3,FALSE),1,0)</f>
        <v>0</v>
      </c>
      <c r="BD36">
        <f>IF(VLOOKUP(BD$1,main!$A$3:$I$56,5,FALSE)-VLOOKUP($A36,main!$A$3:$I$56,6,FALSE)&gt;=VLOOKUP(55,main!$A$57:$I$59,4,FALSE)+VLOOKUP(VLOOKUP(BD$1,main!$A$3:$I$56,7,FALSE),main!$K$10:$Q$14,3,FALSE),1,0)</f>
        <v>0</v>
      </c>
    </row>
    <row r="37" spans="1:56" x14ac:dyDescent="0.25">
      <c r="A37">
        <f t="shared" si="0"/>
        <v>35</v>
      </c>
      <c r="B37">
        <v>0</v>
      </c>
      <c r="C37">
        <f>IF(VLOOKUP(C$1,main!$A$3:$I$56,5,FALSE)-VLOOKUP($A37,main!$A$3:$I$56,6,FALSE)&gt;=VLOOKUP(55,main!$A$57:$I$59,4,FALSE)+VLOOKUP(VLOOKUP(C$1,main!$A$3:$I$56,7,FALSE),main!$K$10:$Q$14,3,FALSE),1,0)</f>
        <v>0</v>
      </c>
      <c r="D37">
        <f>IF(VLOOKUP(D$1,main!$A$3:$I$56,5,FALSE)-VLOOKUP($A37,main!$A$3:$I$56,6,FALSE)&gt;=VLOOKUP(55,main!$A$57:$I$59,4,FALSE)+VLOOKUP(VLOOKUP(D$1,main!$A$3:$I$56,7,FALSE),main!$K$10:$Q$14,3,FALSE),1,0)</f>
        <v>0</v>
      </c>
      <c r="E37">
        <f>IF(VLOOKUP(E$1,main!$A$3:$I$56,5,FALSE)-VLOOKUP($A37,main!$A$3:$I$56,6,FALSE)&gt;=VLOOKUP(55,main!$A$57:$I$59,4,FALSE)+VLOOKUP(VLOOKUP(E$1,main!$A$3:$I$56,7,FALSE),main!$K$10:$Q$14,3,FALSE),1,0)</f>
        <v>0</v>
      </c>
      <c r="F37">
        <f>IF(VLOOKUP(F$1,main!$A$3:$I$56,5,FALSE)-VLOOKUP($A37,main!$A$3:$I$56,6,FALSE)&gt;=VLOOKUP(55,main!$A$57:$I$59,4,FALSE)+VLOOKUP(VLOOKUP(F$1,main!$A$3:$I$56,7,FALSE),main!$K$10:$Q$14,3,FALSE),1,0)</f>
        <v>0</v>
      </c>
      <c r="G37">
        <f>IF(VLOOKUP(G$1,main!$A$3:$I$56,5,FALSE)-VLOOKUP($A37,main!$A$3:$I$56,6,FALSE)&gt;=VLOOKUP(55,main!$A$57:$I$59,4,FALSE)+VLOOKUP(VLOOKUP(G$1,main!$A$3:$I$56,7,FALSE),main!$K$10:$Q$14,3,FALSE),1,0)</f>
        <v>0</v>
      </c>
      <c r="H37">
        <f>IF(VLOOKUP(H$1,main!$A$3:$I$56,5,FALSE)-VLOOKUP($A37,main!$A$3:$I$56,6,FALSE)&gt;=VLOOKUP(55,main!$A$57:$I$59,4,FALSE)+VLOOKUP(VLOOKUP(H$1,main!$A$3:$I$56,7,FALSE),main!$K$10:$Q$14,3,FALSE),1,0)</f>
        <v>0</v>
      </c>
      <c r="I37">
        <f>IF(VLOOKUP(I$1,main!$A$3:$I$56,5,FALSE)-VLOOKUP($A37,main!$A$3:$I$56,6,FALSE)&gt;=VLOOKUP(55,main!$A$57:$I$59,4,FALSE)+VLOOKUP(VLOOKUP(I$1,main!$A$3:$I$56,7,FALSE),main!$K$10:$Q$14,3,FALSE),1,0)</f>
        <v>0</v>
      </c>
      <c r="J37">
        <f>IF(VLOOKUP(J$1,main!$A$3:$I$56,5,FALSE)-VLOOKUP($A37,main!$A$3:$I$56,6,FALSE)&gt;=VLOOKUP(55,main!$A$57:$I$59,4,FALSE)+VLOOKUP(VLOOKUP(J$1,main!$A$3:$I$56,7,FALSE),main!$K$10:$Q$14,3,FALSE),1,0)</f>
        <v>0</v>
      </c>
      <c r="K37">
        <f>IF(VLOOKUP(K$1,main!$A$3:$I$56,5,FALSE)-VLOOKUP($A37,main!$A$3:$I$56,6,FALSE)&gt;=VLOOKUP(55,main!$A$57:$I$59,4,FALSE)+VLOOKUP(VLOOKUP(K$1,main!$A$3:$I$56,7,FALSE),main!$K$10:$Q$14,3,FALSE),1,0)</f>
        <v>0</v>
      </c>
      <c r="L37">
        <f>IF(VLOOKUP(L$1,main!$A$3:$I$56,5,FALSE)-VLOOKUP($A37,main!$A$3:$I$56,6,FALSE)&gt;=VLOOKUP(55,main!$A$57:$I$59,4,FALSE)+VLOOKUP(VLOOKUP(L$1,main!$A$3:$I$56,7,FALSE),main!$K$10:$Q$14,3,FALSE),1,0)</f>
        <v>0</v>
      </c>
      <c r="M37">
        <f>IF(VLOOKUP(M$1,main!$A$3:$I$56,5,FALSE)-VLOOKUP($A37,main!$A$3:$I$56,6,FALSE)&gt;=VLOOKUP(55,main!$A$57:$I$59,4,FALSE)+VLOOKUP(VLOOKUP(M$1,main!$A$3:$I$56,7,FALSE),main!$K$10:$Q$14,3,FALSE),1,0)</f>
        <v>0</v>
      </c>
      <c r="N37">
        <f>IF(VLOOKUP(N$1,main!$A$3:$I$56,5,FALSE)-VLOOKUP($A37,main!$A$3:$I$56,6,FALSE)&gt;=VLOOKUP(55,main!$A$57:$I$59,4,FALSE)+VLOOKUP(VLOOKUP(N$1,main!$A$3:$I$56,7,FALSE),main!$K$10:$Q$14,3,FALSE),1,0)</f>
        <v>0</v>
      </c>
      <c r="O37">
        <f>IF(VLOOKUP(O$1,main!$A$3:$I$56,5,FALSE)-VLOOKUP($A37,main!$A$3:$I$56,6,FALSE)&gt;=VLOOKUP(55,main!$A$57:$I$59,4,FALSE)+VLOOKUP(VLOOKUP(O$1,main!$A$3:$I$56,7,FALSE),main!$K$10:$Q$14,3,FALSE),1,0)</f>
        <v>0</v>
      </c>
      <c r="P37">
        <f>IF(VLOOKUP(P$1,main!$A$3:$I$56,5,FALSE)-VLOOKUP($A37,main!$A$3:$I$56,6,FALSE)&gt;=VLOOKUP(55,main!$A$57:$I$59,4,FALSE)+VLOOKUP(VLOOKUP(P$1,main!$A$3:$I$56,7,FALSE),main!$K$10:$Q$14,3,FALSE),1,0)</f>
        <v>0</v>
      </c>
      <c r="Q37">
        <f>IF(VLOOKUP(Q$1,main!$A$3:$I$56,5,FALSE)-VLOOKUP($A37,main!$A$3:$I$56,6,FALSE)&gt;=VLOOKUP(55,main!$A$57:$I$59,4,FALSE)+VLOOKUP(VLOOKUP(Q$1,main!$A$3:$I$56,7,FALSE),main!$K$10:$Q$14,3,FALSE),1,0)</f>
        <v>0</v>
      </c>
      <c r="R37">
        <f>IF(VLOOKUP(R$1,main!$A$3:$I$56,5,FALSE)-VLOOKUP($A37,main!$A$3:$I$56,6,FALSE)&gt;=VLOOKUP(55,main!$A$57:$I$59,4,FALSE)+VLOOKUP(VLOOKUP(R$1,main!$A$3:$I$56,7,FALSE),main!$K$10:$Q$14,3,FALSE),1,0)</f>
        <v>0</v>
      </c>
      <c r="S37">
        <f>IF(VLOOKUP(S$1,main!$A$3:$I$56,5,FALSE)-VLOOKUP($A37,main!$A$3:$I$56,6,FALSE)&gt;=VLOOKUP(55,main!$A$57:$I$59,4,FALSE)+VLOOKUP(VLOOKUP(S$1,main!$A$3:$I$56,7,FALSE),main!$K$10:$Q$14,3,FALSE),1,0)</f>
        <v>0</v>
      </c>
      <c r="T37">
        <f>IF(VLOOKUP(T$1,main!$A$3:$I$56,5,FALSE)-VLOOKUP($A37,main!$A$3:$I$56,6,FALSE)&gt;=VLOOKUP(55,main!$A$57:$I$59,4,FALSE)+VLOOKUP(VLOOKUP(T$1,main!$A$3:$I$56,7,FALSE),main!$K$10:$Q$14,3,FALSE),1,0)</f>
        <v>0</v>
      </c>
      <c r="U37">
        <f>IF(VLOOKUP(U$1,main!$A$3:$I$56,5,FALSE)-VLOOKUP($A37,main!$A$3:$I$56,6,FALSE)&gt;=VLOOKUP(55,main!$A$57:$I$59,4,FALSE)+VLOOKUP(VLOOKUP(U$1,main!$A$3:$I$56,7,FALSE),main!$K$10:$Q$14,3,FALSE),1,0)</f>
        <v>0</v>
      </c>
      <c r="V37">
        <f>IF(VLOOKUP(V$1,main!$A$3:$I$56,5,FALSE)-VLOOKUP($A37,main!$A$3:$I$56,6,FALSE)&gt;=VLOOKUP(55,main!$A$57:$I$59,4,FALSE)+VLOOKUP(VLOOKUP(V$1,main!$A$3:$I$56,7,FALSE),main!$K$10:$Q$14,3,FALSE),1,0)</f>
        <v>0</v>
      </c>
      <c r="W37">
        <f>IF(VLOOKUP(W$1,main!$A$3:$I$56,5,FALSE)-VLOOKUP($A37,main!$A$3:$I$56,6,FALSE)&gt;=VLOOKUP(55,main!$A$57:$I$59,4,FALSE)+VLOOKUP(VLOOKUP(W$1,main!$A$3:$I$56,7,FALSE),main!$K$10:$Q$14,3,FALSE),1,0)</f>
        <v>0</v>
      </c>
      <c r="X37">
        <f>IF(VLOOKUP(X$1,main!$A$3:$I$56,5,FALSE)-VLOOKUP($A37,main!$A$3:$I$56,6,FALSE)&gt;=VLOOKUP(55,main!$A$57:$I$59,4,FALSE)+VLOOKUP(VLOOKUP(X$1,main!$A$3:$I$56,7,FALSE),main!$K$10:$Q$14,3,FALSE),1,0)</f>
        <v>0</v>
      </c>
      <c r="Y37">
        <f>IF(VLOOKUP(Y$1,main!$A$3:$I$56,5,FALSE)-VLOOKUP($A37,main!$A$3:$I$56,6,FALSE)&gt;=VLOOKUP(55,main!$A$57:$I$59,4,FALSE)+VLOOKUP(VLOOKUP(Y$1,main!$A$3:$I$56,7,FALSE),main!$K$10:$Q$14,3,FALSE),1,0)</f>
        <v>0</v>
      </c>
      <c r="Z37">
        <f>IF(VLOOKUP(Z$1,main!$A$3:$I$56,5,FALSE)-VLOOKUP($A37,main!$A$3:$I$56,6,FALSE)&gt;=VLOOKUP(55,main!$A$57:$I$59,4,FALSE)+VLOOKUP(VLOOKUP(Z$1,main!$A$3:$I$56,7,FALSE),main!$K$10:$Q$14,3,FALSE),1,0)</f>
        <v>0</v>
      </c>
      <c r="AA37">
        <f>IF(VLOOKUP(AA$1,main!$A$3:$I$56,5,FALSE)-VLOOKUP($A37,main!$A$3:$I$56,6,FALSE)&gt;=VLOOKUP(55,main!$A$57:$I$59,4,FALSE)+VLOOKUP(VLOOKUP(AA$1,main!$A$3:$I$56,7,FALSE),main!$K$10:$Q$14,3,FALSE),1,0)</f>
        <v>0</v>
      </c>
      <c r="AB37">
        <f>IF(VLOOKUP(AB$1,main!$A$3:$I$56,5,FALSE)-VLOOKUP($A37,main!$A$3:$I$56,6,FALSE)&gt;=VLOOKUP(55,main!$A$57:$I$59,4,FALSE)+VLOOKUP(VLOOKUP(AB$1,main!$A$3:$I$56,7,FALSE),main!$K$10:$Q$14,3,FALSE),1,0)</f>
        <v>0</v>
      </c>
      <c r="AC37">
        <f>IF(VLOOKUP(AC$1,main!$A$3:$I$56,5,FALSE)-VLOOKUP($A37,main!$A$3:$I$56,6,FALSE)&gt;=VLOOKUP(55,main!$A$57:$I$59,4,FALSE)+VLOOKUP(VLOOKUP(AC$1,main!$A$3:$I$56,7,FALSE),main!$K$10:$Q$14,3,FALSE),1,0)</f>
        <v>0</v>
      </c>
      <c r="AD37">
        <f>IF(VLOOKUP(AD$1,main!$A$3:$I$56,5,FALSE)-VLOOKUP($A37,main!$A$3:$I$56,6,FALSE)&gt;=VLOOKUP(55,main!$A$57:$I$59,4,FALSE)+VLOOKUP(VLOOKUP(AD$1,main!$A$3:$I$56,7,FALSE),main!$K$10:$Q$14,3,FALSE),1,0)</f>
        <v>0</v>
      </c>
      <c r="AE37">
        <f>IF(VLOOKUP(AE$1,main!$A$3:$I$56,5,FALSE)-VLOOKUP($A37,main!$A$3:$I$56,6,FALSE)&gt;=VLOOKUP(55,main!$A$57:$I$59,4,FALSE)+VLOOKUP(VLOOKUP(AE$1,main!$A$3:$I$56,7,FALSE),main!$K$10:$Q$14,3,FALSE),1,0)</f>
        <v>0</v>
      </c>
      <c r="AF37">
        <f>IF(VLOOKUP(AF$1,main!$A$3:$I$56,5,FALSE)-VLOOKUP($A37,main!$A$3:$I$56,6,FALSE)&gt;=VLOOKUP(55,main!$A$57:$I$59,4,FALSE)+VLOOKUP(VLOOKUP(AF$1,main!$A$3:$I$56,7,FALSE),main!$K$10:$Q$14,3,FALSE),1,0)</f>
        <v>0</v>
      </c>
      <c r="AG37">
        <f>IF(VLOOKUP(AG$1,main!$A$3:$I$56,5,FALSE)-VLOOKUP($A37,main!$A$3:$I$56,6,FALSE)&gt;=VLOOKUP(55,main!$A$57:$I$59,4,FALSE)+VLOOKUP(VLOOKUP(AG$1,main!$A$3:$I$56,7,FALSE),main!$K$10:$Q$14,3,FALSE),1,0)</f>
        <v>0</v>
      </c>
      <c r="AH37">
        <f>IF(VLOOKUP(AH$1,main!$A$3:$I$56,5,FALSE)-VLOOKUP($A37,main!$A$3:$I$56,6,FALSE)&gt;=VLOOKUP(55,main!$A$57:$I$59,4,FALSE)+VLOOKUP(VLOOKUP(AH$1,main!$A$3:$I$56,7,FALSE),main!$K$10:$Q$14,3,FALSE),1,0)</f>
        <v>0</v>
      </c>
      <c r="AI37">
        <f>IF(VLOOKUP(AI$1,main!$A$3:$I$56,5,FALSE)-VLOOKUP($A37,main!$A$3:$I$56,6,FALSE)&gt;=VLOOKUP(55,main!$A$57:$I$59,4,FALSE)+VLOOKUP(VLOOKUP(AI$1,main!$A$3:$I$56,7,FALSE),main!$K$10:$Q$14,3,FALSE),1,0)</f>
        <v>0</v>
      </c>
      <c r="AJ37">
        <f>IF(VLOOKUP(AJ$1,main!$A$3:$I$56,5,FALSE)-VLOOKUP($A37,main!$A$3:$I$56,6,FALSE)&gt;=VLOOKUP(55,main!$A$57:$I$59,4,FALSE)+VLOOKUP(VLOOKUP(AJ$1,main!$A$3:$I$56,7,FALSE),main!$K$10:$Q$14,3,FALSE),1,0)</f>
        <v>0</v>
      </c>
      <c r="AK37">
        <f>IF(VLOOKUP(AK$1,main!$A$3:$I$56,5,FALSE)-VLOOKUP($A37,main!$A$3:$I$56,6,FALSE)&gt;=VLOOKUP(55,main!$A$57:$I$59,4,FALSE)+VLOOKUP(VLOOKUP(AK$1,main!$A$3:$I$56,7,FALSE),main!$K$10:$Q$14,3,FALSE),1,0)</f>
        <v>0</v>
      </c>
      <c r="AL37">
        <f>IF(VLOOKUP(AL$1,main!$A$3:$I$56,5,FALSE)-VLOOKUP($A37,main!$A$3:$I$56,6,FALSE)&gt;=VLOOKUP(55,main!$A$57:$I$59,4,FALSE)+VLOOKUP(VLOOKUP(AL$1,main!$A$3:$I$56,7,FALSE),main!$K$10:$Q$14,3,FALSE),1,0)</f>
        <v>0</v>
      </c>
      <c r="AM37">
        <f>IF(VLOOKUP(AM$1,main!$A$3:$I$56,5,FALSE)-VLOOKUP($A37,main!$A$3:$I$56,6,FALSE)&gt;=VLOOKUP(55,main!$A$57:$I$59,4,FALSE)+VLOOKUP(VLOOKUP(AM$1,main!$A$3:$I$56,7,FALSE),main!$K$10:$Q$14,3,FALSE),1,0)</f>
        <v>0</v>
      </c>
      <c r="AN37">
        <f>IF(VLOOKUP(AN$1,main!$A$3:$I$56,5,FALSE)-VLOOKUP($A37,main!$A$3:$I$56,6,FALSE)&gt;=VLOOKUP(55,main!$A$57:$I$59,4,FALSE)+VLOOKUP(VLOOKUP(AN$1,main!$A$3:$I$56,7,FALSE),main!$K$10:$Q$14,3,FALSE),1,0)</f>
        <v>0</v>
      </c>
      <c r="AO37">
        <f>IF(VLOOKUP(AO$1,main!$A$3:$I$56,5,FALSE)-VLOOKUP($A37,main!$A$3:$I$56,6,FALSE)&gt;=VLOOKUP(55,main!$A$57:$I$59,4,FALSE)+VLOOKUP(VLOOKUP(AO$1,main!$A$3:$I$56,7,FALSE),main!$K$10:$Q$14,3,FALSE),1,0)</f>
        <v>0</v>
      </c>
      <c r="AP37">
        <f>IF(VLOOKUP(AP$1,main!$A$3:$I$56,5,FALSE)-VLOOKUP($A37,main!$A$3:$I$56,6,FALSE)&gt;=VLOOKUP(55,main!$A$57:$I$59,4,FALSE)+VLOOKUP(VLOOKUP(AP$1,main!$A$3:$I$56,7,FALSE),main!$K$10:$Q$14,3,FALSE),1,0)</f>
        <v>0</v>
      </c>
      <c r="AQ37">
        <f>IF(VLOOKUP(AQ$1,main!$A$3:$I$56,5,FALSE)-VLOOKUP($A37,main!$A$3:$I$56,6,FALSE)&gt;=VLOOKUP(55,main!$A$57:$I$59,4,FALSE)+VLOOKUP(VLOOKUP(AQ$1,main!$A$3:$I$56,7,FALSE),main!$K$10:$Q$14,3,FALSE),1,0)</f>
        <v>0</v>
      </c>
      <c r="AR37">
        <f>IF(VLOOKUP(AR$1,main!$A$3:$I$56,5,FALSE)-VLOOKUP($A37,main!$A$3:$I$56,6,FALSE)&gt;=VLOOKUP(55,main!$A$57:$I$59,4,FALSE)+VLOOKUP(VLOOKUP(AR$1,main!$A$3:$I$56,7,FALSE),main!$K$10:$Q$14,3,FALSE),1,0)</f>
        <v>0</v>
      </c>
      <c r="AS37">
        <f>IF(VLOOKUP(AS$1,main!$A$3:$I$56,5,FALSE)-VLOOKUP($A37,main!$A$3:$I$56,6,FALSE)&gt;=VLOOKUP(55,main!$A$57:$I$59,4,FALSE)+VLOOKUP(VLOOKUP(AS$1,main!$A$3:$I$56,7,FALSE),main!$K$10:$Q$14,3,FALSE),1,0)</f>
        <v>0</v>
      </c>
      <c r="AT37">
        <f>IF(VLOOKUP(AT$1,main!$A$3:$I$56,5,FALSE)-VLOOKUP($A37,main!$A$3:$I$56,6,FALSE)&gt;=VLOOKUP(55,main!$A$57:$I$59,4,FALSE)+VLOOKUP(VLOOKUP(AT$1,main!$A$3:$I$56,7,FALSE),main!$K$10:$Q$14,3,FALSE),1,0)</f>
        <v>0</v>
      </c>
      <c r="AU37">
        <f>IF(VLOOKUP(AU$1,main!$A$3:$I$56,5,FALSE)-VLOOKUP($A37,main!$A$3:$I$56,6,FALSE)&gt;=VLOOKUP(55,main!$A$57:$I$59,4,FALSE)+VLOOKUP(VLOOKUP(AU$1,main!$A$3:$I$56,7,FALSE),main!$K$10:$Q$14,3,FALSE),1,0)</f>
        <v>0</v>
      </c>
      <c r="AV37">
        <f>IF(VLOOKUP(AV$1,main!$A$3:$I$56,5,FALSE)-VLOOKUP($A37,main!$A$3:$I$56,6,FALSE)&gt;=VLOOKUP(55,main!$A$57:$I$59,4,FALSE)+VLOOKUP(VLOOKUP(AV$1,main!$A$3:$I$56,7,FALSE),main!$K$10:$Q$14,3,FALSE),1,0)</f>
        <v>0</v>
      </c>
      <c r="AW37">
        <f>IF(VLOOKUP(AW$1,main!$A$3:$I$56,5,FALSE)-VLOOKUP($A37,main!$A$3:$I$56,6,FALSE)&gt;=VLOOKUP(55,main!$A$57:$I$59,4,FALSE)+VLOOKUP(VLOOKUP(AW$1,main!$A$3:$I$56,7,FALSE),main!$K$10:$Q$14,3,FALSE),1,0)</f>
        <v>0</v>
      </c>
      <c r="AX37">
        <f>IF(VLOOKUP(AX$1,main!$A$3:$I$56,5,FALSE)-VLOOKUP($A37,main!$A$3:$I$56,6,FALSE)&gt;=VLOOKUP(55,main!$A$57:$I$59,4,FALSE)+VLOOKUP(VLOOKUP(AX$1,main!$A$3:$I$56,7,FALSE),main!$K$10:$Q$14,3,FALSE),1,0)</f>
        <v>0</v>
      </c>
      <c r="AY37">
        <f>IF(VLOOKUP(AY$1,main!$A$3:$I$56,5,FALSE)-VLOOKUP($A37,main!$A$3:$I$56,6,FALSE)&gt;=VLOOKUP(55,main!$A$57:$I$59,4,FALSE)+VLOOKUP(VLOOKUP(AY$1,main!$A$3:$I$56,7,FALSE),main!$K$10:$Q$14,3,FALSE),1,0)</f>
        <v>0</v>
      </c>
      <c r="AZ37">
        <f>IF(VLOOKUP(AZ$1,main!$A$3:$I$56,5,FALSE)-VLOOKUP($A37,main!$A$3:$I$56,6,FALSE)&gt;=VLOOKUP(55,main!$A$57:$I$59,4,FALSE)+VLOOKUP(VLOOKUP(AZ$1,main!$A$3:$I$56,7,FALSE),main!$K$10:$Q$14,3,FALSE),1,0)</f>
        <v>0</v>
      </c>
      <c r="BA37">
        <f>IF(VLOOKUP(BA$1,main!$A$3:$I$56,5,FALSE)-VLOOKUP($A37,main!$A$3:$I$56,6,FALSE)&gt;=VLOOKUP(55,main!$A$57:$I$59,4,FALSE)+VLOOKUP(VLOOKUP(BA$1,main!$A$3:$I$56,7,FALSE),main!$K$10:$Q$14,3,FALSE),1,0)</f>
        <v>0</v>
      </c>
      <c r="BB37">
        <f>IF(VLOOKUP(BB$1,main!$A$3:$I$56,5,FALSE)-VLOOKUP($A37,main!$A$3:$I$56,6,FALSE)&gt;=VLOOKUP(55,main!$A$57:$I$59,4,FALSE)+VLOOKUP(VLOOKUP(BB$1,main!$A$3:$I$56,7,FALSE),main!$K$10:$Q$14,3,FALSE),1,0)</f>
        <v>0</v>
      </c>
      <c r="BC37">
        <f>IF(VLOOKUP(BC$1,main!$A$3:$I$56,5,FALSE)-VLOOKUP($A37,main!$A$3:$I$56,6,FALSE)&gt;=VLOOKUP(55,main!$A$57:$I$59,4,FALSE)+VLOOKUP(VLOOKUP(BC$1,main!$A$3:$I$56,7,FALSE),main!$K$10:$Q$14,3,FALSE),1,0)</f>
        <v>0</v>
      </c>
      <c r="BD37">
        <f>IF(VLOOKUP(BD$1,main!$A$3:$I$56,5,FALSE)-VLOOKUP($A37,main!$A$3:$I$56,6,FALSE)&gt;=VLOOKUP(55,main!$A$57:$I$59,4,FALSE)+VLOOKUP(VLOOKUP(BD$1,main!$A$3:$I$56,7,FALSE),main!$K$10:$Q$14,3,FALSE),1,0)</f>
        <v>0</v>
      </c>
    </row>
    <row r="38" spans="1:56" x14ac:dyDescent="0.25">
      <c r="A38">
        <f t="shared" si="0"/>
        <v>36</v>
      </c>
      <c r="B38">
        <v>0</v>
      </c>
      <c r="C38">
        <f>IF(VLOOKUP(C$1,main!$A$3:$I$56,5,FALSE)-VLOOKUP($A38,main!$A$3:$I$56,6,FALSE)&gt;=VLOOKUP(55,main!$A$57:$I$59,4,FALSE)+VLOOKUP(VLOOKUP(C$1,main!$A$3:$I$56,7,FALSE),main!$K$10:$Q$14,3,FALSE),1,0)</f>
        <v>0</v>
      </c>
      <c r="D38">
        <f>IF(VLOOKUP(D$1,main!$A$3:$I$56,5,FALSE)-VLOOKUP($A38,main!$A$3:$I$56,6,FALSE)&gt;=VLOOKUP(55,main!$A$57:$I$59,4,FALSE)+VLOOKUP(VLOOKUP(D$1,main!$A$3:$I$56,7,FALSE),main!$K$10:$Q$14,3,FALSE),1,0)</f>
        <v>0</v>
      </c>
      <c r="E38">
        <f>IF(VLOOKUP(E$1,main!$A$3:$I$56,5,FALSE)-VLOOKUP($A38,main!$A$3:$I$56,6,FALSE)&gt;=VLOOKUP(55,main!$A$57:$I$59,4,FALSE)+VLOOKUP(VLOOKUP(E$1,main!$A$3:$I$56,7,FALSE),main!$K$10:$Q$14,3,FALSE),1,0)</f>
        <v>1</v>
      </c>
      <c r="F38">
        <f>IF(VLOOKUP(F$1,main!$A$3:$I$56,5,FALSE)-VLOOKUP($A38,main!$A$3:$I$56,6,FALSE)&gt;=VLOOKUP(55,main!$A$57:$I$59,4,FALSE)+VLOOKUP(VLOOKUP(F$1,main!$A$3:$I$56,7,FALSE),main!$K$10:$Q$14,3,FALSE),1,0)</f>
        <v>1</v>
      </c>
      <c r="G38">
        <f>IF(VLOOKUP(G$1,main!$A$3:$I$56,5,FALSE)-VLOOKUP($A38,main!$A$3:$I$56,6,FALSE)&gt;=VLOOKUP(55,main!$A$57:$I$59,4,FALSE)+VLOOKUP(VLOOKUP(G$1,main!$A$3:$I$56,7,FALSE),main!$K$10:$Q$14,3,FALSE),1,0)</f>
        <v>1</v>
      </c>
      <c r="H38">
        <f>IF(VLOOKUP(H$1,main!$A$3:$I$56,5,FALSE)-VLOOKUP($A38,main!$A$3:$I$56,6,FALSE)&gt;=VLOOKUP(55,main!$A$57:$I$59,4,FALSE)+VLOOKUP(VLOOKUP(H$1,main!$A$3:$I$56,7,FALSE),main!$K$10:$Q$14,3,FALSE),1,0)</f>
        <v>1</v>
      </c>
      <c r="I38">
        <f>IF(VLOOKUP(I$1,main!$A$3:$I$56,5,FALSE)-VLOOKUP($A38,main!$A$3:$I$56,6,FALSE)&gt;=VLOOKUP(55,main!$A$57:$I$59,4,FALSE)+VLOOKUP(VLOOKUP(I$1,main!$A$3:$I$56,7,FALSE),main!$K$10:$Q$14,3,FALSE),1,0)</f>
        <v>1</v>
      </c>
      <c r="J38">
        <f>IF(VLOOKUP(J$1,main!$A$3:$I$56,5,FALSE)-VLOOKUP($A38,main!$A$3:$I$56,6,FALSE)&gt;=VLOOKUP(55,main!$A$57:$I$59,4,FALSE)+VLOOKUP(VLOOKUP(J$1,main!$A$3:$I$56,7,FALSE),main!$K$10:$Q$14,3,FALSE),1,0)</f>
        <v>1</v>
      </c>
      <c r="K38">
        <f>IF(VLOOKUP(K$1,main!$A$3:$I$56,5,FALSE)-VLOOKUP($A38,main!$A$3:$I$56,6,FALSE)&gt;=VLOOKUP(55,main!$A$57:$I$59,4,FALSE)+VLOOKUP(VLOOKUP(K$1,main!$A$3:$I$56,7,FALSE),main!$K$10:$Q$14,3,FALSE),1,0)</f>
        <v>0</v>
      </c>
      <c r="L38">
        <f>IF(VLOOKUP(L$1,main!$A$3:$I$56,5,FALSE)-VLOOKUP($A38,main!$A$3:$I$56,6,FALSE)&gt;=VLOOKUP(55,main!$A$57:$I$59,4,FALSE)+VLOOKUP(VLOOKUP(L$1,main!$A$3:$I$56,7,FALSE),main!$K$10:$Q$14,3,FALSE),1,0)</f>
        <v>0</v>
      </c>
      <c r="M38">
        <f>IF(VLOOKUP(M$1,main!$A$3:$I$56,5,FALSE)-VLOOKUP($A38,main!$A$3:$I$56,6,FALSE)&gt;=VLOOKUP(55,main!$A$57:$I$59,4,FALSE)+VLOOKUP(VLOOKUP(M$1,main!$A$3:$I$56,7,FALSE),main!$K$10:$Q$14,3,FALSE),1,0)</f>
        <v>1</v>
      </c>
      <c r="N38">
        <f>IF(VLOOKUP(N$1,main!$A$3:$I$56,5,FALSE)-VLOOKUP($A38,main!$A$3:$I$56,6,FALSE)&gt;=VLOOKUP(55,main!$A$57:$I$59,4,FALSE)+VLOOKUP(VLOOKUP(N$1,main!$A$3:$I$56,7,FALSE),main!$K$10:$Q$14,3,FALSE),1,0)</f>
        <v>1</v>
      </c>
      <c r="O38">
        <f>IF(VLOOKUP(O$1,main!$A$3:$I$56,5,FALSE)-VLOOKUP($A38,main!$A$3:$I$56,6,FALSE)&gt;=VLOOKUP(55,main!$A$57:$I$59,4,FALSE)+VLOOKUP(VLOOKUP(O$1,main!$A$3:$I$56,7,FALSE),main!$K$10:$Q$14,3,FALSE),1,0)</f>
        <v>1</v>
      </c>
      <c r="P38">
        <f>IF(VLOOKUP(P$1,main!$A$3:$I$56,5,FALSE)-VLOOKUP($A38,main!$A$3:$I$56,6,FALSE)&gt;=VLOOKUP(55,main!$A$57:$I$59,4,FALSE)+VLOOKUP(VLOOKUP(P$1,main!$A$3:$I$56,7,FALSE),main!$K$10:$Q$14,3,FALSE),1,0)</f>
        <v>0</v>
      </c>
      <c r="Q38">
        <f>IF(VLOOKUP(Q$1,main!$A$3:$I$56,5,FALSE)-VLOOKUP($A38,main!$A$3:$I$56,6,FALSE)&gt;=VLOOKUP(55,main!$A$57:$I$59,4,FALSE)+VLOOKUP(VLOOKUP(Q$1,main!$A$3:$I$56,7,FALSE),main!$K$10:$Q$14,3,FALSE),1,0)</f>
        <v>0</v>
      </c>
      <c r="R38">
        <f>IF(VLOOKUP(R$1,main!$A$3:$I$56,5,FALSE)-VLOOKUP($A38,main!$A$3:$I$56,6,FALSE)&gt;=VLOOKUP(55,main!$A$57:$I$59,4,FALSE)+VLOOKUP(VLOOKUP(R$1,main!$A$3:$I$56,7,FALSE),main!$K$10:$Q$14,3,FALSE),1,0)</f>
        <v>1</v>
      </c>
      <c r="S38">
        <f>IF(VLOOKUP(S$1,main!$A$3:$I$56,5,FALSE)-VLOOKUP($A38,main!$A$3:$I$56,6,FALSE)&gt;=VLOOKUP(55,main!$A$57:$I$59,4,FALSE)+VLOOKUP(VLOOKUP(S$1,main!$A$3:$I$56,7,FALSE),main!$K$10:$Q$14,3,FALSE),1,0)</f>
        <v>1</v>
      </c>
      <c r="T38">
        <f>IF(VLOOKUP(T$1,main!$A$3:$I$56,5,FALSE)-VLOOKUP($A38,main!$A$3:$I$56,6,FALSE)&gt;=VLOOKUP(55,main!$A$57:$I$59,4,FALSE)+VLOOKUP(VLOOKUP(T$1,main!$A$3:$I$56,7,FALSE),main!$K$10:$Q$14,3,FALSE),1,0)</f>
        <v>1</v>
      </c>
      <c r="U38">
        <f>IF(VLOOKUP(U$1,main!$A$3:$I$56,5,FALSE)-VLOOKUP($A38,main!$A$3:$I$56,6,FALSE)&gt;=VLOOKUP(55,main!$A$57:$I$59,4,FALSE)+VLOOKUP(VLOOKUP(U$1,main!$A$3:$I$56,7,FALSE),main!$K$10:$Q$14,3,FALSE),1,0)</f>
        <v>0</v>
      </c>
      <c r="V38">
        <f>IF(VLOOKUP(V$1,main!$A$3:$I$56,5,FALSE)-VLOOKUP($A38,main!$A$3:$I$56,6,FALSE)&gt;=VLOOKUP(55,main!$A$57:$I$59,4,FALSE)+VLOOKUP(VLOOKUP(V$1,main!$A$3:$I$56,7,FALSE),main!$K$10:$Q$14,3,FALSE),1,0)</f>
        <v>0</v>
      </c>
      <c r="W38">
        <f>IF(VLOOKUP(W$1,main!$A$3:$I$56,5,FALSE)-VLOOKUP($A38,main!$A$3:$I$56,6,FALSE)&gt;=VLOOKUP(55,main!$A$57:$I$59,4,FALSE)+VLOOKUP(VLOOKUP(W$1,main!$A$3:$I$56,7,FALSE),main!$K$10:$Q$14,3,FALSE),1,0)</f>
        <v>0</v>
      </c>
      <c r="X38">
        <f>IF(VLOOKUP(X$1,main!$A$3:$I$56,5,FALSE)-VLOOKUP($A38,main!$A$3:$I$56,6,FALSE)&gt;=VLOOKUP(55,main!$A$57:$I$59,4,FALSE)+VLOOKUP(VLOOKUP(X$1,main!$A$3:$I$56,7,FALSE),main!$K$10:$Q$14,3,FALSE),1,0)</f>
        <v>1</v>
      </c>
      <c r="Y38">
        <f>IF(VLOOKUP(Y$1,main!$A$3:$I$56,5,FALSE)-VLOOKUP($A38,main!$A$3:$I$56,6,FALSE)&gt;=VLOOKUP(55,main!$A$57:$I$59,4,FALSE)+VLOOKUP(VLOOKUP(Y$1,main!$A$3:$I$56,7,FALSE),main!$K$10:$Q$14,3,FALSE),1,0)</f>
        <v>1</v>
      </c>
      <c r="Z38">
        <f>IF(VLOOKUP(Z$1,main!$A$3:$I$56,5,FALSE)-VLOOKUP($A38,main!$A$3:$I$56,6,FALSE)&gt;=VLOOKUP(55,main!$A$57:$I$59,4,FALSE)+VLOOKUP(VLOOKUP(Z$1,main!$A$3:$I$56,7,FALSE),main!$K$10:$Q$14,3,FALSE),1,0)</f>
        <v>1</v>
      </c>
      <c r="AA38">
        <f>IF(VLOOKUP(AA$1,main!$A$3:$I$56,5,FALSE)-VLOOKUP($A38,main!$A$3:$I$56,6,FALSE)&gt;=VLOOKUP(55,main!$A$57:$I$59,4,FALSE)+VLOOKUP(VLOOKUP(AA$1,main!$A$3:$I$56,7,FALSE),main!$K$10:$Q$14,3,FALSE),1,0)</f>
        <v>1</v>
      </c>
      <c r="AB38">
        <f>IF(VLOOKUP(AB$1,main!$A$3:$I$56,5,FALSE)-VLOOKUP($A38,main!$A$3:$I$56,6,FALSE)&gt;=VLOOKUP(55,main!$A$57:$I$59,4,FALSE)+VLOOKUP(VLOOKUP(AB$1,main!$A$3:$I$56,7,FALSE),main!$K$10:$Q$14,3,FALSE),1,0)</f>
        <v>1</v>
      </c>
      <c r="AC38">
        <f>IF(VLOOKUP(AC$1,main!$A$3:$I$56,5,FALSE)-VLOOKUP($A38,main!$A$3:$I$56,6,FALSE)&gt;=VLOOKUP(55,main!$A$57:$I$59,4,FALSE)+VLOOKUP(VLOOKUP(AC$1,main!$A$3:$I$56,7,FALSE),main!$K$10:$Q$14,3,FALSE),1,0)</f>
        <v>0</v>
      </c>
      <c r="AD38">
        <f>IF(VLOOKUP(AD$1,main!$A$3:$I$56,5,FALSE)-VLOOKUP($A38,main!$A$3:$I$56,6,FALSE)&gt;=VLOOKUP(55,main!$A$57:$I$59,4,FALSE)+VLOOKUP(VLOOKUP(AD$1,main!$A$3:$I$56,7,FALSE),main!$K$10:$Q$14,3,FALSE),1,0)</f>
        <v>0</v>
      </c>
      <c r="AE38">
        <f>IF(VLOOKUP(AE$1,main!$A$3:$I$56,5,FALSE)-VLOOKUP($A38,main!$A$3:$I$56,6,FALSE)&gt;=VLOOKUP(55,main!$A$57:$I$59,4,FALSE)+VLOOKUP(VLOOKUP(AE$1,main!$A$3:$I$56,7,FALSE),main!$K$10:$Q$14,3,FALSE),1,0)</f>
        <v>1</v>
      </c>
      <c r="AF38">
        <f>IF(VLOOKUP(AF$1,main!$A$3:$I$56,5,FALSE)-VLOOKUP($A38,main!$A$3:$I$56,6,FALSE)&gt;=VLOOKUP(55,main!$A$57:$I$59,4,FALSE)+VLOOKUP(VLOOKUP(AF$1,main!$A$3:$I$56,7,FALSE),main!$K$10:$Q$14,3,FALSE),1,0)</f>
        <v>1</v>
      </c>
      <c r="AG38">
        <f>IF(VLOOKUP(AG$1,main!$A$3:$I$56,5,FALSE)-VLOOKUP($A38,main!$A$3:$I$56,6,FALSE)&gt;=VLOOKUP(55,main!$A$57:$I$59,4,FALSE)+VLOOKUP(VLOOKUP(AG$1,main!$A$3:$I$56,7,FALSE),main!$K$10:$Q$14,3,FALSE),1,0)</f>
        <v>0</v>
      </c>
      <c r="AH38">
        <f>IF(VLOOKUP(AH$1,main!$A$3:$I$56,5,FALSE)-VLOOKUP($A38,main!$A$3:$I$56,6,FALSE)&gt;=VLOOKUP(55,main!$A$57:$I$59,4,FALSE)+VLOOKUP(VLOOKUP(AH$1,main!$A$3:$I$56,7,FALSE),main!$K$10:$Q$14,3,FALSE),1,0)</f>
        <v>0</v>
      </c>
      <c r="AI38">
        <f>IF(VLOOKUP(AI$1,main!$A$3:$I$56,5,FALSE)-VLOOKUP($A38,main!$A$3:$I$56,6,FALSE)&gt;=VLOOKUP(55,main!$A$57:$I$59,4,FALSE)+VLOOKUP(VLOOKUP(AI$1,main!$A$3:$I$56,7,FALSE),main!$K$10:$Q$14,3,FALSE),1,0)</f>
        <v>1</v>
      </c>
      <c r="AJ38">
        <f>IF(VLOOKUP(AJ$1,main!$A$3:$I$56,5,FALSE)-VLOOKUP($A38,main!$A$3:$I$56,6,FALSE)&gt;=VLOOKUP(55,main!$A$57:$I$59,4,FALSE)+VLOOKUP(VLOOKUP(AJ$1,main!$A$3:$I$56,7,FALSE),main!$K$10:$Q$14,3,FALSE),1,0)</f>
        <v>1</v>
      </c>
      <c r="AK38">
        <f>IF(VLOOKUP(AK$1,main!$A$3:$I$56,5,FALSE)-VLOOKUP($A38,main!$A$3:$I$56,6,FALSE)&gt;=VLOOKUP(55,main!$A$57:$I$59,4,FALSE)+VLOOKUP(VLOOKUP(AK$1,main!$A$3:$I$56,7,FALSE),main!$K$10:$Q$14,3,FALSE),1,0)</f>
        <v>1</v>
      </c>
      <c r="AL38">
        <f>IF(VLOOKUP(AL$1,main!$A$3:$I$56,5,FALSE)-VLOOKUP($A38,main!$A$3:$I$56,6,FALSE)&gt;=VLOOKUP(55,main!$A$57:$I$59,4,FALSE)+VLOOKUP(VLOOKUP(AL$1,main!$A$3:$I$56,7,FALSE),main!$K$10:$Q$14,3,FALSE),1,0)</f>
        <v>0</v>
      </c>
      <c r="AM38">
        <f>IF(VLOOKUP(AM$1,main!$A$3:$I$56,5,FALSE)-VLOOKUP($A38,main!$A$3:$I$56,6,FALSE)&gt;=VLOOKUP(55,main!$A$57:$I$59,4,FALSE)+VLOOKUP(VLOOKUP(AM$1,main!$A$3:$I$56,7,FALSE),main!$K$10:$Q$14,3,FALSE),1,0)</f>
        <v>0</v>
      </c>
      <c r="AN38">
        <f>IF(VLOOKUP(AN$1,main!$A$3:$I$56,5,FALSE)-VLOOKUP($A38,main!$A$3:$I$56,6,FALSE)&gt;=VLOOKUP(55,main!$A$57:$I$59,4,FALSE)+VLOOKUP(VLOOKUP(AN$1,main!$A$3:$I$56,7,FALSE),main!$K$10:$Q$14,3,FALSE),1,0)</f>
        <v>1</v>
      </c>
      <c r="AO38">
        <f>IF(VLOOKUP(AO$1,main!$A$3:$I$56,5,FALSE)-VLOOKUP($A38,main!$A$3:$I$56,6,FALSE)&gt;=VLOOKUP(55,main!$A$57:$I$59,4,FALSE)+VLOOKUP(VLOOKUP(AO$1,main!$A$3:$I$56,7,FALSE),main!$K$10:$Q$14,3,FALSE),1,0)</f>
        <v>1</v>
      </c>
      <c r="AP38">
        <f>IF(VLOOKUP(AP$1,main!$A$3:$I$56,5,FALSE)-VLOOKUP($A38,main!$A$3:$I$56,6,FALSE)&gt;=VLOOKUP(55,main!$A$57:$I$59,4,FALSE)+VLOOKUP(VLOOKUP(AP$1,main!$A$3:$I$56,7,FALSE),main!$K$10:$Q$14,3,FALSE),1,0)</f>
        <v>0</v>
      </c>
      <c r="AQ38">
        <f>IF(VLOOKUP(AQ$1,main!$A$3:$I$56,5,FALSE)-VLOOKUP($A38,main!$A$3:$I$56,6,FALSE)&gt;=VLOOKUP(55,main!$A$57:$I$59,4,FALSE)+VLOOKUP(VLOOKUP(AQ$1,main!$A$3:$I$56,7,FALSE),main!$K$10:$Q$14,3,FALSE),1,0)</f>
        <v>0</v>
      </c>
      <c r="AR38">
        <f>IF(VLOOKUP(AR$1,main!$A$3:$I$56,5,FALSE)-VLOOKUP($A38,main!$A$3:$I$56,6,FALSE)&gt;=VLOOKUP(55,main!$A$57:$I$59,4,FALSE)+VLOOKUP(VLOOKUP(AR$1,main!$A$3:$I$56,7,FALSE),main!$K$10:$Q$14,3,FALSE),1,0)</f>
        <v>0</v>
      </c>
      <c r="AS38">
        <f>IF(VLOOKUP(AS$1,main!$A$3:$I$56,5,FALSE)-VLOOKUP($A38,main!$A$3:$I$56,6,FALSE)&gt;=VLOOKUP(55,main!$A$57:$I$59,4,FALSE)+VLOOKUP(VLOOKUP(AS$1,main!$A$3:$I$56,7,FALSE),main!$K$10:$Q$14,3,FALSE),1,0)</f>
        <v>1</v>
      </c>
      <c r="AT38">
        <f>IF(VLOOKUP(AT$1,main!$A$3:$I$56,5,FALSE)-VLOOKUP($A38,main!$A$3:$I$56,6,FALSE)&gt;=VLOOKUP(55,main!$A$57:$I$59,4,FALSE)+VLOOKUP(VLOOKUP(AT$1,main!$A$3:$I$56,7,FALSE),main!$K$10:$Q$14,3,FALSE),1,0)</f>
        <v>1</v>
      </c>
      <c r="AU38">
        <f>IF(VLOOKUP(AU$1,main!$A$3:$I$56,5,FALSE)-VLOOKUP($A38,main!$A$3:$I$56,6,FALSE)&gt;=VLOOKUP(55,main!$A$57:$I$59,4,FALSE)+VLOOKUP(VLOOKUP(AU$1,main!$A$3:$I$56,7,FALSE),main!$K$10:$Q$14,3,FALSE),1,0)</f>
        <v>0</v>
      </c>
      <c r="AV38">
        <f>IF(VLOOKUP(AV$1,main!$A$3:$I$56,5,FALSE)-VLOOKUP($A38,main!$A$3:$I$56,6,FALSE)&gt;=VLOOKUP(55,main!$A$57:$I$59,4,FALSE)+VLOOKUP(VLOOKUP(AV$1,main!$A$3:$I$56,7,FALSE),main!$K$10:$Q$14,3,FALSE),1,0)</f>
        <v>0</v>
      </c>
      <c r="AW38">
        <f>IF(VLOOKUP(AW$1,main!$A$3:$I$56,5,FALSE)-VLOOKUP($A38,main!$A$3:$I$56,6,FALSE)&gt;=VLOOKUP(55,main!$A$57:$I$59,4,FALSE)+VLOOKUP(VLOOKUP(AW$1,main!$A$3:$I$56,7,FALSE),main!$K$10:$Q$14,3,FALSE),1,0)</f>
        <v>1</v>
      </c>
      <c r="AX38">
        <f>IF(VLOOKUP(AX$1,main!$A$3:$I$56,5,FALSE)-VLOOKUP($A38,main!$A$3:$I$56,6,FALSE)&gt;=VLOOKUP(55,main!$A$57:$I$59,4,FALSE)+VLOOKUP(VLOOKUP(AX$1,main!$A$3:$I$56,7,FALSE),main!$K$10:$Q$14,3,FALSE),1,0)</f>
        <v>1</v>
      </c>
      <c r="AY38">
        <f>IF(VLOOKUP(AY$1,main!$A$3:$I$56,5,FALSE)-VLOOKUP($A38,main!$A$3:$I$56,6,FALSE)&gt;=VLOOKUP(55,main!$A$57:$I$59,4,FALSE)+VLOOKUP(VLOOKUP(AY$1,main!$A$3:$I$56,7,FALSE),main!$K$10:$Q$14,3,FALSE),1,0)</f>
        <v>1</v>
      </c>
      <c r="AZ38">
        <f>IF(VLOOKUP(AZ$1,main!$A$3:$I$56,5,FALSE)-VLOOKUP($A38,main!$A$3:$I$56,6,FALSE)&gt;=VLOOKUP(55,main!$A$57:$I$59,4,FALSE)+VLOOKUP(VLOOKUP(AZ$1,main!$A$3:$I$56,7,FALSE),main!$K$10:$Q$14,3,FALSE),1,0)</f>
        <v>0</v>
      </c>
      <c r="BA38">
        <f>IF(VLOOKUP(BA$1,main!$A$3:$I$56,5,FALSE)-VLOOKUP($A38,main!$A$3:$I$56,6,FALSE)&gt;=VLOOKUP(55,main!$A$57:$I$59,4,FALSE)+VLOOKUP(VLOOKUP(BA$1,main!$A$3:$I$56,7,FALSE),main!$K$10:$Q$14,3,FALSE),1,0)</f>
        <v>1</v>
      </c>
      <c r="BB38">
        <f>IF(VLOOKUP(BB$1,main!$A$3:$I$56,5,FALSE)-VLOOKUP($A38,main!$A$3:$I$56,6,FALSE)&gt;=VLOOKUP(55,main!$A$57:$I$59,4,FALSE)+VLOOKUP(VLOOKUP(BB$1,main!$A$3:$I$56,7,FALSE),main!$K$10:$Q$14,3,FALSE),1,0)</f>
        <v>1</v>
      </c>
      <c r="BC38">
        <f>IF(VLOOKUP(BC$1,main!$A$3:$I$56,5,FALSE)-VLOOKUP($A38,main!$A$3:$I$56,6,FALSE)&gt;=VLOOKUP(55,main!$A$57:$I$59,4,FALSE)+VLOOKUP(VLOOKUP(BC$1,main!$A$3:$I$56,7,FALSE),main!$K$10:$Q$14,3,FALSE),1,0)</f>
        <v>1</v>
      </c>
      <c r="BD38">
        <f>IF(VLOOKUP(BD$1,main!$A$3:$I$56,5,FALSE)-VLOOKUP($A38,main!$A$3:$I$56,6,FALSE)&gt;=VLOOKUP(55,main!$A$57:$I$59,4,FALSE)+VLOOKUP(VLOOKUP(BD$1,main!$A$3:$I$56,7,FALSE),main!$K$10:$Q$14,3,FALSE),1,0)</f>
        <v>1</v>
      </c>
    </row>
    <row r="39" spans="1:56" x14ac:dyDescent="0.25">
      <c r="A39">
        <f t="shared" si="0"/>
        <v>37</v>
      </c>
      <c r="B39">
        <v>0</v>
      </c>
      <c r="C39">
        <f>IF(VLOOKUP(C$1,main!$A$3:$I$56,5,FALSE)-VLOOKUP($A39,main!$A$3:$I$56,6,FALSE)&gt;=VLOOKUP(55,main!$A$57:$I$59,4,FALSE)+VLOOKUP(VLOOKUP(C$1,main!$A$3:$I$56,7,FALSE),main!$K$10:$Q$14,3,FALSE),1,0)</f>
        <v>0</v>
      </c>
      <c r="D39">
        <f>IF(VLOOKUP(D$1,main!$A$3:$I$56,5,FALSE)-VLOOKUP($A39,main!$A$3:$I$56,6,FALSE)&gt;=VLOOKUP(55,main!$A$57:$I$59,4,FALSE)+VLOOKUP(VLOOKUP(D$1,main!$A$3:$I$56,7,FALSE),main!$K$10:$Q$14,3,FALSE),1,0)</f>
        <v>0</v>
      </c>
      <c r="E39">
        <f>IF(VLOOKUP(E$1,main!$A$3:$I$56,5,FALSE)-VLOOKUP($A39,main!$A$3:$I$56,6,FALSE)&gt;=VLOOKUP(55,main!$A$57:$I$59,4,FALSE)+VLOOKUP(VLOOKUP(E$1,main!$A$3:$I$56,7,FALSE),main!$K$10:$Q$14,3,FALSE),1,0)</f>
        <v>0</v>
      </c>
      <c r="F39">
        <f>IF(VLOOKUP(F$1,main!$A$3:$I$56,5,FALSE)-VLOOKUP($A39,main!$A$3:$I$56,6,FALSE)&gt;=VLOOKUP(55,main!$A$57:$I$59,4,FALSE)+VLOOKUP(VLOOKUP(F$1,main!$A$3:$I$56,7,FALSE),main!$K$10:$Q$14,3,FALSE),1,0)</f>
        <v>1</v>
      </c>
      <c r="G39">
        <f>IF(VLOOKUP(G$1,main!$A$3:$I$56,5,FALSE)-VLOOKUP($A39,main!$A$3:$I$56,6,FALSE)&gt;=VLOOKUP(55,main!$A$57:$I$59,4,FALSE)+VLOOKUP(VLOOKUP(G$1,main!$A$3:$I$56,7,FALSE),main!$K$10:$Q$14,3,FALSE),1,0)</f>
        <v>1</v>
      </c>
      <c r="H39">
        <f>IF(VLOOKUP(H$1,main!$A$3:$I$56,5,FALSE)-VLOOKUP($A39,main!$A$3:$I$56,6,FALSE)&gt;=VLOOKUP(55,main!$A$57:$I$59,4,FALSE)+VLOOKUP(VLOOKUP(H$1,main!$A$3:$I$56,7,FALSE),main!$K$10:$Q$14,3,FALSE),1,0)</f>
        <v>1</v>
      </c>
      <c r="I39">
        <f>IF(VLOOKUP(I$1,main!$A$3:$I$56,5,FALSE)-VLOOKUP($A39,main!$A$3:$I$56,6,FALSE)&gt;=VLOOKUP(55,main!$A$57:$I$59,4,FALSE)+VLOOKUP(VLOOKUP(I$1,main!$A$3:$I$56,7,FALSE),main!$K$10:$Q$14,3,FALSE),1,0)</f>
        <v>1</v>
      </c>
      <c r="J39">
        <f>IF(VLOOKUP(J$1,main!$A$3:$I$56,5,FALSE)-VLOOKUP($A39,main!$A$3:$I$56,6,FALSE)&gt;=VLOOKUP(55,main!$A$57:$I$59,4,FALSE)+VLOOKUP(VLOOKUP(J$1,main!$A$3:$I$56,7,FALSE),main!$K$10:$Q$14,3,FALSE),1,0)</f>
        <v>1</v>
      </c>
      <c r="K39">
        <f>IF(VLOOKUP(K$1,main!$A$3:$I$56,5,FALSE)-VLOOKUP($A39,main!$A$3:$I$56,6,FALSE)&gt;=VLOOKUP(55,main!$A$57:$I$59,4,FALSE)+VLOOKUP(VLOOKUP(K$1,main!$A$3:$I$56,7,FALSE),main!$K$10:$Q$14,3,FALSE),1,0)</f>
        <v>0</v>
      </c>
      <c r="L39">
        <f>IF(VLOOKUP(L$1,main!$A$3:$I$56,5,FALSE)-VLOOKUP($A39,main!$A$3:$I$56,6,FALSE)&gt;=VLOOKUP(55,main!$A$57:$I$59,4,FALSE)+VLOOKUP(VLOOKUP(L$1,main!$A$3:$I$56,7,FALSE),main!$K$10:$Q$14,3,FALSE),1,0)</f>
        <v>0</v>
      </c>
      <c r="M39">
        <f>IF(VLOOKUP(M$1,main!$A$3:$I$56,5,FALSE)-VLOOKUP($A39,main!$A$3:$I$56,6,FALSE)&gt;=VLOOKUP(55,main!$A$57:$I$59,4,FALSE)+VLOOKUP(VLOOKUP(M$1,main!$A$3:$I$56,7,FALSE),main!$K$10:$Q$14,3,FALSE),1,0)</f>
        <v>0</v>
      </c>
      <c r="N39">
        <f>IF(VLOOKUP(N$1,main!$A$3:$I$56,5,FALSE)-VLOOKUP($A39,main!$A$3:$I$56,6,FALSE)&gt;=VLOOKUP(55,main!$A$57:$I$59,4,FALSE)+VLOOKUP(VLOOKUP(N$1,main!$A$3:$I$56,7,FALSE),main!$K$10:$Q$14,3,FALSE),1,0)</f>
        <v>1</v>
      </c>
      <c r="O39">
        <f>IF(VLOOKUP(O$1,main!$A$3:$I$56,5,FALSE)-VLOOKUP($A39,main!$A$3:$I$56,6,FALSE)&gt;=VLOOKUP(55,main!$A$57:$I$59,4,FALSE)+VLOOKUP(VLOOKUP(O$1,main!$A$3:$I$56,7,FALSE),main!$K$10:$Q$14,3,FALSE),1,0)</f>
        <v>1</v>
      </c>
      <c r="P39">
        <f>IF(VLOOKUP(P$1,main!$A$3:$I$56,5,FALSE)-VLOOKUP($A39,main!$A$3:$I$56,6,FALSE)&gt;=VLOOKUP(55,main!$A$57:$I$59,4,FALSE)+VLOOKUP(VLOOKUP(P$1,main!$A$3:$I$56,7,FALSE),main!$K$10:$Q$14,3,FALSE),1,0)</f>
        <v>0</v>
      </c>
      <c r="Q39">
        <f>IF(VLOOKUP(Q$1,main!$A$3:$I$56,5,FALSE)-VLOOKUP($A39,main!$A$3:$I$56,6,FALSE)&gt;=VLOOKUP(55,main!$A$57:$I$59,4,FALSE)+VLOOKUP(VLOOKUP(Q$1,main!$A$3:$I$56,7,FALSE),main!$K$10:$Q$14,3,FALSE),1,0)</f>
        <v>0</v>
      </c>
      <c r="R39">
        <f>IF(VLOOKUP(R$1,main!$A$3:$I$56,5,FALSE)-VLOOKUP($A39,main!$A$3:$I$56,6,FALSE)&gt;=VLOOKUP(55,main!$A$57:$I$59,4,FALSE)+VLOOKUP(VLOOKUP(R$1,main!$A$3:$I$56,7,FALSE),main!$K$10:$Q$14,3,FALSE),1,0)</f>
        <v>0</v>
      </c>
      <c r="S39">
        <f>IF(VLOOKUP(S$1,main!$A$3:$I$56,5,FALSE)-VLOOKUP($A39,main!$A$3:$I$56,6,FALSE)&gt;=VLOOKUP(55,main!$A$57:$I$59,4,FALSE)+VLOOKUP(VLOOKUP(S$1,main!$A$3:$I$56,7,FALSE),main!$K$10:$Q$14,3,FALSE),1,0)</f>
        <v>1</v>
      </c>
      <c r="T39">
        <f>IF(VLOOKUP(T$1,main!$A$3:$I$56,5,FALSE)-VLOOKUP($A39,main!$A$3:$I$56,6,FALSE)&gt;=VLOOKUP(55,main!$A$57:$I$59,4,FALSE)+VLOOKUP(VLOOKUP(T$1,main!$A$3:$I$56,7,FALSE),main!$K$10:$Q$14,3,FALSE),1,0)</f>
        <v>1</v>
      </c>
      <c r="U39">
        <f>IF(VLOOKUP(U$1,main!$A$3:$I$56,5,FALSE)-VLOOKUP($A39,main!$A$3:$I$56,6,FALSE)&gt;=VLOOKUP(55,main!$A$57:$I$59,4,FALSE)+VLOOKUP(VLOOKUP(U$1,main!$A$3:$I$56,7,FALSE),main!$K$10:$Q$14,3,FALSE),1,0)</f>
        <v>0</v>
      </c>
      <c r="V39">
        <f>IF(VLOOKUP(V$1,main!$A$3:$I$56,5,FALSE)-VLOOKUP($A39,main!$A$3:$I$56,6,FALSE)&gt;=VLOOKUP(55,main!$A$57:$I$59,4,FALSE)+VLOOKUP(VLOOKUP(V$1,main!$A$3:$I$56,7,FALSE),main!$K$10:$Q$14,3,FALSE),1,0)</f>
        <v>0</v>
      </c>
      <c r="W39">
        <f>IF(VLOOKUP(W$1,main!$A$3:$I$56,5,FALSE)-VLOOKUP($A39,main!$A$3:$I$56,6,FALSE)&gt;=VLOOKUP(55,main!$A$57:$I$59,4,FALSE)+VLOOKUP(VLOOKUP(W$1,main!$A$3:$I$56,7,FALSE),main!$K$10:$Q$14,3,FALSE),1,0)</f>
        <v>0</v>
      </c>
      <c r="X39">
        <f>IF(VLOOKUP(X$1,main!$A$3:$I$56,5,FALSE)-VLOOKUP($A39,main!$A$3:$I$56,6,FALSE)&gt;=VLOOKUP(55,main!$A$57:$I$59,4,FALSE)+VLOOKUP(VLOOKUP(X$1,main!$A$3:$I$56,7,FALSE),main!$K$10:$Q$14,3,FALSE),1,0)</f>
        <v>0</v>
      </c>
      <c r="Y39">
        <f>IF(VLOOKUP(Y$1,main!$A$3:$I$56,5,FALSE)-VLOOKUP($A39,main!$A$3:$I$56,6,FALSE)&gt;=VLOOKUP(55,main!$A$57:$I$59,4,FALSE)+VLOOKUP(VLOOKUP(Y$1,main!$A$3:$I$56,7,FALSE),main!$K$10:$Q$14,3,FALSE),1,0)</f>
        <v>1</v>
      </c>
      <c r="Z39">
        <f>IF(VLOOKUP(Z$1,main!$A$3:$I$56,5,FALSE)-VLOOKUP($A39,main!$A$3:$I$56,6,FALSE)&gt;=VLOOKUP(55,main!$A$57:$I$59,4,FALSE)+VLOOKUP(VLOOKUP(Z$1,main!$A$3:$I$56,7,FALSE),main!$K$10:$Q$14,3,FALSE),1,0)</f>
        <v>1</v>
      </c>
      <c r="AA39">
        <f>IF(VLOOKUP(AA$1,main!$A$3:$I$56,5,FALSE)-VLOOKUP($A39,main!$A$3:$I$56,6,FALSE)&gt;=VLOOKUP(55,main!$A$57:$I$59,4,FALSE)+VLOOKUP(VLOOKUP(AA$1,main!$A$3:$I$56,7,FALSE),main!$K$10:$Q$14,3,FALSE),1,0)</f>
        <v>1</v>
      </c>
      <c r="AB39">
        <f>IF(VLOOKUP(AB$1,main!$A$3:$I$56,5,FALSE)-VLOOKUP($A39,main!$A$3:$I$56,6,FALSE)&gt;=VLOOKUP(55,main!$A$57:$I$59,4,FALSE)+VLOOKUP(VLOOKUP(AB$1,main!$A$3:$I$56,7,FALSE),main!$K$10:$Q$14,3,FALSE),1,0)</f>
        <v>1</v>
      </c>
      <c r="AC39">
        <f>IF(VLOOKUP(AC$1,main!$A$3:$I$56,5,FALSE)-VLOOKUP($A39,main!$A$3:$I$56,6,FALSE)&gt;=VLOOKUP(55,main!$A$57:$I$59,4,FALSE)+VLOOKUP(VLOOKUP(AC$1,main!$A$3:$I$56,7,FALSE),main!$K$10:$Q$14,3,FALSE),1,0)</f>
        <v>0</v>
      </c>
      <c r="AD39">
        <f>IF(VLOOKUP(AD$1,main!$A$3:$I$56,5,FALSE)-VLOOKUP($A39,main!$A$3:$I$56,6,FALSE)&gt;=VLOOKUP(55,main!$A$57:$I$59,4,FALSE)+VLOOKUP(VLOOKUP(AD$1,main!$A$3:$I$56,7,FALSE),main!$K$10:$Q$14,3,FALSE),1,0)</f>
        <v>0</v>
      </c>
      <c r="AE39">
        <f>IF(VLOOKUP(AE$1,main!$A$3:$I$56,5,FALSE)-VLOOKUP($A39,main!$A$3:$I$56,6,FALSE)&gt;=VLOOKUP(55,main!$A$57:$I$59,4,FALSE)+VLOOKUP(VLOOKUP(AE$1,main!$A$3:$I$56,7,FALSE),main!$K$10:$Q$14,3,FALSE),1,0)</f>
        <v>0</v>
      </c>
      <c r="AF39">
        <f>IF(VLOOKUP(AF$1,main!$A$3:$I$56,5,FALSE)-VLOOKUP($A39,main!$A$3:$I$56,6,FALSE)&gt;=VLOOKUP(55,main!$A$57:$I$59,4,FALSE)+VLOOKUP(VLOOKUP(AF$1,main!$A$3:$I$56,7,FALSE),main!$K$10:$Q$14,3,FALSE),1,0)</f>
        <v>1</v>
      </c>
      <c r="AG39">
        <f>IF(VLOOKUP(AG$1,main!$A$3:$I$56,5,FALSE)-VLOOKUP($A39,main!$A$3:$I$56,6,FALSE)&gt;=VLOOKUP(55,main!$A$57:$I$59,4,FALSE)+VLOOKUP(VLOOKUP(AG$1,main!$A$3:$I$56,7,FALSE),main!$K$10:$Q$14,3,FALSE),1,0)</f>
        <v>0</v>
      </c>
      <c r="AH39">
        <f>IF(VLOOKUP(AH$1,main!$A$3:$I$56,5,FALSE)-VLOOKUP($A39,main!$A$3:$I$56,6,FALSE)&gt;=VLOOKUP(55,main!$A$57:$I$59,4,FALSE)+VLOOKUP(VLOOKUP(AH$1,main!$A$3:$I$56,7,FALSE),main!$K$10:$Q$14,3,FALSE),1,0)</f>
        <v>0</v>
      </c>
      <c r="AI39">
        <f>IF(VLOOKUP(AI$1,main!$A$3:$I$56,5,FALSE)-VLOOKUP($A39,main!$A$3:$I$56,6,FALSE)&gt;=VLOOKUP(55,main!$A$57:$I$59,4,FALSE)+VLOOKUP(VLOOKUP(AI$1,main!$A$3:$I$56,7,FALSE),main!$K$10:$Q$14,3,FALSE),1,0)</f>
        <v>0</v>
      </c>
      <c r="AJ39">
        <f>IF(VLOOKUP(AJ$1,main!$A$3:$I$56,5,FALSE)-VLOOKUP($A39,main!$A$3:$I$56,6,FALSE)&gt;=VLOOKUP(55,main!$A$57:$I$59,4,FALSE)+VLOOKUP(VLOOKUP(AJ$1,main!$A$3:$I$56,7,FALSE),main!$K$10:$Q$14,3,FALSE),1,0)</f>
        <v>1</v>
      </c>
      <c r="AK39">
        <f>IF(VLOOKUP(AK$1,main!$A$3:$I$56,5,FALSE)-VLOOKUP($A39,main!$A$3:$I$56,6,FALSE)&gt;=VLOOKUP(55,main!$A$57:$I$59,4,FALSE)+VLOOKUP(VLOOKUP(AK$1,main!$A$3:$I$56,7,FALSE),main!$K$10:$Q$14,3,FALSE),1,0)</f>
        <v>1</v>
      </c>
      <c r="AL39">
        <f>IF(VLOOKUP(AL$1,main!$A$3:$I$56,5,FALSE)-VLOOKUP($A39,main!$A$3:$I$56,6,FALSE)&gt;=VLOOKUP(55,main!$A$57:$I$59,4,FALSE)+VLOOKUP(VLOOKUP(AL$1,main!$A$3:$I$56,7,FALSE),main!$K$10:$Q$14,3,FALSE),1,0)</f>
        <v>0</v>
      </c>
      <c r="AM39">
        <f>IF(VLOOKUP(AM$1,main!$A$3:$I$56,5,FALSE)-VLOOKUP($A39,main!$A$3:$I$56,6,FALSE)&gt;=VLOOKUP(55,main!$A$57:$I$59,4,FALSE)+VLOOKUP(VLOOKUP(AM$1,main!$A$3:$I$56,7,FALSE),main!$K$10:$Q$14,3,FALSE),1,0)</f>
        <v>0</v>
      </c>
      <c r="AN39">
        <f>IF(VLOOKUP(AN$1,main!$A$3:$I$56,5,FALSE)-VLOOKUP($A39,main!$A$3:$I$56,6,FALSE)&gt;=VLOOKUP(55,main!$A$57:$I$59,4,FALSE)+VLOOKUP(VLOOKUP(AN$1,main!$A$3:$I$56,7,FALSE),main!$K$10:$Q$14,3,FALSE),1,0)</f>
        <v>1</v>
      </c>
      <c r="AO39">
        <f>IF(VLOOKUP(AO$1,main!$A$3:$I$56,5,FALSE)-VLOOKUP($A39,main!$A$3:$I$56,6,FALSE)&gt;=VLOOKUP(55,main!$A$57:$I$59,4,FALSE)+VLOOKUP(VLOOKUP(AO$1,main!$A$3:$I$56,7,FALSE),main!$K$10:$Q$14,3,FALSE),1,0)</f>
        <v>1</v>
      </c>
      <c r="AP39">
        <f>IF(VLOOKUP(AP$1,main!$A$3:$I$56,5,FALSE)-VLOOKUP($A39,main!$A$3:$I$56,6,FALSE)&gt;=VLOOKUP(55,main!$A$57:$I$59,4,FALSE)+VLOOKUP(VLOOKUP(AP$1,main!$A$3:$I$56,7,FALSE),main!$K$10:$Q$14,3,FALSE),1,0)</f>
        <v>0</v>
      </c>
      <c r="AQ39">
        <f>IF(VLOOKUP(AQ$1,main!$A$3:$I$56,5,FALSE)-VLOOKUP($A39,main!$A$3:$I$56,6,FALSE)&gt;=VLOOKUP(55,main!$A$57:$I$59,4,FALSE)+VLOOKUP(VLOOKUP(AQ$1,main!$A$3:$I$56,7,FALSE),main!$K$10:$Q$14,3,FALSE),1,0)</f>
        <v>0</v>
      </c>
      <c r="AR39">
        <f>IF(VLOOKUP(AR$1,main!$A$3:$I$56,5,FALSE)-VLOOKUP($A39,main!$A$3:$I$56,6,FALSE)&gt;=VLOOKUP(55,main!$A$57:$I$59,4,FALSE)+VLOOKUP(VLOOKUP(AR$1,main!$A$3:$I$56,7,FALSE),main!$K$10:$Q$14,3,FALSE),1,0)</f>
        <v>0</v>
      </c>
      <c r="AS39">
        <f>IF(VLOOKUP(AS$1,main!$A$3:$I$56,5,FALSE)-VLOOKUP($A39,main!$A$3:$I$56,6,FALSE)&gt;=VLOOKUP(55,main!$A$57:$I$59,4,FALSE)+VLOOKUP(VLOOKUP(AS$1,main!$A$3:$I$56,7,FALSE),main!$K$10:$Q$14,3,FALSE),1,0)</f>
        <v>0</v>
      </c>
      <c r="AT39">
        <f>IF(VLOOKUP(AT$1,main!$A$3:$I$56,5,FALSE)-VLOOKUP($A39,main!$A$3:$I$56,6,FALSE)&gt;=VLOOKUP(55,main!$A$57:$I$59,4,FALSE)+VLOOKUP(VLOOKUP(AT$1,main!$A$3:$I$56,7,FALSE),main!$K$10:$Q$14,3,FALSE),1,0)</f>
        <v>0</v>
      </c>
      <c r="AU39">
        <f>IF(VLOOKUP(AU$1,main!$A$3:$I$56,5,FALSE)-VLOOKUP($A39,main!$A$3:$I$56,6,FALSE)&gt;=VLOOKUP(55,main!$A$57:$I$59,4,FALSE)+VLOOKUP(VLOOKUP(AU$1,main!$A$3:$I$56,7,FALSE),main!$K$10:$Q$14,3,FALSE),1,0)</f>
        <v>0</v>
      </c>
      <c r="AV39">
        <f>IF(VLOOKUP(AV$1,main!$A$3:$I$56,5,FALSE)-VLOOKUP($A39,main!$A$3:$I$56,6,FALSE)&gt;=VLOOKUP(55,main!$A$57:$I$59,4,FALSE)+VLOOKUP(VLOOKUP(AV$1,main!$A$3:$I$56,7,FALSE),main!$K$10:$Q$14,3,FALSE),1,0)</f>
        <v>0</v>
      </c>
      <c r="AW39">
        <f>IF(VLOOKUP(AW$1,main!$A$3:$I$56,5,FALSE)-VLOOKUP($A39,main!$A$3:$I$56,6,FALSE)&gt;=VLOOKUP(55,main!$A$57:$I$59,4,FALSE)+VLOOKUP(VLOOKUP(AW$1,main!$A$3:$I$56,7,FALSE),main!$K$10:$Q$14,3,FALSE),1,0)</f>
        <v>0</v>
      </c>
      <c r="AX39">
        <f>IF(VLOOKUP(AX$1,main!$A$3:$I$56,5,FALSE)-VLOOKUP($A39,main!$A$3:$I$56,6,FALSE)&gt;=VLOOKUP(55,main!$A$57:$I$59,4,FALSE)+VLOOKUP(VLOOKUP(AX$1,main!$A$3:$I$56,7,FALSE),main!$K$10:$Q$14,3,FALSE),1,0)</f>
        <v>1</v>
      </c>
      <c r="AY39">
        <f>IF(VLOOKUP(AY$1,main!$A$3:$I$56,5,FALSE)-VLOOKUP($A39,main!$A$3:$I$56,6,FALSE)&gt;=VLOOKUP(55,main!$A$57:$I$59,4,FALSE)+VLOOKUP(VLOOKUP(AY$1,main!$A$3:$I$56,7,FALSE),main!$K$10:$Q$14,3,FALSE),1,0)</f>
        <v>1</v>
      </c>
      <c r="AZ39">
        <f>IF(VLOOKUP(AZ$1,main!$A$3:$I$56,5,FALSE)-VLOOKUP($A39,main!$A$3:$I$56,6,FALSE)&gt;=VLOOKUP(55,main!$A$57:$I$59,4,FALSE)+VLOOKUP(VLOOKUP(AZ$1,main!$A$3:$I$56,7,FALSE),main!$K$10:$Q$14,3,FALSE),1,0)</f>
        <v>0</v>
      </c>
      <c r="BA39">
        <f>IF(VLOOKUP(BA$1,main!$A$3:$I$56,5,FALSE)-VLOOKUP($A39,main!$A$3:$I$56,6,FALSE)&gt;=VLOOKUP(55,main!$A$57:$I$59,4,FALSE)+VLOOKUP(VLOOKUP(BA$1,main!$A$3:$I$56,7,FALSE),main!$K$10:$Q$14,3,FALSE),1,0)</f>
        <v>0</v>
      </c>
      <c r="BB39">
        <f>IF(VLOOKUP(BB$1,main!$A$3:$I$56,5,FALSE)-VLOOKUP($A39,main!$A$3:$I$56,6,FALSE)&gt;=VLOOKUP(55,main!$A$57:$I$59,4,FALSE)+VLOOKUP(VLOOKUP(BB$1,main!$A$3:$I$56,7,FALSE),main!$K$10:$Q$14,3,FALSE),1,0)</f>
        <v>0</v>
      </c>
      <c r="BC39">
        <f>IF(VLOOKUP(BC$1,main!$A$3:$I$56,5,FALSE)-VLOOKUP($A39,main!$A$3:$I$56,6,FALSE)&gt;=VLOOKUP(55,main!$A$57:$I$59,4,FALSE)+VLOOKUP(VLOOKUP(BC$1,main!$A$3:$I$56,7,FALSE),main!$K$10:$Q$14,3,FALSE),1,0)</f>
        <v>1</v>
      </c>
      <c r="BD39">
        <f>IF(VLOOKUP(BD$1,main!$A$3:$I$56,5,FALSE)-VLOOKUP($A39,main!$A$3:$I$56,6,FALSE)&gt;=VLOOKUP(55,main!$A$57:$I$59,4,FALSE)+VLOOKUP(VLOOKUP(BD$1,main!$A$3:$I$56,7,FALSE),main!$K$10:$Q$14,3,FALSE),1,0)</f>
        <v>1</v>
      </c>
    </row>
    <row r="40" spans="1:56" x14ac:dyDescent="0.25">
      <c r="A40">
        <f t="shared" si="0"/>
        <v>38</v>
      </c>
      <c r="B40">
        <v>0</v>
      </c>
      <c r="C40">
        <f>IF(VLOOKUP(C$1,main!$A$3:$I$56,5,FALSE)-VLOOKUP($A40,main!$A$3:$I$56,6,FALSE)&gt;=VLOOKUP(55,main!$A$57:$I$59,4,FALSE)+VLOOKUP(VLOOKUP(C$1,main!$A$3:$I$56,7,FALSE),main!$K$10:$Q$14,3,FALSE),1,0)</f>
        <v>0</v>
      </c>
      <c r="D40">
        <f>IF(VLOOKUP(D$1,main!$A$3:$I$56,5,FALSE)-VLOOKUP($A40,main!$A$3:$I$56,6,FALSE)&gt;=VLOOKUP(55,main!$A$57:$I$59,4,FALSE)+VLOOKUP(VLOOKUP(D$1,main!$A$3:$I$56,7,FALSE),main!$K$10:$Q$14,3,FALSE),1,0)</f>
        <v>0</v>
      </c>
      <c r="E40">
        <f>IF(VLOOKUP(E$1,main!$A$3:$I$56,5,FALSE)-VLOOKUP($A40,main!$A$3:$I$56,6,FALSE)&gt;=VLOOKUP(55,main!$A$57:$I$59,4,FALSE)+VLOOKUP(VLOOKUP(E$1,main!$A$3:$I$56,7,FALSE),main!$K$10:$Q$14,3,FALSE),1,0)</f>
        <v>0</v>
      </c>
      <c r="F40">
        <f>IF(VLOOKUP(F$1,main!$A$3:$I$56,5,FALSE)-VLOOKUP($A40,main!$A$3:$I$56,6,FALSE)&gt;=VLOOKUP(55,main!$A$57:$I$59,4,FALSE)+VLOOKUP(VLOOKUP(F$1,main!$A$3:$I$56,7,FALSE),main!$K$10:$Q$14,3,FALSE),1,0)</f>
        <v>0</v>
      </c>
      <c r="G40">
        <f>IF(VLOOKUP(G$1,main!$A$3:$I$56,5,FALSE)-VLOOKUP($A40,main!$A$3:$I$56,6,FALSE)&gt;=VLOOKUP(55,main!$A$57:$I$59,4,FALSE)+VLOOKUP(VLOOKUP(G$1,main!$A$3:$I$56,7,FALSE),main!$K$10:$Q$14,3,FALSE),1,0)</f>
        <v>0</v>
      </c>
      <c r="H40">
        <f>IF(VLOOKUP(H$1,main!$A$3:$I$56,5,FALSE)-VLOOKUP($A40,main!$A$3:$I$56,6,FALSE)&gt;=VLOOKUP(55,main!$A$57:$I$59,4,FALSE)+VLOOKUP(VLOOKUP(H$1,main!$A$3:$I$56,7,FALSE),main!$K$10:$Q$14,3,FALSE),1,0)</f>
        <v>0</v>
      </c>
      <c r="I40">
        <f>IF(VLOOKUP(I$1,main!$A$3:$I$56,5,FALSE)-VLOOKUP($A40,main!$A$3:$I$56,6,FALSE)&gt;=VLOOKUP(55,main!$A$57:$I$59,4,FALSE)+VLOOKUP(VLOOKUP(I$1,main!$A$3:$I$56,7,FALSE),main!$K$10:$Q$14,3,FALSE),1,0)</f>
        <v>1</v>
      </c>
      <c r="J40">
        <f>IF(VLOOKUP(J$1,main!$A$3:$I$56,5,FALSE)-VLOOKUP($A40,main!$A$3:$I$56,6,FALSE)&gt;=VLOOKUP(55,main!$A$57:$I$59,4,FALSE)+VLOOKUP(VLOOKUP(J$1,main!$A$3:$I$56,7,FALSE),main!$K$10:$Q$14,3,FALSE),1,0)</f>
        <v>1</v>
      </c>
      <c r="K40">
        <f>IF(VLOOKUP(K$1,main!$A$3:$I$56,5,FALSE)-VLOOKUP($A40,main!$A$3:$I$56,6,FALSE)&gt;=VLOOKUP(55,main!$A$57:$I$59,4,FALSE)+VLOOKUP(VLOOKUP(K$1,main!$A$3:$I$56,7,FALSE),main!$K$10:$Q$14,3,FALSE),1,0)</f>
        <v>0</v>
      </c>
      <c r="L40">
        <f>IF(VLOOKUP(L$1,main!$A$3:$I$56,5,FALSE)-VLOOKUP($A40,main!$A$3:$I$56,6,FALSE)&gt;=VLOOKUP(55,main!$A$57:$I$59,4,FALSE)+VLOOKUP(VLOOKUP(L$1,main!$A$3:$I$56,7,FALSE),main!$K$10:$Q$14,3,FALSE),1,0)</f>
        <v>0</v>
      </c>
      <c r="M40">
        <f>IF(VLOOKUP(M$1,main!$A$3:$I$56,5,FALSE)-VLOOKUP($A40,main!$A$3:$I$56,6,FALSE)&gt;=VLOOKUP(55,main!$A$57:$I$59,4,FALSE)+VLOOKUP(VLOOKUP(M$1,main!$A$3:$I$56,7,FALSE),main!$K$10:$Q$14,3,FALSE),1,0)</f>
        <v>0</v>
      </c>
      <c r="N40">
        <f>IF(VLOOKUP(N$1,main!$A$3:$I$56,5,FALSE)-VLOOKUP($A40,main!$A$3:$I$56,6,FALSE)&gt;=VLOOKUP(55,main!$A$57:$I$59,4,FALSE)+VLOOKUP(VLOOKUP(N$1,main!$A$3:$I$56,7,FALSE),main!$K$10:$Q$14,3,FALSE),1,0)</f>
        <v>1</v>
      </c>
      <c r="O40">
        <f>IF(VLOOKUP(O$1,main!$A$3:$I$56,5,FALSE)-VLOOKUP($A40,main!$A$3:$I$56,6,FALSE)&gt;=VLOOKUP(55,main!$A$57:$I$59,4,FALSE)+VLOOKUP(VLOOKUP(O$1,main!$A$3:$I$56,7,FALSE),main!$K$10:$Q$14,3,FALSE),1,0)</f>
        <v>1</v>
      </c>
      <c r="P40">
        <f>IF(VLOOKUP(P$1,main!$A$3:$I$56,5,FALSE)-VLOOKUP($A40,main!$A$3:$I$56,6,FALSE)&gt;=VLOOKUP(55,main!$A$57:$I$59,4,FALSE)+VLOOKUP(VLOOKUP(P$1,main!$A$3:$I$56,7,FALSE),main!$K$10:$Q$14,3,FALSE),1,0)</f>
        <v>0</v>
      </c>
      <c r="Q40">
        <f>IF(VLOOKUP(Q$1,main!$A$3:$I$56,5,FALSE)-VLOOKUP($A40,main!$A$3:$I$56,6,FALSE)&gt;=VLOOKUP(55,main!$A$57:$I$59,4,FALSE)+VLOOKUP(VLOOKUP(Q$1,main!$A$3:$I$56,7,FALSE),main!$K$10:$Q$14,3,FALSE),1,0)</f>
        <v>0</v>
      </c>
      <c r="R40">
        <f>IF(VLOOKUP(R$1,main!$A$3:$I$56,5,FALSE)-VLOOKUP($A40,main!$A$3:$I$56,6,FALSE)&gt;=VLOOKUP(55,main!$A$57:$I$59,4,FALSE)+VLOOKUP(VLOOKUP(R$1,main!$A$3:$I$56,7,FALSE),main!$K$10:$Q$14,3,FALSE),1,0)</f>
        <v>0</v>
      </c>
      <c r="S40">
        <f>IF(VLOOKUP(S$1,main!$A$3:$I$56,5,FALSE)-VLOOKUP($A40,main!$A$3:$I$56,6,FALSE)&gt;=VLOOKUP(55,main!$A$57:$I$59,4,FALSE)+VLOOKUP(VLOOKUP(S$1,main!$A$3:$I$56,7,FALSE),main!$K$10:$Q$14,3,FALSE),1,0)</f>
        <v>0</v>
      </c>
      <c r="T40">
        <f>IF(VLOOKUP(T$1,main!$A$3:$I$56,5,FALSE)-VLOOKUP($A40,main!$A$3:$I$56,6,FALSE)&gt;=VLOOKUP(55,main!$A$57:$I$59,4,FALSE)+VLOOKUP(VLOOKUP(T$1,main!$A$3:$I$56,7,FALSE),main!$K$10:$Q$14,3,FALSE),1,0)</f>
        <v>1</v>
      </c>
      <c r="U40">
        <f>IF(VLOOKUP(U$1,main!$A$3:$I$56,5,FALSE)-VLOOKUP($A40,main!$A$3:$I$56,6,FALSE)&gt;=VLOOKUP(55,main!$A$57:$I$59,4,FALSE)+VLOOKUP(VLOOKUP(U$1,main!$A$3:$I$56,7,FALSE),main!$K$10:$Q$14,3,FALSE),1,0)</f>
        <v>0</v>
      </c>
      <c r="V40">
        <f>IF(VLOOKUP(V$1,main!$A$3:$I$56,5,FALSE)-VLOOKUP($A40,main!$A$3:$I$56,6,FALSE)&gt;=VLOOKUP(55,main!$A$57:$I$59,4,FALSE)+VLOOKUP(VLOOKUP(V$1,main!$A$3:$I$56,7,FALSE),main!$K$10:$Q$14,3,FALSE),1,0)</f>
        <v>0</v>
      </c>
      <c r="W40">
        <f>IF(VLOOKUP(W$1,main!$A$3:$I$56,5,FALSE)-VLOOKUP($A40,main!$A$3:$I$56,6,FALSE)&gt;=VLOOKUP(55,main!$A$57:$I$59,4,FALSE)+VLOOKUP(VLOOKUP(W$1,main!$A$3:$I$56,7,FALSE),main!$K$10:$Q$14,3,FALSE),1,0)</f>
        <v>0</v>
      </c>
      <c r="X40">
        <f>IF(VLOOKUP(X$1,main!$A$3:$I$56,5,FALSE)-VLOOKUP($A40,main!$A$3:$I$56,6,FALSE)&gt;=VLOOKUP(55,main!$A$57:$I$59,4,FALSE)+VLOOKUP(VLOOKUP(X$1,main!$A$3:$I$56,7,FALSE),main!$K$10:$Q$14,3,FALSE),1,0)</f>
        <v>0</v>
      </c>
      <c r="Y40">
        <f>IF(VLOOKUP(Y$1,main!$A$3:$I$56,5,FALSE)-VLOOKUP($A40,main!$A$3:$I$56,6,FALSE)&gt;=VLOOKUP(55,main!$A$57:$I$59,4,FALSE)+VLOOKUP(VLOOKUP(Y$1,main!$A$3:$I$56,7,FALSE),main!$K$10:$Q$14,3,FALSE),1,0)</f>
        <v>0</v>
      </c>
      <c r="Z40">
        <f>IF(VLOOKUP(Z$1,main!$A$3:$I$56,5,FALSE)-VLOOKUP($A40,main!$A$3:$I$56,6,FALSE)&gt;=VLOOKUP(55,main!$A$57:$I$59,4,FALSE)+VLOOKUP(VLOOKUP(Z$1,main!$A$3:$I$56,7,FALSE),main!$K$10:$Q$14,3,FALSE),1,0)</f>
        <v>0</v>
      </c>
      <c r="AA40">
        <f>IF(VLOOKUP(AA$1,main!$A$3:$I$56,5,FALSE)-VLOOKUP($A40,main!$A$3:$I$56,6,FALSE)&gt;=VLOOKUP(55,main!$A$57:$I$59,4,FALSE)+VLOOKUP(VLOOKUP(AA$1,main!$A$3:$I$56,7,FALSE),main!$K$10:$Q$14,3,FALSE),1,0)</f>
        <v>0</v>
      </c>
      <c r="AB40">
        <f>IF(VLOOKUP(AB$1,main!$A$3:$I$56,5,FALSE)-VLOOKUP($A40,main!$A$3:$I$56,6,FALSE)&gt;=VLOOKUP(55,main!$A$57:$I$59,4,FALSE)+VLOOKUP(VLOOKUP(AB$1,main!$A$3:$I$56,7,FALSE),main!$K$10:$Q$14,3,FALSE),1,0)</f>
        <v>1</v>
      </c>
      <c r="AC40">
        <f>IF(VLOOKUP(AC$1,main!$A$3:$I$56,5,FALSE)-VLOOKUP($A40,main!$A$3:$I$56,6,FALSE)&gt;=VLOOKUP(55,main!$A$57:$I$59,4,FALSE)+VLOOKUP(VLOOKUP(AC$1,main!$A$3:$I$56,7,FALSE),main!$K$10:$Q$14,3,FALSE),1,0)</f>
        <v>0</v>
      </c>
      <c r="AD40">
        <f>IF(VLOOKUP(AD$1,main!$A$3:$I$56,5,FALSE)-VLOOKUP($A40,main!$A$3:$I$56,6,FALSE)&gt;=VLOOKUP(55,main!$A$57:$I$59,4,FALSE)+VLOOKUP(VLOOKUP(AD$1,main!$A$3:$I$56,7,FALSE),main!$K$10:$Q$14,3,FALSE),1,0)</f>
        <v>0</v>
      </c>
      <c r="AE40">
        <f>IF(VLOOKUP(AE$1,main!$A$3:$I$56,5,FALSE)-VLOOKUP($A40,main!$A$3:$I$56,6,FALSE)&gt;=VLOOKUP(55,main!$A$57:$I$59,4,FALSE)+VLOOKUP(VLOOKUP(AE$1,main!$A$3:$I$56,7,FALSE),main!$K$10:$Q$14,3,FALSE),1,0)</f>
        <v>0</v>
      </c>
      <c r="AF40">
        <f>IF(VLOOKUP(AF$1,main!$A$3:$I$56,5,FALSE)-VLOOKUP($A40,main!$A$3:$I$56,6,FALSE)&gt;=VLOOKUP(55,main!$A$57:$I$59,4,FALSE)+VLOOKUP(VLOOKUP(AF$1,main!$A$3:$I$56,7,FALSE),main!$K$10:$Q$14,3,FALSE),1,0)</f>
        <v>0</v>
      </c>
      <c r="AG40">
        <f>IF(VLOOKUP(AG$1,main!$A$3:$I$56,5,FALSE)-VLOOKUP($A40,main!$A$3:$I$56,6,FALSE)&gt;=VLOOKUP(55,main!$A$57:$I$59,4,FALSE)+VLOOKUP(VLOOKUP(AG$1,main!$A$3:$I$56,7,FALSE),main!$K$10:$Q$14,3,FALSE),1,0)</f>
        <v>0</v>
      </c>
      <c r="AH40">
        <f>IF(VLOOKUP(AH$1,main!$A$3:$I$56,5,FALSE)-VLOOKUP($A40,main!$A$3:$I$56,6,FALSE)&gt;=VLOOKUP(55,main!$A$57:$I$59,4,FALSE)+VLOOKUP(VLOOKUP(AH$1,main!$A$3:$I$56,7,FALSE),main!$K$10:$Q$14,3,FALSE),1,0)</f>
        <v>0</v>
      </c>
      <c r="AI40">
        <f>IF(VLOOKUP(AI$1,main!$A$3:$I$56,5,FALSE)-VLOOKUP($A40,main!$A$3:$I$56,6,FALSE)&gt;=VLOOKUP(55,main!$A$57:$I$59,4,FALSE)+VLOOKUP(VLOOKUP(AI$1,main!$A$3:$I$56,7,FALSE),main!$K$10:$Q$14,3,FALSE),1,0)</f>
        <v>0</v>
      </c>
      <c r="AJ40">
        <f>IF(VLOOKUP(AJ$1,main!$A$3:$I$56,5,FALSE)-VLOOKUP($A40,main!$A$3:$I$56,6,FALSE)&gt;=VLOOKUP(55,main!$A$57:$I$59,4,FALSE)+VLOOKUP(VLOOKUP(AJ$1,main!$A$3:$I$56,7,FALSE),main!$K$10:$Q$14,3,FALSE),1,0)</f>
        <v>0</v>
      </c>
      <c r="AK40">
        <f>IF(VLOOKUP(AK$1,main!$A$3:$I$56,5,FALSE)-VLOOKUP($A40,main!$A$3:$I$56,6,FALSE)&gt;=VLOOKUP(55,main!$A$57:$I$59,4,FALSE)+VLOOKUP(VLOOKUP(AK$1,main!$A$3:$I$56,7,FALSE),main!$K$10:$Q$14,3,FALSE),1,0)</f>
        <v>0</v>
      </c>
      <c r="AL40">
        <f>IF(VLOOKUP(AL$1,main!$A$3:$I$56,5,FALSE)-VLOOKUP($A40,main!$A$3:$I$56,6,FALSE)&gt;=VLOOKUP(55,main!$A$57:$I$59,4,FALSE)+VLOOKUP(VLOOKUP(AL$1,main!$A$3:$I$56,7,FALSE),main!$K$10:$Q$14,3,FALSE),1,0)</f>
        <v>0</v>
      </c>
      <c r="AM40">
        <f>IF(VLOOKUP(AM$1,main!$A$3:$I$56,5,FALSE)-VLOOKUP($A40,main!$A$3:$I$56,6,FALSE)&gt;=VLOOKUP(55,main!$A$57:$I$59,4,FALSE)+VLOOKUP(VLOOKUP(AM$1,main!$A$3:$I$56,7,FALSE),main!$K$10:$Q$14,3,FALSE),1,0)</f>
        <v>0</v>
      </c>
      <c r="AN40">
        <f>IF(VLOOKUP(AN$1,main!$A$3:$I$56,5,FALSE)-VLOOKUP($A40,main!$A$3:$I$56,6,FALSE)&gt;=VLOOKUP(55,main!$A$57:$I$59,4,FALSE)+VLOOKUP(VLOOKUP(AN$1,main!$A$3:$I$56,7,FALSE),main!$K$10:$Q$14,3,FALSE),1,0)</f>
        <v>0</v>
      </c>
      <c r="AO40">
        <f>IF(VLOOKUP(AO$1,main!$A$3:$I$56,5,FALSE)-VLOOKUP($A40,main!$A$3:$I$56,6,FALSE)&gt;=VLOOKUP(55,main!$A$57:$I$59,4,FALSE)+VLOOKUP(VLOOKUP(AO$1,main!$A$3:$I$56,7,FALSE),main!$K$10:$Q$14,3,FALSE),1,0)</f>
        <v>0</v>
      </c>
      <c r="AP40">
        <f>IF(VLOOKUP(AP$1,main!$A$3:$I$56,5,FALSE)-VLOOKUP($A40,main!$A$3:$I$56,6,FALSE)&gt;=VLOOKUP(55,main!$A$57:$I$59,4,FALSE)+VLOOKUP(VLOOKUP(AP$1,main!$A$3:$I$56,7,FALSE),main!$K$10:$Q$14,3,FALSE),1,0)</f>
        <v>0</v>
      </c>
      <c r="AQ40">
        <f>IF(VLOOKUP(AQ$1,main!$A$3:$I$56,5,FALSE)-VLOOKUP($A40,main!$A$3:$I$56,6,FALSE)&gt;=VLOOKUP(55,main!$A$57:$I$59,4,FALSE)+VLOOKUP(VLOOKUP(AQ$1,main!$A$3:$I$56,7,FALSE),main!$K$10:$Q$14,3,FALSE),1,0)</f>
        <v>0</v>
      </c>
      <c r="AR40">
        <f>IF(VLOOKUP(AR$1,main!$A$3:$I$56,5,FALSE)-VLOOKUP($A40,main!$A$3:$I$56,6,FALSE)&gt;=VLOOKUP(55,main!$A$57:$I$59,4,FALSE)+VLOOKUP(VLOOKUP(AR$1,main!$A$3:$I$56,7,FALSE),main!$K$10:$Q$14,3,FALSE),1,0)</f>
        <v>0</v>
      </c>
      <c r="AS40">
        <f>IF(VLOOKUP(AS$1,main!$A$3:$I$56,5,FALSE)-VLOOKUP($A40,main!$A$3:$I$56,6,FALSE)&gt;=VLOOKUP(55,main!$A$57:$I$59,4,FALSE)+VLOOKUP(VLOOKUP(AS$1,main!$A$3:$I$56,7,FALSE),main!$K$10:$Q$14,3,FALSE),1,0)</f>
        <v>0</v>
      </c>
      <c r="AT40">
        <f>IF(VLOOKUP(AT$1,main!$A$3:$I$56,5,FALSE)-VLOOKUP($A40,main!$A$3:$I$56,6,FALSE)&gt;=VLOOKUP(55,main!$A$57:$I$59,4,FALSE)+VLOOKUP(VLOOKUP(AT$1,main!$A$3:$I$56,7,FALSE),main!$K$10:$Q$14,3,FALSE),1,0)</f>
        <v>0</v>
      </c>
      <c r="AU40">
        <f>IF(VLOOKUP(AU$1,main!$A$3:$I$56,5,FALSE)-VLOOKUP($A40,main!$A$3:$I$56,6,FALSE)&gt;=VLOOKUP(55,main!$A$57:$I$59,4,FALSE)+VLOOKUP(VLOOKUP(AU$1,main!$A$3:$I$56,7,FALSE),main!$K$10:$Q$14,3,FALSE),1,0)</f>
        <v>0</v>
      </c>
      <c r="AV40">
        <f>IF(VLOOKUP(AV$1,main!$A$3:$I$56,5,FALSE)-VLOOKUP($A40,main!$A$3:$I$56,6,FALSE)&gt;=VLOOKUP(55,main!$A$57:$I$59,4,FALSE)+VLOOKUP(VLOOKUP(AV$1,main!$A$3:$I$56,7,FALSE),main!$K$10:$Q$14,3,FALSE),1,0)</f>
        <v>0</v>
      </c>
      <c r="AW40">
        <f>IF(VLOOKUP(AW$1,main!$A$3:$I$56,5,FALSE)-VLOOKUP($A40,main!$A$3:$I$56,6,FALSE)&gt;=VLOOKUP(55,main!$A$57:$I$59,4,FALSE)+VLOOKUP(VLOOKUP(AW$1,main!$A$3:$I$56,7,FALSE),main!$K$10:$Q$14,3,FALSE),1,0)</f>
        <v>0</v>
      </c>
      <c r="AX40">
        <f>IF(VLOOKUP(AX$1,main!$A$3:$I$56,5,FALSE)-VLOOKUP($A40,main!$A$3:$I$56,6,FALSE)&gt;=VLOOKUP(55,main!$A$57:$I$59,4,FALSE)+VLOOKUP(VLOOKUP(AX$1,main!$A$3:$I$56,7,FALSE),main!$K$10:$Q$14,3,FALSE),1,0)</f>
        <v>0</v>
      </c>
      <c r="AY40">
        <f>IF(VLOOKUP(AY$1,main!$A$3:$I$56,5,FALSE)-VLOOKUP($A40,main!$A$3:$I$56,6,FALSE)&gt;=VLOOKUP(55,main!$A$57:$I$59,4,FALSE)+VLOOKUP(VLOOKUP(AY$1,main!$A$3:$I$56,7,FALSE),main!$K$10:$Q$14,3,FALSE),1,0)</f>
        <v>1</v>
      </c>
      <c r="AZ40">
        <f>IF(VLOOKUP(AZ$1,main!$A$3:$I$56,5,FALSE)-VLOOKUP($A40,main!$A$3:$I$56,6,FALSE)&gt;=VLOOKUP(55,main!$A$57:$I$59,4,FALSE)+VLOOKUP(VLOOKUP(AZ$1,main!$A$3:$I$56,7,FALSE),main!$K$10:$Q$14,3,FALSE),1,0)</f>
        <v>0</v>
      </c>
      <c r="BA40">
        <f>IF(VLOOKUP(BA$1,main!$A$3:$I$56,5,FALSE)-VLOOKUP($A40,main!$A$3:$I$56,6,FALSE)&gt;=VLOOKUP(55,main!$A$57:$I$59,4,FALSE)+VLOOKUP(VLOOKUP(BA$1,main!$A$3:$I$56,7,FALSE),main!$K$10:$Q$14,3,FALSE),1,0)</f>
        <v>0</v>
      </c>
      <c r="BB40">
        <f>IF(VLOOKUP(BB$1,main!$A$3:$I$56,5,FALSE)-VLOOKUP($A40,main!$A$3:$I$56,6,FALSE)&gt;=VLOOKUP(55,main!$A$57:$I$59,4,FALSE)+VLOOKUP(VLOOKUP(BB$1,main!$A$3:$I$56,7,FALSE),main!$K$10:$Q$14,3,FALSE),1,0)</f>
        <v>0</v>
      </c>
      <c r="BC40">
        <f>IF(VLOOKUP(BC$1,main!$A$3:$I$56,5,FALSE)-VLOOKUP($A40,main!$A$3:$I$56,6,FALSE)&gt;=VLOOKUP(55,main!$A$57:$I$59,4,FALSE)+VLOOKUP(VLOOKUP(BC$1,main!$A$3:$I$56,7,FALSE),main!$K$10:$Q$14,3,FALSE),1,0)</f>
        <v>0</v>
      </c>
      <c r="BD40">
        <f>IF(VLOOKUP(BD$1,main!$A$3:$I$56,5,FALSE)-VLOOKUP($A40,main!$A$3:$I$56,6,FALSE)&gt;=VLOOKUP(55,main!$A$57:$I$59,4,FALSE)+VLOOKUP(VLOOKUP(BD$1,main!$A$3:$I$56,7,FALSE),main!$K$10:$Q$14,3,FALSE),1,0)</f>
        <v>0</v>
      </c>
    </row>
    <row r="41" spans="1:56" x14ac:dyDescent="0.25">
      <c r="A41">
        <f t="shared" si="0"/>
        <v>39</v>
      </c>
      <c r="B41">
        <v>0</v>
      </c>
      <c r="C41">
        <f>IF(VLOOKUP(C$1,main!$A$3:$I$56,5,FALSE)-VLOOKUP($A41,main!$A$3:$I$56,6,FALSE)&gt;=VLOOKUP(55,main!$A$57:$I$59,4,FALSE)+VLOOKUP(VLOOKUP(C$1,main!$A$3:$I$56,7,FALSE),main!$K$10:$Q$14,3,FALSE),1,0)</f>
        <v>0</v>
      </c>
      <c r="D41">
        <f>IF(VLOOKUP(D$1,main!$A$3:$I$56,5,FALSE)-VLOOKUP($A41,main!$A$3:$I$56,6,FALSE)&gt;=VLOOKUP(55,main!$A$57:$I$59,4,FALSE)+VLOOKUP(VLOOKUP(D$1,main!$A$3:$I$56,7,FALSE),main!$K$10:$Q$14,3,FALSE),1,0)</f>
        <v>0</v>
      </c>
      <c r="E41">
        <f>IF(VLOOKUP(E$1,main!$A$3:$I$56,5,FALSE)-VLOOKUP($A41,main!$A$3:$I$56,6,FALSE)&gt;=VLOOKUP(55,main!$A$57:$I$59,4,FALSE)+VLOOKUP(VLOOKUP(E$1,main!$A$3:$I$56,7,FALSE),main!$K$10:$Q$14,3,FALSE),1,0)</f>
        <v>0</v>
      </c>
      <c r="F41">
        <f>IF(VLOOKUP(F$1,main!$A$3:$I$56,5,FALSE)-VLOOKUP($A41,main!$A$3:$I$56,6,FALSE)&gt;=VLOOKUP(55,main!$A$57:$I$59,4,FALSE)+VLOOKUP(VLOOKUP(F$1,main!$A$3:$I$56,7,FALSE),main!$K$10:$Q$14,3,FALSE),1,0)</f>
        <v>0</v>
      </c>
      <c r="G41">
        <f>IF(VLOOKUP(G$1,main!$A$3:$I$56,5,FALSE)-VLOOKUP($A41,main!$A$3:$I$56,6,FALSE)&gt;=VLOOKUP(55,main!$A$57:$I$59,4,FALSE)+VLOOKUP(VLOOKUP(G$1,main!$A$3:$I$56,7,FALSE),main!$K$10:$Q$14,3,FALSE),1,0)</f>
        <v>0</v>
      </c>
      <c r="H41">
        <f>IF(VLOOKUP(H$1,main!$A$3:$I$56,5,FALSE)-VLOOKUP($A41,main!$A$3:$I$56,6,FALSE)&gt;=VLOOKUP(55,main!$A$57:$I$59,4,FALSE)+VLOOKUP(VLOOKUP(H$1,main!$A$3:$I$56,7,FALSE),main!$K$10:$Q$14,3,FALSE),1,0)</f>
        <v>0</v>
      </c>
      <c r="I41">
        <f>IF(VLOOKUP(I$1,main!$A$3:$I$56,5,FALSE)-VLOOKUP($A41,main!$A$3:$I$56,6,FALSE)&gt;=VLOOKUP(55,main!$A$57:$I$59,4,FALSE)+VLOOKUP(VLOOKUP(I$1,main!$A$3:$I$56,7,FALSE),main!$K$10:$Q$14,3,FALSE),1,0)</f>
        <v>0</v>
      </c>
      <c r="J41">
        <f>IF(VLOOKUP(J$1,main!$A$3:$I$56,5,FALSE)-VLOOKUP($A41,main!$A$3:$I$56,6,FALSE)&gt;=VLOOKUP(55,main!$A$57:$I$59,4,FALSE)+VLOOKUP(VLOOKUP(J$1,main!$A$3:$I$56,7,FALSE),main!$K$10:$Q$14,3,FALSE),1,0)</f>
        <v>1</v>
      </c>
      <c r="K41">
        <f>IF(VLOOKUP(K$1,main!$A$3:$I$56,5,FALSE)-VLOOKUP($A41,main!$A$3:$I$56,6,FALSE)&gt;=VLOOKUP(55,main!$A$57:$I$59,4,FALSE)+VLOOKUP(VLOOKUP(K$1,main!$A$3:$I$56,7,FALSE),main!$K$10:$Q$14,3,FALSE),1,0)</f>
        <v>0</v>
      </c>
      <c r="L41">
        <f>IF(VLOOKUP(L$1,main!$A$3:$I$56,5,FALSE)-VLOOKUP($A41,main!$A$3:$I$56,6,FALSE)&gt;=VLOOKUP(55,main!$A$57:$I$59,4,FALSE)+VLOOKUP(VLOOKUP(L$1,main!$A$3:$I$56,7,FALSE),main!$K$10:$Q$14,3,FALSE),1,0)</f>
        <v>0</v>
      </c>
      <c r="M41">
        <f>IF(VLOOKUP(M$1,main!$A$3:$I$56,5,FALSE)-VLOOKUP($A41,main!$A$3:$I$56,6,FALSE)&gt;=VLOOKUP(55,main!$A$57:$I$59,4,FALSE)+VLOOKUP(VLOOKUP(M$1,main!$A$3:$I$56,7,FALSE),main!$K$10:$Q$14,3,FALSE),1,0)</f>
        <v>0</v>
      </c>
      <c r="N41">
        <f>IF(VLOOKUP(N$1,main!$A$3:$I$56,5,FALSE)-VLOOKUP($A41,main!$A$3:$I$56,6,FALSE)&gt;=VLOOKUP(55,main!$A$57:$I$59,4,FALSE)+VLOOKUP(VLOOKUP(N$1,main!$A$3:$I$56,7,FALSE),main!$K$10:$Q$14,3,FALSE),1,0)</f>
        <v>0</v>
      </c>
      <c r="O41">
        <f>IF(VLOOKUP(O$1,main!$A$3:$I$56,5,FALSE)-VLOOKUP($A41,main!$A$3:$I$56,6,FALSE)&gt;=VLOOKUP(55,main!$A$57:$I$59,4,FALSE)+VLOOKUP(VLOOKUP(O$1,main!$A$3:$I$56,7,FALSE),main!$K$10:$Q$14,3,FALSE),1,0)</f>
        <v>1</v>
      </c>
      <c r="P41">
        <f>IF(VLOOKUP(P$1,main!$A$3:$I$56,5,FALSE)-VLOOKUP($A41,main!$A$3:$I$56,6,FALSE)&gt;=VLOOKUP(55,main!$A$57:$I$59,4,FALSE)+VLOOKUP(VLOOKUP(P$1,main!$A$3:$I$56,7,FALSE),main!$K$10:$Q$14,3,FALSE),1,0)</f>
        <v>0</v>
      </c>
      <c r="Q41">
        <f>IF(VLOOKUP(Q$1,main!$A$3:$I$56,5,FALSE)-VLOOKUP($A41,main!$A$3:$I$56,6,FALSE)&gt;=VLOOKUP(55,main!$A$57:$I$59,4,FALSE)+VLOOKUP(VLOOKUP(Q$1,main!$A$3:$I$56,7,FALSE),main!$K$10:$Q$14,3,FALSE),1,0)</f>
        <v>0</v>
      </c>
      <c r="R41">
        <f>IF(VLOOKUP(R$1,main!$A$3:$I$56,5,FALSE)-VLOOKUP($A41,main!$A$3:$I$56,6,FALSE)&gt;=VLOOKUP(55,main!$A$57:$I$59,4,FALSE)+VLOOKUP(VLOOKUP(R$1,main!$A$3:$I$56,7,FALSE),main!$K$10:$Q$14,3,FALSE),1,0)</f>
        <v>0</v>
      </c>
      <c r="S41">
        <f>IF(VLOOKUP(S$1,main!$A$3:$I$56,5,FALSE)-VLOOKUP($A41,main!$A$3:$I$56,6,FALSE)&gt;=VLOOKUP(55,main!$A$57:$I$59,4,FALSE)+VLOOKUP(VLOOKUP(S$1,main!$A$3:$I$56,7,FALSE),main!$K$10:$Q$14,3,FALSE),1,0)</f>
        <v>0</v>
      </c>
      <c r="T41">
        <f>IF(VLOOKUP(T$1,main!$A$3:$I$56,5,FALSE)-VLOOKUP($A41,main!$A$3:$I$56,6,FALSE)&gt;=VLOOKUP(55,main!$A$57:$I$59,4,FALSE)+VLOOKUP(VLOOKUP(T$1,main!$A$3:$I$56,7,FALSE),main!$K$10:$Q$14,3,FALSE),1,0)</f>
        <v>0</v>
      </c>
      <c r="U41">
        <f>IF(VLOOKUP(U$1,main!$A$3:$I$56,5,FALSE)-VLOOKUP($A41,main!$A$3:$I$56,6,FALSE)&gt;=VLOOKUP(55,main!$A$57:$I$59,4,FALSE)+VLOOKUP(VLOOKUP(U$1,main!$A$3:$I$56,7,FALSE),main!$K$10:$Q$14,3,FALSE),1,0)</f>
        <v>0</v>
      </c>
      <c r="V41">
        <f>IF(VLOOKUP(V$1,main!$A$3:$I$56,5,FALSE)-VLOOKUP($A41,main!$A$3:$I$56,6,FALSE)&gt;=VLOOKUP(55,main!$A$57:$I$59,4,FALSE)+VLOOKUP(VLOOKUP(V$1,main!$A$3:$I$56,7,FALSE),main!$K$10:$Q$14,3,FALSE),1,0)</f>
        <v>0</v>
      </c>
      <c r="W41">
        <f>IF(VLOOKUP(W$1,main!$A$3:$I$56,5,FALSE)-VLOOKUP($A41,main!$A$3:$I$56,6,FALSE)&gt;=VLOOKUP(55,main!$A$57:$I$59,4,FALSE)+VLOOKUP(VLOOKUP(W$1,main!$A$3:$I$56,7,FALSE),main!$K$10:$Q$14,3,FALSE),1,0)</f>
        <v>0</v>
      </c>
      <c r="X41">
        <f>IF(VLOOKUP(X$1,main!$A$3:$I$56,5,FALSE)-VLOOKUP($A41,main!$A$3:$I$56,6,FALSE)&gt;=VLOOKUP(55,main!$A$57:$I$59,4,FALSE)+VLOOKUP(VLOOKUP(X$1,main!$A$3:$I$56,7,FALSE),main!$K$10:$Q$14,3,FALSE),1,0)</f>
        <v>0</v>
      </c>
      <c r="Y41">
        <f>IF(VLOOKUP(Y$1,main!$A$3:$I$56,5,FALSE)-VLOOKUP($A41,main!$A$3:$I$56,6,FALSE)&gt;=VLOOKUP(55,main!$A$57:$I$59,4,FALSE)+VLOOKUP(VLOOKUP(Y$1,main!$A$3:$I$56,7,FALSE),main!$K$10:$Q$14,3,FALSE),1,0)</f>
        <v>0</v>
      </c>
      <c r="Z41">
        <f>IF(VLOOKUP(Z$1,main!$A$3:$I$56,5,FALSE)-VLOOKUP($A41,main!$A$3:$I$56,6,FALSE)&gt;=VLOOKUP(55,main!$A$57:$I$59,4,FALSE)+VLOOKUP(VLOOKUP(Z$1,main!$A$3:$I$56,7,FALSE),main!$K$10:$Q$14,3,FALSE),1,0)</f>
        <v>0</v>
      </c>
      <c r="AA41">
        <f>IF(VLOOKUP(AA$1,main!$A$3:$I$56,5,FALSE)-VLOOKUP($A41,main!$A$3:$I$56,6,FALSE)&gt;=VLOOKUP(55,main!$A$57:$I$59,4,FALSE)+VLOOKUP(VLOOKUP(AA$1,main!$A$3:$I$56,7,FALSE),main!$K$10:$Q$14,3,FALSE),1,0)</f>
        <v>0</v>
      </c>
      <c r="AB41">
        <f>IF(VLOOKUP(AB$1,main!$A$3:$I$56,5,FALSE)-VLOOKUP($A41,main!$A$3:$I$56,6,FALSE)&gt;=VLOOKUP(55,main!$A$57:$I$59,4,FALSE)+VLOOKUP(VLOOKUP(AB$1,main!$A$3:$I$56,7,FALSE),main!$K$10:$Q$14,3,FALSE),1,0)</f>
        <v>0</v>
      </c>
      <c r="AC41">
        <f>IF(VLOOKUP(AC$1,main!$A$3:$I$56,5,FALSE)-VLOOKUP($A41,main!$A$3:$I$56,6,FALSE)&gt;=VLOOKUP(55,main!$A$57:$I$59,4,FALSE)+VLOOKUP(VLOOKUP(AC$1,main!$A$3:$I$56,7,FALSE),main!$K$10:$Q$14,3,FALSE),1,0)</f>
        <v>0</v>
      </c>
      <c r="AD41">
        <f>IF(VLOOKUP(AD$1,main!$A$3:$I$56,5,FALSE)-VLOOKUP($A41,main!$A$3:$I$56,6,FALSE)&gt;=VLOOKUP(55,main!$A$57:$I$59,4,FALSE)+VLOOKUP(VLOOKUP(AD$1,main!$A$3:$I$56,7,FALSE),main!$K$10:$Q$14,3,FALSE),1,0)</f>
        <v>0</v>
      </c>
      <c r="AE41">
        <f>IF(VLOOKUP(AE$1,main!$A$3:$I$56,5,FALSE)-VLOOKUP($A41,main!$A$3:$I$56,6,FALSE)&gt;=VLOOKUP(55,main!$A$57:$I$59,4,FALSE)+VLOOKUP(VLOOKUP(AE$1,main!$A$3:$I$56,7,FALSE),main!$K$10:$Q$14,3,FALSE),1,0)</f>
        <v>0</v>
      </c>
      <c r="AF41">
        <f>IF(VLOOKUP(AF$1,main!$A$3:$I$56,5,FALSE)-VLOOKUP($A41,main!$A$3:$I$56,6,FALSE)&gt;=VLOOKUP(55,main!$A$57:$I$59,4,FALSE)+VLOOKUP(VLOOKUP(AF$1,main!$A$3:$I$56,7,FALSE),main!$K$10:$Q$14,3,FALSE),1,0)</f>
        <v>0</v>
      </c>
      <c r="AG41">
        <f>IF(VLOOKUP(AG$1,main!$A$3:$I$56,5,FALSE)-VLOOKUP($A41,main!$A$3:$I$56,6,FALSE)&gt;=VLOOKUP(55,main!$A$57:$I$59,4,FALSE)+VLOOKUP(VLOOKUP(AG$1,main!$A$3:$I$56,7,FALSE),main!$K$10:$Q$14,3,FALSE),1,0)</f>
        <v>0</v>
      </c>
      <c r="AH41">
        <f>IF(VLOOKUP(AH$1,main!$A$3:$I$56,5,FALSE)-VLOOKUP($A41,main!$A$3:$I$56,6,FALSE)&gt;=VLOOKUP(55,main!$A$57:$I$59,4,FALSE)+VLOOKUP(VLOOKUP(AH$1,main!$A$3:$I$56,7,FALSE),main!$K$10:$Q$14,3,FALSE),1,0)</f>
        <v>0</v>
      </c>
      <c r="AI41">
        <f>IF(VLOOKUP(AI$1,main!$A$3:$I$56,5,FALSE)-VLOOKUP($A41,main!$A$3:$I$56,6,FALSE)&gt;=VLOOKUP(55,main!$A$57:$I$59,4,FALSE)+VLOOKUP(VLOOKUP(AI$1,main!$A$3:$I$56,7,FALSE),main!$K$10:$Q$14,3,FALSE),1,0)</f>
        <v>0</v>
      </c>
      <c r="AJ41">
        <f>IF(VLOOKUP(AJ$1,main!$A$3:$I$56,5,FALSE)-VLOOKUP($A41,main!$A$3:$I$56,6,FALSE)&gt;=VLOOKUP(55,main!$A$57:$I$59,4,FALSE)+VLOOKUP(VLOOKUP(AJ$1,main!$A$3:$I$56,7,FALSE),main!$K$10:$Q$14,3,FALSE),1,0)</f>
        <v>0</v>
      </c>
      <c r="AK41">
        <f>IF(VLOOKUP(AK$1,main!$A$3:$I$56,5,FALSE)-VLOOKUP($A41,main!$A$3:$I$56,6,FALSE)&gt;=VLOOKUP(55,main!$A$57:$I$59,4,FALSE)+VLOOKUP(VLOOKUP(AK$1,main!$A$3:$I$56,7,FALSE),main!$K$10:$Q$14,3,FALSE),1,0)</f>
        <v>0</v>
      </c>
      <c r="AL41">
        <f>IF(VLOOKUP(AL$1,main!$A$3:$I$56,5,FALSE)-VLOOKUP($A41,main!$A$3:$I$56,6,FALSE)&gt;=VLOOKUP(55,main!$A$57:$I$59,4,FALSE)+VLOOKUP(VLOOKUP(AL$1,main!$A$3:$I$56,7,FALSE),main!$K$10:$Q$14,3,FALSE),1,0)</f>
        <v>0</v>
      </c>
      <c r="AM41">
        <f>IF(VLOOKUP(AM$1,main!$A$3:$I$56,5,FALSE)-VLOOKUP($A41,main!$A$3:$I$56,6,FALSE)&gt;=VLOOKUP(55,main!$A$57:$I$59,4,FALSE)+VLOOKUP(VLOOKUP(AM$1,main!$A$3:$I$56,7,FALSE),main!$K$10:$Q$14,3,FALSE),1,0)</f>
        <v>0</v>
      </c>
      <c r="AN41">
        <f>IF(VLOOKUP(AN$1,main!$A$3:$I$56,5,FALSE)-VLOOKUP($A41,main!$A$3:$I$56,6,FALSE)&gt;=VLOOKUP(55,main!$A$57:$I$59,4,FALSE)+VLOOKUP(VLOOKUP(AN$1,main!$A$3:$I$56,7,FALSE),main!$K$10:$Q$14,3,FALSE),1,0)</f>
        <v>0</v>
      </c>
      <c r="AO41">
        <f>IF(VLOOKUP(AO$1,main!$A$3:$I$56,5,FALSE)-VLOOKUP($A41,main!$A$3:$I$56,6,FALSE)&gt;=VLOOKUP(55,main!$A$57:$I$59,4,FALSE)+VLOOKUP(VLOOKUP(AO$1,main!$A$3:$I$56,7,FALSE),main!$K$10:$Q$14,3,FALSE),1,0)</f>
        <v>0</v>
      </c>
      <c r="AP41">
        <f>IF(VLOOKUP(AP$1,main!$A$3:$I$56,5,FALSE)-VLOOKUP($A41,main!$A$3:$I$56,6,FALSE)&gt;=VLOOKUP(55,main!$A$57:$I$59,4,FALSE)+VLOOKUP(VLOOKUP(AP$1,main!$A$3:$I$56,7,FALSE),main!$K$10:$Q$14,3,FALSE),1,0)</f>
        <v>0</v>
      </c>
      <c r="AQ41">
        <f>IF(VLOOKUP(AQ$1,main!$A$3:$I$56,5,FALSE)-VLOOKUP($A41,main!$A$3:$I$56,6,FALSE)&gt;=VLOOKUP(55,main!$A$57:$I$59,4,FALSE)+VLOOKUP(VLOOKUP(AQ$1,main!$A$3:$I$56,7,FALSE),main!$K$10:$Q$14,3,FALSE),1,0)</f>
        <v>0</v>
      </c>
      <c r="AR41">
        <f>IF(VLOOKUP(AR$1,main!$A$3:$I$56,5,FALSE)-VLOOKUP($A41,main!$A$3:$I$56,6,FALSE)&gt;=VLOOKUP(55,main!$A$57:$I$59,4,FALSE)+VLOOKUP(VLOOKUP(AR$1,main!$A$3:$I$56,7,FALSE),main!$K$10:$Q$14,3,FALSE),1,0)</f>
        <v>0</v>
      </c>
      <c r="AS41">
        <f>IF(VLOOKUP(AS$1,main!$A$3:$I$56,5,FALSE)-VLOOKUP($A41,main!$A$3:$I$56,6,FALSE)&gt;=VLOOKUP(55,main!$A$57:$I$59,4,FALSE)+VLOOKUP(VLOOKUP(AS$1,main!$A$3:$I$56,7,FALSE),main!$K$10:$Q$14,3,FALSE),1,0)</f>
        <v>0</v>
      </c>
      <c r="AT41">
        <f>IF(VLOOKUP(AT$1,main!$A$3:$I$56,5,FALSE)-VLOOKUP($A41,main!$A$3:$I$56,6,FALSE)&gt;=VLOOKUP(55,main!$A$57:$I$59,4,FALSE)+VLOOKUP(VLOOKUP(AT$1,main!$A$3:$I$56,7,FALSE),main!$K$10:$Q$14,3,FALSE),1,0)</f>
        <v>0</v>
      </c>
      <c r="AU41">
        <f>IF(VLOOKUP(AU$1,main!$A$3:$I$56,5,FALSE)-VLOOKUP($A41,main!$A$3:$I$56,6,FALSE)&gt;=VLOOKUP(55,main!$A$57:$I$59,4,FALSE)+VLOOKUP(VLOOKUP(AU$1,main!$A$3:$I$56,7,FALSE),main!$K$10:$Q$14,3,FALSE),1,0)</f>
        <v>0</v>
      </c>
      <c r="AV41">
        <f>IF(VLOOKUP(AV$1,main!$A$3:$I$56,5,FALSE)-VLOOKUP($A41,main!$A$3:$I$56,6,FALSE)&gt;=VLOOKUP(55,main!$A$57:$I$59,4,FALSE)+VLOOKUP(VLOOKUP(AV$1,main!$A$3:$I$56,7,FALSE),main!$K$10:$Q$14,3,FALSE),1,0)</f>
        <v>0</v>
      </c>
      <c r="AW41">
        <f>IF(VLOOKUP(AW$1,main!$A$3:$I$56,5,FALSE)-VLOOKUP($A41,main!$A$3:$I$56,6,FALSE)&gt;=VLOOKUP(55,main!$A$57:$I$59,4,FALSE)+VLOOKUP(VLOOKUP(AW$1,main!$A$3:$I$56,7,FALSE),main!$K$10:$Q$14,3,FALSE),1,0)</f>
        <v>0</v>
      </c>
      <c r="AX41">
        <f>IF(VLOOKUP(AX$1,main!$A$3:$I$56,5,FALSE)-VLOOKUP($A41,main!$A$3:$I$56,6,FALSE)&gt;=VLOOKUP(55,main!$A$57:$I$59,4,FALSE)+VLOOKUP(VLOOKUP(AX$1,main!$A$3:$I$56,7,FALSE),main!$K$10:$Q$14,3,FALSE),1,0)</f>
        <v>0</v>
      </c>
      <c r="AY41">
        <f>IF(VLOOKUP(AY$1,main!$A$3:$I$56,5,FALSE)-VLOOKUP($A41,main!$A$3:$I$56,6,FALSE)&gt;=VLOOKUP(55,main!$A$57:$I$59,4,FALSE)+VLOOKUP(VLOOKUP(AY$1,main!$A$3:$I$56,7,FALSE),main!$K$10:$Q$14,3,FALSE),1,0)</f>
        <v>1</v>
      </c>
      <c r="AZ41">
        <f>IF(VLOOKUP(AZ$1,main!$A$3:$I$56,5,FALSE)-VLOOKUP($A41,main!$A$3:$I$56,6,FALSE)&gt;=VLOOKUP(55,main!$A$57:$I$59,4,FALSE)+VLOOKUP(VLOOKUP(AZ$1,main!$A$3:$I$56,7,FALSE),main!$K$10:$Q$14,3,FALSE),1,0)</f>
        <v>0</v>
      </c>
      <c r="BA41">
        <f>IF(VLOOKUP(BA$1,main!$A$3:$I$56,5,FALSE)-VLOOKUP($A41,main!$A$3:$I$56,6,FALSE)&gt;=VLOOKUP(55,main!$A$57:$I$59,4,FALSE)+VLOOKUP(VLOOKUP(BA$1,main!$A$3:$I$56,7,FALSE),main!$K$10:$Q$14,3,FALSE),1,0)</f>
        <v>0</v>
      </c>
      <c r="BB41">
        <f>IF(VLOOKUP(BB$1,main!$A$3:$I$56,5,FALSE)-VLOOKUP($A41,main!$A$3:$I$56,6,FALSE)&gt;=VLOOKUP(55,main!$A$57:$I$59,4,FALSE)+VLOOKUP(VLOOKUP(BB$1,main!$A$3:$I$56,7,FALSE),main!$K$10:$Q$14,3,FALSE),1,0)</f>
        <v>0</v>
      </c>
      <c r="BC41">
        <f>IF(VLOOKUP(BC$1,main!$A$3:$I$56,5,FALSE)-VLOOKUP($A41,main!$A$3:$I$56,6,FALSE)&gt;=VLOOKUP(55,main!$A$57:$I$59,4,FALSE)+VLOOKUP(VLOOKUP(BC$1,main!$A$3:$I$56,7,FALSE),main!$K$10:$Q$14,3,FALSE),1,0)</f>
        <v>0</v>
      </c>
      <c r="BD41">
        <f>IF(VLOOKUP(BD$1,main!$A$3:$I$56,5,FALSE)-VLOOKUP($A41,main!$A$3:$I$56,6,FALSE)&gt;=VLOOKUP(55,main!$A$57:$I$59,4,FALSE)+VLOOKUP(VLOOKUP(BD$1,main!$A$3:$I$56,7,FALSE),main!$K$10:$Q$14,3,FALSE),1,0)</f>
        <v>0</v>
      </c>
    </row>
    <row r="42" spans="1:56" x14ac:dyDescent="0.25">
      <c r="A42">
        <f t="shared" si="0"/>
        <v>40</v>
      </c>
      <c r="B42">
        <v>0</v>
      </c>
      <c r="C42">
        <f>IF(VLOOKUP(C$1,main!$A$3:$I$56,5,FALSE)-VLOOKUP($A42,main!$A$3:$I$56,6,FALSE)&gt;=VLOOKUP(55,main!$A$57:$I$59,4,FALSE)+VLOOKUP(VLOOKUP(C$1,main!$A$3:$I$56,7,FALSE),main!$K$10:$Q$14,3,FALSE),1,0)</f>
        <v>0</v>
      </c>
      <c r="D42">
        <f>IF(VLOOKUP(D$1,main!$A$3:$I$56,5,FALSE)-VLOOKUP($A42,main!$A$3:$I$56,6,FALSE)&gt;=VLOOKUP(55,main!$A$57:$I$59,4,FALSE)+VLOOKUP(VLOOKUP(D$1,main!$A$3:$I$56,7,FALSE),main!$K$10:$Q$14,3,FALSE),1,0)</f>
        <v>1</v>
      </c>
      <c r="E42">
        <f>IF(VLOOKUP(E$1,main!$A$3:$I$56,5,FALSE)-VLOOKUP($A42,main!$A$3:$I$56,6,FALSE)&gt;=VLOOKUP(55,main!$A$57:$I$59,4,FALSE)+VLOOKUP(VLOOKUP(E$1,main!$A$3:$I$56,7,FALSE),main!$K$10:$Q$14,3,FALSE),1,0)</f>
        <v>1</v>
      </c>
      <c r="F42">
        <f>IF(VLOOKUP(F$1,main!$A$3:$I$56,5,FALSE)-VLOOKUP($A42,main!$A$3:$I$56,6,FALSE)&gt;=VLOOKUP(55,main!$A$57:$I$59,4,FALSE)+VLOOKUP(VLOOKUP(F$1,main!$A$3:$I$56,7,FALSE),main!$K$10:$Q$14,3,FALSE),1,0)</f>
        <v>1</v>
      </c>
      <c r="G42">
        <f>IF(VLOOKUP(G$1,main!$A$3:$I$56,5,FALSE)-VLOOKUP($A42,main!$A$3:$I$56,6,FALSE)&gt;=VLOOKUP(55,main!$A$57:$I$59,4,FALSE)+VLOOKUP(VLOOKUP(G$1,main!$A$3:$I$56,7,FALSE),main!$K$10:$Q$14,3,FALSE),1,0)</f>
        <v>1</v>
      </c>
      <c r="H42">
        <f>IF(VLOOKUP(H$1,main!$A$3:$I$56,5,FALSE)-VLOOKUP($A42,main!$A$3:$I$56,6,FALSE)&gt;=VLOOKUP(55,main!$A$57:$I$59,4,FALSE)+VLOOKUP(VLOOKUP(H$1,main!$A$3:$I$56,7,FALSE),main!$K$10:$Q$14,3,FALSE),1,0)</f>
        <v>1</v>
      </c>
      <c r="I42">
        <f>IF(VLOOKUP(I$1,main!$A$3:$I$56,5,FALSE)-VLOOKUP($A42,main!$A$3:$I$56,6,FALSE)&gt;=VLOOKUP(55,main!$A$57:$I$59,4,FALSE)+VLOOKUP(VLOOKUP(I$1,main!$A$3:$I$56,7,FALSE),main!$K$10:$Q$14,3,FALSE),1,0)</f>
        <v>1</v>
      </c>
      <c r="J42">
        <f>IF(VLOOKUP(J$1,main!$A$3:$I$56,5,FALSE)-VLOOKUP($A42,main!$A$3:$I$56,6,FALSE)&gt;=VLOOKUP(55,main!$A$57:$I$59,4,FALSE)+VLOOKUP(VLOOKUP(J$1,main!$A$3:$I$56,7,FALSE),main!$K$10:$Q$14,3,FALSE),1,0)</f>
        <v>1</v>
      </c>
      <c r="K42">
        <f>IF(VLOOKUP(K$1,main!$A$3:$I$56,5,FALSE)-VLOOKUP($A42,main!$A$3:$I$56,6,FALSE)&gt;=VLOOKUP(55,main!$A$57:$I$59,4,FALSE)+VLOOKUP(VLOOKUP(K$1,main!$A$3:$I$56,7,FALSE),main!$K$10:$Q$14,3,FALSE),1,0)</f>
        <v>0</v>
      </c>
      <c r="L42">
        <f>IF(VLOOKUP(L$1,main!$A$3:$I$56,5,FALSE)-VLOOKUP($A42,main!$A$3:$I$56,6,FALSE)&gt;=VLOOKUP(55,main!$A$57:$I$59,4,FALSE)+VLOOKUP(VLOOKUP(L$1,main!$A$3:$I$56,7,FALSE),main!$K$10:$Q$14,3,FALSE),1,0)</f>
        <v>1</v>
      </c>
      <c r="M42">
        <f>IF(VLOOKUP(M$1,main!$A$3:$I$56,5,FALSE)-VLOOKUP($A42,main!$A$3:$I$56,6,FALSE)&gt;=VLOOKUP(55,main!$A$57:$I$59,4,FALSE)+VLOOKUP(VLOOKUP(M$1,main!$A$3:$I$56,7,FALSE),main!$K$10:$Q$14,3,FALSE),1,0)</f>
        <v>1</v>
      </c>
      <c r="N42">
        <f>IF(VLOOKUP(N$1,main!$A$3:$I$56,5,FALSE)-VLOOKUP($A42,main!$A$3:$I$56,6,FALSE)&gt;=VLOOKUP(55,main!$A$57:$I$59,4,FALSE)+VLOOKUP(VLOOKUP(N$1,main!$A$3:$I$56,7,FALSE),main!$K$10:$Q$14,3,FALSE),1,0)</f>
        <v>1</v>
      </c>
      <c r="O42">
        <f>IF(VLOOKUP(O$1,main!$A$3:$I$56,5,FALSE)-VLOOKUP($A42,main!$A$3:$I$56,6,FALSE)&gt;=VLOOKUP(55,main!$A$57:$I$59,4,FALSE)+VLOOKUP(VLOOKUP(O$1,main!$A$3:$I$56,7,FALSE),main!$K$10:$Q$14,3,FALSE),1,0)</f>
        <v>1</v>
      </c>
      <c r="P42">
        <f>IF(VLOOKUP(P$1,main!$A$3:$I$56,5,FALSE)-VLOOKUP($A42,main!$A$3:$I$56,6,FALSE)&gt;=VLOOKUP(55,main!$A$57:$I$59,4,FALSE)+VLOOKUP(VLOOKUP(P$1,main!$A$3:$I$56,7,FALSE),main!$K$10:$Q$14,3,FALSE),1,0)</f>
        <v>0</v>
      </c>
      <c r="Q42">
        <f>IF(VLOOKUP(Q$1,main!$A$3:$I$56,5,FALSE)-VLOOKUP($A42,main!$A$3:$I$56,6,FALSE)&gt;=VLOOKUP(55,main!$A$57:$I$59,4,FALSE)+VLOOKUP(VLOOKUP(Q$1,main!$A$3:$I$56,7,FALSE),main!$K$10:$Q$14,3,FALSE),1,0)</f>
        <v>0</v>
      </c>
      <c r="R42">
        <f>IF(VLOOKUP(R$1,main!$A$3:$I$56,5,FALSE)-VLOOKUP($A42,main!$A$3:$I$56,6,FALSE)&gt;=VLOOKUP(55,main!$A$57:$I$59,4,FALSE)+VLOOKUP(VLOOKUP(R$1,main!$A$3:$I$56,7,FALSE),main!$K$10:$Q$14,3,FALSE),1,0)</f>
        <v>1</v>
      </c>
      <c r="S42">
        <f>IF(VLOOKUP(S$1,main!$A$3:$I$56,5,FALSE)-VLOOKUP($A42,main!$A$3:$I$56,6,FALSE)&gt;=VLOOKUP(55,main!$A$57:$I$59,4,FALSE)+VLOOKUP(VLOOKUP(S$1,main!$A$3:$I$56,7,FALSE),main!$K$10:$Q$14,3,FALSE),1,0)</f>
        <v>1</v>
      </c>
      <c r="T42">
        <f>IF(VLOOKUP(T$1,main!$A$3:$I$56,5,FALSE)-VLOOKUP($A42,main!$A$3:$I$56,6,FALSE)&gt;=VLOOKUP(55,main!$A$57:$I$59,4,FALSE)+VLOOKUP(VLOOKUP(T$1,main!$A$3:$I$56,7,FALSE),main!$K$10:$Q$14,3,FALSE),1,0)</f>
        <v>1</v>
      </c>
      <c r="U42">
        <f>IF(VLOOKUP(U$1,main!$A$3:$I$56,5,FALSE)-VLOOKUP($A42,main!$A$3:$I$56,6,FALSE)&gt;=VLOOKUP(55,main!$A$57:$I$59,4,FALSE)+VLOOKUP(VLOOKUP(U$1,main!$A$3:$I$56,7,FALSE),main!$K$10:$Q$14,3,FALSE),1,0)</f>
        <v>0</v>
      </c>
      <c r="V42">
        <f>IF(VLOOKUP(V$1,main!$A$3:$I$56,5,FALSE)-VLOOKUP($A42,main!$A$3:$I$56,6,FALSE)&gt;=VLOOKUP(55,main!$A$57:$I$59,4,FALSE)+VLOOKUP(VLOOKUP(V$1,main!$A$3:$I$56,7,FALSE),main!$K$10:$Q$14,3,FALSE),1,0)</f>
        <v>0</v>
      </c>
      <c r="W42">
        <f>IF(VLOOKUP(W$1,main!$A$3:$I$56,5,FALSE)-VLOOKUP($A42,main!$A$3:$I$56,6,FALSE)&gt;=VLOOKUP(55,main!$A$57:$I$59,4,FALSE)+VLOOKUP(VLOOKUP(W$1,main!$A$3:$I$56,7,FALSE),main!$K$10:$Q$14,3,FALSE),1,0)</f>
        <v>1</v>
      </c>
      <c r="X42">
        <f>IF(VLOOKUP(X$1,main!$A$3:$I$56,5,FALSE)-VLOOKUP($A42,main!$A$3:$I$56,6,FALSE)&gt;=VLOOKUP(55,main!$A$57:$I$59,4,FALSE)+VLOOKUP(VLOOKUP(X$1,main!$A$3:$I$56,7,FALSE),main!$K$10:$Q$14,3,FALSE),1,0)</f>
        <v>1</v>
      </c>
      <c r="Y42">
        <f>IF(VLOOKUP(Y$1,main!$A$3:$I$56,5,FALSE)-VLOOKUP($A42,main!$A$3:$I$56,6,FALSE)&gt;=VLOOKUP(55,main!$A$57:$I$59,4,FALSE)+VLOOKUP(VLOOKUP(Y$1,main!$A$3:$I$56,7,FALSE),main!$K$10:$Q$14,3,FALSE),1,0)</f>
        <v>1</v>
      </c>
      <c r="Z42">
        <f>IF(VLOOKUP(Z$1,main!$A$3:$I$56,5,FALSE)-VLOOKUP($A42,main!$A$3:$I$56,6,FALSE)&gt;=VLOOKUP(55,main!$A$57:$I$59,4,FALSE)+VLOOKUP(VLOOKUP(Z$1,main!$A$3:$I$56,7,FALSE),main!$K$10:$Q$14,3,FALSE),1,0)</f>
        <v>1</v>
      </c>
      <c r="AA42">
        <f>IF(VLOOKUP(AA$1,main!$A$3:$I$56,5,FALSE)-VLOOKUP($A42,main!$A$3:$I$56,6,FALSE)&gt;=VLOOKUP(55,main!$A$57:$I$59,4,FALSE)+VLOOKUP(VLOOKUP(AA$1,main!$A$3:$I$56,7,FALSE),main!$K$10:$Q$14,3,FALSE),1,0)</f>
        <v>1</v>
      </c>
      <c r="AB42">
        <f>IF(VLOOKUP(AB$1,main!$A$3:$I$56,5,FALSE)-VLOOKUP($A42,main!$A$3:$I$56,6,FALSE)&gt;=VLOOKUP(55,main!$A$57:$I$59,4,FALSE)+VLOOKUP(VLOOKUP(AB$1,main!$A$3:$I$56,7,FALSE),main!$K$10:$Q$14,3,FALSE),1,0)</f>
        <v>1</v>
      </c>
      <c r="AC42">
        <f>IF(VLOOKUP(AC$1,main!$A$3:$I$56,5,FALSE)-VLOOKUP($A42,main!$A$3:$I$56,6,FALSE)&gt;=VLOOKUP(55,main!$A$57:$I$59,4,FALSE)+VLOOKUP(VLOOKUP(AC$1,main!$A$3:$I$56,7,FALSE),main!$K$10:$Q$14,3,FALSE),1,0)</f>
        <v>0</v>
      </c>
      <c r="AD42">
        <f>IF(VLOOKUP(AD$1,main!$A$3:$I$56,5,FALSE)-VLOOKUP($A42,main!$A$3:$I$56,6,FALSE)&gt;=VLOOKUP(55,main!$A$57:$I$59,4,FALSE)+VLOOKUP(VLOOKUP(AD$1,main!$A$3:$I$56,7,FALSE),main!$K$10:$Q$14,3,FALSE),1,0)</f>
        <v>0</v>
      </c>
      <c r="AE42">
        <f>IF(VLOOKUP(AE$1,main!$A$3:$I$56,5,FALSE)-VLOOKUP($A42,main!$A$3:$I$56,6,FALSE)&gt;=VLOOKUP(55,main!$A$57:$I$59,4,FALSE)+VLOOKUP(VLOOKUP(AE$1,main!$A$3:$I$56,7,FALSE),main!$K$10:$Q$14,3,FALSE),1,0)</f>
        <v>1</v>
      </c>
      <c r="AF42">
        <f>IF(VLOOKUP(AF$1,main!$A$3:$I$56,5,FALSE)-VLOOKUP($A42,main!$A$3:$I$56,6,FALSE)&gt;=VLOOKUP(55,main!$A$57:$I$59,4,FALSE)+VLOOKUP(VLOOKUP(AF$1,main!$A$3:$I$56,7,FALSE),main!$K$10:$Q$14,3,FALSE),1,0)</f>
        <v>1</v>
      </c>
      <c r="AG42">
        <f>IF(VLOOKUP(AG$1,main!$A$3:$I$56,5,FALSE)-VLOOKUP($A42,main!$A$3:$I$56,6,FALSE)&gt;=VLOOKUP(55,main!$A$57:$I$59,4,FALSE)+VLOOKUP(VLOOKUP(AG$1,main!$A$3:$I$56,7,FALSE),main!$K$10:$Q$14,3,FALSE),1,0)</f>
        <v>0</v>
      </c>
      <c r="AH42">
        <f>IF(VLOOKUP(AH$1,main!$A$3:$I$56,5,FALSE)-VLOOKUP($A42,main!$A$3:$I$56,6,FALSE)&gt;=VLOOKUP(55,main!$A$57:$I$59,4,FALSE)+VLOOKUP(VLOOKUP(AH$1,main!$A$3:$I$56,7,FALSE),main!$K$10:$Q$14,3,FALSE),1,0)</f>
        <v>1</v>
      </c>
      <c r="AI42">
        <f>IF(VLOOKUP(AI$1,main!$A$3:$I$56,5,FALSE)-VLOOKUP($A42,main!$A$3:$I$56,6,FALSE)&gt;=VLOOKUP(55,main!$A$57:$I$59,4,FALSE)+VLOOKUP(VLOOKUP(AI$1,main!$A$3:$I$56,7,FALSE),main!$K$10:$Q$14,3,FALSE),1,0)</f>
        <v>1</v>
      </c>
      <c r="AJ42">
        <f>IF(VLOOKUP(AJ$1,main!$A$3:$I$56,5,FALSE)-VLOOKUP($A42,main!$A$3:$I$56,6,FALSE)&gt;=VLOOKUP(55,main!$A$57:$I$59,4,FALSE)+VLOOKUP(VLOOKUP(AJ$1,main!$A$3:$I$56,7,FALSE),main!$K$10:$Q$14,3,FALSE),1,0)</f>
        <v>1</v>
      </c>
      <c r="AK42">
        <f>IF(VLOOKUP(AK$1,main!$A$3:$I$56,5,FALSE)-VLOOKUP($A42,main!$A$3:$I$56,6,FALSE)&gt;=VLOOKUP(55,main!$A$57:$I$59,4,FALSE)+VLOOKUP(VLOOKUP(AK$1,main!$A$3:$I$56,7,FALSE),main!$K$10:$Q$14,3,FALSE),1,0)</f>
        <v>1</v>
      </c>
      <c r="AL42">
        <f>IF(VLOOKUP(AL$1,main!$A$3:$I$56,5,FALSE)-VLOOKUP($A42,main!$A$3:$I$56,6,FALSE)&gt;=VLOOKUP(55,main!$A$57:$I$59,4,FALSE)+VLOOKUP(VLOOKUP(AL$1,main!$A$3:$I$56,7,FALSE),main!$K$10:$Q$14,3,FALSE),1,0)</f>
        <v>0</v>
      </c>
      <c r="AM42">
        <f>IF(VLOOKUP(AM$1,main!$A$3:$I$56,5,FALSE)-VLOOKUP($A42,main!$A$3:$I$56,6,FALSE)&gt;=VLOOKUP(55,main!$A$57:$I$59,4,FALSE)+VLOOKUP(VLOOKUP(AM$1,main!$A$3:$I$56,7,FALSE),main!$K$10:$Q$14,3,FALSE),1,0)</f>
        <v>0</v>
      </c>
      <c r="AN42">
        <f>IF(VLOOKUP(AN$1,main!$A$3:$I$56,5,FALSE)-VLOOKUP($A42,main!$A$3:$I$56,6,FALSE)&gt;=VLOOKUP(55,main!$A$57:$I$59,4,FALSE)+VLOOKUP(VLOOKUP(AN$1,main!$A$3:$I$56,7,FALSE),main!$K$10:$Q$14,3,FALSE),1,0)</f>
        <v>1</v>
      </c>
      <c r="AO42">
        <f>IF(VLOOKUP(AO$1,main!$A$3:$I$56,5,FALSE)-VLOOKUP($A42,main!$A$3:$I$56,6,FALSE)&gt;=VLOOKUP(55,main!$A$57:$I$59,4,FALSE)+VLOOKUP(VLOOKUP(AO$1,main!$A$3:$I$56,7,FALSE),main!$K$10:$Q$14,3,FALSE),1,0)</f>
        <v>1</v>
      </c>
      <c r="AP42">
        <f>IF(VLOOKUP(AP$1,main!$A$3:$I$56,5,FALSE)-VLOOKUP($A42,main!$A$3:$I$56,6,FALSE)&gt;=VLOOKUP(55,main!$A$57:$I$59,4,FALSE)+VLOOKUP(VLOOKUP(AP$1,main!$A$3:$I$56,7,FALSE),main!$K$10:$Q$14,3,FALSE),1,0)</f>
        <v>0</v>
      </c>
      <c r="AQ42">
        <f>IF(VLOOKUP(AQ$1,main!$A$3:$I$56,5,FALSE)-VLOOKUP($A42,main!$A$3:$I$56,6,FALSE)&gt;=VLOOKUP(55,main!$A$57:$I$59,4,FALSE)+VLOOKUP(VLOOKUP(AQ$1,main!$A$3:$I$56,7,FALSE),main!$K$10:$Q$14,3,FALSE),1,0)</f>
        <v>0</v>
      </c>
      <c r="AR42">
        <f>IF(VLOOKUP(AR$1,main!$A$3:$I$56,5,FALSE)-VLOOKUP($A42,main!$A$3:$I$56,6,FALSE)&gt;=VLOOKUP(55,main!$A$57:$I$59,4,FALSE)+VLOOKUP(VLOOKUP(AR$1,main!$A$3:$I$56,7,FALSE),main!$K$10:$Q$14,3,FALSE),1,0)</f>
        <v>0</v>
      </c>
      <c r="AS42">
        <f>IF(VLOOKUP(AS$1,main!$A$3:$I$56,5,FALSE)-VLOOKUP($A42,main!$A$3:$I$56,6,FALSE)&gt;=VLOOKUP(55,main!$A$57:$I$59,4,FALSE)+VLOOKUP(VLOOKUP(AS$1,main!$A$3:$I$56,7,FALSE),main!$K$10:$Q$14,3,FALSE),1,0)</f>
        <v>1</v>
      </c>
      <c r="AT42">
        <f>IF(VLOOKUP(AT$1,main!$A$3:$I$56,5,FALSE)-VLOOKUP($A42,main!$A$3:$I$56,6,FALSE)&gt;=VLOOKUP(55,main!$A$57:$I$59,4,FALSE)+VLOOKUP(VLOOKUP(AT$1,main!$A$3:$I$56,7,FALSE),main!$K$10:$Q$14,3,FALSE),1,0)</f>
        <v>1</v>
      </c>
      <c r="AU42">
        <f>IF(VLOOKUP(AU$1,main!$A$3:$I$56,5,FALSE)-VLOOKUP($A42,main!$A$3:$I$56,6,FALSE)&gt;=VLOOKUP(55,main!$A$57:$I$59,4,FALSE)+VLOOKUP(VLOOKUP(AU$1,main!$A$3:$I$56,7,FALSE),main!$K$10:$Q$14,3,FALSE),1,0)</f>
        <v>1</v>
      </c>
      <c r="AV42">
        <f>IF(VLOOKUP(AV$1,main!$A$3:$I$56,5,FALSE)-VLOOKUP($A42,main!$A$3:$I$56,6,FALSE)&gt;=VLOOKUP(55,main!$A$57:$I$59,4,FALSE)+VLOOKUP(VLOOKUP(AV$1,main!$A$3:$I$56,7,FALSE),main!$K$10:$Q$14,3,FALSE),1,0)</f>
        <v>1</v>
      </c>
      <c r="AW42">
        <f>IF(VLOOKUP(AW$1,main!$A$3:$I$56,5,FALSE)-VLOOKUP($A42,main!$A$3:$I$56,6,FALSE)&gt;=VLOOKUP(55,main!$A$57:$I$59,4,FALSE)+VLOOKUP(VLOOKUP(AW$1,main!$A$3:$I$56,7,FALSE),main!$K$10:$Q$14,3,FALSE),1,0)</f>
        <v>1</v>
      </c>
      <c r="AX42">
        <f>IF(VLOOKUP(AX$1,main!$A$3:$I$56,5,FALSE)-VLOOKUP($A42,main!$A$3:$I$56,6,FALSE)&gt;=VLOOKUP(55,main!$A$57:$I$59,4,FALSE)+VLOOKUP(VLOOKUP(AX$1,main!$A$3:$I$56,7,FALSE),main!$K$10:$Q$14,3,FALSE),1,0)</f>
        <v>1</v>
      </c>
      <c r="AY42">
        <f>IF(VLOOKUP(AY$1,main!$A$3:$I$56,5,FALSE)-VLOOKUP($A42,main!$A$3:$I$56,6,FALSE)&gt;=VLOOKUP(55,main!$A$57:$I$59,4,FALSE)+VLOOKUP(VLOOKUP(AY$1,main!$A$3:$I$56,7,FALSE),main!$K$10:$Q$14,3,FALSE),1,0)</f>
        <v>1</v>
      </c>
      <c r="AZ42">
        <f>IF(VLOOKUP(AZ$1,main!$A$3:$I$56,5,FALSE)-VLOOKUP($A42,main!$A$3:$I$56,6,FALSE)&gt;=VLOOKUP(55,main!$A$57:$I$59,4,FALSE)+VLOOKUP(VLOOKUP(AZ$1,main!$A$3:$I$56,7,FALSE),main!$K$10:$Q$14,3,FALSE),1,0)</f>
        <v>0</v>
      </c>
      <c r="BA42">
        <f>IF(VLOOKUP(BA$1,main!$A$3:$I$56,5,FALSE)-VLOOKUP($A42,main!$A$3:$I$56,6,FALSE)&gt;=VLOOKUP(55,main!$A$57:$I$59,4,FALSE)+VLOOKUP(VLOOKUP(BA$1,main!$A$3:$I$56,7,FALSE),main!$K$10:$Q$14,3,FALSE),1,0)</f>
        <v>1</v>
      </c>
      <c r="BB42">
        <f>IF(VLOOKUP(BB$1,main!$A$3:$I$56,5,FALSE)-VLOOKUP($A42,main!$A$3:$I$56,6,FALSE)&gt;=VLOOKUP(55,main!$A$57:$I$59,4,FALSE)+VLOOKUP(VLOOKUP(BB$1,main!$A$3:$I$56,7,FALSE),main!$K$10:$Q$14,3,FALSE),1,0)</f>
        <v>1</v>
      </c>
      <c r="BC42">
        <f>IF(VLOOKUP(BC$1,main!$A$3:$I$56,5,FALSE)-VLOOKUP($A42,main!$A$3:$I$56,6,FALSE)&gt;=VLOOKUP(55,main!$A$57:$I$59,4,FALSE)+VLOOKUP(VLOOKUP(BC$1,main!$A$3:$I$56,7,FALSE),main!$K$10:$Q$14,3,FALSE),1,0)</f>
        <v>1</v>
      </c>
      <c r="BD42">
        <f>IF(VLOOKUP(BD$1,main!$A$3:$I$56,5,FALSE)-VLOOKUP($A42,main!$A$3:$I$56,6,FALSE)&gt;=VLOOKUP(55,main!$A$57:$I$59,4,FALSE)+VLOOKUP(VLOOKUP(BD$1,main!$A$3:$I$56,7,FALSE),main!$K$10:$Q$14,3,FALSE),1,0)</f>
        <v>1</v>
      </c>
    </row>
    <row r="43" spans="1:56" x14ac:dyDescent="0.25">
      <c r="A43">
        <f t="shared" si="0"/>
        <v>41</v>
      </c>
      <c r="B43">
        <v>0</v>
      </c>
      <c r="C43">
        <f>IF(VLOOKUP(C$1,main!$A$3:$I$56,5,FALSE)-VLOOKUP($A43,main!$A$3:$I$56,6,FALSE)&gt;=VLOOKUP(55,main!$A$57:$I$59,4,FALSE)+VLOOKUP(VLOOKUP(C$1,main!$A$3:$I$56,7,FALSE),main!$K$10:$Q$14,3,FALSE),1,0)</f>
        <v>0</v>
      </c>
      <c r="D43">
        <f>IF(VLOOKUP(D$1,main!$A$3:$I$56,5,FALSE)-VLOOKUP($A43,main!$A$3:$I$56,6,FALSE)&gt;=VLOOKUP(55,main!$A$57:$I$59,4,FALSE)+VLOOKUP(VLOOKUP(D$1,main!$A$3:$I$56,7,FALSE),main!$K$10:$Q$14,3,FALSE),1,0)</f>
        <v>0</v>
      </c>
      <c r="E43">
        <f>IF(VLOOKUP(E$1,main!$A$3:$I$56,5,FALSE)-VLOOKUP($A43,main!$A$3:$I$56,6,FALSE)&gt;=VLOOKUP(55,main!$A$57:$I$59,4,FALSE)+VLOOKUP(VLOOKUP(E$1,main!$A$3:$I$56,7,FALSE),main!$K$10:$Q$14,3,FALSE),1,0)</f>
        <v>1</v>
      </c>
      <c r="F43">
        <f>IF(VLOOKUP(F$1,main!$A$3:$I$56,5,FALSE)-VLOOKUP($A43,main!$A$3:$I$56,6,FALSE)&gt;=VLOOKUP(55,main!$A$57:$I$59,4,FALSE)+VLOOKUP(VLOOKUP(F$1,main!$A$3:$I$56,7,FALSE),main!$K$10:$Q$14,3,FALSE),1,0)</f>
        <v>1</v>
      </c>
      <c r="G43">
        <f>IF(VLOOKUP(G$1,main!$A$3:$I$56,5,FALSE)-VLOOKUP($A43,main!$A$3:$I$56,6,FALSE)&gt;=VLOOKUP(55,main!$A$57:$I$59,4,FALSE)+VLOOKUP(VLOOKUP(G$1,main!$A$3:$I$56,7,FALSE),main!$K$10:$Q$14,3,FALSE),1,0)</f>
        <v>1</v>
      </c>
      <c r="H43">
        <f>IF(VLOOKUP(H$1,main!$A$3:$I$56,5,FALSE)-VLOOKUP($A43,main!$A$3:$I$56,6,FALSE)&gt;=VLOOKUP(55,main!$A$57:$I$59,4,FALSE)+VLOOKUP(VLOOKUP(H$1,main!$A$3:$I$56,7,FALSE),main!$K$10:$Q$14,3,FALSE),1,0)</f>
        <v>1</v>
      </c>
      <c r="I43">
        <f>IF(VLOOKUP(I$1,main!$A$3:$I$56,5,FALSE)-VLOOKUP($A43,main!$A$3:$I$56,6,FALSE)&gt;=VLOOKUP(55,main!$A$57:$I$59,4,FALSE)+VLOOKUP(VLOOKUP(I$1,main!$A$3:$I$56,7,FALSE),main!$K$10:$Q$14,3,FALSE),1,0)</f>
        <v>1</v>
      </c>
      <c r="J43">
        <f>IF(VLOOKUP(J$1,main!$A$3:$I$56,5,FALSE)-VLOOKUP($A43,main!$A$3:$I$56,6,FALSE)&gt;=VLOOKUP(55,main!$A$57:$I$59,4,FALSE)+VLOOKUP(VLOOKUP(J$1,main!$A$3:$I$56,7,FALSE),main!$K$10:$Q$14,3,FALSE),1,0)</f>
        <v>1</v>
      </c>
      <c r="K43">
        <f>IF(VLOOKUP(K$1,main!$A$3:$I$56,5,FALSE)-VLOOKUP($A43,main!$A$3:$I$56,6,FALSE)&gt;=VLOOKUP(55,main!$A$57:$I$59,4,FALSE)+VLOOKUP(VLOOKUP(K$1,main!$A$3:$I$56,7,FALSE),main!$K$10:$Q$14,3,FALSE),1,0)</f>
        <v>0</v>
      </c>
      <c r="L43">
        <f>IF(VLOOKUP(L$1,main!$A$3:$I$56,5,FALSE)-VLOOKUP($A43,main!$A$3:$I$56,6,FALSE)&gt;=VLOOKUP(55,main!$A$57:$I$59,4,FALSE)+VLOOKUP(VLOOKUP(L$1,main!$A$3:$I$56,7,FALSE),main!$K$10:$Q$14,3,FALSE),1,0)</f>
        <v>0</v>
      </c>
      <c r="M43">
        <f>IF(VLOOKUP(M$1,main!$A$3:$I$56,5,FALSE)-VLOOKUP($A43,main!$A$3:$I$56,6,FALSE)&gt;=VLOOKUP(55,main!$A$57:$I$59,4,FALSE)+VLOOKUP(VLOOKUP(M$1,main!$A$3:$I$56,7,FALSE),main!$K$10:$Q$14,3,FALSE),1,0)</f>
        <v>1</v>
      </c>
      <c r="N43">
        <f>IF(VLOOKUP(N$1,main!$A$3:$I$56,5,FALSE)-VLOOKUP($A43,main!$A$3:$I$56,6,FALSE)&gt;=VLOOKUP(55,main!$A$57:$I$59,4,FALSE)+VLOOKUP(VLOOKUP(N$1,main!$A$3:$I$56,7,FALSE),main!$K$10:$Q$14,3,FALSE),1,0)</f>
        <v>1</v>
      </c>
      <c r="O43">
        <f>IF(VLOOKUP(O$1,main!$A$3:$I$56,5,FALSE)-VLOOKUP($A43,main!$A$3:$I$56,6,FALSE)&gt;=VLOOKUP(55,main!$A$57:$I$59,4,FALSE)+VLOOKUP(VLOOKUP(O$1,main!$A$3:$I$56,7,FALSE),main!$K$10:$Q$14,3,FALSE),1,0)</f>
        <v>1</v>
      </c>
      <c r="P43">
        <f>IF(VLOOKUP(P$1,main!$A$3:$I$56,5,FALSE)-VLOOKUP($A43,main!$A$3:$I$56,6,FALSE)&gt;=VLOOKUP(55,main!$A$57:$I$59,4,FALSE)+VLOOKUP(VLOOKUP(P$1,main!$A$3:$I$56,7,FALSE),main!$K$10:$Q$14,3,FALSE),1,0)</f>
        <v>0</v>
      </c>
      <c r="Q43">
        <f>IF(VLOOKUP(Q$1,main!$A$3:$I$56,5,FALSE)-VLOOKUP($A43,main!$A$3:$I$56,6,FALSE)&gt;=VLOOKUP(55,main!$A$57:$I$59,4,FALSE)+VLOOKUP(VLOOKUP(Q$1,main!$A$3:$I$56,7,FALSE),main!$K$10:$Q$14,3,FALSE),1,0)</f>
        <v>0</v>
      </c>
      <c r="R43">
        <f>IF(VLOOKUP(R$1,main!$A$3:$I$56,5,FALSE)-VLOOKUP($A43,main!$A$3:$I$56,6,FALSE)&gt;=VLOOKUP(55,main!$A$57:$I$59,4,FALSE)+VLOOKUP(VLOOKUP(R$1,main!$A$3:$I$56,7,FALSE),main!$K$10:$Q$14,3,FALSE),1,0)</f>
        <v>1</v>
      </c>
      <c r="S43">
        <f>IF(VLOOKUP(S$1,main!$A$3:$I$56,5,FALSE)-VLOOKUP($A43,main!$A$3:$I$56,6,FALSE)&gt;=VLOOKUP(55,main!$A$57:$I$59,4,FALSE)+VLOOKUP(VLOOKUP(S$1,main!$A$3:$I$56,7,FALSE),main!$K$10:$Q$14,3,FALSE),1,0)</f>
        <v>1</v>
      </c>
      <c r="T43">
        <f>IF(VLOOKUP(T$1,main!$A$3:$I$56,5,FALSE)-VLOOKUP($A43,main!$A$3:$I$56,6,FALSE)&gt;=VLOOKUP(55,main!$A$57:$I$59,4,FALSE)+VLOOKUP(VLOOKUP(T$1,main!$A$3:$I$56,7,FALSE),main!$K$10:$Q$14,3,FALSE),1,0)</f>
        <v>1</v>
      </c>
      <c r="U43">
        <f>IF(VLOOKUP(U$1,main!$A$3:$I$56,5,FALSE)-VLOOKUP($A43,main!$A$3:$I$56,6,FALSE)&gt;=VLOOKUP(55,main!$A$57:$I$59,4,FALSE)+VLOOKUP(VLOOKUP(U$1,main!$A$3:$I$56,7,FALSE),main!$K$10:$Q$14,3,FALSE),1,0)</f>
        <v>0</v>
      </c>
      <c r="V43">
        <f>IF(VLOOKUP(V$1,main!$A$3:$I$56,5,FALSE)-VLOOKUP($A43,main!$A$3:$I$56,6,FALSE)&gt;=VLOOKUP(55,main!$A$57:$I$59,4,FALSE)+VLOOKUP(VLOOKUP(V$1,main!$A$3:$I$56,7,FALSE),main!$K$10:$Q$14,3,FALSE),1,0)</f>
        <v>0</v>
      </c>
      <c r="W43">
        <f>IF(VLOOKUP(W$1,main!$A$3:$I$56,5,FALSE)-VLOOKUP($A43,main!$A$3:$I$56,6,FALSE)&gt;=VLOOKUP(55,main!$A$57:$I$59,4,FALSE)+VLOOKUP(VLOOKUP(W$1,main!$A$3:$I$56,7,FALSE),main!$K$10:$Q$14,3,FALSE),1,0)</f>
        <v>0</v>
      </c>
      <c r="X43">
        <f>IF(VLOOKUP(X$1,main!$A$3:$I$56,5,FALSE)-VLOOKUP($A43,main!$A$3:$I$56,6,FALSE)&gt;=VLOOKUP(55,main!$A$57:$I$59,4,FALSE)+VLOOKUP(VLOOKUP(X$1,main!$A$3:$I$56,7,FALSE),main!$K$10:$Q$14,3,FALSE),1,0)</f>
        <v>1</v>
      </c>
      <c r="Y43">
        <f>IF(VLOOKUP(Y$1,main!$A$3:$I$56,5,FALSE)-VLOOKUP($A43,main!$A$3:$I$56,6,FALSE)&gt;=VLOOKUP(55,main!$A$57:$I$59,4,FALSE)+VLOOKUP(VLOOKUP(Y$1,main!$A$3:$I$56,7,FALSE),main!$K$10:$Q$14,3,FALSE),1,0)</f>
        <v>1</v>
      </c>
      <c r="Z43">
        <f>IF(VLOOKUP(Z$1,main!$A$3:$I$56,5,FALSE)-VLOOKUP($A43,main!$A$3:$I$56,6,FALSE)&gt;=VLOOKUP(55,main!$A$57:$I$59,4,FALSE)+VLOOKUP(VLOOKUP(Z$1,main!$A$3:$I$56,7,FALSE),main!$K$10:$Q$14,3,FALSE),1,0)</f>
        <v>1</v>
      </c>
      <c r="AA43">
        <f>IF(VLOOKUP(AA$1,main!$A$3:$I$56,5,FALSE)-VLOOKUP($A43,main!$A$3:$I$56,6,FALSE)&gt;=VLOOKUP(55,main!$A$57:$I$59,4,FALSE)+VLOOKUP(VLOOKUP(AA$1,main!$A$3:$I$56,7,FALSE),main!$K$10:$Q$14,3,FALSE),1,0)</f>
        <v>1</v>
      </c>
      <c r="AB43">
        <f>IF(VLOOKUP(AB$1,main!$A$3:$I$56,5,FALSE)-VLOOKUP($A43,main!$A$3:$I$56,6,FALSE)&gt;=VLOOKUP(55,main!$A$57:$I$59,4,FALSE)+VLOOKUP(VLOOKUP(AB$1,main!$A$3:$I$56,7,FALSE),main!$K$10:$Q$14,3,FALSE),1,0)</f>
        <v>1</v>
      </c>
      <c r="AC43">
        <f>IF(VLOOKUP(AC$1,main!$A$3:$I$56,5,FALSE)-VLOOKUP($A43,main!$A$3:$I$56,6,FALSE)&gt;=VLOOKUP(55,main!$A$57:$I$59,4,FALSE)+VLOOKUP(VLOOKUP(AC$1,main!$A$3:$I$56,7,FALSE),main!$K$10:$Q$14,3,FALSE),1,0)</f>
        <v>0</v>
      </c>
      <c r="AD43">
        <f>IF(VLOOKUP(AD$1,main!$A$3:$I$56,5,FALSE)-VLOOKUP($A43,main!$A$3:$I$56,6,FALSE)&gt;=VLOOKUP(55,main!$A$57:$I$59,4,FALSE)+VLOOKUP(VLOOKUP(AD$1,main!$A$3:$I$56,7,FALSE),main!$K$10:$Q$14,3,FALSE),1,0)</f>
        <v>0</v>
      </c>
      <c r="AE43">
        <f>IF(VLOOKUP(AE$1,main!$A$3:$I$56,5,FALSE)-VLOOKUP($A43,main!$A$3:$I$56,6,FALSE)&gt;=VLOOKUP(55,main!$A$57:$I$59,4,FALSE)+VLOOKUP(VLOOKUP(AE$1,main!$A$3:$I$56,7,FALSE),main!$K$10:$Q$14,3,FALSE),1,0)</f>
        <v>1</v>
      </c>
      <c r="AF43">
        <f>IF(VLOOKUP(AF$1,main!$A$3:$I$56,5,FALSE)-VLOOKUP($A43,main!$A$3:$I$56,6,FALSE)&gt;=VLOOKUP(55,main!$A$57:$I$59,4,FALSE)+VLOOKUP(VLOOKUP(AF$1,main!$A$3:$I$56,7,FALSE),main!$K$10:$Q$14,3,FALSE),1,0)</f>
        <v>1</v>
      </c>
      <c r="AG43">
        <f>IF(VLOOKUP(AG$1,main!$A$3:$I$56,5,FALSE)-VLOOKUP($A43,main!$A$3:$I$56,6,FALSE)&gt;=VLOOKUP(55,main!$A$57:$I$59,4,FALSE)+VLOOKUP(VLOOKUP(AG$1,main!$A$3:$I$56,7,FALSE),main!$K$10:$Q$14,3,FALSE),1,0)</f>
        <v>0</v>
      </c>
      <c r="AH43">
        <f>IF(VLOOKUP(AH$1,main!$A$3:$I$56,5,FALSE)-VLOOKUP($A43,main!$A$3:$I$56,6,FALSE)&gt;=VLOOKUP(55,main!$A$57:$I$59,4,FALSE)+VLOOKUP(VLOOKUP(AH$1,main!$A$3:$I$56,7,FALSE),main!$K$10:$Q$14,3,FALSE),1,0)</f>
        <v>0</v>
      </c>
      <c r="AI43">
        <f>IF(VLOOKUP(AI$1,main!$A$3:$I$56,5,FALSE)-VLOOKUP($A43,main!$A$3:$I$56,6,FALSE)&gt;=VLOOKUP(55,main!$A$57:$I$59,4,FALSE)+VLOOKUP(VLOOKUP(AI$1,main!$A$3:$I$56,7,FALSE),main!$K$10:$Q$14,3,FALSE),1,0)</f>
        <v>1</v>
      </c>
      <c r="AJ43">
        <f>IF(VLOOKUP(AJ$1,main!$A$3:$I$56,5,FALSE)-VLOOKUP($A43,main!$A$3:$I$56,6,FALSE)&gt;=VLOOKUP(55,main!$A$57:$I$59,4,FALSE)+VLOOKUP(VLOOKUP(AJ$1,main!$A$3:$I$56,7,FALSE),main!$K$10:$Q$14,3,FALSE),1,0)</f>
        <v>1</v>
      </c>
      <c r="AK43">
        <f>IF(VLOOKUP(AK$1,main!$A$3:$I$56,5,FALSE)-VLOOKUP($A43,main!$A$3:$I$56,6,FALSE)&gt;=VLOOKUP(55,main!$A$57:$I$59,4,FALSE)+VLOOKUP(VLOOKUP(AK$1,main!$A$3:$I$56,7,FALSE),main!$K$10:$Q$14,3,FALSE),1,0)</f>
        <v>1</v>
      </c>
      <c r="AL43">
        <f>IF(VLOOKUP(AL$1,main!$A$3:$I$56,5,FALSE)-VLOOKUP($A43,main!$A$3:$I$56,6,FALSE)&gt;=VLOOKUP(55,main!$A$57:$I$59,4,FALSE)+VLOOKUP(VLOOKUP(AL$1,main!$A$3:$I$56,7,FALSE),main!$K$10:$Q$14,3,FALSE),1,0)</f>
        <v>0</v>
      </c>
      <c r="AM43">
        <f>IF(VLOOKUP(AM$1,main!$A$3:$I$56,5,FALSE)-VLOOKUP($A43,main!$A$3:$I$56,6,FALSE)&gt;=VLOOKUP(55,main!$A$57:$I$59,4,FALSE)+VLOOKUP(VLOOKUP(AM$1,main!$A$3:$I$56,7,FALSE),main!$K$10:$Q$14,3,FALSE),1,0)</f>
        <v>0</v>
      </c>
      <c r="AN43">
        <f>IF(VLOOKUP(AN$1,main!$A$3:$I$56,5,FALSE)-VLOOKUP($A43,main!$A$3:$I$56,6,FALSE)&gt;=VLOOKUP(55,main!$A$57:$I$59,4,FALSE)+VLOOKUP(VLOOKUP(AN$1,main!$A$3:$I$56,7,FALSE),main!$K$10:$Q$14,3,FALSE),1,0)</f>
        <v>1</v>
      </c>
      <c r="AO43">
        <f>IF(VLOOKUP(AO$1,main!$A$3:$I$56,5,FALSE)-VLOOKUP($A43,main!$A$3:$I$56,6,FALSE)&gt;=VLOOKUP(55,main!$A$57:$I$59,4,FALSE)+VLOOKUP(VLOOKUP(AO$1,main!$A$3:$I$56,7,FALSE),main!$K$10:$Q$14,3,FALSE),1,0)</f>
        <v>1</v>
      </c>
      <c r="AP43">
        <f>IF(VLOOKUP(AP$1,main!$A$3:$I$56,5,FALSE)-VLOOKUP($A43,main!$A$3:$I$56,6,FALSE)&gt;=VLOOKUP(55,main!$A$57:$I$59,4,FALSE)+VLOOKUP(VLOOKUP(AP$1,main!$A$3:$I$56,7,FALSE),main!$K$10:$Q$14,3,FALSE),1,0)</f>
        <v>0</v>
      </c>
      <c r="AQ43">
        <f>IF(VLOOKUP(AQ$1,main!$A$3:$I$56,5,FALSE)-VLOOKUP($A43,main!$A$3:$I$56,6,FALSE)&gt;=VLOOKUP(55,main!$A$57:$I$59,4,FALSE)+VLOOKUP(VLOOKUP(AQ$1,main!$A$3:$I$56,7,FALSE),main!$K$10:$Q$14,3,FALSE),1,0)</f>
        <v>0</v>
      </c>
      <c r="AR43">
        <f>IF(VLOOKUP(AR$1,main!$A$3:$I$56,5,FALSE)-VLOOKUP($A43,main!$A$3:$I$56,6,FALSE)&gt;=VLOOKUP(55,main!$A$57:$I$59,4,FALSE)+VLOOKUP(VLOOKUP(AR$1,main!$A$3:$I$56,7,FALSE),main!$K$10:$Q$14,3,FALSE),1,0)</f>
        <v>0</v>
      </c>
      <c r="AS43">
        <f>IF(VLOOKUP(AS$1,main!$A$3:$I$56,5,FALSE)-VLOOKUP($A43,main!$A$3:$I$56,6,FALSE)&gt;=VLOOKUP(55,main!$A$57:$I$59,4,FALSE)+VLOOKUP(VLOOKUP(AS$1,main!$A$3:$I$56,7,FALSE),main!$K$10:$Q$14,3,FALSE),1,0)</f>
        <v>1</v>
      </c>
      <c r="AT43">
        <f>IF(VLOOKUP(AT$1,main!$A$3:$I$56,5,FALSE)-VLOOKUP($A43,main!$A$3:$I$56,6,FALSE)&gt;=VLOOKUP(55,main!$A$57:$I$59,4,FALSE)+VLOOKUP(VLOOKUP(AT$1,main!$A$3:$I$56,7,FALSE),main!$K$10:$Q$14,3,FALSE),1,0)</f>
        <v>1</v>
      </c>
      <c r="AU43">
        <f>IF(VLOOKUP(AU$1,main!$A$3:$I$56,5,FALSE)-VLOOKUP($A43,main!$A$3:$I$56,6,FALSE)&gt;=VLOOKUP(55,main!$A$57:$I$59,4,FALSE)+VLOOKUP(VLOOKUP(AU$1,main!$A$3:$I$56,7,FALSE),main!$K$10:$Q$14,3,FALSE),1,0)</f>
        <v>0</v>
      </c>
      <c r="AV43">
        <f>IF(VLOOKUP(AV$1,main!$A$3:$I$56,5,FALSE)-VLOOKUP($A43,main!$A$3:$I$56,6,FALSE)&gt;=VLOOKUP(55,main!$A$57:$I$59,4,FALSE)+VLOOKUP(VLOOKUP(AV$1,main!$A$3:$I$56,7,FALSE),main!$K$10:$Q$14,3,FALSE),1,0)</f>
        <v>0</v>
      </c>
      <c r="AW43">
        <f>IF(VLOOKUP(AW$1,main!$A$3:$I$56,5,FALSE)-VLOOKUP($A43,main!$A$3:$I$56,6,FALSE)&gt;=VLOOKUP(55,main!$A$57:$I$59,4,FALSE)+VLOOKUP(VLOOKUP(AW$1,main!$A$3:$I$56,7,FALSE),main!$K$10:$Q$14,3,FALSE),1,0)</f>
        <v>1</v>
      </c>
      <c r="AX43">
        <f>IF(VLOOKUP(AX$1,main!$A$3:$I$56,5,FALSE)-VLOOKUP($A43,main!$A$3:$I$56,6,FALSE)&gt;=VLOOKUP(55,main!$A$57:$I$59,4,FALSE)+VLOOKUP(VLOOKUP(AX$1,main!$A$3:$I$56,7,FALSE),main!$K$10:$Q$14,3,FALSE),1,0)</f>
        <v>1</v>
      </c>
      <c r="AY43">
        <f>IF(VLOOKUP(AY$1,main!$A$3:$I$56,5,FALSE)-VLOOKUP($A43,main!$A$3:$I$56,6,FALSE)&gt;=VLOOKUP(55,main!$A$57:$I$59,4,FALSE)+VLOOKUP(VLOOKUP(AY$1,main!$A$3:$I$56,7,FALSE),main!$K$10:$Q$14,3,FALSE),1,0)</f>
        <v>1</v>
      </c>
      <c r="AZ43">
        <f>IF(VLOOKUP(AZ$1,main!$A$3:$I$56,5,FALSE)-VLOOKUP($A43,main!$A$3:$I$56,6,FALSE)&gt;=VLOOKUP(55,main!$A$57:$I$59,4,FALSE)+VLOOKUP(VLOOKUP(AZ$1,main!$A$3:$I$56,7,FALSE),main!$K$10:$Q$14,3,FALSE),1,0)</f>
        <v>0</v>
      </c>
      <c r="BA43">
        <f>IF(VLOOKUP(BA$1,main!$A$3:$I$56,5,FALSE)-VLOOKUP($A43,main!$A$3:$I$56,6,FALSE)&gt;=VLOOKUP(55,main!$A$57:$I$59,4,FALSE)+VLOOKUP(VLOOKUP(BA$1,main!$A$3:$I$56,7,FALSE),main!$K$10:$Q$14,3,FALSE),1,0)</f>
        <v>1</v>
      </c>
      <c r="BB43">
        <f>IF(VLOOKUP(BB$1,main!$A$3:$I$56,5,FALSE)-VLOOKUP($A43,main!$A$3:$I$56,6,FALSE)&gt;=VLOOKUP(55,main!$A$57:$I$59,4,FALSE)+VLOOKUP(VLOOKUP(BB$1,main!$A$3:$I$56,7,FALSE),main!$K$10:$Q$14,3,FALSE),1,0)</f>
        <v>1</v>
      </c>
      <c r="BC43">
        <f>IF(VLOOKUP(BC$1,main!$A$3:$I$56,5,FALSE)-VLOOKUP($A43,main!$A$3:$I$56,6,FALSE)&gt;=VLOOKUP(55,main!$A$57:$I$59,4,FALSE)+VLOOKUP(VLOOKUP(BC$1,main!$A$3:$I$56,7,FALSE),main!$K$10:$Q$14,3,FALSE),1,0)</f>
        <v>1</v>
      </c>
      <c r="BD43">
        <f>IF(VLOOKUP(BD$1,main!$A$3:$I$56,5,FALSE)-VLOOKUP($A43,main!$A$3:$I$56,6,FALSE)&gt;=VLOOKUP(55,main!$A$57:$I$59,4,FALSE)+VLOOKUP(VLOOKUP(BD$1,main!$A$3:$I$56,7,FALSE),main!$K$10:$Q$14,3,FALSE),1,0)</f>
        <v>1</v>
      </c>
    </row>
    <row r="44" spans="1:56" x14ac:dyDescent="0.25">
      <c r="A44">
        <f t="shared" si="0"/>
        <v>42</v>
      </c>
      <c r="B44">
        <v>0</v>
      </c>
      <c r="C44">
        <f>IF(VLOOKUP(C$1,main!$A$3:$I$56,5,FALSE)-VLOOKUP($A44,main!$A$3:$I$56,6,FALSE)&gt;=VLOOKUP(55,main!$A$57:$I$59,4,FALSE)+VLOOKUP(VLOOKUP(C$1,main!$A$3:$I$56,7,FALSE),main!$K$10:$Q$14,3,FALSE),1,0)</f>
        <v>0</v>
      </c>
      <c r="D44">
        <f>IF(VLOOKUP(D$1,main!$A$3:$I$56,5,FALSE)-VLOOKUP($A44,main!$A$3:$I$56,6,FALSE)&gt;=VLOOKUP(55,main!$A$57:$I$59,4,FALSE)+VLOOKUP(VLOOKUP(D$1,main!$A$3:$I$56,7,FALSE),main!$K$10:$Q$14,3,FALSE),1,0)</f>
        <v>0</v>
      </c>
      <c r="E44">
        <f>IF(VLOOKUP(E$1,main!$A$3:$I$56,5,FALSE)-VLOOKUP($A44,main!$A$3:$I$56,6,FALSE)&gt;=VLOOKUP(55,main!$A$57:$I$59,4,FALSE)+VLOOKUP(VLOOKUP(E$1,main!$A$3:$I$56,7,FALSE),main!$K$10:$Q$14,3,FALSE),1,0)</f>
        <v>1</v>
      </c>
      <c r="F44">
        <f>IF(VLOOKUP(F$1,main!$A$3:$I$56,5,FALSE)-VLOOKUP($A44,main!$A$3:$I$56,6,FALSE)&gt;=VLOOKUP(55,main!$A$57:$I$59,4,FALSE)+VLOOKUP(VLOOKUP(F$1,main!$A$3:$I$56,7,FALSE),main!$K$10:$Q$14,3,FALSE),1,0)</f>
        <v>1</v>
      </c>
      <c r="G44">
        <f>IF(VLOOKUP(G$1,main!$A$3:$I$56,5,FALSE)-VLOOKUP($A44,main!$A$3:$I$56,6,FALSE)&gt;=VLOOKUP(55,main!$A$57:$I$59,4,FALSE)+VLOOKUP(VLOOKUP(G$1,main!$A$3:$I$56,7,FALSE),main!$K$10:$Q$14,3,FALSE),1,0)</f>
        <v>1</v>
      </c>
      <c r="H44">
        <f>IF(VLOOKUP(H$1,main!$A$3:$I$56,5,FALSE)-VLOOKUP($A44,main!$A$3:$I$56,6,FALSE)&gt;=VLOOKUP(55,main!$A$57:$I$59,4,FALSE)+VLOOKUP(VLOOKUP(H$1,main!$A$3:$I$56,7,FALSE),main!$K$10:$Q$14,3,FALSE),1,0)</f>
        <v>1</v>
      </c>
      <c r="I44">
        <f>IF(VLOOKUP(I$1,main!$A$3:$I$56,5,FALSE)-VLOOKUP($A44,main!$A$3:$I$56,6,FALSE)&gt;=VLOOKUP(55,main!$A$57:$I$59,4,FALSE)+VLOOKUP(VLOOKUP(I$1,main!$A$3:$I$56,7,FALSE),main!$K$10:$Q$14,3,FALSE),1,0)</f>
        <v>1</v>
      </c>
      <c r="J44">
        <f>IF(VLOOKUP(J$1,main!$A$3:$I$56,5,FALSE)-VLOOKUP($A44,main!$A$3:$I$56,6,FALSE)&gt;=VLOOKUP(55,main!$A$57:$I$59,4,FALSE)+VLOOKUP(VLOOKUP(J$1,main!$A$3:$I$56,7,FALSE),main!$K$10:$Q$14,3,FALSE),1,0)</f>
        <v>1</v>
      </c>
      <c r="K44">
        <f>IF(VLOOKUP(K$1,main!$A$3:$I$56,5,FALSE)-VLOOKUP($A44,main!$A$3:$I$56,6,FALSE)&gt;=VLOOKUP(55,main!$A$57:$I$59,4,FALSE)+VLOOKUP(VLOOKUP(K$1,main!$A$3:$I$56,7,FALSE),main!$K$10:$Q$14,3,FALSE),1,0)</f>
        <v>0</v>
      </c>
      <c r="L44">
        <f>IF(VLOOKUP(L$1,main!$A$3:$I$56,5,FALSE)-VLOOKUP($A44,main!$A$3:$I$56,6,FALSE)&gt;=VLOOKUP(55,main!$A$57:$I$59,4,FALSE)+VLOOKUP(VLOOKUP(L$1,main!$A$3:$I$56,7,FALSE),main!$K$10:$Q$14,3,FALSE),1,0)</f>
        <v>0</v>
      </c>
      <c r="M44">
        <f>IF(VLOOKUP(M$1,main!$A$3:$I$56,5,FALSE)-VLOOKUP($A44,main!$A$3:$I$56,6,FALSE)&gt;=VLOOKUP(55,main!$A$57:$I$59,4,FALSE)+VLOOKUP(VLOOKUP(M$1,main!$A$3:$I$56,7,FALSE),main!$K$10:$Q$14,3,FALSE),1,0)</f>
        <v>0</v>
      </c>
      <c r="N44">
        <f>IF(VLOOKUP(N$1,main!$A$3:$I$56,5,FALSE)-VLOOKUP($A44,main!$A$3:$I$56,6,FALSE)&gt;=VLOOKUP(55,main!$A$57:$I$59,4,FALSE)+VLOOKUP(VLOOKUP(N$1,main!$A$3:$I$56,7,FALSE),main!$K$10:$Q$14,3,FALSE),1,0)</f>
        <v>1</v>
      </c>
      <c r="O44">
        <f>IF(VLOOKUP(O$1,main!$A$3:$I$56,5,FALSE)-VLOOKUP($A44,main!$A$3:$I$56,6,FALSE)&gt;=VLOOKUP(55,main!$A$57:$I$59,4,FALSE)+VLOOKUP(VLOOKUP(O$1,main!$A$3:$I$56,7,FALSE),main!$K$10:$Q$14,3,FALSE),1,0)</f>
        <v>1</v>
      </c>
      <c r="P44">
        <f>IF(VLOOKUP(P$1,main!$A$3:$I$56,5,FALSE)-VLOOKUP($A44,main!$A$3:$I$56,6,FALSE)&gt;=VLOOKUP(55,main!$A$57:$I$59,4,FALSE)+VLOOKUP(VLOOKUP(P$1,main!$A$3:$I$56,7,FALSE),main!$K$10:$Q$14,3,FALSE),1,0)</f>
        <v>0</v>
      </c>
      <c r="Q44">
        <f>IF(VLOOKUP(Q$1,main!$A$3:$I$56,5,FALSE)-VLOOKUP($A44,main!$A$3:$I$56,6,FALSE)&gt;=VLOOKUP(55,main!$A$57:$I$59,4,FALSE)+VLOOKUP(VLOOKUP(Q$1,main!$A$3:$I$56,7,FALSE),main!$K$10:$Q$14,3,FALSE),1,0)</f>
        <v>0</v>
      </c>
      <c r="R44">
        <f>IF(VLOOKUP(R$1,main!$A$3:$I$56,5,FALSE)-VLOOKUP($A44,main!$A$3:$I$56,6,FALSE)&gt;=VLOOKUP(55,main!$A$57:$I$59,4,FALSE)+VLOOKUP(VLOOKUP(R$1,main!$A$3:$I$56,7,FALSE),main!$K$10:$Q$14,3,FALSE),1,0)</f>
        <v>0</v>
      </c>
      <c r="S44">
        <f>IF(VLOOKUP(S$1,main!$A$3:$I$56,5,FALSE)-VLOOKUP($A44,main!$A$3:$I$56,6,FALSE)&gt;=VLOOKUP(55,main!$A$57:$I$59,4,FALSE)+VLOOKUP(VLOOKUP(S$1,main!$A$3:$I$56,7,FALSE),main!$K$10:$Q$14,3,FALSE),1,0)</f>
        <v>1</v>
      </c>
      <c r="T44">
        <f>IF(VLOOKUP(T$1,main!$A$3:$I$56,5,FALSE)-VLOOKUP($A44,main!$A$3:$I$56,6,FALSE)&gt;=VLOOKUP(55,main!$A$57:$I$59,4,FALSE)+VLOOKUP(VLOOKUP(T$1,main!$A$3:$I$56,7,FALSE),main!$K$10:$Q$14,3,FALSE),1,0)</f>
        <v>1</v>
      </c>
      <c r="U44">
        <f>IF(VLOOKUP(U$1,main!$A$3:$I$56,5,FALSE)-VLOOKUP($A44,main!$A$3:$I$56,6,FALSE)&gt;=VLOOKUP(55,main!$A$57:$I$59,4,FALSE)+VLOOKUP(VLOOKUP(U$1,main!$A$3:$I$56,7,FALSE),main!$K$10:$Q$14,3,FALSE),1,0)</f>
        <v>0</v>
      </c>
      <c r="V44">
        <f>IF(VLOOKUP(V$1,main!$A$3:$I$56,5,FALSE)-VLOOKUP($A44,main!$A$3:$I$56,6,FALSE)&gt;=VLOOKUP(55,main!$A$57:$I$59,4,FALSE)+VLOOKUP(VLOOKUP(V$1,main!$A$3:$I$56,7,FALSE),main!$K$10:$Q$14,3,FALSE),1,0)</f>
        <v>0</v>
      </c>
      <c r="W44">
        <f>IF(VLOOKUP(W$1,main!$A$3:$I$56,5,FALSE)-VLOOKUP($A44,main!$A$3:$I$56,6,FALSE)&gt;=VLOOKUP(55,main!$A$57:$I$59,4,FALSE)+VLOOKUP(VLOOKUP(W$1,main!$A$3:$I$56,7,FALSE),main!$K$10:$Q$14,3,FALSE),1,0)</f>
        <v>0</v>
      </c>
      <c r="X44">
        <f>IF(VLOOKUP(X$1,main!$A$3:$I$56,5,FALSE)-VLOOKUP($A44,main!$A$3:$I$56,6,FALSE)&gt;=VLOOKUP(55,main!$A$57:$I$59,4,FALSE)+VLOOKUP(VLOOKUP(X$1,main!$A$3:$I$56,7,FALSE),main!$K$10:$Q$14,3,FALSE),1,0)</f>
        <v>0</v>
      </c>
      <c r="Y44">
        <f>IF(VLOOKUP(Y$1,main!$A$3:$I$56,5,FALSE)-VLOOKUP($A44,main!$A$3:$I$56,6,FALSE)&gt;=VLOOKUP(55,main!$A$57:$I$59,4,FALSE)+VLOOKUP(VLOOKUP(Y$1,main!$A$3:$I$56,7,FALSE),main!$K$10:$Q$14,3,FALSE),1,0)</f>
        <v>1</v>
      </c>
      <c r="Z44">
        <f>IF(VLOOKUP(Z$1,main!$A$3:$I$56,5,FALSE)-VLOOKUP($A44,main!$A$3:$I$56,6,FALSE)&gt;=VLOOKUP(55,main!$A$57:$I$59,4,FALSE)+VLOOKUP(VLOOKUP(Z$1,main!$A$3:$I$56,7,FALSE),main!$K$10:$Q$14,3,FALSE),1,0)</f>
        <v>1</v>
      </c>
      <c r="AA44">
        <f>IF(VLOOKUP(AA$1,main!$A$3:$I$56,5,FALSE)-VLOOKUP($A44,main!$A$3:$I$56,6,FALSE)&gt;=VLOOKUP(55,main!$A$57:$I$59,4,FALSE)+VLOOKUP(VLOOKUP(AA$1,main!$A$3:$I$56,7,FALSE),main!$K$10:$Q$14,3,FALSE),1,0)</f>
        <v>1</v>
      </c>
      <c r="AB44">
        <f>IF(VLOOKUP(AB$1,main!$A$3:$I$56,5,FALSE)-VLOOKUP($A44,main!$A$3:$I$56,6,FALSE)&gt;=VLOOKUP(55,main!$A$57:$I$59,4,FALSE)+VLOOKUP(VLOOKUP(AB$1,main!$A$3:$I$56,7,FALSE),main!$K$10:$Q$14,3,FALSE),1,0)</f>
        <v>1</v>
      </c>
      <c r="AC44">
        <f>IF(VLOOKUP(AC$1,main!$A$3:$I$56,5,FALSE)-VLOOKUP($A44,main!$A$3:$I$56,6,FALSE)&gt;=VLOOKUP(55,main!$A$57:$I$59,4,FALSE)+VLOOKUP(VLOOKUP(AC$1,main!$A$3:$I$56,7,FALSE),main!$K$10:$Q$14,3,FALSE),1,0)</f>
        <v>0</v>
      </c>
      <c r="AD44">
        <f>IF(VLOOKUP(AD$1,main!$A$3:$I$56,5,FALSE)-VLOOKUP($A44,main!$A$3:$I$56,6,FALSE)&gt;=VLOOKUP(55,main!$A$57:$I$59,4,FALSE)+VLOOKUP(VLOOKUP(AD$1,main!$A$3:$I$56,7,FALSE),main!$K$10:$Q$14,3,FALSE),1,0)</f>
        <v>0</v>
      </c>
      <c r="AE44">
        <f>IF(VLOOKUP(AE$1,main!$A$3:$I$56,5,FALSE)-VLOOKUP($A44,main!$A$3:$I$56,6,FALSE)&gt;=VLOOKUP(55,main!$A$57:$I$59,4,FALSE)+VLOOKUP(VLOOKUP(AE$1,main!$A$3:$I$56,7,FALSE),main!$K$10:$Q$14,3,FALSE),1,0)</f>
        <v>0</v>
      </c>
      <c r="AF44">
        <f>IF(VLOOKUP(AF$1,main!$A$3:$I$56,5,FALSE)-VLOOKUP($A44,main!$A$3:$I$56,6,FALSE)&gt;=VLOOKUP(55,main!$A$57:$I$59,4,FALSE)+VLOOKUP(VLOOKUP(AF$1,main!$A$3:$I$56,7,FALSE),main!$K$10:$Q$14,3,FALSE),1,0)</f>
        <v>1</v>
      </c>
      <c r="AG44">
        <f>IF(VLOOKUP(AG$1,main!$A$3:$I$56,5,FALSE)-VLOOKUP($A44,main!$A$3:$I$56,6,FALSE)&gt;=VLOOKUP(55,main!$A$57:$I$59,4,FALSE)+VLOOKUP(VLOOKUP(AG$1,main!$A$3:$I$56,7,FALSE),main!$K$10:$Q$14,3,FALSE),1,0)</f>
        <v>0</v>
      </c>
      <c r="AH44">
        <f>IF(VLOOKUP(AH$1,main!$A$3:$I$56,5,FALSE)-VLOOKUP($A44,main!$A$3:$I$56,6,FALSE)&gt;=VLOOKUP(55,main!$A$57:$I$59,4,FALSE)+VLOOKUP(VLOOKUP(AH$1,main!$A$3:$I$56,7,FALSE),main!$K$10:$Q$14,3,FALSE),1,0)</f>
        <v>0</v>
      </c>
      <c r="AI44">
        <f>IF(VLOOKUP(AI$1,main!$A$3:$I$56,5,FALSE)-VLOOKUP($A44,main!$A$3:$I$56,6,FALSE)&gt;=VLOOKUP(55,main!$A$57:$I$59,4,FALSE)+VLOOKUP(VLOOKUP(AI$1,main!$A$3:$I$56,7,FALSE),main!$K$10:$Q$14,3,FALSE),1,0)</f>
        <v>1</v>
      </c>
      <c r="AJ44">
        <f>IF(VLOOKUP(AJ$1,main!$A$3:$I$56,5,FALSE)-VLOOKUP($A44,main!$A$3:$I$56,6,FALSE)&gt;=VLOOKUP(55,main!$A$57:$I$59,4,FALSE)+VLOOKUP(VLOOKUP(AJ$1,main!$A$3:$I$56,7,FALSE),main!$K$10:$Q$14,3,FALSE),1,0)</f>
        <v>1</v>
      </c>
      <c r="AK44">
        <f>IF(VLOOKUP(AK$1,main!$A$3:$I$56,5,FALSE)-VLOOKUP($A44,main!$A$3:$I$56,6,FALSE)&gt;=VLOOKUP(55,main!$A$57:$I$59,4,FALSE)+VLOOKUP(VLOOKUP(AK$1,main!$A$3:$I$56,7,FALSE),main!$K$10:$Q$14,3,FALSE),1,0)</f>
        <v>1</v>
      </c>
      <c r="AL44">
        <f>IF(VLOOKUP(AL$1,main!$A$3:$I$56,5,FALSE)-VLOOKUP($A44,main!$A$3:$I$56,6,FALSE)&gt;=VLOOKUP(55,main!$A$57:$I$59,4,FALSE)+VLOOKUP(VLOOKUP(AL$1,main!$A$3:$I$56,7,FALSE),main!$K$10:$Q$14,3,FALSE),1,0)</f>
        <v>0</v>
      </c>
      <c r="AM44">
        <f>IF(VLOOKUP(AM$1,main!$A$3:$I$56,5,FALSE)-VLOOKUP($A44,main!$A$3:$I$56,6,FALSE)&gt;=VLOOKUP(55,main!$A$57:$I$59,4,FALSE)+VLOOKUP(VLOOKUP(AM$1,main!$A$3:$I$56,7,FALSE),main!$K$10:$Q$14,3,FALSE),1,0)</f>
        <v>0</v>
      </c>
      <c r="AN44">
        <f>IF(VLOOKUP(AN$1,main!$A$3:$I$56,5,FALSE)-VLOOKUP($A44,main!$A$3:$I$56,6,FALSE)&gt;=VLOOKUP(55,main!$A$57:$I$59,4,FALSE)+VLOOKUP(VLOOKUP(AN$1,main!$A$3:$I$56,7,FALSE),main!$K$10:$Q$14,3,FALSE),1,0)</f>
        <v>1</v>
      </c>
      <c r="AO44">
        <f>IF(VLOOKUP(AO$1,main!$A$3:$I$56,5,FALSE)-VLOOKUP($A44,main!$A$3:$I$56,6,FALSE)&gt;=VLOOKUP(55,main!$A$57:$I$59,4,FALSE)+VLOOKUP(VLOOKUP(AO$1,main!$A$3:$I$56,7,FALSE),main!$K$10:$Q$14,3,FALSE),1,0)</f>
        <v>1</v>
      </c>
      <c r="AP44">
        <f>IF(VLOOKUP(AP$1,main!$A$3:$I$56,5,FALSE)-VLOOKUP($A44,main!$A$3:$I$56,6,FALSE)&gt;=VLOOKUP(55,main!$A$57:$I$59,4,FALSE)+VLOOKUP(VLOOKUP(AP$1,main!$A$3:$I$56,7,FALSE),main!$K$10:$Q$14,3,FALSE),1,0)</f>
        <v>0</v>
      </c>
      <c r="AQ44">
        <f>IF(VLOOKUP(AQ$1,main!$A$3:$I$56,5,FALSE)-VLOOKUP($A44,main!$A$3:$I$56,6,FALSE)&gt;=VLOOKUP(55,main!$A$57:$I$59,4,FALSE)+VLOOKUP(VLOOKUP(AQ$1,main!$A$3:$I$56,7,FALSE),main!$K$10:$Q$14,3,FALSE),1,0)</f>
        <v>0</v>
      </c>
      <c r="AR44">
        <f>IF(VLOOKUP(AR$1,main!$A$3:$I$56,5,FALSE)-VLOOKUP($A44,main!$A$3:$I$56,6,FALSE)&gt;=VLOOKUP(55,main!$A$57:$I$59,4,FALSE)+VLOOKUP(VLOOKUP(AR$1,main!$A$3:$I$56,7,FALSE),main!$K$10:$Q$14,3,FALSE),1,0)</f>
        <v>0</v>
      </c>
      <c r="AS44">
        <f>IF(VLOOKUP(AS$1,main!$A$3:$I$56,5,FALSE)-VLOOKUP($A44,main!$A$3:$I$56,6,FALSE)&gt;=VLOOKUP(55,main!$A$57:$I$59,4,FALSE)+VLOOKUP(VLOOKUP(AS$1,main!$A$3:$I$56,7,FALSE),main!$K$10:$Q$14,3,FALSE),1,0)</f>
        <v>0</v>
      </c>
      <c r="AT44">
        <f>IF(VLOOKUP(AT$1,main!$A$3:$I$56,5,FALSE)-VLOOKUP($A44,main!$A$3:$I$56,6,FALSE)&gt;=VLOOKUP(55,main!$A$57:$I$59,4,FALSE)+VLOOKUP(VLOOKUP(AT$1,main!$A$3:$I$56,7,FALSE),main!$K$10:$Q$14,3,FALSE),1,0)</f>
        <v>1</v>
      </c>
      <c r="AU44">
        <f>IF(VLOOKUP(AU$1,main!$A$3:$I$56,5,FALSE)-VLOOKUP($A44,main!$A$3:$I$56,6,FALSE)&gt;=VLOOKUP(55,main!$A$57:$I$59,4,FALSE)+VLOOKUP(VLOOKUP(AU$1,main!$A$3:$I$56,7,FALSE),main!$K$10:$Q$14,3,FALSE),1,0)</f>
        <v>0</v>
      </c>
      <c r="AV44">
        <f>IF(VLOOKUP(AV$1,main!$A$3:$I$56,5,FALSE)-VLOOKUP($A44,main!$A$3:$I$56,6,FALSE)&gt;=VLOOKUP(55,main!$A$57:$I$59,4,FALSE)+VLOOKUP(VLOOKUP(AV$1,main!$A$3:$I$56,7,FALSE),main!$K$10:$Q$14,3,FALSE),1,0)</f>
        <v>0</v>
      </c>
      <c r="AW44">
        <f>IF(VLOOKUP(AW$1,main!$A$3:$I$56,5,FALSE)-VLOOKUP($A44,main!$A$3:$I$56,6,FALSE)&gt;=VLOOKUP(55,main!$A$57:$I$59,4,FALSE)+VLOOKUP(VLOOKUP(AW$1,main!$A$3:$I$56,7,FALSE),main!$K$10:$Q$14,3,FALSE),1,0)</f>
        <v>0</v>
      </c>
      <c r="AX44">
        <f>IF(VLOOKUP(AX$1,main!$A$3:$I$56,5,FALSE)-VLOOKUP($A44,main!$A$3:$I$56,6,FALSE)&gt;=VLOOKUP(55,main!$A$57:$I$59,4,FALSE)+VLOOKUP(VLOOKUP(AX$1,main!$A$3:$I$56,7,FALSE),main!$K$10:$Q$14,3,FALSE),1,0)</f>
        <v>1</v>
      </c>
      <c r="AY44">
        <f>IF(VLOOKUP(AY$1,main!$A$3:$I$56,5,FALSE)-VLOOKUP($A44,main!$A$3:$I$56,6,FALSE)&gt;=VLOOKUP(55,main!$A$57:$I$59,4,FALSE)+VLOOKUP(VLOOKUP(AY$1,main!$A$3:$I$56,7,FALSE),main!$K$10:$Q$14,3,FALSE),1,0)</f>
        <v>1</v>
      </c>
      <c r="AZ44">
        <f>IF(VLOOKUP(AZ$1,main!$A$3:$I$56,5,FALSE)-VLOOKUP($A44,main!$A$3:$I$56,6,FALSE)&gt;=VLOOKUP(55,main!$A$57:$I$59,4,FALSE)+VLOOKUP(VLOOKUP(AZ$1,main!$A$3:$I$56,7,FALSE),main!$K$10:$Q$14,3,FALSE),1,0)</f>
        <v>0</v>
      </c>
      <c r="BA44">
        <f>IF(VLOOKUP(BA$1,main!$A$3:$I$56,5,FALSE)-VLOOKUP($A44,main!$A$3:$I$56,6,FALSE)&gt;=VLOOKUP(55,main!$A$57:$I$59,4,FALSE)+VLOOKUP(VLOOKUP(BA$1,main!$A$3:$I$56,7,FALSE),main!$K$10:$Q$14,3,FALSE),1,0)</f>
        <v>0</v>
      </c>
      <c r="BB44">
        <f>IF(VLOOKUP(BB$1,main!$A$3:$I$56,5,FALSE)-VLOOKUP($A44,main!$A$3:$I$56,6,FALSE)&gt;=VLOOKUP(55,main!$A$57:$I$59,4,FALSE)+VLOOKUP(VLOOKUP(BB$1,main!$A$3:$I$56,7,FALSE),main!$K$10:$Q$14,3,FALSE),1,0)</f>
        <v>0</v>
      </c>
      <c r="BC44">
        <f>IF(VLOOKUP(BC$1,main!$A$3:$I$56,5,FALSE)-VLOOKUP($A44,main!$A$3:$I$56,6,FALSE)&gt;=VLOOKUP(55,main!$A$57:$I$59,4,FALSE)+VLOOKUP(VLOOKUP(BC$1,main!$A$3:$I$56,7,FALSE),main!$K$10:$Q$14,3,FALSE),1,0)</f>
        <v>1</v>
      </c>
      <c r="BD44">
        <f>IF(VLOOKUP(BD$1,main!$A$3:$I$56,5,FALSE)-VLOOKUP($A44,main!$A$3:$I$56,6,FALSE)&gt;=VLOOKUP(55,main!$A$57:$I$59,4,FALSE)+VLOOKUP(VLOOKUP(BD$1,main!$A$3:$I$56,7,FALSE),main!$K$10:$Q$14,3,FALSE),1,0)</f>
        <v>1</v>
      </c>
    </row>
    <row r="45" spans="1:56" x14ac:dyDescent="0.25">
      <c r="A45">
        <f t="shared" si="0"/>
        <v>43</v>
      </c>
      <c r="B45">
        <v>0</v>
      </c>
      <c r="C45">
        <f>IF(VLOOKUP(C$1,main!$A$3:$I$56,5,FALSE)-VLOOKUP($A45,main!$A$3:$I$56,6,FALSE)&gt;=VLOOKUP(55,main!$A$57:$I$59,4,FALSE)+VLOOKUP(VLOOKUP(C$1,main!$A$3:$I$56,7,FALSE),main!$K$10:$Q$14,3,FALSE),1,0)</f>
        <v>0</v>
      </c>
      <c r="D45">
        <f>IF(VLOOKUP(D$1,main!$A$3:$I$56,5,FALSE)-VLOOKUP($A45,main!$A$3:$I$56,6,FALSE)&gt;=VLOOKUP(55,main!$A$57:$I$59,4,FALSE)+VLOOKUP(VLOOKUP(D$1,main!$A$3:$I$56,7,FALSE),main!$K$10:$Q$14,3,FALSE),1,0)</f>
        <v>0</v>
      </c>
      <c r="E45">
        <f>IF(VLOOKUP(E$1,main!$A$3:$I$56,5,FALSE)-VLOOKUP($A45,main!$A$3:$I$56,6,FALSE)&gt;=VLOOKUP(55,main!$A$57:$I$59,4,FALSE)+VLOOKUP(VLOOKUP(E$1,main!$A$3:$I$56,7,FALSE),main!$K$10:$Q$14,3,FALSE),1,0)</f>
        <v>0</v>
      </c>
      <c r="F45">
        <f>IF(VLOOKUP(F$1,main!$A$3:$I$56,5,FALSE)-VLOOKUP($A45,main!$A$3:$I$56,6,FALSE)&gt;=VLOOKUP(55,main!$A$57:$I$59,4,FALSE)+VLOOKUP(VLOOKUP(F$1,main!$A$3:$I$56,7,FALSE),main!$K$10:$Q$14,3,FALSE),1,0)</f>
        <v>0</v>
      </c>
      <c r="G45">
        <f>IF(VLOOKUP(G$1,main!$A$3:$I$56,5,FALSE)-VLOOKUP($A45,main!$A$3:$I$56,6,FALSE)&gt;=VLOOKUP(55,main!$A$57:$I$59,4,FALSE)+VLOOKUP(VLOOKUP(G$1,main!$A$3:$I$56,7,FALSE),main!$K$10:$Q$14,3,FALSE),1,0)</f>
        <v>1</v>
      </c>
      <c r="H45">
        <f>IF(VLOOKUP(H$1,main!$A$3:$I$56,5,FALSE)-VLOOKUP($A45,main!$A$3:$I$56,6,FALSE)&gt;=VLOOKUP(55,main!$A$57:$I$59,4,FALSE)+VLOOKUP(VLOOKUP(H$1,main!$A$3:$I$56,7,FALSE),main!$K$10:$Q$14,3,FALSE),1,0)</f>
        <v>1</v>
      </c>
      <c r="I45">
        <f>IF(VLOOKUP(I$1,main!$A$3:$I$56,5,FALSE)-VLOOKUP($A45,main!$A$3:$I$56,6,FALSE)&gt;=VLOOKUP(55,main!$A$57:$I$59,4,FALSE)+VLOOKUP(VLOOKUP(I$1,main!$A$3:$I$56,7,FALSE),main!$K$10:$Q$14,3,FALSE),1,0)</f>
        <v>1</v>
      </c>
      <c r="J45">
        <f>IF(VLOOKUP(J$1,main!$A$3:$I$56,5,FALSE)-VLOOKUP($A45,main!$A$3:$I$56,6,FALSE)&gt;=VLOOKUP(55,main!$A$57:$I$59,4,FALSE)+VLOOKUP(VLOOKUP(J$1,main!$A$3:$I$56,7,FALSE),main!$K$10:$Q$14,3,FALSE),1,0)</f>
        <v>1</v>
      </c>
      <c r="K45">
        <f>IF(VLOOKUP(K$1,main!$A$3:$I$56,5,FALSE)-VLOOKUP($A45,main!$A$3:$I$56,6,FALSE)&gt;=VLOOKUP(55,main!$A$57:$I$59,4,FALSE)+VLOOKUP(VLOOKUP(K$1,main!$A$3:$I$56,7,FALSE),main!$K$10:$Q$14,3,FALSE),1,0)</f>
        <v>0</v>
      </c>
      <c r="L45">
        <f>IF(VLOOKUP(L$1,main!$A$3:$I$56,5,FALSE)-VLOOKUP($A45,main!$A$3:$I$56,6,FALSE)&gt;=VLOOKUP(55,main!$A$57:$I$59,4,FALSE)+VLOOKUP(VLOOKUP(L$1,main!$A$3:$I$56,7,FALSE),main!$K$10:$Q$14,3,FALSE),1,0)</f>
        <v>0</v>
      </c>
      <c r="M45">
        <f>IF(VLOOKUP(M$1,main!$A$3:$I$56,5,FALSE)-VLOOKUP($A45,main!$A$3:$I$56,6,FALSE)&gt;=VLOOKUP(55,main!$A$57:$I$59,4,FALSE)+VLOOKUP(VLOOKUP(M$1,main!$A$3:$I$56,7,FALSE),main!$K$10:$Q$14,3,FALSE),1,0)</f>
        <v>0</v>
      </c>
      <c r="N45">
        <f>IF(VLOOKUP(N$1,main!$A$3:$I$56,5,FALSE)-VLOOKUP($A45,main!$A$3:$I$56,6,FALSE)&gt;=VLOOKUP(55,main!$A$57:$I$59,4,FALSE)+VLOOKUP(VLOOKUP(N$1,main!$A$3:$I$56,7,FALSE),main!$K$10:$Q$14,3,FALSE),1,0)</f>
        <v>1</v>
      </c>
      <c r="O45">
        <f>IF(VLOOKUP(O$1,main!$A$3:$I$56,5,FALSE)-VLOOKUP($A45,main!$A$3:$I$56,6,FALSE)&gt;=VLOOKUP(55,main!$A$57:$I$59,4,FALSE)+VLOOKUP(VLOOKUP(O$1,main!$A$3:$I$56,7,FALSE),main!$K$10:$Q$14,3,FALSE),1,0)</f>
        <v>1</v>
      </c>
      <c r="P45">
        <f>IF(VLOOKUP(P$1,main!$A$3:$I$56,5,FALSE)-VLOOKUP($A45,main!$A$3:$I$56,6,FALSE)&gt;=VLOOKUP(55,main!$A$57:$I$59,4,FALSE)+VLOOKUP(VLOOKUP(P$1,main!$A$3:$I$56,7,FALSE),main!$K$10:$Q$14,3,FALSE),1,0)</f>
        <v>0</v>
      </c>
      <c r="Q45">
        <f>IF(VLOOKUP(Q$1,main!$A$3:$I$56,5,FALSE)-VLOOKUP($A45,main!$A$3:$I$56,6,FALSE)&gt;=VLOOKUP(55,main!$A$57:$I$59,4,FALSE)+VLOOKUP(VLOOKUP(Q$1,main!$A$3:$I$56,7,FALSE),main!$K$10:$Q$14,3,FALSE),1,0)</f>
        <v>0</v>
      </c>
      <c r="R45">
        <f>IF(VLOOKUP(R$1,main!$A$3:$I$56,5,FALSE)-VLOOKUP($A45,main!$A$3:$I$56,6,FALSE)&gt;=VLOOKUP(55,main!$A$57:$I$59,4,FALSE)+VLOOKUP(VLOOKUP(R$1,main!$A$3:$I$56,7,FALSE),main!$K$10:$Q$14,3,FALSE),1,0)</f>
        <v>0</v>
      </c>
      <c r="S45">
        <f>IF(VLOOKUP(S$1,main!$A$3:$I$56,5,FALSE)-VLOOKUP($A45,main!$A$3:$I$56,6,FALSE)&gt;=VLOOKUP(55,main!$A$57:$I$59,4,FALSE)+VLOOKUP(VLOOKUP(S$1,main!$A$3:$I$56,7,FALSE),main!$K$10:$Q$14,3,FALSE),1,0)</f>
        <v>0</v>
      </c>
      <c r="T45">
        <f>IF(VLOOKUP(T$1,main!$A$3:$I$56,5,FALSE)-VLOOKUP($A45,main!$A$3:$I$56,6,FALSE)&gt;=VLOOKUP(55,main!$A$57:$I$59,4,FALSE)+VLOOKUP(VLOOKUP(T$1,main!$A$3:$I$56,7,FALSE),main!$K$10:$Q$14,3,FALSE),1,0)</f>
        <v>1</v>
      </c>
      <c r="U45">
        <f>IF(VLOOKUP(U$1,main!$A$3:$I$56,5,FALSE)-VLOOKUP($A45,main!$A$3:$I$56,6,FALSE)&gt;=VLOOKUP(55,main!$A$57:$I$59,4,FALSE)+VLOOKUP(VLOOKUP(U$1,main!$A$3:$I$56,7,FALSE),main!$K$10:$Q$14,3,FALSE),1,0)</f>
        <v>0</v>
      </c>
      <c r="V45">
        <f>IF(VLOOKUP(V$1,main!$A$3:$I$56,5,FALSE)-VLOOKUP($A45,main!$A$3:$I$56,6,FALSE)&gt;=VLOOKUP(55,main!$A$57:$I$59,4,FALSE)+VLOOKUP(VLOOKUP(V$1,main!$A$3:$I$56,7,FALSE),main!$K$10:$Q$14,3,FALSE),1,0)</f>
        <v>0</v>
      </c>
      <c r="W45">
        <f>IF(VLOOKUP(W$1,main!$A$3:$I$56,5,FALSE)-VLOOKUP($A45,main!$A$3:$I$56,6,FALSE)&gt;=VLOOKUP(55,main!$A$57:$I$59,4,FALSE)+VLOOKUP(VLOOKUP(W$1,main!$A$3:$I$56,7,FALSE),main!$K$10:$Q$14,3,FALSE),1,0)</f>
        <v>0</v>
      </c>
      <c r="X45">
        <f>IF(VLOOKUP(X$1,main!$A$3:$I$56,5,FALSE)-VLOOKUP($A45,main!$A$3:$I$56,6,FALSE)&gt;=VLOOKUP(55,main!$A$57:$I$59,4,FALSE)+VLOOKUP(VLOOKUP(X$1,main!$A$3:$I$56,7,FALSE),main!$K$10:$Q$14,3,FALSE),1,0)</f>
        <v>0</v>
      </c>
      <c r="Y45">
        <f>IF(VLOOKUP(Y$1,main!$A$3:$I$56,5,FALSE)-VLOOKUP($A45,main!$A$3:$I$56,6,FALSE)&gt;=VLOOKUP(55,main!$A$57:$I$59,4,FALSE)+VLOOKUP(VLOOKUP(Y$1,main!$A$3:$I$56,7,FALSE),main!$K$10:$Q$14,3,FALSE),1,0)</f>
        <v>0</v>
      </c>
      <c r="Z45">
        <f>IF(VLOOKUP(Z$1,main!$A$3:$I$56,5,FALSE)-VLOOKUP($A45,main!$A$3:$I$56,6,FALSE)&gt;=VLOOKUP(55,main!$A$57:$I$59,4,FALSE)+VLOOKUP(VLOOKUP(Z$1,main!$A$3:$I$56,7,FALSE),main!$K$10:$Q$14,3,FALSE),1,0)</f>
        <v>1</v>
      </c>
      <c r="AA45">
        <f>IF(VLOOKUP(AA$1,main!$A$3:$I$56,5,FALSE)-VLOOKUP($A45,main!$A$3:$I$56,6,FALSE)&gt;=VLOOKUP(55,main!$A$57:$I$59,4,FALSE)+VLOOKUP(VLOOKUP(AA$1,main!$A$3:$I$56,7,FALSE),main!$K$10:$Q$14,3,FALSE),1,0)</f>
        <v>1</v>
      </c>
      <c r="AB45">
        <f>IF(VLOOKUP(AB$1,main!$A$3:$I$56,5,FALSE)-VLOOKUP($A45,main!$A$3:$I$56,6,FALSE)&gt;=VLOOKUP(55,main!$A$57:$I$59,4,FALSE)+VLOOKUP(VLOOKUP(AB$1,main!$A$3:$I$56,7,FALSE),main!$K$10:$Q$14,3,FALSE),1,0)</f>
        <v>1</v>
      </c>
      <c r="AC45">
        <f>IF(VLOOKUP(AC$1,main!$A$3:$I$56,5,FALSE)-VLOOKUP($A45,main!$A$3:$I$56,6,FALSE)&gt;=VLOOKUP(55,main!$A$57:$I$59,4,FALSE)+VLOOKUP(VLOOKUP(AC$1,main!$A$3:$I$56,7,FALSE),main!$K$10:$Q$14,3,FALSE),1,0)</f>
        <v>0</v>
      </c>
      <c r="AD45">
        <f>IF(VLOOKUP(AD$1,main!$A$3:$I$56,5,FALSE)-VLOOKUP($A45,main!$A$3:$I$56,6,FALSE)&gt;=VLOOKUP(55,main!$A$57:$I$59,4,FALSE)+VLOOKUP(VLOOKUP(AD$1,main!$A$3:$I$56,7,FALSE),main!$K$10:$Q$14,3,FALSE),1,0)</f>
        <v>0</v>
      </c>
      <c r="AE45">
        <f>IF(VLOOKUP(AE$1,main!$A$3:$I$56,5,FALSE)-VLOOKUP($A45,main!$A$3:$I$56,6,FALSE)&gt;=VLOOKUP(55,main!$A$57:$I$59,4,FALSE)+VLOOKUP(VLOOKUP(AE$1,main!$A$3:$I$56,7,FALSE),main!$K$10:$Q$14,3,FALSE),1,0)</f>
        <v>0</v>
      </c>
      <c r="AF45">
        <f>IF(VLOOKUP(AF$1,main!$A$3:$I$56,5,FALSE)-VLOOKUP($A45,main!$A$3:$I$56,6,FALSE)&gt;=VLOOKUP(55,main!$A$57:$I$59,4,FALSE)+VLOOKUP(VLOOKUP(AF$1,main!$A$3:$I$56,7,FALSE),main!$K$10:$Q$14,3,FALSE),1,0)</f>
        <v>0</v>
      </c>
      <c r="AG45">
        <f>IF(VLOOKUP(AG$1,main!$A$3:$I$56,5,FALSE)-VLOOKUP($A45,main!$A$3:$I$56,6,FALSE)&gt;=VLOOKUP(55,main!$A$57:$I$59,4,FALSE)+VLOOKUP(VLOOKUP(AG$1,main!$A$3:$I$56,7,FALSE),main!$K$10:$Q$14,3,FALSE),1,0)</f>
        <v>0</v>
      </c>
      <c r="AH45">
        <f>IF(VLOOKUP(AH$1,main!$A$3:$I$56,5,FALSE)-VLOOKUP($A45,main!$A$3:$I$56,6,FALSE)&gt;=VLOOKUP(55,main!$A$57:$I$59,4,FALSE)+VLOOKUP(VLOOKUP(AH$1,main!$A$3:$I$56,7,FALSE),main!$K$10:$Q$14,3,FALSE),1,0)</f>
        <v>0</v>
      </c>
      <c r="AI45">
        <f>IF(VLOOKUP(AI$1,main!$A$3:$I$56,5,FALSE)-VLOOKUP($A45,main!$A$3:$I$56,6,FALSE)&gt;=VLOOKUP(55,main!$A$57:$I$59,4,FALSE)+VLOOKUP(VLOOKUP(AI$1,main!$A$3:$I$56,7,FALSE),main!$K$10:$Q$14,3,FALSE),1,0)</f>
        <v>0</v>
      </c>
      <c r="AJ45">
        <f>IF(VLOOKUP(AJ$1,main!$A$3:$I$56,5,FALSE)-VLOOKUP($A45,main!$A$3:$I$56,6,FALSE)&gt;=VLOOKUP(55,main!$A$57:$I$59,4,FALSE)+VLOOKUP(VLOOKUP(AJ$1,main!$A$3:$I$56,7,FALSE),main!$K$10:$Q$14,3,FALSE),1,0)</f>
        <v>0</v>
      </c>
      <c r="AK45">
        <f>IF(VLOOKUP(AK$1,main!$A$3:$I$56,5,FALSE)-VLOOKUP($A45,main!$A$3:$I$56,6,FALSE)&gt;=VLOOKUP(55,main!$A$57:$I$59,4,FALSE)+VLOOKUP(VLOOKUP(AK$1,main!$A$3:$I$56,7,FALSE),main!$K$10:$Q$14,3,FALSE),1,0)</f>
        <v>1</v>
      </c>
      <c r="AL45">
        <f>IF(VLOOKUP(AL$1,main!$A$3:$I$56,5,FALSE)-VLOOKUP($A45,main!$A$3:$I$56,6,FALSE)&gt;=VLOOKUP(55,main!$A$57:$I$59,4,FALSE)+VLOOKUP(VLOOKUP(AL$1,main!$A$3:$I$56,7,FALSE),main!$K$10:$Q$14,3,FALSE),1,0)</f>
        <v>0</v>
      </c>
      <c r="AM45">
        <f>IF(VLOOKUP(AM$1,main!$A$3:$I$56,5,FALSE)-VLOOKUP($A45,main!$A$3:$I$56,6,FALSE)&gt;=VLOOKUP(55,main!$A$57:$I$59,4,FALSE)+VLOOKUP(VLOOKUP(AM$1,main!$A$3:$I$56,7,FALSE),main!$K$10:$Q$14,3,FALSE),1,0)</f>
        <v>0</v>
      </c>
      <c r="AN45">
        <f>IF(VLOOKUP(AN$1,main!$A$3:$I$56,5,FALSE)-VLOOKUP($A45,main!$A$3:$I$56,6,FALSE)&gt;=VLOOKUP(55,main!$A$57:$I$59,4,FALSE)+VLOOKUP(VLOOKUP(AN$1,main!$A$3:$I$56,7,FALSE),main!$K$10:$Q$14,3,FALSE),1,0)</f>
        <v>0</v>
      </c>
      <c r="AO45">
        <f>IF(VLOOKUP(AO$1,main!$A$3:$I$56,5,FALSE)-VLOOKUP($A45,main!$A$3:$I$56,6,FALSE)&gt;=VLOOKUP(55,main!$A$57:$I$59,4,FALSE)+VLOOKUP(VLOOKUP(AO$1,main!$A$3:$I$56,7,FALSE),main!$K$10:$Q$14,3,FALSE),1,0)</f>
        <v>0</v>
      </c>
      <c r="AP45">
        <f>IF(VLOOKUP(AP$1,main!$A$3:$I$56,5,FALSE)-VLOOKUP($A45,main!$A$3:$I$56,6,FALSE)&gt;=VLOOKUP(55,main!$A$57:$I$59,4,FALSE)+VLOOKUP(VLOOKUP(AP$1,main!$A$3:$I$56,7,FALSE),main!$K$10:$Q$14,3,FALSE),1,0)</f>
        <v>0</v>
      </c>
      <c r="AQ45">
        <f>IF(VLOOKUP(AQ$1,main!$A$3:$I$56,5,FALSE)-VLOOKUP($A45,main!$A$3:$I$56,6,FALSE)&gt;=VLOOKUP(55,main!$A$57:$I$59,4,FALSE)+VLOOKUP(VLOOKUP(AQ$1,main!$A$3:$I$56,7,FALSE),main!$K$10:$Q$14,3,FALSE),1,0)</f>
        <v>0</v>
      </c>
      <c r="AR45">
        <f>IF(VLOOKUP(AR$1,main!$A$3:$I$56,5,FALSE)-VLOOKUP($A45,main!$A$3:$I$56,6,FALSE)&gt;=VLOOKUP(55,main!$A$57:$I$59,4,FALSE)+VLOOKUP(VLOOKUP(AR$1,main!$A$3:$I$56,7,FALSE),main!$K$10:$Q$14,3,FALSE),1,0)</f>
        <v>0</v>
      </c>
      <c r="AS45">
        <f>IF(VLOOKUP(AS$1,main!$A$3:$I$56,5,FALSE)-VLOOKUP($A45,main!$A$3:$I$56,6,FALSE)&gt;=VLOOKUP(55,main!$A$57:$I$59,4,FALSE)+VLOOKUP(VLOOKUP(AS$1,main!$A$3:$I$56,7,FALSE),main!$K$10:$Q$14,3,FALSE),1,0)</f>
        <v>0</v>
      </c>
      <c r="AT45">
        <f>IF(VLOOKUP(AT$1,main!$A$3:$I$56,5,FALSE)-VLOOKUP($A45,main!$A$3:$I$56,6,FALSE)&gt;=VLOOKUP(55,main!$A$57:$I$59,4,FALSE)+VLOOKUP(VLOOKUP(AT$1,main!$A$3:$I$56,7,FALSE),main!$K$10:$Q$14,3,FALSE),1,0)</f>
        <v>0</v>
      </c>
      <c r="AU45">
        <f>IF(VLOOKUP(AU$1,main!$A$3:$I$56,5,FALSE)-VLOOKUP($A45,main!$A$3:$I$56,6,FALSE)&gt;=VLOOKUP(55,main!$A$57:$I$59,4,FALSE)+VLOOKUP(VLOOKUP(AU$1,main!$A$3:$I$56,7,FALSE),main!$K$10:$Q$14,3,FALSE),1,0)</f>
        <v>0</v>
      </c>
      <c r="AV45">
        <f>IF(VLOOKUP(AV$1,main!$A$3:$I$56,5,FALSE)-VLOOKUP($A45,main!$A$3:$I$56,6,FALSE)&gt;=VLOOKUP(55,main!$A$57:$I$59,4,FALSE)+VLOOKUP(VLOOKUP(AV$1,main!$A$3:$I$56,7,FALSE),main!$K$10:$Q$14,3,FALSE),1,0)</f>
        <v>0</v>
      </c>
      <c r="AW45">
        <f>IF(VLOOKUP(AW$1,main!$A$3:$I$56,5,FALSE)-VLOOKUP($A45,main!$A$3:$I$56,6,FALSE)&gt;=VLOOKUP(55,main!$A$57:$I$59,4,FALSE)+VLOOKUP(VLOOKUP(AW$1,main!$A$3:$I$56,7,FALSE),main!$K$10:$Q$14,3,FALSE),1,0)</f>
        <v>0</v>
      </c>
      <c r="AX45">
        <f>IF(VLOOKUP(AX$1,main!$A$3:$I$56,5,FALSE)-VLOOKUP($A45,main!$A$3:$I$56,6,FALSE)&gt;=VLOOKUP(55,main!$A$57:$I$59,4,FALSE)+VLOOKUP(VLOOKUP(AX$1,main!$A$3:$I$56,7,FALSE),main!$K$10:$Q$14,3,FALSE),1,0)</f>
        <v>1</v>
      </c>
      <c r="AY45">
        <f>IF(VLOOKUP(AY$1,main!$A$3:$I$56,5,FALSE)-VLOOKUP($A45,main!$A$3:$I$56,6,FALSE)&gt;=VLOOKUP(55,main!$A$57:$I$59,4,FALSE)+VLOOKUP(VLOOKUP(AY$1,main!$A$3:$I$56,7,FALSE),main!$K$10:$Q$14,3,FALSE),1,0)</f>
        <v>1</v>
      </c>
      <c r="AZ45">
        <f>IF(VLOOKUP(AZ$1,main!$A$3:$I$56,5,FALSE)-VLOOKUP($A45,main!$A$3:$I$56,6,FALSE)&gt;=VLOOKUP(55,main!$A$57:$I$59,4,FALSE)+VLOOKUP(VLOOKUP(AZ$1,main!$A$3:$I$56,7,FALSE),main!$K$10:$Q$14,3,FALSE),1,0)</f>
        <v>0</v>
      </c>
      <c r="BA45">
        <f>IF(VLOOKUP(BA$1,main!$A$3:$I$56,5,FALSE)-VLOOKUP($A45,main!$A$3:$I$56,6,FALSE)&gt;=VLOOKUP(55,main!$A$57:$I$59,4,FALSE)+VLOOKUP(VLOOKUP(BA$1,main!$A$3:$I$56,7,FALSE),main!$K$10:$Q$14,3,FALSE),1,0)</f>
        <v>0</v>
      </c>
      <c r="BB45">
        <f>IF(VLOOKUP(BB$1,main!$A$3:$I$56,5,FALSE)-VLOOKUP($A45,main!$A$3:$I$56,6,FALSE)&gt;=VLOOKUP(55,main!$A$57:$I$59,4,FALSE)+VLOOKUP(VLOOKUP(BB$1,main!$A$3:$I$56,7,FALSE),main!$K$10:$Q$14,3,FALSE),1,0)</f>
        <v>0</v>
      </c>
      <c r="BC45">
        <f>IF(VLOOKUP(BC$1,main!$A$3:$I$56,5,FALSE)-VLOOKUP($A45,main!$A$3:$I$56,6,FALSE)&gt;=VLOOKUP(55,main!$A$57:$I$59,4,FALSE)+VLOOKUP(VLOOKUP(BC$1,main!$A$3:$I$56,7,FALSE),main!$K$10:$Q$14,3,FALSE),1,0)</f>
        <v>0</v>
      </c>
      <c r="BD45">
        <f>IF(VLOOKUP(BD$1,main!$A$3:$I$56,5,FALSE)-VLOOKUP($A45,main!$A$3:$I$56,6,FALSE)&gt;=VLOOKUP(55,main!$A$57:$I$59,4,FALSE)+VLOOKUP(VLOOKUP(BD$1,main!$A$3:$I$56,7,FALSE),main!$K$10:$Q$14,3,FALSE),1,0)</f>
        <v>0</v>
      </c>
    </row>
    <row r="46" spans="1:56" x14ac:dyDescent="0.25">
      <c r="A46">
        <f t="shared" si="0"/>
        <v>44</v>
      </c>
      <c r="B46">
        <v>0</v>
      </c>
      <c r="C46">
        <f>IF(VLOOKUP(C$1,main!$A$3:$I$56,5,FALSE)-VLOOKUP($A46,main!$A$3:$I$56,6,FALSE)&gt;=VLOOKUP(55,main!$A$57:$I$59,4,FALSE)+VLOOKUP(VLOOKUP(C$1,main!$A$3:$I$56,7,FALSE),main!$K$10:$Q$14,3,FALSE),1,0)</f>
        <v>0</v>
      </c>
      <c r="D46">
        <f>IF(VLOOKUP(D$1,main!$A$3:$I$56,5,FALSE)-VLOOKUP($A46,main!$A$3:$I$56,6,FALSE)&gt;=VLOOKUP(55,main!$A$57:$I$59,4,FALSE)+VLOOKUP(VLOOKUP(D$1,main!$A$3:$I$56,7,FALSE),main!$K$10:$Q$14,3,FALSE),1,0)</f>
        <v>0</v>
      </c>
      <c r="E46">
        <f>IF(VLOOKUP(E$1,main!$A$3:$I$56,5,FALSE)-VLOOKUP($A46,main!$A$3:$I$56,6,FALSE)&gt;=VLOOKUP(55,main!$A$57:$I$59,4,FALSE)+VLOOKUP(VLOOKUP(E$1,main!$A$3:$I$56,7,FALSE),main!$K$10:$Q$14,3,FALSE),1,0)</f>
        <v>0</v>
      </c>
      <c r="F46">
        <f>IF(VLOOKUP(F$1,main!$A$3:$I$56,5,FALSE)-VLOOKUP($A46,main!$A$3:$I$56,6,FALSE)&gt;=VLOOKUP(55,main!$A$57:$I$59,4,FALSE)+VLOOKUP(VLOOKUP(F$1,main!$A$3:$I$56,7,FALSE),main!$K$10:$Q$14,3,FALSE),1,0)</f>
        <v>0</v>
      </c>
      <c r="G46">
        <f>IF(VLOOKUP(G$1,main!$A$3:$I$56,5,FALSE)-VLOOKUP($A46,main!$A$3:$I$56,6,FALSE)&gt;=VLOOKUP(55,main!$A$57:$I$59,4,FALSE)+VLOOKUP(VLOOKUP(G$1,main!$A$3:$I$56,7,FALSE),main!$K$10:$Q$14,3,FALSE),1,0)</f>
        <v>0</v>
      </c>
      <c r="H46">
        <f>IF(VLOOKUP(H$1,main!$A$3:$I$56,5,FALSE)-VLOOKUP($A46,main!$A$3:$I$56,6,FALSE)&gt;=VLOOKUP(55,main!$A$57:$I$59,4,FALSE)+VLOOKUP(VLOOKUP(H$1,main!$A$3:$I$56,7,FALSE),main!$K$10:$Q$14,3,FALSE),1,0)</f>
        <v>0</v>
      </c>
      <c r="I46">
        <f>IF(VLOOKUP(I$1,main!$A$3:$I$56,5,FALSE)-VLOOKUP($A46,main!$A$3:$I$56,6,FALSE)&gt;=VLOOKUP(55,main!$A$57:$I$59,4,FALSE)+VLOOKUP(VLOOKUP(I$1,main!$A$3:$I$56,7,FALSE),main!$K$10:$Q$14,3,FALSE),1,0)</f>
        <v>1</v>
      </c>
      <c r="J46">
        <f>IF(VLOOKUP(J$1,main!$A$3:$I$56,5,FALSE)-VLOOKUP($A46,main!$A$3:$I$56,6,FALSE)&gt;=VLOOKUP(55,main!$A$57:$I$59,4,FALSE)+VLOOKUP(VLOOKUP(J$1,main!$A$3:$I$56,7,FALSE),main!$K$10:$Q$14,3,FALSE),1,0)</f>
        <v>1</v>
      </c>
      <c r="K46">
        <f>IF(VLOOKUP(K$1,main!$A$3:$I$56,5,FALSE)-VLOOKUP($A46,main!$A$3:$I$56,6,FALSE)&gt;=VLOOKUP(55,main!$A$57:$I$59,4,FALSE)+VLOOKUP(VLOOKUP(K$1,main!$A$3:$I$56,7,FALSE),main!$K$10:$Q$14,3,FALSE),1,0)</f>
        <v>0</v>
      </c>
      <c r="L46">
        <f>IF(VLOOKUP(L$1,main!$A$3:$I$56,5,FALSE)-VLOOKUP($A46,main!$A$3:$I$56,6,FALSE)&gt;=VLOOKUP(55,main!$A$57:$I$59,4,FALSE)+VLOOKUP(VLOOKUP(L$1,main!$A$3:$I$56,7,FALSE),main!$K$10:$Q$14,3,FALSE),1,0)</f>
        <v>0</v>
      </c>
      <c r="M46">
        <f>IF(VLOOKUP(M$1,main!$A$3:$I$56,5,FALSE)-VLOOKUP($A46,main!$A$3:$I$56,6,FALSE)&gt;=VLOOKUP(55,main!$A$57:$I$59,4,FALSE)+VLOOKUP(VLOOKUP(M$1,main!$A$3:$I$56,7,FALSE),main!$K$10:$Q$14,3,FALSE),1,0)</f>
        <v>0</v>
      </c>
      <c r="N46">
        <f>IF(VLOOKUP(N$1,main!$A$3:$I$56,5,FALSE)-VLOOKUP($A46,main!$A$3:$I$56,6,FALSE)&gt;=VLOOKUP(55,main!$A$57:$I$59,4,FALSE)+VLOOKUP(VLOOKUP(N$1,main!$A$3:$I$56,7,FALSE),main!$K$10:$Q$14,3,FALSE),1,0)</f>
        <v>1</v>
      </c>
      <c r="O46">
        <f>IF(VLOOKUP(O$1,main!$A$3:$I$56,5,FALSE)-VLOOKUP($A46,main!$A$3:$I$56,6,FALSE)&gt;=VLOOKUP(55,main!$A$57:$I$59,4,FALSE)+VLOOKUP(VLOOKUP(O$1,main!$A$3:$I$56,7,FALSE),main!$K$10:$Q$14,3,FALSE),1,0)</f>
        <v>1</v>
      </c>
      <c r="P46">
        <f>IF(VLOOKUP(P$1,main!$A$3:$I$56,5,FALSE)-VLOOKUP($A46,main!$A$3:$I$56,6,FALSE)&gt;=VLOOKUP(55,main!$A$57:$I$59,4,FALSE)+VLOOKUP(VLOOKUP(P$1,main!$A$3:$I$56,7,FALSE),main!$K$10:$Q$14,3,FALSE),1,0)</f>
        <v>0</v>
      </c>
      <c r="Q46">
        <f>IF(VLOOKUP(Q$1,main!$A$3:$I$56,5,FALSE)-VLOOKUP($A46,main!$A$3:$I$56,6,FALSE)&gt;=VLOOKUP(55,main!$A$57:$I$59,4,FALSE)+VLOOKUP(VLOOKUP(Q$1,main!$A$3:$I$56,7,FALSE),main!$K$10:$Q$14,3,FALSE),1,0)</f>
        <v>0</v>
      </c>
      <c r="R46">
        <f>IF(VLOOKUP(R$1,main!$A$3:$I$56,5,FALSE)-VLOOKUP($A46,main!$A$3:$I$56,6,FALSE)&gt;=VLOOKUP(55,main!$A$57:$I$59,4,FALSE)+VLOOKUP(VLOOKUP(R$1,main!$A$3:$I$56,7,FALSE),main!$K$10:$Q$14,3,FALSE),1,0)</f>
        <v>0</v>
      </c>
      <c r="S46">
        <f>IF(VLOOKUP(S$1,main!$A$3:$I$56,5,FALSE)-VLOOKUP($A46,main!$A$3:$I$56,6,FALSE)&gt;=VLOOKUP(55,main!$A$57:$I$59,4,FALSE)+VLOOKUP(VLOOKUP(S$1,main!$A$3:$I$56,7,FALSE),main!$K$10:$Q$14,3,FALSE),1,0)</f>
        <v>0</v>
      </c>
      <c r="T46">
        <f>IF(VLOOKUP(T$1,main!$A$3:$I$56,5,FALSE)-VLOOKUP($A46,main!$A$3:$I$56,6,FALSE)&gt;=VLOOKUP(55,main!$A$57:$I$59,4,FALSE)+VLOOKUP(VLOOKUP(T$1,main!$A$3:$I$56,7,FALSE),main!$K$10:$Q$14,3,FALSE),1,0)</f>
        <v>1</v>
      </c>
      <c r="U46">
        <f>IF(VLOOKUP(U$1,main!$A$3:$I$56,5,FALSE)-VLOOKUP($A46,main!$A$3:$I$56,6,FALSE)&gt;=VLOOKUP(55,main!$A$57:$I$59,4,FALSE)+VLOOKUP(VLOOKUP(U$1,main!$A$3:$I$56,7,FALSE),main!$K$10:$Q$14,3,FALSE),1,0)</f>
        <v>0</v>
      </c>
      <c r="V46">
        <f>IF(VLOOKUP(V$1,main!$A$3:$I$56,5,FALSE)-VLOOKUP($A46,main!$A$3:$I$56,6,FALSE)&gt;=VLOOKUP(55,main!$A$57:$I$59,4,FALSE)+VLOOKUP(VLOOKUP(V$1,main!$A$3:$I$56,7,FALSE),main!$K$10:$Q$14,3,FALSE),1,0)</f>
        <v>0</v>
      </c>
      <c r="W46">
        <f>IF(VLOOKUP(W$1,main!$A$3:$I$56,5,FALSE)-VLOOKUP($A46,main!$A$3:$I$56,6,FALSE)&gt;=VLOOKUP(55,main!$A$57:$I$59,4,FALSE)+VLOOKUP(VLOOKUP(W$1,main!$A$3:$I$56,7,FALSE),main!$K$10:$Q$14,3,FALSE),1,0)</f>
        <v>0</v>
      </c>
      <c r="X46">
        <f>IF(VLOOKUP(X$1,main!$A$3:$I$56,5,FALSE)-VLOOKUP($A46,main!$A$3:$I$56,6,FALSE)&gt;=VLOOKUP(55,main!$A$57:$I$59,4,FALSE)+VLOOKUP(VLOOKUP(X$1,main!$A$3:$I$56,7,FALSE),main!$K$10:$Q$14,3,FALSE),1,0)</f>
        <v>0</v>
      </c>
      <c r="Y46">
        <f>IF(VLOOKUP(Y$1,main!$A$3:$I$56,5,FALSE)-VLOOKUP($A46,main!$A$3:$I$56,6,FALSE)&gt;=VLOOKUP(55,main!$A$57:$I$59,4,FALSE)+VLOOKUP(VLOOKUP(Y$1,main!$A$3:$I$56,7,FALSE),main!$K$10:$Q$14,3,FALSE),1,0)</f>
        <v>0</v>
      </c>
      <c r="Z46">
        <f>IF(VLOOKUP(Z$1,main!$A$3:$I$56,5,FALSE)-VLOOKUP($A46,main!$A$3:$I$56,6,FALSE)&gt;=VLOOKUP(55,main!$A$57:$I$59,4,FALSE)+VLOOKUP(VLOOKUP(Z$1,main!$A$3:$I$56,7,FALSE),main!$K$10:$Q$14,3,FALSE),1,0)</f>
        <v>0</v>
      </c>
      <c r="AA46">
        <f>IF(VLOOKUP(AA$1,main!$A$3:$I$56,5,FALSE)-VLOOKUP($A46,main!$A$3:$I$56,6,FALSE)&gt;=VLOOKUP(55,main!$A$57:$I$59,4,FALSE)+VLOOKUP(VLOOKUP(AA$1,main!$A$3:$I$56,7,FALSE),main!$K$10:$Q$14,3,FALSE),1,0)</f>
        <v>1</v>
      </c>
      <c r="AB46">
        <f>IF(VLOOKUP(AB$1,main!$A$3:$I$56,5,FALSE)-VLOOKUP($A46,main!$A$3:$I$56,6,FALSE)&gt;=VLOOKUP(55,main!$A$57:$I$59,4,FALSE)+VLOOKUP(VLOOKUP(AB$1,main!$A$3:$I$56,7,FALSE),main!$K$10:$Q$14,3,FALSE),1,0)</f>
        <v>1</v>
      </c>
      <c r="AC46">
        <f>IF(VLOOKUP(AC$1,main!$A$3:$I$56,5,FALSE)-VLOOKUP($A46,main!$A$3:$I$56,6,FALSE)&gt;=VLOOKUP(55,main!$A$57:$I$59,4,FALSE)+VLOOKUP(VLOOKUP(AC$1,main!$A$3:$I$56,7,FALSE),main!$K$10:$Q$14,3,FALSE),1,0)</f>
        <v>0</v>
      </c>
      <c r="AD46">
        <f>IF(VLOOKUP(AD$1,main!$A$3:$I$56,5,FALSE)-VLOOKUP($A46,main!$A$3:$I$56,6,FALSE)&gt;=VLOOKUP(55,main!$A$57:$I$59,4,FALSE)+VLOOKUP(VLOOKUP(AD$1,main!$A$3:$I$56,7,FALSE),main!$K$10:$Q$14,3,FALSE),1,0)</f>
        <v>0</v>
      </c>
      <c r="AE46">
        <f>IF(VLOOKUP(AE$1,main!$A$3:$I$56,5,FALSE)-VLOOKUP($A46,main!$A$3:$I$56,6,FALSE)&gt;=VLOOKUP(55,main!$A$57:$I$59,4,FALSE)+VLOOKUP(VLOOKUP(AE$1,main!$A$3:$I$56,7,FALSE),main!$K$10:$Q$14,3,FALSE),1,0)</f>
        <v>0</v>
      </c>
      <c r="AF46">
        <f>IF(VLOOKUP(AF$1,main!$A$3:$I$56,5,FALSE)-VLOOKUP($A46,main!$A$3:$I$56,6,FALSE)&gt;=VLOOKUP(55,main!$A$57:$I$59,4,FALSE)+VLOOKUP(VLOOKUP(AF$1,main!$A$3:$I$56,7,FALSE),main!$K$10:$Q$14,3,FALSE),1,0)</f>
        <v>0</v>
      </c>
      <c r="AG46">
        <f>IF(VLOOKUP(AG$1,main!$A$3:$I$56,5,FALSE)-VLOOKUP($A46,main!$A$3:$I$56,6,FALSE)&gt;=VLOOKUP(55,main!$A$57:$I$59,4,FALSE)+VLOOKUP(VLOOKUP(AG$1,main!$A$3:$I$56,7,FALSE),main!$K$10:$Q$14,3,FALSE),1,0)</f>
        <v>0</v>
      </c>
      <c r="AH46">
        <f>IF(VLOOKUP(AH$1,main!$A$3:$I$56,5,FALSE)-VLOOKUP($A46,main!$A$3:$I$56,6,FALSE)&gt;=VLOOKUP(55,main!$A$57:$I$59,4,FALSE)+VLOOKUP(VLOOKUP(AH$1,main!$A$3:$I$56,7,FALSE),main!$K$10:$Q$14,3,FALSE),1,0)</f>
        <v>0</v>
      </c>
      <c r="AI46">
        <f>IF(VLOOKUP(AI$1,main!$A$3:$I$56,5,FALSE)-VLOOKUP($A46,main!$A$3:$I$56,6,FALSE)&gt;=VLOOKUP(55,main!$A$57:$I$59,4,FALSE)+VLOOKUP(VLOOKUP(AI$1,main!$A$3:$I$56,7,FALSE),main!$K$10:$Q$14,3,FALSE),1,0)</f>
        <v>0</v>
      </c>
      <c r="AJ46">
        <f>IF(VLOOKUP(AJ$1,main!$A$3:$I$56,5,FALSE)-VLOOKUP($A46,main!$A$3:$I$56,6,FALSE)&gt;=VLOOKUP(55,main!$A$57:$I$59,4,FALSE)+VLOOKUP(VLOOKUP(AJ$1,main!$A$3:$I$56,7,FALSE),main!$K$10:$Q$14,3,FALSE),1,0)</f>
        <v>0</v>
      </c>
      <c r="AK46">
        <f>IF(VLOOKUP(AK$1,main!$A$3:$I$56,5,FALSE)-VLOOKUP($A46,main!$A$3:$I$56,6,FALSE)&gt;=VLOOKUP(55,main!$A$57:$I$59,4,FALSE)+VLOOKUP(VLOOKUP(AK$1,main!$A$3:$I$56,7,FALSE),main!$K$10:$Q$14,3,FALSE),1,0)</f>
        <v>0</v>
      </c>
      <c r="AL46">
        <f>IF(VLOOKUP(AL$1,main!$A$3:$I$56,5,FALSE)-VLOOKUP($A46,main!$A$3:$I$56,6,FALSE)&gt;=VLOOKUP(55,main!$A$57:$I$59,4,FALSE)+VLOOKUP(VLOOKUP(AL$1,main!$A$3:$I$56,7,FALSE),main!$K$10:$Q$14,3,FALSE),1,0)</f>
        <v>0</v>
      </c>
      <c r="AM46">
        <f>IF(VLOOKUP(AM$1,main!$A$3:$I$56,5,FALSE)-VLOOKUP($A46,main!$A$3:$I$56,6,FALSE)&gt;=VLOOKUP(55,main!$A$57:$I$59,4,FALSE)+VLOOKUP(VLOOKUP(AM$1,main!$A$3:$I$56,7,FALSE),main!$K$10:$Q$14,3,FALSE),1,0)</f>
        <v>0</v>
      </c>
      <c r="AN46">
        <f>IF(VLOOKUP(AN$1,main!$A$3:$I$56,5,FALSE)-VLOOKUP($A46,main!$A$3:$I$56,6,FALSE)&gt;=VLOOKUP(55,main!$A$57:$I$59,4,FALSE)+VLOOKUP(VLOOKUP(AN$1,main!$A$3:$I$56,7,FALSE),main!$K$10:$Q$14,3,FALSE),1,0)</f>
        <v>0</v>
      </c>
      <c r="AO46">
        <f>IF(VLOOKUP(AO$1,main!$A$3:$I$56,5,FALSE)-VLOOKUP($A46,main!$A$3:$I$56,6,FALSE)&gt;=VLOOKUP(55,main!$A$57:$I$59,4,FALSE)+VLOOKUP(VLOOKUP(AO$1,main!$A$3:$I$56,7,FALSE),main!$K$10:$Q$14,3,FALSE),1,0)</f>
        <v>0</v>
      </c>
      <c r="AP46">
        <f>IF(VLOOKUP(AP$1,main!$A$3:$I$56,5,FALSE)-VLOOKUP($A46,main!$A$3:$I$56,6,FALSE)&gt;=VLOOKUP(55,main!$A$57:$I$59,4,FALSE)+VLOOKUP(VLOOKUP(AP$1,main!$A$3:$I$56,7,FALSE),main!$K$10:$Q$14,3,FALSE),1,0)</f>
        <v>0</v>
      </c>
      <c r="AQ46">
        <f>IF(VLOOKUP(AQ$1,main!$A$3:$I$56,5,FALSE)-VLOOKUP($A46,main!$A$3:$I$56,6,FALSE)&gt;=VLOOKUP(55,main!$A$57:$I$59,4,FALSE)+VLOOKUP(VLOOKUP(AQ$1,main!$A$3:$I$56,7,FALSE),main!$K$10:$Q$14,3,FALSE),1,0)</f>
        <v>0</v>
      </c>
      <c r="AR46">
        <f>IF(VLOOKUP(AR$1,main!$A$3:$I$56,5,FALSE)-VLOOKUP($A46,main!$A$3:$I$56,6,FALSE)&gt;=VLOOKUP(55,main!$A$57:$I$59,4,FALSE)+VLOOKUP(VLOOKUP(AR$1,main!$A$3:$I$56,7,FALSE),main!$K$10:$Q$14,3,FALSE),1,0)</f>
        <v>0</v>
      </c>
      <c r="AS46">
        <f>IF(VLOOKUP(AS$1,main!$A$3:$I$56,5,FALSE)-VLOOKUP($A46,main!$A$3:$I$56,6,FALSE)&gt;=VLOOKUP(55,main!$A$57:$I$59,4,FALSE)+VLOOKUP(VLOOKUP(AS$1,main!$A$3:$I$56,7,FALSE),main!$K$10:$Q$14,3,FALSE),1,0)</f>
        <v>0</v>
      </c>
      <c r="AT46">
        <f>IF(VLOOKUP(AT$1,main!$A$3:$I$56,5,FALSE)-VLOOKUP($A46,main!$A$3:$I$56,6,FALSE)&gt;=VLOOKUP(55,main!$A$57:$I$59,4,FALSE)+VLOOKUP(VLOOKUP(AT$1,main!$A$3:$I$56,7,FALSE),main!$K$10:$Q$14,3,FALSE),1,0)</f>
        <v>0</v>
      </c>
      <c r="AU46">
        <f>IF(VLOOKUP(AU$1,main!$A$3:$I$56,5,FALSE)-VLOOKUP($A46,main!$A$3:$I$56,6,FALSE)&gt;=VLOOKUP(55,main!$A$57:$I$59,4,FALSE)+VLOOKUP(VLOOKUP(AU$1,main!$A$3:$I$56,7,FALSE),main!$K$10:$Q$14,3,FALSE),1,0)</f>
        <v>0</v>
      </c>
      <c r="AV46">
        <f>IF(VLOOKUP(AV$1,main!$A$3:$I$56,5,FALSE)-VLOOKUP($A46,main!$A$3:$I$56,6,FALSE)&gt;=VLOOKUP(55,main!$A$57:$I$59,4,FALSE)+VLOOKUP(VLOOKUP(AV$1,main!$A$3:$I$56,7,FALSE),main!$K$10:$Q$14,3,FALSE),1,0)</f>
        <v>0</v>
      </c>
      <c r="AW46">
        <f>IF(VLOOKUP(AW$1,main!$A$3:$I$56,5,FALSE)-VLOOKUP($A46,main!$A$3:$I$56,6,FALSE)&gt;=VLOOKUP(55,main!$A$57:$I$59,4,FALSE)+VLOOKUP(VLOOKUP(AW$1,main!$A$3:$I$56,7,FALSE),main!$K$10:$Q$14,3,FALSE),1,0)</f>
        <v>0</v>
      </c>
      <c r="AX46">
        <f>IF(VLOOKUP(AX$1,main!$A$3:$I$56,5,FALSE)-VLOOKUP($A46,main!$A$3:$I$56,6,FALSE)&gt;=VLOOKUP(55,main!$A$57:$I$59,4,FALSE)+VLOOKUP(VLOOKUP(AX$1,main!$A$3:$I$56,7,FALSE),main!$K$10:$Q$14,3,FALSE),1,0)</f>
        <v>0</v>
      </c>
      <c r="AY46">
        <f>IF(VLOOKUP(AY$1,main!$A$3:$I$56,5,FALSE)-VLOOKUP($A46,main!$A$3:$I$56,6,FALSE)&gt;=VLOOKUP(55,main!$A$57:$I$59,4,FALSE)+VLOOKUP(VLOOKUP(AY$1,main!$A$3:$I$56,7,FALSE),main!$K$10:$Q$14,3,FALSE),1,0)</f>
        <v>1</v>
      </c>
      <c r="AZ46">
        <f>IF(VLOOKUP(AZ$1,main!$A$3:$I$56,5,FALSE)-VLOOKUP($A46,main!$A$3:$I$56,6,FALSE)&gt;=VLOOKUP(55,main!$A$57:$I$59,4,FALSE)+VLOOKUP(VLOOKUP(AZ$1,main!$A$3:$I$56,7,FALSE),main!$K$10:$Q$14,3,FALSE),1,0)</f>
        <v>0</v>
      </c>
      <c r="BA46">
        <f>IF(VLOOKUP(BA$1,main!$A$3:$I$56,5,FALSE)-VLOOKUP($A46,main!$A$3:$I$56,6,FALSE)&gt;=VLOOKUP(55,main!$A$57:$I$59,4,FALSE)+VLOOKUP(VLOOKUP(BA$1,main!$A$3:$I$56,7,FALSE),main!$K$10:$Q$14,3,FALSE),1,0)</f>
        <v>0</v>
      </c>
      <c r="BB46">
        <f>IF(VLOOKUP(BB$1,main!$A$3:$I$56,5,FALSE)-VLOOKUP($A46,main!$A$3:$I$56,6,FALSE)&gt;=VLOOKUP(55,main!$A$57:$I$59,4,FALSE)+VLOOKUP(VLOOKUP(BB$1,main!$A$3:$I$56,7,FALSE),main!$K$10:$Q$14,3,FALSE),1,0)</f>
        <v>0</v>
      </c>
      <c r="BC46">
        <f>IF(VLOOKUP(BC$1,main!$A$3:$I$56,5,FALSE)-VLOOKUP($A46,main!$A$3:$I$56,6,FALSE)&gt;=VLOOKUP(55,main!$A$57:$I$59,4,FALSE)+VLOOKUP(VLOOKUP(BC$1,main!$A$3:$I$56,7,FALSE),main!$K$10:$Q$14,3,FALSE),1,0)</f>
        <v>0</v>
      </c>
      <c r="BD46">
        <f>IF(VLOOKUP(BD$1,main!$A$3:$I$56,5,FALSE)-VLOOKUP($A46,main!$A$3:$I$56,6,FALSE)&gt;=VLOOKUP(55,main!$A$57:$I$59,4,FALSE)+VLOOKUP(VLOOKUP(BD$1,main!$A$3:$I$56,7,FALSE),main!$K$10:$Q$14,3,FALSE),1,0)</f>
        <v>0</v>
      </c>
    </row>
    <row r="47" spans="1:56" x14ac:dyDescent="0.25">
      <c r="A47">
        <f t="shared" si="0"/>
        <v>45</v>
      </c>
      <c r="B47">
        <v>0</v>
      </c>
      <c r="C47">
        <f>IF(VLOOKUP(C$1,main!$A$3:$I$56,5,FALSE)-VLOOKUP($A47,main!$A$3:$I$56,6,FALSE)&gt;=VLOOKUP(55,main!$A$57:$I$59,4,FALSE)+VLOOKUP(VLOOKUP(C$1,main!$A$3:$I$56,7,FALSE),main!$K$10:$Q$14,3,FALSE),1,0)</f>
        <v>0</v>
      </c>
      <c r="D47">
        <f>IF(VLOOKUP(D$1,main!$A$3:$I$56,5,FALSE)-VLOOKUP($A47,main!$A$3:$I$56,6,FALSE)&gt;=VLOOKUP(55,main!$A$57:$I$59,4,FALSE)+VLOOKUP(VLOOKUP(D$1,main!$A$3:$I$56,7,FALSE),main!$K$10:$Q$14,3,FALSE),1,0)</f>
        <v>0</v>
      </c>
      <c r="E47">
        <f>IF(VLOOKUP(E$1,main!$A$3:$I$56,5,FALSE)-VLOOKUP($A47,main!$A$3:$I$56,6,FALSE)&gt;=VLOOKUP(55,main!$A$57:$I$59,4,FALSE)+VLOOKUP(VLOOKUP(E$1,main!$A$3:$I$56,7,FALSE),main!$K$10:$Q$14,3,FALSE),1,0)</f>
        <v>0</v>
      </c>
      <c r="F47">
        <f>IF(VLOOKUP(F$1,main!$A$3:$I$56,5,FALSE)-VLOOKUP($A47,main!$A$3:$I$56,6,FALSE)&gt;=VLOOKUP(55,main!$A$57:$I$59,4,FALSE)+VLOOKUP(VLOOKUP(F$1,main!$A$3:$I$56,7,FALSE),main!$K$10:$Q$14,3,FALSE),1,0)</f>
        <v>0</v>
      </c>
      <c r="G47">
        <f>IF(VLOOKUP(G$1,main!$A$3:$I$56,5,FALSE)-VLOOKUP($A47,main!$A$3:$I$56,6,FALSE)&gt;=VLOOKUP(55,main!$A$57:$I$59,4,FALSE)+VLOOKUP(VLOOKUP(G$1,main!$A$3:$I$56,7,FALSE),main!$K$10:$Q$14,3,FALSE),1,0)</f>
        <v>1</v>
      </c>
      <c r="H47">
        <f>IF(VLOOKUP(H$1,main!$A$3:$I$56,5,FALSE)-VLOOKUP($A47,main!$A$3:$I$56,6,FALSE)&gt;=VLOOKUP(55,main!$A$57:$I$59,4,FALSE)+VLOOKUP(VLOOKUP(H$1,main!$A$3:$I$56,7,FALSE),main!$K$10:$Q$14,3,FALSE),1,0)</f>
        <v>1</v>
      </c>
      <c r="I47">
        <f>IF(VLOOKUP(I$1,main!$A$3:$I$56,5,FALSE)-VLOOKUP($A47,main!$A$3:$I$56,6,FALSE)&gt;=VLOOKUP(55,main!$A$57:$I$59,4,FALSE)+VLOOKUP(VLOOKUP(I$1,main!$A$3:$I$56,7,FALSE),main!$K$10:$Q$14,3,FALSE),1,0)</f>
        <v>1</v>
      </c>
      <c r="J47">
        <f>IF(VLOOKUP(J$1,main!$A$3:$I$56,5,FALSE)-VLOOKUP($A47,main!$A$3:$I$56,6,FALSE)&gt;=VLOOKUP(55,main!$A$57:$I$59,4,FALSE)+VLOOKUP(VLOOKUP(J$1,main!$A$3:$I$56,7,FALSE),main!$K$10:$Q$14,3,FALSE),1,0)</f>
        <v>1</v>
      </c>
      <c r="K47">
        <f>IF(VLOOKUP(K$1,main!$A$3:$I$56,5,FALSE)-VLOOKUP($A47,main!$A$3:$I$56,6,FALSE)&gt;=VLOOKUP(55,main!$A$57:$I$59,4,FALSE)+VLOOKUP(VLOOKUP(K$1,main!$A$3:$I$56,7,FALSE),main!$K$10:$Q$14,3,FALSE),1,0)</f>
        <v>0</v>
      </c>
      <c r="L47">
        <f>IF(VLOOKUP(L$1,main!$A$3:$I$56,5,FALSE)-VLOOKUP($A47,main!$A$3:$I$56,6,FALSE)&gt;=VLOOKUP(55,main!$A$57:$I$59,4,FALSE)+VLOOKUP(VLOOKUP(L$1,main!$A$3:$I$56,7,FALSE),main!$K$10:$Q$14,3,FALSE),1,0)</f>
        <v>0</v>
      </c>
      <c r="M47">
        <f>IF(VLOOKUP(M$1,main!$A$3:$I$56,5,FALSE)-VLOOKUP($A47,main!$A$3:$I$56,6,FALSE)&gt;=VLOOKUP(55,main!$A$57:$I$59,4,FALSE)+VLOOKUP(VLOOKUP(M$1,main!$A$3:$I$56,7,FALSE),main!$K$10:$Q$14,3,FALSE),1,0)</f>
        <v>0</v>
      </c>
      <c r="N47">
        <f>IF(VLOOKUP(N$1,main!$A$3:$I$56,5,FALSE)-VLOOKUP($A47,main!$A$3:$I$56,6,FALSE)&gt;=VLOOKUP(55,main!$A$57:$I$59,4,FALSE)+VLOOKUP(VLOOKUP(N$1,main!$A$3:$I$56,7,FALSE),main!$K$10:$Q$14,3,FALSE),1,0)</f>
        <v>1</v>
      </c>
      <c r="O47">
        <f>IF(VLOOKUP(O$1,main!$A$3:$I$56,5,FALSE)-VLOOKUP($A47,main!$A$3:$I$56,6,FALSE)&gt;=VLOOKUP(55,main!$A$57:$I$59,4,FALSE)+VLOOKUP(VLOOKUP(O$1,main!$A$3:$I$56,7,FALSE),main!$K$10:$Q$14,3,FALSE),1,0)</f>
        <v>1</v>
      </c>
      <c r="P47">
        <f>IF(VLOOKUP(P$1,main!$A$3:$I$56,5,FALSE)-VLOOKUP($A47,main!$A$3:$I$56,6,FALSE)&gt;=VLOOKUP(55,main!$A$57:$I$59,4,FALSE)+VLOOKUP(VLOOKUP(P$1,main!$A$3:$I$56,7,FALSE),main!$K$10:$Q$14,3,FALSE),1,0)</f>
        <v>0</v>
      </c>
      <c r="Q47">
        <f>IF(VLOOKUP(Q$1,main!$A$3:$I$56,5,FALSE)-VLOOKUP($A47,main!$A$3:$I$56,6,FALSE)&gt;=VLOOKUP(55,main!$A$57:$I$59,4,FALSE)+VLOOKUP(VLOOKUP(Q$1,main!$A$3:$I$56,7,FALSE),main!$K$10:$Q$14,3,FALSE),1,0)</f>
        <v>0</v>
      </c>
      <c r="R47">
        <f>IF(VLOOKUP(R$1,main!$A$3:$I$56,5,FALSE)-VLOOKUP($A47,main!$A$3:$I$56,6,FALSE)&gt;=VLOOKUP(55,main!$A$57:$I$59,4,FALSE)+VLOOKUP(VLOOKUP(R$1,main!$A$3:$I$56,7,FALSE),main!$K$10:$Q$14,3,FALSE),1,0)</f>
        <v>0</v>
      </c>
      <c r="S47">
        <f>IF(VLOOKUP(S$1,main!$A$3:$I$56,5,FALSE)-VLOOKUP($A47,main!$A$3:$I$56,6,FALSE)&gt;=VLOOKUP(55,main!$A$57:$I$59,4,FALSE)+VLOOKUP(VLOOKUP(S$1,main!$A$3:$I$56,7,FALSE),main!$K$10:$Q$14,3,FALSE),1,0)</f>
        <v>1</v>
      </c>
      <c r="T47">
        <f>IF(VLOOKUP(T$1,main!$A$3:$I$56,5,FALSE)-VLOOKUP($A47,main!$A$3:$I$56,6,FALSE)&gt;=VLOOKUP(55,main!$A$57:$I$59,4,FALSE)+VLOOKUP(VLOOKUP(T$1,main!$A$3:$I$56,7,FALSE),main!$K$10:$Q$14,3,FALSE),1,0)</f>
        <v>1</v>
      </c>
      <c r="U47">
        <f>IF(VLOOKUP(U$1,main!$A$3:$I$56,5,FALSE)-VLOOKUP($A47,main!$A$3:$I$56,6,FALSE)&gt;=VLOOKUP(55,main!$A$57:$I$59,4,FALSE)+VLOOKUP(VLOOKUP(U$1,main!$A$3:$I$56,7,FALSE),main!$K$10:$Q$14,3,FALSE),1,0)</f>
        <v>0</v>
      </c>
      <c r="V47">
        <f>IF(VLOOKUP(V$1,main!$A$3:$I$56,5,FALSE)-VLOOKUP($A47,main!$A$3:$I$56,6,FALSE)&gt;=VLOOKUP(55,main!$A$57:$I$59,4,FALSE)+VLOOKUP(VLOOKUP(V$1,main!$A$3:$I$56,7,FALSE),main!$K$10:$Q$14,3,FALSE),1,0)</f>
        <v>0</v>
      </c>
      <c r="W47">
        <f>IF(VLOOKUP(W$1,main!$A$3:$I$56,5,FALSE)-VLOOKUP($A47,main!$A$3:$I$56,6,FALSE)&gt;=VLOOKUP(55,main!$A$57:$I$59,4,FALSE)+VLOOKUP(VLOOKUP(W$1,main!$A$3:$I$56,7,FALSE),main!$K$10:$Q$14,3,FALSE),1,0)</f>
        <v>0</v>
      </c>
      <c r="X47">
        <f>IF(VLOOKUP(X$1,main!$A$3:$I$56,5,FALSE)-VLOOKUP($A47,main!$A$3:$I$56,6,FALSE)&gt;=VLOOKUP(55,main!$A$57:$I$59,4,FALSE)+VLOOKUP(VLOOKUP(X$1,main!$A$3:$I$56,7,FALSE),main!$K$10:$Q$14,3,FALSE),1,0)</f>
        <v>0</v>
      </c>
      <c r="Y47">
        <f>IF(VLOOKUP(Y$1,main!$A$3:$I$56,5,FALSE)-VLOOKUP($A47,main!$A$3:$I$56,6,FALSE)&gt;=VLOOKUP(55,main!$A$57:$I$59,4,FALSE)+VLOOKUP(VLOOKUP(Y$1,main!$A$3:$I$56,7,FALSE),main!$K$10:$Q$14,3,FALSE),1,0)</f>
        <v>0</v>
      </c>
      <c r="Z47">
        <f>IF(VLOOKUP(Z$1,main!$A$3:$I$56,5,FALSE)-VLOOKUP($A47,main!$A$3:$I$56,6,FALSE)&gt;=VLOOKUP(55,main!$A$57:$I$59,4,FALSE)+VLOOKUP(VLOOKUP(Z$1,main!$A$3:$I$56,7,FALSE),main!$K$10:$Q$14,3,FALSE),1,0)</f>
        <v>1</v>
      </c>
      <c r="AA47">
        <f>IF(VLOOKUP(AA$1,main!$A$3:$I$56,5,FALSE)-VLOOKUP($A47,main!$A$3:$I$56,6,FALSE)&gt;=VLOOKUP(55,main!$A$57:$I$59,4,FALSE)+VLOOKUP(VLOOKUP(AA$1,main!$A$3:$I$56,7,FALSE),main!$K$10:$Q$14,3,FALSE),1,0)</f>
        <v>1</v>
      </c>
      <c r="AB47">
        <f>IF(VLOOKUP(AB$1,main!$A$3:$I$56,5,FALSE)-VLOOKUP($A47,main!$A$3:$I$56,6,FALSE)&gt;=VLOOKUP(55,main!$A$57:$I$59,4,FALSE)+VLOOKUP(VLOOKUP(AB$1,main!$A$3:$I$56,7,FALSE),main!$K$10:$Q$14,3,FALSE),1,0)</f>
        <v>1</v>
      </c>
      <c r="AC47">
        <f>IF(VLOOKUP(AC$1,main!$A$3:$I$56,5,FALSE)-VLOOKUP($A47,main!$A$3:$I$56,6,FALSE)&gt;=VLOOKUP(55,main!$A$57:$I$59,4,FALSE)+VLOOKUP(VLOOKUP(AC$1,main!$A$3:$I$56,7,FALSE),main!$K$10:$Q$14,3,FALSE),1,0)</f>
        <v>0</v>
      </c>
      <c r="AD47">
        <f>IF(VLOOKUP(AD$1,main!$A$3:$I$56,5,FALSE)-VLOOKUP($A47,main!$A$3:$I$56,6,FALSE)&gt;=VLOOKUP(55,main!$A$57:$I$59,4,FALSE)+VLOOKUP(VLOOKUP(AD$1,main!$A$3:$I$56,7,FALSE),main!$K$10:$Q$14,3,FALSE),1,0)</f>
        <v>0</v>
      </c>
      <c r="AE47">
        <f>IF(VLOOKUP(AE$1,main!$A$3:$I$56,5,FALSE)-VLOOKUP($A47,main!$A$3:$I$56,6,FALSE)&gt;=VLOOKUP(55,main!$A$57:$I$59,4,FALSE)+VLOOKUP(VLOOKUP(AE$1,main!$A$3:$I$56,7,FALSE),main!$K$10:$Q$14,3,FALSE),1,0)</f>
        <v>0</v>
      </c>
      <c r="AF47">
        <f>IF(VLOOKUP(AF$1,main!$A$3:$I$56,5,FALSE)-VLOOKUP($A47,main!$A$3:$I$56,6,FALSE)&gt;=VLOOKUP(55,main!$A$57:$I$59,4,FALSE)+VLOOKUP(VLOOKUP(AF$1,main!$A$3:$I$56,7,FALSE),main!$K$10:$Q$14,3,FALSE),1,0)</f>
        <v>1</v>
      </c>
      <c r="AG47">
        <f>IF(VLOOKUP(AG$1,main!$A$3:$I$56,5,FALSE)-VLOOKUP($A47,main!$A$3:$I$56,6,FALSE)&gt;=VLOOKUP(55,main!$A$57:$I$59,4,FALSE)+VLOOKUP(VLOOKUP(AG$1,main!$A$3:$I$56,7,FALSE),main!$K$10:$Q$14,3,FALSE),1,0)</f>
        <v>0</v>
      </c>
      <c r="AH47">
        <f>IF(VLOOKUP(AH$1,main!$A$3:$I$56,5,FALSE)-VLOOKUP($A47,main!$A$3:$I$56,6,FALSE)&gt;=VLOOKUP(55,main!$A$57:$I$59,4,FALSE)+VLOOKUP(VLOOKUP(AH$1,main!$A$3:$I$56,7,FALSE),main!$K$10:$Q$14,3,FALSE),1,0)</f>
        <v>0</v>
      </c>
      <c r="AI47">
        <f>IF(VLOOKUP(AI$1,main!$A$3:$I$56,5,FALSE)-VLOOKUP($A47,main!$A$3:$I$56,6,FALSE)&gt;=VLOOKUP(55,main!$A$57:$I$59,4,FALSE)+VLOOKUP(VLOOKUP(AI$1,main!$A$3:$I$56,7,FALSE),main!$K$10:$Q$14,3,FALSE),1,0)</f>
        <v>0</v>
      </c>
      <c r="AJ47">
        <f>IF(VLOOKUP(AJ$1,main!$A$3:$I$56,5,FALSE)-VLOOKUP($A47,main!$A$3:$I$56,6,FALSE)&gt;=VLOOKUP(55,main!$A$57:$I$59,4,FALSE)+VLOOKUP(VLOOKUP(AJ$1,main!$A$3:$I$56,7,FALSE),main!$K$10:$Q$14,3,FALSE),1,0)</f>
        <v>0</v>
      </c>
      <c r="AK47">
        <f>IF(VLOOKUP(AK$1,main!$A$3:$I$56,5,FALSE)-VLOOKUP($A47,main!$A$3:$I$56,6,FALSE)&gt;=VLOOKUP(55,main!$A$57:$I$59,4,FALSE)+VLOOKUP(VLOOKUP(AK$1,main!$A$3:$I$56,7,FALSE),main!$K$10:$Q$14,3,FALSE),1,0)</f>
        <v>1</v>
      </c>
      <c r="AL47">
        <f>IF(VLOOKUP(AL$1,main!$A$3:$I$56,5,FALSE)-VLOOKUP($A47,main!$A$3:$I$56,6,FALSE)&gt;=VLOOKUP(55,main!$A$57:$I$59,4,FALSE)+VLOOKUP(VLOOKUP(AL$1,main!$A$3:$I$56,7,FALSE),main!$K$10:$Q$14,3,FALSE),1,0)</f>
        <v>0</v>
      </c>
      <c r="AM47">
        <f>IF(VLOOKUP(AM$1,main!$A$3:$I$56,5,FALSE)-VLOOKUP($A47,main!$A$3:$I$56,6,FALSE)&gt;=VLOOKUP(55,main!$A$57:$I$59,4,FALSE)+VLOOKUP(VLOOKUP(AM$1,main!$A$3:$I$56,7,FALSE),main!$K$10:$Q$14,3,FALSE),1,0)</f>
        <v>0</v>
      </c>
      <c r="AN47">
        <f>IF(VLOOKUP(AN$1,main!$A$3:$I$56,5,FALSE)-VLOOKUP($A47,main!$A$3:$I$56,6,FALSE)&gt;=VLOOKUP(55,main!$A$57:$I$59,4,FALSE)+VLOOKUP(VLOOKUP(AN$1,main!$A$3:$I$56,7,FALSE),main!$K$10:$Q$14,3,FALSE),1,0)</f>
        <v>0</v>
      </c>
      <c r="AO47">
        <f>IF(VLOOKUP(AO$1,main!$A$3:$I$56,5,FALSE)-VLOOKUP($A47,main!$A$3:$I$56,6,FALSE)&gt;=VLOOKUP(55,main!$A$57:$I$59,4,FALSE)+VLOOKUP(VLOOKUP(AO$1,main!$A$3:$I$56,7,FALSE),main!$K$10:$Q$14,3,FALSE),1,0)</f>
        <v>1</v>
      </c>
      <c r="AP47">
        <f>IF(VLOOKUP(AP$1,main!$A$3:$I$56,5,FALSE)-VLOOKUP($A47,main!$A$3:$I$56,6,FALSE)&gt;=VLOOKUP(55,main!$A$57:$I$59,4,FALSE)+VLOOKUP(VLOOKUP(AP$1,main!$A$3:$I$56,7,FALSE),main!$K$10:$Q$14,3,FALSE),1,0)</f>
        <v>0</v>
      </c>
      <c r="AQ47">
        <f>IF(VLOOKUP(AQ$1,main!$A$3:$I$56,5,FALSE)-VLOOKUP($A47,main!$A$3:$I$56,6,FALSE)&gt;=VLOOKUP(55,main!$A$57:$I$59,4,FALSE)+VLOOKUP(VLOOKUP(AQ$1,main!$A$3:$I$56,7,FALSE),main!$K$10:$Q$14,3,FALSE),1,0)</f>
        <v>0</v>
      </c>
      <c r="AR47">
        <f>IF(VLOOKUP(AR$1,main!$A$3:$I$56,5,FALSE)-VLOOKUP($A47,main!$A$3:$I$56,6,FALSE)&gt;=VLOOKUP(55,main!$A$57:$I$59,4,FALSE)+VLOOKUP(VLOOKUP(AR$1,main!$A$3:$I$56,7,FALSE),main!$K$10:$Q$14,3,FALSE),1,0)</f>
        <v>0</v>
      </c>
      <c r="AS47">
        <f>IF(VLOOKUP(AS$1,main!$A$3:$I$56,5,FALSE)-VLOOKUP($A47,main!$A$3:$I$56,6,FALSE)&gt;=VLOOKUP(55,main!$A$57:$I$59,4,FALSE)+VLOOKUP(VLOOKUP(AS$1,main!$A$3:$I$56,7,FALSE),main!$K$10:$Q$14,3,FALSE),1,0)</f>
        <v>0</v>
      </c>
      <c r="AT47">
        <f>IF(VLOOKUP(AT$1,main!$A$3:$I$56,5,FALSE)-VLOOKUP($A47,main!$A$3:$I$56,6,FALSE)&gt;=VLOOKUP(55,main!$A$57:$I$59,4,FALSE)+VLOOKUP(VLOOKUP(AT$1,main!$A$3:$I$56,7,FALSE),main!$K$10:$Q$14,3,FALSE),1,0)</f>
        <v>0</v>
      </c>
      <c r="AU47">
        <f>IF(VLOOKUP(AU$1,main!$A$3:$I$56,5,FALSE)-VLOOKUP($A47,main!$A$3:$I$56,6,FALSE)&gt;=VLOOKUP(55,main!$A$57:$I$59,4,FALSE)+VLOOKUP(VLOOKUP(AU$1,main!$A$3:$I$56,7,FALSE),main!$K$10:$Q$14,3,FALSE),1,0)</f>
        <v>0</v>
      </c>
      <c r="AV47">
        <f>IF(VLOOKUP(AV$1,main!$A$3:$I$56,5,FALSE)-VLOOKUP($A47,main!$A$3:$I$56,6,FALSE)&gt;=VLOOKUP(55,main!$A$57:$I$59,4,FALSE)+VLOOKUP(VLOOKUP(AV$1,main!$A$3:$I$56,7,FALSE),main!$K$10:$Q$14,3,FALSE),1,0)</f>
        <v>0</v>
      </c>
      <c r="AW47">
        <f>IF(VLOOKUP(AW$1,main!$A$3:$I$56,5,FALSE)-VLOOKUP($A47,main!$A$3:$I$56,6,FALSE)&gt;=VLOOKUP(55,main!$A$57:$I$59,4,FALSE)+VLOOKUP(VLOOKUP(AW$1,main!$A$3:$I$56,7,FALSE),main!$K$10:$Q$14,3,FALSE),1,0)</f>
        <v>0</v>
      </c>
      <c r="AX47">
        <f>IF(VLOOKUP(AX$1,main!$A$3:$I$56,5,FALSE)-VLOOKUP($A47,main!$A$3:$I$56,6,FALSE)&gt;=VLOOKUP(55,main!$A$57:$I$59,4,FALSE)+VLOOKUP(VLOOKUP(AX$1,main!$A$3:$I$56,7,FALSE),main!$K$10:$Q$14,3,FALSE),1,0)</f>
        <v>1</v>
      </c>
      <c r="AY47">
        <f>IF(VLOOKUP(AY$1,main!$A$3:$I$56,5,FALSE)-VLOOKUP($A47,main!$A$3:$I$56,6,FALSE)&gt;=VLOOKUP(55,main!$A$57:$I$59,4,FALSE)+VLOOKUP(VLOOKUP(AY$1,main!$A$3:$I$56,7,FALSE),main!$K$10:$Q$14,3,FALSE),1,0)</f>
        <v>1</v>
      </c>
      <c r="AZ47">
        <f>IF(VLOOKUP(AZ$1,main!$A$3:$I$56,5,FALSE)-VLOOKUP($A47,main!$A$3:$I$56,6,FALSE)&gt;=VLOOKUP(55,main!$A$57:$I$59,4,FALSE)+VLOOKUP(VLOOKUP(AZ$1,main!$A$3:$I$56,7,FALSE),main!$K$10:$Q$14,3,FALSE),1,0)</f>
        <v>0</v>
      </c>
      <c r="BA47">
        <f>IF(VLOOKUP(BA$1,main!$A$3:$I$56,5,FALSE)-VLOOKUP($A47,main!$A$3:$I$56,6,FALSE)&gt;=VLOOKUP(55,main!$A$57:$I$59,4,FALSE)+VLOOKUP(VLOOKUP(BA$1,main!$A$3:$I$56,7,FALSE),main!$K$10:$Q$14,3,FALSE),1,0)</f>
        <v>0</v>
      </c>
      <c r="BB47">
        <f>IF(VLOOKUP(BB$1,main!$A$3:$I$56,5,FALSE)-VLOOKUP($A47,main!$A$3:$I$56,6,FALSE)&gt;=VLOOKUP(55,main!$A$57:$I$59,4,FALSE)+VLOOKUP(VLOOKUP(BB$1,main!$A$3:$I$56,7,FALSE),main!$K$10:$Q$14,3,FALSE),1,0)</f>
        <v>0</v>
      </c>
      <c r="BC47">
        <f>IF(VLOOKUP(BC$1,main!$A$3:$I$56,5,FALSE)-VLOOKUP($A47,main!$A$3:$I$56,6,FALSE)&gt;=VLOOKUP(55,main!$A$57:$I$59,4,FALSE)+VLOOKUP(VLOOKUP(BC$1,main!$A$3:$I$56,7,FALSE),main!$K$10:$Q$14,3,FALSE),1,0)</f>
        <v>1</v>
      </c>
      <c r="BD47">
        <f>IF(VLOOKUP(BD$1,main!$A$3:$I$56,5,FALSE)-VLOOKUP($A47,main!$A$3:$I$56,6,FALSE)&gt;=VLOOKUP(55,main!$A$57:$I$59,4,FALSE)+VLOOKUP(VLOOKUP(BD$1,main!$A$3:$I$56,7,FALSE),main!$K$10:$Q$14,3,FALSE),1,0)</f>
        <v>1</v>
      </c>
    </row>
    <row r="48" spans="1:56" x14ac:dyDescent="0.25">
      <c r="A48">
        <f t="shared" si="0"/>
        <v>46</v>
      </c>
      <c r="B48">
        <v>0</v>
      </c>
      <c r="C48">
        <f>IF(VLOOKUP(C$1,main!$A$3:$I$56,5,FALSE)-VLOOKUP($A48,main!$A$3:$I$56,6,FALSE)&gt;=VLOOKUP(55,main!$A$57:$I$59,4,FALSE)+VLOOKUP(VLOOKUP(C$1,main!$A$3:$I$56,7,FALSE),main!$K$10:$Q$14,3,FALSE),1,0)</f>
        <v>0</v>
      </c>
      <c r="D48">
        <f>IF(VLOOKUP(D$1,main!$A$3:$I$56,5,FALSE)-VLOOKUP($A48,main!$A$3:$I$56,6,FALSE)&gt;=VLOOKUP(55,main!$A$57:$I$59,4,FALSE)+VLOOKUP(VLOOKUP(D$1,main!$A$3:$I$56,7,FALSE),main!$K$10:$Q$14,3,FALSE),1,0)</f>
        <v>0</v>
      </c>
      <c r="E48">
        <f>IF(VLOOKUP(E$1,main!$A$3:$I$56,5,FALSE)-VLOOKUP($A48,main!$A$3:$I$56,6,FALSE)&gt;=VLOOKUP(55,main!$A$57:$I$59,4,FALSE)+VLOOKUP(VLOOKUP(E$1,main!$A$3:$I$56,7,FALSE),main!$K$10:$Q$14,3,FALSE),1,0)</f>
        <v>0</v>
      </c>
      <c r="F48">
        <f>IF(VLOOKUP(F$1,main!$A$3:$I$56,5,FALSE)-VLOOKUP($A48,main!$A$3:$I$56,6,FALSE)&gt;=VLOOKUP(55,main!$A$57:$I$59,4,FALSE)+VLOOKUP(VLOOKUP(F$1,main!$A$3:$I$56,7,FALSE),main!$K$10:$Q$14,3,FALSE),1,0)</f>
        <v>0</v>
      </c>
      <c r="G48">
        <f>IF(VLOOKUP(G$1,main!$A$3:$I$56,5,FALSE)-VLOOKUP($A48,main!$A$3:$I$56,6,FALSE)&gt;=VLOOKUP(55,main!$A$57:$I$59,4,FALSE)+VLOOKUP(VLOOKUP(G$1,main!$A$3:$I$56,7,FALSE),main!$K$10:$Q$14,3,FALSE),1,0)</f>
        <v>1</v>
      </c>
      <c r="H48">
        <f>IF(VLOOKUP(H$1,main!$A$3:$I$56,5,FALSE)-VLOOKUP($A48,main!$A$3:$I$56,6,FALSE)&gt;=VLOOKUP(55,main!$A$57:$I$59,4,FALSE)+VLOOKUP(VLOOKUP(H$1,main!$A$3:$I$56,7,FALSE),main!$K$10:$Q$14,3,FALSE),1,0)</f>
        <v>1</v>
      </c>
      <c r="I48">
        <f>IF(VLOOKUP(I$1,main!$A$3:$I$56,5,FALSE)-VLOOKUP($A48,main!$A$3:$I$56,6,FALSE)&gt;=VLOOKUP(55,main!$A$57:$I$59,4,FALSE)+VLOOKUP(VLOOKUP(I$1,main!$A$3:$I$56,7,FALSE),main!$K$10:$Q$14,3,FALSE),1,0)</f>
        <v>1</v>
      </c>
      <c r="J48">
        <f>IF(VLOOKUP(J$1,main!$A$3:$I$56,5,FALSE)-VLOOKUP($A48,main!$A$3:$I$56,6,FALSE)&gt;=VLOOKUP(55,main!$A$57:$I$59,4,FALSE)+VLOOKUP(VLOOKUP(J$1,main!$A$3:$I$56,7,FALSE),main!$K$10:$Q$14,3,FALSE),1,0)</f>
        <v>1</v>
      </c>
      <c r="K48">
        <f>IF(VLOOKUP(K$1,main!$A$3:$I$56,5,FALSE)-VLOOKUP($A48,main!$A$3:$I$56,6,FALSE)&gt;=VLOOKUP(55,main!$A$57:$I$59,4,FALSE)+VLOOKUP(VLOOKUP(K$1,main!$A$3:$I$56,7,FALSE),main!$K$10:$Q$14,3,FALSE),1,0)</f>
        <v>0</v>
      </c>
      <c r="L48">
        <f>IF(VLOOKUP(L$1,main!$A$3:$I$56,5,FALSE)-VLOOKUP($A48,main!$A$3:$I$56,6,FALSE)&gt;=VLOOKUP(55,main!$A$57:$I$59,4,FALSE)+VLOOKUP(VLOOKUP(L$1,main!$A$3:$I$56,7,FALSE),main!$K$10:$Q$14,3,FALSE),1,0)</f>
        <v>0</v>
      </c>
      <c r="M48">
        <f>IF(VLOOKUP(M$1,main!$A$3:$I$56,5,FALSE)-VLOOKUP($A48,main!$A$3:$I$56,6,FALSE)&gt;=VLOOKUP(55,main!$A$57:$I$59,4,FALSE)+VLOOKUP(VLOOKUP(M$1,main!$A$3:$I$56,7,FALSE),main!$K$10:$Q$14,3,FALSE),1,0)</f>
        <v>0</v>
      </c>
      <c r="N48">
        <f>IF(VLOOKUP(N$1,main!$A$3:$I$56,5,FALSE)-VLOOKUP($A48,main!$A$3:$I$56,6,FALSE)&gt;=VLOOKUP(55,main!$A$57:$I$59,4,FALSE)+VLOOKUP(VLOOKUP(N$1,main!$A$3:$I$56,7,FALSE),main!$K$10:$Q$14,3,FALSE),1,0)</f>
        <v>1</v>
      </c>
      <c r="O48">
        <f>IF(VLOOKUP(O$1,main!$A$3:$I$56,5,FALSE)-VLOOKUP($A48,main!$A$3:$I$56,6,FALSE)&gt;=VLOOKUP(55,main!$A$57:$I$59,4,FALSE)+VLOOKUP(VLOOKUP(O$1,main!$A$3:$I$56,7,FALSE),main!$K$10:$Q$14,3,FALSE),1,0)</f>
        <v>1</v>
      </c>
      <c r="P48">
        <f>IF(VLOOKUP(P$1,main!$A$3:$I$56,5,FALSE)-VLOOKUP($A48,main!$A$3:$I$56,6,FALSE)&gt;=VLOOKUP(55,main!$A$57:$I$59,4,FALSE)+VLOOKUP(VLOOKUP(P$1,main!$A$3:$I$56,7,FALSE),main!$K$10:$Q$14,3,FALSE),1,0)</f>
        <v>0</v>
      </c>
      <c r="Q48">
        <f>IF(VLOOKUP(Q$1,main!$A$3:$I$56,5,FALSE)-VLOOKUP($A48,main!$A$3:$I$56,6,FALSE)&gt;=VLOOKUP(55,main!$A$57:$I$59,4,FALSE)+VLOOKUP(VLOOKUP(Q$1,main!$A$3:$I$56,7,FALSE),main!$K$10:$Q$14,3,FALSE),1,0)</f>
        <v>0</v>
      </c>
      <c r="R48">
        <f>IF(VLOOKUP(R$1,main!$A$3:$I$56,5,FALSE)-VLOOKUP($A48,main!$A$3:$I$56,6,FALSE)&gt;=VLOOKUP(55,main!$A$57:$I$59,4,FALSE)+VLOOKUP(VLOOKUP(R$1,main!$A$3:$I$56,7,FALSE),main!$K$10:$Q$14,3,FALSE),1,0)</f>
        <v>0</v>
      </c>
      <c r="S48">
        <f>IF(VLOOKUP(S$1,main!$A$3:$I$56,5,FALSE)-VLOOKUP($A48,main!$A$3:$I$56,6,FALSE)&gt;=VLOOKUP(55,main!$A$57:$I$59,4,FALSE)+VLOOKUP(VLOOKUP(S$1,main!$A$3:$I$56,7,FALSE),main!$K$10:$Q$14,3,FALSE),1,0)</f>
        <v>1</v>
      </c>
      <c r="T48">
        <f>IF(VLOOKUP(T$1,main!$A$3:$I$56,5,FALSE)-VLOOKUP($A48,main!$A$3:$I$56,6,FALSE)&gt;=VLOOKUP(55,main!$A$57:$I$59,4,FALSE)+VLOOKUP(VLOOKUP(T$1,main!$A$3:$I$56,7,FALSE),main!$K$10:$Q$14,3,FALSE),1,0)</f>
        <v>1</v>
      </c>
      <c r="U48">
        <f>IF(VLOOKUP(U$1,main!$A$3:$I$56,5,FALSE)-VLOOKUP($A48,main!$A$3:$I$56,6,FALSE)&gt;=VLOOKUP(55,main!$A$57:$I$59,4,FALSE)+VLOOKUP(VLOOKUP(U$1,main!$A$3:$I$56,7,FALSE),main!$K$10:$Q$14,3,FALSE),1,0)</f>
        <v>0</v>
      </c>
      <c r="V48">
        <f>IF(VLOOKUP(V$1,main!$A$3:$I$56,5,FALSE)-VLOOKUP($A48,main!$A$3:$I$56,6,FALSE)&gt;=VLOOKUP(55,main!$A$57:$I$59,4,FALSE)+VLOOKUP(VLOOKUP(V$1,main!$A$3:$I$56,7,FALSE),main!$K$10:$Q$14,3,FALSE),1,0)</f>
        <v>0</v>
      </c>
      <c r="W48">
        <f>IF(VLOOKUP(W$1,main!$A$3:$I$56,5,FALSE)-VLOOKUP($A48,main!$A$3:$I$56,6,FALSE)&gt;=VLOOKUP(55,main!$A$57:$I$59,4,FALSE)+VLOOKUP(VLOOKUP(W$1,main!$A$3:$I$56,7,FALSE),main!$K$10:$Q$14,3,FALSE),1,0)</f>
        <v>0</v>
      </c>
      <c r="X48">
        <f>IF(VLOOKUP(X$1,main!$A$3:$I$56,5,FALSE)-VLOOKUP($A48,main!$A$3:$I$56,6,FALSE)&gt;=VLOOKUP(55,main!$A$57:$I$59,4,FALSE)+VLOOKUP(VLOOKUP(X$1,main!$A$3:$I$56,7,FALSE),main!$K$10:$Q$14,3,FALSE),1,0)</f>
        <v>0</v>
      </c>
      <c r="Y48">
        <f>IF(VLOOKUP(Y$1,main!$A$3:$I$56,5,FALSE)-VLOOKUP($A48,main!$A$3:$I$56,6,FALSE)&gt;=VLOOKUP(55,main!$A$57:$I$59,4,FALSE)+VLOOKUP(VLOOKUP(Y$1,main!$A$3:$I$56,7,FALSE),main!$K$10:$Q$14,3,FALSE),1,0)</f>
        <v>0</v>
      </c>
      <c r="Z48">
        <f>IF(VLOOKUP(Z$1,main!$A$3:$I$56,5,FALSE)-VLOOKUP($A48,main!$A$3:$I$56,6,FALSE)&gt;=VLOOKUP(55,main!$A$57:$I$59,4,FALSE)+VLOOKUP(VLOOKUP(Z$1,main!$A$3:$I$56,7,FALSE),main!$K$10:$Q$14,3,FALSE),1,0)</f>
        <v>1</v>
      </c>
      <c r="AA48">
        <f>IF(VLOOKUP(AA$1,main!$A$3:$I$56,5,FALSE)-VLOOKUP($A48,main!$A$3:$I$56,6,FALSE)&gt;=VLOOKUP(55,main!$A$57:$I$59,4,FALSE)+VLOOKUP(VLOOKUP(AA$1,main!$A$3:$I$56,7,FALSE),main!$K$10:$Q$14,3,FALSE),1,0)</f>
        <v>1</v>
      </c>
      <c r="AB48">
        <f>IF(VLOOKUP(AB$1,main!$A$3:$I$56,5,FALSE)-VLOOKUP($A48,main!$A$3:$I$56,6,FALSE)&gt;=VLOOKUP(55,main!$A$57:$I$59,4,FALSE)+VLOOKUP(VLOOKUP(AB$1,main!$A$3:$I$56,7,FALSE),main!$K$10:$Q$14,3,FALSE),1,0)</f>
        <v>1</v>
      </c>
      <c r="AC48">
        <f>IF(VLOOKUP(AC$1,main!$A$3:$I$56,5,FALSE)-VLOOKUP($A48,main!$A$3:$I$56,6,FALSE)&gt;=VLOOKUP(55,main!$A$57:$I$59,4,FALSE)+VLOOKUP(VLOOKUP(AC$1,main!$A$3:$I$56,7,FALSE),main!$K$10:$Q$14,3,FALSE),1,0)</f>
        <v>0</v>
      </c>
      <c r="AD48">
        <f>IF(VLOOKUP(AD$1,main!$A$3:$I$56,5,FALSE)-VLOOKUP($A48,main!$A$3:$I$56,6,FALSE)&gt;=VLOOKUP(55,main!$A$57:$I$59,4,FALSE)+VLOOKUP(VLOOKUP(AD$1,main!$A$3:$I$56,7,FALSE),main!$K$10:$Q$14,3,FALSE),1,0)</f>
        <v>0</v>
      </c>
      <c r="AE48">
        <f>IF(VLOOKUP(AE$1,main!$A$3:$I$56,5,FALSE)-VLOOKUP($A48,main!$A$3:$I$56,6,FALSE)&gt;=VLOOKUP(55,main!$A$57:$I$59,4,FALSE)+VLOOKUP(VLOOKUP(AE$1,main!$A$3:$I$56,7,FALSE),main!$K$10:$Q$14,3,FALSE),1,0)</f>
        <v>0</v>
      </c>
      <c r="AF48">
        <f>IF(VLOOKUP(AF$1,main!$A$3:$I$56,5,FALSE)-VLOOKUP($A48,main!$A$3:$I$56,6,FALSE)&gt;=VLOOKUP(55,main!$A$57:$I$59,4,FALSE)+VLOOKUP(VLOOKUP(AF$1,main!$A$3:$I$56,7,FALSE),main!$K$10:$Q$14,3,FALSE),1,0)</f>
        <v>0</v>
      </c>
      <c r="AG48">
        <f>IF(VLOOKUP(AG$1,main!$A$3:$I$56,5,FALSE)-VLOOKUP($A48,main!$A$3:$I$56,6,FALSE)&gt;=VLOOKUP(55,main!$A$57:$I$59,4,FALSE)+VLOOKUP(VLOOKUP(AG$1,main!$A$3:$I$56,7,FALSE),main!$K$10:$Q$14,3,FALSE),1,0)</f>
        <v>0</v>
      </c>
      <c r="AH48">
        <f>IF(VLOOKUP(AH$1,main!$A$3:$I$56,5,FALSE)-VLOOKUP($A48,main!$A$3:$I$56,6,FALSE)&gt;=VLOOKUP(55,main!$A$57:$I$59,4,FALSE)+VLOOKUP(VLOOKUP(AH$1,main!$A$3:$I$56,7,FALSE),main!$K$10:$Q$14,3,FALSE),1,0)</f>
        <v>0</v>
      </c>
      <c r="AI48">
        <f>IF(VLOOKUP(AI$1,main!$A$3:$I$56,5,FALSE)-VLOOKUP($A48,main!$A$3:$I$56,6,FALSE)&gt;=VLOOKUP(55,main!$A$57:$I$59,4,FALSE)+VLOOKUP(VLOOKUP(AI$1,main!$A$3:$I$56,7,FALSE),main!$K$10:$Q$14,3,FALSE),1,0)</f>
        <v>0</v>
      </c>
      <c r="AJ48">
        <f>IF(VLOOKUP(AJ$1,main!$A$3:$I$56,5,FALSE)-VLOOKUP($A48,main!$A$3:$I$56,6,FALSE)&gt;=VLOOKUP(55,main!$A$57:$I$59,4,FALSE)+VLOOKUP(VLOOKUP(AJ$1,main!$A$3:$I$56,7,FALSE),main!$K$10:$Q$14,3,FALSE),1,0)</f>
        <v>0</v>
      </c>
      <c r="AK48">
        <f>IF(VLOOKUP(AK$1,main!$A$3:$I$56,5,FALSE)-VLOOKUP($A48,main!$A$3:$I$56,6,FALSE)&gt;=VLOOKUP(55,main!$A$57:$I$59,4,FALSE)+VLOOKUP(VLOOKUP(AK$1,main!$A$3:$I$56,7,FALSE),main!$K$10:$Q$14,3,FALSE),1,0)</f>
        <v>1</v>
      </c>
      <c r="AL48">
        <f>IF(VLOOKUP(AL$1,main!$A$3:$I$56,5,FALSE)-VLOOKUP($A48,main!$A$3:$I$56,6,FALSE)&gt;=VLOOKUP(55,main!$A$57:$I$59,4,FALSE)+VLOOKUP(VLOOKUP(AL$1,main!$A$3:$I$56,7,FALSE),main!$K$10:$Q$14,3,FALSE),1,0)</f>
        <v>0</v>
      </c>
      <c r="AM48">
        <f>IF(VLOOKUP(AM$1,main!$A$3:$I$56,5,FALSE)-VLOOKUP($A48,main!$A$3:$I$56,6,FALSE)&gt;=VLOOKUP(55,main!$A$57:$I$59,4,FALSE)+VLOOKUP(VLOOKUP(AM$1,main!$A$3:$I$56,7,FALSE),main!$K$10:$Q$14,3,FALSE),1,0)</f>
        <v>0</v>
      </c>
      <c r="AN48">
        <f>IF(VLOOKUP(AN$1,main!$A$3:$I$56,5,FALSE)-VLOOKUP($A48,main!$A$3:$I$56,6,FALSE)&gt;=VLOOKUP(55,main!$A$57:$I$59,4,FALSE)+VLOOKUP(VLOOKUP(AN$1,main!$A$3:$I$56,7,FALSE),main!$K$10:$Q$14,3,FALSE),1,0)</f>
        <v>0</v>
      </c>
      <c r="AO48">
        <f>IF(VLOOKUP(AO$1,main!$A$3:$I$56,5,FALSE)-VLOOKUP($A48,main!$A$3:$I$56,6,FALSE)&gt;=VLOOKUP(55,main!$A$57:$I$59,4,FALSE)+VLOOKUP(VLOOKUP(AO$1,main!$A$3:$I$56,7,FALSE),main!$K$10:$Q$14,3,FALSE),1,0)</f>
        <v>0</v>
      </c>
      <c r="AP48">
        <f>IF(VLOOKUP(AP$1,main!$A$3:$I$56,5,FALSE)-VLOOKUP($A48,main!$A$3:$I$56,6,FALSE)&gt;=VLOOKUP(55,main!$A$57:$I$59,4,FALSE)+VLOOKUP(VLOOKUP(AP$1,main!$A$3:$I$56,7,FALSE),main!$K$10:$Q$14,3,FALSE),1,0)</f>
        <v>0</v>
      </c>
      <c r="AQ48">
        <f>IF(VLOOKUP(AQ$1,main!$A$3:$I$56,5,FALSE)-VLOOKUP($A48,main!$A$3:$I$56,6,FALSE)&gt;=VLOOKUP(55,main!$A$57:$I$59,4,FALSE)+VLOOKUP(VLOOKUP(AQ$1,main!$A$3:$I$56,7,FALSE),main!$K$10:$Q$14,3,FALSE),1,0)</f>
        <v>0</v>
      </c>
      <c r="AR48">
        <f>IF(VLOOKUP(AR$1,main!$A$3:$I$56,5,FALSE)-VLOOKUP($A48,main!$A$3:$I$56,6,FALSE)&gt;=VLOOKUP(55,main!$A$57:$I$59,4,FALSE)+VLOOKUP(VLOOKUP(AR$1,main!$A$3:$I$56,7,FALSE),main!$K$10:$Q$14,3,FALSE),1,0)</f>
        <v>0</v>
      </c>
      <c r="AS48">
        <f>IF(VLOOKUP(AS$1,main!$A$3:$I$56,5,FALSE)-VLOOKUP($A48,main!$A$3:$I$56,6,FALSE)&gt;=VLOOKUP(55,main!$A$57:$I$59,4,FALSE)+VLOOKUP(VLOOKUP(AS$1,main!$A$3:$I$56,7,FALSE),main!$K$10:$Q$14,3,FALSE),1,0)</f>
        <v>0</v>
      </c>
      <c r="AT48">
        <f>IF(VLOOKUP(AT$1,main!$A$3:$I$56,5,FALSE)-VLOOKUP($A48,main!$A$3:$I$56,6,FALSE)&gt;=VLOOKUP(55,main!$A$57:$I$59,4,FALSE)+VLOOKUP(VLOOKUP(AT$1,main!$A$3:$I$56,7,FALSE),main!$K$10:$Q$14,3,FALSE),1,0)</f>
        <v>0</v>
      </c>
      <c r="AU48">
        <f>IF(VLOOKUP(AU$1,main!$A$3:$I$56,5,FALSE)-VLOOKUP($A48,main!$A$3:$I$56,6,FALSE)&gt;=VLOOKUP(55,main!$A$57:$I$59,4,FALSE)+VLOOKUP(VLOOKUP(AU$1,main!$A$3:$I$56,7,FALSE),main!$K$10:$Q$14,3,FALSE),1,0)</f>
        <v>0</v>
      </c>
      <c r="AV48">
        <f>IF(VLOOKUP(AV$1,main!$A$3:$I$56,5,FALSE)-VLOOKUP($A48,main!$A$3:$I$56,6,FALSE)&gt;=VLOOKUP(55,main!$A$57:$I$59,4,FALSE)+VLOOKUP(VLOOKUP(AV$1,main!$A$3:$I$56,7,FALSE),main!$K$10:$Q$14,3,FALSE),1,0)</f>
        <v>0</v>
      </c>
      <c r="AW48">
        <f>IF(VLOOKUP(AW$1,main!$A$3:$I$56,5,FALSE)-VLOOKUP($A48,main!$A$3:$I$56,6,FALSE)&gt;=VLOOKUP(55,main!$A$57:$I$59,4,FALSE)+VLOOKUP(VLOOKUP(AW$1,main!$A$3:$I$56,7,FALSE),main!$K$10:$Q$14,3,FALSE),1,0)</f>
        <v>0</v>
      </c>
      <c r="AX48">
        <f>IF(VLOOKUP(AX$1,main!$A$3:$I$56,5,FALSE)-VLOOKUP($A48,main!$A$3:$I$56,6,FALSE)&gt;=VLOOKUP(55,main!$A$57:$I$59,4,FALSE)+VLOOKUP(VLOOKUP(AX$1,main!$A$3:$I$56,7,FALSE),main!$K$10:$Q$14,3,FALSE),1,0)</f>
        <v>1</v>
      </c>
      <c r="AY48">
        <f>IF(VLOOKUP(AY$1,main!$A$3:$I$56,5,FALSE)-VLOOKUP($A48,main!$A$3:$I$56,6,FALSE)&gt;=VLOOKUP(55,main!$A$57:$I$59,4,FALSE)+VLOOKUP(VLOOKUP(AY$1,main!$A$3:$I$56,7,FALSE),main!$K$10:$Q$14,3,FALSE),1,0)</f>
        <v>1</v>
      </c>
      <c r="AZ48">
        <f>IF(VLOOKUP(AZ$1,main!$A$3:$I$56,5,FALSE)-VLOOKUP($A48,main!$A$3:$I$56,6,FALSE)&gt;=VLOOKUP(55,main!$A$57:$I$59,4,FALSE)+VLOOKUP(VLOOKUP(AZ$1,main!$A$3:$I$56,7,FALSE),main!$K$10:$Q$14,3,FALSE),1,0)</f>
        <v>0</v>
      </c>
      <c r="BA48">
        <f>IF(VLOOKUP(BA$1,main!$A$3:$I$56,5,FALSE)-VLOOKUP($A48,main!$A$3:$I$56,6,FALSE)&gt;=VLOOKUP(55,main!$A$57:$I$59,4,FALSE)+VLOOKUP(VLOOKUP(BA$1,main!$A$3:$I$56,7,FALSE),main!$K$10:$Q$14,3,FALSE),1,0)</f>
        <v>0</v>
      </c>
      <c r="BB48">
        <f>IF(VLOOKUP(BB$1,main!$A$3:$I$56,5,FALSE)-VLOOKUP($A48,main!$A$3:$I$56,6,FALSE)&gt;=VLOOKUP(55,main!$A$57:$I$59,4,FALSE)+VLOOKUP(VLOOKUP(BB$1,main!$A$3:$I$56,7,FALSE),main!$K$10:$Q$14,3,FALSE),1,0)</f>
        <v>0</v>
      </c>
      <c r="BC48">
        <f>IF(VLOOKUP(BC$1,main!$A$3:$I$56,5,FALSE)-VLOOKUP($A48,main!$A$3:$I$56,6,FALSE)&gt;=VLOOKUP(55,main!$A$57:$I$59,4,FALSE)+VLOOKUP(VLOOKUP(BC$1,main!$A$3:$I$56,7,FALSE),main!$K$10:$Q$14,3,FALSE),1,0)</f>
        <v>1</v>
      </c>
      <c r="BD48">
        <f>IF(VLOOKUP(BD$1,main!$A$3:$I$56,5,FALSE)-VLOOKUP($A48,main!$A$3:$I$56,6,FALSE)&gt;=VLOOKUP(55,main!$A$57:$I$59,4,FALSE)+VLOOKUP(VLOOKUP(BD$1,main!$A$3:$I$56,7,FALSE),main!$K$10:$Q$14,3,FALSE),1,0)</f>
        <v>1</v>
      </c>
    </row>
    <row r="49" spans="1:56" x14ac:dyDescent="0.25">
      <c r="A49">
        <f t="shared" si="0"/>
        <v>47</v>
      </c>
      <c r="B49">
        <v>0</v>
      </c>
      <c r="C49">
        <f>IF(VLOOKUP(C$1,main!$A$3:$I$56,5,FALSE)-VLOOKUP($A49,main!$A$3:$I$56,6,FALSE)&gt;=VLOOKUP(55,main!$A$57:$I$59,4,FALSE)+VLOOKUP(VLOOKUP(C$1,main!$A$3:$I$56,7,FALSE),main!$K$10:$Q$14,3,FALSE),1,0)</f>
        <v>0</v>
      </c>
      <c r="D49">
        <f>IF(VLOOKUP(D$1,main!$A$3:$I$56,5,FALSE)-VLOOKUP($A49,main!$A$3:$I$56,6,FALSE)&gt;=VLOOKUP(55,main!$A$57:$I$59,4,FALSE)+VLOOKUP(VLOOKUP(D$1,main!$A$3:$I$56,7,FALSE),main!$K$10:$Q$14,3,FALSE),1,0)</f>
        <v>0</v>
      </c>
      <c r="E49">
        <f>IF(VLOOKUP(E$1,main!$A$3:$I$56,5,FALSE)-VLOOKUP($A49,main!$A$3:$I$56,6,FALSE)&gt;=VLOOKUP(55,main!$A$57:$I$59,4,FALSE)+VLOOKUP(VLOOKUP(E$1,main!$A$3:$I$56,7,FALSE),main!$K$10:$Q$14,3,FALSE),1,0)</f>
        <v>0</v>
      </c>
      <c r="F49">
        <f>IF(VLOOKUP(F$1,main!$A$3:$I$56,5,FALSE)-VLOOKUP($A49,main!$A$3:$I$56,6,FALSE)&gt;=VLOOKUP(55,main!$A$57:$I$59,4,FALSE)+VLOOKUP(VLOOKUP(F$1,main!$A$3:$I$56,7,FALSE),main!$K$10:$Q$14,3,FALSE),1,0)</f>
        <v>0</v>
      </c>
      <c r="G49">
        <f>IF(VLOOKUP(G$1,main!$A$3:$I$56,5,FALSE)-VLOOKUP($A49,main!$A$3:$I$56,6,FALSE)&gt;=VLOOKUP(55,main!$A$57:$I$59,4,FALSE)+VLOOKUP(VLOOKUP(G$1,main!$A$3:$I$56,7,FALSE),main!$K$10:$Q$14,3,FALSE),1,0)</f>
        <v>0</v>
      </c>
      <c r="H49">
        <f>IF(VLOOKUP(H$1,main!$A$3:$I$56,5,FALSE)-VLOOKUP($A49,main!$A$3:$I$56,6,FALSE)&gt;=VLOOKUP(55,main!$A$57:$I$59,4,FALSE)+VLOOKUP(VLOOKUP(H$1,main!$A$3:$I$56,7,FALSE),main!$K$10:$Q$14,3,FALSE),1,0)</f>
        <v>1</v>
      </c>
      <c r="I49">
        <f>IF(VLOOKUP(I$1,main!$A$3:$I$56,5,FALSE)-VLOOKUP($A49,main!$A$3:$I$56,6,FALSE)&gt;=VLOOKUP(55,main!$A$57:$I$59,4,FALSE)+VLOOKUP(VLOOKUP(I$1,main!$A$3:$I$56,7,FALSE),main!$K$10:$Q$14,3,FALSE),1,0)</f>
        <v>1</v>
      </c>
      <c r="J49">
        <f>IF(VLOOKUP(J$1,main!$A$3:$I$56,5,FALSE)-VLOOKUP($A49,main!$A$3:$I$56,6,FALSE)&gt;=VLOOKUP(55,main!$A$57:$I$59,4,FALSE)+VLOOKUP(VLOOKUP(J$1,main!$A$3:$I$56,7,FALSE),main!$K$10:$Q$14,3,FALSE),1,0)</f>
        <v>1</v>
      </c>
      <c r="K49">
        <f>IF(VLOOKUP(K$1,main!$A$3:$I$56,5,FALSE)-VLOOKUP($A49,main!$A$3:$I$56,6,FALSE)&gt;=VLOOKUP(55,main!$A$57:$I$59,4,FALSE)+VLOOKUP(VLOOKUP(K$1,main!$A$3:$I$56,7,FALSE),main!$K$10:$Q$14,3,FALSE),1,0)</f>
        <v>0</v>
      </c>
      <c r="L49">
        <f>IF(VLOOKUP(L$1,main!$A$3:$I$56,5,FALSE)-VLOOKUP($A49,main!$A$3:$I$56,6,FALSE)&gt;=VLOOKUP(55,main!$A$57:$I$59,4,FALSE)+VLOOKUP(VLOOKUP(L$1,main!$A$3:$I$56,7,FALSE),main!$K$10:$Q$14,3,FALSE),1,0)</f>
        <v>0</v>
      </c>
      <c r="M49">
        <f>IF(VLOOKUP(M$1,main!$A$3:$I$56,5,FALSE)-VLOOKUP($A49,main!$A$3:$I$56,6,FALSE)&gt;=VLOOKUP(55,main!$A$57:$I$59,4,FALSE)+VLOOKUP(VLOOKUP(M$1,main!$A$3:$I$56,7,FALSE),main!$K$10:$Q$14,3,FALSE),1,0)</f>
        <v>0</v>
      </c>
      <c r="N49">
        <f>IF(VLOOKUP(N$1,main!$A$3:$I$56,5,FALSE)-VLOOKUP($A49,main!$A$3:$I$56,6,FALSE)&gt;=VLOOKUP(55,main!$A$57:$I$59,4,FALSE)+VLOOKUP(VLOOKUP(N$1,main!$A$3:$I$56,7,FALSE),main!$K$10:$Q$14,3,FALSE),1,0)</f>
        <v>1</v>
      </c>
      <c r="O49">
        <f>IF(VLOOKUP(O$1,main!$A$3:$I$56,5,FALSE)-VLOOKUP($A49,main!$A$3:$I$56,6,FALSE)&gt;=VLOOKUP(55,main!$A$57:$I$59,4,FALSE)+VLOOKUP(VLOOKUP(O$1,main!$A$3:$I$56,7,FALSE),main!$K$10:$Q$14,3,FALSE),1,0)</f>
        <v>1</v>
      </c>
      <c r="P49">
        <f>IF(VLOOKUP(P$1,main!$A$3:$I$56,5,FALSE)-VLOOKUP($A49,main!$A$3:$I$56,6,FALSE)&gt;=VLOOKUP(55,main!$A$57:$I$59,4,FALSE)+VLOOKUP(VLOOKUP(P$1,main!$A$3:$I$56,7,FALSE),main!$K$10:$Q$14,3,FALSE),1,0)</f>
        <v>0</v>
      </c>
      <c r="Q49">
        <f>IF(VLOOKUP(Q$1,main!$A$3:$I$56,5,FALSE)-VLOOKUP($A49,main!$A$3:$I$56,6,FALSE)&gt;=VLOOKUP(55,main!$A$57:$I$59,4,FALSE)+VLOOKUP(VLOOKUP(Q$1,main!$A$3:$I$56,7,FALSE),main!$K$10:$Q$14,3,FALSE),1,0)</f>
        <v>0</v>
      </c>
      <c r="R49">
        <f>IF(VLOOKUP(R$1,main!$A$3:$I$56,5,FALSE)-VLOOKUP($A49,main!$A$3:$I$56,6,FALSE)&gt;=VLOOKUP(55,main!$A$57:$I$59,4,FALSE)+VLOOKUP(VLOOKUP(R$1,main!$A$3:$I$56,7,FALSE),main!$K$10:$Q$14,3,FALSE),1,0)</f>
        <v>0</v>
      </c>
      <c r="S49">
        <f>IF(VLOOKUP(S$1,main!$A$3:$I$56,5,FALSE)-VLOOKUP($A49,main!$A$3:$I$56,6,FALSE)&gt;=VLOOKUP(55,main!$A$57:$I$59,4,FALSE)+VLOOKUP(VLOOKUP(S$1,main!$A$3:$I$56,7,FALSE),main!$K$10:$Q$14,3,FALSE),1,0)</f>
        <v>0</v>
      </c>
      <c r="T49">
        <f>IF(VLOOKUP(T$1,main!$A$3:$I$56,5,FALSE)-VLOOKUP($A49,main!$A$3:$I$56,6,FALSE)&gt;=VLOOKUP(55,main!$A$57:$I$59,4,FALSE)+VLOOKUP(VLOOKUP(T$1,main!$A$3:$I$56,7,FALSE),main!$K$10:$Q$14,3,FALSE),1,0)</f>
        <v>1</v>
      </c>
      <c r="U49">
        <f>IF(VLOOKUP(U$1,main!$A$3:$I$56,5,FALSE)-VLOOKUP($A49,main!$A$3:$I$56,6,FALSE)&gt;=VLOOKUP(55,main!$A$57:$I$59,4,FALSE)+VLOOKUP(VLOOKUP(U$1,main!$A$3:$I$56,7,FALSE),main!$K$10:$Q$14,3,FALSE),1,0)</f>
        <v>0</v>
      </c>
      <c r="V49">
        <f>IF(VLOOKUP(V$1,main!$A$3:$I$56,5,FALSE)-VLOOKUP($A49,main!$A$3:$I$56,6,FALSE)&gt;=VLOOKUP(55,main!$A$57:$I$59,4,FALSE)+VLOOKUP(VLOOKUP(V$1,main!$A$3:$I$56,7,FALSE),main!$K$10:$Q$14,3,FALSE),1,0)</f>
        <v>0</v>
      </c>
      <c r="W49">
        <f>IF(VLOOKUP(W$1,main!$A$3:$I$56,5,FALSE)-VLOOKUP($A49,main!$A$3:$I$56,6,FALSE)&gt;=VLOOKUP(55,main!$A$57:$I$59,4,FALSE)+VLOOKUP(VLOOKUP(W$1,main!$A$3:$I$56,7,FALSE),main!$K$10:$Q$14,3,FALSE),1,0)</f>
        <v>0</v>
      </c>
      <c r="X49">
        <f>IF(VLOOKUP(X$1,main!$A$3:$I$56,5,FALSE)-VLOOKUP($A49,main!$A$3:$I$56,6,FALSE)&gt;=VLOOKUP(55,main!$A$57:$I$59,4,FALSE)+VLOOKUP(VLOOKUP(X$1,main!$A$3:$I$56,7,FALSE),main!$K$10:$Q$14,3,FALSE),1,0)</f>
        <v>0</v>
      </c>
      <c r="Y49">
        <f>IF(VLOOKUP(Y$1,main!$A$3:$I$56,5,FALSE)-VLOOKUP($A49,main!$A$3:$I$56,6,FALSE)&gt;=VLOOKUP(55,main!$A$57:$I$59,4,FALSE)+VLOOKUP(VLOOKUP(Y$1,main!$A$3:$I$56,7,FALSE),main!$K$10:$Q$14,3,FALSE),1,0)</f>
        <v>0</v>
      </c>
      <c r="Z49">
        <f>IF(VLOOKUP(Z$1,main!$A$3:$I$56,5,FALSE)-VLOOKUP($A49,main!$A$3:$I$56,6,FALSE)&gt;=VLOOKUP(55,main!$A$57:$I$59,4,FALSE)+VLOOKUP(VLOOKUP(Z$1,main!$A$3:$I$56,7,FALSE),main!$K$10:$Q$14,3,FALSE),1,0)</f>
        <v>0</v>
      </c>
      <c r="AA49">
        <f>IF(VLOOKUP(AA$1,main!$A$3:$I$56,5,FALSE)-VLOOKUP($A49,main!$A$3:$I$56,6,FALSE)&gt;=VLOOKUP(55,main!$A$57:$I$59,4,FALSE)+VLOOKUP(VLOOKUP(AA$1,main!$A$3:$I$56,7,FALSE),main!$K$10:$Q$14,3,FALSE),1,0)</f>
        <v>1</v>
      </c>
      <c r="AB49">
        <f>IF(VLOOKUP(AB$1,main!$A$3:$I$56,5,FALSE)-VLOOKUP($A49,main!$A$3:$I$56,6,FALSE)&gt;=VLOOKUP(55,main!$A$57:$I$59,4,FALSE)+VLOOKUP(VLOOKUP(AB$1,main!$A$3:$I$56,7,FALSE),main!$K$10:$Q$14,3,FALSE),1,0)</f>
        <v>1</v>
      </c>
      <c r="AC49">
        <f>IF(VLOOKUP(AC$1,main!$A$3:$I$56,5,FALSE)-VLOOKUP($A49,main!$A$3:$I$56,6,FALSE)&gt;=VLOOKUP(55,main!$A$57:$I$59,4,FALSE)+VLOOKUP(VLOOKUP(AC$1,main!$A$3:$I$56,7,FALSE),main!$K$10:$Q$14,3,FALSE),1,0)</f>
        <v>0</v>
      </c>
      <c r="AD49">
        <f>IF(VLOOKUP(AD$1,main!$A$3:$I$56,5,FALSE)-VLOOKUP($A49,main!$A$3:$I$56,6,FALSE)&gt;=VLOOKUP(55,main!$A$57:$I$59,4,FALSE)+VLOOKUP(VLOOKUP(AD$1,main!$A$3:$I$56,7,FALSE),main!$K$10:$Q$14,3,FALSE),1,0)</f>
        <v>0</v>
      </c>
      <c r="AE49">
        <f>IF(VLOOKUP(AE$1,main!$A$3:$I$56,5,FALSE)-VLOOKUP($A49,main!$A$3:$I$56,6,FALSE)&gt;=VLOOKUP(55,main!$A$57:$I$59,4,FALSE)+VLOOKUP(VLOOKUP(AE$1,main!$A$3:$I$56,7,FALSE),main!$K$10:$Q$14,3,FALSE),1,0)</f>
        <v>0</v>
      </c>
      <c r="AF49">
        <f>IF(VLOOKUP(AF$1,main!$A$3:$I$56,5,FALSE)-VLOOKUP($A49,main!$A$3:$I$56,6,FALSE)&gt;=VLOOKUP(55,main!$A$57:$I$59,4,FALSE)+VLOOKUP(VLOOKUP(AF$1,main!$A$3:$I$56,7,FALSE),main!$K$10:$Q$14,3,FALSE),1,0)</f>
        <v>0</v>
      </c>
      <c r="AG49">
        <f>IF(VLOOKUP(AG$1,main!$A$3:$I$56,5,FALSE)-VLOOKUP($A49,main!$A$3:$I$56,6,FALSE)&gt;=VLOOKUP(55,main!$A$57:$I$59,4,FALSE)+VLOOKUP(VLOOKUP(AG$1,main!$A$3:$I$56,7,FALSE),main!$K$10:$Q$14,3,FALSE),1,0)</f>
        <v>0</v>
      </c>
      <c r="AH49">
        <f>IF(VLOOKUP(AH$1,main!$A$3:$I$56,5,FALSE)-VLOOKUP($A49,main!$A$3:$I$56,6,FALSE)&gt;=VLOOKUP(55,main!$A$57:$I$59,4,FALSE)+VLOOKUP(VLOOKUP(AH$1,main!$A$3:$I$56,7,FALSE),main!$K$10:$Q$14,3,FALSE),1,0)</f>
        <v>0</v>
      </c>
      <c r="AI49">
        <f>IF(VLOOKUP(AI$1,main!$A$3:$I$56,5,FALSE)-VLOOKUP($A49,main!$A$3:$I$56,6,FALSE)&gt;=VLOOKUP(55,main!$A$57:$I$59,4,FALSE)+VLOOKUP(VLOOKUP(AI$1,main!$A$3:$I$56,7,FALSE),main!$K$10:$Q$14,3,FALSE),1,0)</f>
        <v>0</v>
      </c>
      <c r="AJ49">
        <f>IF(VLOOKUP(AJ$1,main!$A$3:$I$56,5,FALSE)-VLOOKUP($A49,main!$A$3:$I$56,6,FALSE)&gt;=VLOOKUP(55,main!$A$57:$I$59,4,FALSE)+VLOOKUP(VLOOKUP(AJ$1,main!$A$3:$I$56,7,FALSE),main!$K$10:$Q$14,3,FALSE),1,0)</f>
        <v>0</v>
      </c>
      <c r="AK49">
        <f>IF(VLOOKUP(AK$1,main!$A$3:$I$56,5,FALSE)-VLOOKUP($A49,main!$A$3:$I$56,6,FALSE)&gt;=VLOOKUP(55,main!$A$57:$I$59,4,FALSE)+VLOOKUP(VLOOKUP(AK$1,main!$A$3:$I$56,7,FALSE),main!$K$10:$Q$14,3,FALSE),1,0)</f>
        <v>1</v>
      </c>
      <c r="AL49">
        <f>IF(VLOOKUP(AL$1,main!$A$3:$I$56,5,FALSE)-VLOOKUP($A49,main!$A$3:$I$56,6,FALSE)&gt;=VLOOKUP(55,main!$A$57:$I$59,4,FALSE)+VLOOKUP(VLOOKUP(AL$1,main!$A$3:$I$56,7,FALSE),main!$K$10:$Q$14,3,FALSE),1,0)</f>
        <v>0</v>
      </c>
      <c r="AM49">
        <f>IF(VLOOKUP(AM$1,main!$A$3:$I$56,5,FALSE)-VLOOKUP($A49,main!$A$3:$I$56,6,FALSE)&gt;=VLOOKUP(55,main!$A$57:$I$59,4,FALSE)+VLOOKUP(VLOOKUP(AM$1,main!$A$3:$I$56,7,FALSE),main!$K$10:$Q$14,3,FALSE),1,0)</f>
        <v>0</v>
      </c>
      <c r="AN49">
        <f>IF(VLOOKUP(AN$1,main!$A$3:$I$56,5,FALSE)-VLOOKUP($A49,main!$A$3:$I$56,6,FALSE)&gt;=VLOOKUP(55,main!$A$57:$I$59,4,FALSE)+VLOOKUP(VLOOKUP(AN$1,main!$A$3:$I$56,7,FALSE),main!$K$10:$Q$14,3,FALSE),1,0)</f>
        <v>0</v>
      </c>
      <c r="AO49">
        <f>IF(VLOOKUP(AO$1,main!$A$3:$I$56,5,FALSE)-VLOOKUP($A49,main!$A$3:$I$56,6,FALSE)&gt;=VLOOKUP(55,main!$A$57:$I$59,4,FALSE)+VLOOKUP(VLOOKUP(AO$1,main!$A$3:$I$56,7,FALSE),main!$K$10:$Q$14,3,FALSE),1,0)</f>
        <v>0</v>
      </c>
      <c r="AP49">
        <f>IF(VLOOKUP(AP$1,main!$A$3:$I$56,5,FALSE)-VLOOKUP($A49,main!$A$3:$I$56,6,FALSE)&gt;=VLOOKUP(55,main!$A$57:$I$59,4,FALSE)+VLOOKUP(VLOOKUP(AP$1,main!$A$3:$I$56,7,FALSE),main!$K$10:$Q$14,3,FALSE),1,0)</f>
        <v>0</v>
      </c>
      <c r="AQ49">
        <f>IF(VLOOKUP(AQ$1,main!$A$3:$I$56,5,FALSE)-VLOOKUP($A49,main!$A$3:$I$56,6,FALSE)&gt;=VLOOKUP(55,main!$A$57:$I$59,4,FALSE)+VLOOKUP(VLOOKUP(AQ$1,main!$A$3:$I$56,7,FALSE),main!$K$10:$Q$14,3,FALSE),1,0)</f>
        <v>0</v>
      </c>
      <c r="AR49">
        <f>IF(VLOOKUP(AR$1,main!$A$3:$I$56,5,FALSE)-VLOOKUP($A49,main!$A$3:$I$56,6,FALSE)&gt;=VLOOKUP(55,main!$A$57:$I$59,4,FALSE)+VLOOKUP(VLOOKUP(AR$1,main!$A$3:$I$56,7,FALSE),main!$K$10:$Q$14,3,FALSE),1,0)</f>
        <v>0</v>
      </c>
      <c r="AS49">
        <f>IF(VLOOKUP(AS$1,main!$A$3:$I$56,5,FALSE)-VLOOKUP($A49,main!$A$3:$I$56,6,FALSE)&gt;=VLOOKUP(55,main!$A$57:$I$59,4,FALSE)+VLOOKUP(VLOOKUP(AS$1,main!$A$3:$I$56,7,FALSE),main!$K$10:$Q$14,3,FALSE),1,0)</f>
        <v>0</v>
      </c>
      <c r="AT49">
        <f>IF(VLOOKUP(AT$1,main!$A$3:$I$56,5,FALSE)-VLOOKUP($A49,main!$A$3:$I$56,6,FALSE)&gt;=VLOOKUP(55,main!$A$57:$I$59,4,FALSE)+VLOOKUP(VLOOKUP(AT$1,main!$A$3:$I$56,7,FALSE),main!$K$10:$Q$14,3,FALSE),1,0)</f>
        <v>0</v>
      </c>
      <c r="AU49">
        <f>IF(VLOOKUP(AU$1,main!$A$3:$I$56,5,FALSE)-VLOOKUP($A49,main!$A$3:$I$56,6,FALSE)&gt;=VLOOKUP(55,main!$A$57:$I$59,4,FALSE)+VLOOKUP(VLOOKUP(AU$1,main!$A$3:$I$56,7,FALSE),main!$K$10:$Q$14,3,FALSE),1,0)</f>
        <v>0</v>
      </c>
      <c r="AV49">
        <f>IF(VLOOKUP(AV$1,main!$A$3:$I$56,5,FALSE)-VLOOKUP($A49,main!$A$3:$I$56,6,FALSE)&gt;=VLOOKUP(55,main!$A$57:$I$59,4,FALSE)+VLOOKUP(VLOOKUP(AV$1,main!$A$3:$I$56,7,FALSE),main!$K$10:$Q$14,3,FALSE),1,0)</f>
        <v>0</v>
      </c>
      <c r="AW49">
        <f>IF(VLOOKUP(AW$1,main!$A$3:$I$56,5,FALSE)-VLOOKUP($A49,main!$A$3:$I$56,6,FALSE)&gt;=VLOOKUP(55,main!$A$57:$I$59,4,FALSE)+VLOOKUP(VLOOKUP(AW$1,main!$A$3:$I$56,7,FALSE),main!$K$10:$Q$14,3,FALSE),1,0)</f>
        <v>0</v>
      </c>
      <c r="AX49">
        <f>IF(VLOOKUP(AX$1,main!$A$3:$I$56,5,FALSE)-VLOOKUP($A49,main!$A$3:$I$56,6,FALSE)&gt;=VLOOKUP(55,main!$A$57:$I$59,4,FALSE)+VLOOKUP(VLOOKUP(AX$1,main!$A$3:$I$56,7,FALSE),main!$K$10:$Q$14,3,FALSE),1,0)</f>
        <v>0</v>
      </c>
      <c r="AY49">
        <f>IF(VLOOKUP(AY$1,main!$A$3:$I$56,5,FALSE)-VLOOKUP($A49,main!$A$3:$I$56,6,FALSE)&gt;=VLOOKUP(55,main!$A$57:$I$59,4,FALSE)+VLOOKUP(VLOOKUP(AY$1,main!$A$3:$I$56,7,FALSE),main!$K$10:$Q$14,3,FALSE),1,0)</f>
        <v>1</v>
      </c>
      <c r="AZ49">
        <f>IF(VLOOKUP(AZ$1,main!$A$3:$I$56,5,FALSE)-VLOOKUP($A49,main!$A$3:$I$56,6,FALSE)&gt;=VLOOKUP(55,main!$A$57:$I$59,4,FALSE)+VLOOKUP(VLOOKUP(AZ$1,main!$A$3:$I$56,7,FALSE),main!$K$10:$Q$14,3,FALSE),1,0)</f>
        <v>0</v>
      </c>
      <c r="BA49">
        <f>IF(VLOOKUP(BA$1,main!$A$3:$I$56,5,FALSE)-VLOOKUP($A49,main!$A$3:$I$56,6,FALSE)&gt;=VLOOKUP(55,main!$A$57:$I$59,4,FALSE)+VLOOKUP(VLOOKUP(BA$1,main!$A$3:$I$56,7,FALSE),main!$K$10:$Q$14,3,FALSE),1,0)</f>
        <v>0</v>
      </c>
      <c r="BB49">
        <f>IF(VLOOKUP(BB$1,main!$A$3:$I$56,5,FALSE)-VLOOKUP($A49,main!$A$3:$I$56,6,FALSE)&gt;=VLOOKUP(55,main!$A$57:$I$59,4,FALSE)+VLOOKUP(VLOOKUP(BB$1,main!$A$3:$I$56,7,FALSE),main!$K$10:$Q$14,3,FALSE),1,0)</f>
        <v>0</v>
      </c>
      <c r="BC49">
        <f>IF(VLOOKUP(BC$1,main!$A$3:$I$56,5,FALSE)-VLOOKUP($A49,main!$A$3:$I$56,6,FALSE)&gt;=VLOOKUP(55,main!$A$57:$I$59,4,FALSE)+VLOOKUP(VLOOKUP(BC$1,main!$A$3:$I$56,7,FALSE),main!$K$10:$Q$14,3,FALSE),1,0)</f>
        <v>0</v>
      </c>
      <c r="BD49">
        <f>IF(VLOOKUP(BD$1,main!$A$3:$I$56,5,FALSE)-VLOOKUP($A49,main!$A$3:$I$56,6,FALSE)&gt;=VLOOKUP(55,main!$A$57:$I$59,4,FALSE)+VLOOKUP(VLOOKUP(BD$1,main!$A$3:$I$56,7,FALSE),main!$K$10:$Q$14,3,FALSE),1,0)</f>
        <v>0</v>
      </c>
    </row>
    <row r="50" spans="1:56" x14ac:dyDescent="0.25">
      <c r="A50">
        <f t="shared" si="0"/>
        <v>48</v>
      </c>
      <c r="B50">
        <v>0</v>
      </c>
      <c r="C50">
        <f>IF(VLOOKUP(C$1,main!$A$3:$I$56,5,FALSE)-VLOOKUP($A50,main!$A$3:$I$56,6,FALSE)&gt;=VLOOKUP(55,main!$A$57:$I$59,4,FALSE)+VLOOKUP(VLOOKUP(C$1,main!$A$3:$I$56,7,FALSE),main!$K$10:$Q$14,3,FALSE),1,0)</f>
        <v>0</v>
      </c>
      <c r="D50">
        <f>IF(VLOOKUP(D$1,main!$A$3:$I$56,5,FALSE)-VLOOKUP($A50,main!$A$3:$I$56,6,FALSE)&gt;=VLOOKUP(55,main!$A$57:$I$59,4,FALSE)+VLOOKUP(VLOOKUP(D$1,main!$A$3:$I$56,7,FALSE),main!$K$10:$Q$14,3,FALSE),1,0)</f>
        <v>0</v>
      </c>
      <c r="E50">
        <f>IF(VLOOKUP(E$1,main!$A$3:$I$56,5,FALSE)-VLOOKUP($A50,main!$A$3:$I$56,6,FALSE)&gt;=VLOOKUP(55,main!$A$57:$I$59,4,FALSE)+VLOOKUP(VLOOKUP(E$1,main!$A$3:$I$56,7,FALSE),main!$K$10:$Q$14,3,FALSE),1,0)</f>
        <v>0</v>
      </c>
      <c r="F50">
        <f>IF(VLOOKUP(F$1,main!$A$3:$I$56,5,FALSE)-VLOOKUP($A50,main!$A$3:$I$56,6,FALSE)&gt;=VLOOKUP(55,main!$A$57:$I$59,4,FALSE)+VLOOKUP(VLOOKUP(F$1,main!$A$3:$I$56,7,FALSE),main!$K$10:$Q$14,3,FALSE),1,0)</f>
        <v>0</v>
      </c>
      <c r="G50">
        <f>IF(VLOOKUP(G$1,main!$A$3:$I$56,5,FALSE)-VLOOKUP($A50,main!$A$3:$I$56,6,FALSE)&gt;=VLOOKUP(55,main!$A$57:$I$59,4,FALSE)+VLOOKUP(VLOOKUP(G$1,main!$A$3:$I$56,7,FALSE),main!$K$10:$Q$14,3,FALSE),1,0)</f>
        <v>0</v>
      </c>
      <c r="H50">
        <f>IF(VLOOKUP(H$1,main!$A$3:$I$56,5,FALSE)-VLOOKUP($A50,main!$A$3:$I$56,6,FALSE)&gt;=VLOOKUP(55,main!$A$57:$I$59,4,FALSE)+VLOOKUP(VLOOKUP(H$1,main!$A$3:$I$56,7,FALSE),main!$K$10:$Q$14,3,FALSE),1,0)</f>
        <v>0</v>
      </c>
      <c r="I50">
        <f>IF(VLOOKUP(I$1,main!$A$3:$I$56,5,FALSE)-VLOOKUP($A50,main!$A$3:$I$56,6,FALSE)&gt;=VLOOKUP(55,main!$A$57:$I$59,4,FALSE)+VLOOKUP(VLOOKUP(I$1,main!$A$3:$I$56,7,FALSE),main!$K$10:$Q$14,3,FALSE),1,0)</f>
        <v>0</v>
      </c>
      <c r="J50">
        <f>IF(VLOOKUP(J$1,main!$A$3:$I$56,5,FALSE)-VLOOKUP($A50,main!$A$3:$I$56,6,FALSE)&gt;=VLOOKUP(55,main!$A$57:$I$59,4,FALSE)+VLOOKUP(VLOOKUP(J$1,main!$A$3:$I$56,7,FALSE),main!$K$10:$Q$14,3,FALSE),1,0)</f>
        <v>0</v>
      </c>
      <c r="K50">
        <f>IF(VLOOKUP(K$1,main!$A$3:$I$56,5,FALSE)-VLOOKUP($A50,main!$A$3:$I$56,6,FALSE)&gt;=VLOOKUP(55,main!$A$57:$I$59,4,FALSE)+VLOOKUP(VLOOKUP(K$1,main!$A$3:$I$56,7,FALSE),main!$K$10:$Q$14,3,FALSE),1,0)</f>
        <v>0</v>
      </c>
      <c r="L50">
        <f>IF(VLOOKUP(L$1,main!$A$3:$I$56,5,FALSE)-VLOOKUP($A50,main!$A$3:$I$56,6,FALSE)&gt;=VLOOKUP(55,main!$A$57:$I$59,4,FALSE)+VLOOKUP(VLOOKUP(L$1,main!$A$3:$I$56,7,FALSE),main!$K$10:$Q$14,3,FALSE),1,0)</f>
        <v>0</v>
      </c>
      <c r="M50">
        <f>IF(VLOOKUP(M$1,main!$A$3:$I$56,5,FALSE)-VLOOKUP($A50,main!$A$3:$I$56,6,FALSE)&gt;=VLOOKUP(55,main!$A$57:$I$59,4,FALSE)+VLOOKUP(VLOOKUP(M$1,main!$A$3:$I$56,7,FALSE),main!$K$10:$Q$14,3,FALSE),1,0)</f>
        <v>0</v>
      </c>
      <c r="N50">
        <f>IF(VLOOKUP(N$1,main!$A$3:$I$56,5,FALSE)-VLOOKUP($A50,main!$A$3:$I$56,6,FALSE)&gt;=VLOOKUP(55,main!$A$57:$I$59,4,FALSE)+VLOOKUP(VLOOKUP(N$1,main!$A$3:$I$56,7,FALSE),main!$K$10:$Q$14,3,FALSE),1,0)</f>
        <v>0</v>
      </c>
      <c r="O50">
        <f>IF(VLOOKUP(O$1,main!$A$3:$I$56,5,FALSE)-VLOOKUP($A50,main!$A$3:$I$56,6,FALSE)&gt;=VLOOKUP(55,main!$A$57:$I$59,4,FALSE)+VLOOKUP(VLOOKUP(O$1,main!$A$3:$I$56,7,FALSE),main!$K$10:$Q$14,3,FALSE),1,0)</f>
        <v>0</v>
      </c>
      <c r="P50">
        <f>IF(VLOOKUP(P$1,main!$A$3:$I$56,5,FALSE)-VLOOKUP($A50,main!$A$3:$I$56,6,FALSE)&gt;=VLOOKUP(55,main!$A$57:$I$59,4,FALSE)+VLOOKUP(VLOOKUP(P$1,main!$A$3:$I$56,7,FALSE),main!$K$10:$Q$14,3,FALSE),1,0)</f>
        <v>0</v>
      </c>
      <c r="Q50">
        <f>IF(VLOOKUP(Q$1,main!$A$3:$I$56,5,FALSE)-VLOOKUP($A50,main!$A$3:$I$56,6,FALSE)&gt;=VLOOKUP(55,main!$A$57:$I$59,4,FALSE)+VLOOKUP(VLOOKUP(Q$1,main!$A$3:$I$56,7,FALSE),main!$K$10:$Q$14,3,FALSE),1,0)</f>
        <v>0</v>
      </c>
      <c r="R50">
        <f>IF(VLOOKUP(R$1,main!$A$3:$I$56,5,FALSE)-VLOOKUP($A50,main!$A$3:$I$56,6,FALSE)&gt;=VLOOKUP(55,main!$A$57:$I$59,4,FALSE)+VLOOKUP(VLOOKUP(R$1,main!$A$3:$I$56,7,FALSE),main!$K$10:$Q$14,3,FALSE),1,0)</f>
        <v>0</v>
      </c>
      <c r="S50">
        <f>IF(VLOOKUP(S$1,main!$A$3:$I$56,5,FALSE)-VLOOKUP($A50,main!$A$3:$I$56,6,FALSE)&gt;=VLOOKUP(55,main!$A$57:$I$59,4,FALSE)+VLOOKUP(VLOOKUP(S$1,main!$A$3:$I$56,7,FALSE),main!$K$10:$Q$14,3,FALSE),1,0)</f>
        <v>0</v>
      </c>
      <c r="T50">
        <f>IF(VLOOKUP(T$1,main!$A$3:$I$56,5,FALSE)-VLOOKUP($A50,main!$A$3:$I$56,6,FALSE)&gt;=VLOOKUP(55,main!$A$57:$I$59,4,FALSE)+VLOOKUP(VLOOKUP(T$1,main!$A$3:$I$56,7,FALSE),main!$K$10:$Q$14,3,FALSE),1,0)</f>
        <v>0</v>
      </c>
      <c r="U50">
        <f>IF(VLOOKUP(U$1,main!$A$3:$I$56,5,FALSE)-VLOOKUP($A50,main!$A$3:$I$56,6,FALSE)&gt;=VLOOKUP(55,main!$A$57:$I$59,4,FALSE)+VLOOKUP(VLOOKUP(U$1,main!$A$3:$I$56,7,FALSE),main!$K$10:$Q$14,3,FALSE),1,0)</f>
        <v>0</v>
      </c>
      <c r="V50">
        <f>IF(VLOOKUP(V$1,main!$A$3:$I$56,5,FALSE)-VLOOKUP($A50,main!$A$3:$I$56,6,FALSE)&gt;=VLOOKUP(55,main!$A$57:$I$59,4,FALSE)+VLOOKUP(VLOOKUP(V$1,main!$A$3:$I$56,7,FALSE),main!$K$10:$Q$14,3,FALSE),1,0)</f>
        <v>0</v>
      </c>
      <c r="W50">
        <f>IF(VLOOKUP(W$1,main!$A$3:$I$56,5,FALSE)-VLOOKUP($A50,main!$A$3:$I$56,6,FALSE)&gt;=VLOOKUP(55,main!$A$57:$I$59,4,FALSE)+VLOOKUP(VLOOKUP(W$1,main!$A$3:$I$56,7,FALSE),main!$K$10:$Q$14,3,FALSE),1,0)</f>
        <v>0</v>
      </c>
      <c r="X50">
        <f>IF(VLOOKUP(X$1,main!$A$3:$I$56,5,FALSE)-VLOOKUP($A50,main!$A$3:$I$56,6,FALSE)&gt;=VLOOKUP(55,main!$A$57:$I$59,4,FALSE)+VLOOKUP(VLOOKUP(X$1,main!$A$3:$I$56,7,FALSE),main!$K$10:$Q$14,3,FALSE),1,0)</f>
        <v>0</v>
      </c>
      <c r="Y50">
        <f>IF(VLOOKUP(Y$1,main!$A$3:$I$56,5,FALSE)-VLOOKUP($A50,main!$A$3:$I$56,6,FALSE)&gt;=VLOOKUP(55,main!$A$57:$I$59,4,FALSE)+VLOOKUP(VLOOKUP(Y$1,main!$A$3:$I$56,7,FALSE),main!$K$10:$Q$14,3,FALSE),1,0)</f>
        <v>0</v>
      </c>
      <c r="Z50">
        <f>IF(VLOOKUP(Z$1,main!$A$3:$I$56,5,FALSE)-VLOOKUP($A50,main!$A$3:$I$56,6,FALSE)&gt;=VLOOKUP(55,main!$A$57:$I$59,4,FALSE)+VLOOKUP(VLOOKUP(Z$1,main!$A$3:$I$56,7,FALSE),main!$K$10:$Q$14,3,FALSE),1,0)</f>
        <v>0</v>
      </c>
      <c r="AA50">
        <f>IF(VLOOKUP(AA$1,main!$A$3:$I$56,5,FALSE)-VLOOKUP($A50,main!$A$3:$I$56,6,FALSE)&gt;=VLOOKUP(55,main!$A$57:$I$59,4,FALSE)+VLOOKUP(VLOOKUP(AA$1,main!$A$3:$I$56,7,FALSE),main!$K$10:$Q$14,3,FALSE),1,0)</f>
        <v>0</v>
      </c>
      <c r="AB50">
        <f>IF(VLOOKUP(AB$1,main!$A$3:$I$56,5,FALSE)-VLOOKUP($A50,main!$A$3:$I$56,6,FALSE)&gt;=VLOOKUP(55,main!$A$57:$I$59,4,FALSE)+VLOOKUP(VLOOKUP(AB$1,main!$A$3:$I$56,7,FALSE),main!$K$10:$Q$14,3,FALSE),1,0)</f>
        <v>0</v>
      </c>
      <c r="AC50">
        <f>IF(VLOOKUP(AC$1,main!$A$3:$I$56,5,FALSE)-VLOOKUP($A50,main!$A$3:$I$56,6,FALSE)&gt;=VLOOKUP(55,main!$A$57:$I$59,4,FALSE)+VLOOKUP(VLOOKUP(AC$1,main!$A$3:$I$56,7,FALSE),main!$K$10:$Q$14,3,FALSE),1,0)</f>
        <v>0</v>
      </c>
      <c r="AD50">
        <f>IF(VLOOKUP(AD$1,main!$A$3:$I$56,5,FALSE)-VLOOKUP($A50,main!$A$3:$I$56,6,FALSE)&gt;=VLOOKUP(55,main!$A$57:$I$59,4,FALSE)+VLOOKUP(VLOOKUP(AD$1,main!$A$3:$I$56,7,FALSE),main!$K$10:$Q$14,3,FALSE),1,0)</f>
        <v>0</v>
      </c>
      <c r="AE50">
        <f>IF(VLOOKUP(AE$1,main!$A$3:$I$56,5,FALSE)-VLOOKUP($A50,main!$A$3:$I$56,6,FALSE)&gt;=VLOOKUP(55,main!$A$57:$I$59,4,FALSE)+VLOOKUP(VLOOKUP(AE$1,main!$A$3:$I$56,7,FALSE),main!$K$10:$Q$14,3,FALSE),1,0)</f>
        <v>0</v>
      </c>
      <c r="AF50">
        <f>IF(VLOOKUP(AF$1,main!$A$3:$I$56,5,FALSE)-VLOOKUP($A50,main!$A$3:$I$56,6,FALSE)&gt;=VLOOKUP(55,main!$A$57:$I$59,4,FALSE)+VLOOKUP(VLOOKUP(AF$1,main!$A$3:$I$56,7,FALSE),main!$K$10:$Q$14,3,FALSE),1,0)</f>
        <v>0</v>
      </c>
      <c r="AG50">
        <f>IF(VLOOKUP(AG$1,main!$A$3:$I$56,5,FALSE)-VLOOKUP($A50,main!$A$3:$I$56,6,FALSE)&gt;=VLOOKUP(55,main!$A$57:$I$59,4,FALSE)+VLOOKUP(VLOOKUP(AG$1,main!$A$3:$I$56,7,FALSE),main!$K$10:$Q$14,3,FALSE),1,0)</f>
        <v>0</v>
      </c>
      <c r="AH50">
        <f>IF(VLOOKUP(AH$1,main!$A$3:$I$56,5,FALSE)-VLOOKUP($A50,main!$A$3:$I$56,6,FALSE)&gt;=VLOOKUP(55,main!$A$57:$I$59,4,FALSE)+VLOOKUP(VLOOKUP(AH$1,main!$A$3:$I$56,7,FALSE),main!$K$10:$Q$14,3,FALSE),1,0)</f>
        <v>0</v>
      </c>
      <c r="AI50">
        <f>IF(VLOOKUP(AI$1,main!$A$3:$I$56,5,FALSE)-VLOOKUP($A50,main!$A$3:$I$56,6,FALSE)&gt;=VLOOKUP(55,main!$A$57:$I$59,4,FALSE)+VLOOKUP(VLOOKUP(AI$1,main!$A$3:$I$56,7,FALSE),main!$K$10:$Q$14,3,FALSE),1,0)</f>
        <v>0</v>
      </c>
      <c r="AJ50">
        <f>IF(VLOOKUP(AJ$1,main!$A$3:$I$56,5,FALSE)-VLOOKUP($A50,main!$A$3:$I$56,6,FALSE)&gt;=VLOOKUP(55,main!$A$57:$I$59,4,FALSE)+VLOOKUP(VLOOKUP(AJ$1,main!$A$3:$I$56,7,FALSE),main!$K$10:$Q$14,3,FALSE),1,0)</f>
        <v>0</v>
      </c>
      <c r="AK50">
        <f>IF(VLOOKUP(AK$1,main!$A$3:$I$56,5,FALSE)-VLOOKUP($A50,main!$A$3:$I$56,6,FALSE)&gt;=VLOOKUP(55,main!$A$57:$I$59,4,FALSE)+VLOOKUP(VLOOKUP(AK$1,main!$A$3:$I$56,7,FALSE),main!$K$10:$Q$14,3,FALSE),1,0)</f>
        <v>0</v>
      </c>
      <c r="AL50">
        <f>IF(VLOOKUP(AL$1,main!$A$3:$I$56,5,FALSE)-VLOOKUP($A50,main!$A$3:$I$56,6,FALSE)&gt;=VLOOKUP(55,main!$A$57:$I$59,4,FALSE)+VLOOKUP(VLOOKUP(AL$1,main!$A$3:$I$56,7,FALSE),main!$K$10:$Q$14,3,FALSE),1,0)</f>
        <v>0</v>
      </c>
      <c r="AM50">
        <f>IF(VLOOKUP(AM$1,main!$A$3:$I$56,5,FALSE)-VLOOKUP($A50,main!$A$3:$I$56,6,FALSE)&gt;=VLOOKUP(55,main!$A$57:$I$59,4,FALSE)+VLOOKUP(VLOOKUP(AM$1,main!$A$3:$I$56,7,FALSE),main!$K$10:$Q$14,3,FALSE),1,0)</f>
        <v>0</v>
      </c>
      <c r="AN50">
        <f>IF(VLOOKUP(AN$1,main!$A$3:$I$56,5,FALSE)-VLOOKUP($A50,main!$A$3:$I$56,6,FALSE)&gt;=VLOOKUP(55,main!$A$57:$I$59,4,FALSE)+VLOOKUP(VLOOKUP(AN$1,main!$A$3:$I$56,7,FALSE),main!$K$10:$Q$14,3,FALSE),1,0)</f>
        <v>0</v>
      </c>
      <c r="AO50">
        <f>IF(VLOOKUP(AO$1,main!$A$3:$I$56,5,FALSE)-VLOOKUP($A50,main!$A$3:$I$56,6,FALSE)&gt;=VLOOKUP(55,main!$A$57:$I$59,4,FALSE)+VLOOKUP(VLOOKUP(AO$1,main!$A$3:$I$56,7,FALSE),main!$K$10:$Q$14,3,FALSE),1,0)</f>
        <v>0</v>
      </c>
      <c r="AP50">
        <f>IF(VLOOKUP(AP$1,main!$A$3:$I$56,5,FALSE)-VLOOKUP($A50,main!$A$3:$I$56,6,FALSE)&gt;=VLOOKUP(55,main!$A$57:$I$59,4,FALSE)+VLOOKUP(VLOOKUP(AP$1,main!$A$3:$I$56,7,FALSE),main!$K$10:$Q$14,3,FALSE),1,0)</f>
        <v>0</v>
      </c>
      <c r="AQ50">
        <f>IF(VLOOKUP(AQ$1,main!$A$3:$I$56,5,FALSE)-VLOOKUP($A50,main!$A$3:$I$56,6,FALSE)&gt;=VLOOKUP(55,main!$A$57:$I$59,4,FALSE)+VLOOKUP(VLOOKUP(AQ$1,main!$A$3:$I$56,7,FALSE),main!$K$10:$Q$14,3,FALSE),1,0)</f>
        <v>0</v>
      </c>
      <c r="AR50">
        <f>IF(VLOOKUP(AR$1,main!$A$3:$I$56,5,FALSE)-VLOOKUP($A50,main!$A$3:$I$56,6,FALSE)&gt;=VLOOKUP(55,main!$A$57:$I$59,4,FALSE)+VLOOKUP(VLOOKUP(AR$1,main!$A$3:$I$56,7,FALSE),main!$K$10:$Q$14,3,FALSE),1,0)</f>
        <v>0</v>
      </c>
      <c r="AS50">
        <f>IF(VLOOKUP(AS$1,main!$A$3:$I$56,5,FALSE)-VLOOKUP($A50,main!$A$3:$I$56,6,FALSE)&gt;=VLOOKUP(55,main!$A$57:$I$59,4,FALSE)+VLOOKUP(VLOOKUP(AS$1,main!$A$3:$I$56,7,FALSE),main!$K$10:$Q$14,3,FALSE),1,0)</f>
        <v>0</v>
      </c>
      <c r="AT50">
        <f>IF(VLOOKUP(AT$1,main!$A$3:$I$56,5,FALSE)-VLOOKUP($A50,main!$A$3:$I$56,6,FALSE)&gt;=VLOOKUP(55,main!$A$57:$I$59,4,FALSE)+VLOOKUP(VLOOKUP(AT$1,main!$A$3:$I$56,7,FALSE),main!$K$10:$Q$14,3,FALSE),1,0)</f>
        <v>0</v>
      </c>
      <c r="AU50">
        <f>IF(VLOOKUP(AU$1,main!$A$3:$I$56,5,FALSE)-VLOOKUP($A50,main!$A$3:$I$56,6,FALSE)&gt;=VLOOKUP(55,main!$A$57:$I$59,4,FALSE)+VLOOKUP(VLOOKUP(AU$1,main!$A$3:$I$56,7,FALSE),main!$K$10:$Q$14,3,FALSE),1,0)</f>
        <v>0</v>
      </c>
      <c r="AV50">
        <f>IF(VLOOKUP(AV$1,main!$A$3:$I$56,5,FALSE)-VLOOKUP($A50,main!$A$3:$I$56,6,FALSE)&gt;=VLOOKUP(55,main!$A$57:$I$59,4,FALSE)+VLOOKUP(VLOOKUP(AV$1,main!$A$3:$I$56,7,FALSE),main!$K$10:$Q$14,3,FALSE),1,0)</f>
        <v>0</v>
      </c>
      <c r="AW50">
        <f>IF(VLOOKUP(AW$1,main!$A$3:$I$56,5,FALSE)-VLOOKUP($A50,main!$A$3:$I$56,6,FALSE)&gt;=VLOOKUP(55,main!$A$57:$I$59,4,FALSE)+VLOOKUP(VLOOKUP(AW$1,main!$A$3:$I$56,7,FALSE),main!$K$10:$Q$14,3,FALSE),1,0)</f>
        <v>0</v>
      </c>
      <c r="AX50">
        <f>IF(VLOOKUP(AX$1,main!$A$3:$I$56,5,FALSE)-VLOOKUP($A50,main!$A$3:$I$56,6,FALSE)&gt;=VLOOKUP(55,main!$A$57:$I$59,4,FALSE)+VLOOKUP(VLOOKUP(AX$1,main!$A$3:$I$56,7,FALSE),main!$K$10:$Q$14,3,FALSE),1,0)</f>
        <v>0</v>
      </c>
      <c r="AY50">
        <f>IF(VLOOKUP(AY$1,main!$A$3:$I$56,5,FALSE)-VLOOKUP($A50,main!$A$3:$I$56,6,FALSE)&gt;=VLOOKUP(55,main!$A$57:$I$59,4,FALSE)+VLOOKUP(VLOOKUP(AY$1,main!$A$3:$I$56,7,FALSE),main!$K$10:$Q$14,3,FALSE),1,0)</f>
        <v>0</v>
      </c>
      <c r="AZ50">
        <f>IF(VLOOKUP(AZ$1,main!$A$3:$I$56,5,FALSE)-VLOOKUP($A50,main!$A$3:$I$56,6,FALSE)&gt;=VLOOKUP(55,main!$A$57:$I$59,4,FALSE)+VLOOKUP(VLOOKUP(AZ$1,main!$A$3:$I$56,7,FALSE),main!$K$10:$Q$14,3,FALSE),1,0)</f>
        <v>0</v>
      </c>
      <c r="BA50">
        <f>IF(VLOOKUP(BA$1,main!$A$3:$I$56,5,FALSE)-VLOOKUP($A50,main!$A$3:$I$56,6,FALSE)&gt;=VLOOKUP(55,main!$A$57:$I$59,4,FALSE)+VLOOKUP(VLOOKUP(BA$1,main!$A$3:$I$56,7,FALSE),main!$K$10:$Q$14,3,FALSE),1,0)</f>
        <v>0</v>
      </c>
      <c r="BB50">
        <f>IF(VLOOKUP(BB$1,main!$A$3:$I$56,5,FALSE)-VLOOKUP($A50,main!$A$3:$I$56,6,FALSE)&gt;=VLOOKUP(55,main!$A$57:$I$59,4,FALSE)+VLOOKUP(VLOOKUP(BB$1,main!$A$3:$I$56,7,FALSE),main!$K$10:$Q$14,3,FALSE),1,0)</f>
        <v>0</v>
      </c>
      <c r="BC50">
        <f>IF(VLOOKUP(BC$1,main!$A$3:$I$56,5,FALSE)-VLOOKUP($A50,main!$A$3:$I$56,6,FALSE)&gt;=VLOOKUP(55,main!$A$57:$I$59,4,FALSE)+VLOOKUP(VLOOKUP(BC$1,main!$A$3:$I$56,7,FALSE),main!$K$10:$Q$14,3,FALSE),1,0)</f>
        <v>0</v>
      </c>
      <c r="BD50">
        <f>IF(VLOOKUP(BD$1,main!$A$3:$I$56,5,FALSE)-VLOOKUP($A50,main!$A$3:$I$56,6,FALSE)&gt;=VLOOKUP(55,main!$A$57:$I$59,4,FALSE)+VLOOKUP(VLOOKUP(BD$1,main!$A$3:$I$56,7,FALSE),main!$K$10:$Q$14,3,FALSE),1,0)</f>
        <v>0</v>
      </c>
    </row>
    <row r="51" spans="1:56" x14ac:dyDescent="0.25">
      <c r="A51">
        <f t="shared" si="0"/>
        <v>49</v>
      </c>
      <c r="B51">
        <v>0</v>
      </c>
      <c r="C51">
        <f>IF(VLOOKUP(C$1,main!$A$3:$I$56,5,FALSE)-VLOOKUP($A51,main!$A$3:$I$56,6,FALSE)&gt;=VLOOKUP(55,main!$A$57:$I$59,4,FALSE)+VLOOKUP(VLOOKUP(C$1,main!$A$3:$I$56,7,FALSE),main!$K$10:$Q$14,3,FALSE),1,0)</f>
        <v>0</v>
      </c>
      <c r="D51">
        <f>IF(VLOOKUP(D$1,main!$A$3:$I$56,5,FALSE)-VLOOKUP($A51,main!$A$3:$I$56,6,FALSE)&gt;=VLOOKUP(55,main!$A$57:$I$59,4,FALSE)+VLOOKUP(VLOOKUP(D$1,main!$A$3:$I$56,7,FALSE),main!$K$10:$Q$14,3,FALSE),1,0)</f>
        <v>0</v>
      </c>
      <c r="E51">
        <f>IF(VLOOKUP(E$1,main!$A$3:$I$56,5,FALSE)-VLOOKUP($A51,main!$A$3:$I$56,6,FALSE)&gt;=VLOOKUP(55,main!$A$57:$I$59,4,FALSE)+VLOOKUP(VLOOKUP(E$1,main!$A$3:$I$56,7,FALSE),main!$K$10:$Q$14,3,FALSE),1,0)</f>
        <v>0</v>
      </c>
      <c r="F51">
        <f>IF(VLOOKUP(F$1,main!$A$3:$I$56,5,FALSE)-VLOOKUP($A51,main!$A$3:$I$56,6,FALSE)&gt;=VLOOKUP(55,main!$A$57:$I$59,4,FALSE)+VLOOKUP(VLOOKUP(F$1,main!$A$3:$I$56,7,FALSE),main!$K$10:$Q$14,3,FALSE),1,0)</f>
        <v>0</v>
      </c>
      <c r="G51">
        <f>IF(VLOOKUP(G$1,main!$A$3:$I$56,5,FALSE)-VLOOKUP($A51,main!$A$3:$I$56,6,FALSE)&gt;=VLOOKUP(55,main!$A$57:$I$59,4,FALSE)+VLOOKUP(VLOOKUP(G$1,main!$A$3:$I$56,7,FALSE),main!$K$10:$Q$14,3,FALSE),1,0)</f>
        <v>0</v>
      </c>
      <c r="H51">
        <f>IF(VLOOKUP(H$1,main!$A$3:$I$56,5,FALSE)-VLOOKUP($A51,main!$A$3:$I$56,6,FALSE)&gt;=VLOOKUP(55,main!$A$57:$I$59,4,FALSE)+VLOOKUP(VLOOKUP(H$1,main!$A$3:$I$56,7,FALSE),main!$K$10:$Q$14,3,FALSE),1,0)</f>
        <v>0</v>
      </c>
      <c r="I51">
        <f>IF(VLOOKUP(I$1,main!$A$3:$I$56,5,FALSE)-VLOOKUP($A51,main!$A$3:$I$56,6,FALSE)&gt;=VLOOKUP(55,main!$A$57:$I$59,4,FALSE)+VLOOKUP(VLOOKUP(I$1,main!$A$3:$I$56,7,FALSE),main!$K$10:$Q$14,3,FALSE),1,0)</f>
        <v>0</v>
      </c>
      <c r="J51">
        <f>IF(VLOOKUP(J$1,main!$A$3:$I$56,5,FALSE)-VLOOKUP($A51,main!$A$3:$I$56,6,FALSE)&gt;=VLOOKUP(55,main!$A$57:$I$59,4,FALSE)+VLOOKUP(VLOOKUP(J$1,main!$A$3:$I$56,7,FALSE),main!$K$10:$Q$14,3,FALSE),1,0)</f>
        <v>0</v>
      </c>
      <c r="K51">
        <f>IF(VLOOKUP(K$1,main!$A$3:$I$56,5,FALSE)-VLOOKUP($A51,main!$A$3:$I$56,6,FALSE)&gt;=VLOOKUP(55,main!$A$57:$I$59,4,FALSE)+VLOOKUP(VLOOKUP(K$1,main!$A$3:$I$56,7,FALSE),main!$K$10:$Q$14,3,FALSE),1,0)</f>
        <v>0</v>
      </c>
      <c r="L51">
        <f>IF(VLOOKUP(L$1,main!$A$3:$I$56,5,FALSE)-VLOOKUP($A51,main!$A$3:$I$56,6,FALSE)&gt;=VLOOKUP(55,main!$A$57:$I$59,4,FALSE)+VLOOKUP(VLOOKUP(L$1,main!$A$3:$I$56,7,FALSE),main!$K$10:$Q$14,3,FALSE),1,0)</f>
        <v>0</v>
      </c>
      <c r="M51">
        <f>IF(VLOOKUP(M$1,main!$A$3:$I$56,5,FALSE)-VLOOKUP($A51,main!$A$3:$I$56,6,FALSE)&gt;=VLOOKUP(55,main!$A$57:$I$59,4,FALSE)+VLOOKUP(VLOOKUP(M$1,main!$A$3:$I$56,7,FALSE),main!$K$10:$Q$14,3,FALSE),1,0)</f>
        <v>0</v>
      </c>
      <c r="N51">
        <f>IF(VLOOKUP(N$1,main!$A$3:$I$56,5,FALSE)-VLOOKUP($A51,main!$A$3:$I$56,6,FALSE)&gt;=VLOOKUP(55,main!$A$57:$I$59,4,FALSE)+VLOOKUP(VLOOKUP(N$1,main!$A$3:$I$56,7,FALSE),main!$K$10:$Q$14,3,FALSE),1,0)</f>
        <v>0</v>
      </c>
      <c r="O51">
        <f>IF(VLOOKUP(O$1,main!$A$3:$I$56,5,FALSE)-VLOOKUP($A51,main!$A$3:$I$56,6,FALSE)&gt;=VLOOKUP(55,main!$A$57:$I$59,4,FALSE)+VLOOKUP(VLOOKUP(O$1,main!$A$3:$I$56,7,FALSE),main!$K$10:$Q$14,3,FALSE),1,0)</f>
        <v>0</v>
      </c>
      <c r="P51">
        <f>IF(VLOOKUP(P$1,main!$A$3:$I$56,5,FALSE)-VLOOKUP($A51,main!$A$3:$I$56,6,FALSE)&gt;=VLOOKUP(55,main!$A$57:$I$59,4,FALSE)+VLOOKUP(VLOOKUP(P$1,main!$A$3:$I$56,7,FALSE),main!$K$10:$Q$14,3,FALSE),1,0)</f>
        <v>0</v>
      </c>
      <c r="Q51">
        <f>IF(VLOOKUP(Q$1,main!$A$3:$I$56,5,FALSE)-VLOOKUP($A51,main!$A$3:$I$56,6,FALSE)&gt;=VLOOKUP(55,main!$A$57:$I$59,4,FALSE)+VLOOKUP(VLOOKUP(Q$1,main!$A$3:$I$56,7,FALSE),main!$K$10:$Q$14,3,FALSE),1,0)</f>
        <v>0</v>
      </c>
      <c r="R51">
        <f>IF(VLOOKUP(R$1,main!$A$3:$I$56,5,FALSE)-VLOOKUP($A51,main!$A$3:$I$56,6,FALSE)&gt;=VLOOKUP(55,main!$A$57:$I$59,4,FALSE)+VLOOKUP(VLOOKUP(R$1,main!$A$3:$I$56,7,FALSE),main!$K$10:$Q$14,3,FALSE),1,0)</f>
        <v>0</v>
      </c>
      <c r="S51">
        <f>IF(VLOOKUP(S$1,main!$A$3:$I$56,5,FALSE)-VLOOKUP($A51,main!$A$3:$I$56,6,FALSE)&gt;=VLOOKUP(55,main!$A$57:$I$59,4,FALSE)+VLOOKUP(VLOOKUP(S$1,main!$A$3:$I$56,7,FALSE),main!$K$10:$Q$14,3,FALSE),1,0)</f>
        <v>0</v>
      </c>
      <c r="T51">
        <f>IF(VLOOKUP(T$1,main!$A$3:$I$56,5,FALSE)-VLOOKUP($A51,main!$A$3:$I$56,6,FALSE)&gt;=VLOOKUP(55,main!$A$57:$I$59,4,FALSE)+VLOOKUP(VLOOKUP(T$1,main!$A$3:$I$56,7,FALSE),main!$K$10:$Q$14,3,FALSE),1,0)</f>
        <v>0</v>
      </c>
      <c r="U51">
        <f>IF(VLOOKUP(U$1,main!$A$3:$I$56,5,FALSE)-VLOOKUP($A51,main!$A$3:$I$56,6,FALSE)&gt;=VLOOKUP(55,main!$A$57:$I$59,4,FALSE)+VLOOKUP(VLOOKUP(U$1,main!$A$3:$I$56,7,FALSE),main!$K$10:$Q$14,3,FALSE),1,0)</f>
        <v>0</v>
      </c>
      <c r="V51">
        <f>IF(VLOOKUP(V$1,main!$A$3:$I$56,5,FALSE)-VLOOKUP($A51,main!$A$3:$I$56,6,FALSE)&gt;=VLOOKUP(55,main!$A$57:$I$59,4,FALSE)+VLOOKUP(VLOOKUP(V$1,main!$A$3:$I$56,7,FALSE),main!$K$10:$Q$14,3,FALSE),1,0)</f>
        <v>0</v>
      </c>
      <c r="W51">
        <f>IF(VLOOKUP(W$1,main!$A$3:$I$56,5,FALSE)-VLOOKUP($A51,main!$A$3:$I$56,6,FALSE)&gt;=VLOOKUP(55,main!$A$57:$I$59,4,FALSE)+VLOOKUP(VLOOKUP(W$1,main!$A$3:$I$56,7,FALSE),main!$K$10:$Q$14,3,FALSE),1,0)</f>
        <v>0</v>
      </c>
      <c r="X51">
        <f>IF(VLOOKUP(X$1,main!$A$3:$I$56,5,FALSE)-VLOOKUP($A51,main!$A$3:$I$56,6,FALSE)&gt;=VLOOKUP(55,main!$A$57:$I$59,4,FALSE)+VLOOKUP(VLOOKUP(X$1,main!$A$3:$I$56,7,FALSE),main!$K$10:$Q$14,3,FALSE),1,0)</f>
        <v>0</v>
      </c>
      <c r="Y51">
        <f>IF(VLOOKUP(Y$1,main!$A$3:$I$56,5,FALSE)-VLOOKUP($A51,main!$A$3:$I$56,6,FALSE)&gt;=VLOOKUP(55,main!$A$57:$I$59,4,FALSE)+VLOOKUP(VLOOKUP(Y$1,main!$A$3:$I$56,7,FALSE),main!$K$10:$Q$14,3,FALSE),1,0)</f>
        <v>0</v>
      </c>
      <c r="Z51">
        <f>IF(VLOOKUP(Z$1,main!$A$3:$I$56,5,FALSE)-VLOOKUP($A51,main!$A$3:$I$56,6,FALSE)&gt;=VLOOKUP(55,main!$A$57:$I$59,4,FALSE)+VLOOKUP(VLOOKUP(Z$1,main!$A$3:$I$56,7,FALSE),main!$K$10:$Q$14,3,FALSE),1,0)</f>
        <v>0</v>
      </c>
      <c r="AA51">
        <f>IF(VLOOKUP(AA$1,main!$A$3:$I$56,5,FALSE)-VLOOKUP($A51,main!$A$3:$I$56,6,FALSE)&gt;=VLOOKUP(55,main!$A$57:$I$59,4,FALSE)+VLOOKUP(VLOOKUP(AA$1,main!$A$3:$I$56,7,FALSE),main!$K$10:$Q$14,3,FALSE),1,0)</f>
        <v>0</v>
      </c>
      <c r="AB51">
        <f>IF(VLOOKUP(AB$1,main!$A$3:$I$56,5,FALSE)-VLOOKUP($A51,main!$A$3:$I$56,6,FALSE)&gt;=VLOOKUP(55,main!$A$57:$I$59,4,FALSE)+VLOOKUP(VLOOKUP(AB$1,main!$A$3:$I$56,7,FALSE),main!$K$10:$Q$14,3,FALSE),1,0)</f>
        <v>0</v>
      </c>
      <c r="AC51">
        <f>IF(VLOOKUP(AC$1,main!$A$3:$I$56,5,FALSE)-VLOOKUP($A51,main!$A$3:$I$56,6,FALSE)&gt;=VLOOKUP(55,main!$A$57:$I$59,4,FALSE)+VLOOKUP(VLOOKUP(AC$1,main!$A$3:$I$56,7,FALSE),main!$K$10:$Q$14,3,FALSE),1,0)</f>
        <v>0</v>
      </c>
      <c r="AD51">
        <f>IF(VLOOKUP(AD$1,main!$A$3:$I$56,5,FALSE)-VLOOKUP($A51,main!$A$3:$I$56,6,FALSE)&gt;=VLOOKUP(55,main!$A$57:$I$59,4,FALSE)+VLOOKUP(VLOOKUP(AD$1,main!$A$3:$I$56,7,FALSE),main!$K$10:$Q$14,3,FALSE),1,0)</f>
        <v>0</v>
      </c>
      <c r="AE51">
        <f>IF(VLOOKUP(AE$1,main!$A$3:$I$56,5,FALSE)-VLOOKUP($A51,main!$A$3:$I$56,6,FALSE)&gt;=VLOOKUP(55,main!$A$57:$I$59,4,FALSE)+VLOOKUP(VLOOKUP(AE$1,main!$A$3:$I$56,7,FALSE),main!$K$10:$Q$14,3,FALSE),1,0)</f>
        <v>0</v>
      </c>
      <c r="AF51">
        <f>IF(VLOOKUP(AF$1,main!$A$3:$I$56,5,FALSE)-VLOOKUP($A51,main!$A$3:$I$56,6,FALSE)&gt;=VLOOKUP(55,main!$A$57:$I$59,4,FALSE)+VLOOKUP(VLOOKUP(AF$1,main!$A$3:$I$56,7,FALSE),main!$K$10:$Q$14,3,FALSE),1,0)</f>
        <v>0</v>
      </c>
      <c r="AG51">
        <f>IF(VLOOKUP(AG$1,main!$A$3:$I$56,5,FALSE)-VLOOKUP($A51,main!$A$3:$I$56,6,FALSE)&gt;=VLOOKUP(55,main!$A$57:$I$59,4,FALSE)+VLOOKUP(VLOOKUP(AG$1,main!$A$3:$I$56,7,FALSE),main!$K$10:$Q$14,3,FALSE),1,0)</f>
        <v>0</v>
      </c>
      <c r="AH51">
        <f>IF(VLOOKUP(AH$1,main!$A$3:$I$56,5,FALSE)-VLOOKUP($A51,main!$A$3:$I$56,6,FALSE)&gt;=VLOOKUP(55,main!$A$57:$I$59,4,FALSE)+VLOOKUP(VLOOKUP(AH$1,main!$A$3:$I$56,7,FALSE),main!$K$10:$Q$14,3,FALSE),1,0)</f>
        <v>0</v>
      </c>
      <c r="AI51">
        <f>IF(VLOOKUP(AI$1,main!$A$3:$I$56,5,FALSE)-VLOOKUP($A51,main!$A$3:$I$56,6,FALSE)&gt;=VLOOKUP(55,main!$A$57:$I$59,4,FALSE)+VLOOKUP(VLOOKUP(AI$1,main!$A$3:$I$56,7,FALSE),main!$K$10:$Q$14,3,FALSE),1,0)</f>
        <v>0</v>
      </c>
      <c r="AJ51">
        <f>IF(VLOOKUP(AJ$1,main!$A$3:$I$56,5,FALSE)-VLOOKUP($A51,main!$A$3:$I$56,6,FALSE)&gt;=VLOOKUP(55,main!$A$57:$I$59,4,FALSE)+VLOOKUP(VLOOKUP(AJ$1,main!$A$3:$I$56,7,FALSE),main!$K$10:$Q$14,3,FALSE),1,0)</f>
        <v>0</v>
      </c>
      <c r="AK51">
        <f>IF(VLOOKUP(AK$1,main!$A$3:$I$56,5,FALSE)-VLOOKUP($A51,main!$A$3:$I$56,6,FALSE)&gt;=VLOOKUP(55,main!$A$57:$I$59,4,FALSE)+VLOOKUP(VLOOKUP(AK$1,main!$A$3:$I$56,7,FALSE),main!$K$10:$Q$14,3,FALSE),1,0)</f>
        <v>0</v>
      </c>
      <c r="AL51">
        <f>IF(VLOOKUP(AL$1,main!$A$3:$I$56,5,FALSE)-VLOOKUP($A51,main!$A$3:$I$56,6,FALSE)&gt;=VLOOKUP(55,main!$A$57:$I$59,4,FALSE)+VLOOKUP(VLOOKUP(AL$1,main!$A$3:$I$56,7,FALSE),main!$K$10:$Q$14,3,FALSE),1,0)</f>
        <v>0</v>
      </c>
      <c r="AM51">
        <f>IF(VLOOKUP(AM$1,main!$A$3:$I$56,5,FALSE)-VLOOKUP($A51,main!$A$3:$I$56,6,FALSE)&gt;=VLOOKUP(55,main!$A$57:$I$59,4,FALSE)+VLOOKUP(VLOOKUP(AM$1,main!$A$3:$I$56,7,FALSE),main!$K$10:$Q$14,3,FALSE),1,0)</f>
        <v>0</v>
      </c>
      <c r="AN51">
        <f>IF(VLOOKUP(AN$1,main!$A$3:$I$56,5,FALSE)-VLOOKUP($A51,main!$A$3:$I$56,6,FALSE)&gt;=VLOOKUP(55,main!$A$57:$I$59,4,FALSE)+VLOOKUP(VLOOKUP(AN$1,main!$A$3:$I$56,7,FALSE),main!$K$10:$Q$14,3,FALSE),1,0)</f>
        <v>0</v>
      </c>
      <c r="AO51">
        <f>IF(VLOOKUP(AO$1,main!$A$3:$I$56,5,FALSE)-VLOOKUP($A51,main!$A$3:$I$56,6,FALSE)&gt;=VLOOKUP(55,main!$A$57:$I$59,4,FALSE)+VLOOKUP(VLOOKUP(AO$1,main!$A$3:$I$56,7,FALSE),main!$K$10:$Q$14,3,FALSE),1,0)</f>
        <v>0</v>
      </c>
      <c r="AP51">
        <f>IF(VLOOKUP(AP$1,main!$A$3:$I$56,5,FALSE)-VLOOKUP($A51,main!$A$3:$I$56,6,FALSE)&gt;=VLOOKUP(55,main!$A$57:$I$59,4,FALSE)+VLOOKUP(VLOOKUP(AP$1,main!$A$3:$I$56,7,FALSE),main!$K$10:$Q$14,3,FALSE),1,0)</f>
        <v>0</v>
      </c>
      <c r="AQ51">
        <f>IF(VLOOKUP(AQ$1,main!$A$3:$I$56,5,FALSE)-VLOOKUP($A51,main!$A$3:$I$56,6,FALSE)&gt;=VLOOKUP(55,main!$A$57:$I$59,4,FALSE)+VLOOKUP(VLOOKUP(AQ$1,main!$A$3:$I$56,7,FALSE),main!$K$10:$Q$14,3,FALSE),1,0)</f>
        <v>0</v>
      </c>
      <c r="AR51">
        <f>IF(VLOOKUP(AR$1,main!$A$3:$I$56,5,FALSE)-VLOOKUP($A51,main!$A$3:$I$56,6,FALSE)&gt;=VLOOKUP(55,main!$A$57:$I$59,4,FALSE)+VLOOKUP(VLOOKUP(AR$1,main!$A$3:$I$56,7,FALSE),main!$K$10:$Q$14,3,FALSE),1,0)</f>
        <v>0</v>
      </c>
      <c r="AS51">
        <f>IF(VLOOKUP(AS$1,main!$A$3:$I$56,5,FALSE)-VLOOKUP($A51,main!$A$3:$I$56,6,FALSE)&gt;=VLOOKUP(55,main!$A$57:$I$59,4,FALSE)+VLOOKUP(VLOOKUP(AS$1,main!$A$3:$I$56,7,FALSE),main!$K$10:$Q$14,3,FALSE),1,0)</f>
        <v>0</v>
      </c>
      <c r="AT51">
        <f>IF(VLOOKUP(AT$1,main!$A$3:$I$56,5,FALSE)-VLOOKUP($A51,main!$A$3:$I$56,6,FALSE)&gt;=VLOOKUP(55,main!$A$57:$I$59,4,FALSE)+VLOOKUP(VLOOKUP(AT$1,main!$A$3:$I$56,7,FALSE),main!$K$10:$Q$14,3,FALSE),1,0)</f>
        <v>0</v>
      </c>
      <c r="AU51">
        <f>IF(VLOOKUP(AU$1,main!$A$3:$I$56,5,FALSE)-VLOOKUP($A51,main!$A$3:$I$56,6,FALSE)&gt;=VLOOKUP(55,main!$A$57:$I$59,4,FALSE)+VLOOKUP(VLOOKUP(AU$1,main!$A$3:$I$56,7,FALSE),main!$K$10:$Q$14,3,FALSE),1,0)</f>
        <v>0</v>
      </c>
      <c r="AV51">
        <f>IF(VLOOKUP(AV$1,main!$A$3:$I$56,5,FALSE)-VLOOKUP($A51,main!$A$3:$I$56,6,FALSE)&gt;=VLOOKUP(55,main!$A$57:$I$59,4,FALSE)+VLOOKUP(VLOOKUP(AV$1,main!$A$3:$I$56,7,FALSE),main!$K$10:$Q$14,3,FALSE),1,0)</f>
        <v>0</v>
      </c>
      <c r="AW51">
        <f>IF(VLOOKUP(AW$1,main!$A$3:$I$56,5,FALSE)-VLOOKUP($A51,main!$A$3:$I$56,6,FALSE)&gt;=VLOOKUP(55,main!$A$57:$I$59,4,FALSE)+VLOOKUP(VLOOKUP(AW$1,main!$A$3:$I$56,7,FALSE),main!$K$10:$Q$14,3,FALSE),1,0)</f>
        <v>0</v>
      </c>
      <c r="AX51">
        <f>IF(VLOOKUP(AX$1,main!$A$3:$I$56,5,FALSE)-VLOOKUP($A51,main!$A$3:$I$56,6,FALSE)&gt;=VLOOKUP(55,main!$A$57:$I$59,4,FALSE)+VLOOKUP(VLOOKUP(AX$1,main!$A$3:$I$56,7,FALSE),main!$K$10:$Q$14,3,FALSE),1,0)</f>
        <v>0</v>
      </c>
      <c r="AY51">
        <f>IF(VLOOKUP(AY$1,main!$A$3:$I$56,5,FALSE)-VLOOKUP($A51,main!$A$3:$I$56,6,FALSE)&gt;=VLOOKUP(55,main!$A$57:$I$59,4,FALSE)+VLOOKUP(VLOOKUP(AY$1,main!$A$3:$I$56,7,FALSE),main!$K$10:$Q$14,3,FALSE),1,0)</f>
        <v>0</v>
      </c>
      <c r="AZ51">
        <f>IF(VLOOKUP(AZ$1,main!$A$3:$I$56,5,FALSE)-VLOOKUP($A51,main!$A$3:$I$56,6,FALSE)&gt;=VLOOKUP(55,main!$A$57:$I$59,4,FALSE)+VLOOKUP(VLOOKUP(AZ$1,main!$A$3:$I$56,7,FALSE),main!$K$10:$Q$14,3,FALSE),1,0)</f>
        <v>0</v>
      </c>
      <c r="BA51">
        <f>IF(VLOOKUP(BA$1,main!$A$3:$I$56,5,FALSE)-VLOOKUP($A51,main!$A$3:$I$56,6,FALSE)&gt;=VLOOKUP(55,main!$A$57:$I$59,4,FALSE)+VLOOKUP(VLOOKUP(BA$1,main!$A$3:$I$56,7,FALSE),main!$K$10:$Q$14,3,FALSE),1,0)</f>
        <v>0</v>
      </c>
      <c r="BB51">
        <f>IF(VLOOKUP(BB$1,main!$A$3:$I$56,5,FALSE)-VLOOKUP($A51,main!$A$3:$I$56,6,FALSE)&gt;=VLOOKUP(55,main!$A$57:$I$59,4,FALSE)+VLOOKUP(VLOOKUP(BB$1,main!$A$3:$I$56,7,FALSE),main!$K$10:$Q$14,3,FALSE),1,0)</f>
        <v>0</v>
      </c>
      <c r="BC51">
        <f>IF(VLOOKUP(BC$1,main!$A$3:$I$56,5,FALSE)-VLOOKUP($A51,main!$A$3:$I$56,6,FALSE)&gt;=VLOOKUP(55,main!$A$57:$I$59,4,FALSE)+VLOOKUP(VLOOKUP(BC$1,main!$A$3:$I$56,7,FALSE),main!$K$10:$Q$14,3,FALSE),1,0)</f>
        <v>0</v>
      </c>
      <c r="BD51">
        <f>IF(VLOOKUP(BD$1,main!$A$3:$I$56,5,FALSE)-VLOOKUP($A51,main!$A$3:$I$56,6,FALSE)&gt;=VLOOKUP(55,main!$A$57:$I$59,4,FALSE)+VLOOKUP(VLOOKUP(BD$1,main!$A$3:$I$56,7,FALSE),main!$K$10:$Q$14,3,FALSE),1,0)</f>
        <v>0</v>
      </c>
    </row>
    <row r="52" spans="1:56" x14ac:dyDescent="0.25">
      <c r="A52">
        <f t="shared" si="0"/>
        <v>50</v>
      </c>
      <c r="B52">
        <v>0</v>
      </c>
      <c r="C52">
        <f>IF(VLOOKUP(C$1,main!$A$3:$I$56,5,FALSE)-VLOOKUP($A52,main!$A$3:$I$56,6,FALSE)&gt;=VLOOKUP(55,main!$A$57:$I$59,4,FALSE)+VLOOKUP(VLOOKUP(C$1,main!$A$3:$I$56,7,FALSE),main!$K$10:$Q$14,3,FALSE),1,0)</f>
        <v>0</v>
      </c>
      <c r="D52">
        <f>IF(VLOOKUP(D$1,main!$A$3:$I$56,5,FALSE)-VLOOKUP($A52,main!$A$3:$I$56,6,FALSE)&gt;=VLOOKUP(55,main!$A$57:$I$59,4,FALSE)+VLOOKUP(VLOOKUP(D$1,main!$A$3:$I$56,7,FALSE),main!$K$10:$Q$14,3,FALSE),1,0)</f>
        <v>0</v>
      </c>
      <c r="E52">
        <f>IF(VLOOKUP(E$1,main!$A$3:$I$56,5,FALSE)-VLOOKUP($A52,main!$A$3:$I$56,6,FALSE)&gt;=VLOOKUP(55,main!$A$57:$I$59,4,FALSE)+VLOOKUP(VLOOKUP(E$1,main!$A$3:$I$56,7,FALSE),main!$K$10:$Q$14,3,FALSE),1,0)</f>
        <v>1</v>
      </c>
      <c r="F52">
        <f>IF(VLOOKUP(F$1,main!$A$3:$I$56,5,FALSE)-VLOOKUP($A52,main!$A$3:$I$56,6,FALSE)&gt;=VLOOKUP(55,main!$A$57:$I$59,4,FALSE)+VLOOKUP(VLOOKUP(F$1,main!$A$3:$I$56,7,FALSE),main!$K$10:$Q$14,3,FALSE),1,0)</f>
        <v>1</v>
      </c>
      <c r="G52">
        <f>IF(VLOOKUP(G$1,main!$A$3:$I$56,5,FALSE)-VLOOKUP($A52,main!$A$3:$I$56,6,FALSE)&gt;=VLOOKUP(55,main!$A$57:$I$59,4,FALSE)+VLOOKUP(VLOOKUP(G$1,main!$A$3:$I$56,7,FALSE),main!$K$10:$Q$14,3,FALSE),1,0)</f>
        <v>1</v>
      </c>
      <c r="H52">
        <f>IF(VLOOKUP(H$1,main!$A$3:$I$56,5,FALSE)-VLOOKUP($A52,main!$A$3:$I$56,6,FALSE)&gt;=VLOOKUP(55,main!$A$57:$I$59,4,FALSE)+VLOOKUP(VLOOKUP(H$1,main!$A$3:$I$56,7,FALSE),main!$K$10:$Q$14,3,FALSE),1,0)</f>
        <v>1</v>
      </c>
      <c r="I52">
        <f>IF(VLOOKUP(I$1,main!$A$3:$I$56,5,FALSE)-VLOOKUP($A52,main!$A$3:$I$56,6,FALSE)&gt;=VLOOKUP(55,main!$A$57:$I$59,4,FALSE)+VLOOKUP(VLOOKUP(I$1,main!$A$3:$I$56,7,FALSE),main!$K$10:$Q$14,3,FALSE),1,0)</f>
        <v>1</v>
      </c>
      <c r="J52">
        <f>IF(VLOOKUP(J$1,main!$A$3:$I$56,5,FALSE)-VLOOKUP($A52,main!$A$3:$I$56,6,FALSE)&gt;=VLOOKUP(55,main!$A$57:$I$59,4,FALSE)+VLOOKUP(VLOOKUP(J$1,main!$A$3:$I$56,7,FALSE),main!$K$10:$Q$14,3,FALSE),1,0)</f>
        <v>1</v>
      </c>
      <c r="K52">
        <f>IF(VLOOKUP(K$1,main!$A$3:$I$56,5,FALSE)-VLOOKUP($A52,main!$A$3:$I$56,6,FALSE)&gt;=VLOOKUP(55,main!$A$57:$I$59,4,FALSE)+VLOOKUP(VLOOKUP(K$1,main!$A$3:$I$56,7,FALSE),main!$K$10:$Q$14,3,FALSE),1,0)</f>
        <v>0</v>
      </c>
      <c r="L52">
        <f>IF(VLOOKUP(L$1,main!$A$3:$I$56,5,FALSE)-VLOOKUP($A52,main!$A$3:$I$56,6,FALSE)&gt;=VLOOKUP(55,main!$A$57:$I$59,4,FALSE)+VLOOKUP(VLOOKUP(L$1,main!$A$3:$I$56,7,FALSE),main!$K$10:$Q$14,3,FALSE),1,0)</f>
        <v>0</v>
      </c>
      <c r="M52">
        <f>IF(VLOOKUP(M$1,main!$A$3:$I$56,5,FALSE)-VLOOKUP($A52,main!$A$3:$I$56,6,FALSE)&gt;=VLOOKUP(55,main!$A$57:$I$59,4,FALSE)+VLOOKUP(VLOOKUP(M$1,main!$A$3:$I$56,7,FALSE),main!$K$10:$Q$14,3,FALSE),1,0)</f>
        <v>0</v>
      </c>
      <c r="N52">
        <f>IF(VLOOKUP(N$1,main!$A$3:$I$56,5,FALSE)-VLOOKUP($A52,main!$A$3:$I$56,6,FALSE)&gt;=VLOOKUP(55,main!$A$57:$I$59,4,FALSE)+VLOOKUP(VLOOKUP(N$1,main!$A$3:$I$56,7,FALSE),main!$K$10:$Q$14,3,FALSE),1,0)</f>
        <v>1</v>
      </c>
      <c r="O52">
        <f>IF(VLOOKUP(O$1,main!$A$3:$I$56,5,FALSE)-VLOOKUP($A52,main!$A$3:$I$56,6,FALSE)&gt;=VLOOKUP(55,main!$A$57:$I$59,4,FALSE)+VLOOKUP(VLOOKUP(O$1,main!$A$3:$I$56,7,FALSE),main!$K$10:$Q$14,3,FALSE),1,0)</f>
        <v>1</v>
      </c>
      <c r="P52">
        <f>IF(VLOOKUP(P$1,main!$A$3:$I$56,5,FALSE)-VLOOKUP($A52,main!$A$3:$I$56,6,FALSE)&gt;=VLOOKUP(55,main!$A$57:$I$59,4,FALSE)+VLOOKUP(VLOOKUP(P$1,main!$A$3:$I$56,7,FALSE),main!$K$10:$Q$14,3,FALSE),1,0)</f>
        <v>0</v>
      </c>
      <c r="Q52">
        <f>IF(VLOOKUP(Q$1,main!$A$3:$I$56,5,FALSE)-VLOOKUP($A52,main!$A$3:$I$56,6,FALSE)&gt;=VLOOKUP(55,main!$A$57:$I$59,4,FALSE)+VLOOKUP(VLOOKUP(Q$1,main!$A$3:$I$56,7,FALSE),main!$K$10:$Q$14,3,FALSE),1,0)</f>
        <v>0</v>
      </c>
      <c r="R52">
        <f>IF(VLOOKUP(R$1,main!$A$3:$I$56,5,FALSE)-VLOOKUP($A52,main!$A$3:$I$56,6,FALSE)&gt;=VLOOKUP(55,main!$A$57:$I$59,4,FALSE)+VLOOKUP(VLOOKUP(R$1,main!$A$3:$I$56,7,FALSE),main!$K$10:$Q$14,3,FALSE),1,0)</f>
        <v>0</v>
      </c>
      <c r="S52">
        <f>IF(VLOOKUP(S$1,main!$A$3:$I$56,5,FALSE)-VLOOKUP($A52,main!$A$3:$I$56,6,FALSE)&gt;=VLOOKUP(55,main!$A$57:$I$59,4,FALSE)+VLOOKUP(VLOOKUP(S$1,main!$A$3:$I$56,7,FALSE),main!$K$10:$Q$14,3,FALSE),1,0)</f>
        <v>1</v>
      </c>
      <c r="T52">
        <f>IF(VLOOKUP(T$1,main!$A$3:$I$56,5,FALSE)-VLOOKUP($A52,main!$A$3:$I$56,6,FALSE)&gt;=VLOOKUP(55,main!$A$57:$I$59,4,FALSE)+VLOOKUP(VLOOKUP(T$1,main!$A$3:$I$56,7,FALSE),main!$K$10:$Q$14,3,FALSE),1,0)</f>
        <v>1</v>
      </c>
      <c r="U52">
        <f>IF(VLOOKUP(U$1,main!$A$3:$I$56,5,FALSE)-VLOOKUP($A52,main!$A$3:$I$56,6,FALSE)&gt;=VLOOKUP(55,main!$A$57:$I$59,4,FALSE)+VLOOKUP(VLOOKUP(U$1,main!$A$3:$I$56,7,FALSE),main!$K$10:$Q$14,3,FALSE),1,0)</f>
        <v>0</v>
      </c>
      <c r="V52">
        <f>IF(VLOOKUP(V$1,main!$A$3:$I$56,5,FALSE)-VLOOKUP($A52,main!$A$3:$I$56,6,FALSE)&gt;=VLOOKUP(55,main!$A$57:$I$59,4,FALSE)+VLOOKUP(VLOOKUP(V$1,main!$A$3:$I$56,7,FALSE),main!$K$10:$Q$14,3,FALSE),1,0)</f>
        <v>0</v>
      </c>
      <c r="W52">
        <f>IF(VLOOKUP(W$1,main!$A$3:$I$56,5,FALSE)-VLOOKUP($A52,main!$A$3:$I$56,6,FALSE)&gt;=VLOOKUP(55,main!$A$57:$I$59,4,FALSE)+VLOOKUP(VLOOKUP(W$1,main!$A$3:$I$56,7,FALSE),main!$K$10:$Q$14,3,FALSE),1,0)</f>
        <v>0</v>
      </c>
      <c r="X52">
        <f>IF(VLOOKUP(X$1,main!$A$3:$I$56,5,FALSE)-VLOOKUP($A52,main!$A$3:$I$56,6,FALSE)&gt;=VLOOKUP(55,main!$A$57:$I$59,4,FALSE)+VLOOKUP(VLOOKUP(X$1,main!$A$3:$I$56,7,FALSE),main!$K$10:$Q$14,3,FALSE),1,0)</f>
        <v>0</v>
      </c>
      <c r="Y52">
        <f>IF(VLOOKUP(Y$1,main!$A$3:$I$56,5,FALSE)-VLOOKUP($A52,main!$A$3:$I$56,6,FALSE)&gt;=VLOOKUP(55,main!$A$57:$I$59,4,FALSE)+VLOOKUP(VLOOKUP(Y$1,main!$A$3:$I$56,7,FALSE),main!$K$10:$Q$14,3,FALSE),1,0)</f>
        <v>1</v>
      </c>
      <c r="Z52">
        <f>IF(VLOOKUP(Z$1,main!$A$3:$I$56,5,FALSE)-VLOOKUP($A52,main!$A$3:$I$56,6,FALSE)&gt;=VLOOKUP(55,main!$A$57:$I$59,4,FALSE)+VLOOKUP(VLOOKUP(Z$1,main!$A$3:$I$56,7,FALSE),main!$K$10:$Q$14,3,FALSE),1,0)</f>
        <v>1</v>
      </c>
      <c r="AA52">
        <f>IF(VLOOKUP(AA$1,main!$A$3:$I$56,5,FALSE)-VLOOKUP($A52,main!$A$3:$I$56,6,FALSE)&gt;=VLOOKUP(55,main!$A$57:$I$59,4,FALSE)+VLOOKUP(VLOOKUP(AA$1,main!$A$3:$I$56,7,FALSE),main!$K$10:$Q$14,3,FALSE),1,0)</f>
        <v>1</v>
      </c>
      <c r="AB52">
        <f>IF(VLOOKUP(AB$1,main!$A$3:$I$56,5,FALSE)-VLOOKUP($A52,main!$A$3:$I$56,6,FALSE)&gt;=VLOOKUP(55,main!$A$57:$I$59,4,FALSE)+VLOOKUP(VLOOKUP(AB$1,main!$A$3:$I$56,7,FALSE),main!$K$10:$Q$14,3,FALSE),1,0)</f>
        <v>1</v>
      </c>
      <c r="AC52">
        <f>IF(VLOOKUP(AC$1,main!$A$3:$I$56,5,FALSE)-VLOOKUP($A52,main!$A$3:$I$56,6,FALSE)&gt;=VLOOKUP(55,main!$A$57:$I$59,4,FALSE)+VLOOKUP(VLOOKUP(AC$1,main!$A$3:$I$56,7,FALSE),main!$K$10:$Q$14,3,FALSE),1,0)</f>
        <v>0</v>
      </c>
      <c r="AD52">
        <f>IF(VLOOKUP(AD$1,main!$A$3:$I$56,5,FALSE)-VLOOKUP($A52,main!$A$3:$I$56,6,FALSE)&gt;=VLOOKUP(55,main!$A$57:$I$59,4,FALSE)+VLOOKUP(VLOOKUP(AD$1,main!$A$3:$I$56,7,FALSE),main!$K$10:$Q$14,3,FALSE),1,0)</f>
        <v>0</v>
      </c>
      <c r="AE52">
        <f>IF(VLOOKUP(AE$1,main!$A$3:$I$56,5,FALSE)-VLOOKUP($A52,main!$A$3:$I$56,6,FALSE)&gt;=VLOOKUP(55,main!$A$57:$I$59,4,FALSE)+VLOOKUP(VLOOKUP(AE$1,main!$A$3:$I$56,7,FALSE),main!$K$10:$Q$14,3,FALSE),1,0)</f>
        <v>0</v>
      </c>
      <c r="AF52">
        <f>IF(VLOOKUP(AF$1,main!$A$3:$I$56,5,FALSE)-VLOOKUP($A52,main!$A$3:$I$56,6,FALSE)&gt;=VLOOKUP(55,main!$A$57:$I$59,4,FALSE)+VLOOKUP(VLOOKUP(AF$1,main!$A$3:$I$56,7,FALSE),main!$K$10:$Q$14,3,FALSE),1,0)</f>
        <v>1</v>
      </c>
      <c r="AG52">
        <f>IF(VLOOKUP(AG$1,main!$A$3:$I$56,5,FALSE)-VLOOKUP($A52,main!$A$3:$I$56,6,FALSE)&gt;=VLOOKUP(55,main!$A$57:$I$59,4,FALSE)+VLOOKUP(VLOOKUP(AG$1,main!$A$3:$I$56,7,FALSE),main!$K$10:$Q$14,3,FALSE),1,0)</f>
        <v>0</v>
      </c>
      <c r="AH52">
        <f>IF(VLOOKUP(AH$1,main!$A$3:$I$56,5,FALSE)-VLOOKUP($A52,main!$A$3:$I$56,6,FALSE)&gt;=VLOOKUP(55,main!$A$57:$I$59,4,FALSE)+VLOOKUP(VLOOKUP(AH$1,main!$A$3:$I$56,7,FALSE),main!$K$10:$Q$14,3,FALSE),1,0)</f>
        <v>0</v>
      </c>
      <c r="AI52">
        <f>IF(VLOOKUP(AI$1,main!$A$3:$I$56,5,FALSE)-VLOOKUP($A52,main!$A$3:$I$56,6,FALSE)&gt;=VLOOKUP(55,main!$A$57:$I$59,4,FALSE)+VLOOKUP(VLOOKUP(AI$1,main!$A$3:$I$56,7,FALSE),main!$K$10:$Q$14,3,FALSE),1,0)</f>
        <v>1</v>
      </c>
      <c r="AJ52">
        <f>IF(VLOOKUP(AJ$1,main!$A$3:$I$56,5,FALSE)-VLOOKUP($A52,main!$A$3:$I$56,6,FALSE)&gt;=VLOOKUP(55,main!$A$57:$I$59,4,FALSE)+VLOOKUP(VLOOKUP(AJ$1,main!$A$3:$I$56,7,FALSE),main!$K$10:$Q$14,3,FALSE),1,0)</f>
        <v>1</v>
      </c>
      <c r="AK52">
        <f>IF(VLOOKUP(AK$1,main!$A$3:$I$56,5,FALSE)-VLOOKUP($A52,main!$A$3:$I$56,6,FALSE)&gt;=VLOOKUP(55,main!$A$57:$I$59,4,FALSE)+VLOOKUP(VLOOKUP(AK$1,main!$A$3:$I$56,7,FALSE),main!$K$10:$Q$14,3,FALSE),1,0)</f>
        <v>1</v>
      </c>
      <c r="AL52">
        <f>IF(VLOOKUP(AL$1,main!$A$3:$I$56,5,FALSE)-VLOOKUP($A52,main!$A$3:$I$56,6,FALSE)&gt;=VLOOKUP(55,main!$A$57:$I$59,4,FALSE)+VLOOKUP(VLOOKUP(AL$1,main!$A$3:$I$56,7,FALSE),main!$K$10:$Q$14,3,FALSE),1,0)</f>
        <v>0</v>
      </c>
      <c r="AM52">
        <f>IF(VLOOKUP(AM$1,main!$A$3:$I$56,5,FALSE)-VLOOKUP($A52,main!$A$3:$I$56,6,FALSE)&gt;=VLOOKUP(55,main!$A$57:$I$59,4,FALSE)+VLOOKUP(VLOOKUP(AM$1,main!$A$3:$I$56,7,FALSE),main!$K$10:$Q$14,3,FALSE),1,0)</f>
        <v>0</v>
      </c>
      <c r="AN52">
        <f>IF(VLOOKUP(AN$1,main!$A$3:$I$56,5,FALSE)-VLOOKUP($A52,main!$A$3:$I$56,6,FALSE)&gt;=VLOOKUP(55,main!$A$57:$I$59,4,FALSE)+VLOOKUP(VLOOKUP(AN$1,main!$A$3:$I$56,7,FALSE),main!$K$10:$Q$14,3,FALSE),1,0)</f>
        <v>1</v>
      </c>
      <c r="AO52">
        <f>IF(VLOOKUP(AO$1,main!$A$3:$I$56,5,FALSE)-VLOOKUP($A52,main!$A$3:$I$56,6,FALSE)&gt;=VLOOKUP(55,main!$A$57:$I$59,4,FALSE)+VLOOKUP(VLOOKUP(AO$1,main!$A$3:$I$56,7,FALSE),main!$K$10:$Q$14,3,FALSE),1,0)</f>
        <v>1</v>
      </c>
      <c r="AP52">
        <f>IF(VLOOKUP(AP$1,main!$A$3:$I$56,5,FALSE)-VLOOKUP($A52,main!$A$3:$I$56,6,FALSE)&gt;=VLOOKUP(55,main!$A$57:$I$59,4,FALSE)+VLOOKUP(VLOOKUP(AP$1,main!$A$3:$I$56,7,FALSE),main!$K$10:$Q$14,3,FALSE),1,0)</f>
        <v>0</v>
      </c>
      <c r="AQ52">
        <f>IF(VLOOKUP(AQ$1,main!$A$3:$I$56,5,FALSE)-VLOOKUP($A52,main!$A$3:$I$56,6,FALSE)&gt;=VLOOKUP(55,main!$A$57:$I$59,4,FALSE)+VLOOKUP(VLOOKUP(AQ$1,main!$A$3:$I$56,7,FALSE),main!$K$10:$Q$14,3,FALSE),1,0)</f>
        <v>0</v>
      </c>
      <c r="AR52">
        <f>IF(VLOOKUP(AR$1,main!$A$3:$I$56,5,FALSE)-VLOOKUP($A52,main!$A$3:$I$56,6,FALSE)&gt;=VLOOKUP(55,main!$A$57:$I$59,4,FALSE)+VLOOKUP(VLOOKUP(AR$1,main!$A$3:$I$56,7,FALSE),main!$K$10:$Q$14,3,FALSE),1,0)</f>
        <v>0</v>
      </c>
      <c r="AS52">
        <f>IF(VLOOKUP(AS$1,main!$A$3:$I$56,5,FALSE)-VLOOKUP($A52,main!$A$3:$I$56,6,FALSE)&gt;=VLOOKUP(55,main!$A$57:$I$59,4,FALSE)+VLOOKUP(VLOOKUP(AS$1,main!$A$3:$I$56,7,FALSE),main!$K$10:$Q$14,3,FALSE),1,0)</f>
        <v>0</v>
      </c>
      <c r="AT52">
        <f>IF(VLOOKUP(AT$1,main!$A$3:$I$56,5,FALSE)-VLOOKUP($A52,main!$A$3:$I$56,6,FALSE)&gt;=VLOOKUP(55,main!$A$57:$I$59,4,FALSE)+VLOOKUP(VLOOKUP(AT$1,main!$A$3:$I$56,7,FALSE),main!$K$10:$Q$14,3,FALSE),1,0)</f>
        <v>1</v>
      </c>
      <c r="AU52">
        <f>IF(VLOOKUP(AU$1,main!$A$3:$I$56,5,FALSE)-VLOOKUP($A52,main!$A$3:$I$56,6,FALSE)&gt;=VLOOKUP(55,main!$A$57:$I$59,4,FALSE)+VLOOKUP(VLOOKUP(AU$1,main!$A$3:$I$56,7,FALSE),main!$K$10:$Q$14,3,FALSE),1,0)</f>
        <v>0</v>
      </c>
      <c r="AV52">
        <f>IF(VLOOKUP(AV$1,main!$A$3:$I$56,5,FALSE)-VLOOKUP($A52,main!$A$3:$I$56,6,FALSE)&gt;=VLOOKUP(55,main!$A$57:$I$59,4,FALSE)+VLOOKUP(VLOOKUP(AV$1,main!$A$3:$I$56,7,FALSE),main!$K$10:$Q$14,3,FALSE),1,0)</f>
        <v>0</v>
      </c>
      <c r="AW52">
        <f>IF(VLOOKUP(AW$1,main!$A$3:$I$56,5,FALSE)-VLOOKUP($A52,main!$A$3:$I$56,6,FALSE)&gt;=VLOOKUP(55,main!$A$57:$I$59,4,FALSE)+VLOOKUP(VLOOKUP(AW$1,main!$A$3:$I$56,7,FALSE),main!$K$10:$Q$14,3,FALSE),1,0)</f>
        <v>0</v>
      </c>
      <c r="AX52">
        <f>IF(VLOOKUP(AX$1,main!$A$3:$I$56,5,FALSE)-VLOOKUP($A52,main!$A$3:$I$56,6,FALSE)&gt;=VLOOKUP(55,main!$A$57:$I$59,4,FALSE)+VLOOKUP(VLOOKUP(AX$1,main!$A$3:$I$56,7,FALSE),main!$K$10:$Q$14,3,FALSE),1,0)</f>
        <v>1</v>
      </c>
      <c r="AY52">
        <f>IF(VLOOKUP(AY$1,main!$A$3:$I$56,5,FALSE)-VLOOKUP($A52,main!$A$3:$I$56,6,FALSE)&gt;=VLOOKUP(55,main!$A$57:$I$59,4,FALSE)+VLOOKUP(VLOOKUP(AY$1,main!$A$3:$I$56,7,FALSE),main!$K$10:$Q$14,3,FALSE),1,0)</f>
        <v>1</v>
      </c>
      <c r="AZ52">
        <f>IF(VLOOKUP(AZ$1,main!$A$3:$I$56,5,FALSE)-VLOOKUP($A52,main!$A$3:$I$56,6,FALSE)&gt;=VLOOKUP(55,main!$A$57:$I$59,4,FALSE)+VLOOKUP(VLOOKUP(AZ$1,main!$A$3:$I$56,7,FALSE),main!$K$10:$Q$14,3,FALSE),1,0)</f>
        <v>0</v>
      </c>
      <c r="BA52">
        <f>IF(VLOOKUP(BA$1,main!$A$3:$I$56,5,FALSE)-VLOOKUP($A52,main!$A$3:$I$56,6,FALSE)&gt;=VLOOKUP(55,main!$A$57:$I$59,4,FALSE)+VLOOKUP(VLOOKUP(BA$1,main!$A$3:$I$56,7,FALSE),main!$K$10:$Q$14,3,FALSE),1,0)</f>
        <v>0</v>
      </c>
      <c r="BB52">
        <f>IF(VLOOKUP(BB$1,main!$A$3:$I$56,5,FALSE)-VLOOKUP($A52,main!$A$3:$I$56,6,FALSE)&gt;=VLOOKUP(55,main!$A$57:$I$59,4,FALSE)+VLOOKUP(VLOOKUP(BB$1,main!$A$3:$I$56,7,FALSE),main!$K$10:$Q$14,3,FALSE),1,0)</f>
        <v>0</v>
      </c>
      <c r="BC52">
        <f>IF(VLOOKUP(BC$1,main!$A$3:$I$56,5,FALSE)-VLOOKUP($A52,main!$A$3:$I$56,6,FALSE)&gt;=VLOOKUP(55,main!$A$57:$I$59,4,FALSE)+VLOOKUP(VLOOKUP(BC$1,main!$A$3:$I$56,7,FALSE),main!$K$10:$Q$14,3,FALSE),1,0)</f>
        <v>1</v>
      </c>
      <c r="BD52">
        <f>IF(VLOOKUP(BD$1,main!$A$3:$I$56,5,FALSE)-VLOOKUP($A52,main!$A$3:$I$56,6,FALSE)&gt;=VLOOKUP(55,main!$A$57:$I$59,4,FALSE)+VLOOKUP(VLOOKUP(BD$1,main!$A$3:$I$56,7,FALSE),main!$K$10:$Q$14,3,FALSE),1,0)</f>
        <v>1</v>
      </c>
    </row>
    <row r="53" spans="1:56" x14ac:dyDescent="0.25">
      <c r="A53">
        <f t="shared" si="0"/>
        <v>51</v>
      </c>
      <c r="B53">
        <v>0</v>
      </c>
      <c r="C53">
        <f>IF(VLOOKUP(C$1,main!$A$3:$I$56,5,FALSE)-VLOOKUP($A53,main!$A$3:$I$56,6,FALSE)&gt;=VLOOKUP(55,main!$A$57:$I$59,4,FALSE)+VLOOKUP(VLOOKUP(C$1,main!$A$3:$I$56,7,FALSE),main!$K$10:$Q$14,3,FALSE),1,0)</f>
        <v>0</v>
      </c>
      <c r="D53">
        <f>IF(VLOOKUP(D$1,main!$A$3:$I$56,5,FALSE)-VLOOKUP($A53,main!$A$3:$I$56,6,FALSE)&gt;=VLOOKUP(55,main!$A$57:$I$59,4,FALSE)+VLOOKUP(VLOOKUP(D$1,main!$A$3:$I$56,7,FALSE),main!$K$10:$Q$14,3,FALSE),1,0)</f>
        <v>0</v>
      </c>
      <c r="E53">
        <f>IF(VLOOKUP(E$1,main!$A$3:$I$56,5,FALSE)-VLOOKUP($A53,main!$A$3:$I$56,6,FALSE)&gt;=VLOOKUP(55,main!$A$57:$I$59,4,FALSE)+VLOOKUP(VLOOKUP(E$1,main!$A$3:$I$56,7,FALSE),main!$K$10:$Q$14,3,FALSE),1,0)</f>
        <v>0</v>
      </c>
      <c r="F53">
        <f>IF(VLOOKUP(F$1,main!$A$3:$I$56,5,FALSE)-VLOOKUP($A53,main!$A$3:$I$56,6,FALSE)&gt;=VLOOKUP(55,main!$A$57:$I$59,4,FALSE)+VLOOKUP(VLOOKUP(F$1,main!$A$3:$I$56,7,FALSE),main!$K$10:$Q$14,3,FALSE),1,0)</f>
        <v>0</v>
      </c>
      <c r="G53">
        <f>IF(VLOOKUP(G$1,main!$A$3:$I$56,5,FALSE)-VLOOKUP($A53,main!$A$3:$I$56,6,FALSE)&gt;=VLOOKUP(55,main!$A$57:$I$59,4,FALSE)+VLOOKUP(VLOOKUP(G$1,main!$A$3:$I$56,7,FALSE),main!$K$10:$Q$14,3,FALSE),1,0)</f>
        <v>1</v>
      </c>
      <c r="H53">
        <f>IF(VLOOKUP(H$1,main!$A$3:$I$56,5,FALSE)-VLOOKUP($A53,main!$A$3:$I$56,6,FALSE)&gt;=VLOOKUP(55,main!$A$57:$I$59,4,FALSE)+VLOOKUP(VLOOKUP(H$1,main!$A$3:$I$56,7,FALSE),main!$K$10:$Q$14,3,FALSE),1,0)</f>
        <v>1</v>
      </c>
      <c r="I53">
        <f>IF(VLOOKUP(I$1,main!$A$3:$I$56,5,FALSE)-VLOOKUP($A53,main!$A$3:$I$56,6,FALSE)&gt;=VLOOKUP(55,main!$A$57:$I$59,4,FALSE)+VLOOKUP(VLOOKUP(I$1,main!$A$3:$I$56,7,FALSE),main!$K$10:$Q$14,3,FALSE),1,0)</f>
        <v>1</v>
      </c>
      <c r="J53">
        <f>IF(VLOOKUP(J$1,main!$A$3:$I$56,5,FALSE)-VLOOKUP($A53,main!$A$3:$I$56,6,FALSE)&gt;=VLOOKUP(55,main!$A$57:$I$59,4,FALSE)+VLOOKUP(VLOOKUP(J$1,main!$A$3:$I$56,7,FALSE),main!$K$10:$Q$14,3,FALSE),1,0)</f>
        <v>1</v>
      </c>
      <c r="K53">
        <f>IF(VLOOKUP(K$1,main!$A$3:$I$56,5,FALSE)-VLOOKUP($A53,main!$A$3:$I$56,6,FALSE)&gt;=VLOOKUP(55,main!$A$57:$I$59,4,FALSE)+VLOOKUP(VLOOKUP(K$1,main!$A$3:$I$56,7,FALSE),main!$K$10:$Q$14,3,FALSE),1,0)</f>
        <v>0</v>
      </c>
      <c r="L53">
        <f>IF(VLOOKUP(L$1,main!$A$3:$I$56,5,FALSE)-VLOOKUP($A53,main!$A$3:$I$56,6,FALSE)&gt;=VLOOKUP(55,main!$A$57:$I$59,4,FALSE)+VLOOKUP(VLOOKUP(L$1,main!$A$3:$I$56,7,FALSE),main!$K$10:$Q$14,3,FALSE),1,0)</f>
        <v>0</v>
      </c>
      <c r="M53">
        <f>IF(VLOOKUP(M$1,main!$A$3:$I$56,5,FALSE)-VLOOKUP($A53,main!$A$3:$I$56,6,FALSE)&gt;=VLOOKUP(55,main!$A$57:$I$59,4,FALSE)+VLOOKUP(VLOOKUP(M$1,main!$A$3:$I$56,7,FALSE),main!$K$10:$Q$14,3,FALSE),1,0)</f>
        <v>0</v>
      </c>
      <c r="N53">
        <f>IF(VLOOKUP(N$1,main!$A$3:$I$56,5,FALSE)-VLOOKUP($A53,main!$A$3:$I$56,6,FALSE)&gt;=VLOOKUP(55,main!$A$57:$I$59,4,FALSE)+VLOOKUP(VLOOKUP(N$1,main!$A$3:$I$56,7,FALSE),main!$K$10:$Q$14,3,FALSE),1,0)</f>
        <v>1</v>
      </c>
      <c r="O53">
        <f>IF(VLOOKUP(O$1,main!$A$3:$I$56,5,FALSE)-VLOOKUP($A53,main!$A$3:$I$56,6,FALSE)&gt;=VLOOKUP(55,main!$A$57:$I$59,4,FALSE)+VLOOKUP(VLOOKUP(O$1,main!$A$3:$I$56,7,FALSE),main!$K$10:$Q$14,3,FALSE),1,0)</f>
        <v>1</v>
      </c>
      <c r="P53">
        <f>IF(VLOOKUP(P$1,main!$A$3:$I$56,5,FALSE)-VLOOKUP($A53,main!$A$3:$I$56,6,FALSE)&gt;=VLOOKUP(55,main!$A$57:$I$59,4,FALSE)+VLOOKUP(VLOOKUP(P$1,main!$A$3:$I$56,7,FALSE),main!$K$10:$Q$14,3,FALSE),1,0)</f>
        <v>0</v>
      </c>
      <c r="Q53">
        <f>IF(VLOOKUP(Q$1,main!$A$3:$I$56,5,FALSE)-VLOOKUP($A53,main!$A$3:$I$56,6,FALSE)&gt;=VLOOKUP(55,main!$A$57:$I$59,4,FALSE)+VLOOKUP(VLOOKUP(Q$1,main!$A$3:$I$56,7,FALSE),main!$K$10:$Q$14,3,FALSE),1,0)</f>
        <v>0</v>
      </c>
      <c r="R53">
        <f>IF(VLOOKUP(R$1,main!$A$3:$I$56,5,FALSE)-VLOOKUP($A53,main!$A$3:$I$56,6,FALSE)&gt;=VLOOKUP(55,main!$A$57:$I$59,4,FALSE)+VLOOKUP(VLOOKUP(R$1,main!$A$3:$I$56,7,FALSE),main!$K$10:$Q$14,3,FALSE),1,0)</f>
        <v>0</v>
      </c>
      <c r="S53">
        <f>IF(VLOOKUP(S$1,main!$A$3:$I$56,5,FALSE)-VLOOKUP($A53,main!$A$3:$I$56,6,FALSE)&gt;=VLOOKUP(55,main!$A$57:$I$59,4,FALSE)+VLOOKUP(VLOOKUP(S$1,main!$A$3:$I$56,7,FALSE),main!$K$10:$Q$14,3,FALSE),1,0)</f>
        <v>1</v>
      </c>
      <c r="T53">
        <f>IF(VLOOKUP(T$1,main!$A$3:$I$56,5,FALSE)-VLOOKUP($A53,main!$A$3:$I$56,6,FALSE)&gt;=VLOOKUP(55,main!$A$57:$I$59,4,FALSE)+VLOOKUP(VLOOKUP(T$1,main!$A$3:$I$56,7,FALSE),main!$K$10:$Q$14,3,FALSE),1,0)</f>
        <v>1</v>
      </c>
      <c r="U53">
        <f>IF(VLOOKUP(U$1,main!$A$3:$I$56,5,FALSE)-VLOOKUP($A53,main!$A$3:$I$56,6,FALSE)&gt;=VLOOKUP(55,main!$A$57:$I$59,4,FALSE)+VLOOKUP(VLOOKUP(U$1,main!$A$3:$I$56,7,FALSE),main!$K$10:$Q$14,3,FALSE),1,0)</f>
        <v>0</v>
      </c>
      <c r="V53">
        <f>IF(VLOOKUP(V$1,main!$A$3:$I$56,5,FALSE)-VLOOKUP($A53,main!$A$3:$I$56,6,FALSE)&gt;=VLOOKUP(55,main!$A$57:$I$59,4,FALSE)+VLOOKUP(VLOOKUP(V$1,main!$A$3:$I$56,7,FALSE),main!$K$10:$Q$14,3,FALSE),1,0)</f>
        <v>0</v>
      </c>
      <c r="W53">
        <f>IF(VLOOKUP(W$1,main!$A$3:$I$56,5,FALSE)-VLOOKUP($A53,main!$A$3:$I$56,6,FALSE)&gt;=VLOOKUP(55,main!$A$57:$I$59,4,FALSE)+VLOOKUP(VLOOKUP(W$1,main!$A$3:$I$56,7,FALSE),main!$K$10:$Q$14,3,FALSE),1,0)</f>
        <v>0</v>
      </c>
      <c r="X53">
        <f>IF(VLOOKUP(X$1,main!$A$3:$I$56,5,FALSE)-VLOOKUP($A53,main!$A$3:$I$56,6,FALSE)&gt;=VLOOKUP(55,main!$A$57:$I$59,4,FALSE)+VLOOKUP(VLOOKUP(X$1,main!$A$3:$I$56,7,FALSE),main!$K$10:$Q$14,3,FALSE),1,0)</f>
        <v>0</v>
      </c>
      <c r="Y53">
        <f>IF(VLOOKUP(Y$1,main!$A$3:$I$56,5,FALSE)-VLOOKUP($A53,main!$A$3:$I$56,6,FALSE)&gt;=VLOOKUP(55,main!$A$57:$I$59,4,FALSE)+VLOOKUP(VLOOKUP(Y$1,main!$A$3:$I$56,7,FALSE),main!$K$10:$Q$14,3,FALSE),1,0)</f>
        <v>0</v>
      </c>
      <c r="Z53">
        <f>IF(VLOOKUP(Z$1,main!$A$3:$I$56,5,FALSE)-VLOOKUP($A53,main!$A$3:$I$56,6,FALSE)&gt;=VLOOKUP(55,main!$A$57:$I$59,4,FALSE)+VLOOKUP(VLOOKUP(Z$1,main!$A$3:$I$56,7,FALSE),main!$K$10:$Q$14,3,FALSE),1,0)</f>
        <v>1</v>
      </c>
      <c r="AA53">
        <f>IF(VLOOKUP(AA$1,main!$A$3:$I$56,5,FALSE)-VLOOKUP($A53,main!$A$3:$I$56,6,FALSE)&gt;=VLOOKUP(55,main!$A$57:$I$59,4,FALSE)+VLOOKUP(VLOOKUP(AA$1,main!$A$3:$I$56,7,FALSE),main!$K$10:$Q$14,3,FALSE),1,0)</f>
        <v>1</v>
      </c>
      <c r="AB53">
        <f>IF(VLOOKUP(AB$1,main!$A$3:$I$56,5,FALSE)-VLOOKUP($A53,main!$A$3:$I$56,6,FALSE)&gt;=VLOOKUP(55,main!$A$57:$I$59,4,FALSE)+VLOOKUP(VLOOKUP(AB$1,main!$A$3:$I$56,7,FALSE),main!$K$10:$Q$14,3,FALSE),1,0)</f>
        <v>1</v>
      </c>
      <c r="AC53">
        <f>IF(VLOOKUP(AC$1,main!$A$3:$I$56,5,FALSE)-VLOOKUP($A53,main!$A$3:$I$56,6,FALSE)&gt;=VLOOKUP(55,main!$A$57:$I$59,4,FALSE)+VLOOKUP(VLOOKUP(AC$1,main!$A$3:$I$56,7,FALSE),main!$K$10:$Q$14,3,FALSE),1,0)</f>
        <v>0</v>
      </c>
      <c r="AD53">
        <f>IF(VLOOKUP(AD$1,main!$A$3:$I$56,5,FALSE)-VLOOKUP($A53,main!$A$3:$I$56,6,FALSE)&gt;=VLOOKUP(55,main!$A$57:$I$59,4,FALSE)+VLOOKUP(VLOOKUP(AD$1,main!$A$3:$I$56,7,FALSE),main!$K$10:$Q$14,3,FALSE),1,0)</f>
        <v>0</v>
      </c>
      <c r="AE53">
        <f>IF(VLOOKUP(AE$1,main!$A$3:$I$56,5,FALSE)-VLOOKUP($A53,main!$A$3:$I$56,6,FALSE)&gt;=VLOOKUP(55,main!$A$57:$I$59,4,FALSE)+VLOOKUP(VLOOKUP(AE$1,main!$A$3:$I$56,7,FALSE),main!$K$10:$Q$14,3,FALSE),1,0)</f>
        <v>0</v>
      </c>
      <c r="AF53">
        <f>IF(VLOOKUP(AF$1,main!$A$3:$I$56,5,FALSE)-VLOOKUP($A53,main!$A$3:$I$56,6,FALSE)&gt;=VLOOKUP(55,main!$A$57:$I$59,4,FALSE)+VLOOKUP(VLOOKUP(AF$1,main!$A$3:$I$56,7,FALSE),main!$K$10:$Q$14,3,FALSE),1,0)</f>
        <v>0</v>
      </c>
      <c r="AG53">
        <f>IF(VLOOKUP(AG$1,main!$A$3:$I$56,5,FALSE)-VLOOKUP($A53,main!$A$3:$I$56,6,FALSE)&gt;=VLOOKUP(55,main!$A$57:$I$59,4,FALSE)+VLOOKUP(VLOOKUP(AG$1,main!$A$3:$I$56,7,FALSE),main!$K$10:$Q$14,3,FALSE),1,0)</f>
        <v>0</v>
      </c>
      <c r="AH53">
        <f>IF(VLOOKUP(AH$1,main!$A$3:$I$56,5,FALSE)-VLOOKUP($A53,main!$A$3:$I$56,6,FALSE)&gt;=VLOOKUP(55,main!$A$57:$I$59,4,FALSE)+VLOOKUP(VLOOKUP(AH$1,main!$A$3:$I$56,7,FALSE),main!$K$10:$Q$14,3,FALSE),1,0)</f>
        <v>0</v>
      </c>
      <c r="AI53">
        <f>IF(VLOOKUP(AI$1,main!$A$3:$I$56,5,FALSE)-VLOOKUP($A53,main!$A$3:$I$56,6,FALSE)&gt;=VLOOKUP(55,main!$A$57:$I$59,4,FALSE)+VLOOKUP(VLOOKUP(AI$1,main!$A$3:$I$56,7,FALSE),main!$K$10:$Q$14,3,FALSE),1,0)</f>
        <v>0</v>
      </c>
      <c r="AJ53">
        <f>IF(VLOOKUP(AJ$1,main!$A$3:$I$56,5,FALSE)-VLOOKUP($A53,main!$A$3:$I$56,6,FALSE)&gt;=VLOOKUP(55,main!$A$57:$I$59,4,FALSE)+VLOOKUP(VLOOKUP(AJ$1,main!$A$3:$I$56,7,FALSE),main!$K$10:$Q$14,3,FALSE),1,0)</f>
        <v>0</v>
      </c>
      <c r="AK53">
        <f>IF(VLOOKUP(AK$1,main!$A$3:$I$56,5,FALSE)-VLOOKUP($A53,main!$A$3:$I$56,6,FALSE)&gt;=VLOOKUP(55,main!$A$57:$I$59,4,FALSE)+VLOOKUP(VLOOKUP(AK$1,main!$A$3:$I$56,7,FALSE),main!$K$10:$Q$14,3,FALSE),1,0)</f>
        <v>1</v>
      </c>
      <c r="AL53">
        <f>IF(VLOOKUP(AL$1,main!$A$3:$I$56,5,FALSE)-VLOOKUP($A53,main!$A$3:$I$56,6,FALSE)&gt;=VLOOKUP(55,main!$A$57:$I$59,4,FALSE)+VLOOKUP(VLOOKUP(AL$1,main!$A$3:$I$56,7,FALSE),main!$K$10:$Q$14,3,FALSE),1,0)</f>
        <v>0</v>
      </c>
      <c r="AM53">
        <f>IF(VLOOKUP(AM$1,main!$A$3:$I$56,5,FALSE)-VLOOKUP($A53,main!$A$3:$I$56,6,FALSE)&gt;=VLOOKUP(55,main!$A$57:$I$59,4,FALSE)+VLOOKUP(VLOOKUP(AM$1,main!$A$3:$I$56,7,FALSE),main!$K$10:$Q$14,3,FALSE),1,0)</f>
        <v>0</v>
      </c>
      <c r="AN53">
        <f>IF(VLOOKUP(AN$1,main!$A$3:$I$56,5,FALSE)-VLOOKUP($A53,main!$A$3:$I$56,6,FALSE)&gt;=VLOOKUP(55,main!$A$57:$I$59,4,FALSE)+VLOOKUP(VLOOKUP(AN$1,main!$A$3:$I$56,7,FALSE),main!$K$10:$Q$14,3,FALSE),1,0)</f>
        <v>0</v>
      </c>
      <c r="AO53">
        <f>IF(VLOOKUP(AO$1,main!$A$3:$I$56,5,FALSE)-VLOOKUP($A53,main!$A$3:$I$56,6,FALSE)&gt;=VLOOKUP(55,main!$A$57:$I$59,4,FALSE)+VLOOKUP(VLOOKUP(AO$1,main!$A$3:$I$56,7,FALSE),main!$K$10:$Q$14,3,FALSE),1,0)</f>
        <v>0</v>
      </c>
      <c r="AP53">
        <f>IF(VLOOKUP(AP$1,main!$A$3:$I$56,5,FALSE)-VLOOKUP($A53,main!$A$3:$I$56,6,FALSE)&gt;=VLOOKUP(55,main!$A$57:$I$59,4,FALSE)+VLOOKUP(VLOOKUP(AP$1,main!$A$3:$I$56,7,FALSE),main!$K$10:$Q$14,3,FALSE),1,0)</f>
        <v>0</v>
      </c>
      <c r="AQ53">
        <f>IF(VLOOKUP(AQ$1,main!$A$3:$I$56,5,FALSE)-VLOOKUP($A53,main!$A$3:$I$56,6,FALSE)&gt;=VLOOKUP(55,main!$A$57:$I$59,4,FALSE)+VLOOKUP(VLOOKUP(AQ$1,main!$A$3:$I$56,7,FALSE),main!$K$10:$Q$14,3,FALSE),1,0)</f>
        <v>0</v>
      </c>
      <c r="AR53">
        <f>IF(VLOOKUP(AR$1,main!$A$3:$I$56,5,FALSE)-VLOOKUP($A53,main!$A$3:$I$56,6,FALSE)&gt;=VLOOKUP(55,main!$A$57:$I$59,4,FALSE)+VLOOKUP(VLOOKUP(AR$1,main!$A$3:$I$56,7,FALSE),main!$K$10:$Q$14,3,FALSE),1,0)</f>
        <v>0</v>
      </c>
      <c r="AS53">
        <f>IF(VLOOKUP(AS$1,main!$A$3:$I$56,5,FALSE)-VLOOKUP($A53,main!$A$3:$I$56,6,FALSE)&gt;=VLOOKUP(55,main!$A$57:$I$59,4,FALSE)+VLOOKUP(VLOOKUP(AS$1,main!$A$3:$I$56,7,FALSE),main!$K$10:$Q$14,3,FALSE),1,0)</f>
        <v>0</v>
      </c>
      <c r="AT53">
        <f>IF(VLOOKUP(AT$1,main!$A$3:$I$56,5,FALSE)-VLOOKUP($A53,main!$A$3:$I$56,6,FALSE)&gt;=VLOOKUP(55,main!$A$57:$I$59,4,FALSE)+VLOOKUP(VLOOKUP(AT$1,main!$A$3:$I$56,7,FALSE),main!$K$10:$Q$14,3,FALSE),1,0)</f>
        <v>0</v>
      </c>
      <c r="AU53">
        <f>IF(VLOOKUP(AU$1,main!$A$3:$I$56,5,FALSE)-VLOOKUP($A53,main!$A$3:$I$56,6,FALSE)&gt;=VLOOKUP(55,main!$A$57:$I$59,4,FALSE)+VLOOKUP(VLOOKUP(AU$1,main!$A$3:$I$56,7,FALSE),main!$K$10:$Q$14,3,FALSE),1,0)</f>
        <v>0</v>
      </c>
      <c r="AV53">
        <f>IF(VLOOKUP(AV$1,main!$A$3:$I$56,5,FALSE)-VLOOKUP($A53,main!$A$3:$I$56,6,FALSE)&gt;=VLOOKUP(55,main!$A$57:$I$59,4,FALSE)+VLOOKUP(VLOOKUP(AV$1,main!$A$3:$I$56,7,FALSE),main!$K$10:$Q$14,3,FALSE),1,0)</f>
        <v>0</v>
      </c>
      <c r="AW53">
        <f>IF(VLOOKUP(AW$1,main!$A$3:$I$56,5,FALSE)-VLOOKUP($A53,main!$A$3:$I$56,6,FALSE)&gt;=VLOOKUP(55,main!$A$57:$I$59,4,FALSE)+VLOOKUP(VLOOKUP(AW$1,main!$A$3:$I$56,7,FALSE),main!$K$10:$Q$14,3,FALSE),1,0)</f>
        <v>0</v>
      </c>
      <c r="AX53">
        <f>IF(VLOOKUP(AX$1,main!$A$3:$I$56,5,FALSE)-VLOOKUP($A53,main!$A$3:$I$56,6,FALSE)&gt;=VLOOKUP(55,main!$A$57:$I$59,4,FALSE)+VLOOKUP(VLOOKUP(AX$1,main!$A$3:$I$56,7,FALSE),main!$K$10:$Q$14,3,FALSE),1,0)</f>
        <v>1</v>
      </c>
      <c r="AY53">
        <f>IF(VLOOKUP(AY$1,main!$A$3:$I$56,5,FALSE)-VLOOKUP($A53,main!$A$3:$I$56,6,FALSE)&gt;=VLOOKUP(55,main!$A$57:$I$59,4,FALSE)+VLOOKUP(VLOOKUP(AY$1,main!$A$3:$I$56,7,FALSE),main!$K$10:$Q$14,3,FALSE),1,0)</f>
        <v>1</v>
      </c>
      <c r="AZ53">
        <f>IF(VLOOKUP(AZ$1,main!$A$3:$I$56,5,FALSE)-VLOOKUP($A53,main!$A$3:$I$56,6,FALSE)&gt;=VLOOKUP(55,main!$A$57:$I$59,4,FALSE)+VLOOKUP(VLOOKUP(AZ$1,main!$A$3:$I$56,7,FALSE),main!$K$10:$Q$14,3,FALSE),1,0)</f>
        <v>0</v>
      </c>
      <c r="BA53">
        <f>IF(VLOOKUP(BA$1,main!$A$3:$I$56,5,FALSE)-VLOOKUP($A53,main!$A$3:$I$56,6,FALSE)&gt;=VLOOKUP(55,main!$A$57:$I$59,4,FALSE)+VLOOKUP(VLOOKUP(BA$1,main!$A$3:$I$56,7,FALSE),main!$K$10:$Q$14,3,FALSE),1,0)</f>
        <v>0</v>
      </c>
      <c r="BB53">
        <f>IF(VLOOKUP(BB$1,main!$A$3:$I$56,5,FALSE)-VLOOKUP($A53,main!$A$3:$I$56,6,FALSE)&gt;=VLOOKUP(55,main!$A$57:$I$59,4,FALSE)+VLOOKUP(VLOOKUP(BB$1,main!$A$3:$I$56,7,FALSE),main!$K$10:$Q$14,3,FALSE),1,0)</f>
        <v>0</v>
      </c>
      <c r="BC53">
        <f>IF(VLOOKUP(BC$1,main!$A$3:$I$56,5,FALSE)-VLOOKUP($A53,main!$A$3:$I$56,6,FALSE)&gt;=VLOOKUP(55,main!$A$57:$I$59,4,FALSE)+VLOOKUP(VLOOKUP(BC$1,main!$A$3:$I$56,7,FALSE),main!$K$10:$Q$14,3,FALSE),1,0)</f>
        <v>1</v>
      </c>
      <c r="BD53">
        <f>IF(VLOOKUP(BD$1,main!$A$3:$I$56,5,FALSE)-VLOOKUP($A53,main!$A$3:$I$56,6,FALSE)&gt;=VLOOKUP(55,main!$A$57:$I$59,4,FALSE)+VLOOKUP(VLOOKUP(BD$1,main!$A$3:$I$56,7,FALSE),main!$K$10:$Q$14,3,FALSE),1,0)</f>
        <v>1</v>
      </c>
    </row>
    <row r="54" spans="1:56" x14ac:dyDescent="0.25">
      <c r="A54">
        <f t="shared" si="0"/>
        <v>52</v>
      </c>
      <c r="B54">
        <v>0</v>
      </c>
      <c r="C54">
        <f>IF(VLOOKUP(C$1,main!$A$3:$I$56,5,FALSE)-VLOOKUP($A54,main!$A$3:$I$56,6,FALSE)&gt;=VLOOKUP(55,main!$A$57:$I$59,4,FALSE)+VLOOKUP(VLOOKUP(C$1,main!$A$3:$I$56,7,FALSE),main!$K$10:$Q$14,3,FALSE),1,0)</f>
        <v>0</v>
      </c>
      <c r="D54">
        <f>IF(VLOOKUP(D$1,main!$A$3:$I$56,5,FALSE)-VLOOKUP($A54,main!$A$3:$I$56,6,FALSE)&gt;=VLOOKUP(55,main!$A$57:$I$59,4,FALSE)+VLOOKUP(VLOOKUP(D$1,main!$A$3:$I$56,7,FALSE),main!$K$10:$Q$14,3,FALSE),1,0)</f>
        <v>0</v>
      </c>
      <c r="E54">
        <f>IF(VLOOKUP(E$1,main!$A$3:$I$56,5,FALSE)-VLOOKUP($A54,main!$A$3:$I$56,6,FALSE)&gt;=VLOOKUP(55,main!$A$57:$I$59,4,FALSE)+VLOOKUP(VLOOKUP(E$1,main!$A$3:$I$56,7,FALSE),main!$K$10:$Q$14,3,FALSE),1,0)</f>
        <v>0</v>
      </c>
      <c r="F54">
        <f>IF(VLOOKUP(F$1,main!$A$3:$I$56,5,FALSE)-VLOOKUP($A54,main!$A$3:$I$56,6,FALSE)&gt;=VLOOKUP(55,main!$A$57:$I$59,4,FALSE)+VLOOKUP(VLOOKUP(F$1,main!$A$3:$I$56,7,FALSE),main!$K$10:$Q$14,3,FALSE),1,0)</f>
        <v>0</v>
      </c>
      <c r="G54">
        <f>IF(VLOOKUP(G$1,main!$A$3:$I$56,5,FALSE)-VLOOKUP($A54,main!$A$3:$I$56,6,FALSE)&gt;=VLOOKUP(55,main!$A$57:$I$59,4,FALSE)+VLOOKUP(VLOOKUP(G$1,main!$A$3:$I$56,7,FALSE),main!$K$10:$Q$14,3,FALSE),1,0)</f>
        <v>1</v>
      </c>
      <c r="H54">
        <f>IF(VLOOKUP(H$1,main!$A$3:$I$56,5,FALSE)-VLOOKUP($A54,main!$A$3:$I$56,6,FALSE)&gt;=VLOOKUP(55,main!$A$57:$I$59,4,FALSE)+VLOOKUP(VLOOKUP(H$1,main!$A$3:$I$56,7,FALSE),main!$K$10:$Q$14,3,FALSE),1,0)</f>
        <v>1</v>
      </c>
      <c r="I54">
        <f>IF(VLOOKUP(I$1,main!$A$3:$I$56,5,FALSE)-VLOOKUP($A54,main!$A$3:$I$56,6,FALSE)&gt;=VLOOKUP(55,main!$A$57:$I$59,4,FALSE)+VLOOKUP(VLOOKUP(I$1,main!$A$3:$I$56,7,FALSE),main!$K$10:$Q$14,3,FALSE),1,0)</f>
        <v>1</v>
      </c>
      <c r="J54">
        <f>IF(VLOOKUP(J$1,main!$A$3:$I$56,5,FALSE)-VLOOKUP($A54,main!$A$3:$I$56,6,FALSE)&gt;=VLOOKUP(55,main!$A$57:$I$59,4,FALSE)+VLOOKUP(VLOOKUP(J$1,main!$A$3:$I$56,7,FALSE),main!$K$10:$Q$14,3,FALSE),1,0)</f>
        <v>1</v>
      </c>
      <c r="K54">
        <f>IF(VLOOKUP(K$1,main!$A$3:$I$56,5,FALSE)-VLOOKUP($A54,main!$A$3:$I$56,6,FALSE)&gt;=VLOOKUP(55,main!$A$57:$I$59,4,FALSE)+VLOOKUP(VLOOKUP(K$1,main!$A$3:$I$56,7,FALSE),main!$K$10:$Q$14,3,FALSE),1,0)</f>
        <v>0</v>
      </c>
      <c r="L54">
        <f>IF(VLOOKUP(L$1,main!$A$3:$I$56,5,FALSE)-VLOOKUP($A54,main!$A$3:$I$56,6,FALSE)&gt;=VLOOKUP(55,main!$A$57:$I$59,4,FALSE)+VLOOKUP(VLOOKUP(L$1,main!$A$3:$I$56,7,FALSE),main!$K$10:$Q$14,3,FALSE),1,0)</f>
        <v>0</v>
      </c>
      <c r="M54">
        <f>IF(VLOOKUP(M$1,main!$A$3:$I$56,5,FALSE)-VLOOKUP($A54,main!$A$3:$I$56,6,FALSE)&gt;=VLOOKUP(55,main!$A$57:$I$59,4,FALSE)+VLOOKUP(VLOOKUP(M$1,main!$A$3:$I$56,7,FALSE),main!$K$10:$Q$14,3,FALSE),1,0)</f>
        <v>0</v>
      </c>
      <c r="N54">
        <f>IF(VLOOKUP(N$1,main!$A$3:$I$56,5,FALSE)-VLOOKUP($A54,main!$A$3:$I$56,6,FALSE)&gt;=VLOOKUP(55,main!$A$57:$I$59,4,FALSE)+VLOOKUP(VLOOKUP(N$1,main!$A$3:$I$56,7,FALSE),main!$K$10:$Q$14,3,FALSE),1,0)</f>
        <v>1</v>
      </c>
      <c r="O54">
        <f>IF(VLOOKUP(O$1,main!$A$3:$I$56,5,FALSE)-VLOOKUP($A54,main!$A$3:$I$56,6,FALSE)&gt;=VLOOKUP(55,main!$A$57:$I$59,4,FALSE)+VLOOKUP(VLOOKUP(O$1,main!$A$3:$I$56,7,FALSE),main!$K$10:$Q$14,3,FALSE),1,0)</f>
        <v>1</v>
      </c>
      <c r="P54">
        <f>IF(VLOOKUP(P$1,main!$A$3:$I$56,5,FALSE)-VLOOKUP($A54,main!$A$3:$I$56,6,FALSE)&gt;=VLOOKUP(55,main!$A$57:$I$59,4,FALSE)+VLOOKUP(VLOOKUP(P$1,main!$A$3:$I$56,7,FALSE),main!$K$10:$Q$14,3,FALSE),1,0)</f>
        <v>0</v>
      </c>
      <c r="Q54">
        <f>IF(VLOOKUP(Q$1,main!$A$3:$I$56,5,FALSE)-VLOOKUP($A54,main!$A$3:$I$56,6,FALSE)&gt;=VLOOKUP(55,main!$A$57:$I$59,4,FALSE)+VLOOKUP(VLOOKUP(Q$1,main!$A$3:$I$56,7,FALSE),main!$K$10:$Q$14,3,FALSE),1,0)</f>
        <v>0</v>
      </c>
      <c r="R54">
        <f>IF(VLOOKUP(R$1,main!$A$3:$I$56,5,FALSE)-VLOOKUP($A54,main!$A$3:$I$56,6,FALSE)&gt;=VLOOKUP(55,main!$A$57:$I$59,4,FALSE)+VLOOKUP(VLOOKUP(R$1,main!$A$3:$I$56,7,FALSE),main!$K$10:$Q$14,3,FALSE),1,0)</f>
        <v>0</v>
      </c>
      <c r="S54">
        <f>IF(VLOOKUP(S$1,main!$A$3:$I$56,5,FALSE)-VLOOKUP($A54,main!$A$3:$I$56,6,FALSE)&gt;=VLOOKUP(55,main!$A$57:$I$59,4,FALSE)+VLOOKUP(VLOOKUP(S$1,main!$A$3:$I$56,7,FALSE),main!$K$10:$Q$14,3,FALSE),1,0)</f>
        <v>0</v>
      </c>
      <c r="T54">
        <f>IF(VLOOKUP(T$1,main!$A$3:$I$56,5,FALSE)-VLOOKUP($A54,main!$A$3:$I$56,6,FALSE)&gt;=VLOOKUP(55,main!$A$57:$I$59,4,FALSE)+VLOOKUP(VLOOKUP(T$1,main!$A$3:$I$56,7,FALSE),main!$K$10:$Q$14,3,FALSE),1,0)</f>
        <v>1</v>
      </c>
      <c r="U54">
        <f>IF(VLOOKUP(U$1,main!$A$3:$I$56,5,FALSE)-VLOOKUP($A54,main!$A$3:$I$56,6,FALSE)&gt;=VLOOKUP(55,main!$A$57:$I$59,4,FALSE)+VLOOKUP(VLOOKUP(U$1,main!$A$3:$I$56,7,FALSE),main!$K$10:$Q$14,3,FALSE),1,0)</f>
        <v>0</v>
      </c>
      <c r="V54">
        <f>IF(VLOOKUP(V$1,main!$A$3:$I$56,5,FALSE)-VLOOKUP($A54,main!$A$3:$I$56,6,FALSE)&gt;=VLOOKUP(55,main!$A$57:$I$59,4,FALSE)+VLOOKUP(VLOOKUP(V$1,main!$A$3:$I$56,7,FALSE),main!$K$10:$Q$14,3,FALSE),1,0)</f>
        <v>0</v>
      </c>
      <c r="W54">
        <f>IF(VLOOKUP(W$1,main!$A$3:$I$56,5,FALSE)-VLOOKUP($A54,main!$A$3:$I$56,6,FALSE)&gt;=VLOOKUP(55,main!$A$57:$I$59,4,FALSE)+VLOOKUP(VLOOKUP(W$1,main!$A$3:$I$56,7,FALSE),main!$K$10:$Q$14,3,FALSE),1,0)</f>
        <v>0</v>
      </c>
      <c r="X54">
        <f>IF(VLOOKUP(X$1,main!$A$3:$I$56,5,FALSE)-VLOOKUP($A54,main!$A$3:$I$56,6,FALSE)&gt;=VLOOKUP(55,main!$A$57:$I$59,4,FALSE)+VLOOKUP(VLOOKUP(X$1,main!$A$3:$I$56,7,FALSE),main!$K$10:$Q$14,3,FALSE),1,0)</f>
        <v>0</v>
      </c>
      <c r="Y54">
        <f>IF(VLOOKUP(Y$1,main!$A$3:$I$56,5,FALSE)-VLOOKUP($A54,main!$A$3:$I$56,6,FALSE)&gt;=VLOOKUP(55,main!$A$57:$I$59,4,FALSE)+VLOOKUP(VLOOKUP(Y$1,main!$A$3:$I$56,7,FALSE),main!$K$10:$Q$14,3,FALSE),1,0)</f>
        <v>0</v>
      </c>
      <c r="Z54">
        <f>IF(VLOOKUP(Z$1,main!$A$3:$I$56,5,FALSE)-VLOOKUP($A54,main!$A$3:$I$56,6,FALSE)&gt;=VLOOKUP(55,main!$A$57:$I$59,4,FALSE)+VLOOKUP(VLOOKUP(Z$1,main!$A$3:$I$56,7,FALSE),main!$K$10:$Q$14,3,FALSE),1,0)</f>
        <v>1</v>
      </c>
      <c r="AA54">
        <f>IF(VLOOKUP(AA$1,main!$A$3:$I$56,5,FALSE)-VLOOKUP($A54,main!$A$3:$I$56,6,FALSE)&gt;=VLOOKUP(55,main!$A$57:$I$59,4,FALSE)+VLOOKUP(VLOOKUP(AA$1,main!$A$3:$I$56,7,FALSE),main!$K$10:$Q$14,3,FALSE),1,0)</f>
        <v>1</v>
      </c>
      <c r="AB54">
        <f>IF(VLOOKUP(AB$1,main!$A$3:$I$56,5,FALSE)-VLOOKUP($A54,main!$A$3:$I$56,6,FALSE)&gt;=VLOOKUP(55,main!$A$57:$I$59,4,FALSE)+VLOOKUP(VLOOKUP(AB$1,main!$A$3:$I$56,7,FALSE),main!$K$10:$Q$14,3,FALSE),1,0)</f>
        <v>1</v>
      </c>
      <c r="AC54">
        <f>IF(VLOOKUP(AC$1,main!$A$3:$I$56,5,FALSE)-VLOOKUP($A54,main!$A$3:$I$56,6,FALSE)&gt;=VLOOKUP(55,main!$A$57:$I$59,4,FALSE)+VLOOKUP(VLOOKUP(AC$1,main!$A$3:$I$56,7,FALSE),main!$K$10:$Q$14,3,FALSE),1,0)</f>
        <v>0</v>
      </c>
      <c r="AD54">
        <f>IF(VLOOKUP(AD$1,main!$A$3:$I$56,5,FALSE)-VLOOKUP($A54,main!$A$3:$I$56,6,FALSE)&gt;=VLOOKUP(55,main!$A$57:$I$59,4,FALSE)+VLOOKUP(VLOOKUP(AD$1,main!$A$3:$I$56,7,FALSE),main!$K$10:$Q$14,3,FALSE),1,0)</f>
        <v>0</v>
      </c>
      <c r="AE54">
        <f>IF(VLOOKUP(AE$1,main!$A$3:$I$56,5,FALSE)-VLOOKUP($A54,main!$A$3:$I$56,6,FALSE)&gt;=VLOOKUP(55,main!$A$57:$I$59,4,FALSE)+VLOOKUP(VLOOKUP(AE$1,main!$A$3:$I$56,7,FALSE),main!$K$10:$Q$14,3,FALSE),1,0)</f>
        <v>0</v>
      </c>
      <c r="AF54">
        <f>IF(VLOOKUP(AF$1,main!$A$3:$I$56,5,FALSE)-VLOOKUP($A54,main!$A$3:$I$56,6,FALSE)&gt;=VLOOKUP(55,main!$A$57:$I$59,4,FALSE)+VLOOKUP(VLOOKUP(AF$1,main!$A$3:$I$56,7,FALSE),main!$K$10:$Q$14,3,FALSE),1,0)</f>
        <v>0</v>
      </c>
      <c r="AG54">
        <f>IF(VLOOKUP(AG$1,main!$A$3:$I$56,5,FALSE)-VLOOKUP($A54,main!$A$3:$I$56,6,FALSE)&gt;=VLOOKUP(55,main!$A$57:$I$59,4,FALSE)+VLOOKUP(VLOOKUP(AG$1,main!$A$3:$I$56,7,FALSE),main!$K$10:$Q$14,3,FALSE),1,0)</f>
        <v>0</v>
      </c>
      <c r="AH54">
        <f>IF(VLOOKUP(AH$1,main!$A$3:$I$56,5,FALSE)-VLOOKUP($A54,main!$A$3:$I$56,6,FALSE)&gt;=VLOOKUP(55,main!$A$57:$I$59,4,FALSE)+VLOOKUP(VLOOKUP(AH$1,main!$A$3:$I$56,7,FALSE),main!$K$10:$Q$14,3,FALSE),1,0)</f>
        <v>0</v>
      </c>
      <c r="AI54">
        <f>IF(VLOOKUP(AI$1,main!$A$3:$I$56,5,FALSE)-VLOOKUP($A54,main!$A$3:$I$56,6,FALSE)&gt;=VLOOKUP(55,main!$A$57:$I$59,4,FALSE)+VLOOKUP(VLOOKUP(AI$1,main!$A$3:$I$56,7,FALSE),main!$K$10:$Q$14,3,FALSE),1,0)</f>
        <v>0</v>
      </c>
      <c r="AJ54">
        <f>IF(VLOOKUP(AJ$1,main!$A$3:$I$56,5,FALSE)-VLOOKUP($A54,main!$A$3:$I$56,6,FALSE)&gt;=VLOOKUP(55,main!$A$57:$I$59,4,FALSE)+VLOOKUP(VLOOKUP(AJ$1,main!$A$3:$I$56,7,FALSE),main!$K$10:$Q$14,3,FALSE),1,0)</f>
        <v>0</v>
      </c>
      <c r="AK54">
        <f>IF(VLOOKUP(AK$1,main!$A$3:$I$56,5,FALSE)-VLOOKUP($A54,main!$A$3:$I$56,6,FALSE)&gt;=VLOOKUP(55,main!$A$57:$I$59,4,FALSE)+VLOOKUP(VLOOKUP(AK$1,main!$A$3:$I$56,7,FALSE),main!$K$10:$Q$14,3,FALSE),1,0)</f>
        <v>1</v>
      </c>
      <c r="AL54">
        <f>IF(VLOOKUP(AL$1,main!$A$3:$I$56,5,FALSE)-VLOOKUP($A54,main!$A$3:$I$56,6,FALSE)&gt;=VLOOKUP(55,main!$A$57:$I$59,4,FALSE)+VLOOKUP(VLOOKUP(AL$1,main!$A$3:$I$56,7,FALSE),main!$K$10:$Q$14,3,FALSE),1,0)</f>
        <v>0</v>
      </c>
      <c r="AM54">
        <f>IF(VLOOKUP(AM$1,main!$A$3:$I$56,5,FALSE)-VLOOKUP($A54,main!$A$3:$I$56,6,FALSE)&gt;=VLOOKUP(55,main!$A$57:$I$59,4,FALSE)+VLOOKUP(VLOOKUP(AM$1,main!$A$3:$I$56,7,FALSE),main!$K$10:$Q$14,3,FALSE),1,0)</f>
        <v>0</v>
      </c>
      <c r="AN54">
        <f>IF(VLOOKUP(AN$1,main!$A$3:$I$56,5,FALSE)-VLOOKUP($A54,main!$A$3:$I$56,6,FALSE)&gt;=VLOOKUP(55,main!$A$57:$I$59,4,FALSE)+VLOOKUP(VLOOKUP(AN$1,main!$A$3:$I$56,7,FALSE),main!$K$10:$Q$14,3,FALSE),1,0)</f>
        <v>0</v>
      </c>
      <c r="AO54">
        <f>IF(VLOOKUP(AO$1,main!$A$3:$I$56,5,FALSE)-VLOOKUP($A54,main!$A$3:$I$56,6,FALSE)&gt;=VLOOKUP(55,main!$A$57:$I$59,4,FALSE)+VLOOKUP(VLOOKUP(AO$1,main!$A$3:$I$56,7,FALSE),main!$K$10:$Q$14,3,FALSE),1,0)</f>
        <v>0</v>
      </c>
      <c r="AP54">
        <f>IF(VLOOKUP(AP$1,main!$A$3:$I$56,5,FALSE)-VLOOKUP($A54,main!$A$3:$I$56,6,FALSE)&gt;=VLOOKUP(55,main!$A$57:$I$59,4,FALSE)+VLOOKUP(VLOOKUP(AP$1,main!$A$3:$I$56,7,FALSE),main!$K$10:$Q$14,3,FALSE),1,0)</f>
        <v>0</v>
      </c>
      <c r="AQ54">
        <f>IF(VLOOKUP(AQ$1,main!$A$3:$I$56,5,FALSE)-VLOOKUP($A54,main!$A$3:$I$56,6,FALSE)&gt;=VLOOKUP(55,main!$A$57:$I$59,4,FALSE)+VLOOKUP(VLOOKUP(AQ$1,main!$A$3:$I$56,7,FALSE),main!$K$10:$Q$14,3,FALSE),1,0)</f>
        <v>0</v>
      </c>
      <c r="AR54">
        <f>IF(VLOOKUP(AR$1,main!$A$3:$I$56,5,FALSE)-VLOOKUP($A54,main!$A$3:$I$56,6,FALSE)&gt;=VLOOKUP(55,main!$A$57:$I$59,4,FALSE)+VLOOKUP(VLOOKUP(AR$1,main!$A$3:$I$56,7,FALSE),main!$K$10:$Q$14,3,FALSE),1,0)</f>
        <v>0</v>
      </c>
      <c r="AS54">
        <f>IF(VLOOKUP(AS$1,main!$A$3:$I$56,5,FALSE)-VLOOKUP($A54,main!$A$3:$I$56,6,FALSE)&gt;=VLOOKUP(55,main!$A$57:$I$59,4,FALSE)+VLOOKUP(VLOOKUP(AS$1,main!$A$3:$I$56,7,FALSE),main!$K$10:$Q$14,3,FALSE),1,0)</f>
        <v>0</v>
      </c>
      <c r="AT54">
        <f>IF(VLOOKUP(AT$1,main!$A$3:$I$56,5,FALSE)-VLOOKUP($A54,main!$A$3:$I$56,6,FALSE)&gt;=VLOOKUP(55,main!$A$57:$I$59,4,FALSE)+VLOOKUP(VLOOKUP(AT$1,main!$A$3:$I$56,7,FALSE),main!$K$10:$Q$14,3,FALSE),1,0)</f>
        <v>0</v>
      </c>
      <c r="AU54">
        <f>IF(VLOOKUP(AU$1,main!$A$3:$I$56,5,FALSE)-VLOOKUP($A54,main!$A$3:$I$56,6,FALSE)&gt;=VLOOKUP(55,main!$A$57:$I$59,4,FALSE)+VLOOKUP(VLOOKUP(AU$1,main!$A$3:$I$56,7,FALSE),main!$K$10:$Q$14,3,FALSE),1,0)</f>
        <v>0</v>
      </c>
      <c r="AV54">
        <f>IF(VLOOKUP(AV$1,main!$A$3:$I$56,5,FALSE)-VLOOKUP($A54,main!$A$3:$I$56,6,FALSE)&gt;=VLOOKUP(55,main!$A$57:$I$59,4,FALSE)+VLOOKUP(VLOOKUP(AV$1,main!$A$3:$I$56,7,FALSE),main!$K$10:$Q$14,3,FALSE),1,0)</f>
        <v>0</v>
      </c>
      <c r="AW54">
        <f>IF(VLOOKUP(AW$1,main!$A$3:$I$56,5,FALSE)-VLOOKUP($A54,main!$A$3:$I$56,6,FALSE)&gt;=VLOOKUP(55,main!$A$57:$I$59,4,FALSE)+VLOOKUP(VLOOKUP(AW$1,main!$A$3:$I$56,7,FALSE),main!$K$10:$Q$14,3,FALSE),1,0)</f>
        <v>0</v>
      </c>
      <c r="AX54">
        <f>IF(VLOOKUP(AX$1,main!$A$3:$I$56,5,FALSE)-VLOOKUP($A54,main!$A$3:$I$56,6,FALSE)&gt;=VLOOKUP(55,main!$A$57:$I$59,4,FALSE)+VLOOKUP(VLOOKUP(AX$1,main!$A$3:$I$56,7,FALSE),main!$K$10:$Q$14,3,FALSE),1,0)</f>
        <v>1</v>
      </c>
      <c r="AY54">
        <f>IF(VLOOKUP(AY$1,main!$A$3:$I$56,5,FALSE)-VLOOKUP($A54,main!$A$3:$I$56,6,FALSE)&gt;=VLOOKUP(55,main!$A$57:$I$59,4,FALSE)+VLOOKUP(VLOOKUP(AY$1,main!$A$3:$I$56,7,FALSE),main!$K$10:$Q$14,3,FALSE),1,0)</f>
        <v>1</v>
      </c>
      <c r="AZ54">
        <f>IF(VLOOKUP(AZ$1,main!$A$3:$I$56,5,FALSE)-VLOOKUP($A54,main!$A$3:$I$56,6,FALSE)&gt;=VLOOKUP(55,main!$A$57:$I$59,4,FALSE)+VLOOKUP(VLOOKUP(AZ$1,main!$A$3:$I$56,7,FALSE),main!$K$10:$Q$14,3,FALSE),1,0)</f>
        <v>0</v>
      </c>
      <c r="BA54">
        <f>IF(VLOOKUP(BA$1,main!$A$3:$I$56,5,FALSE)-VLOOKUP($A54,main!$A$3:$I$56,6,FALSE)&gt;=VLOOKUP(55,main!$A$57:$I$59,4,FALSE)+VLOOKUP(VLOOKUP(BA$1,main!$A$3:$I$56,7,FALSE),main!$K$10:$Q$14,3,FALSE),1,0)</f>
        <v>0</v>
      </c>
      <c r="BB54">
        <f>IF(VLOOKUP(BB$1,main!$A$3:$I$56,5,FALSE)-VLOOKUP($A54,main!$A$3:$I$56,6,FALSE)&gt;=VLOOKUP(55,main!$A$57:$I$59,4,FALSE)+VLOOKUP(VLOOKUP(BB$1,main!$A$3:$I$56,7,FALSE),main!$K$10:$Q$14,3,FALSE),1,0)</f>
        <v>0</v>
      </c>
      <c r="BC54">
        <f>IF(VLOOKUP(BC$1,main!$A$3:$I$56,5,FALSE)-VLOOKUP($A54,main!$A$3:$I$56,6,FALSE)&gt;=VLOOKUP(55,main!$A$57:$I$59,4,FALSE)+VLOOKUP(VLOOKUP(BC$1,main!$A$3:$I$56,7,FALSE),main!$K$10:$Q$14,3,FALSE),1,0)</f>
        <v>0</v>
      </c>
      <c r="BD54">
        <f>IF(VLOOKUP(BD$1,main!$A$3:$I$56,5,FALSE)-VLOOKUP($A54,main!$A$3:$I$56,6,FALSE)&gt;=VLOOKUP(55,main!$A$57:$I$59,4,FALSE)+VLOOKUP(VLOOKUP(BD$1,main!$A$3:$I$56,7,FALSE),main!$K$10:$Q$14,3,FALSE),1,0)</f>
        <v>0</v>
      </c>
    </row>
    <row r="55" spans="1:56" x14ac:dyDescent="0.25">
      <c r="A55">
        <f t="shared" si="0"/>
        <v>53</v>
      </c>
      <c r="B55">
        <v>0</v>
      </c>
      <c r="C55">
        <f>IF(VLOOKUP(C$1,main!$A$3:$I$56,5,FALSE)-VLOOKUP($A55,main!$A$3:$I$56,6,FALSE)&gt;=VLOOKUP(55,main!$A$57:$I$59,4,FALSE)+VLOOKUP(VLOOKUP(C$1,main!$A$3:$I$56,7,FALSE),main!$K$10:$Q$14,3,FALSE),1,0)</f>
        <v>0</v>
      </c>
      <c r="D55">
        <f>IF(VLOOKUP(D$1,main!$A$3:$I$56,5,FALSE)-VLOOKUP($A55,main!$A$3:$I$56,6,FALSE)&gt;=VLOOKUP(55,main!$A$57:$I$59,4,FALSE)+VLOOKUP(VLOOKUP(D$1,main!$A$3:$I$56,7,FALSE),main!$K$10:$Q$14,3,FALSE),1,0)</f>
        <v>0</v>
      </c>
      <c r="E55">
        <f>IF(VLOOKUP(E$1,main!$A$3:$I$56,5,FALSE)-VLOOKUP($A55,main!$A$3:$I$56,6,FALSE)&gt;=VLOOKUP(55,main!$A$57:$I$59,4,FALSE)+VLOOKUP(VLOOKUP(E$1,main!$A$3:$I$56,7,FALSE),main!$K$10:$Q$14,3,FALSE),1,0)</f>
        <v>0</v>
      </c>
      <c r="F55">
        <f>IF(VLOOKUP(F$1,main!$A$3:$I$56,5,FALSE)-VLOOKUP($A55,main!$A$3:$I$56,6,FALSE)&gt;=VLOOKUP(55,main!$A$57:$I$59,4,FALSE)+VLOOKUP(VLOOKUP(F$1,main!$A$3:$I$56,7,FALSE),main!$K$10:$Q$14,3,FALSE),1,0)</f>
        <v>0</v>
      </c>
      <c r="G55">
        <f>IF(VLOOKUP(G$1,main!$A$3:$I$56,5,FALSE)-VLOOKUP($A55,main!$A$3:$I$56,6,FALSE)&gt;=VLOOKUP(55,main!$A$57:$I$59,4,FALSE)+VLOOKUP(VLOOKUP(G$1,main!$A$3:$I$56,7,FALSE),main!$K$10:$Q$14,3,FALSE),1,0)</f>
        <v>0</v>
      </c>
      <c r="H55">
        <f>IF(VLOOKUP(H$1,main!$A$3:$I$56,5,FALSE)-VLOOKUP($A55,main!$A$3:$I$56,6,FALSE)&gt;=VLOOKUP(55,main!$A$57:$I$59,4,FALSE)+VLOOKUP(VLOOKUP(H$1,main!$A$3:$I$56,7,FALSE),main!$K$10:$Q$14,3,FALSE),1,0)</f>
        <v>0</v>
      </c>
      <c r="I55">
        <f>IF(VLOOKUP(I$1,main!$A$3:$I$56,5,FALSE)-VLOOKUP($A55,main!$A$3:$I$56,6,FALSE)&gt;=VLOOKUP(55,main!$A$57:$I$59,4,FALSE)+VLOOKUP(VLOOKUP(I$1,main!$A$3:$I$56,7,FALSE),main!$K$10:$Q$14,3,FALSE),1,0)</f>
        <v>0</v>
      </c>
      <c r="J55">
        <f>IF(VLOOKUP(J$1,main!$A$3:$I$56,5,FALSE)-VLOOKUP($A55,main!$A$3:$I$56,6,FALSE)&gt;=VLOOKUP(55,main!$A$57:$I$59,4,FALSE)+VLOOKUP(VLOOKUP(J$1,main!$A$3:$I$56,7,FALSE),main!$K$10:$Q$14,3,FALSE),1,0)</f>
        <v>1</v>
      </c>
      <c r="K55">
        <f>IF(VLOOKUP(K$1,main!$A$3:$I$56,5,FALSE)-VLOOKUP($A55,main!$A$3:$I$56,6,FALSE)&gt;=VLOOKUP(55,main!$A$57:$I$59,4,FALSE)+VLOOKUP(VLOOKUP(K$1,main!$A$3:$I$56,7,FALSE),main!$K$10:$Q$14,3,FALSE),1,0)</f>
        <v>0</v>
      </c>
      <c r="L55">
        <f>IF(VLOOKUP(L$1,main!$A$3:$I$56,5,FALSE)-VLOOKUP($A55,main!$A$3:$I$56,6,FALSE)&gt;=VLOOKUP(55,main!$A$57:$I$59,4,FALSE)+VLOOKUP(VLOOKUP(L$1,main!$A$3:$I$56,7,FALSE),main!$K$10:$Q$14,3,FALSE),1,0)</f>
        <v>0</v>
      </c>
      <c r="M55">
        <f>IF(VLOOKUP(M$1,main!$A$3:$I$56,5,FALSE)-VLOOKUP($A55,main!$A$3:$I$56,6,FALSE)&gt;=VLOOKUP(55,main!$A$57:$I$59,4,FALSE)+VLOOKUP(VLOOKUP(M$1,main!$A$3:$I$56,7,FALSE),main!$K$10:$Q$14,3,FALSE),1,0)</f>
        <v>0</v>
      </c>
      <c r="N55">
        <f>IF(VLOOKUP(N$1,main!$A$3:$I$56,5,FALSE)-VLOOKUP($A55,main!$A$3:$I$56,6,FALSE)&gt;=VLOOKUP(55,main!$A$57:$I$59,4,FALSE)+VLOOKUP(VLOOKUP(N$1,main!$A$3:$I$56,7,FALSE),main!$K$10:$Q$14,3,FALSE),1,0)</f>
        <v>0</v>
      </c>
      <c r="O55">
        <f>IF(VLOOKUP(O$1,main!$A$3:$I$56,5,FALSE)-VLOOKUP($A55,main!$A$3:$I$56,6,FALSE)&gt;=VLOOKUP(55,main!$A$57:$I$59,4,FALSE)+VLOOKUP(VLOOKUP(O$1,main!$A$3:$I$56,7,FALSE),main!$K$10:$Q$14,3,FALSE),1,0)</f>
        <v>1</v>
      </c>
      <c r="P55">
        <f>IF(VLOOKUP(P$1,main!$A$3:$I$56,5,FALSE)-VLOOKUP($A55,main!$A$3:$I$56,6,FALSE)&gt;=VLOOKUP(55,main!$A$57:$I$59,4,FALSE)+VLOOKUP(VLOOKUP(P$1,main!$A$3:$I$56,7,FALSE),main!$K$10:$Q$14,3,FALSE),1,0)</f>
        <v>0</v>
      </c>
      <c r="Q55">
        <f>IF(VLOOKUP(Q$1,main!$A$3:$I$56,5,FALSE)-VLOOKUP($A55,main!$A$3:$I$56,6,FALSE)&gt;=VLOOKUP(55,main!$A$57:$I$59,4,FALSE)+VLOOKUP(VLOOKUP(Q$1,main!$A$3:$I$56,7,FALSE),main!$K$10:$Q$14,3,FALSE),1,0)</f>
        <v>0</v>
      </c>
      <c r="R55">
        <f>IF(VLOOKUP(R$1,main!$A$3:$I$56,5,FALSE)-VLOOKUP($A55,main!$A$3:$I$56,6,FALSE)&gt;=VLOOKUP(55,main!$A$57:$I$59,4,FALSE)+VLOOKUP(VLOOKUP(R$1,main!$A$3:$I$56,7,FALSE),main!$K$10:$Q$14,3,FALSE),1,0)</f>
        <v>0</v>
      </c>
      <c r="S55">
        <f>IF(VLOOKUP(S$1,main!$A$3:$I$56,5,FALSE)-VLOOKUP($A55,main!$A$3:$I$56,6,FALSE)&gt;=VLOOKUP(55,main!$A$57:$I$59,4,FALSE)+VLOOKUP(VLOOKUP(S$1,main!$A$3:$I$56,7,FALSE),main!$K$10:$Q$14,3,FALSE),1,0)</f>
        <v>0</v>
      </c>
      <c r="T55">
        <f>IF(VLOOKUP(T$1,main!$A$3:$I$56,5,FALSE)-VLOOKUP($A55,main!$A$3:$I$56,6,FALSE)&gt;=VLOOKUP(55,main!$A$57:$I$59,4,FALSE)+VLOOKUP(VLOOKUP(T$1,main!$A$3:$I$56,7,FALSE),main!$K$10:$Q$14,3,FALSE),1,0)</f>
        <v>0</v>
      </c>
      <c r="U55">
        <f>IF(VLOOKUP(U$1,main!$A$3:$I$56,5,FALSE)-VLOOKUP($A55,main!$A$3:$I$56,6,FALSE)&gt;=VLOOKUP(55,main!$A$57:$I$59,4,FALSE)+VLOOKUP(VLOOKUP(U$1,main!$A$3:$I$56,7,FALSE),main!$K$10:$Q$14,3,FALSE),1,0)</f>
        <v>0</v>
      </c>
      <c r="V55">
        <f>IF(VLOOKUP(V$1,main!$A$3:$I$56,5,FALSE)-VLOOKUP($A55,main!$A$3:$I$56,6,FALSE)&gt;=VLOOKUP(55,main!$A$57:$I$59,4,FALSE)+VLOOKUP(VLOOKUP(V$1,main!$A$3:$I$56,7,FALSE),main!$K$10:$Q$14,3,FALSE),1,0)</f>
        <v>0</v>
      </c>
      <c r="W55">
        <f>IF(VLOOKUP(W$1,main!$A$3:$I$56,5,FALSE)-VLOOKUP($A55,main!$A$3:$I$56,6,FALSE)&gt;=VLOOKUP(55,main!$A$57:$I$59,4,FALSE)+VLOOKUP(VLOOKUP(W$1,main!$A$3:$I$56,7,FALSE),main!$K$10:$Q$14,3,FALSE),1,0)</f>
        <v>0</v>
      </c>
      <c r="X55">
        <f>IF(VLOOKUP(X$1,main!$A$3:$I$56,5,FALSE)-VLOOKUP($A55,main!$A$3:$I$56,6,FALSE)&gt;=VLOOKUP(55,main!$A$57:$I$59,4,FALSE)+VLOOKUP(VLOOKUP(X$1,main!$A$3:$I$56,7,FALSE),main!$K$10:$Q$14,3,FALSE),1,0)</f>
        <v>0</v>
      </c>
      <c r="Y55">
        <f>IF(VLOOKUP(Y$1,main!$A$3:$I$56,5,FALSE)-VLOOKUP($A55,main!$A$3:$I$56,6,FALSE)&gt;=VLOOKUP(55,main!$A$57:$I$59,4,FALSE)+VLOOKUP(VLOOKUP(Y$1,main!$A$3:$I$56,7,FALSE),main!$K$10:$Q$14,3,FALSE),1,0)</f>
        <v>0</v>
      </c>
      <c r="Z55">
        <f>IF(VLOOKUP(Z$1,main!$A$3:$I$56,5,FALSE)-VLOOKUP($A55,main!$A$3:$I$56,6,FALSE)&gt;=VLOOKUP(55,main!$A$57:$I$59,4,FALSE)+VLOOKUP(VLOOKUP(Z$1,main!$A$3:$I$56,7,FALSE),main!$K$10:$Q$14,3,FALSE),1,0)</f>
        <v>0</v>
      </c>
      <c r="AA55">
        <f>IF(VLOOKUP(AA$1,main!$A$3:$I$56,5,FALSE)-VLOOKUP($A55,main!$A$3:$I$56,6,FALSE)&gt;=VLOOKUP(55,main!$A$57:$I$59,4,FALSE)+VLOOKUP(VLOOKUP(AA$1,main!$A$3:$I$56,7,FALSE),main!$K$10:$Q$14,3,FALSE),1,0)</f>
        <v>0</v>
      </c>
      <c r="AB55">
        <f>IF(VLOOKUP(AB$1,main!$A$3:$I$56,5,FALSE)-VLOOKUP($A55,main!$A$3:$I$56,6,FALSE)&gt;=VLOOKUP(55,main!$A$57:$I$59,4,FALSE)+VLOOKUP(VLOOKUP(AB$1,main!$A$3:$I$56,7,FALSE),main!$K$10:$Q$14,3,FALSE),1,0)</f>
        <v>0</v>
      </c>
      <c r="AC55">
        <f>IF(VLOOKUP(AC$1,main!$A$3:$I$56,5,FALSE)-VLOOKUP($A55,main!$A$3:$I$56,6,FALSE)&gt;=VLOOKUP(55,main!$A$57:$I$59,4,FALSE)+VLOOKUP(VLOOKUP(AC$1,main!$A$3:$I$56,7,FALSE),main!$K$10:$Q$14,3,FALSE),1,0)</f>
        <v>0</v>
      </c>
      <c r="AD55">
        <f>IF(VLOOKUP(AD$1,main!$A$3:$I$56,5,FALSE)-VLOOKUP($A55,main!$A$3:$I$56,6,FALSE)&gt;=VLOOKUP(55,main!$A$57:$I$59,4,FALSE)+VLOOKUP(VLOOKUP(AD$1,main!$A$3:$I$56,7,FALSE),main!$K$10:$Q$14,3,FALSE),1,0)</f>
        <v>0</v>
      </c>
      <c r="AE55">
        <f>IF(VLOOKUP(AE$1,main!$A$3:$I$56,5,FALSE)-VLOOKUP($A55,main!$A$3:$I$56,6,FALSE)&gt;=VLOOKUP(55,main!$A$57:$I$59,4,FALSE)+VLOOKUP(VLOOKUP(AE$1,main!$A$3:$I$56,7,FALSE),main!$K$10:$Q$14,3,FALSE),1,0)</f>
        <v>0</v>
      </c>
      <c r="AF55">
        <f>IF(VLOOKUP(AF$1,main!$A$3:$I$56,5,FALSE)-VLOOKUP($A55,main!$A$3:$I$56,6,FALSE)&gt;=VLOOKUP(55,main!$A$57:$I$59,4,FALSE)+VLOOKUP(VLOOKUP(AF$1,main!$A$3:$I$56,7,FALSE),main!$K$10:$Q$14,3,FALSE),1,0)</f>
        <v>0</v>
      </c>
      <c r="AG55">
        <f>IF(VLOOKUP(AG$1,main!$A$3:$I$56,5,FALSE)-VLOOKUP($A55,main!$A$3:$I$56,6,FALSE)&gt;=VLOOKUP(55,main!$A$57:$I$59,4,FALSE)+VLOOKUP(VLOOKUP(AG$1,main!$A$3:$I$56,7,FALSE),main!$K$10:$Q$14,3,FALSE),1,0)</f>
        <v>0</v>
      </c>
      <c r="AH55">
        <f>IF(VLOOKUP(AH$1,main!$A$3:$I$56,5,FALSE)-VLOOKUP($A55,main!$A$3:$I$56,6,FALSE)&gt;=VLOOKUP(55,main!$A$57:$I$59,4,FALSE)+VLOOKUP(VLOOKUP(AH$1,main!$A$3:$I$56,7,FALSE),main!$K$10:$Q$14,3,FALSE),1,0)</f>
        <v>0</v>
      </c>
      <c r="AI55">
        <f>IF(VLOOKUP(AI$1,main!$A$3:$I$56,5,FALSE)-VLOOKUP($A55,main!$A$3:$I$56,6,FALSE)&gt;=VLOOKUP(55,main!$A$57:$I$59,4,FALSE)+VLOOKUP(VLOOKUP(AI$1,main!$A$3:$I$56,7,FALSE),main!$K$10:$Q$14,3,FALSE),1,0)</f>
        <v>0</v>
      </c>
      <c r="AJ55">
        <f>IF(VLOOKUP(AJ$1,main!$A$3:$I$56,5,FALSE)-VLOOKUP($A55,main!$A$3:$I$56,6,FALSE)&gt;=VLOOKUP(55,main!$A$57:$I$59,4,FALSE)+VLOOKUP(VLOOKUP(AJ$1,main!$A$3:$I$56,7,FALSE),main!$K$10:$Q$14,3,FALSE),1,0)</f>
        <v>0</v>
      </c>
      <c r="AK55">
        <f>IF(VLOOKUP(AK$1,main!$A$3:$I$56,5,FALSE)-VLOOKUP($A55,main!$A$3:$I$56,6,FALSE)&gt;=VLOOKUP(55,main!$A$57:$I$59,4,FALSE)+VLOOKUP(VLOOKUP(AK$1,main!$A$3:$I$56,7,FALSE),main!$K$10:$Q$14,3,FALSE),1,0)</f>
        <v>0</v>
      </c>
      <c r="AL55">
        <f>IF(VLOOKUP(AL$1,main!$A$3:$I$56,5,FALSE)-VLOOKUP($A55,main!$A$3:$I$56,6,FALSE)&gt;=VLOOKUP(55,main!$A$57:$I$59,4,FALSE)+VLOOKUP(VLOOKUP(AL$1,main!$A$3:$I$56,7,FALSE),main!$K$10:$Q$14,3,FALSE),1,0)</f>
        <v>0</v>
      </c>
      <c r="AM55">
        <f>IF(VLOOKUP(AM$1,main!$A$3:$I$56,5,FALSE)-VLOOKUP($A55,main!$A$3:$I$56,6,FALSE)&gt;=VLOOKUP(55,main!$A$57:$I$59,4,FALSE)+VLOOKUP(VLOOKUP(AM$1,main!$A$3:$I$56,7,FALSE),main!$K$10:$Q$14,3,FALSE),1,0)</f>
        <v>0</v>
      </c>
      <c r="AN55">
        <f>IF(VLOOKUP(AN$1,main!$A$3:$I$56,5,FALSE)-VLOOKUP($A55,main!$A$3:$I$56,6,FALSE)&gt;=VLOOKUP(55,main!$A$57:$I$59,4,FALSE)+VLOOKUP(VLOOKUP(AN$1,main!$A$3:$I$56,7,FALSE),main!$K$10:$Q$14,3,FALSE),1,0)</f>
        <v>0</v>
      </c>
      <c r="AO55">
        <f>IF(VLOOKUP(AO$1,main!$A$3:$I$56,5,FALSE)-VLOOKUP($A55,main!$A$3:$I$56,6,FALSE)&gt;=VLOOKUP(55,main!$A$57:$I$59,4,FALSE)+VLOOKUP(VLOOKUP(AO$1,main!$A$3:$I$56,7,FALSE),main!$K$10:$Q$14,3,FALSE),1,0)</f>
        <v>0</v>
      </c>
      <c r="AP55">
        <f>IF(VLOOKUP(AP$1,main!$A$3:$I$56,5,FALSE)-VLOOKUP($A55,main!$A$3:$I$56,6,FALSE)&gt;=VLOOKUP(55,main!$A$57:$I$59,4,FALSE)+VLOOKUP(VLOOKUP(AP$1,main!$A$3:$I$56,7,FALSE),main!$K$10:$Q$14,3,FALSE),1,0)</f>
        <v>0</v>
      </c>
      <c r="AQ55">
        <f>IF(VLOOKUP(AQ$1,main!$A$3:$I$56,5,FALSE)-VLOOKUP($A55,main!$A$3:$I$56,6,FALSE)&gt;=VLOOKUP(55,main!$A$57:$I$59,4,FALSE)+VLOOKUP(VLOOKUP(AQ$1,main!$A$3:$I$56,7,FALSE),main!$K$10:$Q$14,3,FALSE),1,0)</f>
        <v>0</v>
      </c>
      <c r="AR55">
        <f>IF(VLOOKUP(AR$1,main!$A$3:$I$56,5,FALSE)-VLOOKUP($A55,main!$A$3:$I$56,6,FALSE)&gt;=VLOOKUP(55,main!$A$57:$I$59,4,FALSE)+VLOOKUP(VLOOKUP(AR$1,main!$A$3:$I$56,7,FALSE),main!$K$10:$Q$14,3,FALSE),1,0)</f>
        <v>0</v>
      </c>
      <c r="AS55">
        <f>IF(VLOOKUP(AS$1,main!$A$3:$I$56,5,FALSE)-VLOOKUP($A55,main!$A$3:$I$56,6,FALSE)&gt;=VLOOKUP(55,main!$A$57:$I$59,4,FALSE)+VLOOKUP(VLOOKUP(AS$1,main!$A$3:$I$56,7,FALSE),main!$K$10:$Q$14,3,FALSE),1,0)</f>
        <v>0</v>
      </c>
      <c r="AT55">
        <f>IF(VLOOKUP(AT$1,main!$A$3:$I$56,5,FALSE)-VLOOKUP($A55,main!$A$3:$I$56,6,FALSE)&gt;=VLOOKUP(55,main!$A$57:$I$59,4,FALSE)+VLOOKUP(VLOOKUP(AT$1,main!$A$3:$I$56,7,FALSE),main!$K$10:$Q$14,3,FALSE),1,0)</f>
        <v>0</v>
      </c>
      <c r="AU55">
        <f>IF(VLOOKUP(AU$1,main!$A$3:$I$56,5,FALSE)-VLOOKUP($A55,main!$A$3:$I$56,6,FALSE)&gt;=VLOOKUP(55,main!$A$57:$I$59,4,FALSE)+VLOOKUP(VLOOKUP(AU$1,main!$A$3:$I$56,7,FALSE),main!$K$10:$Q$14,3,FALSE),1,0)</f>
        <v>0</v>
      </c>
      <c r="AV55">
        <f>IF(VLOOKUP(AV$1,main!$A$3:$I$56,5,FALSE)-VLOOKUP($A55,main!$A$3:$I$56,6,FALSE)&gt;=VLOOKUP(55,main!$A$57:$I$59,4,FALSE)+VLOOKUP(VLOOKUP(AV$1,main!$A$3:$I$56,7,FALSE),main!$K$10:$Q$14,3,FALSE),1,0)</f>
        <v>0</v>
      </c>
      <c r="AW55">
        <f>IF(VLOOKUP(AW$1,main!$A$3:$I$56,5,FALSE)-VLOOKUP($A55,main!$A$3:$I$56,6,FALSE)&gt;=VLOOKUP(55,main!$A$57:$I$59,4,FALSE)+VLOOKUP(VLOOKUP(AW$1,main!$A$3:$I$56,7,FALSE),main!$K$10:$Q$14,3,FALSE),1,0)</f>
        <v>0</v>
      </c>
      <c r="AX55">
        <f>IF(VLOOKUP(AX$1,main!$A$3:$I$56,5,FALSE)-VLOOKUP($A55,main!$A$3:$I$56,6,FALSE)&gt;=VLOOKUP(55,main!$A$57:$I$59,4,FALSE)+VLOOKUP(VLOOKUP(AX$1,main!$A$3:$I$56,7,FALSE),main!$K$10:$Q$14,3,FALSE),1,0)</f>
        <v>0</v>
      </c>
      <c r="AY55">
        <f>IF(VLOOKUP(AY$1,main!$A$3:$I$56,5,FALSE)-VLOOKUP($A55,main!$A$3:$I$56,6,FALSE)&gt;=VLOOKUP(55,main!$A$57:$I$59,4,FALSE)+VLOOKUP(VLOOKUP(AY$1,main!$A$3:$I$56,7,FALSE),main!$K$10:$Q$14,3,FALSE),1,0)</f>
        <v>1</v>
      </c>
      <c r="AZ55">
        <f>IF(VLOOKUP(AZ$1,main!$A$3:$I$56,5,FALSE)-VLOOKUP($A55,main!$A$3:$I$56,6,FALSE)&gt;=VLOOKUP(55,main!$A$57:$I$59,4,FALSE)+VLOOKUP(VLOOKUP(AZ$1,main!$A$3:$I$56,7,FALSE),main!$K$10:$Q$14,3,FALSE),1,0)</f>
        <v>0</v>
      </c>
      <c r="BA55">
        <f>IF(VLOOKUP(BA$1,main!$A$3:$I$56,5,FALSE)-VLOOKUP($A55,main!$A$3:$I$56,6,FALSE)&gt;=VLOOKUP(55,main!$A$57:$I$59,4,FALSE)+VLOOKUP(VLOOKUP(BA$1,main!$A$3:$I$56,7,FALSE),main!$K$10:$Q$14,3,FALSE),1,0)</f>
        <v>0</v>
      </c>
      <c r="BB55">
        <f>IF(VLOOKUP(BB$1,main!$A$3:$I$56,5,FALSE)-VLOOKUP($A55,main!$A$3:$I$56,6,FALSE)&gt;=VLOOKUP(55,main!$A$57:$I$59,4,FALSE)+VLOOKUP(VLOOKUP(BB$1,main!$A$3:$I$56,7,FALSE),main!$K$10:$Q$14,3,FALSE),1,0)</f>
        <v>0</v>
      </c>
      <c r="BC55">
        <f>IF(VLOOKUP(BC$1,main!$A$3:$I$56,5,FALSE)-VLOOKUP($A55,main!$A$3:$I$56,6,FALSE)&gt;=VLOOKUP(55,main!$A$57:$I$59,4,FALSE)+VLOOKUP(VLOOKUP(BC$1,main!$A$3:$I$56,7,FALSE),main!$K$10:$Q$14,3,FALSE),1,0)</f>
        <v>0</v>
      </c>
      <c r="BD55">
        <f>IF(VLOOKUP(BD$1,main!$A$3:$I$56,5,FALSE)-VLOOKUP($A55,main!$A$3:$I$56,6,FALSE)&gt;=VLOOKUP(55,main!$A$57:$I$59,4,FALSE)+VLOOKUP(VLOOKUP(BD$1,main!$A$3:$I$56,7,FALSE),main!$K$10:$Q$14,3,FALSE),1,0)</f>
        <v>0</v>
      </c>
    </row>
    <row r="56" spans="1:56" x14ac:dyDescent="0.25">
      <c r="A56">
        <f t="shared" si="0"/>
        <v>54</v>
      </c>
      <c r="B56">
        <v>0</v>
      </c>
      <c r="C56">
        <f>IF(VLOOKUP(C$1,main!$A$3:$I$56,5,FALSE)-VLOOKUP($A56,main!$A$3:$I$56,6,FALSE)&gt;=VLOOKUP(55,main!$A$57:$I$59,4,FALSE)+VLOOKUP(VLOOKUP(C$1,main!$A$3:$I$56,7,FALSE),main!$K$10:$Q$14,3,FALSE),1,0)</f>
        <v>0</v>
      </c>
      <c r="D56">
        <f>IF(VLOOKUP(D$1,main!$A$3:$I$56,5,FALSE)-VLOOKUP($A56,main!$A$3:$I$56,6,FALSE)&gt;=VLOOKUP(55,main!$A$57:$I$59,4,FALSE)+VLOOKUP(VLOOKUP(D$1,main!$A$3:$I$56,7,FALSE),main!$K$10:$Q$14,3,FALSE),1,0)</f>
        <v>0</v>
      </c>
      <c r="E56">
        <f>IF(VLOOKUP(E$1,main!$A$3:$I$56,5,FALSE)-VLOOKUP($A56,main!$A$3:$I$56,6,FALSE)&gt;=VLOOKUP(55,main!$A$57:$I$59,4,FALSE)+VLOOKUP(VLOOKUP(E$1,main!$A$3:$I$56,7,FALSE),main!$K$10:$Q$14,3,FALSE),1,0)</f>
        <v>0</v>
      </c>
      <c r="F56">
        <f>IF(VLOOKUP(F$1,main!$A$3:$I$56,5,FALSE)-VLOOKUP($A56,main!$A$3:$I$56,6,FALSE)&gt;=VLOOKUP(55,main!$A$57:$I$59,4,FALSE)+VLOOKUP(VLOOKUP(F$1,main!$A$3:$I$56,7,FALSE),main!$K$10:$Q$14,3,FALSE),1,0)</f>
        <v>0</v>
      </c>
      <c r="G56">
        <f>IF(VLOOKUP(G$1,main!$A$3:$I$56,5,FALSE)-VLOOKUP($A56,main!$A$3:$I$56,6,FALSE)&gt;=VLOOKUP(55,main!$A$57:$I$59,4,FALSE)+VLOOKUP(VLOOKUP(G$1,main!$A$3:$I$56,7,FALSE),main!$K$10:$Q$14,3,FALSE),1,0)</f>
        <v>0</v>
      </c>
      <c r="H56">
        <f>IF(VLOOKUP(H$1,main!$A$3:$I$56,5,FALSE)-VLOOKUP($A56,main!$A$3:$I$56,6,FALSE)&gt;=VLOOKUP(55,main!$A$57:$I$59,4,FALSE)+VLOOKUP(VLOOKUP(H$1,main!$A$3:$I$56,7,FALSE),main!$K$10:$Q$14,3,FALSE),1,0)</f>
        <v>0</v>
      </c>
      <c r="I56">
        <f>IF(VLOOKUP(I$1,main!$A$3:$I$56,5,FALSE)-VLOOKUP($A56,main!$A$3:$I$56,6,FALSE)&gt;=VLOOKUP(55,main!$A$57:$I$59,4,FALSE)+VLOOKUP(VLOOKUP(I$1,main!$A$3:$I$56,7,FALSE),main!$K$10:$Q$14,3,FALSE),1,0)</f>
        <v>0</v>
      </c>
      <c r="J56">
        <f>IF(VLOOKUP(J$1,main!$A$3:$I$56,5,FALSE)-VLOOKUP($A56,main!$A$3:$I$56,6,FALSE)&gt;=VLOOKUP(55,main!$A$57:$I$59,4,FALSE)+VLOOKUP(VLOOKUP(J$1,main!$A$3:$I$56,7,FALSE),main!$K$10:$Q$14,3,FALSE),1,0)</f>
        <v>1</v>
      </c>
      <c r="K56">
        <f>IF(VLOOKUP(K$1,main!$A$3:$I$56,5,FALSE)-VLOOKUP($A56,main!$A$3:$I$56,6,FALSE)&gt;=VLOOKUP(55,main!$A$57:$I$59,4,FALSE)+VLOOKUP(VLOOKUP(K$1,main!$A$3:$I$56,7,FALSE),main!$K$10:$Q$14,3,FALSE),1,0)</f>
        <v>0</v>
      </c>
      <c r="L56">
        <f>IF(VLOOKUP(L$1,main!$A$3:$I$56,5,FALSE)-VLOOKUP($A56,main!$A$3:$I$56,6,FALSE)&gt;=VLOOKUP(55,main!$A$57:$I$59,4,FALSE)+VLOOKUP(VLOOKUP(L$1,main!$A$3:$I$56,7,FALSE),main!$K$10:$Q$14,3,FALSE),1,0)</f>
        <v>0</v>
      </c>
      <c r="M56">
        <f>IF(VLOOKUP(M$1,main!$A$3:$I$56,5,FALSE)-VLOOKUP($A56,main!$A$3:$I$56,6,FALSE)&gt;=VLOOKUP(55,main!$A$57:$I$59,4,FALSE)+VLOOKUP(VLOOKUP(M$1,main!$A$3:$I$56,7,FALSE),main!$K$10:$Q$14,3,FALSE),1,0)</f>
        <v>0</v>
      </c>
      <c r="N56">
        <f>IF(VLOOKUP(N$1,main!$A$3:$I$56,5,FALSE)-VLOOKUP($A56,main!$A$3:$I$56,6,FALSE)&gt;=VLOOKUP(55,main!$A$57:$I$59,4,FALSE)+VLOOKUP(VLOOKUP(N$1,main!$A$3:$I$56,7,FALSE),main!$K$10:$Q$14,3,FALSE),1,0)</f>
        <v>0</v>
      </c>
      <c r="O56">
        <f>IF(VLOOKUP(O$1,main!$A$3:$I$56,5,FALSE)-VLOOKUP($A56,main!$A$3:$I$56,6,FALSE)&gt;=VLOOKUP(55,main!$A$57:$I$59,4,FALSE)+VLOOKUP(VLOOKUP(O$1,main!$A$3:$I$56,7,FALSE),main!$K$10:$Q$14,3,FALSE),1,0)</f>
        <v>1</v>
      </c>
      <c r="P56">
        <f>IF(VLOOKUP(P$1,main!$A$3:$I$56,5,FALSE)-VLOOKUP($A56,main!$A$3:$I$56,6,FALSE)&gt;=VLOOKUP(55,main!$A$57:$I$59,4,FALSE)+VLOOKUP(VLOOKUP(P$1,main!$A$3:$I$56,7,FALSE),main!$K$10:$Q$14,3,FALSE),1,0)</f>
        <v>0</v>
      </c>
      <c r="Q56">
        <f>IF(VLOOKUP(Q$1,main!$A$3:$I$56,5,FALSE)-VLOOKUP($A56,main!$A$3:$I$56,6,FALSE)&gt;=VLOOKUP(55,main!$A$57:$I$59,4,FALSE)+VLOOKUP(VLOOKUP(Q$1,main!$A$3:$I$56,7,FALSE),main!$K$10:$Q$14,3,FALSE),1,0)</f>
        <v>0</v>
      </c>
      <c r="R56">
        <f>IF(VLOOKUP(R$1,main!$A$3:$I$56,5,FALSE)-VLOOKUP($A56,main!$A$3:$I$56,6,FALSE)&gt;=VLOOKUP(55,main!$A$57:$I$59,4,FALSE)+VLOOKUP(VLOOKUP(R$1,main!$A$3:$I$56,7,FALSE),main!$K$10:$Q$14,3,FALSE),1,0)</f>
        <v>0</v>
      </c>
      <c r="S56">
        <f>IF(VLOOKUP(S$1,main!$A$3:$I$56,5,FALSE)-VLOOKUP($A56,main!$A$3:$I$56,6,FALSE)&gt;=VLOOKUP(55,main!$A$57:$I$59,4,FALSE)+VLOOKUP(VLOOKUP(S$1,main!$A$3:$I$56,7,FALSE),main!$K$10:$Q$14,3,FALSE),1,0)</f>
        <v>0</v>
      </c>
      <c r="T56">
        <f>IF(VLOOKUP(T$1,main!$A$3:$I$56,5,FALSE)-VLOOKUP($A56,main!$A$3:$I$56,6,FALSE)&gt;=VLOOKUP(55,main!$A$57:$I$59,4,FALSE)+VLOOKUP(VLOOKUP(T$1,main!$A$3:$I$56,7,FALSE),main!$K$10:$Q$14,3,FALSE),1,0)</f>
        <v>0</v>
      </c>
      <c r="U56">
        <f>IF(VLOOKUP(U$1,main!$A$3:$I$56,5,FALSE)-VLOOKUP($A56,main!$A$3:$I$56,6,FALSE)&gt;=VLOOKUP(55,main!$A$57:$I$59,4,FALSE)+VLOOKUP(VLOOKUP(U$1,main!$A$3:$I$56,7,FALSE),main!$K$10:$Q$14,3,FALSE),1,0)</f>
        <v>0</v>
      </c>
      <c r="V56">
        <f>IF(VLOOKUP(V$1,main!$A$3:$I$56,5,FALSE)-VLOOKUP($A56,main!$A$3:$I$56,6,FALSE)&gt;=VLOOKUP(55,main!$A$57:$I$59,4,FALSE)+VLOOKUP(VLOOKUP(V$1,main!$A$3:$I$56,7,FALSE),main!$K$10:$Q$14,3,FALSE),1,0)</f>
        <v>0</v>
      </c>
      <c r="W56">
        <f>IF(VLOOKUP(W$1,main!$A$3:$I$56,5,FALSE)-VLOOKUP($A56,main!$A$3:$I$56,6,FALSE)&gt;=VLOOKUP(55,main!$A$57:$I$59,4,FALSE)+VLOOKUP(VLOOKUP(W$1,main!$A$3:$I$56,7,FALSE),main!$K$10:$Q$14,3,FALSE),1,0)</f>
        <v>0</v>
      </c>
      <c r="X56">
        <f>IF(VLOOKUP(X$1,main!$A$3:$I$56,5,FALSE)-VLOOKUP($A56,main!$A$3:$I$56,6,FALSE)&gt;=VLOOKUP(55,main!$A$57:$I$59,4,FALSE)+VLOOKUP(VLOOKUP(X$1,main!$A$3:$I$56,7,FALSE),main!$K$10:$Q$14,3,FALSE),1,0)</f>
        <v>0</v>
      </c>
      <c r="Y56">
        <f>IF(VLOOKUP(Y$1,main!$A$3:$I$56,5,FALSE)-VLOOKUP($A56,main!$A$3:$I$56,6,FALSE)&gt;=VLOOKUP(55,main!$A$57:$I$59,4,FALSE)+VLOOKUP(VLOOKUP(Y$1,main!$A$3:$I$56,7,FALSE),main!$K$10:$Q$14,3,FALSE),1,0)</f>
        <v>0</v>
      </c>
      <c r="Z56">
        <f>IF(VLOOKUP(Z$1,main!$A$3:$I$56,5,FALSE)-VLOOKUP($A56,main!$A$3:$I$56,6,FALSE)&gt;=VLOOKUP(55,main!$A$57:$I$59,4,FALSE)+VLOOKUP(VLOOKUP(Z$1,main!$A$3:$I$56,7,FALSE),main!$K$10:$Q$14,3,FALSE),1,0)</f>
        <v>0</v>
      </c>
      <c r="AA56">
        <f>IF(VLOOKUP(AA$1,main!$A$3:$I$56,5,FALSE)-VLOOKUP($A56,main!$A$3:$I$56,6,FALSE)&gt;=VLOOKUP(55,main!$A$57:$I$59,4,FALSE)+VLOOKUP(VLOOKUP(AA$1,main!$A$3:$I$56,7,FALSE),main!$K$10:$Q$14,3,FALSE),1,0)</f>
        <v>0</v>
      </c>
      <c r="AB56">
        <f>IF(VLOOKUP(AB$1,main!$A$3:$I$56,5,FALSE)-VLOOKUP($A56,main!$A$3:$I$56,6,FALSE)&gt;=VLOOKUP(55,main!$A$57:$I$59,4,FALSE)+VLOOKUP(VLOOKUP(AB$1,main!$A$3:$I$56,7,FALSE),main!$K$10:$Q$14,3,FALSE),1,0)</f>
        <v>0</v>
      </c>
      <c r="AC56">
        <f>IF(VLOOKUP(AC$1,main!$A$3:$I$56,5,FALSE)-VLOOKUP($A56,main!$A$3:$I$56,6,FALSE)&gt;=VLOOKUP(55,main!$A$57:$I$59,4,FALSE)+VLOOKUP(VLOOKUP(AC$1,main!$A$3:$I$56,7,FALSE),main!$K$10:$Q$14,3,FALSE),1,0)</f>
        <v>0</v>
      </c>
      <c r="AD56">
        <f>IF(VLOOKUP(AD$1,main!$A$3:$I$56,5,FALSE)-VLOOKUP($A56,main!$A$3:$I$56,6,FALSE)&gt;=VLOOKUP(55,main!$A$57:$I$59,4,FALSE)+VLOOKUP(VLOOKUP(AD$1,main!$A$3:$I$56,7,FALSE),main!$K$10:$Q$14,3,FALSE),1,0)</f>
        <v>0</v>
      </c>
      <c r="AE56">
        <f>IF(VLOOKUP(AE$1,main!$A$3:$I$56,5,FALSE)-VLOOKUP($A56,main!$A$3:$I$56,6,FALSE)&gt;=VLOOKUP(55,main!$A$57:$I$59,4,FALSE)+VLOOKUP(VLOOKUP(AE$1,main!$A$3:$I$56,7,FALSE),main!$K$10:$Q$14,3,FALSE),1,0)</f>
        <v>0</v>
      </c>
      <c r="AF56">
        <f>IF(VLOOKUP(AF$1,main!$A$3:$I$56,5,FALSE)-VLOOKUP($A56,main!$A$3:$I$56,6,FALSE)&gt;=VLOOKUP(55,main!$A$57:$I$59,4,FALSE)+VLOOKUP(VLOOKUP(AF$1,main!$A$3:$I$56,7,FALSE),main!$K$10:$Q$14,3,FALSE),1,0)</f>
        <v>0</v>
      </c>
      <c r="AG56">
        <f>IF(VLOOKUP(AG$1,main!$A$3:$I$56,5,FALSE)-VLOOKUP($A56,main!$A$3:$I$56,6,FALSE)&gt;=VLOOKUP(55,main!$A$57:$I$59,4,FALSE)+VLOOKUP(VLOOKUP(AG$1,main!$A$3:$I$56,7,FALSE),main!$K$10:$Q$14,3,FALSE),1,0)</f>
        <v>0</v>
      </c>
      <c r="AH56">
        <f>IF(VLOOKUP(AH$1,main!$A$3:$I$56,5,FALSE)-VLOOKUP($A56,main!$A$3:$I$56,6,FALSE)&gt;=VLOOKUP(55,main!$A$57:$I$59,4,FALSE)+VLOOKUP(VLOOKUP(AH$1,main!$A$3:$I$56,7,FALSE),main!$K$10:$Q$14,3,FALSE),1,0)</f>
        <v>0</v>
      </c>
      <c r="AI56">
        <f>IF(VLOOKUP(AI$1,main!$A$3:$I$56,5,FALSE)-VLOOKUP($A56,main!$A$3:$I$56,6,FALSE)&gt;=VLOOKUP(55,main!$A$57:$I$59,4,FALSE)+VLOOKUP(VLOOKUP(AI$1,main!$A$3:$I$56,7,FALSE),main!$K$10:$Q$14,3,FALSE),1,0)</f>
        <v>0</v>
      </c>
      <c r="AJ56">
        <f>IF(VLOOKUP(AJ$1,main!$A$3:$I$56,5,FALSE)-VLOOKUP($A56,main!$A$3:$I$56,6,FALSE)&gt;=VLOOKUP(55,main!$A$57:$I$59,4,FALSE)+VLOOKUP(VLOOKUP(AJ$1,main!$A$3:$I$56,7,FALSE),main!$K$10:$Q$14,3,FALSE),1,0)</f>
        <v>0</v>
      </c>
      <c r="AK56">
        <f>IF(VLOOKUP(AK$1,main!$A$3:$I$56,5,FALSE)-VLOOKUP($A56,main!$A$3:$I$56,6,FALSE)&gt;=VLOOKUP(55,main!$A$57:$I$59,4,FALSE)+VLOOKUP(VLOOKUP(AK$1,main!$A$3:$I$56,7,FALSE),main!$K$10:$Q$14,3,FALSE),1,0)</f>
        <v>0</v>
      </c>
      <c r="AL56">
        <f>IF(VLOOKUP(AL$1,main!$A$3:$I$56,5,FALSE)-VLOOKUP($A56,main!$A$3:$I$56,6,FALSE)&gt;=VLOOKUP(55,main!$A$57:$I$59,4,FALSE)+VLOOKUP(VLOOKUP(AL$1,main!$A$3:$I$56,7,FALSE),main!$K$10:$Q$14,3,FALSE),1,0)</f>
        <v>0</v>
      </c>
      <c r="AM56">
        <f>IF(VLOOKUP(AM$1,main!$A$3:$I$56,5,FALSE)-VLOOKUP($A56,main!$A$3:$I$56,6,FALSE)&gt;=VLOOKUP(55,main!$A$57:$I$59,4,FALSE)+VLOOKUP(VLOOKUP(AM$1,main!$A$3:$I$56,7,FALSE),main!$K$10:$Q$14,3,FALSE),1,0)</f>
        <v>0</v>
      </c>
      <c r="AN56">
        <f>IF(VLOOKUP(AN$1,main!$A$3:$I$56,5,FALSE)-VLOOKUP($A56,main!$A$3:$I$56,6,FALSE)&gt;=VLOOKUP(55,main!$A$57:$I$59,4,FALSE)+VLOOKUP(VLOOKUP(AN$1,main!$A$3:$I$56,7,FALSE),main!$K$10:$Q$14,3,FALSE),1,0)</f>
        <v>0</v>
      </c>
      <c r="AO56">
        <f>IF(VLOOKUP(AO$1,main!$A$3:$I$56,5,FALSE)-VLOOKUP($A56,main!$A$3:$I$56,6,FALSE)&gt;=VLOOKUP(55,main!$A$57:$I$59,4,FALSE)+VLOOKUP(VLOOKUP(AO$1,main!$A$3:$I$56,7,FALSE),main!$K$10:$Q$14,3,FALSE),1,0)</f>
        <v>0</v>
      </c>
      <c r="AP56">
        <f>IF(VLOOKUP(AP$1,main!$A$3:$I$56,5,FALSE)-VLOOKUP($A56,main!$A$3:$I$56,6,FALSE)&gt;=VLOOKUP(55,main!$A$57:$I$59,4,FALSE)+VLOOKUP(VLOOKUP(AP$1,main!$A$3:$I$56,7,FALSE),main!$K$10:$Q$14,3,FALSE),1,0)</f>
        <v>0</v>
      </c>
      <c r="AQ56">
        <f>IF(VLOOKUP(AQ$1,main!$A$3:$I$56,5,FALSE)-VLOOKUP($A56,main!$A$3:$I$56,6,FALSE)&gt;=VLOOKUP(55,main!$A$57:$I$59,4,FALSE)+VLOOKUP(VLOOKUP(AQ$1,main!$A$3:$I$56,7,FALSE),main!$K$10:$Q$14,3,FALSE),1,0)</f>
        <v>0</v>
      </c>
      <c r="AR56">
        <f>IF(VLOOKUP(AR$1,main!$A$3:$I$56,5,FALSE)-VLOOKUP($A56,main!$A$3:$I$56,6,FALSE)&gt;=VLOOKUP(55,main!$A$57:$I$59,4,FALSE)+VLOOKUP(VLOOKUP(AR$1,main!$A$3:$I$56,7,FALSE),main!$K$10:$Q$14,3,FALSE),1,0)</f>
        <v>0</v>
      </c>
      <c r="AS56">
        <f>IF(VLOOKUP(AS$1,main!$A$3:$I$56,5,FALSE)-VLOOKUP($A56,main!$A$3:$I$56,6,FALSE)&gt;=VLOOKUP(55,main!$A$57:$I$59,4,FALSE)+VLOOKUP(VLOOKUP(AS$1,main!$A$3:$I$56,7,FALSE),main!$K$10:$Q$14,3,FALSE),1,0)</f>
        <v>0</v>
      </c>
      <c r="AT56">
        <f>IF(VLOOKUP(AT$1,main!$A$3:$I$56,5,FALSE)-VLOOKUP($A56,main!$A$3:$I$56,6,FALSE)&gt;=VLOOKUP(55,main!$A$57:$I$59,4,FALSE)+VLOOKUP(VLOOKUP(AT$1,main!$A$3:$I$56,7,FALSE),main!$K$10:$Q$14,3,FALSE),1,0)</f>
        <v>0</v>
      </c>
      <c r="AU56">
        <f>IF(VLOOKUP(AU$1,main!$A$3:$I$56,5,FALSE)-VLOOKUP($A56,main!$A$3:$I$56,6,FALSE)&gt;=VLOOKUP(55,main!$A$57:$I$59,4,FALSE)+VLOOKUP(VLOOKUP(AU$1,main!$A$3:$I$56,7,FALSE),main!$K$10:$Q$14,3,FALSE),1,0)</f>
        <v>0</v>
      </c>
      <c r="AV56">
        <f>IF(VLOOKUP(AV$1,main!$A$3:$I$56,5,FALSE)-VLOOKUP($A56,main!$A$3:$I$56,6,FALSE)&gt;=VLOOKUP(55,main!$A$57:$I$59,4,FALSE)+VLOOKUP(VLOOKUP(AV$1,main!$A$3:$I$56,7,FALSE),main!$K$10:$Q$14,3,FALSE),1,0)</f>
        <v>0</v>
      </c>
      <c r="AW56">
        <f>IF(VLOOKUP(AW$1,main!$A$3:$I$56,5,FALSE)-VLOOKUP($A56,main!$A$3:$I$56,6,FALSE)&gt;=VLOOKUP(55,main!$A$57:$I$59,4,FALSE)+VLOOKUP(VLOOKUP(AW$1,main!$A$3:$I$56,7,FALSE),main!$K$10:$Q$14,3,FALSE),1,0)</f>
        <v>0</v>
      </c>
      <c r="AX56">
        <f>IF(VLOOKUP(AX$1,main!$A$3:$I$56,5,FALSE)-VLOOKUP($A56,main!$A$3:$I$56,6,FALSE)&gt;=VLOOKUP(55,main!$A$57:$I$59,4,FALSE)+VLOOKUP(VLOOKUP(AX$1,main!$A$3:$I$56,7,FALSE),main!$K$10:$Q$14,3,FALSE),1,0)</f>
        <v>0</v>
      </c>
      <c r="AY56">
        <f>IF(VLOOKUP(AY$1,main!$A$3:$I$56,5,FALSE)-VLOOKUP($A56,main!$A$3:$I$56,6,FALSE)&gt;=VLOOKUP(55,main!$A$57:$I$59,4,FALSE)+VLOOKUP(VLOOKUP(AY$1,main!$A$3:$I$56,7,FALSE),main!$K$10:$Q$14,3,FALSE),1,0)</f>
        <v>1</v>
      </c>
      <c r="AZ56">
        <f>IF(VLOOKUP(AZ$1,main!$A$3:$I$56,5,FALSE)-VLOOKUP($A56,main!$A$3:$I$56,6,FALSE)&gt;=VLOOKUP(55,main!$A$57:$I$59,4,FALSE)+VLOOKUP(VLOOKUP(AZ$1,main!$A$3:$I$56,7,FALSE),main!$K$10:$Q$14,3,FALSE),1,0)</f>
        <v>0</v>
      </c>
      <c r="BA56">
        <f>IF(VLOOKUP(BA$1,main!$A$3:$I$56,5,FALSE)-VLOOKUP($A56,main!$A$3:$I$56,6,FALSE)&gt;=VLOOKUP(55,main!$A$57:$I$59,4,FALSE)+VLOOKUP(VLOOKUP(BA$1,main!$A$3:$I$56,7,FALSE),main!$K$10:$Q$14,3,FALSE),1,0)</f>
        <v>0</v>
      </c>
      <c r="BB56">
        <f>IF(VLOOKUP(BB$1,main!$A$3:$I$56,5,FALSE)-VLOOKUP($A56,main!$A$3:$I$56,6,FALSE)&gt;=VLOOKUP(55,main!$A$57:$I$59,4,FALSE)+VLOOKUP(VLOOKUP(BB$1,main!$A$3:$I$56,7,FALSE),main!$K$10:$Q$14,3,FALSE),1,0)</f>
        <v>0</v>
      </c>
      <c r="BC56">
        <f>IF(VLOOKUP(BC$1,main!$A$3:$I$56,5,FALSE)-VLOOKUP($A56,main!$A$3:$I$56,6,FALSE)&gt;=VLOOKUP(55,main!$A$57:$I$59,4,FALSE)+VLOOKUP(VLOOKUP(BC$1,main!$A$3:$I$56,7,FALSE),main!$K$10:$Q$14,3,FALSE),1,0)</f>
        <v>0</v>
      </c>
      <c r="BD56">
        <f>IF(VLOOKUP(BD$1,main!$A$3:$I$56,5,FALSE)-VLOOKUP($A56,main!$A$3:$I$56,6,FALSE)&gt;=VLOOKUP(55,main!$A$57:$I$59,4,FALSE)+VLOOKUP(VLOOKUP(BD$1,main!$A$3:$I$56,7,FALSE),main!$K$10:$Q$14,3,FALSE),1,0)</f>
        <v>0</v>
      </c>
    </row>
    <row r="57" spans="1:56" x14ac:dyDescent="0.25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</row>
    <row r="58" spans="1:56" x14ac:dyDescent="0.25">
      <c r="A58">
        <f>A57+1</f>
        <v>1</v>
      </c>
      <c r="B58">
        <v>0</v>
      </c>
      <c r="C58">
        <f>IF(VLOOKUP(C$1,main!$A$3:$I$56,5,FALSE)-VLOOKUP($A58,main!$A$3:$I$56,6,FALSE)&gt;=VLOOKUP(56,main!$A$57:$I$59,4,FALSE)+VLOOKUP(VLOOKUP(C$1,main!$A$3:$I$56,7,FALSE),main!$K$10:$Q$14,4,FALSE),1,0)</f>
        <v>0</v>
      </c>
      <c r="D58">
        <f>IF(VLOOKUP(D$1,main!$A$3:$I$56,5,FALSE)-VLOOKUP($A58,main!$A$3:$I$56,6,FALSE)&gt;=VLOOKUP(56,main!$A$57:$I$59,4,FALSE)+VLOOKUP(VLOOKUP(D$1,main!$A$3:$I$56,7,FALSE),main!$K$10:$Q$14,4,FALSE),1,0)</f>
        <v>0</v>
      </c>
      <c r="E58">
        <f>IF(VLOOKUP(E$1,main!$A$3:$I$56,5,FALSE)-VLOOKUP($A58,main!$A$3:$I$56,6,FALSE)&gt;=VLOOKUP(56,main!$A$57:$I$59,4,FALSE)+VLOOKUP(VLOOKUP(E$1,main!$A$3:$I$56,7,FALSE),main!$K$10:$Q$14,4,FALSE),1,0)</f>
        <v>1</v>
      </c>
      <c r="F58">
        <f>IF(VLOOKUP(F$1,main!$A$3:$I$56,5,FALSE)-VLOOKUP($A58,main!$A$3:$I$56,6,FALSE)&gt;=VLOOKUP(56,main!$A$57:$I$59,4,FALSE)+VLOOKUP(VLOOKUP(F$1,main!$A$3:$I$56,7,FALSE),main!$K$10:$Q$14,4,FALSE),1,0)</f>
        <v>1</v>
      </c>
      <c r="G58">
        <f>IF(VLOOKUP(G$1,main!$A$3:$I$56,5,FALSE)-VLOOKUP($A58,main!$A$3:$I$56,6,FALSE)&gt;=VLOOKUP(56,main!$A$57:$I$59,4,FALSE)+VLOOKUP(VLOOKUP(G$1,main!$A$3:$I$56,7,FALSE),main!$K$10:$Q$14,4,FALSE),1,0)</f>
        <v>1</v>
      </c>
      <c r="H58">
        <f>IF(VLOOKUP(H$1,main!$A$3:$I$56,5,FALSE)-VLOOKUP($A58,main!$A$3:$I$56,6,FALSE)&gt;=VLOOKUP(56,main!$A$57:$I$59,4,FALSE)+VLOOKUP(VLOOKUP(H$1,main!$A$3:$I$56,7,FALSE),main!$K$10:$Q$14,4,FALSE),1,0)</f>
        <v>1</v>
      </c>
      <c r="I58">
        <f>IF(VLOOKUP(I$1,main!$A$3:$I$56,5,FALSE)-VLOOKUP($A58,main!$A$3:$I$56,6,FALSE)&gt;=VLOOKUP(56,main!$A$57:$I$59,4,FALSE)+VLOOKUP(VLOOKUP(I$1,main!$A$3:$I$56,7,FALSE),main!$K$10:$Q$14,4,FALSE),1,0)</f>
        <v>1</v>
      </c>
      <c r="J58">
        <f>IF(VLOOKUP(J$1,main!$A$3:$I$56,5,FALSE)-VLOOKUP($A58,main!$A$3:$I$56,6,FALSE)&gt;=VLOOKUP(56,main!$A$57:$I$59,4,FALSE)+VLOOKUP(VLOOKUP(J$1,main!$A$3:$I$56,7,FALSE),main!$K$10:$Q$14,4,FALSE),1,0)</f>
        <v>1</v>
      </c>
      <c r="K58">
        <f>IF(VLOOKUP(K$1,main!$A$3:$I$56,5,FALSE)-VLOOKUP($A58,main!$A$3:$I$56,6,FALSE)&gt;=VLOOKUP(56,main!$A$57:$I$59,4,FALSE)+VLOOKUP(VLOOKUP(K$1,main!$A$3:$I$56,7,FALSE),main!$K$10:$Q$14,4,FALSE),1,0)</f>
        <v>0</v>
      </c>
      <c r="L58">
        <f>IF(VLOOKUP(L$1,main!$A$3:$I$56,5,FALSE)-VLOOKUP($A58,main!$A$3:$I$56,6,FALSE)&gt;=VLOOKUP(56,main!$A$57:$I$59,4,FALSE)+VLOOKUP(VLOOKUP(L$1,main!$A$3:$I$56,7,FALSE),main!$K$10:$Q$14,4,FALSE),1,0)</f>
        <v>0</v>
      </c>
      <c r="M58">
        <f>IF(VLOOKUP(M$1,main!$A$3:$I$56,5,FALSE)-VLOOKUP($A58,main!$A$3:$I$56,6,FALSE)&gt;=VLOOKUP(56,main!$A$57:$I$59,4,FALSE)+VLOOKUP(VLOOKUP(M$1,main!$A$3:$I$56,7,FALSE),main!$K$10:$Q$14,4,FALSE),1,0)</f>
        <v>1</v>
      </c>
      <c r="N58">
        <f>IF(VLOOKUP(N$1,main!$A$3:$I$56,5,FALSE)-VLOOKUP($A58,main!$A$3:$I$56,6,FALSE)&gt;=VLOOKUP(56,main!$A$57:$I$59,4,FALSE)+VLOOKUP(VLOOKUP(N$1,main!$A$3:$I$56,7,FALSE),main!$K$10:$Q$14,4,FALSE),1,0)</f>
        <v>1</v>
      </c>
      <c r="O58">
        <f>IF(VLOOKUP(O$1,main!$A$3:$I$56,5,FALSE)-VLOOKUP($A58,main!$A$3:$I$56,6,FALSE)&gt;=VLOOKUP(56,main!$A$57:$I$59,4,FALSE)+VLOOKUP(VLOOKUP(O$1,main!$A$3:$I$56,7,FALSE),main!$K$10:$Q$14,4,FALSE),1,0)</f>
        <v>1</v>
      </c>
      <c r="P58">
        <f>IF(VLOOKUP(P$1,main!$A$3:$I$56,5,FALSE)-VLOOKUP($A58,main!$A$3:$I$56,6,FALSE)&gt;=VLOOKUP(56,main!$A$57:$I$59,4,FALSE)+VLOOKUP(VLOOKUP(P$1,main!$A$3:$I$56,7,FALSE),main!$K$10:$Q$14,4,FALSE),1,0)</f>
        <v>0</v>
      </c>
      <c r="Q58">
        <f>IF(VLOOKUP(Q$1,main!$A$3:$I$56,5,FALSE)-VLOOKUP($A58,main!$A$3:$I$56,6,FALSE)&gt;=VLOOKUP(56,main!$A$57:$I$59,4,FALSE)+VLOOKUP(VLOOKUP(Q$1,main!$A$3:$I$56,7,FALSE),main!$K$10:$Q$14,4,FALSE),1,0)</f>
        <v>0</v>
      </c>
      <c r="R58">
        <f>IF(VLOOKUP(R$1,main!$A$3:$I$56,5,FALSE)-VLOOKUP($A58,main!$A$3:$I$56,6,FALSE)&gt;=VLOOKUP(56,main!$A$57:$I$59,4,FALSE)+VLOOKUP(VLOOKUP(R$1,main!$A$3:$I$56,7,FALSE),main!$K$10:$Q$14,4,FALSE),1,0)</f>
        <v>1</v>
      </c>
      <c r="S58">
        <f>IF(VLOOKUP(S$1,main!$A$3:$I$56,5,FALSE)-VLOOKUP($A58,main!$A$3:$I$56,6,FALSE)&gt;=VLOOKUP(56,main!$A$57:$I$59,4,FALSE)+VLOOKUP(VLOOKUP(S$1,main!$A$3:$I$56,7,FALSE),main!$K$10:$Q$14,4,FALSE),1,0)</f>
        <v>1</v>
      </c>
      <c r="T58">
        <f>IF(VLOOKUP(T$1,main!$A$3:$I$56,5,FALSE)-VLOOKUP($A58,main!$A$3:$I$56,6,FALSE)&gt;=VLOOKUP(56,main!$A$57:$I$59,4,FALSE)+VLOOKUP(VLOOKUP(T$1,main!$A$3:$I$56,7,FALSE),main!$K$10:$Q$14,4,FALSE),1,0)</f>
        <v>1</v>
      </c>
      <c r="U58">
        <f>IF(VLOOKUP(U$1,main!$A$3:$I$56,5,FALSE)-VLOOKUP($A58,main!$A$3:$I$56,6,FALSE)&gt;=VLOOKUP(56,main!$A$57:$I$59,4,FALSE)+VLOOKUP(VLOOKUP(U$1,main!$A$3:$I$56,7,FALSE),main!$K$10:$Q$14,4,FALSE),1,0)</f>
        <v>0</v>
      </c>
      <c r="V58">
        <f>IF(VLOOKUP(V$1,main!$A$3:$I$56,5,FALSE)-VLOOKUP($A58,main!$A$3:$I$56,6,FALSE)&gt;=VLOOKUP(56,main!$A$57:$I$59,4,FALSE)+VLOOKUP(VLOOKUP(V$1,main!$A$3:$I$56,7,FALSE),main!$K$10:$Q$14,4,FALSE),1,0)</f>
        <v>0</v>
      </c>
      <c r="W58">
        <f>IF(VLOOKUP(W$1,main!$A$3:$I$56,5,FALSE)-VLOOKUP($A58,main!$A$3:$I$56,6,FALSE)&gt;=VLOOKUP(56,main!$A$57:$I$59,4,FALSE)+VLOOKUP(VLOOKUP(W$1,main!$A$3:$I$56,7,FALSE),main!$K$10:$Q$14,4,FALSE),1,0)</f>
        <v>0</v>
      </c>
      <c r="X58">
        <f>IF(VLOOKUP(X$1,main!$A$3:$I$56,5,FALSE)-VLOOKUP($A58,main!$A$3:$I$56,6,FALSE)&gt;=VLOOKUP(56,main!$A$57:$I$59,4,FALSE)+VLOOKUP(VLOOKUP(X$1,main!$A$3:$I$56,7,FALSE),main!$K$10:$Q$14,4,FALSE),1,0)</f>
        <v>0</v>
      </c>
      <c r="Y58">
        <f>IF(VLOOKUP(Y$1,main!$A$3:$I$56,5,FALSE)-VLOOKUP($A58,main!$A$3:$I$56,6,FALSE)&gt;=VLOOKUP(56,main!$A$57:$I$59,4,FALSE)+VLOOKUP(VLOOKUP(Y$1,main!$A$3:$I$56,7,FALSE),main!$K$10:$Q$14,4,FALSE),1,0)</f>
        <v>1</v>
      </c>
      <c r="Z58">
        <f>IF(VLOOKUP(Z$1,main!$A$3:$I$56,5,FALSE)-VLOOKUP($A58,main!$A$3:$I$56,6,FALSE)&gt;=VLOOKUP(56,main!$A$57:$I$59,4,FALSE)+VLOOKUP(VLOOKUP(Z$1,main!$A$3:$I$56,7,FALSE),main!$K$10:$Q$14,4,FALSE),1,0)</f>
        <v>1</v>
      </c>
      <c r="AA58">
        <f>IF(VLOOKUP(AA$1,main!$A$3:$I$56,5,FALSE)-VLOOKUP($A58,main!$A$3:$I$56,6,FALSE)&gt;=VLOOKUP(56,main!$A$57:$I$59,4,FALSE)+VLOOKUP(VLOOKUP(AA$1,main!$A$3:$I$56,7,FALSE),main!$K$10:$Q$14,4,FALSE),1,0)</f>
        <v>1</v>
      </c>
      <c r="AB58">
        <f>IF(VLOOKUP(AB$1,main!$A$3:$I$56,5,FALSE)-VLOOKUP($A58,main!$A$3:$I$56,6,FALSE)&gt;=VLOOKUP(56,main!$A$57:$I$59,4,FALSE)+VLOOKUP(VLOOKUP(AB$1,main!$A$3:$I$56,7,FALSE),main!$K$10:$Q$14,4,FALSE),1,0)</f>
        <v>1</v>
      </c>
      <c r="AC58">
        <f>IF(VLOOKUP(AC$1,main!$A$3:$I$56,5,FALSE)-VLOOKUP($A58,main!$A$3:$I$56,6,FALSE)&gt;=VLOOKUP(56,main!$A$57:$I$59,4,FALSE)+VLOOKUP(VLOOKUP(AC$1,main!$A$3:$I$56,7,FALSE),main!$K$10:$Q$14,4,FALSE),1,0)</f>
        <v>0</v>
      </c>
      <c r="AD58">
        <f>IF(VLOOKUP(AD$1,main!$A$3:$I$56,5,FALSE)-VLOOKUP($A58,main!$A$3:$I$56,6,FALSE)&gt;=VLOOKUP(56,main!$A$57:$I$59,4,FALSE)+VLOOKUP(VLOOKUP(AD$1,main!$A$3:$I$56,7,FALSE),main!$K$10:$Q$14,4,FALSE),1,0)</f>
        <v>0</v>
      </c>
      <c r="AE58">
        <f>IF(VLOOKUP(AE$1,main!$A$3:$I$56,5,FALSE)-VLOOKUP($A58,main!$A$3:$I$56,6,FALSE)&gt;=VLOOKUP(56,main!$A$57:$I$59,4,FALSE)+VLOOKUP(VLOOKUP(AE$1,main!$A$3:$I$56,7,FALSE),main!$K$10:$Q$14,4,FALSE),1,0)</f>
        <v>0</v>
      </c>
      <c r="AF58">
        <f>IF(VLOOKUP(AF$1,main!$A$3:$I$56,5,FALSE)-VLOOKUP($A58,main!$A$3:$I$56,6,FALSE)&gt;=VLOOKUP(56,main!$A$57:$I$59,4,FALSE)+VLOOKUP(VLOOKUP(AF$1,main!$A$3:$I$56,7,FALSE),main!$K$10:$Q$14,4,FALSE),1,0)</f>
        <v>1</v>
      </c>
      <c r="AG58">
        <f>IF(VLOOKUP(AG$1,main!$A$3:$I$56,5,FALSE)-VLOOKUP($A58,main!$A$3:$I$56,6,FALSE)&gt;=VLOOKUP(56,main!$A$57:$I$59,4,FALSE)+VLOOKUP(VLOOKUP(AG$1,main!$A$3:$I$56,7,FALSE),main!$K$10:$Q$14,4,FALSE),1,0)</f>
        <v>0</v>
      </c>
      <c r="AH58">
        <f>IF(VLOOKUP(AH$1,main!$A$3:$I$56,5,FALSE)-VLOOKUP($A58,main!$A$3:$I$56,6,FALSE)&gt;=VLOOKUP(56,main!$A$57:$I$59,4,FALSE)+VLOOKUP(VLOOKUP(AH$1,main!$A$3:$I$56,7,FALSE),main!$K$10:$Q$14,4,FALSE),1,0)</f>
        <v>0</v>
      </c>
      <c r="AI58">
        <f>IF(VLOOKUP(AI$1,main!$A$3:$I$56,5,FALSE)-VLOOKUP($A58,main!$A$3:$I$56,6,FALSE)&gt;=VLOOKUP(56,main!$A$57:$I$59,4,FALSE)+VLOOKUP(VLOOKUP(AI$1,main!$A$3:$I$56,7,FALSE),main!$K$10:$Q$14,4,FALSE),1,0)</f>
        <v>0</v>
      </c>
      <c r="AJ58">
        <f>IF(VLOOKUP(AJ$1,main!$A$3:$I$56,5,FALSE)-VLOOKUP($A58,main!$A$3:$I$56,6,FALSE)&gt;=VLOOKUP(56,main!$A$57:$I$59,4,FALSE)+VLOOKUP(VLOOKUP(AJ$1,main!$A$3:$I$56,7,FALSE),main!$K$10:$Q$14,4,FALSE),1,0)</f>
        <v>1</v>
      </c>
      <c r="AK58">
        <f>IF(VLOOKUP(AK$1,main!$A$3:$I$56,5,FALSE)-VLOOKUP($A58,main!$A$3:$I$56,6,FALSE)&gt;=VLOOKUP(56,main!$A$57:$I$59,4,FALSE)+VLOOKUP(VLOOKUP(AK$1,main!$A$3:$I$56,7,FALSE),main!$K$10:$Q$14,4,FALSE),1,0)</f>
        <v>1</v>
      </c>
      <c r="AL58">
        <f>IF(VLOOKUP(AL$1,main!$A$3:$I$56,5,FALSE)-VLOOKUP($A58,main!$A$3:$I$56,6,FALSE)&gt;=VLOOKUP(56,main!$A$57:$I$59,4,FALSE)+VLOOKUP(VLOOKUP(AL$1,main!$A$3:$I$56,7,FALSE),main!$K$10:$Q$14,4,FALSE),1,0)</f>
        <v>0</v>
      </c>
      <c r="AM58">
        <f>IF(VLOOKUP(AM$1,main!$A$3:$I$56,5,FALSE)-VLOOKUP($A58,main!$A$3:$I$56,6,FALSE)&gt;=VLOOKUP(56,main!$A$57:$I$59,4,FALSE)+VLOOKUP(VLOOKUP(AM$1,main!$A$3:$I$56,7,FALSE),main!$K$10:$Q$14,4,FALSE),1,0)</f>
        <v>0</v>
      </c>
      <c r="AN58">
        <f>IF(VLOOKUP(AN$1,main!$A$3:$I$56,5,FALSE)-VLOOKUP($A58,main!$A$3:$I$56,6,FALSE)&gt;=VLOOKUP(56,main!$A$57:$I$59,4,FALSE)+VLOOKUP(VLOOKUP(AN$1,main!$A$3:$I$56,7,FALSE),main!$K$10:$Q$14,4,FALSE),1,0)</f>
        <v>1</v>
      </c>
      <c r="AO58">
        <f>IF(VLOOKUP(AO$1,main!$A$3:$I$56,5,FALSE)-VLOOKUP($A58,main!$A$3:$I$56,6,FALSE)&gt;=VLOOKUP(56,main!$A$57:$I$59,4,FALSE)+VLOOKUP(VLOOKUP(AO$1,main!$A$3:$I$56,7,FALSE),main!$K$10:$Q$14,4,FALSE),1,0)</f>
        <v>1</v>
      </c>
      <c r="AP58">
        <f>IF(VLOOKUP(AP$1,main!$A$3:$I$56,5,FALSE)-VLOOKUP($A58,main!$A$3:$I$56,6,FALSE)&gt;=VLOOKUP(56,main!$A$57:$I$59,4,FALSE)+VLOOKUP(VLOOKUP(AP$1,main!$A$3:$I$56,7,FALSE),main!$K$10:$Q$14,4,FALSE),1,0)</f>
        <v>0</v>
      </c>
      <c r="AQ58">
        <f>IF(VLOOKUP(AQ$1,main!$A$3:$I$56,5,FALSE)-VLOOKUP($A58,main!$A$3:$I$56,6,FALSE)&gt;=VLOOKUP(56,main!$A$57:$I$59,4,FALSE)+VLOOKUP(VLOOKUP(AQ$1,main!$A$3:$I$56,7,FALSE),main!$K$10:$Q$14,4,FALSE),1,0)</f>
        <v>0</v>
      </c>
      <c r="AR58">
        <f>IF(VLOOKUP(AR$1,main!$A$3:$I$56,5,FALSE)-VLOOKUP($A58,main!$A$3:$I$56,6,FALSE)&gt;=VLOOKUP(56,main!$A$57:$I$59,4,FALSE)+VLOOKUP(VLOOKUP(AR$1,main!$A$3:$I$56,7,FALSE),main!$K$10:$Q$14,4,FALSE),1,0)</f>
        <v>0</v>
      </c>
      <c r="AS58">
        <f>IF(VLOOKUP(AS$1,main!$A$3:$I$56,5,FALSE)-VLOOKUP($A58,main!$A$3:$I$56,6,FALSE)&gt;=VLOOKUP(56,main!$A$57:$I$59,4,FALSE)+VLOOKUP(VLOOKUP(AS$1,main!$A$3:$I$56,7,FALSE),main!$K$10:$Q$14,4,FALSE),1,0)</f>
        <v>0</v>
      </c>
      <c r="AT58">
        <f>IF(VLOOKUP(AT$1,main!$A$3:$I$56,5,FALSE)-VLOOKUP($A58,main!$A$3:$I$56,6,FALSE)&gt;=VLOOKUP(56,main!$A$57:$I$59,4,FALSE)+VLOOKUP(VLOOKUP(AT$1,main!$A$3:$I$56,7,FALSE),main!$K$10:$Q$14,4,FALSE),1,0)</f>
        <v>0</v>
      </c>
      <c r="AU58">
        <f>IF(VLOOKUP(AU$1,main!$A$3:$I$56,5,FALSE)-VLOOKUP($A58,main!$A$3:$I$56,6,FALSE)&gt;=VLOOKUP(56,main!$A$57:$I$59,4,FALSE)+VLOOKUP(VLOOKUP(AU$1,main!$A$3:$I$56,7,FALSE),main!$K$10:$Q$14,4,FALSE),1,0)</f>
        <v>0</v>
      </c>
      <c r="AV58">
        <f>IF(VLOOKUP(AV$1,main!$A$3:$I$56,5,FALSE)-VLOOKUP($A58,main!$A$3:$I$56,6,FALSE)&gt;=VLOOKUP(56,main!$A$57:$I$59,4,FALSE)+VLOOKUP(VLOOKUP(AV$1,main!$A$3:$I$56,7,FALSE),main!$K$10:$Q$14,4,FALSE),1,0)</f>
        <v>0</v>
      </c>
      <c r="AW58">
        <f>IF(VLOOKUP(AW$1,main!$A$3:$I$56,5,FALSE)-VLOOKUP($A58,main!$A$3:$I$56,6,FALSE)&gt;=VLOOKUP(56,main!$A$57:$I$59,4,FALSE)+VLOOKUP(VLOOKUP(AW$1,main!$A$3:$I$56,7,FALSE),main!$K$10:$Q$14,4,FALSE),1,0)</f>
        <v>0</v>
      </c>
      <c r="AX58">
        <f>IF(VLOOKUP(AX$1,main!$A$3:$I$56,5,FALSE)-VLOOKUP($A58,main!$A$3:$I$56,6,FALSE)&gt;=VLOOKUP(56,main!$A$57:$I$59,4,FALSE)+VLOOKUP(VLOOKUP(AX$1,main!$A$3:$I$56,7,FALSE),main!$K$10:$Q$14,4,FALSE),1,0)</f>
        <v>1</v>
      </c>
      <c r="AY58">
        <f>IF(VLOOKUP(AY$1,main!$A$3:$I$56,5,FALSE)-VLOOKUP($A58,main!$A$3:$I$56,6,FALSE)&gt;=VLOOKUP(56,main!$A$57:$I$59,4,FALSE)+VLOOKUP(VLOOKUP(AY$1,main!$A$3:$I$56,7,FALSE),main!$K$10:$Q$14,4,FALSE),1,0)</f>
        <v>1</v>
      </c>
      <c r="AZ58">
        <f>IF(VLOOKUP(AZ$1,main!$A$3:$I$56,5,FALSE)-VLOOKUP($A58,main!$A$3:$I$56,6,FALSE)&gt;=VLOOKUP(56,main!$A$57:$I$59,4,FALSE)+VLOOKUP(VLOOKUP(AZ$1,main!$A$3:$I$56,7,FALSE),main!$K$10:$Q$14,4,FALSE),1,0)</f>
        <v>0</v>
      </c>
      <c r="BA58">
        <f>IF(VLOOKUP(BA$1,main!$A$3:$I$56,5,FALSE)-VLOOKUP($A58,main!$A$3:$I$56,6,FALSE)&gt;=VLOOKUP(56,main!$A$57:$I$59,4,FALSE)+VLOOKUP(VLOOKUP(BA$1,main!$A$3:$I$56,7,FALSE),main!$K$10:$Q$14,4,FALSE),1,0)</f>
        <v>0</v>
      </c>
      <c r="BB58">
        <f>IF(VLOOKUP(BB$1,main!$A$3:$I$56,5,FALSE)-VLOOKUP($A58,main!$A$3:$I$56,6,FALSE)&gt;=VLOOKUP(56,main!$A$57:$I$59,4,FALSE)+VLOOKUP(VLOOKUP(BB$1,main!$A$3:$I$56,7,FALSE),main!$K$10:$Q$14,4,FALSE),1,0)</f>
        <v>0</v>
      </c>
      <c r="BC58">
        <f>IF(VLOOKUP(BC$1,main!$A$3:$I$56,5,FALSE)-VLOOKUP($A58,main!$A$3:$I$56,6,FALSE)&gt;=VLOOKUP(56,main!$A$57:$I$59,4,FALSE)+VLOOKUP(VLOOKUP(BC$1,main!$A$3:$I$56,7,FALSE),main!$K$10:$Q$14,4,FALSE),1,0)</f>
        <v>1</v>
      </c>
      <c r="BD58">
        <f>IF(VLOOKUP(BD$1,main!$A$3:$I$56,5,FALSE)-VLOOKUP($A58,main!$A$3:$I$56,6,FALSE)&gt;=VLOOKUP(56,main!$A$57:$I$59,4,FALSE)+VLOOKUP(VLOOKUP(BD$1,main!$A$3:$I$56,7,FALSE),main!$K$10:$Q$14,4,FALSE),1,0)</f>
        <v>1</v>
      </c>
    </row>
    <row r="59" spans="1:56" x14ac:dyDescent="0.25">
      <c r="A59">
        <f t="shared" ref="A59:A111" si="1">A58+1</f>
        <v>2</v>
      </c>
      <c r="B59">
        <v>0</v>
      </c>
      <c r="C59">
        <f>IF(VLOOKUP(C$1,main!$A$3:$I$56,5,FALSE)-VLOOKUP($A59,main!$A$3:$I$56,6,FALSE)&gt;=VLOOKUP(56,main!$A$57:$I$59,4,FALSE)+VLOOKUP(VLOOKUP(C$1,main!$A$3:$I$56,7,FALSE),main!$K$10:$Q$14,4,FALSE),1,0)</f>
        <v>0</v>
      </c>
      <c r="D59">
        <f>IF(VLOOKUP(D$1,main!$A$3:$I$56,5,FALSE)-VLOOKUP($A59,main!$A$3:$I$56,6,FALSE)&gt;=VLOOKUP(56,main!$A$57:$I$59,4,FALSE)+VLOOKUP(VLOOKUP(D$1,main!$A$3:$I$56,7,FALSE),main!$K$10:$Q$14,4,FALSE),1,0)</f>
        <v>0</v>
      </c>
      <c r="E59">
        <f>IF(VLOOKUP(E$1,main!$A$3:$I$56,5,FALSE)-VLOOKUP($A59,main!$A$3:$I$56,6,FALSE)&gt;=VLOOKUP(56,main!$A$57:$I$59,4,FALSE)+VLOOKUP(VLOOKUP(E$1,main!$A$3:$I$56,7,FALSE),main!$K$10:$Q$14,4,FALSE),1,0)</f>
        <v>0</v>
      </c>
      <c r="F59">
        <f>IF(VLOOKUP(F$1,main!$A$3:$I$56,5,FALSE)-VLOOKUP($A59,main!$A$3:$I$56,6,FALSE)&gt;=VLOOKUP(56,main!$A$57:$I$59,4,FALSE)+VLOOKUP(VLOOKUP(F$1,main!$A$3:$I$56,7,FALSE),main!$K$10:$Q$14,4,FALSE),1,0)</f>
        <v>0</v>
      </c>
      <c r="G59">
        <f>IF(VLOOKUP(G$1,main!$A$3:$I$56,5,FALSE)-VLOOKUP($A59,main!$A$3:$I$56,6,FALSE)&gt;=VLOOKUP(56,main!$A$57:$I$59,4,FALSE)+VLOOKUP(VLOOKUP(G$1,main!$A$3:$I$56,7,FALSE),main!$K$10:$Q$14,4,FALSE),1,0)</f>
        <v>1</v>
      </c>
      <c r="H59">
        <f>IF(VLOOKUP(H$1,main!$A$3:$I$56,5,FALSE)-VLOOKUP($A59,main!$A$3:$I$56,6,FALSE)&gt;=VLOOKUP(56,main!$A$57:$I$59,4,FALSE)+VLOOKUP(VLOOKUP(H$1,main!$A$3:$I$56,7,FALSE),main!$K$10:$Q$14,4,FALSE),1,0)</f>
        <v>1</v>
      </c>
      <c r="I59">
        <f>IF(VLOOKUP(I$1,main!$A$3:$I$56,5,FALSE)-VLOOKUP($A59,main!$A$3:$I$56,6,FALSE)&gt;=VLOOKUP(56,main!$A$57:$I$59,4,FALSE)+VLOOKUP(VLOOKUP(I$1,main!$A$3:$I$56,7,FALSE),main!$K$10:$Q$14,4,FALSE),1,0)</f>
        <v>1</v>
      </c>
      <c r="J59">
        <f>IF(VLOOKUP(J$1,main!$A$3:$I$56,5,FALSE)-VLOOKUP($A59,main!$A$3:$I$56,6,FALSE)&gt;=VLOOKUP(56,main!$A$57:$I$59,4,FALSE)+VLOOKUP(VLOOKUP(J$1,main!$A$3:$I$56,7,FALSE),main!$K$10:$Q$14,4,FALSE),1,0)</f>
        <v>1</v>
      </c>
      <c r="K59">
        <f>IF(VLOOKUP(K$1,main!$A$3:$I$56,5,FALSE)-VLOOKUP($A59,main!$A$3:$I$56,6,FALSE)&gt;=VLOOKUP(56,main!$A$57:$I$59,4,FALSE)+VLOOKUP(VLOOKUP(K$1,main!$A$3:$I$56,7,FALSE),main!$K$10:$Q$14,4,FALSE),1,0)</f>
        <v>0</v>
      </c>
      <c r="L59">
        <f>IF(VLOOKUP(L$1,main!$A$3:$I$56,5,FALSE)-VLOOKUP($A59,main!$A$3:$I$56,6,FALSE)&gt;=VLOOKUP(56,main!$A$57:$I$59,4,FALSE)+VLOOKUP(VLOOKUP(L$1,main!$A$3:$I$56,7,FALSE),main!$K$10:$Q$14,4,FALSE),1,0)</f>
        <v>0</v>
      </c>
      <c r="M59">
        <f>IF(VLOOKUP(M$1,main!$A$3:$I$56,5,FALSE)-VLOOKUP($A59,main!$A$3:$I$56,6,FALSE)&gt;=VLOOKUP(56,main!$A$57:$I$59,4,FALSE)+VLOOKUP(VLOOKUP(M$1,main!$A$3:$I$56,7,FALSE),main!$K$10:$Q$14,4,FALSE),1,0)</f>
        <v>0</v>
      </c>
      <c r="N59">
        <f>IF(VLOOKUP(N$1,main!$A$3:$I$56,5,FALSE)-VLOOKUP($A59,main!$A$3:$I$56,6,FALSE)&gt;=VLOOKUP(56,main!$A$57:$I$59,4,FALSE)+VLOOKUP(VLOOKUP(N$1,main!$A$3:$I$56,7,FALSE),main!$K$10:$Q$14,4,FALSE),1,0)</f>
        <v>1</v>
      </c>
      <c r="O59">
        <f>IF(VLOOKUP(O$1,main!$A$3:$I$56,5,FALSE)-VLOOKUP($A59,main!$A$3:$I$56,6,FALSE)&gt;=VLOOKUP(56,main!$A$57:$I$59,4,FALSE)+VLOOKUP(VLOOKUP(O$1,main!$A$3:$I$56,7,FALSE),main!$K$10:$Q$14,4,FALSE),1,0)</f>
        <v>1</v>
      </c>
      <c r="P59">
        <f>IF(VLOOKUP(P$1,main!$A$3:$I$56,5,FALSE)-VLOOKUP($A59,main!$A$3:$I$56,6,FALSE)&gt;=VLOOKUP(56,main!$A$57:$I$59,4,FALSE)+VLOOKUP(VLOOKUP(P$1,main!$A$3:$I$56,7,FALSE),main!$K$10:$Q$14,4,FALSE),1,0)</f>
        <v>0</v>
      </c>
      <c r="Q59">
        <f>IF(VLOOKUP(Q$1,main!$A$3:$I$56,5,FALSE)-VLOOKUP($A59,main!$A$3:$I$56,6,FALSE)&gt;=VLOOKUP(56,main!$A$57:$I$59,4,FALSE)+VLOOKUP(VLOOKUP(Q$1,main!$A$3:$I$56,7,FALSE),main!$K$10:$Q$14,4,FALSE),1,0)</f>
        <v>0</v>
      </c>
      <c r="R59">
        <f>IF(VLOOKUP(R$1,main!$A$3:$I$56,5,FALSE)-VLOOKUP($A59,main!$A$3:$I$56,6,FALSE)&gt;=VLOOKUP(56,main!$A$57:$I$59,4,FALSE)+VLOOKUP(VLOOKUP(R$1,main!$A$3:$I$56,7,FALSE),main!$K$10:$Q$14,4,FALSE),1,0)</f>
        <v>0</v>
      </c>
      <c r="S59">
        <f>IF(VLOOKUP(S$1,main!$A$3:$I$56,5,FALSE)-VLOOKUP($A59,main!$A$3:$I$56,6,FALSE)&gt;=VLOOKUP(56,main!$A$57:$I$59,4,FALSE)+VLOOKUP(VLOOKUP(S$1,main!$A$3:$I$56,7,FALSE),main!$K$10:$Q$14,4,FALSE),1,0)</f>
        <v>1</v>
      </c>
      <c r="T59">
        <f>IF(VLOOKUP(T$1,main!$A$3:$I$56,5,FALSE)-VLOOKUP($A59,main!$A$3:$I$56,6,FALSE)&gt;=VLOOKUP(56,main!$A$57:$I$59,4,FALSE)+VLOOKUP(VLOOKUP(T$1,main!$A$3:$I$56,7,FALSE),main!$K$10:$Q$14,4,FALSE),1,0)</f>
        <v>1</v>
      </c>
      <c r="U59">
        <f>IF(VLOOKUP(U$1,main!$A$3:$I$56,5,FALSE)-VLOOKUP($A59,main!$A$3:$I$56,6,FALSE)&gt;=VLOOKUP(56,main!$A$57:$I$59,4,FALSE)+VLOOKUP(VLOOKUP(U$1,main!$A$3:$I$56,7,FALSE),main!$K$10:$Q$14,4,FALSE),1,0)</f>
        <v>0</v>
      </c>
      <c r="V59">
        <f>IF(VLOOKUP(V$1,main!$A$3:$I$56,5,FALSE)-VLOOKUP($A59,main!$A$3:$I$56,6,FALSE)&gt;=VLOOKUP(56,main!$A$57:$I$59,4,FALSE)+VLOOKUP(VLOOKUP(V$1,main!$A$3:$I$56,7,FALSE),main!$K$10:$Q$14,4,FALSE),1,0)</f>
        <v>0</v>
      </c>
      <c r="W59">
        <f>IF(VLOOKUP(W$1,main!$A$3:$I$56,5,FALSE)-VLOOKUP($A59,main!$A$3:$I$56,6,FALSE)&gt;=VLOOKUP(56,main!$A$57:$I$59,4,FALSE)+VLOOKUP(VLOOKUP(W$1,main!$A$3:$I$56,7,FALSE),main!$K$10:$Q$14,4,FALSE),1,0)</f>
        <v>0</v>
      </c>
      <c r="X59">
        <f>IF(VLOOKUP(X$1,main!$A$3:$I$56,5,FALSE)-VLOOKUP($A59,main!$A$3:$I$56,6,FALSE)&gt;=VLOOKUP(56,main!$A$57:$I$59,4,FALSE)+VLOOKUP(VLOOKUP(X$1,main!$A$3:$I$56,7,FALSE),main!$K$10:$Q$14,4,FALSE),1,0)</f>
        <v>0</v>
      </c>
      <c r="Y59">
        <f>IF(VLOOKUP(Y$1,main!$A$3:$I$56,5,FALSE)-VLOOKUP($A59,main!$A$3:$I$56,6,FALSE)&gt;=VLOOKUP(56,main!$A$57:$I$59,4,FALSE)+VLOOKUP(VLOOKUP(Y$1,main!$A$3:$I$56,7,FALSE),main!$K$10:$Q$14,4,FALSE),1,0)</f>
        <v>0</v>
      </c>
      <c r="Z59">
        <f>IF(VLOOKUP(Z$1,main!$A$3:$I$56,5,FALSE)-VLOOKUP($A59,main!$A$3:$I$56,6,FALSE)&gt;=VLOOKUP(56,main!$A$57:$I$59,4,FALSE)+VLOOKUP(VLOOKUP(Z$1,main!$A$3:$I$56,7,FALSE),main!$K$10:$Q$14,4,FALSE),1,0)</f>
        <v>0</v>
      </c>
      <c r="AA59">
        <f>IF(VLOOKUP(AA$1,main!$A$3:$I$56,5,FALSE)-VLOOKUP($A59,main!$A$3:$I$56,6,FALSE)&gt;=VLOOKUP(56,main!$A$57:$I$59,4,FALSE)+VLOOKUP(VLOOKUP(AA$1,main!$A$3:$I$56,7,FALSE),main!$K$10:$Q$14,4,FALSE),1,0)</f>
        <v>1</v>
      </c>
      <c r="AB59">
        <f>IF(VLOOKUP(AB$1,main!$A$3:$I$56,5,FALSE)-VLOOKUP($A59,main!$A$3:$I$56,6,FALSE)&gt;=VLOOKUP(56,main!$A$57:$I$59,4,FALSE)+VLOOKUP(VLOOKUP(AB$1,main!$A$3:$I$56,7,FALSE),main!$K$10:$Q$14,4,FALSE),1,0)</f>
        <v>1</v>
      </c>
      <c r="AC59">
        <f>IF(VLOOKUP(AC$1,main!$A$3:$I$56,5,FALSE)-VLOOKUP($A59,main!$A$3:$I$56,6,FALSE)&gt;=VLOOKUP(56,main!$A$57:$I$59,4,FALSE)+VLOOKUP(VLOOKUP(AC$1,main!$A$3:$I$56,7,FALSE),main!$K$10:$Q$14,4,FALSE),1,0)</f>
        <v>0</v>
      </c>
      <c r="AD59">
        <f>IF(VLOOKUP(AD$1,main!$A$3:$I$56,5,FALSE)-VLOOKUP($A59,main!$A$3:$I$56,6,FALSE)&gt;=VLOOKUP(56,main!$A$57:$I$59,4,FALSE)+VLOOKUP(VLOOKUP(AD$1,main!$A$3:$I$56,7,FALSE),main!$K$10:$Q$14,4,FALSE),1,0)</f>
        <v>0</v>
      </c>
      <c r="AE59">
        <f>IF(VLOOKUP(AE$1,main!$A$3:$I$56,5,FALSE)-VLOOKUP($A59,main!$A$3:$I$56,6,FALSE)&gt;=VLOOKUP(56,main!$A$57:$I$59,4,FALSE)+VLOOKUP(VLOOKUP(AE$1,main!$A$3:$I$56,7,FALSE),main!$K$10:$Q$14,4,FALSE),1,0)</f>
        <v>0</v>
      </c>
      <c r="AF59">
        <f>IF(VLOOKUP(AF$1,main!$A$3:$I$56,5,FALSE)-VLOOKUP($A59,main!$A$3:$I$56,6,FALSE)&gt;=VLOOKUP(56,main!$A$57:$I$59,4,FALSE)+VLOOKUP(VLOOKUP(AF$1,main!$A$3:$I$56,7,FALSE),main!$K$10:$Q$14,4,FALSE),1,0)</f>
        <v>0</v>
      </c>
      <c r="AG59">
        <f>IF(VLOOKUP(AG$1,main!$A$3:$I$56,5,FALSE)-VLOOKUP($A59,main!$A$3:$I$56,6,FALSE)&gt;=VLOOKUP(56,main!$A$57:$I$59,4,FALSE)+VLOOKUP(VLOOKUP(AG$1,main!$A$3:$I$56,7,FALSE),main!$K$10:$Q$14,4,FALSE),1,0)</f>
        <v>0</v>
      </c>
      <c r="AH59">
        <f>IF(VLOOKUP(AH$1,main!$A$3:$I$56,5,FALSE)-VLOOKUP($A59,main!$A$3:$I$56,6,FALSE)&gt;=VLOOKUP(56,main!$A$57:$I$59,4,FALSE)+VLOOKUP(VLOOKUP(AH$1,main!$A$3:$I$56,7,FALSE),main!$K$10:$Q$14,4,FALSE),1,0)</f>
        <v>0</v>
      </c>
      <c r="AI59">
        <f>IF(VLOOKUP(AI$1,main!$A$3:$I$56,5,FALSE)-VLOOKUP($A59,main!$A$3:$I$56,6,FALSE)&gt;=VLOOKUP(56,main!$A$57:$I$59,4,FALSE)+VLOOKUP(VLOOKUP(AI$1,main!$A$3:$I$56,7,FALSE),main!$K$10:$Q$14,4,FALSE),1,0)</f>
        <v>0</v>
      </c>
      <c r="AJ59">
        <f>IF(VLOOKUP(AJ$1,main!$A$3:$I$56,5,FALSE)-VLOOKUP($A59,main!$A$3:$I$56,6,FALSE)&gt;=VLOOKUP(56,main!$A$57:$I$59,4,FALSE)+VLOOKUP(VLOOKUP(AJ$1,main!$A$3:$I$56,7,FALSE),main!$K$10:$Q$14,4,FALSE),1,0)</f>
        <v>0</v>
      </c>
      <c r="AK59">
        <f>IF(VLOOKUP(AK$1,main!$A$3:$I$56,5,FALSE)-VLOOKUP($A59,main!$A$3:$I$56,6,FALSE)&gt;=VLOOKUP(56,main!$A$57:$I$59,4,FALSE)+VLOOKUP(VLOOKUP(AK$1,main!$A$3:$I$56,7,FALSE),main!$K$10:$Q$14,4,FALSE),1,0)</f>
        <v>0</v>
      </c>
      <c r="AL59">
        <f>IF(VLOOKUP(AL$1,main!$A$3:$I$56,5,FALSE)-VLOOKUP($A59,main!$A$3:$I$56,6,FALSE)&gt;=VLOOKUP(56,main!$A$57:$I$59,4,FALSE)+VLOOKUP(VLOOKUP(AL$1,main!$A$3:$I$56,7,FALSE),main!$K$10:$Q$14,4,FALSE),1,0)</f>
        <v>0</v>
      </c>
      <c r="AM59">
        <f>IF(VLOOKUP(AM$1,main!$A$3:$I$56,5,FALSE)-VLOOKUP($A59,main!$A$3:$I$56,6,FALSE)&gt;=VLOOKUP(56,main!$A$57:$I$59,4,FALSE)+VLOOKUP(VLOOKUP(AM$1,main!$A$3:$I$56,7,FALSE),main!$K$10:$Q$14,4,FALSE),1,0)</f>
        <v>0</v>
      </c>
      <c r="AN59">
        <f>IF(VLOOKUP(AN$1,main!$A$3:$I$56,5,FALSE)-VLOOKUP($A59,main!$A$3:$I$56,6,FALSE)&gt;=VLOOKUP(56,main!$A$57:$I$59,4,FALSE)+VLOOKUP(VLOOKUP(AN$1,main!$A$3:$I$56,7,FALSE),main!$K$10:$Q$14,4,FALSE),1,0)</f>
        <v>0</v>
      </c>
      <c r="AO59">
        <f>IF(VLOOKUP(AO$1,main!$A$3:$I$56,5,FALSE)-VLOOKUP($A59,main!$A$3:$I$56,6,FALSE)&gt;=VLOOKUP(56,main!$A$57:$I$59,4,FALSE)+VLOOKUP(VLOOKUP(AO$1,main!$A$3:$I$56,7,FALSE),main!$K$10:$Q$14,4,FALSE),1,0)</f>
        <v>0</v>
      </c>
      <c r="AP59">
        <f>IF(VLOOKUP(AP$1,main!$A$3:$I$56,5,FALSE)-VLOOKUP($A59,main!$A$3:$I$56,6,FALSE)&gt;=VLOOKUP(56,main!$A$57:$I$59,4,FALSE)+VLOOKUP(VLOOKUP(AP$1,main!$A$3:$I$56,7,FALSE),main!$K$10:$Q$14,4,FALSE),1,0)</f>
        <v>0</v>
      </c>
      <c r="AQ59">
        <f>IF(VLOOKUP(AQ$1,main!$A$3:$I$56,5,FALSE)-VLOOKUP($A59,main!$A$3:$I$56,6,FALSE)&gt;=VLOOKUP(56,main!$A$57:$I$59,4,FALSE)+VLOOKUP(VLOOKUP(AQ$1,main!$A$3:$I$56,7,FALSE),main!$K$10:$Q$14,4,FALSE),1,0)</f>
        <v>0</v>
      </c>
      <c r="AR59">
        <f>IF(VLOOKUP(AR$1,main!$A$3:$I$56,5,FALSE)-VLOOKUP($A59,main!$A$3:$I$56,6,FALSE)&gt;=VLOOKUP(56,main!$A$57:$I$59,4,FALSE)+VLOOKUP(VLOOKUP(AR$1,main!$A$3:$I$56,7,FALSE),main!$K$10:$Q$14,4,FALSE),1,0)</f>
        <v>0</v>
      </c>
      <c r="AS59">
        <f>IF(VLOOKUP(AS$1,main!$A$3:$I$56,5,FALSE)-VLOOKUP($A59,main!$A$3:$I$56,6,FALSE)&gt;=VLOOKUP(56,main!$A$57:$I$59,4,FALSE)+VLOOKUP(VLOOKUP(AS$1,main!$A$3:$I$56,7,FALSE),main!$K$10:$Q$14,4,FALSE),1,0)</f>
        <v>0</v>
      </c>
      <c r="AT59">
        <f>IF(VLOOKUP(AT$1,main!$A$3:$I$56,5,FALSE)-VLOOKUP($A59,main!$A$3:$I$56,6,FALSE)&gt;=VLOOKUP(56,main!$A$57:$I$59,4,FALSE)+VLOOKUP(VLOOKUP(AT$1,main!$A$3:$I$56,7,FALSE),main!$K$10:$Q$14,4,FALSE),1,0)</f>
        <v>0</v>
      </c>
      <c r="AU59">
        <f>IF(VLOOKUP(AU$1,main!$A$3:$I$56,5,FALSE)-VLOOKUP($A59,main!$A$3:$I$56,6,FALSE)&gt;=VLOOKUP(56,main!$A$57:$I$59,4,FALSE)+VLOOKUP(VLOOKUP(AU$1,main!$A$3:$I$56,7,FALSE),main!$K$10:$Q$14,4,FALSE),1,0)</f>
        <v>0</v>
      </c>
      <c r="AV59">
        <f>IF(VLOOKUP(AV$1,main!$A$3:$I$56,5,FALSE)-VLOOKUP($A59,main!$A$3:$I$56,6,FALSE)&gt;=VLOOKUP(56,main!$A$57:$I$59,4,FALSE)+VLOOKUP(VLOOKUP(AV$1,main!$A$3:$I$56,7,FALSE),main!$K$10:$Q$14,4,FALSE),1,0)</f>
        <v>0</v>
      </c>
      <c r="AW59">
        <f>IF(VLOOKUP(AW$1,main!$A$3:$I$56,5,FALSE)-VLOOKUP($A59,main!$A$3:$I$56,6,FALSE)&gt;=VLOOKUP(56,main!$A$57:$I$59,4,FALSE)+VLOOKUP(VLOOKUP(AW$1,main!$A$3:$I$56,7,FALSE),main!$K$10:$Q$14,4,FALSE),1,0)</f>
        <v>0</v>
      </c>
      <c r="AX59">
        <f>IF(VLOOKUP(AX$1,main!$A$3:$I$56,5,FALSE)-VLOOKUP($A59,main!$A$3:$I$56,6,FALSE)&gt;=VLOOKUP(56,main!$A$57:$I$59,4,FALSE)+VLOOKUP(VLOOKUP(AX$1,main!$A$3:$I$56,7,FALSE),main!$K$10:$Q$14,4,FALSE),1,0)</f>
        <v>0</v>
      </c>
      <c r="AY59">
        <f>IF(VLOOKUP(AY$1,main!$A$3:$I$56,5,FALSE)-VLOOKUP($A59,main!$A$3:$I$56,6,FALSE)&gt;=VLOOKUP(56,main!$A$57:$I$59,4,FALSE)+VLOOKUP(VLOOKUP(AY$1,main!$A$3:$I$56,7,FALSE),main!$K$10:$Q$14,4,FALSE),1,0)</f>
        <v>1</v>
      </c>
      <c r="AZ59">
        <f>IF(VLOOKUP(AZ$1,main!$A$3:$I$56,5,FALSE)-VLOOKUP($A59,main!$A$3:$I$56,6,FALSE)&gt;=VLOOKUP(56,main!$A$57:$I$59,4,FALSE)+VLOOKUP(VLOOKUP(AZ$1,main!$A$3:$I$56,7,FALSE),main!$K$10:$Q$14,4,FALSE),1,0)</f>
        <v>0</v>
      </c>
      <c r="BA59">
        <f>IF(VLOOKUP(BA$1,main!$A$3:$I$56,5,FALSE)-VLOOKUP($A59,main!$A$3:$I$56,6,FALSE)&gt;=VLOOKUP(56,main!$A$57:$I$59,4,FALSE)+VLOOKUP(VLOOKUP(BA$1,main!$A$3:$I$56,7,FALSE),main!$K$10:$Q$14,4,FALSE),1,0)</f>
        <v>0</v>
      </c>
      <c r="BB59">
        <f>IF(VLOOKUP(BB$1,main!$A$3:$I$56,5,FALSE)-VLOOKUP($A59,main!$A$3:$I$56,6,FALSE)&gt;=VLOOKUP(56,main!$A$57:$I$59,4,FALSE)+VLOOKUP(VLOOKUP(BB$1,main!$A$3:$I$56,7,FALSE),main!$K$10:$Q$14,4,FALSE),1,0)</f>
        <v>0</v>
      </c>
      <c r="BC59">
        <f>IF(VLOOKUP(BC$1,main!$A$3:$I$56,5,FALSE)-VLOOKUP($A59,main!$A$3:$I$56,6,FALSE)&gt;=VLOOKUP(56,main!$A$57:$I$59,4,FALSE)+VLOOKUP(VLOOKUP(BC$1,main!$A$3:$I$56,7,FALSE),main!$K$10:$Q$14,4,FALSE),1,0)</f>
        <v>0</v>
      </c>
      <c r="BD59">
        <f>IF(VLOOKUP(BD$1,main!$A$3:$I$56,5,FALSE)-VLOOKUP($A59,main!$A$3:$I$56,6,FALSE)&gt;=VLOOKUP(56,main!$A$57:$I$59,4,FALSE)+VLOOKUP(VLOOKUP(BD$1,main!$A$3:$I$56,7,FALSE),main!$K$10:$Q$14,4,FALSE),1,0)</f>
        <v>0</v>
      </c>
    </row>
    <row r="60" spans="1:56" x14ac:dyDescent="0.25">
      <c r="A60">
        <f t="shared" si="1"/>
        <v>3</v>
      </c>
      <c r="B60">
        <v>0</v>
      </c>
      <c r="C60">
        <f>IF(VLOOKUP(C$1,main!$A$3:$I$56,5,FALSE)-VLOOKUP($A60,main!$A$3:$I$56,6,FALSE)&gt;=VLOOKUP(56,main!$A$57:$I$59,4,FALSE)+VLOOKUP(VLOOKUP(C$1,main!$A$3:$I$56,7,FALSE),main!$K$10:$Q$14,4,FALSE),1,0)</f>
        <v>0</v>
      </c>
      <c r="D60">
        <f>IF(VLOOKUP(D$1,main!$A$3:$I$56,5,FALSE)-VLOOKUP($A60,main!$A$3:$I$56,6,FALSE)&gt;=VLOOKUP(56,main!$A$57:$I$59,4,FALSE)+VLOOKUP(VLOOKUP(D$1,main!$A$3:$I$56,7,FALSE),main!$K$10:$Q$14,4,FALSE),1,0)</f>
        <v>0</v>
      </c>
      <c r="E60">
        <f>IF(VLOOKUP(E$1,main!$A$3:$I$56,5,FALSE)-VLOOKUP($A60,main!$A$3:$I$56,6,FALSE)&gt;=VLOOKUP(56,main!$A$57:$I$59,4,FALSE)+VLOOKUP(VLOOKUP(E$1,main!$A$3:$I$56,7,FALSE),main!$K$10:$Q$14,4,FALSE),1,0)</f>
        <v>0</v>
      </c>
      <c r="F60">
        <f>IF(VLOOKUP(F$1,main!$A$3:$I$56,5,FALSE)-VLOOKUP($A60,main!$A$3:$I$56,6,FALSE)&gt;=VLOOKUP(56,main!$A$57:$I$59,4,FALSE)+VLOOKUP(VLOOKUP(F$1,main!$A$3:$I$56,7,FALSE),main!$K$10:$Q$14,4,FALSE),1,0)</f>
        <v>0</v>
      </c>
      <c r="G60">
        <f>IF(VLOOKUP(G$1,main!$A$3:$I$56,5,FALSE)-VLOOKUP($A60,main!$A$3:$I$56,6,FALSE)&gt;=VLOOKUP(56,main!$A$57:$I$59,4,FALSE)+VLOOKUP(VLOOKUP(G$1,main!$A$3:$I$56,7,FALSE),main!$K$10:$Q$14,4,FALSE),1,0)</f>
        <v>0</v>
      </c>
      <c r="H60">
        <f>IF(VLOOKUP(H$1,main!$A$3:$I$56,5,FALSE)-VLOOKUP($A60,main!$A$3:$I$56,6,FALSE)&gt;=VLOOKUP(56,main!$A$57:$I$59,4,FALSE)+VLOOKUP(VLOOKUP(H$1,main!$A$3:$I$56,7,FALSE),main!$K$10:$Q$14,4,FALSE),1,0)</f>
        <v>1</v>
      </c>
      <c r="I60">
        <f>IF(VLOOKUP(I$1,main!$A$3:$I$56,5,FALSE)-VLOOKUP($A60,main!$A$3:$I$56,6,FALSE)&gt;=VLOOKUP(56,main!$A$57:$I$59,4,FALSE)+VLOOKUP(VLOOKUP(I$1,main!$A$3:$I$56,7,FALSE),main!$K$10:$Q$14,4,FALSE),1,0)</f>
        <v>1</v>
      </c>
      <c r="J60">
        <f>IF(VLOOKUP(J$1,main!$A$3:$I$56,5,FALSE)-VLOOKUP($A60,main!$A$3:$I$56,6,FALSE)&gt;=VLOOKUP(56,main!$A$57:$I$59,4,FALSE)+VLOOKUP(VLOOKUP(J$1,main!$A$3:$I$56,7,FALSE),main!$K$10:$Q$14,4,FALSE),1,0)</f>
        <v>1</v>
      </c>
      <c r="K60">
        <f>IF(VLOOKUP(K$1,main!$A$3:$I$56,5,FALSE)-VLOOKUP($A60,main!$A$3:$I$56,6,FALSE)&gt;=VLOOKUP(56,main!$A$57:$I$59,4,FALSE)+VLOOKUP(VLOOKUP(K$1,main!$A$3:$I$56,7,FALSE),main!$K$10:$Q$14,4,FALSE),1,0)</f>
        <v>0</v>
      </c>
      <c r="L60">
        <f>IF(VLOOKUP(L$1,main!$A$3:$I$56,5,FALSE)-VLOOKUP($A60,main!$A$3:$I$56,6,FALSE)&gt;=VLOOKUP(56,main!$A$57:$I$59,4,FALSE)+VLOOKUP(VLOOKUP(L$1,main!$A$3:$I$56,7,FALSE),main!$K$10:$Q$14,4,FALSE),1,0)</f>
        <v>0</v>
      </c>
      <c r="M60">
        <f>IF(VLOOKUP(M$1,main!$A$3:$I$56,5,FALSE)-VLOOKUP($A60,main!$A$3:$I$56,6,FALSE)&gt;=VLOOKUP(56,main!$A$57:$I$59,4,FALSE)+VLOOKUP(VLOOKUP(M$1,main!$A$3:$I$56,7,FALSE),main!$K$10:$Q$14,4,FALSE),1,0)</f>
        <v>0</v>
      </c>
      <c r="N60">
        <f>IF(VLOOKUP(N$1,main!$A$3:$I$56,5,FALSE)-VLOOKUP($A60,main!$A$3:$I$56,6,FALSE)&gt;=VLOOKUP(56,main!$A$57:$I$59,4,FALSE)+VLOOKUP(VLOOKUP(N$1,main!$A$3:$I$56,7,FALSE),main!$K$10:$Q$14,4,FALSE),1,0)</f>
        <v>1</v>
      </c>
      <c r="O60">
        <f>IF(VLOOKUP(O$1,main!$A$3:$I$56,5,FALSE)-VLOOKUP($A60,main!$A$3:$I$56,6,FALSE)&gt;=VLOOKUP(56,main!$A$57:$I$59,4,FALSE)+VLOOKUP(VLOOKUP(O$1,main!$A$3:$I$56,7,FALSE),main!$K$10:$Q$14,4,FALSE),1,0)</f>
        <v>1</v>
      </c>
      <c r="P60">
        <f>IF(VLOOKUP(P$1,main!$A$3:$I$56,5,FALSE)-VLOOKUP($A60,main!$A$3:$I$56,6,FALSE)&gt;=VLOOKUP(56,main!$A$57:$I$59,4,FALSE)+VLOOKUP(VLOOKUP(P$1,main!$A$3:$I$56,7,FALSE),main!$K$10:$Q$14,4,FALSE),1,0)</f>
        <v>0</v>
      </c>
      <c r="Q60">
        <f>IF(VLOOKUP(Q$1,main!$A$3:$I$56,5,FALSE)-VLOOKUP($A60,main!$A$3:$I$56,6,FALSE)&gt;=VLOOKUP(56,main!$A$57:$I$59,4,FALSE)+VLOOKUP(VLOOKUP(Q$1,main!$A$3:$I$56,7,FALSE),main!$K$10:$Q$14,4,FALSE),1,0)</f>
        <v>0</v>
      </c>
      <c r="R60">
        <f>IF(VLOOKUP(R$1,main!$A$3:$I$56,5,FALSE)-VLOOKUP($A60,main!$A$3:$I$56,6,FALSE)&gt;=VLOOKUP(56,main!$A$57:$I$59,4,FALSE)+VLOOKUP(VLOOKUP(R$1,main!$A$3:$I$56,7,FALSE),main!$K$10:$Q$14,4,FALSE),1,0)</f>
        <v>0</v>
      </c>
      <c r="S60">
        <f>IF(VLOOKUP(S$1,main!$A$3:$I$56,5,FALSE)-VLOOKUP($A60,main!$A$3:$I$56,6,FALSE)&gt;=VLOOKUP(56,main!$A$57:$I$59,4,FALSE)+VLOOKUP(VLOOKUP(S$1,main!$A$3:$I$56,7,FALSE),main!$K$10:$Q$14,4,FALSE),1,0)</f>
        <v>0</v>
      </c>
      <c r="T60">
        <f>IF(VLOOKUP(T$1,main!$A$3:$I$56,5,FALSE)-VLOOKUP($A60,main!$A$3:$I$56,6,FALSE)&gt;=VLOOKUP(56,main!$A$57:$I$59,4,FALSE)+VLOOKUP(VLOOKUP(T$1,main!$A$3:$I$56,7,FALSE),main!$K$10:$Q$14,4,FALSE),1,0)</f>
        <v>1</v>
      </c>
      <c r="U60">
        <f>IF(VLOOKUP(U$1,main!$A$3:$I$56,5,FALSE)-VLOOKUP($A60,main!$A$3:$I$56,6,FALSE)&gt;=VLOOKUP(56,main!$A$57:$I$59,4,FALSE)+VLOOKUP(VLOOKUP(U$1,main!$A$3:$I$56,7,FALSE),main!$K$10:$Q$14,4,FALSE),1,0)</f>
        <v>0</v>
      </c>
      <c r="V60">
        <f>IF(VLOOKUP(V$1,main!$A$3:$I$56,5,FALSE)-VLOOKUP($A60,main!$A$3:$I$56,6,FALSE)&gt;=VLOOKUP(56,main!$A$57:$I$59,4,FALSE)+VLOOKUP(VLOOKUP(V$1,main!$A$3:$I$56,7,FALSE),main!$K$10:$Q$14,4,FALSE),1,0)</f>
        <v>0</v>
      </c>
      <c r="W60">
        <f>IF(VLOOKUP(W$1,main!$A$3:$I$56,5,FALSE)-VLOOKUP($A60,main!$A$3:$I$56,6,FALSE)&gt;=VLOOKUP(56,main!$A$57:$I$59,4,FALSE)+VLOOKUP(VLOOKUP(W$1,main!$A$3:$I$56,7,FALSE),main!$K$10:$Q$14,4,FALSE),1,0)</f>
        <v>0</v>
      </c>
      <c r="X60">
        <f>IF(VLOOKUP(X$1,main!$A$3:$I$56,5,FALSE)-VLOOKUP($A60,main!$A$3:$I$56,6,FALSE)&gt;=VLOOKUP(56,main!$A$57:$I$59,4,FALSE)+VLOOKUP(VLOOKUP(X$1,main!$A$3:$I$56,7,FALSE),main!$K$10:$Q$14,4,FALSE),1,0)</f>
        <v>0</v>
      </c>
      <c r="Y60">
        <f>IF(VLOOKUP(Y$1,main!$A$3:$I$56,5,FALSE)-VLOOKUP($A60,main!$A$3:$I$56,6,FALSE)&gt;=VLOOKUP(56,main!$A$57:$I$59,4,FALSE)+VLOOKUP(VLOOKUP(Y$1,main!$A$3:$I$56,7,FALSE),main!$K$10:$Q$14,4,FALSE),1,0)</f>
        <v>0</v>
      </c>
      <c r="Z60">
        <f>IF(VLOOKUP(Z$1,main!$A$3:$I$56,5,FALSE)-VLOOKUP($A60,main!$A$3:$I$56,6,FALSE)&gt;=VLOOKUP(56,main!$A$57:$I$59,4,FALSE)+VLOOKUP(VLOOKUP(Z$1,main!$A$3:$I$56,7,FALSE),main!$K$10:$Q$14,4,FALSE),1,0)</f>
        <v>0</v>
      </c>
      <c r="AA60">
        <f>IF(VLOOKUP(AA$1,main!$A$3:$I$56,5,FALSE)-VLOOKUP($A60,main!$A$3:$I$56,6,FALSE)&gt;=VLOOKUP(56,main!$A$57:$I$59,4,FALSE)+VLOOKUP(VLOOKUP(AA$1,main!$A$3:$I$56,7,FALSE),main!$K$10:$Q$14,4,FALSE),1,0)</f>
        <v>0</v>
      </c>
      <c r="AB60">
        <f>IF(VLOOKUP(AB$1,main!$A$3:$I$56,5,FALSE)-VLOOKUP($A60,main!$A$3:$I$56,6,FALSE)&gt;=VLOOKUP(56,main!$A$57:$I$59,4,FALSE)+VLOOKUP(VLOOKUP(AB$1,main!$A$3:$I$56,7,FALSE),main!$K$10:$Q$14,4,FALSE),1,0)</f>
        <v>0</v>
      </c>
      <c r="AC60">
        <f>IF(VLOOKUP(AC$1,main!$A$3:$I$56,5,FALSE)-VLOOKUP($A60,main!$A$3:$I$56,6,FALSE)&gt;=VLOOKUP(56,main!$A$57:$I$59,4,FALSE)+VLOOKUP(VLOOKUP(AC$1,main!$A$3:$I$56,7,FALSE),main!$K$10:$Q$14,4,FALSE),1,0)</f>
        <v>0</v>
      </c>
      <c r="AD60">
        <f>IF(VLOOKUP(AD$1,main!$A$3:$I$56,5,FALSE)-VLOOKUP($A60,main!$A$3:$I$56,6,FALSE)&gt;=VLOOKUP(56,main!$A$57:$I$59,4,FALSE)+VLOOKUP(VLOOKUP(AD$1,main!$A$3:$I$56,7,FALSE),main!$K$10:$Q$14,4,FALSE),1,0)</f>
        <v>0</v>
      </c>
      <c r="AE60">
        <f>IF(VLOOKUP(AE$1,main!$A$3:$I$56,5,FALSE)-VLOOKUP($A60,main!$A$3:$I$56,6,FALSE)&gt;=VLOOKUP(56,main!$A$57:$I$59,4,FALSE)+VLOOKUP(VLOOKUP(AE$1,main!$A$3:$I$56,7,FALSE),main!$K$10:$Q$14,4,FALSE),1,0)</f>
        <v>0</v>
      </c>
      <c r="AF60">
        <f>IF(VLOOKUP(AF$1,main!$A$3:$I$56,5,FALSE)-VLOOKUP($A60,main!$A$3:$I$56,6,FALSE)&gt;=VLOOKUP(56,main!$A$57:$I$59,4,FALSE)+VLOOKUP(VLOOKUP(AF$1,main!$A$3:$I$56,7,FALSE),main!$K$10:$Q$14,4,FALSE),1,0)</f>
        <v>0</v>
      </c>
      <c r="AG60">
        <f>IF(VLOOKUP(AG$1,main!$A$3:$I$56,5,FALSE)-VLOOKUP($A60,main!$A$3:$I$56,6,FALSE)&gt;=VLOOKUP(56,main!$A$57:$I$59,4,FALSE)+VLOOKUP(VLOOKUP(AG$1,main!$A$3:$I$56,7,FALSE),main!$K$10:$Q$14,4,FALSE),1,0)</f>
        <v>0</v>
      </c>
      <c r="AH60">
        <f>IF(VLOOKUP(AH$1,main!$A$3:$I$56,5,FALSE)-VLOOKUP($A60,main!$A$3:$I$56,6,FALSE)&gt;=VLOOKUP(56,main!$A$57:$I$59,4,FALSE)+VLOOKUP(VLOOKUP(AH$1,main!$A$3:$I$56,7,FALSE),main!$K$10:$Q$14,4,FALSE),1,0)</f>
        <v>0</v>
      </c>
      <c r="AI60">
        <f>IF(VLOOKUP(AI$1,main!$A$3:$I$56,5,FALSE)-VLOOKUP($A60,main!$A$3:$I$56,6,FALSE)&gt;=VLOOKUP(56,main!$A$57:$I$59,4,FALSE)+VLOOKUP(VLOOKUP(AI$1,main!$A$3:$I$56,7,FALSE),main!$K$10:$Q$14,4,FALSE),1,0)</f>
        <v>0</v>
      </c>
      <c r="AJ60">
        <f>IF(VLOOKUP(AJ$1,main!$A$3:$I$56,5,FALSE)-VLOOKUP($A60,main!$A$3:$I$56,6,FALSE)&gt;=VLOOKUP(56,main!$A$57:$I$59,4,FALSE)+VLOOKUP(VLOOKUP(AJ$1,main!$A$3:$I$56,7,FALSE),main!$K$10:$Q$14,4,FALSE),1,0)</f>
        <v>0</v>
      </c>
      <c r="AK60">
        <f>IF(VLOOKUP(AK$1,main!$A$3:$I$56,5,FALSE)-VLOOKUP($A60,main!$A$3:$I$56,6,FALSE)&gt;=VLOOKUP(56,main!$A$57:$I$59,4,FALSE)+VLOOKUP(VLOOKUP(AK$1,main!$A$3:$I$56,7,FALSE),main!$K$10:$Q$14,4,FALSE),1,0)</f>
        <v>0</v>
      </c>
      <c r="AL60">
        <f>IF(VLOOKUP(AL$1,main!$A$3:$I$56,5,FALSE)-VLOOKUP($A60,main!$A$3:$I$56,6,FALSE)&gt;=VLOOKUP(56,main!$A$57:$I$59,4,FALSE)+VLOOKUP(VLOOKUP(AL$1,main!$A$3:$I$56,7,FALSE),main!$K$10:$Q$14,4,FALSE),1,0)</f>
        <v>0</v>
      </c>
      <c r="AM60">
        <f>IF(VLOOKUP(AM$1,main!$A$3:$I$56,5,FALSE)-VLOOKUP($A60,main!$A$3:$I$56,6,FALSE)&gt;=VLOOKUP(56,main!$A$57:$I$59,4,FALSE)+VLOOKUP(VLOOKUP(AM$1,main!$A$3:$I$56,7,FALSE),main!$K$10:$Q$14,4,FALSE),1,0)</f>
        <v>0</v>
      </c>
      <c r="AN60">
        <f>IF(VLOOKUP(AN$1,main!$A$3:$I$56,5,FALSE)-VLOOKUP($A60,main!$A$3:$I$56,6,FALSE)&gt;=VLOOKUP(56,main!$A$57:$I$59,4,FALSE)+VLOOKUP(VLOOKUP(AN$1,main!$A$3:$I$56,7,FALSE),main!$K$10:$Q$14,4,FALSE),1,0)</f>
        <v>0</v>
      </c>
      <c r="AO60">
        <f>IF(VLOOKUP(AO$1,main!$A$3:$I$56,5,FALSE)-VLOOKUP($A60,main!$A$3:$I$56,6,FALSE)&gt;=VLOOKUP(56,main!$A$57:$I$59,4,FALSE)+VLOOKUP(VLOOKUP(AO$1,main!$A$3:$I$56,7,FALSE),main!$K$10:$Q$14,4,FALSE),1,0)</f>
        <v>0</v>
      </c>
      <c r="AP60">
        <f>IF(VLOOKUP(AP$1,main!$A$3:$I$56,5,FALSE)-VLOOKUP($A60,main!$A$3:$I$56,6,FALSE)&gt;=VLOOKUP(56,main!$A$57:$I$59,4,FALSE)+VLOOKUP(VLOOKUP(AP$1,main!$A$3:$I$56,7,FALSE),main!$K$10:$Q$14,4,FALSE),1,0)</f>
        <v>0</v>
      </c>
      <c r="AQ60">
        <f>IF(VLOOKUP(AQ$1,main!$A$3:$I$56,5,FALSE)-VLOOKUP($A60,main!$A$3:$I$56,6,FALSE)&gt;=VLOOKUP(56,main!$A$57:$I$59,4,FALSE)+VLOOKUP(VLOOKUP(AQ$1,main!$A$3:$I$56,7,FALSE),main!$K$10:$Q$14,4,FALSE),1,0)</f>
        <v>0</v>
      </c>
      <c r="AR60">
        <f>IF(VLOOKUP(AR$1,main!$A$3:$I$56,5,FALSE)-VLOOKUP($A60,main!$A$3:$I$56,6,FALSE)&gt;=VLOOKUP(56,main!$A$57:$I$59,4,FALSE)+VLOOKUP(VLOOKUP(AR$1,main!$A$3:$I$56,7,FALSE),main!$K$10:$Q$14,4,FALSE),1,0)</f>
        <v>0</v>
      </c>
      <c r="AS60">
        <f>IF(VLOOKUP(AS$1,main!$A$3:$I$56,5,FALSE)-VLOOKUP($A60,main!$A$3:$I$56,6,FALSE)&gt;=VLOOKUP(56,main!$A$57:$I$59,4,FALSE)+VLOOKUP(VLOOKUP(AS$1,main!$A$3:$I$56,7,FALSE),main!$K$10:$Q$14,4,FALSE),1,0)</f>
        <v>0</v>
      </c>
      <c r="AT60">
        <f>IF(VLOOKUP(AT$1,main!$A$3:$I$56,5,FALSE)-VLOOKUP($A60,main!$A$3:$I$56,6,FALSE)&gt;=VLOOKUP(56,main!$A$57:$I$59,4,FALSE)+VLOOKUP(VLOOKUP(AT$1,main!$A$3:$I$56,7,FALSE),main!$K$10:$Q$14,4,FALSE),1,0)</f>
        <v>0</v>
      </c>
      <c r="AU60">
        <f>IF(VLOOKUP(AU$1,main!$A$3:$I$56,5,FALSE)-VLOOKUP($A60,main!$A$3:$I$56,6,FALSE)&gt;=VLOOKUP(56,main!$A$57:$I$59,4,FALSE)+VLOOKUP(VLOOKUP(AU$1,main!$A$3:$I$56,7,FALSE),main!$K$10:$Q$14,4,FALSE),1,0)</f>
        <v>0</v>
      </c>
      <c r="AV60">
        <f>IF(VLOOKUP(AV$1,main!$A$3:$I$56,5,FALSE)-VLOOKUP($A60,main!$A$3:$I$56,6,FALSE)&gt;=VLOOKUP(56,main!$A$57:$I$59,4,FALSE)+VLOOKUP(VLOOKUP(AV$1,main!$A$3:$I$56,7,FALSE),main!$K$10:$Q$14,4,FALSE),1,0)</f>
        <v>0</v>
      </c>
      <c r="AW60">
        <f>IF(VLOOKUP(AW$1,main!$A$3:$I$56,5,FALSE)-VLOOKUP($A60,main!$A$3:$I$56,6,FALSE)&gt;=VLOOKUP(56,main!$A$57:$I$59,4,FALSE)+VLOOKUP(VLOOKUP(AW$1,main!$A$3:$I$56,7,FALSE),main!$K$10:$Q$14,4,FALSE),1,0)</f>
        <v>0</v>
      </c>
      <c r="AX60">
        <f>IF(VLOOKUP(AX$1,main!$A$3:$I$56,5,FALSE)-VLOOKUP($A60,main!$A$3:$I$56,6,FALSE)&gt;=VLOOKUP(56,main!$A$57:$I$59,4,FALSE)+VLOOKUP(VLOOKUP(AX$1,main!$A$3:$I$56,7,FALSE),main!$K$10:$Q$14,4,FALSE),1,0)</f>
        <v>0</v>
      </c>
      <c r="AY60">
        <f>IF(VLOOKUP(AY$1,main!$A$3:$I$56,5,FALSE)-VLOOKUP($A60,main!$A$3:$I$56,6,FALSE)&gt;=VLOOKUP(56,main!$A$57:$I$59,4,FALSE)+VLOOKUP(VLOOKUP(AY$1,main!$A$3:$I$56,7,FALSE),main!$K$10:$Q$14,4,FALSE),1,0)</f>
        <v>0</v>
      </c>
      <c r="AZ60">
        <f>IF(VLOOKUP(AZ$1,main!$A$3:$I$56,5,FALSE)-VLOOKUP($A60,main!$A$3:$I$56,6,FALSE)&gt;=VLOOKUP(56,main!$A$57:$I$59,4,FALSE)+VLOOKUP(VLOOKUP(AZ$1,main!$A$3:$I$56,7,FALSE),main!$K$10:$Q$14,4,FALSE),1,0)</f>
        <v>0</v>
      </c>
      <c r="BA60">
        <f>IF(VLOOKUP(BA$1,main!$A$3:$I$56,5,FALSE)-VLOOKUP($A60,main!$A$3:$I$56,6,FALSE)&gt;=VLOOKUP(56,main!$A$57:$I$59,4,FALSE)+VLOOKUP(VLOOKUP(BA$1,main!$A$3:$I$56,7,FALSE),main!$K$10:$Q$14,4,FALSE),1,0)</f>
        <v>0</v>
      </c>
      <c r="BB60">
        <f>IF(VLOOKUP(BB$1,main!$A$3:$I$56,5,FALSE)-VLOOKUP($A60,main!$A$3:$I$56,6,FALSE)&gt;=VLOOKUP(56,main!$A$57:$I$59,4,FALSE)+VLOOKUP(VLOOKUP(BB$1,main!$A$3:$I$56,7,FALSE),main!$K$10:$Q$14,4,FALSE),1,0)</f>
        <v>0</v>
      </c>
      <c r="BC60">
        <f>IF(VLOOKUP(BC$1,main!$A$3:$I$56,5,FALSE)-VLOOKUP($A60,main!$A$3:$I$56,6,FALSE)&gt;=VLOOKUP(56,main!$A$57:$I$59,4,FALSE)+VLOOKUP(VLOOKUP(BC$1,main!$A$3:$I$56,7,FALSE),main!$K$10:$Q$14,4,FALSE),1,0)</f>
        <v>0</v>
      </c>
      <c r="BD60">
        <f>IF(VLOOKUP(BD$1,main!$A$3:$I$56,5,FALSE)-VLOOKUP($A60,main!$A$3:$I$56,6,FALSE)&gt;=VLOOKUP(56,main!$A$57:$I$59,4,FALSE)+VLOOKUP(VLOOKUP(BD$1,main!$A$3:$I$56,7,FALSE),main!$K$10:$Q$14,4,FALSE),1,0)</f>
        <v>0</v>
      </c>
    </row>
    <row r="61" spans="1:56" x14ac:dyDescent="0.25">
      <c r="A61">
        <f t="shared" si="1"/>
        <v>4</v>
      </c>
      <c r="B61">
        <v>0</v>
      </c>
      <c r="C61">
        <f>IF(VLOOKUP(C$1,main!$A$3:$I$56,5,FALSE)-VLOOKUP($A61,main!$A$3:$I$56,6,FALSE)&gt;=VLOOKUP(56,main!$A$57:$I$59,4,FALSE)+VLOOKUP(VLOOKUP(C$1,main!$A$3:$I$56,7,FALSE),main!$K$10:$Q$14,4,FALSE),1,0)</f>
        <v>0</v>
      </c>
      <c r="D61">
        <f>IF(VLOOKUP(D$1,main!$A$3:$I$56,5,FALSE)-VLOOKUP($A61,main!$A$3:$I$56,6,FALSE)&gt;=VLOOKUP(56,main!$A$57:$I$59,4,FALSE)+VLOOKUP(VLOOKUP(D$1,main!$A$3:$I$56,7,FALSE),main!$K$10:$Q$14,4,FALSE),1,0)</f>
        <v>0</v>
      </c>
      <c r="E61">
        <f>IF(VLOOKUP(E$1,main!$A$3:$I$56,5,FALSE)-VLOOKUP($A61,main!$A$3:$I$56,6,FALSE)&gt;=VLOOKUP(56,main!$A$57:$I$59,4,FALSE)+VLOOKUP(VLOOKUP(E$1,main!$A$3:$I$56,7,FALSE),main!$K$10:$Q$14,4,FALSE),1,0)</f>
        <v>0</v>
      </c>
      <c r="F61">
        <f>IF(VLOOKUP(F$1,main!$A$3:$I$56,5,FALSE)-VLOOKUP($A61,main!$A$3:$I$56,6,FALSE)&gt;=VLOOKUP(56,main!$A$57:$I$59,4,FALSE)+VLOOKUP(VLOOKUP(F$1,main!$A$3:$I$56,7,FALSE),main!$K$10:$Q$14,4,FALSE),1,0)</f>
        <v>0</v>
      </c>
      <c r="G61">
        <f>IF(VLOOKUP(G$1,main!$A$3:$I$56,5,FALSE)-VLOOKUP($A61,main!$A$3:$I$56,6,FALSE)&gt;=VLOOKUP(56,main!$A$57:$I$59,4,FALSE)+VLOOKUP(VLOOKUP(G$1,main!$A$3:$I$56,7,FALSE),main!$K$10:$Q$14,4,FALSE),1,0)</f>
        <v>0</v>
      </c>
      <c r="H61">
        <f>IF(VLOOKUP(H$1,main!$A$3:$I$56,5,FALSE)-VLOOKUP($A61,main!$A$3:$I$56,6,FALSE)&gt;=VLOOKUP(56,main!$A$57:$I$59,4,FALSE)+VLOOKUP(VLOOKUP(H$1,main!$A$3:$I$56,7,FALSE),main!$K$10:$Q$14,4,FALSE),1,0)</f>
        <v>0</v>
      </c>
      <c r="I61">
        <f>IF(VLOOKUP(I$1,main!$A$3:$I$56,5,FALSE)-VLOOKUP($A61,main!$A$3:$I$56,6,FALSE)&gt;=VLOOKUP(56,main!$A$57:$I$59,4,FALSE)+VLOOKUP(VLOOKUP(I$1,main!$A$3:$I$56,7,FALSE),main!$K$10:$Q$14,4,FALSE),1,0)</f>
        <v>0</v>
      </c>
      <c r="J61">
        <f>IF(VLOOKUP(J$1,main!$A$3:$I$56,5,FALSE)-VLOOKUP($A61,main!$A$3:$I$56,6,FALSE)&gt;=VLOOKUP(56,main!$A$57:$I$59,4,FALSE)+VLOOKUP(VLOOKUP(J$1,main!$A$3:$I$56,7,FALSE),main!$K$10:$Q$14,4,FALSE),1,0)</f>
        <v>1</v>
      </c>
      <c r="K61">
        <f>IF(VLOOKUP(K$1,main!$A$3:$I$56,5,FALSE)-VLOOKUP($A61,main!$A$3:$I$56,6,FALSE)&gt;=VLOOKUP(56,main!$A$57:$I$59,4,FALSE)+VLOOKUP(VLOOKUP(K$1,main!$A$3:$I$56,7,FALSE),main!$K$10:$Q$14,4,FALSE),1,0)</f>
        <v>0</v>
      </c>
      <c r="L61">
        <f>IF(VLOOKUP(L$1,main!$A$3:$I$56,5,FALSE)-VLOOKUP($A61,main!$A$3:$I$56,6,FALSE)&gt;=VLOOKUP(56,main!$A$57:$I$59,4,FALSE)+VLOOKUP(VLOOKUP(L$1,main!$A$3:$I$56,7,FALSE),main!$K$10:$Q$14,4,FALSE),1,0)</f>
        <v>0</v>
      </c>
      <c r="M61">
        <f>IF(VLOOKUP(M$1,main!$A$3:$I$56,5,FALSE)-VLOOKUP($A61,main!$A$3:$I$56,6,FALSE)&gt;=VLOOKUP(56,main!$A$57:$I$59,4,FALSE)+VLOOKUP(VLOOKUP(M$1,main!$A$3:$I$56,7,FALSE),main!$K$10:$Q$14,4,FALSE),1,0)</f>
        <v>0</v>
      </c>
      <c r="N61">
        <f>IF(VLOOKUP(N$1,main!$A$3:$I$56,5,FALSE)-VLOOKUP($A61,main!$A$3:$I$56,6,FALSE)&gt;=VLOOKUP(56,main!$A$57:$I$59,4,FALSE)+VLOOKUP(VLOOKUP(N$1,main!$A$3:$I$56,7,FALSE),main!$K$10:$Q$14,4,FALSE),1,0)</f>
        <v>1</v>
      </c>
      <c r="O61">
        <f>IF(VLOOKUP(O$1,main!$A$3:$I$56,5,FALSE)-VLOOKUP($A61,main!$A$3:$I$56,6,FALSE)&gt;=VLOOKUP(56,main!$A$57:$I$59,4,FALSE)+VLOOKUP(VLOOKUP(O$1,main!$A$3:$I$56,7,FALSE),main!$K$10:$Q$14,4,FALSE),1,0)</f>
        <v>1</v>
      </c>
      <c r="P61">
        <f>IF(VLOOKUP(P$1,main!$A$3:$I$56,5,FALSE)-VLOOKUP($A61,main!$A$3:$I$56,6,FALSE)&gt;=VLOOKUP(56,main!$A$57:$I$59,4,FALSE)+VLOOKUP(VLOOKUP(P$1,main!$A$3:$I$56,7,FALSE),main!$K$10:$Q$14,4,FALSE),1,0)</f>
        <v>0</v>
      </c>
      <c r="Q61">
        <f>IF(VLOOKUP(Q$1,main!$A$3:$I$56,5,FALSE)-VLOOKUP($A61,main!$A$3:$I$56,6,FALSE)&gt;=VLOOKUP(56,main!$A$57:$I$59,4,FALSE)+VLOOKUP(VLOOKUP(Q$1,main!$A$3:$I$56,7,FALSE),main!$K$10:$Q$14,4,FALSE),1,0)</f>
        <v>0</v>
      </c>
      <c r="R61">
        <f>IF(VLOOKUP(R$1,main!$A$3:$I$56,5,FALSE)-VLOOKUP($A61,main!$A$3:$I$56,6,FALSE)&gt;=VLOOKUP(56,main!$A$57:$I$59,4,FALSE)+VLOOKUP(VLOOKUP(R$1,main!$A$3:$I$56,7,FALSE),main!$K$10:$Q$14,4,FALSE),1,0)</f>
        <v>0</v>
      </c>
      <c r="S61">
        <f>IF(VLOOKUP(S$1,main!$A$3:$I$56,5,FALSE)-VLOOKUP($A61,main!$A$3:$I$56,6,FALSE)&gt;=VLOOKUP(56,main!$A$57:$I$59,4,FALSE)+VLOOKUP(VLOOKUP(S$1,main!$A$3:$I$56,7,FALSE),main!$K$10:$Q$14,4,FALSE),1,0)</f>
        <v>0</v>
      </c>
      <c r="T61">
        <f>IF(VLOOKUP(T$1,main!$A$3:$I$56,5,FALSE)-VLOOKUP($A61,main!$A$3:$I$56,6,FALSE)&gt;=VLOOKUP(56,main!$A$57:$I$59,4,FALSE)+VLOOKUP(VLOOKUP(T$1,main!$A$3:$I$56,7,FALSE),main!$K$10:$Q$14,4,FALSE),1,0)</f>
        <v>1</v>
      </c>
      <c r="U61">
        <f>IF(VLOOKUP(U$1,main!$A$3:$I$56,5,FALSE)-VLOOKUP($A61,main!$A$3:$I$56,6,FALSE)&gt;=VLOOKUP(56,main!$A$57:$I$59,4,FALSE)+VLOOKUP(VLOOKUP(U$1,main!$A$3:$I$56,7,FALSE),main!$K$10:$Q$14,4,FALSE),1,0)</f>
        <v>0</v>
      </c>
      <c r="V61">
        <f>IF(VLOOKUP(V$1,main!$A$3:$I$56,5,FALSE)-VLOOKUP($A61,main!$A$3:$I$56,6,FALSE)&gt;=VLOOKUP(56,main!$A$57:$I$59,4,FALSE)+VLOOKUP(VLOOKUP(V$1,main!$A$3:$I$56,7,FALSE),main!$K$10:$Q$14,4,FALSE),1,0)</f>
        <v>0</v>
      </c>
      <c r="W61">
        <f>IF(VLOOKUP(W$1,main!$A$3:$I$56,5,FALSE)-VLOOKUP($A61,main!$A$3:$I$56,6,FALSE)&gt;=VLOOKUP(56,main!$A$57:$I$59,4,FALSE)+VLOOKUP(VLOOKUP(W$1,main!$A$3:$I$56,7,FALSE),main!$K$10:$Q$14,4,FALSE),1,0)</f>
        <v>0</v>
      </c>
      <c r="X61">
        <f>IF(VLOOKUP(X$1,main!$A$3:$I$56,5,FALSE)-VLOOKUP($A61,main!$A$3:$I$56,6,FALSE)&gt;=VLOOKUP(56,main!$A$57:$I$59,4,FALSE)+VLOOKUP(VLOOKUP(X$1,main!$A$3:$I$56,7,FALSE),main!$K$10:$Q$14,4,FALSE),1,0)</f>
        <v>0</v>
      </c>
      <c r="Y61">
        <f>IF(VLOOKUP(Y$1,main!$A$3:$I$56,5,FALSE)-VLOOKUP($A61,main!$A$3:$I$56,6,FALSE)&gt;=VLOOKUP(56,main!$A$57:$I$59,4,FALSE)+VLOOKUP(VLOOKUP(Y$1,main!$A$3:$I$56,7,FALSE),main!$K$10:$Q$14,4,FALSE),1,0)</f>
        <v>0</v>
      </c>
      <c r="Z61">
        <f>IF(VLOOKUP(Z$1,main!$A$3:$I$56,5,FALSE)-VLOOKUP($A61,main!$A$3:$I$56,6,FALSE)&gt;=VLOOKUP(56,main!$A$57:$I$59,4,FALSE)+VLOOKUP(VLOOKUP(Z$1,main!$A$3:$I$56,7,FALSE),main!$K$10:$Q$14,4,FALSE),1,0)</f>
        <v>0</v>
      </c>
      <c r="AA61">
        <f>IF(VLOOKUP(AA$1,main!$A$3:$I$56,5,FALSE)-VLOOKUP($A61,main!$A$3:$I$56,6,FALSE)&gt;=VLOOKUP(56,main!$A$57:$I$59,4,FALSE)+VLOOKUP(VLOOKUP(AA$1,main!$A$3:$I$56,7,FALSE),main!$K$10:$Q$14,4,FALSE),1,0)</f>
        <v>0</v>
      </c>
      <c r="AB61">
        <f>IF(VLOOKUP(AB$1,main!$A$3:$I$56,5,FALSE)-VLOOKUP($A61,main!$A$3:$I$56,6,FALSE)&gt;=VLOOKUP(56,main!$A$57:$I$59,4,FALSE)+VLOOKUP(VLOOKUP(AB$1,main!$A$3:$I$56,7,FALSE),main!$K$10:$Q$14,4,FALSE),1,0)</f>
        <v>0</v>
      </c>
      <c r="AC61">
        <f>IF(VLOOKUP(AC$1,main!$A$3:$I$56,5,FALSE)-VLOOKUP($A61,main!$A$3:$I$56,6,FALSE)&gt;=VLOOKUP(56,main!$A$57:$I$59,4,FALSE)+VLOOKUP(VLOOKUP(AC$1,main!$A$3:$I$56,7,FALSE),main!$K$10:$Q$14,4,FALSE),1,0)</f>
        <v>0</v>
      </c>
      <c r="AD61">
        <f>IF(VLOOKUP(AD$1,main!$A$3:$I$56,5,FALSE)-VLOOKUP($A61,main!$A$3:$I$56,6,FALSE)&gt;=VLOOKUP(56,main!$A$57:$I$59,4,FALSE)+VLOOKUP(VLOOKUP(AD$1,main!$A$3:$I$56,7,FALSE),main!$K$10:$Q$14,4,FALSE),1,0)</f>
        <v>0</v>
      </c>
      <c r="AE61">
        <f>IF(VLOOKUP(AE$1,main!$A$3:$I$56,5,FALSE)-VLOOKUP($A61,main!$A$3:$I$56,6,FALSE)&gt;=VLOOKUP(56,main!$A$57:$I$59,4,FALSE)+VLOOKUP(VLOOKUP(AE$1,main!$A$3:$I$56,7,FALSE),main!$K$10:$Q$14,4,FALSE),1,0)</f>
        <v>0</v>
      </c>
      <c r="AF61">
        <f>IF(VLOOKUP(AF$1,main!$A$3:$I$56,5,FALSE)-VLOOKUP($A61,main!$A$3:$I$56,6,FALSE)&gt;=VLOOKUP(56,main!$A$57:$I$59,4,FALSE)+VLOOKUP(VLOOKUP(AF$1,main!$A$3:$I$56,7,FALSE),main!$K$10:$Q$14,4,FALSE),1,0)</f>
        <v>0</v>
      </c>
      <c r="AG61">
        <f>IF(VLOOKUP(AG$1,main!$A$3:$I$56,5,FALSE)-VLOOKUP($A61,main!$A$3:$I$56,6,FALSE)&gt;=VLOOKUP(56,main!$A$57:$I$59,4,FALSE)+VLOOKUP(VLOOKUP(AG$1,main!$A$3:$I$56,7,FALSE),main!$K$10:$Q$14,4,FALSE),1,0)</f>
        <v>0</v>
      </c>
      <c r="AH61">
        <f>IF(VLOOKUP(AH$1,main!$A$3:$I$56,5,FALSE)-VLOOKUP($A61,main!$A$3:$I$56,6,FALSE)&gt;=VLOOKUP(56,main!$A$57:$I$59,4,FALSE)+VLOOKUP(VLOOKUP(AH$1,main!$A$3:$I$56,7,FALSE),main!$K$10:$Q$14,4,FALSE),1,0)</f>
        <v>0</v>
      </c>
      <c r="AI61">
        <f>IF(VLOOKUP(AI$1,main!$A$3:$I$56,5,FALSE)-VLOOKUP($A61,main!$A$3:$I$56,6,FALSE)&gt;=VLOOKUP(56,main!$A$57:$I$59,4,FALSE)+VLOOKUP(VLOOKUP(AI$1,main!$A$3:$I$56,7,FALSE),main!$K$10:$Q$14,4,FALSE),1,0)</f>
        <v>0</v>
      </c>
      <c r="AJ61">
        <f>IF(VLOOKUP(AJ$1,main!$A$3:$I$56,5,FALSE)-VLOOKUP($A61,main!$A$3:$I$56,6,FALSE)&gt;=VLOOKUP(56,main!$A$57:$I$59,4,FALSE)+VLOOKUP(VLOOKUP(AJ$1,main!$A$3:$I$56,7,FALSE),main!$K$10:$Q$14,4,FALSE),1,0)</f>
        <v>0</v>
      </c>
      <c r="AK61">
        <f>IF(VLOOKUP(AK$1,main!$A$3:$I$56,5,FALSE)-VLOOKUP($A61,main!$A$3:$I$56,6,FALSE)&gt;=VLOOKUP(56,main!$A$57:$I$59,4,FALSE)+VLOOKUP(VLOOKUP(AK$1,main!$A$3:$I$56,7,FALSE),main!$K$10:$Q$14,4,FALSE),1,0)</f>
        <v>0</v>
      </c>
      <c r="AL61">
        <f>IF(VLOOKUP(AL$1,main!$A$3:$I$56,5,FALSE)-VLOOKUP($A61,main!$A$3:$I$56,6,FALSE)&gt;=VLOOKUP(56,main!$A$57:$I$59,4,FALSE)+VLOOKUP(VLOOKUP(AL$1,main!$A$3:$I$56,7,FALSE),main!$K$10:$Q$14,4,FALSE),1,0)</f>
        <v>0</v>
      </c>
      <c r="AM61">
        <f>IF(VLOOKUP(AM$1,main!$A$3:$I$56,5,FALSE)-VLOOKUP($A61,main!$A$3:$I$56,6,FALSE)&gt;=VLOOKUP(56,main!$A$57:$I$59,4,FALSE)+VLOOKUP(VLOOKUP(AM$1,main!$A$3:$I$56,7,FALSE),main!$K$10:$Q$14,4,FALSE),1,0)</f>
        <v>0</v>
      </c>
      <c r="AN61">
        <f>IF(VLOOKUP(AN$1,main!$A$3:$I$56,5,FALSE)-VLOOKUP($A61,main!$A$3:$I$56,6,FALSE)&gt;=VLOOKUP(56,main!$A$57:$I$59,4,FALSE)+VLOOKUP(VLOOKUP(AN$1,main!$A$3:$I$56,7,FALSE),main!$K$10:$Q$14,4,FALSE),1,0)</f>
        <v>0</v>
      </c>
      <c r="AO61">
        <f>IF(VLOOKUP(AO$1,main!$A$3:$I$56,5,FALSE)-VLOOKUP($A61,main!$A$3:$I$56,6,FALSE)&gt;=VLOOKUP(56,main!$A$57:$I$59,4,FALSE)+VLOOKUP(VLOOKUP(AO$1,main!$A$3:$I$56,7,FALSE),main!$K$10:$Q$14,4,FALSE),1,0)</f>
        <v>0</v>
      </c>
      <c r="AP61">
        <f>IF(VLOOKUP(AP$1,main!$A$3:$I$56,5,FALSE)-VLOOKUP($A61,main!$A$3:$I$56,6,FALSE)&gt;=VLOOKUP(56,main!$A$57:$I$59,4,FALSE)+VLOOKUP(VLOOKUP(AP$1,main!$A$3:$I$56,7,FALSE),main!$K$10:$Q$14,4,FALSE),1,0)</f>
        <v>0</v>
      </c>
      <c r="AQ61">
        <f>IF(VLOOKUP(AQ$1,main!$A$3:$I$56,5,FALSE)-VLOOKUP($A61,main!$A$3:$I$56,6,FALSE)&gt;=VLOOKUP(56,main!$A$57:$I$59,4,FALSE)+VLOOKUP(VLOOKUP(AQ$1,main!$A$3:$I$56,7,FALSE),main!$K$10:$Q$14,4,FALSE),1,0)</f>
        <v>0</v>
      </c>
      <c r="AR61">
        <f>IF(VLOOKUP(AR$1,main!$A$3:$I$56,5,FALSE)-VLOOKUP($A61,main!$A$3:$I$56,6,FALSE)&gt;=VLOOKUP(56,main!$A$57:$I$59,4,FALSE)+VLOOKUP(VLOOKUP(AR$1,main!$A$3:$I$56,7,FALSE),main!$K$10:$Q$14,4,FALSE),1,0)</f>
        <v>0</v>
      </c>
      <c r="AS61">
        <f>IF(VLOOKUP(AS$1,main!$A$3:$I$56,5,FALSE)-VLOOKUP($A61,main!$A$3:$I$56,6,FALSE)&gt;=VLOOKUP(56,main!$A$57:$I$59,4,FALSE)+VLOOKUP(VLOOKUP(AS$1,main!$A$3:$I$56,7,FALSE),main!$K$10:$Q$14,4,FALSE),1,0)</f>
        <v>0</v>
      </c>
      <c r="AT61">
        <f>IF(VLOOKUP(AT$1,main!$A$3:$I$56,5,FALSE)-VLOOKUP($A61,main!$A$3:$I$56,6,FALSE)&gt;=VLOOKUP(56,main!$A$57:$I$59,4,FALSE)+VLOOKUP(VLOOKUP(AT$1,main!$A$3:$I$56,7,FALSE),main!$K$10:$Q$14,4,FALSE),1,0)</f>
        <v>0</v>
      </c>
      <c r="AU61">
        <f>IF(VLOOKUP(AU$1,main!$A$3:$I$56,5,FALSE)-VLOOKUP($A61,main!$A$3:$I$56,6,FALSE)&gt;=VLOOKUP(56,main!$A$57:$I$59,4,FALSE)+VLOOKUP(VLOOKUP(AU$1,main!$A$3:$I$56,7,FALSE),main!$K$10:$Q$14,4,FALSE),1,0)</f>
        <v>0</v>
      </c>
      <c r="AV61">
        <f>IF(VLOOKUP(AV$1,main!$A$3:$I$56,5,FALSE)-VLOOKUP($A61,main!$A$3:$I$56,6,FALSE)&gt;=VLOOKUP(56,main!$A$57:$I$59,4,FALSE)+VLOOKUP(VLOOKUP(AV$1,main!$A$3:$I$56,7,FALSE),main!$K$10:$Q$14,4,FALSE),1,0)</f>
        <v>0</v>
      </c>
      <c r="AW61">
        <f>IF(VLOOKUP(AW$1,main!$A$3:$I$56,5,FALSE)-VLOOKUP($A61,main!$A$3:$I$56,6,FALSE)&gt;=VLOOKUP(56,main!$A$57:$I$59,4,FALSE)+VLOOKUP(VLOOKUP(AW$1,main!$A$3:$I$56,7,FALSE),main!$K$10:$Q$14,4,FALSE),1,0)</f>
        <v>0</v>
      </c>
      <c r="AX61">
        <f>IF(VLOOKUP(AX$1,main!$A$3:$I$56,5,FALSE)-VLOOKUP($A61,main!$A$3:$I$56,6,FALSE)&gt;=VLOOKUP(56,main!$A$57:$I$59,4,FALSE)+VLOOKUP(VLOOKUP(AX$1,main!$A$3:$I$56,7,FALSE),main!$K$10:$Q$14,4,FALSE),1,0)</f>
        <v>0</v>
      </c>
      <c r="AY61">
        <f>IF(VLOOKUP(AY$1,main!$A$3:$I$56,5,FALSE)-VLOOKUP($A61,main!$A$3:$I$56,6,FALSE)&gt;=VLOOKUP(56,main!$A$57:$I$59,4,FALSE)+VLOOKUP(VLOOKUP(AY$1,main!$A$3:$I$56,7,FALSE),main!$K$10:$Q$14,4,FALSE),1,0)</f>
        <v>0</v>
      </c>
      <c r="AZ61">
        <f>IF(VLOOKUP(AZ$1,main!$A$3:$I$56,5,FALSE)-VLOOKUP($A61,main!$A$3:$I$56,6,FALSE)&gt;=VLOOKUP(56,main!$A$57:$I$59,4,FALSE)+VLOOKUP(VLOOKUP(AZ$1,main!$A$3:$I$56,7,FALSE),main!$K$10:$Q$14,4,FALSE),1,0)</f>
        <v>0</v>
      </c>
      <c r="BA61">
        <f>IF(VLOOKUP(BA$1,main!$A$3:$I$56,5,FALSE)-VLOOKUP($A61,main!$A$3:$I$56,6,FALSE)&gt;=VLOOKUP(56,main!$A$57:$I$59,4,FALSE)+VLOOKUP(VLOOKUP(BA$1,main!$A$3:$I$56,7,FALSE),main!$K$10:$Q$14,4,FALSE),1,0)</f>
        <v>0</v>
      </c>
      <c r="BB61">
        <f>IF(VLOOKUP(BB$1,main!$A$3:$I$56,5,FALSE)-VLOOKUP($A61,main!$A$3:$I$56,6,FALSE)&gt;=VLOOKUP(56,main!$A$57:$I$59,4,FALSE)+VLOOKUP(VLOOKUP(BB$1,main!$A$3:$I$56,7,FALSE),main!$K$10:$Q$14,4,FALSE),1,0)</f>
        <v>0</v>
      </c>
      <c r="BC61">
        <f>IF(VLOOKUP(BC$1,main!$A$3:$I$56,5,FALSE)-VLOOKUP($A61,main!$A$3:$I$56,6,FALSE)&gt;=VLOOKUP(56,main!$A$57:$I$59,4,FALSE)+VLOOKUP(VLOOKUP(BC$1,main!$A$3:$I$56,7,FALSE),main!$K$10:$Q$14,4,FALSE),1,0)</f>
        <v>0</v>
      </c>
      <c r="BD61">
        <f>IF(VLOOKUP(BD$1,main!$A$3:$I$56,5,FALSE)-VLOOKUP($A61,main!$A$3:$I$56,6,FALSE)&gt;=VLOOKUP(56,main!$A$57:$I$59,4,FALSE)+VLOOKUP(VLOOKUP(BD$1,main!$A$3:$I$56,7,FALSE),main!$K$10:$Q$14,4,FALSE),1,0)</f>
        <v>0</v>
      </c>
    </row>
    <row r="62" spans="1:56" x14ac:dyDescent="0.25">
      <c r="A62">
        <f t="shared" si="1"/>
        <v>5</v>
      </c>
      <c r="B62">
        <v>0</v>
      </c>
      <c r="C62">
        <f>IF(VLOOKUP(C$1,main!$A$3:$I$56,5,FALSE)-VLOOKUP($A62,main!$A$3:$I$56,6,FALSE)&gt;=VLOOKUP(56,main!$A$57:$I$59,4,FALSE)+VLOOKUP(VLOOKUP(C$1,main!$A$3:$I$56,7,FALSE),main!$K$10:$Q$14,4,FALSE),1,0)</f>
        <v>0</v>
      </c>
      <c r="D62">
        <f>IF(VLOOKUP(D$1,main!$A$3:$I$56,5,FALSE)-VLOOKUP($A62,main!$A$3:$I$56,6,FALSE)&gt;=VLOOKUP(56,main!$A$57:$I$59,4,FALSE)+VLOOKUP(VLOOKUP(D$1,main!$A$3:$I$56,7,FALSE),main!$K$10:$Q$14,4,FALSE),1,0)</f>
        <v>0</v>
      </c>
      <c r="E62">
        <f>IF(VLOOKUP(E$1,main!$A$3:$I$56,5,FALSE)-VLOOKUP($A62,main!$A$3:$I$56,6,FALSE)&gt;=VLOOKUP(56,main!$A$57:$I$59,4,FALSE)+VLOOKUP(VLOOKUP(E$1,main!$A$3:$I$56,7,FALSE),main!$K$10:$Q$14,4,FALSE),1,0)</f>
        <v>0</v>
      </c>
      <c r="F62">
        <f>IF(VLOOKUP(F$1,main!$A$3:$I$56,5,FALSE)-VLOOKUP($A62,main!$A$3:$I$56,6,FALSE)&gt;=VLOOKUP(56,main!$A$57:$I$59,4,FALSE)+VLOOKUP(VLOOKUP(F$1,main!$A$3:$I$56,7,FALSE),main!$K$10:$Q$14,4,FALSE),1,0)</f>
        <v>0</v>
      </c>
      <c r="G62">
        <f>IF(VLOOKUP(G$1,main!$A$3:$I$56,5,FALSE)-VLOOKUP($A62,main!$A$3:$I$56,6,FALSE)&gt;=VLOOKUP(56,main!$A$57:$I$59,4,FALSE)+VLOOKUP(VLOOKUP(G$1,main!$A$3:$I$56,7,FALSE),main!$K$10:$Q$14,4,FALSE),1,0)</f>
        <v>0</v>
      </c>
      <c r="H62">
        <f>IF(VLOOKUP(H$1,main!$A$3:$I$56,5,FALSE)-VLOOKUP($A62,main!$A$3:$I$56,6,FALSE)&gt;=VLOOKUP(56,main!$A$57:$I$59,4,FALSE)+VLOOKUP(VLOOKUP(H$1,main!$A$3:$I$56,7,FALSE),main!$K$10:$Q$14,4,FALSE),1,0)</f>
        <v>0</v>
      </c>
      <c r="I62">
        <f>IF(VLOOKUP(I$1,main!$A$3:$I$56,5,FALSE)-VLOOKUP($A62,main!$A$3:$I$56,6,FALSE)&gt;=VLOOKUP(56,main!$A$57:$I$59,4,FALSE)+VLOOKUP(VLOOKUP(I$1,main!$A$3:$I$56,7,FALSE),main!$K$10:$Q$14,4,FALSE),1,0)</f>
        <v>0</v>
      </c>
      <c r="J62">
        <f>IF(VLOOKUP(J$1,main!$A$3:$I$56,5,FALSE)-VLOOKUP($A62,main!$A$3:$I$56,6,FALSE)&gt;=VLOOKUP(56,main!$A$57:$I$59,4,FALSE)+VLOOKUP(VLOOKUP(J$1,main!$A$3:$I$56,7,FALSE),main!$K$10:$Q$14,4,FALSE),1,0)</f>
        <v>1</v>
      </c>
      <c r="K62">
        <f>IF(VLOOKUP(K$1,main!$A$3:$I$56,5,FALSE)-VLOOKUP($A62,main!$A$3:$I$56,6,FALSE)&gt;=VLOOKUP(56,main!$A$57:$I$59,4,FALSE)+VLOOKUP(VLOOKUP(K$1,main!$A$3:$I$56,7,FALSE),main!$K$10:$Q$14,4,FALSE),1,0)</f>
        <v>0</v>
      </c>
      <c r="L62">
        <f>IF(VLOOKUP(L$1,main!$A$3:$I$56,5,FALSE)-VLOOKUP($A62,main!$A$3:$I$56,6,FALSE)&gt;=VLOOKUP(56,main!$A$57:$I$59,4,FALSE)+VLOOKUP(VLOOKUP(L$1,main!$A$3:$I$56,7,FALSE),main!$K$10:$Q$14,4,FALSE),1,0)</f>
        <v>0</v>
      </c>
      <c r="M62">
        <f>IF(VLOOKUP(M$1,main!$A$3:$I$56,5,FALSE)-VLOOKUP($A62,main!$A$3:$I$56,6,FALSE)&gt;=VLOOKUP(56,main!$A$57:$I$59,4,FALSE)+VLOOKUP(VLOOKUP(M$1,main!$A$3:$I$56,7,FALSE),main!$K$10:$Q$14,4,FALSE),1,0)</f>
        <v>0</v>
      </c>
      <c r="N62">
        <f>IF(VLOOKUP(N$1,main!$A$3:$I$56,5,FALSE)-VLOOKUP($A62,main!$A$3:$I$56,6,FALSE)&gt;=VLOOKUP(56,main!$A$57:$I$59,4,FALSE)+VLOOKUP(VLOOKUP(N$1,main!$A$3:$I$56,7,FALSE),main!$K$10:$Q$14,4,FALSE),1,0)</f>
        <v>0</v>
      </c>
      <c r="O62">
        <f>IF(VLOOKUP(O$1,main!$A$3:$I$56,5,FALSE)-VLOOKUP($A62,main!$A$3:$I$56,6,FALSE)&gt;=VLOOKUP(56,main!$A$57:$I$59,4,FALSE)+VLOOKUP(VLOOKUP(O$1,main!$A$3:$I$56,7,FALSE),main!$K$10:$Q$14,4,FALSE),1,0)</f>
        <v>1</v>
      </c>
      <c r="P62">
        <f>IF(VLOOKUP(P$1,main!$A$3:$I$56,5,FALSE)-VLOOKUP($A62,main!$A$3:$I$56,6,FALSE)&gt;=VLOOKUP(56,main!$A$57:$I$59,4,FALSE)+VLOOKUP(VLOOKUP(P$1,main!$A$3:$I$56,7,FALSE),main!$K$10:$Q$14,4,FALSE),1,0)</f>
        <v>0</v>
      </c>
      <c r="Q62">
        <f>IF(VLOOKUP(Q$1,main!$A$3:$I$56,5,FALSE)-VLOOKUP($A62,main!$A$3:$I$56,6,FALSE)&gt;=VLOOKUP(56,main!$A$57:$I$59,4,FALSE)+VLOOKUP(VLOOKUP(Q$1,main!$A$3:$I$56,7,FALSE),main!$K$10:$Q$14,4,FALSE),1,0)</f>
        <v>0</v>
      </c>
      <c r="R62">
        <f>IF(VLOOKUP(R$1,main!$A$3:$I$56,5,FALSE)-VLOOKUP($A62,main!$A$3:$I$56,6,FALSE)&gt;=VLOOKUP(56,main!$A$57:$I$59,4,FALSE)+VLOOKUP(VLOOKUP(R$1,main!$A$3:$I$56,7,FALSE),main!$K$10:$Q$14,4,FALSE),1,0)</f>
        <v>0</v>
      </c>
      <c r="S62">
        <f>IF(VLOOKUP(S$1,main!$A$3:$I$56,5,FALSE)-VLOOKUP($A62,main!$A$3:$I$56,6,FALSE)&gt;=VLOOKUP(56,main!$A$57:$I$59,4,FALSE)+VLOOKUP(VLOOKUP(S$1,main!$A$3:$I$56,7,FALSE),main!$K$10:$Q$14,4,FALSE),1,0)</f>
        <v>0</v>
      </c>
      <c r="T62">
        <f>IF(VLOOKUP(T$1,main!$A$3:$I$56,5,FALSE)-VLOOKUP($A62,main!$A$3:$I$56,6,FALSE)&gt;=VLOOKUP(56,main!$A$57:$I$59,4,FALSE)+VLOOKUP(VLOOKUP(T$1,main!$A$3:$I$56,7,FALSE),main!$K$10:$Q$14,4,FALSE),1,0)</f>
        <v>0</v>
      </c>
      <c r="U62">
        <f>IF(VLOOKUP(U$1,main!$A$3:$I$56,5,FALSE)-VLOOKUP($A62,main!$A$3:$I$56,6,FALSE)&gt;=VLOOKUP(56,main!$A$57:$I$59,4,FALSE)+VLOOKUP(VLOOKUP(U$1,main!$A$3:$I$56,7,FALSE),main!$K$10:$Q$14,4,FALSE),1,0)</f>
        <v>0</v>
      </c>
      <c r="V62">
        <f>IF(VLOOKUP(V$1,main!$A$3:$I$56,5,FALSE)-VLOOKUP($A62,main!$A$3:$I$56,6,FALSE)&gt;=VLOOKUP(56,main!$A$57:$I$59,4,FALSE)+VLOOKUP(VLOOKUP(V$1,main!$A$3:$I$56,7,FALSE),main!$K$10:$Q$14,4,FALSE),1,0)</f>
        <v>0</v>
      </c>
      <c r="W62">
        <f>IF(VLOOKUP(W$1,main!$A$3:$I$56,5,FALSE)-VLOOKUP($A62,main!$A$3:$I$56,6,FALSE)&gt;=VLOOKUP(56,main!$A$57:$I$59,4,FALSE)+VLOOKUP(VLOOKUP(W$1,main!$A$3:$I$56,7,FALSE),main!$K$10:$Q$14,4,FALSE),1,0)</f>
        <v>0</v>
      </c>
      <c r="X62">
        <f>IF(VLOOKUP(X$1,main!$A$3:$I$56,5,FALSE)-VLOOKUP($A62,main!$A$3:$I$56,6,FALSE)&gt;=VLOOKUP(56,main!$A$57:$I$59,4,FALSE)+VLOOKUP(VLOOKUP(X$1,main!$A$3:$I$56,7,FALSE),main!$K$10:$Q$14,4,FALSE),1,0)</f>
        <v>0</v>
      </c>
      <c r="Y62">
        <f>IF(VLOOKUP(Y$1,main!$A$3:$I$56,5,FALSE)-VLOOKUP($A62,main!$A$3:$I$56,6,FALSE)&gt;=VLOOKUP(56,main!$A$57:$I$59,4,FALSE)+VLOOKUP(VLOOKUP(Y$1,main!$A$3:$I$56,7,FALSE),main!$K$10:$Q$14,4,FALSE),1,0)</f>
        <v>0</v>
      </c>
      <c r="Z62">
        <f>IF(VLOOKUP(Z$1,main!$A$3:$I$56,5,FALSE)-VLOOKUP($A62,main!$A$3:$I$56,6,FALSE)&gt;=VLOOKUP(56,main!$A$57:$I$59,4,FALSE)+VLOOKUP(VLOOKUP(Z$1,main!$A$3:$I$56,7,FALSE),main!$K$10:$Q$14,4,FALSE),1,0)</f>
        <v>0</v>
      </c>
      <c r="AA62">
        <f>IF(VLOOKUP(AA$1,main!$A$3:$I$56,5,FALSE)-VLOOKUP($A62,main!$A$3:$I$56,6,FALSE)&gt;=VLOOKUP(56,main!$A$57:$I$59,4,FALSE)+VLOOKUP(VLOOKUP(AA$1,main!$A$3:$I$56,7,FALSE),main!$K$10:$Q$14,4,FALSE),1,0)</f>
        <v>0</v>
      </c>
      <c r="AB62">
        <f>IF(VLOOKUP(AB$1,main!$A$3:$I$56,5,FALSE)-VLOOKUP($A62,main!$A$3:$I$56,6,FALSE)&gt;=VLOOKUP(56,main!$A$57:$I$59,4,FALSE)+VLOOKUP(VLOOKUP(AB$1,main!$A$3:$I$56,7,FALSE),main!$K$10:$Q$14,4,FALSE),1,0)</f>
        <v>0</v>
      </c>
      <c r="AC62">
        <f>IF(VLOOKUP(AC$1,main!$A$3:$I$56,5,FALSE)-VLOOKUP($A62,main!$A$3:$I$56,6,FALSE)&gt;=VLOOKUP(56,main!$A$57:$I$59,4,FALSE)+VLOOKUP(VLOOKUP(AC$1,main!$A$3:$I$56,7,FALSE),main!$K$10:$Q$14,4,FALSE),1,0)</f>
        <v>0</v>
      </c>
      <c r="AD62">
        <f>IF(VLOOKUP(AD$1,main!$A$3:$I$56,5,FALSE)-VLOOKUP($A62,main!$A$3:$I$56,6,FALSE)&gt;=VLOOKUP(56,main!$A$57:$I$59,4,FALSE)+VLOOKUP(VLOOKUP(AD$1,main!$A$3:$I$56,7,FALSE),main!$K$10:$Q$14,4,FALSE),1,0)</f>
        <v>0</v>
      </c>
      <c r="AE62">
        <f>IF(VLOOKUP(AE$1,main!$A$3:$I$56,5,FALSE)-VLOOKUP($A62,main!$A$3:$I$56,6,FALSE)&gt;=VLOOKUP(56,main!$A$57:$I$59,4,FALSE)+VLOOKUP(VLOOKUP(AE$1,main!$A$3:$I$56,7,FALSE),main!$K$10:$Q$14,4,FALSE),1,0)</f>
        <v>0</v>
      </c>
      <c r="AF62">
        <f>IF(VLOOKUP(AF$1,main!$A$3:$I$56,5,FALSE)-VLOOKUP($A62,main!$A$3:$I$56,6,FALSE)&gt;=VLOOKUP(56,main!$A$57:$I$59,4,FALSE)+VLOOKUP(VLOOKUP(AF$1,main!$A$3:$I$56,7,FALSE),main!$K$10:$Q$14,4,FALSE),1,0)</f>
        <v>0</v>
      </c>
      <c r="AG62">
        <f>IF(VLOOKUP(AG$1,main!$A$3:$I$56,5,FALSE)-VLOOKUP($A62,main!$A$3:$I$56,6,FALSE)&gt;=VLOOKUP(56,main!$A$57:$I$59,4,FALSE)+VLOOKUP(VLOOKUP(AG$1,main!$A$3:$I$56,7,FALSE),main!$K$10:$Q$14,4,FALSE),1,0)</f>
        <v>0</v>
      </c>
      <c r="AH62">
        <f>IF(VLOOKUP(AH$1,main!$A$3:$I$56,5,FALSE)-VLOOKUP($A62,main!$A$3:$I$56,6,FALSE)&gt;=VLOOKUP(56,main!$A$57:$I$59,4,FALSE)+VLOOKUP(VLOOKUP(AH$1,main!$A$3:$I$56,7,FALSE),main!$K$10:$Q$14,4,FALSE),1,0)</f>
        <v>0</v>
      </c>
      <c r="AI62">
        <f>IF(VLOOKUP(AI$1,main!$A$3:$I$56,5,FALSE)-VLOOKUP($A62,main!$A$3:$I$56,6,FALSE)&gt;=VLOOKUP(56,main!$A$57:$I$59,4,FALSE)+VLOOKUP(VLOOKUP(AI$1,main!$A$3:$I$56,7,FALSE),main!$K$10:$Q$14,4,FALSE),1,0)</f>
        <v>0</v>
      </c>
      <c r="AJ62">
        <f>IF(VLOOKUP(AJ$1,main!$A$3:$I$56,5,FALSE)-VLOOKUP($A62,main!$A$3:$I$56,6,FALSE)&gt;=VLOOKUP(56,main!$A$57:$I$59,4,FALSE)+VLOOKUP(VLOOKUP(AJ$1,main!$A$3:$I$56,7,FALSE),main!$K$10:$Q$14,4,FALSE),1,0)</f>
        <v>0</v>
      </c>
      <c r="AK62">
        <f>IF(VLOOKUP(AK$1,main!$A$3:$I$56,5,FALSE)-VLOOKUP($A62,main!$A$3:$I$56,6,FALSE)&gt;=VLOOKUP(56,main!$A$57:$I$59,4,FALSE)+VLOOKUP(VLOOKUP(AK$1,main!$A$3:$I$56,7,FALSE),main!$K$10:$Q$14,4,FALSE),1,0)</f>
        <v>0</v>
      </c>
      <c r="AL62">
        <f>IF(VLOOKUP(AL$1,main!$A$3:$I$56,5,FALSE)-VLOOKUP($A62,main!$A$3:$I$56,6,FALSE)&gt;=VLOOKUP(56,main!$A$57:$I$59,4,FALSE)+VLOOKUP(VLOOKUP(AL$1,main!$A$3:$I$56,7,FALSE),main!$K$10:$Q$14,4,FALSE),1,0)</f>
        <v>0</v>
      </c>
      <c r="AM62">
        <f>IF(VLOOKUP(AM$1,main!$A$3:$I$56,5,FALSE)-VLOOKUP($A62,main!$A$3:$I$56,6,FALSE)&gt;=VLOOKUP(56,main!$A$57:$I$59,4,FALSE)+VLOOKUP(VLOOKUP(AM$1,main!$A$3:$I$56,7,FALSE),main!$K$10:$Q$14,4,FALSE),1,0)</f>
        <v>0</v>
      </c>
      <c r="AN62">
        <f>IF(VLOOKUP(AN$1,main!$A$3:$I$56,5,FALSE)-VLOOKUP($A62,main!$A$3:$I$56,6,FALSE)&gt;=VLOOKUP(56,main!$A$57:$I$59,4,FALSE)+VLOOKUP(VLOOKUP(AN$1,main!$A$3:$I$56,7,FALSE),main!$K$10:$Q$14,4,FALSE),1,0)</f>
        <v>0</v>
      </c>
      <c r="AO62">
        <f>IF(VLOOKUP(AO$1,main!$A$3:$I$56,5,FALSE)-VLOOKUP($A62,main!$A$3:$I$56,6,FALSE)&gt;=VLOOKUP(56,main!$A$57:$I$59,4,FALSE)+VLOOKUP(VLOOKUP(AO$1,main!$A$3:$I$56,7,FALSE),main!$K$10:$Q$14,4,FALSE),1,0)</f>
        <v>0</v>
      </c>
      <c r="AP62">
        <f>IF(VLOOKUP(AP$1,main!$A$3:$I$56,5,FALSE)-VLOOKUP($A62,main!$A$3:$I$56,6,FALSE)&gt;=VLOOKUP(56,main!$A$57:$I$59,4,FALSE)+VLOOKUP(VLOOKUP(AP$1,main!$A$3:$I$56,7,FALSE),main!$K$10:$Q$14,4,FALSE),1,0)</f>
        <v>0</v>
      </c>
      <c r="AQ62">
        <f>IF(VLOOKUP(AQ$1,main!$A$3:$I$56,5,FALSE)-VLOOKUP($A62,main!$A$3:$I$56,6,FALSE)&gt;=VLOOKUP(56,main!$A$57:$I$59,4,FALSE)+VLOOKUP(VLOOKUP(AQ$1,main!$A$3:$I$56,7,FALSE),main!$K$10:$Q$14,4,FALSE),1,0)</f>
        <v>0</v>
      </c>
      <c r="AR62">
        <f>IF(VLOOKUP(AR$1,main!$A$3:$I$56,5,FALSE)-VLOOKUP($A62,main!$A$3:$I$56,6,FALSE)&gt;=VLOOKUP(56,main!$A$57:$I$59,4,FALSE)+VLOOKUP(VLOOKUP(AR$1,main!$A$3:$I$56,7,FALSE),main!$K$10:$Q$14,4,FALSE),1,0)</f>
        <v>0</v>
      </c>
      <c r="AS62">
        <f>IF(VLOOKUP(AS$1,main!$A$3:$I$56,5,FALSE)-VLOOKUP($A62,main!$A$3:$I$56,6,FALSE)&gt;=VLOOKUP(56,main!$A$57:$I$59,4,FALSE)+VLOOKUP(VLOOKUP(AS$1,main!$A$3:$I$56,7,FALSE),main!$K$10:$Q$14,4,FALSE),1,0)</f>
        <v>0</v>
      </c>
      <c r="AT62">
        <f>IF(VLOOKUP(AT$1,main!$A$3:$I$56,5,FALSE)-VLOOKUP($A62,main!$A$3:$I$56,6,FALSE)&gt;=VLOOKUP(56,main!$A$57:$I$59,4,FALSE)+VLOOKUP(VLOOKUP(AT$1,main!$A$3:$I$56,7,FALSE),main!$K$10:$Q$14,4,FALSE),1,0)</f>
        <v>0</v>
      </c>
      <c r="AU62">
        <f>IF(VLOOKUP(AU$1,main!$A$3:$I$56,5,FALSE)-VLOOKUP($A62,main!$A$3:$I$56,6,FALSE)&gt;=VLOOKUP(56,main!$A$57:$I$59,4,FALSE)+VLOOKUP(VLOOKUP(AU$1,main!$A$3:$I$56,7,FALSE),main!$K$10:$Q$14,4,FALSE),1,0)</f>
        <v>0</v>
      </c>
      <c r="AV62">
        <f>IF(VLOOKUP(AV$1,main!$A$3:$I$56,5,FALSE)-VLOOKUP($A62,main!$A$3:$I$56,6,FALSE)&gt;=VLOOKUP(56,main!$A$57:$I$59,4,FALSE)+VLOOKUP(VLOOKUP(AV$1,main!$A$3:$I$56,7,FALSE),main!$K$10:$Q$14,4,FALSE),1,0)</f>
        <v>0</v>
      </c>
      <c r="AW62">
        <f>IF(VLOOKUP(AW$1,main!$A$3:$I$56,5,FALSE)-VLOOKUP($A62,main!$A$3:$I$56,6,FALSE)&gt;=VLOOKUP(56,main!$A$57:$I$59,4,FALSE)+VLOOKUP(VLOOKUP(AW$1,main!$A$3:$I$56,7,FALSE),main!$K$10:$Q$14,4,FALSE),1,0)</f>
        <v>0</v>
      </c>
      <c r="AX62">
        <f>IF(VLOOKUP(AX$1,main!$A$3:$I$56,5,FALSE)-VLOOKUP($A62,main!$A$3:$I$56,6,FALSE)&gt;=VLOOKUP(56,main!$A$57:$I$59,4,FALSE)+VLOOKUP(VLOOKUP(AX$1,main!$A$3:$I$56,7,FALSE),main!$K$10:$Q$14,4,FALSE),1,0)</f>
        <v>0</v>
      </c>
      <c r="AY62">
        <f>IF(VLOOKUP(AY$1,main!$A$3:$I$56,5,FALSE)-VLOOKUP($A62,main!$A$3:$I$56,6,FALSE)&gt;=VLOOKUP(56,main!$A$57:$I$59,4,FALSE)+VLOOKUP(VLOOKUP(AY$1,main!$A$3:$I$56,7,FALSE),main!$K$10:$Q$14,4,FALSE),1,0)</f>
        <v>0</v>
      </c>
      <c r="AZ62">
        <f>IF(VLOOKUP(AZ$1,main!$A$3:$I$56,5,FALSE)-VLOOKUP($A62,main!$A$3:$I$56,6,FALSE)&gt;=VLOOKUP(56,main!$A$57:$I$59,4,FALSE)+VLOOKUP(VLOOKUP(AZ$1,main!$A$3:$I$56,7,FALSE),main!$K$10:$Q$14,4,FALSE),1,0)</f>
        <v>0</v>
      </c>
      <c r="BA62">
        <f>IF(VLOOKUP(BA$1,main!$A$3:$I$56,5,FALSE)-VLOOKUP($A62,main!$A$3:$I$56,6,FALSE)&gt;=VLOOKUP(56,main!$A$57:$I$59,4,FALSE)+VLOOKUP(VLOOKUP(BA$1,main!$A$3:$I$56,7,FALSE),main!$K$10:$Q$14,4,FALSE),1,0)</f>
        <v>0</v>
      </c>
      <c r="BB62">
        <f>IF(VLOOKUP(BB$1,main!$A$3:$I$56,5,FALSE)-VLOOKUP($A62,main!$A$3:$I$56,6,FALSE)&gt;=VLOOKUP(56,main!$A$57:$I$59,4,FALSE)+VLOOKUP(VLOOKUP(BB$1,main!$A$3:$I$56,7,FALSE),main!$K$10:$Q$14,4,FALSE),1,0)</f>
        <v>0</v>
      </c>
      <c r="BC62">
        <f>IF(VLOOKUP(BC$1,main!$A$3:$I$56,5,FALSE)-VLOOKUP($A62,main!$A$3:$I$56,6,FALSE)&gt;=VLOOKUP(56,main!$A$57:$I$59,4,FALSE)+VLOOKUP(VLOOKUP(BC$1,main!$A$3:$I$56,7,FALSE),main!$K$10:$Q$14,4,FALSE),1,0)</f>
        <v>0</v>
      </c>
      <c r="BD62">
        <f>IF(VLOOKUP(BD$1,main!$A$3:$I$56,5,FALSE)-VLOOKUP($A62,main!$A$3:$I$56,6,FALSE)&gt;=VLOOKUP(56,main!$A$57:$I$59,4,FALSE)+VLOOKUP(VLOOKUP(BD$1,main!$A$3:$I$56,7,FALSE),main!$K$10:$Q$14,4,FALSE),1,0)</f>
        <v>0</v>
      </c>
    </row>
    <row r="63" spans="1:56" x14ac:dyDescent="0.25">
      <c r="A63">
        <f t="shared" si="1"/>
        <v>6</v>
      </c>
      <c r="B63">
        <v>0</v>
      </c>
      <c r="C63">
        <f>IF(VLOOKUP(C$1,main!$A$3:$I$56,5,FALSE)-VLOOKUP($A63,main!$A$3:$I$56,6,FALSE)&gt;=VLOOKUP(56,main!$A$57:$I$59,4,FALSE)+VLOOKUP(VLOOKUP(C$1,main!$A$3:$I$56,7,FALSE),main!$K$10:$Q$14,4,FALSE),1,0)</f>
        <v>0</v>
      </c>
      <c r="D63">
        <f>IF(VLOOKUP(D$1,main!$A$3:$I$56,5,FALSE)-VLOOKUP($A63,main!$A$3:$I$56,6,FALSE)&gt;=VLOOKUP(56,main!$A$57:$I$59,4,FALSE)+VLOOKUP(VLOOKUP(D$1,main!$A$3:$I$56,7,FALSE),main!$K$10:$Q$14,4,FALSE),1,0)</f>
        <v>0</v>
      </c>
      <c r="E63">
        <f>IF(VLOOKUP(E$1,main!$A$3:$I$56,5,FALSE)-VLOOKUP($A63,main!$A$3:$I$56,6,FALSE)&gt;=VLOOKUP(56,main!$A$57:$I$59,4,FALSE)+VLOOKUP(VLOOKUP(E$1,main!$A$3:$I$56,7,FALSE),main!$K$10:$Q$14,4,FALSE),1,0)</f>
        <v>0</v>
      </c>
      <c r="F63">
        <f>IF(VLOOKUP(F$1,main!$A$3:$I$56,5,FALSE)-VLOOKUP($A63,main!$A$3:$I$56,6,FALSE)&gt;=VLOOKUP(56,main!$A$57:$I$59,4,FALSE)+VLOOKUP(VLOOKUP(F$1,main!$A$3:$I$56,7,FALSE),main!$K$10:$Q$14,4,FALSE),1,0)</f>
        <v>0</v>
      </c>
      <c r="G63">
        <f>IF(VLOOKUP(G$1,main!$A$3:$I$56,5,FALSE)-VLOOKUP($A63,main!$A$3:$I$56,6,FALSE)&gt;=VLOOKUP(56,main!$A$57:$I$59,4,FALSE)+VLOOKUP(VLOOKUP(G$1,main!$A$3:$I$56,7,FALSE),main!$K$10:$Q$14,4,FALSE),1,0)</f>
        <v>0</v>
      </c>
      <c r="H63">
        <f>IF(VLOOKUP(H$1,main!$A$3:$I$56,5,FALSE)-VLOOKUP($A63,main!$A$3:$I$56,6,FALSE)&gt;=VLOOKUP(56,main!$A$57:$I$59,4,FALSE)+VLOOKUP(VLOOKUP(H$1,main!$A$3:$I$56,7,FALSE),main!$K$10:$Q$14,4,FALSE),1,0)</f>
        <v>0</v>
      </c>
      <c r="I63">
        <f>IF(VLOOKUP(I$1,main!$A$3:$I$56,5,FALSE)-VLOOKUP($A63,main!$A$3:$I$56,6,FALSE)&gt;=VLOOKUP(56,main!$A$57:$I$59,4,FALSE)+VLOOKUP(VLOOKUP(I$1,main!$A$3:$I$56,7,FALSE),main!$K$10:$Q$14,4,FALSE),1,0)</f>
        <v>0</v>
      </c>
      <c r="J63">
        <f>IF(VLOOKUP(J$1,main!$A$3:$I$56,5,FALSE)-VLOOKUP($A63,main!$A$3:$I$56,6,FALSE)&gt;=VLOOKUP(56,main!$A$57:$I$59,4,FALSE)+VLOOKUP(VLOOKUP(J$1,main!$A$3:$I$56,7,FALSE),main!$K$10:$Q$14,4,FALSE),1,0)</f>
        <v>0</v>
      </c>
      <c r="K63">
        <f>IF(VLOOKUP(K$1,main!$A$3:$I$56,5,FALSE)-VLOOKUP($A63,main!$A$3:$I$56,6,FALSE)&gt;=VLOOKUP(56,main!$A$57:$I$59,4,FALSE)+VLOOKUP(VLOOKUP(K$1,main!$A$3:$I$56,7,FALSE),main!$K$10:$Q$14,4,FALSE),1,0)</f>
        <v>0</v>
      </c>
      <c r="L63">
        <f>IF(VLOOKUP(L$1,main!$A$3:$I$56,5,FALSE)-VLOOKUP($A63,main!$A$3:$I$56,6,FALSE)&gt;=VLOOKUP(56,main!$A$57:$I$59,4,FALSE)+VLOOKUP(VLOOKUP(L$1,main!$A$3:$I$56,7,FALSE),main!$K$10:$Q$14,4,FALSE),1,0)</f>
        <v>0</v>
      </c>
      <c r="M63">
        <f>IF(VLOOKUP(M$1,main!$A$3:$I$56,5,FALSE)-VLOOKUP($A63,main!$A$3:$I$56,6,FALSE)&gt;=VLOOKUP(56,main!$A$57:$I$59,4,FALSE)+VLOOKUP(VLOOKUP(M$1,main!$A$3:$I$56,7,FALSE),main!$K$10:$Q$14,4,FALSE),1,0)</f>
        <v>0</v>
      </c>
      <c r="N63">
        <f>IF(VLOOKUP(N$1,main!$A$3:$I$56,5,FALSE)-VLOOKUP($A63,main!$A$3:$I$56,6,FALSE)&gt;=VLOOKUP(56,main!$A$57:$I$59,4,FALSE)+VLOOKUP(VLOOKUP(N$1,main!$A$3:$I$56,7,FALSE),main!$K$10:$Q$14,4,FALSE),1,0)</f>
        <v>0</v>
      </c>
      <c r="O63">
        <f>IF(VLOOKUP(O$1,main!$A$3:$I$56,5,FALSE)-VLOOKUP($A63,main!$A$3:$I$56,6,FALSE)&gt;=VLOOKUP(56,main!$A$57:$I$59,4,FALSE)+VLOOKUP(VLOOKUP(O$1,main!$A$3:$I$56,7,FALSE),main!$K$10:$Q$14,4,FALSE),1,0)</f>
        <v>0</v>
      </c>
      <c r="P63">
        <f>IF(VLOOKUP(P$1,main!$A$3:$I$56,5,FALSE)-VLOOKUP($A63,main!$A$3:$I$56,6,FALSE)&gt;=VLOOKUP(56,main!$A$57:$I$59,4,FALSE)+VLOOKUP(VLOOKUP(P$1,main!$A$3:$I$56,7,FALSE),main!$K$10:$Q$14,4,FALSE),1,0)</f>
        <v>0</v>
      </c>
      <c r="Q63">
        <f>IF(VLOOKUP(Q$1,main!$A$3:$I$56,5,FALSE)-VLOOKUP($A63,main!$A$3:$I$56,6,FALSE)&gt;=VLOOKUP(56,main!$A$57:$I$59,4,FALSE)+VLOOKUP(VLOOKUP(Q$1,main!$A$3:$I$56,7,FALSE),main!$K$10:$Q$14,4,FALSE),1,0)</f>
        <v>0</v>
      </c>
      <c r="R63">
        <f>IF(VLOOKUP(R$1,main!$A$3:$I$56,5,FALSE)-VLOOKUP($A63,main!$A$3:$I$56,6,FALSE)&gt;=VLOOKUP(56,main!$A$57:$I$59,4,FALSE)+VLOOKUP(VLOOKUP(R$1,main!$A$3:$I$56,7,FALSE),main!$K$10:$Q$14,4,FALSE),1,0)</f>
        <v>0</v>
      </c>
      <c r="S63">
        <f>IF(VLOOKUP(S$1,main!$A$3:$I$56,5,FALSE)-VLOOKUP($A63,main!$A$3:$I$56,6,FALSE)&gt;=VLOOKUP(56,main!$A$57:$I$59,4,FALSE)+VLOOKUP(VLOOKUP(S$1,main!$A$3:$I$56,7,FALSE),main!$K$10:$Q$14,4,FALSE),1,0)</f>
        <v>0</v>
      </c>
      <c r="T63">
        <f>IF(VLOOKUP(T$1,main!$A$3:$I$56,5,FALSE)-VLOOKUP($A63,main!$A$3:$I$56,6,FALSE)&gt;=VLOOKUP(56,main!$A$57:$I$59,4,FALSE)+VLOOKUP(VLOOKUP(T$1,main!$A$3:$I$56,7,FALSE),main!$K$10:$Q$14,4,FALSE),1,0)</f>
        <v>0</v>
      </c>
      <c r="U63">
        <f>IF(VLOOKUP(U$1,main!$A$3:$I$56,5,FALSE)-VLOOKUP($A63,main!$A$3:$I$56,6,FALSE)&gt;=VLOOKUP(56,main!$A$57:$I$59,4,FALSE)+VLOOKUP(VLOOKUP(U$1,main!$A$3:$I$56,7,FALSE),main!$K$10:$Q$14,4,FALSE),1,0)</f>
        <v>0</v>
      </c>
      <c r="V63">
        <f>IF(VLOOKUP(V$1,main!$A$3:$I$56,5,FALSE)-VLOOKUP($A63,main!$A$3:$I$56,6,FALSE)&gt;=VLOOKUP(56,main!$A$57:$I$59,4,FALSE)+VLOOKUP(VLOOKUP(V$1,main!$A$3:$I$56,7,FALSE),main!$K$10:$Q$14,4,FALSE),1,0)</f>
        <v>0</v>
      </c>
      <c r="W63">
        <f>IF(VLOOKUP(W$1,main!$A$3:$I$56,5,FALSE)-VLOOKUP($A63,main!$A$3:$I$56,6,FALSE)&gt;=VLOOKUP(56,main!$A$57:$I$59,4,FALSE)+VLOOKUP(VLOOKUP(W$1,main!$A$3:$I$56,7,FALSE),main!$K$10:$Q$14,4,FALSE),1,0)</f>
        <v>0</v>
      </c>
      <c r="X63">
        <f>IF(VLOOKUP(X$1,main!$A$3:$I$56,5,FALSE)-VLOOKUP($A63,main!$A$3:$I$56,6,FALSE)&gt;=VLOOKUP(56,main!$A$57:$I$59,4,FALSE)+VLOOKUP(VLOOKUP(X$1,main!$A$3:$I$56,7,FALSE),main!$K$10:$Q$14,4,FALSE),1,0)</f>
        <v>0</v>
      </c>
      <c r="Y63">
        <f>IF(VLOOKUP(Y$1,main!$A$3:$I$56,5,FALSE)-VLOOKUP($A63,main!$A$3:$I$56,6,FALSE)&gt;=VLOOKUP(56,main!$A$57:$I$59,4,FALSE)+VLOOKUP(VLOOKUP(Y$1,main!$A$3:$I$56,7,FALSE),main!$K$10:$Q$14,4,FALSE),1,0)</f>
        <v>0</v>
      </c>
      <c r="Z63">
        <f>IF(VLOOKUP(Z$1,main!$A$3:$I$56,5,FALSE)-VLOOKUP($A63,main!$A$3:$I$56,6,FALSE)&gt;=VLOOKUP(56,main!$A$57:$I$59,4,FALSE)+VLOOKUP(VLOOKUP(Z$1,main!$A$3:$I$56,7,FALSE),main!$K$10:$Q$14,4,FALSE),1,0)</f>
        <v>0</v>
      </c>
      <c r="AA63">
        <f>IF(VLOOKUP(AA$1,main!$A$3:$I$56,5,FALSE)-VLOOKUP($A63,main!$A$3:$I$56,6,FALSE)&gt;=VLOOKUP(56,main!$A$57:$I$59,4,FALSE)+VLOOKUP(VLOOKUP(AA$1,main!$A$3:$I$56,7,FALSE),main!$K$10:$Q$14,4,FALSE),1,0)</f>
        <v>0</v>
      </c>
      <c r="AB63">
        <f>IF(VLOOKUP(AB$1,main!$A$3:$I$56,5,FALSE)-VLOOKUP($A63,main!$A$3:$I$56,6,FALSE)&gt;=VLOOKUP(56,main!$A$57:$I$59,4,FALSE)+VLOOKUP(VLOOKUP(AB$1,main!$A$3:$I$56,7,FALSE),main!$K$10:$Q$14,4,FALSE),1,0)</f>
        <v>0</v>
      </c>
      <c r="AC63">
        <f>IF(VLOOKUP(AC$1,main!$A$3:$I$56,5,FALSE)-VLOOKUP($A63,main!$A$3:$I$56,6,FALSE)&gt;=VLOOKUP(56,main!$A$57:$I$59,4,FALSE)+VLOOKUP(VLOOKUP(AC$1,main!$A$3:$I$56,7,FALSE),main!$K$10:$Q$14,4,FALSE),1,0)</f>
        <v>0</v>
      </c>
      <c r="AD63">
        <f>IF(VLOOKUP(AD$1,main!$A$3:$I$56,5,FALSE)-VLOOKUP($A63,main!$A$3:$I$56,6,FALSE)&gt;=VLOOKUP(56,main!$A$57:$I$59,4,FALSE)+VLOOKUP(VLOOKUP(AD$1,main!$A$3:$I$56,7,FALSE),main!$K$10:$Q$14,4,FALSE),1,0)</f>
        <v>0</v>
      </c>
      <c r="AE63">
        <f>IF(VLOOKUP(AE$1,main!$A$3:$I$56,5,FALSE)-VLOOKUP($A63,main!$A$3:$I$56,6,FALSE)&gt;=VLOOKUP(56,main!$A$57:$I$59,4,FALSE)+VLOOKUP(VLOOKUP(AE$1,main!$A$3:$I$56,7,FALSE),main!$K$10:$Q$14,4,FALSE),1,0)</f>
        <v>0</v>
      </c>
      <c r="AF63">
        <f>IF(VLOOKUP(AF$1,main!$A$3:$I$56,5,FALSE)-VLOOKUP($A63,main!$A$3:$I$56,6,FALSE)&gt;=VLOOKUP(56,main!$A$57:$I$59,4,FALSE)+VLOOKUP(VLOOKUP(AF$1,main!$A$3:$I$56,7,FALSE),main!$K$10:$Q$14,4,FALSE),1,0)</f>
        <v>0</v>
      </c>
      <c r="AG63">
        <f>IF(VLOOKUP(AG$1,main!$A$3:$I$56,5,FALSE)-VLOOKUP($A63,main!$A$3:$I$56,6,FALSE)&gt;=VLOOKUP(56,main!$A$57:$I$59,4,FALSE)+VLOOKUP(VLOOKUP(AG$1,main!$A$3:$I$56,7,FALSE),main!$K$10:$Q$14,4,FALSE),1,0)</f>
        <v>0</v>
      </c>
      <c r="AH63">
        <f>IF(VLOOKUP(AH$1,main!$A$3:$I$56,5,FALSE)-VLOOKUP($A63,main!$A$3:$I$56,6,FALSE)&gt;=VLOOKUP(56,main!$A$57:$I$59,4,FALSE)+VLOOKUP(VLOOKUP(AH$1,main!$A$3:$I$56,7,FALSE),main!$K$10:$Q$14,4,FALSE),1,0)</f>
        <v>0</v>
      </c>
      <c r="AI63">
        <f>IF(VLOOKUP(AI$1,main!$A$3:$I$56,5,FALSE)-VLOOKUP($A63,main!$A$3:$I$56,6,FALSE)&gt;=VLOOKUP(56,main!$A$57:$I$59,4,FALSE)+VLOOKUP(VLOOKUP(AI$1,main!$A$3:$I$56,7,FALSE),main!$K$10:$Q$14,4,FALSE),1,0)</f>
        <v>0</v>
      </c>
      <c r="AJ63">
        <f>IF(VLOOKUP(AJ$1,main!$A$3:$I$56,5,FALSE)-VLOOKUP($A63,main!$A$3:$I$56,6,FALSE)&gt;=VLOOKUP(56,main!$A$57:$I$59,4,FALSE)+VLOOKUP(VLOOKUP(AJ$1,main!$A$3:$I$56,7,FALSE),main!$K$10:$Q$14,4,FALSE),1,0)</f>
        <v>0</v>
      </c>
      <c r="AK63">
        <f>IF(VLOOKUP(AK$1,main!$A$3:$I$56,5,FALSE)-VLOOKUP($A63,main!$A$3:$I$56,6,FALSE)&gt;=VLOOKUP(56,main!$A$57:$I$59,4,FALSE)+VLOOKUP(VLOOKUP(AK$1,main!$A$3:$I$56,7,FALSE),main!$K$10:$Q$14,4,FALSE),1,0)</f>
        <v>0</v>
      </c>
      <c r="AL63">
        <f>IF(VLOOKUP(AL$1,main!$A$3:$I$56,5,FALSE)-VLOOKUP($A63,main!$A$3:$I$56,6,FALSE)&gt;=VLOOKUP(56,main!$A$57:$I$59,4,FALSE)+VLOOKUP(VLOOKUP(AL$1,main!$A$3:$I$56,7,FALSE),main!$K$10:$Q$14,4,FALSE),1,0)</f>
        <v>0</v>
      </c>
      <c r="AM63">
        <f>IF(VLOOKUP(AM$1,main!$A$3:$I$56,5,FALSE)-VLOOKUP($A63,main!$A$3:$I$56,6,FALSE)&gt;=VLOOKUP(56,main!$A$57:$I$59,4,FALSE)+VLOOKUP(VLOOKUP(AM$1,main!$A$3:$I$56,7,FALSE),main!$K$10:$Q$14,4,FALSE),1,0)</f>
        <v>0</v>
      </c>
      <c r="AN63">
        <f>IF(VLOOKUP(AN$1,main!$A$3:$I$56,5,FALSE)-VLOOKUP($A63,main!$A$3:$I$56,6,FALSE)&gt;=VLOOKUP(56,main!$A$57:$I$59,4,FALSE)+VLOOKUP(VLOOKUP(AN$1,main!$A$3:$I$56,7,FALSE),main!$K$10:$Q$14,4,FALSE),1,0)</f>
        <v>0</v>
      </c>
      <c r="AO63">
        <f>IF(VLOOKUP(AO$1,main!$A$3:$I$56,5,FALSE)-VLOOKUP($A63,main!$A$3:$I$56,6,FALSE)&gt;=VLOOKUP(56,main!$A$57:$I$59,4,FALSE)+VLOOKUP(VLOOKUP(AO$1,main!$A$3:$I$56,7,FALSE),main!$K$10:$Q$14,4,FALSE),1,0)</f>
        <v>0</v>
      </c>
      <c r="AP63">
        <f>IF(VLOOKUP(AP$1,main!$A$3:$I$56,5,FALSE)-VLOOKUP($A63,main!$A$3:$I$56,6,FALSE)&gt;=VLOOKUP(56,main!$A$57:$I$59,4,FALSE)+VLOOKUP(VLOOKUP(AP$1,main!$A$3:$I$56,7,FALSE),main!$K$10:$Q$14,4,FALSE),1,0)</f>
        <v>0</v>
      </c>
      <c r="AQ63">
        <f>IF(VLOOKUP(AQ$1,main!$A$3:$I$56,5,FALSE)-VLOOKUP($A63,main!$A$3:$I$56,6,FALSE)&gt;=VLOOKUP(56,main!$A$57:$I$59,4,FALSE)+VLOOKUP(VLOOKUP(AQ$1,main!$A$3:$I$56,7,FALSE),main!$K$10:$Q$14,4,FALSE),1,0)</f>
        <v>0</v>
      </c>
      <c r="AR63">
        <f>IF(VLOOKUP(AR$1,main!$A$3:$I$56,5,FALSE)-VLOOKUP($A63,main!$A$3:$I$56,6,FALSE)&gt;=VLOOKUP(56,main!$A$57:$I$59,4,FALSE)+VLOOKUP(VLOOKUP(AR$1,main!$A$3:$I$56,7,FALSE),main!$K$10:$Q$14,4,FALSE),1,0)</f>
        <v>0</v>
      </c>
      <c r="AS63">
        <f>IF(VLOOKUP(AS$1,main!$A$3:$I$56,5,FALSE)-VLOOKUP($A63,main!$A$3:$I$56,6,FALSE)&gt;=VLOOKUP(56,main!$A$57:$I$59,4,FALSE)+VLOOKUP(VLOOKUP(AS$1,main!$A$3:$I$56,7,FALSE),main!$K$10:$Q$14,4,FALSE),1,0)</f>
        <v>0</v>
      </c>
      <c r="AT63">
        <f>IF(VLOOKUP(AT$1,main!$A$3:$I$56,5,FALSE)-VLOOKUP($A63,main!$A$3:$I$56,6,FALSE)&gt;=VLOOKUP(56,main!$A$57:$I$59,4,FALSE)+VLOOKUP(VLOOKUP(AT$1,main!$A$3:$I$56,7,FALSE),main!$K$10:$Q$14,4,FALSE),1,0)</f>
        <v>0</v>
      </c>
      <c r="AU63">
        <f>IF(VLOOKUP(AU$1,main!$A$3:$I$56,5,FALSE)-VLOOKUP($A63,main!$A$3:$I$56,6,FALSE)&gt;=VLOOKUP(56,main!$A$57:$I$59,4,FALSE)+VLOOKUP(VLOOKUP(AU$1,main!$A$3:$I$56,7,FALSE),main!$K$10:$Q$14,4,FALSE),1,0)</f>
        <v>0</v>
      </c>
      <c r="AV63">
        <f>IF(VLOOKUP(AV$1,main!$A$3:$I$56,5,FALSE)-VLOOKUP($A63,main!$A$3:$I$56,6,FALSE)&gt;=VLOOKUP(56,main!$A$57:$I$59,4,FALSE)+VLOOKUP(VLOOKUP(AV$1,main!$A$3:$I$56,7,FALSE),main!$K$10:$Q$14,4,FALSE),1,0)</f>
        <v>0</v>
      </c>
      <c r="AW63">
        <f>IF(VLOOKUP(AW$1,main!$A$3:$I$56,5,FALSE)-VLOOKUP($A63,main!$A$3:$I$56,6,FALSE)&gt;=VLOOKUP(56,main!$A$57:$I$59,4,FALSE)+VLOOKUP(VLOOKUP(AW$1,main!$A$3:$I$56,7,FALSE),main!$K$10:$Q$14,4,FALSE),1,0)</f>
        <v>0</v>
      </c>
      <c r="AX63">
        <f>IF(VLOOKUP(AX$1,main!$A$3:$I$56,5,FALSE)-VLOOKUP($A63,main!$A$3:$I$56,6,FALSE)&gt;=VLOOKUP(56,main!$A$57:$I$59,4,FALSE)+VLOOKUP(VLOOKUP(AX$1,main!$A$3:$I$56,7,FALSE),main!$K$10:$Q$14,4,FALSE),1,0)</f>
        <v>0</v>
      </c>
      <c r="AY63">
        <f>IF(VLOOKUP(AY$1,main!$A$3:$I$56,5,FALSE)-VLOOKUP($A63,main!$A$3:$I$56,6,FALSE)&gt;=VLOOKUP(56,main!$A$57:$I$59,4,FALSE)+VLOOKUP(VLOOKUP(AY$1,main!$A$3:$I$56,7,FALSE),main!$K$10:$Q$14,4,FALSE),1,0)</f>
        <v>0</v>
      </c>
      <c r="AZ63">
        <f>IF(VLOOKUP(AZ$1,main!$A$3:$I$56,5,FALSE)-VLOOKUP($A63,main!$A$3:$I$56,6,FALSE)&gt;=VLOOKUP(56,main!$A$57:$I$59,4,FALSE)+VLOOKUP(VLOOKUP(AZ$1,main!$A$3:$I$56,7,FALSE),main!$K$10:$Q$14,4,FALSE),1,0)</f>
        <v>0</v>
      </c>
      <c r="BA63">
        <f>IF(VLOOKUP(BA$1,main!$A$3:$I$56,5,FALSE)-VLOOKUP($A63,main!$A$3:$I$56,6,FALSE)&gt;=VLOOKUP(56,main!$A$57:$I$59,4,FALSE)+VLOOKUP(VLOOKUP(BA$1,main!$A$3:$I$56,7,FALSE),main!$K$10:$Q$14,4,FALSE),1,0)</f>
        <v>0</v>
      </c>
      <c r="BB63">
        <f>IF(VLOOKUP(BB$1,main!$A$3:$I$56,5,FALSE)-VLOOKUP($A63,main!$A$3:$I$56,6,FALSE)&gt;=VLOOKUP(56,main!$A$57:$I$59,4,FALSE)+VLOOKUP(VLOOKUP(BB$1,main!$A$3:$I$56,7,FALSE),main!$K$10:$Q$14,4,FALSE),1,0)</f>
        <v>0</v>
      </c>
      <c r="BC63">
        <f>IF(VLOOKUP(BC$1,main!$A$3:$I$56,5,FALSE)-VLOOKUP($A63,main!$A$3:$I$56,6,FALSE)&gt;=VLOOKUP(56,main!$A$57:$I$59,4,FALSE)+VLOOKUP(VLOOKUP(BC$1,main!$A$3:$I$56,7,FALSE),main!$K$10:$Q$14,4,FALSE),1,0)</f>
        <v>0</v>
      </c>
      <c r="BD63">
        <f>IF(VLOOKUP(BD$1,main!$A$3:$I$56,5,FALSE)-VLOOKUP($A63,main!$A$3:$I$56,6,FALSE)&gt;=VLOOKUP(56,main!$A$57:$I$59,4,FALSE)+VLOOKUP(VLOOKUP(BD$1,main!$A$3:$I$56,7,FALSE),main!$K$10:$Q$14,4,FALSE),1,0)</f>
        <v>0</v>
      </c>
    </row>
    <row r="64" spans="1:56" x14ac:dyDescent="0.25">
      <c r="A64">
        <f t="shared" si="1"/>
        <v>7</v>
      </c>
      <c r="B64">
        <v>0</v>
      </c>
      <c r="C64">
        <f>IF(VLOOKUP(C$1,main!$A$3:$I$56,5,FALSE)-VLOOKUP($A64,main!$A$3:$I$56,6,FALSE)&gt;=VLOOKUP(56,main!$A$57:$I$59,4,FALSE)+VLOOKUP(VLOOKUP(C$1,main!$A$3:$I$56,7,FALSE),main!$K$10:$Q$14,4,FALSE),1,0)</f>
        <v>0</v>
      </c>
      <c r="D64">
        <f>IF(VLOOKUP(D$1,main!$A$3:$I$56,5,FALSE)-VLOOKUP($A64,main!$A$3:$I$56,6,FALSE)&gt;=VLOOKUP(56,main!$A$57:$I$59,4,FALSE)+VLOOKUP(VLOOKUP(D$1,main!$A$3:$I$56,7,FALSE),main!$K$10:$Q$14,4,FALSE),1,0)</f>
        <v>0</v>
      </c>
      <c r="E64">
        <f>IF(VLOOKUP(E$1,main!$A$3:$I$56,5,FALSE)-VLOOKUP($A64,main!$A$3:$I$56,6,FALSE)&gt;=VLOOKUP(56,main!$A$57:$I$59,4,FALSE)+VLOOKUP(VLOOKUP(E$1,main!$A$3:$I$56,7,FALSE),main!$K$10:$Q$14,4,FALSE),1,0)</f>
        <v>0</v>
      </c>
      <c r="F64">
        <f>IF(VLOOKUP(F$1,main!$A$3:$I$56,5,FALSE)-VLOOKUP($A64,main!$A$3:$I$56,6,FALSE)&gt;=VLOOKUP(56,main!$A$57:$I$59,4,FALSE)+VLOOKUP(VLOOKUP(F$1,main!$A$3:$I$56,7,FALSE),main!$K$10:$Q$14,4,FALSE),1,0)</f>
        <v>0</v>
      </c>
      <c r="G64">
        <f>IF(VLOOKUP(G$1,main!$A$3:$I$56,5,FALSE)-VLOOKUP($A64,main!$A$3:$I$56,6,FALSE)&gt;=VLOOKUP(56,main!$A$57:$I$59,4,FALSE)+VLOOKUP(VLOOKUP(G$1,main!$A$3:$I$56,7,FALSE),main!$K$10:$Q$14,4,FALSE),1,0)</f>
        <v>0</v>
      </c>
      <c r="H64">
        <f>IF(VLOOKUP(H$1,main!$A$3:$I$56,5,FALSE)-VLOOKUP($A64,main!$A$3:$I$56,6,FALSE)&gt;=VLOOKUP(56,main!$A$57:$I$59,4,FALSE)+VLOOKUP(VLOOKUP(H$1,main!$A$3:$I$56,7,FALSE),main!$K$10:$Q$14,4,FALSE),1,0)</f>
        <v>0</v>
      </c>
      <c r="I64">
        <f>IF(VLOOKUP(I$1,main!$A$3:$I$56,5,FALSE)-VLOOKUP($A64,main!$A$3:$I$56,6,FALSE)&gt;=VLOOKUP(56,main!$A$57:$I$59,4,FALSE)+VLOOKUP(VLOOKUP(I$1,main!$A$3:$I$56,7,FALSE),main!$K$10:$Q$14,4,FALSE),1,0)</f>
        <v>0</v>
      </c>
      <c r="J64">
        <f>IF(VLOOKUP(J$1,main!$A$3:$I$56,5,FALSE)-VLOOKUP($A64,main!$A$3:$I$56,6,FALSE)&gt;=VLOOKUP(56,main!$A$57:$I$59,4,FALSE)+VLOOKUP(VLOOKUP(J$1,main!$A$3:$I$56,7,FALSE),main!$K$10:$Q$14,4,FALSE),1,0)</f>
        <v>0</v>
      </c>
      <c r="K64">
        <f>IF(VLOOKUP(K$1,main!$A$3:$I$56,5,FALSE)-VLOOKUP($A64,main!$A$3:$I$56,6,FALSE)&gt;=VLOOKUP(56,main!$A$57:$I$59,4,FALSE)+VLOOKUP(VLOOKUP(K$1,main!$A$3:$I$56,7,FALSE),main!$K$10:$Q$14,4,FALSE),1,0)</f>
        <v>0</v>
      </c>
      <c r="L64">
        <f>IF(VLOOKUP(L$1,main!$A$3:$I$56,5,FALSE)-VLOOKUP($A64,main!$A$3:$I$56,6,FALSE)&gt;=VLOOKUP(56,main!$A$57:$I$59,4,FALSE)+VLOOKUP(VLOOKUP(L$1,main!$A$3:$I$56,7,FALSE),main!$K$10:$Q$14,4,FALSE),1,0)</f>
        <v>0</v>
      </c>
      <c r="M64">
        <f>IF(VLOOKUP(M$1,main!$A$3:$I$56,5,FALSE)-VLOOKUP($A64,main!$A$3:$I$56,6,FALSE)&gt;=VLOOKUP(56,main!$A$57:$I$59,4,FALSE)+VLOOKUP(VLOOKUP(M$1,main!$A$3:$I$56,7,FALSE),main!$K$10:$Q$14,4,FALSE),1,0)</f>
        <v>0</v>
      </c>
      <c r="N64">
        <f>IF(VLOOKUP(N$1,main!$A$3:$I$56,5,FALSE)-VLOOKUP($A64,main!$A$3:$I$56,6,FALSE)&gt;=VLOOKUP(56,main!$A$57:$I$59,4,FALSE)+VLOOKUP(VLOOKUP(N$1,main!$A$3:$I$56,7,FALSE),main!$K$10:$Q$14,4,FALSE),1,0)</f>
        <v>0</v>
      </c>
      <c r="O64">
        <f>IF(VLOOKUP(O$1,main!$A$3:$I$56,5,FALSE)-VLOOKUP($A64,main!$A$3:$I$56,6,FALSE)&gt;=VLOOKUP(56,main!$A$57:$I$59,4,FALSE)+VLOOKUP(VLOOKUP(O$1,main!$A$3:$I$56,7,FALSE),main!$K$10:$Q$14,4,FALSE),1,0)</f>
        <v>0</v>
      </c>
      <c r="P64">
        <f>IF(VLOOKUP(P$1,main!$A$3:$I$56,5,FALSE)-VLOOKUP($A64,main!$A$3:$I$56,6,FALSE)&gt;=VLOOKUP(56,main!$A$57:$I$59,4,FALSE)+VLOOKUP(VLOOKUP(P$1,main!$A$3:$I$56,7,FALSE),main!$K$10:$Q$14,4,FALSE),1,0)</f>
        <v>0</v>
      </c>
      <c r="Q64">
        <f>IF(VLOOKUP(Q$1,main!$A$3:$I$56,5,FALSE)-VLOOKUP($A64,main!$A$3:$I$56,6,FALSE)&gt;=VLOOKUP(56,main!$A$57:$I$59,4,FALSE)+VLOOKUP(VLOOKUP(Q$1,main!$A$3:$I$56,7,FALSE),main!$K$10:$Q$14,4,FALSE),1,0)</f>
        <v>0</v>
      </c>
      <c r="R64">
        <f>IF(VLOOKUP(R$1,main!$A$3:$I$56,5,FALSE)-VLOOKUP($A64,main!$A$3:$I$56,6,FALSE)&gt;=VLOOKUP(56,main!$A$57:$I$59,4,FALSE)+VLOOKUP(VLOOKUP(R$1,main!$A$3:$I$56,7,FALSE),main!$K$10:$Q$14,4,FALSE),1,0)</f>
        <v>0</v>
      </c>
      <c r="S64">
        <f>IF(VLOOKUP(S$1,main!$A$3:$I$56,5,FALSE)-VLOOKUP($A64,main!$A$3:$I$56,6,FALSE)&gt;=VLOOKUP(56,main!$A$57:$I$59,4,FALSE)+VLOOKUP(VLOOKUP(S$1,main!$A$3:$I$56,7,FALSE),main!$K$10:$Q$14,4,FALSE),1,0)</f>
        <v>0</v>
      </c>
      <c r="T64">
        <f>IF(VLOOKUP(T$1,main!$A$3:$I$56,5,FALSE)-VLOOKUP($A64,main!$A$3:$I$56,6,FALSE)&gt;=VLOOKUP(56,main!$A$57:$I$59,4,FALSE)+VLOOKUP(VLOOKUP(T$1,main!$A$3:$I$56,7,FALSE),main!$K$10:$Q$14,4,FALSE),1,0)</f>
        <v>0</v>
      </c>
      <c r="U64">
        <f>IF(VLOOKUP(U$1,main!$A$3:$I$56,5,FALSE)-VLOOKUP($A64,main!$A$3:$I$56,6,FALSE)&gt;=VLOOKUP(56,main!$A$57:$I$59,4,FALSE)+VLOOKUP(VLOOKUP(U$1,main!$A$3:$I$56,7,FALSE),main!$K$10:$Q$14,4,FALSE),1,0)</f>
        <v>0</v>
      </c>
      <c r="V64">
        <f>IF(VLOOKUP(V$1,main!$A$3:$I$56,5,FALSE)-VLOOKUP($A64,main!$A$3:$I$56,6,FALSE)&gt;=VLOOKUP(56,main!$A$57:$I$59,4,FALSE)+VLOOKUP(VLOOKUP(V$1,main!$A$3:$I$56,7,FALSE),main!$K$10:$Q$14,4,FALSE),1,0)</f>
        <v>0</v>
      </c>
      <c r="W64">
        <f>IF(VLOOKUP(W$1,main!$A$3:$I$56,5,FALSE)-VLOOKUP($A64,main!$A$3:$I$56,6,FALSE)&gt;=VLOOKUP(56,main!$A$57:$I$59,4,FALSE)+VLOOKUP(VLOOKUP(W$1,main!$A$3:$I$56,7,FALSE),main!$K$10:$Q$14,4,FALSE),1,0)</f>
        <v>0</v>
      </c>
      <c r="X64">
        <f>IF(VLOOKUP(X$1,main!$A$3:$I$56,5,FALSE)-VLOOKUP($A64,main!$A$3:$I$56,6,FALSE)&gt;=VLOOKUP(56,main!$A$57:$I$59,4,FALSE)+VLOOKUP(VLOOKUP(X$1,main!$A$3:$I$56,7,FALSE),main!$K$10:$Q$14,4,FALSE),1,0)</f>
        <v>0</v>
      </c>
      <c r="Y64">
        <f>IF(VLOOKUP(Y$1,main!$A$3:$I$56,5,FALSE)-VLOOKUP($A64,main!$A$3:$I$56,6,FALSE)&gt;=VLOOKUP(56,main!$A$57:$I$59,4,FALSE)+VLOOKUP(VLOOKUP(Y$1,main!$A$3:$I$56,7,FALSE),main!$K$10:$Q$14,4,FALSE),1,0)</f>
        <v>0</v>
      </c>
      <c r="Z64">
        <f>IF(VLOOKUP(Z$1,main!$A$3:$I$56,5,FALSE)-VLOOKUP($A64,main!$A$3:$I$56,6,FALSE)&gt;=VLOOKUP(56,main!$A$57:$I$59,4,FALSE)+VLOOKUP(VLOOKUP(Z$1,main!$A$3:$I$56,7,FALSE),main!$K$10:$Q$14,4,FALSE),1,0)</f>
        <v>0</v>
      </c>
      <c r="AA64">
        <f>IF(VLOOKUP(AA$1,main!$A$3:$I$56,5,FALSE)-VLOOKUP($A64,main!$A$3:$I$56,6,FALSE)&gt;=VLOOKUP(56,main!$A$57:$I$59,4,FALSE)+VLOOKUP(VLOOKUP(AA$1,main!$A$3:$I$56,7,FALSE),main!$K$10:$Q$14,4,FALSE),1,0)</f>
        <v>0</v>
      </c>
      <c r="AB64">
        <f>IF(VLOOKUP(AB$1,main!$A$3:$I$56,5,FALSE)-VLOOKUP($A64,main!$A$3:$I$56,6,FALSE)&gt;=VLOOKUP(56,main!$A$57:$I$59,4,FALSE)+VLOOKUP(VLOOKUP(AB$1,main!$A$3:$I$56,7,FALSE),main!$K$10:$Q$14,4,FALSE),1,0)</f>
        <v>0</v>
      </c>
      <c r="AC64">
        <f>IF(VLOOKUP(AC$1,main!$A$3:$I$56,5,FALSE)-VLOOKUP($A64,main!$A$3:$I$56,6,FALSE)&gt;=VLOOKUP(56,main!$A$57:$I$59,4,FALSE)+VLOOKUP(VLOOKUP(AC$1,main!$A$3:$I$56,7,FALSE),main!$K$10:$Q$14,4,FALSE),1,0)</f>
        <v>0</v>
      </c>
      <c r="AD64">
        <f>IF(VLOOKUP(AD$1,main!$A$3:$I$56,5,FALSE)-VLOOKUP($A64,main!$A$3:$I$56,6,FALSE)&gt;=VLOOKUP(56,main!$A$57:$I$59,4,FALSE)+VLOOKUP(VLOOKUP(AD$1,main!$A$3:$I$56,7,FALSE),main!$K$10:$Q$14,4,FALSE),1,0)</f>
        <v>0</v>
      </c>
      <c r="AE64">
        <f>IF(VLOOKUP(AE$1,main!$A$3:$I$56,5,FALSE)-VLOOKUP($A64,main!$A$3:$I$56,6,FALSE)&gt;=VLOOKUP(56,main!$A$57:$I$59,4,FALSE)+VLOOKUP(VLOOKUP(AE$1,main!$A$3:$I$56,7,FALSE),main!$K$10:$Q$14,4,FALSE),1,0)</f>
        <v>0</v>
      </c>
      <c r="AF64">
        <f>IF(VLOOKUP(AF$1,main!$A$3:$I$56,5,FALSE)-VLOOKUP($A64,main!$A$3:$I$56,6,FALSE)&gt;=VLOOKUP(56,main!$A$57:$I$59,4,FALSE)+VLOOKUP(VLOOKUP(AF$1,main!$A$3:$I$56,7,FALSE),main!$K$10:$Q$14,4,FALSE),1,0)</f>
        <v>0</v>
      </c>
      <c r="AG64">
        <f>IF(VLOOKUP(AG$1,main!$A$3:$I$56,5,FALSE)-VLOOKUP($A64,main!$A$3:$I$56,6,FALSE)&gt;=VLOOKUP(56,main!$A$57:$I$59,4,FALSE)+VLOOKUP(VLOOKUP(AG$1,main!$A$3:$I$56,7,FALSE),main!$K$10:$Q$14,4,FALSE),1,0)</f>
        <v>0</v>
      </c>
      <c r="AH64">
        <f>IF(VLOOKUP(AH$1,main!$A$3:$I$56,5,FALSE)-VLOOKUP($A64,main!$A$3:$I$56,6,FALSE)&gt;=VLOOKUP(56,main!$A$57:$I$59,4,FALSE)+VLOOKUP(VLOOKUP(AH$1,main!$A$3:$I$56,7,FALSE),main!$K$10:$Q$14,4,FALSE),1,0)</f>
        <v>0</v>
      </c>
      <c r="AI64">
        <f>IF(VLOOKUP(AI$1,main!$A$3:$I$56,5,FALSE)-VLOOKUP($A64,main!$A$3:$I$56,6,FALSE)&gt;=VLOOKUP(56,main!$A$57:$I$59,4,FALSE)+VLOOKUP(VLOOKUP(AI$1,main!$A$3:$I$56,7,FALSE),main!$K$10:$Q$14,4,FALSE),1,0)</f>
        <v>0</v>
      </c>
      <c r="AJ64">
        <f>IF(VLOOKUP(AJ$1,main!$A$3:$I$56,5,FALSE)-VLOOKUP($A64,main!$A$3:$I$56,6,FALSE)&gt;=VLOOKUP(56,main!$A$57:$I$59,4,FALSE)+VLOOKUP(VLOOKUP(AJ$1,main!$A$3:$I$56,7,FALSE),main!$K$10:$Q$14,4,FALSE),1,0)</f>
        <v>0</v>
      </c>
      <c r="AK64">
        <f>IF(VLOOKUP(AK$1,main!$A$3:$I$56,5,FALSE)-VLOOKUP($A64,main!$A$3:$I$56,6,FALSE)&gt;=VLOOKUP(56,main!$A$57:$I$59,4,FALSE)+VLOOKUP(VLOOKUP(AK$1,main!$A$3:$I$56,7,FALSE),main!$K$10:$Q$14,4,FALSE),1,0)</f>
        <v>0</v>
      </c>
      <c r="AL64">
        <f>IF(VLOOKUP(AL$1,main!$A$3:$I$56,5,FALSE)-VLOOKUP($A64,main!$A$3:$I$56,6,FALSE)&gt;=VLOOKUP(56,main!$A$57:$I$59,4,FALSE)+VLOOKUP(VLOOKUP(AL$1,main!$A$3:$I$56,7,FALSE),main!$K$10:$Q$14,4,FALSE),1,0)</f>
        <v>0</v>
      </c>
      <c r="AM64">
        <f>IF(VLOOKUP(AM$1,main!$A$3:$I$56,5,FALSE)-VLOOKUP($A64,main!$A$3:$I$56,6,FALSE)&gt;=VLOOKUP(56,main!$A$57:$I$59,4,FALSE)+VLOOKUP(VLOOKUP(AM$1,main!$A$3:$I$56,7,FALSE),main!$K$10:$Q$14,4,FALSE),1,0)</f>
        <v>0</v>
      </c>
      <c r="AN64">
        <f>IF(VLOOKUP(AN$1,main!$A$3:$I$56,5,FALSE)-VLOOKUP($A64,main!$A$3:$I$56,6,FALSE)&gt;=VLOOKUP(56,main!$A$57:$I$59,4,FALSE)+VLOOKUP(VLOOKUP(AN$1,main!$A$3:$I$56,7,FALSE),main!$K$10:$Q$14,4,FALSE),1,0)</f>
        <v>0</v>
      </c>
      <c r="AO64">
        <f>IF(VLOOKUP(AO$1,main!$A$3:$I$56,5,FALSE)-VLOOKUP($A64,main!$A$3:$I$56,6,FALSE)&gt;=VLOOKUP(56,main!$A$57:$I$59,4,FALSE)+VLOOKUP(VLOOKUP(AO$1,main!$A$3:$I$56,7,FALSE),main!$K$10:$Q$14,4,FALSE),1,0)</f>
        <v>0</v>
      </c>
      <c r="AP64">
        <f>IF(VLOOKUP(AP$1,main!$A$3:$I$56,5,FALSE)-VLOOKUP($A64,main!$A$3:$I$56,6,FALSE)&gt;=VLOOKUP(56,main!$A$57:$I$59,4,FALSE)+VLOOKUP(VLOOKUP(AP$1,main!$A$3:$I$56,7,FALSE),main!$K$10:$Q$14,4,FALSE),1,0)</f>
        <v>0</v>
      </c>
      <c r="AQ64">
        <f>IF(VLOOKUP(AQ$1,main!$A$3:$I$56,5,FALSE)-VLOOKUP($A64,main!$A$3:$I$56,6,FALSE)&gt;=VLOOKUP(56,main!$A$57:$I$59,4,FALSE)+VLOOKUP(VLOOKUP(AQ$1,main!$A$3:$I$56,7,FALSE),main!$K$10:$Q$14,4,FALSE),1,0)</f>
        <v>0</v>
      </c>
      <c r="AR64">
        <f>IF(VLOOKUP(AR$1,main!$A$3:$I$56,5,FALSE)-VLOOKUP($A64,main!$A$3:$I$56,6,FALSE)&gt;=VLOOKUP(56,main!$A$57:$I$59,4,FALSE)+VLOOKUP(VLOOKUP(AR$1,main!$A$3:$I$56,7,FALSE),main!$K$10:$Q$14,4,FALSE),1,0)</f>
        <v>0</v>
      </c>
      <c r="AS64">
        <f>IF(VLOOKUP(AS$1,main!$A$3:$I$56,5,FALSE)-VLOOKUP($A64,main!$A$3:$I$56,6,FALSE)&gt;=VLOOKUP(56,main!$A$57:$I$59,4,FALSE)+VLOOKUP(VLOOKUP(AS$1,main!$A$3:$I$56,7,FALSE),main!$K$10:$Q$14,4,FALSE),1,0)</f>
        <v>0</v>
      </c>
      <c r="AT64">
        <f>IF(VLOOKUP(AT$1,main!$A$3:$I$56,5,FALSE)-VLOOKUP($A64,main!$A$3:$I$56,6,FALSE)&gt;=VLOOKUP(56,main!$A$57:$I$59,4,FALSE)+VLOOKUP(VLOOKUP(AT$1,main!$A$3:$I$56,7,FALSE),main!$K$10:$Q$14,4,FALSE),1,0)</f>
        <v>0</v>
      </c>
      <c r="AU64">
        <f>IF(VLOOKUP(AU$1,main!$A$3:$I$56,5,FALSE)-VLOOKUP($A64,main!$A$3:$I$56,6,FALSE)&gt;=VLOOKUP(56,main!$A$57:$I$59,4,FALSE)+VLOOKUP(VLOOKUP(AU$1,main!$A$3:$I$56,7,FALSE),main!$K$10:$Q$14,4,FALSE),1,0)</f>
        <v>0</v>
      </c>
      <c r="AV64">
        <f>IF(VLOOKUP(AV$1,main!$A$3:$I$56,5,FALSE)-VLOOKUP($A64,main!$A$3:$I$56,6,FALSE)&gt;=VLOOKUP(56,main!$A$57:$I$59,4,FALSE)+VLOOKUP(VLOOKUP(AV$1,main!$A$3:$I$56,7,FALSE),main!$K$10:$Q$14,4,FALSE),1,0)</f>
        <v>0</v>
      </c>
      <c r="AW64">
        <f>IF(VLOOKUP(AW$1,main!$A$3:$I$56,5,FALSE)-VLOOKUP($A64,main!$A$3:$I$56,6,FALSE)&gt;=VLOOKUP(56,main!$A$57:$I$59,4,FALSE)+VLOOKUP(VLOOKUP(AW$1,main!$A$3:$I$56,7,FALSE),main!$K$10:$Q$14,4,FALSE),1,0)</f>
        <v>0</v>
      </c>
      <c r="AX64">
        <f>IF(VLOOKUP(AX$1,main!$A$3:$I$56,5,FALSE)-VLOOKUP($A64,main!$A$3:$I$56,6,FALSE)&gt;=VLOOKUP(56,main!$A$57:$I$59,4,FALSE)+VLOOKUP(VLOOKUP(AX$1,main!$A$3:$I$56,7,FALSE),main!$K$10:$Q$14,4,FALSE),1,0)</f>
        <v>0</v>
      </c>
      <c r="AY64">
        <f>IF(VLOOKUP(AY$1,main!$A$3:$I$56,5,FALSE)-VLOOKUP($A64,main!$A$3:$I$56,6,FALSE)&gt;=VLOOKUP(56,main!$A$57:$I$59,4,FALSE)+VLOOKUP(VLOOKUP(AY$1,main!$A$3:$I$56,7,FALSE),main!$K$10:$Q$14,4,FALSE),1,0)</f>
        <v>0</v>
      </c>
      <c r="AZ64">
        <f>IF(VLOOKUP(AZ$1,main!$A$3:$I$56,5,FALSE)-VLOOKUP($A64,main!$A$3:$I$56,6,FALSE)&gt;=VLOOKUP(56,main!$A$57:$I$59,4,FALSE)+VLOOKUP(VLOOKUP(AZ$1,main!$A$3:$I$56,7,FALSE),main!$K$10:$Q$14,4,FALSE),1,0)</f>
        <v>0</v>
      </c>
      <c r="BA64">
        <f>IF(VLOOKUP(BA$1,main!$A$3:$I$56,5,FALSE)-VLOOKUP($A64,main!$A$3:$I$56,6,FALSE)&gt;=VLOOKUP(56,main!$A$57:$I$59,4,FALSE)+VLOOKUP(VLOOKUP(BA$1,main!$A$3:$I$56,7,FALSE),main!$K$10:$Q$14,4,FALSE),1,0)</f>
        <v>0</v>
      </c>
      <c r="BB64">
        <f>IF(VLOOKUP(BB$1,main!$A$3:$I$56,5,FALSE)-VLOOKUP($A64,main!$A$3:$I$56,6,FALSE)&gt;=VLOOKUP(56,main!$A$57:$I$59,4,FALSE)+VLOOKUP(VLOOKUP(BB$1,main!$A$3:$I$56,7,FALSE),main!$K$10:$Q$14,4,FALSE),1,0)</f>
        <v>0</v>
      </c>
      <c r="BC64">
        <f>IF(VLOOKUP(BC$1,main!$A$3:$I$56,5,FALSE)-VLOOKUP($A64,main!$A$3:$I$56,6,FALSE)&gt;=VLOOKUP(56,main!$A$57:$I$59,4,FALSE)+VLOOKUP(VLOOKUP(BC$1,main!$A$3:$I$56,7,FALSE),main!$K$10:$Q$14,4,FALSE),1,0)</f>
        <v>0</v>
      </c>
      <c r="BD64">
        <f>IF(VLOOKUP(BD$1,main!$A$3:$I$56,5,FALSE)-VLOOKUP($A64,main!$A$3:$I$56,6,FALSE)&gt;=VLOOKUP(56,main!$A$57:$I$59,4,FALSE)+VLOOKUP(VLOOKUP(BD$1,main!$A$3:$I$56,7,FALSE),main!$K$10:$Q$14,4,FALSE),1,0)</f>
        <v>0</v>
      </c>
    </row>
    <row r="65" spans="1:56" x14ac:dyDescent="0.25">
      <c r="A65">
        <f t="shared" si="1"/>
        <v>8</v>
      </c>
      <c r="B65">
        <v>0</v>
      </c>
      <c r="C65">
        <f>IF(VLOOKUP(C$1,main!$A$3:$I$56,5,FALSE)-VLOOKUP($A65,main!$A$3:$I$56,6,FALSE)&gt;=VLOOKUP(56,main!$A$57:$I$59,4,FALSE)+VLOOKUP(VLOOKUP(C$1,main!$A$3:$I$56,7,FALSE),main!$K$10:$Q$14,4,FALSE),1,0)</f>
        <v>0</v>
      </c>
      <c r="D65">
        <f>IF(VLOOKUP(D$1,main!$A$3:$I$56,5,FALSE)-VLOOKUP($A65,main!$A$3:$I$56,6,FALSE)&gt;=VLOOKUP(56,main!$A$57:$I$59,4,FALSE)+VLOOKUP(VLOOKUP(D$1,main!$A$3:$I$56,7,FALSE),main!$K$10:$Q$14,4,FALSE),1,0)</f>
        <v>0</v>
      </c>
      <c r="E65">
        <f>IF(VLOOKUP(E$1,main!$A$3:$I$56,5,FALSE)-VLOOKUP($A65,main!$A$3:$I$56,6,FALSE)&gt;=VLOOKUP(56,main!$A$57:$I$59,4,FALSE)+VLOOKUP(VLOOKUP(E$1,main!$A$3:$I$56,7,FALSE),main!$K$10:$Q$14,4,FALSE),1,0)</f>
        <v>0</v>
      </c>
      <c r="F65">
        <f>IF(VLOOKUP(F$1,main!$A$3:$I$56,5,FALSE)-VLOOKUP($A65,main!$A$3:$I$56,6,FALSE)&gt;=VLOOKUP(56,main!$A$57:$I$59,4,FALSE)+VLOOKUP(VLOOKUP(F$1,main!$A$3:$I$56,7,FALSE),main!$K$10:$Q$14,4,FALSE),1,0)</f>
        <v>0</v>
      </c>
      <c r="G65">
        <f>IF(VLOOKUP(G$1,main!$A$3:$I$56,5,FALSE)-VLOOKUP($A65,main!$A$3:$I$56,6,FALSE)&gt;=VLOOKUP(56,main!$A$57:$I$59,4,FALSE)+VLOOKUP(VLOOKUP(G$1,main!$A$3:$I$56,7,FALSE),main!$K$10:$Q$14,4,FALSE),1,0)</f>
        <v>0</v>
      </c>
      <c r="H65">
        <f>IF(VLOOKUP(H$1,main!$A$3:$I$56,5,FALSE)-VLOOKUP($A65,main!$A$3:$I$56,6,FALSE)&gt;=VLOOKUP(56,main!$A$57:$I$59,4,FALSE)+VLOOKUP(VLOOKUP(H$1,main!$A$3:$I$56,7,FALSE),main!$K$10:$Q$14,4,FALSE),1,0)</f>
        <v>0</v>
      </c>
      <c r="I65">
        <f>IF(VLOOKUP(I$1,main!$A$3:$I$56,5,FALSE)-VLOOKUP($A65,main!$A$3:$I$56,6,FALSE)&gt;=VLOOKUP(56,main!$A$57:$I$59,4,FALSE)+VLOOKUP(VLOOKUP(I$1,main!$A$3:$I$56,7,FALSE),main!$K$10:$Q$14,4,FALSE),1,0)</f>
        <v>0</v>
      </c>
      <c r="J65">
        <f>IF(VLOOKUP(J$1,main!$A$3:$I$56,5,FALSE)-VLOOKUP($A65,main!$A$3:$I$56,6,FALSE)&gt;=VLOOKUP(56,main!$A$57:$I$59,4,FALSE)+VLOOKUP(VLOOKUP(J$1,main!$A$3:$I$56,7,FALSE),main!$K$10:$Q$14,4,FALSE),1,0)</f>
        <v>0</v>
      </c>
      <c r="K65">
        <f>IF(VLOOKUP(K$1,main!$A$3:$I$56,5,FALSE)-VLOOKUP($A65,main!$A$3:$I$56,6,FALSE)&gt;=VLOOKUP(56,main!$A$57:$I$59,4,FALSE)+VLOOKUP(VLOOKUP(K$1,main!$A$3:$I$56,7,FALSE),main!$K$10:$Q$14,4,FALSE),1,0)</f>
        <v>0</v>
      </c>
      <c r="L65">
        <f>IF(VLOOKUP(L$1,main!$A$3:$I$56,5,FALSE)-VLOOKUP($A65,main!$A$3:$I$56,6,FALSE)&gt;=VLOOKUP(56,main!$A$57:$I$59,4,FALSE)+VLOOKUP(VLOOKUP(L$1,main!$A$3:$I$56,7,FALSE),main!$K$10:$Q$14,4,FALSE),1,0)</f>
        <v>0</v>
      </c>
      <c r="M65">
        <f>IF(VLOOKUP(M$1,main!$A$3:$I$56,5,FALSE)-VLOOKUP($A65,main!$A$3:$I$56,6,FALSE)&gt;=VLOOKUP(56,main!$A$57:$I$59,4,FALSE)+VLOOKUP(VLOOKUP(M$1,main!$A$3:$I$56,7,FALSE),main!$K$10:$Q$14,4,FALSE),1,0)</f>
        <v>0</v>
      </c>
      <c r="N65">
        <f>IF(VLOOKUP(N$1,main!$A$3:$I$56,5,FALSE)-VLOOKUP($A65,main!$A$3:$I$56,6,FALSE)&gt;=VLOOKUP(56,main!$A$57:$I$59,4,FALSE)+VLOOKUP(VLOOKUP(N$1,main!$A$3:$I$56,7,FALSE),main!$K$10:$Q$14,4,FALSE),1,0)</f>
        <v>0</v>
      </c>
      <c r="O65">
        <f>IF(VLOOKUP(O$1,main!$A$3:$I$56,5,FALSE)-VLOOKUP($A65,main!$A$3:$I$56,6,FALSE)&gt;=VLOOKUP(56,main!$A$57:$I$59,4,FALSE)+VLOOKUP(VLOOKUP(O$1,main!$A$3:$I$56,7,FALSE),main!$K$10:$Q$14,4,FALSE),1,0)</f>
        <v>0</v>
      </c>
      <c r="P65">
        <f>IF(VLOOKUP(P$1,main!$A$3:$I$56,5,FALSE)-VLOOKUP($A65,main!$A$3:$I$56,6,FALSE)&gt;=VLOOKUP(56,main!$A$57:$I$59,4,FALSE)+VLOOKUP(VLOOKUP(P$1,main!$A$3:$I$56,7,FALSE),main!$K$10:$Q$14,4,FALSE),1,0)</f>
        <v>0</v>
      </c>
      <c r="Q65">
        <f>IF(VLOOKUP(Q$1,main!$A$3:$I$56,5,FALSE)-VLOOKUP($A65,main!$A$3:$I$56,6,FALSE)&gt;=VLOOKUP(56,main!$A$57:$I$59,4,FALSE)+VLOOKUP(VLOOKUP(Q$1,main!$A$3:$I$56,7,FALSE),main!$K$10:$Q$14,4,FALSE),1,0)</f>
        <v>0</v>
      </c>
      <c r="R65">
        <f>IF(VLOOKUP(R$1,main!$A$3:$I$56,5,FALSE)-VLOOKUP($A65,main!$A$3:$I$56,6,FALSE)&gt;=VLOOKUP(56,main!$A$57:$I$59,4,FALSE)+VLOOKUP(VLOOKUP(R$1,main!$A$3:$I$56,7,FALSE),main!$K$10:$Q$14,4,FALSE),1,0)</f>
        <v>0</v>
      </c>
      <c r="S65">
        <f>IF(VLOOKUP(S$1,main!$A$3:$I$56,5,FALSE)-VLOOKUP($A65,main!$A$3:$I$56,6,FALSE)&gt;=VLOOKUP(56,main!$A$57:$I$59,4,FALSE)+VLOOKUP(VLOOKUP(S$1,main!$A$3:$I$56,7,FALSE),main!$K$10:$Q$14,4,FALSE),1,0)</f>
        <v>0</v>
      </c>
      <c r="T65">
        <f>IF(VLOOKUP(T$1,main!$A$3:$I$56,5,FALSE)-VLOOKUP($A65,main!$A$3:$I$56,6,FALSE)&gt;=VLOOKUP(56,main!$A$57:$I$59,4,FALSE)+VLOOKUP(VLOOKUP(T$1,main!$A$3:$I$56,7,FALSE),main!$K$10:$Q$14,4,FALSE),1,0)</f>
        <v>0</v>
      </c>
      <c r="U65">
        <f>IF(VLOOKUP(U$1,main!$A$3:$I$56,5,FALSE)-VLOOKUP($A65,main!$A$3:$I$56,6,FALSE)&gt;=VLOOKUP(56,main!$A$57:$I$59,4,FALSE)+VLOOKUP(VLOOKUP(U$1,main!$A$3:$I$56,7,FALSE),main!$K$10:$Q$14,4,FALSE),1,0)</f>
        <v>0</v>
      </c>
      <c r="V65">
        <f>IF(VLOOKUP(V$1,main!$A$3:$I$56,5,FALSE)-VLOOKUP($A65,main!$A$3:$I$56,6,FALSE)&gt;=VLOOKUP(56,main!$A$57:$I$59,4,FALSE)+VLOOKUP(VLOOKUP(V$1,main!$A$3:$I$56,7,FALSE),main!$K$10:$Q$14,4,FALSE),1,0)</f>
        <v>0</v>
      </c>
      <c r="W65">
        <f>IF(VLOOKUP(W$1,main!$A$3:$I$56,5,FALSE)-VLOOKUP($A65,main!$A$3:$I$56,6,FALSE)&gt;=VLOOKUP(56,main!$A$57:$I$59,4,FALSE)+VLOOKUP(VLOOKUP(W$1,main!$A$3:$I$56,7,FALSE),main!$K$10:$Q$14,4,FALSE),1,0)</f>
        <v>0</v>
      </c>
      <c r="X65">
        <f>IF(VLOOKUP(X$1,main!$A$3:$I$56,5,FALSE)-VLOOKUP($A65,main!$A$3:$I$56,6,FALSE)&gt;=VLOOKUP(56,main!$A$57:$I$59,4,FALSE)+VLOOKUP(VLOOKUP(X$1,main!$A$3:$I$56,7,FALSE),main!$K$10:$Q$14,4,FALSE),1,0)</f>
        <v>0</v>
      </c>
      <c r="Y65">
        <f>IF(VLOOKUP(Y$1,main!$A$3:$I$56,5,FALSE)-VLOOKUP($A65,main!$A$3:$I$56,6,FALSE)&gt;=VLOOKUP(56,main!$A$57:$I$59,4,FALSE)+VLOOKUP(VLOOKUP(Y$1,main!$A$3:$I$56,7,FALSE),main!$K$10:$Q$14,4,FALSE),1,0)</f>
        <v>0</v>
      </c>
      <c r="Z65">
        <f>IF(VLOOKUP(Z$1,main!$A$3:$I$56,5,FALSE)-VLOOKUP($A65,main!$A$3:$I$56,6,FALSE)&gt;=VLOOKUP(56,main!$A$57:$I$59,4,FALSE)+VLOOKUP(VLOOKUP(Z$1,main!$A$3:$I$56,7,FALSE),main!$K$10:$Q$14,4,FALSE),1,0)</f>
        <v>0</v>
      </c>
      <c r="AA65">
        <f>IF(VLOOKUP(AA$1,main!$A$3:$I$56,5,FALSE)-VLOOKUP($A65,main!$A$3:$I$56,6,FALSE)&gt;=VLOOKUP(56,main!$A$57:$I$59,4,FALSE)+VLOOKUP(VLOOKUP(AA$1,main!$A$3:$I$56,7,FALSE),main!$K$10:$Q$14,4,FALSE),1,0)</f>
        <v>0</v>
      </c>
      <c r="AB65">
        <f>IF(VLOOKUP(AB$1,main!$A$3:$I$56,5,FALSE)-VLOOKUP($A65,main!$A$3:$I$56,6,FALSE)&gt;=VLOOKUP(56,main!$A$57:$I$59,4,FALSE)+VLOOKUP(VLOOKUP(AB$1,main!$A$3:$I$56,7,FALSE),main!$K$10:$Q$14,4,FALSE),1,0)</f>
        <v>0</v>
      </c>
      <c r="AC65">
        <f>IF(VLOOKUP(AC$1,main!$A$3:$I$56,5,FALSE)-VLOOKUP($A65,main!$A$3:$I$56,6,FALSE)&gt;=VLOOKUP(56,main!$A$57:$I$59,4,FALSE)+VLOOKUP(VLOOKUP(AC$1,main!$A$3:$I$56,7,FALSE),main!$K$10:$Q$14,4,FALSE),1,0)</f>
        <v>0</v>
      </c>
      <c r="AD65">
        <f>IF(VLOOKUP(AD$1,main!$A$3:$I$56,5,FALSE)-VLOOKUP($A65,main!$A$3:$I$56,6,FALSE)&gt;=VLOOKUP(56,main!$A$57:$I$59,4,FALSE)+VLOOKUP(VLOOKUP(AD$1,main!$A$3:$I$56,7,FALSE),main!$K$10:$Q$14,4,FALSE),1,0)</f>
        <v>0</v>
      </c>
      <c r="AE65">
        <f>IF(VLOOKUP(AE$1,main!$A$3:$I$56,5,FALSE)-VLOOKUP($A65,main!$A$3:$I$56,6,FALSE)&gt;=VLOOKUP(56,main!$A$57:$I$59,4,FALSE)+VLOOKUP(VLOOKUP(AE$1,main!$A$3:$I$56,7,FALSE),main!$K$10:$Q$14,4,FALSE),1,0)</f>
        <v>0</v>
      </c>
      <c r="AF65">
        <f>IF(VLOOKUP(AF$1,main!$A$3:$I$56,5,FALSE)-VLOOKUP($A65,main!$A$3:$I$56,6,FALSE)&gt;=VLOOKUP(56,main!$A$57:$I$59,4,FALSE)+VLOOKUP(VLOOKUP(AF$1,main!$A$3:$I$56,7,FALSE),main!$K$10:$Q$14,4,FALSE),1,0)</f>
        <v>0</v>
      </c>
      <c r="AG65">
        <f>IF(VLOOKUP(AG$1,main!$A$3:$I$56,5,FALSE)-VLOOKUP($A65,main!$A$3:$I$56,6,FALSE)&gt;=VLOOKUP(56,main!$A$57:$I$59,4,FALSE)+VLOOKUP(VLOOKUP(AG$1,main!$A$3:$I$56,7,FALSE),main!$K$10:$Q$14,4,FALSE),1,0)</f>
        <v>0</v>
      </c>
      <c r="AH65">
        <f>IF(VLOOKUP(AH$1,main!$A$3:$I$56,5,FALSE)-VLOOKUP($A65,main!$A$3:$I$56,6,FALSE)&gt;=VLOOKUP(56,main!$A$57:$I$59,4,FALSE)+VLOOKUP(VLOOKUP(AH$1,main!$A$3:$I$56,7,FALSE),main!$K$10:$Q$14,4,FALSE),1,0)</f>
        <v>0</v>
      </c>
      <c r="AI65">
        <f>IF(VLOOKUP(AI$1,main!$A$3:$I$56,5,FALSE)-VLOOKUP($A65,main!$A$3:$I$56,6,FALSE)&gt;=VLOOKUP(56,main!$A$57:$I$59,4,FALSE)+VLOOKUP(VLOOKUP(AI$1,main!$A$3:$I$56,7,FALSE),main!$K$10:$Q$14,4,FALSE),1,0)</f>
        <v>0</v>
      </c>
      <c r="AJ65">
        <f>IF(VLOOKUP(AJ$1,main!$A$3:$I$56,5,FALSE)-VLOOKUP($A65,main!$A$3:$I$56,6,FALSE)&gt;=VLOOKUP(56,main!$A$57:$I$59,4,FALSE)+VLOOKUP(VLOOKUP(AJ$1,main!$A$3:$I$56,7,FALSE),main!$K$10:$Q$14,4,FALSE),1,0)</f>
        <v>0</v>
      </c>
      <c r="AK65">
        <f>IF(VLOOKUP(AK$1,main!$A$3:$I$56,5,FALSE)-VLOOKUP($A65,main!$A$3:$I$56,6,FALSE)&gt;=VLOOKUP(56,main!$A$57:$I$59,4,FALSE)+VLOOKUP(VLOOKUP(AK$1,main!$A$3:$I$56,7,FALSE),main!$K$10:$Q$14,4,FALSE),1,0)</f>
        <v>0</v>
      </c>
      <c r="AL65">
        <f>IF(VLOOKUP(AL$1,main!$A$3:$I$56,5,FALSE)-VLOOKUP($A65,main!$A$3:$I$56,6,FALSE)&gt;=VLOOKUP(56,main!$A$57:$I$59,4,FALSE)+VLOOKUP(VLOOKUP(AL$1,main!$A$3:$I$56,7,FALSE),main!$K$10:$Q$14,4,FALSE),1,0)</f>
        <v>0</v>
      </c>
      <c r="AM65">
        <f>IF(VLOOKUP(AM$1,main!$A$3:$I$56,5,FALSE)-VLOOKUP($A65,main!$A$3:$I$56,6,FALSE)&gt;=VLOOKUP(56,main!$A$57:$I$59,4,FALSE)+VLOOKUP(VLOOKUP(AM$1,main!$A$3:$I$56,7,FALSE),main!$K$10:$Q$14,4,FALSE),1,0)</f>
        <v>0</v>
      </c>
      <c r="AN65">
        <f>IF(VLOOKUP(AN$1,main!$A$3:$I$56,5,FALSE)-VLOOKUP($A65,main!$A$3:$I$56,6,FALSE)&gt;=VLOOKUP(56,main!$A$57:$I$59,4,FALSE)+VLOOKUP(VLOOKUP(AN$1,main!$A$3:$I$56,7,FALSE),main!$K$10:$Q$14,4,FALSE),1,0)</f>
        <v>0</v>
      </c>
      <c r="AO65">
        <f>IF(VLOOKUP(AO$1,main!$A$3:$I$56,5,FALSE)-VLOOKUP($A65,main!$A$3:$I$56,6,FALSE)&gt;=VLOOKUP(56,main!$A$57:$I$59,4,FALSE)+VLOOKUP(VLOOKUP(AO$1,main!$A$3:$I$56,7,FALSE),main!$K$10:$Q$14,4,FALSE),1,0)</f>
        <v>0</v>
      </c>
      <c r="AP65">
        <f>IF(VLOOKUP(AP$1,main!$A$3:$I$56,5,FALSE)-VLOOKUP($A65,main!$A$3:$I$56,6,FALSE)&gt;=VLOOKUP(56,main!$A$57:$I$59,4,FALSE)+VLOOKUP(VLOOKUP(AP$1,main!$A$3:$I$56,7,FALSE),main!$K$10:$Q$14,4,FALSE),1,0)</f>
        <v>0</v>
      </c>
      <c r="AQ65">
        <f>IF(VLOOKUP(AQ$1,main!$A$3:$I$56,5,FALSE)-VLOOKUP($A65,main!$A$3:$I$56,6,FALSE)&gt;=VLOOKUP(56,main!$A$57:$I$59,4,FALSE)+VLOOKUP(VLOOKUP(AQ$1,main!$A$3:$I$56,7,FALSE),main!$K$10:$Q$14,4,FALSE),1,0)</f>
        <v>0</v>
      </c>
      <c r="AR65">
        <f>IF(VLOOKUP(AR$1,main!$A$3:$I$56,5,FALSE)-VLOOKUP($A65,main!$A$3:$I$56,6,FALSE)&gt;=VLOOKUP(56,main!$A$57:$I$59,4,FALSE)+VLOOKUP(VLOOKUP(AR$1,main!$A$3:$I$56,7,FALSE),main!$K$10:$Q$14,4,FALSE),1,0)</f>
        <v>0</v>
      </c>
      <c r="AS65">
        <f>IF(VLOOKUP(AS$1,main!$A$3:$I$56,5,FALSE)-VLOOKUP($A65,main!$A$3:$I$56,6,FALSE)&gt;=VLOOKUP(56,main!$A$57:$I$59,4,FALSE)+VLOOKUP(VLOOKUP(AS$1,main!$A$3:$I$56,7,FALSE),main!$K$10:$Q$14,4,FALSE),1,0)</f>
        <v>0</v>
      </c>
      <c r="AT65">
        <f>IF(VLOOKUP(AT$1,main!$A$3:$I$56,5,FALSE)-VLOOKUP($A65,main!$A$3:$I$56,6,FALSE)&gt;=VLOOKUP(56,main!$A$57:$I$59,4,FALSE)+VLOOKUP(VLOOKUP(AT$1,main!$A$3:$I$56,7,FALSE),main!$K$10:$Q$14,4,FALSE),1,0)</f>
        <v>0</v>
      </c>
      <c r="AU65">
        <f>IF(VLOOKUP(AU$1,main!$A$3:$I$56,5,FALSE)-VLOOKUP($A65,main!$A$3:$I$56,6,FALSE)&gt;=VLOOKUP(56,main!$A$57:$I$59,4,FALSE)+VLOOKUP(VLOOKUP(AU$1,main!$A$3:$I$56,7,FALSE),main!$K$10:$Q$14,4,FALSE),1,0)</f>
        <v>0</v>
      </c>
      <c r="AV65">
        <f>IF(VLOOKUP(AV$1,main!$A$3:$I$56,5,FALSE)-VLOOKUP($A65,main!$A$3:$I$56,6,FALSE)&gt;=VLOOKUP(56,main!$A$57:$I$59,4,FALSE)+VLOOKUP(VLOOKUP(AV$1,main!$A$3:$I$56,7,FALSE),main!$K$10:$Q$14,4,FALSE),1,0)</f>
        <v>0</v>
      </c>
      <c r="AW65">
        <f>IF(VLOOKUP(AW$1,main!$A$3:$I$56,5,FALSE)-VLOOKUP($A65,main!$A$3:$I$56,6,FALSE)&gt;=VLOOKUP(56,main!$A$57:$I$59,4,FALSE)+VLOOKUP(VLOOKUP(AW$1,main!$A$3:$I$56,7,FALSE),main!$K$10:$Q$14,4,FALSE),1,0)</f>
        <v>0</v>
      </c>
      <c r="AX65">
        <f>IF(VLOOKUP(AX$1,main!$A$3:$I$56,5,FALSE)-VLOOKUP($A65,main!$A$3:$I$56,6,FALSE)&gt;=VLOOKUP(56,main!$A$57:$I$59,4,FALSE)+VLOOKUP(VLOOKUP(AX$1,main!$A$3:$I$56,7,FALSE),main!$K$10:$Q$14,4,FALSE),1,0)</f>
        <v>0</v>
      </c>
      <c r="AY65">
        <f>IF(VLOOKUP(AY$1,main!$A$3:$I$56,5,FALSE)-VLOOKUP($A65,main!$A$3:$I$56,6,FALSE)&gt;=VLOOKUP(56,main!$A$57:$I$59,4,FALSE)+VLOOKUP(VLOOKUP(AY$1,main!$A$3:$I$56,7,FALSE),main!$K$10:$Q$14,4,FALSE),1,0)</f>
        <v>0</v>
      </c>
      <c r="AZ65">
        <f>IF(VLOOKUP(AZ$1,main!$A$3:$I$56,5,FALSE)-VLOOKUP($A65,main!$A$3:$I$56,6,FALSE)&gt;=VLOOKUP(56,main!$A$57:$I$59,4,FALSE)+VLOOKUP(VLOOKUP(AZ$1,main!$A$3:$I$56,7,FALSE),main!$K$10:$Q$14,4,FALSE),1,0)</f>
        <v>0</v>
      </c>
      <c r="BA65">
        <f>IF(VLOOKUP(BA$1,main!$A$3:$I$56,5,FALSE)-VLOOKUP($A65,main!$A$3:$I$56,6,FALSE)&gt;=VLOOKUP(56,main!$A$57:$I$59,4,FALSE)+VLOOKUP(VLOOKUP(BA$1,main!$A$3:$I$56,7,FALSE),main!$K$10:$Q$14,4,FALSE),1,0)</f>
        <v>0</v>
      </c>
      <c r="BB65">
        <f>IF(VLOOKUP(BB$1,main!$A$3:$I$56,5,FALSE)-VLOOKUP($A65,main!$A$3:$I$56,6,FALSE)&gt;=VLOOKUP(56,main!$A$57:$I$59,4,FALSE)+VLOOKUP(VLOOKUP(BB$1,main!$A$3:$I$56,7,FALSE),main!$K$10:$Q$14,4,FALSE),1,0)</f>
        <v>0</v>
      </c>
      <c r="BC65">
        <f>IF(VLOOKUP(BC$1,main!$A$3:$I$56,5,FALSE)-VLOOKUP($A65,main!$A$3:$I$56,6,FALSE)&gt;=VLOOKUP(56,main!$A$57:$I$59,4,FALSE)+VLOOKUP(VLOOKUP(BC$1,main!$A$3:$I$56,7,FALSE),main!$K$10:$Q$14,4,FALSE),1,0)</f>
        <v>0</v>
      </c>
      <c r="BD65">
        <f>IF(VLOOKUP(BD$1,main!$A$3:$I$56,5,FALSE)-VLOOKUP($A65,main!$A$3:$I$56,6,FALSE)&gt;=VLOOKUP(56,main!$A$57:$I$59,4,FALSE)+VLOOKUP(VLOOKUP(BD$1,main!$A$3:$I$56,7,FALSE),main!$K$10:$Q$14,4,FALSE),1,0)</f>
        <v>0</v>
      </c>
    </row>
    <row r="66" spans="1:56" x14ac:dyDescent="0.25">
      <c r="A66">
        <f t="shared" si="1"/>
        <v>9</v>
      </c>
      <c r="B66">
        <v>0</v>
      </c>
      <c r="C66">
        <f>IF(VLOOKUP(C$1,main!$A$3:$I$56,5,FALSE)-VLOOKUP($A66,main!$A$3:$I$56,6,FALSE)&gt;=VLOOKUP(56,main!$A$57:$I$59,4,FALSE)+VLOOKUP(VLOOKUP(C$1,main!$A$3:$I$56,7,FALSE),main!$K$10:$Q$14,4,FALSE),1,0)</f>
        <v>0</v>
      </c>
      <c r="D66">
        <f>IF(VLOOKUP(D$1,main!$A$3:$I$56,5,FALSE)-VLOOKUP($A66,main!$A$3:$I$56,6,FALSE)&gt;=VLOOKUP(56,main!$A$57:$I$59,4,FALSE)+VLOOKUP(VLOOKUP(D$1,main!$A$3:$I$56,7,FALSE),main!$K$10:$Q$14,4,FALSE),1,0)</f>
        <v>0</v>
      </c>
      <c r="E66">
        <f>IF(VLOOKUP(E$1,main!$A$3:$I$56,5,FALSE)-VLOOKUP($A66,main!$A$3:$I$56,6,FALSE)&gt;=VLOOKUP(56,main!$A$57:$I$59,4,FALSE)+VLOOKUP(VLOOKUP(E$1,main!$A$3:$I$56,7,FALSE),main!$K$10:$Q$14,4,FALSE),1,0)</f>
        <v>1</v>
      </c>
      <c r="F66">
        <f>IF(VLOOKUP(F$1,main!$A$3:$I$56,5,FALSE)-VLOOKUP($A66,main!$A$3:$I$56,6,FALSE)&gt;=VLOOKUP(56,main!$A$57:$I$59,4,FALSE)+VLOOKUP(VLOOKUP(F$1,main!$A$3:$I$56,7,FALSE),main!$K$10:$Q$14,4,FALSE),1,0)</f>
        <v>1</v>
      </c>
      <c r="G66">
        <f>IF(VLOOKUP(G$1,main!$A$3:$I$56,5,FALSE)-VLOOKUP($A66,main!$A$3:$I$56,6,FALSE)&gt;=VLOOKUP(56,main!$A$57:$I$59,4,FALSE)+VLOOKUP(VLOOKUP(G$1,main!$A$3:$I$56,7,FALSE),main!$K$10:$Q$14,4,FALSE),1,0)</f>
        <v>1</v>
      </c>
      <c r="H66">
        <f>IF(VLOOKUP(H$1,main!$A$3:$I$56,5,FALSE)-VLOOKUP($A66,main!$A$3:$I$56,6,FALSE)&gt;=VLOOKUP(56,main!$A$57:$I$59,4,FALSE)+VLOOKUP(VLOOKUP(H$1,main!$A$3:$I$56,7,FALSE),main!$K$10:$Q$14,4,FALSE),1,0)</f>
        <v>1</v>
      </c>
      <c r="I66">
        <f>IF(VLOOKUP(I$1,main!$A$3:$I$56,5,FALSE)-VLOOKUP($A66,main!$A$3:$I$56,6,FALSE)&gt;=VLOOKUP(56,main!$A$57:$I$59,4,FALSE)+VLOOKUP(VLOOKUP(I$1,main!$A$3:$I$56,7,FALSE),main!$K$10:$Q$14,4,FALSE),1,0)</f>
        <v>1</v>
      </c>
      <c r="J66">
        <f>IF(VLOOKUP(J$1,main!$A$3:$I$56,5,FALSE)-VLOOKUP($A66,main!$A$3:$I$56,6,FALSE)&gt;=VLOOKUP(56,main!$A$57:$I$59,4,FALSE)+VLOOKUP(VLOOKUP(J$1,main!$A$3:$I$56,7,FALSE),main!$K$10:$Q$14,4,FALSE),1,0)</f>
        <v>1</v>
      </c>
      <c r="K66">
        <f>IF(VLOOKUP(K$1,main!$A$3:$I$56,5,FALSE)-VLOOKUP($A66,main!$A$3:$I$56,6,FALSE)&gt;=VLOOKUP(56,main!$A$57:$I$59,4,FALSE)+VLOOKUP(VLOOKUP(K$1,main!$A$3:$I$56,7,FALSE),main!$K$10:$Q$14,4,FALSE),1,0)</f>
        <v>0</v>
      </c>
      <c r="L66">
        <f>IF(VLOOKUP(L$1,main!$A$3:$I$56,5,FALSE)-VLOOKUP($A66,main!$A$3:$I$56,6,FALSE)&gt;=VLOOKUP(56,main!$A$57:$I$59,4,FALSE)+VLOOKUP(VLOOKUP(L$1,main!$A$3:$I$56,7,FALSE),main!$K$10:$Q$14,4,FALSE),1,0)</f>
        <v>0</v>
      </c>
      <c r="M66">
        <f>IF(VLOOKUP(M$1,main!$A$3:$I$56,5,FALSE)-VLOOKUP($A66,main!$A$3:$I$56,6,FALSE)&gt;=VLOOKUP(56,main!$A$57:$I$59,4,FALSE)+VLOOKUP(VLOOKUP(M$1,main!$A$3:$I$56,7,FALSE),main!$K$10:$Q$14,4,FALSE),1,0)</f>
        <v>1</v>
      </c>
      <c r="N66">
        <f>IF(VLOOKUP(N$1,main!$A$3:$I$56,5,FALSE)-VLOOKUP($A66,main!$A$3:$I$56,6,FALSE)&gt;=VLOOKUP(56,main!$A$57:$I$59,4,FALSE)+VLOOKUP(VLOOKUP(N$1,main!$A$3:$I$56,7,FALSE),main!$K$10:$Q$14,4,FALSE),1,0)</f>
        <v>1</v>
      </c>
      <c r="O66">
        <f>IF(VLOOKUP(O$1,main!$A$3:$I$56,5,FALSE)-VLOOKUP($A66,main!$A$3:$I$56,6,FALSE)&gt;=VLOOKUP(56,main!$A$57:$I$59,4,FALSE)+VLOOKUP(VLOOKUP(O$1,main!$A$3:$I$56,7,FALSE),main!$K$10:$Q$14,4,FALSE),1,0)</f>
        <v>1</v>
      </c>
      <c r="P66">
        <f>IF(VLOOKUP(P$1,main!$A$3:$I$56,5,FALSE)-VLOOKUP($A66,main!$A$3:$I$56,6,FALSE)&gt;=VLOOKUP(56,main!$A$57:$I$59,4,FALSE)+VLOOKUP(VLOOKUP(P$1,main!$A$3:$I$56,7,FALSE),main!$K$10:$Q$14,4,FALSE),1,0)</f>
        <v>0</v>
      </c>
      <c r="Q66">
        <f>IF(VLOOKUP(Q$1,main!$A$3:$I$56,5,FALSE)-VLOOKUP($A66,main!$A$3:$I$56,6,FALSE)&gt;=VLOOKUP(56,main!$A$57:$I$59,4,FALSE)+VLOOKUP(VLOOKUP(Q$1,main!$A$3:$I$56,7,FALSE),main!$K$10:$Q$14,4,FALSE),1,0)</f>
        <v>0</v>
      </c>
      <c r="R66">
        <f>IF(VLOOKUP(R$1,main!$A$3:$I$56,5,FALSE)-VLOOKUP($A66,main!$A$3:$I$56,6,FALSE)&gt;=VLOOKUP(56,main!$A$57:$I$59,4,FALSE)+VLOOKUP(VLOOKUP(R$1,main!$A$3:$I$56,7,FALSE),main!$K$10:$Q$14,4,FALSE),1,0)</f>
        <v>1</v>
      </c>
      <c r="S66">
        <f>IF(VLOOKUP(S$1,main!$A$3:$I$56,5,FALSE)-VLOOKUP($A66,main!$A$3:$I$56,6,FALSE)&gt;=VLOOKUP(56,main!$A$57:$I$59,4,FALSE)+VLOOKUP(VLOOKUP(S$1,main!$A$3:$I$56,7,FALSE),main!$K$10:$Q$14,4,FALSE),1,0)</f>
        <v>1</v>
      </c>
      <c r="T66">
        <f>IF(VLOOKUP(T$1,main!$A$3:$I$56,5,FALSE)-VLOOKUP($A66,main!$A$3:$I$56,6,FALSE)&gt;=VLOOKUP(56,main!$A$57:$I$59,4,FALSE)+VLOOKUP(VLOOKUP(T$1,main!$A$3:$I$56,7,FALSE),main!$K$10:$Q$14,4,FALSE),1,0)</f>
        <v>1</v>
      </c>
      <c r="U66">
        <f>IF(VLOOKUP(U$1,main!$A$3:$I$56,5,FALSE)-VLOOKUP($A66,main!$A$3:$I$56,6,FALSE)&gt;=VLOOKUP(56,main!$A$57:$I$59,4,FALSE)+VLOOKUP(VLOOKUP(U$1,main!$A$3:$I$56,7,FALSE),main!$K$10:$Q$14,4,FALSE),1,0)</f>
        <v>0</v>
      </c>
      <c r="V66">
        <f>IF(VLOOKUP(V$1,main!$A$3:$I$56,5,FALSE)-VLOOKUP($A66,main!$A$3:$I$56,6,FALSE)&gt;=VLOOKUP(56,main!$A$57:$I$59,4,FALSE)+VLOOKUP(VLOOKUP(V$1,main!$A$3:$I$56,7,FALSE),main!$K$10:$Q$14,4,FALSE),1,0)</f>
        <v>0</v>
      </c>
      <c r="W66">
        <f>IF(VLOOKUP(W$1,main!$A$3:$I$56,5,FALSE)-VLOOKUP($A66,main!$A$3:$I$56,6,FALSE)&gt;=VLOOKUP(56,main!$A$57:$I$59,4,FALSE)+VLOOKUP(VLOOKUP(W$1,main!$A$3:$I$56,7,FALSE),main!$K$10:$Q$14,4,FALSE),1,0)</f>
        <v>0</v>
      </c>
      <c r="X66">
        <f>IF(VLOOKUP(X$1,main!$A$3:$I$56,5,FALSE)-VLOOKUP($A66,main!$A$3:$I$56,6,FALSE)&gt;=VLOOKUP(56,main!$A$57:$I$59,4,FALSE)+VLOOKUP(VLOOKUP(X$1,main!$A$3:$I$56,7,FALSE),main!$K$10:$Q$14,4,FALSE),1,0)</f>
        <v>0</v>
      </c>
      <c r="Y66">
        <f>IF(VLOOKUP(Y$1,main!$A$3:$I$56,5,FALSE)-VLOOKUP($A66,main!$A$3:$I$56,6,FALSE)&gt;=VLOOKUP(56,main!$A$57:$I$59,4,FALSE)+VLOOKUP(VLOOKUP(Y$1,main!$A$3:$I$56,7,FALSE),main!$K$10:$Q$14,4,FALSE),1,0)</f>
        <v>1</v>
      </c>
      <c r="Z66">
        <f>IF(VLOOKUP(Z$1,main!$A$3:$I$56,5,FALSE)-VLOOKUP($A66,main!$A$3:$I$56,6,FALSE)&gt;=VLOOKUP(56,main!$A$57:$I$59,4,FALSE)+VLOOKUP(VLOOKUP(Z$1,main!$A$3:$I$56,7,FALSE),main!$K$10:$Q$14,4,FALSE),1,0)</f>
        <v>1</v>
      </c>
      <c r="AA66">
        <f>IF(VLOOKUP(AA$1,main!$A$3:$I$56,5,FALSE)-VLOOKUP($A66,main!$A$3:$I$56,6,FALSE)&gt;=VLOOKUP(56,main!$A$57:$I$59,4,FALSE)+VLOOKUP(VLOOKUP(AA$1,main!$A$3:$I$56,7,FALSE),main!$K$10:$Q$14,4,FALSE),1,0)</f>
        <v>1</v>
      </c>
      <c r="AB66">
        <f>IF(VLOOKUP(AB$1,main!$A$3:$I$56,5,FALSE)-VLOOKUP($A66,main!$A$3:$I$56,6,FALSE)&gt;=VLOOKUP(56,main!$A$57:$I$59,4,FALSE)+VLOOKUP(VLOOKUP(AB$1,main!$A$3:$I$56,7,FALSE),main!$K$10:$Q$14,4,FALSE),1,0)</f>
        <v>1</v>
      </c>
      <c r="AC66">
        <f>IF(VLOOKUP(AC$1,main!$A$3:$I$56,5,FALSE)-VLOOKUP($A66,main!$A$3:$I$56,6,FALSE)&gt;=VLOOKUP(56,main!$A$57:$I$59,4,FALSE)+VLOOKUP(VLOOKUP(AC$1,main!$A$3:$I$56,7,FALSE),main!$K$10:$Q$14,4,FALSE),1,0)</f>
        <v>0</v>
      </c>
      <c r="AD66">
        <f>IF(VLOOKUP(AD$1,main!$A$3:$I$56,5,FALSE)-VLOOKUP($A66,main!$A$3:$I$56,6,FALSE)&gt;=VLOOKUP(56,main!$A$57:$I$59,4,FALSE)+VLOOKUP(VLOOKUP(AD$1,main!$A$3:$I$56,7,FALSE),main!$K$10:$Q$14,4,FALSE),1,0)</f>
        <v>0</v>
      </c>
      <c r="AE66">
        <f>IF(VLOOKUP(AE$1,main!$A$3:$I$56,5,FALSE)-VLOOKUP($A66,main!$A$3:$I$56,6,FALSE)&gt;=VLOOKUP(56,main!$A$57:$I$59,4,FALSE)+VLOOKUP(VLOOKUP(AE$1,main!$A$3:$I$56,7,FALSE),main!$K$10:$Q$14,4,FALSE),1,0)</f>
        <v>0</v>
      </c>
      <c r="AF66">
        <f>IF(VLOOKUP(AF$1,main!$A$3:$I$56,5,FALSE)-VLOOKUP($A66,main!$A$3:$I$56,6,FALSE)&gt;=VLOOKUP(56,main!$A$57:$I$59,4,FALSE)+VLOOKUP(VLOOKUP(AF$1,main!$A$3:$I$56,7,FALSE),main!$K$10:$Q$14,4,FALSE),1,0)</f>
        <v>1</v>
      </c>
      <c r="AG66">
        <f>IF(VLOOKUP(AG$1,main!$A$3:$I$56,5,FALSE)-VLOOKUP($A66,main!$A$3:$I$56,6,FALSE)&gt;=VLOOKUP(56,main!$A$57:$I$59,4,FALSE)+VLOOKUP(VLOOKUP(AG$1,main!$A$3:$I$56,7,FALSE),main!$K$10:$Q$14,4,FALSE),1,0)</f>
        <v>0</v>
      </c>
      <c r="AH66">
        <f>IF(VLOOKUP(AH$1,main!$A$3:$I$56,5,FALSE)-VLOOKUP($A66,main!$A$3:$I$56,6,FALSE)&gt;=VLOOKUP(56,main!$A$57:$I$59,4,FALSE)+VLOOKUP(VLOOKUP(AH$1,main!$A$3:$I$56,7,FALSE),main!$K$10:$Q$14,4,FALSE),1,0)</f>
        <v>0</v>
      </c>
      <c r="AI66">
        <f>IF(VLOOKUP(AI$1,main!$A$3:$I$56,5,FALSE)-VLOOKUP($A66,main!$A$3:$I$56,6,FALSE)&gt;=VLOOKUP(56,main!$A$57:$I$59,4,FALSE)+VLOOKUP(VLOOKUP(AI$1,main!$A$3:$I$56,7,FALSE),main!$K$10:$Q$14,4,FALSE),1,0)</f>
        <v>0</v>
      </c>
      <c r="AJ66">
        <f>IF(VLOOKUP(AJ$1,main!$A$3:$I$56,5,FALSE)-VLOOKUP($A66,main!$A$3:$I$56,6,FALSE)&gt;=VLOOKUP(56,main!$A$57:$I$59,4,FALSE)+VLOOKUP(VLOOKUP(AJ$1,main!$A$3:$I$56,7,FALSE),main!$K$10:$Q$14,4,FALSE),1,0)</f>
        <v>1</v>
      </c>
      <c r="AK66">
        <f>IF(VLOOKUP(AK$1,main!$A$3:$I$56,5,FALSE)-VLOOKUP($A66,main!$A$3:$I$56,6,FALSE)&gt;=VLOOKUP(56,main!$A$57:$I$59,4,FALSE)+VLOOKUP(VLOOKUP(AK$1,main!$A$3:$I$56,7,FALSE),main!$K$10:$Q$14,4,FALSE),1,0)</f>
        <v>1</v>
      </c>
      <c r="AL66">
        <f>IF(VLOOKUP(AL$1,main!$A$3:$I$56,5,FALSE)-VLOOKUP($A66,main!$A$3:$I$56,6,FALSE)&gt;=VLOOKUP(56,main!$A$57:$I$59,4,FALSE)+VLOOKUP(VLOOKUP(AL$1,main!$A$3:$I$56,7,FALSE),main!$K$10:$Q$14,4,FALSE),1,0)</f>
        <v>0</v>
      </c>
      <c r="AM66">
        <f>IF(VLOOKUP(AM$1,main!$A$3:$I$56,5,FALSE)-VLOOKUP($A66,main!$A$3:$I$56,6,FALSE)&gt;=VLOOKUP(56,main!$A$57:$I$59,4,FALSE)+VLOOKUP(VLOOKUP(AM$1,main!$A$3:$I$56,7,FALSE),main!$K$10:$Q$14,4,FALSE),1,0)</f>
        <v>0</v>
      </c>
      <c r="AN66">
        <f>IF(VLOOKUP(AN$1,main!$A$3:$I$56,5,FALSE)-VLOOKUP($A66,main!$A$3:$I$56,6,FALSE)&gt;=VLOOKUP(56,main!$A$57:$I$59,4,FALSE)+VLOOKUP(VLOOKUP(AN$1,main!$A$3:$I$56,7,FALSE),main!$K$10:$Q$14,4,FALSE),1,0)</f>
        <v>1</v>
      </c>
      <c r="AO66">
        <f>IF(VLOOKUP(AO$1,main!$A$3:$I$56,5,FALSE)-VLOOKUP($A66,main!$A$3:$I$56,6,FALSE)&gt;=VLOOKUP(56,main!$A$57:$I$59,4,FALSE)+VLOOKUP(VLOOKUP(AO$1,main!$A$3:$I$56,7,FALSE),main!$K$10:$Q$14,4,FALSE),1,0)</f>
        <v>1</v>
      </c>
      <c r="AP66">
        <f>IF(VLOOKUP(AP$1,main!$A$3:$I$56,5,FALSE)-VLOOKUP($A66,main!$A$3:$I$56,6,FALSE)&gt;=VLOOKUP(56,main!$A$57:$I$59,4,FALSE)+VLOOKUP(VLOOKUP(AP$1,main!$A$3:$I$56,7,FALSE),main!$K$10:$Q$14,4,FALSE),1,0)</f>
        <v>0</v>
      </c>
      <c r="AQ66">
        <f>IF(VLOOKUP(AQ$1,main!$A$3:$I$56,5,FALSE)-VLOOKUP($A66,main!$A$3:$I$56,6,FALSE)&gt;=VLOOKUP(56,main!$A$57:$I$59,4,FALSE)+VLOOKUP(VLOOKUP(AQ$1,main!$A$3:$I$56,7,FALSE),main!$K$10:$Q$14,4,FALSE),1,0)</f>
        <v>0</v>
      </c>
      <c r="AR66">
        <f>IF(VLOOKUP(AR$1,main!$A$3:$I$56,5,FALSE)-VLOOKUP($A66,main!$A$3:$I$56,6,FALSE)&gt;=VLOOKUP(56,main!$A$57:$I$59,4,FALSE)+VLOOKUP(VLOOKUP(AR$1,main!$A$3:$I$56,7,FALSE),main!$K$10:$Q$14,4,FALSE),1,0)</f>
        <v>0</v>
      </c>
      <c r="AS66">
        <f>IF(VLOOKUP(AS$1,main!$A$3:$I$56,5,FALSE)-VLOOKUP($A66,main!$A$3:$I$56,6,FALSE)&gt;=VLOOKUP(56,main!$A$57:$I$59,4,FALSE)+VLOOKUP(VLOOKUP(AS$1,main!$A$3:$I$56,7,FALSE),main!$K$10:$Q$14,4,FALSE),1,0)</f>
        <v>0</v>
      </c>
      <c r="AT66">
        <f>IF(VLOOKUP(AT$1,main!$A$3:$I$56,5,FALSE)-VLOOKUP($A66,main!$A$3:$I$56,6,FALSE)&gt;=VLOOKUP(56,main!$A$57:$I$59,4,FALSE)+VLOOKUP(VLOOKUP(AT$1,main!$A$3:$I$56,7,FALSE),main!$K$10:$Q$14,4,FALSE),1,0)</f>
        <v>0</v>
      </c>
      <c r="AU66">
        <f>IF(VLOOKUP(AU$1,main!$A$3:$I$56,5,FALSE)-VLOOKUP($A66,main!$A$3:$I$56,6,FALSE)&gt;=VLOOKUP(56,main!$A$57:$I$59,4,FALSE)+VLOOKUP(VLOOKUP(AU$1,main!$A$3:$I$56,7,FALSE),main!$K$10:$Q$14,4,FALSE),1,0)</f>
        <v>0</v>
      </c>
      <c r="AV66">
        <f>IF(VLOOKUP(AV$1,main!$A$3:$I$56,5,FALSE)-VLOOKUP($A66,main!$A$3:$I$56,6,FALSE)&gt;=VLOOKUP(56,main!$A$57:$I$59,4,FALSE)+VLOOKUP(VLOOKUP(AV$1,main!$A$3:$I$56,7,FALSE),main!$K$10:$Q$14,4,FALSE),1,0)</f>
        <v>0</v>
      </c>
      <c r="AW66">
        <f>IF(VLOOKUP(AW$1,main!$A$3:$I$56,5,FALSE)-VLOOKUP($A66,main!$A$3:$I$56,6,FALSE)&gt;=VLOOKUP(56,main!$A$57:$I$59,4,FALSE)+VLOOKUP(VLOOKUP(AW$1,main!$A$3:$I$56,7,FALSE),main!$K$10:$Q$14,4,FALSE),1,0)</f>
        <v>0</v>
      </c>
      <c r="AX66">
        <f>IF(VLOOKUP(AX$1,main!$A$3:$I$56,5,FALSE)-VLOOKUP($A66,main!$A$3:$I$56,6,FALSE)&gt;=VLOOKUP(56,main!$A$57:$I$59,4,FALSE)+VLOOKUP(VLOOKUP(AX$1,main!$A$3:$I$56,7,FALSE),main!$K$10:$Q$14,4,FALSE),1,0)</f>
        <v>1</v>
      </c>
      <c r="AY66">
        <f>IF(VLOOKUP(AY$1,main!$A$3:$I$56,5,FALSE)-VLOOKUP($A66,main!$A$3:$I$56,6,FALSE)&gt;=VLOOKUP(56,main!$A$57:$I$59,4,FALSE)+VLOOKUP(VLOOKUP(AY$1,main!$A$3:$I$56,7,FALSE),main!$K$10:$Q$14,4,FALSE),1,0)</f>
        <v>1</v>
      </c>
      <c r="AZ66">
        <f>IF(VLOOKUP(AZ$1,main!$A$3:$I$56,5,FALSE)-VLOOKUP($A66,main!$A$3:$I$56,6,FALSE)&gt;=VLOOKUP(56,main!$A$57:$I$59,4,FALSE)+VLOOKUP(VLOOKUP(AZ$1,main!$A$3:$I$56,7,FALSE),main!$K$10:$Q$14,4,FALSE),1,0)</f>
        <v>0</v>
      </c>
      <c r="BA66">
        <f>IF(VLOOKUP(BA$1,main!$A$3:$I$56,5,FALSE)-VLOOKUP($A66,main!$A$3:$I$56,6,FALSE)&gt;=VLOOKUP(56,main!$A$57:$I$59,4,FALSE)+VLOOKUP(VLOOKUP(BA$1,main!$A$3:$I$56,7,FALSE),main!$K$10:$Q$14,4,FALSE),1,0)</f>
        <v>0</v>
      </c>
      <c r="BB66">
        <f>IF(VLOOKUP(BB$1,main!$A$3:$I$56,5,FALSE)-VLOOKUP($A66,main!$A$3:$I$56,6,FALSE)&gt;=VLOOKUP(56,main!$A$57:$I$59,4,FALSE)+VLOOKUP(VLOOKUP(BB$1,main!$A$3:$I$56,7,FALSE),main!$K$10:$Q$14,4,FALSE),1,0)</f>
        <v>0</v>
      </c>
      <c r="BC66">
        <f>IF(VLOOKUP(BC$1,main!$A$3:$I$56,5,FALSE)-VLOOKUP($A66,main!$A$3:$I$56,6,FALSE)&gt;=VLOOKUP(56,main!$A$57:$I$59,4,FALSE)+VLOOKUP(VLOOKUP(BC$1,main!$A$3:$I$56,7,FALSE),main!$K$10:$Q$14,4,FALSE),1,0)</f>
        <v>1</v>
      </c>
      <c r="BD66">
        <f>IF(VLOOKUP(BD$1,main!$A$3:$I$56,5,FALSE)-VLOOKUP($A66,main!$A$3:$I$56,6,FALSE)&gt;=VLOOKUP(56,main!$A$57:$I$59,4,FALSE)+VLOOKUP(VLOOKUP(BD$1,main!$A$3:$I$56,7,FALSE),main!$K$10:$Q$14,4,FALSE),1,0)</f>
        <v>1</v>
      </c>
    </row>
    <row r="67" spans="1:56" x14ac:dyDescent="0.25">
      <c r="A67">
        <f t="shared" si="1"/>
        <v>10</v>
      </c>
      <c r="B67">
        <v>0</v>
      </c>
      <c r="C67">
        <f>IF(VLOOKUP(C$1,main!$A$3:$I$56,5,FALSE)-VLOOKUP($A67,main!$A$3:$I$56,6,FALSE)&gt;=VLOOKUP(56,main!$A$57:$I$59,4,FALSE)+VLOOKUP(VLOOKUP(C$1,main!$A$3:$I$56,7,FALSE),main!$K$10:$Q$14,4,FALSE),1,0)</f>
        <v>0</v>
      </c>
      <c r="D67">
        <f>IF(VLOOKUP(D$1,main!$A$3:$I$56,5,FALSE)-VLOOKUP($A67,main!$A$3:$I$56,6,FALSE)&gt;=VLOOKUP(56,main!$A$57:$I$59,4,FALSE)+VLOOKUP(VLOOKUP(D$1,main!$A$3:$I$56,7,FALSE),main!$K$10:$Q$14,4,FALSE),1,0)</f>
        <v>0</v>
      </c>
      <c r="E67">
        <f>IF(VLOOKUP(E$1,main!$A$3:$I$56,5,FALSE)-VLOOKUP($A67,main!$A$3:$I$56,6,FALSE)&gt;=VLOOKUP(56,main!$A$57:$I$59,4,FALSE)+VLOOKUP(VLOOKUP(E$1,main!$A$3:$I$56,7,FALSE),main!$K$10:$Q$14,4,FALSE),1,0)</f>
        <v>0</v>
      </c>
      <c r="F67">
        <f>IF(VLOOKUP(F$1,main!$A$3:$I$56,5,FALSE)-VLOOKUP($A67,main!$A$3:$I$56,6,FALSE)&gt;=VLOOKUP(56,main!$A$57:$I$59,4,FALSE)+VLOOKUP(VLOOKUP(F$1,main!$A$3:$I$56,7,FALSE),main!$K$10:$Q$14,4,FALSE),1,0)</f>
        <v>1</v>
      </c>
      <c r="G67">
        <f>IF(VLOOKUP(G$1,main!$A$3:$I$56,5,FALSE)-VLOOKUP($A67,main!$A$3:$I$56,6,FALSE)&gt;=VLOOKUP(56,main!$A$57:$I$59,4,FALSE)+VLOOKUP(VLOOKUP(G$1,main!$A$3:$I$56,7,FALSE),main!$K$10:$Q$14,4,FALSE),1,0)</f>
        <v>1</v>
      </c>
      <c r="H67">
        <f>IF(VLOOKUP(H$1,main!$A$3:$I$56,5,FALSE)-VLOOKUP($A67,main!$A$3:$I$56,6,FALSE)&gt;=VLOOKUP(56,main!$A$57:$I$59,4,FALSE)+VLOOKUP(VLOOKUP(H$1,main!$A$3:$I$56,7,FALSE),main!$K$10:$Q$14,4,FALSE),1,0)</f>
        <v>1</v>
      </c>
      <c r="I67">
        <f>IF(VLOOKUP(I$1,main!$A$3:$I$56,5,FALSE)-VLOOKUP($A67,main!$A$3:$I$56,6,FALSE)&gt;=VLOOKUP(56,main!$A$57:$I$59,4,FALSE)+VLOOKUP(VLOOKUP(I$1,main!$A$3:$I$56,7,FALSE),main!$K$10:$Q$14,4,FALSE),1,0)</f>
        <v>1</v>
      </c>
      <c r="J67">
        <f>IF(VLOOKUP(J$1,main!$A$3:$I$56,5,FALSE)-VLOOKUP($A67,main!$A$3:$I$56,6,FALSE)&gt;=VLOOKUP(56,main!$A$57:$I$59,4,FALSE)+VLOOKUP(VLOOKUP(J$1,main!$A$3:$I$56,7,FALSE),main!$K$10:$Q$14,4,FALSE),1,0)</f>
        <v>1</v>
      </c>
      <c r="K67">
        <f>IF(VLOOKUP(K$1,main!$A$3:$I$56,5,FALSE)-VLOOKUP($A67,main!$A$3:$I$56,6,FALSE)&gt;=VLOOKUP(56,main!$A$57:$I$59,4,FALSE)+VLOOKUP(VLOOKUP(K$1,main!$A$3:$I$56,7,FALSE),main!$K$10:$Q$14,4,FALSE),1,0)</f>
        <v>0</v>
      </c>
      <c r="L67">
        <f>IF(VLOOKUP(L$1,main!$A$3:$I$56,5,FALSE)-VLOOKUP($A67,main!$A$3:$I$56,6,FALSE)&gt;=VLOOKUP(56,main!$A$57:$I$59,4,FALSE)+VLOOKUP(VLOOKUP(L$1,main!$A$3:$I$56,7,FALSE),main!$K$10:$Q$14,4,FALSE),1,0)</f>
        <v>0</v>
      </c>
      <c r="M67">
        <f>IF(VLOOKUP(M$1,main!$A$3:$I$56,5,FALSE)-VLOOKUP($A67,main!$A$3:$I$56,6,FALSE)&gt;=VLOOKUP(56,main!$A$57:$I$59,4,FALSE)+VLOOKUP(VLOOKUP(M$1,main!$A$3:$I$56,7,FALSE),main!$K$10:$Q$14,4,FALSE),1,0)</f>
        <v>0</v>
      </c>
      <c r="N67">
        <f>IF(VLOOKUP(N$1,main!$A$3:$I$56,5,FALSE)-VLOOKUP($A67,main!$A$3:$I$56,6,FALSE)&gt;=VLOOKUP(56,main!$A$57:$I$59,4,FALSE)+VLOOKUP(VLOOKUP(N$1,main!$A$3:$I$56,7,FALSE),main!$K$10:$Q$14,4,FALSE),1,0)</f>
        <v>1</v>
      </c>
      <c r="O67">
        <f>IF(VLOOKUP(O$1,main!$A$3:$I$56,5,FALSE)-VLOOKUP($A67,main!$A$3:$I$56,6,FALSE)&gt;=VLOOKUP(56,main!$A$57:$I$59,4,FALSE)+VLOOKUP(VLOOKUP(O$1,main!$A$3:$I$56,7,FALSE),main!$K$10:$Q$14,4,FALSE),1,0)</f>
        <v>1</v>
      </c>
      <c r="P67">
        <f>IF(VLOOKUP(P$1,main!$A$3:$I$56,5,FALSE)-VLOOKUP($A67,main!$A$3:$I$56,6,FALSE)&gt;=VLOOKUP(56,main!$A$57:$I$59,4,FALSE)+VLOOKUP(VLOOKUP(P$1,main!$A$3:$I$56,7,FALSE),main!$K$10:$Q$14,4,FALSE),1,0)</f>
        <v>0</v>
      </c>
      <c r="Q67">
        <f>IF(VLOOKUP(Q$1,main!$A$3:$I$56,5,FALSE)-VLOOKUP($A67,main!$A$3:$I$56,6,FALSE)&gt;=VLOOKUP(56,main!$A$57:$I$59,4,FALSE)+VLOOKUP(VLOOKUP(Q$1,main!$A$3:$I$56,7,FALSE),main!$K$10:$Q$14,4,FALSE),1,0)</f>
        <v>0</v>
      </c>
      <c r="R67">
        <f>IF(VLOOKUP(R$1,main!$A$3:$I$56,5,FALSE)-VLOOKUP($A67,main!$A$3:$I$56,6,FALSE)&gt;=VLOOKUP(56,main!$A$57:$I$59,4,FALSE)+VLOOKUP(VLOOKUP(R$1,main!$A$3:$I$56,7,FALSE),main!$K$10:$Q$14,4,FALSE),1,0)</f>
        <v>0</v>
      </c>
      <c r="S67">
        <f>IF(VLOOKUP(S$1,main!$A$3:$I$56,5,FALSE)-VLOOKUP($A67,main!$A$3:$I$56,6,FALSE)&gt;=VLOOKUP(56,main!$A$57:$I$59,4,FALSE)+VLOOKUP(VLOOKUP(S$1,main!$A$3:$I$56,7,FALSE),main!$K$10:$Q$14,4,FALSE),1,0)</f>
        <v>1</v>
      </c>
      <c r="T67">
        <f>IF(VLOOKUP(T$1,main!$A$3:$I$56,5,FALSE)-VLOOKUP($A67,main!$A$3:$I$56,6,FALSE)&gt;=VLOOKUP(56,main!$A$57:$I$59,4,FALSE)+VLOOKUP(VLOOKUP(T$1,main!$A$3:$I$56,7,FALSE),main!$K$10:$Q$14,4,FALSE),1,0)</f>
        <v>1</v>
      </c>
      <c r="U67">
        <f>IF(VLOOKUP(U$1,main!$A$3:$I$56,5,FALSE)-VLOOKUP($A67,main!$A$3:$I$56,6,FALSE)&gt;=VLOOKUP(56,main!$A$57:$I$59,4,FALSE)+VLOOKUP(VLOOKUP(U$1,main!$A$3:$I$56,7,FALSE),main!$K$10:$Q$14,4,FALSE),1,0)</f>
        <v>0</v>
      </c>
      <c r="V67">
        <f>IF(VLOOKUP(V$1,main!$A$3:$I$56,5,FALSE)-VLOOKUP($A67,main!$A$3:$I$56,6,FALSE)&gt;=VLOOKUP(56,main!$A$57:$I$59,4,FALSE)+VLOOKUP(VLOOKUP(V$1,main!$A$3:$I$56,7,FALSE),main!$K$10:$Q$14,4,FALSE),1,0)</f>
        <v>0</v>
      </c>
      <c r="W67">
        <f>IF(VLOOKUP(W$1,main!$A$3:$I$56,5,FALSE)-VLOOKUP($A67,main!$A$3:$I$56,6,FALSE)&gt;=VLOOKUP(56,main!$A$57:$I$59,4,FALSE)+VLOOKUP(VLOOKUP(W$1,main!$A$3:$I$56,7,FALSE),main!$K$10:$Q$14,4,FALSE),1,0)</f>
        <v>0</v>
      </c>
      <c r="X67">
        <f>IF(VLOOKUP(X$1,main!$A$3:$I$56,5,FALSE)-VLOOKUP($A67,main!$A$3:$I$56,6,FALSE)&gt;=VLOOKUP(56,main!$A$57:$I$59,4,FALSE)+VLOOKUP(VLOOKUP(X$1,main!$A$3:$I$56,7,FALSE),main!$K$10:$Q$14,4,FALSE),1,0)</f>
        <v>0</v>
      </c>
      <c r="Y67">
        <f>IF(VLOOKUP(Y$1,main!$A$3:$I$56,5,FALSE)-VLOOKUP($A67,main!$A$3:$I$56,6,FALSE)&gt;=VLOOKUP(56,main!$A$57:$I$59,4,FALSE)+VLOOKUP(VLOOKUP(Y$1,main!$A$3:$I$56,7,FALSE),main!$K$10:$Q$14,4,FALSE),1,0)</f>
        <v>0</v>
      </c>
      <c r="Z67">
        <f>IF(VLOOKUP(Z$1,main!$A$3:$I$56,5,FALSE)-VLOOKUP($A67,main!$A$3:$I$56,6,FALSE)&gt;=VLOOKUP(56,main!$A$57:$I$59,4,FALSE)+VLOOKUP(VLOOKUP(Z$1,main!$A$3:$I$56,7,FALSE),main!$K$10:$Q$14,4,FALSE),1,0)</f>
        <v>0</v>
      </c>
      <c r="AA67">
        <f>IF(VLOOKUP(AA$1,main!$A$3:$I$56,5,FALSE)-VLOOKUP($A67,main!$A$3:$I$56,6,FALSE)&gt;=VLOOKUP(56,main!$A$57:$I$59,4,FALSE)+VLOOKUP(VLOOKUP(AA$1,main!$A$3:$I$56,7,FALSE),main!$K$10:$Q$14,4,FALSE),1,0)</f>
        <v>1</v>
      </c>
      <c r="AB67">
        <f>IF(VLOOKUP(AB$1,main!$A$3:$I$56,5,FALSE)-VLOOKUP($A67,main!$A$3:$I$56,6,FALSE)&gt;=VLOOKUP(56,main!$A$57:$I$59,4,FALSE)+VLOOKUP(VLOOKUP(AB$1,main!$A$3:$I$56,7,FALSE),main!$K$10:$Q$14,4,FALSE),1,0)</f>
        <v>1</v>
      </c>
      <c r="AC67">
        <f>IF(VLOOKUP(AC$1,main!$A$3:$I$56,5,FALSE)-VLOOKUP($A67,main!$A$3:$I$56,6,FALSE)&gt;=VLOOKUP(56,main!$A$57:$I$59,4,FALSE)+VLOOKUP(VLOOKUP(AC$1,main!$A$3:$I$56,7,FALSE),main!$K$10:$Q$14,4,FALSE),1,0)</f>
        <v>0</v>
      </c>
      <c r="AD67">
        <f>IF(VLOOKUP(AD$1,main!$A$3:$I$56,5,FALSE)-VLOOKUP($A67,main!$A$3:$I$56,6,FALSE)&gt;=VLOOKUP(56,main!$A$57:$I$59,4,FALSE)+VLOOKUP(VLOOKUP(AD$1,main!$A$3:$I$56,7,FALSE),main!$K$10:$Q$14,4,FALSE),1,0)</f>
        <v>0</v>
      </c>
      <c r="AE67">
        <f>IF(VLOOKUP(AE$1,main!$A$3:$I$56,5,FALSE)-VLOOKUP($A67,main!$A$3:$I$56,6,FALSE)&gt;=VLOOKUP(56,main!$A$57:$I$59,4,FALSE)+VLOOKUP(VLOOKUP(AE$1,main!$A$3:$I$56,7,FALSE),main!$K$10:$Q$14,4,FALSE),1,0)</f>
        <v>0</v>
      </c>
      <c r="AF67">
        <f>IF(VLOOKUP(AF$1,main!$A$3:$I$56,5,FALSE)-VLOOKUP($A67,main!$A$3:$I$56,6,FALSE)&gt;=VLOOKUP(56,main!$A$57:$I$59,4,FALSE)+VLOOKUP(VLOOKUP(AF$1,main!$A$3:$I$56,7,FALSE),main!$K$10:$Q$14,4,FALSE),1,0)</f>
        <v>0</v>
      </c>
      <c r="AG67">
        <f>IF(VLOOKUP(AG$1,main!$A$3:$I$56,5,FALSE)-VLOOKUP($A67,main!$A$3:$I$56,6,FALSE)&gt;=VLOOKUP(56,main!$A$57:$I$59,4,FALSE)+VLOOKUP(VLOOKUP(AG$1,main!$A$3:$I$56,7,FALSE),main!$K$10:$Q$14,4,FALSE),1,0)</f>
        <v>0</v>
      </c>
      <c r="AH67">
        <f>IF(VLOOKUP(AH$1,main!$A$3:$I$56,5,FALSE)-VLOOKUP($A67,main!$A$3:$I$56,6,FALSE)&gt;=VLOOKUP(56,main!$A$57:$I$59,4,FALSE)+VLOOKUP(VLOOKUP(AH$1,main!$A$3:$I$56,7,FALSE),main!$K$10:$Q$14,4,FALSE),1,0)</f>
        <v>0</v>
      </c>
      <c r="AI67">
        <f>IF(VLOOKUP(AI$1,main!$A$3:$I$56,5,FALSE)-VLOOKUP($A67,main!$A$3:$I$56,6,FALSE)&gt;=VLOOKUP(56,main!$A$57:$I$59,4,FALSE)+VLOOKUP(VLOOKUP(AI$1,main!$A$3:$I$56,7,FALSE),main!$K$10:$Q$14,4,FALSE),1,0)</f>
        <v>0</v>
      </c>
      <c r="AJ67">
        <f>IF(VLOOKUP(AJ$1,main!$A$3:$I$56,5,FALSE)-VLOOKUP($A67,main!$A$3:$I$56,6,FALSE)&gt;=VLOOKUP(56,main!$A$57:$I$59,4,FALSE)+VLOOKUP(VLOOKUP(AJ$1,main!$A$3:$I$56,7,FALSE),main!$K$10:$Q$14,4,FALSE),1,0)</f>
        <v>0</v>
      </c>
      <c r="AK67">
        <f>IF(VLOOKUP(AK$1,main!$A$3:$I$56,5,FALSE)-VLOOKUP($A67,main!$A$3:$I$56,6,FALSE)&gt;=VLOOKUP(56,main!$A$57:$I$59,4,FALSE)+VLOOKUP(VLOOKUP(AK$1,main!$A$3:$I$56,7,FALSE),main!$K$10:$Q$14,4,FALSE),1,0)</f>
        <v>1</v>
      </c>
      <c r="AL67">
        <f>IF(VLOOKUP(AL$1,main!$A$3:$I$56,5,FALSE)-VLOOKUP($A67,main!$A$3:$I$56,6,FALSE)&gt;=VLOOKUP(56,main!$A$57:$I$59,4,FALSE)+VLOOKUP(VLOOKUP(AL$1,main!$A$3:$I$56,7,FALSE),main!$K$10:$Q$14,4,FALSE),1,0)</f>
        <v>0</v>
      </c>
      <c r="AM67">
        <f>IF(VLOOKUP(AM$1,main!$A$3:$I$56,5,FALSE)-VLOOKUP($A67,main!$A$3:$I$56,6,FALSE)&gt;=VLOOKUP(56,main!$A$57:$I$59,4,FALSE)+VLOOKUP(VLOOKUP(AM$1,main!$A$3:$I$56,7,FALSE),main!$K$10:$Q$14,4,FALSE),1,0)</f>
        <v>0</v>
      </c>
      <c r="AN67">
        <f>IF(VLOOKUP(AN$1,main!$A$3:$I$56,5,FALSE)-VLOOKUP($A67,main!$A$3:$I$56,6,FALSE)&gt;=VLOOKUP(56,main!$A$57:$I$59,4,FALSE)+VLOOKUP(VLOOKUP(AN$1,main!$A$3:$I$56,7,FALSE),main!$K$10:$Q$14,4,FALSE),1,0)</f>
        <v>0</v>
      </c>
      <c r="AO67">
        <f>IF(VLOOKUP(AO$1,main!$A$3:$I$56,5,FALSE)-VLOOKUP($A67,main!$A$3:$I$56,6,FALSE)&gt;=VLOOKUP(56,main!$A$57:$I$59,4,FALSE)+VLOOKUP(VLOOKUP(AO$1,main!$A$3:$I$56,7,FALSE),main!$K$10:$Q$14,4,FALSE),1,0)</f>
        <v>0</v>
      </c>
      <c r="AP67">
        <f>IF(VLOOKUP(AP$1,main!$A$3:$I$56,5,FALSE)-VLOOKUP($A67,main!$A$3:$I$56,6,FALSE)&gt;=VLOOKUP(56,main!$A$57:$I$59,4,FALSE)+VLOOKUP(VLOOKUP(AP$1,main!$A$3:$I$56,7,FALSE),main!$K$10:$Q$14,4,FALSE),1,0)</f>
        <v>0</v>
      </c>
      <c r="AQ67">
        <f>IF(VLOOKUP(AQ$1,main!$A$3:$I$56,5,FALSE)-VLOOKUP($A67,main!$A$3:$I$56,6,FALSE)&gt;=VLOOKUP(56,main!$A$57:$I$59,4,FALSE)+VLOOKUP(VLOOKUP(AQ$1,main!$A$3:$I$56,7,FALSE),main!$K$10:$Q$14,4,FALSE),1,0)</f>
        <v>0</v>
      </c>
      <c r="AR67">
        <f>IF(VLOOKUP(AR$1,main!$A$3:$I$56,5,FALSE)-VLOOKUP($A67,main!$A$3:$I$56,6,FALSE)&gt;=VLOOKUP(56,main!$A$57:$I$59,4,FALSE)+VLOOKUP(VLOOKUP(AR$1,main!$A$3:$I$56,7,FALSE),main!$K$10:$Q$14,4,FALSE),1,0)</f>
        <v>0</v>
      </c>
      <c r="AS67">
        <f>IF(VLOOKUP(AS$1,main!$A$3:$I$56,5,FALSE)-VLOOKUP($A67,main!$A$3:$I$56,6,FALSE)&gt;=VLOOKUP(56,main!$A$57:$I$59,4,FALSE)+VLOOKUP(VLOOKUP(AS$1,main!$A$3:$I$56,7,FALSE),main!$K$10:$Q$14,4,FALSE),1,0)</f>
        <v>0</v>
      </c>
      <c r="AT67">
        <f>IF(VLOOKUP(AT$1,main!$A$3:$I$56,5,FALSE)-VLOOKUP($A67,main!$A$3:$I$56,6,FALSE)&gt;=VLOOKUP(56,main!$A$57:$I$59,4,FALSE)+VLOOKUP(VLOOKUP(AT$1,main!$A$3:$I$56,7,FALSE),main!$K$10:$Q$14,4,FALSE),1,0)</f>
        <v>0</v>
      </c>
      <c r="AU67">
        <f>IF(VLOOKUP(AU$1,main!$A$3:$I$56,5,FALSE)-VLOOKUP($A67,main!$A$3:$I$56,6,FALSE)&gt;=VLOOKUP(56,main!$A$57:$I$59,4,FALSE)+VLOOKUP(VLOOKUP(AU$1,main!$A$3:$I$56,7,FALSE),main!$K$10:$Q$14,4,FALSE),1,0)</f>
        <v>0</v>
      </c>
      <c r="AV67">
        <f>IF(VLOOKUP(AV$1,main!$A$3:$I$56,5,FALSE)-VLOOKUP($A67,main!$A$3:$I$56,6,FALSE)&gt;=VLOOKUP(56,main!$A$57:$I$59,4,FALSE)+VLOOKUP(VLOOKUP(AV$1,main!$A$3:$I$56,7,FALSE),main!$K$10:$Q$14,4,FALSE),1,0)</f>
        <v>0</v>
      </c>
      <c r="AW67">
        <f>IF(VLOOKUP(AW$1,main!$A$3:$I$56,5,FALSE)-VLOOKUP($A67,main!$A$3:$I$56,6,FALSE)&gt;=VLOOKUP(56,main!$A$57:$I$59,4,FALSE)+VLOOKUP(VLOOKUP(AW$1,main!$A$3:$I$56,7,FALSE),main!$K$10:$Q$14,4,FALSE),1,0)</f>
        <v>0</v>
      </c>
      <c r="AX67">
        <f>IF(VLOOKUP(AX$1,main!$A$3:$I$56,5,FALSE)-VLOOKUP($A67,main!$A$3:$I$56,6,FALSE)&gt;=VLOOKUP(56,main!$A$57:$I$59,4,FALSE)+VLOOKUP(VLOOKUP(AX$1,main!$A$3:$I$56,7,FALSE),main!$K$10:$Q$14,4,FALSE),1,0)</f>
        <v>0</v>
      </c>
      <c r="AY67">
        <f>IF(VLOOKUP(AY$1,main!$A$3:$I$56,5,FALSE)-VLOOKUP($A67,main!$A$3:$I$56,6,FALSE)&gt;=VLOOKUP(56,main!$A$57:$I$59,4,FALSE)+VLOOKUP(VLOOKUP(AY$1,main!$A$3:$I$56,7,FALSE),main!$K$10:$Q$14,4,FALSE),1,0)</f>
        <v>1</v>
      </c>
      <c r="AZ67">
        <f>IF(VLOOKUP(AZ$1,main!$A$3:$I$56,5,FALSE)-VLOOKUP($A67,main!$A$3:$I$56,6,FALSE)&gt;=VLOOKUP(56,main!$A$57:$I$59,4,FALSE)+VLOOKUP(VLOOKUP(AZ$1,main!$A$3:$I$56,7,FALSE),main!$K$10:$Q$14,4,FALSE),1,0)</f>
        <v>0</v>
      </c>
      <c r="BA67">
        <f>IF(VLOOKUP(BA$1,main!$A$3:$I$56,5,FALSE)-VLOOKUP($A67,main!$A$3:$I$56,6,FALSE)&gt;=VLOOKUP(56,main!$A$57:$I$59,4,FALSE)+VLOOKUP(VLOOKUP(BA$1,main!$A$3:$I$56,7,FALSE),main!$K$10:$Q$14,4,FALSE),1,0)</f>
        <v>0</v>
      </c>
      <c r="BB67">
        <f>IF(VLOOKUP(BB$1,main!$A$3:$I$56,5,FALSE)-VLOOKUP($A67,main!$A$3:$I$56,6,FALSE)&gt;=VLOOKUP(56,main!$A$57:$I$59,4,FALSE)+VLOOKUP(VLOOKUP(BB$1,main!$A$3:$I$56,7,FALSE),main!$K$10:$Q$14,4,FALSE),1,0)</f>
        <v>0</v>
      </c>
      <c r="BC67">
        <f>IF(VLOOKUP(BC$1,main!$A$3:$I$56,5,FALSE)-VLOOKUP($A67,main!$A$3:$I$56,6,FALSE)&gt;=VLOOKUP(56,main!$A$57:$I$59,4,FALSE)+VLOOKUP(VLOOKUP(BC$1,main!$A$3:$I$56,7,FALSE),main!$K$10:$Q$14,4,FALSE),1,0)</f>
        <v>0</v>
      </c>
      <c r="BD67">
        <f>IF(VLOOKUP(BD$1,main!$A$3:$I$56,5,FALSE)-VLOOKUP($A67,main!$A$3:$I$56,6,FALSE)&gt;=VLOOKUP(56,main!$A$57:$I$59,4,FALSE)+VLOOKUP(VLOOKUP(BD$1,main!$A$3:$I$56,7,FALSE),main!$K$10:$Q$14,4,FALSE),1,0)</f>
        <v>0</v>
      </c>
    </row>
    <row r="68" spans="1:56" x14ac:dyDescent="0.25">
      <c r="A68">
        <f t="shared" si="1"/>
        <v>11</v>
      </c>
      <c r="B68">
        <v>0</v>
      </c>
      <c r="C68">
        <f>IF(VLOOKUP(C$1,main!$A$3:$I$56,5,FALSE)-VLOOKUP($A68,main!$A$3:$I$56,6,FALSE)&gt;=VLOOKUP(56,main!$A$57:$I$59,4,FALSE)+VLOOKUP(VLOOKUP(C$1,main!$A$3:$I$56,7,FALSE),main!$K$10:$Q$14,4,FALSE),1,0)</f>
        <v>0</v>
      </c>
      <c r="D68">
        <f>IF(VLOOKUP(D$1,main!$A$3:$I$56,5,FALSE)-VLOOKUP($A68,main!$A$3:$I$56,6,FALSE)&gt;=VLOOKUP(56,main!$A$57:$I$59,4,FALSE)+VLOOKUP(VLOOKUP(D$1,main!$A$3:$I$56,7,FALSE),main!$K$10:$Q$14,4,FALSE),1,0)</f>
        <v>0</v>
      </c>
      <c r="E68">
        <f>IF(VLOOKUP(E$1,main!$A$3:$I$56,5,FALSE)-VLOOKUP($A68,main!$A$3:$I$56,6,FALSE)&gt;=VLOOKUP(56,main!$A$57:$I$59,4,FALSE)+VLOOKUP(VLOOKUP(E$1,main!$A$3:$I$56,7,FALSE),main!$K$10:$Q$14,4,FALSE),1,0)</f>
        <v>0</v>
      </c>
      <c r="F68">
        <f>IF(VLOOKUP(F$1,main!$A$3:$I$56,5,FALSE)-VLOOKUP($A68,main!$A$3:$I$56,6,FALSE)&gt;=VLOOKUP(56,main!$A$57:$I$59,4,FALSE)+VLOOKUP(VLOOKUP(F$1,main!$A$3:$I$56,7,FALSE),main!$K$10:$Q$14,4,FALSE),1,0)</f>
        <v>0</v>
      </c>
      <c r="G68">
        <f>IF(VLOOKUP(G$1,main!$A$3:$I$56,5,FALSE)-VLOOKUP($A68,main!$A$3:$I$56,6,FALSE)&gt;=VLOOKUP(56,main!$A$57:$I$59,4,FALSE)+VLOOKUP(VLOOKUP(G$1,main!$A$3:$I$56,7,FALSE),main!$K$10:$Q$14,4,FALSE),1,0)</f>
        <v>0</v>
      </c>
      <c r="H68">
        <f>IF(VLOOKUP(H$1,main!$A$3:$I$56,5,FALSE)-VLOOKUP($A68,main!$A$3:$I$56,6,FALSE)&gt;=VLOOKUP(56,main!$A$57:$I$59,4,FALSE)+VLOOKUP(VLOOKUP(H$1,main!$A$3:$I$56,7,FALSE),main!$K$10:$Q$14,4,FALSE),1,0)</f>
        <v>1</v>
      </c>
      <c r="I68">
        <f>IF(VLOOKUP(I$1,main!$A$3:$I$56,5,FALSE)-VLOOKUP($A68,main!$A$3:$I$56,6,FALSE)&gt;=VLOOKUP(56,main!$A$57:$I$59,4,FALSE)+VLOOKUP(VLOOKUP(I$1,main!$A$3:$I$56,7,FALSE),main!$K$10:$Q$14,4,FALSE),1,0)</f>
        <v>1</v>
      </c>
      <c r="J68">
        <f>IF(VLOOKUP(J$1,main!$A$3:$I$56,5,FALSE)-VLOOKUP($A68,main!$A$3:$I$56,6,FALSE)&gt;=VLOOKUP(56,main!$A$57:$I$59,4,FALSE)+VLOOKUP(VLOOKUP(J$1,main!$A$3:$I$56,7,FALSE),main!$K$10:$Q$14,4,FALSE),1,0)</f>
        <v>1</v>
      </c>
      <c r="K68">
        <f>IF(VLOOKUP(K$1,main!$A$3:$I$56,5,FALSE)-VLOOKUP($A68,main!$A$3:$I$56,6,FALSE)&gt;=VLOOKUP(56,main!$A$57:$I$59,4,FALSE)+VLOOKUP(VLOOKUP(K$1,main!$A$3:$I$56,7,FALSE),main!$K$10:$Q$14,4,FALSE),1,0)</f>
        <v>0</v>
      </c>
      <c r="L68">
        <f>IF(VLOOKUP(L$1,main!$A$3:$I$56,5,FALSE)-VLOOKUP($A68,main!$A$3:$I$56,6,FALSE)&gt;=VLOOKUP(56,main!$A$57:$I$59,4,FALSE)+VLOOKUP(VLOOKUP(L$1,main!$A$3:$I$56,7,FALSE),main!$K$10:$Q$14,4,FALSE),1,0)</f>
        <v>0</v>
      </c>
      <c r="M68">
        <f>IF(VLOOKUP(M$1,main!$A$3:$I$56,5,FALSE)-VLOOKUP($A68,main!$A$3:$I$56,6,FALSE)&gt;=VLOOKUP(56,main!$A$57:$I$59,4,FALSE)+VLOOKUP(VLOOKUP(M$1,main!$A$3:$I$56,7,FALSE),main!$K$10:$Q$14,4,FALSE),1,0)</f>
        <v>0</v>
      </c>
      <c r="N68">
        <f>IF(VLOOKUP(N$1,main!$A$3:$I$56,5,FALSE)-VLOOKUP($A68,main!$A$3:$I$56,6,FALSE)&gt;=VLOOKUP(56,main!$A$57:$I$59,4,FALSE)+VLOOKUP(VLOOKUP(N$1,main!$A$3:$I$56,7,FALSE),main!$K$10:$Q$14,4,FALSE),1,0)</f>
        <v>1</v>
      </c>
      <c r="O68">
        <f>IF(VLOOKUP(O$1,main!$A$3:$I$56,5,FALSE)-VLOOKUP($A68,main!$A$3:$I$56,6,FALSE)&gt;=VLOOKUP(56,main!$A$57:$I$59,4,FALSE)+VLOOKUP(VLOOKUP(O$1,main!$A$3:$I$56,7,FALSE),main!$K$10:$Q$14,4,FALSE),1,0)</f>
        <v>1</v>
      </c>
      <c r="P68">
        <f>IF(VLOOKUP(P$1,main!$A$3:$I$56,5,FALSE)-VLOOKUP($A68,main!$A$3:$I$56,6,FALSE)&gt;=VLOOKUP(56,main!$A$57:$I$59,4,FALSE)+VLOOKUP(VLOOKUP(P$1,main!$A$3:$I$56,7,FALSE),main!$K$10:$Q$14,4,FALSE),1,0)</f>
        <v>0</v>
      </c>
      <c r="Q68">
        <f>IF(VLOOKUP(Q$1,main!$A$3:$I$56,5,FALSE)-VLOOKUP($A68,main!$A$3:$I$56,6,FALSE)&gt;=VLOOKUP(56,main!$A$57:$I$59,4,FALSE)+VLOOKUP(VLOOKUP(Q$1,main!$A$3:$I$56,7,FALSE),main!$K$10:$Q$14,4,FALSE),1,0)</f>
        <v>0</v>
      </c>
      <c r="R68">
        <f>IF(VLOOKUP(R$1,main!$A$3:$I$56,5,FALSE)-VLOOKUP($A68,main!$A$3:$I$56,6,FALSE)&gt;=VLOOKUP(56,main!$A$57:$I$59,4,FALSE)+VLOOKUP(VLOOKUP(R$1,main!$A$3:$I$56,7,FALSE),main!$K$10:$Q$14,4,FALSE),1,0)</f>
        <v>0</v>
      </c>
      <c r="S68">
        <f>IF(VLOOKUP(S$1,main!$A$3:$I$56,5,FALSE)-VLOOKUP($A68,main!$A$3:$I$56,6,FALSE)&gt;=VLOOKUP(56,main!$A$57:$I$59,4,FALSE)+VLOOKUP(VLOOKUP(S$1,main!$A$3:$I$56,7,FALSE),main!$K$10:$Q$14,4,FALSE),1,0)</f>
        <v>0</v>
      </c>
      <c r="T68">
        <f>IF(VLOOKUP(T$1,main!$A$3:$I$56,5,FALSE)-VLOOKUP($A68,main!$A$3:$I$56,6,FALSE)&gt;=VLOOKUP(56,main!$A$57:$I$59,4,FALSE)+VLOOKUP(VLOOKUP(T$1,main!$A$3:$I$56,7,FALSE),main!$K$10:$Q$14,4,FALSE),1,0)</f>
        <v>1</v>
      </c>
      <c r="U68">
        <f>IF(VLOOKUP(U$1,main!$A$3:$I$56,5,FALSE)-VLOOKUP($A68,main!$A$3:$I$56,6,FALSE)&gt;=VLOOKUP(56,main!$A$57:$I$59,4,FALSE)+VLOOKUP(VLOOKUP(U$1,main!$A$3:$I$56,7,FALSE),main!$K$10:$Q$14,4,FALSE),1,0)</f>
        <v>0</v>
      </c>
      <c r="V68">
        <f>IF(VLOOKUP(V$1,main!$A$3:$I$56,5,FALSE)-VLOOKUP($A68,main!$A$3:$I$56,6,FALSE)&gt;=VLOOKUP(56,main!$A$57:$I$59,4,FALSE)+VLOOKUP(VLOOKUP(V$1,main!$A$3:$I$56,7,FALSE),main!$K$10:$Q$14,4,FALSE),1,0)</f>
        <v>0</v>
      </c>
      <c r="W68">
        <f>IF(VLOOKUP(W$1,main!$A$3:$I$56,5,FALSE)-VLOOKUP($A68,main!$A$3:$I$56,6,FALSE)&gt;=VLOOKUP(56,main!$A$57:$I$59,4,FALSE)+VLOOKUP(VLOOKUP(W$1,main!$A$3:$I$56,7,FALSE),main!$K$10:$Q$14,4,FALSE),1,0)</f>
        <v>0</v>
      </c>
      <c r="X68">
        <f>IF(VLOOKUP(X$1,main!$A$3:$I$56,5,FALSE)-VLOOKUP($A68,main!$A$3:$I$56,6,FALSE)&gt;=VLOOKUP(56,main!$A$57:$I$59,4,FALSE)+VLOOKUP(VLOOKUP(X$1,main!$A$3:$I$56,7,FALSE),main!$K$10:$Q$14,4,FALSE),1,0)</f>
        <v>0</v>
      </c>
      <c r="Y68">
        <f>IF(VLOOKUP(Y$1,main!$A$3:$I$56,5,FALSE)-VLOOKUP($A68,main!$A$3:$I$56,6,FALSE)&gt;=VLOOKUP(56,main!$A$57:$I$59,4,FALSE)+VLOOKUP(VLOOKUP(Y$1,main!$A$3:$I$56,7,FALSE),main!$K$10:$Q$14,4,FALSE),1,0)</f>
        <v>0</v>
      </c>
      <c r="Z68">
        <f>IF(VLOOKUP(Z$1,main!$A$3:$I$56,5,FALSE)-VLOOKUP($A68,main!$A$3:$I$56,6,FALSE)&gt;=VLOOKUP(56,main!$A$57:$I$59,4,FALSE)+VLOOKUP(VLOOKUP(Z$1,main!$A$3:$I$56,7,FALSE),main!$K$10:$Q$14,4,FALSE),1,0)</f>
        <v>0</v>
      </c>
      <c r="AA68">
        <f>IF(VLOOKUP(AA$1,main!$A$3:$I$56,5,FALSE)-VLOOKUP($A68,main!$A$3:$I$56,6,FALSE)&gt;=VLOOKUP(56,main!$A$57:$I$59,4,FALSE)+VLOOKUP(VLOOKUP(AA$1,main!$A$3:$I$56,7,FALSE),main!$K$10:$Q$14,4,FALSE),1,0)</f>
        <v>0</v>
      </c>
      <c r="AB68">
        <f>IF(VLOOKUP(AB$1,main!$A$3:$I$56,5,FALSE)-VLOOKUP($A68,main!$A$3:$I$56,6,FALSE)&gt;=VLOOKUP(56,main!$A$57:$I$59,4,FALSE)+VLOOKUP(VLOOKUP(AB$1,main!$A$3:$I$56,7,FALSE),main!$K$10:$Q$14,4,FALSE),1,0)</f>
        <v>1</v>
      </c>
      <c r="AC68">
        <f>IF(VLOOKUP(AC$1,main!$A$3:$I$56,5,FALSE)-VLOOKUP($A68,main!$A$3:$I$56,6,FALSE)&gt;=VLOOKUP(56,main!$A$57:$I$59,4,FALSE)+VLOOKUP(VLOOKUP(AC$1,main!$A$3:$I$56,7,FALSE),main!$K$10:$Q$14,4,FALSE),1,0)</f>
        <v>0</v>
      </c>
      <c r="AD68">
        <f>IF(VLOOKUP(AD$1,main!$A$3:$I$56,5,FALSE)-VLOOKUP($A68,main!$A$3:$I$56,6,FALSE)&gt;=VLOOKUP(56,main!$A$57:$I$59,4,FALSE)+VLOOKUP(VLOOKUP(AD$1,main!$A$3:$I$56,7,FALSE),main!$K$10:$Q$14,4,FALSE),1,0)</f>
        <v>0</v>
      </c>
      <c r="AE68">
        <f>IF(VLOOKUP(AE$1,main!$A$3:$I$56,5,FALSE)-VLOOKUP($A68,main!$A$3:$I$56,6,FALSE)&gt;=VLOOKUP(56,main!$A$57:$I$59,4,FALSE)+VLOOKUP(VLOOKUP(AE$1,main!$A$3:$I$56,7,FALSE),main!$K$10:$Q$14,4,FALSE),1,0)</f>
        <v>0</v>
      </c>
      <c r="AF68">
        <f>IF(VLOOKUP(AF$1,main!$A$3:$I$56,5,FALSE)-VLOOKUP($A68,main!$A$3:$I$56,6,FALSE)&gt;=VLOOKUP(56,main!$A$57:$I$59,4,FALSE)+VLOOKUP(VLOOKUP(AF$1,main!$A$3:$I$56,7,FALSE),main!$K$10:$Q$14,4,FALSE),1,0)</f>
        <v>0</v>
      </c>
      <c r="AG68">
        <f>IF(VLOOKUP(AG$1,main!$A$3:$I$56,5,FALSE)-VLOOKUP($A68,main!$A$3:$I$56,6,FALSE)&gt;=VLOOKUP(56,main!$A$57:$I$59,4,FALSE)+VLOOKUP(VLOOKUP(AG$1,main!$A$3:$I$56,7,FALSE),main!$K$10:$Q$14,4,FALSE),1,0)</f>
        <v>0</v>
      </c>
      <c r="AH68">
        <f>IF(VLOOKUP(AH$1,main!$A$3:$I$56,5,FALSE)-VLOOKUP($A68,main!$A$3:$I$56,6,FALSE)&gt;=VLOOKUP(56,main!$A$57:$I$59,4,FALSE)+VLOOKUP(VLOOKUP(AH$1,main!$A$3:$I$56,7,FALSE),main!$K$10:$Q$14,4,FALSE),1,0)</f>
        <v>0</v>
      </c>
      <c r="AI68">
        <f>IF(VLOOKUP(AI$1,main!$A$3:$I$56,5,FALSE)-VLOOKUP($A68,main!$A$3:$I$56,6,FALSE)&gt;=VLOOKUP(56,main!$A$57:$I$59,4,FALSE)+VLOOKUP(VLOOKUP(AI$1,main!$A$3:$I$56,7,FALSE),main!$K$10:$Q$14,4,FALSE),1,0)</f>
        <v>0</v>
      </c>
      <c r="AJ68">
        <f>IF(VLOOKUP(AJ$1,main!$A$3:$I$56,5,FALSE)-VLOOKUP($A68,main!$A$3:$I$56,6,FALSE)&gt;=VLOOKUP(56,main!$A$57:$I$59,4,FALSE)+VLOOKUP(VLOOKUP(AJ$1,main!$A$3:$I$56,7,FALSE),main!$K$10:$Q$14,4,FALSE),1,0)</f>
        <v>0</v>
      </c>
      <c r="AK68">
        <f>IF(VLOOKUP(AK$1,main!$A$3:$I$56,5,FALSE)-VLOOKUP($A68,main!$A$3:$I$56,6,FALSE)&gt;=VLOOKUP(56,main!$A$57:$I$59,4,FALSE)+VLOOKUP(VLOOKUP(AK$1,main!$A$3:$I$56,7,FALSE),main!$K$10:$Q$14,4,FALSE),1,0)</f>
        <v>0</v>
      </c>
      <c r="AL68">
        <f>IF(VLOOKUP(AL$1,main!$A$3:$I$56,5,FALSE)-VLOOKUP($A68,main!$A$3:$I$56,6,FALSE)&gt;=VLOOKUP(56,main!$A$57:$I$59,4,FALSE)+VLOOKUP(VLOOKUP(AL$1,main!$A$3:$I$56,7,FALSE),main!$K$10:$Q$14,4,FALSE),1,0)</f>
        <v>0</v>
      </c>
      <c r="AM68">
        <f>IF(VLOOKUP(AM$1,main!$A$3:$I$56,5,FALSE)-VLOOKUP($A68,main!$A$3:$I$56,6,FALSE)&gt;=VLOOKUP(56,main!$A$57:$I$59,4,FALSE)+VLOOKUP(VLOOKUP(AM$1,main!$A$3:$I$56,7,FALSE),main!$K$10:$Q$14,4,FALSE),1,0)</f>
        <v>0</v>
      </c>
      <c r="AN68">
        <f>IF(VLOOKUP(AN$1,main!$A$3:$I$56,5,FALSE)-VLOOKUP($A68,main!$A$3:$I$56,6,FALSE)&gt;=VLOOKUP(56,main!$A$57:$I$59,4,FALSE)+VLOOKUP(VLOOKUP(AN$1,main!$A$3:$I$56,7,FALSE),main!$K$10:$Q$14,4,FALSE),1,0)</f>
        <v>0</v>
      </c>
      <c r="AO68">
        <f>IF(VLOOKUP(AO$1,main!$A$3:$I$56,5,FALSE)-VLOOKUP($A68,main!$A$3:$I$56,6,FALSE)&gt;=VLOOKUP(56,main!$A$57:$I$59,4,FALSE)+VLOOKUP(VLOOKUP(AO$1,main!$A$3:$I$56,7,FALSE),main!$K$10:$Q$14,4,FALSE),1,0)</f>
        <v>0</v>
      </c>
      <c r="AP68">
        <f>IF(VLOOKUP(AP$1,main!$A$3:$I$56,5,FALSE)-VLOOKUP($A68,main!$A$3:$I$56,6,FALSE)&gt;=VLOOKUP(56,main!$A$57:$I$59,4,FALSE)+VLOOKUP(VLOOKUP(AP$1,main!$A$3:$I$56,7,FALSE),main!$K$10:$Q$14,4,FALSE),1,0)</f>
        <v>0</v>
      </c>
      <c r="AQ68">
        <f>IF(VLOOKUP(AQ$1,main!$A$3:$I$56,5,FALSE)-VLOOKUP($A68,main!$A$3:$I$56,6,FALSE)&gt;=VLOOKUP(56,main!$A$57:$I$59,4,FALSE)+VLOOKUP(VLOOKUP(AQ$1,main!$A$3:$I$56,7,FALSE),main!$K$10:$Q$14,4,FALSE),1,0)</f>
        <v>0</v>
      </c>
      <c r="AR68">
        <f>IF(VLOOKUP(AR$1,main!$A$3:$I$56,5,FALSE)-VLOOKUP($A68,main!$A$3:$I$56,6,FALSE)&gt;=VLOOKUP(56,main!$A$57:$I$59,4,FALSE)+VLOOKUP(VLOOKUP(AR$1,main!$A$3:$I$56,7,FALSE),main!$K$10:$Q$14,4,FALSE),1,0)</f>
        <v>0</v>
      </c>
      <c r="AS68">
        <f>IF(VLOOKUP(AS$1,main!$A$3:$I$56,5,FALSE)-VLOOKUP($A68,main!$A$3:$I$56,6,FALSE)&gt;=VLOOKUP(56,main!$A$57:$I$59,4,FALSE)+VLOOKUP(VLOOKUP(AS$1,main!$A$3:$I$56,7,FALSE),main!$K$10:$Q$14,4,FALSE),1,0)</f>
        <v>0</v>
      </c>
      <c r="AT68">
        <f>IF(VLOOKUP(AT$1,main!$A$3:$I$56,5,FALSE)-VLOOKUP($A68,main!$A$3:$I$56,6,FALSE)&gt;=VLOOKUP(56,main!$A$57:$I$59,4,FALSE)+VLOOKUP(VLOOKUP(AT$1,main!$A$3:$I$56,7,FALSE),main!$K$10:$Q$14,4,FALSE),1,0)</f>
        <v>0</v>
      </c>
      <c r="AU68">
        <f>IF(VLOOKUP(AU$1,main!$A$3:$I$56,5,FALSE)-VLOOKUP($A68,main!$A$3:$I$56,6,FALSE)&gt;=VLOOKUP(56,main!$A$57:$I$59,4,FALSE)+VLOOKUP(VLOOKUP(AU$1,main!$A$3:$I$56,7,FALSE),main!$K$10:$Q$14,4,FALSE),1,0)</f>
        <v>0</v>
      </c>
      <c r="AV68">
        <f>IF(VLOOKUP(AV$1,main!$A$3:$I$56,5,FALSE)-VLOOKUP($A68,main!$A$3:$I$56,6,FALSE)&gt;=VLOOKUP(56,main!$A$57:$I$59,4,FALSE)+VLOOKUP(VLOOKUP(AV$1,main!$A$3:$I$56,7,FALSE),main!$K$10:$Q$14,4,FALSE),1,0)</f>
        <v>0</v>
      </c>
      <c r="AW68">
        <f>IF(VLOOKUP(AW$1,main!$A$3:$I$56,5,FALSE)-VLOOKUP($A68,main!$A$3:$I$56,6,FALSE)&gt;=VLOOKUP(56,main!$A$57:$I$59,4,FALSE)+VLOOKUP(VLOOKUP(AW$1,main!$A$3:$I$56,7,FALSE),main!$K$10:$Q$14,4,FALSE),1,0)</f>
        <v>0</v>
      </c>
      <c r="AX68">
        <f>IF(VLOOKUP(AX$1,main!$A$3:$I$56,5,FALSE)-VLOOKUP($A68,main!$A$3:$I$56,6,FALSE)&gt;=VLOOKUP(56,main!$A$57:$I$59,4,FALSE)+VLOOKUP(VLOOKUP(AX$1,main!$A$3:$I$56,7,FALSE),main!$K$10:$Q$14,4,FALSE),1,0)</f>
        <v>0</v>
      </c>
      <c r="AY68">
        <f>IF(VLOOKUP(AY$1,main!$A$3:$I$56,5,FALSE)-VLOOKUP($A68,main!$A$3:$I$56,6,FALSE)&gt;=VLOOKUP(56,main!$A$57:$I$59,4,FALSE)+VLOOKUP(VLOOKUP(AY$1,main!$A$3:$I$56,7,FALSE),main!$K$10:$Q$14,4,FALSE),1,0)</f>
        <v>0</v>
      </c>
      <c r="AZ68">
        <f>IF(VLOOKUP(AZ$1,main!$A$3:$I$56,5,FALSE)-VLOOKUP($A68,main!$A$3:$I$56,6,FALSE)&gt;=VLOOKUP(56,main!$A$57:$I$59,4,FALSE)+VLOOKUP(VLOOKUP(AZ$1,main!$A$3:$I$56,7,FALSE),main!$K$10:$Q$14,4,FALSE),1,0)</f>
        <v>0</v>
      </c>
      <c r="BA68">
        <f>IF(VLOOKUP(BA$1,main!$A$3:$I$56,5,FALSE)-VLOOKUP($A68,main!$A$3:$I$56,6,FALSE)&gt;=VLOOKUP(56,main!$A$57:$I$59,4,FALSE)+VLOOKUP(VLOOKUP(BA$1,main!$A$3:$I$56,7,FALSE),main!$K$10:$Q$14,4,FALSE),1,0)</f>
        <v>0</v>
      </c>
      <c r="BB68">
        <f>IF(VLOOKUP(BB$1,main!$A$3:$I$56,5,FALSE)-VLOOKUP($A68,main!$A$3:$I$56,6,FALSE)&gt;=VLOOKUP(56,main!$A$57:$I$59,4,FALSE)+VLOOKUP(VLOOKUP(BB$1,main!$A$3:$I$56,7,FALSE),main!$K$10:$Q$14,4,FALSE),1,0)</f>
        <v>0</v>
      </c>
      <c r="BC68">
        <f>IF(VLOOKUP(BC$1,main!$A$3:$I$56,5,FALSE)-VLOOKUP($A68,main!$A$3:$I$56,6,FALSE)&gt;=VLOOKUP(56,main!$A$57:$I$59,4,FALSE)+VLOOKUP(VLOOKUP(BC$1,main!$A$3:$I$56,7,FALSE),main!$K$10:$Q$14,4,FALSE),1,0)</f>
        <v>0</v>
      </c>
      <c r="BD68">
        <f>IF(VLOOKUP(BD$1,main!$A$3:$I$56,5,FALSE)-VLOOKUP($A68,main!$A$3:$I$56,6,FALSE)&gt;=VLOOKUP(56,main!$A$57:$I$59,4,FALSE)+VLOOKUP(VLOOKUP(BD$1,main!$A$3:$I$56,7,FALSE),main!$K$10:$Q$14,4,FALSE),1,0)</f>
        <v>0</v>
      </c>
    </row>
    <row r="69" spans="1:56" x14ac:dyDescent="0.25">
      <c r="A69">
        <f t="shared" si="1"/>
        <v>12</v>
      </c>
      <c r="B69">
        <v>0</v>
      </c>
      <c r="C69">
        <f>IF(VLOOKUP(C$1,main!$A$3:$I$56,5,FALSE)-VLOOKUP($A69,main!$A$3:$I$56,6,FALSE)&gt;=VLOOKUP(56,main!$A$57:$I$59,4,FALSE)+VLOOKUP(VLOOKUP(C$1,main!$A$3:$I$56,7,FALSE),main!$K$10:$Q$14,4,FALSE),1,0)</f>
        <v>0</v>
      </c>
      <c r="D69">
        <f>IF(VLOOKUP(D$1,main!$A$3:$I$56,5,FALSE)-VLOOKUP($A69,main!$A$3:$I$56,6,FALSE)&gt;=VLOOKUP(56,main!$A$57:$I$59,4,FALSE)+VLOOKUP(VLOOKUP(D$1,main!$A$3:$I$56,7,FALSE),main!$K$10:$Q$14,4,FALSE),1,0)</f>
        <v>0</v>
      </c>
      <c r="E69">
        <f>IF(VLOOKUP(E$1,main!$A$3:$I$56,5,FALSE)-VLOOKUP($A69,main!$A$3:$I$56,6,FALSE)&gt;=VLOOKUP(56,main!$A$57:$I$59,4,FALSE)+VLOOKUP(VLOOKUP(E$1,main!$A$3:$I$56,7,FALSE),main!$K$10:$Q$14,4,FALSE),1,0)</f>
        <v>0</v>
      </c>
      <c r="F69">
        <f>IF(VLOOKUP(F$1,main!$A$3:$I$56,5,FALSE)-VLOOKUP($A69,main!$A$3:$I$56,6,FALSE)&gt;=VLOOKUP(56,main!$A$57:$I$59,4,FALSE)+VLOOKUP(VLOOKUP(F$1,main!$A$3:$I$56,7,FALSE),main!$K$10:$Q$14,4,FALSE),1,0)</f>
        <v>0</v>
      </c>
      <c r="G69">
        <f>IF(VLOOKUP(G$1,main!$A$3:$I$56,5,FALSE)-VLOOKUP($A69,main!$A$3:$I$56,6,FALSE)&gt;=VLOOKUP(56,main!$A$57:$I$59,4,FALSE)+VLOOKUP(VLOOKUP(G$1,main!$A$3:$I$56,7,FALSE),main!$K$10:$Q$14,4,FALSE),1,0)</f>
        <v>0</v>
      </c>
      <c r="H69">
        <f>IF(VLOOKUP(H$1,main!$A$3:$I$56,5,FALSE)-VLOOKUP($A69,main!$A$3:$I$56,6,FALSE)&gt;=VLOOKUP(56,main!$A$57:$I$59,4,FALSE)+VLOOKUP(VLOOKUP(H$1,main!$A$3:$I$56,7,FALSE),main!$K$10:$Q$14,4,FALSE),1,0)</f>
        <v>0</v>
      </c>
      <c r="I69">
        <f>IF(VLOOKUP(I$1,main!$A$3:$I$56,5,FALSE)-VLOOKUP($A69,main!$A$3:$I$56,6,FALSE)&gt;=VLOOKUP(56,main!$A$57:$I$59,4,FALSE)+VLOOKUP(VLOOKUP(I$1,main!$A$3:$I$56,7,FALSE),main!$K$10:$Q$14,4,FALSE),1,0)</f>
        <v>0</v>
      </c>
      <c r="J69">
        <f>IF(VLOOKUP(J$1,main!$A$3:$I$56,5,FALSE)-VLOOKUP($A69,main!$A$3:$I$56,6,FALSE)&gt;=VLOOKUP(56,main!$A$57:$I$59,4,FALSE)+VLOOKUP(VLOOKUP(J$1,main!$A$3:$I$56,7,FALSE),main!$K$10:$Q$14,4,FALSE),1,0)</f>
        <v>0</v>
      </c>
      <c r="K69">
        <f>IF(VLOOKUP(K$1,main!$A$3:$I$56,5,FALSE)-VLOOKUP($A69,main!$A$3:$I$56,6,FALSE)&gt;=VLOOKUP(56,main!$A$57:$I$59,4,FALSE)+VLOOKUP(VLOOKUP(K$1,main!$A$3:$I$56,7,FALSE),main!$K$10:$Q$14,4,FALSE),1,0)</f>
        <v>0</v>
      </c>
      <c r="L69">
        <f>IF(VLOOKUP(L$1,main!$A$3:$I$56,5,FALSE)-VLOOKUP($A69,main!$A$3:$I$56,6,FALSE)&gt;=VLOOKUP(56,main!$A$57:$I$59,4,FALSE)+VLOOKUP(VLOOKUP(L$1,main!$A$3:$I$56,7,FALSE),main!$K$10:$Q$14,4,FALSE),1,0)</f>
        <v>0</v>
      </c>
      <c r="M69">
        <f>IF(VLOOKUP(M$1,main!$A$3:$I$56,5,FALSE)-VLOOKUP($A69,main!$A$3:$I$56,6,FALSE)&gt;=VLOOKUP(56,main!$A$57:$I$59,4,FALSE)+VLOOKUP(VLOOKUP(M$1,main!$A$3:$I$56,7,FALSE),main!$K$10:$Q$14,4,FALSE),1,0)</f>
        <v>0</v>
      </c>
      <c r="N69">
        <f>IF(VLOOKUP(N$1,main!$A$3:$I$56,5,FALSE)-VLOOKUP($A69,main!$A$3:$I$56,6,FALSE)&gt;=VLOOKUP(56,main!$A$57:$I$59,4,FALSE)+VLOOKUP(VLOOKUP(N$1,main!$A$3:$I$56,7,FALSE),main!$K$10:$Q$14,4,FALSE),1,0)</f>
        <v>0</v>
      </c>
      <c r="O69">
        <f>IF(VLOOKUP(O$1,main!$A$3:$I$56,5,FALSE)-VLOOKUP($A69,main!$A$3:$I$56,6,FALSE)&gt;=VLOOKUP(56,main!$A$57:$I$59,4,FALSE)+VLOOKUP(VLOOKUP(O$1,main!$A$3:$I$56,7,FALSE),main!$K$10:$Q$14,4,FALSE),1,0)</f>
        <v>0</v>
      </c>
      <c r="P69">
        <f>IF(VLOOKUP(P$1,main!$A$3:$I$56,5,FALSE)-VLOOKUP($A69,main!$A$3:$I$56,6,FALSE)&gt;=VLOOKUP(56,main!$A$57:$I$59,4,FALSE)+VLOOKUP(VLOOKUP(P$1,main!$A$3:$I$56,7,FALSE),main!$K$10:$Q$14,4,FALSE),1,0)</f>
        <v>0</v>
      </c>
      <c r="Q69">
        <f>IF(VLOOKUP(Q$1,main!$A$3:$I$56,5,FALSE)-VLOOKUP($A69,main!$A$3:$I$56,6,FALSE)&gt;=VLOOKUP(56,main!$A$57:$I$59,4,FALSE)+VLOOKUP(VLOOKUP(Q$1,main!$A$3:$I$56,7,FALSE),main!$K$10:$Q$14,4,FALSE),1,0)</f>
        <v>0</v>
      </c>
      <c r="R69">
        <f>IF(VLOOKUP(R$1,main!$A$3:$I$56,5,FALSE)-VLOOKUP($A69,main!$A$3:$I$56,6,FALSE)&gt;=VLOOKUP(56,main!$A$57:$I$59,4,FALSE)+VLOOKUP(VLOOKUP(R$1,main!$A$3:$I$56,7,FALSE),main!$K$10:$Q$14,4,FALSE),1,0)</f>
        <v>0</v>
      </c>
      <c r="S69">
        <f>IF(VLOOKUP(S$1,main!$A$3:$I$56,5,FALSE)-VLOOKUP($A69,main!$A$3:$I$56,6,FALSE)&gt;=VLOOKUP(56,main!$A$57:$I$59,4,FALSE)+VLOOKUP(VLOOKUP(S$1,main!$A$3:$I$56,7,FALSE),main!$K$10:$Q$14,4,FALSE),1,0)</f>
        <v>0</v>
      </c>
      <c r="T69">
        <f>IF(VLOOKUP(T$1,main!$A$3:$I$56,5,FALSE)-VLOOKUP($A69,main!$A$3:$I$56,6,FALSE)&gt;=VLOOKUP(56,main!$A$57:$I$59,4,FALSE)+VLOOKUP(VLOOKUP(T$1,main!$A$3:$I$56,7,FALSE),main!$K$10:$Q$14,4,FALSE),1,0)</f>
        <v>0</v>
      </c>
      <c r="U69">
        <f>IF(VLOOKUP(U$1,main!$A$3:$I$56,5,FALSE)-VLOOKUP($A69,main!$A$3:$I$56,6,FALSE)&gt;=VLOOKUP(56,main!$A$57:$I$59,4,FALSE)+VLOOKUP(VLOOKUP(U$1,main!$A$3:$I$56,7,FALSE),main!$K$10:$Q$14,4,FALSE),1,0)</f>
        <v>0</v>
      </c>
      <c r="V69">
        <f>IF(VLOOKUP(V$1,main!$A$3:$I$56,5,FALSE)-VLOOKUP($A69,main!$A$3:$I$56,6,FALSE)&gt;=VLOOKUP(56,main!$A$57:$I$59,4,FALSE)+VLOOKUP(VLOOKUP(V$1,main!$A$3:$I$56,7,FALSE),main!$K$10:$Q$14,4,FALSE),1,0)</f>
        <v>0</v>
      </c>
      <c r="W69">
        <f>IF(VLOOKUP(W$1,main!$A$3:$I$56,5,FALSE)-VLOOKUP($A69,main!$A$3:$I$56,6,FALSE)&gt;=VLOOKUP(56,main!$A$57:$I$59,4,FALSE)+VLOOKUP(VLOOKUP(W$1,main!$A$3:$I$56,7,FALSE),main!$K$10:$Q$14,4,FALSE),1,0)</f>
        <v>0</v>
      </c>
      <c r="X69">
        <f>IF(VLOOKUP(X$1,main!$A$3:$I$56,5,FALSE)-VLOOKUP($A69,main!$A$3:$I$56,6,FALSE)&gt;=VLOOKUP(56,main!$A$57:$I$59,4,FALSE)+VLOOKUP(VLOOKUP(X$1,main!$A$3:$I$56,7,FALSE),main!$K$10:$Q$14,4,FALSE),1,0)</f>
        <v>0</v>
      </c>
      <c r="Y69">
        <f>IF(VLOOKUP(Y$1,main!$A$3:$I$56,5,FALSE)-VLOOKUP($A69,main!$A$3:$I$56,6,FALSE)&gt;=VLOOKUP(56,main!$A$57:$I$59,4,FALSE)+VLOOKUP(VLOOKUP(Y$1,main!$A$3:$I$56,7,FALSE),main!$K$10:$Q$14,4,FALSE),1,0)</f>
        <v>0</v>
      </c>
      <c r="Z69">
        <f>IF(VLOOKUP(Z$1,main!$A$3:$I$56,5,FALSE)-VLOOKUP($A69,main!$A$3:$I$56,6,FALSE)&gt;=VLOOKUP(56,main!$A$57:$I$59,4,FALSE)+VLOOKUP(VLOOKUP(Z$1,main!$A$3:$I$56,7,FALSE),main!$K$10:$Q$14,4,FALSE),1,0)</f>
        <v>0</v>
      </c>
      <c r="AA69">
        <f>IF(VLOOKUP(AA$1,main!$A$3:$I$56,5,FALSE)-VLOOKUP($A69,main!$A$3:$I$56,6,FALSE)&gt;=VLOOKUP(56,main!$A$57:$I$59,4,FALSE)+VLOOKUP(VLOOKUP(AA$1,main!$A$3:$I$56,7,FALSE),main!$K$10:$Q$14,4,FALSE),1,0)</f>
        <v>0</v>
      </c>
      <c r="AB69">
        <f>IF(VLOOKUP(AB$1,main!$A$3:$I$56,5,FALSE)-VLOOKUP($A69,main!$A$3:$I$56,6,FALSE)&gt;=VLOOKUP(56,main!$A$57:$I$59,4,FALSE)+VLOOKUP(VLOOKUP(AB$1,main!$A$3:$I$56,7,FALSE),main!$K$10:$Q$14,4,FALSE),1,0)</f>
        <v>0</v>
      </c>
      <c r="AC69">
        <f>IF(VLOOKUP(AC$1,main!$A$3:$I$56,5,FALSE)-VLOOKUP($A69,main!$A$3:$I$56,6,FALSE)&gt;=VLOOKUP(56,main!$A$57:$I$59,4,FALSE)+VLOOKUP(VLOOKUP(AC$1,main!$A$3:$I$56,7,FALSE),main!$K$10:$Q$14,4,FALSE),1,0)</f>
        <v>0</v>
      </c>
      <c r="AD69">
        <f>IF(VLOOKUP(AD$1,main!$A$3:$I$56,5,FALSE)-VLOOKUP($A69,main!$A$3:$I$56,6,FALSE)&gt;=VLOOKUP(56,main!$A$57:$I$59,4,FALSE)+VLOOKUP(VLOOKUP(AD$1,main!$A$3:$I$56,7,FALSE),main!$K$10:$Q$14,4,FALSE),1,0)</f>
        <v>0</v>
      </c>
      <c r="AE69">
        <f>IF(VLOOKUP(AE$1,main!$A$3:$I$56,5,FALSE)-VLOOKUP($A69,main!$A$3:$I$56,6,FALSE)&gt;=VLOOKUP(56,main!$A$57:$I$59,4,FALSE)+VLOOKUP(VLOOKUP(AE$1,main!$A$3:$I$56,7,FALSE),main!$K$10:$Q$14,4,FALSE),1,0)</f>
        <v>0</v>
      </c>
      <c r="AF69">
        <f>IF(VLOOKUP(AF$1,main!$A$3:$I$56,5,FALSE)-VLOOKUP($A69,main!$A$3:$I$56,6,FALSE)&gt;=VLOOKUP(56,main!$A$57:$I$59,4,FALSE)+VLOOKUP(VLOOKUP(AF$1,main!$A$3:$I$56,7,FALSE),main!$K$10:$Q$14,4,FALSE),1,0)</f>
        <v>0</v>
      </c>
      <c r="AG69">
        <f>IF(VLOOKUP(AG$1,main!$A$3:$I$56,5,FALSE)-VLOOKUP($A69,main!$A$3:$I$56,6,FALSE)&gt;=VLOOKUP(56,main!$A$57:$I$59,4,FALSE)+VLOOKUP(VLOOKUP(AG$1,main!$A$3:$I$56,7,FALSE),main!$K$10:$Q$14,4,FALSE),1,0)</f>
        <v>0</v>
      </c>
      <c r="AH69">
        <f>IF(VLOOKUP(AH$1,main!$A$3:$I$56,5,FALSE)-VLOOKUP($A69,main!$A$3:$I$56,6,FALSE)&gt;=VLOOKUP(56,main!$A$57:$I$59,4,FALSE)+VLOOKUP(VLOOKUP(AH$1,main!$A$3:$I$56,7,FALSE),main!$K$10:$Q$14,4,FALSE),1,0)</f>
        <v>0</v>
      </c>
      <c r="AI69">
        <f>IF(VLOOKUP(AI$1,main!$A$3:$I$56,5,FALSE)-VLOOKUP($A69,main!$A$3:$I$56,6,FALSE)&gt;=VLOOKUP(56,main!$A$57:$I$59,4,FALSE)+VLOOKUP(VLOOKUP(AI$1,main!$A$3:$I$56,7,FALSE),main!$K$10:$Q$14,4,FALSE),1,0)</f>
        <v>0</v>
      </c>
      <c r="AJ69">
        <f>IF(VLOOKUP(AJ$1,main!$A$3:$I$56,5,FALSE)-VLOOKUP($A69,main!$A$3:$I$56,6,FALSE)&gt;=VLOOKUP(56,main!$A$57:$I$59,4,FALSE)+VLOOKUP(VLOOKUP(AJ$1,main!$A$3:$I$56,7,FALSE),main!$K$10:$Q$14,4,FALSE),1,0)</f>
        <v>0</v>
      </c>
      <c r="AK69">
        <f>IF(VLOOKUP(AK$1,main!$A$3:$I$56,5,FALSE)-VLOOKUP($A69,main!$A$3:$I$56,6,FALSE)&gt;=VLOOKUP(56,main!$A$57:$I$59,4,FALSE)+VLOOKUP(VLOOKUP(AK$1,main!$A$3:$I$56,7,FALSE),main!$K$10:$Q$14,4,FALSE),1,0)</f>
        <v>0</v>
      </c>
      <c r="AL69">
        <f>IF(VLOOKUP(AL$1,main!$A$3:$I$56,5,FALSE)-VLOOKUP($A69,main!$A$3:$I$56,6,FALSE)&gt;=VLOOKUP(56,main!$A$57:$I$59,4,FALSE)+VLOOKUP(VLOOKUP(AL$1,main!$A$3:$I$56,7,FALSE),main!$K$10:$Q$14,4,FALSE),1,0)</f>
        <v>0</v>
      </c>
      <c r="AM69">
        <f>IF(VLOOKUP(AM$1,main!$A$3:$I$56,5,FALSE)-VLOOKUP($A69,main!$A$3:$I$56,6,FALSE)&gt;=VLOOKUP(56,main!$A$57:$I$59,4,FALSE)+VLOOKUP(VLOOKUP(AM$1,main!$A$3:$I$56,7,FALSE),main!$K$10:$Q$14,4,FALSE),1,0)</f>
        <v>0</v>
      </c>
      <c r="AN69">
        <f>IF(VLOOKUP(AN$1,main!$A$3:$I$56,5,FALSE)-VLOOKUP($A69,main!$A$3:$I$56,6,FALSE)&gt;=VLOOKUP(56,main!$A$57:$I$59,4,FALSE)+VLOOKUP(VLOOKUP(AN$1,main!$A$3:$I$56,7,FALSE),main!$K$10:$Q$14,4,FALSE),1,0)</f>
        <v>0</v>
      </c>
      <c r="AO69">
        <f>IF(VLOOKUP(AO$1,main!$A$3:$I$56,5,FALSE)-VLOOKUP($A69,main!$A$3:$I$56,6,FALSE)&gt;=VLOOKUP(56,main!$A$57:$I$59,4,FALSE)+VLOOKUP(VLOOKUP(AO$1,main!$A$3:$I$56,7,FALSE),main!$K$10:$Q$14,4,FALSE),1,0)</f>
        <v>0</v>
      </c>
      <c r="AP69">
        <f>IF(VLOOKUP(AP$1,main!$A$3:$I$56,5,FALSE)-VLOOKUP($A69,main!$A$3:$I$56,6,FALSE)&gt;=VLOOKUP(56,main!$A$57:$I$59,4,FALSE)+VLOOKUP(VLOOKUP(AP$1,main!$A$3:$I$56,7,FALSE),main!$K$10:$Q$14,4,FALSE),1,0)</f>
        <v>0</v>
      </c>
      <c r="AQ69">
        <f>IF(VLOOKUP(AQ$1,main!$A$3:$I$56,5,FALSE)-VLOOKUP($A69,main!$A$3:$I$56,6,FALSE)&gt;=VLOOKUP(56,main!$A$57:$I$59,4,FALSE)+VLOOKUP(VLOOKUP(AQ$1,main!$A$3:$I$56,7,FALSE),main!$K$10:$Q$14,4,FALSE),1,0)</f>
        <v>0</v>
      </c>
      <c r="AR69">
        <f>IF(VLOOKUP(AR$1,main!$A$3:$I$56,5,FALSE)-VLOOKUP($A69,main!$A$3:$I$56,6,FALSE)&gt;=VLOOKUP(56,main!$A$57:$I$59,4,FALSE)+VLOOKUP(VLOOKUP(AR$1,main!$A$3:$I$56,7,FALSE),main!$K$10:$Q$14,4,FALSE),1,0)</f>
        <v>0</v>
      </c>
      <c r="AS69">
        <f>IF(VLOOKUP(AS$1,main!$A$3:$I$56,5,FALSE)-VLOOKUP($A69,main!$A$3:$I$56,6,FALSE)&gt;=VLOOKUP(56,main!$A$57:$I$59,4,FALSE)+VLOOKUP(VLOOKUP(AS$1,main!$A$3:$I$56,7,FALSE),main!$K$10:$Q$14,4,FALSE),1,0)</f>
        <v>0</v>
      </c>
      <c r="AT69">
        <f>IF(VLOOKUP(AT$1,main!$A$3:$I$56,5,FALSE)-VLOOKUP($A69,main!$A$3:$I$56,6,FALSE)&gt;=VLOOKUP(56,main!$A$57:$I$59,4,FALSE)+VLOOKUP(VLOOKUP(AT$1,main!$A$3:$I$56,7,FALSE),main!$K$10:$Q$14,4,FALSE),1,0)</f>
        <v>0</v>
      </c>
      <c r="AU69">
        <f>IF(VLOOKUP(AU$1,main!$A$3:$I$56,5,FALSE)-VLOOKUP($A69,main!$A$3:$I$56,6,FALSE)&gt;=VLOOKUP(56,main!$A$57:$I$59,4,FALSE)+VLOOKUP(VLOOKUP(AU$1,main!$A$3:$I$56,7,FALSE),main!$K$10:$Q$14,4,FALSE),1,0)</f>
        <v>0</v>
      </c>
      <c r="AV69">
        <f>IF(VLOOKUP(AV$1,main!$A$3:$I$56,5,FALSE)-VLOOKUP($A69,main!$A$3:$I$56,6,FALSE)&gt;=VLOOKUP(56,main!$A$57:$I$59,4,FALSE)+VLOOKUP(VLOOKUP(AV$1,main!$A$3:$I$56,7,FALSE),main!$K$10:$Q$14,4,FALSE),1,0)</f>
        <v>0</v>
      </c>
      <c r="AW69">
        <f>IF(VLOOKUP(AW$1,main!$A$3:$I$56,5,FALSE)-VLOOKUP($A69,main!$A$3:$I$56,6,FALSE)&gt;=VLOOKUP(56,main!$A$57:$I$59,4,FALSE)+VLOOKUP(VLOOKUP(AW$1,main!$A$3:$I$56,7,FALSE),main!$K$10:$Q$14,4,FALSE),1,0)</f>
        <v>0</v>
      </c>
      <c r="AX69">
        <f>IF(VLOOKUP(AX$1,main!$A$3:$I$56,5,FALSE)-VLOOKUP($A69,main!$A$3:$I$56,6,FALSE)&gt;=VLOOKUP(56,main!$A$57:$I$59,4,FALSE)+VLOOKUP(VLOOKUP(AX$1,main!$A$3:$I$56,7,FALSE),main!$K$10:$Q$14,4,FALSE),1,0)</f>
        <v>0</v>
      </c>
      <c r="AY69">
        <f>IF(VLOOKUP(AY$1,main!$A$3:$I$56,5,FALSE)-VLOOKUP($A69,main!$A$3:$I$56,6,FALSE)&gt;=VLOOKUP(56,main!$A$57:$I$59,4,FALSE)+VLOOKUP(VLOOKUP(AY$1,main!$A$3:$I$56,7,FALSE),main!$K$10:$Q$14,4,FALSE),1,0)</f>
        <v>0</v>
      </c>
      <c r="AZ69">
        <f>IF(VLOOKUP(AZ$1,main!$A$3:$I$56,5,FALSE)-VLOOKUP($A69,main!$A$3:$I$56,6,FALSE)&gt;=VLOOKUP(56,main!$A$57:$I$59,4,FALSE)+VLOOKUP(VLOOKUP(AZ$1,main!$A$3:$I$56,7,FALSE),main!$K$10:$Q$14,4,FALSE),1,0)</f>
        <v>0</v>
      </c>
      <c r="BA69">
        <f>IF(VLOOKUP(BA$1,main!$A$3:$I$56,5,FALSE)-VLOOKUP($A69,main!$A$3:$I$56,6,FALSE)&gt;=VLOOKUP(56,main!$A$57:$I$59,4,FALSE)+VLOOKUP(VLOOKUP(BA$1,main!$A$3:$I$56,7,FALSE),main!$K$10:$Q$14,4,FALSE),1,0)</f>
        <v>0</v>
      </c>
      <c r="BB69">
        <f>IF(VLOOKUP(BB$1,main!$A$3:$I$56,5,FALSE)-VLOOKUP($A69,main!$A$3:$I$56,6,FALSE)&gt;=VLOOKUP(56,main!$A$57:$I$59,4,FALSE)+VLOOKUP(VLOOKUP(BB$1,main!$A$3:$I$56,7,FALSE),main!$K$10:$Q$14,4,FALSE),1,0)</f>
        <v>0</v>
      </c>
      <c r="BC69">
        <f>IF(VLOOKUP(BC$1,main!$A$3:$I$56,5,FALSE)-VLOOKUP($A69,main!$A$3:$I$56,6,FALSE)&gt;=VLOOKUP(56,main!$A$57:$I$59,4,FALSE)+VLOOKUP(VLOOKUP(BC$1,main!$A$3:$I$56,7,FALSE),main!$K$10:$Q$14,4,FALSE),1,0)</f>
        <v>0</v>
      </c>
      <c r="BD69">
        <f>IF(VLOOKUP(BD$1,main!$A$3:$I$56,5,FALSE)-VLOOKUP($A69,main!$A$3:$I$56,6,FALSE)&gt;=VLOOKUP(56,main!$A$57:$I$59,4,FALSE)+VLOOKUP(VLOOKUP(BD$1,main!$A$3:$I$56,7,FALSE),main!$K$10:$Q$14,4,FALSE),1,0)</f>
        <v>0</v>
      </c>
    </row>
    <row r="70" spans="1:56" x14ac:dyDescent="0.25">
      <c r="A70">
        <f t="shared" si="1"/>
        <v>13</v>
      </c>
      <c r="B70">
        <v>0</v>
      </c>
      <c r="C70">
        <f>IF(VLOOKUP(C$1,main!$A$3:$I$56,5,FALSE)-VLOOKUP($A70,main!$A$3:$I$56,6,FALSE)&gt;=VLOOKUP(56,main!$A$57:$I$59,4,FALSE)+VLOOKUP(VLOOKUP(C$1,main!$A$3:$I$56,7,FALSE),main!$K$10:$Q$14,4,FALSE),1,0)</f>
        <v>0</v>
      </c>
      <c r="D70">
        <f>IF(VLOOKUP(D$1,main!$A$3:$I$56,5,FALSE)-VLOOKUP($A70,main!$A$3:$I$56,6,FALSE)&gt;=VLOOKUP(56,main!$A$57:$I$59,4,FALSE)+VLOOKUP(VLOOKUP(D$1,main!$A$3:$I$56,7,FALSE),main!$K$10:$Q$14,4,FALSE),1,0)</f>
        <v>0</v>
      </c>
      <c r="E70">
        <f>IF(VLOOKUP(E$1,main!$A$3:$I$56,5,FALSE)-VLOOKUP($A70,main!$A$3:$I$56,6,FALSE)&gt;=VLOOKUP(56,main!$A$57:$I$59,4,FALSE)+VLOOKUP(VLOOKUP(E$1,main!$A$3:$I$56,7,FALSE),main!$K$10:$Q$14,4,FALSE),1,0)</f>
        <v>0</v>
      </c>
      <c r="F70">
        <f>IF(VLOOKUP(F$1,main!$A$3:$I$56,5,FALSE)-VLOOKUP($A70,main!$A$3:$I$56,6,FALSE)&gt;=VLOOKUP(56,main!$A$57:$I$59,4,FALSE)+VLOOKUP(VLOOKUP(F$1,main!$A$3:$I$56,7,FALSE),main!$K$10:$Q$14,4,FALSE),1,0)</f>
        <v>0</v>
      </c>
      <c r="G70">
        <f>IF(VLOOKUP(G$1,main!$A$3:$I$56,5,FALSE)-VLOOKUP($A70,main!$A$3:$I$56,6,FALSE)&gt;=VLOOKUP(56,main!$A$57:$I$59,4,FALSE)+VLOOKUP(VLOOKUP(G$1,main!$A$3:$I$56,7,FALSE),main!$K$10:$Q$14,4,FALSE),1,0)</f>
        <v>0</v>
      </c>
      <c r="H70">
        <f>IF(VLOOKUP(H$1,main!$A$3:$I$56,5,FALSE)-VLOOKUP($A70,main!$A$3:$I$56,6,FALSE)&gt;=VLOOKUP(56,main!$A$57:$I$59,4,FALSE)+VLOOKUP(VLOOKUP(H$1,main!$A$3:$I$56,7,FALSE),main!$K$10:$Q$14,4,FALSE),1,0)</f>
        <v>0</v>
      </c>
      <c r="I70">
        <f>IF(VLOOKUP(I$1,main!$A$3:$I$56,5,FALSE)-VLOOKUP($A70,main!$A$3:$I$56,6,FALSE)&gt;=VLOOKUP(56,main!$A$57:$I$59,4,FALSE)+VLOOKUP(VLOOKUP(I$1,main!$A$3:$I$56,7,FALSE),main!$K$10:$Q$14,4,FALSE),1,0)</f>
        <v>0</v>
      </c>
      <c r="J70">
        <f>IF(VLOOKUP(J$1,main!$A$3:$I$56,5,FALSE)-VLOOKUP($A70,main!$A$3:$I$56,6,FALSE)&gt;=VLOOKUP(56,main!$A$57:$I$59,4,FALSE)+VLOOKUP(VLOOKUP(J$1,main!$A$3:$I$56,7,FALSE),main!$K$10:$Q$14,4,FALSE),1,0)</f>
        <v>0</v>
      </c>
      <c r="K70">
        <f>IF(VLOOKUP(K$1,main!$A$3:$I$56,5,FALSE)-VLOOKUP($A70,main!$A$3:$I$56,6,FALSE)&gt;=VLOOKUP(56,main!$A$57:$I$59,4,FALSE)+VLOOKUP(VLOOKUP(K$1,main!$A$3:$I$56,7,FALSE),main!$K$10:$Q$14,4,FALSE),1,0)</f>
        <v>0</v>
      </c>
      <c r="L70">
        <f>IF(VLOOKUP(L$1,main!$A$3:$I$56,5,FALSE)-VLOOKUP($A70,main!$A$3:$I$56,6,FALSE)&gt;=VLOOKUP(56,main!$A$57:$I$59,4,FALSE)+VLOOKUP(VLOOKUP(L$1,main!$A$3:$I$56,7,FALSE),main!$K$10:$Q$14,4,FALSE),1,0)</f>
        <v>0</v>
      </c>
      <c r="M70">
        <f>IF(VLOOKUP(M$1,main!$A$3:$I$56,5,FALSE)-VLOOKUP($A70,main!$A$3:$I$56,6,FALSE)&gt;=VLOOKUP(56,main!$A$57:$I$59,4,FALSE)+VLOOKUP(VLOOKUP(M$1,main!$A$3:$I$56,7,FALSE),main!$K$10:$Q$14,4,FALSE),1,0)</f>
        <v>0</v>
      </c>
      <c r="N70">
        <f>IF(VLOOKUP(N$1,main!$A$3:$I$56,5,FALSE)-VLOOKUP($A70,main!$A$3:$I$56,6,FALSE)&gt;=VLOOKUP(56,main!$A$57:$I$59,4,FALSE)+VLOOKUP(VLOOKUP(N$1,main!$A$3:$I$56,7,FALSE),main!$K$10:$Q$14,4,FALSE),1,0)</f>
        <v>0</v>
      </c>
      <c r="O70">
        <f>IF(VLOOKUP(O$1,main!$A$3:$I$56,5,FALSE)-VLOOKUP($A70,main!$A$3:$I$56,6,FALSE)&gt;=VLOOKUP(56,main!$A$57:$I$59,4,FALSE)+VLOOKUP(VLOOKUP(O$1,main!$A$3:$I$56,7,FALSE),main!$K$10:$Q$14,4,FALSE),1,0)</f>
        <v>0</v>
      </c>
      <c r="P70">
        <f>IF(VLOOKUP(P$1,main!$A$3:$I$56,5,FALSE)-VLOOKUP($A70,main!$A$3:$I$56,6,FALSE)&gt;=VLOOKUP(56,main!$A$57:$I$59,4,FALSE)+VLOOKUP(VLOOKUP(P$1,main!$A$3:$I$56,7,FALSE),main!$K$10:$Q$14,4,FALSE),1,0)</f>
        <v>0</v>
      </c>
      <c r="Q70">
        <f>IF(VLOOKUP(Q$1,main!$A$3:$I$56,5,FALSE)-VLOOKUP($A70,main!$A$3:$I$56,6,FALSE)&gt;=VLOOKUP(56,main!$A$57:$I$59,4,FALSE)+VLOOKUP(VLOOKUP(Q$1,main!$A$3:$I$56,7,FALSE),main!$K$10:$Q$14,4,FALSE),1,0)</f>
        <v>0</v>
      </c>
      <c r="R70">
        <f>IF(VLOOKUP(R$1,main!$A$3:$I$56,5,FALSE)-VLOOKUP($A70,main!$A$3:$I$56,6,FALSE)&gt;=VLOOKUP(56,main!$A$57:$I$59,4,FALSE)+VLOOKUP(VLOOKUP(R$1,main!$A$3:$I$56,7,FALSE),main!$K$10:$Q$14,4,FALSE),1,0)</f>
        <v>0</v>
      </c>
      <c r="S70">
        <f>IF(VLOOKUP(S$1,main!$A$3:$I$56,5,FALSE)-VLOOKUP($A70,main!$A$3:$I$56,6,FALSE)&gt;=VLOOKUP(56,main!$A$57:$I$59,4,FALSE)+VLOOKUP(VLOOKUP(S$1,main!$A$3:$I$56,7,FALSE),main!$K$10:$Q$14,4,FALSE),1,0)</f>
        <v>0</v>
      </c>
      <c r="T70">
        <f>IF(VLOOKUP(T$1,main!$A$3:$I$56,5,FALSE)-VLOOKUP($A70,main!$A$3:$I$56,6,FALSE)&gt;=VLOOKUP(56,main!$A$57:$I$59,4,FALSE)+VLOOKUP(VLOOKUP(T$1,main!$A$3:$I$56,7,FALSE),main!$K$10:$Q$14,4,FALSE),1,0)</f>
        <v>0</v>
      </c>
      <c r="U70">
        <f>IF(VLOOKUP(U$1,main!$A$3:$I$56,5,FALSE)-VLOOKUP($A70,main!$A$3:$I$56,6,FALSE)&gt;=VLOOKUP(56,main!$A$57:$I$59,4,FALSE)+VLOOKUP(VLOOKUP(U$1,main!$A$3:$I$56,7,FALSE),main!$K$10:$Q$14,4,FALSE),1,0)</f>
        <v>0</v>
      </c>
      <c r="V70">
        <f>IF(VLOOKUP(V$1,main!$A$3:$I$56,5,FALSE)-VLOOKUP($A70,main!$A$3:$I$56,6,FALSE)&gt;=VLOOKUP(56,main!$A$57:$I$59,4,FALSE)+VLOOKUP(VLOOKUP(V$1,main!$A$3:$I$56,7,FALSE),main!$K$10:$Q$14,4,FALSE),1,0)</f>
        <v>0</v>
      </c>
      <c r="W70">
        <f>IF(VLOOKUP(W$1,main!$A$3:$I$56,5,FALSE)-VLOOKUP($A70,main!$A$3:$I$56,6,FALSE)&gt;=VLOOKUP(56,main!$A$57:$I$59,4,FALSE)+VLOOKUP(VLOOKUP(W$1,main!$A$3:$I$56,7,FALSE),main!$K$10:$Q$14,4,FALSE),1,0)</f>
        <v>0</v>
      </c>
      <c r="X70">
        <f>IF(VLOOKUP(X$1,main!$A$3:$I$56,5,FALSE)-VLOOKUP($A70,main!$A$3:$I$56,6,FALSE)&gt;=VLOOKUP(56,main!$A$57:$I$59,4,FALSE)+VLOOKUP(VLOOKUP(X$1,main!$A$3:$I$56,7,FALSE),main!$K$10:$Q$14,4,FALSE),1,0)</f>
        <v>0</v>
      </c>
      <c r="Y70">
        <f>IF(VLOOKUP(Y$1,main!$A$3:$I$56,5,FALSE)-VLOOKUP($A70,main!$A$3:$I$56,6,FALSE)&gt;=VLOOKUP(56,main!$A$57:$I$59,4,FALSE)+VLOOKUP(VLOOKUP(Y$1,main!$A$3:$I$56,7,FALSE),main!$K$10:$Q$14,4,FALSE),1,0)</f>
        <v>0</v>
      </c>
      <c r="Z70">
        <f>IF(VLOOKUP(Z$1,main!$A$3:$I$56,5,FALSE)-VLOOKUP($A70,main!$A$3:$I$56,6,FALSE)&gt;=VLOOKUP(56,main!$A$57:$I$59,4,FALSE)+VLOOKUP(VLOOKUP(Z$1,main!$A$3:$I$56,7,FALSE),main!$K$10:$Q$14,4,FALSE),1,0)</f>
        <v>0</v>
      </c>
      <c r="AA70">
        <f>IF(VLOOKUP(AA$1,main!$A$3:$I$56,5,FALSE)-VLOOKUP($A70,main!$A$3:$I$56,6,FALSE)&gt;=VLOOKUP(56,main!$A$57:$I$59,4,FALSE)+VLOOKUP(VLOOKUP(AA$1,main!$A$3:$I$56,7,FALSE),main!$K$10:$Q$14,4,FALSE),1,0)</f>
        <v>0</v>
      </c>
      <c r="AB70">
        <f>IF(VLOOKUP(AB$1,main!$A$3:$I$56,5,FALSE)-VLOOKUP($A70,main!$A$3:$I$56,6,FALSE)&gt;=VLOOKUP(56,main!$A$57:$I$59,4,FALSE)+VLOOKUP(VLOOKUP(AB$1,main!$A$3:$I$56,7,FALSE),main!$K$10:$Q$14,4,FALSE),1,0)</f>
        <v>0</v>
      </c>
      <c r="AC70">
        <f>IF(VLOOKUP(AC$1,main!$A$3:$I$56,5,FALSE)-VLOOKUP($A70,main!$A$3:$I$56,6,FALSE)&gt;=VLOOKUP(56,main!$A$57:$I$59,4,FALSE)+VLOOKUP(VLOOKUP(AC$1,main!$A$3:$I$56,7,FALSE),main!$K$10:$Q$14,4,FALSE),1,0)</f>
        <v>0</v>
      </c>
      <c r="AD70">
        <f>IF(VLOOKUP(AD$1,main!$A$3:$I$56,5,FALSE)-VLOOKUP($A70,main!$A$3:$I$56,6,FALSE)&gt;=VLOOKUP(56,main!$A$57:$I$59,4,FALSE)+VLOOKUP(VLOOKUP(AD$1,main!$A$3:$I$56,7,FALSE),main!$K$10:$Q$14,4,FALSE),1,0)</f>
        <v>0</v>
      </c>
      <c r="AE70">
        <f>IF(VLOOKUP(AE$1,main!$A$3:$I$56,5,FALSE)-VLOOKUP($A70,main!$A$3:$I$56,6,FALSE)&gt;=VLOOKUP(56,main!$A$57:$I$59,4,FALSE)+VLOOKUP(VLOOKUP(AE$1,main!$A$3:$I$56,7,FALSE),main!$K$10:$Q$14,4,FALSE),1,0)</f>
        <v>0</v>
      </c>
      <c r="AF70">
        <f>IF(VLOOKUP(AF$1,main!$A$3:$I$56,5,FALSE)-VLOOKUP($A70,main!$A$3:$I$56,6,FALSE)&gt;=VLOOKUP(56,main!$A$57:$I$59,4,FALSE)+VLOOKUP(VLOOKUP(AF$1,main!$A$3:$I$56,7,FALSE),main!$K$10:$Q$14,4,FALSE),1,0)</f>
        <v>0</v>
      </c>
      <c r="AG70">
        <f>IF(VLOOKUP(AG$1,main!$A$3:$I$56,5,FALSE)-VLOOKUP($A70,main!$A$3:$I$56,6,FALSE)&gt;=VLOOKUP(56,main!$A$57:$I$59,4,FALSE)+VLOOKUP(VLOOKUP(AG$1,main!$A$3:$I$56,7,FALSE),main!$K$10:$Q$14,4,FALSE),1,0)</f>
        <v>0</v>
      </c>
      <c r="AH70">
        <f>IF(VLOOKUP(AH$1,main!$A$3:$I$56,5,FALSE)-VLOOKUP($A70,main!$A$3:$I$56,6,FALSE)&gt;=VLOOKUP(56,main!$A$57:$I$59,4,FALSE)+VLOOKUP(VLOOKUP(AH$1,main!$A$3:$I$56,7,FALSE),main!$K$10:$Q$14,4,FALSE),1,0)</f>
        <v>0</v>
      </c>
      <c r="AI70">
        <f>IF(VLOOKUP(AI$1,main!$A$3:$I$56,5,FALSE)-VLOOKUP($A70,main!$A$3:$I$56,6,FALSE)&gt;=VLOOKUP(56,main!$A$57:$I$59,4,FALSE)+VLOOKUP(VLOOKUP(AI$1,main!$A$3:$I$56,7,FALSE),main!$K$10:$Q$14,4,FALSE),1,0)</f>
        <v>0</v>
      </c>
      <c r="AJ70">
        <f>IF(VLOOKUP(AJ$1,main!$A$3:$I$56,5,FALSE)-VLOOKUP($A70,main!$A$3:$I$56,6,FALSE)&gt;=VLOOKUP(56,main!$A$57:$I$59,4,FALSE)+VLOOKUP(VLOOKUP(AJ$1,main!$A$3:$I$56,7,FALSE),main!$K$10:$Q$14,4,FALSE),1,0)</f>
        <v>0</v>
      </c>
      <c r="AK70">
        <f>IF(VLOOKUP(AK$1,main!$A$3:$I$56,5,FALSE)-VLOOKUP($A70,main!$A$3:$I$56,6,FALSE)&gt;=VLOOKUP(56,main!$A$57:$I$59,4,FALSE)+VLOOKUP(VLOOKUP(AK$1,main!$A$3:$I$56,7,FALSE),main!$K$10:$Q$14,4,FALSE),1,0)</f>
        <v>0</v>
      </c>
      <c r="AL70">
        <f>IF(VLOOKUP(AL$1,main!$A$3:$I$56,5,FALSE)-VLOOKUP($A70,main!$A$3:$I$56,6,FALSE)&gt;=VLOOKUP(56,main!$A$57:$I$59,4,FALSE)+VLOOKUP(VLOOKUP(AL$1,main!$A$3:$I$56,7,FALSE),main!$K$10:$Q$14,4,FALSE),1,0)</f>
        <v>0</v>
      </c>
      <c r="AM70">
        <f>IF(VLOOKUP(AM$1,main!$A$3:$I$56,5,FALSE)-VLOOKUP($A70,main!$A$3:$I$56,6,FALSE)&gt;=VLOOKUP(56,main!$A$57:$I$59,4,FALSE)+VLOOKUP(VLOOKUP(AM$1,main!$A$3:$I$56,7,FALSE),main!$K$10:$Q$14,4,FALSE),1,0)</f>
        <v>0</v>
      </c>
      <c r="AN70">
        <f>IF(VLOOKUP(AN$1,main!$A$3:$I$56,5,FALSE)-VLOOKUP($A70,main!$A$3:$I$56,6,FALSE)&gt;=VLOOKUP(56,main!$A$57:$I$59,4,FALSE)+VLOOKUP(VLOOKUP(AN$1,main!$A$3:$I$56,7,FALSE),main!$K$10:$Q$14,4,FALSE),1,0)</f>
        <v>0</v>
      </c>
      <c r="AO70">
        <f>IF(VLOOKUP(AO$1,main!$A$3:$I$56,5,FALSE)-VLOOKUP($A70,main!$A$3:$I$56,6,FALSE)&gt;=VLOOKUP(56,main!$A$57:$I$59,4,FALSE)+VLOOKUP(VLOOKUP(AO$1,main!$A$3:$I$56,7,FALSE),main!$K$10:$Q$14,4,FALSE),1,0)</f>
        <v>0</v>
      </c>
      <c r="AP70">
        <f>IF(VLOOKUP(AP$1,main!$A$3:$I$56,5,FALSE)-VLOOKUP($A70,main!$A$3:$I$56,6,FALSE)&gt;=VLOOKUP(56,main!$A$57:$I$59,4,FALSE)+VLOOKUP(VLOOKUP(AP$1,main!$A$3:$I$56,7,FALSE),main!$K$10:$Q$14,4,FALSE),1,0)</f>
        <v>0</v>
      </c>
      <c r="AQ70">
        <f>IF(VLOOKUP(AQ$1,main!$A$3:$I$56,5,FALSE)-VLOOKUP($A70,main!$A$3:$I$56,6,FALSE)&gt;=VLOOKUP(56,main!$A$57:$I$59,4,FALSE)+VLOOKUP(VLOOKUP(AQ$1,main!$A$3:$I$56,7,FALSE),main!$K$10:$Q$14,4,FALSE),1,0)</f>
        <v>0</v>
      </c>
      <c r="AR70">
        <f>IF(VLOOKUP(AR$1,main!$A$3:$I$56,5,FALSE)-VLOOKUP($A70,main!$A$3:$I$56,6,FALSE)&gt;=VLOOKUP(56,main!$A$57:$I$59,4,FALSE)+VLOOKUP(VLOOKUP(AR$1,main!$A$3:$I$56,7,FALSE),main!$K$10:$Q$14,4,FALSE),1,0)</f>
        <v>0</v>
      </c>
      <c r="AS70">
        <f>IF(VLOOKUP(AS$1,main!$A$3:$I$56,5,FALSE)-VLOOKUP($A70,main!$A$3:$I$56,6,FALSE)&gt;=VLOOKUP(56,main!$A$57:$I$59,4,FALSE)+VLOOKUP(VLOOKUP(AS$1,main!$A$3:$I$56,7,FALSE),main!$K$10:$Q$14,4,FALSE),1,0)</f>
        <v>0</v>
      </c>
      <c r="AT70">
        <f>IF(VLOOKUP(AT$1,main!$A$3:$I$56,5,FALSE)-VLOOKUP($A70,main!$A$3:$I$56,6,FALSE)&gt;=VLOOKUP(56,main!$A$57:$I$59,4,FALSE)+VLOOKUP(VLOOKUP(AT$1,main!$A$3:$I$56,7,FALSE),main!$K$10:$Q$14,4,FALSE),1,0)</f>
        <v>0</v>
      </c>
      <c r="AU70">
        <f>IF(VLOOKUP(AU$1,main!$A$3:$I$56,5,FALSE)-VLOOKUP($A70,main!$A$3:$I$56,6,FALSE)&gt;=VLOOKUP(56,main!$A$57:$I$59,4,FALSE)+VLOOKUP(VLOOKUP(AU$1,main!$A$3:$I$56,7,FALSE),main!$K$10:$Q$14,4,FALSE),1,0)</f>
        <v>0</v>
      </c>
      <c r="AV70">
        <f>IF(VLOOKUP(AV$1,main!$A$3:$I$56,5,FALSE)-VLOOKUP($A70,main!$A$3:$I$56,6,FALSE)&gt;=VLOOKUP(56,main!$A$57:$I$59,4,FALSE)+VLOOKUP(VLOOKUP(AV$1,main!$A$3:$I$56,7,FALSE),main!$K$10:$Q$14,4,FALSE),1,0)</f>
        <v>0</v>
      </c>
      <c r="AW70">
        <f>IF(VLOOKUP(AW$1,main!$A$3:$I$56,5,FALSE)-VLOOKUP($A70,main!$A$3:$I$56,6,FALSE)&gt;=VLOOKUP(56,main!$A$57:$I$59,4,FALSE)+VLOOKUP(VLOOKUP(AW$1,main!$A$3:$I$56,7,FALSE),main!$K$10:$Q$14,4,FALSE),1,0)</f>
        <v>0</v>
      </c>
      <c r="AX70">
        <f>IF(VLOOKUP(AX$1,main!$A$3:$I$56,5,FALSE)-VLOOKUP($A70,main!$A$3:$I$56,6,FALSE)&gt;=VLOOKUP(56,main!$A$57:$I$59,4,FALSE)+VLOOKUP(VLOOKUP(AX$1,main!$A$3:$I$56,7,FALSE),main!$K$10:$Q$14,4,FALSE),1,0)</f>
        <v>0</v>
      </c>
      <c r="AY70">
        <f>IF(VLOOKUP(AY$1,main!$A$3:$I$56,5,FALSE)-VLOOKUP($A70,main!$A$3:$I$56,6,FALSE)&gt;=VLOOKUP(56,main!$A$57:$I$59,4,FALSE)+VLOOKUP(VLOOKUP(AY$1,main!$A$3:$I$56,7,FALSE),main!$K$10:$Q$14,4,FALSE),1,0)</f>
        <v>0</v>
      </c>
      <c r="AZ70">
        <f>IF(VLOOKUP(AZ$1,main!$A$3:$I$56,5,FALSE)-VLOOKUP($A70,main!$A$3:$I$56,6,FALSE)&gt;=VLOOKUP(56,main!$A$57:$I$59,4,FALSE)+VLOOKUP(VLOOKUP(AZ$1,main!$A$3:$I$56,7,FALSE),main!$K$10:$Q$14,4,FALSE),1,0)</f>
        <v>0</v>
      </c>
      <c r="BA70">
        <f>IF(VLOOKUP(BA$1,main!$A$3:$I$56,5,FALSE)-VLOOKUP($A70,main!$A$3:$I$56,6,FALSE)&gt;=VLOOKUP(56,main!$A$57:$I$59,4,FALSE)+VLOOKUP(VLOOKUP(BA$1,main!$A$3:$I$56,7,FALSE),main!$K$10:$Q$14,4,FALSE),1,0)</f>
        <v>0</v>
      </c>
      <c r="BB70">
        <f>IF(VLOOKUP(BB$1,main!$A$3:$I$56,5,FALSE)-VLOOKUP($A70,main!$A$3:$I$56,6,FALSE)&gt;=VLOOKUP(56,main!$A$57:$I$59,4,FALSE)+VLOOKUP(VLOOKUP(BB$1,main!$A$3:$I$56,7,FALSE),main!$K$10:$Q$14,4,FALSE),1,0)</f>
        <v>0</v>
      </c>
      <c r="BC70">
        <f>IF(VLOOKUP(BC$1,main!$A$3:$I$56,5,FALSE)-VLOOKUP($A70,main!$A$3:$I$56,6,FALSE)&gt;=VLOOKUP(56,main!$A$57:$I$59,4,FALSE)+VLOOKUP(VLOOKUP(BC$1,main!$A$3:$I$56,7,FALSE),main!$K$10:$Q$14,4,FALSE),1,0)</f>
        <v>0</v>
      </c>
      <c r="BD70">
        <f>IF(VLOOKUP(BD$1,main!$A$3:$I$56,5,FALSE)-VLOOKUP($A70,main!$A$3:$I$56,6,FALSE)&gt;=VLOOKUP(56,main!$A$57:$I$59,4,FALSE)+VLOOKUP(VLOOKUP(BD$1,main!$A$3:$I$56,7,FALSE),main!$K$10:$Q$14,4,FALSE),1,0)</f>
        <v>0</v>
      </c>
    </row>
    <row r="71" spans="1:56" x14ac:dyDescent="0.25">
      <c r="A71">
        <f t="shared" si="1"/>
        <v>14</v>
      </c>
      <c r="B71">
        <v>0</v>
      </c>
      <c r="C71">
        <f>IF(VLOOKUP(C$1,main!$A$3:$I$56,5,FALSE)-VLOOKUP($A71,main!$A$3:$I$56,6,FALSE)&gt;=VLOOKUP(56,main!$A$57:$I$59,4,FALSE)+VLOOKUP(VLOOKUP(C$1,main!$A$3:$I$56,7,FALSE),main!$K$10:$Q$14,4,FALSE),1,0)</f>
        <v>0</v>
      </c>
      <c r="D71">
        <f>IF(VLOOKUP(D$1,main!$A$3:$I$56,5,FALSE)-VLOOKUP($A71,main!$A$3:$I$56,6,FALSE)&gt;=VLOOKUP(56,main!$A$57:$I$59,4,FALSE)+VLOOKUP(VLOOKUP(D$1,main!$A$3:$I$56,7,FALSE),main!$K$10:$Q$14,4,FALSE),1,0)</f>
        <v>0</v>
      </c>
      <c r="E71">
        <f>IF(VLOOKUP(E$1,main!$A$3:$I$56,5,FALSE)-VLOOKUP($A71,main!$A$3:$I$56,6,FALSE)&gt;=VLOOKUP(56,main!$A$57:$I$59,4,FALSE)+VLOOKUP(VLOOKUP(E$1,main!$A$3:$I$56,7,FALSE),main!$K$10:$Q$14,4,FALSE),1,0)</f>
        <v>1</v>
      </c>
      <c r="F71">
        <f>IF(VLOOKUP(F$1,main!$A$3:$I$56,5,FALSE)-VLOOKUP($A71,main!$A$3:$I$56,6,FALSE)&gt;=VLOOKUP(56,main!$A$57:$I$59,4,FALSE)+VLOOKUP(VLOOKUP(F$1,main!$A$3:$I$56,7,FALSE),main!$K$10:$Q$14,4,FALSE),1,0)</f>
        <v>1</v>
      </c>
      <c r="G71">
        <f>IF(VLOOKUP(G$1,main!$A$3:$I$56,5,FALSE)-VLOOKUP($A71,main!$A$3:$I$56,6,FALSE)&gt;=VLOOKUP(56,main!$A$57:$I$59,4,FALSE)+VLOOKUP(VLOOKUP(G$1,main!$A$3:$I$56,7,FALSE),main!$K$10:$Q$14,4,FALSE),1,0)</f>
        <v>1</v>
      </c>
      <c r="H71">
        <f>IF(VLOOKUP(H$1,main!$A$3:$I$56,5,FALSE)-VLOOKUP($A71,main!$A$3:$I$56,6,FALSE)&gt;=VLOOKUP(56,main!$A$57:$I$59,4,FALSE)+VLOOKUP(VLOOKUP(H$1,main!$A$3:$I$56,7,FALSE),main!$K$10:$Q$14,4,FALSE),1,0)</f>
        <v>1</v>
      </c>
      <c r="I71">
        <f>IF(VLOOKUP(I$1,main!$A$3:$I$56,5,FALSE)-VLOOKUP($A71,main!$A$3:$I$56,6,FALSE)&gt;=VLOOKUP(56,main!$A$57:$I$59,4,FALSE)+VLOOKUP(VLOOKUP(I$1,main!$A$3:$I$56,7,FALSE),main!$K$10:$Q$14,4,FALSE),1,0)</f>
        <v>1</v>
      </c>
      <c r="J71">
        <f>IF(VLOOKUP(J$1,main!$A$3:$I$56,5,FALSE)-VLOOKUP($A71,main!$A$3:$I$56,6,FALSE)&gt;=VLOOKUP(56,main!$A$57:$I$59,4,FALSE)+VLOOKUP(VLOOKUP(J$1,main!$A$3:$I$56,7,FALSE),main!$K$10:$Q$14,4,FALSE),1,0)</f>
        <v>1</v>
      </c>
      <c r="K71">
        <f>IF(VLOOKUP(K$1,main!$A$3:$I$56,5,FALSE)-VLOOKUP($A71,main!$A$3:$I$56,6,FALSE)&gt;=VLOOKUP(56,main!$A$57:$I$59,4,FALSE)+VLOOKUP(VLOOKUP(K$1,main!$A$3:$I$56,7,FALSE),main!$K$10:$Q$14,4,FALSE),1,0)</f>
        <v>0</v>
      </c>
      <c r="L71">
        <f>IF(VLOOKUP(L$1,main!$A$3:$I$56,5,FALSE)-VLOOKUP($A71,main!$A$3:$I$56,6,FALSE)&gt;=VLOOKUP(56,main!$A$57:$I$59,4,FALSE)+VLOOKUP(VLOOKUP(L$1,main!$A$3:$I$56,7,FALSE),main!$K$10:$Q$14,4,FALSE),1,0)</f>
        <v>0</v>
      </c>
      <c r="M71">
        <f>IF(VLOOKUP(M$1,main!$A$3:$I$56,5,FALSE)-VLOOKUP($A71,main!$A$3:$I$56,6,FALSE)&gt;=VLOOKUP(56,main!$A$57:$I$59,4,FALSE)+VLOOKUP(VLOOKUP(M$1,main!$A$3:$I$56,7,FALSE),main!$K$10:$Q$14,4,FALSE),1,0)</f>
        <v>1</v>
      </c>
      <c r="N71">
        <f>IF(VLOOKUP(N$1,main!$A$3:$I$56,5,FALSE)-VLOOKUP($A71,main!$A$3:$I$56,6,FALSE)&gt;=VLOOKUP(56,main!$A$57:$I$59,4,FALSE)+VLOOKUP(VLOOKUP(N$1,main!$A$3:$I$56,7,FALSE),main!$K$10:$Q$14,4,FALSE),1,0)</f>
        <v>1</v>
      </c>
      <c r="O71">
        <f>IF(VLOOKUP(O$1,main!$A$3:$I$56,5,FALSE)-VLOOKUP($A71,main!$A$3:$I$56,6,FALSE)&gt;=VLOOKUP(56,main!$A$57:$I$59,4,FALSE)+VLOOKUP(VLOOKUP(O$1,main!$A$3:$I$56,7,FALSE),main!$K$10:$Q$14,4,FALSE),1,0)</f>
        <v>1</v>
      </c>
      <c r="P71">
        <f>IF(VLOOKUP(P$1,main!$A$3:$I$56,5,FALSE)-VLOOKUP($A71,main!$A$3:$I$56,6,FALSE)&gt;=VLOOKUP(56,main!$A$57:$I$59,4,FALSE)+VLOOKUP(VLOOKUP(P$1,main!$A$3:$I$56,7,FALSE),main!$K$10:$Q$14,4,FALSE),1,0)</f>
        <v>0</v>
      </c>
      <c r="Q71">
        <f>IF(VLOOKUP(Q$1,main!$A$3:$I$56,5,FALSE)-VLOOKUP($A71,main!$A$3:$I$56,6,FALSE)&gt;=VLOOKUP(56,main!$A$57:$I$59,4,FALSE)+VLOOKUP(VLOOKUP(Q$1,main!$A$3:$I$56,7,FALSE),main!$K$10:$Q$14,4,FALSE),1,0)</f>
        <v>0</v>
      </c>
      <c r="R71">
        <f>IF(VLOOKUP(R$1,main!$A$3:$I$56,5,FALSE)-VLOOKUP($A71,main!$A$3:$I$56,6,FALSE)&gt;=VLOOKUP(56,main!$A$57:$I$59,4,FALSE)+VLOOKUP(VLOOKUP(R$1,main!$A$3:$I$56,7,FALSE),main!$K$10:$Q$14,4,FALSE),1,0)</f>
        <v>1</v>
      </c>
      <c r="S71">
        <f>IF(VLOOKUP(S$1,main!$A$3:$I$56,5,FALSE)-VLOOKUP($A71,main!$A$3:$I$56,6,FALSE)&gt;=VLOOKUP(56,main!$A$57:$I$59,4,FALSE)+VLOOKUP(VLOOKUP(S$1,main!$A$3:$I$56,7,FALSE),main!$K$10:$Q$14,4,FALSE),1,0)</f>
        <v>1</v>
      </c>
      <c r="T71">
        <f>IF(VLOOKUP(T$1,main!$A$3:$I$56,5,FALSE)-VLOOKUP($A71,main!$A$3:$I$56,6,FALSE)&gt;=VLOOKUP(56,main!$A$57:$I$59,4,FALSE)+VLOOKUP(VLOOKUP(T$1,main!$A$3:$I$56,7,FALSE),main!$K$10:$Q$14,4,FALSE),1,0)</f>
        <v>1</v>
      </c>
      <c r="U71">
        <f>IF(VLOOKUP(U$1,main!$A$3:$I$56,5,FALSE)-VLOOKUP($A71,main!$A$3:$I$56,6,FALSE)&gt;=VLOOKUP(56,main!$A$57:$I$59,4,FALSE)+VLOOKUP(VLOOKUP(U$1,main!$A$3:$I$56,7,FALSE),main!$K$10:$Q$14,4,FALSE),1,0)</f>
        <v>0</v>
      </c>
      <c r="V71">
        <f>IF(VLOOKUP(V$1,main!$A$3:$I$56,5,FALSE)-VLOOKUP($A71,main!$A$3:$I$56,6,FALSE)&gt;=VLOOKUP(56,main!$A$57:$I$59,4,FALSE)+VLOOKUP(VLOOKUP(V$1,main!$A$3:$I$56,7,FALSE),main!$K$10:$Q$14,4,FALSE),1,0)</f>
        <v>0</v>
      </c>
      <c r="W71">
        <f>IF(VLOOKUP(W$1,main!$A$3:$I$56,5,FALSE)-VLOOKUP($A71,main!$A$3:$I$56,6,FALSE)&gt;=VLOOKUP(56,main!$A$57:$I$59,4,FALSE)+VLOOKUP(VLOOKUP(W$1,main!$A$3:$I$56,7,FALSE),main!$K$10:$Q$14,4,FALSE),1,0)</f>
        <v>0</v>
      </c>
      <c r="X71">
        <f>IF(VLOOKUP(X$1,main!$A$3:$I$56,5,FALSE)-VLOOKUP($A71,main!$A$3:$I$56,6,FALSE)&gt;=VLOOKUP(56,main!$A$57:$I$59,4,FALSE)+VLOOKUP(VLOOKUP(X$1,main!$A$3:$I$56,7,FALSE),main!$K$10:$Q$14,4,FALSE),1,0)</f>
        <v>0</v>
      </c>
      <c r="Y71">
        <f>IF(VLOOKUP(Y$1,main!$A$3:$I$56,5,FALSE)-VLOOKUP($A71,main!$A$3:$I$56,6,FALSE)&gt;=VLOOKUP(56,main!$A$57:$I$59,4,FALSE)+VLOOKUP(VLOOKUP(Y$1,main!$A$3:$I$56,7,FALSE),main!$K$10:$Q$14,4,FALSE),1,0)</f>
        <v>1</v>
      </c>
      <c r="Z71">
        <f>IF(VLOOKUP(Z$1,main!$A$3:$I$56,5,FALSE)-VLOOKUP($A71,main!$A$3:$I$56,6,FALSE)&gt;=VLOOKUP(56,main!$A$57:$I$59,4,FALSE)+VLOOKUP(VLOOKUP(Z$1,main!$A$3:$I$56,7,FALSE),main!$K$10:$Q$14,4,FALSE),1,0)</f>
        <v>1</v>
      </c>
      <c r="AA71">
        <f>IF(VLOOKUP(AA$1,main!$A$3:$I$56,5,FALSE)-VLOOKUP($A71,main!$A$3:$I$56,6,FALSE)&gt;=VLOOKUP(56,main!$A$57:$I$59,4,FALSE)+VLOOKUP(VLOOKUP(AA$1,main!$A$3:$I$56,7,FALSE),main!$K$10:$Q$14,4,FALSE),1,0)</f>
        <v>1</v>
      </c>
      <c r="AB71">
        <f>IF(VLOOKUP(AB$1,main!$A$3:$I$56,5,FALSE)-VLOOKUP($A71,main!$A$3:$I$56,6,FALSE)&gt;=VLOOKUP(56,main!$A$57:$I$59,4,FALSE)+VLOOKUP(VLOOKUP(AB$1,main!$A$3:$I$56,7,FALSE),main!$K$10:$Q$14,4,FALSE),1,0)</f>
        <v>1</v>
      </c>
      <c r="AC71">
        <f>IF(VLOOKUP(AC$1,main!$A$3:$I$56,5,FALSE)-VLOOKUP($A71,main!$A$3:$I$56,6,FALSE)&gt;=VLOOKUP(56,main!$A$57:$I$59,4,FALSE)+VLOOKUP(VLOOKUP(AC$1,main!$A$3:$I$56,7,FALSE),main!$K$10:$Q$14,4,FALSE),1,0)</f>
        <v>0</v>
      </c>
      <c r="AD71">
        <f>IF(VLOOKUP(AD$1,main!$A$3:$I$56,5,FALSE)-VLOOKUP($A71,main!$A$3:$I$56,6,FALSE)&gt;=VLOOKUP(56,main!$A$57:$I$59,4,FALSE)+VLOOKUP(VLOOKUP(AD$1,main!$A$3:$I$56,7,FALSE),main!$K$10:$Q$14,4,FALSE),1,0)</f>
        <v>0</v>
      </c>
      <c r="AE71">
        <f>IF(VLOOKUP(AE$1,main!$A$3:$I$56,5,FALSE)-VLOOKUP($A71,main!$A$3:$I$56,6,FALSE)&gt;=VLOOKUP(56,main!$A$57:$I$59,4,FALSE)+VLOOKUP(VLOOKUP(AE$1,main!$A$3:$I$56,7,FALSE),main!$K$10:$Q$14,4,FALSE),1,0)</f>
        <v>0</v>
      </c>
      <c r="AF71">
        <f>IF(VLOOKUP(AF$1,main!$A$3:$I$56,5,FALSE)-VLOOKUP($A71,main!$A$3:$I$56,6,FALSE)&gt;=VLOOKUP(56,main!$A$57:$I$59,4,FALSE)+VLOOKUP(VLOOKUP(AF$1,main!$A$3:$I$56,7,FALSE),main!$K$10:$Q$14,4,FALSE),1,0)</f>
        <v>1</v>
      </c>
      <c r="AG71">
        <f>IF(VLOOKUP(AG$1,main!$A$3:$I$56,5,FALSE)-VLOOKUP($A71,main!$A$3:$I$56,6,FALSE)&gt;=VLOOKUP(56,main!$A$57:$I$59,4,FALSE)+VLOOKUP(VLOOKUP(AG$1,main!$A$3:$I$56,7,FALSE),main!$K$10:$Q$14,4,FALSE),1,0)</f>
        <v>0</v>
      </c>
      <c r="AH71">
        <f>IF(VLOOKUP(AH$1,main!$A$3:$I$56,5,FALSE)-VLOOKUP($A71,main!$A$3:$I$56,6,FALSE)&gt;=VLOOKUP(56,main!$A$57:$I$59,4,FALSE)+VLOOKUP(VLOOKUP(AH$1,main!$A$3:$I$56,7,FALSE),main!$K$10:$Q$14,4,FALSE),1,0)</f>
        <v>0</v>
      </c>
      <c r="AI71">
        <f>IF(VLOOKUP(AI$1,main!$A$3:$I$56,5,FALSE)-VLOOKUP($A71,main!$A$3:$I$56,6,FALSE)&gt;=VLOOKUP(56,main!$A$57:$I$59,4,FALSE)+VLOOKUP(VLOOKUP(AI$1,main!$A$3:$I$56,7,FALSE),main!$K$10:$Q$14,4,FALSE),1,0)</f>
        <v>0</v>
      </c>
      <c r="AJ71">
        <f>IF(VLOOKUP(AJ$1,main!$A$3:$I$56,5,FALSE)-VLOOKUP($A71,main!$A$3:$I$56,6,FALSE)&gt;=VLOOKUP(56,main!$A$57:$I$59,4,FALSE)+VLOOKUP(VLOOKUP(AJ$1,main!$A$3:$I$56,7,FALSE),main!$K$10:$Q$14,4,FALSE),1,0)</f>
        <v>1</v>
      </c>
      <c r="AK71">
        <f>IF(VLOOKUP(AK$1,main!$A$3:$I$56,5,FALSE)-VLOOKUP($A71,main!$A$3:$I$56,6,FALSE)&gt;=VLOOKUP(56,main!$A$57:$I$59,4,FALSE)+VLOOKUP(VLOOKUP(AK$1,main!$A$3:$I$56,7,FALSE),main!$K$10:$Q$14,4,FALSE),1,0)</f>
        <v>1</v>
      </c>
      <c r="AL71">
        <f>IF(VLOOKUP(AL$1,main!$A$3:$I$56,5,FALSE)-VLOOKUP($A71,main!$A$3:$I$56,6,FALSE)&gt;=VLOOKUP(56,main!$A$57:$I$59,4,FALSE)+VLOOKUP(VLOOKUP(AL$1,main!$A$3:$I$56,7,FALSE),main!$K$10:$Q$14,4,FALSE),1,0)</f>
        <v>0</v>
      </c>
      <c r="AM71">
        <f>IF(VLOOKUP(AM$1,main!$A$3:$I$56,5,FALSE)-VLOOKUP($A71,main!$A$3:$I$56,6,FALSE)&gt;=VLOOKUP(56,main!$A$57:$I$59,4,FALSE)+VLOOKUP(VLOOKUP(AM$1,main!$A$3:$I$56,7,FALSE),main!$K$10:$Q$14,4,FALSE),1,0)</f>
        <v>0</v>
      </c>
      <c r="AN71">
        <f>IF(VLOOKUP(AN$1,main!$A$3:$I$56,5,FALSE)-VLOOKUP($A71,main!$A$3:$I$56,6,FALSE)&gt;=VLOOKUP(56,main!$A$57:$I$59,4,FALSE)+VLOOKUP(VLOOKUP(AN$1,main!$A$3:$I$56,7,FALSE),main!$K$10:$Q$14,4,FALSE),1,0)</f>
        <v>1</v>
      </c>
      <c r="AO71">
        <f>IF(VLOOKUP(AO$1,main!$A$3:$I$56,5,FALSE)-VLOOKUP($A71,main!$A$3:$I$56,6,FALSE)&gt;=VLOOKUP(56,main!$A$57:$I$59,4,FALSE)+VLOOKUP(VLOOKUP(AO$1,main!$A$3:$I$56,7,FALSE),main!$K$10:$Q$14,4,FALSE),1,0)</f>
        <v>1</v>
      </c>
      <c r="AP71">
        <f>IF(VLOOKUP(AP$1,main!$A$3:$I$56,5,FALSE)-VLOOKUP($A71,main!$A$3:$I$56,6,FALSE)&gt;=VLOOKUP(56,main!$A$57:$I$59,4,FALSE)+VLOOKUP(VLOOKUP(AP$1,main!$A$3:$I$56,7,FALSE),main!$K$10:$Q$14,4,FALSE),1,0)</f>
        <v>0</v>
      </c>
      <c r="AQ71">
        <f>IF(VLOOKUP(AQ$1,main!$A$3:$I$56,5,FALSE)-VLOOKUP($A71,main!$A$3:$I$56,6,FALSE)&gt;=VLOOKUP(56,main!$A$57:$I$59,4,FALSE)+VLOOKUP(VLOOKUP(AQ$1,main!$A$3:$I$56,7,FALSE),main!$K$10:$Q$14,4,FALSE),1,0)</f>
        <v>0</v>
      </c>
      <c r="AR71">
        <f>IF(VLOOKUP(AR$1,main!$A$3:$I$56,5,FALSE)-VLOOKUP($A71,main!$A$3:$I$56,6,FALSE)&gt;=VLOOKUP(56,main!$A$57:$I$59,4,FALSE)+VLOOKUP(VLOOKUP(AR$1,main!$A$3:$I$56,7,FALSE),main!$K$10:$Q$14,4,FALSE),1,0)</f>
        <v>0</v>
      </c>
      <c r="AS71">
        <f>IF(VLOOKUP(AS$1,main!$A$3:$I$56,5,FALSE)-VLOOKUP($A71,main!$A$3:$I$56,6,FALSE)&gt;=VLOOKUP(56,main!$A$57:$I$59,4,FALSE)+VLOOKUP(VLOOKUP(AS$1,main!$A$3:$I$56,7,FALSE),main!$K$10:$Q$14,4,FALSE),1,0)</f>
        <v>0</v>
      </c>
      <c r="AT71">
        <f>IF(VLOOKUP(AT$1,main!$A$3:$I$56,5,FALSE)-VLOOKUP($A71,main!$A$3:$I$56,6,FALSE)&gt;=VLOOKUP(56,main!$A$57:$I$59,4,FALSE)+VLOOKUP(VLOOKUP(AT$1,main!$A$3:$I$56,7,FALSE),main!$K$10:$Q$14,4,FALSE),1,0)</f>
        <v>0</v>
      </c>
      <c r="AU71">
        <f>IF(VLOOKUP(AU$1,main!$A$3:$I$56,5,FALSE)-VLOOKUP($A71,main!$A$3:$I$56,6,FALSE)&gt;=VLOOKUP(56,main!$A$57:$I$59,4,FALSE)+VLOOKUP(VLOOKUP(AU$1,main!$A$3:$I$56,7,FALSE),main!$K$10:$Q$14,4,FALSE),1,0)</f>
        <v>0</v>
      </c>
      <c r="AV71">
        <f>IF(VLOOKUP(AV$1,main!$A$3:$I$56,5,FALSE)-VLOOKUP($A71,main!$A$3:$I$56,6,FALSE)&gt;=VLOOKUP(56,main!$A$57:$I$59,4,FALSE)+VLOOKUP(VLOOKUP(AV$1,main!$A$3:$I$56,7,FALSE),main!$K$10:$Q$14,4,FALSE),1,0)</f>
        <v>0</v>
      </c>
      <c r="AW71">
        <f>IF(VLOOKUP(AW$1,main!$A$3:$I$56,5,FALSE)-VLOOKUP($A71,main!$A$3:$I$56,6,FALSE)&gt;=VLOOKUP(56,main!$A$57:$I$59,4,FALSE)+VLOOKUP(VLOOKUP(AW$1,main!$A$3:$I$56,7,FALSE),main!$K$10:$Q$14,4,FALSE),1,0)</f>
        <v>0</v>
      </c>
      <c r="AX71">
        <f>IF(VLOOKUP(AX$1,main!$A$3:$I$56,5,FALSE)-VLOOKUP($A71,main!$A$3:$I$56,6,FALSE)&gt;=VLOOKUP(56,main!$A$57:$I$59,4,FALSE)+VLOOKUP(VLOOKUP(AX$1,main!$A$3:$I$56,7,FALSE),main!$K$10:$Q$14,4,FALSE),1,0)</f>
        <v>1</v>
      </c>
      <c r="AY71">
        <f>IF(VLOOKUP(AY$1,main!$A$3:$I$56,5,FALSE)-VLOOKUP($A71,main!$A$3:$I$56,6,FALSE)&gt;=VLOOKUP(56,main!$A$57:$I$59,4,FALSE)+VLOOKUP(VLOOKUP(AY$1,main!$A$3:$I$56,7,FALSE),main!$K$10:$Q$14,4,FALSE),1,0)</f>
        <v>1</v>
      </c>
      <c r="AZ71">
        <f>IF(VLOOKUP(AZ$1,main!$A$3:$I$56,5,FALSE)-VLOOKUP($A71,main!$A$3:$I$56,6,FALSE)&gt;=VLOOKUP(56,main!$A$57:$I$59,4,FALSE)+VLOOKUP(VLOOKUP(AZ$1,main!$A$3:$I$56,7,FALSE),main!$K$10:$Q$14,4,FALSE),1,0)</f>
        <v>0</v>
      </c>
      <c r="BA71">
        <f>IF(VLOOKUP(BA$1,main!$A$3:$I$56,5,FALSE)-VLOOKUP($A71,main!$A$3:$I$56,6,FALSE)&gt;=VLOOKUP(56,main!$A$57:$I$59,4,FALSE)+VLOOKUP(VLOOKUP(BA$1,main!$A$3:$I$56,7,FALSE),main!$K$10:$Q$14,4,FALSE),1,0)</f>
        <v>0</v>
      </c>
      <c r="BB71">
        <f>IF(VLOOKUP(BB$1,main!$A$3:$I$56,5,FALSE)-VLOOKUP($A71,main!$A$3:$I$56,6,FALSE)&gt;=VLOOKUP(56,main!$A$57:$I$59,4,FALSE)+VLOOKUP(VLOOKUP(BB$1,main!$A$3:$I$56,7,FALSE),main!$K$10:$Q$14,4,FALSE),1,0)</f>
        <v>0</v>
      </c>
      <c r="BC71">
        <f>IF(VLOOKUP(BC$1,main!$A$3:$I$56,5,FALSE)-VLOOKUP($A71,main!$A$3:$I$56,6,FALSE)&gt;=VLOOKUP(56,main!$A$57:$I$59,4,FALSE)+VLOOKUP(VLOOKUP(BC$1,main!$A$3:$I$56,7,FALSE),main!$K$10:$Q$14,4,FALSE),1,0)</f>
        <v>0</v>
      </c>
      <c r="BD71">
        <f>IF(VLOOKUP(BD$1,main!$A$3:$I$56,5,FALSE)-VLOOKUP($A71,main!$A$3:$I$56,6,FALSE)&gt;=VLOOKUP(56,main!$A$57:$I$59,4,FALSE)+VLOOKUP(VLOOKUP(BD$1,main!$A$3:$I$56,7,FALSE),main!$K$10:$Q$14,4,FALSE),1,0)</f>
        <v>1</v>
      </c>
    </row>
    <row r="72" spans="1:56" x14ac:dyDescent="0.25">
      <c r="A72">
        <f t="shared" si="1"/>
        <v>15</v>
      </c>
      <c r="B72">
        <v>0</v>
      </c>
      <c r="C72">
        <f>IF(VLOOKUP(C$1,main!$A$3:$I$56,5,FALSE)-VLOOKUP($A72,main!$A$3:$I$56,6,FALSE)&gt;=VLOOKUP(56,main!$A$57:$I$59,4,FALSE)+VLOOKUP(VLOOKUP(C$1,main!$A$3:$I$56,7,FALSE),main!$K$10:$Q$14,4,FALSE),1,0)</f>
        <v>0</v>
      </c>
      <c r="D72">
        <f>IF(VLOOKUP(D$1,main!$A$3:$I$56,5,FALSE)-VLOOKUP($A72,main!$A$3:$I$56,6,FALSE)&gt;=VLOOKUP(56,main!$A$57:$I$59,4,FALSE)+VLOOKUP(VLOOKUP(D$1,main!$A$3:$I$56,7,FALSE),main!$K$10:$Q$14,4,FALSE),1,0)</f>
        <v>0</v>
      </c>
      <c r="E72">
        <f>IF(VLOOKUP(E$1,main!$A$3:$I$56,5,FALSE)-VLOOKUP($A72,main!$A$3:$I$56,6,FALSE)&gt;=VLOOKUP(56,main!$A$57:$I$59,4,FALSE)+VLOOKUP(VLOOKUP(E$1,main!$A$3:$I$56,7,FALSE),main!$K$10:$Q$14,4,FALSE),1,0)</f>
        <v>1</v>
      </c>
      <c r="F72">
        <f>IF(VLOOKUP(F$1,main!$A$3:$I$56,5,FALSE)-VLOOKUP($A72,main!$A$3:$I$56,6,FALSE)&gt;=VLOOKUP(56,main!$A$57:$I$59,4,FALSE)+VLOOKUP(VLOOKUP(F$1,main!$A$3:$I$56,7,FALSE),main!$K$10:$Q$14,4,FALSE),1,0)</f>
        <v>1</v>
      </c>
      <c r="G72">
        <f>IF(VLOOKUP(G$1,main!$A$3:$I$56,5,FALSE)-VLOOKUP($A72,main!$A$3:$I$56,6,FALSE)&gt;=VLOOKUP(56,main!$A$57:$I$59,4,FALSE)+VLOOKUP(VLOOKUP(G$1,main!$A$3:$I$56,7,FALSE),main!$K$10:$Q$14,4,FALSE),1,0)</f>
        <v>1</v>
      </c>
      <c r="H72">
        <f>IF(VLOOKUP(H$1,main!$A$3:$I$56,5,FALSE)-VLOOKUP($A72,main!$A$3:$I$56,6,FALSE)&gt;=VLOOKUP(56,main!$A$57:$I$59,4,FALSE)+VLOOKUP(VLOOKUP(H$1,main!$A$3:$I$56,7,FALSE),main!$K$10:$Q$14,4,FALSE),1,0)</f>
        <v>1</v>
      </c>
      <c r="I72">
        <f>IF(VLOOKUP(I$1,main!$A$3:$I$56,5,FALSE)-VLOOKUP($A72,main!$A$3:$I$56,6,FALSE)&gt;=VLOOKUP(56,main!$A$57:$I$59,4,FALSE)+VLOOKUP(VLOOKUP(I$1,main!$A$3:$I$56,7,FALSE),main!$K$10:$Q$14,4,FALSE),1,0)</f>
        <v>1</v>
      </c>
      <c r="J72">
        <f>IF(VLOOKUP(J$1,main!$A$3:$I$56,5,FALSE)-VLOOKUP($A72,main!$A$3:$I$56,6,FALSE)&gt;=VLOOKUP(56,main!$A$57:$I$59,4,FALSE)+VLOOKUP(VLOOKUP(J$1,main!$A$3:$I$56,7,FALSE),main!$K$10:$Q$14,4,FALSE),1,0)</f>
        <v>1</v>
      </c>
      <c r="K72">
        <f>IF(VLOOKUP(K$1,main!$A$3:$I$56,5,FALSE)-VLOOKUP($A72,main!$A$3:$I$56,6,FALSE)&gt;=VLOOKUP(56,main!$A$57:$I$59,4,FALSE)+VLOOKUP(VLOOKUP(K$1,main!$A$3:$I$56,7,FALSE),main!$K$10:$Q$14,4,FALSE),1,0)</f>
        <v>0</v>
      </c>
      <c r="L72">
        <f>IF(VLOOKUP(L$1,main!$A$3:$I$56,5,FALSE)-VLOOKUP($A72,main!$A$3:$I$56,6,FALSE)&gt;=VLOOKUP(56,main!$A$57:$I$59,4,FALSE)+VLOOKUP(VLOOKUP(L$1,main!$A$3:$I$56,7,FALSE),main!$K$10:$Q$14,4,FALSE),1,0)</f>
        <v>0</v>
      </c>
      <c r="M72">
        <f>IF(VLOOKUP(M$1,main!$A$3:$I$56,5,FALSE)-VLOOKUP($A72,main!$A$3:$I$56,6,FALSE)&gt;=VLOOKUP(56,main!$A$57:$I$59,4,FALSE)+VLOOKUP(VLOOKUP(M$1,main!$A$3:$I$56,7,FALSE),main!$K$10:$Q$14,4,FALSE),1,0)</f>
        <v>0</v>
      </c>
      <c r="N72">
        <f>IF(VLOOKUP(N$1,main!$A$3:$I$56,5,FALSE)-VLOOKUP($A72,main!$A$3:$I$56,6,FALSE)&gt;=VLOOKUP(56,main!$A$57:$I$59,4,FALSE)+VLOOKUP(VLOOKUP(N$1,main!$A$3:$I$56,7,FALSE),main!$K$10:$Q$14,4,FALSE),1,0)</f>
        <v>1</v>
      </c>
      <c r="O72">
        <f>IF(VLOOKUP(O$1,main!$A$3:$I$56,5,FALSE)-VLOOKUP($A72,main!$A$3:$I$56,6,FALSE)&gt;=VLOOKUP(56,main!$A$57:$I$59,4,FALSE)+VLOOKUP(VLOOKUP(O$1,main!$A$3:$I$56,7,FALSE),main!$K$10:$Q$14,4,FALSE),1,0)</f>
        <v>1</v>
      </c>
      <c r="P72">
        <f>IF(VLOOKUP(P$1,main!$A$3:$I$56,5,FALSE)-VLOOKUP($A72,main!$A$3:$I$56,6,FALSE)&gt;=VLOOKUP(56,main!$A$57:$I$59,4,FALSE)+VLOOKUP(VLOOKUP(P$1,main!$A$3:$I$56,7,FALSE),main!$K$10:$Q$14,4,FALSE),1,0)</f>
        <v>0</v>
      </c>
      <c r="Q72">
        <f>IF(VLOOKUP(Q$1,main!$A$3:$I$56,5,FALSE)-VLOOKUP($A72,main!$A$3:$I$56,6,FALSE)&gt;=VLOOKUP(56,main!$A$57:$I$59,4,FALSE)+VLOOKUP(VLOOKUP(Q$1,main!$A$3:$I$56,7,FALSE),main!$K$10:$Q$14,4,FALSE),1,0)</f>
        <v>0</v>
      </c>
      <c r="R72">
        <f>IF(VLOOKUP(R$1,main!$A$3:$I$56,5,FALSE)-VLOOKUP($A72,main!$A$3:$I$56,6,FALSE)&gt;=VLOOKUP(56,main!$A$57:$I$59,4,FALSE)+VLOOKUP(VLOOKUP(R$1,main!$A$3:$I$56,7,FALSE),main!$K$10:$Q$14,4,FALSE),1,0)</f>
        <v>0</v>
      </c>
      <c r="S72">
        <f>IF(VLOOKUP(S$1,main!$A$3:$I$56,5,FALSE)-VLOOKUP($A72,main!$A$3:$I$56,6,FALSE)&gt;=VLOOKUP(56,main!$A$57:$I$59,4,FALSE)+VLOOKUP(VLOOKUP(S$1,main!$A$3:$I$56,7,FALSE),main!$K$10:$Q$14,4,FALSE),1,0)</f>
        <v>1</v>
      </c>
      <c r="T72">
        <f>IF(VLOOKUP(T$1,main!$A$3:$I$56,5,FALSE)-VLOOKUP($A72,main!$A$3:$I$56,6,FALSE)&gt;=VLOOKUP(56,main!$A$57:$I$59,4,FALSE)+VLOOKUP(VLOOKUP(T$1,main!$A$3:$I$56,7,FALSE),main!$K$10:$Q$14,4,FALSE),1,0)</f>
        <v>1</v>
      </c>
      <c r="U72">
        <f>IF(VLOOKUP(U$1,main!$A$3:$I$56,5,FALSE)-VLOOKUP($A72,main!$A$3:$I$56,6,FALSE)&gt;=VLOOKUP(56,main!$A$57:$I$59,4,FALSE)+VLOOKUP(VLOOKUP(U$1,main!$A$3:$I$56,7,FALSE),main!$K$10:$Q$14,4,FALSE),1,0)</f>
        <v>0</v>
      </c>
      <c r="V72">
        <f>IF(VLOOKUP(V$1,main!$A$3:$I$56,5,FALSE)-VLOOKUP($A72,main!$A$3:$I$56,6,FALSE)&gt;=VLOOKUP(56,main!$A$57:$I$59,4,FALSE)+VLOOKUP(VLOOKUP(V$1,main!$A$3:$I$56,7,FALSE),main!$K$10:$Q$14,4,FALSE),1,0)</f>
        <v>0</v>
      </c>
      <c r="W72">
        <f>IF(VLOOKUP(W$1,main!$A$3:$I$56,5,FALSE)-VLOOKUP($A72,main!$A$3:$I$56,6,FALSE)&gt;=VLOOKUP(56,main!$A$57:$I$59,4,FALSE)+VLOOKUP(VLOOKUP(W$1,main!$A$3:$I$56,7,FALSE),main!$K$10:$Q$14,4,FALSE),1,0)</f>
        <v>0</v>
      </c>
      <c r="X72">
        <f>IF(VLOOKUP(X$1,main!$A$3:$I$56,5,FALSE)-VLOOKUP($A72,main!$A$3:$I$56,6,FALSE)&gt;=VLOOKUP(56,main!$A$57:$I$59,4,FALSE)+VLOOKUP(VLOOKUP(X$1,main!$A$3:$I$56,7,FALSE),main!$K$10:$Q$14,4,FALSE),1,0)</f>
        <v>0</v>
      </c>
      <c r="Y72">
        <f>IF(VLOOKUP(Y$1,main!$A$3:$I$56,5,FALSE)-VLOOKUP($A72,main!$A$3:$I$56,6,FALSE)&gt;=VLOOKUP(56,main!$A$57:$I$59,4,FALSE)+VLOOKUP(VLOOKUP(Y$1,main!$A$3:$I$56,7,FALSE),main!$K$10:$Q$14,4,FALSE),1,0)</f>
        <v>0</v>
      </c>
      <c r="Z72">
        <f>IF(VLOOKUP(Z$1,main!$A$3:$I$56,5,FALSE)-VLOOKUP($A72,main!$A$3:$I$56,6,FALSE)&gt;=VLOOKUP(56,main!$A$57:$I$59,4,FALSE)+VLOOKUP(VLOOKUP(Z$1,main!$A$3:$I$56,7,FALSE),main!$K$10:$Q$14,4,FALSE),1,0)</f>
        <v>1</v>
      </c>
      <c r="AA72">
        <f>IF(VLOOKUP(AA$1,main!$A$3:$I$56,5,FALSE)-VLOOKUP($A72,main!$A$3:$I$56,6,FALSE)&gt;=VLOOKUP(56,main!$A$57:$I$59,4,FALSE)+VLOOKUP(VLOOKUP(AA$1,main!$A$3:$I$56,7,FALSE),main!$K$10:$Q$14,4,FALSE),1,0)</f>
        <v>1</v>
      </c>
      <c r="AB72">
        <f>IF(VLOOKUP(AB$1,main!$A$3:$I$56,5,FALSE)-VLOOKUP($A72,main!$A$3:$I$56,6,FALSE)&gt;=VLOOKUP(56,main!$A$57:$I$59,4,FALSE)+VLOOKUP(VLOOKUP(AB$1,main!$A$3:$I$56,7,FALSE),main!$K$10:$Q$14,4,FALSE),1,0)</f>
        <v>1</v>
      </c>
      <c r="AC72">
        <f>IF(VLOOKUP(AC$1,main!$A$3:$I$56,5,FALSE)-VLOOKUP($A72,main!$A$3:$I$56,6,FALSE)&gt;=VLOOKUP(56,main!$A$57:$I$59,4,FALSE)+VLOOKUP(VLOOKUP(AC$1,main!$A$3:$I$56,7,FALSE),main!$K$10:$Q$14,4,FALSE),1,0)</f>
        <v>0</v>
      </c>
      <c r="AD72">
        <f>IF(VLOOKUP(AD$1,main!$A$3:$I$56,5,FALSE)-VLOOKUP($A72,main!$A$3:$I$56,6,FALSE)&gt;=VLOOKUP(56,main!$A$57:$I$59,4,FALSE)+VLOOKUP(VLOOKUP(AD$1,main!$A$3:$I$56,7,FALSE),main!$K$10:$Q$14,4,FALSE),1,0)</f>
        <v>0</v>
      </c>
      <c r="AE72">
        <f>IF(VLOOKUP(AE$1,main!$A$3:$I$56,5,FALSE)-VLOOKUP($A72,main!$A$3:$I$56,6,FALSE)&gt;=VLOOKUP(56,main!$A$57:$I$59,4,FALSE)+VLOOKUP(VLOOKUP(AE$1,main!$A$3:$I$56,7,FALSE),main!$K$10:$Q$14,4,FALSE),1,0)</f>
        <v>0</v>
      </c>
      <c r="AF72">
        <f>IF(VLOOKUP(AF$1,main!$A$3:$I$56,5,FALSE)-VLOOKUP($A72,main!$A$3:$I$56,6,FALSE)&gt;=VLOOKUP(56,main!$A$57:$I$59,4,FALSE)+VLOOKUP(VLOOKUP(AF$1,main!$A$3:$I$56,7,FALSE),main!$K$10:$Q$14,4,FALSE),1,0)</f>
        <v>0</v>
      </c>
      <c r="AG72">
        <f>IF(VLOOKUP(AG$1,main!$A$3:$I$56,5,FALSE)-VLOOKUP($A72,main!$A$3:$I$56,6,FALSE)&gt;=VLOOKUP(56,main!$A$57:$I$59,4,FALSE)+VLOOKUP(VLOOKUP(AG$1,main!$A$3:$I$56,7,FALSE),main!$K$10:$Q$14,4,FALSE),1,0)</f>
        <v>0</v>
      </c>
      <c r="AH72">
        <f>IF(VLOOKUP(AH$1,main!$A$3:$I$56,5,FALSE)-VLOOKUP($A72,main!$A$3:$I$56,6,FALSE)&gt;=VLOOKUP(56,main!$A$57:$I$59,4,FALSE)+VLOOKUP(VLOOKUP(AH$1,main!$A$3:$I$56,7,FALSE),main!$K$10:$Q$14,4,FALSE),1,0)</f>
        <v>0</v>
      </c>
      <c r="AI72">
        <f>IF(VLOOKUP(AI$1,main!$A$3:$I$56,5,FALSE)-VLOOKUP($A72,main!$A$3:$I$56,6,FALSE)&gt;=VLOOKUP(56,main!$A$57:$I$59,4,FALSE)+VLOOKUP(VLOOKUP(AI$1,main!$A$3:$I$56,7,FALSE),main!$K$10:$Q$14,4,FALSE),1,0)</f>
        <v>0</v>
      </c>
      <c r="AJ72">
        <f>IF(VLOOKUP(AJ$1,main!$A$3:$I$56,5,FALSE)-VLOOKUP($A72,main!$A$3:$I$56,6,FALSE)&gt;=VLOOKUP(56,main!$A$57:$I$59,4,FALSE)+VLOOKUP(VLOOKUP(AJ$1,main!$A$3:$I$56,7,FALSE),main!$K$10:$Q$14,4,FALSE),1,0)</f>
        <v>0</v>
      </c>
      <c r="AK72">
        <f>IF(VLOOKUP(AK$1,main!$A$3:$I$56,5,FALSE)-VLOOKUP($A72,main!$A$3:$I$56,6,FALSE)&gt;=VLOOKUP(56,main!$A$57:$I$59,4,FALSE)+VLOOKUP(VLOOKUP(AK$1,main!$A$3:$I$56,7,FALSE),main!$K$10:$Q$14,4,FALSE),1,0)</f>
        <v>1</v>
      </c>
      <c r="AL72">
        <f>IF(VLOOKUP(AL$1,main!$A$3:$I$56,5,FALSE)-VLOOKUP($A72,main!$A$3:$I$56,6,FALSE)&gt;=VLOOKUP(56,main!$A$57:$I$59,4,FALSE)+VLOOKUP(VLOOKUP(AL$1,main!$A$3:$I$56,7,FALSE),main!$K$10:$Q$14,4,FALSE),1,0)</f>
        <v>0</v>
      </c>
      <c r="AM72">
        <f>IF(VLOOKUP(AM$1,main!$A$3:$I$56,5,FALSE)-VLOOKUP($A72,main!$A$3:$I$56,6,FALSE)&gt;=VLOOKUP(56,main!$A$57:$I$59,4,FALSE)+VLOOKUP(VLOOKUP(AM$1,main!$A$3:$I$56,7,FALSE),main!$K$10:$Q$14,4,FALSE),1,0)</f>
        <v>0</v>
      </c>
      <c r="AN72">
        <f>IF(VLOOKUP(AN$1,main!$A$3:$I$56,5,FALSE)-VLOOKUP($A72,main!$A$3:$I$56,6,FALSE)&gt;=VLOOKUP(56,main!$A$57:$I$59,4,FALSE)+VLOOKUP(VLOOKUP(AN$1,main!$A$3:$I$56,7,FALSE),main!$K$10:$Q$14,4,FALSE),1,0)</f>
        <v>0</v>
      </c>
      <c r="AO72">
        <f>IF(VLOOKUP(AO$1,main!$A$3:$I$56,5,FALSE)-VLOOKUP($A72,main!$A$3:$I$56,6,FALSE)&gt;=VLOOKUP(56,main!$A$57:$I$59,4,FALSE)+VLOOKUP(VLOOKUP(AO$1,main!$A$3:$I$56,7,FALSE),main!$K$10:$Q$14,4,FALSE),1,0)</f>
        <v>0</v>
      </c>
      <c r="AP72">
        <f>IF(VLOOKUP(AP$1,main!$A$3:$I$56,5,FALSE)-VLOOKUP($A72,main!$A$3:$I$56,6,FALSE)&gt;=VLOOKUP(56,main!$A$57:$I$59,4,FALSE)+VLOOKUP(VLOOKUP(AP$1,main!$A$3:$I$56,7,FALSE),main!$K$10:$Q$14,4,FALSE),1,0)</f>
        <v>0</v>
      </c>
      <c r="AQ72">
        <f>IF(VLOOKUP(AQ$1,main!$A$3:$I$56,5,FALSE)-VLOOKUP($A72,main!$A$3:$I$56,6,FALSE)&gt;=VLOOKUP(56,main!$A$57:$I$59,4,FALSE)+VLOOKUP(VLOOKUP(AQ$1,main!$A$3:$I$56,7,FALSE),main!$K$10:$Q$14,4,FALSE),1,0)</f>
        <v>0</v>
      </c>
      <c r="AR72">
        <f>IF(VLOOKUP(AR$1,main!$A$3:$I$56,5,FALSE)-VLOOKUP($A72,main!$A$3:$I$56,6,FALSE)&gt;=VLOOKUP(56,main!$A$57:$I$59,4,FALSE)+VLOOKUP(VLOOKUP(AR$1,main!$A$3:$I$56,7,FALSE),main!$K$10:$Q$14,4,FALSE),1,0)</f>
        <v>0</v>
      </c>
      <c r="AS72">
        <f>IF(VLOOKUP(AS$1,main!$A$3:$I$56,5,FALSE)-VLOOKUP($A72,main!$A$3:$I$56,6,FALSE)&gt;=VLOOKUP(56,main!$A$57:$I$59,4,FALSE)+VLOOKUP(VLOOKUP(AS$1,main!$A$3:$I$56,7,FALSE),main!$K$10:$Q$14,4,FALSE),1,0)</f>
        <v>0</v>
      </c>
      <c r="AT72">
        <f>IF(VLOOKUP(AT$1,main!$A$3:$I$56,5,FALSE)-VLOOKUP($A72,main!$A$3:$I$56,6,FALSE)&gt;=VLOOKUP(56,main!$A$57:$I$59,4,FALSE)+VLOOKUP(VLOOKUP(AT$1,main!$A$3:$I$56,7,FALSE),main!$K$10:$Q$14,4,FALSE),1,0)</f>
        <v>0</v>
      </c>
      <c r="AU72">
        <f>IF(VLOOKUP(AU$1,main!$A$3:$I$56,5,FALSE)-VLOOKUP($A72,main!$A$3:$I$56,6,FALSE)&gt;=VLOOKUP(56,main!$A$57:$I$59,4,FALSE)+VLOOKUP(VLOOKUP(AU$1,main!$A$3:$I$56,7,FALSE),main!$K$10:$Q$14,4,FALSE),1,0)</f>
        <v>0</v>
      </c>
      <c r="AV72">
        <f>IF(VLOOKUP(AV$1,main!$A$3:$I$56,5,FALSE)-VLOOKUP($A72,main!$A$3:$I$56,6,FALSE)&gt;=VLOOKUP(56,main!$A$57:$I$59,4,FALSE)+VLOOKUP(VLOOKUP(AV$1,main!$A$3:$I$56,7,FALSE),main!$K$10:$Q$14,4,FALSE),1,0)</f>
        <v>0</v>
      </c>
      <c r="AW72">
        <f>IF(VLOOKUP(AW$1,main!$A$3:$I$56,5,FALSE)-VLOOKUP($A72,main!$A$3:$I$56,6,FALSE)&gt;=VLOOKUP(56,main!$A$57:$I$59,4,FALSE)+VLOOKUP(VLOOKUP(AW$1,main!$A$3:$I$56,7,FALSE),main!$K$10:$Q$14,4,FALSE),1,0)</f>
        <v>0</v>
      </c>
      <c r="AX72">
        <f>IF(VLOOKUP(AX$1,main!$A$3:$I$56,5,FALSE)-VLOOKUP($A72,main!$A$3:$I$56,6,FALSE)&gt;=VLOOKUP(56,main!$A$57:$I$59,4,FALSE)+VLOOKUP(VLOOKUP(AX$1,main!$A$3:$I$56,7,FALSE),main!$K$10:$Q$14,4,FALSE),1,0)</f>
        <v>0</v>
      </c>
      <c r="AY72">
        <f>IF(VLOOKUP(AY$1,main!$A$3:$I$56,5,FALSE)-VLOOKUP($A72,main!$A$3:$I$56,6,FALSE)&gt;=VLOOKUP(56,main!$A$57:$I$59,4,FALSE)+VLOOKUP(VLOOKUP(AY$1,main!$A$3:$I$56,7,FALSE),main!$K$10:$Q$14,4,FALSE),1,0)</f>
        <v>1</v>
      </c>
      <c r="AZ72">
        <f>IF(VLOOKUP(AZ$1,main!$A$3:$I$56,5,FALSE)-VLOOKUP($A72,main!$A$3:$I$56,6,FALSE)&gt;=VLOOKUP(56,main!$A$57:$I$59,4,FALSE)+VLOOKUP(VLOOKUP(AZ$1,main!$A$3:$I$56,7,FALSE),main!$K$10:$Q$14,4,FALSE),1,0)</f>
        <v>0</v>
      </c>
      <c r="BA72">
        <f>IF(VLOOKUP(BA$1,main!$A$3:$I$56,5,FALSE)-VLOOKUP($A72,main!$A$3:$I$56,6,FALSE)&gt;=VLOOKUP(56,main!$A$57:$I$59,4,FALSE)+VLOOKUP(VLOOKUP(BA$1,main!$A$3:$I$56,7,FALSE),main!$K$10:$Q$14,4,FALSE),1,0)</f>
        <v>0</v>
      </c>
      <c r="BB72">
        <f>IF(VLOOKUP(BB$1,main!$A$3:$I$56,5,FALSE)-VLOOKUP($A72,main!$A$3:$I$56,6,FALSE)&gt;=VLOOKUP(56,main!$A$57:$I$59,4,FALSE)+VLOOKUP(VLOOKUP(BB$1,main!$A$3:$I$56,7,FALSE),main!$K$10:$Q$14,4,FALSE),1,0)</f>
        <v>0</v>
      </c>
      <c r="BC72">
        <f>IF(VLOOKUP(BC$1,main!$A$3:$I$56,5,FALSE)-VLOOKUP($A72,main!$A$3:$I$56,6,FALSE)&gt;=VLOOKUP(56,main!$A$57:$I$59,4,FALSE)+VLOOKUP(VLOOKUP(BC$1,main!$A$3:$I$56,7,FALSE),main!$K$10:$Q$14,4,FALSE),1,0)</f>
        <v>0</v>
      </c>
      <c r="BD72">
        <f>IF(VLOOKUP(BD$1,main!$A$3:$I$56,5,FALSE)-VLOOKUP($A72,main!$A$3:$I$56,6,FALSE)&gt;=VLOOKUP(56,main!$A$57:$I$59,4,FALSE)+VLOOKUP(VLOOKUP(BD$1,main!$A$3:$I$56,7,FALSE),main!$K$10:$Q$14,4,FALSE),1,0)</f>
        <v>0</v>
      </c>
    </row>
    <row r="73" spans="1:56" x14ac:dyDescent="0.25">
      <c r="A73">
        <f t="shared" si="1"/>
        <v>16</v>
      </c>
      <c r="B73">
        <v>0</v>
      </c>
      <c r="C73">
        <f>IF(VLOOKUP(C$1,main!$A$3:$I$56,5,FALSE)-VLOOKUP($A73,main!$A$3:$I$56,6,FALSE)&gt;=VLOOKUP(56,main!$A$57:$I$59,4,FALSE)+VLOOKUP(VLOOKUP(C$1,main!$A$3:$I$56,7,FALSE),main!$K$10:$Q$14,4,FALSE),1,0)</f>
        <v>0</v>
      </c>
      <c r="D73">
        <f>IF(VLOOKUP(D$1,main!$A$3:$I$56,5,FALSE)-VLOOKUP($A73,main!$A$3:$I$56,6,FALSE)&gt;=VLOOKUP(56,main!$A$57:$I$59,4,FALSE)+VLOOKUP(VLOOKUP(D$1,main!$A$3:$I$56,7,FALSE),main!$K$10:$Q$14,4,FALSE),1,0)</f>
        <v>0</v>
      </c>
      <c r="E73">
        <f>IF(VLOOKUP(E$1,main!$A$3:$I$56,5,FALSE)-VLOOKUP($A73,main!$A$3:$I$56,6,FALSE)&gt;=VLOOKUP(56,main!$A$57:$I$59,4,FALSE)+VLOOKUP(VLOOKUP(E$1,main!$A$3:$I$56,7,FALSE),main!$K$10:$Q$14,4,FALSE),1,0)</f>
        <v>0</v>
      </c>
      <c r="F73">
        <f>IF(VLOOKUP(F$1,main!$A$3:$I$56,5,FALSE)-VLOOKUP($A73,main!$A$3:$I$56,6,FALSE)&gt;=VLOOKUP(56,main!$A$57:$I$59,4,FALSE)+VLOOKUP(VLOOKUP(F$1,main!$A$3:$I$56,7,FALSE),main!$K$10:$Q$14,4,FALSE),1,0)</f>
        <v>0</v>
      </c>
      <c r="G73">
        <f>IF(VLOOKUP(G$1,main!$A$3:$I$56,5,FALSE)-VLOOKUP($A73,main!$A$3:$I$56,6,FALSE)&gt;=VLOOKUP(56,main!$A$57:$I$59,4,FALSE)+VLOOKUP(VLOOKUP(G$1,main!$A$3:$I$56,7,FALSE),main!$K$10:$Q$14,4,FALSE),1,0)</f>
        <v>0</v>
      </c>
      <c r="H73">
        <f>IF(VLOOKUP(H$1,main!$A$3:$I$56,5,FALSE)-VLOOKUP($A73,main!$A$3:$I$56,6,FALSE)&gt;=VLOOKUP(56,main!$A$57:$I$59,4,FALSE)+VLOOKUP(VLOOKUP(H$1,main!$A$3:$I$56,7,FALSE),main!$K$10:$Q$14,4,FALSE),1,0)</f>
        <v>1</v>
      </c>
      <c r="I73">
        <f>IF(VLOOKUP(I$1,main!$A$3:$I$56,5,FALSE)-VLOOKUP($A73,main!$A$3:$I$56,6,FALSE)&gt;=VLOOKUP(56,main!$A$57:$I$59,4,FALSE)+VLOOKUP(VLOOKUP(I$1,main!$A$3:$I$56,7,FALSE),main!$K$10:$Q$14,4,FALSE),1,0)</f>
        <v>1</v>
      </c>
      <c r="J73">
        <f>IF(VLOOKUP(J$1,main!$A$3:$I$56,5,FALSE)-VLOOKUP($A73,main!$A$3:$I$56,6,FALSE)&gt;=VLOOKUP(56,main!$A$57:$I$59,4,FALSE)+VLOOKUP(VLOOKUP(J$1,main!$A$3:$I$56,7,FALSE),main!$K$10:$Q$14,4,FALSE),1,0)</f>
        <v>1</v>
      </c>
      <c r="K73">
        <f>IF(VLOOKUP(K$1,main!$A$3:$I$56,5,FALSE)-VLOOKUP($A73,main!$A$3:$I$56,6,FALSE)&gt;=VLOOKUP(56,main!$A$57:$I$59,4,FALSE)+VLOOKUP(VLOOKUP(K$1,main!$A$3:$I$56,7,FALSE),main!$K$10:$Q$14,4,FALSE),1,0)</f>
        <v>0</v>
      </c>
      <c r="L73">
        <f>IF(VLOOKUP(L$1,main!$A$3:$I$56,5,FALSE)-VLOOKUP($A73,main!$A$3:$I$56,6,FALSE)&gt;=VLOOKUP(56,main!$A$57:$I$59,4,FALSE)+VLOOKUP(VLOOKUP(L$1,main!$A$3:$I$56,7,FALSE),main!$K$10:$Q$14,4,FALSE),1,0)</f>
        <v>0</v>
      </c>
      <c r="M73">
        <f>IF(VLOOKUP(M$1,main!$A$3:$I$56,5,FALSE)-VLOOKUP($A73,main!$A$3:$I$56,6,FALSE)&gt;=VLOOKUP(56,main!$A$57:$I$59,4,FALSE)+VLOOKUP(VLOOKUP(M$1,main!$A$3:$I$56,7,FALSE),main!$K$10:$Q$14,4,FALSE),1,0)</f>
        <v>0</v>
      </c>
      <c r="N73">
        <f>IF(VLOOKUP(N$1,main!$A$3:$I$56,5,FALSE)-VLOOKUP($A73,main!$A$3:$I$56,6,FALSE)&gt;=VLOOKUP(56,main!$A$57:$I$59,4,FALSE)+VLOOKUP(VLOOKUP(N$1,main!$A$3:$I$56,7,FALSE),main!$K$10:$Q$14,4,FALSE),1,0)</f>
        <v>1</v>
      </c>
      <c r="O73">
        <f>IF(VLOOKUP(O$1,main!$A$3:$I$56,5,FALSE)-VLOOKUP($A73,main!$A$3:$I$56,6,FALSE)&gt;=VLOOKUP(56,main!$A$57:$I$59,4,FALSE)+VLOOKUP(VLOOKUP(O$1,main!$A$3:$I$56,7,FALSE),main!$K$10:$Q$14,4,FALSE),1,0)</f>
        <v>1</v>
      </c>
      <c r="P73">
        <f>IF(VLOOKUP(P$1,main!$A$3:$I$56,5,FALSE)-VLOOKUP($A73,main!$A$3:$I$56,6,FALSE)&gt;=VLOOKUP(56,main!$A$57:$I$59,4,FALSE)+VLOOKUP(VLOOKUP(P$1,main!$A$3:$I$56,7,FALSE),main!$K$10:$Q$14,4,FALSE),1,0)</f>
        <v>0</v>
      </c>
      <c r="Q73">
        <f>IF(VLOOKUP(Q$1,main!$A$3:$I$56,5,FALSE)-VLOOKUP($A73,main!$A$3:$I$56,6,FALSE)&gt;=VLOOKUP(56,main!$A$57:$I$59,4,FALSE)+VLOOKUP(VLOOKUP(Q$1,main!$A$3:$I$56,7,FALSE),main!$K$10:$Q$14,4,FALSE),1,0)</f>
        <v>0</v>
      </c>
      <c r="R73">
        <f>IF(VLOOKUP(R$1,main!$A$3:$I$56,5,FALSE)-VLOOKUP($A73,main!$A$3:$I$56,6,FALSE)&gt;=VLOOKUP(56,main!$A$57:$I$59,4,FALSE)+VLOOKUP(VLOOKUP(R$1,main!$A$3:$I$56,7,FALSE),main!$K$10:$Q$14,4,FALSE),1,0)</f>
        <v>0</v>
      </c>
      <c r="S73">
        <f>IF(VLOOKUP(S$1,main!$A$3:$I$56,5,FALSE)-VLOOKUP($A73,main!$A$3:$I$56,6,FALSE)&gt;=VLOOKUP(56,main!$A$57:$I$59,4,FALSE)+VLOOKUP(VLOOKUP(S$1,main!$A$3:$I$56,7,FALSE),main!$K$10:$Q$14,4,FALSE),1,0)</f>
        <v>0</v>
      </c>
      <c r="T73">
        <f>IF(VLOOKUP(T$1,main!$A$3:$I$56,5,FALSE)-VLOOKUP($A73,main!$A$3:$I$56,6,FALSE)&gt;=VLOOKUP(56,main!$A$57:$I$59,4,FALSE)+VLOOKUP(VLOOKUP(T$1,main!$A$3:$I$56,7,FALSE),main!$K$10:$Q$14,4,FALSE),1,0)</f>
        <v>1</v>
      </c>
      <c r="U73">
        <f>IF(VLOOKUP(U$1,main!$A$3:$I$56,5,FALSE)-VLOOKUP($A73,main!$A$3:$I$56,6,FALSE)&gt;=VLOOKUP(56,main!$A$57:$I$59,4,FALSE)+VLOOKUP(VLOOKUP(U$1,main!$A$3:$I$56,7,FALSE),main!$K$10:$Q$14,4,FALSE),1,0)</f>
        <v>0</v>
      </c>
      <c r="V73">
        <f>IF(VLOOKUP(V$1,main!$A$3:$I$56,5,FALSE)-VLOOKUP($A73,main!$A$3:$I$56,6,FALSE)&gt;=VLOOKUP(56,main!$A$57:$I$59,4,FALSE)+VLOOKUP(VLOOKUP(V$1,main!$A$3:$I$56,7,FALSE),main!$K$10:$Q$14,4,FALSE),1,0)</f>
        <v>0</v>
      </c>
      <c r="W73">
        <f>IF(VLOOKUP(W$1,main!$A$3:$I$56,5,FALSE)-VLOOKUP($A73,main!$A$3:$I$56,6,FALSE)&gt;=VLOOKUP(56,main!$A$57:$I$59,4,FALSE)+VLOOKUP(VLOOKUP(W$1,main!$A$3:$I$56,7,FALSE),main!$K$10:$Q$14,4,FALSE),1,0)</f>
        <v>0</v>
      </c>
      <c r="X73">
        <f>IF(VLOOKUP(X$1,main!$A$3:$I$56,5,FALSE)-VLOOKUP($A73,main!$A$3:$I$56,6,FALSE)&gt;=VLOOKUP(56,main!$A$57:$I$59,4,FALSE)+VLOOKUP(VLOOKUP(X$1,main!$A$3:$I$56,7,FALSE),main!$K$10:$Q$14,4,FALSE),1,0)</f>
        <v>0</v>
      </c>
      <c r="Y73">
        <f>IF(VLOOKUP(Y$1,main!$A$3:$I$56,5,FALSE)-VLOOKUP($A73,main!$A$3:$I$56,6,FALSE)&gt;=VLOOKUP(56,main!$A$57:$I$59,4,FALSE)+VLOOKUP(VLOOKUP(Y$1,main!$A$3:$I$56,7,FALSE),main!$K$10:$Q$14,4,FALSE),1,0)</f>
        <v>0</v>
      </c>
      <c r="Z73">
        <f>IF(VLOOKUP(Z$1,main!$A$3:$I$56,5,FALSE)-VLOOKUP($A73,main!$A$3:$I$56,6,FALSE)&gt;=VLOOKUP(56,main!$A$57:$I$59,4,FALSE)+VLOOKUP(VLOOKUP(Z$1,main!$A$3:$I$56,7,FALSE),main!$K$10:$Q$14,4,FALSE),1,0)</f>
        <v>0</v>
      </c>
      <c r="AA73">
        <f>IF(VLOOKUP(AA$1,main!$A$3:$I$56,5,FALSE)-VLOOKUP($A73,main!$A$3:$I$56,6,FALSE)&gt;=VLOOKUP(56,main!$A$57:$I$59,4,FALSE)+VLOOKUP(VLOOKUP(AA$1,main!$A$3:$I$56,7,FALSE),main!$K$10:$Q$14,4,FALSE),1,0)</f>
        <v>0</v>
      </c>
      <c r="AB73">
        <f>IF(VLOOKUP(AB$1,main!$A$3:$I$56,5,FALSE)-VLOOKUP($A73,main!$A$3:$I$56,6,FALSE)&gt;=VLOOKUP(56,main!$A$57:$I$59,4,FALSE)+VLOOKUP(VLOOKUP(AB$1,main!$A$3:$I$56,7,FALSE),main!$K$10:$Q$14,4,FALSE),1,0)</f>
        <v>1</v>
      </c>
      <c r="AC73">
        <f>IF(VLOOKUP(AC$1,main!$A$3:$I$56,5,FALSE)-VLOOKUP($A73,main!$A$3:$I$56,6,FALSE)&gt;=VLOOKUP(56,main!$A$57:$I$59,4,FALSE)+VLOOKUP(VLOOKUP(AC$1,main!$A$3:$I$56,7,FALSE),main!$K$10:$Q$14,4,FALSE),1,0)</f>
        <v>0</v>
      </c>
      <c r="AD73">
        <f>IF(VLOOKUP(AD$1,main!$A$3:$I$56,5,FALSE)-VLOOKUP($A73,main!$A$3:$I$56,6,FALSE)&gt;=VLOOKUP(56,main!$A$57:$I$59,4,FALSE)+VLOOKUP(VLOOKUP(AD$1,main!$A$3:$I$56,7,FALSE),main!$K$10:$Q$14,4,FALSE),1,0)</f>
        <v>0</v>
      </c>
      <c r="AE73">
        <f>IF(VLOOKUP(AE$1,main!$A$3:$I$56,5,FALSE)-VLOOKUP($A73,main!$A$3:$I$56,6,FALSE)&gt;=VLOOKUP(56,main!$A$57:$I$59,4,FALSE)+VLOOKUP(VLOOKUP(AE$1,main!$A$3:$I$56,7,FALSE),main!$K$10:$Q$14,4,FALSE),1,0)</f>
        <v>0</v>
      </c>
      <c r="AF73">
        <f>IF(VLOOKUP(AF$1,main!$A$3:$I$56,5,FALSE)-VLOOKUP($A73,main!$A$3:$I$56,6,FALSE)&gt;=VLOOKUP(56,main!$A$57:$I$59,4,FALSE)+VLOOKUP(VLOOKUP(AF$1,main!$A$3:$I$56,7,FALSE),main!$K$10:$Q$14,4,FALSE),1,0)</f>
        <v>0</v>
      </c>
      <c r="AG73">
        <f>IF(VLOOKUP(AG$1,main!$A$3:$I$56,5,FALSE)-VLOOKUP($A73,main!$A$3:$I$56,6,FALSE)&gt;=VLOOKUP(56,main!$A$57:$I$59,4,FALSE)+VLOOKUP(VLOOKUP(AG$1,main!$A$3:$I$56,7,FALSE),main!$K$10:$Q$14,4,FALSE),1,0)</f>
        <v>0</v>
      </c>
      <c r="AH73">
        <f>IF(VLOOKUP(AH$1,main!$A$3:$I$56,5,FALSE)-VLOOKUP($A73,main!$A$3:$I$56,6,FALSE)&gt;=VLOOKUP(56,main!$A$57:$I$59,4,FALSE)+VLOOKUP(VLOOKUP(AH$1,main!$A$3:$I$56,7,FALSE),main!$K$10:$Q$14,4,FALSE),1,0)</f>
        <v>0</v>
      </c>
      <c r="AI73">
        <f>IF(VLOOKUP(AI$1,main!$A$3:$I$56,5,FALSE)-VLOOKUP($A73,main!$A$3:$I$56,6,FALSE)&gt;=VLOOKUP(56,main!$A$57:$I$59,4,FALSE)+VLOOKUP(VLOOKUP(AI$1,main!$A$3:$I$56,7,FALSE),main!$K$10:$Q$14,4,FALSE),1,0)</f>
        <v>0</v>
      </c>
      <c r="AJ73">
        <f>IF(VLOOKUP(AJ$1,main!$A$3:$I$56,5,FALSE)-VLOOKUP($A73,main!$A$3:$I$56,6,FALSE)&gt;=VLOOKUP(56,main!$A$57:$I$59,4,FALSE)+VLOOKUP(VLOOKUP(AJ$1,main!$A$3:$I$56,7,FALSE),main!$K$10:$Q$14,4,FALSE),1,0)</f>
        <v>0</v>
      </c>
      <c r="AK73">
        <f>IF(VLOOKUP(AK$1,main!$A$3:$I$56,5,FALSE)-VLOOKUP($A73,main!$A$3:$I$56,6,FALSE)&gt;=VLOOKUP(56,main!$A$57:$I$59,4,FALSE)+VLOOKUP(VLOOKUP(AK$1,main!$A$3:$I$56,7,FALSE),main!$K$10:$Q$14,4,FALSE),1,0)</f>
        <v>0</v>
      </c>
      <c r="AL73">
        <f>IF(VLOOKUP(AL$1,main!$A$3:$I$56,5,FALSE)-VLOOKUP($A73,main!$A$3:$I$56,6,FALSE)&gt;=VLOOKUP(56,main!$A$57:$I$59,4,FALSE)+VLOOKUP(VLOOKUP(AL$1,main!$A$3:$I$56,7,FALSE),main!$K$10:$Q$14,4,FALSE),1,0)</f>
        <v>0</v>
      </c>
      <c r="AM73">
        <f>IF(VLOOKUP(AM$1,main!$A$3:$I$56,5,FALSE)-VLOOKUP($A73,main!$A$3:$I$56,6,FALSE)&gt;=VLOOKUP(56,main!$A$57:$I$59,4,FALSE)+VLOOKUP(VLOOKUP(AM$1,main!$A$3:$I$56,7,FALSE),main!$K$10:$Q$14,4,FALSE),1,0)</f>
        <v>0</v>
      </c>
      <c r="AN73">
        <f>IF(VLOOKUP(AN$1,main!$A$3:$I$56,5,FALSE)-VLOOKUP($A73,main!$A$3:$I$56,6,FALSE)&gt;=VLOOKUP(56,main!$A$57:$I$59,4,FALSE)+VLOOKUP(VLOOKUP(AN$1,main!$A$3:$I$56,7,FALSE),main!$K$10:$Q$14,4,FALSE),1,0)</f>
        <v>0</v>
      </c>
      <c r="AO73">
        <f>IF(VLOOKUP(AO$1,main!$A$3:$I$56,5,FALSE)-VLOOKUP($A73,main!$A$3:$I$56,6,FALSE)&gt;=VLOOKUP(56,main!$A$57:$I$59,4,FALSE)+VLOOKUP(VLOOKUP(AO$1,main!$A$3:$I$56,7,FALSE),main!$K$10:$Q$14,4,FALSE),1,0)</f>
        <v>0</v>
      </c>
      <c r="AP73">
        <f>IF(VLOOKUP(AP$1,main!$A$3:$I$56,5,FALSE)-VLOOKUP($A73,main!$A$3:$I$56,6,FALSE)&gt;=VLOOKUP(56,main!$A$57:$I$59,4,FALSE)+VLOOKUP(VLOOKUP(AP$1,main!$A$3:$I$56,7,FALSE),main!$K$10:$Q$14,4,FALSE),1,0)</f>
        <v>0</v>
      </c>
      <c r="AQ73">
        <f>IF(VLOOKUP(AQ$1,main!$A$3:$I$56,5,FALSE)-VLOOKUP($A73,main!$A$3:$I$56,6,FALSE)&gt;=VLOOKUP(56,main!$A$57:$I$59,4,FALSE)+VLOOKUP(VLOOKUP(AQ$1,main!$A$3:$I$56,7,FALSE),main!$K$10:$Q$14,4,FALSE),1,0)</f>
        <v>0</v>
      </c>
      <c r="AR73">
        <f>IF(VLOOKUP(AR$1,main!$A$3:$I$56,5,FALSE)-VLOOKUP($A73,main!$A$3:$I$56,6,FALSE)&gt;=VLOOKUP(56,main!$A$57:$I$59,4,FALSE)+VLOOKUP(VLOOKUP(AR$1,main!$A$3:$I$56,7,FALSE),main!$K$10:$Q$14,4,FALSE),1,0)</f>
        <v>0</v>
      </c>
      <c r="AS73">
        <f>IF(VLOOKUP(AS$1,main!$A$3:$I$56,5,FALSE)-VLOOKUP($A73,main!$A$3:$I$56,6,FALSE)&gt;=VLOOKUP(56,main!$A$57:$I$59,4,FALSE)+VLOOKUP(VLOOKUP(AS$1,main!$A$3:$I$56,7,FALSE),main!$K$10:$Q$14,4,FALSE),1,0)</f>
        <v>0</v>
      </c>
      <c r="AT73">
        <f>IF(VLOOKUP(AT$1,main!$A$3:$I$56,5,FALSE)-VLOOKUP($A73,main!$A$3:$I$56,6,FALSE)&gt;=VLOOKUP(56,main!$A$57:$I$59,4,FALSE)+VLOOKUP(VLOOKUP(AT$1,main!$A$3:$I$56,7,FALSE),main!$K$10:$Q$14,4,FALSE),1,0)</f>
        <v>0</v>
      </c>
      <c r="AU73">
        <f>IF(VLOOKUP(AU$1,main!$A$3:$I$56,5,FALSE)-VLOOKUP($A73,main!$A$3:$I$56,6,FALSE)&gt;=VLOOKUP(56,main!$A$57:$I$59,4,FALSE)+VLOOKUP(VLOOKUP(AU$1,main!$A$3:$I$56,7,FALSE),main!$K$10:$Q$14,4,FALSE),1,0)</f>
        <v>0</v>
      </c>
      <c r="AV73">
        <f>IF(VLOOKUP(AV$1,main!$A$3:$I$56,5,FALSE)-VLOOKUP($A73,main!$A$3:$I$56,6,FALSE)&gt;=VLOOKUP(56,main!$A$57:$I$59,4,FALSE)+VLOOKUP(VLOOKUP(AV$1,main!$A$3:$I$56,7,FALSE),main!$K$10:$Q$14,4,FALSE),1,0)</f>
        <v>0</v>
      </c>
      <c r="AW73">
        <f>IF(VLOOKUP(AW$1,main!$A$3:$I$56,5,FALSE)-VLOOKUP($A73,main!$A$3:$I$56,6,FALSE)&gt;=VLOOKUP(56,main!$A$57:$I$59,4,FALSE)+VLOOKUP(VLOOKUP(AW$1,main!$A$3:$I$56,7,FALSE),main!$K$10:$Q$14,4,FALSE),1,0)</f>
        <v>0</v>
      </c>
      <c r="AX73">
        <f>IF(VLOOKUP(AX$1,main!$A$3:$I$56,5,FALSE)-VLOOKUP($A73,main!$A$3:$I$56,6,FALSE)&gt;=VLOOKUP(56,main!$A$57:$I$59,4,FALSE)+VLOOKUP(VLOOKUP(AX$1,main!$A$3:$I$56,7,FALSE),main!$K$10:$Q$14,4,FALSE),1,0)</f>
        <v>0</v>
      </c>
      <c r="AY73">
        <f>IF(VLOOKUP(AY$1,main!$A$3:$I$56,5,FALSE)-VLOOKUP($A73,main!$A$3:$I$56,6,FALSE)&gt;=VLOOKUP(56,main!$A$57:$I$59,4,FALSE)+VLOOKUP(VLOOKUP(AY$1,main!$A$3:$I$56,7,FALSE),main!$K$10:$Q$14,4,FALSE),1,0)</f>
        <v>1</v>
      </c>
      <c r="AZ73">
        <f>IF(VLOOKUP(AZ$1,main!$A$3:$I$56,5,FALSE)-VLOOKUP($A73,main!$A$3:$I$56,6,FALSE)&gt;=VLOOKUP(56,main!$A$57:$I$59,4,FALSE)+VLOOKUP(VLOOKUP(AZ$1,main!$A$3:$I$56,7,FALSE),main!$K$10:$Q$14,4,FALSE),1,0)</f>
        <v>0</v>
      </c>
      <c r="BA73">
        <f>IF(VLOOKUP(BA$1,main!$A$3:$I$56,5,FALSE)-VLOOKUP($A73,main!$A$3:$I$56,6,FALSE)&gt;=VLOOKUP(56,main!$A$57:$I$59,4,FALSE)+VLOOKUP(VLOOKUP(BA$1,main!$A$3:$I$56,7,FALSE),main!$K$10:$Q$14,4,FALSE),1,0)</f>
        <v>0</v>
      </c>
      <c r="BB73">
        <f>IF(VLOOKUP(BB$1,main!$A$3:$I$56,5,FALSE)-VLOOKUP($A73,main!$A$3:$I$56,6,FALSE)&gt;=VLOOKUP(56,main!$A$57:$I$59,4,FALSE)+VLOOKUP(VLOOKUP(BB$1,main!$A$3:$I$56,7,FALSE),main!$K$10:$Q$14,4,FALSE),1,0)</f>
        <v>0</v>
      </c>
      <c r="BC73">
        <f>IF(VLOOKUP(BC$1,main!$A$3:$I$56,5,FALSE)-VLOOKUP($A73,main!$A$3:$I$56,6,FALSE)&gt;=VLOOKUP(56,main!$A$57:$I$59,4,FALSE)+VLOOKUP(VLOOKUP(BC$1,main!$A$3:$I$56,7,FALSE),main!$K$10:$Q$14,4,FALSE),1,0)</f>
        <v>0</v>
      </c>
      <c r="BD73">
        <f>IF(VLOOKUP(BD$1,main!$A$3:$I$56,5,FALSE)-VLOOKUP($A73,main!$A$3:$I$56,6,FALSE)&gt;=VLOOKUP(56,main!$A$57:$I$59,4,FALSE)+VLOOKUP(VLOOKUP(BD$1,main!$A$3:$I$56,7,FALSE),main!$K$10:$Q$14,4,FALSE),1,0)</f>
        <v>0</v>
      </c>
    </row>
    <row r="74" spans="1:56" x14ac:dyDescent="0.25">
      <c r="A74">
        <f t="shared" si="1"/>
        <v>17</v>
      </c>
      <c r="B74">
        <v>0</v>
      </c>
      <c r="C74">
        <f>IF(VLOOKUP(C$1,main!$A$3:$I$56,5,FALSE)-VLOOKUP($A74,main!$A$3:$I$56,6,FALSE)&gt;=VLOOKUP(56,main!$A$57:$I$59,4,FALSE)+VLOOKUP(VLOOKUP(C$1,main!$A$3:$I$56,7,FALSE),main!$K$10:$Q$14,4,FALSE),1,0)</f>
        <v>0</v>
      </c>
      <c r="D74">
        <f>IF(VLOOKUP(D$1,main!$A$3:$I$56,5,FALSE)-VLOOKUP($A74,main!$A$3:$I$56,6,FALSE)&gt;=VLOOKUP(56,main!$A$57:$I$59,4,FALSE)+VLOOKUP(VLOOKUP(D$1,main!$A$3:$I$56,7,FALSE),main!$K$10:$Q$14,4,FALSE),1,0)</f>
        <v>0</v>
      </c>
      <c r="E74">
        <f>IF(VLOOKUP(E$1,main!$A$3:$I$56,5,FALSE)-VLOOKUP($A74,main!$A$3:$I$56,6,FALSE)&gt;=VLOOKUP(56,main!$A$57:$I$59,4,FALSE)+VLOOKUP(VLOOKUP(E$1,main!$A$3:$I$56,7,FALSE),main!$K$10:$Q$14,4,FALSE),1,0)</f>
        <v>0</v>
      </c>
      <c r="F74">
        <f>IF(VLOOKUP(F$1,main!$A$3:$I$56,5,FALSE)-VLOOKUP($A74,main!$A$3:$I$56,6,FALSE)&gt;=VLOOKUP(56,main!$A$57:$I$59,4,FALSE)+VLOOKUP(VLOOKUP(F$1,main!$A$3:$I$56,7,FALSE),main!$K$10:$Q$14,4,FALSE),1,0)</f>
        <v>0</v>
      </c>
      <c r="G74">
        <f>IF(VLOOKUP(G$1,main!$A$3:$I$56,5,FALSE)-VLOOKUP($A74,main!$A$3:$I$56,6,FALSE)&gt;=VLOOKUP(56,main!$A$57:$I$59,4,FALSE)+VLOOKUP(VLOOKUP(G$1,main!$A$3:$I$56,7,FALSE),main!$K$10:$Q$14,4,FALSE),1,0)</f>
        <v>0</v>
      </c>
      <c r="H74">
        <f>IF(VLOOKUP(H$1,main!$A$3:$I$56,5,FALSE)-VLOOKUP($A74,main!$A$3:$I$56,6,FALSE)&gt;=VLOOKUP(56,main!$A$57:$I$59,4,FALSE)+VLOOKUP(VLOOKUP(H$1,main!$A$3:$I$56,7,FALSE),main!$K$10:$Q$14,4,FALSE),1,0)</f>
        <v>0</v>
      </c>
      <c r="I74">
        <f>IF(VLOOKUP(I$1,main!$A$3:$I$56,5,FALSE)-VLOOKUP($A74,main!$A$3:$I$56,6,FALSE)&gt;=VLOOKUP(56,main!$A$57:$I$59,4,FALSE)+VLOOKUP(VLOOKUP(I$1,main!$A$3:$I$56,7,FALSE),main!$K$10:$Q$14,4,FALSE),1,0)</f>
        <v>0</v>
      </c>
      <c r="J74">
        <f>IF(VLOOKUP(J$1,main!$A$3:$I$56,5,FALSE)-VLOOKUP($A74,main!$A$3:$I$56,6,FALSE)&gt;=VLOOKUP(56,main!$A$57:$I$59,4,FALSE)+VLOOKUP(VLOOKUP(J$1,main!$A$3:$I$56,7,FALSE),main!$K$10:$Q$14,4,FALSE),1,0)</f>
        <v>1</v>
      </c>
      <c r="K74">
        <f>IF(VLOOKUP(K$1,main!$A$3:$I$56,5,FALSE)-VLOOKUP($A74,main!$A$3:$I$56,6,FALSE)&gt;=VLOOKUP(56,main!$A$57:$I$59,4,FALSE)+VLOOKUP(VLOOKUP(K$1,main!$A$3:$I$56,7,FALSE),main!$K$10:$Q$14,4,FALSE),1,0)</f>
        <v>0</v>
      </c>
      <c r="L74">
        <f>IF(VLOOKUP(L$1,main!$A$3:$I$56,5,FALSE)-VLOOKUP($A74,main!$A$3:$I$56,6,FALSE)&gt;=VLOOKUP(56,main!$A$57:$I$59,4,FALSE)+VLOOKUP(VLOOKUP(L$1,main!$A$3:$I$56,7,FALSE),main!$K$10:$Q$14,4,FALSE),1,0)</f>
        <v>0</v>
      </c>
      <c r="M74">
        <f>IF(VLOOKUP(M$1,main!$A$3:$I$56,5,FALSE)-VLOOKUP($A74,main!$A$3:$I$56,6,FALSE)&gt;=VLOOKUP(56,main!$A$57:$I$59,4,FALSE)+VLOOKUP(VLOOKUP(M$1,main!$A$3:$I$56,7,FALSE),main!$K$10:$Q$14,4,FALSE),1,0)</f>
        <v>0</v>
      </c>
      <c r="N74">
        <f>IF(VLOOKUP(N$1,main!$A$3:$I$56,5,FALSE)-VLOOKUP($A74,main!$A$3:$I$56,6,FALSE)&gt;=VLOOKUP(56,main!$A$57:$I$59,4,FALSE)+VLOOKUP(VLOOKUP(N$1,main!$A$3:$I$56,7,FALSE),main!$K$10:$Q$14,4,FALSE),1,0)</f>
        <v>0</v>
      </c>
      <c r="O74">
        <f>IF(VLOOKUP(O$1,main!$A$3:$I$56,5,FALSE)-VLOOKUP($A74,main!$A$3:$I$56,6,FALSE)&gt;=VLOOKUP(56,main!$A$57:$I$59,4,FALSE)+VLOOKUP(VLOOKUP(O$1,main!$A$3:$I$56,7,FALSE),main!$K$10:$Q$14,4,FALSE),1,0)</f>
        <v>1</v>
      </c>
      <c r="P74">
        <f>IF(VLOOKUP(P$1,main!$A$3:$I$56,5,FALSE)-VLOOKUP($A74,main!$A$3:$I$56,6,FALSE)&gt;=VLOOKUP(56,main!$A$57:$I$59,4,FALSE)+VLOOKUP(VLOOKUP(P$1,main!$A$3:$I$56,7,FALSE),main!$K$10:$Q$14,4,FALSE),1,0)</f>
        <v>0</v>
      </c>
      <c r="Q74">
        <f>IF(VLOOKUP(Q$1,main!$A$3:$I$56,5,FALSE)-VLOOKUP($A74,main!$A$3:$I$56,6,FALSE)&gt;=VLOOKUP(56,main!$A$57:$I$59,4,FALSE)+VLOOKUP(VLOOKUP(Q$1,main!$A$3:$I$56,7,FALSE),main!$K$10:$Q$14,4,FALSE),1,0)</f>
        <v>0</v>
      </c>
      <c r="R74">
        <f>IF(VLOOKUP(R$1,main!$A$3:$I$56,5,FALSE)-VLOOKUP($A74,main!$A$3:$I$56,6,FALSE)&gt;=VLOOKUP(56,main!$A$57:$I$59,4,FALSE)+VLOOKUP(VLOOKUP(R$1,main!$A$3:$I$56,7,FALSE),main!$K$10:$Q$14,4,FALSE),1,0)</f>
        <v>0</v>
      </c>
      <c r="S74">
        <f>IF(VLOOKUP(S$1,main!$A$3:$I$56,5,FALSE)-VLOOKUP($A74,main!$A$3:$I$56,6,FALSE)&gt;=VLOOKUP(56,main!$A$57:$I$59,4,FALSE)+VLOOKUP(VLOOKUP(S$1,main!$A$3:$I$56,7,FALSE),main!$K$10:$Q$14,4,FALSE),1,0)</f>
        <v>0</v>
      </c>
      <c r="T74">
        <f>IF(VLOOKUP(T$1,main!$A$3:$I$56,5,FALSE)-VLOOKUP($A74,main!$A$3:$I$56,6,FALSE)&gt;=VLOOKUP(56,main!$A$57:$I$59,4,FALSE)+VLOOKUP(VLOOKUP(T$1,main!$A$3:$I$56,7,FALSE),main!$K$10:$Q$14,4,FALSE),1,0)</f>
        <v>0</v>
      </c>
      <c r="U74">
        <f>IF(VLOOKUP(U$1,main!$A$3:$I$56,5,FALSE)-VLOOKUP($A74,main!$A$3:$I$56,6,FALSE)&gt;=VLOOKUP(56,main!$A$57:$I$59,4,FALSE)+VLOOKUP(VLOOKUP(U$1,main!$A$3:$I$56,7,FALSE),main!$K$10:$Q$14,4,FALSE),1,0)</f>
        <v>0</v>
      </c>
      <c r="V74">
        <f>IF(VLOOKUP(V$1,main!$A$3:$I$56,5,FALSE)-VLOOKUP($A74,main!$A$3:$I$56,6,FALSE)&gt;=VLOOKUP(56,main!$A$57:$I$59,4,FALSE)+VLOOKUP(VLOOKUP(V$1,main!$A$3:$I$56,7,FALSE),main!$K$10:$Q$14,4,FALSE),1,0)</f>
        <v>0</v>
      </c>
      <c r="W74">
        <f>IF(VLOOKUP(W$1,main!$A$3:$I$56,5,FALSE)-VLOOKUP($A74,main!$A$3:$I$56,6,FALSE)&gt;=VLOOKUP(56,main!$A$57:$I$59,4,FALSE)+VLOOKUP(VLOOKUP(W$1,main!$A$3:$I$56,7,FALSE),main!$K$10:$Q$14,4,FALSE),1,0)</f>
        <v>0</v>
      </c>
      <c r="X74">
        <f>IF(VLOOKUP(X$1,main!$A$3:$I$56,5,FALSE)-VLOOKUP($A74,main!$A$3:$I$56,6,FALSE)&gt;=VLOOKUP(56,main!$A$57:$I$59,4,FALSE)+VLOOKUP(VLOOKUP(X$1,main!$A$3:$I$56,7,FALSE),main!$K$10:$Q$14,4,FALSE),1,0)</f>
        <v>0</v>
      </c>
      <c r="Y74">
        <f>IF(VLOOKUP(Y$1,main!$A$3:$I$56,5,FALSE)-VLOOKUP($A74,main!$A$3:$I$56,6,FALSE)&gt;=VLOOKUP(56,main!$A$57:$I$59,4,FALSE)+VLOOKUP(VLOOKUP(Y$1,main!$A$3:$I$56,7,FALSE),main!$K$10:$Q$14,4,FALSE),1,0)</f>
        <v>0</v>
      </c>
      <c r="Z74">
        <f>IF(VLOOKUP(Z$1,main!$A$3:$I$56,5,FALSE)-VLOOKUP($A74,main!$A$3:$I$56,6,FALSE)&gt;=VLOOKUP(56,main!$A$57:$I$59,4,FALSE)+VLOOKUP(VLOOKUP(Z$1,main!$A$3:$I$56,7,FALSE),main!$K$10:$Q$14,4,FALSE),1,0)</f>
        <v>0</v>
      </c>
      <c r="AA74">
        <f>IF(VLOOKUP(AA$1,main!$A$3:$I$56,5,FALSE)-VLOOKUP($A74,main!$A$3:$I$56,6,FALSE)&gt;=VLOOKUP(56,main!$A$57:$I$59,4,FALSE)+VLOOKUP(VLOOKUP(AA$1,main!$A$3:$I$56,7,FALSE),main!$K$10:$Q$14,4,FALSE),1,0)</f>
        <v>0</v>
      </c>
      <c r="AB74">
        <f>IF(VLOOKUP(AB$1,main!$A$3:$I$56,5,FALSE)-VLOOKUP($A74,main!$A$3:$I$56,6,FALSE)&gt;=VLOOKUP(56,main!$A$57:$I$59,4,FALSE)+VLOOKUP(VLOOKUP(AB$1,main!$A$3:$I$56,7,FALSE),main!$K$10:$Q$14,4,FALSE),1,0)</f>
        <v>0</v>
      </c>
      <c r="AC74">
        <f>IF(VLOOKUP(AC$1,main!$A$3:$I$56,5,FALSE)-VLOOKUP($A74,main!$A$3:$I$56,6,FALSE)&gt;=VLOOKUP(56,main!$A$57:$I$59,4,FALSE)+VLOOKUP(VLOOKUP(AC$1,main!$A$3:$I$56,7,FALSE),main!$K$10:$Q$14,4,FALSE),1,0)</f>
        <v>0</v>
      </c>
      <c r="AD74">
        <f>IF(VLOOKUP(AD$1,main!$A$3:$I$56,5,FALSE)-VLOOKUP($A74,main!$A$3:$I$56,6,FALSE)&gt;=VLOOKUP(56,main!$A$57:$I$59,4,FALSE)+VLOOKUP(VLOOKUP(AD$1,main!$A$3:$I$56,7,FALSE),main!$K$10:$Q$14,4,FALSE),1,0)</f>
        <v>0</v>
      </c>
      <c r="AE74">
        <f>IF(VLOOKUP(AE$1,main!$A$3:$I$56,5,FALSE)-VLOOKUP($A74,main!$A$3:$I$56,6,FALSE)&gt;=VLOOKUP(56,main!$A$57:$I$59,4,FALSE)+VLOOKUP(VLOOKUP(AE$1,main!$A$3:$I$56,7,FALSE),main!$K$10:$Q$14,4,FALSE),1,0)</f>
        <v>0</v>
      </c>
      <c r="AF74">
        <f>IF(VLOOKUP(AF$1,main!$A$3:$I$56,5,FALSE)-VLOOKUP($A74,main!$A$3:$I$56,6,FALSE)&gt;=VLOOKUP(56,main!$A$57:$I$59,4,FALSE)+VLOOKUP(VLOOKUP(AF$1,main!$A$3:$I$56,7,FALSE),main!$K$10:$Q$14,4,FALSE),1,0)</f>
        <v>0</v>
      </c>
      <c r="AG74">
        <f>IF(VLOOKUP(AG$1,main!$A$3:$I$56,5,FALSE)-VLOOKUP($A74,main!$A$3:$I$56,6,FALSE)&gt;=VLOOKUP(56,main!$A$57:$I$59,4,FALSE)+VLOOKUP(VLOOKUP(AG$1,main!$A$3:$I$56,7,FALSE),main!$K$10:$Q$14,4,FALSE),1,0)</f>
        <v>0</v>
      </c>
      <c r="AH74">
        <f>IF(VLOOKUP(AH$1,main!$A$3:$I$56,5,FALSE)-VLOOKUP($A74,main!$A$3:$I$56,6,FALSE)&gt;=VLOOKUP(56,main!$A$57:$I$59,4,FALSE)+VLOOKUP(VLOOKUP(AH$1,main!$A$3:$I$56,7,FALSE),main!$K$10:$Q$14,4,FALSE),1,0)</f>
        <v>0</v>
      </c>
      <c r="AI74">
        <f>IF(VLOOKUP(AI$1,main!$A$3:$I$56,5,FALSE)-VLOOKUP($A74,main!$A$3:$I$56,6,FALSE)&gt;=VLOOKUP(56,main!$A$57:$I$59,4,FALSE)+VLOOKUP(VLOOKUP(AI$1,main!$A$3:$I$56,7,FALSE),main!$K$10:$Q$14,4,FALSE),1,0)</f>
        <v>0</v>
      </c>
      <c r="AJ74">
        <f>IF(VLOOKUP(AJ$1,main!$A$3:$I$56,5,FALSE)-VLOOKUP($A74,main!$A$3:$I$56,6,FALSE)&gt;=VLOOKUP(56,main!$A$57:$I$59,4,FALSE)+VLOOKUP(VLOOKUP(AJ$1,main!$A$3:$I$56,7,FALSE),main!$K$10:$Q$14,4,FALSE),1,0)</f>
        <v>0</v>
      </c>
      <c r="AK74">
        <f>IF(VLOOKUP(AK$1,main!$A$3:$I$56,5,FALSE)-VLOOKUP($A74,main!$A$3:$I$56,6,FALSE)&gt;=VLOOKUP(56,main!$A$57:$I$59,4,FALSE)+VLOOKUP(VLOOKUP(AK$1,main!$A$3:$I$56,7,FALSE),main!$K$10:$Q$14,4,FALSE),1,0)</f>
        <v>0</v>
      </c>
      <c r="AL74">
        <f>IF(VLOOKUP(AL$1,main!$A$3:$I$56,5,FALSE)-VLOOKUP($A74,main!$A$3:$I$56,6,FALSE)&gt;=VLOOKUP(56,main!$A$57:$I$59,4,FALSE)+VLOOKUP(VLOOKUP(AL$1,main!$A$3:$I$56,7,FALSE),main!$K$10:$Q$14,4,FALSE),1,0)</f>
        <v>0</v>
      </c>
      <c r="AM74">
        <f>IF(VLOOKUP(AM$1,main!$A$3:$I$56,5,FALSE)-VLOOKUP($A74,main!$A$3:$I$56,6,FALSE)&gt;=VLOOKUP(56,main!$A$57:$I$59,4,FALSE)+VLOOKUP(VLOOKUP(AM$1,main!$A$3:$I$56,7,FALSE),main!$K$10:$Q$14,4,FALSE),1,0)</f>
        <v>0</v>
      </c>
      <c r="AN74">
        <f>IF(VLOOKUP(AN$1,main!$A$3:$I$56,5,FALSE)-VLOOKUP($A74,main!$A$3:$I$56,6,FALSE)&gt;=VLOOKUP(56,main!$A$57:$I$59,4,FALSE)+VLOOKUP(VLOOKUP(AN$1,main!$A$3:$I$56,7,FALSE),main!$K$10:$Q$14,4,FALSE),1,0)</f>
        <v>0</v>
      </c>
      <c r="AO74">
        <f>IF(VLOOKUP(AO$1,main!$A$3:$I$56,5,FALSE)-VLOOKUP($A74,main!$A$3:$I$56,6,FALSE)&gt;=VLOOKUP(56,main!$A$57:$I$59,4,FALSE)+VLOOKUP(VLOOKUP(AO$1,main!$A$3:$I$56,7,FALSE),main!$K$10:$Q$14,4,FALSE),1,0)</f>
        <v>0</v>
      </c>
      <c r="AP74">
        <f>IF(VLOOKUP(AP$1,main!$A$3:$I$56,5,FALSE)-VLOOKUP($A74,main!$A$3:$I$56,6,FALSE)&gt;=VLOOKUP(56,main!$A$57:$I$59,4,FALSE)+VLOOKUP(VLOOKUP(AP$1,main!$A$3:$I$56,7,FALSE),main!$K$10:$Q$14,4,FALSE),1,0)</f>
        <v>0</v>
      </c>
      <c r="AQ74">
        <f>IF(VLOOKUP(AQ$1,main!$A$3:$I$56,5,FALSE)-VLOOKUP($A74,main!$A$3:$I$56,6,FALSE)&gt;=VLOOKUP(56,main!$A$57:$I$59,4,FALSE)+VLOOKUP(VLOOKUP(AQ$1,main!$A$3:$I$56,7,FALSE),main!$K$10:$Q$14,4,FALSE),1,0)</f>
        <v>0</v>
      </c>
      <c r="AR74">
        <f>IF(VLOOKUP(AR$1,main!$A$3:$I$56,5,FALSE)-VLOOKUP($A74,main!$A$3:$I$56,6,FALSE)&gt;=VLOOKUP(56,main!$A$57:$I$59,4,FALSE)+VLOOKUP(VLOOKUP(AR$1,main!$A$3:$I$56,7,FALSE),main!$K$10:$Q$14,4,FALSE),1,0)</f>
        <v>0</v>
      </c>
      <c r="AS74">
        <f>IF(VLOOKUP(AS$1,main!$A$3:$I$56,5,FALSE)-VLOOKUP($A74,main!$A$3:$I$56,6,FALSE)&gt;=VLOOKUP(56,main!$A$57:$I$59,4,FALSE)+VLOOKUP(VLOOKUP(AS$1,main!$A$3:$I$56,7,FALSE),main!$K$10:$Q$14,4,FALSE),1,0)</f>
        <v>0</v>
      </c>
      <c r="AT74">
        <f>IF(VLOOKUP(AT$1,main!$A$3:$I$56,5,FALSE)-VLOOKUP($A74,main!$A$3:$I$56,6,FALSE)&gt;=VLOOKUP(56,main!$A$57:$I$59,4,FALSE)+VLOOKUP(VLOOKUP(AT$1,main!$A$3:$I$56,7,FALSE),main!$K$10:$Q$14,4,FALSE),1,0)</f>
        <v>0</v>
      </c>
      <c r="AU74">
        <f>IF(VLOOKUP(AU$1,main!$A$3:$I$56,5,FALSE)-VLOOKUP($A74,main!$A$3:$I$56,6,FALSE)&gt;=VLOOKUP(56,main!$A$57:$I$59,4,FALSE)+VLOOKUP(VLOOKUP(AU$1,main!$A$3:$I$56,7,FALSE),main!$K$10:$Q$14,4,FALSE),1,0)</f>
        <v>0</v>
      </c>
      <c r="AV74">
        <f>IF(VLOOKUP(AV$1,main!$A$3:$I$56,5,FALSE)-VLOOKUP($A74,main!$A$3:$I$56,6,FALSE)&gt;=VLOOKUP(56,main!$A$57:$I$59,4,FALSE)+VLOOKUP(VLOOKUP(AV$1,main!$A$3:$I$56,7,FALSE),main!$K$10:$Q$14,4,FALSE),1,0)</f>
        <v>0</v>
      </c>
      <c r="AW74">
        <f>IF(VLOOKUP(AW$1,main!$A$3:$I$56,5,FALSE)-VLOOKUP($A74,main!$A$3:$I$56,6,FALSE)&gt;=VLOOKUP(56,main!$A$57:$I$59,4,FALSE)+VLOOKUP(VLOOKUP(AW$1,main!$A$3:$I$56,7,FALSE),main!$K$10:$Q$14,4,FALSE),1,0)</f>
        <v>0</v>
      </c>
      <c r="AX74">
        <f>IF(VLOOKUP(AX$1,main!$A$3:$I$56,5,FALSE)-VLOOKUP($A74,main!$A$3:$I$56,6,FALSE)&gt;=VLOOKUP(56,main!$A$57:$I$59,4,FALSE)+VLOOKUP(VLOOKUP(AX$1,main!$A$3:$I$56,7,FALSE),main!$K$10:$Q$14,4,FALSE),1,0)</f>
        <v>0</v>
      </c>
      <c r="AY74">
        <f>IF(VLOOKUP(AY$1,main!$A$3:$I$56,5,FALSE)-VLOOKUP($A74,main!$A$3:$I$56,6,FALSE)&gt;=VLOOKUP(56,main!$A$57:$I$59,4,FALSE)+VLOOKUP(VLOOKUP(AY$1,main!$A$3:$I$56,7,FALSE),main!$K$10:$Q$14,4,FALSE),1,0)</f>
        <v>0</v>
      </c>
      <c r="AZ74">
        <f>IF(VLOOKUP(AZ$1,main!$A$3:$I$56,5,FALSE)-VLOOKUP($A74,main!$A$3:$I$56,6,FALSE)&gt;=VLOOKUP(56,main!$A$57:$I$59,4,FALSE)+VLOOKUP(VLOOKUP(AZ$1,main!$A$3:$I$56,7,FALSE),main!$K$10:$Q$14,4,FALSE),1,0)</f>
        <v>0</v>
      </c>
      <c r="BA74">
        <f>IF(VLOOKUP(BA$1,main!$A$3:$I$56,5,FALSE)-VLOOKUP($A74,main!$A$3:$I$56,6,FALSE)&gt;=VLOOKUP(56,main!$A$57:$I$59,4,FALSE)+VLOOKUP(VLOOKUP(BA$1,main!$A$3:$I$56,7,FALSE),main!$K$10:$Q$14,4,FALSE),1,0)</f>
        <v>0</v>
      </c>
      <c r="BB74">
        <f>IF(VLOOKUP(BB$1,main!$A$3:$I$56,5,FALSE)-VLOOKUP($A74,main!$A$3:$I$56,6,FALSE)&gt;=VLOOKUP(56,main!$A$57:$I$59,4,FALSE)+VLOOKUP(VLOOKUP(BB$1,main!$A$3:$I$56,7,FALSE),main!$K$10:$Q$14,4,FALSE),1,0)</f>
        <v>0</v>
      </c>
      <c r="BC74">
        <f>IF(VLOOKUP(BC$1,main!$A$3:$I$56,5,FALSE)-VLOOKUP($A74,main!$A$3:$I$56,6,FALSE)&gt;=VLOOKUP(56,main!$A$57:$I$59,4,FALSE)+VLOOKUP(VLOOKUP(BC$1,main!$A$3:$I$56,7,FALSE),main!$K$10:$Q$14,4,FALSE),1,0)</f>
        <v>0</v>
      </c>
      <c r="BD74">
        <f>IF(VLOOKUP(BD$1,main!$A$3:$I$56,5,FALSE)-VLOOKUP($A74,main!$A$3:$I$56,6,FALSE)&gt;=VLOOKUP(56,main!$A$57:$I$59,4,FALSE)+VLOOKUP(VLOOKUP(BD$1,main!$A$3:$I$56,7,FALSE),main!$K$10:$Q$14,4,FALSE),1,0)</f>
        <v>0</v>
      </c>
    </row>
    <row r="75" spans="1:56" x14ac:dyDescent="0.25">
      <c r="A75">
        <f t="shared" si="1"/>
        <v>18</v>
      </c>
      <c r="B75">
        <v>0</v>
      </c>
      <c r="C75">
        <f>IF(VLOOKUP(C$1,main!$A$3:$I$56,5,FALSE)-VLOOKUP($A75,main!$A$3:$I$56,6,FALSE)&gt;=VLOOKUP(56,main!$A$57:$I$59,4,FALSE)+VLOOKUP(VLOOKUP(C$1,main!$A$3:$I$56,7,FALSE),main!$K$10:$Q$14,4,FALSE),1,0)</f>
        <v>0</v>
      </c>
      <c r="D75">
        <f>IF(VLOOKUP(D$1,main!$A$3:$I$56,5,FALSE)-VLOOKUP($A75,main!$A$3:$I$56,6,FALSE)&gt;=VLOOKUP(56,main!$A$57:$I$59,4,FALSE)+VLOOKUP(VLOOKUP(D$1,main!$A$3:$I$56,7,FALSE),main!$K$10:$Q$14,4,FALSE),1,0)</f>
        <v>0</v>
      </c>
      <c r="E75">
        <f>IF(VLOOKUP(E$1,main!$A$3:$I$56,5,FALSE)-VLOOKUP($A75,main!$A$3:$I$56,6,FALSE)&gt;=VLOOKUP(56,main!$A$57:$I$59,4,FALSE)+VLOOKUP(VLOOKUP(E$1,main!$A$3:$I$56,7,FALSE),main!$K$10:$Q$14,4,FALSE),1,0)</f>
        <v>0</v>
      </c>
      <c r="F75">
        <f>IF(VLOOKUP(F$1,main!$A$3:$I$56,5,FALSE)-VLOOKUP($A75,main!$A$3:$I$56,6,FALSE)&gt;=VLOOKUP(56,main!$A$57:$I$59,4,FALSE)+VLOOKUP(VLOOKUP(F$1,main!$A$3:$I$56,7,FALSE),main!$K$10:$Q$14,4,FALSE),1,0)</f>
        <v>0</v>
      </c>
      <c r="G75">
        <f>IF(VLOOKUP(G$1,main!$A$3:$I$56,5,FALSE)-VLOOKUP($A75,main!$A$3:$I$56,6,FALSE)&gt;=VLOOKUP(56,main!$A$57:$I$59,4,FALSE)+VLOOKUP(VLOOKUP(G$1,main!$A$3:$I$56,7,FALSE),main!$K$10:$Q$14,4,FALSE),1,0)</f>
        <v>0</v>
      </c>
      <c r="H75">
        <f>IF(VLOOKUP(H$1,main!$A$3:$I$56,5,FALSE)-VLOOKUP($A75,main!$A$3:$I$56,6,FALSE)&gt;=VLOOKUP(56,main!$A$57:$I$59,4,FALSE)+VLOOKUP(VLOOKUP(H$1,main!$A$3:$I$56,7,FALSE),main!$K$10:$Q$14,4,FALSE),1,0)</f>
        <v>0</v>
      </c>
      <c r="I75">
        <f>IF(VLOOKUP(I$1,main!$A$3:$I$56,5,FALSE)-VLOOKUP($A75,main!$A$3:$I$56,6,FALSE)&gt;=VLOOKUP(56,main!$A$57:$I$59,4,FALSE)+VLOOKUP(VLOOKUP(I$1,main!$A$3:$I$56,7,FALSE),main!$K$10:$Q$14,4,FALSE),1,0)</f>
        <v>0</v>
      </c>
      <c r="J75">
        <f>IF(VLOOKUP(J$1,main!$A$3:$I$56,5,FALSE)-VLOOKUP($A75,main!$A$3:$I$56,6,FALSE)&gt;=VLOOKUP(56,main!$A$57:$I$59,4,FALSE)+VLOOKUP(VLOOKUP(J$1,main!$A$3:$I$56,7,FALSE),main!$K$10:$Q$14,4,FALSE),1,0)</f>
        <v>0</v>
      </c>
      <c r="K75">
        <f>IF(VLOOKUP(K$1,main!$A$3:$I$56,5,FALSE)-VLOOKUP($A75,main!$A$3:$I$56,6,FALSE)&gt;=VLOOKUP(56,main!$A$57:$I$59,4,FALSE)+VLOOKUP(VLOOKUP(K$1,main!$A$3:$I$56,7,FALSE),main!$K$10:$Q$14,4,FALSE),1,0)</f>
        <v>0</v>
      </c>
      <c r="L75">
        <f>IF(VLOOKUP(L$1,main!$A$3:$I$56,5,FALSE)-VLOOKUP($A75,main!$A$3:$I$56,6,FALSE)&gt;=VLOOKUP(56,main!$A$57:$I$59,4,FALSE)+VLOOKUP(VLOOKUP(L$1,main!$A$3:$I$56,7,FALSE),main!$K$10:$Q$14,4,FALSE),1,0)</f>
        <v>0</v>
      </c>
      <c r="M75">
        <f>IF(VLOOKUP(M$1,main!$A$3:$I$56,5,FALSE)-VLOOKUP($A75,main!$A$3:$I$56,6,FALSE)&gt;=VLOOKUP(56,main!$A$57:$I$59,4,FALSE)+VLOOKUP(VLOOKUP(M$1,main!$A$3:$I$56,7,FALSE),main!$K$10:$Q$14,4,FALSE),1,0)</f>
        <v>0</v>
      </c>
      <c r="N75">
        <f>IF(VLOOKUP(N$1,main!$A$3:$I$56,5,FALSE)-VLOOKUP($A75,main!$A$3:$I$56,6,FALSE)&gt;=VLOOKUP(56,main!$A$57:$I$59,4,FALSE)+VLOOKUP(VLOOKUP(N$1,main!$A$3:$I$56,7,FALSE),main!$K$10:$Q$14,4,FALSE),1,0)</f>
        <v>0</v>
      </c>
      <c r="O75">
        <f>IF(VLOOKUP(O$1,main!$A$3:$I$56,5,FALSE)-VLOOKUP($A75,main!$A$3:$I$56,6,FALSE)&gt;=VLOOKUP(56,main!$A$57:$I$59,4,FALSE)+VLOOKUP(VLOOKUP(O$1,main!$A$3:$I$56,7,FALSE),main!$K$10:$Q$14,4,FALSE),1,0)</f>
        <v>0</v>
      </c>
      <c r="P75">
        <f>IF(VLOOKUP(P$1,main!$A$3:$I$56,5,FALSE)-VLOOKUP($A75,main!$A$3:$I$56,6,FALSE)&gt;=VLOOKUP(56,main!$A$57:$I$59,4,FALSE)+VLOOKUP(VLOOKUP(P$1,main!$A$3:$I$56,7,FALSE),main!$K$10:$Q$14,4,FALSE),1,0)</f>
        <v>0</v>
      </c>
      <c r="Q75">
        <f>IF(VLOOKUP(Q$1,main!$A$3:$I$56,5,FALSE)-VLOOKUP($A75,main!$A$3:$I$56,6,FALSE)&gt;=VLOOKUP(56,main!$A$57:$I$59,4,FALSE)+VLOOKUP(VLOOKUP(Q$1,main!$A$3:$I$56,7,FALSE),main!$K$10:$Q$14,4,FALSE),1,0)</f>
        <v>0</v>
      </c>
      <c r="R75">
        <f>IF(VLOOKUP(R$1,main!$A$3:$I$56,5,FALSE)-VLOOKUP($A75,main!$A$3:$I$56,6,FALSE)&gt;=VLOOKUP(56,main!$A$57:$I$59,4,FALSE)+VLOOKUP(VLOOKUP(R$1,main!$A$3:$I$56,7,FALSE),main!$K$10:$Q$14,4,FALSE),1,0)</f>
        <v>0</v>
      </c>
      <c r="S75">
        <f>IF(VLOOKUP(S$1,main!$A$3:$I$56,5,FALSE)-VLOOKUP($A75,main!$A$3:$I$56,6,FALSE)&gt;=VLOOKUP(56,main!$A$57:$I$59,4,FALSE)+VLOOKUP(VLOOKUP(S$1,main!$A$3:$I$56,7,FALSE),main!$K$10:$Q$14,4,FALSE),1,0)</f>
        <v>0</v>
      </c>
      <c r="T75">
        <f>IF(VLOOKUP(T$1,main!$A$3:$I$56,5,FALSE)-VLOOKUP($A75,main!$A$3:$I$56,6,FALSE)&gt;=VLOOKUP(56,main!$A$57:$I$59,4,FALSE)+VLOOKUP(VLOOKUP(T$1,main!$A$3:$I$56,7,FALSE),main!$K$10:$Q$14,4,FALSE),1,0)</f>
        <v>0</v>
      </c>
      <c r="U75">
        <f>IF(VLOOKUP(U$1,main!$A$3:$I$56,5,FALSE)-VLOOKUP($A75,main!$A$3:$I$56,6,FALSE)&gt;=VLOOKUP(56,main!$A$57:$I$59,4,FALSE)+VLOOKUP(VLOOKUP(U$1,main!$A$3:$I$56,7,FALSE),main!$K$10:$Q$14,4,FALSE),1,0)</f>
        <v>0</v>
      </c>
      <c r="V75">
        <f>IF(VLOOKUP(V$1,main!$A$3:$I$56,5,FALSE)-VLOOKUP($A75,main!$A$3:$I$56,6,FALSE)&gt;=VLOOKUP(56,main!$A$57:$I$59,4,FALSE)+VLOOKUP(VLOOKUP(V$1,main!$A$3:$I$56,7,FALSE),main!$K$10:$Q$14,4,FALSE),1,0)</f>
        <v>0</v>
      </c>
      <c r="W75">
        <f>IF(VLOOKUP(W$1,main!$A$3:$I$56,5,FALSE)-VLOOKUP($A75,main!$A$3:$I$56,6,FALSE)&gt;=VLOOKUP(56,main!$A$57:$I$59,4,FALSE)+VLOOKUP(VLOOKUP(W$1,main!$A$3:$I$56,7,FALSE),main!$K$10:$Q$14,4,FALSE),1,0)</f>
        <v>0</v>
      </c>
      <c r="X75">
        <f>IF(VLOOKUP(X$1,main!$A$3:$I$56,5,FALSE)-VLOOKUP($A75,main!$A$3:$I$56,6,FALSE)&gt;=VLOOKUP(56,main!$A$57:$I$59,4,FALSE)+VLOOKUP(VLOOKUP(X$1,main!$A$3:$I$56,7,FALSE),main!$K$10:$Q$14,4,FALSE),1,0)</f>
        <v>0</v>
      </c>
      <c r="Y75">
        <f>IF(VLOOKUP(Y$1,main!$A$3:$I$56,5,FALSE)-VLOOKUP($A75,main!$A$3:$I$56,6,FALSE)&gt;=VLOOKUP(56,main!$A$57:$I$59,4,FALSE)+VLOOKUP(VLOOKUP(Y$1,main!$A$3:$I$56,7,FALSE),main!$K$10:$Q$14,4,FALSE),1,0)</f>
        <v>0</v>
      </c>
      <c r="Z75">
        <f>IF(VLOOKUP(Z$1,main!$A$3:$I$56,5,FALSE)-VLOOKUP($A75,main!$A$3:$I$56,6,FALSE)&gt;=VLOOKUP(56,main!$A$57:$I$59,4,FALSE)+VLOOKUP(VLOOKUP(Z$1,main!$A$3:$I$56,7,FALSE),main!$K$10:$Q$14,4,FALSE),1,0)</f>
        <v>0</v>
      </c>
      <c r="AA75">
        <f>IF(VLOOKUP(AA$1,main!$A$3:$I$56,5,FALSE)-VLOOKUP($A75,main!$A$3:$I$56,6,FALSE)&gt;=VLOOKUP(56,main!$A$57:$I$59,4,FALSE)+VLOOKUP(VLOOKUP(AA$1,main!$A$3:$I$56,7,FALSE),main!$K$10:$Q$14,4,FALSE),1,0)</f>
        <v>0</v>
      </c>
      <c r="AB75">
        <f>IF(VLOOKUP(AB$1,main!$A$3:$I$56,5,FALSE)-VLOOKUP($A75,main!$A$3:$I$56,6,FALSE)&gt;=VLOOKUP(56,main!$A$57:$I$59,4,FALSE)+VLOOKUP(VLOOKUP(AB$1,main!$A$3:$I$56,7,FALSE),main!$K$10:$Q$14,4,FALSE),1,0)</f>
        <v>0</v>
      </c>
      <c r="AC75">
        <f>IF(VLOOKUP(AC$1,main!$A$3:$I$56,5,FALSE)-VLOOKUP($A75,main!$A$3:$I$56,6,FALSE)&gt;=VLOOKUP(56,main!$A$57:$I$59,4,FALSE)+VLOOKUP(VLOOKUP(AC$1,main!$A$3:$I$56,7,FALSE),main!$K$10:$Q$14,4,FALSE),1,0)</f>
        <v>0</v>
      </c>
      <c r="AD75">
        <f>IF(VLOOKUP(AD$1,main!$A$3:$I$56,5,FALSE)-VLOOKUP($A75,main!$A$3:$I$56,6,FALSE)&gt;=VLOOKUP(56,main!$A$57:$I$59,4,FALSE)+VLOOKUP(VLOOKUP(AD$1,main!$A$3:$I$56,7,FALSE),main!$K$10:$Q$14,4,FALSE),1,0)</f>
        <v>0</v>
      </c>
      <c r="AE75">
        <f>IF(VLOOKUP(AE$1,main!$A$3:$I$56,5,FALSE)-VLOOKUP($A75,main!$A$3:$I$56,6,FALSE)&gt;=VLOOKUP(56,main!$A$57:$I$59,4,FALSE)+VLOOKUP(VLOOKUP(AE$1,main!$A$3:$I$56,7,FALSE),main!$K$10:$Q$14,4,FALSE),1,0)</f>
        <v>0</v>
      </c>
      <c r="AF75">
        <f>IF(VLOOKUP(AF$1,main!$A$3:$I$56,5,FALSE)-VLOOKUP($A75,main!$A$3:$I$56,6,FALSE)&gt;=VLOOKUP(56,main!$A$57:$I$59,4,FALSE)+VLOOKUP(VLOOKUP(AF$1,main!$A$3:$I$56,7,FALSE),main!$K$10:$Q$14,4,FALSE),1,0)</f>
        <v>0</v>
      </c>
      <c r="AG75">
        <f>IF(VLOOKUP(AG$1,main!$A$3:$I$56,5,FALSE)-VLOOKUP($A75,main!$A$3:$I$56,6,FALSE)&gt;=VLOOKUP(56,main!$A$57:$I$59,4,FALSE)+VLOOKUP(VLOOKUP(AG$1,main!$A$3:$I$56,7,FALSE),main!$K$10:$Q$14,4,FALSE),1,0)</f>
        <v>0</v>
      </c>
      <c r="AH75">
        <f>IF(VLOOKUP(AH$1,main!$A$3:$I$56,5,FALSE)-VLOOKUP($A75,main!$A$3:$I$56,6,FALSE)&gt;=VLOOKUP(56,main!$A$57:$I$59,4,FALSE)+VLOOKUP(VLOOKUP(AH$1,main!$A$3:$I$56,7,FALSE),main!$K$10:$Q$14,4,FALSE),1,0)</f>
        <v>0</v>
      </c>
      <c r="AI75">
        <f>IF(VLOOKUP(AI$1,main!$A$3:$I$56,5,FALSE)-VLOOKUP($A75,main!$A$3:$I$56,6,FALSE)&gt;=VLOOKUP(56,main!$A$57:$I$59,4,FALSE)+VLOOKUP(VLOOKUP(AI$1,main!$A$3:$I$56,7,FALSE),main!$K$10:$Q$14,4,FALSE),1,0)</f>
        <v>0</v>
      </c>
      <c r="AJ75">
        <f>IF(VLOOKUP(AJ$1,main!$A$3:$I$56,5,FALSE)-VLOOKUP($A75,main!$A$3:$I$56,6,FALSE)&gt;=VLOOKUP(56,main!$A$57:$I$59,4,FALSE)+VLOOKUP(VLOOKUP(AJ$1,main!$A$3:$I$56,7,FALSE),main!$K$10:$Q$14,4,FALSE),1,0)</f>
        <v>0</v>
      </c>
      <c r="AK75">
        <f>IF(VLOOKUP(AK$1,main!$A$3:$I$56,5,FALSE)-VLOOKUP($A75,main!$A$3:$I$56,6,FALSE)&gt;=VLOOKUP(56,main!$A$57:$I$59,4,FALSE)+VLOOKUP(VLOOKUP(AK$1,main!$A$3:$I$56,7,FALSE),main!$K$10:$Q$14,4,FALSE),1,0)</f>
        <v>0</v>
      </c>
      <c r="AL75">
        <f>IF(VLOOKUP(AL$1,main!$A$3:$I$56,5,FALSE)-VLOOKUP($A75,main!$A$3:$I$56,6,FALSE)&gt;=VLOOKUP(56,main!$A$57:$I$59,4,FALSE)+VLOOKUP(VLOOKUP(AL$1,main!$A$3:$I$56,7,FALSE),main!$K$10:$Q$14,4,FALSE),1,0)</f>
        <v>0</v>
      </c>
      <c r="AM75">
        <f>IF(VLOOKUP(AM$1,main!$A$3:$I$56,5,FALSE)-VLOOKUP($A75,main!$A$3:$I$56,6,FALSE)&gt;=VLOOKUP(56,main!$A$57:$I$59,4,FALSE)+VLOOKUP(VLOOKUP(AM$1,main!$A$3:$I$56,7,FALSE),main!$K$10:$Q$14,4,FALSE),1,0)</f>
        <v>0</v>
      </c>
      <c r="AN75">
        <f>IF(VLOOKUP(AN$1,main!$A$3:$I$56,5,FALSE)-VLOOKUP($A75,main!$A$3:$I$56,6,FALSE)&gt;=VLOOKUP(56,main!$A$57:$I$59,4,FALSE)+VLOOKUP(VLOOKUP(AN$1,main!$A$3:$I$56,7,FALSE),main!$K$10:$Q$14,4,FALSE),1,0)</f>
        <v>0</v>
      </c>
      <c r="AO75">
        <f>IF(VLOOKUP(AO$1,main!$A$3:$I$56,5,FALSE)-VLOOKUP($A75,main!$A$3:$I$56,6,FALSE)&gt;=VLOOKUP(56,main!$A$57:$I$59,4,FALSE)+VLOOKUP(VLOOKUP(AO$1,main!$A$3:$I$56,7,FALSE),main!$K$10:$Q$14,4,FALSE),1,0)</f>
        <v>0</v>
      </c>
      <c r="AP75">
        <f>IF(VLOOKUP(AP$1,main!$A$3:$I$56,5,FALSE)-VLOOKUP($A75,main!$A$3:$I$56,6,FALSE)&gt;=VLOOKUP(56,main!$A$57:$I$59,4,FALSE)+VLOOKUP(VLOOKUP(AP$1,main!$A$3:$I$56,7,FALSE),main!$K$10:$Q$14,4,FALSE),1,0)</f>
        <v>0</v>
      </c>
      <c r="AQ75">
        <f>IF(VLOOKUP(AQ$1,main!$A$3:$I$56,5,FALSE)-VLOOKUP($A75,main!$A$3:$I$56,6,FALSE)&gt;=VLOOKUP(56,main!$A$57:$I$59,4,FALSE)+VLOOKUP(VLOOKUP(AQ$1,main!$A$3:$I$56,7,FALSE),main!$K$10:$Q$14,4,FALSE),1,0)</f>
        <v>0</v>
      </c>
      <c r="AR75">
        <f>IF(VLOOKUP(AR$1,main!$A$3:$I$56,5,FALSE)-VLOOKUP($A75,main!$A$3:$I$56,6,FALSE)&gt;=VLOOKUP(56,main!$A$57:$I$59,4,FALSE)+VLOOKUP(VLOOKUP(AR$1,main!$A$3:$I$56,7,FALSE),main!$K$10:$Q$14,4,FALSE),1,0)</f>
        <v>0</v>
      </c>
      <c r="AS75">
        <f>IF(VLOOKUP(AS$1,main!$A$3:$I$56,5,FALSE)-VLOOKUP($A75,main!$A$3:$I$56,6,FALSE)&gt;=VLOOKUP(56,main!$A$57:$I$59,4,FALSE)+VLOOKUP(VLOOKUP(AS$1,main!$A$3:$I$56,7,FALSE),main!$K$10:$Q$14,4,FALSE),1,0)</f>
        <v>0</v>
      </c>
      <c r="AT75">
        <f>IF(VLOOKUP(AT$1,main!$A$3:$I$56,5,FALSE)-VLOOKUP($A75,main!$A$3:$I$56,6,FALSE)&gt;=VLOOKUP(56,main!$A$57:$I$59,4,FALSE)+VLOOKUP(VLOOKUP(AT$1,main!$A$3:$I$56,7,FALSE),main!$K$10:$Q$14,4,FALSE),1,0)</f>
        <v>0</v>
      </c>
      <c r="AU75">
        <f>IF(VLOOKUP(AU$1,main!$A$3:$I$56,5,FALSE)-VLOOKUP($A75,main!$A$3:$I$56,6,FALSE)&gt;=VLOOKUP(56,main!$A$57:$I$59,4,FALSE)+VLOOKUP(VLOOKUP(AU$1,main!$A$3:$I$56,7,FALSE),main!$K$10:$Q$14,4,FALSE),1,0)</f>
        <v>0</v>
      </c>
      <c r="AV75">
        <f>IF(VLOOKUP(AV$1,main!$A$3:$I$56,5,FALSE)-VLOOKUP($A75,main!$A$3:$I$56,6,FALSE)&gt;=VLOOKUP(56,main!$A$57:$I$59,4,FALSE)+VLOOKUP(VLOOKUP(AV$1,main!$A$3:$I$56,7,FALSE),main!$K$10:$Q$14,4,FALSE),1,0)</f>
        <v>0</v>
      </c>
      <c r="AW75">
        <f>IF(VLOOKUP(AW$1,main!$A$3:$I$56,5,FALSE)-VLOOKUP($A75,main!$A$3:$I$56,6,FALSE)&gt;=VLOOKUP(56,main!$A$57:$I$59,4,FALSE)+VLOOKUP(VLOOKUP(AW$1,main!$A$3:$I$56,7,FALSE),main!$K$10:$Q$14,4,FALSE),1,0)</f>
        <v>0</v>
      </c>
      <c r="AX75">
        <f>IF(VLOOKUP(AX$1,main!$A$3:$I$56,5,FALSE)-VLOOKUP($A75,main!$A$3:$I$56,6,FALSE)&gt;=VLOOKUP(56,main!$A$57:$I$59,4,FALSE)+VLOOKUP(VLOOKUP(AX$1,main!$A$3:$I$56,7,FALSE),main!$K$10:$Q$14,4,FALSE),1,0)</f>
        <v>0</v>
      </c>
      <c r="AY75">
        <f>IF(VLOOKUP(AY$1,main!$A$3:$I$56,5,FALSE)-VLOOKUP($A75,main!$A$3:$I$56,6,FALSE)&gt;=VLOOKUP(56,main!$A$57:$I$59,4,FALSE)+VLOOKUP(VLOOKUP(AY$1,main!$A$3:$I$56,7,FALSE),main!$K$10:$Q$14,4,FALSE),1,0)</f>
        <v>0</v>
      </c>
      <c r="AZ75">
        <f>IF(VLOOKUP(AZ$1,main!$A$3:$I$56,5,FALSE)-VLOOKUP($A75,main!$A$3:$I$56,6,FALSE)&gt;=VLOOKUP(56,main!$A$57:$I$59,4,FALSE)+VLOOKUP(VLOOKUP(AZ$1,main!$A$3:$I$56,7,FALSE),main!$K$10:$Q$14,4,FALSE),1,0)</f>
        <v>0</v>
      </c>
      <c r="BA75">
        <f>IF(VLOOKUP(BA$1,main!$A$3:$I$56,5,FALSE)-VLOOKUP($A75,main!$A$3:$I$56,6,FALSE)&gt;=VLOOKUP(56,main!$A$57:$I$59,4,FALSE)+VLOOKUP(VLOOKUP(BA$1,main!$A$3:$I$56,7,FALSE),main!$K$10:$Q$14,4,FALSE),1,0)</f>
        <v>0</v>
      </c>
      <c r="BB75">
        <f>IF(VLOOKUP(BB$1,main!$A$3:$I$56,5,FALSE)-VLOOKUP($A75,main!$A$3:$I$56,6,FALSE)&gt;=VLOOKUP(56,main!$A$57:$I$59,4,FALSE)+VLOOKUP(VLOOKUP(BB$1,main!$A$3:$I$56,7,FALSE),main!$K$10:$Q$14,4,FALSE),1,0)</f>
        <v>0</v>
      </c>
      <c r="BC75">
        <f>IF(VLOOKUP(BC$1,main!$A$3:$I$56,5,FALSE)-VLOOKUP($A75,main!$A$3:$I$56,6,FALSE)&gt;=VLOOKUP(56,main!$A$57:$I$59,4,FALSE)+VLOOKUP(VLOOKUP(BC$1,main!$A$3:$I$56,7,FALSE),main!$K$10:$Q$14,4,FALSE),1,0)</f>
        <v>0</v>
      </c>
      <c r="BD75">
        <f>IF(VLOOKUP(BD$1,main!$A$3:$I$56,5,FALSE)-VLOOKUP($A75,main!$A$3:$I$56,6,FALSE)&gt;=VLOOKUP(56,main!$A$57:$I$59,4,FALSE)+VLOOKUP(VLOOKUP(BD$1,main!$A$3:$I$56,7,FALSE),main!$K$10:$Q$14,4,FALSE),1,0)</f>
        <v>0</v>
      </c>
    </row>
    <row r="76" spans="1:56" x14ac:dyDescent="0.25">
      <c r="A76">
        <f t="shared" si="1"/>
        <v>19</v>
      </c>
      <c r="B76">
        <v>0</v>
      </c>
      <c r="C76">
        <f>IF(VLOOKUP(C$1,main!$A$3:$I$56,5,FALSE)-VLOOKUP($A76,main!$A$3:$I$56,6,FALSE)&gt;=VLOOKUP(56,main!$A$57:$I$59,4,FALSE)+VLOOKUP(VLOOKUP(C$1,main!$A$3:$I$56,7,FALSE),main!$K$10:$Q$14,4,FALSE),1,0)</f>
        <v>0</v>
      </c>
      <c r="D76">
        <f>IF(VLOOKUP(D$1,main!$A$3:$I$56,5,FALSE)-VLOOKUP($A76,main!$A$3:$I$56,6,FALSE)&gt;=VLOOKUP(56,main!$A$57:$I$59,4,FALSE)+VLOOKUP(VLOOKUP(D$1,main!$A$3:$I$56,7,FALSE),main!$K$10:$Q$14,4,FALSE),1,0)</f>
        <v>1</v>
      </c>
      <c r="E76">
        <f>IF(VLOOKUP(E$1,main!$A$3:$I$56,5,FALSE)-VLOOKUP($A76,main!$A$3:$I$56,6,FALSE)&gt;=VLOOKUP(56,main!$A$57:$I$59,4,FALSE)+VLOOKUP(VLOOKUP(E$1,main!$A$3:$I$56,7,FALSE),main!$K$10:$Q$14,4,FALSE),1,0)</f>
        <v>1</v>
      </c>
      <c r="F76">
        <f>IF(VLOOKUP(F$1,main!$A$3:$I$56,5,FALSE)-VLOOKUP($A76,main!$A$3:$I$56,6,FALSE)&gt;=VLOOKUP(56,main!$A$57:$I$59,4,FALSE)+VLOOKUP(VLOOKUP(F$1,main!$A$3:$I$56,7,FALSE),main!$K$10:$Q$14,4,FALSE),1,0)</f>
        <v>1</v>
      </c>
      <c r="G76">
        <f>IF(VLOOKUP(G$1,main!$A$3:$I$56,5,FALSE)-VLOOKUP($A76,main!$A$3:$I$56,6,FALSE)&gt;=VLOOKUP(56,main!$A$57:$I$59,4,FALSE)+VLOOKUP(VLOOKUP(G$1,main!$A$3:$I$56,7,FALSE),main!$K$10:$Q$14,4,FALSE),1,0)</f>
        <v>1</v>
      </c>
      <c r="H76">
        <f>IF(VLOOKUP(H$1,main!$A$3:$I$56,5,FALSE)-VLOOKUP($A76,main!$A$3:$I$56,6,FALSE)&gt;=VLOOKUP(56,main!$A$57:$I$59,4,FALSE)+VLOOKUP(VLOOKUP(H$1,main!$A$3:$I$56,7,FALSE),main!$K$10:$Q$14,4,FALSE),1,0)</f>
        <v>1</v>
      </c>
      <c r="I76">
        <f>IF(VLOOKUP(I$1,main!$A$3:$I$56,5,FALSE)-VLOOKUP($A76,main!$A$3:$I$56,6,FALSE)&gt;=VLOOKUP(56,main!$A$57:$I$59,4,FALSE)+VLOOKUP(VLOOKUP(I$1,main!$A$3:$I$56,7,FALSE),main!$K$10:$Q$14,4,FALSE),1,0)</f>
        <v>1</v>
      </c>
      <c r="J76">
        <f>IF(VLOOKUP(J$1,main!$A$3:$I$56,5,FALSE)-VLOOKUP($A76,main!$A$3:$I$56,6,FALSE)&gt;=VLOOKUP(56,main!$A$57:$I$59,4,FALSE)+VLOOKUP(VLOOKUP(J$1,main!$A$3:$I$56,7,FALSE),main!$K$10:$Q$14,4,FALSE),1,0)</f>
        <v>1</v>
      </c>
      <c r="K76">
        <f>IF(VLOOKUP(K$1,main!$A$3:$I$56,5,FALSE)-VLOOKUP($A76,main!$A$3:$I$56,6,FALSE)&gt;=VLOOKUP(56,main!$A$57:$I$59,4,FALSE)+VLOOKUP(VLOOKUP(K$1,main!$A$3:$I$56,7,FALSE),main!$K$10:$Q$14,4,FALSE),1,0)</f>
        <v>0</v>
      </c>
      <c r="L76">
        <f>IF(VLOOKUP(L$1,main!$A$3:$I$56,5,FALSE)-VLOOKUP($A76,main!$A$3:$I$56,6,FALSE)&gt;=VLOOKUP(56,main!$A$57:$I$59,4,FALSE)+VLOOKUP(VLOOKUP(L$1,main!$A$3:$I$56,7,FALSE),main!$K$10:$Q$14,4,FALSE),1,0)</f>
        <v>0</v>
      </c>
      <c r="M76">
        <f>IF(VLOOKUP(M$1,main!$A$3:$I$56,5,FALSE)-VLOOKUP($A76,main!$A$3:$I$56,6,FALSE)&gt;=VLOOKUP(56,main!$A$57:$I$59,4,FALSE)+VLOOKUP(VLOOKUP(M$1,main!$A$3:$I$56,7,FALSE),main!$K$10:$Q$14,4,FALSE),1,0)</f>
        <v>1</v>
      </c>
      <c r="N76">
        <f>IF(VLOOKUP(N$1,main!$A$3:$I$56,5,FALSE)-VLOOKUP($A76,main!$A$3:$I$56,6,FALSE)&gt;=VLOOKUP(56,main!$A$57:$I$59,4,FALSE)+VLOOKUP(VLOOKUP(N$1,main!$A$3:$I$56,7,FALSE),main!$K$10:$Q$14,4,FALSE),1,0)</f>
        <v>1</v>
      </c>
      <c r="O76">
        <f>IF(VLOOKUP(O$1,main!$A$3:$I$56,5,FALSE)-VLOOKUP($A76,main!$A$3:$I$56,6,FALSE)&gt;=VLOOKUP(56,main!$A$57:$I$59,4,FALSE)+VLOOKUP(VLOOKUP(O$1,main!$A$3:$I$56,7,FALSE),main!$K$10:$Q$14,4,FALSE),1,0)</f>
        <v>1</v>
      </c>
      <c r="P76">
        <f>IF(VLOOKUP(P$1,main!$A$3:$I$56,5,FALSE)-VLOOKUP($A76,main!$A$3:$I$56,6,FALSE)&gt;=VLOOKUP(56,main!$A$57:$I$59,4,FALSE)+VLOOKUP(VLOOKUP(P$1,main!$A$3:$I$56,7,FALSE),main!$K$10:$Q$14,4,FALSE),1,0)</f>
        <v>0</v>
      </c>
      <c r="Q76">
        <f>IF(VLOOKUP(Q$1,main!$A$3:$I$56,5,FALSE)-VLOOKUP($A76,main!$A$3:$I$56,6,FALSE)&gt;=VLOOKUP(56,main!$A$57:$I$59,4,FALSE)+VLOOKUP(VLOOKUP(Q$1,main!$A$3:$I$56,7,FALSE),main!$K$10:$Q$14,4,FALSE),1,0)</f>
        <v>0</v>
      </c>
      <c r="R76">
        <f>IF(VLOOKUP(R$1,main!$A$3:$I$56,5,FALSE)-VLOOKUP($A76,main!$A$3:$I$56,6,FALSE)&gt;=VLOOKUP(56,main!$A$57:$I$59,4,FALSE)+VLOOKUP(VLOOKUP(R$1,main!$A$3:$I$56,7,FALSE),main!$K$10:$Q$14,4,FALSE),1,0)</f>
        <v>1</v>
      </c>
      <c r="S76">
        <f>IF(VLOOKUP(S$1,main!$A$3:$I$56,5,FALSE)-VLOOKUP($A76,main!$A$3:$I$56,6,FALSE)&gt;=VLOOKUP(56,main!$A$57:$I$59,4,FALSE)+VLOOKUP(VLOOKUP(S$1,main!$A$3:$I$56,7,FALSE),main!$K$10:$Q$14,4,FALSE),1,0)</f>
        <v>1</v>
      </c>
      <c r="T76">
        <f>IF(VLOOKUP(T$1,main!$A$3:$I$56,5,FALSE)-VLOOKUP($A76,main!$A$3:$I$56,6,FALSE)&gt;=VLOOKUP(56,main!$A$57:$I$59,4,FALSE)+VLOOKUP(VLOOKUP(T$1,main!$A$3:$I$56,7,FALSE),main!$K$10:$Q$14,4,FALSE),1,0)</f>
        <v>1</v>
      </c>
      <c r="U76">
        <f>IF(VLOOKUP(U$1,main!$A$3:$I$56,5,FALSE)-VLOOKUP($A76,main!$A$3:$I$56,6,FALSE)&gt;=VLOOKUP(56,main!$A$57:$I$59,4,FALSE)+VLOOKUP(VLOOKUP(U$1,main!$A$3:$I$56,7,FALSE),main!$K$10:$Q$14,4,FALSE),1,0)</f>
        <v>0</v>
      </c>
      <c r="V76">
        <f>IF(VLOOKUP(V$1,main!$A$3:$I$56,5,FALSE)-VLOOKUP($A76,main!$A$3:$I$56,6,FALSE)&gt;=VLOOKUP(56,main!$A$57:$I$59,4,FALSE)+VLOOKUP(VLOOKUP(V$1,main!$A$3:$I$56,7,FALSE),main!$K$10:$Q$14,4,FALSE),1,0)</f>
        <v>0</v>
      </c>
      <c r="W76">
        <f>IF(VLOOKUP(W$1,main!$A$3:$I$56,5,FALSE)-VLOOKUP($A76,main!$A$3:$I$56,6,FALSE)&gt;=VLOOKUP(56,main!$A$57:$I$59,4,FALSE)+VLOOKUP(VLOOKUP(W$1,main!$A$3:$I$56,7,FALSE),main!$K$10:$Q$14,4,FALSE),1,0)</f>
        <v>0</v>
      </c>
      <c r="X76">
        <f>IF(VLOOKUP(X$1,main!$A$3:$I$56,5,FALSE)-VLOOKUP($A76,main!$A$3:$I$56,6,FALSE)&gt;=VLOOKUP(56,main!$A$57:$I$59,4,FALSE)+VLOOKUP(VLOOKUP(X$1,main!$A$3:$I$56,7,FALSE),main!$K$10:$Q$14,4,FALSE),1,0)</f>
        <v>0</v>
      </c>
      <c r="Y76">
        <f>IF(VLOOKUP(Y$1,main!$A$3:$I$56,5,FALSE)-VLOOKUP($A76,main!$A$3:$I$56,6,FALSE)&gt;=VLOOKUP(56,main!$A$57:$I$59,4,FALSE)+VLOOKUP(VLOOKUP(Y$1,main!$A$3:$I$56,7,FALSE),main!$K$10:$Q$14,4,FALSE),1,0)</f>
        <v>1</v>
      </c>
      <c r="Z76">
        <f>IF(VLOOKUP(Z$1,main!$A$3:$I$56,5,FALSE)-VLOOKUP($A76,main!$A$3:$I$56,6,FALSE)&gt;=VLOOKUP(56,main!$A$57:$I$59,4,FALSE)+VLOOKUP(VLOOKUP(Z$1,main!$A$3:$I$56,7,FALSE),main!$K$10:$Q$14,4,FALSE),1,0)</f>
        <v>1</v>
      </c>
      <c r="AA76">
        <f>IF(VLOOKUP(AA$1,main!$A$3:$I$56,5,FALSE)-VLOOKUP($A76,main!$A$3:$I$56,6,FALSE)&gt;=VLOOKUP(56,main!$A$57:$I$59,4,FALSE)+VLOOKUP(VLOOKUP(AA$1,main!$A$3:$I$56,7,FALSE),main!$K$10:$Q$14,4,FALSE),1,0)</f>
        <v>1</v>
      </c>
      <c r="AB76">
        <f>IF(VLOOKUP(AB$1,main!$A$3:$I$56,5,FALSE)-VLOOKUP($A76,main!$A$3:$I$56,6,FALSE)&gt;=VLOOKUP(56,main!$A$57:$I$59,4,FALSE)+VLOOKUP(VLOOKUP(AB$1,main!$A$3:$I$56,7,FALSE),main!$K$10:$Q$14,4,FALSE),1,0)</f>
        <v>1</v>
      </c>
      <c r="AC76">
        <f>IF(VLOOKUP(AC$1,main!$A$3:$I$56,5,FALSE)-VLOOKUP($A76,main!$A$3:$I$56,6,FALSE)&gt;=VLOOKUP(56,main!$A$57:$I$59,4,FALSE)+VLOOKUP(VLOOKUP(AC$1,main!$A$3:$I$56,7,FALSE),main!$K$10:$Q$14,4,FALSE),1,0)</f>
        <v>0</v>
      </c>
      <c r="AD76">
        <f>IF(VLOOKUP(AD$1,main!$A$3:$I$56,5,FALSE)-VLOOKUP($A76,main!$A$3:$I$56,6,FALSE)&gt;=VLOOKUP(56,main!$A$57:$I$59,4,FALSE)+VLOOKUP(VLOOKUP(AD$1,main!$A$3:$I$56,7,FALSE),main!$K$10:$Q$14,4,FALSE),1,0)</f>
        <v>0</v>
      </c>
      <c r="AE76">
        <f>IF(VLOOKUP(AE$1,main!$A$3:$I$56,5,FALSE)-VLOOKUP($A76,main!$A$3:$I$56,6,FALSE)&gt;=VLOOKUP(56,main!$A$57:$I$59,4,FALSE)+VLOOKUP(VLOOKUP(AE$1,main!$A$3:$I$56,7,FALSE),main!$K$10:$Q$14,4,FALSE),1,0)</f>
        <v>0</v>
      </c>
      <c r="AF76">
        <f>IF(VLOOKUP(AF$1,main!$A$3:$I$56,5,FALSE)-VLOOKUP($A76,main!$A$3:$I$56,6,FALSE)&gt;=VLOOKUP(56,main!$A$57:$I$59,4,FALSE)+VLOOKUP(VLOOKUP(AF$1,main!$A$3:$I$56,7,FALSE),main!$K$10:$Q$14,4,FALSE),1,0)</f>
        <v>1</v>
      </c>
      <c r="AG76">
        <f>IF(VLOOKUP(AG$1,main!$A$3:$I$56,5,FALSE)-VLOOKUP($A76,main!$A$3:$I$56,6,FALSE)&gt;=VLOOKUP(56,main!$A$57:$I$59,4,FALSE)+VLOOKUP(VLOOKUP(AG$1,main!$A$3:$I$56,7,FALSE),main!$K$10:$Q$14,4,FALSE),1,0)</f>
        <v>0</v>
      </c>
      <c r="AH76">
        <f>IF(VLOOKUP(AH$1,main!$A$3:$I$56,5,FALSE)-VLOOKUP($A76,main!$A$3:$I$56,6,FALSE)&gt;=VLOOKUP(56,main!$A$57:$I$59,4,FALSE)+VLOOKUP(VLOOKUP(AH$1,main!$A$3:$I$56,7,FALSE),main!$K$10:$Q$14,4,FALSE),1,0)</f>
        <v>0</v>
      </c>
      <c r="AI76">
        <f>IF(VLOOKUP(AI$1,main!$A$3:$I$56,5,FALSE)-VLOOKUP($A76,main!$A$3:$I$56,6,FALSE)&gt;=VLOOKUP(56,main!$A$57:$I$59,4,FALSE)+VLOOKUP(VLOOKUP(AI$1,main!$A$3:$I$56,7,FALSE),main!$K$10:$Q$14,4,FALSE),1,0)</f>
        <v>0</v>
      </c>
      <c r="AJ76">
        <f>IF(VLOOKUP(AJ$1,main!$A$3:$I$56,5,FALSE)-VLOOKUP($A76,main!$A$3:$I$56,6,FALSE)&gt;=VLOOKUP(56,main!$A$57:$I$59,4,FALSE)+VLOOKUP(VLOOKUP(AJ$1,main!$A$3:$I$56,7,FALSE),main!$K$10:$Q$14,4,FALSE),1,0)</f>
        <v>1</v>
      </c>
      <c r="AK76">
        <f>IF(VLOOKUP(AK$1,main!$A$3:$I$56,5,FALSE)-VLOOKUP($A76,main!$A$3:$I$56,6,FALSE)&gt;=VLOOKUP(56,main!$A$57:$I$59,4,FALSE)+VLOOKUP(VLOOKUP(AK$1,main!$A$3:$I$56,7,FALSE),main!$K$10:$Q$14,4,FALSE),1,0)</f>
        <v>1</v>
      </c>
      <c r="AL76">
        <f>IF(VLOOKUP(AL$1,main!$A$3:$I$56,5,FALSE)-VLOOKUP($A76,main!$A$3:$I$56,6,FALSE)&gt;=VLOOKUP(56,main!$A$57:$I$59,4,FALSE)+VLOOKUP(VLOOKUP(AL$1,main!$A$3:$I$56,7,FALSE),main!$K$10:$Q$14,4,FALSE),1,0)</f>
        <v>0</v>
      </c>
      <c r="AM76">
        <f>IF(VLOOKUP(AM$1,main!$A$3:$I$56,5,FALSE)-VLOOKUP($A76,main!$A$3:$I$56,6,FALSE)&gt;=VLOOKUP(56,main!$A$57:$I$59,4,FALSE)+VLOOKUP(VLOOKUP(AM$1,main!$A$3:$I$56,7,FALSE),main!$K$10:$Q$14,4,FALSE),1,0)</f>
        <v>0</v>
      </c>
      <c r="AN76">
        <f>IF(VLOOKUP(AN$1,main!$A$3:$I$56,5,FALSE)-VLOOKUP($A76,main!$A$3:$I$56,6,FALSE)&gt;=VLOOKUP(56,main!$A$57:$I$59,4,FALSE)+VLOOKUP(VLOOKUP(AN$1,main!$A$3:$I$56,7,FALSE),main!$K$10:$Q$14,4,FALSE),1,0)</f>
        <v>1</v>
      </c>
      <c r="AO76">
        <f>IF(VLOOKUP(AO$1,main!$A$3:$I$56,5,FALSE)-VLOOKUP($A76,main!$A$3:$I$56,6,FALSE)&gt;=VLOOKUP(56,main!$A$57:$I$59,4,FALSE)+VLOOKUP(VLOOKUP(AO$1,main!$A$3:$I$56,7,FALSE),main!$K$10:$Q$14,4,FALSE),1,0)</f>
        <v>1</v>
      </c>
      <c r="AP76">
        <f>IF(VLOOKUP(AP$1,main!$A$3:$I$56,5,FALSE)-VLOOKUP($A76,main!$A$3:$I$56,6,FALSE)&gt;=VLOOKUP(56,main!$A$57:$I$59,4,FALSE)+VLOOKUP(VLOOKUP(AP$1,main!$A$3:$I$56,7,FALSE),main!$K$10:$Q$14,4,FALSE),1,0)</f>
        <v>0</v>
      </c>
      <c r="AQ76">
        <f>IF(VLOOKUP(AQ$1,main!$A$3:$I$56,5,FALSE)-VLOOKUP($A76,main!$A$3:$I$56,6,FALSE)&gt;=VLOOKUP(56,main!$A$57:$I$59,4,FALSE)+VLOOKUP(VLOOKUP(AQ$1,main!$A$3:$I$56,7,FALSE),main!$K$10:$Q$14,4,FALSE),1,0)</f>
        <v>0</v>
      </c>
      <c r="AR76">
        <f>IF(VLOOKUP(AR$1,main!$A$3:$I$56,5,FALSE)-VLOOKUP($A76,main!$A$3:$I$56,6,FALSE)&gt;=VLOOKUP(56,main!$A$57:$I$59,4,FALSE)+VLOOKUP(VLOOKUP(AR$1,main!$A$3:$I$56,7,FALSE),main!$K$10:$Q$14,4,FALSE),1,0)</f>
        <v>0</v>
      </c>
      <c r="AS76">
        <f>IF(VLOOKUP(AS$1,main!$A$3:$I$56,5,FALSE)-VLOOKUP($A76,main!$A$3:$I$56,6,FALSE)&gt;=VLOOKUP(56,main!$A$57:$I$59,4,FALSE)+VLOOKUP(VLOOKUP(AS$1,main!$A$3:$I$56,7,FALSE),main!$K$10:$Q$14,4,FALSE),1,0)</f>
        <v>0</v>
      </c>
      <c r="AT76">
        <f>IF(VLOOKUP(AT$1,main!$A$3:$I$56,5,FALSE)-VLOOKUP($A76,main!$A$3:$I$56,6,FALSE)&gt;=VLOOKUP(56,main!$A$57:$I$59,4,FALSE)+VLOOKUP(VLOOKUP(AT$1,main!$A$3:$I$56,7,FALSE),main!$K$10:$Q$14,4,FALSE),1,0)</f>
        <v>0</v>
      </c>
      <c r="AU76">
        <f>IF(VLOOKUP(AU$1,main!$A$3:$I$56,5,FALSE)-VLOOKUP($A76,main!$A$3:$I$56,6,FALSE)&gt;=VLOOKUP(56,main!$A$57:$I$59,4,FALSE)+VLOOKUP(VLOOKUP(AU$1,main!$A$3:$I$56,7,FALSE),main!$K$10:$Q$14,4,FALSE),1,0)</f>
        <v>0</v>
      </c>
      <c r="AV76">
        <f>IF(VLOOKUP(AV$1,main!$A$3:$I$56,5,FALSE)-VLOOKUP($A76,main!$A$3:$I$56,6,FALSE)&gt;=VLOOKUP(56,main!$A$57:$I$59,4,FALSE)+VLOOKUP(VLOOKUP(AV$1,main!$A$3:$I$56,7,FALSE),main!$K$10:$Q$14,4,FALSE),1,0)</f>
        <v>0</v>
      </c>
      <c r="AW76">
        <f>IF(VLOOKUP(AW$1,main!$A$3:$I$56,5,FALSE)-VLOOKUP($A76,main!$A$3:$I$56,6,FALSE)&gt;=VLOOKUP(56,main!$A$57:$I$59,4,FALSE)+VLOOKUP(VLOOKUP(AW$1,main!$A$3:$I$56,7,FALSE),main!$K$10:$Q$14,4,FALSE),1,0)</f>
        <v>0</v>
      </c>
      <c r="AX76">
        <f>IF(VLOOKUP(AX$1,main!$A$3:$I$56,5,FALSE)-VLOOKUP($A76,main!$A$3:$I$56,6,FALSE)&gt;=VLOOKUP(56,main!$A$57:$I$59,4,FALSE)+VLOOKUP(VLOOKUP(AX$1,main!$A$3:$I$56,7,FALSE),main!$K$10:$Q$14,4,FALSE),1,0)</f>
        <v>1</v>
      </c>
      <c r="AY76">
        <f>IF(VLOOKUP(AY$1,main!$A$3:$I$56,5,FALSE)-VLOOKUP($A76,main!$A$3:$I$56,6,FALSE)&gt;=VLOOKUP(56,main!$A$57:$I$59,4,FALSE)+VLOOKUP(VLOOKUP(AY$1,main!$A$3:$I$56,7,FALSE),main!$K$10:$Q$14,4,FALSE),1,0)</f>
        <v>1</v>
      </c>
      <c r="AZ76">
        <f>IF(VLOOKUP(AZ$1,main!$A$3:$I$56,5,FALSE)-VLOOKUP($A76,main!$A$3:$I$56,6,FALSE)&gt;=VLOOKUP(56,main!$A$57:$I$59,4,FALSE)+VLOOKUP(VLOOKUP(AZ$1,main!$A$3:$I$56,7,FALSE),main!$K$10:$Q$14,4,FALSE),1,0)</f>
        <v>0</v>
      </c>
      <c r="BA76">
        <f>IF(VLOOKUP(BA$1,main!$A$3:$I$56,5,FALSE)-VLOOKUP($A76,main!$A$3:$I$56,6,FALSE)&gt;=VLOOKUP(56,main!$A$57:$I$59,4,FALSE)+VLOOKUP(VLOOKUP(BA$1,main!$A$3:$I$56,7,FALSE),main!$K$10:$Q$14,4,FALSE),1,0)</f>
        <v>0</v>
      </c>
      <c r="BB76">
        <f>IF(VLOOKUP(BB$1,main!$A$3:$I$56,5,FALSE)-VLOOKUP($A76,main!$A$3:$I$56,6,FALSE)&gt;=VLOOKUP(56,main!$A$57:$I$59,4,FALSE)+VLOOKUP(VLOOKUP(BB$1,main!$A$3:$I$56,7,FALSE),main!$K$10:$Q$14,4,FALSE),1,0)</f>
        <v>0</v>
      </c>
      <c r="BC76">
        <f>IF(VLOOKUP(BC$1,main!$A$3:$I$56,5,FALSE)-VLOOKUP($A76,main!$A$3:$I$56,6,FALSE)&gt;=VLOOKUP(56,main!$A$57:$I$59,4,FALSE)+VLOOKUP(VLOOKUP(BC$1,main!$A$3:$I$56,7,FALSE),main!$K$10:$Q$14,4,FALSE),1,0)</f>
        <v>1</v>
      </c>
      <c r="BD76">
        <f>IF(VLOOKUP(BD$1,main!$A$3:$I$56,5,FALSE)-VLOOKUP($A76,main!$A$3:$I$56,6,FALSE)&gt;=VLOOKUP(56,main!$A$57:$I$59,4,FALSE)+VLOOKUP(VLOOKUP(BD$1,main!$A$3:$I$56,7,FALSE),main!$K$10:$Q$14,4,FALSE),1,0)</f>
        <v>1</v>
      </c>
    </row>
    <row r="77" spans="1:56" x14ac:dyDescent="0.25">
      <c r="A77">
        <f t="shared" si="1"/>
        <v>20</v>
      </c>
      <c r="B77">
        <v>0</v>
      </c>
      <c r="C77">
        <f>IF(VLOOKUP(C$1,main!$A$3:$I$56,5,FALSE)-VLOOKUP($A77,main!$A$3:$I$56,6,FALSE)&gt;=VLOOKUP(56,main!$A$57:$I$59,4,FALSE)+VLOOKUP(VLOOKUP(C$1,main!$A$3:$I$56,7,FALSE),main!$K$10:$Q$14,4,FALSE),1,0)</f>
        <v>0</v>
      </c>
      <c r="D77">
        <f>IF(VLOOKUP(D$1,main!$A$3:$I$56,5,FALSE)-VLOOKUP($A77,main!$A$3:$I$56,6,FALSE)&gt;=VLOOKUP(56,main!$A$57:$I$59,4,FALSE)+VLOOKUP(VLOOKUP(D$1,main!$A$3:$I$56,7,FALSE),main!$K$10:$Q$14,4,FALSE),1,0)</f>
        <v>0</v>
      </c>
      <c r="E77">
        <f>IF(VLOOKUP(E$1,main!$A$3:$I$56,5,FALSE)-VLOOKUP($A77,main!$A$3:$I$56,6,FALSE)&gt;=VLOOKUP(56,main!$A$57:$I$59,4,FALSE)+VLOOKUP(VLOOKUP(E$1,main!$A$3:$I$56,7,FALSE),main!$K$10:$Q$14,4,FALSE),1,0)</f>
        <v>1</v>
      </c>
      <c r="F77">
        <f>IF(VLOOKUP(F$1,main!$A$3:$I$56,5,FALSE)-VLOOKUP($A77,main!$A$3:$I$56,6,FALSE)&gt;=VLOOKUP(56,main!$A$57:$I$59,4,FALSE)+VLOOKUP(VLOOKUP(F$1,main!$A$3:$I$56,7,FALSE),main!$K$10:$Q$14,4,FALSE),1,0)</f>
        <v>1</v>
      </c>
      <c r="G77">
        <f>IF(VLOOKUP(G$1,main!$A$3:$I$56,5,FALSE)-VLOOKUP($A77,main!$A$3:$I$56,6,FALSE)&gt;=VLOOKUP(56,main!$A$57:$I$59,4,FALSE)+VLOOKUP(VLOOKUP(G$1,main!$A$3:$I$56,7,FALSE),main!$K$10:$Q$14,4,FALSE),1,0)</f>
        <v>1</v>
      </c>
      <c r="H77">
        <f>IF(VLOOKUP(H$1,main!$A$3:$I$56,5,FALSE)-VLOOKUP($A77,main!$A$3:$I$56,6,FALSE)&gt;=VLOOKUP(56,main!$A$57:$I$59,4,FALSE)+VLOOKUP(VLOOKUP(H$1,main!$A$3:$I$56,7,FALSE),main!$K$10:$Q$14,4,FALSE),1,0)</f>
        <v>1</v>
      </c>
      <c r="I77">
        <f>IF(VLOOKUP(I$1,main!$A$3:$I$56,5,FALSE)-VLOOKUP($A77,main!$A$3:$I$56,6,FALSE)&gt;=VLOOKUP(56,main!$A$57:$I$59,4,FALSE)+VLOOKUP(VLOOKUP(I$1,main!$A$3:$I$56,7,FALSE),main!$K$10:$Q$14,4,FALSE),1,0)</f>
        <v>1</v>
      </c>
      <c r="J77">
        <f>IF(VLOOKUP(J$1,main!$A$3:$I$56,5,FALSE)-VLOOKUP($A77,main!$A$3:$I$56,6,FALSE)&gt;=VLOOKUP(56,main!$A$57:$I$59,4,FALSE)+VLOOKUP(VLOOKUP(J$1,main!$A$3:$I$56,7,FALSE),main!$K$10:$Q$14,4,FALSE),1,0)</f>
        <v>1</v>
      </c>
      <c r="K77">
        <f>IF(VLOOKUP(K$1,main!$A$3:$I$56,5,FALSE)-VLOOKUP($A77,main!$A$3:$I$56,6,FALSE)&gt;=VLOOKUP(56,main!$A$57:$I$59,4,FALSE)+VLOOKUP(VLOOKUP(K$1,main!$A$3:$I$56,7,FALSE),main!$K$10:$Q$14,4,FALSE),1,0)</f>
        <v>0</v>
      </c>
      <c r="L77">
        <f>IF(VLOOKUP(L$1,main!$A$3:$I$56,5,FALSE)-VLOOKUP($A77,main!$A$3:$I$56,6,FALSE)&gt;=VLOOKUP(56,main!$A$57:$I$59,4,FALSE)+VLOOKUP(VLOOKUP(L$1,main!$A$3:$I$56,7,FALSE),main!$K$10:$Q$14,4,FALSE),1,0)</f>
        <v>0</v>
      </c>
      <c r="M77">
        <f>IF(VLOOKUP(M$1,main!$A$3:$I$56,5,FALSE)-VLOOKUP($A77,main!$A$3:$I$56,6,FALSE)&gt;=VLOOKUP(56,main!$A$57:$I$59,4,FALSE)+VLOOKUP(VLOOKUP(M$1,main!$A$3:$I$56,7,FALSE),main!$K$10:$Q$14,4,FALSE),1,0)</f>
        <v>0</v>
      </c>
      <c r="N77">
        <f>IF(VLOOKUP(N$1,main!$A$3:$I$56,5,FALSE)-VLOOKUP($A77,main!$A$3:$I$56,6,FALSE)&gt;=VLOOKUP(56,main!$A$57:$I$59,4,FALSE)+VLOOKUP(VLOOKUP(N$1,main!$A$3:$I$56,7,FALSE),main!$K$10:$Q$14,4,FALSE),1,0)</f>
        <v>1</v>
      </c>
      <c r="O77">
        <f>IF(VLOOKUP(O$1,main!$A$3:$I$56,5,FALSE)-VLOOKUP($A77,main!$A$3:$I$56,6,FALSE)&gt;=VLOOKUP(56,main!$A$57:$I$59,4,FALSE)+VLOOKUP(VLOOKUP(O$1,main!$A$3:$I$56,7,FALSE),main!$K$10:$Q$14,4,FALSE),1,0)</f>
        <v>1</v>
      </c>
      <c r="P77">
        <f>IF(VLOOKUP(P$1,main!$A$3:$I$56,5,FALSE)-VLOOKUP($A77,main!$A$3:$I$56,6,FALSE)&gt;=VLOOKUP(56,main!$A$57:$I$59,4,FALSE)+VLOOKUP(VLOOKUP(P$1,main!$A$3:$I$56,7,FALSE),main!$K$10:$Q$14,4,FALSE),1,0)</f>
        <v>0</v>
      </c>
      <c r="Q77">
        <f>IF(VLOOKUP(Q$1,main!$A$3:$I$56,5,FALSE)-VLOOKUP($A77,main!$A$3:$I$56,6,FALSE)&gt;=VLOOKUP(56,main!$A$57:$I$59,4,FALSE)+VLOOKUP(VLOOKUP(Q$1,main!$A$3:$I$56,7,FALSE),main!$K$10:$Q$14,4,FALSE),1,0)</f>
        <v>0</v>
      </c>
      <c r="R77">
        <f>IF(VLOOKUP(R$1,main!$A$3:$I$56,5,FALSE)-VLOOKUP($A77,main!$A$3:$I$56,6,FALSE)&gt;=VLOOKUP(56,main!$A$57:$I$59,4,FALSE)+VLOOKUP(VLOOKUP(R$1,main!$A$3:$I$56,7,FALSE),main!$K$10:$Q$14,4,FALSE),1,0)</f>
        <v>0</v>
      </c>
      <c r="S77">
        <f>IF(VLOOKUP(S$1,main!$A$3:$I$56,5,FALSE)-VLOOKUP($A77,main!$A$3:$I$56,6,FALSE)&gt;=VLOOKUP(56,main!$A$57:$I$59,4,FALSE)+VLOOKUP(VLOOKUP(S$1,main!$A$3:$I$56,7,FALSE),main!$K$10:$Q$14,4,FALSE),1,0)</f>
        <v>1</v>
      </c>
      <c r="T77">
        <f>IF(VLOOKUP(T$1,main!$A$3:$I$56,5,FALSE)-VLOOKUP($A77,main!$A$3:$I$56,6,FALSE)&gt;=VLOOKUP(56,main!$A$57:$I$59,4,FALSE)+VLOOKUP(VLOOKUP(T$1,main!$A$3:$I$56,7,FALSE),main!$K$10:$Q$14,4,FALSE),1,0)</f>
        <v>1</v>
      </c>
      <c r="U77">
        <f>IF(VLOOKUP(U$1,main!$A$3:$I$56,5,FALSE)-VLOOKUP($A77,main!$A$3:$I$56,6,FALSE)&gt;=VLOOKUP(56,main!$A$57:$I$59,4,FALSE)+VLOOKUP(VLOOKUP(U$1,main!$A$3:$I$56,7,FALSE),main!$K$10:$Q$14,4,FALSE),1,0)</f>
        <v>0</v>
      </c>
      <c r="V77">
        <f>IF(VLOOKUP(V$1,main!$A$3:$I$56,5,FALSE)-VLOOKUP($A77,main!$A$3:$I$56,6,FALSE)&gt;=VLOOKUP(56,main!$A$57:$I$59,4,FALSE)+VLOOKUP(VLOOKUP(V$1,main!$A$3:$I$56,7,FALSE),main!$K$10:$Q$14,4,FALSE),1,0)</f>
        <v>0</v>
      </c>
      <c r="W77">
        <f>IF(VLOOKUP(W$1,main!$A$3:$I$56,5,FALSE)-VLOOKUP($A77,main!$A$3:$I$56,6,FALSE)&gt;=VLOOKUP(56,main!$A$57:$I$59,4,FALSE)+VLOOKUP(VLOOKUP(W$1,main!$A$3:$I$56,7,FALSE),main!$K$10:$Q$14,4,FALSE),1,0)</f>
        <v>0</v>
      </c>
      <c r="X77">
        <f>IF(VLOOKUP(X$1,main!$A$3:$I$56,5,FALSE)-VLOOKUP($A77,main!$A$3:$I$56,6,FALSE)&gt;=VLOOKUP(56,main!$A$57:$I$59,4,FALSE)+VLOOKUP(VLOOKUP(X$1,main!$A$3:$I$56,7,FALSE),main!$K$10:$Q$14,4,FALSE),1,0)</f>
        <v>0</v>
      </c>
      <c r="Y77">
        <f>IF(VLOOKUP(Y$1,main!$A$3:$I$56,5,FALSE)-VLOOKUP($A77,main!$A$3:$I$56,6,FALSE)&gt;=VLOOKUP(56,main!$A$57:$I$59,4,FALSE)+VLOOKUP(VLOOKUP(Y$1,main!$A$3:$I$56,7,FALSE),main!$K$10:$Q$14,4,FALSE),1,0)</f>
        <v>0</v>
      </c>
      <c r="Z77">
        <f>IF(VLOOKUP(Z$1,main!$A$3:$I$56,5,FALSE)-VLOOKUP($A77,main!$A$3:$I$56,6,FALSE)&gt;=VLOOKUP(56,main!$A$57:$I$59,4,FALSE)+VLOOKUP(VLOOKUP(Z$1,main!$A$3:$I$56,7,FALSE),main!$K$10:$Q$14,4,FALSE),1,0)</f>
        <v>1</v>
      </c>
      <c r="AA77">
        <f>IF(VLOOKUP(AA$1,main!$A$3:$I$56,5,FALSE)-VLOOKUP($A77,main!$A$3:$I$56,6,FALSE)&gt;=VLOOKUP(56,main!$A$57:$I$59,4,FALSE)+VLOOKUP(VLOOKUP(AA$1,main!$A$3:$I$56,7,FALSE),main!$K$10:$Q$14,4,FALSE),1,0)</f>
        <v>1</v>
      </c>
      <c r="AB77">
        <f>IF(VLOOKUP(AB$1,main!$A$3:$I$56,5,FALSE)-VLOOKUP($A77,main!$A$3:$I$56,6,FALSE)&gt;=VLOOKUP(56,main!$A$57:$I$59,4,FALSE)+VLOOKUP(VLOOKUP(AB$1,main!$A$3:$I$56,7,FALSE),main!$K$10:$Q$14,4,FALSE),1,0)</f>
        <v>1</v>
      </c>
      <c r="AC77">
        <f>IF(VLOOKUP(AC$1,main!$A$3:$I$56,5,FALSE)-VLOOKUP($A77,main!$A$3:$I$56,6,FALSE)&gt;=VLOOKUP(56,main!$A$57:$I$59,4,FALSE)+VLOOKUP(VLOOKUP(AC$1,main!$A$3:$I$56,7,FALSE),main!$K$10:$Q$14,4,FALSE),1,0)</f>
        <v>0</v>
      </c>
      <c r="AD77">
        <f>IF(VLOOKUP(AD$1,main!$A$3:$I$56,5,FALSE)-VLOOKUP($A77,main!$A$3:$I$56,6,FALSE)&gt;=VLOOKUP(56,main!$A$57:$I$59,4,FALSE)+VLOOKUP(VLOOKUP(AD$1,main!$A$3:$I$56,7,FALSE),main!$K$10:$Q$14,4,FALSE),1,0)</f>
        <v>0</v>
      </c>
      <c r="AE77">
        <f>IF(VLOOKUP(AE$1,main!$A$3:$I$56,5,FALSE)-VLOOKUP($A77,main!$A$3:$I$56,6,FALSE)&gt;=VLOOKUP(56,main!$A$57:$I$59,4,FALSE)+VLOOKUP(VLOOKUP(AE$1,main!$A$3:$I$56,7,FALSE),main!$K$10:$Q$14,4,FALSE),1,0)</f>
        <v>0</v>
      </c>
      <c r="AF77">
        <f>IF(VLOOKUP(AF$1,main!$A$3:$I$56,5,FALSE)-VLOOKUP($A77,main!$A$3:$I$56,6,FALSE)&gt;=VLOOKUP(56,main!$A$57:$I$59,4,FALSE)+VLOOKUP(VLOOKUP(AF$1,main!$A$3:$I$56,7,FALSE),main!$K$10:$Q$14,4,FALSE),1,0)</f>
        <v>0</v>
      </c>
      <c r="AG77">
        <f>IF(VLOOKUP(AG$1,main!$A$3:$I$56,5,FALSE)-VLOOKUP($A77,main!$A$3:$I$56,6,FALSE)&gt;=VLOOKUP(56,main!$A$57:$I$59,4,FALSE)+VLOOKUP(VLOOKUP(AG$1,main!$A$3:$I$56,7,FALSE),main!$K$10:$Q$14,4,FALSE),1,0)</f>
        <v>0</v>
      </c>
      <c r="AH77">
        <f>IF(VLOOKUP(AH$1,main!$A$3:$I$56,5,FALSE)-VLOOKUP($A77,main!$A$3:$I$56,6,FALSE)&gt;=VLOOKUP(56,main!$A$57:$I$59,4,FALSE)+VLOOKUP(VLOOKUP(AH$1,main!$A$3:$I$56,7,FALSE),main!$K$10:$Q$14,4,FALSE),1,0)</f>
        <v>0</v>
      </c>
      <c r="AI77">
        <f>IF(VLOOKUP(AI$1,main!$A$3:$I$56,5,FALSE)-VLOOKUP($A77,main!$A$3:$I$56,6,FALSE)&gt;=VLOOKUP(56,main!$A$57:$I$59,4,FALSE)+VLOOKUP(VLOOKUP(AI$1,main!$A$3:$I$56,7,FALSE),main!$K$10:$Q$14,4,FALSE),1,0)</f>
        <v>0</v>
      </c>
      <c r="AJ77">
        <f>IF(VLOOKUP(AJ$1,main!$A$3:$I$56,5,FALSE)-VLOOKUP($A77,main!$A$3:$I$56,6,FALSE)&gt;=VLOOKUP(56,main!$A$57:$I$59,4,FALSE)+VLOOKUP(VLOOKUP(AJ$1,main!$A$3:$I$56,7,FALSE),main!$K$10:$Q$14,4,FALSE),1,0)</f>
        <v>0</v>
      </c>
      <c r="AK77">
        <f>IF(VLOOKUP(AK$1,main!$A$3:$I$56,5,FALSE)-VLOOKUP($A77,main!$A$3:$I$56,6,FALSE)&gt;=VLOOKUP(56,main!$A$57:$I$59,4,FALSE)+VLOOKUP(VLOOKUP(AK$1,main!$A$3:$I$56,7,FALSE),main!$K$10:$Q$14,4,FALSE),1,0)</f>
        <v>1</v>
      </c>
      <c r="AL77">
        <f>IF(VLOOKUP(AL$1,main!$A$3:$I$56,5,FALSE)-VLOOKUP($A77,main!$A$3:$I$56,6,FALSE)&gt;=VLOOKUP(56,main!$A$57:$I$59,4,FALSE)+VLOOKUP(VLOOKUP(AL$1,main!$A$3:$I$56,7,FALSE),main!$K$10:$Q$14,4,FALSE),1,0)</f>
        <v>0</v>
      </c>
      <c r="AM77">
        <f>IF(VLOOKUP(AM$1,main!$A$3:$I$56,5,FALSE)-VLOOKUP($A77,main!$A$3:$I$56,6,FALSE)&gt;=VLOOKUP(56,main!$A$57:$I$59,4,FALSE)+VLOOKUP(VLOOKUP(AM$1,main!$A$3:$I$56,7,FALSE),main!$K$10:$Q$14,4,FALSE),1,0)</f>
        <v>0</v>
      </c>
      <c r="AN77">
        <f>IF(VLOOKUP(AN$1,main!$A$3:$I$56,5,FALSE)-VLOOKUP($A77,main!$A$3:$I$56,6,FALSE)&gt;=VLOOKUP(56,main!$A$57:$I$59,4,FALSE)+VLOOKUP(VLOOKUP(AN$1,main!$A$3:$I$56,7,FALSE),main!$K$10:$Q$14,4,FALSE),1,0)</f>
        <v>0</v>
      </c>
      <c r="AO77">
        <f>IF(VLOOKUP(AO$1,main!$A$3:$I$56,5,FALSE)-VLOOKUP($A77,main!$A$3:$I$56,6,FALSE)&gt;=VLOOKUP(56,main!$A$57:$I$59,4,FALSE)+VLOOKUP(VLOOKUP(AO$1,main!$A$3:$I$56,7,FALSE),main!$K$10:$Q$14,4,FALSE),1,0)</f>
        <v>0</v>
      </c>
      <c r="AP77">
        <f>IF(VLOOKUP(AP$1,main!$A$3:$I$56,5,FALSE)-VLOOKUP($A77,main!$A$3:$I$56,6,FALSE)&gt;=VLOOKUP(56,main!$A$57:$I$59,4,FALSE)+VLOOKUP(VLOOKUP(AP$1,main!$A$3:$I$56,7,FALSE),main!$K$10:$Q$14,4,FALSE),1,0)</f>
        <v>0</v>
      </c>
      <c r="AQ77">
        <f>IF(VLOOKUP(AQ$1,main!$A$3:$I$56,5,FALSE)-VLOOKUP($A77,main!$A$3:$I$56,6,FALSE)&gt;=VLOOKUP(56,main!$A$57:$I$59,4,FALSE)+VLOOKUP(VLOOKUP(AQ$1,main!$A$3:$I$56,7,FALSE),main!$K$10:$Q$14,4,FALSE),1,0)</f>
        <v>0</v>
      </c>
      <c r="AR77">
        <f>IF(VLOOKUP(AR$1,main!$A$3:$I$56,5,FALSE)-VLOOKUP($A77,main!$A$3:$I$56,6,FALSE)&gt;=VLOOKUP(56,main!$A$57:$I$59,4,FALSE)+VLOOKUP(VLOOKUP(AR$1,main!$A$3:$I$56,7,FALSE),main!$K$10:$Q$14,4,FALSE),1,0)</f>
        <v>0</v>
      </c>
      <c r="AS77">
        <f>IF(VLOOKUP(AS$1,main!$A$3:$I$56,5,FALSE)-VLOOKUP($A77,main!$A$3:$I$56,6,FALSE)&gt;=VLOOKUP(56,main!$A$57:$I$59,4,FALSE)+VLOOKUP(VLOOKUP(AS$1,main!$A$3:$I$56,7,FALSE),main!$K$10:$Q$14,4,FALSE),1,0)</f>
        <v>0</v>
      </c>
      <c r="AT77">
        <f>IF(VLOOKUP(AT$1,main!$A$3:$I$56,5,FALSE)-VLOOKUP($A77,main!$A$3:$I$56,6,FALSE)&gt;=VLOOKUP(56,main!$A$57:$I$59,4,FALSE)+VLOOKUP(VLOOKUP(AT$1,main!$A$3:$I$56,7,FALSE),main!$K$10:$Q$14,4,FALSE),1,0)</f>
        <v>0</v>
      </c>
      <c r="AU77">
        <f>IF(VLOOKUP(AU$1,main!$A$3:$I$56,5,FALSE)-VLOOKUP($A77,main!$A$3:$I$56,6,FALSE)&gt;=VLOOKUP(56,main!$A$57:$I$59,4,FALSE)+VLOOKUP(VLOOKUP(AU$1,main!$A$3:$I$56,7,FALSE),main!$K$10:$Q$14,4,FALSE),1,0)</f>
        <v>0</v>
      </c>
      <c r="AV77">
        <f>IF(VLOOKUP(AV$1,main!$A$3:$I$56,5,FALSE)-VLOOKUP($A77,main!$A$3:$I$56,6,FALSE)&gt;=VLOOKUP(56,main!$A$57:$I$59,4,FALSE)+VLOOKUP(VLOOKUP(AV$1,main!$A$3:$I$56,7,FALSE),main!$K$10:$Q$14,4,FALSE),1,0)</f>
        <v>0</v>
      </c>
      <c r="AW77">
        <f>IF(VLOOKUP(AW$1,main!$A$3:$I$56,5,FALSE)-VLOOKUP($A77,main!$A$3:$I$56,6,FALSE)&gt;=VLOOKUP(56,main!$A$57:$I$59,4,FALSE)+VLOOKUP(VLOOKUP(AW$1,main!$A$3:$I$56,7,FALSE),main!$K$10:$Q$14,4,FALSE),1,0)</f>
        <v>0</v>
      </c>
      <c r="AX77">
        <f>IF(VLOOKUP(AX$1,main!$A$3:$I$56,5,FALSE)-VLOOKUP($A77,main!$A$3:$I$56,6,FALSE)&gt;=VLOOKUP(56,main!$A$57:$I$59,4,FALSE)+VLOOKUP(VLOOKUP(AX$1,main!$A$3:$I$56,7,FALSE),main!$K$10:$Q$14,4,FALSE),1,0)</f>
        <v>0</v>
      </c>
      <c r="AY77">
        <f>IF(VLOOKUP(AY$1,main!$A$3:$I$56,5,FALSE)-VLOOKUP($A77,main!$A$3:$I$56,6,FALSE)&gt;=VLOOKUP(56,main!$A$57:$I$59,4,FALSE)+VLOOKUP(VLOOKUP(AY$1,main!$A$3:$I$56,7,FALSE),main!$K$10:$Q$14,4,FALSE),1,0)</f>
        <v>1</v>
      </c>
      <c r="AZ77">
        <f>IF(VLOOKUP(AZ$1,main!$A$3:$I$56,5,FALSE)-VLOOKUP($A77,main!$A$3:$I$56,6,FALSE)&gt;=VLOOKUP(56,main!$A$57:$I$59,4,FALSE)+VLOOKUP(VLOOKUP(AZ$1,main!$A$3:$I$56,7,FALSE),main!$K$10:$Q$14,4,FALSE),1,0)</f>
        <v>0</v>
      </c>
      <c r="BA77">
        <f>IF(VLOOKUP(BA$1,main!$A$3:$I$56,5,FALSE)-VLOOKUP($A77,main!$A$3:$I$56,6,FALSE)&gt;=VLOOKUP(56,main!$A$57:$I$59,4,FALSE)+VLOOKUP(VLOOKUP(BA$1,main!$A$3:$I$56,7,FALSE),main!$K$10:$Q$14,4,FALSE),1,0)</f>
        <v>0</v>
      </c>
      <c r="BB77">
        <f>IF(VLOOKUP(BB$1,main!$A$3:$I$56,5,FALSE)-VLOOKUP($A77,main!$A$3:$I$56,6,FALSE)&gt;=VLOOKUP(56,main!$A$57:$I$59,4,FALSE)+VLOOKUP(VLOOKUP(BB$1,main!$A$3:$I$56,7,FALSE),main!$K$10:$Q$14,4,FALSE),1,0)</f>
        <v>0</v>
      </c>
      <c r="BC77">
        <f>IF(VLOOKUP(BC$1,main!$A$3:$I$56,5,FALSE)-VLOOKUP($A77,main!$A$3:$I$56,6,FALSE)&gt;=VLOOKUP(56,main!$A$57:$I$59,4,FALSE)+VLOOKUP(VLOOKUP(BC$1,main!$A$3:$I$56,7,FALSE),main!$K$10:$Q$14,4,FALSE),1,0)</f>
        <v>0</v>
      </c>
      <c r="BD77">
        <f>IF(VLOOKUP(BD$1,main!$A$3:$I$56,5,FALSE)-VLOOKUP($A77,main!$A$3:$I$56,6,FALSE)&gt;=VLOOKUP(56,main!$A$57:$I$59,4,FALSE)+VLOOKUP(VLOOKUP(BD$1,main!$A$3:$I$56,7,FALSE),main!$K$10:$Q$14,4,FALSE),1,0)</f>
        <v>0</v>
      </c>
    </row>
    <row r="78" spans="1:56" x14ac:dyDescent="0.25">
      <c r="A78">
        <f t="shared" si="1"/>
        <v>21</v>
      </c>
      <c r="B78">
        <v>0</v>
      </c>
      <c r="C78">
        <f>IF(VLOOKUP(C$1,main!$A$3:$I$56,5,FALSE)-VLOOKUP($A78,main!$A$3:$I$56,6,FALSE)&gt;=VLOOKUP(56,main!$A$57:$I$59,4,FALSE)+VLOOKUP(VLOOKUP(C$1,main!$A$3:$I$56,7,FALSE),main!$K$10:$Q$14,4,FALSE),1,0)</f>
        <v>0</v>
      </c>
      <c r="D78">
        <f>IF(VLOOKUP(D$1,main!$A$3:$I$56,5,FALSE)-VLOOKUP($A78,main!$A$3:$I$56,6,FALSE)&gt;=VLOOKUP(56,main!$A$57:$I$59,4,FALSE)+VLOOKUP(VLOOKUP(D$1,main!$A$3:$I$56,7,FALSE),main!$K$10:$Q$14,4,FALSE),1,0)</f>
        <v>0</v>
      </c>
      <c r="E78">
        <f>IF(VLOOKUP(E$1,main!$A$3:$I$56,5,FALSE)-VLOOKUP($A78,main!$A$3:$I$56,6,FALSE)&gt;=VLOOKUP(56,main!$A$57:$I$59,4,FALSE)+VLOOKUP(VLOOKUP(E$1,main!$A$3:$I$56,7,FALSE),main!$K$10:$Q$14,4,FALSE),1,0)</f>
        <v>0</v>
      </c>
      <c r="F78">
        <f>IF(VLOOKUP(F$1,main!$A$3:$I$56,5,FALSE)-VLOOKUP($A78,main!$A$3:$I$56,6,FALSE)&gt;=VLOOKUP(56,main!$A$57:$I$59,4,FALSE)+VLOOKUP(VLOOKUP(F$1,main!$A$3:$I$56,7,FALSE),main!$K$10:$Q$14,4,FALSE),1,0)</f>
        <v>1</v>
      </c>
      <c r="G78">
        <f>IF(VLOOKUP(G$1,main!$A$3:$I$56,5,FALSE)-VLOOKUP($A78,main!$A$3:$I$56,6,FALSE)&gt;=VLOOKUP(56,main!$A$57:$I$59,4,FALSE)+VLOOKUP(VLOOKUP(G$1,main!$A$3:$I$56,7,FALSE),main!$K$10:$Q$14,4,FALSE),1,0)</f>
        <v>1</v>
      </c>
      <c r="H78">
        <f>IF(VLOOKUP(H$1,main!$A$3:$I$56,5,FALSE)-VLOOKUP($A78,main!$A$3:$I$56,6,FALSE)&gt;=VLOOKUP(56,main!$A$57:$I$59,4,FALSE)+VLOOKUP(VLOOKUP(H$1,main!$A$3:$I$56,7,FALSE),main!$K$10:$Q$14,4,FALSE),1,0)</f>
        <v>1</v>
      </c>
      <c r="I78">
        <f>IF(VLOOKUP(I$1,main!$A$3:$I$56,5,FALSE)-VLOOKUP($A78,main!$A$3:$I$56,6,FALSE)&gt;=VLOOKUP(56,main!$A$57:$I$59,4,FALSE)+VLOOKUP(VLOOKUP(I$1,main!$A$3:$I$56,7,FALSE),main!$K$10:$Q$14,4,FALSE),1,0)</f>
        <v>1</v>
      </c>
      <c r="J78">
        <f>IF(VLOOKUP(J$1,main!$A$3:$I$56,5,FALSE)-VLOOKUP($A78,main!$A$3:$I$56,6,FALSE)&gt;=VLOOKUP(56,main!$A$57:$I$59,4,FALSE)+VLOOKUP(VLOOKUP(J$1,main!$A$3:$I$56,7,FALSE),main!$K$10:$Q$14,4,FALSE),1,0)</f>
        <v>1</v>
      </c>
      <c r="K78">
        <f>IF(VLOOKUP(K$1,main!$A$3:$I$56,5,FALSE)-VLOOKUP($A78,main!$A$3:$I$56,6,FALSE)&gt;=VLOOKUP(56,main!$A$57:$I$59,4,FALSE)+VLOOKUP(VLOOKUP(K$1,main!$A$3:$I$56,7,FALSE),main!$K$10:$Q$14,4,FALSE),1,0)</f>
        <v>0</v>
      </c>
      <c r="L78">
        <f>IF(VLOOKUP(L$1,main!$A$3:$I$56,5,FALSE)-VLOOKUP($A78,main!$A$3:$I$56,6,FALSE)&gt;=VLOOKUP(56,main!$A$57:$I$59,4,FALSE)+VLOOKUP(VLOOKUP(L$1,main!$A$3:$I$56,7,FALSE),main!$K$10:$Q$14,4,FALSE),1,0)</f>
        <v>0</v>
      </c>
      <c r="M78">
        <f>IF(VLOOKUP(M$1,main!$A$3:$I$56,5,FALSE)-VLOOKUP($A78,main!$A$3:$I$56,6,FALSE)&gt;=VLOOKUP(56,main!$A$57:$I$59,4,FALSE)+VLOOKUP(VLOOKUP(M$1,main!$A$3:$I$56,7,FALSE),main!$K$10:$Q$14,4,FALSE),1,0)</f>
        <v>0</v>
      </c>
      <c r="N78">
        <f>IF(VLOOKUP(N$1,main!$A$3:$I$56,5,FALSE)-VLOOKUP($A78,main!$A$3:$I$56,6,FALSE)&gt;=VLOOKUP(56,main!$A$57:$I$59,4,FALSE)+VLOOKUP(VLOOKUP(N$1,main!$A$3:$I$56,7,FALSE),main!$K$10:$Q$14,4,FALSE),1,0)</f>
        <v>1</v>
      </c>
      <c r="O78">
        <f>IF(VLOOKUP(O$1,main!$A$3:$I$56,5,FALSE)-VLOOKUP($A78,main!$A$3:$I$56,6,FALSE)&gt;=VLOOKUP(56,main!$A$57:$I$59,4,FALSE)+VLOOKUP(VLOOKUP(O$1,main!$A$3:$I$56,7,FALSE),main!$K$10:$Q$14,4,FALSE),1,0)</f>
        <v>1</v>
      </c>
      <c r="P78">
        <f>IF(VLOOKUP(P$1,main!$A$3:$I$56,5,FALSE)-VLOOKUP($A78,main!$A$3:$I$56,6,FALSE)&gt;=VLOOKUP(56,main!$A$57:$I$59,4,FALSE)+VLOOKUP(VLOOKUP(P$1,main!$A$3:$I$56,7,FALSE),main!$K$10:$Q$14,4,FALSE),1,0)</f>
        <v>0</v>
      </c>
      <c r="Q78">
        <f>IF(VLOOKUP(Q$1,main!$A$3:$I$56,5,FALSE)-VLOOKUP($A78,main!$A$3:$I$56,6,FALSE)&gt;=VLOOKUP(56,main!$A$57:$I$59,4,FALSE)+VLOOKUP(VLOOKUP(Q$1,main!$A$3:$I$56,7,FALSE),main!$K$10:$Q$14,4,FALSE),1,0)</f>
        <v>0</v>
      </c>
      <c r="R78">
        <f>IF(VLOOKUP(R$1,main!$A$3:$I$56,5,FALSE)-VLOOKUP($A78,main!$A$3:$I$56,6,FALSE)&gt;=VLOOKUP(56,main!$A$57:$I$59,4,FALSE)+VLOOKUP(VLOOKUP(R$1,main!$A$3:$I$56,7,FALSE),main!$K$10:$Q$14,4,FALSE),1,0)</f>
        <v>0</v>
      </c>
      <c r="S78">
        <f>IF(VLOOKUP(S$1,main!$A$3:$I$56,5,FALSE)-VLOOKUP($A78,main!$A$3:$I$56,6,FALSE)&gt;=VLOOKUP(56,main!$A$57:$I$59,4,FALSE)+VLOOKUP(VLOOKUP(S$1,main!$A$3:$I$56,7,FALSE),main!$K$10:$Q$14,4,FALSE),1,0)</f>
        <v>1</v>
      </c>
      <c r="T78">
        <f>IF(VLOOKUP(T$1,main!$A$3:$I$56,5,FALSE)-VLOOKUP($A78,main!$A$3:$I$56,6,FALSE)&gt;=VLOOKUP(56,main!$A$57:$I$59,4,FALSE)+VLOOKUP(VLOOKUP(T$1,main!$A$3:$I$56,7,FALSE),main!$K$10:$Q$14,4,FALSE),1,0)</f>
        <v>1</v>
      </c>
      <c r="U78">
        <f>IF(VLOOKUP(U$1,main!$A$3:$I$56,5,FALSE)-VLOOKUP($A78,main!$A$3:$I$56,6,FALSE)&gt;=VLOOKUP(56,main!$A$57:$I$59,4,FALSE)+VLOOKUP(VLOOKUP(U$1,main!$A$3:$I$56,7,FALSE),main!$K$10:$Q$14,4,FALSE),1,0)</f>
        <v>0</v>
      </c>
      <c r="V78">
        <f>IF(VLOOKUP(V$1,main!$A$3:$I$56,5,FALSE)-VLOOKUP($A78,main!$A$3:$I$56,6,FALSE)&gt;=VLOOKUP(56,main!$A$57:$I$59,4,FALSE)+VLOOKUP(VLOOKUP(V$1,main!$A$3:$I$56,7,FALSE),main!$K$10:$Q$14,4,FALSE),1,0)</f>
        <v>0</v>
      </c>
      <c r="W78">
        <f>IF(VLOOKUP(W$1,main!$A$3:$I$56,5,FALSE)-VLOOKUP($A78,main!$A$3:$I$56,6,FALSE)&gt;=VLOOKUP(56,main!$A$57:$I$59,4,FALSE)+VLOOKUP(VLOOKUP(W$1,main!$A$3:$I$56,7,FALSE),main!$K$10:$Q$14,4,FALSE),1,0)</f>
        <v>0</v>
      </c>
      <c r="X78">
        <f>IF(VLOOKUP(X$1,main!$A$3:$I$56,5,FALSE)-VLOOKUP($A78,main!$A$3:$I$56,6,FALSE)&gt;=VLOOKUP(56,main!$A$57:$I$59,4,FALSE)+VLOOKUP(VLOOKUP(X$1,main!$A$3:$I$56,7,FALSE),main!$K$10:$Q$14,4,FALSE),1,0)</f>
        <v>0</v>
      </c>
      <c r="Y78">
        <f>IF(VLOOKUP(Y$1,main!$A$3:$I$56,5,FALSE)-VLOOKUP($A78,main!$A$3:$I$56,6,FALSE)&gt;=VLOOKUP(56,main!$A$57:$I$59,4,FALSE)+VLOOKUP(VLOOKUP(Y$1,main!$A$3:$I$56,7,FALSE),main!$K$10:$Q$14,4,FALSE),1,0)</f>
        <v>0</v>
      </c>
      <c r="Z78">
        <f>IF(VLOOKUP(Z$1,main!$A$3:$I$56,5,FALSE)-VLOOKUP($A78,main!$A$3:$I$56,6,FALSE)&gt;=VLOOKUP(56,main!$A$57:$I$59,4,FALSE)+VLOOKUP(VLOOKUP(Z$1,main!$A$3:$I$56,7,FALSE),main!$K$10:$Q$14,4,FALSE),1,0)</f>
        <v>0</v>
      </c>
      <c r="AA78">
        <f>IF(VLOOKUP(AA$1,main!$A$3:$I$56,5,FALSE)-VLOOKUP($A78,main!$A$3:$I$56,6,FALSE)&gt;=VLOOKUP(56,main!$A$57:$I$59,4,FALSE)+VLOOKUP(VLOOKUP(AA$1,main!$A$3:$I$56,7,FALSE),main!$K$10:$Q$14,4,FALSE),1,0)</f>
        <v>1</v>
      </c>
      <c r="AB78">
        <f>IF(VLOOKUP(AB$1,main!$A$3:$I$56,5,FALSE)-VLOOKUP($A78,main!$A$3:$I$56,6,FALSE)&gt;=VLOOKUP(56,main!$A$57:$I$59,4,FALSE)+VLOOKUP(VLOOKUP(AB$1,main!$A$3:$I$56,7,FALSE),main!$K$10:$Q$14,4,FALSE),1,0)</f>
        <v>1</v>
      </c>
      <c r="AC78">
        <f>IF(VLOOKUP(AC$1,main!$A$3:$I$56,5,FALSE)-VLOOKUP($A78,main!$A$3:$I$56,6,FALSE)&gt;=VLOOKUP(56,main!$A$57:$I$59,4,FALSE)+VLOOKUP(VLOOKUP(AC$1,main!$A$3:$I$56,7,FALSE),main!$K$10:$Q$14,4,FALSE),1,0)</f>
        <v>0</v>
      </c>
      <c r="AD78">
        <f>IF(VLOOKUP(AD$1,main!$A$3:$I$56,5,FALSE)-VLOOKUP($A78,main!$A$3:$I$56,6,FALSE)&gt;=VLOOKUP(56,main!$A$57:$I$59,4,FALSE)+VLOOKUP(VLOOKUP(AD$1,main!$A$3:$I$56,7,FALSE),main!$K$10:$Q$14,4,FALSE),1,0)</f>
        <v>0</v>
      </c>
      <c r="AE78">
        <f>IF(VLOOKUP(AE$1,main!$A$3:$I$56,5,FALSE)-VLOOKUP($A78,main!$A$3:$I$56,6,FALSE)&gt;=VLOOKUP(56,main!$A$57:$I$59,4,FALSE)+VLOOKUP(VLOOKUP(AE$1,main!$A$3:$I$56,7,FALSE),main!$K$10:$Q$14,4,FALSE),1,0)</f>
        <v>0</v>
      </c>
      <c r="AF78">
        <f>IF(VLOOKUP(AF$1,main!$A$3:$I$56,5,FALSE)-VLOOKUP($A78,main!$A$3:$I$56,6,FALSE)&gt;=VLOOKUP(56,main!$A$57:$I$59,4,FALSE)+VLOOKUP(VLOOKUP(AF$1,main!$A$3:$I$56,7,FALSE),main!$K$10:$Q$14,4,FALSE),1,0)</f>
        <v>0</v>
      </c>
      <c r="AG78">
        <f>IF(VLOOKUP(AG$1,main!$A$3:$I$56,5,FALSE)-VLOOKUP($A78,main!$A$3:$I$56,6,FALSE)&gt;=VLOOKUP(56,main!$A$57:$I$59,4,FALSE)+VLOOKUP(VLOOKUP(AG$1,main!$A$3:$I$56,7,FALSE),main!$K$10:$Q$14,4,FALSE),1,0)</f>
        <v>0</v>
      </c>
      <c r="AH78">
        <f>IF(VLOOKUP(AH$1,main!$A$3:$I$56,5,FALSE)-VLOOKUP($A78,main!$A$3:$I$56,6,FALSE)&gt;=VLOOKUP(56,main!$A$57:$I$59,4,FALSE)+VLOOKUP(VLOOKUP(AH$1,main!$A$3:$I$56,7,FALSE),main!$K$10:$Q$14,4,FALSE),1,0)</f>
        <v>0</v>
      </c>
      <c r="AI78">
        <f>IF(VLOOKUP(AI$1,main!$A$3:$I$56,5,FALSE)-VLOOKUP($A78,main!$A$3:$I$56,6,FALSE)&gt;=VLOOKUP(56,main!$A$57:$I$59,4,FALSE)+VLOOKUP(VLOOKUP(AI$1,main!$A$3:$I$56,7,FALSE),main!$K$10:$Q$14,4,FALSE),1,0)</f>
        <v>0</v>
      </c>
      <c r="AJ78">
        <f>IF(VLOOKUP(AJ$1,main!$A$3:$I$56,5,FALSE)-VLOOKUP($A78,main!$A$3:$I$56,6,FALSE)&gt;=VLOOKUP(56,main!$A$57:$I$59,4,FALSE)+VLOOKUP(VLOOKUP(AJ$1,main!$A$3:$I$56,7,FALSE),main!$K$10:$Q$14,4,FALSE),1,0)</f>
        <v>0</v>
      </c>
      <c r="AK78">
        <f>IF(VLOOKUP(AK$1,main!$A$3:$I$56,5,FALSE)-VLOOKUP($A78,main!$A$3:$I$56,6,FALSE)&gt;=VLOOKUP(56,main!$A$57:$I$59,4,FALSE)+VLOOKUP(VLOOKUP(AK$1,main!$A$3:$I$56,7,FALSE),main!$K$10:$Q$14,4,FALSE),1,0)</f>
        <v>0</v>
      </c>
      <c r="AL78">
        <f>IF(VLOOKUP(AL$1,main!$A$3:$I$56,5,FALSE)-VLOOKUP($A78,main!$A$3:$I$56,6,FALSE)&gt;=VLOOKUP(56,main!$A$57:$I$59,4,FALSE)+VLOOKUP(VLOOKUP(AL$1,main!$A$3:$I$56,7,FALSE),main!$K$10:$Q$14,4,FALSE),1,0)</f>
        <v>0</v>
      </c>
      <c r="AM78">
        <f>IF(VLOOKUP(AM$1,main!$A$3:$I$56,5,FALSE)-VLOOKUP($A78,main!$A$3:$I$56,6,FALSE)&gt;=VLOOKUP(56,main!$A$57:$I$59,4,FALSE)+VLOOKUP(VLOOKUP(AM$1,main!$A$3:$I$56,7,FALSE),main!$K$10:$Q$14,4,FALSE),1,0)</f>
        <v>0</v>
      </c>
      <c r="AN78">
        <f>IF(VLOOKUP(AN$1,main!$A$3:$I$56,5,FALSE)-VLOOKUP($A78,main!$A$3:$I$56,6,FALSE)&gt;=VLOOKUP(56,main!$A$57:$I$59,4,FALSE)+VLOOKUP(VLOOKUP(AN$1,main!$A$3:$I$56,7,FALSE),main!$K$10:$Q$14,4,FALSE),1,0)</f>
        <v>0</v>
      </c>
      <c r="AO78">
        <f>IF(VLOOKUP(AO$1,main!$A$3:$I$56,5,FALSE)-VLOOKUP($A78,main!$A$3:$I$56,6,FALSE)&gt;=VLOOKUP(56,main!$A$57:$I$59,4,FALSE)+VLOOKUP(VLOOKUP(AO$1,main!$A$3:$I$56,7,FALSE),main!$K$10:$Q$14,4,FALSE),1,0)</f>
        <v>0</v>
      </c>
      <c r="AP78">
        <f>IF(VLOOKUP(AP$1,main!$A$3:$I$56,5,FALSE)-VLOOKUP($A78,main!$A$3:$I$56,6,FALSE)&gt;=VLOOKUP(56,main!$A$57:$I$59,4,FALSE)+VLOOKUP(VLOOKUP(AP$1,main!$A$3:$I$56,7,FALSE),main!$K$10:$Q$14,4,FALSE),1,0)</f>
        <v>0</v>
      </c>
      <c r="AQ78">
        <f>IF(VLOOKUP(AQ$1,main!$A$3:$I$56,5,FALSE)-VLOOKUP($A78,main!$A$3:$I$56,6,FALSE)&gt;=VLOOKUP(56,main!$A$57:$I$59,4,FALSE)+VLOOKUP(VLOOKUP(AQ$1,main!$A$3:$I$56,7,FALSE),main!$K$10:$Q$14,4,FALSE),1,0)</f>
        <v>0</v>
      </c>
      <c r="AR78">
        <f>IF(VLOOKUP(AR$1,main!$A$3:$I$56,5,FALSE)-VLOOKUP($A78,main!$A$3:$I$56,6,FALSE)&gt;=VLOOKUP(56,main!$A$57:$I$59,4,FALSE)+VLOOKUP(VLOOKUP(AR$1,main!$A$3:$I$56,7,FALSE),main!$K$10:$Q$14,4,FALSE),1,0)</f>
        <v>0</v>
      </c>
      <c r="AS78">
        <f>IF(VLOOKUP(AS$1,main!$A$3:$I$56,5,FALSE)-VLOOKUP($A78,main!$A$3:$I$56,6,FALSE)&gt;=VLOOKUP(56,main!$A$57:$I$59,4,FALSE)+VLOOKUP(VLOOKUP(AS$1,main!$A$3:$I$56,7,FALSE),main!$K$10:$Q$14,4,FALSE),1,0)</f>
        <v>0</v>
      </c>
      <c r="AT78">
        <f>IF(VLOOKUP(AT$1,main!$A$3:$I$56,5,FALSE)-VLOOKUP($A78,main!$A$3:$I$56,6,FALSE)&gt;=VLOOKUP(56,main!$A$57:$I$59,4,FALSE)+VLOOKUP(VLOOKUP(AT$1,main!$A$3:$I$56,7,FALSE),main!$K$10:$Q$14,4,FALSE),1,0)</f>
        <v>0</v>
      </c>
      <c r="AU78">
        <f>IF(VLOOKUP(AU$1,main!$A$3:$I$56,5,FALSE)-VLOOKUP($A78,main!$A$3:$I$56,6,FALSE)&gt;=VLOOKUP(56,main!$A$57:$I$59,4,FALSE)+VLOOKUP(VLOOKUP(AU$1,main!$A$3:$I$56,7,FALSE),main!$K$10:$Q$14,4,FALSE),1,0)</f>
        <v>0</v>
      </c>
      <c r="AV78">
        <f>IF(VLOOKUP(AV$1,main!$A$3:$I$56,5,FALSE)-VLOOKUP($A78,main!$A$3:$I$56,6,FALSE)&gt;=VLOOKUP(56,main!$A$57:$I$59,4,FALSE)+VLOOKUP(VLOOKUP(AV$1,main!$A$3:$I$56,7,FALSE),main!$K$10:$Q$14,4,FALSE),1,0)</f>
        <v>0</v>
      </c>
      <c r="AW78">
        <f>IF(VLOOKUP(AW$1,main!$A$3:$I$56,5,FALSE)-VLOOKUP($A78,main!$A$3:$I$56,6,FALSE)&gt;=VLOOKUP(56,main!$A$57:$I$59,4,FALSE)+VLOOKUP(VLOOKUP(AW$1,main!$A$3:$I$56,7,FALSE),main!$K$10:$Q$14,4,FALSE),1,0)</f>
        <v>0</v>
      </c>
      <c r="AX78">
        <f>IF(VLOOKUP(AX$1,main!$A$3:$I$56,5,FALSE)-VLOOKUP($A78,main!$A$3:$I$56,6,FALSE)&gt;=VLOOKUP(56,main!$A$57:$I$59,4,FALSE)+VLOOKUP(VLOOKUP(AX$1,main!$A$3:$I$56,7,FALSE),main!$K$10:$Q$14,4,FALSE),1,0)</f>
        <v>0</v>
      </c>
      <c r="AY78">
        <f>IF(VLOOKUP(AY$1,main!$A$3:$I$56,5,FALSE)-VLOOKUP($A78,main!$A$3:$I$56,6,FALSE)&gt;=VLOOKUP(56,main!$A$57:$I$59,4,FALSE)+VLOOKUP(VLOOKUP(AY$1,main!$A$3:$I$56,7,FALSE),main!$K$10:$Q$14,4,FALSE),1,0)</f>
        <v>1</v>
      </c>
      <c r="AZ78">
        <f>IF(VLOOKUP(AZ$1,main!$A$3:$I$56,5,FALSE)-VLOOKUP($A78,main!$A$3:$I$56,6,FALSE)&gt;=VLOOKUP(56,main!$A$57:$I$59,4,FALSE)+VLOOKUP(VLOOKUP(AZ$1,main!$A$3:$I$56,7,FALSE),main!$K$10:$Q$14,4,FALSE),1,0)</f>
        <v>0</v>
      </c>
      <c r="BA78">
        <f>IF(VLOOKUP(BA$1,main!$A$3:$I$56,5,FALSE)-VLOOKUP($A78,main!$A$3:$I$56,6,FALSE)&gt;=VLOOKUP(56,main!$A$57:$I$59,4,FALSE)+VLOOKUP(VLOOKUP(BA$1,main!$A$3:$I$56,7,FALSE),main!$K$10:$Q$14,4,FALSE),1,0)</f>
        <v>0</v>
      </c>
      <c r="BB78">
        <f>IF(VLOOKUP(BB$1,main!$A$3:$I$56,5,FALSE)-VLOOKUP($A78,main!$A$3:$I$56,6,FALSE)&gt;=VLOOKUP(56,main!$A$57:$I$59,4,FALSE)+VLOOKUP(VLOOKUP(BB$1,main!$A$3:$I$56,7,FALSE),main!$K$10:$Q$14,4,FALSE),1,0)</f>
        <v>0</v>
      </c>
      <c r="BC78">
        <f>IF(VLOOKUP(BC$1,main!$A$3:$I$56,5,FALSE)-VLOOKUP($A78,main!$A$3:$I$56,6,FALSE)&gt;=VLOOKUP(56,main!$A$57:$I$59,4,FALSE)+VLOOKUP(VLOOKUP(BC$1,main!$A$3:$I$56,7,FALSE),main!$K$10:$Q$14,4,FALSE),1,0)</f>
        <v>0</v>
      </c>
      <c r="BD78">
        <f>IF(VLOOKUP(BD$1,main!$A$3:$I$56,5,FALSE)-VLOOKUP($A78,main!$A$3:$I$56,6,FALSE)&gt;=VLOOKUP(56,main!$A$57:$I$59,4,FALSE)+VLOOKUP(VLOOKUP(BD$1,main!$A$3:$I$56,7,FALSE),main!$K$10:$Q$14,4,FALSE),1,0)</f>
        <v>0</v>
      </c>
    </row>
    <row r="79" spans="1:56" x14ac:dyDescent="0.25">
      <c r="A79">
        <f t="shared" si="1"/>
        <v>22</v>
      </c>
      <c r="B79">
        <v>0</v>
      </c>
      <c r="C79">
        <f>IF(VLOOKUP(C$1,main!$A$3:$I$56,5,FALSE)-VLOOKUP($A79,main!$A$3:$I$56,6,FALSE)&gt;=VLOOKUP(56,main!$A$57:$I$59,4,FALSE)+VLOOKUP(VLOOKUP(C$1,main!$A$3:$I$56,7,FALSE),main!$K$10:$Q$14,4,FALSE),1,0)</f>
        <v>0</v>
      </c>
      <c r="D79">
        <f>IF(VLOOKUP(D$1,main!$A$3:$I$56,5,FALSE)-VLOOKUP($A79,main!$A$3:$I$56,6,FALSE)&gt;=VLOOKUP(56,main!$A$57:$I$59,4,FALSE)+VLOOKUP(VLOOKUP(D$1,main!$A$3:$I$56,7,FALSE),main!$K$10:$Q$14,4,FALSE),1,0)</f>
        <v>0</v>
      </c>
      <c r="E79">
        <f>IF(VLOOKUP(E$1,main!$A$3:$I$56,5,FALSE)-VLOOKUP($A79,main!$A$3:$I$56,6,FALSE)&gt;=VLOOKUP(56,main!$A$57:$I$59,4,FALSE)+VLOOKUP(VLOOKUP(E$1,main!$A$3:$I$56,7,FALSE),main!$K$10:$Q$14,4,FALSE),1,0)</f>
        <v>0</v>
      </c>
      <c r="F79">
        <f>IF(VLOOKUP(F$1,main!$A$3:$I$56,5,FALSE)-VLOOKUP($A79,main!$A$3:$I$56,6,FALSE)&gt;=VLOOKUP(56,main!$A$57:$I$59,4,FALSE)+VLOOKUP(VLOOKUP(F$1,main!$A$3:$I$56,7,FALSE),main!$K$10:$Q$14,4,FALSE),1,0)</f>
        <v>0</v>
      </c>
      <c r="G79">
        <f>IF(VLOOKUP(G$1,main!$A$3:$I$56,5,FALSE)-VLOOKUP($A79,main!$A$3:$I$56,6,FALSE)&gt;=VLOOKUP(56,main!$A$57:$I$59,4,FALSE)+VLOOKUP(VLOOKUP(G$1,main!$A$3:$I$56,7,FALSE),main!$K$10:$Q$14,4,FALSE),1,0)</f>
        <v>0</v>
      </c>
      <c r="H79">
        <f>IF(VLOOKUP(H$1,main!$A$3:$I$56,5,FALSE)-VLOOKUP($A79,main!$A$3:$I$56,6,FALSE)&gt;=VLOOKUP(56,main!$A$57:$I$59,4,FALSE)+VLOOKUP(VLOOKUP(H$1,main!$A$3:$I$56,7,FALSE),main!$K$10:$Q$14,4,FALSE),1,0)</f>
        <v>1</v>
      </c>
      <c r="I79">
        <f>IF(VLOOKUP(I$1,main!$A$3:$I$56,5,FALSE)-VLOOKUP($A79,main!$A$3:$I$56,6,FALSE)&gt;=VLOOKUP(56,main!$A$57:$I$59,4,FALSE)+VLOOKUP(VLOOKUP(I$1,main!$A$3:$I$56,7,FALSE),main!$K$10:$Q$14,4,FALSE),1,0)</f>
        <v>1</v>
      </c>
      <c r="J79">
        <f>IF(VLOOKUP(J$1,main!$A$3:$I$56,5,FALSE)-VLOOKUP($A79,main!$A$3:$I$56,6,FALSE)&gt;=VLOOKUP(56,main!$A$57:$I$59,4,FALSE)+VLOOKUP(VLOOKUP(J$1,main!$A$3:$I$56,7,FALSE),main!$K$10:$Q$14,4,FALSE),1,0)</f>
        <v>1</v>
      </c>
      <c r="K79">
        <f>IF(VLOOKUP(K$1,main!$A$3:$I$56,5,FALSE)-VLOOKUP($A79,main!$A$3:$I$56,6,FALSE)&gt;=VLOOKUP(56,main!$A$57:$I$59,4,FALSE)+VLOOKUP(VLOOKUP(K$1,main!$A$3:$I$56,7,FALSE),main!$K$10:$Q$14,4,FALSE),1,0)</f>
        <v>0</v>
      </c>
      <c r="L79">
        <f>IF(VLOOKUP(L$1,main!$A$3:$I$56,5,FALSE)-VLOOKUP($A79,main!$A$3:$I$56,6,FALSE)&gt;=VLOOKUP(56,main!$A$57:$I$59,4,FALSE)+VLOOKUP(VLOOKUP(L$1,main!$A$3:$I$56,7,FALSE),main!$K$10:$Q$14,4,FALSE),1,0)</f>
        <v>0</v>
      </c>
      <c r="M79">
        <f>IF(VLOOKUP(M$1,main!$A$3:$I$56,5,FALSE)-VLOOKUP($A79,main!$A$3:$I$56,6,FALSE)&gt;=VLOOKUP(56,main!$A$57:$I$59,4,FALSE)+VLOOKUP(VLOOKUP(M$1,main!$A$3:$I$56,7,FALSE),main!$K$10:$Q$14,4,FALSE),1,0)</f>
        <v>0</v>
      </c>
      <c r="N79">
        <f>IF(VLOOKUP(N$1,main!$A$3:$I$56,5,FALSE)-VLOOKUP($A79,main!$A$3:$I$56,6,FALSE)&gt;=VLOOKUP(56,main!$A$57:$I$59,4,FALSE)+VLOOKUP(VLOOKUP(N$1,main!$A$3:$I$56,7,FALSE),main!$K$10:$Q$14,4,FALSE),1,0)</f>
        <v>1</v>
      </c>
      <c r="O79">
        <f>IF(VLOOKUP(O$1,main!$A$3:$I$56,5,FALSE)-VLOOKUP($A79,main!$A$3:$I$56,6,FALSE)&gt;=VLOOKUP(56,main!$A$57:$I$59,4,FALSE)+VLOOKUP(VLOOKUP(O$1,main!$A$3:$I$56,7,FALSE),main!$K$10:$Q$14,4,FALSE),1,0)</f>
        <v>1</v>
      </c>
      <c r="P79">
        <f>IF(VLOOKUP(P$1,main!$A$3:$I$56,5,FALSE)-VLOOKUP($A79,main!$A$3:$I$56,6,FALSE)&gt;=VLOOKUP(56,main!$A$57:$I$59,4,FALSE)+VLOOKUP(VLOOKUP(P$1,main!$A$3:$I$56,7,FALSE),main!$K$10:$Q$14,4,FALSE),1,0)</f>
        <v>0</v>
      </c>
      <c r="Q79">
        <f>IF(VLOOKUP(Q$1,main!$A$3:$I$56,5,FALSE)-VLOOKUP($A79,main!$A$3:$I$56,6,FALSE)&gt;=VLOOKUP(56,main!$A$57:$I$59,4,FALSE)+VLOOKUP(VLOOKUP(Q$1,main!$A$3:$I$56,7,FALSE),main!$K$10:$Q$14,4,FALSE),1,0)</f>
        <v>0</v>
      </c>
      <c r="R79">
        <f>IF(VLOOKUP(R$1,main!$A$3:$I$56,5,FALSE)-VLOOKUP($A79,main!$A$3:$I$56,6,FALSE)&gt;=VLOOKUP(56,main!$A$57:$I$59,4,FALSE)+VLOOKUP(VLOOKUP(R$1,main!$A$3:$I$56,7,FALSE),main!$K$10:$Q$14,4,FALSE),1,0)</f>
        <v>0</v>
      </c>
      <c r="S79">
        <f>IF(VLOOKUP(S$1,main!$A$3:$I$56,5,FALSE)-VLOOKUP($A79,main!$A$3:$I$56,6,FALSE)&gt;=VLOOKUP(56,main!$A$57:$I$59,4,FALSE)+VLOOKUP(VLOOKUP(S$1,main!$A$3:$I$56,7,FALSE),main!$K$10:$Q$14,4,FALSE),1,0)</f>
        <v>0</v>
      </c>
      <c r="T79">
        <f>IF(VLOOKUP(T$1,main!$A$3:$I$56,5,FALSE)-VLOOKUP($A79,main!$A$3:$I$56,6,FALSE)&gt;=VLOOKUP(56,main!$A$57:$I$59,4,FALSE)+VLOOKUP(VLOOKUP(T$1,main!$A$3:$I$56,7,FALSE),main!$K$10:$Q$14,4,FALSE),1,0)</f>
        <v>1</v>
      </c>
      <c r="U79">
        <f>IF(VLOOKUP(U$1,main!$A$3:$I$56,5,FALSE)-VLOOKUP($A79,main!$A$3:$I$56,6,FALSE)&gt;=VLOOKUP(56,main!$A$57:$I$59,4,FALSE)+VLOOKUP(VLOOKUP(U$1,main!$A$3:$I$56,7,FALSE),main!$K$10:$Q$14,4,FALSE),1,0)</f>
        <v>0</v>
      </c>
      <c r="V79">
        <f>IF(VLOOKUP(V$1,main!$A$3:$I$56,5,FALSE)-VLOOKUP($A79,main!$A$3:$I$56,6,FALSE)&gt;=VLOOKUP(56,main!$A$57:$I$59,4,FALSE)+VLOOKUP(VLOOKUP(V$1,main!$A$3:$I$56,7,FALSE),main!$K$10:$Q$14,4,FALSE),1,0)</f>
        <v>0</v>
      </c>
      <c r="W79">
        <f>IF(VLOOKUP(W$1,main!$A$3:$I$56,5,FALSE)-VLOOKUP($A79,main!$A$3:$I$56,6,FALSE)&gt;=VLOOKUP(56,main!$A$57:$I$59,4,FALSE)+VLOOKUP(VLOOKUP(W$1,main!$A$3:$I$56,7,FALSE),main!$K$10:$Q$14,4,FALSE),1,0)</f>
        <v>0</v>
      </c>
      <c r="X79">
        <f>IF(VLOOKUP(X$1,main!$A$3:$I$56,5,FALSE)-VLOOKUP($A79,main!$A$3:$I$56,6,FALSE)&gt;=VLOOKUP(56,main!$A$57:$I$59,4,FALSE)+VLOOKUP(VLOOKUP(X$1,main!$A$3:$I$56,7,FALSE),main!$K$10:$Q$14,4,FALSE),1,0)</f>
        <v>0</v>
      </c>
      <c r="Y79">
        <f>IF(VLOOKUP(Y$1,main!$A$3:$I$56,5,FALSE)-VLOOKUP($A79,main!$A$3:$I$56,6,FALSE)&gt;=VLOOKUP(56,main!$A$57:$I$59,4,FALSE)+VLOOKUP(VLOOKUP(Y$1,main!$A$3:$I$56,7,FALSE),main!$K$10:$Q$14,4,FALSE),1,0)</f>
        <v>0</v>
      </c>
      <c r="Z79">
        <f>IF(VLOOKUP(Z$1,main!$A$3:$I$56,5,FALSE)-VLOOKUP($A79,main!$A$3:$I$56,6,FALSE)&gt;=VLOOKUP(56,main!$A$57:$I$59,4,FALSE)+VLOOKUP(VLOOKUP(Z$1,main!$A$3:$I$56,7,FALSE),main!$K$10:$Q$14,4,FALSE),1,0)</f>
        <v>0</v>
      </c>
      <c r="AA79">
        <f>IF(VLOOKUP(AA$1,main!$A$3:$I$56,5,FALSE)-VLOOKUP($A79,main!$A$3:$I$56,6,FALSE)&gt;=VLOOKUP(56,main!$A$57:$I$59,4,FALSE)+VLOOKUP(VLOOKUP(AA$1,main!$A$3:$I$56,7,FALSE),main!$K$10:$Q$14,4,FALSE),1,0)</f>
        <v>0</v>
      </c>
      <c r="AB79">
        <f>IF(VLOOKUP(AB$1,main!$A$3:$I$56,5,FALSE)-VLOOKUP($A79,main!$A$3:$I$56,6,FALSE)&gt;=VLOOKUP(56,main!$A$57:$I$59,4,FALSE)+VLOOKUP(VLOOKUP(AB$1,main!$A$3:$I$56,7,FALSE),main!$K$10:$Q$14,4,FALSE),1,0)</f>
        <v>1</v>
      </c>
      <c r="AC79">
        <f>IF(VLOOKUP(AC$1,main!$A$3:$I$56,5,FALSE)-VLOOKUP($A79,main!$A$3:$I$56,6,FALSE)&gt;=VLOOKUP(56,main!$A$57:$I$59,4,FALSE)+VLOOKUP(VLOOKUP(AC$1,main!$A$3:$I$56,7,FALSE),main!$K$10:$Q$14,4,FALSE),1,0)</f>
        <v>0</v>
      </c>
      <c r="AD79">
        <f>IF(VLOOKUP(AD$1,main!$A$3:$I$56,5,FALSE)-VLOOKUP($A79,main!$A$3:$I$56,6,FALSE)&gt;=VLOOKUP(56,main!$A$57:$I$59,4,FALSE)+VLOOKUP(VLOOKUP(AD$1,main!$A$3:$I$56,7,FALSE),main!$K$10:$Q$14,4,FALSE),1,0)</f>
        <v>0</v>
      </c>
      <c r="AE79">
        <f>IF(VLOOKUP(AE$1,main!$A$3:$I$56,5,FALSE)-VLOOKUP($A79,main!$A$3:$I$56,6,FALSE)&gt;=VLOOKUP(56,main!$A$57:$I$59,4,FALSE)+VLOOKUP(VLOOKUP(AE$1,main!$A$3:$I$56,7,FALSE),main!$K$10:$Q$14,4,FALSE),1,0)</f>
        <v>0</v>
      </c>
      <c r="AF79">
        <f>IF(VLOOKUP(AF$1,main!$A$3:$I$56,5,FALSE)-VLOOKUP($A79,main!$A$3:$I$56,6,FALSE)&gt;=VLOOKUP(56,main!$A$57:$I$59,4,FALSE)+VLOOKUP(VLOOKUP(AF$1,main!$A$3:$I$56,7,FALSE),main!$K$10:$Q$14,4,FALSE),1,0)</f>
        <v>0</v>
      </c>
      <c r="AG79">
        <f>IF(VLOOKUP(AG$1,main!$A$3:$I$56,5,FALSE)-VLOOKUP($A79,main!$A$3:$I$56,6,FALSE)&gt;=VLOOKUP(56,main!$A$57:$I$59,4,FALSE)+VLOOKUP(VLOOKUP(AG$1,main!$A$3:$I$56,7,FALSE),main!$K$10:$Q$14,4,FALSE),1,0)</f>
        <v>0</v>
      </c>
      <c r="AH79">
        <f>IF(VLOOKUP(AH$1,main!$A$3:$I$56,5,FALSE)-VLOOKUP($A79,main!$A$3:$I$56,6,FALSE)&gt;=VLOOKUP(56,main!$A$57:$I$59,4,FALSE)+VLOOKUP(VLOOKUP(AH$1,main!$A$3:$I$56,7,FALSE),main!$K$10:$Q$14,4,FALSE),1,0)</f>
        <v>0</v>
      </c>
      <c r="AI79">
        <f>IF(VLOOKUP(AI$1,main!$A$3:$I$56,5,FALSE)-VLOOKUP($A79,main!$A$3:$I$56,6,FALSE)&gt;=VLOOKUP(56,main!$A$57:$I$59,4,FALSE)+VLOOKUP(VLOOKUP(AI$1,main!$A$3:$I$56,7,FALSE),main!$K$10:$Q$14,4,FALSE),1,0)</f>
        <v>0</v>
      </c>
      <c r="AJ79">
        <f>IF(VLOOKUP(AJ$1,main!$A$3:$I$56,5,FALSE)-VLOOKUP($A79,main!$A$3:$I$56,6,FALSE)&gt;=VLOOKUP(56,main!$A$57:$I$59,4,FALSE)+VLOOKUP(VLOOKUP(AJ$1,main!$A$3:$I$56,7,FALSE),main!$K$10:$Q$14,4,FALSE),1,0)</f>
        <v>0</v>
      </c>
      <c r="AK79">
        <f>IF(VLOOKUP(AK$1,main!$A$3:$I$56,5,FALSE)-VLOOKUP($A79,main!$A$3:$I$56,6,FALSE)&gt;=VLOOKUP(56,main!$A$57:$I$59,4,FALSE)+VLOOKUP(VLOOKUP(AK$1,main!$A$3:$I$56,7,FALSE),main!$K$10:$Q$14,4,FALSE),1,0)</f>
        <v>0</v>
      </c>
      <c r="AL79">
        <f>IF(VLOOKUP(AL$1,main!$A$3:$I$56,5,FALSE)-VLOOKUP($A79,main!$A$3:$I$56,6,FALSE)&gt;=VLOOKUP(56,main!$A$57:$I$59,4,FALSE)+VLOOKUP(VLOOKUP(AL$1,main!$A$3:$I$56,7,FALSE),main!$K$10:$Q$14,4,FALSE),1,0)</f>
        <v>0</v>
      </c>
      <c r="AM79">
        <f>IF(VLOOKUP(AM$1,main!$A$3:$I$56,5,FALSE)-VLOOKUP($A79,main!$A$3:$I$56,6,FALSE)&gt;=VLOOKUP(56,main!$A$57:$I$59,4,FALSE)+VLOOKUP(VLOOKUP(AM$1,main!$A$3:$I$56,7,FALSE),main!$K$10:$Q$14,4,FALSE),1,0)</f>
        <v>0</v>
      </c>
      <c r="AN79">
        <f>IF(VLOOKUP(AN$1,main!$A$3:$I$56,5,FALSE)-VLOOKUP($A79,main!$A$3:$I$56,6,FALSE)&gt;=VLOOKUP(56,main!$A$57:$I$59,4,FALSE)+VLOOKUP(VLOOKUP(AN$1,main!$A$3:$I$56,7,FALSE),main!$K$10:$Q$14,4,FALSE),1,0)</f>
        <v>0</v>
      </c>
      <c r="AO79">
        <f>IF(VLOOKUP(AO$1,main!$A$3:$I$56,5,FALSE)-VLOOKUP($A79,main!$A$3:$I$56,6,FALSE)&gt;=VLOOKUP(56,main!$A$57:$I$59,4,FALSE)+VLOOKUP(VLOOKUP(AO$1,main!$A$3:$I$56,7,FALSE),main!$K$10:$Q$14,4,FALSE),1,0)</f>
        <v>0</v>
      </c>
      <c r="AP79">
        <f>IF(VLOOKUP(AP$1,main!$A$3:$I$56,5,FALSE)-VLOOKUP($A79,main!$A$3:$I$56,6,FALSE)&gt;=VLOOKUP(56,main!$A$57:$I$59,4,FALSE)+VLOOKUP(VLOOKUP(AP$1,main!$A$3:$I$56,7,FALSE),main!$K$10:$Q$14,4,FALSE),1,0)</f>
        <v>0</v>
      </c>
      <c r="AQ79">
        <f>IF(VLOOKUP(AQ$1,main!$A$3:$I$56,5,FALSE)-VLOOKUP($A79,main!$A$3:$I$56,6,FALSE)&gt;=VLOOKUP(56,main!$A$57:$I$59,4,FALSE)+VLOOKUP(VLOOKUP(AQ$1,main!$A$3:$I$56,7,FALSE),main!$K$10:$Q$14,4,FALSE),1,0)</f>
        <v>0</v>
      </c>
      <c r="AR79">
        <f>IF(VLOOKUP(AR$1,main!$A$3:$I$56,5,FALSE)-VLOOKUP($A79,main!$A$3:$I$56,6,FALSE)&gt;=VLOOKUP(56,main!$A$57:$I$59,4,FALSE)+VLOOKUP(VLOOKUP(AR$1,main!$A$3:$I$56,7,FALSE),main!$K$10:$Q$14,4,FALSE),1,0)</f>
        <v>0</v>
      </c>
      <c r="AS79">
        <f>IF(VLOOKUP(AS$1,main!$A$3:$I$56,5,FALSE)-VLOOKUP($A79,main!$A$3:$I$56,6,FALSE)&gt;=VLOOKUP(56,main!$A$57:$I$59,4,FALSE)+VLOOKUP(VLOOKUP(AS$1,main!$A$3:$I$56,7,FALSE),main!$K$10:$Q$14,4,FALSE),1,0)</f>
        <v>0</v>
      </c>
      <c r="AT79">
        <f>IF(VLOOKUP(AT$1,main!$A$3:$I$56,5,FALSE)-VLOOKUP($A79,main!$A$3:$I$56,6,FALSE)&gt;=VLOOKUP(56,main!$A$57:$I$59,4,FALSE)+VLOOKUP(VLOOKUP(AT$1,main!$A$3:$I$56,7,FALSE),main!$K$10:$Q$14,4,FALSE),1,0)</f>
        <v>0</v>
      </c>
      <c r="AU79">
        <f>IF(VLOOKUP(AU$1,main!$A$3:$I$56,5,FALSE)-VLOOKUP($A79,main!$A$3:$I$56,6,FALSE)&gt;=VLOOKUP(56,main!$A$57:$I$59,4,FALSE)+VLOOKUP(VLOOKUP(AU$1,main!$A$3:$I$56,7,FALSE),main!$K$10:$Q$14,4,FALSE),1,0)</f>
        <v>0</v>
      </c>
      <c r="AV79">
        <f>IF(VLOOKUP(AV$1,main!$A$3:$I$56,5,FALSE)-VLOOKUP($A79,main!$A$3:$I$56,6,FALSE)&gt;=VLOOKUP(56,main!$A$57:$I$59,4,FALSE)+VLOOKUP(VLOOKUP(AV$1,main!$A$3:$I$56,7,FALSE),main!$K$10:$Q$14,4,FALSE),1,0)</f>
        <v>0</v>
      </c>
      <c r="AW79">
        <f>IF(VLOOKUP(AW$1,main!$A$3:$I$56,5,FALSE)-VLOOKUP($A79,main!$A$3:$I$56,6,FALSE)&gt;=VLOOKUP(56,main!$A$57:$I$59,4,FALSE)+VLOOKUP(VLOOKUP(AW$1,main!$A$3:$I$56,7,FALSE),main!$K$10:$Q$14,4,FALSE),1,0)</f>
        <v>0</v>
      </c>
      <c r="AX79">
        <f>IF(VLOOKUP(AX$1,main!$A$3:$I$56,5,FALSE)-VLOOKUP($A79,main!$A$3:$I$56,6,FALSE)&gt;=VLOOKUP(56,main!$A$57:$I$59,4,FALSE)+VLOOKUP(VLOOKUP(AX$1,main!$A$3:$I$56,7,FALSE),main!$K$10:$Q$14,4,FALSE),1,0)</f>
        <v>0</v>
      </c>
      <c r="AY79">
        <f>IF(VLOOKUP(AY$1,main!$A$3:$I$56,5,FALSE)-VLOOKUP($A79,main!$A$3:$I$56,6,FALSE)&gt;=VLOOKUP(56,main!$A$57:$I$59,4,FALSE)+VLOOKUP(VLOOKUP(AY$1,main!$A$3:$I$56,7,FALSE),main!$K$10:$Q$14,4,FALSE),1,0)</f>
        <v>0</v>
      </c>
      <c r="AZ79">
        <f>IF(VLOOKUP(AZ$1,main!$A$3:$I$56,5,FALSE)-VLOOKUP($A79,main!$A$3:$I$56,6,FALSE)&gt;=VLOOKUP(56,main!$A$57:$I$59,4,FALSE)+VLOOKUP(VLOOKUP(AZ$1,main!$A$3:$I$56,7,FALSE),main!$K$10:$Q$14,4,FALSE),1,0)</f>
        <v>0</v>
      </c>
      <c r="BA79">
        <f>IF(VLOOKUP(BA$1,main!$A$3:$I$56,5,FALSE)-VLOOKUP($A79,main!$A$3:$I$56,6,FALSE)&gt;=VLOOKUP(56,main!$A$57:$I$59,4,FALSE)+VLOOKUP(VLOOKUP(BA$1,main!$A$3:$I$56,7,FALSE),main!$K$10:$Q$14,4,FALSE),1,0)</f>
        <v>0</v>
      </c>
      <c r="BB79">
        <f>IF(VLOOKUP(BB$1,main!$A$3:$I$56,5,FALSE)-VLOOKUP($A79,main!$A$3:$I$56,6,FALSE)&gt;=VLOOKUP(56,main!$A$57:$I$59,4,FALSE)+VLOOKUP(VLOOKUP(BB$1,main!$A$3:$I$56,7,FALSE),main!$K$10:$Q$14,4,FALSE),1,0)</f>
        <v>0</v>
      </c>
      <c r="BC79">
        <f>IF(VLOOKUP(BC$1,main!$A$3:$I$56,5,FALSE)-VLOOKUP($A79,main!$A$3:$I$56,6,FALSE)&gt;=VLOOKUP(56,main!$A$57:$I$59,4,FALSE)+VLOOKUP(VLOOKUP(BC$1,main!$A$3:$I$56,7,FALSE),main!$K$10:$Q$14,4,FALSE),1,0)</f>
        <v>0</v>
      </c>
      <c r="BD79">
        <f>IF(VLOOKUP(BD$1,main!$A$3:$I$56,5,FALSE)-VLOOKUP($A79,main!$A$3:$I$56,6,FALSE)&gt;=VLOOKUP(56,main!$A$57:$I$59,4,FALSE)+VLOOKUP(VLOOKUP(BD$1,main!$A$3:$I$56,7,FALSE),main!$K$10:$Q$14,4,FALSE),1,0)</f>
        <v>0</v>
      </c>
    </row>
    <row r="80" spans="1:56" x14ac:dyDescent="0.25">
      <c r="A80">
        <f t="shared" si="1"/>
        <v>23</v>
      </c>
      <c r="B80">
        <v>0</v>
      </c>
      <c r="C80">
        <f>IF(VLOOKUP(C$1,main!$A$3:$I$56,5,FALSE)-VLOOKUP($A80,main!$A$3:$I$56,6,FALSE)&gt;=VLOOKUP(56,main!$A$57:$I$59,4,FALSE)+VLOOKUP(VLOOKUP(C$1,main!$A$3:$I$56,7,FALSE),main!$K$10:$Q$14,4,FALSE),1,0)</f>
        <v>0</v>
      </c>
      <c r="D80">
        <f>IF(VLOOKUP(D$1,main!$A$3:$I$56,5,FALSE)-VLOOKUP($A80,main!$A$3:$I$56,6,FALSE)&gt;=VLOOKUP(56,main!$A$57:$I$59,4,FALSE)+VLOOKUP(VLOOKUP(D$1,main!$A$3:$I$56,7,FALSE),main!$K$10:$Q$14,4,FALSE),1,0)</f>
        <v>0</v>
      </c>
      <c r="E80">
        <f>IF(VLOOKUP(E$1,main!$A$3:$I$56,5,FALSE)-VLOOKUP($A80,main!$A$3:$I$56,6,FALSE)&gt;=VLOOKUP(56,main!$A$57:$I$59,4,FALSE)+VLOOKUP(VLOOKUP(E$1,main!$A$3:$I$56,7,FALSE),main!$K$10:$Q$14,4,FALSE),1,0)</f>
        <v>0</v>
      </c>
      <c r="F80">
        <f>IF(VLOOKUP(F$1,main!$A$3:$I$56,5,FALSE)-VLOOKUP($A80,main!$A$3:$I$56,6,FALSE)&gt;=VLOOKUP(56,main!$A$57:$I$59,4,FALSE)+VLOOKUP(VLOOKUP(F$1,main!$A$3:$I$56,7,FALSE),main!$K$10:$Q$14,4,FALSE),1,0)</f>
        <v>0</v>
      </c>
      <c r="G80">
        <f>IF(VLOOKUP(G$1,main!$A$3:$I$56,5,FALSE)-VLOOKUP($A80,main!$A$3:$I$56,6,FALSE)&gt;=VLOOKUP(56,main!$A$57:$I$59,4,FALSE)+VLOOKUP(VLOOKUP(G$1,main!$A$3:$I$56,7,FALSE),main!$K$10:$Q$14,4,FALSE),1,0)</f>
        <v>0</v>
      </c>
      <c r="H80">
        <f>IF(VLOOKUP(H$1,main!$A$3:$I$56,5,FALSE)-VLOOKUP($A80,main!$A$3:$I$56,6,FALSE)&gt;=VLOOKUP(56,main!$A$57:$I$59,4,FALSE)+VLOOKUP(VLOOKUP(H$1,main!$A$3:$I$56,7,FALSE),main!$K$10:$Q$14,4,FALSE),1,0)</f>
        <v>0</v>
      </c>
      <c r="I80">
        <f>IF(VLOOKUP(I$1,main!$A$3:$I$56,5,FALSE)-VLOOKUP($A80,main!$A$3:$I$56,6,FALSE)&gt;=VLOOKUP(56,main!$A$57:$I$59,4,FALSE)+VLOOKUP(VLOOKUP(I$1,main!$A$3:$I$56,7,FALSE),main!$K$10:$Q$14,4,FALSE),1,0)</f>
        <v>1</v>
      </c>
      <c r="J80">
        <f>IF(VLOOKUP(J$1,main!$A$3:$I$56,5,FALSE)-VLOOKUP($A80,main!$A$3:$I$56,6,FALSE)&gt;=VLOOKUP(56,main!$A$57:$I$59,4,FALSE)+VLOOKUP(VLOOKUP(J$1,main!$A$3:$I$56,7,FALSE),main!$K$10:$Q$14,4,FALSE),1,0)</f>
        <v>1</v>
      </c>
      <c r="K80">
        <f>IF(VLOOKUP(K$1,main!$A$3:$I$56,5,FALSE)-VLOOKUP($A80,main!$A$3:$I$56,6,FALSE)&gt;=VLOOKUP(56,main!$A$57:$I$59,4,FALSE)+VLOOKUP(VLOOKUP(K$1,main!$A$3:$I$56,7,FALSE),main!$K$10:$Q$14,4,FALSE),1,0)</f>
        <v>0</v>
      </c>
      <c r="L80">
        <f>IF(VLOOKUP(L$1,main!$A$3:$I$56,5,FALSE)-VLOOKUP($A80,main!$A$3:$I$56,6,FALSE)&gt;=VLOOKUP(56,main!$A$57:$I$59,4,FALSE)+VLOOKUP(VLOOKUP(L$1,main!$A$3:$I$56,7,FALSE),main!$K$10:$Q$14,4,FALSE),1,0)</f>
        <v>0</v>
      </c>
      <c r="M80">
        <f>IF(VLOOKUP(M$1,main!$A$3:$I$56,5,FALSE)-VLOOKUP($A80,main!$A$3:$I$56,6,FALSE)&gt;=VLOOKUP(56,main!$A$57:$I$59,4,FALSE)+VLOOKUP(VLOOKUP(M$1,main!$A$3:$I$56,7,FALSE),main!$K$10:$Q$14,4,FALSE),1,0)</f>
        <v>0</v>
      </c>
      <c r="N80">
        <f>IF(VLOOKUP(N$1,main!$A$3:$I$56,5,FALSE)-VLOOKUP($A80,main!$A$3:$I$56,6,FALSE)&gt;=VLOOKUP(56,main!$A$57:$I$59,4,FALSE)+VLOOKUP(VLOOKUP(N$1,main!$A$3:$I$56,7,FALSE),main!$K$10:$Q$14,4,FALSE),1,0)</f>
        <v>1</v>
      </c>
      <c r="O80">
        <f>IF(VLOOKUP(O$1,main!$A$3:$I$56,5,FALSE)-VLOOKUP($A80,main!$A$3:$I$56,6,FALSE)&gt;=VLOOKUP(56,main!$A$57:$I$59,4,FALSE)+VLOOKUP(VLOOKUP(O$1,main!$A$3:$I$56,7,FALSE),main!$K$10:$Q$14,4,FALSE),1,0)</f>
        <v>1</v>
      </c>
      <c r="P80">
        <f>IF(VLOOKUP(P$1,main!$A$3:$I$56,5,FALSE)-VLOOKUP($A80,main!$A$3:$I$56,6,FALSE)&gt;=VLOOKUP(56,main!$A$57:$I$59,4,FALSE)+VLOOKUP(VLOOKUP(P$1,main!$A$3:$I$56,7,FALSE),main!$K$10:$Q$14,4,FALSE),1,0)</f>
        <v>0</v>
      </c>
      <c r="Q80">
        <f>IF(VLOOKUP(Q$1,main!$A$3:$I$56,5,FALSE)-VLOOKUP($A80,main!$A$3:$I$56,6,FALSE)&gt;=VLOOKUP(56,main!$A$57:$I$59,4,FALSE)+VLOOKUP(VLOOKUP(Q$1,main!$A$3:$I$56,7,FALSE),main!$K$10:$Q$14,4,FALSE),1,0)</f>
        <v>0</v>
      </c>
      <c r="R80">
        <f>IF(VLOOKUP(R$1,main!$A$3:$I$56,5,FALSE)-VLOOKUP($A80,main!$A$3:$I$56,6,FALSE)&gt;=VLOOKUP(56,main!$A$57:$I$59,4,FALSE)+VLOOKUP(VLOOKUP(R$1,main!$A$3:$I$56,7,FALSE),main!$K$10:$Q$14,4,FALSE),1,0)</f>
        <v>0</v>
      </c>
      <c r="S80">
        <f>IF(VLOOKUP(S$1,main!$A$3:$I$56,5,FALSE)-VLOOKUP($A80,main!$A$3:$I$56,6,FALSE)&gt;=VLOOKUP(56,main!$A$57:$I$59,4,FALSE)+VLOOKUP(VLOOKUP(S$1,main!$A$3:$I$56,7,FALSE),main!$K$10:$Q$14,4,FALSE),1,0)</f>
        <v>0</v>
      </c>
      <c r="T80">
        <f>IF(VLOOKUP(T$1,main!$A$3:$I$56,5,FALSE)-VLOOKUP($A80,main!$A$3:$I$56,6,FALSE)&gt;=VLOOKUP(56,main!$A$57:$I$59,4,FALSE)+VLOOKUP(VLOOKUP(T$1,main!$A$3:$I$56,7,FALSE),main!$K$10:$Q$14,4,FALSE),1,0)</f>
        <v>1</v>
      </c>
      <c r="U80">
        <f>IF(VLOOKUP(U$1,main!$A$3:$I$56,5,FALSE)-VLOOKUP($A80,main!$A$3:$I$56,6,FALSE)&gt;=VLOOKUP(56,main!$A$57:$I$59,4,FALSE)+VLOOKUP(VLOOKUP(U$1,main!$A$3:$I$56,7,FALSE),main!$K$10:$Q$14,4,FALSE),1,0)</f>
        <v>0</v>
      </c>
      <c r="V80">
        <f>IF(VLOOKUP(V$1,main!$A$3:$I$56,5,FALSE)-VLOOKUP($A80,main!$A$3:$I$56,6,FALSE)&gt;=VLOOKUP(56,main!$A$57:$I$59,4,FALSE)+VLOOKUP(VLOOKUP(V$1,main!$A$3:$I$56,7,FALSE),main!$K$10:$Q$14,4,FALSE),1,0)</f>
        <v>0</v>
      </c>
      <c r="W80">
        <f>IF(VLOOKUP(W$1,main!$A$3:$I$56,5,FALSE)-VLOOKUP($A80,main!$A$3:$I$56,6,FALSE)&gt;=VLOOKUP(56,main!$A$57:$I$59,4,FALSE)+VLOOKUP(VLOOKUP(W$1,main!$A$3:$I$56,7,FALSE),main!$K$10:$Q$14,4,FALSE),1,0)</f>
        <v>0</v>
      </c>
      <c r="X80">
        <f>IF(VLOOKUP(X$1,main!$A$3:$I$56,5,FALSE)-VLOOKUP($A80,main!$A$3:$I$56,6,FALSE)&gt;=VLOOKUP(56,main!$A$57:$I$59,4,FALSE)+VLOOKUP(VLOOKUP(X$1,main!$A$3:$I$56,7,FALSE),main!$K$10:$Q$14,4,FALSE),1,0)</f>
        <v>0</v>
      </c>
      <c r="Y80">
        <f>IF(VLOOKUP(Y$1,main!$A$3:$I$56,5,FALSE)-VLOOKUP($A80,main!$A$3:$I$56,6,FALSE)&gt;=VLOOKUP(56,main!$A$57:$I$59,4,FALSE)+VLOOKUP(VLOOKUP(Y$1,main!$A$3:$I$56,7,FALSE),main!$K$10:$Q$14,4,FALSE),1,0)</f>
        <v>0</v>
      </c>
      <c r="Z80">
        <f>IF(VLOOKUP(Z$1,main!$A$3:$I$56,5,FALSE)-VLOOKUP($A80,main!$A$3:$I$56,6,FALSE)&gt;=VLOOKUP(56,main!$A$57:$I$59,4,FALSE)+VLOOKUP(VLOOKUP(Z$1,main!$A$3:$I$56,7,FALSE),main!$K$10:$Q$14,4,FALSE),1,0)</f>
        <v>0</v>
      </c>
      <c r="AA80">
        <f>IF(VLOOKUP(AA$1,main!$A$3:$I$56,5,FALSE)-VLOOKUP($A80,main!$A$3:$I$56,6,FALSE)&gt;=VLOOKUP(56,main!$A$57:$I$59,4,FALSE)+VLOOKUP(VLOOKUP(AA$1,main!$A$3:$I$56,7,FALSE),main!$K$10:$Q$14,4,FALSE),1,0)</f>
        <v>0</v>
      </c>
      <c r="AB80">
        <f>IF(VLOOKUP(AB$1,main!$A$3:$I$56,5,FALSE)-VLOOKUP($A80,main!$A$3:$I$56,6,FALSE)&gt;=VLOOKUP(56,main!$A$57:$I$59,4,FALSE)+VLOOKUP(VLOOKUP(AB$1,main!$A$3:$I$56,7,FALSE),main!$K$10:$Q$14,4,FALSE),1,0)</f>
        <v>0</v>
      </c>
      <c r="AC80">
        <f>IF(VLOOKUP(AC$1,main!$A$3:$I$56,5,FALSE)-VLOOKUP($A80,main!$A$3:$I$56,6,FALSE)&gt;=VLOOKUP(56,main!$A$57:$I$59,4,FALSE)+VLOOKUP(VLOOKUP(AC$1,main!$A$3:$I$56,7,FALSE),main!$K$10:$Q$14,4,FALSE),1,0)</f>
        <v>0</v>
      </c>
      <c r="AD80">
        <f>IF(VLOOKUP(AD$1,main!$A$3:$I$56,5,FALSE)-VLOOKUP($A80,main!$A$3:$I$56,6,FALSE)&gt;=VLOOKUP(56,main!$A$57:$I$59,4,FALSE)+VLOOKUP(VLOOKUP(AD$1,main!$A$3:$I$56,7,FALSE),main!$K$10:$Q$14,4,FALSE),1,0)</f>
        <v>0</v>
      </c>
      <c r="AE80">
        <f>IF(VLOOKUP(AE$1,main!$A$3:$I$56,5,FALSE)-VLOOKUP($A80,main!$A$3:$I$56,6,FALSE)&gt;=VLOOKUP(56,main!$A$57:$I$59,4,FALSE)+VLOOKUP(VLOOKUP(AE$1,main!$A$3:$I$56,7,FALSE),main!$K$10:$Q$14,4,FALSE),1,0)</f>
        <v>0</v>
      </c>
      <c r="AF80">
        <f>IF(VLOOKUP(AF$1,main!$A$3:$I$56,5,FALSE)-VLOOKUP($A80,main!$A$3:$I$56,6,FALSE)&gt;=VLOOKUP(56,main!$A$57:$I$59,4,FALSE)+VLOOKUP(VLOOKUP(AF$1,main!$A$3:$I$56,7,FALSE),main!$K$10:$Q$14,4,FALSE),1,0)</f>
        <v>0</v>
      </c>
      <c r="AG80">
        <f>IF(VLOOKUP(AG$1,main!$A$3:$I$56,5,FALSE)-VLOOKUP($A80,main!$A$3:$I$56,6,FALSE)&gt;=VLOOKUP(56,main!$A$57:$I$59,4,FALSE)+VLOOKUP(VLOOKUP(AG$1,main!$A$3:$I$56,7,FALSE),main!$K$10:$Q$14,4,FALSE),1,0)</f>
        <v>0</v>
      </c>
      <c r="AH80">
        <f>IF(VLOOKUP(AH$1,main!$A$3:$I$56,5,FALSE)-VLOOKUP($A80,main!$A$3:$I$56,6,FALSE)&gt;=VLOOKUP(56,main!$A$57:$I$59,4,FALSE)+VLOOKUP(VLOOKUP(AH$1,main!$A$3:$I$56,7,FALSE),main!$K$10:$Q$14,4,FALSE),1,0)</f>
        <v>0</v>
      </c>
      <c r="AI80">
        <f>IF(VLOOKUP(AI$1,main!$A$3:$I$56,5,FALSE)-VLOOKUP($A80,main!$A$3:$I$56,6,FALSE)&gt;=VLOOKUP(56,main!$A$57:$I$59,4,FALSE)+VLOOKUP(VLOOKUP(AI$1,main!$A$3:$I$56,7,FALSE),main!$K$10:$Q$14,4,FALSE),1,0)</f>
        <v>0</v>
      </c>
      <c r="AJ80">
        <f>IF(VLOOKUP(AJ$1,main!$A$3:$I$56,5,FALSE)-VLOOKUP($A80,main!$A$3:$I$56,6,FALSE)&gt;=VLOOKUP(56,main!$A$57:$I$59,4,FALSE)+VLOOKUP(VLOOKUP(AJ$1,main!$A$3:$I$56,7,FALSE),main!$K$10:$Q$14,4,FALSE),1,0)</f>
        <v>0</v>
      </c>
      <c r="AK80">
        <f>IF(VLOOKUP(AK$1,main!$A$3:$I$56,5,FALSE)-VLOOKUP($A80,main!$A$3:$I$56,6,FALSE)&gt;=VLOOKUP(56,main!$A$57:$I$59,4,FALSE)+VLOOKUP(VLOOKUP(AK$1,main!$A$3:$I$56,7,FALSE),main!$K$10:$Q$14,4,FALSE),1,0)</f>
        <v>0</v>
      </c>
      <c r="AL80">
        <f>IF(VLOOKUP(AL$1,main!$A$3:$I$56,5,FALSE)-VLOOKUP($A80,main!$A$3:$I$56,6,FALSE)&gt;=VLOOKUP(56,main!$A$57:$I$59,4,FALSE)+VLOOKUP(VLOOKUP(AL$1,main!$A$3:$I$56,7,FALSE),main!$K$10:$Q$14,4,FALSE),1,0)</f>
        <v>0</v>
      </c>
      <c r="AM80">
        <f>IF(VLOOKUP(AM$1,main!$A$3:$I$56,5,FALSE)-VLOOKUP($A80,main!$A$3:$I$56,6,FALSE)&gt;=VLOOKUP(56,main!$A$57:$I$59,4,FALSE)+VLOOKUP(VLOOKUP(AM$1,main!$A$3:$I$56,7,FALSE),main!$K$10:$Q$14,4,FALSE),1,0)</f>
        <v>0</v>
      </c>
      <c r="AN80">
        <f>IF(VLOOKUP(AN$1,main!$A$3:$I$56,5,FALSE)-VLOOKUP($A80,main!$A$3:$I$56,6,FALSE)&gt;=VLOOKUP(56,main!$A$57:$I$59,4,FALSE)+VLOOKUP(VLOOKUP(AN$1,main!$A$3:$I$56,7,FALSE),main!$K$10:$Q$14,4,FALSE),1,0)</f>
        <v>0</v>
      </c>
      <c r="AO80">
        <f>IF(VLOOKUP(AO$1,main!$A$3:$I$56,5,FALSE)-VLOOKUP($A80,main!$A$3:$I$56,6,FALSE)&gt;=VLOOKUP(56,main!$A$57:$I$59,4,FALSE)+VLOOKUP(VLOOKUP(AO$1,main!$A$3:$I$56,7,FALSE),main!$K$10:$Q$14,4,FALSE),1,0)</f>
        <v>0</v>
      </c>
      <c r="AP80">
        <f>IF(VLOOKUP(AP$1,main!$A$3:$I$56,5,FALSE)-VLOOKUP($A80,main!$A$3:$I$56,6,FALSE)&gt;=VLOOKUP(56,main!$A$57:$I$59,4,FALSE)+VLOOKUP(VLOOKUP(AP$1,main!$A$3:$I$56,7,FALSE),main!$K$10:$Q$14,4,FALSE),1,0)</f>
        <v>0</v>
      </c>
      <c r="AQ80">
        <f>IF(VLOOKUP(AQ$1,main!$A$3:$I$56,5,FALSE)-VLOOKUP($A80,main!$A$3:$I$56,6,FALSE)&gt;=VLOOKUP(56,main!$A$57:$I$59,4,FALSE)+VLOOKUP(VLOOKUP(AQ$1,main!$A$3:$I$56,7,FALSE),main!$K$10:$Q$14,4,FALSE),1,0)</f>
        <v>0</v>
      </c>
      <c r="AR80">
        <f>IF(VLOOKUP(AR$1,main!$A$3:$I$56,5,FALSE)-VLOOKUP($A80,main!$A$3:$I$56,6,FALSE)&gt;=VLOOKUP(56,main!$A$57:$I$59,4,FALSE)+VLOOKUP(VLOOKUP(AR$1,main!$A$3:$I$56,7,FALSE),main!$K$10:$Q$14,4,FALSE),1,0)</f>
        <v>0</v>
      </c>
      <c r="AS80">
        <f>IF(VLOOKUP(AS$1,main!$A$3:$I$56,5,FALSE)-VLOOKUP($A80,main!$A$3:$I$56,6,FALSE)&gt;=VLOOKUP(56,main!$A$57:$I$59,4,FALSE)+VLOOKUP(VLOOKUP(AS$1,main!$A$3:$I$56,7,FALSE),main!$K$10:$Q$14,4,FALSE),1,0)</f>
        <v>0</v>
      </c>
      <c r="AT80">
        <f>IF(VLOOKUP(AT$1,main!$A$3:$I$56,5,FALSE)-VLOOKUP($A80,main!$A$3:$I$56,6,FALSE)&gt;=VLOOKUP(56,main!$A$57:$I$59,4,FALSE)+VLOOKUP(VLOOKUP(AT$1,main!$A$3:$I$56,7,FALSE),main!$K$10:$Q$14,4,FALSE),1,0)</f>
        <v>0</v>
      </c>
      <c r="AU80">
        <f>IF(VLOOKUP(AU$1,main!$A$3:$I$56,5,FALSE)-VLOOKUP($A80,main!$A$3:$I$56,6,FALSE)&gt;=VLOOKUP(56,main!$A$57:$I$59,4,FALSE)+VLOOKUP(VLOOKUP(AU$1,main!$A$3:$I$56,7,FALSE),main!$K$10:$Q$14,4,FALSE),1,0)</f>
        <v>0</v>
      </c>
      <c r="AV80">
        <f>IF(VLOOKUP(AV$1,main!$A$3:$I$56,5,FALSE)-VLOOKUP($A80,main!$A$3:$I$56,6,FALSE)&gt;=VLOOKUP(56,main!$A$57:$I$59,4,FALSE)+VLOOKUP(VLOOKUP(AV$1,main!$A$3:$I$56,7,FALSE),main!$K$10:$Q$14,4,FALSE),1,0)</f>
        <v>0</v>
      </c>
      <c r="AW80">
        <f>IF(VLOOKUP(AW$1,main!$A$3:$I$56,5,FALSE)-VLOOKUP($A80,main!$A$3:$I$56,6,FALSE)&gt;=VLOOKUP(56,main!$A$57:$I$59,4,FALSE)+VLOOKUP(VLOOKUP(AW$1,main!$A$3:$I$56,7,FALSE),main!$K$10:$Q$14,4,FALSE),1,0)</f>
        <v>0</v>
      </c>
      <c r="AX80">
        <f>IF(VLOOKUP(AX$1,main!$A$3:$I$56,5,FALSE)-VLOOKUP($A80,main!$A$3:$I$56,6,FALSE)&gt;=VLOOKUP(56,main!$A$57:$I$59,4,FALSE)+VLOOKUP(VLOOKUP(AX$1,main!$A$3:$I$56,7,FALSE),main!$K$10:$Q$14,4,FALSE),1,0)</f>
        <v>0</v>
      </c>
      <c r="AY80">
        <f>IF(VLOOKUP(AY$1,main!$A$3:$I$56,5,FALSE)-VLOOKUP($A80,main!$A$3:$I$56,6,FALSE)&gt;=VLOOKUP(56,main!$A$57:$I$59,4,FALSE)+VLOOKUP(VLOOKUP(AY$1,main!$A$3:$I$56,7,FALSE),main!$K$10:$Q$14,4,FALSE),1,0)</f>
        <v>0</v>
      </c>
      <c r="AZ80">
        <f>IF(VLOOKUP(AZ$1,main!$A$3:$I$56,5,FALSE)-VLOOKUP($A80,main!$A$3:$I$56,6,FALSE)&gt;=VLOOKUP(56,main!$A$57:$I$59,4,FALSE)+VLOOKUP(VLOOKUP(AZ$1,main!$A$3:$I$56,7,FALSE),main!$K$10:$Q$14,4,FALSE),1,0)</f>
        <v>0</v>
      </c>
      <c r="BA80">
        <f>IF(VLOOKUP(BA$1,main!$A$3:$I$56,5,FALSE)-VLOOKUP($A80,main!$A$3:$I$56,6,FALSE)&gt;=VLOOKUP(56,main!$A$57:$I$59,4,FALSE)+VLOOKUP(VLOOKUP(BA$1,main!$A$3:$I$56,7,FALSE),main!$K$10:$Q$14,4,FALSE),1,0)</f>
        <v>0</v>
      </c>
      <c r="BB80">
        <f>IF(VLOOKUP(BB$1,main!$A$3:$I$56,5,FALSE)-VLOOKUP($A80,main!$A$3:$I$56,6,FALSE)&gt;=VLOOKUP(56,main!$A$57:$I$59,4,FALSE)+VLOOKUP(VLOOKUP(BB$1,main!$A$3:$I$56,7,FALSE),main!$K$10:$Q$14,4,FALSE),1,0)</f>
        <v>0</v>
      </c>
      <c r="BC80">
        <f>IF(VLOOKUP(BC$1,main!$A$3:$I$56,5,FALSE)-VLOOKUP($A80,main!$A$3:$I$56,6,FALSE)&gt;=VLOOKUP(56,main!$A$57:$I$59,4,FALSE)+VLOOKUP(VLOOKUP(BC$1,main!$A$3:$I$56,7,FALSE),main!$K$10:$Q$14,4,FALSE),1,0)</f>
        <v>0</v>
      </c>
      <c r="BD80">
        <f>IF(VLOOKUP(BD$1,main!$A$3:$I$56,5,FALSE)-VLOOKUP($A80,main!$A$3:$I$56,6,FALSE)&gt;=VLOOKUP(56,main!$A$57:$I$59,4,FALSE)+VLOOKUP(VLOOKUP(BD$1,main!$A$3:$I$56,7,FALSE),main!$K$10:$Q$14,4,FALSE),1,0)</f>
        <v>0</v>
      </c>
    </row>
    <row r="81" spans="1:56" x14ac:dyDescent="0.25">
      <c r="A81">
        <f t="shared" si="1"/>
        <v>24</v>
      </c>
      <c r="B81">
        <v>0</v>
      </c>
      <c r="C81">
        <f>IF(VLOOKUP(C$1,main!$A$3:$I$56,5,FALSE)-VLOOKUP($A81,main!$A$3:$I$56,6,FALSE)&gt;=VLOOKUP(56,main!$A$57:$I$59,4,FALSE)+VLOOKUP(VLOOKUP(C$1,main!$A$3:$I$56,7,FALSE),main!$K$10:$Q$14,4,FALSE),1,0)</f>
        <v>0</v>
      </c>
      <c r="D81">
        <f>IF(VLOOKUP(D$1,main!$A$3:$I$56,5,FALSE)-VLOOKUP($A81,main!$A$3:$I$56,6,FALSE)&gt;=VLOOKUP(56,main!$A$57:$I$59,4,FALSE)+VLOOKUP(VLOOKUP(D$1,main!$A$3:$I$56,7,FALSE),main!$K$10:$Q$14,4,FALSE),1,0)</f>
        <v>0</v>
      </c>
      <c r="E81">
        <f>IF(VLOOKUP(E$1,main!$A$3:$I$56,5,FALSE)-VLOOKUP($A81,main!$A$3:$I$56,6,FALSE)&gt;=VLOOKUP(56,main!$A$57:$I$59,4,FALSE)+VLOOKUP(VLOOKUP(E$1,main!$A$3:$I$56,7,FALSE),main!$K$10:$Q$14,4,FALSE),1,0)</f>
        <v>0</v>
      </c>
      <c r="F81">
        <f>IF(VLOOKUP(F$1,main!$A$3:$I$56,5,FALSE)-VLOOKUP($A81,main!$A$3:$I$56,6,FALSE)&gt;=VLOOKUP(56,main!$A$57:$I$59,4,FALSE)+VLOOKUP(VLOOKUP(F$1,main!$A$3:$I$56,7,FALSE),main!$K$10:$Q$14,4,FALSE),1,0)</f>
        <v>0</v>
      </c>
      <c r="G81">
        <f>IF(VLOOKUP(G$1,main!$A$3:$I$56,5,FALSE)-VLOOKUP($A81,main!$A$3:$I$56,6,FALSE)&gt;=VLOOKUP(56,main!$A$57:$I$59,4,FALSE)+VLOOKUP(VLOOKUP(G$1,main!$A$3:$I$56,7,FALSE),main!$K$10:$Q$14,4,FALSE),1,0)</f>
        <v>0</v>
      </c>
      <c r="H81">
        <f>IF(VLOOKUP(H$1,main!$A$3:$I$56,5,FALSE)-VLOOKUP($A81,main!$A$3:$I$56,6,FALSE)&gt;=VLOOKUP(56,main!$A$57:$I$59,4,FALSE)+VLOOKUP(VLOOKUP(H$1,main!$A$3:$I$56,7,FALSE),main!$K$10:$Q$14,4,FALSE),1,0)</f>
        <v>0</v>
      </c>
      <c r="I81">
        <f>IF(VLOOKUP(I$1,main!$A$3:$I$56,5,FALSE)-VLOOKUP($A81,main!$A$3:$I$56,6,FALSE)&gt;=VLOOKUP(56,main!$A$57:$I$59,4,FALSE)+VLOOKUP(VLOOKUP(I$1,main!$A$3:$I$56,7,FALSE),main!$K$10:$Q$14,4,FALSE),1,0)</f>
        <v>0</v>
      </c>
      <c r="J81">
        <f>IF(VLOOKUP(J$1,main!$A$3:$I$56,5,FALSE)-VLOOKUP($A81,main!$A$3:$I$56,6,FALSE)&gt;=VLOOKUP(56,main!$A$57:$I$59,4,FALSE)+VLOOKUP(VLOOKUP(J$1,main!$A$3:$I$56,7,FALSE),main!$K$10:$Q$14,4,FALSE),1,0)</f>
        <v>1</v>
      </c>
      <c r="K81">
        <f>IF(VLOOKUP(K$1,main!$A$3:$I$56,5,FALSE)-VLOOKUP($A81,main!$A$3:$I$56,6,FALSE)&gt;=VLOOKUP(56,main!$A$57:$I$59,4,FALSE)+VLOOKUP(VLOOKUP(K$1,main!$A$3:$I$56,7,FALSE),main!$K$10:$Q$14,4,FALSE),1,0)</f>
        <v>0</v>
      </c>
      <c r="L81">
        <f>IF(VLOOKUP(L$1,main!$A$3:$I$56,5,FALSE)-VLOOKUP($A81,main!$A$3:$I$56,6,FALSE)&gt;=VLOOKUP(56,main!$A$57:$I$59,4,FALSE)+VLOOKUP(VLOOKUP(L$1,main!$A$3:$I$56,7,FALSE),main!$K$10:$Q$14,4,FALSE),1,0)</f>
        <v>0</v>
      </c>
      <c r="M81">
        <f>IF(VLOOKUP(M$1,main!$A$3:$I$56,5,FALSE)-VLOOKUP($A81,main!$A$3:$I$56,6,FALSE)&gt;=VLOOKUP(56,main!$A$57:$I$59,4,FALSE)+VLOOKUP(VLOOKUP(M$1,main!$A$3:$I$56,7,FALSE),main!$K$10:$Q$14,4,FALSE),1,0)</f>
        <v>0</v>
      </c>
      <c r="N81">
        <f>IF(VLOOKUP(N$1,main!$A$3:$I$56,5,FALSE)-VLOOKUP($A81,main!$A$3:$I$56,6,FALSE)&gt;=VLOOKUP(56,main!$A$57:$I$59,4,FALSE)+VLOOKUP(VLOOKUP(N$1,main!$A$3:$I$56,7,FALSE),main!$K$10:$Q$14,4,FALSE),1,0)</f>
        <v>0</v>
      </c>
      <c r="O81">
        <f>IF(VLOOKUP(O$1,main!$A$3:$I$56,5,FALSE)-VLOOKUP($A81,main!$A$3:$I$56,6,FALSE)&gt;=VLOOKUP(56,main!$A$57:$I$59,4,FALSE)+VLOOKUP(VLOOKUP(O$1,main!$A$3:$I$56,7,FALSE),main!$K$10:$Q$14,4,FALSE),1,0)</f>
        <v>1</v>
      </c>
      <c r="P81">
        <f>IF(VLOOKUP(P$1,main!$A$3:$I$56,5,FALSE)-VLOOKUP($A81,main!$A$3:$I$56,6,FALSE)&gt;=VLOOKUP(56,main!$A$57:$I$59,4,FALSE)+VLOOKUP(VLOOKUP(P$1,main!$A$3:$I$56,7,FALSE),main!$K$10:$Q$14,4,FALSE),1,0)</f>
        <v>0</v>
      </c>
      <c r="Q81">
        <f>IF(VLOOKUP(Q$1,main!$A$3:$I$56,5,FALSE)-VLOOKUP($A81,main!$A$3:$I$56,6,FALSE)&gt;=VLOOKUP(56,main!$A$57:$I$59,4,FALSE)+VLOOKUP(VLOOKUP(Q$1,main!$A$3:$I$56,7,FALSE),main!$K$10:$Q$14,4,FALSE),1,0)</f>
        <v>0</v>
      </c>
      <c r="R81">
        <f>IF(VLOOKUP(R$1,main!$A$3:$I$56,5,FALSE)-VLOOKUP($A81,main!$A$3:$I$56,6,FALSE)&gt;=VLOOKUP(56,main!$A$57:$I$59,4,FALSE)+VLOOKUP(VLOOKUP(R$1,main!$A$3:$I$56,7,FALSE),main!$K$10:$Q$14,4,FALSE),1,0)</f>
        <v>0</v>
      </c>
      <c r="S81">
        <f>IF(VLOOKUP(S$1,main!$A$3:$I$56,5,FALSE)-VLOOKUP($A81,main!$A$3:$I$56,6,FALSE)&gt;=VLOOKUP(56,main!$A$57:$I$59,4,FALSE)+VLOOKUP(VLOOKUP(S$1,main!$A$3:$I$56,7,FALSE),main!$K$10:$Q$14,4,FALSE),1,0)</f>
        <v>0</v>
      </c>
      <c r="T81">
        <f>IF(VLOOKUP(T$1,main!$A$3:$I$56,5,FALSE)-VLOOKUP($A81,main!$A$3:$I$56,6,FALSE)&gt;=VLOOKUP(56,main!$A$57:$I$59,4,FALSE)+VLOOKUP(VLOOKUP(T$1,main!$A$3:$I$56,7,FALSE),main!$K$10:$Q$14,4,FALSE),1,0)</f>
        <v>0</v>
      </c>
      <c r="U81">
        <f>IF(VLOOKUP(U$1,main!$A$3:$I$56,5,FALSE)-VLOOKUP($A81,main!$A$3:$I$56,6,FALSE)&gt;=VLOOKUP(56,main!$A$57:$I$59,4,FALSE)+VLOOKUP(VLOOKUP(U$1,main!$A$3:$I$56,7,FALSE),main!$K$10:$Q$14,4,FALSE),1,0)</f>
        <v>0</v>
      </c>
      <c r="V81">
        <f>IF(VLOOKUP(V$1,main!$A$3:$I$56,5,FALSE)-VLOOKUP($A81,main!$A$3:$I$56,6,FALSE)&gt;=VLOOKUP(56,main!$A$57:$I$59,4,FALSE)+VLOOKUP(VLOOKUP(V$1,main!$A$3:$I$56,7,FALSE),main!$K$10:$Q$14,4,FALSE),1,0)</f>
        <v>0</v>
      </c>
      <c r="W81">
        <f>IF(VLOOKUP(W$1,main!$A$3:$I$56,5,FALSE)-VLOOKUP($A81,main!$A$3:$I$56,6,FALSE)&gt;=VLOOKUP(56,main!$A$57:$I$59,4,FALSE)+VLOOKUP(VLOOKUP(W$1,main!$A$3:$I$56,7,FALSE),main!$K$10:$Q$14,4,FALSE),1,0)</f>
        <v>0</v>
      </c>
      <c r="X81">
        <f>IF(VLOOKUP(X$1,main!$A$3:$I$56,5,FALSE)-VLOOKUP($A81,main!$A$3:$I$56,6,FALSE)&gt;=VLOOKUP(56,main!$A$57:$I$59,4,FALSE)+VLOOKUP(VLOOKUP(X$1,main!$A$3:$I$56,7,FALSE),main!$K$10:$Q$14,4,FALSE),1,0)</f>
        <v>0</v>
      </c>
      <c r="Y81">
        <f>IF(VLOOKUP(Y$1,main!$A$3:$I$56,5,FALSE)-VLOOKUP($A81,main!$A$3:$I$56,6,FALSE)&gt;=VLOOKUP(56,main!$A$57:$I$59,4,FALSE)+VLOOKUP(VLOOKUP(Y$1,main!$A$3:$I$56,7,FALSE),main!$K$10:$Q$14,4,FALSE),1,0)</f>
        <v>0</v>
      </c>
      <c r="Z81">
        <f>IF(VLOOKUP(Z$1,main!$A$3:$I$56,5,FALSE)-VLOOKUP($A81,main!$A$3:$I$56,6,FALSE)&gt;=VLOOKUP(56,main!$A$57:$I$59,4,FALSE)+VLOOKUP(VLOOKUP(Z$1,main!$A$3:$I$56,7,FALSE),main!$K$10:$Q$14,4,FALSE),1,0)</f>
        <v>0</v>
      </c>
      <c r="AA81">
        <f>IF(VLOOKUP(AA$1,main!$A$3:$I$56,5,FALSE)-VLOOKUP($A81,main!$A$3:$I$56,6,FALSE)&gt;=VLOOKUP(56,main!$A$57:$I$59,4,FALSE)+VLOOKUP(VLOOKUP(AA$1,main!$A$3:$I$56,7,FALSE),main!$K$10:$Q$14,4,FALSE),1,0)</f>
        <v>0</v>
      </c>
      <c r="AB81">
        <f>IF(VLOOKUP(AB$1,main!$A$3:$I$56,5,FALSE)-VLOOKUP($A81,main!$A$3:$I$56,6,FALSE)&gt;=VLOOKUP(56,main!$A$57:$I$59,4,FALSE)+VLOOKUP(VLOOKUP(AB$1,main!$A$3:$I$56,7,FALSE),main!$K$10:$Q$14,4,FALSE),1,0)</f>
        <v>0</v>
      </c>
      <c r="AC81">
        <f>IF(VLOOKUP(AC$1,main!$A$3:$I$56,5,FALSE)-VLOOKUP($A81,main!$A$3:$I$56,6,FALSE)&gt;=VLOOKUP(56,main!$A$57:$I$59,4,FALSE)+VLOOKUP(VLOOKUP(AC$1,main!$A$3:$I$56,7,FALSE),main!$K$10:$Q$14,4,FALSE),1,0)</f>
        <v>0</v>
      </c>
      <c r="AD81">
        <f>IF(VLOOKUP(AD$1,main!$A$3:$I$56,5,FALSE)-VLOOKUP($A81,main!$A$3:$I$56,6,FALSE)&gt;=VLOOKUP(56,main!$A$57:$I$59,4,FALSE)+VLOOKUP(VLOOKUP(AD$1,main!$A$3:$I$56,7,FALSE),main!$K$10:$Q$14,4,FALSE),1,0)</f>
        <v>0</v>
      </c>
      <c r="AE81">
        <f>IF(VLOOKUP(AE$1,main!$A$3:$I$56,5,FALSE)-VLOOKUP($A81,main!$A$3:$I$56,6,FALSE)&gt;=VLOOKUP(56,main!$A$57:$I$59,4,FALSE)+VLOOKUP(VLOOKUP(AE$1,main!$A$3:$I$56,7,FALSE),main!$K$10:$Q$14,4,FALSE),1,0)</f>
        <v>0</v>
      </c>
      <c r="AF81">
        <f>IF(VLOOKUP(AF$1,main!$A$3:$I$56,5,FALSE)-VLOOKUP($A81,main!$A$3:$I$56,6,FALSE)&gt;=VLOOKUP(56,main!$A$57:$I$59,4,FALSE)+VLOOKUP(VLOOKUP(AF$1,main!$A$3:$I$56,7,FALSE),main!$K$10:$Q$14,4,FALSE),1,0)</f>
        <v>0</v>
      </c>
      <c r="AG81">
        <f>IF(VLOOKUP(AG$1,main!$A$3:$I$56,5,FALSE)-VLOOKUP($A81,main!$A$3:$I$56,6,FALSE)&gt;=VLOOKUP(56,main!$A$57:$I$59,4,FALSE)+VLOOKUP(VLOOKUP(AG$1,main!$A$3:$I$56,7,FALSE),main!$K$10:$Q$14,4,FALSE),1,0)</f>
        <v>0</v>
      </c>
      <c r="AH81">
        <f>IF(VLOOKUP(AH$1,main!$A$3:$I$56,5,FALSE)-VLOOKUP($A81,main!$A$3:$I$56,6,FALSE)&gt;=VLOOKUP(56,main!$A$57:$I$59,4,FALSE)+VLOOKUP(VLOOKUP(AH$1,main!$A$3:$I$56,7,FALSE),main!$K$10:$Q$14,4,FALSE),1,0)</f>
        <v>0</v>
      </c>
      <c r="AI81">
        <f>IF(VLOOKUP(AI$1,main!$A$3:$I$56,5,FALSE)-VLOOKUP($A81,main!$A$3:$I$56,6,FALSE)&gt;=VLOOKUP(56,main!$A$57:$I$59,4,FALSE)+VLOOKUP(VLOOKUP(AI$1,main!$A$3:$I$56,7,FALSE),main!$K$10:$Q$14,4,FALSE),1,0)</f>
        <v>0</v>
      </c>
      <c r="AJ81">
        <f>IF(VLOOKUP(AJ$1,main!$A$3:$I$56,5,FALSE)-VLOOKUP($A81,main!$A$3:$I$56,6,FALSE)&gt;=VLOOKUP(56,main!$A$57:$I$59,4,FALSE)+VLOOKUP(VLOOKUP(AJ$1,main!$A$3:$I$56,7,FALSE),main!$K$10:$Q$14,4,FALSE),1,0)</f>
        <v>0</v>
      </c>
      <c r="AK81">
        <f>IF(VLOOKUP(AK$1,main!$A$3:$I$56,5,FALSE)-VLOOKUP($A81,main!$A$3:$I$56,6,FALSE)&gt;=VLOOKUP(56,main!$A$57:$I$59,4,FALSE)+VLOOKUP(VLOOKUP(AK$1,main!$A$3:$I$56,7,FALSE),main!$K$10:$Q$14,4,FALSE),1,0)</f>
        <v>0</v>
      </c>
      <c r="AL81">
        <f>IF(VLOOKUP(AL$1,main!$A$3:$I$56,5,FALSE)-VLOOKUP($A81,main!$A$3:$I$56,6,FALSE)&gt;=VLOOKUP(56,main!$A$57:$I$59,4,FALSE)+VLOOKUP(VLOOKUP(AL$1,main!$A$3:$I$56,7,FALSE),main!$K$10:$Q$14,4,FALSE),1,0)</f>
        <v>0</v>
      </c>
      <c r="AM81">
        <f>IF(VLOOKUP(AM$1,main!$A$3:$I$56,5,FALSE)-VLOOKUP($A81,main!$A$3:$I$56,6,FALSE)&gt;=VLOOKUP(56,main!$A$57:$I$59,4,FALSE)+VLOOKUP(VLOOKUP(AM$1,main!$A$3:$I$56,7,FALSE),main!$K$10:$Q$14,4,FALSE),1,0)</f>
        <v>0</v>
      </c>
      <c r="AN81">
        <f>IF(VLOOKUP(AN$1,main!$A$3:$I$56,5,FALSE)-VLOOKUP($A81,main!$A$3:$I$56,6,FALSE)&gt;=VLOOKUP(56,main!$A$57:$I$59,4,FALSE)+VLOOKUP(VLOOKUP(AN$1,main!$A$3:$I$56,7,FALSE),main!$K$10:$Q$14,4,FALSE),1,0)</f>
        <v>0</v>
      </c>
      <c r="AO81">
        <f>IF(VLOOKUP(AO$1,main!$A$3:$I$56,5,FALSE)-VLOOKUP($A81,main!$A$3:$I$56,6,FALSE)&gt;=VLOOKUP(56,main!$A$57:$I$59,4,FALSE)+VLOOKUP(VLOOKUP(AO$1,main!$A$3:$I$56,7,FALSE),main!$K$10:$Q$14,4,FALSE),1,0)</f>
        <v>0</v>
      </c>
      <c r="AP81">
        <f>IF(VLOOKUP(AP$1,main!$A$3:$I$56,5,FALSE)-VLOOKUP($A81,main!$A$3:$I$56,6,FALSE)&gt;=VLOOKUP(56,main!$A$57:$I$59,4,FALSE)+VLOOKUP(VLOOKUP(AP$1,main!$A$3:$I$56,7,FALSE),main!$K$10:$Q$14,4,FALSE),1,0)</f>
        <v>0</v>
      </c>
      <c r="AQ81">
        <f>IF(VLOOKUP(AQ$1,main!$A$3:$I$56,5,FALSE)-VLOOKUP($A81,main!$A$3:$I$56,6,FALSE)&gt;=VLOOKUP(56,main!$A$57:$I$59,4,FALSE)+VLOOKUP(VLOOKUP(AQ$1,main!$A$3:$I$56,7,FALSE),main!$K$10:$Q$14,4,FALSE),1,0)</f>
        <v>0</v>
      </c>
      <c r="AR81">
        <f>IF(VLOOKUP(AR$1,main!$A$3:$I$56,5,FALSE)-VLOOKUP($A81,main!$A$3:$I$56,6,FALSE)&gt;=VLOOKUP(56,main!$A$57:$I$59,4,FALSE)+VLOOKUP(VLOOKUP(AR$1,main!$A$3:$I$56,7,FALSE),main!$K$10:$Q$14,4,FALSE),1,0)</f>
        <v>0</v>
      </c>
      <c r="AS81">
        <f>IF(VLOOKUP(AS$1,main!$A$3:$I$56,5,FALSE)-VLOOKUP($A81,main!$A$3:$I$56,6,FALSE)&gt;=VLOOKUP(56,main!$A$57:$I$59,4,FALSE)+VLOOKUP(VLOOKUP(AS$1,main!$A$3:$I$56,7,FALSE),main!$K$10:$Q$14,4,FALSE),1,0)</f>
        <v>0</v>
      </c>
      <c r="AT81">
        <f>IF(VLOOKUP(AT$1,main!$A$3:$I$56,5,FALSE)-VLOOKUP($A81,main!$A$3:$I$56,6,FALSE)&gt;=VLOOKUP(56,main!$A$57:$I$59,4,FALSE)+VLOOKUP(VLOOKUP(AT$1,main!$A$3:$I$56,7,FALSE),main!$K$10:$Q$14,4,FALSE),1,0)</f>
        <v>0</v>
      </c>
      <c r="AU81">
        <f>IF(VLOOKUP(AU$1,main!$A$3:$I$56,5,FALSE)-VLOOKUP($A81,main!$A$3:$I$56,6,FALSE)&gt;=VLOOKUP(56,main!$A$57:$I$59,4,FALSE)+VLOOKUP(VLOOKUP(AU$1,main!$A$3:$I$56,7,FALSE),main!$K$10:$Q$14,4,FALSE),1,0)</f>
        <v>0</v>
      </c>
      <c r="AV81">
        <f>IF(VLOOKUP(AV$1,main!$A$3:$I$56,5,FALSE)-VLOOKUP($A81,main!$A$3:$I$56,6,FALSE)&gt;=VLOOKUP(56,main!$A$57:$I$59,4,FALSE)+VLOOKUP(VLOOKUP(AV$1,main!$A$3:$I$56,7,FALSE),main!$K$10:$Q$14,4,FALSE),1,0)</f>
        <v>0</v>
      </c>
      <c r="AW81">
        <f>IF(VLOOKUP(AW$1,main!$A$3:$I$56,5,FALSE)-VLOOKUP($A81,main!$A$3:$I$56,6,FALSE)&gt;=VLOOKUP(56,main!$A$57:$I$59,4,FALSE)+VLOOKUP(VLOOKUP(AW$1,main!$A$3:$I$56,7,FALSE),main!$K$10:$Q$14,4,FALSE),1,0)</f>
        <v>0</v>
      </c>
      <c r="AX81">
        <f>IF(VLOOKUP(AX$1,main!$A$3:$I$56,5,FALSE)-VLOOKUP($A81,main!$A$3:$I$56,6,FALSE)&gt;=VLOOKUP(56,main!$A$57:$I$59,4,FALSE)+VLOOKUP(VLOOKUP(AX$1,main!$A$3:$I$56,7,FALSE),main!$K$10:$Q$14,4,FALSE),1,0)</f>
        <v>0</v>
      </c>
      <c r="AY81">
        <f>IF(VLOOKUP(AY$1,main!$A$3:$I$56,5,FALSE)-VLOOKUP($A81,main!$A$3:$I$56,6,FALSE)&gt;=VLOOKUP(56,main!$A$57:$I$59,4,FALSE)+VLOOKUP(VLOOKUP(AY$1,main!$A$3:$I$56,7,FALSE),main!$K$10:$Q$14,4,FALSE),1,0)</f>
        <v>0</v>
      </c>
      <c r="AZ81">
        <f>IF(VLOOKUP(AZ$1,main!$A$3:$I$56,5,FALSE)-VLOOKUP($A81,main!$A$3:$I$56,6,FALSE)&gt;=VLOOKUP(56,main!$A$57:$I$59,4,FALSE)+VLOOKUP(VLOOKUP(AZ$1,main!$A$3:$I$56,7,FALSE),main!$K$10:$Q$14,4,FALSE),1,0)</f>
        <v>0</v>
      </c>
      <c r="BA81">
        <f>IF(VLOOKUP(BA$1,main!$A$3:$I$56,5,FALSE)-VLOOKUP($A81,main!$A$3:$I$56,6,FALSE)&gt;=VLOOKUP(56,main!$A$57:$I$59,4,FALSE)+VLOOKUP(VLOOKUP(BA$1,main!$A$3:$I$56,7,FALSE),main!$K$10:$Q$14,4,FALSE),1,0)</f>
        <v>0</v>
      </c>
      <c r="BB81">
        <f>IF(VLOOKUP(BB$1,main!$A$3:$I$56,5,FALSE)-VLOOKUP($A81,main!$A$3:$I$56,6,FALSE)&gt;=VLOOKUP(56,main!$A$57:$I$59,4,FALSE)+VLOOKUP(VLOOKUP(BB$1,main!$A$3:$I$56,7,FALSE),main!$K$10:$Q$14,4,FALSE),1,0)</f>
        <v>0</v>
      </c>
      <c r="BC81">
        <f>IF(VLOOKUP(BC$1,main!$A$3:$I$56,5,FALSE)-VLOOKUP($A81,main!$A$3:$I$56,6,FALSE)&gt;=VLOOKUP(56,main!$A$57:$I$59,4,FALSE)+VLOOKUP(VLOOKUP(BC$1,main!$A$3:$I$56,7,FALSE),main!$K$10:$Q$14,4,FALSE),1,0)</f>
        <v>0</v>
      </c>
      <c r="BD81">
        <f>IF(VLOOKUP(BD$1,main!$A$3:$I$56,5,FALSE)-VLOOKUP($A81,main!$A$3:$I$56,6,FALSE)&gt;=VLOOKUP(56,main!$A$57:$I$59,4,FALSE)+VLOOKUP(VLOOKUP(BD$1,main!$A$3:$I$56,7,FALSE),main!$K$10:$Q$14,4,FALSE),1,0)</f>
        <v>0</v>
      </c>
    </row>
    <row r="82" spans="1:56" x14ac:dyDescent="0.25">
      <c r="A82">
        <f t="shared" si="1"/>
        <v>25</v>
      </c>
      <c r="B82">
        <v>0</v>
      </c>
      <c r="C82">
        <f>IF(VLOOKUP(C$1,main!$A$3:$I$56,5,FALSE)-VLOOKUP($A82,main!$A$3:$I$56,6,FALSE)&gt;=VLOOKUP(56,main!$A$57:$I$59,4,FALSE)+VLOOKUP(VLOOKUP(C$1,main!$A$3:$I$56,7,FALSE),main!$K$10:$Q$14,4,FALSE),1,0)</f>
        <v>0</v>
      </c>
      <c r="D82">
        <f>IF(VLOOKUP(D$1,main!$A$3:$I$56,5,FALSE)-VLOOKUP($A82,main!$A$3:$I$56,6,FALSE)&gt;=VLOOKUP(56,main!$A$57:$I$59,4,FALSE)+VLOOKUP(VLOOKUP(D$1,main!$A$3:$I$56,7,FALSE),main!$K$10:$Q$14,4,FALSE),1,0)</f>
        <v>0</v>
      </c>
      <c r="E82">
        <f>IF(VLOOKUP(E$1,main!$A$3:$I$56,5,FALSE)-VLOOKUP($A82,main!$A$3:$I$56,6,FALSE)&gt;=VLOOKUP(56,main!$A$57:$I$59,4,FALSE)+VLOOKUP(VLOOKUP(E$1,main!$A$3:$I$56,7,FALSE),main!$K$10:$Q$14,4,FALSE),1,0)</f>
        <v>0</v>
      </c>
      <c r="F82">
        <f>IF(VLOOKUP(F$1,main!$A$3:$I$56,5,FALSE)-VLOOKUP($A82,main!$A$3:$I$56,6,FALSE)&gt;=VLOOKUP(56,main!$A$57:$I$59,4,FALSE)+VLOOKUP(VLOOKUP(F$1,main!$A$3:$I$56,7,FALSE),main!$K$10:$Q$14,4,FALSE),1,0)</f>
        <v>0</v>
      </c>
      <c r="G82">
        <f>IF(VLOOKUP(G$1,main!$A$3:$I$56,5,FALSE)-VLOOKUP($A82,main!$A$3:$I$56,6,FALSE)&gt;=VLOOKUP(56,main!$A$57:$I$59,4,FALSE)+VLOOKUP(VLOOKUP(G$1,main!$A$3:$I$56,7,FALSE),main!$K$10:$Q$14,4,FALSE),1,0)</f>
        <v>0</v>
      </c>
      <c r="H82">
        <f>IF(VLOOKUP(H$1,main!$A$3:$I$56,5,FALSE)-VLOOKUP($A82,main!$A$3:$I$56,6,FALSE)&gt;=VLOOKUP(56,main!$A$57:$I$59,4,FALSE)+VLOOKUP(VLOOKUP(H$1,main!$A$3:$I$56,7,FALSE),main!$K$10:$Q$14,4,FALSE),1,0)</f>
        <v>0</v>
      </c>
      <c r="I82">
        <f>IF(VLOOKUP(I$1,main!$A$3:$I$56,5,FALSE)-VLOOKUP($A82,main!$A$3:$I$56,6,FALSE)&gt;=VLOOKUP(56,main!$A$57:$I$59,4,FALSE)+VLOOKUP(VLOOKUP(I$1,main!$A$3:$I$56,7,FALSE),main!$K$10:$Q$14,4,FALSE),1,0)</f>
        <v>0</v>
      </c>
      <c r="J82">
        <f>IF(VLOOKUP(J$1,main!$A$3:$I$56,5,FALSE)-VLOOKUP($A82,main!$A$3:$I$56,6,FALSE)&gt;=VLOOKUP(56,main!$A$57:$I$59,4,FALSE)+VLOOKUP(VLOOKUP(J$1,main!$A$3:$I$56,7,FALSE),main!$K$10:$Q$14,4,FALSE),1,0)</f>
        <v>0</v>
      </c>
      <c r="K82">
        <f>IF(VLOOKUP(K$1,main!$A$3:$I$56,5,FALSE)-VLOOKUP($A82,main!$A$3:$I$56,6,FALSE)&gt;=VLOOKUP(56,main!$A$57:$I$59,4,FALSE)+VLOOKUP(VLOOKUP(K$1,main!$A$3:$I$56,7,FALSE),main!$K$10:$Q$14,4,FALSE),1,0)</f>
        <v>0</v>
      </c>
      <c r="L82">
        <f>IF(VLOOKUP(L$1,main!$A$3:$I$56,5,FALSE)-VLOOKUP($A82,main!$A$3:$I$56,6,FALSE)&gt;=VLOOKUP(56,main!$A$57:$I$59,4,FALSE)+VLOOKUP(VLOOKUP(L$1,main!$A$3:$I$56,7,FALSE),main!$K$10:$Q$14,4,FALSE),1,0)</f>
        <v>0</v>
      </c>
      <c r="M82">
        <f>IF(VLOOKUP(M$1,main!$A$3:$I$56,5,FALSE)-VLOOKUP($A82,main!$A$3:$I$56,6,FALSE)&gt;=VLOOKUP(56,main!$A$57:$I$59,4,FALSE)+VLOOKUP(VLOOKUP(M$1,main!$A$3:$I$56,7,FALSE),main!$K$10:$Q$14,4,FALSE),1,0)</f>
        <v>0</v>
      </c>
      <c r="N82">
        <f>IF(VLOOKUP(N$1,main!$A$3:$I$56,5,FALSE)-VLOOKUP($A82,main!$A$3:$I$56,6,FALSE)&gt;=VLOOKUP(56,main!$A$57:$I$59,4,FALSE)+VLOOKUP(VLOOKUP(N$1,main!$A$3:$I$56,7,FALSE),main!$K$10:$Q$14,4,FALSE),1,0)</f>
        <v>0</v>
      </c>
      <c r="O82">
        <f>IF(VLOOKUP(O$1,main!$A$3:$I$56,5,FALSE)-VLOOKUP($A82,main!$A$3:$I$56,6,FALSE)&gt;=VLOOKUP(56,main!$A$57:$I$59,4,FALSE)+VLOOKUP(VLOOKUP(O$1,main!$A$3:$I$56,7,FALSE),main!$K$10:$Q$14,4,FALSE),1,0)</f>
        <v>0</v>
      </c>
      <c r="P82">
        <f>IF(VLOOKUP(P$1,main!$A$3:$I$56,5,FALSE)-VLOOKUP($A82,main!$A$3:$I$56,6,FALSE)&gt;=VLOOKUP(56,main!$A$57:$I$59,4,FALSE)+VLOOKUP(VLOOKUP(P$1,main!$A$3:$I$56,7,FALSE),main!$K$10:$Q$14,4,FALSE),1,0)</f>
        <v>0</v>
      </c>
      <c r="Q82">
        <f>IF(VLOOKUP(Q$1,main!$A$3:$I$56,5,FALSE)-VLOOKUP($A82,main!$A$3:$I$56,6,FALSE)&gt;=VLOOKUP(56,main!$A$57:$I$59,4,FALSE)+VLOOKUP(VLOOKUP(Q$1,main!$A$3:$I$56,7,FALSE),main!$K$10:$Q$14,4,FALSE),1,0)</f>
        <v>0</v>
      </c>
      <c r="R82">
        <f>IF(VLOOKUP(R$1,main!$A$3:$I$56,5,FALSE)-VLOOKUP($A82,main!$A$3:$I$56,6,FALSE)&gt;=VLOOKUP(56,main!$A$57:$I$59,4,FALSE)+VLOOKUP(VLOOKUP(R$1,main!$A$3:$I$56,7,FALSE),main!$K$10:$Q$14,4,FALSE),1,0)</f>
        <v>0</v>
      </c>
      <c r="S82">
        <f>IF(VLOOKUP(S$1,main!$A$3:$I$56,5,FALSE)-VLOOKUP($A82,main!$A$3:$I$56,6,FALSE)&gt;=VLOOKUP(56,main!$A$57:$I$59,4,FALSE)+VLOOKUP(VLOOKUP(S$1,main!$A$3:$I$56,7,FALSE),main!$K$10:$Q$14,4,FALSE),1,0)</f>
        <v>0</v>
      </c>
      <c r="T82">
        <f>IF(VLOOKUP(T$1,main!$A$3:$I$56,5,FALSE)-VLOOKUP($A82,main!$A$3:$I$56,6,FALSE)&gt;=VLOOKUP(56,main!$A$57:$I$59,4,FALSE)+VLOOKUP(VLOOKUP(T$1,main!$A$3:$I$56,7,FALSE),main!$K$10:$Q$14,4,FALSE),1,0)</f>
        <v>0</v>
      </c>
      <c r="U82">
        <f>IF(VLOOKUP(U$1,main!$A$3:$I$56,5,FALSE)-VLOOKUP($A82,main!$A$3:$I$56,6,FALSE)&gt;=VLOOKUP(56,main!$A$57:$I$59,4,FALSE)+VLOOKUP(VLOOKUP(U$1,main!$A$3:$I$56,7,FALSE),main!$K$10:$Q$14,4,FALSE),1,0)</f>
        <v>0</v>
      </c>
      <c r="V82">
        <f>IF(VLOOKUP(V$1,main!$A$3:$I$56,5,FALSE)-VLOOKUP($A82,main!$A$3:$I$56,6,FALSE)&gt;=VLOOKUP(56,main!$A$57:$I$59,4,FALSE)+VLOOKUP(VLOOKUP(V$1,main!$A$3:$I$56,7,FALSE),main!$K$10:$Q$14,4,FALSE),1,0)</f>
        <v>0</v>
      </c>
      <c r="W82">
        <f>IF(VLOOKUP(W$1,main!$A$3:$I$56,5,FALSE)-VLOOKUP($A82,main!$A$3:$I$56,6,FALSE)&gt;=VLOOKUP(56,main!$A$57:$I$59,4,FALSE)+VLOOKUP(VLOOKUP(W$1,main!$A$3:$I$56,7,FALSE),main!$K$10:$Q$14,4,FALSE),1,0)</f>
        <v>0</v>
      </c>
      <c r="X82">
        <f>IF(VLOOKUP(X$1,main!$A$3:$I$56,5,FALSE)-VLOOKUP($A82,main!$A$3:$I$56,6,FALSE)&gt;=VLOOKUP(56,main!$A$57:$I$59,4,FALSE)+VLOOKUP(VLOOKUP(X$1,main!$A$3:$I$56,7,FALSE),main!$K$10:$Q$14,4,FALSE),1,0)</f>
        <v>0</v>
      </c>
      <c r="Y82">
        <f>IF(VLOOKUP(Y$1,main!$A$3:$I$56,5,FALSE)-VLOOKUP($A82,main!$A$3:$I$56,6,FALSE)&gt;=VLOOKUP(56,main!$A$57:$I$59,4,FALSE)+VLOOKUP(VLOOKUP(Y$1,main!$A$3:$I$56,7,FALSE),main!$K$10:$Q$14,4,FALSE),1,0)</f>
        <v>0</v>
      </c>
      <c r="Z82">
        <f>IF(VLOOKUP(Z$1,main!$A$3:$I$56,5,FALSE)-VLOOKUP($A82,main!$A$3:$I$56,6,FALSE)&gt;=VLOOKUP(56,main!$A$57:$I$59,4,FALSE)+VLOOKUP(VLOOKUP(Z$1,main!$A$3:$I$56,7,FALSE),main!$K$10:$Q$14,4,FALSE),1,0)</f>
        <v>0</v>
      </c>
      <c r="AA82">
        <f>IF(VLOOKUP(AA$1,main!$A$3:$I$56,5,FALSE)-VLOOKUP($A82,main!$A$3:$I$56,6,FALSE)&gt;=VLOOKUP(56,main!$A$57:$I$59,4,FALSE)+VLOOKUP(VLOOKUP(AA$1,main!$A$3:$I$56,7,FALSE),main!$K$10:$Q$14,4,FALSE),1,0)</f>
        <v>0</v>
      </c>
      <c r="AB82">
        <f>IF(VLOOKUP(AB$1,main!$A$3:$I$56,5,FALSE)-VLOOKUP($A82,main!$A$3:$I$56,6,FALSE)&gt;=VLOOKUP(56,main!$A$57:$I$59,4,FALSE)+VLOOKUP(VLOOKUP(AB$1,main!$A$3:$I$56,7,FALSE),main!$K$10:$Q$14,4,FALSE),1,0)</f>
        <v>0</v>
      </c>
      <c r="AC82">
        <f>IF(VLOOKUP(AC$1,main!$A$3:$I$56,5,FALSE)-VLOOKUP($A82,main!$A$3:$I$56,6,FALSE)&gt;=VLOOKUP(56,main!$A$57:$I$59,4,FALSE)+VLOOKUP(VLOOKUP(AC$1,main!$A$3:$I$56,7,FALSE),main!$K$10:$Q$14,4,FALSE),1,0)</f>
        <v>0</v>
      </c>
      <c r="AD82">
        <f>IF(VLOOKUP(AD$1,main!$A$3:$I$56,5,FALSE)-VLOOKUP($A82,main!$A$3:$I$56,6,FALSE)&gt;=VLOOKUP(56,main!$A$57:$I$59,4,FALSE)+VLOOKUP(VLOOKUP(AD$1,main!$A$3:$I$56,7,FALSE),main!$K$10:$Q$14,4,FALSE),1,0)</f>
        <v>0</v>
      </c>
      <c r="AE82">
        <f>IF(VLOOKUP(AE$1,main!$A$3:$I$56,5,FALSE)-VLOOKUP($A82,main!$A$3:$I$56,6,FALSE)&gt;=VLOOKUP(56,main!$A$57:$I$59,4,FALSE)+VLOOKUP(VLOOKUP(AE$1,main!$A$3:$I$56,7,FALSE),main!$K$10:$Q$14,4,FALSE),1,0)</f>
        <v>0</v>
      </c>
      <c r="AF82">
        <f>IF(VLOOKUP(AF$1,main!$A$3:$I$56,5,FALSE)-VLOOKUP($A82,main!$A$3:$I$56,6,FALSE)&gt;=VLOOKUP(56,main!$A$57:$I$59,4,FALSE)+VLOOKUP(VLOOKUP(AF$1,main!$A$3:$I$56,7,FALSE),main!$K$10:$Q$14,4,FALSE),1,0)</f>
        <v>0</v>
      </c>
      <c r="AG82">
        <f>IF(VLOOKUP(AG$1,main!$A$3:$I$56,5,FALSE)-VLOOKUP($A82,main!$A$3:$I$56,6,FALSE)&gt;=VLOOKUP(56,main!$A$57:$I$59,4,FALSE)+VLOOKUP(VLOOKUP(AG$1,main!$A$3:$I$56,7,FALSE),main!$K$10:$Q$14,4,FALSE),1,0)</f>
        <v>0</v>
      </c>
      <c r="AH82">
        <f>IF(VLOOKUP(AH$1,main!$A$3:$I$56,5,FALSE)-VLOOKUP($A82,main!$A$3:$I$56,6,FALSE)&gt;=VLOOKUP(56,main!$A$57:$I$59,4,FALSE)+VLOOKUP(VLOOKUP(AH$1,main!$A$3:$I$56,7,FALSE),main!$K$10:$Q$14,4,FALSE),1,0)</f>
        <v>0</v>
      </c>
      <c r="AI82">
        <f>IF(VLOOKUP(AI$1,main!$A$3:$I$56,5,FALSE)-VLOOKUP($A82,main!$A$3:$I$56,6,FALSE)&gt;=VLOOKUP(56,main!$A$57:$I$59,4,FALSE)+VLOOKUP(VLOOKUP(AI$1,main!$A$3:$I$56,7,FALSE),main!$K$10:$Q$14,4,FALSE),1,0)</f>
        <v>0</v>
      </c>
      <c r="AJ82">
        <f>IF(VLOOKUP(AJ$1,main!$A$3:$I$56,5,FALSE)-VLOOKUP($A82,main!$A$3:$I$56,6,FALSE)&gt;=VLOOKUP(56,main!$A$57:$I$59,4,FALSE)+VLOOKUP(VLOOKUP(AJ$1,main!$A$3:$I$56,7,FALSE),main!$K$10:$Q$14,4,FALSE),1,0)</f>
        <v>0</v>
      </c>
      <c r="AK82">
        <f>IF(VLOOKUP(AK$1,main!$A$3:$I$56,5,FALSE)-VLOOKUP($A82,main!$A$3:$I$56,6,FALSE)&gt;=VLOOKUP(56,main!$A$57:$I$59,4,FALSE)+VLOOKUP(VLOOKUP(AK$1,main!$A$3:$I$56,7,FALSE),main!$K$10:$Q$14,4,FALSE),1,0)</f>
        <v>0</v>
      </c>
      <c r="AL82">
        <f>IF(VLOOKUP(AL$1,main!$A$3:$I$56,5,FALSE)-VLOOKUP($A82,main!$A$3:$I$56,6,FALSE)&gt;=VLOOKUP(56,main!$A$57:$I$59,4,FALSE)+VLOOKUP(VLOOKUP(AL$1,main!$A$3:$I$56,7,FALSE),main!$K$10:$Q$14,4,FALSE),1,0)</f>
        <v>0</v>
      </c>
      <c r="AM82">
        <f>IF(VLOOKUP(AM$1,main!$A$3:$I$56,5,FALSE)-VLOOKUP($A82,main!$A$3:$I$56,6,FALSE)&gt;=VLOOKUP(56,main!$A$57:$I$59,4,FALSE)+VLOOKUP(VLOOKUP(AM$1,main!$A$3:$I$56,7,FALSE),main!$K$10:$Q$14,4,FALSE),1,0)</f>
        <v>0</v>
      </c>
      <c r="AN82">
        <f>IF(VLOOKUP(AN$1,main!$A$3:$I$56,5,FALSE)-VLOOKUP($A82,main!$A$3:$I$56,6,FALSE)&gt;=VLOOKUP(56,main!$A$57:$I$59,4,FALSE)+VLOOKUP(VLOOKUP(AN$1,main!$A$3:$I$56,7,FALSE),main!$K$10:$Q$14,4,FALSE),1,0)</f>
        <v>0</v>
      </c>
      <c r="AO82">
        <f>IF(VLOOKUP(AO$1,main!$A$3:$I$56,5,FALSE)-VLOOKUP($A82,main!$A$3:$I$56,6,FALSE)&gt;=VLOOKUP(56,main!$A$57:$I$59,4,FALSE)+VLOOKUP(VLOOKUP(AO$1,main!$A$3:$I$56,7,FALSE),main!$K$10:$Q$14,4,FALSE),1,0)</f>
        <v>0</v>
      </c>
      <c r="AP82">
        <f>IF(VLOOKUP(AP$1,main!$A$3:$I$56,5,FALSE)-VLOOKUP($A82,main!$A$3:$I$56,6,FALSE)&gt;=VLOOKUP(56,main!$A$57:$I$59,4,FALSE)+VLOOKUP(VLOOKUP(AP$1,main!$A$3:$I$56,7,FALSE),main!$K$10:$Q$14,4,FALSE),1,0)</f>
        <v>0</v>
      </c>
      <c r="AQ82">
        <f>IF(VLOOKUP(AQ$1,main!$A$3:$I$56,5,FALSE)-VLOOKUP($A82,main!$A$3:$I$56,6,FALSE)&gt;=VLOOKUP(56,main!$A$57:$I$59,4,FALSE)+VLOOKUP(VLOOKUP(AQ$1,main!$A$3:$I$56,7,FALSE),main!$K$10:$Q$14,4,FALSE),1,0)</f>
        <v>0</v>
      </c>
      <c r="AR82">
        <f>IF(VLOOKUP(AR$1,main!$A$3:$I$56,5,FALSE)-VLOOKUP($A82,main!$A$3:$I$56,6,FALSE)&gt;=VLOOKUP(56,main!$A$57:$I$59,4,FALSE)+VLOOKUP(VLOOKUP(AR$1,main!$A$3:$I$56,7,FALSE),main!$K$10:$Q$14,4,FALSE),1,0)</f>
        <v>0</v>
      </c>
      <c r="AS82">
        <f>IF(VLOOKUP(AS$1,main!$A$3:$I$56,5,FALSE)-VLOOKUP($A82,main!$A$3:$I$56,6,FALSE)&gt;=VLOOKUP(56,main!$A$57:$I$59,4,FALSE)+VLOOKUP(VLOOKUP(AS$1,main!$A$3:$I$56,7,FALSE),main!$K$10:$Q$14,4,FALSE),1,0)</f>
        <v>0</v>
      </c>
      <c r="AT82">
        <f>IF(VLOOKUP(AT$1,main!$A$3:$I$56,5,FALSE)-VLOOKUP($A82,main!$A$3:$I$56,6,FALSE)&gt;=VLOOKUP(56,main!$A$57:$I$59,4,FALSE)+VLOOKUP(VLOOKUP(AT$1,main!$A$3:$I$56,7,FALSE),main!$K$10:$Q$14,4,FALSE),1,0)</f>
        <v>0</v>
      </c>
      <c r="AU82">
        <f>IF(VLOOKUP(AU$1,main!$A$3:$I$56,5,FALSE)-VLOOKUP($A82,main!$A$3:$I$56,6,FALSE)&gt;=VLOOKUP(56,main!$A$57:$I$59,4,FALSE)+VLOOKUP(VLOOKUP(AU$1,main!$A$3:$I$56,7,FALSE),main!$K$10:$Q$14,4,FALSE),1,0)</f>
        <v>0</v>
      </c>
      <c r="AV82">
        <f>IF(VLOOKUP(AV$1,main!$A$3:$I$56,5,FALSE)-VLOOKUP($A82,main!$A$3:$I$56,6,FALSE)&gt;=VLOOKUP(56,main!$A$57:$I$59,4,FALSE)+VLOOKUP(VLOOKUP(AV$1,main!$A$3:$I$56,7,FALSE),main!$K$10:$Q$14,4,FALSE),1,0)</f>
        <v>0</v>
      </c>
      <c r="AW82">
        <f>IF(VLOOKUP(AW$1,main!$A$3:$I$56,5,FALSE)-VLOOKUP($A82,main!$A$3:$I$56,6,FALSE)&gt;=VLOOKUP(56,main!$A$57:$I$59,4,FALSE)+VLOOKUP(VLOOKUP(AW$1,main!$A$3:$I$56,7,FALSE),main!$K$10:$Q$14,4,FALSE),1,0)</f>
        <v>0</v>
      </c>
      <c r="AX82">
        <f>IF(VLOOKUP(AX$1,main!$A$3:$I$56,5,FALSE)-VLOOKUP($A82,main!$A$3:$I$56,6,FALSE)&gt;=VLOOKUP(56,main!$A$57:$I$59,4,FALSE)+VLOOKUP(VLOOKUP(AX$1,main!$A$3:$I$56,7,FALSE),main!$K$10:$Q$14,4,FALSE),1,0)</f>
        <v>0</v>
      </c>
      <c r="AY82">
        <f>IF(VLOOKUP(AY$1,main!$A$3:$I$56,5,FALSE)-VLOOKUP($A82,main!$A$3:$I$56,6,FALSE)&gt;=VLOOKUP(56,main!$A$57:$I$59,4,FALSE)+VLOOKUP(VLOOKUP(AY$1,main!$A$3:$I$56,7,FALSE),main!$K$10:$Q$14,4,FALSE),1,0)</f>
        <v>0</v>
      </c>
      <c r="AZ82">
        <f>IF(VLOOKUP(AZ$1,main!$A$3:$I$56,5,FALSE)-VLOOKUP($A82,main!$A$3:$I$56,6,FALSE)&gt;=VLOOKUP(56,main!$A$57:$I$59,4,FALSE)+VLOOKUP(VLOOKUP(AZ$1,main!$A$3:$I$56,7,FALSE),main!$K$10:$Q$14,4,FALSE),1,0)</f>
        <v>0</v>
      </c>
      <c r="BA82">
        <f>IF(VLOOKUP(BA$1,main!$A$3:$I$56,5,FALSE)-VLOOKUP($A82,main!$A$3:$I$56,6,FALSE)&gt;=VLOOKUP(56,main!$A$57:$I$59,4,FALSE)+VLOOKUP(VLOOKUP(BA$1,main!$A$3:$I$56,7,FALSE),main!$K$10:$Q$14,4,FALSE),1,0)</f>
        <v>0</v>
      </c>
      <c r="BB82">
        <f>IF(VLOOKUP(BB$1,main!$A$3:$I$56,5,FALSE)-VLOOKUP($A82,main!$A$3:$I$56,6,FALSE)&gt;=VLOOKUP(56,main!$A$57:$I$59,4,FALSE)+VLOOKUP(VLOOKUP(BB$1,main!$A$3:$I$56,7,FALSE),main!$K$10:$Q$14,4,FALSE),1,0)</f>
        <v>0</v>
      </c>
      <c r="BC82">
        <f>IF(VLOOKUP(BC$1,main!$A$3:$I$56,5,FALSE)-VLOOKUP($A82,main!$A$3:$I$56,6,FALSE)&gt;=VLOOKUP(56,main!$A$57:$I$59,4,FALSE)+VLOOKUP(VLOOKUP(BC$1,main!$A$3:$I$56,7,FALSE),main!$K$10:$Q$14,4,FALSE),1,0)</f>
        <v>0</v>
      </c>
      <c r="BD82">
        <f>IF(VLOOKUP(BD$1,main!$A$3:$I$56,5,FALSE)-VLOOKUP($A82,main!$A$3:$I$56,6,FALSE)&gt;=VLOOKUP(56,main!$A$57:$I$59,4,FALSE)+VLOOKUP(VLOOKUP(BD$1,main!$A$3:$I$56,7,FALSE),main!$K$10:$Q$14,4,FALSE),1,0)</f>
        <v>0</v>
      </c>
    </row>
    <row r="83" spans="1:56" x14ac:dyDescent="0.25">
      <c r="A83">
        <f t="shared" si="1"/>
        <v>26</v>
      </c>
      <c r="B83">
        <v>0</v>
      </c>
      <c r="C83">
        <f>IF(VLOOKUP(C$1,main!$A$3:$I$56,5,FALSE)-VLOOKUP($A83,main!$A$3:$I$56,6,FALSE)&gt;=VLOOKUP(56,main!$A$57:$I$59,4,FALSE)+VLOOKUP(VLOOKUP(C$1,main!$A$3:$I$56,7,FALSE),main!$K$10:$Q$14,4,FALSE),1,0)</f>
        <v>0</v>
      </c>
      <c r="D83">
        <f>IF(VLOOKUP(D$1,main!$A$3:$I$56,5,FALSE)-VLOOKUP($A83,main!$A$3:$I$56,6,FALSE)&gt;=VLOOKUP(56,main!$A$57:$I$59,4,FALSE)+VLOOKUP(VLOOKUP(D$1,main!$A$3:$I$56,7,FALSE),main!$K$10:$Q$14,4,FALSE),1,0)</f>
        <v>0</v>
      </c>
      <c r="E83">
        <f>IF(VLOOKUP(E$1,main!$A$3:$I$56,5,FALSE)-VLOOKUP($A83,main!$A$3:$I$56,6,FALSE)&gt;=VLOOKUP(56,main!$A$57:$I$59,4,FALSE)+VLOOKUP(VLOOKUP(E$1,main!$A$3:$I$56,7,FALSE),main!$K$10:$Q$14,4,FALSE),1,0)</f>
        <v>0</v>
      </c>
      <c r="F83">
        <f>IF(VLOOKUP(F$1,main!$A$3:$I$56,5,FALSE)-VLOOKUP($A83,main!$A$3:$I$56,6,FALSE)&gt;=VLOOKUP(56,main!$A$57:$I$59,4,FALSE)+VLOOKUP(VLOOKUP(F$1,main!$A$3:$I$56,7,FALSE),main!$K$10:$Q$14,4,FALSE),1,0)</f>
        <v>0</v>
      </c>
      <c r="G83">
        <f>IF(VLOOKUP(G$1,main!$A$3:$I$56,5,FALSE)-VLOOKUP($A83,main!$A$3:$I$56,6,FALSE)&gt;=VLOOKUP(56,main!$A$57:$I$59,4,FALSE)+VLOOKUP(VLOOKUP(G$1,main!$A$3:$I$56,7,FALSE),main!$K$10:$Q$14,4,FALSE),1,0)</f>
        <v>0</v>
      </c>
      <c r="H83">
        <f>IF(VLOOKUP(H$1,main!$A$3:$I$56,5,FALSE)-VLOOKUP($A83,main!$A$3:$I$56,6,FALSE)&gt;=VLOOKUP(56,main!$A$57:$I$59,4,FALSE)+VLOOKUP(VLOOKUP(H$1,main!$A$3:$I$56,7,FALSE),main!$K$10:$Q$14,4,FALSE),1,0)</f>
        <v>0</v>
      </c>
      <c r="I83">
        <f>IF(VLOOKUP(I$1,main!$A$3:$I$56,5,FALSE)-VLOOKUP($A83,main!$A$3:$I$56,6,FALSE)&gt;=VLOOKUP(56,main!$A$57:$I$59,4,FALSE)+VLOOKUP(VLOOKUP(I$1,main!$A$3:$I$56,7,FALSE),main!$K$10:$Q$14,4,FALSE),1,0)</f>
        <v>0</v>
      </c>
      <c r="J83">
        <f>IF(VLOOKUP(J$1,main!$A$3:$I$56,5,FALSE)-VLOOKUP($A83,main!$A$3:$I$56,6,FALSE)&gt;=VLOOKUP(56,main!$A$57:$I$59,4,FALSE)+VLOOKUP(VLOOKUP(J$1,main!$A$3:$I$56,7,FALSE),main!$K$10:$Q$14,4,FALSE),1,0)</f>
        <v>0</v>
      </c>
      <c r="K83">
        <f>IF(VLOOKUP(K$1,main!$A$3:$I$56,5,FALSE)-VLOOKUP($A83,main!$A$3:$I$56,6,FALSE)&gt;=VLOOKUP(56,main!$A$57:$I$59,4,FALSE)+VLOOKUP(VLOOKUP(K$1,main!$A$3:$I$56,7,FALSE),main!$K$10:$Q$14,4,FALSE),1,0)</f>
        <v>0</v>
      </c>
      <c r="L83">
        <f>IF(VLOOKUP(L$1,main!$A$3:$I$56,5,FALSE)-VLOOKUP($A83,main!$A$3:$I$56,6,FALSE)&gt;=VLOOKUP(56,main!$A$57:$I$59,4,FALSE)+VLOOKUP(VLOOKUP(L$1,main!$A$3:$I$56,7,FALSE),main!$K$10:$Q$14,4,FALSE),1,0)</f>
        <v>0</v>
      </c>
      <c r="M83">
        <f>IF(VLOOKUP(M$1,main!$A$3:$I$56,5,FALSE)-VLOOKUP($A83,main!$A$3:$I$56,6,FALSE)&gt;=VLOOKUP(56,main!$A$57:$I$59,4,FALSE)+VLOOKUP(VLOOKUP(M$1,main!$A$3:$I$56,7,FALSE),main!$K$10:$Q$14,4,FALSE),1,0)</f>
        <v>0</v>
      </c>
      <c r="N83">
        <f>IF(VLOOKUP(N$1,main!$A$3:$I$56,5,FALSE)-VLOOKUP($A83,main!$A$3:$I$56,6,FALSE)&gt;=VLOOKUP(56,main!$A$57:$I$59,4,FALSE)+VLOOKUP(VLOOKUP(N$1,main!$A$3:$I$56,7,FALSE),main!$K$10:$Q$14,4,FALSE),1,0)</f>
        <v>0</v>
      </c>
      <c r="O83">
        <f>IF(VLOOKUP(O$1,main!$A$3:$I$56,5,FALSE)-VLOOKUP($A83,main!$A$3:$I$56,6,FALSE)&gt;=VLOOKUP(56,main!$A$57:$I$59,4,FALSE)+VLOOKUP(VLOOKUP(O$1,main!$A$3:$I$56,7,FALSE),main!$K$10:$Q$14,4,FALSE),1,0)</f>
        <v>0</v>
      </c>
      <c r="P83">
        <f>IF(VLOOKUP(P$1,main!$A$3:$I$56,5,FALSE)-VLOOKUP($A83,main!$A$3:$I$56,6,FALSE)&gt;=VLOOKUP(56,main!$A$57:$I$59,4,FALSE)+VLOOKUP(VLOOKUP(P$1,main!$A$3:$I$56,7,FALSE),main!$K$10:$Q$14,4,FALSE),1,0)</f>
        <v>0</v>
      </c>
      <c r="Q83">
        <f>IF(VLOOKUP(Q$1,main!$A$3:$I$56,5,FALSE)-VLOOKUP($A83,main!$A$3:$I$56,6,FALSE)&gt;=VLOOKUP(56,main!$A$57:$I$59,4,FALSE)+VLOOKUP(VLOOKUP(Q$1,main!$A$3:$I$56,7,FALSE),main!$K$10:$Q$14,4,FALSE),1,0)</f>
        <v>0</v>
      </c>
      <c r="R83">
        <f>IF(VLOOKUP(R$1,main!$A$3:$I$56,5,FALSE)-VLOOKUP($A83,main!$A$3:$I$56,6,FALSE)&gt;=VLOOKUP(56,main!$A$57:$I$59,4,FALSE)+VLOOKUP(VLOOKUP(R$1,main!$A$3:$I$56,7,FALSE),main!$K$10:$Q$14,4,FALSE),1,0)</f>
        <v>0</v>
      </c>
      <c r="S83">
        <f>IF(VLOOKUP(S$1,main!$A$3:$I$56,5,FALSE)-VLOOKUP($A83,main!$A$3:$I$56,6,FALSE)&gt;=VLOOKUP(56,main!$A$57:$I$59,4,FALSE)+VLOOKUP(VLOOKUP(S$1,main!$A$3:$I$56,7,FALSE),main!$K$10:$Q$14,4,FALSE),1,0)</f>
        <v>0</v>
      </c>
      <c r="T83">
        <f>IF(VLOOKUP(T$1,main!$A$3:$I$56,5,FALSE)-VLOOKUP($A83,main!$A$3:$I$56,6,FALSE)&gt;=VLOOKUP(56,main!$A$57:$I$59,4,FALSE)+VLOOKUP(VLOOKUP(T$1,main!$A$3:$I$56,7,FALSE),main!$K$10:$Q$14,4,FALSE),1,0)</f>
        <v>0</v>
      </c>
      <c r="U83">
        <f>IF(VLOOKUP(U$1,main!$A$3:$I$56,5,FALSE)-VLOOKUP($A83,main!$A$3:$I$56,6,FALSE)&gt;=VLOOKUP(56,main!$A$57:$I$59,4,FALSE)+VLOOKUP(VLOOKUP(U$1,main!$A$3:$I$56,7,FALSE),main!$K$10:$Q$14,4,FALSE),1,0)</f>
        <v>0</v>
      </c>
      <c r="V83">
        <f>IF(VLOOKUP(V$1,main!$A$3:$I$56,5,FALSE)-VLOOKUP($A83,main!$A$3:$I$56,6,FALSE)&gt;=VLOOKUP(56,main!$A$57:$I$59,4,FALSE)+VLOOKUP(VLOOKUP(V$1,main!$A$3:$I$56,7,FALSE),main!$K$10:$Q$14,4,FALSE),1,0)</f>
        <v>0</v>
      </c>
      <c r="W83">
        <f>IF(VLOOKUP(W$1,main!$A$3:$I$56,5,FALSE)-VLOOKUP($A83,main!$A$3:$I$56,6,FALSE)&gt;=VLOOKUP(56,main!$A$57:$I$59,4,FALSE)+VLOOKUP(VLOOKUP(W$1,main!$A$3:$I$56,7,FALSE),main!$K$10:$Q$14,4,FALSE),1,0)</f>
        <v>0</v>
      </c>
      <c r="X83">
        <f>IF(VLOOKUP(X$1,main!$A$3:$I$56,5,FALSE)-VLOOKUP($A83,main!$A$3:$I$56,6,FALSE)&gt;=VLOOKUP(56,main!$A$57:$I$59,4,FALSE)+VLOOKUP(VLOOKUP(X$1,main!$A$3:$I$56,7,FALSE),main!$K$10:$Q$14,4,FALSE),1,0)</f>
        <v>0</v>
      </c>
      <c r="Y83">
        <f>IF(VLOOKUP(Y$1,main!$A$3:$I$56,5,FALSE)-VLOOKUP($A83,main!$A$3:$I$56,6,FALSE)&gt;=VLOOKUP(56,main!$A$57:$I$59,4,FALSE)+VLOOKUP(VLOOKUP(Y$1,main!$A$3:$I$56,7,FALSE),main!$K$10:$Q$14,4,FALSE),1,0)</f>
        <v>0</v>
      </c>
      <c r="Z83">
        <f>IF(VLOOKUP(Z$1,main!$A$3:$I$56,5,FALSE)-VLOOKUP($A83,main!$A$3:$I$56,6,FALSE)&gt;=VLOOKUP(56,main!$A$57:$I$59,4,FALSE)+VLOOKUP(VLOOKUP(Z$1,main!$A$3:$I$56,7,FALSE),main!$K$10:$Q$14,4,FALSE),1,0)</f>
        <v>0</v>
      </c>
      <c r="AA83">
        <f>IF(VLOOKUP(AA$1,main!$A$3:$I$56,5,FALSE)-VLOOKUP($A83,main!$A$3:$I$56,6,FALSE)&gt;=VLOOKUP(56,main!$A$57:$I$59,4,FALSE)+VLOOKUP(VLOOKUP(AA$1,main!$A$3:$I$56,7,FALSE),main!$K$10:$Q$14,4,FALSE),1,0)</f>
        <v>0</v>
      </c>
      <c r="AB83">
        <f>IF(VLOOKUP(AB$1,main!$A$3:$I$56,5,FALSE)-VLOOKUP($A83,main!$A$3:$I$56,6,FALSE)&gt;=VLOOKUP(56,main!$A$57:$I$59,4,FALSE)+VLOOKUP(VLOOKUP(AB$1,main!$A$3:$I$56,7,FALSE),main!$K$10:$Q$14,4,FALSE),1,0)</f>
        <v>0</v>
      </c>
      <c r="AC83">
        <f>IF(VLOOKUP(AC$1,main!$A$3:$I$56,5,FALSE)-VLOOKUP($A83,main!$A$3:$I$56,6,FALSE)&gt;=VLOOKUP(56,main!$A$57:$I$59,4,FALSE)+VLOOKUP(VLOOKUP(AC$1,main!$A$3:$I$56,7,FALSE),main!$K$10:$Q$14,4,FALSE),1,0)</f>
        <v>0</v>
      </c>
      <c r="AD83">
        <f>IF(VLOOKUP(AD$1,main!$A$3:$I$56,5,FALSE)-VLOOKUP($A83,main!$A$3:$I$56,6,FALSE)&gt;=VLOOKUP(56,main!$A$57:$I$59,4,FALSE)+VLOOKUP(VLOOKUP(AD$1,main!$A$3:$I$56,7,FALSE),main!$K$10:$Q$14,4,FALSE),1,0)</f>
        <v>0</v>
      </c>
      <c r="AE83">
        <f>IF(VLOOKUP(AE$1,main!$A$3:$I$56,5,FALSE)-VLOOKUP($A83,main!$A$3:$I$56,6,FALSE)&gt;=VLOOKUP(56,main!$A$57:$I$59,4,FALSE)+VLOOKUP(VLOOKUP(AE$1,main!$A$3:$I$56,7,FALSE),main!$K$10:$Q$14,4,FALSE),1,0)</f>
        <v>0</v>
      </c>
      <c r="AF83">
        <f>IF(VLOOKUP(AF$1,main!$A$3:$I$56,5,FALSE)-VLOOKUP($A83,main!$A$3:$I$56,6,FALSE)&gt;=VLOOKUP(56,main!$A$57:$I$59,4,FALSE)+VLOOKUP(VLOOKUP(AF$1,main!$A$3:$I$56,7,FALSE),main!$K$10:$Q$14,4,FALSE),1,0)</f>
        <v>0</v>
      </c>
      <c r="AG83">
        <f>IF(VLOOKUP(AG$1,main!$A$3:$I$56,5,FALSE)-VLOOKUP($A83,main!$A$3:$I$56,6,FALSE)&gt;=VLOOKUP(56,main!$A$57:$I$59,4,FALSE)+VLOOKUP(VLOOKUP(AG$1,main!$A$3:$I$56,7,FALSE),main!$K$10:$Q$14,4,FALSE),1,0)</f>
        <v>0</v>
      </c>
      <c r="AH83">
        <f>IF(VLOOKUP(AH$1,main!$A$3:$I$56,5,FALSE)-VLOOKUP($A83,main!$A$3:$I$56,6,FALSE)&gt;=VLOOKUP(56,main!$A$57:$I$59,4,FALSE)+VLOOKUP(VLOOKUP(AH$1,main!$A$3:$I$56,7,FALSE),main!$K$10:$Q$14,4,FALSE),1,0)</f>
        <v>0</v>
      </c>
      <c r="AI83">
        <f>IF(VLOOKUP(AI$1,main!$A$3:$I$56,5,FALSE)-VLOOKUP($A83,main!$A$3:$I$56,6,FALSE)&gt;=VLOOKUP(56,main!$A$57:$I$59,4,FALSE)+VLOOKUP(VLOOKUP(AI$1,main!$A$3:$I$56,7,FALSE),main!$K$10:$Q$14,4,FALSE),1,0)</f>
        <v>0</v>
      </c>
      <c r="AJ83">
        <f>IF(VLOOKUP(AJ$1,main!$A$3:$I$56,5,FALSE)-VLOOKUP($A83,main!$A$3:$I$56,6,FALSE)&gt;=VLOOKUP(56,main!$A$57:$I$59,4,FALSE)+VLOOKUP(VLOOKUP(AJ$1,main!$A$3:$I$56,7,FALSE),main!$K$10:$Q$14,4,FALSE),1,0)</f>
        <v>0</v>
      </c>
      <c r="AK83">
        <f>IF(VLOOKUP(AK$1,main!$A$3:$I$56,5,FALSE)-VLOOKUP($A83,main!$A$3:$I$56,6,FALSE)&gt;=VLOOKUP(56,main!$A$57:$I$59,4,FALSE)+VLOOKUP(VLOOKUP(AK$1,main!$A$3:$I$56,7,FALSE),main!$K$10:$Q$14,4,FALSE),1,0)</f>
        <v>0</v>
      </c>
      <c r="AL83">
        <f>IF(VLOOKUP(AL$1,main!$A$3:$I$56,5,FALSE)-VLOOKUP($A83,main!$A$3:$I$56,6,FALSE)&gt;=VLOOKUP(56,main!$A$57:$I$59,4,FALSE)+VLOOKUP(VLOOKUP(AL$1,main!$A$3:$I$56,7,FALSE),main!$K$10:$Q$14,4,FALSE),1,0)</f>
        <v>0</v>
      </c>
      <c r="AM83">
        <f>IF(VLOOKUP(AM$1,main!$A$3:$I$56,5,FALSE)-VLOOKUP($A83,main!$A$3:$I$56,6,FALSE)&gt;=VLOOKUP(56,main!$A$57:$I$59,4,FALSE)+VLOOKUP(VLOOKUP(AM$1,main!$A$3:$I$56,7,FALSE),main!$K$10:$Q$14,4,FALSE),1,0)</f>
        <v>0</v>
      </c>
      <c r="AN83">
        <f>IF(VLOOKUP(AN$1,main!$A$3:$I$56,5,FALSE)-VLOOKUP($A83,main!$A$3:$I$56,6,FALSE)&gt;=VLOOKUP(56,main!$A$57:$I$59,4,FALSE)+VLOOKUP(VLOOKUP(AN$1,main!$A$3:$I$56,7,FALSE),main!$K$10:$Q$14,4,FALSE),1,0)</f>
        <v>0</v>
      </c>
      <c r="AO83">
        <f>IF(VLOOKUP(AO$1,main!$A$3:$I$56,5,FALSE)-VLOOKUP($A83,main!$A$3:$I$56,6,FALSE)&gt;=VLOOKUP(56,main!$A$57:$I$59,4,FALSE)+VLOOKUP(VLOOKUP(AO$1,main!$A$3:$I$56,7,FALSE),main!$K$10:$Q$14,4,FALSE),1,0)</f>
        <v>0</v>
      </c>
      <c r="AP83">
        <f>IF(VLOOKUP(AP$1,main!$A$3:$I$56,5,FALSE)-VLOOKUP($A83,main!$A$3:$I$56,6,FALSE)&gt;=VLOOKUP(56,main!$A$57:$I$59,4,FALSE)+VLOOKUP(VLOOKUP(AP$1,main!$A$3:$I$56,7,FALSE),main!$K$10:$Q$14,4,FALSE),1,0)</f>
        <v>0</v>
      </c>
      <c r="AQ83">
        <f>IF(VLOOKUP(AQ$1,main!$A$3:$I$56,5,FALSE)-VLOOKUP($A83,main!$A$3:$I$56,6,FALSE)&gt;=VLOOKUP(56,main!$A$57:$I$59,4,FALSE)+VLOOKUP(VLOOKUP(AQ$1,main!$A$3:$I$56,7,FALSE),main!$K$10:$Q$14,4,FALSE),1,0)</f>
        <v>0</v>
      </c>
      <c r="AR83">
        <f>IF(VLOOKUP(AR$1,main!$A$3:$I$56,5,FALSE)-VLOOKUP($A83,main!$A$3:$I$56,6,FALSE)&gt;=VLOOKUP(56,main!$A$57:$I$59,4,FALSE)+VLOOKUP(VLOOKUP(AR$1,main!$A$3:$I$56,7,FALSE),main!$K$10:$Q$14,4,FALSE),1,0)</f>
        <v>0</v>
      </c>
      <c r="AS83">
        <f>IF(VLOOKUP(AS$1,main!$A$3:$I$56,5,FALSE)-VLOOKUP($A83,main!$A$3:$I$56,6,FALSE)&gt;=VLOOKUP(56,main!$A$57:$I$59,4,FALSE)+VLOOKUP(VLOOKUP(AS$1,main!$A$3:$I$56,7,FALSE),main!$K$10:$Q$14,4,FALSE),1,0)</f>
        <v>0</v>
      </c>
      <c r="AT83">
        <f>IF(VLOOKUP(AT$1,main!$A$3:$I$56,5,FALSE)-VLOOKUP($A83,main!$A$3:$I$56,6,FALSE)&gt;=VLOOKUP(56,main!$A$57:$I$59,4,FALSE)+VLOOKUP(VLOOKUP(AT$1,main!$A$3:$I$56,7,FALSE),main!$K$10:$Q$14,4,FALSE),1,0)</f>
        <v>0</v>
      </c>
      <c r="AU83">
        <f>IF(VLOOKUP(AU$1,main!$A$3:$I$56,5,FALSE)-VLOOKUP($A83,main!$A$3:$I$56,6,FALSE)&gt;=VLOOKUP(56,main!$A$57:$I$59,4,FALSE)+VLOOKUP(VLOOKUP(AU$1,main!$A$3:$I$56,7,FALSE),main!$K$10:$Q$14,4,FALSE),1,0)</f>
        <v>0</v>
      </c>
      <c r="AV83">
        <f>IF(VLOOKUP(AV$1,main!$A$3:$I$56,5,FALSE)-VLOOKUP($A83,main!$A$3:$I$56,6,FALSE)&gt;=VLOOKUP(56,main!$A$57:$I$59,4,FALSE)+VLOOKUP(VLOOKUP(AV$1,main!$A$3:$I$56,7,FALSE),main!$K$10:$Q$14,4,FALSE),1,0)</f>
        <v>0</v>
      </c>
      <c r="AW83">
        <f>IF(VLOOKUP(AW$1,main!$A$3:$I$56,5,FALSE)-VLOOKUP($A83,main!$A$3:$I$56,6,FALSE)&gt;=VLOOKUP(56,main!$A$57:$I$59,4,FALSE)+VLOOKUP(VLOOKUP(AW$1,main!$A$3:$I$56,7,FALSE),main!$K$10:$Q$14,4,FALSE),1,0)</f>
        <v>0</v>
      </c>
      <c r="AX83">
        <f>IF(VLOOKUP(AX$1,main!$A$3:$I$56,5,FALSE)-VLOOKUP($A83,main!$A$3:$I$56,6,FALSE)&gt;=VLOOKUP(56,main!$A$57:$I$59,4,FALSE)+VLOOKUP(VLOOKUP(AX$1,main!$A$3:$I$56,7,FALSE),main!$K$10:$Q$14,4,FALSE),1,0)</f>
        <v>0</v>
      </c>
      <c r="AY83">
        <f>IF(VLOOKUP(AY$1,main!$A$3:$I$56,5,FALSE)-VLOOKUP($A83,main!$A$3:$I$56,6,FALSE)&gt;=VLOOKUP(56,main!$A$57:$I$59,4,FALSE)+VLOOKUP(VLOOKUP(AY$1,main!$A$3:$I$56,7,FALSE),main!$K$10:$Q$14,4,FALSE),1,0)</f>
        <v>0</v>
      </c>
      <c r="AZ83">
        <f>IF(VLOOKUP(AZ$1,main!$A$3:$I$56,5,FALSE)-VLOOKUP($A83,main!$A$3:$I$56,6,FALSE)&gt;=VLOOKUP(56,main!$A$57:$I$59,4,FALSE)+VLOOKUP(VLOOKUP(AZ$1,main!$A$3:$I$56,7,FALSE),main!$K$10:$Q$14,4,FALSE),1,0)</f>
        <v>0</v>
      </c>
      <c r="BA83">
        <f>IF(VLOOKUP(BA$1,main!$A$3:$I$56,5,FALSE)-VLOOKUP($A83,main!$A$3:$I$56,6,FALSE)&gt;=VLOOKUP(56,main!$A$57:$I$59,4,FALSE)+VLOOKUP(VLOOKUP(BA$1,main!$A$3:$I$56,7,FALSE),main!$K$10:$Q$14,4,FALSE),1,0)</f>
        <v>0</v>
      </c>
      <c r="BB83">
        <f>IF(VLOOKUP(BB$1,main!$A$3:$I$56,5,FALSE)-VLOOKUP($A83,main!$A$3:$I$56,6,FALSE)&gt;=VLOOKUP(56,main!$A$57:$I$59,4,FALSE)+VLOOKUP(VLOOKUP(BB$1,main!$A$3:$I$56,7,FALSE),main!$K$10:$Q$14,4,FALSE),1,0)</f>
        <v>0</v>
      </c>
      <c r="BC83">
        <f>IF(VLOOKUP(BC$1,main!$A$3:$I$56,5,FALSE)-VLOOKUP($A83,main!$A$3:$I$56,6,FALSE)&gt;=VLOOKUP(56,main!$A$57:$I$59,4,FALSE)+VLOOKUP(VLOOKUP(BC$1,main!$A$3:$I$56,7,FALSE),main!$K$10:$Q$14,4,FALSE),1,0)</f>
        <v>0</v>
      </c>
      <c r="BD83">
        <f>IF(VLOOKUP(BD$1,main!$A$3:$I$56,5,FALSE)-VLOOKUP($A83,main!$A$3:$I$56,6,FALSE)&gt;=VLOOKUP(56,main!$A$57:$I$59,4,FALSE)+VLOOKUP(VLOOKUP(BD$1,main!$A$3:$I$56,7,FALSE),main!$K$10:$Q$14,4,FALSE),1,0)</f>
        <v>0</v>
      </c>
    </row>
    <row r="84" spans="1:56" x14ac:dyDescent="0.25">
      <c r="A84">
        <f t="shared" si="1"/>
        <v>27</v>
      </c>
      <c r="B84">
        <v>0</v>
      </c>
      <c r="C84">
        <f>IF(VLOOKUP(C$1,main!$A$3:$I$56,5,FALSE)-VLOOKUP($A84,main!$A$3:$I$56,6,FALSE)&gt;=VLOOKUP(56,main!$A$57:$I$59,4,FALSE)+VLOOKUP(VLOOKUP(C$1,main!$A$3:$I$56,7,FALSE),main!$K$10:$Q$14,4,FALSE),1,0)</f>
        <v>1</v>
      </c>
      <c r="D84">
        <f>IF(VLOOKUP(D$1,main!$A$3:$I$56,5,FALSE)-VLOOKUP($A84,main!$A$3:$I$56,6,FALSE)&gt;=VLOOKUP(56,main!$A$57:$I$59,4,FALSE)+VLOOKUP(VLOOKUP(D$1,main!$A$3:$I$56,7,FALSE),main!$K$10:$Q$14,4,FALSE),1,0)</f>
        <v>1</v>
      </c>
      <c r="E84">
        <f>IF(VLOOKUP(E$1,main!$A$3:$I$56,5,FALSE)-VLOOKUP($A84,main!$A$3:$I$56,6,FALSE)&gt;=VLOOKUP(56,main!$A$57:$I$59,4,FALSE)+VLOOKUP(VLOOKUP(E$1,main!$A$3:$I$56,7,FALSE),main!$K$10:$Q$14,4,FALSE),1,0)</f>
        <v>1</v>
      </c>
      <c r="F84">
        <f>IF(VLOOKUP(F$1,main!$A$3:$I$56,5,FALSE)-VLOOKUP($A84,main!$A$3:$I$56,6,FALSE)&gt;=VLOOKUP(56,main!$A$57:$I$59,4,FALSE)+VLOOKUP(VLOOKUP(F$1,main!$A$3:$I$56,7,FALSE),main!$K$10:$Q$14,4,FALSE),1,0)</f>
        <v>1</v>
      </c>
      <c r="G84">
        <f>IF(VLOOKUP(G$1,main!$A$3:$I$56,5,FALSE)-VLOOKUP($A84,main!$A$3:$I$56,6,FALSE)&gt;=VLOOKUP(56,main!$A$57:$I$59,4,FALSE)+VLOOKUP(VLOOKUP(G$1,main!$A$3:$I$56,7,FALSE),main!$K$10:$Q$14,4,FALSE),1,0)</f>
        <v>1</v>
      </c>
      <c r="H84">
        <f>IF(VLOOKUP(H$1,main!$A$3:$I$56,5,FALSE)-VLOOKUP($A84,main!$A$3:$I$56,6,FALSE)&gt;=VLOOKUP(56,main!$A$57:$I$59,4,FALSE)+VLOOKUP(VLOOKUP(H$1,main!$A$3:$I$56,7,FALSE),main!$K$10:$Q$14,4,FALSE),1,0)</f>
        <v>1</v>
      </c>
      <c r="I84">
        <f>IF(VLOOKUP(I$1,main!$A$3:$I$56,5,FALSE)-VLOOKUP($A84,main!$A$3:$I$56,6,FALSE)&gt;=VLOOKUP(56,main!$A$57:$I$59,4,FALSE)+VLOOKUP(VLOOKUP(I$1,main!$A$3:$I$56,7,FALSE),main!$K$10:$Q$14,4,FALSE),1,0)</f>
        <v>1</v>
      </c>
      <c r="J84">
        <f>IF(VLOOKUP(J$1,main!$A$3:$I$56,5,FALSE)-VLOOKUP($A84,main!$A$3:$I$56,6,FALSE)&gt;=VLOOKUP(56,main!$A$57:$I$59,4,FALSE)+VLOOKUP(VLOOKUP(J$1,main!$A$3:$I$56,7,FALSE),main!$K$10:$Q$14,4,FALSE),1,0)</f>
        <v>1</v>
      </c>
      <c r="K84">
        <f>IF(VLOOKUP(K$1,main!$A$3:$I$56,5,FALSE)-VLOOKUP($A84,main!$A$3:$I$56,6,FALSE)&gt;=VLOOKUP(56,main!$A$57:$I$59,4,FALSE)+VLOOKUP(VLOOKUP(K$1,main!$A$3:$I$56,7,FALSE),main!$K$10:$Q$14,4,FALSE),1,0)</f>
        <v>1</v>
      </c>
      <c r="L84">
        <f>IF(VLOOKUP(L$1,main!$A$3:$I$56,5,FALSE)-VLOOKUP($A84,main!$A$3:$I$56,6,FALSE)&gt;=VLOOKUP(56,main!$A$57:$I$59,4,FALSE)+VLOOKUP(VLOOKUP(L$1,main!$A$3:$I$56,7,FALSE),main!$K$10:$Q$14,4,FALSE),1,0)</f>
        <v>1</v>
      </c>
      <c r="M84">
        <f>IF(VLOOKUP(M$1,main!$A$3:$I$56,5,FALSE)-VLOOKUP($A84,main!$A$3:$I$56,6,FALSE)&gt;=VLOOKUP(56,main!$A$57:$I$59,4,FALSE)+VLOOKUP(VLOOKUP(M$1,main!$A$3:$I$56,7,FALSE),main!$K$10:$Q$14,4,FALSE),1,0)</f>
        <v>1</v>
      </c>
      <c r="N84">
        <f>IF(VLOOKUP(N$1,main!$A$3:$I$56,5,FALSE)-VLOOKUP($A84,main!$A$3:$I$56,6,FALSE)&gt;=VLOOKUP(56,main!$A$57:$I$59,4,FALSE)+VLOOKUP(VLOOKUP(N$1,main!$A$3:$I$56,7,FALSE),main!$K$10:$Q$14,4,FALSE),1,0)</f>
        <v>1</v>
      </c>
      <c r="O84">
        <f>IF(VLOOKUP(O$1,main!$A$3:$I$56,5,FALSE)-VLOOKUP($A84,main!$A$3:$I$56,6,FALSE)&gt;=VLOOKUP(56,main!$A$57:$I$59,4,FALSE)+VLOOKUP(VLOOKUP(O$1,main!$A$3:$I$56,7,FALSE),main!$K$10:$Q$14,4,FALSE),1,0)</f>
        <v>1</v>
      </c>
      <c r="P84">
        <f>IF(VLOOKUP(P$1,main!$A$3:$I$56,5,FALSE)-VLOOKUP($A84,main!$A$3:$I$56,6,FALSE)&gt;=VLOOKUP(56,main!$A$57:$I$59,4,FALSE)+VLOOKUP(VLOOKUP(P$1,main!$A$3:$I$56,7,FALSE),main!$K$10:$Q$14,4,FALSE),1,0)</f>
        <v>1</v>
      </c>
      <c r="Q84">
        <f>IF(VLOOKUP(Q$1,main!$A$3:$I$56,5,FALSE)-VLOOKUP($A84,main!$A$3:$I$56,6,FALSE)&gt;=VLOOKUP(56,main!$A$57:$I$59,4,FALSE)+VLOOKUP(VLOOKUP(Q$1,main!$A$3:$I$56,7,FALSE),main!$K$10:$Q$14,4,FALSE),1,0)</f>
        <v>1</v>
      </c>
      <c r="R84">
        <f>IF(VLOOKUP(R$1,main!$A$3:$I$56,5,FALSE)-VLOOKUP($A84,main!$A$3:$I$56,6,FALSE)&gt;=VLOOKUP(56,main!$A$57:$I$59,4,FALSE)+VLOOKUP(VLOOKUP(R$1,main!$A$3:$I$56,7,FALSE),main!$K$10:$Q$14,4,FALSE),1,0)</f>
        <v>1</v>
      </c>
      <c r="S84">
        <f>IF(VLOOKUP(S$1,main!$A$3:$I$56,5,FALSE)-VLOOKUP($A84,main!$A$3:$I$56,6,FALSE)&gt;=VLOOKUP(56,main!$A$57:$I$59,4,FALSE)+VLOOKUP(VLOOKUP(S$1,main!$A$3:$I$56,7,FALSE),main!$K$10:$Q$14,4,FALSE),1,0)</f>
        <v>1</v>
      </c>
      <c r="T84">
        <f>IF(VLOOKUP(T$1,main!$A$3:$I$56,5,FALSE)-VLOOKUP($A84,main!$A$3:$I$56,6,FALSE)&gt;=VLOOKUP(56,main!$A$57:$I$59,4,FALSE)+VLOOKUP(VLOOKUP(T$1,main!$A$3:$I$56,7,FALSE),main!$K$10:$Q$14,4,FALSE),1,0)</f>
        <v>1</v>
      </c>
      <c r="U84">
        <f>IF(VLOOKUP(U$1,main!$A$3:$I$56,5,FALSE)-VLOOKUP($A84,main!$A$3:$I$56,6,FALSE)&gt;=VLOOKUP(56,main!$A$57:$I$59,4,FALSE)+VLOOKUP(VLOOKUP(U$1,main!$A$3:$I$56,7,FALSE),main!$K$10:$Q$14,4,FALSE),1,0)</f>
        <v>0</v>
      </c>
      <c r="V84">
        <f>IF(VLOOKUP(V$1,main!$A$3:$I$56,5,FALSE)-VLOOKUP($A84,main!$A$3:$I$56,6,FALSE)&gt;=VLOOKUP(56,main!$A$57:$I$59,4,FALSE)+VLOOKUP(VLOOKUP(V$1,main!$A$3:$I$56,7,FALSE),main!$K$10:$Q$14,4,FALSE),1,0)</f>
        <v>1</v>
      </c>
      <c r="W84">
        <f>IF(VLOOKUP(W$1,main!$A$3:$I$56,5,FALSE)-VLOOKUP($A84,main!$A$3:$I$56,6,FALSE)&gt;=VLOOKUP(56,main!$A$57:$I$59,4,FALSE)+VLOOKUP(VLOOKUP(W$1,main!$A$3:$I$56,7,FALSE),main!$K$10:$Q$14,4,FALSE),1,0)</f>
        <v>1</v>
      </c>
      <c r="X84">
        <f>IF(VLOOKUP(X$1,main!$A$3:$I$56,5,FALSE)-VLOOKUP($A84,main!$A$3:$I$56,6,FALSE)&gt;=VLOOKUP(56,main!$A$57:$I$59,4,FALSE)+VLOOKUP(VLOOKUP(X$1,main!$A$3:$I$56,7,FALSE),main!$K$10:$Q$14,4,FALSE),1,0)</f>
        <v>1</v>
      </c>
      <c r="Y84">
        <f>IF(VLOOKUP(Y$1,main!$A$3:$I$56,5,FALSE)-VLOOKUP($A84,main!$A$3:$I$56,6,FALSE)&gt;=VLOOKUP(56,main!$A$57:$I$59,4,FALSE)+VLOOKUP(VLOOKUP(Y$1,main!$A$3:$I$56,7,FALSE),main!$K$10:$Q$14,4,FALSE),1,0)</f>
        <v>1</v>
      </c>
      <c r="Z84">
        <f>IF(VLOOKUP(Z$1,main!$A$3:$I$56,5,FALSE)-VLOOKUP($A84,main!$A$3:$I$56,6,FALSE)&gt;=VLOOKUP(56,main!$A$57:$I$59,4,FALSE)+VLOOKUP(VLOOKUP(Z$1,main!$A$3:$I$56,7,FALSE),main!$K$10:$Q$14,4,FALSE),1,0)</f>
        <v>1</v>
      </c>
      <c r="AA84">
        <f>IF(VLOOKUP(AA$1,main!$A$3:$I$56,5,FALSE)-VLOOKUP($A84,main!$A$3:$I$56,6,FALSE)&gt;=VLOOKUP(56,main!$A$57:$I$59,4,FALSE)+VLOOKUP(VLOOKUP(AA$1,main!$A$3:$I$56,7,FALSE),main!$K$10:$Q$14,4,FALSE),1,0)</f>
        <v>1</v>
      </c>
      <c r="AB84">
        <f>IF(VLOOKUP(AB$1,main!$A$3:$I$56,5,FALSE)-VLOOKUP($A84,main!$A$3:$I$56,6,FALSE)&gt;=VLOOKUP(56,main!$A$57:$I$59,4,FALSE)+VLOOKUP(VLOOKUP(AB$1,main!$A$3:$I$56,7,FALSE),main!$K$10:$Q$14,4,FALSE),1,0)</f>
        <v>1</v>
      </c>
      <c r="AC84">
        <f>IF(VLOOKUP(AC$1,main!$A$3:$I$56,5,FALSE)-VLOOKUP($A84,main!$A$3:$I$56,6,FALSE)&gt;=VLOOKUP(56,main!$A$57:$I$59,4,FALSE)+VLOOKUP(VLOOKUP(AC$1,main!$A$3:$I$56,7,FALSE),main!$K$10:$Q$14,4,FALSE),1,0)</f>
        <v>0</v>
      </c>
      <c r="AD84">
        <f>IF(VLOOKUP(AD$1,main!$A$3:$I$56,5,FALSE)-VLOOKUP($A84,main!$A$3:$I$56,6,FALSE)&gt;=VLOOKUP(56,main!$A$57:$I$59,4,FALSE)+VLOOKUP(VLOOKUP(AD$1,main!$A$3:$I$56,7,FALSE),main!$K$10:$Q$14,4,FALSE),1,0)</f>
        <v>0</v>
      </c>
      <c r="AE84">
        <f>IF(VLOOKUP(AE$1,main!$A$3:$I$56,5,FALSE)-VLOOKUP($A84,main!$A$3:$I$56,6,FALSE)&gt;=VLOOKUP(56,main!$A$57:$I$59,4,FALSE)+VLOOKUP(VLOOKUP(AE$1,main!$A$3:$I$56,7,FALSE),main!$K$10:$Q$14,4,FALSE),1,0)</f>
        <v>1</v>
      </c>
      <c r="AF84">
        <f>IF(VLOOKUP(AF$1,main!$A$3:$I$56,5,FALSE)-VLOOKUP($A84,main!$A$3:$I$56,6,FALSE)&gt;=VLOOKUP(56,main!$A$57:$I$59,4,FALSE)+VLOOKUP(VLOOKUP(AF$1,main!$A$3:$I$56,7,FALSE),main!$K$10:$Q$14,4,FALSE),1,0)</f>
        <v>1</v>
      </c>
      <c r="AG84">
        <f>IF(VLOOKUP(AG$1,main!$A$3:$I$56,5,FALSE)-VLOOKUP($A84,main!$A$3:$I$56,6,FALSE)&gt;=VLOOKUP(56,main!$A$57:$I$59,4,FALSE)+VLOOKUP(VLOOKUP(AG$1,main!$A$3:$I$56,7,FALSE),main!$K$10:$Q$14,4,FALSE),1,0)</f>
        <v>0</v>
      </c>
      <c r="AH84">
        <f>IF(VLOOKUP(AH$1,main!$A$3:$I$56,5,FALSE)-VLOOKUP($A84,main!$A$3:$I$56,6,FALSE)&gt;=VLOOKUP(56,main!$A$57:$I$59,4,FALSE)+VLOOKUP(VLOOKUP(AH$1,main!$A$3:$I$56,7,FALSE),main!$K$10:$Q$14,4,FALSE),1,0)</f>
        <v>1</v>
      </c>
      <c r="AI84">
        <f>IF(VLOOKUP(AI$1,main!$A$3:$I$56,5,FALSE)-VLOOKUP($A84,main!$A$3:$I$56,6,FALSE)&gt;=VLOOKUP(56,main!$A$57:$I$59,4,FALSE)+VLOOKUP(VLOOKUP(AI$1,main!$A$3:$I$56,7,FALSE),main!$K$10:$Q$14,4,FALSE),1,0)</f>
        <v>1</v>
      </c>
      <c r="AJ84">
        <f>IF(VLOOKUP(AJ$1,main!$A$3:$I$56,5,FALSE)-VLOOKUP($A84,main!$A$3:$I$56,6,FALSE)&gt;=VLOOKUP(56,main!$A$57:$I$59,4,FALSE)+VLOOKUP(VLOOKUP(AJ$1,main!$A$3:$I$56,7,FALSE),main!$K$10:$Q$14,4,FALSE),1,0)</f>
        <v>1</v>
      </c>
      <c r="AK84">
        <f>IF(VLOOKUP(AK$1,main!$A$3:$I$56,5,FALSE)-VLOOKUP($A84,main!$A$3:$I$56,6,FALSE)&gt;=VLOOKUP(56,main!$A$57:$I$59,4,FALSE)+VLOOKUP(VLOOKUP(AK$1,main!$A$3:$I$56,7,FALSE),main!$K$10:$Q$14,4,FALSE),1,0)</f>
        <v>1</v>
      </c>
      <c r="AL84">
        <f>IF(VLOOKUP(AL$1,main!$A$3:$I$56,5,FALSE)-VLOOKUP($A84,main!$A$3:$I$56,6,FALSE)&gt;=VLOOKUP(56,main!$A$57:$I$59,4,FALSE)+VLOOKUP(VLOOKUP(AL$1,main!$A$3:$I$56,7,FALSE),main!$K$10:$Q$14,4,FALSE),1,0)</f>
        <v>0</v>
      </c>
      <c r="AM84">
        <f>IF(VLOOKUP(AM$1,main!$A$3:$I$56,5,FALSE)-VLOOKUP($A84,main!$A$3:$I$56,6,FALSE)&gt;=VLOOKUP(56,main!$A$57:$I$59,4,FALSE)+VLOOKUP(VLOOKUP(AM$1,main!$A$3:$I$56,7,FALSE),main!$K$10:$Q$14,4,FALSE),1,0)</f>
        <v>1</v>
      </c>
      <c r="AN84">
        <f>IF(VLOOKUP(AN$1,main!$A$3:$I$56,5,FALSE)-VLOOKUP($A84,main!$A$3:$I$56,6,FALSE)&gt;=VLOOKUP(56,main!$A$57:$I$59,4,FALSE)+VLOOKUP(VLOOKUP(AN$1,main!$A$3:$I$56,7,FALSE),main!$K$10:$Q$14,4,FALSE),1,0)</f>
        <v>1</v>
      </c>
      <c r="AO84">
        <f>IF(VLOOKUP(AO$1,main!$A$3:$I$56,5,FALSE)-VLOOKUP($A84,main!$A$3:$I$56,6,FALSE)&gt;=VLOOKUP(56,main!$A$57:$I$59,4,FALSE)+VLOOKUP(VLOOKUP(AO$1,main!$A$3:$I$56,7,FALSE),main!$K$10:$Q$14,4,FALSE),1,0)</f>
        <v>1</v>
      </c>
      <c r="AP84">
        <f>IF(VLOOKUP(AP$1,main!$A$3:$I$56,5,FALSE)-VLOOKUP($A84,main!$A$3:$I$56,6,FALSE)&gt;=VLOOKUP(56,main!$A$57:$I$59,4,FALSE)+VLOOKUP(VLOOKUP(AP$1,main!$A$3:$I$56,7,FALSE),main!$K$10:$Q$14,4,FALSE),1,0)</f>
        <v>0</v>
      </c>
      <c r="AQ84">
        <f>IF(VLOOKUP(AQ$1,main!$A$3:$I$56,5,FALSE)-VLOOKUP($A84,main!$A$3:$I$56,6,FALSE)&gt;=VLOOKUP(56,main!$A$57:$I$59,4,FALSE)+VLOOKUP(VLOOKUP(AQ$1,main!$A$3:$I$56,7,FALSE),main!$K$10:$Q$14,4,FALSE),1,0)</f>
        <v>0</v>
      </c>
      <c r="AR84">
        <f>IF(VLOOKUP(AR$1,main!$A$3:$I$56,5,FALSE)-VLOOKUP($A84,main!$A$3:$I$56,6,FALSE)&gt;=VLOOKUP(56,main!$A$57:$I$59,4,FALSE)+VLOOKUP(VLOOKUP(AR$1,main!$A$3:$I$56,7,FALSE),main!$K$10:$Q$14,4,FALSE),1,0)</f>
        <v>0</v>
      </c>
      <c r="AS84">
        <f>IF(VLOOKUP(AS$1,main!$A$3:$I$56,5,FALSE)-VLOOKUP($A84,main!$A$3:$I$56,6,FALSE)&gt;=VLOOKUP(56,main!$A$57:$I$59,4,FALSE)+VLOOKUP(VLOOKUP(AS$1,main!$A$3:$I$56,7,FALSE),main!$K$10:$Q$14,4,FALSE),1,0)</f>
        <v>1</v>
      </c>
      <c r="AT84">
        <f>IF(VLOOKUP(AT$1,main!$A$3:$I$56,5,FALSE)-VLOOKUP($A84,main!$A$3:$I$56,6,FALSE)&gt;=VLOOKUP(56,main!$A$57:$I$59,4,FALSE)+VLOOKUP(VLOOKUP(AT$1,main!$A$3:$I$56,7,FALSE),main!$K$10:$Q$14,4,FALSE),1,0)</f>
        <v>1</v>
      </c>
      <c r="AU84">
        <f>IF(VLOOKUP(AU$1,main!$A$3:$I$56,5,FALSE)-VLOOKUP($A84,main!$A$3:$I$56,6,FALSE)&gt;=VLOOKUP(56,main!$A$57:$I$59,4,FALSE)+VLOOKUP(VLOOKUP(AU$1,main!$A$3:$I$56,7,FALSE),main!$K$10:$Q$14,4,FALSE),1,0)</f>
        <v>1</v>
      </c>
      <c r="AV84">
        <f>IF(VLOOKUP(AV$1,main!$A$3:$I$56,5,FALSE)-VLOOKUP($A84,main!$A$3:$I$56,6,FALSE)&gt;=VLOOKUP(56,main!$A$57:$I$59,4,FALSE)+VLOOKUP(VLOOKUP(AV$1,main!$A$3:$I$56,7,FALSE),main!$K$10:$Q$14,4,FALSE),1,0)</f>
        <v>1</v>
      </c>
      <c r="AW84">
        <f>IF(VLOOKUP(AW$1,main!$A$3:$I$56,5,FALSE)-VLOOKUP($A84,main!$A$3:$I$56,6,FALSE)&gt;=VLOOKUP(56,main!$A$57:$I$59,4,FALSE)+VLOOKUP(VLOOKUP(AW$1,main!$A$3:$I$56,7,FALSE),main!$K$10:$Q$14,4,FALSE),1,0)</f>
        <v>1</v>
      </c>
      <c r="AX84">
        <f>IF(VLOOKUP(AX$1,main!$A$3:$I$56,5,FALSE)-VLOOKUP($A84,main!$A$3:$I$56,6,FALSE)&gt;=VLOOKUP(56,main!$A$57:$I$59,4,FALSE)+VLOOKUP(VLOOKUP(AX$1,main!$A$3:$I$56,7,FALSE),main!$K$10:$Q$14,4,FALSE),1,0)</f>
        <v>1</v>
      </c>
      <c r="AY84">
        <f>IF(VLOOKUP(AY$1,main!$A$3:$I$56,5,FALSE)-VLOOKUP($A84,main!$A$3:$I$56,6,FALSE)&gt;=VLOOKUP(56,main!$A$57:$I$59,4,FALSE)+VLOOKUP(VLOOKUP(AY$1,main!$A$3:$I$56,7,FALSE),main!$K$10:$Q$14,4,FALSE),1,0)</f>
        <v>1</v>
      </c>
      <c r="AZ84">
        <f>IF(VLOOKUP(AZ$1,main!$A$3:$I$56,5,FALSE)-VLOOKUP($A84,main!$A$3:$I$56,6,FALSE)&gt;=VLOOKUP(56,main!$A$57:$I$59,4,FALSE)+VLOOKUP(VLOOKUP(AZ$1,main!$A$3:$I$56,7,FALSE),main!$K$10:$Q$14,4,FALSE),1,0)</f>
        <v>0</v>
      </c>
      <c r="BA84">
        <f>IF(VLOOKUP(BA$1,main!$A$3:$I$56,5,FALSE)-VLOOKUP($A84,main!$A$3:$I$56,6,FALSE)&gt;=VLOOKUP(56,main!$A$57:$I$59,4,FALSE)+VLOOKUP(VLOOKUP(BA$1,main!$A$3:$I$56,7,FALSE),main!$K$10:$Q$14,4,FALSE),1,0)</f>
        <v>1</v>
      </c>
      <c r="BB84">
        <f>IF(VLOOKUP(BB$1,main!$A$3:$I$56,5,FALSE)-VLOOKUP($A84,main!$A$3:$I$56,6,FALSE)&gt;=VLOOKUP(56,main!$A$57:$I$59,4,FALSE)+VLOOKUP(VLOOKUP(BB$1,main!$A$3:$I$56,7,FALSE),main!$K$10:$Q$14,4,FALSE),1,0)</f>
        <v>1</v>
      </c>
      <c r="BC84">
        <f>IF(VLOOKUP(BC$1,main!$A$3:$I$56,5,FALSE)-VLOOKUP($A84,main!$A$3:$I$56,6,FALSE)&gt;=VLOOKUP(56,main!$A$57:$I$59,4,FALSE)+VLOOKUP(VLOOKUP(BC$1,main!$A$3:$I$56,7,FALSE),main!$K$10:$Q$14,4,FALSE),1,0)</f>
        <v>1</v>
      </c>
      <c r="BD84">
        <f>IF(VLOOKUP(BD$1,main!$A$3:$I$56,5,FALSE)-VLOOKUP($A84,main!$A$3:$I$56,6,FALSE)&gt;=VLOOKUP(56,main!$A$57:$I$59,4,FALSE)+VLOOKUP(VLOOKUP(BD$1,main!$A$3:$I$56,7,FALSE),main!$K$10:$Q$14,4,FALSE),1,0)</f>
        <v>1</v>
      </c>
    </row>
    <row r="85" spans="1:56" x14ac:dyDescent="0.25">
      <c r="A85">
        <f t="shared" si="1"/>
        <v>28</v>
      </c>
      <c r="B85">
        <v>0</v>
      </c>
      <c r="C85">
        <f>IF(VLOOKUP(C$1,main!$A$3:$I$56,5,FALSE)-VLOOKUP($A85,main!$A$3:$I$56,6,FALSE)&gt;=VLOOKUP(56,main!$A$57:$I$59,4,FALSE)+VLOOKUP(VLOOKUP(C$1,main!$A$3:$I$56,7,FALSE),main!$K$10:$Q$14,4,FALSE),1,0)</f>
        <v>0</v>
      </c>
      <c r="D85">
        <f>IF(VLOOKUP(D$1,main!$A$3:$I$56,5,FALSE)-VLOOKUP($A85,main!$A$3:$I$56,6,FALSE)&gt;=VLOOKUP(56,main!$A$57:$I$59,4,FALSE)+VLOOKUP(VLOOKUP(D$1,main!$A$3:$I$56,7,FALSE),main!$K$10:$Q$14,4,FALSE),1,0)</f>
        <v>0</v>
      </c>
      <c r="E85">
        <f>IF(VLOOKUP(E$1,main!$A$3:$I$56,5,FALSE)-VLOOKUP($A85,main!$A$3:$I$56,6,FALSE)&gt;=VLOOKUP(56,main!$A$57:$I$59,4,FALSE)+VLOOKUP(VLOOKUP(E$1,main!$A$3:$I$56,7,FALSE),main!$K$10:$Q$14,4,FALSE),1,0)</f>
        <v>1</v>
      </c>
      <c r="F85">
        <f>IF(VLOOKUP(F$1,main!$A$3:$I$56,5,FALSE)-VLOOKUP($A85,main!$A$3:$I$56,6,FALSE)&gt;=VLOOKUP(56,main!$A$57:$I$59,4,FALSE)+VLOOKUP(VLOOKUP(F$1,main!$A$3:$I$56,7,FALSE),main!$K$10:$Q$14,4,FALSE),1,0)</f>
        <v>1</v>
      </c>
      <c r="G85">
        <f>IF(VLOOKUP(G$1,main!$A$3:$I$56,5,FALSE)-VLOOKUP($A85,main!$A$3:$I$56,6,FALSE)&gt;=VLOOKUP(56,main!$A$57:$I$59,4,FALSE)+VLOOKUP(VLOOKUP(G$1,main!$A$3:$I$56,7,FALSE),main!$K$10:$Q$14,4,FALSE),1,0)</f>
        <v>1</v>
      </c>
      <c r="H85">
        <f>IF(VLOOKUP(H$1,main!$A$3:$I$56,5,FALSE)-VLOOKUP($A85,main!$A$3:$I$56,6,FALSE)&gt;=VLOOKUP(56,main!$A$57:$I$59,4,FALSE)+VLOOKUP(VLOOKUP(H$1,main!$A$3:$I$56,7,FALSE),main!$K$10:$Q$14,4,FALSE),1,0)</f>
        <v>1</v>
      </c>
      <c r="I85">
        <f>IF(VLOOKUP(I$1,main!$A$3:$I$56,5,FALSE)-VLOOKUP($A85,main!$A$3:$I$56,6,FALSE)&gt;=VLOOKUP(56,main!$A$57:$I$59,4,FALSE)+VLOOKUP(VLOOKUP(I$1,main!$A$3:$I$56,7,FALSE),main!$K$10:$Q$14,4,FALSE),1,0)</f>
        <v>1</v>
      </c>
      <c r="J85">
        <f>IF(VLOOKUP(J$1,main!$A$3:$I$56,5,FALSE)-VLOOKUP($A85,main!$A$3:$I$56,6,FALSE)&gt;=VLOOKUP(56,main!$A$57:$I$59,4,FALSE)+VLOOKUP(VLOOKUP(J$1,main!$A$3:$I$56,7,FALSE),main!$K$10:$Q$14,4,FALSE),1,0)</f>
        <v>1</v>
      </c>
      <c r="K85">
        <f>IF(VLOOKUP(K$1,main!$A$3:$I$56,5,FALSE)-VLOOKUP($A85,main!$A$3:$I$56,6,FALSE)&gt;=VLOOKUP(56,main!$A$57:$I$59,4,FALSE)+VLOOKUP(VLOOKUP(K$1,main!$A$3:$I$56,7,FALSE),main!$K$10:$Q$14,4,FALSE),1,0)</f>
        <v>0</v>
      </c>
      <c r="L85">
        <f>IF(VLOOKUP(L$1,main!$A$3:$I$56,5,FALSE)-VLOOKUP($A85,main!$A$3:$I$56,6,FALSE)&gt;=VLOOKUP(56,main!$A$57:$I$59,4,FALSE)+VLOOKUP(VLOOKUP(L$1,main!$A$3:$I$56,7,FALSE),main!$K$10:$Q$14,4,FALSE),1,0)</f>
        <v>0</v>
      </c>
      <c r="M85">
        <f>IF(VLOOKUP(M$1,main!$A$3:$I$56,5,FALSE)-VLOOKUP($A85,main!$A$3:$I$56,6,FALSE)&gt;=VLOOKUP(56,main!$A$57:$I$59,4,FALSE)+VLOOKUP(VLOOKUP(M$1,main!$A$3:$I$56,7,FALSE),main!$K$10:$Q$14,4,FALSE),1,0)</f>
        <v>1</v>
      </c>
      <c r="N85">
        <f>IF(VLOOKUP(N$1,main!$A$3:$I$56,5,FALSE)-VLOOKUP($A85,main!$A$3:$I$56,6,FALSE)&gt;=VLOOKUP(56,main!$A$57:$I$59,4,FALSE)+VLOOKUP(VLOOKUP(N$1,main!$A$3:$I$56,7,FALSE),main!$K$10:$Q$14,4,FALSE),1,0)</f>
        <v>1</v>
      </c>
      <c r="O85">
        <f>IF(VLOOKUP(O$1,main!$A$3:$I$56,5,FALSE)-VLOOKUP($A85,main!$A$3:$I$56,6,FALSE)&gt;=VLOOKUP(56,main!$A$57:$I$59,4,FALSE)+VLOOKUP(VLOOKUP(O$1,main!$A$3:$I$56,7,FALSE),main!$K$10:$Q$14,4,FALSE),1,0)</f>
        <v>1</v>
      </c>
      <c r="P85">
        <f>IF(VLOOKUP(P$1,main!$A$3:$I$56,5,FALSE)-VLOOKUP($A85,main!$A$3:$I$56,6,FALSE)&gt;=VLOOKUP(56,main!$A$57:$I$59,4,FALSE)+VLOOKUP(VLOOKUP(P$1,main!$A$3:$I$56,7,FALSE),main!$K$10:$Q$14,4,FALSE),1,0)</f>
        <v>0</v>
      </c>
      <c r="Q85">
        <f>IF(VLOOKUP(Q$1,main!$A$3:$I$56,5,FALSE)-VLOOKUP($A85,main!$A$3:$I$56,6,FALSE)&gt;=VLOOKUP(56,main!$A$57:$I$59,4,FALSE)+VLOOKUP(VLOOKUP(Q$1,main!$A$3:$I$56,7,FALSE),main!$K$10:$Q$14,4,FALSE),1,0)</f>
        <v>0</v>
      </c>
      <c r="R85">
        <f>IF(VLOOKUP(R$1,main!$A$3:$I$56,5,FALSE)-VLOOKUP($A85,main!$A$3:$I$56,6,FALSE)&gt;=VLOOKUP(56,main!$A$57:$I$59,4,FALSE)+VLOOKUP(VLOOKUP(R$1,main!$A$3:$I$56,7,FALSE),main!$K$10:$Q$14,4,FALSE),1,0)</f>
        <v>0</v>
      </c>
      <c r="S85">
        <f>IF(VLOOKUP(S$1,main!$A$3:$I$56,5,FALSE)-VLOOKUP($A85,main!$A$3:$I$56,6,FALSE)&gt;=VLOOKUP(56,main!$A$57:$I$59,4,FALSE)+VLOOKUP(VLOOKUP(S$1,main!$A$3:$I$56,7,FALSE),main!$K$10:$Q$14,4,FALSE),1,0)</f>
        <v>1</v>
      </c>
      <c r="T85">
        <f>IF(VLOOKUP(T$1,main!$A$3:$I$56,5,FALSE)-VLOOKUP($A85,main!$A$3:$I$56,6,FALSE)&gt;=VLOOKUP(56,main!$A$57:$I$59,4,FALSE)+VLOOKUP(VLOOKUP(T$1,main!$A$3:$I$56,7,FALSE),main!$K$10:$Q$14,4,FALSE),1,0)</f>
        <v>1</v>
      </c>
      <c r="U85">
        <f>IF(VLOOKUP(U$1,main!$A$3:$I$56,5,FALSE)-VLOOKUP($A85,main!$A$3:$I$56,6,FALSE)&gt;=VLOOKUP(56,main!$A$57:$I$59,4,FALSE)+VLOOKUP(VLOOKUP(U$1,main!$A$3:$I$56,7,FALSE),main!$K$10:$Q$14,4,FALSE),1,0)</f>
        <v>0</v>
      </c>
      <c r="V85">
        <f>IF(VLOOKUP(V$1,main!$A$3:$I$56,5,FALSE)-VLOOKUP($A85,main!$A$3:$I$56,6,FALSE)&gt;=VLOOKUP(56,main!$A$57:$I$59,4,FALSE)+VLOOKUP(VLOOKUP(V$1,main!$A$3:$I$56,7,FALSE),main!$K$10:$Q$14,4,FALSE),1,0)</f>
        <v>0</v>
      </c>
      <c r="W85">
        <f>IF(VLOOKUP(W$1,main!$A$3:$I$56,5,FALSE)-VLOOKUP($A85,main!$A$3:$I$56,6,FALSE)&gt;=VLOOKUP(56,main!$A$57:$I$59,4,FALSE)+VLOOKUP(VLOOKUP(W$1,main!$A$3:$I$56,7,FALSE),main!$K$10:$Q$14,4,FALSE),1,0)</f>
        <v>0</v>
      </c>
      <c r="X85">
        <f>IF(VLOOKUP(X$1,main!$A$3:$I$56,5,FALSE)-VLOOKUP($A85,main!$A$3:$I$56,6,FALSE)&gt;=VLOOKUP(56,main!$A$57:$I$59,4,FALSE)+VLOOKUP(VLOOKUP(X$1,main!$A$3:$I$56,7,FALSE),main!$K$10:$Q$14,4,FALSE),1,0)</f>
        <v>0</v>
      </c>
      <c r="Y85">
        <f>IF(VLOOKUP(Y$1,main!$A$3:$I$56,5,FALSE)-VLOOKUP($A85,main!$A$3:$I$56,6,FALSE)&gt;=VLOOKUP(56,main!$A$57:$I$59,4,FALSE)+VLOOKUP(VLOOKUP(Y$1,main!$A$3:$I$56,7,FALSE),main!$K$10:$Q$14,4,FALSE),1,0)</f>
        <v>0</v>
      </c>
      <c r="Z85">
        <f>IF(VLOOKUP(Z$1,main!$A$3:$I$56,5,FALSE)-VLOOKUP($A85,main!$A$3:$I$56,6,FALSE)&gt;=VLOOKUP(56,main!$A$57:$I$59,4,FALSE)+VLOOKUP(VLOOKUP(Z$1,main!$A$3:$I$56,7,FALSE),main!$K$10:$Q$14,4,FALSE),1,0)</f>
        <v>1</v>
      </c>
      <c r="AA85">
        <f>IF(VLOOKUP(AA$1,main!$A$3:$I$56,5,FALSE)-VLOOKUP($A85,main!$A$3:$I$56,6,FALSE)&gt;=VLOOKUP(56,main!$A$57:$I$59,4,FALSE)+VLOOKUP(VLOOKUP(AA$1,main!$A$3:$I$56,7,FALSE),main!$K$10:$Q$14,4,FALSE),1,0)</f>
        <v>1</v>
      </c>
      <c r="AB85">
        <f>IF(VLOOKUP(AB$1,main!$A$3:$I$56,5,FALSE)-VLOOKUP($A85,main!$A$3:$I$56,6,FALSE)&gt;=VLOOKUP(56,main!$A$57:$I$59,4,FALSE)+VLOOKUP(VLOOKUP(AB$1,main!$A$3:$I$56,7,FALSE),main!$K$10:$Q$14,4,FALSE),1,0)</f>
        <v>1</v>
      </c>
      <c r="AC85">
        <f>IF(VLOOKUP(AC$1,main!$A$3:$I$56,5,FALSE)-VLOOKUP($A85,main!$A$3:$I$56,6,FALSE)&gt;=VLOOKUP(56,main!$A$57:$I$59,4,FALSE)+VLOOKUP(VLOOKUP(AC$1,main!$A$3:$I$56,7,FALSE),main!$K$10:$Q$14,4,FALSE),1,0)</f>
        <v>0</v>
      </c>
      <c r="AD85">
        <f>IF(VLOOKUP(AD$1,main!$A$3:$I$56,5,FALSE)-VLOOKUP($A85,main!$A$3:$I$56,6,FALSE)&gt;=VLOOKUP(56,main!$A$57:$I$59,4,FALSE)+VLOOKUP(VLOOKUP(AD$1,main!$A$3:$I$56,7,FALSE),main!$K$10:$Q$14,4,FALSE),1,0)</f>
        <v>0</v>
      </c>
      <c r="AE85">
        <f>IF(VLOOKUP(AE$1,main!$A$3:$I$56,5,FALSE)-VLOOKUP($A85,main!$A$3:$I$56,6,FALSE)&gt;=VLOOKUP(56,main!$A$57:$I$59,4,FALSE)+VLOOKUP(VLOOKUP(AE$1,main!$A$3:$I$56,7,FALSE),main!$K$10:$Q$14,4,FALSE),1,0)</f>
        <v>0</v>
      </c>
      <c r="AF85">
        <f>IF(VLOOKUP(AF$1,main!$A$3:$I$56,5,FALSE)-VLOOKUP($A85,main!$A$3:$I$56,6,FALSE)&gt;=VLOOKUP(56,main!$A$57:$I$59,4,FALSE)+VLOOKUP(VLOOKUP(AF$1,main!$A$3:$I$56,7,FALSE),main!$K$10:$Q$14,4,FALSE),1,0)</f>
        <v>1</v>
      </c>
      <c r="AG85">
        <f>IF(VLOOKUP(AG$1,main!$A$3:$I$56,5,FALSE)-VLOOKUP($A85,main!$A$3:$I$56,6,FALSE)&gt;=VLOOKUP(56,main!$A$57:$I$59,4,FALSE)+VLOOKUP(VLOOKUP(AG$1,main!$A$3:$I$56,7,FALSE),main!$K$10:$Q$14,4,FALSE),1,0)</f>
        <v>0</v>
      </c>
      <c r="AH85">
        <f>IF(VLOOKUP(AH$1,main!$A$3:$I$56,5,FALSE)-VLOOKUP($A85,main!$A$3:$I$56,6,FALSE)&gt;=VLOOKUP(56,main!$A$57:$I$59,4,FALSE)+VLOOKUP(VLOOKUP(AH$1,main!$A$3:$I$56,7,FALSE),main!$K$10:$Q$14,4,FALSE),1,0)</f>
        <v>0</v>
      </c>
      <c r="AI85">
        <f>IF(VLOOKUP(AI$1,main!$A$3:$I$56,5,FALSE)-VLOOKUP($A85,main!$A$3:$I$56,6,FALSE)&gt;=VLOOKUP(56,main!$A$57:$I$59,4,FALSE)+VLOOKUP(VLOOKUP(AI$1,main!$A$3:$I$56,7,FALSE),main!$K$10:$Q$14,4,FALSE),1,0)</f>
        <v>0</v>
      </c>
      <c r="AJ85">
        <f>IF(VLOOKUP(AJ$1,main!$A$3:$I$56,5,FALSE)-VLOOKUP($A85,main!$A$3:$I$56,6,FALSE)&gt;=VLOOKUP(56,main!$A$57:$I$59,4,FALSE)+VLOOKUP(VLOOKUP(AJ$1,main!$A$3:$I$56,7,FALSE),main!$K$10:$Q$14,4,FALSE),1,0)</f>
        <v>0</v>
      </c>
      <c r="AK85">
        <f>IF(VLOOKUP(AK$1,main!$A$3:$I$56,5,FALSE)-VLOOKUP($A85,main!$A$3:$I$56,6,FALSE)&gt;=VLOOKUP(56,main!$A$57:$I$59,4,FALSE)+VLOOKUP(VLOOKUP(AK$1,main!$A$3:$I$56,7,FALSE),main!$K$10:$Q$14,4,FALSE),1,0)</f>
        <v>1</v>
      </c>
      <c r="AL85">
        <f>IF(VLOOKUP(AL$1,main!$A$3:$I$56,5,FALSE)-VLOOKUP($A85,main!$A$3:$I$56,6,FALSE)&gt;=VLOOKUP(56,main!$A$57:$I$59,4,FALSE)+VLOOKUP(VLOOKUP(AL$1,main!$A$3:$I$56,7,FALSE),main!$K$10:$Q$14,4,FALSE),1,0)</f>
        <v>0</v>
      </c>
      <c r="AM85">
        <f>IF(VLOOKUP(AM$1,main!$A$3:$I$56,5,FALSE)-VLOOKUP($A85,main!$A$3:$I$56,6,FALSE)&gt;=VLOOKUP(56,main!$A$57:$I$59,4,FALSE)+VLOOKUP(VLOOKUP(AM$1,main!$A$3:$I$56,7,FALSE),main!$K$10:$Q$14,4,FALSE),1,0)</f>
        <v>0</v>
      </c>
      <c r="AN85">
        <f>IF(VLOOKUP(AN$1,main!$A$3:$I$56,5,FALSE)-VLOOKUP($A85,main!$A$3:$I$56,6,FALSE)&gt;=VLOOKUP(56,main!$A$57:$I$59,4,FALSE)+VLOOKUP(VLOOKUP(AN$1,main!$A$3:$I$56,7,FALSE),main!$K$10:$Q$14,4,FALSE),1,0)</f>
        <v>0</v>
      </c>
      <c r="AO85">
        <f>IF(VLOOKUP(AO$1,main!$A$3:$I$56,5,FALSE)-VLOOKUP($A85,main!$A$3:$I$56,6,FALSE)&gt;=VLOOKUP(56,main!$A$57:$I$59,4,FALSE)+VLOOKUP(VLOOKUP(AO$1,main!$A$3:$I$56,7,FALSE),main!$K$10:$Q$14,4,FALSE),1,0)</f>
        <v>1</v>
      </c>
      <c r="AP85">
        <f>IF(VLOOKUP(AP$1,main!$A$3:$I$56,5,FALSE)-VLOOKUP($A85,main!$A$3:$I$56,6,FALSE)&gt;=VLOOKUP(56,main!$A$57:$I$59,4,FALSE)+VLOOKUP(VLOOKUP(AP$1,main!$A$3:$I$56,7,FALSE),main!$K$10:$Q$14,4,FALSE),1,0)</f>
        <v>0</v>
      </c>
      <c r="AQ85">
        <f>IF(VLOOKUP(AQ$1,main!$A$3:$I$56,5,FALSE)-VLOOKUP($A85,main!$A$3:$I$56,6,FALSE)&gt;=VLOOKUP(56,main!$A$57:$I$59,4,FALSE)+VLOOKUP(VLOOKUP(AQ$1,main!$A$3:$I$56,7,FALSE),main!$K$10:$Q$14,4,FALSE),1,0)</f>
        <v>0</v>
      </c>
      <c r="AR85">
        <f>IF(VLOOKUP(AR$1,main!$A$3:$I$56,5,FALSE)-VLOOKUP($A85,main!$A$3:$I$56,6,FALSE)&gt;=VLOOKUP(56,main!$A$57:$I$59,4,FALSE)+VLOOKUP(VLOOKUP(AR$1,main!$A$3:$I$56,7,FALSE),main!$K$10:$Q$14,4,FALSE),1,0)</f>
        <v>0</v>
      </c>
      <c r="AS85">
        <f>IF(VLOOKUP(AS$1,main!$A$3:$I$56,5,FALSE)-VLOOKUP($A85,main!$A$3:$I$56,6,FALSE)&gt;=VLOOKUP(56,main!$A$57:$I$59,4,FALSE)+VLOOKUP(VLOOKUP(AS$1,main!$A$3:$I$56,7,FALSE),main!$K$10:$Q$14,4,FALSE),1,0)</f>
        <v>0</v>
      </c>
      <c r="AT85">
        <f>IF(VLOOKUP(AT$1,main!$A$3:$I$56,5,FALSE)-VLOOKUP($A85,main!$A$3:$I$56,6,FALSE)&gt;=VLOOKUP(56,main!$A$57:$I$59,4,FALSE)+VLOOKUP(VLOOKUP(AT$1,main!$A$3:$I$56,7,FALSE),main!$K$10:$Q$14,4,FALSE),1,0)</f>
        <v>0</v>
      </c>
      <c r="AU85">
        <f>IF(VLOOKUP(AU$1,main!$A$3:$I$56,5,FALSE)-VLOOKUP($A85,main!$A$3:$I$56,6,FALSE)&gt;=VLOOKUP(56,main!$A$57:$I$59,4,FALSE)+VLOOKUP(VLOOKUP(AU$1,main!$A$3:$I$56,7,FALSE),main!$K$10:$Q$14,4,FALSE),1,0)</f>
        <v>0</v>
      </c>
      <c r="AV85">
        <f>IF(VLOOKUP(AV$1,main!$A$3:$I$56,5,FALSE)-VLOOKUP($A85,main!$A$3:$I$56,6,FALSE)&gt;=VLOOKUP(56,main!$A$57:$I$59,4,FALSE)+VLOOKUP(VLOOKUP(AV$1,main!$A$3:$I$56,7,FALSE),main!$K$10:$Q$14,4,FALSE),1,0)</f>
        <v>0</v>
      </c>
      <c r="AW85">
        <f>IF(VLOOKUP(AW$1,main!$A$3:$I$56,5,FALSE)-VLOOKUP($A85,main!$A$3:$I$56,6,FALSE)&gt;=VLOOKUP(56,main!$A$57:$I$59,4,FALSE)+VLOOKUP(VLOOKUP(AW$1,main!$A$3:$I$56,7,FALSE),main!$K$10:$Q$14,4,FALSE),1,0)</f>
        <v>0</v>
      </c>
      <c r="AX85">
        <f>IF(VLOOKUP(AX$1,main!$A$3:$I$56,5,FALSE)-VLOOKUP($A85,main!$A$3:$I$56,6,FALSE)&gt;=VLOOKUP(56,main!$A$57:$I$59,4,FALSE)+VLOOKUP(VLOOKUP(AX$1,main!$A$3:$I$56,7,FALSE),main!$K$10:$Q$14,4,FALSE),1,0)</f>
        <v>0</v>
      </c>
      <c r="AY85">
        <f>IF(VLOOKUP(AY$1,main!$A$3:$I$56,5,FALSE)-VLOOKUP($A85,main!$A$3:$I$56,6,FALSE)&gt;=VLOOKUP(56,main!$A$57:$I$59,4,FALSE)+VLOOKUP(VLOOKUP(AY$1,main!$A$3:$I$56,7,FALSE),main!$K$10:$Q$14,4,FALSE),1,0)</f>
        <v>1</v>
      </c>
      <c r="AZ85">
        <f>IF(VLOOKUP(AZ$1,main!$A$3:$I$56,5,FALSE)-VLOOKUP($A85,main!$A$3:$I$56,6,FALSE)&gt;=VLOOKUP(56,main!$A$57:$I$59,4,FALSE)+VLOOKUP(VLOOKUP(AZ$1,main!$A$3:$I$56,7,FALSE),main!$K$10:$Q$14,4,FALSE),1,0)</f>
        <v>0</v>
      </c>
      <c r="BA85">
        <f>IF(VLOOKUP(BA$1,main!$A$3:$I$56,5,FALSE)-VLOOKUP($A85,main!$A$3:$I$56,6,FALSE)&gt;=VLOOKUP(56,main!$A$57:$I$59,4,FALSE)+VLOOKUP(VLOOKUP(BA$1,main!$A$3:$I$56,7,FALSE),main!$K$10:$Q$14,4,FALSE),1,0)</f>
        <v>0</v>
      </c>
      <c r="BB85">
        <f>IF(VLOOKUP(BB$1,main!$A$3:$I$56,5,FALSE)-VLOOKUP($A85,main!$A$3:$I$56,6,FALSE)&gt;=VLOOKUP(56,main!$A$57:$I$59,4,FALSE)+VLOOKUP(VLOOKUP(BB$1,main!$A$3:$I$56,7,FALSE),main!$K$10:$Q$14,4,FALSE),1,0)</f>
        <v>0</v>
      </c>
      <c r="BC85">
        <f>IF(VLOOKUP(BC$1,main!$A$3:$I$56,5,FALSE)-VLOOKUP($A85,main!$A$3:$I$56,6,FALSE)&gt;=VLOOKUP(56,main!$A$57:$I$59,4,FALSE)+VLOOKUP(VLOOKUP(BC$1,main!$A$3:$I$56,7,FALSE),main!$K$10:$Q$14,4,FALSE),1,0)</f>
        <v>0</v>
      </c>
      <c r="BD85">
        <f>IF(VLOOKUP(BD$1,main!$A$3:$I$56,5,FALSE)-VLOOKUP($A85,main!$A$3:$I$56,6,FALSE)&gt;=VLOOKUP(56,main!$A$57:$I$59,4,FALSE)+VLOOKUP(VLOOKUP(BD$1,main!$A$3:$I$56,7,FALSE),main!$K$10:$Q$14,4,FALSE),1,0)</f>
        <v>0</v>
      </c>
    </row>
    <row r="86" spans="1:56" x14ac:dyDescent="0.25">
      <c r="A86">
        <f t="shared" si="1"/>
        <v>29</v>
      </c>
      <c r="B86">
        <v>0</v>
      </c>
      <c r="C86">
        <f>IF(VLOOKUP(C$1,main!$A$3:$I$56,5,FALSE)-VLOOKUP($A86,main!$A$3:$I$56,6,FALSE)&gt;=VLOOKUP(56,main!$A$57:$I$59,4,FALSE)+VLOOKUP(VLOOKUP(C$1,main!$A$3:$I$56,7,FALSE),main!$K$10:$Q$14,4,FALSE),1,0)</f>
        <v>0</v>
      </c>
      <c r="D86">
        <f>IF(VLOOKUP(D$1,main!$A$3:$I$56,5,FALSE)-VLOOKUP($A86,main!$A$3:$I$56,6,FALSE)&gt;=VLOOKUP(56,main!$A$57:$I$59,4,FALSE)+VLOOKUP(VLOOKUP(D$1,main!$A$3:$I$56,7,FALSE),main!$K$10:$Q$14,4,FALSE),1,0)</f>
        <v>0</v>
      </c>
      <c r="E86">
        <f>IF(VLOOKUP(E$1,main!$A$3:$I$56,5,FALSE)-VLOOKUP($A86,main!$A$3:$I$56,6,FALSE)&gt;=VLOOKUP(56,main!$A$57:$I$59,4,FALSE)+VLOOKUP(VLOOKUP(E$1,main!$A$3:$I$56,7,FALSE),main!$K$10:$Q$14,4,FALSE),1,0)</f>
        <v>0</v>
      </c>
      <c r="F86">
        <f>IF(VLOOKUP(F$1,main!$A$3:$I$56,5,FALSE)-VLOOKUP($A86,main!$A$3:$I$56,6,FALSE)&gt;=VLOOKUP(56,main!$A$57:$I$59,4,FALSE)+VLOOKUP(VLOOKUP(F$1,main!$A$3:$I$56,7,FALSE),main!$K$10:$Q$14,4,FALSE),1,0)</f>
        <v>0</v>
      </c>
      <c r="G86">
        <f>IF(VLOOKUP(G$1,main!$A$3:$I$56,5,FALSE)-VLOOKUP($A86,main!$A$3:$I$56,6,FALSE)&gt;=VLOOKUP(56,main!$A$57:$I$59,4,FALSE)+VLOOKUP(VLOOKUP(G$1,main!$A$3:$I$56,7,FALSE),main!$K$10:$Q$14,4,FALSE),1,0)</f>
        <v>1</v>
      </c>
      <c r="H86">
        <f>IF(VLOOKUP(H$1,main!$A$3:$I$56,5,FALSE)-VLOOKUP($A86,main!$A$3:$I$56,6,FALSE)&gt;=VLOOKUP(56,main!$A$57:$I$59,4,FALSE)+VLOOKUP(VLOOKUP(H$1,main!$A$3:$I$56,7,FALSE),main!$K$10:$Q$14,4,FALSE),1,0)</f>
        <v>1</v>
      </c>
      <c r="I86">
        <f>IF(VLOOKUP(I$1,main!$A$3:$I$56,5,FALSE)-VLOOKUP($A86,main!$A$3:$I$56,6,FALSE)&gt;=VLOOKUP(56,main!$A$57:$I$59,4,FALSE)+VLOOKUP(VLOOKUP(I$1,main!$A$3:$I$56,7,FALSE),main!$K$10:$Q$14,4,FALSE),1,0)</f>
        <v>1</v>
      </c>
      <c r="J86">
        <f>IF(VLOOKUP(J$1,main!$A$3:$I$56,5,FALSE)-VLOOKUP($A86,main!$A$3:$I$56,6,FALSE)&gt;=VLOOKUP(56,main!$A$57:$I$59,4,FALSE)+VLOOKUP(VLOOKUP(J$1,main!$A$3:$I$56,7,FALSE),main!$K$10:$Q$14,4,FALSE),1,0)</f>
        <v>1</v>
      </c>
      <c r="K86">
        <f>IF(VLOOKUP(K$1,main!$A$3:$I$56,5,FALSE)-VLOOKUP($A86,main!$A$3:$I$56,6,FALSE)&gt;=VLOOKUP(56,main!$A$57:$I$59,4,FALSE)+VLOOKUP(VLOOKUP(K$1,main!$A$3:$I$56,7,FALSE),main!$K$10:$Q$14,4,FALSE),1,0)</f>
        <v>0</v>
      </c>
      <c r="L86">
        <f>IF(VLOOKUP(L$1,main!$A$3:$I$56,5,FALSE)-VLOOKUP($A86,main!$A$3:$I$56,6,FALSE)&gt;=VLOOKUP(56,main!$A$57:$I$59,4,FALSE)+VLOOKUP(VLOOKUP(L$1,main!$A$3:$I$56,7,FALSE),main!$K$10:$Q$14,4,FALSE),1,0)</f>
        <v>0</v>
      </c>
      <c r="M86">
        <f>IF(VLOOKUP(M$1,main!$A$3:$I$56,5,FALSE)-VLOOKUP($A86,main!$A$3:$I$56,6,FALSE)&gt;=VLOOKUP(56,main!$A$57:$I$59,4,FALSE)+VLOOKUP(VLOOKUP(M$1,main!$A$3:$I$56,7,FALSE),main!$K$10:$Q$14,4,FALSE),1,0)</f>
        <v>0</v>
      </c>
      <c r="N86">
        <f>IF(VLOOKUP(N$1,main!$A$3:$I$56,5,FALSE)-VLOOKUP($A86,main!$A$3:$I$56,6,FALSE)&gt;=VLOOKUP(56,main!$A$57:$I$59,4,FALSE)+VLOOKUP(VLOOKUP(N$1,main!$A$3:$I$56,7,FALSE),main!$K$10:$Q$14,4,FALSE),1,0)</f>
        <v>1</v>
      </c>
      <c r="O86">
        <f>IF(VLOOKUP(O$1,main!$A$3:$I$56,5,FALSE)-VLOOKUP($A86,main!$A$3:$I$56,6,FALSE)&gt;=VLOOKUP(56,main!$A$57:$I$59,4,FALSE)+VLOOKUP(VLOOKUP(O$1,main!$A$3:$I$56,7,FALSE),main!$K$10:$Q$14,4,FALSE),1,0)</f>
        <v>1</v>
      </c>
      <c r="P86">
        <f>IF(VLOOKUP(P$1,main!$A$3:$I$56,5,FALSE)-VLOOKUP($A86,main!$A$3:$I$56,6,FALSE)&gt;=VLOOKUP(56,main!$A$57:$I$59,4,FALSE)+VLOOKUP(VLOOKUP(P$1,main!$A$3:$I$56,7,FALSE),main!$K$10:$Q$14,4,FALSE),1,0)</f>
        <v>0</v>
      </c>
      <c r="Q86">
        <f>IF(VLOOKUP(Q$1,main!$A$3:$I$56,5,FALSE)-VLOOKUP($A86,main!$A$3:$I$56,6,FALSE)&gt;=VLOOKUP(56,main!$A$57:$I$59,4,FALSE)+VLOOKUP(VLOOKUP(Q$1,main!$A$3:$I$56,7,FALSE),main!$K$10:$Q$14,4,FALSE),1,0)</f>
        <v>0</v>
      </c>
      <c r="R86">
        <f>IF(VLOOKUP(R$1,main!$A$3:$I$56,5,FALSE)-VLOOKUP($A86,main!$A$3:$I$56,6,FALSE)&gt;=VLOOKUP(56,main!$A$57:$I$59,4,FALSE)+VLOOKUP(VLOOKUP(R$1,main!$A$3:$I$56,7,FALSE),main!$K$10:$Q$14,4,FALSE),1,0)</f>
        <v>0</v>
      </c>
      <c r="S86">
        <f>IF(VLOOKUP(S$1,main!$A$3:$I$56,5,FALSE)-VLOOKUP($A86,main!$A$3:$I$56,6,FALSE)&gt;=VLOOKUP(56,main!$A$57:$I$59,4,FALSE)+VLOOKUP(VLOOKUP(S$1,main!$A$3:$I$56,7,FALSE),main!$K$10:$Q$14,4,FALSE),1,0)</f>
        <v>0</v>
      </c>
      <c r="T86">
        <f>IF(VLOOKUP(T$1,main!$A$3:$I$56,5,FALSE)-VLOOKUP($A86,main!$A$3:$I$56,6,FALSE)&gt;=VLOOKUP(56,main!$A$57:$I$59,4,FALSE)+VLOOKUP(VLOOKUP(T$1,main!$A$3:$I$56,7,FALSE),main!$K$10:$Q$14,4,FALSE),1,0)</f>
        <v>1</v>
      </c>
      <c r="U86">
        <f>IF(VLOOKUP(U$1,main!$A$3:$I$56,5,FALSE)-VLOOKUP($A86,main!$A$3:$I$56,6,FALSE)&gt;=VLOOKUP(56,main!$A$57:$I$59,4,FALSE)+VLOOKUP(VLOOKUP(U$1,main!$A$3:$I$56,7,FALSE),main!$K$10:$Q$14,4,FALSE),1,0)</f>
        <v>0</v>
      </c>
      <c r="V86">
        <f>IF(VLOOKUP(V$1,main!$A$3:$I$56,5,FALSE)-VLOOKUP($A86,main!$A$3:$I$56,6,FALSE)&gt;=VLOOKUP(56,main!$A$57:$I$59,4,FALSE)+VLOOKUP(VLOOKUP(V$1,main!$A$3:$I$56,7,FALSE),main!$K$10:$Q$14,4,FALSE),1,0)</f>
        <v>0</v>
      </c>
      <c r="W86">
        <f>IF(VLOOKUP(W$1,main!$A$3:$I$56,5,FALSE)-VLOOKUP($A86,main!$A$3:$I$56,6,FALSE)&gt;=VLOOKUP(56,main!$A$57:$I$59,4,FALSE)+VLOOKUP(VLOOKUP(W$1,main!$A$3:$I$56,7,FALSE),main!$K$10:$Q$14,4,FALSE),1,0)</f>
        <v>0</v>
      </c>
      <c r="X86">
        <f>IF(VLOOKUP(X$1,main!$A$3:$I$56,5,FALSE)-VLOOKUP($A86,main!$A$3:$I$56,6,FALSE)&gt;=VLOOKUP(56,main!$A$57:$I$59,4,FALSE)+VLOOKUP(VLOOKUP(X$1,main!$A$3:$I$56,7,FALSE),main!$K$10:$Q$14,4,FALSE),1,0)</f>
        <v>0</v>
      </c>
      <c r="Y86">
        <f>IF(VLOOKUP(Y$1,main!$A$3:$I$56,5,FALSE)-VLOOKUP($A86,main!$A$3:$I$56,6,FALSE)&gt;=VLOOKUP(56,main!$A$57:$I$59,4,FALSE)+VLOOKUP(VLOOKUP(Y$1,main!$A$3:$I$56,7,FALSE),main!$K$10:$Q$14,4,FALSE),1,0)</f>
        <v>0</v>
      </c>
      <c r="Z86">
        <f>IF(VLOOKUP(Z$1,main!$A$3:$I$56,5,FALSE)-VLOOKUP($A86,main!$A$3:$I$56,6,FALSE)&gt;=VLOOKUP(56,main!$A$57:$I$59,4,FALSE)+VLOOKUP(VLOOKUP(Z$1,main!$A$3:$I$56,7,FALSE),main!$K$10:$Q$14,4,FALSE),1,0)</f>
        <v>0</v>
      </c>
      <c r="AA86">
        <f>IF(VLOOKUP(AA$1,main!$A$3:$I$56,5,FALSE)-VLOOKUP($A86,main!$A$3:$I$56,6,FALSE)&gt;=VLOOKUP(56,main!$A$57:$I$59,4,FALSE)+VLOOKUP(VLOOKUP(AA$1,main!$A$3:$I$56,7,FALSE),main!$K$10:$Q$14,4,FALSE),1,0)</f>
        <v>0</v>
      </c>
      <c r="AB86">
        <f>IF(VLOOKUP(AB$1,main!$A$3:$I$56,5,FALSE)-VLOOKUP($A86,main!$A$3:$I$56,6,FALSE)&gt;=VLOOKUP(56,main!$A$57:$I$59,4,FALSE)+VLOOKUP(VLOOKUP(AB$1,main!$A$3:$I$56,7,FALSE),main!$K$10:$Q$14,4,FALSE),1,0)</f>
        <v>1</v>
      </c>
      <c r="AC86">
        <f>IF(VLOOKUP(AC$1,main!$A$3:$I$56,5,FALSE)-VLOOKUP($A86,main!$A$3:$I$56,6,FALSE)&gt;=VLOOKUP(56,main!$A$57:$I$59,4,FALSE)+VLOOKUP(VLOOKUP(AC$1,main!$A$3:$I$56,7,FALSE),main!$K$10:$Q$14,4,FALSE),1,0)</f>
        <v>0</v>
      </c>
      <c r="AD86">
        <f>IF(VLOOKUP(AD$1,main!$A$3:$I$56,5,FALSE)-VLOOKUP($A86,main!$A$3:$I$56,6,FALSE)&gt;=VLOOKUP(56,main!$A$57:$I$59,4,FALSE)+VLOOKUP(VLOOKUP(AD$1,main!$A$3:$I$56,7,FALSE),main!$K$10:$Q$14,4,FALSE),1,0)</f>
        <v>0</v>
      </c>
      <c r="AE86">
        <f>IF(VLOOKUP(AE$1,main!$A$3:$I$56,5,FALSE)-VLOOKUP($A86,main!$A$3:$I$56,6,FALSE)&gt;=VLOOKUP(56,main!$A$57:$I$59,4,FALSE)+VLOOKUP(VLOOKUP(AE$1,main!$A$3:$I$56,7,FALSE),main!$K$10:$Q$14,4,FALSE),1,0)</f>
        <v>0</v>
      </c>
      <c r="AF86">
        <f>IF(VLOOKUP(AF$1,main!$A$3:$I$56,5,FALSE)-VLOOKUP($A86,main!$A$3:$I$56,6,FALSE)&gt;=VLOOKUP(56,main!$A$57:$I$59,4,FALSE)+VLOOKUP(VLOOKUP(AF$1,main!$A$3:$I$56,7,FALSE),main!$K$10:$Q$14,4,FALSE),1,0)</f>
        <v>0</v>
      </c>
      <c r="AG86">
        <f>IF(VLOOKUP(AG$1,main!$A$3:$I$56,5,FALSE)-VLOOKUP($A86,main!$A$3:$I$56,6,FALSE)&gt;=VLOOKUP(56,main!$A$57:$I$59,4,FALSE)+VLOOKUP(VLOOKUP(AG$1,main!$A$3:$I$56,7,FALSE),main!$K$10:$Q$14,4,FALSE),1,0)</f>
        <v>0</v>
      </c>
      <c r="AH86">
        <f>IF(VLOOKUP(AH$1,main!$A$3:$I$56,5,FALSE)-VLOOKUP($A86,main!$A$3:$I$56,6,FALSE)&gt;=VLOOKUP(56,main!$A$57:$I$59,4,FALSE)+VLOOKUP(VLOOKUP(AH$1,main!$A$3:$I$56,7,FALSE),main!$K$10:$Q$14,4,FALSE),1,0)</f>
        <v>0</v>
      </c>
      <c r="AI86">
        <f>IF(VLOOKUP(AI$1,main!$A$3:$I$56,5,FALSE)-VLOOKUP($A86,main!$A$3:$I$56,6,FALSE)&gt;=VLOOKUP(56,main!$A$57:$I$59,4,FALSE)+VLOOKUP(VLOOKUP(AI$1,main!$A$3:$I$56,7,FALSE),main!$K$10:$Q$14,4,FALSE),1,0)</f>
        <v>0</v>
      </c>
      <c r="AJ86">
        <f>IF(VLOOKUP(AJ$1,main!$A$3:$I$56,5,FALSE)-VLOOKUP($A86,main!$A$3:$I$56,6,FALSE)&gt;=VLOOKUP(56,main!$A$57:$I$59,4,FALSE)+VLOOKUP(VLOOKUP(AJ$1,main!$A$3:$I$56,7,FALSE),main!$K$10:$Q$14,4,FALSE),1,0)</f>
        <v>0</v>
      </c>
      <c r="AK86">
        <f>IF(VLOOKUP(AK$1,main!$A$3:$I$56,5,FALSE)-VLOOKUP($A86,main!$A$3:$I$56,6,FALSE)&gt;=VLOOKUP(56,main!$A$57:$I$59,4,FALSE)+VLOOKUP(VLOOKUP(AK$1,main!$A$3:$I$56,7,FALSE),main!$K$10:$Q$14,4,FALSE),1,0)</f>
        <v>0</v>
      </c>
      <c r="AL86">
        <f>IF(VLOOKUP(AL$1,main!$A$3:$I$56,5,FALSE)-VLOOKUP($A86,main!$A$3:$I$56,6,FALSE)&gt;=VLOOKUP(56,main!$A$57:$I$59,4,FALSE)+VLOOKUP(VLOOKUP(AL$1,main!$A$3:$I$56,7,FALSE),main!$K$10:$Q$14,4,FALSE),1,0)</f>
        <v>0</v>
      </c>
      <c r="AM86">
        <f>IF(VLOOKUP(AM$1,main!$A$3:$I$56,5,FALSE)-VLOOKUP($A86,main!$A$3:$I$56,6,FALSE)&gt;=VLOOKUP(56,main!$A$57:$I$59,4,FALSE)+VLOOKUP(VLOOKUP(AM$1,main!$A$3:$I$56,7,FALSE),main!$K$10:$Q$14,4,FALSE),1,0)</f>
        <v>0</v>
      </c>
      <c r="AN86">
        <f>IF(VLOOKUP(AN$1,main!$A$3:$I$56,5,FALSE)-VLOOKUP($A86,main!$A$3:$I$56,6,FALSE)&gt;=VLOOKUP(56,main!$A$57:$I$59,4,FALSE)+VLOOKUP(VLOOKUP(AN$1,main!$A$3:$I$56,7,FALSE),main!$K$10:$Q$14,4,FALSE),1,0)</f>
        <v>0</v>
      </c>
      <c r="AO86">
        <f>IF(VLOOKUP(AO$1,main!$A$3:$I$56,5,FALSE)-VLOOKUP($A86,main!$A$3:$I$56,6,FALSE)&gt;=VLOOKUP(56,main!$A$57:$I$59,4,FALSE)+VLOOKUP(VLOOKUP(AO$1,main!$A$3:$I$56,7,FALSE),main!$K$10:$Q$14,4,FALSE),1,0)</f>
        <v>0</v>
      </c>
      <c r="AP86">
        <f>IF(VLOOKUP(AP$1,main!$A$3:$I$56,5,FALSE)-VLOOKUP($A86,main!$A$3:$I$56,6,FALSE)&gt;=VLOOKUP(56,main!$A$57:$I$59,4,FALSE)+VLOOKUP(VLOOKUP(AP$1,main!$A$3:$I$56,7,FALSE),main!$K$10:$Q$14,4,FALSE),1,0)</f>
        <v>0</v>
      </c>
      <c r="AQ86">
        <f>IF(VLOOKUP(AQ$1,main!$A$3:$I$56,5,FALSE)-VLOOKUP($A86,main!$A$3:$I$56,6,FALSE)&gt;=VLOOKUP(56,main!$A$57:$I$59,4,FALSE)+VLOOKUP(VLOOKUP(AQ$1,main!$A$3:$I$56,7,FALSE),main!$K$10:$Q$14,4,FALSE),1,0)</f>
        <v>0</v>
      </c>
      <c r="AR86">
        <f>IF(VLOOKUP(AR$1,main!$A$3:$I$56,5,FALSE)-VLOOKUP($A86,main!$A$3:$I$56,6,FALSE)&gt;=VLOOKUP(56,main!$A$57:$I$59,4,FALSE)+VLOOKUP(VLOOKUP(AR$1,main!$A$3:$I$56,7,FALSE),main!$K$10:$Q$14,4,FALSE),1,0)</f>
        <v>0</v>
      </c>
      <c r="AS86">
        <f>IF(VLOOKUP(AS$1,main!$A$3:$I$56,5,FALSE)-VLOOKUP($A86,main!$A$3:$I$56,6,FALSE)&gt;=VLOOKUP(56,main!$A$57:$I$59,4,FALSE)+VLOOKUP(VLOOKUP(AS$1,main!$A$3:$I$56,7,FALSE),main!$K$10:$Q$14,4,FALSE),1,0)</f>
        <v>0</v>
      </c>
      <c r="AT86">
        <f>IF(VLOOKUP(AT$1,main!$A$3:$I$56,5,FALSE)-VLOOKUP($A86,main!$A$3:$I$56,6,FALSE)&gt;=VLOOKUP(56,main!$A$57:$I$59,4,FALSE)+VLOOKUP(VLOOKUP(AT$1,main!$A$3:$I$56,7,FALSE),main!$K$10:$Q$14,4,FALSE),1,0)</f>
        <v>0</v>
      </c>
      <c r="AU86">
        <f>IF(VLOOKUP(AU$1,main!$A$3:$I$56,5,FALSE)-VLOOKUP($A86,main!$A$3:$I$56,6,FALSE)&gt;=VLOOKUP(56,main!$A$57:$I$59,4,FALSE)+VLOOKUP(VLOOKUP(AU$1,main!$A$3:$I$56,7,FALSE),main!$K$10:$Q$14,4,FALSE),1,0)</f>
        <v>0</v>
      </c>
      <c r="AV86">
        <f>IF(VLOOKUP(AV$1,main!$A$3:$I$56,5,FALSE)-VLOOKUP($A86,main!$A$3:$I$56,6,FALSE)&gt;=VLOOKUP(56,main!$A$57:$I$59,4,FALSE)+VLOOKUP(VLOOKUP(AV$1,main!$A$3:$I$56,7,FALSE),main!$K$10:$Q$14,4,FALSE),1,0)</f>
        <v>0</v>
      </c>
      <c r="AW86">
        <f>IF(VLOOKUP(AW$1,main!$A$3:$I$56,5,FALSE)-VLOOKUP($A86,main!$A$3:$I$56,6,FALSE)&gt;=VLOOKUP(56,main!$A$57:$I$59,4,FALSE)+VLOOKUP(VLOOKUP(AW$1,main!$A$3:$I$56,7,FALSE),main!$K$10:$Q$14,4,FALSE),1,0)</f>
        <v>0</v>
      </c>
      <c r="AX86">
        <f>IF(VLOOKUP(AX$1,main!$A$3:$I$56,5,FALSE)-VLOOKUP($A86,main!$A$3:$I$56,6,FALSE)&gt;=VLOOKUP(56,main!$A$57:$I$59,4,FALSE)+VLOOKUP(VLOOKUP(AX$1,main!$A$3:$I$56,7,FALSE),main!$K$10:$Q$14,4,FALSE),1,0)</f>
        <v>0</v>
      </c>
      <c r="AY86">
        <f>IF(VLOOKUP(AY$1,main!$A$3:$I$56,5,FALSE)-VLOOKUP($A86,main!$A$3:$I$56,6,FALSE)&gt;=VLOOKUP(56,main!$A$57:$I$59,4,FALSE)+VLOOKUP(VLOOKUP(AY$1,main!$A$3:$I$56,7,FALSE),main!$K$10:$Q$14,4,FALSE),1,0)</f>
        <v>1</v>
      </c>
      <c r="AZ86">
        <f>IF(VLOOKUP(AZ$1,main!$A$3:$I$56,5,FALSE)-VLOOKUP($A86,main!$A$3:$I$56,6,FALSE)&gt;=VLOOKUP(56,main!$A$57:$I$59,4,FALSE)+VLOOKUP(VLOOKUP(AZ$1,main!$A$3:$I$56,7,FALSE),main!$K$10:$Q$14,4,FALSE),1,0)</f>
        <v>0</v>
      </c>
      <c r="BA86">
        <f>IF(VLOOKUP(BA$1,main!$A$3:$I$56,5,FALSE)-VLOOKUP($A86,main!$A$3:$I$56,6,FALSE)&gt;=VLOOKUP(56,main!$A$57:$I$59,4,FALSE)+VLOOKUP(VLOOKUP(BA$1,main!$A$3:$I$56,7,FALSE),main!$K$10:$Q$14,4,FALSE),1,0)</f>
        <v>0</v>
      </c>
      <c r="BB86">
        <f>IF(VLOOKUP(BB$1,main!$A$3:$I$56,5,FALSE)-VLOOKUP($A86,main!$A$3:$I$56,6,FALSE)&gt;=VLOOKUP(56,main!$A$57:$I$59,4,FALSE)+VLOOKUP(VLOOKUP(BB$1,main!$A$3:$I$56,7,FALSE),main!$K$10:$Q$14,4,FALSE),1,0)</f>
        <v>0</v>
      </c>
      <c r="BC86">
        <f>IF(VLOOKUP(BC$1,main!$A$3:$I$56,5,FALSE)-VLOOKUP($A86,main!$A$3:$I$56,6,FALSE)&gt;=VLOOKUP(56,main!$A$57:$I$59,4,FALSE)+VLOOKUP(VLOOKUP(BC$1,main!$A$3:$I$56,7,FALSE),main!$K$10:$Q$14,4,FALSE),1,0)</f>
        <v>0</v>
      </c>
      <c r="BD86">
        <f>IF(VLOOKUP(BD$1,main!$A$3:$I$56,5,FALSE)-VLOOKUP($A86,main!$A$3:$I$56,6,FALSE)&gt;=VLOOKUP(56,main!$A$57:$I$59,4,FALSE)+VLOOKUP(VLOOKUP(BD$1,main!$A$3:$I$56,7,FALSE),main!$K$10:$Q$14,4,FALSE),1,0)</f>
        <v>0</v>
      </c>
    </row>
    <row r="87" spans="1:56" x14ac:dyDescent="0.25">
      <c r="A87">
        <f t="shared" si="1"/>
        <v>30</v>
      </c>
      <c r="B87">
        <v>0</v>
      </c>
      <c r="C87">
        <f>IF(VLOOKUP(C$1,main!$A$3:$I$56,5,FALSE)-VLOOKUP($A87,main!$A$3:$I$56,6,FALSE)&gt;=VLOOKUP(56,main!$A$57:$I$59,4,FALSE)+VLOOKUP(VLOOKUP(C$1,main!$A$3:$I$56,7,FALSE),main!$K$10:$Q$14,4,FALSE),1,0)</f>
        <v>0</v>
      </c>
      <c r="D87">
        <f>IF(VLOOKUP(D$1,main!$A$3:$I$56,5,FALSE)-VLOOKUP($A87,main!$A$3:$I$56,6,FALSE)&gt;=VLOOKUP(56,main!$A$57:$I$59,4,FALSE)+VLOOKUP(VLOOKUP(D$1,main!$A$3:$I$56,7,FALSE),main!$K$10:$Q$14,4,FALSE),1,0)</f>
        <v>0</v>
      </c>
      <c r="E87">
        <f>IF(VLOOKUP(E$1,main!$A$3:$I$56,5,FALSE)-VLOOKUP($A87,main!$A$3:$I$56,6,FALSE)&gt;=VLOOKUP(56,main!$A$57:$I$59,4,FALSE)+VLOOKUP(VLOOKUP(E$1,main!$A$3:$I$56,7,FALSE),main!$K$10:$Q$14,4,FALSE),1,0)</f>
        <v>0</v>
      </c>
      <c r="F87">
        <f>IF(VLOOKUP(F$1,main!$A$3:$I$56,5,FALSE)-VLOOKUP($A87,main!$A$3:$I$56,6,FALSE)&gt;=VLOOKUP(56,main!$A$57:$I$59,4,FALSE)+VLOOKUP(VLOOKUP(F$1,main!$A$3:$I$56,7,FALSE),main!$K$10:$Q$14,4,FALSE),1,0)</f>
        <v>0</v>
      </c>
      <c r="G87">
        <f>IF(VLOOKUP(G$1,main!$A$3:$I$56,5,FALSE)-VLOOKUP($A87,main!$A$3:$I$56,6,FALSE)&gt;=VLOOKUP(56,main!$A$57:$I$59,4,FALSE)+VLOOKUP(VLOOKUP(G$1,main!$A$3:$I$56,7,FALSE),main!$K$10:$Q$14,4,FALSE),1,0)</f>
        <v>0</v>
      </c>
      <c r="H87">
        <f>IF(VLOOKUP(H$1,main!$A$3:$I$56,5,FALSE)-VLOOKUP($A87,main!$A$3:$I$56,6,FALSE)&gt;=VLOOKUP(56,main!$A$57:$I$59,4,FALSE)+VLOOKUP(VLOOKUP(H$1,main!$A$3:$I$56,7,FALSE),main!$K$10:$Q$14,4,FALSE),1,0)</f>
        <v>0</v>
      </c>
      <c r="I87">
        <f>IF(VLOOKUP(I$1,main!$A$3:$I$56,5,FALSE)-VLOOKUP($A87,main!$A$3:$I$56,6,FALSE)&gt;=VLOOKUP(56,main!$A$57:$I$59,4,FALSE)+VLOOKUP(VLOOKUP(I$1,main!$A$3:$I$56,7,FALSE),main!$K$10:$Q$14,4,FALSE),1,0)</f>
        <v>0</v>
      </c>
      <c r="J87">
        <f>IF(VLOOKUP(J$1,main!$A$3:$I$56,5,FALSE)-VLOOKUP($A87,main!$A$3:$I$56,6,FALSE)&gt;=VLOOKUP(56,main!$A$57:$I$59,4,FALSE)+VLOOKUP(VLOOKUP(J$1,main!$A$3:$I$56,7,FALSE),main!$K$10:$Q$14,4,FALSE),1,0)</f>
        <v>1</v>
      </c>
      <c r="K87">
        <f>IF(VLOOKUP(K$1,main!$A$3:$I$56,5,FALSE)-VLOOKUP($A87,main!$A$3:$I$56,6,FALSE)&gt;=VLOOKUP(56,main!$A$57:$I$59,4,FALSE)+VLOOKUP(VLOOKUP(K$1,main!$A$3:$I$56,7,FALSE),main!$K$10:$Q$14,4,FALSE),1,0)</f>
        <v>0</v>
      </c>
      <c r="L87">
        <f>IF(VLOOKUP(L$1,main!$A$3:$I$56,5,FALSE)-VLOOKUP($A87,main!$A$3:$I$56,6,FALSE)&gt;=VLOOKUP(56,main!$A$57:$I$59,4,FALSE)+VLOOKUP(VLOOKUP(L$1,main!$A$3:$I$56,7,FALSE),main!$K$10:$Q$14,4,FALSE),1,0)</f>
        <v>0</v>
      </c>
      <c r="M87">
        <f>IF(VLOOKUP(M$1,main!$A$3:$I$56,5,FALSE)-VLOOKUP($A87,main!$A$3:$I$56,6,FALSE)&gt;=VLOOKUP(56,main!$A$57:$I$59,4,FALSE)+VLOOKUP(VLOOKUP(M$1,main!$A$3:$I$56,7,FALSE),main!$K$10:$Q$14,4,FALSE),1,0)</f>
        <v>0</v>
      </c>
      <c r="N87">
        <f>IF(VLOOKUP(N$1,main!$A$3:$I$56,5,FALSE)-VLOOKUP($A87,main!$A$3:$I$56,6,FALSE)&gt;=VLOOKUP(56,main!$A$57:$I$59,4,FALSE)+VLOOKUP(VLOOKUP(N$1,main!$A$3:$I$56,7,FALSE),main!$K$10:$Q$14,4,FALSE),1,0)</f>
        <v>0</v>
      </c>
      <c r="O87">
        <f>IF(VLOOKUP(O$1,main!$A$3:$I$56,5,FALSE)-VLOOKUP($A87,main!$A$3:$I$56,6,FALSE)&gt;=VLOOKUP(56,main!$A$57:$I$59,4,FALSE)+VLOOKUP(VLOOKUP(O$1,main!$A$3:$I$56,7,FALSE),main!$K$10:$Q$14,4,FALSE),1,0)</f>
        <v>1</v>
      </c>
      <c r="P87">
        <f>IF(VLOOKUP(P$1,main!$A$3:$I$56,5,FALSE)-VLOOKUP($A87,main!$A$3:$I$56,6,FALSE)&gt;=VLOOKUP(56,main!$A$57:$I$59,4,FALSE)+VLOOKUP(VLOOKUP(P$1,main!$A$3:$I$56,7,FALSE),main!$K$10:$Q$14,4,FALSE),1,0)</f>
        <v>0</v>
      </c>
      <c r="Q87">
        <f>IF(VLOOKUP(Q$1,main!$A$3:$I$56,5,FALSE)-VLOOKUP($A87,main!$A$3:$I$56,6,FALSE)&gt;=VLOOKUP(56,main!$A$57:$I$59,4,FALSE)+VLOOKUP(VLOOKUP(Q$1,main!$A$3:$I$56,7,FALSE),main!$K$10:$Q$14,4,FALSE),1,0)</f>
        <v>0</v>
      </c>
      <c r="R87">
        <f>IF(VLOOKUP(R$1,main!$A$3:$I$56,5,FALSE)-VLOOKUP($A87,main!$A$3:$I$56,6,FALSE)&gt;=VLOOKUP(56,main!$A$57:$I$59,4,FALSE)+VLOOKUP(VLOOKUP(R$1,main!$A$3:$I$56,7,FALSE),main!$K$10:$Q$14,4,FALSE),1,0)</f>
        <v>0</v>
      </c>
      <c r="S87">
        <f>IF(VLOOKUP(S$1,main!$A$3:$I$56,5,FALSE)-VLOOKUP($A87,main!$A$3:$I$56,6,FALSE)&gt;=VLOOKUP(56,main!$A$57:$I$59,4,FALSE)+VLOOKUP(VLOOKUP(S$1,main!$A$3:$I$56,7,FALSE),main!$K$10:$Q$14,4,FALSE),1,0)</f>
        <v>0</v>
      </c>
      <c r="T87">
        <f>IF(VLOOKUP(T$1,main!$A$3:$I$56,5,FALSE)-VLOOKUP($A87,main!$A$3:$I$56,6,FALSE)&gt;=VLOOKUP(56,main!$A$57:$I$59,4,FALSE)+VLOOKUP(VLOOKUP(T$1,main!$A$3:$I$56,7,FALSE),main!$K$10:$Q$14,4,FALSE),1,0)</f>
        <v>0</v>
      </c>
      <c r="U87">
        <f>IF(VLOOKUP(U$1,main!$A$3:$I$56,5,FALSE)-VLOOKUP($A87,main!$A$3:$I$56,6,FALSE)&gt;=VLOOKUP(56,main!$A$57:$I$59,4,FALSE)+VLOOKUP(VLOOKUP(U$1,main!$A$3:$I$56,7,FALSE),main!$K$10:$Q$14,4,FALSE),1,0)</f>
        <v>0</v>
      </c>
      <c r="V87">
        <f>IF(VLOOKUP(V$1,main!$A$3:$I$56,5,FALSE)-VLOOKUP($A87,main!$A$3:$I$56,6,FALSE)&gt;=VLOOKUP(56,main!$A$57:$I$59,4,FALSE)+VLOOKUP(VLOOKUP(V$1,main!$A$3:$I$56,7,FALSE),main!$K$10:$Q$14,4,FALSE),1,0)</f>
        <v>0</v>
      </c>
      <c r="W87">
        <f>IF(VLOOKUP(W$1,main!$A$3:$I$56,5,FALSE)-VLOOKUP($A87,main!$A$3:$I$56,6,FALSE)&gt;=VLOOKUP(56,main!$A$57:$I$59,4,FALSE)+VLOOKUP(VLOOKUP(W$1,main!$A$3:$I$56,7,FALSE),main!$K$10:$Q$14,4,FALSE),1,0)</f>
        <v>0</v>
      </c>
      <c r="X87">
        <f>IF(VLOOKUP(X$1,main!$A$3:$I$56,5,FALSE)-VLOOKUP($A87,main!$A$3:$I$56,6,FALSE)&gt;=VLOOKUP(56,main!$A$57:$I$59,4,FALSE)+VLOOKUP(VLOOKUP(X$1,main!$A$3:$I$56,7,FALSE),main!$K$10:$Q$14,4,FALSE),1,0)</f>
        <v>0</v>
      </c>
      <c r="Y87">
        <f>IF(VLOOKUP(Y$1,main!$A$3:$I$56,5,FALSE)-VLOOKUP($A87,main!$A$3:$I$56,6,FALSE)&gt;=VLOOKUP(56,main!$A$57:$I$59,4,FALSE)+VLOOKUP(VLOOKUP(Y$1,main!$A$3:$I$56,7,FALSE),main!$K$10:$Q$14,4,FALSE),1,0)</f>
        <v>0</v>
      </c>
      <c r="Z87">
        <f>IF(VLOOKUP(Z$1,main!$A$3:$I$56,5,FALSE)-VLOOKUP($A87,main!$A$3:$I$56,6,FALSE)&gt;=VLOOKUP(56,main!$A$57:$I$59,4,FALSE)+VLOOKUP(VLOOKUP(Z$1,main!$A$3:$I$56,7,FALSE),main!$K$10:$Q$14,4,FALSE),1,0)</f>
        <v>0</v>
      </c>
      <c r="AA87">
        <f>IF(VLOOKUP(AA$1,main!$A$3:$I$56,5,FALSE)-VLOOKUP($A87,main!$A$3:$I$56,6,FALSE)&gt;=VLOOKUP(56,main!$A$57:$I$59,4,FALSE)+VLOOKUP(VLOOKUP(AA$1,main!$A$3:$I$56,7,FALSE),main!$K$10:$Q$14,4,FALSE),1,0)</f>
        <v>0</v>
      </c>
      <c r="AB87">
        <f>IF(VLOOKUP(AB$1,main!$A$3:$I$56,5,FALSE)-VLOOKUP($A87,main!$A$3:$I$56,6,FALSE)&gt;=VLOOKUP(56,main!$A$57:$I$59,4,FALSE)+VLOOKUP(VLOOKUP(AB$1,main!$A$3:$I$56,7,FALSE),main!$K$10:$Q$14,4,FALSE),1,0)</f>
        <v>0</v>
      </c>
      <c r="AC87">
        <f>IF(VLOOKUP(AC$1,main!$A$3:$I$56,5,FALSE)-VLOOKUP($A87,main!$A$3:$I$56,6,FALSE)&gt;=VLOOKUP(56,main!$A$57:$I$59,4,FALSE)+VLOOKUP(VLOOKUP(AC$1,main!$A$3:$I$56,7,FALSE),main!$K$10:$Q$14,4,FALSE),1,0)</f>
        <v>0</v>
      </c>
      <c r="AD87">
        <f>IF(VLOOKUP(AD$1,main!$A$3:$I$56,5,FALSE)-VLOOKUP($A87,main!$A$3:$I$56,6,FALSE)&gt;=VLOOKUP(56,main!$A$57:$I$59,4,FALSE)+VLOOKUP(VLOOKUP(AD$1,main!$A$3:$I$56,7,FALSE),main!$K$10:$Q$14,4,FALSE),1,0)</f>
        <v>0</v>
      </c>
      <c r="AE87">
        <f>IF(VLOOKUP(AE$1,main!$A$3:$I$56,5,FALSE)-VLOOKUP($A87,main!$A$3:$I$56,6,FALSE)&gt;=VLOOKUP(56,main!$A$57:$I$59,4,FALSE)+VLOOKUP(VLOOKUP(AE$1,main!$A$3:$I$56,7,FALSE),main!$K$10:$Q$14,4,FALSE),1,0)</f>
        <v>0</v>
      </c>
      <c r="AF87">
        <f>IF(VLOOKUP(AF$1,main!$A$3:$I$56,5,FALSE)-VLOOKUP($A87,main!$A$3:$I$56,6,FALSE)&gt;=VLOOKUP(56,main!$A$57:$I$59,4,FALSE)+VLOOKUP(VLOOKUP(AF$1,main!$A$3:$I$56,7,FALSE),main!$K$10:$Q$14,4,FALSE),1,0)</f>
        <v>0</v>
      </c>
      <c r="AG87">
        <f>IF(VLOOKUP(AG$1,main!$A$3:$I$56,5,FALSE)-VLOOKUP($A87,main!$A$3:$I$56,6,FALSE)&gt;=VLOOKUP(56,main!$A$57:$I$59,4,FALSE)+VLOOKUP(VLOOKUP(AG$1,main!$A$3:$I$56,7,FALSE),main!$K$10:$Q$14,4,FALSE),1,0)</f>
        <v>0</v>
      </c>
      <c r="AH87">
        <f>IF(VLOOKUP(AH$1,main!$A$3:$I$56,5,FALSE)-VLOOKUP($A87,main!$A$3:$I$56,6,FALSE)&gt;=VLOOKUP(56,main!$A$57:$I$59,4,FALSE)+VLOOKUP(VLOOKUP(AH$1,main!$A$3:$I$56,7,FALSE),main!$K$10:$Q$14,4,FALSE),1,0)</f>
        <v>0</v>
      </c>
      <c r="AI87">
        <f>IF(VLOOKUP(AI$1,main!$A$3:$I$56,5,FALSE)-VLOOKUP($A87,main!$A$3:$I$56,6,FALSE)&gt;=VLOOKUP(56,main!$A$57:$I$59,4,FALSE)+VLOOKUP(VLOOKUP(AI$1,main!$A$3:$I$56,7,FALSE),main!$K$10:$Q$14,4,FALSE),1,0)</f>
        <v>0</v>
      </c>
      <c r="AJ87">
        <f>IF(VLOOKUP(AJ$1,main!$A$3:$I$56,5,FALSE)-VLOOKUP($A87,main!$A$3:$I$56,6,FALSE)&gt;=VLOOKUP(56,main!$A$57:$I$59,4,FALSE)+VLOOKUP(VLOOKUP(AJ$1,main!$A$3:$I$56,7,FALSE),main!$K$10:$Q$14,4,FALSE),1,0)</f>
        <v>0</v>
      </c>
      <c r="AK87">
        <f>IF(VLOOKUP(AK$1,main!$A$3:$I$56,5,FALSE)-VLOOKUP($A87,main!$A$3:$I$56,6,FALSE)&gt;=VLOOKUP(56,main!$A$57:$I$59,4,FALSE)+VLOOKUP(VLOOKUP(AK$1,main!$A$3:$I$56,7,FALSE),main!$K$10:$Q$14,4,FALSE),1,0)</f>
        <v>0</v>
      </c>
      <c r="AL87">
        <f>IF(VLOOKUP(AL$1,main!$A$3:$I$56,5,FALSE)-VLOOKUP($A87,main!$A$3:$I$56,6,FALSE)&gt;=VLOOKUP(56,main!$A$57:$I$59,4,FALSE)+VLOOKUP(VLOOKUP(AL$1,main!$A$3:$I$56,7,FALSE),main!$K$10:$Q$14,4,FALSE),1,0)</f>
        <v>0</v>
      </c>
      <c r="AM87">
        <f>IF(VLOOKUP(AM$1,main!$A$3:$I$56,5,FALSE)-VLOOKUP($A87,main!$A$3:$I$56,6,FALSE)&gt;=VLOOKUP(56,main!$A$57:$I$59,4,FALSE)+VLOOKUP(VLOOKUP(AM$1,main!$A$3:$I$56,7,FALSE),main!$K$10:$Q$14,4,FALSE),1,0)</f>
        <v>0</v>
      </c>
      <c r="AN87">
        <f>IF(VLOOKUP(AN$1,main!$A$3:$I$56,5,FALSE)-VLOOKUP($A87,main!$A$3:$I$56,6,FALSE)&gt;=VLOOKUP(56,main!$A$57:$I$59,4,FALSE)+VLOOKUP(VLOOKUP(AN$1,main!$A$3:$I$56,7,FALSE),main!$K$10:$Q$14,4,FALSE),1,0)</f>
        <v>0</v>
      </c>
      <c r="AO87">
        <f>IF(VLOOKUP(AO$1,main!$A$3:$I$56,5,FALSE)-VLOOKUP($A87,main!$A$3:$I$56,6,FALSE)&gt;=VLOOKUP(56,main!$A$57:$I$59,4,FALSE)+VLOOKUP(VLOOKUP(AO$1,main!$A$3:$I$56,7,FALSE),main!$K$10:$Q$14,4,FALSE),1,0)</f>
        <v>0</v>
      </c>
      <c r="AP87">
        <f>IF(VLOOKUP(AP$1,main!$A$3:$I$56,5,FALSE)-VLOOKUP($A87,main!$A$3:$I$56,6,FALSE)&gt;=VLOOKUP(56,main!$A$57:$I$59,4,FALSE)+VLOOKUP(VLOOKUP(AP$1,main!$A$3:$I$56,7,FALSE),main!$K$10:$Q$14,4,FALSE),1,0)</f>
        <v>0</v>
      </c>
      <c r="AQ87">
        <f>IF(VLOOKUP(AQ$1,main!$A$3:$I$56,5,FALSE)-VLOOKUP($A87,main!$A$3:$I$56,6,FALSE)&gt;=VLOOKUP(56,main!$A$57:$I$59,4,FALSE)+VLOOKUP(VLOOKUP(AQ$1,main!$A$3:$I$56,7,FALSE),main!$K$10:$Q$14,4,FALSE),1,0)</f>
        <v>0</v>
      </c>
      <c r="AR87">
        <f>IF(VLOOKUP(AR$1,main!$A$3:$I$56,5,FALSE)-VLOOKUP($A87,main!$A$3:$I$56,6,FALSE)&gt;=VLOOKUP(56,main!$A$57:$I$59,4,FALSE)+VLOOKUP(VLOOKUP(AR$1,main!$A$3:$I$56,7,FALSE),main!$K$10:$Q$14,4,FALSE),1,0)</f>
        <v>0</v>
      </c>
      <c r="AS87">
        <f>IF(VLOOKUP(AS$1,main!$A$3:$I$56,5,FALSE)-VLOOKUP($A87,main!$A$3:$I$56,6,FALSE)&gt;=VLOOKUP(56,main!$A$57:$I$59,4,FALSE)+VLOOKUP(VLOOKUP(AS$1,main!$A$3:$I$56,7,FALSE),main!$K$10:$Q$14,4,FALSE),1,0)</f>
        <v>0</v>
      </c>
      <c r="AT87">
        <f>IF(VLOOKUP(AT$1,main!$A$3:$I$56,5,FALSE)-VLOOKUP($A87,main!$A$3:$I$56,6,FALSE)&gt;=VLOOKUP(56,main!$A$57:$I$59,4,FALSE)+VLOOKUP(VLOOKUP(AT$1,main!$A$3:$I$56,7,FALSE),main!$K$10:$Q$14,4,FALSE),1,0)</f>
        <v>0</v>
      </c>
      <c r="AU87">
        <f>IF(VLOOKUP(AU$1,main!$A$3:$I$56,5,FALSE)-VLOOKUP($A87,main!$A$3:$I$56,6,FALSE)&gt;=VLOOKUP(56,main!$A$57:$I$59,4,FALSE)+VLOOKUP(VLOOKUP(AU$1,main!$A$3:$I$56,7,FALSE),main!$K$10:$Q$14,4,FALSE),1,0)</f>
        <v>0</v>
      </c>
      <c r="AV87">
        <f>IF(VLOOKUP(AV$1,main!$A$3:$I$56,5,FALSE)-VLOOKUP($A87,main!$A$3:$I$56,6,FALSE)&gt;=VLOOKUP(56,main!$A$57:$I$59,4,FALSE)+VLOOKUP(VLOOKUP(AV$1,main!$A$3:$I$56,7,FALSE),main!$K$10:$Q$14,4,FALSE),1,0)</f>
        <v>0</v>
      </c>
      <c r="AW87">
        <f>IF(VLOOKUP(AW$1,main!$A$3:$I$56,5,FALSE)-VLOOKUP($A87,main!$A$3:$I$56,6,FALSE)&gt;=VLOOKUP(56,main!$A$57:$I$59,4,FALSE)+VLOOKUP(VLOOKUP(AW$1,main!$A$3:$I$56,7,FALSE),main!$K$10:$Q$14,4,FALSE),1,0)</f>
        <v>0</v>
      </c>
      <c r="AX87">
        <f>IF(VLOOKUP(AX$1,main!$A$3:$I$56,5,FALSE)-VLOOKUP($A87,main!$A$3:$I$56,6,FALSE)&gt;=VLOOKUP(56,main!$A$57:$I$59,4,FALSE)+VLOOKUP(VLOOKUP(AX$1,main!$A$3:$I$56,7,FALSE),main!$K$10:$Q$14,4,FALSE),1,0)</f>
        <v>0</v>
      </c>
      <c r="AY87">
        <f>IF(VLOOKUP(AY$1,main!$A$3:$I$56,5,FALSE)-VLOOKUP($A87,main!$A$3:$I$56,6,FALSE)&gt;=VLOOKUP(56,main!$A$57:$I$59,4,FALSE)+VLOOKUP(VLOOKUP(AY$1,main!$A$3:$I$56,7,FALSE),main!$K$10:$Q$14,4,FALSE),1,0)</f>
        <v>0</v>
      </c>
      <c r="AZ87">
        <f>IF(VLOOKUP(AZ$1,main!$A$3:$I$56,5,FALSE)-VLOOKUP($A87,main!$A$3:$I$56,6,FALSE)&gt;=VLOOKUP(56,main!$A$57:$I$59,4,FALSE)+VLOOKUP(VLOOKUP(AZ$1,main!$A$3:$I$56,7,FALSE),main!$K$10:$Q$14,4,FALSE),1,0)</f>
        <v>0</v>
      </c>
      <c r="BA87">
        <f>IF(VLOOKUP(BA$1,main!$A$3:$I$56,5,FALSE)-VLOOKUP($A87,main!$A$3:$I$56,6,FALSE)&gt;=VLOOKUP(56,main!$A$57:$I$59,4,FALSE)+VLOOKUP(VLOOKUP(BA$1,main!$A$3:$I$56,7,FALSE),main!$K$10:$Q$14,4,FALSE),1,0)</f>
        <v>0</v>
      </c>
      <c r="BB87">
        <f>IF(VLOOKUP(BB$1,main!$A$3:$I$56,5,FALSE)-VLOOKUP($A87,main!$A$3:$I$56,6,FALSE)&gt;=VLOOKUP(56,main!$A$57:$I$59,4,FALSE)+VLOOKUP(VLOOKUP(BB$1,main!$A$3:$I$56,7,FALSE),main!$K$10:$Q$14,4,FALSE),1,0)</f>
        <v>0</v>
      </c>
      <c r="BC87">
        <f>IF(VLOOKUP(BC$1,main!$A$3:$I$56,5,FALSE)-VLOOKUP($A87,main!$A$3:$I$56,6,FALSE)&gt;=VLOOKUP(56,main!$A$57:$I$59,4,FALSE)+VLOOKUP(VLOOKUP(BC$1,main!$A$3:$I$56,7,FALSE),main!$K$10:$Q$14,4,FALSE),1,0)</f>
        <v>0</v>
      </c>
      <c r="BD87">
        <f>IF(VLOOKUP(BD$1,main!$A$3:$I$56,5,FALSE)-VLOOKUP($A87,main!$A$3:$I$56,6,FALSE)&gt;=VLOOKUP(56,main!$A$57:$I$59,4,FALSE)+VLOOKUP(VLOOKUP(BD$1,main!$A$3:$I$56,7,FALSE),main!$K$10:$Q$14,4,FALSE),1,0)</f>
        <v>0</v>
      </c>
    </row>
    <row r="88" spans="1:56" x14ac:dyDescent="0.25">
      <c r="A88">
        <f t="shared" si="1"/>
        <v>31</v>
      </c>
      <c r="B88">
        <v>0</v>
      </c>
      <c r="C88">
        <f>IF(VLOOKUP(C$1,main!$A$3:$I$56,5,FALSE)-VLOOKUP($A88,main!$A$3:$I$56,6,FALSE)&gt;=VLOOKUP(56,main!$A$57:$I$59,4,FALSE)+VLOOKUP(VLOOKUP(C$1,main!$A$3:$I$56,7,FALSE),main!$K$10:$Q$14,4,FALSE),1,0)</f>
        <v>0</v>
      </c>
      <c r="D88">
        <f>IF(VLOOKUP(D$1,main!$A$3:$I$56,5,FALSE)-VLOOKUP($A88,main!$A$3:$I$56,6,FALSE)&gt;=VLOOKUP(56,main!$A$57:$I$59,4,FALSE)+VLOOKUP(VLOOKUP(D$1,main!$A$3:$I$56,7,FALSE),main!$K$10:$Q$14,4,FALSE),1,0)</f>
        <v>0</v>
      </c>
      <c r="E88">
        <f>IF(VLOOKUP(E$1,main!$A$3:$I$56,5,FALSE)-VLOOKUP($A88,main!$A$3:$I$56,6,FALSE)&gt;=VLOOKUP(56,main!$A$57:$I$59,4,FALSE)+VLOOKUP(VLOOKUP(E$1,main!$A$3:$I$56,7,FALSE),main!$K$10:$Q$14,4,FALSE),1,0)</f>
        <v>1</v>
      </c>
      <c r="F88">
        <f>IF(VLOOKUP(F$1,main!$A$3:$I$56,5,FALSE)-VLOOKUP($A88,main!$A$3:$I$56,6,FALSE)&gt;=VLOOKUP(56,main!$A$57:$I$59,4,FALSE)+VLOOKUP(VLOOKUP(F$1,main!$A$3:$I$56,7,FALSE),main!$K$10:$Q$14,4,FALSE),1,0)</f>
        <v>1</v>
      </c>
      <c r="G88">
        <f>IF(VLOOKUP(G$1,main!$A$3:$I$56,5,FALSE)-VLOOKUP($A88,main!$A$3:$I$56,6,FALSE)&gt;=VLOOKUP(56,main!$A$57:$I$59,4,FALSE)+VLOOKUP(VLOOKUP(G$1,main!$A$3:$I$56,7,FALSE),main!$K$10:$Q$14,4,FALSE),1,0)</f>
        <v>1</v>
      </c>
      <c r="H88">
        <f>IF(VLOOKUP(H$1,main!$A$3:$I$56,5,FALSE)-VLOOKUP($A88,main!$A$3:$I$56,6,FALSE)&gt;=VLOOKUP(56,main!$A$57:$I$59,4,FALSE)+VLOOKUP(VLOOKUP(H$1,main!$A$3:$I$56,7,FALSE),main!$K$10:$Q$14,4,FALSE),1,0)</f>
        <v>1</v>
      </c>
      <c r="I88">
        <f>IF(VLOOKUP(I$1,main!$A$3:$I$56,5,FALSE)-VLOOKUP($A88,main!$A$3:$I$56,6,FALSE)&gt;=VLOOKUP(56,main!$A$57:$I$59,4,FALSE)+VLOOKUP(VLOOKUP(I$1,main!$A$3:$I$56,7,FALSE),main!$K$10:$Q$14,4,FALSE),1,0)</f>
        <v>1</v>
      </c>
      <c r="J88">
        <f>IF(VLOOKUP(J$1,main!$A$3:$I$56,5,FALSE)-VLOOKUP($A88,main!$A$3:$I$56,6,FALSE)&gt;=VLOOKUP(56,main!$A$57:$I$59,4,FALSE)+VLOOKUP(VLOOKUP(J$1,main!$A$3:$I$56,7,FALSE),main!$K$10:$Q$14,4,FALSE),1,0)</f>
        <v>1</v>
      </c>
      <c r="K88">
        <f>IF(VLOOKUP(K$1,main!$A$3:$I$56,5,FALSE)-VLOOKUP($A88,main!$A$3:$I$56,6,FALSE)&gt;=VLOOKUP(56,main!$A$57:$I$59,4,FALSE)+VLOOKUP(VLOOKUP(K$1,main!$A$3:$I$56,7,FALSE),main!$K$10:$Q$14,4,FALSE),1,0)</f>
        <v>0</v>
      </c>
      <c r="L88">
        <f>IF(VLOOKUP(L$1,main!$A$3:$I$56,5,FALSE)-VLOOKUP($A88,main!$A$3:$I$56,6,FALSE)&gt;=VLOOKUP(56,main!$A$57:$I$59,4,FALSE)+VLOOKUP(VLOOKUP(L$1,main!$A$3:$I$56,7,FALSE),main!$K$10:$Q$14,4,FALSE),1,0)</f>
        <v>0</v>
      </c>
      <c r="M88">
        <f>IF(VLOOKUP(M$1,main!$A$3:$I$56,5,FALSE)-VLOOKUP($A88,main!$A$3:$I$56,6,FALSE)&gt;=VLOOKUP(56,main!$A$57:$I$59,4,FALSE)+VLOOKUP(VLOOKUP(M$1,main!$A$3:$I$56,7,FALSE),main!$K$10:$Q$14,4,FALSE),1,0)</f>
        <v>1</v>
      </c>
      <c r="N88">
        <f>IF(VLOOKUP(N$1,main!$A$3:$I$56,5,FALSE)-VLOOKUP($A88,main!$A$3:$I$56,6,FALSE)&gt;=VLOOKUP(56,main!$A$57:$I$59,4,FALSE)+VLOOKUP(VLOOKUP(N$1,main!$A$3:$I$56,7,FALSE),main!$K$10:$Q$14,4,FALSE),1,0)</f>
        <v>1</v>
      </c>
      <c r="O88">
        <f>IF(VLOOKUP(O$1,main!$A$3:$I$56,5,FALSE)-VLOOKUP($A88,main!$A$3:$I$56,6,FALSE)&gt;=VLOOKUP(56,main!$A$57:$I$59,4,FALSE)+VLOOKUP(VLOOKUP(O$1,main!$A$3:$I$56,7,FALSE),main!$K$10:$Q$14,4,FALSE),1,0)</f>
        <v>1</v>
      </c>
      <c r="P88">
        <f>IF(VLOOKUP(P$1,main!$A$3:$I$56,5,FALSE)-VLOOKUP($A88,main!$A$3:$I$56,6,FALSE)&gt;=VLOOKUP(56,main!$A$57:$I$59,4,FALSE)+VLOOKUP(VLOOKUP(P$1,main!$A$3:$I$56,7,FALSE),main!$K$10:$Q$14,4,FALSE),1,0)</f>
        <v>0</v>
      </c>
      <c r="Q88">
        <f>IF(VLOOKUP(Q$1,main!$A$3:$I$56,5,FALSE)-VLOOKUP($A88,main!$A$3:$I$56,6,FALSE)&gt;=VLOOKUP(56,main!$A$57:$I$59,4,FALSE)+VLOOKUP(VLOOKUP(Q$1,main!$A$3:$I$56,7,FALSE),main!$K$10:$Q$14,4,FALSE),1,0)</f>
        <v>0</v>
      </c>
      <c r="R88">
        <f>IF(VLOOKUP(R$1,main!$A$3:$I$56,5,FALSE)-VLOOKUP($A88,main!$A$3:$I$56,6,FALSE)&gt;=VLOOKUP(56,main!$A$57:$I$59,4,FALSE)+VLOOKUP(VLOOKUP(R$1,main!$A$3:$I$56,7,FALSE),main!$K$10:$Q$14,4,FALSE),1,0)</f>
        <v>1</v>
      </c>
      <c r="S88">
        <f>IF(VLOOKUP(S$1,main!$A$3:$I$56,5,FALSE)-VLOOKUP($A88,main!$A$3:$I$56,6,FALSE)&gt;=VLOOKUP(56,main!$A$57:$I$59,4,FALSE)+VLOOKUP(VLOOKUP(S$1,main!$A$3:$I$56,7,FALSE),main!$K$10:$Q$14,4,FALSE),1,0)</f>
        <v>1</v>
      </c>
      <c r="T88">
        <f>IF(VLOOKUP(T$1,main!$A$3:$I$56,5,FALSE)-VLOOKUP($A88,main!$A$3:$I$56,6,FALSE)&gt;=VLOOKUP(56,main!$A$57:$I$59,4,FALSE)+VLOOKUP(VLOOKUP(T$1,main!$A$3:$I$56,7,FALSE),main!$K$10:$Q$14,4,FALSE),1,0)</f>
        <v>1</v>
      </c>
      <c r="U88">
        <f>IF(VLOOKUP(U$1,main!$A$3:$I$56,5,FALSE)-VLOOKUP($A88,main!$A$3:$I$56,6,FALSE)&gt;=VLOOKUP(56,main!$A$57:$I$59,4,FALSE)+VLOOKUP(VLOOKUP(U$1,main!$A$3:$I$56,7,FALSE),main!$K$10:$Q$14,4,FALSE),1,0)</f>
        <v>0</v>
      </c>
      <c r="V88">
        <f>IF(VLOOKUP(V$1,main!$A$3:$I$56,5,FALSE)-VLOOKUP($A88,main!$A$3:$I$56,6,FALSE)&gt;=VLOOKUP(56,main!$A$57:$I$59,4,FALSE)+VLOOKUP(VLOOKUP(V$1,main!$A$3:$I$56,7,FALSE),main!$K$10:$Q$14,4,FALSE),1,0)</f>
        <v>0</v>
      </c>
      <c r="W88">
        <f>IF(VLOOKUP(W$1,main!$A$3:$I$56,5,FALSE)-VLOOKUP($A88,main!$A$3:$I$56,6,FALSE)&gt;=VLOOKUP(56,main!$A$57:$I$59,4,FALSE)+VLOOKUP(VLOOKUP(W$1,main!$A$3:$I$56,7,FALSE),main!$K$10:$Q$14,4,FALSE),1,0)</f>
        <v>0</v>
      </c>
      <c r="X88">
        <f>IF(VLOOKUP(X$1,main!$A$3:$I$56,5,FALSE)-VLOOKUP($A88,main!$A$3:$I$56,6,FALSE)&gt;=VLOOKUP(56,main!$A$57:$I$59,4,FALSE)+VLOOKUP(VLOOKUP(X$1,main!$A$3:$I$56,7,FALSE),main!$K$10:$Q$14,4,FALSE),1,0)</f>
        <v>0</v>
      </c>
      <c r="Y88">
        <f>IF(VLOOKUP(Y$1,main!$A$3:$I$56,5,FALSE)-VLOOKUP($A88,main!$A$3:$I$56,6,FALSE)&gt;=VLOOKUP(56,main!$A$57:$I$59,4,FALSE)+VLOOKUP(VLOOKUP(Y$1,main!$A$3:$I$56,7,FALSE),main!$K$10:$Q$14,4,FALSE),1,0)</f>
        <v>0</v>
      </c>
      <c r="Z88">
        <f>IF(VLOOKUP(Z$1,main!$A$3:$I$56,5,FALSE)-VLOOKUP($A88,main!$A$3:$I$56,6,FALSE)&gt;=VLOOKUP(56,main!$A$57:$I$59,4,FALSE)+VLOOKUP(VLOOKUP(Z$1,main!$A$3:$I$56,7,FALSE),main!$K$10:$Q$14,4,FALSE),1,0)</f>
        <v>1</v>
      </c>
      <c r="AA88">
        <f>IF(VLOOKUP(AA$1,main!$A$3:$I$56,5,FALSE)-VLOOKUP($A88,main!$A$3:$I$56,6,FALSE)&gt;=VLOOKUP(56,main!$A$57:$I$59,4,FALSE)+VLOOKUP(VLOOKUP(AA$1,main!$A$3:$I$56,7,FALSE),main!$K$10:$Q$14,4,FALSE),1,0)</f>
        <v>1</v>
      </c>
      <c r="AB88">
        <f>IF(VLOOKUP(AB$1,main!$A$3:$I$56,5,FALSE)-VLOOKUP($A88,main!$A$3:$I$56,6,FALSE)&gt;=VLOOKUP(56,main!$A$57:$I$59,4,FALSE)+VLOOKUP(VLOOKUP(AB$1,main!$A$3:$I$56,7,FALSE),main!$K$10:$Q$14,4,FALSE),1,0)</f>
        <v>1</v>
      </c>
      <c r="AC88">
        <f>IF(VLOOKUP(AC$1,main!$A$3:$I$56,5,FALSE)-VLOOKUP($A88,main!$A$3:$I$56,6,FALSE)&gt;=VLOOKUP(56,main!$A$57:$I$59,4,FALSE)+VLOOKUP(VLOOKUP(AC$1,main!$A$3:$I$56,7,FALSE),main!$K$10:$Q$14,4,FALSE),1,0)</f>
        <v>0</v>
      </c>
      <c r="AD88">
        <f>IF(VLOOKUP(AD$1,main!$A$3:$I$56,5,FALSE)-VLOOKUP($A88,main!$A$3:$I$56,6,FALSE)&gt;=VLOOKUP(56,main!$A$57:$I$59,4,FALSE)+VLOOKUP(VLOOKUP(AD$1,main!$A$3:$I$56,7,FALSE),main!$K$10:$Q$14,4,FALSE),1,0)</f>
        <v>0</v>
      </c>
      <c r="AE88">
        <f>IF(VLOOKUP(AE$1,main!$A$3:$I$56,5,FALSE)-VLOOKUP($A88,main!$A$3:$I$56,6,FALSE)&gt;=VLOOKUP(56,main!$A$57:$I$59,4,FALSE)+VLOOKUP(VLOOKUP(AE$1,main!$A$3:$I$56,7,FALSE),main!$K$10:$Q$14,4,FALSE),1,0)</f>
        <v>0</v>
      </c>
      <c r="AF88">
        <f>IF(VLOOKUP(AF$1,main!$A$3:$I$56,5,FALSE)-VLOOKUP($A88,main!$A$3:$I$56,6,FALSE)&gt;=VLOOKUP(56,main!$A$57:$I$59,4,FALSE)+VLOOKUP(VLOOKUP(AF$1,main!$A$3:$I$56,7,FALSE),main!$K$10:$Q$14,4,FALSE),1,0)</f>
        <v>1</v>
      </c>
      <c r="AG88">
        <f>IF(VLOOKUP(AG$1,main!$A$3:$I$56,5,FALSE)-VLOOKUP($A88,main!$A$3:$I$56,6,FALSE)&gt;=VLOOKUP(56,main!$A$57:$I$59,4,FALSE)+VLOOKUP(VLOOKUP(AG$1,main!$A$3:$I$56,7,FALSE),main!$K$10:$Q$14,4,FALSE),1,0)</f>
        <v>0</v>
      </c>
      <c r="AH88">
        <f>IF(VLOOKUP(AH$1,main!$A$3:$I$56,5,FALSE)-VLOOKUP($A88,main!$A$3:$I$56,6,FALSE)&gt;=VLOOKUP(56,main!$A$57:$I$59,4,FALSE)+VLOOKUP(VLOOKUP(AH$1,main!$A$3:$I$56,7,FALSE),main!$K$10:$Q$14,4,FALSE),1,0)</f>
        <v>0</v>
      </c>
      <c r="AI88">
        <f>IF(VLOOKUP(AI$1,main!$A$3:$I$56,5,FALSE)-VLOOKUP($A88,main!$A$3:$I$56,6,FALSE)&gt;=VLOOKUP(56,main!$A$57:$I$59,4,FALSE)+VLOOKUP(VLOOKUP(AI$1,main!$A$3:$I$56,7,FALSE),main!$K$10:$Q$14,4,FALSE),1,0)</f>
        <v>0</v>
      </c>
      <c r="AJ88">
        <f>IF(VLOOKUP(AJ$1,main!$A$3:$I$56,5,FALSE)-VLOOKUP($A88,main!$A$3:$I$56,6,FALSE)&gt;=VLOOKUP(56,main!$A$57:$I$59,4,FALSE)+VLOOKUP(VLOOKUP(AJ$1,main!$A$3:$I$56,7,FALSE),main!$K$10:$Q$14,4,FALSE),1,0)</f>
        <v>1</v>
      </c>
      <c r="AK88">
        <f>IF(VLOOKUP(AK$1,main!$A$3:$I$56,5,FALSE)-VLOOKUP($A88,main!$A$3:$I$56,6,FALSE)&gt;=VLOOKUP(56,main!$A$57:$I$59,4,FALSE)+VLOOKUP(VLOOKUP(AK$1,main!$A$3:$I$56,7,FALSE),main!$K$10:$Q$14,4,FALSE),1,0)</f>
        <v>1</v>
      </c>
      <c r="AL88">
        <f>IF(VLOOKUP(AL$1,main!$A$3:$I$56,5,FALSE)-VLOOKUP($A88,main!$A$3:$I$56,6,FALSE)&gt;=VLOOKUP(56,main!$A$57:$I$59,4,FALSE)+VLOOKUP(VLOOKUP(AL$1,main!$A$3:$I$56,7,FALSE),main!$K$10:$Q$14,4,FALSE),1,0)</f>
        <v>0</v>
      </c>
      <c r="AM88">
        <f>IF(VLOOKUP(AM$1,main!$A$3:$I$56,5,FALSE)-VLOOKUP($A88,main!$A$3:$I$56,6,FALSE)&gt;=VLOOKUP(56,main!$A$57:$I$59,4,FALSE)+VLOOKUP(VLOOKUP(AM$1,main!$A$3:$I$56,7,FALSE),main!$K$10:$Q$14,4,FALSE),1,0)</f>
        <v>0</v>
      </c>
      <c r="AN88">
        <f>IF(VLOOKUP(AN$1,main!$A$3:$I$56,5,FALSE)-VLOOKUP($A88,main!$A$3:$I$56,6,FALSE)&gt;=VLOOKUP(56,main!$A$57:$I$59,4,FALSE)+VLOOKUP(VLOOKUP(AN$1,main!$A$3:$I$56,7,FALSE),main!$K$10:$Q$14,4,FALSE),1,0)</f>
        <v>0</v>
      </c>
      <c r="AO88">
        <f>IF(VLOOKUP(AO$1,main!$A$3:$I$56,5,FALSE)-VLOOKUP($A88,main!$A$3:$I$56,6,FALSE)&gt;=VLOOKUP(56,main!$A$57:$I$59,4,FALSE)+VLOOKUP(VLOOKUP(AO$1,main!$A$3:$I$56,7,FALSE),main!$K$10:$Q$14,4,FALSE),1,0)</f>
        <v>1</v>
      </c>
      <c r="AP88">
        <f>IF(VLOOKUP(AP$1,main!$A$3:$I$56,5,FALSE)-VLOOKUP($A88,main!$A$3:$I$56,6,FALSE)&gt;=VLOOKUP(56,main!$A$57:$I$59,4,FALSE)+VLOOKUP(VLOOKUP(AP$1,main!$A$3:$I$56,7,FALSE),main!$K$10:$Q$14,4,FALSE),1,0)</f>
        <v>0</v>
      </c>
      <c r="AQ88">
        <f>IF(VLOOKUP(AQ$1,main!$A$3:$I$56,5,FALSE)-VLOOKUP($A88,main!$A$3:$I$56,6,FALSE)&gt;=VLOOKUP(56,main!$A$57:$I$59,4,FALSE)+VLOOKUP(VLOOKUP(AQ$1,main!$A$3:$I$56,7,FALSE),main!$K$10:$Q$14,4,FALSE),1,0)</f>
        <v>0</v>
      </c>
      <c r="AR88">
        <f>IF(VLOOKUP(AR$1,main!$A$3:$I$56,5,FALSE)-VLOOKUP($A88,main!$A$3:$I$56,6,FALSE)&gt;=VLOOKUP(56,main!$A$57:$I$59,4,FALSE)+VLOOKUP(VLOOKUP(AR$1,main!$A$3:$I$56,7,FALSE),main!$K$10:$Q$14,4,FALSE),1,0)</f>
        <v>0</v>
      </c>
      <c r="AS88">
        <f>IF(VLOOKUP(AS$1,main!$A$3:$I$56,5,FALSE)-VLOOKUP($A88,main!$A$3:$I$56,6,FALSE)&gt;=VLOOKUP(56,main!$A$57:$I$59,4,FALSE)+VLOOKUP(VLOOKUP(AS$1,main!$A$3:$I$56,7,FALSE),main!$K$10:$Q$14,4,FALSE),1,0)</f>
        <v>0</v>
      </c>
      <c r="AT88">
        <f>IF(VLOOKUP(AT$1,main!$A$3:$I$56,5,FALSE)-VLOOKUP($A88,main!$A$3:$I$56,6,FALSE)&gt;=VLOOKUP(56,main!$A$57:$I$59,4,FALSE)+VLOOKUP(VLOOKUP(AT$1,main!$A$3:$I$56,7,FALSE),main!$K$10:$Q$14,4,FALSE),1,0)</f>
        <v>0</v>
      </c>
      <c r="AU88">
        <f>IF(VLOOKUP(AU$1,main!$A$3:$I$56,5,FALSE)-VLOOKUP($A88,main!$A$3:$I$56,6,FALSE)&gt;=VLOOKUP(56,main!$A$57:$I$59,4,FALSE)+VLOOKUP(VLOOKUP(AU$1,main!$A$3:$I$56,7,FALSE),main!$K$10:$Q$14,4,FALSE),1,0)</f>
        <v>0</v>
      </c>
      <c r="AV88">
        <f>IF(VLOOKUP(AV$1,main!$A$3:$I$56,5,FALSE)-VLOOKUP($A88,main!$A$3:$I$56,6,FALSE)&gt;=VLOOKUP(56,main!$A$57:$I$59,4,FALSE)+VLOOKUP(VLOOKUP(AV$1,main!$A$3:$I$56,7,FALSE),main!$K$10:$Q$14,4,FALSE),1,0)</f>
        <v>0</v>
      </c>
      <c r="AW88">
        <f>IF(VLOOKUP(AW$1,main!$A$3:$I$56,5,FALSE)-VLOOKUP($A88,main!$A$3:$I$56,6,FALSE)&gt;=VLOOKUP(56,main!$A$57:$I$59,4,FALSE)+VLOOKUP(VLOOKUP(AW$1,main!$A$3:$I$56,7,FALSE),main!$K$10:$Q$14,4,FALSE),1,0)</f>
        <v>0</v>
      </c>
      <c r="AX88">
        <f>IF(VLOOKUP(AX$1,main!$A$3:$I$56,5,FALSE)-VLOOKUP($A88,main!$A$3:$I$56,6,FALSE)&gt;=VLOOKUP(56,main!$A$57:$I$59,4,FALSE)+VLOOKUP(VLOOKUP(AX$1,main!$A$3:$I$56,7,FALSE),main!$K$10:$Q$14,4,FALSE),1,0)</f>
        <v>1</v>
      </c>
      <c r="AY88">
        <f>IF(VLOOKUP(AY$1,main!$A$3:$I$56,5,FALSE)-VLOOKUP($A88,main!$A$3:$I$56,6,FALSE)&gt;=VLOOKUP(56,main!$A$57:$I$59,4,FALSE)+VLOOKUP(VLOOKUP(AY$1,main!$A$3:$I$56,7,FALSE),main!$K$10:$Q$14,4,FALSE),1,0)</f>
        <v>1</v>
      </c>
      <c r="AZ88">
        <f>IF(VLOOKUP(AZ$1,main!$A$3:$I$56,5,FALSE)-VLOOKUP($A88,main!$A$3:$I$56,6,FALSE)&gt;=VLOOKUP(56,main!$A$57:$I$59,4,FALSE)+VLOOKUP(VLOOKUP(AZ$1,main!$A$3:$I$56,7,FALSE),main!$K$10:$Q$14,4,FALSE),1,0)</f>
        <v>0</v>
      </c>
      <c r="BA88">
        <f>IF(VLOOKUP(BA$1,main!$A$3:$I$56,5,FALSE)-VLOOKUP($A88,main!$A$3:$I$56,6,FALSE)&gt;=VLOOKUP(56,main!$A$57:$I$59,4,FALSE)+VLOOKUP(VLOOKUP(BA$1,main!$A$3:$I$56,7,FALSE),main!$K$10:$Q$14,4,FALSE),1,0)</f>
        <v>0</v>
      </c>
      <c r="BB88">
        <f>IF(VLOOKUP(BB$1,main!$A$3:$I$56,5,FALSE)-VLOOKUP($A88,main!$A$3:$I$56,6,FALSE)&gt;=VLOOKUP(56,main!$A$57:$I$59,4,FALSE)+VLOOKUP(VLOOKUP(BB$1,main!$A$3:$I$56,7,FALSE),main!$K$10:$Q$14,4,FALSE),1,0)</f>
        <v>0</v>
      </c>
      <c r="BC88">
        <f>IF(VLOOKUP(BC$1,main!$A$3:$I$56,5,FALSE)-VLOOKUP($A88,main!$A$3:$I$56,6,FALSE)&gt;=VLOOKUP(56,main!$A$57:$I$59,4,FALSE)+VLOOKUP(VLOOKUP(BC$1,main!$A$3:$I$56,7,FALSE),main!$K$10:$Q$14,4,FALSE),1,0)</f>
        <v>0</v>
      </c>
      <c r="BD88">
        <f>IF(VLOOKUP(BD$1,main!$A$3:$I$56,5,FALSE)-VLOOKUP($A88,main!$A$3:$I$56,6,FALSE)&gt;=VLOOKUP(56,main!$A$57:$I$59,4,FALSE)+VLOOKUP(VLOOKUP(BD$1,main!$A$3:$I$56,7,FALSE),main!$K$10:$Q$14,4,FALSE),1,0)</f>
        <v>0</v>
      </c>
    </row>
    <row r="89" spans="1:56" x14ac:dyDescent="0.25">
      <c r="A89">
        <f t="shared" si="1"/>
        <v>32</v>
      </c>
      <c r="B89">
        <v>0</v>
      </c>
      <c r="C89">
        <f>IF(VLOOKUP(C$1,main!$A$3:$I$56,5,FALSE)-VLOOKUP($A89,main!$A$3:$I$56,6,FALSE)&gt;=VLOOKUP(56,main!$A$57:$I$59,4,FALSE)+VLOOKUP(VLOOKUP(C$1,main!$A$3:$I$56,7,FALSE),main!$K$10:$Q$14,4,FALSE),1,0)</f>
        <v>0</v>
      </c>
      <c r="D89">
        <f>IF(VLOOKUP(D$1,main!$A$3:$I$56,5,FALSE)-VLOOKUP($A89,main!$A$3:$I$56,6,FALSE)&gt;=VLOOKUP(56,main!$A$57:$I$59,4,FALSE)+VLOOKUP(VLOOKUP(D$1,main!$A$3:$I$56,7,FALSE),main!$K$10:$Q$14,4,FALSE),1,0)</f>
        <v>0</v>
      </c>
      <c r="E89">
        <f>IF(VLOOKUP(E$1,main!$A$3:$I$56,5,FALSE)-VLOOKUP($A89,main!$A$3:$I$56,6,FALSE)&gt;=VLOOKUP(56,main!$A$57:$I$59,4,FALSE)+VLOOKUP(VLOOKUP(E$1,main!$A$3:$I$56,7,FALSE),main!$K$10:$Q$14,4,FALSE),1,0)</f>
        <v>0</v>
      </c>
      <c r="F89">
        <f>IF(VLOOKUP(F$1,main!$A$3:$I$56,5,FALSE)-VLOOKUP($A89,main!$A$3:$I$56,6,FALSE)&gt;=VLOOKUP(56,main!$A$57:$I$59,4,FALSE)+VLOOKUP(VLOOKUP(F$1,main!$A$3:$I$56,7,FALSE),main!$K$10:$Q$14,4,FALSE),1,0)</f>
        <v>0</v>
      </c>
      <c r="G89">
        <f>IF(VLOOKUP(G$1,main!$A$3:$I$56,5,FALSE)-VLOOKUP($A89,main!$A$3:$I$56,6,FALSE)&gt;=VLOOKUP(56,main!$A$57:$I$59,4,FALSE)+VLOOKUP(VLOOKUP(G$1,main!$A$3:$I$56,7,FALSE),main!$K$10:$Q$14,4,FALSE),1,0)</f>
        <v>1</v>
      </c>
      <c r="H89">
        <f>IF(VLOOKUP(H$1,main!$A$3:$I$56,5,FALSE)-VLOOKUP($A89,main!$A$3:$I$56,6,FALSE)&gt;=VLOOKUP(56,main!$A$57:$I$59,4,FALSE)+VLOOKUP(VLOOKUP(H$1,main!$A$3:$I$56,7,FALSE),main!$K$10:$Q$14,4,FALSE),1,0)</f>
        <v>1</v>
      </c>
      <c r="I89">
        <f>IF(VLOOKUP(I$1,main!$A$3:$I$56,5,FALSE)-VLOOKUP($A89,main!$A$3:$I$56,6,FALSE)&gt;=VLOOKUP(56,main!$A$57:$I$59,4,FALSE)+VLOOKUP(VLOOKUP(I$1,main!$A$3:$I$56,7,FALSE),main!$K$10:$Q$14,4,FALSE),1,0)</f>
        <v>1</v>
      </c>
      <c r="J89">
        <f>IF(VLOOKUP(J$1,main!$A$3:$I$56,5,FALSE)-VLOOKUP($A89,main!$A$3:$I$56,6,FALSE)&gt;=VLOOKUP(56,main!$A$57:$I$59,4,FALSE)+VLOOKUP(VLOOKUP(J$1,main!$A$3:$I$56,7,FALSE),main!$K$10:$Q$14,4,FALSE),1,0)</f>
        <v>1</v>
      </c>
      <c r="K89">
        <f>IF(VLOOKUP(K$1,main!$A$3:$I$56,5,FALSE)-VLOOKUP($A89,main!$A$3:$I$56,6,FALSE)&gt;=VLOOKUP(56,main!$A$57:$I$59,4,FALSE)+VLOOKUP(VLOOKUP(K$1,main!$A$3:$I$56,7,FALSE),main!$K$10:$Q$14,4,FALSE),1,0)</f>
        <v>0</v>
      </c>
      <c r="L89">
        <f>IF(VLOOKUP(L$1,main!$A$3:$I$56,5,FALSE)-VLOOKUP($A89,main!$A$3:$I$56,6,FALSE)&gt;=VLOOKUP(56,main!$A$57:$I$59,4,FALSE)+VLOOKUP(VLOOKUP(L$1,main!$A$3:$I$56,7,FALSE),main!$K$10:$Q$14,4,FALSE),1,0)</f>
        <v>0</v>
      </c>
      <c r="M89">
        <f>IF(VLOOKUP(M$1,main!$A$3:$I$56,5,FALSE)-VLOOKUP($A89,main!$A$3:$I$56,6,FALSE)&gt;=VLOOKUP(56,main!$A$57:$I$59,4,FALSE)+VLOOKUP(VLOOKUP(M$1,main!$A$3:$I$56,7,FALSE),main!$K$10:$Q$14,4,FALSE),1,0)</f>
        <v>0</v>
      </c>
      <c r="N89">
        <f>IF(VLOOKUP(N$1,main!$A$3:$I$56,5,FALSE)-VLOOKUP($A89,main!$A$3:$I$56,6,FALSE)&gt;=VLOOKUP(56,main!$A$57:$I$59,4,FALSE)+VLOOKUP(VLOOKUP(N$1,main!$A$3:$I$56,7,FALSE),main!$K$10:$Q$14,4,FALSE),1,0)</f>
        <v>1</v>
      </c>
      <c r="O89">
        <f>IF(VLOOKUP(O$1,main!$A$3:$I$56,5,FALSE)-VLOOKUP($A89,main!$A$3:$I$56,6,FALSE)&gt;=VLOOKUP(56,main!$A$57:$I$59,4,FALSE)+VLOOKUP(VLOOKUP(O$1,main!$A$3:$I$56,7,FALSE),main!$K$10:$Q$14,4,FALSE),1,0)</f>
        <v>1</v>
      </c>
      <c r="P89">
        <f>IF(VLOOKUP(P$1,main!$A$3:$I$56,5,FALSE)-VLOOKUP($A89,main!$A$3:$I$56,6,FALSE)&gt;=VLOOKUP(56,main!$A$57:$I$59,4,FALSE)+VLOOKUP(VLOOKUP(P$1,main!$A$3:$I$56,7,FALSE),main!$K$10:$Q$14,4,FALSE),1,0)</f>
        <v>0</v>
      </c>
      <c r="Q89">
        <f>IF(VLOOKUP(Q$1,main!$A$3:$I$56,5,FALSE)-VLOOKUP($A89,main!$A$3:$I$56,6,FALSE)&gt;=VLOOKUP(56,main!$A$57:$I$59,4,FALSE)+VLOOKUP(VLOOKUP(Q$1,main!$A$3:$I$56,7,FALSE),main!$K$10:$Q$14,4,FALSE),1,0)</f>
        <v>0</v>
      </c>
      <c r="R89">
        <f>IF(VLOOKUP(R$1,main!$A$3:$I$56,5,FALSE)-VLOOKUP($A89,main!$A$3:$I$56,6,FALSE)&gt;=VLOOKUP(56,main!$A$57:$I$59,4,FALSE)+VLOOKUP(VLOOKUP(R$1,main!$A$3:$I$56,7,FALSE),main!$K$10:$Q$14,4,FALSE),1,0)</f>
        <v>0</v>
      </c>
      <c r="S89">
        <f>IF(VLOOKUP(S$1,main!$A$3:$I$56,5,FALSE)-VLOOKUP($A89,main!$A$3:$I$56,6,FALSE)&gt;=VLOOKUP(56,main!$A$57:$I$59,4,FALSE)+VLOOKUP(VLOOKUP(S$1,main!$A$3:$I$56,7,FALSE),main!$K$10:$Q$14,4,FALSE),1,0)</f>
        <v>1</v>
      </c>
      <c r="T89">
        <f>IF(VLOOKUP(T$1,main!$A$3:$I$56,5,FALSE)-VLOOKUP($A89,main!$A$3:$I$56,6,FALSE)&gt;=VLOOKUP(56,main!$A$57:$I$59,4,FALSE)+VLOOKUP(VLOOKUP(T$1,main!$A$3:$I$56,7,FALSE),main!$K$10:$Q$14,4,FALSE),1,0)</f>
        <v>1</v>
      </c>
      <c r="U89">
        <f>IF(VLOOKUP(U$1,main!$A$3:$I$56,5,FALSE)-VLOOKUP($A89,main!$A$3:$I$56,6,FALSE)&gt;=VLOOKUP(56,main!$A$57:$I$59,4,FALSE)+VLOOKUP(VLOOKUP(U$1,main!$A$3:$I$56,7,FALSE),main!$K$10:$Q$14,4,FALSE),1,0)</f>
        <v>0</v>
      </c>
      <c r="V89">
        <f>IF(VLOOKUP(V$1,main!$A$3:$I$56,5,FALSE)-VLOOKUP($A89,main!$A$3:$I$56,6,FALSE)&gt;=VLOOKUP(56,main!$A$57:$I$59,4,FALSE)+VLOOKUP(VLOOKUP(V$1,main!$A$3:$I$56,7,FALSE),main!$K$10:$Q$14,4,FALSE),1,0)</f>
        <v>0</v>
      </c>
      <c r="W89">
        <f>IF(VLOOKUP(W$1,main!$A$3:$I$56,5,FALSE)-VLOOKUP($A89,main!$A$3:$I$56,6,FALSE)&gt;=VLOOKUP(56,main!$A$57:$I$59,4,FALSE)+VLOOKUP(VLOOKUP(W$1,main!$A$3:$I$56,7,FALSE),main!$K$10:$Q$14,4,FALSE),1,0)</f>
        <v>0</v>
      </c>
      <c r="X89">
        <f>IF(VLOOKUP(X$1,main!$A$3:$I$56,5,FALSE)-VLOOKUP($A89,main!$A$3:$I$56,6,FALSE)&gt;=VLOOKUP(56,main!$A$57:$I$59,4,FALSE)+VLOOKUP(VLOOKUP(X$1,main!$A$3:$I$56,7,FALSE),main!$K$10:$Q$14,4,FALSE),1,0)</f>
        <v>0</v>
      </c>
      <c r="Y89">
        <f>IF(VLOOKUP(Y$1,main!$A$3:$I$56,5,FALSE)-VLOOKUP($A89,main!$A$3:$I$56,6,FALSE)&gt;=VLOOKUP(56,main!$A$57:$I$59,4,FALSE)+VLOOKUP(VLOOKUP(Y$1,main!$A$3:$I$56,7,FALSE),main!$K$10:$Q$14,4,FALSE),1,0)</f>
        <v>0</v>
      </c>
      <c r="Z89">
        <f>IF(VLOOKUP(Z$1,main!$A$3:$I$56,5,FALSE)-VLOOKUP($A89,main!$A$3:$I$56,6,FALSE)&gt;=VLOOKUP(56,main!$A$57:$I$59,4,FALSE)+VLOOKUP(VLOOKUP(Z$1,main!$A$3:$I$56,7,FALSE),main!$K$10:$Q$14,4,FALSE),1,0)</f>
        <v>0</v>
      </c>
      <c r="AA89">
        <f>IF(VLOOKUP(AA$1,main!$A$3:$I$56,5,FALSE)-VLOOKUP($A89,main!$A$3:$I$56,6,FALSE)&gt;=VLOOKUP(56,main!$A$57:$I$59,4,FALSE)+VLOOKUP(VLOOKUP(AA$1,main!$A$3:$I$56,7,FALSE),main!$K$10:$Q$14,4,FALSE),1,0)</f>
        <v>1</v>
      </c>
      <c r="AB89">
        <f>IF(VLOOKUP(AB$1,main!$A$3:$I$56,5,FALSE)-VLOOKUP($A89,main!$A$3:$I$56,6,FALSE)&gt;=VLOOKUP(56,main!$A$57:$I$59,4,FALSE)+VLOOKUP(VLOOKUP(AB$1,main!$A$3:$I$56,7,FALSE),main!$K$10:$Q$14,4,FALSE),1,0)</f>
        <v>1</v>
      </c>
      <c r="AC89">
        <f>IF(VLOOKUP(AC$1,main!$A$3:$I$56,5,FALSE)-VLOOKUP($A89,main!$A$3:$I$56,6,FALSE)&gt;=VLOOKUP(56,main!$A$57:$I$59,4,FALSE)+VLOOKUP(VLOOKUP(AC$1,main!$A$3:$I$56,7,FALSE),main!$K$10:$Q$14,4,FALSE),1,0)</f>
        <v>0</v>
      </c>
      <c r="AD89">
        <f>IF(VLOOKUP(AD$1,main!$A$3:$I$56,5,FALSE)-VLOOKUP($A89,main!$A$3:$I$56,6,FALSE)&gt;=VLOOKUP(56,main!$A$57:$I$59,4,FALSE)+VLOOKUP(VLOOKUP(AD$1,main!$A$3:$I$56,7,FALSE),main!$K$10:$Q$14,4,FALSE),1,0)</f>
        <v>0</v>
      </c>
      <c r="AE89">
        <f>IF(VLOOKUP(AE$1,main!$A$3:$I$56,5,FALSE)-VLOOKUP($A89,main!$A$3:$I$56,6,FALSE)&gt;=VLOOKUP(56,main!$A$57:$I$59,4,FALSE)+VLOOKUP(VLOOKUP(AE$1,main!$A$3:$I$56,7,FALSE),main!$K$10:$Q$14,4,FALSE),1,0)</f>
        <v>0</v>
      </c>
      <c r="AF89">
        <f>IF(VLOOKUP(AF$1,main!$A$3:$I$56,5,FALSE)-VLOOKUP($A89,main!$A$3:$I$56,6,FALSE)&gt;=VLOOKUP(56,main!$A$57:$I$59,4,FALSE)+VLOOKUP(VLOOKUP(AF$1,main!$A$3:$I$56,7,FALSE),main!$K$10:$Q$14,4,FALSE),1,0)</f>
        <v>0</v>
      </c>
      <c r="AG89">
        <f>IF(VLOOKUP(AG$1,main!$A$3:$I$56,5,FALSE)-VLOOKUP($A89,main!$A$3:$I$56,6,FALSE)&gt;=VLOOKUP(56,main!$A$57:$I$59,4,FALSE)+VLOOKUP(VLOOKUP(AG$1,main!$A$3:$I$56,7,FALSE),main!$K$10:$Q$14,4,FALSE),1,0)</f>
        <v>0</v>
      </c>
      <c r="AH89">
        <f>IF(VLOOKUP(AH$1,main!$A$3:$I$56,5,FALSE)-VLOOKUP($A89,main!$A$3:$I$56,6,FALSE)&gt;=VLOOKUP(56,main!$A$57:$I$59,4,FALSE)+VLOOKUP(VLOOKUP(AH$1,main!$A$3:$I$56,7,FALSE),main!$K$10:$Q$14,4,FALSE),1,0)</f>
        <v>0</v>
      </c>
      <c r="AI89">
        <f>IF(VLOOKUP(AI$1,main!$A$3:$I$56,5,FALSE)-VLOOKUP($A89,main!$A$3:$I$56,6,FALSE)&gt;=VLOOKUP(56,main!$A$57:$I$59,4,FALSE)+VLOOKUP(VLOOKUP(AI$1,main!$A$3:$I$56,7,FALSE),main!$K$10:$Q$14,4,FALSE),1,0)</f>
        <v>0</v>
      </c>
      <c r="AJ89">
        <f>IF(VLOOKUP(AJ$1,main!$A$3:$I$56,5,FALSE)-VLOOKUP($A89,main!$A$3:$I$56,6,FALSE)&gt;=VLOOKUP(56,main!$A$57:$I$59,4,FALSE)+VLOOKUP(VLOOKUP(AJ$1,main!$A$3:$I$56,7,FALSE),main!$K$10:$Q$14,4,FALSE),1,0)</f>
        <v>0</v>
      </c>
      <c r="AK89">
        <f>IF(VLOOKUP(AK$1,main!$A$3:$I$56,5,FALSE)-VLOOKUP($A89,main!$A$3:$I$56,6,FALSE)&gt;=VLOOKUP(56,main!$A$57:$I$59,4,FALSE)+VLOOKUP(VLOOKUP(AK$1,main!$A$3:$I$56,7,FALSE),main!$K$10:$Q$14,4,FALSE),1,0)</f>
        <v>0</v>
      </c>
      <c r="AL89">
        <f>IF(VLOOKUP(AL$1,main!$A$3:$I$56,5,FALSE)-VLOOKUP($A89,main!$A$3:$I$56,6,FALSE)&gt;=VLOOKUP(56,main!$A$57:$I$59,4,FALSE)+VLOOKUP(VLOOKUP(AL$1,main!$A$3:$I$56,7,FALSE),main!$K$10:$Q$14,4,FALSE),1,0)</f>
        <v>0</v>
      </c>
      <c r="AM89">
        <f>IF(VLOOKUP(AM$1,main!$A$3:$I$56,5,FALSE)-VLOOKUP($A89,main!$A$3:$I$56,6,FALSE)&gt;=VLOOKUP(56,main!$A$57:$I$59,4,FALSE)+VLOOKUP(VLOOKUP(AM$1,main!$A$3:$I$56,7,FALSE),main!$K$10:$Q$14,4,FALSE),1,0)</f>
        <v>0</v>
      </c>
      <c r="AN89">
        <f>IF(VLOOKUP(AN$1,main!$A$3:$I$56,5,FALSE)-VLOOKUP($A89,main!$A$3:$I$56,6,FALSE)&gt;=VLOOKUP(56,main!$A$57:$I$59,4,FALSE)+VLOOKUP(VLOOKUP(AN$1,main!$A$3:$I$56,7,FALSE),main!$K$10:$Q$14,4,FALSE),1,0)</f>
        <v>0</v>
      </c>
      <c r="AO89">
        <f>IF(VLOOKUP(AO$1,main!$A$3:$I$56,5,FALSE)-VLOOKUP($A89,main!$A$3:$I$56,6,FALSE)&gt;=VLOOKUP(56,main!$A$57:$I$59,4,FALSE)+VLOOKUP(VLOOKUP(AO$1,main!$A$3:$I$56,7,FALSE),main!$K$10:$Q$14,4,FALSE),1,0)</f>
        <v>0</v>
      </c>
      <c r="AP89">
        <f>IF(VLOOKUP(AP$1,main!$A$3:$I$56,5,FALSE)-VLOOKUP($A89,main!$A$3:$I$56,6,FALSE)&gt;=VLOOKUP(56,main!$A$57:$I$59,4,FALSE)+VLOOKUP(VLOOKUP(AP$1,main!$A$3:$I$56,7,FALSE),main!$K$10:$Q$14,4,FALSE),1,0)</f>
        <v>0</v>
      </c>
      <c r="AQ89">
        <f>IF(VLOOKUP(AQ$1,main!$A$3:$I$56,5,FALSE)-VLOOKUP($A89,main!$A$3:$I$56,6,FALSE)&gt;=VLOOKUP(56,main!$A$57:$I$59,4,FALSE)+VLOOKUP(VLOOKUP(AQ$1,main!$A$3:$I$56,7,FALSE),main!$K$10:$Q$14,4,FALSE),1,0)</f>
        <v>0</v>
      </c>
      <c r="AR89">
        <f>IF(VLOOKUP(AR$1,main!$A$3:$I$56,5,FALSE)-VLOOKUP($A89,main!$A$3:$I$56,6,FALSE)&gt;=VLOOKUP(56,main!$A$57:$I$59,4,FALSE)+VLOOKUP(VLOOKUP(AR$1,main!$A$3:$I$56,7,FALSE),main!$K$10:$Q$14,4,FALSE),1,0)</f>
        <v>0</v>
      </c>
      <c r="AS89">
        <f>IF(VLOOKUP(AS$1,main!$A$3:$I$56,5,FALSE)-VLOOKUP($A89,main!$A$3:$I$56,6,FALSE)&gt;=VLOOKUP(56,main!$A$57:$I$59,4,FALSE)+VLOOKUP(VLOOKUP(AS$1,main!$A$3:$I$56,7,FALSE),main!$K$10:$Q$14,4,FALSE),1,0)</f>
        <v>0</v>
      </c>
      <c r="AT89">
        <f>IF(VLOOKUP(AT$1,main!$A$3:$I$56,5,FALSE)-VLOOKUP($A89,main!$A$3:$I$56,6,FALSE)&gt;=VLOOKUP(56,main!$A$57:$I$59,4,FALSE)+VLOOKUP(VLOOKUP(AT$1,main!$A$3:$I$56,7,FALSE),main!$K$10:$Q$14,4,FALSE),1,0)</f>
        <v>0</v>
      </c>
      <c r="AU89">
        <f>IF(VLOOKUP(AU$1,main!$A$3:$I$56,5,FALSE)-VLOOKUP($A89,main!$A$3:$I$56,6,FALSE)&gt;=VLOOKUP(56,main!$A$57:$I$59,4,FALSE)+VLOOKUP(VLOOKUP(AU$1,main!$A$3:$I$56,7,FALSE),main!$K$10:$Q$14,4,FALSE),1,0)</f>
        <v>0</v>
      </c>
      <c r="AV89">
        <f>IF(VLOOKUP(AV$1,main!$A$3:$I$56,5,FALSE)-VLOOKUP($A89,main!$A$3:$I$56,6,FALSE)&gt;=VLOOKUP(56,main!$A$57:$I$59,4,FALSE)+VLOOKUP(VLOOKUP(AV$1,main!$A$3:$I$56,7,FALSE),main!$K$10:$Q$14,4,FALSE),1,0)</f>
        <v>0</v>
      </c>
      <c r="AW89">
        <f>IF(VLOOKUP(AW$1,main!$A$3:$I$56,5,FALSE)-VLOOKUP($A89,main!$A$3:$I$56,6,FALSE)&gt;=VLOOKUP(56,main!$A$57:$I$59,4,FALSE)+VLOOKUP(VLOOKUP(AW$1,main!$A$3:$I$56,7,FALSE),main!$K$10:$Q$14,4,FALSE),1,0)</f>
        <v>0</v>
      </c>
      <c r="AX89">
        <f>IF(VLOOKUP(AX$1,main!$A$3:$I$56,5,FALSE)-VLOOKUP($A89,main!$A$3:$I$56,6,FALSE)&gt;=VLOOKUP(56,main!$A$57:$I$59,4,FALSE)+VLOOKUP(VLOOKUP(AX$1,main!$A$3:$I$56,7,FALSE),main!$K$10:$Q$14,4,FALSE),1,0)</f>
        <v>0</v>
      </c>
      <c r="AY89">
        <f>IF(VLOOKUP(AY$1,main!$A$3:$I$56,5,FALSE)-VLOOKUP($A89,main!$A$3:$I$56,6,FALSE)&gt;=VLOOKUP(56,main!$A$57:$I$59,4,FALSE)+VLOOKUP(VLOOKUP(AY$1,main!$A$3:$I$56,7,FALSE),main!$K$10:$Q$14,4,FALSE),1,0)</f>
        <v>1</v>
      </c>
      <c r="AZ89">
        <f>IF(VLOOKUP(AZ$1,main!$A$3:$I$56,5,FALSE)-VLOOKUP($A89,main!$A$3:$I$56,6,FALSE)&gt;=VLOOKUP(56,main!$A$57:$I$59,4,FALSE)+VLOOKUP(VLOOKUP(AZ$1,main!$A$3:$I$56,7,FALSE),main!$K$10:$Q$14,4,FALSE),1,0)</f>
        <v>0</v>
      </c>
      <c r="BA89">
        <f>IF(VLOOKUP(BA$1,main!$A$3:$I$56,5,FALSE)-VLOOKUP($A89,main!$A$3:$I$56,6,FALSE)&gt;=VLOOKUP(56,main!$A$57:$I$59,4,FALSE)+VLOOKUP(VLOOKUP(BA$1,main!$A$3:$I$56,7,FALSE),main!$K$10:$Q$14,4,FALSE),1,0)</f>
        <v>0</v>
      </c>
      <c r="BB89">
        <f>IF(VLOOKUP(BB$1,main!$A$3:$I$56,5,FALSE)-VLOOKUP($A89,main!$A$3:$I$56,6,FALSE)&gt;=VLOOKUP(56,main!$A$57:$I$59,4,FALSE)+VLOOKUP(VLOOKUP(BB$1,main!$A$3:$I$56,7,FALSE),main!$K$10:$Q$14,4,FALSE),1,0)</f>
        <v>0</v>
      </c>
      <c r="BC89">
        <f>IF(VLOOKUP(BC$1,main!$A$3:$I$56,5,FALSE)-VLOOKUP($A89,main!$A$3:$I$56,6,FALSE)&gt;=VLOOKUP(56,main!$A$57:$I$59,4,FALSE)+VLOOKUP(VLOOKUP(BC$1,main!$A$3:$I$56,7,FALSE),main!$K$10:$Q$14,4,FALSE),1,0)</f>
        <v>0</v>
      </c>
      <c r="BD89">
        <f>IF(VLOOKUP(BD$1,main!$A$3:$I$56,5,FALSE)-VLOOKUP($A89,main!$A$3:$I$56,6,FALSE)&gt;=VLOOKUP(56,main!$A$57:$I$59,4,FALSE)+VLOOKUP(VLOOKUP(BD$1,main!$A$3:$I$56,7,FALSE),main!$K$10:$Q$14,4,FALSE),1,0)</f>
        <v>0</v>
      </c>
    </row>
    <row r="90" spans="1:56" x14ac:dyDescent="0.25">
      <c r="A90">
        <f t="shared" si="1"/>
        <v>33</v>
      </c>
      <c r="B90">
        <v>0</v>
      </c>
      <c r="C90">
        <f>IF(VLOOKUP(C$1,main!$A$3:$I$56,5,FALSE)-VLOOKUP($A90,main!$A$3:$I$56,6,FALSE)&gt;=VLOOKUP(56,main!$A$57:$I$59,4,FALSE)+VLOOKUP(VLOOKUP(C$1,main!$A$3:$I$56,7,FALSE),main!$K$10:$Q$14,4,FALSE),1,0)</f>
        <v>0</v>
      </c>
      <c r="D90">
        <f>IF(VLOOKUP(D$1,main!$A$3:$I$56,5,FALSE)-VLOOKUP($A90,main!$A$3:$I$56,6,FALSE)&gt;=VLOOKUP(56,main!$A$57:$I$59,4,FALSE)+VLOOKUP(VLOOKUP(D$1,main!$A$3:$I$56,7,FALSE),main!$K$10:$Q$14,4,FALSE),1,0)</f>
        <v>0</v>
      </c>
      <c r="E90">
        <f>IF(VLOOKUP(E$1,main!$A$3:$I$56,5,FALSE)-VLOOKUP($A90,main!$A$3:$I$56,6,FALSE)&gt;=VLOOKUP(56,main!$A$57:$I$59,4,FALSE)+VLOOKUP(VLOOKUP(E$1,main!$A$3:$I$56,7,FALSE),main!$K$10:$Q$14,4,FALSE),1,0)</f>
        <v>0</v>
      </c>
      <c r="F90">
        <f>IF(VLOOKUP(F$1,main!$A$3:$I$56,5,FALSE)-VLOOKUP($A90,main!$A$3:$I$56,6,FALSE)&gt;=VLOOKUP(56,main!$A$57:$I$59,4,FALSE)+VLOOKUP(VLOOKUP(F$1,main!$A$3:$I$56,7,FALSE),main!$K$10:$Q$14,4,FALSE),1,0)</f>
        <v>0</v>
      </c>
      <c r="G90">
        <f>IF(VLOOKUP(G$1,main!$A$3:$I$56,5,FALSE)-VLOOKUP($A90,main!$A$3:$I$56,6,FALSE)&gt;=VLOOKUP(56,main!$A$57:$I$59,4,FALSE)+VLOOKUP(VLOOKUP(G$1,main!$A$3:$I$56,7,FALSE),main!$K$10:$Q$14,4,FALSE),1,0)</f>
        <v>0</v>
      </c>
      <c r="H90">
        <f>IF(VLOOKUP(H$1,main!$A$3:$I$56,5,FALSE)-VLOOKUP($A90,main!$A$3:$I$56,6,FALSE)&gt;=VLOOKUP(56,main!$A$57:$I$59,4,FALSE)+VLOOKUP(VLOOKUP(H$1,main!$A$3:$I$56,7,FALSE),main!$K$10:$Q$14,4,FALSE),1,0)</f>
        <v>0</v>
      </c>
      <c r="I90">
        <f>IF(VLOOKUP(I$1,main!$A$3:$I$56,5,FALSE)-VLOOKUP($A90,main!$A$3:$I$56,6,FALSE)&gt;=VLOOKUP(56,main!$A$57:$I$59,4,FALSE)+VLOOKUP(VLOOKUP(I$1,main!$A$3:$I$56,7,FALSE),main!$K$10:$Q$14,4,FALSE),1,0)</f>
        <v>1</v>
      </c>
      <c r="J90">
        <f>IF(VLOOKUP(J$1,main!$A$3:$I$56,5,FALSE)-VLOOKUP($A90,main!$A$3:$I$56,6,FALSE)&gt;=VLOOKUP(56,main!$A$57:$I$59,4,FALSE)+VLOOKUP(VLOOKUP(J$1,main!$A$3:$I$56,7,FALSE),main!$K$10:$Q$14,4,FALSE),1,0)</f>
        <v>1</v>
      </c>
      <c r="K90">
        <f>IF(VLOOKUP(K$1,main!$A$3:$I$56,5,FALSE)-VLOOKUP($A90,main!$A$3:$I$56,6,FALSE)&gt;=VLOOKUP(56,main!$A$57:$I$59,4,FALSE)+VLOOKUP(VLOOKUP(K$1,main!$A$3:$I$56,7,FALSE),main!$K$10:$Q$14,4,FALSE),1,0)</f>
        <v>0</v>
      </c>
      <c r="L90">
        <f>IF(VLOOKUP(L$1,main!$A$3:$I$56,5,FALSE)-VLOOKUP($A90,main!$A$3:$I$56,6,FALSE)&gt;=VLOOKUP(56,main!$A$57:$I$59,4,FALSE)+VLOOKUP(VLOOKUP(L$1,main!$A$3:$I$56,7,FALSE),main!$K$10:$Q$14,4,FALSE),1,0)</f>
        <v>0</v>
      </c>
      <c r="M90">
        <f>IF(VLOOKUP(M$1,main!$A$3:$I$56,5,FALSE)-VLOOKUP($A90,main!$A$3:$I$56,6,FALSE)&gt;=VLOOKUP(56,main!$A$57:$I$59,4,FALSE)+VLOOKUP(VLOOKUP(M$1,main!$A$3:$I$56,7,FALSE),main!$K$10:$Q$14,4,FALSE),1,0)</f>
        <v>0</v>
      </c>
      <c r="N90">
        <f>IF(VLOOKUP(N$1,main!$A$3:$I$56,5,FALSE)-VLOOKUP($A90,main!$A$3:$I$56,6,FALSE)&gt;=VLOOKUP(56,main!$A$57:$I$59,4,FALSE)+VLOOKUP(VLOOKUP(N$1,main!$A$3:$I$56,7,FALSE),main!$K$10:$Q$14,4,FALSE),1,0)</f>
        <v>1</v>
      </c>
      <c r="O90">
        <f>IF(VLOOKUP(O$1,main!$A$3:$I$56,5,FALSE)-VLOOKUP($A90,main!$A$3:$I$56,6,FALSE)&gt;=VLOOKUP(56,main!$A$57:$I$59,4,FALSE)+VLOOKUP(VLOOKUP(O$1,main!$A$3:$I$56,7,FALSE),main!$K$10:$Q$14,4,FALSE),1,0)</f>
        <v>1</v>
      </c>
      <c r="P90">
        <f>IF(VLOOKUP(P$1,main!$A$3:$I$56,5,FALSE)-VLOOKUP($A90,main!$A$3:$I$56,6,FALSE)&gt;=VLOOKUP(56,main!$A$57:$I$59,4,FALSE)+VLOOKUP(VLOOKUP(P$1,main!$A$3:$I$56,7,FALSE),main!$K$10:$Q$14,4,FALSE),1,0)</f>
        <v>0</v>
      </c>
      <c r="Q90">
        <f>IF(VLOOKUP(Q$1,main!$A$3:$I$56,5,FALSE)-VLOOKUP($A90,main!$A$3:$I$56,6,FALSE)&gt;=VLOOKUP(56,main!$A$57:$I$59,4,FALSE)+VLOOKUP(VLOOKUP(Q$1,main!$A$3:$I$56,7,FALSE),main!$K$10:$Q$14,4,FALSE),1,0)</f>
        <v>0</v>
      </c>
      <c r="R90">
        <f>IF(VLOOKUP(R$1,main!$A$3:$I$56,5,FALSE)-VLOOKUP($A90,main!$A$3:$I$56,6,FALSE)&gt;=VLOOKUP(56,main!$A$57:$I$59,4,FALSE)+VLOOKUP(VLOOKUP(R$1,main!$A$3:$I$56,7,FALSE),main!$K$10:$Q$14,4,FALSE),1,0)</f>
        <v>0</v>
      </c>
      <c r="S90">
        <f>IF(VLOOKUP(S$1,main!$A$3:$I$56,5,FALSE)-VLOOKUP($A90,main!$A$3:$I$56,6,FALSE)&gt;=VLOOKUP(56,main!$A$57:$I$59,4,FALSE)+VLOOKUP(VLOOKUP(S$1,main!$A$3:$I$56,7,FALSE),main!$K$10:$Q$14,4,FALSE),1,0)</f>
        <v>0</v>
      </c>
      <c r="T90">
        <f>IF(VLOOKUP(T$1,main!$A$3:$I$56,5,FALSE)-VLOOKUP($A90,main!$A$3:$I$56,6,FALSE)&gt;=VLOOKUP(56,main!$A$57:$I$59,4,FALSE)+VLOOKUP(VLOOKUP(T$1,main!$A$3:$I$56,7,FALSE),main!$K$10:$Q$14,4,FALSE),1,0)</f>
        <v>1</v>
      </c>
      <c r="U90">
        <f>IF(VLOOKUP(U$1,main!$A$3:$I$56,5,FALSE)-VLOOKUP($A90,main!$A$3:$I$56,6,FALSE)&gt;=VLOOKUP(56,main!$A$57:$I$59,4,FALSE)+VLOOKUP(VLOOKUP(U$1,main!$A$3:$I$56,7,FALSE),main!$K$10:$Q$14,4,FALSE),1,0)</f>
        <v>0</v>
      </c>
      <c r="V90">
        <f>IF(VLOOKUP(V$1,main!$A$3:$I$56,5,FALSE)-VLOOKUP($A90,main!$A$3:$I$56,6,FALSE)&gt;=VLOOKUP(56,main!$A$57:$I$59,4,FALSE)+VLOOKUP(VLOOKUP(V$1,main!$A$3:$I$56,7,FALSE),main!$K$10:$Q$14,4,FALSE),1,0)</f>
        <v>0</v>
      </c>
      <c r="W90">
        <f>IF(VLOOKUP(W$1,main!$A$3:$I$56,5,FALSE)-VLOOKUP($A90,main!$A$3:$I$56,6,FALSE)&gt;=VLOOKUP(56,main!$A$57:$I$59,4,FALSE)+VLOOKUP(VLOOKUP(W$1,main!$A$3:$I$56,7,FALSE),main!$K$10:$Q$14,4,FALSE),1,0)</f>
        <v>0</v>
      </c>
      <c r="X90">
        <f>IF(VLOOKUP(X$1,main!$A$3:$I$56,5,FALSE)-VLOOKUP($A90,main!$A$3:$I$56,6,FALSE)&gt;=VLOOKUP(56,main!$A$57:$I$59,4,FALSE)+VLOOKUP(VLOOKUP(X$1,main!$A$3:$I$56,7,FALSE),main!$K$10:$Q$14,4,FALSE),1,0)</f>
        <v>0</v>
      </c>
      <c r="Y90">
        <f>IF(VLOOKUP(Y$1,main!$A$3:$I$56,5,FALSE)-VLOOKUP($A90,main!$A$3:$I$56,6,FALSE)&gt;=VLOOKUP(56,main!$A$57:$I$59,4,FALSE)+VLOOKUP(VLOOKUP(Y$1,main!$A$3:$I$56,7,FALSE),main!$K$10:$Q$14,4,FALSE),1,0)</f>
        <v>0</v>
      </c>
      <c r="Z90">
        <f>IF(VLOOKUP(Z$1,main!$A$3:$I$56,5,FALSE)-VLOOKUP($A90,main!$A$3:$I$56,6,FALSE)&gt;=VLOOKUP(56,main!$A$57:$I$59,4,FALSE)+VLOOKUP(VLOOKUP(Z$1,main!$A$3:$I$56,7,FALSE),main!$K$10:$Q$14,4,FALSE),1,0)</f>
        <v>0</v>
      </c>
      <c r="AA90">
        <f>IF(VLOOKUP(AA$1,main!$A$3:$I$56,5,FALSE)-VLOOKUP($A90,main!$A$3:$I$56,6,FALSE)&gt;=VLOOKUP(56,main!$A$57:$I$59,4,FALSE)+VLOOKUP(VLOOKUP(AA$1,main!$A$3:$I$56,7,FALSE),main!$K$10:$Q$14,4,FALSE),1,0)</f>
        <v>0</v>
      </c>
      <c r="AB90">
        <f>IF(VLOOKUP(AB$1,main!$A$3:$I$56,5,FALSE)-VLOOKUP($A90,main!$A$3:$I$56,6,FALSE)&gt;=VLOOKUP(56,main!$A$57:$I$59,4,FALSE)+VLOOKUP(VLOOKUP(AB$1,main!$A$3:$I$56,7,FALSE),main!$K$10:$Q$14,4,FALSE),1,0)</f>
        <v>0</v>
      </c>
      <c r="AC90">
        <f>IF(VLOOKUP(AC$1,main!$A$3:$I$56,5,FALSE)-VLOOKUP($A90,main!$A$3:$I$56,6,FALSE)&gt;=VLOOKUP(56,main!$A$57:$I$59,4,FALSE)+VLOOKUP(VLOOKUP(AC$1,main!$A$3:$I$56,7,FALSE),main!$K$10:$Q$14,4,FALSE),1,0)</f>
        <v>0</v>
      </c>
      <c r="AD90">
        <f>IF(VLOOKUP(AD$1,main!$A$3:$I$56,5,FALSE)-VLOOKUP($A90,main!$A$3:$I$56,6,FALSE)&gt;=VLOOKUP(56,main!$A$57:$I$59,4,FALSE)+VLOOKUP(VLOOKUP(AD$1,main!$A$3:$I$56,7,FALSE),main!$K$10:$Q$14,4,FALSE),1,0)</f>
        <v>0</v>
      </c>
      <c r="AE90">
        <f>IF(VLOOKUP(AE$1,main!$A$3:$I$56,5,FALSE)-VLOOKUP($A90,main!$A$3:$I$56,6,FALSE)&gt;=VLOOKUP(56,main!$A$57:$I$59,4,FALSE)+VLOOKUP(VLOOKUP(AE$1,main!$A$3:$I$56,7,FALSE),main!$K$10:$Q$14,4,FALSE),1,0)</f>
        <v>0</v>
      </c>
      <c r="AF90">
        <f>IF(VLOOKUP(AF$1,main!$A$3:$I$56,5,FALSE)-VLOOKUP($A90,main!$A$3:$I$56,6,FALSE)&gt;=VLOOKUP(56,main!$A$57:$I$59,4,FALSE)+VLOOKUP(VLOOKUP(AF$1,main!$A$3:$I$56,7,FALSE),main!$K$10:$Q$14,4,FALSE),1,0)</f>
        <v>0</v>
      </c>
      <c r="AG90">
        <f>IF(VLOOKUP(AG$1,main!$A$3:$I$56,5,FALSE)-VLOOKUP($A90,main!$A$3:$I$56,6,FALSE)&gt;=VLOOKUP(56,main!$A$57:$I$59,4,FALSE)+VLOOKUP(VLOOKUP(AG$1,main!$A$3:$I$56,7,FALSE),main!$K$10:$Q$14,4,FALSE),1,0)</f>
        <v>0</v>
      </c>
      <c r="AH90">
        <f>IF(VLOOKUP(AH$1,main!$A$3:$I$56,5,FALSE)-VLOOKUP($A90,main!$A$3:$I$56,6,FALSE)&gt;=VLOOKUP(56,main!$A$57:$I$59,4,FALSE)+VLOOKUP(VLOOKUP(AH$1,main!$A$3:$I$56,7,FALSE),main!$K$10:$Q$14,4,FALSE),1,0)</f>
        <v>0</v>
      </c>
      <c r="AI90">
        <f>IF(VLOOKUP(AI$1,main!$A$3:$I$56,5,FALSE)-VLOOKUP($A90,main!$A$3:$I$56,6,FALSE)&gt;=VLOOKUP(56,main!$A$57:$I$59,4,FALSE)+VLOOKUP(VLOOKUP(AI$1,main!$A$3:$I$56,7,FALSE),main!$K$10:$Q$14,4,FALSE),1,0)</f>
        <v>0</v>
      </c>
      <c r="AJ90">
        <f>IF(VLOOKUP(AJ$1,main!$A$3:$I$56,5,FALSE)-VLOOKUP($A90,main!$A$3:$I$56,6,FALSE)&gt;=VLOOKUP(56,main!$A$57:$I$59,4,FALSE)+VLOOKUP(VLOOKUP(AJ$1,main!$A$3:$I$56,7,FALSE),main!$K$10:$Q$14,4,FALSE),1,0)</f>
        <v>0</v>
      </c>
      <c r="AK90">
        <f>IF(VLOOKUP(AK$1,main!$A$3:$I$56,5,FALSE)-VLOOKUP($A90,main!$A$3:$I$56,6,FALSE)&gt;=VLOOKUP(56,main!$A$57:$I$59,4,FALSE)+VLOOKUP(VLOOKUP(AK$1,main!$A$3:$I$56,7,FALSE),main!$K$10:$Q$14,4,FALSE),1,0)</f>
        <v>0</v>
      </c>
      <c r="AL90">
        <f>IF(VLOOKUP(AL$1,main!$A$3:$I$56,5,FALSE)-VLOOKUP($A90,main!$A$3:$I$56,6,FALSE)&gt;=VLOOKUP(56,main!$A$57:$I$59,4,FALSE)+VLOOKUP(VLOOKUP(AL$1,main!$A$3:$I$56,7,FALSE),main!$K$10:$Q$14,4,FALSE),1,0)</f>
        <v>0</v>
      </c>
      <c r="AM90">
        <f>IF(VLOOKUP(AM$1,main!$A$3:$I$56,5,FALSE)-VLOOKUP($A90,main!$A$3:$I$56,6,FALSE)&gt;=VLOOKUP(56,main!$A$57:$I$59,4,FALSE)+VLOOKUP(VLOOKUP(AM$1,main!$A$3:$I$56,7,FALSE),main!$K$10:$Q$14,4,FALSE),1,0)</f>
        <v>0</v>
      </c>
      <c r="AN90">
        <f>IF(VLOOKUP(AN$1,main!$A$3:$I$56,5,FALSE)-VLOOKUP($A90,main!$A$3:$I$56,6,FALSE)&gt;=VLOOKUP(56,main!$A$57:$I$59,4,FALSE)+VLOOKUP(VLOOKUP(AN$1,main!$A$3:$I$56,7,FALSE),main!$K$10:$Q$14,4,FALSE),1,0)</f>
        <v>0</v>
      </c>
      <c r="AO90">
        <f>IF(VLOOKUP(AO$1,main!$A$3:$I$56,5,FALSE)-VLOOKUP($A90,main!$A$3:$I$56,6,FALSE)&gt;=VLOOKUP(56,main!$A$57:$I$59,4,FALSE)+VLOOKUP(VLOOKUP(AO$1,main!$A$3:$I$56,7,FALSE),main!$K$10:$Q$14,4,FALSE),1,0)</f>
        <v>0</v>
      </c>
      <c r="AP90">
        <f>IF(VLOOKUP(AP$1,main!$A$3:$I$56,5,FALSE)-VLOOKUP($A90,main!$A$3:$I$56,6,FALSE)&gt;=VLOOKUP(56,main!$A$57:$I$59,4,FALSE)+VLOOKUP(VLOOKUP(AP$1,main!$A$3:$I$56,7,FALSE),main!$K$10:$Q$14,4,FALSE),1,0)</f>
        <v>0</v>
      </c>
      <c r="AQ90">
        <f>IF(VLOOKUP(AQ$1,main!$A$3:$I$56,5,FALSE)-VLOOKUP($A90,main!$A$3:$I$56,6,FALSE)&gt;=VLOOKUP(56,main!$A$57:$I$59,4,FALSE)+VLOOKUP(VLOOKUP(AQ$1,main!$A$3:$I$56,7,FALSE),main!$K$10:$Q$14,4,FALSE),1,0)</f>
        <v>0</v>
      </c>
      <c r="AR90">
        <f>IF(VLOOKUP(AR$1,main!$A$3:$I$56,5,FALSE)-VLOOKUP($A90,main!$A$3:$I$56,6,FALSE)&gt;=VLOOKUP(56,main!$A$57:$I$59,4,FALSE)+VLOOKUP(VLOOKUP(AR$1,main!$A$3:$I$56,7,FALSE),main!$K$10:$Q$14,4,FALSE),1,0)</f>
        <v>0</v>
      </c>
      <c r="AS90">
        <f>IF(VLOOKUP(AS$1,main!$A$3:$I$56,5,FALSE)-VLOOKUP($A90,main!$A$3:$I$56,6,FALSE)&gt;=VLOOKUP(56,main!$A$57:$I$59,4,FALSE)+VLOOKUP(VLOOKUP(AS$1,main!$A$3:$I$56,7,FALSE),main!$K$10:$Q$14,4,FALSE),1,0)</f>
        <v>0</v>
      </c>
      <c r="AT90">
        <f>IF(VLOOKUP(AT$1,main!$A$3:$I$56,5,FALSE)-VLOOKUP($A90,main!$A$3:$I$56,6,FALSE)&gt;=VLOOKUP(56,main!$A$57:$I$59,4,FALSE)+VLOOKUP(VLOOKUP(AT$1,main!$A$3:$I$56,7,FALSE),main!$K$10:$Q$14,4,FALSE),1,0)</f>
        <v>0</v>
      </c>
      <c r="AU90">
        <f>IF(VLOOKUP(AU$1,main!$A$3:$I$56,5,FALSE)-VLOOKUP($A90,main!$A$3:$I$56,6,FALSE)&gt;=VLOOKUP(56,main!$A$57:$I$59,4,FALSE)+VLOOKUP(VLOOKUP(AU$1,main!$A$3:$I$56,7,FALSE),main!$K$10:$Q$14,4,FALSE),1,0)</f>
        <v>0</v>
      </c>
      <c r="AV90">
        <f>IF(VLOOKUP(AV$1,main!$A$3:$I$56,5,FALSE)-VLOOKUP($A90,main!$A$3:$I$56,6,FALSE)&gt;=VLOOKUP(56,main!$A$57:$I$59,4,FALSE)+VLOOKUP(VLOOKUP(AV$1,main!$A$3:$I$56,7,FALSE),main!$K$10:$Q$14,4,FALSE),1,0)</f>
        <v>0</v>
      </c>
      <c r="AW90">
        <f>IF(VLOOKUP(AW$1,main!$A$3:$I$56,5,FALSE)-VLOOKUP($A90,main!$A$3:$I$56,6,FALSE)&gt;=VLOOKUP(56,main!$A$57:$I$59,4,FALSE)+VLOOKUP(VLOOKUP(AW$1,main!$A$3:$I$56,7,FALSE),main!$K$10:$Q$14,4,FALSE),1,0)</f>
        <v>0</v>
      </c>
      <c r="AX90">
        <f>IF(VLOOKUP(AX$1,main!$A$3:$I$56,5,FALSE)-VLOOKUP($A90,main!$A$3:$I$56,6,FALSE)&gt;=VLOOKUP(56,main!$A$57:$I$59,4,FALSE)+VLOOKUP(VLOOKUP(AX$1,main!$A$3:$I$56,7,FALSE),main!$K$10:$Q$14,4,FALSE),1,0)</f>
        <v>0</v>
      </c>
      <c r="AY90">
        <f>IF(VLOOKUP(AY$1,main!$A$3:$I$56,5,FALSE)-VLOOKUP($A90,main!$A$3:$I$56,6,FALSE)&gt;=VLOOKUP(56,main!$A$57:$I$59,4,FALSE)+VLOOKUP(VLOOKUP(AY$1,main!$A$3:$I$56,7,FALSE),main!$K$10:$Q$14,4,FALSE),1,0)</f>
        <v>0</v>
      </c>
      <c r="AZ90">
        <f>IF(VLOOKUP(AZ$1,main!$A$3:$I$56,5,FALSE)-VLOOKUP($A90,main!$A$3:$I$56,6,FALSE)&gt;=VLOOKUP(56,main!$A$57:$I$59,4,FALSE)+VLOOKUP(VLOOKUP(AZ$1,main!$A$3:$I$56,7,FALSE),main!$K$10:$Q$14,4,FALSE),1,0)</f>
        <v>0</v>
      </c>
      <c r="BA90">
        <f>IF(VLOOKUP(BA$1,main!$A$3:$I$56,5,FALSE)-VLOOKUP($A90,main!$A$3:$I$56,6,FALSE)&gt;=VLOOKUP(56,main!$A$57:$I$59,4,FALSE)+VLOOKUP(VLOOKUP(BA$1,main!$A$3:$I$56,7,FALSE),main!$K$10:$Q$14,4,FALSE),1,0)</f>
        <v>0</v>
      </c>
      <c r="BB90">
        <f>IF(VLOOKUP(BB$1,main!$A$3:$I$56,5,FALSE)-VLOOKUP($A90,main!$A$3:$I$56,6,FALSE)&gt;=VLOOKUP(56,main!$A$57:$I$59,4,FALSE)+VLOOKUP(VLOOKUP(BB$1,main!$A$3:$I$56,7,FALSE),main!$K$10:$Q$14,4,FALSE),1,0)</f>
        <v>0</v>
      </c>
      <c r="BC90">
        <f>IF(VLOOKUP(BC$1,main!$A$3:$I$56,5,FALSE)-VLOOKUP($A90,main!$A$3:$I$56,6,FALSE)&gt;=VLOOKUP(56,main!$A$57:$I$59,4,FALSE)+VLOOKUP(VLOOKUP(BC$1,main!$A$3:$I$56,7,FALSE),main!$K$10:$Q$14,4,FALSE),1,0)</f>
        <v>0</v>
      </c>
      <c r="BD90">
        <f>IF(VLOOKUP(BD$1,main!$A$3:$I$56,5,FALSE)-VLOOKUP($A90,main!$A$3:$I$56,6,FALSE)&gt;=VLOOKUP(56,main!$A$57:$I$59,4,FALSE)+VLOOKUP(VLOOKUP(BD$1,main!$A$3:$I$56,7,FALSE),main!$K$10:$Q$14,4,FALSE),1,0)</f>
        <v>0</v>
      </c>
    </row>
    <row r="91" spans="1:56" x14ac:dyDescent="0.25">
      <c r="A91">
        <f t="shared" si="1"/>
        <v>34</v>
      </c>
      <c r="B91">
        <v>0</v>
      </c>
      <c r="C91">
        <f>IF(VLOOKUP(C$1,main!$A$3:$I$56,5,FALSE)-VLOOKUP($A91,main!$A$3:$I$56,6,FALSE)&gt;=VLOOKUP(56,main!$A$57:$I$59,4,FALSE)+VLOOKUP(VLOOKUP(C$1,main!$A$3:$I$56,7,FALSE),main!$K$10:$Q$14,4,FALSE),1,0)</f>
        <v>0</v>
      </c>
      <c r="D91">
        <f>IF(VLOOKUP(D$1,main!$A$3:$I$56,5,FALSE)-VLOOKUP($A91,main!$A$3:$I$56,6,FALSE)&gt;=VLOOKUP(56,main!$A$57:$I$59,4,FALSE)+VLOOKUP(VLOOKUP(D$1,main!$A$3:$I$56,7,FALSE),main!$K$10:$Q$14,4,FALSE),1,0)</f>
        <v>0</v>
      </c>
      <c r="E91">
        <f>IF(VLOOKUP(E$1,main!$A$3:$I$56,5,FALSE)-VLOOKUP($A91,main!$A$3:$I$56,6,FALSE)&gt;=VLOOKUP(56,main!$A$57:$I$59,4,FALSE)+VLOOKUP(VLOOKUP(E$1,main!$A$3:$I$56,7,FALSE),main!$K$10:$Q$14,4,FALSE),1,0)</f>
        <v>0</v>
      </c>
      <c r="F91">
        <f>IF(VLOOKUP(F$1,main!$A$3:$I$56,5,FALSE)-VLOOKUP($A91,main!$A$3:$I$56,6,FALSE)&gt;=VLOOKUP(56,main!$A$57:$I$59,4,FALSE)+VLOOKUP(VLOOKUP(F$1,main!$A$3:$I$56,7,FALSE),main!$K$10:$Q$14,4,FALSE),1,0)</f>
        <v>0</v>
      </c>
      <c r="G91">
        <f>IF(VLOOKUP(G$1,main!$A$3:$I$56,5,FALSE)-VLOOKUP($A91,main!$A$3:$I$56,6,FALSE)&gt;=VLOOKUP(56,main!$A$57:$I$59,4,FALSE)+VLOOKUP(VLOOKUP(G$1,main!$A$3:$I$56,7,FALSE),main!$K$10:$Q$14,4,FALSE),1,0)</f>
        <v>0</v>
      </c>
      <c r="H91">
        <f>IF(VLOOKUP(H$1,main!$A$3:$I$56,5,FALSE)-VLOOKUP($A91,main!$A$3:$I$56,6,FALSE)&gt;=VLOOKUP(56,main!$A$57:$I$59,4,FALSE)+VLOOKUP(VLOOKUP(H$1,main!$A$3:$I$56,7,FALSE),main!$K$10:$Q$14,4,FALSE),1,0)</f>
        <v>0</v>
      </c>
      <c r="I91">
        <f>IF(VLOOKUP(I$1,main!$A$3:$I$56,5,FALSE)-VLOOKUP($A91,main!$A$3:$I$56,6,FALSE)&gt;=VLOOKUP(56,main!$A$57:$I$59,4,FALSE)+VLOOKUP(VLOOKUP(I$1,main!$A$3:$I$56,7,FALSE),main!$K$10:$Q$14,4,FALSE),1,0)</f>
        <v>0</v>
      </c>
      <c r="J91">
        <f>IF(VLOOKUP(J$1,main!$A$3:$I$56,5,FALSE)-VLOOKUP($A91,main!$A$3:$I$56,6,FALSE)&gt;=VLOOKUP(56,main!$A$57:$I$59,4,FALSE)+VLOOKUP(VLOOKUP(J$1,main!$A$3:$I$56,7,FALSE),main!$K$10:$Q$14,4,FALSE),1,0)</f>
        <v>1</v>
      </c>
      <c r="K91">
        <f>IF(VLOOKUP(K$1,main!$A$3:$I$56,5,FALSE)-VLOOKUP($A91,main!$A$3:$I$56,6,FALSE)&gt;=VLOOKUP(56,main!$A$57:$I$59,4,FALSE)+VLOOKUP(VLOOKUP(K$1,main!$A$3:$I$56,7,FALSE),main!$K$10:$Q$14,4,FALSE),1,0)</f>
        <v>0</v>
      </c>
      <c r="L91">
        <f>IF(VLOOKUP(L$1,main!$A$3:$I$56,5,FALSE)-VLOOKUP($A91,main!$A$3:$I$56,6,FALSE)&gt;=VLOOKUP(56,main!$A$57:$I$59,4,FALSE)+VLOOKUP(VLOOKUP(L$1,main!$A$3:$I$56,7,FALSE),main!$K$10:$Q$14,4,FALSE),1,0)</f>
        <v>0</v>
      </c>
      <c r="M91">
        <f>IF(VLOOKUP(M$1,main!$A$3:$I$56,5,FALSE)-VLOOKUP($A91,main!$A$3:$I$56,6,FALSE)&gt;=VLOOKUP(56,main!$A$57:$I$59,4,FALSE)+VLOOKUP(VLOOKUP(M$1,main!$A$3:$I$56,7,FALSE),main!$K$10:$Q$14,4,FALSE),1,0)</f>
        <v>0</v>
      </c>
      <c r="N91">
        <f>IF(VLOOKUP(N$1,main!$A$3:$I$56,5,FALSE)-VLOOKUP($A91,main!$A$3:$I$56,6,FALSE)&gt;=VLOOKUP(56,main!$A$57:$I$59,4,FALSE)+VLOOKUP(VLOOKUP(N$1,main!$A$3:$I$56,7,FALSE),main!$K$10:$Q$14,4,FALSE),1,0)</f>
        <v>1</v>
      </c>
      <c r="O91">
        <f>IF(VLOOKUP(O$1,main!$A$3:$I$56,5,FALSE)-VLOOKUP($A91,main!$A$3:$I$56,6,FALSE)&gt;=VLOOKUP(56,main!$A$57:$I$59,4,FALSE)+VLOOKUP(VLOOKUP(O$1,main!$A$3:$I$56,7,FALSE),main!$K$10:$Q$14,4,FALSE),1,0)</f>
        <v>1</v>
      </c>
      <c r="P91">
        <f>IF(VLOOKUP(P$1,main!$A$3:$I$56,5,FALSE)-VLOOKUP($A91,main!$A$3:$I$56,6,FALSE)&gt;=VLOOKUP(56,main!$A$57:$I$59,4,FALSE)+VLOOKUP(VLOOKUP(P$1,main!$A$3:$I$56,7,FALSE),main!$K$10:$Q$14,4,FALSE),1,0)</f>
        <v>0</v>
      </c>
      <c r="Q91">
        <f>IF(VLOOKUP(Q$1,main!$A$3:$I$56,5,FALSE)-VLOOKUP($A91,main!$A$3:$I$56,6,FALSE)&gt;=VLOOKUP(56,main!$A$57:$I$59,4,FALSE)+VLOOKUP(VLOOKUP(Q$1,main!$A$3:$I$56,7,FALSE),main!$K$10:$Q$14,4,FALSE),1,0)</f>
        <v>0</v>
      </c>
      <c r="R91">
        <f>IF(VLOOKUP(R$1,main!$A$3:$I$56,5,FALSE)-VLOOKUP($A91,main!$A$3:$I$56,6,FALSE)&gt;=VLOOKUP(56,main!$A$57:$I$59,4,FALSE)+VLOOKUP(VLOOKUP(R$1,main!$A$3:$I$56,7,FALSE),main!$K$10:$Q$14,4,FALSE),1,0)</f>
        <v>0</v>
      </c>
      <c r="S91">
        <f>IF(VLOOKUP(S$1,main!$A$3:$I$56,5,FALSE)-VLOOKUP($A91,main!$A$3:$I$56,6,FALSE)&gt;=VLOOKUP(56,main!$A$57:$I$59,4,FALSE)+VLOOKUP(VLOOKUP(S$1,main!$A$3:$I$56,7,FALSE),main!$K$10:$Q$14,4,FALSE),1,0)</f>
        <v>0</v>
      </c>
      <c r="T91">
        <f>IF(VLOOKUP(T$1,main!$A$3:$I$56,5,FALSE)-VLOOKUP($A91,main!$A$3:$I$56,6,FALSE)&gt;=VLOOKUP(56,main!$A$57:$I$59,4,FALSE)+VLOOKUP(VLOOKUP(T$1,main!$A$3:$I$56,7,FALSE),main!$K$10:$Q$14,4,FALSE),1,0)</f>
        <v>1</v>
      </c>
      <c r="U91">
        <f>IF(VLOOKUP(U$1,main!$A$3:$I$56,5,FALSE)-VLOOKUP($A91,main!$A$3:$I$56,6,FALSE)&gt;=VLOOKUP(56,main!$A$57:$I$59,4,FALSE)+VLOOKUP(VLOOKUP(U$1,main!$A$3:$I$56,7,FALSE),main!$K$10:$Q$14,4,FALSE),1,0)</f>
        <v>0</v>
      </c>
      <c r="V91">
        <f>IF(VLOOKUP(V$1,main!$A$3:$I$56,5,FALSE)-VLOOKUP($A91,main!$A$3:$I$56,6,FALSE)&gt;=VLOOKUP(56,main!$A$57:$I$59,4,FALSE)+VLOOKUP(VLOOKUP(V$1,main!$A$3:$I$56,7,FALSE),main!$K$10:$Q$14,4,FALSE),1,0)</f>
        <v>0</v>
      </c>
      <c r="W91">
        <f>IF(VLOOKUP(W$1,main!$A$3:$I$56,5,FALSE)-VLOOKUP($A91,main!$A$3:$I$56,6,FALSE)&gt;=VLOOKUP(56,main!$A$57:$I$59,4,FALSE)+VLOOKUP(VLOOKUP(W$1,main!$A$3:$I$56,7,FALSE),main!$K$10:$Q$14,4,FALSE),1,0)</f>
        <v>0</v>
      </c>
      <c r="X91">
        <f>IF(VLOOKUP(X$1,main!$A$3:$I$56,5,FALSE)-VLOOKUP($A91,main!$A$3:$I$56,6,FALSE)&gt;=VLOOKUP(56,main!$A$57:$I$59,4,FALSE)+VLOOKUP(VLOOKUP(X$1,main!$A$3:$I$56,7,FALSE),main!$K$10:$Q$14,4,FALSE),1,0)</f>
        <v>0</v>
      </c>
      <c r="Y91">
        <f>IF(VLOOKUP(Y$1,main!$A$3:$I$56,5,FALSE)-VLOOKUP($A91,main!$A$3:$I$56,6,FALSE)&gt;=VLOOKUP(56,main!$A$57:$I$59,4,FALSE)+VLOOKUP(VLOOKUP(Y$1,main!$A$3:$I$56,7,FALSE),main!$K$10:$Q$14,4,FALSE),1,0)</f>
        <v>0</v>
      </c>
      <c r="Z91">
        <f>IF(VLOOKUP(Z$1,main!$A$3:$I$56,5,FALSE)-VLOOKUP($A91,main!$A$3:$I$56,6,FALSE)&gt;=VLOOKUP(56,main!$A$57:$I$59,4,FALSE)+VLOOKUP(VLOOKUP(Z$1,main!$A$3:$I$56,7,FALSE),main!$K$10:$Q$14,4,FALSE),1,0)</f>
        <v>0</v>
      </c>
      <c r="AA91">
        <f>IF(VLOOKUP(AA$1,main!$A$3:$I$56,5,FALSE)-VLOOKUP($A91,main!$A$3:$I$56,6,FALSE)&gt;=VLOOKUP(56,main!$A$57:$I$59,4,FALSE)+VLOOKUP(VLOOKUP(AA$1,main!$A$3:$I$56,7,FALSE),main!$K$10:$Q$14,4,FALSE),1,0)</f>
        <v>0</v>
      </c>
      <c r="AB91">
        <f>IF(VLOOKUP(AB$1,main!$A$3:$I$56,5,FALSE)-VLOOKUP($A91,main!$A$3:$I$56,6,FALSE)&gt;=VLOOKUP(56,main!$A$57:$I$59,4,FALSE)+VLOOKUP(VLOOKUP(AB$1,main!$A$3:$I$56,7,FALSE),main!$K$10:$Q$14,4,FALSE),1,0)</f>
        <v>0</v>
      </c>
      <c r="AC91">
        <f>IF(VLOOKUP(AC$1,main!$A$3:$I$56,5,FALSE)-VLOOKUP($A91,main!$A$3:$I$56,6,FALSE)&gt;=VLOOKUP(56,main!$A$57:$I$59,4,FALSE)+VLOOKUP(VLOOKUP(AC$1,main!$A$3:$I$56,7,FALSE),main!$K$10:$Q$14,4,FALSE),1,0)</f>
        <v>0</v>
      </c>
      <c r="AD91">
        <f>IF(VLOOKUP(AD$1,main!$A$3:$I$56,5,FALSE)-VLOOKUP($A91,main!$A$3:$I$56,6,FALSE)&gt;=VLOOKUP(56,main!$A$57:$I$59,4,FALSE)+VLOOKUP(VLOOKUP(AD$1,main!$A$3:$I$56,7,FALSE),main!$K$10:$Q$14,4,FALSE),1,0)</f>
        <v>0</v>
      </c>
      <c r="AE91">
        <f>IF(VLOOKUP(AE$1,main!$A$3:$I$56,5,FALSE)-VLOOKUP($A91,main!$A$3:$I$56,6,FALSE)&gt;=VLOOKUP(56,main!$A$57:$I$59,4,FALSE)+VLOOKUP(VLOOKUP(AE$1,main!$A$3:$I$56,7,FALSE),main!$K$10:$Q$14,4,FALSE),1,0)</f>
        <v>0</v>
      </c>
      <c r="AF91">
        <f>IF(VLOOKUP(AF$1,main!$A$3:$I$56,5,FALSE)-VLOOKUP($A91,main!$A$3:$I$56,6,FALSE)&gt;=VLOOKUP(56,main!$A$57:$I$59,4,FALSE)+VLOOKUP(VLOOKUP(AF$1,main!$A$3:$I$56,7,FALSE),main!$K$10:$Q$14,4,FALSE),1,0)</f>
        <v>0</v>
      </c>
      <c r="AG91">
        <f>IF(VLOOKUP(AG$1,main!$A$3:$I$56,5,FALSE)-VLOOKUP($A91,main!$A$3:$I$56,6,FALSE)&gt;=VLOOKUP(56,main!$A$57:$I$59,4,FALSE)+VLOOKUP(VLOOKUP(AG$1,main!$A$3:$I$56,7,FALSE),main!$K$10:$Q$14,4,FALSE),1,0)</f>
        <v>0</v>
      </c>
      <c r="AH91">
        <f>IF(VLOOKUP(AH$1,main!$A$3:$I$56,5,FALSE)-VLOOKUP($A91,main!$A$3:$I$56,6,FALSE)&gt;=VLOOKUP(56,main!$A$57:$I$59,4,FALSE)+VLOOKUP(VLOOKUP(AH$1,main!$A$3:$I$56,7,FALSE),main!$K$10:$Q$14,4,FALSE),1,0)</f>
        <v>0</v>
      </c>
      <c r="AI91">
        <f>IF(VLOOKUP(AI$1,main!$A$3:$I$56,5,FALSE)-VLOOKUP($A91,main!$A$3:$I$56,6,FALSE)&gt;=VLOOKUP(56,main!$A$57:$I$59,4,FALSE)+VLOOKUP(VLOOKUP(AI$1,main!$A$3:$I$56,7,FALSE),main!$K$10:$Q$14,4,FALSE),1,0)</f>
        <v>0</v>
      </c>
      <c r="AJ91">
        <f>IF(VLOOKUP(AJ$1,main!$A$3:$I$56,5,FALSE)-VLOOKUP($A91,main!$A$3:$I$56,6,FALSE)&gt;=VLOOKUP(56,main!$A$57:$I$59,4,FALSE)+VLOOKUP(VLOOKUP(AJ$1,main!$A$3:$I$56,7,FALSE),main!$K$10:$Q$14,4,FALSE),1,0)</f>
        <v>0</v>
      </c>
      <c r="AK91">
        <f>IF(VLOOKUP(AK$1,main!$A$3:$I$56,5,FALSE)-VLOOKUP($A91,main!$A$3:$I$56,6,FALSE)&gt;=VLOOKUP(56,main!$A$57:$I$59,4,FALSE)+VLOOKUP(VLOOKUP(AK$1,main!$A$3:$I$56,7,FALSE),main!$K$10:$Q$14,4,FALSE),1,0)</f>
        <v>0</v>
      </c>
      <c r="AL91">
        <f>IF(VLOOKUP(AL$1,main!$A$3:$I$56,5,FALSE)-VLOOKUP($A91,main!$A$3:$I$56,6,FALSE)&gt;=VLOOKUP(56,main!$A$57:$I$59,4,FALSE)+VLOOKUP(VLOOKUP(AL$1,main!$A$3:$I$56,7,FALSE),main!$K$10:$Q$14,4,FALSE),1,0)</f>
        <v>0</v>
      </c>
      <c r="AM91">
        <f>IF(VLOOKUP(AM$1,main!$A$3:$I$56,5,FALSE)-VLOOKUP($A91,main!$A$3:$I$56,6,FALSE)&gt;=VLOOKUP(56,main!$A$57:$I$59,4,FALSE)+VLOOKUP(VLOOKUP(AM$1,main!$A$3:$I$56,7,FALSE),main!$K$10:$Q$14,4,FALSE),1,0)</f>
        <v>0</v>
      </c>
      <c r="AN91">
        <f>IF(VLOOKUP(AN$1,main!$A$3:$I$56,5,FALSE)-VLOOKUP($A91,main!$A$3:$I$56,6,FALSE)&gt;=VLOOKUP(56,main!$A$57:$I$59,4,FALSE)+VLOOKUP(VLOOKUP(AN$1,main!$A$3:$I$56,7,FALSE),main!$K$10:$Q$14,4,FALSE),1,0)</f>
        <v>0</v>
      </c>
      <c r="AO91">
        <f>IF(VLOOKUP(AO$1,main!$A$3:$I$56,5,FALSE)-VLOOKUP($A91,main!$A$3:$I$56,6,FALSE)&gt;=VLOOKUP(56,main!$A$57:$I$59,4,FALSE)+VLOOKUP(VLOOKUP(AO$1,main!$A$3:$I$56,7,FALSE),main!$K$10:$Q$14,4,FALSE),1,0)</f>
        <v>0</v>
      </c>
      <c r="AP91">
        <f>IF(VLOOKUP(AP$1,main!$A$3:$I$56,5,FALSE)-VLOOKUP($A91,main!$A$3:$I$56,6,FALSE)&gt;=VLOOKUP(56,main!$A$57:$I$59,4,FALSE)+VLOOKUP(VLOOKUP(AP$1,main!$A$3:$I$56,7,FALSE),main!$K$10:$Q$14,4,FALSE),1,0)</f>
        <v>0</v>
      </c>
      <c r="AQ91">
        <f>IF(VLOOKUP(AQ$1,main!$A$3:$I$56,5,FALSE)-VLOOKUP($A91,main!$A$3:$I$56,6,FALSE)&gt;=VLOOKUP(56,main!$A$57:$I$59,4,FALSE)+VLOOKUP(VLOOKUP(AQ$1,main!$A$3:$I$56,7,FALSE),main!$K$10:$Q$14,4,FALSE),1,0)</f>
        <v>0</v>
      </c>
      <c r="AR91">
        <f>IF(VLOOKUP(AR$1,main!$A$3:$I$56,5,FALSE)-VLOOKUP($A91,main!$A$3:$I$56,6,FALSE)&gt;=VLOOKUP(56,main!$A$57:$I$59,4,FALSE)+VLOOKUP(VLOOKUP(AR$1,main!$A$3:$I$56,7,FALSE),main!$K$10:$Q$14,4,FALSE),1,0)</f>
        <v>0</v>
      </c>
      <c r="AS91">
        <f>IF(VLOOKUP(AS$1,main!$A$3:$I$56,5,FALSE)-VLOOKUP($A91,main!$A$3:$I$56,6,FALSE)&gt;=VLOOKUP(56,main!$A$57:$I$59,4,FALSE)+VLOOKUP(VLOOKUP(AS$1,main!$A$3:$I$56,7,FALSE),main!$K$10:$Q$14,4,FALSE),1,0)</f>
        <v>0</v>
      </c>
      <c r="AT91">
        <f>IF(VLOOKUP(AT$1,main!$A$3:$I$56,5,FALSE)-VLOOKUP($A91,main!$A$3:$I$56,6,FALSE)&gt;=VLOOKUP(56,main!$A$57:$I$59,4,FALSE)+VLOOKUP(VLOOKUP(AT$1,main!$A$3:$I$56,7,FALSE),main!$K$10:$Q$14,4,FALSE),1,0)</f>
        <v>0</v>
      </c>
      <c r="AU91">
        <f>IF(VLOOKUP(AU$1,main!$A$3:$I$56,5,FALSE)-VLOOKUP($A91,main!$A$3:$I$56,6,FALSE)&gt;=VLOOKUP(56,main!$A$57:$I$59,4,FALSE)+VLOOKUP(VLOOKUP(AU$1,main!$A$3:$I$56,7,FALSE),main!$K$10:$Q$14,4,FALSE),1,0)</f>
        <v>0</v>
      </c>
      <c r="AV91">
        <f>IF(VLOOKUP(AV$1,main!$A$3:$I$56,5,FALSE)-VLOOKUP($A91,main!$A$3:$I$56,6,FALSE)&gt;=VLOOKUP(56,main!$A$57:$I$59,4,FALSE)+VLOOKUP(VLOOKUP(AV$1,main!$A$3:$I$56,7,FALSE),main!$K$10:$Q$14,4,FALSE),1,0)</f>
        <v>0</v>
      </c>
      <c r="AW91">
        <f>IF(VLOOKUP(AW$1,main!$A$3:$I$56,5,FALSE)-VLOOKUP($A91,main!$A$3:$I$56,6,FALSE)&gt;=VLOOKUP(56,main!$A$57:$I$59,4,FALSE)+VLOOKUP(VLOOKUP(AW$1,main!$A$3:$I$56,7,FALSE),main!$K$10:$Q$14,4,FALSE),1,0)</f>
        <v>0</v>
      </c>
      <c r="AX91">
        <f>IF(VLOOKUP(AX$1,main!$A$3:$I$56,5,FALSE)-VLOOKUP($A91,main!$A$3:$I$56,6,FALSE)&gt;=VLOOKUP(56,main!$A$57:$I$59,4,FALSE)+VLOOKUP(VLOOKUP(AX$1,main!$A$3:$I$56,7,FALSE),main!$K$10:$Q$14,4,FALSE),1,0)</f>
        <v>0</v>
      </c>
      <c r="AY91">
        <f>IF(VLOOKUP(AY$1,main!$A$3:$I$56,5,FALSE)-VLOOKUP($A91,main!$A$3:$I$56,6,FALSE)&gt;=VLOOKUP(56,main!$A$57:$I$59,4,FALSE)+VLOOKUP(VLOOKUP(AY$1,main!$A$3:$I$56,7,FALSE),main!$K$10:$Q$14,4,FALSE),1,0)</f>
        <v>0</v>
      </c>
      <c r="AZ91">
        <f>IF(VLOOKUP(AZ$1,main!$A$3:$I$56,5,FALSE)-VLOOKUP($A91,main!$A$3:$I$56,6,FALSE)&gt;=VLOOKUP(56,main!$A$57:$I$59,4,FALSE)+VLOOKUP(VLOOKUP(AZ$1,main!$A$3:$I$56,7,FALSE),main!$K$10:$Q$14,4,FALSE),1,0)</f>
        <v>0</v>
      </c>
      <c r="BA91">
        <f>IF(VLOOKUP(BA$1,main!$A$3:$I$56,5,FALSE)-VLOOKUP($A91,main!$A$3:$I$56,6,FALSE)&gt;=VLOOKUP(56,main!$A$57:$I$59,4,FALSE)+VLOOKUP(VLOOKUP(BA$1,main!$A$3:$I$56,7,FALSE),main!$K$10:$Q$14,4,FALSE),1,0)</f>
        <v>0</v>
      </c>
      <c r="BB91">
        <f>IF(VLOOKUP(BB$1,main!$A$3:$I$56,5,FALSE)-VLOOKUP($A91,main!$A$3:$I$56,6,FALSE)&gt;=VLOOKUP(56,main!$A$57:$I$59,4,FALSE)+VLOOKUP(VLOOKUP(BB$1,main!$A$3:$I$56,7,FALSE),main!$K$10:$Q$14,4,FALSE),1,0)</f>
        <v>0</v>
      </c>
      <c r="BC91">
        <f>IF(VLOOKUP(BC$1,main!$A$3:$I$56,5,FALSE)-VLOOKUP($A91,main!$A$3:$I$56,6,FALSE)&gt;=VLOOKUP(56,main!$A$57:$I$59,4,FALSE)+VLOOKUP(VLOOKUP(BC$1,main!$A$3:$I$56,7,FALSE),main!$K$10:$Q$14,4,FALSE),1,0)</f>
        <v>0</v>
      </c>
      <c r="BD91">
        <f>IF(VLOOKUP(BD$1,main!$A$3:$I$56,5,FALSE)-VLOOKUP($A91,main!$A$3:$I$56,6,FALSE)&gt;=VLOOKUP(56,main!$A$57:$I$59,4,FALSE)+VLOOKUP(VLOOKUP(BD$1,main!$A$3:$I$56,7,FALSE),main!$K$10:$Q$14,4,FALSE),1,0)</f>
        <v>0</v>
      </c>
    </row>
    <row r="92" spans="1:56" x14ac:dyDescent="0.25">
      <c r="A92">
        <f t="shared" si="1"/>
        <v>35</v>
      </c>
      <c r="B92">
        <v>0</v>
      </c>
      <c r="C92">
        <f>IF(VLOOKUP(C$1,main!$A$3:$I$56,5,FALSE)-VLOOKUP($A92,main!$A$3:$I$56,6,FALSE)&gt;=VLOOKUP(56,main!$A$57:$I$59,4,FALSE)+VLOOKUP(VLOOKUP(C$1,main!$A$3:$I$56,7,FALSE),main!$K$10:$Q$14,4,FALSE),1,0)</f>
        <v>0</v>
      </c>
      <c r="D92">
        <f>IF(VLOOKUP(D$1,main!$A$3:$I$56,5,FALSE)-VLOOKUP($A92,main!$A$3:$I$56,6,FALSE)&gt;=VLOOKUP(56,main!$A$57:$I$59,4,FALSE)+VLOOKUP(VLOOKUP(D$1,main!$A$3:$I$56,7,FALSE),main!$K$10:$Q$14,4,FALSE),1,0)</f>
        <v>0</v>
      </c>
      <c r="E92">
        <f>IF(VLOOKUP(E$1,main!$A$3:$I$56,5,FALSE)-VLOOKUP($A92,main!$A$3:$I$56,6,FALSE)&gt;=VLOOKUP(56,main!$A$57:$I$59,4,FALSE)+VLOOKUP(VLOOKUP(E$1,main!$A$3:$I$56,7,FALSE),main!$K$10:$Q$14,4,FALSE),1,0)</f>
        <v>0</v>
      </c>
      <c r="F92">
        <f>IF(VLOOKUP(F$1,main!$A$3:$I$56,5,FALSE)-VLOOKUP($A92,main!$A$3:$I$56,6,FALSE)&gt;=VLOOKUP(56,main!$A$57:$I$59,4,FALSE)+VLOOKUP(VLOOKUP(F$1,main!$A$3:$I$56,7,FALSE),main!$K$10:$Q$14,4,FALSE),1,0)</f>
        <v>0</v>
      </c>
      <c r="G92">
        <f>IF(VLOOKUP(G$1,main!$A$3:$I$56,5,FALSE)-VLOOKUP($A92,main!$A$3:$I$56,6,FALSE)&gt;=VLOOKUP(56,main!$A$57:$I$59,4,FALSE)+VLOOKUP(VLOOKUP(G$1,main!$A$3:$I$56,7,FALSE),main!$K$10:$Q$14,4,FALSE),1,0)</f>
        <v>0</v>
      </c>
      <c r="H92">
        <f>IF(VLOOKUP(H$1,main!$A$3:$I$56,5,FALSE)-VLOOKUP($A92,main!$A$3:$I$56,6,FALSE)&gt;=VLOOKUP(56,main!$A$57:$I$59,4,FALSE)+VLOOKUP(VLOOKUP(H$1,main!$A$3:$I$56,7,FALSE),main!$K$10:$Q$14,4,FALSE),1,0)</f>
        <v>0</v>
      </c>
      <c r="I92">
        <f>IF(VLOOKUP(I$1,main!$A$3:$I$56,5,FALSE)-VLOOKUP($A92,main!$A$3:$I$56,6,FALSE)&gt;=VLOOKUP(56,main!$A$57:$I$59,4,FALSE)+VLOOKUP(VLOOKUP(I$1,main!$A$3:$I$56,7,FALSE),main!$K$10:$Q$14,4,FALSE),1,0)</f>
        <v>0</v>
      </c>
      <c r="J92">
        <f>IF(VLOOKUP(J$1,main!$A$3:$I$56,5,FALSE)-VLOOKUP($A92,main!$A$3:$I$56,6,FALSE)&gt;=VLOOKUP(56,main!$A$57:$I$59,4,FALSE)+VLOOKUP(VLOOKUP(J$1,main!$A$3:$I$56,7,FALSE),main!$K$10:$Q$14,4,FALSE),1,0)</f>
        <v>0</v>
      </c>
      <c r="K92">
        <f>IF(VLOOKUP(K$1,main!$A$3:$I$56,5,FALSE)-VLOOKUP($A92,main!$A$3:$I$56,6,FALSE)&gt;=VLOOKUP(56,main!$A$57:$I$59,4,FALSE)+VLOOKUP(VLOOKUP(K$1,main!$A$3:$I$56,7,FALSE),main!$K$10:$Q$14,4,FALSE),1,0)</f>
        <v>0</v>
      </c>
      <c r="L92">
        <f>IF(VLOOKUP(L$1,main!$A$3:$I$56,5,FALSE)-VLOOKUP($A92,main!$A$3:$I$56,6,FALSE)&gt;=VLOOKUP(56,main!$A$57:$I$59,4,FALSE)+VLOOKUP(VLOOKUP(L$1,main!$A$3:$I$56,7,FALSE),main!$K$10:$Q$14,4,FALSE),1,0)</f>
        <v>0</v>
      </c>
      <c r="M92">
        <f>IF(VLOOKUP(M$1,main!$A$3:$I$56,5,FALSE)-VLOOKUP($A92,main!$A$3:$I$56,6,FALSE)&gt;=VLOOKUP(56,main!$A$57:$I$59,4,FALSE)+VLOOKUP(VLOOKUP(M$1,main!$A$3:$I$56,7,FALSE),main!$K$10:$Q$14,4,FALSE),1,0)</f>
        <v>0</v>
      </c>
      <c r="N92">
        <f>IF(VLOOKUP(N$1,main!$A$3:$I$56,5,FALSE)-VLOOKUP($A92,main!$A$3:$I$56,6,FALSE)&gt;=VLOOKUP(56,main!$A$57:$I$59,4,FALSE)+VLOOKUP(VLOOKUP(N$1,main!$A$3:$I$56,7,FALSE),main!$K$10:$Q$14,4,FALSE),1,0)</f>
        <v>0</v>
      </c>
      <c r="O92">
        <f>IF(VLOOKUP(O$1,main!$A$3:$I$56,5,FALSE)-VLOOKUP($A92,main!$A$3:$I$56,6,FALSE)&gt;=VLOOKUP(56,main!$A$57:$I$59,4,FALSE)+VLOOKUP(VLOOKUP(O$1,main!$A$3:$I$56,7,FALSE),main!$K$10:$Q$14,4,FALSE),1,0)</f>
        <v>0</v>
      </c>
      <c r="P92">
        <f>IF(VLOOKUP(P$1,main!$A$3:$I$56,5,FALSE)-VLOOKUP($A92,main!$A$3:$I$56,6,FALSE)&gt;=VLOOKUP(56,main!$A$57:$I$59,4,FALSE)+VLOOKUP(VLOOKUP(P$1,main!$A$3:$I$56,7,FALSE),main!$K$10:$Q$14,4,FALSE),1,0)</f>
        <v>0</v>
      </c>
      <c r="Q92">
        <f>IF(VLOOKUP(Q$1,main!$A$3:$I$56,5,FALSE)-VLOOKUP($A92,main!$A$3:$I$56,6,FALSE)&gt;=VLOOKUP(56,main!$A$57:$I$59,4,FALSE)+VLOOKUP(VLOOKUP(Q$1,main!$A$3:$I$56,7,FALSE),main!$K$10:$Q$14,4,FALSE),1,0)</f>
        <v>0</v>
      </c>
      <c r="R92">
        <f>IF(VLOOKUP(R$1,main!$A$3:$I$56,5,FALSE)-VLOOKUP($A92,main!$A$3:$I$56,6,FALSE)&gt;=VLOOKUP(56,main!$A$57:$I$59,4,FALSE)+VLOOKUP(VLOOKUP(R$1,main!$A$3:$I$56,7,FALSE),main!$K$10:$Q$14,4,FALSE),1,0)</f>
        <v>0</v>
      </c>
      <c r="S92">
        <f>IF(VLOOKUP(S$1,main!$A$3:$I$56,5,FALSE)-VLOOKUP($A92,main!$A$3:$I$56,6,FALSE)&gt;=VLOOKUP(56,main!$A$57:$I$59,4,FALSE)+VLOOKUP(VLOOKUP(S$1,main!$A$3:$I$56,7,FALSE),main!$K$10:$Q$14,4,FALSE),1,0)</f>
        <v>0</v>
      </c>
      <c r="T92">
        <f>IF(VLOOKUP(T$1,main!$A$3:$I$56,5,FALSE)-VLOOKUP($A92,main!$A$3:$I$56,6,FALSE)&gt;=VLOOKUP(56,main!$A$57:$I$59,4,FALSE)+VLOOKUP(VLOOKUP(T$1,main!$A$3:$I$56,7,FALSE),main!$K$10:$Q$14,4,FALSE),1,0)</f>
        <v>0</v>
      </c>
      <c r="U92">
        <f>IF(VLOOKUP(U$1,main!$A$3:$I$56,5,FALSE)-VLOOKUP($A92,main!$A$3:$I$56,6,FALSE)&gt;=VLOOKUP(56,main!$A$57:$I$59,4,FALSE)+VLOOKUP(VLOOKUP(U$1,main!$A$3:$I$56,7,FALSE),main!$K$10:$Q$14,4,FALSE),1,0)</f>
        <v>0</v>
      </c>
      <c r="V92">
        <f>IF(VLOOKUP(V$1,main!$A$3:$I$56,5,FALSE)-VLOOKUP($A92,main!$A$3:$I$56,6,FALSE)&gt;=VLOOKUP(56,main!$A$57:$I$59,4,FALSE)+VLOOKUP(VLOOKUP(V$1,main!$A$3:$I$56,7,FALSE),main!$K$10:$Q$14,4,FALSE),1,0)</f>
        <v>0</v>
      </c>
      <c r="W92">
        <f>IF(VLOOKUP(W$1,main!$A$3:$I$56,5,FALSE)-VLOOKUP($A92,main!$A$3:$I$56,6,FALSE)&gt;=VLOOKUP(56,main!$A$57:$I$59,4,FALSE)+VLOOKUP(VLOOKUP(W$1,main!$A$3:$I$56,7,FALSE),main!$K$10:$Q$14,4,FALSE),1,0)</f>
        <v>0</v>
      </c>
      <c r="X92">
        <f>IF(VLOOKUP(X$1,main!$A$3:$I$56,5,FALSE)-VLOOKUP($A92,main!$A$3:$I$56,6,FALSE)&gt;=VLOOKUP(56,main!$A$57:$I$59,4,FALSE)+VLOOKUP(VLOOKUP(X$1,main!$A$3:$I$56,7,FALSE),main!$K$10:$Q$14,4,FALSE),1,0)</f>
        <v>0</v>
      </c>
      <c r="Y92">
        <f>IF(VLOOKUP(Y$1,main!$A$3:$I$56,5,FALSE)-VLOOKUP($A92,main!$A$3:$I$56,6,FALSE)&gt;=VLOOKUP(56,main!$A$57:$I$59,4,FALSE)+VLOOKUP(VLOOKUP(Y$1,main!$A$3:$I$56,7,FALSE),main!$K$10:$Q$14,4,FALSE),1,0)</f>
        <v>0</v>
      </c>
      <c r="Z92">
        <f>IF(VLOOKUP(Z$1,main!$A$3:$I$56,5,FALSE)-VLOOKUP($A92,main!$A$3:$I$56,6,FALSE)&gt;=VLOOKUP(56,main!$A$57:$I$59,4,FALSE)+VLOOKUP(VLOOKUP(Z$1,main!$A$3:$I$56,7,FALSE),main!$K$10:$Q$14,4,FALSE),1,0)</f>
        <v>0</v>
      </c>
      <c r="AA92">
        <f>IF(VLOOKUP(AA$1,main!$A$3:$I$56,5,FALSE)-VLOOKUP($A92,main!$A$3:$I$56,6,FALSE)&gt;=VLOOKUP(56,main!$A$57:$I$59,4,FALSE)+VLOOKUP(VLOOKUP(AA$1,main!$A$3:$I$56,7,FALSE),main!$K$10:$Q$14,4,FALSE),1,0)</f>
        <v>0</v>
      </c>
      <c r="AB92">
        <f>IF(VLOOKUP(AB$1,main!$A$3:$I$56,5,FALSE)-VLOOKUP($A92,main!$A$3:$I$56,6,FALSE)&gt;=VLOOKUP(56,main!$A$57:$I$59,4,FALSE)+VLOOKUP(VLOOKUP(AB$1,main!$A$3:$I$56,7,FALSE),main!$K$10:$Q$14,4,FALSE),1,0)</f>
        <v>0</v>
      </c>
      <c r="AC92">
        <f>IF(VLOOKUP(AC$1,main!$A$3:$I$56,5,FALSE)-VLOOKUP($A92,main!$A$3:$I$56,6,FALSE)&gt;=VLOOKUP(56,main!$A$57:$I$59,4,FALSE)+VLOOKUP(VLOOKUP(AC$1,main!$A$3:$I$56,7,FALSE),main!$K$10:$Q$14,4,FALSE),1,0)</f>
        <v>0</v>
      </c>
      <c r="AD92">
        <f>IF(VLOOKUP(AD$1,main!$A$3:$I$56,5,FALSE)-VLOOKUP($A92,main!$A$3:$I$56,6,FALSE)&gt;=VLOOKUP(56,main!$A$57:$I$59,4,FALSE)+VLOOKUP(VLOOKUP(AD$1,main!$A$3:$I$56,7,FALSE),main!$K$10:$Q$14,4,FALSE),1,0)</f>
        <v>0</v>
      </c>
      <c r="AE92">
        <f>IF(VLOOKUP(AE$1,main!$A$3:$I$56,5,FALSE)-VLOOKUP($A92,main!$A$3:$I$56,6,FALSE)&gt;=VLOOKUP(56,main!$A$57:$I$59,4,FALSE)+VLOOKUP(VLOOKUP(AE$1,main!$A$3:$I$56,7,FALSE),main!$K$10:$Q$14,4,FALSE),1,0)</f>
        <v>0</v>
      </c>
      <c r="AF92">
        <f>IF(VLOOKUP(AF$1,main!$A$3:$I$56,5,FALSE)-VLOOKUP($A92,main!$A$3:$I$56,6,FALSE)&gt;=VLOOKUP(56,main!$A$57:$I$59,4,FALSE)+VLOOKUP(VLOOKUP(AF$1,main!$A$3:$I$56,7,FALSE),main!$K$10:$Q$14,4,FALSE),1,0)</f>
        <v>0</v>
      </c>
      <c r="AG92">
        <f>IF(VLOOKUP(AG$1,main!$A$3:$I$56,5,FALSE)-VLOOKUP($A92,main!$A$3:$I$56,6,FALSE)&gt;=VLOOKUP(56,main!$A$57:$I$59,4,FALSE)+VLOOKUP(VLOOKUP(AG$1,main!$A$3:$I$56,7,FALSE),main!$K$10:$Q$14,4,FALSE),1,0)</f>
        <v>0</v>
      </c>
      <c r="AH92">
        <f>IF(VLOOKUP(AH$1,main!$A$3:$I$56,5,FALSE)-VLOOKUP($A92,main!$A$3:$I$56,6,FALSE)&gt;=VLOOKUP(56,main!$A$57:$I$59,4,FALSE)+VLOOKUP(VLOOKUP(AH$1,main!$A$3:$I$56,7,FALSE),main!$K$10:$Q$14,4,FALSE),1,0)</f>
        <v>0</v>
      </c>
      <c r="AI92">
        <f>IF(VLOOKUP(AI$1,main!$A$3:$I$56,5,FALSE)-VLOOKUP($A92,main!$A$3:$I$56,6,FALSE)&gt;=VLOOKUP(56,main!$A$57:$I$59,4,FALSE)+VLOOKUP(VLOOKUP(AI$1,main!$A$3:$I$56,7,FALSE),main!$K$10:$Q$14,4,FALSE),1,0)</f>
        <v>0</v>
      </c>
      <c r="AJ92">
        <f>IF(VLOOKUP(AJ$1,main!$A$3:$I$56,5,FALSE)-VLOOKUP($A92,main!$A$3:$I$56,6,FALSE)&gt;=VLOOKUP(56,main!$A$57:$I$59,4,FALSE)+VLOOKUP(VLOOKUP(AJ$1,main!$A$3:$I$56,7,FALSE),main!$K$10:$Q$14,4,FALSE),1,0)</f>
        <v>0</v>
      </c>
      <c r="AK92">
        <f>IF(VLOOKUP(AK$1,main!$A$3:$I$56,5,FALSE)-VLOOKUP($A92,main!$A$3:$I$56,6,FALSE)&gt;=VLOOKUP(56,main!$A$57:$I$59,4,FALSE)+VLOOKUP(VLOOKUP(AK$1,main!$A$3:$I$56,7,FALSE),main!$K$10:$Q$14,4,FALSE),1,0)</f>
        <v>0</v>
      </c>
      <c r="AL92">
        <f>IF(VLOOKUP(AL$1,main!$A$3:$I$56,5,FALSE)-VLOOKUP($A92,main!$A$3:$I$56,6,FALSE)&gt;=VLOOKUP(56,main!$A$57:$I$59,4,FALSE)+VLOOKUP(VLOOKUP(AL$1,main!$A$3:$I$56,7,FALSE),main!$K$10:$Q$14,4,FALSE),1,0)</f>
        <v>0</v>
      </c>
      <c r="AM92">
        <f>IF(VLOOKUP(AM$1,main!$A$3:$I$56,5,FALSE)-VLOOKUP($A92,main!$A$3:$I$56,6,FALSE)&gt;=VLOOKUP(56,main!$A$57:$I$59,4,FALSE)+VLOOKUP(VLOOKUP(AM$1,main!$A$3:$I$56,7,FALSE),main!$K$10:$Q$14,4,FALSE),1,0)</f>
        <v>0</v>
      </c>
      <c r="AN92">
        <f>IF(VLOOKUP(AN$1,main!$A$3:$I$56,5,FALSE)-VLOOKUP($A92,main!$A$3:$I$56,6,FALSE)&gt;=VLOOKUP(56,main!$A$57:$I$59,4,FALSE)+VLOOKUP(VLOOKUP(AN$1,main!$A$3:$I$56,7,FALSE),main!$K$10:$Q$14,4,FALSE),1,0)</f>
        <v>0</v>
      </c>
      <c r="AO92">
        <f>IF(VLOOKUP(AO$1,main!$A$3:$I$56,5,FALSE)-VLOOKUP($A92,main!$A$3:$I$56,6,FALSE)&gt;=VLOOKUP(56,main!$A$57:$I$59,4,FALSE)+VLOOKUP(VLOOKUP(AO$1,main!$A$3:$I$56,7,FALSE),main!$K$10:$Q$14,4,FALSE),1,0)</f>
        <v>0</v>
      </c>
      <c r="AP92">
        <f>IF(VLOOKUP(AP$1,main!$A$3:$I$56,5,FALSE)-VLOOKUP($A92,main!$A$3:$I$56,6,FALSE)&gt;=VLOOKUP(56,main!$A$57:$I$59,4,FALSE)+VLOOKUP(VLOOKUP(AP$1,main!$A$3:$I$56,7,FALSE),main!$K$10:$Q$14,4,FALSE),1,0)</f>
        <v>0</v>
      </c>
      <c r="AQ92">
        <f>IF(VLOOKUP(AQ$1,main!$A$3:$I$56,5,FALSE)-VLOOKUP($A92,main!$A$3:$I$56,6,FALSE)&gt;=VLOOKUP(56,main!$A$57:$I$59,4,FALSE)+VLOOKUP(VLOOKUP(AQ$1,main!$A$3:$I$56,7,FALSE),main!$K$10:$Q$14,4,FALSE),1,0)</f>
        <v>0</v>
      </c>
      <c r="AR92">
        <f>IF(VLOOKUP(AR$1,main!$A$3:$I$56,5,FALSE)-VLOOKUP($A92,main!$A$3:$I$56,6,FALSE)&gt;=VLOOKUP(56,main!$A$57:$I$59,4,FALSE)+VLOOKUP(VLOOKUP(AR$1,main!$A$3:$I$56,7,FALSE),main!$K$10:$Q$14,4,FALSE),1,0)</f>
        <v>0</v>
      </c>
      <c r="AS92">
        <f>IF(VLOOKUP(AS$1,main!$A$3:$I$56,5,FALSE)-VLOOKUP($A92,main!$A$3:$I$56,6,FALSE)&gt;=VLOOKUP(56,main!$A$57:$I$59,4,FALSE)+VLOOKUP(VLOOKUP(AS$1,main!$A$3:$I$56,7,FALSE),main!$K$10:$Q$14,4,FALSE),1,0)</f>
        <v>0</v>
      </c>
      <c r="AT92">
        <f>IF(VLOOKUP(AT$1,main!$A$3:$I$56,5,FALSE)-VLOOKUP($A92,main!$A$3:$I$56,6,FALSE)&gt;=VLOOKUP(56,main!$A$57:$I$59,4,FALSE)+VLOOKUP(VLOOKUP(AT$1,main!$A$3:$I$56,7,FALSE),main!$K$10:$Q$14,4,FALSE),1,0)</f>
        <v>0</v>
      </c>
      <c r="AU92">
        <f>IF(VLOOKUP(AU$1,main!$A$3:$I$56,5,FALSE)-VLOOKUP($A92,main!$A$3:$I$56,6,FALSE)&gt;=VLOOKUP(56,main!$A$57:$I$59,4,FALSE)+VLOOKUP(VLOOKUP(AU$1,main!$A$3:$I$56,7,FALSE),main!$K$10:$Q$14,4,FALSE),1,0)</f>
        <v>0</v>
      </c>
      <c r="AV92">
        <f>IF(VLOOKUP(AV$1,main!$A$3:$I$56,5,FALSE)-VLOOKUP($A92,main!$A$3:$I$56,6,FALSE)&gt;=VLOOKUP(56,main!$A$57:$I$59,4,FALSE)+VLOOKUP(VLOOKUP(AV$1,main!$A$3:$I$56,7,FALSE),main!$K$10:$Q$14,4,FALSE),1,0)</f>
        <v>0</v>
      </c>
      <c r="AW92">
        <f>IF(VLOOKUP(AW$1,main!$A$3:$I$56,5,FALSE)-VLOOKUP($A92,main!$A$3:$I$56,6,FALSE)&gt;=VLOOKUP(56,main!$A$57:$I$59,4,FALSE)+VLOOKUP(VLOOKUP(AW$1,main!$A$3:$I$56,7,FALSE),main!$K$10:$Q$14,4,FALSE),1,0)</f>
        <v>0</v>
      </c>
      <c r="AX92">
        <f>IF(VLOOKUP(AX$1,main!$A$3:$I$56,5,FALSE)-VLOOKUP($A92,main!$A$3:$I$56,6,FALSE)&gt;=VLOOKUP(56,main!$A$57:$I$59,4,FALSE)+VLOOKUP(VLOOKUP(AX$1,main!$A$3:$I$56,7,FALSE),main!$K$10:$Q$14,4,FALSE),1,0)</f>
        <v>0</v>
      </c>
      <c r="AY92">
        <f>IF(VLOOKUP(AY$1,main!$A$3:$I$56,5,FALSE)-VLOOKUP($A92,main!$A$3:$I$56,6,FALSE)&gt;=VLOOKUP(56,main!$A$57:$I$59,4,FALSE)+VLOOKUP(VLOOKUP(AY$1,main!$A$3:$I$56,7,FALSE),main!$K$10:$Q$14,4,FALSE),1,0)</f>
        <v>0</v>
      </c>
      <c r="AZ92">
        <f>IF(VLOOKUP(AZ$1,main!$A$3:$I$56,5,FALSE)-VLOOKUP($A92,main!$A$3:$I$56,6,FALSE)&gt;=VLOOKUP(56,main!$A$57:$I$59,4,FALSE)+VLOOKUP(VLOOKUP(AZ$1,main!$A$3:$I$56,7,FALSE),main!$K$10:$Q$14,4,FALSE),1,0)</f>
        <v>0</v>
      </c>
      <c r="BA92">
        <f>IF(VLOOKUP(BA$1,main!$A$3:$I$56,5,FALSE)-VLOOKUP($A92,main!$A$3:$I$56,6,FALSE)&gt;=VLOOKUP(56,main!$A$57:$I$59,4,FALSE)+VLOOKUP(VLOOKUP(BA$1,main!$A$3:$I$56,7,FALSE),main!$K$10:$Q$14,4,FALSE),1,0)</f>
        <v>0</v>
      </c>
      <c r="BB92">
        <f>IF(VLOOKUP(BB$1,main!$A$3:$I$56,5,FALSE)-VLOOKUP($A92,main!$A$3:$I$56,6,FALSE)&gt;=VLOOKUP(56,main!$A$57:$I$59,4,FALSE)+VLOOKUP(VLOOKUP(BB$1,main!$A$3:$I$56,7,FALSE),main!$K$10:$Q$14,4,FALSE),1,0)</f>
        <v>0</v>
      </c>
      <c r="BC92">
        <f>IF(VLOOKUP(BC$1,main!$A$3:$I$56,5,FALSE)-VLOOKUP($A92,main!$A$3:$I$56,6,FALSE)&gt;=VLOOKUP(56,main!$A$57:$I$59,4,FALSE)+VLOOKUP(VLOOKUP(BC$1,main!$A$3:$I$56,7,FALSE),main!$K$10:$Q$14,4,FALSE),1,0)</f>
        <v>0</v>
      </c>
      <c r="BD92">
        <f>IF(VLOOKUP(BD$1,main!$A$3:$I$56,5,FALSE)-VLOOKUP($A92,main!$A$3:$I$56,6,FALSE)&gt;=VLOOKUP(56,main!$A$57:$I$59,4,FALSE)+VLOOKUP(VLOOKUP(BD$1,main!$A$3:$I$56,7,FALSE),main!$K$10:$Q$14,4,FALSE),1,0)</f>
        <v>0</v>
      </c>
    </row>
    <row r="93" spans="1:56" x14ac:dyDescent="0.25">
      <c r="A93">
        <f t="shared" si="1"/>
        <v>36</v>
      </c>
      <c r="B93">
        <v>0</v>
      </c>
      <c r="C93">
        <f>IF(VLOOKUP(C$1,main!$A$3:$I$56,5,FALSE)-VLOOKUP($A93,main!$A$3:$I$56,6,FALSE)&gt;=VLOOKUP(56,main!$A$57:$I$59,4,FALSE)+VLOOKUP(VLOOKUP(C$1,main!$A$3:$I$56,7,FALSE),main!$K$10:$Q$14,4,FALSE),1,0)</f>
        <v>0</v>
      </c>
      <c r="D93">
        <f>IF(VLOOKUP(D$1,main!$A$3:$I$56,5,FALSE)-VLOOKUP($A93,main!$A$3:$I$56,6,FALSE)&gt;=VLOOKUP(56,main!$A$57:$I$59,4,FALSE)+VLOOKUP(VLOOKUP(D$1,main!$A$3:$I$56,7,FALSE),main!$K$10:$Q$14,4,FALSE),1,0)</f>
        <v>1</v>
      </c>
      <c r="E93">
        <f>IF(VLOOKUP(E$1,main!$A$3:$I$56,5,FALSE)-VLOOKUP($A93,main!$A$3:$I$56,6,FALSE)&gt;=VLOOKUP(56,main!$A$57:$I$59,4,FALSE)+VLOOKUP(VLOOKUP(E$1,main!$A$3:$I$56,7,FALSE),main!$K$10:$Q$14,4,FALSE),1,0)</f>
        <v>1</v>
      </c>
      <c r="F93">
        <f>IF(VLOOKUP(F$1,main!$A$3:$I$56,5,FALSE)-VLOOKUP($A93,main!$A$3:$I$56,6,FALSE)&gt;=VLOOKUP(56,main!$A$57:$I$59,4,FALSE)+VLOOKUP(VLOOKUP(F$1,main!$A$3:$I$56,7,FALSE),main!$K$10:$Q$14,4,FALSE),1,0)</f>
        <v>1</v>
      </c>
      <c r="G93">
        <f>IF(VLOOKUP(G$1,main!$A$3:$I$56,5,FALSE)-VLOOKUP($A93,main!$A$3:$I$56,6,FALSE)&gt;=VLOOKUP(56,main!$A$57:$I$59,4,FALSE)+VLOOKUP(VLOOKUP(G$1,main!$A$3:$I$56,7,FALSE),main!$K$10:$Q$14,4,FALSE),1,0)</f>
        <v>1</v>
      </c>
      <c r="H93">
        <f>IF(VLOOKUP(H$1,main!$A$3:$I$56,5,FALSE)-VLOOKUP($A93,main!$A$3:$I$56,6,FALSE)&gt;=VLOOKUP(56,main!$A$57:$I$59,4,FALSE)+VLOOKUP(VLOOKUP(H$1,main!$A$3:$I$56,7,FALSE),main!$K$10:$Q$14,4,FALSE),1,0)</f>
        <v>1</v>
      </c>
      <c r="I93">
        <f>IF(VLOOKUP(I$1,main!$A$3:$I$56,5,FALSE)-VLOOKUP($A93,main!$A$3:$I$56,6,FALSE)&gt;=VLOOKUP(56,main!$A$57:$I$59,4,FALSE)+VLOOKUP(VLOOKUP(I$1,main!$A$3:$I$56,7,FALSE),main!$K$10:$Q$14,4,FALSE),1,0)</f>
        <v>1</v>
      </c>
      <c r="J93">
        <f>IF(VLOOKUP(J$1,main!$A$3:$I$56,5,FALSE)-VLOOKUP($A93,main!$A$3:$I$56,6,FALSE)&gt;=VLOOKUP(56,main!$A$57:$I$59,4,FALSE)+VLOOKUP(VLOOKUP(J$1,main!$A$3:$I$56,7,FALSE),main!$K$10:$Q$14,4,FALSE),1,0)</f>
        <v>1</v>
      </c>
      <c r="K93">
        <f>IF(VLOOKUP(K$1,main!$A$3:$I$56,5,FALSE)-VLOOKUP($A93,main!$A$3:$I$56,6,FALSE)&gt;=VLOOKUP(56,main!$A$57:$I$59,4,FALSE)+VLOOKUP(VLOOKUP(K$1,main!$A$3:$I$56,7,FALSE),main!$K$10:$Q$14,4,FALSE),1,0)</f>
        <v>0</v>
      </c>
      <c r="L93">
        <f>IF(VLOOKUP(L$1,main!$A$3:$I$56,5,FALSE)-VLOOKUP($A93,main!$A$3:$I$56,6,FALSE)&gt;=VLOOKUP(56,main!$A$57:$I$59,4,FALSE)+VLOOKUP(VLOOKUP(L$1,main!$A$3:$I$56,7,FALSE),main!$K$10:$Q$14,4,FALSE),1,0)</f>
        <v>0</v>
      </c>
      <c r="M93">
        <f>IF(VLOOKUP(M$1,main!$A$3:$I$56,5,FALSE)-VLOOKUP($A93,main!$A$3:$I$56,6,FALSE)&gt;=VLOOKUP(56,main!$A$57:$I$59,4,FALSE)+VLOOKUP(VLOOKUP(M$1,main!$A$3:$I$56,7,FALSE),main!$K$10:$Q$14,4,FALSE),1,0)</f>
        <v>1</v>
      </c>
      <c r="N93">
        <f>IF(VLOOKUP(N$1,main!$A$3:$I$56,5,FALSE)-VLOOKUP($A93,main!$A$3:$I$56,6,FALSE)&gt;=VLOOKUP(56,main!$A$57:$I$59,4,FALSE)+VLOOKUP(VLOOKUP(N$1,main!$A$3:$I$56,7,FALSE),main!$K$10:$Q$14,4,FALSE),1,0)</f>
        <v>1</v>
      </c>
      <c r="O93">
        <f>IF(VLOOKUP(O$1,main!$A$3:$I$56,5,FALSE)-VLOOKUP($A93,main!$A$3:$I$56,6,FALSE)&gt;=VLOOKUP(56,main!$A$57:$I$59,4,FALSE)+VLOOKUP(VLOOKUP(O$1,main!$A$3:$I$56,7,FALSE),main!$K$10:$Q$14,4,FALSE),1,0)</f>
        <v>1</v>
      </c>
      <c r="P93">
        <f>IF(VLOOKUP(P$1,main!$A$3:$I$56,5,FALSE)-VLOOKUP($A93,main!$A$3:$I$56,6,FALSE)&gt;=VLOOKUP(56,main!$A$57:$I$59,4,FALSE)+VLOOKUP(VLOOKUP(P$1,main!$A$3:$I$56,7,FALSE),main!$K$10:$Q$14,4,FALSE),1,0)</f>
        <v>0</v>
      </c>
      <c r="Q93">
        <f>IF(VLOOKUP(Q$1,main!$A$3:$I$56,5,FALSE)-VLOOKUP($A93,main!$A$3:$I$56,6,FALSE)&gt;=VLOOKUP(56,main!$A$57:$I$59,4,FALSE)+VLOOKUP(VLOOKUP(Q$1,main!$A$3:$I$56,7,FALSE),main!$K$10:$Q$14,4,FALSE),1,0)</f>
        <v>0</v>
      </c>
      <c r="R93">
        <f>IF(VLOOKUP(R$1,main!$A$3:$I$56,5,FALSE)-VLOOKUP($A93,main!$A$3:$I$56,6,FALSE)&gt;=VLOOKUP(56,main!$A$57:$I$59,4,FALSE)+VLOOKUP(VLOOKUP(R$1,main!$A$3:$I$56,7,FALSE),main!$K$10:$Q$14,4,FALSE),1,0)</f>
        <v>1</v>
      </c>
      <c r="S93">
        <f>IF(VLOOKUP(S$1,main!$A$3:$I$56,5,FALSE)-VLOOKUP($A93,main!$A$3:$I$56,6,FALSE)&gt;=VLOOKUP(56,main!$A$57:$I$59,4,FALSE)+VLOOKUP(VLOOKUP(S$1,main!$A$3:$I$56,7,FALSE),main!$K$10:$Q$14,4,FALSE),1,0)</f>
        <v>1</v>
      </c>
      <c r="T93">
        <f>IF(VLOOKUP(T$1,main!$A$3:$I$56,5,FALSE)-VLOOKUP($A93,main!$A$3:$I$56,6,FALSE)&gt;=VLOOKUP(56,main!$A$57:$I$59,4,FALSE)+VLOOKUP(VLOOKUP(T$1,main!$A$3:$I$56,7,FALSE),main!$K$10:$Q$14,4,FALSE),1,0)</f>
        <v>1</v>
      </c>
      <c r="U93">
        <f>IF(VLOOKUP(U$1,main!$A$3:$I$56,5,FALSE)-VLOOKUP($A93,main!$A$3:$I$56,6,FALSE)&gt;=VLOOKUP(56,main!$A$57:$I$59,4,FALSE)+VLOOKUP(VLOOKUP(U$1,main!$A$3:$I$56,7,FALSE),main!$K$10:$Q$14,4,FALSE),1,0)</f>
        <v>0</v>
      </c>
      <c r="V93">
        <f>IF(VLOOKUP(V$1,main!$A$3:$I$56,5,FALSE)-VLOOKUP($A93,main!$A$3:$I$56,6,FALSE)&gt;=VLOOKUP(56,main!$A$57:$I$59,4,FALSE)+VLOOKUP(VLOOKUP(V$1,main!$A$3:$I$56,7,FALSE),main!$K$10:$Q$14,4,FALSE),1,0)</f>
        <v>0</v>
      </c>
      <c r="W93">
        <f>IF(VLOOKUP(W$1,main!$A$3:$I$56,5,FALSE)-VLOOKUP($A93,main!$A$3:$I$56,6,FALSE)&gt;=VLOOKUP(56,main!$A$57:$I$59,4,FALSE)+VLOOKUP(VLOOKUP(W$1,main!$A$3:$I$56,7,FALSE),main!$K$10:$Q$14,4,FALSE),1,0)</f>
        <v>0</v>
      </c>
      <c r="X93">
        <f>IF(VLOOKUP(X$1,main!$A$3:$I$56,5,FALSE)-VLOOKUP($A93,main!$A$3:$I$56,6,FALSE)&gt;=VLOOKUP(56,main!$A$57:$I$59,4,FALSE)+VLOOKUP(VLOOKUP(X$1,main!$A$3:$I$56,7,FALSE),main!$K$10:$Q$14,4,FALSE),1,0)</f>
        <v>0</v>
      </c>
      <c r="Y93">
        <f>IF(VLOOKUP(Y$1,main!$A$3:$I$56,5,FALSE)-VLOOKUP($A93,main!$A$3:$I$56,6,FALSE)&gt;=VLOOKUP(56,main!$A$57:$I$59,4,FALSE)+VLOOKUP(VLOOKUP(Y$1,main!$A$3:$I$56,7,FALSE),main!$K$10:$Q$14,4,FALSE),1,0)</f>
        <v>1</v>
      </c>
      <c r="Z93">
        <f>IF(VLOOKUP(Z$1,main!$A$3:$I$56,5,FALSE)-VLOOKUP($A93,main!$A$3:$I$56,6,FALSE)&gt;=VLOOKUP(56,main!$A$57:$I$59,4,FALSE)+VLOOKUP(VLOOKUP(Z$1,main!$A$3:$I$56,7,FALSE),main!$K$10:$Q$14,4,FALSE),1,0)</f>
        <v>1</v>
      </c>
      <c r="AA93">
        <f>IF(VLOOKUP(AA$1,main!$A$3:$I$56,5,FALSE)-VLOOKUP($A93,main!$A$3:$I$56,6,FALSE)&gt;=VLOOKUP(56,main!$A$57:$I$59,4,FALSE)+VLOOKUP(VLOOKUP(AA$1,main!$A$3:$I$56,7,FALSE),main!$K$10:$Q$14,4,FALSE),1,0)</f>
        <v>1</v>
      </c>
      <c r="AB93">
        <f>IF(VLOOKUP(AB$1,main!$A$3:$I$56,5,FALSE)-VLOOKUP($A93,main!$A$3:$I$56,6,FALSE)&gt;=VLOOKUP(56,main!$A$57:$I$59,4,FALSE)+VLOOKUP(VLOOKUP(AB$1,main!$A$3:$I$56,7,FALSE),main!$K$10:$Q$14,4,FALSE),1,0)</f>
        <v>1</v>
      </c>
      <c r="AC93">
        <f>IF(VLOOKUP(AC$1,main!$A$3:$I$56,5,FALSE)-VLOOKUP($A93,main!$A$3:$I$56,6,FALSE)&gt;=VLOOKUP(56,main!$A$57:$I$59,4,FALSE)+VLOOKUP(VLOOKUP(AC$1,main!$A$3:$I$56,7,FALSE),main!$K$10:$Q$14,4,FALSE),1,0)</f>
        <v>0</v>
      </c>
      <c r="AD93">
        <f>IF(VLOOKUP(AD$1,main!$A$3:$I$56,5,FALSE)-VLOOKUP($A93,main!$A$3:$I$56,6,FALSE)&gt;=VLOOKUP(56,main!$A$57:$I$59,4,FALSE)+VLOOKUP(VLOOKUP(AD$1,main!$A$3:$I$56,7,FALSE),main!$K$10:$Q$14,4,FALSE),1,0)</f>
        <v>0</v>
      </c>
      <c r="AE93">
        <f>IF(VLOOKUP(AE$1,main!$A$3:$I$56,5,FALSE)-VLOOKUP($A93,main!$A$3:$I$56,6,FALSE)&gt;=VLOOKUP(56,main!$A$57:$I$59,4,FALSE)+VLOOKUP(VLOOKUP(AE$1,main!$A$3:$I$56,7,FALSE),main!$K$10:$Q$14,4,FALSE),1,0)</f>
        <v>0</v>
      </c>
      <c r="AF93">
        <f>IF(VLOOKUP(AF$1,main!$A$3:$I$56,5,FALSE)-VLOOKUP($A93,main!$A$3:$I$56,6,FALSE)&gt;=VLOOKUP(56,main!$A$57:$I$59,4,FALSE)+VLOOKUP(VLOOKUP(AF$1,main!$A$3:$I$56,7,FALSE),main!$K$10:$Q$14,4,FALSE),1,0)</f>
        <v>1</v>
      </c>
      <c r="AG93">
        <f>IF(VLOOKUP(AG$1,main!$A$3:$I$56,5,FALSE)-VLOOKUP($A93,main!$A$3:$I$56,6,FALSE)&gt;=VLOOKUP(56,main!$A$57:$I$59,4,FALSE)+VLOOKUP(VLOOKUP(AG$1,main!$A$3:$I$56,7,FALSE),main!$K$10:$Q$14,4,FALSE),1,0)</f>
        <v>0</v>
      </c>
      <c r="AH93">
        <f>IF(VLOOKUP(AH$1,main!$A$3:$I$56,5,FALSE)-VLOOKUP($A93,main!$A$3:$I$56,6,FALSE)&gt;=VLOOKUP(56,main!$A$57:$I$59,4,FALSE)+VLOOKUP(VLOOKUP(AH$1,main!$A$3:$I$56,7,FALSE),main!$K$10:$Q$14,4,FALSE),1,0)</f>
        <v>0</v>
      </c>
      <c r="AI93">
        <f>IF(VLOOKUP(AI$1,main!$A$3:$I$56,5,FALSE)-VLOOKUP($A93,main!$A$3:$I$56,6,FALSE)&gt;=VLOOKUP(56,main!$A$57:$I$59,4,FALSE)+VLOOKUP(VLOOKUP(AI$1,main!$A$3:$I$56,7,FALSE),main!$K$10:$Q$14,4,FALSE),1,0)</f>
        <v>0</v>
      </c>
      <c r="AJ93">
        <f>IF(VLOOKUP(AJ$1,main!$A$3:$I$56,5,FALSE)-VLOOKUP($A93,main!$A$3:$I$56,6,FALSE)&gt;=VLOOKUP(56,main!$A$57:$I$59,4,FALSE)+VLOOKUP(VLOOKUP(AJ$1,main!$A$3:$I$56,7,FALSE),main!$K$10:$Q$14,4,FALSE),1,0)</f>
        <v>1</v>
      </c>
      <c r="AK93">
        <f>IF(VLOOKUP(AK$1,main!$A$3:$I$56,5,FALSE)-VLOOKUP($A93,main!$A$3:$I$56,6,FALSE)&gt;=VLOOKUP(56,main!$A$57:$I$59,4,FALSE)+VLOOKUP(VLOOKUP(AK$1,main!$A$3:$I$56,7,FALSE),main!$K$10:$Q$14,4,FALSE),1,0)</f>
        <v>1</v>
      </c>
      <c r="AL93">
        <f>IF(VLOOKUP(AL$1,main!$A$3:$I$56,5,FALSE)-VLOOKUP($A93,main!$A$3:$I$56,6,FALSE)&gt;=VLOOKUP(56,main!$A$57:$I$59,4,FALSE)+VLOOKUP(VLOOKUP(AL$1,main!$A$3:$I$56,7,FALSE),main!$K$10:$Q$14,4,FALSE),1,0)</f>
        <v>0</v>
      </c>
      <c r="AM93">
        <f>IF(VLOOKUP(AM$1,main!$A$3:$I$56,5,FALSE)-VLOOKUP($A93,main!$A$3:$I$56,6,FALSE)&gt;=VLOOKUP(56,main!$A$57:$I$59,4,FALSE)+VLOOKUP(VLOOKUP(AM$1,main!$A$3:$I$56,7,FALSE),main!$K$10:$Q$14,4,FALSE),1,0)</f>
        <v>0</v>
      </c>
      <c r="AN93">
        <f>IF(VLOOKUP(AN$1,main!$A$3:$I$56,5,FALSE)-VLOOKUP($A93,main!$A$3:$I$56,6,FALSE)&gt;=VLOOKUP(56,main!$A$57:$I$59,4,FALSE)+VLOOKUP(VLOOKUP(AN$1,main!$A$3:$I$56,7,FALSE),main!$K$10:$Q$14,4,FALSE),1,0)</f>
        <v>1</v>
      </c>
      <c r="AO93">
        <f>IF(VLOOKUP(AO$1,main!$A$3:$I$56,5,FALSE)-VLOOKUP($A93,main!$A$3:$I$56,6,FALSE)&gt;=VLOOKUP(56,main!$A$57:$I$59,4,FALSE)+VLOOKUP(VLOOKUP(AO$1,main!$A$3:$I$56,7,FALSE),main!$K$10:$Q$14,4,FALSE),1,0)</f>
        <v>1</v>
      </c>
      <c r="AP93">
        <f>IF(VLOOKUP(AP$1,main!$A$3:$I$56,5,FALSE)-VLOOKUP($A93,main!$A$3:$I$56,6,FALSE)&gt;=VLOOKUP(56,main!$A$57:$I$59,4,FALSE)+VLOOKUP(VLOOKUP(AP$1,main!$A$3:$I$56,7,FALSE),main!$K$10:$Q$14,4,FALSE),1,0)</f>
        <v>0</v>
      </c>
      <c r="AQ93">
        <f>IF(VLOOKUP(AQ$1,main!$A$3:$I$56,5,FALSE)-VLOOKUP($A93,main!$A$3:$I$56,6,FALSE)&gt;=VLOOKUP(56,main!$A$57:$I$59,4,FALSE)+VLOOKUP(VLOOKUP(AQ$1,main!$A$3:$I$56,7,FALSE),main!$K$10:$Q$14,4,FALSE),1,0)</f>
        <v>0</v>
      </c>
      <c r="AR93">
        <f>IF(VLOOKUP(AR$1,main!$A$3:$I$56,5,FALSE)-VLOOKUP($A93,main!$A$3:$I$56,6,FALSE)&gt;=VLOOKUP(56,main!$A$57:$I$59,4,FALSE)+VLOOKUP(VLOOKUP(AR$1,main!$A$3:$I$56,7,FALSE),main!$K$10:$Q$14,4,FALSE),1,0)</f>
        <v>0</v>
      </c>
      <c r="AS93">
        <f>IF(VLOOKUP(AS$1,main!$A$3:$I$56,5,FALSE)-VLOOKUP($A93,main!$A$3:$I$56,6,FALSE)&gt;=VLOOKUP(56,main!$A$57:$I$59,4,FALSE)+VLOOKUP(VLOOKUP(AS$1,main!$A$3:$I$56,7,FALSE),main!$K$10:$Q$14,4,FALSE),1,0)</f>
        <v>0</v>
      </c>
      <c r="AT93">
        <f>IF(VLOOKUP(AT$1,main!$A$3:$I$56,5,FALSE)-VLOOKUP($A93,main!$A$3:$I$56,6,FALSE)&gt;=VLOOKUP(56,main!$A$57:$I$59,4,FALSE)+VLOOKUP(VLOOKUP(AT$1,main!$A$3:$I$56,7,FALSE),main!$K$10:$Q$14,4,FALSE),1,0)</f>
        <v>0</v>
      </c>
      <c r="AU93">
        <f>IF(VLOOKUP(AU$1,main!$A$3:$I$56,5,FALSE)-VLOOKUP($A93,main!$A$3:$I$56,6,FALSE)&gt;=VLOOKUP(56,main!$A$57:$I$59,4,FALSE)+VLOOKUP(VLOOKUP(AU$1,main!$A$3:$I$56,7,FALSE),main!$K$10:$Q$14,4,FALSE),1,0)</f>
        <v>0</v>
      </c>
      <c r="AV93">
        <f>IF(VLOOKUP(AV$1,main!$A$3:$I$56,5,FALSE)-VLOOKUP($A93,main!$A$3:$I$56,6,FALSE)&gt;=VLOOKUP(56,main!$A$57:$I$59,4,FALSE)+VLOOKUP(VLOOKUP(AV$1,main!$A$3:$I$56,7,FALSE),main!$K$10:$Q$14,4,FALSE),1,0)</f>
        <v>0</v>
      </c>
      <c r="AW93">
        <f>IF(VLOOKUP(AW$1,main!$A$3:$I$56,5,FALSE)-VLOOKUP($A93,main!$A$3:$I$56,6,FALSE)&gt;=VLOOKUP(56,main!$A$57:$I$59,4,FALSE)+VLOOKUP(VLOOKUP(AW$1,main!$A$3:$I$56,7,FALSE),main!$K$10:$Q$14,4,FALSE),1,0)</f>
        <v>0</v>
      </c>
      <c r="AX93">
        <f>IF(VLOOKUP(AX$1,main!$A$3:$I$56,5,FALSE)-VLOOKUP($A93,main!$A$3:$I$56,6,FALSE)&gt;=VLOOKUP(56,main!$A$57:$I$59,4,FALSE)+VLOOKUP(VLOOKUP(AX$1,main!$A$3:$I$56,7,FALSE),main!$K$10:$Q$14,4,FALSE),1,0)</f>
        <v>1</v>
      </c>
      <c r="AY93">
        <f>IF(VLOOKUP(AY$1,main!$A$3:$I$56,5,FALSE)-VLOOKUP($A93,main!$A$3:$I$56,6,FALSE)&gt;=VLOOKUP(56,main!$A$57:$I$59,4,FALSE)+VLOOKUP(VLOOKUP(AY$1,main!$A$3:$I$56,7,FALSE),main!$K$10:$Q$14,4,FALSE),1,0)</f>
        <v>1</v>
      </c>
      <c r="AZ93">
        <f>IF(VLOOKUP(AZ$1,main!$A$3:$I$56,5,FALSE)-VLOOKUP($A93,main!$A$3:$I$56,6,FALSE)&gt;=VLOOKUP(56,main!$A$57:$I$59,4,FALSE)+VLOOKUP(VLOOKUP(AZ$1,main!$A$3:$I$56,7,FALSE),main!$K$10:$Q$14,4,FALSE),1,0)</f>
        <v>0</v>
      </c>
      <c r="BA93">
        <f>IF(VLOOKUP(BA$1,main!$A$3:$I$56,5,FALSE)-VLOOKUP($A93,main!$A$3:$I$56,6,FALSE)&gt;=VLOOKUP(56,main!$A$57:$I$59,4,FALSE)+VLOOKUP(VLOOKUP(BA$1,main!$A$3:$I$56,7,FALSE),main!$K$10:$Q$14,4,FALSE),1,0)</f>
        <v>0</v>
      </c>
      <c r="BB93">
        <f>IF(VLOOKUP(BB$1,main!$A$3:$I$56,5,FALSE)-VLOOKUP($A93,main!$A$3:$I$56,6,FALSE)&gt;=VLOOKUP(56,main!$A$57:$I$59,4,FALSE)+VLOOKUP(VLOOKUP(BB$1,main!$A$3:$I$56,7,FALSE),main!$K$10:$Q$14,4,FALSE),1,0)</f>
        <v>0</v>
      </c>
      <c r="BC93">
        <f>IF(VLOOKUP(BC$1,main!$A$3:$I$56,5,FALSE)-VLOOKUP($A93,main!$A$3:$I$56,6,FALSE)&gt;=VLOOKUP(56,main!$A$57:$I$59,4,FALSE)+VLOOKUP(VLOOKUP(BC$1,main!$A$3:$I$56,7,FALSE),main!$K$10:$Q$14,4,FALSE),1,0)</f>
        <v>1</v>
      </c>
      <c r="BD93">
        <f>IF(VLOOKUP(BD$1,main!$A$3:$I$56,5,FALSE)-VLOOKUP($A93,main!$A$3:$I$56,6,FALSE)&gt;=VLOOKUP(56,main!$A$57:$I$59,4,FALSE)+VLOOKUP(VLOOKUP(BD$1,main!$A$3:$I$56,7,FALSE),main!$K$10:$Q$14,4,FALSE),1,0)</f>
        <v>1</v>
      </c>
    </row>
    <row r="94" spans="1:56" x14ac:dyDescent="0.25">
      <c r="A94">
        <f t="shared" si="1"/>
        <v>37</v>
      </c>
      <c r="B94">
        <v>0</v>
      </c>
      <c r="C94">
        <f>IF(VLOOKUP(C$1,main!$A$3:$I$56,5,FALSE)-VLOOKUP($A94,main!$A$3:$I$56,6,FALSE)&gt;=VLOOKUP(56,main!$A$57:$I$59,4,FALSE)+VLOOKUP(VLOOKUP(C$1,main!$A$3:$I$56,7,FALSE),main!$K$10:$Q$14,4,FALSE),1,0)</f>
        <v>0</v>
      </c>
      <c r="D94">
        <f>IF(VLOOKUP(D$1,main!$A$3:$I$56,5,FALSE)-VLOOKUP($A94,main!$A$3:$I$56,6,FALSE)&gt;=VLOOKUP(56,main!$A$57:$I$59,4,FALSE)+VLOOKUP(VLOOKUP(D$1,main!$A$3:$I$56,7,FALSE),main!$K$10:$Q$14,4,FALSE),1,0)</f>
        <v>0</v>
      </c>
      <c r="E94">
        <f>IF(VLOOKUP(E$1,main!$A$3:$I$56,5,FALSE)-VLOOKUP($A94,main!$A$3:$I$56,6,FALSE)&gt;=VLOOKUP(56,main!$A$57:$I$59,4,FALSE)+VLOOKUP(VLOOKUP(E$1,main!$A$3:$I$56,7,FALSE),main!$K$10:$Q$14,4,FALSE),1,0)</f>
        <v>0</v>
      </c>
      <c r="F94">
        <f>IF(VLOOKUP(F$1,main!$A$3:$I$56,5,FALSE)-VLOOKUP($A94,main!$A$3:$I$56,6,FALSE)&gt;=VLOOKUP(56,main!$A$57:$I$59,4,FALSE)+VLOOKUP(VLOOKUP(F$1,main!$A$3:$I$56,7,FALSE),main!$K$10:$Q$14,4,FALSE),1,0)</f>
        <v>1</v>
      </c>
      <c r="G94">
        <f>IF(VLOOKUP(G$1,main!$A$3:$I$56,5,FALSE)-VLOOKUP($A94,main!$A$3:$I$56,6,FALSE)&gt;=VLOOKUP(56,main!$A$57:$I$59,4,FALSE)+VLOOKUP(VLOOKUP(G$1,main!$A$3:$I$56,7,FALSE),main!$K$10:$Q$14,4,FALSE),1,0)</f>
        <v>1</v>
      </c>
      <c r="H94">
        <f>IF(VLOOKUP(H$1,main!$A$3:$I$56,5,FALSE)-VLOOKUP($A94,main!$A$3:$I$56,6,FALSE)&gt;=VLOOKUP(56,main!$A$57:$I$59,4,FALSE)+VLOOKUP(VLOOKUP(H$1,main!$A$3:$I$56,7,FALSE),main!$K$10:$Q$14,4,FALSE),1,0)</f>
        <v>1</v>
      </c>
      <c r="I94">
        <f>IF(VLOOKUP(I$1,main!$A$3:$I$56,5,FALSE)-VLOOKUP($A94,main!$A$3:$I$56,6,FALSE)&gt;=VLOOKUP(56,main!$A$57:$I$59,4,FALSE)+VLOOKUP(VLOOKUP(I$1,main!$A$3:$I$56,7,FALSE),main!$K$10:$Q$14,4,FALSE),1,0)</f>
        <v>1</v>
      </c>
      <c r="J94">
        <f>IF(VLOOKUP(J$1,main!$A$3:$I$56,5,FALSE)-VLOOKUP($A94,main!$A$3:$I$56,6,FALSE)&gt;=VLOOKUP(56,main!$A$57:$I$59,4,FALSE)+VLOOKUP(VLOOKUP(J$1,main!$A$3:$I$56,7,FALSE),main!$K$10:$Q$14,4,FALSE),1,0)</f>
        <v>1</v>
      </c>
      <c r="K94">
        <f>IF(VLOOKUP(K$1,main!$A$3:$I$56,5,FALSE)-VLOOKUP($A94,main!$A$3:$I$56,6,FALSE)&gt;=VLOOKUP(56,main!$A$57:$I$59,4,FALSE)+VLOOKUP(VLOOKUP(K$1,main!$A$3:$I$56,7,FALSE),main!$K$10:$Q$14,4,FALSE),1,0)</f>
        <v>0</v>
      </c>
      <c r="L94">
        <f>IF(VLOOKUP(L$1,main!$A$3:$I$56,5,FALSE)-VLOOKUP($A94,main!$A$3:$I$56,6,FALSE)&gt;=VLOOKUP(56,main!$A$57:$I$59,4,FALSE)+VLOOKUP(VLOOKUP(L$1,main!$A$3:$I$56,7,FALSE),main!$K$10:$Q$14,4,FALSE),1,0)</f>
        <v>0</v>
      </c>
      <c r="M94">
        <f>IF(VLOOKUP(M$1,main!$A$3:$I$56,5,FALSE)-VLOOKUP($A94,main!$A$3:$I$56,6,FALSE)&gt;=VLOOKUP(56,main!$A$57:$I$59,4,FALSE)+VLOOKUP(VLOOKUP(M$1,main!$A$3:$I$56,7,FALSE),main!$K$10:$Q$14,4,FALSE),1,0)</f>
        <v>0</v>
      </c>
      <c r="N94">
        <f>IF(VLOOKUP(N$1,main!$A$3:$I$56,5,FALSE)-VLOOKUP($A94,main!$A$3:$I$56,6,FALSE)&gt;=VLOOKUP(56,main!$A$57:$I$59,4,FALSE)+VLOOKUP(VLOOKUP(N$1,main!$A$3:$I$56,7,FALSE),main!$K$10:$Q$14,4,FALSE),1,0)</f>
        <v>1</v>
      </c>
      <c r="O94">
        <f>IF(VLOOKUP(O$1,main!$A$3:$I$56,5,FALSE)-VLOOKUP($A94,main!$A$3:$I$56,6,FALSE)&gt;=VLOOKUP(56,main!$A$57:$I$59,4,FALSE)+VLOOKUP(VLOOKUP(O$1,main!$A$3:$I$56,7,FALSE),main!$K$10:$Q$14,4,FALSE),1,0)</f>
        <v>1</v>
      </c>
      <c r="P94">
        <f>IF(VLOOKUP(P$1,main!$A$3:$I$56,5,FALSE)-VLOOKUP($A94,main!$A$3:$I$56,6,FALSE)&gt;=VLOOKUP(56,main!$A$57:$I$59,4,FALSE)+VLOOKUP(VLOOKUP(P$1,main!$A$3:$I$56,7,FALSE),main!$K$10:$Q$14,4,FALSE),1,0)</f>
        <v>0</v>
      </c>
      <c r="Q94">
        <f>IF(VLOOKUP(Q$1,main!$A$3:$I$56,5,FALSE)-VLOOKUP($A94,main!$A$3:$I$56,6,FALSE)&gt;=VLOOKUP(56,main!$A$57:$I$59,4,FALSE)+VLOOKUP(VLOOKUP(Q$1,main!$A$3:$I$56,7,FALSE),main!$K$10:$Q$14,4,FALSE),1,0)</f>
        <v>0</v>
      </c>
      <c r="R94">
        <f>IF(VLOOKUP(R$1,main!$A$3:$I$56,5,FALSE)-VLOOKUP($A94,main!$A$3:$I$56,6,FALSE)&gt;=VLOOKUP(56,main!$A$57:$I$59,4,FALSE)+VLOOKUP(VLOOKUP(R$1,main!$A$3:$I$56,7,FALSE),main!$K$10:$Q$14,4,FALSE),1,0)</f>
        <v>0</v>
      </c>
      <c r="S94">
        <f>IF(VLOOKUP(S$1,main!$A$3:$I$56,5,FALSE)-VLOOKUP($A94,main!$A$3:$I$56,6,FALSE)&gt;=VLOOKUP(56,main!$A$57:$I$59,4,FALSE)+VLOOKUP(VLOOKUP(S$1,main!$A$3:$I$56,7,FALSE),main!$K$10:$Q$14,4,FALSE),1,0)</f>
        <v>1</v>
      </c>
      <c r="T94">
        <f>IF(VLOOKUP(T$1,main!$A$3:$I$56,5,FALSE)-VLOOKUP($A94,main!$A$3:$I$56,6,FALSE)&gt;=VLOOKUP(56,main!$A$57:$I$59,4,FALSE)+VLOOKUP(VLOOKUP(T$1,main!$A$3:$I$56,7,FALSE),main!$K$10:$Q$14,4,FALSE),1,0)</f>
        <v>1</v>
      </c>
      <c r="U94">
        <f>IF(VLOOKUP(U$1,main!$A$3:$I$56,5,FALSE)-VLOOKUP($A94,main!$A$3:$I$56,6,FALSE)&gt;=VLOOKUP(56,main!$A$57:$I$59,4,FALSE)+VLOOKUP(VLOOKUP(U$1,main!$A$3:$I$56,7,FALSE),main!$K$10:$Q$14,4,FALSE),1,0)</f>
        <v>0</v>
      </c>
      <c r="V94">
        <f>IF(VLOOKUP(V$1,main!$A$3:$I$56,5,FALSE)-VLOOKUP($A94,main!$A$3:$I$56,6,FALSE)&gt;=VLOOKUP(56,main!$A$57:$I$59,4,FALSE)+VLOOKUP(VLOOKUP(V$1,main!$A$3:$I$56,7,FALSE),main!$K$10:$Q$14,4,FALSE),1,0)</f>
        <v>0</v>
      </c>
      <c r="W94">
        <f>IF(VLOOKUP(W$1,main!$A$3:$I$56,5,FALSE)-VLOOKUP($A94,main!$A$3:$I$56,6,FALSE)&gt;=VLOOKUP(56,main!$A$57:$I$59,4,FALSE)+VLOOKUP(VLOOKUP(W$1,main!$A$3:$I$56,7,FALSE),main!$K$10:$Q$14,4,FALSE),1,0)</f>
        <v>0</v>
      </c>
      <c r="X94">
        <f>IF(VLOOKUP(X$1,main!$A$3:$I$56,5,FALSE)-VLOOKUP($A94,main!$A$3:$I$56,6,FALSE)&gt;=VLOOKUP(56,main!$A$57:$I$59,4,FALSE)+VLOOKUP(VLOOKUP(X$1,main!$A$3:$I$56,7,FALSE),main!$K$10:$Q$14,4,FALSE),1,0)</f>
        <v>0</v>
      </c>
      <c r="Y94">
        <f>IF(VLOOKUP(Y$1,main!$A$3:$I$56,5,FALSE)-VLOOKUP($A94,main!$A$3:$I$56,6,FALSE)&gt;=VLOOKUP(56,main!$A$57:$I$59,4,FALSE)+VLOOKUP(VLOOKUP(Y$1,main!$A$3:$I$56,7,FALSE),main!$K$10:$Q$14,4,FALSE),1,0)</f>
        <v>0</v>
      </c>
      <c r="Z94">
        <f>IF(VLOOKUP(Z$1,main!$A$3:$I$56,5,FALSE)-VLOOKUP($A94,main!$A$3:$I$56,6,FALSE)&gt;=VLOOKUP(56,main!$A$57:$I$59,4,FALSE)+VLOOKUP(VLOOKUP(Z$1,main!$A$3:$I$56,7,FALSE),main!$K$10:$Q$14,4,FALSE),1,0)</f>
        <v>1</v>
      </c>
      <c r="AA94">
        <f>IF(VLOOKUP(AA$1,main!$A$3:$I$56,5,FALSE)-VLOOKUP($A94,main!$A$3:$I$56,6,FALSE)&gt;=VLOOKUP(56,main!$A$57:$I$59,4,FALSE)+VLOOKUP(VLOOKUP(AA$1,main!$A$3:$I$56,7,FALSE),main!$K$10:$Q$14,4,FALSE),1,0)</f>
        <v>1</v>
      </c>
      <c r="AB94">
        <f>IF(VLOOKUP(AB$1,main!$A$3:$I$56,5,FALSE)-VLOOKUP($A94,main!$A$3:$I$56,6,FALSE)&gt;=VLOOKUP(56,main!$A$57:$I$59,4,FALSE)+VLOOKUP(VLOOKUP(AB$1,main!$A$3:$I$56,7,FALSE),main!$K$10:$Q$14,4,FALSE),1,0)</f>
        <v>1</v>
      </c>
      <c r="AC94">
        <f>IF(VLOOKUP(AC$1,main!$A$3:$I$56,5,FALSE)-VLOOKUP($A94,main!$A$3:$I$56,6,FALSE)&gt;=VLOOKUP(56,main!$A$57:$I$59,4,FALSE)+VLOOKUP(VLOOKUP(AC$1,main!$A$3:$I$56,7,FALSE),main!$K$10:$Q$14,4,FALSE),1,0)</f>
        <v>0</v>
      </c>
      <c r="AD94">
        <f>IF(VLOOKUP(AD$1,main!$A$3:$I$56,5,FALSE)-VLOOKUP($A94,main!$A$3:$I$56,6,FALSE)&gt;=VLOOKUP(56,main!$A$57:$I$59,4,FALSE)+VLOOKUP(VLOOKUP(AD$1,main!$A$3:$I$56,7,FALSE),main!$K$10:$Q$14,4,FALSE),1,0)</f>
        <v>0</v>
      </c>
      <c r="AE94">
        <f>IF(VLOOKUP(AE$1,main!$A$3:$I$56,5,FALSE)-VLOOKUP($A94,main!$A$3:$I$56,6,FALSE)&gt;=VLOOKUP(56,main!$A$57:$I$59,4,FALSE)+VLOOKUP(VLOOKUP(AE$1,main!$A$3:$I$56,7,FALSE),main!$K$10:$Q$14,4,FALSE),1,0)</f>
        <v>0</v>
      </c>
      <c r="AF94">
        <f>IF(VLOOKUP(AF$1,main!$A$3:$I$56,5,FALSE)-VLOOKUP($A94,main!$A$3:$I$56,6,FALSE)&gt;=VLOOKUP(56,main!$A$57:$I$59,4,FALSE)+VLOOKUP(VLOOKUP(AF$1,main!$A$3:$I$56,7,FALSE),main!$K$10:$Q$14,4,FALSE),1,0)</f>
        <v>0</v>
      </c>
      <c r="AG94">
        <f>IF(VLOOKUP(AG$1,main!$A$3:$I$56,5,FALSE)-VLOOKUP($A94,main!$A$3:$I$56,6,FALSE)&gt;=VLOOKUP(56,main!$A$57:$I$59,4,FALSE)+VLOOKUP(VLOOKUP(AG$1,main!$A$3:$I$56,7,FALSE),main!$K$10:$Q$14,4,FALSE),1,0)</f>
        <v>0</v>
      </c>
      <c r="AH94">
        <f>IF(VLOOKUP(AH$1,main!$A$3:$I$56,5,FALSE)-VLOOKUP($A94,main!$A$3:$I$56,6,FALSE)&gt;=VLOOKUP(56,main!$A$57:$I$59,4,FALSE)+VLOOKUP(VLOOKUP(AH$1,main!$A$3:$I$56,7,FALSE),main!$K$10:$Q$14,4,FALSE),1,0)</f>
        <v>0</v>
      </c>
      <c r="AI94">
        <f>IF(VLOOKUP(AI$1,main!$A$3:$I$56,5,FALSE)-VLOOKUP($A94,main!$A$3:$I$56,6,FALSE)&gt;=VLOOKUP(56,main!$A$57:$I$59,4,FALSE)+VLOOKUP(VLOOKUP(AI$1,main!$A$3:$I$56,7,FALSE),main!$K$10:$Q$14,4,FALSE),1,0)</f>
        <v>0</v>
      </c>
      <c r="AJ94">
        <f>IF(VLOOKUP(AJ$1,main!$A$3:$I$56,5,FALSE)-VLOOKUP($A94,main!$A$3:$I$56,6,FALSE)&gt;=VLOOKUP(56,main!$A$57:$I$59,4,FALSE)+VLOOKUP(VLOOKUP(AJ$1,main!$A$3:$I$56,7,FALSE),main!$K$10:$Q$14,4,FALSE),1,0)</f>
        <v>0</v>
      </c>
      <c r="AK94">
        <f>IF(VLOOKUP(AK$1,main!$A$3:$I$56,5,FALSE)-VLOOKUP($A94,main!$A$3:$I$56,6,FALSE)&gt;=VLOOKUP(56,main!$A$57:$I$59,4,FALSE)+VLOOKUP(VLOOKUP(AK$1,main!$A$3:$I$56,7,FALSE),main!$K$10:$Q$14,4,FALSE),1,0)</f>
        <v>1</v>
      </c>
      <c r="AL94">
        <f>IF(VLOOKUP(AL$1,main!$A$3:$I$56,5,FALSE)-VLOOKUP($A94,main!$A$3:$I$56,6,FALSE)&gt;=VLOOKUP(56,main!$A$57:$I$59,4,FALSE)+VLOOKUP(VLOOKUP(AL$1,main!$A$3:$I$56,7,FALSE),main!$K$10:$Q$14,4,FALSE),1,0)</f>
        <v>0</v>
      </c>
      <c r="AM94">
        <f>IF(VLOOKUP(AM$1,main!$A$3:$I$56,5,FALSE)-VLOOKUP($A94,main!$A$3:$I$56,6,FALSE)&gt;=VLOOKUP(56,main!$A$57:$I$59,4,FALSE)+VLOOKUP(VLOOKUP(AM$1,main!$A$3:$I$56,7,FALSE),main!$K$10:$Q$14,4,FALSE),1,0)</f>
        <v>0</v>
      </c>
      <c r="AN94">
        <f>IF(VLOOKUP(AN$1,main!$A$3:$I$56,5,FALSE)-VLOOKUP($A94,main!$A$3:$I$56,6,FALSE)&gt;=VLOOKUP(56,main!$A$57:$I$59,4,FALSE)+VLOOKUP(VLOOKUP(AN$1,main!$A$3:$I$56,7,FALSE),main!$K$10:$Q$14,4,FALSE),1,0)</f>
        <v>0</v>
      </c>
      <c r="AO94">
        <f>IF(VLOOKUP(AO$1,main!$A$3:$I$56,5,FALSE)-VLOOKUP($A94,main!$A$3:$I$56,6,FALSE)&gt;=VLOOKUP(56,main!$A$57:$I$59,4,FALSE)+VLOOKUP(VLOOKUP(AO$1,main!$A$3:$I$56,7,FALSE),main!$K$10:$Q$14,4,FALSE),1,0)</f>
        <v>0</v>
      </c>
      <c r="AP94">
        <f>IF(VLOOKUP(AP$1,main!$A$3:$I$56,5,FALSE)-VLOOKUP($A94,main!$A$3:$I$56,6,FALSE)&gt;=VLOOKUP(56,main!$A$57:$I$59,4,FALSE)+VLOOKUP(VLOOKUP(AP$1,main!$A$3:$I$56,7,FALSE),main!$K$10:$Q$14,4,FALSE),1,0)</f>
        <v>0</v>
      </c>
      <c r="AQ94">
        <f>IF(VLOOKUP(AQ$1,main!$A$3:$I$56,5,FALSE)-VLOOKUP($A94,main!$A$3:$I$56,6,FALSE)&gt;=VLOOKUP(56,main!$A$57:$I$59,4,FALSE)+VLOOKUP(VLOOKUP(AQ$1,main!$A$3:$I$56,7,FALSE),main!$K$10:$Q$14,4,FALSE),1,0)</f>
        <v>0</v>
      </c>
      <c r="AR94">
        <f>IF(VLOOKUP(AR$1,main!$A$3:$I$56,5,FALSE)-VLOOKUP($A94,main!$A$3:$I$56,6,FALSE)&gt;=VLOOKUP(56,main!$A$57:$I$59,4,FALSE)+VLOOKUP(VLOOKUP(AR$1,main!$A$3:$I$56,7,FALSE),main!$K$10:$Q$14,4,FALSE),1,0)</f>
        <v>0</v>
      </c>
      <c r="AS94">
        <f>IF(VLOOKUP(AS$1,main!$A$3:$I$56,5,FALSE)-VLOOKUP($A94,main!$A$3:$I$56,6,FALSE)&gt;=VLOOKUP(56,main!$A$57:$I$59,4,FALSE)+VLOOKUP(VLOOKUP(AS$1,main!$A$3:$I$56,7,FALSE),main!$K$10:$Q$14,4,FALSE),1,0)</f>
        <v>0</v>
      </c>
      <c r="AT94">
        <f>IF(VLOOKUP(AT$1,main!$A$3:$I$56,5,FALSE)-VLOOKUP($A94,main!$A$3:$I$56,6,FALSE)&gt;=VLOOKUP(56,main!$A$57:$I$59,4,FALSE)+VLOOKUP(VLOOKUP(AT$1,main!$A$3:$I$56,7,FALSE),main!$K$10:$Q$14,4,FALSE),1,0)</f>
        <v>0</v>
      </c>
      <c r="AU94">
        <f>IF(VLOOKUP(AU$1,main!$A$3:$I$56,5,FALSE)-VLOOKUP($A94,main!$A$3:$I$56,6,FALSE)&gt;=VLOOKUP(56,main!$A$57:$I$59,4,FALSE)+VLOOKUP(VLOOKUP(AU$1,main!$A$3:$I$56,7,FALSE),main!$K$10:$Q$14,4,FALSE),1,0)</f>
        <v>0</v>
      </c>
      <c r="AV94">
        <f>IF(VLOOKUP(AV$1,main!$A$3:$I$56,5,FALSE)-VLOOKUP($A94,main!$A$3:$I$56,6,FALSE)&gt;=VLOOKUP(56,main!$A$57:$I$59,4,FALSE)+VLOOKUP(VLOOKUP(AV$1,main!$A$3:$I$56,7,FALSE),main!$K$10:$Q$14,4,FALSE),1,0)</f>
        <v>0</v>
      </c>
      <c r="AW94">
        <f>IF(VLOOKUP(AW$1,main!$A$3:$I$56,5,FALSE)-VLOOKUP($A94,main!$A$3:$I$56,6,FALSE)&gt;=VLOOKUP(56,main!$A$57:$I$59,4,FALSE)+VLOOKUP(VLOOKUP(AW$1,main!$A$3:$I$56,7,FALSE),main!$K$10:$Q$14,4,FALSE),1,0)</f>
        <v>0</v>
      </c>
      <c r="AX94">
        <f>IF(VLOOKUP(AX$1,main!$A$3:$I$56,5,FALSE)-VLOOKUP($A94,main!$A$3:$I$56,6,FALSE)&gt;=VLOOKUP(56,main!$A$57:$I$59,4,FALSE)+VLOOKUP(VLOOKUP(AX$1,main!$A$3:$I$56,7,FALSE),main!$K$10:$Q$14,4,FALSE),1,0)</f>
        <v>0</v>
      </c>
      <c r="AY94">
        <f>IF(VLOOKUP(AY$1,main!$A$3:$I$56,5,FALSE)-VLOOKUP($A94,main!$A$3:$I$56,6,FALSE)&gt;=VLOOKUP(56,main!$A$57:$I$59,4,FALSE)+VLOOKUP(VLOOKUP(AY$1,main!$A$3:$I$56,7,FALSE),main!$K$10:$Q$14,4,FALSE),1,0)</f>
        <v>1</v>
      </c>
      <c r="AZ94">
        <f>IF(VLOOKUP(AZ$1,main!$A$3:$I$56,5,FALSE)-VLOOKUP($A94,main!$A$3:$I$56,6,FALSE)&gt;=VLOOKUP(56,main!$A$57:$I$59,4,FALSE)+VLOOKUP(VLOOKUP(AZ$1,main!$A$3:$I$56,7,FALSE),main!$K$10:$Q$14,4,FALSE),1,0)</f>
        <v>0</v>
      </c>
      <c r="BA94">
        <f>IF(VLOOKUP(BA$1,main!$A$3:$I$56,5,FALSE)-VLOOKUP($A94,main!$A$3:$I$56,6,FALSE)&gt;=VLOOKUP(56,main!$A$57:$I$59,4,FALSE)+VLOOKUP(VLOOKUP(BA$1,main!$A$3:$I$56,7,FALSE),main!$K$10:$Q$14,4,FALSE),1,0)</f>
        <v>0</v>
      </c>
      <c r="BB94">
        <f>IF(VLOOKUP(BB$1,main!$A$3:$I$56,5,FALSE)-VLOOKUP($A94,main!$A$3:$I$56,6,FALSE)&gt;=VLOOKUP(56,main!$A$57:$I$59,4,FALSE)+VLOOKUP(VLOOKUP(BB$1,main!$A$3:$I$56,7,FALSE),main!$K$10:$Q$14,4,FALSE),1,0)</f>
        <v>0</v>
      </c>
      <c r="BC94">
        <f>IF(VLOOKUP(BC$1,main!$A$3:$I$56,5,FALSE)-VLOOKUP($A94,main!$A$3:$I$56,6,FALSE)&gt;=VLOOKUP(56,main!$A$57:$I$59,4,FALSE)+VLOOKUP(VLOOKUP(BC$1,main!$A$3:$I$56,7,FALSE),main!$K$10:$Q$14,4,FALSE),1,0)</f>
        <v>0</v>
      </c>
      <c r="BD94">
        <f>IF(VLOOKUP(BD$1,main!$A$3:$I$56,5,FALSE)-VLOOKUP($A94,main!$A$3:$I$56,6,FALSE)&gt;=VLOOKUP(56,main!$A$57:$I$59,4,FALSE)+VLOOKUP(VLOOKUP(BD$1,main!$A$3:$I$56,7,FALSE),main!$K$10:$Q$14,4,FALSE),1,0)</f>
        <v>0</v>
      </c>
    </row>
    <row r="95" spans="1:56" x14ac:dyDescent="0.25">
      <c r="A95">
        <f t="shared" si="1"/>
        <v>38</v>
      </c>
      <c r="B95">
        <v>0</v>
      </c>
      <c r="C95">
        <f>IF(VLOOKUP(C$1,main!$A$3:$I$56,5,FALSE)-VLOOKUP($A95,main!$A$3:$I$56,6,FALSE)&gt;=VLOOKUP(56,main!$A$57:$I$59,4,FALSE)+VLOOKUP(VLOOKUP(C$1,main!$A$3:$I$56,7,FALSE),main!$K$10:$Q$14,4,FALSE),1,0)</f>
        <v>0</v>
      </c>
      <c r="D95">
        <f>IF(VLOOKUP(D$1,main!$A$3:$I$56,5,FALSE)-VLOOKUP($A95,main!$A$3:$I$56,6,FALSE)&gt;=VLOOKUP(56,main!$A$57:$I$59,4,FALSE)+VLOOKUP(VLOOKUP(D$1,main!$A$3:$I$56,7,FALSE),main!$K$10:$Q$14,4,FALSE),1,0)</f>
        <v>0</v>
      </c>
      <c r="E95">
        <f>IF(VLOOKUP(E$1,main!$A$3:$I$56,5,FALSE)-VLOOKUP($A95,main!$A$3:$I$56,6,FALSE)&gt;=VLOOKUP(56,main!$A$57:$I$59,4,FALSE)+VLOOKUP(VLOOKUP(E$1,main!$A$3:$I$56,7,FALSE),main!$K$10:$Q$14,4,FALSE),1,0)</f>
        <v>0</v>
      </c>
      <c r="F95">
        <f>IF(VLOOKUP(F$1,main!$A$3:$I$56,5,FALSE)-VLOOKUP($A95,main!$A$3:$I$56,6,FALSE)&gt;=VLOOKUP(56,main!$A$57:$I$59,4,FALSE)+VLOOKUP(VLOOKUP(F$1,main!$A$3:$I$56,7,FALSE),main!$K$10:$Q$14,4,FALSE),1,0)</f>
        <v>0</v>
      </c>
      <c r="G95">
        <f>IF(VLOOKUP(G$1,main!$A$3:$I$56,5,FALSE)-VLOOKUP($A95,main!$A$3:$I$56,6,FALSE)&gt;=VLOOKUP(56,main!$A$57:$I$59,4,FALSE)+VLOOKUP(VLOOKUP(G$1,main!$A$3:$I$56,7,FALSE),main!$K$10:$Q$14,4,FALSE),1,0)</f>
        <v>0</v>
      </c>
      <c r="H95">
        <f>IF(VLOOKUP(H$1,main!$A$3:$I$56,5,FALSE)-VLOOKUP($A95,main!$A$3:$I$56,6,FALSE)&gt;=VLOOKUP(56,main!$A$57:$I$59,4,FALSE)+VLOOKUP(VLOOKUP(H$1,main!$A$3:$I$56,7,FALSE),main!$K$10:$Q$14,4,FALSE),1,0)</f>
        <v>0</v>
      </c>
      <c r="I95">
        <f>IF(VLOOKUP(I$1,main!$A$3:$I$56,5,FALSE)-VLOOKUP($A95,main!$A$3:$I$56,6,FALSE)&gt;=VLOOKUP(56,main!$A$57:$I$59,4,FALSE)+VLOOKUP(VLOOKUP(I$1,main!$A$3:$I$56,7,FALSE),main!$K$10:$Q$14,4,FALSE),1,0)</f>
        <v>1</v>
      </c>
      <c r="J95">
        <f>IF(VLOOKUP(J$1,main!$A$3:$I$56,5,FALSE)-VLOOKUP($A95,main!$A$3:$I$56,6,FALSE)&gt;=VLOOKUP(56,main!$A$57:$I$59,4,FALSE)+VLOOKUP(VLOOKUP(J$1,main!$A$3:$I$56,7,FALSE),main!$K$10:$Q$14,4,FALSE),1,0)</f>
        <v>1</v>
      </c>
      <c r="K95">
        <f>IF(VLOOKUP(K$1,main!$A$3:$I$56,5,FALSE)-VLOOKUP($A95,main!$A$3:$I$56,6,FALSE)&gt;=VLOOKUP(56,main!$A$57:$I$59,4,FALSE)+VLOOKUP(VLOOKUP(K$1,main!$A$3:$I$56,7,FALSE),main!$K$10:$Q$14,4,FALSE),1,0)</f>
        <v>0</v>
      </c>
      <c r="L95">
        <f>IF(VLOOKUP(L$1,main!$A$3:$I$56,5,FALSE)-VLOOKUP($A95,main!$A$3:$I$56,6,FALSE)&gt;=VLOOKUP(56,main!$A$57:$I$59,4,FALSE)+VLOOKUP(VLOOKUP(L$1,main!$A$3:$I$56,7,FALSE),main!$K$10:$Q$14,4,FALSE),1,0)</f>
        <v>0</v>
      </c>
      <c r="M95">
        <f>IF(VLOOKUP(M$1,main!$A$3:$I$56,5,FALSE)-VLOOKUP($A95,main!$A$3:$I$56,6,FALSE)&gt;=VLOOKUP(56,main!$A$57:$I$59,4,FALSE)+VLOOKUP(VLOOKUP(M$1,main!$A$3:$I$56,7,FALSE),main!$K$10:$Q$14,4,FALSE),1,0)</f>
        <v>0</v>
      </c>
      <c r="N95">
        <f>IF(VLOOKUP(N$1,main!$A$3:$I$56,5,FALSE)-VLOOKUP($A95,main!$A$3:$I$56,6,FALSE)&gt;=VLOOKUP(56,main!$A$57:$I$59,4,FALSE)+VLOOKUP(VLOOKUP(N$1,main!$A$3:$I$56,7,FALSE),main!$K$10:$Q$14,4,FALSE),1,0)</f>
        <v>1</v>
      </c>
      <c r="O95">
        <f>IF(VLOOKUP(O$1,main!$A$3:$I$56,5,FALSE)-VLOOKUP($A95,main!$A$3:$I$56,6,FALSE)&gt;=VLOOKUP(56,main!$A$57:$I$59,4,FALSE)+VLOOKUP(VLOOKUP(O$1,main!$A$3:$I$56,7,FALSE),main!$K$10:$Q$14,4,FALSE),1,0)</f>
        <v>1</v>
      </c>
      <c r="P95">
        <f>IF(VLOOKUP(P$1,main!$A$3:$I$56,5,FALSE)-VLOOKUP($A95,main!$A$3:$I$56,6,FALSE)&gt;=VLOOKUP(56,main!$A$57:$I$59,4,FALSE)+VLOOKUP(VLOOKUP(P$1,main!$A$3:$I$56,7,FALSE),main!$K$10:$Q$14,4,FALSE),1,0)</f>
        <v>0</v>
      </c>
      <c r="Q95">
        <f>IF(VLOOKUP(Q$1,main!$A$3:$I$56,5,FALSE)-VLOOKUP($A95,main!$A$3:$I$56,6,FALSE)&gt;=VLOOKUP(56,main!$A$57:$I$59,4,FALSE)+VLOOKUP(VLOOKUP(Q$1,main!$A$3:$I$56,7,FALSE),main!$K$10:$Q$14,4,FALSE),1,0)</f>
        <v>0</v>
      </c>
      <c r="R95">
        <f>IF(VLOOKUP(R$1,main!$A$3:$I$56,5,FALSE)-VLOOKUP($A95,main!$A$3:$I$56,6,FALSE)&gt;=VLOOKUP(56,main!$A$57:$I$59,4,FALSE)+VLOOKUP(VLOOKUP(R$1,main!$A$3:$I$56,7,FALSE),main!$K$10:$Q$14,4,FALSE),1,0)</f>
        <v>0</v>
      </c>
      <c r="S95">
        <f>IF(VLOOKUP(S$1,main!$A$3:$I$56,5,FALSE)-VLOOKUP($A95,main!$A$3:$I$56,6,FALSE)&gt;=VLOOKUP(56,main!$A$57:$I$59,4,FALSE)+VLOOKUP(VLOOKUP(S$1,main!$A$3:$I$56,7,FALSE),main!$K$10:$Q$14,4,FALSE),1,0)</f>
        <v>0</v>
      </c>
      <c r="T95">
        <f>IF(VLOOKUP(T$1,main!$A$3:$I$56,5,FALSE)-VLOOKUP($A95,main!$A$3:$I$56,6,FALSE)&gt;=VLOOKUP(56,main!$A$57:$I$59,4,FALSE)+VLOOKUP(VLOOKUP(T$1,main!$A$3:$I$56,7,FALSE),main!$K$10:$Q$14,4,FALSE),1,0)</f>
        <v>1</v>
      </c>
      <c r="U95">
        <f>IF(VLOOKUP(U$1,main!$A$3:$I$56,5,FALSE)-VLOOKUP($A95,main!$A$3:$I$56,6,FALSE)&gt;=VLOOKUP(56,main!$A$57:$I$59,4,FALSE)+VLOOKUP(VLOOKUP(U$1,main!$A$3:$I$56,7,FALSE),main!$K$10:$Q$14,4,FALSE),1,0)</f>
        <v>0</v>
      </c>
      <c r="V95">
        <f>IF(VLOOKUP(V$1,main!$A$3:$I$56,5,FALSE)-VLOOKUP($A95,main!$A$3:$I$56,6,FALSE)&gt;=VLOOKUP(56,main!$A$57:$I$59,4,FALSE)+VLOOKUP(VLOOKUP(V$1,main!$A$3:$I$56,7,FALSE),main!$K$10:$Q$14,4,FALSE),1,0)</f>
        <v>0</v>
      </c>
      <c r="W95">
        <f>IF(VLOOKUP(W$1,main!$A$3:$I$56,5,FALSE)-VLOOKUP($A95,main!$A$3:$I$56,6,FALSE)&gt;=VLOOKUP(56,main!$A$57:$I$59,4,FALSE)+VLOOKUP(VLOOKUP(W$1,main!$A$3:$I$56,7,FALSE),main!$K$10:$Q$14,4,FALSE),1,0)</f>
        <v>0</v>
      </c>
      <c r="X95">
        <f>IF(VLOOKUP(X$1,main!$A$3:$I$56,5,FALSE)-VLOOKUP($A95,main!$A$3:$I$56,6,FALSE)&gt;=VLOOKUP(56,main!$A$57:$I$59,4,FALSE)+VLOOKUP(VLOOKUP(X$1,main!$A$3:$I$56,7,FALSE),main!$K$10:$Q$14,4,FALSE),1,0)</f>
        <v>0</v>
      </c>
      <c r="Y95">
        <f>IF(VLOOKUP(Y$1,main!$A$3:$I$56,5,FALSE)-VLOOKUP($A95,main!$A$3:$I$56,6,FALSE)&gt;=VLOOKUP(56,main!$A$57:$I$59,4,FALSE)+VLOOKUP(VLOOKUP(Y$1,main!$A$3:$I$56,7,FALSE),main!$K$10:$Q$14,4,FALSE),1,0)</f>
        <v>0</v>
      </c>
      <c r="Z95">
        <f>IF(VLOOKUP(Z$1,main!$A$3:$I$56,5,FALSE)-VLOOKUP($A95,main!$A$3:$I$56,6,FALSE)&gt;=VLOOKUP(56,main!$A$57:$I$59,4,FALSE)+VLOOKUP(VLOOKUP(Z$1,main!$A$3:$I$56,7,FALSE),main!$K$10:$Q$14,4,FALSE),1,0)</f>
        <v>0</v>
      </c>
      <c r="AA95">
        <f>IF(VLOOKUP(AA$1,main!$A$3:$I$56,5,FALSE)-VLOOKUP($A95,main!$A$3:$I$56,6,FALSE)&gt;=VLOOKUP(56,main!$A$57:$I$59,4,FALSE)+VLOOKUP(VLOOKUP(AA$1,main!$A$3:$I$56,7,FALSE),main!$K$10:$Q$14,4,FALSE),1,0)</f>
        <v>0</v>
      </c>
      <c r="AB95">
        <f>IF(VLOOKUP(AB$1,main!$A$3:$I$56,5,FALSE)-VLOOKUP($A95,main!$A$3:$I$56,6,FALSE)&gt;=VLOOKUP(56,main!$A$57:$I$59,4,FALSE)+VLOOKUP(VLOOKUP(AB$1,main!$A$3:$I$56,7,FALSE),main!$K$10:$Q$14,4,FALSE),1,0)</f>
        <v>0</v>
      </c>
      <c r="AC95">
        <f>IF(VLOOKUP(AC$1,main!$A$3:$I$56,5,FALSE)-VLOOKUP($A95,main!$A$3:$I$56,6,FALSE)&gt;=VLOOKUP(56,main!$A$57:$I$59,4,FALSE)+VLOOKUP(VLOOKUP(AC$1,main!$A$3:$I$56,7,FALSE),main!$K$10:$Q$14,4,FALSE),1,0)</f>
        <v>0</v>
      </c>
      <c r="AD95">
        <f>IF(VLOOKUP(AD$1,main!$A$3:$I$56,5,FALSE)-VLOOKUP($A95,main!$A$3:$I$56,6,FALSE)&gt;=VLOOKUP(56,main!$A$57:$I$59,4,FALSE)+VLOOKUP(VLOOKUP(AD$1,main!$A$3:$I$56,7,FALSE),main!$K$10:$Q$14,4,FALSE),1,0)</f>
        <v>0</v>
      </c>
      <c r="AE95">
        <f>IF(VLOOKUP(AE$1,main!$A$3:$I$56,5,FALSE)-VLOOKUP($A95,main!$A$3:$I$56,6,FALSE)&gt;=VLOOKUP(56,main!$A$57:$I$59,4,FALSE)+VLOOKUP(VLOOKUP(AE$1,main!$A$3:$I$56,7,FALSE),main!$K$10:$Q$14,4,FALSE),1,0)</f>
        <v>0</v>
      </c>
      <c r="AF95">
        <f>IF(VLOOKUP(AF$1,main!$A$3:$I$56,5,FALSE)-VLOOKUP($A95,main!$A$3:$I$56,6,FALSE)&gt;=VLOOKUP(56,main!$A$57:$I$59,4,FALSE)+VLOOKUP(VLOOKUP(AF$1,main!$A$3:$I$56,7,FALSE),main!$K$10:$Q$14,4,FALSE),1,0)</f>
        <v>0</v>
      </c>
      <c r="AG95">
        <f>IF(VLOOKUP(AG$1,main!$A$3:$I$56,5,FALSE)-VLOOKUP($A95,main!$A$3:$I$56,6,FALSE)&gt;=VLOOKUP(56,main!$A$57:$I$59,4,FALSE)+VLOOKUP(VLOOKUP(AG$1,main!$A$3:$I$56,7,FALSE),main!$K$10:$Q$14,4,FALSE),1,0)</f>
        <v>0</v>
      </c>
      <c r="AH95">
        <f>IF(VLOOKUP(AH$1,main!$A$3:$I$56,5,FALSE)-VLOOKUP($A95,main!$A$3:$I$56,6,FALSE)&gt;=VLOOKUP(56,main!$A$57:$I$59,4,FALSE)+VLOOKUP(VLOOKUP(AH$1,main!$A$3:$I$56,7,FALSE),main!$K$10:$Q$14,4,FALSE),1,0)</f>
        <v>0</v>
      </c>
      <c r="AI95">
        <f>IF(VLOOKUP(AI$1,main!$A$3:$I$56,5,FALSE)-VLOOKUP($A95,main!$A$3:$I$56,6,FALSE)&gt;=VLOOKUP(56,main!$A$57:$I$59,4,FALSE)+VLOOKUP(VLOOKUP(AI$1,main!$A$3:$I$56,7,FALSE),main!$K$10:$Q$14,4,FALSE),1,0)</f>
        <v>0</v>
      </c>
      <c r="AJ95">
        <f>IF(VLOOKUP(AJ$1,main!$A$3:$I$56,5,FALSE)-VLOOKUP($A95,main!$A$3:$I$56,6,FALSE)&gt;=VLOOKUP(56,main!$A$57:$I$59,4,FALSE)+VLOOKUP(VLOOKUP(AJ$1,main!$A$3:$I$56,7,FALSE),main!$K$10:$Q$14,4,FALSE),1,0)</f>
        <v>0</v>
      </c>
      <c r="AK95">
        <f>IF(VLOOKUP(AK$1,main!$A$3:$I$56,5,FALSE)-VLOOKUP($A95,main!$A$3:$I$56,6,FALSE)&gt;=VLOOKUP(56,main!$A$57:$I$59,4,FALSE)+VLOOKUP(VLOOKUP(AK$1,main!$A$3:$I$56,7,FALSE),main!$K$10:$Q$14,4,FALSE),1,0)</f>
        <v>0</v>
      </c>
      <c r="AL95">
        <f>IF(VLOOKUP(AL$1,main!$A$3:$I$56,5,FALSE)-VLOOKUP($A95,main!$A$3:$I$56,6,FALSE)&gt;=VLOOKUP(56,main!$A$57:$I$59,4,FALSE)+VLOOKUP(VLOOKUP(AL$1,main!$A$3:$I$56,7,FALSE),main!$K$10:$Q$14,4,FALSE),1,0)</f>
        <v>0</v>
      </c>
      <c r="AM95">
        <f>IF(VLOOKUP(AM$1,main!$A$3:$I$56,5,FALSE)-VLOOKUP($A95,main!$A$3:$I$56,6,FALSE)&gt;=VLOOKUP(56,main!$A$57:$I$59,4,FALSE)+VLOOKUP(VLOOKUP(AM$1,main!$A$3:$I$56,7,FALSE),main!$K$10:$Q$14,4,FALSE),1,0)</f>
        <v>0</v>
      </c>
      <c r="AN95">
        <f>IF(VLOOKUP(AN$1,main!$A$3:$I$56,5,FALSE)-VLOOKUP($A95,main!$A$3:$I$56,6,FALSE)&gt;=VLOOKUP(56,main!$A$57:$I$59,4,FALSE)+VLOOKUP(VLOOKUP(AN$1,main!$A$3:$I$56,7,FALSE),main!$K$10:$Q$14,4,FALSE),1,0)</f>
        <v>0</v>
      </c>
      <c r="AO95">
        <f>IF(VLOOKUP(AO$1,main!$A$3:$I$56,5,FALSE)-VLOOKUP($A95,main!$A$3:$I$56,6,FALSE)&gt;=VLOOKUP(56,main!$A$57:$I$59,4,FALSE)+VLOOKUP(VLOOKUP(AO$1,main!$A$3:$I$56,7,FALSE),main!$K$10:$Q$14,4,FALSE),1,0)</f>
        <v>0</v>
      </c>
      <c r="AP95">
        <f>IF(VLOOKUP(AP$1,main!$A$3:$I$56,5,FALSE)-VLOOKUP($A95,main!$A$3:$I$56,6,FALSE)&gt;=VLOOKUP(56,main!$A$57:$I$59,4,FALSE)+VLOOKUP(VLOOKUP(AP$1,main!$A$3:$I$56,7,FALSE),main!$K$10:$Q$14,4,FALSE),1,0)</f>
        <v>0</v>
      </c>
      <c r="AQ95">
        <f>IF(VLOOKUP(AQ$1,main!$A$3:$I$56,5,FALSE)-VLOOKUP($A95,main!$A$3:$I$56,6,FALSE)&gt;=VLOOKUP(56,main!$A$57:$I$59,4,FALSE)+VLOOKUP(VLOOKUP(AQ$1,main!$A$3:$I$56,7,FALSE),main!$K$10:$Q$14,4,FALSE),1,0)</f>
        <v>0</v>
      </c>
      <c r="AR95">
        <f>IF(VLOOKUP(AR$1,main!$A$3:$I$56,5,FALSE)-VLOOKUP($A95,main!$A$3:$I$56,6,FALSE)&gt;=VLOOKUP(56,main!$A$57:$I$59,4,FALSE)+VLOOKUP(VLOOKUP(AR$1,main!$A$3:$I$56,7,FALSE),main!$K$10:$Q$14,4,FALSE),1,0)</f>
        <v>0</v>
      </c>
      <c r="AS95">
        <f>IF(VLOOKUP(AS$1,main!$A$3:$I$56,5,FALSE)-VLOOKUP($A95,main!$A$3:$I$56,6,FALSE)&gt;=VLOOKUP(56,main!$A$57:$I$59,4,FALSE)+VLOOKUP(VLOOKUP(AS$1,main!$A$3:$I$56,7,FALSE),main!$K$10:$Q$14,4,FALSE),1,0)</f>
        <v>0</v>
      </c>
      <c r="AT95">
        <f>IF(VLOOKUP(AT$1,main!$A$3:$I$56,5,FALSE)-VLOOKUP($A95,main!$A$3:$I$56,6,FALSE)&gt;=VLOOKUP(56,main!$A$57:$I$59,4,FALSE)+VLOOKUP(VLOOKUP(AT$1,main!$A$3:$I$56,7,FALSE),main!$K$10:$Q$14,4,FALSE),1,0)</f>
        <v>0</v>
      </c>
      <c r="AU95">
        <f>IF(VLOOKUP(AU$1,main!$A$3:$I$56,5,FALSE)-VLOOKUP($A95,main!$A$3:$I$56,6,FALSE)&gt;=VLOOKUP(56,main!$A$57:$I$59,4,FALSE)+VLOOKUP(VLOOKUP(AU$1,main!$A$3:$I$56,7,FALSE),main!$K$10:$Q$14,4,FALSE),1,0)</f>
        <v>0</v>
      </c>
      <c r="AV95">
        <f>IF(VLOOKUP(AV$1,main!$A$3:$I$56,5,FALSE)-VLOOKUP($A95,main!$A$3:$I$56,6,FALSE)&gt;=VLOOKUP(56,main!$A$57:$I$59,4,FALSE)+VLOOKUP(VLOOKUP(AV$1,main!$A$3:$I$56,7,FALSE),main!$K$10:$Q$14,4,FALSE),1,0)</f>
        <v>0</v>
      </c>
      <c r="AW95">
        <f>IF(VLOOKUP(AW$1,main!$A$3:$I$56,5,FALSE)-VLOOKUP($A95,main!$A$3:$I$56,6,FALSE)&gt;=VLOOKUP(56,main!$A$57:$I$59,4,FALSE)+VLOOKUP(VLOOKUP(AW$1,main!$A$3:$I$56,7,FALSE),main!$K$10:$Q$14,4,FALSE),1,0)</f>
        <v>0</v>
      </c>
      <c r="AX95">
        <f>IF(VLOOKUP(AX$1,main!$A$3:$I$56,5,FALSE)-VLOOKUP($A95,main!$A$3:$I$56,6,FALSE)&gt;=VLOOKUP(56,main!$A$57:$I$59,4,FALSE)+VLOOKUP(VLOOKUP(AX$1,main!$A$3:$I$56,7,FALSE),main!$K$10:$Q$14,4,FALSE),1,0)</f>
        <v>0</v>
      </c>
      <c r="AY95">
        <f>IF(VLOOKUP(AY$1,main!$A$3:$I$56,5,FALSE)-VLOOKUP($A95,main!$A$3:$I$56,6,FALSE)&gt;=VLOOKUP(56,main!$A$57:$I$59,4,FALSE)+VLOOKUP(VLOOKUP(AY$1,main!$A$3:$I$56,7,FALSE),main!$K$10:$Q$14,4,FALSE),1,0)</f>
        <v>0</v>
      </c>
      <c r="AZ95">
        <f>IF(VLOOKUP(AZ$1,main!$A$3:$I$56,5,FALSE)-VLOOKUP($A95,main!$A$3:$I$56,6,FALSE)&gt;=VLOOKUP(56,main!$A$57:$I$59,4,FALSE)+VLOOKUP(VLOOKUP(AZ$1,main!$A$3:$I$56,7,FALSE),main!$K$10:$Q$14,4,FALSE),1,0)</f>
        <v>0</v>
      </c>
      <c r="BA95">
        <f>IF(VLOOKUP(BA$1,main!$A$3:$I$56,5,FALSE)-VLOOKUP($A95,main!$A$3:$I$56,6,FALSE)&gt;=VLOOKUP(56,main!$A$57:$I$59,4,FALSE)+VLOOKUP(VLOOKUP(BA$1,main!$A$3:$I$56,7,FALSE),main!$K$10:$Q$14,4,FALSE),1,0)</f>
        <v>0</v>
      </c>
      <c r="BB95">
        <f>IF(VLOOKUP(BB$1,main!$A$3:$I$56,5,FALSE)-VLOOKUP($A95,main!$A$3:$I$56,6,FALSE)&gt;=VLOOKUP(56,main!$A$57:$I$59,4,FALSE)+VLOOKUP(VLOOKUP(BB$1,main!$A$3:$I$56,7,FALSE),main!$K$10:$Q$14,4,FALSE),1,0)</f>
        <v>0</v>
      </c>
      <c r="BC95">
        <f>IF(VLOOKUP(BC$1,main!$A$3:$I$56,5,FALSE)-VLOOKUP($A95,main!$A$3:$I$56,6,FALSE)&gt;=VLOOKUP(56,main!$A$57:$I$59,4,FALSE)+VLOOKUP(VLOOKUP(BC$1,main!$A$3:$I$56,7,FALSE),main!$K$10:$Q$14,4,FALSE),1,0)</f>
        <v>0</v>
      </c>
      <c r="BD95">
        <f>IF(VLOOKUP(BD$1,main!$A$3:$I$56,5,FALSE)-VLOOKUP($A95,main!$A$3:$I$56,6,FALSE)&gt;=VLOOKUP(56,main!$A$57:$I$59,4,FALSE)+VLOOKUP(VLOOKUP(BD$1,main!$A$3:$I$56,7,FALSE),main!$K$10:$Q$14,4,FALSE),1,0)</f>
        <v>0</v>
      </c>
    </row>
    <row r="96" spans="1:56" x14ac:dyDescent="0.25">
      <c r="A96">
        <f t="shared" si="1"/>
        <v>39</v>
      </c>
      <c r="B96">
        <v>0</v>
      </c>
      <c r="C96">
        <f>IF(VLOOKUP(C$1,main!$A$3:$I$56,5,FALSE)-VLOOKUP($A96,main!$A$3:$I$56,6,FALSE)&gt;=VLOOKUP(56,main!$A$57:$I$59,4,FALSE)+VLOOKUP(VLOOKUP(C$1,main!$A$3:$I$56,7,FALSE),main!$K$10:$Q$14,4,FALSE),1,0)</f>
        <v>0</v>
      </c>
      <c r="D96">
        <f>IF(VLOOKUP(D$1,main!$A$3:$I$56,5,FALSE)-VLOOKUP($A96,main!$A$3:$I$56,6,FALSE)&gt;=VLOOKUP(56,main!$A$57:$I$59,4,FALSE)+VLOOKUP(VLOOKUP(D$1,main!$A$3:$I$56,7,FALSE),main!$K$10:$Q$14,4,FALSE),1,0)</f>
        <v>0</v>
      </c>
      <c r="E96">
        <f>IF(VLOOKUP(E$1,main!$A$3:$I$56,5,FALSE)-VLOOKUP($A96,main!$A$3:$I$56,6,FALSE)&gt;=VLOOKUP(56,main!$A$57:$I$59,4,FALSE)+VLOOKUP(VLOOKUP(E$1,main!$A$3:$I$56,7,FALSE),main!$K$10:$Q$14,4,FALSE),1,0)</f>
        <v>0</v>
      </c>
      <c r="F96">
        <f>IF(VLOOKUP(F$1,main!$A$3:$I$56,5,FALSE)-VLOOKUP($A96,main!$A$3:$I$56,6,FALSE)&gt;=VLOOKUP(56,main!$A$57:$I$59,4,FALSE)+VLOOKUP(VLOOKUP(F$1,main!$A$3:$I$56,7,FALSE),main!$K$10:$Q$14,4,FALSE),1,0)</f>
        <v>0</v>
      </c>
      <c r="G96">
        <f>IF(VLOOKUP(G$1,main!$A$3:$I$56,5,FALSE)-VLOOKUP($A96,main!$A$3:$I$56,6,FALSE)&gt;=VLOOKUP(56,main!$A$57:$I$59,4,FALSE)+VLOOKUP(VLOOKUP(G$1,main!$A$3:$I$56,7,FALSE),main!$K$10:$Q$14,4,FALSE),1,0)</f>
        <v>0</v>
      </c>
      <c r="H96">
        <f>IF(VLOOKUP(H$1,main!$A$3:$I$56,5,FALSE)-VLOOKUP($A96,main!$A$3:$I$56,6,FALSE)&gt;=VLOOKUP(56,main!$A$57:$I$59,4,FALSE)+VLOOKUP(VLOOKUP(H$1,main!$A$3:$I$56,7,FALSE),main!$K$10:$Q$14,4,FALSE),1,0)</f>
        <v>0</v>
      </c>
      <c r="I96">
        <f>IF(VLOOKUP(I$1,main!$A$3:$I$56,5,FALSE)-VLOOKUP($A96,main!$A$3:$I$56,6,FALSE)&gt;=VLOOKUP(56,main!$A$57:$I$59,4,FALSE)+VLOOKUP(VLOOKUP(I$1,main!$A$3:$I$56,7,FALSE),main!$K$10:$Q$14,4,FALSE),1,0)</f>
        <v>0</v>
      </c>
      <c r="J96">
        <f>IF(VLOOKUP(J$1,main!$A$3:$I$56,5,FALSE)-VLOOKUP($A96,main!$A$3:$I$56,6,FALSE)&gt;=VLOOKUP(56,main!$A$57:$I$59,4,FALSE)+VLOOKUP(VLOOKUP(J$1,main!$A$3:$I$56,7,FALSE),main!$K$10:$Q$14,4,FALSE),1,0)</f>
        <v>1</v>
      </c>
      <c r="K96">
        <f>IF(VLOOKUP(K$1,main!$A$3:$I$56,5,FALSE)-VLOOKUP($A96,main!$A$3:$I$56,6,FALSE)&gt;=VLOOKUP(56,main!$A$57:$I$59,4,FALSE)+VLOOKUP(VLOOKUP(K$1,main!$A$3:$I$56,7,FALSE),main!$K$10:$Q$14,4,FALSE),1,0)</f>
        <v>0</v>
      </c>
      <c r="L96">
        <f>IF(VLOOKUP(L$1,main!$A$3:$I$56,5,FALSE)-VLOOKUP($A96,main!$A$3:$I$56,6,FALSE)&gt;=VLOOKUP(56,main!$A$57:$I$59,4,FALSE)+VLOOKUP(VLOOKUP(L$1,main!$A$3:$I$56,7,FALSE),main!$K$10:$Q$14,4,FALSE),1,0)</f>
        <v>0</v>
      </c>
      <c r="M96">
        <f>IF(VLOOKUP(M$1,main!$A$3:$I$56,5,FALSE)-VLOOKUP($A96,main!$A$3:$I$56,6,FALSE)&gt;=VLOOKUP(56,main!$A$57:$I$59,4,FALSE)+VLOOKUP(VLOOKUP(M$1,main!$A$3:$I$56,7,FALSE),main!$K$10:$Q$14,4,FALSE),1,0)</f>
        <v>0</v>
      </c>
      <c r="N96">
        <f>IF(VLOOKUP(N$1,main!$A$3:$I$56,5,FALSE)-VLOOKUP($A96,main!$A$3:$I$56,6,FALSE)&gt;=VLOOKUP(56,main!$A$57:$I$59,4,FALSE)+VLOOKUP(VLOOKUP(N$1,main!$A$3:$I$56,7,FALSE),main!$K$10:$Q$14,4,FALSE),1,0)</f>
        <v>1</v>
      </c>
      <c r="O96">
        <f>IF(VLOOKUP(O$1,main!$A$3:$I$56,5,FALSE)-VLOOKUP($A96,main!$A$3:$I$56,6,FALSE)&gt;=VLOOKUP(56,main!$A$57:$I$59,4,FALSE)+VLOOKUP(VLOOKUP(O$1,main!$A$3:$I$56,7,FALSE),main!$K$10:$Q$14,4,FALSE),1,0)</f>
        <v>1</v>
      </c>
      <c r="P96">
        <f>IF(VLOOKUP(P$1,main!$A$3:$I$56,5,FALSE)-VLOOKUP($A96,main!$A$3:$I$56,6,FALSE)&gt;=VLOOKUP(56,main!$A$57:$I$59,4,FALSE)+VLOOKUP(VLOOKUP(P$1,main!$A$3:$I$56,7,FALSE),main!$K$10:$Q$14,4,FALSE),1,0)</f>
        <v>0</v>
      </c>
      <c r="Q96">
        <f>IF(VLOOKUP(Q$1,main!$A$3:$I$56,5,FALSE)-VLOOKUP($A96,main!$A$3:$I$56,6,FALSE)&gt;=VLOOKUP(56,main!$A$57:$I$59,4,FALSE)+VLOOKUP(VLOOKUP(Q$1,main!$A$3:$I$56,7,FALSE),main!$K$10:$Q$14,4,FALSE),1,0)</f>
        <v>0</v>
      </c>
      <c r="R96">
        <f>IF(VLOOKUP(R$1,main!$A$3:$I$56,5,FALSE)-VLOOKUP($A96,main!$A$3:$I$56,6,FALSE)&gt;=VLOOKUP(56,main!$A$57:$I$59,4,FALSE)+VLOOKUP(VLOOKUP(R$1,main!$A$3:$I$56,7,FALSE),main!$K$10:$Q$14,4,FALSE),1,0)</f>
        <v>0</v>
      </c>
      <c r="S96">
        <f>IF(VLOOKUP(S$1,main!$A$3:$I$56,5,FALSE)-VLOOKUP($A96,main!$A$3:$I$56,6,FALSE)&gt;=VLOOKUP(56,main!$A$57:$I$59,4,FALSE)+VLOOKUP(VLOOKUP(S$1,main!$A$3:$I$56,7,FALSE),main!$K$10:$Q$14,4,FALSE),1,0)</f>
        <v>0</v>
      </c>
      <c r="T96">
        <f>IF(VLOOKUP(T$1,main!$A$3:$I$56,5,FALSE)-VLOOKUP($A96,main!$A$3:$I$56,6,FALSE)&gt;=VLOOKUP(56,main!$A$57:$I$59,4,FALSE)+VLOOKUP(VLOOKUP(T$1,main!$A$3:$I$56,7,FALSE),main!$K$10:$Q$14,4,FALSE),1,0)</f>
        <v>0</v>
      </c>
      <c r="U96">
        <f>IF(VLOOKUP(U$1,main!$A$3:$I$56,5,FALSE)-VLOOKUP($A96,main!$A$3:$I$56,6,FALSE)&gt;=VLOOKUP(56,main!$A$57:$I$59,4,FALSE)+VLOOKUP(VLOOKUP(U$1,main!$A$3:$I$56,7,FALSE),main!$K$10:$Q$14,4,FALSE),1,0)</f>
        <v>0</v>
      </c>
      <c r="V96">
        <f>IF(VLOOKUP(V$1,main!$A$3:$I$56,5,FALSE)-VLOOKUP($A96,main!$A$3:$I$56,6,FALSE)&gt;=VLOOKUP(56,main!$A$57:$I$59,4,FALSE)+VLOOKUP(VLOOKUP(V$1,main!$A$3:$I$56,7,FALSE),main!$K$10:$Q$14,4,FALSE),1,0)</f>
        <v>0</v>
      </c>
      <c r="W96">
        <f>IF(VLOOKUP(W$1,main!$A$3:$I$56,5,FALSE)-VLOOKUP($A96,main!$A$3:$I$56,6,FALSE)&gt;=VLOOKUP(56,main!$A$57:$I$59,4,FALSE)+VLOOKUP(VLOOKUP(W$1,main!$A$3:$I$56,7,FALSE),main!$K$10:$Q$14,4,FALSE),1,0)</f>
        <v>0</v>
      </c>
      <c r="X96">
        <f>IF(VLOOKUP(X$1,main!$A$3:$I$56,5,FALSE)-VLOOKUP($A96,main!$A$3:$I$56,6,FALSE)&gt;=VLOOKUP(56,main!$A$57:$I$59,4,FALSE)+VLOOKUP(VLOOKUP(X$1,main!$A$3:$I$56,7,FALSE),main!$K$10:$Q$14,4,FALSE),1,0)</f>
        <v>0</v>
      </c>
      <c r="Y96">
        <f>IF(VLOOKUP(Y$1,main!$A$3:$I$56,5,FALSE)-VLOOKUP($A96,main!$A$3:$I$56,6,FALSE)&gt;=VLOOKUP(56,main!$A$57:$I$59,4,FALSE)+VLOOKUP(VLOOKUP(Y$1,main!$A$3:$I$56,7,FALSE),main!$K$10:$Q$14,4,FALSE),1,0)</f>
        <v>0</v>
      </c>
      <c r="Z96">
        <f>IF(VLOOKUP(Z$1,main!$A$3:$I$56,5,FALSE)-VLOOKUP($A96,main!$A$3:$I$56,6,FALSE)&gt;=VLOOKUP(56,main!$A$57:$I$59,4,FALSE)+VLOOKUP(VLOOKUP(Z$1,main!$A$3:$I$56,7,FALSE),main!$K$10:$Q$14,4,FALSE),1,0)</f>
        <v>0</v>
      </c>
      <c r="AA96">
        <f>IF(VLOOKUP(AA$1,main!$A$3:$I$56,5,FALSE)-VLOOKUP($A96,main!$A$3:$I$56,6,FALSE)&gt;=VLOOKUP(56,main!$A$57:$I$59,4,FALSE)+VLOOKUP(VLOOKUP(AA$1,main!$A$3:$I$56,7,FALSE),main!$K$10:$Q$14,4,FALSE),1,0)</f>
        <v>0</v>
      </c>
      <c r="AB96">
        <f>IF(VLOOKUP(AB$1,main!$A$3:$I$56,5,FALSE)-VLOOKUP($A96,main!$A$3:$I$56,6,FALSE)&gt;=VLOOKUP(56,main!$A$57:$I$59,4,FALSE)+VLOOKUP(VLOOKUP(AB$1,main!$A$3:$I$56,7,FALSE),main!$K$10:$Q$14,4,FALSE),1,0)</f>
        <v>0</v>
      </c>
      <c r="AC96">
        <f>IF(VLOOKUP(AC$1,main!$A$3:$I$56,5,FALSE)-VLOOKUP($A96,main!$A$3:$I$56,6,FALSE)&gt;=VLOOKUP(56,main!$A$57:$I$59,4,FALSE)+VLOOKUP(VLOOKUP(AC$1,main!$A$3:$I$56,7,FALSE),main!$K$10:$Q$14,4,FALSE),1,0)</f>
        <v>0</v>
      </c>
      <c r="AD96">
        <f>IF(VLOOKUP(AD$1,main!$A$3:$I$56,5,FALSE)-VLOOKUP($A96,main!$A$3:$I$56,6,FALSE)&gt;=VLOOKUP(56,main!$A$57:$I$59,4,FALSE)+VLOOKUP(VLOOKUP(AD$1,main!$A$3:$I$56,7,FALSE),main!$K$10:$Q$14,4,FALSE),1,0)</f>
        <v>0</v>
      </c>
      <c r="AE96">
        <f>IF(VLOOKUP(AE$1,main!$A$3:$I$56,5,FALSE)-VLOOKUP($A96,main!$A$3:$I$56,6,FALSE)&gt;=VLOOKUP(56,main!$A$57:$I$59,4,FALSE)+VLOOKUP(VLOOKUP(AE$1,main!$A$3:$I$56,7,FALSE),main!$K$10:$Q$14,4,FALSE),1,0)</f>
        <v>0</v>
      </c>
      <c r="AF96">
        <f>IF(VLOOKUP(AF$1,main!$A$3:$I$56,5,FALSE)-VLOOKUP($A96,main!$A$3:$I$56,6,FALSE)&gt;=VLOOKUP(56,main!$A$57:$I$59,4,FALSE)+VLOOKUP(VLOOKUP(AF$1,main!$A$3:$I$56,7,FALSE),main!$K$10:$Q$14,4,FALSE),1,0)</f>
        <v>0</v>
      </c>
      <c r="AG96">
        <f>IF(VLOOKUP(AG$1,main!$A$3:$I$56,5,FALSE)-VLOOKUP($A96,main!$A$3:$I$56,6,FALSE)&gt;=VLOOKUP(56,main!$A$57:$I$59,4,FALSE)+VLOOKUP(VLOOKUP(AG$1,main!$A$3:$I$56,7,FALSE),main!$K$10:$Q$14,4,FALSE),1,0)</f>
        <v>0</v>
      </c>
      <c r="AH96">
        <f>IF(VLOOKUP(AH$1,main!$A$3:$I$56,5,FALSE)-VLOOKUP($A96,main!$A$3:$I$56,6,FALSE)&gt;=VLOOKUP(56,main!$A$57:$I$59,4,FALSE)+VLOOKUP(VLOOKUP(AH$1,main!$A$3:$I$56,7,FALSE),main!$K$10:$Q$14,4,FALSE),1,0)</f>
        <v>0</v>
      </c>
      <c r="AI96">
        <f>IF(VLOOKUP(AI$1,main!$A$3:$I$56,5,FALSE)-VLOOKUP($A96,main!$A$3:$I$56,6,FALSE)&gt;=VLOOKUP(56,main!$A$57:$I$59,4,FALSE)+VLOOKUP(VLOOKUP(AI$1,main!$A$3:$I$56,7,FALSE),main!$K$10:$Q$14,4,FALSE),1,0)</f>
        <v>0</v>
      </c>
      <c r="AJ96">
        <f>IF(VLOOKUP(AJ$1,main!$A$3:$I$56,5,FALSE)-VLOOKUP($A96,main!$A$3:$I$56,6,FALSE)&gt;=VLOOKUP(56,main!$A$57:$I$59,4,FALSE)+VLOOKUP(VLOOKUP(AJ$1,main!$A$3:$I$56,7,FALSE),main!$K$10:$Q$14,4,FALSE),1,0)</f>
        <v>0</v>
      </c>
      <c r="AK96">
        <f>IF(VLOOKUP(AK$1,main!$A$3:$I$56,5,FALSE)-VLOOKUP($A96,main!$A$3:$I$56,6,FALSE)&gt;=VLOOKUP(56,main!$A$57:$I$59,4,FALSE)+VLOOKUP(VLOOKUP(AK$1,main!$A$3:$I$56,7,FALSE),main!$K$10:$Q$14,4,FALSE),1,0)</f>
        <v>0</v>
      </c>
      <c r="AL96">
        <f>IF(VLOOKUP(AL$1,main!$A$3:$I$56,5,FALSE)-VLOOKUP($A96,main!$A$3:$I$56,6,FALSE)&gt;=VLOOKUP(56,main!$A$57:$I$59,4,FALSE)+VLOOKUP(VLOOKUP(AL$1,main!$A$3:$I$56,7,FALSE),main!$K$10:$Q$14,4,FALSE),1,0)</f>
        <v>0</v>
      </c>
      <c r="AM96">
        <f>IF(VLOOKUP(AM$1,main!$A$3:$I$56,5,FALSE)-VLOOKUP($A96,main!$A$3:$I$56,6,FALSE)&gt;=VLOOKUP(56,main!$A$57:$I$59,4,FALSE)+VLOOKUP(VLOOKUP(AM$1,main!$A$3:$I$56,7,FALSE),main!$K$10:$Q$14,4,FALSE),1,0)</f>
        <v>0</v>
      </c>
      <c r="AN96">
        <f>IF(VLOOKUP(AN$1,main!$A$3:$I$56,5,FALSE)-VLOOKUP($A96,main!$A$3:$I$56,6,FALSE)&gt;=VLOOKUP(56,main!$A$57:$I$59,4,FALSE)+VLOOKUP(VLOOKUP(AN$1,main!$A$3:$I$56,7,FALSE),main!$K$10:$Q$14,4,FALSE),1,0)</f>
        <v>0</v>
      </c>
      <c r="AO96">
        <f>IF(VLOOKUP(AO$1,main!$A$3:$I$56,5,FALSE)-VLOOKUP($A96,main!$A$3:$I$56,6,FALSE)&gt;=VLOOKUP(56,main!$A$57:$I$59,4,FALSE)+VLOOKUP(VLOOKUP(AO$1,main!$A$3:$I$56,7,FALSE),main!$K$10:$Q$14,4,FALSE),1,0)</f>
        <v>0</v>
      </c>
      <c r="AP96">
        <f>IF(VLOOKUP(AP$1,main!$A$3:$I$56,5,FALSE)-VLOOKUP($A96,main!$A$3:$I$56,6,FALSE)&gt;=VLOOKUP(56,main!$A$57:$I$59,4,FALSE)+VLOOKUP(VLOOKUP(AP$1,main!$A$3:$I$56,7,FALSE),main!$K$10:$Q$14,4,FALSE),1,0)</f>
        <v>0</v>
      </c>
      <c r="AQ96">
        <f>IF(VLOOKUP(AQ$1,main!$A$3:$I$56,5,FALSE)-VLOOKUP($A96,main!$A$3:$I$56,6,FALSE)&gt;=VLOOKUP(56,main!$A$57:$I$59,4,FALSE)+VLOOKUP(VLOOKUP(AQ$1,main!$A$3:$I$56,7,FALSE),main!$K$10:$Q$14,4,FALSE),1,0)</f>
        <v>0</v>
      </c>
      <c r="AR96">
        <f>IF(VLOOKUP(AR$1,main!$A$3:$I$56,5,FALSE)-VLOOKUP($A96,main!$A$3:$I$56,6,FALSE)&gt;=VLOOKUP(56,main!$A$57:$I$59,4,FALSE)+VLOOKUP(VLOOKUP(AR$1,main!$A$3:$I$56,7,FALSE),main!$K$10:$Q$14,4,FALSE),1,0)</f>
        <v>0</v>
      </c>
      <c r="AS96">
        <f>IF(VLOOKUP(AS$1,main!$A$3:$I$56,5,FALSE)-VLOOKUP($A96,main!$A$3:$I$56,6,FALSE)&gt;=VLOOKUP(56,main!$A$57:$I$59,4,FALSE)+VLOOKUP(VLOOKUP(AS$1,main!$A$3:$I$56,7,FALSE),main!$K$10:$Q$14,4,FALSE),1,0)</f>
        <v>0</v>
      </c>
      <c r="AT96">
        <f>IF(VLOOKUP(AT$1,main!$A$3:$I$56,5,FALSE)-VLOOKUP($A96,main!$A$3:$I$56,6,FALSE)&gt;=VLOOKUP(56,main!$A$57:$I$59,4,FALSE)+VLOOKUP(VLOOKUP(AT$1,main!$A$3:$I$56,7,FALSE),main!$K$10:$Q$14,4,FALSE),1,0)</f>
        <v>0</v>
      </c>
      <c r="AU96">
        <f>IF(VLOOKUP(AU$1,main!$A$3:$I$56,5,FALSE)-VLOOKUP($A96,main!$A$3:$I$56,6,FALSE)&gt;=VLOOKUP(56,main!$A$57:$I$59,4,FALSE)+VLOOKUP(VLOOKUP(AU$1,main!$A$3:$I$56,7,FALSE),main!$K$10:$Q$14,4,FALSE),1,0)</f>
        <v>0</v>
      </c>
      <c r="AV96">
        <f>IF(VLOOKUP(AV$1,main!$A$3:$I$56,5,FALSE)-VLOOKUP($A96,main!$A$3:$I$56,6,FALSE)&gt;=VLOOKUP(56,main!$A$57:$I$59,4,FALSE)+VLOOKUP(VLOOKUP(AV$1,main!$A$3:$I$56,7,FALSE),main!$K$10:$Q$14,4,FALSE),1,0)</f>
        <v>0</v>
      </c>
      <c r="AW96">
        <f>IF(VLOOKUP(AW$1,main!$A$3:$I$56,5,FALSE)-VLOOKUP($A96,main!$A$3:$I$56,6,FALSE)&gt;=VLOOKUP(56,main!$A$57:$I$59,4,FALSE)+VLOOKUP(VLOOKUP(AW$1,main!$A$3:$I$56,7,FALSE),main!$K$10:$Q$14,4,FALSE),1,0)</f>
        <v>0</v>
      </c>
      <c r="AX96">
        <f>IF(VLOOKUP(AX$1,main!$A$3:$I$56,5,FALSE)-VLOOKUP($A96,main!$A$3:$I$56,6,FALSE)&gt;=VLOOKUP(56,main!$A$57:$I$59,4,FALSE)+VLOOKUP(VLOOKUP(AX$1,main!$A$3:$I$56,7,FALSE),main!$K$10:$Q$14,4,FALSE),1,0)</f>
        <v>0</v>
      </c>
      <c r="AY96">
        <f>IF(VLOOKUP(AY$1,main!$A$3:$I$56,5,FALSE)-VLOOKUP($A96,main!$A$3:$I$56,6,FALSE)&gt;=VLOOKUP(56,main!$A$57:$I$59,4,FALSE)+VLOOKUP(VLOOKUP(AY$1,main!$A$3:$I$56,7,FALSE),main!$K$10:$Q$14,4,FALSE),1,0)</f>
        <v>0</v>
      </c>
      <c r="AZ96">
        <f>IF(VLOOKUP(AZ$1,main!$A$3:$I$56,5,FALSE)-VLOOKUP($A96,main!$A$3:$I$56,6,FALSE)&gt;=VLOOKUP(56,main!$A$57:$I$59,4,FALSE)+VLOOKUP(VLOOKUP(AZ$1,main!$A$3:$I$56,7,FALSE),main!$K$10:$Q$14,4,FALSE),1,0)</f>
        <v>0</v>
      </c>
      <c r="BA96">
        <f>IF(VLOOKUP(BA$1,main!$A$3:$I$56,5,FALSE)-VLOOKUP($A96,main!$A$3:$I$56,6,FALSE)&gt;=VLOOKUP(56,main!$A$57:$I$59,4,FALSE)+VLOOKUP(VLOOKUP(BA$1,main!$A$3:$I$56,7,FALSE),main!$K$10:$Q$14,4,FALSE),1,0)</f>
        <v>0</v>
      </c>
      <c r="BB96">
        <f>IF(VLOOKUP(BB$1,main!$A$3:$I$56,5,FALSE)-VLOOKUP($A96,main!$A$3:$I$56,6,FALSE)&gt;=VLOOKUP(56,main!$A$57:$I$59,4,FALSE)+VLOOKUP(VLOOKUP(BB$1,main!$A$3:$I$56,7,FALSE),main!$K$10:$Q$14,4,FALSE),1,0)</f>
        <v>0</v>
      </c>
      <c r="BC96">
        <f>IF(VLOOKUP(BC$1,main!$A$3:$I$56,5,FALSE)-VLOOKUP($A96,main!$A$3:$I$56,6,FALSE)&gt;=VLOOKUP(56,main!$A$57:$I$59,4,FALSE)+VLOOKUP(VLOOKUP(BC$1,main!$A$3:$I$56,7,FALSE),main!$K$10:$Q$14,4,FALSE),1,0)</f>
        <v>0</v>
      </c>
      <c r="BD96">
        <f>IF(VLOOKUP(BD$1,main!$A$3:$I$56,5,FALSE)-VLOOKUP($A96,main!$A$3:$I$56,6,FALSE)&gt;=VLOOKUP(56,main!$A$57:$I$59,4,FALSE)+VLOOKUP(VLOOKUP(BD$1,main!$A$3:$I$56,7,FALSE),main!$K$10:$Q$14,4,FALSE),1,0)</f>
        <v>0</v>
      </c>
    </row>
    <row r="97" spans="1:56" x14ac:dyDescent="0.25">
      <c r="A97">
        <f t="shared" si="1"/>
        <v>40</v>
      </c>
      <c r="B97">
        <v>0</v>
      </c>
      <c r="C97">
        <f>IF(VLOOKUP(C$1,main!$A$3:$I$56,5,FALSE)-VLOOKUP($A97,main!$A$3:$I$56,6,FALSE)&gt;=VLOOKUP(56,main!$A$57:$I$59,4,FALSE)+VLOOKUP(VLOOKUP(C$1,main!$A$3:$I$56,7,FALSE),main!$K$10:$Q$14,4,FALSE),1,0)</f>
        <v>0</v>
      </c>
      <c r="D97">
        <f>IF(VLOOKUP(D$1,main!$A$3:$I$56,5,FALSE)-VLOOKUP($A97,main!$A$3:$I$56,6,FALSE)&gt;=VLOOKUP(56,main!$A$57:$I$59,4,FALSE)+VLOOKUP(VLOOKUP(D$1,main!$A$3:$I$56,7,FALSE),main!$K$10:$Q$14,4,FALSE),1,0)</f>
        <v>1</v>
      </c>
      <c r="E97">
        <f>IF(VLOOKUP(E$1,main!$A$3:$I$56,5,FALSE)-VLOOKUP($A97,main!$A$3:$I$56,6,FALSE)&gt;=VLOOKUP(56,main!$A$57:$I$59,4,FALSE)+VLOOKUP(VLOOKUP(E$1,main!$A$3:$I$56,7,FALSE),main!$K$10:$Q$14,4,FALSE),1,0)</f>
        <v>1</v>
      </c>
      <c r="F97">
        <f>IF(VLOOKUP(F$1,main!$A$3:$I$56,5,FALSE)-VLOOKUP($A97,main!$A$3:$I$56,6,FALSE)&gt;=VLOOKUP(56,main!$A$57:$I$59,4,FALSE)+VLOOKUP(VLOOKUP(F$1,main!$A$3:$I$56,7,FALSE),main!$K$10:$Q$14,4,FALSE),1,0)</f>
        <v>1</v>
      </c>
      <c r="G97">
        <f>IF(VLOOKUP(G$1,main!$A$3:$I$56,5,FALSE)-VLOOKUP($A97,main!$A$3:$I$56,6,FALSE)&gt;=VLOOKUP(56,main!$A$57:$I$59,4,FALSE)+VLOOKUP(VLOOKUP(G$1,main!$A$3:$I$56,7,FALSE),main!$K$10:$Q$14,4,FALSE),1,0)</f>
        <v>1</v>
      </c>
      <c r="H97">
        <f>IF(VLOOKUP(H$1,main!$A$3:$I$56,5,FALSE)-VLOOKUP($A97,main!$A$3:$I$56,6,FALSE)&gt;=VLOOKUP(56,main!$A$57:$I$59,4,FALSE)+VLOOKUP(VLOOKUP(H$1,main!$A$3:$I$56,7,FALSE),main!$K$10:$Q$14,4,FALSE),1,0)</f>
        <v>1</v>
      </c>
      <c r="I97">
        <f>IF(VLOOKUP(I$1,main!$A$3:$I$56,5,FALSE)-VLOOKUP($A97,main!$A$3:$I$56,6,FALSE)&gt;=VLOOKUP(56,main!$A$57:$I$59,4,FALSE)+VLOOKUP(VLOOKUP(I$1,main!$A$3:$I$56,7,FALSE),main!$K$10:$Q$14,4,FALSE),1,0)</f>
        <v>1</v>
      </c>
      <c r="J97">
        <f>IF(VLOOKUP(J$1,main!$A$3:$I$56,5,FALSE)-VLOOKUP($A97,main!$A$3:$I$56,6,FALSE)&gt;=VLOOKUP(56,main!$A$57:$I$59,4,FALSE)+VLOOKUP(VLOOKUP(J$1,main!$A$3:$I$56,7,FALSE),main!$K$10:$Q$14,4,FALSE),1,0)</f>
        <v>1</v>
      </c>
      <c r="K97">
        <f>IF(VLOOKUP(K$1,main!$A$3:$I$56,5,FALSE)-VLOOKUP($A97,main!$A$3:$I$56,6,FALSE)&gt;=VLOOKUP(56,main!$A$57:$I$59,4,FALSE)+VLOOKUP(VLOOKUP(K$1,main!$A$3:$I$56,7,FALSE),main!$K$10:$Q$14,4,FALSE),1,0)</f>
        <v>0</v>
      </c>
      <c r="L97">
        <f>IF(VLOOKUP(L$1,main!$A$3:$I$56,5,FALSE)-VLOOKUP($A97,main!$A$3:$I$56,6,FALSE)&gt;=VLOOKUP(56,main!$A$57:$I$59,4,FALSE)+VLOOKUP(VLOOKUP(L$1,main!$A$3:$I$56,7,FALSE),main!$K$10:$Q$14,4,FALSE),1,0)</f>
        <v>1</v>
      </c>
      <c r="M97">
        <f>IF(VLOOKUP(M$1,main!$A$3:$I$56,5,FALSE)-VLOOKUP($A97,main!$A$3:$I$56,6,FALSE)&gt;=VLOOKUP(56,main!$A$57:$I$59,4,FALSE)+VLOOKUP(VLOOKUP(M$1,main!$A$3:$I$56,7,FALSE),main!$K$10:$Q$14,4,FALSE),1,0)</f>
        <v>1</v>
      </c>
      <c r="N97">
        <f>IF(VLOOKUP(N$1,main!$A$3:$I$56,5,FALSE)-VLOOKUP($A97,main!$A$3:$I$56,6,FALSE)&gt;=VLOOKUP(56,main!$A$57:$I$59,4,FALSE)+VLOOKUP(VLOOKUP(N$1,main!$A$3:$I$56,7,FALSE),main!$K$10:$Q$14,4,FALSE),1,0)</f>
        <v>1</v>
      </c>
      <c r="O97">
        <f>IF(VLOOKUP(O$1,main!$A$3:$I$56,5,FALSE)-VLOOKUP($A97,main!$A$3:$I$56,6,FALSE)&gt;=VLOOKUP(56,main!$A$57:$I$59,4,FALSE)+VLOOKUP(VLOOKUP(O$1,main!$A$3:$I$56,7,FALSE),main!$K$10:$Q$14,4,FALSE),1,0)</f>
        <v>1</v>
      </c>
      <c r="P97">
        <f>IF(VLOOKUP(P$1,main!$A$3:$I$56,5,FALSE)-VLOOKUP($A97,main!$A$3:$I$56,6,FALSE)&gt;=VLOOKUP(56,main!$A$57:$I$59,4,FALSE)+VLOOKUP(VLOOKUP(P$1,main!$A$3:$I$56,7,FALSE),main!$K$10:$Q$14,4,FALSE),1,0)</f>
        <v>0</v>
      </c>
      <c r="Q97">
        <f>IF(VLOOKUP(Q$1,main!$A$3:$I$56,5,FALSE)-VLOOKUP($A97,main!$A$3:$I$56,6,FALSE)&gt;=VLOOKUP(56,main!$A$57:$I$59,4,FALSE)+VLOOKUP(VLOOKUP(Q$1,main!$A$3:$I$56,7,FALSE),main!$K$10:$Q$14,4,FALSE),1,0)</f>
        <v>0</v>
      </c>
      <c r="R97">
        <f>IF(VLOOKUP(R$1,main!$A$3:$I$56,5,FALSE)-VLOOKUP($A97,main!$A$3:$I$56,6,FALSE)&gt;=VLOOKUP(56,main!$A$57:$I$59,4,FALSE)+VLOOKUP(VLOOKUP(R$1,main!$A$3:$I$56,7,FALSE),main!$K$10:$Q$14,4,FALSE),1,0)</f>
        <v>1</v>
      </c>
      <c r="S97">
        <f>IF(VLOOKUP(S$1,main!$A$3:$I$56,5,FALSE)-VLOOKUP($A97,main!$A$3:$I$56,6,FALSE)&gt;=VLOOKUP(56,main!$A$57:$I$59,4,FALSE)+VLOOKUP(VLOOKUP(S$1,main!$A$3:$I$56,7,FALSE),main!$K$10:$Q$14,4,FALSE),1,0)</f>
        <v>1</v>
      </c>
      <c r="T97">
        <f>IF(VLOOKUP(T$1,main!$A$3:$I$56,5,FALSE)-VLOOKUP($A97,main!$A$3:$I$56,6,FALSE)&gt;=VLOOKUP(56,main!$A$57:$I$59,4,FALSE)+VLOOKUP(VLOOKUP(T$1,main!$A$3:$I$56,7,FALSE),main!$K$10:$Q$14,4,FALSE),1,0)</f>
        <v>1</v>
      </c>
      <c r="U97">
        <f>IF(VLOOKUP(U$1,main!$A$3:$I$56,5,FALSE)-VLOOKUP($A97,main!$A$3:$I$56,6,FALSE)&gt;=VLOOKUP(56,main!$A$57:$I$59,4,FALSE)+VLOOKUP(VLOOKUP(U$1,main!$A$3:$I$56,7,FALSE),main!$K$10:$Q$14,4,FALSE),1,0)</f>
        <v>0</v>
      </c>
      <c r="V97">
        <f>IF(VLOOKUP(V$1,main!$A$3:$I$56,5,FALSE)-VLOOKUP($A97,main!$A$3:$I$56,6,FALSE)&gt;=VLOOKUP(56,main!$A$57:$I$59,4,FALSE)+VLOOKUP(VLOOKUP(V$1,main!$A$3:$I$56,7,FALSE),main!$K$10:$Q$14,4,FALSE),1,0)</f>
        <v>0</v>
      </c>
      <c r="W97">
        <f>IF(VLOOKUP(W$1,main!$A$3:$I$56,5,FALSE)-VLOOKUP($A97,main!$A$3:$I$56,6,FALSE)&gt;=VLOOKUP(56,main!$A$57:$I$59,4,FALSE)+VLOOKUP(VLOOKUP(W$1,main!$A$3:$I$56,7,FALSE),main!$K$10:$Q$14,4,FALSE),1,0)</f>
        <v>0</v>
      </c>
      <c r="X97">
        <f>IF(VLOOKUP(X$1,main!$A$3:$I$56,5,FALSE)-VLOOKUP($A97,main!$A$3:$I$56,6,FALSE)&gt;=VLOOKUP(56,main!$A$57:$I$59,4,FALSE)+VLOOKUP(VLOOKUP(X$1,main!$A$3:$I$56,7,FALSE),main!$K$10:$Q$14,4,FALSE),1,0)</f>
        <v>1</v>
      </c>
      <c r="Y97">
        <f>IF(VLOOKUP(Y$1,main!$A$3:$I$56,5,FALSE)-VLOOKUP($A97,main!$A$3:$I$56,6,FALSE)&gt;=VLOOKUP(56,main!$A$57:$I$59,4,FALSE)+VLOOKUP(VLOOKUP(Y$1,main!$A$3:$I$56,7,FALSE),main!$K$10:$Q$14,4,FALSE),1,0)</f>
        <v>1</v>
      </c>
      <c r="Z97">
        <f>IF(VLOOKUP(Z$1,main!$A$3:$I$56,5,FALSE)-VLOOKUP($A97,main!$A$3:$I$56,6,FALSE)&gt;=VLOOKUP(56,main!$A$57:$I$59,4,FALSE)+VLOOKUP(VLOOKUP(Z$1,main!$A$3:$I$56,7,FALSE),main!$K$10:$Q$14,4,FALSE),1,0)</f>
        <v>1</v>
      </c>
      <c r="AA97">
        <f>IF(VLOOKUP(AA$1,main!$A$3:$I$56,5,FALSE)-VLOOKUP($A97,main!$A$3:$I$56,6,FALSE)&gt;=VLOOKUP(56,main!$A$57:$I$59,4,FALSE)+VLOOKUP(VLOOKUP(AA$1,main!$A$3:$I$56,7,FALSE),main!$K$10:$Q$14,4,FALSE),1,0)</f>
        <v>1</v>
      </c>
      <c r="AB97">
        <f>IF(VLOOKUP(AB$1,main!$A$3:$I$56,5,FALSE)-VLOOKUP($A97,main!$A$3:$I$56,6,FALSE)&gt;=VLOOKUP(56,main!$A$57:$I$59,4,FALSE)+VLOOKUP(VLOOKUP(AB$1,main!$A$3:$I$56,7,FALSE),main!$K$10:$Q$14,4,FALSE),1,0)</f>
        <v>1</v>
      </c>
      <c r="AC97">
        <f>IF(VLOOKUP(AC$1,main!$A$3:$I$56,5,FALSE)-VLOOKUP($A97,main!$A$3:$I$56,6,FALSE)&gt;=VLOOKUP(56,main!$A$57:$I$59,4,FALSE)+VLOOKUP(VLOOKUP(AC$1,main!$A$3:$I$56,7,FALSE),main!$K$10:$Q$14,4,FALSE),1,0)</f>
        <v>0</v>
      </c>
      <c r="AD97">
        <f>IF(VLOOKUP(AD$1,main!$A$3:$I$56,5,FALSE)-VLOOKUP($A97,main!$A$3:$I$56,6,FALSE)&gt;=VLOOKUP(56,main!$A$57:$I$59,4,FALSE)+VLOOKUP(VLOOKUP(AD$1,main!$A$3:$I$56,7,FALSE),main!$K$10:$Q$14,4,FALSE),1,0)</f>
        <v>0</v>
      </c>
      <c r="AE97">
        <f>IF(VLOOKUP(AE$1,main!$A$3:$I$56,5,FALSE)-VLOOKUP($A97,main!$A$3:$I$56,6,FALSE)&gt;=VLOOKUP(56,main!$A$57:$I$59,4,FALSE)+VLOOKUP(VLOOKUP(AE$1,main!$A$3:$I$56,7,FALSE),main!$K$10:$Q$14,4,FALSE),1,0)</f>
        <v>1</v>
      </c>
      <c r="AF97">
        <f>IF(VLOOKUP(AF$1,main!$A$3:$I$56,5,FALSE)-VLOOKUP($A97,main!$A$3:$I$56,6,FALSE)&gt;=VLOOKUP(56,main!$A$57:$I$59,4,FALSE)+VLOOKUP(VLOOKUP(AF$1,main!$A$3:$I$56,7,FALSE),main!$K$10:$Q$14,4,FALSE),1,0)</f>
        <v>1</v>
      </c>
      <c r="AG97">
        <f>IF(VLOOKUP(AG$1,main!$A$3:$I$56,5,FALSE)-VLOOKUP($A97,main!$A$3:$I$56,6,FALSE)&gt;=VLOOKUP(56,main!$A$57:$I$59,4,FALSE)+VLOOKUP(VLOOKUP(AG$1,main!$A$3:$I$56,7,FALSE),main!$K$10:$Q$14,4,FALSE),1,0)</f>
        <v>0</v>
      </c>
      <c r="AH97">
        <f>IF(VLOOKUP(AH$1,main!$A$3:$I$56,5,FALSE)-VLOOKUP($A97,main!$A$3:$I$56,6,FALSE)&gt;=VLOOKUP(56,main!$A$57:$I$59,4,FALSE)+VLOOKUP(VLOOKUP(AH$1,main!$A$3:$I$56,7,FALSE),main!$K$10:$Q$14,4,FALSE),1,0)</f>
        <v>0</v>
      </c>
      <c r="AI97">
        <f>IF(VLOOKUP(AI$1,main!$A$3:$I$56,5,FALSE)-VLOOKUP($A97,main!$A$3:$I$56,6,FALSE)&gt;=VLOOKUP(56,main!$A$57:$I$59,4,FALSE)+VLOOKUP(VLOOKUP(AI$1,main!$A$3:$I$56,7,FALSE),main!$K$10:$Q$14,4,FALSE),1,0)</f>
        <v>1</v>
      </c>
      <c r="AJ97">
        <f>IF(VLOOKUP(AJ$1,main!$A$3:$I$56,5,FALSE)-VLOOKUP($A97,main!$A$3:$I$56,6,FALSE)&gt;=VLOOKUP(56,main!$A$57:$I$59,4,FALSE)+VLOOKUP(VLOOKUP(AJ$1,main!$A$3:$I$56,7,FALSE),main!$K$10:$Q$14,4,FALSE),1,0)</f>
        <v>1</v>
      </c>
      <c r="AK97">
        <f>IF(VLOOKUP(AK$1,main!$A$3:$I$56,5,FALSE)-VLOOKUP($A97,main!$A$3:$I$56,6,FALSE)&gt;=VLOOKUP(56,main!$A$57:$I$59,4,FALSE)+VLOOKUP(VLOOKUP(AK$1,main!$A$3:$I$56,7,FALSE),main!$K$10:$Q$14,4,FALSE),1,0)</f>
        <v>1</v>
      </c>
      <c r="AL97">
        <f>IF(VLOOKUP(AL$1,main!$A$3:$I$56,5,FALSE)-VLOOKUP($A97,main!$A$3:$I$56,6,FALSE)&gt;=VLOOKUP(56,main!$A$57:$I$59,4,FALSE)+VLOOKUP(VLOOKUP(AL$1,main!$A$3:$I$56,7,FALSE),main!$K$10:$Q$14,4,FALSE),1,0)</f>
        <v>0</v>
      </c>
      <c r="AM97">
        <f>IF(VLOOKUP(AM$1,main!$A$3:$I$56,5,FALSE)-VLOOKUP($A97,main!$A$3:$I$56,6,FALSE)&gt;=VLOOKUP(56,main!$A$57:$I$59,4,FALSE)+VLOOKUP(VLOOKUP(AM$1,main!$A$3:$I$56,7,FALSE),main!$K$10:$Q$14,4,FALSE),1,0)</f>
        <v>0</v>
      </c>
      <c r="AN97">
        <f>IF(VLOOKUP(AN$1,main!$A$3:$I$56,5,FALSE)-VLOOKUP($A97,main!$A$3:$I$56,6,FALSE)&gt;=VLOOKUP(56,main!$A$57:$I$59,4,FALSE)+VLOOKUP(VLOOKUP(AN$1,main!$A$3:$I$56,7,FALSE),main!$K$10:$Q$14,4,FALSE),1,0)</f>
        <v>1</v>
      </c>
      <c r="AO97">
        <f>IF(VLOOKUP(AO$1,main!$A$3:$I$56,5,FALSE)-VLOOKUP($A97,main!$A$3:$I$56,6,FALSE)&gt;=VLOOKUP(56,main!$A$57:$I$59,4,FALSE)+VLOOKUP(VLOOKUP(AO$1,main!$A$3:$I$56,7,FALSE),main!$K$10:$Q$14,4,FALSE),1,0)</f>
        <v>1</v>
      </c>
      <c r="AP97">
        <f>IF(VLOOKUP(AP$1,main!$A$3:$I$56,5,FALSE)-VLOOKUP($A97,main!$A$3:$I$56,6,FALSE)&gt;=VLOOKUP(56,main!$A$57:$I$59,4,FALSE)+VLOOKUP(VLOOKUP(AP$1,main!$A$3:$I$56,7,FALSE),main!$K$10:$Q$14,4,FALSE),1,0)</f>
        <v>0</v>
      </c>
      <c r="AQ97">
        <f>IF(VLOOKUP(AQ$1,main!$A$3:$I$56,5,FALSE)-VLOOKUP($A97,main!$A$3:$I$56,6,FALSE)&gt;=VLOOKUP(56,main!$A$57:$I$59,4,FALSE)+VLOOKUP(VLOOKUP(AQ$1,main!$A$3:$I$56,7,FALSE),main!$K$10:$Q$14,4,FALSE),1,0)</f>
        <v>0</v>
      </c>
      <c r="AR97">
        <f>IF(VLOOKUP(AR$1,main!$A$3:$I$56,5,FALSE)-VLOOKUP($A97,main!$A$3:$I$56,6,FALSE)&gt;=VLOOKUP(56,main!$A$57:$I$59,4,FALSE)+VLOOKUP(VLOOKUP(AR$1,main!$A$3:$I$56,7,FALSE),main!$K$10:$Q$14,4,FALSE),1,0)</f>
        <v>0</v>
      </c>
      <c r="AS97">
        <f>IF(VLOOKUP(AS$1,main!$A$3:$I$56,5,FALSE)-VLOOKUP($A97,main!$A$3:$I$56,6,FALSE)&gt;=VLOOKUP(56,main!$A$57:$I$59,4,FALSE)+VLOOKUP(VLOOKUP(AS$1,main!$A$3:$I$56,7,FALSE),main!$K$10:$Q$14,4,FALSE),1,0)</f>
        <v>0</v>
      </c>
      <c r="AT97">
        <f>IF(VLOOKUP(AT$1,main!$A$3:$I$56,5,FALSE)-VLOOKUP($A97,main!$A$3:$I$56,6,FALSE)&gt;=VLOOKUP(56,main!$A$57:$I$59,4,FALSE)+VLOOKUP(VLOOKUP(AT$1,main!$A$3:$I$56,7,FALSE),main!$K$10:$Q$14,4,FALSE),1,0)</f>
        <v>1</v>
      </c>
      <c r="AU97">
        <f>IF(VLOOKUP(AU$1,main!$A$3:$I$56,5,FALSE)-VLOOKUP($A97,main!$A$3:$I$56,6,FALSE)&gt;=VLOOKUP(56,main!$A$57:$I$59,4,FALSE)+VLOOKUP(VLOOKUP(AU$1,main!$A$3:$I$56,7,FALSE),main!$K$10:$Q$14,4,FALSE),1,0)</f>
        <v>0</v>
      </c>
      <c r="AV97">
        <f>IF(VLOOKUP(AV$1,main!$A$3:$I$56,5,FALSE)-VLOOKUP($A97,main!$A$3:$I$56,6,FALSE)&gt;=VLOOKUP(56,main!$A$57:$I$59,4,FALSE)+VLOOKUP(VLOOKUP(AV$1,main!$A$3:$I$56,7,FALSE),main!$K$10:$Q$14,4,FALSE),1,0)</f>
        <v>0</v>
      </c>
      <c r="AW97">
        <f>IF(VLOOKUP(AW$1,main!$A$3:$I$56,5,FALSE)-VLOOKUP($A97,main!$A$3:$I$56,6,FALSE)&gt;=VLOOKUP(56,main!$A$57:$I$59,4,FALSE)+VLOOKUP(VLOOKUP(AW$1,main!$A$3:$I$56,7,FALSE),main!$K$10:$Q$14,4,FALSE),1,0)</f>
        <v>0</v>
      </c>
      <c r="AX97">
        <f>IF(VLOOKUP(AX$1,main!$A$3:$I$56,5,FALSE)-VLOOKUP($A97,main!$A$3:$I$56,6,FALSE)&gt;=VLOOKUP(56,main!$A$57:$I$59,4,FALSE)+VLOOKUP(VLOOKUP(AX$1,main!$A$3:$I$56,7,FALSE),main!$K$10:$Q$14,4,FALSE),1,0)</f>
        <v>1</v>
      </c>
      <c r="AY97">
        <f>IF(VLOOKUP(AY$1,main!$A$3:$I$56,5,FALSE)-VLOOKUP($A97,main!$A$3:$I$56,6,FALSE)&gt;=VLOOKUP(56,main!$A$57:$I$59,4,FALSE)+VLOOKUP(VLOOKUP(AY$1,main!$A$3:$I$56,7,FALSE),main!$K$10:$Q$14,4,FALSE),1,0)</f>
        <v>1</v>
      </c>
      <c r="AZ97">
        <f>IF(VLOOKUP(AZ$1,main!$A$3:$I$56,5,FALSE)-VLOOKUP($A97,main!$A$3:$I$56,6,FALSE)&gt;=VLOOKUP(56,main!$A$57:$I$59,4,FALSE)+VLOOKUP(VLOOKUP(AZ$1,main!$A$3:$I$56,7,FALSE),main!$K$10:$Q$14,4,FALSE),1,0)</f>
        <v>0</v>
      </c>
      <c r="BA97">
        <f>IF(VLOOKUP(BA$1,main!$A$3:$I$56,5,FALSE)-VLOOKUP($A97,main!$A$3:$I$56,6,FALSE)&gt;=VLOOKUP(56,main!$A$57:$I$59,4,FALSE)+VLOOKUP(VLOOKUP(BA$1,main!$A$3:$I$56,7,FALSE),main!$K$10:$Q$14,4,FALSE),1,0)</f>
        <v>0</v>
      </c>
      <c r="BB97">
        <f>IF(VLOOKUP(BB$1,main!$A$3:$I$56,5,FALSE)-VLOOKUP($A97,main!$A$3:$I$56,6,FALSE)&gt;=VLOOKUP(56,main!$A$57:$I$59,4,FALSE)+VLOOKUP(VLOOKUP(BB$1,main!$A$3:$I$56,7,FALSE),main!$K$10:$Q$14,4,FALSE),1,0)</f>
        <v>0</v>
      </c>
      <c r="BC97">
        <f>IF(VLOOKUP(BC$1,main!$A$3:$I$56,5,FALSE)-VLOOKUP($A97,main!$A$3:$I$56,6,FALSE)&gt;=VLOOKUP(56,main!$A$57:$I$59,4,FALSE)+VLOOKUP(VLOOKUP(BC$1,main!$A$3:$I$56,7,FALSE),main!$K$10:$Q$14,4,FALSE),1,0)</f>
        <v>1</v>
      </c>
      <c r="BD97">
        <f>IF(VLOOKUP(BD$1,main!$A$3:$I$56,5,FALSE)-VLOOKUP($A97,main!$A$3:$I$56,6,FALSE)&gt;=VLOOKUP(56,main!$A$57:$I$59,4,FALSE)+VLOOKUP(VLOOKUP(BD$1,main!$A$3:$I$56,7,FALSE),main!$K$10:$Q$14,4,FALSE),1,0)</f>
        <v>1</v>
      </c>
    </row>
    <row r="98" spans="1:56" x14ac:dyDescent="0.25">
      <c r="A98">
        <f t="shared" si="1"/>
        <v>41</v>
      </c>
      <c r="B98">
        <v>0</v>
      </c>
      <c r="C98">
        <f>IF(VLOOKUP(C$1,main!$A$3:$I$56,5,FALSE)-VLOOKUP($A98,main!$A$3:$I$56,6,FALSE)&gt;=VLOOKUP(56,main!$A$57:$I$59,4,FALSE)+VLOOKUP(VLOOKUP(C$1,main!$A$3:$I$56,7,FALSE),main!$K$10:$Q$14,4,FALSE),1,0)</f>
        <v>0</v>
      </c>
      <c r="D98">
        <f>IF(VLOOKUP(D$1,main!$A$3:$I$56,5,FALSE)-VLOOKUP($A98,main!$A$3:$I$56,6,FALSE)&gt;=VLOOKUP(56,main!$A$57:$I$59,4,FALSE)+VLOOKUP(VLOOKUP(D$1,main!$A$3:$I$56,7,FALSE),main!$K$10:$Q$14,4,FALSE),1,0)</f>
        <v>0</v>
      </c>
      <c r="E98">
        <f>IF(VLOOKUP(E$1,main!$A$3:$I$56,5,FALSE)-VLOOKUP($A98,main!$A$3:$I$56,6,FALSE)&gt;=VLOOKUP(56,main!$A$57:$I$59,4,FALSE)+VLOOKUP(VLOOKUP(E$1,main!$A$3:$I$56,7,FALSE),main!$K$10:$Q$14,4,FALSE),1,0)</f>
        <v>1</v>
      </c>
      <c r="F98">
        <f>IF(VLOOKUP(F$1,main!$A$3:$I$56,5,FALSE)-VLOOKUP($A98,main!$A$3:$I$56,6,FALSE)&gt;=VLOOKUP(56,main!$A$57:$I$59,4,FALSE)+VLOOKUP(VLOOKUP(F$1,main!$A$3:$I$56,7,FALSE),main!$K$10:$Q$14,4,FALSE),1,0)</f>
        <v>1</v>
      </c>
      <c r="G98">
        <f>IF(VLOOKUP(G$1,main!$A$3:$I$56,5,FALSE)-VLOOKUP($A98,main!$A$3:$I$56,6,FALSE)&gt;=VLOOKUP(56,main!$A$57:$I$59,4,FALSE)+VLOOKUP(VLOOKUP(G$1,main!$A$3:$I$56,7,FALSE),main!$K$10:$Q$14,4,FALSE),1,0)</f>
        <v>1</v>
      </c>
      <c r="H98">
        <f>IF(VLOOKUP(H$1,main!$A$3:$I$56,5,FALSE)-VLOOKUP($A98,main!$A$3:$I$56,6,FALSE)&gt;=VLOOKUP(56,main!$A$57:$I$59,4,FALSE)+VLOOKUP(VLOOKUP(H$1,main!$A$3:$I$56,7,FALSE),main!$K$10:$Q$14,4,FALSE),1,0)</f>
        <v>1</v>
      </c>
      <c r="I98">
        <f>IF(VLOOKUP(I$1,main!$A$3:$I$56,5,FALSE)-VLOOKUP($A98,main!$A$3:$I$56,6,FALSE)&gt;=VLOOKUP(56,main!$A$57:$I$59,4,FALSE)+VLOOKUP(VLOOKUP(I$1,main!$A$3:$I$56,7,FALSE),main!$K$10:$Q$14,4,FALSE),1,0)</f>
        <v>1</v>
      </c>
      <c r="J98">
        <f>IF(VLOOKUP(J$1,main!$A$3:$I$56,5,FALSE)-VLOOKUP($A98,main!$A$3:$I$56,6,FALSE)&gt;=VLOOKUP(56,main!$A$57:$I$59,4,FALSE)+VLOOKUP(VLOOKUP(J$1,main!$A$3:$I$56,7,FALSE),main!$K$10:$Q$14,4,FALSE),1,0)</f>
        <v>1</v>
      </c>
      <c r="K98">
        <f>IF(VLOOKUP(K$1,main!$A$3:$I$56,5,FALSE)-VLOOKUP($A98,main!$A$3:$I$56,6,FALSE)&gt;=VLOOKUP(56,main!$A$57:$I$59,4,FALSE)+VLOOKUP(VLOOKUP(K$1,main!$A$3:$I$56,7,FALSE),main!$K$10:$Q$14,4,FALSE),1,0)</f>
        <v>0</v>
      </c>
      <c r="L98">
        <f>IF(VLOOKUP(L$1,main!$A$3:$I$56,5,FALSE)-VLOOKUP($A98,main!$A$3:$I$56,6,FALSE)&gt;=VLOOKUP(56,main!$A$57:$I$59,4,FALSE)+VLOOKUP(VLOOKUP(L$1,main!$A$3:$I$56,7,FALSE),main!$K$10:$Q$14,4,FALSE),1,0)</f>
        <v>0</v>
      </c>
      <c r="M98">
        <f>IF(VLOOKUP(M$1,main!$A$3:$I$56,5,FALSE)-VLOOKUP($A98,main!$A$3:$I$56,6,FALSE)&gt;=VLOOKUP(56,main!$A$57:$I$59,4,FALSE)+VLOOKUP(VLOOKUP(M$1,main!$A$3:$I$56,7,FALSE),main!$K$10:$Q$14,4,FALSE),1,0)</f>
        <v>1</v>
      </c>
      <c r="N98">
        <f>IF(VLOOKUP(N$1,main!$A$3:$I$56,5,FALSE)-VLOOKUP($A98,main!$A$3:$I$56,6,FALSE)&gt;=VLOOKUP(56,main!$A$57:$I$59,4,FALSE)+VLOOKUP(VLOOKUP(N$1,main!$A$3:$I$56,7,FALSE),main!$K$10:$Q$14,4,FALSE),1,0)</f>
        <v>1</v>
      </c>
      <c r="O98">
        <f>IF(VLOOKUP(O$1,main!$A$3:$I$56,5,FALSE)-VLOOKUP($A98,main!$A$3:$I$56,6,FALSE)&gt;=VLOOKUP(56,main!$A$57:$I$59,4,FALSE)+VLOOKUP(VLOOKUP(O$1,main!$A$3:$I$56,7,FALSE),main!$K$10:$Q$14,4,FALSE),1,0)</f>
        <v>1</v>
      </c>
      <c r="P98">
        <f>IF(VLOOKUP(P$1,main!$A$3:$I$56,5,FALSE)-VLOOKUP($A98,main!$A$3:$I$56,6,FALSE)&gt;=VLOOKUP(56,main!$A$57:$I$59,4,FALSE)+VLOOKUP(VLOOKUP(P$1,main!$A$3:$I$56,7,FALSE),main!$K$10:$Q$14,4,FALSE),1,0)</f>
        <v>0</v>
      </c>
      <c r="Q98">
        <f>IF(VLOOKUP(Q$1,main!$A$3:$I$56,5,FALSE)-VLOOKUP($A98,main!$A$3:$I$56,6,FALSE)&gt;=VLOOKUP(56,main!$A$57:$I$59,4,FALSE)+VLOOKUP(VLOOKUP(Q$1,main!$A$3:$I$56,7,FALSE),main!$K$10:$Q$14,4,FALSE),1,0)</f>
        <v>0</v>
      </c>
      <c r="R98">
        <f>IF(VLOOKUP(R$1,main!$A$3:$I$56,5,FALSE)-VLOOKUP($A98,main!$A$3:$I$56,6,FALSE)&gt;=VLOOKUP(56,main!$A$57:$I$59,4,FALSE)+VLOOKUP(VLOOKUP(R$1,main!$A$3:$I$56,7,FALSE),main!$K$10:$Q$14,4,FALSE),1,0)</f>
        <v>1</v>
      </c>
      <c r="S98">
        <f>IF(VLOOKUP(S$1,main!$A$3:$I$56,5,FALSE)-VLOOKUP($A98,main!$A$3:$I$56,6,FALSE)&gt;=VLOOKUP(56,main!$A$57:$I$59,4,FALSE)+VLOOKUP(VLOOKUP(S$1,main!$A$3:$I$56,7,FALSE),main!$K$10:$Q$14,4,FALSE),1,0)</f>
        <v>1</v>
      </c>
      <c r="T98">
        <f>IF(VLOOKUP(T$1,main!$A$3:$I$56,5,FALSE)-VLOOKUP($A98,main!$A$3:$I$56,6,FALSE)&gt;=VLOOKUP(56,main!$A$57:$I$59,4,FALSE)+VLOOKUP(VLOOKUP(T$1,main!$A$3:$I$56,7,FALSE),main!$K$10:$Q$14,4,FALSE),1,0)</f>
        <v>1</v>
      </c>
      <c r="U98">
        <f>IF(VLOOKUP(U$1,main!$A$3:$I$56,5,FALSE)-VLOOKUP($A98,main!$A$3:$I$56,6,FALSE)&gt;=VLOOKUP(56,main!$A$57:$I$59,4,FALSE)+VLOOKUP(VLOOKUP(U$1,main!$A$3:$I$56,7,FALSE),main!$K$10:$Q$14,4,FALSE),1,0)</f>
        <v>0</v>
      </c>
      <c r="V98">
        <f>IF(VLOOKUP(V$1,main!$A$3:$I$56,5,FALSE)-VLOOKUP($A98,main!$A$3:$I$56,6,FALSE)&gt;=VLOOKUP(56,main!$A$57:$I$59,4,FALSE)+VLOOKUP(VLOOKUP(V$1,main!$A$3:$I$56,7,FALSE),main!$K$10:$Q$14,4,FALSE),1,0)</f>
        <v>0</v>
      </c>
      <c r="W98">
        <f>IF(VLOOKUP(W$1,main!$A$3:$I$56,5,FALSE)-VLOOKUP($A98,main!$A$3:$I$56,6,FALSE)&gt;=VLOOKUP(56,main!$A$57:$I$59,4,FALSE)+VLOOKUP(VLOOKUP(W$1,main!$A$3:$I$56,7,FALSE),main!$K$10:$Q$14,4,FALSE),1,0)</f>
        <v>0</v>
      </c>
      <c r="X98">
        <f>IF(VLOOKUP(X$1,main!$A$3:$I$56,5,FALSE)-VLOOKUP($A98,main!$A$3:$I$56,6,FALSE)&gt;=VLOOKUP(56,main!$A$57:$I$59,4,FALSE)+VLOOKUP(VLOOKUP(X$1,main!$A$3:$I$56,7,FALSE),main!$K$10:$Q$14,4,FALSE),1,0)</f>
        <v>0</v>
      </c>
      <c r="Y98">
        <f>IF(VLOOKUP(Y$1,main!$A$3:$I$56,5,FALSE)-VLOOKUP($A98,main!$A$3:$I$56,6,FALSE)&gt;=VLOOKUP(56,main!$A$57:$I$59,4,FALSE)+VLOOKUP(VLOOKUP(Y$1,main!$A$3:$I$56,7,FALSE),main!$K$10:$Q$14,4,FALSE),1,0)</f>
        <v>1</v>
      </c>
      <c r="Z98">
        <f>IF(VLOOKUP(Z$1,main!$A$3:$I$56,5,FALSE)-VLOOKUP($A98,main!$A$3:$I$56,6,FALSE)&gt;=VLOOKUP(56,main!$A$57:$I$59,4,FALSE)+VLOOKUP(VLOOKUP(Z$1,main!$A$3:$I$56,7,FALSE),main!$K$10:$Q$14,4,FALSE),1,0)</f>
        <v>1</v>
      </c>
      <c r="AA98">
        <f>IF(VLOOKUP(AA$1,main!$A$3:$I$56,5,FALSE)-VLOOKUP($A98,main!$A$3:$I$56,6,FALSE)&gt;=VLOOKUP(56,main!$A$57:$I$59,4,FALSE)+VLOOKUP(VLOOKUP(AA$1,main!$A$3:$I$56,7,FALSE),main!$K$10:$Q$14,4,FALSE),1,0)</f>
        <v>1</v>
      </c>
      <c r="AB98">
        <f>IF(VLOOKUP(AB$1,main!$A$3:$I$56,5,FALSE)-VLOOKUP($A98,main!$A$3:$I$56,6,FALSE)&gt;=VLOOKUP(56,main!$A$57:$I$59,4,FALSE)+VLOOKUP(VLOOKUP(AB$1,main!$A$3:$I$56,7,FALSE),main!$K$10:$Q$14,4,FALSE),1,0)</f>
        <v>1</v>
      </c>
      <c r="AC98">
        <f>IF(VLOOKUP(AC$1,main!$A$3:$I$56,5,FALSE)-VLOOKUP($A98,main!$A$3:$I$56,6,FALSE)&gt;=VLOOKUP(56,main!$A$57:$I$59,4,FALSE)+VLOOKUP(VLOOKUP(AC$1,main!$A$3:$I$56,7,FALSE),main!$K$10:$Q$14,4,FALSE),1,0)</f>
        <v>0</v>
      </c>
      <c r="AD98">
        <f>IF(VLOOKUP(AD$1,main!$A$3:$I$56,5,FALSE)-VLOOKUP($A98,main!$A$3:$I$56,6,FALSE)&gt;=VLOOKUP(56,main!$A$57:$I$59,4,FALSE)+VLOOKUP(VLOOKUP(AD$1,main!$A$3:$I$56,7,FALSE),main!$K$10:$Q$14,4,FALSE),1,0)</f>
        <v>0</v>
      </c>
      <c r="AE98">
        <f>IF(VLOOKUP(AE$1,main!$A$3:$I$56,5,FALSE)-VLOOKUP($A98,main!$A$3:$I$56,6,FALSE)&gt;=VLOOKUP(56,main!$A$57:$I$59,4,FALSE)+VLOOKUP(VLOOKUP(AE$1,main!$A$3:$I$56,7,FALSE),main!$K$10:$Q$14,4,FALSE),1,0)</f>
        <v>0</v>
      </c>
      <c r="AF98">
        <f>IF(VLOOKUP(AF$1,main!$A$3:$I$56,5,FALSE)-VLOOKUP($A98,main!$A$3:$I$56,6,FALSE)&gt;=VLOOKUP(56,main!$A$57:$I$59,4,FALSE)+VLOOKUP(VLOOKUP(AF$1,main!$A$3:$I$56,7,FALSE),main!$K$10:$Q$14,4,FALSE),1,0)</f>
        <v>1</v>
      </c>
      <c r="AG98">
        <f>IF(VLOOKUP(AG$1,main!$A$3:$I$56,5,FALSE)-VLOOKUP($A98,main!$A$3:$I$56,6,FALSE)&gt;=VLOOKUP(56,main!$A$57:$I$59,4,FALSE)+VLOOKUP(VLOOKUP(AG$1,main!$A$3:$I$56,7,FALSE),main!$K$10:$Q$14,4,FALSE),1,0)</f>
        <v>0</v>
      </c>
      <c r="AH98">
        <f>IF(VLOOKUP(AH$1,main!$A$3:$I$56,5,FALSE)-VLOOKUP($A98,main!$A$3:$I$56,6,FALSE)&gt;=VLOOKUP(56,main!$A$57:$I$59,4,FALSE)+VLOOKUP(VLOOKUP(AH$1,main!$A$3:$I$56,7,FALSE),main!$K$10:$Q$14,4,FALSE),1,0)</f>
        <v>0</v>
      </c>
      <c r="AI98">
        <f>IF(VLOOKUP(AI$1,main!$A$3:$I$56,5,FALSE)-VLOOKUP($A98,main!$A$3:$I$56,6,FALSE)&gt;=VLOOKUP(56,main!$A$57:$I$59,4,FALSE)+VLOOKUP(VLOOKUP(AI$1,main!$A$3:$I$56,7,FALSE),main!$K$10:$Q$14,4,FALSE),1,0)</f>
        <v>0</v>
      </c>
      <c r="AJ98">
        <f>IF(VLOOKUP(AJ$1,main!$A$3:$I$56,5,FALSE)-VLOOKUP($A98,main!$A$3:$I$56,6,FALSE)&gt;=VLOOKUP(56,main!$A$57:$I$59,4,FALSE)+VLOOKUP(VLOOKUP(AJ$1,main!$A$3:$I$56,7,FALSE),main!$K$10:$Q$14,4,FALSE),1,0)</f>
        <v>1</v>
      </c>
      <c r="AK98">
        <f>IF(VLOOKUP(AK$1,main!$A$3:$I$56,5,FALSE)-VLOOKUP($A98,main!$A$3:$I$56,6,FALSE)&gt;=VLOOKUP(56,main!$A$57:$I$59,4,FALSE)+VLOOKUP(VLOOKUP(AK$1,main!$A$3:$I$56,7,FALSE),main!$K$10:$Q$14,4,FALSE),1,0)</f>
        <v>1</v>
      </c>
      <c r="AL98">
        <f>IF(VLOOKUP(AL$1,main!$A$3:$I$56,5,FALSE)-VLOOKUP($A98,main!$A$3:$I$56,6,FALSE)&gt;=VLOOKUP(56,main!$A$57:$I$59,4,FALSE)+VLOOKUP(VLOOKUP(AL$1,main!$A$3:$I$56,7,FALSE),main!$K$10:$Q$14,4,FALSE),1,0)</f>
        <v>0</v>
      </c>
      <c r="AM98">
        <f>IF(VLOOKUP(AM$1,main!$A$3:$I$56,5,FALSE)-VLOOKUP($A98,main!$A$3:$I$56,6,FALSE)&gt;=VLOOKUP(56,main!$A$57:$I$59,4,FALSE)+VLOOKUP(VLOOKUP(AM$1,main!$A$3:$I$56,7,FALSE),main!$K$10:$Q$14,4,FALSE),1,0)</f>
        <v>0</v>
      </c>
      <c r="AN98">
        <f>IF(VLOOKUP(AN$1,main!$A$3:$I$56,5,FALSE)-VLOOKUP($A98,main!$A$3:$I$56,6,FALSE)&gt;=VLOOKUP(56,main!$A$57:$I$59,4,FALSE)+VLOOKUP(VLOOKUP(AN$1,main!$A$3:$I$56,7,FALSE),main!$K$10:$Q$14,4,FALSE),1,0)</f>
        <v>1</v>
      </c>
      <c r="AO98">
        <f>IF(VLOOKUP(AO$1,main!$A$3:$I$56,5,FALSE)-VLOOKUP($A98,main!$A$3:$I$56,6,FALSE)&gt;=VLOOKUP(56,main!$A$57:$I$59,4,FALSE)+VLOOKUP(VLOOKUP(AO$1,main!$A$3:$I$56,7,FALSE),main!$K$10:$Q$14,4,FALSE),1,0)</f>
        <v>1</v>
      </c>
      <c r="AP98">
        <f>IF(VLOOKUP(AP$1,main!$A$3:$I$56,5,FALSE)-VLOOKUP($A98,main!$A$3:$I$56,6,FALSE)&gt;=VLOOKUP(56,main!$A$57:$I$59,4,FALSE)+VLOOKUP(VLOOKUP(AP$1,main!$A$3:$I$56,7,FALSE),main!$K$10:$Q$14,4,FALSE),1,0)</f>
        <v>0</v>
      </c>
      <c r="AQ98">
        <f>IF(VLOOKUP(AQ$1,main!$A$3:$I$56,5,FALSE)-VLOOKUP($A98,main!$A$3:$I$56,6,FALSE)&gt;=VLOOKUP(56,main!$A$57:$I$59,4,FALSE)+VLOOKUP(VLOOKUP(AQ$1,main!$A$3:$I$56,7,FALSE),main!$K$10:$Q$14,4,FALSE),1,0)</f>
        <v>0</v>
      </c>
      <c r="AR98">
        <f>IF(VLOOKUP(AR$1,main!$A$3:$I$56,5,FALSE)-VLOOKUP($A98,main!$A$3:$I$56,6,FALSE)&gt;=VLOOKUP(56,main!$A$57:$I$59,4,FALSE)+VLOOKUP(VLOOKUP(AR$1,main!$A$3:$I$56,7,FALSE),main!$K$10:$Q$14,4,FALSE),1,0)</f>
        <v>0</v>
      </c>
      <c r="AS98">
        <f>IF(VLOOKUP(AS$1,main!$A$3:$I$56,5,FALSE)-VLOOKUP($A98,main!$A$3:$I$56,6,FALSE)&gt;=VLOOKUP(56,main!$A$57:$I$59,4,FALSE)+VLOOKUP(VLOOKUP(AS$1,main!$A$3:$I$56,7,FALSE),main!$K$10:$Q$14,4,FALSE),1,0)</f>
        <v>0</v>
      </c>
      <c r="AT98">
        <f>IF(VLOOKUP(AT$1,main!$A$3:$I$56,5,FALSE)-VLOOKUP($A98,main!$A$3:$I$56,6,FALSE)&gt;=VLOOKUP(56,main!$A$57:$I$59,4,FALSE)+VLOOKUP(VLOOKUP(AT$1,main!$A$3:$I$56,7,FALSE),main!$K$10:$Q$14,4,FALSE),1,0)</f>
        <v>0</v>
      </c>
      <c r="AU98">
        <f>IF(VLOOKUP(AU$1,main!$A$3:$I$56,5,FALSE)-VLOOKUP($A98,main!$A$3:$I$56,6,FALSE)&gt;=VLOOKUP(56,main!$A$57:$I$59,4,FALSE)+VLOOKUP(VLOOKUP(AU$1,main!$A$3:$I$56,7,FALSE),main!$K$10:$Q$14,4,FALSE),1,0)</f>
        <v>0</v>
      </c>
      <c r="AV98">
        <f>IF(VLOOKUP(AV$1,main!$A$3:$I$56,5,FALSE)-VLOOKUP($A98,main!$A$3:$I$56,6,FALSE)&gt;=VLOOKUP(56,main!$A$57:$I$59,4,FALSE)+VLOOKUP(VLOOKUP(AV$1,main!$A$3:$I$56,7,FALSE),main!$K$10:$Q$14,4,FALSE),1,0)</f>
        <v>0</v>
      </c>
      <c r="AW98">
        <f>IF(VLOOKUP(AW$1,main!$A$3:$I$56,5,FALSE)-VLOOKUP($A98,main!$A$3:$I$56,6,FALSE)&gt;=VLOOKUP(56,main!$A$57:$I$59,4,FALSE)+VLOOKUP(VLOOKUP(AW$1,main!$A$3:$I$56,7,FALSE),main!$K$10:$Q$14,4,FALSE),1,0)</f>
        <v>0</v>
      </c>
      <c r="AX98">
        <f>IF(VLOOKUP(AX$1,main!$A$3:$I$56,5,FALSE)-VLOOKUP($A98,main!$A$3:$I$56,6,FALSE)&gt;=VLOOKUP(56,main!$A$57:$I$59,4,FALSE)+VLOOKUP(VLOOKUP(AX$1,main!$A$3:$I$56,7,FALSE),main!$K$10:$Q$14,4,FALSE),1,0)</f>
        <v>1</v>
      </c>
      <c r="AY98">
        <f>IF(VLOOKUP(AY$1,main!$A$3:$I$56,5,FALSE)-VLOOKUP($A98,main!$A$3:$I$56,6,FALSE)&gt;=VLOOKUP(56,main!$A$57:$I$59,4,FALSE)+VLOOKUP(VLOOKUP(AY$1,main!$A$3:$I$56,7,FALSE),main!$K$10:$Q$14,4,FALSE),1,0)</f>
        <v>1</v>
      </c>
      <c r="AZ98">
        <f>IF(VLOOKUP(AZ$1,main!$A$3:$I$56,5,FALSE)-VLOOKUP($A98,main!$A$3:$I$56,6,FALSE)&gt;=VLOOKUP(56,main!$A$57:$I$59,4,FALSE)+VLOOKUP(VLOOKUP(AZ$1,main!$A$3:$I$56,7,FALSE),main!$K$10:$Q$14,4,FALSE),1,0)</f>
        <v>0</v>
      </c>
      <c r="BA98">
        <f>IF(VLOOKUP(BA$1,main!$A$3:$I$56,5,FALSE)-VLOOKUP($A98,main!$A$3:$I$56,6,FALSE)&gt;=VLOOKUP(56,main!$A$57:$I$59,4,FALSE)+VLOOKUP(VLOOKUP(BA$1,main!$A$3:$I$56,7,FALSE),main!$K$10:$Q$14,4,FALSE),1,0)</f>
        <v>0</v>
      </c>
      <c r="BB98">
        <f>IF(VLOOKUP(BB$1,main!$A$3:$I$56,5,FALSE)-VLOOKUP($A98,main!$A$3:$I$56,6,FALSE)&gt;=VLOOKUP(56,main!$A$57:$I$59,4,FALSE)+VLOOKUP(VLOOKUP(BB$1,main!$A$3:$I$56,7,FALSE),main!$K$10:$Q$14,4,FALSE),1,0)</f>
        <v>0</v>
      </c>
      <c r="BC98">
        <f>IF(VLOOKUP(BC$1,main!$A$3:$I$56,5,FALSE)-VLOOKUP($A98,main!$A$3:$I$56,6,FALSE)&gt;=VLOOKUP(56,main!$A$57:$I$59,4,FALSE)+VLOOKUP(VLOOKUP(BC$1,main!$A$3:$I$56,7,FALSE),main!$K$10:$Q$14,4,FALSE),1,0)</f>
        <v>1</v>
      </c>
      <c r="BD98">
        <f>IF(VLOOKUP(BD$1,main!$A$3:$I$56,5,FALSE)-VLOOKUP($A98,main!$A$3:$I$56,6,FALSE)&gt;=VLOOKUP(56,main!$A$57:$I$59,4,FALSE)+VLOOKUP(VLOOKUP(BD$1,main!$A$3:$I$56,7,FALSE),main!$K$10:$Q$14,4,FALSE),1,0)</f>
        <v>1</v>
      </c>
    </row>
    <row r="99" spans="1:56" x14ac:dyDescent="0.25">
      <c r="A99">
        <f t="shared" si="1"/>
        <v>42</v>
      </c>
      <c r="B99">
        <v>0</v>
      </c>
      <c r="C99">
        <f>IF(VLOOKUP(C$1,main!$A$3:$I$56,5,FALSE)-VLOOKUP($A99,main!$A$3:$I$56,6,FALSE)&gt;=VLOOKUP(56,main!$A$57:$I$59,4,FALSE)+VLOOKUP(VLOOKUP(C$1,main!$A$3:$I$56,7,FALSE),main!$K$10:$Q$14,4,FALSE),1,0)</f>
        <v>0</v>
      </c>
      <c r="D99">
        <f>IF(VLOOKUP(D$1,main!$A$3:$I$56,5,FALSE)-VLOOKUP($A99,main!$A$3:$I$56,6,FALSE)&gt;=VLOOKUP(56,main!$A$57:$I$59,4,FALSE)+VLOOKUP(VLOOKUP(D$1,main!$A$3:$I$56,7,FALSE),main!$K$10:$Q$14,4,FALSE),1,0)</f>
        <v>0</v>
      </c>
      <c r="E99">
        <f>IF(VLOOKUP(E$1,main!$A$3:$I$56,5,FALSE)-VLOOKUP($A99,main!$A$3:$I$56,6,FALSE)&gt;=VLOOKUP(56,main!$A$57:$I$59,4,FALSE)+VLOOKUP(VLOOKUP(E$1,main!$A$3:$I$56,7,FALSE),main!$K$10:$Q$14,4,FALSE),1,0)</f>
        <v>1</v>
      </c>
      <c r="F99">
        <f>IF(VLOOKUP(F$1,main!$A$3:$I$56,5,FALSE)-VLOOKUP($A99,main!$A$3:$I$56,6,FALSE)&gt;=VLOOKUP(56,main!$A$57:$I$59,4,FALSE)+VLOOKUP(VLOOKUP(F$1,main!$A$3:$I$56,7,FALSE),main!$K$10:$Q$14,4,FALSE),1,0)</f>
        <v>1</v>
      </c>
      <c r="G99">
        <f>IF(VLOOKUP(G$1,main!$A$3:$I$56,5,FALSE)-VLOOKUP($A99,main!$A$3:$I$56,6,FALSE)&gt;=VLOOKUP(56,main!$A$57:$I$59,4,FALSE)+VLOOKUP(VLOOKUP(G$1,main!$A$3:$I$56,7,FALSE),main!$K$10:$Q$14,4,FALSE),1,0)</f>
        <v>1</v>
      </c>
      <c r="H99">
        <f>IF(VLOOKUP(H$1,main!$A$3:$I$56,5,FALSE)-VLOOKUP($A99,main!$A$3:$I$56,6,FALSE)&gt;=VLOOKUP(56,main!$A$57:$I$59,4,FALSE)+VLOOKUP(VLOOKUP(H$1,main!$A$3:$I$56,7,FALSE),main!$K$10:$Q$14,4,FALSE),1,0)</f>
        <v>1</v>
      </c>
      <c r="I99">
        <f>IF(VLOOKUP(I$1,main!$A$3:$I$56,5,FALSE)-VLOOKUP($A99,main!$A$3:$I$56,6,FALSE)&gt;=VLOOKUP(56,main!$A$57:$I$59,4,FALSE)+VLOOKUP(VLOOKUP(I$1,main!$A$3:$I$56,7,FALSE),main!$K$10:$Q$14,4,FALSE),1,0)</f>
        <v>1</v>
      </c>
      <c r="J99">
        <f>IF(VLOOKUP(J$1,main!$A$3:$I$56,5,FALSE)-VLOOKUP($A99,main!$A$3:$I$56,6,FALSE)&gt;=VLOOKUP(56,main!$A$57:$I$59,4,FALSE)+VLOOKUP(VLOOKUP(J$1,main!$A$3:$I$56,7,FALSE),main!$K$10:$Q$14,4,FALSE),1,0)</f>
        <v>1</v>
      </c>
      <c r="K99">
        <f>IF(VLOOKUP(K$1,main!$A$3:$I$56,5,FALSE)-VLOOKUP($A99,main!$A$3:$I$56,6,FALSE)&gt;=VLOOKUP(56,main!$A$57:$I$59,4,FALSE)+VLOOKUP(VLOOKUP(K$1,main!$A$3:$I$56,7,FALSE),main!$K$10:$Q$14,4,FALSE),1,0)</f>
        <v>0</v>
      </c>
      <c r="L99">
        <f>IF(VLOOKUP(L$1,main!$A$3:$I$56,5,FALSE)-VLOOKUP($A99,main!$A$3:$I$56,6,FALSE)&gt;=VLOOKUP(56,main!$A$57:$I$59,4,FALSE)+VLOOKUP(VLOOKUP(L$1,main!$A$3:$I$56,7,FALSE),main!$K$10:$Q$14,4,FALSE),1,0)</f>
        <v>0</v>
      </c>
      <c r="M99">
        <f>IF(VLOOKUP(M$1,main!$A$3:$I$56,5,FALSE)-VLOOKUP($A99,main!$A$3:$I$56,6,FALSE)&gt;=VLOOKUP(56,main!$A$57:$I$59,4,FALSE)+VLOOKUP(VLOOKUP(M$1,main!$A$3:$I$56,7,FALSE),main!$K$10:$Q$14,4,FALSE),1,0)</f>
        <v>1</v>
      </c>
      <c r="N99">
        <f>IF(VLOOKUP(N$1,main!$A$3:$I$56,5,FALSE)-VLOOKUP($A99,main!$A$3:$I$56,6,FALSE)&gt;=VLOOKUP(56,main!$A$57:$I$59,4,FALSE)+VLOOKUP(VLOOKUP(N$1,main!$A$3:$I$56,7,FALSE),main!$K$10:$Q$14,4,FALSE),1,0)</f>
        <v>1</v>
      </c>
      <c r="O99">
        <f>IF(VLOOKUP(O$1,main!$A$3:$I$56,5,FALSE)-VLOOKUP($A99,main!$A$3:$I$56,6,FALSE)&gt;=VLOOKUP(56,main!$A$57:$I$59,4,FALSE)+VLOOKUP(VLOOKUP(O$1,main!$A$3:$I$56,7,FALSE),main!$K$10:$Q$14,4,FALSE),1,0)</f>
        <v>1</v>
      </c>
      <c r="P99">
        <f>IF(VLOOKUP(P$1,main!$A$3:$I$56,5,FALSE)-VLOOKUP($A99,main!$A$3:$I$56,6,FALSE)&gt;=VLOOKUP(56,main!$A$57:$I$59,4,FALSE)+VLOOKUP(VLOOKUP(P$1,main!$A$3:$I$56,7,FALSE),main!$K$10:$Q$14,4,FALSE),1,0)</f>
        <v>0</v>
      </c>
      <c r="Q99">
        <f>IF(VLOOKUP(Q$1,main!$A$3:$I$56,5,FALSE)-VLOOKUP($A99,main!$A$3:$I$56,6,FALSE)&gt;=VLOOKUP(56,main!$A$57:$I$59,4,FALSE)+VLOOKUP(VLOOKUP(Q$1,main!$A$3:$I$56,7,FALSE),main!$K$10:$Q$14,4,FALSE),1,0)</f>
        <v>0</v>
      </c>
      <c r="R99">
        <f>IF(VLOOKUP(R$1,main!$A$3:$I$56,5,FALSE)-VLOOKUP($A99,main!$A$3:$I$56,6,FALSE)&gt;=VLOOKUP(56,main!$A$57:$I$59,4,FALSE)+VLOOKUP(VLOOKUP(R$1,main!$A$3:$I$56,7,FALSE),main!$K$10:$Q$14,4,FALSE),1,0)</f>
        <v>0</v>
      </c>
      <c r="S99">
        <f>IF(VLOOKUP(S$1,main!$A$3:$I$56,5,FALSE)-VLOOKUP($A99,main!$A$3:$I$56,6,FALSE)&gt;=VLOOKUP(56,main!$A$57:$I$59,4,FALSE)+VLOOKUP(VLOOKUP(S$1,main!$A$3:$I$56,7,FALSE),main!$K$10:$Q$14,4,FALSE),1,0)</f>
        <v>1</v>
      </c>
      <c r="T99">
        <f>IF(VLOOKUP(T$1,main!$A$3:$I$56,5,FALSE)-VLOOKUP($A99,main!$A$3:$I$56,6,FALSE)&gt;=VLOOKUP(56,main!$A$57:$I$59,4,FALSE)+VLOOKUP(VLOOKUP(T$1,main!$A$3:$I$56,7,FALSE),main!$K$10:$Q$14,4,FALSE),1,0)</f>
        <v>1</v>
      </c>
      <c r="U99">
        <f>IF(VLOOKUP(U$1,main!$A$3:$I$56,5,FALSE)-VLOOKUP($A99,main!$A$3:$I$56,6,FALSE)&gt;=VLOOKUP(56,main!$A$57:$I$59,4,FALSE)+VLOOKUP(VLOOKUP(U$1,main!$A$3:$I$56,7,FALSE),main!$K$10:$Q$14,4,FALSE),1,0)</f>
        <v>0</v>
      </c>
      <c r="V99">
        <f>IF(VLOOKUP(V$1,main!$A$3:$I$56,5,FALSE)-VLOOKUP($A99,main!$A$3:$I$56,6,FALSE)&gt;=VLOOKUP(56,main!$A$57:$I$59,4,FALSE)+VLOOKUP(VLOOKUP(V$1,main!$A$3:$I$56,7,FALSE),main!$K$10:$Q$14,4,FALSE),1,0)</f>
        <v>0</v>
      </c>
      <c r="W99">
        <f>IF(VLOOKUP(W$1,main!$A$3:$I$56,5,FALSE)-VLOOKUP($A99,main!$A$3:$I$56,6,FALSE)&gt;=VLOOKUP(56,main!$A$57:$I$59,4,FALSE)+VLOOKUP(VLOOKUP(W$1,main!$A$3:$I$56,7,FALSE),main!$K$10:$Q$14,4,FALSE),1,0)</f>
        <v>0</v>
      </c>
      <c r="X99">
        <f>IF(VLOOKUP(X$1,main!$A$3:$I$56,5,FALSE)-VLOOKUP($A99,main!$A$3:$I$56,6,FALSE)&gt;=VLOOKUP(56,main!$A$57:$I$59,4,FALSE)+VLOOKUP(VLOOKUP(X$1,main!$A$3:$I$56,7,FALSE),main!$K$10:$Q$14,4,FALSE),1,0)</f>
        <v>0</v>
      </c>
      <c r="Y99">
        <f>IF(VLOOKUP(Y$1,main!$A$3:$I$56,5,FALSE)-VLOOKUP($A99,main!$A$3:$I$56,6,FALSE)&gt;=VLOOKUP(56,main!$A$57:$I$59,4,FALSE)+VLOOKUP(VLOOKUP(Y$1,main!$A$3:$I$56,7,FALSE),main!$K$10:$Q$14,4,FALSE),1,0)</f>
        <v>0</v>
      </c>
      <c r="Z99">
        <f>IF(VLOOKUP(Z$1,main!$A$3:$I$56,5,FALSE)-VLOOKUP($A99,main!$A$3:$I$56,6,FALSE)&gt;=VLOOKUP(56,main!$A$57:$I$59,4,FALSE)+VLOOKUP(VLOOKUP(Z$1,main!$A$3:$I$56,7,FALSE),main!$K$10:$Q$14,4,FALSE),1,0)</f>
        <v>1</v>
      </c>
      <c r="AA99">
        <f>IF(VLOOKUP(AA$1,main!$A$3:$I$56,5,FALSE)-VLOOKUP($A99,main!$A$3:$I$56,6,FALSE)&gt;=VLOOKUP(56,main!$A$57:$I$59,4,FALSE)+VLOOKUP(VLOOKUP(AA$1,main!$A$3:$I$56,7,FALSE),main!$K$10:$Q$14,4,FALSE),1,0)</f>
        <v>1</v>
      </c>
      <c r="AB99">
        <f>IF(VLOOKUP(AB$1,main!$A$3:$I$56,5,FALSE)-VLOOKUP($A99,main!$A$3:$I$56,6,FALSE)&gt;=VLOOKUP(56,main!$A$57:$I$59,4,FALSE)+VLOOKUP(VLOOKUP(AB$1,main!$A$3:$I$56,7,FALSE),main!$K$10:$Q$14,4,FALSE),1,0)</f>
        <v>1</v>
      </c>
      <c r="AC99">
        <f>IF(VLOOKUP(AC$1,main!$A$3:$I$56,5,FALSE)-VLOOKUP($A99,main!$A$3:$I$56,6,FALSE)&gt;=VLOOKUP(56,main!$A$57:$I$59,4,FALSE)+VLOOKUP(VLOOKUP(AC$1,main!$A$3:$I$56,7,FALSE),main!$K$10:$Q$14,4,FALSE),1,0)</f>
        <v>0</v>
      </c>
      <c r="AD99">
        <f>IF(VLOOKUP(AD$1,main!$A$3:$I$56,5,FALSE)-VLOOKUP($A99,main!$A$3:$I$56,6,FALSE)&gt;=VLOOKUP(56,main!$A$57:$I$59,4,FALSE)+VLOOKUP(VLOOKUP(AD$1,main!$A$3:$I$56,7,FALSE),main!$K$10:$Q$14,4,FALSE),1,0)</f>
        <v>0</v>
      </c>
      <c r="AE99">
        <f>IF(VLOOKUP(AE$1,main!$A$3:$I$56,5,FALSE)-VLOOKUP($A99,main!$A$3:$I$56,6,FALSE)&gt;=VLOOKUP(56,main!$A$57:$I$59,4,FALSE)+VLOOKUP(VLOOKUP(AE$1,main!$A$3:$I$56,7,FALSE),main!$K$10:$Q$14,4,FALSE),1,0)</f>
        <v>0</v>
      </c>
      <c r="AF99">
        <f>IF(VLOOKUP(AF$1,main!$A$3:$I$56,5,FALSE)-VLOOKUP($A99,main!$A$3:$I$56,6,FALSE)&gt;=VLOOKUP(56,main!$A$57:$I$59,4,FALSE)+VLOOKUP(VLOOKUP(AF$1,main!$A$3:$I$56,7,FALSE),main!$K$10:$Q$14,4,FALSE),1,0)</f>
        <v>1</v>
      </c>
      <c r="AG99">
        <f>IF(VLOOKUP(AG$1,main!$A$3:$I$56,5,FALSE)-VLOOKUP($A99,main!$A$3:$I$56,6,FALSE)&gt;=VLOOKUP(56,main!$A$57:$I$59,4,FALSE)+VLOOKUP(VLOOKUP(AG$1,main!$A$3:$I$56,7,FALSE),main!$K$10:$Q$14,4,FALSE),1,0)</f>
        <v>0</v>
      </c>
      <c r="AH99">
        <f>IF(VLOOKUP(AH$1,main!$A$3:$I$56,5,FALSE)-VLOOKUP($A99,main!$A$3:$I$56,6,FALSE)&gt;=VLOOKUP(56,main!$A$57:$I$59,4,FALSE)+VLOOKUP(VLOOKUP(AH$1,main!$A$3:$I$56,7,FALSE),main!$K$10:$Q$14,4,FALSE),1,0)</f>
        <v>0</v>
      </c>
      <c r="AI99">
        <f>IF(VLOOKUP(AI$1,main!$A$3:$I$56,5,FALSE)-VLOOKUP($A99,main!$A$3:$I$56,6,FALSE)&gt;=VLOOKUP(56,main!$A$57:$I$59,4,FALSE)+VLOOKUP(VLOOKUP(AI$1,main!$A$3:$I$56,7,FALSE),main!$K$10:$Q$14,4,FALSE),1,0)</f>
        <v>0</v>
      </c>
      <c r="AJ99">
        <f>IF(VLOOKUP(AJ$1,main!$A$3:$I$56,5,FALSE)-VLOOKUP($A99,main!$A$3:$I$56,6,FALSE)&gt;=VLOOKUP(56,main!$A$57:$I$59,4,FALSE)+VLOOKUP(VLOOKUP(AJ$1,main!$A$3:$I$56,7,FALSE),main!$K$10:$Q$14,4,FALSE),1,0)</f>
        <v>0</v>
      </c>
      <c r="AK99">
        <f>IF(VLOOKUP(AK$1,main!$A$3:$I$56,5,FALSE)-VLOOKUP($A99,main!$A$3:$I$56,6,FALSE)&gt;=VLOOKUP(56,main!$A$57:$I$59,4,FALSE)+VLOOKUP(VLOOKUP(AK$1,main!$A$3:$I$56,7,FALSE),main!$K$10:$Q$14,4,FALSE),1,0)</f>
        <v>1</v>
      </c>
      <c r="AL99">
        <f>IF(VLOOKUP(AL$1,main!$A$3:$I$56,5,FALSE)-VLOOKUP($A99,main!$A$3:$I$56,6,FALSE)&gt;=VLOOKUP(56,main!$A$57:$I$59,4,FALSE)+VLOOKUP(VLOOKUP(AL$1,main!$A$3:$I$56,7,FALSE),main!$K$10:$Q$14,4,FALSE),1,0)</f>
        <v>0</v>
      </c>
      <c r="AM99">
        <f>IF(VLOOKUP(AM$1,main!$A$3:$I$56,5,FALSE)-VLOOKUP($A99,main!$A$3:$I$56,6,FALSE)&gt;=VLOOKUP(56,main!$A$57:$I$59,4,FALSE)+VLOOKUP(VLOOKUP(AM$1,main!$A$3:$I$56,7,FALSE),main!$K$10:$Q$14,4,FALSE),1,0)</f>
        <v>0</v>
      </c>
      <c r="AN99">
        <f>IF(VLOOKUP(AN$1,main!$A$3:$I$56,5,FALSE)-VLOOKUP($A99,main!$A$3:$I$56,6,FALSE)&gt;=VLOOKUP(56,main!$A$57:$I$59,4,FALSE)+VLOOKUP(VLOOKUP(AN$1,main!$A$3:$I$56,7,FALSE),main!$K$10:$Q$14,4,FALSE),1,0)</f>
        <v>0</v>
      </c>
      <c r="AO99">
        <f>IF(VLOOKUP(AO$1,main!$A$3:$I$56,5,FALSE)-VLOOKUP($A99,main!$A$3:$I$56,6,FALSE)&gt;=VLOOKUP(56,main!$A$57:$I$59,4,FALSE)+VLOOKUP(VLOOKUP(AO$1,main!$A$3:$I$56,7,FALSE),main!$K$10:$Q$14,4,FALSE),1,0)</f>
        <v>1</v>
      </c>
      <c r="AP99">
        <f>IF(VLOOKUP(AP$1,main!$A$3:$I$56,5,FALSE)-VLOOKUP($A99,main!$A$3:$I$56,6,FALSE)&gt;=VLOOKUP(56,main!$A$57:$I$59,4,FALSE)+VLOOKUP(VLOOKUP(AP$1,main!$A$3:$I$56,7,FALSE),main!$K$10:$Q$14,4,FALSE),1,0)</f>
        <v>0</v>
      </c>
      <c r="AQ99">
        <f>IF(VLOOKUP(AQ$1,main!$A$3:$I$56,5,FALSE)-VLOOKUP($A99,main!$A$3:$I$56,6,FALSE)&gt;=VLOOKUP(56,main!$A$57:$I$59,4,FALSE)+VLOOKUP(VLOOKUP(AQ$1,main!$A$3:$I$56,7,FALSE),main!$K$10:$Q$14,4,FALSE),1,0)</f>
        <v>0</v>
      </c>
      <c r="AR99">
        <f>IF(VLOOKUP(AR$1,main!$A$3:$I$56,5,FALSE)-VLOOKUP($A99,main!$A$3:$I$56,6,FALSE)&gt;=VLOOKUP(56,main!$A$57:$I$59,4,FALSE)+VLOOKUP(VLOOKUP(AR$1,main!$A$3:$I$56,7,FALSE),main!$K$10:$Q$14,4,FALSE),1,0)</f>
        <v>0</v>
      </c>
      <c r="AS99">
        <f>IF(VLOOKUP(AS$1,main!$A$3:$I$56,5,FALSE)-VLOOKUP($A99,main!$A$3:$I$56,6,FALSE)&gt;=VLOOKUP(56,main!$A$57:$I$59,4,FALSE)+VLOOKUP(VLOOKUP(AS$1,main!$A$3:$I$56,7,FALSE),main!$K$10:$Q$14,4,FALSE),1,0)</f>
        <v>0</v>
      </c>
      <c r="AT99">
        <f>IF(VLOOKUP(AT$1,main!$A$3:$I$56,5,FALSE)-VLOOKUP($A99,main!$A$3:$I$56,6,FALSE)&gt;=VLOOKUP(56,main!$A$57:$I$59,4,FALSE)+VLOOKUP(VLOOKUP(AT$1,main!$A$3:$I$56,7,FALSE),main!$K$10:$Q$14,4,FALSE),1,0)</f>
        <v>0</v>
      </c>
      <c r="AU99">
        <f>IF(VLOOKUP(AU$1,main!$A$3:$I$56,5,FALSE)-VLOOKUP($A99,main!$A$3:$I$56,6,FALSE)&gt;=VLOOKUP(56,main!$A$57:$I$59,4,FALSE)+VLOOKUP(VLOOKUP(AU$1,main!$A$3:$I$56,7,FALSE),main!$K$10:$Q$14,4,FALSE),1,0)</f>
        <v>0</v>
      </c>
      <c r="AV99">
        <f>IF(VLOOKUP(AV$1,main!$A$3:$I$56,5,FALSE)-VLOOKUP($A99,main!$A$3:$I$56,6,FALSE)&gt;=VLOOKUP(56,main!$A$57:$I$59,4,FALSE)+VLOOKUP(VLOOKUP(AV$1,main!$A$3:$I$56,7,FALSE),main!$K$10:$Q$14,4,FALSE),1,0)</f>
        <v>0</v>
      </c>
      <c r="AW99">
        <f>IF(VLOOKUP(AW$1,main!$A$3:$I$56,5,FALSE)-VLOOKUP($A99,main!$A$3:$I$56,6,FALSE)&gt;=VLOOKUP(56,main!$A$57:$I$59,4,FALSE)+VLOOKUP(VLOOKUP(AW$1,main!$A$3:$I$56,7,FALSE),main!$K$10:$Q$14,4,FALSE),1,0)</f>
        <v>0</v>
      </c>
      <c r="AX99">
        <f>IF(VLOOKUP(AX$1,main!$A$3:$I$56,5,FALSE)-VLOOKUP($A99,main!$A$3:$I$56,6,FALSE)&gt;=VLOOKUP(56,main!$A$57:$I$59,4,FALSE)+VLOOKUP(VLOOKUP(AX$1,main!$A$3:$I$56,7,FALSE),main!$K$10:$Q$14,4,FALSE),1,0)</f>
        <v>0</v>
      </c>
      <c r="AY99">
        <f>IF(VLOOKUP(AY$1,main!$A$3:$I$56,5,FALSE)-VLOOKUP($A99,main!$A$3:$I$56,6,FALSE)&gt;=VLOOKUP(56,main!$A$57:$I$59,4,FALSE)+VLOOKUP(VLOOKUP(AY$1,main!$A$3:$I$56,7,FALSE),main!$K$10:$Q$14,4,FALSE),1,0)</f>
        <v>1</v>
      </c>
      <c r="AZ99">
        <f>IF(VLOOKUP(AZ$1,main!$A$3:$I$56,5,FALSE)-VLOOKUP($A99,main!$A$3:$I$56,6,FALSE)&gt;=VLOOKUP(56,main!$A$57:$I$59,4,FALSE)+VLOOKUP(VLOOKUP(AZ$1,main!$A$3:$I$56,7,FALSE),main!$K$10:$Q$14,4,FALSE),1,0)</f>
        <v>0</v>
      </c>
      <c r="BA99">
        <f>IF(VLOOKUP(BA$1,main!$A$3:$I$56,5,FALSE)-VLOOKUP($A99,main!$A$3:$I$56,6,FALSE)&gt;=VLOOKUP(56,main!$A$57:$I$59,4,FALSE)+VLOOKUP(VLOOKUP(BA$1,main!$A$3:$I$56,7,FALSE),main!$K$10:$Q$14,4,FALSE),1,0)</f>
        <v>0</v>
      </c>
      <c r="BB99">
        <f>IF(VLOOKUP(BB$1,main!$A$3:$I$56,5,FALSE)-VLOOKUP($A99,main!$A$3:$I$56,6,FALSE)&gt;=VLOOKUP(56,main!$A$57:$I$59,4,FALSE)+VLOOKUP(VLOOKUP(BB$1,main!$A$3:$I$56,7,FALSE),main!$K$10:$Q$14,4,FALSE),1,0)</f>
        <v>0</v>
      </c>
      <c r="BC99">
        <f>IF(VLOOKUP(BC$1,main!$A$3:$I$56,5,FALSE)-VLOOKUP($A99,main!$A$3:$I$56,6,FALSE)&gt;=VLOOKUP(56,main!$A$57:$I$59,4,FALSE)+VLOOKUP(VLOOKUP(BC$1,main!$A$3:$I$56,7,FALSE),main!$K$10:$Q$14,4,FALSE),1,0)</f>
        <v>0</v>
      </c>
      <c r="BD99">
        <f>IF(VLOOKUP(BD$1,main!$A$3:$I$56,5,FALSE)-VLOOKUP($A99,main!$A$3:$I$56,6,FALSE)&gt;=VLOOKUP(56,main!$A$57:$I$59,4,FALSE)+VLOOKUP(VLOOKUP(BD$1,main!$A$3:$I$56,7,FALSE),main!$K$10:$Q$14,4,FALSE),1,0)</f>
        <v>0</v>
      </c>
    </row>
    <row r="100" spans="1:56" x14ac:dyDescent="0.25">
      <c r="A100">
        <f t="shared" si="1"/>
        <v>43</v>
      </c>
      <c r="B100">
        <v>0</v>
      </c>
      <c r="C100">
        <f>IF(VLOOKUP(C$1,main!$A$3:$I$56,5,FALSE)-VLOOKUP($A100,main!$A$3:$I$56,6,FALSE)&gt;=VLOOKUP(56,main!$A$57:$I$59,4,FALSE)+VLOOKUP(VLOOKUP(C$1,main!$A$3:$I$56,7,FALSE),main!$K$10:$Q$14,4,FALSE),1,0)</f>
        <v>0</v>
      </c>
      <c r="D100">
        <f>IF(VLOOKUP(D$1,main!$A$3:$I$56,5,FALSE)-VLOOKUP($A100,main!$A$3:$I$56,6,FALSE)&gt;=VLOOKUP(56,main!$A$57:$I$59,4,FALSE)+VLOOKUP(VLOOKUP(D$1,main!$A$3:$I$56,7,FALSE),main!$K$10:$Q$14,4,FALSE),1,0)</f>
        <v>0</v>
      </c>
      <c r="E100">
        <f>IF(VLOOKUP(E$1,main!$A$3:$I$56,5,FALSE)-VLOOKUP($A100,main!$A$3:$I$56,6,FALSE)&gt;=VLOOKUP(56,main!$A$57:$I$59,4,FALSE)+VLOOKUP(VLOOKUP(E$1,main!$A$3:$I$56,7,FALSE),main!$K$10:$Q$14,4,FALSE),1,0)</f>
        <v>0</v>
      </c>
      <c r="F100">
        <f>IF(VLOOKUP(F$1,main!$A$3:$I$56,5,FALSE)-VLOOKUP($A100,main!$A$3:$I$56,6,FALSE)&gt;=VLOOKUP(56,main!$A$57:$I$59,4,FALSE)+VLOOKUP(VLOOKUP(F$1,main!$A$3:$I$56,7,FALSE),main!$K$10:$Q$14,4,FALSE),1,0)</f>
        <v>0</v>
      </c>
      <c r="G100">
        <f>IF(VLOOKUP(G$1,main!$A$3:$I$56,5,FALSE)-VLOOKUP($A100,main!$A$3:$I$56,6,FALSE)&gt;=VLOOKUP(56,main!$A$57:$I$59,4,FALSE)+VLOOKUP(VLOOKUP(G$1,main!$A$3:$I$56,7,FALSE),main!$K$10:$Q$14,4,FALSE),1,0)</f>
        <v>1</v>
      </c>
      <c r="H100">
        <f>IF(VLOOKUP(H$1,main!$A$3:$I$56,5,FALSE)-VLOOKUP($A100,main!$A$3:$I$56,6,FALSE)&gt;=VLOOKUP(56,main!$A$57:$I$59,4,FALSE)+VLOOKUP(VLOOKUP(H$1,main!$A$3:$I$56,7,FALSE),main!$K$10:$Q$14,4,FALSE),1,0)</f>
        <v>1</v>
      </c>
      <c r="I100">
        <f>IF(VLOOKUP(I$1,main!$A$3:$I$56,5,FALSE)-VLOOKUP($A100,main!$A$3:$I$56,6,FALSE)&gt;=VLOOKUP(56,main!$A$57:$I$59,4,FALSE)+VLOOKUP(VLOOKUP(I$1,main!$A$3:$I$56,7,FALSE),main!$K$10:$Q$14,4,FALSE),1,0)</f>
        <v>1</v>
      </c>
      <c r="J100">
        <f>IF(VLOOKUP(J$1,main!$A$3:$I$56,5,FALSE)-VLOOKUP($A100,main!$A$3:$I$56,6,FALSE)&gt;=VLOOKUP(56,main!$A$57:$I$59,4,FALSE)+VLOOKUP(VLOOKUP(J$1,main!$A$3:$I$56,7,FALSE),main!$K$10:$Q$14,4,FALSE),1,0)</f>
        <v>1</v>
      </c>
      <c r="K100">
        <f>IF(VLOOKUP(K$1,main!$A$3:$I$56,5,FALSE)-VLOOKUP($A100,main!$A$3:$I$56,6,FALSE)&gt;=VLOOKUP(56,main!$A$57:$I$59,4,FALSE)+VLOOKUP(VLOOKUP(K$1,main!$A$3:$I$56,7,FALSE),main!$K$10:$Q$14,4,FALSE),1,0)</f>
        <v>0</v>
      </c>
      <c r="L100">
        <f>IF(VLOOKUP(L$1,main!$A$3:$I$56,5,FALSE)-VLOOKUP($A100,main!$A$3:$I$56,6,FALSE)&gt;=VLOOKUP(56,main!$A$57:$I$59,4,FALSE)+VLOOKUP(VLOOKUP(L$1,main!$A$3:$I$56,7,FALSE),main!$K$10:$Q$14,4,FALSE),1,0)</f>
        <v>0</v>
      </c>
      <c r="M100">
        <f>IF(VLOOKUP(M$1,main!$A$3:$I$56,5,FALSE)-VLOOKUP($A100,main!$A$3:$I$56,6,FALSE)&gt;=VLOOKUP(56,main!$A$57:$I$59,4,FALSE)+VLOOKUP(VLOOKUP(M$1,main!$A$3:$I$56,7,FALSE),main!$K$10:$Q$14,4,FALSE),1,0)</f>
        <v>0</v>
      </c>
      <c r="N100">
        <f>IF(VLOOKUP(N$1,main!$A$3:$I$56,5,FALSE)-VLOOKUP($A100,main!$A$3:$I$56,6,FALSE)&gt;=VLOOKUP(56,main!$A$57:$I$59,4,FALSE)+VLOOKUP(VLOOKUP(N$1,main!$A$3:$I$56,7,FALSE),main!$K$10:$Q$14,4,FALSE),1,0)</f>
        <v>1</v>
      </c>
      <c r="O100">
        <f>IF(VLOOKUP(O$1,main!$A$3:$I$56,5,FALSE)-VLOOKUP($A100,main!$A$3:$I$56,6,FALSE)&gt;=VLOOKUP(56,main!$A$57:$I$59,4,FALSE)+VLOOKUP(VLOOKUP(O$1,main!$A$3:$I$56,7,FALSE),main!$K$10:$Q$14,4,FALSE),1,0)</f>
        <v>1</v>
      </c>
      <c r="P100">
        <f>IF(VLOOKUP(P$1,main!$A$3:$I$56,5,FALSE)-VLOOKUP($A100,main!$A$3:$I$56,6,FALSE)&gt;=VLOOKUP(56,main!$A$57:$I$59,4,FALSE)+VLOOKUP(VLOOKUP(P$1,main!$A$3:$I$56,7,FALSE),main!$K$10:$Q$14,4,FALSE),1,0)</f>
        <v>0</v>
      </c>
      <c r="Q100">
        <f>IF(VLOOKUP(Q$1,main!$A$3:$I$56,5,FALSE)-VLOOKUP($A100,main!$A$3:$I$56,6,FALSE)&gt;=VLOOKUP(56,main!$A$57:$I$59,4,FALSE)+VLOOKUP(VLOOKUP(Q$1,main!$A$3:$I$56,7,FALSE),main!$K$10:$Q$14,4,FALSE),1,0)</f>
        <v>0</v>
      </c>
      <c r="R100">
        <f>IF(VLOOKUP(R$1,main!$A$3:$I$56,5,FALSE)-VLOOKUP($A100,main!$A$3:$I$56,6,FALSE)&gt;=VLOOKUP(56,main!$A$57:$I$59,4,FALSE)+VLOOKUP(VLOOKUP(R$1,main!$A$3:$I$56,7,FALSE),main!$K$10:$Q$14,4,FALSE),1,0)</f>
        <v>0</v>
      </c>
      <c r="S100">
        <f>IF(VLOOKUP(S$1,main!$A$3:$I$56,5,FALSE)-VLOOKUP($A100,main!$A$3:$I$56,6,FALSE)&gt;=VLOOKUP(56,main!$A$57:$I$59,4,FALSE)+VLOOKUP(VLOOKUP(S$1,main!$A$3:$I$56,7,FALSE),main!$K$10:$Q$14,4,FALSE),1,0)</f>
        <v>1</v>
      </c>
      <c r="T100">
        <f>IF(VLOOKUP(T$1,main!$A$3:$I$56,5,FALSE)-VLOOKUP($A100,main!$A$3:$I$56,6,FALSE)&gt;=VLOOKUP(56,main!$A$57:$I$59,4,FALSE)+VLOOKUP(VLOOKUP(T$1,main!$A$3:$I$56,7,FALSE),main!$K$10:$Q$14,4,FALSE),1,0)</f>
        <v>1</v>
      </c>
      <c r="U100">
        <f>IF(VLOOKUP(U$1,main!$A$3:$I$56,5,FALSE)-VLOOKUP($A100,main!$A$3:$I$56,6,FALSE)&gt;=VLOOKUP(56,main!$A$57:$I$59,4,FALSE)+VLOOKUP(VLOOKUP(U$1,main!$A$3:$I$56,7,FALSE),main!$K$10:$Q$14,4,FALSE),1,0)</f>
        <v>0</v>
      </c>
      <c r="V100">
        <f>IF(VLOOKUP(V$1,main!$A$3:$I$56,5,FALSE)-VLOOKUP($A100,main!$A$3:$I$56,6,FALSE)&gt;=VLOOKUP(56,main!$A$57:$I$59,4,FALSE)+VLOOKUP(VLOOKUP(V$1,main!$A$3:$I$56,7,FALSE),main!$K$10:$Q$14,4,FALSE),1,0)</f>
        <v>0</v>
      </c>
      <c r="W100">
        <f>IF(VLOOKUP(W$1,main!$A$3:$I$56,5,FALSE)-VLOOKUP($A100,main!$A$3:$I$56,6,FALSE)&gt;=VLOOKUP(56,main!$A$57:$I$59,4,FALSE)+VLOOKUP(VLOOKUP(W$1,main!$A$3:$I$56,7,FALSE),main!$K$10:$Q$14,4,FALSE),1,0)</f>
        <v>0</v>
      </c>
      <c r="X100">
        <f>IF(VLOOKUP(X$1,main!$A$3:$I$56,5,FALSE)-VLOOKUP($A100,main!$A$3:$I$56,6,FALSE)&gt;=VLOOKUP(56,main!$A$57:$I$59,4,FALSE)+VLOOKUP(VLOOKUP(X$1,main!$A$3:$I$56,7,FALSE),main!$K$10:$Q$14,4,FALSE),1,0)</f>
        <v>0</v>
      </c>
      <c r="Y100">
        <f>IF(VLOOKUP(Y$1,main!$A$3:$I$56,5,FALSE)-VLOOKUP($A100,main!$A$3:$I$56,6,FALSE)&gt;=VLOOKUP(56,main!$A$57:$I$59,4,FALSE)+VLOOKUP(VLOOKUP(Y$1,main!$A$3:$I$56,7,FALSE),main!$K$10:$Q$14,4,FALSE),1,0)</f>
        <v>0</v>
      </c>
      <c r="Z100">
        <f>IF(VLOOKUP(Z$1,main!$A$3:$I$56,5,FALSE)-VLOOKUP($A100,main!$A$3:$I$56,6,FALSE)&gt;=VLOOKUP(56,main!$A$57:$I$59,4,FALSE)+VLOOKUP(VLOOKUP(Z$1,main!$A$3:$I$56,7,FALSE),main!$K$10:$Q$14,4,FALSE),1,0)</f>
        <v>0</v>
      </c>
      <c r="AA100">
        <f>IF(VLOOKUP(AA$1,main!$A$3:$I$56,5,FALSE)-VLOOKUP($A100,main!$A$3:$I$56,6,FALSE)&gt;=VLOOKUP(56,main!$A$57:$I$59,4,FALSE)+VLOOKUP(VLOOKUP(AA$1,main!$A$3:$I$56,7,FALSE),main!$K$10:$Q$14,4,FALSE),1,0)</f>
        <v>0</v>
      </c>
      <c r="AB100">
        <f>IF(VLOOKUP(AB$1,main!$A$3:$I$56,5,FALSE)-VLOOKUP($A100,main!$A$3:$I$56,6,FALSE)&gt;=VLOOKUP(56,main!$A$57:$I$59,4,FALSE)+VLOOKUP(VLOOKUP(AB$1,main!$A$3:$I$56,7,FALSE),main!$K$10:$Q$14,4,FALSE),1,0)</f>
        <v>1</v>
      </c>
      <c r="AC100">
        <f>IF(VLOOKUP(AC$1,main!$A$3:$I$56,5,FALSE)-VLOOKUP($A100,main!$A$3:$I$56,6,FALSE)&gt;=VLOOKUP(56,main!$A$57:$I$59,4,FALSE)+VLOOKUP(VLOOKUP(AC$1,main!$A$3:$I$56,7,FALSE),main!$K$10:$Q$14,4,FALSE),1,0)</f>
        <v>0</v>
      </c>
      <c r="AD100">
        <f>IF(VLOOKUP(AD$1,main!$A$3:$I$56,5,FALSE)-VLOOKUP($A100,main!$A$3:$I$56,6,FALSE)&gt;=VLOOKUP(56,main!$A$57:$I$59,4,FALSE)+VLOOKUP(VLOOKUP(AD$1,main!$A$3:$I$56,7,FALSE),main!$K$10:$Q$14,4,FALSE),1,0)</f>
        <v>0</v>
      </c>
      <c r="AE100">
        <f>IF(VLOOKUP(AE$1,main!$A$3:$I$56,5,FALSE)-VLOOKUP($A100,main!$A$3:$I$56,6,FALSE)&gt;=VLOOKUP(56,main!$A$57:$I$59,4,FALSE)+VLOOKUP(VLOOKUP(AE$1,main!$A$3:$I$56,7,FALSE),main!$K$10:$Q$14,4,FALSE),1,0)</f>
        <v>0</v>
      </c>
      <c r="AF100">
        <f>IF(VLOOKUP(AF$1,main!$A$3:$I$56,5,FALSE)-VLOOKUP($A100,main!$A$3:$I$56,6,FALSE)&gt;=VLOOKUP(56,main!$A$57:$I$59,4,FALSE)+VLOOKUP(VLOOKUP(AF$1,main!$A$3:$I$56,7,FALSE),main!$K$10:$Q$14,4,FALSE),1,0)</f>
        <v>0</v>
      </c>
      <c r="AG100">
        <f>IF(VLOOKUP(AG$1,main!$A$3:$I$56,5,FALSE)-VLOOKUP($A100,main!$A$3:$I$56,6,FALSE)&gt;=VLOOKUP(56,main!$A$57:$I$59,4,FALSE)+VLOOKUP(VLOOKUP(AG$1,main!$A$3:$I$56,7,FALSE),main!$K$10:$Q$14,4,FALSE),1,0)</f>
        <v>0</v>
      </c>
      <c r="AH100">
        <f>IF(VLOOKUP(AH$1,main!$A$3:$I$56,5,FALSE)-VLOOKUP($A100,main!$A$3:$I$56,6,FALSE)&gt;=VLOOKUP(56,main!$A$57:$I$59,4,FALSE)+VLOOKUP(VLOOKUP(AH$1,main!$A$3:$I$56,7,FALSE),main!$K$10:$Q$14,4,FALSE),1,0)</f>
        <v>0</v>
      </c>
      <c r="AI100">
        <f>IF(VLOOKUP(AI$1,main!$A$3:$I$56,5,FALSE)-VLOOKUP($A100,main!$A$3:$I$56,6,FALSE)&gt;=VLOOKUP(56,main!$A$57:$I$59,4,FALSE)+VLOOKUP(VLOOKUP(AI$1,main!$A$3:$I$56,7,FALSE),main!$K$10:$Q$14,4,FALSE),1,0)</f>
        <v>0</v>
      </c>
      <c r="AJ100">
        <f>IF(VLOOKUP(AJ$1,main!$A$3:$I$56,5,FALSE)-VLOOKUP($A100,main!$A$3:$I$56,6,FALSE)&gt;=VLOOKUP(56,main!$A$57:$I$59,4,FALSE)+VLOOKUP(VLOOKUP(AJ$1,main!$A$3:$I$56,7,FALSE),main!$K$10:$Q$14,4,FALSE),1,0)</f>
        <v>0</v>
      </c>
      <c r="AK100">
        <f>IF(VLOOKUP(AK$1,main!$A$3:$I$56,5,FALSE)-VLOOKUP($A100,main!$A$3:$I$56,6,FALSE)&gt;=VLOOKUP(56,main!$A$57:$I$59,4,FALSE)+VLOOKUP(VLOOKUP(AK$1,main!$A$3:$I$56,7,FALSE),main!$K$10:$Q$14,4,FALSE),1,0)</f>
        <v>0</v>
      </c>
      <c r="AL100">
        <f>IF(VLOOKUP(AL$1,main!$A$3:$I$56,5,FALSE)-VLOOKUP($A100,main!$A$3:$I$56,6,FALSE)&gt;=VLOOKUP(56,main!$A$57:$I$59,4,FALSE)+VLOOKUP(VLOOKUP(AL$1,main!$A$3:$I$56,7,FALSE),main!$K$10:$Q$14,4,FALSE),1,0)</f>
        <v>0</v>
      </c>
      <c r="AM100">
        <f>IF(VLOOKUP(AM$1,main!$A$3:$I$56,5,FALSE)-VLOOKUP($A100,main!$A$3:$I$56,6,FALSE)&gt;=VLOOKUP(56,main!$A$57:$I$59,4,FALSE)+VLOOKUP(VLOOKUP(AM$1,main!$A$3:$I$56,7,FALSE),main!$K$10:$Q$14,4,FALSE),1,0)</f>
        <v>0</v>
      </c>
      <c r="AN100">
        <f>IF(VLOOKUP(AN$1,main!$A$3:$I$56,5,FALSE)-VLOOKUP($A100,main!$A$3:$I$56,6,FALSE)&gt;=VLOOKUP(56,main!$A$57:$I$59,4,FALSE)+VLOOKUP(VLOOKUP(AN$1,main!$A$3:$I$56,7,FALSE),main!$K$10:$Q$14,4,FALSE),1,0)</f>
        <v>0</v>
      </c>
      <c r="AO100">
        <f>IF(VLOOKUP(AO$1,main!$A$3:$I$56,5,FALSE)-VLOOKUP($A100,main!$A$3:$I$56,6,FALSE)&gt;=VLOOKUP(56,main!$A$57:$I$59,4,FALSE)+VLOOKUP(VLOOKUP(AO$1,main!$A$3:$I$56,7,FALSE),main!$K$10:$Q$14,4,FALSE),1,0)</f>
        <v>0</v>
      </c>
      <c r="AP100">
        <f>IF(VLOOKUP(AP$1,main!$A$3:$I$56,5,FALSE)-VLOOKUP($A100,main!$A$3:$I$56,6,FALSE)&gt;=VLOOKUP(56,main!$A$57:$I$59,4,FALSE)+VLOOKUP(VLOOKUP(AP$1,main!$A$3:$I$56,7,FALSE),main!$K$10:$Q$14,4,FALSE),1,0)</f>
        <v>0</v>
      </c>
      <c r="AQ100">
        <f>IF(VLOOKUP(AQ$1,main!$A$3:$I$56,5,FALSE)-VLOOKUP($A100,main!$A$3:$I$56,6,FALSE)&gt;=VLOOKUP(56,main!$A$57:$I$59,4,FALSE)+VLOOKUP(VLOOKUP(AQ$1,main!$A$3:$I$56,7,FALSE),main!$K$10:$Q$14,4,FALSE),1,0)</f>
        <v>0</v>
      </c>
      <c r="AR100">
        <f>IF(VLOOKUP(AR$1,main!$A$3:$I$56,5,FALSE)-VLOOKUP($A100,main!$A$3:$I$56,6,FALSE)&gt;=VLOOKUP(56,main!$A$57:$I$59,4,FALSE)+VLOOKUP(VLOOKUP(AR$1,main!$A$3:$I$56,7,FALSE),main!$K$10:$Q$14,4,FALSE),1,0)</f>
        <v>0</v>
      </c>
      <c r="AS100">
        <f>IF(VLOOKUP(AS$1,main!$A$3:$I$56,5,FALSE)-VLOOKUP($A100,main!$A$3:$I$56,6,FALSE)&gt;=VLOOKUP(56,main!$A$57:$I$59,4,FALSE)+VLOOKUP(VLOOKUP(AS$1,main!$A$3:$I$56,7,FALSE),main!$K$10:$Q$14,4,FALSE),1,0)</f>
        <v>0</v>
      </c>
      <c r="AT100">
        <f>IF(VLOOKUP(AT$1,main!$A$3:$I$56,5,FALSE)-VLOOKUP($A100,main!$A$3:$I$56,6,FALSE)&gt;=VLOOKUP(56,main!$A$57:$I$59,4,FALSE)+VLOOKUP(VLOOKUP(AT$1,main!$A$3:$I$56,7,FALSE),main!$K$10:$Q$14,4,FALSE),1,0)</f>
        <v>0</v>
      </c>
      <c r="AU100">
        <f>IF(VLOOKUP(AU$1,main!$A$3:$I$56,5,FALSE)-VLOOKUP($A100,main!$A$3:$I$56,6,FALSE)&gt;=VLOOKUP(56,main!$A$57:$I$59,4,FALSE)+VLOOKUP(VLOOKUP(AU$1,main!$A$3:$I$56,7,FALSE),main!$K$10:$Q$14,4,FALSE),1,0)</f>
        <v>0</v>
      </c>
      <c r="AV100">
        <f>IF(VLOOKUP(AV$1,main!$A$3:$I$56,5,FALSE)-VLOOKUP($A100,main!$A$3:$I$56,6,FALSE)&gt;=VLOOKUP(56,main!$A$57:$I$59,4,FALSE)+VLOOKUP(VLOOKUP(AV$1,main!$A$3:$I$56,7,FALSE),main!$K$10:$Q$14,4,FALSE),1,0)</f>
        <v>0</v>
      </c>
      <c r="AW100">
        <f>IF(VLOOKUP(AW$1,main!$A$3:$I$56,5,FALSE)-VLOOKUP($A100,main!$A$3:$I$56,6,FALSE)&gt;=VLOOKUP(56,main!$A$57:$I$59,4,FALSE)+VLOOKUP(VLOOKUP(AW$1,main!$A$3:$I$56,7,FALSE),main!$K$10:$Q$14,4,FALSE),1,0)</f>
        <v>0</v>
      </c>
      <c r="AX100">
        <f>IF(VLOOKUP(AX$1,main!$A$3:$I$56,5,FALSE)-VLOOKUP($A100,main!$A$3:$I$56,6,FALSE)&gt;=VLOOKUP(56,main!$A$57:$I$59,4,FALSE)+VLOOKUP(VLOOKUP(AX$1,main!$A$3:$I$56,7,FALSE),main!$K$10:$Q$14,4,FALSE),1,0)</f>
        <v>0</v>
      </c>
      <c r="AY100">
        <f>IF(VLOOKUP(AY$1,main!$A$3:$I$56,5,FALSE)-VLOOKUP($A100,main!$A$3:$I$56,6,FALSE)&gt;=VLOOKUP(56,main!$A$57:$I$59,4,FALSE)+VLOOKUP(VLOOKUP(AY$1,main!$A$3:$I$56,7,FALSE),main!$K$10:$Q$14,4,FALSE),1,0)</f>
        <v>1</v>
      </c>
      <c r="AZ100">
        <f>IF(VLOOKUP(AZ$1,main!$A$3:$I$56,5,FALSE)-VLOOKUP($A100,main!$A$3:$I$56,6,FALSE)&gt;=VLOOKUP(56,main!$A$57:$I$59,4,FALSE)+VLOOKUP(VLOOKUP(AZ$1,main!$A$3:$I$56,7,FALSE),main!$K$10:$Q$14,4,FALSE),1,0)</f>
        <v>0</v>
      </c>
      <c r="BA100">
        <f>IF(VLOOKUP(BA$1,main!$A$3:$I$56,5,FALSE)-VLOOKUP($A100,main!$A$3:$I$56,6,FALSE)&gt;=VLOOKUP(56,main!$A$57:$I$59,4,FALSE)+VLOOKUP(VLOOKUP(BA$1,main!$A$3:$I$56,7,FALSE),main!$K$10:$Q$14,4,FALSE),1,0)</f>
        <v>0</v>
      </c>
      <c r="BB100">
        <f>IF(VLOOKUP(BB$1,main!$A$3:$I$56,5,FALSE)-VLOOKUP($A100,main!$A$3:$I$56,6,FALSE)&gt;=VLOOKUP(56,main!$A$57:$I$59,4,FALSE)+VLOOKUP(VLOOKUP(BB$1,main!$A$3:$I$56,7,FALSE),main!$K$10:$Q$14,4,FALSE),1,0)</f>
        <v>0</v>
      </c>
      <c r="BC100">
        <f>IF(VLOOKUP(BC$1,main!$A$3:$I$56,5,FALSE)-VLOOKUP($A100,main!$A$3:$I$56,6,FALSE)&gt;=VLOOKUP(56,main!$A$57:$I$59,4,FALSE)+VLOOKUP(VLOOKUP(BC$1,main!$A$3:$I$56,7,FALSE),main!$K$10:$Q$14,4,FALSE),1,0)</f>
        <v>0</v>
      </c>
      <c r="BD100">
        <f>IF(VLOOKUP(BD$1,main!$A$3:$I$56,5,FALSE)-VLOOKUP($A100,main!$A$3:$I$56,6,FALSE)&gt;=VLOOKUP(56,main!$A$57:$I$59,4,FALSE)+VLOOKUP(VLOOKUP(BD$1,main!$A$3:$I$56,7,FALSE),main!$K$10:$Q$14,4,FALSE),1,0)</f>
        <v>0</v>
      </c>
    </row>
    <row r="101" spans="1:56" x14ac:dyDescent="0.25">
      <c r="A101">
        <f t="shared" si="1"/>
        <v>44</v>
      </c>
      <c r="B101">
        <v>0</v>
      </c>
      <c r="C101">
        <f>IF(VLOOKUP(C$1,main!$A$3:$I$56,5,FALSE)-VLOOKUP($A101,main!$A$3:$I$56,6,FALSE)&gt;=VLOOKUP(56,main!$A$57:$I$59,4,FALSE)+VLOOKUP(VLOOKUP(C$1,main!$A$3:$I$56,7,FALSE),main!$K$10:$Q$14,4,FALSE),1,0)</f>
        <v>0</v>
      </c>
      <c r="D101">
        <f>IF(VLOOKUP(D$1,main!$A$3:$I$56,5,FALSE)-VLOOKUP($A101,main!$A$3:$I$56,6,FALSE)&gt;=VLOOKUP(56,main!$A$57:$I$59,4,FALSE)+VLOOKUP(VLOOKUP(D$1,main!$A$3:$I$56,7,FALSE),main!$K$10:$Q$14,4,FALSE),1,0)</f>
        <v>0</v>
      </c>
      <c r="E101">
        <f>IF(VLOOKUP(E$1,main!$A$3:$I$56,5,FALSE)-VLOOKUP($A101,main!$A$3:$I$56,6,FALSE)&gt;=VLOOKUP(56,main!$A$57:$I$59,4,FALSE)+VLOOKUP(VLOOKUP(E$1,main!$A$3:$I$56,7,FALSE),main!$K$10:$Q$14,4,FALSE),1,0)</f>
        <v>0</v>
      </c>
      <c r="F101">
        <f>IF(VLOOKUP(F$1,main!$A$3:$I$56,5,FALSE)-VLOOKUP($A101,main!$A$3:$I$56,6,FALSE)&gt;=VLOOKUP(56,main!$A$57:$I$59,4,FALSE)+VLOOKUP(VLOOKUP(F$1,main!$A$3:$I$56,7,FALSE),main!$K$10:$Q$14,4,FALSE),1,0)</f>
        <v>0</v>
      </c>
      <c r="G101">
        <f>IF(VLOOKUP(G$1,main!$A$3:$I$56,5,FALSE)-VLOOKUP($A101,main!$A$3:$I$56,6,FALSE)&gt;=VLOOKUP(56,main!$A$57:$I$59,4,FALSE)+VLOOKUP(VLOOKUP(G$1,main!$A$3:$I$56,7,FALSE),main!$K$10:$Q$14,4,FALSE),1,0)</f>
        <v>0</v>
      </c>
      <c r="H101">
        <f>IF(VLOOKUP(H$1,main!$A$3:$I$56,5,FALSE)-VLOOKUP($A101,main!$A$3:$I$56,6,FALSE)&gt;=VLOOKUP(56,main!$A$57:$I$59,4,FALSE)+VLOOKUP(VLOOKUP(H$1,main!$A$3:$I$56,7,FALSE),main!$K$10:$Q$14,4,FALSE),1,0)</f>
        <v>1</v>
      </c>
      <c r="I101">
        <f>IF(VLOOKUP(I$1,main!$A$3:$I$56,5,FALSE)-VLOOKUP($A101,main!$A$3:$I$56,6,FALSE)&gt;=VLOOKUP(56,main!$A$57:$I$59,4,FALSE)+VLOOKUP(VLOOKUP(I$1,main!$A$3:$I$56,7,FALSE),main!$K$10:$Q$14,4,FALSE),1,0)</f>
        <v>1</v>
      </c>
      <c r="J101">
        <f>IF(VLOOKUP(J$1,main!$A$3:$I$56,5,FALSE)-VLOOKUP($A101,main!$A$3:$I$56,6,FALSE)&gt;=VLOOKUP(56,main!$A$57:$I$59,4,FALSE)+VLOOKUP(VLOOKUP(J$1,main!$A$3:$I$56,7,FALSE),main!$K$10:$Q$14,4,FALSE),1,0)</f>
        <v>1</v>
      </c>
      <c r="K101">
        <f>IF(VLOOKUP(K$1,main!$A$3:$I$56,5,FALSE)-VLOOKUP($A101,main!$A$3:$I$56,6,FALSE)&gt;=VLOOKUP(56,main!$A$57:$I$59,4,FALSE)+VLOOKUP(VLOOKUP(K$1,main!$A$3:$I$56,7,FALSE),main!$K$10:$Q$14,4,FALSE),1,0)</f>
        <v>0</v>
      </c>
      <c r="L101">
        <f>IF(VLOOKUP(L$1,main!$A$3:$I$56,5,FALSE)-VLOOKUP($A101,main!$A$3:$I$56,6,FALSE)&gt;=VLOOKUP(56,main!$A$57:$I$59,4,FALSE)+VLOOKUP(VLOOKUP(L$1,main!$A$3:$I$56,7,FALSE),main!$K$10:$Q$14,4,FALSE),1,0)</f>
        <v>0</v>
      </c>
      <c r="M101">
        <f>IF(VLOOKUP(M$1,main!$A$3:$I$56,5,FALSE)-VLOOKUP($A101,main!$A$3:$I$56,6,FALSE)&gt;=VLOOKUP(56,main!$A$57:$I$59,4,FALSE)+VLOOKUP(VLOOKUP(M$1,main!$A$3:$I$56,7,FALSE),main!$K$10:$Q$14,4,FALSE),1,0)</f>
        <v>0</v>
      </c>
      <c r="N101">
        <f>IF(VLOOKUP(N$1,main!$A$3:$I$56,5,FALSE)-VLOOKUP($A101,main!$A$3:$I$56,6,FALSE)&gt;=VLOOKUP(56,main!$A$57:$I$59,4,FALSE)+VLOOKUP(VLOOKUP(N$1,main!$A$3:$I$56,7,FALSE),main!$K$10:$Q$14,4,FALSE),1,0)</f>
        <v>1</v>
      </c>
      <c r="O101">
        <f>IF(VLOOKUP(O$1,main!$A$3:$I$56,5,FALSE)-VLOOKUP($A101,main!$A$3:$I$56,6,FALSE)&gt;=VLOOKUP(56,main!$A$57:$I$59,4,FALSE)+VLOOKUP(VLOOKUP(O$1,main!$A$3:$I$56,7,FALSE),main!$K$10:$Q$14,4,FALSE),1,0)</f>
        <v>1</v>
      </c>
      <c r="P101">
        <f>IF(VLOOKUP(P$1,main!$A$3:$I$56,5,FALSE)-VLOOKUP($A101,main!$A$3:$I$56,6,FALSE)&gt;=VLOOKUP(56,main!$A$57:$I$59,4,FALSE)+VLOOKUP(VLOOKUP(P$1,main!$A$3:$I$56,7,FALSE),main!$K$10:$Q$14,4,FALSE),1,0)</f>
        <v>0</v>
      </c>
      <c r="Q101">
        <f>IF(VLOOKUP(Q$1,main!$A$3:$I$56,5,FALSE)-VLOOKUP($A101,main!$A$3:$I$56,6,FALSE)&gt;=VLOOKUP(56,main!$A$57:$I$59,4,FALSE)+VLOOKUP(VLOOKUP(Q$1,main!$A$3:$I$56,7,FALSE),main!$K$10:$Q$14,4,FALSE),1,0)</f>
        <v>0</v>
      </c>
      <c r="R101">
        <f>IF(VLOOKUP(R$1,main!$A$3:$I$56,5,FALSE)-VLOOKUP($A101,main!$A$3:$I$56,6,FALSE)&gt;=VLOOKUP(56,main!$A$57:$I$59,4,FALSE)+VLOOKUP(VLOOKUP(R$1,main!$A$3:$I$56,7,FALSE),main!$K$10:$Q$14,4,FALSE),1,0)</f>
        <v>0</v>
      </c>
      <c r="S101">
        <f>IF(VLOOKUP(S$1,main!$A$3:$I$56,5,FALSE)-VLOOKUP($A101,main!$A$3:$I$56,6,FALSE)&gt;=VLOOKUP(56,main!$A$57:$I$59,4,FALSE)+VLOOKUP(VLOOKUP(S$1,main!$A$3:$I$56,7,FALSE),main!$K$10:$Q$14,4,FALSE),1,0)</f>
        <v>0</v>
      </c>
      <c r="T101">
        <f>IF(VLOOKUP(T$1,main!$A$3:$I$56,5,FALSE)-VLOOKUP($A101,main!$A$3:$I$56,6,FALSE)&gt;=VLOOKUP(56,main!$A$57:$I$59,4,FALSE)+VLOOKUP(VLOOKUP(T$1,main!$A$3:$I$56,7,FALSE),main!$K$10:$Q$14,4,FALSE),1,0)</f>
        <v>1</v>
      </c>
      <c r="U101">
        <f>IF(VLOOKUP(U$1,main!$A$3:$I$56,5,FALSE)-VLOOKUP($A101,main!$A$3:$I$56,6,FALSE)&gt;=VLOOKUP(56,main!$A$57:$I$59,4,FALSE)+VLOOKUP(VLOOKUP(U$1,main!$A$3:$I$56,7,FALSE),main!$K$10:$Q$14,4,FALSE),1,0)</f>
        <v>0</v>
      </c>
      <c r="V101">
        <f>IF(VLOOKUP(V$1,main!$A$3:$I$56,5,FALSE)-VLOOKUP($A101,main!$A$3:$I$56,6,FALSE)&gt;=VLOOKUP(56,main!$A$57:$I$59,4,FALSE)+VLOOKUP(VLOOKUP(V$1,main!$A$3:$I$56,7,FALSE),main!$K$10:$Q$14,4,FALSE),1,0)</f>
        <v>0</v>
      </c>
      <c r="W101">
        <f>IF(VLOOKUP(W$1,main!$A$3:$I$56,5,FALSE)-VLOOKUP($A101,main!$A$3:$I$56,6,FALSE)&gt;=VLOOKUP(56,main!$A$57:$I$59,4,FALSE)+VLOOKUP(VLOOKUP(W$1,main!$A$3:$I$56,7,FALSE),main!$K$10:$Q$14,4,FALSE),1,0)</f>
        <v>0</v>
      </c>
      <c r="X101">
        <f>IF(VLOOKUP(X$1,main!$A$3:$I$56,5,FALSE)-VLOOKUP($A101,main!$A$3:$I$56,6,FALSE)&gt;=VLOOKUP(56,main!$A$57:$I$59,4,FALSE)+VLOOKUP(VLOOKUP(X$1,main!$A$3:$I$56,7,FALSE),main!$K$10:$Q$14,4,FALSE),1,0)</f>
        <v>0</v>
      </c>
      <c r="Y101">
        <f>IF(VLOOKUP(Y$1,main!$A$3:$I$56,5,FALSE)-VLOOKUP($A101,main!$A$3:$I$56,6,FALSE)&gt;=VLOOKUP(56,main!$A$57:$I$59,4,FALSE)+VLOOKUP(VLOOKUP(Y$1,main!$A$3:$I$56,7,FALSE),main!$K$10:$Q$14,4,FALSE),1,0)</f>
        <v>0</v>
      </c>
      <c r="Z101">
        <f>IF(VLOOKUP(Z$1,main!$A$3:$I$56,5,FALSE)-VLOOKUP($A101,main!$A$3:$I$56,6,FALSE)&gt;=VLOOKUP(56,main!$A$57:$I$59,4,FALSE)+VLOOKUP(VLOOKUP(Z$1,main!$A$3:$I$56,7,FALSE),main!$K$10:$Q$14,4,FALSE),1,0)</f>
        <v>0</v>
      </c>
      <c r="AA101">
        <f>IF(VLOOKUP(AA$1,main!$A$3:$I$56,5,FALSE)-VLOOKUP($A101,main!$A$3:$I$56,6,FALSE)&gt;=VLOOKUP(56,main!$A$57:$I$59,4,FALSE)+VLOOKUP(VLOOKUP(AA$1,main!$A$3:$I$56,7,FALSE),main!$K$10:$Q$14,4,FALSE),1,0)</f>
        <v>0</v>
      </c>
      <c r="AB101">
        <f>IF(VLOOKUP(AB$1,main!$A$3:$I$56,5,FALSE)-VLOOKUP($A101,main!$A$3:$I$56,6,FALSE)&gt;=VLOOKUP(56,main!$A$57:$I$59,4,FALSE)+VLOOKUP(VLOOKUP(AB$1,main!$A$3:$I$56,7,FALSE),main!$K$10:$Q$14,4,FALSE),1,0)</f>
        <v>0</v>
      </c>
      <c r="AC101">
        <f>IF(VLOOKUP(AC$1,main!$A$3:$I$56,5,FALSE)-VLOOKUP($A101,main!$A$3:$I$56,6,FALSE)&gt;=VLOOKUP(56,main!$A$57:$I$59,4,FALSE)+VLOOKUP(VLOOKUP(AC$1,main!$A$3:$I$56,7,FALSE),main!$K$10:$Q$14,4,FALSE),1,0)</f>
        <v>0</v>
      </c>
      <c r="AD101">
        <f>IF(VLOOKUP(AD$1,main!$A$3:$I$56,5,FALSE)-VLOOKUP($A101,main!$A$3:$I$56,6,FALSE)&gt;=VLOOKUP(56,main!$A$57:$I$59,4,FALSE)+VLOOKUP(VLOOKUP(AD$1,main!$A$3:$I$56,7,FALSE),main!$K$10:$Q$14,4,FALSE),1,0)</f>
        <v>0</v>
      </c>
      <c r="AE101">
        <f>IF(VLOOKUP(AE$1,main!$A$3:$I$56,5,FALSE)-VLOOKUP($A101,main!$A$3:$I$56,6,FALSE)&gt;=VLOOKUP(56,main!$A$57:$I$59,4,FALSE)+VLOOKUP(VLOOKUP(AE$1,main!$A$3:$I$56,7,FALSE),main!$K$10:$Q$14,4,FALSE),1,0)</f>
        <v>0</v>
      </c>
      <c r="AF101">
        <f>IF(VLOOKUP(AF$1,main!$A$3:$I$56,5,FALSE)-VLOOKUP($A101,main!$A$3:$I$56,6,FALSE)&gt;=VLOOKUP(56,main!$A$57:$I$59,4,FALSE)+VLOOKUP(VLOOKUP(AF$1,main!$A$3:$I$56,7,FALSE),main!$K$10:$Q$14,4,FALSE),1,0)</f>
        <v>0</v>
      </c>
      <c r="AG101">
        <f>IF(VLOOKUP(AG$1,main!$A$3:$I$56,5,FALSE)-VLOOKUP($A101,main!$A$3:$I$56,6,FALSE)&gt;=VLOOKUP(56,main!$A$57:$I$59,4,FALSE)+VLOOKUP(VLOOKUP(AG$1,main!$A$3:$I$56,7,FALSE),main!$K$10:$Q$14,4,FALSE),1,0)</f>
        <v>0</v>
      </c>
      <c r="AH101">
        <f>IF(VLOOKUP(AH$1,main!$A$3:$I$56,5,FALSE)-VLOOKUP($A101,main!$A$3:$I$56,6,FALSE)&gt;=VLOOKUP(56,main!$A$57:$I$59,4,FALSE)+VLOOKUP(VLOOKUP(AH$1,main!$A$3:$I$56,7,FALSE),main!$K$10:$Q$14,4,FALSE),1,0)</f>
        <v>0</v>
      </c>
      <c r="AI101">
        <f>IF(VLOOKUP(AI$1,main!$A$3:$I$56,5,FALSE)-VLOOKUP($A101,main!$A$3:$I$56,6,FALSE)&gt;=VLOOKUP(56,main!$A$57:$I$59,4,FALSE)+VLOOKUP(VLOOKUP(AI$1,main!$A$3:$I$56,7,FALSE),main!$K$10:$Q$14,4,FALSE),1,0)</f>
        <v>0</v>
      </c>
      <c r="AJ101">
        <f>IF(VLOOKUP(AJ$1,main!$A$3:$I$56,5,FALSE)-VLOOKUP($A101,main!$A$3:$I$56,6,FALSE)&gt;=VLOOKUP(56,main!$A$57:$I$59,4,FALSE)+VLOOKUP(VLOOKUP(AJ$1,main!$A$3:$I$56,7,FALSE),main!$K$10:$Q$14,4,FALSE),1,0)</f>
        <v>0</v>
      </c>
      <c r="AK101">
        <f>IF(VLOOKUP(AK$1,main!$A$3:$I$56,5,FALSE)-VLOOKUP($A101,main!$A$3:$I$56,6,FALSE)&gt;=VLOOKUP(56,main!$A$57:$I$59,4,FALSE)+VLOOKUP(VLOOKUP(AK$1,main!$A$3:$I$56,7,FALSE),main!$K$10:$Q$14,4,FALSE),1,0)</f>
        <v>0</v>
      </c>
      <c r="AL101">
        <f>IF(VLOOKUP(AL$1,main!$A$3:$I$56,5,FALSE)-VLOOKUP($A101,main!$A$3:$I$56,6,FALSE)&gt;=VLOOKUP(56,main!$A$57:$I$59,4,FALSE)+VLOOKUP(VLOOKUP(AL$1,main!$A$3:$I$56,7,FALSE),main!$K$10:$Q$14,4,FALSE),1,0)</f>
        <v>0</v>
      </c>
      <c r="AM101">
        <f>IF(VLOOKUP(AM$1,main!$A$3:$I$56,5,FALSE)-VLOOKUP($A101,main!$A$3:$I$56,6,FALSE)&gt;=VLOOKUP(56,main!$A$57:$I$59,4,FALSE)+VLOOKUP(VLOOKUP(AM$1,main!$A$3:$I$56,7,FALSE),main!$K$10:$Q$14,4,FALSE),1,0)</f>
        <v>0</v>
      </c>
      <c r="AN101">
        <f>IF(VLOOKUP(AN$1,main!$A$3:$I$56,5,FALSE)-VLOOKUP($A101,main!$A$3:$I$56,6,FALSE)&gt;=VLOOKUP(56,main!$A$57:$I$59,4,FALSE)+VLOOKUP(VLOOKUP(AN$1,main!$A$3:$I$56,7,FALSE),main!$K$10:$Q$14,4,FALSE),1,0)</f>
        <v>0</v>
      </c>
      <c r="AO101">
        <f>IF(VLOOKUP(AO$1,main!$A$3:$I$56,5,FALSE)-VLOOKUP($A101,main!$A$3:$I$56,6,FALSE)&gt;=VLOOKUP(56,main!$A$57:$I$59,4,FALSE)+VLOOKUP(VLOOKUP(AO$1,main!$A$3:$I$56,7,FALSE),main!$K$10:$Q$14,4,FALSE),1,0)</f>
        <v>0</v>
      </c>
      <c r="AP101">
        <f>IF(VLOOKUP(AP$1,main!$A$3:$I$56,5,FALSE)-VLOOKUP($A101,main!$A$3:$I$56,6,FALSE)&gt;=VLOOKUP(56,main!$A$57:$I$59,4,FALSE)+VLOOKUP(VLOOKUP(AP$1,main!$A$3:$I$56,7,FALSE),main!$K$10:$Q$14,4,FALSE),1,0)</f>
        <v>0</v>
      </c>
      <c r="AQ101">
        <f>IF(VLOOKUP(AQ$1,main!$A$3:$I$56,5,FALSE)-VLOOKUP($A101,main!$A$3:$I$56,6,FALSE)&gt;=VLOOKUP(56,main!$A$57:$I$59,4,FALSE)+VLOOKUP(VLOOKUP(AQ$1,main!$A$3:$I$56,7,FALSE),main!$K$10:$Q$14,4,FALSE),1,0)</f>
        <v>0</v>
      </c>
      <c r="AR101">
        <f>IF(VLOOKUP(AR$1,main!$A$3:$I$56,5,FALSE)-VLOOKUP($A101,main!$A$3:$I$56,6,FALSE)&gt;=VLOOKUP(56,main!$A$57:$I$59,4,FALSE)+VLOOKUP(VLOOKUP(AR$1,main!$A$3:$I$56,7,FALSE),main!$K$10:$Q$14,4,FALSE),1,0)</f>
        <v>0</v>
      </c>
      <c r="AS101">
        <f>IF(VLOOKUP(AS$1,main!$A$3:$I$56,5,FALSE)-VLOOKUP($A101,main!$A$3:$I$56,6,FALSE)&gt;=VLOOKUP(56,main!$A$57:$I$59,4,FALSE)+VLOOKUP(VLOOKUP(AS$1,main!$A$3:$I$56,7,FALSE),main!$K$10:$Q$14,4,FALSE),1,0)</f>
        <v>0</v>
      </c>
      <c r="AT101">
        <f>IF(VLOOKUP(AT$1,main!$A$3:$I$56,5,FALSE)-VLOOKUP($A101,main!$A$3:$I$56,6,FALSE)&gt;=VLOOKUP(56,main!$A$57:$I$59,4,FALSE)+VLOOKUP(VLOOKUP(AT$1,main!$A$3:$I$56,7,FALSE),main!$K$10:$Q$14,4,FALSE),1,0)</f>
        <v>0</v>
      </c>
      <c r="AU101">
        <f>IF(VLOOKUP(AU$1,main!$A$3:$I$56,5,FALSE)-VLOOKUP($A101,main!$A$3:$I$56,6,FALSE)&gt;=VLOOKUP(56,main!$A$57:$I$59,4,FALSE)+VLOOKUP(VLOOKUP(AU$1,main!$A$3:$I$56,7,FALSE),main!$K$10:$Q$14,4,FALSE),1,0)</f>
        <v>0</v>
      </c>
      <c r="AV101">
        <f>IF(VLOOKUP(AV$1,main!$A$3:$I$56,5,FALSE)-VLOOKUP($A101,main!$A$3:$I$56,6,FALSE)&gt;=VLOOKUP(56,main!$A$57:$I$59,4,FALSE)+VLOOKUP(VLOOKUP(AV$1,main!$A$3:$I$56,7,FALSE),main!$K$10:$Q$14,4,FALSE),1,0)</f>
        <v>0</v>
      </c>
      <c r="AW101">
        <f>IF(VLOOKUP(AW$1,main!$A$3:$I$56,5,FALSE)-VLOOKUP($A101,main!$A$3:$I$56,6,FALSE)&gt;=VLOOKUP(56,main!$A$57:$I$59,4,FALSE)+VLOOKUP(VLOOKUP(AW$1,main!$A$3:$I$56,7,FALSE),main!$K$10:$Q$14,4,FALSE),1,0)</f>
        <v>0</v>
      </c>
      <c r="AX101">
        <f>IF(VLOOKUP(AX$1,main!$A$3:$I$56,5,FALSE)-VLOOKUP($A101,main!$A$3:$I$56,6,FALSE)&gt;=VLOOKUP(56,main!$A$57:$I$59,4,FALSE)+VLOOKUP(VLOOKUP(AX$1,main!$A$3:$I$56,7,FALSE),main!$K$10:$Q$14,4,FALSE),1,0)</f>
        <v>0</v>
      </c>
      <c r="AY101">
        <f>IF(VLOOKUP(AY$1,main!$A$3:$I$56,5,FALSE)-VLOOKUP($A101,main!$A$3:$I$56,6,FALSE)&gt;=VLOOKUP(56,main!$A$57:$I$59,4,FALSE)+VLOOKUP(VLOOKUP(AY$1,main!$A$3:$I$56,7,FALSE),main!$K$10:$Q$14,4,FALSE),1,0)</f>
        <v>0</v>
      </c>
      <c r="AZ101">
        <f>IF(VLOOKUP(AZ$1,main!$A$3:$I$56,5,FALSE)-VLOOKUP($A101,main!$A$3:$I$56,6,FALSE)&gt;=VLOOKUP(56,main!$A$57:$I$59,4,FALSE)+VLOOKUP(VLOOKUP(AZ$1,main!$A$3:$I$56,7,FALSE),main!$K$10:$Q$14,4,FALSE),1,0)</f>
        <v>0</v>
      </c>
      <c r="BA101">
        <f>IF(VLOOKUP(BA$1,main!$A$3:$I$56,5,FALSE)-VLOOKUP($A101,main!$A$3:$I$56,6,FALSE)&gt;=VLOOKUP(56,main!$A$57:$I$59,4,FALSE)+VLOOKUP(VLOOKUP(BA$1,main!$A$3:$I$56,7,FALSE),main!$K$10:$Q$14,4,FALSE),1,0)</f>
        <v>0</v>
      </c>
      <c r="BB101">
        <f>IF(VLOOKUP(BB$1,main!$A$3:$I$56,5,FALSE)-VLOOKUP($A101,main!$A$3:$I$56,6,FALSE)&gt;=VLOOKUP(56,main!$A$57:$I$59,4,FALSE)+VLOOKUP(VLOOKUP(BB$1,main!$A$3:$I$56,7,FALSE),main!$K$10:$Q$14,4,FALSE),1,0)</f>
        <v>0</v>
      </c>
      <c r="BC101">
        <f>IF(VLOOKUP(BC$1,main!$A$3:$I$56,5,FALSE)-VLOOKUP($A101,main!$A$3:$I$56,6,FALSE)&gt;=VLOOKUP(56,main!$A$57:$I$59,4,FALSE)+VLOOKUP(VLOOKUP(BC$1,main!$A$3:$I$56,7,FALSE),main!$K$10:$Q$14,4,FALSE),1,0)</f>
        <v>0</v>
      </c>
      <c r="BD101">
        <f>IF(VLOOKUP(BD$1,main!$A$3:$I$56,5,FALSE)-VLOOKUP($A101,main!$A$3:$I$56,6,FALSE)&gt;=VLOOKUP(56,main!$A$57:$I$59,4,FALSE)+VLOOKUP(VLOOKUP(BD$1,main!$A$3:$I$56,7,FALSE),main!$K$10:$Q$14,4,FALSE),1,0)</f>
        <v>0</v>
      </c>
    </row>
    <row r="102" spans="1:56" x14ac:dyDescent="0.25">
      <c r="A102">
        <f t="shared" si="1"/>
        <v>45</v>
      </c>
      <c r="B102">
        <v>0</v>
      </c>
      <c r="C102">
        <f>IF(VLOOKUP(C$1,main!$A$3:$I$56,5,FALSE)-VLOOKUP($A102,main!$A$3:$I$56,6,FALSE)&gt;=VLOOKUP(56,main!$A$57:$I$59,4,FALSE)+VLOOKUP(VLOOKUP(C$1,main!$A$3:$I$56,7,FALSE),main!$K$10:$Q$14,4,FALSE),1,0)</f>
        <v>0</v>
      </c>
      <c r="D102">
        <f>IF(VLOOKUP(D$1,main!$A$3:$I$56,5,FALSE)-VLOOKUP($A102,main!$A$3:$I$56,6,FALSE)&gt;=VLOOKUP(56,main!$A$57:$I$59,4,FALSE)+VLOOKUP(VLOOKUP(D$1,main!$A$3:$I$56,7,FALSE),main!$K$10:$Q$14,4,FALSE),1,0)</f>
        <v>0</v>
      </c>
      <c r="E102">
        <f>IF(VLOOKUP(E$1,main!$A$3:$I$56,5,FALSE)-VLOOKUP($A102,main!$A$3:$I$56,6,FALSE)&gt;=VLOOKUP(56,main!$A$57:$I$59,4,FALSE)+VLOOKUP(VLOOKUP(E$1,main!$A$3:$I$56,7,FALSE),main!$K$10:$Q$14,4,FALSE),1,0)</f>
        <v>0</v>
      </c>
      <c r="F102">
        <f>IF(VLOOKUP(F$1,main!$A$3:$I$56,5,FALSE)-VLOOKUP($A102,main!$A$3:$I$56,6,FALSE)&gt;=VLOOKUP(56,main!$A$57:$I$59,4,FALSE)+VLOOKUP(VLOOKUP(F$1,main!$A$3:$I$56,7,FALSE),main!$K$10:$Q$14,4,FALSE),1,0)</f>
        <v>1</v>
      </c>
      <c r="G102">
        <f>IF(VLOOKUP(G$1,main!$A$3:$I$56,5,FALSE)-VLOOKUP($A102,main!$A$3:$I$56,6,FALSE)&gt;=VLOOKUP(56,main!$A$57:$I$59,4,FALSE)+VLOOKUP(VLOOKUP(G$1,main!$A$3:$I$56,7,FALSE),main!$K$10:$Q$14,4,FALSE),1,0)</f>
        <v>1</v>
      </c>
      <c r="H102">
        <f>IF(VLOOKUP(H$1,main!$A$3:$I$56,5,FALSE)-VLOOKUP($A102,main!$A$3:$I$56,6,FALSE)&gt;=VLOOKUP(56,main!$A$57:$I$59,4,FALSE)+VLOOKUP(VLOOKUP(H$1,main!$A$3:$I$56,7,FALSE),main!$K$10:$Q$14,4,FALSE),1,0)</f>
        <v>1</v>
      </c>
      <c r="I102">
        <f>IF(VLOOKUP(I$1,main!$A$3:$I$56,5,FALSE)-VLOOKUP($A102,main!$A$3:$I$56,6,FALSE)&gt;=VLOOKUP(56,main!$A$57:$I$59,4,FALSE)+VLOOKUP(VLOOKUP(I$1,main!$A$3:$I$56,7,FALSE),main!$K$10:$Q$14,4,FALSE),1,0)</f>
        <v>1</v>
      </c>
      <c r="J102">
        <f>IF(VLOOKUP(J$1,main!$A$3:$I$56,5,FALSE)-VLOOKUP($A102,main!$A$3:$I$56,6,FALSE)&gt;=VLOOKUP(56,main!$A$57:$I$59,4,FALSE)+VLOOKUP(VLOOKUP(J$1,main!$A$3:$I$56,7,FALSE),main!$K$10:$Q$14,4,FALSE),1,0)</f>
        <v>1</v>
      </c>
      <c r="K102">
        <f>IF(VLOOKUP(K$1,main!$A$3:$I$56,5,FALSE)-VLOOKUP($A102,main!$A$3:$I$56,6,FALSE)&gt;=VLOOKUP(56,main!$A$57:$I$59,4,FALSE)+VLOOKUP(VLOOKUP(K$1,main!$A$3:$I$56,7,FALSE),main!$K$10:$Q$14,4,FALSE),1,0)</f>
        <v>0</v>
      </c>
      <c r="L102">
        <f>IF(VLOOKUP(L$1,main!$A$3:$I$56,5,FALSE)-VLOOKUP($A102,main!$A$3:$I$56,6,FALSE)&gt;=VLOOKUP(56,main!$A$57:$I$59,4,FALSE)+VLOOKUP(VLOOKUP(L$1,main!$A$3:$I$56,7,FALSE),main!$K$10:$Q$14,4,FALSE),1,0)</f>
        <v>0</v>
      </c>
      <c r="M102">
        <f>IF(VLOOKUP(M$1,main!$A$3:$I$56,5,FALSE)-VLOOKUP($A102,main!$A$3:$I$56,6,FALSE)&gt;=VLOOKUP(56,main!$A$57:$I$59,4,FALSE)+VLOOKUP(VLOOKUP(M$1,main!$A$3:$I$56,7,FALSE),main!$K$10:$Q$14,4,FALSE),1,0)</f>
        <v>0</v>
      </c>
      <c r="N102">
        <f>IF(VLOOKUP(N$1,main!$A$3:$I$56,5,FALSE)-VLOOKUP($A102,main!$A$3:$I$56,6,FALSE)&gt;=VLOOKUP(56,main!$A$57:$I$59,4,FALSE)+VLOOKUP(VLOOKUP(N$1,main!$A$3:$I$56,7,FALSE),main!$K$10:$Q$14,4,FALSE),1,0)</f>
        <v>1</v>
      </c>
      <c r="O102">
        <f>IF(VLOOKUP(O$1,main!$A$3:$I$56,5,FALSE)-VLOOKUP($A102,main!$A$3:$I$56,6,FALSE)&gt;=VLOOKUP(56,main!$A$57:$I$59,4,FALSE)+VLOOKUP(VLOOKUP(O$1,main!$A$3:$I$56,7,FALSE),main!$K$10:$Q$14,4,FALSE),1,0)</f>
        <v>1</v>
      </c>
      <c r="P102">
        <f>IF(VLOOKUP(P$1,main!$A$3:$I$56,5,FALSE)-VLOOKUP($A102,main!$A$3:$I$56,6,FALSE)&gt;=VLOOKUP(56,main!$A$57:$I$59,4,FALSE)+VLOOKUP(VLOOKUP(P$1,main!$A$3:$I$56,7,FALSE),main!$K$10:$Q$14,4,FALSE),1,0)</f>
        <v>0</v>
      </c>
      <c r="Q102">
        <f>IF(VLOOKUP(Q$1,main!$A$3:$I$56,5,FALSE)-VLOOKUP($A102,main!$A$3:$I$56,6,FALSE)&gt;=VLOOKUP(56,main!$A$57:$I$59,4,FALSE)+VLOOKUP(VLOOKUP(Q$1,main!$A$3:$I$56,7,FALSE),main!$K$10:$Q$14,4,FALSE),1,0)</f>
        <v>0</v>
      </c>
      <c r="R102">
        <f>IF(VLOOKUP(R$1,main!$A$3:$I$56,5,FALSE)-VLOOKUP($A102,main!$A$3:$I$56,6,FALSE)&gt;=VLOOKUP(56,main!$A$57:$I$59,4,FALSE)+VLOOKUP(VLOOKUP(R$1,main!$A$3:$I$56,7,FALSE),main!$K$10:$Q$14,4,FALSE),1,0)</f>
        <v>0</v>
      </c>
      <c r="S102">
        <f>IF(VLOOKUP(S$1,main!$A$3:$I$56,5,FALSE)-VLOOKUP($A102,main!$A$3:$I$56,6,FALSE)&gt;=VLOOKUP(56,main!$A$57:$I$59,4,FALSE)+VLOOKUP(VLOOKUP(S$1,main!$A$3:$I$56,7,FALSE),main!$K$10:$Q$14,4,FALSE),1,0)</f>
        <v>1</v>
      </c>
      <c r="T102">
        <f>IF(VLOOKUP(T$1,main!$A$3:$I$56,5,FALSE)-VLOOKUP($A102,main!$A$3:$I$56,6,FALSE)&gt;=VLOOKUP(56,main!$A$57:$I$59,4,FALSE)+VLOOKUP(VLOOKUP(T$1,main!$A$3:$I$56,7,FALSE),main!$K$10:$Q$14,4,FALSE),1,0)</f>
        <v>1</v>
      </c>
      <c r="U102">
        <f>IF(VLOOKUP(U$1,main!$A$3:$I$56,5,FALSE)-VLOOKUP($A102,main!$A$3:$I$56,6,FALSE)&gt;=VLOOKUP(56,main!$A$57:$I$59,4,FALSE)+VLOOKUP(VLOOKUP(U$1,main!$A$3:$I$56,7,FALSE),main!$K$10:$Q$14,4,FALSE),1,0)</f>
        <v>0</v>
      </c>
      <c r="V102">
        <f>IF(VLOOKUP(V$1,main!$A$3:$I$56,5,FALSE)-VLOOKUP($A102,main!$A$3:$I$56,6,FALSE)&gt;=VLOOKUP(56,main!$A$57:$I$59,4,FALSE)+VLOOKUP(VLOOKUP(V$1,main!$A$3:$I$56,7,FALSE),main!$K$10:$Q$14,4,FALSE),1,0)</f>
        <v>0</v>
      </c>
      <c r="W102">
        <f>IF(VLOOKUP(W$1,main!$A$3:$I$56,5,FALSE)-VLOOKUP($A102,main!$A$3:$I$56,6,FALSE)&gt;=VLOOKUP(56,main!$A$57:$I$59,4,FALSE)+VLOOKUP(VLOOKUP(W$1,main!$A$3:$I$56,7,FALSE),main!$K$10:$Q$14,4,FALSE),1,0)</f>
        <v>0</v>
      </c>
      <c r="X102">
        <f>IF(VLOOKUP(X$1,main!$A$3:$I$56,5,FALSE)-VLOOKUP($A102,main!$A$3:$I$56,6,FALSE)&gt;=VLOOKUP(56,main!$A$57:$I$59,4,FALSE)+VLOOKUP(VLOOKUP(X$1,main!$A$3:$I$56,7,FALSE),main!$K$10:$Q$14,4,FALSE),1,0)</f>
        <v>0</v>
      </c>
      <c r="Y102">
        <f>IF(VLOOKUP(Y$1,main!$A$3:$I$56,5,FALSE)-VLOOKUP($A102,main!$A$3:$I$56,6,FALSE)&gt;=VLOOKUP(56,main!$A$57:$I$59,4,FALSE)+VLOOKUP(VLOOKUP(Y$1,main!$A$3:$I$56,7,FALSE),main!$K$10:$Q$14,4,FALSE),1,0)</f>
        <v>0</v>
      </c>
      <c r="Z102">
        <f>IF(VLOOKUP(Z$1,main!$A$3:$I$56,5,FALSE)-VLOOKUP($A102,main!$A$3:$I$56,6,FALSE)&gt;=VLOOKUP(56,main!$A$57:$I$59,4,FALSE)+VLOOKUP(VLOOKUP(Z$1,main!$A$3:$I$56,7,FALSE),main!$K$10:$Q$14,4,FALSE),1,0)</f>
        <v>0</v>
      </c>
      <c r="AA102">
        <f>IF(VLOOKUP(AA$1,main!$A$3:$I$56,5,FALSE)-VLOOKUP($A102,main!$A$3:$I$56,6,FALSE)&gt;=VLOOKUP(56,main!$A$57:$I$59,4,FALSE)+VLOOKUP(VLOOKUP(AA$1,main!$A$3:$I$56,7,FALSE),main!$K$10:$Q$14,4,FALSE),1,0)</f>
        <v>1</v>
      </c>
      <c r="AB102">
        <f>IF(VLOOKUP(AB$1,main!$A$3:$I$56,5,FALSE)-VLOOKUP($A102,main!$A$3:$I$56,6,FALSE)&gt;=VLOOKUP(56,main!$A$57:$I$59,4,FALSE)+VLOOKUP(VLOOKUP(AB$1,main!$A$3:$I$56,7,FALSE),main!$K$10:$Q$14,4,FALSE),1,0)</f>
        <v>1</v>
      </c>
      <c r="AC102">
        <f>IF(VLOOKUP(AC$1,main!$A$3:$I$56,5,FALSE)-VLOOKUP($A102,main!$A$3:$I$56,6,FALSE)&gt;=VLOOKUP(56,main!$A$57:$I$59,4,FALSE)+VLOOKUP(VLOOKUP(AC$1,main!$A$3:$I$56,7,FALSE),main!$K$10:$Q$14,4,FALSE),1,0)</f>
        <v>0</v>
      </c>
      <c r="AD102">
        <f>IF(VLOOKUP(AD$1,main!$A$3:$I$56,5,FALSE)-VLOOKUP($A102,main!$A$3:$I$56,6,FALSE)&gt;=VLOOKUP(56,main!$A$57:$I$59,4,FALSE)+VLOOKUP(VLOOKUP(AD$1,main!$A$3:$I$56,7,FALSE),main!$K$10:$Q$14,4,FALSE),1,0)</f>
        <v>0</v>
      </c>
      <c r="AE102">
        <f>IF(VLOOKUP(AE$1,main!$A$3:$I$56,5,FALSE)-VLOOKUP($A102,main!$A$3:$I$56,6,FALSE)&gt;=VLOOKUP(56,main!$A$57:$I$59,4,FALSE)+VLOOKUP(VLOOKUP(AE$1,main!$A$3:$I$56,7,FALSE),main!$K$10:$Q$14,4,FALSE),1,0)</f>
        <v>0</v>
      </c>
      <c r="AF102">
        <f>IF(VLOOKUP(AF$1,main!$A$3:$I$56,5,FALSE)-VLOOKUP($A102,main!$A$3:$I$56,6,FALSE)&gt;=VLOOKUP(56,main!$A$57:$I$59,4,FALSE)+VLOOKUP(VLOOKUP(AF$1,main!$A$3:$I$56,7,FALSE),main!$K$10:$Q$14,4,FALSE),1,0)</f>
        <v>0</v>
      </c>
      <c r="AG102">
        <f>IF(VLOOKUP(AG$1,main!$A$3:$I$56,5,FALSE)-VLOOKUP($A102,main!$A$3:$I$56,6,FALSE)&gt;=VLOOKUP(56,main!$A$57:$I$59,4,FALSE)+VLOOKUP(VLOOKUP(AG$1,main!$A$3:$I$56,7,FALSE),main!$K$10:$Q$14,4,FALSE),1,0)</f>
        <v>0</v>
      </c>
      <c r="AH102">
        <f>IF(VLOOKUP(AH$1,main!$A$3:$I$56,5,FALSE)-VLOOKUP($A102,main!$A$3:$I$56,6,FALSE)&gt;=VLOOKUP(56,main!$A$57:$I$59,4,FALSE)+VLOOKUP(VLOOKUP(AH$1,main!$A$3:$I$56,7,FALSE),main!$K$10:$Q$14,4,FALSE),1,0)</f>
        <v>0</v>
      </c>
      <c r="AI102">
        <f>IF(VLOOKUP(AI$1,main!$A$3:$I$56,5,FALSE)-VLOOKUP($A102,main!$A$3:$I$56,6,FALSE)&gt;=VLOOKUP(56,main!$A$57:$I$59,4,FALSE)+VLOOKUP(VLOOKUP(AI$1,main!$A$3:$I$56,7,FALSE),main!$K$10:$Q$14,4,FALSE),1,0)</f>
        <v>0</v>
      </c>
      <c r="AJ102">
        <f>IF(VLOOKUP(AJ$1,main!$A$3:$I$56,5,FALSE)-VLOOKUP($A102,main!$A$3:$I$56,6,FALSE)&gt;=VLOOKUP(56,main!$A$57:$I$59,4,FALSE)+VLOOKUP(VLOOKUP(AJ$1,main!$A$3:$I$56,7,FALSE),main!$K$10:$Q$14,4,FALSE),1,0)</f>
        <v>0</v>
      </c>
      <c r="AK102">
        <f>IF(VLOOKUP(AK$1,main!$A$3:$I$56,5,FALSE)-VLOOKUP($A102,main!$A$3:$I$56,6,FALSE)&gt;=VLOOKUP(56,main!$A$57:$I$59,4,FALSE)+VLOOKUP(VLOOKUP(AK$1,main!$A$3:$I$56,7,FALSE),main!$K$10:$Q$14,4,FALSE),1,0)</f>
        <v>0</v>
      </c>
      <c r="AL102">
        <f>IF(VLOOKUP(AL$1,main!$A$3:$I$56,5,FALSE)-VLOOKUP($A102,main!$A$3:$I$56,6,FALSE)&gt;=VLOOKUP(56,main!$A$57:$I$59,4,FALSE)+VLOOKUP(VLOOKUP(AL$1,main!$A$3:$I$56,7,FALSE),main!$K$10:$Q$14,4,FALSE),1,0)</f>
        <v>0</v>
      </c>
      <c r="AM102">
        <f>IF(VLOOKUP(AM$1,main!$A$3:$I$56,5,FALSE)-VLOOKUP($A102,main!$A$3:$I$56,6,FALSE)&gt;=VLOOKUP(56,main!$A$57:$I$59,4,FALSE)+VLOOKUP(VLOOKUP(AM$1,main!$A$3:$I$56,7,FALSE),main!$K$10:$Q$14,4,FALSE),1,0)</f>
        <v>0</v>
      </c>
      <c r="AN102">
        <f>IF(VLOOKUP(AN$1,main!$A$3:$I$56,5,FALSE)-VLOOKUP($A102,main!$A$3:$I$56,6,FALSE)&gt;=VLOOKUP(56,main!$A$57:$I$59,4,FALSE)+VLOOKUP(VLOOKUP(AN$1,main!$A$3:$I$56,7,FALSE),main!$K$10:$Q$14,4,FALSE),1,0)</f>
        <v>0</v>
      </c>
      <c r="AO102">
        <f>IF(VLOOKUP(AO$1,main!$A$3:$I$56,5,FALSE)-VLOOKUP($A102,main!$A$3:$I$56,6,FALSE)&gt;=VLOOKUP(56,main!$A$57:$I$59,4,FALSE)+VLOOKUP(VLOOKUP(AO$1,main!$A$3:$I$56,7,FALSE),main!$K$10:$Q$14,4,FALSE),1,0)</f>
        <v>0</v>
      </c>
      <c r="AP102">
        <f>IF(VLOOKUP(AP$1,main!$A$3:$I$56,5,FALSE)-VLOOKUP($A102,main!$A$3:$I$56,6,FALSE)&gt;=VLOOKUP(56,main!$A$57:$I$59,4,FALSE)+VLOOKUP(VLOOKUP(AP$1,main!$A$3:$I$56,7,FALSE),main!$K$10:$Q$14,4,FALSE),1,0)</f>
        <v>0</v>
      </c>
      <c r="AQ102">
        <f>IF(VLOOKUP(AQ$1,main!$A$3:$I$56,5,FALSE)-VLOOKUP($A102,main!$A$3:$I$56,6,FALSE)&gt;=VLOOKUP(56,main!$A$57:$I$59,4,FALSE)+VLOOKUP(VLOOKUP(AQ$1,main!$A$3:$I$56,7,FALSE),main!$K$10:$Q$14,4,FALSE),1,0)</f>
        <v>0</v>
      </c>
      <c r="AR102">
        <f>IF(VLOOKUP(AR$1,main!$A$3:$I$56,5,FALSE)-VLOOKUP($A102,main!$A$3:$I$56,6,FALSE)&gt;=VLOOKUP(56,main!$A$57:$I$59,4,FALSE)+VLOOKUP(VLOOKUP(AR$1,main!$A$3:$I$56,7,FALSE),main!$K$10:$Q$14,4,FALSE),1,0)</f>
        <v>0</v>
      </c>
      <c r="AS102">
        <f>IF(VLOOKUP(AS$1,main!$A$3:$I$56,5,FALSE)-VLOOKUP($A102,main!$A$3:$I$56,6,FALSE)&gt;=VLOOKUP(56,main!$A$57:$I$59,4,FALSE)+VLOOKUP(VLOOKUP(AS$1,main!$A$3:$I$56,7,FALSE),main!$K$10:$Q$14,4,FALSE),1,0)</f>
        <v>0</v>
      </c>
      <c r="AT102">
        <f>IF(VLOOKUP(AT$1,main!$A$3:$I$56,5,FALSE)-VLOOKUP($A102,main!$A$3:$I$56,6,FALSE)&gt;=VLOOKUP(56,main!$A$57:$I$59,4,FALSE)+VLOOKUP(VLOOKUP(AT$1,main!$A$3:$I$56,7,FALSE),main!$K$10:$Q$14,4,FALSE),1,0)</f>
        <v>0</v>
      </c>
      <c r="AU102">
        <f>IF(VLOOKUP(AU$1,main!$A$3:$I$56,5,FALSE)-VLOOKUP($A102,main!$A$3:$I$56,6,FALSE)&gt;=VLOOKUP(56,main!$A$57:$I$59,4,FALSE)+VLOOKUP(VLOOKUP(AU$1,main!$A$3:$I$56,7,FALSE),main!$K$10:$Q$14,4,FALSE),1,0)</f>
        <v>0</v>
      </c>
      <c r="AV102">
        <f>IF(VLOOKUP(AV$1,main!$A$3:$I$56,5,FALSE)-VLOOKUP($A102,main!$A$3:$I$56,6,FALSE)&gt;=VLOOKUP(56,main!$A$57:$I$59,4,FALSE)+VLOOKUP(VLOOKUP(AV$1,main!$A$3:$I$56,7,FALSE),main!$K$10:$Q$14,4,FALSE),1,0)</f>
        <v>0</v>
      </c>
      <c r="AW102">
        <f>IF(VLOOKUP(AW$1,main!$A$3:$I$56,5,FALSE)-VLOOKUP($A102,main!$A$3:$I$56,6,FALSE)&gt;=VLOOKUP(56,main!$A$57:$I$59,4,FALSE)+VLOOKUP(VLOOKUP(AW$1,main!$A$3:$I$56,7,FALSE),main!$K$10:$Q$14,4,FALSE),1,0)</f>
        <v>0</v>
      </c>
      <c r="AX102">
        <f>IF(VLOOKUP(AX$1,main!$A$3:$I$56,5,FALSE)-VLOOKUP($A102,main!$A$3:$I$56,6,FALSE)&gt;=VLOOKUP(56,main!$A$57:$I$59,4,FALSE)+VLOOKUP(VLOOKUP(AX$1,main!$A$3:$I$56,7,FALSE),main!$K$10:$Q$14,4,FALSE),1,0)</f>
        <v>0</v>
      </c>
      <c r="AY102">
        <f>IF(VLOOKUP(AY$1,main!$A$3:$I$56,5,FALSE)-VLOOKUP($A102,main!$A$3:$I$56,6,FALSE)&gt;=VLOOKUP(56,main!$A$57:$I$59,4,FALSE)+VLOOKUP(VLOOKUP(AY$1,main!$A$3:$I$56,7,FALSE),main!$K$10:$Q$14,4,FALSE),1,0)</f>
        <v>1</v>
      </c>
      <c r="AZ102">
        <f>IF(VLOOKUP(AZ$1,main!$A$3:$I$56,5,FALSE)-VLOOKUP($A102,main!$A$3:$I$56,6,FALSE)&gt;=VLOOKUP(56,main!$A$57:$I$59,4,FALSE)+VLOOKUP(VLOOKUP(AZ$1,main!$A$3:$I$56,7,FALSE),main!$K$10:$Q$14,4,FALSE),1,0)</f>
        <v>0</v>
      </c>
      <c r="BA102">
        <f>IF(VLOOKUP(BA$1,main!$A$3:$I$56,5,FALSE)-VLOOKUP($A102,main!$A$3:$I$56,6,FALSE)&gt;=VLOOKUP(56,main!$A$57:$I$59,4,FALSE)+VLOOKUP(VLOOKUP(BA$1,main!$A$3:$I$56,7,FALSE),main!$K$10:$Q$14,4,FALSE),1,0)</f>
        <v>0</v>
      </c>
      <c r="BB102">
        <f>IF(VLOOKUP(BB$1,main!$A$3:$I$56,5,FALSE)-VLOOKUP($A102,main!$A$3:$I$56,6,FALSE)&gt;=VLOOKUP(56,main!$A$57:$I$59,4,FALSE)+VLOOKUP(VLOOKUP(BB$1,main!$A$3:$I$56,7,FALSE),main!$K$10:$Q$14,4,FALSE),1,0)</f>
        <v>0</v>
      </c>
      <c r="BC102">
        <f>IF(VLOOKUP(BC$1,main!$A$3:$I$56,5,FALSE)-VLOOKUP($A102,main!$A$3:$I$56,6,FALSE)&gt;=VLOOKUP(56,main!$A$57:$I$59,4,FALSE)+VLOOKUP(VLOOKUP(BC$1,main!$A$3:$I$56,7,FALSE),main!$K$10:$Q$14,4,FALSE),1,0)</f>
        <v>0</v>
      </c>
      <c r="BD102">
        <f>IF(VLOOKUP(BD$1,main!$A$3:$I$56,5,FALSE)-VLOOKUP($A102,main!$A$3:$I$56,6,FALSE)&gt;=VLOOKUP(56,main!$A$57:$I$59,4,FALSE)+VLOOKUP(VLOOKUP(BD$1,main!$A$3:$I$56,7,FALSE),main!$K$10:$Q$14,4,FALSE),1,0)</f>
        <v>0</v>
      </c>
    </row>
    <row r="103" spans="1:56" x14ac:dyDescent="0.25">
      <c r="A103">
        <f t="shared" si="1"/>
        <v>46</v>
      </c>
      <c r="B103">
        <v>0</v>
      </c>
      <c r="C103">
        <f>IF(VLOOKUP(C$1,main!$A$3:$I$56,5,FALSE)-VLOOKUP($A103,main!$A$3:$I$56,6,FALSE)&gt;=VLOOKUP(56,main!$A$57:$I$59,4,FALSE)+VLOOKUP(VLOOKUP(C$1,main!$A$3:$I$56,7,FALSE),main!$K$10:$Q$14,4,FALSE),1,0)</f>
        <v>0</v>
      </c>
      <c r="D103">
        <f>IF(VLOOKUP(D$1,main!$A$3:$I$56,5,FALSE)-VLOOKUP($A103,main!$A$3:$I$56,6,FALSE)&gt;=VLOOKUP(56,main!$A$57:$I$59,4,FALSE)+VLOOKUP(VLOOKUP(D$1,main!$A$3:$I$56,7,FALSE),main!$K$10:$Q$14,4,FALSE),1,0)</f>
        <v>0</v>
      </c>
      <c r="E103">
        <f>IF(VLOOKUP(E$1,main!$A$3:$I$56,5,FALSE)-VLOOKUP($A103,main!$A$3:$I$56,6,FALSE)&gt;=VLOOKUP(56,main!$A$57:$I$59,4,FALSE)+VLOOKUP(VLOOKUP(E$1,main!$A$3:$I$56,7,FALSE),main!$K$10:$Q$14,4,FALSE),1,0)</f>
        <v>0</v>
      </c>
      <c r="F103">
        <f>IF(VLOOKUP(F$1,main!$A$3:$I$56,5,FALSE)-VLOOKUP($A103,main!$A$3:$I$56,6,FALSE)&gt;=VLOOKUP(56,main!$A$57:$I$59,4,FALSE)+VLOOKUP(VLOOKUP(F$1,main!$A$3:$I$56,7,FALSE),main!$K$10:$Q$14,4,FALSE),1,0)</f>
        <v>0</v>
      </c>
      <c r="G103">
        <f>IF(VLOOKUP(G$1,main!$A$3:$I$56,5,FALSE)-VLOOKUP($A103,main!$A$3:$I$56,6,FALSE)&gt;=VLOOKUP(56,main!$A$57:$I$59,4,FALSE)+VLOOKUP(VLOOKUP(G$1,main!$A$3:$I$56,7,FALSE),main!$K$10:$Q$14,4,FALSE),1,0)</f>
        <v>1</v>
      </c>
      <c r="H103">
        <f>IF(VLOOKUP(H$1,main!$A$3:$I$56,5,FALSE)-VLOOKUP($A103,main!$A$3:$I$56,6,FALSE)&gt;=VLOOKUP(56,main!$A$57:$I$59,4,FALSE)+VLOOKUP(VLOOKUP(H$1,main!$A$3:$I$56,7,FALSE),main!$K$10:$Q$14,4,FALSE),1,0)</f>
        <v>1</v>
      </c>
      <c r="I103">
        <f>IF(VLOOKUP(I$1,main!$A$3:$I$56,5,FALSE)-VLOOKUP($A103,main!$A$3:$I$56,6,FALSE)&gt;=VLOOKUP(56,main!$A$57:$I$59,4,FALSE)+VLOOKUP(VLOOKUP(I$1,main!$A$3:$I$56,7,FALSE),main!$K$10:$Q$14,4,FALSE),1,0)</f>
        <v>1</v>
      </c>
      <c r="J103">
        <f>IF(VLOOKUP(J$1,main!$A$3:$I$56,5,FALSE)-VLOOKUP($A103,main!$A$3:$I$56,6,FALSE)&gt;=VLOOKUP(56,main!$A$57:$I$59,4,FALSE)+VLOOKUP(VLOOKUP(J$1,main!$A$3:$I$56,7,FALSE),main!$K$10:$Q$14,4,FALSE),1,0)</f>
        <v>1</v>
      </c>
      <c r="K103">
        <f>IF(VLOOKUP(K$1,main!$A$3:$I$56,5,FALSE)-VLOOKUP($A103,main!$A$3:$I$56,6,FALSE)&gt;=VLOOKUP(56,main!$A$57:$I$59,4,FALSE)+VLOOKUP(VLOOKUP(K$1,main!$A$3:$I$56,7,FALSE),main!$K$10:$Q$14,4,FALSE),1,0)</f>
        <v>0</v>
      </c>
      <c r="L103">
        <f>IF(VLOOKUP(L$1,main!$A$3:$I$56,5,FALSE)-VLOOKUP($A103,main!$A$3:$I$56,6,FALSE)&gt;=VLOOKUP(56,main!$A$57:$I$59,4,FALSE)+VLOOKUP(VLOOKUP(L$1,main!$A$3:$I$56,7,FALSE),main!$K$10:$Q$14,4,FALSE),1,0)</f>
        <v>0</v>
      </c>
      <c r="M103">
        <f>IF(VLOOKUP(M$1,main!$A$3:$I$56,5,FALSE)-VLOOKUP($A103,main!$A$3:$I$56,6,FALSE)&gt;=VLOOKUP(56,main!$A$57:$I$59,4,FALSE)+VLOOKUP(VLOOKUP(M$1,main!$A$3:$I$56,7,FALSE),main!$K$10:$Q$14,4,FALSE),1,0)</f>
        <v>0</v>
      </c>
      <c r="N103">
        <f>IF(VLOOKUP(N$1,main!$A$3:$I$56,5,FALSE)-VLOOKUP($A103,main!$A$3:$I$56,6,FALSE)&gt;=VLOOKUP(56,main!$A$57:$I$59,4,FALSE)+VLOOKUP(VLOOKUP(N$1,main!$A$3:$I$56,7,FALSE),main!$K$10:$Q$14,4,FALSE),1,0)</f>
        <v>1</v>
      </c>
      <c r="O103">
        <f>IF(VLOOKUP(O$1,main!$A$3:$I$56,5,FALSE)-VLOOKUP($A103,main!$A$3:$I$56,6,FALSE)&gt;=VLOOKUP(56,main!$A$57:$I$59,4,FALSE)+VLOOKUP(VLOOKUP(O$1,main!$A$3:$I$56,7,FALSE),main!$K$10:$Q$14,4,FALSE),1,0)</f>
        <v>1</v>
      </c>
      <c r="P103">
        <f>IF(VLOOKUP(P$1,main!$A$3:$I$56,5,FALSE)-VLOOKUP($A103,main!$A$3:$I$56,6,FALSE)&gt;=VLOOKUP(56,main!$A$57:$I$59,4,FALSE)+VLOOKUP(VLOOKUP(P$1,main!$A$3:$I$56,7,FALSE),main!$K$10:$Q$14,4,FALSE),1,0)</f>
        <v>0</v>
      </c>
      <c r="Q103">
        <f>IF(VLOOKUP(Q$1,main!$A$3:$I$56,5,FALSE)-VLOOKUP($A103,main!$A$3:$I$56,6,FALSE)&gt;=VLOOKUP(56,main!$A$57:$I$59,4,FALSE)+VLOOKUP(VLOOKUP(Q$1,main!$A$3:$I$56,7,FALSE),main!$K$10:$Q$14,4,FALSE),1,0)</f>
        <v>0</v>
      </c>
      <c r="R103">
        <f>IF(VLOOKUP(R$1,main!$A$3:$I$56,5,FALSE)-VLOOKUP($A103,main!$A$3:$I$56,6,FALSE)&gt;=VLOOKUP(56,main!$A$57:$I$59,4,FALSE)+VLOOKUP(VLOOKUP(R$1,main!$A$3:$I$56,7,FALSE),main!$K$10:$Q$14,4,FALSE),1,0)</f>
        <v>0</v>
      </c>
      <c r="S103">
        <f>IF(VLOOKUP(S$1,main!$A$3:$I$56,5,FALSE)-VLOOKUP($A103,main!$A$3:$I$56,6,FALSE)&gt;=VLOOKUP(56,main!$A$57:$I$59,4,FALSE)+VLOOKUP(VLOOKUP(S$1,main!$A$3:$I$56,7,FALSE),main!$K$10:$Q$14,4,FALSE),1,0)</f>
        <v>1</v>
      </c>
      <c r="T103">
        <f>IF(VLOOKUP(T$1,main!$A$3:$I$56,5,FALSE)-VLOOKUP($A103,main!$A$3:$I$56,6,FALSE)&gt;=VLOOKUP(56,main!$A$57:$I$59,4,FALSE)+VLOOKUP(VLOOKUP(T$1,main!$A$3:$I$56,7,FALSE),main!$K$10:$Q$14,4,FALSE),1,0)</f>
        <v>1</v>
      </c>
      <c r="U103">
        <f>IF(VLOOKUP(U$1,main!$A$3:$I$56,5,FALSE)-VLOOKUP($A103,main!$A$3:$I$56,6,FALSE)&gt;=VLOOKUP(56,main!$A$57:$I$59,4,FALSE)+VLOOKUP(VLOOKUP(U$1,main!$A$3:$I$56,7,FALSE),main!$K$10:$Q$14,4,FALSE),1,0)</f>
        <v>0</v>
      </c>
      <c r="V103">
        <f>IF(VLOOKUP(V$1,main!$A$3:$I$56,5,FALSE)-VLOOKUP($A103,main!$A$3:$I$56,6,FALSE)&gt;=VLOOKUP(56,main!$A$57:$I$59,4,FALSE)+VLOOKUP(VLOOKUP(V$1,main!$A$3:$I$56,7,FALSE),main!$K$10:$Q$14,4,FALSE),1,0)</f>
        <v>0</v>
      </c>
      <c r="W103">
        <f>IF(VLOOKUP(W$1,main!$A$3:$I$56,5,FALSE)-VLOOKUP($A103,main!$A$3:$I$56,6,FALSE)&gt;=VLOOKUP(56,main!$A$57:$I$59,4,FALSE)+VLOOKUP(VLOOKUP(W$1,main!$A$3:$I$56,7,FALSE),main!$K$10:$Q$14,4,FALSE),1,0)</f>
        <v>0</v>
      </c>
      <c r="X103">
        <f>IF(VLOOKUP(X$1,main!$A$3:$I$56,5,FALSE)-VLOOKUP($A103,main!$A$3:$I$56,6,FALSE)&gt;=VLOOKUP(56,main!$A$57:$I$59,4,FALSE)+VLOOKUP(VLOOKUP(X$1,main!$A$3:$I$56,7,FALSE),main!$K$10:$Q$14,4,FALSE),1,0)</f>
        <v>0</v>
      </c>
      <c r="Y103">
        <f>IF(VLOOKUP(Y$1,main!$A$3:$I$56,5,FALSE)-VLOOKUP($A103,main!$A$3:$I$56,6,FALSE)&gt;=VLOOKUP(56,main!$A$57:$I$59,4,FALSE)+VLOOKUP(VLOOKUP(Y$1,main!$A$3:$I$56,7,FALSE),main!$K$10:$Q$14,4,FALSE),1,0)</f>
        <v>0</v>
      </c>
      <c r="Z103">
        <f>IF(VLOOKUP(Z$1,main!$A$3:$I$56,5,FALSE)-VLOOKUP($A103,main!$A$3:$I$56,6,FALSE)&gt;=VLOOKUP(56,main!$A$57:$I$59,4,FALSE)+VLOOKUP(VLOOKUP(Z$1,main!$A$3:$I$56,7,FALSE),main!$K$10:$Q$14,4,FALSE),1,0)</f>
        <v>0</v>
      </c>
      <c r="AA103">
        <f>IF(VLOOKUP(AA$1,main!$A$3:$I$56,5,FALSE)-VLOOKUP($A103,main!$A$3:$I$56,6,FALSE)&gt;=VLOOKUP(56,main!$A$57:$I$59,4,FALSE)+VLOOKUP(VLOOKUP(AA$1,main!$A$3:$I$56,7,FALSE),main!$K$10:$Q$14,4,FALSE),1,0)</f>
        <v>1</v>
      </c>
      <c r="AB103">
        <f>IF(VLOOKUP(AB$1,main!$A$3:$I$56,5,FALSE)-VLOOKUP($A103,main!$A$3:$I$56,6,FALSE)&gt;=VLOOKUP(56,main!$A$57:$I$59,4,FALSE)+VLOOKUP(VLOOKUP(AB$1,main!$A$3:$I$56,7,FALSE),main!$K$10:$Q$14,4,FALSE),1,0)</f>
        <v>1</v>
      </c>
      <c r="AC103">
        <f>IF(VLOOKUP(AC$1,main!$A$3:$I$56,5,FALSE)-VLOOKUP($A103,main!$A$3:$I$56,6,FALSE)&gt;=VLOOKUP(56,main!$A$57:$I$59,4,FALSE)+VLOOKUP(VLOOKUP(AC$1,main!$A$3:$I$56,7,FALSE),main!$K$10:$Q$14,4,FALSE),1,0)</f>
        <v>0</v>
      </c>
      <c r="AD103">
        <f>IF(VLOOKUP(AD$1,main!$A$3:$I$56,5,FALSE)-VLOOKUP($A103,main!$A$3:$I$56,6,FALSE)&gt;=VLOOKUP(56,main!$A$57:$I$59,4,FALSE)+VLOOKUP(VLOOKUP(AD$1,main!$A$3:$I$56,7,FALSE),main!$K$10:$Q$14,4,FALSE),1,0)</f>
        <v>0</v>
      </c>
      <c r="AE103">
        <f>IF(VLOOKUP(AE$1,main!$A$3:$I$56,5,FALSE)-VLOOKUP($A103,main!$A$3:$I$56,6,FALSE)&gt;=VLOOKUP(56,main!$A$57:$I$59,4,FALSE)+VLOOKUP(VLOOKUP(AE$1,main!$A$3:$I$56,7,FALSE),main!$K$10:$Q$14,4,FALSE),1,0)</f>
        <v>0</v>
      </c>
      <c r="AF103">
        <f>IF(VLOOKUP(AF$1,main!$A$3:$I$56,5,FALSE)-VLOOKUP($A103,main!$A$3:$I$56,6,FALSE)&gt;=VLOOKUP(56,main!$A$57:$I$59,4,FALSE)+VLOOKUP(VLOOKUP(AF$1,main!$A$3:$I$56,7,FALSE),main!$K$10:$Q$14,4,FALSE),1,0)</f>
        <v>0</v>
      </c>
      <c r="AG103">
        <f>IF(VLOOKUP(AG$1,main!$A$3:$I$56,5,FALSE)-VLOOKUP($A103,main!$A$3:$I$56,6,FALSE)&gt;=VLOOKUP(56,main!$A$57:$I$59,4,FALSE)+VLOOKUP(VLOOKUP(AG$1,main!$A$3:$I$56,7,FALSE),main!$K$10:$Q$14,4,FALSE),1,0)</f>
        <v>0</v>
      </c>
      <c r="AH103">
        <f>IF(VLOOKUP(AH$1,main!$A$3:$I$56,5,FALSE)-VLOOKUP($A103,main!$A$3:$I$56,6,FALSE)&gt;=VLOOKUP(56,main!$A$57:$I$59,4,FALSE)+VLOOKUP(VLOOKUP(AH$1,main!$A$3:$I$56,7,FALSE),main!$K$10:$Q$14,4,FALSE),1,0)</f>
        <v>0</v>
      </c>
      <c r="AI103">
        <f>IF(VLOOKUP(AI$1,main!$A$3:$I$56,5,FALSE)-VLOOKUP($A103,main!$A$3:$I$56,6,FALSE)&gt;=VLOOKUP(56,main!$A$57:$I$59,4,FALSE)+VLOOKUP(VLOOKUP(AI$1,main!$A$3:$I$56,7,FALSE),main!$K$10:$Q$14,4,FALSE),1,0)</f>
        <v>0</v>
      </c>
      <c r="AJ103">
        <f>IF(VLOOKUP(AJ$1,main!$A$3:$I$56,5,FALSE)-VLOOKUP($A103,main!$A$3:$I$56,6,FALSE)&gt;=VLOOKUP(56,main!$A$57:$I$59,4,FALSE)+VLOOKUP(VLOOKUP(AJ$1,main!$A$3:$I$56,7,FALSE),main!$K$10:$Q$14,4,FALSE),1,0)</f>
        <v>0</v>
      </c>
      <c r="AK103">
        <f>IF(VLOOKUP(AK$1,main!$A$3:$I$56,5,FALSE)-VLOOKUP($A103,main!$A$3:$I$56,6,FALSE)&gt;=VLOOKUP(56,main!$A$57:$I$59,4,FALSE)+VLOOKUP(VLOOKUP(AK$1,main!$A$3:$I$56,7,FALSE),main!$K$10:$Q$14,4,FALSE),1,0)</f>
        <v>0</v>
      </c>
      <c r="AL103">
        <f>IF(VLOOKUP(AL$1,main!$A$3:$I$56,5,FALSE)-VLOOKUP($A103,main!$A$3:$I$56,6,FALSE)&gt;=VLOOKUP(56,main!$A$57:$I$59,4,FALSE)+VLOOKUP(VLOOKUP(AL$1,main!$A$3:$I$56,7,FALSE),main!$K$10:$Q$14,4,FALSE),1,0)</f>
        <v>0</v>
      </c>
      <c r="AM103">
        <f>IF(VLOOKUP(AM$1,main!$A$3:$I$56,5,FALSE)-VLOOKUP($A103,main!$A$3:$I$56,6,FALSE)&gt;=VLOOKUP(56,main!$A$57:$I$59,4,FALSE)+VLOOKUP(VLOOKUP(AM$1,main!$A$3:$I$56,7,FALSE),main!$K$10:$Q$14,4,FALSE),1,0)</f>
        <v>0</v>
      </c>
      <c r="AN103">
        <f>IF(VLOOKUP(AN$1,main!$A$3:$I$56,5,FALSE)-VLOOKUP($A103,main!$A$3:$I$56,6,FALSE)&gt;=VLOOKUP(56,main!$A$57:$I$59,4,FALSE)+VLOOKUP(VLOOKUP(AN$1,main!$A$3:$I$56,7,FALSE),main!$K$10:$Q$14,4,FALSE),1,0)</f>
        <v>0</v>
      </c>
      <c r="AO103">
        <f>IF(VLOOKUP(AO$1,main!$A$3:$I$56,5,FALSE)-VLOOKUP($A103,main!$A$3:$I$56,6,FALSE)&gt;=VLOOKUP(56,main!$A$57:$I$59,4,FALSE)+VLOOKUP(VLOOKUP(AO$1,main!$A$3:$I$56,7,FALSE),main!$K$10:$Q$14,4,FALSE),1,0)</f>
        <v>0</v>
      </c>
      <c r="AP103">
        <f>IF(VLOOKUP(AP$1,main!$A$3:$I$56,5,FALSE)-VLOOKUP($A103,main!$A$3:$I$56,6,FALSE)&gt;=VLOOKUP(56,main!$A$57:$I$59,4,FALSE)+VLOOKUP(VLOOKUP(AP$1,main!$A$3:$I$56,7,FALSE),main!$K$10:$Q$14,4,FALSE),1,0)</f>
        <v>0</v>
      </c>
      <c r="AQ103">
        <f>IF(VLOOKUP(AQ$1,main!$A$3:$I$56,5,FALSE)-VLOOKUP($A103,main!$A$3:$I$56,6,FALSE)&gt;=VLOOKUP(56,main!$A$57:$I$59,4,FALSE)+VLOOKUP(VLOOKUP(AQ$1,main!$A$3:$I$56,7,FALSE),main!$K$10:$Q$14,4,FALSE),1,0)</f>
        <v>0</v>
      </c>
      <c r="AR103">
        <f>IF(VLOOKUP(AR$1,main!$A$3:$I$56,5,FALSE)-VLOOKUP($A103,main!$A$3:$I$56,6,FALSE)&gt;=VLOOKUP(56,main!$A$57:$I$59,4,FALSE)+VLOOKUP(VLOOKUP(AR$1,main!$A$3:$I$56,7,FALSE),main!$K$10:$Q$14,4,FALSE),1,0)</f>
        <v>0</v>
      </c>
      <c r="AS103">
        <f>IF(VLOOKUP(AS$1,main!$A$3:$I$56,5,FALSE)-VLOOKUP($A103,main!$A$3:$I$56,6,FALSE)&gt;=VLOOKUP(56,main!$A$57:$I$59,4,FALSE)+VLOOKUP(VLOOKUP(AS$1,main!$A$3:$I$56,7,FALSE),main!$K$10:$Q$14,4,FALSE),1,0)</f>
        <v>0</v>
      </c>
      <c r="AT103">
        <f>IF(VLOOKUP(AT$1,main!$A$3:$I$56,5,FALSE)-VLOOKUP($A103,main!$A$3:$I$56,6,FALSE)&gt;=VLOOKUP(56,main!$A$57:$I$59,4,FALSE)+VLOOKUP(VLOOKUP(AT$1,main!$A$3:$I$56,7,FALSE),main!$K$10:$Q$14,4,FALSE),1,0)</f>
        <v>0</v>
      </c>
      <c r="AU103">
        <f>IF(VLOOKUP(AU$1,main!$A$3:$I$56,5,FALSE)-VLOOKUP($A103,main!$A$3:$I$56,6,FALSE)&gt;=VLOOKUP(56,main!$A$57:$I$59,4,FALSE)+VLOOKUP(VLOOKUP(AU$1,main!$A$3:$I$56,7,FALSE),main!$K$10:$Q$14,4,FALSE),1,0)</f>
        <v>0</v>
      </c>
      <c r="AV103">
        <f>IF(VLOOKUP(AV$1,main!$A$3:$I$56,5,FALSE)-VLOOKUP($A103,main!$A$3:$I$56,6,FALSE)&gt;=VLOOKUP(56,main!$A$57:$I$59,4,FALSE)+VLOOKUP(VLOOKUP(AV$1,main!$A$3:$I$56,7,FALSE),main!$K$10:$Q$14,4,FALSE),1,0)</f>
        <v>0</v>
      </c>
      <c r="AW103">
        <f>IF(VLOOKUP(AW$1,main!$A$3:$I$56,5,FALSE)-VLOOKUP($A103,main!$A$3:$I$56,6,FALSE)&gt;=VLOOKUP(56,main!$A$57:$I$59,4,FALSE)+VLOOKUP(VLOOKUP(AW$1,main!$A$3:$I$56,7,FALSE),main!$K$10:$Q$14,4,FALSE),1,0)</f>
        <v>0</v>
      </c>
      <c r="AX103">
        <f>IF(VLOOKUP(AX$1,main!$A$3:$I$56,5,FALSE)-VLOOKUP($A103,main!$A$3:$I$56,6,FALSE)&gt;=VLOOKUP(56,main!$A$57:$I$59,4,FALSE)+VLOOKUP(VLOOKUP(AX$1,main!$A$3:$I$56,7,FALSE),main!$K$10:$Q$14,4,FALSE),1,0)</f>
        <v>0</v>
      </c>
      <c r="AY103">
        <f>IF(VLOOKUP(AY$1,main!$A$3:$I$56,5,FALSE)-VLOOKUP($A103,main!$A$3:$I$56,6,FALSE)&gt;=VLOOKUP(56,main!$A$57:$I$59,4,FALSE)+VLOOKUP(VLOOKUP(AY$1,main!$A$3:$I$56,7,FALSE),main!$K$10:$Q$14,4,FALSE),1,0)</f>
        <v>1</v>
      </c>
      <c r="AZ103">
        <f>IF(VLOOKUP(AZ$1,main!$A$3:$I$56,5,FALSE)-VLOOKUP($A103,main!$A$3:$I$56,6,FALSE)&gt;=VLOOKUP(56,main!$A$57:$I$59,4,FALSE)+VLOOKUP(VLOOKUP(AZ$1,main!$A$3:$I$56,7,FALSE),main!$K$10:$Q$14,4,FALSE),1,0)</f>
        <v>0</v>
      </c>
      <c r="BA103">
        <f>IF(VLOOKUP(BA$1,main!$A$3:$I$56,5,FALSE)-VLOOKUP($A103,main!$A$3:$I$56,6,FALSE)&gt;=VLOOKUP(56,main!$A$57:$I$59,4,FALSE)+VLOOKUP(VLOOKUP(BA$1,main!$A$3:$I$56,7,FALSE),main!$K$10:$Q$14,4,FALSE),1,0)</f>
        <v>0</v>
      </c>
      <c r="BB103">
        <f>IF(VLOOKUP(BB$1,main!$A$3:$I$56,5,FALSE)-VLOOKUP($A103,main!$A$3:$I$56,6,FALSE)&gt;=VLOOKUP(56,main!$A$57:$I$59,4,FALSE)+VLOOKUP(VLOOKUP(BB$1,main!$A$3:$I$56,7,FALSE),main!$K$10:$Q$14,4,FALSE),1,0)</f>
        <v>0</v>
      </c>
      <c r="BC103">
        <f>IF(VLOOKUP(BC$1,main!$A$3:$I$56,5,FALSE)-VLOOKUP($A103,main!$A$3:$I$56,6,FALSE)&gt;=VLOOKUP(56,main!$A$57:$I$59,4,FALSE)+VLOOKUP(VLOOKUP(BC$1,main!$A$3:$I$56,7,FALSE),main!$K$10:$Q$14,4,FALSE),1,0)</f>
        <v>0</v>
      </c>
      <c r="BD103">
        <f>IF(VLOOKUP(BD$1,main!$A$3:$I$56,5,FALSE)-VLOOKUP($A103,main!$A$3:$I$56,6,FALSE)&gt;=VLOOKUP(56,main!$A$57:$I$59,4,FALSE)+VLOOKUP(VLOOKUP(BD$1,main!$A$3:$I$56,7,FALSE),main!$K$10:$Q$14,4,FALSE),1,0)</f>
        <v>0</v>
      </c>
    </row>
    <row r="104" spans="1:56" x14ac:dyDescent="0.25">
      <c r="A104">
        <f t="shared" si="1"/>
        <v>47</v>
      </c>
      <c r="B104">
        <v>0</v>
      </c>
      <c r="C104">
        <f>IF(VLOOKUP(C$1,main!$A$3:$I$56,5,FALSE)-VLOOKUP($A104,main!$A$3:$I$56,6,FALSE)&gt;=VLOOKUP(56,main!$A$57:$I$59,4,FALSE)+VLOOKUP(VLOOKUP(C$1,main!$A$3:$I$56,7,FALSE),main!$K$10:$Q$14,4,FALSE),1,0)</f>
        <v>0</v>
      </c>
      <c r="D104">
        <f>IF(VLOOKUP(D$1,main!$A$3:$I$56,5,FALSE)-VLOOKUP($A104,main!$A$3:$I$56,6,FALSE)&gt;=VLOOKUP(56,main!$A$57:$I$59,4,FALSE)+VLOOKUP(VLOOKUP(D$1,main!$A$3:$I$56,7,FALSE),main!$K$10:$Q$14,4,FALSE),1,0)</f>
        <v>0</v>
      </c>
      <c r="E104">
        <f>IF(VLOOKUP(E$1,main!$A$3:$I$56,5,FALSE)-VLOOKUP($A104,main!$A$3:$I$56,6,FALSE)&gt;=VLOOKUP(56,main!$A$57:$I$59,4,FALSE)+VLOOKUP(VLOOKUP(E$1,main!$A$3:$I$56,7,FALSE),main!$K$10:$Q$14,4,FALSE),1,0)</f>
        <v>0</v>
      </c>
      <c r="F104">
        <f>IF(VLOOKUP(F$1,main!$A$3:$I$56,5,FALSE)-VLOOKUP($A104,main!$A$3:$I$56,6,FALSE)&gt;=VLOOKUP(56,main!$A$57:$I$59,4,FALSE)+VLOOKUP(VLOOKUP(F$1,main!$A$3:$I$56,7,FALSE),main!$K$10:$Q$14,4,FALSE),1,0)</f>
        <v>0</v>
      </c>
      <c r="G104">
        <f>IF(VLOOKUP(G$1,main!$A$3:$I$56,5,FALSE)-VLOOKUP($A104,main!$A$3:$I$56,6,FALSE)&gt;=VLOOKUP(56,main!$A$57:$I$59,4,FALSE)+VLOOKUP(VLOOKUP(G$1,main!$A$3:$I$56,7,FALSE),main!$K$10:$Q$14,4,FALSE),1,0)</f>
        <v>0</v>
      </c>
      <c r="H104">
        <f>IF(VLOOKUP(H$1,main!$A$3:$I$56,5,FALSE)-VLOOKUP($A104,main!$A$3:$I$56,6,FALSE)&gt;=VLOOKUP(56,main!$A$57:$I$59,4,FALSE)+VLOOKUP(VLOOKUP(H$1,main!$A$3:$I$56,7,FALSE),main!$K$10:$Q$14,4,FALSE),1,0)</f>
        <v>1</v>
      </c>
      <c r="I104">
        <f>IF(VLOOKUP(I$1,main!$A$3:$I$56,5,FALSE)-VLOOKUP($A104,main!$A$3:$I$56,6,FALSE)&gt;=VLOOKUP(56,main!$A$57:$I$59,4,FALSE)+VLOOKUP(VLOOKUP(I$1,main!$A$3:$I$56,7,FALSE),main!$K$10:$Q$14,4,FALSE),1,0)</f>
        <v>1</v>
      </c>
      <c r="J104">
        <f>IF(VLOOKUP(J$1,main!$A$3:$I$56,5,FALSE)-VLOOKUP($A104,main!$A$3:$I$56,6,FALSE)&gt;=VLOOKUP(56,main!$A$57:$I$59,4,FALSE)+VLOOKUP(VLOOKUP(J$1,main!$A$3:$I$56,7,FALSE),main!$K$10:$Q$14,4,FALSE),1,0)</f>
        <v>1</v>
      </c>
      <c r="K104">
        <f>IF(VLOOKUP(K$1,main!$A$3:$I$56,5,FALSE)-VLOOKUP($A104,main!$A$3:$I$56,6,FALSE)&gt;=VLOOKUP(56,main!$A$57:$I$59,4,FALSE)+VLOOKUP(VLOOKUP(K$1,main!$A$3:$I$56,7,FALSE),main!$K$10:$Q$14,4,FALSE),1,0)</f>
        <v>0</v>
      </c>
      <c r="L104">
        <f>IF(VLOOKUP(L$1,main!$A$3:$I$56,5,FALSE)-VLOOKUP($A104,main!$A$3:$I$56,6,FALSE)&gt;=VLOOKUP(56,main!$A$57:$I$59,4,FALSE)+VLOOKUP(VLOOKUP(L$1,main!$A$3:$I$56,7,FALSE),main!$K$10:$Q$14,4,FALSE),1,0)</f>
        <v>0</v>
      </c>
      <c r="M104">
        <f>IF(VLOOKUP(M$1,main!$A$3:$I$56,5,FALSE)-VLOOKUP($A104,main!$A$3:$I$56,6,FALSE)&gt;=VLOOKUP(56,main!$A$57:$I$59,4,FALSE)+VLOOKUP(VLOOKUP(M$1,main!$A$3:$I$56,7,FALSE),main!$K$10:$Q$14,4,FALSE),1,0)</f>
        <v>0</v>
      </c>
      <c r="N104">
        <f>IF(VLOOKUP(N$1,main!$A$3:$I$56,5,FALSE)-VLOOKUP($A104,main!$A$3:$I$56,6,FALSE)&gt;=VLOOKUP(56,main!$A$57:$I$59,4,FALSE)+VLOOKUP(VLOOKUP(N$1,main!$A$3:$I$56,7,FALSE),main!$K$10:$Q$14,4,FALSE),1,0)</f>
        <v>1</v>
      </c>
      <c r="O104">
        <f>IF(VLOOKUP(O$1,main!$A$3:$I$56,5,FALSE)-VLOOKUP($A104,main!$A$3:$I$56,6,FALSE)&gt;=VLOOKUP(56,main!$A$57:$I$59,4,FALSE)+VLOOKUP(VLOOKUP(O$1,main!$A$3:$I$56,7,FALSE),main!$K$10:$Q$14,4,FALSE),1,0)</f>
        <v>1</v>
      </c>
      <c r="P104">
        <f>IF(VLOOKUP(P$1,main!$A$3:$I$56,5,FALSE)-VLOOKUP($A104,main!$A$3:$I$56,6,FALSE)&gt;=VLOOKUP(56,main!$A$57:$I$59,4,FALSE)+VLOOKUP(VLOOKUP(P$1,main!$A$3:$I$56,7,FALSE),main!$K$10:$Q$14,4,FALSE),1,0)</f>
        <v>0</v>
      </c>
      <c r="Q104">
        <f>IF(VLOOKUP(Q$1,main!$A$3:$I$56,5,FALSE)-VLOOKUP($A104,main!$A$3:$I$56,6,FALSE)&gt;=VLOOKUP(56,main!$A$57:$I$59,4,FALSE)+VLOOKUP(VLOOKUP(Q$1,main!$A$3:$I$56,7,FALSE),main!$K$10:$Q$14,4,FALSE),1,0)</f>
        <v>0</v>
      </c>
      <c r="R104">
        <f>IF(VLOOKUP(R$1,main!$A$3:$I$56,5,FALSE)-VLOOKUP($A104,main!$A$3:$I$56,6,FALSE)&gt;=VLOOKUP(56,main!$A$57:$I$59,4,FALSE)+VLOOKUP(VLOOKUP(R$1,main!$A$3:$I$56,7,FALSE),main!$K$10:$Q$14,4,FALSE),1,0)</f>
        <v>0</v>
      </c>
      <c r="S104">
        <f>IF(VLOOKUP(S$1,main!$A$3:$I$56,5,FALSE)-VLOOKUP($A104,main!$A$3:$I$56,6,FALSE)&gt;=VLOOKUP(56,main!$A$57:$I$59,4,FALSE)+VLOOKUP(VLOOKUP(S$1,main!$A$3:$I$56,7,FALSE),main!$K$10:$Q$14,4,FALSE),1,0)</f>
        <v>0</v>
      </c>
      <c r="T104">
        <f>IF(VLOOKUP(T$1,main!$A$3:$I$56,5,FALSE)-VLOOKUP($A104,main!$A$3:$I$56,6,FALSE)&gt;=VLOOKUP(56,main!$A$57:$I$59,4,FALSE)+VLOOKUP(VLOOKUP(T$1,main!$A$3:$I$56,7,FALSE),main!$K$10:$Q$14,4,FALSE),1,0)</f>
        <v>1</v>
      </c>
      <c r="U104">
        <f>IF(VLOOKUP(U$1,main!$A$3:$I$56,5,FALSE)-VLOOKUP($A104,main!$A$3:$I$56,6,FALSE)&gt;=VLOOKUP(56,main!$A$57:$I$59,4,FALSE)+VLOOKUP(VLOOKUP(U$1,main!$A$3:$I$56,7,FALSE),main!$K$10:$Q$14,4,FALSE),1,0)</f>
        <v>0</v>
      </c>
      <c r="V104">
        <f>IF(VLOOKUP(V$1,main!$A$3:$I$56,5,FALSE)-VLOOKUP($A104,main!$A$3:$I$56,6,FALSE)&gt;=VLOOKUP(56,main!$A$57:$I$59,4,FALSE)+VLOOKUP(VLOOKUP(V$1,main!$A$3:$I$56,7,FALSE),main!$K$10:$Q$14,4,FALSE),1,0)</f>
        <v>0</v>
      </c>
      <c r="W104">
        <f>IF(VLOOKUP(W$1,main!$A$3:$I$56,5,FALSE)-VLOOKUP($A104,main!$A$3:$I$56,6,FALSE)&gt;=VLOOKUP(56,main!$A$57:$I$59,4,FALSE)+VLOOKUP(VLOOKUP(W$1,main!$A$3:$I$56,7,FALSE),main!$K$10:$Q$14,4,FALSE),1,0)</f>
        <v>0</v>
      </c>
      <c r="X104">
        <f>IF(VLOOKUP(X$1,main!$A$3:$I$56,5,FALSE)-VLOOKUP($A104,main!$A$3:$I$56,6,FALSE)&gt;=VLOOKUP(56,main!$A$57:$I$59,4,FALSE)+VLOOKUP(VLOOKUP(X$1,main!$A$3:$I$56,7,FALSE),main!$K$10:$Q$14,4,FALSE),1,0)</f>
        <v>0</v>
      </c>
      <c r="Y104">
        <f>IF(VLOOKUP(Y$1,main!$A$3:$I$56,5,FALSE)-VLOOKUP($A104,main!$A$3:$I$56,6,FALSE)&gt;=VLOOKUP(56,main!$A$57:$I$59,4,FALSE)+VLOOKUP(VLOOKUP(Y$1,main!$A$3:$I$56,7,FALSE),main!$K$10:$Q$14,4,FALSE),1,0)</f>
        <v>0</v>
      </c>
      <c r="Z104">
        <f>IF(VLOOKUP(Z$1,main!$A$3:$I$56,5,FALSE)-VLOOKUP($A104,main!$A$3:$I$56,6,FALSE)&gt;=VLOOKUP(56,main!$A$57:$I$59,4,FALSE)+VLOOKUP(VLOOKUP(Z$1,main!$A$3:$I$56,7,FALSE),main!$K$10:$Q$14,4,FALSE),1,0)</f>
        <v>0</v>
      </c>
      <c r="AA104">
        <f>IF(VLOOKUP(AA$1,main!$A$3:$I$56,5,FALSE)-VLOOKUP($A104,main!$A$3:$I$56,6,FALSE)&gt;=VLOOKUP(56,main!$A$57:$I$59,4,FALSE)+VLOOKUP(VLOOKUP(AA$1,main!$A$3:$I$56,7,FALSE),main!$K$10:$Q$14,4,FALSE),1,0)</f>
        <v>0</v>
      </c>
      <c r="AB104">
        <f>IF(VLOOKUP(AB$1,main!$A$3:$I$56,5,FALSE)-VLOOKUP($A104,main!$A$3:$I$56,6,FALSE)&gt;=VLOOKUP(56,main!$A$57:$I$59,4,FALSE)+VLOOKUP(VLOOKUP(AB$1,main!$A$3:$I$56,7,FALSE),main!$K$10:$Q$14,4,FALSE),1,0)</f>
        <v>1</v>
      </c>
      <c r="AC104">
        <f>IF(VLOOKUP(AC$1,main!$A$3:$I$56,5,FALSE)-VLOOKUP($A104,main!$A$3:$I$56,6,FALSE)&gt;=VLOOKUP(56,main!$A$57:$I$59,4,FALSE)+VLOOKUP(VLOOKUP(AC$1,main!$A$3:$I$56,7,FALSE),main!$K$10:$Q$14,4,FALSE),1,0)</f>
        <v>0</v>
      </c>
      <c r="AD104">
        <f>IF(VLOOKUP(AD$1,main!$A$3:$I$56,5,FALSE)-VLOOKUP($A104,main!$A$3:$I$56,6,FALSE)&gt;=VLOOKUP(56,main!$A$57:$I$59,4,FALSE)+VLOOKUP(VLOOKUP(AD$1,main!$A$3:$I$56,7,FALSE),main!$K$10:$Q$14,4,FALSE),1,0)</f>
        <v>0</v>
      </c>
      <c r="AE104">
        <f>IF(VLOOKUP(AE$1,main!$A$3:$I$56,5,FALSE)-VLOOKUP($A104,main!$A$3:$I$56,6,FALSE)&gt;=VLOOKUP(56,main!$A$57:$I$59,4,FALSE)+VLOOKUP(VLOOKUP(AE$1,main!$A$3:$I$56,7,FALSE),main!$K$10:$Q$14,4,FALSE),1,0)</f>
        <v>0</v>
      </c>
      <c r="AF104">
        <f>IF(VLOOKUP(AF$1,main!$A$3:$I$56,5,FALSE)-VLOOKUP($A104,main!$A$3:$I$56,6,FALSE)&gt;=VLOOKUP(56,main!$A$57:$I$59,4,FALSE)+VLOOKUP(VLOOKUP(AF$1,main!$A$3:$I$56,7,FALSE),main!$K$10:$Q$14,4,FALSE),1,0)</f>
        <v>0</v>
      </c>
      <c r="AG104">
        <f>IF(VLOOKUP(AG$1,main!$A$3:$I$56,5,FALSE)-VLOOKUP($A104,main!$A$3:$I$56,6,FALSE)&gt;=VLOOKUP(56,main!$A$57:$I$59,4,FALSE)+VLOOKUP(VLOOKUP(AG$1,main!$A$3:$I$56,7,FALSE),main!$K$10:$Q$14,4,FALSE),1,0)</f>
        <v>0</v>
      </c>
      <c r="AH104">
        <f>IF(VLOOKUP(AH$1,main!$A$3:$I$56,5,FALSE)-VLOOKUP($A104,main!$A$3:$I$56,6,FALSE)&gt;=VLOOKUP(56,main!$A$57:$I$59,4,FALSE)+VLOOKUP(VLOOKUP(AH$1,main!$A$3:$I$56,7,FALSE),main!$K$10:$Q$14,4,FALSE),1,0)</f>
        <v>0</v>
      </c>
      <c r="AI104">
        <f>IF(VLOOKUP(AI$1,main!$A$3:$I$56,5,FALSE)-VLOOKUP($A104,main!$A$3:$I$56,6,FALSE)&gt;=VLOOKUP(56,main!$A$57:$I$59,4,FALSE)+VLOOKUP(VLOOKUP(AI$1,main!$A$3:$I$56,7,FALSE),main!$K$10:$Q$14,4,FALSE),1,0)</f>
        <v>0</v>
      </c>
      <c r="AJ104">
        <f>IF(VLOOKUP(AJ$1,main!$A$3:$I$56,5,FALSE)-VLOOKUP($A104,main!$A$3:$I$56,6,FALSE)&gt;=VLOOKUP(56,main!$A$57:$I$59,4,FALSE)+VLOOKUP(VLOOKUP(AJ$1,main!$A$3:$I$56,7,FALSE),main!$K$10:$Q$14,4,FALSE),1,0)</f>
        <v>0</v>
      </c>
      <c r="AK104">
        <f>IF(VLOOKUP(AK$1,main!$A$3:$I$56,5,FALSE)-VLOOKUP($A104,main!$A$3:$I$56,6,FALSE)&gt;=VLOOKUP(56,main!$A$57:$I$59,4,FALSE)+VLOOKUP(VLOOKUP(AK$1,main!$A$3:$I$56,7,FALSE),main!$K$10:$Q$14,4,FALSE),1,0)</f>
        <v>0</v>
      </c>
      <c r="AL104">
        <f>IF(VLOOKUP(AL$1,main!$A$3:$I$56,5,FALSE)-VLOOKUP($A104,main!$A$3:$I$56,6,FALSE)&gt;=VLOOKUP(56,main!$A$57:$I$59,4,FALSE)+VLOOKUP(VLOOKUP(AL$1,main!$A$3:$I$56,7,FALSE),main!$K$10:$Q$14,4,FALSE),1,0)</f>
        <v>0</v>
      </c>
      <c r="AM104">
        <f>IF(VLOOKUP(AM$1,main!$A$3:$I$56,5,FALSE)-VLOOKUP($A104,main!$A$3:$I$56,6,FALSE)&gt;=VLOOKUP(56,main!$A$57:$I$59,4,FALSE)+VLOOKUP(VLOOKUP(AM$1,main!$A$3:$I$56,7,FALSE),main!$K$10:$Q$14,4,FALSE),1,0)</f>
        <v>0</v>
      </c>
      <c r="AN104">
        <f>IF(VLOOKUP(AN$1,main!$A$3:$I$56,5,FALSE)-VLOOKUP($A104,main!$A$3:$I$56,6,FALSE)&gt;=VLOOKUP(56,main!$A$57:$I$59,4,FALSE)+VLOOKUP(VLOOKUP(AN$1,main!$A$3:$I$56,7,FALSE),main!$K$10:$Q$14,4,FALSE),1,0)</f>
        <v>0</v>
      </c>
      <c r="AO104">
        <f>IF(VLOOKUP(AO$1,main!$A$3:$I$56,5,FALSE)-VLOOKUP($A104,main!$A$3:$I$56,6,FALSE)&gt;=VLOOKUP(56,main!$A$57:$I$59,4,FALSE)+VLOOKUP(VLOOKUP(AO$1,main!$A$3:$I$56,7,FALSE),main!$K$10:$Q$14,4,FALSE),1,0)</f>
        <v>0</v>
      </c>
      <c r="AP104">
        <f>IF(VLOOKUP(AP$1,main!$A$3:$I$56,5,FALSE)-VLOOKUP($A104,main!$A$3:$I$56,6,FALSE)&gt;=VLOOKUP(56,main!$A$57:$I$59,4,FALSE)+VLOOKUP(VLOOKUP(AP$1,main!$A$3:$I$56,7,FALSE),main!$K$10:$Q$14,4,FALSE),1,0)</f>
        <v>0</v>
      </c>
      <c r="AQ104">
        <f>IF(VLOOKUP(AQ$1,main!$A$3:$I$56,5,FALSE)-VLOOKUP($A104,main!$A$3:$I$56,6,FALSE)&gt;=VLOOKUP(56,main!$A$57:$I$59,4,FALSE)+VLOOKUP(VLOOKUP(AQ$1,main!$A$3:$I$56,7,FALSE),main!$K$10:$Q$14,4,FALSE),1,0)</f>
        <v>0</v>
      </c>
      <c r="AR104">
        <f>IF(VLOOKUP(AR$1,main!$A$3:$I$56,5,FALSE)-VLOOKUP($A104,main!$A$3:$I$56,6,FALSE)&gt;=VLOOKUP(56,main!$A$57:$I$59,4,FALSE)+VLOOKUP(VLOOKUP(AR$1,main!$A$3:$I$56,7,FALSE),main!$K$10:$Q$14,4,FALSE),1,0)</f>
        <v>0</v>
      </c>
      <c r="AS104">
        <f>IF(VLOOKUP(AS$1,main!$A$3:$I$56,5,FALSE)-VLOOKUP($A104,main!$A$3:$I$56,6,FALSE)&gt;=VLOOKUP(56,main!$A$57:$I$59,4,FALSE)+VLOOKUP(VLOOKUP(AS$1,main!$A$3:$I$56,7,FALSE),main!$K$10:$Q$14,4,FALSE),1,0)</f>
        <v>0</v>
      </c>
      <c r="AT104">
        <f>IF(VLOOKUP(AT$1,main!$A$3:$I$56,5,FALSE)-VLOOKUP($A104,main!$A$3:$I$56,6,FALSE)&gt;=VLOOKUP(56,main!$A$57:$I$59,4,FALSE)+VLOOKUP(VLOOKUP(AT$1,main!$A$3:$I$56,7,FALSE),main!$K$10:$Q$14,4,FALSE),1,0)</f>
        <v>0</v>
      </c>
      <c r="AU104">
        <f>IF(VLOOKUP(AU$1,main!$A$3:$I$56,5,FALSE)-VLOOKUP($A104,main!$A$3:$I$56,6,FALSE)&gt;=VLOOKUP(56,main!$A$57:$I$59,4,FALSE)+VLOOKUP(VLOOKUP(AU$1,main!$A$3:$I$56,7,FALSE),main!$K$10:$Q$14,4,FALSE),1,0)</f>
        <v>0</v>
      </c>
      <c r="AV104">
        <f>IF(VLOOKUP(AV$1,main!$A$3:$I$56,5,FALSE)-VLOOKUP($A104,main!$A$3:$I$56,6,FALSE)&gt;=VLOOKUP(56,main!$A$57:$I$59,4,FALSE)+VLOOKUP(VLOOKUP(AV$1,main!$A$3:$I$56,7,FALSE),main!$K$10:$Q$14,4,FALSE),1,0)</f>
        <v>0</v>
      </c>
      <c r="AW104">
        <f>IF(VLOOKUP(AW$1,main!$A$3:$I$56,5,FALSE)-VLOOKUP($A104,main!$A$3:$I$56,6,FALSE)&gt;=VLOOKUP(56,main!$A$57:$I$59,4,FALSE)+VLOOKUP(VLOOKUP(AW$1,main!$A$3:$I$56,7,FALSE),main!$K$10:$Q$14,4,FALSE),1,0)</f>
        <v>0</v>
      </c>
      <c r="AX104">
        <f>IF(VLOOKUP(AX$1,main!$A$3:$I$56,5,FALSE)-VLOOKUP($A104,main!$A$3:$I$56,6,FALSE)&gt;=VLOOKUP(56,main!$A$57:$I$59,4,FALSE)+VLOOKUP(VLOOKUP(AX$1,main!$A$3:$I$56,7,FALSE),main!$K$10:$Q$14,4,FALSE),1,0)</f>
        <v>0</v>
      </c>
      <c r="AY104">
        <f>IF(VLOOKUP(AY$1,main!$A$3:$I$56,5,FALSE)-VLOOKUP($A104,main!$A$3:$I$56,6,FALSE)&gt;=VLOOKUP(56,main!$A$57:$I$59,4,FALSE)+VLOOKUP(VLOOKUP(AY$1,main!$A$3:$I$56,7,FALSE),main!$K$10:$Q$14,4,FALSE),1,0)</f>
        <v>0</v>
      </c>
      <c r="AZ104">
        <f>IF(VLOOKUP(AZ$1,main!$A$3:$I$56,5,FALSE)-VLOOKUP($A104,main!$A$3:$I$56,6,FALSE)&gt;=VLOOKUP(56,main!$A$57:$I$59,4,FALSE)+VLOOKUP(VLOOKUP(AZ$1,main!$A$3:$I$56,7,FALSE),main!$K$10:$Q$14,4,FALSE),1,0)</f>
        <v>0</v>
      </c>
      <c r="BA104">
        <f>IF(VLOOKUP(BA$1,main!$A$3:$I$56,5,FALSE)-VLOOKUP($A104,main!$A$3:$I$56,6,FALSE)&gt;=VLOOKUP(56,main!$A$57:$I$59,4,FALSE)+VLOOKUP(VLOOKUP(BA$1,main!$A$3:$I$56,7,FALSE),main!$K$10:$Q$14,4,FALSE),1,0)</f>
        <v>0</v>
      </c>
      <c r="BB104">
        <f>IF(VLOOKUP(BB$1,main!$A$3:$I$56,5,FALSE)-VLOOKUP($A104,main!$A$3:$I$56,6,FALSE)&gt;=VLOOKUP(56,main!$A$57:$I$59,4,FALSE)+VLOOKUP(VLOOKUP(BB$1,main!$A$3:$I$56,7,FALSE),main!$K$10:$Q$14,4,FALSE),1,0)</f>
        <v>0</v>
      </c>
      <c r="BC104">
        <f>IF(VLOOKUP(BC$1,main!$A$3:$I$56,5,FALSE)-VLOOKUP($A104,main!$A$3:$I$56,6,FALSE)&gt;=VLOOKUP(56,main!$A$57:$I$59,4,FALSE)+VLOOKUP(VLOOKUP(BC$1,main!$A$3:$I$56,7,FALSE),main!$K$10:$Q$14,4,FALSE),1,0)</f>
        <v>0</v>
      </c>
      <c r="BD104">
        <f>IF(VLOOKUP(BD$1,main!$A$3:$I$56,5,FALSE)-VLOOKUP($A104,main!$A$3:$I$56,6,FALSE)&gt;=VLOOKUP(56,main!$A$57:$I$59,4,FALSE)+VLOOKUP(VLOOKUP(BD$1,main!$A$3:$I$56,7,FALSE),main!$K$10:$Q$14,4,FALSE),1,0)</f>
        <v>0</v>
      </c>
    </row>
    <row r="105" spans="1:56" x14ac:dyDescent="0.25">
      <c r="A105">
        <f t="shared" si="1"/>
        <v>48</v>
      </c>
      <c r="B105">
        <v>0</v>
      </c>
      <c r="C105">
        <f>IF(VLOOKUP(C$1,main!$A$3:$I$56,5,FALSE)-VLOOKUP($A105,main!$A$3:$I$56,6,FALSE)&gt;=VLOOKUP(56,main!$A$57:$I$59,4,FALSE)+VLOOKUP(VLOOKUP(C$1,main!$A$3:$I$56,7,FALSE),main!$K$10:$Q$14,4,FALSE),1,0)</f>
        <v>0</v>
      </c>
      <c r="D105">
        <f>IF(VLOOKUP(D$1,main!$A$3:$I$56,5,FALSE)-VLOOKUP($A105,main!$A$3:$I$56,6,FALSE)&gt;=VLOOKUP(56,main!$A$57:$I$59,4,FALSE)+VLOOKUP(VLOOKUP(D$1,main!$A$3:$I$56,7,FALSE),main!$K$10:$Q$14,4,FALSE),1,0)</f>
        <v>0</v>
      </c>
      <c r="E105">
        <f>IF(VLOOKUP(E$1,main!$A$3:$I$56,5,FALSE)-VLOOKUP($A105,main!$A$3:$I$56,6,FALSE)&gt;=VLOOKUP(56,main!$A$57:$I$59,4,FALSE)+VLOOKUP(VLOOKUP(E$1,main!$A$3:$I$56,7,FALSE),main!$K$10:$Q$14,4,FALSE),1,0)</f>
        <v>0</v>
      </c>
      <c r="F105">
        <f>IF(VLOOKUP(F$1,main!$A$3:$I$56,5,FALSE)-VLOOKUP($A105,main!$A$3:$I$56,6,FALSE)&gt;=VLOOKUP(56,main!$A$57:$I$59,4,FALSE)+VLOOKUP(VLOOKUP(F$1,main!$A$3:$I$56,7,FALSE),main!$K$10:$Q$14,4,FALSE),1,0)</f>
        <v>0</v>
      </c>
      <c r="G105">
        <f>IF(VLOOKUP(G$1,main!$A$3:$I$56,5,FALSE)-VLOOKUP($A105,main!$A$3:$I$56,6,FALSE)&gt;=VLOOKUP(56,main!$A$57:$I$59,4,FALSE)+VLOOKUP(VLOOKUP(G$1,main!$A$3:$I$56,7,FALSE),main!$K$10:$Q$14,4,FALSE),1,0)</f>
        <v>0</v>
      </c>
      <c r="H105">
        <f>IF(VLOOKUP(H$1,main!$A$3:$I$56,5,FALSE)-VLOOKUP($A105,main!$A$3:$I$56,6,FALSE)&gt;=VLOOKUP(56,main!$A$57:$I$59,4,FALSE)+VLOOKUP(VLOOKUP(H$1,main!$A$3:$I$56,7,FALSE),main!$K$10:$Q$14,4,FALSE),1,0)</f>
        <v>0</v>
      </c>
      <c r="I105">
        <f>IF(VLOOKUP(I$1,main!$A$3:$I$56,5,FALSE)-VLOOKUP($A105,main!$A$3:$I$56,6,FALSE)&gt;=VLOOKUP(56,main!$A$57:$I$59,4,FALSE)+VLOOKUP(VLOOKUP(I$1,main!$A$3:$I$56,7,FALSE),main!$K$10:$Q$14,4,FALSE),1,0)</f>
        <v>0</v>
      </c>
      <c r="J105">
        <f>IF(VLOOKUP(J$1,main!$A$3:$I$56,5,FALSE)-VLOOKUP($A105,main!$A$3:$I$56,6,FALSE)&gt;=VLOOKUP(56,main!$A$57:$I$59,4,FALSE)+VLOOKUP(VLOOKUP(J$1,main!$A$3:$I$56,7,FALSE),main!$K$10:$Q$14,4,FALSE),1,0)</f>
        <v>0</v>
      </c>
      <c r="K105">
        <f>IF(VLOOKUP(K$1,main!$A$3:$I$56,5,FALSE)-VLOOKUP($A105,main!$A$3:$I$56,6,FALSE)&gt;=VLOOKUP(56,main!$A$57:$I$59,4,FALSE)+VLOOKUP(VLOOKUP(K$1,main!$A$3:$I$56,7,FALSE),main!$K$10:$Q$14,4,FALSE),1,0)</f>
        <v>0</v>
      </c>
      <c r="L105">
        <f>IF(VLOOKUP(L$1,main!$A$3:$I$56,5,FALSE)-VLOOKUP($A105,main!$A$3:$I$56,6,FALSE)&gt;=VLOOKUP(56,main!$A$57:$I$59,4,FALSE)+VLOOKUP(VLOOKUP(L$1,main!$A$3:$I$56,7,FALSE),main!$K$10:$Q$14,4,FALSE),1,0)</f>
        <v>0</v>
      </c>
      <c r="M105">
        <f>IF(VLOOKUP(M$1,main!$A$3:$I$56,5,FALSE)-VLOOKUP($A105,main!$A$3:$I$56,6,FALSE)&gt;=VLOOKUP(56,main!$A$57:$I$59,4,FALSE)+VLOOKUP(VLOOKUP(M$1,main!$A$3:$I$56,7,FALSE),main!$K$10:$Q$14,4,FALSE),1,0)</f>
        <v>0</v>
      </c>
      <c r="N105">
        <f>IF(VLOOKUP(N$1,main!$A$3:$I$56,5,FALSE)-VLOOKUP($A105,main!$A$3:$I$56,6,FALSE)&gt;=VLOOKUP(56,main!$A$57:$I$59,4,FALSE)+VLOOKUP(VLOOKUP(N$1,main!$A$3:$I$56,7,FALSE),main!$K$10:$Q$14,4,FALSE),1,0)</f>
        <v>0</v>
      </c>
      <c r="O105">
        <f>IF(VLOOKUP(O$1,main!$A$3:$I$56,5,FALSE)-VLOOKUP($A105,main!$A$3:$I$56,6,FALSE)&gt;=VLOOKUP(56,main!$A$57:$I$59,4,FALSE)+VLOOKUP(VLOOKUP(O$1,main!$A$3:$I$56,7,FALSE),main!$K$10:$Q$14,4,FALSE),1,0)</f>
        <v>1</v>
      </c>
      <c r="P105">
        <f>IF(VLOOKUP(P$1,main!$A$3:$I$56,5,FALSE)-VLOOKUP($A105,main!$A$3:$I$56,6,FALSE)&gt;=VLOOKUP(56,main!$A$57:$I$59,4,FALSE)+VLOOKUP(VLOOKUP(P$1,main!$A$3:$I$56,7,FALSE),main!$K$10:$Q$14,4,FALSE),1,0)</f>
        <v>0</v>
      </c>
      <c r="Q105">
        <f>IF(VLOOKUP(Q$1,main!$A$3:$I$56,5,FALSE)-VLOOKUP($A105,main!$A$3:$I$56,6,FALSE)&gt;=VLOOKUP(56,main!$A$57:$I$59,4,FALSE)+VLOOKUP(VLOOKUP(Q$1,main!$A$3:$I$56,7,FALSE),main!$K$10:$Q$14,4,FALSE),1,0)</f>
        <v>0</v>
      </c>
      <c r="R105">
        <f>IF(VLOOKUP(R$1,main!$A$3:$I$56,5,FALSE)-VLOOKUP($A105,main!$A$3:$I$56,6,FALSE)&gt;=VLOOKUP(56,main!$A$57:$I$59,4,FALSE)+VLOOKUP(VLOOKUP(R$1,main!$A$3:$I$56,7,FALSE),main!$K$10:$Q$14,4,FALSE),1,0)</f>
        <v>0</v>
      </c>
      <c r="S105">
        <f>IF(VLOOKUP(S$1,main!$A$3:$I$56,5,FALSE)-VLOOKUP($A105,main!$A$3:$I$56,6,FALSE)&gt;=VLOOKUP(56,main!$A$57:$I$59,4,FALSE)+VLOOKUP(VLOOKUP(S$1,main!$A$3:$I$56,7,FALSE),main!$K$10:$Q$14,4,FALSE),1,0)</f>
        <v>0</v>
      </c>
      <c r="T105">
        <f>IF(VLOOKUP(T$1,main!$A$3:$I$56,5,FALSE)-VLOOKUP($A105,main!$A$3:$I$56,6,FALSE)&gt;=VLOOKUP(56,main!$A$57:$I$59,4,FALSE)+VLOOKUP(VLOOKUP(T$1,main!$A$3:$I$56,7,FALSE),main!$K$10:$Q$14,4,FALSE),1,0)</f>
        <v>0</v>
      </c>
      <c r="U105">
        <f>IF(VLOOKUP(U$1,main!$A$3:$I$56,5,FALSE)-VLOOKUP($A105,main!$A$3:$I$56,6,FALSE)&gt;=VLOOKUP(56,main!$A$57:$I$59,4,FALSE)+VLOOKUP(VLOOKUP(U$1,main!$A$3:$I$56,7,FALSE),main!$K$10:$Q$14,4,FALSE),1,0)</f>
        <v>0</v>
      </c>
      <c r="V105">
        <f>IF(VLOOKUP(V$1,main!$A$3:$I$56,5,FALSE)-VLOOKUP($A105,main!$A$3:$I$56,6,FALSE)&gt;=VLOOKUP(56,main!$A$57:$I$59,4,FALSE)+VLOOKUP(VLOOKUP(V$1,main!$A$3:$I$56,7,FALSE),main!$K$10:$Q$14,4,FALSE),1,0)</f>
        <v>0</v>
      </c>
      <c r="W105">
        <f>IF(VLOOKUP(W$1,main!$A$3:$I$56,5,FALSE)-VLOOKUP($A105,main!$A$3:$I$56,6,FALSE)&gt;=VLOOKUP(56,main!$A$57:$I$59,4,FALSE)+VLOOKUP(VLOOKUP(W$1,main!$A$3:$I$56,7,FALSE),main!$K$10:$Q$14,4,FALSE),1,0)</f>
        <v>0</v>
      </c>
      <c r="X105">
        <f>IF(VLOOKUP(X$1,main!$A$3:$I$56,5,FALSE)-VLOOKUP($A105,main!$A$3:$I$56,6,FALSE)&gt;=VLOOKUP(56,main!$A$57:$I$59,4,FALSE)+VLOOKUP(VLOOKUP(X$1,main!$A$3:$I$56,7,FALSE),main!$K$10:$Q$14,4,FALSE),1,0)</f>
        <v>0</v>
      </c>
      <c r="Y105">
        <f>IF(VLOOKUP(Y$1,main!$A$3:$I$56,5,FALSE)-VLOOKUP($A105,main!$A$3:$I$56,6,FALSE)&gt;=VLOOKUP(56,main!$A$57:$I$59,4,FALSE)+VLOOKUP(VLOOKUP(Y$1,main!$A$3:$I$56,7,FALSE),main!$K$10:$Q$14,4,FALSE),1,0)</f>
        <v>0</v>
      </c>
      <c r="Z105">
        <f>IF(VLOOKUP(Z$1,main!$A$3:$I$56,5,FALSE)-VLOOKUP($A105,main!$A$3:$I$56,6,FALSE)&gt;=VLOOKUP(56,main!$A$57:$I$59,4,FALSE)+VLOOKUP(VLOOKUP(Z$1,main!$A$3:$I$56,7,FALSE),main!$K$10:$Q$14,4,FALSE),1,0)</f>
        <v>0</v>
      </c>
      <c r="AA105">
        <f>IF(VLOOKUP(AA$1,main!$A$3:$I$56,5,FALSE)-VLOOKUP($A105,main!$A$3:$I$56,6,FALSE)&gt;=VLOOKUP(56,main!$A$57:$I$59,4,FALSE)+VLOOKUP(VLOOKUP(AA$1,main!$A$3:$I$56,7,FALSE),main!$K$10:$Q$14,4,FALSE),1,0)</f>
        <v>0</v>
      </c>
      <c r="AB105">
        <f>IF(VLOOKUP(AB$1,main!$A$3:$I$56,5,FALSE)-VLOOKUP($A105,main!$A$3:$I$56,6,FALSE)&gt;=VLOOKUP(56,main!$A$57:$I$59,4,FALSE)+VLOOKUP(VLOOKUP(AB$1,main!$A$3:$I$56,7,FALSE),main!$K$10:$Q$14,4,FALSE),1,0)</f>
        <v>0</v>
      </c>
      <c r="AC105">
        <f>IF(VLOOKUP(AC$1,main!$A$3:$I$56,5,FALSE)-VLOOKUP($A105,main!$A$3:$I$56,6,FALSE)&gt;=VLOOKUP(56,main!$A$57:$I$59,4,FALSE)+VLOOKUP(VLOOKUP(AC$1,main!$A$3:$I$56,7,FALSE),main!$K$10:$Q$14,4,FALSE),1,0)</f>
        <v>0</v>
      </c>
      <c r="AD105">
        <f>IF(VLOOKUP(AD$1,main!$A$3:$I$56,5,FALSE)-VLOOKUP($A105,main!$A$3:$I$56,6,FALSE)&gt;=VLOOKUP(56,main!$A$57:$I$59,4,FALSE)+VLOOKUP(VLOOKUP(AD$1,main!$A$3:$I$56,7,FALSE),main!$K$10:$Q$14,4,FALSE),1,0)</f>
        <v>0</v>
      </c>
      <c r="AE105">
        <f>IF(VLOOKUP(AE$1,main!$A$3:$I$56,5,FALSE)-VLOOKUP($A105,main!$A$3:$I$56,6,FALSE)&gt;=VLOOKUP(56,main!$A$57:$I$59,4,FALSE)+VLOOKUP(VLOOKUP(AE$1,main!$A$3:$I$56,7,FALSE),main!$K$10:$Q$14,4,FALSE),1,0)</f>
        <v>0</v>
      </c>
      <c r="AF105">
        <f>IF(VLOOKUP(AF$1,main!$A$3:$I$56,5,FALSE)-VLOOKUP($A105,main!$A$3:$I$56,6,FALSE)&gt;=VLOOKUP(56,main!$A$57:$I$59,4,FALSE)+VLOOKUP(VLOOKUP(AF$1,main!$A$3:$I$56,7,FALSE),main!$K$10:$Q$14,4,FALSE),1,0)</f>
        <v>0</v>
      </c>
      <c r="AG105">
        <f>IF(VLOOKUP(AG$1,main!$A$3:$I$56,5,FALSE)-VLOOKUP($A105,main!$A$3:$I$56,6,FALSE)&gt;=VLOOKUP(56,main!$A$57:$I$59,4,FALSE)+VLOOKUP(VLOOKUP(AG$1,main!$A$3:$I$56,7,FALSE),main!$K$10:$Q$14,4,FALSE),1,0)</f>
        <v>0</v>
      </c>
      <c r="AH105">
        <f>IF(VLOOKUP(AH$1,main!$A$3:$I$56,5,FALSE)-VLOOKUP($A105,main!$A$3:$I$56,6,FALSE)&gt;=VLOOKUP(56,main!$A$57:$I$59,4,FALSE)+VLOOKUP(VLOOKUP(AH$1,main!$A$3:$I$56,7,FALSE),main!$K$10:$Q$14,4,FALSE),1,0)</f>
        <v>0</v>
      </c>
      <c r="AI105">
        <f>IF(VLOOKUP(AI$1,main!$A$3:$I$56,5,FALSE)-VLOOKUP($A105,main!$A$3:$I$56,6,FALSE)&gt;=VLOOKUP(56,main!$A$57:$I$59,4,FALSE)+VLOOKUP(VLOOKUP(AI$1,main!$A$3:$I$56,7,FALSE),main!$K$10:$Q$14,4,FALSE),1,0)</f>
        <v>0</v>
      </c>
      <c r="AJ105">
        <f>IF(VLOOKUP(AJ$1,main!$A$3:$I$56,5,FALSE)-VLOOKUP($A105,main!$A$3:$I$56,6,FALSE)&gt;=VLOOKUP(56,main!$A$57:$I$59,4,FALSE)+VLOOKUP(VLOOKUP(AJ$1,main!$A$3:$I$56,7,FALSE),main!$K$10:$Q$14,4,FALSE),1,0)</f>
        <v>0</v>
      </c>
      <c r="AK105">
        <f>IF(VLOOKUP(AK$1,main!$A$3:$I$56,5,FALSE)-VLOOKUP($A105,main!$A$3:$I$56,6,FALSE)&gt;=VLOOKUP(56,main!$A$57:$I$59,4,FALSE)+VLOOKUP(VLOOKUP(AK$1,main!$A$3:$I$56,7,FALSE),main!$K$10:$Q$14,4,FALSE),1,0)</f>
        <v>0</v>
      </c>
      <c r="AL105">
        <f>IF(VLOOKUP(AL$1,main!$A$3:$I$56,5,FALSE)-VLOOKUP($A105,main!$A$3:$I$56,6,FALSE)&gt;=VLOOKUP(56,main!$A$57:$I$59,4,FALSE)+VLOOKUP(VLOOKUP(AL$1,main!$A$3:$I$56,7,FALSE),main!$K$10:$Q$14,4,FALSE),1,0)</f>
        <v>0</v>
      </c>
      <c r="AM105">
        <f>IF(VLOOKUP(AM$1,main!$A$3:$I$56,5,FALSE)-VLOOKUP($A105,main!$A$3:$I$56,6,FALSE)&gt;=VLOOKUP(56,main!$A$57:$I$59,4,FALSE)+VLOOKUP(VLOOKUP(AM$1,main!$A$3:$I$56,7,FALSE),main!$K$10:$Q$14,4,FALSE),1,0)</f>
        <v>0</v>
      </c>
      <c r="AN105">
        <f>IF(VLOOKUP(AN$1,main!$A$3:$I$56,5,FALSE)-VLOOKUP($A105,main!$A$3:$I$56,6,FALSE)&gt;=VLOOKUP(56,main!$A$57:$I$59,4,FALSE)+VLOOKUP(VLOOKUP(AN$1,main!$A$3:$I$56,7,FALSE),main!$K$10:$Q$14,4,FALSE),1,0)</f>
        <v>0</v>
      </c>
      <c r="AO105">
        <f>IF(VLOOKUP(AO$1,main!$A$3:$I$56,5,FALSE)-VLOOKUP($A105,main!$A$3:$I$56,6,FALSE)&gt;=VLOOKUP(56,main!$A$57:$I$59,4,FALSE)+VLOOKUP(VLOOKUP(AO$1,main!$A$3:$I$56,7,FALSE),main!$K$10:$Q$14,4,FALSE),1,0)</f>
        <v>0</v>
      </c>
      <c r="AP105">
        <f>IF(VLOOKUP(AP$1,main!$A$3:$I$56,5,FALSE)-VLOOKUP($A105,main!$A$3:$I$56,6,FALSE)&gt;=VLOOKUP(56,main!$A$57:$I$59,4,FALSE)+VLOOKUP(VLOOKUP(AP$1,main!$A$3:$I$56,7,FALSE),main!$K$10:$Q$14,4,FALSE),1,0)</f>
        <v>0</v>
      </c>
      <c r="AQ105">
        <f>IF(VLOOKUP(AQ$1,main!$A$3:$I$56,5,FALSE)-VLOOKUP($A105,main!$A$3:$I$56,6,FALSE)&gt;=VLOOKUP(56,main!$A$57:$I$59,4,FALSE)+VLOOKUP(VLOOKUP(AQ$1,main!$A$3:$I$56,7,FALSE),main!$K$10:$Q$14,4,FALSE),1,0)</f>
        <v>0</v>
      </c>
      <c r="AR105">
        <f>IF(VLOOKUP(AR$1,main!$A$3:$I$56,5,FALSE)-VLOOKUP($A105,main!$A$3:$I$56,6,FALSE)&gt;=VLOOKUP(56,main!$A$57:$I$59,4,FALSE)+VLOOKUP(VLOOKUP(AR$1,main!$A$3:$I$56,7,FALSE),main!$K$10:$Q$14,4,FALSE),1,0)</f>
        <v>0</v>
      </c>
      <c r="AS105">
        <f>IF(VLOOKUP(AS$1,main!$A$3:$I$56,5,FALSE)-VLOOKUP($A105,main!$A$3:$I$56,6,FALSE)&gt;=VLOOKUP(56,main!$A$57:$I$59,4,FALSE)+VLOOKUP(VLOOKUP(AS$1,main!$A$3:$I$56,7,FALSE),main!$K$10:$Q$14,4,FALSE),1,0)</f>
        <v>0</v>
      </c>
      <c r="AT105">
        <f>IF(VLOOKUP(AT$1,main!$A$3:$I$56,5,FALSE)-VLOOKUP($A105,main!$A$3:$I$56,6,FALSE)&gt;=VLOOKUP(56,main!$A$57:$I$59,4,FALSE)+VLOOKUP(VLOOKUP(AT$1,main!$A$3:$I$56,7,FALSE),main!$K$10:$Q$14,4,FALSE),1,0)</f>
        <v>0</v>
      </c>
      <c r="AU105">
        <f>IF(VLOOKUP(AU$1,main!$A$3:$I$56,5,FALSE)-VLOOKUP($A105,main!$A$3:$I$56,6,FALSE)&gt;=VLOOKUP(56,main!$A$57:$I$59,4,FALSE)+VLOOKUP(VLOOKUP(AU$1,main!$A$3:$I$56,7,FALSE),main!$K$10:$Q$14,4,FALSE),1,0)</f>
        <v>0</v>
      </c>
      <c r="AV105">
        <f>IF(VLOOKUP(AV$1,main!$A$3:$I$56,5,FALSE)-VLOOKUP($A105,main!$A$3:$I$56,6,FALSE)&gt;=VLOOKUP(56,main!$A$57:$I$59,4,FALSE)+VLOOKUP(VLOOKUP(AV$1,main!$A$3:$I$56,7,FALSE),main!$K$10:$Q$14,4,FALSE),1,0)</f>
        <v>0</v>
      </c>
      <c r="AW105">
        <f>IF(VLOOKUP(AW$1,main!$A$3:$I$56,5,FALSE)-VLOOKUP($A105,main!$A$3:$I$56,6,FALSE)&gt;=VLOOKUP(56,main!$A$57:$I$59,4,FALSE)+VLOOKUP(VLOOKUP(AW$1,main!$A$3:$I$56,7,FALSE),main!$K$10:$Q$14,4,FALSE),1,0)</f>
        <v>0</v>
      </c>
      <c r="AX105">
        <f>IF(VLOOKUP(AX$1,main!$A$3:$I$56,5,FALSE)-VLOOKUP($A105,main!$A$3:$I$56,6,FALSE)&gt;=VLOOKUP(56,main!$A$57:$I$59,4,FALSE)+VLOOKUP(VLOOKUP(AX$1,main!$A$3:$I$56,7,FALSE),main!$K$10:$Q$14,4,FALSE),1,0)</f>
        <v>0</v>
      </c>
      <c r="AY105">
        <f>IF(VLOOKUP(AY$1,main!$A$3:$I$56,5,FALSE)-VLOOKUP($A105,main!$A$3:$I$56,6,FALSE)&gt;=VLOOKUP(56,main!$A$57:$I$59,4,FALSE)+VLOOKUP(VLOOKUP(AY$1,main!$A$3:$I$56,7,FALSE),main!$K$10:$Q$14,4,FALSE),1,0)</f>
        <v>0</v>
      </c>
      <c r="AZ105">
        <f>IF(VLOOKUP(AZ$1,main!$A$3:$I$56,5,FALSE)-VLOOKUP($A105,main!$A$3:$I$56,6,FALSE)&gt;=VLOOKUP(56,main!$A$57:$I$59,4,FALSE)+VLOOKUP(VLOOKUP(AZ$1,main!$A$3:$I$56,7,FALSE),main!$K$10:$Q$14,4,FALSE),1,0)</f>
        <v>0</v>
      </c>
      <c r="BA105">
        <f>IF(VLOOKUP(BA$1,main!$A$3:$I$56,5,FALSE)-VLOOKUP($A105,main!$A$3:$I$56,6,FALSE)&gt;=VLOOKUP(56,main!$A$57:$I$59,4,FALSE)+VLOOKUP(VLOOKUP(BA$1,main!$A$3:$I$56,7,FALSE),main!$K$10:$Q$14,4,FALSE),1,0)</f>
        <v>0</v>
      </c>
      <c r="BB105">
        <f>IF(VLOOKUP(BB$1,main!$A$3:$I$56,5,FALSE)-VLOOKUP($A105,main!$A$3:$I$56,6,FALSE)&gt;=VLOOKUP(56,main!$A$57:$I$59,4,FALSE)+VLOOKUP(VLOOKUP(BB$1,main!$A$3:$I$56,7,FALSE),main!$K$10:$Q$14,4,FALSE),1,0)</f>
        <v>0</v>
      </c>
      <c r="BC105">
        <f>IF(VLOOKUP(BC$1,main!$A$3:$I$56,5,FALSE)-VLOOKUP($A105,main!$A$3:$I$56,6,FALSE)&gt;=VLOOKUP(56,main!$A$57:$I$59,4,FALSE)+VLOOKUP(VLOOKUP(BC$1,main!$A$3:$I$56,7,FALSE),main!$K$10:$Q$14,4,FALSE),1,0)</f>
        <v>0</v>
      </c>
      <c r="BD105">
        <f>IF(VLOOKUP(BD$1,main!$A$3:$I$56,5,FALSE)-VLOOKUP($A105,main!$A$3:$I$56,6,FALSE)&gt;=VLOOKUP(56,main!$A$57:$I$59,4,FALSE)+VLOOKUP(VLOOKUP(BD$1,main!$A$3:$I$56,7,FALSE),main!$K$10:$Q$14,4,FALSE),1,0)</f>
        <v>0</v>
      </c>
    </row>
    <row r="106" spans="1:56" x14ac:dyDescent="0.25">
      <c r="A106">
        <f t="shared" si="1"/>
        <v>49</v>
      </c>
      <c r="B106">
        <v>0</v>
      </c>
      <c r="C106">
        <f>IF(VLOOKUP(C$1,main!$A$3:$I$56,5,FALSE)-VLOOKUP($A106,main!$A$3:$I$56,6,FALSE)&gt;=VLOOKUP(56,main!$A$57:$I$59,4,FALSE)+VLOOKUP(VLOOKUP(C$1,main!$A$3:$I$56,7,FALSE),main!$K$10:$Q$14,4,FALSE),1,0)</f>
        <v>0</v>
      </c>
      <c r="D106">
        <f>IF(VLOOKUP(D$1,main!$A$3:$I$56,5,FALSE)-VLOOKUP($A106,main!$A$3:$I$56,6,FALSE)&gt;=VLOOKUP(56,main!$A$57:$I$59,4,FALSE)+VLOOKUP(VLOOKUP(D$1,main!$A$3:$I$56,7,FALSE),main!$K$10:$Q$14,4,FALSE),1,0)</f>
        <v>0</v>
      </c>
      <c r="E106">
        <f>IF(VLOOKUP(E$1,main!$A$3:$I$56,5,FALSE)-VLOOKUP($A106,main!$A$3:$I$56,6,FALSE)&gt;=VLOOKUP(56,main!$A$57:$I$59,4,FALSE)+VLOOKUP(VLOOKUP(E$1,main!$A$3:$I$56,7,FALSE),main!$K$10:$Q$14,4,FALSE),1,0)</f>
        <v>0</v>
      </c>
      <c r="F106">
        <f>IF(VLOOKUP(F$1,main!$A$3:$I$56,5,FALSE)-VLOOKUP($A106,main!$A$3:$I$56,6,FALSE)&gt;=VLOOKUP(56,main!$A$57:$I$59,4,FALSE)+VLOOKUP(VLOOKUP(F$1,main!$A$3:$I$56,7,FALSE),main!$K$10:$Q$14,4,FALSE),1,0)</f>
        <v>0</v>
      </c>
      <c r="G106">
        <f>IF(VLOOKUP(G$1,main!$A$3:$I$56,5,FALSE)-VLOOKUP($A106,main!$A$3:$I$56,6,FALSE)&gt;=VLOOKUP(56,main!$A$57:$I$59,4,FALSE)+VLOOKUP(VLOOKUP(G$1,main!$A$3:$I$56,7,FALSE),main!$K$10:$Q$14,4,FALSE),1,0)</f>
        <v>0</v>
      </c>
      <c r="H106">
        <f>IF(VLOOKUP(H$1,main!$A$3:$I$56,5,FALSE)-VLOOKUP($A106,main!$A$3:$I$56,6,FALSE)&gt;=VLOOKUP(56,main!$A$57:$I$59,4,FALSE)+VLOOKUP(VLOOKUP(H$1,main!$A$3:$I$56,7,FALSE),main!$K$10:$Q$14,4,FALSE),1,0)</f>
        <v>0</v>
      </c>
      <c r="I106">
        <f>IF(VLOOKUP(I$1,main!$A$3:$I$56,5,FALSE)-VLOOKUP($A106,main!$A$3:$I$56,6,FALSE)&gt;=VLOOKUP(56,main!$A$57:$I$59,4,FALSE)+VLOOKUP(VLOOKUP(I$1,main!$A$3:$I$56,7,FALSE),main!$K$10:$Q$14,4,FALSE),1,0)</f>
        <v>0</v>
      </c>
      <c r="J106">
        <f>IF(VLOOKUP(J$1,main!$A$3:$I$56,5,FALSE)-VLOOKUP($A106,main!$A$3:$I$56,6,FALSE)&gt;=VLOOKUP(56,main!$A$57:$I$59,4,FALSE)+VLOOKUP(VLOOKUP(J$1,main!$A$3:$I$56,7,FALSE),main!$K$10:$Q$14,4,FALSE),1,0)</f>
        <v>0</v>
      </c>
      <c r="K106">
        <f>IF(VLOOKUP(K$1,main!$A$3:$I$56,5,FALSE)-VLOOKUP($A106,main!$A$3:$I$56,6,FALSE)&gt;=VLOOKUP(56,main!$A$57:$I$59,4,FALSE)+VLOOKUP(VLOOKUP(K$1,main!$A$3:$I$56,7,FALSE),main!$K$10:$Q$14,4,FALSE),1,0)</f>
        <v>0</v>
      </c>
      <c r="L106">
        <f>IF(VLOOKUP(L$1,main!$A$3:$I$56,5,FALSE)-VLOOKUP($A106,main!$A$3:$I$56,6,FALSE)&gt;=VLOOKUP(56,main!$A$57:$I$59,4,FALSE)+VLOOKUP(VLOOKUP(L$1,main!$A$3:$I$56,7,FALSE),main!$K$10:$Q$14,4,FALSE),1,0)</f>
        <v>0</v>
      </c>
      <c r="M106">
        <f>IF(VLOOKUP(M$1,main!$A$3:$I$56,5,FALSE)-VLOOKUP($A106,main!$A$3:$I$56,6,FALSE)&gt;=VLOOKUP(56,main!$A$57:$I$59,4,FALSE)+VLOOKUP(VLOOKUP(M$1,main!$A$3:$I$56,7,FALSE),main!$K$10:$Q$14,4,FALSE),1,0)</f>
        <v>0</v>
      </c>
      <c r="N106">
        <f>IF(VLOOKUP(N$1,main!$A$3:$I$56,5,FALSE)-VLOOKUP($A106,main!$A$3:$I$56,6,FALSE)&gt;=VLOOKUP(56,main!$A$57:$I$59,4,FALSE)+VLOOKUP(VLOOKUP(N$1,main!$A$3:$I$56,7,FALSE),main!$K$10:$Q$14,4,FALSE),1,0)</f>
        <v>0</v>
      </c>
      <c r="O106">
        <f>IF(VLOOKUP(O$1,main!$A$3:$I$56,5,FALSE)-VLOOKUP($A106,main!$A$3:$I$56,6,FALSE)&gt;=VLOOKUP(56,main!$A$57:$I$59,4,FALSE)+VLOOKUP(VLOOKUP(O$1,main!$A$3:$I$56,7,FALSE),main!$K$10:$Q$14,4,FALSE),1,0)</f>
        <v>0</v>
      </c>
      <c r="P106">
        <f>IF(VLOOKUP(P$1,main!$A$3:$I$56,5,FALSE)-VLOOKUP($A106,main!$A$3:$I$56,6,FALSE)&gt;=VLOOKUP(56,main!$A$57:$I$59,4,FALSE)+VLOOKUP(VLOOKUP(P$1,main!$A$3:$I$56,7,FALSE),main!$K$10:$Q$14,4,FALSE),1,0)</f>
        <v>0</v>
      </c>
      <c r="Q106">
        <f>IF(VLOOKUP(Q$1,main!$A$3:$I$56,5,FALSE)-VLOOKUP($A106,main!$A$3:$I$56,6,FALSE)&gt;=VLOOKUP(56,main!$A$57:$I$59,4,FALSE)+VLOOKUP(VLOOKUP(Q$1,main!$A$3:$I$56,7,FALSE),main!$K$10:$Q$14,4,FALSE),1,0)</f>
        <v>0</v>
      </c>
      <c r="R106">
        <f>IF(VLOOKUP(R$1,main!$A$3:$I$56,5,FALSE)-VLOOKUP($A106,main!$A$3:$I$56,6,FALSE)&gt;=VLOOKUP(56,main!$A$57:$I$59,4,FALSE)+VLOOKUP(VLOOKUP(R$1,main!$A$3:$I$56,7,FALSE),main!$K$10:$Q$14,4,FALSE),1,0)</f>
        <v>0</v>
      </c>
      <c r="S106">
        <f>IF(VLOOKUP(S$1,main!$A$3:$I$56,5,FALSE)-VLOOKUP($A106,main!$A$3:$I$56,6,FALSE)&gt;=VLOOKUP(56,main!$A$57:$I$59,4,FALSE)+VLOOKUP(VLOOKUP(S$1,main!$A$3:$I$56,7,FALSE),main!$K$10:$Q$14,4,FALSE),1,0)</f>
        <v>0</v>
      </c>
      <c r="T106">
        <f>IF(VLOOKUP(T$1,main!$A$3:$I$56,5,FALSE)-VLOOKUP($A106,main!$A$3:$I$56,6,FALSE)&gt;=VLOOKUP(56,main!$A$57:$I$59,4,FALSE)+VLOOKUP(VLOOKUP(T$1,main!$A$3:$I$56,7,FALSE),main!$K$10:$Q$14,4,FALSE),1,0)</f>
        <v>0</v>
      </c>
      <c r="U106">
        <f>IF(VLOOKUP(U$1,main!$A$3:$I$56,5,FALSE)-VLOOKUP($A106,main!$A$3:$I$56,6,FALSE)&gt;=VLOOKUP(56,main!$A$57:$I$59,4,FALSE)+VLOOKUP(VLOOKUP(U$1,main!$A$3:$I$56,7,FALSE),main!$K$10:$Q$14,4,FALSE),1,0)</f>
        <v>0</v>
      </c>
      <c r="V106">
        <f>IF(VLOOKUP(V$1,main!$A$3:$I$56,5,FALSE)-VLOOKUP($A106,main!$A$3:$I$56,6,FALSE)&gt;=VLOOKUP(56,main!$A$57:$I$59,4,FALSE)+VLOOKUP(VLOOKUP(V$1,main!$A$3:$I$56,7,FALSE),main!$K$10:$Q$14,4,FALSE),1,0)</f>
        <v>0</v>
      </c>
      <c r="W106">
        <f>IF(VLOOKUP(W$1,main!$A$3:$I$56,5,FALSE)-VLOOKUP($A106,main!$A$3:$I$56,6,FALSE)&gt;=VLOOKUP(56,main!$A$57:$I$59,4,FALSE)+VLOOKUP(VLOOKUP(W$1,main!$A$3:$I$56,7,FALSE),main!$K$10:$Q$14,4,FALSE),1,0)</f>
        <v>0</v>
      </c>
      <c r="X106">
        <f>IF(VLOOKUP(X$1,main!$A$3:$I$56,5,FALSE)-VLOOKUP($A106,main!$A$3:$I$56,6,FALSE)&gt;=VLOOKUP(56,main!$A$57:$I$59,4,FALSE)+VLOOKUP(VLOOKUP(X$1,main!$A$3:$I$56,7,FALSE),main!$K$10:$Q$14,4,FALSE),1,0)</f>
        <v>0</v>
      </c>
      <c r="Y106">
        <f>IF(VLOOKUP(Y$1,main!$A$3:$I$56,5,FALSE)-VLOOKUP($A106,main!$A$3:$I$56,6,FALSE)&gt;=VLOOKUP(56,main!$A$57:$I$59,4,FALSE)+VLOOKUP(VLOOKUP(Y$1,main!$A$3:$I$56,7,FALSE),main!$K$10:$Q$14,4,FALSE),1,0)</f>
        <v>0</v>
      </c>
      <c r="Z106">
        <f>IF(VLOOKUP(Z$1,main!$A$3:$I$56,5,FALSE)-VLOOKUP($A106,main!$A$3:$I$56,6,FALSE)&gt;=VLOOKUP(56,main!$A$57:$I$59,4,FALSE)+VLOOKUP(VLOOKUP(Z$1,main!$A$3:$I$56,7,FALSE),main!$K$10:$Q$14,4,FALSE),1,0)</f>
        <v>0</v>
      </c>
      <c r="AA106">
        <f>IF(VLOOKUP(AA$1,main!$A$3:$I$56,5,FALSE)-VLOOKUP($A106,main!$A$3:$I$56,6,FALSE)&gt;=VLOOKUP(56,main!$A$57:$I$59,4,FALSE)+VLOOKUP(VLOOKUP(AA$1,main!$A$3:$I$56,7,FALSE),main!$K$10:$Q$14,4,FALSE),1,0)</f>
        <v>0</v>
      </c>
      <c r="AB106">
        <f>IF(VLOOKUP(AB$1,main!$A$3:$I$56,5,FALSE)-VLOOKUP($A106,main!$A$3:$I$56,6,FALSE)&gt;=VLOOKUP(56,main!$A$57:$I$59,4,FALSE)+VLOOKUP(VLOOKUP(AB$1,main!$A$3:$I$56,7,FALSE),main!$K$10:$Q$14,4,FALSE),1,0)</f>
        <v>0</v>
      </c>
      <c r="AC106">
        <f>IF(VLOOKUP(AC$1,main!$A$3:$I$56,5,FALSE)-VLOOKUP($A106,main!$A$3:$I$56,6,FALSE)&gt;=VLOOKUP(56,main!$A$57:$I$59,4,FALSE)+VLOOKUP(VLOOKUP(AC$1,main!$A$3:$I$56,7,FALSE),main!$K$10:$Q$14,4,FALSE),1,0)</f>
        <v>0</v>
      </c>
      <c r="AD106">
        <f>IF(VLOOKUP(AD$1,main!$A$3:$I$56,5,FALSE)-VLOOKUP($A106,main!$A$3:$I$56,6,FALSE)&gt;=VLOOKUP(56,main!$A$57:$I$59,4,FALSE)+VLOOKUP(VLOOKUP(AD$1,main!$A$3:$I$56,7,FALSE),main!$K$10:$Q$14,4,FALSE),1,0)</f>
        <v>0</v>
      </c>
      <c r="AE106">
        <f>IF(VLOOKUP(AE$1,main!$A$3:$I$56,5,FALSE)-VLOOKUP($A106,main!$A$3:$I$56,6,FALSE)&gt;=VLOOKUP(56,main!$A$57:$I$59,4,FALSE)+VLOOKUP(VLOOKUP(AE$1,main!$A$3:$I$56,7,FALSE),main!$K$10:$Q$14,4,FALSE),1,0)</f>
        <v>0</v>
      </c>
      <c r="AF106">
        <f>IF(VLOOKUP(AF$1,main!$A$3:$I$56,5,FALSE)-VLOOKUP($A106,main!$A$3:$I$56,6,FALSE)&gt;=VLOOKUP(56,main!$A$57:$I$59,4,FALSE)+VLOOKUP(VLOOKUP(AF$1,main!$A$3:$I$56,7,FALSE),main!$K$10:$Q$14,4,FALSE),1,0)</f>
        <v>0</v>
      </c>
      <c r="AG106">
        <f>IF(VLOOKUP(AG$1,main!$A$3:$I$56,5,FALSE)-VLOOKUP($A106,main!$A$3:$I$56,6,FALSE)&gt;=VLOOKUP(56,main!$A$57:$I$59,4,FALSE)+VLOOKUP(VLOOKUP(AG$1,main!$A$3:$I$56,7,FALSE),main!$K$10:$Q$14,4,FALSE),1,0)</f>
        <v>0</v>
      </c>
      <c r="AH106">
        <f>IF(VLOOKUP(AH$1,main!$A$3:$I$56,5,FALSE)-VLOOKUP($A106,main!$A$3:$I$56,6,FALSE)&gt;=VLOOKUP(56,main!$A$57:$I$59,4,FALSE)+VLOOKUP(VLOOKUP(AH$1,main!$A$3:$I$56,7,FALSE),main!$K$10:$Q$14,4,FALSE),1,0)</f>
        <v>0</v>
      </c>
      <c r="AI106">
        <f>IF(VLOOKUP(AI$1,main!$A$3:$I$56,5,FALSE)-VLOOKUP($A106,main!$A$3:$I$56,6,FALSE)&gt;=VLOOKUP(56,main!$A$57:$I$59,4,FALSE)+VLOOKUP(VLOOKUP(AI$1,main!$A$3:$I$56,7,FALSE),main!$K$10:$Q$14,4,FALSE),1,0)</f>
        <v>0</v>
      </c>
      <c r="AJ106">
        <f>IF(VLOOKUP(AJ$1,main!$A$3:$I$56,5,FALSE)-VLOOKUP($A106,main!$A$3:$I$56,6,FALSE)&gt;=VLOOKUP(56,main!$A$57:$I$59,4,FALSE)+VLOOKUP(VLOOKUP(AJ$1,main!$A$3:$I$56,7,FALSE),main!$K$10:$Q$14,4,FALSE),1,0)</f>
        <v>0</v>
      </c>
      <c r="AK106">
        <f>IF(VLOOKUP(AK$1,main!$A$3:$I$56,5,FALSE)-VLOOKUP($A106,main!$A$3:$I$56,6,FALSE)&gt;=VLOOKUP(56,main!$A$57:$I$59,4,FALSE)+VLOOKUP(VLOOKUP(AK$1,main!$A$3:$I$56,7,FALSE),main!$K$10:$Q$14,4,FALSE),1,0)</f>
        <v>0</v>
      </c>
      <c r="AL106">
        <f>IF(VLOOKUP(AL$1,main!$A$3:$I$56,5,FALSE)-VLOOKUP($A106,main!$A$3:$I$56,6,FALSE)&gt;=VLOOKUP(56,main!$A$57:$I$59,4,FALSE)+VLOOKUP(VLOOKUP(AL$1,main!$A$3:$I$56,7,FALSE),main!$K$10:$Q$14,4,FALSE),1,0)</f>
        <v>0</v>
      </c>
      <c r="AM106">
        <f>IF(VLOOKUP(AM$1,main!$A$3:$I$56,5,FALSE)-VLOOKUP($A106,main!$A$3:$I$56,6,FALSE)&gt;=VLOOKUP(56,main!$A$57:$I$59,4,FALSE)+VLOOKUP(VLOOKUP(AM$1,main!$A$3:$I$56,7,FALSE),main!$K$10:$Q$14,4,FALSE),1,0)</f>
        <v>0</v>
      </c>
      <c r="AN106">
        <f>IF(VLOOKUP(AN$1,main!$A$3:$I$56,5,FALSE)-VLOOKUP($A106,main!$A$3:$I$56,6,FALSE)&gt;=VLOOKUP(56,main!$A$57:$I$59,4,FALSE)+VLOOKUP(VLOOKUP(AN$1,main!$A$3:$I$56,7,FALSE),main!$K$10:$Q$14,4,FALSE),1,0)</f>
        <v>0</v>
      </c>
      <c r="AO106">
        <f>IF(VLOOKUP(AO$1,main!$A$3:$I$56,5,FALSE)-VLOOKUP($A106,main!$A$3:$I$56,6,FALSE)&gt;=VLOOKUP(56,main!$A$57:$I$59,4,FALSE)+VLOOKUP(VLOOKUP(AO$1,main!$A$3:$I$56,7,FALSE),main!$K$10:$Q$14,4,FALSE),1,0)</f>
        <v>0</v>
      </c>
      <c r="AP106">
        <f>IF(VLOOKUP(AP$1,main!$A$3:$I$56,5,FALSE)-VLOOKUP($A106,main!$A$3:$I$56,6,FALSE)&gt;=VLOOKUP(56,main!$A$57:$I$59,4,FALSE)+VLOOKUP(VLOOKUP(AP$1,main!$A$3:$I$56,7,FALSE),main!$K$10:$Q$14,4,FALSE),1,0)</f>
        <v>0</v>
      </c>
      <c r="AQ106">
        <f>IF(VLOOKUP(AQ$1,main!$A$3:$I$56,5,FALSE)-VLOOKUP($A106,main!$A$3:$I$56,6,FALSE)&gt;=VLOOKUP(56,main!$A$57:$I$59,4,FALSE)+VLOOKUP(VLOOKUP(AQ$1,main!$A$3:$I$56,7,FALSE),main!$K$10:$Q$14,4,FALSE),1,0)</f>
        <v>0</v>
      </c>
      <c r="AR106">
        <f>IF(VLOOKUP(AR$1,main!$A$3:$I$56,5,FALSE)-VLOOKUP($A106,main!$A$3:$I$56,6,FALSE)&gt;=VLOOKUP(56,main!$A$57:$I$59,4,FALSE)+VLOOKUP(VLOOKUP(AR$1,main!$A$3:$I$56,7,FALSE),main!$K$10:$Q$14,4,FALSE),1,0)</f>
        <v>0</v>
      </c>
      <c r="AS106">
        <f>IF(VLOOKUP(AS$1,main!$A$3:$I$56,5,FALSE)-VLOOKUP($A106,main!$A$3:$I$56,6,FALSE)&gt;=VLOOKUP(56,main!$A$57:$I$59,4,FALSE)+VLOOKUP(VLOOKUP(AS$1,main!$A$3:$I$56,7,FALSE),main!$K$10:$Q$14,4,FALSE),1,0)</f>
        <v>0</v>
      </c>
      <c r="AT106">
        <f>IF(VLOOKUP(AT$1,main!$A$3:$I$56,5,FALSE)-VLOOKUP($A106,main!$A$3:$I$56,6,FALSE)&gt;=VLOOKUP(56,main!$A$57:$I$59,4,FALSE)+VLOOKUP(VLOOKUP(AT$1,main!$A$3:$I$56,7,FALSE),main!$K$10:$Q$14,4,FALSE),1,0)</f>
        <v>0</v>
      </c>
      <c r="AU106">
        <f>IF(VLOOKUP(AU$1,main!$A$3:$I$56,5,FALSE)-VLOOKUP($A106,main!$A$3:$I$56,6,FALSE)&gt;=VLOOKUP(56,main!$A$57:$I$59,4,FALSE)+VLOOKUP(VLOOKUP(AU$1,main!$A$3:$I$56,7,FALSE),main!$K$10:$Q$14,4,FALSE),1,0)</f>
        <v>0</v>
      </c>
      <c r="AV106">
        <f>IF(VLOOKUP(AV$1,main!$A$3:$I$56,5,FALSE)-VLOOKUP($A106,main!$A$3:$I$56,6,FALSE)&gt;=VLOOKUP(56,main!$A$57:$I$59,4,FALSE)+VLOOKUP(VLOOKUP(AV$1,main!$A$3:$I$56,7,FALSE),main!$K$10:$Q$14,4,FALSE),1,0)</f>
        <v>0</v>
      </c>
      <c r="AW106">
        <f>IF(VLOOKUP(AW$1,main!$A$3:$I$56,5,FALSE)-VLOOKUP($A106,main!$A$3:$I$56,6,FALSE)&gt;=VLOOKUP(56,main!$A$57:$I$59,4,FALSE)+VLOOKUP(VLOOKUP(AW$1,main!$A$3:$I$56,7,FALSE),main!$K$10:$Q$14,4,FALSE),1,0)</f>
        <v>0</v>
      </c>
      <c r="AX106">
        <f>IF(VLOOKUP(AX$1,main!$A$3:$I$56,5,FALSE)-VLOOKUP($A106,main!$A$3:$I$56,6,FALSE)&gt;=VLOOKUP(56,main!$A$57:$I$59,4,FALSE)+VLOOKUP(VLOOKUP(AX$1,main!$A$3:$I$56,7,FALSE),main!$K$10:$Q$14,4,FALSE),1,0)</f>
        <v>0</v>
      </c>
      <c r="AY106">
        <f>IF(VLOOKUP(AY$1,main!$A$3:$I$56,5,FALSE)-VLOOKUP($A106,main!$A$3:$I$56,6,FALSE)&gt;=VLOOKUP(56,main!$A$57:$I$59,4,FALSE)+VLOOKUP(VLOOKUP(AY$1,main!$A$3:$I$56,7,FALSE),main!$K$10:$Q$14,4,FALSE),1,0)</f>
        <v>0</v>
      </c>
      <c r="AZ106">
        <f>IF(VLOOKUP(AZ$1,main!$A$3:$I$56,5,FALSE)-VLOOKUP($A106,main!$A$3:$I$56,6,FALSE)&gt;=VLOOKUP(56,main!$A$57:$I$59,4,FALSE)+VLOOKUP(VLOOKUP(AZ$1,main!$A$3:$I$56,7,FALSE),main!$K$10:$Q$14,4,FALSE),1,0)</f>
        <v>0</v>
      </c>
      <c r="BA106">
        <f>IF(VLOOKUP(BA$1,main!$A$3:$I$56,5,FALSE)-VLOOKUP($A106,main!$A$3:$I$56,6,FALSE)&gt;=VLOOKUP(56,main!$A$57:$I$59,4,FALSE)+VLOOKUP(VLOOKUP(BA$1,main!$A$3:$I$56,7,FALSE),main!$K$10:$Q$14,4,FALSE),1,0)</f>
        <v>0</v>
      </c>
      <c r="BB106">
        <f>IF(VLOOKUP(BB$1,main!$A$3:$I$56,5,FALSE)-VLOOKUP($A106,main!$A$3:$I$56,6,FALSE)&gt;=VLOOKUP(56,main!$A$57:$I$59,4,FALSE)+VLOOKUP(VLOOKUP(BB$1,main!$A$3:$I$56,7,FALSE),main!$K$10:$Q$14,4,FALSE),1,0)</f>
        <v>0</v>
      </c>
      <c r="BC106">
        <f>IF(VLOOKUP(BC$1,main!$A$3:$I$56,5,FALSE)-VLOOKUP($A106,main!$A$3:$I$56,6,FALSE)&gt;=VLOOKUP(56,main!$A$57:$I$59,4,FALSE)+VLOOKUP(VLOOKUP(BC$1,main!$A$3:$I$56,7,FALSE),main!$K$10:$Q$14,4,FALSE),1,0)</f>
        <v>0</v>
      </c>
      <c r="BD106">
        <f>IF(VLOOKUP(BD$1,main!$A$3:$I$56,5,FALSE)-VLOOKUP($A106,main!$A$3:$I$56,6,FALSE)&gt;=VLOOKUP(56,main!$A$57:$I$59,4,FALSE)+VLOOKUP(VLOOKUP(BD$1,main!$A$3:$I$56,7,FALSE),main!$K$10:$Q$14,4,FALSE),1,0)</f>
        <v>0</v>
      </c>
    </row>
    <row r="107" spans="1:56" x14ac:dyDescent="0.25">
      <c r="A107">
        <f t="shared" si="1"/>
        <v>50</v>
      </c>
      <c r="B107">
        <v>0</v>
      </c>
      <c r="C107">
        <f>IF(VLOOKUP(C$1,main!$A$3:$I$56,5,FALSE)-VLOOKUP($A107,main!$A$3:$I$56,6,FALSE)&gt;=VLOOKUP(56,main!$A$57:$I$59,4,FALSE)+VLOOKUP(VLOOKUP(C$1,main!$A$3:$I$56,7,FALSE),main!$K$10:$Q$14,4,FALSE),1,0)</f>
        <v>0</v>
      </c>
      <c r="D107">
        <f>IF(VLOOKUP(D$1,main!$A$3:$I$56,5,FALSE)-VLOOKUP($A107,main!$A$3:$I$56,6,FALSE)&gt;=VLOOKUP(56,main!$A$57:$I$59,4,FALSE)+VLOOKUP(VLOOKUP(D$1,main!$A$3:$I$56,7,FALSE),main!$K$10:$Q$14,4,FALSE),1,0)</f>
        <v>0</v>
      </c>
      <c r="E107">
        <f>IF(VLOOKUP(E$1,main!$A$3:$I$56,5,FALSE)-VLOOKUP($A107,main!$A$3:$I$56,6,FALSE)&gt;=VLOOKUP(56,main!$A$57:$I$59,4,FALSE)+VLOOKUP(VLOOKUP(E$1,main!$A$3:$I$56,7,FALSE),main!$K$10:$Q$14,4,FALSE),1,0)</f>
        <v>1</v>
      </c>
      <c r="F107">
        <f>IF(VLOOKUP(F$1,main!$A$3:$I$56,5,FALSE)-VLOOKUP($A107,main!$A$3:$I$56,6,FALSE)&gt;=VLOOKUP(56,main!$A$57:$I$59,4,FALSE)+VLOOKUP(VLOOKUP(F$1,main!$A$3:$I$56,7,FALSE),main!$K$10:$Q$14,4,FALSE),1,0)</f>
        <v>1</v>
      </c>
      <c r="G107">
        <f>IF(VLOOKUP(G$1,main!$A$3:$I$56,5,FALSE)-VLOOKUP($A107,main!$A$3:$I$56,6,FALSE)&gt;=VLOOKUP(56,main!$A$57:$I$59,4,FALSE)+VLOOKUP(VLOOKUP(G$1,main!$A$3:$I$56,7,FALSE),main!$K$10:$Q$14,4,FALSE),1,0)</f>
        <v>1</v>
      </c>
      <c r="H107">
        <f>IF(VLOOKUP(H$1,main!$A$3:$I$56,5,FALSE)-VLOOKUP($A107,main!$A$3:$I$56,6,FALSE)&gt;=VLOOKUP(56,main!$A$57:$I$59,4,FALSE)+VLOOKUP(VLOOKUP(H$1,main!$A$3:$I$56,7,FALSE),main!$K$10:$Q$14,4,FALSE),1,0)</f>
        <v>1</v>
      </c>
      <c r="I107">
        <f>IF(VLOOKUP(I$1,main!$A$3:$I$56,5,FALSE)-VLOOKUP($A107,main!$A$3:$I$56,6,FALSE)&gt;=VLOOKUP(56,main!$A$57:$I$59,4,FALSE)+VLOOKUP(VLOOKUP(I$1,main!$A$3:$I$56,7,FALSE),main!$K$10:$Q$14,4,FALSE),1,0)</f>
        <v>1</v>
      </c>
      <c r="J107">
        <f>IF(VLOOKUP(J$1,main!$A$3:$I$56,5,FALSE)-VLOOKUP($A107,main!$A$3:$I$56,6,FALSE)&gt;=VLOOKUP(56,main!$A$57:$I$59,4,FALSE)+VLOOKUP(VLOOKUP(J$1,main!$A$3:$I$56,7,FALSE),main!$K$10:$Q$14,4,FALSE),1,0)</f>
        <v>1</v>
      </c>
      <c r="K107">
        <f>IF(VLOOKUP(K$1,main!$A$3:$I$56,5,FALSE)-VLOOKUP($A107,main!$A$3:$I$56,6,FALSE)&gt;=VLOOKUP(56,main!$A$57:$I$59,4,FALSE)+VLOOKUP(VLOOKUP(K$1,main!$A$3:$I$56,7,FALSE),main!$K$10:$Q$14,4,FALSE),1,0)</f>
        <v>0</v>
      </c>
      <c r="L107">
        <f>IF(VLOOKUP(L$1,main!$A$3:$I$56,5,FALSE)-VLOOKUP($A107,main!$A$3:$I$56,6,FALSE)&gt;=VLOOKUP(56,main!$A$57:$I$59,4,FALSE)+VLOOKUP(VLOOKUP(L$1,main!$A$3:$I$56,7,FALSE),main!$K$10:$Q$14,4,FALSE),1,0)</f>
        <v>0</v>
      </c>
      <c r="M107">
        <f>IF(VLOOKUP(M$1,main!$A$3:$I$56,5,FALSE)-VLOOKUP($A107,main!$A$3:$I$56,6,FALSE)&gt;=VLOOKUP(56,main!$A$57:$I$59,4,FALSE)+VLOOKUP(VLOOKUP(M$1,main!$A$3:$I$56,7,FALSE),main!$K$10:$Q$14,4,FALSE),1,0)</f>
        <v>0</v>
      </c>
      <c r="N107">
        <f>IF(VLOOKUP(N$1,main!$A$3:$I$56,5,FALSE)-VLOOKUP($A107,main!$A$3:$I$56,6,FALSE)&gt;=VLOOKUP(56,main!$A$57:$I$59,4,FALSE)+VLOOKUP(VLOOKUP(N$1,main!$A$3:$I$56,7,FALSE),main!$K$10:$Q$14,4,FALSE),1,0)</f>
        <v>1</v>
      </c>
      <c r="O107">
        <f>IF(VLOOKUP(O$1,main!$A$3:$I$56,5,FALSE)-VLOOKUP($A107,main!$A$3:$I$56,6,FALSE)&gt;=VLOOKUP(56,main!$A$57:$I$59,4,FALSE)+VLOOKUP(VLOOKUP(O$1,main!$A$3:$I$56,7,FALSE),main!$K$10:$Q$14,4,FALSE),1,0)</f>
        <v>1</v>
      </c>
      <c r="P107">
        <f>IF(VLOOKUP(P$1,main!$A$3:$I$56,5,FALSE)-VLOOKUP($A107,main!$A$3:$I$56,6,FALSE)&gt;=VLOOKUP(56,main!$A$57:$I$59,4,FALSE)+VLOOKUP(VLOOKUP(P$1,main!$A$3:$I$56,7,FALSE),main!$K$10:$Q$14,4,FALSE),1,0)</f>
        <v>0</v>
      </c>
      <c r="Q107">
        <f>IF(VLOOKUP(Q$1,main!$A$3:$I$56,5,FALSE)-VLOOKUP($A107,main!$A$3:$I$56,6,FALSE)&gt;=VLOOKUP(56,main!$A$57:$I$59,4,FALSE)+VLOOKUP(VLOOKUP(Q$1,main!$A$3:$I$56,7,FALSE),main!$K$10:$Q$14,4,FALSE),1,0)</f>
        <v>0</v>
      </c>
      <c r="R107">
        <f>IF(VLOOKUP(R$1,main!$A$3:$I$56,5,FALSE)-VLOOKUP($A107,main!$A$3:$I$56,6,FALSE)&gt;=VLOOKUP(56,main!$A$57:$I$59,4,FALSE)+VLOOKUP(VLOOKUP(R$1,main!$A$3:$I$56,7,FALSE),main!$K$10:$Q$14,4,FALSE),1,0)</f>
        <v>0</v>
      </c>
      <c r="S107">
        <f>IF(VLOOKUP(S$1,main!$A$3:$I$56,5,FALSE)-VLOOKUP($A107,main!$A$3:$I$56,6,FALSE)&gt;=VLOOKUP(56,main!$A$57:$I$59,4,FALSE)+VLOOKUP(VLOOKUP(S$1,main!$A$3:$I$56,7,FALSE),main!$K$10:$Q$14,4,FALSE),1,0)</f>
        <v>1</v>
      </c>
      <c r="T107">
        <f>IF(VLOOKUP(T$1,main!$A$3:$I$56,5,FALSE)-VLOOKUP($A107,main!$A$3:$I$56,6,FALSE)&gt;=VLOOKUP(56,main!$A$57:$I$59,4,FALSE)+VLOOKUP(VLOOKUP(T$1,main!$A$3:$I$56,7,FALSE),main!$K$10:$Q$14,4,FALSE),1,0)</f>
        <v>1</v>
      </c>
      <c r="U107">
        <f>IF(VLOOKUP(U$1,main!$A$3:$I$56,5,FALSE)-VLOOKUP($A107,main!$A$3:$I$56,6,FALSE)&gt;=VLOOKUP(56,main!$A$57:$I$59,4,FALSE)+VLOOKUP(VLOOKUP(U$1,main!$A$3:$I$56,7,FALSE),main!$K$10:$Q$14,4,FALSE),1,0)</f>
        <v>0</v>
      </c>
      <c r="V107">
        <f>IF(VLOOKUP(V$1,main!$A$3:$I$56,5,FALSE)-VLOOKUP($A107,main!$A$3:$I$56,6,FALSE)&gt;=VLOOKUP(56,main!$A$57:$I$59,4,FALSE)+VLOOKUP(VLOOKUP(V$1,main!$A$3:$I$56,7,FALSE),main!$K$10:$Q$14,4,FALSE),1,0)</f>
        <v>0</v>
      </c>
      <c r="W107">
        <f>IF(VLOOKUP(W$1,main!$A$3:$I$56,5,FALSE)-VLOOKUP($A107,main!$A$3:$I$56,6,FALSE)&gt;=VLOOKUP(56,main!$A$57:$I$59,4,FALSE)+VLOOKUP(VLOOKUP(W$1,main!$A$3:$I$56,7,FALSE),main!$K$10:$Q$14,4,FALSE),1,0)</f>
        <v>0</v>
      </c>
      <c r="X107">
        <f>IF(VLOOKUP(X$1,main!$A$3:$I$56,5,FALSE)-VLOOKUP($A107,main!$A$3:$I$56,6,FALSE)&gt;=VLOOKUP(56,main!$A$57:$I$59,4,FALSE)+VLOOKUP(VLOOKUP(X$1,main!$A$3:$I$56,7,FALSE),main!$K$10:$Q$14,4,FALSE),1,0)</f>
        <v>0</v>
      </c>
      <c r="Y107">
        <f>IF(VLOOKUP(Y$1,main!$A$3:$I$56,5,FALSE)-VLOOKUP($A107,main!$A$3:$I$56,6,FALSE)&gt;=VLOOKUP(56,main!$A$57:$I$59,4,FALSE)+VLOOKUP(VLOOKUP(Y$1,main!$A$3:$I$56,7,FALSE),main!$K$10:$Q$14,4,FALSE),1,0)</f>
        <v>0</v>
      </c>
      <c r="Z107">
        <f>IF(VLOOKUP(Z$1,main!$A$3:$I$56,5,FALSE)-VLOOKUP($A107,main!$A$3:$I$56,6,FALSE)&gt;=VLOOKUP(56,main!$A$57:$I$59,4,FALSE)+VLOOKUP(VLOOKUP(Z$1,main!$A$3:$I$56,7,FALSE),main!$K$10:$Q$14,4,FALSE),1,0)</f>
        <v>1</v>
      </c>
      <c r="AA107">
        <f>IF(VLOOKUP(AA$1,main!$A$3:$I$56,5,FALSE)-VLOOKUP($A107,main!$A$3:$I$56,6,FALSE)&gt;=VLOOKUP(56,main!$A$57:$I$59,4,FALSE)+VLOOKUP(VLOOKUP(AA$1,main!$A$3:$I$56,7,FALSE),main!$K$10:$Q$14,4,FALSE),1,0)</f>
        <v>1</v>
      </c>
      <c r="AB107">
        <f>IF(VLOOKUP(AB$1,main!$A$3:$I$56,5,FALSE)-VLOOKUP($A107,main!$A$3:$I$56,6,FALSE)&gt;=VLOOKUP(56,main!$A$57:$I$59,4,FALSE)+VLOOKUP(VLOOKUP(AB$1,main!$A$3:$I$56,7,FALSE),main!$K$10:$Q$14,4,FALSE),1,0)</f>
        <v>1</v>
      </c>
      <c r="AC107">
        <f>IF(VLOOKUP(AC$1,main!$A$3:$I$56,5,FALSE)-VLOOKUP($A107,main!$A$3:$I$56,6,FALSE)&gt;=VLOOKUP(56,main!$A$57:$I$59,4,FALSE)+VLOOKUP(VLOOKUP(AC$1,main!$A$3:$I$56,7,FALSE),main!$K$10:$Q$14,4,FALSE),1,0)</f>
        <v>0</v>
      </c>
      <c r="AD107">
        <f>IF(VLOOKUP(AD$1,main!$A$3:$I$56,5,FALSE)-VLOOKUP($A107,main!$A$3:$I$56,6,FALSE)&gt;=VLOOKUP(56,main!$A$57:$I$59,4,FALSE)+VLOOKUP(VLOOKUP(AD$1,main!$A$3:$I$56,7,FALSE),main!$K$10:$Q$14,4,FALSE),1,0)</f>
        <v>0</v>
      </c>
      <c r="AE107">
        <f>IF(VLOOKUP(AE$1,main!$A$3:$I$56,5,FALSE)-VLOOKUP($A107,main!$A$3:$I$56,6,FALSE)&gt;=VLOOKUP(56,main!$A$57:$I$59,4,FALSE)+VLOOKUP(VLOOKUP(AE$1,main!$A$3:$I$56,7,FALSE),main!$K$10:$Q$14,4,FALSE),1,0)</f>
        <v>0</v>
      </c>
      <c r="AF107">
        <f>IF(VLOOKUP(AF$1,main!$A$3:$I$56,5,FALSE)-VLOOKUP($A107,main!$A$3:$I$56,6,FALSE)&gt;=VLOOKUP(56,main!$A$57:$I$59,4,FALSE)+VLOOKUP(VLOOKUP(AF$1,main!$A$3:$I$56,7,FALSE),main!$K$10:$Q$14,4,FALSE),1,0)</f>
        <v>1</v>
      </c>
      <c r="AG107">
        <f>IF(VLOOKUP(AG$1,main!$A$3:$I$56,5,FALSE)-VLOOKUP($A107,main!$A$3:$I$56,6,FALSE)&gt;=VLOOKUP(56,main!$A$57:$I$59,4,FALSE)+VLOOKUP(VLOOKUP(AG$1,main!$A$3:$I$56,7,FALSE),main!$K$10:$Q$14,4,FALSE),1,0)</f>
        <v>0</v>
      </c>
      <c r="AH107">
        <f>IF(VLOOKUP(AH$1,main!$A$3:$I$56,5,FALSE)-VLOOKUP($A107,main!$A$3:$I$56,6,FALSE)&gt;=VLOOKUP(56,main!$A$57:$I$59,4,FALSE)+VLOOKUP(VLOOKUP(AH$1,main!$A$3:$I$56,7,FALSE),main!$K$10:$Q$14,4,FALSE),1,0)</f>
        <v>0</v>
      </c>
      <c r="AI107">
        <f>IF(VLOOKUP(AI$1,main!$A$3:$I$56,5,FALSE)-VLOOKUP($A107,main!$A$3:$I$56,6,FALSE)&gt;=VLOOKUP(56,main!$A$57:$I$59,4,FALSE)+VLOOKUP(VLOOKUP(AI$1,main!$A$3:$I$56,7,FALSE),main!$K$10:$Q$14,4,FALSE),1,0)</f>
        <v>0</v>
      </c>
      <c r="AJ107">
        <f>IF(VLOOKUP(AJ$1,main!$A$3:$I$56,5,FALSE)-VLOOKUP($A107,main!$A$3:$I$56,6,FALSE)&gt;=VLOOKUP(56,main!$A$57:$I$59,4,FALSE)+VLOOKUP(VLOOKUP(AJ$1,main!$A$3:$I$56,7,FALSE),main!$K$10:$Q$14,4,FALSE),1,0)</f>
        <v>0</v>
      </c>
      <c r="AK107">
        <f>IF(VLOOKUP(AK$1,main!$A$3:$I$56,5,FALSE)-VLOOKUP($A107,main!$A$3:$I$56,6,FALSE)&gt;=VLOOKUP(56,main!$A$57:$I$59,4,FALSE)+VLOOKUP(VLOOKUP(AK$1,main!$A$3:$I$56,7,FALSE),main!$K$10:$Q$14,4,FALSE),1,0)</f>
        <v>1</v>
      </c>
      <c r="AL107">
        <f>IF(VLOOKUP(AL$1,main!$A$3:$I$56,5,FALSE)-VLOOKUP($A107,main!$A$3:$I$56,6,FALSE)&gt;=VLOOKUP(56,main!$A$57:$I$59,4,FALSE)+VLOOKUP(VLOOKUP(AL$1,main!$A$3:$I$56,7,FALSE),main!$K$10:$Q$14,4,FALSE),1,0)</f>
        <v>0</v>
      </c>
      <c r="AM107">
        <f>IF(VLOOKUP(AM$1,main!$A$3:$I$56,5,FALSE)-VLOOKUP($A107,main!$A$3:$I$56,6,FALSE)&gt;=VLOOKUP(56,main!$A$57:$I$59,4,FALSE)+VLOOKUP(VLOOKUP(AM$1,main!$A$3:$I$56,7,FALSE),main!$K$10:$Q$14,4,FALSE),1,0)</f>
        <v>0</v>
      </c>
      <c r="AN107">
        <f>IF(VLOOKUP(AN$1,main!$A$3:$I$56,5,FALSE)-VLOOKUP($A107,main!$A$3:$I$56,6,FALSE)&gt;=VLOOKUP(56,main!$A$57:$I$59,4,FALSE)+VLOOKUP(VLOOKUP(AN$1,main!$A$3:$I$56,7,FALSE),main!$K$10:$Q$14,4,FALSE),1,0)</f>
        <v>0</v>
      </c>
      <c r="AO107">
        <f>IF(VLOOKUP(AO$1,main!$A$3:$I$56,5,FALSE)-VLOOKUP($A107,main!$A$3:$I$56,6,FALSE)&gt;=VLOOKUP(56,main!$A$57:$I$59,4,FALSE)+VLOOKUP(VLOOKUP(AO$1,main!$A$3:$I$56,7,FALSE),main!$K$10:$Q$14,4,FALSE),1,0)</f>
        <v>1</v>
      </c>
      <c r="AP107">
        <f>IF(VLOOKUP(AP$1,main!$A$3:$I$56,5,FALSE)-VLOOKUP($A107,main!$A$3:$I$56,6,FALSE)&gt;=VLOOKUP(56,main!$A$57:$I$59,4,FALSE)+VLOOKUP(VLOOKUP(AP$1,main!$A$3:$I$56,7,FALSE),main!$K$10:$Q$14,4,FALSE),1,0)</f>
        <v>0</v>
      </c>
      <c r="AQ107">
        <f>IF(VLOOKUP(AQ$1,main!$A$3:$I$56,5,FALSE)-VLOOKUP($A107,main!$A$3:$I$56,6,FALSE)&gt;=VLOOKUP(56,main!$A$57:$I$59,4,FALSE)+VLOOKUP(VLOOKUP(AQ$1,main!$A$3:$I$56,7,FALSE),main!$K$10:$Q$14,4,FALSE),1,0)</f>
        <v>0</v>
      </c>
      <c r="AR107">
        <f>IF(VLOOKUP(AR$1,main!$A$3:$I$56,5,FALSE)-VLOOKUP($A107,main!$A$3:$I$56,6,FALSE)&gt;=VLOOKUP(56,main!$A$57:$I$59,4,FALSE)+VLOOKUP(VLOOKUP(AR$1,main!$A$3:$I$56,7,FALSE),main!$K$10:$Q$14,4,FALSE),1,0)</f>
        <v>0</v>
      </c>
      <c r="AS107">
        <f>IF(VLOOKUP(AS$1,main!$A$3:$I$56,5,FALSE)-VLOOKUP($A107,main!$A$3:$I$56,6,FALSE)&gt;=VLOOKUP(56,main!$A$57:$I$59,4,FALSE)+VLOOKUP(VLOOKUP(AS$1,main!$A$3:$I$56,7,FALSE),main!$K$10:$Q$14,4,FALSE),1,0)</f>
        <v>0</v>
      </c>
      <c r="AT107">
        <f>IF(VLOOKUP(AT$1,main!$A$3:$I$56,5,FALSE)-VLOOKUP($A107,main!$A$3:$I$56,6,FALSE)&gt;=VLOOKUP(56,main!$A$57:$I$59,4,FALSE)+VLOOKUP(VLOOKUP(AT$1,main!$A$3:$I$56,7,FALSE),main!$K$10:$Q$14,4,FALSE),1,0)</f>
        <v>0</v>
      </c>
      <c r="AU107">
        <f>IF(VLOOKUP(AU$1,main!$A$3:$I$56,5,FALSE)-VLOOKUP($A107,main!$A$3:$I$56,6,FALSE)&gt;=VLOOKUP(56,main!$A$57:$I$59,4,FALSE)+VLOOKUP(VLOOKUP(AU$1,main!$A$3:$I$56,7,FALSE),main!$K$10:$Q$14,4,FALSE),1,0)</f>
        <v>0</v>
      </c>
      <c r="AV107">
        <f>IF(VLOOKUP(AV$1,main!$A$3:$I$56,5,FALSE)-VLOOKUP($A107,main!$A$3:$I$56,6,FALSE)&gt;=VLOOKUP(56,main!$A$57:$I$59,4,FALSE)+VLOOKUP(VLOOKUP(AV$1,main!$A$3:$I$56,7,FALSE),main!$K$10:$Q$14,4,FALSE),1,0)</f>
        <v>0</v>
      </c>
      <c r="AW107">
        <f>IF(VLOOKUP(AW$1,main!$A$3:$I$56,5,FALSE)-VLOOKUP($A107,main!$A$3:$I$56,6,FALSE)&gt;=VLOOKUP(56,main!$A$57:$I$59,4,FALSE)+VLOOKUP(VLOOKUP(AW$1,main!$A$3:$I$56,7,FALSE),main!$K$10:$Q$14,4,FALSE),1,0)</f>
        <v>0</v>
      </c>
      <c r="AX107">
        <f>IF(VLOOKUP(AX$1,main!$A$3:$I$56,5,FALSE)-VLOOKUP($A107,main!$A$3:$I$56,6,FALSE)&gt;=VLOOKUP(56,main!$A$57:$I$59,4,FALSE)+VLOOKUP(VLOOKUP(AX$1,main!$A$3:$I$56,7,FALSE),main!$K$10:$Q$14,4,FALSE),1,0)</f>
        <v>0</v>
      </c>
      <c r="AY107">
        <f>IF(VLOOKUP(AY$1,main!$A$3:$I$56,5,FALSE)-VLOOKUP($A107,main!$A$3:$I$56,6,FALSE)&gt;=VLOOKUP(56,main!$A$57:$I$59,4,FALSE)+VLOOKUP(VLOOKUP(AY$1,main!$A$3:$I$56,7,FALSE),main!$K$10:$Q$14,4,FALSE),1,0)</f>
        <v>1</v>
      </c>
      <c r="AZ107">
        <f>IF(VLOOKUP(AZ$1,main!$A$3:$I$56,5,FALSE)-VLOOKUP($A107,main!$A$3:$I$56,6,FALSE)&gt;=VLOOKUP(56,main!$A$57:$I$59,4,FALSE)+VLOOKUP(VLOOKUP(AZ$1,main!$A$3:$I$56,7,FALSE),main!$K$10:$Q$14,4,FALSE),1,0)</f>
        <v>0</v>
      </c>
      <c r="BA107">
        <f>IF(VLOOKUP(BA$1,main!$A$3:$I$56,5,FALSE)-VLOOKUP($A107,main!$A$3:$I$56,6,FALSE)&gt;=VLOOKUP(56,main!$A$57:$I$59,4,FALSE)+VLOOKUP(VLOOKUP(BA$1,main!$A$3:$I$56,7,FALSE),main!$K$10:$Q$14,4,FALSE),1,0)</f>
        <v>0</v>
      </c>
      <c r="BB107">
        <f>IF(VLOOKUP(BB$1,main!$A$3:$I$56,5,FALSE)-VLOOKUP($A107,main!$A$3:$I$56,6,FALSE)&gt;=VLOOKUP(56,main!$A$57:$I$59,4,FALSE)+VLOOKUP(VLOOKUP(BB$1,main!$A$3:$I$56,7,FALSE),main!$K$10:$Q$14,4,FALSE),1,0)</f>
        <v>0</v>
      </c>
      <c r="BC107">
        <f>IF(VLOOKUP(BC$1,main!$A$3:$I$56,5,FALSE)-VLOOKUP($A107,main!$A$3:$I$56,6,FALSE)&gt;=VLOOKUP(56,main!$A$57:$I$59,4,FALSE)+VLOOKUP(VLOOKUP(BC$1,main!$A$3:$I$56,7,FALSE),main!$K$10:$Q$14,4,FALSE),1,0)</f>
        <v>0</v>
      </c>
      <c r="BD107">
        <f>IF(VLOOKUP(BD$1,main!$A$3:$I$56,5,FALSE)-VLOOKUP($A107,main!$A$3:$I$56,6,FALSE)&gt;=VLOOKUP(56,main!$A$57:$I$59,4,FALSE)+VLOOKUP(VLOOKUP(BD$1,main!$A$3:$I$56,7,FALSE),main!$K$10:$Q$14,4,FALSE),1,0)</f>
        <v>0</v>
      </c>
    </row>
    <row r="108" spans="1:56" x14ac:dyDescent="0.25">
      <c r="A108">
        <f t="shared" si="1"/>
        <v>51</v>
      </c>
      <c r="B108">
        <v>0</v>
      </c>
      <c r="C108">
        <f>IF(VLOOKUP(C$1,main!$A$3:$I$56,5,FALSE)-VLOOKUP($A108,main!$A$3:$I$56,6,FALSE)&gt;=VLOOKUP(56,main!$A$57:$I$59,4,FALSE)+VLOOKUP(VLOOKUP(C$1,main!$A$3:$I$56,7,FALSE),main!$K$10:$Q$14,4,FALSE),1,0)</f>
        <v>0</v>
      </c>
      <c r="D108">
        <f>IF(VLOOKUP(D$1,main!$A$3:$I$56,5,FALSE)-VLOOKUP($A108,main!$A$3:$I$56,6,FALSE)&gt;=VLOOKUP(56,main!$A$57:$I$59,4,FALSE)+VLOOKUP(VLOOKUP(D$1,main!$A$3:$I$56,7,FALSE),main!$K$10:$Q$14,4,FALSE),1,0)</f>
        <v>0</v>
      </c>
      <c r="E108">
        <f>IF(VLOOKUP(E$1,main!$A$3:$I$56,5,FALSE)-VLOOKUP($A108,main!$A$3:$I$56,6,FALSE)&gt;=VLOOKUP(56,main!$A$57:$I$59,4,FALSE)+VLOOKUP(VLOOKUP(E$1,main!$A$3:$I$56,7,FALSE),main!$K$10:$Q$14,4,FALSE),1,0)</f>
        <v>0</v>
      </c>
      <c r="F108">
        <f>IF(VLOOKUP(F$1,main!$A$3:$I$56,5,FALSE)-VLOOKUP($A108,main!$A$3:$I$56,6,FALSE)&gt;=VLOOKUP(56,main!$A$57:$I$59,4,FALSE)+VLOOKUP(VLOOKUP(F$1,main!$A$3:$I$56,7,FALSE),main!$K$10:$Q$14,4,FALSE),1,0)</f>
        <v>0</v>
      </c>
      <c r="G108">
        <f>IF(VLOOKUP(G$1,main!$A$3:$I$56,5,FALSE)-VLOOKUP($A108,main!$A$3:$I$56,6,FALSE)&gt;=VLOOKUP(56,main!$A$57:$I$59,4,FALSE)+VLOOKUP(VLOOKUP(G$1,main!$A$3:$I$56,7,FALSE),main!$K$10:$Q$14,4,FALSE),1,0)</f>
        <v>1</v>
      </c>
      <c r="H108">
        <f>IF(VLOOKUP(H$1,main!$A$3:$I$56,5,FALSE)-VLOOKUP($A108,main!$A$3:$I$56,6,FALSE)&gt;=VLOOKUP(56,main!$A$57:$I$59,4,FALSE)+VLOOKUP(VLOOKUP(H$1,main!$A$3:$I$56,7,FALSE),main!$K$10:$Q$14,4,FALSE),1,0)</f>
        <v>1</v>
      </c>
      <c r="I108">
        <f>IF(VLOOKUP(I$1,main!$A$3:$I$56,5,FALSE)-VLOOKUP($A108,main!$A$3:$I$56,6,FALSE)&gt;=VLOOKUP(56,main!$A$57:$I$59,4,FALSE)+VLOOKUP(VLOOKUP(I$1,main!$A$3:$I$56,7,FALSE),main!$K$10:$Q$14,4,FALSE),1,0)</f>
        <v>1</v>
      </c>
      <c r="J108">
        <f>IF(VLOOKUP(J$1,main!$A$3:$I$56,5,FALSE)-VLOOKUP($A108,main!$A$3:$I$56,6,FALSE)&gt;=VLOOKUP(56,main!$A$57:$I$59,4,FALSE)+VLOOKUP(VLOOKUP(J$1,main!$A$3:$I$56,7,FALSE),main!$K$10:$Q$14,4,FALSE),1,0)</f>
        <v>1</v>
      </c>
      <c r="K108">
        <f>IF(VLOOKUP(K$1,main!$A$3:$I$56,5,FALSE)-VLOOKUP($A108,main!$A$3:$I$56,6,FALSE)&gt;=VLOOKUP(56,main!$A$57:$I$59,4,FALSE)+VLOOKUP(VLOOKUP(K$1,main!$A$3:$I$56,7,FALSE),main!$K$10:$Q$14,4,FALSE),1,0)</f>
        <v>0</v>
      </c>
      <c r="L108">
        <f>IF(VLOOKUP(L$1,main!$A$3:$I$56,5,FALSE)-VLOOKUP($A108,main!$A$3:$I$56,6,FALSE)&gt;=VLOOKUP(56,main!$A$57:$I$59,4,FALSE)+VLOOKUP(VLOOKUP(L$1,main!$A$3:$I$56,7,FALSE),main!$K$10:$Q$14,4,FALSE),1,0)</f>
        <v>0</v>
      </c>
      <c r="M108">
        <f>IF(VLOOKUP(M$1,main!$A$3:$I$56,5,FALSE)-VLOOKUP($A108,main!$A$3:$I$56,6,FALSE)&gt;=VLOOKUP(56,main!$A$57:$I$59,4,FALSE)+VLOOKUP(VLOOKUP(M$1,main!$A$3:$I$56,7,FALSE),main!$K$10:$Q$14,4,FALSE),1,0)</f>
        <v>0</v>
      </c>
      <c r="N108">
        <f>IF(VLOOKUP(N$1,main!$A$3:$I$56,5,FALSE)-VLOOKUP($A108,main!$A$3:$I$56,6,FALSE)&gt;=VLOOKUP(56,main!$A$57:$I$59,4,FALSE)+VLOOKUP(VLOOKUP(N$1,main!$A$3:$I$56,7,FALSE),main!$K$10:$Q$14,4,FALSE),1,0)</f>
        <v>1</v>
      </c>
      <c r="O108">
        <f>IF(VLOOKUP(O$1,main!$A$3:$I$56,5,FALSE)-VLOOKUP($A108,main!$A$3:$I$56,6,FALSE)&gt;=VLOOKUP(56,main!$A$57:$I$59,4,FALSE)+VLOOKUP(VLOOKUP(O$1,main!$A$3:$I$56,7,FALSE),main!$K$10:$Q$14,4,FALSE),1,0)</f>
        <v>1</v>
      </c>
      <c r="P108">
        <f>IF(VLOOKUP(P$1,main!$A$3:$I$56,5,FALSE)-VLOOKUP($A108,main!$A$3:$I$56,6,FALSE)&gt;=VLOOKUP(56,main!$A$57:$I$59,4,FALSE)+VLOOKUP(VLOOKUP(P$1,main!$A$3:$I$56,7,FALSE),main!$K$10:$Q$14,4,FALSE),1,0)</f>
        <v>0</v>
      </c>
      <c r="Q108">
        <f>IF(VLOOKUP(Q$1,main!$A$3:$I$56,5,FALSE)-VLOOKUP($A108,main!$A$3:$I$56,6,FALSE)&gt;=VLOOKUP(56,main!$A$57:$I$59,4,FALSE)+VLOOKUP(VLOOKUP(Q$1,main!$A$3:$I$56,7,FALSE),main!$K$10:$Q$14,4,FALSE),1,0)</f>
        <v>0</v>
      </c>
      <c r="R108">
        <f>IF(VLOOKUP(R$1,main!$A$3:$I$56,5,FALSE)-VLOOKUP($A108,main!$A$3:$I$56,6,FALSE)&gt;=VLOOKUP(56,main!$A$57:$I$59,4,FALSE)+VLOOKUP(VLOOKUP(R$1,main!$A$3:$I$56,7,FALSE),main!$K$10:$Q$14,4,FALSE),1,0)</f>
        <v>0</v>
      </c>
      <c r="S108">
        <f>IF(VLOOKUP(S$1,main!$A$3:$I$56,5,FALSE)-VLOOKUP($A108,main!$A$3:$I$56,6,FALSE)&gt;=VLOOKUP(56,main!$A$57:$I$59,4,FALSE)+VLOOKUP(VLOOKUP(S$1,main!$A$3:$I$56,7,FALSE),main!$K$10:$Q$14,4,FALSE),1,0)</f>
        <v>1</v>
      </c>
      <c r="T108">
        <f>IF(VLOOKUP(T$1,main!$A$3:$I$56,5,FALSE)-VLOOKUP($A108,main!$A$3:$I$56,6,FALSE)&gt;=VLOOKUP(56,main!$A$57:$I$59,4,FALSE)+VLOOKUP(VLOOKUP(T$1,main!$A$3:$I$56,7,FALSE),main!$K$10:$Q$14,4,FALSE),1,0)</f>
        <v>1</v>
      </c>
      <c r="U108">
        <f>IF(VLOOKUP(U$1,main!$A$3:$I$56,5,FALSE)-VLOOKUP($A108,main!$A$3:$I$56,6,FALSE)&gt;=VLOOKUP(56,main!$A$57:$I$59,4,FALSE)+VLOOKUP(VLOOKUP(U$1,main!$A$3:$I$56,7,FALSE),main!$K$10:$Q$14,4,FALSE),1,0)</f>
        <v>0</v>
      </c>
      <c r="V108">
        <f>IF(VLOOKUP(V$1,main!$A$3:$I$56,5,FALSE)-VLOOKUP($A108,main!$A$3:$I$56,6,FALSE)&gt;=VLOOKUP(56,main!$A$57:$I$59,4,FALSE)+VLOOKUP(VLOOKUP(V$1,main!$A$3:$I$56,7,FALSE),main!$K$10:$Q$14,4,FALSE),1,0)</f>
        <v>0</v>
      </c>
      <c r="W108">
        <f>IF(VLOOKUP(W$1,main!$A$3:$I$56,5,FALSE)-VLOOKUP($A108,main!$A$3:$I$56,6,FALSE)&gt;=VLOOKUP(56,main!$A$57:$I$59,4,FALSE)+VLOOKUP(VLOOKUP(W$1,main!$A$3:$I$56,7,FALSE),main!$K$10:$Q$14,4,FALSE),1,0)</f>
        <v>0</v>
      </c>
      <c r="X108">
        <f>IF(VLOOKUP(X$1,main!$A$3:$I$56,5,FALSE)-VLOOKUP($A108,main!$A$3:$I$56,6,FALSE)&gt;=VLOOKUP(56,main!$A$57:$I$59,4,FALSE)+VLOOKUP(VLOOKUP(X$1,main!$A$3:$I$56,7,FALSE),main!$K$10:$Q$14,4,FALSE),1,0)</f>
        <v>0</v>
      </c>
      <c r="Y108">
        <f>IF(VLOOKUP(Y$1,main!$A$3:$I$56,5,FALSE)-VLOOKUP($A108,main!$A$3:$I$56,6,FALSE)&gt;=VLOOKUP(56,main!$A$57:$I$59,4,FALSE)+VLOOKUP(VLOOKUP(Y$1,main!$A$3:$I$56,7,FALSE),main!$K$10:$Q$14,4,FALSE),1,0)</f>
        <v>0</v>
      </c>
      <c r="Z108">
        <f>IF(VLOOKUP(Z$1,main!$A$3:$I$56,5,FALSE)-VLOOKUP($A108,main!$A$3:$I$56,6,FALSE)&gt;=VLOOKUP(56,main!$A$57:$I$59,4,FALSE)+VLOOKUP(VLOOKUP(Z$1,main!$A$3:$I$56,7,FALSE),main!$K$10:$Q$14,4,FALSE),1,0)</f>
        <v>0</v>
      </c>
      <c r="AA108">
        <f>IF(VLOOKUP(AA$1,main!$A$3:$I$56,5,FALSE)-VLOOKUP($A108,main!$A$3:$I$56,6,FALSE)&gt;=VLOOKUP(56,main!$A$57:$I$59,4,FALSE)+VLOOKUP(VLOOKUP(AA$1,main!$A$3:$I$56,7,FALSE),main!$K$10:$Q$14,4,FALSE),1,0)</f>
        <v>1</v>
      </c>
      <c r="AB108">
        <f>IF(VLOOKUP(AB$1,main!$A$3:$I$56,5,FALSE)-VLOOKUP($A108,main!$A$3:$I$56,6,FALSE)&gt;=VLOOKUP(56,main!$A$57:$I$59,4,FALSE)+VLOOKUP(VLOOKUP(AB$1,main!$A$3:$I$56,7,FALSE),main!$K$10:$Q$14,4,FALSE),1,0)</f>
        <v>1</v>
      </c>
      <c r="AC108">
        <f>IF(VLOOKUP(AC$1,main!$A$3:$I$56,5,FALSE)-VLOOKUP($A108,main!$A$3:$I$56,6,FALSE)&gt;=VLOOKUP(56,main!$A$57:$I$59,4,FALSE)+VLOOKUP(VLOOKUP(AC$1,main!$A$3:$I$56,7,FALSE),main!$K$10:$Q$14,4,FALSE),1,0)</f>
        <v>0</v>
      </c>
      <c r="AD108">
        <f>IF(VLOOKUP(AD$1,main!$A$3:$I$56,5,FALSE)-VLOOKUP($A108,main!$A$3:$I$56,6,FALSE)&gt;=VLOOKUP(56,main!$A$57:$I$59,4,FALSE)+VLOOKUP(VLOOKUP(AD$1,main!$A$3:$I$56,7,FALSE),main!$K$10:$Q$14,4,FALSE),1,0)</f>
        <v>0</v>
      </c>
      <c r="AE108">
        <f>IF(VLOOKUP(AE$1,main!$A$3:$I$56,5,FALSE)-VLOOKUP($A108,main!$A$3:$I$56,6,FALSE)&gt;=VLOOKUP(56,main!$A$57:$I$59,4,FALSE)+VLOOKUP(VLOOKUP(AE$1,main!$A$3:$I$56,7,FALSE),main!$K$10:$Q$14,4,FALSE),1,0)</f>
        <v>0</v>
      </c>
      <c r="AF108">
        <f>IF(VLOOKUP(AF$1,main!$A$3:$I$56,5,FALSE)-VLOOKUP($A108,main!$A$3:$I$56,6,FALSE)&gt;=VLOOKUP(56,main!$A$57:$I$59,4,FALSE)+VLOOKUP(VLOOKUP(AF$1,main!$A$3:$I$56,7,FALSE),main!$K$10:$Q$14,4,FALSE),1,0)</f>
        <v>0</v>
      </c>
      <c r="AG108">
        <f>IF(VLOOKUP(AG$1,main!$A$3:$I$56,5,FALSE)-VLOOKUP($A108,main!$A$3:$I$56,6,FALSE)&gt;=VLOOKUP(56,main!$A$57:$I$59,4,FALSE)+VLOOKUP(VLOOKUP(AG$1,main!$A$3:$I$56,7,FALSE),main!$K$10:$Q$14,4,FALSE),1,0)</f>
        <v>0</v>
      </c>
      <c r="AH108">
        <f>IF(VLOOKUP(AH$1,main!$A$3:$I$56,5,FALSE)-VLOOKUP($A108,main!$A$3:$I$56,6,FALSE)&gt;=VLOOKUP(56,main!$A$57:$I$59,4,FALSE)+VLOOKUP(VLOOKUP(AH$1,main!$A$3:$I$56,7,FALSE),main!$K$10:$Q$14,4,FALSE),1,0)</f>
        <v>0</v>
      </c>
      <c r="AI108">
        <f>IF(VLOOKUP(AI$1,main!$A$3:$I$56,5,FALSE)-VLOOKUP($A108,main!$A$3:$I$56,6,FALSE)&gt;=VLOOKUP(56,main!$A$57:$I$59,4,FALSE)+VLOOKUP(VLOOKUP(AI$1,main!$A$3:$I$56,7,FALSE),main!$K$10:$Q$14,4,FALSE),1,0)</f>
        <v>0</v>
      </c>
      <c r="AJ108">
        <f>IF(VLOOKUP(AJ$1,main!$A$3:$I$56,5,FALSE)-VLOOKUP($A108,main!$A$3:$I$56,6,FALSE)&gt;=VLOOKUP(56,main!$A$57:$I$59,4,FALSE)+VLOOKUP(VLOOKUP(AJ$1,main!$A$3:$I$56,7,FALSE),main!$K$10:$Q$14,4,FALSE),1,0)</f>
        <v>0</v>
      </c>
      <c r="AK108">
        <f>IF(VLOOKUP(AK$1,main!$A$3:$I$56,5,FALSE)-VLOOKUP($A108,main!$A$3:$I$56,6,FALSE)&gt;=VLOOKUP(56,main!$A$57:$I$59,4,FALSE)+VLOOKUP(VLOOKUP(AK$1,main!$A$3:$I$56,7,FALSE),main!$K$10:$Q$14,4,FALSE),1,0)</f>
        <v>0</v>
      </c>
      <c r="AL108">
        <f>IF(VLOOKUP(AL$1,main!$A$3:$I$56,5,FALSE)-VLOOKUP($A108,main!$A$3:$I$56,6,FALSE)&gt;=VLOOKUP(56,main!$A$57:$I$59,4,FALSE)+VLOOKUP(VLOOKUP(AL$1,main!$A$3:$I$56,7,FALSE),main!$K$10:$Q$14,4,FALSE),1,0)</f>
        <v>0</v>
      </c>
      <c r="AM108">
        <f>IF(VLOOKUP(AM$1,main!$A$3:$I$56,5,FALSE)-VLOOKUP($A108,main!$A$3:$I$56,6,FALSE)&gt;=VLOOKUP(56,main!$A$57:$I$59,4,FALSE)+VLOOKUP(VLOOKUP(AM$1,main!$A$3:$I$56,7,FALSE),main!$K$10:$Q$14,4,FALSE),1,0)</f>
        <v>0</v>
      </c>
      <c r="AN108">
        <f>IF(VLOOKUP(AN$1,main!$A$3:$I$56,5,FALSE)-VLOOKUP($A108,main!$A$3:$I$56,6,FALSE)&gt;=VLOOKUP(56,main!$A$57:$I$59,4,FALSE)+VLOOKUP(VLOOKUP(AN$1,main!$A$3:$I$56,7,FALSE),main!$K$10:$Q$14,4,FALSE),1,0)</f>
        <v>0</v>
      </c>
      <c r="AO108">
        <f>IF(VLOOKUP(AO$1,main!$A$3:$I$56,5,FALSE)-VLOOKUP($A108,main!$A$3:$I$56,6,FALSE)&gt;=VLOOKUP(56,main!$A$57:$I$59,4,FALSE)+VLOOKUP(VLOOKUP(AO$1,main!$A$3:$I$56,7,FALSE),main!$K$10:$Q$14,4,FALSE),1,0)</f>
        <v>0</v>
      </c>
      <c r="AP108">
        <f>IF(VLOOKUP(AP$1,main!$A$3:$I$56,5,FALSE)-VLOOKUP($A108,main!$A$3:$I$56,6,FALSE)&gt;=VLOOKUP(56,main!$A$57:$I$59,4,FALSE)+VLOOKUP(VLOOKUP(AP$1,main!$A$3:$I$56,7,FALSE),main!$K$10:$Q$14,4,FALSE),1,0)</f>
        <v>0</v>
      </c>
      <c r="AQ108">
        <f>IF(VLOOKUP(AQ$1,main!$A$3:$I$56,5,FALSE)-VLOOKUP($A108,main!$A$3:$I$56,6,FALSE)&gt;=VLOOKUP(56,main!$A$57:$I$59,4,FALSE)+VLOOKUP(VLOOKUP(AQ$1,main!$A$3:$I$56,7,FALSE),main!$K$10:$Q$14,4,FALSE),1,0)</f>
        <v>0</v>
      </c>
      <c r="AR108">
        <f>IF(VLOOKUP(AR$1,main!$A$3:$I$56,5,FALSE)-VLOOKUP($A108,main!$A$3:$I$56,6,FALSE)&gt;=VLOOKUP(56,main!$A$57:$I$59,4,FALSE)+VLOOKUP(VLOOKUP(AR$1,main!$A$3:$I$56,7,FALSE),main!$K$10:$Q$14,4,FALSE),1,0)</f>
        <v>0</v>
      </c>
      <c r="AS108">
        <f>IF(VLOOKUP(AS$1,main!$A$3:$I$56,5,FALSE)-VLOOKUP($A108,main!$A$3:$I$56,6,FALSE)&gt;=VLOOKUP(56,main!$A$57:$I$59,4,FALSE)+VLOOKUP(VLOOKUP(AS$1,main!$A$3:$I$56,7,FALSE),main!$K$10:$Q$14,4,FALSE),1,0)</f>
        <v>0</v>
      </c>
      <c r="AT108">
        <f>IF(VLOOKUP(AT$1,main!$A$3:$I$56,5,FALSE)-VLOOKUP($A108,main!$A$3:$I$56,6,FALSE)&gt;=VLOOKUP(56,main!$A$57:$I$59,4,FALSE)+VLOOKUP(VLOOKUP(AT$1,main!$A$3:$I$56,7,FALSE),main!$K$10:$Q$14,4,FALSE),1,0)</f>
        <v>0</v>
      </c>
      <c r="AU108">
        <f>IF(VLOOKUP(AU$1,main!$A$3:$I$56,5,FALSE)-VLOOKUP($A108,main!$A$3:$I$56,6,FALSE)&gt;=VLOOKUP(56,main!$A$57:$I$59,4,FALSE)+VLOOKUP(VLOOKUP(AU$1,main!$A$3:$I$56,7,FALSE),main!$K$10:$Q$14,4,FALSE),1,0)</f>
        <v>0</v>
      </c>
      <c r="AV108">
        <f>IF(VLOOKUP(AV$1,main!$A$3:$I$56,5,FALSE)-VLOOKUP($A108,main!$A$3:$I$56,6,FALSE)&gt;=VLOOKUP(56,main!$A$57:$I$59,4,FALSE)+VLOOKUP(VLOOKUP(AV$1,main!$A$3:$I$56,7,FALSE),main!$K$10:$Q$14,4,FALSE),1,0)</f>
        <v>0</v>
      </c>
      <c r="AW108">
        <f>IF(VLOOKUP(AW$1,main!$A$3:$I$56,5,FALSE)-VLOOKUP($A108,main!$A$3:$I$56,6,FALSE)&gt;=VLOOKUP(56,main!$A$57:$I$59,4,FALSE)+VLOOKUP(VLOOKUP(AW$1,main!$A$3:$I$56,7,FALSE),main!$K$10:$Q$14,4,FALSE),1,0)</f>
        <v>0</v>
      </c>
      <c r="AX108">
        <f>IF(VLOOKUP(AX$1,main!$A$3:$I$56,5,FALSE)-VLOOKUP($A108,main!$A$3:$I$56,6,FALSE)&gt;=VLOOKUP(56,main!$A$57:$I$59,4,FALSE)+VLOOKUP(VLOOKUP(AX$1,main!$A$3:$I$56,7,FALSE),main!$K$10:$Q$14,4,FALSE),1,0)</f>
        <v>0</v>
      </c>
      <c r="AY108">
        <f>IF(VLOOKUP(AY$1,main!$A$3:$I$56,5,FALSE)-VLOOKUP($A108,main!$A$3:$I$56,6,FALSE)&gt;=VLOOKUP(56,main!$A$57:$I$59,4,FALSE)+VLOOKUP(VLOOKUP(AY$1,main!$A$3:$I$56,7,FALSE),main!$K$10:$Q$14,4,FALSE),1,0)</f>
        <v>1</v>
      </c>
      <c r="AZ108">
        <f>IF(VLOOKUP(AZ$1,main!$A$3:$I$56,5,FALSE)-VLOOKUP($A108,main!$A$3:$I$56,6,FALSE)&gt;=VLOOKUP(56,main!$A$57:$I$59,4,FALSE)+VLOOKUP(VLOOKUP(AZ$1,main!$A$3:$I$56,7,FALSE),main!$K$10:$Q$14,4,FALSE),1,0)</f>
        <v>0</v>
      </c>
      <c r="BA108">
        <f>IF(VLOOKUP(BA$1,main!$A$3:$I$56,5,FALSE)-VLOOKUP($A108,main!$A$3:$I$56,6,FALSE)&gt;=VLOOKUP(56,main!$A$57:$I$59,4,FALSE)+VLOOKUP(VLOOKUP(BA$1,main!$A$3:$I$56,7,FALSE),main!$K$10:$Q$14,4,FALSE),1,0)</f>
        <v>0</v>
      </c>
      <c r="BB108">
        <f>IF(VLOOKUP(BB$1,main!$A$3:$I$56,5,FALSE)-VLOOKUP($A108,main!$A$3:$I$56,6,FALSE)&gt;=VLOOKUP(56,main!$A$57:$I$59,4,FALSE)+VLOOKUP(VLOOKUP(BB$1,main!$A$3:$I$56,7,FALSE),main!$K$10:$Q$14,4,FALSE),1,0)</f>
        <v>0</v>
      </c>
      <c r="BC108">
        <f>IF(VLOOKUP(BC$1,main!$A$3:$I$56,5,FALSE)-VLOOKUP($A108,main!$A$3:$I$56,6,FALSE)&gt;=VLOOKUP(56,main!$A$57:$I$59,4,FALSE)+VLOOKUP(VLOOKUP(BC$1,main!$A$3:$I$56,7,FALSE),main!$K$10:$Q$14,4,FALSE),1,0)</f>
        <v>0</v>
      </c>
      <c r="BD108">
        <f>IF(VLOOKUP(BD$1,main!$A$3:$I$56,5,FALSE)-VLOOKUP($A108,main!$A$3:$I$56,6,FALSE)&gt;=VLOOKUP(56,main!$A$57:$I$59,4,FALSE)+VLOOKUP(VLOOKUP(BD$1,main!$A$3:$I$56,7,FALSE),main!$K$10:$Q$14,4,FALSE),1,0)</f>
        <v>0</v>
      </c>
    </row>
    <row r="109" spans="1:56" x14ac:dyDescent="0.25">
      <c r="A109">
        <f t="shared" si="1"/>
        <v>52</v>
      </c>
      <c r="B109">
        <v>0</v>
      </c>
      <c r="C109">
        <f>IF(VLOOKUP(C$1,main!$A$3:$I$56,5,FALSE)-VLOOKUP($A109,main!$A$3:$I$56,6,FALSE)&gt;=VLOOKUP(56,main!$A$57:$I$59,4,FALSE)+VLOOKUP(VLOOKUP(C$1,main!$A$3:$I$56,7,FALSE),main!$K$10:$Q$14,4,FALSE),1,0)</f>
        <v>0</v>
      </c>
      <c r="D109">
        <f>IF(VLOOKUP(D$1,main!$A$3:$I$56,5,FALSE)-VLOOKUP($A109,main!$A$3:$I$56,6,FALSE)&gt;=VLOOKUP(56,main!$A$57:$I$59,4,FALSE)+VLOOKUP(VLOOKUP(D$1,main!$A$3:$I$56,7,FALSE),main!$K$10:$Q$14,4,FALSE),1,0)</f>
        <v>0</v>
      </c>
      <c r="E109">
        <f>IF(VLOOKUP(E$1,main!$A$3:$I$56,5,FALSE)-VLOOKUP($A109,main!$A$3:$I$56,6,FALSE)&gt;=VLOOKUP(56,main!$A$57:$I$59,4,FALSE)+VLOOKUP(VLOOKUP(E$1,main!$A$3:$I$56,7,FALSE),main!$K$10:$Q$14,4,FALSE),1,0)</f>
        <v>0</v>
      </c>
      <c r="F109">
        <f>IF(VLOOKUP(F$1,main!$A$3:$I$56,5,FALSE)-VLOOKUP($A109,main!$A$3:$I$56,6,FALSE)&gt;=VLOOKUP(56,main!$A$57:$I$59,4,FALSE)+VLOOKUP(VLOOKUP(F$1,main!$A$3:$I$56,7,FALSE),main!$K$10:$Q$14,4,FALSE),1,0)</f>
        <v>0</v>
      </c>
      <c r="G109">
        <f>IF(VLOOKUP(G$1,main!$A$3:$I$56,5,FALSE)-VLOOKUP($A109,main!$A$3:$I$56,6,FALSE)&gt;=VLOOKUP(56,main!$A$57:$I$59,4,FALSE)+VLOOKUP(VLOOKUP(G$1,main!$A$3:$I$56,7,FALSE),main!$K$10:$Q$14,4,FALSE),1,0)</f>
        <v>1</v>
      </c>
      <c r="H109">
        <f>IF(VLOOKUP(H$1,main!$A$3:$I$56,5,FALSE)-VLOOKUP($A109,main!$A$3:$I$56,6,FALSE)&gt;=VLOOKUP(56,main!$A$57:$I$59,4,FALSE)+VLOOKUP(VLOOKUP(H$1,main!$A$3:$I$56,7,FALSE),main!$K$10:$Q$14,4,FALSE),1,0)</f>
        <v>1</v>
      </c>
      <c r="I109">
        <f>IF(VLOOKUP(I$1,main!$A$3:$I$56,5,FALSE)-VLOOKUP($A109,main!$A$3:$I$56,6,FALSE)&gt;=VLOOKUP(56,main!$A$57:$I$59,4,FALSE)+VLOOKUP(VLOOKUP(I$1,main!$A$3:$I$56,7,FALSE),main!$K$10:$Q$14,4,FALSE),1,0)</f>
        <v>1</v>
      </c>
      <c r="J109">
        <f>IF(VLOOKUP(J$1,main!$A$3:$I$56,5,FALSE)-VLOOKUP($A109,main!$A$3:$I$56,6,FALSE)&gt;=VLOOKUP(56,main!$A$57:$I$59,4,FALSE)+VLOOKUP(VLOOKUP(J$1,main!$A$3:$I$56,7,FALSE),main!$K$10:$Q$14,4,FALSE),1,0)</f>
        <v>1</v>
      </c>
      <c r="K109">
        <f>IF(VLOOKUP(K$1,main!$A$3:$I$56,5,FALSE)-VLOOKUP($A109,main!$A$3:$I$56,6,FALSE)&gt;=VLOOKUP(56,main!$A$57:$I$59,4,FALSE)+VLOOKUP(VLOOKUP(K$1,main!$A$3:$I$56,7,FALSE),main!$K$10:$Q$14,4,FALSE),1,0)</f>
        <v>0</v>
      </c>
      <c r="L109">
        <f>IF(VLOOKUP(L$1,main!$A$3:$I$56,5,FALSE)-VLOOKUP($A109,main!$A$3:$I$56,6,FALSE)&gt;=VLOOKUP(56,main!$A$57:$I$59,4,FALSE)+VLOOKUP(VLOOKUP(L$1,main!$A$3:$I$56,7,FALSE),main!$K$10:$Q$14,4,FALSE),1,0)</f>
        <v>0</v>
      </c>
      <c r="M109">
        <f>IF(VLOOKUP(M$1,main!$A$3:$I$56,5,FALSE)-VLOOKUP($A109,main!$A$3:$I$56,6,FALSE)&gt;=VLOOKUP(56,main!$A$57:$I$59,4,FALSE)+VLOOKUP(VLOOKUP(M$1,main!$A$3:$I$56,7,FALSE),main!$K$10:$Q$14,4,FALSE),1,0)</f>
        <v>0</v>
      </c>
      <c r="N109">
        <f>IF(VLOOKUP(N$1,main!$A$3:$I$56,5,FALSE)-VLOOKUP($A109,main!$A$3:$I$56,6,FALSE)&gt;=VLOOKUP(56,main!$A$57:$I$59,4,FALSE)+VLOOKUP(VLOOKUP(N$1,main!$A$3:$I$56,7,FALSE),main!$K$10:$Q$14,4,FALSE),1,0)</f>
        <v>1</v>
      </c>
      <c r="O109">
        <f>IF(VLOOKUP(O$1,main!$A$3:$I$56,5,FALSE)-VLOOKUP($A109,main!$A$3:$I$56,6,FALSE)&gt;=VLOOKUP(56,main!$A$57:$I$59,4,FALSE)+VLOOKUP(VLOOKUP(O$1,main!$A$3:$I$56,7,FALSE),main!$K$10:$Q$14,4,FALSE),1,0)</f>
        <v>1</v>
      </c>
      <c r="P109">
        <f>IF(VLOOKUP(P$1,main!$A$3:$I$56,5,FALSE)-VLOOKUP($A109,main!$A$3:$I$56,6,FALSE)&gt;=VLOOKUP(56,main!$A$57:$I$59,4,FALSE)+VLOOKUP(VLOOKUP(P$1,main!$A$3:$I$56,7,FALSE),main!$K$10:$Q$14,4,FALSE),1,0)</f>
        <v>0</v>
      </c>
      <c r="Q109">
        <f>IF(VLOOKUP(Q$1,main!$A$3:$I$56,5,FALSE)-VLOOKUP($A109,main!$A$3:$I$56,6,FALSE)&gt;=VLOOKUP(56,main!$A$57:$I$59,4,FALSE)+VLOOKUP(VLOOKUP(Q$1,main!$A$3:$I$56,7,FALSE),main!$K$10:$Q$14,4,FALSE),1,0)</f>
        <v>0</v>
      </c>
      <c r="R109">
        <f>IF(VLOOKUP(R$1,main!$A$3:$I$56,5,FALSE)-VLOOKUP($A109,main!$A$3:$I$56,6,FALSE)&gt;=VLOOKUP(56,main!$A$57:$I$59,4,FALSE)+VLOOKUP(VLOOKUP(R$1,main!$A$3:$I$56,7,FALSE),main!$K$10:$Q$14,4,FALSE),1,0)</f>
        <v>0</v>
      </c>
      <c r="S109">
        <f>IF(VLOOKUP(S$1,main!$A$3:$I$56,5,FALSE)-VLOOKUP($A109,main!$A$3:$I$56,6,FALSE)&gt;=VLOOKUP(56,main!$A$57:$I$59,4,FALSE)+VLOOKUP(VLOOKUP(S$1,main!$A$3:$I$56,7,FALSE),main!$K$10:$Q$14,4,FALSE),1,0)</f>
        <v>1</v>
      </c>
      <c r="T109">
        <f>IF(VLOOKUP(T$1,main!$A$3:$I$56,5,FALSE)-VLOOKUP($A109,main!$A$3:$I$56,6,FALSE)&gt;=VLOOKUP(56,main!$A$57:$I$59,4,FALSE)+VLOOKUP(VLOOKUP(T$1,main!$A$3:$I$56,7,FALSE),main!$K$10:$Q$14,4,FALSE),1,0)</f>
        <v>1</v>
      </c>
      <c r="U109">
        <f>IF(VLOOKUP(U$1,main!$A$3:$I$56,5,FALSE)-VLOOKUP($A109,main!$A$3:$I$56,6,FALSE)&gt;=VLOOKUP(56,main!$A$57:$I$59,4,FALSE)+VLOOKUP(VLOOKUP(U$1,main!$A$3:$I$56,7,FALSE),main!$K$10:$Q$14,4,FALSE),1,0)</f>
        <v>0</v>
      </c>
      <c r="V109">
        <f>IF(VLOOKUP(V$1,main!$A$3:$I$56,5,FALSE)-VLOOKUP($A109,main!$A$3:$I$56,6,FALSE)&gt;=VLOOKUP(56,main!$A$57:$I$59,4,FALSE)+VLOOKUP(VLOOKUP(V$1,main!$A$3:$I$56,7,FALSE),main!$K$10:$Q$14,4,FALSE),1,0)</f>
        <v>0</v>
      </c>
      <c r="W109">
        <f>IF(VLOOKUP(W$1,main!$A$3:$I$56,5,FALSE)-VLOOKUP($A109,main!$A$3:$I$56,6,FALSE)&gt;=VLOOKUP(56,main!$A$57:$I$59,4,FALSE)+VLOOKUP(VLOOKUP(W$1,main!$A$3:$I$56,7,FALSE),main!$K$10:$Q$14,4,FALSE),1,0)</f>
        <v>0</v>
      </c>
      <c r="X109">
        <f>IF(VLOOKUP(X$1,main!$A$3:$I$56,5,FALSE)-VLOOKUP($A109,main!$A$3:$I$56,6,FALSE)&gt;=VLOOKUP(56,main!$A$57:$I$59,4,FALSE)+VLOOKUP(VLOOKUP(X$1,main!$A$3:$I$56,7,FALSE),main!$K$10:$Q$14,4,FALSE),1,0)</f>
        <v>0</v>
      </c>
      <c r="Y109">
        <f>IF(VLOOKUP(Y$1,main!$A$3:$I$56,5,FALSE)-VLOOKUP($A109,main!$A$3:$I$56,6,FALSE)&gt;=VLOOKUP(56,main!$A$57:$I$59,4,FALSE)+VLOOKUP(VLOOKUP(Y$1,main!$A$3:$I$56,7,FALSE),main!$K$10:$Q$14,4,FALSE),1,0)</f>
        <v>0</v>
      </c>
      <c r="Z109">
        <f>IF(VLOOKUP(Z$1,main!$A$3:$I$56,5,FALSE)-VLOOKUP($A109,main!$A$3:$I$56,6,FALSE)&gt;=VLOOKUP(56,main!$A$57:$I$59,4,FALSE)+VLOOKUP(VLOOKUP(Z$1,main!$A$3:$I$56,7,FALSE),main!$K$10:$Q$14,4,FALSE),1,0)</f>
        <v>0</v>
      </c>
      <c r="AA109">
        <f>IF(VLOOKUP(AA$1,main!$A$3:$I$56,5,FALSE)-VLOOKUP($A109,main!$A$3:$I$56,6,FALSE)&gt;=VLOOKUP(56,main!$A$57:$I$59,4,FALSE)+VLOOKUP(VLOOKUP(AA$1,main!$A$3:$I$56,7,FALSE),main!$K$10:$Q$14,4,FALSE),1,0)</f>
        <v>0</v>
      </c>
      <c r="AB109">
        <f>IF(VLOOKUP(AB$1,main!$A$3:$I$56,5,FALSE)-VLOOKUP($A109,main!$A$3:$I$56,6,FALSE)&gt;=VLOOKUP(56,main!$A$57:$I$59,4,FALSE)+VLOOKUP(VLOOKUP(AB$1,main!$A$3:$I$56,7,FALSE),main!$K$10:$Q$14,4,FALSE),1,0)</f>
        <v>1</v>
      </c>
      <c r="AC109">
        <f>IF(VLOOKUP(AC$1,main!$A$3:$I$56,5,FALSE)-VLOOKUP($A109,main!$A$3:$I$56,6,FALSE)&gt;=VLOOKUP(56,main!$A$57:$I$59,4,FALSE)+VLOOKUP(VLOOKUP(AC$1,main!$A$3:$I$56,7,FALSE),main!$K$10:$Q$14,4,FALSE),1,0)</f>
        <v>0</v>
      </c>
      <c r="AD109">
        <f>IF(VLOOKUP(AD$1,main!$A$3:$I$56,5,FALSE)-VLOOKUP($A109,main!$A$3:$I$56,6,FALSE)&gt;=VLOOKUP(56,main!$A$57:$I$59,4,FALSE)+VLOOKUP(VLOOKUP(AD$1,main!$A$3:$I$56,7,FALSE),main!$K$10:$Q$14,4,FALSE),1,0)</f>
        <v>0</v>
      </c>
      <c r="AE109">
        <f>IF(VLOOKUP(AE$1,main!$A$3:$I$56,5,FALSE)-VLOOKUP($A109,main!$A$3:$I$56,6,FALSE)&gt;=VLOOKUP(56,main!$A$57:$I$59,4,FALSE)+VLOOKUP(VLOOKUP(AE$1,main!$A$3:$I$56,7,FALSE),main!$K$10:$Q$14,4,FALSE),1,0)</f>
        <v>0</v>
      </c>
      <c r="AF109">
        <f>IF(VLOOKUP(AF$1,main!$A$3:$I$56,5,FALSE)-VLOOKUP($A109,main!$A$3:$I$56,6,FALSE)&gt;=VLOOKUP(56,main!$A$57:$I$59,4,FALSE)+VLOOKUP(VLOOKUP(AF$1,main!$A$3:$I$56,7,FALSE),main!$K$10:$Q$14,4,FALSE),1,0)</f>
        <v>0</v>
      </c>
      <c r="AG109">
        <f>IF(VLOOKUP(AG$1,main!$A$3:$I$56,5,FALSE)-VLOOKUP($A109,main!$A$3:$I$56,6,FALSE)&gt;=VLOOKUP(56,main!$A$57:$I$59,4,FALSE)+VLOOKUP(VLOOKUP(AG$1,main!$A$3:$I$56,7,FALSE),main!$K$10:$Q$14,4,FALSE),1,0)</f>
        <v>0</v>
      </c>
      <c r="AH109">
        <f>IF(VLOOKUP(AH$1,main!$A$3:$I$56,5,FALSE)-VLOOKUP($A109,main!$A$3:$I$56,6,FALSE)&gt;=VLOOKUP(56,main!$A$57:$I$59,4,FALSE)+VLOOKUP(VLOOKUP(AH$1,main!$A$3:$I$56,7,FALSE),main!$K$10:$Q$14,4,FALSE),1,0)</f>
        <v>0</v>
      </c>
      <c r="AI109">
        <f>IF(VLOOKUP(AI$1,main!$A$3:$I$56,5,FALSE)-VLOOKUP($A109,main!$A$3:$I$56,6,FALSE)&gt;=VLOOKUP(56,main!$A$57:$I$59,4,FALSE)+VLOOKUP(VLOOKUP(AI$1,main!$A$3:$I$56,7,FALSE),main!$K$10:$Q$14,4,FALSE),1,0)</f>
        <v>0</v>
      </c>
      <c r="AJ109">
        <f>IF(VLOOKUP(AJ$1,main!$A$3:$I$56,5,FALSE)-VLOOKUP($A109,main!$A$3:$I$56,6,FALSE)&gt;=VLOOKUP(56,main!$A$57:$I$59,4,FALSE)+VLOOKUP(VLOOKUP(AJ$1,main!$A$3:$I$56,7,FALSE),main!$K$10:$Q$14,4,FALSE),1,0)</f>
        <v>0</v>
      </c>
      <c r="AK109">
        <f>IF(VLOOKUP(AK$1,main!$A$3:$I$56,5,FALSE)-VLOOKUP($A109,main!$A$3:$I$56,6,FALSE)&gt;=VLOOKUP(56,main!$A$57:$I$59,4,FALSE)+VLOOKUP(VLOOKUP(AK$1,main!$A$3:$I$56,7,FALSE),main!$K$10:$Q$14,4,FALSE),1,0)</f>
        <v>0</v>
      </c>
      <c r="AL109">
        <f>IF(VLOOKUP(AL$1,main!$A$3:$I$56,5,FALSE)-VLOOKUP($A109,main!$A$3:$I$56,6,FALSE)&gt;=VLOOKUP(56,main!$A$57:$I$59,4,FALSE)+VLOOKUP(VLOOKUP(AL$1,main!$A$3:$I$56,7,FALSE),main!$K$10:$Q$14,4,FALSE),1,0)</f>
        <v>0</v>
      </c>
      <c r="AM109">
        <f>IF(VLOOKUP(AM$1,main!$A$3:$I$56,5,FALSE)-VLOOKUP($A109,main!$A$3:$I$56,6,FALSE)&gt;=VLOOKUP(56,main!$A$57:$I$59,4,FALSE)+VLOOKUP(VLOOKUP(AM$1,main!$A$3:$I$56,7,FALSE),main!$K$10:$Q$14,4,FALSE),1,0)</f>
        <v>0</v>
      </c>
      <c r="AN109">
        <f>IF(VLOOKUP(AN$1,main!$A$3:$I$56,5,FALSE)-VLOOKUP($A109,main!$A$3:$I$56,6,FALSE)&gt;=VLOOKUP(56,main!$A$57:$I$59,4,FALSE)+VLOOKUP(VLOOKUP(AN$1,main!$A$3:$I$56,7,FALSE),main!$K$10:$Q$14,4,FALSE),1,0)</f>
        <v>0</v>
      </c>
      <c r="AO109">
        <f>IF(VLOOKUP(AO$1,main!$A$3:$I$56,5,FALSE)-VLOOKUP($A109,main!$A$3:$I$56,6,FALSE)&gt;=VLOOKUP(56,main!$A$57:$I$59,4,FALSE)+VLOOKUP(VLOOKUP(AO$1,main!$A$3:$I$56,7,FALSE),main!$K$10:$Q$14,4,FALSE),1,0)</f>
        <v>0</v>
      </c>
      <c r="AP109">
        <f>IF(VLOOKUP(AP$1,main!$A$3:$I$56,5,FALSE)-VLOOKUP($A109,main!$A$3:$I$56,6,FALSE)&gt;=VLOOKUP(56,main!$A$57:$I$59,4,FALSE)+VLOOKUP(VLOOKUP(AP$1,main!$A$3:$I$56,7,FALSE),main!$K$10:$Q$14,4,FALSE),1,0)</f>
        <v>0</v>
      </c>
      <c r="AQ109">
        <f>IF(VLOOKUP(AQ$1,main!$A$3:$I$56,5,FALSE)-VLOOKUP($A109,main!$A$3:$I$56,6,FALSE)&gt;=VLOOKUP(56,main!$A$57:$I$59,4,FALSE)+VLOOKUP(VLOOKUP(AQ$1,main!$A$3:$I$56,7,FALSE),main!$K$10:$Q$14,4,FALSE),1,0)</f>
        <v>0</v>
      </c>
      <c r="AR109">
        <f>IF(VLOOKUP(AR$1,main!$A$3:$I$56,5,FALSE)-VLOOKUP($A109,main!$A$3:$I$56,6,FALSE)&gt;=VLOOKUP(56,main!$A$57:$I$59,4,FALSE)+VLOOKUP(VLOOKUP(AR$1,main!$A$3:$I$56,7,FALSE),main!$K$10:$Q$14,4,FALSE),1,0)</f>
        <v>0</v>
      </c>
      <c r="AS109">
        <f>IF(VLOOKUP(AS$1,main!$A$3:$I$56,5,FALSE)-VLOOKUP($A109,main!$A$3:$I$56,6,FALSE)&gt;=VLOOKUP(56,main!$A$57:$I$59,4,FALSE)+VLOOKUP(VLOOKUP(AS$1,main!$A$3:$I$56,7,FALSE),main!$K$10:$Q$14,4,FALSE),1,0)</f>
        <v>0</v>
      </c>
      <c r="AT109">
        <f>IF(VLOOKUP(AT$1,main!$A$3:$I$56,5,FALSE)-VLOOKUP($A109,main!$A$3:$I$56,6,FALSE)&gt;=VLOOKUP(56,main!$A$57:$I$59,4,FALSE)+VLOOKUP(VLOOKUP(AT$1,main!$A$3:$I$56,7,FALSE),main!$K$10:$Q$14,4,FALSE),1,0)</f>
        <v>0</v>
      </c>
      <c r="AU109">
        <f>IF(VLOOKUP(AU$1,main!$A$3:$I$56,5,FALSE)-VLOOKUP($A109,main!$A$3:$I$56,6,FALSE)&gt;=VLOOKUP(56,main!$A$57:$I$59,4,FALSE)+VLOOKUP(VLOOKUP(AU$1,main!$A$3:$I$56,7,FALSE),main!$K$10:$Q$14,4,FALSE),1,0)</f>
        <v>0</v>
      </c>
      <c r="AV109">
        <f>IF(VLOOKUP(AV$1,main!$A$3:$I$56,5,FALSE)-VLOOKUP($A109,main!$A$3:$I$56,6,FALSE)&gt;=VLOOKUP(56,main!$A$57:$I$59,4,FALSE)+VLOOKUP(VLOOKUP(AV$1,main!$A$3:$I$56,7,FALSE),main!$K$10:$Q$14,4,FALSE),1,0)</f>
        <v>0</v>
      </c>
      <c r="AW109">
        <f>IF(VLOOKUP(AW$1,main!$A$3:$I$56,5,FALSE)-VLOOKUP($A109,main!$A$3:$I$56,6,FALSE)&gt;=VLOOKUP(56,main!$A$57:$I$59,4,FALSE)+VLOOKUP(VLOOKUP(AW$1,main!$A$3:$I$56,7,FALSE),main!$K$10:$Q$14,4,FALSE),1,0)</f>
        <v>0</v>
      </c>
      <c r="AX109">
        <f>IF(VLOOKUP(AX$1,main!$A$3:$I$56,5,FALSE)-VLOOKUP($A109,main!$A$3:$I$56,6,FALSE)&gt;=VLOOKUP(56,main!$A$57:$I$59,4,FALSE)+VLOOKUP(VLOOKUP(AX$1,main!$A$3:$I$56,7,FALSE),main!$K$10:$Q$14,4,FALSE),1,0)</f>
        <v>0</v>
      </c>
      <c r="AY109">
        <f>IF(VLOOKUP(AY$1,main!$A$3:$I$56,5,FALSE)-VLOOKUP($A109,main!$A$3:$I$56,6,FALSE)&gt;=VLOOKUP(56,main!$A$57:$I$59,4,FALSE)+VLOOKUP(VLOOKUP(AY$1,main!$A$3:$I$56,7,FALSE),main!$K$10:$Q$14,4,FALSE),1,0)</f>
        <v>1</v>
      </c>
      <c r="AZ109">
        <f>IF(VLOOKUP(AZ$1,main!$A$3:$I$56,5,FALSE)-VLOOKUP($A109,main!$A$3:$I$56,6,FALSE)&gt;=VLOOKUP(56,main!$A$57:$I$59,4,FALSE)+VLOOKUP(VLOOKUP(AZ$1,main!$A$3:$I$56,7,FALSE),main!$K$10:$Q$14,4,FALSE),1,0)</f>
        <v>0</v>
      </c>
      <c r="BA109">
        <f>IF(VLOOKUP(BA$1,main!$A$3:$I$56,5,FALSE)-VLOOKUP($A109,main!$A$3:$I$56,6,FALSE)&gt;=VLOOKUP(56,main!$A$57:$I$59,4,FALSE)+VLOOKUP(VLOOKUP(BA$1,main!$A$3:$I$56,7,FALSE),main!$K$10:$Q$14,4,FALSE),1,0)</f>
        <v>0</v>
      </c>
      <c r="BB109">
        <f>IF(VLOOKUP(BB$1,main!$A$3:$I$56,5,FALSE)-VLOOKUP($A109,main!$A$3:$I$56,6,FALSE)&gt;=VLOOKUP(56,main!$A$57:$I$59,4,FALSE)+VLOOKUP(VLOOKUP(BB$1,main!$A$3:$I$56,7,FALSE),main!$K$10:$Q$14,4,FALSE),1,0)</f>
        <v>0</v>
      </c>
      <c r="BC109">
        <f>IF(VLOOKUP(BC$1,main!$A$3:$I$56,5,FALSE)-VLOOKUP($A109,main!$A$3:$I$56,6,FALSE)&gt;=VLOOKUP(56,main!$A$57:$I$59,4,FALSE)+VLOOKUP(VLOOKUP(BC$1,main!$A$3:$I$56,7,FALSE),main!$K$10:$Q$14,4,FALSE),1,0)</f>
        <v>0</v>
      </c>
      <c r="BD109">
        <f>IF(VLOOKUP(BD$1,main!$A$3:$I$56,5,FALSE)-VLOOKUP($A109,main!$A$3:$I$56,6,FALSE)&gt;=VLOOKUP(56,main!$A$57:$I$59,4,FALSE)+VLOOKUP(VLOOKUP(BD$1,main!$A$3:$I$56,7,FALSE),main!$K$10:$Q$14,4,FALSE),1,0)</f>
        <v>0</v>
      </c>
    </row>
    <row r="110" spans="1:56" x14ac:dyDescent="0.25">
      <c r="A110">
        <f t="shared" si="1"/>
        <v>53</v>
      </c>
      <c r="B110">
        <v>0</v>
      </c>
      <c r="C110">
        <f>IF(VLOOKUP(C$1,main!$A$3:$I$56,5,FALSE)-VLOOKUP($A110,main!$A$3:$I$56,6,FALSE)&gt;=VLOOKUP(56,main!$A$57:$I$59,4,FALSE)+VLOOKUP(VLOOKUP(C$1,main!$A$3:$I$56,7,FALSE),main!$K$10:$Q$14,4,FALSE),1,0)</f>
        <v>0</v>
      </c>
      <c r="D110">
        <f>IF(VLOOKUP(D$1,main!$A$3:$I$56,5,FALSE)-VLOOKUP($A110,main!$A$3:$I$56,6,FALSE)&gt;=VLOOKUP(56,main!$A$57:$I$59,4,FALSE)+VLOOKUP(VLOOKUP(D$1,main!$A$3:$I$56,7,FALSE),main!$K$10:$Q$14,4,FALSE),1,0)</f>
        <v>0</v>
      </c>
      <c r="E110">
        <f>IF(VLOOKUP(E$1,main!$A$3:$I$56,5,FALSE)-VLOOKUP($A110,main!$A$3:$I$56,6,FALSE)&gt;=VLOOKUP(56,main!$A$57:$I$59,4,FALSE)+VLOOKUP(VLOOKUP(E$1,main!$A$3:$I$56,7,FALSE),main!$K$10:$Q$14,4,FALSE),1,0)</f>
        <v>0</v>
      </c>
      <c r="F110">
        <f>IF(VLOOKUP(F$1,main!$A$3:$I$56,5,FALSE)-VLOOKUP($A110,main!$A$3:$I$56,6,FALSE)&gt;=VLOOKUP(56,main!$A$57:$I$59,4,FALSE)+VLOOKUP(VLOOKUP(F$1,main!$A$3:$I$56,7,FALSE),main!$K$10:$Q$14,4,FALSE),1,0)</f>
        <v>0</v>
      </c>
      <c r="G110">
        <f>IF(VLOOKUP(G$1,main!$A$3:$I$56,5,FALSE)-VLOOKUP($A110,main!$A$3:$I$56,6,FALSE)&gt;=VLOOKUP(56,main!$A$57:$I$59,4,FALSE)+VLOOKUP(VLOOKUP(G$1,main!$A$3:$I$56,7,FALSE),main!$K$10:$Q$14,4,FALSE),1,0)</f>
        <v>0</v>
      </c>
      <c r="H110">
        <f>IF(VLOOKUP(H$1,main!$A$3:$I$56,5,FALSE)-VLOOKUP($A110,main!$A$3:$I$56,6,FALSE)&gt;=VLOOKUP(56,main!$A$57:$I$59,4,FALSE)+VLOOKUP(VLOOKUP(H$1,main!$A$3:$I$56,7,FALSE),main!$K$10:$Q$14,4,FALSE),1,0)</f>
        <v>0</v>
      </c>
      <c r="I110">
        <f>IF(VLOOKUP(I$1,main!$A$3:$I$56,5,FALSE)-VLOOKUP($A110,main!$A$3:$I$56,6,FALSE)&gt;=VLOOKUP(56,main!$A$57:$I$59,4,FALSE)+VLOOKUP(VLOOKUP(I$1,main!$A$3:$I$56,7,FALSE),main!$K$10:$Q$14,4,FALSE),1,0)</f>
        <v>0</v>
      </c>
      <c r="J110">
        <f>IF(VLOOKUP(J$1,main!$A$3:$I$56,5,FALSE)-VLOOKUP($A110,main!$A$3:$I$56,6,FALSE)&gt;=VLOOKUP(56,main!$A$57:$I$59,4,FALSE)+VLOOKUP(VLOOKUP(J$1,main!$A$3:$I$56,7,FALSE),main!$K$10:$Q$14,4,FALSE),1,0)</f>
        <v>1</v>
      </c>
      <c r="K110">
        <f>IF(VLOOKUP(K$1,main!$A$3:$I$56,5,FALSE)-VLOOKUP($A110,main!$A$3:$I$56,6,FALSE)&gt;=VLOOKUP(56,main!$A$57:$I$59,4,FALSE)+VLOOKUP(VLOOKUP(K$1,main!$A$3:$I$56,7,FALSE),main!$K$10:$Q$14,4,FALSE),1,0)</f>
        <v>0</v>
      </c>
      <c r="L110">
        <f>IF(VLOOKUP(L$1,main!$A$3:$I$56,5,FALSE)-VLOOKUP($A110,main!$A$3:$I$56,6,FALSE)&gt;=VLOOKUP(56,main!$A$57:$I$59,4,FALSE)+VLOOKUP(VLOOKUP(L$1,main!$A$3:$I$56,7,FALSE),main!$K$10:$Q$14,4,FALSE),1,0)</f>
        <v>0</v>
      </c>
      <c r="M110">
        <f>IF(VLOOKUP(M$1,main!$A$3:$I$56,5,FALSE)-VLOOKUP($A110,main!$A$3:$I$56,6,FALSE)&gt;=VLOOKUP(56,main!$A$57:$I$59,4,FALSE)+VLOOKUP(VLOOKUP(M$1,main!$A$3:$I$56,7,FALSE),main!$K$10:$Q$14,4,FALSE),1,0)</f>
        <v>0</v>
      </c>
      <c r="N110">
        <f>IF(VLOOKUP(N$1,main!$A$3:$I$56,5,FALSE)-VLOOKUP($A110,main!$A$3:$I$56,6,FALSE)&gt;=VLOOKUP(56,main!$A$57:$I$59,4,FALSE)+VLOOKUP(VLOOKUP(N$1,main!$A$3:$I$56,7,FALSE),main!$K$10:$Q$14,4,FALSE),1,0)</f>
        <v>0</v>
      </c>
      <c r="O110">
        <f>IF(VLOOKUP(O$1,main!$A$3:$I$56,5,FALSE)-VLOOKUP($A110,main!$A$3:$I$56,6,FALSE)&gt;=VLOOKUP(56,main!$A$57:$I$59,4,FALSE)+VLOOKUP(VLOOKUP(O$1,main!$A$3:$I$56,7,FALSE),main!$K$10:$Q$14,4,FALSE),1,0)</f>
        <v>1</v>
      </c>
      <c r="P110">
        <f>IF(VLOOKUP(P$1,main!$A$3:$I$56,5,FALSE)-VLOOKUP($A110,main!$A$3:$I$56,6,FALSE)&gt;=VLOOKUP(56,main!$A$57:$I$59,4,FALSE)+VLOOKUP(VLOOKUP(P$1,main!$A$3:$I$56,7,FALSE),main!$K$10:$Q$14,4,FALSE),1,0)</f>
        <v>0</v>
      </c>
      <c r="Q110">
        <f>IF(VLOOKUP(Q$1,main!$A$3:$I$56,5,FALSE)-VLOOKUP($A110,main!$A$3:$I$56,6,FALSE)&gt;=VLOOKUP(56,main!$A$57:$I$59,4,FALSE)+VLOOKUP(VLOOKUP(Q$1,main!$A$3:$I$56,7,FALSE),main!$K$10:$Q$14,4,FALSE),1,0)</f>
        <v>0</v>
      </c>
      <c r="R110">
        <f>IF(VLOOKUP(R$1,main!$A$3:$I$56,5,FALSE)-VLOOKUP($A110,main!$A$3:$I$56,6,FALSE)&gt;=VLOOKUP(56,main!$A$57:$I$59,4,FALSE)+VLOOKUP(VLOOKUP(R$1,main!$A$3:$I$56,7,FALSE),main!$K$10:$Q$14,4,FALSE),1,0)</f>
        <v>0</v>
      </c>
      <c r="S110">
        <f>IF(VLOOKUP(S$1,main!$A$3:$I$56,5,FALSE)-VLOOKUP($A110,main!$A$3:$I$56,6,FALSE)&gt;=VLOOKUP(56,main!$A$57:$I$59,4,FALSE)+VLOOKUP(VLOOKUP(S$1,main!$A$3:$I$56,7,FALSE),main!$K$10:$Q$14,4,FALSE),1,0)</f>
        <v>0</v>
      </c>
      <c r="T110">
        <f>IF(VLOOKUP(T$1,main!$A$3:$I$56,5,FALSE)-VLOOKUP($A110,main!$A$3:$I$56,6,FALSE)&gt;=VLOOKUP(56,main!$A$57:$I$59,4,FALSE)+VLOOKUP(VLOOKUP(T$1,main!$A$3:$I$56,7,FALSE),main!$K$10:$Q$14,4,FALSE),1,0)</f>
        <v>0</v>
      </c>
      <c r="U110">
        <f>IF(VLOOKUP(U$1,main!$A$3:$I$56,5,FALSE)-VLOOKUP($A110,main!$A$3:$I$56,6,FALSE)&gt;=VLOOKUP(56,main!$A$57:$I$59,4,FALSE)+VLOOKUP(VLOOKUP(U$1,main!$A$3:$I$56,7,FALSE),main!$K$10:$Q$14,4,FALSE),1,0)</f>
        <v>0</v>
      </c>
      <c r="V110">
        <f>IF(VLOOKUP(V$1,main!$A$3:$I$56,5,FALSE)-VLOOKUP($A110,main!$A$3:$I$56,6,FALSE)&gt;=VLOOKUP(56,main!$A$57:$I$59,4,FALSE)+VLOOKUP(VLOOKUP(V$1,main!$A$3:$I$56,7,FALSE),main!$K$10:$Q$14,4,FALSE),1,0)</f>
        <v>0</v>
      </c>
      <c r="W110">
        <f>IF(VLOOKUP(W$1,main!$A$3:$I$56,5,FALSE)-VLOOKUP($A110,main!$A$3:$I$56,6,FALSE)&gt;=VLOOKUP(56,main!$A$57:$I$59,4,FALSE)+VLOOKUP(VLOOKUP(W$1,main!$A$3:$I$56,7,FALSE),main!$K$10:$Q$14,4,FALSE),1,0)</f>
        <v>0</v>
      </c>
      <c r="X110">
        <f>IF(VLOOKUP(X$1,main!$A$3:$I$56,5,FALSE)-VLOOKUP($A110,main!$A$3:$I$56,6,FALSE)&gt;=VLOOKUP(56,main!$A$57:$I$59,4,FALSE)+VLOOKUP(VLOOKUP(X$1,main!$A$3:$I$56,7,FALSE),main!$K$10:$Q$14,4,FALSE),1,0)</f>
        <v>0</v>
      </c>
      <c r="Y110">
        <f>IF(VLOOKUP(Y$1,main!$A$3:$I$56,5,FALSE)-VLOOKUP($A110,main!$A$3:$I$56,6,FALSE)&gt;=VLOOKUP(56,main!$A$57:$I$59,4,FALSE)+VLOOKUP(VLOOKUP(Y$1,main!$A$3:$I$56,7,FALSE),main!$K$10:$Q$14,4,FALSE),1,0)</f>
        <v>0</v>
      </c>
      <c r="Z110">
        <f>IF(VLOOKUP(Z$1,main!$A$3:$I$56,5,FALSE)-VLOOKUP($A110,main!$A$3:$I$56,6,FALSE)&gt;=VLOOKUP(56,main!$A$57:$I$59,4,FALSE)+VLOOKUP(VLOOKUP(Z$1,main!$A$3:$I$56,7,FALSE),main!$K$10:$Q$14,4,FALSE),1,0)</f>
        <v>0</v>
      </c>
      <c r="AA110">
        <f>IF(VLOOKUP(AA$1,main!$A$3:$I$56,5,FALSE)-VLOOKUP($A110,main!$A$3:$I$56,6,FALSE)&gt;=VLOOKUP(56,main!$A$57:$I$59,4,FALSE)+VLOOKUP(VLOOKUP(AA$1,main!$A$3:$I$56,7,FALSE),main!$K$10:$Q$14,4,FALSE),1,0)</f>
        <v>0</v>
      </c>
      <c r="AB110">
        <f>IF(VLOOKUP(AB$1,main!$A$3:$I$56,5,FALSE)-VLOOKUP($A110,main!$A$3:$I$56,6,FALSE)&gt;=VLOOKUP(56,main!$A$57:$I$59,4,FALSE)+VLOOKUP(VLOOKUP(AB$1,main!$A$3:$I$56,7,FALSE),main!$K$10:$Q$14,4,FALSE),1,0)</f>
        <v>0</v>
      </c>
      <c r="AC110">
        <f>IF(VLOOKUP(AC$1,main!$A$3:$I$56,5,FALSE)-VLOOKUP($A110,main!$A$3:$I$56,6,FALSE)&gt;=VLOOKUP(56,main!$A$57:$I$59,4,FALSE)+VLOOKUP(VLOOKUP(AC$1,main!$A$3:$I$56,7,FALSE),main!$K$10:$Q$14,4,FALSE),1,0)</f>
        <v>0</v>
      </c>
      <c r="AD110">
        <f>IF(VLOOKUP(AD$1,main!$A$3:$I$56,5,FALSE)-VLOOKUP($A110,main!$A$3:$I$56,6,FALSE)&gt;=VLOOKUP(56,main!$A$57:$I$59,4,FALSE)+VLOOKUP(VLOOKUP(AD$1,main!$A$3:$I$56,7,FALSE),main!$K$10:$Q$14,4,FALSE),1,0)</f>
        <v>0</v>
      </c>
      <c r="AE110">
        <f>IF(VLOOKUP(AE$1,main!$A$3:$I$56,5,FALSE)-VLOOKUP($A110,main!$A$3:$I$56,6,FALSE)&gt;=VLOOKUP(56,main!$A$57:$I$59,4,FALSE)+VLOOKUP(VLOOKUP(AE$1,main!$A$3:$I$56,7,FALSE),main!$K$10:$Q$14,4,FALSE),1,0)</f>
        <v>0</v>
      </c>
      <c r="AF110">
        <f>IF(VLOOKUP(AF$1,main!$A$3:$I$56,5,FALSE)-VLOOKUP($A110,main!$A$3:$I$56,6,FALSE)&gt;=VLOOKUP(56,main!$A$57:$I$59,4,FALSE)+VLOOKUP(VLOOKUP(AF$1,main!$A$3:$I$56,7,FALSE),main!$K$10:$Q$14,4,FALSE),1,0)</f>
        <v>0</v>
      </c>
      <c r="AG110">
        <f>IF(VLOOKUP(AG$1,main!$A$3:$I$56,5,FALSE)-VLOOKUP($A110,main!$A$3:$I$56,6,FALSE)&gt;=VLOOKUP(56,main!$A$57:$I$59,4,FALSE)+VLOOKUP(VLOOKUP(AG$1,main!$A$3:$I$56,7,FALSE),main!$K$10:$Q$14,4,FALSE),1,0)</f>
        <v>0</v>
      </c>
      <c r="AH110">
        <f>IF(VLOOKUP(AH$1,main!$A$3:$I$56,5,FALSE)-VLOOKUP($A110,main!$A$3:$I$56,6,FALSE)&gt;=VLOOKUP(56,main!$A$57:$I$59,4,FALSE)+VLOOKUP(VLOOKUP(AH$1,main!$A$3:$I$56,7,FALSE),main!$K$10:$Q$14,4,FALSE),1,0)</f>
        <v>0</v>
      </c>
      <c r="AI110">
        <f>IF(VLOOKUP(AI$1,main!$A$3:$I$56,5,FALSE)-VLOOKUP($A110,main!$A$3:$I$56,6,FALSE)&gt;=VLOOKUP(56,main!$A$57:$I$59,4,FALSE)+VLOOKUP(VLOOKUP(AI$1,main!$A$3:$I$56,7,FALSE),main!$K$10:$Q$14,4,FALSE),1,0)</f>
        <v>0</v>
      </c>
      <c r="AJ110">
        <f>IF(VLOOKUP(AJ$1,main!$A$3:$I$56,5,FALSE)-VLOOKUP($A110,main!$A$3:$I$56,6,FALSE)&gt;=VLOOKUP(56,main!$A$57:$I$59,4,FALSE)+VLOOKUP(VLOOKUP(AJ$1,main!$A$3:$I$56,7,FALSE),main!$K$10:$Q$14,4,FALSE),1,0)</f>
        <v>0</v>
      </c>
      <c r="AK110">
        <f>IF(VLOOKUP(AK$1,main!$A$3:$I$56,5,FALSE)-VLOOKUP($A110,main!$A$3:$I$56,6,FALSE)&gt;=VLOOKUP(56,main!$A$57:$I$59,4,FALSE)+VLOOKUP(VLOOKUP(AK$1,main!$A$3:$I$56,7,FALSE),main!$K$10:$Q$14,4,FALSE),1,0)</f>
        <v>0</v>
      </c>
      <c r="AL110">
        <f>IF(VLOOKUP(AL$1,main!$A$3:$I$56,5,FALSE)-VLOOKUP($A110,main!$A$3:$I$56,6,FALSE)&gt;=VLOOKUP(56,main!$A$57:$I$59,4,FALSE)+VLOOKUP(VLOOKUP(AL$1,main!$A$3:$I$56,7,FALSE),main!$K$10:$Q$14,4,FALSE),1,0)</f>
        <v>0</v>
      </c>
      <c r="AM110">
        <f>IF(VLOOKUP(AM$1,main!$A$3:$I$56,5,FALSE)-VLOOKUP($A110,main!$A$3:$I$56,6,FALSE)&gt;=VLOOKUP(56,main!$A$57:$I$59,4,FALSE)+VLOOKUP(VLOOKUP(AM$1,main!$A$3:$I$56,7,FALSE),main!$K$10:$Q$14,4,FALSE),1,0)</f>
        <v>0</v>
      </c>
      <c r="AN110">
        <f>IF(VLOOKUP(AN$1,main!$A$3:$I$56,5,FALSE)-VLOOKUP($A110,main!$A$3:$I$56,6,FALSE)&gt;=VLOOKUP(56,main!$A$57:$I$59,4,FALSE)+VLOOKUP(VLOOKUP(AN$1,main!$A$3:$I$56,7,FALSE),main!$K$10:$Q$14,4,FALSE),1,0)</f>
        <v>0</v>
      </c>
      <c r="AO110">
        <f>IF(VLOOKUP(AO$1,main!$A$3:$I$56,5,FALSE)-VLOOKUP($A110,main!$A$3:$I$56,6,FALSE)&gt;=VLOOKUP(56,main!$A$57:$I$59,4,FALSE)+VLOOKUP(VLOOKUP(AO$1,main!$A$3:$I$56,7,FALSE),main!$K$10:$Q$14,4,FALSE),1,0)</f>
        <v>0</v>
      </c>
      <c r="AP110">
        <f>IF(VLOOKUP(AP$1,main!$A$3:$I$56,5,FALSE)-VLOOKUP($A110,main!$A$3:$I$56,6,FALSE)&gt;=VLOOKUP(56,main!$A$57:$I$59,4,FALSE)+VLOOKUP(VLOOKUP(AP$1,main!$A$3:$I$56,7,FALSE),main!$K$10:$Q$14,4,FALSE),1,0)</f>
        <v>0</v>
      </c>
      <c r="AQ110">
        <f>IF(VLOOKUP(AQ$1,main!$A$3:$I$56,5,FALSE)-VLOOKUP($A110,main!$A$3:$I$56,6,FALSE)&gt;=VLOOKUP(56,main!$A$57:$I$59,4,FALSE)+VLOOKUP(VLOOKUP(AQ$1,main!$A$3:$I$56,7,FALSE),main!$K$10:$Q$14,4,FALSE),1,0)</f>
        <v>0</v>
      </c>
      <c r="AR110">
        <f>IF(VLOOKUP(AR$1,main!$A$3:$I$56,5,FALSE)-VLOOKUP($A110,main!$A$3:$I$56,6,FALSE)&gt;=VLOOKUP(56,main!$A$57:$I$59,4,FALSE)+VLOOKUP(VLOOKUP(AR$1,main!$A$3:$I$56,7,FALSE),main!$K$10:$Q$14,4,FALSE),1,0)</f>
        <v>0</v>
      </c>
      <c r="AS110">
        <f>IF(VLOOKUP(AS$1,main!$A$3:$I$56,5,FALSE)-VLOOKUP($A110,main!$A$3:$I$56,6,FALSE)&gt;=VLOOKUP(56,main!$A$57:$I$59,4,FALSE)+VLOOKUP(VLOOKUP(AS$1,main!$A$3:$I$56,7,FALSE),main!$K$10:$Q$14,4,FALSE),1,0)</f>
        <v>0</v>
      </c>
      <c r="AT110">
        <f>IF(VLOOKUP(AT$1,main!$A$3:$I$56,5,FALSE)-VLOOKUP($A110,main!$A$3:$I$56,6,FALSE)&gt;=VLOOKUP(56,main!$A$57:$I$59,4,FALSE)+VLOOKUP(VLOOKUP(AT$1,main!$A$3:$I$56,7,FALSE),main!$K$10:$Q$14,4,FALSE),1,0)</f>
        <v>0</v>
      </c>
      <c r="AU110">
        <f>IF(VLOOKUP(AU$1,main!$A$3:$I$56,5,FALSE)-VLOOKUP($A110,main!$A$3:$I$56,6,FALSE)&gt;=VLOOKUP(56,main!$A$57:$I$59,4,FALSE)+VLOOKUP(VLOOKUP(AU$1,main!$A$3:$I$56,7,FALSE),main!$K$10:$Q$14,4,FALSE),1,0)</f>
        <v>0</v>
      </c>
      <c r="AV110">
        <f>IF(VLOOKUP(AV$1,main!$A$3:$I$56,5,FALSE)-VLOOKUP($A110,main!$A$3:$I$56,6,FALSE)&gt;=VLOOKUP(56,main!$A$57:$I$59,4,FALSE)+VLOOKUP(VLOOKUP(AV$1,main!$A$3:$I$56,7,FALSE),main!$K$10:$Q$14,4,FALSE),1,0)</f>
        <v>0</v>
      </c>
      <c r="AW110">
        <f>IF(VLOOKUP(AW$1,main!$A$3:$I$56,5,FALSE)-VLOOKUP($A110,main!$A$3:$I$56,6,FALSE)&gt;=VLOOKUP(56,main!$A$57:$I$59,4,FALSE)+VLOOKUP(VLOOKUP(AW$1,main!$A$3:$I$56,7,FALSE),main!$K$10:$Q$14,4,FALSE),1,0)</f>
        <v>0</v>
      </c>
      <c r="AX110">
        <f>IF(VLOOKUP(AX$1,main!$A$3:$I$56,5,FALSE)-VLOOKUP($A110,main!$A$3:$I$56,6,FALSE)&gt;=VLOOKUP(56,main!$A$57:$I$59,4,FALSE)+VLOOKUP(VLOOKUP(AX$1,main!$A$3:$I$56,7,FALSE),main!$K$10:$Q$14,4,FALSE),1,0)</f>
        <v>0</v>
      </c>
      <c r="AY110">
        <f>IF(VLOOKUP(AY$1,main!$A$3:$I$56,5,FALSE)-VLOOKUP($A110,main!$A$3:$I$56,6,FALSE)&gt;=VLOOKUP(56,main!$A$57:$I$59,4,FALSE)+VLOOKUP(VLOOKUP(AY$1,main!$A$3:$I$56,7,FALSE),main!$K$10:$Q$14,4,FALSE),1,0)</f>
        <v>0</v>
      </c>
      <c r="AZ110">
        <f>IF(VLOOKUP(AZ$1,main!$A$3:$I$56,5,FALSE)-VLOOKUP($A110,main!$A$3:$I$56,6,FALSE)&gt;=VLOOKUP(56,main!$A$57:$I$59,4,FALSE)+VLOOKUP(VLOOKUP(AZ$1,main!$A$3:$I$56,7,FALSE),main!$K$10:$Q$14,4,FALSE),1,0)</f>
        <v>0</v>
      </c>
      <c r="BA110">
        <f>IF(VLOOKUP(BA$1,main!$A$3:$I$56,5,FALSE)-VLOOKUP($A110,main!$A$3:$I$56,6,FALSE)&gt;=VLOOKUP(56,main!$A$57:$I$59,4,FALSE)+VLOOKUP(VLOOKUP(BA$1,main!$A$3:$I$56,7,FALSE),main!$K$10:$Q$14,4,FALSE),1,0)</f>
        <v>0</v>
      </c>
      <c r="BB110">
        <f>IF(VLOOKUP(BB$1,main!$A$3:$I$56,5,FALSE)-VLOOKUP($A110,main!$A$3:$I$56,6,FALSE)&gt;=VLOOKUP(56,main!$A$57:$I$59,4,FALSE)+VLOOKUP(VLOOKUP(BB$1,main!$A$3:$I$56,7,FALSE),main!$K$10:$Q$14,4,FALSE),1,0)</f>
        <v>0</v>
      </c>
      <c r="BC110">
        <f>IF(VLOOKUP(BC$1,main!$A$3:$I$56,5,FALSE)-VLOOKUP($A110,main!$A$3:$I$56,6,FALSE)&gt;=VLOOKUP(56,main!$A$57:$I$59,4,FALSE)+VLOOKUP(VLOOKUP(BC$1,main!$A$3:$I$56,7,FALSE),main!$K$10:$Q$14,4,FALSE),1,0)</f>
        <v>0</v>
      </c>
      <c r="BD110">
        <f>IF(VLOOKUP(BD$1,main!$A$3:$I$56,5,FALSE)-VLOOKUP($A110,main!$A$3:$I$56,6,FALSE)&gt;=VLOOKUP(56,main!$A$57:$I$59,4,FALSE)+VLOOKUP(VLOOKUP(BD$1,main!$A$3:$I$56,7,FALSE),main!$K$10:$Q$14,4,FALSE),1,0)</f>
        <v>0</v>
      </c>
    </row>
    <row r="111" spans="1:56" x14ac:dyDescent="0.25">
      <c r="A111">
        <f t="shared" si="1"/>
        <v>54</v>
      </c>
      <c r="B111">
        <v>0</v>
      </c>
      <c r="C111">
        <f>IF(VLOOKUP(C$1,main!$A$3:$I$56,5,FALSE)-VLOOKUP($A111,main!$A$3:$I$56,6,FALSE)&gt;=VLOOKUP(56,main!$A$57:$I$59,4,FALSE)+VLOOKUP(VLOOKUP(C$1,main!$A$3:$I$56,7,FALSE),main!$K$10:$Q$14,4,FALSE),1,0)</f>
        <v>0</v>
      </c>
      <c r="D111">
        <f>IF(VLOOKUP(D$1,main!$A$3:$I$56,5,FALSE)-VLOOKUP($A111,main!$A$3:$I$56,6,FALSE)&gt;=VLOOKUP(56,main!$A$57:$I$59,4,FALSE)+VLOOKUP(VLOOKUP(D$1,main!$A$3:$I$56,7,FALSE),main!$K$10:$Q$14,4,FALSE),1,0)</f>
        <v>0</v>
      </c>
      <c r="E111">
        <f>IF(VLOOKUP(E$1,main!$A$3:$I$56,5,FALSE)-VLOOKUP($A111,main!$A$3:$I$56,6,FALSE)&gt;=VLOOKUP(56,main!$A$57:$I$59,4,FALSE)+VLOOKUP(VLOOKUP(E$1,main!$A$3:$I$56,7,FALSE),main!$K$10:$Q$14,4,FALSE),1,0)</f>
        <v>0</v>
      </c>
      <c r="F111">
        <f>IF(VLOOKUP(F$1,main!$A$3:$I$56,5,FALSE)-VLOOKUP($A111,main!$A$3:$I$56,6,FALSE)&gt;=VLOOKUP(56,main!$A$57:$I$59,4,FALSE)+VLOOKUP(VLOOKUP(F$1,main!$A$3:$I$56,7,FALSE),main!$K$10:$Q$14,4,FALSE),1,0)</f>
        <v>0</v>
      </c>
      <c r="G111">
        <f>IF(VLOOKUP(G$1,main!$A$3:$I$56,5,FALSE)-VLOOKUP($A111,main!$A$3:$I$56,6,FALSE)&gt;=VLOOKUP(56,main!$A$57:$I$59,4,FALSE)+VLOOKUP(VLOOKUP(G$1,main!$A$3:$I$56,7,FALSE),main!$K$10:$Q$14,4,FALSE),1,0)</f>
        <v>0</v>
      </c>
      <c r="H111">
        <f>IF(VLOOKUP(H$1,main!$A$3:$I$56,5,FALSE)-VLOOKUP($A111,main!$A$3:$I$56,6,FALSE)&gt;=VLOOKUP(56,main!$A$57:$I$59,4,FALSE)+VLOOKUP(VLOOKUP(H$1,main!$A$3:$I$56,7,FALSE),main!$K$10:$Q$14,4,FALSE),1,0)</f>
        <v>0</v>
      </c>
      <c r="I111">
        <f>IF(VLOOKUP(I$1,main!$A$3:$I$56,5,FALSE)-VLOOKUP($A111,main!$A$3:$I$56,6,FALSE)&gt;=VLOOKUP(56,main!$A$57:$I$59,4,FALSE)+VLOOKUP(VLOOKUP(I$1,main!$A$3:$I$56,7,FALSE),main!$K$10:$Q$14,4,FALSE),1,0)</f>
        <v>0</v>
      </c>
      <c r="J111">
        <f>IF(VLOOKUP(J$1,main!$A$3:$I$56,5,FALSE)-VLOOKUP($A111,main!$A$3:$I$56,6,FALSE)&gt;=VLOOKUP(56,main!$A$57:$I$59,4,FALSE)+VLOOKUP(VLOOKUP(J$1,main!$A$3:$I$56,7,FALSE),main!$K$10:$Q$14,4,FALSE),1,0)</f>
        <v>1</v>
      </c>
      <c r="K111">
        <f>IF(VLOOKUP(K$1,main!$A$3:$I$56,5,FALSE)-VLOOKUP($A111,main!$A$3:$I$56,6,FALSE)&gt;=VLOOKUP(56,main!$A$57:$I$59,4,FALSE)+VLOOKUP(VLOOKUP(K$1,main!$A$3:$I$56,7,FALSE),main!$K$10:$Q$14,4,FALSE),1,0)</f>
        <v>0</v>
      </c>
      <c r="L111">
        <f>IF(VLOOKUP(L$1,main!$A$3:$I$56,5,FALSE)-VLOOKUP($A111,main!$A$3:$I$56,6,FALSE)&gt;=VLOOKUP(56,main!$A$57:$I$59,4,FALSE)+VLOOKUP(VLOOKUP(L$1,main!$A$3:$I$56,7,FALSE),main!$K$10:$Q$14,4,FALSE),1,0)</f>
        <v>0</v>
      </c>
      <c r="M111">
        <f>IF(VLOOKUP(M$1,main!$A$3:$I$56,5,FALSE)-VLOOKUP($A111,main!$A$3:$I$56,6,FALSE)&gt;=VLOOKUP(56,main!$A$57:$I$59,4,FALSE)+VLOOKUP(VLOOKUP(M$1,main!$A$3:$I$56,7,FALSE),main!$K$10:$Q$14,4,FALSE),1,0)</f>
        <v>0</v>
      </c>
      <c r="N111">
        <f>IF(VLOOKUP(N$1,main!$A$3:$I$56,5,FALSE)-VLOOKUP($A111,main!$A$3:$I$56,6,FALSE)&gt;=VLOOKUP(56,main!$A$57:$I$59,4,FALSE)+VLOOKUP(VLOOKUP(N$1,main!$A$3:$I$56,7,FALSE),main!$K$10:$Q$14,4,FALSE),1,0)</f>
        <v>0</v>
      </c>
      <c r="O111">
        <f>IF(VLOOKUP(O$1,main!$A$3:$I$56,5,FALSE)-VLOOKUP($A111,main!$A$3:$I$56,6,FALSE)&gt;=VLOOKUP(56,main!$A$57:$I$59,4,FALSE)+VLOOKUP(VLOOKUP(O$1,main!$A$3:$I$56,7,FALSE),main!$K$10:$Q$14,4,FALSE),1,0)</f>
        <v>1</v>
      </c>
      <c r="P111">
        <f>IF(VLOOKUP(P$1,main!$A$3:$I$56,5,FALSE)-VLOOKUP($A111,main!$A$3:$I$56,6,FALSE)&gt;=VLOOKUP(56,main!$A$57:$I$59,4,FALSE)+VLOOKUP(VLOOKUP(P$1,main!$A$3:$I$56,7,FALSE),main!$K$10:$Q$14,4,FALSE),1,0)</f>
        <v>0</v>
      </c>
      <c r="Q111">
        <f>IF(VLOOKUP(Q$1,main!$A$3:$I$56,5,FALSE)-VLOOKUP($A111,main!$A$3:$I$56,6,FALSE)&gt;=VLOOKUP(56,main!$A$57:$I$59,4,FALSE)+VLOOKUP(VLOOKUP(Q$1,main!$A$3:$I$56,7,FALSE),main!$K$10:$Q$14,4,FALSE),1,0)</f>
        <v>0</v>
      </c>
      <c r="R111">
        <f>IF(VLOOKUP(R$1,main!$A$3:$I$56,5,FALSE)-VLOOKUP($A111,main!$A$3:$I$56,6,FALSE)&gt;=VLOOKUP(56,main!$A$57:$I$59,4,FALSE)+VLOOKUP(VLOOKUP(R$1,main!$A$3:$I$56,7,FALSE),main!$K$10:$Q$14,4,FALSE),1,0)</f>
        <v>0</v>
      </c>
      <c r="S111">
        <f>IF(VLOOKUP(S$1,main!$A$3:$I$56,5,FALSE)-VLOOKUP($A111,main!$A$3:$I$56,6,FALSE)&gt;=VLOOKUP(56,main!$A$57:$I$59,4,FALSE)+VLOOKUP(VLOOKUP(S$1,main!$A$3:$I$56,7,FALSE),main!$K$10:$Q$14,4,FALSE),1,0)</f>
        <v>0</v>
      </c>
      <c r="T111">
        <f>IF(VLOOKUP(T$1,main!$A$3:$I$56,5,FALSE)-VLOOKUP($A111,main!$A$3:$I$56,6,FALSE)&gt;=VLOOKUP(56,main!$A$57:$I$59,4,FALSE)+VLOOKUP(VLOOKUP(T$1,main!$A$3:$I$56,7,FALSE),main!$K$10:$Q$14,4,FALSE),1,0)</f>
        <v>0</v>
      </c>
      <c r="U111">
        <f>IF(VLOOKUP(U$1,main!$A$3:$I$56,5,FALSE)-VLOOKUP($A111,main!$A$3:$I$56,6,FALSE)&gt;=VLOOKUP(56,main!$A$57:$I$59,4,FALSE)+VLOOKUP(VLOOKUP(U$1,main!$A$3:$I$56,7,FALSE),main!$K$10:$Q$14,4,FALSE),1,0)</f>
        <v>0</v>
      </c>
      <c r="V111">
        <f>IF(VLOOKUP(V$1,main!$A$3:$I$56,5,FALSE)-VLOOKUP($A111,main!$A$3:$I$56,6,FALSE)&gt;=VLOOKUP(56,main!$A$57:$I$59,4,FALSE)+VLOOKUP(VLOOKUP(V$1,main!$A$3:$I$56,7,FALSE),main!$K$10:$Q$14,4,FALSE),1,0)</f>
        <v>0</v>
      </c>
      <c r="W111">
        <f>IF(VLOOKUP(W$1,main!$A$3:$I$56,5,FALSE)-VLOOKUP($A111,main!$A$3:$I$56,6,FALSE)&gt;=VLOOKUP(56,main!$A$57:$I$59,4,FALSE)+VLOOKUP(VLOOKUP(W$1,main!$A$3:$I$56,7,FALSE),main!$K$10:$Q$14,4,FALSE),1,0)</f>
        <v>0</v>
      </c>
      <c r="X111">
        <f>IF(VLOOKUP(X$1,main!$A$3:$I$56,5,FALSE)-VLOOKUP($A111,main!$A$3:$I$56,6,FALSE)&gt;=VLOOKUP(56,main!$A$57:$I$59,4,FALSE)+VLOOKUP(VLOOKUP(X$1,main!$A$3:$I$56,7,FALSE),main!$K$10:$Q$14,4,FALSE),1,0)</f>
        <v>0</v>
      </c>
      <c r="Y111">
        <f>IF(VLOOKUP(Y$1,main!$A$3:$I$56,5,FALSE)-VLOOKUP($A111,main!$A$3:$I$56,6,FALSE)&gt;=VLOOKUP(56,main!$A$57:$I$59,4,FALSE)+VLOOKUP(VLOOKUP(Y$1,main!$A$3:$I$56,7,FALSE),main!$K$10:$Q$14,4,FALSE),1,0)</f>
        <v>0</v>
      </c>
      <c r="Z111">
        <f>IF(VLOOKUP(Z$1,main!$A$3:$I$56,5,FALSE)-VLOOKUP($A111,main!$A$3:$I$56,6,FALSE)&gt;=VLOOKUP(56,main!$A$57:$I$59,4,FALSE)+VLOOKUP(VLOOKUP(Z$1,main!$A$3:$I$56,7,FALSE),main!$K$10:$Q$14,4,FALSE),1,0)</f>
        <v>0</v>
      </c>
      <c r="AA111">
        <f>IF(VLOOKUP(AA$1,main!$A$3:$I$56,5,FALSE)-VLOOKUP($A111,main!$A$3:$I$56,6,FALSE)&gt;=VLOOKUP(56,main!$A$57:$I$59,4,FALSE)+VLOOKUP(VLOOKUP(AA$1,main!$A$3:$I$56,7,FALSE),main!$K$10:$Q$14,4,FALSE),1,0)</f>
        <v>0</v>
      </c>
      <c r="AB111">
        <f>IF(VLOOKUP(AB$1,main!$A$3:$I$56,5,FALSE)-VLOOKUP($A111,main!$A$3:$I$56,6,FALSE)&gt;=VLOOKUP(56,main!$A$57:$I$59,4,FALSE)+VLOOKUP(VLOOKUP(AB$1,main!$A$3:$I$56,7,FALSE),main!$K$10:$Q$14,4,FALSE),1,0)</f>
        <v>0</v>
      </c>
      <c r="AC111">
        <f>IF(VLOOKUP(AC$1,main!$A$3:$I$56,5,FALSE)-VLOOKUP($A111,main!$A$3:$I$56,6,FALSE)&gt;=VLOOKUP(56,main!$A$57:$I$59,4,FALSE)+VLOOKUP(VLOOKUP(AC$1,main!$A$3:$I$56,7,FALSE),main!$K$10:$Q$14,4,FALSE),1,0)</f>
        <v>0</v>
      </c>
      <c r="AD111">
        <f>IF(VLOOKUP(AD$1,main!$A$3:$I$56,5,FALSE)-VLOOKUP($A111,main!$A$3:$I$56,6,FALSE)&gt;=VLOOKUP(56,main!$A$57:$I$59,4,FALSE)+VLOOKUP(VLOOKUP(AD$1,main!$A$3:$I$56,7,FALSE),main!$K$10:$Q$14,4,FALSE),1,0)</f>
        <v>0</v>
      </c>
      <c r="AE111">
        <f>IF(VLOOKUP(AE$1,main!$A$3:$I$56,5,FALSE)-VLOOKUP($A111,main!$A$3:$I$56,6,FALSE)&gt;=VLOOKUP(56,main!$A$57:$I$59,4,FALSE)+VLOOKUP(VLOOKUP(AE$1,main!$A$3:$I$56,7,FALSE),main!$K$10:$Q$14,4,FALSE),1,0)</f>
        <v>0</v>
      </c>
      <c r="AF111">
        <f>IF(VLOOKUP(AF$1,main!$A$3:$I$56,5,FALSE)-VLOOKUP($A111,main!$A$3:$I$56,6,FALSE)&gt;=VLOOKUP(56,main!$A$57:$I$59,4,FALSE)+VLOOKUP(VLOOKUP(AF$1,main!$A$3:$I$56,7,FALSE),main!$K$10:$Q$14,4,FALSE),1,0)</f>
        <v>0</v>
      </c>
      <c r="AG111">
        <f>IF(VLOOKUP(AG$1,main!$A$3:$I$56,5,FALSE)-VLOOKUP($A111,main!$A$3:$I$56,6,FALSE)&gt;=VLOOKUP(56,main!$A$57:$I$59,4,FALSE)+VLOOKUP(VLOOKUP(AG$1,main!$A$3:$I$56,7,FALSE),main!$K$10:$Q$14,4,FALSE),1,0)</f>
        <v>0</v>
      </c>
      <c r="AH111">
        <f>IF(VLOOKUP(AH$1,main!$A$3:$I$56,5,FALSE)-VLOOKUP($A111,main!$A$3:$I$56,6,FALSE)&gt;=VLOOKUP(56,main!$A$57:$I$59,4,FALSE)+VLOOKUP(VLOOKUP(AH$1,main!$A$3:$I$56,7,FALSE),main!$K$10:$Q$14,4,FALSE),1,0)</f>
        <v>0</v>
      </c>
      <c r="AI111">
        <f>IF(VLOOKUP(AI$1,main!$A$3:$I$56,5,FALSE)-VLOOKUP($A111,main!$A$3:$I$56,6,FALSE)&gt;=VLOOKUP(56,main!$A$57:$I$59,4,FALSE)+VLOOKUP(VLOOKUP(AI$1,main!$A$3:$I$56,7,FALSE),main!$K$10:$Q$14,4,FALSE),1,0)</f>
        <v>0</v>
      </c>
      <c r="AJ111">
        <f>IF(VLOOKUP(AJ$1,main!$A$3:$I$56,5,FALSE)-VLOOKUP($A111,main!$A$3:$I$56,6,FALSE)&gt;=VLOOKUP(56,main!$A$57:$I$59,4,FALSE)+VLOOKUP(VLOOKUP(AJ$1,main!$A$3:$I$56,7,FALSE),main!$K$10:$Q$14,4,FALSE),1,0)</f>
        <v>0</v>
      </c>
      <c r="AK111">
        <f>IF(VLOOKUP(AK$1,main!$A$3:$I$56,5,FALSE)-VLOOKUP($A111,main!$A$3:$I$56,6,FALSE)&gt;=VLOOKUP(56,main!$A$57:$I$59,4,FALSE)+VLOOKUP(VLOOKUP(AK$1,main!$A$3:$I$56,7,FALSE),main!$K$10:$Q$14,4,FALSE),1,0)</f>
        <v>0</v>
      </c>
      <c r="AL111">
        <f>IF(VLOOKUP(AL$1,main!$A$3:$I$56,5,FALSE)-VLOOKUP($A111,main!$A$3:$I$56,6,FALSE)&gt;=VLOOKUP(56,main!$A$57:$I$59,4,FALSE)+VLOOKUP(VLOOKUP(AL$1,main!$A$3:$I$56,7,FALSE),main!$K$10:$Q$14,4,FALSE),1,0)</f>
        <v>0</v>
      </c>
      <c r="AM111">
        <f>IF(VLOOKUP(AM$1,main!$A$3:$I$56,5,FALSE)-VLOOKUP($A111,main!$A$3:$I$56,6,FALSE)&gt;=VLOOKUP(56,main!$A$57:$I$59,4,FALSE)+VLOOKUP(VLOOKUP(AM$1,main!$A$3:$I$56,7,FALSE),main!$K$10:$Q$14,4,FALSE),1,0)</f>
        <v>0</v>
      </c>
      <c r="AN111">
        <f>IF(VLOOKUP(AN$1,main!$A$3:$I$56,5,FALSE)-VLOOKUP($A111,main!$A$3:$I$56,6,FALSE)&gt;=VLOOKUP(56,main!$A$57:$I$59,4,FALSE)+VLOOKUP(VLOOKUP(AN$1,main!$A$3:$I$56,7,FALSE),main!$K$10:$Q$14,4,FALSE),1,0)</f>
        <v>0</v>
      </c>
      <c r="AO111">
        <f>IF(VLOOKUP(AO$1,main!$A$3:$I$56,5,FALSE)-VLOOKUP($A111,main!$A$3:$I$56,6,FALSE)&gt;=VLOOKUP(56,main!$A$57:$I$59,4,FALSE)+VLOOKUP(VLOOKUP(AO$1,main!$A$3:$I$56,7,FALSE),main!$K$10:$Q$14,4,FALSE),1,0)</f>
        <v>0</v>
      </c>
      <c r="AP111">
        <f>IF(VLOOKUP(AP$1,main!$A$3:$I$56,5,FALSE)-VLOOKUP($A111,main!$A$3:$I$56,6,FALSE)&gt;=VLOOKUP(56,main!$A$57:$I$59,4,FALSE)+VLOOKUP(VLOOKUP(AP$1,main!$A$3:$I$56,7,FALSE),main!$K$10:$Q$14,4,FALSE),1,0)</f>
        <v>0</v>
      </c>
      <c r="AQ111">
        <f>IF(VLOOKUP(AQ$1,main!$A$3:$I$56,5,FALSE)-VLOOKUP($A111,main!$A$3:$I$56,6,FALSE)&gt;=VLOOKUP(56,main!$A$57:$I$59,4,FALSE)+VLOOKUP(VLOOKUP(AQ$1,main!$A$3:$I$56,7,FALSE),main!$K$10:$Q$14,4,FALSE),1,0)</f>
        <v>0</v>
      </c>
      <c r="AR111">
        <f>IF(VLOOKUP(AR$1,main!$A$3:$I$56,5,FALSE)-VLOOKUP($A111,main!$A$3:$I$56,6,FALSE)&gt;=VLOOKUP(56,main!$A$57:$I$59,4,FALSE)+VLOOKUP(VLOOKUP(AR$1,main!$A$3:$I$56,7,FALSE),main!$K$10:$Q$14,4,FALSE),1,0)</f>
        <v>0</v>
      </c>
      <c r="AS111">
        <f>IF(VLOOKUP(AS$1,main!$A$3:$I$56,5,FALSE)-VLOOKUP($A111,main!$A$3:$I$56,6,FALSE)&gt;=VLOOKUP(56,main!$A$57:$I$59,4,FALSE)+VLOOKUP(VLOOKUP(AS$1,main!$A$3:$I$56,7,FALSE),main!$K$10:$Q$14,4,FALSE),1,0)</f>
        <v>0</v>
      </c>
      <c r="AT111">
        <f>IF(VLOOKUP(AT$1,main!$A$3:$I$56,5,FALSE)-VLOOKUP($A111,main!$A$3:$I$56,6,FALSE)&gt;=VLOOKUP(56,main!$A$57:$I$59,4,FALSE)+VLOOKUP(VLOOKUP(AT$1,main!$A$3:$I$56,7,FALSE),main!$K$10:$Q$14,4,FALSE),1,0)</f>
        <v>0</v>
      </c>
      <c r="AU111">
        <f>IF(VLOOKUP(AU$1,main!$A$3:$I$56,5,FALSE)-VLOOKUP($A111,main!$A$3:$I$56,6,FALSE)&gt;=VLOOKUP(56,main!$A$57:$I$59,4,FALSE)+VLOOKUP(VLOOKUP(AU$1,main!$A$3:$I$56,7,FALSE),main!$K$10:$Q$14,4,FALSE),1,0)</f>
        <v>0</v>
      </c>
      <c r="AV111">
        <f>IF(VLOOKUP(AV$1,main!$A$3:$I$56,5,FALSE)-VLOOKUP($A111,main!$A$3:$I$56,6,FALSE)&gt;=VLOOKUP(56,main!$A$57:$I$59,4,FALSE)+VLOOKUP(VLOOKUP(AV$1,main!$A$3:$I$56,7,FALSE),main!$K$10:$Q$14,4,FALSE),1,0)</f>
        <v>0</v>
      </c>
      <c r="AW111">
        <f>IF(VLOOKUP(AW$1,main!$A$3:$I$56,5,FALSE)-VLOOKUP($A111,main!$A$3:$I$56,6,FALSE)&gt;=VLOOKUP(56,main!$A$57:$I$59,4,FALSE)+VLOOKUP(VLOOKUP(AW$1,main!$A$3:$I$56,7,FALSE),main!$K$10:$Q$14,4,FALSE),1,0)</f>
        <v>0</v>
      </c>
      <c r="AX111">
        <f>IF(VLOOKUP(AX$1,main!$A$3:$I$56,5,FALSE)-VLOOKUP($A111,main!$A$3:$I$56,6,FALSE)&gt;=VLOOKUP(56,main!$A$57:$I$59,4,FALSE)+VLOOKUP(VLOOKUP(AX$1,main!$A$3:$I$56,7,FALSE),main!$K$10:$Q$14,4,FALSE),1,0)</f>
        <v>0</v>
      </c>
      <c r="AY111">
        <f>IF(VLOOKUP(AY$1,main!$A$3:$I$56,5,FALSE)-VLOOKUP($A111,main!$A$3:$I$56,6,FALSE)&gt;=VLOOKUP(56,main!$A$57:$I$59,4,FALSE)+VLOOKUP(VLOOKUP(AY$1,main!$A$3:$I$56,7,FALSE),main!$K$10:$Q$14,4,FALSE),1,0)</f>
        <v>0</v>
      </c>
      <c r="AZ111">
        <f>IF(VLOOKUP(AZ$1,main!$A$3:$I$56,5,FALSE)-VLOOKUP($A111,main!$A$3:$I$56,6,FALSE)&gt;=VLOOKUP(56,main!$A$57:$I$59,4,FALSE)+VLOOKUP(VLOOKUP(AZ$1,main!$A$3:$I$56,7,FALSE),main!$K$10:$Q$14,4,FALSE),1,0)</f>
        <v>0</v>
      </c>
      <c r="BA111">
        <f>IF(VLOOKUP(BA$1,main!$A$3:$I$56,5,FALSE)-VLOOKUP($A111,main!$A$3:$I$56,6,FALSE)&gt;=VLOOKUP(56,main!$A$57:$I$59,4,FALSE)+VLOOKUP(VLOOKUP(BA$1,main!$A$3:$I$56,7,FALSE),main!$K$10:$Q$14,4,FALSE),1,0)</f>
        <v>0</v>
      </c>
      <c r="BB111">
        <f>IF(VLOOKUP(BB$1,main!$A$3:$I$56,5,FALSE)-VLOOKUP($A111,main!$A$3:$I$56,6,FALSE)&gt;=VLOOKUP(56,main!$A$57:$I$59,4,FALSE)+VLOOKUP(VLOOKUP(BB$1,main!$A$3:$I$56,7,FALSE),main!$K$10:$Q$14,4,FALSE),1,0)</f>
        <v>0</v>
      </c>
      <c r="BC111">
        <f>IF(VLOOKUP(BC$1,main!$A$3:$I$56,5,FALSE)-VLOOKUP($A111,main!$A$3:$I$56,6,FALSE)&gt;=VLOOKUP(56,main!$A$57:$I$59,4,FALSE)+VLOOKUP(VLOOKUP(BC$1,main!$A$3:$I$56,7,FALSE),main!$K$10:$Q$14,4,FALSE),1,0)</f>
        <v>0</v>
      </c>
      <c r="BD111">
        <f>IF(VLOOKUP(BD$1,main!$A$3:$I$56,5,FALSE)-VLOOKUP($A111,main!$A$3:$I$56,6,FALSE)&gt;=VLOOKUP(56,main!$A$57:$I$59,4,FALSE)+VLOOKUP(VLOOKUP(BD$1,main!$A$3:$I$56,7,FALSE),main!$K$10:$Q$14,4,FALSE),1,0)</f>
        <v>0</v>
      </c>
    </row>
    <row r="112" spans="1:56" x14ac:dyDescent="0.25">
      <c r="A112">
        <v>0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</row>
    <row r="113" spans="1:56" x14ac:dyDescent="0.25">
      <c r="A113">
        <f>A112+1</f>
        <v>1</v>
      </c>
      <c r="B113">
        <v>0</v>
      </c>
      <c r="C113">
        <f>IF(VLOOKUP(C$1,main!$A$3:$I$56,5,FALSE)-VLOOKUP($A113,main!$A$3:$I$56,6,FALSE)&gt;=VLOOKUP(57,main!$A$57:$I$59,4,FALSE)+VLOOKUP(VLOOKUP(C$1,main!$A$3:$I$56,7,FALSE),main!$K$10:$Q$14,5,FALSE),1,0)</f>
        <v>0</v>
      </c>
      <c r="D113">
        <f>IF(VLOOKUP(D$1,main!$A$3:$I$56,5,FALSE)-VLOOKUP($A113,main!$A$3:$I$56,6,FALSE)&gt;=VLOOKUP(57,main!$A$57:$I$59,4,FALSE)+VLOOKUP(VLOOKUP(D$1,main!$A$3:$I$56,7,FALSE),main!$K$10:$Q$14,5,FALSE),1,0)</f>
        <v>0</v>
      </c>
      <c r="E113">
        <f>IF(VLOOKUP(E$1,main!$A$3:$I$56,5,FALSE)-VLOOKUP($A113,main!$A$3:$I$56,6,FALSE)&gt;=VLOOKUP(57,main!$A$57:$I$59,4,FALSE)+VLOOKUP(VLOOKUP(E$1,main!$A$3:$I$56,7,FALSE),main!$K$10:$Q$14,5,FALSE),1,0)</f>
        <v>0</v>
      </c>
      <c r="F113">
        <f>IF(VLOOKUP(F$1,main!$A$3:$I$56,5,FALSE)-VLOOKUP($A113,main!$A$3:$I$56,6,FALSE)&gt;=VLOOKUP(57,main!$A$57:$I$59,4,FALSE)+VLOOKUP(VLOOKUP(F$1,main!$A$3:$I$56,7,FALSE),main!$K$10:$Q$14,5,FALSE),1,0)</f>
        <v>1</v>
      </c>
      <c r="G113">
        <f>IF(VLOOKUP(G$1,main!$A$3:$I$56,5,FALSE)-VLOOKUP($A113,main!$A$3:$I$56,6,FALSE)&gt;=VLOOKUP(57,main!$A$57:$I$59,4,FALSE)+VLOOKUP(VLOOKUP(G$1,main!$A$3:$I$56,7,FALSE),main!$K$10:$Q$14,5,FALSE),1,0)</f>
        <v>1</v>
      </c>
      <c r="H113">
        <f>IF(VLOOKUP(H$1,main!$A$3:$I$56,5,FALSE)-VLOOKUP($A113,main!$A$3:$I$56,6,FALSE)&gt;=VLOOKUP(57,main!$A$57:$I$59,4,FALSE)+VLOOKUP(VLOOKUP(H$1,main!$A$3:$I$56,7,FALSE),main!$K$10:$Q$14,5,FALSE),1,0)</f>
        <v>1</v>
      </c>
      <c r="I113">
        <f>IF(VLOOKUP(I$1,main!$A$3:$I$56,5,FALSE)-VLOOKUP($A113,main!$A$3:$I$56,6,FALSE)&gt;=VLOOKUP(57,main!$A$57:$I$59,4,FALSE)+VLOOKUP(VLOOKUP(I$1,main!$A$3:$I$56,7,FALSE),main!$K$10:$Q$14,5,FALSE),1,0)</f>
        <v>1</v>
      </c>
      <c r="J113">
        <f>IF(VLOOKUP(J$1,main!$A$3:$I$56,5,FALSE)-VLOOKUP($A113,main!$A$3:$I$56,6,FALSE)&gt;=VLOOKUP(57,main!$A$57:$I$59,4,FALSE)+VLOOKUP(VLOOKUP(J$1,main!$A$3:$I$56,7,FALSE),main!$K$10:$Q$14,5,FALSE),1,0)</f>
        <v>1</v>
      </c>
      <c r="K113">
        <f>IF(VLOOKUP(K$1,main!$A$3:$I$56,5,FALSE)-VLOOKUP($A113,main!$A$3:$I$56,6,FALSE)&gt;=VLOOKUP(57,main!$A$57:$I$59,4,FALSE)+VLOOKUP(VLOOKUP(K$1,main!$A$3:$I$56,7,FALSE),main!$K$10:$Q$14,5,FALSE),1,0)</f>
        <v>0</v>
      </c>
      <c r="L113">
        <f>IF(VLOOKUP(L$1,main!$A$3:$I$56,5,FALSE)-VLOOKUP($A113,main!$A$3:$I$56,6,FALSE)&gt;=VLOOKUP(57,main!$A$57:$I$59,4,FALSE)+VLOOKUP(VLOOKUP(L$1,main!$A$3:$I$56,7,FALSE),main!$K$10:$Q$14,5,FALSE),1,0)</f>
        <v>0</v>
      </c>
      <c r="M113">
        <f>IF(VLOOKUP(M$1,main!$A$3:$I$56,5,FALSE)-VLOOKUP($A113,main!$A$3:$I$56,6,FALSE)&gt;=VLOOKUP(57,main!$A$57:$I$59,4,FALSE)+VLOOKUP(VLOOKUP(M$1,main!$A$3:$I$56,7,FALSE),main!$K$10:$Q$14,5,FALSE),1,0)</f>
        <v>0</v>
      </c>
      <c r="N113">
        <f>IF(VLOOKUP(N$1,main!$A$3:$I$56,5,FALSE)-VLOOKUP($A113,main!$A$3:$I$56,6,FALSE)&gt;=VLOOKUP(57,main!$A$57:$I$59,4,FALSE)+VLOOKUP(VLOOKUP(N$1,main!$A$3:$I$56,7,FALSE),main!$K$10:$Q$14,5,FALSE),1,0)</f>
        <v>1</v>
      </c>
      <c r="O113">
        <f>IF(VLOOKUP(O$1,main!$A$3:$I$56,5,FALSE)-VLOOKUP($A113,main!$A$3:$I$56,6,FALSE)&gt;=VLOOKUP(57,main!$A$57:$I$59,4,FALSE)+VLOOKUP(VLOOKUP(O$1,main!$A$3:$I$56,7,FALSE),main!$K$10:$Q$14,5,FALSE),1,0)</f>
        <v>1</v>
      </c>
      <c r="P113">
        <f>IF(VLOOKUP(P$1,main!$A$3:$I$56,5,FALSE)-VLOOKUP($A113,main!$A$3:$I$56,6,FALSE)&gt;=VLOOKUP(57,main!$A$57:$I$59,4,FALSE)+VLOOKUP(VLOOKUP(P$1,main!$A$3:$I$56,7,FALSE),main!$K$10:$Q$14,5,FALSE),1,0)</f>
        <v>0</v>
      </c>
      <c r="Q113">
        <f>IF(VLOOKUP(Q$1,main!$A$3:$I$56,5,FALSE)-VLOOKUP($A113,main!$A$3:$I$56,6,FALSE)&gt;=VLOOKUP(57,main!$A$57:$I$59,4,FALSE)+VLOOKUP(VLOOKUP(Q$1,main!$A$3:$I$56,7,FALSE),main!$K$10:$Q$14,5,FALSE),1,0)</f>
        <v>0</v>
      </c>
      <c r="R113">
        <f>IF(VLOOKUP(R$1,main!$A$3:$I$56,5,FALSE)-VLOOKUP($A113,main!$A$3:$I$56,6,FALSE)&gt;=VLOOKUP(57,main!$A$57:$I$59,4,FALSE)+VLOOKUP(VLOOKUP(R$1,main!$A$3:$I$56,7,FALSE),main!$K$10:$Q$14,5,FALSE),1,0)</f>
        <v>0</v>
      </c>
      <c r="S113">
        <f>IF(VLOOKUP(S$1,main!$A$3:$I$56,5,FALSE)-VLOOKUP($A113,main!$A$3:$I$56,6,FALSE)&gt;=VLOOKUP(57,main!$A$57:$I$59,4,FALSE)+VLOOKUP(VLOOKUP(S$1,main!$A$3:$I$56,7,FALSE),main!$K$10:$Q$14,5,FALSE),1,0)</f>
        <v>1</v>
      </c>
      <c r="T113">
        <f>IF(VLOOKUP(T$1,main!$A$3:$I$56,5,FALSE)-VLOOKUP($A113,main!$A$3:$I$56,6,FALSE)&gt;=VLOOKUP(57,main!$A$57:$I$59,4,FALSE)+VLOOKUP(VLOOKUP(T$1,main!$A$3:$I$56,7,FALSE),main!$K$10:$Q$14,5,FALSE),1,0)</f>
        <v>1</v>
      </c>
      <c r="U113">
        <f>IF(VLOOKUP(U$1,main!$A$3:$I$56,5,FALSE)-VLOOKUP($A113,main!$A$3:$I$56,6,FALSE)&gt;=VLOOKUP(57,main!$A$57:$I$59,4,FALSE)+VLOOKUP(VLOOKUP(U$1,main!$A$3:$I$56,7,FALSE),main!$K$10:$Q$14,5,FALSE),1,0)</f>
        <v>0</v>
      </c>
      <c r="V113">
        <f>IF(VLOOKUP(V$1,main!$A$3:$I$56,5,FALSE)-VLOOKUP($A113,main!$A$3:$I$56,6,FALSE)&gt;=VLOOKUP(57,main!$A$57:$I$59,4,FALSE)+VLOOKUP(VLOOKUP(V$1,main!$A$3:$I$56,7,FALSE),main!$K$10:$Q$14,5,FALSE),1,0)</f>
        <v>0</v>
      </c>
      <c r="W113">
        <f>IF(VLOOKUP(W$1,main!$A$3:$I$56,5,FALSE)-VLOOKUP($A113,main!$A$3:$I$56,6,FALSE)&gt;=VLOOKUP(57,main!$A$57:$I$59,4,FALSE)+VLOOKUP(VLOOKUP(W$1,main!$A$3:$I$56,7,FALSE),main!$K$10:$Q$14,5,FALSE),1,0)</f>
        <v>0</v>
      </c>
      <c r="X113">
        <f>IF(VLOOKUP(X$1,main!$A$3:$I$56,5,FALSE)-VLOOKUP($A113,main!$A$3:$I$56,6,FALSE)&gt;=VLOOKUP(57,main!$A$57:$I$59,4,FALSE)+VLOOKUP(VLOOKUP(X$1,main!$A$3:$I$56,7,FALSE),main!$K$10:$Q$14,5,FALSE),1,0)</f>
        <v>1</v>
      </c>
      <c r="Y113">
        <f>IF(VLOOKUP(Y$1,main!$A$3:$I$56,5,FALSE)-VLOOKUP($A113,main!$A$3:$I$56,6,FALSE)&gt;=VLOOKUP(57,main!$A$57:$I$59,4,FALSE)+VLOOKUP(VLOOKUP(Y$1,main!$A$3:$I$56,7,FALSE),main!$K$10:$Q$14,5,FALSE),1,0)</f>
        <v>1</v>
      </c>
      <c r="Z113">
        <f>IF(VLOOKUP(Z$1,main!$A$3:$I$56,5,FALSE)-VLOOKUP($A113,main!$A$3:$I$56,6,FALSE)&gt;=VLOOKUP(57,main!$A$57:$I$59,4,FALSE)+VLOOKUP(VLOOKUP(Z$1,main!$A$3:$I$56,7,FALSE),main!$K$10:$Q$14,5,FALSE),1,0)</f>
        <v>1</v>
      </c>
      <c r="AA113">
        <f>IF(VLOOKUP(AA$1,main!$A$3:$I$56,5,FALSE)-VLOOKUP($A113,main!$A$3:$I$56,6,FALSE)&gt;=VLOOKUP(57,main!$A$57:$I$59,4,FALSE)+VLOOKUP(VLOOKUP(AA$1,main!$A$3:$I$56,7,FALSE),main!$K$10:$Q$14,5,FALSE),1,0)</f>
        <v>1</v>
      </c>
      <c r="AB113">
        <f>IF(VLOOKUP(AB$1,main!$A$3:$I$56,5,FALSE)-VLOOKUP($A113,main!$A$3:$I$56,6,FALSE)&gt;=VLOOKUP(57,main!$A$57:$I$59,4,FALSE)+VLOOKUP(VLOOKUP(AB$1,main!$A$3:$I$56,7,FALSE),main!$K$10:$Q$14,5,FALSE),1,0)</f>
        <v>1</v>
      </c>
      <c r="AC113">
        <f>IF(VLOOKUP(AC$1,main!$A$3:$I$56,5,FALSE)-VLOOKUP($A113,main!$A$3:$I$56,6,FALSE)&gt;=VLOOKUP(57,main!$A$57:$I$59,4,FALSE)+VLOOKUP(VLOOKUP(AC$1,main!$A$3:$I$56,7,FALSE),main!$K$10:$Q$14,5,FALSE),1,0)</f>
        <v>0</v>
      </c>
      <c r="AD113">
        <f>IF(VLOOKUP(AD$1,main!$A$3:$I$56,5,FALSE)-VLOOKUP($A113,main!$A$3:$I$56,6,FALSE)&gt;=VLOOKUP(57,main!$A$57:$I$59,4,FALSE)+VLOOKUP(VLOOKUP(AD$1,main!$A$3:$I$56,7,FALSE),main!$K$10:$Q$14,5,FALSE),1,0)</f>
        <v>0</v>
      </c>
      <c r="AE113">
        <f>IF(VLOOKUP(AE$1,main!$A$3:$I$56,5,FALSE)-VLOOKUP($A113,main!$A$3:$I$56,6,FALSE)&gt;=VLOOKUP(57,main!$A$57:$I$59,4,FALSE)+VLOOKUP(VLOOKUP(AE$1,main!$A$3:$I$56,7,FALSE),main!$K$10:$Q$14,5,FALSE),1,0)</f>
        <v>1</v>
      </c>
      <c r="AF113">
        <f>IF(VLOOKUP(AF$1,main!$A$3:$I$56,5,FALSE)-VLOOKUP($A113,main!$A$3:$I$56,6,FALSE)&gt;=VLOOKUP(57,main!$A$57:$I$59,4,FALSE)+VLOOKUP(VLOOKUP(AF$1,main!$A$3:$I$56,7,FALSE),main!$K$10:$Q$14,5,FALSE),1,0)</f>
        <v>1</v>
      </c>
      <c r="AG113">
        <f>IF(VLOOKUP(AG$1,main!$A$3:$I$56,5,FALSE)-VLOOKUP($A113,main!$A$3:$I$56,6,FALSE)&gt;=VLOOKUP(57,main!$A$57:$I$59,4,FALSE)+VLOOKUP(VLOOKUP(AG$1,main!$A$3:$I$56,7,FALSE),main!$K$10:$Q$14,5,FALSE),1,0)</f>
        <v>0</v>
      </c>
      <c r="AH113">
        <f>IF(VLOOKUP(AH$1,main!$A$3:$I$56,5,FALSE)-VLOOKUP($A113,main!$A$3:$I$56,6,FALSE)&gt;=VLOOKUP(57,main!$A$57:$I$59,4,FALSE)+VLOOKUP(VLOOKUP(AH$1,main!$A$3:$I$56,7,FALSE),main!$K$10:$Q$14,5,FALSE),1,0)</f>
        <v>0</v>
      </c>
      <c r="AI113">
        <f>IF(VLOOKUP(AI$1,main!$A$3:$I$56,5,FALSE)-VLOOKUP($A113,main!$A$3:$I$56,6,FALSE)&gt;=VLOOKUP(57,main!$A$57:$I$59,4,FALSE)+VLOOKUP(VLOOKUP(AI$1,main!$A$3:$I$56,7,FALSE),main!$K$10:$Q$14,5,FALSE),1,0)</f>
        <v>0</v>
      </c>
      <c r="AJ113">
        <f>IF(VLOOKUP(AJ$1,main!$A$3:$I$56,5,FALSE)-VLOOKUP($A113,main!$A$3:$I$56,6,FALSE)&gt;=VLOOKUP(57,main!$A$57:$I$59,4,FALSE)+VLOOKUP(VLOOKUP(AJ$1,main!$A$3:$I$56,7,FALSE),main!$K$10:$Q$14,5,FALSE),1,0)</f>
        <v>1</v>
      </c>
      <c r="AK113">
        <f>IF(VLOOKUP(AK$1,main!$A$3:$I$56,5,FALSE)-VLOOKUP($A113,main!$A$3:$I$56,6,FALSE)&gt;=VLOOKUP(57,main!$A$57:$I$59,4,FALSE)+VLOOKUP(VLOOKUP(AK$1,main!$A$3:$I$56,7,FALSE),main!$K$10:$Q$14,5,FALSE),1,0)</f>
        <v>1</v>
      </c>
      <c r="AL113">
        <f>IF(VLOOKUP(AL$1,main!$A$3:$I$56,5,FALSE)-VLOOKUP($A113,main!$A$3:$I$56,6,FALSE)&gt;=VLOOKUP(57,main!$A$57:$I$59,4,FALSE)+VLOOKUP(VLOOKUP(AL$1,main!$A$3:$I$56,7,FALSE),main!$K$10:$Q$14,5,FALSE),1,0)</f>
        <v>0</v>
      </c>
      <c r="AM113">
        <f>IF(VLOOKUP(AM$1,main!$A$3:$I$56,5,FALSE)-VLOOKUP($A113,main!$A$3:$I$56,6,FALSE)&gt;=VLOOKUP(57,main!$A$57:$I$59,4,FALSE)+VLOOKUP(VLOOKUP(AM$1,main!$A$3:$I$56,7,FALSE),main!$K$10:$Q$14,5,FALSE),1,0)</f>
        <v>0</v>
      </c>
      <c r="AN113">
        <f>IF(VLOOKUP(AN$1,main!$A$3:$I$56,5,FALSE)-VLOOKUP($A113,main!$A$3:$I$56,6,FALSE)&gt;=VLOOKUP(57,main!$A$57:$I$59,4,FALSE)+VLOOKUP(VLOOKUP(AN$1,main!$A$3:$I$56,7,FALSE),main!$K$10:$Q$14,5,FALSE),1,0)</f>
        <v>1</v>
      </c>
      <c r="AO113">
        <f>IF(VLOOKUP(AO$1,main!$A$3:$I$56,5,FALSE)-VLOOKUP($A113,main!$A$3:$I$56,6,FALSE)&gt;=VLOOKUP(57,main!$A$57:$I$59,4,FALSE)+VLOOKUP(VLOOKUP(AO$1,main!$A$3:$I$56,7,FALSE),main!$K$10:$Q$14,5,FALSE),1,0)</f>
        <v>1</v>
      </c>
      <c r="AP113">
        <f>IF(VLOOKUP(AP$1,main!$A$3:$I$56,5,FALSE)-VLOOKUP($A113,main!$A$3:$I$56,6,FALSE)&gt;=VLOOKUP(57,main!$A$57:$I$59,4,FALSE)+VLOOKUP(VLOOKUP(AP$1,main!$A$3:$I$56,7,FALSE),main!$K$10:$Q$14,5,FALSE),1,0)</f>
        <v>0</v>
      </c>
      <c r="AQ113">
        <f>IF(VLOOKUP(AQ$1,main!$A$3:$I$56,5,FALSE)-VLOOKUP($A113,main!$A$3:$I$56,6,FALSE)&gt;=VLOOKUP(57,main!$A$57:$I$59,4,FALSE)+VLOOKUP(VLOOKUP(AQ$1,main!$A$3:$I$56,7,FALSE),main!$K$10:$Q$14,5,FALSE),1,0)</f>
        <v>0</v>
      </c>
      <c r="AR113">
        <f>IF(VLOOKUP(AR$1,main!$A$3:$I$56,5,FALSE)-VLOOKUP($A113,main!$A$3:$I$56,6,FALSE)&gt;=VLOOKUP(57,main!$A$57:$I$59,4,FALSE)+VLOOKUP(VLOOKUP(AR$1,main!$A$3:$I$56,7,FALSE),main!$K$10:$Q$14,5,FALSE),1,0)</f>
        <v>0</v>
      </c>
      <c r="AS113">
        <f>IF(VLOOKUP(AS$1,main!$A$3:$I$56,5,FALSE)-VLOOKUP($A113,main!$A$3:$I$56,6,FALSE)&gt;=VLOOKUP(57,main!$A$57:$I$59,4,FALSE)+VLOOKUP(VLOOKUP(AS$1,main!$A$3:$I$56,7,FALSE),main!$K$10:$Q$14,5,FALSE),1,0)</f>
        <v>0</v>
      </c>
      <c r="AT113">
        <f>IF(VLOOKUP(AT$1,main!$A$3:$I$56,5,FALSE)-VLOOKUP($A113,main!$A$3:$I$56,6,FALSE)&gt;=VLOOKUP(57,main!$A$57:$I$59,4,FALSE)+VLOOKUP(VLOOKUP(AT$1,main!$A$3:$I$56,7,FALSE),main!$K$10:$Q$14,5,FALSE),1,0)</f>
        <v>0</v>
      </c>
      <c r="AU113">
        <f>IF(VLOOKUP(AU$1,main!$A$3:$I$56,5,FALSE)-VLOOKUP($A113,main!$A$3:$I$56,6,FALSE)&gt;=VLOOKUP(57,main!$A$57:$I$59,4,FALSE)+VLOOKUP(VLOOKUP(AU$1,main!$A$3:$I$56,7,FALSE),main!$K$10:$Q$14,5,FALSE),1,0)</f>
        <v>0</v>
      </c>
      <c r="AV113">
        <f>IF(VLOOKUP(AV$1,main!$A$3:$I$56,5,FALSE)-VLOOKUP($A113,main!$A$3:$I$56,6,FALSE)&gt;=VLOOKUP(57,main!$A$57:$I$59,4,FALSE)+VLOOKUP(VLOOKUP(AV$1,main!$A$3:$I$56,7,FALSE),main!$K$10:$Q$14,5,FALSE),1,0)</f>
        <v>0</v>
      </c>
      <c r="AW113">
        <f>IF(VLOOKUP(AW$1,main!$A$3:$I$56,5,FALSE)-VLOOKUP($A113,main!$A$3:$I$56,6,FALSE)&gt;=VLOOKUP(57,main!$A$57:$I$59,4,FALSE)+VLOOKUP(VLOOKUP(AW$1,main!$A$3:$I$56,7,FALSE),main!$K$10:$Q$14,5,FALSE),1,0)</f>
        <v>0</v>
      </c>
      <c r="AX113">
        <f>IF(VLOOKUP(AX$1,main!$A$3:$I$56,5,FALSE)-VLOOKUP($A113,main!$A$3:$I$56,6,FALSE)&gt;=VLOOKUP(57,main!$A$57:$I$59,4,FALSE)+VLOOKUP(VLOOKUP(AX$1,main!$A$3:$I$56,7,FALSE),main!$K$10:$Q$14,5,FALSE),1,0)</f>
        <v>1</v>
      </c>
      <c r="AY113">
        <f>IF(VLOOKUP(AY$1,main!$A$3:$I$56,5,FALSE)-VLOOKUP($A113,main!$A$3:$I$56,6,FALSE)&gt;=VLOOKUP(57,main!$A$57:$I$59,4,FALSE)+VLOOKUP(VLOOKUP(AY$1,main!$A$3:$I$56,7,FALSE),main!$K$10:$Q$14,5,FALSE),1,0)</f>
        <v>1</v>
      </c>
      <c r="AZ113">
        <f>IF(VLOOKUP(AZ$1,main!$A$3:$I$56,5,FALSE)-VLOOKUP($A113,main!$A$3:$I$56,6,FALSE)&gt;=VLOOKUP(57,main!$A$57:$I$59,4,FALSE)+VLOOKUP(VLOOKUP(AZ$1,main!$A$3:$I$56,7,FALSE),main!$K$10:$Q$14,5,FALSE),1,0)</f>
        <v>0</v>
      </c>
      <c r="BA113">
        <f>IF(VLOOKUP(BA$1,main!$A$3:$I$56,5,FALSE)-VLOOKUP($A113,main!$A$3:$I$56,6,FALSE)&gt;=VLOOKUP(57,main!$A$57:$I$59,4,FALSE)+VLOOKUP(VLOOKUP(BA$1,main!$A$3:$I$56,7,FALSE),main!$K$10:$Q$14,5,FALSE),1,0)</f>
        <v>0</v>
      </c>
      <c r="BB113">
        <f>IF(VLOOKUP(BB$1,main!$A$3:$I$56,5,FALSE)-VLOOKUP($A113,main!$A$3:$I$56,6,FALSE)&gt;=VLOOKUP(57,main!$A$57:$I$59,4,FALSE)+VLOOKUP(VLOOKUP(BB$1,main!$A$3:$I$56,7,FALSE),main!$K$10:$Q$14,5,FALSE),1,0)</f>
        <v>0</v>
      </c>
      <c r="BC113">
        <f>IF(VLOOKUP(BC$1,main!$A$3:$I$56,5,FALSE)-VLOOKUP($A113,main!$A$3:$I$56,6,FALSE)&gt;=VLOOKUP(57,main!$A$57:$I$59,4,FALSE)+VLOOKUP(VLOOKUP(BC$1,main!$A$3:$I$56,7,FALSE),main!$K$10:$Q$14,5,FALSE),1,0)</f>
        <v>1</v>
      </c>
      <c r="BD113">
        <f>IF(VLOOKUP(BD$1,main!$A$3:$I$56,5,FALSE)-VLOOKUP($A113,main!$A$3:$I$56,6,FALSE)&gt;=VLOOKUP(57,main!$A$57:$I$59,4,FALSE)+VLOOKUP(VLOOKUP(BD$1,main!$A$3:$I$56,7,FALSE),main!$K$10:$Q$14,5,FALSE),1,0)</f>
        <v>1</v>
      </c>
    </row>
    <row r="114" spans="1:56" x14ac:dyDescent="0.25">
      <c r="A114">
        <f t="shared" ref="A114:A166" si="2">A113+1</f>
        <v>2</v>
      </c>
      <c r="B114">
        <v>0</v>
      </c>
      <c r="C114">
        <f>IF(VLOOKUP(C$1,main!$A$3:$I$56,5,FALSE)-VLOOKUP($A114,main!$A$3:$I$56,6,FALSE)&gt;=VLOOKUP(57,main!$A$57:$I$59,4,FALSE)+VLOOKUP(VLOOKUP(C$1,main!$A$3:$I$56,7,FALSE),main!$K$10:$Q$14,5,FALSE),1,0)</f>
        <v>0</v>
      </c>
      <c r="D114">
        <f>IF(VLOOKUP(D$1,main!$A$3:$I$56,5,FALSE)-VLOOKUP($A114,main!$A$3:$I$56,6,FALSE)&gt;=VLOOKUP(57,main!$A$57:$I$59,4,FALSE)+VLOOKUP(VLOOKUP(D$1,main!$A$3:$I$56,7,FALSE),main!$K$10:$Q$14,5,FALSE),1,0)</f>
        <v>0</v>
      </c>
      <c r="E114">
        <f>IF(VLOOKUP(E$1,main!$A$3:$I$56,5,FALSE)-VLOOKUP($A114,main!$A$3:$I$56,6,FALSE)&gt;=VLOOKUP(57,main!$A$57:$I$59,4,FALSE)+VLOOKUP(VLOOKUP(E$1,main!$A$3:$I$56,7,FALSE),main!$K$10:$Q$14,5,FALSE),1,0)</f>
        <v>0</v>
      </c>
      <c r="F114">
        <f>IF(VLOOKUP(F$1,main!$A$3:$I$56,5,FALSE)-VLOOKUP($A114,main!$A$3:$I$56,6,FALSE)&gt;=VLOOKUP(57,main!$A$57:$I$59,4,FALSE)+VLOOKUP(VLOOKUP(F$1,main!$A$3:$I$56,7,FALSE),main!$K$10:$Q$14,5,FALSE),1,0)</f>
        <v>0</v>
      </c>
      <c r="G114">
        <f>IF(VLOOKUP(G$1,main!$A$3:$I$56,5,FALSE)-VLOOKUP($A114,main!$A$3:$I$56,6,FALSE)&gt;=VLOOKUP(57,main!$A$57:$I$59,4,FALSE)+VLOOKUP(VLOOKUP(G$1,main!$A$3:$I$56,7,FALSE),main!$K$10:$Q$14,5,FALSE),1,0)</f>
        <v>0</v>
      </c>
      <c r="H114">
        <f>IF(VLOOKUP(H$1,main!$A$3:$I$56,5,FALSE)-VLOOKUP($A114,main!$A$3:$I$56,6,FALSE)&gt;=VLOOKUP(57,main!$A$57:$I$59,4,FALSE)+VLOOKUP(VLOOKUP(H$1,main!$A$3:$I$56,7,FALSE),main!$K$10:$Q$14,5,FALSE),1,0)</f>
        <v>0</v>
      </c>
      <c r="I114">
        <f>IF(VLOOKUP(I$1,main!$A$3:$I$56,5,FALSE)-VLOOKUP($A114,main!$A$3:$I$56,6,FALSE)&gt;=VLOOKUP(57,main!$A$57:$I$59,4,FALSE)+VLOOKUP(VLOOKUP(I$1,main!$A$3:$I$56,7,FALSE),main!$K$10:$Q$14,5,FALSE),1,0)</f>
        <v>1</v>
      </c>
      <c r="J114">
        <f>IF(VLOOKUP(J$1,main!$A$3:$I$56,5,FALSE)-VLOOKUP($A114,main!$A$3:$I$56,6,FALSE)&gt;=VLOOKUP(57,main!$A$57:$I$59,4,FALSE)+VLOOKUP(VLOOKUP(J$1,main!$A$3:$I$56,7,FALSE),main!$K$10:$Q$14,5,FALSE),1,0)</f>
        <v>1</v>
      </c>
      <c r="K114">
        <f>IF(VLOOKUP(K$1,main!$A$3:$I$56,5,FALSE)-VLOOKUP($A114,main!$A$3:$I$56,6,FALSE)&gt;=VLOOKUP(57,main!$A$57:$I$59,4,FALSE)+VLOOKUP(VLOOKUP(K$1,main!$A$3:$I$56,7,FALSE),main!$K$10:$Q$14,5,FALSE),1,0)</f>
        <v>0</v>
      </c>
      <c r="L114">
        <f>IF(VLOOKUP(L$1,main!$A$3:$I$56,5,FALSE)-VLOOKUP($A114,main!$A$3:$I$56,6,FALSE)&gt;=VLOOKUP(57,main!$A$57:$I$59,4,FALSE)+VLOOKUP(VLOOKUP(L$1,main!$A$3:$I$56,7,FALSE),main!$K$10:$Q$14,5,FALSE),1,0)</f>
        <v>0</v>
      </c>
      <c r="M114">
        <f>IF(VLOOKUP(M$1,main!$A$3:$I$56,5,FALSE)-VLOOKUP($A114,main!$A$3:$I$56,6,FALSE)&gt;=VLOOKUP(57,main!$A$57:$I$59,4,FALSE)+VLOOKUP(VLOOKUP(M$1,main!$A$3:$I$56,7,FALSE),main!$K$10:$Q$14,5,FALSE),1,0)</f>
        <v>0</v>
      </c>
      <c r="N114">
        <f>IF(VLOOKUP(N$1,main!$A$3:$I$56,5,FALSE)-VLOOKUP($A114,main!$A$3:$I$56,6,FALSE)&gt;=VLOOKUP(57,main!$A$57:$I$59,4,FALSE)+VLOOKUP(VLOOKUP(N$1,main!$A$3:$I$56,7,FALSE),main!$K$10:$Q$14,5,FALSE),1,0)</f>
        <v>1</v>
      </c>
      <c r="O114">
        <f>IF(VLOOKUP(O$1,main!$A$3:$I$56,5,FALSE)-VLOOKUP($A114,main!$A$3:$I$56,6,FALSE)&gt;=VLOOKUP(57,main!$A$57:$I$59,4,FALSE)+VLOOKUP(VLOOKUP(O$1,main!$A$3:$I$56,7,FALSE),main!$K$10:$Q$14,5,FALSE),1,0)</f>
        <v>1</v>
      </c>
      <c r="P114">
        <f>IF(VLOOKUP(P$1,main!$A$3:$I$56,5,FALSE)-VLOOKUP($A114,main!$A$3:$I$56,6,FALSE)&gt;=VLOOKUP(57,main!$A$57:$I$59,4,FALSE)+VLOOKUP(VLOOKUP(P$1,main!$A$3:$I$56,7,FALSE),main!$K$10:$Q$14,5,FALSE),1,0)</f>
        <v>0</v>
      </c>
      <c r="Q114">
        <f>IF(VLOOKUP(Q$1,main!$A$3:$I$56,5,FALSE)-VLOOKUP($A114,main!$A$3:$I$56,6,FALSE)&gt;=VLOOKUP(57,main!$A$57:$I$59,4,FALSE)+VLOOKUP(VLOOKUP(Q$1,main!$A$3:$I$56,7,FALSE),main!$K$10:$Q$14,5,FALSE),1,0)</f>
        <v>0</v>
      </c>
      <c r="R114">
        <f>IF(VLOOKUP(R$1,main!$A$3:$I$56,5,FALSE)-VLOOKUP($A114,main!$A$3:$I$56,6,FALSE)&gt;=VLOOKUP(57,main!$A$57:$I$59,4,FALSE)+VLOOKUP(VLOOKUP(R$1,main!$A$3:$I$56,7,FALSE),main!$K$10:$Q$14,5,FALSE),1,0)</f>
        <v>0</v>
      </c>
      <c r="S114">
        <f>IF(VLOOKUP(S$1,main!$A$3:$I$56,5,FALSE)-VLOOKUP($A114,main!$A$3:$I$56,6,FALSE)&gt;=VLOOKUP(57,main!$A$57:$I$59,4,FALSE)+VLOOKUP(VLOOKUP(S$1,main!$A$3:$I$56,7,FALSE),main!$K$10:$Q$14,5,FALSE),1,0)</f>
        <v>0</v>
      </c>
      <c r="T114">
        <f>IF(VLOOKUP(T$1,main!$A$3:$I$56,5,FALSE)-VLOOKUP($A114,main!$A$3:$I$56,6,FALSE)&gt;=VLOOKUP(57,main!$A$57:$I$59,4,FALSE)+VLOOKUP(VLOOKUP(T$1,main!$A$3:$I$56,7,FALSE),main!$K$10:$Q$14,5,FALSE),1,0)</f>
        <v>1</v>
      </c>
      <c r="U114">
        <f>IF(VLOOKUP(U$1,main!$A$3:$I$56,5,FALSE)-VLOOKUP($A114,main!$A$3:$I$56,6,FALSE)&gt;=VLOOKUP(57,main!$A$57:$I$59,4,FALSE)+VLOOKUP(VLOOKUP(U$1,main!$A$3:$I$56,7,FALSE),main!$K$10:$Q$14,5,FALSE),1,0)</f>
        <v>0</v>
      </c>
      <c r="V114">
        <f>IF(VLOOKUP(V$1,main!$A$3:$I$56,5,FALSE)-VLOOKUP($A114,main!$A$3:$I$56,6,FALSE)&gt;=VLOOKUP(57,main!$A$57:$I$59,4,FALSE)+VLOOKUP(VLOOKUP(V$1,main!$A$3:$I$56,7,FALSE),main!$K$10:$Q$14,5,FALSE),1,0)</f>
        <v>0</v>
      </c>
      <c r="W114">
        <f>IF(VLOOKUP(W$1,main!$A$3:$I$56,5,FALSE)-VLOOKUP($A114,main!$A$3:$I$56,6,FALSE)&gt;=VLOOKUP(57,main!$A$57:$I$59,4,FALSE)+VLOOKUP(VLOOKUP(W$1,main!$A$3:$I$56,7,FALSE),main!$K$10:$Q$14,5,FALSE),1,0)</f>
        <v>0</v>
      </c>
      <c r="X114">
        <f>IF(VLOOKUP(X$1,main!$A$3:$I$56,5,FALSE)-VLOOKUP($A114,main!$A$3:$I$56,6,FALSE)&gt;=VLOOKUP(57,main!$A$57:$I$59,4,FALSE)+VLOOKUP(VLOOKUP(X$1,main!$A$3:$I$56,7,FALSE),main!$K$10:$Q$14,5,FALSE),1,0)</f>
        <v>0</v>
      </c>
      <c r="Y114">
        <f>IF(VLOOKUP(Y$1,main!$A$3:$I$56,5,FALSE)-VLOOKUP($A114,main!$A$3:$I$56,6,FALSE)&gt;=VLOOKUP(57,main!$A$57:$I$59,4,FALSE)+VLOOKUP(VLOOKUP(Y$1,main!$A$3:$I$56,7,FALSE),main!$K$10:$Q$14,5,FALSE),1,0)</f>
        <v>0</v>
      </c>
      <c r="Z114">
        <f>IF(VLOOKUP(Z$1,main!$A$3:$I$56,5,FALSE)-VLOOKUP($A114,main!$A$3:$I$56,6,FALSE)&gt;=VLOOKUP(57,main!$A$57:$I$59,4,FALSE)+VLOOKUP(VLOOKUP(Z$1,main!$A$3:$I$56,7,FALSE),main!$K$10:$Q$14,5,FALSE),1,0)</f>
        <v>1</v>
      </c>
      <c r="AA114">
        <f>IF(VLOOKUP(AA$1,main!$A$3:$I$56,5,FALSE)-VLOOKUP($A114,main!$A$3:$I$56,6,FALSE)&gt;=VLOOKUP(57,main!$A$57:$I$59,4,FALSE)+VLOOKUP(VLOOKUP(AA$1,main!$A$3:$I$56,7,FALSE),main!$K$10:$Q$14,5,FALSE),1,0)</f>
        <v>1</v>
      </c>
      <c r="AB114">
        <f>IF(VLOOKUP(AB$1,main!$A$3:$I$56,5,FALSE)-VLOOKUP($A114,main!$A$3:$I$56,6,FALSE)&gt;=VLOOKUP(57,main!$A$57:$I$59,4,FALSE)+VLOOKUP(VLOOKUP(AB$1,main!$A$3:$I$56,7,FALSE),main!$K$10:$Q$14,5,FALSE),1,0)</f>
        <v>1</v>
      </c>
      <c r="AC114">
        <f>IF(VLOOKUP(AC$1,main!$A$3:$I$56,5,FALSE)-VLOOKUP($A114,main!$A$3:$I$56,6,FALSE)&gt;=VLOOKUP(57,main!$A$57:$I$59,4,FALSE)+VLOOKUP(VLOOKUP(AC$1,main!$A$3:$I$56,7,FALSE),main!$K$10:$Q$14,5,FALSE),1,0)</f>
        <v>0</v>
      </c>
      <c r="AD114">
        <f>IF(VLOOKUP(AD$1,main!$A$3:$I$56,5,FALSE)-VLOOKUP($A114,main!$A$3:$I$56,6,FALSE)&gt;=VLOOKUP(57,main!$A$57:$I$59,4,FALSE)+VLOOKUP(VLOOKUP(AD$1,main!$A$3:$I$56,7,FALSE),main!$K$10:$Q$14,5,FALSE),1,0)</f>
        <v>0</v>
      </c>
      <c r="AE114">
        <f>IF(VLOOKUP(AE$1,main!$A$3:$I$56,5,FALSE)-VLOOKUP($A114,main!$A$3:$I$56,6,FALSE)&gt;=VLOOKUP(57,main!$A$57:$I$59,4,FALSE)+VLOOKUP(VLOOKUP(AE$1,main!$A$3:$I$56,7,FALSE),main!$K$10:$Q$14,5,FALSE),1,0)</f>
        <v>0</v>
      </c>
      <c r="AF114">
        <f>IF(VLOOKUP(AF$1,main!$A$3:$I$56,5,FALSE)-VLOOKUP($A114,main!$A$3:$I$56,6,FALSE)&gt;=VLOOKUP(57,main!$A$57:$I$59,4,FALSE)+VLOOKUP(VLOOKUP(AF$1,main!$A$3:$I$56,7,FALSE),main!$K$10:$Q$14,5,FALSE),1,0)</f>
        <v>1</v>
      </c>
      <c r="AG114">
        <f>IF(VLOOKUP(AG$1,main!$A$3:$I$56,5,FALSE)-VLOOKUP($A114,main!$A$3:$I$56,6,FALSE)&gt;=VLOOKUP(57,main!$A$57:$I$59,4,FALSE)+VLOOKUP(VLOOKUP(AG$1,main!$A$3:$I$56,7,FALSE),main!$K$10:$Q$14,5,FALSE),1,0)</f>
        <v>0</v>
      </c>
      <c r="AH114">
        <f>IF(VLOOKUP(AH$1,main!$A$3:$I$56,5,FALSE)-VLOOKUP($A114,main!$A$3:$I$56,6,FALSE)&gt;=VLOOKUP(57,main!$A$57:$I$59,4,FALSE)+VLOOKUP(VLOOKUP(AH$1,main!$A$3:$I$56,7,FALSE),main!$K$10:$Q$14,5,FALSE),1,0)</f>
        <v>0</v>
      </c>
      <c r="AI114">
        <f>IF(VLOOKUP(AI$1,main!$A$3:$I$56,5,FALSE)-VLOOKUP($A114,main!$A$3:$I$56,6,FALSE)&gt;=VLOOKUP(57,main!$A$57:$I$59,4,FALSE)+VLOOKUP(VLOOKUP(AI$1,main!$A$3:$I$56,7,FALSE),main!$K$10:$Q$14,5,FALSE),1,0)</f>
        <v>0</v>
      </c>
      <c r="AJ114">
        <f>IF(VLOOKUP(AJ$1,main!$A$3:$I$56,5,FALSE)-VLOOKUP($A114,main!$A$3:$I$56,6,FALSE)&gt;=VLOOKUP(57,main!$A$57:$I$59,4,FALSE)+VLOOKUP(VLOOKUP(AJ$1,main!$A$3:$I$56,7,FALSE),main!$K$10:$Q$14,5,FALSE),1,0)</f>
        <v>0</v>
      </c>
      <c r="AK114">
        <f>IF(VLOOKUP(AK$1,main!$A$3:$I$56,5,FALSE)-VLOOKUP($A114,main!$A$3:$I$56,6,FALSE)&gt;=VLOOKUP(57,main!$A$57:$I$59,4,FALSE)+VLOOKUP(VLOOKUP(AK$1,main!$A$3:$I$56,7,FALSE),main!$K$10:$Q$14,5,FALSE),1,0)</f>
        <v>0</v>
      </c>
      <c r="AL114">
        <f>IF(VLOOKUP(AL$1,main!$A$3:$I$56,5,FALSE)-VLOOKUP($A114,main!$A$3:$I$56,6,FALSE)&gt;=VLOOKUP(57,main!$A$57:$I$59,4,FALSE)+VLOOKUP(VLOOKUP(AL$1,main!$A$3:$I$56,7,FALSE),main!$K$10:$Q$14,5,FALSE),1,0)</f>
        <v>0</v>
      </c>
      <c r="AM114">
        <f>IF(VLOOKUP(AM$1,main!$A$3:$I$56,5,FALSE)-VLOOKUP($A114,main!$A$3:$I$56,6,FALSE)&gt;=VLOOKUP(57,main!$A$57:$I$59,4,FALSE)+VLOOKUP(VLOOKUP(AM$1,main!$A$3:$I$56,7,FALSE),main!$K$10:$Q$14,5,FALSE),1,0)</f>
        <v>0</v>
      </c>
      <c r="AN114">
        <f>IF(VLOOKUP(AN$1,main!$A$3:$I$56,5,FALSE)-VLOOKUP($A114,main!$A$3:$I$56,6,FALSE)&gt;=VLOOKUP(57,main!$A$57:$I$59,4,FALSE)+VLOOKUP(VLOOKUP(AN$1,main!$A$3:$I$56,7,FALSE),main!$K$10:$Q$14,5,FALSE),1,0)</f>
        <v>0</v>
      </c>
      <c r="AO114">
        <f>IF(VLOOKUP(AO$1,main!$A$3:$I$56,5,FALSE)-VLOOKUP($A114,main!$A$3:$I$56,6,FALSE)&gt;=VLOOKUP(57,main!$A$57:$I$59,4,FALSE)+VLOOKUP(VLOOKUP(AO$1,main!$A$3:$I$56,7,FALSE),main!$K$10:$Q$14,5,FALSE),1,0)</f>
        <v>0</v>
      </c>
      <c r="AP114">
        <f>IF(VLOOKUP(AP$1,main!$A$3:$I$56,5,FALSE)-VLOOKUP($A114,main!$A$3:$I$56,6,FALSE)&gt;=VLOOKUP(57,main!$A$57:$I$59,4,FALSE)+VLOOKUP(VLOOKUP(AP$1,main!$A$3:$I$56,7,FALSE),main!$K$10:$Q$14,5,FALSE),1,0)</f>
        <v>0</v>
      </c>
      <c r="AQ114">
        <f>IF(VLOOKUP(AQ$1,main!$A$3:$I$56,5,FALSE)-VLOOKUP($A114,main!$A$3:$I$56,6,FALSE)&gt;=VLOOKUP(57,main!$A$57:$I$59,4,FALSE)+VLOOKUP(VLOOKUP(AQ$1,main!$A$3:$I$56,7,FALSE),main!$K$10:$Q$14,5,FALSE),1,0)</f>
        <v>0</v>
      </c>
      <c r="AR114">
        <f>IF(VLOOKUP(AR$1,main!$A$3:$I$56,5,FALSE)-VLOOKUP($A114,main!$A$3:$I$56,6,FALSE)&gt;=VLOOKUP(57,main!$A$57:$I$59,4,FALSE)+VLOOKUP(VLOOKUP(AR$1,main!$A$3:$I$56,7,FALSE),main!$K$10:$Q$14,5,FALSE),1,0)</f>
        <v>0</v>
      </c>
      <c r="AS114">
        <f>IF(VLOOKUP(AS$1,main!$A$3:$I$56,5,FALSE)-VLOOKUP($A114,main!$A$3:$I$56,6,FALSE)&gt;=VLOOKUP(57,main!$A$57:$I$59,4,FALSE)+VLOOKUP(VLOOKUP(AS$1,main!$A$3:$I$56,7,FALSE),main!$K$10:$Q$14,5,FALSE),1,0)</f>
        <v>0</v>
      </c>
      <c r="AT114">
        <f>IF(VLOOKUP(AT$1,main!$A$3:$I$56,5,FALSE)-VLOOKUP($A114,main!$A$3:$I$56,6,FALSE)&gt;=VLOOKUP(57,main!$A$57:$I$59,4,FALSE)+VLOOKUP(VLOOKUP(AT$1,main!$A$3:$I$56,7,FALSE),main!$K$10:$Q$14,5,FALSE),1,0)</f>
        <v>0</v>
      </c>
      <c r="AU114">
        <f>IF(VLOOKUP(AU$1,main!$A$3:$I$56,5,FALSE)-VLOOKUP($A114,main!$A$3:$I$56,6,FALSE)&gt;=VLOOKUP(57,main!$A$57:$I$59,4,FALSE)+VLOOKUP(VLOOKUP(AU$1,main!$A$3:$I$56,7,FALSE),main!$K$10:$Q$14,5,FALSE),1,0)</f>
        <v>0</v>
      </c>
      <c r="AV114">
        <f>IF(VLOOKUP(AV$1,main!$A$3:$I$56,5,FALSE)-VLOOKUP($A114,main!$A$3:$I$56,6,FALSE)&gt;=VLOOKUP(57,main!$A$57:$I$59,4,FALSE)+VLOOKUP(VLOOKUP(AV$1,main!$A$3:$I$56,7,FALSE),main!$K$10:$Q$14,5,FALSE),1,0)</f>
        <v>0</v>
      </c>
      <c r="AW114">
        <f>IF(VLOOKUP(AW$1,main!$A$3:$I$56,5,FALSE)-VLOOKUP($A114,main!$A$3:$I$56,6,FALSE)&gt;=VLOOKUP(57,main!$A$57:$I$59,4,FALSE)+VLOOKUP(VLOOKUP(AW$1,main!$A$3:$I$56,7,FALSE),main!$K$10:$Q$14,5,FALSE),1,0)</f>
        <v>0</v>
      </c>
      <c r="AX114">
        <f>IF(VLOOKUP(AX$1,main!$A$3:$I$56,5,FALSE)-VLOOKUP($A114,main!$A$3:$I$56,6,FALSE)&gt;=VLOOKUP(57,main!$A$57:$I$59,4,FALSE)+VLOOKUP(VLOOKUP(AX$1,main!$A$3:$I$56,7,FALSE),main!$K$10:$Q$14,5,FALSE),1,0)</f>
        <v>0</v>
      </c>
      <c r="AY114">
        <f>IF(VLOOKUP(AY$1,main!$A$3:$I$56,5,FALSE)-VLOOKUP($A114,main!$A$3:$I$56,6,FALSE)&gt;=VLOOKUP(57,main!$A$57:$I$59,4,FALSE)+VLOOKUP(VLOOKUP(AY$1,main!$A$3:$I$56,7,FALSE),main!$K$10:$Q$14,5,FALSE),1,0)</f>
        <v>1</v>
      </c>
      <c r="AZ114">
        <f>IF(VLOOKUP(AZ$1,main!$A$3:$I$56,5,FALSE)-VLOOKUP($A114,main!$A$3:$I$56,6,FALSE)&gt;=VLOOKUP(57,main!$A$57:$I$59,4,FALSE)+VLOOKUP(VLOOKUP(AZ$1,main!$A$3:$I$56,7,FALSE),main!$K$10:$Q$14,5,FALSE),1,0)</f>
        <v>0</v>
      </c>
      <c r="BA114">
        <f>IF(VLOOKUP(BA$1,main!$A$3:$I$56,5,FALSE)-VLOOKUP($A114,main!$A$3:$I$56,6,FALSE)&gt;=VLOOKUP(57,main!$A$57:$I$59,4,FALSE)+VLOOKUP(VLOOKUP(BA$1,main!$A$3:$I$56,7,FALSE),main!$K$10:$Q$14,5,FALSE),1,0)</f>
        <v>0</v>
      </c>
      <c r="BB114">
        <f>IF(VLOOKUP(BB$1,main!$A$3:$I$56,5,FALSE)-VLOOKUP($A114,main!$A$3:$I$56,6,FALSE)&gt;=VLOOKUP(57,main!$A$57:$I$59,4,FALSE)+VLOOKUP(VLOOKUP(BB$1,main!$A$3:$I$56,7,FALSE),main!$K$10:$Q$14,5,FALSE),1,0)</f>
        <v>0</v>
      </c>
      <c r="BC114">
        <f>IF(VLOOKUP(BC$1,main!$A$3:$I$56,5,FALSE)-VLOOKUP($A114,main!$A$3:$I$56,6,FALSE)&gt;=VLOOKUP(57,main!$A$57:$I$59,4,FALSE)+VLOOKUP(VLOOKUP(BC$1,main!$A$3:$I$56,7,FALSE),main!$K$10:$Q$14,5,FALSE),1,0)</f>
        <v>0</v>
      </c>
      <c r="BD114">
        <f>IF(VLOOKUP(BD$1,main!$A$3:$I$56,5,FALSE)-VLOOKUP($A114,main!$A$3:$I$56,6,FALSE)&gt;=VLOOKUP(57,main!$A$57:$I$59,4,FALSE)+VLOOKUP(VLOOKUP(BD$1,main!$A$3:$I$56,7,FALSE),main!$K$10:$Q$14,5,FALSE),1,0)</f>
        <v>0</v>
      </c>
    </row>
    <row r="115" spans="1:56" x14ac:dyDescent="0.25">
      <c r="A115">
        <f t="shared" si="2"/>
        <v>3</v>
      </c>
      <c r="B115">
        <v>0</v>
      </c>
      <c r="C115">
        <f>IF(VLOOKUP(C$1,main!$A$3:$I$56,5,FALSE)-VLOOKUP($A115,main!$A$3:$I$56,6,FALSE)&gt;=VLOOKUP(57,main!$A$57:$I$59,4,FALSE)+VLOOKUP(VLOOKUP(C$1,main!$A$3:$I$56,7,FALSE),main!$K$10:$Q$14,5,FALSE),1,0)</f>
        <v>0</v>
      </c>
      <c r="D115">
        <f>IF(VLOOKUP(D$1,main!$A$3:$I$56,5,FALSE)-VLOOKUP($A115,main!$A$3:$I$56,6,FALSE)&gt;=VLOOKUP(57,main!$A$57:$I$59,4,FALSE)+VLOOKUP(VLOOKUP(D$1,main!$A$3:$I$56,7,FALSE),main!$K$10:$Q$14,5,FALSE),1,0)</f>
        <v>0</v>
      </c>
      <c r="E115">
        <f>IF(VLOOKUP(E$1,main!$A$3:$I$56,5,FALSE)-VLOOKUP($A115,main!$A$3:$I$56,6,FALSE)&gt;=VLOOKUP(57,main!$A$57:$I$59,4,FALSE)+VLOOKUP(VLOOKUP(E$1,main!$A$3:$I$56,7,FALSE),main!$K$10:$Q$14,5,FALSE),1,0)</f>
        <v>0</v>
      </c>
      <c r="F115">
        <f>IF(VLOOKUP(F$1,main!$A$3:$I$56,5,FALSE)-VLOOKUP($A115,main!$A$3:$I$56,6,FALSE)&gt;=VLOOKUP(57,main!$A$57:$I$59,4,FALSE)+VLOOKUP(VLOOKUP(F$1,main!$A$3:$I$56,7,FALSE),main!$K$10:$Q$14,5,FALSE),1,0)</f>
        <v>0</v>
      </c>
      <c r="G115">
        <f>IF(VLOOKUP(G$1,main!$A$3:$I$56,5,FALSE)-VLOOKUP($A115,main!$A$3:$I$56,6,FALSE)&gt;=VLOOKUP(57,main!$A$57:$I$59,4,FALSE)+VLOOKUP(VLOOKUP(G$1,main!$A$3:$I$56,7,FALSE),main!$K$10:$Q$14,5,FALSE),1,0)</f>
        <v>0</v>
      </c>
      <c r="H115">
        <f>IF(VLOOKUP(H$1,main!$A$3:$I$56,5,FALSE)-VLOOKUP($A115,main!$A$3:$I$56,6,FALSE)&gt;=VLOOKUP(57,main!$A$57:$I$59,4,FALSE)+VLOOKUP(VLOOKUP(H$1,main!$A$3:$I$56,7,FALSE),main!$K$10:$Q$14,5,FALSE),1,0)</f>
        <v>0</v>
      </c>
      <c r="I115">
        <f>IF(VLOOKUP(I$1,main!$A$3:$I$56,5,FALSE)-VLOOKUP($A115,main!$A$3:$I$56,6,FALSE)&gt;=VLOOKUP(57,main!$A$57:$I$59,4,FALSE)+VLOOKUP(VLOOKUP(I$1,main!$A$3:$I$56,7,FALSE),main!$K$10:$Q$14,5,FALSE),1,0)</f>
        <v>0</v>
      </c>
      <c r="J115">
        <f>IF(VLOOKUP(J$1,main!$A$3:$I$56,5,FALSE)-VLOOKUP($A115,main!$A$3:$I$56,6,FALSE)&gt;=VLOOKUP(57,main!$A$57:$I$59,4,FALSE)+VLOOKUP(VLOOKUP(J$1,main!$A$3:$I$56,7,FALSE),main!$K$10:$Q$14,5,FALSE),1,0)</f>
        <v>1</v>
      </c>
      <c r="K115">
        <f>IF(VLOOKUP(K$1,main!$A$3:$I$56,5,FALSE)-VLOOKUP($A115,main!$A$3:$I$56,6,FALSE)&gt;=VLOOKUP(57,main!$A$57:$I$59,4,FALSE)+VLOOKUP(VLOOKUP(K$1,main!$A$3:$I$56,7,FALSE),main!$K$10:$Q$14,5,FALSE),1,0)</f>
        <v>0</v>
      </c>
      <c r="L115">
        <f>IF(VLOOKUP(L$1,main!$A$3:$I$56,5,FALSE)-VLOOKUP($A115,main!$A$3:$I$56,6,FALSE)&gt;=VLOOKUP(57,main!$A$57:$I$59,4,FALSE)+VLOOKUP(VLOOKUP(L$1,main!$A$3:$I$56,7,FALSE),main!$K$10:$Q$14,5,FALSE),1,0)</f>
        <v>0</v>
      </c>
      <c r="M115">
        <f>IF(VLOOKUP(M$1,main!$A$3:$I$56,5,FALSE)-VLOOKUP($A115,main!$A$3:$I$56,6,FALSE)&gt;=VLOOKUP(57,main!$A$57:$I$59,4,FALSE)+VLOOKUP(VLOOKUP(M$1,main!$A$3:$I$56,7,FALSE),main!$K$10:$Q$14,5,FALSE),1,0)</f>
        <v>0</v>
      </c>
      <c r="N115">
        <f>IF(VLOOKUP(N$1,main!$A$3:$I$56,5,FALSE)-VLOOKUP($A115,main!$A$3:$I$56,6,FALSE)&gt;=VLOOKUP(57,main!$A$57:$I$59,4,FALSE)+VLOOKUP(VLOOKUP(N$1,main!$A$3:$I$56,7,FALSE),main!$K$10:$Q$14,5,FALSE),1,0)</f>
        <v>0</v>
      </c>
      <c r="O115">
        <f>IF(VLOOKUP(O$1,main!$A$3:$I$56,5,FALSE)-VLOOKUP($A115,main!$A$3:$I$56,6,FALSE)&gt;=VLOOKUP(57,main!$A$57:$I$59,4,FALSE)+VLOOKUP(VLOOKUP(O$1,main!$A$3:$I$56,7,FALSE),main!$K$10:$Q$14,5,FALSE),1,0)</f>
        <v>1</v>
      </c>
      <c r="P115">
        <f>IF(VLOOKUP(P$1,main!$A$3:$I$56,5,FALSE)-VLOOKUP($A115,main!$A$3:$I$56,6,FALSE)&gt;=VLOOKUP(57,main!$A$57:$I$59,4,FALSE)+VLOOKUP(VLOOKUP(P$1,main!$A$3:$I$56,7,FALSE),main!$K$10:$Q$14,5,FALSE),1,0)</f>
        <v>0</v>
      </c>
      <c r="Q115">
        <f>IF(VLOOKUP(Q$1,main!$A$3:$I$56,5,FALSE)-VLOOKUP($A115,main!$A$3:$I$56,6,FALSE)&gt;=VLOOKUP(57,main!$A$57:$I$59,4,FALSE)+VLOOKUP(VLOOKUP(Q$1,main!$A$3:$I$56,7,FALSE),main!$K$10:$Q$14,5,FALSE),1,0)</f>
        <v>0</v>
      </c>
      <c r="R115">
        <f>IF(VLOOKUP(R$1,main!$A$3:$I$56,5,FALSE)-VLOOKUP($A115,main!$A$3:$I$56,6,FALSE)&gt;=VLOOKUP(57,main!$A$57:$I$59,4,FALSE)+VLOOKUP(VLOOKUP(R$1,main!$A$3:$I$56,7,FALSE),main!$K$10:$Q$14,5,FALSE),1,0)</f>
        <v>0</v>
      </c>
      <c r="S115">
        <f>IF(VLOOKUP(S$1,main!$A$3:$I$56,5,FALSE)-VLOOKUP($A115,main!$A$3:$I$56,6,FALSE)&gt;=VLOOKUP(57,main!$A$57:$I$59,4,FALSE)+VLOOKUP(VLOOKUP(S$1,main!$A$3:$I$56,7,FALSE),main!$K$10:$Q$14,5,FALSE),1,0)</f>
        <v>0</v>
      </c>
      <c r="T115">
        <f>IF(VLOOKUP(T$1,main!$A$3:$I$56,5,FALSE)-VLOOKUP($A115,main!$A$3:$I$56,6,FALSE)&gt;=VLOOKUP(57,main!$A$57:$I$59,4,FALSE)+VLOOKUP(VLOOKUP(T$1,main!$A$3:$I$56,7,FALSE),main!$K$10:$Q$14,5,FALSE),1,0)</f>
        <v>0</v>
      </c>
      <c r="U115">
        <f>IF(VLOOKUP(U$1,main!$A$3:$I$56,5,FALSE)-VLOOKUP($A115,main!$A$3:$I$56,6,FALSE)&gt;=VLOOKUP(57,main!$A$57:$I$59,4,FALSE)+VLOOKUP(VLOOKUP(U$1,main!$A$3:$I$56,7,FALSE),main!$K$10:$Q$14,5,FALSE),1,0)</f>
        <v>0</v>
      </c>
      <c r="V115">
        <f>IF(VLOOKUP(V$1,main!$A$3:$I$56,5,FALSE)-VLOOKUP($A115,main!$A$3:$I$56,6,FALSE)&gt;=VLOOKUP(57,main!$A$57:$I$59,4,FALSE)+VLOOKUP(VLOOKUP(V$1,main!$A$3:$I$56,7,FALSE),main!$K$10:$Q$14,5,FALSE),1,0)</f>
        <v>0</v>
      </c>
      <c r="W115">
        <f>IF(VLOOKUP(W$1,main!$A$3:$I$56,5,FALSE)-VLOOKUP($A115,main!$A$3:$I$56,6,FALSE)&gt;=VLOOKUP(57,main!$A$57:$I$59,4,FALSE)+VLOOKUP(VLOOKUP(W$1,main!$A$3:$I$56,7,FALSE),main!$K$10:$Q$14,5,FALSE),1,0)</f>
        <v>0</v>
      </c>
      <c r="X115">
        <f>IF(VLOOKUP(X$1,main!$A$3:$I$56,5,FALSE)-VLOOKUP($A115,main!$A$3:$I$56,6,FALSE)&gt;=VLOOKUP(57,main!$A$57:$I$59,4,FALSE)+VLOOKUP(VLOOKUP(X$1,main!$A$3:$I$56,7,FALSE),main!$K$10:$Q$14,5,FALSE),1,0)</f>
        <v>0</v>
      </c>
      <c r="Y115">
        <f>IF(VLOOKUP(Y$1,main!$A$3:$I$56,5,FALSE)-VLOOKUP($A115,main!$A$3:$I$56,6,FALSE)&gt;=VLOOKUP(57,main!$A$57:$I$59,4,FALSE)+VLOOKUP(VLOOKUP(Y$1,main!$A$3:$I$56,7,FALSE),main!$K$10:$Q$14,5,FALSE),1,0)</f>
        <v>0</v>
      </c>
      <c r="Z115">
        <f>IF(VLOOKUP(Z$1,main!$A$3:$I$56,5,FALSE)-VLOOKUP($A115,main!$A$3:$I$56,6,FALSE)&gt;=VLOOKUP(57,main!$A$57:$I$59,4,FALSE)+VLOOKUP(VLOOKUP(Z$1,main!$A$3:$I$56,7,FALSE),main!$K$10:$Q$14,5,FALSE),1,0)</f>
        <v>0</v>
      </c>
      <c r="AA115">
        <f>IF(VLOOKUP(AA$1,main!$A$3:$I$56,5,FALSE)-VLOOKUP($A115,main!$A$3:$I$56,6,FALSE)&gt;=VLOOKUP(57,main!$A$57:$I$59,4,FALSE)+VLOOKUP(VLOOKUP(AA$1,main!$A$3:$I$56,7,FALSE),main!$K$10:$Q$14,5,FALSE),1,0)</f>
        <v>1</v>
      </c>
      <c r="AB115">
        <f>IF(VLOOKUP(AB$1,main!$A$3:$I$56,5,FALSE)-VLOOKUP($A115,main!$A$3:$I$56,6,FALSE)&gt;=VLOOKUP(57,main!$A$57:$I$59,4,FALSE)+VLOOKUP(VLOOKUP(AB$1,main!$A$3:$I$56,7,FALSE),main!$K$10:$Q$14,5,FALSE),1,0)</f>
        <v>1</v>
      </c>
      <c r="AC115">
        <f>IF(VLOOKUP(AC$1,main!$A$3:$I$56,5,FALSE)-VLOOKUP($A115,main!$A$3:$I$56,6,FALSE)&gt;=VLOOKUP(57,main!$A$57:$I$59,4,FALSE)+VLOOKUP(VLOOKUP(AC$1,main!$A$3:$I$56,7,FALSE),main!$K$10:$Q$14,5,FALSE),1,0)</f>
        <v>0</v>
      </c>
      <c r="AD115">
        <f>IF(VLOOKUP(AD$1,main!$A$3:$I$56,5,FALSE)-VLOOKUP($A115,main!$A$3:$I$56,6,FALSE)&gt;=VLOOKUP(57,main!$A$57:$I$59,4,FALSE)+VLOOKUP(VLOOKUP(AD$1,main!$A$3:$I$56,7,FALSE),main!$K$10:$Q$14,5,FALSE),1,0)</f>
        <v>0</v>
      </c>
      <c r="AE115">
        <f>IF(VLOOKUP(AE$1,main!$A$3:$I$56,5,FALSE)-VLOOKUP($A115,main!$A$3:$I$56,6,FALSE)&gt;=VLOOKUP(57,main!$A$57:$I$59,4,FALSE)+VLOOKUP(VLOOKUP(AE$1,main!$A$3:$I$56,7,FALSE),main!$K$10:$Q$14,5,FALSE),1,0)</f>
        <v>0</v>
      </c>
      <c r="AF115">
        <f>IF(VLOOKUP(AF$1,main!$A$3:$I$56,5,FALSE)-VLOOKUP($A115,main!$A$3:$I$56,6,FALSE)&gt;=VLOOKUP(57,main!$A$57:$I$59,4,FALSE)+VLOOKUP(VLOOKUP(AF$1,main!$A$3:$I$56,7,FALSE),main!$K$10:$Q$14,5,FALSE),1,0)</f>
        <v>0</v>
      </c>
      <c r="AG115">
        <f>IF(VLOOKUP(AG$1,main!$A$3:$I$56,5,FALSE)-VLOOKUP($A115,main!$A$3:$I$56,6,FALSE)&gt;=VLOOKUP(57,main!$A$57:$I$59,4,FALSE)+VLOOKUP(VLOOKUP(AG$1,main!$A$3:$I$56,7,FALSE),main!$K$10:$Q$14,5,FALSE),1,0)</f>
        <v>0</v>
      </c>
      <c r="AH115">
        <f>IF(VLOOKUP(AH$1,main!$A$3:$I$56,5,FALSE)-VLOOKUP($A115,main!$A$3:$I$56,6,FALSE)&gt;=VLOOKUP(57,main!$A$57:$I$59,4,FALSE)+VLOOKUP(VLOOKUP(AH$1,main!$A$3:$I$56,7,FALSE),main!$K$10:$Q$14,5,FALSE),1,0)</f>
        <v>0</v>
      </c>
      <c r="AI115">
        <f>IF(VLOOKUP(AI$1,main!$A$3:$I$56,5,FALSE)-VLOOKUP($A115,main!$A$3:$I$56,6,FALSE)&gt;=VLOOKUP(57,main!$A$57:$I$59,4,FALSE)+VLOOKUP(VLOOKUP(AI$1,main!$A$3:$I$56,7,FALSE),main!$K$10:$Q$14,5,FALSE),1,0)</f>
        <v>0</v>
      </c>
      <c r="AJ115">
        <f>IF(VLOOKUP(AJ$1,main!$A$3:$I$56,5,FALSE)-VLOOKUP($A115,main!$A$3:$I$56,6,FALSE)&gt;=VLOOKUP(57,main!$A$57:$I$59,4,FALSE)+VLOOKUP(VLOOKUP(AJ$1,main!$A$3:$I$56,7,FALSE),main!$K$10:$Q$14,5,FALSE),1,0)</f>
        <v>0</v>
      </c>
      <c r="AK115">
        <f>IF(VLOOKUP(AK$1,main!$A$3:$I$56,5,FALSE)-VLOOKUP($A115,main!$A$3:$I$56,6,FALSE)&gt;=VLOOKUP(57,main!$A$57:$I$59,4,FALSE)+VLOOKUP(VLOOKUP(AK$1,main!$A$3:$I$56,7,FALSE),main!$K$10:$Q$14,5,FALSE),1,0)</f>
        <v>0</v>
      </c>
      <c r="AL115">
        <f>IF(VLOOKUP(AL$1,main!$A$3:$I$56,5,FALSE)-VLOOKUP($A115,main!$A$3:$I$56,6,FALSE)&gt;=VLOOKUP(57,main!$A$57:$I$59,4,FALSE)+VLOOKUP(VLOOKUP(AL$1,main!$A$3:$I$56,7,FALSE),main!$K$10:$Q$14,5,FALSE),1,0)</f>
        <v>0</v>
      </c>
      <c r="AM115">
        <f>IF(VLOOKUP(AM$1,main!$A$3:$I$56,5,FALSE)-VLOOKUP($A115,main!$A$3:$I$56,6,FALSE)&gt;=VLOOKUP(57,main!$A$57:$I$59,4,FALSE)+VLOOKUP(VLOOKUP(AM$1,main!$A$3:$I$56,7,FALSE),main!$K$10:$Q$14,5,FALSE),1,0)</f>
        <v>0</v>
      </c>
      <c r="AN115">
        <f>IF(VLOOKUP(AN$1,main!$A$3:$I$56,5,FALSE)-VLOOKUP($A115,main!$A$3:$I$56,6,FALSE)&gt;=VLOOKUP(57,main!$A$57:$I$59,4,FALSE)+VLOOKUP(VLOOKUP(AN$1,main!$A$3:$I$56,7,FALSE),main!$K$10:$Q$14,5,FALSE),1,0)</f>
        <v>0</v>
      </c>
      <c r="AO115">
        <f>IF(VLOOKUP(AO$1,main!$A$3:$I$56,5,FALSE)-VLOOKUP($A115,main!$A$3:$I$56,6,FALSE)&gt;=VLOOKUP(57,main!$A$57:$I$59,4,FALSE)+VLOOKUP(VLOOKUP(AO$1,main!$A$3:$I$56,7,FALSE),main!$K$10:$Q$14,5,FALSE),1,0)</f>
        <v>0</v>
      </c>
      <c r="AP115">
        <f>IF(VLOOKUP(AP$1,main!$A$3:$I$56,5,FALSE)-VLOOKUP($A115,main!$A$3:$I$56,6,FALSE)&gt;=VLOOKUP(57,main!$A$57:$I$59,4,FALSE)+VLOOKUP(VLOOKUP(AP$1,main!$A$3:$I$56,7,FALSE),main!$K$10:$Q$14,5,FALSE),1,0)</f>
        <v>0</v>
      </c>
      <c r="AQ115">
        <f>IF(VLOOKUP(AQ$1,main!$A$3:$I$56,5,FALSE)-VLOOKUP($A115,main!$A$3:$I$56,6,FALSE)&gt;=VLOOKUP(57,main!$A$57:$I$59,4,FALSE)+VLOOKUP(VLOOKUP(AQ$1,main!$A$3:$I$56,7,FALSE),main!$K$10:$Q$14,5,FALSE),1,0)</f>
        <v>0</v>
      </c>
      <c r="AR115">
        <f>IF(VLOOKUP(AR$1,main!$A$3:$I$56,5,FALSE)-VLOOKUP($A115,main!$A$3:$I$56,6,FALSE)&gt;=VLOOKUP(57,main!$A$57:$I$59,4,FALSE)+VLOOKUP(VLOOKUP(AR$1,main!$A$3:$I$56,7,FALSE),main!$K$10:$Q$14,5,FALSE),1,0)</f>
        <v>0</v>
      </c>
      <c r="AS115">
        <f>IF(VLOOKUP(AS$1,main!$A$3:$I$56,5,FALSE)-VLOOKUP($A115,main!$A$3:$I$56,6,FALSE)&gt;=VLOOKUP(57,main!$A$57:$I$59,4,FALSE)+VLOOKUP(VLOOKUP(AS$1,main!$A$3:$I$56,7,FALSE),main!$K$10:$Q$14,5,FALSE),1,0)</f>
        <v>0</v>
      </c>
      <c r="AT115">
        <f>IF(VLOOKUP(AT$1,main!$A$3:$I$56,5,FALSE)-VLOOKUP($A115,main!$A$3:$I$56,6,FALSE)&gt;=VLOOKUP(57,main!$A$57:$I$59,4,FALSE)+VLOOKUP(VLOOKUP(AT$1,main!$A$3:$I$56,7,FALSE),main!$K$10:$Q$14,5,FALSE),1,0)</f>
        <v>0</v>
      </c>
      <c r="AU115">
        <f>IF(VLOOKUP(AU$1,main!$A$3:$I$56,5,FALSE)-VLOOKUP($A115,main!$A$3:$I$56,6,FALSE)&gt;=VLOOKUP(57,main!$A$57:$I$59,4,FALSE)+VLOOKUP(VLOOKUP(AU$1,main!$A$3:$I$56,7,FALSE),main!$K$10:$Q$14,5,FALSE),1,0)</f>
        <v>0</v>
      </c>
      <c r="AV115">
        <f>IF(VLOOKUP(AV$1,main!$A$3:$I$56,5,FALSE)-VLOOKUP($A115,main!$A$3:$I$56,6,FALSE)&gt;=VLOOKUP(57,main!$A$57:$I$59,4,FALSE)+VLOOKUP(VLOOKUP(AV$1,main!$A$3:$I$56,7,FALSE),main!$K$10:$Q$14,5,FALSE),1,0)</f>
        <v>0</v>
      </c>
      <c r="AW115">
        <f>IF(VLOOKUP(AW$1,main!$A$3:$I$56,5,FALSE)-VLOOKUP($A115,main!$A$3:$I$56,6,FALSE)&gt;=VLOOKUP(57,main!$A$57:$I$59,4,FALSE)+VLOOKUP(VLOOKUP(AW$1,main!$A$3:$I$56,7,FALSE),main!$K$10:$Q$14,5,FALSE),1,0)</f>
        <v>0</v>
      </c>
      <c r="AX115">
        <f>IF(VLOOKUP(AX$1,main!$A$3:$I$56,5,FALSE)-VLOOKUP($A115,main!$A$3:$I$56,6,FALSE)&gt;=VLOOKUP(57,main!$A$57:$I$59,4,FALSE)+VLOOKUP(VLOOKUP(AX$1,main!$A$3:$I$56,7,FALSE),main!$K$10:$Q$14,5,FALSE),1,0)</f>
        <v>0</v>
      </c>
      <c r="AY115">
        <f>IF(VLOOKUP(AY$1,main!$A$3:$I$56,5,FALSE)-VLOOKUP($A115,main!$A$3:$I$56,6,FALSE)&gt;=VLOOKUP(57,main!$A$57:$I$59,4,FALSE)+VLOOKUP(VLOOKUP(AY$1,main!$A$3:$I$56,7,FALSE),main!$K$10:$Q$14,5,FALSE),1,0)</f>
        <v>1</v>
      </c>
      <c r="AZ115">
        <f>IF(VLOOKUP(AZ$1,main!$A$3:$I$56,5,FALSE)-VLOOKUP($A115,main!$A$3:$I$56,6,FALSE)&gt;=VLOOKUP(57,main!$A$57:$I$59,4,FALSE)+VLOOKUP(VLOOKUP(AZ$1,main!$A$3:$I$56,7,FALSE),main!$K$10:$Q$14,5,FALSE),1,0)</f>
        <v>0</v>
      </c>
      <c r="BA115">
        <f>IF(VLOOKUP(BA$1,main!$A$3:$I$56,5,FALSE)-VLOOKUP($A115,main!$A$3:$I$56,6,FALSE)&gt;=VLOOKUP(57,main!$A$57:$I$59,4,FALSE)+VLOOKUP(VLOOKUP(BA$1,main!$A$3:$I$56,7,FALSE),main!$K$10:$Q$14,5,FALSE),1,0)</f>
        <v>0</v>
      </c>
      <c r="BB115">
        <f>IF(VLOOKUP(BB$1,main!$A$3:$I$56,5,FALSE)-VLOOKUP($A115,main!$A$3:$I$56,6,FALSE)&gt;=VLOOKUP(57,main!$A$57:$I$59,4,FALSE)+VLOOKUP(VLOOKUP(BB$1,main!$A$3:$I$56,7,FALSE),main!$K$10:$Q$14,5,FALSE),1,0)</f>
        <v>0</v>
      </c>
      <c r="BC115">
        <f>IF(VLOOKUP(BC$1,main!$A$3:$I$56,5,FALSE)-VLOOKUP($A115,main!$A$3:$I$56,6,FALSE)&gt;=VLOOKUP(57,main!$A$57:$I$59,4,FALSE)+VLOOKUP(VLOOKUP(BC$1,main!$A$3:$I$56,7,FALSE),main!$K$10:$Q$14,5,FALSE),1,0)</f>
        <v>0</v>
      </c>
      <c r="BD115">
        <f>IF(VLOOKUP(BD$1,main!$A$3:$I$56,5,FALSE)-VLOOKUP($A115,main!$A$3:$I$56,6,FALSE)&gt;=VLOOKUP(57,main!$A$57:$I$59,4,FALSE)+VLOOKUP(VLOOKUP(BD$1,main!$A$3:$I$56,7,FALSE),main!$K$10:$Q$14,5,FALSE),1,0)</f>
        <v>0</v>
      </c>
    </row>
    <row r="116" spans="1:56" x14ac:dyDescent="0.25">
      <c r="A116">
        <f t="shared" si="2"/>
        <v>4</v>
      </c>
      <c r="B116">
        <v>0</v>
      </c>
      <c r="C116">
        <f>IF(VLOOKUP(C$1,main!$A$3:$I$56,5,FALSE)-VLOOKUP($A116,main!$A$3:$I$56,6,FALSE)&gt;=VLOOKUP(57,main!$A$57:$I$59,4,FALSE)+VLOOKUP(VLOOKUP(C$1,main!$A$3:$I$56,7,FALSE),main!$K$10:$Q$14,5,FALSE),1,0)</f>
        <v>0</v>
      </c>
      <c r="D116">
        <f>IF(VLOOKUP(D$1,main!$A$3:$I$56,5,FALSE)-VLOOKUP($A116,main!$A$3:$I$56,6,FALSE)&gt;=VLOOKUP(57,main!$A$57:$I$59,4,FALSE)+VLOOKUP(VLOOKUP(D$1,main!$A$3:$I$56,7,FALSE),main!$K$10:$Q$14,5,FALSE),1,0)</f>
        <v>0</v>
      </c>
      <c r="E116">
        <f>IF(VLOOKUP(E$1,main!$A$3:$I$56,5,FALSE)-VLOOKUP($A116,main!$A$3:$I$56,6,FALSE)&gt;=VLOOKUP(57,main!$A$57:$I$59,4,FALSE)+VLOOKUP(VLOOKUP(E$1,main!$A$3:$I$56,7,FALSE),main!$K$10:$Q$14,5,FALSE),1,0)</f>
        <v>0</v>
      </c>
      <c r="F116">
        <f>IF(VLOOKUP(F$1,main!$A$3:$I$56,5,FALSE)-VLOOKUP($A116,main!$A$3:$I$56,6,FALSE)&gt;=VLOOKUP(57,main!$A$57:$I$59,4,FALSE)+VLOOKUP(VLOOKUP(F$1,main!$A$3:$I$56,7,FALSE),main!$K$10:$Q$14,5,FALSE),1,0)</f>
        <v>0</v>
      </c>
      <c r="G116">
        <f>IF(VLOOKUP(G$1,main!$A$3:$I$56,5,FALSE)-VLOOKUP($A116,main!$A$3:$I$56,6,FALSE)&gt;=VLOOKUP(57,main!$A$57:$I$59,4,FALSE)+VLOOKUP(VLOOKUP(G$1,main!$A$3:$I$56,7,FALSE),main!$K$10:$Q$14,5,FALSE),1,0)</f>
        <v>0</v>
      </c>
      <c r="H116">
        <f>IF(VLOOKUP(H$1,main!$A$3:$I$56,5,FALSE)-VLOOKUP($A116,main!$A$3:$I$56,6,FALSE)&gt;=VLOOKUP(57,main!$A$57:$I$59,4,FALSE)+VLOOKUP(VLOOKUP(H$1,main!$A$3:$I$56,7,FALSE),main!$K$10:$Q$14,5,FALSE),1,0)</f>
        <v>0</v>
      </c>
      <c r="I116">
        <f>IF(VLOOKUP(I$1,main!$A$3:$I$56,5,FALSE)-VLOOKUP($A116,main!$A$3:$I$56,6,FALSE)&gt;=VLOOKUP(57,main!$A$57:$I$59,4,FALSE)+VLOOKUP(VLOOKUP(I$1,main!$A$3:$I$56,7,FALSE),main!$K$10:$Q$14,5,FALSE),1,0)</f>
        <v>0</v>
      </c>
      <c r="J116">
        <f>IF(VLOOKUP(J$1,main!$A$3:$I$56,5,FALSE)-VLOOKUP($A116,main!$A$3:$I$56,6,FALSE)&gt;=VLOOKUP(57,main!$A$57:$I$59,4,FALSE)+VLOOKUP(VLOOKUP(J$1,main!$A$3:$I$56,7,FALSE),main!$K$10:$Q$14,5,FALSE),1,0)</f>
        <v>0</v>
      </c>
      <c r="K116">
        <f>IF(VLOOKUP(K$1,main!$A$3:$I$56,5,FALSE)-VLOOKUP($A116,main!$A$3:$I$56,6,FALSE)&gt;=VLOOKUP(57,main!$A$57:$I$59,4,FALSE)+VLOOKUP(VLOOKUP(K$1,main!$A$3:$I$56,7,FALSE),main!$K$10:$Q$14,5,FALSE),1,0)</f>
        <v>0</v>
      </c>
      <c r="L116">
        <f>IF(VLOOKUP(L$1,main!$A$3:$I$56,5,FALSE)-VLOOKUP($A116,main!$A$3:$I$56,6,FALSE)&gt;=VLOOKUP(57,main!$A$57:$I$59,4,FALSE)+VLOOKUP(VLOOKUP(L$1,main!$A$3:$I$56,7,FALSE),main!$K$10:$Q$14,5,FALSE),1,0)</f>
        <v>0</v>
      </c>
      <c r="M116">
        <f>IF(VLOOKUP(M$1,main!$A$3:$I$56,5,FALSE)-VLOOKUP($A116,main!$A$3:$I$56,6,FALSE)&gt;=VLOOKUP(57,main!$A$57:$I$59,4,FALSE)+VLOOKUP(VLOOKUP(M$1,main!$A$3:$I$56,7,FALSE),main!$K$10:$Q$14,5,FALSE),1,0)</f>
        <v>0</v>
      </c>
      <c r="N116">
        <f>IF(VLOOKUP(N$1,main!$A$3:$I$56,5,FALSE)-VLOOKUP($A116,main!$A$3:$I$56,6,FALSE)&gt;=VLOOKUP(57,main!$A$57:$I$59,4,FALSE)+VLOOKUP(VLOOKUP(N$1,main!$A$3:$I$56,7,FALSE),main!$K$10:$Q$14,5,FALSE),1,0)</f>
        <v>0</v>
      </c>
      <c r="O116">
        <f>IF(VLOOKUP(O$1,main!$A$3:$I$56,5,FALSE)-VLOOKUP($A116,main!$A$3:$I$56,6,FALSE)&gt;=VLOOKUP(57,main!$A$57:$I$59,4,FALSE)+VLOOKUP(VLOOKUP(O$1,main!$A$3:$I$56,7,FALSE),main!$K$10:$Q$14,5,FALSE),1,0)</f>
        <v>0</v>
      </c>
      <c r="P116">
        <f>IF(VLOOKUP(P$1,main!$A$3:$I$56,5,FALSE)-VLOOKUP($A116,main!$A$3:$I$56,6,FALSE)&gt;=VLOOKUP(57,main!$A$57:$I$59,4,FALSE)+VLOOKUP(VLOOKUP(P$1,main!$A$3:$I$56,7,FALSE),main!$K$10:$Q$14,5,FALSE),1,0)</f>
        <v>0</v>
      </c>
      <c r="Q116">
        <f>IF(VLOOKUP(Q$1,main!$A$3:$I$56,5,FALSE)-VLOOKUP($A116,main!$A$3:$I$56,6,FALSE)&gt;=VLOOKUP(57,main!$A$57:$I$59,4,FALSE)+VLOOKUP(VLOOKUP(Q$1,main!$A$3:$I$56,7,FALSE),main!$K$10:$Q$14,5,FALSE),1,0)</f>
        <v>0</v>
      </c>
      <c r="R116">
        <f>IF(VLOOKUP(R$1,main!$A$3:$I$56,5,FALSE)-VLOOKUP($A116,main!$A$3:$I$56,6,FALSE)&gt;=VLOOKUP(57,main!$A$57:$I$59,4,FALSE)+VLOOKUP(VLOOKUP(R$1,main!$A$3:$I$56,7,FALSE),main!$K$10:$Q$14,5,FALSE),1,0)</f>
        <v>0</v>
      </c>
      <c r="S116">
        <f>IF(VLOOKUP(S$1,main!$A$3:$I$56,5,FALSE)-VLOOKUP($A116,main!$A$3:$I$56,6,FALSE)&gt;=VLOOKUP(57,main!$A$57:$I$59,4,FALSE)+VLOOKUP(VLOOKUP(S$1,main!$A$3:$I$56,7,FALSE),main!$K$10:$Q$14,5,FALSE),1,0)</f>
        <v>0</v>
      </c>
      <c r="T116">
        <f>IF(VLOOKUP(T$1,main!$A$3:$I$56,5,FALSE)-VLOOKUP($A116,main!$A$3:$I$56,6,FALSE)&gt;=VLOOKUP(57,main!$A$57:$I$59,4,FALSE)+VLOOKUP(VLOOKUP(T$1,main!$A$3:$I$56,7,FALSE),main!$K$10:$Q$14,5,FALSE),1,0)</f>
        <v>0</v>
      </c>
      <c r="U116">
        <f>IF(VLOOKUP(U$1,main!$A$3:$I$56,5,FALSE)-VLOOKUP($A116,main!$A$3:$I$56,6,FALSE)&gt;=VLOOKUP(57,main!$A$57:$I$59,4,FALSE)+VLOOKUP(VLOOKUP(U$1,main!$A$3:$I$56,7,FALSE),main!$K$10:$Q$14,5,FALSE),1,0)</f>
        <v>0</v>
      </c>
      <c r="V116">
        <f>IF(VLOOKUP(V$1,main!$A$3:$I$56,5,FALSE)-VLOOKUP($A116,main!$A$3:$I$56,6,FALSE)&gt;=VLOOKUP(57,main!$A$57:$I$59,4,FALSE)+VLOOKUP(VLOOKUP(V$1,main!$A$3:$I$56,7,FALSE),main!$K$10:$Q$14,5,FALSE),1,0)</f>
        <v>0</v>
      </c>
      <c r="W116">
        <f>IF(VLOOKUP(W$1,main!$A$3:$I$56,5,FALSE)-VLOOKUP($A116,main!$A$3:$I$56,6,FALSE)&gt;=VLOOKUP(57,main!$A$57:$I$59,4,FALSE)+VLOOKUP(VLOOKUP(W$1,main!$A$3:$I$56,7,FALSE),main!$K$10:$Q$14,5,FALSE),1,0)</f>
        <v>0</v>
      </c>
      <c r="X116">
        <f>IF(VLOOKUP(X$1,main!$A$3:$I$56,5,FALSE)-VLOOKUP($A116,main!$A$3:$I$56,6,FALSE)&gt;=VLOOKUP(57,main!$A$57:$I$59,4,FALSE)+VLOOKUP(VLOOKUP(X$1,main!$A$3:$I$56,7,FALSE),main!$K$10:$Q$14,5,FALSE),1,0)</f>
        <v>0</v>
      </c>
      <c r="Y116">
        <f>IF(VLOOKUP(Y$1,main!$A$3:$I$56,5,FALSE)-VLOOKUP($A116,main!$A$3:$I$56,6,FALSE)&gt;=VLOOKUP(57,main!$A$57:$I$59,4,FALSE)+VLOOKUP(VLOOKUP(Y$1,main!$A$3:$I$56,7,FALSE),main!$K$10:$Q$14,5,FALSE),1,0)</f>
        <v>0</v>
      </c>
      <c r="Z116">
        <f>IF(VLOOKUP(Z$1,main!$A$3:$I$56,5,FALSE)-VLOOKUP($A116,main!$A$3:$I$56,6,FALSE)&gt;=VLOOKUP(57,main!$A$57:$I$59,4,FALSE)+VLOOKUP(VLOOKUP(Z$1,main!$A$3:$I$56,7,FALSE),main!$K$10:$Q$14,5,FALSE),1,0)</f>
        <v>0</v>
      </c>
      <c r="AA116">
        <f>IF(VLOOKUP(AA$1,main!$A$3:$I$56,5,FALSE)-VLOOKUP($A116,main!$A$3:$I$56,6,FALSE)&gt;=VLOOKUP(57,main!$A$57:$I$59,4,FALSE)+VLOOKUP(VLOOKUP(AA$1,main!$A$3:$I$56,7,FALSE),main!$K$10:$Q$14,5,FALSE),1,0)</f>
        <v>0</v>
      </c>
      <c r="AB116">
        <f>IF(VLOOKUP(AB$1,main!$A$3:$I$56,5,FALSE)-VLOOKUP($A116,main!$A$3:$I$56,6,FALSE)&gt;=VLOOKUP(57,main!$A$57:$I$59,4,FALSE)+VLOOKUP(VLOOKUP(AB$1,main!$A$3:$I$56,7,FALSE),main!$K$10:$Q$14,5,FALSE),1,0)</f>
        <v>1</v>
      </c>
      <c r="AC116">
        <f>IF(VLOOKUP(AC$1,main!$A$3:$I$56,5,FALSE)-VLOOKUP($A116,main!$A$3:$I$56,6,FALSE)&gt;=VLOOKUP(57,main!$A$57:$I$59,4,FALSE)+VLOOKUP(VLOOKUP(AC$1,main!$A$3:$I$56,7,FALSE),main!$K$10:$Q$14,5,FALSE),1,0)</f>
        <v>0</v>
      </c>
      <c r="AD116">
        <f>IF(VLOOKUP(AD$1,main!$A$3:$I$56,5,FALSE)-VLOOKUP($A116,main!$A$3:$I$56,6,FALSE)&gt;=VLOOKUP(57,main!$A$57:$I$59,4,FALSE)+VLOOKUP(VLOOKUP(AD$1,main!$A$3:$I$56,7,FALSE),main!$K$10:$Q$14,5,FALSE),1,0)</f>
        <v>0</v>
      </c>
      <c r="AE116">
        <f>IF(VLOOKUP(AE$1,main!$A$3:$I$56,5,FALSE)-VLOOKUP($A116,main!$A$3:$I$56,6,FALSE)&gt;=VLOOKUP(57,main!$A$57:$I$59,4,FALSE)+VLOOKUP(VLOOKUP(AE$1,main!$A$3:$I$56,7,FALSE),main!$K$10:$Q$14,5,FALSE),1,0)</f>
        <v>0</v>
      </c>
      <c r="AF116">
        <f>IF(VLOOKUP(AF$1,main!$A$3:$I$56,5,FALSE)-VLOOKUP($A116,main!$A$3:$I$56,6,FALSE)&gt;=VLOOKUP(57,main!$A$57:$I$59,4,FALSE)+VLOOKUP(VLOOKUP(AF$1,main!$A$3:$I$56,7,FALSE),main!$K$10:$Q$14,5,FALSE),1,0)</f>
        <v>0</v>
      </c>
      <c r="AG116">
        <f>IF(VLOOKUP(AG$1,main!$A$3:$I$56,5,FALSE)-VLOOKUP($A116,main!$A$3:$I$56,6,FALSE)&gt;=VLOOKUP(57,main!$A$57:$I$59,4,FALSE)+VLOOKUP(VLOOKUP(AG$1,main!$A$3:$I$56,7,FALSE),main!$K$10:$Q$14,5,FALSE),1,0)</f>
        <v>0</v>
      </c>
      <c r="AH116">
        <f>IF(VLOOKUP(AH$1,main!$A$3:$I$56,5,FALSE)-VLOOKUP($A116,main!$A$3:$I$56,6,FALSE)&gt;=VLOOKUP(57,main!$A$57:$I$59,4,FALSE)+VLOOKUP(VLOOKUP(AH$1,main!$A$3:$I$56,7,FALSE),main!$K$10:$Q$14,5,FALSE),1,0)</f>
        <v>0</v>
      </c>
      <c r="AI116">
        <f>IF(VLOOKUP(AI$1,main!$A$3:$I$56,5,FALSE)-VLOOKUP($A116,main!$A$3:$I$56,6,FALSE)&gt;=VLOOKUP(57,main!$A$57:$I$59,4,FALSE)+VLOOKUP(VLOOKUP(AI$1,main!$A$3:$I$56,7,FALSE),main!$K$10:$Q$14,5,FALSE),1,0)</f>
        <v>0</v>
      </c>
      <c r="AJ116">
        <f>IF(VLOOKUP(AJ$1,main!$A$3:$I$56,5,FALSE)-VLOOKUP($A116,main!$A$3:$I$56,6,FALSE)&gt;=VLOOKUP(57,main!$A$57:$I$59,4,FALSE)+VLOOKUP(VLOOKUP(AJ$1,main!$A$3:$I$56,7,FALSE),main!$K$10:$Q$14,5,FALSE),1,0)</f>
        <v>0</v>
      </c>
      <c r="AK116">
        <f>IF(VLOOKUP(AK$1,main!$A$3:$I$56,5,FALSE)-VLOOKUP($A116,main!$A$3:$I$56,6,FALSE)&gt;=VLOOKUP(57,main!$A$57:$I$59,4,FALSE)+VLOOKUP(VLOOKUP(AK$1,main!$A$3:$I$56,7,FALSE),main!$K$10:$Q$14,5,FALSE),1,0)</f>
        <v>0</v>
      </c>
      <c r="AL116">
        <f>IF(VLOOKUP(AL$1,main!$A$3:$I$56,5,FALSE)-VLOOKUP($A116,main!$A$3:$I$56,6,FALSE)&gt;=VLOOKUP(57,main!$A$57:$I$59,4,FALSE)+VLOOKUP(VLOOKUP(AL$1,main!$A$3:$I$56,7,FALSE),main!$K$10:$Q$14,5,FALSE),1,0)</f>
        <v>0</v>
      </c>
      <c r="AM116">
        <f>IF(VLOOKUP(AM$1,main!$A$3:$I$56,5,FALSE)-VLOOKUP($A116,main!$A$3:$I$56,6,FALSE)&gt;=VLOOKUP(57,main!$A$57:$I$59,4,FALSE)+VLOOKUP(VLOOKUP(AM$1,main!$A$3:$I$56,7,FALSE),main!$K$10:$Q$14,5,FALSE),1,0)</f>
        <v>0</v>
      </c>
      <c r="AN116">
        <f>IF(VLOOKUP(AN$1,main!$A$3:$I$56,5,FALSE)-VLOOKUP($A116,main!$A$3:$I$56,6,FALSE)&gt;=VLOOKUP(57,main!$A$57:$I$59,4,FALSE)+VLOOKUP(VLOOKUP(AN$1,main!$A$3:$I$56,7,FALSE),main!$K$10:$Q$14,5,FALSE),1,0)</f>
        <v>0</v>
      </c>
      <c r="AO116">
        <f>IF(VLOOKUP(AO$1,main!$A$3:$I$56,5,FALSE)-VLOOKUP($A116,main!$A$3:$I$56,6,FALSE)&gt;=VLOOKUP(57,main!$A$57:$I$59,4,FALSE)+VLOOKUP(VLOOKUP(AO$1,main!$A$3:$I$56,7,FALSE),main!$K$10:$Q$14,5,FALSE),1,0)</f>
        <v>0</v>
      </c>
      <c r="AP116">
        <f>IF(VLOOKUP(AP$1,main!$A$3:$I$56,5,FALSE)-VLOOKUP($A116,main!$A$3:$I$56,6,FALSE)&gt;=VLOOKUP(57,main!$A$57:$I$59,4,FALSE)+VLOOKUP(VLOOKUP(AP$1,main!$A$3:$I$56,7,FALSE),main!$K$10:$Q$14,5,FALSE),1,0)</f>
        <v>0</v>
      </c>
      <c r="AQ116">
        <f>IF(VLOOKUP(AQ$1,main!$A$3:$I$56,5,FALSE)-VLOOKUP($A116,main!$A$3:$I$56,6,FALSE)&gt;=VLOOKUP(57,main!$A$57:$I$59,4,FALSE)+VLOOKUP(VLOOKUP(AQ$1,main!$A$3:$I$56,7,FALSE),main!$K$10:$Q$14,5,FALSE),1,0)</f>
        <v>0</v>
      </c>
      <c r="AR116">
        <f>IF(VLOOKUP(AR$1,main!$A$3:$I$56,5,FALSE)-VLOOKUP($A116,main!$A$3:$I$56,6,FALSE)&gt;=VLOOKUP(57,main!$A$57:$I$59,4,FALSE)+VLOOKUP(VLOOKUP(AR$1,main!$A$3:$I$56,7,FALSE),main!$K$10:$Q$14,5,FALSE),1,0)</f>
        <v>0</v>
      </c>
      <c r="AS116">
        <f>IF(VLOOKUP(AS$1,main!$A$3:$I$56,5,FALSE)-VLOOKUP($A116,main!$A$3:$I$56,6,FALSE)&gt;=VLOOKUP(57,main!$A$57:$I$59,4,FALSE)+VLOOKUP(VLOOKUP(AS$1,main!$A$3:$I$56,7,FALSE),main!$K$10:$Q$14,5,FALSE),1,0)</f>
        <v>0</v>
      </c>
      <c r="AT116">
        <f>IF(VLOOKUP(AT$1,main!$A$3:$I$56,5,FALSE)-VLOOKUP($A116,main!$A$3:$I$56,6,FALSE)&gt;=VLOOKUP(57,main!$A$57:$I$59,4,FALSE)+VLOOKUP(VLOOKUP(AT$1,main!$A$3:$I$56,7,FALSE),main!$K$10:$Q$14,5,FALSE),1,0)</f>
        <v>0</v>
      </c>
      <c r="AU116">
        <f>IF(VLOOKUP(AU$1,main!$A$3:$I$56,5,FALSE)-VLOOKUP($A116,main!$A$3:$I$56,6,FALSE)&gt;=VLOOKUP(57,main!$A$57:$I$59,4,FALSE)+VLOOKUP(VLOOKUP(AU$1,main!$A$3:$I$56,7,FALSE),main!$K$10:$Q$14,5,FALSE),1,0)</f>
        <v>0</v>
      </c>
      <c r="AV116">
        <f>IF(VLOOKUP(AV$1,main!$A$3:$I$56,5,FALSE)-VLOOKUP($A116,main!$A$3:$I$56,6,FALSE)&gt;=VLOOKUP(57,main!$A$57:$I$59,4,FALSE)+VLOOKUP(VLOOKUP(AV$1,main!$A$3:$I$56,7,FALSE),main!$K$10:$Q$14,5,FALSE),1,0)</f>
        <v>0</v>
      </c>
      <c r="AW116">
        <f>IF(VLOOKUP(AW$1,main!$A$3:$I$56,5,FALSE)-VLOOKUP($A116,main!$A$3:$I$56,6,FALSE)&gt;=VLOOKUP(57,main!$A$57:$I$59,4,FALSE)+VLOOKUP(VLOOKUP(AW$1,main!$A$3:$I$56,7,FALSE),main!$K$10:$Q$14,5,FALSE),1,0)</f>
        <v>0</v>
      </c>
      <c r="AX116">
        <f>IF(VLOOKUP(AX$1,main!$A$3:$I$56,5,FALSE)-VLOOKUP($A116,main!$A$3:$I$56,6,FALSE)&gt;=VLOOKUP(57,main!$A$57:$I$59,4,FALSE)+VLOOKUP(VLOOKUP(AX$1,main!$A$3:$I$56,7,FALSE),main!$K$10:$Q$14,5,FALSE),1,0)</f>
        <v>0</v>
      </c>
      <c r="AY116">
        <f>IF(VLOOKUP(AY$1,main!$A$3:$I$56,5,FALSE)-VLOOKUP($A116,main!$A$3:$I$56,6,FALSE)&gt;=VLOOKUP(57,main!$A$57:$I$59,4,FALSE)+VLOOKUP(VLOOKUP(AY$1,main!$A$3:$I$56,7,FALSE),main!$K$10:$Q$14,5,FALSE),1,0)</f>
        <v>0</v>
      </c>
      <c r="AZ116">
        <f>IF(VLOOKUP(AZ$1,main!$A$3:$I$56,5,FALSE)-VLOOKUP($A116,main!$A$3:$I$56,6,FALSE)&gt;=VLOOKUP(57,main!$A$57:$I$59,4,FALSE)+VLOOKUP(VLOOKUP(AZ$1,main!$A$3:$I$56,7,FALSE),main!$K$10:$Q$14,5,FALSE),1,0)</f>
        <v>0</v>
      </c>
      <c r="BA116">
        <f>IF(VLOOKUP(BA$1,main!$A$3:$I$56,5,FALSE)-VLOOKUP($A116,main!$A$3:$I$56,6,FALSE)&gt;=VLOOKUP(57,main!$A$57:$I$59,4,FALSE)+VLOOKUP(VLOOKUP(BA$1,main!$A$3:$I$56,7,FALSE),main!$K$10:$Q$14,5,FALSE),1,0)</f>
        <v>0</v>
      </c>
      <c r="BB116">
        <f>IF(VLOOKUP(BB$1,main!$A$3:$I$56,5,FALSE)-VLOOKUP($A116,main!$A$3:$I$56,6,FALSE)&gt;=VLOOKUP(57,main!$A$57:$I$59,4,FALSE)+VLOOKUP(VLOOKUP(BB$1,main!$A$3:$I$56,7,FALSE),main!$K$10:$Q$14,5,FALSE),1,0)</f>
        <v>0</v>
      </c>
      <c r="BC116">
        <f>IF(VLOOKUP(BC$1,main!$A$3:$I$56,5,FALSE)-VLOOKUP($A116,main!$A$3:$I$56,6,FALSE)&gt;=VLOOKUP(57,main!$A$57:$I$59,4,FALSE)+VLOOKUP(VLOOKUP(BC$1,main!$A$3:$I$56,7,FALSE),main!$K$10:$Q$14,5,FALSE),1,0)</f>
        <v>0</v>
      </c>
      <c r="BD116">
        <f>IF(VLOOKUP(BD$1,main!$A$3:$I$56,5,FALSE)-VLOOKUP($A116,main!$A$3:$I$56,6,FALSE)&gt;=VLOOKUP(57,main!$A$57:$I$59,4,FALSE)+VLOOKUP(VLOOKUP(BD$1,main!$A$3:$I$56,7,FALSE),main!$K$10:$Q$14,5,FALSE),1,0)</f>
        <v>0</v>
      </c>
    </row>
    <row r="117" spans="1:56" x14ac:dyDescent="0.25">
      <c r="A117">
        <f t="shared" si="2"/>
        <v>5</v>
      </c>
      <c r="B117">
        <v>0</v>
      </c>
      <c r="C117">
        <f>IF(VLOOKUP(C$1,main!$A$3:$I$56,5,FALSE)-VLOOKUP($A117,main!$A$3:$I$56,6,FALSE)&gt;=VLOOKUP(57,main!$A$57:$I$59,4,FALSE)+VLOOKUP(VLOOKUP(C$1,main!$A$3:$I$56,7,FALSE),main!$K$10:$Q$14,5,FALSE),1,0)</f>
        <v>0</v>
      </c>
      <c r="D117">
        <f>IF(VLOOKUP(D$1,main!$A$3:$I$56,5,FALSE)-VLOOKUP($A117,main!$A$3:$I$56,6,FALSE)&gt;=VLOOKUP(57,main!$A$57:$I$59,4,FALSE)+VLOOKUP(VLOOKUP(D$1,main!$A$3:$I$56,7,FALSE),main!$K$10:$Q$14,5,FALSE),1,0)</f>
        <v>0</v>
      </c>
      <c r="E117">
        <f>IF(VLOOKUP(E$1,main!$A$3:$I$56,5,FALSE)-VLOOKUP($A117,main!$A$3:$I$56,6,FALSE)&gt;=VLOOKUP(57,main!$A$57:$I$59,4,FALSE)+VLOOKUP(VLOOKUP(E$1,main!$A$3:$I$56,7,FALSE),main!$K$10:$Q$14,5,FALSE),1,0)</f>
        <v>0</v>
      </c>
      <c r="F117">
        <f>IF(VLOOKUP(F$1,main!$A$3:$I$56,5,FALSE)-VLOOKUP($A117,main!$A$3:$I$56,6,FALSE)&gt;=VLOOKUP(57,main!$A$57:$I$59,4,FALSE)+VLOOKUP(VLOOKUP(F$1,main!$A$3:$I$56,7,FALSE),main!$K$10:$Q$14,5,FALSE),1,0)</f>
        <v>0</v>
      </c>
      <c r="G117">
        <f>IF(VLOOKUP(G$1,main!$A$3:$I$56,5,FALSE)-VLOOKUP($A117,main!$A$3:$I$56,6,FALSE)&gt;=VLOOKUP(57,main!$A$57:$I$59,4,FALSE)+VLOOKUP(VLOOKUP(G$1,main!$A$3:$I$56,7,FALSE),main!$K$10:$Q$14,5,FALSE),1,0)</f>
        <v>0</v>
      </c>
      <c r="H117">
        <f>IF(VLOOKUP(H$1,main!$A$3:$I$56,5,FALSE)-VLOOKUP($A117,main!$A$3:$I$56,6,FALSE)&gt;=VLOOKUP(57,main!$A$57:$I$59,4,FALSE)+VLOOKUP(VLOOKUP(H$1,main!$A$3:$I$56,7,FALSE),main!$K$10:$Q$14,5,FALSE),1,0)</f>
        <v>0</v>
      </c>
      <c r="I117">
        <f>IF(VLOOKUP(I$1,main!$A$3:$I$56,5,FALSE)-VLOOKUP($A117,main!$A$3:$I$56,6,FALSE)&gt;=VLOOKUP(57,main!$A$57:$I$59,4,FALSE)+VLOOKUP(VLOOKUP(I$1,main!$A$3:$I$56,7,FALSE),main!$K$10:$Q$14,5,FALSE),1,0)</f>
        <v>0</v>
      </c>
      <c r="J117">
        <f>IF(VLOOKUP(J$1,main!$A$3:$I$56,5,FALSE)-VLOOKUP($A117,main!$A$3:$I$56,6,FALSE)&gt;=VLOOKUP(57,main!$A$57:$I$59,4,FALSE)+VLOOKUP(VLOOKUP(J$1,main!$A$3:$I$56,7,FALSE),main!$K$10:$Q$14,5,FALSE),1,0)</f>
        <v>0</v>
      </c>
      <c r="K117">
        <f>IF(VLOOKUP(K$1,main!$A$3:$I$56,5,FALSE)-VLOOKUP($A117,main!$A$3:$I$56,6,FALSE)&gt;=VLOOKUP(57,main!$A$57:$I$59,4,FALSE)+VLOOKUP(VLOOKUP(K$1,main!$A$3:$I$56,7,FALSE),main!$K$10:$Q$14,5,FALSE),1,0)</f>
        <v>0</v>
      </c>
      <c r="L117">
        <f>IF(VLOOKUP(L$1,main!$A$3:$I$56,5,FALSE)-VLOOKUP($A117,main!$A$3:$I$56,6,FALSE)&gt;=VLOOKUP(57,main!$A$57:$I$59,4,FALSE)+VLOOKUP(VLOOKUP(L$1,main!$A$3:$I$56,7,FALSE),main!$K$10:$Q$14,5,FALSE),1,0)</f>
        <v>0</v>
      </c>
      <c r="M117">
        <f>IF(VLOOKUP(M$1,main!$A$3:$I$56,5,FALSE)-VLOOKUP($A117,main!$A$3:$I$56,6,FALSE)&gt;=VLOOKUP(57,main!$A$57:$I$59,4,FALSE)+VLOOKUP(VLOOKUP(M$1,main!$A$3:$I$56,7,FALSE),main!$K$10:$Q$14,5,FALSE),1,0)</f>
        <v>0</v>
      </c>
      <c r="N117">
        <f>IF(VLOOKUP(N$1,main!$A$3:$I$56,5,FALSE)-VLOOKUP($A117,main!$A$3:$I$56,6,FALSE)&gt;=VLOOKUP(57,main!$A$57:$I$59,4,FALSE)+VLOOKUP(VLOOKUP(N$1,main!$A$3:$I$56,7,FALSE),main!$K$10:$Q$14,5,FALSE),1,0)</f>
        <v>0</v>
      </c>
      <c r="O117">
        <f>IF(VLOOKUP(O$1,main!$A$3:$I$56,5,FALSE)-VLOOKUP($A117,main!$A$3:$I$56,6,FALSE)&gt;=VLOOKUP(57,main!$A$57:$I$59,4,FALSE)+VLOOKUP(VLOOKUP(O$1,main!$A$3:$I$56,7,FALSE),main!$K$10:$Q$14,5,FALSE),1,0)</f>
        <v>0</v>
      </c>
      <c r="P117">
        <f>IF(VLOOKUP(P$1,main!$A$3:$I$56,5,FALSE)-VLOOKUP($A117,main!$A$3:$I$56,6,FALSE)&gt;=VLOOKUP(57,main!$A$57:$I$59,4,FALSE)+VLOOKUP(VLOOKUP(P$1,main!$A$3:$I$56,7,FALSE),main!$K$10:$Q$14,5,FALSE),1,0)</f>
        <v>0</v>
      </c>
      <c r="Q117">
        <f>IF(VLOOKUP(Q$1,main!$A$3:$I$56,5,FALSE)-VLOOKUP($A117,main!$A$3:$I$56,6,FALSE)&gt;=VLOOKUP(57,main!$A$57:$I$59,4,FALSE)+VLOOKUP(VLOOKUP(Q$1,main!$A$3:$I$56,7,FALSE),main!$K$10:$Q$14,5,FALSE),1,0)</f>
        <v>0</v>
      </c>
      <c r="R117">
        <f>IF(VLOOKUP(R$1,main!$A$3:$I$56,5,FALSE)-VLOOKUP($A117,main!$A$3:$I$56,6,FALSE)&gt;=VLOOKUP(57,main!$A$57:$I$59,4,FALSE)+VLOOKUP(VLOOKUP(R$1,main!$A$3:$I$56,7,FALSE),main!$K$10:$Q$14,5,FALSE),1,0)</f>
        <v>0</v>
      </c>
      <c r="S117">
        <f>IF(VLOOKUP(S$1,main!$A$3:$I$56,5,FALSE)-VLOOKUP($A117,main!$A$3:$I$56,6,FALSE)&gt;=VLOOKUP(57,main!$A$57:$I$59,4,FALSE)+VLOOKUP(VLOOKUP(S$1,main!$A$3:$I$56,7,FALSE),main!$K$10:$Q$14,5,FALSE),1,0)</f>
        <v>0</v>
      </c>
      <c r="T117">
        <f>IF(VLOOKUP(T$1,main!$A$3:$I$56,5,FALSE)-VLOOKUP($A117,main!$A$3:$I$56,6,FALSE)&gt;=VLOOKUP(57,main!$A$57:$I$59,4,FALSE)+VLOOKUP(VLOOKUP(T$1,main!$A$3:$I$56,7,FALSE),main!$K$10:$Q$14,5,FALSE),1,0)</f>
        <v>0</v>
      </c>
      <c r="U117">
        <f>IF(VLOOKUP(U$1,main!$A$3:$I$56,5,FALSE)-VLOOKUP($A117,main!$A$3:$I$56,6,FALSE)&gt;=VLOOKUP(57,main!$A$57:$I$59,4,FALSE)+VLOOKUP(VLOOKUP(U$1,main!$A$3:$I$56,7,FALSE),main!$K$10:$Q$14,5,FALSE),1,0)</f>
        <v>0</v>
      </c>
      <c r="V117">
        <f>IF(VLOOKUP(V$1,main!$A$3:$I$56,5,FALSE)-VLOOKUP($A117,main!$A$3:$I$56,6,FALSE)&gt;=VLOOKUP(57,main!$A$57:$I$59,4,FALSE)+VLOOKUP(VLOOKUP(V$1,main!$A$3:$I$56,7,FALSE),main!$K$10:$Q$14,5,FALSE),1,0)</f>
        <v>0</v>
      </c>
      <c r="W117">
        <f>IF(VLOOKUP(W$1,main!$A$3:$I$56,5,FALSE)-VLOOKUP($A117,main!$A$3:$I$56,6,FALSE)&gt;=VLOOKUP(57,main!$A$57:$I$59,4,FALSE)+VLOOKUP(VLOOKUP(W$1,main!$A$3:$I$56,7,FALSE),main!$K$10:$Q$14,5,FALSE),1,0)</f>
        <v>0</v>
      </c>
      <c r="X117">
        <f>IF(VLOOKUP(X$1,main!$A$3:$I$56,5,FALSE)-VLOOKUP($A117,main!$A$3:$I$56,6,FALSE)&gt;=VLOOKUP(57,main!$A$57:$I$59,4,FALSE)+VLOOKUP(VLOOKUP(X$1,main!$A$3:$I$56,7,FALSE),main!$K$10:$Q$14,5,FALSE),1,0)</f>
        <v>0</v>
      </c>
      <c r="Y117">
        <f>IF(VLOOKUP(Y$1,main!$A$3:$I$56,5,FALSE)-VLOOKUP($A117,main!$A$3:$I$56,6,FALSE)&gt;=VLOOKUP(57,main!$A$57:$I$59,4,FALSE)+VLOOKUP(VLOOKUP(Y$1,main!$A$3:$I$56,7,FALSE),main!$K$10:$Q$14,5,FALSE),1,0)</f>
        <v>0</v>
      </c>
      <c r="Z117">
        <f>IF(VLOOKUP(Z$1,main!$A$3:$I$56,5,FALSE)-VLOOKUP($A117,main!$A$3:$I$56,6,FALSE)&gt;=VLOOKUP(57,main!$A$57:$I$59,4,FALSE)+VLOOKUP(VLOOKUP(Z$1,main!$A$3:$I$56,7,FALSE),main!$K$10:$Q$14,5,FALSE),1,0)</f>
        <v>0</v>
      </c>
      <c r="AA117">
        <f>IF(VLOOKUP(AA$1,main!$A$3:$I$56,5,FALSE)-VLOOKUP($A117,main!$A$3:$I$56,6,FALSE)&gt;=VLOOKUP(57,main!$A$57:$I$59,4,FALSE)+VLOOKUP(VLOOKUP(AA$1,main!$A$3:$I$56,7,FALSE),main!$K$10:$Q$14,5,FALSE),1,0)</f>
        <v>0</v>
      </c>
      <c r="AB117">
        <f>IF(VLOOKUP(AB$1,main!$A$3:$I$56,5,FALSE)-VLOOKUP($A117,main!$A$3:$I$56,6,FALSE)&gt;=VLOOKUP(57,main!$A$57:$I$59,4,FALSE)+VLOOKUP(VLOOKUP(AB$1,main!$A$3:$I$56,7,FALSE),main!$K$10:$Q$14,5,FALSE),1,0)</f>
        <v>0</v>
      </c>
      <c r="AC117">
        <f>IF(VLOOKUP(AC$1,main!$A$3:$I$56,5,FALSE)-VLOOKUP($A117,main!$A$3:$I$56,6,FALSE)&gt;=VLOOKUP(57,main!$A$57:$I$59,4,FALSE)+VLOOKUP(VLOOKUP(AC$1,main!$A$3:$I$56,7,FALSE),main!$K$10:$Q$14,5,FALSE),1,0)</f>
        <v>0</v>
      </c>
      <c r="AD117">
        <f>IF(VLOOKUP(AD$1,main!$A$3:$I$56,5,FALSE)-VLOOKUP($A117,main!$A$3:$I$56,6,FALSE)&gt;=VLOOKUP(57,main!$A$57:$I$59,4,FALSE)+VLOOKUP(VLOOKUP(AD$1,main!$A$3:$I$56,7,FALSE),main!$K$10:$Q$14,5,FALSE),1,0)</f>
        <v>0</v>
      </c>
      <c r="AE117">
        <f>IF(VLOOKUP(AE$1,main!$A$3:$I$56,5,FALSE)-VLOOKUP($A117,main!$A$3:$I$56,6,FALSE)&gt;=VLOOKUP(57,main!$A$57:$I$59,4,FALSE)+VLOOKUP(VLOOKUP(AE$1,main!$A$3:$I$56,7,FALSE),main!$K$10:$Q$14,5,FALSE),1,0)</f>
        <v>0</v>
      </c>
      <c r="AF117">
        <f>IF(VLOOKUP(AF$1,main!$A$3:$I$56,5,FALSE)-VLOOKUP($A117,main!$A$3:$I$56,6,FALSE)&gt;=VLOOKUP(57,main!$A$57:$I$59,4,FALSE)+VLOOKUP(VLOOKUP(AF$1,main!$A$3:$I$56,7,FALSE),main!$K$10:$Q$14,5,FALSE),1,0)</f>
        <v>0</v>
      </c>
      <c r="AG117">
        <f>IF(VLOOKUP(AG$1,main!$A$3:$I$56,5,FALSE)-VLOOKUP($A117,main!$A$3:$I$56,6,FALSE)&gt;=VLOOKUP(57,main!$A$57:$I$59,4,FALSE)+VLOOKUP(VLOOKUP(AG$1,main!$A$3:$I$56,7,FALSE),main!$K$10:$Q$14,5,FALSE),1,0)</f>
        <v>0</v>
      </c>
      <c r="AH117">
        <f>IF(VLOOKUP(AH$1,main!$A$3:$I$56,5,FALSE)-VLOOKUP($A117,main!$A$3:$I$56,6,FALSE)&gt;=VLOOKUP(57,main!$A$57:$I$59,4,FALSE)+VLOOKUP(VLOOKUP(AH$1,main!$A$3:$I$56,7,FALSE),main!$K$10:$Q$14,5,FALSE),1,0)</f>
        <v>0</v>
      </c>
      <c r="AI117">
        <f>IF(VLOOKUP(AI$1,main!$A$3:$I$56,5,FALSE)-VLOOKUP($A117,main!$A$3:$I$56,6,FALSE)&gt;=VLOOKUP(57,main!$A$57:$I$59,4,FALSE)+VLOOKUP(VLOOKUP(AI$1,main!$A$3:$I$56,7,FALSE),main!$K$10:$Q$14,5,FALSE),1,0)</f>
        <v>0</v>
      </c>
      <c r="AJ117">
        <f>IF(VLOOKUP(AJ$1,main!$A$3:$I$56,5,FALSE)-VLOOKUP($A117,main!$A$3:$I$56,6,FALSE)&gt;=VLOOKUP(57,main!$A$57:$I$59,4,FALSE)+VLOOKUP(VLOOKUP(AJ$1,main!$A$3:$I$56,7,FALSE),main!$K$10:$Q$14,5,FALSE),1,0)</f>
        <v>0</v>
      </c>
      <c r="AK117">
        <f>IF(VLOOKUP(AK$1,main!$A$3:$I$56,5,FALSE)-VLOOKUP($A117,main!$A$3:$I$56,6,FALSE)&gt;=VLOOKUP(57,main!$A$57:$I$59,4,FALSE)+VLOOKUP(VLOOKUP(AK$1,main!$A$3:$I$56,7,FALSE),main!$K$10:$Q$14,5,FALSE),1,0)</f>
        <v>0</v>
      </c>
      <c r="AL117">
        <f>IF(VLOOKUP(AL$1,main!$A$3:$I$56,5,FALSE)-VLOOKUP($A117,main!$A$3:$I$56,6,FALSE)&gt;=VLOOKUP(57,main!$A$57:$I$59,4,FALSE)+VLOOKUP(VLOOKUP(AL$1,main!$A$3:$I$56,7,FALSE),main!$K$10:$Q$14,5,FALSE),1,0)</f>
        <v>0</v>
      </c>
      <c r="AM117">
        <f>IF(VLOOKUP(AM$1,main!$A$3:$I$56,5,FALSE)-VLOOKUP($A117,main!$A$3:$I$56,6,FALSE)&gt;=VLOOKUP(57,main!$A$57:$I$59,4,FALSE)+VLOOKUP(VLOOKUP(AM$1,main!$A$3:$I$56,7,FALSE),main!$K$10:$Q$14,5,FALSE),1,0)</f>
        <v>0</v>
      </c>
      <c r="AN117">
        <f>IF(VLOOKUP(AN$1,main!$A$3:$I$56,5,FALSE)-VLOOKUP($A117,main!$A$3:$I$56,6,FALSE)&gt;=VLOOKUP(57,main!$A$57:$I$59,4,FALSE)+VLOOKUP(VLOOKUP(AN$1,main!$A$3:$I$56,7,FALSE),main!$K$10:$Q$14,5,FALSE),1,0)</f>
        <v>0</v>
      </c>
      <c r="AO117">
        <f>IF(VLOOKUP(AO$1,main!$A$3:$I$56,5,FALSE)-VLOOKUP($A117,main!$A$3:$I$56,6,FALSE)&gt;=VLOOKUP(57,main!$A$57:$I$59,4,FALSE)+VLOOKUP(VLOOKUP(AO$1,main!$A$3:$I$56,7,FALSE),main!$K$10:$Q$14,5,FALSE),1,0)</f>
        <v>0</v>
      </c>
      <c r="AP117">
        <f>IF(VLOOKUP(AP$1,main!$A$3:$I$56,5,FALSE)-VLOOKUP($A117,main!$A$3:$I$56,6,FALSE)&gt;=VLOOKUP(57,main!$A$57:$I$59,4,FALSE)+VLOOKUP(VLOOKUP(AP$1,main!$A$3:$I$56,7,FALSE),main!$K$10:$Q$14,5,FALSE),1,0)</f>
        <v>0</v>
      </c>
      <c r="AQ117">
        <f>IF(VLOOKUP(AQ$1,main!$A$3:$I$56,5,FALSE)-VLOOKUP($A117,main!$A$3:$I$56,6,FALSE)&gt;=VLOOKUP(57,main!$A$57:$I$59,4,FALSE)+VLOOKUP(VLOOKUP(AQ$1,main!$A$3:$I$56,7,FALSE),main!$K$10:$Q$14,5,FALSE),1,0)</f>
        <v>0</v>
      </c>
      <c r="AR117">
        <f>IF(VLOOKUP(AR$1,main!$A$3:$I$56,5,FALSE)-VLOOKUP($A117,main!$A$3:$I$56,6,FALSE)&gt;=VLOOKUP(57,main!$A$57:$I$59,4,FALSE)+VLOOKUP(VLOOKUP(AR$1,main!$A$3:$I$56,7,FALSE),main!$K$10:$Q$14,5,FALSE),1,0)</f>
        <v>0</v>
      </c>
      <c r="AS117">
        <f>IF(VLOOKUP(AS$1,main!$A$3:$I$56,5,FALSE)-VLOOKUP($A117,main!$A$3:$I$56,6,FALSE)&gt;=VLOOKUP(57,main!$A$57:$I$59,4,FALSE)+VLOOKUP(VLOOKUP(AS$1,main!$A$3:$I$56,7,FALSE),main!$K$10:$Q$14,5,FALSE),1,0)</f>
        <v>0</v>
      </c>
      <c r="AT117">
        <f>IF(VLOOKUP(AT$1,main!$A$3:$I$56,5,FALSE)-VLOOKUP($A117,main!$A$3:$I$56,6,FALSE)&gt;=VLOOKUP(57,main!$A$57:$I$59,4,FALSE)+VLOOKUP(VLOOKUP(AT$1,main!$A$3:$I$56,7,FALSE),main!$K$10:$Q$14,5,FALSE),1,0)</f>
        <v>0</v>
      </c>
      <c r="AU117">
        <f>IF(VLOOKUP(AU$1,main!$A$3:$I$56,5,FALSE)-VLOOKUP($A117,main!$A$3:$I$56,6,FALSE)&gt;=VLOOKUP(57,main!$A$57:$I$59,4,FALSE)+VLOOKUP(VLOOKUP(AU$1,main!$A$3:$I$56,7,FALSE),main!$K$10:$Q$14,5,FALSE),1,0)</f>
        <v>0</v>
      </c>
      <c r="AV117">
        <f>IF(VLOOKUP(AV$1,main!$A$3:$I$56,5,FALSE)-VLOOKUP($A117,main!$A$3:$I$56,6,FALSE)&gt;=VLOOKUP(57,main!$A$57:$I$59,4,FALSE)+VLOOKUP(VLOOKUP(AV$1,main!$A$3:$I$56,7,FALSE),main!$K$10:$Q$14,5,FALSE),1,0)</f>
        <v>0</v>
      </c>
      <c r="AW117">
        <f>IF(VLOOKUP(AW$1,main!$A$3:$I$56,5,FALSE)-VLOOKUP($A117,main!$A$3:$I$56,6,FALSE)&gt;=VLOOKUP(57,main!$A$57:$I$59,4,FALSE)+VLOOKUP(VLOOKUP(AW$1,main!$A$3:$I$56,7,FALSE),main!$K$10:$Q$14,5,FALSE),1,0)</f>
        <v>0</v>
      </c>
      <c r="AX117">
        <f>IF(VLOOKUP(AX$1,main!$A$3:$I$56,5,FALSE)-VLOOKUP($A117,main!$A$3:$I$56,6,FALSE)&gt;=VLOOKUP(57,main!$A$57:$I$59,4,FALSE)+VLOOKUP(VLOOKUP(AX$1,main!$A$3:$I$56,7,FALSE),main!$K$10:$Q$14,5,FALSE),1,0)</f>
        <v>0</v>
      </c>
      <c r="AY117">
        <f>IF(VLOOKUP(AY$1,main!$A$3:$I$56,5,FALSE)-VLOOKUP($A117,main!$A$3:$I$56,6,FALSE)&gt;=VLOOKUP(57,main!$A$57:$I$59,4,FALSE)+VLOOKUP(VLOOKUP(AY$1,main!$A$3:$I$56,7,FALSE),main!$K$10:$Q$14,5,FALSE),1,0)</f>
        <v>0</v>
      </c>
      <c r="AZ117">
        <f>IF(VLOOKUP(AZ$1,main!$A$3:$I$56,5,FALSE)-VLOOKUP($A117,main!$A$3:$I$56,6,FALSE)&gt;=VLOOKUP(57,main!$A$57:$I$59,4,FALSE)+VLOOKUP(VLOOKUP(AZ$1,main!$A$3:$I$56,7,FALSE),main!$K$10:$Q$14,5,FALSE),1,0)</f>
        <v>0</v>
      </c>
      <c r="BA117">
        <f>IF(VLOOKUP(BA$1,main!$A$3:$I$56,5,FALSE)-VLOOKUP($A117,main!$A$3:$I$56,6,FALSE)&gt;=VLOOKUP(57,main!$A$57:$I$59,4,FALSE)+VLOOKUP(VLOOKUP(BA$1,main!$A$3:$I$56,7,FALSE),main!$K$10:$Q$14,5,FALSE),1,0)</f>
        <v>0</v>
      </c>
      <c r="BB117">
        <f>IF(VLOOKUP(BB$1,main!$A$3:$I$56,5,FALSE)-VLOOKUP($A117,main!$A$3:$I$56,6,FALSE)&gt;=VLOOKUP(57,main!$A$57:$I$59,4,FALSE)+VLOOKUP(VLOOKUP(BB$1,main!$A$3:$I$56,7,FALSE),main!$K$10:$Q$14,5,FALSE),1,0)</f>
        <v>0</v>
      </c>
      <c r="BC117">
        <f>IF(VLOOKUP(BC$1,main!$A$3:$I$56,5,FALSE)-VLOOKUP($A117,main!$A$3:$I$56,6,FALSE)&gt;=VLOOKUP(57,main!$A$57:$I$59,4,FALSE)+VLOOKUP(VLOOKUP(BC$1,main!$A$3:$I$56,7,FALSE),main!$K$10:$Q$14,5,FALSE),1,0)</f>
        <v>0</v>
      </c>
      <c r="BD117">
        <f>IF(VLOOKUP(BD$1,main!$A$3:$I$56,5,FALSE)-VLOOKUP($A117,main!$A$3:$I$56,6,FALSE)&gt;=VLOOKUP(57,main!$A$57:$I$59,4,FALSE)+VLOOKUP(VLOOKUP(BD$1,main!$A$3:$I$56,7,FALSE),main!$K$10:$Q$14,5,FALSE),1,0)</f>
        <v>0</v>
      </c>
    </row>
    <row r="118" spans="1:56" x14ac:dyDescent="0.25">
      <c r="A118">
        <f t="shared" si="2"/>
        <v>6</v>
      </c>
      <c r="B118">
        <v>0</v>
      </c>
      <c r="C118">
        <f>IF(VLOOKUP(C$1,main!$A$3:$I$56,5,FALSE)-VLOOKUP($A118,main!$A$3:$I$56,6,FALSE)&gt;=VLOOKUP(57,main!$A$57:$I$59,4,FALSE)+VLOOKUP(VLOOKUP(C$1,main!$A$3:$I$56,7,FALSE),main!$K$10:$Q$14,5,FALSE),1,0)</f>
        <v>0</v>
      </c>
      <c r="D118">
        <f>IF(VLOOKUP(D$1,main!$A$3:$I$56,5,FALSE)-VLOOKUP($A118,main!$A$3:$I$56,6,FALSE)&gt;=VLOOKUP(57,main!$A$57:$I$59,4,FALSE)+VLOOKUP(VLOOKUP(D$1,main!$A$3:$I$56,7,FALSE),main!$K$10:$Q$14,5,FALSE),1,0)</f>
        <v>0</v>
      </c>
      <c r="E118">
        <f>IF(VLOOKUP(E$1,main!$A$3:$I$56,5,FALSE)-VLOOKUP($A118,main!$A$3:$I$56,6,FALSE)&gt;=VLOOKUP(57,main!$A$57:$I$59,4,FALSE)+VLOOKUP(VLOOKUP(E$1,main!$A$3:$I$56,7,FALSE),main!$K$10:$Q$14,5,FALSE),1,0)</f>
        <v>0</v>
      </c>
      <c r="F118">
        <f>IF(VLOOKUP(F$1,main!$A$3:$I$56,5,FALSE)-VLOOKUP($A118,main!$A$3:$I$56,6,FALSE)&gt;=VLOOKUP(57,main!$A$57:$I$59,4,FALSE)+VLOOKUP(VLOOKUP(F$1,main!$A$3:$I$56,7,FALSE),main!$K$10:$Q$14,5,FALSE),1,0)</f>
        <v>0</v>
      </c>
      <c r="G118">
        <f>IF(VLOOKUP(G$1,main!$A$3:$I$56,5,FALSE)-VLOOKUP($A118,main!$A$3:$I$56,6,FALSE)&gt;=VLOOKUP(57,main!$A$57:$I$59,4,FALSE)+VLOOKUP(VLOOKUP(G$1,main!$A$3:$I$56,7,FALSE),main!$K$10:$Q$14,5,FALSE),1,0)</f>
        <v>0</v>
      </c>
      <c r="H118">
        <f>IF(VLOOKUP(H$1,main!$A$3:$I$56,5,FALSE)-VLOOKUP($A118,main!$A$3:$I$56,6,FALSE)&gt;=VLOOKUP(57,main!$A$57:$I$59,4,FALSE)+VLOOKUP(VLOOKUP(H$1,main!$A$3:$I$56,7,FALSE),main!$K$10:$Q$14,5,FALSE),1,0)</f>
        <v>0</v>
      </c>
      <c r="I118">
        <f>IF(VLOOKUP(I$1,main!$A$3:$I$56,5,FALSE)-VLOOKUP($A118,main!$A$3:$I$56,6,FALSE)&gt;=VLOOKUP(57,main!$A$57:$I$59,4,FALSE)+VLOOKUP(VLOOKUP(I$1,main!$A$3:$I$56,7,FALSE),main!$K$10:$Q$14,5,FALSE),1,0)</f>
        <v>0</v>
      </c>
      <c r="J118">
        <f>IF(VLOOKUP(J$1,main!$A$3:$I$56,5,FALSE)-VLOOKUP($A118,main!$A$3:$I$56,6,FALSE)&gt;=VLOOKUP(57,main!$A$57:$I$59,4,FALSE)+VLOOKUP(VLOOKUP(J$1,main!$A$3:$I$56,7,FALSE),main!$K$10:$Q$14,5,FALSE),1,0)</f>
        <v>0</v>
      </c>
      <c r="K118">
        <f>IF(VLOOKUP(K$1,main!$A$3:$I$56,5,FALSE)-VLOOKUP($A118,main!$A$3:$I$56,6,FALSE)&gt;=VLOOKUP(57,main!$A$57:$I$59,4,FALSE)+VLOOKUP(VLOOKUP(K$1,main!$A$3:$I$56,7,FALSE),main!$K$10:$Q$14,5,FALSE),1,0)</f>
        <v>0</v>
      </c>
      <c r="L118">
        <f>IF(VLOOKUP(L$1,main!$A$3:$I$56,5,FALSE)-VLOOKUP($A118,main!$A$3:$I$56,6,FALSE)&gt;=VLOOKUP(57,main!$A$57:$I$59,4,FALSE)+VLOOKUP(VLOOKUP(L$1,main!$A$3:$I$56,7,FALSE),main!$K$10:$Q$14,5,FALSE),1,0)</f>
        <v>0</v>
      </c>
      <c r="M118">
        <f>IF(VLOOKUP(M$1,main!$A$3:$I$56,5,FALSE)-VLOOKUP($A118,main!$A$3:$I$56,6,FALSE)&gt;=VLOOKUP(57,main!$A$57:$I$59,4,FALSE)+VLOOKUP(VLOOKUP(M$1,main!$A$3:$I$56,7,FALSE),main!$K$10:$Q$14,5,FALSE),1,0)</f>
        <v>0</v>
      </c>
      <c r="N118">
        <f>IF(VLOOKUP(N$1,main!$A$3:$I$56,5,FALSE)-VLOOKUP($A118,main!$A$3:$I$56,6,FALSE)&gt;=VLOOKUP(57,main!$A$57:$I$59,4,FALSE)+VLOOKUP(VLOOKUP(N$1,main!$A$3:$I$56,7,FALSE),main!$K$10:$Q$14,5,FALSE),1,0)</f>
        <v>0</v>
      </c>
      <c r="O118">
        <f>IF(VLOOKUP(O$1,main!$A$3:$I$56,5,FALSE)-VLOOKUP($A118,main!$A$3:$I$56,6,FALSE)&gt;=VLOOKUP(57,main!$A$57:$I$59,4,FALSE)+VLOOKUP(VLOOKUP(O$1,main!$A$3:$I$56,7,FALSE),main!$K$10:$Q$14,5,FALSE),1,0)</f>
        <v>0</v>
      </c>
      <c r="P118">
        <f>IF(VLOOKUP(P$1,main!$A$3:$I$56,5,FALSE)-VLOOKUP($A118,main!$A$3:$I$56,6,FALSE)&gt;=VLOOKUP(57,main!$A$57:$I$59,4,FALSE)+VLOOKUP(VLOOKUP(P$1,main!$A$3:$I$56,7,FALSE),main!$K$10:$Q$14,5,FALSE),1,0)</f>
        <v>0</v>
      </c>
      <c r="Q118">
        <f>IF(VLOOKUP(Q$1,main!$A$3:$I$56,5,FALSE)-VLOOKUP($A118,main!$A$3:$I$56,6,FALSE)&gt;=VLOOKUP(57,main!$A$57:$I$59,4,FALSE)+VLOOKUP(VLOOKUP(Q$1,main!$A$3:$I$56,7,FALSE),main!$K$10:$Q$14,5,FALSE),1,0)</f>
        <v>0</v>
      </c>
      <c r="R118">
        <f>IF(VLOOKUP(R$1,main!$A$3:$I$56,5,FALSE)-VLOOKUP($A118,main!$A$3:$I$56,6,FALSE)&gt;=VLOOKUP(57,main!$A$57:$I$59,4,FALSE)+VLOOKUP(VLOOKUP(R$1,main!$A$3:$I$56,7,FALSE),main!$K$10:$Q$14,5,FALSE),1,0)</f>
        <v>0</v>
      </c>
      <c r="S118">
        <f>IF(VLOOKUP(S$1,main!$A$3:$I$56,5,FALSE)-VLOOKUP($A118,main!$A$3:$I$56,6,FALSE)&gt;=VLOOKUP(57,main!$A$57:$I$59,4,FALSE)+VLOOKUP(VLOOKUP(S$1,main!$A$3:$I$56,7,FALSE),main!$K$10:$Q$14,5,FALSE),1,0)</f>
        <v>0</v>
      </c>
      <c r="T118">
        <f>IF(VLOOKUP(T$1,main!$A$3:$I$56,5,FALSE)-VLOOKUP($A118,main!$A$3:$I$56,6,FALSE)&gt;=VLOOKUP(57,main!$A$57:$I$59,4,FALSE)+VLOOKUP(VLOOKUP(T$1,main!$A$3:$I$56,7,FALSE),main!$K$10:$Q$14,5,FALSE),1,0)</f>
        <v>0</v>
      </c>
      <c r="U118">
        <f>IF(VLOOKUP(U$1,main!$A$3:$I$56,5,FALSE)-VLOOKUP($A118,main!$A$3:$I$56,6,FALSE)&gt;=VLOOKUP(57,main!$A$57:$I$59,4,FALSE)+VLOOKUP(VLOOKUP(U$1,main!$A$3:$I$56,7,FALSE),main!$K$10:$Q$14,5,FALSE),1,0)</f>
        <v>0</v>
      </c>
      <c r="V118">
        <f>IF(VLOOKUP(V$1,main!$A$3:$I$56,5,FALSE)-VLOOKUP($A118,main!$A$3:$I$56,6,FALSE)&gt;=VLOOKUP(57,main!$A$57:$I$59,4,FALSE)+VLOOKUP(VLOOKUP(V$1,main!$A$3:$I$56,7,FALSE),main!$K$10:$Q$14,5,FALSE),1,0)</f>
        <v>0</v>
      </c>
      <c r="W118">
        <f>IF(VLOOKUP(W$1,main!$A$3:$I$56,5,FALSE)-VLOOKUP($A118,main!$A$3:$I$56,6,FALSE)&gt;=VLOOKUP(57,main!$A$57:$I$59,4,FALSE)+VLOOKUP(VLOOKUP(W$1,main!$A$3:$I$56,7,FALSE),main!$K$10:$Q$14,5,FALSE),1,0)</f>
        <v>0</v>
      </c>
      <c r="X118">
        <f>IF(VLOOKUP(X$1,main!$A$3:$I$56,5,FALSE)-VLOOKUP($A118,main!$A$3:$I$56,6,FALSE)&gt;=VLOOKUP(57,main!$A$57:$I$59,4,FALSE)+VLOOKUP(VLOOKUP(X$1,main!$A$3:$I$56,7,FALSE),main!$K$10:$Q$14,5,FALSE),1,0)</f>
        <v>0</v>
      </c>
      <c r="Y118">
        <f>IF(VLOOKUP(Y$1,main!$A$3:$I$56,5,FALSE)-VLOOKUP($A118,main!$A$3:$I$56,6,FALSE)&gt;=VLOOKUP(57,main!$A$57:$I$59,4,FALSE)+VLOOKUP(VLOOKUP(Y$1,main!$A$3:$I$56,7,FALSE),main!$K$10:$Q$14,5,FALSE),1,0)</f>
        <v>0</v>
      </c>
      <c r="Z118">
        <f>IF(VLOOKUP(Z$1,main!$A$3:$I$56,5,FALSE)-VLOOKUP($A118,main!$A$3:$I$56,6,FALSE)&gt;=VLOOKUP(57,main!$A$57:$I$59,4,FALSE)+VLOOKUP(VLOOKUP(Z$1,main!$A$3:$I$56,7,FALSE),main!$K$10:$Q$14,5,FALSE),1,0)</f>
        <v>0</v>
      </c>
      <c r="AA118">
        <f>IF(VLOOKUP(AA$1,main!$A$3:$I$56,5,FALSE)-VLOOKUP($A118,main!$A$3:$I$56,6,FALSE)&gt;=VLOOKUP(57,main!$A$57:$I$59,4,FALSE)+VLOOKUP(VLOOKUP(AA$1,main!$A$3:$I$56,7,FALSE),main!$K$10:$Q$14,5,FALSE),1,0)</f>
        <v>0</v>
      </c>
      <c r="AB118">
        <f>IF(VLOOKUP(AB$1,main!$A$3:$I$56,5,FALSE)-VLOOKUP($A118,main!$A$3:$I$56,6,FALSE)&gt;=VLOOKUP(57,main!$A$57:$I$59,4,FALSE)+VLOOKUP(VLOOKUP(AB$1,main!$A$3:$I$56,7,FALSE),main!$K$10:$Q$14,5,FALSE),1,0)</f>
        <v>0</v>
      </c>
      <c r="AC118">
        <f>IF(VLOOKUP(AC$1,main!$A$3:$I$56,5,FALSE)-VLOOKUP($A118,main!$A$3:$I$56,6,FALSE)&gt;=VLOOKUP(57,main!$A$57:$I$59,4,FALSE)+VLOOKUP(VLOOKUP(AC$1,main!$A$3:$I$56,7,FALSE),main!$K$10:$Q$14,5,FALSE),1,0)</f>
        <v>0</v>
      </c>
      <c r="AD118">
        <f>IF(VLOOKUP(AD$1,main!$A$3:$I$56,5,FALSE)-VLOOKUP($A118,main!$A$3:$I$56,6,FALSE)&gt;=VLOOKUP(57,main!$A$57:$I$59,4,FALSE)+VLOOKUP(VLOOKUP(AD$1,main!$A$3:$I$56,7,FALSE),main!$K$10:$Q$14,5,FALSE),1,0)</f>
        <v>0</v>
      </c>
      <c r="AE118">
        <f>IF(VLOOKUP(AE$1,main!$A$3:$I$56,5,FALSE)-VLOOKUP($A118,main!$A$3:$I$56,6,FALSE)&gt;=VLOOKUP(57,main!$A$57:$I$59,4,FALSE)+VLOOKUP(VLOOKUP(AE$1,main!$A$3:$I$56,7,FALSE),main!$K$10:$Q$14,5,FALSE),1,0)</f>
        <v>0</v>
      </c>
      <c r="AF118">
        <f>IF(VLOOKUP(AF$1,main!$A$3:$I$56,5,FALSE)-VLOOKUP($A118,main!$A$3:$I$56,6,FALSE)&gt;=VLOOKUP(57,main!$A$57:$I$59,4,FALSE)+VLOOKUP(VLOOKUP(AF$1,main!$A$3:$I$56,7,FALSE),main!$K$10:$Q$14,5,FALSE),1,0)</f>
        <v>0</v>
      </c>
      <c r="AG118">
        <f>IF(VLOOKUP(AG$1,main!$A$3:$I$56,5,FALSE)-VLOOKUP($A118,main!$A$3:$I$56,6,FALSE)&gt;=VLOOKUP(57,main!$A$57:$I$59,4,FALSE)+VLOOKUP(VLOOKUP(AG$1,main!$A$3:$I$56,7,FALSE),main!$K$10:$Q$14,5,FALSE),1,0)</f>
        <v>0</v>
      </c>
      <c r="AH118">
        <f>IF(VLOOKUP(AH$1,main!$A$3:$I$56,5,FALSE)-VLOOKUP($A118,main!$A$3:$I$56,6,FALSE)&gt;=VLOOKUP(57,main!$A$57:$I$59,4,FALSE)+VLOOKUP(VLOOKUP(AH$1,main!$A$3:$I$56,7,FALSE),main!$K$10:$Q$14,5,FALSE),1,0)</f>
        <v>0</v>
      </c>
      <c r="AI118">
        <f>IF(VLOOKUP(AI$1,main!$A$3:$I$56,5,FALSE)-VLOOKUP($A118,main!$A$3:$I$56,6,FALSE)&gt;=VLOOKUP(57,main!$A$57:$I$59,4,FALSE)+VLOOKUP(VLOOKUP(AI$1,main!$A$3:$I$56,7,FALSE),main!$K$10:$Q$14,5,FALSE),1,0)</f>
        <v>0</v>
      </c>
      <c r="AJ118">
        <f>IF(VLOOKUP(AJ$1,main!$A$3:$I$56,5,FALSE)-VLOOKUP($A118,main!$A$3:$I$56,6,FALSE)&gt;=VLOOKUP(57,main!$A$57:$I$59,4,FALSE)+VLOOKUP(VLOOKUP(AJ$1,main!$A$3:$I$56,7,FALSE),main!$K$10:$Q$14,5,FALSE),1,0)</f>
        <v>0</v>
      </c>
      <c r="AK118">
        <f>IF(VLOOKUP(AK$1,main!$A$3:$I$56,5,FALSE)-VLOOKUP($A118,main!$A$3:$I$56,6,FALSE)&gt;=VLOOKUP(57,main!$A$57:$I$59,4,FALSE)+VLOOKUP(VLOOKUP(AK$1,main!$A$3:$I$56,7,FALSE),main!$K$10:$Q$14,5,FALSE),1,0)</f>
        <v>0</v>
      </c>
      <c r="AL118">
        <f>IF(VLOOKUP(AL$1,main!$A$3:$I$56,5,FALSE)-VLOOKUP($A118,main!$A$3:$I$56,6,FALSE)&gt;=VLOOKUP(57,main!$A$57:$I$59,4,FALSE)+VLOOKUP(VLOOKUP(AL$1,main!$A$3:$I$56,7,FALSE),main!$K$10:$Q$14,5,FALSE),1,0)</f>
        <v>0</v>
      </c>
      <c r="AM118">
        <f>IF(VLOOKUP(AM$1,main!$A$3:$I$56,5,FALSE)-VLOOKUP($A118,main!$A$3:$I$56,6,FALSE)&gt;=VLOOKUP(57,main!$A$57:$I$59,4,FALSE)+VLOOKUP(VLOOKUP(AM$1,main!$A$3:$I$56,7,FALSE),main!$K$10:$Q$14,5,FALSE),1,0)</f>
        <v>0</v>
      </c>
      <c r="AN118">
        <f>IF(VLOOKUP(AN$1,main!$A$3:$I$56,5,FALSE)-VLOOKUP($A118,main!$A$3:$I$56,6,FALSE)&gt;=VLOOKUP(57,main!$A$57:$I$59,4,FALSE)+VLOOKUP(VLOOKUP(AN$1,main!$A$3:$I$56,7,FALSE),main!$K$10:$Q$14,5,FALSE),1,0)</f>
        <v>0</v>
      </c>
      <c r="AO118">
        <f>IF(VLOOKUP(AO$1,main!$A$3:$I$56,5,FALSE)-VLOOKUP($A118,main!$A$3:$I$56,6,FALSE)&gt;=VLOOKUP(57,main!$A$57:$I$59,4,FALSE)+VLOOKUP(VLOOKUP(AO$1,main!$A$3:$I$56,7,FALSE),main!$K$10:$Q$14,5,FALSE),1,0)</f>
        <v>0</v>
      </c>
      <c r="AP118">
        <f>IF(VLOOKUP(AP$1,main!$A$3:$I$56,5,FALSE)-VLOOKUP($A118,main!$A$3:$I$56,6,FALSE)&gt;=VLOOKUP(57,main!$A$57:$I$59,4,FALSE)+VLOOKUP(VLOOKUP(AP$1,main!$A$3:$I$56,7,FALSE),main!$K$10:$Q$14,5,FALSE),1,0)</f>
        <v>0</v>
      </c>
      <c r="AQ118">
        <f>IF(VLOOKUP(AQ$1,main!$A$3:$I$56,5,FALSE)-VLOOKUP($A118,main!$A$3:$I$56,6,FALSE)&gt;=VLOOKUP(57,main!$A$57:$I$59,4,FALSE)+VLOOKUP(VLOOKUP(AQ$1,main!$A$3:$I$56,7,FALSE),main!$K$10:$Q$14,5,FALSE),1,0)</f>
        <v>0</v>
      </c>
      <c r="AR118">
        <f>IF(VLOOKUP(AR$1,main!$A$3:$I$56,5,FALSE)-VLOOKUP($A118,main!$A$3:$I$56,6,FALSE)&gt;=VLOOKUP(57,main!$A$57:$I$59,4,FALSE)+VLOOKUP(VLOOKUP(AR$1,main!$A$3:$I$56,7,FALSE),main!$K$10:$Q$14,5,FALSE),1,0)</f>
        <v>0</v>
      </c>
      <c r="AS118">
        <f>IF(VLOOKUP(AS$1,main!$A$3:$I$56,5,FALSE)-VLOOKUP($A118,main!$A$3:$I$56,6,FALSE)&gt;=VLOOKUP(57,main!$A$57:$I$59,4,FALSE)+VLOOKUP(VLOOKUP(AS$1,main!$A$3:$I$56,7,FALSE),main!$K$10:$Q$14,5,FALSE),1,0)</f>
        <v>0</v>
      </c>
      <c r="AT118">
        <f>IF(VLOOKUP(AT$1,main!$A$3:$I$56,5,FALSE)-VLOOKUP($A118,main!$A$3:$I$56,6,FALSE)&gt;=VLOOKUP(57,main!$A$57:$I$59,4,FALSE)+VLOOKUP(VLOOKUP(AT$1,main!$A$3:$I$56,7,FALSE),main!$K$10:$Q$14,5,FALSE),1,0)</f>
        <v>0</v>
      </c>
      <c r="AU118">
        <f>IF(VLOOKUP(AU$1,main!$A$3:$I$56,5,FALSE)-VLOOKUP($A118,main!$A$3:$I$56,6,FALSE)&gt;=VLOOKUP(57,main!$A$57:$I$59,4,FALSE)+VLOOKUP(VLOOKUP(AU$1,main!$A$3:$I$56,7,FALSE),main!$K$10:$Q$14,5,FALSE),1,0)</f>
        <v>0</v>
      </c>
      <c r="AV118">
        <f>IF(VLOOKUP(AV$1,main!$A$3:$I$56,5,FALSE)-VLOOKUP($A118,main!$A$3:$I$56,6,FALSE)&gt;=VLOOKUP(57,main!$A$57:$I$59,4,FALSE)+VLOOKUP(VLOOKUP(AV$1,main!$A$3:$I$56,7,FALSE),main!$K$10:$Q$14,5,FALSE),1,0)</f>
        <v>0</v>
      </c>
      <c r="AW118">
        <f>IF(VLOOKUP(AW$1,main!$A$3:$I$56,5,FALSE)-VLOOKUP($A118,main!$A$3:$I$56,6,FALSE)&gt;=VLOOKUP(57,main!$A$57:$I$59,4,FALSE)+VLOOKUP(VLOOKUP(AW$1,main!$A$3:$I$56,7,FALSE),main!$K$10:$Q$14,5,FALSE),1,0)</f>
        <v>0</v>
      </c>
      <c r="AX118">
        <f>IF(VLOOKUP(AX$1,main!$A$3:$I$56,5,FALSE)-VLOOKUP($A118,main!$A$3:$I$56,6,FALSE)&gt;=VLOOKUP(57,main!$A$57:$I$59,4,FALSE)+VLOOKUP(VLOOKUP(AX$1,main!$A$3:$I$56,7,FALSE),main!$K$10:$Q$14,5,FALSE),1,0)</f>
        <v>0</v>
      </c>
      <c r="AY118">
        <f>IF(VLOOKUP(AY$1,main!$A$3:$I$56,5,FALSE)-VLOOKUP($A118,main!$A$3:$I$56,6,FALSE)&gt;=VLOOKUP(57,main!$A$57:$I$59,4,FALSE)+VLOOKUP(VLOOKUP(AY$1,main!$A$3:$I$56,7,FALSE),main!$K$10:$Q$14,5,FALSE),1,0)</f>
        <v>0</v>
      </c>
      <c r="AZ118">
        <f>IF(VLOOKUP(AZ$1,main!$A$3:$I$56,5,FALSE)-VLOOKUP($A118,main!$A$3:$I$56,6,FALSE)&gt;=VLOOKUP(57,main!$A$57:$I$59,4,FALSE)+VLOOKUP(VLOOKUP(AZ$1,main!$A$3:$I$56,7,FALSE),main!$K$10:$Q$14,5,FALSE),1,0)</f>
        <v>0</v>
      </c>
      <c r="BA118">
        <f>IF(VLOOKUP(BA$1,main!$A$3:$I$56,5,FALSE)-VLOOKUP($A118,main!$A$3:$I$56,6,FALSE)&gt;=VLOOKUP(57,main!$A$57:$I$59,4,FALSE)+VLOOKUP(VLOOKUP(BA$1,main!$A$3:$I$56,7,FALSE),main!$K$10:$Q$14,5,FALSE),1,0)</f>
        <v>0</v>
      </c>
      <c r="BB118">
        <f>IF(VLOOKUP(BB$1,main!$A$3:$I$56,5,FALSE)-VLOOKUP($A118,main!$A$3:$I$56,6,FALSE)&gt;=VLOOKUP(57,main!$A$57:$I$59,4,FALSE)+VLOOKUP(VLOOKUP(BB$1,main!$A$3:$I$56,7,FALSE),main!$K$10:$Q$14,5,FALSE),1,0)</f>
        <v>0</v>
      </c>
      <c r="BC118">
        <f>IF(VLOOKUP(BC$1,main!$A$3:$I$56,5,FALSE)-VLOOKUP($A118,main!$A$3:$I$56,6,FALSE)&gt;=VLOOKUP(57,main!$A$57:$I$59,4,FALSE)+VLOOKUP(VLOOKUP(BC$1,main!$A$3:$I$56,7,FALSE),main!$K$10:$Q$14,5,FALSE),1,0)</f>
        <v>0</v>
      </c>
      <c r="BD118">
        <f>IF(VLOOKUP(BD$1,main!$A$3:$I$56,5,FALSE)-VLOOKUP($A118,main!$A$3:$I$56,6,FALSE)&gt;=VLOOKUP(57,main!$A$57:$I$59,4,FALSE)+VLOOKUP(VLOOKUP(BD$1,main!$A$3:$I$56,7,FALSE),main!$K$10:$Q$14,5,FALSE),1,0)</f>
        <v>0</v>
      </c>
    </row>
    <row r="119" spans="1:56" x14ac:dyDescent="0.25">
      <c r="A119">
        <f t="shared" si="2"/>
        <v>7</v>
      </c>
      <c r="B119">
        <v>0</v>
      </c>
      <c r="C119">
        <f>IF(VLOOKUP(C$1,main!$A$3:$I$56,5,FALSE)-VLOOKUP($A119,main!$A$3:$I$56,6,FALSE)&gt;=VLOOKUP(57,main!$A$57:$I$59,4,FALSE)+VLOOKUP(VLOOKUP(C$1,main!$A$3:$I$56,7,FALSE),main!$K$10:$Q$14,5,FALSE),1,0)</f>
        <v>0</v>
      </c>
      <c r="D119">
        <f>IF(VLOOKUP(D$1,main!$A$3:$I$56,5,FALSE)-VLOOKUP($A119,main!$A$3:$I$56,6,FALSE)&gt;=VLOOKUP(57,main!$A$57:$I$59,4,FALSE)+VLOOKUP(VLOOKUP(D$1,main!$A$3:$I$56,7,FALSE),main!$K$10:$Q$14,5,FALSE),1,0)</f>
        <v>0</v>
      </c>
      <c r="E119">
        <f>IF(VLOOKUP(E$1,main!$A$3:$I$56,5,FALSE)-VLOOKUP($A119,main!$A$3:$I$56,6,FALSE)&gt;=VLOOKUP(57,main!$A$57:$I$59,4,FALSE)+VLOOKUP(VLOOKUP(E$1,main!$A$3:$I$56,7,FALSE),main!$K$10:$Q$14,5,FALSE),1,0)</f>
        <v>0</v>
      </c>
      <c r="F119">
        <f>IF(VLOOKUP(F$1,main!$A$3:$I$56,5,FALSE)-VLOOKUP($A119,main!$A$3:$I$56,6,FALSE)&gt;=VLOOKUP(57,main!$A$57:$I$59,4,FALSE)+VLOOKUP(VLOOKUP(F$1,main!$A$3:$I$56,7,FALSE),main!$K$10:$Q$14,5,FALSE),1,0)</f>
        <v>0</v>
      </c>
      <c r="G119">
        <f>IF(VLOOKUP(G$1,main!$A$3:$I$56,5,FALSE)-VLOOKUP($A119,main!$A$3:$I$56,6,FALSE)&gt;=VLOOKUP(57,main!$A$57:$I$59,4,FALSE)+VLOOKUP(VLOOKUP(G$1,main!$A$3:$I$56,7,FALSE),main!$K$10:$Q$14,5,FALSE),1,0)</f>
        <v>0</v>
      </c>
      <c r="H119">
        <f>IF(VLOOKUP(H$1,main!$A$3:$I$56,5,FALSE)-VLOOKUP($A119,main!$A$3:$I$56,6,FALSE)&gt;=VLOOKUP(57,main!$A$57:$I$59,4,FALSE)+VLOOKUP(VLOOKUP(H$1,main!$A$3:$I$56,7,FALSE),main!$K$10:$Q$14,5,FALSE),1,0)</f>
        <v>0</v>
      </c>
      <c r="I119">
        <f>IF(VLOOKUP(I$1,main!$A$3:$I$56,5,FALSE)-VLOOKUP($A119,main!$A$3:$I$56,6,FALSE)&gt;=VLOOKUP(57,main!$A$57:$I$59,4,FALSE)+VLOOKUP(VLOOKUP(I$1,main!$A$3:$I$56,7,FALSE),main!$K$10:$Q$14,5,FALSE),1,0)</f>
        <v>0</v>
      </c>
      <c r="J119">
        <f>IF(VLOOKUP(J$1,main!$A$3:$I$56,5,FALSE)-VLOOKUP($A119,main!$A$3:$I$56,6,FALSE)&gt;=VLOOKUP(57,main!$A$57:$I$59,4,FALSE)+VLOOKUP(VLOOKUP(J$1,main!$A$3:$I$56,7,FALSE),main!$K$10:$Q$14,5,FALSE),1,0)</f>
        <v>0</v>
      </c>
      <c r="K119">
        <f>IF(VLOOKUP(K$1,main!$A$3:$I$56,5,FALSE)-VLOOKUP($A119,main!$A$3:$I$56,6,FALSE)&gt;=VLOOKUP(57,main!$A$57:$I$59,4,FALSE)+VLOOKUP(VLOOKUP(K$1,main!$A$3:$I$56,7,FALSE),main!$K$10:$Q$14,5,FALSE),1,0)</f>
        <v>0</v>
      </c>
      <c r="L119">
        <f>IF(VLOOKUP(L$1,main!$A$3:$I$56,5,FALSE)-VLOOKUP($A119,main!$A$3:$I$56,6,FALSE)&gt;=VLOOKUP(57,main!$A$57:$I$59,4,FALSE)+VLOOKUP(VLOOKUP(L$1,main!$A$3:$I$56,7,FALSE),main!$K$10:$Q$14,5,FALSE),1,0)</f>
        <v>0</v>
      </c>
      <c r="M119">
        <f>IF(VLOOKUP(M$1,main!$A$3:$I$56,5,FALSE)-VLOOKUP($A119,main!$A$3:$I$56,6,FALSE)&gt;=VLOOKUP(57,main!$A$57:$I$59,4,FALSE)+VLOOKUP(VLOOKUP(M$1,main!$A$3:$I$56,7,FALSE),main!$K$10:$Q$14,5,FALSE),1,0)</f>
        <v>0</v>
      </c>
      <c r="N119">
        <f>IF(VLOOKUP(N$1,main!$A$3:$I$56,5,FALSE)-VLOOKUP($A119,main!$A$3:$I$56,6,FALSE)&gt;=VLOOKUP(57,main!$A$57:$I$59,4,FALSE)+VLOOKUP(VLOOKUP(N$1,main!$A$3:$I$56,7,FALSE),main!$K$10:$Q$14,5,FALSE),1,0)</f>
        <v>0</v>
      </c>
      <c r="O119">
        <f>IF(VLOOKUP(O$1,main!$A$3:$I$56,5,FALSE)-VLOOKUP($A119,main!$A$3:$I$56,6,FALSE)&gt;=VLOOKUP(57,main!$A$57:$I$59,4,FALSE)+VLOOKUP(VLOOKUP(O$1,main!$A$3:$I$56,7,FALSE),main!$K$10:$Q$14,5,FALSE),1,0)</f>
        <v>0</v>
      </c>
      <c r="P119">
        <f>IF(VLOOKUP(P$1,main!$A$3:$I$56,5,FALSE)-VLOOKUP($A119,main!$A$3:$I$56,6,FALSE)&gt;=VLOOKUP(57,main!$A$57:$I$59,4,FALSE)+VLOOKUP(VLOOKUP(P$1,main!$A$3:$I$56,7,FALSE),main!$K$10:$Q$14,5,FALSE),1,0)</f>
        <v>0</v>
      </c>
      <c r="Q119">
        <f>IF(VLOOKUP(Q$1,main!$A$3:$I$56,5,FALSE)-VLOOKUP($A119,main!$A$3:$I$56,6,FALSE)&gt;=VLOOKUP(57,main!$A$57:$I$59,4,FALSE)+VLOOKUP(VLOOKUP(Q$1,main!$A$3:$I$56,7,FALSE),main!$K$10:$Q$14,5,FALSE),1,0)</f>
        <v>0</v>
      </c>
      <c r="R119">
        <f>IF(VLOOKUP(R$1,main!$A$3:$I$56,5,FALSE)-VLOOKUP($A119,main!$A$3:$I$56,6,FALSE)&gt;=VLOOKUP(57,main!$A$57:$I$59,4,FALSE)+VLOOKUP(VLOOKUP(R$1,main!$A$3:$I$56,7,FALSE),main!$K$10:$Q$14,5,FALSE),1,0)</f>
        <v>0</v>
      </c>
      <c r="S119">
        <f>IF(VLOOKUP(S$1,main!$A$3:$I$56,5,FALSE)-VLOOKUP($A119,main!$A$3:$I$56,6,FALSE)&gt;=VLOOKUP(57,main!$A$57:$I$59,4,FALSE)+VLOOKUP(VLOOKUP(S$1,main!$A$3:$I$56,7,FALSE),main!$K$10:$Q$14,5,FALSE),1,0)</f>
        <v>0</v>
      </c>
      <c r="T119">
        <f>IF(VLOOKUP(T$1,main!$A$3:$I$56,5,FALSE)-VLOOKUP($A119,main!$A$3:$I$56,6,FALSE)&gt;=VLOOKUP(57,main!$A$57:$I$59,4,FALSE)+VLOOKUP(VLOOKUP(T$1,main!$A$3:$I$56,7,FALSE),main!$K$10:$Q$14,5,FALSE),1,0)</f>
        <v>0</v>
      </c>
      <c r="U119">
        <f>IF(VLOOKUP(U$1,main!$A$3:$I$56,5,FALSE)-VLOOKUP($A119,main!$A$3:$I$56,6,FALSE)&gt;=VLOOKUP(57,main!$A$57:$I$59,4,FALSE)+VLOOKUP(VLOOKUP(U$1,main!$A$3:$I$56,7,FALSE),main!$K$10:$Q$14,5,FALSE),1,0)</f>
        <v>0</v>
      </c>
      <c r="V119">
        <f>IF(VLOOKUP(V$1,main!$A$3:$I$56,5,FALSE)-VLOOKUP($A119,main!$A$3:$I$56,6,FALSE)&gt;=VLOOKUP(57,main!$A$57:$I$59,4,FALSE)+VLOOKUP(VLOOKUP(V$1,main!$A$3:$I$56,7,FALSE),main!$K$10:$Q$14,5,FALSE),1,0)</f>
        <v>0</v>
      </c>
      <c r="W119">
        <f>IF(VLOOKUP(W$1,main!$A$3:$I$56,5,FALSE)-VLOOKUP($A119,main!$A$3:$I$56,6,FALSE)&gt;=VLOOKUP(57,main!$A$57:$I$59,4,FALSE)+VLOOKUP(VLOOKUP(W$1,main!$A$3:$I$56,7,FALSE),main!$K$10:$Q$14,5,FALSE),1,0)</f>
        <v>0</v>
      </c>
      <c r="X119">
        <f>IF(VLOOKUP(X$1,main!$A$3:$I$56,5,FALSE)-VLOOKUP($A119,main!$A$3:$I$56,6,FALSE)&gt;=VLOOKUP(57,main!$A$57:$I$59,4,FALSE)+VLOOKUP(VLOOKUP(X$1,main!$A$3:$I$56,7,FALSE),main!$K$10:$Q$14,5,FALSE),1,0)</f>
        <v>0</v>
      </c>
      <c r="Y119">
        <f>IF(VLOOKUP(Y$1,main!$A$3:$I$56,5,FALSE)-VLOOKUP($A119,main!$A$3:$I$56,6,FALSE)&gt;=VLOOKUP(57,main!$A$57:$I$59,4,FALSE)+VLOOKUP(VLOOKUP(Y$1,main!$A$3:$I$56,7,FALSE),main!$K$10:$Q$14,5,FALSE),1,0)</f>
        <v>0</v>
      </c>
      <c r="Z119">
        <f>IF(VLOOKUP(Z$1,main!$A$3:$I$56,5,FALSE)-VLOOKUP($A119,main!$A$3:$I$56,6,FALSE)&gt;=VLOOKUP(57,main!$A$57:$I$59,4,FALSE)+VLOOKUP(VLOOKUP(Z$1,main!$A$3:$I$56,7,FALSE),main!$K$10:$Q$14,5,FALSE),1,0)</f>
        <v>0</v>
      </c>
      <c r="AA119">
        <f>IF(VLOOKUP(AA$1,main!$A$3:$I$56,5,FALSE)-VLOOKUP($A119,main!$A$3:$I$56,6,FALSE)&gt;=VLOOKUP(57,main!$A$57:$I$59,4,FALSE)+VLOOKUP(VLOOKUP(AA$1,main!$A$3:$I$56,7,FALSE),main!$K$10:$Q$14,5,FALSE),1,0)</f>
        <v>0</v>
      </c>
      <c r="AB119">
        <f>IF(VLOOKUP(AB$1,main!$A$3:$I$56,5,FALSE)-VLOOKUP($A119,main!$A$3:$I$56,6,FALSE)&gt;=VLOOKUP(57,main!$A$57:$I$59,4,FALSE)+VLOOKUP(VLOOKUP(AB$1,main!$A$3:$I$56,7,FALSE),main!$K$10:$Q$14,5,FALSE),1,0)</f>
        <v>0</v>
      </c>
      <c r="AC119">
        <f>IF(VLOOKUP(AC$1,main!$A$3:$I$56,5,FALSE)-VLOOKUP($A119,main!$A$3:$I$56,6,FALSE)&gt;=VLOOKUP(57,main!$A$57:$I$59,4,FALSE)+VLOOKUP(VLOOKUP(AC$1,main!$A$3:$I$56,7,FALSE),main!$K$10:$Q$14,5,FALSE),1,0)</f>
        <v>0</v>
      </c>
      <c r="AD119">
        <f>IF(VLOOKUP(AD$1,main!$A$3:$I$56,5,FALSE)-VLOOKUP($A119,main!$A$3:$I$56,6,FALSE)&gt;=VLOOKUP(57,main!$A$57:$I$59,4,FALSE)+VLOOKUP(VLOOKUP(AD$1,main!$A$3:$I$56,7,FALSE),main!$K$10:$Q$14,5,FALSE),1,0)</f>
        <v>0</v>
      </c>
      <c r="AE119">
        <f>IF(VLOOKUP(AE$1,main!$A$3:$I$56,5,FALSE)-VLOOKUP($A119,main!$A$3:$I$56,6,FALSE)&gt;=VLOOKUP(57,main!$A$57:$I$59,4,FALSE)+VLOOKUP(VLOOKUP(AE$1,main!$A$3:$I$56,7,FALSE),main!$K$10:$Q$14,5,FALSE),1,0)</f>
        <v>0</v>
      </c>
      <c r="AF119">
        <f>IF(VLOOKUP(AF$1,main!$A$3:$I$56,5,FALSE)-VLOOKUP($A119,main!$A$3:$I$56,6,FALSE)&gt;=VLOOKUP(57,main!$A$57:$I$59,4,FALSE)+VLOOKUP(VLOOKUP(AF$1,main!$A$3:$I$56,7,FALSE),main!$K$10:$Q$14,5,FALSE),1,0)</f>
        <v>0</v>
      </c>
      <c r="AG119">
        <f>IF(VLOOKUP(AG$1,main!$A$3:$I$56,5,FALSE)-VLOOKUP($A119,main!$A$3:$I$56,6,FALSE)&gt;=VLOOKUP(57,main!$A$57:$I$59,4,FALSE)+VLOOKUP(VLOOKUP(AG$1,main!$A$3:$I$56,7,FALSE),main!$K$10:$Q$14,5,FALSE),1,0)</f>
        <v>0</v>
      </c>
      <c r="AH119">
        <f>IF(VLOOKUP(AH$1,main!$A$3:$I$56,5,FALSE)-VLOOKUP($A119,main!$A$3:$I$56,6,FALSE)&gt;=VLOOKUP(57,main!$A$57:$I$59,4,FALSE)+VLOOKUP(VLOOKUP(AH$1,main!$A$3:$I$56,7,FALSE),main!$K$10:$Q$14,5,FALSE),1,0)</f>
        <v>0</v>
      </c>
      <c r="AI119">
        <f>IF(VLOOKUP(AI$1,main!$A$3:$I$56,5,FALSE)-VLOOKUP($A119,main!$A$3:$I$56,6,FALSE)&gt;=VLOOKUP(57,main!$A$57:$I$59,4,FALSE)+VLOOKUP(VLOOKUP(AI$1,main!$A$3:$I$56,7,FALSE),main!$K$10:$Q$14,5,FALSE),1,0)</f>
        <v>0</v>
      </c>
      <c r="AJ119">
        <f>IF(VLOOKUP(AJ$1,main!$A$3:$I$56,5,FALSE)-VLOOKUP($A119,main!$A$3:$I$56,6,FALSE)&gt;=VLOOKUP(57,main!$A$57:$I$59,4,FALSE)+VLOOKUP(VLOOKUP(AJ$1,main!$A$3:$I$56,7,FALSE),main!$K$10:$Q$14,5,FALSE),1,0)</f>
        <v>0</v>
      </c>
      <c r="AK119">
        <f>IF(VLOOKUP(AK$1,main!$A$3:$I$56,5,FALSE)-VLOOKUP($A119,main!$A$3:$I$56,6,FALSE)&gt;=VLOOKUP(57,main!$A$57:$I$59,4,FALSE)+VLOOKUP(VLOOKUP(AK$1,main!$A$3:$I$56,7,FALSE),main!$K$10:$Q$14,5,FALSE),1,0)</f>
        <v>0</v>
      </c>
      <c r="AL119">
        <f>IF(VLOOKUP(AL$1,main!$A$3:$I$56,5,FALSE)-VLOOKUP($A119,main!$A$3:$I$56,6,FALSE)&gt;=VLOOKUP(57,main!$A$57:$I$59,4,FALSE)+VLOOKUP(VLOOKUP(AL$1,main!$A$3:$I$56,7,FALSE),main!$K$10:$Q$14,5,FALSE),1,0)</f>
        <v>0</v>
      </c>
      <c r="AM119">
        <f>IF(VLOOKUP(AM$1,main!$A$3:$I$56,5,FALSE)-VLOOKUP($A119,main!$A$3:$I$56,6,FALSE)&gt;=VLOOKUP(57,main!$A$57:$I$59,4,FALSE)+VLOOKUP(VLOOKUP(AM$1,main!$A$3:$I$56,7,FALSE),main!$K$10:$Q$14,5,FALSE),1,0)</f>
        <v>0</v>
      </c>
      <c r="AN119">
        <f>IF(VLOOKUP(AN$1,main!$A$3:$I$56,5,FALSE)-VLOOKUP($A119,main!$A$3:$I$56,6,FALSE)&gt;=VLOOKUP(57,main!$A$57:$I$59,4,FALSE)+VLOOKUP(VLOOKUP(AN$1,main!$A$3:$I$56,7,FALSE),main!$K$10:$Q$14,5,FALSE),1,0)</f>
        <v>0</v>
      </c>
      <c r="AO119">
        <f>IF(VLOOKUP(AO$1,main!$A$3:$I$56,5,FALSE)-VLOOKUP($A119,main!$A$3:$I$56,6,FALSE)&gt;=VLOOKUP(57,main!$A$57:$I$59,4,FALSE)+VLOOKUP(VLOOKUP(AO$1,main!$A$3:$I$56,7,FALSE),main!$K$10:$Q$14,5,FALSE),1,0)</f>
        <v>0</v>
      </c>
      <c r="AP119">
        <f>IF(VLOOKUP(AP$1,main!$A$3:$I$56,5,FALSE)-VLOOKUP($A119,main!$A$3:$I$56,6,FALSE)&gt;=VLOOKUP(57,main!$A$57:$I$59,4,FALSE)+VLOOKUP(VLOOKUP(AP$1,main!$A$3:$I$56,7,FALSE),main!$K$10:$Q$14,5,FALSE),1,0)</f>
        <v>0</v>
      </c>
      <c r="AQ119">
        <f>IF(VLOOKUP(AQ$1,main!$A$3:$I$56,5,FALSE)-VLOOKUP($A119,main!$A$3:$I$56,6,FALSE)&gt;=VLOOKUP(57,main!$A$57:$I$59,4,FALSE)+VLOOKUP(VLOOKUP(AQ$1,main!$A$3:$I$56,7,FALSE),main!$K$10:$Q$14,5,FALSE),1,0)</f>
        <v>0</v>
      </c>
      <c r="AR119">
        <f>IF(VLOOKUP(AR$1,main!$A$3:$I$56,5,FALSE)-VLOOKUP($A119,main!$A$3:$I$56,6,FALSE)&gt;=VLOOKUP(57,main!$A$57:$I$59,4,FALSE)+VLOOKUP(VLOOKUP(AR$1,main!$A$3:$I$56,7,FALSE),main!$K$10:$Q$14,5,FALSE),1,0)</f>
        <v>0</v>
      </c>
      <c r="AS119">
        <f>IF(VLOOKUP(AS$1,main!$A$3:$I$56,5,FALSE)-VLOOKUP($A119,main!$A$3:$I$56,6,FALSE)&gt;=VLOOKUP(57,main!$A$57:$I$59,4,FALSE)+VLOOKUP(VLOOKUP(AS$1,main!$A$3:$I$56,7,FALSE),main!$K$10:$Q$14,5,FALSE),1,0)</f>
        <v>0</v>
      </c>
      <c r="AT119">
        <f>IF(VLOOKUP(AT$1,main!$A$3:$I$56,5,FALSE)-VLOOKUP($A119,main!$A$3:$I$56,6,FALSE)&gt;=VLOOKUP(57,main!$A$57:$I$59,4,FALSE)+VLOOKUP(VLOOKUP(AT$1,main!$A$3:$I$56,7,FALSE),main!$K$10:$Q$14,5,FALSE),1,0)</f>
        <v>0</v>
      </c>
      <c r="AU119">
        <f>IF(VLOOKUP(AU$1,main!$A$3:$I$56,5,FALSE)-VLOOKUP($A119,main!$A$3:$I$56,6,FALSE)&gt;=VLOOKUP(57,main!$A$57:$I$59,4,FALSE)+VLOOKUP(VLOOKUP(AU$1,main!$A$3:$I$56,7,FALSE),main!$K$10:$Q$14,5,FALSE),1,0)</f>
        <v>0</v>
      </c>
      <c r="AV119">
        <f>IF(VLOOKUP(AV$1,main!$A$3:$I$56,5,FALSE)-VLOOKUP($A119,main!$A$3:$I$56,6,FALSE)&gt;=VLOOKUP(57,main!$A$57:$I$59,4,FALSE)+VLOOKUP(VLOOKUP(AV$1,main!$A$3:$I$56,7,FALSE),main!$K$10:$Q$14,5,FALSE),1,0)</f>
        <v>0</v>
      </c>
      <c r="AW119">
        <f>IF(VLOOKUP(AW$1,main!$A$3:$I$56,5,FALSE)-VLOOKUP($A119,main!$A$3:$I$56,6,FALSE)&gt;=VLOOKUP(57,main!$A$57:$I$59,4,FALSE)+VLOOKUP(VLOOKUP(AW$1,main!$A$3:$I$56,7,FALSE),main!$K$10:$Q$14,5,FALSE),1,0)</f>
        <v>0</v>
      </c>
      <c r="AX119">
        <f>IF(VLOOKUP(AX$1,main!$A$3:$I$56,5,FALSE)-VLOOKUP($A119,main!$A$3:$I$56,6,FALSE)&gt;=VLOOKUP(57,main!$A$57:$I$59,4,FALSE)+VLOOKUP(VLOOKUP(AX$1,main!$A$3:$I$56,7,FALSE),main!$K$10:$Q$14,5,FALSE),1,0)</f>
        <v>0</v>
      </c>
      <c r="AY119">
        <f>IF(VLOOKUP(AY$1,main!$A$3:$I$56,5,FALSE)-VLOOKUP($A119,main!$A$3:$I$56,6,FALSE)&gt;=VLOOKUP(57,main!$A$57:$I$59,4,FALSE)+VLOOKUP(VLOOKUP(AY$1,main!$A$3:$I$56,7,FALSE),main!$K$10:$Q$14,5,FALSE),1,0)</f>
        <v>0</v>
      </c>
      <c r="AZ119">
        <f>IF(VLOOKUP(AZ$1,main!$A$3:$I$56,5,FALSE)-VLOOKUP($A119,main!$A$3:$I$56,6,FALSE)&gt;=VLOOKUP(57,main!$A$57:$I$59,4,FALSE)+VLOOKUP(VLOOKUP(AZ$1,main!$A$3:$I$56,7,FALSE),main!$K$10:$Q$14,5,FALSE),1,0)</f>
        <v>0</v>
      </c>
      <c r="BA119">
        <f>IF(VLOOKUP(BA$1,main!$A$3:$I$56,5,FALSE)-VLOOKUP($A119,main!$A$3:$I$56,6,FALSE)&gt;=VLOOKUP(57,main!$A$57:$I$59,4,FALSE)+VLOOKUP(VLOOKUP(BA$1,main!$A$3:$I$56,7,FALSE),main!$K$10:$Q$14,5,FALSE),1,0)</f>
        <v>0</v>
      </c>
      <c r="BB119">
        <f>IF(VLOOKUP(BB$1,main!$A$3:$I$56,5,FALSE)-VLOOKUP($A119,main!$A$3:$I$56,6,FALSE)&gt;=VLOOKUP(57,main!$A$57:$I$59,4,FALSE)+VLOOKUP(VLOOKUP(BB$1,main!$A$3:$I$56,7,FALSE),main!$K$10:$Q$14,5,FALSE),1,0)</f>
        <v>0</v>
      </c>
      <c r="BC119">
        <f>IF(VLOOKUP(BC$1,main!$A$3:$I$56,5,FALSE)-VLOOKUP($A119,main!$A$3:$I$56,6,FALSE)&gt;=VLOOKUP(57,main!$A$57:$I$59,4,FALSE)+VLOOKUP(VLOOKUP(BC$1,main!$A$3:$I$56,7,FALSE),main!$K$10:$Q$14,5,FALSE),1,0)</f>
        <v>0</v>
      </c>
      <c r="BD119">
        <f>IF(VLOOKUP(BD$1,main!$A$3:$I$56,5,FALSE)-VLOOKUP($A119,main!$A$3:$I$56,6,FALSE)&gt;=VLOOKUP(57,main!$A$57:$I$59,4,FALSE)+VLOOKUP(VLOOKUP(BD$1,main!$A$3:$I$56,7,FALSE),main!$K$10:$Q$14,5,FALSE),1,0)</f>
        <v>0</v>
      </c>
    </row>
    <row r="120" spans="1:56" x14ac:dyDescent="0.25">
      <c r="A120">
        <f t="shared" si="2"/>
        <v>8</v>
      </c>
      <c r="B120">
        <v>0</v>
      </c>
      <c r="C120">
        <f>IF(VLOOKUP(C$1,main!$A$3:$I$56,5,FALSE)-VLOOKUP($A120,main!$A$3:$I$56,6,FALSE)&gt;=VLOOKUP(57,main!$A$57:$I$59,4,FALSE)+VLOOKUP(VLOOKUP(C$1,main!$A$3:$I$56,7,FALSE),main!$K$10:$Q$14,5,FALSE),1,0)</f>
        <v>0</v>
      </c>
      <c r="D120">
        <f>IF(VLOOKUP(D$1,main!$A$3:$I$56,5,FALSE)-VLOOKUP($A120,main!$A$3:$I$56,6,FALSE)&gt;=VLOOKUP(57,main!$A$57:$I$59,4,FALSE)+VLOOKUP(VLOOKUP(D$1,main!$A$3:$I$56,7,FALSE),main!$K$10:$Q$14,5,FALSE),1,0)</f>
        <v>0</v>
      </c>
      <c r="E120">
        <f>IF(VLOOKUP(E$1,main!$A$3:$I$56,5,FALSE)-VLOOKUP($A120,main!$A$3:$I$56,6,FALSE)&gt;=VLOOKUP(57,main!$A$57:$I$59,4,FALSE)+VLOOKUP(VLOOKUP(E$1,main!$A$3:$I$56,7,FALSE),main!$K$10:$Q$14,5,FALSE),1,0)</f>
        <v>0</v>
      </c>
      <c r="F120">
        <f>IF(VLOOKUP(F$1,main!$A$3:$I$56,5,FALSE)-VLOOKUP($A120,main!$A$3:$I$56,6,FALSE)&gt;=VLOOKUP(57,main!$A$57:$I$59,4,FALSE)+VLOOKUP(VLOOKUP(F$1,main!$A$3:$I$56,7,FALSE),main!$K$10:$Q$14,5,FALSE),1,0)</f>
        <v>0</v>
      </c>
      <c r="G120">
        <f>IF(VLOOKUP(G$1,main!$A$3:$I$56,5,FALSE)-VLOOKUP($A120,main!$A$3:$I$56,6,FALSE)&gt;=VLOOKUP(57,main!$A$57:$I$59,4,FALSE)+VLOOKUP(VLOOKUP(G$1,main!$A$3:$I$56,7,FALSE),main!$K$10:$Q$14,5,FALSE),1,0)</f>
        <v>0</v>
      </c>
      <c r="H120">
        <f>IF(VLOOKUP(H$1,main!$A$3:$I$56,5,FALSE)-VLOOKUP($A120,main!$A$3:$I$56,6,FALSE)&gt;=VLOOKUP(57,main!$A$57:$I$59,4,FALSE)+VLOOKUP(VLOOKUP(H$1,main!$A$3:$I$56,7,FALSE),main!$K$10:$Q$14,5,FALSE),1,0)</f>
        <v>0</v>
      </c>
      <c r="I120">
        <f>IF(VLOOKUP(I$1,main!$A$3:$I$56,5,FALSE)-VLOOKUP($A120,main!$A$3:$I$56,6,FALSE)&gt;=VLOOKUP(57,main!$A$57:$I$59,4,FALSE)+VLOOKUP(VLOOKUP(I$1,main!$A$3:$I$56,7,FALSE),main!$K$10:$Q$14,5,FALSE),1,0)</f>
        <v>0</v>
      </c>
      <c r="J120">
        <f>IF(VLOOKUP(J$1,main!$A$3:$I$56,5,FALSE)-VLOOKUP($A120,main!$A$3:$I$56,6,FALSE)&gt;=VLOOKUP(57,main!$A$57:$I$59,4,FALSE)+VLOOKUP(VLOOKUP(J$1,main!$A$3:$I$56,7,FALSE),main!$K$10:$Q$14,5,FALSE),1,0)</f>
        <v>0</v>
      </c>
      <c r="K120">
        <f>IF(VLOOKUP(K$1,main!$A$3:$I$56,5,FALSE)-VLOOKUP($A120,main!$A$3:$I$56,6,FALSE)&gt;=VLOOKUP(57,main!$A$57:$I$59,4,FALSE)+VLOOKUP(VLOOKUP(K$1,main!$A$3:$I$56,7,FALSE),main!$K$10:$Q$14,5,FALSE),1,0)</f>
        <v>0</v>
      </c>
      <c r="L120">
        <f>IF(VLOOKUP(L$1,main!$A$3:$I$56,5,FALSE)-VLOOKUP($A120,main!$A$3:$I$56,6,FALSE)&gt;=VLOOKUP(57,main!$A$57:$I$59,4,FALSE)+VLOOKUP(VLOOKUP(L$1,main!$A$3:$I$56,7,FALSE),main!$K$10:$Q$14,5,FALSE),1,0)</f>
        <v>0</v>
      </c>
      <c r="M120">
        <f>IF(VLOOKUP(M$1,main!$A$3:$I$56,5,FALSE)-VLOOKUP($A120,main!$A$3:$I$56,6,FALSE)&gt;=VLOOKUP(57,main!$A$57:$I$59,4,FALSE)+VLOOKUP(VLOOKUP(M$1,main!$A$3:$I$56,7,FALSE),main!$K$10:$Q$14,5,FALSE),1,0)</f>
        <v>0</v>
      </c>
      <c r="N120">
        <f>IF(VLOOKUP(N$1,main!$A$3:$I$56,5,FALSE)-VLOOKUP($A120,main!$A$3:$I$56,6,FALSE)&gt;=VLOOKUP(57,main!$A$57:$I$59,4,FALSE)+VLOOKUP(VLOOKUP(N$1,main!$A$3:$I$56,7,FALSE),main!$K$10:$Q$14,5,FALSE),1,0)</f>
        <v>0</v>
      </c>
      <c r="O120">
        <f>IF(VLOOKUP(O$1,main!$A$3:$I$56,5,FALSE)-VLOOKUP($A120,main!$A$3:$I$56,6,FALSE)&gt;=VLOOKUP(57,main!$A$57:$I$59,4,FALSE)+VLOOKUP(VLOOKUP(O$1,main!$A$3:$I$56,7,FALSE),main!$K$10:$Q$14,5,FALSE),1,0)</f>
        <v>0</v>
      </c>
      <c r="P120">
        <f>IF(VLOOKUP(P$1,main!$A$3:$I$56,5,FALSE)-VLOOKUP($A120,main!$A$3:$I$56,6,FALSE)&gt;=VLOOKUP(57,main!$A$57:$I$59,4,FALSE)+VLOOKUP(VLOOKUP(P$1,main!$A$3:$I$56,7,FALSE),main!$K$10:$Q$14,5,FALSE),1,0)</f>
        <v>0</v>
      </c>
      <c r="Q120">
        <f>IF(VLOOKUP(Q$1,main!$A$3:$I$56,5,FALSE)-VLOOKUP($A120,main!$A$3:$I$56,6,FALSE)&gt;=VLOOKUP(57,main!$A$57:$I$59,4,FALSE)+VLOOKUP(VLOOKUP(Q$1,main!$A$3:$I$56,7,FALSE),main!$K$10:$Q$14,5,FALSE),1,0)</f>
        <v>0</v>
      </c>
      <c r="R120">
        <f>IF(VLOOKUP(R$1,main!$A$3:$I$56,5,FALSE)-VLOOKUP($A120,main!$A$3:$I$56,6,FALSE)&gt;=VLOOKUP(57,main!$A$57:$I$59,4,FALSE)+VLOOKUP(VLOOKUP(R$1,main!$A$3:$I$56,7,FALSE),main!$K$10:$Q$14,5,FALSE),1,0)</f>
        <v>0</v>
      </c>
      <c r="S120">
        <f>IF(VLOOKUP(S$1,main!$A$3:$I$56,5,FALSE)-VLOOKUP($A120,main!$A$3:$I$56,6,FALSE)&gt;=VLOOKUP(57,main!$A$57:$I$59,4,FALSE)+VLOOKUP(VLOOKUP(S$1,main!$A$3:$I$56,7,FALSE),main!$K$10:$Q$14,5,FALSE),1,0)</f>
        <v>0</v>
      </c>
      <c r="T120">
        <f>IF(VLOOKUP(T$1,main!$A$3:$I$56,5,FALSE)-VLOOKUP($A120,main!$A$3:$I$56,6,FALSE)&gt;=VLOOKUP(57,main!$A$57:$I$59,4,FALSE)+VLOOKUP(VLOOKUP(T$1,main!$A$3:$I$56,7,FALSE),main!$K$10:$Q$14,5,FALSE),1,0)</f>
        <v>0</v>
      </c>
      <c r="U120">
        <f>IF(VLOOKUP(U$1,main!$A$3:$I$56,5,FALSE)-VLOOKUP($A120,main!$A$3:$I$56,6,FALSE)&gt;=VLOOKUP(57,main!$A$57:$I$59,4,FALSE)+VLOOKUP(VLOOKUP(U$1,main!$A$3:$I$56,7,FALSE),main!$K$10:$Q$14,5,FALSE),1,0)</f>
        <v>0</v>
      </c>
      <c r="V120">
        <f>IF(VLOOKUP(V$1,main!$A$3:$I$56,5,FALSE)-VLOOKUP($A120,main!$A$3:$I$56,6,FALSE)&gt;=VLOOKUP(57,main!$A$57:$I$59,4,FALSE)+VLOOKUP(VLOOKUP(V$1,main!$A$3:$I$56,7,FALSE),main!$K$10:$Q$14,5,FALSE),1,0)</f>
        <v>0</v>
      </c>
      <c r="W120">
        <f>IF(VLOOKUP(W$1,main!$A$3:$I$56,5,FALSE)-VLOOKUP($A120,main!$A$3:$I$56,6,FALSE)&gt;=VLOOKUP(57,main!$A$57:$I$59,4,FALSE)+VLOOKUP(VLOOKUP(W$1,main!$A$3:$I$56,7,FALSE),main!$K$10:$Q$14,5,FALSE),1,0)</f>
        <v>0</v>
      </c>
      <c r="X120">
        <f>IF(VLOOKUP(X$1,main!$A$3:$I$56,5,FALSE)-VLOOKUP($A120,main!$A$3:$I$56,6,FALSE)&gt;=VLOOKUP(57,main!$A$57:$I$59,4,FALSE)+VLOOKUP(VLOOKUP(X$1,main!$A$3:$I$56,7,FALSE),main!$K$10:$Q$14,5,FALSE),1,0)</f>
        <v>0</v>
      </c>
      <c r="Y120">
        <f>IF(VLOOKUP(Y$1,main!$A$3:$I$56,5,FALSE)-VLOOKUP($A120,main!$A$3:$I$56,6,FALSE)&gt;=VLOOKUP(57,main!$A$57:$I$59,4,FALSE)+VLOOKUP(VLOOKUP(Y$1,main!$A$3:$I$56,7,FALSE),main!$K$10:$Q$14,5,FALSE),1,0)</f>
        <v>0</v>
      </c>
      <c r="Z120">
        <f>IF(VLOOKUP(Z$1,main!$A$3:$I$56,5,FALSE)-VLOOKUP($A120,main!$A$3:$I$56,6,FALSE)&gt;=VLOOKUP(57,main!$A$57:$I$59,4,FALSE)+VLOOKUP(VLOOKUP(Z$1,main!$A$3:$I$56,7,FALSE),main!$K$10:$Q$14,5,FALSE),1,0)</f>
        <v>0</v>
      </c>
      <c r="AA120">
        <f>IF(VLOOKUP(AA$1,main!$A$3:$I$56,5,FALSE)-VLOOKUP($A120,main!$A$3:$I$56,6,FALSE)&gt;=VLOOKUP(57,main!$A$57:$I$59,4,FALSE)+VLOOKUP(VLOOKUP(AA$1,main!$A$3:$I$56,7,FALSE),main!$K$10:$Q$14,5,FALSE),1,0)</f>
        <v>0</v>
      </c>
      <c r="AB120">
        <f>IF(VLOOKUP(AB$1,main!$A$3:$I$56,5,FALSE)-VLOOKUP($A120,main!$A$3:$I$56,6,FALSE)&gt;=VLOOKUP(57,main!$A$57:$I$59,4,FALSE)+VLOOKUP(VLOOKUP(AB$1,main!$A$3:$I$56,7,FALSE),main!$K$10:$Q$14,5,FALSE),1,0)</f>
        <v>0</v>
      </c>
      <c r="AC120">
        <f>IF(VLOOKUP(AC$1,main!$A$3:$I$56,5,FALSE)-VLOOKUP($A120,main!$A$3:$I$56,6,FALSE)&gt;=VLOOKUP(57,main!$A$57:$I$59,4,FALSE)+VLOOKUP(VLOOKUP(AC$1,main!$A$3:$I$56,7,FALSE),main!$K$10:$Q$14,5,FALSE),1,0)</f>
        <v>0</v>
      </c>
      <c r="AD120">
        <f>IF(VLOOKUP(AD$1,main!$A$3:$I$56,5,FALSE)-VLOOKUP($A120,main!$A$3:$I$56,6,FALSE)&gt;=VLOOKUP(57,main!$A$57:$I$59,4,FALSE)+VLOOKUP(VLOOKUP(AD$1,main!$A$3:$I$56,7,FALSE),main!$K$10:$Q$14,5,FALSE),1,0)</f>
        <v>0</v>
      </c>
      <c r="AE120">
        <f>IF(VLOOKUP(AE$1,main!$A$3:$I$56,5,FALSE)-VLOOKUP($A120,main!$A$3:$I$56,6,FALSE)&gt;=VLOOKUP(57,main!$A$57:$I$59,4,FALSE)+VLOOKUP(VLOOKUP(AE$1,main!$A$3:$I$56,7,FALSE),main!$K$10:$Q$14,5,FALSE),1,0)</f>
        <v>0</v>
      </c>
      <c r="AF120">
        <f>IF(VLOOKUP(AF$1,main!$A$3:$I$56,5,FALSE)-VLOOKUP($A120,main!$A$3:$I$56,6,FALSE)&gt;=VLOOKUP(57,main!$A$57:$I$59,4,FALSE)+VLOOKUP(VLOOKUP(AF$1,main!$A$3:$I$56,7,FALSE),main!$K$10:$Q$14,5,FALSE),1,0)</f>
        <v>0</v>
      </c>
      <c r="AG120">
        <f>IF(VLOOKUP(AG$1,main!$A$3:$I$56,5,FALSE)-VLOOKUP($A120,main!$A$3:$I$56,6,FALSE)&gt;=VLOOKUP(57,main!$A$57:$I$59,4,FALSE)+VLOOKUP(VLOOKUP(AG$1,main!$A$3:$I$56,7,FALSE),main!$K$10:$Q$14,5,FALSE),1,0)</f>
        <v>0</v>
      </c>
      <c r="AH120">
        <f>IF(VLOOKUP(AH$1,main!$A$3:$I$56,5,FALSE)-VLOOKUP($A120,main!$A$3:$I$56,6,FALSE)&gt;=VLOOKUP(57,main!$A$57:$I$59,4,FALSE)+VLOOKUP(VLOOKUP(AH$1,main!$A$3:$I$56,7,FALSE),main!$K$10:$Q$14,5,FALSE),1,0)</f>
        <v>0</v>
      </c>
      <c r="AI120">
        <f>IF(VLOOKUP(AI$1,main!$A$3:$I$56,5,FALSE)-VLOOKUP($A120,main!$A$3:$I$56,6,FALSE)&gt;=VLOOKUP(57,main!$A$57:$I$59,4,FALSE)+VLOOKUP(VLOOKUP(AI$1,main!$A$3:$I$56,7,FALSE),main!$K$10:$Q$14,5,FALSE),1,0)</f>
        <v>0</v>
      </c>
      <c r="AJ120">
        <f>IF(VLOOKUP(AJ$1,main!$A$3:$I$56,5,FALSE)-VLOOKUP($A120,main!$A$3:$I$56,6,FALSE)&gt;=VLOOKUP(57,main!$A$57:$I$59,4,FALSE)+VLOOKUP(VLOOKUP(AJ$1,main!$A$3:$I$56,7,FALSE),main!$K$10:$Q$14,5,FALSE),1,0)</f>
        <v>0</v>
      </c>
      <c r="AK120">
        <f>IF(VLOOKUP(AK$1,main!$A$3:$I$56,5,FALSE)-VLOOKUP($A120,main!$A$3:$I$56,6,FALSE)&gt;=VLOOKUP(57,main!$A$57:$I$59,4,FALSE)+VLOOKUP(VLOOKUP(AK$1,main!$A$3:$I$56,7,FALSE),main!$K$10:$Q$14,5,FALSE),1,0)</f>
        <v>0</v>
      </c>
      <c r="AL120">
        <f>IF(VLOOKUP(AL$1,main!$A$3:$I$56,5,FALSE)-VLOOKUP($A120,main!$A$3:$I$56,6,FALSE)&gt;=VLOOKUP(57,main!$A$57:$I$59,4,FALSE)+VLOOKUP(VLOOKUP(AL$1,main!$A$3:$I$56,7,FALSE),main!$K$10:$Q$14,5,FALSE),1,0)</f>
        <v>0</v>
      </c>
      <c r="AM120">
        <f>IF(VLOOKUP(AM$1,main!$A$3:$I$56,5,FALSE)-VLOOKUP($A120,main!$A$3:$I$56,6,FALSE)&gt;=VLOOKUP(57,main!$A$57:$I$59,4,FALSE)+VLOOKUP(VLOOKUP(AM$1,main!$A$3:$I$56,7,FALSE),main!$K$10:$Q$14,5,FALSE),1,0)</f>
        <v>0</v>
      </c>
      <c r="AN120">
        <f>IF(VLOOKUP(AN$1,main!$A$3:$I$56,5,FALSE)-VLOOKUP($A120,main!$A$3:$I$56,6,FALSE)&gt;=VLOOKUP(57,main!$A$57:$I$59,4,FALSE)+VLOOKUP(VLOOKUP(AN$1,main!$A$3:$I$56,7,FALSE),main!$K$10:$Q$14,5,FALSE),1,0)</f>
        <v>0</v>
      </c>
      <c r="AO120">
        <f>IF(VLOOKUP(AO$1,main!$A$3:$I$56,5,FALSE)-VLOOKUP($A120,main!$A$3:$I$56,6,FALSE)&gt;=VLOOKUP(57,main!$A$57:$I$59,4,FALSE)+VLOOKUP(VLOOKUP(AO$1,main!$A$3:$I$56,7,FALSE),main!$K$10:$Q$14,5,FALSE),1,0)</f>
        <v>0</v>
      </c>
      <c r="AP120">
        <f>IF(VLOOKUP(AP$1,main!$A$3:$I$56,5,FALSE)-VLOOKUP($A120,main!$A$3:$I$56,6,FALSE)&gt;=VLOOKUP(57,main!$A$57:$I$59,4,FALSE)+VLOOKUP(VLOOKUP(AP$1,main!$A$3:$I$56,7,FALSE),main!$K$10:$Q$14,5,FALSE),1,0)</f>
        <v>0</v>
      </c>
      <c r="AQ120">
        <f>IF(VLOOKUP(AQ$1,main!$A$3:$I$56,5,FALSE)-VLOOKUP($A120,main!$A$3:$I$56,6,FALSE)&gt;=VLOOKUP(57,main!$A$57:$I$59,4,FALSE)+VLOOKUP(VLOOKUP(AQ$1,main!$A$3:$I$56,7,FALSE),main!$K$10:$Q$14,5,FALSE),1,0)</f>
        <v>0</v>
      </c>
      <c r="AR120">
        <f>IF(VLOOKUP(AR$1,main!$A$3:$I$56,5,FALSE)-VLOOKUP($A120,main!$A$3:$I$56,6,FALSE)&gt;=VLOOKUP(57,main!$A$57:$I$59,4,FALSE)+VLOOKUP(VLOOKUP(AR$1,main!$A$3:$I$56,7,FALSE),main!$K$10:$Q$14,5,FALSE),1,0)</f>
        <v>0</v>
      </c>
      <c r="AS120">
        <f>IF(VLOOKUP(AS$1,main!$A$3:$I$56,5,FALSE)-VLOOKUP($A120,main!$A$3:$I$56,6,FALSE)&gt;=VLOOKUP(57,main!$A$57:$I$59,4,FALSE)+VLOOKUP(VLOOKUP(AS$1,main!$A$3:$I$56,7,FALSE),main!$K$10:$Q$14,5,FALSE),1,0)</f>
        <v>0</v>
      </c>
      <c r="AT120">
        <f>IF(VLOOKUP(AT$1,main!$A$3:$I$56,5,FALSE)-VLOOKUP($A120,main!$A$3:$I$56,6,FALSE)&gt;=VLOOKUP(57,main!$A$57:$I$59,4,FALSE)+VLOOKUP(VLOOKUP(AT$1,main!$A$3:$I$56,7,FALSE),main!$K$10:$Q$14,5,FALSE),1,0)</f>
        <v>0</v>
      </c>
      <c r="AU120">
        <f>IF(VLOOKUP(AU$1,main!$A$3:$I$56,5,FALSE)-VLOOKUP($A120,main!$A$3:$I$56,6,FALSE)&gt;=VLOOKUP(57,main!$A$57:$I$59,4,FALSE)+VLOOKUP(VLOOKUP(AU$1,main!$A$3:$I$56,7,FALSE),main!$K$10:$Q$14,5,FALSE),1,0)</f>
        <v>0</v>
      </c>
      <c r="AV120">
        <f>IF(VLOOKUP(AV$1,main!$A$3:$I$56,5,FALSE)-VLOOKUP($A120,main!$A$3:$I$56,6,FALSE)&gt;=VLOOKUP(57,main!$A$57:$I$59,4,FALSE)+VLOOKUP(VLOOKUP(AV$1,main!$A$3:$I$56,7,FALSE),main!$K$10:$Q$14,5,FALSE),1,0)</f>
        <v>0</v>
      </c>
      <c r="AW120">
        <f>IF(VLOOKUP(AW$1,main!$A$3:$I$56,5,FALSE)-VLOOKUP($A120,main!$A$3:$I$56,6,FALSE)&gt;=VLOOKUP(57,main!$A$57:$I$59,4,FALSE)+VLOOKUP(VLOOKUP(AW$1,main!$A$3:$I$56,7,FALSE),main!$K$10:$Q$14,5,FALSE),1,0)</f>
        <v>0</v>
      </c>
      <c r="AX120">
        <f>IF(VLOOKUP(AX$1,main!$A$3:$I$56,5,FALSE)-VLOOKUP($A120,main!$A$3:$I$56,6,FALSE)&gt;=VLOOKUP(57,main!$A$57:$I$59,4,FALSE)+VLOOKUP(VLOOKUP(AX$1,main!$A$3:$I$56,7,FALSE),main!$K$10:$Q$14,5,FALSE),1,0)</f>
        <v>0</v>
      </c>
      <c r="AY120">
        <f>IF(VLOOKUP(AY$1,main!$A$3:$I$56,5,FALSE)-VLOOKUP($A120,main!$A$3:$I$56,6,FALSE)&gt;=VLOOKUP(57,main!$A$57:$I$59,4,FALSE)+VLOOKUP(VLOOKUP(AY$1,main!$A$3:$I$56,7,FALSE),main!$K$10:$Q$14,5,FALSE),1,0)</f>
        <v>0</v>
      </c>
      <c r="AZ120">
        <f>IF(VLOOKUP(AZ$1,main!$A$3:$I$56,5,FALSE)-VLOOKUP($A120,main!$A$3:$I$56,6,FALSE)&gt;=VLOOKUP(57,main!$A$57:$I$59,4,FALSE)+VLOOKUP(VLOOKUP(AZ$1,main!$A$3:$I$56,7,FALSE),main!$K$10:$Q$14,5,FALSE),1,0)</f>
        <v>0</v>
      </c>
      <c r="BA120">
        <f>IF(VLOOKUP(BA$1,main!$A$3:$I$56,5,FALSE)-VLOOKUP($A120,main!$A$3:$I$56,6,FALSE)&gt;=VLOOKUP(57,main!$A$57:$I$59,4,FALSE)+VLOOKUP(VLOOKUP(BA$1,main!$A$3:$I$56,7,FALSE),main!$K$10:$Q$14,5,FALSE),1,0)</f>
        <v>0</v>
      </c>
      <c r="BB120">
        <f>IF(VLOOKUP(BB$1,main!$A$3:$I$56,5,FALSE)-VLOOKUP($A120,main!$A$3:$I$56,6,FALSE)&gt;=VLOOKUP(57,main!$A$57:$I$59,4,FALSE)+VLOOKUP(VLOOKUP(BB$1,main!$A$3:$I$56,7,FALSE),main!$K$10:$Q$14,5,FALSE),1,0)</f>
        <v>0</v>
      </c>
      <c r="BC120">
        <f>IF(VLOOKUP(BC$1,main!$A$3:$I$56,5,FALSE)-VLOOKUP($A120,main!$A$3:$I$56,6,FALSE)&gt;=VLOOKUP(57,main!$A$57:$I$59,4,FALSE)+VLOOKUP(VLOOKUP(BC$1,main!$A$3:$I$56,7,FALSE),main!$K$10:$Q$14,5,FALSE),1,0)</f>
        <v>0</v>
      </c>
      <c r="BD120">
        <f>IF(VLOOKUP(BD$1,main!$A$3:$I$56,5,FALSE)-VLOOKUP($A120,main!$A$3:$I$56,6,FALSE)&gt;=VLOOKUP(57,main!$A$57:$I$59,4,FALSE)+VLOOKUP(VLOOKUP(BD$1,main!$A$3:$I$56,7,FALSE),main!$K$10:$Q$14,5,FALSE),1,0)</f>
        <v>0</v>
      </c>
    </row>
    <row r="121" spans="1:56" x14ac:dyDescent="0.25">
      <c r="A121">
        <f t="shared" si="2"/>
        <v>9</v>
      </c>
      <c r="B121">
        <v>0</v>
      </c>
      <c r="C121">
        <f>IF(VLOOKUP(C$1,main!$A$3:$I$56,5,FALSE)-VLOOKUP($A121,main!$A$3:$I$56,6,FALSE)&gt;=VLOOKUP(57,main!$A$57:$I$59,4,FALSE)+VLOOKUP(VLOOKUP(C$1,main!$A$3:$I$56,7,FALSE),main!$K$10:$Q$14,5,FALSE),1,0)</f>
        <v>0</v>
      </c>
      <c r="D121">
        <f>IF(VLOOKUP(D$1,main!$A$3:$I$56,5,FALSE)-VLOOKUP($A121,main!$A$3:$I$56,6,FALSE)&gt;=VLOOKUP(57,main!$A$57:$I$59,4,FALSE)+VLOOKUP(VLOOKUP(D$1,main!$A$3:$I$56,7,FALSE),main!$K$10:$Q$14,5,FALSE),1,0)</f>
        <v>0</v>
      </c>
      <c r="E121">
        <f>IF(VLOOKUP(E$1,main!$A$3:$I$56,5,FALSE)-VLOOKUP($A121,main!$A$3:$I$56,6,FALSE)&gt;=VLOOKUP(57,main!$A$57:$I$59,4,FALSE)+VLOOKUP(VLOOKUP(E$1,main!$A$3:$I$56,7,FALSE),main!$K$10:$Q$14,5,FALSE),1,0)</f>
        <v>0</v>
      </c>
      <c r="F121">
        <f>IF(VLOOKUP(F$1,main!$A$3:$I$56,5,FALSE)-VLOOKUP($A121,main!$A$3:$I$56,6,FALSE)&gt;=VLOOKUP(57,main!$A$57:$I$59,4,FALSE)+VLOOKUP(VLOOKUP(F$1,main!$A$3:$I$56,7,FALSE),main!$K$10:$Q$14,5,FALSE),1,0)</f>
        <v>1</v>
      </c>
      <c r="G121">
        <f>IF(VLOOKUP(G$1,main!$A$3:$I$56,5,FALSE)-VLOOKUP($A121,main!$A$3:$I$56,6,FALSE)&gt;=VLOOKUP(57,main!$A$57:$I$59,4,FALSE)+VLOOKUP(VLOOKUP(G$1,main!$A$3:$I$56,7,FALSE),main!$K$10:$Q$14,5,FALSE),1,0)</f>
        <v>1</v>
      </c>
      <c r="H121">
        <f>IF(VLOOKUP(H$1,main!$A$3:$I$56,5,FALSE)-VLOOKUP($A121,main!$A$3:$I$56,6,FALSE)&gt;=VLOOKUP(57,main!$A$57:$I$59,4,FALSE)+VLOOKUP(VLOOKUP(H$1,main!$A$3:$I$56,7,FALSE),main!$K$10:$Q$14,5,FALSE),1,0)</f>
        <v>1</v>
      </c>
      <c r="I121">
        <f>IF(VLOOKUP(I$1,main!$A$3:$I$56,5,FALSE)-VLOOKUP($A121,main!$A$3:$I$56,6,FALSE)&gt;=VLOOKUP(57,main!$A$57:$I$59,4,FALSE)+VLOOKUP(VLOOKUP(I$1,main!$A$3:$I$56,7,FALSE),main!$K$10:$Q$14,5,FALSE),1,0)</f>
        <v>1</v>
      </c>
      <c r="J121">
        <f>IF(VLOOKUP(J$1,main!$A$3:$I$56,5,FALSE)-VLOOKUP($A121,main!$A$3:$I$56,6,FALSE)&gt;=VLOOKUP(57,main!$A$57:$I$59,4,FALSE)+VLOOKUP(VLOOKUP(J$1,main!$A$3:$I$56,7,FALSE),main!$K$10:$Q$14,5,FALSE),1,0)</f>
        <v>1</v>
      </c>
      <c r="K121">
        <f>IF(VLOOKUP(K$1,main!$A$3:$I$56,5,FALSE)-VLOOKUP($A121,main!$A$3:$I$56,6,FALSE)&gt;=VLOOKUP(57,main!$A$57:$I$59,4,FALSE)+VLOOKUP(VLOOKUP(K$1,main!$A$3:$I$56,7,FALSE),main!$K$10:$Q$14,5,FALSE),1,0)</f>
        <v>0</v>
      </c>
      <c r="L121">
        <f>IF(VLOOKUP(L$1,main!$A$3:$I$56,5,FALSE)-VLOOKUP($A121,main!$A$3:$I$56,6,FALSE)&gt;=VLOOKUP(57,main!$A$57:$I$59,4,FALSE)+VLOOKUP(VLOOKUP(L$1,main!$A$3:$I$56,7,FALSE),main!$K$10:$Q$14,5,FALSE),1,0)</f>
        <v>0</v>
      </c>
      <c r="M121">
        <f>IF(VLOOKUP(M$1,main!$A$3:$I$56,5,FALSE)-VLOOKUP($A121,main!$A$3:$I$56,6,FALSE)&gt;=VLOOKUP(57,main!$A$57:$I$59,4,FALSE)+VLOOKUP(VLOOKUP(M$1,main!$A$3:$I$56,7,FALSE),main!$K$10:$Q$14,5,FALSE),1,0)</f>
        <v>0</v>
      </c>
      <c r="N121">
        <f>IF(VLOOKUP(N$1,main!$A$3:$I$56,5,FALSE)-VLOOKUP($A121,main!$A$3:$I$56,6,FALSE)&gt;=VLOOKUP(57,main!$A$57:$I$59,4,FALSE)+VLOOKUP(VLOOKUP(N$1,main!$A$3:$I$56,7,FALSE),main!$K$10:$Q$14,5,FALSE),1,0)</f>
        <v>1</v>
      </c>
      <c r="O121">
        <f>IF(VLOOKUP(O$1,main!$A$3:$I$56,5,FALSE)-VLOOKUP($A121,main!$A$3:$I$56,6,FALSE)&gt;=VLOOKUP(57,main!$A$57:$I$59,4,FALSE)+VLOOKUP(VLOOKUP(O$1,main!$A$3:$I$56,7,FALSE),main!$K$10:$Q$14,5,FALSE),1,0)</f>
        <v>1</v>
      </c>
      <c r="P121">
        <f>IF(VLOOKUP(P$1,main!$A$3:$I$56,5,FALSE)-VLOOKUP($A121,main!$A$3:$I$56,6,FALSE)&gt;=VLOOKUP(57,main!$A$57:$I$59,4,FALSE)+VLOOKUP(VLOOKUP(P$1,main!$A$3:$I$56,7,FALSE),main!$K$10:$Q$14,5,FALSE),1,0)</f>
        <v>0</v>
      </c>
      <c r="Q121">
        <f>IF(VLOOKUP(Q$1,main!$A$3:$I$56,5,FALSE)-VLOOKUP($A121,main!$A$3:$I$56,6,FALSE)&gt;=VLOOKUP(57,main!$A$57:$I$59,4,FALSE)+VLOOKUP(VLOOKUP(Q$1,main!$A$3:$I$56,7,FALSE),main!$K$10:$Q$14,5,FALSE),1,0)</f>
        <v>0</v>
      </c>
      <c r="R121">
        <f>IF(VLOOKUP(R$1,main!$A$3:$I$56,5,FALSE)-VLOOKUP($A121,main!$A$3:$I$56,6,FALSE)&gt;=VLOOKUP(57,main!$A$57:$I$59,4,FALSE)+VLOOKUP(VLOOKUP(R$1,main!$A$3:$I$56,7,FALSE),main!$K$10:$Q$14,5,FALSE),1,0)</f>
        <v>0</v>
      </c>
      <c r="S121">
        <f>IF(VLOOKUP(S$1,main!$A$3:$I$56,5,FALSE)-VLOOKUP($A121,main!$A$3:$I$56,6,FALSE)&gt;=VLOOKUP(57,main!$A$57:$I$59,4,FALSE)+VLOOKUP(VLOOKUP(S$1,main!$A$3:$I$56,7,FALSE),main!$K$10:$Q$14,5,FALSE),1,0)</f>
        <v>1</v>
      </c>
      <c r="T121">
        <f>IF(VLOOKUP(T$1,main!$A$3:$I$56,5,FALSE)-VLOOKUP($A121,main!$A$3:$I$56,6,FALSE)&gt;=VLOOKUP(57,main!$A$57:$I$59,4,FALSE)+VLOOKUP(VLOOKUP(T$1,main!$A$3:$I$56,7,FALSE),main!$K$10:$Q$14,5,FALSE),1,0)</f>
        <v>1</v>
      </c>
      <c r="U121">
        <f>IF(VLOOKUP(U$1,main!$A$3:$I$56,5,FALSE)-VLOOKUP($A121,main!$A$3:$I$56,6,FALSE)&gt;=VLOOKUP(57,main!$A$57:$I$59,4,FALSE)+VLOOKUP(VLOOKUP(U$1,main!$A$3:$I$56,7,FALSE),main!$K$10:$Q$14,5,FALSE),1,0)</f>
        <v>0</v>
      </c>
      <c r="V121">
        <f>IF(VLOOKUP(V$1,main!$A$3:$I$56,5,FALSE)-VLOOKUP($A121,main!$A$3:$I$56,6,FALSE)&gt;=VLOOKUP(57,main!$A$57:$I$59,4,FALSE)+VLOOKUP(VLOOKUP(V$1,main!$A$3:$I$56,7,FALSE),main!$K$10:$Q$14,5,FALSE),1,0)</f>
        <v>0</v>
      </c>
      <c r="W121">
        <f>IF(VLOOKUP(W$1,main!$A$3:$I$56,5,FALSE)-VLOOKUP($A121,main!$A$3:$I$56,6,FALSE)&gt;=VLOOKUP(57,main!$A$57:$I$59,4,FALSE)+VLOOKUP(VLOOKUP(W$1,main!$A$3:$I$56,7,FALSE),main!$K$10:$Q$14,5,FALSE),1,0)</f>
        <v>0</v>
      </c>
      <c r="X121">
        <f>IF(VLOOKUP(X$1,main!$A$3:$I$56,5,FALSE)-VLOOKUP($A121,main!$A$3:$I$56,6,FALSE)&gt;=VLOOKUP(57,main!$A$57:$I$59,4,FALSE)+VLOOKUP(VLOOKUP(X$1,main!$A$3:$I$56,7,FALSE),main!$K$10:$Q$14,5,FALSE),1,0)</f>
        <v>1</v>
      </c>
      <c r="Y121">
        <f>IF(VLOOKUP(Y$1,main!$A$3:$I$56,5,FALSE)-VLOOKUP($A121,main!$A$3:$I$56,6,FALSE)&gt;=VLOOKUP(57,main!$A$57:$I$59,4,FALSE)+VLOOKUP(VLOOKUP(Y$1,main!$A$3:$I$56,7,FALSE),main!$K$10:$Q$14,5,FALSE),1,0)</f>
        <v>1</v>
      </c>
      <c r="Z121">
        <f>IF(VLOOKUP(Z$1,main!$A$3:$I$56,5,FALSE)-VLOOKUP($A121,main!$A$3:$I$56,6,FALSE)&gt;=VLOOKUP(57,main!$A$57:$I$59,4,FALSE)+VLOOKUP(VLOOKUP(Z$1,main!$A$3:$I$56,7,FALSE),main!$K$10:$Q$14,5,FALSE),1,0)</f>
        <v>1</v>
      </c>
      <c r="AA121">
        <f>IF(VLOOKUP(AA$1,main!$A$3:$I$56,5,FALSE)-VLOOKUP($A121,main!$A$3:$I$56,6,FALSE)&gt;=VLOOKUP(57,main!$A$57:$I$59,4,FALSE)+VLOOKUP(VLOOKUP(AA$1,main!$A$3:$I$56,7,FALSE),main!$K$10:$Q$14,5,FALSE),1,0)</f>
        <v>1</v>
      </c>
      <c r="AB121">
        <f>IF(VLOOKUP(AB$1,main!$A$3:$I$56,5,FALSE)-VLOOKUP($A121,main!$A$3:$I$56,6,FALSE)&gt;=VLOOKUP(57,main!$A$57:$I$59,4,FALSE)+VLOOKUP(VLOOKUP(AB$1,main!$A$3:$I$56,7,FALSE),main!$K$10:$Q$14,5,FALSE),1,0)</f>
        <v>1</v>
      </c>
      <c r="AC121">
        <f>IF(VLOOKUP(AC$1,main!$A$3:$I$56,5,FALSE)-VLOOKUP($A121,main!$A$3:$I$56,6,FALSE)&gt;=VLOOKUP(57,main!$A$57:$I$59,4,FALSE)+VLOOKUP(VLOOKUP(AC$1,main!$A$3:$I$56,7,FALSE),main!$K$10:$Q$14,5,FALSE),1,0)</f>
        <v>0</v>
      </c>
      <c r="AD121">
        <f>IF(VLOOKUP(AD$1,main!$A$3:$I$56,5,FALSE)-VLOOKUP($A121,main!$A$3:$I$56,6,FALSE)&gt;=VLOOKUP(57,main!$A$57:$I$59,4,FALSE)+VLOOKUP(VLOOKUP(AD$1,main!$A$3:$I$56,7,FALSE),main!$K$10:$Q$14,5,FALSE),1,0)</f>
        <v>0</v>
      </c>
      <c r="AE121">
        <f>IF(VLOOKUP(AE$1,main!$A$3:$I$56,5,FALSE)-VLOOKUP($A121,main!$A$3:$I$56,6,FALSE)&gt;=VLOOKUP(57,main!$A$57:$I$59,4,FALSE)+VLOOKUP(VLOOKUP(AE$1,main!$A$3:$I$56,7,FALSE),main!$K$10:$Q$14,5,FALSE),1,0)</f>
        <v>1</v>
      </c>
      <c r="AF121">
        <f>IF(VLOOKUP(AF$1,main!$A$3:$I$56,5,FALSE)-VLOOKUP($A121,main!$A$3:$I$56,6,FALSE)&gt;=VLOOKUP(57,main!$A$57:$I$59,4,FALSE)+VLOOKUP(VLOOKUP(AF$1,main!$A$3:$I$56,7,FALSE),main!$K$10:$Q$14,5,FALSE),1,0)</f>
        <v>1</v>
      </c>
      <c r="AG121">
        <f>IF(VLOOKUP(AG$1,main!$A$3:$I$56,5,FALSE)-VLOOKUP($A121,main!$A$3:$I$56,6,FALSE)&gt;=VLOOKUP(57,main!$A$57:$I$59,4,FALSE)+VLOOKUP(VLOOKUP(AG$1,main!$A$3:$I$56,7,FALSE),main!$K$10:$Q$14,5,FALSE),1,0)</f>
        <v>0</v>
      </c>
      <c r="AH121">
        <f>IF(VLOOKUP(AH$1,main!$A$3:$I$56,5,FALSE)-VLOOKUP($A121,main!$A$3:$I$56,6,FALSE)&gt;=VLOOKUP(57,main!$A$57:$I$59,4,FALSE)+VLOOKUP(VLOOKUP(AH$1,main!$A$3:$I$56,7,FALSE),main!$K$10:$Q$14,5,FALSE),1,0)</f>
        <v>0</v>
      </c>
      <c r="AI121">
        <f>IF(VLOOKUP(AI$1,main!$A$3:$I$56,5,FALSE)-VLOOKUP($A121,main!$A$3:$I$56,6,FALSE)&gt;=VLOOKUP(57,main!$A$57:$I$59,4,FALSE)+VLOOKUP(VLOOKUP(AI$1,main!$A$3:$I$56,7,FALSE),main!$K$10:$Q$14,5,FALSE),1,0)</f>
        <v>0</v>
      </c>
      <c r="AJ121">
        <f>IF(VLOOKUP(AJ$1,main!$A$3:$I$56,5,FALSE)-VLOOKUP($A121,main!$A$3:$I$56,6,FALSE)&gt;=VLOOKUP(57,main!$A$57:$I$59,4,FALSE)+VLOOKUP(VLOOKUP(AJ$1,main!$A$3:$I$56,7,FALSE),main!$K$10:$Q$14,5,FALSE),1,0)</f>
        <v>1</v>
      </c>
      <c r="AK121">
        <f>IF(VLOOKUP(AK$1,main!$A$3:$I$56,5,FALSE)-VLOOKUP($A121,main!$A$3:$I$56,6,FALSE)&gt;=VLOOKUP(57,main!$A$57:$I$59,4,FALSE)+VLOOKUP(VLOOKUP(AK$1,main!$A$3:$I$56,7,FALSE),main!$K$10:$Q$14,5,FALSE),1,0)</f>
        <v>1</v>
      </c>
      <c r="AL121">
        <f>IF(VLOOKUP(AL$1,main!$A$3:$I$56,5,FALSE)-VLOOKUP($A121,main!$A$3:$I$56,6,FALSE)&gt;=VLOOKUP(57,main!$A$57:$I$59,4,FALSE)+VLOOKUP(VLOOKUP(AL$1,main!$A$3:$I$56,7,FALSE),main!$K$10:$Q$14,5,FALSE),1,0)</f>
        <v>0</v>
      </c>
      <c r="AM121">
        <f>IF(VLOOKUP(AM$1,main!$A$3:$I$56,5,FALSE)-VLOOKUP($A121,main!$A$3:$I$56,6,FALSE)&gt;=VLOOKUP(57,main!$A$57:$I$59,4,FALSE)+VLOOKUP(VLOOKUP(AM$1,main!$A$3:$I$56,7,FALSE),main!$K$10:$Q$14,5,FALSE),1,0)</f>
        <v>0</v>
      </c>
      <c r="AN121">
        <f>IF(VLOOKUP(AN$1,main!$A$3:$I$56,5,FALSE)-VLOOKUP($A121,main!$A$3:$I$56,6,FALSE)&gt;=VLOOKUP(57,main!$A$57:$I$59,4,FALSE)+VLOOKUP(VLOOKUP(AN$1,main!$A$3:$I$56,7,FALSE),main!$K$10:$Q$14,5,FALSE),1,0)</f>
        <v>1</v>
      </c>
      <c r="AO121">
        <f>IF(VLOOKUP(AO$1,main!$A$3:$I$56,5,FALSE)-VLOOKUP($A121,main!$A$3:$I$56,6,FALSE)&gt;=VLOOKUP(57,main!$A$57:$I$59,4,FALSE)+VLOOKUP(VLOOKUP(AO$1,main!$A$3:$I$56,7,FALSE),main!$K$10:$Q$14,5,FALSE),1,0)</f>
        <v>1</v>
      </c>
      <c r="AP121">
        <f>IF(VLOOKUP(AP$1,main!$A$3:$I$56,5,FALSE)-VLOOKUP($A121,main!$A$3:$I$56,6,FALSE)&gt;=VLOOKUP(57,main!$A$57:$I$59,4,FALSE)+VLOOKUP(VLOOKUP(AP$1,main!$A$3:$I$56,7,FALSE),main!$K$10:$Q$14,5,FALSE),1,0)</f>
        <v>0</v>
      </c>
      <c r="AQ121">
        <f>IF(VLOOKUP(AQ$1,main!$A$3:$I$56,5,FALSE)-VLOOKUP($A121,main!$A$3:$I$56,6,FALSE)&gt;=VLOOKUP(57,main!$A$57:$I$59,4,FALSE)+VLOOKUP(VLOOKUP(AQ$1,main!$A$3:$I$56,7,FALSE),main!$K$10:$Q$14,5,FALSE),1,0)</f>
        <v>0</v>
      </c>
      <c r="AR121">
        <f>IF(VLOOKUP(AR$1,main!$A$3:$I$56,5,FALSE)-VLOOKUP($A121,main!$A$3:$I$56,6,FALSE)&gt;=VLOOKUP(57,main!$A$57:$I$59,4,FALSE)+VLOOKUP(VLOOKUP(AR$1,main!$A$3:$I$56,7,FALSE),main!$K$10:$Q$14,5,FALSE),1,0)</f>
        <v>0</v>
      </c>
      <c r="AS121">
        <f>IF(VLOOKUP(AS$1,main!$A$3:$I$56,5,FALSE)-VLOOKUP($A121,main!$A$3:$I$56,6,FALSE)&gt;=VLOOKUP(57,main!$A$57:$I$59,4,FALSE)+VLOOKUP(VLOOKUP(AS$1,main!$A$3:$I$56,7,FALSE),main!$K$10:$Q$14,5,FALSE),1,0)</f>
        <v>0</v>
      </c>
      <c r="AT121">
        <f>IF(VLOOKUP(AT$1,main!$A$3:$I$56,5,FALSE)-VLOOKUP($A121,main!$A$3:$I$56,6,FALSE)&gt;=VLOOKUP(57,main!$A$57:$I$59,4,FALSE)+VLOOKUP(VLOOKUP(AT$1,main!$A$3:$I$56,7,FALSE),main!$K$10:$Q$14,5,FALSE),1,0)</f>
        <v>0</v>
      </c>
      <c r="AU121">
        <f>IF(VLOOKUP(AU$1,main!$A$3:$I$56,5,FALSE)-VLOOKUP($A121,main!$A$3:$I$56,6,FALSE)&gt;=VLOOKUP(57,main!$A$57:$I$59,4,FALSE)+VLOOKUP(VLOOKUP(AU$1,main!$A$3:$I$56,7,FALSE),main!$K$10:$Q$14,5,FALSE),1,0)</f>
        <v>0</v>
      </c>
      <c r="AV121">
        <f>IF(VLOOKUP(AV$1,main!$A$3:$I$56,5,FALSE)-VLOOKUP($A121,main!$A$3:$I$56,6,FALSE)&gt;=VLOOKUP(57,main!$A$57:$I$59,4,FALSE)+VLOOKUP(VLOOKUP(AV$1,main!$A$3:$I$56,7,FALSE),main!$K$10:$Q$14,5,FALSE),1,0)</f>
        <v>0</v>
      </c>
      <c r="AW121">
        <f>IF(VLOOKUP(AW$1,main!$A$3:$I$56,5,FALSE)-VLOOKUP($A121,main!$A$3:$I$56,6,FALSE)&gt;=VLOOKUP(57,main!$A$57:$I$59,4,FALSE)+VLOOKUP(VLOOKUP(AW$1,main!$A$3:$I$56,7,FALSE),main!$K$10:$Q$14,5,FALSE),1,0)</f>
        <v>0</v>
      </c>
      <c r="AX121">
        <f>IF(VLOOKUP(AX$1,main!$A$3:$I$56,5,FALSE)-VLOOKUP($A121,main!$A$3:$I$56,6,FALSE)&gt;=VLOOKUP(57,main!$A$57:$I$59,4,FALSE)+VLOOKUP(VLOOKUP(AX$1,main!$A$3:$I$56,7,FALSE),main!$K$10:$Q$14,5,FALSE),1,0)</f>
        <v>1</v>
      </c>
      <c r="AY121">
        <f>IF(VLOOKUP(AY$1,main!$A$3:$I$56,5,FALSE)-VLOOKUP($A121,main!$A$3:$I$56,6,FALSE)&gt;=VLOOKUP(57,main!$A$57:$I$59,4,FALSE)+VLOOKUP(VLOOKUP(AY$1,main!$A$3:$I$56,7,FALSE),main!$K$10:$Q$14,5,FALSE),1,0)</f>
        <v>1</v>
      </c>
      <c r="AZ121">
        <f>IF(VLOOKUP(AZ$1,main!$A$3:$I$56,5,FALSE)-VLOOKUP($A121,main!$A$3:$I$56,6,FALSE)&gt;=VLOOKUP(57,main!$A$57:$I$59,4,FALSE)+VLOOKUP(VLOOKUP(AZ$1,main!$A$3:$I$56,7,FALSE),main!$K$10:$Q$14,5,FALSE),1,0)</f>
        <v>0</v>
      </c>
      <c r="BA121">
        <f>IF(VLOOKUP(BA$1,main!$A$3:$I$56,5,FALSE)-VLOOKUP($A121,main!$A$3:$I$56,6,FALSE)&gt;=VLOOKUP(57,main!$A$57:$I$59,4,FALSE)+VLOOKUP(VLOOKUP(BA$1,main!$A$3:$I$56,7,FALSE),main!$K$10:$Q$14,5,FALSE),1,0)</f>
        <v>0</v>
      </c>
      <c r="BB121">
        <f>IF(VLOOKUP(BB$1,main!$A$3:$I$56,5,FALSE)-VLOOKUP($A121,main!$A$3:$I$56,6,FALSE)&gt;=VLOOKUP(57,main!$A$57:$I$59,4,FALSE)+VLOOKUP(VLOOKUP(BB$1,main!$A$3:$I$56,7,FALSE),main!$K$10:$Q$14,5,FALSE),1,0)</f>
        <v>0</v>
      </c>
      <c r="BC121">
        <f>IF(VLOOKUP(BC$1,main!$A$3:$I$56,5,FALSE)-VLOOKUP($A121,main!$A$3:$I$56,6,FALSE)&gt;=VLOOKUP(57,main!$A$57:$I$59,4,FALSE)+VLOOKUP(VLOOKUP(BC$1,main!$A$3:$I$56,7,FALSE),main!$K$10:$Q$14,5,FALSE),1,0)</f>
        <v>1</v>
      </c>
      <c r="BD121">
        <f>IF(VLOOKUP(BD$1,main!$A$3:$I$56,5,FALSE)-VLOOKUP($A121,main!$A$3:$I$56,6,FALSE)&gt;=VLOOKUP(57,main!$A$57:$I$59,4,FALSE)+VLOOKUP(VLOOKUP(BD$1,main!$A$3:$I$56,7,FALSE),main!$K$10:$Q$14,5,FALSE),1,0)</f>
        <v>1</v>
      </c>
    </row>
    <row r="122" spans="1:56" x14ac:dyDescent="0.25">
      <c r="A122">
        <f t="shared" si="2"/>
        <v>10</v>
      </c>
      <c r="B122">
        <v>0</v>
      </c>
      <c r="C122">
        <f>IF(VLOOKUP(C$1,main!$A$3:$I$56,5,FALSE)-VLOOKUP($A122,main!$A$3:$I$56,6,FALSE)&gt;=VLOOKUP(57,main!$A$57:$I$59,4,FALSE)+VLOOKUP(VLOOKUP(C$1,main!$A$3:$I$56,7,FALSE),main!$K$10:$Q$14,5,FALSE),1,0)</f>
        <v>0</v>
      </c>
      <c r="D122">
        <f>IF(VLOOKUP(D$1,main!$A$3:$I$56,5,FALSE)-VLOOKUP($A122,main!$A$3:$I$56,6,FALSE)&gt;=VLOOKUP(57,main!$A$57:$I$59,4,FALSE)+VLOOKUP(VLOOKUP(D$1,main!$A$3:$I$56,7,FALSE),main!$K$10:$Q$14,5,FALSE),1,0)</f>
        <v>0</v>
      </c>
      <c r="E122">
        <f>IF(VLOOKUP(E$1,main!$A$3:$I$56,5,FALSE)-VLOOKUP($A122,main!$A$3:$I$56,6,FALSE)&gt;=VLOOKUP(57,main!$A$57:$I$59,4,FALSE)+VLOOKUP(VLOOKUP(E$1,main!$A$3:$I$56,7,FALSE),main!$K$10:$Q$14,5,FALSE),1,0)</f>
        <v>0</v>
      </c>
      <c r="F122">
        <f>IF(VLOOKUP(F$1,main!$A$3:$I$56,5,FALSE)-VLOOKUP($A122,main!$A$3:$I$56,6,FALSE)&gt;=VLOOKUP(57,main!$A$57:$I$59,4,FALSE)+VLOOKUP(VLOOKUP(F$1,main!$A$3:$I$56,7,FALSE),main!$K$10:$Q$14,5,FALSE),1,0)</f>
        <v>0</v>
      </c>
      <c r="G122">
        <f>IF(VLOOKUP(G$1,main!$A$3:$I$56,5,FALSE)-VLOOKUP($A122,main!$A$3:$I$56,6,FALSE)&gt;=VLOOKUP(57,main!$A$57:$I$59,4,FALSE)+VLOOKUP(VLOOKUP(G$1,main!$A$3:$I$56,7,FALSE),main!$K$10:$Q$14,5,FALSE),1,0)</f>
        <v>0</v>
      </c>
      <c r="H122">
        <f>IF(VLOOKUP(H$1,main!$A$3:$I$56,5,FALSE)-VLOOKUP($A122,main!$A$3:$I$56,6,FALSE)&gt;=VLOOKUP(57,main!$A$57:$I$59,4,FALSE)+VLOOKUP(VLOOKUP(H$1,main!$A$3:$I$56,7,FALSE),main!$K$10:$Q$14,5,FALSE),1,0)</f>
        <v>1</v>
      </c>
      <c r="I122">
        <f>IF(VLOOKUP(I$1,main!$A$3:$I$56,5,FALSE)-VLOOKUP($A122,main!$A$3:$I$56,6,FALSE)&gt;=VLOOKUP(57,main!$A$57:$I$59,4,FALSE)+VLOOKUP(VLOOKUP(I$1,main!$A$3:$I$56,7,FALSE),main!$K$10:$Q$14,5,FALSE),1,0)</f>
        <v>1</v>
      </c>
      <c r="J122">
        <f>IF(VLOOKUP(J$1,main!$A$3:$I$56,5,FALSE)-VLOOKUP($A122,main!$A$3:$I$56,6,FALSE)&gt;=VLOOKUP(57,main!$A$57:$I$59,4,FALSE)+VLOOKUP(VLOOKUP(J$1,main!$A$3:$I$56,7,FALSE),main!$K$10:$Q$14,5,FALSE),1,0)</f>
        <v>1</v>
      </c>
      <c r="K122">
        <f>IF(VLOOKUP(K$1,main!$A$3:$I$56,5,FALSE)-VLOOKUP($A122,main!$A$3:$I$56,6,FALSE)&gt;=VLOOKUP(57,main!$A$57:$I$59,4,FALSE)+VLOOKUP(VLOOKUP(K$1,main!$A$3:$I$56,7,FALSE),main!$K$10:$Q$14,5,FALSE),1,0)</f>
        <v>0</v>
      </c>
      <c r="L122">
        <f>IF(VLOOKUP(L$1,main!$A$3:$I$56,5,FALSE)-VLOOKUP($A122,main!$A$3:$I$56,6,FALSE)&gt;=VLOOKUP(57,main!$A$57:$I$59,4,FALSE)+VLOOKUP(VLOOKUP(L$1,main!$A$3:$I$56,7,FALSE),main!$K$10:$Q$14,5,FALSE),1,0)</f>
        <v>0</v>
      </c>
      <c r="M122">
        <f>IF(VLOOKUP(M$1,main!$A$3:$I$56,5,FALSE)-VLOOKUP($A122,main!$A$3:$I$56,6,FALSE)&gt;=VLOOKUP(57,main!$A$57:$I$59,4,FALSE)+VLOOKUP(VLOOKUP(M$1,main!$A$3:$I$56,7,FALSE),main!$K$10:$Q$14,5,FALSE),1,0)</f>
        <v>0</v>
      </c>
      <c r="N122">
        <f>IF(VLOOKUP(N$1,main!$A$3:$I$56,5,FALSE)-VLOOKUP($A122,main!$A$3:$I$56,6,FALSE)&gt;=VLOOKUP(57,main!$A$57:$I$59,4,FALSE)+VLOOKUP(VLOOKUP(N$1,main!$A$3:$I$56,7,FALSE),main!$K$10:$Q$14,5,FALSE),1,0)</f>
        <v>1</v>
      </c>
      <c r="O122">
        <f>IF(VLOOKUP(O$1,main!$A$3:$I$56,5,FALSE)-VLOOKUP($A122,main!$A$3:$I$56,6,FALSE)&gt;=VLOOKUP(57,main!$A$57:$I$59,4,FALSE)+VLOOKUP(VLOOKUP(O$1,main!$A$3:$I$56,7,FALSE),main!$K$10:$Q$14,5,FALSE),1,0)</f>
        <v>1</v>
      </c>
      <c r="P122">
        <f>IF(VLOOKUP(P$1,main!$A$3:$I$56,5,FALSE)-VLOOKUP($A122,main!$A$3:$I$56,6,FALSE)&gt;=VLOOKUP(57,main!$A$57:$I$59,4,FALSE)+VLOOKUP(VLOOKUP(P$1,main!$A$3:$I$56,7,FALSE),main!$K$10:$Q$14,5,FALSE),1,0)</f>
        <v>0</v>
      </c>
      <c r="Q122">
        <f>IF(VLOOKUP(Q$1,main!$A$3:$I$56,5,FALSE)-VLOOKUP($A122,main!$A$3:$I$56,6,FALSE)&gt;=VLOOKUP(57,main!$A$57:$I$59,4,FALSE)+VLOOKUP(VLOOKUP(Q$1,main!$A$3:$I$56,7,FALSE),main!$K$10:$Q$14,5,FALSE),1,0)</f>
        <v>0</v>
      </c>
      <c r="R122">
        <f>IF(VLOOKUP(R$1,main!$A$3:$I$56,5,FALSE)-VLOOKUP($A122,main!$A$3:$I$56,6,FALSE)&gt;=VLOOKUP(57,main!$A$57:$I$59,4,FALSE)+VLOOKUP(VLOOKUP(R$1,main!$A$3:$I$56,7,FALSE),main!$K$10:$Q$14,5,FALSE),1,0)</f>
        <v>0</v>
      </c>
      <c r="S122">
        <f>IF(VLOOKUP(S$1,main!$A$3:$I$56,5,FALSE)-VLOOKUP($A122,main!$A$3:$I$56,6,FALSE)&gt;=VLOOKUP(57,main!$A$57:$I$59,4,FALSE)+VLOOKUP(VLOOKUP(S$1,main!$A$3:$I$56,7,FALSE),main!$K$10:$Q$14,5,FALSE),1,0)</f>
        <v>0</v>
      </c>
      <c r="T122">
        <f>IF(VLOOKUP(T$1,main!$A$3:$I$56,5,FALSE)-VLOOKUP($A122,main!$A$3:$I$56,6,FALSE)&gt;=VLOOKUP(57,main!$A$57:$I$59,4,FALSE)+VLOOKUP(VLOOKUP(T$1,main!$A$3:$I$56,7,FALSE),main!$K$10:$Q$14,5,FALSE),1,0)</f>
        <v>1</v>
      </c>
      <c r="U122">
        <f>IF(VLOOKUP(U$1,main!$A$3:$I$56,5,FALSE)-VLOOKUP($A122,main!$A$3:$I$56,6,FALSE)&gt;=VLOOKUP(57,main!$A$57:$I$59,4,FALSE)+VLOOKUP(VLOOKUP(U$1,main!$A$3:$I$56,7,FALSE),main!$K$10:$Q$14,5,FALSE),1,0)</f>
        <v>0</v>
      </c>
      <c r="V122">
        <f>IF(VLOOKUP(V$1,main!$A$3:$I$56,5,FALSE)-VLOOKUP($A122,main!$A$3:$I$56,6,FALSE)&gt;=VLOOKUP(57,main!$A$57:$I$59,4,FALSE)+VLOOKUP(VLOOKUP(V$1,main!$A$3:$I$56,7,FALSE),main!$K$10:$Q$14,5,FALSE),1,0)</f>
        <v>0</v>
      </c>
      <c r="W122">
        <f>IF(VLOOKUP(W$1,main!$A$3:$I$56,5,FALSE)-VLOOKUP($A122,main!$A$3:$I$56,6,FALSE)&gt;=VLOOKUP(57,main!$A$57:$I$59,4,FALSE)+VLOOKUP(VLOOKUP(W$1,main!$A$3:$I$56,7,FALSE),main!$K$10:$Q$14,5,FALSE),1,0)</f>
        <v>0</v>
      </c>
      <c r="X122">
        <f>IF(VLOOKUP(X$1,main!$A$3:$I$56,5,FALSE)-VLOOKUP($A122,main!$A$3:$I$56,6,FALSE)&gt;=VLOOKUP(57,main!$A$57:$I$59,4,FALSE)+VLOOKUP(VLOOKUP(X$1,main!$A$3:$I$56,7,FALSE),main!$K$10:$Q$14,5,FALSE),1,0)</f>
        <v>0</v>
      </c>
      <c r="Y122">
        <f>IF(VLOOKUP(Y$1,main!$A$3:$I$56,5,FALSE)-VLOOKUP($A122,main!$A$3:$I$56,6,FALSE)&gt;=VLOOKUP(57,main!$A$57:$I$59,4,FALSE)+VLOOKUP(VLOOKUP(Y$1,main!$A$3:$I$56,7,FALSE),main!$K$10:$Q$14,5,FALSE),1,0)</f>
        <v>1</v>
      </c>
      <c r="Z122">
        <f>IF(VLOOKUP(Z$1,main!$A$3:$I$56,5,FALSE)-VLOOKUP($A122,main!$A$3:$I$56,6,FALSE)&gt;=VLOOKUP(57,main!$A$57:$I$59,4,FALSE)+VLOOKUP(VLOOKUP(Z$1,main!$A$3:$I$56,7,FALSE),main!$K$10:$Q$14,5,FALSE),1,0)</f>
        <v>1</v>
      </c>
      <c r="AA122">
        <f>IF(VLOOKUP(AA$1,main!$A$3:$I$56,5,FALSE)-VLOOKUP($A122,main!$A$3:$I$56,6,FALSE)&gt;=VLOOKUP(57,main!$A$57:$I$59,4,FALSE)+VLOOKUP(VLOOKUP(AA$1,main!$A$3:$I$56,7,FALSE),main!$K$10:$Q$14,5,FALSE),1,0)</f>
        <v>1</v>
      </c>
      <c r="AB122">
        <f>IF(VLOOKUP(AB$1,main!$A$3:$I$56,5,FALSE)-VLOOKUP($A122,main!$A$3:$I$56,6,FALSE)&gt;=VLOOKUP(57,main!$A$57:$I$59,4,FALSE)+VLOOKUP(VLOOKUP(AB$1,main!$A$3:$I$56,7,FALSE),main!$K$10:$Q$14,5,FALSE),1,0)</f>
        <v>1</v>
      </c>
      <c r="AC122">
        <f>IF(VLOOKUP(AC$1,main!$A$3:$I$56,5,FALSE)-VLOOKUP($A122,main!$A$3:$I$56,6,FALSE)&gt;=VLOOKUP(57,main!$A$57:$I$59,4,FALSE)+VLOOKUP(VLOOKUP(AC$1,main!$A$3:$I$56,7,FALSE),main!$K$10:$Q$14,5,FALSE),1,0)</f>
        <v>0</v>
      </c>
      <c r="AD122">
        <f>IF(VLOOKUP(AD$1,main!$A$3:$I$56,5,FALSE)-VLOOKUP($A122,main!$A$3:$I$56,6,FALSE)&gt;=VLOOKUP(57,main!$A$57:$I$59,4,FALSE)+VLOOKUP(VLOOKUP(AD$1,main!$A$3:$I$56,7,FALSE),main!$K$10:$Q$14,5,FALSE),1,0)</f>
        <v>0</v>
      </c>
      <c r="AE122">
        <f>IF(VLOOKUP(AE$1,main!$A$3:$I$56,5,FALSE)-VLOOKUP($A122,main!$A$3:$I$56,6,FALSE)&gt;=VLOOKUP(57,main!$A$57:$I$59,4,FALSE)+VLOOKUP(VLOOKUP(AE$1,main!$A$3:$I$56,7,FALSE),main!$K$10:$Q$14,5,FALSE),1,0)</f>
        <v>0</v>
      </c>
      <c r="AF122">
        <f>IF(VLOOKUP(AF$1,main!$A$3:$I$56,5,FALSE)-VLOOKUP($A122,main!$A$3:$I$56,6,FALSE)&gt;=VLOOKUP(57,main!$A$57:$I$59,4,FALSE)+VLOOKUP(VLOOKUP(AF$1,main!$A$3:$I$56,7,FALSE),main!$K$10:$Q$14,5,FALSE),1,0)</f>
        <v>1</v>
      </c>
      <c r="AG122">
        <f>IF(VLOOKUP(AG$1,main!$A$3:$I$56,5,FALSE)-VLOOKUP($A122,main!$A$3:$I$56,6,FALSE)&gt;=VLOOKUP(57,main!$A$57:$I$59,4,FALSE)+VLOOKUP(VLOOKUP(AG$1,main!$A$3:$I$56,7,FALSE),main!$K$10:$Q$14,5,FALSE),1,0)</f>
        <v>0</v>
      </c>
      <c r="AH122">
        <f>IF(VLOOKUP(AH$1,main!$A$3:$I$56,5,FALSE)-VLOOKUP($A122,main!$A$3:$I$56,6,FALSE)&gt;=VLOOKUP(57,main!$A$57:$I$59,4,FALSE)+VLOOKUP(VLOOKUP(AH$1,main!$A$3:$I$56,7,FALSE),main!$K$10:$Q$14,5,FALSE),1,0)</f>
        <v>0</v>
      </c>
      <c r="AI122">
        <f>IF(VLOOKUP(AI$1,main!$A$3:$I$56,5,FALSE)-VLOOKUP($A122,main!$A$3:$I$56,6,FALSE)&gt;=VLOOKUP(57,main!$A$57:$I$59,4,FALSE)+VLOOKUP(VLOOKUP(AI$1,main!$A$3:$I$56,7,FALSE),main!$K$10:$Q$14,5,FALSE),1,0)</f>
        <v>0</v>
      </c>
      <c r="AJ122">
        <f>IF(VLOOKUP(AJ$1,main!$A$3:$I$56,5,FALSE)-VLOOKUP($A122,main!$A$3:$I$56,6,FALSE)&gt;=VLOOKUP(57,main!$A$57:$I$59,4,FALSE)+VLOOKUP(VLOOKUP(AJ$1,main!$A$3:$I$56,7,FALSE),main!$K$10:$Q$14,5,FALSE),1,0)</f>
        <v>0</v>
      </c>
      <c r="AK122">
        <f>IF(VLOOKUP(AK$1,main!$A$3:$I$56,5,FALSE)-VLOOKUP($A122,main!$A$3:$I$56,6,FALSE)&gt;=VLOOKUP(57,main!$A$57:$I$59,4,FALSE)+VLOOKUP(VLOOKUP(AK$1,main!$A$3:$I$56,7,FALSE),main!$K$10:$Q$14,5,FALSE),1,0)</f>
        <v>1</v>
      </c>
      <c r="AL122">
        <f>IF(VLOOKUP(AL$1,main!$A$3:$I$56,5,FALSE)-VLOOKUP($A122,main!$A$3:$I$56,6,FALSE)&gt;=VLOOKUP(57,main!$A$57:$I$59,4,FALSE)+VLOOKUP(VLOOKUP(AL$1,main!$A$3:$I$56,7,FALSE),main!$K$10:$Q$14,5,FALSE),1,0)</f>
        <v>0</v>
      </c>
      <c r="AM122">
        <f>IF(VLOOKUP(AM$1,main!$A$3:$I$56,5,FALSE)-VLOOKUP($A122,main!$A$3:$I$56,6,FALSE)&gt;=VLOOKUP(57,main!$A$57:$I$59,4,FALSE)+VLOOKUP(VLOOKUP(AM$1,main!$A$3:$I$56,7,FALSE),main!$K$10:$Q$14,5,FALSE),1,0)</f>
        <v>0</v>
      </c>
      <c r="AN122">
        <f>IF(VLOOKUP(AN$1,main!$A$3:$I$56,5,FALSE)-VLOOKUP($A122,main!$A$3:$I$56,6,FALSE)&gt;=VLOOKUP(57,main!$A$57:$I$59,4,FALSE)+VLOOKUP(VLOOKUP(AN$1,main!$A$3:$I$56,7,FALSE),main!$K$10:$Q$14,5,FALSE),1,0)</f>
        <v>0</v>
      </c>
      <c r="AO122">
        <f>IF(VLOOKUP(AO$1,main!$A$3:$I$56,5,FALSE)-VLOOKUP($A122,main!$A$3:$I$56,6,FALSE)&gt;=VLOOKUP(57,main!$A$57:$I$59,4,FALSE)+VLOOKUP(VLOOKUP(AO$1,main!$A$3:$I$56,7,FALSE),main!$K$10:$Q$14,5,FALSE),1,0)</f>
        <v>0</v>
      </c>
      <c r="AP122">
        <f>IF(VLOOKUP(AP$1,main!$A$3:$I$56,5,FALSE)-VLOOKUP($A122,main!$A$3:$I$56,6,FALSE)&gt;=VLOOKUP(57,main!$A$57:$I$59,4,FALSE)+VLOOKUP(VLOOKUP(AP$1,main!$A$3:$I$56,7,FALSE),main!$K$10:$Q$14,5,FALSE),1,0)</f>
        <v>0</v>
      </c>
      <c r="AQ122">
        <f>IF(VLOOKUP(AQ$1,main!$A$3:$I$56,5,FALSE)-VLOOKUP($A122,main!$A$3:$I$56,6,FALSE)&gt;=VLOOKUP(57,main!$A$57:$I$59,4,FALSE)+VLOOKUP(VLOOKUP(AQ$1,main!$A$3:$I$56,7,FALSE),main!$K$10:$Q$14,5,FALSE),1,0)</f>
        <v>0</v>
      </c>
      <c r="AR122">
        <f>IF(VLOOKUP(AR$1,main!$A$3:$I$56,5,FALSE)-VLOOKUP($A122,main!$A$3:$I$56,6,FALSE)&gt;=VLOOKUP(57,main!$A$57:$I$59,4,FALSE)+VLOOKUP(VLOOKUP(AR$1,main!$A$3:$I$56,7,FALSE),main!$K$10:$Q$14,5,FALSE),1,0)</f>
        <v>0</v>
      </c>
      <c r="AS122">
        <f>IF(VLOOKUP(AS$1,main!$A$3:$I$56,5,FALSE)-VLOOKUP($A122,main!$A$3:$I$56,6,FALSE)&gt;=VLOOKUP(57,main!$A$57:$I$59,4,FALSE)+VLOOKUP(VLOOKUP(AS$1,main!$A$3:$I$56,7,FALSE),main!$K$10:$Q$14,5,FALSE),1,0)</f>
        <v>0</v>
      </c>
      <c r="AT122">
        <f>IF(VLOOKUP(AT$1,main!$A$3:$I$56,5,FALSE)-VLOOKUP($A122,main!$A$3:$I$56,6,FALSE)&gt;=VLOOKUP(57,main!$A$57:$I$59,4,FALSE)+VLOOKUP(VLOOKUP(AT$1,main!$A$3:$I$56,7,FALSE),main!$K$10:$Q$14,5,FALSE),1,0)</f>
        <v>0</v>
      </c>
      <c r="AU122">
        <f>IF(VLOOKUP(AU$1,main!$A$3:$I$56,5,FALSE)-VLOOKUP($A122,main!$A$3:$I$56,6,FALSE)&gt;=VLOOKUP(57,main!$A$57:$I$59,4,FALSE)+VLOOKUP(VLOOKUP(AU$1,main!$A$3:$I$56,7,FALSE),main!$K$10:$Q$14,5,FALSE),1,0)</f>
        <v>0</v>
      </c>
      <c r="AV122">
        <f>IF(VLOOKUP(AV$1,main!$A$3:$I$56,5,FALSE)-VLOOKUP($A122,main!$A$3:$I$56,6,FALSE)&gt;=VLOOKUP(57,main!$A$57:$I$59,4,FALSE)+VLOOKUP(VLOOKUP(AV$1,main!$A$3:$I$56,7,FALSE),main!$K$10:$Q$14,5,FALSE),1,0)</f>
        <v>0</v>
      </c>
      <c r="AW122">
        <f>IF(VLOOKUP(AW$1,main!$A$3:$I$56,5,FALSE)-VLOOKUP($A122,main!$A$3:$I$56,6,FALSE)&gt;=VLOOKUP(57,main!$A$57:$I$59,4,FALSE)+VLOOKUP(VLOOKUP(AW$1,main!$A$3:$I$56,7,FALSE),main!$K$10:$Q$14,5,FALSE),1,0)</f>
        <v>0</v>
      </c>
      <c r="AX122">
        <f>IF(VLOOKUP(AX$1,main!$A$3:$I$56,5,FALSE)-VLOOKUP($A122,main!$A$3:$I$56,6,FALSE)&gt;=VLOOKUP(57,main!$A$57:$I$59,4,FALSE)+VLOOKUP(VLOOKUP(AX$1,main!$A$3:$I$56,7,FALSE),main!$K$10:$Q$14,5,FALSE),1,0)</f>
        <v>0</v>
      </c>
      <c r="AY122">
        <f>IF(VLOOKUP(AY$1,main!$A$3:$I$56,5,FALSE)-VLOOKUP($A122,main!$A$3:$I$56,6,FALSE)&gt;=VLOOKUP(57,main!$A$57:$I$59,4,FALSE)+VLOOKUP(VLOOKUP(AY$1,main!$A$3:$I$56,7,FALSE),main!$K$10:$Q$14,5,FALSE),1,0)</f>
        <v>1</v>
      </c>
      <c r="AZ122">
        <f>IF(VLOOKUP(AZ$1,main!$A$3:$I$56,5,FALSE)-VLOOKUP($A122,main!$A$3:$I$56,6,FALSE)&gt;=VLOOKUP(57,main!$A$57:$I$59,4,FALSE)+VLOOKUP(VLOOKUP(AZ$1,main!$A$3:$I$56,7,FALSE),main!$K$10:$Q$14,5,FALSE),1,0)</f>
        <v>0</v>
      </c>
      <c r="BA122">
        <f>IF(VLOOKUP(BA$1,main!$A$3:$I$56,5,FALSE)-VLOOKUP($A122,main!$A$3:$I$56,6,FALSE)&gt;=VLOOKUP(57,main!$A$57:$I$59,4,FALSE)+VLOOKUP(VLOOKUP(BA$1,main!$A$3:$I$56,7,FALSE),main!$K$10:$Q$14,5,FALSE),1,0)</f>
        <v>0</v>
      </c>
      <c r="BB122">
        <f>IF(VLOOKUP(BB$1,main!$A$3:$I$56,5,FALSE)-VLOOKUP($A122,main!$A$3:$I$56,6,FALSE)&gt;=VLOOKUP(57,main!$A$57:$I$59,4,FALSE)+VLOOKUP(VLOOKUP(BB$1,main!$A$3:$I$56,7,FALSE),main!$K$10:$Q$14,5,FALSE),1,0)</f>
        <v>0</v>
      </c>
      <c r="BC122">
        <f>IF(VLOOKUP(BC$1,main!$A$3:$I$56,5,FALSE)-VLOOKUP($A122,main!$A$3:$I$56,6,FALSE)&gt;=VLOOKUP(57,main!$A$57:$I$59,4,FALSE)+VLOOKUP(VLOOKUP(BC$1,main!$A$3:$I$56,7,FALSE),main!$K$10:$Q$14,5,FALSE),1,0)</f>
        <v>0</v>
      </c>
      <c r="BD122">
        <f>IF(VLOOKUP(BD$1,main!$A$3:$I$56,5,FALSE)-VLOOKUP($A122,main!$A$3:$I$56,6,FALSE)&gt;=VLOOKUP(57,main!$A$57:$I$59,4,FALSE)+VLOOKUP(VLOOKUP(BD$1,main!$A$3:$I$56,7,FALSE),main!$K$10:$Q$14,5,FALSE),1,0)</f>
        <v>0</v>
      </c>
    </row>
    <row r="123" spans="1:56" x14ac:dyDescent="0.25">
      <c r="A123">
        <f t="shared" si="2"/>
        <v>11</v>
      </c>
      <c r="B123">
        <v>0</v>
      </c>
      <c r="C123">
        <f>IF(VLOOKUP(C$1,main!$A$3:$I$56,5,FALSE)-VLOOKUP($A123,main!$A$3:$I$56,6,FALSE)&gt;=VLOOKUP(57,main!$A$57:$I$59,4,FALSE)+VLOOKUP(VLOOKUP(C$1,main!$A$3:$I$56,7,FALSE),main!$K$10:$Q$14,5,FALSE),1,0)</f>
        <v>0</v>
      </c>
      <c r="D123">
        <f>IF(VLOOKUP(D$1,main!$A$3:$I$56,5,FALSE)-VLOOKUP($A123,main!$A$3:$I$56,6,FALSE)&gt;=VLOOKUP(57,main!$A$57:$I$59,4,FALSE)+VLOOKUP(VLOOKUP(D$1,main!$A$3:$I$56,7,FALSE),main!$K$10:$Q$14,5,FALSE),1,0)</f>
        <v>0</v>
      </c>
      <c r="E123">
        <f>IF(VLOOKUP(E$1,main!$A$3:$I$56,5,FALSE)-VLOOKUP($A123,main!$A$3:$I$56,6,FALSE)&gt;=VLOOKUP(57,main!$A$57:$I$59,4,FALSE)+VLOOKUP(VLOOKUP(E$1,main!$A$3:$I$56,7,FALSE),main!$K$10:$Q$14,5,FALSE),1,0)</f>
        <v>0</v>
      </c>
      <c r="F123">
        <f>IF(VLOOKUP(F$1,main!$A$3:$I$56,5,FALSE)-VLOOKUP($A123,main!$A$3:$I$56,6,FALSE)&gt;=VLOOKUP(57,main!$A$57:$I$59,4,FALSE)+VLOOKUP(VLOOKUP(F$1,main!$A$3:$I$56,7,FALSE),main!$K$10:$Q$14,5,FALSE),1,0)</f>
        <v>0</v>
      </c>
      <c r="G123">
        <f>IF(VLOOKUP(G$1,main!$A$3:$I$56,5,FALSE)-VLOOKUP($A123,main!$A$3:$I$56,6,FALSE)&gt;=VLOOKUP(57,main!$A$57:$I$59,4,FALSE)+VLOOKUP(VLOOKUP(G$1,main!$A$3:$I$56,7,FALSE),main!$K$10:$Q$14,5,FALSE),1,0)</f>
        <v>0</v>
      </c>
      <c r="H123">
        <f>IF(VLOOKUP(H$1,main!$A$3:$I$56,5,FALSE)-VLOOKUP($A123,main!$A$3:$I$56,6,FALSE)&gt;=VLOOKUP(57,main!$A$57:$I$59,4,FALSE)+VLOOKUP(VLOOKUP(H$1,main!$A$3:$I$56,7,FALSE),main!$K$10:$Q$14,5,FALSE),1,0)</f>
        <v>0</v>
      </c>
      <c r="I123">
        <f>IF(VLOOKUP(I$1,main!$A$3:$I$56,5,FALSE)-VLOOKUP($A123,main!$A$3:$I$56,6,FALSE)&gt;=VLOOKUP(57,main!$A$57:$I$59,4,FALSE)+VLOOKUP(VLOOKUP(I$1,main!$A$3:$I$56,7,FALSE),main!$K$10:$Q$14,5,FALSE),1,0)</f>
        <v>0</v>
      </c>
      <c r="J123">
        <f>IF(VLOOKUP(J$1,main!$A$3:$I$56,5,FALSE)-VLOOKUP($A123,main!$A$3:$I$56,6,FALSE)&gt;=VLOOKUP(57,main!$A$57:$I$59,4,FALSE)+VLOOKUP(VLOOKUP(J$1,main!$A$3:$I$56,7,FALSE),main!$K$10:$Q$14,5,FALSE),1,0)</f>
        <v>1</v>
      </c>
      <c r="K123">
        <f>IF(VLOOKUP(K$1,main!$A$3:$I$56,5,FALSE)-VLOOKUP($A123,main!$A$3:$I$56,6,FALSE)&gt;=VLOOKUP(57,main!$A$57:$I$59,4,FALSE)+VLOOKUP(VLOOKUP(K$1,main!$A$3:$I$56,7,FALSE),main!$K$10:$Q$14,5,FALSE),1,0)</f>
        <v>0</v>
      </c>
      <c r="L123">
        <f>IF(VLOOKUP(L$1,main!$A$3:$I$56,5,FALSE)-VLOOKUP($A123,main!$A$3:$I$56,6,FALSE)&gt;=VLOOKUP(57,main!$A$57:$I$59,4,FALSE)+VLOOKUP(VLOOKUP(L$1,main!$A$3:$I$56,7,FALSE),main!$K$10:$Q$14,5,FALSE),1,0)</f>
        <v>0</v>
      </c>
      <c r="M123">
        <f>IF(VLOOKUP(M$1,main!$A$3:$I$56,5,FALSE)-VLOOKUP($A123,main!$A$3:$I$56,6,FALSE)&gt;=VLOOKUP(57,main!$A$57:$I$59,4,FALSE)+VLOOKUP(VLOOKUP(M$1,main!$A$3:$I$56,7,FALSE),main!$K$10:$Q$14,5,FALSE),1,0)</f>
        <v>0</v>
      </c>
      <c r="N123">
        <f>IF(VLOOKUP(N$1,main!$A$3:$I$56,5,FALSE)-VLOOKUP($A123,main!$A$3:$I$56,6,FALSE)&gt;=VLOOKUP(57,main!$A$57:$I$59,4,FALSE)+VLOOKUP(VLOOKUP(N$1,main!$A$3:$I$56,7,FALSE),main!$K$10:$Q$14,5,FALSE),1,0)</f>
        <v>1</v>
      </c>
      <c r="O123">
        <f>IF(VLOOKUP(O$1,main!$A$3:$I$56,5,FALSE)-VLOOKUP($A123,main!$A$3:$I$56,6,FALSE)&gt;=VLOOKUP(57,main!$A$57:$I$59,4,FALSE)+VLOOKUP(VLOOKUP(O$1,main!$A$3:$I$56,7,FALSE),main!$K$10:$Q$14,5,FALSE),1,0)</f>
        <v>1</v>
      </c>
      <c r="P123">
        <f>IF(VLOOKUP(P$1,main!$A$3:$I$56,5,FALSE)-VLOOKUP($A123,main!$A$3:$I$56,6,FALSE)&gt;=VLOOKUP(57,main!$A$57:$I$59,4,FALSE)+VLOOKUP(VLOOKUP(P$1,main!$A$3:$I$56,7,FALSE),main!$K$10:$Q$14,5,FALSE),1,0)</f>
        <v>0</v>
      </c>
      <c r="Q123">
        <f>IF(VLOOKUP(Q$1,main!$A$3:$I$56,5,FALSE)-VLOOKUP($A123,main!$A$3:$I$56,6,FALSE)&gt;=VLOOKUP(57,main!$A$57:$I$59,4,FALSE)+VLOOKUP(VLOOKUP(Q$1,main!$A$3:$I$56,7,FALSE),main!$K$10:$Q$14,5,FALSE),1,0)</f>
        <v>0</v>
      </c>
      <c r="R123">
        <f>IF(VLOOKUP(R$1,main!$A$3:$I$56,5,FALSE)-VLOOKUP($A123,main!$A$3:$I$56,6,FALSE)&gt;=VLOOKUP(57,main!$A$57:$I$59,4,FALSE)+VLOOKUP(VLOOKUP(R$1,main!$A$3:$I$56,7,FALSE),main!$K$10:$Q$14,5,FALSE),1,0)</f>
        <v>0</v>
      </c>
      <c r="S123">
        <f>IF(VLOOKUP(S$1,main!$A$3:$I$56,5,FALSE)-VLOOKUP($A123,main!$A$3:$I$56,6,FALSE)&gt;=VLOOKUP(57,main!$A$57:$I$59,4,FALSE)+VLOOKUP(VLOOKUP(S$1,main!$A$3:$I$56,7,FALSE),main!$K$10:$Q$14,5,FALSE),1,0)</f>
        <v>0</v>
      </c>
      <c r="T123">
        <f>IF(VLOOKUP(T$1,main!$A$3:$I$56,5,FALSE)-VLOOKUP($A123,main!$A$3:$I$56,6,FALSE)&gt;=VLOOKUP(57,main!$A$57:$I$59,4,FALSE)+VLOOKUP(VLOOKUP(T$1,main!$A$3:$I$56,7,FALSE),main!$K$10:$Q$14,5,FALSE),1,0)</f>
        <v>0</v>
      </c>
      <c r="U123">
        <f>IF(VLOOKUP(U$1,main!$A$3:$I$56,5,FALSE)-VLOOKUP($A123,main!$A$3:$I$56,6,FALSE)&gt;=VLOOKUP(57,main!$A$57:$I$59,4,FALSE)+VLOOKUP(VLOOKUP(U$1,main!$A$3:$I$56,7,FALSE),main!$K$10:$Q$14,5,FALSE),1,0)</f>
        <v>0</v>
      </c>
      <c r="V123">
        <f>IF(VLOOKUP(V$1,main!$A$3:$I$56,5,FALSE)-VLOOKUP($A123,main!$A$3:$I$56,6,FALSE)&gt;=VLOOKUP(57,main!$A$57:$I$59,4,FALSE)+VLOOKUP(VLOOKUP(V$1,main!$A$3:$I$56,7,FALSE),main!$K$10:$Q$14,5,FALSE),1,0)</f>
        <v>0</v>
      </c>
      <c r="W123">
        <f>IF(VLOOKUP(W$1,main!$A$3:$I$56,5,FALSE)-VLOOKUP($A123,main!$A$3:$I$56,6,FALSE)&gt;=VLOOKUP(57,main!$A$57:$I$59,4,FALSE)+VLOOKUP(VLOOKUP(W$1,main!$A$3:$I$56,7,FALSE),main!$K$10:$Q$14,5,FALSE),1,0)</f>
        <v>0</v>
      </c>
      <c r="X123">
        <f>IF(VLOOKUP(X$1,main!$A$3:$I$56,5,FALSE)-VLOOKUP($A123,main!$A$3:$I$56,6,FALSE)&gt;=VLOOKUP(57,main!$A$57:$I$59,4,FALSE)+VLOOKUP(VLOOKUP(X$1,main!$A$3:$I$56,7,FALSE),main!$K$10:$Q$14,5,FALSE),1,0)</f>
        <v>0</v>
      </c>
      <c r="Y123">
        <f>IF(VLOOKUP(Y$1,main!$A$3:$I$56,5,FALSE)-VLOOKUP($A123,main!$A$3:$I$56,6,FALSE)&gt;=VLOOKUP(57,main!$A$57:$I$59,4,FALSE)+VLOOKUP(VLOOKUP(Y$1,main!$A$3:$I$56,7,FALSE),main!$K$10:$Q$14,5,FALSE),1,0)</f>
        <v>0</v>
      </c>
      <c r="Z123">
        <f>IF(VLOOKUP(Z$1,main!$A$3:$I$56,5,FALSE)-VLOOKUP($A123,main!$A$3:$I$56,6,FALSE)&gt;=VLOOKUP(57,main!$A$57:$I$59,4,FALSE)+VLOOKUP(VLOOKUP(Z$1,main!$A$3:$I$56,7,FALSE),main!$K$10:$Q$14,5,FALSE),1,0)</f>
        <v>0</v>
      </c>
      <c r="AA123">
        <f>IF(VLOOKUP(AA$1,main!$A$3:$I$56,5,FALSE)-VLOOKUP($A123,main!$A$3:$I$56,6,FALSE)&gt;=VLOOKUP(57,main!$A$57:$I$59,4,FALSE)+VLOOKUP(VLOOKUP(AA$1,main!$A$3:$I$56,7,FALSE),main!$K$10:$Q$14,5,FALSE),1,0)</f>
        <v>1</v>
      </c>
      <c r="AB123">
        <f>IF(VLOOKUP(AB$1,main!$A$3:$I$56,5,FALSE)-VLOOKUP($A123,main!$A$3:$I$56,6,FALSE)&gt;=VLOOKUP(57,main!$A$57:$I$59,4,FALSE)+VLOOKUP(VLOOKUP(AB$1,main!$A$3:$I$56,7,FALSE),main!$K$10:$Q$14,5,FALSE),1,0)</f>
        <v>1</v>
      </c>
      <c r="AC123">
        <f>IF(VLOOKUP(AC$1,main!$A$3:$I$56,5,FALSE)-VLOOKUP($A123,main!$A$3:$I$56,6,FALSE)&gt;=VLOOKUP(57,main!$A$57:$I$59,4,FALSE)+VLOOKUP(VLOOKUP(AC$1,main!$A$3:$I$56,7,FALSE),main!$K$10:$Q$14,5,FALSE),1,0)</f>
        <v>0</v>
      </c>
      <c r="AD123">
        <f>IF(VLOOKUP(AD$1,main!$A$3:$I$56,5,FALSE)-VLOOKUP($A123,main!$A$3:$I$56,6,FALSE)&gt;=VLOOKUP(57,main!$A$57:$I$59,4,FALSE)+VLOOKUP(VLOOKUP(AD$1,main!$A$3:$I$56,7,FALSE),main!$K$10:$Q$14,5,FALSE),1,0)</f>
        <v>0</v>
      </c>
      <c r="AE123">
        <f>IF(VLOOKUP(AE$1,main!$A$3:$I$56,5,FALSE)-VLOOKUP($A123,main!$A$3:$I$56,6,FALSE)&gt;=VLOOKUP(57,main!$A$57:$I$59,4,FALSE)+VLOOKUP(VLOOKUP(AE$1,main!$A$3:$I$56,7,FALSE),main!$K$10:$Q$14,5,FALSE),1,0)</f>
        <v>0</v>
      </c>
      <c r="AF123">
        <f>IF(VLOOKUP(AF$1,main!$A$3:$I$56,5,FALSE)-VLOOKUP($A123,main!$A$3:$I$56,6,FALSE)&gt;=VLOOKUP(57,main!$A$57:$I$59,4,FALSE)+VLOOKUP(VLOOKUP(AF$1,main!$A$3:$I$56,7,FALSE),main!$K$10:$Q$14,5,FALSE),1,0)</f>
        <v>0</v>
      </c>
      <c r="AG123">
        <f>IF(VLOOKUP(AG$1,main!$A$3:$I$56,5,FALSE)-VLOOKUP($A123,main!$A$3:$I$56,6,FALSE)&gt;=VLOOKUP(57,main!$A$57:$I$59,4,FALSE)+VLOOKUP(VLOOKUP(AG$1,main!$A$3:$I$56,7,FALSE),main!$K$10:$Q$14,5,FALSE),1,0)</f>
        <v>0</v>
      </c>
      <c r="AH123">
        <f>IF(VLOOKUP(AH$1,main!$A$3:$I$56,5,FALSE)-VLOOKUP($A123,main!$A$3:$I$56,6,FALSE)&gt;=VLOOKUP(57,main!$A$57:$I$59,4,FALSE)+VLOOKUP(VLOOKUP(AH$1,main!$A$3:$I$56,7,FALSE),main!$K$10:$Q$14,5,FALSE),1,0)</f>
        <v>0</v>
      </c>
      <c r="AI123">
        <f>IF(VLOOKUP(AI$1,main!$A$3:$I$56,5,FALSE)-VLOOKUP($A123,main!$A$3:$I$56,6,FALSE)&gt;=VLOOKUP(57,main!$A$57:$I$59,4,FALSE)+VLOOKUP(VLOOKUP(AI$1,main!$A$3:$I$56,7,FALSE),main!$K$10:$Q$14,5,FALSE),1,0)</f>
        <v>0</v>
      </c>
      <c r="AJ123">
        <f>IF(VLOOKUP(AJ$1,main!$A$3:$I$56,5,FALSE)-VLOOKUP($A123,main!$A$3:$I$56,6,FALSE)&gt;=VLOOKUP(57,main!$A$57:$I$59,4,FALSE)+VLOOKUP(VLOOKUP(AJ$1,main!$A$3:$I$56,7,FALSE),main!$K$10:$Q$14,5,FALSE),1,0)</f>
        <v>0</v>
      </c>
      <c r="AK123">
        <f>IF(VLOOKUP(AK$1,main!$A$3:$I$56,5,FALSE)-VLOOKUP($A123,main!$A$3:$I$56,6,FALSE)&gt;=VLOOKUP(57,main!$A$57:$I$59,4,FALSE)+VLOOKUP(VLOOKUP(AK$1,main!$A$3:$I$56,7,FALSE),main!$K$10:$Q$14,5,FALSE),1,0)</f>
        <v>0</v>
      </c>
      <c r="AL123">
        <f>IF(VLOOKUP(AL$1,main!$A$3:$I$56,5,FALSE)-VLOOKUP($A123,main!$A$3:$I$56,6,FALSE)&gt;=VLOOKUP(57,main!$A$57:$I$59,4,FALSE)+VLOOKUP(VLOOKUP(AL$1,main!$A$3:$I$56,7,FALSE),main!$K$10:$Q$14,5,FALSE),1,0)</f>
        <v>0</v>
      </c>
      <c r="AM123">
        <f>IF(VLOOKUP(AM$1,main!$A$3:$I$56,5,FALSE)-VLOOKUP($A123,main!$A$3:$I$56,6,FALSE)&gt;=VLOOKUP(57,main!$A$57:$I$59,4,FALSE)+VLOOKUP(VLOOKUP(AM$1,main!$A$3:$I$56,7,FALSE),main!$K$10:$Q$14,5,FALSE),1,0)</f>
        <v>0</v>
      </c>
      <c r="AN123">
        <f>IF(VLOOKUP(AN$1,main!$A$3:$I$56,5,FALSE)-VLOOKUP($A123,main!$A$3:$I$56,6,FALSE)&gt;=VLOOKUP(57,main!$A$57:$I$59,4,FALSE)+VLOOKUP(VLOOKUP(AN$1,main!$A$3:$I$56,7,FALSE),main!$K$10:$Q$14,5,FALSE),1,0)</f>
        <v>0</v>
      </c>
      <c r="AO123">
        <f>IF(VLOOKUP(AO$1,main!$A$3:$I$56,5,FALSE)-VLOOKUP($A123,main!$A$3:$I$56,6,FALSE)&gt;=VLOOKUP(57,main!$A$57:$I$59,4,FALSE)+VLOOKUP(VLOOKUP(AO$1,main!$A$3:$I$56,7,FALSE),main!$K$10:$Q$14,5,FALSE),1,0)</f>
        <v>0</v>
      </c>
      <c r="AP123">
        <f>IF(VLOOKUP(AP$1,main!$A$3:$I$56,5,FALSE)-VLOOKUP($A123,main!$A$3:$I$56,6,FALSE)&gt;=VLOOKUP(57,main!$A$57:$I$59,4,FALSE)+VLOOKUP(VLOOKUP(AP$1,main!$A$3:$I$56,7,FALSE),main!$K$10:$Q$14,5,FALSE),1,0)</f>
        <v>0</v>
      </c>
      <c r="AQ123">
        <f>IF(VLOOKUP(AQ$1,main!$A$3:$I$56,5,FALSE)-VLOOKUP($A123,main!$A$3:$I$56,6,FALSE)&gt;=VLOOKUP(57,main!$A$57:$I$59,4,FALSE)+VLOOKUP(VLOOKUP(AQ$1,main!$A$3:$I$56,7,FALSE),main!$K$10:$Q$14,5,FALSE),1,0)</f>
        <v>0</v>
      </c>
      <c r="AR123">
        <f>IF(VLOOKUP(AR$1,main!$A$3:$I$56,5,FALSE)-VLOOKUP($A123,main!$A$3:$I$56,6,FALSE)&gt;=VLOOKUP(57,main!$A$57:$I$59,4,FALSE)+VLOOKUP(VLOOKUP(AR$1,main!$A$3:$I$56,7,FALSE),main!$K$10:$Q$14,5,FALSE),1,0)</f>
        <v>0</v>
      </c>
      <c r="AS123">
        <f>IF(VLOOKUP(AS$1,main!$A$3:$I$56,5,FALSE)-VLOOKUP($A123,main!$A$3:$I$56,6,FALSE)&gt;=VLOOKUP(57,main!$A$57:$I$59,4,FALSE)+VLOOKUP(VLOOKUP(AS$1,main!$A$3:$I$56,7,FALSE),main!$K$10:$Q$14,5,FALSE),1,0)</f>
        <v>0</v>
      </c>
      <c r="AT123">
        <f>IF(VLOOKUP(AT$1,main!$A$3:$I$56,5,FALSE)-VLOOKUP($A123,main!$A$3:$I$56,6,FALSE)&gt;=VLOOKUP(57,main!$A$57:$I$59,4,FALSE)+VLOOKUP(VLOOKUP(AT$1,main!$A$3:$I$56,7,FALSE),main!$K$10:$Q$14,5,FALSE),1,0)</f>
        <v>0</v>
      </c>
      <c r="AU123">
        <f>IF(VLOOKUP(AU$1,main!$A$3:$I$56,5,FALSE)-VLOOKUP($A123,main!$A$3:$I$56,6,FALSE)&gt;=VLOOKUP(57,main!$A$57:$I$59,4,FALSE)+VLOOKUP(VLOOKUP(AU$1,main!$A$3:$I$56,7,FALSE),main!$K$10:$Q$14,5,FALSE),1,0)</f>
        <v>0</v>
      </c>
      <c r="AV123">
        <f>IF(VLOOKUP(AV$1,main!$A$3:$I$56,5,FALSE)-VLOOKUP($A123,main!$A$3:$I$56,6,FALSE)&gt;=VLOOKUP(57,main!$A$57:$I$59,4,FALSE)+VLOOKUP(VLOOKUP(AV$1,main!$A$3:$I$56,7,FALSE),main!$K$10:$Q$14,5,FALSE),1,0)</f>
        <v>0</v>
      </c>
      <c r="AW123">
        <f>IF(VLOOKUP(AW$1,main!$A$3:$I$56,5,FALSE)-VLOOKUP($A123,main!$A$3:$I$56,6,FALSE)&gt;=VLOOKUP(57,main!$A$57:$I$59,4,FALSE)+VLOOKUP(VLOOKUP(AW$1,main!$A$3:$I$56,7,FALSE),main!$K$10:$Q$14,5,FALSE),1,0)</f>
        <v>0</v>
      </c>
      <c r="AX123">
        <f>IF(VLOOKUP(AX$1,main!$A$3:$I$56,5,FALSE)-VLOOKUP($A123,main!$A$3:$I$56,6,FALSE)&gt;=VLOOKUP(57,main!$A$57:$I$59,4,FALSE)+VLOOKUP(VLOOKUP(AX$1,main!$A$3:$I$56,7,FALSE),main!$K$10:$Q$14,5,FALSE),1,0)</f>
        <v>0</v>
      </c>
      <c r="AY123">
        <f>IF(VLOOKUP(AY$1,main!$A$3:$I$56,5,FALSE)-VLOOKUP($A123,main!$A$3:$I$56,6,FALSE)&gt;=VLOOKUP(57,main!$A$57:$I$59,4,FALSE)+VLOOKUP(VLOOKUP(AY$1,main!$A$3:$I$56,7,FALSE),main!$K$10:$Q$14,5,FALSE),1,0)</f>
        <v>1</v>
      </c>
      <c r="AZ123">
        <f>IF(VLOOKUP(AZ$1,main!$A$3:$I$56,5,FALSE)-VLOOKUP($A123,main!$A$3:$I$56,6,FALSE)&gt;=VLOOKUP(57,main!$A$57:$I$59,4,FALSE)+VLOOKUP(VLOOKUP(AZ$1,main!$A$3:$I$56,7,FALSE),main!$K$10:$Q$14,5,FALSE),1,0)</f>
        <v>0</v>
      </c>
      <c r="BA123">
        <f>IF(VLOOKUP(BA$1,main!$A$3:$I$56,5,FALSE)-VLOOKUP($A123,main!$A$3:$I$56,6,FALSE)&gt;=VLOOKUP(57,main!$A$57:$I$59,4,FALSE)+VLOOKUP(VLOOKUP(BA$1,main!$A$3:$I$56,7,FALSE),main!$K$10:$Q$14,5,FALSE),1,0)</f>
        <v>0</v>
      </c>
      <c r="BB123">
        <f>IF(VLOOKUP(BB$1,main!$A$3:$I$56,5,FALSE)-VLOOKUP($A123,main!$A$3:$I$56,6,FALSE)&gt;=VLOOKUP(57,main!$A$57:$I$59,4,FALSE)+VLOOKUP(VLOOKUP(BB$1,main!$A$3:$I$56,7,FALSE),main!$K$10:$Q$14,5,FALSE),1,0)</f>
        <v>0</v>
      </c>
      <c r="BC123">
        <f>IF(VLOOKUP(BC$1,main!$A$3:$I$56,5,FALSE)-VLOOKUP($A123,main!$A$3:$I$56,6,FALSE)&gt;=VLOOKUP(57,main!$A$57:$I$59,4,FALSE)+VLOOKUP(VLOOKUP(BC$1,main!$A$3:$I$56,7,FALSE),main!$K$10:$Q$14,5,FALSE),1,0)</f>
        <v>0</v>
      </c>
      <c r="BD123">
        <f>IF(VLOOKUP(BD$1,main!$A$3:$I$56,5,FALSE)-VLOOKUP($A123,main!$A$3:$I$56,6,FALSE)&gt;=VLOOKUP(57,main!$A$57:$I$59,4,FALSE)+VLOOKUP(VLOOKUP(BD$1,main!$A$3:$I$56,7,FALSE),main!$K$10:$Q$14,5,FALSE),1,0)</f>
        <v>0</v>
      </c>
    </row>
    <row r="124" spans="1:56" x14ac:dyDescent="0.25">
      <c r="A124">
        <f t="shared" si="2"/>
        <v>12</v>
      </c>
      <c r="B124">
        <v>0</v>
      </c>
      <c r="C124">
        <f>IF(VLOOKUP(C$1,main!$A$3:$I$56,5,FALSE)-VLOOKUP($A124,main!$A$3:$I$56,6,FALSE)&gt;=VLOOKUP(57,main!$A$57:$I$59,4,FALSE)+VLOOKUP(VLOOKUP(C$1,main!$A$3:$I$56,7,FALSE),main!$K$10:$Q$14,5,FALSE),1,0)</f>
        <v>0</v>
      </c>
      <c r="D124">
        <f>IF(VLOOKUP(D$1,main!$A$3:$I$56,5,FALSE)-VLOOKUP($A124,main!$A$3:$I$56,6,FALSE)&gt;=VLOOKUP(57,main!$A$57:$I$59,4,FALSE)+VLOOKUP(VLOOKUP(D$1,main!$A$3:$I$56,7,FALSE),main!$K$10:$Q$14,5,FALSE),1,0)</f>
        <v>0</v>
      </c>
      <c r="E124">
        <f>IF(VLOOKUP(E$1,main!$A$3:$I$56,5,FALSE)-VLOOKUP($A124,main!$A$3:$I$56,6,FALSE)&gt;=VLOOKUP(57,main!$A$57:$I$59,4,FALSE)+VLOOKUP(VLOOKUP(E$1,main!$A$3:$I$56,7,FALSE),main!$K$10:$Q$14,5,FALSE),1,0)</f>
        <v>0</v>
      </c>
      <c r="F124">
        <f>IF(VLOOKUP(F$1,main!$A$3:$I$56,5,FALSE)-VLOOKUP($A124,main!$A$3:$I$56,6,FALSE)&gt;=VLOOKUP(57,main!$A$57:$I$59,4,FALSE)+VLOOKUP(VLOOKUP(F$1,main!$A$3:$I$56,7,FALSE),main!$K$10:$Q$14,5,FALSE),1,0)</f>
        <v>0</v>
      </c>
      <c r="G124">
        <f>IF(VLOOKUP(G$1,main!$A$3:$I$56,5,FALSE)-VLOOKUP($A124,main!$A$3:$I$56,6,FALSE)&gt;=VLOOKUP(57,main!$A$57:$I$59,4,FALSE)+VLOOKUP(VLOOKUP(G$1,main!$A$3:$I$56,7,FALSE),main!$K$10:$Q$14,5,FALSE),1,0)</f>
        <v>0</v>
      </c>
      <c r="H124">
        <f>IF(VLOOKUP(H$1,main!$A$3:$I$56,5,FALSE)-VLOOKUP($A124,main!$A$3:$I$56,6,FALSE)&gt;=VLOOKUP(57,main!$A$57:$I$59,4,FALSE)+VLOOKUP(VLOOKUP(H$1,main!$A$3:$I$56,7,FALSE),main!$K$10:$Q$14,5,FALSE),1,0)</f>
        <v>0</v>
      </c>
      <c r="I124">
        <f>IF(VLOOKUP(I$1,main!$A$3:$I$56,5,FALSE)-VLOOKUP($A124,main!$A$3:$I$56,6,FALSE)&gt;=VLOOKUP(57,main!$A$57:$I$59,4,FALSE)+VLOOKUP(VLOOKUP(I$1,main!$A$3:$I$56,7,FALSE),main!$K$10:$Q$14,5,FALSE),1,0)</f>
        <v>0</v>
      </c>
      <c r="J124">
        <f>IF(VLOOKUP(J$1,main!$A$3:$I$56,5,FALSE)-VLOOKUP($A124,main!$A$3:$I$56,6,FALSE)&gt;=VLOOKUP(57,main!$A$57:$I$59,4,FALSE)+VLOOKUP(VLOOKUP(J$1,main!$A$3:$I$56,7,FALSE),main!$K$10:$Q$14,5,FALSE),1,0)</f>
        <v>0</v>
      </c>
      <c r="K124">
        <f>IF(VLOOKUP(K$1,main!$A$3:$I$56,5,FALSE)-VLOOKUP($A124,main!$A$3:$I$56,6,FALSE)&gt;=VLOOKUP(57,main!$A$57:$I$59,4,FALSE)+VLOOKUP(VLOOKUP(K$1,main!$A$3:$I$56,7,FALSE),main!$K$10:$Q$14,5,FALSE),1,0)</f>
        <v>0</v>
      </c>
      <c r="L124">
        <f>IF(VLOOKUP(L$1,main!$A$3:$I$56,5,FALSE)-VLOOKUP($A124,main!$A$3:$I$56,6,FALSE)&gt;=VLOOKUP(57,main!$A$57:$I$59,4,FALSE)+VLOOKUP(VLOOKUP(L$1,main!$A$3:$I$56,7,FALSE),main!$K$10:$Q$14,5,FALSE),1,0)</f>
        <v>0</v>
      </c>
      <c r="M124">
        <f>IF(VLOOKUP(M$1,main!$A$3:$I$56,5,FALSE)-VLOOKUP($A124,main!$A$3:$I$56,6,FALSE)&gt;=VLOOKUP(57,main!$A$57:$I$59,4,FALSE)+VLOOKUP(VLOOKUP(M$1,main!$A$3:$I$56,7,FALSE),main!$K$10:$Q$14,5,FALSE),1,0)</f>
        <v>0</v>
      </c>
      <c r="N124">
        <f>IF(VLOOKUP(N$1,main!$A$3:$I$56,5,FALSE)-VLOOKUP($A124,main!$A$3:$I$56,6,FALSE)&gt;=VLOOKUP(57,main!$A$57:$I$59,4,FALSE)+VLOOKUP(VLOOKUP(N$1,main!$A$3:$I$56,7,FALSE),main!$K$10:$Q$14,5,FALSE),1,0)</f>
        <v>0</v>
      </c>
      <c r="O124">
        <f>IF(VLOOKUP(O$1,main!$A$3:$I$56,5,FALSE)-VLOOKUP($A124,main!$A$3:$I$56,6,FALSE)&gt;=VLOOKUP(57,main!$A$57:$I$59,4,FALSE)+VLOOKUP(VLOOKUP(O$1,main!$A$3:$I$56,7,FALSE),main!$K$10:$Q$14,5,FALSE),1,0)</f>
        <v>0</v>
      </c>
      <c r="P124">
        <f>IF(VLOOKUP(P$1,main!$A$3:$I$56,5,FALSE)-VLOOKUP($A124,main!$A$3:$I$56,6,FALSE)&gt;=VLOOKUP(57,main!$A$57:$I$59,4,FALSE)+VLOOKUP(VLOOKUP(P$1,main!$A$3:$I$56,7,FALSE),main!$K$10:$Q$14,5,FALSE),1,0)</f>
        <v>0</v>
      </c>
      <c r="Q124">
        <f>IF(VLOOKUP(Q$1,main!$A$3:$I$56,5,FALSE)-VLOOKUP($A124,main!$A$3:$I$56,6,FALSE)&gt;=VLOOKUP(57,main!$A$57:$I$59,4,FALSE)+VLOOKUP(VLOOKUP(Q$1,main!$A$3:$I$56,7,FALSE),main!$K$10:$Q$14,5,FALSE),1,0)</f>
        <v>0</v>
      </c>
      <c r="R124">
        <f>IF(VLOOKUP(R$1,main!$A$3:$I$56,5,FALSE)-VLOOKUP($A124,main!$A$3:$I$56,6,FALSE)&gt;=VLOOKUP(57,main!$A$57:$I$59,4,FALSE)+VLOOKUP(VLOOKUP(R$1,main!$A$3:$I$56,7,FALSE),main!$K$10:$Q$14,5,FALSE),1,0)</f>
        <v>0</v>
      </c>
      <c r="S124">
        <f>IF(VLOOKUP(S$1,main!$A$3:$I$56,5,FALSE)-VLOOKUP($A124,main!$A$3:$I$56,6,FALSE)&gt;=VLOOKUP(57,main!$A$57:$I$59,4,FALSE)+VLOOKUP(VLOOKUP(S$1,main!$A$3:$I$56,7,FALSE),main!$K$10:$Q$14,5,FALSE),1,0)</f>
        <v>0</v>
      </c>
      <c r="T124">
        <f>IF(VLOOKUP(T$1,main!$A$3:$I$56,5,FALSE)-VLOOKUP($A124,main!$A$3:$I$56,6,FALSE)&gt;=VLOOKUP(57,main!$A$57:$I$59,4,FALSE)+VLOOKUP(VLOOKUP(T$1,main!$A$3:$I$56,7,FALSE),main!$K$10:$Q$14,5,FALSE),1,0)</f>
        <v>0</v>
      </c>
      <c r="U124">
        <f>IF(VLOOKUP(U$1,main!$A$3:$I$56,5,FALSE)-VLOOKUP($A124,main!$A$3:$I$56,6,FALSE)&gt;=VLOOKUP(57,main!$A$57:$I$59,4,FALSE)+VLOOKUP(VLOOKUP(U$1,main!$A$3:$I$56,7,FALSE),main!$K$10:$Q$14,5,FALSE),1,0)</f>
        <v>0</v>
      </c>
      <c r="V124">
        <f>IF(VLOOKUP(V$1,main!$A$3:$I$56,5,FALSE)-VLOOKUP($A124,main!$A$3:$I$56,6,FALSE)&gt;=VLOOKUP(57,main!$A$57:$I$59,4,FALSE)+VLOOKUP(VLOOKUP(V$1,main!$A$3:$I$56,7,FALSE),main!$K$10:$Q$14,5,FALSE),1,0)</f>
        <v>0</v>
      </c>
      <c r="W124">
        <f>IF(VLOOKUP(W$1,main!$A$3:$I$56,5,FALSE)-VLOOKUP($A124,main!$A$3:$I$56,6,FALSE)&gt;=VLOOKUP(57,main!$A$57:$I$59,4,FALSE)+VLOOKUP(VLOOKUP(W$1,main!$A$3:$I$56,7,FALSE),main!$K$10:$Q$14,5,FALSE),1,0)</f>
        <v>0</v>
      </c>
      <c r="X124">
        <f>IF(VLOOKUP(X$1,main!$A$3:$I$56,5,FALSE)-VLOOKUP($A124,main!$A$3:$I$56,6,FALSE)&gt;=VLOOKUP(57,main!$A$57:$I$59,4,FALSE)+VLOOKUP(VLOOKUP(X$1,main!$A$3:$I$56,7,FALSE),main!$K$10:$Q$14,5,FALSE),1,0)</f>
        <v>0</v>
      </c>
      <c r="Y124">
        <f>IF(VLOOKUP(Y$1,main!$A$3:$I$56,5,FALSE)-VLOOKUP($A124,main!$A$3:$I$56,6,FALSE)&gt;=VLOOKUP(57,main!$A$57:$I$59,4,FALSE)+VLOOKUP(VLOOKUP(Y$1,main!$A$3:$I$56,7,FALSE),main!$K$10:$Q$14,5,FALSE),1,0)</f>
        <v>0</v>
      </c>
      <c r="Z124">
        <f>IF(VLOOKUP(Z$1,main!$A$3:$I$56,5,FALSE)-VLOOKUP($A124,main!$A$3:$I$56,6,FALSE)&gt;=VLOOKUP(57,main!$A$57:$I$59,4,FALSE)+VLOOKUP(VLOOKUP(Z$1,main!$A$3:$I$56,7,FALSE),main!$K$10:$Q$14,5,FALSE),1,0)</f>
        <v>0</v>
      </c>
      <c r="AA124">
        <f>IF(VLOOKUP(AA$1,main!$A$3:$I$56,5,FALSE)-VLOOKUP($A124,main!$A$3:$I$56,6,FALSE)&gt;=VLOOKUP(57,main!$A$57:$I$59,4,FALSE)+VLOOKUP(VLOOKUP(AA$1,main!$A$3:$I$56,7,FALSE),main!$K$10:$Q$14,5,FALSE),1,0)</f>
        <v>0</v>
      </c>
      <c r="AB124">
        <f>IF(VLOOKUP(AB$1,main!$A$3:$I$56,5,FALSE)-VLOOKUP($A124,main!$A$3:$I$56,6,FALSE)&gt;=VLOOKUP(57,main!$A$57:$I$59,4,FALSE)+VLOOKUP(VLOOKUP(AB$1,main!$A$3:$I$56,7,FALSE),main!$K$10:$Q$14,5,FALSE),1,0)</f>
        <v>0</v>
      </c>
      <c r="AC124">
        <f>IF(VLOOKUP(AC$1,main!$A$3:$I$56,5,FALSE)-VLOOKUP($A124,main!$A$3:$I$56,6,FALSE)&gt;=VLOOKUP(57,main!$A$57:$I$59,4,FALSE)+VLOOKUP(VLOOKUP(AC$1,main!$A$3:$I$56,7,FALSE),main!$K$10:$Q$14,5,FALSE),1,0)</f>
        <v>0</v>
      </c>
      <c r="AD124">
        <f>IF(VLOOKUP(AD$1,main!$A$3:$I$56,5,FALSE)-VLOOKUP($A124,main!$A$3:$I$56,6,FALSE)&gt;=VLOOKUP(57,main!$A$57:$I$59,4,FALSE)+VLOOKUP(VLOOKUP(AD$1,main!$A$3:$I$56,7,FALSE),main!$K$10:$Q$14,5,FALSE),1,0)</f>
        <v>0</v>
      </c>
      <c r="AE124">
        <f>IF(VLOOKUP(AE$1,main!$A$3:$I$56,5,FALSE)-VLOOKUP($A124,main!$A$3:$I$56,6,FALSE)&gt;=VLOOKUP(57,main!$A$57:$I$59,4,FALSE)+VLOOKUP(VLOOKUP(AE$1,main!$A$3:$I$56,7,FALSE),main!$K$10:$Q$14,5,FALSE),1,0)</f>
        <v>0</v>
      </c>
      <c r="AF124">
        <f>IF(VLOOKUP(AF$1,main!$A$3:$I$56,5,FALSE)-VLOOKUP($A124,main!$A$3:$I$56,6,FALSE)&gt;=VLOOKUP(57,main!$A$57:$I$59,4,FALSE)+VLOOKUP(VLOOKUP(AF$1,main!$A$3:$I$56,7,FALSE),main!$K$10:$Q$14,5,FALSE),1,0)</f>
        <v>0</v>
      </c>
      <c r="AG124">
        <f>IF(VLOOKUP(AG$1,main!$A$3:$I$56,5,FALSE)-VLOOKUP($A124,main!$A$3:$I$56,6,FALSE)&gt;=VLOOKUP(57,main!$A$57:$I$59,4,FALSE)+VLOOKUP(VLOOKUP(AG$1,main!$A$3:$I$56,7,FALSE),main!$K$10:$Q$14,5,FALSE),1,0)</f>
        <v>0</v>
      </c>
      <c r="AH124">
        <f>IF(VLOOKUP(AH$1,main!$A$3:$I$56,5,FALSE)-VLOOKUP($A124,main!$A$3:$I$56,6,FALSE)&gt;=VLOOKUP(57,main!$A$57:$I$59,4,FALSE)+VLOOKUP(VLOOKUP(AH$1,main!$A$3:$I$56,7,FALSE),main!$K$10:$Q$14,5,FALSE),1,0)</f>
        <v>0</v>
      </c>
      <c r="AI124">
        <f>IF(VLOOKUP(AI$1,main!$A$3:$I$56,5,FALSE)-VLOOKUP($A124,main!$A$3:$I$56,6,FALSE)&gt;=VLOOKUP(57,main!$A$57:$I$59,4,FALSE)+VLOOKUP(VLOOKUP(AI$1,main!$A$3:$I$56,7,FALSE),main!$K$10:$Q$14,5,FALSE),1,0)</f>
        <v>0</v>
      </c>
      <c r="AJ124">
        <f>IF(VLOOKUP(AJ$1,main!$A$3:$I$56,5,FALSE)-VLOOKUP($A124,main!$A$3:$I$56,6,FALSE)&gt;=VLOOKUP(57,main!$A$57:$I$59,4,FALSE)+VLOOKUP(VLOOKUP(AJ$1,main!$A$3:$I$56,7,FALSE),main!$K$10:$Q$14,5,FALSE),1,0)</f>
        <v>0</v>
      </c>
      <c r="AK124">
        <f>IF(VLOOKUP(AK$1,main!$A$3:$I$56,5,FALSE)-VLOOKUP($A124,main!$A$3:$I$56,6,FALSE)&gt;=VLOOKUP(57,main!$A$57:$I$59,4,FALSE)+VLOOKUP(VLOOKUP(AK$1,main!$A$3:$I$56,7,FALSE),main!$K$10:$Q$14,5,FALSE),1,0)</f>
        <v>0</v>
      </c>
      <c r="AL124">
        <f>IF(VLOOKUP(AL$1,main!$A$3:$I$56,5,FALSE)-VLOOKUP($A124,main!$A$3:$I$56,6,FALSE)&gt;=VLOOKUP(57,main!$A$57:$I$59,4,FALSE)+VLOOKUP(VLOOKUP(AL$1,main!$A$3:$I$56,7,FALSE),main!$K$10:$Q$14,5,FALSE),1,0)</f>
        <v>0</v>
      </c>
      <c r="AM124">
        <f>IF(VLOOKUP(AM$1,main!$A$3:$I$56,5,FALSE)-VLOOKUP($A124,main!$A$3:$I$56,6,FALSE)&gt;=VLOOKUP(57,main!$A$57:$I$59,4,FALSE)+VLOOKUP(VLOOKUP(AM$1,main!$A$3:$I$56,7,FALSE),main!$K$10:$Q$14,5,FALSE),1,0)</f>
        <v>0</v>
      </c>
      <c r="AN124">
        <f>IF(VLOOKUP(AN$1,main!$A$3:$I$56,5,FALSE)-VLOOKUP($A124,main!$A$3:$I$56,6,FALSE)&gt;=VLOOKUP(57,main!$A$57:$I$59,4,FALSE)+VLOOKUP(VLOOKUP(AN$1,main!$A$3:$I$56,7,FALSE),main!$K$10:$Q$14,5,FALSE),1,0)</f>
        <v>0</v>
      </c>
      <c r="AO124">
        <f>IF(VLOOKUP(AO$1,main!$A$3:$I$56,5,FALSE)-VLOOKUP($A124,main!$A$3:$I$56,6,FALSE)&gt;=VLOOKUP(57,main!$A$57:$I$59,4,FALSE)+VLOOKUP(VLOOKUP(AO$1,main!$A$3:$I$56,7,FALSE),main!$K$10:$Q$14,5,FALSE),1,0)</f>
        <v>0</v>
      </c>
      <c r="AP124">
        <f>IF(VLOOKUP(AP$1,main!$A$3:$I$56,5,FALSE)-VLOOKUP($A124,main!$A$3:$I$56,6,FALSE)&gt;=VLOOKUP(57,main!$A$57:$I$59,4,FALSE)+VLOOKUP(VLOOKUP(AP$1,main!$A$3:$I$56,7,FALSE),main!$K$10:$Q$14,5,FALSE),1,0)</f>
        <v>0</v>
      </c>
      <c r="AQ124">
        <f>IF(VLOOKUP(AQ$1,main!$A$3:$I$56,5,FALSE)-VLOOKUP($A124,main!$A$3:$I$56,6,FALSE)&gt;=VLOOKUP(57,main!$A$57:$I$59,4,FALSE)+VLOOKUP(VLOOKUP(AQ$1,main!$A$3:$I$56,7,FALSE),main!$K$10:$Q$14,5,FALSE),1,0)</f>
        <v>0</v>
      </c>
      <c r="AR124">
        <f>IF(VLOOKUP(AR$1,main!$A$3:$I$56,5,FALSE)-VLOOKUP($A124,main!$A$3:$I$56,6,FALSE)&gt;=VLOOKUP(57,main!$A$57:$I$59,4,FALSE)+VLOOKUP(VLOOKUP(AR$1,main!$A$3:$I$56,7,FALSE),main!$K$10:$Q$14,5,FALSE),1,0)</f>
        <v>0</v>
      </c>
      <c r="AS124">
        <f>IF(VLOOKUP(AS$1,main!$A$3:$I$56,5,FALSE)-VLOOKUP($A124,main!$A$3:$I$56,6,FALSE)&gt;=VLOOKUP(57,main!$A$57:$I$59,4,FALSE)+VLOOKUP(VLOOKUP(AS$1,main!$A$3:$I$56,7,FALSE),main!$K$10:$Q$14,5,FALSE),1,0)</f>
        <v>0</v>
      </c>
      <c r="AT124">
        <f>IF(VLOOKUP(AT$1,main!$A$3:$I$56,5,FALSE)-VLOOKUP($A124,main!$A$3:$I$56,6,FALSE)&gt;=VLOOKUP(57,main!$A$57:$I$59,4,FALSE)+VLOOKUP(VLOOKUP(AT$1,main!$A$3:$I$56,7,FALSE),main!$K$10:$Q$14,5,FALSE),1,0)</f>
        <v>0</v>
      </c>
      <c r="AU124">
        <f>IF(VLOOKUP(AU$1,main!$A$3:$I$56,5,FALSE)-VLOOKUP($A124,main!$A$3:$I$56,6,FALSE)&gt;=VLOOKUP(57,main!$A$57:$I$59,4,FALSE)+VLOOKUP(VLOOKUP(AU$1,main!$A$3:$I$56,7,FALSE),main!$K$10:$Q$14,5,FALSE),1,0)</f>
        <v>0</v>
      </c>
      <c r="AV124">
        <f>IF(VLOOKUP(AV$1,main!$A$3:$I$56,5,FALSE)-VLOOKUP($A124,main!$A$3:$I$56,6,FALSE)&gt;=VLOOKUP(57,main!$A$57:$I$59,4,FALSE)+VLOOKUP(VLOOKUP(AV$1,main!$A$3:$I$56,7,FALSE),main!$K$10:$Q$14,5,FALSE),1,0)</f>
        <v>0</v>
      </c>
      <c r="AW124">
        <f>IF(VLOOKUP(AW$1,main!$A$3:$I$56,5,FALSE)-VLOOKUP($A124,main!$A$3:$I$56,6,FALSE)&gt;=VLOOKUP(57,main!$A$57:$I$59,4,FALSE)+VLOOKUP(VLOOKUP(AW$1,main!$A$3:$I$56,7,FALSE),main!$K$10:$Q$14,5,FALSE),1,0)</f>
        <v>0</v>
      </c>
      <c r="AX124">
        <f>IF(VLOOKUP(AX$1,main!$A$3:$I$56,5,FALSE)-VLOOKUP($A124,main!$A$3:$I$56,6,FALSE)&gt;=VLOOKUP(57,main!$A$57:$I$59,4,FALSE)+VLOOKUP(VLOOKUP(AX$1,main!$A$3:$I$56,7,FALSE),main!$K$10:$Q$14,5,FALSE),1,0)</f>
        <v>0</v>
      </c>
      <c r="AY124">
        <f>IF(VLOOKUP(AY$1,main!$A$3:$I$56,5,FALSE)-VLOOKUP($A124,main!$A$3:$I$56,6,FALSE)&gt;=VLOOKUP(57,main!$A$57:$I$59,4,FALSE)+VLOOKUP(VLOOKUP(AY$1,main!$A$3:$I$56,7,FALSE),main!$K$10:$Q$14,5,FALSE),1,0)</f>
        <v>0</v>
      </c>
      <c r="AZ124">
        <f>IF(VLOOKUP(AZ$1,main!$A$3:$I$56,5,FALSE)-VLOOKUP($A124,main!$A$3:$I$56,6,FALSE)&gt;=VLOOKUP(57,main!$A$57:$I$59,4,FALSE)+VLOOKUP(VLOOKUP(AZ$1,main!$A$3:$I$56,7,FALSE),main!$K$10:$Q$14,5,FALSE),1,0)</f>
        <v>0</v>
      </c>
      <c r="BA124">
        <f>IF(VLOOKUP(BA$1,main!$A$3:$I$56,5,FALSE)-VLOOKUP($A124,main!$A$3:$I$56,6,FALSE)&gt;=VLOOKUP(57,main!$A$57:$I$59,4,FALSE)+VLOOKUP(VLOOKUP(BA$1,main!$A$3:$I$56,7,FALSE),main!$K$10:$Q$14,5,FALSE),1,0)</f>
        <v>0</v>
      </c>
      <c r="BB124">
        <f>IF(VLOOKUP(BB$1,main!$A$3:$I$56,5,FALSE)-VLOOKUP($A124,main!$A$3:$I$56,6,FALSE)&gt;=VLOOKUP(57,main!$A$57:$I$59,4,FALSE)+VLOOKUP(VLOOKUP(BB$1,main!$A$3:$I$56,7,FALSE),main!$K$10:$Q$14,5,FALSE),1,0)</f>
        <v>0</v>
      </c>
      <c r="BC124">
        <f>IF(VLOOKUP(BC$1,main!$A$3:$I$56,5,FALSE)-VLOOKUP($A124,main!$A$3:$I$56,6,FALSE)&gt;=VLOOKUP(57,main!$A$57:$I$59,4,FALSE)+VLOOKUP(VLOOKUP(BC$1,main!$A$3:$I$56,7,FALSE),main!$K$10:$Q$14,5,FALSE),1,0)</f>
        <v>0</v>
      </c>
      <c r="BD124">
        <f>IF(VLOOKUP(BD$1,main!$A$3:$I$56,5,FALSE)-VLOOKUP($A124,main!$A$3:$I$56,6,FALSE)&gt;=VLOOKUP(57,main!$A$57:$I$59,4,FALSE)+VLOOKUP(VLOOKUP(BD$1,main!$A$3:$I$56,7,FALSE),main!$K$10:$Q$14,5,FALSE),1,0)</f>
        <v>0</v>
      </c>
    </row>
    <row r="125" spans="1:56" x14ac:dyDescent="0.25">
      <c r="A125">
        <f t="shared" si="2"/>
        <v>13</v>
      </c>
      <c r="B125">
        <v>0</v>
      </c>
      <c r="C125">
        <f>IF(VLOOKUP(C$1,main!$A$3:$I$56,5,FALSE)-VLOOKUP($A125,main!$A$3:$I$56,6,FALSE)&gt;=VLOOKUP(57,main!$A$57:$I$59,4,FALSE)+VLOOKUP(VLOOKUP(C$1,main!$A$3:$I$56,7,FALSE),main!$K$10:$Q$14,5,FALSE),1,0)</f>
        <v>0</v>
      </c>
      <c r="D125">
        <f>IF(VLOOKUP(D$1,main!$A$3:$I$56,5,FALSE)-VLOOKUP($A125,main!$A$3:$I$56,6,FALSE)&gt;=VLOOKUP(57,main!$A$57:$I$59,4,FALSE)+VLOOKUP(VLOOKUP(D$1,main!$A$3:$I$56,7,FALSE),main!$K$10:$Q$14,5,FALSE),1,0)</f>
        <v>0</v>
      </c>
      <c r="E125">
        <f>IF(VLOOKUP(E$1,main!$A$3:$I$56,5,FALSE)-VLOOKUP($A125,main!$A$3:$I$56,6,FALSE)&gt;=VLOOKUP(57,main!$A$57:$I$59,4,FALSE)+VLOOKUP(VLOOKUP(E$1,main!$A$3:$I$56,7,FALSE),main!$K$10:$Q$14,5,FALSE),1,0)</f>
        <v>0</v>
      </c>
      <c r="F125">
        <f>IF(VLOOKUP(F$1,main!$A$3:$I$56,5,FALSE)-VLOOKUP($A125,main!$A$3:$I$56,6,FALSE)&gt;=VLOOKUP(57,main!$A$57:$I$59,4,FALSE)+VLOOKUP(VLOOKUP(F$1,main!$A$3:$I$56,7,FALSE),main!$K$10:$Q$14,5,FALSE),1,0)</f>
        <v>0</v>
      </c>
      <c r="G125">
        <f>IF(VLOOKUP(G$1,main!$A$3:$I$56,5,FALSE)-VLOOKUP($A125,main!$A$3:$I$56,6,FALSE)&gt;=VLOOKUP(57,main!$A$57:$I$59,4,FALSE)+VLOOKUP(VLOOKUP(G$1,main!$A$3:$I$56,7,FALSE),main!$K$10:$Q$14,5,FALSE),1,0)</f>
        <v>0</v>
      </c>
      <c r="H125">
        <f>IF(VLOOKUP(H$1,main!$A$3:$I$56,5,FALSE)-VLOOKUP($A125,main!$A$3:$I$56,6,FALSE)&gt;=VLOOKUP(57,main!$A$57:$I$59,4,FALSE)+VLOOKUP(VLOOKUP(H$1,main!$A$3:$I$56,7,FALSE),main!$K$10:$Q$14,5,FALSE),1,0)</f>
        <v>0</v>
      </c>
      <c r="I125">
        <f>IF(VLOOKUP(I$1,main!$A$3:$I$56,5,FALSE)-VLOOKUP($A125,main!$A$3:$I$56,6,FALSE)&gt;=VLOOKUP(57,main!$A$57:$I$59,4,FALSE)+VLOOKUP(VLOOKUP(I$1,main!$A$3:$I$56,7,FALSE),main!$K$10:$Q$14,5,FALSE),1,0)</f>
        <v>0</v>
      </c>
      <c r="J125">
        <f>IF(VLOOKUP(J$1,main!$A$3:$I$56,5,FALSE)-VLOOKUP($A125,main!$A$3:$I$56,6,FALSE)&gt;=VLOOKUP(57,main!$A$57:$I$59,4,FALSE)+VLOOKUP(VLOOKUP(J$1,main!$A$3:$I$56,7,FALSE),main!$K$10:$Q$14,5,FALSE),1,0)</f>
        <v>0</v>
      </c>
      <c r="K125">
        <f>IF(VLOOKUP(K$1,main!$A$3:$I$56,5,FALSE)-VLOOKUP($A125,main!$A$3:$I$56,6,FALSE)&gt;=VLOOKUP(57,main!$A$57:$I$59,4,FALSE)+VLOOKUP(VLOOKUP(K$1,main!$A$3:$I$56,7,FALSE),main!$K$10:$Q$14,5,FALSE),1,0)</f>
        <v>0</v>
      </c>
      <c r="L125">
        <f>IF(VLOOKUP(L$1,main!$A$3:$I$56,5,FALSE)-VLOOKUP($A125,main!$A$3:$I$56,6,FALSE)&gt;=VLOOKUP(57,main!$A$57:$I$59,4,FALSE)+VLOOKUP(VLOOKUP(L$1,main!$A$3:$I$56,7,FALSE),main!$K$10:$Q$14,5,FALSE),1,0)</f>
        <v>0</v>
      </c>
      <c r="M125">
        <f>IF(VLOOKUP(M$1,main!$A$3:$I$56,5,FALSE)-VLOOKUP($A125,main!$A$3:$I$56,6,FALSE)&gt;=VLOOKUP(57,main!$A$57:$I$59,4,FALSE)+VLOOKUP(VLOOKUP(M$1,main!$A$3:$I$56,7,FALSE),main!$K$10:$Q$14,5,FALSE),1,0)</f>
        <v>0</v>
      </c>
      <c r="N125">
        <f>IF(VLOOKUP(N$1,main!$A$3:$I$56,5,FALSE)-VLOOKUP($A125,main!$A$3:$I$56,6,FALSE)&gt;=VLOOKUP(57,main!$A$57:$I$59,4,FALSE)+VLOOKUP(VLOOKUP(N$1,main!$A$3:$I$56,7,FALSE),main!$K$10:$Q$14,5,FALSE),1,0)</f>
        <v>0</v>
      </c>
      <c r="O125">
        <f>IF(VLOOKUP(O$1,main!$A$3:$I$56,5,FALSE)-VLOOKUP($A125,main!$A$3:$I$56,6,FALSE)&gt;=VLOOKUP(57,main!$A$57:$I$59,4,FALSE)+VLOOKUP(VLOOKUP(O$1,main!$A$3:$I$56,7,FALSE),main!$K$10:$Q$14,5,FALSE),1,0)</f>
        <v>0</v>
      </c>
      <c r="P125">
        <f>IF(VLOOKUP(P$1,main!$A$3:$I$56,5,FALSE)-VLOOKUP($A125,main!$A$3:$I$56,6,FALSE)&gt;=VLOOKUP(57,main!$A$57:$I$59,4,FALSE)+VLOOKUP(VLOOKUP(P$1,main!$A$3:$I$56,7,FALSE),main!$K$10:$Q$14,5,FALSE),1,0)</f>
        <v>0</v>
      </c>
      <c r="Q125">
        <f>IF(VLOOKUP(Q$1,main!$A$3:$I$56,5,FALSE)-VLOOKUP($A125,main!$A$3:$I$56,6,FALSE)&gt;=VLOOKUP(57,main!$A$57:$I$59,4,FALSE)+VLOOKUP(VLOOKUP(Q$1,main!$A$3:$I$56,7,FALSE),main!$K$10:$Q$14,5,FALSE),1,0)</f>
        <v>0</v>
      </c>
      <c r="R125">
        <f>IF(VLOOKUP(R$1,main!$A$3:$I$56,5,FALSE)-VLOOKUP($A125,main!$A$3:$I$56,6,FALSE)&gt;=VLOOKUP(57,main!$A$57:$I$59,4,FALSE)+VLOOKUP(VLOOKUP(R$1,main!$A$3:$I$56,7,FALSE),main!$K$10:$Q$14,5,FALSE),1,0)</f>
        <v>0</v>
      </c>
      <c r="S125">
        <f>IF(VLOOKUP(S$1,main!$A$3:$I$56,5,FALSE)-VLOOKUP($A125,main!$A$3:$I$56,6,FALSE)&gt;=VLOOKUP(57,main!$A$57:$I$59,4,FALSE)+VLOOKUP(VLOOKUP(S$1,main!$A$3:$I$56,7,FALSE),main!$K$10:$Q$14,5,FALSE),1,0)</f>
        <v>0</v>
      </c>
      <c r="T125">
        <f>IF(VLOOKUP(T$1,main!$A$3:$I$56,5,FALSE)-VLOOKUP($A125,main!$A$3:$I$56,6,FALSE)&gt;=VLOOKUP(57,main!$A$57:$I$59,4,FALSE)+VLOOKUP(VLOOKUP(T$1,main!$A$3:$I$56,7,FALSE),main!$K$10:$Q$14,5,FALSE),1,0)</f>
        <v>0</v>
      </c>
      <c r="U125">
        <f>IF(VLOOKUP(U$1,main!$A$3:$I$56,5,FALSE)-VLOOKUP($A125,main!$A$3:$I$56,6,FALSE)&gt;=VLOOKUP(57,main!$A$57:$I$59,4,FALSE)+VLOOKUP(VLOOKUP(U$1,main!$A$3:$I$56,7,FALSE),main!$K$10:$Q$14,5,FALSE),1,0)</f>
        <v>0</v>
      </c>
      <c r="V125">
        <f>IF(VLOOKUP(V$1,main!$A$3:$I$56,5,FALSE)-VLOOKUP($A125,main!$A$3:$I$56,6,FALSE)&gt;=VLOOKUP(57,main!$A$57:$I$59,4,FALSE)+VLOOKUP(VLOOKUP(V$1,main!$A$3:$I$56,7,FALSE),main!$K$10:$Q$14,5,FALSE),1,0)</f>
        <v>0</v>
      </c>
      <c r="W125">
        <f>IF(VLOOKUP(W$1,main!$A$3:$I$56,5,FALSE)-VLOOKUP($A125,main!$A$3:$I$56,6,FALSE)&gt;=VLOOKUP(57,main!$A$57:$I$59,4,FALSE)+VLOOKUP(VLOOKUP(W$1,main!$A$3:$I$56,7,FALSE),main!$K$10:$Q$14,5,FALSE),1,0)</f>
        <v>0</v>
      </c>
      <c r="X125">
        <f>IF(VLOOKUP(X$1,main!$A$3:$I$56,5,FALSE)-VLOOKUP($A125,main!$A$3:$I$56,6,FALSE)&gt;=VLOOKUP(57,main!$A$57:$I$59,4,FALSE)+VLOOKUP(VLOOKUP(X$1,main!$A$3:$I$56,7,FALSE),main!$K$10:$Q$14,5,FALSE),1,0)</f>
        <v>0</v>
      </c>
      <c r="Y125">
        <f>IF(VLOOKUP(Y$1,main!$A$3:$I$56,5,FALSE)-VLOOKUP($A125,main!$A$3:$I$56,6,FALSE)&gt;=VLOOKUP(57,main!$A$57:$I$59,4,FALSE)+VLOOKUP(VLOOKUP(Y$1,main!$A$3:$I$56,7,FALSE),main!$K$10:$Q$14,5,FALSE),1,0)</f>
        <v>0</v>
      </c>
      <c r="Z125">
        <f>IF(VLOOKUP(Z$1,main!$A$3:$I$56,5,FALSE)-VLOOKUP($A125,main!$A$3:$I$56,6,FALSE)&gt;=VLOOKUP(57,main!$A$57:$I$59,4,FALSE)+VLOOKUP(VLOOKUP(Z$1,main!$A$3:$I$56,7,FALSE),main!$K$10:$Q$14,5,FALSE),1,0)</f>
        <v>0</v>
      </c>
      <c r="AA125">
        <f>IF(VLOOKUP(AA$1,main!$A$3:$I$56,5,FALSE)-VLOOKUP($A125,main!$A$3:$I$56,6,FALSE)&gt;=VLOOKUP(57,main!$A$57:$I$59,4,FALSE)+VLOOKUP(VLOOKUP(AA$1,main!$A$3:$I$56,7,FALSE),main!$K$10:$Q$14,5,FALSE),1,0)</f>
        <v>0</v>
      </c>
      <c r="AB125">
        <f>IF(VLOOKUP(AB$1,main!$A$3:$I$56,5,FALSE)-VLOOKUP($A125,main!$A$3:$I$56,6,FALSE)&gt;=VLOOKUP(57,main!$A$57:$I$59,4,FALSE)+VLOOKUP(VLOOKUP(AB$1,main!$A$3:$I$56,7,FALSE),main!$K$10:$Q$14,5,FALSE),1,0)</f>
        <v>0</v>
      </c>
      <c r="AC125">
        <f>IF(VLOOKUP(AC$1,main!$A$3:$I$56,5,FALSE)-VLOOKUP($A125,main!$A$3:$I$56,6,FALSE)&gt;=VLOOKUP(57,main!$A$57:$I$59,4,FALSE)+VLOOKUP(VLOOKUP(AC$1,main!$A$3:$I$56,7,FALSE),main!$K$10:$Q$14,5,FALSE),1,0)</f>
        <v>0</v>
      </c>
      <c r="AD125">
        <f>IF(VLOOKUP(AD$1,main!$A$3:$I$56,5,FALSE)-VLOOKUP($A125,main!$A$3:$I$56,6,FALSE)&gt;=VLOOKUP(57,main!$A$57:$I$59,4,FALSE)+VLOOKUP(VLOOKUP(AD$1,main!$A$3:$I$56,7,FALSE),main!$K$10:$Q$14,5,FALSE),1,0)</f>
        <v>0</v>
      </c>
      <c r="AE125">
        <f>IF(VLOOKUP(AE$1,main!$A$3:$I$56,5,FALSE)-VLOOKUP($A125,main!$A$3:$I$56,6,FALSE)&gt;=VLOOKUP(57,main!$A$57:$I$59,4,FALSE)+VLOOKUP(VLOOKUP(AE$1,main!$A$3:$I$56,7,FALSE),main!$K$10:$Q$14,5,FALSE),1,0)</f>
        <v>0</v>
      </c>
      <c r="AF125">
        <f>IF(VLOOKUP(AF$1,main!$A$3:$I$56,5,FALSE)-VLOOKUP($A125,main!$A$3:$I$56,6,FALSE)&gt;=VLOOKUP(57,main!$A$57:$I$59,4,FALSE)+VLOOKUP(VLOOKUP(AF$1,main!$A$3:$I$56,7,FALSE),main!$K$10:$Q$14,5,FALSE),1,0)</f>
        <v>0</v>
      </c>
      <c r="AG125">
        <f>IF(VLOOKUP(AG$1,main!$A$3:$I$56,5,FALSE)-VLOOKUP($A125,main!$A$3:$I$56,6,FALSE)&gt;=VLOOKUP(57,main!$A$57:$I$59,4,FALSE)+VLOOKUP(VLOOKUP(AG$1,main!$A$3:$I$56,7,FALSE),main!$K$10:$Q$14,5,FALSE),1,0)</f>
        <v>0</v>
      </c>
      <c r="AH125">
        <f>IF(VLOOKUP(AH$1,main!$A$3:$I$56,5,FALSE)-VLOOKUP($A125,main!$A$3:$I$56,6,FALSE)&gt;=VLOOKUP(57,main!$A$57:$I$59,4,FALSE)+VLOOKUP(VLOOKUP(AH$1,main!$A$3:$I$56,7,FALSE),main!$K$10:$Q$14,5,FALSE),1,0)</f>
        <v>0</v>
      </c>
      <c r="AI125">
        <f>IF(VLOOKUP(AI$1,main!$A$3:$I$56,5,FALSE)-VLOOKUP($A125,main!$A$3:$I$56,6,FALSE)&gt;=VLOOKUP(57,main!$A$57:$I$59,4,FALSE)+VLOOKUP(VLOOKUP(AI$1,main!$A$3:$I$56,7,FALSE),main!$K$10:$Q$14,5,FALSE),1,0)</f>
        <v>0</v>
      </c>
      <c r="AJ125">
        <f>IF(VLOOKUP(AJ$1,main!$A$3:$I$56,5,FALSE)-VLOOKUP($A125,main!$A$3:$I$56,6,FALSE)&gt;=VLOOKUP(57,main!$A$57:$I$59,4,FALSE)+VLOOKUP(VLOOKUP(AJ$1,main!$A$3:$I$56,7,FALSE),main!$K$10:$Q$14,5,FALSE),1,0)</f>
        <v>0</v>
      </c>
      <c r="AK125">
        <f>IF(VLOOKUP(AK$1,main!$A$3:$I$56,5,FALSE)-VLOOKUP($A125,main!$A$3:$I$56,6,FALSE)&gt;=VLOOKUP(57,main!$A$57:$I$59,4,FALSE)+VLOOKUP(VLOOKUP(AK$1,main!$A$3:$I$56,7,FALSE),main!$K$10:$Q$14,5,FALSE),1,0)</f>
        <v>0</v>
      </c>
      <c r="AL125">
        <f>IF(VLOOKUP(AL$1,main!$A$3:$I$56,5,FALSE)-VLOOKUP($A125,main!$A$3:$I$56,6,FALSE)&gt;=VLOOKUP(57,main!$A$57:$I$59,4,FALSE)+VLOOKUP(VLOOKUP(AL$1,main!$A$3:$I$56,7,FALSE),main!$K$10:$Q$14,5,FALSE),1,0)</f>
        <v>0</v>
      </c>
      <c r="AM125">
        <f>IF(VLOOKUP(AM$1,main!$A$3:$I$56,5,FALSE)-VLOOKUP($A125,main!$A$3:$I$56,6,FALSE)&gt;=VLOOKUP(57,main!$A$57:$I$59,4,FALSE)+VLOOKUP(VLOOKUP(AM$1,main!$A$3:$I$56,7,FALSE),main!$K$10:$Q$14,5,FALSE),1,0)</f>
        <v>0</v>
      </c>
      <c r="AN125">
        <f>IF(VLOOKUP(AN$1,main!$A$3:$I$56,5,FALSE)-VLOOKUP($A125,main!$A$3:$I$56,6,FALSE)&gt;=VLOOKUP(57,main!$A$57:$I$59,4,FALSE)+VLOOKUP(VLOOKUP(AN$1,main!$A$3:$I$56,7,FALSE),main!$K$10:$Q$14,5,FALSE),1,0)</f>
        <v>0</v>
      </c>
      <c r="AO125">
        <f>IF(VLOOKUP(AO$1,main!$A$3:$I$56,5,FALSE)-VLOOKUP($A125,main!$A$3:$I$56,6,FALSE)&gt;=VLOOKUP(57,main!$A$57:$I$59,4,FALSE)+VLOOKUP(VLOOKUP(AO$1,main!$A$3:$I$56,7,FALSE),main!$K$10:$Q$14,5,FALSE),1,0)</f>
        <v>0</v>
      </c>
      <c r="AP125">
        <f>IF(VLOOKUP(AP$1,main!$A$3:$I$56,5,FALSE)-VLOOKUP($A125,main!$A$3:$I$56,6,FALSE)&gt;=VLOOKUP(57,main!$A$57:$I$59,4,FALSE)+VLOOKUP(VLOOKUP(AP$1,main!$A$3:$I$56,7,FALSE),main!$K$10:$Q$14,5,FALSE),1,0)</f>
        <v>0</v>
      </c>
      <c r="AQ125">
        <f>IF(VLOOKUP(AQ$1,main!$A$3:$I$56,5,FALSE)-VLOOKUP($A125,main!$A$3:$I$56,6,FALSE)&gt;=VLOOKUP(57,main!$A$57:$I$59,4,FALSE)+VLOOKUP(VLOOKUP(AQ$1,main!$A$3:$I$56,7,FALSE),main!$K$10:$Q$14,5,FALSE),1,0)</f>
        <v>0</v>
      </c>
      <c r="AR125">
        <f>IF(VLOOKUP(AR$1,main!$A$3:$I$56,5,FALSE)-VLOOKUP($A125,main!$A$3:$I$56,6,FALSE)&gt;=VLOOKUP(57,main!$A$57:$I$59,4,FALSE)+VLOOKUP(VLOOKUP(AR$1,main!$A$3:$I$56,7,FALSE),main!$K$10:$Q$14,5,FALSE),1,0)</f>
        <v>0</v>
      </c>
      <c r="AS125">
        <f>IF(VLOOKUP(AS$1,main!$A$3:$I$56,5,FALSE)-VLOOKUP($A125,main!$A$3:$I$56,6,FALSE)&gt;=VLOOKUP(57,main!$A$57:$I$59,4,FALSE)+VLOOKUP(VLOOKUP(AS$1,main!$A$3:$I$56,7,FALSE),main!$K$10:$Q$14,5,FALSE),1,0)</f>
        <v>0</v>
      </c>
      <c r="AT125">
        <f>IF(VLOOKUP(AT$1,main!$A$3:$I$56,5,FALSE)-VLOOKUP($A125,main!$A$3:$I$56,6,FALSE)&gt;=VLOOKUP(57,main!$A$57:$I$59,4,FALSE)+VLOOKUP(VLOOKUP(AT$1,main!$A$3:$I$56,7,FALSE),main!$K$10:$Q$14,5,FALSE),1,0)</f>
        <v>0</v>
      </c>
      <c r="AU125">
        <f>IF(VLOOKUP(AU$1,main!$A$3:$I$56,5,FALSE)-VLOOKUP($A125,main!$A$3:$I$56,6,FALSE)&gt;=VLOOKUP(57,main!$A$57:$I$59,4,FALSE)+VLOOKUP(VLOOKUP(AU$1,main!$A$3:$I$56,7,FALSE),main!$K$10:$Q$14,5,FALSE),1,0)</f>
        <v>0</v>
      </c>
      <c r="AV125">
        <f>IF(VLOOKUP(AV$1,main!$A$3:$I$56,5,FALSE)-VLOOKUP($A125,main!$A$3:$I$56,6,FALSE)&gt;=VLOOKUP(57,main!$A$57:$I$59,4,FALSE)+VLOOKUP(VLOOKUP(AV$1,main!$A$3:$I$56,7,FALSE),main!$K$10:$Q$14,5,FALSE),1,0)</f>
        <v>0</v>
      </c>
      <c r="AW125">
        <f>IF(VLOOKUP(AW$1,main!$A$3:$I$56,5,FALSE)-VLOOKUP($A125,main!$A$3:$I$56,6,FALSE)&gt;=VLOOKUP(57,main!$A$57:$I$59,4,FALSE)+VLOOKUP(VLOOKUP(AW$1,main!$A$3:$I$56,7,FALSE),main!$K$10:$Q$14,5,FALSE),1,0)</f>
        <v>0</v>
      </c>
      <c r="AX125">
        <f>IF(VLOOKUP(AX$1,main!$A$3:$I$56,5,FALSE)-VLOOKUP($A125,main!$A$3:$I$56,6,FALSE)&gt;=VLOOKUP(57,main!$A$57:$I$59,4,FALSE)+VLOOKUP(VLOOKUP(AX$1,main!$A$3:$I$56,7,FALSE),main!$K$10:$Q$14,5,FALSE),1,0)</f>
        <v>0</v>
      </c>
      <c r="AY125">
        <f>IF(VLOOKUP(AY$1,main!$A$3:$I$56,5,FALSE)-VLOOKUP($A125,main!$A$3:$I$56,6,FALSE)&gt;=VLOOKUP(57,main!$A$57:$I$59,4,FALSE)+VLOOKUP(VLOOKUP(AY$1,main!$A$3:$I$56,7,FALSE),main!$K$10:$Q$14,5,FALSE),1,0)</f>
        <v>0</v>
      </c>
      <c r="AZ125">
        <f>IF(VLOOKUP(AZ$1,main!$A$3:$I$56,5,FALSE)-VLOOKUP($A125,main!$A$3:$I$56,6,FALSE)&gt;=VLOOKUP(57,main!$A$57:$I$59,4,FALSE)+VLOOKUP(VLOOKUP(AZ$1,main!$A$3:$I$56,7,FALSE),main!$K$10:$Q$14,5,FALSE),1,0)</f>
        <v>0</v>
      </c>
      <c r="BA125">
        <f>IF(VLOOKUP(BA$1,main!$A$3:$I$56,5,FALSE)-VLOOKUP($A125,main!$A$3:$I$56,6,FALSE)&gt;=VLOOKUP(57,main!$A$57:$I$59,4,FALSE)+VLOOKUP(VLOOKUP(BA$1,main!$A$3:$I$56,7,FALSE),main!$K$10:$Q$14,5,FALSE),1,0)</f>
        <v>0</v>
      </c>
      <c r="BB125">
        <f>IF(VLOOKUP(BB$1,main!$A$3:$I$56,5,FALSE)-VLOOKUP($A125,main!$A$3:$I$56,6,FALSE)&gt;=VLOOKUP(57,main!$A$57:$I$59,4,FALSE)+VLOOKUP(VLOOKUP(BB$1,main!$A$3:$I$56,7,FALSE),main!$K$10:$Q$14,5,FALSE),1,0)</f>
        <v>0</v>
      </c>
      <c r="BC125">
        <f>IF(VLOOKUP(BC$1,main!$A$3:$I$56,5,FALSE)-VLOOKUP($A125,main!$A$3:$I$56,6,FALSE)&gt;=VLOOKUP(57,main!$A$57:$I$59,4,FALSE)+VLOOKUP(VLOOKUP(BC$1,main!$A$3:$I$56,7,FALSE),main!$K$10:$Q$14,5,FALSE),1,0)</f>
        <v>0</v>
      </c>
      <c r="BD125">
        <f>IF(VLOOKUP(BD$1,main!$A$3:$I$56,5,FALSE)-VLOOKUP($A125,main!$A$3:$I$56,6,FALSE)&gt;=VLOOKUP(57,main!$A$57:$I$59,4,FALSE)+VLOOKUP(VLOOKUP(BD$1,main!$A$3:$I$56,7,FALSE),main!$K$10:$Q$14,5,FALSE),1,0)</f>
        <v>0</v>
      </c>
    </row>
    <row r="126" spans="1:56" x14ac:dyDescent="0.25">
      <c r="A126">
        <f t="shared" si="2"/>
        <v>14</v>
      </c>
      <c r="B126">
        <v>0</v>
      </c>
      <c r="C126">
        <f>IF(VLOOKUP(C$1,main!$A$3:$I$56,5,FALSE)-VLOOKUP($A126,main!$A$3:$I$56,6,FALSE)&gt;=VLOOKUP(57,main!$A$57:$I$59,4,FALSE)+VLOOKUP(VLOOKUP(C$1,main!$A$3:$I$56,7,FALSE),main!$K$10:$Q$14,5,FALSE),1,0)</f>
        <v>0</v>
      </c>
      <c r="D126">
        <f>IF(VLOOKUP(D$1,main!$A$3:$I$56,5,FALSE)-VLOOKUP($A126,main!$A$3:$I$56,6,FALSE)&gt;=VLOOKUP(57,main!$A$57:$I$59,4,FALSE)+VLOOKUP(VLOOKUP(D$1,main!$A$3:$I$56,7,FALSE),main!$K$10:$Q$14,5,FALSE),1,0)</f>
        <v>0</v>
      </c>
      <c r="E126">
        <f>IF(VLOOKUP(E$1,main!$A$3:$I$56,5,FALSE)-VLOOKUP($A126,main!$A$3:$I$56,6,FALSE)&gt;=VLOOKUP(57,main!$A$57:$I$59,4,FALSE)+VLOOKUP(VLOOKUP(E$1,main!$A$3:$I$56,7,FALSE),main!$K$10:$Q$14,5,FALSE),1,0)</f>
        <v>0</v>
      </c>
      <c r="F126">
        <f>IF(VLOOKUP(F$1,main!$A$3:$I$56,5,FALSE)-VLOOKUP($A126,main!$A$3:$I$56,6,FALSE)&gt;=VLOOKUP(57,main!$A$57:$I$59,4,FALSE)+VLOOKUP(VLOOKUP(F$1,main!$A$3:$I$56,7,FALSE),main!$K$10:$Q$14,5,FALSE),1,0)</f>
        <v>1</v>
      </c>
      <c r="G126">
        <f>IF(VLOOKUP(G$1,main!$A$3:$I$56,5,FALSE)-VLOOKUP($A126,main!$A$3:$I$56,6,FALSE)&gt;=VLOOKUP(57,main!$A$57:$I$59,4,FALSE)+VLOOKUP(VLOOKUP(G$1,main!$A$3:$I$56,7,FALSE),main!$K$10:$Q$14,5,FALSE),1,0)</f>
        <v>1</v>
      </c>
      <c r="H126">
        <f>IF(VLOOKUP(H$1,main!$A$3:$I$56,5,FALSE)-VLOOKUP($A126,main!$A$3:$I$56,6,FALSE)&gt;=VLOOKUP(57,main!$A$57:$I$59,4,FALSE)+VLOOKUP(VLOOKUP(H$1,main!$A$3:$I$56,7,FALSE),main!$K$10:$Q$14,5,FALSE),1,0)</f>
        <v>1</v>
      </c>
      <c r="I126">
        <f>IF(VLOOKUP(I$1,main!$A$3:$I$56,5,FALSE)-VLOOKUP($A126,main!$A$3:$I$56,6,FALSE)&gt;=VLOOKUP(57,main!$A$57:$I$59,4,FALSE)+VLOOKUP(VLOOKUP(I$1,main!$A$3:$I$56,7,FALSE),main!$K$10:$Q$14,5,FALSE),1,0)</f>
        <v>1</v>
      </c>
      <c r="J126">
        <f>IF(VLOOKUP(J$1,main!$A$3:$I$56,5,FALSE)-VLOOKUP($A126,main!$A$3:$I$56,6,FALSE)&gt;=VLOOKUP(57,main!$A$57:$I$59,4,FALSE)+VLOOKUP(VLOOKUP(J$1,main!$A$3:$I$56,7,FALSE),main!$K$10:$Q$14,5,FALSE),1,0)</f>
        <v>1</v>
      </c>
      <c r="K126">
        <f>IF(VLOOKUP(K$1,main!$A$3:$I$56,5,FALSE)-VLOOKUP($A126,main!$A$3:$I$56,6,FALSE)&gt;=VLOOKUP(57,main!$A$57:$I$59,4,FALSE)+VLOOKUP(VLOOKUP(K$1,main!$A$3:$I$56,7,FALSE),main!$K$10:$Q$14,5,FALSE),1,0)</f>
        <v>0</v>
      </c>
      <c r="L126">
        <f>IF(VLOOKUP(L$1,main!$A$3:$I$56,5,FALSE)-VLOOKUP($A126,main!$A$3:$I$56,6,FALSE)&gt;=VLOOKUP(57,main!$A$57:$I$59,4,FALSE)+VLOOKUP(VLOOKUP(L$1,main!$A$3:$I$56,7,FALSE),main!$K$10:$Q$14,5,FALSE),1,0)</f>
        <v>0</v>
      </c>
      <c r="M126">
        <f>IF(VLOOKUP(M$1,main!$A$3:$I$56,5,FALSE)-VLOOKUP($A126,main!$A$3:$I$56,6,FALSE)&gt;=VLOOKUP(57,main!$A$57:$I$59,4,FALSE)+VLOOKUP(VLOOKUP(M$1,main!$A$3:$I$56,7,FALSE),main!$K$10:$Q$14,5,FALSE),1,0)</f>
        <v>0</v>
      </c>
      <c r="N126">
        <f>IF(VLOOKUP(N$1,main!$A$3:$I$56,5,FALSE)-VLOOKUP($A126,main!$A$3:$I$56,6,FALSE)&gt;=VLOOKUP(57,main!$A$57:$I$59,4,FALSE)+VLOOKUP(VLOOKUP(N$1,main!$A$3:$I$56,7,FALSE),main!$K$10:$Q$14,5,FALSE),1,0)</f>
        <v>1</v>
      </c>
      <c r="O126">
        <f>IF(VLOOKUP(O$1,main!$A$3:$I$56,5,FALSE)-VLOOKUP($A126,main!$A$3:$I$56,6,FALSE)&gt;=VLOOKUP(57,main!$A$57:$I$59,4,FALSE)+VLOOKUP(VLOOKUP(O$1,main!$A$3:$I$56,7,FALSE),main!$K$10:$Q$14,5,FALSE),1,0)</f>
        <v>1</v>
      </c>
      <c r="P126">
        <f>IF(VLOOKUP(P$1,main!$A$3:$I$56,5,FALSE)-VLOOKUP($A126,main!$A$3:$I$56,6,FALSE)&gt;=VLOOKUP(57,main!$A$57:$I$59,4,FALSE)+VLOOKUP(VLOOKUP(P$1,main!$A$3:$I$56,7,FALSE),main!$K$10:$Q$14,5,FALSE),1,0)</f>
        <v>0</v>
      </c>
      <c r="Q126">
        <f>IF(VLOOKUP(Q$1,main!$A$3:$I$56,5,FALSE)-VLOOKUP($A126,main!$A$3:$I$56,6,FALSE)&gt;=VLOOKUP(57,main!$A$57:$I$59,4,FALSE)+VLOOKUP(VLOOKUP(Q$1,main!$A$3:$I$56,7,FALSE),main!$K$10:$Q$14,5,FALSE),1,0)</f>
        <v>0</v>
      </c>
      <c r="R126">
        <f>IF(VLOOKUP(R$1,main!$A$3:$I$56,5,FALSE)-VLOOKUP($A126,main!$A$3:$I$56,6,FALSE)&gt;=VLOOKUP(57,main!$A$57:$I$59,4,FALSE)+VLOOKUP(VLOOKUP(R$1,main!$A$3:$I$56,7,FALSE),main!$K$10:$Q$14,5,FALSE),1,0)</f>
        <v>0</v>
      </c>
      <c r="S126">
        <f>IF(VLOOKUP(S$1,main!$A$3:$I$56,5,FALSE)-VLOOKUP($A126,main!$A$3:$I$56,6,FALSE)&gt;=VLOOKUP(57,main!$A$57:$I$59,4,FALSE)+VLOOKUP(VLOOKUP(S$1,main!$A$3:$I$56,7,FALSE),main!$K$10:$Q$14,5,FALSE),1,0)</f>
        <v>1</v>
      </c>
      <c r="T126">
        <f>IF(VLOOKUP(T$1,main!$A$3:$I$56,5,FALSE)-VLOOKUP($A126,main!$A$3:$I$56,6,FALSE)&gt;=VLOOKUP(57,main!$A$57:$I$59,4,FALSE)+VLOOKUP(VLOOKUP(T$1,main!$A$3:$I$56,7,FALSE),main!$K$10:$Q$14,5,FALSE),1,0)</f>
        <v>1</v>
      </c>
      <c r="U126">
        <f>IF(VLOOKUP(U$1,main!$A$3:$I$56,5,FALSE)-VLOOKUP($A126,main!$A$3:$I$56,6,FALSE)&gt;=VLOOKUP(57,main!$A$57:$I$59,4,FALSE)+VLOOKUP(VLOOKUP(U$1,main!$A$3:$I$56,7,FALSE),main!$K$10:$Q$14,5,FALSE),1,0)</f>
        <v>0</v>
      </c>
      <c r="V126">
        <f>IF(VLOOKUP(V$1,main!$A$3:$I$56,5,FALSE)-VLOOKUP($A126,main!$A$3:$I$56,6,FALSE)&gt;=VLOOKUP(57,main!$A$57:$I$59,4,FALSE)+VLOOKUP(VLOOKUP(V$1,main!$A$3:$I$56,7,FALSE),main!$K$10:$Q$14,5,FALSE),1,0)</f>
        <v>0</v>
      </c>
      <c r="W126">
        <f>IF(VLOOKUP(W$1,main!$A$3:$I$56,5,FALSE)-VLOOKUP($A126,main!$A$3:$I$56,6,FALSE)&gt;=VLOOKUP(57,main!$A$57:$I$59,4,FALSE)+VLOOKUP(VLOOKUP(W$1,main!$A$3:$I$56,7,FALSE),main!$K$10:$Q$14,5,FALSE),1,0)</f>
        <v>0</v>
      </c>
      <c r="X126">
        <f>IF(VLOOKUP(X$1,main!$A$3:$I$56,5,FALSE)-VLOOKUP($A126,main!$A$3:$I$56,6,FALSE)&gt;=VLOOKUP(57,main!$A$57:$I$59,4,FALSE)+VLOOKUP(VLOOKUP(X$1,main!$A$3:$I$56,7,FALSE),main!$K$10:$Q$14,5,FALSE),1,0)</f>
        <v>1</v>
      </c>
      <c r="Y126">
        <f>IF(VLOOKUP(Y$1,main!$A$3:$I$56,5,FALSE)-VLOOKUP($A126,main!$A$3:$I$56,6,FALSE)&gt;=VLOOKUP(57,main!$A$57:$I$59,4,FALSE)+VLOOKUP(VLOOKUP(Y$1,main!$A$3:$I$56,7,FALSE),main!$K$10:$Q$14,5,FALSE),1,0)</f>
        <v>1</v>
      </c>
      <c r="Z126">
        <f>IF(VLOOKUP(Z$1,main!$A$3:$I$56,5,FALSE)-VLOOKUP($A126,main!$A$3:$I$56,6,FALSE)&gt;=VLOOKUP(57,main!$A$57:$I$59,4,FALSE)+VLOOKUP(VLOOKUP(Z$1,main!$A$3:$I$56,7,FALSE),main!$K$10:$Q$14,5,FALSE),1,0)</f>
        <v>1</v>
      </c>
      <c r="AA126">
        <f>IF(VLOOKUP(AA$1,main!$A$3:$I$56,5,FALSE)-VLOOKUP($A126,main!$A$3:$I$56,6,FALSE)&gt;=VLOOKUP(57,main!$A$57:$I$59,4,FALSE)+VLOOKUP(VLOOKUP(AA$1,main!$A$3:$I$56,7,FALSE),main!$K$10:$Q$14,5,FALSE),1,0)</f>
        <v>1</v>
      </c>
      <c r="AB126">
        <f>IF(VLOOKUP(AB$1,main!$A$3:$I$56,5,FALSE)-VLOOKUP($A126,main!$A$3:$I$56,6,FALSE)&gt;=VLOOKUP(57,main!$A$57:$I$59,4,FALSE)+VLOOKUP(VLOOKUP(AB$1,main!$A$3:$I$56,7,FALSE),main!$K$10:$Q$14,5,FALSE),1,0)</f>
        <v>1</v>
      </c>
      <c r="AC126">
        <f>IF(VLOOKUP(AC$1,main!$A$3:$I$56,5,FALSE)-VLOOKUP($A126,main!$A$3:$I$56,6,FALSE)&gt;=VLOOKUP(57,main!$A$57:$I$59,4,FALSE)+VLOOKUP(VLOOKUP(AC$1,main!$A$3:$I$56,7,FALSE),main!$K$10:$Q$14,5,FALSE),1,0)</f>
        <v>0</v>
      </c>
      <c r="AD126">
        <f>IF(VLOOKUP(AD$1,main!$A$3:$I$56,5,FALSE)-VLOOKUP($A126,main!$A$3:$I$56,6,FALSE)&gt;=VLOOKUP(57,main!$A$57:$I$59,4,FALSE)+VLOOKUP(VLOOKUP(AD$1,main!$A$3:$I$56,7,FALSE),main!$K$10:$Q$14,5,FALSE),1,0)</f>
        <v>0</v>
      </c>
      <c r="AE126">
        <f>IF(VLOOKUP(AE$1,main!$A$3:$I$56,5,FALSE)-VLOOKUP($A126,main!$A$3:$I$56,6,FALSE)&gt;=VLOOKUP(57,main!$A$57:$I$59,4,FALSE)+VLOOKUP(VLOOKUP(AE$1,main!$A$3:$I$56,7,FALSE),main!$K$10:$Q$14,5,FALSE),1,0)</f>
        <v>1</v>
      </c>
      <c r="AF126">
        <f>IF(VLOOKUP(AF$1,main!$A$3:$I$56,5,FALSE)-VLOOKUP($A126,main!$A$3:$I$56,6,FALSE)&gt;=VLOOKUP(57,main!$A$57:$I$59,4,FALSE)+VLOOKUP(VLOOKUP(AF$1,main!$A$3:$I$56,7,FALSE),main!$K$10:$Q$14,5,FALSE),1,0)</f>
        <v>1</v>
      </c>
      <c r="AG126">
        <f>IF(VLOOKUP(AG$1,main!$A$3:$I$56,5,FALSE)-VLOOKUP($A126,main!$A$3:$I$56,6,FALSE)&gt;=VLOOKUP(57,main!$A$57:$I$59,4,FALSE)+VLOOKUP(VLOOKUP(AG$1,main!$A$3:$I$56,7,FALSE),main!$K$10:$Q$14,5,FALSE),1,0)</f>
        <v>0</v>
      </c>
      <c r="AH126">
        <f>IF(VLOOKUP(AH$1,main!$A$3:$I$56,5,FALSE)-VLOOKUP($A126,main!$A$3:$I$56,6,FALSE)&gt;=VLOOKUP(57,main!$A$57:$I$59,4,FALSE)+VLOOKUP(VLOOKUP(AH$1,main!$A$3:$I$56,7,FALSE),main!$K$10:$Q$14,5,FALSE),1,0)</f>
        <v>0</v>
      </c>
      <c r="AI126">
        <f>IF(VLOOKUP(AI$1,main!$A$3:$I$56,5,FALSE)-VLOOKUP($A126,main!$A$3:$I$56,6,FALSE)&gt;=VLOOKUP(57,main!$A$57:$I$59,4,FALSE)+VLOOKUP(VLOOKUP(AI$1,main!$A$3:$I$56,7,FALSE),main!$K$10:$Q$14,5,FALSE),1,0)</f>
        <v>0</v>
      </c>
      <c r="AJ126">
        <f>IF(VLOOKUP(AJ$1,main!$A$3:$I$56,5,FALSE)-VLOOKUP($A126,main!$A$3:$I$56,6,FALSE)&gt;=VLOOKUP(57,main!$A$57:$I$59,4,FALSE)+VLOOKUP(VLOOKUP(AJ$1,main!$A$3:$I$56,7,FALSE),main!$K$10:$Q$14,5,FALSE),1,0)</f>
        <v>1</v>
      </c>
      <c r="AK126">
        <f>IF(VLOOKUP(AK$1,main!$A$3:$I$56,5,FALSE)-VLOOKUP($A126,main!$A$3:$I$56,6,FALSE)&gt;=VLOOKUP(57,main!$A$57:$I$59,4,FALSE)+VLOOKUP(VLOOKUP(AK$1,main!$A$3:$I$56,7,FALSE),main!$K$10:$Q$14,5,FALSE),1,0)</f>
        <v>1</v>
      </c>
      <c r="AL126">
        <f>IF(VLOOKUP(AL$1,main!$A$3:$I$56,5,FALSE)-VLOOKUP($A126,main!$A$3:$I$56,6,FALSE)&gt;=VLOOKUP(57,main!$A$57:$I$59,4,FALSE)+VLOOKUP(VLOOKUP(AL$1,main!$A$3:$I$56,7,FALSE),main!$K$10:$Q$14,5,FALSE),1,0)</f>
        <v>0</v>
      </c>
      <c r="AM126">
        <f>IF(VLOOKUP(AM$1,main!$A$3:$I$56,5,FALSE)-VLOOKUP($A126,main!$A$3:$I$56,6,FALSE)&gt;=VLOOKUP(57,main!$A$57:$I$59,4,FALSE)+VLOOKUP(VLOOKUP(AM$1,main!$A$3:$I$56,7,FALSE),main!$K$10:$Q$14,5,FALSE),1,0)</f>
        <v>0</v>
      </c>
      <c r="AN126">
        <f>IF(VLOOKUP(AN$1,main!$A$3:$I$56,5,FALSE)-VLOOKUP($A126,main!$A$3:$I$56,6,FALSE)&gt;=VLOOKUP(57,main!$A$57:$I$59,4,FALSE)+VLOOKUP(VLOOKUP(AN$1,main!$A$3:$I$56,7,FALSE),main!$K$10:$Q$14,5,FALSE),1,0)</f>
        <v>0</v>
      </c>
      <c r="AO126">
        <f>IF(VLOOKUP(AO$1,main!$A$3:$I$56,5,FALSE)-VLOOKUP($A126,main!$A$3:$I$56,6,FALSE)&gt;=VLOOKUP(57,main!$A$57:$I$59,4,FALSE)+VLOOKUP(VLOOKUP(AO$1,main!$A$3:$I$56,7,FALSE),main!$K$10:$Q$14,5,FALSE),1,0)</f>
        <v>1</v>
      </c>
      <c r="AP126">
        <f>IF(VLOOKUP(AP$1,main!$A$3:$I$56,5,FALSE)-VLOOKUP($A126,main!$A$3:$I$56,6,FALSE)&gt;=VLOOKUP(57,main!$A$57:$I$59,4,FALSE)+VLOOKUP(VLOOKUP(AP$1,main!$A$3:$I$56,7,FALSE),main!$K$10:$Q$14,5,FALSE),1,0)</f>
        <v>0</v>
      </c>
      <c r="AQ126">
        <f>IF(VLOOKUP(AQ$1,main!$A$3:$I$56,5,FALSE)-VLOOKUP($A126,main!$A$3:$I$56,6,FALSE)&gt;=VLOOKUP(57,main!$A$57:$I$59,4,FALSE)+VLOOKUP(VLOOKUP(AQ$1,main!$A$3:$I$56,7,FALSE),main!$K$10:$Q$14,5,FALSE),1,0)</f>
        <v>0</v>
      </c>
      <c r="AR126">
        <f>IF(VLOOKUP(AR$1,main!$A$3:$I$56,5,FALSE)-VLOOKUP($A126,main!$A$3:$I$56,6,FALSE)&gt;=VLOOKUP(57,main!$A$57:$I$59,4,FALSE)+VLOOKUP(VLOOKUP(AR$1,main!$A$3:$I$56,7,FALSE),main!$K$10:$Q$14,5,FALSE),1,0)</f>
        <v>0</v>
      </c>
      <c r="AS126">
        <f>IF(VLOOKUP(AS$1,main!$A$3:$I$56,5,FALSE)-VLOOKUP($A126,main!$A$3:$I$56,6,FALSE)&gt;=VLOOKUP(57,main!$A$57:$I$59,4,FALSE)+VLOOKUP(VLOOKUP(AS$1,main!$A$3:$I$56,7,FALSE),main!$K$10:$Q$14,5,FALSE),1,0)</f>
        <v>0</v>
      </c>
      <c r="AT126">
        <f>IF(VLOOKUP(AT$1,main!$A$3:$I$56,5,FALSE)-VLOOKUP($A126,main!$A$3:$I$56,6,FALSE)&gt;=VLOOKUP(57,main!$A$57:$I$59,4,FALSE)+VLOOKUP(VLOOKUP(AT$1,main!$A$3:$I$56,7,FALSE),main!$K$10:$Q$14,5,FALSE),1,0)</f>
        <v>0</v>
      </c>
      <c r="AU126">
        <f>IF(VLOOKUP(AU$1,main!$A$3:$I$56,5,FALSE)-VLOOKUP($A126,main!$A$3:$I$56,6,FALSE)&gt;=VLOOKUP(57,main!$A$57:$I$59,4,FALSE)+VLOOKUP(VLOOKUP(AU$1,main!$A$3:$I$56,7,FALSE),main!$K$10:$Q$14,5,FALSE),1,0)</f>
        <v>0</v>
      </c>
      <c r="AV126">
        <f>IF(VLOOKUP(AV$1,main!$A$3:$I$56,5,FALSE)-VLOOKUP($A126,main!$A$3:$I$56,6,FALSE)&gt;=VLOOKUP(57,main!$A$57:$I$59,4,FALSE)+VLOOKUP(VLOOKUP(AV$1,main!$A$3:$I$56,7,FALSE),main!$K$10:$Q$14,5,FALSE),1,0)</f>
        <v>0</v>
      </c>
      <c r="AW126">
        <f>IF(VLOOKUP(AW$1,main!$A$3:$I$56,5,FALSE)-VLOOKUP($A126,main!$A$3:$I$56,6,FALSE)&gt;=VLOOKUP(57,main!$A$57:$I$59,4,FALSE)+VLOOKUP(VLOOKUP(AW$1,main!$A$3:$I$56,7,FALSE),main!$K$10:$Q$14,5,FALSE),1,0)</f>
        <v>0</v>
      </c>
      <c r="AX126">
        <f>IF(VLOOKUP(AX$1,main!$A$3:$I$56,5,FALSE)-VLOOKUP($A126,main!$A$3:$I$56,6,FALSE)&gt;=VLOOKUP(57,main!$A$57:$I$59,4,FALSE)+VLOOKUP(VLOOKUP(AX$1,main!$A$3:$I$56,7,FALSE),main!$K$10:$Q$14,5,FALSE),1,0)</f>
        <v>1</v>
      </c>
      <c r="AY126">
        <f>IF(VLOOKUP(AY$1,main!$A$3:$I$56,5,FALSE)-VLOOKUP($A126,main!$A$3:$I$56,6,FALSE)&gt;=VLOOKUP(57,main!$A$57:$I$59,4,FALSE)+VLOOKUP(VLOOKUP(AY$1,main!$A$3:$I$56,7,FALSE),main!$K$10:$Q$14,5,FALSE),1,0)</f>
        <v>1</v>
      </c>
      <c r="AZ126">
        <f>IF(VLOOKUP(AZ$1,main!$A$3:$I$56,5,FALSE)-VLOOKUP($A126,main!$A$3:$I$56,6,FALSE)&gt;=VLOOKUP(57,main!$A$57:$I$59,4,FALSE)+VLOOKUP(VLOOKUP(AZ$1,main!$A$3:$I$56,7,FALSE),main!$K$10:$Q$14,5,FALSE),1,0)</f>
        <v>0</v>
      </c>
      <c r="BA126">
        <f>IF(VLOOKUP(BA$1,main!$A$3:$I$56,5,FALSE)-VLOOKUP($A126,main!$A$3:$I$56,6,FALSE)&gt;=VLOOKUP(57,main!$A$57:$I$59,4,FALSE)+VLOOKUP(VLOOKUP(BA$1,main!$A$3:$I$56,7,FALSE),main!$K$10:$Q$14,5,FALSE),1,0)</f>
        <v>0</v>
      </c>
      <c r="BB126">
        <f>IF(VLOOKUP(BB$1,main!$A$3:$I$56,5,FALSE)-VLOOKUP($A126,main!$A$3:$I$56,6,FALSE)&gt;=VLOOKUP(57,main!$A$57:$I$59,4,FALSE)+VLOOKUP(VLOOKUP(BB$1,main!$A$3:$I$56,7,FALSE),main!$K$10:$Q$14,5,FALSE),1,0)</f>
        <v>0</v>
      </c>
      <c r="BC126">
        <f>IF(VLOOKUP(BC$1,main!$A$3:$I$56,5,FALSE)-VLOOKUP($A126,main!$A$3:$I$56,6,FALSE)&gt;=VLOOKUP(57,main!$A$57:$I$59,4,FALSE)+VLOOKUP(VLOOKUP(BC$1,main!$A$3:$I$56,7,FALSE),main!$K$10:$Q$14,5,FALSE),1,0)</f>
        <v>1</v>
      </c>
      <c r="BD126">
        <f>IF(VLOOKUP(BD$1,main!$A$3:$I$56,5,FALSE)-VLOOKUP($A126,main!$A$3:$I$56,6,FALSE)&gt;=VLOOKUP(57,main!$A$57:$I$59,4,FALSE)+VLOOKUP(VLOOKUP(BD$1,main!$A$3:$I$56,7,FALSE),main!$K$10:$Q$14,5,FALSE),1,0)</f>
        <v>1</v>
      </c>
    </row>
    <row r="127" spans="1:56" x14ac:dyDescent="0.25">
      <c r="A127">
        <f t="shared" si="2"/>
        <v>15</v>
      </c>
      <c r="B127">
        <v>0</v>
      </c>
      <c r="C127">
        <f>IF(VLOOKUP(C$1,main!$A$3:$I$56,5,FALSE)-VLOOKUP($A127,main!$A$3:$I$56,6,FALSE)&gt;=VLOOKUP(57,main!$A$57:$I$59,4,FALSE)+VLOOKUP(VLOOKUP(C$1,main!$A$3:$I$56,7,FALSE),main!$K$10:$Q$14,5,FALSE),1,0)</f>
        <v>0</v>
      </c>
      <c r="D127">
        <f>IF(VLOOKUP(D$1,main!$A$3:$I$56,5,FALSE)-VLOOKUP($A127,main!$A$3:$I$56,6,FALSE)&gt;=VLOOKUP(57,main!$A$57:$I$59,4,FALSE)+VLOOKUP(VLOOKUP(D$1,main!$A$3:$I$56,7,FALSE),main!$K$10:$Q$14,5,FALSE),1,0)</f>
        <v>0</v>
      </c>
      <c r="E127">
        <f>IF(VLOOKUP(E$1,main!$A$3:$I$56,5,FALSE)-VLOOKUP($A127,main!$A$3:$I$56,6,FALSE)&gt;=VLOOKUP(57,main!$A$57:$I$59,4,FALSE)+VLOOKUP(VLOOKUP(E$1,main!$A$3:$I$56,7,FALSE),main!$K$10:$Q$14,5,FALSE),1,0)</f>
        <v>0</v>
      </c>
      <c r="F127">
        <f>IF(VLOOKUP(F$1,main!$A$3:$I$56,5,FALSE)-VLOOKUP($A127,main!$A$3:$I$56,6,FALSE)&gt;=VLOOKUP(57,main!$A$57:$I$59,4,FALSE)+VLOOKUP(VLOOKUP(F$1,main!$A$3:$I$56,7,FALSE),main!$K$10:$Q$14,5,FALSE),1,0)</f>
        <v>0</v>
      </c>
      <c r="G127">
        <f>IF(VLOOKUP(G$1,main!$A$3:$I$56,5,FALSE)-VLOOKUP($A127,main!$A$3:$I$56,6,FALSE)&gt;=VLOOKUP(57,main!$A$57:$I$59,4,FALSE)+VLOOKUP(VLOOKUP(G$1,main!$A$3:$I$56,7,FALSE),main!$K$10:$Q$14,5,FALSE),1,0)</f>
        <v>1</v>
      </c>
      <c r="H127">
        <f>IF(VLOOKUP(H$1,main!$A$3:$I$56,5,FALSE)-VLOOKUP($A127,main!$A$3:$I$56,6,FALSE)&gt;=VLOOKUP(57,main!$A$57:$I$59,4,FALSE)+VLOOKUP(VLOOKUP(H$1,main!$A$3:$I$56,7,FALSE),main!$K$10:$Q$14,5,FALSE),1,0)</f>
        <v>1</v>
      </c>
      <c r="I127">
        <f>IF(VLOOKUP(I$1,main!$A$3:$I$56,5,FALSE)-VLOOKUP($A127,main!$A$3:$I$56,6,FALSE)&gt;=VLOOKUP(57,main!$A$57:$I$59,4,FALSE)+VLOOKUP(VLOOKUP(I$1,main!$A$3:$I$56,7,FALSE),main!$K$10:$Q$14,5,FALSE),1,0)</f>
        <v>1</v>
      </c>
      <c r="J127">
        <f>IF(VLOOKUP(J$1,main!$A$3:$I$56,5,FALSE)-VLOOKUP($A127,main!$A$3:$I$56,6,FALSE)&gt;=VLOOKUP(57,main!$A$57:$I$59,4,FALSE)+VLOOKUP(VLOOKUP(J$1,main!$A$3:$I$56,7,FALSE),main!$K$10:$Q$14,5,FALSE),1,0)</f>
        <v>1</v>
      </c>
      <c r="K127">
        <f>IF(VLOOKUP(K$1,main!$A$3:$I$56,5,FALSE)-VLOOKUP($A127,main!$A$3:$I$56,6,FALSE)&gt;=VLOOKUP(57,main!$A$57:$I$59,4,FALSE)+VLOOKUP(VLOOKUP(K$1,main!$A$3:$I$56,7,FALSE),main!$K$10:$Q$14,5,FALSE),1,0)</f>
        <v>0</v>
      </c>
      <c r="L127">
        <f>IF(VLOOKUP(L$1,main!$A$3:$I$56,5,FALSE)-VLOOKUP($A127,main!$A$3:$I$56,6,FALSE)&gt;=VLOOKUP(57,main!$A$57:$I$59,4,FALSE)+VLOOKUP(VLOOKUP(L$1,main!$A$3:$I$56,7,FALSE),main!$K$10:$Q$14,5,FALSE),1,0)</f>
        <v>0</v>
      </c>
      <c r="M127">
        <f>IF(VLOOKUP(M$1,main!$A$3:$I$56,5,FALSE)-VLOOKUP($A127,main!$A$3:$I$56,6,FALSE)&gt;=VLOOKUP(57,main!$A$57:$I$59,4,FALSE)+VLOOKUP(VLOOKUP(M$1,main!$A$3:$I$56,7,FALSE),main!$K$10:$Q$14,5,FALSE),1,0)</f>
        <v>0</v>
      </c>
      <c r="N127">
        <f>IF(VLOOKUP(N$1,main!$A$3:$I$56,5,FALSE)-VLOOKUP($A127,main!$A$3:$I$56,6,FALSE)&gt;=VLOOKUP(57,main!$A$57:$I$59,4,FALSE)+VLOOKUP(VLOOKUP(N$1,main!$A$3:$I$56,7,FALSE),main!$K$10:$Q$14,5,FALSE),1,0)</f>
        <v>1</v>
      </c>
      <c r="O127">
        <f>IF(VLOOKUP(O$1,main!$A$3:$I$56,5,FALSE)-VLOOKUP($A127,main!$A$3:$I$56,6,FALSE)&gt;=VLOOKUP(57,main!$A$57:$I$59,4,FALSE)+VLOOKUP(VLOOKUP(O$1,main!$A$3:$I$56,7,FALSE),main!$K$10:$Q$14,5,FALSE),1,0)</f>
        <v>1</v>
      </c>
      <c r="P127">
        <f>IF(VLOOKUP(P$1,main!$A$3:$I$56,5,FALSE)-VLOOKUP($A127,main!$A$3:$I$56,6,FALSE)&gt;=VLOOKUP(57,main!$A$57:$I$59,4,FALSE)+VLOOKUP(VLOOKUP(P$1,main!$A$3:$I$56,7,FALSE),main!$K$10:$Q$14,5,FALSE),1,0)</f>
        <v>0</v>
      </c>
      <c r="Q127">
        <f>IF(VLOOKUP(Q$1,main!$A$3:$I$56,5,FALSE)-VLOOKUP($A127,main!$A$3:$I$56,6,FALSE)&gt;=VLOOKUP(57,main!$A$57:$I$59,4,FALSE)+VLOOKUP(VLOOKUP(Q$1,main!$A$3:$I$56,7,FALSE),main!$K$10:$Q$14,5,FALSE),1,0)</f>
        <v>0</v>
      </c>
      <c r="R127">
        <f>IF(VLOOKUP(R$1,main!$A$3:$I$56,5,FALSE)-VLOOKUP($A127,main!$A$3:$I$56,6,FALSE)&gt;=VLOOKUP(57,main!$A$57:$I$59,4,FALSE)+VLOOKUP(VLOOKUP(R$1,main!$A$3:$I$56,7,FALSE),main!$K$10:$Q$14,5,FALSE),1,0)</f>
        <v>0</v>
      </c>
      <c r="S127">
        <f>IF(VLOOKUP(S$1,main!$A$3:$I$56,5,FALSE)-VLOOKUP($A127,main!$A$3:$I$56,6,FALSE)&gt;=VLOOKUP(57,main!$A$57:$I$59,4,FALSE)+VLOOKUP(VLOOKUP(S$1,main!$A$3:$I$56,7,FALSE),main!$K$10:$Q$14,5,FALSE),1,0)</f>
        <v>1</v>
      </c>
      <c r="T127">
        <f>IF(VLOOKUP(T$1,main!$A$3:$I$56,5,FALSE)-VLOOKUP($A127,main!$A$3:$I$56,6,FALSE)&gt;=VLOOKUP(57,main!$A$57:$I$59,4,FALSE)+VLOOKUP(VLOOKUP(T$1,main!$A$3:$I$56,7,FALSE),main!$K$10:$Q$14,5,FALSE),1,0)</f>
        <v>1</v>
      </c>
      <c r="U127">
        <f>IF(VLOOKUP(U$1,main!$A$3:$I$56,5,FALSE)-VLOOKUP($A127,main!$A$3:$I$56,6,FALSE)&gt;=VLOOKUP(57,main!$A$57:$I$59,4,FALSE)+VLOOKUP(VLOOKUP(U$1,main!$A$3:$I$56,7,FALSE),main!$K$10:$Q$14,5,FALSE),1,0)</f>
        <v>0</v>
      </c>
      <c r="V127">
        <f>IF(VLOOKUP(V$1,main!$A$3:$I$56,5,FALSE)-VLOOKUP($A127,main!$A$3:$I$56,6,FALSE)&gt;=VLOOKUP(57,main!$A$57:$I$59,4,FALSE)+VLOOKUP(VLOOKUP(V$1,main!$A$3:$I$56,7,FALSE),main!$K$10:$Q$14,5,FALSE),1,0)</f>
        <v>0</v>
      </c>
      <c r="W127">
        <f>IF(VLOOKUP(W$1,main!$A$3:$I$56,5,FALSE)-VLOOKUP($A127,main!$A$3:$I$56,6,FALSE)&gt;=VLOOKUP(57,main!$A$57:$I$59,4,FALSE)+VLOOKUP(VLOOKUP(W$1,main!$A$3:$I$56,7,FALSE),main!$K$10:$Q$14,5,FALSE),1,0)</f>
        <v>0</v>
      </c>
      <c r="X127">
        <f>IF(VLOOKUP(X$1,main!$A$3:$I$56,5,FALSE)-VLOOKUP($A127,main!$A$3:$I$56,6,FALSE)&gt;=VLOOKUP(57,main!$A$57:$I$59,4,FALSE)+VLOOKUP(VLOOKUP(X$1,main!$A$3:$I$56,7,FALSE),main!$K$10:$Q$14,5,FALSE),1,0)</f>
        <v>0</v>
      </c>
      <c r="Y127">
        <f>IF(VLOOKUP(Y$1,main!$A$3:$I$56,5,FALSE)-VLOOKUP($A127,main!$A$3:$I$56,6,FALSE)&gt;=VLOOKUP(57,main!$A$57:$I$59,4,FALSE)+VLOOKUP(VLOOKUP(Y$1,main!$A$3:$I$56,7,FALSE),main!$K$10:$Q$14,5,FALSE),1,0)</f>
        <v>1</v>
      </c>
      <c r="Z127">
        <f>IF(VLOOKUP(Z$1,main!$A$3:$I$56,5,FALSE)-VLOOKUP($A127,main!$A$3:$I$56,6,FALSE)&gt;=VLOOKUP(57,main!$A$57:$I$59,4,FALSE)+VLOOKUP(VLOOKUP(Z$1,main!$A$3:$I$56,7,FALSE),main!$K$10:$Q$14,5,FALSE),1,0)</f>
        <v>1</v>
      </c>
      <c r="AA127">
        <f>IF(VLOOKUP(AA$1,main!$A$3:$I$56,5,FALSE)-VLOOKUP($A127,main!$A$3:$I$56,6,FALSE)&gt;=VLOOKUP(57,main!$A$57:$I$59,4,FALSE)+VLOOKUP(VLOOKUP(AA$1,main!$A$3:$I$56,7,FALSE),main!$K$10:$Q$14,5,FALSE),1,0)</f>
        <v>1</v>
      </c>
      <c r="AB127">
        <f>IF(VLOOKUP(AB$1,main!$A$3:$I$56,5,FALSE)-VLOOKUP($A127,main!$A$3:$I$56,6,FALSE)&gt;=VLOOKUP(57,main!$A$57:$I$59,4,FALSE)+VLOOKUP(VLOOKUP(AB$1,main!$A$3:$I$56,7,FALSE),main!$K$10:$Q$14,5,FALSE),1,0)</f>
        <v>1</v>
      </c>
      <c r="AC127">
        <f>IF(VLOOKUP(AC$1,main!$A$3:$I$56,5,FALSE)-VLOOKUP($A127,main!$A$3:$I$56,6,FALSE)&gt;=VLOOKUP(57,main!$A$57:$I$59,4,FALSE)+VLOOKUP(VLOOKUP(AC$1,main!$A$3:$I$56,7,FALSE),main!$K$10:$Q$14,5,FALSE),1,0)</f>
        <v>0</v>
      </c>
      <c r="AD127">
        <f>IF(VLOOKUP(AD$1,main!$A$3:$I$56,5,FALSE)-VLOOKUP($A127,main!$A$3:$I$56,6,FALSE)&gt;=VLOOKUP(57,main!$A$57:$I$59,4,FALSE)+VLOOKUP(VLOOKUP(AD$1,main!$A$3:$I$56,7,FALSE),main!$K$10:$Q$14,5,FALSE),1,0)</f>
        <v>0</v>
      </c>
      <c r="AE127">
        <f>IF(VLOOKUP(AE$1,main!$A$3:$I$56,5,FALSE)-VLOOKUP($A127,main!$A$3:$I$56,6,FALSE)&gt;=VLOOKUP(57,main!$A$57:$I$59,4,FALSE)+VLOOKUP(VLOOKUP(AE$1,main!$A$3:$I$56,7,FALSE),main!$K$10:$Q$14,5,FALSE),1,0)</f>
        <v>0</v>
      </c>
      <c r="AF127">
        <f>IF(VLOOKUP(AF$1,main!$A$3:$I$56,5,FALSE)-VLOOKUP($A127,main!$A$3:$I$56,6,FALSE)&gt;=VLOOKUP(57,main!$A$57:$I$59,4,FALSE)+VLOOKUP(VLOOKUP(AF$1,main!$A$3:$I$56,7,FALSE),main!$K$10:$Q$14,5,FALSE),1,0)</f>
        <v>1</v>
      </c>
      <c r="AG127">
        <f>IF(VLOOKUP(AG$1,main!$A$3:$I$56,5,FALSE)-VLOOKUP($A127,main!$A$3:$I$56,6,FALSE)&gt;=VLOOKUP(57,main!$A$57:$I$59,4,FALSE)+VLOOKUP(VLOOKUP(AG$1,main!$A$3:$I$56,7,FALSE),main!$K$10:$Q$14,5,FALSE),1,0)</f>
        <v>0</v>
      </c>
      <c r="AH127">
        <f>IF(VLOOKUP(AH$1,main!$A$3:$I$56,5,FALSE)-VLOOKUP($A127,main!$A$3:$I$56,6,FALSE)&gt;=VLOOKUP(57,main!$A$57:$I$59,4,FALSE)+VLOOKUP(VLOOKUP(AH$1,main!$A$3:$I$56,7,FALSE),main!$K$10:$Q$14,5,FALSE),1,0)</f>
        <v>0</v>
      </c>
      <c r="AI127">
        <f>IF(VLOOKUP(AI$1,main!$A$3:$I$56,5,FALSE)-VLOOKUP($A127,main!$A$3:$I$56,6,FALSE)&gt;=VLOOKUP(57,main!$A$57:$I$59,4,FALSE)+VLOOKUP(VLOOKUP(AI$1,main!$A$3:$I$56,7,FALSE),main!$K$10:$Q$14,5,FALSE),1,0)</f>
        <v>0</v>
      </c>
      <c r="AJ127">
        <f>IF(VLOOKUP(AJ$1,main!$A$3:$I$56,5,FALSE)-VLOOKUP($A127,main!$A$3:$I$56,6,FALSE)&gt;=VLOOKUP(57,main!$A$57:$I$59,4,FALSE)+VLOOKUP(VLOOKUP(AJ$1,main!$A$3:$I$56,7,FALSE),main!$K$10:$Q$14,5,FALSE),1,0)</f>
        <v>0</v>
      </c>
      <c r="AK127">
        <f>IF(VLOOKUP(AK$1,main!$A$3:$I$56,5,FALSE)-VLOOKUP($A127,main!$A$3:$I$56,6,FALSE)&gt;=VLOOKUP(57,main!$A$57:$I$59,4,FALSE)+VLOOKUP(VLOOKUP(AK$1,main!$A$3:$I$56,7,FALSE),main!$K$10:$Q$14,5,FALSE),1,0)</f>
        <v>1</v>
      </c>
      <c r="AL127">
        <f>IF(VLOOKUP(AL$1,main!$A$3:$I$56,5,FALSE)-VLOOKUP($A127,main!$A$3:$I$56,6,FALSE)&gt;=VLOOKUP(57,main!$A$57:$I$59,4,FALSE)+VLOOKUP(VLOOKUP(AL$1,main!$A$3:$I$56,7,FALSE),main!$K$10:$Q$14,5,FALSE),1,0)</f>
        <v>0</v>
      </c>
      <c r="AM127">
        <f>IF(VLOOKUP(AM$1,main!$A$3:$I$56,5,FALSE)-VLOOKUP($A127,main!$A$3:$I$56,6,FALSE)&gt;=VLOOKUP(57,main!$A$57:$I$59,4,FALSE)+VLOOKUP(VLOOKUP(AM$1,main!$A$3:$I$56,7,FALSE),main!$K$10:$Q$14,5,FALSE),1,0)</f>
        <v>0</v>
      </c>
      <c r="AN127">
        <f>IF(VLOOKUP(AN$1,main!$A$3:$I$56,5,FALSE)-VLOOKUP($A127,main!$A$3:$I$56,6,FALSE)&gt;=VLOOKUP(57,main!$A$57:$I$59,4,FALSE)+VLOOKUP(VLOOKUP(AN$1,main!$A$3:$I$56,7,FALSE),main!$K$10:$Q$14,5,FALSE),1,0)</f>
        <v>0</v>
      </c>
      <c r="AO127">
        <f>IF(VLOOKUP(AO$1,main!$A$3:$I$56,5,FALSE)-VLOOKUP($A127,main!$A$3:$I$56,6,FALSE)&gt;=VLOOKUP(57,main!$A$57:$I$59,4,FALSE)+VLOOKUP(VLOOKUP(AO$1,main!$A$3:$I$56,7,FALSE),main!$K$10:$Q$14,5,FALSE),1,0)</f>
        <v>0</v>
      </c>
      <c r="AP127">
        <f>IF(VLOOKUP(AP$1,main!$A$3:$I$56,5,FALSE)-VLOOKUP($A127,main!$A$3:$I$56,6,FALSE)&gt;=VLOOKUP(57,main!$A$57:$I$59,4,FALSE)+VLOOKUP(VLOOKUP(AP$1,main!$A$3:$I$56,7,FALSE),main!$K$10:$Q$14,5,FALSE),1,0)</f>
        <v>0</v>
      </c>
      <c r="AQ127">
        <f>IF(VLOOKUP(AQ$1,main!$A$3:$I$56,5,FALSE)-VLOOKUP($A127,main!$A$3:$I$56,6,FALSE)&gt;=VLOOKUP(57,main!$A$57:$I$59,4,FALSE)+VLOOKUP(VLOOKUP(AQ$1,main!$A$3:$I$56,7,FALSE),main!$K$10:$Q$14,5,FALSE),1,0)</f>
        <v>0</v>
      </c>
      <c r="AR127">
        <f>IF(VLOOKUP(AR$1,main!$A$3:$I$56,5,FALSE)-VLOOKUP($A127,main!$A$3:$I$56,6,FALSE)&gt;=VLOOKUP(57,main!$A$57:$I$59,4,FALSE)+VLOOKUP(VLOOKUP(AR$1,main!$A$3:$I$56,7,FALSE),main!$K$10:$Q$14,5,FALSE),1,0)</f>
        <v>0</v>
      </c>
      <c r="AS127">
        <f>IF(VLOOKUP(AS$1,main!$A$3:$I$56,5,FALSE)-VLOOKUP($A127,main!$A$3:$I$56,6,FALSE)&gt;=VLOOKUP(57,main!$A$57:$I$59,4,FALSE)+VLOOKUP(VLOOKUP(AS$1,main!$A$3:$I$56,7,FALSE),main!$K$10:$Q$14,5,FALSE),1,0)</f>
        <v>0</v>
      </c>
      <c r="AT127">
        <f>IF(VLOOKUP(AT$1,main!$A$3:$I$56,5,FALSE)-VLOOKUP($A127,main!$A$3:$I$56,6,FALSE)&gt;=VLOOKUP(57,main!$A$57:$I$59,4,FALSE)+VLOOKUP(VLOOKUP(AT$1,main!$A$3:$I$56,7,FALSE),main!$K$10:$Q$14,5,FALSE),1,0)</f>
        <v>0</v>
      </c>
      <c r="AU127">
        <f>IF(VLOOKUP(AU$1,main!$A$3:$I$56,5,FALSE)-VLOOKUP($A127,main!$A$3:$I$56,6,FALSE)&gt;=VLOOKUP(57,main!$A$57:$I$59,4,FALSE)+VLOOKUP(VLOOKUP(AU$1,main!$A$3:$I$56,7,FALSE),main!$K$10:$Q$14,5,FALSE),1,0)</f>
        <v>0</v>
      </c>
      <c r="AV127">
        <f>IF(VLOOKUP(AV$1,main!$A$3:$I$56,5,FALSE)-VLOOKUP($A127,main!$A$3:$I$56,6,FALSE)&gt;=VLOOKUP(57,main!$A$57:$I$59,4,FALSE)+VLOOKUP(VLOOKUP(AV$1,main!$A$3:$I$56,7,FALSE),main!$K$10:$Q$14,5,FALSE),1,0)</f>
        <v>0</v>
      </c>
      <c r="AW127">
        <f>IF(VLOOKUP(AW$1,main!$A$3:$I$56,5,FALSE)-VLOOKUP($A127,main!$A$3:$I$56,6,FALSE)&gt;=VLOOKUP(57,main!$A$57:$I$59,4,FALSE)+VLOOKUP(VLOOKUP(AW$1,main!$A$3:$I$56,7,FALSE),main!$K$10:$Q$14,5,FALSE),1,0)</f>
        <v>0</v>
      </c>
      <c r="AX127">
        <f>IF(VLOOKUP(AX$1,main!$A$3:$I$56,5,FALSE)-VLOOKUP($A127,main!$A$3:$I$56,6,FALSE)&gt;=VLOOKUP(57,main!$A$57:$I$59,4,FALSE)+VLOOKUP(VLOOKUP(AX$1,main!$A$3:$I$56,7,FALSE),main!$K$10:$Q$14,5,FALSE),1,0)</f>
        <v>1</v>
      </c>
      <c r="AY127">
        <f>IF(VLOOKUP(AY$1,main!$A$3:$I$56,5,FALSE)-VLOOKUP($A127,main!$A$3:$I$56,6,FALSE)&gt;=VLOOKUP(57,main!$A$57:$I$59,4,FALSE)+VLOOKUP(VLOOKUP(AY$1,main!$A$3:$I$56,7,FALSE),main!$K$10:$Q$14,5,FALSE),1,0)</f>
        <v>1</v>
      </c>
      <c r="AZ127">
        <f>IF(VLOOKUP(AZ$1,main!$A$3:$I$56,5,FALSE)-VLOOKUP($A127,main!$A$3:$I$56,6,FALSE)&gt;=VLOOKUP(57,main!$A$57:$I$59,4,FALSE)+VLOOKUP(VLOOKUP(AZ$1,main!$A$3:$I$56,7,FALSE),main!$K$10:$Q$14,5,FALSE),1,0)</f>
        <v>0</v>
      </c>
      <c r="BA127">
        <f>IF(VLOOKUP(BA$1,main!$A$3:$I$56,5,FALSE)-VLOOKUP($A127,main!$A$3:$I$56,6,FALSE)&gt;=VLOOKUP(57,main!$A$57:$I$59,4,FALSE)+VLOOKUP(VLOOKUP(BA$1,main!$A$3:$I$56,7,FALSE),main!$K$10:$Q$14,5,FALSE),1,0)</f>
        <v>0</v>
      </c>
      <c r="BB127">
        <f>IF(VLOOKUP(BB$1,main!$A$3:$I$56,5,FALSE)-VLOOKUP($A127,main!$A$3:$I$56,6,FALSE)&gt;=VLOOKUP(57,main!$A$57:$I$59,4,FALSE)+VLOOKUP(VLOOKUP(BB$1,main!$A$3:$I$56,7,FALSE),main!$K$10:$Q$14,5,FALSE),1,0)</f>
        <v>0</v>
      </c>
      <c r="BC127">
        <f>IF(VLOOKUP(BC$1,main!$A$3:$I$56,5,FALSE)-VLOOKUP($A127,main!$A$3:$I$56,6,FALSE)&gt;=VLOOKUP(57,main!$A$57:$I$59,4,FALSE)+VLOOKUP(VLOOKUP(BC$1,main!$A$3:$I$56,7,FALSE),main!$K$10:$Q$14,5,FALSE),1,0)</f>
        <v>0</v>
      </c>
      <c r="BD127">
        <f>IF(VLOOKUP(BD$1,main!$A$3:$I$56,5,FALSE)-VLOOKUP($A127,main!$A$3:$I$56,6,FALSE)&gt;=VLOOKUP(57,main!$A$57:$I$59,4,FALSE)+VLOOKUP(VLOOKUP(BD$1,main!$A$3:$I$56,7,FALSE),main!$K$10:$Q$14,5,FALSE),1,0)</f>
        <v>0</v>
      </c>
    </row>
    <row r="128" spans="1:56" x14ac:dyDescent="0.25">
      <c r="A128">
        <f t="shared" si="2"/>
        <v>16</v>
      </c>
      <c r="B128">
        <v>0</v>
      </c>
      <c r="C128">
        <f>IF(VLOOKUP(C$1,main!$A$3:$I$56,5,FALSE)-VLOOKUP($A128,main!$A$3:$I$56,6,FALSE)&gt;=VLOOKUP(57,main!$A$57:$I$59,4,FALSE)+VLOOKUP(VLOOKUP(C$1,main!$A$3:$I$56,7,FALSE),main!$K$10:$Q$14,5,FALSE),1,0)</f>
        <v>0</v>
      </c>
      <c r="D128">
        <f>IF(VLOOKUP(D$1,main!$A$3:$I$56,5,FALSE)-VLOOKUP($A128,main!$A$3:$I$56,6,FALSE)&gt;=VLOOKUP(57,main!$A$57:$I$59,4,FALSE)+VLOOKUP(VLOOKUP(D$1,main!$A$3:$I$56,7,FALSE),main!$K$10:$Q$14,5,FALSE),1,0)</f>
        <v>0</v>
      </c>
      <c r="E128">
        <f>IF(VLOOKUP(E$1,main!$A$3:$I$56,5,FALSE)-VLOOKUP($A128,main!$A$3:$I$56,6,FALSE)&gt;=VLOOKUP(57,main!$A$57:$I$59,4,FALSE)+VLOOKUP(VLOOKUP(E$1,main!$A$3:$I$56,7,FALSE),main!$K$10:$Q$14,5,FALSE),1,0)</f>
        <v>0</v>
      </c>
      <c r="F128">
        <f>IF(VLOOKUP(F$1,main!$A$3:$I$56,5,FALSE)-VLOOKUP($A128,main!$A$3:$I$56,6,FALSE)&gt;=VLOOKUP(57,main!$A$57:$I$59,4,FALSE)+VLOOKUP(VLOOKUP(F$1,main!$A$3:$I$56,7,FALSE),main!$K$10:$Q$14,5,FALSE),1,0)</f>
        <v>0</v>
      </c>
      <c r="G128">
        <f>IF(VLOOKUP(G$1,main!$A$3:$I$56,5,FALSE)-VLOOKUP($A128,main!$A$3:$I$56,6,FALSE)&gt;=VLOOKUP(57,main!$A$57:$I$59,4,FALSE)+VLOOKUP(VLOOKUP(G$1,main!$A$3:$I$56,7,FALSE),main!$K$10:$Q$14,5,FALSE),1,0)</f>
        <v>0</v>
      </c>
      <c r="H128">
        <f>IF(VLOOKUP(H$1,main!$A$3:$I$56,5,FALSE)-VLOOKUP($A128,main!$A$3:$I$56,6,FALSE)&gt;=VLOOKUP(57,main!$A$57:$I$59,4,FALSE)+VLOOKUP(VLOOKUP(H$1,main!$A$3:$I$56,7,FALSE),main!$K$10:$Q$14,5,FALSE),1,0)</f>
        <v>0</v>
      </c>
      <c r="I128">
        <f>IF(VLOOKUP(I$1,main!$A$3:$I$56,5,FALSE)-VLOOKUP($A128,main!$A$3:$I$56,6,FALSE)&gt;=VLOOKUP(57,main!$A$57:$I$59,4,FALSE)+VLOOKUP(VLOOKUP(I$1,main!$A$3:$I$56,7,FALSE),main!$K$10:$Q$14,5,FALSE),1,0)</f>
        <v>0</v>
      </c>
      <c r="J128">
        <f>IF(VLOOKUP(J$1,main!$A$3:$I$56,5,FALSE)-VLOOKUP($A128,main!$A$3:$I$56,6,FALSE)&gt;=VLOOKUP(57,main!$A$57:$I$59,4,FALSE)+VLOOKUP(VLOOKUP(J$1,main!$A$3:$I$56,7,FALSE),main!$K$10:$Q$14,5,FALSE),1,0)</f>
        <v>1</v>
      </c>
      <c r="K128">
        <f>IF(VLOOKUP(K$1,main!$A$3:$I$56,5,FALSE)-VLOOKUP($A128,main!$A$3:$I$56,6,FALSE)&gt;=VLOOKUP(57,main!$A$57:$I$59,4,FALSE)+VLOOKUP(VLOOKUP(K$1,main!$A$3:$I$56,7,FALSE),main!$K$10:$Q$14,5,FALSE),1,0)</f>
        <v>0</v>
      </c>
      <c r="L128">
        <f>IF(VLOOKUP(L$1,main!$A$3:$I$56,5,FALSE)-VLOOKUP($A128,main!$A$3:$I$56,6,FALSE)&gt;=VLOOKUP(57,main!$A$57:$I$59,4,FALSE)+VLOOKUP(VLOOKUP(L$1,main!$A$3:$I$56,7,FALSE),main!$K$10:$Q$14,5,FALSE),1,0)</f>
        <v>0</v>
      </c>
      <c r="M128">
        <f>IF(VLOOKUP(M$1,main!$A$3:$I$56,5,FALSE)-VLOOKUP($A128,main!$A$3:$I$56,6,FALSE)&gt;=VLOOKUP(57,main!$A$57:$I$59,4,FALSE)+VLOOKUP(VLOOKUP(M$1,main!$A$3:$I$56,7,FALSE),main!$K$10:$Q$14,5,FALSE),1,0)</f>
        <v>0</v>
      </c>
      <c r="N128">
        <f>IF(VLOOKUP(N$1,main!$A$3:$I$56,5,FALSE)-VLOOKUP($A128,main!$A$3:$I$56,6,FALSE)&gt;=VLOOKUP(57,main!$A$57:$I$59,4,FALSE)+VLOOKUP(VLOOKUP(N$1,main!$A$3:$I$56,7,FALSE),main!$K$10:$Q$14,5,FALSE),1,0)</f>
        <v>1</v>
      </c>
      <c r="O128">
        <f>IF(VLOOKUP(O$1,main!$A$3:$I$56,5,FALSE)-VLOOKUP($A128,main!$A$3:$I$56,6,FALSE)&gt;=VLOOKUP(57,main!$A$57:$I$59,4,FALSE)+VLOOKUP(VLOOKUP(O$1,main!$A$3:$I$56,7,FALSE),main!$K$10:$Q$14,5,FALSE),1,0)</f>
        <v>1</v>
      </c>
      <c r="P128">
        <f>IF(VLOOKUP(P$1,main!$A$3:$I$56,5,FALSE)-VLOOKUP($A128,main!$A$3:$I$56,6,FALSE)&gt;=VLOOKUP(57,main!$A$57:$I$59,4,FALSE)+VLOOKUP(VLOOKUP(P$1,main!$A$3:$I$56,7,FALSE),main!$K$10:$Q$14,5,FALSE),1,0)</f>
        <v>0</v>
      </c>
      <c r="Q128">
        <f>IF(VLOOKUP(Q$1,main!$A$3:$I$56,5,FALSE)-VLOOKUP($A128,main!$A$3:$I$56,6,FALSE)&gt;=VLOOKUP(57,main!$A$57:$I$59,4,FALSE)+VLOOKUP(VLOOKUP(Q$1,main!$A$3:$I$56,7,FALSE),main!$K$10:$Q$14,5,FALSE),1,0)</f>
        <v>0</v>
      </c>
      <c r="R128">
        <f>IF(VLOOKUP(R$1,main!$A$3:$I$56,5,FALSE)-VLOOKUP($A128,main!$A$3:$I$56,6,FALSE)&gt;=VLOOKUP(57,main!$A$57:$I$59,4,FALSE)+VLOOKUP(VLOOKUP(R$1,main!$A$3:$I$56,7,FALSE),main!$K$10:$Q$14,5,FALSE),1,0)</f>
        <v>0</v>
      </c>
      <c r="S128">
        <f>IF(VLOOKUP(S$1,main!$A$3:$I$56,5,FALSE)-VLOOKUP($A128,main!$A$3:$I$56,6,FALSE)&gt;=VLOOKUP(57,main!$A$57:$I$59,4,FALSE)+VLOOKUP(VLOOKUP(S$1,main!$A$3:$I$56,7,FALSE),main!$K$10:$Q$14,5,FALSE),1,0)</f>
        <v>0</v>
      </c>
      <c r="T128">
        <f>IF(VLOOKUP(T$1,main!$A$3:$I$56,5,FALSE)-VLOOKUP($A128,main!$A$3:$I$56,6,FALSE)&gt;=VLOOKUP(57,main!$A$57:$I$59,4,FALSE)+VLOOKUP(VLOOKUP(T$1,main!$A$3:$I$56,7,FALSE),main!$K$10:$Q$14,5,FALSE),1,0)</f>
        <v>1</v>
      </c>
      <c r="U128">
        <f>IF(VLOOKUP(U$1,main!$A$3:$I$56,5,FALSE)-VLOOKUP($A128,main!$A$3:$I$56,6,FALSE)&gt;=VLOOKUP(57,main!$A$57:$I$59,4,FALSE)+VLOOKUP(VLOOKUP(U$1,main!$A$3:$I$56,7,FALSE),main!$K$10:$Q$14,5,FALSE),1,0)</f>
        <v>0</v>
      </c>
      <c r="V128">
        <f>IF(VLOOKUP(V$1,main!$A$3:$I$56,5,FALSE)-VLOOKUP($A128,main!$A$3:$I$56,6,FALSE)&gt;=VLOOKUP(57,main!$A$57:$I$59,4,FALSE)+VLOOKUP(VLOOKUP(V$1,main!$A$3:$I$56,7,FALSE),main!$K$10:$Q$14,5,FALSE),1,0)</f>
        <v>0</v>
      </c>
      <c r="W128">
        <f>IF(VLOOKUP(W$1,main!$A$3:$I$56,5,FALSE)-VLOOKUP($A128,main!$A$3:$I$56,6,FALSE)&gt;=VLOOKUP(57,main!$A$57:$I$59,4,FALSE)+VLOOKUP(VLOOKUP(W$1,main!$A$3:$I$56,7,FALSE),main!$K$10:$Q$14,5,FALSE),1,0)</f>
        <v>0</v>
      </c>
      <c r="X128">
        <f>IF(VLOOKUP(X$1,main!$A$3:$I$56,5,FALSE)-VLOOKUP($A128,main!$A$3:$I$56,6,FALSE)&gt;=VLOOKUP(57,main!$A$57:$I$59,4,FALSE)+VLOOKUP(VLOOKUP(X$1,main!$A$3:$I$56,7,FALSE),main!$K$10:$Q$14,5,FALSE),1,0)</f>
        <v>0</v>
      </c>
      <c r="Y128">
        <f>IF(VLOOKUP(Y$1,main!$A$3:$I$56,5,FALSE)-VLOOKUP($A128,main!$A$3:$I$56,6,FALSE)&gt;=VLOOKUP(57,main!$A$57:$I$59,4,FALSE)+VLOOKUP(VLOOKUP(Y$1,main!$A$3:$I$56,7,FALSE),main!$K$10:$Q$14,5,FALSE),1,0)</f>
        <v>0</v>
      </c>
      <c r="Z128">
        <f>IF(VLOOKUP(Z$1,main!$A$3:$I$56,5,FALSE)-VLOOKUP($A128,main!$A$3:$I$56,6,FALSE)&gt;=VLOOKUP(57,main!$A$57:$I$59,4,FALSE)+VLOOKUP(VLOOKUP(Z$1,main!$A$3:$I$56,7,FALSE),main!$K$10:$Q$14,5,FALSE),1,0)</f>
        <v>1</v>
      </c>
      <c r="AA128">
        <f>IF(VLOOKUP(AA$1,main!$A$3:$I$56,5,FALSE)-VLOOKUP($A128,main!$A$3:$I$56,6,FALSE)&gt;=VLOOKUP(57,main!$A$57:$I$59,4,FALSE)+VLOOKUP(VLOOKUP(AA$1,main!$A$3:$I$56,7,FALSE),main!$K$10:$Q$14,5,FALSE),1,0)</f>
        <v>1</v>
      </c>
      <c r="AB128">
        <f>IF(VLOOKUP(AB$1,main!$A$3:$I$56,5,FALSE)-VLOOKUP($A128,main!$A$3:$I$56,6,FALSE)&gt;=VLOOKUP(57,main!$A$57:$I$59,4,FALSE)+VLOOKUP(VLOOKUP(AB$1,main!$A$3:$I$56,7,FALSE),main!$K$10:$Q$14,5,FALSE),1,0)</f>
        <v>1</v>
      </c>
      <c r="AC128">
        <f>IF(VLOOKUP(AC$1,main!$A$3:$I$56,5,FALSE)-VLOOKUP($A128,main!$A$3:$I$56,6,FALSE)&gt;=VLOOKUP(57,main!$A$57:$I$59,4,FALSE)+VLOOKUP(VLOOKUP(AC$1,main!$A$3:$I$56,7,FALSE),main!$K$10:$Q$14,5,FALSE),1,0)</f>
        <v>0</v>
      </c>
      <c r="AD128">
        <f>IF(VLOOKUP(AD$1,main!$A$3:$I$56,5,FALSE)-VLOOKUP($A128,main!$A$3:$I$56,6,FALSE)&gt;=VLOOKUP(57,main!$A$57:$I$59,4,FALSE)+VLOOKUP(VLOOKUP(AD$1,main!$A$3:$I$56,7,FALSE),main!$K$10:$Q$14,5,FALSE),1,0)</f>
        <v>0</v>
      </c>
      <c r="AE128">
        <f>IF(VLOOKUP(AE$1,main!$A$3:$I$56,5,FALSE)-VLOOKUP($A128,main!$A$3:$I$56,6,FALSE)&gt;=VLOOKUP(57,main!$A$57:$I$59,4,FALSE)+VLOOKUP(VLOOKUP(AE$1,main!$A$3:$I$56,7,FALSE),main!$K$10:$Q$14,5,FALSE),1,0)</f>
        <v>0</v>
      </c>
      <c r="AF128">
        <f>IF(VLOOKUP(AF$1,main!$A$3:$I$56,5,FALSE)-VLOOKUP($A128,main!$A$3:$I$56,6,FALSE)&gt;=VLOOKUP(57,main!$A$57:$I$59,4,FALSE)+VLOOKUP(VLOOKUP(AF$1,main!$A$3:$I$56,7,FALSE),main!$K$10:$Q$14,5,FALSE),1,0)</f>
        <v>0</v>
      </c>
      <c r="AG128">
        <f>IF(VLOOKUP(AG$1,main!$A$3:$I$56,5,FALSE)-VLOOKUP($A128,main!$A$3:$I$56,6,FALSE)&gt;=VLOOKUP(57,main!$A$57:$I$59,4,FALSE)+VLOOKUP(VLOOKUP(AG$1,main!$A$3:$I$56,7,FALSE),main!$K$10:$Q$14,5,FALSE),1,0)</f>
        <v>0</v>
      </c>
      <c r="AH128">
        <f>IF(VLOOKUP(AH$1,main!$A$3:$I$56,5,FALSE)-VLOOKUP($A128,main!$A$3:$I$56,6,FALSE)&gt;=VLOOKUP(57,main!$A$57:$I$59,4,FALSE)+VLOOKUP(VLOOKUP(AH$1,main!$A$3:$I$56,7,FALSE),main!$K$10:$Q$14,5,FALSE),1,0)</f>
        <v>0</v>
      </c>
      <c r="AI128">
        <f>IF(VLOOKUP(AI$1,main!$A$3:$I$56,5,FALSE)-VLOOKUP($A128,main!$A$3:$I$56,6,FALSE)&gt;=VLOOKUP(57,main!$A$57:$I$59,4,FALSE)+VLOOKUP(VLOOKUP(AI$1,main!$A$3:$I$56,7,FALSE),main!$K$10:$Q$14,5,FALSE),1,0)</f>
        <v>0</v>
      </c>
      <c r="AJ128">
        <f>IF(VLOOKUP(AJ$1,main!$A$3:$I$56,5,FALSE)-VLOOKUP($A128,main!$A$3:$I$56,6,FALSE)&gt;=VLOOKUP(57,main!$A$57:$I$59,4,FALSE)+VLOOKUP(VLOOKUP(AJ$1,main!$A$3:$I$56,7,FALSE),main!$K$10:$Q$14,5,FALSE),1,0)</f>
        <v>0</v>
      </c>
      <c r="AK128">
        <f>IF(VLOOKUP(AK$1,main!$A$3:$I$56,5,FALSE)-VLOOKUP($A128,main!$A$3:$I$56,6,FALSE)&gt;=VLOOKUP(57,main!$A$57:$I$59,4,FALSE)+VLOOKUP(VLOOKUP(AK$1,main!$A$3:$I$56,7,FALSE),main!$K$10:$Q$14,5,FALSE),1,0)</f>
        <v>0</v>
      </c>
      <c r="AL128">
        <f>IF(VLOOKUP(AL$1,main!$A$3:$I$56,5,FALSE)-VLOOKUP($A128,main!$A$3:$I$56,6,FALSE)&gt;=VLOOKUP(57,main!$A$57:$I$59,4,FALSE)+VLOOKUP(VLOOKUP(AL$1,main!$A$3:$I$56,7,FALSE),main!$K$10:$Q$14,5,FALSE),1,0)</f>
        <v>0</v>
      </c>
      <c r="AM128">
        <f>IF(VLOOKUP(AM$1,main!$A$3:$I$56,5,FALSE)-VLOOKUP($A128,main!$A$3:$I$56,6,FALSE)&gt;=VLOOKUP(57,main!$A$57:$I$59,4,FALSE)+VLOOKUP(VLOOKUP(AM$1,main!$A$3:$I$56,7,FALSE),main!$K$10:$Q$14,5,FALSE),1,0)</f>
        <v>0</v>
      </c>
      <c r="AN128">
        <f>IF(VLOOKUP(AN$1,main!$A$3:$I$56,5,FALSE)-VLOOKUP($A128,main!$A$3:$I$56,6,FALSE)&gt;=VLOOKUP(57,main!$A$57:$I$59,4,FALSE)+VLOOKUP(VLOOKUP(AN$1,main!$A$3:$I$56,7,FALSE),main!$K$10:$Q$14,5,FALSE),1,0)</f>
        <v>0</v>
      </c>
      <c r="AO128">
        <f>IF(VLOOKUP(AO$1,main!$A$3:$I$56,5,FALSE)-VLOOKUP($A128,main!$A$3:$I$56,6,FALSE)&gt;=VLOOKUP(57,main!$A$57:$I$59,4,FALSE)+VLOOKUP(VLOOKUP(AO$1,main!$A$3:$I$56,7,FALSE),main!$K$10:$Q$14,5,FALSE),1,0)</f>
        <v>0</v>
      </c>
      <c r="AP128">
        <f>IF(VLOOKUP(AP$1,main!$A$3:$I$56,5,FALSE)-VLOOKUP($A128,main!$A$3:$I$56,6,FALSE)&gt;=VLOOKUP(57,main!$A$57:$I$59,4,FALSE)+VLOOKUP(VLOOKUP(AP$1,main!$A$3:$I$56,7,FALSE),main!$K$10:$Q$14,5,FALSE),1,0)</f>
        <v>0</v>
      </c>
      <c r="AQ128">
        <f>IF(VLOOKUP(AQ$1,main!$A$3:$I$56,5,FALSE)-VLOOKUP($A128,main!$A$3:$I$56,6,FALSE)&gt;=VLOOKUP(57,main!$A$57:$I$59,4,FALSE)+VLOOKUP(VLOOKUP(AQ$1,main!$A$3:$I$56,7,FALSE),main!$K$10:$Q$14,5,FALSE),1,0)</f>
        <v>0</v>
      </c>
      <c r="AR128">
        <f>IF(VLOOKUP(AR$1,main!$A$3:$I$56,5,FALSE)-VLOOKUP($A128,main!$A$3:$I$56,6,FALSE)&gt;=VLOOKUP(57,main!$A$57:$I$59,4,FALSE)+VLOOKUP(VLOOKUP(AR$1,main!$A$3:$I$56,7,FALSE),main!$K$10:$Q$14,5,FALSE),1,0)</f>
        <v>0</v>
      </c>
      <c r="AS128">
        <f>IF(VLOOKUP(AS$1,main!$A$3:$I$56,5,FALSE)-VLOOKUP($A128,main!$A$3:$I$56,6,FALSE)&gt;=VLOOKUP(57,main!$A$57:$I$59,4,FALSE)+VLOOKUP(VLOOKUP(AS$1,main!$A$3:$I$56,7,FALSE),main!$K$10:$Q$14,5,FALSE),1,0)</f>
        <v>0</v>
      </c>
      <c r="AT128">
        <f>IF(VLOOKUP(AT$1,main!$A$3:$I$56,5,FALSE)-VLOOKUP($A128,main!$A$3:$I$56,6,FALSE)&gt;=VLOOKUP(57,main!$A$57:$I$59,4,FALSE)+VLOOKUP(VLOOKUP(AT$1,main!$A$3:$I$56,7,FALSE),main!$K$10:$Q$14,5,FALSE),1,0)</f>
        <v>0</v>
      </c>
      <c r="AU128">
        <f>IF(VLOOKUP(AU$1,main!$A$3:$I$56,5,FALSE)-VLOOKUP($A128,main!$A$3:$I$56,6,FALSE)&gt;=VLOOKUP(57,main!$A$57:$I$59,4,FALSE)+VLOOKUP(VLOOKUP(AU$1,main!$A$3:$I$56,7,FALSE),main!$K$10:$Q$14,5,FALSE),1,0)</f>
        <v>0</v>
      </c>
      <c r="AV128">
        <f>IF(VLOOKUP(AV$1,main!$A$3:$I$56,5,FALSE)-VLOOKUP($A128,main!$A$3:$I$56,6,FALSE)&gt;=VLOOKUP(57,main!$A$57:$I$59,4,FALSE)+VLOOKUP(VLOOKUP(AV$1,main!$A$3:$I$56,7,FALSE),main!$K$10:$Q$14,5,FALSE),1,0)</f>
        <v>0</v>
      </c>
      <c r="AW128">
        <f>IF(VLOOKUP(AW$1,main!$A$3:$I$56,5,FALSE)-VLOOKUP($A128,main!$A$3:$I$56,6,FALSE)&gt;=VLOOKUP(57,main!$A$57:$I$59,4,FALSE)+VLOOKUP(VLOOKUP(AW$1,main!$A$3:$I$56,7,FALSE),main!$K$10:$Q$14,5,FALSE),1,0)</f>
        <v>0</v>
      </c>
      <c r="AX128">
        <f>IF(VLOOKUP(AX$1,main!$A$3:$I$56,5,FALSE)-VLOOKUP($A128,main!$A$3:$I$56,6,FALSE)&gt;=VLOOKUP(57,main!$A$57:$I$59,4,FALSE)+VLOOKUP(VLOOKUP(AX$1,main!$A$3:$I$56,7,FALSE),main!$K$10:$Q$14,5,FALSE),1,0)</f>
        <v>0</v>
      </c>
      <c r="AY128">
        <f>IF(VLOOKUP(AY$1,main!$A$3:$I$56,5,FALSE)-VLOOKUP($A128,main!$A$3:$I$56,6,FALSE)&gt;=VLOOKUP(57,main!$A$57:$I$59,4,FALSE)+VLOOKUP(VLOOKUP(AY$1,main!$A$3:$I$56,7,FALSE),main!$K$10:$Q$14,5,FALSE),1,0)</f>
        <v>1</v>
      </c>
      <c r="AZ128">
        <f>IF(VLOOKUP(AZ$1,main!$A$3:$I$56,5,FALSE)-VLOOKUP($A128,main!$A$3:$I$56,6,FALSE)&gt;=VLOOKUP(57,main!$A$57:$I$59,4,FALSE)+VLOOKUP(VLOOKUP(AZ$1,main!$A$3:$I$56,7,FALSE),main!$K$10:$Q$14,5,FALSE),1,0)</f>
        <v>0</v>
      </c>
      <c r="BA128">
        <f>IF(VLOOKUP(BA$1,main!$A$3:$I$56,5,FALSE)-VLOOKUP($A128,main!$A$3:$I$56,6,FALSE)&gt;=VLOOKUP(57,main!$A$57:$I$59,4,FALSE)+VLOOKUP(VLOOKUP(BA$1,main!$A$3:$I$56,7,FALSE),main!$K$10:$Q$14,5,FALSE),1,0)</f>
        <v>0</v>
      </c>
      <c r="BB128">
        <f>IF(VLOOKUP(BB$1,main!$A$3:$I$56,5,FALSE)-VLOOKUP($A128,main!$A$3:$I$56,6,FALSE)&gt;=VLOOKUP(57,main!$A$57:$I$59,4,FALSE)+VLOOKUP(VLOOKUP(BB$1,main!$A$3:$I$56,7,FALSE),main!$K$10:$Q$14,5,FALSE),1,0)</f>
        <v>0</v>
      </c>
      <c r="BC128">
        <f>IF(VLOOKUP(BC$1,main!$A$3:$I$56,5,FALSE)-VLOOKUP($A128,main!$A$3:$I$56,6,FALSE)&gt;=VLOOKUP(57,main!$A$57:$I$59,4,FALSE)+VLOOKUP(VLOOKUP(BC$1,main!$A$3:$I$56,7,FALSE),main!$K$10:$Q$14,5,FALSE),1,0)</f>
        <v>0</v>
      </c>
      <c r="BD128">
        <f>IF(VLOOKUP(BD$1,main!$A$3:$I$56,5,FALSE)-VLOOKUP($A128,main!$A$3:$I$56,6,FALSE)&gt;=VLOOKUP(57,main!$A$57:$I$59,4,FALSE)+VLOOKUP(VLOOKUP(BD$1,main!$A$3:$I$56,7,FALSE),main!$K$10:$Q$14,5,FALSE),1,0)</f>
        <v>0</v>
      </c>
    </row>
    <row r="129" spans="1:56" x14ac:dyDescent="0.25">
      <c r="A129">
        <f t="shared" si="2"/>
        <v>17</v>
      </c>
      <c r="B129">
        <v>0</v>
      </c>
      <c r="C129">
        <f>IF(VLOOKUP(C$1,main!$A$3:$I$56,5,FALSE)-VLOOKUP($A129,main!$A$3:$I$56,6,FALSE)&gt;=VLOOKUP(57,main!$A$57:$I$59,4,FALSE)+VLOOKUP(VLOOKUP(C$1,main!$A$3:$I$56,7,FALSE),main!$K$10:$Q$14,5,FALSE),1,0)</f>
        <v>0</v>
      </c>
      <c r="D129">
        <f>IF(VLOOKUP(D$1,main!$A$3:$I$56,5,FALSE)-VLOOKUP($A129,main!$A$3:$I$56,6,FALSE)&gt;=VLOOKUP(57,main!$A$57:$I$59,4,FALSE)+VLOOKUP(VLOOKUP(D$1,main!$A$3:$I$56,7,FALSE),main!$K$10:$Q$14,5,FALSE),1,0)</f>
        <v>0</v>
      </c>
      <c r="E129">
        <f>IF(VLOOKUP(E$1,main!$A$3:$I$56,5,FALSE)-VLOOKUP($A129,main!$A$3:$I$56,6,FALSE)&gt;=VLOOKUP(57,main!$A$57:$I$59,4,FALSE)+VLOOKUP(VLOOKUP(E$1,main!$A$3:$I$56,7,FALSE),main!$K$10:$Q$14,5,FALSE),1,0)</f>
        <v>0</v>
      </c>
      <c r="F129">
        <f>IF(VLOOKUP(F$1,main!$A$3:$I$56,5,FALSE)-VLOOKUP($A129,main!$A$3:$I$56,6,FALSE)&gt;=VLOOKUP(57,main!$A$57:$I$59,4,FALSE)+VLOOKUP(VLOOKUP(F$1,main!$A$3:$I$56,7,FALSE),main!$K$10:$Q$14,5,FALSE),1,0)</f>
        <v>0</v>
      </c>
      <c r="G129">
        <f>IF(VLOOKUP(G$1,main!$A$3:$I$56,5,FALSE)-VLOOKUP($A129,main!$A$3:$I$56,6,FALSE)&gt;=VLOOKUP(57,main!$A$57:$I$59,4,FALSE)+VLOOKUP(VLOOKUP(G$1,main!$A$3:$I$56,7,FALSE),main!$K$10:$Q$14,5,FALSE),1,0)</f>
        <v>0</v>
      </c>
      <c r="H129">
        <f>IF(VLOOKUP(H$1,main!$A$3:$I$56,5,FALSE)-VLOOKUP($A129,main!$A$3:$I$56,6,FALSE)&gt;=VLOOKUP(57,main!$A$57:$I$59,4,FALSE)+VLOOKUP(VLOOKUP(H$1,main!$A$3:$I$56,7,FALSE),main!$K$10:$Q$14,5,FALSE),1,0)</f>
        <v>0</v>
      </c>
      <c r="I129">
        <f>IF(VLOOKUP(I$1,main!$A$3:$I$56,5,FALSE)-VLOOKUP($A129,main!$A$3:$I$56,6,FALSE)&gt;=VLOOKUP(57,main!$A$57:$I$59,4,FALSE)+VLOOKUP(VLOOKUP(I$1,main!$A$3:$I$56,7,FALSE),main!$K$10:$Q$14,5,FALSE),1,0)</f>
        <v>0</v>
      </c>
      <c r="J129">
        <f>IF(VLOOKUP(J$1,main!$A$3:$I$56,5,FALSE)-VLOOKUP($A129,main!$A$3:$I$56,6,FALSE)&gt;=VLOOKUP(57,main!$A$57:$I$59,4,FALSE)+VLOOKUP(VLOOKUP(J$1,main!$A$3:$I$56,7,FALSE),main!$K$10:$Q$14,5,FALSE),1,0)</f>
        <v>0</v>
      </c>
      <c r="K129">
        <f>IF(VLOOKUP(K$1,main!$A$3:$I$56,5,FALSE)-VLOOKUP($A129,main!$A$3:$I$56,6,FALSE)&gt;=VLOOKUP(57,main!$A$57:$I$59,4,FALSE)+VLOOKUP(VLOOKUP(K$1,main!$A$3:$I$56,7,FALSE),main!$K$10:$Q$14,5,FALSE),1,0)</f>
        <v>0</v>
      </c>
      <c r="L129">
        <f>IF(VLOOKUP(L$1,main!$A$3:$I$56,5,FALSE)-VLOOKUP($A129,main!$A$3:$I$56,6,FALSE)&gt;=VLOOKUP(57,main!$A$57:$I$59,4,FALSE)+VLOOKUP(VLOOKUP(L$1,main!$A$3:$I$56,7,FALSE),main!$K$10:$Q$14,5,FALSE),1,0)</f>
        <v>0</v>
      </c>
      <c r="M129">
        <f>IF(VLOOKUP(M$1,main!$A$3:$I$56,5,FALSE)-VLOOKUP($A129,main!$A$3:$I$56,6,FALSE)&gt;=VLOOKUP(57,main!$A$57:$I$59,4,FALSE)+VLOOKUP(VLOOKUP(M$1,main!$A$3:$I$56,7,FALSE),main!$K$10:$Q$14,5,FALSE),1,0)</f>
        <v>0</v>
      </c>
      <c r="N129">
        <f>IF(VLOOKUP(N$1,main!$A$3:$I$56,5,FALSE)-VLOOKUP($A129,main!$A$3:$I$56,6,FALSE)&gt;=VLOOKUP(57,main!$A$57:$I$59,4,FALSE)+VLOOKUP(VLOOKUP(N$1,main!$A$3:$I$56,7,FALSE),main!$K$10:$Q$14,5,FALSE),1,0)</f>
        <v>0</v>
      </c>
      <c r="O129">
        <f>IF(VLOOKUP(O$1,main!$A$3:$I$56,5,FALSE)-VLOOKUP($A129,main!$A$3:$I$56,6,FALSE)&gt;=VLOOKUP(57,main!$A$57:$I$59,4,FALSE)+VLOOKUP(VLOOKUP(O$1,main!$A$3:$I$56,7,FALSE),main!$K$10:$Q$14,5,FALSE),1,0)</f>
        <v>0</v>
      </c>
      <c r="P129">
        <f>IF(VLOOKUP(P$1,main!$A$3:$I$56,5,FALSE)-VLOOKUP($A129,main!$A$3:$I$56,6,FALSE)&gt;=VLOOKUP(57,main!$A$57:$I$59,4,FALSE)+VLOOKUP(VLOOKUP(P$1,main!$A$3:$I$56,7,FALSE),main!$K$10:$Q$14,5,FALSE),1,0)</f>
        <v>0</v>
      </c>
      <c r="Q129">
        <f>IF(VLOOKUP(Q$1,main!$A$3:$I$56,5,FALSE)-VLOOKUP($A129,main!$A$3:$I$56,6,FALSE)&gt;=VLOOKUP(57,main!$A$57:$I$59,4,FALSE)+VLOOKUP(VLOOKUP(Q$1,main!$A$3:$I$56,7,FALSE),main!$K$10:$Q$14,5,FALSE),1,0)</f>
        <v>0</v>
      </c>
      <c r="R129">
        <f>IF(VLOOKUP(R$1,main!$A$3:$I$56,5,FALSE)-VLOOKUP($A129,main!$A$3:$I$56,6,FALSE)&gt;=VLOOKUP(57,main!$A$57:$I$59,4,FALSE)+VLOOKUP(VLOOKUP(R$1,main!$A$3:$I$56,7,FALSE),main!$K$10:$Q$14,5,FALSE),1,0)</f>
        <v>0</v>
      </c>
      <c r="S129">
        <f>IF(VLOOKUP(S$1,main!$A$3:$I$56,5,FALSE)-VLOOKUP($A129,main!$A$3:$I$56,6,FALSE)&gt;=VLOOKUP(57,main!$A$57:$I$59,4,FALSE)+VLOOKUP(VLOOKUP(S$1,main!$A$3:$I$56,7,FALSE),main!$K$10:$Q$14,5,FALSE),1,0)</f>
        <v>0</v>
      </c>
      <c r="T129">
        <f>IF(VLOOKUP(T$1,main!$A$3:$I$56,5,FALSE)-VLOOKUP($A129,main!$A$3:$I$56,6,FALSE)&gt;=VLOOKUP(57,main!$A$57:$I$59,4,FALSE)+VLOOKUP(VLOOKUP(T$1,main!$A$3:$I$56,7,FALSE),main!$K$10:$Q$14,5,FALSE),1,0)</f>
        <v>0</v>
      </c>
      <c r="U129">
        <f>IF(VLOOKUP(U$1,main!$A$3:$I$56,5,FALSE)-VLOOKUP($A129,main!$A$3:$I$56,6,FALSE)&gt;=VLOOKUP(57,main!$A$57:$I$59,4,FALSE)+VLOOKUP(VLOOKUP(U$1,main!$A$3:$I$56,7,FALSE),main!$K$10:$Q$14,5,FALSE),1,0)</f>
        <v>0</v>
      </c>
      <c r="V129">
        <f>IF(VLOOKUP(V$1,main!$A$3:$I$56,5,FALSE)-VLOOKUP($A129,main!$A$3:$I$56,6,FALSE)&gt;=VLOOKUP(57,main!$A$57:$I$59,4,FALSE)+VLOOKUP(VLOOKUP(V$1,main!$A$3:$I$56,7,FALSE),main!$K$10:$Q$14,5,FALSE),1,0)</f>
        <v>0</v>
      </c>
      <c r="W129">
        <f>IF(VLOOKUP(W$1,main!$A$3:$I$56,5,FALSE)-VLOOKUP($A129,main!$A$3:$I$56,6,FALSE)&gt;=VLOOKUP(57,main!$A$57:$I$59,4,FALSE)+VLOOKUP(VLOOKUP(W$1,main!$A$3:$I$56,7,FALSE),main!$K$10:$Q$14,5,FALSE),1,0)</f>
        <v>0</v>
      </c>
      <c r="X129">
        <f>IF(VLOOKUP(X$1,main!$A$3:$I$56,5,FALSE)-VLOOKUP($A129,main!$A$3:$I$56,6,FALSE)&gt;=VLOOKUP(57,main!$A$57:$I$59,4,FALSE)+VLOOKUP(VLOOKUP(X$1,main!$A$3:$I$56,7,FALSE),main!$K$10:$Q$14,5,FALSE),1,0)</f>
        <v>0</v>
      </c>
      <c r="Y129">
        <f>IF(VLOOKUP(Y$1,main!$A$3:$I$56,5,FALSE)-VLOOKUP($A129,main!$A$3:$I$56,6,FALSE)&gt;=VLOOKUP(57,main!$A$57:$I$59,4,FALSE)+VLOOKUP(VLOOKUP(Y$1,main!$A$3:$I$56,7,FALSE),main!$K$10:$Q$14,5,FALSE),1,0)</f>
        <v>0</v>
      </c>
      <c r="Z129">
        <f>IF(VLOOKUP(Z$1,main!$A$3:$I$56,5,FALSE)-VLOOKUP($A129,main!$A$3:$I$56,6,FALSE)&gt;=VLOOKUP(57,main!$A$57:$I$59,4,FALSE)+VLOOKUP(VLOOKUP(Z$1,main!$A$3:$I$56,7,FALSE),main!$K$10:$Q$14,5,FALSE),1,0)</f>
        <v>0</v>
      </c>
      <c r="AA129">
        <f>IF(VLOOKUP(AA$1,main!$A$3:$I$56,5,FALSE)-VLOOKUP($A129,main!$A$3:$I$56,6,FALSE)&gt;=VLOOKUP(57,main!$A$57:$I$59,4,FALSE)+VLOOKUP(VLOOKUP(AA$1,main!$A$3:$I$56,7,FALSE),main!$K$10:$Q$14,5,FALSE),1,0)</f>
        <v>0</v>
      </c>
      <c r="AB129">
        <f>IF(VLOOKUP(AB$1,main!$A$3:$I$56,5,FALSE)-VLOOKUP($A129,main!$A$3:$I$56,6,FALSE)&gt;=VLOOKUP(57,main!$A$57:$I$59,4,FALSE)+VLOOKUP(VLOOKUP(AB$1,main!$A$3:$I$56,7,FALSE),main!$K$10:$Q$14,5,FALSE),1,0)</f>
        <v>0</v>
      </c>
      <c r="AC129">
        <f>IF(VLOOKUP(AC$1,main!$A$3:$I$56,5,FALSE)-VLOOKUP($A129,main!$A$3:$I$56,6,FALSE)&gt;=VLOOKUP(57,main!$A$57:$I$59,4,FALSE)+VLOOKUP(VLOOKUP(AC$1,main!$A$3:$I$56,7,FALSE),main!$K$10:$Q$14,5,FALSE),1,0)</f>
        <v>0</v>
      </c>
      <c r="AD129">
        <f>IF(VLOOKUP(AD$1,main!$A$3:$I$56,5,FALSE)-VLOOKUP($A129,main!$A$3:$I$56,6,FALSE)&gt;=VLOOKUP(57,main!$A$57:$I$59,4,FALSE)+VLOOKUP(VLOOKUP(AD$1,main!$A$3:$I$56,7,FALSE),main!$K$10:$Q$14,5,FALSE),1,0)</f>
        <v>0</v>
      </c>
      <c r="AE129">
        <f>IF(VLOOKUP(AE$1,main!$A$3:$I$56,5,FALSE)-VLOOKUP($A129,main!$A$3:$I$56,6,FALSE)&gt;=VLOOKUP(57,main!$A$57:$I$59,4,FALSE)+VLOOKUP(VLOOKUP(AE$1,main!$A$3:$I$56,7,FALSE),main!$K$10:$Q$14,5,FALSE),1,0)</f>
        <v>0</v>
      </c>
      <c r="AF129">
        <f>IF(VLOOKUP(AF$1,main!$A$3:$I$56,5,FALSE)-VLOOKUP($A129,main!$A$3:$I$56,6,FALSE)&gt;=VLOOKUP(57,main!$A$57:$I$59,4,FALSE)+VLOOKUP(VLOOKUP(AF$1,main!$A$3:$I$56,7,FALSE),main!$K$10:$Q$14,5,FALSE),1,0)</f>
        <v>0</v>
      </c>
      <c r="AG129">
        <f>IF(VLOOKUP(AG$1,main!$A$3:$I$56,5,FALSE)-VLOOKUP($A129,main!$A$3:$I$56,6,FALSE)&gt;=VLOOKUP(57,main!$A$57:$I$59,4,FALSE)+VLOOKUP(VLOOKUP(AG$1,main!$A$3:$I$56,7,FALSE),main!$K$10:$Q$14,5,FALSE),1,0)</f>
        <v>0</v>
      </c>
      <c r="AH129">
        <f>IF(VLOOKUP(AH$1,main!$A$3:$I$56,5,FALSE)-VLOOKUP($A129,main!$A$3:$I$56,6,FALSE)&gt;=VLOOKUP(57,main!$A$57:$I$59,4,FALSE)+VLOOKUP(VLOOKUP(AH$1,main!$A$3:$I$56,7,FALSE),main!$K$10:$Q$14,5,FALSE),1,0)</f>
        <v>0</v>
      </c>
      <c r="AI129">
        <f>IF(VLOOKUP(AI$1,main!$A$3:$I$56,5,FALSE)-VLOOKUP($A129,main!$A$3:$I$56,6,FALSE)&gt;=VLOOKUP(57,main!$A$57:$I$59,4,FALSE)+VLOOKUP(VLOOKUP(AI$1,main!$A$3:$I$56,7,FALSE),main!$K$10:$Q$14,5,FALSE),1,0)</f>
        <v>0</v>
      </c>
      <c r="AJ129">
        <f>IF(VLOOKUP(AJ$1,main!$A$3:$I$56,5,FALSE)-VLOOKUP($A129,main!$A$3:$I$56,6,FALSE)&gt;=VLOOKUP(57,main!$A$57:$I$59,4,FALSE)+VLOOKUP(VLOOKUP(AJ$1,main!$A$3:$I$56,7,FALSE),main!$K$10:$Q$14,5,FALSE),1,0)</f>
        <v>0</v>
      </c>
      <c r="AK129">
        <f>IF(VLOOKUP(AK$1,main!$A$3:$I$56,5,FALSE)-VLOOKUP($A129,main!$A$3:$I$56,6,FALSE)&gt;=VLOOKUP(57,main!$A$57:$I$59,4,FALSE)+VLOOKUP(VLOOKUP(AK$1,main!$A$3:$I$56,7,FALSE),main!$K$10:$Q$14,5,FALSE),1,0)</f>
        <v>0</v>
      </c>
      <c r="AL129">
        <f>IF(VLOOKUP(AL$1,main!$A$3:$I$56,5,FALSE)-VLOOKUP($A129,main!$A$3:$I$56,6,FALSE)&gt;=VLOOKUP(57,main!$A$57:$I$59,4,FALSE)+VLOOKUP(VLOOKUP(AL$1,main!$A$3:$I$56,7,FALSE),main!$K$10:$Q$14,5,FALSE),1,0)</f>
        <v>0</v>
      </c>
      <c r="AM129">
        <f>IF(VLOOKUP(AM$1,main!$A$3:$I$56,5,FALSE)-VLOOKUP($A129,main!$A$3:$I$56,6,FALSE)&gt;=VLOOKUP(57,main!$A$57:$I$59,4,FALSE)+VLOOKUP(VLOOKUP(AM$1,main!$A$3:$I$56,7,FALSE),main!$K$10:$Q$14,5,FALSE),1,0)</f>
        <v>0</v>
      </c>
      <c r="AN129">
        <f>IF(VLOOKUP(AN$1,main!$A$3:$I$56,5,FALSE)-VLOOKUP($A129,main!$A$3:$I$56,6,FALSE)&gt;=VLOOKUP(57,main!$A$57:$I$59,4,FALSE)+VLOOKUP(VLOOKUP(AN$1,main!$A$3:$I$56,7,FALSE),main!$K$10:$Q$14,5,FALSE),1,0)</f>
        <v>0</v>
      </c>
      <c r="AO129">
        <f>IF(VLOOKUP(AO$1,main!$A$3:$I$56,5,FALSE)-VLOOKUP($A129,main!$A$3:$I$56,6,FALSE)&gt;=VLOOKUP(57,main!$A$57:$I$59,4,FALSE)+VLOOKUP(VLOOKUP(AO$1,main!$A$3:$I$56,7,FALSE),main!$K$10:$Q$14,5,FALSE),1,0)</f>
        <v>0</v>
      </c>
      <c r="AP129">
        <f>IF(VLOOKUP(AP$1,main!$A$3:$I$56,5,FALSE)-VLOOKUP($A129,main!$A$3:$I$56,6,FALSE)&gt;=VLOOKUP(57,main!$A$57:$I$59,4,FALSE)+VLOOKUP(VLOOKUP(AP$1,main!$A$3:$I$56,7,FALSE),main!$K$10:$Q$14,5,FALSE),1,0)</f>
        <v>0</v>
      </c>
      <c r="AQ129">
        <f>IF(VLOOKUP(AQ$1,main!$A$3:$I$56,5,FALSE)-VLOOKUP($A129,main!$A$3:$I$56,6,FALSE)&gt;=VLOOKUP(57,main!$A$57:$I$59,4,FALSE)+VLOOKUP(VLOOKUP(AQ$1,main!$A$3:$I$56,7,FALSE),main!$K$10:$Q$14,5,FALSE),1,0)</f>
        <v>0</v>
      </c>
      <c r="AR129">
        <f>IF(VLOOKUP(AR$1,main!$A$3:$I$56,5,FALSE)-VLOOKUP($A129,main!$A$3:$I$56,6,FALSE)&gt;=VLOOKUP(57,main!$A$57:$I$59,4,FALSE)+VLOOKUP(VLOOKUP(AR$1,main!$A$3:$I$56,7,FALSE),main!$K$10:$Q$14,5,FALSE),1,0)</f>
        <v>0</v>
      </c>
      <c r="AS129">
        <f>IF(VLOOKUP(AS$1,main!$A$3:$I$56,5,FALSE)-VLOOKUP($A129,main!$A$3:$I$56,6,FALSE)&gt;=VLOOKUP(57,main!$A$57:$I$59,4,FALSE)+VLOOKUP(VLOOKUP(AS$1,main!$A$3:$I$56,7,FALSE),main!$K$10:$Q$14,5,FALSE),1,0)</f>
        <v>0</v>
      </c>
      <c r="AT129">
        <f>IF(VLOOKUP(AT$1,main!$A$3:$I$56,5,FALSE)-VLOOKUP($A129,main!$A$3:$I$56,6,FALSE)&gt;=VLOOKUP(57,main!$A$57:$I$59,4,FALSE)+VLOOKUP(VLOOKUP(AT$1,main!$A$3:$I$56,7,FALSE),main!$K$10:$Q$14,5,FALSE),1,0)</f>
        <v>0</v>
      </c>
      <c r="AU129">
        <f>IF(VLOOKUP(AU$1,main!$A$3:$I$56,5,FALSE)-VLOOKUP($A129,main!$A$3:$I$56,6,FALSE)&gt;=VLOOKUP(57,main!$A$57:$I$59,4,FALSE)+VLOOKUP(VLOOKUP(AU$1,main!$A$3:$I$56,7,FALSE),main!$K$10:$Q$14,5,FALSE),1,0)</f>
        <v>0</v>
      </c>
      <c r="AV129">
        <f>IF(VLOOKUP(AV$1,main!$A$3:$I$56,5,FALSE)-VLOOKUP($A129,main!$A$3:$I$56,6,FALSE)&gt;=VLOOKUP(57,main!$A$57:$I$59,4,FALSE)+VLOOKUP(VLOOKUP(AV$1,main!$A$3:$I$56,7,FALSE),main!$K$10:$Q$14,5,FALSE),1,0)</f>
        <v>0</v>
      </c>
      <c r="AW129">
        <f>IF(VLOOKUP(AW$1,main!$A$3:$I$56,5,FALSE)-VLOOKUP($A129,main!$A$3:$I$56,6,FALSE)&gt;=VLOOKUP(57,main!$A$57:$I$59,4,FALSE)+VLOOKUP(VLOOKUP(AW$1,main!$A$3:$I$56,7,FALSE),main!$K$10:$Q$14,5,FALSE),1,0)</f>
        <v>0</v>
      </c>
      <c r="AX129">
        <f>IF(VLOOKUP(AX$1,main!$A$3:$I$56,5,FALSE)-VLOOKUP($A129,main!$A$3:$I$56,6,FALSE)&gt;=VLOOKUP(57,main!$A$57:$I$59,4,FALSE)+VLOOKUP(VLOOKUP(AX$1,main!$A$3:$I$56,7,FALSE),main!$K$10:$Q$14,5,FALSE),1,0)</f>
        <v>0</v>
      </c>
      <c r="AY129">
        <f>IF(VLOOKUP(AY$1,main!$A$3:$I$56,5,FALSE)-VLOOKUP($A129,main!$A$3:$I$56,6,FALSE)&gt;=VLOOKUP(57,main!$A$57:$I$59,4,FALSE)+VLOOKUP(VLOOKUP(AY$1,main!$A$3:$I$56,7,FALSE),main!$K$10:$Q$14,5,FALSE),1,0)</f>
        <v>0</v>
      </c>
      <c r="AZ129">
        <f>IF(VLOOKUP(AZ$1,main!$A$3:$I$56,5,FALSE)-VLOOKUP($A129,main!$A$3:$I$56,6,FALSE)&gt;=VLOOKUP(57,main!$A$57:$I$59,4,FALSE)+VLOOKUP(VLOOKUP(AZ$1,main!$A$3:$I$56,7,FALSE),main!$K$10:$Q$14,5,FALSE),1,0)</f>
        <v>0</v>
      </c>
      <c r="BA129">
        <f>IF(VLOOKUP(BA$1,main!$A$3:$I$56,5,FALSE)-VLOOKUP($A129,main!$A$3:$I$56,6,FALSE)&gt;=VLOOKUP(57,main!$A$57:$I$59,4,FALSE)+VLOOKUP(VLOOKUP(BA$1,main!$A$3:$I$56,7,FALSE),main!$K$10:$Q$14,5,FALSE),1,0)</f>
        <v>0</v>
      </c>
      <c r="BB129">
        <f>IF(VLOOKUP(BB$1,main!$A$3:$I$56,5,FALSE)-VLOOKUP($A129,main!$A$3:$I$56,6,FALSE)&gt;=VLOOKUP(57,main!$A$57:$I$59,4,FALSE)+VLOOKUP(VLOOKUP(BB$1,main!$A$3:$I$56,7,FALSE),main!$K$10:$Q$14,5,FALSE),1,0)</f>
        <v>0</v>
      </c>
      <c r="BC129">
        <f>IF(VLOOKUP(BC$1,main!$A$3:$I$56,5,FALSE)-VLOOKUP($A129,main!$A$3:$I$56,6,FALSE)&gt;=VLOOKUP(57,main!$A$57:$I$59,4,FALSE)+VLOOKUP(VLOOKUP(BC$1,main!$A$3:$I$56,7,FALSE),main!$K$10:$Q$14,5,FALSE),1,0)</f>
        <v>0</v>
      </c>
      <c r="BD129">
        <f>IF(VLOOKUP(BD$1,main!$A$3:$I$56,5,FALSE)-VLOOKUP($A129,main!$A$3:$I$56,6,FALSE)&gt;=VLOOKUP(57,main!$A$57:$I$59,4,FALSE)+VLOOKUP(VLOOKUP(BD$1,main!$A$3:$I$56,7,FALSE),main!$K$10:$Q$14,5,FALSE),1,0)</f>
        <v>0</v>
      </c>
    </row>
    <row r="130" spans="1:56" x14ac:dyDescent="0.25">
      <c r="A130">
        <f t="shared" si="2"/>
        <v>18</v>
      </c>
      <c r="B130">
        <v>0</v>
      </c>
      <c r="C130">
        <f>IF(VLOOKUP(C$1,main!$A$3:$I$56,5,FALSE)-VLOOKUP($A130,main!$A$3:$I$56,6,FALSE)&gt;=VLOOKUP(57,main!$A$57:$I$59,4,FALSE)+VLOOKUP(VLOOKUP(C$1,main!$A$3:$I$56,7,FALSE),main!$K$10:$Q$14,5,FALSE),1,0)</f>
        <v>0</v>
      </c>
      <c r="D130">
        <f>IF(VLOOKUP(D$1,main!$A$3:$I$56,5,FALSE)-VLOOKUP($A130,main!$A$3:$I$56,6,FALSE)&gt;=VLOOKUP(57,main!$A$57:$I$59,4,FALSE)+VLOOKUP(VLOOKUP(D$1,main!$A$3:$I$56,7,FALSE),main!$K$10:$Q$14,5,FALSE),1,0)</f>
        <v>0</v>
      </c>
      <c r="E130">
        <f>IF(VLOOKUP(E$1,main!$A$3:$I$56,5,FALSE)-VLOOKUP($A130,main!$A$3:$I$56,6,FALSE)&gt;=VLOOKUP(57,main!$A$57:$I$59,4,FALSE)+VLOOKUP(VLOOKUP(E$1,main!$A$3:$I$56,7,FALSE),main!$K$10:$Q$14,5,FALSE),1,0)</f>
        <v>0</v>
      </c>
      <c r="F130">
        <f>IF(VLOOKUP(F$1,main!$A$3:$I$56,5,FALSE)-VLOOKUP($A130,main!$A$3:$I$56,6,FALSE)&gt;=VLOOKUP(57,main!$A$57:$I$59,4,FALSE)+VLOOKUP(VLOOKUP(F$1,main!$A$3:$I$56,7,FALSE),main!$K$10:$Q$14,5,FALSE),1,0)</f>
        <v>0</v>
      </c>
      <c r="G130">
        <f>IF(VLOOKUP(G$1,main!$A$3:$I$56,5,FALSE)-VLOOKUP($A130,main!$A$3:$I$56,6,FALSE)&gt;=VLOOKUP(57,main!$A$57:$I$59,4,FALSE)+VLOOKUP(VLOOKUP(G$1,main!$A$3:$I$56,7,FALSE),main!$K$10:$Q$14,5,FALSE),1,0)</f>
        <v>0</v>
      </c>
      <c r="H130">
        <f>IF(VLOOKUP(H$1,main!$A$3:$I$56,5,FALSE)-VLOOKUP($A130,main!$A$3:$I$56,6,FALSE)&gt;=VLOOKUP(57,main!$A$57:$I$59,4,FALSE)+VLOOKUP(VLOOKUP(H$1,main!$A$3:$I$56,7,FALSE),main!$K$10:$Q$14,5,FALSE),1,0)</f>
        <v>0</v>
      </c>
      <c r="I130">
        <f>IF(VLOOKUP(I$1,main!$A$3:$I$56,5,FALSE)-VLOOKUP($A130,main!$A$3:$I$56,6,FALSE)&gt;=VLOOKUP(57,main!$A$57:$I$59,4,FALSE)+VLOOKUP(VLOOKUP(I$1,main!$A$3:$I$56,7,FALSE),main!$K$10:$Q$14,5,FALSE),1,0)</f>
        <v>0</v>
      </c>
      <c r="J130">
        <f>IF(VLOOKUP(J$1,main!$A$3:$I$56,5,FALSE)-VLOOKUP($A130,main!$A$3:$I$56,6,FALSE)&gt;=VLOOKUP(57,main!$A$57:$I$59,4,FALSE)+VLOOKUP(VLOOKUP(J$1,main!$A$3:$I$56,7,FALSE),main!$K$10:$Q$14,5,FALSE),1,0)</f>
        <v>0</v>
      </c>
      <c r="K130">
        <f>IF(VLOOKUP(K$1,main!$A$3:$I$56,5,FALSE)-VLOOKUP($A130,main!$A$3:$I$56,6,FALSE)&gt;=VLOOKUP(57,main!$A$57:$I$59,4,FALSE)+VLOOKUP(VLOOKUP(K$1,main!$A$3:$I$56,7,FALSE),main!$K$10:$Q$14,5,FALSE),1,0)</f>
        <v>0</v>
      </c>
      <c r="L130">
        <f>IF(VLOOKUP(L$1,main!$A$3:$I$56,5,FALSE)-VLOOKUP($A130,main!$A$3:$I$56,6,FALSE)&gt;=VLOOKUP(57,main!$A$57:$I$59,4,FALSE)+VLOOKUP(VLOOKUP(L$1,main!$A$3:$I$56,7,FALSE),main!$K$10:$Q$14,5,FALSE),1,0)</f>
        <v>0</v>
      </c>
      <c r="M130">
        <f>IF(VLOOKUP(M$1,main!$A$3:$I$56,5,FALSE)-VLOOKUP($A130,main!$A$3:$I$56,6,FALSE)&gt;=VLOOKUP(57,main!$A$57:$I$59,4,FALSE)+VLOOKUP(VLOOKUP(M$1,main!$A$3:$I$56,7,FALSE),main!$K$10:$Q$14,5,FALSE),1,0)</f>
        <v>0</v>
      </c>
      <c r="N130">
        <f>IF(VLOOKUP(N$1,main!$A$3:$I$56,5,FALSE)-VLOOKUP($A130,main!$A$3:$I$56,6,FALSE)&gt;=VLOOKUP(57,main!$A$57:$I$59,4,FALSE)+VLOOKUP(VLOOKUP(N$1,main!$A$3:$I$56,7,FALSE),main!$K$10:$Q$14,5,FALSE),1,0)</f>
        <v>0</v>
      </c>
      <c r="O130">
        <f>IF(VLOOKUP(O$1,main!$A$3:$I$56,5,FALSE)-VLOOKUP($A130,main!$A$3:$I$56,6,FALSE)&gt;=VLOOKUP(57,main!$A$57:$I$59,4,FALSE)+VLOOKUP(VLOOKUP(O$1,main!$A$3:$I$56,7,FALSE),main!$K$10:$Q$14,5,FALSE),1,0)</f>
        <v>0</v>
      </c>
      <c r="P130">
        <f>IF(VLOOKUP(P$1,main!$A$3:$I$56,5,FALSE)-VLOOKUP($A130,main!$A$3:$I$56,6,FALSE)&gt;=VLOOKUP(57,main!$A$57:$I$59,4,FALSE)+VLOOKUP(VLOOKUP(P$1,main!$A$3:$I$56,7,FALSE),main!$K$10:$Q$14,5,FALSE),1,0)</f>
        <v>0</v>
      </c>
      <c r="Q130">
        <f>IF(VLOOKUP(Q$1,main!$A$3:$I$56,5,FALSE)-VLOOKUP($A130,main!$A$3:$I$56,6,FALSE)&gt;=VLOOKUP(57,main!$A$57:$I$59,4,FALSE)+VLOOKUP(VLOOKUP(Q$1,main!$A$3:$I$56,7,FALSE),main!$K$10:$Q$14,5,FALSE),1,0)</f>
        <v>0</v>
      </c>
      <c r="R130">
        <f>IF(VLOOKUP(R$1,main!$A$3:$I$56,5,FALSE)-VLOOKUP($A130,main!$A$3:$I$56,6,FALSE)&gt;=VLOOKUP(57,main!$A$57:$I$59,4,FALSE)+VLOOKUP(VLOOKUP(R$1,main!$A$3:$I$56,7,FALSE),main!$K$10:$Q$14,5,FALSE),1,0)</f>
        <v>0</v>
      </c>
      <c r="S130">
        <f>IF(VLOOKUP(S$1,main!$A$3:$I$56,5,FALSE)-VLOOKUP($A130,main!$A$3:$I$56,6,FALSE)&gt;=VLOOKUP(57,main!$A$57:$I$59,4,FALSE)+VLOOKUP(VLOOKUP(S$1,main!$A$3:$I$56,7,FALSE),main!$K$10:$Q$14,5,FALSE),1,0)</f>
        <v>0</v>
      </c>
      <c r="T130">
        <f>IF(VLOOKUP(T$1,main!$A$3:$I$56,5,FALSE)-VLOOKUP($A130,main!$A$3:$I$56,6,FALSE)&gt;=VLOOKUP(57,main!$A$57:$I$59,4,FALSE)+VLOOKUP(VLOOKUP(T$1,main!$A$3:$I$56,7,FALSE),main!$K$10:$Q$14,5,FALSE),1,0)</f>
        <v>0</v>
      </c>
      <c r="U130">
        <f>IF(VLOOKUP(U$1,main!$A$3:$I$56,5,FALSE)-VLOOKUP($A130,main!$A$3:$I$56,6,FALSE)&gt;=VLOOKUP(57,main!$A$57:$I$59,4,FALSE)+VLOOKUP(VLOOKUP(U$1,main!$A$3:$I$56,7,FALSE),main!$K$10:$Q$14,5,FALSE),1,0)</f>
        <v>0</v>
      </c>
      <c r="V130">
        <f>IF(VLOOKUP(V$1,main!$A$3:$I$56,5,FALSE)-VLOOKUP($A130,main!$A$3:$I$56,6,FALSE)&gt;=VLOOKUP(57,main!$A$57:$I$59,4,FALSE)+VLOOKUP(VLOOKUP(V$1,main!$A$3:$I$56,7,FALSE),main!$K$10:$Q$14,5,FALSE),1,0)</f>
        <v>0</v>
      </c>
      <c r="W130">
        <f>IF(VLOOKUP(W$1,main!$A$3:$I$56,5,FALSE)-VLOOKUP($A130,main!$A$3:$I$56,6,FALSE)&gt;=VLOOKUP(57,main!$A$57:$I$59,4,FALSE)+VLOOKUP(VLOOKUP(W$1,main!$A$3:$I$56,7,FALSE),main!$K$10:$Q$14,5,FALSE),1,0)</f>
        <v>0</v>
      </c>
      <c r="X130">
        <f>IF(VLOOKUP(X$1,main!$A$3:$I$56,5,FALSE)-VLOOKUP($A130,main!$A$3:$I$56,6,FALSE)&gt;=VLOOKUP(57,main!$A$57:$I$59,4,FALSE)+VLOOKUP(VLOOKUP(X$1,main!$A$3:$I$56,7,FALSE),main!$K$10:$Q$14,5,FALSE),1,0)</f>
        <v>0</v>
      </c>
      <c r="Y130">
        <f>IF(VLOOKUP(Y$1,main!$A$3:$I$56,5,FALSE)-VLOOKUP($A130,main!$A$3:$I$56,6,FALSE)&gt;=VLOOKUP(57,main!$A$57:$I$59,4,FALSE)+VLOOKUP(VLOOKUP(Y$1,main!$A$3:$I$56,7,FALSE),main!$K$10:$Q$14,5,FALSE),1,0)</f>
        <v>0</v>
      </c>
      <c r="Z130">
        <f>IF(VLOOKUP(Z$1,main!$A$3:$I$56,5,FALSE)-VLOOKUP($A130,main!$A$3:$I$56,6,FALSE)&gt;=VLOOKUP(57,main!$A$57:$I$59,4,FALSE)+VLOOKUP(VLOOKUP(Z$1,main!$A$3:$I$56,7,FALSE),main!$K$10:$Q$14,5,FALSE),1,0)</f>
        <v>0</v>
      </c>
      <c r="AA130">
        <f>IF(VLOOKUP(AA$1,main!$A$3:$I$56,5,FALSE)-VLOOKUP($A130,main!$A$3:$I$56,6,FALSE)&gt;=VLOOKUP(57,main!$A$57:$I$59,4,FALSE)+VLOOKUP(VLOOKUP(AA$1,main!$A$3:$I$56,7,FALSE),main!$K$10:$Q$14,5,FALSE),1,0)</f>
        <v>0</v>
      </c>
      <c r="AB130">
        <f>IF(VLOOKUP(AB$1,main!$A$3:$I$56,5,FALSE)-VLOOKUP($A130,main!$A$3:$I$56,6,FALSE)&gt;=VLOOKUP(57,main!$A$57:$I$59,4,FALSE)+VLOOKUP(VLOOKUP(AB$1,main!$A$3:$I$56,7,FALSE),main!$K$10:$Q$14,5,FALSE),1,0)</f>
        <v>0</v>
      </c>
      <c r="AC130">
        <f>IF(VLOOKUP(AC$1,main!$A$3:$I$56,5,FALSE)-VLOOKUP($A130,main!$A$3:$I$56,6,FALSE)&gt;=VLOOKUP(57,main!$A$57:$I$59,4,FALSE)+VLOOKUP(VLOOKUP(AC$1,main!$A$3:$I$56,7,FALSE),main!$K$10:$Q$14,5,FALSE),1,0)</f>
        <v>0</v>
      </c>
      <c r="AD130">
        <f>IF(VLOOKUP(AD$1,main!$A$3:$I$56,5,FALSE)-VLOOKUP($A130,main!$A$3:$I$56,6,FALSE)&gt;=VLOOKUP(57,main!$A$57:$I$59,4,FALSE)+VLOOKUP(VLOOKUP(AD$1,main!$A$3:$I$56,7,FALSE),main!$K$10:$Q$14,5,FALSE),1,0)</f>
        <v>0</v>
      </c>
      <c r="AE130">
        <f>IF(VLOOKUP(AE$1,main!$A$3:$I$56,5,FALSE)-VLOOKUP($A130,main!$A$3:$I$56,6,FALSE)&gt;=VLOOKUP(57,main!$A$57:$I$59,4,FALSE)+VLOOKUP(VLOOKUP(AE$1,main!$A$3:$I$56,7,FALSE),main!$K$10:$Q$14,5,FALSE),1,0)</f>
        <v>0</v>
      </c>
      <c r="AF130">
        <f>IF(VLOOKUP(AF$1,main!$A$3:$I$56,5,FALSE)-VLOOKUP($A130,main!$A$3:$I$56,6,FALSE)&gt;=VLOOKUP(57,main!$A$57:$I$59,4,FALSE)+VLOOKUP(VLOOKUP(AF$1,main!$A$3:$I$56,7,FALSE),main!$K$10:$Q$14,5,FALSE),1,0)</f>
        <v>0</v>
      </c>
      <c r="AG130">
        <f>IF(VLOOKUP(AG$1,main!$A$3:$I$56,5,FALSE)-VLOOKUP($A130,main!$A$3:$I$56,6,FALSE)&gt;=VLOOKUP(57,main!$A$57:$I$59,4,FALSE)+VLOOKUP(VLOOKUP(AG$1,main!$A$3:$I$56,7,FALSE),main!$K$10:$Q$14,5,FALSE),1,0)</f>
        <v>0</v>
      </c>
      <c r="AH130">
        <f>IF(VLOOKUP(AH$1,main!$A$3:$I$56,5,FALSE)-VLOOKUP($A130,main!$A$3:$I$56,6,FALSE)&gt;=VLOOKUP(57,main!$A$57:$I$59,4,FALSE)+VLOOKUP(VLOOKUP(AH$1,main!$A$3:$I$56,7,FALSE),main!$K$10:$Q$14,5,FALSE),1,0)</f>
        <v>0</v>
      </c>
      <c r="AI130">
        <f>IF(VLOOKUP(AI$1,main!$A$3:$I$56,5,FALSE)-VLOOKUP($A130,main!$A$3:$I$56,6,FALSE)&gt;=VLOOKUP(57,main!$A$57:$I$59,4,FALSE)+VLOOKUP(VLOOKUP(AI$1,main!$A$3:$I$56,7,FALSE),main!$K$10:$Q$14,5,FALSE),1,0)</f>
        <v>0</v>
      </c>
      <c r="AJ130">
        <f>IF(VLOOKUP(AJ$1,main!$A$3:$I$56,5,FALSE)-VLOOKUP($A130,main!$A$3:$I$56,6,FALSE)&gt;=VLOOKUP(57,main!$A$57:$I$59,4,FALSE)+VLOOKUP(VLOOKUP(AJ$1,main!$A$3:$I$56,7,FALSE),main!$K$10:$Q$14,5,FALSE),1,0)</f>
        <v>0</v>
      </c>
      <c r="AK130">
        <f>IF(VLOOKUP(AK$1,main!$A$3:$I$56,5,FALSE)-VLOOKUP($A130,main!$A$3:$I$56,6,FALSE)&gt;=VLOOKUP(57,main!$A$57:$I$59,4,FALSE)+VLOOKUP(VLOOKUP(AK$1,main!$A$3:$I$56,7,FALSE),main!$K$10:$Q$14,5,FALSE),1,0)</f>
        <v>0</v>
      </c>
      <c r="AL130">
        <f>IF(VLOOKUP(AL$1,main!$A$3:$I$56,5,FALSE)-VLOOKUP($A130,main!$A$3:$I$56,6,FALSE)&gt;=VLOOKUP(57,main!$A$57:$I$59,4,FALSE)+VLOOKUP(VLOOKUP(AL$1,main!$A$3:$I$56,7,FALSE),main!$K$10:$Q$14,5,FALSE),1,0)</f>
        <v>0</v>
      </c>
      <c r="AM130">
        <f>IF(VLOOKUP(AM$1,main!$A$3:$I$56,5,FALSE)-VLOOKUP($A130,main!$A$3:$I$56,6,FALSE)&gt;=VLOOKUP(57,main!$A$57:$I$59,4,FALSE)+VLOOKUP(VLOOKUP(AM$1,main!$A$3:$I$56,7,FALSE),main!$K$10:$Q$14,5,FALSE),1,0)</f>
        <v>0</v>
      </c>
      <c r="AN130">
        <f>IF(VLOOKUP(AN$1,main!$A$3:$I$56,5,FALSE)-VLOOKUP($A130,main!$A$3:$I$56,6,FALSE)&gt;=VLOOKUP(57,main!$A$57:$I$59,4,FALSE)+VLOOKUP(VLOOKUP(AN$1,main!$A$3:$I$56,7,FALSE),main!$K$10:$Q$14,5,FALSE),1,0)</f>
        <v>0</v>
      </c>
      <c r="AO130">
        <f>IF(VLOOKUP(AO$1,main!$A$3:$I$56,5,FALSE)-VLOOKUP($A130,main!$A$3:$I$56,6,FALSE)&gt;=VLOOKUP(57,main!$A$57:$I$59,4,FALSE)+VLOOKUP(VLOOKUP(AO$1,main!$A$3:$I$56,7,FALSE),main!$K$10:$Q$14,5,FALSE),1,0)</f>
        <v>0</v>
      </c>
      <c r="AP130">
        <f>IF(VLOOKUP(AP$1,main!$A$3:$I$56,5,FALSE)-VLOOKUP($A130,main!$A$3:$I$56,6,FALSE)&gt;=VLOOKUP(57,main!$A$57:$I$59,4,FALSE)+VLOOKUP(VLOOKUP(AP$1,main!$A$3:$I$56,7,FALSE),main!$K$10:$Q$14,5,FALSE),1,0)</f>
        <v>0</v>
      </c>
      <c r="AQ130">
        <f>IF(VLOOKUP(AQ$1,main!$A$3:$I$56,5,FALSE)-VLOOKUP($A130,main!$A$3:$I$56,6,FALSE)&gt;=VLOOKUP(57,main!$A$57:$I$59,4,FALSE)+VLOOKUP(VLOOKUP(AQ$1,main!$A$3:$I$56,7,FALSE),main!$K$10:$Q$14,5,FALSE),1,0)</f>
        <v>0</v>
      </c>
      <c r="AR130">
        <f>IF(VLOOKUP(AR$1,main!$A$3:$I$56,5,FALSE)-VLOOKUP($A130,main!$A$3:$I$56,6,FALSE)&gt;=VLOOKUP(57,main!$A$57:$I$59,4,FALSE)+VLOOKUP(VLOOKUP(AR$1,main!$A$3:$I$56,7,FALSE),main!$K$10:$Q$14,5,FALSE),1,0)</f>
        <v>0</v>
      </c>
      <c r="AS130">
        <f>IF(VLOOKUP(AS$1,main!$A$3:$I$56,5,FALSE)-VLOOKUP($A130,main!$A$3:$I$56,6,FALSE)&gt;=VLOOKUP(57,main!$A$57:$I$59,4,FALSE)+VLOOKUP(VLOOKUP(AS$1,main!$A$3:$I$56,7,FALSE),main!$K$10:$Q$14,5,FALSE),1,0)</f>
        <v>0</v>
      </c>
      <c r="AT130">
        <f>IF(VLOOKUP(AT$1,main!$A$3:$I$56,5,FALSE)-VLOOKUP($A130,main!$A$3:$I$56,6,FALSE)&gt;=VLOOKUP(57,main!$A$57:$I$59,4,FALSE)+VLOOKUP(VLOOKUP(AT$1,main!$A$3:$I$56,7,FALSE),main!$K$10:$Q$14,5,FALSE),1,0)</f>
        <v>0</v>
      </c>
      <c r="AU130">
        <f>IF(VLOOKUP(AU$1,main!$A$3:$I$56,5,FALSE)-VLOOKUP($A130,main!$A$3:$I$56,6,FALSE)&gt;=VLOOKUP(57,main!$A$57:$I$59,4,FALSE)+VLOOKUP(VLOOKUP(AU$1,main!$A$3:$I$56,7,FALSE),main!$K$10:$Q$14,5,FALSE),1,0)</f>
        <v>0</v>
      </c>
      <c r="AV130">
        <f>IF(VLOOKUP(AV$1,main!$A$3:$I$56,5,FALSE)-VLOOKUP($A130,main!$A$3:$I$56,6,FALSE)&gt;=VLOOKUP(57,main!$A$57:$I$59,4,FALSE)+VLOOKUP(VLOOKUP(AV$1,main!$A$3:$I$56,7,FALSE),main!$K$10:$Q$14,5,FALSE),1,0)</f>
        <v>0</v>
      </c>
      <c r="AW130">
        <f>IF(VLOOKUP(AW$1,main!$A$3:$I$56,5,FALSE)-VLOOKUP($A130,main!$A$3:$I$56,6,FALSE)&gt;=VLOOKUP(57,main!$A$57:$I$59,4,FALSE)+VLOOKUP(VLOOKUP(AW$1,main!$A$3:$I$56,7,FALSE),main!$K$10:$Q$14,5,FALSE),1,0)</f>
        <v>0</v>
      </c>
      <c r="AX130">
        <f>IF(VLOOKUP(AX$1,main!$A$3:$I$56,5,FALSE)-VLOOKUP($A130,main!$A$3:$I$56,6,FALSE)&gt;=VLOOKUP(57,main!$A$57:$I$59,4,FALSE)+VLOOKUP(VLOOKUP(AX$1,main!$A$3:$I$56,7,FALSE),main!$K$10:$Q$14,5,FALSE),1,0)</f>
        <v>0</v>
      </c>
      <c r="AY130">
        <f>IF(VLOOKUP(AY$1,main!$A$3:$I$56,5,FALSE)-VLOOKUP($A130,main!$A$3:$I$56,6,FALSE)&gt;=VLOOKUP(57,main!$A$57:$I$59,4,FALSE)+VLOOKUP(VLOOKUP(AY$1,main!$A$3:$I$56,7,FALSE),main!$K$10:$Q$14,5,FALSE),1,0)</f>
        <v>0</v>
      </c>
      <c r="AZ130">
        <f>IF(VLOOKUP(AZ$1,main!$A$3:$I$56,5,FALSE)-VLOOKUP($A130,main!$A$3:$I$56,6,FALSE)&gt;=VLOOKUP(57,main!$A$57:$I$59,4,FALSE)+VLOOKUP(VLOOKUP(AZ$1,main!$A$3:$I$56,7,FALSE),main!$K$10:$Q$14,5,FALSE),1,0)</f>
        <v>0</v>
      </c>
      <c r="BA130">
        <f>IF(VLOOKUP(BA$1,main!$A$3:$I$56,5,FALSE)-VLOOKUP($A130,main!$A$3:$I$56,6,FALSE)&gt;=VLOOKUP(57,main!$A$57:$I$59,4,FALSE)+VLOOKUP(VLOOKUP(BA$1,main!$A$3:$I$56,7,FALSE),main!$K$10:$Q$14,5,FALSE),1,0)</f>
        <v>0</v>
      </c>
      <c r="BB130">
        <f>IF(VLOOKUP(BB$1,main!$A$3:$I$56,5,FALSE)-VLOOKUP($A130,main!$A$3:$I$56,6,FALSE)&gt;=VLOOKUP(57,main!$A$57:$I$59,4,FALSE)+VLOOKUP(VLOOKUP(BB$1,main!$A$3:$I$56,7,FALSE),main!$K$10:$Q$14,5,FALSE),1,0)</f>
        <v>0</v>
      </c>
      <c r="BC130">
        <f>IF(VLOOKUP(BC$1,main!$A$3:$I$56,5,FALSE)-VLOOKUP($A130,main!$A$3:$I$56,6,FALSE)&gt;=VLOOKUP(57,main!$A$57:$I$59,4,FALSE)+VLOOKUP(VLOOKUP(BC$1,main!$A$3:$I$56,7,FALSE),main!$K$10:$Q$14,5,FALSE),1,0)</f>
        <v>0</v>
      </c>
      <c r="BD130">
        <f>IF(VLOOKUP(BD$1,main!$A$3:$I$56,5,FALSE)-VLOOKUP($A130,main!$A$3:$I$56,6,FALSE)&gt;=VLOOKUP(57,main!$A$57:$I$59,4,FALSE)+VLOOKUP(VLOOKUP(BD$1,main!$A$3:$I$56,7,FALSE),main!$K$10:$Q$14,5,FALSE),1,0)</f>
        <v>0</v>
      </c>
    </row>
    <row r="131" spans="1:56" x14ac:dyDescent="0.25">
      <c r="A131">
        <f t="shared" si="2"/>
        <v>19</v>
      </c>
      <c r="B131">
        <v>0</v>
      </c>
      <c r="C131">
        <f>IF(VLOOKUP(C$1,main!$A$3:$I$56,5,FALSE)-VLOOKUP($A131,main!$A$3:$I$56,6,FALSE)&gt;=VLOOKUP(57,main!$A$57:$I$59,4,FALSE)+VLOOKUP(VLOOKUP(C$1,main!$A$3:$I$56,7,FALSE),main!$K$10:$Q$14,5,FALSE),1,0)</f>
        <v>0</v>
      </c>
      <c r="D131">
        <f>IF(VLOOKUP(D$1,main!$A$3:$I$56,5,FALSE)-VLOOKUP($A131,main!$A$3:$I$56,6,FALSE)&gt;=VLOOKUP(57,main!$A$57:$I$59,4,FALSE)+VLOOKUP(VLOOKUP(D$1,main!$A$3:$I$56,7,FALSE),main!$K$10:$Q$14,5,FALSE),1,0)</f>
        <v>0</v>
      </c>
      <c r="E131">
        <f>IF(VLOOKUP(E$1,main!$A$3:$I$56,5,FALSE)-VLOOKUP($A131,main!$A$3:$I$56,6,FALSE)&gt;=VLOOKUP(57,main!$A$57:$I$59,4,FALSE)+VLOOKUP(VLOOKUP(E$1,main!$A$3:$I$56,7,FALSE),main!$K$10:$Q$14,5,FALSE),1,0)</f>
        <v>0</v>
      </c>
      <c r="F131">
        <f>IF(VLOOKUP(F$1,main!$A$3:$I$56,5,FALSE)-VLOOKUP($A131,main!$A$3:$I$56,6,FALSE)&gt;=VLOOKUP(57,main!$A$57:$I$59,4,FALSE)+VLOOKUP(VLOOKUP(F$1,main!$A$3:$I$56,7,FALSE),main!$K$10:$Q$14,5,FALSE),1,0)</f>
        <v>1</v>
      </c>
      <c r="G131">
        <f>IF(VLOOKUP(G$1,main!$A$3:$I$56,5,FALSE)-VLOOKUP($A131,main!$A$3:$I$56,6,FALSE)&gt;=VLOOKUP(57,main!$A$57:$I$59,4,FALSE)+VLOOKUP(VLOOKUP(G$1,main!$A$3:$I$56,7,FALSE),main!$K$10:$Q$14,5,FALSE),1,0)</f>
        <v>1</v>
      </c>
      <c r="H131">
        <f>IF(VLOOKUP(H$1,main!$A$3:$I$56,5,FALSE)-VLOOKUP($A131,main!$A$3:$I$56,6,FALSE)&gt;=VLOOKUP(57,main!$A$57:$I$59,4,FALSE)+VLOOKUP(VLOOKUP(H$1,main!$A$3:$I$56,7,FALSE),main!$K$10:$Q$14,5,FALSE),1,0)</f>
        <v>1</v>
      </c>
      <c r="I131">
        <f>IF(VLOOKUP(I$1,main!$A$3:$I$56,5,FALSE)-VLOOKUP($A131,main!$A$3:$I$56,6,FALSE)&gt;=VLOOKUP(57,main!$A$57:$I$59,4,FALSE)+VLOOKUP(VLOOKUP(I$1,main!$A$3:$I$56,7,FALSE),main!$K$10:$Q$14,5,FALSE),1,0)</f>
        <v>1</v>
      </c>
      <c r="J131">
        <f>IF(VLOOKUP(J$1,main!$A$3:$I$56,5,FALSE)-VLOOKUP($A131,main!$A$3:$I$56,6,FALSE)&gt;=VLOOKUP(57,main!$A$57:$I$59,4,FALSE)+VLOOKUP(VLOOKUP(J$1,main!$A$3:$I$56,7,FALSE),main!$K$10:$Q$14,5,FALSE),1,0)</f>
        <v>1</v>
      </c>
      <c r="K131">
        <f>IF(VLOOKUP(K$1,main!$A$3:$I$56,5,FALSE)-VLOOKUP($A131,main!$A$3:$I$56,6,FALSE)&gt;=VLOOKUP(57,main!$A$57:$I$59,4,FALSE)+VLOOKUP(VLOOKUP(K$1,main!$A$3:$I$56,7,FALSE),main!$K$10:$Q$14,5,FALSE),1,0)</f>
        <v>0</v>
      </c>
      <c r="L131">
        <f>IF(VLOOKUP(L$1,main!$A$3:$I$56,5,FALSE)-VLOOKUP($A131,main!$A$3:$I$56,6,FALSE)&gt;=VLOOKUP(57,main!$A$57:$I$59,4,FALSE)+VLOOKUP(VLOOKUP(L$1,main!$A$3:$I$56,7,FALSE),main!$K$10:$Q$14,5,FALSE),1,0)</f>
        <v>0</v>
      </c>
      <c r="M131">
        <f>IF(VLOOKUP(M$1,main!$A$3:$I$56,5,FALSE)-VLOOKUP($A131,main!$A$3:$I$56,6,FALSE)&gt;=VLOOKUP(57,main!$A$57:$I$59,4,FALSE)+VLOOKUP(VLOOKUP(M$1,main!$A$3:$I$56,7,FALSE),main!$K$10:$Q$14,5,FALSE),1,0)</f>
        <v>0</v>
      </c>
      <c r="N131">
        <f>IF(VLOOKUP(N$1,main!$A$3:$I$56,5,FALSE)-VLOOKUP($A131,main!$A$3:$I$56,6,FALSE)&gt;=VLOOKUP(57,main!$A$57:$I$59,4,FALSE)+VLOOKUP(VLOOKUP(N$1,main!$A$3:$I$56,7,FALSE),main!$K$10:$Q$14,5,FALSE),1,0)</f>
        <v>1</v>
      </c>
      <c r="O131">
        <f>IF(VLOOKUP(O$1,main!$A$3:$I$56,5,FALSE)-VLOOKUP($A131,main!$A$3:$I$56,6,FALSE)&gt;=VLOOKUP(57,main!$A$57:$I$59,4,FALSE)+VLOOKUP(VLOOKUP(O$1,main!$A$3:$I$56,7,FALSE),main!$K$10:$Q$14,5,FALSE),1,0)</f>
        <v>1</v>
      </c>
      <c r="P131">
        <f>IF(VLOOKUP(P$1,main!$A$3:$I$56,5,FALSE)-VLOOKUP($A131,main!$A$3:$I$56,6,FALSE)&gt;=VLOOKUP(57,main!$A$57:$I$59,4,FALSE)+VLOOKUP(VLOOKUP(P$1,main!$A$3:$I$56,7,FALSE),main!$K$10:$Q$14,5,FALSE),1,0)</f>
        <v>0</v>
      </c>
      <c r="Q131">
        <f>IF(VLOOKUP(Q$1,main!$A$3:$I$56,5,FALSE)-VLOOKUP($A131,main!$A$3:$I$56,6,FALSE)&gt;=VLOOKUP(57,main!$A$57:$I$59,4,FALSE)+VLOOKUP(VLOOKUP(Q$1,main!$A$3:$I$56,7,FALSE),main!$K$10:$Q$14,5,FALSE),1,0)</f>
        <v>0</v>
      </c>
      <c r="R131">
        <f>IF(VLOOKUP(R$1,main!$A$3:$I$56,5,FALSE)-VLOOKUP($A131,main!$A$3:$I$56,6,FALSE)&gt;=VLOOKUP(57,main!$A$57:$I$59,4,FALSE)+VLOOKUP(VLOOKUP(R$1,main!$A$3:$I$56,7,FALSE),main!$K$10:$Q$14,5,FALSE),1,0)</f>
        <v>0</v>
      </c>
      <c r="S131">
        <f>IF(VLOOKUP(S$1,main!$A$3:$I$56,5,FALSE)-VLOOKUP($A131,main!$A$3:$I$56,6,FALSE)&gt;=VLOOKUP(57,main!$A$57:$I$59,4,FALSE)+VLOOKUP(VLOOKUP(S$1,main!$A$3:$I$56,7,FALSE),main!$K$10:$Q$14,5,FALSE),1,0)</f>
        <v>1</v>
      </c>
      <c r="T131">
        <f>IF(VLOOKUP(T$1,main!$A$3:$I$56,5,FALSE)-VLOOKUP($A131,main!$A$3:$I$56,6,FALSE)&gt;=VLOOKUP(57,main!$A$57:$I$59,4,FALSE)+VLOOKUP(VLOOKUP(T$1,main!$A$3:$I$56,7,FALSE),main!$K$10:$Q$14,5,FALSE),1,0)</f>
        <v>1</v>
      </c>
      <c r="U131">
        <f>IF(VLOOKUP(U$1,main!$A$3:$I$56,5,FALSE)-VLOOKUP($A131,main!$A$3:$I$56,6,FALSE)&gt;=VLOOKUP(57,main!$A$57:$I$59,4,FALSE)+VLOOKUP(VLOOKUP(U$1,main!$A$3:$I$56,7,FALSE),main!$K$10:$Q$14,5,FALSE),1,0)</f>
        <v>0</v>
      </c>
      <c r="V131">
        <f>IF(VLOOKUP(V$1,main!$A$3:$I$56,5,FALSE)-VLOOKUP($A131,main!$A$3:$I$56,6,FALSE)&gt;=VLOOKUP(57,main!$A$57:$I$59,4,FALSE)+VLOOKUP(VLOOKUP(V$1,main!$A$3:$I$56,7,FALSE),main!$K$10:$Q$14,5,FALSE),1,0)</f>
        <v>0</v>
      </c>
      <c r="W131">
        <f>IF(VLOOKUP(W$1,main!$A$3:$I$56,5,FALSE)-VLOOKUP($A131,main!$A$3:$I$56,6,FALSE)&gt;=VLOOKUP(57,main!$A$57:$I$59,4,FALSE)+VLOOKUP(VLOOKUP(W$1,main!$A$3:$I$56,7,FALSE),main!$K$10:$Q$14,5,FALSE),1,0)</f>
        <v>0</v>
      </c>
      <c r="X131">
        <f>IF(VLOOKUP(X$1,main!$A$3:$I$56,5,FALSE)-VLOOKUP($A131,main!$A$3:$I$56,6,FALSE)&gt;=VLOOKUP(57,main!$A$57:$I$59,4,FALSE)+VLOOKUP(VLOOKUP(X$1,main!$A$3:$I$56,7,FALSE),main!$K$10:$Q$14,5,FALSE),1,0)</f>
        <v>1</v>
      </c>
      <c r="Y131">
        <f>IF(VLOOKUP(Y$1,main!$A$3:$I$56,5,FALSE)-VLOOKUP($A131,main!$A$3:$I$56,6,FALSE)&gt;=VLOOKUP(57,main!$A$57:$I$59,4,FALSE)+VLOOKUP(VLOOKUP(Y$1,main!$A$3:$I$56,7,FALSE),main!$K$10:$Q$14,5,FALSE),1,0)</f>
        <v>1</v>
      </c>
      <c r="Z131">
        <f>IF(VLOOKUP(Z$1,main!$A$3:$I$56,5,FALSE)-VLOOKUP($A131,main!$A$3:$I$56,6,FALSE)&gt;=VLOOKUP(57,main!$A$57:$I$59,4,FALSE)+VLOOKUP(VLOOKUP(Z$1,main!$A$3:$I$56,7,FALSE),main!$K$10:$Q$14,5,FALSE),1,0)</f>
        <v>1</v>
      </c>
      <c r="AA131">
        <f>IF(VLOOKUP(AA$1,main!$A$3:$I$56,5,FALSE)-VLOOKUP($A131,main!$A$3:$I$56,6,FALSE)&gt;=VLOOKUP(57,main!$A$57:$I$59,4,FALSE)+VLOOKUP(VLOOKUP(AA$1,main!$A$3:$I$56,7,FALSE),main!$K$10:$Q$14,5,FALSE),1,0)</f>
        <v>1</v>
      </c>
      <c r="AB131">
        <f>IF(VLOOKUP(AB$1,main!$A$3:$I$56,5,FALSE)-VLOOKUP($A131,main!$A$3:$I$56,6,FALSE)&gt;=VLOOKUP(57,main!$A$57:$I$59,4,FALSE)+VLOOKUP(VLOOKUP(AB$1,main!$A$3:$I$56,7,FALSE),main!$K$10:$Q$14,5,FALSE),1,0)</f>
        <v>1</v>
      </c>
      <c r="AC131">
        <f>IF(VLOOKUP(AC$1,main!$A$3:$I$56,5,FALSE)-VLOOKUP($A131,main!$A$3:$I$56,6,FALSE)&gt;=VLOOKUP(57,main!$A$57:$I$59,4,FALSE)+VLOOKUP(VLOOKUP(AC$1,main!$A$3:$I$56,7,FALSE),main!$K$10:$Q$14,5,FALSE),1,0)</f>
        <v>0</v>
      </c>
      <c r="AD131">
        <f>IF(VLOOKUP(AD$1,main!$A$3:$I$56,5,FALSE)-VLOOKUP($A131,main!$A$3:$I$56,6,FALSE)&gt;=VLOOKUP(57,main!$A$57:$I$59,4,FALSE)+VLOOKUP(VLOOKUP(AD$1,main!$A$3:$I$56,7,FALSE),main!$K$10:$Q$14,5,FALSE),1,0)</f>
        <v>0</v>
      </c>
      <c r="AE131">
        <f>IF(VLOOKUP(AE$1,main!$A$3:$I$56,5,FALSE)-VLOOKUP($A131,main!$A$3:$I$56,6,FALSE)&gt;=VLOOKUP(57,main!$A$57:$I$59,4,FALSE)+VLOOKUP(VLOOKUP(AE$1,main!$A$3:$I$56,7,FALSE),main!$K$10:$Q$14,5,FALSE),1,0)</f>
        <v>1</v>
      </c>
      <c r="AF131">
        <f>IF(VLOOKUP(AF$1,main!$A$3:$I$56,5,FALSE)-VLOOKUP($A131,main!$A$3:$I$56,6,FALSE)&gt;=VLOOKUP(57,main!$A$57:$I$59,4,FALSE)+VLOOKUP(VLOOKUP(AF$1,main!$A$3:$I$56,7,FALSE),main!$K$10:$Q$14,5,FALSE),1,0)</f>
        <v>1</v>
      </c>
      <c r="AG131">
        <f>IF(VLOOKUP(AG$1,main!$A$3:$I$56,5,FALSE)-VLOOKUP($A131,main!$A$3:$I$56,6,FALSE)&gt;=VLOOKUP(57,main!$A$57:$I$59,4,FALSE)+VLOOKUP(VLOOKUP(AG$1,main!$A$3:$I$56,7,FALSE),main!$K$10:$Q$14,5,FALSE),1,0)</f>
        <v>0</v>
      </c>
      <c r="AH131">
        <f>IF(VLOOKUP(AH$1,main!$A$3:$I$56,5,FALSE)-VLOOKUP($A131,main!$A$3:$I$56,6,FALSE)&gt;=VLOOKUP(57,main!$A$57:$I$59,4,FALSE)+VLOOKUP(VLOOKUP(AH$1,main!$A$3:$I$56,7,FALSE),main!$K$10:$Q$14,5,FALSE),1,0)</f>
        <v>0</v>
      </c>
      <c r="AI131">
        <f>IF(VLOOKUP(AI$1,main!$A$3:$I$56,5,FALSE)-VLOOKUP($A131,main!$A$3:$I$56,6,FALSE)&gt;=VLOOKUP(57,main!$A$57:$I$59,4,FALSE)+VLOOKUP(VLOOKUP(AI$1,main!$A$3:$I$56,7,FALSE),main!$K$10:$Q$14,5,FALSE),1,0)</f>
        <v>0</v>
      </c>
      <c r="AJ131">
        <f>IF(VLOOKUP(AJ$1,main!$A$3:$I$56,5,FALSE)-VLOOKUP($A131,main!$A$3:$I$56,6,FALSE)&gt;=VLOOKUP(57,main!$A$57:$I$59,4,FALSE)+VLOOKUP(VLOOKUP(AJ$1,main!$A$3:$I$56,7,FALSE),main!$K$10:$Q$14,5,FALSE),1,0)</f>
        <v>1</v>
      </c>
      <c r="AK131">
        <f>IF(VLOOKUP(AK$1,main!$A$3:$I$56,5,FALSE)-VLOOKUP($A131,main!$A$3:$I$56,6,FALSE)&gt;=VLOOKUP(57,main!$A$57:$I$59,4,FALSE)+VLOOKUP(VLOOKUP(AK$1,main!$A$3:$I$56,7,FALSE),main!$K$10:$Q$14,5,FALSE),1,0)</f>
        <v>1</v>
      </c>
      <c r="AL131">
        <f>IF(VLOOKUP(AL$1,main!$A$3:$I$56,5,FALSE)-VLOOKUP($A131,main!$A$3:$I$56,6,FALSE)&gt;=VLOOKUP(57,main!$A$57:$I$59,4,FALSE)+VLOOKUP(VLOOKUP(AL$1,main!$A$3:$I$56,7,FALSE),main!$K$10:$Q$14,5,FALSE),1,0)</f>
        <v>0</v>
      </c>
      <c r="AM131">
        <f>IF(VLOOKUP(AM$1,main!$A$3:$I$56,5,FALSE)-VLOOKUP($A131,main!$A$3:$I$56,6,FALSE)&gt;=VLOOKUP(57,main!$A$57:$I$59,4,FALSE)+VLOOKUP(VLOOKUP(AM$1,main!$A$3:$I$56,7,FALSE),main!$K$10:$Q$14,5,FALSE),1,0)</f>
        <v>0</v>
      </c>
      <c r="AN131">
        <f>IF(VLOOKUP(AN$1,main!$A$3:$I$56,5,FALSE)-VLOOKUP($A131,main!$A$3:$I$56,6,FALSE)&gt;=VLOOKUP(57,main!$A$57:$I$59,4,FALSE)+VLOOKUP(VLOOKUP(AN$1,main!$A$3:$I$56,7,FALSE),main!$K$10:$Q$14,5,FALSE),1,0)</f>
        <v>1</v>
      </c>
      <c r="AO131">
        <f>IF(VLOOKUP(AO$1,main!$A$3:$I$56,5,FALSE)-VLOOKUP($A131,main!$A$3:$I$56,6,FALSE)&gt;=VLOOKUP(57,main!$A$57:$I$59,4,FALSE)+VLOOKUP(VLOOKUP(AO$1,main!$A$3:$I$56,7,FALSE),main!$K$10:$Q$14,5,FALSE),1,0)</f>
        <v>1</v>
      </c>
      <c r="AP131">
        <f>IF(VLOOKUP(AP$1,main!$A$3:$I$56,5,FALSE)-VLOOKUP($A131,main!$A$3:$I$56,6,FALSE)&gt;=VLOOKUP(57,main!$A$57:$I$59,4,FALSE)+VLOOKUP(VLOOKUP(AP$1,main!$A$3:$I$56,7,FALSE),main!$K$10:$Q$14,5,FALSE),1,0)</f>
        <v>0</v>
      </c>
      <c r="AQ131">
        <f>IF(VLOOKUP(AQ$1,main!$A$3:$I$56,5,FALSE)-VLOOKUP($A131,main!$A$3:$I$56,6,FALSE)&gt;=VLOOKUP(57,main!$A$57:$I$59,4,FALSE)+VLOOKUP(VLOOKUP(AQ$1,main!$A$3:$I$56,7,FALSE),main!$K$10:$Q$14,5,FALSE),1,0)</f>
        <v>0</v>
      </c>
      <c r="AR131">
        <f>IF(VLOOKUP(AR$1,main!$A$3:$I$56,5,FALSE)-VLOOKUP($A131,main!$A$3:$I$56,6,FALSE)&gt;=VLOOKUP(57,main!$A$57:$I$59,4,FALSE)+VLOOKUP(VLOOKUP(AR$1,main!$A$3:$I$56,7,FALSE),main!$K$10:$Q$14,5,FALSE),1,0)</f>
        <v>0</v>
      </c>
      <c r="AS131">
        <f>IF(VLOOKUP(AS$1,main!$A$3:$I$56,5,FALSE)-VLOOKUP($A131,main!$A$3:$I$56,6,FALSE)&gt;=VLOOKUP(57,main!$A$57:$I$59,4,FALSE)+VLOOKUP(VLOOKUP(AS$1,main!$A$3:$I$56,7,FALSE),main!$K$10:$Q$14,5,FALSE),1,0)</f>
        <v>0</v>
      </c>
      <c r="AT131">
        <f>IF(VLOOKUP(AT$1,main!$A$3:$I$56,5,FALSE)-VLOOKUP($A131,main!$A$3:$I$56,6,FALSE)&gt;=VLOOKUP(57,main!$A$57:$I$59,4,FALSE)+VLOOKUP(VLOOKUP(AT$1,main!$A$3:$I$56,7,FALSE),main!$K$10:$Q$14,5,FALSE),1,0)</f>
        <v>0</v>
      </c>
      <c r="AU131">
        <f>IF(VLOOKUP(AU$1,main!$A$3:$I$56,5,FALSE)-VLOOKUP($A131,main!$A$3:$I$56,6,FALSE)&gt;=VLOOKUP(57,main!$A$57:$I$59,4,FALSE)+VLOOKUP(VLOOKUP(AU$1,main!$A$3:$I$56,7,FALSE),main!$K$10:$Q$14,5,FALSE),1,0)</f>
        <v>0</v>
      </c>
      <c r="AV131">
        <f>IF(VLOOKUP(AV$1,main!$A$3:$I$56,5,FALSE)-VLOOKUP($A131,main!$A$3:$I$56,6,FALSE)&gt;=VLOOKUP(57,main!$A$57:$I$59,4,FALSE)+VLOOKUP(VLOOKUP(AV$1,main!$A$3:$I$56,7,FALSE),main!$K$10:$Q$14,5,FALSE),1,0)</f>
        <v>0</v>
      </c>
      <c r="AW131">
        <f>IF(VLOOKUP(AW$1,main!$A$3:$I$56,5,FALSE)-VLOOKUP($A131,main!$A$3:$I$56,6,FALSE)&gt;=VLOOKUP(57,main!$A$57:$I$59,4,FALSE)+VLOOKUP(VLOOKUP(AW$1,main!$A$3:$I$56,7,FALSE),main!$K$10:$Q$14,5,FALSE),1,0)</f>
        <v>0</v>
      </c>
      <c r="AX131">
        <f>IF(VLOOKUP(AX$1,main!$A$3:$I$56,5,FALSE)-VLOOKUP($A131,main!$A$3:$I$56,6,FALSE)&gt;=VLOOKUP(57,main!$A$57:$I$59,4,FALSE)+VLOOKUP(VLOOKUP(AX$1,main!$A$3:$I$56,7,FALSE),main!$K$10:$Q$14,5,FALSE),1,0)</f>
        <v>1</v>
      </c>
      <c r="AY131">
        <f>IF(VLOOKUP(AY$1,main!$A$3:$I$56,5,FALSE)-VLOOKUP($A131,main!$A$3:$I$56,6,FALSE)&gt;=VLOOKUP(57,main!$A$57:$I$59,4,FALSE)+VLOOKUP(VLOOKUP(AY$1,main!$A$3:$I$56,7,FALSE),main!$K$10:$Q$14,5,FALSE),1,0)</f>
        <v>1</v>
      </c>
      <c r="AZ131">
        <f>IF(VLOOKUP(AZ$1,main!$A$3:$I$56,5,FALSE)-VLOOKUP($A131,main!$A$3:$I$56,6,FALSE)&gt;=VLOOKUP(57,main!$A$57:$I$59,4,FALSE)+VLOOKUP(VLOOKUP(AZ$1,main!$A$3:$I$56,7,FALSE),main!$K$10:$Q$14,5,FALSE),1,0)</f>
        <v>0</v>
      </c>
      <c r="BA131">
        <f>IF(VLOOKUP(BA$1,main!$A$3:$I$56,5,FALSE)-VLOOKUP($A131,main!$A$3:$I$56,6,FALSE)&gt;=VLOOKUP(57,main!$A$57:$I$59,4,FALSE)+VLOOKUP(VLOOKUP(BA$1,main!$A$3:$I$56,7,FALSE),main!$K$10:$Q$14,5,FALSE),1,0)</f>
        <v>0</v>
      </c>
      <c r="BB131">
        <f>IF(VLOOKUP(BB$1,main!$A$3:$I$56,5,FALSE)-VLOOKUP($A131,main!$A$3:$I$56,6,FALSE)&gt;=VLOOKUP(57,main!$A$57:$I$59,4,FALSE)+VLOOKUP(VLOOKUP(BB$1,main!$A$3:$I$56,7,FALSE),main!$K$10:$Q$14,5,FALSE),1,0)</f>
        <v>0</v>
      </c>
      <c r="BC131">
        <f>IF(VLOOKUP(BC$1,main!$A$3:$I$56,5,FALSE)-VLOOKUP($A131,main!$A$3:$I$56,6,FALSE)&gt;=VLOOKUP(57,main!$A$57:$I$59,4,FALSE)+VLOOKUP(VLOOKUP(BC$1,main!$A$3:$I$56,7,FALSE),main!$K$10:$Q$14,5,FALSE),1,0)</f>
        <v>1</v>
      </c>
      <c r="BD131">
        <f>IF(VLOOKUP(BD$1,main!$A$3:$I$56,5,FALSE)-VLOOKUP($A131,main!$A$3:$I$56,6,FALSE)&gt;=VLOOKUP(57,main!$A$57:$I$59,4,FALSE)+VLOOKUP(VLOOKUP(BD$1,main!$A$3:$I$56,7,FALSE),main!$K$10:$Q$14,5,FALSE),1,0)</f>
        <v>1</v>
      </c>
    </row>
    <row r="132" spans="1:56" x14ac:dyDescent="0.25">
      <c r="A132">
        <f t="shared" si="2"/>
        <v>20</v>
      </c>
      <c r="B132">
        <v>0</v>
      </c>
      <c r="C132">
        <f>IF(VLOOKUP(C$1,main!$A$3:$I$56,5,FALSE)-VLOOKUP($A132,main!$A$3:$I$56,6,FALSE)&gt;=VLOOKUP(57,main!$A$57:$I$59,4,FALSE)+VLOOKUP(VLOOKUP(C$1,main!$A$3:$I$56,7,FALSE),main!$K$10:$Q$14,5,FALSE),1,0)</f>
        <v>0</v>
      </c>
      <c r="D132">
        <f>IF(VLOOKUP(D$1,main!$A$3:$I$56,5,FALSE)-VLOOKUP($A132,main!$A$3:$I$56,6,FALSE)&gt;=VLOOKUP(57,main!$A$57:$I$59,4,FALSE)+VLOOKUP(VLOOKUP(D$1,main!$A$3:$I$56,7,FALSE),main!$K$10:$Q$14,5,FALSE),1,0)</f>
        <v>0</v>
      </c>
      <c r="E132">
        <f>IF(VLOOKUP(E$1,main!$A$3:$I$56,5,FALSE)-VLOOKUP($A132,main!$A$3:$I$56,6,FALSE)&gt;=VLOOKUP(57,main!$A$57:$I$59,4,FALSE)+VLOOKUP(VLOOKUP(E$1,main!$A$3:$I$56,7,FALSE),main!$K$10:$Q$14,5,FALSE),1,0)</f>
        <v>0</v>
      </c>
      <c r="F132">
        <f>IF(VLOOKUP(F$1,main!$A$3:$I$56,5,FALSE)-VLOOKUP($A132,main!$A$3:$I$56,6,FALSE)&gt;=VLOOKUP(57,main!$A$57:$I$59,4,FALSE)+VLOOKUP(VLOOKUP(F$1,main!$A$3:$I$56,7,FALSE),main!$K$10:$Q$14,5,FALSE),1,0)</f>
        <v>0</v>
      </c>
      <c r="G132">
        <f>IF(VLOOKUP(G$1,main!$A$3:$I$56,5,FALSE)-VLOOKUP($A132,main!$A$3:$I$56,6,FALSE)&gt;=VLOOKUP(57,main!$A$57:$I$59,4,FALSE)+VLOOKUP(VLOOKUP(G$1,main!$A$3:$I$56,7,FALSE),main!$K$10:$Q$14,5,FALSE),1,0)</f>
        <v>1</v>
      </c>
      <c r="H132">
        <f>IF(VLOOKUP(H$1,main!$A$3:$I$56,5,FALSE)-VLOOKUP($A132,main!$A$3:$I$56,6,FALSE)&gt;=VLOOKUP(57,main!$A$57:$I$59,4,FALSE)+VLOOKUP(VLOOKUP(H$1,main!$A$3:$I$56,7,FALSE),main!$K$10:$Q$14,5,FALSE),1,0)</f>
        <v>1</v>
      </c>
      <c r="I132">
        <f>IF(VLOOKUP(I$1,main!$A$3:$I$56,5,FALSE)-VLOOKUP($A132,main!$A$3:$I$56,6,FALSE)&gt;=VLOOKUP(57,main!$A$57:$I$59,4,FALSE)+VLOOKUP(VLOOKUP(I$1,main!$A$3:$I$56,7,FALSE),main!$K$10:$Q$14,5,FALSE),1,0)</f>
        <v>1</v>
      </c>
      <c r="J132">
        <f>IF(VLOOKUP(J$1,main!$A$3:$I$56,5,FALSE)-VLOOKUP($A132,main!$A$3:$I$56,6,FALSE)&gt;=VLOOKUP(57,main!$A$57:$I$59,4,FALSE)+VLOOKUP(VLOOKUP(J$1,main!$A$3:$I$56,7,FALSE),main!$K$10:$Q$14,5,FALSE),1,0)</f>
        <v>1</v>
      </c>
      <c r="K132">
        <f>IF(VLOOKUP(K$1,main!$A$3:$I$56,5,FALSE)-VLOOKUP($A132,main!$A$3:$I$56,6,FALSE)&gt;=VLOOKUP(57,main!$A$57:$I$59,4,FALSE)+VLOOKUP(VLOOKUP(K$1,main!$A$3:$I$56,7,FALSE),main!$K$10:$Q$14,5,FALSE),1,0)</f>
        <v>0</v>
      </c>
      <c r="L132">
        <f>IF(VLOOKUP(L$1,main!$A$3:$I$56,5,FALSE)-VLOOKUP($A132,main!$A$3:$I$56,6,FALSE)&gt;=VLOOKUP(57,main!$A$57:$I$59,4,FALSE)+VLOOKUP(VLOOKUP(L$1,main!$A$3:$I$56,7,FALSE),main!$K$10:$Q$14,5,FALSE),1,0)</f>
        <v>0</v>
      </c>
      <c r="M132">
        <f>IF(VLOOKUP(M$1,main!$A$3:$I$56,5,FALSE)-VLOOKUP($A132,main!$A$3:$I$56,6,FALSE)&gt;=VLOOKUP(57,main!$A$57:$I$59,4,FALSE)+VLOOKUP(VLOOKUP(M$1,main!$A$3:$I$56,7,FALSE),main!$K$10:$Q$14,5,FALSE),1,0)</f>
        <v>0</v>
      </c>
      <c r="N132">
        <f>IF(VLOOKUP(N$1,main!$A$3:$I$56,5,FALSE)-VLOOKUP($A132,main!$A$3:$I$56,6,FALSE)&gt;=VLOOKUP(57,main!$A$57:$I$59,4,FALSE)+VLOOKUP(VLOOKUP(N$1,main!$A$3:$I$56,7,FALSE),main!$K$10:$Q$14,5,FALSE),1,0)</f>
        <v>1</v>
      </c>
      <c r="O132">
        <f>IF(VLOOKUP(O$1,main!$A$3:$I$56,5,FALSE)-VLOOKUP($A132,main!$A$3:$I$56,6,FALSE)&gt;=VLOOKUP(57,main!$A$57:$I$59,4,FALSE)+VLOOKUP(VLOOKUP(O$1,main!$A$3:$I$56,7,FALSE),main!$K$10:$Q$14,5,FALSE),1,0)</f>
        <v>1</v>
      </c>
      <c r="P132">
        <f>IF(VLOOKUP(P$1,main!$A$3:$I$56,5,FALSE)-VLOOKUP($A132,main!$A$3:$I$56,6,FALSE)&gt;=VLOOKUP(57,main!$A$57:$I$59,4,FALSE)+VLOOKUP(VLOOKUP(P$1,main!$A$3:$I$56,7,FALSE),main!$K$10:$Q$14,5,FALSE),1,0)</f>
        <v>0</v>
      </c>
      <c r="Q132">
        <f>IF(VLOOKUP(Q$1,main!$A$3:$I$56,5,FALSE)-VLOOKUP($A132,main!$A$3:$I$56,6,FALSE)&gt;=VLOOKUP(57,main!$A$57:$I$59,4,FALSE)+VLOOKUP(VLOOKUP(Q$1,main!$A$3:$I$56,7,FALSE),main!$K$10:$Q$14,5,FALSE),1,0)</f>
        <v>0</v>
      </c>
      <c r="R132">
        <f>IF(VLOOKUP(R$1,main!$A$3:$I$56,5,FALSE)-VLOOKUP($A132,main!$A$3:$I$56,6,FALSE)&gt;=VLOOKUP(57,main!$A$57:$I$59,4,FALSE)+VLOOKUP(VLOOKUP(R$1,main!$A$3:$I$56,7,FALSE),main!$K$10:$Q$14,5,FALSE),1,0)</f>
        <v>0</v>
      </c>
      <c r="S132">
        <f>IF(VLOOKUP(S$1,main!$A$3:$I$56,5,FALSE)-VLOOKUP($A132,main!$A$3:$I$56,6,FALSE)&gt;=VLOOKUP(57,main!$A$57:$I$59,4,FALSE)+VLOOKUP(VLOOKUP(S$1,main!$A$3:$I$56,7,FALSE),main!$K$10:$Q$14,5,FALSE),1,0)</f>
        <v>1</v>
      </c>
      <c r="T132">
        <f>IF(VLOOKUP(T$1,main!$A$3:$I$56,5,FALSE)-VLOOKUP($A132,main!$A$3:$I$56,6,FALSE)&gt;=VLOOKUP(57,main!$A$57:$I$59,4,FALSE)+VLOOKUP(VLOOKUP(T$1,main!$A$3:$I$56,7,FALSE),main!$K$10:$Q$14,5,FALSE),1,0)</f>
        <v>1</v>
      </c>
      <c r="U132">
        <f>IF(VLOOKUP(U$1,main!$A$3:$I$56,5,FALSE)-VLOOKUP($A132,main!$A$3:$I$56,6,FALSE)&gt;=VLOOKUP(57,main!$A$57:$I$59,4,FALSE)+VLOOKUP(VLOOKUP(U$1,main!$A$3:$I$56,7,FALSE),main!$K$10:$Q$14,5,FALSE),1,0)</f>
        <v>0</v>
      </c>
      <c r="V132">
        <f>IF(VLOOKUP(V$1,main!$A$3:$I$56,5,FALSE)-VLOOKUP($A132,main!$A$3:$I$56,6,FALSE)&gt;=VLOOKUP(57,main!$A$57:$I$59,4,FALSE)+VLOOKUP(VLOOKUP(V$1,main!$A$3:$I$56,7,FALSE),main!$K$10:$Q$14,5,FALSE),1,0)</f>
        <v>0</v>
      </c>
      <c r="W132">
        <f>IF(VLOOKUP(W$1,main!$A$3:$I$56,5,FALSE)-VLOOKUP($A132,main!$A$3:$I$56,6,FALSE)&gt;=VLOOKUP(57,main!$A$57:$I$59,4,FALSE)+VLOOKUP(VLOOKUP(W$1,main!$A$3:$I$56,7,FALSE),main!$K$10:$Q$14,5,FALSE),1,0)</f>
        <v>0</v>
      </c>
      <c r="X132">
        <f>IF(VLOOKUP(X$1,main!$A$3:$I$56,5,FALSE)-VLOOKUP($A132,main!$A$3:$I$56,6,FALSE)&gt;=VLOOKUP(57,main!$A$57:$I$59,4,FALSE)+VLOOKUP(VLOOKUP(X$1,main!$A$3:$I$56,7,FALSE),main!$K$10:$Q$14,5,FALSE),1,0)</f>
        <v>0</v>
      </c>
      <c r="Y132">
        <f>IF(VLOOKUP(Y$1,main!$A$3:$I$56,5,FALSE)-VLOOKUP($A132,main!$A$3:$I$56,6,FALSE)&gt;=VLOOKUP(57,main!$A$57:$I$59,4,FALSE)+VLOOKUP(VLOOKUP(Y$1,main!$A$3:$I$56,7,FALSE),main!$K$10:$Q$14,5,FALSE),1,0)</f>
        <v>1</v>
      </c>
      <c r="Z132">
        <f>IF(VLOOKUP(Z$1,main!$A$3:$I$56,5,FALSE)-VLOOKUP($A132,main!$A$3:$I$56,6,FALSE)&gt;=VLOOKUP(57,main!$A$57:$I$59,4,FALSE)+VLOOKUP(VLOOKUP(Z$1,main!$A$3:$I$56,7,FALSE),main!$K$10:$Q$14,5,FALSE),1,0)</f>
        <v>1</v>
      </c>
      <c r="AA132">
        <f>IF(VLOOKUP(AA$1,main!$A$3:$I$56,5,FALSE)-VLOOKUP($A132,main!$A$3:$I$56,6,FALSE)&gt;=VLOOKUP(57,main!$A$57:$I$59,4,FALSE)+VLOOKUP(VLOOKUP(AA$1,main!$A$3:$I$56,7,FALSE),main!$K$10:$Q$14,5,FALSE),1,0)</f>
        <v>1</v>
      </c>
      <c r="AB132">
        <f>IF(VLOOKUP(AB$1,main!$A$3:$I$56,5,FALSE)-VLOOKUP($A132,main!$A$3:$I$56,6,FALSE)&gt;=VLOOKUP(57,main!$A$57:$I$59,4,FALSE)+VLOOKUP(VLOOKUP(AB$1,main!$A$3:$I$56,7,FALSE),main!$K$10:$Q$14,5,FALSE),1,0)</f>
        <v>1</v>
      </c>
      <c r="AC132">
        <f>IF(VLOOKUP(AC$1,main!$A$3:$I$56,5,FALSE)-VLOOKUP($A132,main!$A$3:$I$56,6,FALSE)&gt;=VLOOKUP(57,main!$A$57:$I$59,4,FALSE)+VLOOKUP(VLOOKUP(AC$1,main!$A$3:$I$56,7,FALSE),main!$K$10:$Q$14,5,FALSE),1,0)</f>
        <v>0</v>
      </c>
      <c r="AD132">
        <f>IF(VLOOKUP(AD$1,main!$A$3:$I$56,5,FALSE)-VLOOKUP($A132,main!$A$3:$I$56,6,FALSE)&gt;=VLOOKUP(57,main!$A$57:$I$59,4,FALSE)+VLOOKUP(VLOOKUP(AD$1,main!$A$3:$I$56,7,FALSE),main!$K$10:$Q$14,5,FALSE),1,0)</f>
        <v>0</v>
      </c>
      <c r="AE132">
        <f>IF(VLOOKUP(AE$1,main!$A$3:$I$56,5,FALSE)-VLOOKUP($A132,main!$A$3:$I$56,6,FALSE)&gt;=VLOOKUP(57,main!$A$57:$I$59,4,FALSE)+VLOOKUP(VLOOKUP(AE$1,main!$A$3:$I$56,7,FALSE),main!$K$10:$Q$14,5,FALSE),1,0)</f>
        <v>0</v>
      </c>
      <c r="AF132">
        <f>IF(VLOOKUP(AF$1,main!$A$3:$I$56,5,FALSE)-VLOOKUP($A132,main!$A$3:$I$56,6,FALSE)&gt;=VLOOKUP(57,main!$A$57:$I$59,4,FALSE)+VLOOKUP(VLOOKUP(AF$1,main!$A$3:$I$56,7,FALSE),main!$K$10:$Q$14,5,FALSE),1,0)</f>
        <v>1</v>
      </c>
      <c r="AG132">
        <f>IF(VLOOKUP(AG$1,main!$A$3:$I$56,5,FALSE)-VLOOKUP($A132,main!$A$3:$I$56,6,FALSE)&gt;=VLOOKUP(57,main!$A$57:$I$59,4,FALSE)+VLOOKUP(VLOOKUP(AG$1,main!$A$3:$I$56,7,FALSE),main!$K$10:$Q$14,5,FALSE),1,0)</f>
        <v>0</v>
      </c>
      <c r="AH132">
        <f>IF(VLOOKUP(AH$1,main!$A$3:$I$56,5,FALSE)-VLOOKUP($A132,main!$A$3:$I$56,6,FALSE)&gt;=VLOOKUP(57,main!$A$57:$I$59,4,FALSE)+VLOOKUP(VLOOKUP(AH$1,main!$A$3:$I$56,7,FALSE),main!$K$10:$Q$14,5,FALSE),1,0)</f>
        <v>0</v>
      </c>
      <c r="AI132">
        <f>IF(VLOOKUP(AI$1,main!$A$3:$I$56,5,FALSE)-VLOOKUP($A132,main!$A$3:$I$56,6,FALSE)&gt;=VLOOKUP(57,main!$A$57:$I$59,4,FALSE)+VLOOKUP(VLOOKUP(AI$1,main!$A$3:$I$56,7,FALSE),main!$K$10:$Q$14,5,FALSE),1,0)</f>
        <v>0</v>
      </c>
      <c r="AJ132">
        <f>IF(VLOOKUP(AJ$1,main!$A$3:$I$56,5,FALSE)-VLOOKUP($A132,main!$A$3:$I$56,6,FALSE)&gt;=VLOOKUP(57,main!$A$57:$I$59,4,FALSE)+VLOOKUP(VLOOKUP(AJ$1,main!$A$3:$I$56,7,FALSE),main!$K$10:$Q$14,5,FALSE),1,0)</f>
        <v>0</v>
      </c>
      <c r="AK132">
        <f>IF(VLOOKUP(AK$1,main!$A$3:$I$56,5,FALSE)-VLOOKUP($A132,main!$A$3:$I$56,6,FALSE)&gt;=VLOOKUP(57,main!$A$57:$I$59,4,FALSE)+VLOOKUP(VLOOKUP(AK$1,main!$A$3:$I$56,7,FALSE),main!$K$10:$Q$14,5,FALSE),1,0)</f>
        <v>1</v>
      </c>
      <c r="AL132">
        <f>IF(VLOOKUP(AL$1,main!$A$3:$I$56,5,FALSE)-VLOOKUP($A132,main!$A$3:$I$56,6,FALSE)&gt;=VLOOKUP(57,main!$A$57:$I$59,4,FALSE)+VLOOKUP(VLOOKUP(AL$1,main!$A$3:$I$56,7,FALSE),main!$K$10:$Q$14,5,FALSE),1,0)</f>
        <v>0</v>
      </c>
      <c r="AM132">
        <f>IF(VLOOKUP(AM$1,main!$A$3:$I$56,5,FALSE)-VLOOKUP($A132,main!$A$3:$I$56,6,FALSE)&gt;=VLOOKUP(57,main!$A$57:$I$59,4,FALSE)+VLOOKUP(VLOOKUP(AM$1,main!$A$3:$I$56,7,FALSE),main!$K$10:$Q$14,5,FALSE),1,0)</f>
        <v>0</v>
      </c>
      <c r="AN132">
        <f>IF(VLOOKUP(AN$1,main!$A$3:$I$56,5,FALSE)-VLOOKUP($A132,main!$A$3:$I$56,6,FALSE)&gt;=VLOOKUP(57,main!$A$57:$I$59,4,FALSE)+VLOOKUP(VLOOKUP(AN$1,main!$A$3:$I$56,7,FALSE),main!$K$10:$Q$14,5,FALSE),1,0)</f>
        <v>0</v>
      </c>
      <c r="AO132">
        <f>IF(VLOOKUP(AO$1,main!$A$3:$I$56,5,FALSE)-VLOOKUP($A132,main!$A$3:$I$56,6,FALSE)&gt;=VLOOKUP(57,main!$A$57:$I$59,4,FALSE)+VLOOKUP(VLOOKUP(AO$1,main!$A$3:$I$56,7,FALSE),main!$K$10:$Q$14,5,FALSE),1,0)</f>
        <v>0</v>
      </c>
      <c r="AP132">
        <f>IF(VLOOKUP(AP$1,main!$A$3:$I$56,5,FALSE)-VLOOKUP($A132,main!$A$3:$I$56,6,FALSE)&gt;=VLOOKUP(57,main!$A$57:$I$59,4,FALSE)+VLOOKUP(VLOOKUP(AP$1,main!$A$3:$I$56,7,FALSE),main!$K$10:$Q$14,5,FALSE),1,0)</f>
        <v>0</v>
      </c>
      <c r="AQ132">
        <f>IF(VLOOKUP(AQ$1,main!$A$3:$I$56,5,FALSE)-VLOOKUP($A132,main!$A$3:$I$56,6,FALSE)&gt;=VLOOKUP(57,main!$A$57:$I$59,4,FALSE)+VLOOKUP(VLOOKUP(AQ$1,main!$A$3:$I$56,7,FALSE),main!$K$10:$Q$14,5,FALSE),1,0)</f>
        <v>0</v>
      </c>
      <c r="AR132">
        <f>IF(VLOOKUP(AR$1,main!$A$3:$I$56,5,FALSE)-VLOOKUP($A132,main!$A$3:$I$56,6,FALSE)&gt;=VLOOKUP(57,main!$A$57:$I$59,4,FALSE)+VLOOKUP(VLOOKUP(AR$1,main!$A$3:$I$56,7,FALSE),main!$K$10:$Q$14,5,FALSE),1,0)</f>
        <v>0</v>
      </c>
      <c r="AS132">
        <f>IF(VLOOKUP(AS$1,main!$A$3:$I$56,5,FALSE)-VLOOKUP($A132,main!$A$3:$I$56,6,FALSE)&gt;=VLOOKUP(57,main!$A$57:$I$59,4,FALSE)+VLOOKUP(VLOOKUP(AS$1,main!$A$3:$I$56,7,FALSE),main!$K$10:$Q$14,5,FALSE),1,0)</f>
        <v>0</v>
      </c>
      <c r="AT132">
        <f>IF(VLOOKUP(AT$1,main!$A$3:$I$56,5,FALSE)-VLOOKUP($A132,main!$A$3:$I$56,6,FALSE)&gt;=VLOOKUP(57,main!$A$57:$I$59,4,FALSE)+VLOOKUP(VLOOKUP(AT$1,main!$A$3:$I$56,7,FALSE),main!$K$10:$Q$14,5,FALSE),1,0)</f>
        <v>0</v>
      </c>
      <c r="AU132">
        <f>IF(VLOOKUP(AU$1,main!$A$3:$I$56,5,FALSE)-VLOOKUP($A132,main!$A$3:$I$56,6,FALSE)&gt;=VLOOKUP(57,main!$A$57:$I$59,4,FALSE)+VLOOKUP(VLOOKUP(AU$1,main!$A$3:$I$56,7,FALSE),main!$K$10:$Q$14,5,FALSE),1,0)</f>
        <v>0</v>
      </c>
      <c r="AV132">
        <f>IF(VLOOKUP(AV$1,main!$A$3:$I$56,5,FALSE)-VLOOKUP($A132,main!$A$3:$I$56,6,FALSE)&gt;=VLOOKUP(57,main!$A$57:$I$59,4,FALSE)+VLOOKUP(VLOOKUP(AV$1,main!$A$3:$I$56,7,FALSE),main!$K$10:$Q$14,5,FALSE),1,0)</f>
        <v>0</v>
      </c>
      <c r="AW132">
        <f>IF(VLOOKUP(AW$1,main!$A$3:$I$56,5,FALSE)-VLOOKUP($A132,main!$A$3:$I$56,6,FALSE)&gt;=VLOOKUP(57,main!$A$57:$I$59,4,FALSE)+VLOOKUP(VLOOKUP(AW$1,main!$A$3:$I$56,7,FALSE),main!$K$10:$Q$14,5,FALSE),1,0)</f>
        <v>0</v>
      </c>
      <c r="AX132">
        <f>IF(VLOOKUP(AX$1,main!$A$3:$I$56,5,FALSE)-VLOOKUP($A132,main!$A$3:$I$56,6,FALSE)&gt;=VLOOKUP(57,main!$A$57:$I$59,4,FALSE)+VLOOKUP(VLOOKUP(AX$1,main!$A$3:$I$56,7,FALSE),main!$K$10:$Q$14,5,FALSE),1,0)</f>
        <v>1</v>
      </c>
      <c r="AY132">
        <f>IF(VLOOKUP(AY$1,main!$A$3:$I$56,5,FALSE)-VLOOKUP($A132,main!$A$3:$I$56,6,FALSE)&gt;=VLOOKUP(57,main!$A$57:$I$59,4,FALSE)+VLOOKUP(VLOOKUP(AY$1,main!$A$3:$I$56,7,FALSE),main!$K$10:$Q$14,5,FALSE),1,0)</f>
        <v>1</v>
      </c>
      <c r="AZ132">
        <f>IF(VLOOKUP(AZ$1,main!$A$3:$I$56,5,FALSE)-VLOOKUP($A132,main!$A$3:$I$56,6,FALSE)&gt;=VLOOKUP(57,main!$A$57:$I$59,4,FALSE)+VLOOKUP(VLOOKUP(AZ$1,main!$A$3:$I$56,7,FALSE),main!$K$10:$Q$14,5,FALSE),1,0)</f>
        <v>0</v>
      </c>
      <c r="BA132">
        <f>IF(VLOOKUP(BA$1,main!$A$3:$I$56,5,FALSE)-VLOOKUP($A132,main!$A$3:$I$56,6,FALSE)&gt;=VLOOKUP(57,main!$A$57:$I$59,4,FALSE)+VLOOKUP(VLOOKUP(BA$1,main!$A$3:$I$56,7,FALSE),main!$K$10:$Q$14,5,FALSE),1,0)</f>
        <v>0</v>
      </c>
      <c r="BB132">
        <f>IF(VLOOKUP(BB$1,main!$A$3:$I$56,5,FALSE)-VLOOKUP($A132,main!$A$3:$I$56,6,FALSE)&gt;=VLOOKUP(57,main!$A$57:$I$59,4,FALSE)+VLOOKUP(VLOOKUP(BB$1,main!$A$3:$I$56,7,FALSE),main!$K$10:$Q$14,5,FALSE),1,0)</f>
        <v>0</v>
      </c>
      <c r="BC132">
        <f>IF(VLOOKUP(BC$1,main!$A$3:$I$56,5,FALSE)-VLOOKUP($A132,main!$A$3:$I$56,6,FALSE)&gt;=VLOOKUP(57,main!$A$57:$I$59,4,FALSE)+VLOOKUP(VLOOKUP(BC$1,main!$A$3:$I$56,7,FALSE),main!$K$10:$Q$14,5,FALSE),1,0)</f>
        <v>0</v>
      </c>
      <c r="BD132">
        <f>IF(VLOOKUP(BD$1,main!$A$3:$I$56,5,FALSE)-VLOOKUP($A132,main!$A$3:$I$56,6,FALSE)&gt;=VLOOKUP(57,main!$A$57:$I$59,4,FALSE)+VLOOKUP(VLOOKUP(BD$1,main!$A$3:$I$56,7,FALSE),main!$K$10:$Q$14,5,FALSE),1,0)</f>
        <v>1</v>
      </c>
    </row>
    <row r="133" spans="1:56" x14ac:dyDescent="0.25">
      <c r="A133">
        <f t="shared" si="2"/>
        <v>21</v>
      </c>
      <c r="B133">
        <v>0</v>
      </c>
      <c r="C133">
        <f>IF(VLOOKUP(C$1,main!$A$3:$I$56,5,FALSE)-VLOOKUP($A133,main!$A$3:$I$56,6,FALSE)&gt;=VLOOKUP(57,main!$A$57:$I$59,4,FALSE)+VLOOKUP(VLOOKUP(C$1,main!$A$3:$I$56,7,FALSE),main!$K$10:$Q$14,5,FALSE),1,0)</f>
        <v>0</v>
      </c>
      <c r="D133">
        <f>IF(VLOOKUP(D$1,main!$A$3:$I$56,5,FALSE)-VLOOKUP($A133,main!$A$3:$I$56,6,FALSE)&gt;=VLOOKUP(57,main!$A$57:$I$59,4,FALSE)+VLOOKUP(VLOOKUP(D$1,main!$A$3:$I$56,7,FALSE),main!$K$10:$Q$14,5,FALSE),1,0)</f>
        <v>0</v>
      </c>
      <c r="E133">
        <f>IF(VLOOKUP(E$1,main!$A$3:$I$56,5,FALSE)-VLOOKUP($A133,main!$A$3:$I$56,6,FALSE)&gt;=VLOOKUP(57,main!$A$57:$I$59,4,FALSE)+VLOOKUP(VLOOKUP(E$1,main!$A$3:$I$56,7,FALSE),main!$K$10:$Q$14,5,FALSE),1,0)</f>
        <v>0</v>
      </c>
      <c r="F133">
        <f>IF(VLOOKUP(F$1,main!$A$3:$I$56,5,FALSE)-VLOOKUP($A133,main!$A$3:$I$56,6,FALSE)&gt;=VLOOKUP(57,main!$A$57:$I$59,4,FALSE)+VLOOKUP(VLOOKUP(F$1,main!$A$3:$I$56,7,FALSE),main!$K$10:$Q$14,5,FALSE),1,0)</f>
        <v>0</v>
      </c>
      <c r="G133">
        <f>IF(VLOOKUP(G$1,main!$A$3:$I$56,5,FALSE)-VLOOKUP($A133,main!$A$3:$I$56,6,FALSE)&gt;=VLOOKUP(57,main!$A$57:$I$59,4,FALSE)+VLOOKUP(VLOOKUP(G$1,main!$A$3:$I$56,7,FALSE),main!$K$10:$Q$14,5,FALSE),1,0)</f>
        <v>0</v>
      </c>
      <c r="H133">
        <f>IF(VLOOKUP(H$1,main!$A$3:$I$56,5,FALSE)-VLOOKUP($A133,main!$A$3:$I$56,6,FALSE)&gt;=VLOOKUP(57,main!$A$57:$I$59,4,FALSE)+VLOOKUP(VLOOKUP(H$1,main!$A$3:$I$56,7,FALSE),main!$K$10:$Q$14,5,FALSE),1,0)</f>
        <v>0</v>
      </c>
      <c r="I133">
        <f>IF(VLOOKUP(I$1,main!$A$3:$I$56,5,FALSE)-VLOOKUP($A133,main!$A$3:$I$56,6,FALSE)&gt;=VLOOKUP(57,main!$A$57:$I$59,4,FALSE)+VLOOKUP(VLOOKUP(I$1,main!$A$3:$I$56,7,FALSE),main!$K$10:$Q$14,5,FALSE),1,0)</f>
        <v>1</v>
      </c>
      <c r="J133">
        <f>IF(VLOOKUP(J$1,main!$A$3:$I$56,5,FALSE)-VLOOKUP($A133,main!$A$3:$I$56,6,FALSE)&gt;=VLOOKUP(57,main!$A$57:$I$59,4,FALSE)+VLOOKUP(VLOOKUP(J$1,main!$A$3:$I$56,7,FALSE),main!$K$10:$Q$14,5,FALSE),1,0)</f>
        <v>1</v>
      </c>
      <c r="K133">
        <f>IF(VLOOKUP(K$1,main!$A$3:$I$56,5,FALSE)-VLOOKUP($A133,main!$A$3:$I$56,6,FALSE)&gt;=VLOOKUP(57,main!$A$57:$I$59,4,FALSE)+VLOOKUP(VLOOKUP(K$1,main!$A$3:$I$56,7,FALSE),main!$K$10:$Q$14,5,FALSE),1,0)</f>
        <v>0</v>
      </c>
      <c r="L133">
        <f>IF(VLOOKUP(L$1,main!$A$3:$I$56,5,FALSE)-VLOOKUP($A133,main!$A$3:$I$56,6,FALSE)&gt;=VLOOKUP(57,main!$A$57:$I$59,4,FALSE)+VLOOKUP(VLOOKUP(L$1,main!$A$3:$I$56,7,FALSE),main!$K$10:$Q$14,5,FALSE),1,0)</f>
        <v>0</v>
      </c>
      <c r="M133">
        <f>IF(VLOOKUP(M$1,main!$A$3:$I$56,5,FALSE)-VLOOKUP($A133,main!$A$3:$I$56,6,FALSE)&gt;=VLOOKUP(57,main!$A$57:$I$59,4,FALSE)+VLOOKUP(VLOOKUP(M$1,main!$A$3:$I$56,7,FALSE),main!$K$10:$Q$14,5,FALSE),1,0)</f>
        <v>0</v>
      </c>
      <c r="N133">
        <f>IF(VLOOKUP(N$1,main!$A$3:$I$56,5,FALSE)-VLOOKUP($A133,main!$A$3:$I$56,6,FALSE)&gt;=VLOOKUP(57,main!$A$57:$I$59,4,FALSE)+VLOOKUP(VLOOKUP(N$1,main!$A$3:$I$56,7,FALSE),main!$K$10:$Q$14,5,FALSE),1,0)</f>
        <v>1</v>
      </c>
      <c r="O133">
        <f>IF(VLOOKUP(O$1,main!$A$3:$I$56,5,FALSE)-VLOOKUP($A133,main!$A$3:$I$56,6,FALSE)&gt;=VLOOKUP(57,main!$A$57:$I$59,4,FALSE)+VLOOKUP(VLOOKUP(O$1,main!$A$3:$I$56,7,FALSE),main!$K$10:$Q$14,5,FALSE),1,0)</f>
        <v>1</v>
      </c>
      <c r="P133">
        <f>IF(VLOOKUP(P$1,main!$A$3:$I$56,5,FALSE)-VLOOKUP($A133,main!$A$3:$I$56,6,FALSE)&gt;=VLOOKUP(57,main!$A$57:$I$59,4,FALSE)+VLOOKUP(VLOOKUP(P$1,main!$A$3:$I$56,7,FALSE),main!$K$10:$Q$14,5,FALSE),1,0)</f>
        <v>0</v>
      </c>
      <c r="Q133">
        <f>IF(VLOOKUP(Q$1,main!$A$3:$I$56,5,FALSE)-VLOOKUP($A133,main!$A$3:$I$56,6,FALSE)&gt;=VLOOKUP(57,main!$A$57:$I$59,4,FALSE)+VLOOKUP(VLOOKUP(Q$1,main!$A$3:$I$56,7,FALSE),main!$K$10:$Q$14,5,FALSE),1,0)</f>
        <v>0</v>
      </c>
      <c r="R133">
        <f>IF(VLOOKUP(R$1,main!$A$3:$I$56,5,FALSE)-VLOOKUP($A133,main!$A$3:$I$56,6,FALSE)&gt;=VLOOKUP(57,main!$A$57:$I$59,4,FALSE)+VLOOKUP(VLOOKUP(R$1,main!$A$3:$I$56,7,FALSE),main!$K$10:$Q$14,5,FALSE),1,0)</f>
        <v>0</v>
      </c>
      <c r="S133">
        <f>IF(VLOOKUP(S$1,main!$A$3:$I$56,5,FALSE)-VLOOKUP($A133,main!$A$3:$I$56,6,FALSE)&gt;=VLOOKUP(57,main!$A$57:$I$59,4,FALSE)+VLOOKUP(VLOOKUP(S$1,main!$A$3:$I$56,7,FALSE),main!$K$10:$Q$14,5,FALSE),1,0)</f>
        <v>0</v>
      </c>
      <c r="T133">
        <f>IF(VLOOKUP(T$1,main!$A$3:$I$56,5,FALSE)-VLOOKUP($A133,main!$A$3:$I$56,6,FALSE)&gt;=VLOOKUP(57,main!$A$57:$I$59,4,FALSE)+VLOOKUP(VLOOKUP(T$1,main!$A$3:$I$56,7,FALSE),main!$K$10:$Q$14,5,FALSE),1,0)</f>
        <v>1</v>
      </c>
      <c r="U133">
        <f>IF(VLOOKUP(U$1,main!$A$3:$I$56,5,FALSE)-VLOOKUP($A133,main!$A$3:$I$56,6,FALSE)&gt;=VLOOKUP(57,main!$A$57:$I$59,4,FALSE)+VLOOKUP(VLOOKUP(U$1,main!$A$3:$I$56,7,FALSE),main!$K$10:$Q$14,5,FALSE),1,0)</f>
        <v>0</v>
      </c>
      <c r="V133">
        <f>IF(VLOOKUP(V$1,main!$A$3:$I$56,5,FALSE)-VLOOKUP($A133,main!$A$3:$I$56,6,FALSE)&gt;=VLOOKUP(57,main!$A$57:$I$59,4,FALSE)+VLOOKUP(VLOOKUP(V$1,main!$A$3:$I$56,7,FALSE),main!$K$10:$Q$14,5,FALSE),1,0)</f>
        <v>0</v>
      </c>
      <c r="W133">
        <f>IF(VLOOKUP(W$1,main!$A$3:$I$56,5,FALSE)-VLOOKUP($A133,main!$A$3:$I$56,6,FALSE)&gt;=VLOOKUP(57,main!$A$57:$I$59,4,FALSE)+VLOOKUP(VLOOKUP(W$1,main!$A$3:$I$56,7,FALSE),main!$K$10:$Q$14,5,FALSE),1,0)</f>
        <v>0</v>
      </c>
      <c r="X133">
        <f>IF(VLOOKUP(X$1,main!$A$3:$I$56,5,FALSE)-VLOOKUP($A133,main!$A$3:$I$56,6,FALSE)&gt;=VLOOKUP(57,main!$A$57:$I$59,4,FALSE)+VLOOKUP(VLOOKUP(X$1,main!$A$3:$I$56,7,FALSE),main!$K$10:$Q$14,5,FALSE),1,0)</f>
        <v>0</v>
      </c>
      <c r="Y133">
        <f>IF(VLOOKUP(Y$1,main!$A$3:$I$56,5,FALSE)-VLOOKUP($A133,main!$A$3:$I$56,6,FALSE)&gt;=VLOOKUP(57,main!$A$57:$I$59,4,FALSE)+VLOOKUP(VLOOKUP(Y$1,main!$A$3:$I$56,7,FALSE),main!$K$10:$Q$14,5,FALSE),1,0)</f>
        <v>0</v>
      </c>
      <c r="Z133">
        <f>IF(VLOOKUP(Z$1,main!$A$3:$I$56,5,FALSE)-VLOOKUP($A133,main!$A$3:$I$56,6,FALSE)&gt;=VLOOKUP(57,main!$A$57:$I$59,4,FALSE)+VLOOKUP(VLOOKUP(Z$1,main!$A$3:$I$56,7,FALSE),main!$K$10:$Q$14,5,FALSE),1,0)</f>
        <v>1</v>
      </c>
      <c r="AA133">
        <f>IF(VLOOKUP(AA$1,main!$A$3:$I$56,5,FALSE)-VLOOKUP($A133,main!$A$3:$I$56,6,FALSE)&gt;=VLOOKUP(57,main!$A$57:$I$59,4,FALSE)+VLOOKUP(VLOOKUP(AA$1,main!$A$3:$I$56,7,FALSE),main!$K$10:$Q$14,5,FALSE),1,0)</f>
        <v>1</v>
      </c>
      <c r="AB133">
        <f>IF(VLOOKUP(AB$1,main!$A$3:$I$56,5,FALSE)-VLOOKUP($A133,main!$A$3:$I$56,6,FALSE)&gt;=VLOOKUP(57,main!$A$57:$I$59,4,FALSE)+VLOOKUP(VLOOKUP(AB$1,main!$A$3:$I$56,7,FALSE),main!$K$10:$Q$14,5,FALSE),1,0)</f>
        <v>1</v>
      </c>
      <c r="AC133">
        <f>IF(VLOOKUP(AC$1,main!$A$3:$I$56,5,FALSE)-VLOOKUP($A133,main!$A$3:$I$56,6,FALSE)&gt;=VLOOKUP(57,main!$A$57:$I$59,4,FALSE)+VLOOKUP(VLOOKUP(AC$1,main!$A$3:$I$56,7,FALSE),main!$K$10:$Q$14,5,FALSE),1,0)</f>
        <v>0</v>
      </c>
      <c r="AD133">
        <f>IF(VLOOKUP(AD$1,main!$A$3:$I$56,5,FALSE)-VLOOKUP($A133,main!$A$3:$I$56,6,FALSE)&gt;=VLOOKUP(57,main!$A$57:$I$59,4,FALSE)+VLOOKUP(VLOOKUP(AD$1,main!$A$3:$I$56,7,FALSE),main!$K$10:$Q$14,5,FALSE),1,0)</f>
        <v>0</v>
      </c>
      <c r="AE133">
        <f>IF(VLOOKUP(AE$1,main!$A$3:$I$56,5,FALSE)-VLOOKUP($A133,main!$A$3:$I$56,6,FALSE)&gt;=VLOOKUP(57,main!$A$57:$I$59,4,FALSE)+VLOOKUP(VLOOKUP(AE$1,main!$A$3:$I$56,7,FALSE),main!$K$10:$Q$14,5,FALSE),1,0)</f>
        <v>0</v>
      </c>
      <c r="AF133">
        <f>IF(VLOOKUP(AF$1,main!$A$3:$I$56,5,FALSE)-VLOOKUP($A133,main!$A$3:$I$56,6,FALSE)&gt;=VLOOKUP(57,main!$A$57:$I$59,4,FALSE)+VLOOKUP(VLOOKUP(AF$1,main!$A$3:$I$56,7,FALSE),main!$K$10:$Q$14,5,FALSE),1,0)</f>
        <v>1</v>
      </c>
      <c r="AG133">
        <f>IF(VLOOKUP(AG$1,main!$A$3:$I$56,5,FALSE)-VLOOKUP($A133,main!$A$3:$I$56,6,FALSE)&gt;=VLOOKUP(57,main!$A$57:$I$59,4,FALSE)+VLOOKUP(VLOOKUP(AG$1,main!$A$3:$I$56,7,FALSE),main!$K$10:$Q$14,5,FALSE),1,0)</f>
        <v>0</v>
      </c>
      <c r="AH133">
        <f>IF(VLOOKUP(AH$1,main!$A$3:$I$56,5,FALSE)-VLOOKUP($A133,main!$A$3:$I$56,6,FALSE)&gt;=VLOOKUP(57,main!$A$57:$I$59,4,FALSE)+VLOOKUP(VLOOKUP(AH$1,main!$A$3:$I$56,7,FALSE),main!$K$10:$Q$14,5,FALSE),1,0)</f>
        <v>0</v>
      </c>
      <c r="AI133">
        <f>IF(VLOOKUP(AI$1,main!$A$3:$I$56,5,FALSE)-VLOOKUP($A133,main!$A$3:$I$56,6,FALSE)&gt;=VLOOKUP(57,main!$A$57:$I$59,4,FALSE)+VLOOKUP(VLOOKUP(AI$1,main!$A$3:$I$56,7,FALSE),main!$K$10:$Q$14,5,FALSE),1,0)</f>
        <v>0</v>
      </c>
      <c r="AJ133">
        <f>IF(VLOOKUP(AJ$1,main!$A$3:$I$56,5,FALSE)-VLOOKUP($A133,main!$A$3:$I$56,6,FALSE)&gt;=VLOOKUP(57,main!$A$57:$I$59,4,FALSE)+VLOOKUP(VLOOKUP(AJ$1,main!$A$3:$I$56,7,FALSE),main!$K$10:$Q$14,5,FALSE),1,0)</f>
        <v>0</v>
      </c>
      <c r="AK133">
        <f>IF(VLOOKUP(AK$1,main!$A$3:$I$56,5,FALSE)-VLOOKUP($A133,main!$A$3:$I$56,6,FALSE)&gt;=VLOOKUP(57,main!$A$57:$I$59,4,FALSE)+VLOOKUP(VLOOKUP(AK$1,main!$A$3:$I$56,7,FALSE),main!$K$10:$Q$14,5,FALSE),1,0)</f>
        <v>0</v>
      </c>
      <c r="AL133">
        <f>IF(VLOOKUP(AL$1,main!$A$3:$I$56,5,FALSE)-VLOOKUP($A133,main!$A$3:$I$56,6,FALSE)&gt;=VLOOKUP(57,main!$A$57:$I$59,4,FALSE)+VLOOKUP(VLOOKUP(AL$1,main!$A$3:$I$56,7,FALSE),main!$K$10:$Q$14,5,FALSE),1,0)</f>
        <v>0</v>
      </c>
      <c r="AM133">
        <f>IF(VLOOKUP(AM$1,main!$A$3:$I$56,5,FALSE)-VLOOKUP($A133,main!$A$3:$I$56,6,FALSE)&gt;=VLOOKUP(57,main!$A$57:$I$59,4,FALSE)+VLOOKUP(VLOOKUP(AM$1,main!$A$3:$I$56,7,FALSE),main!$K$10:$Q$14,5,FALSE),1,0)</f>
        <v>0</v>
      </c>
      <c r="AN133">
        <f>IF(VLOOKUP(AN$1,main!$A$3:$I$56,5,FALSE)-VLOOKUP($A133,main!$A$3:$I$56,6,FALSE)&gt;=VLOOKUP(57,main!$A$57:$I$59,4,FALSE)+VLOOKUP(VLOOKUP(AN$1,main!$A$3:$I$56,7,FALSE),main!$K$10:$Q$14,5,FALSE),1,0)</f>
        <v>0</v>
      </c>
      <c r="AO133">
        <f>IF(VLOOKUP(AO$1,main!$A$3:$I$56,5,FALSE)-VLOOKUP($A133,main!$A$3:$I$56,6,FALSE)&gt;=VLOOKUP(57,main!$A$57:$I$59,4,FALSE)+VLOOKUP(VLOOKUP(AO$1,main!$A$3:$I$56,7,FALSE),main!$K$10:$Q$14,5,FALSE),1,0)</f>
        <v>0</v>
      </c>
      <c r="AP133">
        <f>IF(VLOOKUP(AP$1,main!$A$3:$I$56,5,FALSE)-VLOOKUP($A133,main!$A$3:$I$56,6,FALSE)&gt;=VLOOKUP(57,main!$A$57:$I$59,4,FALSE)+VLOOKUP(VLOOKUP(AP$1,main!$A$3:$I$56,7,FALSE),main!$K$10:$Q$14,5,FALSE),1,0)</f>
        <v>0</v>
      </c>
      <c r="AQ133">
        <f>IF(VLOOKUP(AQ$1,main!$A$3:$I$56,5,FALSE)-VLOOKUP($A133,main!$A$3:$I$56,6,FALSE)&gt;=VLOOKUP(57,main!$A$57:$I$59,4,FALSE)+VLOOKUP(VLOOKUP(AQ$1,main!$A$3:$I$56,7,FALSE),main!$K$10:$Q$14,5,FALSE),1,0)</f>
        <v>0</v>
      </c>
      <c r="AR133">
        <f>IF(VLOOKUP(AR$1,main!$A$3:$I$56,5,FALSE)-VLOOKUP($A133,main!$A$3:$I$56,6,FALSE)&gt;=VLOOKUP(57,main!$A$57:$I$59,4,FALSE)+VLOOKUP(VLOOKUP(AR$1,main!$A$3:$I$56,7,FALSE),main!$K$10:$Q$14,5,FALSE),1,0)</f>
        <v>0</v>
      </c>
      <c r="AS133">
        <f>IF(VLOOKUP(AS$1,main!$A$3:$I$56,5,FALSE)-VLOOKUP($A133,main!$A$3:$I$56,6,FALSE)&gt;=VLOOKUP(57,main!$A$57:$I$59,4,FALSE)+VLOOKUP(VLOOKUP(AS$1,main!$A$3:$I$56,7,FALSE),main!$K$10:$Q$14,5,FALSE),1,0)</f>
        <v>0</v>
      </c>
      <c r="AT133">
        <f>IF(VLOOKUP(AT$1,main!$A$3:$I$56,5,FALSE)-VLOOKUP($A133,main!$A$3:$I$56,6,FALSE)&gt;=VLOOKUP(57,main!$A$57:$I$59,4,FALSE)+VLOOKUP(VLOOKUP(AT$1,main!$A$3:$I$56,7,FALSE),main!$K$10:$Q$14,5,FALSE),1,0)</f>
        <v>0</v>
      </c>
      <c r="AU133">
        <f>IF(VLOOKUP(AU$1,main!$A$3:$I$56,5,FALSE)-VLOOKUP($A133,main!$A$3:$I$56,6,FALSE)&gt;=VLOOKUP(57,main!$A$57:$I$59,4,FALSE)+VLOOKUP(VLOOKUP(AU$1,main!$A$3:$I$56,7,FALSE),main!$K$10:$Q$14,5,FALSE),1,0)</f>
        <v>0</v>
      </c>
      <c r="AV133">
        <f>IF(VLOOKUP(AV$1,main!$A$3:$I$56,5,FALSE)-VLOOKUP($A133,main!$A$3:$I$56,6,FALSE)&gt;=VLOOKUP(57,main!$A$57:$I$59,4,FALSE)+VLOOKUP(VLOOKUP(AV$1,main!$A$3:$I$56,7,FALSE),main!$K$10:$Q$14,5,FALSE),1,0)</f>
        <v>0</v>
      </c>
      <c r="AW133">
        <f>IF(VLOOKUP(AW$1,main!$A$3:$I$56,5,FALSE)-VLOOKUP($A133,main!$A$3:$I$56,6,FALSE)&gt;=VLOOKUP(57,main!$A$57:$I$59,4,FALSE)+VLOOKUP(VLOOKUP(AW$1,main!$A$3:$I$56,7,FALSE),main!$K$10:$Q$14,5,FALSE),1,0)</f>
        <v>0</v>
      </c>
      <c r="AX133">
        <f>IF(VLOOKUP(AX$1,main!$A$3:$I$56,5,FALSE)-VLOOKUP($A133,main!$A$3:$I$56,6,FALSE)&gt;=VLOOKUP(57,main!$A$57:$I$59,4,FALSE)+VLOOKUP(VLOOKUP(AX$1,main!$A$3:$I$56,7,FALSE),main!$K$10:$Q$14,5,FALSE),1,0)</f>
        <v>0</v>
      </c>
      <c r="AY133">
        <f>IF(VLOOKUP(AY$1,main!$A$3:$I$56,5,FALSE)-VLOOKUP($A133,main!$A$3:$I$56,6,FALSE)&gt;=VLOOKUP(57,main!$A$57:$I$59,4,FALSE)+VLOOKUP(VLOOKUP(AY$1,main!$A$3:$I$56,7,FALSE),main!$K$10:$Q$14,5,FALSE),1,0)</f>
        <v>1</v>
      </c>
      <c r="AZ133">
        <f>IF(VLOOKUP(AZ$1,main!$A$3:$I$56,5,FALSE)-VLOOKUP($A133,main!$A$3:$I$56,6,FALSE)&gt;=VLOOKUP(57,main!$A$57:$I$59,4,FALSE)+VLOOKUP(VLOOKUP(AZ$1,main!$A$3:$I$56,7,FALSE),main!$K$10:$Q$14,5,FALSE),1,0)</f>
        <v>0</v>
      </c>
      <c r="BA133">
        <f>IF(VLOOKUP(BA$1,main!$A$3:$I$56,5,FALSE)-VLOOKUP($A133,main!$A$3:$I$56,6,FALSE)&gt;=VLOOKUP(57,main!$A$57:$I$59,4,FALSE)+VLOOKUP(VLOOKUP(BA$1,main!$A$3:$I$56,7,FALSE),main!$K$10:$Q$14,5,FALSE),1,0)</f>
        <v>0</v>
      </c>
      <c r="BB133">
        <f>IF(VLOOKUP(BB$1,main!$A$3:$I$56,5,FALSE)-VLOOKUP($A133,main!$A$3:$I$56,6,FALSE)&gt;=VLOOKUP(57,main!$A$57:$I$59,4,FALSE)+VLOOKUP(VLOOKUP(BB$1,main!$A$3:$I$56,7,FALSE),main!$K$10:$Q$14,5,FALSE),1,0)</f>
        <v>0</v>
      </c>
      <c r="BC133">
        <f>IF(VLOOKUP(BC$1,main!$A$3:$I$56,5,FALSE)-VLOOKUP($A133,main!$A$3:$I$56,6,FALSE)&gt;=VLOOKUP(57,main!$A$57:$I$59,4,FALSE)+VLOOKUP(VLOOKUP(BC$1,main!$A$3:$I$56,7,FALSE),main!$K$10:$Q$14,5,FALSE),1,0)</f>
        <v>0</v>
      </c>
      <c r="BD133">
        <f>IF(VLOOKUP(BD$1,main!$A$3:$I$56,5,FALSE)-VLOOKUP($A133,main!$A$3:$I$56,6,FALSE)&gt;=VLOOKUP(57,main!$A$57:$I$59,4,FALSE)+VLOOKUP(VLOOKUP(BD$1,main!$A$3:$I$56,7,FALSE),main!$K$10:$Q$14,5,FALSE),1,0)</f>
        <v>0</v>
      </c>
    </row>
    <row r="134" spans="1:56" x14ac:dyDescent="0.25">
      <c r="A134">
        <f t="shared" si="2"/>
        <v>22</v>
      </c>
      <c r="B134">
        <v>0</v>
      </c>
      <c r="C134">
        <f>IF(VLOOKUP(C$1,main!$A$3:$I$56,5,FALSE)-VLOOKUP($A134,main!$A$3:$I$56,6,FALSE)&gt;=VLOOKUP(57,main!$A$57:$I$59,4,FALSE)+VLOOKUP(VLOOKUP(C$1,main!$A$3:$I$56,7,FALSE),main!$K$10:$Q$14,5,FALSE),1,0)</f>
        <v>0</v>
      </c>
      <c r="D134">
        <f>IF(VLOOKUP(D$1,main!$A$3:$I$56,5,FALSE)-VLOOKUP($A134,main!$A$3:$I$56,6,FALSE)&gt;=VLOOKUP(57,main!$A$57:$I$59,4,FALSE)+VLOOKUP(VLOOKUP(D$1,main!$A$3:$I$56,7,FALSE),main!$K$10:$Q$14,5,FALSE),1,0)</f>
        <v>0</v>
      </c>
      <c r="E134">
        <f>IF(VLOOKUP(E$1,main!$A$3:$I$56,5,FALSE)-VLOOKUP($A134,main!$A$3:$I$56,6,FALSE)&gt;=VLOOKUP(57,main!$A$57:$I$59,4,FALSE)+VLOOKUP(VLOOKUP(E$1,main!$A$3:$I$56,7,FALSE),main!$K$10:$Q$14,5,FALSE),1,0)</f>
        <v>0</v>
      </c>
      <c r="F134">
        <f>IF(VLOOKUP(F$1,main!$A$3:$I$56,5,FALSE)-VLOOKUP($A134,main!$A$3:$I$56,6,FALSE)&gt;=VLOOKUP(57,main!$A$57:$I$59,4,FALSE)+VLOOKUP(VLOOKUP(F$1,main!$A$3:$I$56,7,FALSE),main!$K$10:$Q$14,5,FALSE),1,0)</f>
        <v>0</v>
      </c>
      <c r="G134">
        <f>IF(VLOOKUP(G$1,main!$A$3:$I$56,5,FALSE)-VLOOKUP($A134,main!$A$3:$I$56,6,FALSE)&gt;=VLOOKUP(57,main!$A$57:$I$59,4,FALSE)+VLOOKUP(VLOOKUP(G$1,main!$A$3:$I$56,7,FALSE),main!$K$10:$Q$14,5,FALSE),1,0)</f>
        <v>0</v>
      </c>
      <c r="H134">
        <f>IF(VLOOKUP(H$1,main!$A$3:$I$56,5,FALSE)-VLOOKUP($A134,main!$A$3:$I$56,6,FALSE)&gt;=VLOOKUP(57,main!$A$57:$I$59,4,FALSE)+VLOOKUP(VLOOKUP(H$1,main!$A$3:$I$56,7,FALSE),main!$K$10:$Q$14,5,FALSE),1,0)</f>
        <v>0</v>
      </c>
      <c r="I134">
        <f>IF(VLOOKUP(I$1,main!$A$3:$I$56,5,FALSE)-VLOOKUP($A134,main!$A$3:$I$56,6,FALSE)&gt;=VLOOKUP(57,main!$A$57:$I$59,4,FALSE)+VLOOKUP(VLOOKUP(I$1,main!$A$3:$I$56,7,FALSE),main!$K$10:$Q$14,5,FALSE),1,0)</f>
        <v>0</v>
      </c>
      <c r="J134">
        <f>IF(VLOOKUP(J$1,main!$A$3:$I$56,5,FALSE)-VLOOKUP($A134,main!$A$3:$I$56,6,FALSE)&gt;=VLOOKUP(57,main!$A$57:$I$59,4,FALSE)+VLOOKUP(VLOOKUP(J$1,main!$A$3:$I$56,7,FALSE),main!$K$10:$Q$14,5,FALSE),1,0)</f>
        <v>1</v>
      </c>
      <c r="K134">
        <f>IF(VLOOKUP(K$1,main!$A$3:$I$56,5,FALSE)-VLOOKUP($A134,main!$A$3:$I$56,6,FALSE)&gt;=VLOOKUP(57,main!$A$57:$I$59,4,FALSE)+VLOOKUP(VLOOKUP(K$1,main!$A$3:$I$56,7,FALSE),main!$K$10:$Q$14,5,FALSE),1,0)</f>
        <v>0</v>
      </c>
      <c r="L134">
        <f>IF(VLOOKUP(L$1,main!$A$3:$I$56,5,FALSE)-VLOOKUP($A134,main!$A$3:$I$56,6,FALSE)&gt;=VLOOKUP(57,main!$A$57:$I$59,4,FALSE)+VLOOKUP(VLOOKUP(L$1,main!$A$3:$I$56,7,FALSE),main!$K$10:$Q$14,5,FALSE),1,0)</f>
        <v>0</v>
      </c>
      <c r="M134">
        <f>IF(VLOOKUP(M$1,main!$A$3:$I$56,5,FALSE)-VLOOKUP($A134,main!$A$3:$I$56,6,FALSE)&gt;=VLOOKUP(57,main!$A$57:$I$59,4,FALSE)+VLOOKUP(VLOOKUP(M$1,main!$A$3:$I$56,7,FALSE),main!$K$10:$Q$14,5,FALSE),1,0)</f>
        <v>0</v>
      </c>
      <c r="N134">
        <f>IF(VLOOKUP(N$1,main!$A$3:$I$56,5,FALSE)-VLOOKUP($A134,main!$A$3:$I$56,6,FALSE)&gt;=VLOOKUP(57,main!$A$57:$I$59,4,FALSE)+VLOOKUP(VLOOKUP(N$1,main!$A$3:$I$56,7,FALSE),main!$K$10:$Q$14,5,FALSE),1,0)</f>
        <v>1</v>
      </c>
      <c r="O134">
        <f>IF(VLOOKUP(O$1,main!$A$3:$I$56,5,FALSE)-VLOOKUP($A134,main!$A$3:$I$56,6,FALSE)&gt;=VLOOKUP(57,main!$A$57:$I$59,4,FALSE)+VLOOKUP(VLOOKUP(O$1,main!$A$3:$I$56,7,FALSE),main!$K$10:$Q$14,5,FALSE),1,0)</f>
        <v>1</v>
      </c>
      <c r="P134">
        <f>IF(VLOOKUP(P$1,main!$A$3:$I$56,5,FALSE)-VLOOKUP($A134,main!$A$3:$I$56,6,FALSE)&gt;=VLOOKUP(57,main!$A$57:$I$59,4,FALSE)+VLOOKUP(VLOOKUP(P$1,main!$A$3:$I$56,7,FALSE),main!$K$10:$Q$14,5,FALSE),1,0)</f>
        <v>0</v>
      </c>
      <c r="Q134">
        <f>IF(VLOOKUP(Q$1,main!$A$3:$I$56,5,FALSE)-VLOOKUP($A134,main!$A$3:$I$56,6,FALSE)&gt;=VLOOKUP(57,main!$A$57:$I$59,4,FALSE)+VLOOKUP(VLOOKUP(Q$1,main!$A$3:$I$56,7,FALSE),main!$K$10:$Q$14,5,FALSE),1,0)</f>
        <v>0</v>
      </c>
      <c r="R134">
        <f>IF(VLOOKUP(R$1,main!$A$3:$I$56,5,FALSE)-VLOOKUP($A134,main!$A$3:$I$56,6,FALSE)&gt;=VLOOKUP(57,main!$A$57:$I$59,4,FALSE)+VLOOKUP(VLOOKUP(R$1,main!$A$3:$I$56,7,FALSE),main!$K$10:$Q$14,5,FALSE),1,0)</f>
        <v>0</v>
      </c>
      <c r="S134">
        <f>IF(VLOOKUP(S$1,main!$A$3:$I$56,5,FALSE)-VLOOKUP($A134,main!$A$3:$I$56,6,FALSE)&gt;=VLOOKUP(57,main!$A$57:$I$59,4,FALSE)+VLOOKUP(VLOOKUP(S$1,main!$A$3:$I$56,7,FALSE),main!$K$10:$Q$14,5,FALSE),1,0)</f>
        <v>0</v>
      </c>
      <c r="T134">
        <f>IF(VLOOKUP(T$1,main!$A$3:$I$56,5,FALSE)-VLOOKUP($A134,main!$A$3:$I$56,6,FALSE)&gt;=VLOOKUP(57,main!$A$57:$I$59,4,FALSE)+VLOOKUP(VLOOKUP(T$1,main!$A$3:$I$56,7,FALSE),main!$K$10:$Q$14,5,FALSE),1,0)</f>
        <v>0</v>
      </c>
      <c r="U134">
        <f>IF(VLOOKUP(U$1,main!$A$3:$I$56,5,FALSE)-VLOOKUP($A134,main!$A$3:$I$56,6,FALSE)&gt;=VLOOKUP(57,main!$A$57:$I$59,4,FALSE)+VLOOKUP(VLOOKUP(U$1,main!$A$3:$I$56,7,FALSE),main!$K$10:$Q$14,5,FALSE),1,0)</f>
        <v>0</v>
      </c>
      <c r="V134">
        <f>IF(VLOOKUP(V$1,main!$A$3:$I$56,5,FALSE)-VLOOKUP($A134,main!$A$3:$I$56,6,FALSE)&gt;=VLOOKUP(57,main!$A$57:$I$59,4,FALSE)+VLOOKUP(VLOOKUP(V$1,main!$A$3:$I$56,7,FALSE),main!$K$10:$Q$14,5,FALSE),1,0)</f>
        <v>0</v>
      </c>
      <c r="W134">
        <f>IF(VLOOKUP(W$1,main!$A$3:$I$56,5,FALSE)-VLOOKUP($A134,main!$A$3:$I$56,6,FALSE)&gt;=VLOOKUP(57,main!$A$57:$I$59,4,FALSE)+VLOOKUP(VLOOKUP(W$1,main!$A$3:$I$56,7,FALSE),main!$K$10:$Q$14,5,FALSE),1,0)</f>
        <v>0</v>
      </c>
      <c r="X134">
        <f>IF(VLOOKUP(X$1,main!$A$3:$I$56,5,FALSE)-VLOOKUP($A134,main!$A$3:$I$56,6,FALSE)&gt;=VLOOKUP(57,main!$A$57:$I$59,4,FALSE)+VLOOKUP(VLOOKUP(X$1,main!$A$3:$I$56,7,FALSE),main!$K$10:$Q$14,5,FALSE),1,0)</f>
        <v>0</v>
      </c>
      <c r="Y134">
        <f>IF(VLOOKUP(Y$1,main!$A$3:$I$56,5,FALSE)-VLOOKUP($A134,main!$A$3:$I$56,6,FALSE)&gt;=VLOOKUP(57,main!$A$57:$I$59,4,FALSE)+VLOOKUP(VLOOKUP(Y$1,main!$A$3:$I$56,7,FALSE),main!$K$10:$Q$14,5,FALSE),1,0)</f>
        <v>0</v>
      </c>
      <c r="Z134">
        <f>IF(VLOOKUP(Z$1,main!$A$3:$I$56,5,FALSE)-VLOOKUP($A134,main!$A$3:$I$56,6,FALSE)&gt;=VLOOKUP(57,main!$A$57:$I$59,4,FALSE)+VLOOKUP(VLOOKUP(Z$1,main!$A$3:$I$56,7,FALSE),main!$K$10:$Q$14,5,FALSE),1,0)</f>
        <v>0</v>
      </c>
      <c r="AA134">
        <f>IF(VLOOKUP(AA$1,main!$A$3:$I$56,5,FALSE)-VLOOKUP($A134,main!$A$3:$I$56,6,FALSE)&gt;=VLOOKUP(57,main!$A$57:$I$59,4,FALSE)+VLOOKUP(VLOOKUP(AA$1,main!$A$3:$I$56,7,FALSE),main!$K$10:$Q$14,5,FALSE),1,0)</f>
        <v>1</v>
      </c>
      <c r="AB134">
        <f>IF(VLOOKUP(AB$1,main!$A$3:$I$56,5,FALSE)-VLOOKUP($A134,main!$A$3:$I$56,6,FALSE)&gt;=VLOOKUP(57,main!$A$57:$I$59,4,FALSE)+VLOOKUP(VLOOKUP(AB$1,main!$A$3:$I$56,7,FALSE),main!$K$10:$Q$14,5,FALSE),1,0)</f>
        <v>1</v>
      </c>
      <c r="AC134">
        <f>IF(VLOOKUP(AC$1,main!$A$3:$I$56,5,FALSE)-VLOOKUP($A134,main!$A$3:$I$56,6,FALSE)&gt;=VLOOKUP(57,main!$A$57:$I$59,4,FALSE)+VLOOKUP(VLOOKUP(AC$1,main!$A$3:$I$56,7,FALSE),main!$K$10:$Q$14,5,FALSE),1,0)</f>
        <v>0</v>
      </c>
      <c r="AD134">
        <f>IF(VLOOKUP(AD$1,main!$A$3:$I$56,5,FALSE)-VLOOKUP($A134,main!$A$3:$I$56,6,FALSE)&gt;=VLOOKUP(57,main!$A$57:$I$59,4,FALSE)+VLOOKUP(VLOOKUP(AD$1,main!$A$3:$I$56,7,FALSE),main!$K$10:$Q$14,5,FALSE),1,0)</f>
        <v>0</v>
      </c>
      <c r="AE134">
        <f>IF(VLOOKUP(AE$1,main!$A$3:$I$56,5,FALSE)-VLOOKUP($A134,main!$A$3:$I$56,6,FALSE)&gt;=VLOOKUP(57,main!$A$57:$I$59,4,FALSE)+VLOOKUP(VLOOKUP(AE$1,main!$A$3:$I$56,7,FALSE),main!$K$10:$Q$14,5,FALSE),1,0)</f>
        <v>0</v>
      </c>
      <c r="AF134">
        <f>IF(VLOOKUP(AF$1,main!$A$3:$I$56,5,FALSE)-VLOOKUP($A134,main!$A$3:$I$56,6,FALSE)&gt;=VLOOKUP(57,main!$A$57:$I$59,4,FALSE)+VLOOKUP(VLOOKUP(AF$1,main!$A$3:$I$56,7,FALSE),main!$K$10:$Q$14,5,FALSE),1,0)</f>
        <v>0</v>
      </c>
      <c r="AG134">
        <f>IF(VLOOKUP(AG$1,main!$A$3:$I$56,5,FALSE)-VLOOKUP($A134,main!$A$3:$I$56,6,FALSE)&gt;=VLOOKUP(57,main!$A$57:$I$59,4,FALSE)+VLOOKUP(VLOOKUP(AG$1,main!$A$3:$I$56,7,FALSE),main!$K$10:$Q$14,5,FALSE),1,0)</f>
        <v>0</v>
      </c>
      <c r="AH134">
        <f>IF(VLOOKUP(AH$1,main!$A$3:$I$56,5,FALSE)-VLOOKUP($A134,main!$A$3:$I$56,6,FALSE)&gt;=VLOOKUP(57,main!$A$57:$I$59,4,FALSE)+VLOOKUP(VLOOKUP(AH$1,main!$A$3:$I$56,7,FALSE),main!$K$10:$Q$14,5,FALSE),1,0)</f>
        <v>0</v>
      </c>
      <c r="AI134">
        <f>IF(VLOOKUP(AI$1,main!$A$3:$I$56,5,FALSE)-VLOOKUP($A134,main!$A$3:$I$56,6,FALSE)&gt;=VLOOKUP(57,main!$A$57:$I$59,4,FALSE)+VLOOKUP(VLOOKUP(AI$1,main!$A$3:$I$56,7,FALSE),main!$K$10:$Q$14,5,FALSE),1,0)</f>
        <v>0</v>
      </c>
      <c r="AJ134">
        <f>IF(VLOOKUP(AJ$1,main!$A$3:$I$56,5,FALSE)-VLOOKUP($A134,main!$A$3:$I$56,6,FALSE)&gt;=VLOOKUP(57,main!$A$57:$I$59,4,FALSE)+VLOOKUP(VLOOKUP(AJ$1,main!$A$3:$I$56,7,FALSE),main!$K$10:$Q$14,5,FALSE),1,0)</f>
        <v>0</v>
      </c>
      <c r="AK134">
        <f>IF(VLOOKUP(AK$1,main!$A$3:$I$56,5,FALSE)-VLOOKUP($A134,main!$A$3:$I$56,6,FALSE)&gt;=VLOOKUP(57,main!$A$57:$I$59,4,FALSE)+VLOOKUP(VLOOKUP(AK$1,main!$A$3:$I$56,7,FALSE),main!$K$10:$Q$14,5,FALSE),1,0)</f>
        <v>0</v>
      </c>
      <c r="AL134">
        <f>IF(VLOOKUP(AL$1,main!$A$3:$I$56,5,FALSE)-VLOOKUP($A134,main!$A$3:$I$56,6,FALSE)&gt;=VLOOKUP(57,main!$A$57:$I$59,4,FALSE)+VLOOKUP(VLOOKUP(AL$1,main!$A$3:$I$56,7,FALSE),main!$K$10:$Q$14,5,FALSE),1,0)</f>
        <v>0</v>
      </c>
      <c r="AM134">
        <f>IF(VLOOKUP(AM$1,main!$A$3:$I$56,5,FALSE)-VLOOKUP($A134,main!$A$3:$I$56,6,FALSE)&gt;=VLOOKUP(57,main!$A$57:$I$59,4,FALSE)+VLOOKUP(VLOOKUP(AM$1,main!$A$3:$I$56,7,FALSE),main!$K$10:$Q$14,5,FALSE),1,0)</f>
        <v>0</v>
      </c>
      <c r="AN134">
        <f>IF(VLOOKUP(AN$1,main!$A$3:$I$56,5,FALSE)-VLOOKUP($A134,main!$A$3:$I$56,6,FALSE)&gt;=VLOOKUP(57,main!$A$57:$I$59,4,FALSE)+VLOOKUP(VLOOKUP(AN$1,main!$A$3:$I$56,7,FALSE),main!$K$10:$Q$14,5,FALSE),1,0)</f>
        <v>0</v>
      </c>
      <c r="AO134">
        <f>IF(VLOOKUP(AO$1,main!$A$3:$I$56,5,FALSE)-VLOOKUP($A134,main!$A$3:$I$56,6,FALSE)&gt;=VLOOKUP(57,main!$A$57:$I$59,4,FALSE)+VLOOKUP(VLOOKUP(AO$1,main!$A$3:$I$56,7,FALSE),main!$K$10:$Q$14,5,FALSE),1,0)</f>
        <v>0</v>
      </c>
      <c r="AP134">
        <f>IF(VLOOKUP(AP$1,main!$A$3:$I$56,5,FALSE)-VLOOKUP($A134,main!$A$3:$I$56,6,FALSE)&gt;=VLOOKUP(57,main!$A$57:$I$59,4,FALSE)+VLOOKUP(VLOOKUP(AP$1,main!$A$3:$I$56,7,FALSE),main!$K$10:$Q$14,5,FALSE),1,0)</f>
        <v>0</v>
      </c>
      <c r="AQ134">
        <f>IF(VLOOKUP(AQ$1,main!$A$3:$I$56,5,FALSE)-VLOOKUP($A134,main!$A$3:$I$56,6,FALSE)&gt;=VLOOKUP(57,main!$A$57:$I$59,4,FALSE)+VLOOKUP(VLOOKUP(AQ$1,main!$A$3:$I$56,7,FALSE),main!$K$10:$Q$14,5,FALSE),1,0)</f>
        <v>0</v>
      </c>
      <c r="AR134">
        <f>IF(VLOOKUP(AR$1,main!$A$3:$I$56,5,FALSE)-VLOOKUP($A134,main!$A$3:$I$56,6,FALSE)&gt;=VLOOKUP(57,main!$A$57:$I$59,4,FALSE)+VLOOKUP(VLOOKUP(AR$1,main!$A$3:$I$56,7,FALSE),main!$K$10:$Q$14,5,FALSE),1,0)</f>
        <v>0</v>
      </c>
      <c r="AS134">
        <f>IF(VLOOKUP(AS$1,main!$A$3:$I$56,5,FALSE)-VLOOKUP($A134,main!$A$3:$I$56,6,FALSE)&gt;=VLOOKUP(57,main!$A$57:$I$59,4,FALSE)+VLOOKUP(VLOOKUP(AS$1,main!$A$3:$I$56,7,FALSE),main!$K$10:$Q$14,5,FALSE),1,0)</f>
        <v>0</v>
      </c>
      <c r="AT134">
        <f>IF(VLOOKUP(AT$1,main!$A$3:$I$56,5,FALSE)-VLOOKUP($A134,main!$A$3:$I$56,6,FALSE)&gt;=VLOOKUP(57,main!$A$57:$I$59,4,FALSE)+VLOOKUP(VLOOKUP(AT$1,main!$A$3:$I$56,7,FALSE),main!$K$10:$Q$14,5,FALSE),1,0)</f>
        <v>0</v>
      </c>
      <c r="AU134">
        <f>IF(VLOOKUP(AU$1,main!$A$3:$I$56,5,FALSE)-VLOOKUP($A134,main!$A$3:$I$56,6,FALSE)&gt;=VLOOKUP(57,main!$A$57:$I$59,4,FALSE)+VLOOKUP(VLOOKUP(AU$1,main!$A$3:$I$56,7,FALSE),main!$K$10:$Q$14,5,FALSE),1,0)</f>
        <v>0</v>
      </c>
      <c r="AV134">
        <f>IF(VLOOKUP(AV$1,main!$A$3:$I$56,5,FALSE)-VLOOKUP($A134,main!$A$3:$I$56,6,FALSE)&gt;=VLOOKUP(57,main!$A$57:$I$59,4,FALSE)+VLOOKUP(VLOOKUP(AV$1,main!$A$3:$I$56,7,FALSE),main!$K$10:$Q$14,5,FALSE),1,0)</f>
        <v>0</v>
      </c>
      <c r="AW134">
        <f>IF(VLOOKUP(AW$1,main!$A$3:$I$56,5,FALSE)-VLOOKUP($A134,main!$A$3:$I$56,6,FALSE)&gt;=VLOOKUP(57,main!$A$57:$I$59,4,FALSE)+VLOOKUP(VLOOKUP(AW$1,main!$A$3:$I$56,7,FALSE),main!$K$10:$Q$14,5,FALSE),1,0)</f>
        <v>0</v>
      </c>
      <c r="AX134">
        <f>IF(VLOOKUP(AX$1,main!$A$3:$I$56,5,FALSE)-VLOOKUP($A134,main!$A$3:$I$56,6,FALSE)&gt;=VLOOKUP(57,main!$A$57:$I$59,4,FALSE)+VLOOKUP(VLOOKUP(AX$1,main!$A$3:$I$56,7,FALSE),main!$K$10:$Q$14,5,FALSE),1,0)</f>
        <v>0</v>
      </c>
      <c r="AY134">
        <f>IF(VLOOKUP(AY$1,main!$A$3:$I$56,5,FALSE)-VLOOKUP($A134,main!$A$3:$I$56,6,FALSE)&gt;=VLOOKUP(57,main!$A$57:$I$59,4,FALSE)+VLOOKUP(VLOOKUP(AY$1,main!$A$3:$I$56,7,FALSE),main!$K$10:$Q$14,5,FALSE),1,0)</f>
        <v>1</v>
      </c>
      <c r="AZ134">
        <f>IF(VLOOKUP(AZ$1,main!$A$3:$I$56,5,FALSE)-VLOOKUP($A134,main!$A$3:$I$56,6,FALSE)&gt;=VLOOKUP(57,main!$A$57:$I$59,4,FALSE)+VLOOKUP(VLOOKUP(AZ$1,main!$A$3:$I$56,7,FALSE),main!$K$10:$Q$14,5,FALSE),1,0)</f>
        <v>0</v>
      </c>
      <c r="BA134">
        <f>IF(VLOOKUP(BA$1,main!$A$3:$I$56,5,FALSE)-VLOOKUP($A134,main!$A$3:$I$56,6,FALSE)&gt;=VLOOKUP(57,main!$A$57:$I$59,4,FALSE)+VLOOKUP(VLOOKUP(BA$1,main!$A$3:$I$56,7,FALSE),main!$K$10:$Q$14,5,FALSE),1,0)</f>
        <v>0</v>
      </c>
      <c r="BB134">
        <f>IF(VLOOKUP(BB$1,main!$A$3:$I$56,5,FALSE)-VLOOKUP($A134,main!$A$3:$I$56,6,FALSE)&gt;=VLOOKUP(57,main!$A$57:$I$59,4,FALSE)+VLOOKUP(VLOOKUP(BB$1,main!$A$3:$I$56,7,FALSE),main!$K$10:$Q$14,5,FALSE),1,0)</f>
        <v>0</v>
      </c>
      <c r="BC134">
        <f>IF(VLOOKUP(BC$1,main!$A$3:$I$56,5,FALSE)-VLOOKUP($A134,main!$A$3:$I$56,6,FALSE)&gt;=VLOOKUP(57,main!$A$57:$I$59,4,FALSE)+VLOOKUP(VLOOKUP(BC$1,main!$A$3:$I$56,7,FALSE),main!$K$10:$Q$14,5,FALSE),1,0)</f>
        <v>0</v>
      </c>
      <c r="BD134">
        <f>IF(VLOOKUP(BD$1,main!$A$3:$I$56,5,FALSE)-VLOOKUP($A134,main!$A$3:$I$56,6,FALSE)&gt;=VLOOKUP(57,main!$A$57:$I$59,4,FALSE)+VLOOKUP(VLOOKUP(BD$1,main!$A$3:$I$56,7,FALSE),main!$K$10:$Q$14,5,FALSE),1,0)</f>
        <v>0</v>
      </c>
    </row>
    <row r="135" spans="1:56" x14ac:dyDescent="0.25">
      <c r="A135">
        <f t="shared" si="2"/>
        <v>23</v>
      </c>
      <c r="B135">
        <v>0</v>
      </c>
      <c r="C135">
        <f>IF(VLOOKUP(C$1,main!$A$3:$I$56,5,FALSE)-VLOOKUP($A135,main!$A$3:$I$56,6,FALSE)&gt;=VLOOKUP(57,main!$A$57:$I$59,4,FALSE)+VLOOKUP(VLOOKUP(C$1,main!$A$3:$I$56,7,FALSE),main!$K$10:$Q$14,5,FALSE),1,0)</f>
        <v>0</v>
      </c>
      <c r="D135">
        <f>IF(VLOOKUP(D$1,main!$A$3:$I$56,5,FALSE)-VLOOKUP($A135,main!$A$3:$I$56,6,FALSE)&gt;=VLOOKUP(57,main!$A$57:$I$59,4,FALSE)+VLOOKUP(VLOOKUP(D$1,main!$A$3:$I$56,7,FALSE),main!$K$10:$Q$14,5,FALSE),1,0)</f>
        <v>0</v>
      </c>
      <c r="E135">
        <f>IF(VLOOKUP(E$1,main!$A$3:$I$56,5,FALSE)-VLOOKUP($A135,main!$A$3:$I$56,6,FALSE)&gt;=VLOOKUP(57,main!$A$57:$I$59,4,FALSE)+VLOOKUP(VLOOKUP(E$1,main!$A$3:$I$56,7,FALSE),main!$K$10:$Q$14,5,FALSE),1,0)</f>
        <v>0</v>
      </c>
      <c r="F135">
        <f>IF(VLOOKUP(F$1,main!$A$3:$I$56,5,FALSE)-VLOOKUP($A135,main!$A$3:$I$56,6,FALSE)&gt;=VLOOKUP(57,main!$A$57:$I$59,4,FALSE)+VLOOKUP(VLOOKUP(F$1,main!$A$3:$I$56,7,FALSE),main!$K$10:$Q$14,5,FALSE),1,0)</f>
        <v>0</v>
      </c>
      <c r="G135">
        <f>IF(VLOOKUP(G$1,main!$A$3:$I$56,5,FALSE)-VLOOKUP($A135,main!$A$3:$I$56,6,FALSE)&gt;=VLOOKUP(57,main!$A$57:$I$59,4,FALSE)+VLOOKUP(VLOOKUP(G$1,main!$A$3:$I$56,7,FALSE),main!$K$10:$Q$14,5,FALSE),1,0)</f>
        <v>0</v>
      </c>
      <c r="H135">
        <f>IF(VLOOKUP(H$1,main!$A$3:$I$56,5,FALSE)-VLOOKUP($A135,main!$A$3:$I$56,6,FALSE)&gt;=VLOOKUP(57,main!$A$57:$I$59,4,FALSE)+VLOOKUP(VLOOKUP(H$1,main!$A$3:$I$56,7,FALSE),main!$K$10:$Q$14,5,FALSE),1,0)</f>
        <v>0</v>
      </c>
      <c r="I135">
        <f>IF(VLOOKUP(I$1,main!$A$3:$I$56,5,FALSE)-VLOOKUP($A135,main!$A$3:$I$56,6,FALSE)&gt;=VLOOKUP(57,main!$A$57:$I$59,4,FALSE)+VLOOKUP(VLOOKUP(I$1,main!$A$3:$I$56,7,FALSE),main!$K$10:$Q$14,5,FALSE),1,0)</f>
        <v>0</v>
      </c>
      <c r="J135">
        <f>IF(VLOOKUP(J$1,main!$A$3:$I$56,5,FALSE)-VLOOKUP($A135,main!$A$3:$I$56,6,FALSE)&gt;=VLOOKUP(57,main!$A$57:$I$59,4,FALSE)+VLOOKUP(VLOOKUP(J$1,main!$A$3:$I$56,7,FALSE),main!$K$10:$Q$14,5,FALSE),1,0)</f>
        <v>0</v>
      </c>
      <c r="K135">
        <f>IF(VLOOKUP(K$1,main!$A$3:$I$56,5,FALSE)-VLOOKUP($A135,main!$A$3:$I$56,6,FALSE)&gt;=VLOOKUP(57,main!$A$57:$I$59,4,FALSE)+VLOOKUP(VLOOKUP(K$1,main!$A$3:$I$56,7,FALSE),main!$K$10:$Q$14,5,FALSE),1,0)</f>
        <v>0</v>
      </c>
      <c r="L135">
        <f>IF(VLOOKUP(L$1,main!$A$3:$I$56,5,FALSE)-VLOOKUP($A135,main!$A$3:$I$56,6,FALSE)&gt;=VLOOKUP(57,main!$A$57:$I$59,4,FALSE)+VLOOKUP(VLOOKUP(L$1,main!$A$3:$I$56,7,FALSE),main!$K$10:$Q$14,5,FALSE),1,0)</f>
        <v>0</v>
      </c>
      <c r="M135">
        <f>IF(VLOOKUP(M$1,main!$A$3:$I$56,5,FALSE)-VLOOKUP($A135,main!$A$3:$I$56,6,FALSE)&gt;=VLOOKUP(57,main!$A$57:$I$59,4,FALSE)+VLOOKUP(VLOOKUP(M$1,main!$A$3:$I$56,7,FALSE),main!$K$10:$Q$14,5,FALSE),1,0)</f>
        <v>0</v>
      </c>
      <c r="N135">
        <f>IF(VLOOKUP(N$1,main!$A$3:$I$56,5,FALSE)-VLOOKUP($A135,main!$A$3:$I$56,6,FALSE)&gt;=VLOOKUP(57,main!$A$57:$I$59,4,FALSE)+VLOOKUP(VLOOKUP(N$1,main!$A$3:$I$56,7,FALSE),main!$K$10:$Q$14,5,FALSE),1,0)</f>
        <v>0</v>
      </c>
      <c r="O135">
        <f>IF(VLOOKUP(O$1,main!$A$3:$I$56,5,FALSE)-VLOOKUP($A135,main!$A$3:$I$56,6,FALSE)&gt;=VLOOKUP(57,main!$A$57:$I$59,4,FALSE)+VLOOKUP(VLOOKUP(O$1,main!$A$3:$I$56,7,FALSE),main!$K$10:$Q$14,5,FALSE),1,0)</f>
        <v>0</v>
      </c>
      <c r="P135">
        <f>IF(VLOOKUP(P$1,main!$A$3:$I$56,5,FALSE)-VLOOKUP($A135,main!$A$3:$I$56,6,FALSE)&gt;=VLOOKUP(57,main!$A$57:$I$59,4,FALSE)+VLOOKUP(VLOOKUP(P$1,main!$A$3:$I$56,7,FALSE),main!$K$10:$Q$14,5,FALSE),1,0)</f>
        <v>0</v>
      </c>
      <c r="Q135">
        <f>IF(VLOOKUP(Q$1,main!$A$3:$I$56,5,FALSE)-VLOOKUP($A135,main!$A$3:$I$56,6,FALSE)&gt;=VLOOKUP(57,main!$A$57:$I$59,4,FALSE)+VLOOKUP(VLOOKUP(Q$1,main!$A$3:$I$56,7,FALSE),main!$K$10:$Q$14,5,FALSE),1,0)</f>
        <v>0</v>
      </c>
      <c r="R135">
        <f>IF(VLOOKUP(R$1,main!$A$3:$I$56,5,FALSE)-VLOOKUP($A135,main!$A$3:$I$56,6,FALSE)&gt;=VLOOKUP(57,main!$A$57:$I$59,4,FALSE)+VLOOKUP(VLOOKUP(R$1,main!$A$3:$I$56,7,FALSE),main!$K$10:$Q$14,5,FALSE),1,0)</f>
        <v>0</v>
      </c>
      <c r="S135">
        <f>IF(VLOOKUP(S$1,main!$A$3:$I$56,5,FALSE)-VLOOKUP($A135,main!$A$3:$I$56,6,FALSE)&gt;=VLOOKUP(57,main!$A$57:$I$59,4,FALSE)+VLOOKUP(VLOOKUP(S$1,main!$A$3:$I$56,7,FALSE),main!$K$10:$Q$14,5,FALSE),1,0)</f>
        <v>0</v>
      </c>
      <c r="T135">
        <f>IF(VLOOKUP(T$1,main!$A$3:$I$56,5,FALSE)-VLOOKUP($A135,main!$A$3:$I$56,6,FALSE)&gt;=VLOOKUP(57,main!$A$57:$I$59,4,FALSE)+VLOOKUP(VLOOKUP(T$1,main!$A$3:$I$56,7,FALSE),main!$K$10:$Q$14,5,FALSE),1,0)</f>
        <v>0</v>
      </c>
      <c r="U135">
        <f>IF(VLOOKUP(U$1,main!$A$3:$I$56,5,FALSE)-VLOOKUP($A135,main!$A$3:$I$56,6,FALSE)&gt;=VLOOKUP(57,main!$A$57:$I$59,4,FALSE)+VLOOKUP(VLOOKUP(U$1,main!$A$3:$I$56,7,FALSE),main!$K$10:$Q$14,5,FALSE),1,0)</f>
        <v>0</v>
      </c>
      <c r="V135">
        <f>IF(VLOOKUP(V$1,main!$A$3:$I$56,5,FALSE)-VLOOKUP($A135,main!$A$3:$I$56,6,FALSE)&gt;=VLOOKUP(57,main!$A$57:$I$59,4,FALSE)+VLOOKUP(VLOOKUP(V$1,main!$A$3:$I$56,7,FALSE),main!$K$10:$Q$14,5,FALSE),1,0)</f>
        <v>0</v>
      </c>
      <c r="W135">
        <f>IF(VLOOKUP(W$1,main!$A$3:$I$56,5,FALSE)-VLOOKUP($A135,main!$A$3:$I$56,6,FALSE)&gt;=VLOOKUP(57,main!$A$57:$I$59,4,FALSE)+VLOOKUP(VLOOKUP(W$1,main!$A$3:$I$56,7,FALSE),main!$K$10:$Q$14,5,FALSE),1,0)</f>
        <v>0</v>
      </c>
      <c r="X135">
        <f>IF(VLOOKUP(X$1,main!$A$3:$I$56,5,FALSE)-VLOOKUP($A135,main!$A$3:$I$56,6,FALSE)&gt;=VLOOKUP(57,main!$A$57:$I$59,4,FALSE)+VLOOKUP(VLOOKUP(X$1,main!$A$3:$I$56,7,FALSE),main!$K$10:$Q$14,5,FALSE),1,0)</f>
        <v>0</v>
      </c>
      <c r="Y135">
        <f>IF(VLOOKUP(Y$1,main!$A$3:$I$56,5,FALSE)-VLOOKUP($A135,main!$A$3:$I$56,6,FALSE)&gt;=VLOOKUP(57,main!$A$57:$I$59,4,FALSE)+VLOOKUP(VLOOKUP(Y$1,main!$A$3:$I$56,7,FALSE),main!$K$10:$Q$14,5,FALSE),1,0)</f>
        <v>0</v>
      </c>
      <c r="Z135">
        <f>IF(VLOOKUP(Z$1,main!$A$3:$I$56,5,FALSE)-VLOOKUP($A135,main!$A$3:$I$56,6,FALSE)&gt;=VLOOKUP(57,main!$A$57:$I$59,4,FALSE)+VLOOKUP(VLOOKUP(Z$1,main!$A$3:$I$56,7,FALSE),main!$K$10:$Q$14,5,FALSE),1,0)</f>
        <v>0</v>
      </c>
      <c r="AA135">
        <f>IF(VLOOKUP(AA$1,main!$A$3:$I$56,5,FALSE)-VLOOKUP($A135,main!$A$3:$I$56,6,FALSE)&gt;=VLOOKUP(57,main!$A$57:$I$59,4,FALSE)+VLOOKUP(VLOOKUP(AA$1,main!$A$3:$I$56,7,FALSE),main!$K$10:$Q$14,5,FALSE),1,0)</f>
        <v>0</v>
      </c>
      <c r="AB135">
        <f>IF(VLOOKUP(AB$1,main!$A$3:$I$56,5,FALSE)-VLOOKUP($A135,main!$A$3:$I$56,6,FALSE)&gt;=VLOOKUP(57,main!$A$57:$I$59,4,FALSE)+VLOOKUP(VLOOKUP(AB$1,main!$A$3:$I$56,7,FALSE),main!$K$10:$Q$14,5,FALSE),1,0)</f>
        <v>1</v>
      </c>
      <c r="AC135">
        <f>IF(VLOOKUP(AC$1,main!$A$3:$I$56,5,FALSE)-VLOOKUP($A135,main!$A$3:$I$56,6,FALSE)&gt;=VLOOKUP(57,main!$A$57:$I$59,4,FALSE)+VLOOKUP(VLOOKUP(AC$1,main!$A$3:$I$56,7,FALSE),main!$K$10:$Q$14,5,FALSE),1,0)</f>
        <v>0</v>
      </c>
      <c r="AD135">
        <f>IF(VLOOKUP(AD$1,main!$A$3:$I$56,5,FALSE)-VLOOKUP($A135,main!$A$3:$I$56,6,FALSE)&gt;=VLOOKUP(57,main!$A$57:$I$59,4,FALSE)+VLOOKUP(VLOOKUP(AD$1,main!$A$3:$I$56,7,FALSE),main!$K$10:$Q$14,5,FALSE),1,0)</f>
        <v>0</v>
      </c>
      <c r="AE135">
        <f>IF(VLOOKUP(AE$1,main!$A$3:$I$56,5,FALSE)-VLOOKUP($A135,main!$A$3:$I$56,6,FALSE)&gt;=VLOOKUP(57,main!$A$57:$I$59,4,FALSE)+VLOOKUP(VLOOKUP(AE$1,main!$A$3:$I$56,7,FALSE),main!$K$10:$Q$14,5,FALSE),1,0)</f>
        <v>0</v>
      </c>
      <c r="AF135">
        <f>IF(VLOOKUP(AF$1,main!$A$3:$I$56,5,FALSE)-VLOOKUP($A135,main!$A$3:$I$56,6,FALSE)&gt;=VLOOKUP(57,main!$A$57:$I$59,4,FALSE)+VLOOKUP(VLOOKUP(AF$1,main!$A$3:$I$56,7,FALSE),main!$K$10:$Q$14,5,FALSE),1,0)</f>
        <v>0</v>
      </c>
      <c r="AG135">
        <f>IF(VLOOKUP(AG$1,main!$A$3:$I$56,5,FALSE)-VLOOKUP($A135,main!$A$3:$I$56,6,FALSE)&gt;=VLOOKUP(57,main!$A$57:$I$59,4,FALSE)+VLOOKUP(VLOOKUP(AG$1,main!$A$3:$I$56,7,FALSE),main!$K$10:$Q$14,5,FALSE),1,0)</f>
        <v>0</v>
      </c>
      <c r="AH135">
        <f>IF(VLOOKUP(AH$1,main!$A$3:$I$56,5,FALSE)-VLOOKUP($A135,main!$A$3:$I$56,6,FALSE)&gt;=VLOOKUP(57,main!$A$57:$I$59,4,FALSE)+VLOOKUP(VLOOKUP(AH$1,main!$A$3:$I$56,7,FALSE),main!$K$10:$Q$14,5,FALSE),1,0)</f>
        <v>0</v>
      </c>
      <c r="AI135">
        <f>IF(VLOOKUP(AI$1,main!$A$3:$I$56,5,FALSE)-VLOOKUP($A135,main!$A$3:$I$56,6,FALSE)&gt;=VLOOKUP(57,main!$A$57:$I$59,4,FALSE)+VLOOKUP(VLOOKUP(AI$1,main!$A$3:$I$56,7,FALSE),main!$K$10:$Q$14,5,FALSE),1,0)</f>
        <v>0</v>
      </c>
      <c r="AJ135">
        <f>IF(VLOOKUP(AJ$1,main!$A$3:$I$56,5,FALSE)-VLOOKUP($A135,main!$A$3:$I$56,6,FALSE)&gt;=VLOOKUP(57,main!$A$57:$I$59,4,FALSE)+VLOOKUP(VLOOKUP(AJ$1,main!$A$3:$I$56,7,FALSE),main!$K$10:$Q$14,5,FALSE),1,0)</f>
        <v>0</v>
      </c>
      <c r="AK135">
        <f>IF(VLOOKUP(AK$1,main!$A$3:$I$56,5,FALSE)-VLOOKUP($A135,main!$A$3:$I$56,6,FALSE)&gt;=VLOOKUP(57,main!$A$57:$I$59,4,FALSE)+VLOOKUP(VLOOKUP(AK$1,main!$A$3:$I$56,7,FALSE),main!$K$10:$Q$14,5,FALSE),1,0)</f>
        <v>0</v>
      </c>
      <c r="AL135">
        <f>IF(VLOOKUP(AL$1,main!$A$3:$I$56,5,FALSE)-VLOOKUP($A135,main!$A$3:$I$56,6,FALSE)&gt;=VLOOKUP(57,main!$A$57:$I$59,4,FALSE)+VLOOKUP(VLOOKUP(AL$1,main!$A$3:$I$56,7,FALSE),main!$K$10:$Q$14,5,FALSE),1,0)</f>
        <v>0</v>
      </c>
      <c r="AM135">
        <f>IF(VLOOKUP(AM$1,main!$A$3:$I$56,5,FALSE)-VLOOKUP($A135,main!$A$3:$I$56,6,FALSE)&gt;=VLOOKUP(57,main!$A$57:$I$59,4,FALSE)+VLOOKUP(VLOOKUP(AM$1,main!$A$3:$I$56,7,FALSE),main!$K$10:$Q$14,5,FALSE),1,0)</f>
        <v>0</v>
      </c>
      <c r="AN135">
        <f>IF(VLOOKUP(AN$1,main!$A$3:$I$56,5,FALSE)-VLOOKUP($A135,main!$A$3:$I$56,6,FALSE)&gt;=VLOOKUP(57,main!$A$57:$I$59,4,FALSE)+VLOOKUP(VLOOKUP(AN$1,main!$A$3:$I$56,7,FALSE),main!$K$10:$Q$14,5,FALSE),1,0)</f>
        <v>0</v>
      </c>
      <c r="AO135">
        <f>IF(VLOOKUP(AO$1,main!$A$3:$I$56,5,FALSE)-VLOOKUP($A135,main!$A$3:$I$56,6,FALSE)&gt;=VLOOKUP(57,main!$A$57:$I$59,4,FALSE)+VLOOKUP(VLOOKUP(AO$1,main!$A$3:$I$56,7,FALSE),main!$K$10:$Q$14,5,FALSE),1,0)</f>
        <v>0</v>
      </c>
      <c r="AP135">
        <f>IF(VLOOKUP(AP$1,main!$A$3:$I$56,5,FALSE)-VLOOKUP($A135,main!$A$3:$I$56,6,FALSE)&gt;=VLOOKUP(57,main!$A$57:$I$59,4,FALSE)+VLOOKUP(VLOOKUP(AP$1,main!$A$3:$I$56,7,FALSE),main!$K$10:$Q$14,5,FALSE),1,0)</f>
        <v>0</v>
      </c>
      <c r="AQ135">
        <f>IF(VLOOKUP(AQ$1,main!$A$3:$I$56,5,FALSE)-VLOOKUP($A135,main!$A$3:$I$56,6,FALSE)&gt;=VLOOKUP(57,main!$A$57:$I$59,4,FALSE)+VLOOKUP(VLOOKUP(AQ$1,main!$A$3:$I$56,7,FALSE),main!$K$10:$Q$14,5,FALSE),1,0)</f>
        <v>0</v>
      </c>
      <c r="AR135">
        <f>IF(VLOOKUP(AR$1,main!$A$3:$I$56,5,FALSE)-VLOOKUP($A135,main!$A$3:$I$56,6,FALSE)&gt;=VLOOKUP(57,main!$A$57:$I$59,4,FALSE)+VLOOKUP(VLOOKUP(AR$1,main!$A$3:$I$56,7,FALSE),main!$K$10:$Q$14,5,FALSE),1,0)</f>
        <v>0</v>
      </c>
      <c r="AS135">
        <f>IF(VLOOKUP(AS$1,main!$A$3:$I$56,5,FALSE)-VLOOKUP($A135,main!$A$3:$I$56,6,FALSE)&gt;=VLOOKUP(57,main!$A$57:$I$59,4,FALSE)+VLOOKUP(VLOOKUP(AS$1,main!$A$3:$I$56,7,FALSE),main!$K$10:$Q$14,5,FALSE),1,0)</f>
        <v>0</v>
      </c>
      <c r="AT135">
        <f>IF(VLOOKUP(AT$1,main!$A$3:$I$56,5,FALSE)-VLOOKUP($A135,main!$A$3:$I$56,6,FALSE)&gt;=VLOOKUP(57,main!$A$57:$I$59,4,FALSE)+VLOOKUP(VLOOKUP(AT$1,main!$A$3:$I$56,7,FALSE),main!$K$10:$Q$14,5,FALSE),1,0)</f>
        <v>0</v>
      </c>
      <c r="AU135">
        <f>IF(VLOOKUP(AU$1,main!$A$3:$I$56,5,FALSE)-VLOOKUP($A135,main!$A$3:$I$56,6,FALSE)&gt;=VLOOKUP(57,main!$A$57:$I$59,4,FALSE)+VLOOKUP(VLOOKUP(AU$1,main!$A$3:$I$56,7,FALSE),main!$K$10:$Q$14,5,FALSE),1,0)</f>
        <v>0</v>
      </c>
      <c r="AV135">
        <f>IF(VLOOKUP(AV$1,main!$A$3:$I$56,5,FALSE)-VLOOKUP($A135,main!$A$3:$I$56,6,FALSE)&gt;=VLOOKUP(57,main!$A$57:$I$59,4,FALSE)+VLOOKUP(VLOOKUP(AV$1,main!$A$3:$I$56,7,FALSE),main!$K$10:$Q$14,5,FALSE),1,0)</f>
        <v>0</v>
      </c>
      <c r="AW135">
        <f>IF(VLOOKUP(AW$1,main!$A$3:$I$56,5,FALSE)-VLOOKUP($A135,main!$A$3:$I$56,6,FALSE)&gt;=VLOOKUP(57,main!$A$57:$I$59,4,FALSE)+VLOOKUP(VLOOKUP(AW$1,main!$A$3:$I$56,7,FALSE),main!$K$10:$Q$14,5,FALSE),1,0)</f>
        <v>0</v>
      </c>
      <c r="AX135">
        <f>IF(VLOOKUP(AX$1,main!$A$3:$I$56,5,FALSE)-VLOOKUP($A135,main!$A$3:$I$56,6,FALSE)&gt;=VLOOKUP(57,main!$A$57:$I$59,4,FALSE)+VLOOKUP(VLOOKUP(AX$1,main!$A$3:$I$56,7,FALSE),main!$K$10:$Q$14,5,FALSE),1,0)</f>
        <v>0</v>
      </c>
      <c r="AY135">
        <f>IF(VLOOKUP(AY$1,main!$A$3:$I$56,5,FALSE)-VLOOKUP($A135,main!$A$3:$I$56,6,FALSE)&gt;=VLOOKUP(57,main!$A$57:$I$59,4,FALSE)+VLOOKUP(VLOOKUP(AY$1,main!$A$3:$I$56,7,FALSE),main!$K$10:$Q$14,5,FALSE),1,0)</f>
        <v>0</v>
      </c>
      <c r="AZ135">
        <f>IF(VLOOKUP(AZ$1,main!$A$3:$I$56,5,FALSE)-VLOOKUP($A135,main!$A$3:$I$56,6,FALSE)&gt;=VLOOKUP(57,main!$A$57:$I$59,4,FALSE)+VLOOKUP(VLOOKUP(AZ$1,main!$A$3:$I$56,7,FALSE),main!$K$10:$Q$14,5,FALSE),1,0)</f>
        <v>0</v>
      </c>
      <c r="BA135">
        <f>IF(VLOOKUP(BA$1,main!$A$3:$I$56,5,FALSE)-VLOOKUP($A135,main!$A$3:$I$56,6,FALSE)&gt;=VLOOKUP(57,main!$A$57:$I$59,4,FALSE)+VLOOKUP(VLOOKUP(BA$1,main!$A$3:$I$56,7,FALSE),main!$K$10:$Q$14,5,FALSE),1,0)</f>
        <v>0</v>
      </c>
      <c r="BB135">
        <f>IF(VLOOKUP(BB$1,main!$A$3:$I$56,5,FALSE)-VLOOKUP($A135,main!$A$3:$I$56,6,FALSE)&gt;=VLOOKUP(57,main!$A$57:$I$59,4,FALSE)+VLOOKUP(VLOOKUP(BB$1,main!$A$3:$I$56,7,FALSE),main!$K$10:$Q$14,5,FALSE),1,0)</f>
        <v>0</v>
      </c>
      <c r="BC135">
        <f>IF(VLOOKUP(BC$1,main!$A$3:$I$56,5,FALSE)-VLOOKUP($A135,main!$A$3:$I$56,6,FALSE)&gt;=VLOOKUP(57,main!$A$57:$I$59,4,FALSE)+VLOOKUP(VLOOKUP(BC$1,main!$A$3:$I$56,7,FALSE),main!$K$10:$Q$14,5,FALSE),1,0)</f>
        <v>0</v>
      </c>
      <c r="BD135">
        <f>IF(VLOOKUP(BD$1,main!$A$3:$I$56,5,FALSE)-VLOOKUP($A135,main!$A$3:$I$56,6,FALSE)&gt;=VLOOKUP(57,main!$A$57:$I$59,4,FALSE)+VLOOKUP(VLOOKUP(BD$1,main!$A$3:$I$56,7,FALSE),main!$K$10:$Q$14,5,FALSE),1,0)</f>
        <v>0</v>
      </c>
    </row>
    <row r="136" spans="1:56" x14ac:dyDescent="0.25">
      <c r="A136">
        <f t="shared" si="2"/>
        <v>24</v>
      </c>
      <c r="B136">
        <v>0</v>
      </c>
      <c r="C136">
        <f>IF(VLOOKUP(C$1,main!$A$3:$I$56,5,FALSE)-VLOOKUP($A136,main!$A$3:$I$56,6,FALSE)&gt;=VLOOKUP(57,main!$A$57:$I$59,4,FALSE)+VLOOKUP(VLOOKUP(C$1,main!$A$3:$I$56,7,FALSE),main!$K$10:$Q$14,5,FALSE),1,0)</f>
        <v>0</v>
      </c>
      <c r="D136">
        <f>IF(VLOOKUP(D$1,main!$A$3:$I$56,5,FALSE)-VLOOKUP($A136,main!$A$3:$I$56,6,FALSE)&gt;=VLOOKUP(57,main!$A$57:$I$59,4,FALSE)+VLOOKUP(VLOOKUP(D$1,main!$A$3:$I$56,7,FALSE),main!$K$10:$Q$14,5,FALSE),1,0)</f>
        <v>0</v>
      </c>
      <c r="E136">
        <f>IF(VLOOKUP(E$1,main!$A$3:$I$56,5,FALSE)-VLOOKUP($A136,main!$A$3:$I$56,6,FALSE)&gt;=VLOOKUP(57,main!$A$57:$I$59,4,FALSE)+VLOOKUP(VLOOKUP(E$1,main!$A$3:$I$56,7,FALSE),main!$K$10:$Q$14,5,FALSE),1,0)</f>
        <v>0</v>
      </c>
      <c r="F136">
        <f>IF(VLOOKUP(F$1,main!$A$3:$I$56,5,FALSE)-VLOOKUP($A136,main!$A$3:$I$56,6,FALSE)&gt;=VLOOKUP(57,main!$A$57:$I$59,4,FALSE)+VLOOKUP(VLOOKUP(F$1,main!$A$3:$I$56,7,FALSE),main!$K$10:$Q$14,5,FALSE),1,0)</f>
        <v>0</v>
      </c>
      <c r="G136">
        <f>IF(VLOOKUP(G$1,main!$A$3:$I$56,5,FALSE)-VLOOKUP($A136,main!$A$3:$I$56,6,FALSE)&gt;=VLOOKUP(57,main!$A$57:$I$59,4,FALSE)+VLOOKUP(VLOOKUP(G$1,main!$A$3:$I$56,7,FALSE),main!$K$10:$Q$14,5,FALSE),1,0)</f>
        <v>0</v>
      </c>
      <c r="H136">
        <f>IF(VLOOKUP(H$1,main!$A$3:$I$56,5,FALSE)-VLOOKUP($A136,main!$A$3:$I$56,6,FALSE)&gt;=VLOOKUP(57,main!$A$57:$I$59,4,FALSE)+VLOOKUP(VLOOKUP(H$1,main!$A$3:$I$56,7,FALSE),main!$K$10:$Q$14,5,FALSE),1,0)</f>
        <v>0</v>
      </c>
      <c r="I136">
        <f>IF(VLOOKUP(I$1,main!$A$3:$I$56,5,FALSE)-VLOOKUP($A136,main!$A$3:$I$56,6,FALSE)&gt;=VLOOKUP(57,main!$A$57:$I$59,4,FALSE)+VLOOKUP(VLOOKUP(I$1,main!$A$3:$I$56,7,FALSE),main!$K$10:$Q$14,5,FALSE),1,0)</f>
        <v>0</v>
      </c>
      <c r="J136">
        <f>IF(VLOOKUP(J$1,main!$A$3:$I$56,5,FALSE)-VLOOKUP($A136,main!$A$3:$I$56,6,FALSE)&gt;=VLOOKUP(57,main!$A$57:$I$59,4,FALSE)+VLOOKUP(VLOOKUP(J$1,main!$A$3:$I$56,7,FALSE),main!$K$10:$Q$14,5,FALSE),1,0)</f>
        <v>0</v>
      </c>
      <c r="K136">
        <f>IF(VLOOKUP(K$1,main!$A$3:$I$56,5,FALSE)-VLOOKUP($A136,main!$A$3:$I$56,6,FALSE)&gt;=VLOOKUP(57,main!$A$57:$I$59,4,FALSE)+VLOOKUP(VLOOKUP(K$1,main!$A$3:$I$56,7,FALSE),main!$K$10:$Q$14,5,FALSE),1,0)</f>
        <v>0</v>
      </c>
      <c r="L136">
        <f>IF(VLOOKUP(L$1,main!$A$3:$I$56,5,FALSE)-VLOOKUP($A136,main!$A$3:$I$56,6,FALSE)&gt;=VLOOKUP(57,main!$A$57:$I$59,4,FALSE)+VLOOKUP(VLOOKUP(L$1,main!$A$3:$I$56,7,FALSE),main!$K$10:$Q$14,5,FALSE),1,0)</f>
        <v>0</v>
      </c>
      <c r="M136">
        <f>IF(VLOOKUP(M$1,main!$A$3:$I$56,5,FALSE)-VLOOKUP($A136,main!$A$3:$I$56,6,FALSE)&gt;=VLOOKUP(57,main!$A$57:$I$59,4,FALSE)+VLOOKUP(VLOOKUP(M$1,main!$A$3:$I$56,7,FALSE),main!$K$10:$Q$14,5,FALSE),1,0)</f>
        <v>0</v>
      </c>
      <c r="N136">
        <f>IF(VLOOKUP(N$1,main!$A$3:$I$56,5,FALSE)-VLOOKUP($A136,main!$A$3:$I$56,6,FALSE)&gt;=VLOOKUP(57,main!$A$57:$I$59,4,FALSE)+VLOOKUP(VLOOKUP(N$1,main!$A$3:$I$56,7,FALSE),main!$K$10:$Q$14,5,FALSE),1,0)</f>
        <v>0</v>
      </c>
      <c r="O136">
        <f>IF(VLOOKUP(O$1,main!$A$3:$I$56,5,FALSE)-VLOOKUP($A136,main!$A$3:$I$56,6,FALSE)&gt;=VLOOKUP(57,main!$A$57:$I$59,4,FALSE)+VLOOKUP(VLOOKUP(O$1,main!$A$3:$I$56,7,FALSE),main!$K$10:$Q$14,5,FALSE),1,0)</f>
        <v>0</v>
      </c>
      <c r="P136">
        <f>IF(VLOOKUP(P$1,main!$A$3:$I$56,5,FALSE)-VLOOKUP($A136,main!$A$3:$I$56,6,FALSE)&gt;=VLOOKUP(57,main!$A$57:$I$59,4,FALSE)+VLOOKUP(VLOOKUP(P$1,main!$A$3:$I$56,7,FALSE),main!$K$10:$Q$14,5,FALSE),1,0)</f>
        <v>0</v>
      </c>
      <c r="Q136">
        <f>IF(VLOOKUP(Q$1,main!$A$3:$I$56,5,FALSE)-VLOOKUP($A136,main!$A$3:$I$56,6,FALSE)&gt;=VLOOKUP(57,main!$A$57:$I$59,4,FALSE)+VLOOKUP(VLOOKUP(Q$1,main!$A$3:$I$56,7,FALSE),main!$K$10:$Q$14,5,FALSE),1,0)</f>
        <v>0</v>
      </c>
      <c r="R136">
        <f>IF(VLOOKUP(R$1,main!$A$3:$I$56,5,FALSE)-VLOOKUP($A136,main!$A$3:$I$56,6,FALSE)&gt;=VLOOKUP(57,main!$A$57:$I$59,4,FALSE)+VLOOKUP(VLOOKUP(R$1,main!$A$3:$I$56,7,FALSE),main!$K$10:$Q$14,5,FALSE),1,0)</f>
        <v>0</v>
      </c>
      <c r="S136">
        <f>IF(VLOOKUP(S$1,main!$A$3:$I$56,5,FALSE)-VLOOKUP($A136,main!$A$3:$I$56,6,FALSE)&gt;=VLOOKUP(57,main!$A$57:$I$59,4,FALSE)+VLOOKUP(VLOOKUP(S$1,main!$A$3:$I$56,7,FALSE),main!$K$10:$Q$14,5,FALSE),1,0)</f>
        <v>0</v>
      </c>
      <c r="T136">
        <f>IF(VLOOKUP(T$1,main!$A$3:$I$56,5,FALSE)-VLOOKUP($A136,main!$A$3:$I$56,6,FALSE)&gt;=VLOOKUP(57,main!$A$57:$I$59,4,FALSE)+VLOOKUP(VLOOKUP(T$1,main!$A$3:$I$56,7,FALSE),main!$K$10:$Q$14,5,FALSE),1,0)</f>
        <v>0</v>
      </c>
      <c r="U136">
        <f>IF(VLOOKUP(U$1,main!$A$3:$I$56,5,FALSE)-VLOOKUP($A136,main!$A$3:$I$56,6,FALSE)&gt;=VLOOKUP(57,main!$A$57:$I$59,4,FALSE)+VLOOKUP(VLOOKUP(U$1,main!$A$3:$I$56,7,FALSE),main!$K$10:$Q$14,5,FALSE),1,0)</f>
        <v>0</v>
      </c>
      <c r="V136">
        <f>IF(VLOOKUP(V$1,main!$A$3:$I$56,5,FALSE)-VLOOKUP($A136,main!$A$3:$I$56,6,FALSE)&gt;=VLOOKUP(57,main!$A$57:$I$59,4,FALSE)+VLOOKUP(VLOOKUP(V$1,main!$A$3:$I$56,7,FALSE),main!$K$10:$Q$14,5,FALSE),1,0)</f>
        <v>0</v>
      </c>
      <c r="W136">
        <f>IF(VLOOKUP(W$1,main!$A$3:$I$56,5,FALSE)-VLOOKUP($A136,main!$A$3:$I$56,6,FALSE)&gt;=VLOOKUP(57,main!$A$57:$I$59,4,FALSE)+VLOOKUP(VLOOKUP(W$1,main!$A$3:$I$56,7,FALSE),main!$K$10:$Q$14,5,FALSE),1,0)</f>
        <v>0</v>
      </c>
      <c r="X136">
        <f>IF(VLOOKUP(X$1,main!$A$3:$I$56,5,FALSE)-VLOOKUP($A136,main!$A$3:$I$56,6,FALSE)&gt;=VLOOKUP(57,main!$A$57:$I$59,4,FALSE)+VLOOKUP(VLOOKUP(X$1,main!$A$3:$I$56,7,FALSE),main!$K$10:$Q$14,5,FALSE),1,0)</f>
        <v>0</v>
      </c>
      <c r="Y136">
        <f>IF(VLOOKUP(Y$1,main!$A$3:$I$56,5,FALSE)-VLOOKUP($A136,main!$A$3:$I$56,6,FALSE)&gt;=VLOOKUP(57,main!$A$57:$I$59,4,FALSE)+VLOOKUP(VLOOKUP(Y$1,main!$A$3:$I$56,7,FALSE),main!$K$10:$Q$14,5,FALSE),1,0)</f>
        <v>0</v>
      </c>
      <c r="Z136">
        <f>IF(VLOOKUP(Z$1,main!$A$3:$I$56,5,FALSE)-VLOOKUP($A136,main!$A$3:$I$56,6,FALSE)&gt;=VLOOKUP(57,main!$A$57:$I$59,4,FALSE)+VLOOKUP(VLOOKUP(Z$1,main!$A$3:$I$56,7,FALSE),main!$K$10:$Q$14,5,FALSE),1,0)</f>
        <v>0</v>
      </c>
      <c r="AA136">
        <f>IF(VLOOKUP(AA$1,main!$A$3:$I$56,5,FALSE)-VLOOKUP($A136,main!$A$3:$I$56,6,FALSE)&gt;=VLOOKUP(57,main!$A$57:$I$59,4,FALSE)+VLOOKUP(VLOOKUP(AA$1,main!$A$3:$I$56,7,FALSE),main!$K$10:$Q$14,5,FALSE),1,0)</f>
        <v>0</v>
      </c>
      <c r="AB136">
        <f>IF(VLOOKUP(AB$1,main!$A$3:$I$56,5,FALSE)-VLOOKUP($A136,main!$A$3:$I$56,6,FALSE)&gt;=VLOOKUP(57,main!$A$57:$I$59,4,FALSE)+VLOOKUP(VLOOKUP(AB$1,main!$A$3:$I$56,7,FALSE),main!$K$10:$Q$14,5,FALSE),1,0)</f>
        <v>0</v>
      </c>
      <c r="AC136">
        <f>IF(VLOOKUP(AC$1,main!$A$3:$I$56,5,FALSE)-VLOOKUP($A136,main!$A$3:$I$56,6,FALSE)&gt;=VLOOKUP(57,main!$A$57:$I$59,4,FALSE)+VLOOKUP(VLOOKUP(AC$1,main!$A$3:$I$56,7,FALSE),main!$K$10:$Q$14,5,FALSE),1,0)</f>
        <v>0</v>
      </c>
      <c r="AD136">
        <f>IF(VLOOKUP(AD$1,main!$A$3:$I$56,5,FALSE)-VLOOKUP($A136,main!$A$3:$I$56,6,FALSE)&gt;=VLOOKUP(57,main!$A$57:$I$59,4,FALSE)+VLOOKUP(VLOOKUP(AD$1,main!$A$3:$I$56,7,FALSE),main!$K$10:$Q$14,5,FALSE),1,0)</f>
        <v>0</v>
      </c>
      <c r="AE136">
        <f>IF(VLOOKUP(AE$1,main!$A$3:$I$56,5,FALSE)-VLOOKUP($A136,main!$A$3:$I$56,6,FALSE)&gt;=VLOOKUP(57,main!$A$57:$I$59,4,FALSE)+VLOOKUP(VLOOKUP(AE$1,main!$A$3:$I$56,7,FALSE),main!$K$10:$Q$14,5,FALSE),1,0)</f>
        <v>0</v>
      </c>
      <c r="AF136">
        <f>IF(VLOOKUP(AF$1,main!$A$3:$I$56,5,FALSE)-VLOOKUP($A136,main!$A$3:$I$56,6,FALSE)&gt;=VLOOKUP(57,main!$A$57:$I$59,4,FALSE)+VLOOKUP(VLOOKUP(AF$1,main!$A$3:$I$56,7,FALSE),main!$K$10:$Q$14,5,FALSE),1,0)</f>
        <v>0</v>
      </c>
      <c r="AG136">
        <f>IF(VLOOKUP(AG$1,main!$A$3:$I$56,5,FALSE)-VLOOKUP($A136,main!$A$3:$I$56,6,FALSE)&gt;=VLOOKUP(57,main!$A$57:$I$59,4,FALSE)+VLOOKUP(VLOOKUP(AG$1,main!$A$3:$I$56,7,FALSE),main!$K$10:$Q$14,5,FALSE),1,0)</f>
        <v>0</v>
      </c>
      <c r="AH136">
        <f>IF(VLOOKUP(AH$1,main!$A$3:$I$56,5,FALSE)-VLOOKUP($A136,main!$A$3:$I$56,6,FALSE)&gt;=VLOOKUP(57,main!$A$57:$I$59,4,FALSE)+VLOOKUP(VLOOKUP(AH$1,main!$A$3:$I$56,7,FALSE),main!$K$10:$Q$14,5,FALSE),1,0)</f>
        <v>0</v>
      </c>
      <c r="AI136">
        <f>IF(VLOOKUP(AI$1,main!$A$3:$I$56,5,FALSE)-VLOOKUP($A136,main!$A$3:$I$56,6,FALSE)&gt;=VLOOKUP(57,main!$A$57:$I$59,4,FALSE)+VLOOKUP(VLOOKUP(AI$1,main!$A$3:$I$56,7,FALSE),main!$K$10:$Q$14,5,FALSE),1,0)</f>
        <v>0</v>
      </c>
      <c r="AJ136">
        <f>IF(VLOOKUP(AJ$1,main!$A$3:$I$56,5,FALSE)-VLOOKUP($A136,main!$A$3:$I$56,6,FALSE)&gt;=VLOOKUP(57,main!$A$57:$I$59,4,FALSE)+VLOOKUP(VLOOKUP(AJ$1,main!$A$3:$I$56,7,FALSE),main!$K$10:$Q$14,5,FALSE),1,0)</f>
        <v>0</v>
      </c>
      <c r="AK136">
        <f>IF(VLOOKUP(AK$1,main!$A$3:$I$56,5,FALSE)-VLOOKUP($A136,main!$A$3:$I$56,6,FALSE)&gt;=VLOOKUP(57,main!$A$57:$I$59,4,FALSE)+VLOOKUP(VLOOKUP(AK$1,main!$A$3:$I$56,7,FALSE),main!$K$10:$Q$14,5,FALSE),1,0)</f>
        <v>0</v>
      </c>
      <c r="AL136">
        <f>IF(VLOOKUP(AL$1,main!$A$3:$I$56,5,FALSE)-VLOOKUP($A136,main!$A$3:$I$56,6,FALSE)&gt;=VLOOKUP(57,main!$A$57:$I$59,4,FALSE)+VLOOKUP(VLOOKUP(AL$1,main!$A$3:$I$56,7,FALSE),main!$K$10:$Q$14,5,FALSE),1,0)</f>
        <v>0</v>
      </c>
      <c r="AM136">
        <f>IF(VLOOKUP(AM$1,main!$A$3:$I$56,5,FALSE)-VLOOKUP($A136,main!$A$3:$I$56,6,FALSE)&gt;=VLOOKUP(57,main!$A$57:$I$59,4,FALSE)+VLOOKUP(VLOOKUP(AM$1,main!$A$3:$I$56,7,FALSE),main!$K$10:$Q$14,5,FALSE),1,0)</f>
        <v>0</v>
      </c>
      <c r="AN136">
        <f>IF(VLOOKUP(AN$1,main!$A$3:$I$56,5,FALSE)-VLOOKUP($A136,main!$A$3:$I$56,6,FALSE)&gt;=VLOOKUP(57,main!$A$57:$I$59,4,FALSE)+VLOOKUP(VLOOKUP(AN$1,main!$A$3:$I$56,7,FALSE),main!$K$10:$Q$14,5,FALSE),1,0)</f>
        <v>0</v>
      </c>
      <c r="AO136">
        <f>IF(VLOOKUP(AO$1,main!$A$3:$I$56,5,FALSE)-VLOOKUP($A136,main!$A$3:$I$56,6,FALSE)&gt;=VLOOKUP(57,main!$A$57:$I$59,4,FALSE)+VLOOKUP(VLOOKUP(AO$1,main!$A$3:$I$56,7,FALSE),main!$K$10:$Q$14,5,FALSE),1,0)</f>
        <v>0</v>
      </c>
      <c r="AP136">
        <f>IF(VLOOKUP(AP$1,main!$A$3:$I$56,5,FALSE)-VLOOKUP($A136,main!$A$3:$I$56,6,FALSE)&gt;=VLOOKUP(57,main!$A$57:$I$59,4,FALSE)+VLOOKUP(VLOOKUP(AP$1,main!$A$3:$I$56,7,FALSE),main!$K$10:$Q$14,5,FALSE),1,0)</f>
        <v>0</v>
      </c>
      <c r="AQ136">
        <f>IF(VLOOKUP(AQ$1,main!$A$3:$I$56,5,FALSE)-VLOOKUP($A136,main!$A$3:$I$56,6,FALSE)&gt;=VLOOKUP(57,main!$A$57:$I$59,4,FALSE)+VLOOKUP(VLOOKUP(AQ$1,main!$A$3:$I$56,7,FALSE),main!$K$10:$Q$14,5,FALSE),1,0)</f>
        <v>0</v>
      </c>
      <c r="AR136">
        <f>IF(VLOOKUP(AR$1,main!$A$3:$I$56,5,FALSE)-VLOOKUP($A136,main!$A$3:$I$56,6,FALSE)&gt;=VLOOKUP(57,main!$A$57:$I$59,4,FALSE)+VLOOKUP(VLOOKUP(AR$1,main!$A$3:$I$56,7,FALSE),main!$K$10:$Q$14,5,FALSE),1,0)</f>
        <v>0</v>
      </c>
      <c r="AS136">
        <f>IF(VLOOKUP(AS$1,main!$A$3:$I$56,5,FALSE)-VLOOKUP($A136,main!$A$3:$I$56,6,FALSE)&gt;=VLOOKUP(57,main!$A$57:$I$59,4,FALSE)+VLOOKUP(VLOOKUP(AS$1,main!$A$3:$I$56,7,FALSE),main!$K$10:$Q$14,5,FALSE),1,0)</f>
        <v>0</v>
      </c>
      <c r="AT136">
        <f>IF(VLOOKUP(AT$1,main!$A$3:$I$56,5,FALSE)-VLOOKUP($A136,main!$A$3:$I$56,6,FALSE)&gt;=VLOOKUP(57,main!$A$57:$I$59,4,FALSE)+VLOOKUP(VLOOKUP(AT$1,main!$A$3:$I$56,7,FALSE),main!$K$10:$Q$14,5,FALSE),1,0)</f>
        <v>0</v>
      </c>
      <c r="AU136">
        <f>IF(VLOOKUP(AU$1,main!$A$3:$I$56,5,FALSE)-VLOOKUP($A136,main!$A$3:$I$56,6,FALSE)&gt;=VLOOKUP(57,main!$A$57:$I$59,4,FALSE)+VLOOKUP(VLOOKUP(AU$1,main!$A$3:$I$56,7,FALSE),main!$K$10:$Q$14,5,FALSE),1,0)</f>
        <v>0</v>
      </c>
      <c r="AV136">
        <f>IF(VLOOKUP(AV$1,main!$A$3:$I$56,5,FALSE)-VLOOKUP($A136,main!$A$3:$I$56,6,FALSE)&gt;=VLOOKUP(57,main!$A$57:$I$59,4,FALSE)+VLOOKUP(VLOOKUP(AV$1,main!$A$3:$I$56,7,FALSE),main!$K$10:$Q$14,5,FALSE),1,0)</f>
        <v>0</v>
      </c>
      <c r="AW136">
        <f>IF(VLOOKUP(AW$1,main!$A$3:$I$56,5,FALSE)-VLOOKUP($A136,main!$A$3:$I$56,6,FALSE)&gt;=VLOOKUP(57,main!$A$57:$I$59,4,FALSE)+VLOOKUP(VLOOKUP(AW$1,main!$A$3:$I$56,7,FALSE),main!$K$10:$Q$14,5,FALSE),1,0)</f>
        <v>0</v>
      </c>
      <c r="AX136">
        <f>IF(VLOOKUP(AX$1,main!$A$3:$I$56,5,FALSE)-VLOOKUP($A136,main!$A$3:$I$56,6,FALSE)&gt;=VLOOKUP(57,main!$A$57:$I$59,4,FALSE)+VLOOKUP(VLOOKUP(AX$1,main!$A$3:$I$56,7,FALSE),main!$K$10:$Q$14,5,FALSE),1,0)</f>
        <v>0</v>
      </c>
      <c r="AY136">
        <f>IF(VLOOKUP(AY$1,main!$A$3:$I$56,5,FALSE)-VLOOKUP($A136,main!$A$3:$I$56,6,FALSE)&gt;=VLOOKUP(57,main!$A$57:$I$59,4,FALSE)+VLOOKUP(VLOOKUP(AY$1,main!$A$3:$I$56,7,FALSE),main!$K$10:$Q$14,5,FALSE),1,0)</f>
        <v>0</v>
      </c>
      <c r="AZ136">
        <f>IF(VLOOKUP(AZ$1,main!$A$3:$I$56,5,FALSE)-VLOOKUP($A136,main!$A$3:$I$56,6,FALSE)&gt;=VLOOKUP(57,main!$A$57:$I$59,4,FALSE)+VLOOKUP(VLOOKUP(AZ$1,main!$A$3:$I$56,7,FALSE),main!$K$10:$Q$14,5,FALSE),1,0)</f>
        <v>0</v>
      </c>
      <c r="BA136">
        <f>IF(VLOOKUP(BA$1,main!$A$3:$I$56,5,FALSE)-VLOOKUP($A136,main!$A$3:$I$56,6,FALSE)&gt;=VLOOKUP(57,main!$A$57:$I$59,4,FALSE)+VLOOKUP(VLOOKUP(BA$1,main!$A$3:$I$56,7,FALSE),main!$K$10:$Q$14,5,FALSE),1,0)</f>
        <v>0</v>
      </c>
      <c r="BB136">
        <f>IF(VLOOKUP(BB$1,main!$A$3:$I$56,5,FALSE)-VLOOKUP($A136,main!$A$3:$I$56,6,FALSE)&gt;=VLOOKUP(57,main!$A$57:$I$59,4,FALSE)+VLOOKUP(VLOOKUP(BB$1,main!$A$3:$I$56,7,FALSE),main!$K$10:$Q$14,5,FALSE),1,0)</f>
        <v>0</v>
      </c>
      <c r="BC136">
        <f>IF(VLOOKUP(BC$1,main!$A$3:$I$56,5,FALSE)-VLOOKUP($A136,main!$A$3:$I$56,6,FALSE)&gt;=VLOOKUP(57,main!$A$57:$I$59,4,FALSE)+VLOOKUP(VLOOKUP(BC$1,main!$A$3:$I$56,7,FALSE),main!$K$10:$Q$14,5,FALSE),1,0)</f>
        <v>0</v>
      </c>
      <c r="BD136">
        <f>IF(VLOOKUP(BD$1,main!$A$3:$I$56,5,FALSE)-VLOOKUP($A136,main!$A$3:$I$56,6,FALSE)&gt;=VLOOKUP(57,main!$A$57:$I$59,4,FALSE)+VLOOKUP(VLOOKUP(BD$1,main!$A$3:$I$56,7,FALSE),main!$K$10:$Q$14,5,FALSE),1,0)</f>
        <v>0</v>
      </c>
    </row>
    <row r="137" spans="1:56" x14ac:dyDescent="0.25">
      <c r="A137">
        <f t="shared" si="2"/>
        <v>25</v>
      </c>
      <c r="B137">
        <v>0</v>
      </c>
      <c r="C137">
        <f>IF(VLOOKUP(C$1,main!$A$3:$I$56,5,FALSE)-VLOOKUP($A137,main!$A$3:$I$56,6,FALSE)&gt;=VLOOKUP(57,main!$A$57:$I$59,4,FALSE)+VLOOKUP(VLOOKUP(C$1,main!$A$3:$I$56,7,FALSE),main!$K$10:$Q$14,5,FALSE),1,0)</f>
        <v>0</v>
      </c>
      <c r="D137">
        <f>IF(VLOOKUP(D$1,main!$A$3:$I$56,5,FALSE)-VLOOKUP($A137,main!$A$3:$I$56,6,FALSE)&gt;=VLOOKUP(57,main!$A$57:$I$59,4,FALSE)+VLOOKUP(VLOOKUP(D$1,main!$A$3:$I$56,7,FALSE),main!$K$10:$Q$14,5,FALSE),1,0)</f>
        <v>0</v>
      </c>
      <c r="E137">
        <f>IF(VLOOKUP(E$1,main!$A$3:$I$56,5,FALSE)-VLOOKUP($A137,main!$A$3:$I$56,6,FALSE)&gt;=VLOOKUP(57,main!$A$57:$I$59,4,FALSE)+VLOOKUP(VLOOKUP(E$1,main!$A$3:$I$56,7,FALSE),main!$K$10:$Q$14,5,FALSE),1,0)</f>
        <v>0</v>
      </c>
      <c r="F137">
        <f>IF(VLOOKUP(F$1,main!$A$3:$I$56,5,FALSE)-VLOOKUP($A137,main!$A$3:$I$56,6,FALSE)&gt;=VLOOKUP(57,main!$A$57:$I$59,4,FALSE)+VLOOKUP(VLOOKUP(F$1,main!$A$3:$I$56,7,FALSE),main!$K$10:$Q$14,5,FALSE),1,0)</f>
        <v>0</v>
      </c>
      <c r="G137">
        <f>IF(VLOOKUP(G$1,main!$A$3:$I$56,5,FALSE)-VLOOKUP($A137,main!$A$3:$I$56,6,FALSE)&gt;=VLOOKUP(57,main!$A$57:$I$59,4,FALSE)+VLOOKUP(VLOOKUP(G$1,main!$A$3:$I$56,7,FALSE),main!$K$10:$Q$14,5,FALSE),1,0)</f>
        <v>0</v>
      </c>
      <c r="H137">
        <f>IF(VLOOKUP(H$1,main!$A$3:$I$56,5,FALSE)-VLOOKUP($A137,main!$A$3:$I$56,6,FALSE)&gt;=VLOOKUP(57,main!$A$57:$I$59,4,FALSE)+VLOOKUP(VLOOKUP(H$1,main!$A$3:$I$56,7,FALSE),main!$K$10:$Q$14,5,FALSE),1,0)</f>
        <v>0</v>
      </c>
      <c r="I137">
        <f>IF(VLOOKUP(I$1,main!$A$3:$I$56,5,FALSE)-VLOOKUP($A137,main!$A$3:$I$56,6,FALSE)&gt;=VLOOKUP(57,main!$A$57:$I$59,4,FALSE)+VLOOKUP(VLOOKUP(I$1,main!$A$3:$I$56,7,FALSE),main!$K$10:$Q$14,5,FALSE),1,0)</f>
        <v>0</v>
      </c>
      <c r="J137">
        <f>IF(VLOOKUP(J$1,main!$A$3:$I$56,5,FALSE)-VLOOKUP($A137,main!$A$3:$I$56,6,FALSE)&gt;=VLOOKUP(57,main!$A$57:$I$59,4,FALSE)+VLOOKUP(VLOOKUP(J$1,main!$A$3:$I$56,7,FALSE),main!$K$10:$Q$14,5,FALSE),1,0)</f>
        <v>0</v>
      </c>
      <c r="K137">
        <f>IF(VLOOKUP(K$1,main!$A$3:$I$56,5,FALSE)-VLOOKUP($A137,main!$A$3:$I$56,6,FALSE)&gt;=VLOOKUP(57,main!$A$57:$I$59,4,FALSE)+VLOOKUP(VLOOKUP(K$1,main!$A$3:$I$56,7,FALSE),main!$K$10:$Q$14,5,FALSE),1,0)</f>
        <v>0</v>
      </c>
      <c r="L137">
        <f>IF(VLOOKUP(L$1,main!$A$3:$I$56,5,FALSE)-VLOOKUP($A137,main!$A$3:$I$56,6,FALSE)&gt;=VLOOKUP(57,main!$A$57:$I$59,4,FALSE)+VLOOKUP(VLOOKUP(L$1,main!$A$3:$I$56,7,FALSE),main!$K$10:$Q$14,5,FALSE),1,0)</f>
        <v>0</v>
      </c>
      <c r="M137">
        <f>IF(VLOOKUP(M$1,main!$A$3:$I$56,5,FALSE)-VLOOKUP($A137,main!$A$3:$I$56,6,FALSE)&gt;=VLOOKUP(57,main!$A$57:$I$59,4,FALSE)+VLOOKUP(VLOOKUP(M$1,main!$A$3:$I$56,7,FALSE),main!$K$10:$Q$14,5,FALSE),1,0)</f>
        <v>0</v>
      </c>
      <c r="N137">
        <f>IF(VLOOKUP(N$1,main!$A$3:$I$56,5,FALSE)-VLOOKUP($A137,main!$A$3:$I$56,6,FALSE)&gt;=VLOOKUP(57,main!$A$57:$I$59,4,FALSE)+VLOOKUP(VLOOKUP(N$1,main!$A$3:$I$56,7,FALSE),main!$K$10:$Q$14,5,FALSE),1,0)</f>
        <v>0</v>
      </c>
      <c r="O137">
        <f>IF(VLOOKUP(O$1,main!$A$3:$I$56,5,FALSE)-VLOOKUP($A137,main!$A$3:$I$56,6,FALSE)&gt;=VLOOKUP(57,main!$A$57:$I$59,4,FALSE)+VLOOKUP(VLOOKUP(O$1,main!$A$3:$I$56,7,FALSE),main!$K$10:$Q$14,5,FALSE),1,0)</f>
        <v>0</v>
      </c>
      <c r="P137">
        <f>IF(VLOOKUP(P$1,main!$A$3:$I$56,5,FALSE)-VLOOKUP($A137,main!$A$3:$I$56,6,FALSE)&gt;=VLOOKUP(57,main!$A$57:$I$59,4,FALSE)+VLOOKUP(VLOOKUP(P$1,main!$A$3:$I$56,7,FALSE),main!$K$10:$Q$14,5,FALSE),1,0)</f>
        <v>0</v>
      </c>
      <c r="Q137">
        <f>IF(VLOOKUP(Q$1,main!$A$3:$I$56,5,FALSE)-VLOOKUP($A137,main!$A$3:$I$56,6,FALSE)&gt;=VLOOKUP(57,main!$A$57:$I$59,4,FALSE)+VLOOKUP(VLOOKUP(Q$1,main!$A$3:$I$56,7,FALSE),main!$K$10:$Q$14,5,FALSE),1,0)</f>
        <v>0</v>
      </c>
      <c r="R137">
        <f>IF(VLOOKUP(R$1,main!$A$3:$I$56,5,FALSE)-VLOOKUP($A137,main!$A$3:$I$56,6,FALSE)&gt;=VLOOKUP(57,main!$A$57:$I$59,4,FALSE)+VLOOKUP(VLOOKUP(R$1,main!$A$3:$I$56,7,FALSE),main!$K$10:$Q$14,5,FALSE),1,0)</f>
        <v>0</v>
      </c>
      <c r="S137">
        <f>IF(VLOOKUP(S$1,main!$A$3:$I$56,5,FALSE)-VLOOKUP($A137,main!$A$3:$I$56,6,FALSE)&gt;=VLOOKUP(57,main!$A$57:$I$59,4,FALSE)+VLOOKUP(VLOOKUP(S$1,main!$A$3:$I$56,7,FALSE),main!$K$10:$Q$14,5,FALSE),1,0)</f>
        <v>0</v>
      </c>
      <c r="T137">
        <f>IF(VLOOKUP(T$1,main!$A$3:$I$56,5,FALSE)-VLOOKUP($A137,main!$A$3:$I$56,6,FALSE)&gt;=VLOOKUP(57,main!$A$57:$I$59,4,FALSE)+VLOOKUP(VLOOKUP(T$1,main!$A$3:$I$56,7,FALSE),main!$K$10:$Q$14,5,FALSE),1,0)</f>
        <v>0</v>
      </c>
      <c r="U137">
        <f>IF(VLOOKUP(U$1,main!$A$3:$I$56,5,FALSE)-VLOOKUP($A137,main!$A$3:$I$56,6,FALSE)&gt;=VLOOKUP(57,main!$A$57:$I$59,4,FALSE)+VLOOKUP(VLOOKUP(U$1,main!$A$3:$I$56,7,FALSE),main!$K$10:$Q$14,5,FALSE),1,0)</f>
        <v>0</v>
      </c>
      <c r="V137">
        <f>IF(VLOOKUP(V$1,main!$A$3:$I$56,5,FALSE)-VLOOKUP($A137,main!$A$3:$I$56,6,FALSE)&gt;=VLOOKUP(57,main!$A$57:$I$59,4,FALSE)+VLOOKUP(VLOOKUP(V$1,main!$A$3:$I$56,7,FALSE),main!$K$10:$Q$14,5,FALSE),1,0)</f>
        <v>0</v>
      </c>
      <c r="W137">
        <f>IF(VLOOKUP(W$1,main!$A$3:$I$56,5,FALSE)-VLOOKUP($A137,main!$A$3:$I$56,6,FALSE)&gt;=VLOOKUP(57,main!$A$57:$I$59,4,FALSE)+VLOOKUP(VLOOKUP(W$1,main!$A$3:$I$56,7,FALSE),main!$K$10:$Q$14,5,FALSE),1,0)</f>
        <v>0</v>
      </c>
      <c r="X137">
        <f>IF(VLOOKUP(X$1,main!$A$3:$I$56,5,FALSE)-VLOOKUP($A137,main!$A$3:$I$56,6,FALSE)&gt;=VLOOKUP(57,main!$A$57:$I$59,4,FALSE)+VLOOKUP(VLOOKUP(X$1,main!$A$3:$I$56,7,FALSE),main!$K$10:$Q$14,5,FALSE),1,0)</f>
        <v>0</v>
      </c>
      <c r="Y137">
        <f>IF(VLOOKUP(Y$1,main!$A$3:$I$56,5,FALSE)-VLOOKUP($A137,main!$A$3:$I$56,6,FALSE)&gt;=VLOOKUP(57,main!$A$57:$I$59,4,FALSE)+VLOOKUP(VLOOKUP(Y$1,main!$A$3:$I$56,7,FALSE),main!$K$10:$Q$14,5,FALSE),1,0)</f>
        <v>0</v>
      </c>
      <c r="Z137">
        <f>IF(VLOOKUP(Z$1,main!$A$3:$I$56,5,FALSE)-VLOOKUP($A137,main!$A$3:$I$56,6,FALSE)&gt;=VLOOKUP(57,main!$A$57:$I$59,4,FALSE)+VLOOKUP(VLOOKUP(Z$1,main!$A$3:$I$56,7,FALSE),main!$K$10:$Q$14,5,FALSE),1,0)</f>
        <v>0</v>
      </c>
      <c r="AA137">
        <f>IF(VLOOKUP(AA$1,main!$A$3:$I$56,5,FALSE)-VLOOKUP($A137,main!$A$3:$I$56,6,FALSE)&gt;=VLOOKUP(57,main!$A$57:$I$59,4,FALSE)+VLOOKUP(VLOOKUP(AA$1,main!$A$3:$I$56,7,FALSE),main!$K$10:$Q$14,5,FALSE),1,0)</f>
        <v>0</v>
      </c>
      <c r="AB137">
        <f>IF(VLOOKUP(AB$1,main!$A$3:$I$56,5,FALSE)-VLOOKUP($A137,main!$A$3:$I$56,6,FALSE)&gt;=VLOOKUP(57,main!$A$57:$I$59,4,FALSE)+VLOOKUP(VLOOKUP(AB$1,main!$A$3:$I$56,7,FALSE),main!$K$10:$Q$14,5,FALSE),1,0)</f>
        <v>0</v>
      </c>
      <c r="AC137">
        <f>IF(VLOOKUP(AC$1,main!$A$3:$I$56,5,FALSE)-VLOOKUP($A137,main!$A$3:$I$56,6,FALSE)&gt;=VLOOKUP(57,main!$A$57:$I$59,4,FALSE)+VLOOKUP(VLOOKUP(AC$1,main!$A$3:$I$56,7,FALSE),main!$K$10:$Q$14,5,FALSE),1,0)</f>
        <v>0</v>
      </c>
      <c r="AD137">
        <f>IF(VLOOKUP(AD$1,main!$A$3:$I$56,5,FALSE)-VLOOKUP($A137,main!$A$3:$I$56,6,FALSE)&gt;=VLOOKUP(57,main!$A$57:$I$59,4,FALSE)+VLOOKUP(VLOOKUP(AD$1,main!$A$3:$I$56,7,FALSE),main!$K$10:$Q$14,5,FALSE),1,0)</f>
        <v>0</v>
      </c>
      <c r="AE137">
        <f>IF(VLOOKUP(AE$1,main!$A$3:$I$56,5,FALSE)-VLOOKUP($A137,main!$A$3:$I$56,6,FALSE)&gt;=VLOOKUP(57,main!$A$57:$I$59,4,FALSE)+VLOOKUP(VLOOKUP(AE$1,main!$A$3:$I$56,7,FALSE),main!$K$10:$Q$14,5,FALSE),1,0)</f>
        <v>0</v>
      </c>
      <c r="AF137">
        <f>IF(VLOOKUP(AF$1,main!$A$3:$I$56,5,FALSE)-VLOOKUP($A137,main!$A$3:$I$56,6,FALSE)&gt;=VLOOKUP(57,main!$A$57:$I$59,4,FALSE)+VLOOKUP(VLOOKUP(AF$1,main!$A$3:$I$56,7,FALSE),main!$K$10:$Q$14,5,FALSE),1,0)</f>
        <v>0</v>
      </c>
      <c r="AG137">
        <f>IF(VLOOKUP(AG$1,main!$A$3:$I$56,5,FALSE)-VLOOKUP($A137,main!$A$3:$I$56,6,FALSE)&gt;=VLOOKUP(57,main!$A$57:$I$59,4,FALSE)+VLOOKUP(VLOOKUP(AG$1,main!$A$3:$I$56,7,FALSE),main!$K$10:$Q$14,5,FALSE),1,0)</f>
        <v>0</v>
      </c>
      <c r="AH137">
        <f>IF(VLOOKUP(AH$1,main!$A$3:$I$56,5,FALSE)-VLOOKUP($A137,main!$A$3:$I$56,6,FALSE)&gt;=VLOOKUP(57,main!$A$57:$I$59,4,FALSE)+VLOOKUP(VLOOKUP(AH$1,main!$A$3:$I$56,7,FALSE),main!$K$10:$Q$14,5,FALSE),1,0)</f>
        <v>0</v>
      </c>
      <c r="AI137">
        <f>IF(VLOOKUP(AI$1,main!$A$3:$I$56,5,FALSE)-VLOOKUP($A137,main!$A$3:$I$56,6,FALSE)&gt;=VLOOKUP(57,main!$A$57:$I$59,4,FALSE)+VLOOKUP(VLOOKUP(AI$1,main!$A$3:$I$56,7,FALSE),main!$K$10:$Q$14,5,FALSE),1,0)</f>
        <v>0</v>
      </c>
      <c r="AJ137">
        <f>IF(VLOOKUP(AJ$1,main!$A$3:$I$56,5,FALSE)-VLOOKUP($A137,main!$A$3:$I$56,6,FALSE)&gt;=VLOOKUP(57,main!$A$57:$I$59,4,FALSE)+VLOOKUP(VLOOKUP(AJ$1,main!$A$3:$I$56,7,FALSE),main!$K$10:$Q$14,5,FALSE),1,0)</f>
        <v>0</v>
      </c>
      <c r="AK137">
        <f>IF(VLOOKUP(AK$1,main!$A$3:$I$56,5,FALSE)-VLOOKUP($A137,main!$A$3:$I$56,6,FALSE)&gt;=VLOOKUP(57,main!$A$57:$I$59,4,FALSE)+VLOOKUP(VLOOKUP(AK$1,main!$A$3:$I$56,7,FALSE),main!$K$10:$Q$14,5,FALSE),1,0)</f>
        <v>0</v>
      </c>
      <c r="AL137">
        <f>IF(VLOOKUP(AL$1,main!$A$3:$I$56,5,FALSE)-VLOOKUP($A137,main!$A$3:$I$56,6,FALSE)&gt;=VLOOKUP(57,main!$A$57:$I$59,4,FALSE)+VLOOKUP(VLOOKUP(AL$1,main!$A$3:$I$56,7,FALSE),main!$K$10:$Q$14,5,FALSE),1,0)</f>
        <v>0</v>
      </c>
      <c r="AM137">
        <f>IF(VLOOKUP(AM$1,main!$A$3:$I$56,5,FALSE)-VLOOKUP($A137,main!$A$3:$I$56,6,FALSE)&gt;=VLOOKUP(57,main!$A$57:$I$59,4,FALSE)+VLOOKUP(VLOOKUP(AM$1,main!$A$3:$I$56,7,FALSE),main!$K$10:$Q$14,5,FALSE),1,0)</f>
        <v>0</v>
      </c>
      <c r="AN137">
        <f>IF(VLOOKUP(AN$1,main!$A$3:$I$56,5,FALSE)-VLOOKUP($A137,main!$A$3:$I$56,6,FALSE)&gt;=VLOOKUP(57,main!$A$57:$I$59,4,FALSE)+VLOOKUP(VLOOKUP(AN$1,main!$A$3:$I$56,7,FALSE),main!$K$10:$Q$14,5,FALSE),1,0)</f>
        <v>0</v>
      </c>
      <c r="AO137">
        <f>IF(VLOOKUP(AO$1,main!$A$3:$I$56,5,FALSE)-VLOOKUP($A137,main!$A$3:$I$56,6,FALSE)&gt;=VLOOKUP(57,main!$A$57:$I$59,4,FALSE)+VLOOKUP(VLOOKUP(AO$1,main!$A$3:$I$56,7,FALSE),main!$K$10:$Q$14,5,FALSE),1,0)</f>
        <v>0</v>
      </c>
      <c r="AP137">
        <f>IF(VLOOKUP(AP$1,main!$A$3:$I$56,5,FALSE)-VLOOKUP($A137,main!$A$3:$I$56,6,FALSE)&gt;=VLOOKUP(57,main!$A$57:$I$59,4,FALSE)+VLOOKUP(VLOOKUP(AP$1,main!$A$3:$I$56,7,FALSE),main!$K$10:$Q$14,5,FALSE),1,0)</f>
        <v>0</v>
      </c>
      <c r="AQ137">
        <f>IF(VLOOKUP(AQ$1,main!$A$3:$I$56,5,FALSE)-VLOOKUP($A137,main!$A$3:$I$56,6,FALSE)&gt;=VLOOKUP(57,main!$A$57:$I$59,4,FALSE)+VLOOKUP(VLOOKUP(AQ$1,main!$A$3:$I$56,7,FALSE),main!$K$10:$Q$14,5,FALSE),1,0)</f>
        <v>0</v>
      </c>
      <c r="AR137">
        <f>IF(VLOOKUP(AR$1,main!$A$3:$I$56,5,FALSE)-VLOOKUP($A137,main!$A$3:$I$56,6,FALSE)&gt;=VLOOKUP(57,main!$A$57:$I$59,4,FALSE)+VLOOKUP(VLOOKUP(AR$1,main!$A$3:$I$56,7,FALSE),main!$K$10:$Q$14,5,FALSE),1,0)</f>
        <v>0</v>
      </c>
      <c r="AS137">
        <f>IF(VLOOKUP(AS$1,main!$A$3:$I$56,5,FALSE)-VLOOKUP($A137,main!$A$3:$I$56,6,FALSE)&gt;=VLOOKUP(57,main!$A$57:$I$59,4,FALSE)+VLOOKUP(VLOOKUP(AS$1,main!$A$3:$I$56,7,FALSE),main!$K$10:$Q$14,5,FALSE),1,0)</f>
        <v>0</v>
      </c>
      <c r="AT137">
        <f>IF(VLOOKUP(AT$1,main!$A$3:$I$56,5,FALSE)-VLOOKUP($A137,main!$A$3:$I$56,6,FALSE)&gt;=VLOOKUP(57,main!$A$57:$I$59,4,FALSE)+VLOOKUP(VLOOKUP(AT$1,main!$A$3:$I$56,7,FALSE),main!$K$10:$Q$14,5,FALSE),1,0)</f>
        <v>0</v>
      </c>
      <c r="AU137">
        <f>IF(VLOOKUP(AU$1,main!$A$3:$I$56,5,FALSE)-VLOOKUP($A137,main!$A$3:$I$56,6,FALSE)&gt;=VLOOKUP(57,main!$A$57:$I$59,4,FALSE)+VLOOKUP(VLOOKUP(AU$1,main!$A$3:$I$56,7,FALSE),main!$K$10:$Q$14,5,FALSE),1,0)</f>
        <v>0</v>
      </c>
      <c r="AV137">
        <f>IF(VLOOKUP(AV$1,main!$A$3:$I$56,5,FALSE)-VLOOKUP($A137,main!$A$3:$I$56,6,FALSE)&gt;=VLOOKUP(57,main!$A$57:$I$59,4,FALSE)+VLOOKUP(VLOOKUP(AV$1,main!$A$3:$I$56,7,FALSE),main!$K$10:$Q$14,5,FALSE),1,0)</f>
        <v>0</v>
      </c>
      <c r="AW137">
        <f>IF(VLOOKUP(AW$1,main!$A$3:$I$56,5,FALSE)-VLOOKUP($A137,main!$A$3:$I$56,6,FALSE)&gt;=VLOOKUP(57,main!$A$57:$I$59,4,FALSE)+VLOOKUP(VLOOKUP(AW$1,main!$A$3:$I$56,7,FALSE),main!$K$10:$Q$14,5,FALSE),1,0)</f>
        <v>0</v>
      </c>
      <c r="AX137">
        <f>IF(VLOOKUP(AX$1,main!$A$3:$I$56,5,FALSE)-VLOOKUP($A137,main!$A$3:$I$56,6,FALSE)&gt;=VLOOKUP(57,main!$A$57:$I$59,4,FALSE)+VLOOKUP(VLOOKUP(AX$1,main!$A$3:$I$56,7,FALSE),main!$K$10:$Q$14,5,FALSE),1,0)</f>
        <v>0</v>
      </c>
      <c r="AY137">
        <f>IF(VLOOKUP(AY$1,main!$A$3:$I$56,5,FALSE)-VLOOKUP($A137,main!$A$3:$I$56,6,FALSE)&gt;=VLOOKUP(57,main!$A$57:$I$59,4,FALSE)+VLOOKUP(VLOOKUP(AY$1,main!$A$3:$I$56,7,FALSE),main!$K$10:$Q$14,5,FALSE),1,0)</f>
        <v>0</v>
      </c>
      <c r="AZ137">
        <f>IF(VLOOKUP(AZ$1,main!$A$3:$I$56,5,FALSE)-VLOOKUP($A137,main!$A$3:$I$56,6,FALSE)&gt;=VLOOKUP(57,main!$A$57:$I$59,4,FALSE)+VLOOKUP(VLOOKUP(AZ$1,main!$A$3:$I$56,7,FALSE),main!$K$10:$Q$14,5,FALSE),1,0)</f>
        <v>0</v>
      </c>
      <c r="BA137">
        <f>IF(VLOOKUP(BA$1,main!$A$3:$I$56,5,FALSE)-VLOOKUP($A137,main!$A$3:$I$56,6,FALSE)&gt;=VLOOKUP(57,main!$A$57:$I$59,4,FALSE)+VLOOKUP(VLOOKUP(BA$1,main!$A$3:$I$56,7,FALSE),main!$K$10:$Q$14,5,FALSE),1,0)</f>
        <v>0</v>
      </c>
      <c r="BB137">
        <f>IF(VLOOKUP(BB$1,main!$A$3:$I$56,5,FALSE)-VLOOKUP($A137,main!$A$3:$I$56,6,FALSE)&gt;=VLOOKUP(57,main!$A$57:$I$59,4,FALSE)+VLOOKUP(VLOOKUP(BB$1,main!$A$3:$I$56,7,FALSE),main!$K$10:$Q$14,5,FALSE),1,0)</f>
        <v>0</v>
      </c>
      <c r="BC137">
        <f>IF(VLOOKUP(BC$1,main!$A$3:$I$56,5,FALSE)-VLOOKUP($A137,main!$A$3:$I$56,6,FALSE)&gt;=VLOOKUP(57,main!$A$57:$I$59,4,FALSE)+VLOOKUP(VLOOKUP(BC$1,main!$A$3:$I$56,7,FALSE),main!$K$10:$Q$14,5,FALSE),1,0)</f>
        <v>0</v>
      </c>
      <c r="BD137">
        <f>IF(VLOOKUP(BD$1,main!$A$3:$I$56,5,FALSE)-VLOOKUP($A137,main!$A$3:$I$56,6,FALSE)&gt;=VLOOKUP(57,main!$A$57:$I$59,4,FALSE)+VLOOKUP(VLOOKUP(BD$1,main!$A$3:$I$56,7,FALSE),main!$K$10:$Q$14,5,FALSE),1,0)</f>
        <v>0</v>
      </c>
    </row>
    <row r="138" spans="1:56" x14ac:dyDescent="0.25">
      <c r="A138">
        <f t="shared" si="2"/>
        <v>26</v>
      </c>
      <c r="B138">
        <v>0</v>
      </c>
      <c r="C138">
        <f>IF(VLOOKUP(C$1,main!$A$3:$I$56,5,FALSE)-VLOOKUP($A138,main!$A$3:$I$56,6,FALSE)&gt;=VLOOKUP(57,main!$A$57:$I$59,4,FALSE)+VLOOKUP(VLOOKUP(C$1,main!$A$3:$I$56,7,FALSE),main!$K$10:$Q$14,5,FALSE),1,0)</f>
        <v>0</v>
      </c>
      <c r="D138">
        <f>IF(VLOOKUP(D$1,main!$A$3:$I$56,5,FALSE)-VLOOKUP($A138,main!$A$3:$I$56,6,FALSE)&gt;=VLOOKUP(57,main!$A$57:$I$59,4,FALSE)+VLOOKUP(VLOOKUP(D$1,main!$A$3:$I$56,7,FALSE),main!$K$10:$Q$14,5,FALSE),1,0)</f>
        <v>0</v>
      </c>
      <c r="E138">
        <f>IF(VLOOKUP(E$1,main!$A$3:$I$56,5,FALSE)-VLOOKUP($A138,main!$A$3:$I$56,6,FALSE)&gt;=VLOOKUP(57,main!$A$57:$I$59,4,FALSE)+VLOOKUP(VLOOKUP(E$1,main!$A$3:$I$56,7,FALSE),main!$K$10:$Q$14,5,FALSE),1,0)</f>
        <v>0</v>
      </c>
      <c r="F138">
        <f>IF(VLOOKUP(F$1,main!$A$3:$I$56,5,FALSE)-VLOOKUP($A138,main!$A$3:$I$56,6,FALSE)&gt;=VLOOKUP(57,main!$A$57:$I$59,4,FALSE)+VLOOKUP(VLOOKUP(F$1,main!$A$3:$I$56,7,FALSE),main!$K$10:$Q$14,5,FALSE),1,0)</f>
        <v>0</v>
      </c>
      <c r="G138">
        <f>IF(VLOOKUP(G$1,main!$A$3:$I$56,5,FALSE)-VLOOKUP($A138,main!$A$3:$I$56,6,FALSE)&gt;=VLOOKUP(57,main!$A$57:$I$59,4,FALSE)+VLOOKUP(VLOOKUP(G$1,main!$A$3:$I$56,7,FALSE),main!$K$10:$Q$14,5,FALSE),1,0)</f>
        <v>0</v>
      </c>
      <c r="H138">
        <f>IF(VLOOKUP(H$1,main!$A$3:$I$56,5,FALSE)-VLOOKUP($A138,main!$A$3:$I$56,6,FALSE)&gt;=VLOOKUP(57,main!$A$57:$I$59,4,FALSE)+VLOOKUP(VLOOKUP(H$1,main!$A$3:$I$56,7,FALSE),main!$K$10:$Q$14,5,FALSE),1,0)</f>
        <v>0</v>
      </c>
      <c r="I138">
        <f>IF(VLOOKUP(I$1,main!$A$3:$I$56,5,FALSE)-VLOOKUP($A138,main!$A$3:$I$56,6,FALSE)&gt;=VLOOKUP(57,main!$A$57:$I$59,4,FALSE)+VLOOKUP(VLOOKUP(I$1,main!$A$3:$I$56,7,FALSE),main!$K$10:$Q$14,5,FALSE),1,0)</f>
        <v>0</v>
      </c>
      <c r="J138">
        <f>IF(VLOOKUP(J$1,main!$A$3:$I$56,5,FALSE)-VLOOKUP($A138,main!$A$3:$I$56,6,FALSE)&gt;=VLOOKUP(57,main!$A$57:$I$59,4,FALSE)+VLOOKUP(VLOOKUP(J$1,main!$A$3:$I$56,7,FALSE),main!$K$10:$Q$14,5,FALSE),1,0)</f>
        <v>0</v>
      </c>
      <c r="K138">
        <f>IF(VLOOKUP(K$1,main!$A$3:$I$56,5,FALSE)-VLOOKUP($A138,main!$A$3:$I$56,6,FALSE)&gt;=VLOOKUP(57,main!$A$57:$I$59,4,FALSE)+VLOOKUP(VLOOKUP(K$1,main!$A$3:$I$56,7,FALSE),main!$K$10:$Q$14,5,FALSE),1,0)</f>
        <v>0</v>
      </c>
      <c r="L138">
        <f>IF(VLOOKUP(L$1,main!$A$3:$I$56,5,FALSE)-VLOOKUP($A138,main!$A$3:$I$56,6,FALSE)&gt;=VLOOKUP(57,main!$A$57:$I$59,4,FALSE)+VLOOKUP(VLOOKUP(L$1,main!$A$3:$I$56,7,FALSE),main!$K$10:$Q$14,5,FALSE),1,0)</f>
        <v>0</v>
      </c>
      <c r="M138">
        <f>IF(VLOOKUP(M$1,main!$A$3:$I$56,5,FALSE)-VLOOKUP($A138,main!$A$3:$I$56,6,FALSE)&gt;=VLOOKUP(57,main!$A$57:$I$59,4,FALSE)+VLOOKUP(VLOOKUP(M$1,main!$A$3:$I$56,7,FALSE),main!$K$10:$Q$14,5,FALSE),1,0)</f>
        <v>0</v>
      </c>
      <c r="N138">
        <f>IF(VLOOKUP(N$1,main!$A$3:$I$56,5,FALSE)-VLOOKUP($A138,main!$A$3:$I$56,6,FALSE)&gt;=VLOOKUP(57,main!$A$57:$I$59,4,FALSE)+VLOOKUP(VLOOKUP(N$1,main!$A$3:$I$56,7,FALSE),main!$K$10:$Q$14,5,FALSE),1,0)</f>
        <v>0</v>
      </c>
      <c r="O138">
        <f>IF(VLOOKUP(O$1,main!$A$3:$I$56,5,FALSE)-VLOOKUP($A138,main!$A$3:$I$56,6,FALSE)&gt;=VLOOKUP(57,main!$A$57:$I$59,4,FALSE)+VLOOKUP(VLOOKUP(O$1,main!$A$3:$I$56,7,FALSE),main!$K$10:$Q$14,5,FALSE),1,0)</f>
        <v>0</v>
      </c>
      <c r="P138">
        <f>IF(VLOOKUP(P$1,main!$A$3:$I$56,5,FALSE)-VLOOKUP($A138,main!$A$3:$I$56,6,FALSE)&gt;=VLOOKUP(57,main!$A$57:$I$59,4,FALSE)+VLOOKUP(VLOOKUP(P$1,main!$A$3:$I$56,7,FALSE),main!$K$10:$Q$14,5,FALSE),1,0)</f>
        <v>0</v>
      </c>
      <c r="Q138">
        <f>IF(VLOOKUP(Q$1,main!$A$3:$I$56,5,FALSE)-VLOOKUP($A138,main!$A$3:$I$56,6,FALSE)&gt;=VLOOKUP(57,main!$A$57:$I$59,4,FALSE)+VLOOKUP(VLOOKUP(Q$1,main!$A$3:$I$56,7,FALSE),main!$K$10:$Q$14,5,FALSE),1,0)</f>
        <v>0</v>
      </c>
      <c r="R138">
        <f>IF(VLOOKUP(R$1,main!$A$3:$I$56,5,FALSE)-VLOOKUP($A138,main!$A$3:$I$56,6,FALSE)&gt;=VLOOKUP(57,main!$A$57:$I$59,4,FALSE)+VLOOKUP(VLOOKUP(R$1,main!$A$3:$I$56,7,FALSE),main!$K$10:$Q$14,5,FALSE),1,0)</f>
        <v>0</v>
      </c>
      <c r="S138">
        <f>IF(VLOOKUP(S$1,main!$A$3:$I$56,5,FALSE)-VLOOKUP($A138,main!$A$3:$I$56,6,FALSE)&gt;=VLOOKUP(57,main!$A$57:$I$59,4,FALSE)+VLOOKUP(VLOOKUP(S$1,main!$A$3:$I$56,7,FALSE),main!$K$10:$Q$14,5,FALSE),1,0)</f>
        <v>0</v>
      </c>
      <c r="T138">
        <f>IF(VLOOKUP(T$1,main!$A$3:$I$56,5,FALSE)-VLOOKUP($A138,main!$A$3:$I$56,6,FALSE)&gt;=VLOOKUP(57,main!$A$57:$I$59,4,FALSE)+VLOOKUP(VLOOKUP(T$1,main!$A$3:$I$56,7,FALSE),main!$K$10:$Q$14,5,FALSE),1,0)</f>
        <v>0</v>
      </c>
      <c r="U138">
        <f>IF(VLOOKUP(U$1,main!$A$3:$I$56,5,FALSE)-VLOOKUP($A138,main!$A$3:$I$56,6,FALSE)&gt;=VLOOKUP(57,main!$A$57:$I$59,4,FALSE)+VLOOKUP(VLOOKUP(U$1,main!$A$3:$I$56,7,FALSE),main!$K$10:$Q$14,5,FALSE),1,0)</f>
        <v>0</v>
      </c>
      <c r="V138">
        <f>IF(VLOOKUP(V$1,main!$A$3:$I$56,5,FALSE)-VLOOKUP($A138,main!$A$3:$I$56,6,FALSE)&gt;=VLOOKUP(57,main!$A$57:$I$59,4,FALSE)+VLOOKUP(VLOOKUP(V$1,main!$A$3:$I$56,7,FALSE),main!$K$10:$Q$14,5,FALSE),1,0)</f>
        <v>0</v>
      </c>
      <c r="W138">
        <f>IF(VLOOKUP(W$1,main!$A$3:$I$56,5,FALSE)-VLOOKUP($A138,main!$A$3:$I$56,6,FALSE)&gt;=VLOOKUP(57,main!$A$57:$I$59,4,FALSE)+VLOOKUP(VLOOKUP(W$1,main!$A$3:$I$56,7,FALSE),main!$K$10:$Q$14,5,FALSE),1,0)</f>
        <v>0</v>
      </c>
      <c r="X138">
        <f>IF(VLOOKUP(X$1,main!$A$3:$I$56,5,FALSE)-VLOOKUP($A138,main!$A$3:$I$56,6,FALSE)&gt;=VLOOKUP(57,main!$A$57:$I$59,4,FALSE)+VLOOKUP(VLOOKUP(X$1,main!$A$3:$I$56,7,FALSE),main!$K$10:$Q$14,5,FALSE),1,0)</f>
        <v>0</v>
      </c>
      <c r="Y138">
        <f>IF(VLOOKUP(Y$1,main!$A$3:$I$56,5,FALSE)-VLOOKUP($A138,main!$A$3:$I$56,6,FALSE)&gt;=VLOOKUP(57,main!$A$57:$I$59,4,FALSE)+VLOOKUP(VLOOKUP(Y$1,main!$A$3:$I$56,7,FALSE),main!$K$10:$Q$14,5,FALSE),1,0)</f>
        <v>0</v>
      </c>
      <c r="Z138">
        <f>IF(VLOOKUP(Z$1,main!$A$3:$I$56,5,FALSE)-VLOOKUP($A138,main!$A$3:$I$56,6,FALSE)&gt;=VLOOKUP(57,main!$A$57:$I$59,4,FALSE)+VLOOKUP(VLOOKUP(Z$1,main!$A$3:$I$56,7,FALSE),main!$K$10:$Q$14,5,FALSE),1,0)</f>
        <v>0</v>
      </c>
      <c r="AA138">
        <f>IF(VLOOKUP(AA$1,main!$A$3:$I$56,5,FALSE)-VLOOKUP($A138,main!$A$3:$I$56,6,FALSE)&gt;=VLOOKUP(57,main!$A$57:$I$59,4,FALSE)+VLOOKUP(VLOOKUP(AA$1,main!$A$3:$I$56,7,FALSE),main!$K$10:$Q$14,5,FALSE),1,0)</f>
        <v>0</v>
      </c>
      <c r="AB138">
        <f>IF(VLOOKUP(AB$1,main!$A$3:$I$56,5,FALSE)-VLOOKUP($A138,main!$A$3:$I$56,6,FALSE)&gt;=VLOOKUP(57,main!$A$57:$I$59,4,FALSE)+VLOOKUP(VLOOKUP(AB$1,main!$A$3:$I$56,7,FALSE),main!$K$10:$Q$14,5,FALSE),1,0)</f>
        <v>0</v>
      </c>
      <c r="AC138">
        <f>IF(VLOOKUP(AC$1,main!$A$3:$I$56,5,FALSE)-VLOOKUP($A138,main!$A$3:$I$56,6,FALSE)&gt;=VLOOKUP(57,main!$A$57:$I$59,4,FALSE)+VLOOKUP(VLOOKUP(AC$1,main!$A$3:$I$56,7,FALSE),main!$K$10:$Q$14,5,FALSE),1,0)</f>
        <v>0</v>
      </c>
      <c r="AD138">
        <f>IF(VLOOKUP(AD$1,main!$A$3:$I$56,5,FALSE)-VLOOKUP($A138,main!$A$3:$I$56,6,FALSE)&gt;=VLOOKUP(57,main!$A$57:$I$59,4,FALSE)+VLOOKUP(VLOOKUP(AD$1,main!$A$3:$I$56,7,FALSE),main!$K$10:$Q$14,5,FALSE),1,0)</f>
        <v>0</v>
      </c>
      <c r="AE138">
        <f>IF(VLOOKUP(AE$1,main!$A$3:$I$56,5,FALSE)-VLOOKUP($A138,main!$A$3:$I$56,6,FALSE)&gt;=VLOOKUP(57,main!$A$57:$I$59,4,FALSE)+VLOOKUP(VLOOKUP(AE$1,main!$A$3:$I$56,7,FALSE),main!$K$10:$Q$14,5,FALSE),1,0)</f>
        <v>0</v>
      </c>
      <c r="AF138">
        <f>IF(VLOOKUP(AF$1,main!$A$3:$I$56,5,FALSE)-VLOOKUP($A138,main!$A$3:$I$56,6,FALSE)&gt;=VLOOKUP(57,main!$A$57:$I$59,4,FALSE)+VLOOKUP(VLOOKUP(AF$1,main!$A$3:$I$56,7,FALSE),main!$K$10:$Q$14,5,FALSE),1,0)</f>
        <v>0</v>
      </c>
      <c r="AG138">
        <f>IF(VLOOKUP(AG$1,main!$A$3:$I$56,5,FALSE)-VLOOKUP($A138,main!$A$3:$I$56,6,FALSE)&gt;=VLOOKUP(57,main!$A$57:$I$59,4,FALSE)+VLOOKUP(VLOOKUP(AG$1,main!$A$3:$I$56,7,FALSE),main!$K$10:$Q$14,5,FALSE),1,0)</f>
        <v>0</v>
      </c>
      <c r="AH138">
        <f>IF(VLOOKUP(AH$1,main!$A$3:$I$56,5,FALSE)-VLOOKUP($A138,main!$A$3:$I$56,6,FALSE)&gt;=VLOOKUP(57,main!$A$57:$I$59,4,FALSE)+VLOOKUP(VLOOKUP(AH$1,main!$A$3:$I$56,7,FALSE),main!$K$10:$Q$14,5,FALSE),1,0)</f>
        <v>0</v>
      </c>
      <c r="AI138">
        <f>IF(VLOOKUP(AI$1,main!$A$3:$I$56,5,FALSE)-VLOOKUP($A138,main!$A$3:$I$56,6,FALSE)&gt;=VLOOKUP(57,main!$A$57:$I$59,4,FALSE)+VLOOKUP(VLOOKUP(AI$1,main!$A$3:$I$56,7,FALSE),main!$K$10:$Q$14,5,FALSE),1,0)</f>
        <v>0</v>
      </c>
      <c r="AJ138">
        <f>IF(VLOOKUP(AJ$1,main!$A$3:$I$56,5,FALSE)-VLOOKUP($A138,main!$A$3:$I$56,6,FALSE)&gt;=VLOOKUP(57,main!$A$57:$I$59,4,FALSE)+VLOOKUP(VLOOKUP(AJ$1,main!$A$3:$I$56,7,FALSE),main!$K$10:$Q$14,5,FALSE),1,0)</f>
        <v>0</v>
      </c>
      <c r="AK138">
        <f>IF(VLOOKUP(AK$1,main!$A$3:$I$56,5,FALSE)-VLOOKUP($A138,main!$A$3:$I$56,6,FALSE)&gt;=VLOOKUP(57,main!$A$57:$I$59,4,FALSE)+VLOOKUP(VLOOKUP(AK$1,main!$A$3:$I$56,7,FALSE),main!$K$10:$Q$14,5,FALSE),1,0)</f>
        <v>0</v>
      </c>
      <c r="AL138">
        <f>IF(VLOOKUP(AL$1,main!$A$3:$I$56,5,FALSE)-VLOOKUP($A138,main!$A$3:$I$56,6,FALSE)&gt;=VLOOKUP(57,main!$A$57:$I$59,4,FALSE)+VLOOKUP(VLOOKUP(AL$1,main!$A$3:$I$56,7,FALSE),main!$K$10:$Q$14,5,FALSE),1,0)</f>
        <v>0</v>
      </c>
      <c r="AM138">
        <f>IF(VLOOKUP(AM$1,main!$A$3:$I$56,5,FALSE)-VLOOKUP($A138,main!$A$3:$I$56,6,FALSE)&gt;=VLOOKUP(57,main!$A$57:$I$59,4,FALSE)+VLOOKUP(VLOOKUP(AM$1,main!$A$3:$I$56,7,FALSE),main!$K$10:$Q$14,5,FALSE),1,0)</f>
        <v>0</v>
      </c>
      <c r="AN138">
        <f>IF(VLOOKUP(AN$1,main!$A$3:$I$56,5,FALSE)-VLOOKUP($A138,main!$A$3:$I$56,6,FALSE)&gt;=VLOOKUP(57,main!$A$57:$I$59,4,FALSE)+VLOOKUP(VLOOKUP(AN$1,main!$A$3:$I$56,7,FALSE),main!$K$10:$Q$14,5,FALSE),1,0)</f>
        <v>0</v>
      </c>
      <c r="AO138">
        <f>IF(VLOOKUP(AO$1,main!$A$3:$I$56,5,FALSE)-VLOOKUP($A138,main!$A$3:$I$56,6,FALSE)&gt;=VLOOKUP(57,main!$A$57:$I$59,4,FALSE)+VLOOKUP(VLOOKUP(AO$1,main!$A$3:$I$56,7,FALSE),main!$K$10:$Q$14,5,FALSE),1,0)</f>
        <v>0</v>
      </c>
      <c r="AP138">
        <f>IF(VLOOKUP(AP$1,main!$A$3:$I$56,5,FALSE)-VLOOKUP($A138,main!$A$3:$I$56,6,FALSE)&gt;=VLOOKUP(57,main!$A$57:$I$59,4,FALSE)+VLOOKUP(VLOOKUP(AP$1,main!$A$3:$I$56,7,FALSE),main!$K$10:$Q$14,5,FALSE),1,0)</f>
        <v>0</v>
      </c>
      <c r="AQ138">
        <f>IF(VLOOKUP(AQ$1,main!$A$3:$I$56,5,FALSE)-VLOOKUP($A138,main!$A$3:$I$56,6,FALSE)&gt;=VLOOKUP(57,main!$A$57:$I$59,4,FALSE)+VLOOKUP(VLOOKUP(AQ$1,main!$A$3:$I$56,7,FALSE),main!$K$10:$Q$14,5,FALSE),1,0)</f>
        <v>0</v>
      </c>
      <c r="AR138">
        <f>IF(VLOOKUP(AR$1,main!$A$3:$I$56,5,FALSE)-VLOOKUP($A138,main!$A$3:$I$56,6,FALSE)&gt;=VLOOKUP(57,main!$A$57:$I$59,4,FALSE)+VLOOKUP(VLOOKUP(AR$1,main!$A$3:$I$56,7,FALSE),main!$K$10:$Q$14,5,FALSE),1,0)</f>
        <v>0</v>
      </c>
      <c r="AS138">
        <f>IF(VLOOKUP(AS$1,main!$A$3:$I$56,5,FALSE)-VLOOKUP($A138,main!$A$3:$I$56,6,FALSE)&gt;=VLOOKUP(57,main!$A$57:$I$59,4,FALSE)+VLOOKUP(VLOOKUP(AS$1,main!$A$3:$I$56,7,FALSE),main!$K$10:$Q$14,5,FALSE),1,0)</f>
        <v>0</v>
      </c>
      <c r="AT138">
        <f>IF(VLOOKUP(AT$1,main!$A$3:$I$56,5,FALSE)-VLOOKUP($A138,main!$A$3:$I$56,6,FALSE)&gt;=VLOOKUP(57,main!$A$57:$I$59,4,FALSE)+VLOOKUP(VLOOKUP(AT$1,main!$A$3:$I$56,7,FALSE),main!$K$10:$Q$14,5,FALSE),1,0)</f>
        <v>0</v>
      </c>
      <c r="AU138">
        <f>IF(VLOOKUP(AU$1,main!$A$3:$I$56,5,FALSE)-VLOOKUP($A138,main!$A$3:$I$56,6,FALSE)&gt;=VLOOKUP(57,main!$A$57:$I$59,4,FALSE)+VLOOKUP(VLOOKUP(AU$1,main!$A$3:$I$56,7,FALSE),main!$K$10:$Q$14,5,FALSE),1,0)</f>
        <v>0</v>
      </c>
      <c r="AV138">
        <f>IF(VLOOKUP(AV$1,main!$A$3:$I$56,5,FALSE)-VLOOKUP($A138,main!$A$3:$I$56,6,FALSE)&gt;=VLOOKUP(57,main!$A$57:$I$59,4,FALSE)+VLOOKUP(VLOOKUP(AV$1,main!$A$3:$I$56,7,FALSE),main!$K$10:$Q$14,5,FALSE),1,0)</f>
        <v>0</v>
      </c>
      <c r="AW138">
        <f>IF(VLOOKUP(AW$1,main!$A$3:$I$56,5,FALSE)-VLOOKUP($A138,main!$A$3:$I$56,6,FALSE)&gt;=VLOOKUP(57,main!$A$57:$I$59,4,FALSE)+VLOOKUP(VLOOKUP(AW$1,main!$A$3:$I$56,7,FALSE),main!$K$10:$Q$14,5,FALSE),1,0)</f>
        <v>0</v>
      </c>
      <c r="AX138">
        <f>IF(VLOOKUP(AX$1,main!$A$3:$I$56,5,FALSE)-VLOOKUP($A138,main!$A$3:$I$56,6,FALSE)&gt;=VLOOKUP(57,main!$A$57:$I$59,4,FALSE)+VLOOKUP(VLOOKUP(AX$1,main!$A$3:$I$56,7,FALSE),main!$K$10:$Q$14,5,FALSE),1,0)</f>
        <v>0</v>
      </c>
      <c r="AY138">
        <f>IF(VLOOKUP(AY$1,main!$A$3:$I$56,5,FALSE)-VLOOKUP($A138,main!$A$3:$I$56,6,FALSE)&gt;=VLOOKUP(57,main!$A$57:$I$59,4,FALSE)+VLOOKUP(VLOOKUP(AY$1,main!$A$3:$I$56,7,FALSE),main!$K$10:$Q$14,5,FALSE),1,0)</f>
        <v>0</v>
      </c>
      <c r="AZ138">
        <f>IF(VLOOKUP(AZ$1,main!$A$3:$I$56,5,FALSE)-VLOOKUP($A138,main!$A$3:$I$56,6,FALSE)&gt;=VLOOKUP(57,main!$A$57:$I$59,4,FALSE)+VLOOKUP(VLOOKUP(AZ$1,main!$A$3:$I$56,7,FALSE),main!$K$10:$Q$14,5,FALSE),1,0)</f>
        <v>0</v>
      </c>
      <c r="BA138">
        <f>IF(VLOOKUP(BA$1,main!$A$3:$I$56,5,FALSE)-VLOOKUP($A138,main!$A$3:$I$56,6,FALSE)&gt;=VLOOKUP(57,main!$A$57:$I$59,4,FALSE)+VLOOKUP(VLOOKUP(BA$1,main!$A$3:$I$56,7,FALSE),main!$K$10:$Q$14,5,FALSE),1,0)</f>
        <v>0</v>
      </c>
      <c r="BB138">
        <f>IF(VLOOKUP(BB$1,main!$A$3:$I$56,5,FALSE)-VLOOKUP($A138,main!$A$3:$I$56,6,FALSE)&gt;=VLOOKUP(57,main!$A$57:$I$59,4,FALSE)+VLOOKUP(VLOOKUP(BB$1,main!$A$3:$I$56,7,FALSE),main!$K$10:$Q$14,5,FALSE),1,0)</f>
        <v>0</v>
      </c>
      <c r="BC138">
        <f>IF(VLOOKUP(BC$1,main!$A$3:$I$56,5,FALSE)-VLOOKUP($A138,main!$A$3:$I$56,6,FALSE)&gt;=VLOOKUP(57,main!$A$57:$I$59,4,FALSE)+VLOOKUP(VLOOKUP(BC$1,main!$A$3:$I$56,7,FALSE),main!$K$10:$Q$14,5,FALSE),1,0)</f>
        <v>0</v>
      </c>
      <c r="BD138">
        <f>IF(VLOOKUP(BD$1,main!$A$3:$I$56,5,FALSE)-VLOOKUP($A138,main!$A$3:$I$56,6,FALSE)&gt;=VLOOKUP(57,main!$A$57:$I$59,4,FALSE)+VLOOKUP(VLOOKUP(BD$1,main!$A$3:$I$56,7,FALSE),main!$K$10:$Q$14,5,FALSE),1,0)</f>
        <v>0</v>
      </c>
    </row>
    <row r="139" spans="1:56" x14ac:dyDescent="0.25">
      <c r="A139">
        <f t="shared" si="2"/>
        <v>27</v>
      </c>
      <c r="B139">
        <v>0</v>
      </c>
      <c r="C139">
        <f>IF(VLOOKUP(C$1,main!$A$3:$I$56,5,FALSE)-VLOOKUP($A139,main!$A$3:$I$56,6,FALSE)&gt;=VLOOKUP(57,main!$A$57:$I$59,4,FALSE)+VLOOKUP(VLOOKUP(C$1,main!$A$3:$I$56,7,FALSE),main!$K$10:$Q$14,5,FALSE),1,0)</f>
        <v>0</v>
      </c>
      <c r="D139">
        <f>IF(VLOOKUP(D$1,main!$A$3:$I$56,5,FALSE)-VLOOKUP($A139,main!$A$3:$I$56,6,FALSE)&gt;=VLOOKUP(57,main!$A$57:$I$59,4,FALSE)+VLOOKUP(VLOOKUP(D$1,main!$A$3:$I$56,7,FALSE),main!$K$10:$Q$14,5,FALSE),1,0)</f>
        <v>1</v>
      </c>
      <c r="E139">
        <f>IF(VLOOKUP(E$1,main!$A$3:$I$56,5,FALSE)-VLOOKUP($A139,main!$A$3:$I$56,6,FALSE)&gt;=VLOOKUP(57,main!$A$57:$I$59,4,FALSE)+VLOOKUP(VLOOKUP(E$1,main!$A$3:$I$56,7,FALSE),main!$K$10:$Q$14,5,FALSE),1,0)</f>
        <v>1</v>
      </c>
      <c r="F139">
        <f>IF(VLOOKUP(F$1,main!$A$3:$I$56,5,FALSE)-VLOOKUP($A139,main!$A$3:$I$56,6,FALSE)&gt;=VLOOKUP(57,main!$A$57:$I$59,4,FALSE)+VLOOKUP(VLOOKUP(F$1,main!$A$3:$I$56,7,FALSE),main!$K$10:$Q$14,5,FALSE),1,0)</f>
        <v>1</v>
      </c>
      <c r="G139">
        <f>IF(VLOOKUP(G$1,main!$A$3:$I$56,5,FALSE)-VLOOKUP($A139,main!$A$3:$I$56,6,FALSE)&gt;=VLOOKUP(57,main!$A$57:$I$59,4,FALSE)+VLOOKUP(VLOOKUP(G$1,main!$A$3:$I$56,7,FALSE),main!$K$10:$Q$14,5,FALSE),1,0)</f>
        <v>1</v>
      </c>
      <c r="H139">
        <f>IF(VLOOKUP(H$1,main!$A$3:$I$56,5,FALSE)-VLOOKUP($A139,main!$A$3:$I$56,6,FALSE)&gt;=VLOOKUP(57,main!$A$57:$I$59,4,FALSE)+VLOOKUP(VLOOKUP(H$1,main!$A$3:$I$56,7,FALSE),main!$K$10:$Q$14,5,FALSE),1,0)</f>
        <v>1</v>
      </c>
      <c r="I139">
        <f>IF(VLOOKUP(I$1,main!$A$3:$I$56,5,FALSE)-VLOOKUP($A139,main!$A$3:$I$56,6,FALSE)&gt;=VLOOKUP(57,main!$A$57:$I$59,4,FALSE)+VLOOKUP(VLOOKUP(I$1,main!$A$3:$I$56,7,FALSE),main!$K$10:$Q$14,5,FALSE),1,0)</f>
        <v>1</v>
      </c>
      <c r="J139">
        <f>IF(VLOOKUP(J$1,main!$A$3:$I$56,5,FALSE)-VLOOKUP($A139,main!$A$3:$I$56,6,FALSE)&gt;=VLOOKUP(57,main!$A$57:$I$59,4,FALSE)+VLOOKUP(VLOOKUP(J$1,main!$A$3:$I$56,7,FALSE),main!$K$10:$Q$14,5,FALSE),1,0)</f>
        <v>1</v>
      </c>
      <c r="K139">
        <f>IF(VLOOKUP(K$1,main!$A$3:$I$56,5,FALSE)-VLOOKUP($A139,main!$A$3:$I$56,6,FALSE)&gt;=VLOOKUP(57,main!$A$57:$I$59,4,FALSE)+VLOOKUP(VLOOKUP(K$1,main!$A$3:$I$56,7,FALSE),main!$K$10:$Q$14,5,FALSE),1,0)</f>
        <v>0</v>
      </c>
      <c r="L139">
        <f>IF(VLOOKUP(L$1,main!$A$3:$I$56,5,FALSE)-VLOOKUP($A139,main!$A$3:$I$56,6,FALSE)&gt;=VLOOKUP(57,main!$A$57:$I$59,4,FALSE)+VLOOKUP(VLOOKUP(L$1,main!$A$3:$I$56,7,FALSE),main!$K$10:$Q$14,5,FALSE),1,0)</f>
        <v>1</v>
      </c>
      <c r="M139">
        <f>IF(VLOOKUP(M$1,main!$A$3:$I$56,5,FALSE)-VLOOKUP($A139,main!$A$3:$I$56,6,FALSE)&gt;=VLOOKUP(57,main!$A$57:$I$59,4,FALSE)+VLOOKUP(VLOOKUP(M$1,main!$A$3:$I$56,7,FALSE),main!$K$10:$Q$14,5,FALSE),1,0)</f>
        <v>1</v>
      </c>
      <c r="N139">
        <f>IF(VLOOKUP(N$1,main!$A$3:$I$56,5,FALSE)-VLOOKUP($A139,main!$A$3:$I$56,6,FALSE)&gt;=VLOOKUP(57,main!$A$57:$I$59,4,FALSE)+VLOOKUP(VLOOKUP(N$1,main!$A$3:$I$56,7,FALSE),main!$K$10:$Q$14,5,FALSE),1,0)</f>
        <v>1</v>
      </c>
      <c r="O139">
        <f>IF(VLOOKUP(O$1,main!$A$3:$I$56,5,FALSE)-VLOOKUP($A139,main!$A$3:$I$56,6,FALSE)&gt;=VLOOKUP(57,main!$A$57:$I$59,4,FALSE)+VLOOKUP(VLOOKUP(O$1,main!$A$3:$I$56,7,FALSE),main!$K$10:$Q$14,5,FALSE),1,0)</f>
        <v>1</v>
      </c>
      <c r="P139">
        <f>IF(VLOOKUP(P$1,main!$A$3:$I$56,5,FALSE)-VLOOKUP($A139,main!$A$3:$I$56,6,FALSE)&gt;=VLOOKUP(57,main!$A$57:$I$59,4,FALSE)+VLOOKUP(VLOOKUP(P$1,main!$A$3:$I$56,7,FALSE),main!$K$10:$Q$14,5,FALSE),1,0)</f>
        <v>0</v>
      </c>
      <c r="Q139">
        <f>IF(VLOOKUP(Q$1,main!$A$3:$I$56,5,FALSE)-VLOOKUP($A139,main!$A$3:$I$56,6,FALSE)&gt;=VLOOKUP(57,main!$A$57:$I$59,4,FALSE)+VLOOKUP(VLOOKUP(Q$1,main!$A$3:$I$56,7,FALSE),main!$K$10:$Q$14,5,FALSE),1,0)</f>
        <v>1</v>
      </c>
      <c r="R139">
        <f>IF(VLOOKUP(R$1,main!$A$3:$I$56,5,FALSE)-VLOOKUP($A139,main!$A$3:$I$56,6,FALSE)&gt;=VLOOKUP(57,main!$A$57:$I$59,4,FALSE)+VLOOKUP(VLOOKUP(R$1,main!$A$3:$I$56,7,FALSE),main!$K$10:$Q$14,5,FALSE),1,0)</f>
        <v>1</v>
      </c>
      <c r="S139">
        <f>IF(VLOOKUP(S$1,main!$A$3:$I$56,5,FALSE)-VLOOKUP($A139,main!$A$3:$I$56,6,FALSE)&gt;=VLOOKUP(57,main!$A$57:$I$59,4,FALSE)+VLOOKUP(VLOOKUP(S$1,main!$A$3:$I$56,7,FALSE),main!$K$10:$Q$14,5,FALSE),1,0)</f>
        <v>1</v>
      </c>
      <c r="T139">
        <f>IF(VLOOKUP(T$1,main!$A$3:$I$56,5,FALSE)-VLOOKUP($A139,main!$A$3:$I$56,6,FALSE)&gt;=VLOOKUP(57,main!$A$57:$I$59,4,FALSE)+VLOOKUP(VLOOKUP(T$1,main!$A$3:$I$56,7,FALSE),main!$K$10:$Q$14,5,FALSE),1,0)</f>
        <v>1</v>
      </c>
      <c r="U139">
        <f>IF(VLOOKUP(U$1,main!$A$3:$I$56,5,FALSE)-VLOOKUP($A139,main!$A$3:$I$56,6,FALSE)&gt;=VLOOKUP(57,main!$A$57:$I$59,4,FALSE)+VLOOKUP(VLOOKUP(U$1,main!$A$3:$I$56,7,FALSE),main!$K$10:$Q$14,5,FALSE),1,0)</f>
        <v>1</v>
      </c>
      <c r="V139">
        <f>IF(VLOOKUP(V$1,main!$A$3:$I$56,5,FALSE)-VLOOKUP($A139,main!$A$3:$I$56,6,FALSE)&gt;=VLOOKUP(57,main!$A$57:$I$59,4,FALSE)+VLOOKUP(VLOOKUP(V$1,main!$A$3:$I$56,7,FALSE),main!$K$10:$Q$14,5,FALSE),1,0)</f>
        <v>1</v>
      </c>
      <c r="W139">
        <f>IF(VLOOKUP(W$1,main!$A$3:$I$56,5,FALSE)-VLOOKUP($A139,main!$A$3:$I$56,6,FALSE)&gt;=VLOOKUP(57,main!$A$57:$I$59,4,FALSE)+VLOOKUP(VLOOKUP(W$1,main!$A$3:$I$56,7,FALSE),main!$K$10:$Q$14,5,FALSE),1,0)</f>
        <v>1</v>
      </c>
      <c r="X139">
        <f>IF(VLOOKUP(X$1,main!$A$3:$I$56,5,FALSE)-VLOOKUP($A139,main!$A$3:$I$56,6,FALSE)&gt;=VLOOKUP(57,main!$A$57:$I$59,4,FALSE)+VLOOKUP(VLOOKUP(X$1,main!$A$3:$I$56,7,FALSE),main!$K$10:$Q$14,5,FALSE),1,0)</f>
        <v>1</v>
      </c>
      <c r="Y139">
        <f>IF(VLOOKUP(Y$1,main!$A$3:$I$56,5,FALSE)-VLOOKUP($A139,main!$A$3:$I$56,6,FALSE)&gt;=VLOOKUP(57,main!$A$57:$I$59,4,FALSE)+VLOOKUP(VLOOKUP(Y$1,main!$A$3:$I$56,7,FALSE),main!$K$10:$Q$14,5,FALSE),1,0)</f>
        <v>1</v>
      </c>
      <c r="Z139">
        <f>IF(VLOOKUP(Z$1,main!$A$3:$I$56,5,FALSE)-VLOOKUP($A139,main!$A$3:$I$56,6,FALSE)&gt;=VLOOKUP(57,main!$A$57:$I$59,4,FALSE)+VLOOKUP(VLOOKUP(Z$1,main!$A$3:$I$56,7,FALSE),main!$K$10:$Q$14,5,FALSE),1,0)</f>
        <v>1</v>
      </c>
      <c r="AA139">
        <f>IF(VLOOKUP(AA$1,main!$A$3:$I$56,5,FALSE)-VLOOKUP($A139,main!$A$3:$I$56,6,FALSE)&gt;=VLOOKUP(57,main!$A$57:$I$59,4,FALSE)+VLOOKUP(VLOOKUP(AA$1,main!$A$3:$I$56,7,FALSE),main!$K$10:$Q$14,5,FALSE),1,0)</f>
        <v>1</v>
      </c>
      <c r="AB139">
        <f>IF(VLOOKUP(AB$1,main!$A$3:$I$56,5,FALSE)-VLOOKUP($A139,main!$A$3:$I$56,6,FALSE)&gt;=VLOOKUP(57,main!$A$57:$I$59,4,FALSE)+VLOOKUP(VLOOKUP(AB$1,main!$A$3:$I$56,7,FALSE),main!$K$10:$Q$14,5,FALSE),1,0)</f>
        <v>1</v>
      </c>
      <c r="AC139">
        <f>IF(VLOOKUP(AC$1,main!$A$3:$I$56,5,FALSE)-VLOOKUP($A139,main!$A$3:$I$56,6,FALSE)&gt;=VLOOKUP(57,main!$A$57:$I$59,4,FALSE)+VLOOKUP(VLOOKUP(AC$1,main!$A$3:$I$56,7,FALSE),main!$K$10:$Q$14,5,FALSE),1,0)</f>
        <v>0</v>
      </c>
      <c r="AD139">
        <f>IF(VLOOKUP(AD$1,main!$A$3:$I$56,5,FALSE)-VLOOKUP($A139,main!$A$3:$I$56,6,FALSE)&gt;=VLOOKUP(57,main!$A$57:$I$59,4,FALSE)+VLOOKUP(VLOOKUP(AD$1,main!$A$3:$I$56,7,FALSE),main!$K$10:$Q$14,5,FALSE),1,0)</f>
        <v>1</v>
      </c>
      <c r="AE139">
        <f>IF(VLOOKUP(AE$1,main!$A$3:$I$56,5,FALSE)-VLOOKUP($A139,main!$A$3:$I$56,6,FALSE)&gt;=VLOOKUP(57,main!$A$57:$I$59,4,FALSE)+VLOOKUP(VLOOKUP(AE$1,main!$A$3:$I$56,7,FALSE),main!$K$10:$Q$14,5,FALSE),1,0)</f>
        <v>1</v>
      </c>
      <c r="AF139">
        <f>IF(VLOOKUP(AF$1,main!$A$3:$I$56,5,FALSE)-VLOOKUP($A139,main!$A$3:$I$56,6,FALSE)&gt;=VLOOKUP(57,main!$A$57:$I$59,4,FALSE)+VLOOKUP(VLOOKUP(AF$1,main!$A$3:$I$56,7,FALSE),main!$K$10:$Q$14,5,FALSE),1,0)</f>
        <v>1</v>
      </c>
      <c r="AG139">
        <f>IF(VLOOKUP(AG$1,main!$A$3:$I$56,5,FALSE)-VLOOKUP($A139,main!$A$3:$I$56,6,FALSE)&gt;=VLOOKUP(57,main!$A$57:$I$59,4,FALSE)+VLOOKUP(VLOOKUP(AG$1,main!$A$3:$I$56,7,FALSE),main!$K$10:$Q$14,5,FALSE),1,0)</f>
        <v>0</v>
      </c>
      <c r="AH139">
        <f>IF(VLOOKUP(AH$1,main!$A$3:$I$56,5,FALSE)-VLOOKUP($A139,main!$A$3:$I$56,6,FALSE)&gt;=VLOOKUP(57,main!$A$57:$I$59,4,FALSE)+VLOOKUP(VLOOKUP(AH$1,main!$A$3:$I$56,7,FALSE),main!$K$10:$Q$14,5,FALSE),1,0)</f>
        <v>1</v>
      </c>
      <c r="AI139">
        <f>IF(VLOOKUP(AI$1,main!$A$3:$I$56,5,FALSE)-VLOOKUP($A139,main!$A$3:$I$56,6,FALSE)&gt;=VLOOKUP(57,main!$A$57:$I$59,4,FALSE)+VLOOKUP(VLOOKUP(AI$1,main!$A$3:$I$56,7,FALSE),main!$K$10:$Q$14,5,FALSE),1,0)</f>
        <v>1</v>
      </c>
      <c r="AJ139">
        <f>IF(VLOOKUP(AJ$1,main!$A$3:$I$56,5,FALSE)-VLOOKUP($A139,main!$A$3:$I$56,6,FALSE)&gt;=VLOOKUP(57,main!$A$57:$I$59,4,FALSE)+VLOOKUP(VLOOKUP(AJ$1,main!$A$3:$I$56,7,FALSE),main!$K$10:$Q$14,5,FALSE),1,0)</f>
        <v>1</v>
      </c>
      <c r="AK139">
        <f>IF(VLOOKUP(AK$1,main!$A$3:$I$56,5,FALSE)-VLOOKUP($A139,main!$A$3:$I$56,6,FALSE)&gt;=VLOOKUP(57,main!$A$57:$I$59,4,FALSE)+VLOOKUP(VLOOKUP(AK$1,main!$A$3:$I$56,7,FALSE),main!$K$10:$Q$14,5,FALSE),1,0)</f>
        <v>1</v>
      </c>
      <c r="AL139">
        <f>IF(VLOOKUP(AL$1,main!$A$3:$I$56,5,FALSE)-VLOOKUP($A139,main!$A$3:$I$56,6,FALSE)&gt;=VLOOKUP(57,main!$A$57:$I$59,4,FALSE)+VLOOKUP(VLOOKUP(AL$1,main!$A$3:$I$56,7,FALSE),main!$K$10:$Q$14,5,FALSE),1,0)</f>
        <v>0</v>
      </c>
      <c r="AM139">
        <f>IF(VLOOKUP(AM$1,main!$A$3:$I$56,5,FALSE)-VLOOKUP($A139,main!$A$3:$I$56,6,FALSE)&gt;=VLOOKUP(57,main!$A$57:$I$59,4,FALSE)+VLOOKUP(VLOOKUP(AM$1,main!$A$3:$I$56,7,FALSE),main!$K$10:$Q$14,5,FALSE),1,0)</f>
        <v>1</v>
      </c>
      <c r="AN139">
        <f>IF(VLOOKUP(AN$1,main!$A$3:$I$56,5,FALSE)-VLOOKUP($A139,main!$A$3:$I$56,6,FALSE)&gt;=VLOOKUP(57,main!$A$57:$I$59,4,FALSE)+VLOOKUP(VLOOKUP(AN$1,main!$A$3:$I$56,7,FALSE),main!$K$10:$Q$14,5,FALSE),1,0)</f>
        <v>1</v>
      </c>
      <c r="AO139">
        <f>IF(VLOOKUP(AO$1,main!$A$3:$I$56,5,FALSE)-VLOOKUP($A139,main!$A$3:$I$56,6,FALSE)&gt;=VLOOKUP(57,main!$A$57:$I$59,4,FALSE)+VLOOKUP(VLOOKUP(AO$1,main!$A$3:$I$56,7,FALSE),main!$K$10:$Q$14,5,FALSE),1,0)</f>
        <v>1</v>
      </c>
      <c r="AP139">
        <f>IF(VLOOKUP(AP$1,main!$A$3:$I$56,5,FALSE)-VLOOKUP($A139,main!$A$3:$I$56,6,FALSE)&gt;=VLOOKUP(57,main!$A$57:$I$59,4,FALSE)+VLOOKUP(VLOOKUP(AP$1,main!$A$3:$I$56,7,FALSE),main!$K$10:$Q$14,5,FALSE),1,0)</f>
        <v>0</v>
      </c>
      <c r="AQ139">
        <f>IF(VLOOKUP(AQ$1,main!$A$3:$I$56,5,FALSE)-VLOOKUP($A139,main!$A$3:$I$56,6,FALSE)&gt;=VLOOKUP(57,main!$A$57:$I$59,4,FALSE)+VLOOKUP(VLOOKUP(AQ$1,main!$A$3:$I$56,7,FALSE),main!$K$10:$Q$14,5,FALSE),1,0)</f>
        <v>0</v>
      </c>
      <c r="AR139">
        <f>IF(VLOOKUP(AR$1,main!$A$3:$I$56,5,FALSE)-VLOOKUP($A139,main!$A$3:$I$56,6,FALSE)&gt;=VLOOKUP(57,main!$A$57:$I$59,4,FALSE)+VLOOKUP(VLOOKUP(AR$1,main!$A$3:$I$56,7,FALSE),main!$K$10:$Q$14,5,FALSE),1,0)</f>
        <v>0</v>
      </c>
      <c r="AS139">
        <f>IF(VLOOKUP(AS$1,main!$A$3:$I$56,5,FALSE)-VLOOKUP($A139,main!$A$3:$I$56,6,FALSE)&gt;=VLOOKUP(57,main!$A$57:$I$59,4,FALSE)+VLOOKUP(VLOOKUP(AS$1,main!$A$3:$I$56,7,FALSE),main!$K$10:$Q$14,5,FALSE),1,0)</f>
        <v>1</v>
      </c>
      <c r="AT139">
        <f>IF(VLOOKUP(AT$1,main!$A$3:$I$56,5,FALSE)-VLOOKUP($A139,main!$A$3:$I$56,6,FALSE)&gt;=VLOOKUP(57,main!$A$57:$I$59,4,FALSE)+VLOOKUP(VLOOKUP(AT$1,main!$A$3:$I$56,7,FALSE),main!$K$10:$Q$14,5,FALSE),1,0)</f>
        <v>1</v>
      </c>
      <c r="AU139">
        <f>IF(VLOOKUP(AU$1,main!$A$3:$I$56,5,FALSE)-VLOOKUP($A139,main!$A$3:$I$56,6,FALSE)&gt;=VLOOKUP(57,main!$A$57:$I$59,4,FALSE)+VLOOKUP(VLOOKUP(AU$1,main!$A$3:$I$56,7,FALSE),main!$K$10:$Q$14,5,FALSE),1,0)</f>
        <v>1</v>
      </c>
      <c r="AV139">
        <f>IF(VLOOKUP(AV$1,main!$A$3:$I$56,5,FALSE)-VLOOKUP($A139,main!$A$3:$I$56,6,FALSE)&gt;=VLOOKUP(57,main!$A$57:$I$59,4,FALSE)+VLOOKUP(VLOOKUP(AV$1,main!$A$3:$I$56,7,FALSE),main!$K$10:$Q$14,5,FALSE),1,0)</f>
        <v>1</v>
      </c>
      <c r="AW139">
        <f>IF(VLOOKUP(AW$1,main!$A$3:$I$56,5,FALSE)-VLOOKUP($A139,main!$A$3:$I$56,6,FALSE)&gt;=VLOOKUP(57,main!$A$57:$I$59,4,FALSE)+VLOOKUP(VLOOKUP(AW$1,main!$A$3:$I$56,7,FALSE),main!$K$10:$Q$14,5,FALSE),1,0)</f>
        <v>1</v>
      </c>
      <c r="AX139">
        <f>IF(VLOOKUP(AX$1,main!$A$3:$I$56,5,FALSE)-VLOOKUP($A139,main!$A$3:$I$56,6,FALSE)&gt;=VLOOKUP(57,main!$A$57:$I$59,4,FALSE)+VLOOKUP(VLOOKUP(AX$1,main!$A$3:$I$56,7,FALSE),main!$K$10:$Q$14,5,FALSE),1,0)</f>
        <v>1</v>
      </c>
      <c r="AY139">
        <f>IF(VLOOKUP(AY$1,main!$A$3:$I$56,5,FALSE)-VLOOKUP($A139,main!$A$3:$I$56,6,FALSE)&gt;=VLOOKUP(57,main!$A$57:$I$59,4,FALSE)+VLOOKUP(VLOOKUP(AY$1,main!$A$3:$I$56,7,FALSE),main!$K$10:$Q$14,5,FALSE),1,0)</f>
        <v>1</v>
      </c>
      <c r="AZ139">
        <f>IF(VLOOKUP(AZ$1,main!$A$3:$I$56,5,FALSE)-VLOOKUP($A139,main!$A$3:$I$56,6,FALSE)&gt;=VLOOKUP(57,main!$A$57:$I$59,4,FALSE)+VLOOKUP(VLOOKUP(AZ$1,main!$A$3:$I$56,7,FALSE),main!$K$10:$Q$14,5,FALSE),1,0)</f>
        <v>0</v>
      </c>
      <c r="BA139">
        <f>IF(VLOOKUP(BA$1,main!$A$3:$I$56,5,FALSE)-VLOOKUP($A139,main!$A$3:$I$56,6,FALSE)&gt;=VLOOKUP(57,main!$A$57:$I$59,4,FALSE)+VLOOKUP(VLOOKUP(BA$1,main!$A$3:$I$56,7,FALSE),main!$K$10:$Q$14,5,FALSE),1,0)</f>
        <v>1</v>
      </c>
      <c r="BB139">
        <f>IF(VLOOKUP(BB$1,main!$A$3:$I$56,5,FALSE)-VLOOKUP($A139,main!$A$3:$I$56,6,FALSE)&gt;=VLOOKUP(57,main!$A$57:$I$59,4,FALSE)+VLOOKUP(VLOOKUP(BB$1,main!$A$3:$I$56,7,FALSE),main!$K$10:$Q$14,5,FALSE),1,0)</f>
        <v>1</v>
      </c>
      <c r="BC139">
        <f>IF(VLOOKUP(BC$1,main!$A$3:$I$56,5,FALSE)-VLOOKUP($A139,main!$A$3:$I$56,6,FALSE)&gt;=VLOOKUP(57,main!$A$57:$I$59,4,FALSE)+VLOOKUP(VLOOKUP(BC$1,main!$A$3:$I$56,7,FALSE),main!$K$10:$Q$14,5,FALSE),1,0)</f>
        <v>1</v>
      </c>
      <c r="BD139">
        <f>IF(VLOOKUP(BD$1,main!$A$3:$I$56,5,FALSE)-VLOOKUP($A139,main!$A$3:$I$56,6,FALSE)&gt;=VLOOKUP(57,main!$A$57:$I$59,4,FALSE)+VLOOKUP(VLOOKUP(BD$1,main!$A$3:$I$56,7,FALSE),main!$K$10:$Q$14,5,FALSE),1,0)</f>
        <v>1</v>
      </c>
    </row>
    <row r="140" spans="1:56" x14ac:dyDescent="0.25">
      <c r="A140">
        <f t="shared" si="2"/>
        <v>28</v>
      </c>
      <c r="B140">
        <v>0</v>
      </c>
      <c r="C140">
        <f>IF(VLOOKUP(C$1,main!$A$3:$I$56,5,FALSE)-VLOOKUP($A140,main!$A$3:$I$56,6,FALSE)&gt;=VLOOKUP(57,main!$A$57:$I$59,4,FALSE)+VLOOKUP(VLOOKUP(C$1,main!$A$3:$I$56,7,FALSE),main!$K$10:$Q$14,5,FALSE),1,0)</f>
        <v>0</v>
      </c>
      <c r="D140">
        <f>IF(VLOOKUP(D$1,main!$A$3:$I$56,5,FALSE)-VLOOKUP($A140,main!$A$3:$I$56,6,FALSE)&gt;=VLOOKUP(57,main!$A$57:$I$59,4,FALSE)+VLOOKUP(VLOOKUP(D$1,main!$A$3:$I$56,7,FALSE),main!$K$10:$Q$14,5,FALSE),1,0)</f>
        <v>0</v>
      </c>
      <c r="E140">
        <f>IF(VLOOKUP(E$1,main!$A$3:$I$56,5,FALSE)-VLOOKUP($A140,main!$A$3:$I$56,6,FALSE)&gt;=VLOOKUP(57,main!$A$57:$I$59,4,FALSE)+VLOOKUP(VLOOKUP(E$1,main!$A$3:$I$56,7,FALSE),main!$K$10:$Q$14,5,FALSE),1,0)</f>
        <v>0</v>
      </c>
      <c r="F140">
        <f>IF(VLOOKUP(F$1,main!$A$3:$I$56,5,FALSE)-VLOOKUP($A140,main!$A$3:$I$56,6,FALSE)&gt;=VLOOKUP(57,main!$A$57:$I$59,4,FALSE)+VLOOKUP(VLOOKUP(F$1,main!$A$3:$I$56,7,FALSE),main!$K$10:$Q$14,5,FALSE),1,0)</f>
        <v>0</v>
      </c>
      <c r="G140">
        <f>IF(VLOOKUP(G$1,main!$A$3:$I$56,5,FALSE)-VLOOKUP($A140,main!$A$3:$I$56,6,FALSE)&gt;=VLOOKUP(57,main!$A$57:$I$59,4,FALSE)+VLOOKUP(VLOOKUP(G$1,main!$A$3:$I$56,7,FALSE),main!$K$10:$Q$14,5,FALSE),1,0)</f>
        <v>1</v>
      </c>
      <c r="H140">
        <f>IF(VLOOKUP(H$1,main!$A$3:$I$56,5,FALSE)-VLOOKUP($A140,main!$A$3:$I$56,6,FALSE)&gt;=VLOOKUP(57,main!$A$57:$I$59,4,FALSE)+VLOOKUP(VLOOKUP(H$1,main!$A$3:$I$56,7,FALSE),main!$K$10:$Q$14,5,FALSE),1,0)</f>
        <v>1</v>
      </c>
      <c r="I140">
        <f>IF(VLOOKUP(I$1,main!$A$3:$I$56,5,FALSE)-VLOOKUP($A140,main!$A$3:$I$56,6,FALSE)&gt;=VLOOKUP(57,main!$A$57:$I$59,4,FALSE)+VLOOKUP(VLOOKUP(I$1,main!$A$3:$I$56,7,FALSE),main!$K$10:$Q$14,5,FALSE),1,0)</f>
        <v>1</v>
      </c>
      <c r="J140">
        <f>IF(VLOOKUP(J$1,main!$A$3:$I$56,5,FALSE)-VLOOKUP($A140,main!$A$3:$I$56,6,FALSE)&gt;=VLOOKUP(57,main!$A$57:$I$59,4,FALSE)+VLOOKUP(VLOOKUP(J$1,main!$A$3:$I$56,7,FALSE),main!$K$10:$Q$14,5,FALSE),1,0)</f>
        <v>1</v>
      </c>
      <c r="K140">
        <f>IF(VLOOKUP(K$1,main!$A$3:$I$56,5,FALSE)-VLOOKUP($A140,main!$A$3:$I$56,6,FALSE)&gt;=VLOOKUP(57,main!$A$57:$I$59,4,FALSE)+VLOOKUP(VLOOKUP(K$1,main!$A$3:$I$56,7,FALSE),main!$K$10:$Q$14,5,FALSE),1,0)</f>
        <v>0</v>
      </c>
      <c r="L140">
        <f>IF(VLOOKUP(L$1,main!$A$3:$I$56,5,FALSE)-VLOOKUP($A140,main!$A$3:$I$56,6,FALSE)&gt;=VLOOKUP(57,main!$A$57:$I$59,4,FALSE)+VLOOKUP(VLOOKUP(L$1,main!$A$3:$I$56,7,FALSE),main!$K$10:$Q$14,5,FALSE),1,0)</f>
        <v>0</v>
      </c>
      <c r="M140">
        <f>IF(VLOOKUP(M$1,main!$A$3:$I$56,5,FALSE)-VLOOKUP($A140,main!$A$3:$I$56,6,FALSE)&gt;=VLOOKUP(57,main!$A$57:$I$59,4,FALSE)+VLOOKUP(VLOOKUP(M$1,main!$A$3:$I$56,7,FALSE),main!$K$10:$Q$14,5,FALSE),1,0)</f>
        <v>0</v>
      </c>
      <c r="N140">
        <f>IF(VLOOKUP(N$1,main!$A$3:$I$56,5,FALSE)-VLOOKUP($A140,main!$A$3:$I$56,6,FALSE)&gt;=VLOOKUP(57,main!$A$57:$I$59,4,FALSE)+VLOOKUP(VLOOKUP(N$1,main!$A$3:$I$56,7,FALSE),main!$K$10:$Q$14,5,FALSE),1,0)</f>
        <v>1</v>
      </c>
      <c r="O140">
        <f>IF(VLOOKUP(O$1,main!$A$3:$I$56,5,FALSE)-VLOOKUP($A140,main!$A$3:$I$56,6,FALSE)&gt;=VLOOKUP(57,main!$A$57:$I$59,4,FALSE)+VLOOKUP(VLOOKUP(O$1,main!$A$3:$I$56,7,FALSE),main!$K$10:$Q$14,5,FALSE),1,0)</f>
        <v>1</v>
      </c>
      <c r="P140">
        <f>IF(VLOOKUP(P$1,main!$A$3:$I$56,5,FALSE)-VLOOKUP($A140,main!$A$3:$I$56,6,FALSE)&gt;=VLOOKUP(57,main!$A$57:$I$59,4,FALSE)+VLOOKUP(VLOOKUP(P$1,main!$A$3:$I$56,7,FALSE),main!$K$10:$Q$14,5,FALSE),1,0)</f>
        <v>0</v>
      </c>
      <c r="Q140">
        <f>IF(VLOOKUP(Q$1,main!$A$3:$I$56,5,FALSE)-VLOOKUP($A140,main!$A$3:$I$56,6,FALSE)&gt;=VLOOKUP(57,main!$A$57:$I$59,4,FALSE)+VLOOKUP(VLOOKUP(Q$1,main!$A$3:$I$56,7,FALSE),main!$K$10:$Q$14,5,FALSE),1,0)</f>
        <v>0</v>
      </c>
      <c r="R140">
        <f>IF(VLOOKUP(R$1,main!$A$3:$I$56,5,FALSE)-VLOOKUP($A140,main!$A$3:$I$56,6,FALSE)&gt;=VLOOKUP(57,main!$A$57:$I$59,4,FALSE)+VLOOKUP(VLOOKUP(R$1,main!$A$3:$I$56,7,FALSE),main!$K$10:$Q$14,5,FALSE),1,0)</f>
        <v>0</v>
      </c>
      <c r="S140">
        <f>IF(VLOOKUP(S$1,main!$A$3:$I$56,5,FALSE)-VLOOKUP($A140,main!$A$3:$I$56,6,FALSE)&gt;=VLOOKUP(57,main!$A$57:$I$59,4,FALSE)+VLOOKUP(VLOOKUP(S$1,main!$A$3:$I$56,7,FALSE),main!$K$10:$Q$14,5,FALSE),1,0)</f>
        <v>1</v>
      </c>
      <c r="T140">
        <f>IF(VLOOKUP(T$1,main!$A$3:$I$56,5,FALSE)-VLOOKUP($A140,main!$A$3:$I$56,6,FALSE)&gt;=VLOOKUP(57,main!$A$57:$I$59,4,FALSE)+VLOOKUP(VLOOKUP(T$1,main!$A$3:$I$56,7,FALSE),main!$K$10:$Q$14,5,FALSE),1,0)</f>
        <v>1</v>
      </c>
      <c r="U140">
        <f>IF(VLOOKUP(U$1,main!$A$3:$I$56,5,FALSE)-VLOOKUP($A140,main!$A$3:$I$56,6,FALSE)&gt;=VLOOKUP(57,main!$A$57:$I$59,4,FALSE)+VLOOKUP(VLOOKUP(U$1,main!$A$3:$I$56,7,FALSE),main!$K$10:$Q$14,5,FALSE),1,0)</f>
        <v>0</v>
      </c>
      <c r="V140">
        <f>IF(VLOOKUP(V$1,main!$A$3:$I$56,5,FALSE)-VLOOKUP($A140,main!$A$3:$I$56,6,FALSE)&gt;=VLOOKUP(57,main!$A$57:$I$59,4,FALSE)+VLOOKUP(VLOOKUP(V$1,main!$A$3:$I$56,7,FALSE),main!$K$10:$Q$14,5,FALSE),1,0)</f>
        <v>0</v>
      </c>
      <c r="W140">
        <f>IF(VLOOKUP(W$1,main!$A$3:$I$56,5,FALSE)-VLOOKUP($A140,main!$A$3:$I$56,6,FALSE)&gt;=VLOOKUP(57,main!$A$57:$I$59,4,FALSE)+VLOOKUP(VLOOKUP(W$1,main!$A$3:$I$56,7,FALSE),main!$K$10:$Q$14,5,FALSE),1,0)</f>
        <v>0</v>
      </c>
      <c r="X140">
        <f>IF(VLOOKUP(X$1,main!$A$3:$I$56,5,FALSE)-VLOOKUP($A140,main!$A$3:$I$56,6,FALSE)&gt;=VLOOKUP(57,main!$A$57:$I$59,4,FALSE)+VLOOKUP(VLOOKUP(X$1,main!$A$3:$I$56,7,FALSE),main!$K$10:$Q$14,5,FALSE),1,0)</f>
        <v>1</v>
      </c>
      <c r="Y140">
        <f>IF(VLOOKUP(Y$1,main!$A$3:$I$56,5,FALSE)-VLOOKUP($A140,main!$A$3:$I$56,6,FALSE)&gt;=VLOOKUP(57,main!$A$57:$I$59,4,FALSE)+VLOOKUP(VLOOKUP(Y$1,main!$A$3:$I$56,7,FALSE),main!$K$10:$Q$14,5,FALSE),1,0)</f>
        <v>1</v>
      </c>
      <c r="Z140">
        <f>IF(VLOOKUP(Z$1,main!$A$3:$I$56,5,FALSE)-VLOOKUP($A140,main!$A$3:$I$56,6,FALSE)&gt;=VLOOKUP(57,main!$A$57:$I$59,4,FALSE)+VLOOKUP(VLOOKUP(Z$1,main!$A$3:$I$56,7,FALSE),main!$K$10:$Q$14,5,FALSE),1,0)</f>
        <v>1</v>
      </c>
      <c r="AA140">
        <f>IF(VLOOKUP(AA$1,main!$A$3:$I$56,5,FALSE)-VLOOKUP($A140,main!$A$3:$I$56,6,FALSE)&gt;=VLOOKUP(57,main!$A$57:$I$59,4,FALSE)+VLOOKUP(VLOOKUP(AA$1,main!$A$3:$I$56,7,FALSE),main!$K$10:$Q$14,5,FALSE),1,0)</f>
        <v>1</v>
      </c>
      <c r="AB140">
        <f>IF(VLOOKUP(AB$1,main!$A$3:$I$56,5,FALSE)-VLOOKUP($A140,main!$A$3:$I$56,6,FALSE)&gt;=VLOOKUP(57,main!$A$57:$I$59,4,FALSE)+VLOOKUP(VLOOKUP(AB$1,main!$A$3:$I$56,7,FALSE),main!$K$10:$Q$14,5,FALSE),1,0)</f>
        <v>1</v>
      </c>
      <c r="AC140">
        <f>IF(VLOOKUP(AC$1,main!$A$3:$I$56,5,FALSE)-VLOOKUP($A140,main!$A$3:$I$56,6,FALSE)&gt;=VLOOKUP(57,main!$A$57:$I$59,4,FALSE)+VLOOKUP(VLOOKUP(AC$1,main!$A$3:$I$56,7,FALSE),main!$K$10:$Q$14,5,FALSE),1,0)</f>
        <v>0</v>
      </c>
      <c r="AD140">
        <f>IF(VLOOKUP(AD$1,main!$A$3:$I$56,5,FALSE)-VLOOKUP($A140,main!$A$3:$I$56,6,FALSE)&gt;=VLOOKUP(57,main!$A$57:$I$59,4,FALSE)+VLOOKUP(VLOOKUP(AD$1,main!$A$3:$I$56,7,FALSE),main!$K$10:$Q$14,5,FALSE),1,0)</f>
        <v>0</v>
      </c>
      <c r="AE140">
        <f>IF(VLOOKUP(AE$1,main!$A$3:$I$56,5,FALSE)-VLOOKUP($A140,main!$A$3:$I$56,6,FALSE)&gt;=VLOOKUP(57,main!$A$57:$I$59,4,FALSE)+VLOOKUP(VLOOKUP(AE$1,main!$A$3:$I$56,7,FALSE),main!$K$10:$Q$14,5,FALSE),1,0)</f>
        <v>1</v>
      </c>
      <c r="AF140">
        <f>IF(VLOOKUP(AF$1,main!$A$3:$I$56,5,FALSE)-VLOOKUP($A140,main!$A$3:$I$56,6,FALSE)&gt;=VLOOKUP(57,main!$A$57:$I$59,4,FALSE)+VLOOKUP(VLOOKUP(AF$1,main!$A$3:$I$56,7,FALSE),main!$K$10:$Q$14,5,FALSE),1,0)</f>
        <v>1</v>
      </c>
      <c r="AG140">
        <f>IF(VLOOKUP(AG$1,main!$A$3:$I$56,5,FALSE)-VLOOKUP($A140,main!$A$3:$I$56,6,FALSE)&gt;=VLOOKUP(57,main!$A$57:$I$59,4,FALSE)+VLOOKUP(VLOOKUP(AG$1,main!$A$3:$I$56,7,FALSE),main!$K$10:$Q$14,5,FALSE),1,0)</f>
        <v>0</v>
      </c>
      <c r="AH140">
        <f>IF(VLOOKUP(AH$1,main!$A$3:$I$56,5,FALSE)-VLOOKUP($A140,main!$A$3:$I$56,6,FALSE)&gt;=VLOOKUP(57,main!$A$57:$I$59,4,FALSE)+VLOOKUP(VLOOKUP(AH$1,main!$A$3:$I$56,7,FALSE),main!$K$10:$Q$14,5,FALSE),1,0)</f>
        <v>0</v>
      </c>
      <c r="AI140">
        <f>IF(VLOOKUP(AI$1,main!$A$3:$I$56,5,FALSE)-VLOOKUP($A140,main!$A$3:$I$56,6,FALSE)&gt;=VLOOKUP(57,main!$A$57:$I$59,4,FALSE)+VLOOKUP(VLOOKUP(AI$1,main!$A$3:$I$56,7,FALSE),main!$K$10:$Q$14,5,FALSE),1,0)</f>
        <v>0</v>
      </c>
      <c r="AJ140">
        <f>IF(VLOOKUP(AJ$1,main!$A$3:$I$56,5,FALSE)-VLOOKUP($A140,main!$A$3:$I$56,6,FALSE)&gt;=VLOOKUP(57,main!$A$57:$I$59,4,FALSE)+VLOOKUP(VLOOKUP(AJ$1,main!$A$3:$I$56,7,FALSE),main!$K$10:$Q$14,5,FALSE),1,0)</f>
        <v>0</v>
      </c>
      <c r="AK140">
        <f>IF(VLOOKUP(AK$1,main!$A$3:$I$56,5,FALSE)-VLOOKUP($A140,main!$A$3:$I$56,6,FALSE)&gt;=VLOOKUP(57,main!$A$57:$I$59,4,FALSE)+VLOOKUP(VLOOKUP(AK$1,main!$A$3:$I$56,7,FALSE),main!$K$10:$Q$14,5,FALSE),1,0)</f>
        <v>1</v>
      </c>
      <c r="AL140">
        <f>IF(VLOOKUP(AL$1,main!$A$3:$I$56,5,FALSE)-VLOOKUP($A140,main!$A$3:$I$56,6,FALSE)&gt;=VLOOKUP(57,main!$A$57:$I$59,4,FALSE)+VLOOKUP(VLOOKUP(AL$1,main!$A$3:$I$56,7,FALSE),main!$K$10:$Q$14,5,FALSE),1,0)</f>
        <v>0</v>
      </c>
      <c r="AM140">
        <f>IF(VLOOKUP(AM$1,main!$A$3:$I$56,5,FALSE)-VLOOKUP($A140,main!$A$3:$I$56,6,FALSE)&gt;=VLOOKUP(57,main!$A$57:$I$59,4,FALSE)+VLOOKUP(VLOOKUP(AM$1,main!$A$3:$I$56,7,FALSE),main!$K$10:$Q$14,5,FALSE),1,0)</f>
        <v>0</v>
      </c>
      <c r="AN140">
        <f>IF(VLOOKUP(AN$1,main!$A$3:$I$56,5,FALSE)-VLOOKUP($A140,main!$A$3:$I$56,6,FALSE)&gt;=VLOOKUP(57,main!$A$57:$I$59,4,FALSE)+VLOOKUP(VLOOKUP(AN$1,main!$A$3:$I$56,7,FALSE),main!$K$10:$Q$14,5,FALSE),1,0)</f>
        <v>0</v>
      </c>
      <c r="AO140">
        <f>IF(VLOOKUP(AO$1,main!$A$3:$I$56,5,FALSE)-VLOOKUP($A140,main!$A$3:$I$56,6,FALSE)&gt;=VLOOKUP(57,main!$A$57:$I$59,4,FALSE)+VLOOKUP(VLOOKUP(AO$1,main!$A$3:$I$56,7,FALSE),main!$K$10:$Q$14,5,FALSE),1,0)</f>
        <v>1</v>
      </c>
      <c r="AP140">
        <f>IF(VLOOKUP(AP$1,main!$A$3:$I$56,5,FALSE)-VLOOKUP($A140,main!$A$3:$I$56,6,FALSE)&gt;=VLOOKUP(57,main!$A$57:$I$59,4,FALSE)+VLOOKUP(VLOOKUP(AP$1,main!$A$3:$I$56,7,FALSE),main!$K$10:$Q$14,5,FALSE),1,0)</f>
        <v>0</v>
      </c>
      <c r="AQ140">
        <f>IF(VLOOKUP(AQ$1,main!$A$3:$I$56,5,FALSE)-VLOOKUP($A140,main!$A$3:$I$56,6,FALSE)&gt;=VLOOKUP(57,main!$A$57:$I$59,4,FALSE)+VLOOKUP(VLOOKUP(AQ$1,main!$A$3:$I$56,7,FALSE),main!$K$10:$Q$14,5,FALSE),1,0)</f>
        <v>0</v>
      </c>
      <c r="AR140">
        <f>IF(VLOOKUP(AR$1,main!$A$3:$I$56,5,FALSE)-VLOOKUP($A140,main!$A$3:$I$56,6,FALSE)&gt;=VLOOKUP(57,main!$A$57:$I$59,4,FALSE)+VLOOKUP(VLOOKUP(AR$1,main!$A$3:$I$56,7,FALSE),main!$K$10:$Q$14,5,FALSE),1,0)</f>
        <v>0</v>
      </c>
      <c r="AS140">
        <f>IF(VLOOKUP(AS$1,main!$A$3:$I$56,5,FALSE)-VLOOKUP($A140,main!$A$3:$I$56,6,FALSE)&gt;=VLOOKUP(57,main!$A$57:$I$59,4,FALSE)+VLOOKUP(VLOOKUP(AS$1,main!$A$3:$I$56,7,FALSE),main!$K$10:$Q$14,5,FALSE),1,0)</f>
        <v>0</v>
      </c>
      <c r="AT140">
        <f>IF(VLOOKUP(AT$1,main!$A$3:$I$56,5,FALSE)-VLOOKUP($A140,main!$A$3:$I$56,6,FALSE)&gt;=VLOOKUP(57,main!$A$57:$I$59,4,FALSE)+VLOOKUP(VLOOKUP(AT$1,main!$A$3:$I$56,7,FALSE),main!$K$10:$Q$14,5,FALSE),1,0)</f>
        <v>0</v>
      </c>
      <c r="AU140">
        <f>IF(VLOOKUP(AU$1,main!$A$3:$I$56,5,FALSE)-VLOOKUP($A140,main!$A$3:$I$56,6,FALSE)&gt;=VLOOKUP(57,main!$A$57:$I$59,4,FALSE)+VLOOKUP(VLOOKUP(AU$1,main!$A$3:$I$56,7,FALSE),main!$K$10:$Q$14,5,FALSE),1,0)</f>
        <v>0</v>
      </c>
      <c r="AV140">
        <f>IF(VLOOKUP(AV$1,main!$A$3:$I$56,5,FALSE)-VLOOKUP($A140,main!$A$3:$I$56,6,FALSE)&gt;=VLOOKUP(57,main!$A$57:$I$59,4,FALSE)+VLOOKUP(VLOOKUP(AV$1,main!$A$3:$I$56,7,FALSE),main!$K$10:$Q$14,5,FALSE),1,0)</f>
        <v>0</v>
      </c>
      <c r="AW140">
        <f>IF(VLOOKUP(AW$1,main!$A$3:$I$56,5,FALSE)-VLOOKUP($A140,main!$A$3:$I$56,6,FALSE)&gt;=VLOOKUP(57,main!$A$57:$I$59,4,FALSE)+VLOOKUP(VLOOKUP(AW$1,main!$A$3:$I$56,7,FALSE),main!$K$10:$Q$14,5,FALSE),1,0)</f>
        <v>0</v>
      </c>
      <c r="AX140">
        <f>IF(VLOOKUP(AX$1,main!$A$3:$I$56,5,FALSE)-VLOOKUP($A140,main!$A$3:$I$56,6,FALSE)&gt;=VLOOKUP(57,main!$A$57:$I$59,4,FALSE)+VLOOKUP(VLOOKUP(AX$1,main!$A$3:$I$56,7,FALSE),main!$K$10:$Q$14,5,FALSE),1,0)</f>
        <v>1</v>
      </c>
      <c r="AY140">
        <f>IF(VLOOKUP(AY$1,main!$A$3:$I$56,5,FALSE)-VLOOKUP($A140,main!$A$3:$I$56,6,FALSE)&gt;=VLOOKUP(57,main!$A$57:$I$59,4,FALSE)+VLOOKUP(VLOOKUP(AY$1,main!$A$3:$I$56,7,FALSE),main!$K$10:$Q$14,5,FALSE),1,0)</f>
        <v>1</v>
      </c>
      <c r="AZ140">
        <f>IF(VLOOKUP(AZ$1,main!$A$3:$I$56,5,FALSE)-VLOOKUP($A140,main!$A$3:$I$56,6,FALSE)&gt;=VLOOKUP(57,main!$A$57:$I$59,4,FALSE)+VLOOKUP(VLOOKUP(AZ$1,main!$A$3:$I$56,7,FALSE),main!$K$10:$Q$14,5,FALSE),1,0)</f>
        <v>0</v>
      </c>
      <c r="BA140">
        <f>IF(VLOOKUP(BA$1,main!$A$3:$I$56,5,FALSE)-VLOOKUP($A140,main!$A$3:$I$56,6,FALSE)&gt;=VLOOKUP(57,main!$A$57:$I$59,4,FALSE)+VLOOKUP(VLOOKUP(BA$1,main!$A$3:$I$56,7,FALSE),main!$K$10:$Q$14,5,FALSE),1,0)</f>
        <v>0</v>
      </c>
      <c r="BB140">
        <f>IF(VLOOKUP(BB$1,main!$A$3:$I$56,5,FALSE)-VLOOKUP($A140,main!$A$3:$I$56,6,FALSE)&gt;=VLOOKUP(57,main!$A$57:$I$59,4,FALSE)+VLOOKUP(VLOOKUP(BB$1,main!$A$3:$I$56,7,FALSE),main!$K$10:$Q$14,5,FALSE),1,0)</f>
        <v>0</v>
      </c>
      <c r="BC140">
        <f>IF(VLOOKUP(BC$1,main!$A$3:$I$56,5,FALSE)-VLOOKUP($A140,main!$A$3:$I$56,6,FALSE)&gt;=VLOOKUP(57,main!$A$57:$I$59,4,FALSE)+VLOOKUP(VLOOKUP(BC$1,main!$A$3:$I$56,7,FALSE),main!$K$10:$Q$14,5,FALSE),1,0)</f>
        <v>1</v>
      </c>
      <c r="BD140">
        <f>IF(VLOOKUP(BD$1,main!$A$3:$I$56,5,FALSE)-VLOOKUP($A140,main!$A$3:$I$56,6,FALSE)&gt;=VLOOKUP(57,main!$A$57:$I$59,4,FALSE)+VLOOKUP(VLOOKUP(BD$1,main!$A$3:$I$56,7,FALSE),main!$K$10:$Q$14,5,FALSE),1,0)</f>
        <v>1</v>
      </c>
    </row>
    <row r="141" spans="1:56" x14ac:dyDescent="0.25">
      <c r="A141">
        <f t="shared" si="2"/>
        <v>29</v>
      </c>
      <c r="B141">
        <v>0</v>
      </c>
      <c r="C141">
        <f>IF(VLOOKUP(C$1,main!$A$3:$I$56,5,FALSE)-VLOOKUP($A141,main!$A$3:$I$56,6,FALSE)&gt;=VLOOKUP(57,main!$A$57:$I$59,4,FALSE)+VLOOKUP(VLOOKUP(C$1,main!$A$3:$I$56,7,FALSE),main!$K$10:$Q$14,5,FALSE),1,0)</f>
        <v>0</v>
      </c>
      <c r="D141">
        <f>IF(VLOOKUP(D$1,main!$A$3:$I$56,5,FALSE)-VLOOKUP($A141,main!$A$3:$I$56,6,FALSE)&gt;=VLOOKUP(57,main!$A$57:$I$59,4,FALSE)+VLOOKUP(VLOOKUP(D$1,main!$A$3:$I$56,7,FALSE),main!$K$10:$Q$14,5,FALSE),1,0)</f>
        <v>0</v>
      </c>
      <c r="E141">
        <f>IF(VLOOKUP(E$1,main!$A$3:$I$56,5,FALSE)-VLOOKUP($A141,main!$A$3:$I$56,6,FALSE)&gt;=VLOOKUP(57,main!$A$57:$I$59,4,FALSE)+VLOOKUP(VLOOKUP(E$1,main!$A$3:$I$56,7,FALSE),main!$K$10:$Q$14,5,FALSE),1,0)</f>
        <v>0</v>
      </c>
      <c r="F141">
        <f>IF(VLOOKUP(F$1,main!$A$3:$I$56,5,FALSE)-VLOOKUP($A141,main!$A$3:$I$56,6,FALSE)&gt;=VLOOKUP(57,main!$A$57:$I$59,4,FALSE)+VLOOKUP(VLOOKUP(F$1,main!$A$3:$I$56,7,FALSE),main!$K$10:$Q$14,5,FALSE),1,0)</f>
        <v>0</v>
      </c>
      <c r="G141">
        <f>IF(VLOOKUP(G$1,main!$A$3:$I$56,5,FALSE)-VLOOKUP($A141,main!$A$3:$I$56,6,FALSE)&gt;=VLOOKUP(57,main!$A$57:$I$59,4,FALSE)+VLOOKUP(VLOOKUP(G$1,main!$A$3:$I$56,7,FALSE),main!$K$10:$Q$14,5,FALSE),1,0)</f>
        <v>0</v>
      </c>
      <c r="H141">
        <f>IF(VLOOKUP(H$1,main!$A$3:$I$56,5,FALSE)-VLOOKUP($A141,main!$A$3:$I$56,6,FALSE)&gt;=VLOOKUP(57,main!$A$57:$I$59,4,FALSE)+VLOOKUP(VLOOKUP(H$1,main!$A$3:$I$56,7,FALSE),main!$K$10:$Q$14,5,FALSE),1,0)</f>
        <v>0</v>
      </c>
      <c r="I141">
        <f>IF(VLOOKUP(I$1,main!$A$3:$I$56,5,FALSE)-VLOOKUP($A141,main!$A$3:$I$56,6,FALSE)&gt;=VLOOKUP(57,main!$A$57:$I$59,4,FALSE)+VLOOKUP(VLOOKUP(I$1,main!$A$3:$I$56,7,FALSE),main!$K$10:$Q$14,5,FALSE),1,0)</f>
        <v>0</v>
      </c>
      <c r="J141">
        <f>IF(VLOOKUP(J$1,main!$A$3:$I$56,5,FALSE)-VLOOKUP($A141,main!$A$3:$I$56,6,FALSE)&gt;=VLOOKUP(57,main!$A$57:$I$59,4,FALSE)+VLOOKUP(VLOOKUP(J$1,main!$A$3:$I$56,7,FALSE),main!$K$10:$Q$14,5,FALSE),1,0)</f>
        <v>1</v>
      </c>
      <c r="K141">
        <f>IF(VLOOKUP(K$1,main!$A$3:$I$56,5,FALSE)-VLOOKUP($A141,main!$A$3:$I$56,6,FALSE)&gt;=VLOOKUP(57,main!$A$57:$I$59,4,FALSE)+VLOOKUP(VLOOKUP(K$1,main!$A$3:$I$56,7,FALSE),main!$K$10:$Q$14,5,FALSE),1,0)</f>
        <v>0</v>
      </c>
      <c r="L141">
        <f>IF(VLOOKUP(L$1,main!$A$3:$I$56,5,FALSE)-VLOOKUP($A141,main!$A$3:$I$56,6,FALSE)&gt;=VLOOKUP(57,main!$A$57:$I$59,4,FALSE)+VLOOKUP(VLOOKUP(L$1,main!$A$3:$I$56,7,FALSE),main!$K$10:$Q$14,5,FALSE),1,0)</f>
        <v>0</v>
      </c>
      <c r="M141">
        <f>IF(VLOOKUP(M$1,main!$A$3:$I$56,5,FALSE)-VLOOKUP($A141,main!$A$3:$I$56,6,FALSE)&gt;=VLOOKUP(57,main!$A$57:$I$59,4,FALSE)+VLOOKUP(VLOOKUP(M$1,main!$A$3:$I$56,7,FALSE),main!$K$10:$Q$14,5,FALSE),1,0)</f>
        <v>0</v>
      </c>
      <c r="N141">
        <f>IF(VLOOKUP(N$1,main!$A$3:$I$56,5,FALSE)-VLOOKUP($A141,main!$A$3:$I$56,6,FALSE)&gt;=VLOOKUP(57,main!$A$57:$I$59,4,FALSE)+VLOOKUP(VLOOKUP(N$1,main!$A$3:$I$56,7,FALSE),main!$K$10:$Q$14,5,FALSE),1,0)</f>
        <v>1</v>
      </c>
      <c r="O141">
        <f>IF(VLOOKUP(O$1,main!$A$3:$I$56,5,FALSE)-VLOOKUP($A141,main!$A$3:$I$56,6,FALSE)&gt;=VLOOKUP(57,main!$A$57:$I$59,4,FALSE)+VLOOKUP(VLOOKUP(O$1,main!$A$3:$I$56,7,FALSE),main!$K$10:$Q$14,5,FALSE),1,0)</f>
        <v>1</v>
      </c>
      <c r="P141">
        <f>IF(VLOOKUP(P$1,main!$A$3:$I$56,5,FALSE)-VLOOKUP($A141,main!$A$3:$I$56,6,FALSE)&gt;=VLOOKUP(57,main!$A$57:$I$59,4,FALSE)+VLOOKUP(VLOOKUP(P$1,main!$A$3:$I$56,7,FALSE),main!$K$10:$Q$14,5,FALSE),1,0)</f>
        <v>0</v>
      </c>
      <c r="Q141">
        <f>IF(VLOOKUP(Q$1,main!$A$3:$I$56,5,FALSE)-VLOOKUP($A141,main!$A$3:$I$56,6,FALSE)&gt;=VLOOKUP(57,main!$A$57:$I$59,4,FALSE)+VLOOKUP(VLOOKUP(Q$1,main!$A$3:$I$56,7,FALSE),main!$K$10:$Q$14,5,FALSE),1,0)</f>
        <v>0</v>
      </c>
      <c r="R141">
        <f>IF(VLOOKUP(R$1,main!$A$3:$I$56,5,FALSE)-VLOOKUP($A141,main!$A$3:$I$56,6,FALSE)&gt;=VLOOKUP(57,main!$A$57:$I$59,4,FALSE)+VLOOKUP(VLOOKUP(R$1,main!$A$3:$I$56,7,FALSE),main!$K$10:$Q$14,5,FALSE),1,0)</f>
        <v>0</v>
      </c>
      <c r="S141">
        <f>IF(VLOOKUP(S$1,main!$A$3:$I$56,5,FALSE)-VLOOKUP($A141,main!$A$3:$I$56,6,FALSE)&gt;=VLOOKUP(57,main!$A$57:$I$59,4,FALSE)+VLOOKUP(VLOOKUP(S$1,main!$A$3:$I$56,7,FALSE),main!$K$10:$Q$14,5,FALSE),1,0)</f>
        <v>0</v>
      </c>
      <c r="T141">
        <f>IF(VLOOKUP(T$1,main!$A$3:$I$56,5,FALSE)-VLOOKUP($A141,main!$A$3:$I$56,6,FALSE)&gt;=VLOOKUP(57,main!$A$57:$I$59,4,FALSE)+VLOOKUP(VLOOKUP(T$1,main!$A$3:$I$56,7,FALSE),main!$K$10:$Q$14,5,FALSE),1,0)</f>
        <v>1</v>
      </c>
      <c r="U141">
        <f>IF(VLOOKUP(U$1,main!$A$3:$I$56,5,FALSE)-VLOOKUP($A141,main!$A$3:$I$56,6,FALSE)&gt;=VLOOKUP(57,main!$A$57:$I$59,4,FALSE)+VLOOKUP(VLOOKUP(U$1,main!$A$3:$I$56,7,FALSE),main!$K$10:$Q$14,5,FALSE),1,0)</f>
        <v>0</v>
      </c>
      <c r="V141">
        <f>IF(VLOOKUP(V$1,main!$A$3:$I$56,5,FALSE)-VLOOKUP($A141,main!$A$3:$I$56,6,FALSE)&gt;=VLOOKUP(57,main!$A$57:$I$59,4,FALSE)+VLOOKUP(VLOOKUP(V$1,main!$A$3:$I$56,7,FALSE),main!$K$10:$Q$14,5,FALSE),1,0)</f>
        <v>0</v>
      </c>
      <c r="W141">
        <f>IF(VLOOKUP(W$1,main!$A$3:$I$56,5,FALSE)-VLOOKUP($A141,main!$A$3:$I$56,6,FALSE)&gt;=VLOOKUP(57,main!$A$57:$I$59,4,FALSE)+VLOOKUP(VLOOKUP(W$1,main!$A$3:$I$56,7,FALSE),main!$K$10:$Q$14,5,FALSE),1,0)</f>
        <v>0</v>
      </c>
      <c r="X141">
        <f>IF(VLOOKUP(X$1,main!$A$3:$I$56,5,FALSE)-VLOOKUP($A141,main!$A$3:$I$56,6,FALSE)&gt;=VLOOKUP(57,main!$A$57:$I$59,4,FALSE)+VLOOKUP(VLOOKUP(X$1,main!$A$3:$I$56,7,FALSE),main!$K$10:$Q$14,5,FALSE),1,0)</f>
        <v>0</v>
      </c>
      <c r="Y141">
        <f>IF(VLOOKUP(Y$1,main!$A$3:$I$56,5,FALSE)-VLOOKUP($A141,main!$A$3:$I$56,6,FALSE)&gt;=VLOOKUP(57,main!$A$57:$I$59,4,FALSE)+VLOOKUP(VLOOKUP(Y$1,main!$A$3:$I$56,7,FALSE),main!$K$10:$Q$14,5,FALSE),1,0)</f>
        <v>0</v>
      </c>
      <c r="Z141">
        <f>IF(VLOOKUP(Z$1,main!$A$3:$I$56,5,FALSE)-VLOOKUP($A141,main!$A$3:$I$56,6,FALSE)&gt;=VLOOKUP(57,main!$A$57:$I$59,4,FALSE)+VLOOKUP(VLOOKUP(Z$1,main!$A$3:$I$56,7,FALSE),main!$K$10:$Q$14,5,FALSE),1,0)</f>
        <v>1</v>
      </c>
      <c r="AA141">
        <f>IF(VLOOKUP(AA$1,main!$A$3:$I$56,5,FALSE)-VLOOKUP($A141,main!$A$3:$I$56,6,FALSE)&gt;=VLOOKUP(57,main!$A$57:$I$59,4,FALSE)+VLOOKUP(VLOOKUP(AA$1,main!$A$3:$I$56,7,FALSE),main!$K$10:$Q$14,5,FALSE),1,0)</f>
        <v>1</v>
      </c>
      <c r="AB141">
        <f>IF(VLOOKUP(AB$1,main!$A$3:$I$56,5,FALSE)-VLOOKUP($A141,main!$A$3:$I$56,6,FALSE)&gt;=VLOOKUP(57,main!$A$57:$I$59,4,FALSE)+VLOOKUP(VLOOKUP(AB$1,main!$A$3:$I$56,7,FALSE),main!$K$10:$Q$14,5,FALSE),1,0)</f>
        <v>1</v>
      </c>
      <c r="AC141">
        <f>IF(VLOOKUP(AC$1,main!$A$3:$I$56,5,FALSE)-VLOOKUP($A141,main!$A$3:$I$56,6,FALSE)&gt;=VLOOKUP(57,main!$A$57:$I$59,4,FALSE)+VLOOKUP(VLOOKUP(AC$1,main!$A$3:$I$56,7,FALSE),main!$K$10:$Q$14,5,FALSE),1,0)</f>
        <v>0</v>
      </c>
      <c r="AD141">
        <f>IF(VLOOKUP(AD$1,main!$A$3:$I$56,5,FALSE)-VLOOKUP($A141,main!$A$3:$I$56,6,FALSE)&gt;=VLOOKUP(57,main!$A$57:$I$59,4,FALSE)+VLOOKUP(VLOOKUP(AD$1,main!$A$3:$I$56,7,FALSE),main!$K$10:$Q$14,5,FALSE),1,0)</f>
        <v>0</v>
      </c>
      <c r="AE141">
        <f>IF(VLOOKUP(AE$1,main!$A$3:$I$56,5,FALSE)-VLOOKUP($A141,main!$A$3:$I$56,6,FALSE)&gt;=VLOOKUP(57,main!$A$57:$I$59,4,FALSE)+VLOOKUP(VLOOKUP(AE$1,main!$A$3:$I$56,7,FALSE),main!$K$10:$Q$14,5,FALSE),1,0)</f>
        <v>0</v>
      </c>
      <c r="AF141">
        <f>IF(VLOOKUP(AF$1,main!$A$3:$I$56,5,FALSE)-VLOOKUP($A141,main!$A$3:$I$56,6,FALSE)&gt;=VLOOKUP(57,main!$A$57:$I$59,4,FALSE)+VLOOKUP(VLOOKUP(AF$1,main!$A$3:$I$56,7,FALSE),main!$K$10:$Q$14,5,FALSE),1,0)</f>
        <v>0</v>
      </c>
      <c r="AG141">
        <f>IF(VLOOKUP(AG$1,main!$A$3:$I$56,5,FALSE)-VLOOKUP($A141,main!$A$3:$I$56,6,FALSE)&gt;=VLOOKUP(57,main!$A$57:$I$59,4,FALSE)+VLOOKUP(VLOOKUP(AG$1,main!$A$3:$I$56,7,FALSE),main!$K$10:$Q$14,5,FALSE),1,0)</f>
        <v>0</v>
      </c>
      <c r="AH141">
        <f>IF(VLOOKUP(AH$1,main!$A$3:$I$56,5,FALSE)-VLOOKUP($A141,main!$A$3:$I$56,6,FALSE)&gt;=VLOOKUP(57,main!$A$57:$I$59,4,FALSE)+VLOOKUP(VLOOKUP(AH$1,main!$A$3:$I$56,7,FALSE),main!$K$10:$Q$14,5,FALSE),1,0)</f>
        <v>0</v>
      </c>
      <c r="AI141">
        <f>IF(VLOOKUP(AI$1,main!$A$3:$I$56,5,FALSE)-VLOOKUP($A141,main!$A$3:$I$56,6,FALSE)&gt;=VLOOKUP(57,main!$A$57:$I$59,4,FALSE)+VLOOKUP(VLOOKUP(AI$1,main!$A$3:$I$56,7,FALSE),main!$K$10:$Q$14,5,FALSE),1,0)</f>
        <v>0</v>
      </c>
      <c r="AJ141">
        <f>IF(VLOOKUP(AJ$1,main!$A$3:$I$56,5,FALSE)-VLOOKUP($A141,main!$A$3:$I$56,6,FALSE)&gt;=VLOOKUP(57,main!$A$57:$I$59,4,FALSE)+VLOOKUP(VLOOKUP(AJ$1,main!$A$3:$I$56,7,FALSE),main!$K$10:$Q$14,5,FALSE),1,0)</f>
        <v>0</v>
      </c>
      <c r="AK141">
        <f>IF(VLOOKUP(AK$1,main!$A$3:$I$56,5,FALSE)-VLOOKUP($A141,main!$A$3:$I$56,6,FALSE)&gt;=VLOOKUP(57,main!$A$57:$I$59,4,FALSE)+VLOOKUP(VLOOKUP(AK$1,main!$A$3:$I$56,7,FALSE),main!$K$10:$Q$14,5,FALSE),1,0)</f>
        <v>0</v>
      </c>
      <c r="AL141">
        <f>IF(VLOOKUP(AL$1,main!$A$3:$I$56,5,FALSE)-VLOOKUP($A141,main!$A$3:$I$56,6,FALSE)&gt;=VLOOKUP(57,main!$A$57:$I$59,4,FALSE)+VLOOKUP(VLOOKUP(AL$1,main!$A$3:$I$56,7,FALSE),main!$K$10:$Q$14,5,FALSE),1,0)</f>
        <v>0</v>
      </c>
      <c r="AM141">
        <f>IF(VLOOKUP(AM$1,main!$A$3:$I$56,5,FALSE)-VLOOKUP($A141,main!$A$3:$I$56,6,FALSE)&gt;=VLOOKUP(57,main!$A$57:$I$59,4,FALSE)+VLOOKUP(VLOOKUP(AM$1,main!$A$3:$I$56,7,FALSE),main!$K$10:$Q$14,5,FALSE),1,0)</f>
        <v>0</v>
      </c>
      <c r="AN141">
        <f>IF(VLOOKUP(AN$1,main!$A$3:$I$56,5,FALSE)-VLOOKUP($A141,main!$A$3:$I$56,6,FALSE)&gt;=VLOOKUP(57,main!$A$57:$I$59,4,FALSE)+VLOOKUP(VLOOKUP(AN$1,main!$A$3:$I$56,7,FALSE),main!$K$10:$Q$14,5,FALSE),1,0)</f>
        <v>0</v>
      </c>
      <c r="AO141">
        <f>IF(VLOOKUP(AO$1,main!$A$3:$I$56,5,FALSE)-VLOOKUP($A141,main!$A$3:$I$56,6,FALSE)&gt;=VLOOKUP(57,main!$A$57:$I$59,4,FALSE)+VLOOKUP(VLOOKUP(AO$1,main!$A$3:$I$56,7,FALSE),main!$K$10:$Q$14,5,FALSE),1,0)</f>
        <v>0</v>
      </c>
      <c r="AP141">
        <f>IF(VLOOKUP(AP$1,main!$A$3:$I$56,5,FALSE)-VLOOKUP($A141,main!$A$3:$I$56,6,FALSE)&gt;=VLOOKUP(57,main!$A$57:$I$59,4,FALSE)+VLOOKUP(VLOOKUP(AP$1,main!$A$3:$I$56,7,FALSE),main!$K$10:$Q$14,5,FALSE),1,0)</f>
        <v>0</v>
      </c>
      <c r="AQ141">
        <f>IF(VLOOKUP(AQ$1,main!$A$3:$I$56,5,FALSE)-VLOOKUP($A141,main!$A$3:$I$56,6,FALSE)&gt;=VLOOKUP(57,main!$A$57:$I$59,4,FALSE)+VLOOKUP(VLOOKUP(AQ$1,main!$A$3:$I$56,7,FALSE),main!$K$10:$Q$14,5,FALSE),1,0)</f>
        <v>0</v>
      </c>
      <c r="AR141">
        <f>IF(VLOOKUP(AR$1,main!$A$3:$I$56,5,FALSE)-VLOOKUP($A141,main!$A$3:$I$56,6,FALSE)&gt;=VLOOKUP(57,main!$A$57:$I$59,4,FALSE)+VLOOKUP(VLOOKUP(AR$1,main!$A$3:$I$56,7,FALSE),main!$K$10:$Q$14,5,FALSE),1,0)</f>
        <v>0</v>
      </c>
      <c r="AS141">
        <f>IF(VLOOKUP(AS$1,main!$A$3:$I$56,5,FALSE)-VLOOKUP($A141,main!$A$3:$I$56,6,FALSE)&gt;=VLOOKUP(57,main!$A$57:$I$59,4,FALSE)+VLOOKUP(VLOOKUP(AS$1,main!$A$3:$I$56,7,FALSE),main!$K$10:$Q$14,5,FALSE),1,0)</f>
        <v>0</v>
      </c>
      <c r="AT141">
        <f>IF(VLOOKUP(AT$1,main!$A$3:$I$56,5,FALSE)-VLOOKUP($A141,main!$A$3:$I$56,6,FALSE)&gt;=VLOOKUP(57,main!$A$57:$I$59,4,FALSE)+VLOOKUP(VLOOKUP(AT$1,main!$A$3:$I$56,7,FALSE),main!$K$10:$Q$14,5,FALSE),1,0)</f>
        <v>0</v>
      </c>
      <c r="AU141">
        <f>IF(VLOOKUP(AU$1,main!$A$3:$I$56,5,FALSE)-VLOOKUP($A141,main!$A$3:$I$56,6,FALSE)&gt;=VLOOKUP(57,main!$A$57:$I$59,4,FALSE)+VLOOKUP(VLOOKUP(AU$1,main!$A$3:$I$56,7,FALSE),main!$K$10:$Q$14,5,FALSE),1,0)</f>
        <v>0</v>
      </c>
      <c r="AV141">
        <f>IF(VLOOKUP(AV$1,main!$A$3:$I$56,5,FALSE)-VLOOKUP($A141,main!$A$3:$I$56,6,FALSE)&gt;=VLOOKUP(57,main!$A$57:$I$59,4,FALSE)+VLOOKUP(VLOOKUP(AV$1,main!$A$3:$I$56,7,FALSE),main!$K$10:$Q$14,5,FALSE),1,0)</f>
        <v>0</v>
      </c>
      <c r="AW141">
        <f>IF(VLOOKUP(AW$1,main!$A$3:$I$56,5,FALSE)-VLOOKUP($A141,main!$A$3:$I$56,6,FALSE)&gt;=VLOOKUP(57,main!$A$57:$I$59,4,FALSE)+VLOOKUP(VLOOKUP(AW$1,main!$A$3:$I$56,7,FALSE),main!$K$10:$Q$14,5,FALSE),1,0)</f>
        <v>0</v>
      </c>
      <c r="AX141">
        <f>IF(VLOOKUP(AX$1,main!$A$3:$I$56,5,FALSE)-VLOOKUP($A141,main!$A$3:$I$56,6,FALSE)&gt;=VLOOKUP(57,main!$A$57:$I$59,4,FALSE)+VLOOKUP(VLOOKUP(AX$1,main!$A$3:$I$56,7,FALSE),main!$K$10:$Q$14,5,FALSE),1,0)</f>
        <v>0</v>
      </c>
      <c r="AY141">
        <f>IF(VLOOKUP(AY$1,main!$A$3:$I$56,5,FALSE)-VLOOKUP($A141,main!$A$3:$I$56,6,FALSE)&gt;=VLOOKUP(57,main!$A$57:$I$59,4,FALSE)+VLOOKUP(VLOOKUP(AY$1,main!$A$3:$I$56,7,FALSE),main!$K$10:$Q$14,5,FALSE),1,0)</f>
        <v>1</v>
      </c>
      <c r="AZ141">
        <f>IF(VLOOKUP(AZ$1,main!$A$3:$I$56,5,FALSE)-VLOOKUP($A141,main!$A$3:$I$56,6,FALSE)&gt;=VLOOKUP(57,main!$A$57:$I$59,4,FALSE)+VLOOKUP(VLOOKUP(AZ$1,main!$A$3:$I$56,7,FALSE),main!$K$10:$Q$14,5,FALSE),1,0)</f>
        <v>0</v>
      </c>
      <c r="BA141">
        <f>IF(VLOOKUP(BA$1,main!$A$3:$I$56,5,FALSE)-VLOOKUP($A141,main!$A$3:$I$56,6,FALSE)&gt;=VLOOKUP(57,main!$A$57:$I$59,4,FALSE)+VLOOKUP(VLOOKUP(BA$1,main!$A$3:$I$56,7,FALSE),main!$K$10:$Q$14,5,FALSE),1,0)</f>
        <v>0</v>
      </c>
      <c r="BB141">
        <f>IF(VLOOKUP(BB$1,main!$A$3:$I$56,5,FALSE)-VLOOKUP($A141,main!$A$3:$I$56,6,FALSE)&gt;=VLOOKUP(57,main!$A$57:$I$59,4,FALSE)+VLOOKUP(VLOOKUP(BB$1,main!$A$3:$I$56,7,FALSE),main!$K$10:$Q$14,5,FALSE),1,0)</f>
        <v>0</v>
      </c>
      <c r="BC141">
        <f>IF(VLOOKUP(BC$1,main!$A$3:$I$56,5,FALSE)-VLOOKUP($A141,main!$A$3:$I$56,6,FALSE)&gt;=VLOOKUP(57,main!$A$57:$I$59,4,FALSE)+VLOOKUP(VLOOKUP(BC$1,main!$A$3:$I$56,7,FALSE),main!$K$10:$Q$14,5,FALSE),1,0)</f>
        <v>0</v>
      </c>
      <c r="BD141">
        <f>IF(VLOOKUP(BD$1,main!$A$3:$I$56,5,FALSE)-VLOOKUP($A141,main!$A$3:$I$56,6,FALSE)&gt;=VLOOKUP(57,main!$A$57:$I$59,4,FALSE)+VLOOKUP(VLOOKUP(BD$1,main!$A$3:$I$56,7,FALSE),main!$K$10:$Q$14,5,FALSE),1,0)</f>
        <v>0</v>
      </c>
    </row>
    <row r="142" spans="1:56" x14ac:dyDescent="0.25">
      <c r="A142">
        <f t="shared" si="2"/>
        <v>30</v>
      </c>
      <c r="B142">
        <v>0</v>
      </c>
      <c r="C142">
        <f>IF(VLOOKUP(C$1,main!$A$3:$I$56,5,FALSE)-VLOOKUP($A142,main!$A$3:$I$56,6,FALSE)&gt;=VLOOKUP(57,main!$A$57:$I$59,4,FALSE)+VLOOKUP(VLOOKUP(C$1,main!$A$3:$I$56,7,FALSE),main!$K$10:$Q$14,5,FALSE),1,0)</f>
        <v>0</v>
      </c>
      <c r="D142">
        <f>IF(VLOOKUP(D$1,main!$A$3:$I$56,5,FALSE)-VLOOKUP($A142,main!$A$3:$I$56,6,FALSE)&gt;=VLOOKUP(57,main!$A$57:$I$59,4,FALSE)+VLOOKUP(VLOOKUP(D$1,main!$A$3:$I$56,7,FALSE),main!$K$10:$Q$14,5,FALSE),1,0)</f>
        <v>0</v>
      </c>
      <c r="E142">
        <f>IF(VLOOKUP(E$1,main!$A$3:$I$56,5,FALSE)-VLOOKUP($A142,main!$A$3:$I$56,6,FALSE)&gt;=VLOOKUP(57,main!$A$57:$I$59,4,FALSE)+VLOOKUP(VLOOKUP(E$1,main!$A$3:$I$56,7,FALSE),main!$K$10:$Q$14,5,FALSE),1,0)</f>
        <v>0</v>
      </c>
      <c r="F142">
        <f>IF(VLOOKUP(F$1,main!$A$3:$I$56,5,FALSE)-VLOOKUP($A142,main!$A$3:$I$56,6,FALSE)&gt;=VLOOKUP(57,main!$A$57:$I$59,4,FALSE)+VLOOKUP(VLOOKUP(F$1,main!$A$3:$I$56,7,FALSE),main!$K$10:$Q$14,5,FALSE),1,0)</f>
        <v>0</v>
      </c>
      <c r="G142">
        <f>IF(VLOOKUP(G$1,main!$A$3:$I$56,5,FALSE)-VLOOKUP($A142,main!$A$3:$I$56,6,FALSE)&gt;=VLOOKUP(57,main!$A$57:$I$59,4,FALSE)+VLOOKUP(VLOOKUP(G$1,main!$A$3:$I$56,7,FALSE),main!$K$10:$Q$14,5,FALSE),1,0)</f>
        <v>0</v>
      </c>
      <c r="H142">
        <f>IF(VLOOKUP(H$1,main!$A$3:$I$56,5,FALSE)-VLOOKUP($A142,main!$A$3:$I$56,6,FALSE)&gt;=VLOOKUP(57,main!$A$57:$I$59,4,FALSE)+VLOOKUP(VLOOKUP(H$1,main!$A$3:$I$56,7,FALSE),main!$K$10:$Q$14,5,FALSE),1,0)</f>
        <v>0</v>
      </c>
      <c r="I142">
        <f>IF(VLOOKUP(I$1,main!$A$3:$I$56,5,FALSE)-VLOOKUP($A142,main!$A$3:$I$56,6,FALSE)&gt;=VLOOKUP(57,main!$A$57:$I$59,4,FALSE)+VLOOKUP(VLOOKUP(I$1,main!$A$3:$I$56,7,FALSE),main!$K$10:$Q$14,5,FALSE),1,0)</f>
        <v>0</v>
      </c>
      <c r="J142">
        <f>IF(VLOOKUP(J$1,main!$A$3:$I$56,5,FALSE)-VLOOKUP($A142,main!$A$3:$I$56,6,FALSE)&gt;=VLOOKUP(57,main!$A$57:$I$59,4,FALSE)+VLOOKUP(VLOOKUP(J$1,main!$A$3:$I$56,7,FALSE),main!$K$10:$Q$14,5,FALSE),1,0)</f>
        <v>0</v>
      </c>
      <c r="K142">
        <f>IF(VLOOKUP(K$1,main!$A$3:$I$56,5,FALSE)-VLOOKUP($A142,main!$A$3:$I$56,6,FALSE)&gt;=VLOOKUP(57,main!$A$57:$I$59,4,FALSE)+VLOOKUP(VLOOKUP(K$1,main!$A$3:$I$56,7,FALSE),main!$K$10:$Q$14,5,FALSE),1,0)</f>
        <v>0</v>
      </c>
      <c r="L142">
        <f>IF(VLOOKUP(L$1,main!$A$3:$I$56,5,FALSE)-VLOOKUP($A142,main!$A$3:$I$56,6,FALSE)&gt;=VLOOKUP(57,main!$A$57:$I$59,4,FALSE)+VLOOKUP(VLOOKUP(L$1,main!$A$3:$I$56,7,FALSE),main!$K$10:$Q$14,5,FALSE),1,0)</f>
        <v>0</v>
      </c>
      <c r="M142">
        <f>IF(VLOOKUP(M$1,main!$A$3:$I$56,5,FALSE)-VLOOKUP($A142,main!$A$3:$I$56,6,FALSE)&gt;=VLOOKUP(57,main!$A$57:$I$59,4,FALSE)+VLOOKUP(VLOOKUP(M$1,main!$A$3:$I$56,7,FALSE),main!$K$10:$Q$14,5,FALSE),1,0)</f>
        <v>0</v>
      </c>
      <c r="N142">
        <f>IF(VLOOKUP(N$1,main!$A$3:$I$56,5,FALSE)-VLOOKUP($A142,main!$A$3:$I$56,6,FALSE)&gt;=VLOOKUP(57,main!$A$57:$I$59,4,FALSE)+VLOOKUP(VLOOKUP(N$1,main!$A$3:$I$56,7,FALSE),main!$K$10:$Q$14,5,FALSE),1,0)</f>
        <v>0</v>
      </c>
      <c r="O142">
        <f>IF(VLOOKUP(O$1,main!$A$3:$I$56,5,FALSE)-VLOOKUP($A142,main!$A$3:$I$56,6,FALSE)&gt;=VLOOKUP(57,main!$A$57:$I$59,4,FALSE)+VLOOKUP(VLOOKUP(O$1,main!$A$3:$I$56,7,FALSE),main!$K$10:$Q$14,5,FALSE),1,0)</f>
        <v>0</v>
      </c>
      <c r="P142">
        <f>IF(VLOOKUP(P$1,main!$A$3:$I$56,5,FALSE)-VLOOKUP($A142,main!$A$3:$I$56,6,FALSE)&gt;=VLOOKUP(57,main!$A$57:$I$59,4,FALSE)+VLOOKUP(VLOOKUP(P$1,main!$A$3:$I$56,7,FALSE),main!$K$10:$Q$14,5,FALSE),1,0)</f>
        <v>0</v>
      </c>
      <c r="Q142">
        <f>IF(VLOOKUP(Q$1,main!$A$3:$I$56,5,FALSE)-VLOOKUP($A142,main!$A$3:$I$56,6,FALSE)&gt;=VLOOKUP(57,main!$A$57:$I$59,4,FALSE)+VLOOKUP(VLOOKUP(Q$1,main!$A$3:$I$56,7,FALSE),main!$K$10:$Q$14,5,FALSE),1,0)</f>
        <v>0</v>
      </c>
      <c r="R142">
        <f>IF(VLOOKUP(R$1,main!$A$3:$I$56,5,FALSE)-VLOOKUP($A142,main!$A$3:$I$56,6,FALSE)&gt;=VLOOKUP(57,main!$A$57:$I$59,4,FALSE)+VLOOKUP(VLOOKUP(R$1,main!$A$3:$I$56,7,FALSE),main!$K$10:$Q$14,5,FALSE),1,0)</f>
        <v>0</v>
      </c>
      <c r="S142">
        <f>IF(VLOOKUP(S$1,main!$A$3:$I$56,5,FALSE)-VLOOKUP($A142,main!$A$3:$I$56,6,FALSE)&gt;=VLOOKUP(57,main!$A$57:$I$59,4,FALSE)+VLOOKUP(VLOOKUP(S$1,main!$A$3:$I$56,7,FALSE),main!$K$10:$Q$14,5,FALSE),1,0)</f>
        <v>0</v>
      </c>
      <c r="T142">
        <f>IF(VLOOKUP(T$1,main!$A$3:$I$56,5,FALSE)-VLOOKUP($A142,main!$A$3:$I$56,6,FALSE)&gt;=VLOOKUP(57,main!$A$57:$I$59,4,FALSE)+VLOOKUP(VLOOKUP(T$1,main!$A$3:$I$56,7,FALSE),main!$K$10:$Q$14,5,FALSE),1,0)</f>
        <v>0</v>
      </c>
      <c r="U142">
        <f>IF(VLOOKUP(U$1,main!$A$3:$I$56,5,FALSE)-VLOOKUP($A142,main!$A$3:$I$56,6,FALSE)&gt;=VLOOKUP(57,main!$A$57:$I$59,4,FALSE)+VLOOKUP(VLOOKUP(U$1,main!$A$3:$I$56,7,FALSE),main!$K$10:$Q$14,5,FALSE),1,0)</f>
        <v>0</v>
      </c>
      <c r="V142">
        <f>IF(VLOOKUP(V$1,main!$A$3:$I$56,5,FALSE)-VLOOKUP($A142,main!$A$3:$I$56,6,FALSE)&gt;=VLOOKUP(57,main!$A$57:$I$59,4,FALSE)+VLOOKUP(VLOOKUP(V$1,main!$A$3:$I$56,7,FALSE),main!$K$10:$Q$14,5,FALSE),1,0)</f>
        <v>0</v>
      </c>
      <c r="W142">
        <f>IF(VLOOKUP(W$1,main!$A$3:$I$56,5,FALSE)-VLOOKUP($A142,main!$A$3:$I$56,6,FALSE)&gt;=VLOOKUP(57,main!$A$57:$I$59,4,FALSE)+VLOOKUP(VLOOKUP(W$1,main!$A$3:$I$56,7,FALSE),main!$K$10:$Q$14,5,FALSE),1,0)</f>
        <v>0</v>
      </c>
      <c r="X142">
        <f>IF(VLOOKUP(X$1,main!$A$3:$I$56,5,FALSE)-VLOOKUP($A142,main!$A$3:$I$56,6,FALSE)&gt;=VLOOKUP(57,main!$A$57:$I$59,4,FALSE)+VLOOKUP(VLOOKUP(X$1,main!$A$3:$I$56,7,FALSE),main!$K$10:$Q$14,5,FALSE),1,0)</f>
        <v>0</v>
      </c>
      <c r="Y142">
        <f>IF(VLOOKUP(Y$1,main!$A$3:$I$56,5,FALSE)-VLOOKUP($A142,main!$A$3:$I$56,6,FALSE)&gt;=VLOOKUP(57,main!$A$57:$I$59,4,FALSE)+VLOOKUP(VLOOKUP(Y$1,main!$A$3:$I$56,7,FALSE),main!$K$10:$Q$14,5,FALSE),1,0)</f>
        <v>0</v>
      </c>
      <c r="Z142">
        <f>IF(VLOOKUP(Z$1,main!$A$3:$I$56,5,FALSE)-VLOOKUP($A142,main!$A$3:$I$56,6,FALSE)&gt;=VLOOKUP(57,main!$A$57:$I$59,4,FALSE)+VLOOKUP(VLOOKUP(Z$1,main!$A$3:$I$56,7,FALSE),main!$K$10:$Q$14,5,FALSE),1,0)</f>
        <v>0</v>
      </c>
      <c r="AA142">
        <f>IF(VLOOKUP(AA$1,main!$A$3:$I$56,5,FALSE)-VLOOKUP($A142,main!$A$3:$I$56,6,FALSE)&gt;=VLOOKUP(57,main!$A$57:$I$59,4,FALSE)+VLOOKUP(VLOOKUP(AA$1,main!$A$3:$I$56,7,FALSE),main!$K$10:$Q$14,5,FALSE),1,0)</f>
        <v>0</v>
      </c>
      <c r="AB142">
        <f>IF(VLOOKUP(AB$1,main!$A$3:$I$56,5,FALSE)-VLOOKUP($A142,main!$A$3:$I$56,6,FALSE)&gt;=VLOOKUP(57,main!$A$57:$I$59,4,FALSE)+VLOOKUP(VLOOKUP(AB$1,main!$A$3:$I$56,7,FALSE),main!$K$10:$Q$14,5,FALSE),1,0)</f>
        <v>0</v>
      </c>
      <c r="AC142">
        <f>IF(VLOOKUP(AC$1,main!$A$3:$I$56,5,FALSE)-VLOOKUP($A142,main!$A$3:$I$56,6,FALSE)&gt;=VLOOKUP(57,main!$A$57:$I$59,4,FALSE)+VLOOKUP(VLOOKUP(AC$1,main!$A$3:$I$56,7,FALSE),main!$K$10:$Q$14,5,FALSE),1,0)</f>
        <v>0</v>
      </c>
      <c r="AD142">
        <f>IF(VLOOKUP(AD$1,main!$A$3:$I$56,5,FALSE)-VLOOKUP($A142,main!$A$3:$I$56,6,FALSE)&gt;=VLOOKUP(57,main!$A$57:$I$59,4,FALSE)+VLOOKUP(VLOOKUP(AD$1,main!$A$3:$I$56,7,FALSE),main!$K$10:$Q$14,5,FALSE),1,0)</f>
        <v>0</v>
      </c>
      <c r="AE142">
        <f>IF(VLOOKUP(AE$1,main!$A$3:$I$56,5,FALSE)-VLOOKUP($A142,main!$A$3:$I$56,6,FALSE)&gt;=VLOOKUP(57,main!$A$57:$I$59,4,FALSE)+VLOOKUP(VLOOKUP(AE$1,main!$A$3:$I$56,7,FALSE),main!$K$10:$Q$14,5,FALSE),1,0)</f>
        <v>0</v>
      </c>
      <c r="AF142">
        <f>IF(VLOOKUP(AF$1,main!$A$3:$I$56,5,FALSE)-VLOOKUP($A142,main!$A$3:$I$56,6,FALSE)&gt;=VLOOKUP(57,main!$A$57:$I$59,4,FALSE)+VLOOKUP(VLOOKUP(AF$1,main!$A$3:$I$56,7,FALSE),main!$K$10:$Q$14,5,FALSE),1,0)</f>
        <v>0</v>
      </c>
      <c r="AG142">
        <f>IF(VLOOKUP(AG$1,main!$A$3:$I$56,5,FALSE)-VLOOKUP($A142,main!$A$3:$I$56,6,FALSE)&gt;=VLOOKUP(57,main!$A$57:$I$59,4,FALSE)+VLOOKUP(VLOOKUP(AG$1,main!$A$3:$I$56,7,FALSE),main!$K$10:$Q$14,5,FALSE),1,0)</f>
        <v>0</v>
      </c>
      <c r="AH142">
        <f>IF(VLOOKUP(AH$1,main!$A$3:$I$56,5,FALSE)-VLOOKUP($A142,main!$A$3:$I$56,6,FALSE)&gt;=VLOOKUP(57,main!$A$57:$I$59,4,FALSE)+VLOOKUP(VLOOKUP(AH$1,main!$A$3:$I$56,7,FALSE),main!$K$10:$Q$14,5,FALSE),1,0)</f>
        <v>0</v>
      </c>
      <c r="AI142">
        <f>IF(VLOOKUP(AI$1,main!$A$3:$I$56,5,FALSE)-VLOOKUP($A142,main!$A$3:$I$56,6,FALSE)&gt;=VLOOKUP(57,main!$A$57:$I$59,4,FALSE)+VLOOKUP(VLOOKUP(AI$1,main!$A$3:$I$56,7,FALSE),main!$K$10:$Q$14,5,FALSE),1,0)</f>
        <v>0</v>
      </c>
      <c r="AJ142">
        <f>IF(VLOOKUP(AJ$1,main!$A$3:$I$56,5,FALSE)-VLOOKUP($A142,main!$A$3:$I$56,6,FALSE)&gt;=VLOOKUP(57,main!$A$57:$I$59,4,FALSE)+VLOOKUP(VLOOKUP(AJ$1,main!$A$3:$I$56,7,FALSE),main!$K$10:$Q$14,5,FALSE),1,0)</f>
        <v>0</v>
      </c>
      <c r="AK142">
        <f>IF(VLOOKUP(AK$1,main!$A$3:$I$56,5,FALSE)-VLOOKUP($A142,main!$A$3:$I$56,6,FALSE)&gt;=VLOOKUP(57,main!$A$57:$I$59,4,FALSE)+VLOOKUP(VLOOKUP(AK$1,main!$A$3:$I$56,7,FALSE),main!$K$10:$Q$14,5,FALSE),1,0)</f>
        <v>0</v>
      </c>
      <c r="AL142">
        <f>IF(VLOOKUP(AL$1,main!$A$3:$I$56,5,FALSE)-VLOOKUP($A142,main!$A$3:$I$56,6,FALSE)&gt;=VLOOKUP(57,main!$A$57:$I$59,4,FALSE)+VLOOKUP(VLOOKUP(AL$1,main!$A$3:$I$56,7,FALSE),main!$K$10:$Q$14,5,FALSE),1,0)</f>
        <v>0</v>
      </c>
      <c r="AM142">
        <f>IF(VLOOKUP(AM$1,main!$A$3:$I$56,5,FALSE)-VLOOKUP($A142,main!$A$3:$I$56,6,FALSE)&gt;=VLOOKUP(57,main!$A$57:$I$59,4,FALSE)+VLOOKUP(VLOOKUP(AM$1,main!$A$3:$I$56,7,FALSE),main!$K$10:$Q$14,5,FALSE),1,0)</f>
        <v>0</v>
      </c>
      <c r="AN142">
        <f>IF(VLOOKUP(AN$1,main!$A$3:$I$56,5,FALSE)-VLOOKUP($A142,main!$A$3:$I$56,6,FALSE)&gt;=VLOOKUP(57,main!$A$57:$I$59,4,FALSE)+VLOOKUP(VLOOKUP(AN$1,main!$A$3:$I$56,7,FALSE),main!$K$10:$Q$14,5,FALSE),1,0)</f>
        <v>0</v>
      </c>
      <c r="AO142">
        <f>IF(VLOOKUP(AO$1,main!$A$3:$I$56,5,FALSE)-VLOOKUP($A142,main!$A$3:$I$56,6,FALSE)&gt;=VLOOKUP(57,main!$A$57:$I$59,4,FALSE)+VLOOKUP(VLOOKUP(AO$1,main!$A$3:$I$56,7,FALSE),main!$K$10:$Q$14,5,FALSE),1,0)</f>
        <v>0</v>
      </c>
      <c r="AP142">
        <f>IF(VLOOKUP(AP$1,main!$A$3:$I$56,5,FALSE)-VLOOKUP($A142,main!$A$3:$I$56,6,FALSE)&gt;=VLOOKUP(57,main!$A$57:$I$59,4,FALSE)+VLOOKUP(VLOOKUP(AP$1,main!$A$3:$I$56,7,FALSE),main!$K$10:$Q$14,5,FALSE),1,0)</f>
        <v>0</v>
      </c>
      <c r="AQ142">
        <f>IF(VLOOKUP(AQ$1,main!$A$3:$I$56,5,FALSE)-VLOOKUP($A142,main!$A$3:$I$56,6,FALSE)&gt;=VLOOKUP(57,main!$A$57:$I$59,4,FALSE)+VLOOKUP(VLOOKUP(AQ$1,main!$A$3:$I$56,7,FALSE),main!$K$10:$Q$14,5,FALSE),1,0)</f>
        <v>0</v>
      </c>
      <c r="AR142">
        <f>IF(VLOOKUP(AR$1,main!$A$3:$I$56,5,FALSE)-VLOOKUP($A142,main!$A$3:$I$56,6,FALSE)&gt;=VLOOKUP(57,main!$A$57:$I$59,4,FALSE)+VLOOKUP(VLOOKUP(AR$1,main!$A$3:$I$56,7,FALSE),main!$K$10:$Q$14,5,FALSE),1,0)</f>
        <v>0</v>
      </c>
      <c r="AS142">
        <f>IF(VLOOKUP(AS$1,main!$A$3:$I$56,5,FALSE)-VLOOKUP($A142,main!$A$3:$I$56,6,FALSE)&gt;=VLOOKUP(57,main!$A$57:$I$59,4,FALSE)+VLOOKUP(VLOOKUP(AS$1,main!$A$3:$I$56,7,FALSE),main!$K$10:$Q$14,5,FALSE),1,0)</f>
        <v>0</v>
      </c>
      <c r="AT142">
        <f>IF(VLOOKUP(AT$1,main!$A$3:$I$56,5,FALSE)-VLOOKUP($A142,main!$A$3:$I$56,6,FALSE)&gt;=VLOOKUP(57,main!$A$57:$I$59,4,FALSE)+VLOOKUP(VLOOKUP(AT$1,main!$A$3:$I$56,7,FALSE),main!$K$10:$Q$14,5,FALSE),1,0)</f>
        <v>0</v>
      </c>
      <c r="AU142">
        <f>IF(VLOOKUP(AU$1,main!$A$3:$I$56,5,FALSE)-VLOOKUP($A142,main!$A$3:$I$56,6,FALSE)&gt;=VLOOKUP(57,main!$A$57:$I$59,4,FALSE)+VLOOKUP(VLOOKUP(AU$1,main!$A$3:$I$56,7,FALSE),main!$K$10:$Q$14,5,FALSE),1,0)</f>
        <v>0</v>
      </c>
      <c r="AV142">
        <f>IF(VLOOKUP(AV$1,main!$A$3:$I$56,5,FALSE)-VLOOKUP($A142,main!$A$3:$I$56,6,FALSE)&gt;=VLOOKUP(57,main!$A$57:$I$59,4,FALSE)+VLOOKUP(VLOOKUP(AV$1,main!$A$3:$I$56,7,FALSE),main!$K$10:$Q$14,5,FALSE),1,0)</f>
        <v>0</v>
      </c>
      <c r="AW142">
        <f>IF(VLOOKUP(AW$1,main!$A$3:$I$56,5,FALSE)-VLOOKUP($A142,main!$A$3:$I$56,6,FALSE)&gt;=VLOOKUP(57,main!$A$57:$I$59,4,FALSE)+VLOOKUP(VLOOKUP(AW$1,main!$A$3:$I$56,7,FALSE),main!$K$10:$Q$14,5,FALSE),1,0)</f>
        <v>0</v>
      </c>
      <c r="AX142">
        <f>IF(VLOOKUP(AX$1,main!$A$3:$I$56,5,FALSE)-VLOOKUP($A142,main!$A$3:$I$56,6,FALSE)&gt;=VLOOKUP(57,main!$A$57:$I$59,4,FALSE)+VLOOKUP(VLOOKUP(AX$1,main!$A$3:$I$56,7,FALSE),main!$K$10:$Q$14,5,FALSE),1,0)</f>
        <v>0</v>
      </c>
      <c r="AY142">
        <f>IF(VLOOKUP(AY$1,main!$A$3:$I$56,5,FALSE)-VLOOKUP($A142,main!$A$3:$I$56,6,FALSE)&gt;=VLOOKUP(57,main!$A$57:$I$59,4,FALSE)+VLOOKUP(VLOOKUP(AY$1,main!$A$3:$I$56,7,FALSE),main!$K$10:$Q$14,5,FALSE),1,0)</f>
        <v>0</v>
      </c>
      <c r="AZ142">
        <f>IF(VLOOKUP(AZ$1,main!$A$3:$I$56,5,FALSE)-VLOOKUP($A142,main!$A$3:$I$56,6,FALSE)&gt;=VLOOKUP(57,main!$A$57:$I$59,4,FALSE)+VLOOKUP(VLOOKUP(AZ$1,main!$A$3:$I$56,7,FALSE),main!$K$10:$Q$14,5,FALSE),1,0)</f>
        <v>0</v>
      </c>
      <c r="BA142">
        <f>IF(VLOOKUP(BA$1,main!$A$3:$I$56,5,FALSE)-VLOOKUP($A142,main!$A$3:$I$56,6,FALSE)&gt;=VLOOKUP(57,main!$A$57:$I$59,4,FALSE)+VLOOKUP(VLOOKUP(BA$1,main!$A$3:$I$56,7,FALSE),main!$K$10:$Q$14,5,FALSE),1,0)</f>
        <v>0</v>
      </c>
      <c r="BB142">
        <f>IF(VLOOKUP(BB$1,main!$A$3:$I$56,5,FALSE)-VLOOKUP($A142,main!$A$3:$I$56,6,FALSE)&gt;=VLOOKUP(57,main!$A$57:$I$59,4,FALSE)+VLOOKUP(VLOOKUP(BB$1,main!$A$3:$I$56,7,FALSE),main!$K$10:$Q$14,5,FALSE),1,0)</f>
        <v>0</v>
      </c>
      <c r="BC142">
        <f>IF(VLOOKUP(BC$1,main!$A$3:$I$56,5,FALSE)-VLOOKUP($A142,main!$A$3:$I$56,6,FALSE)&gt;=VLOOKUP(57,main!$A$57:$I$59,4,FALSE)+VLOOKUP(VLOOKUP(BC$1,main!$A$3:$I$56,7,FALSE),main!$K$10:$Q$14,5,FALSE),1,0)</f>
        <v>0</v>
      </c>
      <c r="BD142">
        <f>IF(VLOOKUP(BD$1,main!$A$3:$I$56,5,FALSE)-VLOOKUP($A142,main!$A$3:$I$56,6,FALSE)&gt;=VLOOKUP(57,main!$A$57:$I$59,4,FALSE)+VLOOKUP(VLOOKUP(BD$1,main!$A$3:$I$56,7,FALSE),main!$K$10:$Q$14,5,FALSE),1,0)</f>
        <v>0</v>
      </c>
    </row>
    <row r="143" spans="1:56" x14ac:dyDescent="0.25">
      <c r="A143">
        <f t="shared" si="2"/>
        <v>31</v>
      </c>
      <c r="B143">
        <v>0</v>
      </c>
      <c r="C143">
        <f>IF(VLOOKUP(C$1,main!$A$3:$I$56,5,FALSE)-VLOOKUP($A143,main!$A$3:$I$56,6,FALSE)&gt;=VLOOKUP(57,main!$A$57:$I$59,4,FALSE)+VLOOKUP(VLOOKUP(C$1,main!$A$3:$I$56,7,FALSE),main!$K$10:$Q$14,5,FALSE),1,0)</f>
        <v>0</v>
      </c>
      <c r="D143">
        <f>IF(VLOOKUP(D$1,main!$A$3:$I$56,5,FALSE)-VLOOKUP($A143,main!$A$3:$I$56,6,FALSE)&gt;=VLOOKUP(57,main!$A$57:$I$59,4,FALSE)+VLOOKUP(VLOOKUP(D$1,main!$A$3:$I$56,7,FALSE),main!$K$10:$Q$14,5,FALSE),1,0)</f>
        <v>0</v>
      </c>
      <c r="E143">
        <f>IF(VLOOKUP(E$1,main!$A$3:$I$56,5,FALSE)-VLOOKUP($A143,main!$A$3:$I$56,6,FALSE)&gt;=VLOOKUP(57,main!$A$57:$I$59,4,FALSE)+VLOOKUP(VLOOKUP(E$1,main!$A$3:$I$56,7,FALSE),main!$K$10:$Q$14,5,FALSE),1,0)</f>
        <v>0</v>
      </c>
      <c r="F143">
        <f>IF(VLOOKUP(F$1,main!$A$3:$I$56,5,FALSE)-VLOOKUP($A143,main!$A$3:$I$56,6,FALSE)&gt;=VLOOKUP(57,main!$A$57:$I$59,4,FALSE)+VLOOKUP(VLOOKUP(F$1,main!$A$3:$I$56,7,FALSE),main!$K$10:$Q$14,5,FALSE),1,0)</f>
        <v>1</v>
      </c>
      <c r="G143">
        <f>IF(VLOOKUP(G$1,main!$A$3:$I$56,5,FALSE)-VLOOKUP($A143,main!$A$3:$I$56,6,FALSE)&gt;=VLOOKUP(57,main!$A$57:$I$59,4,FALSE)+VLOOKUP(VLOOKUP(G$1,main!$A$3:$I$56,7,FALSE),main!$K$10:$Q$14,5,FALSE),1,0)</f>
        <v>1</v>
      </c>
      <c r="H143">
        <f>IF(VLOOKUP(H$1,main!$A$3:$I$56,5,FALSE)-VLOOKUP($A143,main!$A$3:$I$56,6,FALSE)&gt;=VLOOKUP(57,main!$A$57:$I$59,4,FALSE)+VLOOKUP(VLOOKUP(H$1,main!$A$3:$I$56,7,FALSE),main!$K$10:$Q$14,5,FALSE),1,0)</f>
        <v>1</v>
      </c>
      <c r="I143">
        <f>IF(VLOOKUP(I$1,main!$A$3:$I$56,5,FALSE)-VLOOKUP($A143,main!$A$3:$I$56,6,FALSE)&gt;=VLOOKUP(57,main!$A$57:$I$59,4,FALSE)+VLOOKUP(VLOOKUP(I$1,main!$A$3:$I$56,7,FALSE),main!$K$10:$Q$14,5,FALSE),1,0)</f>
        <v>1</v>
      </c>
      <c r="J143">
        <f>IF(VLOOKUP(J$1,main!$A$3:$I$56,5,FALSE)-VLOOKUP($A143,main!$A$3:$I$56,6,FALSE)&gt;=VLOOKUP(57,main!$A$57:$I$59,4,FALSE)+VLOOKUP(VLOOKUP(J$1,main!$A$3:$I$56,7,FALSE),main!$K$10:$Q$14,5,FALSE),1,0)</f>
        <v>1</v>
      </c>
      <c r="K143">
        <f>IF(VLOOKUP(K$1,main!$A$3:$I$56,5,FALSE)-VLOOKUP($A143,main!$A$3:$I$56,6,FALSE)&gt;=VLOOKUP(57,main!$A$57:$I$59,4,FALSE)+VLOOKUP(VLOOKUP(K$1,main!$A$3:$I$56,7,FALSE),main!$K$10:$Q$14,5,FALSE),1,0)</f>
        <v>0</v>
      </c>
      <c r="L143">
        <f>IF(VLOOKUP(L$1,main!$A$3:$I$56,5,FALSE)-VLOOKUP($A143,main!$A$3:$I$56,6,FALSE)&gt;=VLOOKUP(57,main!$A$57:$I$59,4,FALSE)+VLOOKUP(VLOOKUP(L$1,main!$A$3:$I$56,7,FALSE),main!$K$10:$Q$14,5,FALSE),1,0)</f>
        <v>0</v>
      </c>
      <c r="M143">
        <f>IF(VLOOKUP(M$1,main!$A$3:$I$56,5,FALSE)-VLOOKUP($A143,main!$A$3:$I$56,6,FALSE)&gt;=VLOOKUP(57,main!$A$57:$I$59,4,FALSE)+VLOOKUP(VLOOKUP(M$1,main!$A$3:$I$56,7,FALSE),main!$K$10:$Q$14,5,FALSE),1,0)</f>
        <v>0</v>
      </c>
      <c r="N143">
        <f>IF(VLOOKUP(N$1,main!$A$3:$I$56,5,FALSE)-VLOOKUP($A143,main!$A$3:$I$56,6,FALSE)&gt;=VLOOKUP(57,main!$A$57:$I$59,4,FALSE)+VLOOKUP(VLOOKUP(N$1,main!$A$3:$I$56,7,FALSE),main!$K$10:$Q$14,5,FALSE),1,0)</f>
        <v>1</v>
      </c>
      <c r="O143">
        <f>IF(VLOOKUP(O$1,main!$A$3:$I$56,5,FALSE)-VLOOKUP($A143,main!$A$3:$I$56,6,FALSE)&gt;=VLOOKUP(57,main!$A$57:$I$59,4,FALSE)+VLOOKUP(VLOOKUP(O$1,main!$A$3:$I$56,7,FALSE),main!$K$10:$Q$14,5,FALSE),1,0)</f>
        <v>1</v>
      </c>
      <c r="P143">
        <f>IF(VLOOKUP(P$1,main!$A$3:$I$56,5,FALSE)-VLOOKUP($A143,main!$A$3:$I$56,6,FALSE)&gt;=VLOOKUP(57,main!$A$57:$I$59,4,FALSE)+VLOOKUP(VLOOKUP(P$1,main!$A$3:$I$56,7,FALSE),main!$K$10:$Q$14,5,FALSE),1,0)</f>
        <v>0</v>
      </c>
      <c r="Q143">
        <f>IF(VLOOKUP(Q$1,main!$A$3:$I$56,5,FALSE)-VLOOKUP($A143,main!$A$3:$I$56,6,FALSE)&gt;=VLOOKUP(57,main!$A$57:$I$59,4,FALSE)+VLOOKUP(VLOOKUP(Q$1,main!$A$3:$I$56,7,FALSE),main!$K$10:$Q$14,5,FALSE),1,0)</f>
        <v>0</v>
      </c>
      <c r="R143">
        <f>IF(VLOOKUP(R$1,main!$A$3:$I$56,5,FALSE)-VLOOKUP($A143,main!$A$3:$I$56,6,FALSE)&gt;=VLOOKUP(57,main!$A$57:$I$59,4,FALSE)+VLOOKUP(VLOOKUP(R$1,main!$A$3:$I$56,7,FALSE),main!$K$10:$Q$14,5,FALSE),1,0)</f>
        <v>0</v>
      </c>
      <c r="S143">
        <f>IF(VLOOKUP(S$1,main!$A$3:$I$56,5,FALSE)-VLOOKUP($A143,main!$A$3:$I$56,6,FALSE)&gt;=VLOOKUP(57,main!$A$57:$I$59,4,FALSE)+VLOOKUP(VLOOKUP(S$1,main!$A$3:$I$56,7,FALSE),main!$K$10:$Q$14,5,FALSE),1,0)</f>
        <v>1</v>
      </c>
      <c r="T143">
        <f>IF(VLOOKUP(T$1,main!$A$3:$I$56,5,FALSE)-VLOOKUP($A143,main!$A$3:$I$56,6,FALSE)&gt;=VLOOKUP(57,main!$A$57:$I$59,4,FALSE)+VLOOKUP(VLOOKUP(T$1,main!$A$3:$I$56,7,FALSE),main!$K$10:$Q$14,5,FALSE),1,0)</f>
        <v>1</v>
      </c>
      <c r="U143">
        <f>IF(VLOOKUP(U$1,main!$A$3:$I$56,5,FALSE)-VLOOKUP($A143,main!$A$3:$I$56,6,FALSE)&gt;=VLOOKUP(57,main!$A$57:$I$59,4,FALSE)+VLOOKUP(VLOOKUP(U$1,main!$A$3:$I$56,7,FALSE),main!$K$10:$Q$14,5,FALSE),1,0)</f>
        <v>0</v>
      </c>
      <c r="V143">
        <f>IF(VLOOKUP(V$1,main!$A$3:$I$56,5,FALSE)-VLOOKUP($A143,main!$A$3:$I$56,6,FALSE)&gt;=VLOOKUP(57,main!$A$57:$I$59,4,FALSE)+VLOOKUP(VLOOKUP(V$1,main!$A$3:$I$56,7,FALSE),main!$K$10:$Q$14,5,FALSE),1,0)</f>
        <v>0</v>
      </c>
      <c r="W143">
        <f>IF(VLOOKUP(W$1,main!$A$3:$I$56,5,FALSE)-VLOOKUP($A143,main!$A$3:$I$56,6,FALSE)&gt;=VLOOKUP(57,main!$A$57:$I$59,4,FALSE)+VLOOKUP(VLOOKUP(W$1,main!$A$3:$I$56,7,FALSE),main!$K$10:$Q$14,5,FALSE),1,0)</f>
        <v>0</v>
      </c>
      <c r="X143">
        <f>IF(VLOOKUP(X$1,main!$A$3:$I$56,5,FALSE)-VLOOKUP($A143,main!$A$3:$I$56,6,FALSE)&gt;=VLOOKUP(57,main!$A$57:$I$59,4,FALSE)+VLOOKUP(VLOOKUP(X$1,main!$A$3:$I$56,7,FALSE),main!$K$10:$Q$14,5,FALSE),1,0)</f>
        <v>1</v>
      </c>
      <c r="Y143">
        <f>IF(VLOOKUP(Y$1,main!$A$3:$I$56,5,FALSE)-VLOOKUP($A143,main!$A$3:$I$56,6,FALSE)&gt;=VLOOKUP(57,main!$A$57:$I$59,4,FALSE)+VLOOKUP(VLOOKUP(Y$1,main!$A$3:$I$56,7,FALSE),main!$K$10:$Q$14,5,FALSE),1,0)</f>
        <v>1</v>
      </c>
      <c r="Z143">
        <f>IF(VLOOKUP(Z$1,main!$A$3:$I$56,5,FALSE)-VLOOKUP($A143,main!$A$3:$I$56,6,FALSE)&gt;=VLOOKUP(57,main!$A$57:$I$59,4,FALSE)+VLOOKUP(VLOOKUP(Z$1,main!$A$3:$I$56,7,FALSE),main!$K$10:$Q$14,5,FALSE),1,0)</f>
        <v>1</v>
      </c>
      <c r="AA143">
        <f>IF(VLOOKUP(AA$1,main!$A$3:$I$56,5,FALSE)-VLOOKUP($A143,main!$A$3:$I$56,6,FALSE)&gt;=VLOOKUP(57,main!$A$57:$I$59,4,FALSE)+VLOOKUP(VLOOKUP(AA$1,main!$A$3:$I$56,7,FALSE),main!$K$10:$Q$14,5,FALSE),1,0)</f>
        <v>1</v>
      </c>
      <c r="AB143">
        <f>IF(VLOOKUP(AB$1,main!$A$3:$I$56,5,FALSE)-VLOOKUP($A143,main!$A$3:$I$56,6,FALSE)&gt;=VLOOKUP(57,main!$A$57:$I$59,4,FALSE)+VLOOKUP(VLOOKUP(AB$1,main!$A$3:$I$56,7,FALSE),main!$K$10:$Q$14,5,FALSE),1,0)</f>
        <v>1</v>
      </c>
      <c r="AC143">
        <f>IF(VLOOKUP(AC$1,main!$A$3:$I$56,5,FALSE)-VLOOKUP($A143,main!$A$3:$I$56,6,FALSE)&gt;=VLOOKUP(57,main!$A$57:$I$59,4,FALSE)+VLOOKUP(VLOOKUP(AC$1,main!$A$3:$I$56,7,FALSE),main!$K$10:$Q$14,5,FALSE),1,0)</f>
        <v>0</v>
      </c>
      <c r="AD143">
        <f>IF(VLOOKUP(AD$1,main!$A$3:$I$56,5,FALSE)-VLOOKUP($A143,main!$A$3:$I$56,6,FALSE)&gt;=VLOOKUP(57,main!$A$57:$I$59,4,FALSE)+VLOOKUP(VLOOKUP(AD$1,main!$A$3:$I$56,7,FALSE),main!$K$10:$Q$14,5,FALSE),1,0)</f>
        <v>0</v>
      </c>
      <c r="AE143">
        <f>IF(VLOOKUP(AE$1,main!$A$3:$I$56,5,FALSE)-VLOOKUP($A143,main!$A$3:$I$56,6,FALSE)&gt;=VLOOKUP(57,main!$A$57:$I$59,4,FALSE)+VLOOKUP(VLOOKUP(AE$1,main!$A$3:$I$56,7,FALSE),main!$K$10:$Q$14,5,FALSE),1,0)</f>
        <v>1</v>
      </c>
      <c r="AF143">
        <f>IF(VLOOKUP(AF$1,main!$A$3:$I$56,5,FALSE)-VLOOKUP($A143,main!$A$3:$I$56,6,FALSE)&gt;=VLOOKUP(57,main!$A$57:$I$59,4,FALSE)+VLOOKUP(VLOOKUP(AF$1,main!$A$3:$I$56,7,FALSE),main!$K$10:$Q$14,5,FALSE),1,0)</f>
        <v>1</v>
      </c>
      <c r="AG143">
        <f>IF(VLOOKUP(AG$1,main!$A$3:$I$56,5,FALSE)-VLOOKUP($A143,main!$A$3:$I$56,6,FALSE)&gt;=VLOOKUP(57,main!$A$57:$I$59,4,FALSE)+VLOOKUP(VLOOKUP(AG$1,main!$A$3:$I$56,7,FALSE),main!$K$10:$Q$14,5,FALSE),1,0)</f>
        <v>0</v>
      </c>
      <c r="AH143">
        <f>IF(VLOOKUP(AH$1,main!$A$3:$I$56,5,FALSE)-VLOOKUP($A143,main!$A$3:$I$56,6,FALSE)&gt;=VLOOKUP(57,main!$A$57:$I$59,4,FALSE)+VLOOKUP(VLOOKUP(AH$1,main!$A$3:$I$56,7,FALSE),main!$K$10:$Q$14,5,FALSE),1,0)</f>
        <v>0</v>
      </c>
      <c r="AI143">
        <f>IF(VLOOKUP(AI$1,main!$A$3:$I$56,5,FALSE)-VLOOKUP($A143,main!$A$3:$I$56,6,FALSE)&gt;=VLOOKUP(57,main!$A$57:$I$59,4,FALSE)+VLOOKUP(VLOOKUP(AI$1,main!$A$3:$I$56,7,FALSE),main!$K$10:$Q$14,5,FALSE),1,0)</f>
        <v>0</v>
      </c>
      <c r="AJ143">
        <f>IF(VLOOKUP(AJ$1,main!$A$3:$I$56,5,FALSE)-VLOOKUP($A143,main!$A$3:$I$56,6,FALSE)&gt;=VLOOKUP(57,main!$A$57:$I$59,4,FALSE)+VLOOKUP(VLOOKUP(AJ$1,main!$A$3:$I$56,7,FALSE),main!$K$10:$Q$14,5,FALSE),1,0)</f>
        <v>1</v>
      </c>
      <c r="AK143">
        <f>IF(VLOOKUP(AK$1,main!$A$3:$I$56,5,FALSE)-VLOOKUP($A143,main!$A$3:$I$56,6,FALSE)&gt;=VLOOKUP(57,main!$A$57:$I$59,4,FALSE)+VLOOKUP(VLOOKUP(AK$1,main!$A$3:$I$56,7,FALSE),main!$K$10:$Q$14,5,FALSE),1,0)</f>
        <v>1</v>
      </c>
      <c r="AL143">
        <f>IF(VLOOKUP(AL$1,main!$A$3:$I$56,5,FALSE)-VLOOKUP($A143,main!$A$3:$I$56,6,FALSE)&gt;=VLOOKUP(57,main!$A$57:$I$59,4,FALSE)+VLOOKUP(VLOOKUP(AL$1,main!$A$3:$I$56,7,FALSE),main!$K$10:$Q$14,5,FALSE),1,0)</f>
        <v>0</v>
      </c>
      <c r="AM143">
        <f>IF(VLOOKUP(AM$1,main!$A$3:$I$56,5,FALSE)-VLOOKUP($A143,main!$A$3:$I$56,6,FALSE)&gt;=VLOOKUP(57,main!$A$57:$I$59,4,FALSE)+VLOOKUP(VLOOKUP(AM$1,main!$A$3:$I$56,7,FALSE),main!$K$10:$Q$14,5,FALSE),1,0)</f>
        <v>0</v>
      </c>
      <c r="AN143">
        <f>IF(VLOOKUP(AN$1,main!$A$3:$I$56,5,FALSE)-VLOOKUP($A143,main!$A$3:$I$56,6,FALSE)&gt;=VLOOKUP(57,main!$A$57:$I$59,4,FALSE)+VLOOKUP(VLOOKUP(AN$1,main!$A$3:$I$56,7,FALSE),main!$K$10:$Q$14,5,FALSE),1,0)</f>
        <v>0</v>
      </c>
      <c r="AO143">
        <f>IF(VLOOKUP(AO$1,main!$A$3:$I$56,5,FALSE)-VLOOKUP($A143,main!$A$3:$I$56,6,FALSE)&gt;=VLOOKUP(57,main!$A$57:$I$59,4,FALSE)+VLOOKUP(VLOOKUP(AO$1,main!$A$3:$I$56,7,FALSE),main!$K$10:$Q$14,5,FALSE),1,0)</f>
        <v>1</v>
      </c>
      <c r="AP143">
        <f>IF(VLOOKUP(AP$1,main!$A$3:$I$56,5,FALSE)-VLOOKUP($A143,main!$A$3:$I$56,6,FALSE)&gt;=VLOOKUP(57,main!$A$57:$I$59,4,FALSE)+VLOOKUP(VLOOKUP(AP$1,main!$A$3:$I$56,7,FALSE),main!$K$10:$Q$14,5,FALSE),1,0)</f>
        <v>0</v>
      </c>
      <c r="AQ143">
        <f>IF(VLOOKUP(AQ$1,main!$A$3:$I$56,5,FALSE)-VLOOKUP($A143,main!$A$3:$I$56,6,FALSE)&gt;=VLOOKUP(57,main!$A$57:$I$59,4,FALSE)+VLOOKUP(VLOOKUP(AQ$1,main!$A$3:$I$56,7,FALSE),main!$K$10:$Q$14,5,FALSE),1,0)</f>
        <v>0</v>
      </c>
      <c r="AR143">
        <f>IF(VLOOKUP(AR$1,main!$A$3:$I$56,5,FALSE)-VLOOKUP($A143,main!$A$3:$I$56,6,FALSE)&gt;=VLOOKUP(57,main!$A$57:$I$59,4,FALSE)+VLOOKUP(VLOOKUP(AR$1,main!$A$3:$I$56,7,FALSE),main!$K$10:$Q$14,5,FALSE),1,0)</f>
        <v>0</v>
      </c>
      <c r="AS143">
        <f>IF(VLOOKUP(AS$1,main!$A$3:$I$56,5,FALSE)-VLOOKUP($A143,main!$A$3:$I$56,6,FALSE)&gt;=VLOOKUP(57,main!$A$57:$I$59,4,FALSE)+VLOOKUP(VLOOKUP(AS$1,main!$A$3:$I$56,7,FALSE),main!$K$10:$Q$14,5,FALSE),1,0)</f>
        <v>0</v>
      </c>
      <c r="AT143">
        <f>IF(VLOOKUP(AT$1,main!$A$3:$I$56,5,FALSE)-VLOOKUP($A143,main!$A$3:$I$56,6,FALSE)&gt;=VLOOKUP(57,main!$A$57:$I$59,4,FALSE)+VLOOKUP(VLOOKUP(AT$1,main!$A$3:$I$56,7,FALSE),main!$K$10:$Q$14,5,FALSE),1,0)</f>
        <v>0</v>
      </c>
      <c r="AU143">
        <f>IF(VLOOKUP(AU$1,main!$A$3:$I$56,5,FALSE)-VLOOKUP($A143,main!$A$3:$I$56,6,FALSE)&gt;=VLOOKUP(57,main!$A$57:$I$59,4,FALSE)+VLOOKUP(VLOOKUP(AU$1,main!$A$3:$I$56,7,FALSE),main!$K$10:$Q$14,5,FALSE),1,0)</f>
        <v>0</v>
      </c>
      <c r="AV143">
        <f>IF(VLOOKUP(AV$1,main!$A$3:$I$56,5,FALSE)-VLOOKUP($A143,main!$A$3:$I$56,6,FALSE)&gt;=VLOOKUP(57,main!$A$57:$I$59,4,FALSE)+VLOOKUP(VLOOKUP(AV$1,main!$A$3:$I$56,7,FALSE),main!$K$10:$Q$14,5,FALSE),1,0)</f>
        <v>0</v>
      </c>
      <c r="AW143">
        <f>IF(VLOOKUP(AW$1,main!$A$3:$I$56,5,FALSE)-VLOOKUP($A143,main!$A$3:$I$56,6,FALSE)&gt;=VLOOKUP(57,main!$A$57:$I$59,4,FALSE)+VLOOKUP(VLOOKUP(AW$1,main!$A$3:$I$56,7,FALSE),main!$K$10:$Q$14,5,FALSE),1,0)</f>
        <v>0</v>
      </c>
      <c r="AX143">
        <f>IF(VLOOKUP(AX$1,main!$A$3:$I$56,5,FALSE)-VLOOKUP($A143,main!$A$3:$I$56,6,FALSE)&gt;=VLOOKUP(57,main!$A$57:$I$59,4,FALSE)+VLOOKUP(VLOOKUP(AX$1,main!$A$3:$I$56,7,FALSE),main!$K$10:$Q$14,5,FALSE),1,0)</f>
        <v>1</v>
      </c>
      <c r="AY143">
        <f>IF(VLOOKUP(AY$1,main!$A$3:$I$56,5,FALSE)-VLOOKUP($A143,main!$A$3:$I$56,6,FALSE)&gt;=VLOOKUP(57,main!$A$57:$I$59,4,FALSE)+VLOOKUP(VLOOKUP(AY$1,main!$A$3:$I$56,7,FALSE),main!$K$10:$Q$14,5,FALSE),1,0)</f>
        <v>1</v>
      </c>
      <c r="AZ143">
        <f>IF(VLOOKUP(AZ$1,main!$A$3:$I$56,5,FALSE)-VLOOKUP($A143,main!$A$3:$I$56,6,FALSE)&gt;=VLOOKUP(57,main!$A$57:$I$59,4,FALSE)+VLOOKUP(VLOOKUP(AZ$1,main!$A$3:$I$56,7,FALSE),main!$K$10:$Q$14,5,FALSE),1,0)</f>
        <v>0</v>
      </c>
      <c r="BA143">
        <f>IF(VLOOKUP(BA$1,main!$A$3:$I$56,5,FALSE)-VLOOKUP($A143,main!$A$3:$I$56,6,FALSE)&gt;=VLOOKUP(57,main!$A$57:$I$59,4,FALSE)+VLOOKUP(VLOOKUP(BA$1,main!$A$3:$I$56,7,FALSE),main!$K$10:$Q$14,5,FALSE),1,0)</f>
        <v>0</v>
      </c>
      <c r="BB143">
        <f>IF(VLOOKUP(BB$1,main!$A$3:$I$56,5,FALSE)-VLOOKUP($A143,main!$A$3:$I$56,6,FALSE)&gt;=VLOOKUP(57,main!$A$57:$I$59,4,FALSE)+VLOOKUP(VLOOKUP(BB$1,main!$A$3:$I$56,7,FALSE),main!$K$10:$Q$14,5,FALSE),1,0)</f>
        <v>0</v>
      </c>
      <c r="BC143">
        <f>IF(VLOOKUP(BC$1,main!$A$3:$I$56,5,FALSE)-VLOOKUP($A143,main!$A$3:$I$56,6,FALSE)&gt;=VLOOKUP(57,main!$A$57:$I$59,4,FALSE)+VLOOKUP(VLOOKUP(BC$1,main!$A$3:$I$56,7,FALSE),main!$K$10:$Q$14,5,FALSE),1,0)</f>
        <v>1</v>
      </c>
      <c r="BD143">
        <f>IF(VLOOKUP(BD$1,main!$A$3:$I$56,5,FALSE)-VLOOKUP($A143,main!$A$3:$I$56,6,FALSE)&gt;=VLOOKUP(57,main!$A$57:$I$59,4,FALSE)+VLOOKUP(VLOOKUP(BD$1,main!$A$3:$I$56,7,FALSE),main!$K$10:$Q$14,5,FALSE),1,0)</f>
        <v>1</v>
      </c>
    </row>
    <row r="144" spans="1:56" x14ac:dyDescent="0.25">
      <c r="A144">
        <f t="shared" si="2"/>
        <v>32</v>
      </c>
      <c r="B144">
        <v>0</v>
      </c>
      <c r="C144">
        <f>IF(VLOOKUP(C$1,main!$A$3:$I$56,5,FALSE)-VLOOKUP($A144,main!$A$3:$I$56,6,FALSE)&gt;=VLOOKUP(57,main!$A$57:$I$59,4,FALSE)+VLOOKUP(VLOOKUP(C$1,main!$A$3:$I$56,7,FALSE),main!$K$10:$Q$14,5,FALSE),1,0)</f>
        <v>0</v>
      </c>
      <c r="D144">
        <f>IF(VLOOKUP(D$1,main!$A$3:$I$56,5,FALSE)-VLOOKUP($A144,main!$A$3:$I$56,6,FALSE)&gt;=VLOOKUP(57,main!$A$57:$I$59,4,FALSE)+VLOOKUP(VLOOKUP(D$1,main!$A$3:$I$56,7,FALSE),main!$K$10:$Q$14,5,FALSE),1,0)</f>
        <v>0</v>
      </c>
      <c r="E144">
        <f>IF(VLOOKUP(E$1,main!$A$3:$I$56,5,FALSE)-VLOOKUP($A144,main!$A$3:$I$56,6,FALSE)&gt;=VLOOKUP(57,main!$A$57:$I$59,4,FALSE)+VLOOKUP(VLOOKUP(E$1,main!$A$3:$I$56,7,FALSE),main!$K$10:$Q$14,5,FALSE),1,0)</f>
        <v>0</v>
      </c>
      <c r="F144">
        <f>IF(VLOOKUP(F$1,main!$A$3:$I$56,5,FALSE)-VLOOKUP($A144,main!$A$3:$I$56,6,FALSE)&gt;=VLOOKUP(57,main!$A$57:$I$59,4,FALSE)+VLOOKUP(VLOOKUP(F$1,main!$A$3:$I$56,7,FALSE),main!$K$10:$Q$14,5,FALSE),1,0)</f>
        <v>0</v>
      </c>
      <c r="G144">
        <f>IF(VLOOKUP(G$1,main!$A$3:$I$56,5,FALSE)-VLOOKUP($A144,main!$A$3:$I$56,6,FALSE)&gt;=VLOOKUP(57,main!$A$57:$I$59,4,FALSE)+VLOOKUP(VLOOKUP(G$1,main!$A$3:$I$56,7,FALSE),main!$K$10:$Q$14,5,FALSE),1,0)</f>
        <v>0</v>
      </c>
      <c r="H144">
        <f>IF(VLOOKUP(H$1,main!$A$3:$I$56,5,FALSE)-VLOOKUP($A144,main!$A$3:$I$56,6,FALSE)&gt;=VLOOKUP(57,main!$A$57:$I$59,4,FALSE)+VLOOKUP(VLOOKUP(H$1,main!$A$3:$I$56,7,FALSE),main!$K$10:$Q$14,5,FALSE),1,0)</f>
        <v>0</v>
      </c>
      <c r="I144">
        <f>IF(VLOOKUP(I$1,main!$A$3:$I$56,5,FALSE)-VLOOKUP($A144,main!$A$3:$I$56,6,FALSE)&gt;=VLOOKUP(57,main!$A$57:$I$59,4,FALSE)+VLOOKUP(VLOOKUP(I$1,main!$A$3:$I$56,7,FALSE),main!$K$10:$Q$14,5,FALSE),1,0)</f>
        <v>1</v>
      </c>
      <c r="J144">
        <f>IF(VLOOKUP(J$1,main!$A$3:$I$56,5,FALSE)-VLOOKUP($A144,main!$A$3:$I$56,6,FALSE)&gt;=VLOOKUP(57,main!$A$57:$I$59,4,FALSE)+VLOOKUP(VLOOKUP(J$1,main!$A$3:$I$56,7,FALSE),main!$K$10:$Q$14,5,FALSE),1,0)</f>
        <v>1</v>
      </c>
      <c r="K144">
        <f>IF(VLOOKUP(K$1,main!$A$3:$I$56,5,FALSE)-VLOOKUP($A144,main!$A$3:$I$56,6,FALSE)&gt;=VLOOKUP(57,main!$A$57:$I$59,4,FALSE)+VLOOKUP(VLOOKUP(K$1,main!$A$3:$I$56,7,FALSE),main!$K$10:$Q$14,5,FALSE),1,0)</f>
        <v>0</v>
      </c>
      <c r="L144">
        <f>IF(VLOOKUP(L$1,main!$A$3:$I$56,5,FALSE)-VLOOKUP($A144,main!$A$3:$I$56,6,FALSE)&gt;=VLOOKUP(57,main!$A$57:$I$59,4,FALSE)+VLOOKUP(VLOOKUP(L$1,main!$A$3:$I$56,7,FALSE),main!$K$10:$Q$14,5,FALSE),1,0)</f>
        <v>0</v>
      </c>
      <c r="M144">
        <f>IF(VLOOKUP(M$1,main!$A$3:$I$56,5,FALSE)-VLOOKUP($A144,main!$A$3:$I$56,6,FALSE)&gt;=VLOOKUP(57,main!$A$57:$I$59,4,FALSE)+VLOOKUP(VLOOKUP(M$1,main!$A$3:$I$56,7,FALSE),main!$K$10:$Q$14,5,FALSE),1,0)</f>
        <v>0</v>
      </c>
      <c r="N144">
        <f>IF(VLOOKUP(N$1,main!$A$3:$I$56,5,FALSE)-VLOOKUP($A144,main!$A$3:$I$56,6,FALSE)&gt;=VLOOKUP(57,main!$A$57:$I$59,4,FALSE)+VLOOKUP(VLOOKUP(N$1,main!$A$3:$I$56,7,FALSE),main!$K$10:$Q$14,5,FALSE),1,0)</f>
        <v>1</v>
      </c>
      <c r="O144">
        <f>IF(VLOOKUP(O$1,main!$A$3:$I$56,5,FALSE)-VLOOKUP($A144,main!$A$3:$I$56,6,FALSE)&gt;=VLOOKUP(57,main!$A$57:$I$59,4,FALSE)+VLOOKUP(VLOOKUP(O$1,main!$A$3:$I$56,7,FALSE),main!$K$10:$Q$14,5,FALSE),1,0)</f>
        <v>1</v>
      </c>
      <c r="P144">
        <f>IF(VLOOKUP(P$1,main!$A$3:$I$56,5,FALSE)-VLOOKUP($A144,main!$A$3:$I$56,6,FALSE)&gt;=VLOOKUP(57,main!$A$57:$I$59,4,FALSE)+VLOOKUP(VLOOKUP(P$1,main!$A$3:$I$56,7,FALSE),main!$K$10:$Q$14,5,FALSE),1,0)</f>
        <v>0</v>
      </c>
      <c r="Q144">
        <f>IF(VLOOKUP(Q$1,main!$A$3:$I$56,5,FALSE)-VLOOKUP($A144,main!$A$3:$I$56,6,FALSE)&gt;=VLOOKUP(57,main!$A$57:$I$59,4,FALSE)+VLOOKUP(VLOOKUP(Q$1,main!$A$3:$I$56,7,FALSE),main!$K$10:$Q$14,5,FALSE),1,0)</f>
        <v>0</v>
      </c>
      <c r="R144">
        <f>IF(VLOOKUP(R$1,main!$A$3:$I$56,5,FALSE)-VLOOKUP($A144,main!$A$3:$I$56,6,FALSE)&gt;=VLOOKUP(57,main!$A$57:$I$59,4,FALSE)+VLOOKUP(VLOOKUP(R$1,main!$A$3:$I$56,7,FALSE),main!$K$10:$Q$14,5,FALSE),1,0)</f>
        <v>0</v>
      </c>
      <c r="S144">
        <f>IF(VLOOKUP(S$1,main!$A$3:$I$56,5,FALSE)-VLOOKUP($A144,main!$A$3:$I$56,6,FALSE)&gt;=VLOOKUP(57,main!$A$57:$I$59,4,FALSE)+VLOOKUP(VLOOKUP(S$1,main!$A$3:$I$56,7,FALSE),main!$K$10:$Q$14,5,FALSE),1,0)</f>
        <v>0</v>
      </c>
      <c r="T144">
        <f>IF(VLOOKUP(T$1,main!$A$3:$I$56,5,FALSE)-VLOOKUP($A144,main!$A$3:$I$56,6,FALSE)&gt;=VLOOKUP(57,main!$A$57:$I$59,4,FALSE)+VLOOKUP(VLOOKUP(T$1,main!$A$3:$I$56,7,FALSE),main!$K$10:$Q$14,5,FALSE),1,0)</f>
        <v>1</v>
      </c>
      <c r="U144">
        <f>IF(VLOOKUP(U$1,main!$A$3:$I$56,5,FALSE)-VLOOKUP($A144,main!$A$3:$I$56,6,FALSE)&gt;=VLOOKUP(57,main!$A$57:$I$59,4,FALSE)+VLOOKUP(VLOOKUP(U$1,main!$A$3:$I$56,7,FALSE),main!$K$10:$Q$14,5,FALSE),1,0)</f>
        <v>0</v>
      </c>
      <c r="V144">
        <f>IF(VLOOKUP(V$1,main!$A$3:$I$56,5,FALSE)-VLOOKUP($A144,main!$A$3:$I$56,6,FALSE)&gt;=VLOOKUP(57,main!$A$57:$I$59,4,FALSE)+VLOOKUP(VLOOKUP(V$1,main!$A$3:$I$56,7,FALSE),main!$K$10:$Q$14,5,FALSE),1,0)</f>
        <v>0</v>
      </c>
      <c r="W144">
        <f>IF(VLOOKUP(W$1,main!$A$3:$I$56,5,FALSE)-VLOOKUP($A144,main!$A$3:$I$56,6,FALSE)&gt;=VLOOKUP(57,main!$A$57:$I$59,4,FALSE)+VLOOKUP(VLOOKUP(W$1,main!$A$3:$I$56,7,FALSE),main!$K$10:$Q$14,5,FALSE),1,0)</f>
        <v>0</v>
      </c>
      <c r="X144">
        <f>IF(VLOOKUP(X$1,main!$A$3:$I$56,5,FALSE)-VLOOKUP($A144,main!$A$3:$I$56,6,FALSE)&gt;=VLOOKUP(57,main!$A$57:$I$59,4,FALSE)+VLOOKUP(VLOOKUP(X$1,main!$A$3:$I$56,7,FALSE),main!$K$10:$Q$14,5,FALSE),1,0)</f>
        <v>0</v>
      </c>
      <c r="Y144">
        <f>IF(VLOOKUP(Y$1,main!$A$3:$I$56,5,FALSE)-VLOOKUP($A144,main!$A$3:$I$56,6,FALSE)&gt;=VLOOKUP(57,main!$A$57:$I$59,4,FALSE)+VLOOKUP(VLOOKUP(Y$1,main!$A$3:$I$56,7,FALSE),main!$K$10:$Q$14,5,FALSE),1,0)</f>
        <v>0</v>
      </c>
      <c r="Z144">
        <f>IF(VLOOKUP(Z$1,main!$A$3:$I$56,5,FALSE)-VLOOKUP($A144,main!$A$3:$I$56,6,FALSE)&gt;=VLOOKUP(57,main!$A$57:$I$59,4,FALSE)+VLOOKUP(VLOOKUP(Z$1,main!$A$3:$I$56,7,FALSE),main!$K$10:$Q$14,5,FALSE),1,0)</f>
        <v>1</v>
      </c>
      <c r="AA144">
        <f>IF(VLOOKUP(AA$1,main!$A$3:$I$56,5,FALSE)-VLOOKUP($A144,main!$A$3:$I$56,6,FALSE)&gt;=VLOOKUP(57,main!$A$57:$I$59,4,FALSE)+VLOOKUP(VLOOKUP(AA$1,main!$A$3:$I$56,7,FALSE),main!$K$10:$Q$14,5,FALSE),1,0)</f>
        <v>1</v>
      </c>
      <c r="AB144">
        <f>IF(VLOOKUP(AB$1,main!$A$3:$I$56,5,FALSE)-VLOOKUP($A144,main!$A$3:$I$56,6,FALSE)&gt;=VLOOKUP(57,main!$A$57:$I$59,4,FALSE)+VLOOKUP(VLOOKUP(AB$1,main!$A$3:$I$56,7,FALSE),main!$K$10:$Q$14,5,FALSE),1,0)</f>
        <v>1</v>
      </c>
      <c r="AC144">
        <f>IF(VLOOKUP(AC$1,main!$A$3:$I$56,5,FALSE)-VLOOKUP($A144,main!$A$3:$I$56,6,FALSE)&gt;=VLOOKUP(57,main!$A$57:$I$59,4,FALSE)+VLOOKUP(VLOOKUP(AC$1,main!$A$3:$I$56,7,FALSE),main!$K$10:$Q$14,5,FALSE),1,0)</f>
        <v>0</v>
      </c>
      <c r="AD144">
        <f>IF(VLOOKUP(AD$1,main!$A$3:$I$56,5,FALSE)-VLOOKUP($A144,main!$A$3:$I$56,6,FALSE)&gt;=VLOOKUP(57,main!$A$57:$I$59,4,FALSE)+VLOOKUP(VLOOKUP(AD$1,main!$A$3:$I$56,7,FALSE),main!$K$10:$Q$14,5,FALSE),1,0)</f>
        <v>0</v>
      </c>
      <c r="AE144">
        <f>IF(VLOOKUP(AE$1,main!$A$3:$I$56,5,FALSE)-VLOOKUP($A144,main!$A$3:$I$56,6,FALSE)&gt;=VLOOKUP(57,main!$A$57:$I$59,4,FALSE)+VLOOKUP(VLOOKUP(AE$1,main!$A$3:$I$56,7,FALSE),main!$K$10:$Q$14,5,FALSE),1,0)</f>
        <v>0</v>
      </c>
      <c r="AF144">
        <f>IF(VLOOKUP(AF$1,main!$A$3:$I$56,5,FALSE)-VLOOKUP($A144,main!$A$3:$I$56,6,FALSE)&gt;=VLOOKUP(57,main!$A$57:$I$59,4,FALSE)+VLOOKUP(VLOOKUP(AF$1,main!$A$3:$I$56,7,FALSE),main!$K$10:$Q$14,5,FALSE),1,0)</f>
        <v>1</v>
      </c>
      <c r="AG144">
        <f>IF(VLOOKUP(AG$1,main!$A$3:$I$56,5,FALSE)-VLOOKUP($A144,main!$A$3:$I$56,6,FALSE)&gt;=VLOOKUP(57,main!$A$57:$I$59,4,FALSE)+VLOOKUP(VLOOKUP(AG$1,main!$A$3:$I$56,7,FALSE),main!$K$10:$Q$14,5,FALSE),1,0)</f>
        <v>0</v>
      </c>
      <c r="AH144">
        <f>IF(VLOOKUP(AH$1,main!$A$3:$I$56,5,FALSE)-VLOOKUP($A144,main!$A$3:$I$56,6,FALSE)&gt;=VLOOKUP(57,main!$A$57:$I$59,4,FALSE)+VLOOKUP(VLOOKUP(AH$1,main!$A$3:$I$56,7,FALSE),main!$K$10:$Q$14,5,FALSE),1,0)</f>
        <v>0</v>
      </c>
      <c r="AI144">
        <f>IF(VLOOKUP(AI$1,main!$A$3:$I$56,5,FALSE)-VLOOKUP($A144,main!$A$3:$I$56,6,FALSE)&gt;=VLOOKUP(57,main!$A$57:$I$59,4,FALSE)+VLOOKUP(VLOOKUP(AI$1,main!$A$3:$I$56,7,FALSE),main!$K$10:$Q$14,5,FALSE),1,0)</f>
        <v>0</v>
      </c>
      <c r="AJ144">
        <f>IF(VLOOKUP(AJ$1,main!$A$3:$I$56,5,FALSE)-VLOOKUP($A144,main!$A$3:$I$56,6,FALSE)&gt;=VLOOKUP(57,main!$A$57:$I$59,4,FALSE)+VLOOKUP(VLOOKUP(AJ$1,main!$A$3:$I$56,7,FALSE),main!$K$10:$Q$14,5,FALSE),1,0)</f>
        <v>0</v>
      </c>
      <c r="AK144">
        <f>IF(VLOOKUP(AK$1,main!$A$3:$I$56,5,FALSE)-VLOOKUP($A144,main!$A$3:$I$56,6,FALSE)&gt;=VLOOKUP(57,main!$A$57:$I$59,4,FALSE)+VLOOKUP(VLOOKUP(AK$1,main!$A$3:$I$56,7,FALSE),main!$K$10:$Q$14,5,FALSE),1,0)</f>
        <v>0</v>
      </c>
      <c r="AL144">
        <f>IF(VLOOKUP(AL$1,main!$A$3:$I$56,5,FALSE)-VLOOKUP($A144,main!$A$3:$I$56,6,FALSE)&gt;=VLOOKUP(57,main!$A$57:$I$59,4,FALSE)+VLOOKUP(VLOOKUP(AL$1,main!$A$3:$I$56,7,FALSE),main!$K$10:$Q$14,5,FALSE),1,0)</f>
        <v>0</v>
      </c>
      <c r="AM144">
        <f>IF(VLOOKUP(AM$1,main!$A$3:$I$56,5,FALSE)-VLOOKUP($A144,main!$A$3:$I$56,6,FALSE)&gt;=VLOOKUP(57,main!$A$57:$I$59,4,FALSE)+VLOOKUP(VLOOKUP(AM$1,main!$A$3:$I$56,7,FALSE),main!$K$10:$Q$14,5,FALSE),1,0)</f>
        <v>0</v>
      </c>
      <c r="AN144">
        <f>IF(VLOOKUP(AN$1,main!$A$3:$I$56,5,FALSE)-VLOOKUP($A144,main!$A$3:$I$56,6,FALSE)&gt;=VLOOKUP(57,main!$A$57:$I$59,4,FALSE)+VLOOKUP(VLOOKUP(AN$1,main!$A$3:$I$56,7,FALSE),main!$K$10:$Q$14,5,FALSE),1,0)</f>
        <v>0</v>
      </c>
      <c r="AO144">
        <f>IF(VLOOKUP(AO$1,main!$A$3:$I$56,5,FALSE)-VLOOKUP($A144,main!$A$3:$I$56,6,FALSE)&gt;=VLOOKUP(57,main!$A$57:$I$59,4,FALSE)+VLOOKUP(VLOOKUP(AO$1,main!$A$3:$I$56,7,FALSE),main!$K$10:$Q$14,5,FALSE),1,0)</f>
        <v>0</v>
      </c>
      <c r="AP144">
        <f>IF(VLOOKUP(AP$1,main!$A$3:$I$56,5,FALSE)-VLOOKUP($A144,main!$A$3:$I$56,6,FALSE)&gt;=VLOOKUP(57,main!$A$57:$I$59,4,FALSE)+VLOOKUP(VLOOKUP(AP$1,main!$A$3:$I$56,7,FALSE),main!$K$10:$Q$14,5,FALSE),1,0)</f>
        <v>0</v>
      </c>
      <c r="AQ144">
        <f>IF(VLOOKUP(AQ$1,main!$A$3:$I$56,5,FALSE)-VLOOKUP($A144,main!$A$3:$I$56,6,FALSE)&gt;=VLOOKUP(57,main!$A$57:$I$59,4,FALSE)+VLOOKUP(VLOOKUP(AQ$1,main!$A$3:$I$56,7,FALSE),main!$K$10:$Q$14,5,FALSE),1,0)</f>
        <v>0</v>
      </c>
      <c r="AR144">
        <f>IF(VLOOKUP(AR$1,main!$A$3:$I$56,5,FALSE)-VLOOKUP($A144,main!$A$3:$I$56,6,FALSE)&gt;=VLOOKUP(57,main!$A$57:$I$59,4,FALSE)+VLOOKUP(VLOOKUP(AR$1,main!$A$3:$I$56,7,FALSE),main!$K$10:$Q$14,5,FALSE),1,0)</f>
        <v>0</v>
      </c>
      <c r="AS144">
        <f>IF(VLOOKUP(AS$1,main!$A$3:$I$56,5,FALSE)-VLOOKUP($A144,main!$A$3:$I$56,6,FALSE)&gt;=VLOOKUP(57,main!$A$57:$I$59,4,FALSE)+VLOOKUP(VLOOKUP(AS$1,main!$A$3:$I$56,7,FALSE),main!$K$10:$Q$14,5,FALSE),1,0)</f>
        <v>0</v>
      </c>
      <c r="AT144">
        <f>IF(VLOOKUP(AT$1,main!$A$3:$I$56,5,FALSE)-VLOOKUP($A144,main!$A$3:$I$56,6,FALSE)&gt;=VLOOKUP(57,main!$A$57:$I$59,4,FALSE)+VLOOKUP(VLOOKUP(AT$1,main!$A$3:$I$56,7,FALSE),main!$K$10:$Q$14,5,FALSE),1,0)</f>
        <v>0</v>
      </c>
      <c r="AU144">
        <f>IF(VLOOKUP(AU$1,main!$A$3:$I$56,5,FALSE)-VLOOKUP($A144,main!$A$3:$I$56,6,FALSE)&gt;=VLOOKUP(57,main!$A$57:$I$59,4,FALSE)+VLOOKUP(VLOOKUP(AU$1,main!$A$3:$I$56,7,FALSE),main!$K$10:$Q$14,5,FALSE),1,0)</f>
        <v>0</v>
      </c>
      <c r="AV144">
        <f>IF(VLOOKUP(AV$1,main!$A$3:$I$56,5,FALSE)-VLOOKUP($A144,main!$A$3:$I$56,6,FALSE)&gt;=VLOOKUP(57,main!$A$57:$I$59,4,FALSE)+VLOOKUP(VLOOKUP(AV$1,main!$A$3:$I$56,7,FALSE),main!$K$10:$Q$14,5,FALSE),1,0)</f>
        <v>0</v>
      </c>
      <c r="AW144">
        <f>IF(VLOOKUP(AW$1,main!$A$3:$I$56,5,FALSE)-VLOOKUP($A144,main!$A$3:$I$56,6,FALSE)&gt;=VLOOKUP(57,main!$A$57:$I$59,4,FALSE)+VLOOKUP(VLOOKUP(AW$1,main!$A$3:$I$56,7,FALSE),main!$K$10:$Q$14,5,FALSE),1,0)</f>
        <v>0</v>
      </c>
      <c r="AX144">
        <f>IF(VLOOKUP(AX$1,main!$A$3:$I$56,5,FALSE)-VLOOKUP($A144,main!$A$3:$I$56,6,FALSE)&gt;=VLOOKUP(57,main!$A$57:$I$59,4,FALSE)+VLOOKUP(VLOOKUP(AX$1,main!$A$3:$I$56,7,FALSE),main!$K$10:$Q$14,5,FALSE),1,0)</f>
        <v>0</v>
      </c>
      <c r="AY144">
        <f>IF(VLOOKUP(AY$1,main!$A$3:$I$56,5,FALSE)-VLOOKUP($A144,main!$A$3:$I$56,6,FALSE)&gt;=VLOOKUP(57,main!$A$57:$I$59,4,FALSE)+VLOOKUP(VLOOKUP(AY$1,main!$A$3:$I$56,7,FALSE),main!$K$10:$Q$14,5,FALSE),1,0)</f>
        <v>1</v>
      </c>
      <c r="AZ144">
        <f>IF(VLOOKUP(AZ$1,main!$A$3:$I$56,5,FALSE)-VLOOKUP($A144,main!$A$3:$I$56,6,FALSE)&gt;=VLOOKUP(57,main!$A$57:$I$59,4,FALSE)+VLOOKUP(VLOOKUP(AZ$1,main!$A$3:$I$56,7,FALSE),main!$K$10:$Q$14,5,FALSE),1,0)</f>
        <v>0</v>
      </c>
      <c r="BA144">
        <f>IF(VLOOKUP(BA$1,main!$A$3:$I$56,5,FALSE)-VLOOKUP($A144,main!$A$3:$I$56,6,FALSE)&gt;=VLOOKUP(57,main!$A$57:$I$59,4,FALSE)+VLOOKUP(VLOOKUP(BA$1,main!$A$3:$I$56,7,FALSE),main!$K$10:$Q$14,5,FALSE),1,0)</f>
        <v>0</v>
      </c>
      <c r="BB144">
        <f>IF(VLOOKUP(BB$1,main!$A$3:$I$56,5,FALSE)-VLOOKUP($A144,main!$A$3:$I$56,6,FALSE)&gt;=VLOOKUP(57,main!$A$57:$I$59,4,FALSE)+VLOOKUP(VLOOKUP(BB$1,main!$A$3:$I$56,7,FALSE),main!$K$10:$Q$14,5,FALSE),1,0)</f>
        <v>0</v>
      </c>
      <c r="BC144">
        <f>IF(VLOOKUP(BC$1,main!$A$3:$I$56,5,FALSE)-VLOOKUP($A144,main!$A$3:$I$56,6,FALSE)&gt;=VLOOKUP(57,main!$A$57:$I$59,4,FALSE)+VLOOKUP(VLOOKUP(BC$1,main!$A$3:$I$56,7,FALSE),main!$K$10:$Q$14,5,FALSE),1,0)</f>
        <v>0</v>
      </c>
      <c r="BD144">
        <f>IF(VLOOKUP(BD$1,main!$A$3:$I$56,5,FALSE)-VLOOKUP($A144,main!$A$3:$I$56,6,FALSE)&gt;=VLOOKUP(57,main!$A$57:$I$59,4,FALSE)+VLOOKUP(VLOOKUP(BD$1,main!$A$3:$I$56,7,FALSE),main!$K$10:$Q$14,5,FALSE),1,0)</f>
        <v>0</v>
      </c>
    </row>
    <row r="145" spans="1:56" x14ac:dyDescent="0.25">
      <c r="A145">
        <f t="shared" si="2"/>
        <v>33</v>
      </c>
      <c r="B145">
        <v>0</v>
      </c>
      <c r="C145">
        <f>IF(VLOOKUP(C$1,main!$A$3:$I$56,5,FALSE)-VLOOKUP($A145,main!$A$3:$I$56,6,FALSE)&gt;=VLOOKUP(57,main!$A$57:$I$59,4,FALSE)+VLOOKUP(VLOOKUP(C$1,main!$A$3:$I$56,7,FALSE),main!$K$10:$Q$14,5,FALSE),1,0)</f>
        <v>0</v>
      </c>
      <c r="D145">
        <f>IF(VLOOKUP(D$1,main!$A$3:$I$56,5,FALSE)-VLOOKUP($A145,main!$A$3:$I$56,6,FALSE)&gt;=VLOOKUP(57,main!$A$57:$I$59,4,FALSE)+VLOOKUP(VLOOKUP(D$1,main!$A$3:$I$56,7,FALSE),main!$K$10:$Q$14,5,FALSE),1,0)</f>
        <v>0</v>
      </c>
      <c r="E145">
        <f>IF(VLOOKUP(E$1,main!$A$3:$I$56,5,FALSE)-VLOOKUP($A145,main!$A$3:$I$56,6,FALSE)&gt;=VLOOKUP(57,main!$A$57:$I$59,4,FALSE)+VLOOKUP(VLOOKUP(E$1,main!$A$3:$I$56,7,FALSE),main!$K$10:$Q$14,5,FALSE),1,0)</f>
        <v>0</v>
      </c>
      <c r="F145">
        <f>IF(VLOOKUP(F$1,main!$A$3:$I$56,5,FALSE)-VLOOKUP($A145,main!$A$3:$I$56,6,FALSE)&gt;=VLOOKUP(57,main!$A$57:$I$59,4,FALSE)+VLOOKUP(VLOOKUP(F$1,main!$A$3:$I$56,7,FALSE),main!$K$10:$Q$14,5,FALSE),1,0)</f>
        <v>0</v>
      </c>
      <c r="G145">
        <f>IF(VLOOKUP(G$1,main!$A$3:$I$56,5,FALSE)-VLOOKUP($A145,main!$A$3:$I$56,6,FALSE)&gt;=VLOOKUP(57,main!$A$57:$I$59,4,FALSE)+VLOOKUP(VLOOKUP(G$1,main!$A$3:$I$56,7,FALSE),main!$K$10:$Q$14,5,FALSE),1,0)</f>
        <v>0</v>
      </c>
      <c r="H145">
        <f>IF(VLOOKUP(H$1,main!$A$3:$I$56,5,FALSE)-VLOOKUP($A145,main!$A$3:$I$56,6,FALSE)&gt;=VLOOKUP(57,main!$A$57:$I$59,4,FALSE)+VLOOKUP(VLOOKUP(H$1,main!$A$3:$I$56,7,FALSE),main!$K$10:$Q$14,5,FALSE),1,0)</f>
        <v>0</v>
      </c>
      <c r="I145">
        <f>IF(VLOOKUP(I$1,main!$A$3:$I$56,5,FALSE)-VLOOKUP($A145,main!$A$3:$I$56,6,FALSE)&gt;=VLOOKUP(57,main!$A$57:$I$59,4,FALSE)+VLOOKUP(VLOOKUP(I$1,main!$A$3:$I$56,7,FALSE),main!$K$10:$Q$14,5,FALSE),1,0)</f>
        <v>0</v>
      </c>
      <c r="J145">
        <f>IF(VLOOKUP(J$1,main!$A$3:$I$56,5,FALSE)-VLOOKUP($A145,main!$A$3:$I$56,6,FALSE)&gt;=VLOOKUP(57,main!$A$57:$I$59,4,FALSE)+VLOOKUP(VLOOKUP(J$1,main!$A$3:$I$56,7,FALSE),main!$K$10:$Q$14,5,FALSE),1,0)</f>
        <v>0</v>
      </c>
      <c r="K145">
        <f>IF(VLOOKUP(K$1,main!$A$3:$I$56,5,FALSE)-VLOOKUP($A145,main!$A$3:$I$56,6,FALSE)&gt;=VLOOKUP(57,main!$A$57:$I$59,4,FALSE)+VLOOKUP(VLOOKUP(K$1,main!$A$3:$I$56,7,FALSE),main!$K$10:$Q$14,5,FALSE),1,0)</f>
        <v>0</v>
      </c>
      <c r="L145">
        <f>IF(VLOOKUP(L$1,main!$A$3:$I$56,5,FALSE)-VLOOKUP($A145,main!$A$3:$I$56,6,FALSE)&gt;=VLOOKUP(57,main!$A$57:$I$59,4,FALSE)+VLOOKUP(VLOOKUP(L$1,main!$A$3:$I$56,7,FALSE),main!$K$10:$Q$14,5,FALSE),1,0)</f>
        <v>0</v>
      </c>
      <c r="M145">
        <f>IF(VLOOKUP(M$1,main!$A$3:$I$56,5,FALSE)-VLOOKUP($A145,main!$A$3:$I$56,6,FALSE)&gt;=VLOOKUP(57,main!$A$57:$I$59,4,FALSE)+VLOOKUP(VLOOKUP(M$1,main!$A$3:$I$56,7,FALSE),main!$K$10:$Q$14,5,FALSE),1,0)</f>
        <v>0</v>
      </c>
      <c r="N145">
        <f>IF(VLOOKUP(N$1,main!$A$3:$I$56,5,FALSE)-VLOOKUP($A145,main!$A$3:$I$56,6,FALSE)&gt;=VLOOKUP(57,main!$A$57:$I$59,4,FALSE)+VLOOKUP(VLOOKUP(N$1,main!$A$3:$I$56,7,FALSE),main!$K$10:$Q$14,5,FALSE),1,0)</f>
        <v>0</v>
      </c>
      <c r="O145">
        <f>IF(VLOOKUP(O$1,main!$A$3:$I$56,5,FALSE)-VLOOKUP($A145,main!$A$3:$I$56,6,FALSE)&gt;=VLOOKUP(57,main!$A$57:$I$59,4,FALSE)+VLOOKUP(VLOOKUP(O$1,main!$A$3:$I$56,7,FALSE),main!$K$10:$Q$14,5,FALSE),1,0)</f>
        <v>1</v>
      </c>
      <c r="P145">
        <f>IF(VLOOKUP(P$1,main!$A$3:$I$56,5,FALSE)-VLOOKUP($A145,main!$A$3:$I$56,6,FALSE)&gt;=VLOOKUP(57,main!$A$57:$I$59,4,FALSE)+VLOOKUP(VLOOKUP(P$1,main!$A$3:$I$56,7,FALSE),main!$K$10:$Q$14,5,FALSE),1,0)</f>
        <v>0</v>
      </c>
      <c r="Q145">
        <f>IF(VLOOKUP(Q$1,main!$A$3:$I$56,5,FALSE)-VLOOKUP($A145,main!$A$3:$I$56,6,FALSE)&gt;=VLOOKUP(57,main!$A$57:$I$59,4,FALSE)+VLOOKUP(VLOOKUP(Q$1,main!$A$3:$I$56,7,FALSE),main!$K$10:$Q$14,5,FALSE),1,0)</f>
        <v>0</v>
      </c>
      <c r="R145">
        <f>IF(VLOOKUP(R$1,main!$A$3:$I$56,5,FALSE)-VLOOKUP($A145,main!$A$3:$I$56,6,FALSE)&gt;=VLOOKUP(57,main!$A$57:$I$59,4,FALSE)+VLOOKUP(VLOOKUP(R$1,main!$A$3:$I$56,7,FALSE),main!$K$10:$Q$14,5,FALSE),1,0)</f>
        <v>0</v>
      </c>
      <c r="S145">
        <f>IF(VLOOKUP(S$1,main!$A$3:$I$56,5,FALSE)-VLOOKUP($A145,main!$A$3:$I$56,6,FALSE)&gt;=VLOOKUP(57,main!$A$57:$I$59,4,FALSE)+VLOOKUP(VLOOKUP(S$1,main!$A$3:$I$56,7,FALSE),main!$K$10:$Q$14,5,FALSE),1,0)</f>
        <v>0</v>
      </c>
      <c r="T145">
        <f>IF(VLOOKUP(T$1,main!$A$3:$I$56,5,FALSE)-VLOOKUP($A145,main!$A$3:$I$56,6,FALSE)&gt;=VLOOKUP(57,main!$A$57:$I$59,4,FALSE)+VLOOKUP(VLOOKUP(T$1,main!$A$3:$I$56,7,FALSE),main!$K$10:$Q$14,5,FALSE),1,0)</f>
        <v>0</v>
      </c>
      <c r="U145">
        <f>IF(VLOOKUP(U$1,main!$A$3:$I$56,5,FALSE)-VLOOKUP($A145,main!$A$3:$I$56,6,FALSE)&gt;=VLOOKUP(57,main!$A$57:$I$59,4,FALSE)+VLOOKUP(VLOOKUP(U$1,main!$A$3:$I$56,7,FALSE),main!$K$10:$Q$14,5,FALSE),1,0)</f>
        <v>0</v>
      </c>
      <c r="V145">
        <f>IF(VLOOKUP(V$1,main!$A$3:$I$56,5,FALSE)-VLOOKUP($A145,main!$A$3:$I$56,6,FALSE)&gt;=VLOOKUP(57,main!$A$57:$I$59,4,FALSE)+VLOOKUP(VLOOKUP(V$1,main!$A$3:$I$56,7,FALSE),main!$K$10:$Q$14,5,FALSE),1,0)</f>
        <v>0</v>
      </c>
      <c r="W145">
        <f>IF(VLOOKUP(W$1,main!$A$3:$I$56,5,FALSE)-VLOOKUP($A145,main!$A$3:$I$56,6,FALSE)&gt;=VLOOKUP(57,main!$A$57:$I$59,4,FALSE)+VLOOKUP(VLOOKUP(W$1,main!$A$3:$I$56,7,FALSE),main!$K$10:$Q$14,5,FALSE),1,0)</f>
        <v>0</v>
      </c>
      <c r="X145">
        <f>IF(VLOOKUP(X$1,main!$A$3:$I$56,5,FALSE)-VLOOKUP($A145,main!$A$3:$I$56,6,FALSE)&gt;=VLOOKUP(57,main!$A$57:$I$59,4,FALSE)+VLOOKUP(VLOOKUP(X$1,main!$A$3:$I$56,7,FALSE),main!$K$10:$Q$14,5,FALSE),1,0)</f>
        <v>0</v>
      </c>
      <c r="Y145">
        <f>IF(VLOOKUP(Y$1,main!$A$3:$I$56,5,FALSE)-VLOOKUP($A145,main!$A$3:$I$56,6,FALSE)&gt;=VLOOKUP(57,main!$A$57:$I$59,4,FALSE)+VLOOKUP(VLOOKUP(Y$1,main!$A$3:$I$56,7,FALSE),main!$K$10:$Q$14,5,FALSE),1,0)</f>
        <v>0</v>
      </c>
      <c r="Z145">
        <f>IF(VLOOKUP(Z$1,main!$A$3:$I$56,5,FALSE)-VLOOKUP($A145,main!$A$3:$I$56,6,FALSE)&gt;=VLOOKUP(57,main!$A$57:$I$59,4,FALSE)+VLOOKUP(VLOOKUP(Z$1,main!$A$3:$I$56,7,FALSE),main!$K$10:$Q$14,5,FALSE),1,0)</f>
        <v>0</v>
      </c>
      <c r="AA145">
        <f>IF(VLOOKUP(AA$1,main!$A$3:$I$56,5,FALSE)-VLOOKUP($A145,main!$A$3:$I$56,6,FALSE)&gt;=VLOOKUP(57,main!$A$57:$I$59,4,FALSE)+VLOOKUP(VLOOKUP(AA$1,main!$A$3:$I$56,7,FALSE),main!$K$10:$Q$14,5,FALSE),1,0)</f>
        <v>1</v>
      </c>
      <c r="AB145">
        <f>IF(VLOOKUP(AB$1,main!$A$3:$I$56,5,FALSE)-VLOOKUP($A145,main!$A$3:$I$56,6,FALSE)&gt;=VLOOKUP(57,main!$A$57:$I$59,4,FALSE)+VLOOKUP(VLOOKUP(AB$1,main!$A$3:$I$56,7,FALSE),main!$K$10:$Q$14,5,FALSE),1,0)</f>
        <v>1</v>
      </c>
      <c r="AC145">
        <f>IF(VLOOKUP(AC$1,main!$A$3:$I$56,5,FALSE)-VLOOKUP($A145,main!$A$3:$I$56,6,FALSE)&gt;=VLOOKUP(57,main!$A$57:$I$59,4,FALSE)+VLOOKUP(VLOOKUP(AC$1,main!$A$3:$I$56,7,FALSE),main!$K$10:$Q$14,5,FALSE),1,0)</f>
        <v>0</v>
      </c>
      <c r="AD145">
        <f>IF(VLOOKUP(AD$1,main!$A$3:$I$56,5,FALSE)-VLOOKUP($A145,main!$A$3:$I$56,6,FALSE)&gt;=VLOOKUP(57,main!$A$57:$I$59,4,FALSE)+VLOOKUP(VLOOKUP(AD$1,main!$A$3:$I$56,7,FALSE),main!$K$10:$Q$14,5,FALSE),1,0)</f>
        <v>0</v>
      </c>
      <c r="AE145">
        <f>IF(VLOOKUP(AE$1,main!$A$3:$I$56,5,FALSE)-VLOOKUP($A145,main!$A$3:$I$56,6,FALSE)&gt;=VLOOKUP(57,main!$A$57:$I$59,4,FALSE)+VLOOKUP(VLOOKUP(AE$1,main!$A$3:$I$56,7,FALSE),main!$K$10:$Q$14,5,FALSE),1,0)</f>
        <v>0</v>
      </c>
      <c r="AF145">
        <f>IF(VLOOKUP(AF$1,main!$A$3:$I$56,5,FALSE)-VLOOKUP($A145,main!$A$3:$I$56,6,FALSE)&gt;=VLOOKUP(57,main!$A$57:$I$59,4,FALSE)+VLOOKUP(VLOOKUP(AF$1,main!$A$3:$I$56,7,FALSE),main!$K$10:$Q$14,5,FALSE),1,0)</f>
        <v>0</v>
      </c>
      <c r="AG145">
        <f>IF(VLOOKUP(AG$1,main!$A$3:$I$56,5,FALSE)-VLOOKUP($A145,main!$A$3:$I$56,6,FALSE)&gt;=VLOOKUP(57,main!$A$57:$I$59,4,FALSE)+VLOOKUP(VLOOKUP(AG$1,main!$A$3:$I$56,7,FALSE),main!$K$10:$Q$14,5,FALSE),1,0)</f>
        <v>0</v>
      </c>
      <c r="AH145">
        <f>IF(VLOOKUP(AH$1,main!$A$3:$I$56,5,FALSE)-VLOOKUP($A145,main!$A$3:$I$56,6,FALSE)&gt;=VLOOKUP(57,main!$A$57:$I$59,4,FALSE)+VLOOKUP(VLOOKUP(AH$1,main!$A$3:$I$56,7,FALSE),main!$K$10:$Q$14,5,FALSE),1,0)</f>
        <v>0</v>
      </c>
      <c r="AI145">
        <f>IF(VLOOKUP(AI$1,main!$A$3:$I$56,5,FALSE)-VLOOKUP($A145,main!$A$3:$I$56,6,FALSE)&gt;=VLOOKUP(57,main!$A$57:$I$59,4,FALSE)+VLOOKUP(VLOOKUP(AI$1,main!$A$3:$I$56,7,FALSE),main!$K$10:$Q$14,5,FALSE),1,0)</f>
        <v>0</v>
      </c>
      <c r="AJ145">
        <f>IF(VLOOKUP(AJ$1,main!$A$3:$I$56,5,FALSE)-VLOOKUP($A145,main!$A$3:$I$56,6,FALSE)&gt;=VLOOKUP(57,main!$A$57:$I$59,4,FALSE)+VLOOKUP(VLOOKUP(AJ$1,main!$A$3:$I$56,7,FALSE),main!$K$10:$Q$14,5,FALSE),1,0)</f>
        <v>0</v>
      </c>
      <c r="AK145">
        <f>IF(VLOOKUP(AK$1,main!$A$3:$I$56,5,FALSE)-VLOOKUP($A145,main!$A$3:$I$56,6,FALSE)&gt;=VLOOKUP(57,main!$A$57:$I$59,4,FALSE)+VLOOKUP(VLOOKUP(AK$1,main!$A$3:$I$56,7,FALSE),main!$K$10:$Q$14,5,FALSE),1,0)</f>
        <v>0</v>
      </c>
      <c r="AL145">
        <f>IF(VLOOKUP(AL$1,main!$A$3:$I$56,5,FALSE)-VLOOKUP($A145,main!$A$3:$I$56,6,FALSE)&gt;=VLOOKUP(57,main!$A$57:$I$59,4,FALSE)+VLOOKUP(VLOOKUP(AL$1,main!$A$3:$I$56,7,FALSE),main!$K$10:$Q$14,5,FALSE),1,0)</f>
        <v>0</v>
      </c>
      <c r="AM145">
        <f>IF(VLOOKUP(AM$1,main!$A$3:$I$56,5,FALSE)-VLOOKUP($A145,main!$A$3:$I$56,6,FALSE)&gt;=VLOOKUP(57,main!$A$57:$I$59,4,FALSE)+VLOOKUP(VLOOKUP(AM$1,main!$A$3:$I$56,7,FALSE),main!$K$10:$Q$14,5,FALSE),1,0)</f>
        <v>0</v>
      </c>
      <c r="AN145">
        <f>IF(VLOOKUP(AN$1,main!$A$3:$I$56,5,FALSE)-VLOOKUP($A145,main!$A$3:$I$56,6,FALSE)&gt;=VLOOKUP(57,main!$A$57:$I$59,4,FALSE)+VLOOKUP(VLOOKUP(AN$1,main!$A$3:$I$56,7,FALSE),main!$K$10:$Q$14,5,FALSE),1,0)</f>
        <v>0</v>
      </c>
      <c r="AO145">
        <f>IF(VLOOKUP(AO$1,main!$A$3:$I$56,5,FALSE)-VLOOKUP($A145,main!$A$3:$I$56,6,FALSE)&gt;=VLOOKUP(57,main!$A$57:$I$59,4,FALSE)+VLOOKUP(VLOOKUP(AO$1,main!$A$3:$I$56,7,FALSE),main!$K$10:$Q$14,5,FALSE),1,0)</f>
        <v>0</v>
      </c>
      <c r="AP145">
        <f>IF(VLOOKUP(AP$1,main!$A$3:$I$56,5,FALSE)-VLOOKUP($A145,main!$A$3:$I$56,6,FALSE)&gt;=VLOOKUP(57,main!$A$57:$I$59,4,FALSE)+VLOOKUP(VLOOKUP(AP$1,main!$A$3:$I$56,7,FALSE),main!$K$10:$Q$14,5,FALSE),1,0)</f>
        <v>0</v>
      </c>
      <c r="AQ145">
        <f>IF(VLOOKUP(AQ$1,main!$A$3:$I$56,5,FALSE)-VLOOKUP($A145,main!$A$3:$I$56,6,FALSE)&gt;=VLOOKUP(57,main!$A$57:$I$59,4,FALSE)+VLOOKUP(VLOOKUP(AQ$1,main!$A$3:$I$56,7,FALSE),main!$K$10:$Q$14,5,FALSE),1,0)</f>
        <v>0</v>
      </c>
      <c r="AR145">
        <f>IF(VLOOKUP(AR$1,main!$A$3:$I$56,5,FALSE)-VLOOKUP($A145,main!$A$3:$I$56,6,FALSE)&gt;=VLOOKUP(57,main!$A$57:$I$59,4,FALSE)+VLOOKUP(VLOOKUP(AR$1,main!$A$3:$I$56,7,FALSE),main!$K$10:$Q$14,5,FALSE),1,0)</f>
        <v>0</v>
      </c>
      <c r="AS145">
        <f>IF(VLOOKUP(AS$1,main!$A$3:$I$56,5,FALSE)-VLOOKUP($A145,main!$A$3:$I$56,6,FALSE)&gt;=VLOOKUP(57,main!$A$57:$I$59,4,FALSE)+VLOOKUP(VLOOKUP(AS$1,main!$A$3:$I$56,7,FALSE),main!$K$10:$Q$14,5,FALSE),1,0)</f>
        <v>0</v>
      </c>
      <c r="AT145">
        <f>IF(VLOOKUP(AT$1,main!$A$3:$I$56,5,FALSE)-VLOOKUP($A145,main!$A$3:$I$56,6,FALSE)&gt;=VLOOKUP(57,main!$A$57:$I$59,4,FALSE)+VLOOKUP(VLOOKUP(AT$1,main!$A$3:$I$56,7,FALSE),main!$K$10:$Q$14,5,FALSE),1,0)</f>
        <v>0</v>
      </c>
      <c r="AU145">
        <f>IF(VLOOKUP(AU$1,main!$A$3:$I$56,5,FALSE)-VLOOKUP($A145,main!$A$3:$I$56,6,FALSE)&gt;=VLOOKUP(57,main!$A$57:$I$59,4,FALSE)+VLOOKUP(VLOOKUP(AU$1,main!$A$3:$I$56,7,FALSE),main!$K$10:$Q$14,5,FALSE),1,0)</f>
        <v>0</v>
      </c>
      <c r="AV145">
        <f>IF(VLOOKUP(AV$1,main!$A$3:$I$56,5,FALSE)-VLOOKUP($A145,main!$A$3:$I$56,6,FALSE)&gt;=VLOOKUP(57,main!$A$57:$I$59,4,FALSE)+VLOOKUP(VLOOKUP(AV$1,main!$A$3:$I$56,7,FALSE),main!$K$10:$Q$14,5,FALSE),1,0)</f>
        <v>0</v>
      </c>
      <c r="AW145">
        <f>IF(VLOOKUP(AW$1,main!$A$3:$I$56,5,FALSE)-VLOOKUP($A145,main!$A$3:$I$56,6,FALSE)&gt;=VLOOKUP(57,main!$A$57:$I$59,4,FALSE)+VLOOKUP(VLOOKUP(AW$1,main!$A$3:$I$56,7,FALSE),main!$K$10:$Q$14,5,FALSE),1,0)</f>
        <v>0</v>
      </c>
      <c r="AX145">
        <f>IF(VLOOKUP(AX$1,main!$A$3:$I$56,5,FALSE)-VLOOKUP($A145,main!$A$3:$I$56,6,FALSE)&gt;=VLOOKUP(57,main!$A$57:$I$59,4,FALSE)+VLOOKUP(VLOOKUP(AX$1,main!$A$3:$I$56,7,FALSE),main!$K$10:$Q$14,5,FALSE),1,0)</f>
        <v>0</v>
      </c>
      <c r="AY145">
        <f>IF(VLOOKUP(AY$1,main!$A$3:$I$56,5,FALSE)-VLOOKUP($A145,main!$A$3:$I$56,6,FALSE)&gt;=VLOOKUP(57,main!$A$57:$I$59,4,FALSE)+VLOOKUP(VLOOKUP(AY$1,main!$A$3:$I$56,7,FALSE),main!$K$10:$Q$14,5,FALSE),1,0)</f>
        <v>0</v>
      </c>
      <c r="AZ145">
        <f>IF(VLOOKUP(AZ$1,main!$A$3:$I$56,5,FALSE)-VLOOKUP($A145,main!$A$3:$I$56,6,FALSE)&gt;=VLOOKUP(57,main!$A$57:$I$59,4,FALSE)+VLOOKUP(VLOOKUP(AZ$1,main!$A$3:$I$56,7,FALSE),main!$K$10:$Q$14,5,FALSE),1,0)</f>
        <v>0</v>
      </c>
      <c r="BA145">
        <f>IF(VLOOKUP(BA$1,main!$A$3:$I$56,5,FALSE)-VLOOKUP($A145,main!$A$3:$I$56,6,FALSE)&gt;=VLOOKUP(57,main!$A$57:$I$59,4,FALSE)+VLOOKUP(VLOOKUP(BA$1,main!$A$3:$I$56,7,FALSE),main!$K$10:$Q$14,5,FALSE),1,0)</f>
        <v>0</v>
      </c>
      <c r="BB145">
        <f>IF(VLOOKUP(BB$1,main!$A$3:$I$56,5,FALSE)-VLOOKUP($A145,main!$A$3:$I$56,6,FALSE)&gt;=VLOOKUP(57,main!$A$57:$I$59,4,FALSE)+VLOOKUP(VLOOKUP(BB$1,main!$A$3:$I$56,7,FALSE),main!$K$10:$Q$14,5,FALSE),1,0)</f>
        <v>0</v>
      </c>
      <c r="BC145">
        <f>IF(VLOOKUP(BC$1,main!$A$3:$I$56,5,FALSE)-VLOOKUP($A145,main!$A$3:$I$56,6,FALSE)&gt;=VLOOKUP(57,main!$A$57:$I$59,4,FALSE)+VLOOKUP(VLOOKUP(BC$1,main!$A$3:$I$56,7,FALSE),main!$K$10:$Q$14,5,FALSE),1,0)</f>
        <v>0</v>
      </c>
      <c r="BD145">
        <f>IF(VLOOKUP(BD$1,main!$A$3:$I$56,5,FALSE)-VLOOKUP($A145,main!$A$3:$I$56,6,FALSE)&gt;=VLOOKUP(57,main!$A$57:$I$59,4,FALSE)+VLOOKUP(VLOOKUP(BD$1,main!$A$3:$I$56,7,FALSE),main!$K$10:$Q$14,5,FALSE),1,0)</f>
        <v>0</v>
      </c>
    </row>
    <row r="146" spans="1:56" x14ac:dyDescent="0.25">
      <c r="A146">
        <f t="shared" si="2"/>
        <v>34</v>
      </c>
      <c r="B146">
        <v>0</v>
      </c>
      <c r="C146">
        <f>IF(VLOOKUP(C$1,main!$A$3:$I$56,5,FALSE)-VLOOKUP($A146,main!$A$3:$I$56,6,FALSE)&gt;=VLOOKUP(57,main!$A$57:$I$59,4,FALSE)+VLOOKUP(VLOOKUP(C$1,main!$A$3:$I$56,7,FALSE),main!$K$10:$Q$14,5,FALSE),1,0)</f>
        <v>0</v>
      </c>
      <c r="D146">
        <f>IF(VLOOKUP(D$1,main!$A$3:$I$56,5,FALSE)-VLOOKUP($A146,main!$A$3:$I$56,6,FALSE)&gt;=VLOOKUP(57,main!$A$57:$I$59,4,FALSE)+VLOOKUP(VLOOKUP(D$1,main!$A$3:$I$56,7,FALSE),main!$K$10:$Q$14,5,FALSE),1,0)</f>
        <v>0</v>
      </c>
      <c r="E146">
        <f>IF(VLOOKUP(E$1,main!$A$3:$I$56,5,FALSE)-VLOOKUP($A146,main!$A$3:$I$56,6,FALSE)&gt;=VLOOKUP(57,main!$A$57:$I$59,4,FALSE)+VLOOKUP(VLOOKUP(E$1,main!$A$3:$I$56,7,FALSE),main!$K$10:$Q$14,5,FALSE),1,0)</f>
        <v>0</v>
      </c>
      <c r="F146">
        <f>IF(VLOOKUP(F$1,main!$A$3:$I$56,5,FALSE)-VLOOKUP($A146,main!$A$3:$I$56,6,FALSE)&gt;=VLOOKUP(57,main!$A$57:$I$59,4,FALSE)+VLOOKUP(VLOOKUP(F$1,main!$A$3:$I$56,7,FALSE),main!$K$10:$Q$14,5,FALSE),1,0)</f>
        <v>0</v>
      </c>
      <c r="G146">
        <f>IF(VLOOKUP(G$1,main!$A$3:$I$56,5,FALSE)-VLOOKUP($A146,main!$A$3:$I$56,6,FALSE)&gt;=VLOOKUP(57,main!$A$57:$I$59,4,FALSE)+VLOOKUP(VLOOKUP(G$1,main!$A$3:$I$56,7,FALSE),main!$K$10:$Q$14,5,FALSE),1,0)</f>
        <v>0</v>
      </c>
      <c r="H146">
        <f>IF(VLOOKUP(H$1,main!$A$3:$I$56,5,FALSE)-VLOOKUP($A146,main!$A$3:$I$56,6,FALSE)&gt;=VLOOKUP(57,main!$A$57:$I$59,4,FALSE)+VLOOKUP(VLOOKUP(H$1,main!$A$3:$I$56,7,FALSE),main!$K$10:$Q$14,5,FALSE),1,0)</f>
        <v>0</v>
      </c>
      <c r="I146">
        <f>IF(VLOOKUP(I$1,main!$A$3:$I$56,5,FALSE)-VLOOKUP($A146,main!$A$3:$I$56,6,FALSE)&gt;=VLOOKUP(57,main!$A$57:$I$59,4,FALSE)+VLOOKUP(VLOOKUP(I$1,main!$A$3:$I$56,7,FALSE),main!$K$10:$Q$14,5,FALSE),1,0)</f>
        <v>0</v>
      </c>
      <c r="J146">
        <f>IF(VLOOKUP(J$1,main!$A$3:$I$56,5,FALSE)-VLOOKUP($A146,main!$A$3:$I$56,6,FALSE)&gt;=VLOOKUP(57,main!$A$57:$I$59,4,FALSE)+VLOOKUP(VLOOKUP(J$1,main!$A$3:$I$56,7,FALSE),main!$K$10:$Q$14,5,FALSE),1,0)</f>
        <v>0</v>
      </c>
      <c r="K146">
        <f>IF(VLOOKUP(K$1,main!$A$3:$I$56,5,FALSE)-VLOOKUP($A146,main!$A$3:$I$56,6,FALSE)&gt;=VLOOKUP(57,main!$A$57:$I$59,4,FALSE)+VLOOKUP(VLOOKUP(K$1,main!$A$3:$I$56,7,FALSE),main!$K$10:$Q$14,5,FALSE),1,0)</f>
        <v>0</v>
      </c>
      <c r="L146">
        <f>IF(VLOOKUP(L$1,main!$A$3:$I$56,5,FALSE)-VLOOKUP($A146,main!$A$3:$I$56,6,FALSE)&gt;=VLOOKUP(57,main!$A$57:$I$59,4,FALSE)+VLOOKUP(VLOOKUP(L$1,main!$A$3:$I$56,7,FALSE),main!$K$10:$Q$14,5,FALSE),1,0)</f>
        <v>0</v>
      </c>
      <c r="M146">
        <f>IF(VLOOKUP(M$1,main!$A$3:$I$56,5,FALSE)-VLOOKUP($A146,main!$A$3:$I$56,6,FALSE)&gt;=VLOOKUP(57,main!$A$57:$I$59,4,FALSE)+VLOOKUP(VLOOKUP(M$1,main!$A$3:$I$56,7,FALSE),main!$K$10:$Q$14,5,FALSE),1,0)</f>
        <v>0</v>
      </c>
      <c r="N146">
        <f>IF(VLOOKUP(N$1,main!$A$3:$I$56,5,FALSE)-VLOOKUP($A146,main!$A$3:$I$56,6,FALSE)&gt;=VLOOKUP(57,main!$A$57:$I$59,4,FALSE)+VLOOKUP(VLOOKUP(N$1,main!$A$3:$I$56,7,FALSE),main!$K$10:$Q$14,5,FALSE),1,0)</f>
        <v>0</v>
      </c>
      <c r="O146">
        <f>IF(VLOOKUP(O$1,main!$A$3:$I$56,5,FALSE)-VLOOKUP($A146,main!$A$3:$I$56,6,FALSE)&gt;=VLOOKUP(57,main!$A$57:$I$59,4,FALSE)+VLOOKUP(VLOOKUP(O$1,main!$A$3:$I$56,7,FALSE),main!$K$10:$Q$14,5,FALSE),1,0)</f>
        <v>0</v>
      </c>
      <c r="P146">
        <f>IF(VLOOKUP(P$1,main!$A$3:$I$56,5,FALSE)-VLOOKUP($A146,main!$A$3:$I$56,6,FALSE)&gt;=VLOOKUP(57,main!$A$57:$I$59,4,FALSE)+VLOOKUP(VLOOKUP(P$1,main!$A$3:$I$56,7,FALSE),main!$K$10:$Q$14,5,FALSE),1,0)</f>
        <v>0</v>
      </c>
      <c r="Q146">
        <f>IF(VLOOKUP(Q$1,main!$A$3:$I$56,5,FALSE)-VLOOKUP($A146,main!$A$3:$I$56,6,FALSE)&gt;=VLOOKUP(57,main!$A$57:$I$59,4,FALSE)+VLOOKUP(VLOOKUP(Q$1,main!$A$3:$I$56,7,FALSE),main!$K$10:$Q$14,5,FALSE),1,0)</f>
        <v>0</v>
      </c>
      <c r="R146">
        <f>IF(VLOOKUP(R$1,main!$A$3:$I$56,5,FALSE)-VLOOKUP($A146,main!$A$3:$I$56,6,FALSE)&gt;=VLOOKUP(57,main!$A$57:$I$59,4,FALSE)+VLOOKUP(VLOOKUP(R$1,main!$A$3:$I$56,7,FALSE),main!$K$10:$Q$14,5,FALSE),1,0)</f>
        <v>0</v>
      </c>
      <c r="S146">
        <f>IF(VLOOKUP(S$1,main!$A$3:$I$56,5,FALSE)-VLOOKUP($A146,main!$A$3:$I$56,6,FALSE)&gt;=VLOOKUP(57,main!$A$57:$I$59,4,FALSE)+VLOOKUP(VLOOKUP(S$1,main!$A$3:$I$56,7,FALSE),main!$K$10:$Q$14,5,FALSE),1,0)</f>
        <v>0</v>
      </c>
      <c r="T146">
        <f>IF(VLOOKUP(T$1,main!$A$3:$I$56,5,FALSE)-VLOOKUP($A146,main!$A$3:$I$56,6,FALSE)&gt;=VLOOKUP(57,main!$A$57:$I$59,4,FALSE)+VLOOKUP(VLOOKUP(T$1,main!$A$3:$I$56,7,FALSE),main!$K$10:$Q$14,5,FALSE),1,0)</f>
        <v>0</v>
      </c>
      <c r="U146">
        <f>IF(VLOOKUP(U$1,main!$A$3:$I$56,5,FALSE)-VLOOKUP($A146,main!$A$3:$I$56,6,FALSE)&gt;=VLOOKUP(57,main!$A$57:$I$59,4,FALSE)+VLOOKUP(VLOOKUP(U$1,main!$A$3:$I$56,7,FALSE),main!$K$10:$Q$14,5,FALSE),1,0)</f>
        <v>0</v>
      </c>
      <c r="V146">
        <f>IF(VLOOKUP(V$1,main!$A$3:$I$56,5,FALSE)-VLOOKUP($A146,main!$A$3:$I$56,6,FALSE)&gt;=VLOOKUP(57,main!$A$57:$I$59,4,FALSE)+VLOOKUP(VLOOKUP(V$1,main!$A$3:$I$56,7,FALSE),main!$K$10:$Q$14,5,FALSE),1,0)</f>
        <v>0</v>
      </c>
      <c r="W146">
        <f>IF(VLOOKUP(W$1,main!$A$3:$I$56,5,FALSE)-VLOOKUP($A146,main!$A$3:$I$56,6,FALSE)&gt;=VLOOKUP(57,main!$A$57:$I$59,4,FALSE)+VLOOKUP(VLOOKUP(W$1,main!$A$3:$I$56,7,FALSE),main!$K$10:$Q$14,5,FALSE),1,0)</f>
        <v>0</v>
      </c>
      <c r="X146">
        <f>IF(VLOOKUP(X$1,main!$A$3:$I$56,5,FALSE)-VLOOKUP($A146,main!$A$3:$I$56,6,FALSE)&gt;=VLOOKUP(57,main!$A$57:$I$59,4,FALSE)+VLOOKUP(VLOOKUP(X$1,main!$A$3:$I$56,7,FALSE),main!$K$10:$Q$14,5,FALSE),1,0)</f>
        <v>0</v>
      </c>
      <c r="Y146">
        <f>IF(VLOOKUP(Y$1,main!$A$3:$I$56,5,FALSE)-VLOOKUP($A146,main!$A$3:$I$56,6,FALSE)&gt;=VLOOKUP(57,main!$A$57:$I$59,4,FALSE)+VLOOKUP(VLOOKUP(Y$1,main!$A$3:$I$56,7,FALSE),main!$K$10:$Q$14,5,FALSE),1,0)</f>
        <v>0</v>
      </c>
      <c r="Z146">
        <f>IF(VLOOKUP(Z$1,main!$A$3:$I$56,5,FALSE)-VLOOKUP($A146,main!$A$3:$I$56,6,FALSE)&gt;=VLOOKUP(57,main!$A$57:$I$59,4,FALSE)+VLOOKUP(VLOOKUP(Z$1,main!$A$3:$I$56,7,FALSE),main!$K$10:$Q$14,5,FALSE),1,0)</f>
        <v>0</v>
      </c>
      <c r="AA146">
        <f>IF(VLOOKUP(AA$1,main!$A$3:$I$56,5,FALSE)-VLOOKUP($A146,main!$A$3:$I$56,6,FALSE)&gt;=VLOOKUP(57,main!$A$57:$I$59,4,FALSE)+VLOOKUP(VLOOKUP(AA$1,main!$A$3:$I$56,7,FALSE),main!$K$10:$Q$14,5,FALSE),1,0)</f>
        <v>0</v>
      </c>
      <c r="AB146">
        <f>IF(VLOOKUP(AB$1,main!$A$3:$I$56,5,FALSE)-VLOOKUP($A146,main!$A$3:$I$56,6,FALSE)&gt;=VLOOKUP(57,main!$A$57:$I$59,4,FALSE)+VLOOKUP(VLOOKUP(AB$1,main!$A$3:$I$56,7,FALSE),main!$K$10:$Q$14,5,FALSE),1,0)</f>
        <v>1</v>
      </c>
      <c r="AC146">
        <f>IF(VLOOKUP(AC$1,main!$A$3:$I$56,5,FALSE)-VLOOKUP($A146,main!$A$3:$I$56,6,FALSE)&gt;=VLOOKUP(57,main!$A$57:$I$59,4,FALSE)+VLOOKUP(VLOOKUP(AC$1,main!$A$3:$I$56,7,FALSE),main!$K$10:$Q$14,5,FALSE),1,0)</f>
        <v>0</v>
      </c>
      <c r="AD146">
        <f>IF(VLOOKUP(AD$1,main!$A$3:$I$56,5,FALSE)-VLOOKUP($A146,main!$A$3:$I$56,6,FALSE)&gt;=VLOOKUP(57,main!$A$57:$I$59,4,FALSE)+VLOOKUP(VLOOKUP(AD$1,main!$A$3:$I$56,7,FALSE),main!$K$10:$Q$14,5,FALSE),1,0)</f>
        <v>0</v>
      </c>
      <c r="AE146">
        <f>IF(VLOOKUP(AE$1,main!$A$3:$I$56,5,FALSE)-VLOOKUP($A146,main!$A$3:$I$56,6,FALSE)&gt;=VLOOKUP(57,main!$A$57:$I$59,4,FALSE)+VLOOKUP(VLOOKUP(AE$1,main!$A$3:$I$56,7,FALSE),main!$K$10:$Q$14,5,FALSE),1,0)</f>
        <v>0</v>
      </c>
      <c r="AF146">
        <f>IF(VLOOKUP(AF$1,main!$A$3:$I$56,5,FALSE)-VLOOKUP($A146,main!$A$3:$I$56,6,FALSE)&gt;=VLOOKUP(57,main!$A$57:$I$59,4,FALSE)+VLOOKUP(VLOOKUP(AF$1,main!$A$3:$I$56,7,FALSE),main!$K$10:$Q$14,5,FALSE),1,0)</f>
        <v>0</v>
      </c>
      <c r="AG146">
        <f>IF(VLOOKUP(AG$1,main!$A$3:$I$56,5,FALSE)-VLOOKUP($A146,main!$A$3:$I$56,6,FALSE)&gt;=VLOOKUP(57,main!$A$57:$I$59,4,FALSE)+VLOOKUP(VLOOKUP(AG$1,main!$A$3:$I$56,7,FALSE),main!$K$10:$Q$14,5,FALSE),1,0)</f>
        <v>0</v>
      </c>
      <c r="AH146">
        <f>IF(VLOOKUP(AH$1,main!$A$3:$I$56,5,FALSE)-VLOOKUP($A146,main!$A$3:$I$56,6,FALSE)&gt;=VLOOKUP(57,main!$A$57:$I$59,4,FALSE)+VLOOKUP(VLOOKUP(AH$1,main!$A$3:$I$56,7,FALSE),main!$K$10:$Q$14,5,FALSE),1,0)</f>
        <v>0</v>
      </c>
      <c r="AI146">
        <f>IF(VLOOKUP(AI$1,main!$A$3:$I$56,5,FALSE)-VLOOKUP($A146,main!$A$3:$I$56,6,FALSE)&gt;=VLOOKUP(57,main!$A$57:$I$59,4,FALSE)+VLOOKUP(VLOOKUP(AI$1,main!$A$3:$I$56,7,FALSE),main!$K$10:$Q$14,5,FALSE),1,0)</f>
        <v>0</v>
      </c>
      <c r="AJ146">
        <f>IF(VLOOKUP(AJ$1,main!$A$3:$I$56,5,FALSE)-VLOOKUP($A146,main!$A$3:$I$56,6,FALSE)&gt;=VLOOKUP(57,main!$A$57:$I$59,4,FALSE)+VLOOKUP(VLOOKUP(AJ$1,main!$A$3:$I$56,7,FALSE),main!$K$10:$Q$14,5,FALSE),1,0)</f>
        <v>0</v>
      </c>
      <c r="AK146">
        <f>IF(VLOOKUP(AK$1,main!$A$3:$I$56,5,FALSE)-VLOOKUP($A146,main!$A$3:$I$56,6,FALSE)&gt;=VLOOKUP(57,main!$A$57:$I$59,4,FALSE)+VLOOKUP(VLOOKUP(AK$1,main!$A$3:$I$56,7,FALSE),main!$K$10:$Q$14,5,FALSE),1,0)</f>
        <v>0</v>
      </c>
      <c r="AL146">
        <f>IF(VLOOKUP(AL$1,main!$A$3:$I$56,5,FALSE)-VLOOKUP($A146,main!$A$3:$I$56,6,FALSE)&gt;=VLOOKUP(57,main!$A$57:$I$59,4,FALSE)+VLOOKUP(VLOOKUP(AL$1,main!$A$3:$I$56,7,FALSE),main!$K$10:$Q$14,5,FALSE),1,0)</f>
        <v>0</v>
      </c>
      <c r="AM146">
        <f>IF(VLOOKUP(AM$1,main!$A$3:$I$56,5,FALSE)-VLOOKUP($A146,main!$A$3:$I$56,6,FALSE)&gt;=VLOOKUP(57,main!$A$57:$I$59,4,FALSE)+VLOOKUP(VLOOKUP(AM$1,main!$A$3:$I$56,7,FALSE),main!$K$10:$Q$14,5,FALSE),1,0)</f>
        <v>0</v>
      </c>
      <c r="AN146">
        <f>IF(VLOOKUP(AN$1,main!$A$3:$I$56,5,FALSE)-VLOOKUP($A146,main!$A$3:$I$56,6,FALSE)&gt;=VLOOKUP(57,main!$A$57:$I$59,4,FALSE)+VLOOKUP(VLOOKUP(AN$1,main!$A$3:$I$56,7,FALSE),main!$K$10:$Q$14,5,FALSE),1,0)</f>
        <v>0</v>
      </c>
      <c r="AO146">
        <f>IF(VLOOKUP(AO$1,main!$A$3:$I$56,5,FALSE)-VLOOKUP($A146,main!$A$3:$I$56,6,FALSE)&gt;=VLOOKUP(57,main!$A$57:$I$59,4,FALSE)+VLOOKUP(VLOOKUP(AO$1,main!$A$3:$I$56,7,FALSE),main!$K$10:$Q$14,5,FALSE),1,0)</f>
        <v>0</v>
      </c>
      <c r="AP146">
        <f>IF(VLOOKUP(AP$1,main!$A$3:$I$56,5,FALSE)-VLOOKUP($A146,main!$A$3:$I$56,6,FALSE)&gt;=VLOOKUP(57,main!$A$57:$I$59,4,FALSE)+VLOOKUP(VLOOKUP(AP$1,main!$A$3:$I$56,7,FALSE),main!$K$10:$Q$14,5,FALSE),1,0)</f>
        <v>0</v>
      </c>
      <c r="AQ146">
        <f>IF(VLOOKUP(AQ$1,main!$A$3:$I$56,5,FALSE)-VLOOKUP($A146,main!$A$3:$I$56,6,FALSE)&gt;=VLOOKUP(57,main!$A$57:$I$59,4,FALSE)+VLOOKUP(VLOOKUP(AQ$1,main!$A$3:$I$56,7,FALSE),main!$K$10:$Q$14,5,FALSE),1,0)</f>
        <v>0</v>
      </c>
      <c r="AR146">
        <f>IF(VLOOKUP(AR$1,main!$A$3:$I$56,5,FALSE)-VLOOKUP($A146,main!$A$3:$I$56,6,FALSE)&gt;=VLOOKUP(57,main!$A$57:$I$59,4,FALSE)+VLOOKUP(VLOOKUP(AR$1,main!$A$3:$I$56,7,FALSE),main!$K$10:$Q$14,5,FALSE),1,0)</f>
        <v>0</v>
      </c>
      <c r="AS146">
        <f>IF(VLOOKUP(AS$1,main!$A$3:$I$56,5,FALSE)-VLOOKUP($A146,main!$A$3:$I$56,6,FALSE)&gt;=VLOOKUP(57,main!$A$57:$I$59,4,FALSE)+VLOOKUP(VLOOKUP(AS$1,main!$A$3:$I$56,7,FALSE),main!$K$10:$Q$14,5,FALSE),1,0)</f>
        <v>0</v>
      </c>
      <c r="AT146">
        <f>IF(VLOOKUP(AT$1,main!$A$3:$I$56,5,FALSE)-VLOOKUP($A146,main!$A$3:$I$56,6,FALSE)&gt;=VLOOKUP(57,main!$A$57:$I$59,4,FALSE)+VLOOKUP(VLOOKUP(AT$1,main!$A$3:$I$56,7,FALSE),main!$K$10:$Q$14,5,FALSE),1,0)</f>
        <v>0</v>
      </c>
      <c r="AU146">
        <f>IF(VLOOKUP(AU$1,main!$A$3:$I$56,5,FALSE)-VLOOKUP($A146,main!$A$3:$I$56,6,FALSE)&gt;=VLOOKUP(57,main!$A$57:$I$59,4,FALSE)+VLOOKUP(VLOOKUP(AU$1,main!$A$3:$I$56,7,FALSE),main!$K$10:$Q$14,5,FALSE),1,0)</f>
        <v>0</v>
      </c>
      <c r="AV146">
        <f>IF(VLOOKUP(AV$1,main!$A$3:$I$56,5,FALSE)-VLOOKUP($A146,main!$A$3:$I$56,6,FALSE)&gt;=VLOOKUP(57,main!$A$57:$I$59,4,FALSE)+VLOOKUP(VLOOKUP(AV$1,main!$A$3:$I$56,7,FALSE),main!$K$10:$Q$14,5,FALSE),1,0)</f>
        <v>0</v>
      </c>
      <c r="AW146">
        <f>IF(VLOOKUP(AW$1,main!$A$3:$I$56,5,FALSE)-VLOOKUP($A146,main!$A$3:$I$56,6,FALSE)&gt;=VLOOKUP(57,main!$A$57:$I$59,4,FALSE)+VLOOKUP(VLOOKUP(AW$1,main!$A$3:$I$56,7,FALSE),main!$K$10:$Q$14,5,FALSE),1,0)</f>
        <v>0</v>
      </c>
      <c r="AX146">
        <f>IF(VLOOKUP(AX$1,main!$A$3:$I$56,5,FALSE)-VLOOKUP($A146,main!$A$3:$I$56,6,FALSE)&gt;=VLOOKUP(57,main!$A$57:$I$59,4,FALSE)+VLOOKUP(VLOOKUP(AX$1,main!$A$3:$I$56,7,FALSE),main!$K$10:$Q$14,5,FALSE),1,0)</f>
        <v>0</v>
      </c>
      <c r="AY146">
        <f>IF(VLOOKUP(AY$1,main!$A$3:$I$56,5,FALSE)-VLOOKUP($A146,main!$A$3:$I$56,6,FALSE)&gt;=VLOOKUP(57,main!$A$57:$I$59,4,FALSE)+VLOOKUP(VLOOKUP(AY$1,main!$A$3:$I$56,7,FALSE),main!$K$10:$Q$14,5,FALSE),1,0)</f>
        <v>0</v>
      </c>
      <c r="AZ146">
        <f>IF(VLOOKUP(AZ$1,main!$A$3:$I$56,5,FALSE)-VLOOKUP($A146,main!$A$3:$I$56,6,FALSE)&gt;=VLOOKUP(57,main!$A$57:$I$59,4,FALSE)+VLOOKUP(VLOOKUP(AZ$1,main!$A$3:$I$56,7,FALSE),main!$K$10:$Q$14,5,FALSE),1,0)</f>
        <v>0</v>
      </c>
      <c r="BA146">
        <f>IF(VLOOKUP(BA$1,main!$A$3:$I$56,5,FALSE)-VLOOKUP($A146,main!$A$3:$I$56,6,FALSE)&gt;=VLOOKUP(57,main!$A$57:$I$59,4,FALSE)+VLOOKUP(VLOOKUP(BA$1,main!$A$3:$I$56,7,FALSE),main!$K$10:$Q$14,5,FALSE),1,0)</f>
        <v>0</v>
      </c>
      <c r="BB146">
        <f>IF(VLOOKUP(BB$1,main!$A$3:$I$56,5,FALSE)-VLOOKUP($A146,main!$A$3:$I$56,6,FALSE)&gt;=VLOOKUP(57,main!$A$57:$I$59,4,FALSE)+VLOOKUP(VLOOKUP(BB$1,main!$A$3:$I$56,7,FALSE),main!$K$10:$Q$14,5,FALSE),1,0)</f>
        <v>0</v>
      </c>
      <c r="BC146">
        <f>IF(VLOOKUP(BC$1,main!$A$3:$I$56,5,FALSE)-VLOOKUP($A146,main!$A$3:$I$56,6,FALSE)&gt;=VLOOKUP(57,main!$A$57:$I$59,4,FALSE)+VLOOKUP(VLOOKUP(BC$1,main!$A$3:$I$56,7,FALSE),main!$K$10:$Q$14,5,FALSE),1,0)</f>
        <v>0</v>
      </c>
      <c r="BD146">
        <f>IF(VLOOKUP(BD$1,main!$A$3:$I$56,5,FALSE)-VLOOKUP($A146,main!$A$3:$I$56,6,FALSE)&gt;=VLOOKUP(57,main!$A$57:$I$59,4,FALSE)+VLOOKUP(VLOOKUP(BD$1,main!$A$3:$I$56,7,FALSE),main!$K$10:$Q$14,5,FALSE),1,0)</f>
        <v>0</v>
      </c>
    </row>
    <row r="147" spans="1:56" x14ac:dyDescent="0.25">
      <c r="A147">
        <f t="shared" si="2"/>
        <v>35</v>
      </c>
      <c r="B147">
        <v>0</v>
      </c>
      <c r="C147">
        <f>IF(VLOOKUP(C$1,main!$A$3:$I$56,5,FALSE)-VLOOKUP($A147,main!$A$3:$I$56,6,FALSE)&gt;=VLOOKUP(57,main!$A$57:$I$59,4,FALSE)+VLOOKUP(VLOOKUP(C$1,main!$A$3:$I$56,7,FALSE),main!$K$10:$Q$14,5,FALSE),1,0)</f>
        <v>0</v>
      </c>
      <c r="D147">
        <f>IF(VLOOKUP(D$1,main!$A$3:$I$56,5,FALSE)-VLOOKUP($A147,main!$A$3:$I$56,6,FALSE)&gt;=VLOOKUP(57,main!$A$57:$I$59,4,FALSE)+VLOOKUP(VLOOKUP(D$1,main!$A$3:$I$56,7,FALSE),main!$K$10:$Q$14,5,FALSE),1,0)</f>
        <v>0</v>
      </c>
      <c r="E147">
        <f>IF(VLOOKUP(E$1,main!$A$3:$I$56,5,FALSE)-VLOOKUP($A147,main!$A$3:$I$56,6,FALSE)&gt;=VLOOKUP(57,main!$A$57:$I$59,4,FALSE)+VLOOKUP(VLOOKUP(E$1,main!$A$3:$I$56,7,FALSE),main!$K$10:$Q$14,5,FALSE),1,0)</f>
        <v>0</v>
      </c>
      <c r="F147">
        <f>IF(VLOOKUP(F$1,main!$A$3:$I$56,5,FALSE)-VLOOKUP($A147,main!$A$3:$I$56,6,FALSE)&gt;=VLOOKUP(57,main!$A$57:$I$59,4,FALSE)+VLOOKUP(VLOOKUP(F$1,main!$A$3:$I$56,7,FALSE),main!$K$10:$Q$14,5,FALSE),1,0)</f>
        <v>0</v>
      </c>
      <c r="G147">
        <f>IF(VLOOKUP(G$1,main!$A$3:$I$56,5,FALSE)-VLOOKUP($A147,main!$A$3:$I$56,6,FALSE)&gt;=VLOOKUP(57,main!$A$57:$I$59,4,FALSE)+VLOOKUP(VLOOKUP(G$1,main!$A$3:$I$56,7,FALSE),main!$K$10:$Q$14,5,FALSE),1,0)</f>
        <v>0</v>
      </c>
      <c r="H147">
        <f>IF(VLOOKUP(H$1,main!$A$3:$I$56,5,FALSE)-VLOOKUP($A147,main!$A$3:$I$56,6,FALSE)&gt;=VLOOKUP(57,main!$A$57:$I$59,4,FALSE)+VLOOKUP(VLOOKUP(H$1,main!$A$3:$I$56,7,FALSE),main!$K$10:$Q$14,5,FALSE),1,0)</f>
        <v>0</v>
      </c>
      <c r="I147">
        <f>IF(VLOOKUP(I$1,main!$A$3:$I$56,5,FALSE)-VLOOKUP($A147,main!$A$3:$I$56,6,FALSE)&gt;=VLOOKUP(57,main!$A$57:$I$59,4,FALSE)+VLOOKUP(VLOOKUP(I$1,main!$A$3:$I$56,7,FALSE),main!$K$10:$Q$14,5,FALSE),1,0)</f>
        <v>0</v>
      </c>
      <c r="J147">
        <f>IF(VLOOKUP(J$1,main!$A$3:$I$56,5,FALSE)-VLOOKUP($A147,main!$A$3:$I$56,6,FALSE)&gt;=VLOOKUP(57,main!$A$57:$I$59,4,FALSE)+VLOOKUP(VLOOKUP(J$1,main!$A$3:$I$56,7,FALSE),main!$K$10:$Q$14,5,FALSE),1,0)</f>
        <v>0</v>
      </c>
      <c r="K147">
        <f>IF(VLOOKUP(K$1,main!$A$3:$I$56,5,FALSE)-VLOOKUP($A147,main!$A$3:$I$56,6,FALSE)&gt;=VLOOKUP(57,main!$A$57:$I$59,4,FALSE)+VLOOKUP(VLOOKUP(K$1,main!$A$3:$I$56,7,FALSE),main!$K$10:$Q$14,5,FALSE),1,0)</f>
        <v>0</v>
      </c>
      <c r="L147">
        <f>IF(VLOOKUP(L$1,main!$A$3:$I$56,5,FALSE)-VLOOKUP($A147,main!$A$3:$I$56,6,FALSE)&gt;=VLOOKUP(57,main!$A$57:$I$59,4,FALSE)+VLOOKUP(VLOOKUP(L$1,main!$A$3:$I$56,7,FALSE),main!$K$10:$Q$14,5,FALSE),1,0)</f>
        <v>0</v>
      </c>
      <c r="M147">
        <f>IF(VLOOKUP(M$1,main!$A$3:$I$56,5,FALSE)-VLOOKUP($A147,main!$A$3:$I$56,6,FALSE)&gt;=VLOOKUP(57,main!$A$57:$I$59,4,FALSE)+VLOOKUP(VLOOKUP(M$1,main!$A$3:$I$56,7,FALSE),main!$K$10:$Q$14,5,FALSE),1,0)</f>
        <v>0</v>
      </c>
      <c r="N147">
        <f>IF(VLOOKUP(N$1,main!$A$3:$I$56,5,FALSE)-VLOOKUP($A147,main!$A$3:$I$56,6,FALSE)&gt;=VLOOKUP(57,main!$A$57:$I$59,4,FALSE)+VLOOKUP(VLOOKUP(N$1,main!$A$3:$I$56,7,FALSE),main!$K$10:$Q$14,5,FALSE),1,0)</f>
        <v>0</v>
      </c>
      <c r="O147">
        <f>IF(VLOOKUP(O$1,main!$A$3:$I$56,5,FALSE)-VLOOKUP($A147,main!$A$3:$I$56,6,FALSE)&gt;=VLOOKUP(57,main!$A$57:$I$59,4,FALSE)+VLOOKUP(VLOOKUP(O$1,main!$A$3:$I$56,7,FALSE),main!$K$10:$Q$14,5,FALSE),1,0)</f>
        <v>0</v>
      </c>
      <c r="P147">
        <f>IF(VLOOKUP(P$1,main!$A$3:$I$56,5,FALSE)-VLOOKUP($A147,main!$A$3:$I$56,6,FALSE)&gt;=VLOOKUP(57,main!$A$57:$I$59,4,FALSE)+VLOOKUP(VLOOKUP(P$1,main!$A$3:$I$56,7,FALSE),main!$K$10:$Q$14,5,FALSE),1,0)</f>
        <v>0</v>
      </c>
      <c r="Q147">
        <f>IF(VLOOKUP(Q$1,main!$A$3:$I$56,5,FALSE)-VLOOKUP($A147,main!$A$3:$I$56,6,FALSE)&gt;=VLOOKUP(57,main!$A$57:$I$59,4,FALSE)+VLOOKUP(VLOOKUP(Q$1,main!$A$3:$I$56,7,FALSE),main!$K$10:$Q$14,5,FALSE),1,0)</f>
        <v>0</v>
      </c>
      <c r="R147">
        <f>IF(VLOOKUP(R$1,main!$A$3:$I$56,5,FALSE)-VLOOKUP($A147,main!$A$3:$I$56,6,FALSE)&gt;=VLOOKUP(57,main!$A$57:$I$59,4,FALSE)+VLOOKUP(VLOOKUP(R$1,main!$A$3:$I$56,7,FALSE),main!$K$10:$Q$14,5,FALSE),1,0)</f>
        <v>0</v>
      </c>
      <c r="S147">
        <f>IF(VLOOKUP(S$1,main!$A$3:$I$56,5,FALSE)-VLOOKUP($A147,main!$A$3:$I$56,6,FALSE)&gt;=VLOOKUP(57,main!$A$57:$I$59,4,FALSE)+VLOOKUP(VLOOKUP(S$1,main!$A$3:$I$56,7,FALSE),main!$K$10:$Q$14,5,FALSE),1,0)</f>
        <v>0</v>
      </c>
      <c r="T147">
        <f>IF(VLOOKUP(T$1,main!$A$3:$I$56,5,FALSE)-VLOOKUP($A147,main!$A$3:$I$56,6,FALSE)&gt;=VLOOKUP(57,main!$A$57:$I$59,4,FALSE)+VLOOKUP(VLOOKUP(T$1,main!$A$3:$I$56,7,FALSE),main!$K$10:$Q$14,5,FALSE),1,0)</f>
        <v>0</v>
      </c>
      <c r="U147">
        <f>IF(VLOOKUP(U$1,main!$A$3:$I$56,5,FALSE)-VLOOKUP($A147,main!$A$3:$I$56,6,FALSE)&gt;=VLOOKUP(57,main!$A$57:$I$59,4,FALSE)+VLOOKUP(VLOOKUP(U$1,main!$A$3:$I$56,7,FALSE),main!$K$10:$Q$14,5,FALSE),1,0)</f>
        <v>0</v>
      </c>
      <c r="V147">
        <f>IF(VLOOKUP(V$1,main!$A$3:$I$56,5,FALSE)-VLOOKUP($A147,main!$A$3:$I$56,6,FALSE)&gt;=VLOOKUP(57,main!$A$57:$I$59,4,FALSE)+VLOOKUP(VLOOKUP(V$1,main!$A$3:$I$56,7,FALSE),main!$K$10:$Q$14,5,FALSE),1,0)</f>
        <v>0</v>
      </c>
      <c r="W147">
        <f>IF(VLOOKUP(W$1,main!$A$3:$I$56,5,FALSE)-VLOOKUP($A147,main!$A$3:$I$56,6,FALSE)&gt;=VLOOKUP(57,main!$A$57:$I$59,4,FALSE)+VLOOKUP(VLOOKUP(W$1,main!$A$3:$I$56,7,FALSE),main!$K$10:$Q$14,5,FALSE),1,0)</f>
        <v>0</v>
      </c>
      <c r="X147">
        <f>IF(VLOOKUP(X$1,main!$A$3:$I$56,5,FALSE)-VLOOKUP($A147,main!$A$3:$I$56,6,FALSE)&gt;=VLOOKUP(57,main!$A$57:$I$59,4,FALSE)+VLOOKUP(VLOOKUP(X$1,main!$A$3:$I$56,7,FALSE),main!$K$10:$Q$14,5,FALSE),1,0)</f>
        <v>0</v>
      </c>
      <c r="Y147">
        <f>IF(VLOOKUP(Y$1,main!$A$3:$I$56,5,FALSE)-VLOOKUP($A147,main!$A$3:$I$56,6,FALSE)&gt;=VLOOKUP(57,main!$A$57:$I$59,4,FALSE)+VLOOKUP(VLOOKUP(Y$1,main!$A$3:$I$56,7,FALSE),main!$K$10:$Q$14,5,FALSE),1,0)</f>
        <v>0</v>
      </c>
      <c r="Z147">
        <f>IF(VLOOKUP(Z$1,main!$A$3:$I$56,5,FALSE)-VLOOKUP($A147,main!$A$3:$I$56,6,FALSE)&gt;=VLOOKUP(57,main!$A$57:$I$59,4,FALSE)+VLOOKUP(VLOOKUP(Z$1,main!$A$3:$I$56,7,FALSE),main!$K$10:$Q$14,5,FALSE),1,0)</f>
        <v>0</v>
      </c>
      <c r="AA147">
        <f>IF(VLOOKUP(AA$1,main!$A$3:$I$56,5,FALSE)-VLOOKUP($A147,main!$A$3:$I$56,6,FALSE)&gt;=VLOOKUP(57,main!$A$57:$I$59,4,FALSE)+VLOOKUP(VLOOKUP(AA$1,main!$A$3:$I$56,7,FALSE),main!$K$10:$Q$14,5,FALSE),1,0)</f>
        <v>0</v>
      </c>
      <c r="AB147">
        <f>IF(VLOOKUP(AB$1,main!$A$3:$I$56,5,FALSE)-VLOOKUP($A147,main!$A$3:$I$56,6,FALSE)&gt;=VLOOKUP(57,main!$A$57:$I$59,4,FALSE)+VLOOKUP(VLOOKUP(AB$1,main!$A$3:$I$56,7,FALSE),main!$K$10:$Q$14,5,FALSE),1,0)</f>
        <v>0</v>
      </c>
      <c r="AC147">
        <f>IF(VLOOKUP(AC$1,main!$A$3:$I$56,5,FALSE)-VLOOKUP($A147,main!$A$3:$I$56,6,FALSE)&gt;=VLOOKUP(57,main!$A$57:$I$59,4,FALSE)+VLOOKUP(VLOOKUP(AC$1,main!$A$3:$I$56,7,FALSE),main!$K$10:$Q$14,5,FALSE),1,0)</f>
        <v>0</v>
      </c>
      <c r="AD147">
        <f>IF(VLOOKUP(AD$1,main!$A$3:$I$56,5,FALSE)-VLOOKUP($A147,main!$A$3:$I$56,6,FALSE)&gt;=VLOOKUP(57,main!$A$57:$I$59,4,FALSE)+VLOOKUP(VLOOKUP(AD$1,main!$A$3:$I$56,7,FALSE),main!$K$10:$Q$14,5,FALSE),1,0)</f>
        <v>0</v>
      </c>
      <c r="AE147">
        <f>IF(VLOOKUP(AE$1,main!$A$3:$I$56,5,FALSE)-VLOOKUP($A147,main!$A$3:$I$56,6,FALSE)&gt;=VLOOKUP(57,main!$A$57:$I$59,4,FALSE)+VLOOKUP(VLOOKUP(AE$1,main!$A$3:$I$56,7,FALSE),main!$K$10:$Q$14,5,FALSE),1,0)</f>
        <v>0</v>
      </c>
      <c r="AF147">
        <f>IF(VLOOKUP(AF$1,main!$A$3:$I$56,5,FALSE)-VLOOKUP($A147,main!$A$3:$I$56,6,FALSE)&gt;=VLOOKUP(57,main!$A$57:$I$59,4,FALSE)+VLOOKUP(VLOOKUP(AF$1,main!$A$3:$I$56,7,FALSE),main!$K$10:$Q$14,5,FALSE),1,0)</f>
        <v>0</v>
      </c>
      <c r="AG147">
        <f>IF(VLOOKUP(AG$1,main!$A$3:$I$56,5,FALSE)-VLOOKUP($A147,main!$A$3:$I$56,6,FALSE)&gt;=VLOOKUP(57,main!$A$57:$I$59,4,FALSE)+VLOOKUP(VLOOKUP(AG$1,main!$A$3:$I$56,7,FALSE),main!$K$10:$Q$14,5,FALSE),1,0)</f>
        <v>0</v>
      </c>
      <c r="AH147">
        <f>IF(VLOOKUP(AH$1,main!$A$3:$I$56,5,FALSE)-VLOOKUP($A147,main!$A$3:$I$56,6,FALSE)&gt;=VLOOKUP(57,main!$A$57:$I$59,4,FALSE)+VLOOKUP(VLOOKUP(AH$1,main!$A$3:$I$56,7,FALSE),main!$K$10:$Q$14,5,FALSE),1,0)</f>
        <v>0</v>
      </c>
      <c r="AI147">
        <f>IF(VLOOKUP(AI$1,main!$A$3:$I$56,5,FALSE)-VLOOKUP($A147,main!$A$3:$I$56,6,FALSE)&gt;=VLOOKUP(57,main!$A$57:$I$59,4,FALSE)+VLOOKUP(VLOOKUP(AI$1,main!$A$3:$I$56,7,FALSE),main!$K$10:$Q$14,5,FALSE),1,0)</f>
        <v>0</v>
      </c>
      <c r="AJ147">
        <f>IF(VLOOKUP(AJ$1,main!$A$3:$I$56,5,FALSE)-VLOOKUP($A147,main!$A$3:$I$56,6,FALSE)&gt;=VLOOKUP(57,main!$A$57:$I$59,4,FALSE)+VLOOKUP(VLOOKUP(AJ$1,main!$A$3:$I$56,7,FALSE),main!$K$10:$Q$14,5,FALSE),1,0)</f>
        <v>0</v>
      </c>
      <c r="AK147">
        <f>IF(VLOOKUP(AK$1,main!$A$3:$I$56,5,FALSE)-VLOOKUP($A147,main!$A$3:$I$56,6,FALSE)&gt;=VLOOKUP(57,main!$A$57:$I$59,4,FALSE)+VLOOKUP(VLOOKUP(AK$1,main!$A$3:$I$56,7,FALSE),main!$K$10:$Q$14,5,FALSE),1,0)</f>
        <v>0</v>
      </c>
      <c r="AL147">
        <f>IF(VLOOKUP(AL$1,main!$A$3:$I$56,5,FALSE)-VLOOKUP($A147,main!$A$3:$I$56,6,FALSE)&gt;=VLOOKUP(57,main!$A$57:$I$59,4,FALSE)+VLOOKUP(VLOOKUP(AL$1,main!$A$3:$I$56,7,FALSE),main!$K$10:$Q$14,5,FALSE),1,0)</f>
        <v>0</v>
      </c>
      <c r="AM147">
        <f>IF(VLOOKUP(AM$1,main!$A$3:$I$56,5,FALSE)-VLOOKUP($A147,main!$A$3:$I$56,6,FALSE)&gt;=VLOOKUP(57,main!$A$57:$I$59,4,FALSE)+VLOOKUP(VLOOKUP(AM$1,main!$A$3:$I$56,7,FALSE),main!$K$10:$Q$14,5,FALSE),1,0)</f>
        <v>0</v>
      </c>
      <c r="AN147">
        <f>IF(VLOOKUP(AN$1,main!$A$3:$I$56,5,FALSE)-VLOOKUP($A147,main!$A$3:$I$56,6,FALSE)&gt;=VLOOKUP(57,main!$A$57:$I$59,4,FALSE)+VLOOKUP(VLOOKUP(AN$1,main!$A$3:$I$56,7,FALSE),main!$K$10:$Q$14,5,FALSE),1,0)</f>
        <v>0</v>
      </c>
      <c r="AO147">
        <f>IF(VLOOKUP(AO$1,main!$A$3:$I$56,5,FALSE)-VLOOKUP($A147,main!$A$3:$I$56,6,FALSE)&gt;=VLOOKUP(57,main!$A$57:$I$59,4,FALSE)+VLOOKUP(VLOOKUP(AO$1,main!$A$3:$I$56,7,FALSE),main!$K$10:$Q$14,5,FALSE),1,0)</f>
        <v>0</v>
      </c>
      <c r="AP147">
        <f>IF(VLOOKUP(AP$1,main!$A$3:$I$56,5,FALSE)-VLOOKUP($A147,main!$A$3:$I$56,6,FALSE)&gt;=VLOOKUP(57,main!$A$57:$I$59,4,FALSE)+VLOOKUP(VLOOKUP(AP$1,main!$A$3:$I$56,7,FALSE),main!$K$10:$Q$14,5,FALSE),1,0)</f>
        <v>0</v>
      </c>
      <c r="AQ147">
        <f>IF(VLOOKUP(AQ$1,main!$A$3:$I$56,5,FALSE)-VLOOKUP($A147,main!$A$3:$I$56,6,FALSE)&gt;=VLOOKUP(57,main!$A$57:$I$59,4,FALSE)+VLOOKUP(VLOOKUP(AQ$1,main!$A$3:$I$56,7,FALSE),main!$K$10:$Q$14,5,FALSE),1,0)</f>
        <v>0</v>
      </c>
      <c r="AR147">
        <f>IF(VLOOKUP(AR$1,main!$A$3:$I$56,5,FALSE)-VLOOKUP($A147,main!$A$3:$I$56,6,FALSE)&gt;=VLOOKUP(57,main!$A$57:$I$59,4,FALSE)+VLOOKUP(VLOOKUP(AR$1,main!$A$3:$I$56,7,FALSE),main!$K$10:$Q$14,5,FALSE),1,0)</f>
        <v>0</v>
      </c>
      <c r="AS147">
        <f>IF(VLOOKUP(AS$1,main!$A$3:$I$56,5,FALSE)-VLOOKUP($A147,main!$A$3:$I$56,6,FALSE)&gt;=VLOOKUP(57,main!$A$57:$I$59,4,FALSE)+VLOOKUP(VLOOKUP(AS$1,main!$A$3:$I$56,7,FALSE),main!$K$10:$Q$14,5,FALSE),1,0)</f>
        <v>0</v>
      </c>
      <c r="AT147">
        <f>IF(VLOOKUP(AT$1,main!$A$3:$I$56,5,FALSE)-VLOOKUP($A147,main!$A$3:$I$56,6,FALSE)&gt;=VLOOKUP(57,main!$A$57:$I$59,4,FALSE)+VLOOKUP(VLOOKUP(AT$1,main!$A$3:$I$56,7,FALSE),main!$K$10:$Q$14,5,FALSE),1,0)</f>
        <v>0</v>
      </c>
      <c r="AU147">
        <f>IF(VLOOKUP(AU$1,main!$A$3:$I$56,5,FALSE)-VLOOKUP($A147,main!$A$3:$I$56,6,FALSE)&gt;=VLOOKUP(57,main!$A$57:$I$59,4,FALSE)+VLOOKUP(VLOOKUP(AU$1,main!$A$3:$I$56,7,FALSE),main!$K$10:$Q$14,5,FALSE),1,0)</f>
        <v>0</v>
      </c>
      <c r="AV147">
        <f>IF(VLOOKUP(AV$1,main!$A$3:$I$56,5,FALSE)-VLOOKUP($A147,main!$A$3:$I$56,6,FALSE)&gt;=VLOOKUP(57,main!$A$57:$I$59,4,FALSE)+VLOOKUP(VLOOKUP(AV$1,main!$A$3:$I$56,7,FALSE),main!$K$10:$Q$14,5,FALSE),1,0)</f>
        <v>0</v>
      </c>
      <c r="AW147">
        <f>IF(VLOOKUP(AW$1,main!$A$3:$I$56,5,FALSE)-VLOOKUP($A147,main!$A$3:$I$56,6,FALSE)&gt;=VLOOKUP(57,main!$A$57:$I$59,4,FALSE)+VLOOKUP(VLOOKUP(AW$1,main!$A$3:$I$56,7,FALSE),main!$K$10:$Q$14,5,FALSE),1,0)</f>
        <v>0</v>
      </c>
      <c r="AX147">
        <f>IF(VLOOKUP(AX$1,main!$A$3:$I$56,5,FALSE)-VLOOKUP($A147,main!$A$3:$I$56,6,FALSE)&gt;=VLOOKUP(57,main!$A$57:$I$59,4,FALSE)+VLOOKUP(VLOOKUP(AX$1,main!$A$3:$I$56,7,FALSE),main!$K$10:$Q$14,5,FALSE),1,0)</f>
        <v>0</v>
      </c>
      <c r="AY147">
        <f>IF(VLOOKUP(AY$1,main!$A$3:$I$56,5,FALSE)-VLOOKUP($A147,main!$A$3:$I$56,6,FALSE)&gt;=VLOOKUP(57,main!$A$57:$I$59,4,FALSE)+VLOOKUP(VLOOKUP(AY$1,main!$A$3:$I$56,7,FALSE),main!$K$10:$Q$14,5,FALSE),1,0)</f>
        <v>0</v>
      </c>
      <c r="AZ147">
        <f>IF(VLOOKUP(AZ$1,main!$A$3:$I$56,5,FALSE)-VLOOKUP($A147,main!$A$3:$I$56,6,FALSE)&gt;=VLOOKUP(57,main!$A$57:$I$59,4,FALSE)+VLOOKUP(VLOOKUP(AZ$1,main!$A$3:$I$56,7,FALSE),main!$K$10:$Q$14,5,FALSE),1,0)</f>
        <v>0</v>
      </c>
      <c r="BA147">
        <f>IF(VLOOKUP(BA$1,main!$A$3:$I$56,5,FALSE)-VLOOKUP($A147,main!$A$3:$I$56,6,FALSE)&gt;=VLOOKUP(57,main!$A$57:$I$59,4,FALSE)+VLOOKUP(VLOOKUP(BA$1,main!$A$3:$I$56,7,FALSE),main!$K$10:$Q$14,5,FALSE),1,0)</f>
        <v>0</v>
      </c>
      <c r="BB147">
        <f>IF(VLOOKUP(BB$1,main!$A$3:$I$56,5,FALSE)-VLOOKUP($A147,main!$A$3:$I$56,6,FALSE)&gt;=VLOOKUP(57,main!$A$57:$I$59,4,FALSE)+VLOOKUP(VLOOKUP(BB$1,main!$A$3:$I$56,7,FALSE),main!$K$10:$Q$14,5,FALSE),1,0)</f>
        <v>0</v>
      </c>
      <c r="BC147">
        <f>IF(VLOOKUP(BC$1,main!$A$3:$I$56,5,FALSE)-VLOOKUP($A147,main!$A$3:$I$56,6,FALSE)&gt;=VLOOKUP(57,main!$A$57:$I$59,4,FALSE)+VLOOKUP(VLOOKUP(BC$1,main!$A$3:$I$56,7,FALSE),main!$K$10:$Q$14,5,FALSE),1,0)</f>
        <v>0</v>
      </c>
      <c r="BD147">
        <f>IF(VLOOKUP(BD$1,main!$A$3:$I$56,5,FALSE)-VLOOKUP($A147,main!$A$3:$I$56,6,FALSE)&gt;=VLOOKUP(57,main!$A$57:$I$59,4,FALSE)+VLOOKUP(VLOOKUP(BD$1,main!$A$3:$I$56,7,FALSE),main!$K$10:$Q$14,5,FALSE),1,0)</f>
        <v>0</v>
      </c>
    </row>
    <row r="148" spans="1:56" x14ac:dyDescent="0.25">
      <c r="A148">
        <f t="shared" si="2"/>
        <v>36</v>
      </c>
      <c r="B148">
        <v>0</v>
      </c>
      <c r="C148">
        <f>IF(VLOOKUP(C$1,main!$A$3:$I$56,5,FALSE)-VLOOKUP($A148,main!$A$3:$I$56,6,FALSE)&gt;=VLOOKUP(57,main!$A$57:$I$59,4,FALSE)+VLOOKUP(VLOOKUP(C$1,main!$A$3:$I$56,7,FALSE),main!$K$10:$Q$14,5,FALSE),1,0)</f>
        <v>0</v>
      </c>
      <c r="D148">
        <f>IF(VLOOKUP(D$1,main!$A$3:$I$56,5,FALSE)-VLOOKUP($A148,main!$A$3:$I$56,6,FALSE)&gt;=VLOOKUP(57,main!$A$57:$I$59,4,FALSE)+VLOOKUP(VLOOKUP(D$1,main!$A$3:$I$56,7,FALSE),main!$K$10:$Q$14,5,FALSE),1,0)</f>
        <v>0</v>
      </c>
      <c r="E148">
        <f>IF(VLOOKUP(E$1,main!$A$3:$I$56,5,FALSE)-VLOOKUP($A148,main!$A$3:$I$56,6,FALSE)&gt;=VLOOKUP(57,main!$A$57:$I$59,4,FALSE)+VLOOKUP(VLOOKUP(E$1,main!$A$3:$I$56,7,FALSE),main!$K$10:$Q$14,5,FALSE),1,0)</f>
        <v>0</v>
      </c>
      <c r="F148">
        <f>IF(VLOOKUP(F$1,main!$A$3:$I$56,5,FALSE)-VLOOKUP($A148,main!$A$3:$I$56,6,FALSE)&gt;=VLOOKUP(57,main!$A$57:$I$59,4,FALSE)+VLOOKUP(VLOOKUP(F$1,main!$A$3:$I$56,7,FALSE),main!$K$10:$Q$14,5,FALSE),1,0)</f>
        <v>1</v>
      </c>
      <c r="G148">
        <f>IF(VLOOKUP(G$1,main!$A$3:$I$56,5,FALSE)-VLOOKUP($A148,main!$A$3:$I$56,6,FALSE)&gt;=VLOOKUP(57,main!$A$57:$I$59,4,FALSE)+VLOOKUP(VLOOKUP(G$1,main!$A$3:$I$56,7,FALSE),main!$K$10:$Q$14,5,FALSE),1,0)</f>
        <v>1</v>
      </c>
      <c r="H148">
        <f>IF(VLOOKUP(H$1,main!$A$3:$I$56,5,FALSE)-VLOOKUP($A148,main!$A$3:$I$56,6,FALSE)&gt;=VLOOKUP(57,main!$A$57:$I$59,4,FALSE)+VLOOKUP(VLOOKUP(H$1,main!$A$3:$I$56,7,FALSE),main!$K$10:$Q$14,5,FALSE),1,0)</f>
        <v>1</v>
      </c>
      <c r="I148">
        <f>IF(VLOOKUP(I$1,main!$A$3:$I$56,5,FALSE)-VLOOKUP($A148,main!$A$3:$I$56,6,FALSE)&gt;=VLOOKUP(57,main!$A$57:$I$59,4,FALSE)+VLOOKUP(VLOOKUP(I$1,main!$A$3:$I$56,7,FALSE),main!$K$10:$Q$14,5,FALSE),1,0)</f>
        <v>1</v>
      </c>
      <c r="J148">
        <f>IF(VLOOKUP(J$1,main!$A$3:$I$56,5,FALSE)-VLOOKUP($A148,main!$A$3:$I$56,6,FALSE)&gt;=VLOOKUP(57,main!$A$57:$I$59,4,FALSE)+VLOOKUP(VLOOKUP(J$1,main!$A$3:$I$56,7,FALSE),main!$K$10:$Q$14,5,FALSE),1,0)</f>
        <v>1</v>
      </c>
      <c r="K148">
        <f>IF(VLOOKUP(K$1,main!$A$3:$I$56,5,FALSE)-VLOOKUP($A148,main!$A$3:$I$56,6,FALSE)&gt;=VLOOKUP(57,main!$A$57:$I$59,4,FALSE)+VLOOKUP(VLOOKUP(K$1,main!$A$3:$I$56,7,FALSE),main!$K$10:$Q$14,5,FALSE),1,0)</f>
        <v>0</v>
      </c>
      <c r="L148">
        <f>IF(VLOOKUP(L$1,main!$A$3:$I$56,5,FALSE)-VLOOKUP($A148,main!$A$3:$I$56,6,FALSE)&gt;=VLOOKUP(57,main!$A$57:$I$59,4,FALSE)+VLOOKUP(VLOOKUP(L$1,main!$A$3:$I$56,7,FALSE),main!$K$10:$Q$14,5,FALSE),1,0)</f>
        <v>0</v>
      </c>
      <c r="M148">
        <f>IF(VLOOKUP(M$1,main!$A$3:$I$56,5,FALSE)-VLOOKUP($A148,main!$A$3:$I$56,6,FALSE)&gt;=VLOOKUP(57,main!$A$57:$I$59,4,FALSE)+VLOOKUP(VLOOKUP(M$1,main!$A$3:$I$56,7,FALSE),main!$K$10:$Q$14,5,FALSE),1,0)</f>
        <v>0</v>
      </c>
      <c r="N148">
        <f>IF(VLOOKUP(N$1,main!$A$3:$I$56,5,FALSE)-VLOOKUP($A148,main!$A$3:$I$56,6,FALSE)&gt;=VLOOKUP(57,main!$A$57:$I$59,4,FALSE)+VLOOKUP(VLOOKUP(N$1,main!$A$3:$I$56,7,FALSE),main!$K$10:$Q$14,5,FALSE),1,0)</f>
        <v>1</v>
      </c>
      <c r="O148">
        <f>IF(VLOOKUP(O$1,main!$A$3:$I$56,5,FALSE)-VLOOKUP($A148,main!$A$3:$I$56,6,FALSE)&gt;=VLOOKUP(57,main!$A$57:$I$59,4,FALSE)+VLOOKUP(VLOOKUP(O$1,main!$A$3:$I$56,7,FALSE),main!$K$10:$Q$14,5,FALSE),1,0)</f>
        <v>1</v>
      </c>
      <c r="P148">
        <f>IF(VLOOKUP(P$1,main!$A$3:$I$56,5,FALSE)-VLOOKUP($A148,main!$A$3:$I$56,6,FALSE)&gt;=VLOOKUP(57,main!$A$57:$I$59,4,FALSE)+VLOOKUP(VLOOKUP(P$1,main!$A$3:$I$56,7,FALSE),main!$K$10:$Q$14,5,FALSE),1,0)</f>
        <v>0</v>
      </c>
      <c r="Q148">
        <f>IF(VLOOKUP(Q$1,main!$A$3:$I$56,5,FALSE)-VLOOKUP($A148,main!$A$3:$I$56,6,FALSE)&gt;=VLOOKUP(57,main!$A$57:$I$59,4,FALSE)+VLOOKUP(VLOOKUP(Q$1,main!$A$3:$I$56,7,FALSE),main!$K$10:$Q$14,5,FALSE),1,0)</f>
        <v>0</v>
      </c>
      <c r="R148">
        <f>IF(VLOOKUP(R$1,main!$A$3:$I$56,5,FALSE)-VLOOKUP($A148,main!$A$3:$I$56,6,FALSE)&gt;=VLOOKUP(57,main!$A$57:$I$59,4,FALSE)+VLOOKUP(VLOOKUP(R$1,main!$A$3:$I$56,7,FALSE),main!$K$10:$Q$14,5,FALSE),1,0)</f>
        <v>0</v>
      </c>
      <c r="S148">
        <f>IF(VLOOKUP(S$1,main!$A$3:$I$56,5,FALSE)-VLOOKUP($A148,main!$A$3:$I$56,6,FALSE)&gt;=VLOOKUP(57,main!$A$57:$I$59,4,FALSE)+VLOOKUP(VLOOKUP(S$1,main!$A$3:$I$56,7,FALSE),main!$K$10:$Q$14,5,FALSE),1,0)</f>
        <v>1</v>
      </c>
      <c r="T148">
        <f>IF(VLOOKUP(T$1,main!$A$3:$I$56,5,FALSE)-VLOOKUP($A148,main!$A$3:$I$56,6,FALSE)&gt;=VLOOKUP(57,main!$A$57:$I$59,4,FALSE)+VLOOKUP(VLOOKUP(T$1,main!$A$3:$I$56,7,FALSE),main!$K$10:$Q$14,5,FALSE),1,0)</f>
        <v>1</v>
      </c>
      <c r="U148">
        <f>IF(VLOOKUP(U$1,main!$A$3:$I$56,5,FALSE)-VLOOKUP($A148,main!$A$3:$I$56,6,FALSE)&gt;=VLOOKUP(57,main!$A$57:$I$59,4,FALSE)+VLOOKUP(VLOOKUP(U$1,main!$A$3:$I$56,7,FALSE),main!$K$10:$Q$14,5,FALSE),1,0)</f>
        <v>0</v>
      </c>
      <c r="V148">
        <f>IF(VLOOKUP(V$1,main!$A$3:$I$56,5,FALSE)-VLOOKUP($A148,main!$A$3:$I$56,6,FALSE)&gt;=VLOOKUP(57,main!$A$57:$I$59,4,FALSE)+VLOOKUP(VLOOKUP(V$1,main!$A$3:$I$56,7,FALSE),main!$K$10:$Q$14,5,FALSE),1,0)</f>
        <v>0</v>
      </c>
      <c r="W148">
        <f>IF(VLOOKUP(W$1,main!$A$3:$I$56,5,FALSE)-VLOOKUP($A148,main!$A$3:$I$56,6,FALSE)&gt;=VLOOKUP(57,main!$A$57:$I$59,4,FALSE)+VLOOKUP(VLOOKUP(W$1,main!$A$3:$I$56,7,FALSE),main!$K$10:$Q$14,5,FALSE),1,0)</f>
        <v>0</v>
      </c>
      <c r="X148">
        <f>IF(VLOOKUP(X$1,main!$A$3:$I$56,5,FALSE)-VLOOKUP($A148,main!$A$3:$I$56,6,FALSE)&gt;=VLOOKUP(57,main!$A$57:$I$59,4,FALSE)+VLOOKUP(VLOOKUP(X$1,main!$A$3:$I$56,7,FALSE),main!$K$10:$Q$14,5,FALSE),1,0)</f>
        <v>1</v>
      </c>
      <c r="Y148">
        <f>IF(VLOOKUP(Y$1,main!$A$3:$I$56,5,FALSE)-VLOOKUP($A148,main!$A$3:$I$56,6,FALSE)&gt;=VLOOKUP(57,main!$A$57:$I$59,4,FALSE)+VLOOKUP(VLOOKUP(Y$1,main!$A$3:$I$56,7,FALSE),main!$K$10:$Q$14,5,FALSE),1,0)</f>
        <v>1</v>
      </c>
      <c r="Z148">
        <f>IF(VLOOKUP(Z$1,main!$A$3:$I$56,5,FALSE)-VLOOKUP($A148,main!$A$3:$I$56,6,FALSE)&gt;=VLOOKUP(57,main!$A$57:$I$59,4,FALSE)+VLOOKUP(VLOOKUP(Z$1,main!$A$3:$I$56,7,FALSE),main!$K$10:$Q$14,5,FALSE),1,0)</f>
        <v>1</v>
      </c>
      <c r="AA148">
        <f>IF(VLOOKUP(AA$1,main!$A$3:$I$56,5,FALSE)-VLOOKUP($A148,main!$A$3:$I$56,6,FALSE)&gt;=VLOOKUP(57,main!$A$57:$I$59,4,FALSE)+VLOOKUP(VLOOKUP(AA$1,main!$A$3:$I$56,7,FALSE),main!$K$10:$Q$14,5,FALSE),1,0)</f>
        <v>1</v>
      </c>
      <c r="AB148">
        <f>IF(VLOOKUP(AB$1,main!$A$3:$I$56,5,FALSE)-VLOOKUP($A148,main!$A$3:$I$56,6,FALSE)&gt;=VLOOKUP(57,main!$A$57:$I$59,4,FALSE)+VLOOKUP(VLOOKUP(AB$1,main!$A$3:$I$56,7,FALSE),main!$K$10:$Q$14,5,FALSE),1,0)</f>
        <v>1</v>
      </c>
      <c r="AC148">
        <f>IF(VLOOKUP(AC$1,main!$A$3:$I$56,5,FALSE)-VLOOKUP($A148,main!$A$3:$I$56,6,FALSE)&gt;=VLOOKUP(57,main!$A$57:$I$59,4,FALSE)+VLOOKUP(VLOOKUP(AC$1,main!$A$3:$I$56,7,FALSE),main!$K$10:$Q$14,5,FALSE),1,0)</f>
        <v>0</v>
      </c>
      <c r="AD148">
        <f>IF(VLOOKUP(AD$1,main!$A$3:$I$56,5,FALSE)-VLOOKUP($A148,main!$A$3:$I$56,6,FALSE)&gt;=VLOOKUP(57,main!$A$57:$I$59,4,FALSE)+VLOOKUP(VLOOKUP(AD$1,main!$A$3:$I$56,7,FALSE),main!$K$10:$Q$14,5,FALSE),1,0)</f>
        <v>0</v>
      </c>
      <c r="AE148">
        <f>IF(VLOOKUP(AE$1,main!$A$3:$I$56,5,FALSE)-VLOOKUP($A148,main!$A$3:$I$56,6,FALSE)&gt;=VLOOKUP(57,main!$A$57:$I$59,4,FALSE)+VLOOKUP(VLOOKUP(AE$1,main!$A$3:$I$56,7,FALSE),main!$K$10:$Q$14,5,FALSE),1,0)</f>
        <v>1</v>
      </c>
      <c r="AF148">
        <f>IF(VLOOKUP(AF$1,main!$A$3:$I$56,5,FALSE)-VLOOKUP($A148,main!$A$3:$I$56,6,FALSE)&gt;=VLOOKUP(57,main!$A$57:$I$59,4,FALSE)+VLOOKUP(VLOOKUP(AF$1,main!$A$3:$I$56,7,FALSE),main!$K$10:$Q$14,5,FALSE),1,0)</f>
        <v>1</v>
      </c>
      <c r="AG148">
        <f>IF(VLOOKUP(AG$1,main!$A$3:$I$56,5,FALSE)-VLOOKUP($A148,main!$A$3:$I$56,6,FALSE)&gt;=VLOOKUP(57,main!$A$57:$I$59,4,FALSE)+VLOOKUP(VLOOKUP(AG$1,main!$A$3:$I$56,7,FALSE),main!$K$10:$Q$14,5,FALSE),1,0)</f>
        <v>0</v>
      </c>
      <c r="AH148">
        <f>IF(VLOOKUP(AH$1,main!$A$3:$I$56,5,FALSE)-VLOOKUP($A148,main!$A$3:$I$56,6,FALSE)&gt;=VLOOKUP(57,main!$A$57:$I$59,4,FALSE)+VLOOKUP(VLOOKUP(AH$1,main!$A$3:$I$56,7,FALSE),main!$K$10:$Q$14,5,FALSE),1,0)</f>
        <v>0</v>
      </c>
      <c r="AI148">
        <f>IF(VLOOKUP(AI$1,main!$A$3:$I$56,5,FALSE)-VLOOKUP($A148,main!$A$3:$I$56,6,FALSE)&gt;=VLOOKUP(57,main!$A$57:$I$59,4,FALSE)+VLOOKUP(VLOOKUP(AI$1,main!$A$3:$I$56,7,FALSE),main!$K$10:$Q$14,5,FALSE),1,0)</f>
        <v>0</v>
      </c>
      <c r="AJ148">
        <f>IF(VLOOKUP(AJ$1,main!$A$3:$I$56,5,FALSE)-VLOOKUP($A148,main!$A$3:$I$56,6,FALSE)&gt;=VLOOKUP(57,main!$A$57:$I$59,4,FALSE)+VLOOKUP(VLOOKUP(AJ$1,main!$A$3:$I$56,7,FALSE),main!$K$10:$Q$14,5,FALSE),1,0)</f>
        <v>1</v>
      </c>
      <c r="AK148">
        <f>IF(VLOOKUP(AK$1,main!$A$3:$I$56,5,FALSE)-VLOOKUP($A148,main!$A$3:$I$56,6,FALSE)&gt;=VLOOKUP(57,main!$A$57:$I$59,4,FALSE)+VLOOKUP(VLOOKUP(AK$1,main!$A$3:$I$56,7,FALSE),main!$K$10:$Q$14,5,FALSE),1,0)</f>
        <v>1</v>
      </c>
      <c r="AL148">
        <f>IF(VLOOKUP(AL$1,main!$A$3:$I$56,5,FALSE)-VLOOKUP($A148,main!$A$3:$I$56,6,FALSE)&gt;=VLOOKUP(57,main!$A$57:$I$59,4,FALSE)+VLOOKUP(VLOOKUP(AL$1,main!$A$3:$I$56,7,FALSE),main!$K$10:$Q$14,5,FALSE),1,0)</f>
        <v>0</v>
      </c>
      <c r="AM148">
        <f>IF(VLOOKUP(AM$1,main!$A$3:$I$56,5,FALSE)-VLOOKUP($A148,main!$A$3:$I$56,6,FALSE)&gt;=VLOOKUP(57,main!$A$57:$I$59,4,FALSE)+VLOOKUP(VLOOKUP(AM$1,main!$A$3:$I$56,7,FALSE),main!$K$10:$Q$14,5,FALSE),1,0)</f>
        <v>0</v>
      </c>
      <c r="AN148">
        <f>IF(VLOOKUP(AN$1,main!$A$3:$I$56,5,FALSE)-VLOOKUP($A148,main!$A$3:$I$56,6,FALSE)&gt;=VLOOKUP(57,main!$A$57:$I$59,4,FALSE)+VLOOKUP(VLOOKUP(AN$1,main!$A$3:$I$56,7,FALSE),main!$K$10:$Q$14,5,FALSE),1,0)</f>
        <v>1</v>
      </c>
      <c r="AO148">
        <f>IF(VLOOKUP(AO$1,main!$A$3:$I$56,5,FALSE)-VLOOKUP($A148,main!$A$3:$I$56,6,FALSE)&gt;=VLOOKUP(57,main!$A$57:$I$59,4,FALSE)+VLOOKUP(VLOOKUP(AO$1,main!$A$3:$I$56,7,FALSE),main!$K$10:$Q$14,5,FALSE),1,0)</f>
        <v>1</v>
      </c>
      <c r="AP148">
        <f>IF(VLOOKUP(AP$1,main!$A$3:$I$56,5,FALSE)-VLOOKUP($A148,main!$A$3:$I$56,6,FALSE)&gt;=VLOOKUP(57,main!$A$57:$I$59,4,FALSE)+VLOOKUP(VLOOKUP(AP$1,main!$A$3:$I$56,7,FALSE),main!$K$10:$Q$14,5,FALSE),1,0)</f>
        <v>0</v>
      </c>
      <c r="AQ148">
        <f>IF(VLOOKUP(AQ$1,main!$A$3:$I$56,5,FALSE)-VLOOKUP($A148,main!$A$3:$I$56,6,FALSE)&gt;=VLOOKUP(57,main!$A$57:$I$59,4,FALSE)+VLOOKUP(VLOOKUP(AQ$1,main!$A$3:$I$56,7,FALSE),main!$K$10:$Q$14,5,FALSE),1,0)</f>
        <v>0</v>
      </c>
      <c r="AR148">
        <f>IF(VLOOKUP(AR$1,main!$A$3:$I$56,5,FALSE)-VLOOKUP($A148,main!$A$3:$I$56,6,FALSE)&gt;=VLOOKUP(57,main!$A$57:$I$59,4,FALSE)+VLOOKUP(VLOOKUP(AR$1,main!$A$3:$I$56,7,FALSE),main!$K$10:$Q$14,5,FALSE),1,0)</f>
        <v>0</v>
      </c>
      <c r="AS148">
        <f>IF(VLOOKUP(AS$1,main!$A$3:$I$56,5,FALSE)-VLOOKUP($A148,main!$A$3:$I$56,6,FALSE)&gt;=VLOOKUP(57,main!$A$57:$I$59,4,FALSE)+VLOOKUP(VLOOKUP(AS$1,main!$A$3:$I$56,7,FALSE),main!$K$10:$Q$14,5,FALSE),1,0)</f>
        <v>0</v>
      </c>
      <c r="AT148">
        <f>IF(VLOOKUP(AT$1,main!$A$3:$I$56,5,FALSE)-VLOOKUP($A148,main!$A$3:$I$56,6,FALSE)&gt;=VLOOKUP(57,main!$A$57:$I$59,4,FALSE)+VLOOKUP(VLOOKUP(AT$1,main!$A$3:$I$56,7,FALSE),main!$K$10:$Q$14,5,FALSE),1,0)</f>
        <v>0</v>
      </c>
      <c r="AU148">
        <f>IF(VLOOKUP(AU$1,main!$A$3:$I$56,5,FALSE)-VLOOKUP($A148,main!$A$3:$I$56,6,FALSE)&gt;=VLOOKUP(57,main!$A$57:$I$59,4,FALSE)+VLOOKUP(VLOOKUP(AU$1,main!$A$3:$I$56,7,FALSE),main!$K$10:$Q$14,5,FALSE),1,0)</f>
        <v>0</v>
      </c>
      <c r="AV148">
        <f>IF(VLOOKUP(AV$1,main!$A$3:$I$56,5,FALSE)-VLOOKUP($A148,main!$A$3:$I$56,6,FALSE)&gt;=VLOOKUP(57,main!$A$57:$I$59,4,FALSE)+VLOOKUP(VLOOKUP(AV$1,main!$A$3:$I$56,7,FALSE),main!$K$10:$Q$14,5,FALSE),1,0)</f>
        <v>0</v>
      </c>
      <c r="AW148">
        <f>IF(VLOOKUP(AW$1,main!$A$3:$I$56,5,FALSE)-VLOOKUP($A148,main!$A$3:$I$56,6,FALSE)&gt;=VLOOKUP(57,main!$A$57:$I$59,4,FALSE)+VLOOKUP(VLOOKUP(AW$1,main!$A$3:$I$56,7,FALSE),main!$K$10:$Q$14,5,FALSE),1,0)</f>
        <v>0</v>
      </c>
      <c r="AX148">
        <f>IF(VLOOKUP(AX$1,main!$A$3:$I$56,5,FALSE)-VLOOKUP($A148,main!$A$3:$I$56,6,FALSE)&gt;=VLOOKUP(57,main!$A$57:$I$59,4,FALSE)+VLOOKUP(VLOOKUP(AX$1,main!$A$3:$I$56,7,FALSE),main!$K$10:$Q$14,5,FALSE),1,0)</f>
        <v>1</v>
      </c>
      <c r="AY148">
        <f>IF(VLOOKUP(AY$1,main!$A$3:$I$56,5,FALSE)-VLOOKUP($A148,main!$A$3:$I$56,6,FALSE)&gt;=VLOOKUP(57,main!$A$57:$I$59,4,FALSE)+VLOOKUP(VLOOKUP(AY$1,main!$A$3:$I$56,7,FALSE),main!$K$10:$Q$14,5,FALSE),1,0)</f>
        <v>1</v>
      </c>
      <c r="AZ148">
        <f>IF(VLOOKUP(AZ$1,main!$A$3:$I$56,5,FALSE)-VLOOKUP($A148,main!$A$3:$I$56,6,FALSE)&gt;=VLOOKUP(57,main!$A$57:$I$59,4,FALSE)+VLOOKUP(VLOOKUP(AZ$1,main!$A$3:$I$56,7,FALSE),main!$K$10:$Q$14,5,FALSE),1,0)</f>
        <v>0</v>
      </c>
      <c r="BA148">
        <f>IF(VLOOKUP(BA$1,main!$A$3:$I$56,5,FALSE)-VLOOKUP($A148,main!$A$3:$I$56,6,FALSE)&gt;=VLOOKUP(57,main!$A$57:$I$59,4,FALSE)+VLOOKUP(VLOOKUP(BA$1,main!$A$3:$I$56,7,FALSE),main!$K$10:$Q$14,5,FALSE),1,0)</f>
        <v>0</v>
      </c>
      <c r="BB148">
        <f>IF(VLOOKUP(BB$1,main!$A$3:$I$56,5,FALSE)-VLOOKUP($A148,main!$A$3:$I$56,6,FALSE)&gt;=VLOOKUP(57,main!$A$57:$I$59,4,FALSE)+VLOOKUP(VLOOKUP(BB$1,main!$A$3:$I$56,7,FALSE),main!$K$10:$Q$14,5,FALSE),1,0)</f>
        <v>0</v>
      </c>
      <c r="BC148">
        <f>IF(VLOOKUP(BC$1,main!$A$3:$I$56,5,FALSE)-VLOOKUP($A148,main!$A$3:$I$56,6,FALSE)&gt;=VLOOKUP(57,main!$A$57:$I$59,4,FALSE)+VLOOKUP(VLOOKUP(BC$1,main!$A$3:$I$56,7,FALSE),main!$K$10:$Q$14,5,FALSE),1,0)</f>
        <v>1</v>
      </c>
      <c r="BD148">
        <f>IF(VLOOKUP(BD$1,main!$A$3:$I$56,5,FALSE)-VLOOKUP($A148,main!$A$3:$I$56,6,FALSE)&gt;=VLOOKUP(57,main!$A$57:$I$59,4,FALSE)+VLOOKUP(VLOOKUP(BD$1,main!$A$3:$I$56,7,FALSE),main!$K$10:$Q$14,5,FALSE),1,0)</f>
        <v>1</v>
      </c>
    </row>
    <row r="149" spans="1:56" x14ac:dyDescent="0.25">
      <c r="A149">
        <f t="shared" si="2"/>
        <v>37</v>
      </c>
      <c r="B149">
        <v>0</v>
      </c>
      <c r="C149">
        <f>IF(VLOOKUP(C$1,main!$A$3:$I$56,5,FALSE)-VLOOKUP($A149,main!$A$3:$I$56,6,FALSE)&gt;=VLOOKUP(57,main!$A$57:$I$59,4,FALSE)+VLOOKUP(VLOOKUP(C$1,main!$A$3:$I$56,7,FALSE),main!$K$10:$Q$14,5,FALSE),1,0)</f>
        <v>0</v>
      </c>
      <c r="D149">
        <f>IF(VLOOKUP(D$1,main!$A$3:$I$56,5,FALSE)-VLOOKUP($A149,main!$A$3:$I$56,6,FALSE)&gt;=VLOOKUP(57,main!$A$57:$I$59,4,FALSE)+VLOOKUP(VLOOKUP(D$1,main!$A$3:$I$56,7,FALSE),main!$K$10:$Q$14,5,FALSE),1,0)</f>
        <v>0</v>
      </c>
      <c r="E149">
        <f>IF(VLOOKUP(E$1,main!$A$3:$I$56,5,FALSE)-VLOOKUP($A149,main!$A$3:$I$56,6,FALSE)&gt;=VLOOKUP(57,main!$A$57:$I$59,4,FALSE)+VLOOKUP(VLOOKUP(E$1,main!$A$3:$I$56,7,FALSE),main!$K$10:$Q$14,5,FALSE),1,0)</f>
        <v>0</v>
      </c>
      <c r="F149">
        <f>IF(VLOOKUP(F$1,main!$A$3:$I$56,5,FALSE)-VLOOKUP($A149,main!$A$3:$I$56,6,FALSE)&gt;=VLOOKUP(57,main!$A$57:$I$59,4,FALSE)+VLOOKUP(VLOOKUP(F$1,main!$A$3:$I$56,7,FALSE),main!$K$10:$Q$14,5,FALSE),1,0)</f>
        <v>0</v>
      </c>
      <c r="G149">
        <f>IF(VLOOKUP(G$1,main!$A$3:$I$56,5,FALSE)-VLOOKUP($A149,main!$A$3:$I$56,6,FALSE)&gt;=VLOOKUP(57,main!$A$57:$I$59,4,FALSE)+VLOOKUP(VLOOKUP(G$1,main!$A$3:$I$56,7,FALSE),main!$K$10:$Q$14,5,FALSE),1,0)</f>
        <v>1</v>
      </c>
      <c r="H149">
        <f>IF(VLOOKUP(H$1,main!$A$3:$I$56,5,FALSE)-VLOOKUP($A149,main!$A$3:$I$56,6,FALSE)&gt;=VLOOKUP(57,main!$A$57:$I$59,4,FALSE)+VLOOKUP(VLOOKUP(H$1,main!$A$3:$I$56,7,FALSE),main!$K$10:$Q$14,5,FALSE),1,0)</f>
        <v>1</v>
      </c>
      <c r="I149">
        <f>IF(VLOOKUP(I$1,main!$A$3:$I$56,5,FALSE)-VLOOKUP($A149,main!$A$3:$I$56,6,FALSE)&gt;=VLOOKUP(57,main!$A$57:$I$59,4,FALSE)+VLOOKUP(VLOOKUP(I$1,main!$A$3:$I$56,7,FALSE),main!$K$10:$Q$14,5,FALSE),1,0)</f>
        <v>1</v>
      </c>
      <c r="J149">
        <f>IF(VLOOKUP(J$1,main!$A$3:$I$56,5,FALSE)-VLOOKUP($A149,main!$A$3:$I$56,6,FALSE)&gt;=VLOOKUP(57,main!$A$57:$I$59,4,FALSE)+VLOOKUP(VLOOKUP(J$1,main!$A$3:$I$56,7,FALSE),main!$K$10:$Q$14,5,FALSE),1,0)</f>
        <v>1</v>
      </c>
      <c r="K149">
        <f>IF(VLOOKUP(K$1,main!$A$3:$I$56,5,FALSE)-VLOOKUP($A149,main!$A$3:$I$56,6,FALSE)&gt;=VLOOKUP(57,main!$A$57:$I$59,4,FALSE)+VLOOKUP(VLOOKUP(K$1,main!$A$3:$I$56,7,FALSE),main!$K$10:$Q$14,5,FALSE),1,0)</f>
        <v>0</v>
      </c>
      <c r="L149">
        <f>IF(VLOOKUP(L$1,main!$A$3:$I$56,5,FALSE)-VLOOKUP($A149,main!$A$3:$I$56,6,FALSE)&gt;=VLOOKUP(57,main!$A$57:$I$59,4,FALSE)+VLOOKUP(VLOOKUP(L$1,main!$A$3:$I$56,7,FALSE),main!$K$10:$Q$14,5,FALSE),1,0)</f>
        <v>0</v>
      </c>
      <c r="M149">
        <f>IF(VLOOKUP(M$1,main!$A$3:$I$56,5,FALSE)-VLOOKUP($A149,main!$A$3:$I$56,6,FALSE)&gt;=VLOOKUP(57,main!$A$57:$I$59,4,FALSE)+VLOOKUP(VLOOKUP(M$1,main!$A$3:$I$56,7,FALSE),main!$K$10:$Q$14,5,FALSE),1,0)</f>
        <v>0</v>
      </c>
      <c r="N149">
        <f>IF(VLOOKUP(N$1,main!$A$3:$I$56,5,FALSE)-VLOOKUP($A149,main!$A$3:$I$56,6,FALSE)&gt;=VLOOKUP(57,main!$A$57:$I$59,4,FALSE)+VLOOKUP(VLOOKUP(N$1,main!$A$3:$I$56,7,FALSE),main!$K$10:$Q$14,5,FALSE),1,0)</f>
        <v>1</v>
      </c>
      <c r="O149">
        <f>IF(VLOOKUP(O$1,main!$A$3:$I$56,5,FALSE)-VLOOKUP($A149,main!$A$3:$I$56,6,FALSE)&gt;=VLOOKUP(57,main!$A$57:$I$59,4,FALSE)+VLOOKUP(VLOOKUP(O$1,main!$A$3:$I$56,7,FALSE),main!$K$10:$Q$14,5,FALSE),1,0)</f>
        <v>1</v>
      </c>
      <c r="P149">
        <f>IF(VLOOKUP(P$1,main!$A$3:$I$56,5,FALSE)-VLOOKUP($A149,main!$A$3:$I$56,6,FALSE)&gt;=VLOOKUP(57,main!$A$57:$I$59,4,FALSE)+VLOOKUP(VLOOKUP(P$1,main!$A$3:$I$56,7,FALSE),main!$K$10:$Q$14,5,FALSE),1,0)</f>
        <v>0</v>
      </c>
      <c r="Q149">
        <f>IF(VLOOKUP(Q$1,main!$A$3:$I$56,5,FALSE)-VLOOKUP($A149,main!$A$3:$I$56,6,FALSE)&gt;=VLOOKUP(57,main!$A$57:$I$59,4,FALSE)+VLOOKUP(VLOOKUP(Q$1,main!$A$3:$I$56,7,FALSE),main!$K$10:$Q$14,5,FALSE),1,0)</f>
        <v>0</v>
      </c>
      <c r="R149">
        <f>IF(VLOOKUP(R$1,main!$A$3:$I$56,5,FALSE)-VLOOKUP($A149,main!$A$3:$I$56,6,FALSE)&gt;=VLOOKUP(57,main!$A$57:$I$59,4,FALSE)+VLOOKUP(VLOOKUP(R$1,main!$A$3:$I$56,7,FALSE),main!$K$10:$Q$14,5,FALSE),1,0)</f>
        <v>0</v>
      </c>
      <c r="S149">
        <f>IF(VLOOKUP(S$1,main!$A$3:$I$56,5,FALSE)-VLOOKUP($A149,main!$A$3:$I$56,6,FALSE)&gt;=VLOOKUP(57,main!$A$57:$I$59,4,FALSE)+VLOOKUP(VLOOKUP(S$1,main!$A$3:$I$56,7,FALSE),main!$K$10:$Q$14,5,FALSE),1,0)</f>
        <v>0</v>
      </c>
      <c r="T149">
        <f>IF(VLOOKUP(T$1,main!$A$3:$I$56,5,FALSE)-VLOOKUP($A149,main!$A$3:$I$56,6,FALSE)&gt;=VLOOKUP(57,main!$A$57:$I$59,4,FALSE)+VLOOKUP(VLOOKUP(T$1,main!$A$3:$I$56,7,FALSE),main!$K$10:$Q$14,5,FALSE),1,0)</f>
        <v>1</v>
      </c>
      <c r="U149">
        <f>IF(VLOOKUP(U$1,main!$A$3:$I$56,5,FALSE)-VLOOKUP($A149,main!$A$3:$I$56,6,FALSE)&gt;=VLOOKUP(57,main!$A$57:$I$59,4,FALSE)+VLOOKUP(VLOOKUP(U$1,main!$A$3:$I$56,7,FALSE),main!$K$10:$Q$14,5,FALSE),1,0)</f>
        <v>0</v>
      </c>
      <c r="V149">
        <f>IF(VLOOKUP(V$1,main!$A$3:$I$56,5,FALSE)-VLOOKUP($A149,main!$A$3:$I$56,6,FALSE)&gt;=VLOOKUP(57,main!$A$57:$I$59,4,FALSE)+VLOOKUP(VLOOKUP(V$1,main!$A$3:$I$56,7,FALSE),main!$K$10:$Q$14,5,FALSE),1,0)</f>
        <v>0</v>
      </c>
      <c r="W149">
        <f>IF(VLOOKUP(W$1,main!$A$3:$I$56,5,FALSE)-VLOOKUP($A149,main!$A$3:$I$56,6,FALSE)&gt;=VLOOKUP(57,main!$A$57:$I$59,4,FALSE)+VLOOKUP(VLOOKUP(W$1,main!$A$3:$I$56,7,FALSE),main!$K$10:$Q$14,5,FALSE),1,0)</f>
        <v>0</v>
      </c>
      <c r="X149">
        <f>IF(VLOOKUP(X$1,main!$A$3:$I$56,5,FALSE)-VLOOKUP($A149,main!$A$3:$I$56,6,FALSE)&gt;=VLOOKUP(57,main!$A$57:$I$59,4,FALSE)+VLOOKUP(VLOOKUP(X$1,main!$A$3:$I$56,7,FALSE),main!$K$10:$Q$14,5,FALSE),1,0)</f>
        <v>0</v>
      </c>
      <c r="Y149">
        <f>IF(VLOOKUP(Y$1,main!$A$3:$I$56,5,FALSE)-VLOOKUP($A149,main!$A$3:$I$56,6,FALSE)&gt;=VLOOKUP(57,main!$A$57:$I$59,4,FALSE)+VLOOKUP(VLOOKUP(Y$1,main!$A$3:$I$56,7,FALSE),main!$K$10:$Q$14,5,FALSE),1,0)</f>
        <v>1</v>
      </c>
      <c r="Z149">
        <f>IF(VLOOKUP(Z$1,main!$A$3:$I$56,5,FALSE)-VLOOKUP($A149,main!$A$3:$I$56,6,FALSE)&gt;=VLOOKUP(57,main!$A$57:$I$59,4,FALSE)+VLOOKUP(VLOOKUP(Z$1,main!$A$3:$I$56,7,FALSE),main!$K$10:$Q$14,5,FALSE),1,0)</f>
        <v>1</v>
      </c>
      <c r="AA149">
        <f>IF(VLOOKUP(AA$1,main!$A$3:$I$56,5,FALSE)-VLOOKUP($A149,main!$A$3:$I$56,6,FALSE)&gt;=VLOOKUP(57,main!$A$57:$I$59,4,FALSE)+VLOOKUP(VLOOKUP(AA$1,main!$A$3:$I$56,7,FALSE),main!$K$10:$Q$14,5,FALSE),1,0)</f>
        <v>1</v>
      </c>
      <c r="AB149">
        <f>IF(VLOOKUP(AB$1,main!$A$3:$I$56,5,FALSE)-VLOOKUP($A149,main!$A$3:$I$56,6,FALSE)&gt;=VLOOKUP(57,main!$A$57:$I$59,4,FALSE)+VLOOKUP(VLOOKUP(AB$1,main!$A$3:$I$56,7,FALSE),main!$K$10:$Q$14,5,FALSE),1,0)</f>
        <v>1</v>
      </c>
      <c r="AC149">
        <f>IF(VLOOKUP(AC$1,main!$A$3:$I$56,5,FALSE)-VLOOKUP($A149,main!$A$3:$I$56,6,FALSE)&gt;=VLOOKUP(57,main!$A$57:$I$59,4,FALSE)+VLOOKUP(VLOOKUP(AC$1,main!$A$3:$I$56,7,FALSE),main!$K$10:$Q$14,5,FALSE),1,0)</f>
        <v>0</v>
      </c>
      <c r="AD149">
        <f>IF(VLOOKUP(AD$1,main!$A$3:$I$56,5,FALSE)-VLOOKUP($A149,main!$A$3:$I$56,6,FALSE)&gt;=VLOOKUP(57,main!$A$57:$I$59,4,FALSE)+VLOOKUP(VLOOKUP(AD$1,main!$A$3:$I$56,7,FALSE),main!$K$10:$Q$14,5,FALSE),1,0)</f>
        <v>0</v>
      </c>
      <c r="AE149">
        <f>IF(VLOOKUP(AE$1,main!$A$3:$I$56,5,FALSE)-VLOOKUP($A149,main!$A$3:$I$56,6,FALSE)&gt;=VLOOKUP(57,main!$A$57:$I$59,4,FALSE)+VLOOKUP(VLOOKUP(AE$1,main!$A$3:$I$56,7,FALSE),main!$K$10:$Q$14,5,FALSE),1,0)</f>
        <v>0</v>
      </c>
      <c r="AF149">
        <f>IF(VLOOKUP(AF$1,main!$A$3:$I$56,5,FALSE)-VLOOKUP($A149,main!$A$3:$I$56,6,FALSE)&gt;=VLOOKUP(57,main!$A$57:$I$59,4,FALSE)+VLOOKUP(VLOOKUP(AF$1,main!$A$3:$I$56,7,FALSE),main!$K$10:$Q$14,5,FALSE),1,0)</f>
        <v>1</v>
      </c>
      <c r="AG149">
        <f>IF(VLOOKUP(AG$1,main!$A$3:$I$56,5,FALSE)-VLOOKUP($A149,main!$A$3:$I$56,6,FALSE)&gt;=VLOOKUP(57,main!$A$57:$I$59,4,FALSE)+VLOOKUP(VLOOKUP(AG$1,main!$A$3:$I$56,7,FALSE),main!$K$10:$Q$14,5,FALSE),1,0)</f>
        <v>0</v>
      </c>
      <c r="AH149">
        <f>IF(VLOOKUP(AH$1,main!$A$3:$I$56,5,FALSE)-VLOOKUP($A149,main!$A$3:$I$56,6,FALSE)&gt;=VLOOKUP(57,main!$A$57:$I$59,4,FALSE)+VLOOKUP(VLOOKUP(AH$1,main!$A$3:$I$56,7,FALSE),main!$K$10:$Q$14,5,FALSE),1,0)</f>
        <v>0</v>
      </c>
      <c r="AI149">
        <f>IF(VLOOKUP(AI$1,main!$A$3:$I$56,5,FALSE)-VLOOKUP($A149,main!$A$3:$I$56,6,FALSE)&gt;=VLOOKUP(57,main!$A$57:$I$59,4,FALSE)+VLOOKUP(VLOOKUP(AI$1,main!$A$3:$I$56,7,FALSE),main!$K$10:$Q$14,5,FALSE),1,0)</f>
        <v>0</v>
      </c>
      <c r="AJ149">
        <f>IF(VLOOKUP(AJ$1,main!$A$3:$I$56,5,FALSE)-VLOOKUP($A149,main!$A$3:$I$56,6,FALSE)&gt;=VLOOKUP(57,main!$A$57:$I$59,4,FALSE)+VLOOKUP(VLOOKUP(AJ$1,main!$A$3:$I$56,7,FALSE),main!$K$10:$Q$14,5,FALSE),1,0)</f>
        <v>0</v>
      </c>
      <c r="AK149">
        <f>IF(VLOOKUP(AK$1,main!$A$3:$I$56,5,FALSE)-VLOOKUP($A149,main!$A$3:$I$56,6,FALSE)&gt;=VLOOKUP(57,main!$A$57:$I$59,4,FALSE)+VLOOKUP(VLOOKUP(AK$1,main!$A$3:$I$56,7,FALSE),main!$K$10:$Q$14,5,FALSE),1,0)</f>
        <v>1</v>
      </c>
      <c r="AL149">
        <f>IF(VLOOKUP(AL$1,main!$A$3:$I$56,5,FALSE)-VLOOKUP($A149,main!$A$3:$I$56,6,FALSE)&gt;=VLOOKUP(57,main!$A$57:$I$59,4,FALSE)+VLOOKUP(VLOOKUP(AL$1,main!$A$3:$I$56,7,FALSE),main!$K$10:$Q$14,5,FALSE),1,0)</f>
        <v>0</v>
      </c>
      <c r="AM149">
        <f>IF(VLOOKUP(AM$1,main!$A$3:$I$56,5,FALSE)-VLOOKUP($A149,main!$A$3:$I$56,6,FALSE)&gt;=VLOOKUP(57,main!$A$57:$I$59,4,FALSE)+VLOOKUP(VLOOKUP(AM$1,main!$A$3:$I$56,7,FALSE),main!$K$10:$Q$14,5,FALSE),1,0)</f>
        <v>0</v>
      </c>
      <c r="AN149">
        <f>IF(VLOOKUP(AN$1,main!$A$3:$I$56,5,FALSE)-VLOOKUP($A149,main!$A$3:$I$56,6,FALSE)&gt;=VLOOKUP(57,main!$A$57:$I$59,4,FALSE)+VLOOKUP(VLOOKUP(AN$1,main!$A$3:$I$56,7,FALSE),main!$K$10:$Q$14,5,FALSE),1,0)</f>
        <v>0</v>
      </c>
      <c r="AO149">
        <f>IF(VLOOKUP(AO$1,main!$A$3:$I$56,5,FALSE)-VLOOKUP($A149,main!$A$3:$I$56,6,FALSE)&gt;=VLOOKUP(57,main!$A$57:$I$59,4,FALSE)+VLOOKUP(VLOOKUP(AO$1,main!$A$3:$I$56,7,FALSE),main!$K$10:$Q$14,5,FALSE),1,0)</f>
        <v>0</v>
      </c>
      <c r="AP149">
        <f>IF(VLOOKUP(AP$1,main!$A$3:$I$56,5,FALSE)-VLOOKUP($A149,main!$A$3:$I$56,6,FALSE)&gt;=VLOOKUP(57,main!$A$57:$I$59,4,FALSE)+VLOOKUP(VLOOKUP(AP$1,main!$A$3:$I$56,7,FALSE),main!$K$10:$Q$14,5,FALSE),1,0)</f>
        <v>0</v>
      </c>
      <c r="AQ149">
        <f>IF(VLOOKUP(AQ$1,main!$A$3:$I$56,5,FALSE)-VLOOKUP($A149,main!$A$3:$I$56,6,FALSE)&gt;=VLOOKUP(57,main!$A$57:$I$59,4,FALSE)+VLOOKUP(VLOOKUP(AQ$1,main!$A$3:$I$56,7,FALSE),main!$K$10:$Q$14,5,FALSE),1,0)</f>
        <v>0</v>
      </c>
      <c r="AR149">
        <f>IF(VLOOKUP(AR$1,main!$A$3:$I$56,5,FALSE)-VLOOKUP($A149,main!$A$3:$I$56,6,FALSE)&gt;=VLOOKUP(57,main!$A$57:$I$59,4,FALSE)+VLOOKUP(VLOOKUP(AR$1,main!$A$3:$I$56,7,FALSE),main!$K$10:$Q$14,5,FALSE),1,0)</f>
        <v>0</v>
      </c>
      <c r="AS149">
        <f>IF(VLOOKUP(AS$1,main!$A$3:$I$56,5,FALSE)-VLOOKUP($A149,main!$A$3:$I$56,6,FALSE)&gt;=VLOOKUP(57,main!$A$57:$I$59,4,FALSE)+VLOOKUP(VLOOKUP(AS$1,main!$A$3:$I$56,7,FALSE),main!$K$10:$Q$14,5,FALSE),1,0)</f>
        <v>0</v>
      </c>
      <c r="AT149">
        <f>IF(VLOOKUP(AT$1,main!$A$3:$I$56,5,FALSE)-VLOOKUP($A149,main!$A$3:$I$56,6,FALSE)&gt;=VLOOKUP(57,main!$A$57:$I$59,4,FALSE)+VLOOKUP(VLOOKUP(AT$1,main!$A$3:$I$56,7,FALSE),main!$K$10:$Q$14,5,FALSE),1,0)</f>
        <v>0</v>
      </c>
      <c r="AU149">
        <f>IF(VLOOKUP(AU$1,main!$A$3:$I$56,5,FALSE)-VLOOKUP($A149,main!$A$3:$I$56,6,FALSE)&gt;=VLOOKUP(57,main!$A$57:$I$59,4,FALSE)+VLOOKUP(VLOOKUP(AU$1,main!$A$3:$I$56,7,FALSE),main!$K$10:$Q$14,5,FALSE),1,0)</f>
        <v>0</v>
      </c>
      <c r="AV149">
        <f>IF(VLOOKUP(AV$1,main!$A$3:$I$56,5,FALSE)-VLOOKUP($A149,main!$A$3:$I$56,6,FALSE)&gt;=VLOOKUP(57,main!$A$57:$I$59,4,FALSE)+VLOOKUP(VLOOKUP(AV$1,main!$A$3:$I$56,7,FALSE),main!$K$10:$Q$14,5,FALSE),1,0)</f>
        <v>0</v>
      </c>
      <c r="AW149">
        <f>IF(VLOOKUP(AW$1,main!$A$3:$I$56,5,FALSE)-VLOOKUP($A149,main!$A$3:$I$56,6,FALSE)&gt;=VLOOKUP(57,main!$A$57:$I$59,4,FALSE)+VLOOKUP(VLOOKUP(AW$1,main!$A$3:$I$56,7,FALSE),main!$K$10:$Q$14,5,FALSE),1,0)</f>
        <v>0</v>
      </c>
      <c r="AX149">
        <f>IF(VLOOKUP(AX$1,main!$A$3:$I$56,5,FALSE)-VLOOKUP($A149,main!$A$3:$I$56,6,FALSE)&gt;=VLOOKUP(57,main!$A$57:$I$59,4,FALSE)+VLOOKUP(VLOOKUP(AX$1,main!$A$3:$I$56,7,FALSE),main!$K$10:$Q$14,5,FALSE),1,0)</f>
        <v>1</v>
      </c>
      <c r="AY149">
        <f>IF(VLOOKUP(AY$1,main!$A$3:$I$56,5,FALSE)-VLOOKUP($A149,main!$A$3:$I$56,6,FALSE)&gt;=VLOOKUP(57,main!$A$57:$I$59,4,FALSE)+VLOOKUP(VLOOKUP(AY$1,main!$A$3:$I$56,7,FALSE),main!$K$10:$Q$14,5,FALSE),1,0)</f>
        <v>1</v>
      </c>
      <c r="AZ149">
        <f>IF(VLOOKUP(AZ$1,main!$A$3:$I$56,5,FALSE)-VLOOKUP($A149,main!$A$3:$I$56,6,FALSE)&gt;=VLOOKUP(57,main!$A$57:$I$59,4,FALSE)+VLOOKUP(VLOOKUP(AZ$1,main!$A$3:$I$56,7,FALSE),main!$K$10:$Q$14,5,FALSE),1,0)</f>
        <v>0</v>
      </c>
      <c r="BA149">
        <f>IF(VLOOKUP(BA$1,main!$A$3:$I$56,5,FALSE)-VLOOKUP($A149,main!$A$3:$I$56,6,FALSE)&gt;=VLOOKUP(57,main!$A$57:$I$59,4,FALSE)+VLOOKUP(VLOOKUP(BA$1,main!$A$3:$I$56,7,FALSE),main!$K$10:$Q$14,5,FALSE),1,0)</f>
        <v>0</v>
      </c>
      <c r="BB149">
        <f>IF(VLOOKUP(BB$1,main!$A$3:$I$56,5,FALSE)-VLOOKUP($A149,main!$A$3:$I$56,6,FALSE)&gt;=VLOOKUP(57,main!$A$57:$I$59,4,FALSE)+VLOOKUP(VLOOKUP(BB$1,main!$A$3:$I$56,7,FALSE),main!$K$10:$Q$14,5,FALSE),1,0)</f>
        <v>0</v>
      </c>
      <c r="BC149">
        <f>IF(VLOOKUP(BC$1,main!$A$3:$I$56,5,FALSE)-VLOOKUP($A149,main!$A$3:$I$56,6,FALSE)&gt;=VLOOKUP(57,main!$A$57:$I$59,4,FALSE)+VLOOKUP(VLOOKUP(BC$1,main!$A$3:$I$56,7,FALSE),main!$K$10:$Q$14,5,FALSE),1,0)</f>
        <v>0</v>
      </c>
      <c r="BD149">
        <f>IF(VLOOKUP(BD$1,main!$A$3:$I$56,5,FALSE)-VLOOKUP($A149,main!$A$3:$I$56,6,FALSE)&gt;=VLOOKUP(57,main!$A$57:$I$59,4,FALSE)+VLOOKUP(VLOOKUP(BD$1,main!$A$3:$I$56,7,FALSE),main!$K$10:$Q$14,5,FALSE),1,0)</f>
        <v>0</v>
      </c>
    </row>
    <row r="150" spans="1:56" x14ac:dyDescent="0.25">
      <c r="A150">
        <f t="shared" si="2"/>
        <v>38</v>
      </c>
      <c r="B150">
        <v>0</v>
      </c>
      <c r="C150">
        <f>IF(VLOOKUP(C$1,main!$A$3:$I$56,5,FALSE)-VLOOKUP($A150,main!$A$3:$I$56,6,FALSE)&gt;=VLOOKUP(57,main!$A$57:$I$59,4,FALSE)+VLOOKUP(VLOOKUP(C$1,main!$A$3:$I$56,7,FALSE),main!$K$10:$Q$14,5,FALSE),1,0)</f>
        <v>0</v>
      </c>
      <c r="D150">
        <f>IF(VLOOKUP(D$1,main!$A$3:$I$56,5,FALSE)-VLOOKUP($A150,main!$A$3:$I$56,6,FALSE)&gt;=VLOOKUP(57,main!$A$57:$I$59,4,FALSE)+VLOOKUP(VLOOKUP(D$1,main!$A$3:$I$56,7,FALSE),main!$K$10:$Q$14,5,FALSE),1,0)</f>
        <v>0</v>
      </c>
      <c r="E150">
        <f>IF(VLOOKUP(E$1,main!$A$3:$I$56,5,FALSE)-VLOOKUP($A150,main!$A$3:$I$56,6,FALSE)&gt;=VLOOKUP(57,main!$A$57:$I$59,4,FALSE)+VLOOKUP(VLOOKUP(E$1,main!$A$3:$I$56,7,FALSE),main!$K$10:$Q$14,5,FALSE),1,0)</f>
        <v>0</v>
      </c>
      <c r="F150">
        <f>IF(VLOOKUP(F$1,main!$A$3:$I$56,5,FALSE)-VLOOKUP($A150,main!$A$3:$I$56,6,FALSE)&gt;=VLOOKUP(57,main!$A$57:$I$59,4,FALSE)+VLOOKUP(VLOOKUP(F$1,main!$A$3:$I$56,7,FALSE),main!$K$10:$Q$14,5,FALSE),1,0)</f>
        <v>0</v>
      </c>
      <c r="G150">
        <f>IF(VLOOKUP(G$1,main!$A$3:$I$56,5,FALSE)-VLOOKUP($A150,main!$A$3:$I$56,6,FALSE)&gt;=VLOOKUP(57,main!$A$57:$I$59,4,FALSE)+VLOOKUP(VLOOKUP(G$1,main!$A$3:$I$56,7,FALSE),main!$K$10:$Q$14,5,FALSE),1,0)</f>
        <v>0</v>
      </c>
      <c r="H150">
        <f>IF(VLOOKUP(H$1,main!$A$3:$I$56,5,FALSE)-VLOOKUP($A150,main!$A$3:$I$56,6,FALSE)&gt;=VLOOKUP(57,main!$A$57:$I$59,4,FALSE)+VLOOKUP(VLOOKUP(H$1,main!$A$3:$I$56,7,FALSE),main!$K$10:$Q$14,5,FALSE),1,0)</f>
        <v>0</v>
      </c>
      <c r="I150">
        <f>IF(VLOOKUP(I$1,main!$A$3:$I$56,5,FALSE)-VLOOKUP($A150,main!$A$3:$I$56,6,FALSE)&gt;=VLOOKUP(57,main!$A$57:$I$59,4,FALSE)+VLOOKUP(VLOOKUP(I$1,main!$A$3:$I$56,7,FALSE),main!$K$10:$Q$14,5,FALSE),1,0)</f>
        <v>0</v>
      </c>
      <c r="J150">
        <f>IF(VLOOKUP(J$1,main!$A$3:$I$56,5,FALSE)-VLOOKUP($A150,main!$A$3:$I$56,6,FALSE)&gt;=VLOOKUP(57,main!$A$57:$I$59,4,FALSE)+VLOOKUP(VLOOKUP(J$1,main!$A$3:$I$56,7,FALSE),main!$K$10:$Q$14,5,FALSE),1,0)</f>
        <v>0</v>
      </c>
      <c r="K150">
        <f>IF(VLOOKUP(K$1,main!$A$3:$I$56,5,FALSE)-VLOOKUP($A150,main!$A$3:$I$56,6,FALSE)&gt;=VLOOKUP(57,main!$A$57:$I$59,4,FALSE)+VLOOKUP(VLOOKUP(K$1,main!$A$3:$I$56,7,FALSE),main!$K$10:$Q$14,5,FALSE),1,0)</f>
        <v>0</v>
      </c>
      <c r="L150">
        <f>IF(VLOOKUP(L$1,main!$A$3:$I$56,5,FALSE)-VLOOKUP($A150,main!$A$3:$I$56,6,FALSE)&gt;=VLOOKUP(57,main!$A$57:$I$59,4,FALSE)+VLOOKUP(VLOOKUP(L$1,main!$A$3:$I$56,7,FALSE),main!$K$10:$Q$14,5,FALSE),1,0)</f>
        <v>0</v>
      </c>
      <c r="M150">
        <f>IF(VLOOKUP(M$1,main!$A$3:$I$56,5,FALSE)-VLOOKUP($A150,main!$A$3:$I$56,6,FALSE)&gt;=VLOOKUP(57,main!$A$57:$I$59,4,FALSE)+VLOOKUP(VLOOKUP(M$1,main!$A$3:$I$56,7,FALSE),main!$K$10:$Q$14,5,FALSE),1,0)</f>
        <v>0</v>
      </c>
      <c r="N150">
        <f>IF(VLOOKUP(N$1,main!$A$3:$I$56,5,FALSE)-VLOOKUP($A150,main!$A$3:$I$56,6,FALSE)&gt;=VLOOKUP(57,main!$A$57:$I$59,4,FALSE)+VLOOKUP(VLOOKUP(N$1,main!$A$3:$I$56,7,FALSE),main!$K$10:$Q$14,5,FALSE),1,0)</f>
        <v>0</v>
      </c>
      <c r="O150">
        <f>IF(VLOOKUP(O$1,main!$A$3:$I$56,5,FALSE)-VLOOKUP($A150,main!$A$3:$I$56,6,FALSE)&gt;=VLOOKUP(57,main!$A$57:$I$59,4,FALSE)+VLOOKUP(VLOOKUP(O$1,main!$A$3:$I$56,7,FALSE),main!$K$10:$Q$14,5,FALSE),1,0)</f>
        <v>1</v>
      </c>
      <c r="P150">
        <f>IF(VLOOKUP(P$1,main!$A$3:$I$56,5,FALSE)-VLOOKUP($A150,main!$A$3:$I$56,6,FALSE)&gt;=VLOOKUP(57,main!$A$57:$I$59,4,FALSE)+VLOOKUP(VLOOKUP(P$1,main!$A$3:$I$56,7,FALSE),main!$K$10:$Q$14,5,FALSE),1,0)</f>
        <v>0</v>
      </c>
      <c r="Q150">
        <f>IF(VLOOKUP(Q$1,main!$A$3:$I$56,5,FALSE)-VLOOKUP($A150,main!$A$3:$I$56,6,FALSE)&gt;=VLOOKUP(57,main!$A$57:$I$59,4,FALSE)+VLOOKUP(VLOOKUP(Q$1,main!$A$3:$I$56,7,FALSE),main!$K$10:$Q$14,5,FALSE),1,0)</f>
        <v>0</v>
      </c>
      <c r="R150">
        <f>IF(VLOOKUP(R$1,main!$A$3:$I$56,5,FALSE)-VLOOKUP($A150,main!$A$3:$I$56,6,FALSE)&gt;=VLOOKUP(57,main!$A$57:$I$59,4,FALSE)+VLOOKUP(VLOOKUP(R$1,main!$A$3:$I$56,7,FALSE),main!$K$10:$Q$14,5,FALSE),1,0)</f>
        <v>0</v>
      </c>
      <c r="S150">
        <f>IF(VLOOKUP(S$1,main!$A$3:$I$56,5,FALSE)-VLOOKUP($A150,main!$A$3:$I$56,6,FALSE)&gt;=VLOOKUP(57,main!$A$57:$I$59,4,FALSE)+VLOOKUP(VLOOKUP(S$1,main!$A$3:$I$56,7,FALSE),main!$K$10:$Q$14,5,FALSE),1,0)</f>
        <v>0</v>
      </c>
      <c r="T150">
        <f>IF(VLOOKUP(T$1,main!$A$3:$I$56,5,FALSE)-VLOOKUP($A150,main!$A$3:$I$56,6,FALSE)&gt;=VLOOKUP(57,main!$A$57:$I$59,4,FALSE)+VLOOKUP(VLOOKUP(T$1,main!$A$3:$I$56,7,FALSE),main!$K$10:$Q$14,5,FALSE),1,0)</f>
        <v>0</v>
      </c>
      <c r="U150">
        <f>IF(VLOOKUP(U$1,main!$A$3:$I$56,5,FALSE)-VLOOKUP($A150,main!$A$3:$I$56,6,FALSE)&gt;=VLOOKUP(57,main!$A$57:$I$59,4,FALSE)+VLOOKUP(VLOOKUP(U$1,main!$A$3:$I$56,7,FALSE),main!$K$10:$Q$14,5,FALSE),1,0)</f>
        <v>0</v>
      </c>
      <c r="V150">
        <f>IF(VLOOKUP(V$1,main!$A$3:$I$56,5,FALSE)-VLOOKUP($A150,main!$A$3:$I$56,6,FALSE)&gt;=VLOOKUP(57,main!$A$57:$I$59,4,FALSE)+VLOOKUP(VLOOKUP(V$1,main!$A$3:$I$56,7,FALSE),main!$K$10:$Q$14,5,FALSE),1,0)</f>
        <v>0</v>
      </c>
      <c r="W150">
        <f>IF(VLOOKUP(W$1,main!$A$3:$I$56,5,FALSE)-VLOOKUP($A150,main!$A$3:$I$56,6,FALSE)&gt;=VLOOKUP(57,main!$A$57:$I$59,4,FALSE)+VLOOKUP(VLOOKUP(W$1,main!$A$3:$I$56,7,FALSE),main!$K$10:$Q$14,5,FALSE),1,0)</f>
        <v>0</v>
      </c>
      <c r="X150">
        <f>IF(VLOOKUP(X$1,main!$A$3:$I$56,5,FALSE)-VLOOKUP($A150,main!$A$3:$I$56,6,FALSE)&gt;=VLOOKUP(57,main!$A$57:$I$59,4,FALSE)+VLOOKUP(VLOOKUP(X$1,main!$A$3:$I$56,7,FALSE),main!$K$10:$Q$14,5,FALSE),1,0)</f>
        <v>0</v>
      </c>
      <c r="Y150">
        <f>IF(VLOOKUP(Y$1,main!$A$3:$I$56,5,FALSE)-VLOOKUP($A150,main!$A$3:$I$56,6,FALSE)&gt;=VLOOKUP(57,main!$A$57:$I$59,4,FALSE)+VLOOKUP(VLOOKUP(Y$1,main!$A$3:$I$56,7,FALSE),main!$K$10:$Q$14,5,FALSE),1,0)</f>
        <v>0</v>
      </c>
      <c r="Z150">
        <f>IF(VLOOKUP(Z$1,main!$A$3:$I$56,5,FALSE)-VLOOKUP($A150,main!$A$3:$I$56,6,FALSE)&gt;=VLOOKUP(57,main!$A$57:$I$59,4,FALSE)+VLOOKUP(VLOOKUP(Z$1,main!$A$3:$I$56,7,FALSE),main!$K$10:$Q$14,5,FALSE),1,0)</f>
        <v>0</v>
      </c>
      <c r="AA150">
        <f>IF(VLOOKUP(AA$1,main!$A$3:$I$56,5,FALSE)-VLOOKUP($A150,main!$A$3:$I$56,6,FALSE)&gt;=VLOOKUP(57,main!$A$57:$I$59,4,FALSE)+VLOOKUP(VLOOKUP(AA$1,main!$A$3:$I$56,7,FALSE),main!$K$10:$Q$14,5,FALSE),1,0)</f>
        <v>1</v>
      </c>
      <c r="AB150">
        <f>IF(VLOOKUP(AB$1,main!$A$3:$I$56,5,FALSE)-VLOOKUP($A150,main!$A$3:$I$56,6,FALSE)&gt;=VLOOKUP(57,main!$A$57:$I$59,4,FALSE)+VLOOKUP(VLOOKUP(AB$1,main!$A$3:$I$56,7,FALSE),main!$K$10:$Q$14,5,FALSE),1,0)</f>
        <v>1</v>
      </c>
      <c r="AC150">
        <f>IF(VLOOKUP(AC$1,main!$A$3:$I$56,5,FALSE)-VLOOKUP($A150,main!$A$3:$I$56,6,FALSE)&gt;=VLOOKUP(57,main!$A$57:$I$59,4,FALSE)+VLOOKUP(VLOOKUP(AC$1,main!$A$3:$I$56,7,FALSE),main!$K$10:$Q$14,5,FALSE),1,0)</f>
        <v>0</v>
      </c>
      <c r="AD150">
        <f>IF(VLOOKUP(AD$1,main!$A$3:$I$56,5,FALSE)-VLOOKUP($A150,main!$A$3:$I$56,6,FALSE)&gt;=VLOOKUP(57,main!$A$57:$I$59,4,FALSE)+VLOOKUP(VLOOKUP(AD$1,main!$A$3:$I$56,7,FALSE),main!$K$10:$Q$14,5,FALSE),1,0)</f>
        <v>0</v>
      </c>
      <c r="AE150">
        <f>IF(VLOOKUP(AE$1,main!$A$3:$I$56,5,FALSE)-VLOOKUP($A150,main!$A$3:$I$56,6,FALSE)&gt;=VLOOKUP(57,main!$A$57:$I$59,4,FALSE)+VLOOKUP(VLOOKUP(AE$1,main!$A$3:$I$56,7,FALSE),main!$K$10:$Q$14,5,FALSE),1,0)</f>
        <v>0</v>
      </c>
      <c r="AF150">
        <f>IF(VLOOKUP(AF$1,main!$A$3:$I$56,5,FALSE)-VLOOKUP($A150,main!$A$3:$I$56,6,FALSE)&gt;=VLOOKUP(57,main!$A$57:$I$59,4,FALSE)+VLOOKUP(VLOOKUP(AF$1,main!$A$3:$I$56,7,FALSE),main!$K$10:$Q$14,5,FALSE),1,0)</f>
        <v>0</v>
      </c>
      <c r="AG150">
        <f>IF(VLOOKUP(AG$1,main!$A$3:$I$56,5,FALSE)-VLOOKUP($A150,main!$A$3:$I$56,6,FALSE)&gt;=VLOOKUP(57,main!$A$57:$I$59,4,FALSE)+VLOOKUP(VLOOKUP(AG$1,main!$A$3:$I$56,7,FALSE),main!$K$10:$Q$14,5,FALSE),1,0)</f>
        <v>0</v>
      </c>
      <c r="AH150">
        <f>IF(VLOOKUP(AH$1,main!$A$3:$I$56,5,FALSE)-VLOOKUP($A150,main!$A$3:$I$56,6,FALSE)&gt;=VLOOKUP(57,main!$A$57:$I$59,4,FALSE)+VLOOKUP(VLOOKUP(AH$1,main!$A$3:$I$56,7,FALSE),main!$K$10:$Q$14,5,FALSE),1,0)</f>
        <v>0</v>
      </c>
      <c r="AI150">
        <f>IF(VLOOKUP(AI$1,main!$A$3:$I$56,5,FALSE)-VLOOKUP($A150,main!$A$3:$I$56,6,FALSE)&gt;=VLOOKUP(57,main!$A$57:$I$59,4,FALSE)+VLOOKUP(VLOOKUP(AI$1,main!$A$3:$I$56,7,FALSE),main!$K$10:$Q$14,5,FALSE),1,0)</f>
        <v>0</v>
      </c>
      <c r="AJ150">
        <f>IF(VLOOKUP(AJ$1,main!$A$3:$I$56,5,FALSE)-VLOOKUP($A150,main!$A$3:$I$56,6,FALSE)&gt;=VLOOKUP(57,main!$A$57:$I$59,4,FALSE)+VLOOKUP(VLOOKUP(AJ$1,main!$A$3:$I$56,7,FALSE),main!$K$10:$Q$14,5,FALSE),1,0)</f>
        <v>0</v>
      </c>
      <c r="AK150">
        <f>IF(VLOOKUP(AK$1,main!$A$3:$I$56,5,FALSE)-VLOOKUP($A150,main!$A$3:$I$56,6,FALSE)&gt;=VLOOKUP(57,main!$A$57:$I$59,4,FALSE)+VLOOKUP(VLOOKUP(AK$1,main!$A$3:$I$56,7,FALSE),main!$K$10:$Q$14,5,FALSE),1,0)</f>
        <v>0</v>
      </c>
      <c r="AL150">
        <f>IF(VLOOKUP(AL$1,main!$A$3:$I$56,5,FALSE)-VLOOKUP($A150,main!$A$3:$I$56,6,FALSE)&gt;=VLOOKUP(57,main!$A$57:$I$59,4,FALSE)+VLOOKUP(VLOOKUP(AL$1,main!$A$3:$I$56,7,FALSE),main!$K$10:$Q$14,5,FALSE),1,0)</f>
        <v>0</v>
      </c>
      <c r="AM150">
        <f>IF(VLOOKUP(AM$1,main!$A$3:$I$56,5,FALSE)-VLOOKUP($A150,main!$A$3:$I$56,6,FALSE)&gt;=VLOOKUP(57,main!$A$57:$I$59,4,FALSE)+VLOOKUP(VLOOKUP(AM$1,main!$A$3:$I$56,7,FALSE),main!$K$10:$Q$14,5,FALSE),1,0)</f>
        <v>0</v>
      </c>
      <c r="AN150">
        <f>IF(VLOOKUP(AN$1,main!$A$3:$I$56,5,FALSE)-VLOOKUP($A150,main!$A$3:$I$56,6,FALSE)&gt;=VLOOKUP(57,main!$A$57:$I$59,4,FALSE)+VLOOKUP(VLOOKUP(AN$1,main!$A$3:$I$56,7,FALSE),main!$K$10:$Q$14,5,FALSE),1,0)</f>
        <v>0</v>
      </c>
      <c r="AO150">
        <f>IF(VLOOKUP(AO$1,main!$A$3:$I$56,5,FALSE)-VLOOKUP($A150,main!$A$3:$I$56,6,FALSE)&gt;=VLOOKUP(57,main!$A$57:$I$59,4,FALSE)+VLOOKUP(VLOOKUP(AO$1,main!$A$3:$I$56,7,FALSE),main!$K$10:$Q$14,5,FALSE),1,0)</f>
        <v>0</v>
      </c>
      <c r="AP150">
        <f>IF(VLOOKUP(AP$1,main!$A$3:$I$56,5,FALSE)-VLOOKUP($A150,main!$A$3:$I$56,6,FALSE)&gt;=VLOOKUP(57,main!$A$57:$I$59,4,FALSE)+VLOOKUP(VLOOKUP(AP$1,main!$A$3:$I$56,7,FALSE),main!$K$10:$Q$14,5,FALSE),1,0)</f>
        <v>0</v>
      </c>
      <c r="AQ150">
        <f>IF(VLOOKUP(AQ$1,main!$A$3:$I$56,5,FALSE)-VLOOKUP($A150,main!$A$3:$I$56,6,FALSE)&gt;=VLOOKUP(57,main!$A$57:$I$59,4,FALSE)+VLOOKUP(VLOOKUP(AQ$1,main!$A$3:$I$56,7,FALSE),main!$K$10:$Q$14,5,FALSE),1,0)</f>
        <v>0</v>
      </c>
      <c r="AR150">
        <f>IF(VLOOKUP(AR$1,main!$A$3:$I$56,5,FALSE)-VLOOKUP($A150,main!$A$3:$I$56,6,FALSE)&gt;=VLOOKUP(57,main!$A$57:$I$59,4,FALSE)+VLOOKUP(VLOOKUP(AR$1,main!$A$3:$I$56,7,FALSE),main!$K$10:$Q$14,5,FALSE),1,0)</f>
        <v>0</v>
      </c>
      <c r="AS150">
        <f>IF(VLOOKUP(AS$1,main!$A$3:$I$56,5,FALSE)-VLOOKUP($A150,main!$A$3:$I$56,6,FALSE)&gt;=VLOOKUP(57,main!$A$57:$I$59,4,FALSE)+VLOOKUP(VLOOKUP(AS$1,main!$A$3:$I$56,7,FALSE),main!$K$10:$Q$14,5,FALSE),1,0)</f>
        <v>0</v>
      </c>
      <c r="AT150">
        <f>IF(VLOOKUP(AT$1,main!$A$3:$I$56,5,FALSE)-VLOOKUP($A150,main!$A$3:$I$56,6,FALSE)&gt;=VLOOKUP(57,main!$A$57:$I$59,4,FALSE)+VLOOKUP(VLOOKUP(AT$1,main!$A$3:$I$56,7,FALSE),main!$K$10:$Q$14,5,FALSE),1,0)</f>
        <v>0</v>
      </c>
      <c r="AU150">
        <f>IF(VLOOKUP(AU$1,main!$A$3:$I$56,5,FALSE)-VLOOKUP($A150,main!$A$3:$I$56,6,FALSE)&gt;=VLOOKUP(57,main!$A$57:$I$59,4,FALSE)+VLOOKUP(VLOOKUP(AU$1,main!$A$3:$I$56,7,FALSE),main!$K$10:$Q$14,5,FALSE),1,0)</f>
        <v>0</v>
      </c>
      <c r="AV150">
        <f>IF(VLOOKUP(AV$1,main!$A$3:$I$56,5,FALSE)-VLOOKUP($A150,main!$A$3:$I$56,6,FALSE)&gt;=VLOOKUP(57,main!$A$57:$I$59,4,FALSE)+VLOOKUP(VLOOKUP(AV$1,main!$A$3:$I$56,7,FALSE),main!$K$10:$Q$14,5,FALSE),1,0)</f>
        <v>0</v>
      </c>
      <c r="AW150">
        <f>IF(VLOOKUP(AW$1,main!$A$3:$I$56,5,FALSE)-VLOOKUP($A150,main!$A$3:$I$56,6,FALSE)&gt;=VLOOKUP(57,main!$A$57:$I$59,4,FALSE)+VLOOKUP(VLOOKUP(AW$1,main!$A$3:$I$56,7,FALSE),main!$K$10:$Q$14,5,FALSE),1,0)</f>
        <v>0</v>
      </c>
      <c r="AX150">
        <f>IF(VLOOKUP(AX$1,main!$A$3:$I$56,5,FALSE)-VLOOKUP($A150,main!$A$3:$I$56,6,FALSE)&gt;=VLOOKUP(57,main!$A$57:$I$59,4,FALSE)+VLOOKUP(VLOOKUP(AX$1,main!$A$3:$I$56,7,FALSE),main!$K$10:$Q$14,5,FALSE),1,0)</f>
        <v>0</v>
      </c>
      <c r="AY150">
        <f>IF(VLOOKUP(AY$1,main!$A$3:$I$56,5,FALSE)-VLOOKUP($A150,main!$A$3:$I$56,6,FALSE)&gt;=VLOOKUP(57,main!$A$57:$I$59,4,FALSE)+VLOOKUP(VLOOKUP(AY$1,main!$A$3:$I$56,7,FALSE),main!$K$10:$Q$14,5,FALSE),1,0)</f>
        <v>0</v>
      </c>
      <c r="AZ150">
        <f>IF(VLOOKUP(AZ$1,main!$A$3:$I$56,5,FALSE)-VLOOKUP($A150,main!$A$3:$I$56,6,FALSE)&gt;=VLOOKUP(57,main!$A$57:$I$59,4,FALSE)+VLOOKUP(VLOOKUP(AZ$1,main!$A$3:$I$56,7,FALSE),main!$K$10:$Q$14,5,FALSE),1,0)</f>
        <v>0</v>
      </c>
      <c r="BA150">
        <f>IF(VLOOKUP(BA$1,main!$A$3:$I$56,5,FALSE)-VLOOKUP($A150,main!$A$3:$I$56,6,FALSE)&gt;=VLOOKUP(57,main!$A$57:$I$59,4,FALSE)+VLOOKUP(VLOOKUP(BA$1,main!$A$3:$I$56,7,FALSE),main!$K$10:$Q$14,5,FALSE),1,0)</f>
        <v>0</v>
      </c>
      <c r="BB150">
        <f>IF(VLOOKUP(BB$1,main!$A$3:$I$56,5,FALSE)-VLOOKUP($A150,main!$A$3:$I$56,6,FALSE)&gt;=VLOOKUP(57,main!$A$57:$I$59,4,FALSE)+VLOOKUP(VLOOKUP(BB$1,main!$A$3:$I$56,7,FALSE),main!$K$10:$Q$14,5,FALSE),1,0)</f>
        <v>0</v>
      </c>
      <c r="BC150">
        <f>IF(VLOOKUP(BC$1,main!$A$3:$I$56,5,FALSE)-VLOOKUP($A150,main!$A$3:$I$56,6,FALSE)&gt;=VLOOKUP(57,main!$A$57:$I$59,4,FALSE)+VLOOKUP(VLOOKUP(BC$1,main!$A$3:$I$56,7,FALSE),main!$K$10:$Q$14,5,FALSE),1,0)</f>
        <v>0</v>
      </c>
      <c r="BD150">
        <f>IF(VLOOKUP(BD$1,main!$A$3:$I$56,5,FALSE)-VLOOKUP($A150,main!$A$3:$I$56,6,FALSE)&gt;=VLOOKUP(57,main!$A$57:$I$59,4,FALSE)+VLOOKUP(VLOOKUP(BD$1,main!$A$3:$I$56,7,FALSE),main!$K$10:$Q$14,5,FALSE),1,0)</f>
        <v>0</v>
      </c>
    </row>
    <row r="151" spans="1:56" x14ac:dyDescent="0.25">
      <c r="A151">
        <f t="shared" si="2"/>
        <v>39</v>
      </c>
      <c r="B151">
        <v>0</v>
      </c>
      <c r="C151">
        <f>IF(VLOOKUP(C$1,main!$A$3:$I$56,5,FALSE)-VLOOKUP($A151,main!$A$3:$I$56,6,FALSE)&gt;=VLOOKUP(57,main!$A$57:$I$59,4,FALSE)+VLOOKUP(VLOOKUP(C$1,main!$A$3:$I$56,7,FALSE),main!$K$10:$Q$14,5,FALSE),1,0)</f>
        <v>0</v>
      </c>
      <c r="D151">
        <f>IF(VLOOKUP(D$1,main!$A$3:$I$56,5,FALSE)-VLOOKUP($A151,main!$A$3:$I$56,6,FALSE)&gt;=VLOOKUP(57,main!$A$57:$I$59,4,FALSE)+VLOOKUP(VLOOKUP(D$1,main!$A$3:$I$56,7,FALSE),main!$K$10:$Q$14,5,FALSE),1,0)</f>
        <v>0</v>
      </c>
      <c r="E151">
        <f>IF(VLOOKUP(E$1,main!$A$3:$I$56,5,FALSE)-VLOOKUP($A151,main!$A$3:$I$56,6,FALSE)&gt;=VLOOKUP(57,main!$A$57:$I$59,4,FALSE)+VLOOKUP(VLOOKUP(E$1,main!$A$3:$I$56,7,FALSE),main!$K$10:$Q$14,5,FALSE),1,0)</f>
        <v>0</v>
      </c>
      <c r="F151">
        <f>IF(VLOOKUP(F$1,main!$A$3:$I$56,5,FALSE)-VLOOKUP($A151,main!$A$3:$I$56,6,FALSE)&gt;=VLOOKUP(57,main!$A$57:$I$59,4,FALSE)+VLOOKUP(VLOOKUP(F$1,main!$A$3:$I$56,7,FALSE),main!$K$10:$Q$14,5,FALSE),1,0)</f>
        <v>0</v>
      </c>
      <c r="G151">
        <f>IF(VLOOKUP(G$1,main!$A$3:$I$56,5,FALSE)-VLOOKUP($A151,main!$A$3:$I$56,6,FALSE)&gt;=VLOOKUP(57,main!$A$57:$I$59,4,FALSE)+VLOOKUP(VLOOKUP(G$1,main!$A$3:$I$56,7,FALSE),main!$K$10:$Q$14,5,FALSE),1,0)</f>
        <v>0</v>
      </c>
      <c r="H151">
        <f>IF(VLOOKUP(H$1,main!$A$3:$I$56,5,FALSE)-VLOOKUP($A151,main!$A$3:$I$56,6,FALSE)&gt;=VLOOKUP(57,main!$A$57:$I$59,4,FALSE)+VLOOKUP(VLOOKUP(H$1,main!$A$3:$I$56,7,FALSE),main!$K$10:$Q$14,5,FALSE),1,0)</f>
        <v>0</v>
      </c>
      <c r="I151">
        <f>IF(VLOOKUP(I$1,main!$A$3:$I$56,5,FALSE)-VLOOKUP($A151,main!$A$3:$I$56,6,FALSE)&gt;=VLOOKUP(57,main!$A$57:$I$59,4,FALSE)+VLOOKUP(VLOOKUP(I$1,main!$A$3:$I$56,7,FALSE),main!$K$10:$Q$14,5,FALSE),1,0)</f>
        <v>0</v>
      </c>
      <c r="J151">
        <f>IF(VLOOKUP(J$1,main!$A$3:$I$56,5,FALSE)-VLOOKUP($A151,main!$A$3:$I$56,6,FALSE)&gt;=VLOOKUP(57,main!$A$57:$I$59,4,FALSE)+VLOOKUP(VLOOKUP(J$1,main!$A$3:$I$56,7,FALSE),main!$K$10:$Q$14,5,FALSE),1,0)</f>
        <v>0</v>
      </c>
      <c r="K151">
        <f>IF(VLOOKUP(K$1,main!$A$3:$I$56,5,FALSE)-VLOOKUP($A151,main!$A$3:$I$56,6,FALSE)&gt;=VLOOKUP(57,main!$A$57:$I$59,4,FALSE)+VLOOKUP(VLOOKUP(K$1,main!$A$3:$I$56,7,FALSE),main!$K$10:$Q$14,5,FALSE),1,0)</f>
        <v>0</v>
      </c>
      <c r="L151">
        <f>IF(VLOOKUP(L$1,main!$A$3:$I$56,5,FALSE)-VLOOKUP($A151,main!$A$3:$I$56,6,FALSE)&gt;=VLOOKUP(57,main!$A$57:$I$59,4,FALSE)+VLOOKUP(VLOOKUP(L$1,main!$A$3:$I$56,7,FALSE),main!$K$10:$Q$14,5,FALSE),1,0)</f>
        <v>0</v>
      </c>
      <c r="M151">
        <f>IF(VLOOKUP(M$1,main!$A$3:$I$56,5,FALSE)-VLOOKUP($A151,main!$A$3:$I$56,6,FALSE)&gt;=VLOOKUP(57,main!$A$57:$I$59,4,FALSE)+VLOOKUP(VLOOKUP(M$1,main!$A$3:$I$56,7,FALSE),main!$K$10:$Q$14,5,FALSE),1,0)</f>
        <v>0</v>
      </c>
      <c r="N151">
        <f>IF(VLOOKUP(N$1,main!$A$3:$I$56,5,FALSE)-VLOOKUP($A151,main!$A$3:$I$56,6,FALSE)&gt;=VLOOKUP(57,main!$A$57:$I$59,4,FALSE)+VLOOKUP(VLOOKUP(N$1,main!$A$3:$I$56,7,FALSE),main!$K$10:$Q$14,5,FALSE),1,0)</f>
        <v>0</v>
      </c>
      <c r="O151">
        <f>IF(VLOOKUP(O$1,main!$A$3:$I$56,5,FALSE)-VLOOKUP($A151,main!$A$3:$I$56,6,FALSE)&gt;=VLOOKUP(57,main!$A$57:$I$59,4,FALSE)+VLOOKUP(VLOOKUP(O$1,main!$A$3:$I$56,7,FALSE),main!$K$10:$Q$14,5,FALSE),1,0)</f>
        <v>0</v>
      </c>
      <c r="P151">
        <f>IF(VLOOKUP(P$1,main!$A$3:$I$56,5,FALSE)-VLOOKUP($A151,main!$A$3:$I$56,6,FALSE)&gt;=VLOOKUP(57,main!$A$57:$I$59,4,FALSE)+VLOOKUP(VLOOKUP(P$1,main!$A$3:$I$56,7,FALSE),main!$K$10:$Q$14,5,FALSE),1,0)</f>
        <v>0</v>
      </c>
      <c r="Q151">
        <f>IF(VLOOKUP(Q$1,main!$A$3:$I$56,5,FALSE)-VLOOKUP($A151,main!$A$3:$I$56,6,FALSE)&gt;=VLOOKUP(57,main!$A$57:$I$59,4,FALSE)+VLOOKUP(VLOOKUP(Q$1,main!$A$3:$I$56,7,FALSE),main!$K$10:$Q$14,5,FALSE),1,0)</f>
        <v>0</v>
      </c>
      <c r="R151">
        <f>IF(VLOOKUP(R$1,main!$A$3:$I$56,5,FALSE)-VLOOKUP($A151,main!$A$3:$I$56,6,FALSE)&gt;=VLOOKUP(57,main!$A$57:$I$59,4,FALSE)+VLOOKUP(VLOOKUP(R$1,main!$A$3:$I$56,7,FALSE),main!$K$10:$Q$14,5,FALSE),1,0)</f>
        <v>0</v>
      </c>
      <c r="S151">
        <f>IF(VLOOKUP(S$1,main!$A$3:$I$56,5,FALSE)-VLOOKUP($A151,main!$A$3:$I$56,6,FALSE)&gt;=VLOOKUP(57,main!$A$57:$I$59,4,FALSE)+VLOOKUP(VLOOKUP(S$1,main!$A$3:$I$56,7,FALSE),main!$K$10:$Q$14,5,FALSE),1,0)</f>
        <v>0</v>
      </c>
      <c r="T151">
        <f>IF(VLOOKUP(T$1,main!$A$3:$I$56,5,FALSE)-VLOOKUP($A151,main!$A$3:$I$56,6,FALSE)&gt;=VLOOKUP(57,main!$A$57:$I$59,4,FALSE)+VLOOKUP(VLOOKUP(T$1,main!$A$3:$I$56,7,FALSE),main!$K$10:$Q$14,5,FALSE),1,0)</f>
        <v>0</v>
      </c>
      <c r="U151">
        <f>IF(VLOOKUP(U$1,main!$A$3:$I$56,5,FALSE)-VLOOKUP($A151,main!$A$3:$I$56,6,FALSE)&gt;=VLOOKUP(57,main!$A$57:$I$59,4,FALSE)+VLOOKUP(VLOOKUP(U$1,main!$A$3:$I$56,7,FALSE),main!$K$10:$Q$14,5,FALSE),1,0)</f>
        <v>0</v>
      </c>
      <c r="V151">
        <f>IF(VLOOKUP(V$1,main!$A$3:$I$56,5,FALSE)-VLOOKUP($A151,main!$A$3:$I$56,6,FALSE)&gt;=VLOOKUP(57,main!$A$57:$I$59,4,FALSE)+VLOOKUP(VLOOKUP(V$1,main!$A$3:$I$56,7,FALSE),main!$K$10:$Q$14,5,FALSE),1,0)</f>
        <v>0</v>
      </c>
      <c r="W151">
        <f>IF(VLOOKUP(W$1,main!$A$3:$I$56,5,FALSE)-VLOOKUP($A151,main!$A$3:$I$56,6,FALSE)&gt;=VLOOKUP(57,main!$A$57:$I$59,4,FALSE)+VLOOKUP(VLOOKUP(W$1,main!$A$3:$I$56,7,FALSE),main!$K$10:$Q$14,5,FALSE),1,0)</f>
        <v>0</v>
      </c>
      <c r="X151">
        <f>IF(VLOOKUP(X$1,main!$A$3:$I$56,5,FALSE)-VLOOKUP($A151,main!$A$3:$I$56,6,FALSE)&gt;=VLOOKUP(57,main!$A$57:$I$59,4,FALSE)+VLOOKUP(VLOOKUP(X$1,main!$A$3:$I$56,7,FALSE),main!$K$10:$Q$14,5,FALSE),1,0)</f>
        <v>0</v>
      </c>
      <c r="Y151">
        <f>IF(VLOOKUP(Y$1,main!$A$3:$I$56,5,FALSE)-VLOOKUP($A151,main!$A$3:$I$56,6,FALSE)&gt;=VLOOKUP(57,main!$A$57:$I$59,4,FALSE)+VLOOKUP(VLOOKUP(Y$1,main!$A$3:$I$56,7,FALSE),main!$K$10:$Q$14,5,FALSE),1,0)</f>
        <v>0</v>
      </c>
      <c r="Z151">
        <f>IF(VLOOKUP(Z$1,main!$A$3:$I$56,5,FALSE)-VLOOKUP($A151,main!$A$3:$I$56,6,FALSE)&gt;=VLOOKUP(57,main!$A$57:$I$59,4,FALSE)+VLOOKUP(VLOOKUP(Z$1,main!$A$3:$I$56,7,FALSE),main!$K$10:$Q$14,5,FALSE),1,0)</f>
        <v>0</v>
      </c>
      <c r="AA151">
        <f>IF(VLOOKUP(AA$1,main!$A$3:$I$56,5,FALSE)-VLOOKUP($A151,main!$A$3:$I$56,6,FALSE)&gt;=VLOOKUP(57,main!$A$57:$I$59,4,FALSE)+VLOOKUP(VLOOKUP(AA$1,main!$A$3:$I$56,7,FALSE),main!$K$10:$Q$14,5,FALSE),1,0)</f>
        <v>0</v>
      </c>
      <c r="AB151">
        <f>IF(VLOOKUP(AB$1,main!$A$3:$I$56,5,FALSE)-VLOOKUP($A151,main!$A$3:$I$56,6,FALSE)&gt;=VLOOKUP(57,main!$A$57:$I$59,4,FALSE)+VLOOKUP(VLOOKUP(AB$1,main!$A$3:$I$56,7,FALSE),main!$K$10:$Q$14,5,FALSE),1,0)</f>
        <v>1</v>
      </c>
      <c r="AC151">
        <f>IF(VLOOKUP(AC$1,main!$A$3:$I$56,5,FALSE)-VLOOKUP($A151,main!$A$3:$I$56,6,FALSE)&gt;=VLOOKUP(57,main!$A$57:$I$59,4,FALSE)+VLOOKUP(VLOOKUP(AC$1,main!$A$3:$I$56,7,FALSE),main!$K$10:$Q$14,5,FALSE),1,0)</f>
        <v>0</v>
      </c>
      <c r="AD151">
        <f>IF(VLOOKUP(AD$1,main!$A$3:$I$56,5,FALSE)-VLOOKUP($A151,main!$A$3:$I$56,6,FALSE)&gt;=VLOOKUP(57,main!$A$57:$I$59,4,FALSE)+VLOOKUP(VLOOKUP(AD$1,main!$A$3:$I$56,7,FALSE),main!$K$10:$Q$14,5,FALSE),1,0)</f>
        <v>0</v>
      </c>
      <c r="AE151">
        <f>IF(VLOOKUP(AE$1,main!$A$3:$I$56,5,FALSE)-VLOOKUP($A151,main!$A$3:$I$56,6,FALSE)&gt;=VLOOKUP(57,main!$A$57:$I$59,4,FALSE)+VLOOKUP(VLOOKUP(AE$1,main!$A$3:$I$56,7,FALSE),main!$K$10:$Q$14,5,FALSE),1,0)</f>
        <v>0</v>
      </c>
      <c r="AF151">
        <f>IF(VLOOKUP(AF$1,main!$A$3:$I$56,5,FALSE)-VLOOKUP($A151,main!$A$3:$I$56,6,FALSE)&gt;=VLOOKUP(57,main!$A$57:$I$59,4,FALSE)+VLOOKUP(VLOOKUP(AF$1,main!$A$3:$I$56,7,FALSE),main!$K$10:$Q$14,5,FALSE),1,0)</f>
        <v>0</v>
      </c>
      <c r="AG151">
        <f>IF(VLOOKUP(AG$1,main!$A$3:$I$56,5,FALSE)-VLOOKUP($A151,main!$A$3:$I$56,6,FALSE)&gt;=VLOOKUP(57,main!$A$57:$I$59,4,FALSE)+VLOOKUP(VLOOKUP(AG$1,main!$A$3:$I$56,7,FALSE),main!$K$10:$Q$14,5,FALSE),1,0)</f>
        <v>0</v>
      </c>
      <c r="AH151">
        <f>IF(VLOOKUP(AH$1,main!$A$3:$I$56,5,FALSE)-VLOOKUP($A151,main!$A$3:$I$56,6,FALSE)&gt;=VLOOKUP(57,main!$A$57:$I$59,4,FALSE)+VLOOKUP(VLOOKUP(AH$1,main!$A$3:$I$56,7,FALSE),main!$K$10:$Q$14,5,FALSE),1,0)</f>
        <v>0</v>
      </c>
      <c r="AI151">
        <f>IF(VLOOKUP(AI$1,main!$A$3:$I$56,5,FALSE)-VLOOKUP($A151,main!$A$3:$I$56,6,FALSE)&gt;=VLOOKUP(57,main!$A$57:$I$59,4,FALSE)+VLOOKUP(VLOOKUP(AI$1,main!$A$3:$I$56,7,FALSE),main!$K$10:$Q$14,5,FALSE),1,0)</f>
        <v>0</v>
      </c>
      <c r="AJ151">
        <f>IF(VLOOKUP(AJ$1,main!$A$3:$I$56,5,FALSE)-VLOOKUP($A151,main!$A$3:$I$56,6,FALSE)&gt;=VLOOKUP(57,main!$A$57:$I$59,4,FALSE)+VLOOKUP(VLOOKUP(AJ$1,main!$A$3:$I$56,7,FALSE),main!$K$10:$Q$14,5,FALSE),1,0)</f>
        <v>0</v>
      </c>
      <c r="AK151">
        <f>IF(VLOOKUP(AK$1,main!$A$3:$I$56,5,FALSE)-VLOOKUP($A151,main!$A$3:$I$56,6,FALSE)&gt;=VLOOKUP(57,main!$A$57:$I$59,4,FALSE)+VLOOKUP(VLOOKUP(AK$1,main!$A$3:$I$56,7,FALSE),main!$K$10:$Q$14,5,FALSE),1,0)</f>
        <v>0</v>
      </c>
      <c r="AL151">
        <f>IF(VLOOKUP(AL$1,main!$A$3:$I$56,5,FALSE)-VLOOKUP($A151,main!$A$3:$I$56,6,FALSE)&gt;=VLOOKUP(57,main!$A$57:$I$59,4,FALSE)+VLOOKUP(VLOOKUP(AL$1,main!$A$3:$I$56,7,FALSE),main!$K$10:$Q$14,5,FALSE),1,0)</f>
        <v>0</v>
      </c>
      <c r="AM151">
        <f>IF(VLOOKUP(AM$1,main!$A$3:$I$56,5,FALSE)-VLOOKUP($A151,main!$A$3:$I$56,6,FALSE)&gt;=VLOOKUP(57,main!$A$57:$I$59,4,FALSE)+VLOOKUP(VLOOKUP(AM$1,main!$A$3:$I$56,7,FALSE),main!$K$10:$Q$14,5,FALSE),1,0)</f>
        <v>0</v>
      </c>
      <c r="AN151">
        <f>IF(VLOOKUP(AN$1,main!$A$3:$I$56,5,FALSE)-VLOOKUP($A151,main!$A$3:$I$56,6,FALSE)&gt;=VLOOKUP(57,main!$A$57:$I$59,4,FALSE)+VLOOKUP(VLOOKUP(AN$1,main!$A$3:$I$56,7,FALSE),main!$K$10:$Q$14,5,FALSE),1,0)</f>
        <v>0</v>
      </c>
      <c r="AO151">
        <f>IF(VLOOKUP(AO$1,main!$A$3:$I$56,5,FALSE)-VLOOKUP($A151,main!$A$3:$I$56,6,FALSE)&gt;=VLOOKUP(57,main!$A$57:$I$59,4,FALSE)+VLOOKUP(VLOOKUP(AO$1,main!$A$3:$I$56,7,FALSE),main!$K$10:$Q$14,5,FALSE),1,0)</f>
        <v>0</v>
      </c>
      <c r="AP151">
        <f>IF(VLOOKUP(AP$1,main!$A$3:$I$56,5,FALSE)-VLOOKUP($A151,main!$A$3:$I$56,6,FALSE)&gt;=VLOOKUP(57,main!$A$57:$I$59,4,FALSE)+VLOOKUP(VLOOKUP(AP$1,main!$A$3:$I$56,7,FALSE),main!$K$10:$Q$14,5,FALSE),1,0)</f>
        <v>0</v>
      </c>
      <c r="AQ151">
        <f>IF(VLOOKUP(AQ$1,main!$A$3:$I$56,5,FALSE)-VLOOKUP($A151,main!$A$3:$I$56,6,FALSE)&gt;=VLOOKUP(57,main!$A$57:$I$59,4,FALSE)+VLOOKUP(VLOOKUP(AQ$1,main!$A$3:$I$56,7,FALSE),main!$K$10:$Q$14,5,FALSE),1,0)</f>
        <v>0</v>
      </c>
      <c r="AR151">
        <f>IF(VLOOKUP(AR$1,main!$A$3:$I$56,5,FALSE)-VLOOKUP($A151,main!$A$3:$I$56,6,FALSE)&gt;=VLOOKUP(57,main!$A$57:$I$59,4,FALSE)+VLOOKUP(VLOOKUP(AR$1,main!$A$3:$I$56,7,FALSE),main!$K$10:$Q$14,5,FALSE),1,0)</f>
        <v>0</v>
      </c>
      <c r="AS151">
        <f>IF(VLOOKUP(AS$1,main!$A$3:$I$56,5,FALSE)-VLOOKUP($A151,main!$A$3:$I$56,6,FALSE)&gt;=VLOOKUP(57,main!$A$57:$I$59,4,FALSE)+VLOOKUP(VLOOKUP(AS$1,main!$A$3:$I$56,7,FALSE),main!$K$10:$Q$14,5,FALSE),1,0)</f>
        <v>0</v>
      </c>
      <c r="AT151">
        <f>IF(VLOOKUP(AT$1,main!$A$3:$I$56,5,FALSE)-VLOOKUP($A151,main!$A$3:$I$56,6,FALSE)&gt;=VLOOKUP(57,main!$A$57:$I$59,4,FALSE)+VLOOKUP(VLOOKUP(AT$1,main!$A$3:$I$56,7,FALSE),main!$K$10:$Q$14,5,FALSE),1,0)</f>
        <v>0</v>
      </c>
      <c r="AU151">
        <f>IF(VLOOKUP(AU$1,main!$A$3:$I$56,5,FALSE)-VLOOKUP($A151,main!$A$3:$I$56,6,FALSE)&gt;=VLOOKUP(57,main!$A$57:$I$59,4,FALSE)+VLOOKUP(VLOOKUP(AU$1,main!$A$3:$I$56,7,FALSE),main!$K$10:$Q$14,5,FALSE),1,0)</f>
        <v>0</v>
      </c>
      <c r="AV151">
        <f>IF(VLOOKUP(AV$1,main!$A$3:$I$56,5,FALSE)-VLOOKUP($A151,main!$A$3:$I$56,6,FALSE)&gt;=VLOOKUP(57,main!$A$57:$I$59,4,FALSE)+VLOOKUP(VLOOKUP(AV$1,main!$A$3:$I$56,7,FALSE),main!$K$10:$Q$14,5,FALSE),1,0)</f>
        <v>0</v>
      </c>
      <c r="AW151">
        <f>IF(VLOOKUP(AW$1,main!$A$3:$I$56,5,FALSE)-VLOOKUP($A151,main!$A$3:$I$56,6,FALSE)&gt;=VLOOKUP(57,main!$A$57:$I$59,4,FALSE)+VLOOKUP(VLOOKUP(AW$1,main!$A$3:$I$56,7,FALSE),main!$K$10:$Q$14,5,FALSE),1,0)</f>
        <v>0</v>
      </c>
      <c r="AX151">
        <f>IF(VLOOKUP(AX$1,main!$A$3:$I$56,5,FALSE)-VLOOKUP($A151,main!$A$3:$I$56,6,FALSE)&gt;=VLOOKUP(57,main!$A$57:$I$59,4,FALSE)+VLOOKUP(VLOOKUP(AX$1,main!$A$3:$I$56,7,FALSE),main!$K$10:$Q$14,5,FALSE),1,0)</f>
        <v>0</v>
      </c>
      <c r="AY151">
        <f>IF(VLOOKUP(AY$1,main!$A$3:$I$56,5,FALSE)-VLOOKUP($A151,main!$A$3:$I$56,6,FALSE)&gt;=VLOOKUP(57,main!$A$57:$I$59,4,FALSE)+VLOOKUP(VLOOKUP(AY$1,main!$A$3:$I$56,7,FALSE),main!$K$10:$Q$14,5,FALSE),1,0)</f>
        <v>0</v>
      </c>
      <c r="AZ151">
        <f>IF(VLOOKUP(AZ$1,main!$A$3:$I$56,5,FALSE)-VLOOKUP($A151,main!$A$3:$I$56,6,FALSE)&gt;=VLOOKUP(57,main!$A$57:$I$59,4,FALSE)+VLOOKUP(VLOOKUP(AZ$1,main!$A$3:$I$56,7,FALSE),main!$K$10:$Q$14,5,FALSE),1,0)</f>
        <v>0</v>
      </c>
      <c r="BA151">
        <f>IF(VLOOKUP(BA$1,main!$A$3:$I$56,5,FALSE)-VLOOKUP($A151,main!$A$3:$I$56,6,FALSE)&gt;=VLOOKUP(57,main!$A$57:$I$59,4,FALSE)+VLOOKUP(VLOOKUP(BA$1,main!$A$3:$I$56,7,FALSE),main!$K$10:$Q$14,5,FALSE),1,0)</f>
        <v>0</v>
      </c>
      <c r="BB151">
        <f>IF(VLOOKUP(BB$1,main!$A$3:$I$56,5,FALSE)-VLOOKUP($A151,main!$A$3:$I$56,6,FALSE)&gt;=VLOOKUP(57,main!$A$57:$I$59,4,FALSE)+VLOOKUP(VLOOKUP(BB$1,main!$A$3:$I$56,7,FALSE),main!$K$10:$Q$14,5,FALSE),1,0)</f>
        <v>0</v>
      </c>
      <c r="BC151">
        <f>IF(VLOOKUP(BC$1,main!$A$3:$I$56,5,FALSE)-VLOOKUP($A151,main!$A$3:$I$56,6,FALSE)&gt;=VLOOKUP(57,main!$A$57:$I$59,4,FALSE)+VLOOKUP(VLOOKUP(BC$1,main!$A$3:$I$56,7,FALSE),main!$K$10:$Q$14,5,FALSE),1,0)</f>
        <v>0</v>
      </c>
      <c r="BD151">
        <f>IF(VLOOKUP(BD$1,main!$A$3:$I$56,5,FALSE)-VLOOKUP($A151,main!$A$3:$I$56,6,FALSE)&gt;=VLOOKUP(57,main!$A$57:$I$59,4,FALSE)+VLOOKUP(VLOOKUP(BD$1,main!$A$3:$I$56,7,FALSE),main!$K$10:$Q$14,5,FALSE),1,0)</f>
        <v>0</v>
      </c>
    </row>
    <row r="152" spans="1:56" x14ac:dyDescent="0.25">
      <c r="A152">
        <f t="shared" si="2"/>
        <v>40</v>
      </c>
      <c r="B152">
        <v>0</v>
      </c>
      <c r="C152">
        <f>IF(VLOOKUP(C$1,main!$A$3:$I$56,5,FALSE)-VLOOKUP($A152,main!$A$3:$I$56,6,FALSE)&gt;=VLOOKUP(57,main!$A$57:$I$59,4,FALSE)+VLOOKUP(VLOOKUP(C$1,main!$A$3:$I$56,7,FALSE),main!$K$10:$Q$14,5,FALSE),1,0)</f>
        <v>0</v>
      </c>
      <c r="D152">
        <f>IF(VLOOKUP(D$1,main!$A$3:$I$56,5,FALSE)-VLOOKUP($A152,main!$A$3:$I$56,6,FALSE)&gt;=VLOOKUP(57,main!$A$57:$I$59,4,FALSE)+VLOOKUP(VLOOKUP(D$1,main!$A$3:$I$56,7,FALSE),main!$K$10:$Q$14,5,FALSE),1,0)</f>
        <v>0</v>
      </c>
      <c r="E152">
        <f>IF(VLOOKUP(E$1,main!$A$3:$I$56,5,FALSE)-VLOOKUP($A152,main!$A$3:$I$56,6,FALSE)&gt;=VLOOKUP(57,main!$A$57:$I$59,4,FALSE)+VLOOKUP(VLOOKUP(E$1,main!$A$3:$I$56,7,FALSE),main!$K$10:$Q$14,5,FALSE),1,0)</f>
        <v>1</v>
      </c>
      <c r="F152">
        <f>IF(VLOOKUP(F$1,main!$A$3:$I$56,5,FALSE)-VLOOKUP($A152,main!$A$3:$I$56,6,FALSE)&gt;=VLOOKUP(57,main!$A$57:$I$59,4,FALSE)+VLOOKUP(VLOOKUP(F$1,main!$A$3:$I$56,7,FALSE),main!$K$10:$Q$14,5,FALSE),1,0)</f>
        <v>1</v>
      </c>
      <c r="G152">
        <f>IF(VLOOKUP(G$1,main!$A$3:$I$56,5,FALSE)-VLOOKUP($A152,main!$A$3:$I$56,6,FALSE)&gt;=VLOOKUP(57,main!$A$57:$I$59,4,FALSE)+VLOOKUP(VLOOKUP(G$1,main!$A$3:$I$56,7,FALSE),main!$K$10:$Q$14,5,FALSE),1,0)</f>
        <v>1</v>
      </c>
      <c r="H152">
        <f>IF(VLOOKUP(H$1,main!$A$3:$I$56,5,FALSE)-VLOOKUP($A152,main!$A$3:$I$56,6,FALSE)&gt;=VLOOKUP(57,main!$A$57:$I$59,4,FALSE)+VLOOKUP(VLOOKUP(H$1,main!$A$3:$I$56,7,FALSE),main!$K$10:$Q$14,5,FALSE),1,0)</f>
        <v>1</v>
      </c>
      <c r="I152">
        <f>IF(VLOOKUP(I$1,main!$A$3:$I$56,5,FALSE)-VLOOKUP($A152,main!$A$3:$I$56,6,FALSE)&gt;=VLOOKUP(57,main!$A$57:$I$59,4,FALSE)+VLOOKUP(VLOOKUP(I$1,main!$A$3:$I$56,7,FALSE),main!$K$10:$Q$14,5,FALSE),1,0)</f>
        <v>1</v>
      </c>
      <c r="J152">
        <f>IF(VLOOKUP(J$1,main!$A$3:$I$56,5,FALSE)-VLOOKUP($A152,main!$A$3:$I$56,6,FALSE)&gt;=VLOOKUP(57,main!$A$57:$I$59,4,FALSE)+VLOOKUP(VLOOKUP(J$1,main!$A$3:$I$56,7,FALSE),main!$K$10:$Q$14,5,FALSE),1,0)</f>
        <v>1</v>
      </c>
      <c r="K152">
        <f>IF(VLOOKUP(K$1,main!$A$3:$I$56,5,FALSE)-VLOOKUP($A152,main!$A$3:$I$56,6,FALSE)&gt;=VLOOKUP(57,main!$A$57:$I$59,4,FALSE)+VLOOKUP(VLOOKUP(K$1,main!$A$3:$I$56,7,FALSE),main!$K$10:$Q$14,5,FALSE),1,0)</f>
        <v>0</v>
      </c>
      <c r="L152">
        <f>IF(VLOOKUP(L$1,main!$A$3:$I$56,5,FALSE)-VLOOKUP($A152,main!$A$3:$I$56,6,FALSE)&gt;=VLOOKUP(57,main!$A$57:$I$59,4,FALSE)+VLOOKUP(VLOOKUP(L$1,main!$A$3:$I$56,7,FALSE),main!$K$10:$Q$14,5,FALSE),1,0)</f>
        <v>0</v>
      </c>
      <c r="M152">
        <f>IF(VLOOKUP(M$1,main!$A$3:$I$56,5,FALSE)-VLOOKUP($A152,main!$A$3:$I$56,6,FALSE)&gt;=VLOOKUP(57,main!$A$57:$I$59,4,FALSE)+VLOOKUP(VLOOKUP(M$1,main!$A$3:$I$56,7,FALSE),main!$K$10:$Q$14,5,FALSE),1,0)</f>
        <v>1</v>
      </c>
      <c r="N152">
        <f>IF(VLOOKUP(N$1,main!$A$3:$I$56,5,FALSE)-VLOOKUP($A152,main!$A$3:$I$56,6,FALSE)&gt;=VLOOKUP(57,main!$A$57:$I$59,4,FALSE)+VLOOKUP(VLOOKUP(N$1,main!$A$3:$I$56,7,FALSE),main!$K$10:$Q$14,5,FALSE),1,0)</f>
        <v>1</v>
      </c>
      <c r="O152">
        <f>IF(VLOOKUP(O$1,main!$A$3:$I$56,5,FALSE)-VLOOKUP($A152,main!$A$3:$I$56,6,FALSE)&gt;=VLOOKUP(57,main!$A$57:$I$59,4,FALSE)+VLOOKUP(VLOOKUP(O$1,main!$A$3:$I$56,7,FALSE),main!$K$10:$Q$14,5,FALSE),1,0)</f>
        <v>1</v>
      </c>
      <c r="P152">
        <f>IF(VLOOKUP(P$1,main!$A$3:$I$56,5,FALSE)-VLOOKUP($A152,main!$A$3:$I$56,6,FALSE)&gt;=VLOOKUP(57,main!$A$57:$I$59,4,FALSE)+VLOOKUP(VLOOKUP(P$1,main!$A$3:$I$56,7,FALSE),main!$K$10:$Q$14,5,FALSE),1,0)</f>
        <v>0</v>
      </c>
      <c r="Q152">
        <f>IF(VLOOKUP(Q$1,main!$A$3:$I$56,5,FALSE)-VLOOKUP($A152,main!$A$3:$I$56,6,FALSE)&gt;=VLOOKUP(57,main!$A$57:$I$59,4,FALSE)+VLOOKUP(VLOOKUP(Q$1,main!$A$3:$I$56,7,FALSE),main!$K$10:$Q$14,5,FALSE),1,0)</f>
        <v>0</v>
      </c>
      <c r="R152">
        <f>IF(VLOOKUP(R$1,main!$A$3:$I$56,5,FALSE)-VLOOKUP($A152,main!$A$3:$I$56,6,FALSE)&gt;=VLOOKUP(57,main!$A$57:$I$59,4,FALSE)+VLOOKUP(VLOOKUP(R$1,main!$A$3:$I$56,7,FALSE),main!$K$10:$Q$14,5,FALSE),1,0)</f>
        <v>1</v>
      </c>
      <c r="S152">
        <f>IF(VLOOKUP(S$1,main!$A$3:$I$56,5,FALSE)-VLOOKUP($A152,main!$A$3:$I$56,6,FALSE)&gt;=VLOOKUP(57,main!$A$57:$I$59,4,FALSE)+VLOOKUP(VLOOKUP(S$1,main!$A$3:$I$56,7,FALSE),main!$K$10:$Q$14,5,FALSE),1,0)</f>
        <v>1</v>
      </c>
      <c r="T152">
        <f>IF(VLOOKUP(T$1,main!$A$3:$I$56,5,FALSE)-VLOOKUP($A152,main!$A$3:$I$56,6,FALSE)&gt;=VLOOKUP(57,main!$A$57:$I$59,4,FALSE)+VLOOKUP(VLOOKUP(T$1,main!$A$3:$I$56,7,FALSE),main!$K$10:$Q$14,5,FALSE),1,0)</f>
        <v>1</v>
      </c>
      <c r="U152">
        <f>IF(VLOOKUP(U$1,main!$A$3:$I$56,5,FALSE)-VLOOKUP($A152,main!$A$3:$I$56,6,FALSE)&gt;=VLOOKUP(57,main!$A$57:$I$59,4,FALSE)+VLOOKUP(VLOOKUP(U$1,main!$A$3:$I$56,7,FALSE),main!$K$10:$Q$14,5,FALSE),1,0)</f>
        <v>0</v>
      </c>
      <c r="V152">
        <f>IF(VLOOKUP(V$1,main!$A$3:$I$56,5,FALSE)-VLOOKUP($A152,main!$A$3:$I$56,6,FALSE)&gt;=VLOOKUP(57,main!$A$57:$I$59,4,FALSE)+VLOOKUP(VLOOKUP(V$1,main!$A$3:$I$56,7,FALSE),main!$K$10:$Q$14,5,FALSE),1,0)</f>
        <v>0</v>
      </c>
      <c r="W152">
        <f>IF(VLOOKUP(W$1,main!$A$3:$I$56,5,FALSE)-VLOOKUP($A152,main!$A$3:$I$56,6,FALSE)&gt;=VLOOKUP(57,main!$A$57:$I$59,4,FALSE)+VLOOKUP(VLOOKUP(W$1,main!$A$3:$I$56,7,FALSE),main!$K$10:$Q$14,5,FALSE),1,0)</f>
        <v>1</v>
      </c>
      <c r="X152">
        <f>IF(VLOOKUP(X$1,main!$A$3:$I$56,5,FALSE)-VLOOKUP($A152,main!$A$3:$I$56,6,FALSE)&gt;=VLOOKUP(57,main!$A$57:$I$59,4,FALSE)+VLOOKUP(VLOOKUP(X$1,main!$A$3:$I$56,7,FALSE),main!$K$10:$Q$14,5,FALSE),1,0)</f>
        <v>1</v>
      </c>
      <c r="Y152">
        <f>IF(VLOOKUP(Y$1,main!$A$3:$I$56,5,FALSE)-VLOOKUP($A152,main!$A$3:$I$56,6,FALSE)&gt;=VLOOKUP(57,main!$A$57:$I$59,4,FALSE)+VLOOKUP(VLOOKUP(Y$1,main!$A$3:$I$56,7,FALSE),main!$K$10:$Q$14,5,FALSE),1,0)</f>
        <v>1</v>
      </c>
      <c r="Z152">
        <f>IF(VLOOKUP(Z$1,main!$A$3:$I$56,5,FALSE)-VLOOKUP($A152,main!$A$3:$I$56,6,FALSE)&gt;=VLOOKUP(57,main!$A$57:$I$59,4,FALSE)+VLOOKUP(VLOOKUP(Z$1,main!$A$3:$I$56,7,FALSE),main!$K$10:$Q$14,5,FALSE),1,0)</f>
        <v>1</v>
      </c>
      <c r="AA152">
        <f>IF(VLOOKUP(AA$1,main!$A$3:$I$56,5,FALSE)-VLOOKUP($A152,main!$A$3:$I$56,6,FALSE)&gt;=VLOOKUP(57,main!$A$57:$I$59,4,FALSE)+VLOOKUP(VLOOKUP(AA$1,main!$A$3:$I$56,7,FALSE),main!$K$10:$Q$14,5,FALSE),1,0)</f>
        <v>1</v>
      </c>
      <c r="AB152">
        <f>IF(VLOOKUP(AB$1,main!$A$3:$I$56,5,FALSE)-VLOOKUP($A152,main!$A$3:$I$56,6,FALSE)&gt;=VLOOKUP(57,main!$A$57:$I$59,4,FALSE)+VLOOKUP(VLOOKUP(AB$1,main!$A$3:$I$56,7,FALSE),main!$K$10:$Q$14,5,FALSE),1,0)</f>
        <v>1</v>
      </c>
      <c r="AC152">
        <f>IF(VLOOKUP(AC$1,main!$A$3:$I$56,5,FALSE)-VLOOKUP($A152,main!$A$3:$I$56,6,FALSE)&gt;=VLOOKUP(57,main!$A$57:$I$59,4,FALSE)+VLOOKUP(VLOOKUP(AC$1,main!$A$3:$I$56,7,FALSE),main!$K$10:$Q$14,5,FALSE),1,0)</f>
        <v>0</v>
      </c>
      <c r="AD152">
        <f>IF(VLOOKUP(AD$1,main!$A$3:$I$56,5,FALSE)-VLOOKUP($A152,main!$A$3:$I$56,6,FALSE)&gt;=VLOOKUP(57,main!$A$57:$I$59,4,FALSE)+VLOOKUP(VLOOKUP(AD$1,main!$A$3:$I$56,7,FALSE),main!$K$10:$Q$14,5,FALSE),1,0)</f>
        <v>0</v>
      </c>
      <c r="AE152">
        <f>IF(VLOOKUP(AE$1,main!$A$3:$I$56,5,FALSE)-VLOOKUP($A152,main!$A$3:$I$56,6,FALSE)&gt;=VLOOKUP(57,main!$A$57:$I$59,4,FALSE)+VLOOKUP(VLOOKUP(AE$1,main!$A$3:$I$56,7,FALSE),main!$K$10:$Q$14,5,FALSE),1,0)</f>
        <v>1</v>
      </c>
      <c r="AF152">
        <f>IF(VLOOKUP(AF$1,main!$A$3:$I$56,5,FALSE)-VLOOKUP($A152,main!$A$3:$I$56,6,FALSE)&gt;=VLOOKUP(57,main!$A$57:$I$59,4,FALSE)+VLOOKUP(VLOOKUP(AF$1,main!$A$3:$I$56,7,FALSE),main!$K$10:$Q$14,5,FALSE),1,0)</f>
        <v>1</v>
      </c>
      <c r="AG152">
        <f>IF(VLOOKUP(AG$1,main!$A$3:$I$56,5,FALSE)-VLOOKUP($A152,main!$A$3:$I$56,6,FALSE)&gt;=VLOOKUP(57,main!$A$57:$I$59,4,FALSE)+VLOOKUP(VLOOKUP(AG$1,main!$A$3:$I$56,7,FALSE),main!$K$10:$Q$14,5,FALSE),1,0)</f>
        <v>0</v>
      </c>
      <c r="AH152">
        <f>IF(VLOOKUP(AH$1,main!$A$3:$I$56,5,FALSE)-VLOOKUP($A152,main!$A$3:$I$56,6,FALSE)&gt;=VLOOKUP(57,main!$A$57:$I$59,4,FALSE)+VLOOKUP(VLOOKUP(AH$1,main!$A$3:$I$56,7,FALSE),main!$K$10:$Q$14,5,FALSE),1,0)</f>
        <v>0</v>
      </c>
      <c r="AI152">
        <f>IF(VLOOKUP(AI$1,main!$A$3:$I$56,5,FALSE)-VLOOKUP($A152,main!$A$3:$I$56,6,FALSE)&gt;=VLOOKUP(57,main!$A$57:$I$59,4,FALSE)+VLOOKUP(VLOOKUP(AI$1,main!$A$3:$I$56,7,FALSE),main!$K$10:$Q$14,5,FALSE),1,0)</f>
        <v>1</v>
      </c>
      <c r="AJ152">
        <f>IF(VLOOKUP(AJ$1,main!$A$3:$I$56,5,FALSE)-VLOOKUP($A152,main!$A$3:$I$56,6,FALSE)&gt;=VLOOKUP(57,main!$A$57:$I$59,4,FALSE)+VLOOKUP(VLOOKUP(AJ$1,main!$A$3:$I$56,7,FALSE),main!$K$10:$Q$14,5,FALSE),1,0)</f>
        <v>1</v>
      </c>
      <c r="AK152">
        <f>IF(VLOOKUP(AK$1,main!$A$3:$I$56,5,FALSE)-VLOOKUP($A152,main!$A$3:$I$56,6,FALSE)&gt;=VLOOKUP(57,main!$A$57:$I$59,4,FALSE)+VLOOKUP(VLOOKUP(AK$1,main!$A$3:$I$56,7,FALSE),main!$K$10:$Q$14,5,FALSE),1,0)</f>
        <v>1</v>
      </c>
      <c r="AL152">
        <f>IF(VLOOKUP(AL$1,main!$A$3:$I$56,5,FALSE)-VLOOKUP($A152,main!$A$3:$I$56,6,FALSE)&gt;=VLOOKUP(57,main!$A$57:$I$59,4,FALSE)+VLOOKUP(VLOOKUP(AL$1,main!$A$3:$I$56,7,FALSE),main!$K$10:$Q$14,5,FALSE),1,0)</f>
        <v>0</v>
      </c>
      <c r="AM152">
        <f>IF(VLOOKUP(AM$1,main!$A$3:$I$56,5,FALSE)-VLOOKUP($A152,main!$A$3:$I$56,6,FALSE)&gt;=VLOOKUP(57,main!$A$57:$I$59,4,FALSE)+VLOOKUP(VLOOKUP(AM$1,main!$A$3:$I$56,7,FALSE),main!$K$10:$Q$14,5,FALSE),1,0)</f>
        <v>0</v>
      </c>
      <c r="AN152">
        <f>IF(VLOOKUP(AN$1,main!$A$3:$I$56,5,FALSE)-VLOOKUP($A152,main!$A$3:$I$56,6,FALSE)&gt;=VLOOKUP(57,main!$A$57:$I$59,4,FALSE)+VLOOKUP(VLOOKUP(AN$1,main!$A$3:$I$56,7,FALSE),main!$K$10:$Q$14,5,FALSE),1,0)</f>
        <v>1</v>
      </c>
      <c r="AO152">
        <f>IF(VLOOKUP(AO$1,main!$A$3:$I$56,5,FALSE)-VLOOKUP($A152,main!$A$3:$I$56,6,FALSE)&gt;=VLOOKUP(57,main!$A$57:$I$59,4,FALSE)+VLOOKUP(VLOOKUP(AO$1,main!$A$3:$I$56,7,FALSE),main!$K$10:$Q$14,5,FALSE),1,0)</f>
        <v>1</v>
      </c>
      <c r="AP152">
        <f>IF(VLOOKUP(AP$1,main!$A$3:$I$56,5,FALSE)-VLOOKUP($A152,main!$A$3:$I$56,6,FALSE)&gt;=VLOOKUP(57,main!$A$57:$I$59,4,FALSE)+VLOOKUP(VLOOKUP(AP$1,main!$A$3:$I$56,7,FALSE),main!$K$10:$Q$14,5,FALSE),1,0)</f>
        <v>0</v>
      </c>
      <c r="AQ152">
        <f>IF(VLOOKUP(AQ$1,main!$A$3:$I$56,5,FALSE)-VLOOKUP($A152,main!$A$3:$I$56,6,FALSE)&gt;=VLOOKUP(57,main!$A$57:$I$59,4,FALSE)+VLOOKUP(VLOOKUP(AQ$1,main!$A$3:$I$56,7,FALSE),main!$K$10:$Q$14,5,FALSE),1,0)</f>
        <v>0</v>
      </c>
      <c r="AR152">
        <f>IF(VLOOKUP(AR$1,main!$A$3:$I$56,5,FALSE)-VLOOKUP($A152,main!$A$3:$I$56,6,FALSE)&gt;=VLOOKUP(57,main!$A$57:$I$59,4,FALSE)+VLOOKUP(VLOOKUP(AR$1,main!$A$3:$I$56,7,FALSE),main!$K$10:$Q$14,5,FALSE),1,0)</f>
        <v>0</v>
      </c>
      <c r="AS152">
        <f>IF(VLOOKUP(AS$1,main!$A$3:$I$56,5,FALSE)-VLOOKUP($A152,main!$A$3:$I$56,6,FALSE)&gt;=VLOOKUP(57,main!$A$57:$I$59,4,FALSE)+VLOOKUP(VLOOKUP(AS$1,main!$A$3:$I$56,7,FALSE),main!$K$10:$Q$14,5,FALSE),1,0)</f>
        <v>0</v>
      </c>
      <c r="AT152">
        <f>IF(VLOOKUP(AT$1,main!$A$3:$I$56,5,FALSE)-VLOOKUP($A152,main!$A$3:$I$56,6,FALSE)&gt;=VLOOKUP(57,main!$A$57:$I$59,4,FALSE)+VLOOKUP(VLOOKUP(AT$1,main!$A$3:$I$56,7,FALSE),main!$K$10:$Q$14,5,FALSE),1,0)</f>
        <v>1</v>
      </c>
      <c r="AU152">
        <f>IF(VLOOKUP(AU$1,main!$A$3:$I$56,5,FALSE)-VLOOKUP($A152,main!$A$3:$I$56,6,FALSE)&gt;=VLOOKUP(57,main!$A$57:$I$59,4,FALSE)+VLOOKUP(VLOOKUP(AU$1,main!$A$3:$I$56,7,FALSE),main!$K$10:$Q$14,5,FALSE),1,0)</f>
        <v>0</v>
      </c>
      <c r="AV152">
        <f>IF(VLOOKUP(AV$1,main!$A$3:$I$56,5,FALSE)-VLOOKUP($A152,main!$A$3:$I$56,6,FALSE)&gt;=VLOOKUP(57,main!$A$57:$I$59,4,FALSE)+VLOOKUP(VLOOKUP(AV$1,main!$A$3:$I$56,7,FALSE),main!$K$10:$Q$14,5,FALSE),1,0)</f>
        <v>0</v>
      </c>
      <c r="AW152">
        <f>IF(VLOOKUP(AW$1,main!$A$3:$I$56,5,FALSE)-VLOOKUP($A152,main!$A$3:$I$56,6,FALSE)&gt;=VLOOKUP(57,main!$A$57:$I$59,4,FALSE)+VLOOKUP(VLOOKUP(AW$1,main!$A$3:$I$56,7,FALSE),main!$K$10:$Q$14,5,FALSE),1,0)</f>
        <v>1</v>
      </c>
      <c r="AX152">
        <f>IF(VLOOKUP(AX$1,main!$A$3:$I$56,5,FALSE)-VLOOKUP($A152,main!$A$3:$I$56,6,FALSE)&gt;=VLOOKUP(57,main!$A$57:$I$59,4,FALSE)+VLOOKUP(VLOOKUP(AX$1,main!$A$3:$I$56,7,FALSE),main!$K$10:$Q$14,5,FALSE),1,0)</f>
        <v>1</v>
      </c>
      <c r="AY152">
        <f>IF(VLOOKUP(AY$1,main!$A$3:$I$56,5,FALSE)-VLOOKUP($A152,main!$A$3:$I$56,6,FALSE)&gt;=VLOOKUP(57,main!$A$57:$I$59,4,FALSE)+VLOOKUP(VLOOKUP(AY$1,main!$A$3:$I$56,7,FALSE),main!$K$10:$Q$14,5,FALSE),1,0)</f>
        <v>1</v>
      </c>
      <c r="AZ152">
        <f>IF(VLOOKUP(AZ$1,main!$A$3:$I$56,5,FALSE)-VLOOKUP($A152,main!$A$3:$I$56,6,FALSE)&gt;=VLOOKUP(57,main!$A$57:$I$59,4,FALSE)+VLOOKUP(VLOOKUP(AZ$1,main!$A$3:$I$56,7,FALSE),main!$K$10:$Q$14,5,FALSE),1,0)</f>
        <v>0</v>
      </c>
      <c r="BA152">
        <f>IF(VLOOKUP(BA$1,main!$A$3:$I$56,5,FALSE)-VLOOKUP($A152,main!$A$3:$I$56,6,FALSE)&gt;=VLOOKUP(57,main!$A$57:$I$59,4,FALSE)+VLOOKUP(VLOOKUP(BA$1,main!$A$3:$I$56,7,FALSE),main!$K$10:$Q$14,5,FALSE),1,0)</f>
        <v>0</v>
      </c>
      <c r="BB152">
        <f>IF(VLOOKUP(BB$1,main!$A$3:$I$56,5,FALSE)-VLOOKUP($A152,main!$A$3:$I$56,6,FALSE)&gt;=VLOOKUP(57,main!$A$57:$I$59,4,FALSE)+VLOOKUP(VLOOKUP(BB$1,main!$A$3:$I$56,7,FALSE),main!$K$10:$Q$14,5,FALSE),1,0)</f>
        <v>0</v>
      </c>
      <c r="BC152">
        <f>IF(VLOOKUP(BC$1,main!$A$3:$I$56,5,FALSE)-VLOOKUP($A152,main!$A$3:$I$56,6,FALSE)&gt;=VLOOKUP(57,main!$A$57:$I$59,4,FALSE)+VLOOKUP(VLOOKUP(BC$1,main!$A$3:$I$56,7,FALSE),main!$K$10:$Q$14,5,FALSE),1,0)</f>
        <v>1</v>
      </c>
      <c r="BD152">
        <f>IF(VLOOKUP(BD$1,main!$A$3:$I$56,5,FALSE)-VLOOKUP($A152,main!$A$3:$I$56,6,FALSE)&gt;=VLOOKUP(57,main!$A$57:$I$59,4,FALSE)+VLOOKUP(VLOOKUP(BD$1,main!$A$3:$I$56,7,FALSE),main!$K$10:$Q$14,5,FALSE),1,0)</f>
        <v>1</v>
      </c>
    </row>
    <row r="153" spans="1:56" x14ac:dyDescent="0.25">
      <c r="A153">
        <f t="shared" si="2"/>
        <v>41</v>
      </c>
      <c r="B153">
        <v>0</v>
      </c>
      <c r="C153">
        <f>IF(VLOOKUP(C$1,main!$A$3:$I$56,5,FALSE)-VLOOKUP($A153,main!$A$3:$I$56,6,FALSE)&gt;=VLOOKUP(57,main!$A$57:$I$59,4,FALSE)+VLOOKUP(VLOOKUP(C$1,main!$A$3:$I$56,7,FALSE),main!$K$10:$Q$14,5,FALSE),1,0)</f>
        <v>0</v>
      </c>
      <c r="D153">
        <f>IF(VLOOKUP(D$1,main!$A$3:$I$56,5,FALSE)-VLOOKUP($A153,main!$A$3:$I$56,6,FALSE)&gt;=VLOOKUP(57,main!$A$57:$I$59,4,FALSE)+VLOOKUP(VLOOKUP(D$1,main!$A$3:$I$56,7,FALSE),main!$K$10:$Q$14,5,FALSE),1,0)</f>
        <v>0</v>
      </c>
      <c r="E153">
        <f>IF(VLOOKUP(E$1,main!$A$3:$I$56,5,FALSE)-VLOOKUP($A153,main!$A$3:$I$56,6,FALSE)&gt;=VLOOKUP(57,main!$A$57:$I$59,4,FALSE)+VLOOKUP(VLOOKUP(E$1,main!$A$3:$I$56,7,FALSE),main!$K$10:$Q$14,5,FALSE),1,0)</f>
        <v>0</v>
      </c>
      <c r="F153">
        <f>IF(VLOOKUP(F$1,main!$A$3:$I$56,5,FALSE)-VLOOKUP($A153,main!$A$3:$I$56,6,FALSE)&gt;=VLOOKUP(57,main!$A$57:$I$59,4,FALSE)+VLOOKUP(VLOOKUP(F$1,main!$A$3:$I$56,7,FALSE),main!$K$10:$Q$14,5,FALSE),1,0)</f>
        <v>1</v>
      </c>
      <c r="G153">
        <f>IF(VLOOKUP(G$1,main!$A$3:$I$56,5,FALSE)-VLOOKUP($A153,main!$A$3:$I$56,6,FALSE)&gt;=VLOOKUP(57,main!$A$57:$I$59,4,FALSE)+VLOOKUP(VLOOKUP(G$1,main!$A$3:$I$56,7,FALSE),main!$K$10:$Q$14,5,FALSE),1,0)</f>
        <v>1</v>
      </c>
      <c r="H153">
        <f>IF(VLOOKUP(H$1,main!$A$3:$I$56,5,FALSE)-VLOOKUP($A153,main!$A$3:$I$56,6,FALSE)&gt;=VLOOKUP(57,main!$A$57:$I$59,4,FALSE)+VLOOKUP(VLOOKUP(H$1,main!$A$3:$I$56,7,FALSE),main!$K$10:$Q$14,5,FALSE),1,0)</f>
        <v>1</v>
      </c>
      <c r="I153">
        <f>IF(VLOOKUP(I$1,main!$A$3:$I$56,5,FALSE)-VLOOKUP($A153,main!$A$3:$I$56,6,FALSE)&gt;=VLOOKUP(57,main!$A$57:$I$59,4,FALSE)+VLOOKUP(VLOOKUP(I$1,main!$A$3:$I$56,7,FALSE),main!$K$10:$Q$14,5,FALSE),1,0)</f>
        <v>1</v>
      </c>
      <c r="J153">
        <f>IF(VLOOKUP(J$1,main!$A$3:$I$56,5,FALSE)-VLOOKUP($A153,main!$A$3:$I$56,6,FALSE)&gt;=VLOOKUP(57,main!$A$57:$I$59,4,FALSE)+VLOOKUP(VLOOKUP(J$1,main!$A$3:$I$56,7,FALSE),main!$K$10:$Q$14,5,FALSE),1,0)</f>
        <v>1</v>
      </c>
      <c r="K153">
        <f>IF(VLOOKUP(K$1,main!$A$3:$I$56,5,FALSE)-VLOOKUP($A153,main!$A$3:$I$56,6,FALSE)&gt;=VLOOKUP(57,main!$A$57:$I$59,4,FALSE)+VLOOKUP(VLOOKUP(K$1,main!$A$3:$I$56,7,FALSE),main!$K$10:$Q$14,5,FALSE),1,0)</f>
        <v>0</v>
      </c>
      <c r="L153">
        <f>IF(VLOOKUP(L$1,main!$A$3:$I$56,5,FALSE)-VLOOKUP($A153,main!$A$3:$I$56,6,FALSE)&gt;=VLOOKUP(57,main!$A$57:$I$59,4,FALSE)+VLOOKUP(VLOOKUP(L$1,main!$A$3:$I$56,7,FALSE),main!$K$10:$Q$14,5,FALSE),1,0)</f>
        <v>0</v>
      </c>
      <c r="M153">
        <f>IF(VLOOKUP(M$1,main!$A$3:$I$56,5,FALSE)-VLOOKUP($A153,main!$A$3:$I$56,6,FALSE)&gt;=VLOOKUP(57,main!$A$57:$I$59,4,FALSE)+VLOOKUP(VLOOKUP(M$1,main!$A$3:$I$56,7,FALSE),main!$K$10:$Q$14,5,FALSE),1,0)</f>
        <v>0</v>
      </c>
      <c r="N153">
        <f>IF(VLOOKUP(N$1,main!$A$3:$I$56,5,FALSE)-VLOOKUP($A153,main!$A$3:$I$56,6,FALSE)&gt;=VLOOKUP(57,main!$A$57:$I$59,4,FALSE)+VLOOKUP(VLOOKUP(N$1,main!$A$3:$I$56,7,FALSE),main!$K$10:$Q$14,5,FALSE),1,0)</f>
        <v>1</v>
      </c>
      <c r="O153">
        <f>IF(VLOOKUP(O$1,main!$A$3:$I$56,5,FALSE)-VLOOKUP($A153,main!$A$3:$I$56,6,FALSE)&gt;=VLOOKUP(57,main!$A$57:$I$59,4,FALSE)+VLOOKUP(VLOOKUP(O$1,main!$A$3:$I$56,7,FALSE),main!$K$10:$Q$14,5,FALSE),1,0)</f>
        <v>1</v>
      </c>
      <c r="P153">
        <f>IF(VLOOKUP(P$1,main!$A$3:$I$56,5,FALSE)-VLOOKUP($A153,main!$A$3:$I$56,6,FALSE)&gt;=VLOOKUP(57,main!$A$57:$I$59,4,FALSE)+VLOOKUP(VLOOKUP(P$1,main!$A$3:$I$56,7,FALSE),main!$K$10:$Q$14,5,FALSE),1,0)</f>
        <v>0</v>
      </c>
      <c r="Q153">
        <f>IF(VLOOKUP(Q$1,main!$A$3:$I$56,5,FALSE)-VLOOKUP($A153,main!$A$3:$I$56,6,FALSE)&gt;=VLOOKUP(57,main!$A$57:$I$59,4,FALSE)+VLOOKUP(VLOOKUP(Q$1,main!$A$3:$I$56,7,FALSE),main!$K$10:$Q$14,5,FALSE),1,0)</f>
        <v>0</v>
      </c>
      <c r="R153">
        <f>IF(VLOOKUP(R$1,main!$A$3:$I$56,5,FALSE)-VLOOKUP($A153,main!$A$3:$I$56,6,FALSE)&gt;=VLOOKUP(57,main!$A$57:$I$59,4,FALSE)+VLOOKUP(VLOOKUP(R$1,main!$A$3:$I$56,7,FALSE),main!$K$10:$Q$14,5,FALSE),1,0)</f>
        <v>0</v>
      </c>
      <c r="S153">
        <f>IF(VLOOKUP(S$1,main!$A$3:$I$56,5,FALSE)-VLOOKUP($A153,main!$A$3:$I$56,6,FALSE)&gt;=VLOOKUP(57,main!$A$57:$I$59,4,FALSE)+VLOOKUP(VLOOKUP(S$1,main!$A$3:$I$56,7,FALSE),main!$K$10:$Q$14,5,FALSE),1,0)</f>
        <v>1</v>
      </c>
      <c r="T153">
        <f>IF(VLOOKUP(T$1,main!$A$3:$I$56,5,FALSE)-VLOOKUP($A153,main!$A$3:$I$56,6,FALSE)&gt;=VLOOKUP(57,main!$A$57:$I$59,4,FALSE)+VLOOKUP(VLOOKUP(T$1,main!$A$3:$I$56,7,FALSE),main!$K$10:$Q$14,5,FALSE),1,0)</f>
        <v>1</v>
      </c>
      <c r="U153">
        <f>IF(VLOOKUP(U$1,main!$A$3:$I$56,5,FALSE)-VLOOKUP($A153,main!$A$3:$I$56,6,FALSE)&gt;=VLOOKUP(57,main!$A$57:$I$59,4,FALSE)+VLOOKUP(VLOOKUP(U$1,main!$A$3:$I$56,7,FALSE),main!$K$10:$Q$14,5,FALSE),1,0)</f>
        <v>0</v>
      </c>
      <c r="V153">
        <f>IF(VLOOKUP(V$1,main!$A$3:$I$56,5,FALSE)-VLOOKUP($A153,main!$A$3:$I$56,6,FALSE)&gt;=VLOOKUP(57,main!$A$57:$I$59,4,FALSE)+VLOOKUP(VLOOKUP(V$1,main!$A$3:$I$56,7,FALSE),main!$K$10:$Q$14,5,FALSE),1,0)</f>
        <v>0</v>
      </c>
      <c r="W153">
        <f>IF(VLOOKUP(W$1,main!$A$3:$I$56,5,FALSE)-VLOOKUP($A153,main!$A$3:$I$56,6,FALSE)&gt;=VLOOKUP(57,main!$A$57:$I$59,4,FALSE)+VLOOKUP(VLOOKUP(W$1,main!$A$3:$I$56,7,FALSE),main!$K$10:$Q$14,5,FALSE),1,0)</f>
        <v>0</v>
      </c>
      <c r="X153">
        <f>IF(VLOOKUP(X$1,main!$A$3:$I$56,5,FALSE)-VLOOKUP($A153,main!$A$3:$I$56,6,FALSE)&gt;=VLOOKUP(57,main!$A$57:$I$59,4,FALSE)+VLOOKUP(VLOOKUP(X$1,main!$A$3:$I$56,7,FALSE),main!$K$10:$Q$14,5,FALSE),1,0)</f>
        <v>1</v>
      </c>
      <c r="Y153">
        <f>IF(VLOOKUP(Y$1,main!$A$3:$I$56,5,FALSE)-VLOOKUP($A153,main!$A$3:$I$56,6,FALSE)&gt;=VLOOKUP(57,main!$A$57:$I$59,4,FALSE)+VLOOKUP(VLOOKUP(Y$1,main!$A$3:$I$56,7,FALSE),main!$K$10:$Q$14,5,FALSE),1,0)</f>
        <v>1</v>
      </c>
      <c r="Z153">
        <f>IF(VLOOKUP(Z$1,main!$A$3:$I$56,5,FALSE)-VLOOKUP($A153,main!$A$3:$I$56,6,FALSE)&gt;=VLOOKUP(57,main!$A$57:$I$59,4,FALSE)+VLOOKUP(VLOOKUP(Z$1,main!$A$3:$I$56,7,FALSE),main!$K$10:$Q$14,5,FALSE),1,0)</f>
        <v>1</v>
      </c>
      <c r="AA153">
        <f>IF(VLOOKUP(AA$1,main!$A$3:$I$56,5,FALSE)-VLOOKUP($A153,main!$A$3:$I$56,6,FALSE)&gt;=VLOOKUP(57,main!$A$57:$I$59,4,FALSE)+VLOOKUP(VLOOKUP(AA$1,main!$A$3:$I$56,7,FALSE),main!$K$10:$Q$14,5,FALSE),1,0)</f>
        <v>1</v>
      </c>
      <c r="AB153">
        <f>IF(VLOOKUP(AB$1,main!$A$3:$I$56,5,FALSE)-VLOOKUP($A153,main!$A$3:$I$56,6,FALSE)&gt;=VLOOKUP(57,main!$A$57:$I$59,4,FALSE)+VLOOKUP(VLOOKUP(AB$1,main!$A$3:$I$56,7,FALSE),main!$K$10:$Q$14,5,FALSE),1,0)</f>
        <v>1</v>
      </c>
      <c r="AC153">
        <f>IF(VLOOKUP(AC$1,main!$A$3:$I$56,5,FALSE)-VLOOKUP($A153,main!$A$3:$I$56,6,FALSE)&gt;=VLOOKUP(57,main!$A$57:$I$59,4,FALSE)+VLOOKUP(VLOOKUP(AC$1,main!$A$3:$I$56,7,FALSE),main!$K$10:$Q$14,5,FALSE),1,0)</f>
        <v>0</v>
      </c>
      <c r="AD153">
        <f>IF(VLOOKUP(AD$1,main!$A$3:$I$56,5,FALSE)-VLOOKUP($A153,main!$A$3:$I$56,6,FALSE)&gt;=VLOOKUP(57,main!$A$57:$I$59,4,FALSE)+VLOOKUP(VLOOKUP(AD$1,main!$A$3:$I$56,7,FALSE),main!$K$10:$Q$14,5,FALSE),1,0)</f>
        <v>0</v>
      </c>
      <c r="AE153">
        <f>IF(VLOOKUP(AE$1,main!$A$3:$I$56,5,FALSE)-VLOOKUP($A153,main!$A$3:$I$56,6,FALSE)&gt;=VLOOKUP(57,main!$A$57:$I$59,4,FALSE)+VLOOKUP(VLOOKUP(AE$1,main!$A$3:$I$56,7,FALSE),main!$K$10:$Q$14,5,FALSE),1,0)</f>
        <v>1</v>
      </c>
      <c r="AF153">
        <f>IF(VLOOKUP(AF$1,main!$A$3:$I$56,5,FALSE)-VLOOKUP($A153,main!$A$3:$I$56,6,FALSE)&gt;=VLOOKUP(57,main!$A$57:$I$59,4,FALSE)+VLOOKUP(VLOOKUP(AF$1,main!$A$3:$I$56,7,FALSE),main!$K$10:$Q$14,5,FALSE),1,0)</f>
        <v>1</v>
      </c>
      <c r="AG153">
        <f>IF(VLOOKUP(AG$1,main!$A$3:$I$56,5,FALSE)-VLOOKUP($A153,main!$A$3:$I$56,6,FALSE)&gt;=VLOOKUP(57,main!$A$57:$I$59,4,FALSE)+VLOOKUP(VLOOKUP(AG$1,main!$A$3:$I$56,7,FALSE),main!$K$10:$Q$14,5,FALSE),1,0)</f>
        <v>0</v>
      </c>
      <c r="AH153">
        <f>IF(VLOOKUP(AH$1,main!$A$3:$I$56,5,FALSE)-VLOOKUP($A153,main!$A$3:$I$56,6,FALSE)&gt;=VLOOKUP(57,main!$A$57:$I$59,4,FALSE)+VLOOKUP(VLOOKUP(AH$1,main!$A$3:$I$56,7,FALSE),main!$K$10:$Q$14,5,FALSE),1,0)</f>
        <v>0</v>
      </c>
      <c r="AI153">
        <f>IF(VLOOKUP(AI$1,main!$A$3:$I$56,5,FALSE)-VLOOKUP($A153,main!$A$3:$I$56,6,FALSE)&gt;=VLOOKUP(57,main!$A$57:$I$59,4,FALSE)+VLOOKUP(VLOOKUP(AI$1,main!$A$3:$I$56,7,FALSE),main!$K$10:$Q$14,5,FALSE),1,0)</f>
        <v>0</v>
      </c>
      <c r="AJ153">
        <f>IF(VLOOKUP(AJ$1,main!$A$3:$I$56,5,FALSE)-VLOOKUP($A153,main!$A$3:$I$56,6,FALSE)&gt;=VLOOKUP(57,main!$A$57:$I$59,4,FALSE)+VLOOKUP(VLOOKUP(AJ$1,main!$A$3:$I$56,7,FALSE),main!$K$10:$Q$14,5,FALSE),1,0)</f>
        <v>1</v>
      </c>
      <c r="AK153">
        <f>IF(VLOOKUP(AK$1,main!$A$3:$I$56,5,FALSE)-VLOOKUP($A153,main!$A$3:$I$56,6,FALSE)&gt;=VLOOKUP(57,main!$A$57:$I$59,4,FALSE)+VLOOKUP(VLOOKUP(AK$1,main!$A$3:$I$56,7,FALSE),main!$K$10:$Q$14,5,FALSE),1,0)</f>
        <v>1</v>
      </c>
      <c r="AL153">
        <f>IF(VLOOKUP(AL$1,main!$A$3:$I$56,5,FALSE)-VLOOKUP($A153,main!$A$3:$I$56,6,FALSE)&gt;=VLOOKUP(57,main!$A$57:$I$59,4,FALSE)+VLOOKUP(VLOOKUP(AL$1,main!$A$3:$I$56,7,FALSE),main!$K$10:$Q$14,5,FALSE),1,0)</f>
        <v>0</v>
      </c>
      <c r="AM153">
        <f>IF(VLOOKUP(AM$1,main!$A$3:$I$56,5,FALSE)-VLOOKUP($A153,main!$A$3:$I$56,6,FALSE)&gt;=VLOOKUP(57,main!$A$57:$I$59,4,FALSE)+VLOOKUP(VLOOKUP(AM$1,main!$A$3:$I$56,7,FALSE),main!$K$10:$Q$14,5,FALSE),1,0)</f>
        <v>0</v>
      </c>
      <c r="AN153">
        <f>IF(VLOOKUP(AN$1,main!$A$3:$I$56,5,FALSE)-VLOOKUP($A153,main!$A$3:$I$56,6,FALSE)&gt;=VLOOKUP(57,main!$A$57:$I$59,4,FALSE)+VLOOKUP(VLOOKUP(AN$1,main!$A$3:$I$56,7,FALSE),main!$K$10:$Q$14,5,FALSE),1,0)</f>
        <v>1</v>
      </c>
      <c r="AO153">
        <f>IF(VLOOKUP(AO$1,main!$A$3:$I$56,5,FALSE)-VLOOKUP($A153,main!$A$3:$I$56,6,FALSE)&gt;=VLOOKUP(57,main!$A$57:$I$59,4,FALSE)+VLOOKUP(VLOOKUP(AO$1,main!$A$3:$I$56,7,FALSE),main!$K$10:$Q$14,5,FALSE),1,0)</f>
        <v>1</v>
      </c>
      <c r="AP153">
        <f>IF(VLOOKUP(AP$1,main!$A$3:$I$56,5,FALSE)-VLOOKUP($A153,main!$A$3:$I$56,6,FALSE)&gt;=VLOOKUP(57,main!$A$57:$I$59,4,FALSE)+VLOOKUP(VLOOKUP(AP$1,main!$A$3:$I$56,7,FALSE),main!$K$10:$Q$14,5,FALSE),1,0)</f>
        <v>0</v>
      </c>
      <c r="AQ153">
        <f>IF(VLOOKUP(AQ$1,main!$A$3:$I$56,5,FALSE)-VLOOKUP($A153,main!$A$3:$I$56,6,FALSE)&gt;=VLOOKUP(57,main!$A$57:$I$59,4,FALSE)+VLOOKUP(VLOOKUP(AQ$1,main!$A$3:$I$56,7,FALSE),main!$K$10:$Q$14,5,FALSE),1,0)</f>
        <v>0</v>
      </c>
      <c r="AR153">
        <f>IF(VLOOKUP(AR$1,main!$A$3:$I$56,5,FALSE)-VLOOKUP($A153,main!$A$3:$I$56,6,FALSE)&gt;=VLOOKUP(57,main!$A$57:$I$59,4,FALSE)+VLOOKUP(VLOOKUP(AR$1,main!$A$3:$I$56,7,FALSE),main!$K$10:$Q$14,5,FALSE),1,0)</f>
        <v>0</v>
      </c>
      <c r="AS153">
        <f>IF(VLOOKUP(AS$1,main!$A$3:$I$56,5,FALSE)-VLOOKUP($A153,main!$A$3:$I$56,6,FALSE)&gt;=VLOOKUP(57,main!$A$57:$I$59,4,FALSE)+VLOOKUP(VLOOKUP(AS$1,main!$A$3:$I$56,7,FALSE),main!$K$10:$Q$14,5,FALSE),1,0)</f>
        <v>0</v>
      </c>
      <c r="AT153">
        <f>IF(VLOOKUP(AT$1,main!$A$3:$I$56,5,FALSE)-VLOOKUP($A153,main!$A$3:$I$56,6,FALSE)&gt;=VLOOKUP(57,main!$A$57:$I$59,4,FALSE)+VLOOKUP(VLOOKUP(AT$1,main!$A$3:$I$56,7,FALSE),main!$K$10:$Q$14,5,FALSE),1,0)</f>
        <v>0</v>
      </c>
      <c r="AU153">
        <f>IF(VLOOKUP(AU$1,main!$A$3:$I$56,5,FALSE)-VLOOKUP($A153,main!$A$3:$I$56,6,FALSE)&gt;=VLOOKUP(57,main!$A$57:$I$59,4,FALSE)+VLOOKUP(VLOOKUP(AU$1,main!$A$3:$I$56,7,FALSE),main!$K$10:$Q$14,5,FALSE),1,0)</f>
        <v>0</v>
      </c>
      <c r="AV153">
        <f>IF(VLOOKUP(AV$1,main!$A$3:$I$56,5,FALSE)-VLOOKUP($A153,main!$A$3:$I$56,6,FALSE)&gt;=VLOOKUP(57,main!$A$57:$I$59,4,FALSE)+VLOOKUP(VLOOKUP(AV$1,main!$A$3:$I$56,7,FALSE),main!$K$10:$Q$14,5,FALSE),1,0)</f>
        <v>0</v>
      </c>
      <c r="AW153">
        <f>IF(VLOOKUP(AW$1,main!$A$3:$I$56,5,FALSE)-VLOOKUP($A153,main!$A$3:$I$56,6,FALSE)&gt;=VLOOKUP(57,main!$A$57:$I$59,4,FALSE)+VLOOKUP(VLOOKUP(AW$1,main!$A$3:$I$56,7,FALSE),main!$K$10:$Q$14,5,FALSE),1,0)</f>
        <v>0</v>
      </c>
      <c r="AX153">
        <f>IF(VLOOKUP(AX$1,main!$A$3:$I$56,5,FALSE)-VLOOKUP($A153,main!$A$3:$I$56,6,FALSE)&gt;=VLOOKUP(57,main!$A$57:$I$59,4,FALSE)+VLOOKUP(VLOOKUP(AX$1,main!$A$3:$I$56,7,FALSE),main!$K$10:$Q$14,5,FALSE),1,0)</f>
        <v>1</v>
      </c>
      <c r="AY153">
        <f>IF(VLOOKUP(AY$1,main!$A$3:$I$56,5,FALSE)-VLOOKUP($A153,main!$A$3:$I$56,6,FALSE)&gt;=VLOOKUP(57,main!$A$57:$I$59,4,FALSE)+VLOOKUP(VLOOKUP(AY$1,main!$A$3:$I$56,7,FALSE),main!$K$10:$Q$14,5,FALSE),1,0)</f>
        <v>1</v>
      </c>
      <c r="AZ153">
        <f>IF(VLOOKUP(AZ$1,main!$A$3:$I$56,5,FALSE)-VLOOKUP($A153,main!$A$3:$I$56,6,FALSE)&gt;=VLOOKUP(57,main!$A$57:$I$59,4,FALSE)+VLOOKUP(VLOOKUP(AZ$1,main!$A$3:$I$56,7,FALSE),main!$K$10:$Q$14,5,FALSE),1,0)</f>
        <v>0</v>
      </c>
      <c r="BA153">
        <f>IF(VLOOKUP(BA$1,main!$A$3:$I$56,5,FALSE)-VLOOKUP($A153,main!$A$3:$I$56,6,FALSE)&gt;=VLOOKUP(57,main!$A$57:$I$59,4,FALSE)+VLOOKUP(VLOOKUP(BA$1,main!$A$3:$I$56,7,FALSE),main!$K$10:$Q$14,5,FALSE),1,0)</f>
        <v>0</v>
      </c>
      <c r="BB153">
        <f>IF(VLOOKUP(BB$1,main!$A$3:$I$56,5,FALSE)-VLOOKUP($A153,main!$A$3:$I$56,6,FALSE)&gt;=VLOOKUP(57,main!$A$57:$I$59,4,FALSE)+VLOOKUP(VLOOKUP(BB$1,main!$A$3:$I$56,7,FALSE),main!$K$10:$Q$14,5,FALSE),1,0)</f>
        <v>0</v>
      </c>
      <c r="BC153">
        <f>IF(VLOOKUP(BC$1,main!$A$3:$I$56,5,FALSE)-VLOOKUP($A153,main!$A$3:$I$56,6,FALSE)&gt;=VLOOKUP(57,main!$A$57:$I$59,4,FALSE)+VLOOKUP(VLOOKUP(BC$1,main!$A$3:$I$56,7,FALSE),main!$K$10:$Q$14,5,FALSE),1,0)</f>
        <v>1</v>
      </c>
      <c r="BD153">
        <f>IF(VLOOKUP(BD$1,main!$A$3:$I$56,5,FALSE)-VLOOKUP($A153,main!$A$3:$I$56,6,FALSE)&gt;=VLOOKUP(57,main!$A$57:$I$59,4,FALSE)+VLOOKUP(VLOOKUP(BD$1,main!$A$3:$I$56,7,FALSE),main!$K$10:$Q$14,5,FALSE),1,0)</f>
        <v>1</v>
      </c>
    </row>
    <row r="154" spans="1:56" x14ac:dyDescent="0.25">
      <c r="A154">
        <f t="shared" si="2"/>
        <v>42</v>
      </c>
      <c r="B154">
        <v>0</v>
      </c>
      <c r="C154">
        <f>IF(VLOOKUP(C$1,main!$A$3:$I$56,5,FALSE)-VLOOKUP($A154,main!$A$3:$I$56,6,FALSE)&gt;=VLOOKUP(57,main!$A$57:$I$59,4,FALSE)+VLOOKUP(VLOOKUP(C$1,main!$A$3:$I$56,7,FALSE),main!$K$10:$Q$14,5,FALSE),1,0)</f>
        <v>0</v>
      </c>
      <c r="D154">
        <f>IF(VLOOKUP(D$1,main!$A$3:$I$56,5,FALSE)-VLOOKUP($A154,main!$A$3:$I$56,6,FALSE)&gt;=VLOOKUP(57,main!$A$57:$I$59,4,FALSE)+VLOOKUP(VLOOKUP(D$1,main!$A$3:$I$56,7,FALSE),main!$K$10:$Q$14,5,FALSE),1,0)</f>
        <v>0</v>
      </c>
      <c r="E154">
        <f>IF(VLOOKUP(E$1,main!$A$3:$I$56,5,FALSE)-VLOOKUP($A154,main!$A$3:$I$56,6,FALSE)&gt;=VLOOKUP(57,main!$A$57:$I$59,4,FALSE)+VLOOKUP(VLOOKUP(E$1,main!$A$3:$I$56,7,FALSE),main!$K$10:$Q$14,5,FALSE),1,0)</f>
        <v>0</v>
      </c>
      <c r="F154">
        <f>IF(VLOOKUP(F$1,main!$A$3:$I$56,5,FALSE)-VLOOKUP($A154,main!$A$3:$I$56,6,FALSE)&gt;=VLOOKUP(57,main!$A$57:$I$59,4,FALSE)+VLOOKUP(VLOOKUP(F$1,main!$A$3:$I$56,7,FALSE),main!$K$10:$Q$14,5,FALSE),1,0)</f>
        <v>0</v>
      </c>
      <c r="G154">
        <f>IF(VLOOKUP(G$1,main!$A$3:$I$56,5,FALSE)-VLOOKUP($A154,main!$A$3:$I$56,6,FALSE)&gt;=VLOOKUP(57,main!$A$57:$I$59,4,FALSE)+VLOOKUP(VLOOKUP(G$1,main!$A$3:$I$56,7,FALSE),main!$K$10:$Q$14,5,FALSE),1,0)</f>
        <v>1</v>
      </c>
      <c r="H154">
        <f>IF(VLOOKUP(H$1,main!$A$3:$I$56,5,FALSE)-VLOOKUP($A154,main!$A$3:$I$56,6,FALSE)&gt;=VLOOKUP(57,main!$A$57:$I$59,4,FALSE)+VLOOKUP(VLOOKUP(H$1,main!$A$3:$I$56,7,FALSE),main!$K$10:$Q$14,5,FALSE),1,0)</f>
        <v>1</v>
      </c>
      <c r="I154">
        <f>IF(VLOOKUP(I$1,main!$A$3:$I$56,5,FALSE)-VLOOKUP($A154,main!$A$3:$I$56,6,FALSE)&gt;=VLOOKUP(57,main!$A$57:$I$59,4,FALSE)+VLOOKUP(VLOOKUP(I$1,main!$A$3:$I$56,7,FALSE),main!$K$10:$Q$14,5,FALSE),1,0)</f>
        <v>1</v>
      </c>
      <c r="J154">
        <f>IF(VLOOKUP(J$1,main!$A$3:$I$56,5,FALSE)-VLOOKUP($A154,main!$A$3:$I$56,6,FALSE)&gt;=VLOOKUP(57,main!$A$57:$I$59,4,FALSE)+VLOOKUP(VLOOKUP(J$1,main!$A$3:$I$56,7,FALSE),main!$K$10:$Q$14,5,FALSE),1,0)</f>
        <v>1</v>
      </c>
      <c r="K154">
        <f>IF(VLOOKUP(K$1,main!$A$3:$I$56,5,FALSE)-VLOOKUP($A154,main!$A$3:$I$56,6,FALSE)&gt;=VLOOKUP(57,main!$A$57:$I$59,4,FALSE)+VLOOKUP(VLOOKUP(K$1,main!$A$3:$I$56,7,FALSE),main!$K$10:$Q$14,5,FALSE),1,0)</f>
        <v>0</v>
      </c>
      <c r="L154">
        <f>IF(VLOOKUP(L$1,main!$A$3:$I$56,5,FALSE)-VLOOKUP($A154,main!$A$3:$I$56,6,FALSE)&gt;=VLOOKUP(57,main!$A$57:$I$59,4,FALSE)+VLOOKUP(VLOOKUP(L$1,main!$A$3:$I$56,7,FALSE),main!$K$10:$Q$14,5,FALSE),1,0)</f>
        <v>0</v>
      </c>
      <c r="M154">
        <f>IF(VLOOKUP(M$1,main!$A$3:$I$56,5,FALSE)-VLOOKUP($A154,main!$A$3:$I$56,6,FALSE)&gt;=VLOOKUP(57,main!$A$57:$I$59,4,FALSE)+VLOOKUP(VLOOKUP(M$1,main!$A$3:$I$56,7,FALSE),main!$K$10:$Q$14,5,FALSE),1,0)</f>
        <v>0</v>
      </c>
      <c r="N154">
        <f>IF(VLOOKUP(N$1,main!$A$3:$I$56,5,FALSE)-VLOOKUP($A154,main!$A$3:$I$56,6,FALSE)&gt;=VLOOKUP(57,main!$A$57:$I$59,4,FALSE)+VLOOKUP(VLOOKUP(N$1,main!$A$3:$I$56,7,FALSE),main!$K$10:$Q$14,5,FALSE),1,0)</f>
        <v>1</v>
      </c>
      <c r="O154">
        <f>IF(VLOOKUP(O$1,main!$A$3:$I$56,5,FALSE)-VLOOKUP($A154,main!$A$3:$I$56,6,FALSE)&gt;=VLOOKUP(57,main!$A$57:$I$59,4,FALSE)+VLOOKUP(VLOOKUP(O$1,main!$A$3:$I$56,7,FALSE),main!$K$10:$Q$14,5,FALSE),1,0)</f>
        <v>1</v>
      </c>
      <c r="P154">
        <f>IF(VLOOKUP(P$1,main!$A$3:$I$56,5,FALSE)-VLOOKUP($A154,main!$A$3:$I$56,6,FALSE)&gt;=VLOOKUP(57,main!$A$57:$I$59,4,FALSE)+VLOOKUP(VLOOKUP(P$1,main!$A$3:$I$56,7,FALSE),main!$K$10:$Q$14,5,FALSE),1,0)</f>
        <v>0</v>
      </c>
      <c r="Q154">
        <f>IF(VLOOKUP(Q$1,main!$A$3:$I$56,5,FALSE)-VLOOKUP($A154,main!$A$3:$I$56,6,FALSE)&gt;=VLOOKUP(57,main!$A$57:$I$59,4,FALSE)+VLOOKUP(VLOOKUP(Q$1,main!$A$3:$I$56,7,FALSE),main!$K$10:$Q$14,5,FALSE),1,0)</f>
        <v>0</v>
      </c>
      <c r="R154">
        <f>IF(VLOOKUP(R$1,main!$A$3:$I$56,5,FALSE)-VLOOKUP($A154,main!$A$3:$I$56,6,FALSE)&gt;=VLOOKUP(57,main!$A$57:$I$59,4,FALSE)+VLOOKUP(VLOOKUP(R$1,main!$A$3:$I$56,7,FALSE),main!$K$10:$Q$14,5,FALSE),1,0)</f>
        <v>0</v>
      </c>
      <c r="S154">
        <f>IF(VLOOKUP(S$1,main!$A$3:$I$56,5,FALSE)-VLOOKUP($A154,main!$A$3:$I$56,6,FALSE)&gt;=VLOOKUP(57,main!$A$57:$I$59,4,FALSE)+VLOOKUP(VLOOKUP(S$1,main!$A$3:$I$56,7,FALSE),main!$K$10:$Q$14,5,FALSE),1,0)</f>
        <v>1</v>
      </c>
      <c r="T154">
        <f>IF(VLOOKUP(T$1,main!$A$3:$I$56,5,FALSE)-VLOOKUP($A154,main!$A$3:$I$56,6,FALSE)&gt;=VLOOKUP(57,main!$A$57:$I$59,4,FALSE)+VLOOKUP(VLOOKUP(T$1,main!$A$3:$I$56,7,FALSE),main!$K$10:$Q$14,5,FALSE),1,0)</f>
        <v>1</v>
      </c>
      <c r="U154">
        <f>IF(VLOOKUP(U$1,main!$A$3:$I$56,5,FALSE)-VLOOKUP($A154,main!$A$3:$I$56,6,FALSE)&gt;=VLOOKUP(57,main!$A$57:$I$59,4,FALSE)+VLOOKUP(VLOOKUP(U$1,main!$A$3:$I$56,7,FALSE),main!$K$10:$Q$14,5,FALSE),1,0)</f>
        <v>0</v>
      </c>
      <c r="V154">
        <f>IF(VLOOKUP(V$1,main!$A$3:$I$56,5,FALSE)-VLOOKUP($A154,main!$A$3:$I$56,6,FALSE)&gt;=VLOOKUP(57,main!$A$57:$I$59,4,FALSE)+VLOOKUP(VLOOKUP(V$1,main!$A$3:$I$56,7,FALSE),main!$K$10:$Q$14,5,FALSE),1,0)</f>
        <v>0</v>
      </c>
      <c r="W154">
        <f>IF(VLOOKUP(W$1,main!$A$3:$I$56,5,FALSE)-VLOOKUP($A154,main!$A$3:$I$56,6,FALSE)&gt;=VLOOKUP(57,main!$A$57:$I$59,4,FALSE)+VLOOKUP(VLOOKUP(W$1,main!$A$3:$I$56,7,FALSE),main!$K$10:$Q$14,5,FALSE),1,0)</f>
        <v>0</v>
      </c>
      <c r="X154">
        <f>IF(VLOOKUP(X$1,main!$A$3:$I$56,5,FALSE)-VLOOKUP($A154,main!$A$3:$I$56,6,FALSE)&gt;=VLOOKUP(57,main!$A$57:$I$59,4,FALSE)+VLOOKUP(VLOOKUP(X$1,main!$A$3:$I$56,7,FALSE),main!$K$10:$Q$14,5,FALSE),1,0)</f>
        <v>1</v>
      </c>
      <c r="Y154">
        <f>IF(VLOOKUP(Y$1,main!$A$3:$I$56,5,FALSE)-VLOOKUP($A154,main!$A$3:$I$56,6,FALSE)&gt;=VLOOKUP(57,main!$A$57:$I$59,4,FALSE)+VLOOKUP(VLOOKUP(Y$1,main!$A$3:$I$56,7,FALSE),main!$K$10:$Q$14,5,FALSE),1,0)</f>
        <v>1</v>
      </c>
      <c r="Z154">
        <f>IF(VLOOKUP(Z$1,main!$A$3:$I$56,5,FALSE)-VLOOKUP($A154,main!$A$3:$I$56,6,FALSE)&gt;=VLOOKUP(57,main!$A$57:$I$59,4,FALSE)+VLOOKUP(VLOOKUP(Z$1,main!$A$3:$I$56,7,FALSE),main!$K$10:$Q$14,5,FALSE),1,0)</f>
        <v>1</v>
      </c>
      <c r="AA154">
        <f>IF(VLOOKUP(AA$1,main!$A$3:$I$56,5,FALSE)-VLOOKUP($A154,main!$A$3:$I$56,6,FALSE)&gt;=VLOOKUP(57,main!$A$57:$I$59,4,FALSE)+VLOOKUP(VLOOKUP(AA$1,main!$A$3:$I$56,7,FALSE),main!$K$10:$Q$14,5,FALSE),1,0)</f>
        <v>1</v>
      </c>
      <c r="AB154">
        <f>IF(VLOOKUP(AB$1,main!$A$3:$I$56,5,FALSE)-VLOOKUP($A154,main!$A$3:$I$56,6,FALSE)&gt;=VLOOKUP(57,main!$A$57:$I$59,4,FALSE)+VLOOKUP(VLOOKUP(AB$1,main!$A$3:$I$56,7,FALSE),main!$K$10:$Q$14,5,FALSE),1,0)</f>
        <v>1</v>
      </c>
      <c r="AC154">
        <f>IF(VLOOKUP(AC$1,main!$A$3:$I$56,5,FALSE)-VLOOKUP($A154,main!$A$3:$I$56,6,FALSE)&gt;=VLOOKUP(57,main!$A$57:$I$59,4,FALSE)+VLOOKUP(VLOOKUP(AC$1,main!$A$3:$I$56,7,FALSE),main!$K$10:$Q$14,5,FALSE),1,0)</f>
        <v>0</v>
      </c>
      <c r="AD154">
        <f>IF(VLOOKUP(AD$1,main!$A$3:$I$56,5,FALSE)-VLOOKUP($A154,main!$A$3:$I$56,6,FALSE)&gt;=VLOOKUP(57,main!$A$57:$I$59,4,FALSE)+VLOOKUP(VLOOKUP(AD$1,main!$A$3:$I$56,7,FALSE),main!$K$10:$Q$14,5,FALSE),1,0)</f>
        <v>0</v>
      </c>
      <c r="AE154">
        <f>IF(VLOOKUP(AE$1,main!$A$3:$I$56,5,FALSE)-VLOOKUP($A154,main!$A$3:$I$56,6,FALSE)&gt;=VLOOKUP(57,main!$A$57:$I$59,4,FALSE)+VLOOKUP(VLOOKUP(AE$1,main!$A$3:$I$56,7,FALSE),main!$K$10:$Q$14,5,FALSE),1,0)</f>
        <v>1</v>
      </c>
      <c r="AF154">
        <f>IF(VLOOKUP(AF$1,main!$A$3:$I$56,5,FALSE)-VLOOKUP($A154,main!$A$3:$I$56,6,FALSE)&gt;=VLOOKUP(57,main!$A$57:$I$59,4,FALSE)+VLOOKUP(VLOOKUP(AF$1,main!$A$3:$I$56,7,FALSE),main!$K$10:$Q$14,5,FALSE),1,0)</f>
        <v>1</v>
      </c>
      <c r="AG154">
        <f>IF(VLOOKUP(AG$1,main!$A$3:$I$56,5,FALSE)-VLOOKUP($A154,main!$A$3:$I$56,6,FALSE)&gt;=VLOOKUP(57,main!$A$57:$I$59,4,FALSE)+VLOOKUP(VLOOKUP(AG$1,main!$A$3:$I$56,7,FALSE),main!$K$10:$Q$14,5,FALSE),1,0)</f>
        <v>0</v>
      </c>
      <c r="AH154">
        <f>IF(VLOOKUP(AH$1,main!$A$3:$I$56,5,FALSE)-VLOOKUP($A154,main!$A$3:$I$56,6,FALSE)&gt;=VLOOKUP(57,main!$A$57:$I$59,4,FALSE)+VLOOKUP(VLOOKUP(AH$1,main!$A$3:$I$56,7,FALSE),main!$K$10:$Q$14,5,FALSE),1,0)</f>
        <v>0</v>
      </c>
      <c r="AI154">
        <f>IF(VLOOKUP(AI$1,main!$A$3:$I$56,5,FALSE)-VLOOKUP($A154,main!$A$3:$I$56,6,FALSE)&gt;=VLOOKUP(57,main!$A$57:$I$59,4,FALSE)+VLOOKUP(VLOOKUP(AI$1,main!$A$3:$I$56,7,FALSE),main!$K$10:$Q$14,5,FALSE),1,0)</f>
        <v>0</v>
      </c>
      <c r="AJ154">
        <f>IF(VLOOKUP(AJ$1,main!$A$3:$I$56,5,FALSE)-VLOOKUP($A154,main!$A$3:$I$56,6,FALSE)&gt;=VLOOKUP(57,main!$A$57:$I$59,4,FALSE)+VLOOKUP(VLOOKUP(AJ$1,main!$A$3:$I$56,7,FALSE),main!$K$10:$Q$14,5,FALSE),1,0)</f>
        <v>0</v>
      </c>
      <c r="AK154">
        <f>IF(VLOOKUP(AK$1,main!$A$3:$I$56,5,FALSE)-VLOOKUP($A154,main!$A$3:$I$56,6,FALSE)&gt;=VLOOKUP(57,main!$A$57:$I$59,4,FALSE)+VLOOKUP(VLOOKUP(AK$1,main!$A$3:$I$56,7,FALSE),main!$K$10:$Q$14,5,FALSE),1,0)</f>
        <v>1</v>
      </c>
      <c r="AL154">
        <f>IF(VLOOKUP(AL$1,main!$A$3:$I$56,5,FALSE)-VLOOKUP($A154,main!$A$3:$I$56,6,FALSE)&gt;=VLOOKUP(57,main!$A$57:$I$59,4,FALSE)+VLOOKUP(VLOOKUP(AL$1,main!$A$3:$I$56,7,FALSE),main!$K$10:$Q$14,5,FALSE),1,0)</f>
        <v>0</v>
      </c>
      <c r="AM154">
        <f>IF(VLOOKUP(AM$1,main!$A$3:$I$56,5,FALSE)-VLOOKUP($A154,main!$A$3:$I$56,6,FALSE)&gt;=VLOOKUP(57,main!$A$57:$I$59,4,FALSE)+VLOOKUP(VLOOKUP(AM$1,main!$A$3:$I$56,7,FALSE),main!$K$10:$Q$14,5,FALSE),1,0)</f>
        <v>0</v>
      </c>
      <c r="AN154">
        <f>IF(VLOOKUP(AN$1,main!$A$3:$I$56,5,FALSE)-VLOOKUP($A154,main!$A$3:$I$56,6,FALSE)&gt;=VLOOKUP(57,main!$A$57:$I$59,4,FALSE)+VLOOKUP(VLOOKUP(AN$1,main!$A$3:$I$56,7,FALSE),main!$K$10:$Q$14,5,FALSE),1,0)</f>
        <v>0</v>
      </c>
      <c r="AO154">
        <f>IF(VLOOKUP(AO$1,main!$A$3:$I$56,5,FALSE)-VLOOKUP($A154,main!$A$3:$I$56,6,FALSE)&gt;=VLOOKUP(57,main!$A$57:$I$59,4,FALSE)+VLOOKUP(VLOOKUP(AO$1,main!$A$3:$I$56,7,FALSE),main!$K$10:$Q$14,5,FALSE),1,0)</f>
        <v>1</v>
      </c>
      <c r="AP154">
        <f>IF(VLOOKUP(AP$1,main!$A$3:$I$56,5,FALSE)-VLOOKUP($A154,main!$A$3:$I$56,6,FALSE)&gt;=VLOOKUP(57,main!$A$57:$I$59,4,FALSE)+VLOOKUP(VLOOKUP(AP$1,main!$A$3:$I$56,7,FALSE),main!$K$10:$Q$14,5,FALSE),1,0)</f>
        <v>0</v>
      </c>
      <c r="AQ154">
        <f>IF(VLOOKUP(AQ$1,main!$A$3:$I$56,5,FALSE)-VLOOKUP($A154,main!$A$3:$I$56,6,FALSE)&gt;=VLOOKUP(57,main!$A$57:$I$59,4,FALSE)+VLOOKUP(VLOOKUP(AQ$1,main!$A$3:$I$56,7,FALSE),main!$K$10:$Q$14,5,FALSE),1,0)</f>
        <v>0</v>
      </c>
      <c r="AR154">
        <f>IF(VLOOKUP(AR$1,main!$A$3:$I$56,5,FALSE)-VLOOKUP($A154,main!$A$3:$I$56,6,FALSE)&gt;=VLOOKUP(57,main!$A$57:$I$59,4,FALSE)+VLOOKUP(VLOOKUP(AR$1,main!$A$3:$I$56,7,FALSE),main!$K$10:$Q$14,5,FALSE),1,0)</f>
        <v>0</v>
      </c>
      <c r="AS154">
        <f>IF(VLOOKUP(AS$1,main!$A$3:$I$56,5,FALSE)-VLOOKUP($A154,main!$A$3:$I$56,6,FALSE)&gt;=VLOOKUP(57,main!$A$57:$I$59,4,FALSE)+VLOOKUP(VLOOKUP(AS$1,main!$A$3:$I$56,7,FALSE),main!$K$10:$Q$14,5,FALSE),1,0)</f>
        <v>0</v>
      </c>
      <c r="AT154">
        <f>IF(VLOOKUP(AT$1,main!$A$3:$I$56,5,FALSE)-VLOOKUP($A154,main!$A$3:$I$56,6,FALSE)&gt;=VLOOKUP(57,main!$A$57:$I$59,4,FALSE)+VLOOKUP(VLOOKUP(AT$1,main!$A$3:$I$56,7,FALSE),main!$K$10:$Q$14,5,FALSE),1,0)</f>
        <v>0</v>
      </c>
      <c r="AU154">
        <f>IF(VLOOKUP(AU$1,main!$A$3:$I$56,5,FALSE)-VLOOKUP($A154,main!$A$3:$I$56,6,FALSE)&gt;=VLOOKUP(57,main!$A$57:$I$59,4,FALSE)+VLOOKUP(VLOOKUP(AU$1,main!$A$3:$I$56,7,FALSE),main!$K$10:$Q$14,5,FALSE),1,0)</f>
        <v>0</v>
      </c>
      <c r="AV154">
        <f>IF(VLOOKUP(AV$1,main!$A$3:$I$56,5,FALSE)-VLOOKUP($A154,main!$A$3:$I$56,6,FALSE)&gt;=VLOOKUP(57,main!$A$57:$I$59,4,FALSE)+VLOOKUP(VLOOKUP(AV$1,main!$A$3:$I$56,7,FALSE),main!$K$10:$Q$14,5,FALSE),1,0)</f>
        <v>0</v>
      </c>
      <c r="AW154">
        <f>IF(VLOOKUP(AW$1,main!$A$3:$I$56,5,FALSE)-VLOOKUP($A154,main!$A$3:$I$56,6,FALSE)&gt;=VLOOKUP(57,main!$A$57:$I$59,4,FALSE)+VLOOKUP(VLOOKUP(AW$1,main!$A$3:$I$56,7,FALSE),main!$K$10:$Q$14,5,FALSE),1,0)</f>
        <v>0</v>
      </c>
      <c r="AX154">
        <f>IF(VLOOKUP(AX$1,main!$A$3:$I$56,5,FALSE)-VLOOKUP($A154,main!$A$3:$I$56,6,FALSE)&gt;=VLOOKUP(57,main!$A$57:$I$59,4,FALSE)+VLOOKUP(VLOOKUP(AX$1,main!$A$3:$I$56,7,FALSE),main!$K$10:$Q$14,5,FALSE),1,0)</f>
        <v>1</v>
      </c>
      <c r="AY154">
        <f>IF(VLOOKUP(AY$1,main!$A$3:$I$56,5,FALSE)-VLOOKUP($A154,main!$A$3:$I$56,6,FALSE)&gt;=VLOOKUP(57,main!$A$57:$I$59,4,FALSE)+VLOOKUP(VLOOKUP(AY$1,main!$A$3:$I$56,7,FALSE),main!$K$10:$Q$14,5,FALSE),1,0)</f>
        <v>1</v>
      </c>
      <c r="AZ154">
        <f>IF(VLOOKUP(AZ$1,main!$A$3:$I$56,5,FALSE)-VLOOKUP($A154,main!$A$3:$I$56,6,FALSE)&gt;=VLOOKUP(57,main!$A$57:$I$59,4,FALSE)+VLOOKUP(VLOOKUP(AZ$1,main!$A$3:$I$56,7,FALSE),main!$K$10:$Q$14,5,FALSE),1,0)</f>
        <v>0</v>
      </c>
      <c r="BA154">
        <f>IF(VLOOKUP(BA$1,main!$A$3:$I$56,5,FALSE)-VLOOKUP($A154,main!$A$3:$I$56,6,FALSE)&gt;=VLOOKUP(57,main!$A$57:$I$59,4,FALSE)+VLOOKUP(VLOOKUP(BA$1,main!$A$3:$I$56,7,FALSE),main!$K$10:$Q$14,5,FALSE),1,0)</f>
        <v>0</v>
      </c>
      <c r="BB154">
        <f>IF(VLOOKUP(BB$1,main!$A$3:$I$56,5,FALSE)-VLOOKUP($A154,main!$A$3:$I$56,6,FALSE)&gt;=VLOOKUP(57,main!$A$57:$I$59,4,FALSE)+VLOOKUP(VLOOKUP(BB$1,main!$A$3:$I$56,7,FALSE),main!$K$10:$Q$14,5,FALSE),1,0)</f>
        <v>0</v>
      </c>
      <c r="BC154">
        <f>IF(VLOOKUP(BC$1,main!$A$3:$I$56,5,FALSE)-VLOOKUP($A154,main!$A$3:$I$56,6,FALSE)&gt;=VLOOKUP(57,main!$A$57:$I$59,4,FALSE)+VLOOKUP(VLOOKUP(BC$1,main!$A$3:$I$56,7,FALSE),main!$K$10:$Q$14,5,FALSE),1,0)</f>
        <v>1</v>
      </c>
      <c r="BD154">
        <f>IF(VLOOKUP(BD$1,main!$A$3:$I$56,5,FALSE)-VLOOKUP($A154,main!$A$3:$I$56,6,FALSE)&gt;=VLOOKUP(57,main!$A$57:$I$59,4,FALSE)+VLOOKUP(VLOOKUP(BD$1,main!$A$3:$I$56,7,FALSE),main!$K$10:$Q$14,5,FALSE),1,0)</f>
        <v>1</v>
      </c>
    </row>
    <row r="155" spans="1:56" x14ac:dyDescent="0.25">
      <c r="A155">
        <f t="shared" si="2"/>
        <v>43</v>
      </c>
      <c r="B155">
        <v>0</v>
      </c>
      <c r="C155">
        <f>IF(VLOOKUP(C$1,main!$A$3:$I$56,5,FALSE)-VLOOKUP($A155,main!$A$3:$I$56,6,FALSE)&gt;=VLOOKUP(57,main!$A$57:$I$59,4,FALSE)+VLOOKUP(VLOOKUP(C$1,main!$A$3:$I$56,7,FALSE),main!$K$10:$Q$14,5,FALSE),1,0)</f>
        <v>0</v>
      </c>
      <c r="D155">
        <f>IF(VLOOKUP(D$1,main!$A$3:$I$56,5,FALSE)-VLOOKUP($A155,main!$A$3:$I$56,6,FALSE)&gt;=VLOOKUP(57,main!$A$57:$I$59,4,FALSE)+VLOOKUP(VLOOKUP(D$1,main!$A$3:$I$56,7,FALSE),main!$K$10:$Q$14,5,FALSE),1,0)</f>
        <v>0</v>
      </c>
      <c r="E155">
        <f>IF(VLOOKUP(E$1,main!$A$3:$I$56,5,FALSE)-VLOOKUP($A155,main!$A$3:$I$56,6,FALSE)&gt;=VLOOKUP(57,main!$A$57:$I$59,4,FALSE)+VLOOKUP(VLOOKUP(E$1,main!$A$3:$I$56,7,FALSE),main!$K$10:$Q$14,5,FALSE),1,0)</f>
        <v>0</v>
      </c>
      <c r="F155">
        <f>IF(VLOOKUP(F$1,main!$A$3:$I$56,5,FALSE)-VLOOKUP($A155,main!$A$3:$I$56,6,FALSE)&gt;=VLOOKUP(57,main!$A$57:$I$59,4,FALSE)+VLOOKUP(VLOOKUP(F$1,main!$A$3:$I$56,7,FALSE),main!$K$10:$Q$14,5,FALSE),1,0)</f>
        <v>0</v>
      </c>
      <c r="G155">
        <f>IF(VLOOKUP(G$1,main!$A$3:$I$56,5,FALSE)-VLOOKUP($A155,main!$A$3:$I$56,6,FALSE)&gt;=VLOOKUP(57,main!$A$57:$I$59,4,FALSE)+VLOOKUP(VLOOKUP(G$1,main!$A$3:$I$56,7,FALSE),main!$K$10:$Q$14,5,FALSE),1,0)</f>
        <v>0</v>
      </c>
      <c r="H155">
        <f>IF(VLOOKUP(H$1,main!$A$3:$I$56,5,FALSE)-VLOOKUP($A155,main!$A$3:$I$56,6,FALSE)&gt;=VLOOKUP(57,main!$A$57:$I$59,4,FALSE)+VLOOKUP(VLOOKUP(H$1,main!$A$3:$I$56,7,FALSE),main!$K$10:$Q$14,5,FALSE),1,0)</f>
        <v>0</v>
      </c>
      <c r="I155">
        <f>IF(VLOOKUP(I$1,main!$A$3:$I$56,5,FALSE)-VLOOKUP($A155,main!$A$3:$I$56,6,FALSE)&gt;=VLOOKUP(57,main!$A$57:$I$59,4,FALSE)+VLOOKUP(VLOOKUP(I$1,main!$A$3:$I$56,7,FALSE),main!$K$10:$Q$14,5,FALSE),1,0)</f>
        <v>1</v>
      </c>
      <c r="J155">
        <f>IF(VLOOKUP(J$1,main!$A$3:$I$56,5,FALSE)-VLOOKUP($A155,main!$A$3:$I$56,6,FALSE)&gt;=VLOOKUP(57,main!$A$57:$I$59,4,FALSE)+VLOOKUP(VLOOKUP(J$1,main!$A$3:$I$56,7,FALSE),main!$K$10:$Q$14,5,FALSE),1,0)</f>
        <v>1</v>
      </c>
      <c r="K155">
        <f>IF(VLOOKUP(K$1,main!$A$3:$I$56,5,FALSE)-VLOOKUP($A155,main!$A$3:$I$56,6,FALSE)&gt;=VLOOKUP(57,main!$A$57:$I$59,4,FALSE)+VLOOKUP(VLOOKUP(K$1,main!$A$3:$I$56,7,FALSE),main!$K$10:$Q$14,5,FALSE),1,0)</f>
        <v>0</v>
      </c>
      <c r="L155">
        <f>IF(VLOOKUP(L$1,main!$A$3:$I$56,5,FALSE)-VLOOKUP($A155,main!$A$3:$I$56,6,FALSE)&gt;=VLOOKUP(57,main!$A$57:$I$59,4,FALSE)+VLOOKUP(VLOOKUP(L$1,main!$A$3:$I$56,7,FALSE),main!$K$10:$Q$14,5,FALSE),1,0)</f>
        <v>0</v>
      </c>
      <c r="M155">
        <f>IF(VLOOKUP(M$1,main!$A$3:$I$56,5,FALSE)-VLOOKUP($A155,main!$A$3:$I$56,6,FALSE)&gt;=VLOOKUP(57,main!$A$57:$I$59,4,FALSE)+VLOOKUP(VLOOKUP(M$1,main!$A$3:$I$56,7,FALSE),main!$K$10:$Q$14,5,FALSE),1,0)</f>
        <v>0</v>
      </c>
      <c r="N155">
        <f>IF(VLOOKUP(N$1,main!$A$3:$I$56,5,FALSE)-VLOOKUP($A155,main!$A$3:$I$56,6,FALSE)&gt;=VLOOKUP(57,main!$A$57:$I$59,4,FALSE)+VLOOKUP(VLOOKUP(N$1,main!$A$3:$I$56,7,FALSE),main!$K$10:$Q$14,5,FALSE),1,0)</f>
        <v>1</v>
      </c>
      <c r="O155">
        <f>IF(VLOOKUP(O$1,main!$A$3:$I$56,5,FALSE)-VLOOKUP($A155,main!$A$3:$I$56,6,FALSE)&gt;=VLOOKUP(57,main!$A$57:$I$59,4,FALSE)+VLOOKUP(VLOOKUP(O$1,main!$A$3:$I$56,7,FALSE),main!$K$10:$Q$14,5,FALSE),1,0)</f>
        <v>1</v>
      </c>
      <c r="P155">
        <f>IF(VLOOKUP(P$1,main!$A$3:$I$56,5,FALSE)-VLOOKUP($A155,main!$A$3:$I$56,6,FALSE)&gt;=VLOOKUP(57,main!$A$57:$I$59,4,FALSE)+VLOOKUP(VLOOKUP(P$1,main!$A$3:$I$56,7,FALSE),main!$K$10:$Q$14,5,FALSE),1,0)</f>
        <v>0</v>
      </c>
      <c r="Q155">
        <f>IF(VLOOKUP(Q$1,main!$A$3:$I$56,5,FALSE)-VLOOKUP($A155,main!$A$3:$I$56,6,FALSE)&gt;=VLOOKUP(57,main!$A$57:$I$59,4,FALSE)+VLOOKUP(VLOOKUP(Q$1,main!$A$3:$I$56,7,FALSE),main!$K$10:$Q$14,5,FALSE),1,0)</f>
        <v>0</v>
      </c>
      <c r="R155">
        <f>IF(VLOOKUP(R$1,main!$A$3:$I$56,5,FALSE)-VLOOKUP($A155,main!$A$3:$I$56,6,FALSE)&gt;=VLOOKUP(57,main!$A$57:$I$59,4,FALSE)+VLOOKUP(VLOOKUP(R$1,main!$A$3:$I$56,7,FALSE),main!$K$10:$Q$14,5,FALSE),1,0)</f>
        <v>0</v>
      </c>
      <c r="S155">
        <f>IF(VLOOKUP(S$1,main!$A$3:$I$56,5,FALSE)-VLOOKUP($A155,main!$A$3:$I$56,6,FALSE)&gt;=VLOOKUP(57,main!$A$57:$I$59,4,FALSE)+VLOOKUP(VLOOKUP(S$1,main!$A$3:$I$56,7,FALSE),main!$K$10:$Q$14,5,FALSE),1,0)</f>
        <v>0</v>
      </c>
      <c r="T155">
        <f>IF(VLOOKUP(T$1,main!$A$3:$I$56,5,FALSE)-VLOOKUP($A155,main!$A$3:$I$56,6,FALSE)&gt;=VLOOKUP(57,main!$A$57:$I$59,4,FALSE)+VLOOKUP(VLOOKUP(T$1,main!$A$3:$I$56,7,FALSE),main!$K$10:$Q$14,5,FALSE),1,0)</f>
        <v>1</v>
      </c>
      <c r="U155">
        <f>IF(VLOOKUP(U$1,main!$A$3:$I$56,5,FALSE)-VLOOKUP($A155,main!$A$3:$I$56,6,FALSE)&gt;=VLOOKUP(57,main!$A$57:$I$59,4,FALSE)+VLOOKUP(VLOOKUP(U$1,main!$A$3:$I$56,7,FALSE),main!$K$10:$Q$14,5,FALSE),1,0)</f>
        <v>0</v>
      </c>
      <c r="V155">
        <f>IF(VLOOKUP(V$1,main!$A$3:$I$56,5,FALSE)-VLOOKUP($A155,main!$A$3:$I$56,6,FALSE)&gt;=VLOOKUP(57,main!$A$57:$I$59,4,FALSE)+VLOOKUP(VLOOKUP(V$1,main!$A$3:$I$56,7,FALSE),main!$K$10:$Q$14,5,FALSE),1,0)</f>
        <v>0</v>
      </c>
      <c r="W155">
        <f>IF(VLOOKUP(W$1,main!$A$3:$I$56,5,FALSE)-VLOOKUP($A155,main!$A$3:$I$56,6,FALSE)&gt;=VLOOKUP(57,main!$A$57:$I$59,4,FALSE)+VLOOKUP(VLOOKUP(W$1,main!$A$3:$I$56,7,FALSE),main!$K$10:$Q$14,5,FALSE),1,0)</f>
        <v>0</v>
      </c>
      <c r="X155">
        <f>IF(VLOOKUP(X$1,main!$A$3:$I$56,5,FALSE)-VLOOKUP($A155,main!$A$3:$I$56,6,FALSE)&gt;=VLOOKUP(57,main!$A$57:$I$59,4,FALSE)+VLOOKUP(VLOOKUP(X$1,main!$A$3:$I$56,7,FALSE),main!$K$10:$Q$14,5,FALSE),1,0)</f>
        <v>0</v>
      </c>
      <c r="Y155">
        <f>IF(VLOOKUP(Y$1,main!$A$3:$I$56,5,FALSE)-VLOOKUP($A155,main!$A$3:$I$56,6,FALSE)&gt;=VLOOKUP(57,main!$A$57:$I$59,4,FALSE)+VLOOKUP(VLOOKUP(Y$1,main!$A$3:$I$56,7,FALSE),main!$K$10:$Q$14,5,FALSE),1,0)</f>
        <v>0</v>
      </c>
      <c r="Z155">
        <f>IF(VLOOKUP(Z$1,main!$A$3:$I$56,5,FALSE)-VLOOKUP($A155,main!$A$3:$I$56,6,FALSE)&gt;=VLOOKUP(57,main!$A$57:$I$59,4,FALSE)+VLOOKUP(VLOOKUP(Z$1,main!$A$3:$I$56,7,FALSE),main!$K$10:$Q$14,5,FALSE),1,0)</f>
        <v>1</v>
      </c>
      <c r="AA155">
        <f>IF(VLOOKUP(AA$1,main!$A$3:$I$56,5,FALSE)-VLOOKUP($A155,main!$A$3:$I$56,6,FALSE)&gt;=VLOOKUP(57,main!$A$57:$I$59,4,FALSE)+VLOOKUP(VLOOKUP(AA$1,main!$A$3:$I$56,7,FALSE),main!$K$10:$Q$14,5,FALSE),1,0)</f>
        <v>1</v>
      </c>
      <c r="AB155">
        <f>IF(VLOOKUP(AB$1,main!$A$3:$I$56,5,FALSE)-VLOOKUP($A155,main!$A$3:$I$56,6,FALSE)&gt;=VLOOKUP(57,main!$A$57:$I$59,4,FALSE)+VLOOKUP(VLOOKUP(AB$1,main!$A$3:$I$56,7,FALSE),main!$K$10:$Q$14,5,FALSE),1,0)</f>
        <v>1</v>
      </c>
      <c r="AC155">
        <f>IF(VLOOKUP(AC$1,main!$A$3:$I$56,5,FALSE)-VLOOKUP($A155,main!$A$3:$I$56,6,FALSE)&gt;=VLOOKUP(57,main!$A$57:$I$59,4,FALSE)+VLOOKUP(VLOOKUP(AC$1,main!$A$3:$I$56,7,FALSE),main!$K$10:$Q$14,5,FALSE),1,0)</f>
        <v>0</v>
      </c>
      <c r="AD155">
        <f>IF(VLOOKUP(AD$1,main!$A$3:$I$56,5,FALSE)-VLOOKUP($A155,main!$A$3:$I$56,6,FALSE)&gt;=VLOOKUP(57,main!$A$57:$I$59,4,FALSE)+VLOOKUP(VLOOKUP(AD$1,main!$A$3:$I$56,7,FALSE),main!$K$10:$Q$14,5,FALSE),1,0)</f>
        <v>0</v>
      </c>
      <c r="AE155">
        <f>IF(VLOOKUP(AE$1,main!$A$3:$I$56,5,FALSE)-VLOOKUP($A155,main!$A$3:$I$56,6,FALSE)&gt;=VLOOKUP(57,main!$A$57:$I$59,4,FALSE)+VLOOKUP(VLOOKUP(AE$1,main!$A$3:$I$56,7,FALSE),main!$K$10:$Q$14,5,FALSE),1,0)</f>
        <v>0</v>
      </c>
      <c r="AF155">
        <f>IF(VLOOKUP(AF$1,main!$A$3:$I$56,5,FALSE)-VLOOKUP($A155,main!$A$3:$I$56,6,FALSE)&gt;=VLOOKUP(57,main!$A$57:$I$59,4,FALSE)+VLOOKUP(VLOOKUP(AF$1,main!$A$3:$I$56,7,FALSE),main!$K$10:$Q$14,5,FALSE),1,0)</f>
        <v>0</v>
      </c>
      <c r="AG155">
        <f>IF(VLOOKUP(AG$1,main!$A$3:$I$56,5,FALSE)-VLOOKUP($A155,main!$A$3:$I$56,6,FALSE)&gt;=VLOOKUP(57,main!$A$57:$I$59,4,FALSE)+VLOOKUP(VLOOKUP(AG$1,main!$A$3:$I$56,7,FALSE),main!$K$10:$Q$14,5,FALSE),1,0)</f>
        <v>0</v>
      </c>
      <c r="AH155">
        <f>IF(VLOOKUP(AH$1,main!$A$3:$I$56,5,FALSE)-VLOOKUP($A155,main!$A$3:$I$56,6,FALSE)&gt;=VLOOKUP(57,main!$A$57:$I$59,4,FALSE)+VLOOKUP(VLOOKUP(AH$1,main!$A$3:$I$56,7,FALSE),main!$K$10:$Q$14,5,FALSE),1,0)</f>
        <v>0</v>
      </c>
      <c r="AI155">
        <f>IF(VLOOKUP(AI$1,main!$A$3:$I$56,5,FALSE)-VLOOKUP($A155,main!$A$3:$I$56,6,FALSE)&gt;=VLOOKUP(57,main!$A$57:$I$59,4,FALSE)+VLOOKUP(VLOOKUP(AI$1,main!$A$3:$I$56,7,FALSE),main!$K$10:$Q$14,5,FALSE),1,0)</f>
        <v>0</v>
      </c>
      <c r="AJ155">
        <f>IF(VLOOKUP(AJ$1,main!$A$3:$I$56,5,FALSE)-VLOOKUP($A155,main!$A$3:$I$56,6,FALSE)&gt;=VLOOKUP(57,main!$A$57:$I$59,4,FALSE)+VLOOKUP(VLOOKUP(AJ$1,main!$A$3:$I$56,7,FALSE),main!$K$10:$Q$14,5,FALSE),1,0)</f>
        <v>0</v>
      </c>
      <c r="AK155">
        <f>IF(VLOOKUP(AK$1,main!$A$3:$I$56,5,FALSE)-VLOOKUP($A155,main!$A$3:$I$56,6,FALSE)&gt;=VLOOKUP(57,main!$A$57:$I$59,4,FALSE)+VLOOKUP(VLOOKUP(AK$1,main!$A$3:$I$56,7,FALSE),main!$K$10:$Q$14,5,FALSE),1,0)</f>
        <v>0</v>
      </c>
      <c r="AL155">
        <f>IF(VLOOKUP(AL$1,main!$A$3:$I$56,5,FALSE)-VLOOKUP($A155,main!$A$3:$I$56,6,FALSE)&gt;=VLOOKUP(57,main!$A$57:$I$59,4,FALSE)+VLOOKUP(VLOOKUP(AL$1,main!$A$3:$I$56,7,FALSE),main!$K$10:$Q$14,5,FALSE),1,0)</f>
        <v>0</v>
      </c>
      <c r="AM155">
        <f>IF(VLOOKUP(AM$1,main!$A$3:$I$56,5,FALSE)-VLOOKUP($A155,main!$A$3:$I$56,6,FALSE)&gt;=VLOOKUP(57,main!$A$57:$I$59,4,FALSE)+VLOOKUP(VLOOKUP(AM$1,main!$A$3:$I$56,7,FALSE),main!$K$10:$Q$14,5,FALSE),1,0)</f>
        <v>0</v>
      </c>
      <c r="AN155">
        <f>IF(VLOOKUP(AN$1,main!$A$3:$I$56,5,FALSE)-VLOOKUP($A155,main!$A$3:$I$56,6,FALSE)&gt;=VLOOKUP(57,main!$A$57:$I$59,4,FALSE)+VLOOKUP(VLOOKUP(AN$1,main!$A$3:$I$56,7,FALSE),main!$K$10:$Q$14,5,FALSE),1,0)</f>
        <v>0</v>
      </c>
      <c r="AO155">
        <f>IF(VLOOKUP(AO$1,main!$A$3:$I$56,5,FALSE)-VLOOKUP($A155,main!$A$3:$I$56,6,FALSE)&gt;=VLOOKUP(57,main!$A$57:$I$59,4,FALSE)+VLOOKUP(VLOOKUP(AO$1,main!$A$3:$I$56,7,FALSE),main!$K$10:$Q$14,5,FALSE),1,0)</f>
        <v>0</v>
      </c>
      <c r="AP155">
        <f>IF(VLOOKUP(AP$1,main!$A$3:$I$56,5,FALSE)-VLOOKUP($A155,main!$A$3:$I$56,6,FALSE)&gt;=VLOOKUP(57,main!$A$57:$I$59,4,FALSE)+VLOOKUP(VLOOKUP(AP$1,main!$A$3:$I$56,7,FALSE),main!$K$10:$Q$14,5,FALSE),1,0)</f>
        <v>0</v>
      </c>
      <c r="AQ155">
        <f>IF(VLOOKUP(AQ$1,main!$A$3:$I$56,5,FALSE)-VLOOKUP($A155,main!$A$3:$I$56,6,FALSE)&gt;=VLOOKUP(57,main!$A$57:$I$59,4,FALSE)+VLOOKUP(VLOOKUP(AQ$1,main!$A$3:$I$56,7,FALSE),main!$K$10:$Q$14,5,FALSE),1,0)</f>
        <v>0</v>
      </c>
      <c r="AR155">
        <f>IF(VLOOKUP(AR$1,main!$A$3:$I$56,5,FALSE)-VLOOKUP($A155,main!$A$3:$I$56,6,FALSE)&gt;=VLOOKUP(57,main!$A$57:$I$59,4,FALSE)+VLOOKUP(VLOOKUP(AR$1,main!$A$3:$I$56,7,FALSE),main!$K$10:$Q$14,5,FALSE),1,0)</f>
        <v>0</v>
      </c>
      <c r="AS155">
        <f>IF(VLOOKUP(AS$1,main!$A$3:$I$56,5,FALSE)-VLOOKUP($A155,main!$A$3:$I$56,6,FALSE)&gt;=VLOOKUP(57,main!$A$57:$I$59,4,FALSE)+VLOOKUP(VLOOKUP(AS$1,main!$A$3:$I$56,7,FALSE),main!$K$10:$Q$14,5,FALSE),1,0)</f>
        <v>0</v>
      </c>
      <c r="AT155">
        <f>IF(VLOOKUP(AT$1,main!$A$3:$I$56,5,FALSE)-VLOOKUP($A155,main!$A$3:$I$56,6,FALSE)&gt;=VLOOKUP(57,main!$A$57:$I$59,4,FALSE)+VLOOKUP(VLOOKUP(AT$1,main!$A$3:$I$56,7,FALSE),main!$K$10:$Q$14,5,FALSE),1,0)</f>
        <v>0</v>
      </c>
      <c r="AU155">
        <f>IF(VLOOKUP(AU$1,main!$A$3:$I$56,5,FALSE)-VLOOKUP($A155,main!$A$3:$I$56,6,FALSE)&gt;=VLOOKUP(57,main!$A$57:$I$59,4,FALSE)+VLOOKUP(VLOOKUP(AU$1,main!$A$3:$I$56,7,FALSE),main!$K$10:$Q$14,5,FALSE),1,0)</f>
        <v>0</v>
      </c>
      <c r="AV155">
        <f>IF(VLOOKUP(AV$1,main!$A$3:$I$56,5,FALSE)-VLOOKUP($A155,main!$A$3:$I$56,6,FALSE)&gt;=VLOOKUP(57,main!$A$57:$I$59,4,FALSE)+VLOOKUP(VLOOKUP(AV$1,main!$A$3:$I$56,7,FALSE),main!$K$10:$Q$14,5,FALSE),1,0)</f>
        <v>0</v>
      </c>
      <c r="AW155">
        <f>IF(VLOOKUP(AW$1,main!$A$3:$I$56,5,FALSE)-VLOOKUP($A155,main!$A$3:$I$56,6,FALSE)&gt;=VLOOKUP(57,main!$A$57:$I$59,4,FALSE)+VLOOKUP(VLOOKUP(AW$1,main!$A$3:$I$56,7,FALSE),main!$K$10:$Q$14,5,FALSE),1,0)</f>
        <v>0</v>
      </c>
      <c r="AX155">
        <f>IF(VLOOKUP(AX$1,main!$A$3:$I$56,5,FALSE)-VLOOKUP($A155,main!$A$3:$I$56,6,FALSE)&gt;=VLOOKUP(57,main!$A$57:$I$59,4,FALSE)+VLOOKUP(VLOOKUP(AX$1,main!$A$3:$I$56,7,FALSE),main!$K$10:$Q$14,5,FALSE),1,0)</f>
        <v>0</v>
      </c>
      <c r="AY155">
        <f>IF(VLOOKUP(AY$1,main!$A$3:$I$56,5,FALSE)-VLOOKUP($A155,main!$A$3:$I$56,6,FALSE)&gt;=VLOOKUP(57,main!$A$57:$I$59,4,FALSE)+VLOOKUP(VLOOKUP(AY$1,main!$A$3:$I$56,7,FALSE),main!$K$10:$Q$14,5,FALSE),1,0)</f>
        <v>1</v>
      </c>
      <c r="AZ155">
        <f>IF(VLOOKUP(AZ$1,main!$A$3:$I$56,5,FALSE)-VLOOKUP($A155,main!$A$3:$I$56,6,FALSE)&gt;=VLOOKUP(57,main!$A$57:$I$59,4,FALSE)+VLOOKUP(VLOOKUP(AZ$1,main!$A$3:$I$56,7,FALSE),main!$K$10:$Q$14,5,FALSE),1,0)</f>
        <v>0</v>
      </c>
      <c r="BA155">
        <f>IF(VLOOKUP(BA$1,main!$A$3:$I$56,5,FALSE)-VLOOKUP($A155,main!$A$3:$I$56,6,FALSE)&gt;=VLOOKUP(57,main!$A$57:$I$59,4,FALSE)+VLOOKUP(VLOOKUP(BA$1,main!$A$3:$I$56,7,FALSE),main!$K$10:$Q$14,5,FALSE),1,0)</f>
        <v>0</v>
      </c>
      <c r="BB155">
        <f>IF(VLOOKUP(BB$1,main!$A$3:$I$56,5,FALSE)-VLOOKUP($A155,main!$A$3:$I$56,6,FALSE)&gt;=VLOOKUP(57,main!$A$57:$I$59,4,FALSE)+VLOOKUP(VLOOKUP(BB$1,main!$A$3:$I$56,7,FALSE),main!$K$10:$Q$14,5,FALSE),1,0)</f>
        <v>0</v>
      </c>
      <c r="BC155">
        <f>IF(VLOOKUP(BC$1,main!$A$3:$I$56,5,FALSE)-VLOOKUP($A155,main!$A$3:$I$56,6,FALSE)&gt;=VLOOKUP(57,main!$A$57:$I$59,4,FALSE)+VLOOKUP(VLOOKUP(BC$1,main!$A$3:$I$56,7,FALSE),main!$K$10:$Q$14,5,FALSE),1,0)</f>
        <v>0</v>
      </c>
      <c r="BD155">
        <f>IF(VLOOKUP(BD$1,main!$A$3:$I$56,5,FALSE)-VLOOKUP($A155,main!$A$3:$I$56,6,FALSE)&gt;=VLOOKUP(57,main!$A$57:$I$59,4,FALSE)+VLOOKUP(VLOOKUP(BD$1,main!$A$3:$I$56,7,FALSE),main!$K$10:$Q$14,5,FALSE),1,0)</f>
        <v>0</v>
      </c>
    </row>
    <row r="156" spans="1:56" x14ac:dyDescent="0.25">
      <c r="A156">
        <f t="shared" si="2"/>
        <v>44</v>
      </c>
      <c r="B156">
        <v>0</v>
      </c>
      <c r="C156">
        <f>IF(VLOOKUP(C$1,main!$A$3:$I$56,5,FALSE)-VLOOKUP($A156,main!$A$3:$I$56,6,FALSE)&gt;=VLOOKUP(57,main!$A$57:$I$59,4,FALSE)+VLOOKUP(VLOOKUP(C$1,main!$A$3:$I$56,7,FALSE),main!$K$10:$Q$14,5,FALSE),1,0)</f>
        <v>0</v>
      </c>
      <c r="D156">
        <f>IF(VLOOKUP(D$1,main!$A$3:$I$56,5,FALSE)-VLOOKUP($A156,main!$A$3:$I$56,6,FALSE)&gt;=VLOOKUP(57,main!$A$57:$I$59,4,FALSE)+VLOOKUP(VLOOKUP(D$1,main!$A$3:$I$56,7,FALSE),main!$K$10:$Q$14,5,FALSE),1,0)</f>
        <v>0</v>
      </c>
      <c r="E156">
        <f>IF(VLOOKUP(E$1,main!$A$3:$I$56,5,FALSE)-VLOOKUP($A156,main!$A$3:$I$56,6,FALSE)&gt;=VLOOKUP(57,main!$A$57:$I$59,4,FALSE)+VLOOKUP(VLOOKUP(E$1,main!$A$3:$I$56,7,FALSE),main!$K$10:$Q$14,5,FALSE),1,0)</f>
        <v>0</v>
      </c>
      <c r="F156">
        <f>IF(VLOOKUP(F$1,main!$A$3:$I$56,5,FALSE)-VLOOKUP($A156,main!$A$3:$I$56,6,FALSE)&gt;=VLOOKUP(57,main!$A$57:$I$59,4,FALSE)+VLOOKUP(VLOOKUP(F$1,main!$A$3:$I$56,7,FALSE),main!$K$10:$Q$14,5,FALSE),1,0)</f>
        <v>0</v>
      </c>
      <c r="G156">
        <f>IF(VLOOKUP(G$1,main!$A$3:$I$56,5,FALSE)-VLOOKUP($A156,main!$A$3:$I$56,6,FALSE)&gt;=VLOOKUP(57,main!$A$57:$I$59,4,FALSE)+VLOOKUP(VLOOKUP(G$1,main!$A$3:$I$56,7,FALSE),main!$K$10:$Q$14,5,FALSE),1,0)</f>
        <v>0</v>
      </c>
      <c r="H156">
        <f>IF(VLOOKUP(H$1,main!$A$3:$I$56,5,FALSE)-VLOOKUP($A156,main!$A$3:$I$56,6,FALSE)&gt;=VLOOKUP(57,main!$A$57:$I$59,4,FALSE)+VLOOKUP(VLOOKUP(H$1,main!$A$3:$I$56,7,FALSE),main!$K$10:$Q$14,5,FALSE),1,0)</f>
        <v>0</v>
      </c>
      <c r="I156">
        <f>IF(VLOOKUP(I$1,main!$A$3:$I$56,5,FALSE)-VLOOKUP($A156,main!$A$3:$I$56,6,FALSE)&gt;=VLOOKUP(57,main!$A$57:$I$59,4,FALSE)+VLOOKUP(VLOOKUP(I$1,main!$A$3:$I$56,7,FALSE),main!$K$10:$Q$14,5,FALSE),1,0)</f>
        <v>0</v>
      </c>
      <c r="J156">
        <f>IF(VLOOKUP(J$1,main!$A$3:$I$56,5,FALSE)-VLOOKUP($A156,main!$A$3:$I$56,6,FALSE)&gt;=VLOOKUP(57,main!$A$57:$I$59,4,FALSE)+VLOOKUP(VLOOKUP(J$1,main!$A$3:$I$56,7,FALSE),main!$K$10:$Q$14,5,FALSE),1,0)</f>
        <v>1</v>
      </c>
      <c r="K156">
        <f>IF(VLOOKUP(K$1,main!$A$3:$I$56,5,FALSE)-VLOOKUP($A156,main!$A$3:$I$56,6,FALSE)&gt;=VLOOKUP(57,main!$A$57:$I$59,4,FALSE)+VLOOKUP(VLOOKUP(K$1,main!$A$3:$I$56,7,FALSE),main!$K$10:$Q$14,5,FALSE),1,0)</f>
        <v>0</v>
      </c>
      <c r="L156">
        <f>IF(VLOOKUP(L$1,main!$A$3:$I$56,5,FALSE)-VLOOKUP($A156,main!$A$3:$I$56,6,FALSE)&gt;=VLOOKUP(57,main!$A$57:$I$59,4,FALSE)+VLOOKUP(VLOOKUP(L$1,main!$A$3:$I$56,7,FALSE),main!$K$10:$Q$14,5,FALSE),1,0)</f>
        <v>0</v>
      </c>
      <c r="M156">
        <f>IF(VLOOKUP(M$1,main!$A$3:$I$56,5,FALSE)-VLOOKUP($A156,main!$A$3:$I$56,6,FALSE)&gt;=VLOOKUP(57,main!$A$57:$I$59,4,FALSE)+VLOOKUP(VLOOKUP(M$1,main!$A$3:$I$56,7,FALSE),main!$K$10:$Q$14,5,FALSE),1,0)</f>
        <v>0</v>
      </c>
      <c r="N156">
        <f>IF(VLOOKUP(N$1,main!$A$3:$I$56,5,FALSE)-VLOOKUP($A156,main!$A$3:$I$56,6,FALSE)&gt;=VLOOKUP(57,main!$A$57:$I$59,4,FALSE)+VLOOKUP(VLOOKUP(N$1,main!$A$3:$I$56,7,FALSE),main!$K$10:$Q$14,5,FALSE),1,0)</f>
        <v>0</v>
      </c>
      <c r="O156">
        <f>IF(VLOOKUP(O$1,main!$A$3:$I$56,5,FALSE)-VLOOKUP($A156,main!$A$3:$I$56,6,FALSE)&gt;=VLOOKUP(57,main!$A$57:$I$59,4,FALSE)+VLOOKUP(VLOOKUP(O$1,main!$A$3:$I$56,7,FALSE),main!$K$10:$Q$14,5,FALSE),1,0)</f>
        <v>1</v>
      </c>
      <c r="P156">
        <f>IF(VLOOKUP(P$1,main!$A$3:$I$56,5,FALSE)-VLOOKUP($A156,main!$A$3:$I$56,6,FALSE)&gt;=VLOOKUP(57,main!$A$57:$I$59,4,FALSE)+VLOOKUP(VLOOKUP(P$1,main!$A$3:$I$56,7,FALSE),main!$K$10:$Q$14,5,FALSE),1,0)</f>
        <v>0</v>
      </c>
      <c r="Q156">
        <f>IF(VLOOKUP(Q$1,main!$A$3:$I$56,5,FALSE)-VLOOKUP($A156,main!$A$3:$I$56,6,FALSE)&gt;=VLOOKUP(57,main!$A$57:$I$59,4,FALSE)+VLOOKUP(VLOOKUP(Q$1,main!$A$3:$I$56,7,FALSE),main!$K$10:$Q$14,5,FALSE),1,0)</f>
        <v>0</v>
      </c>
      <c r="R156">
        <f>IF(VLOOKUP(R$1,main!$A$3:$I$56,5,FALSE)-VLOOKUP($A156,main!$A$3:$I$56,6,FALSE)&gt;=VLOOKUP(57,main!$A$57:$I$59,4,FALSE)+VLOOKUP(VLOOKUP(R$1,main!$A$3:$I$56,7,FALSE),main!$K$10:$Q$14,5,FALSE),1,0)</f>
        <v>0</v>
      </c>
      <c r="S156">
        <f>IF(VLOOKUP(S$1,main!$A$3:$I$56,5,FALSE)-VLOOKUP($A156,main!$A$3:$I$56,6,FALSE)&gt;=VLOOKUP(57,main!$A$57:$I$59,4,FALSE)+VLOOKUP(VLOOKUP(S$1,main!$A$3:$I$56,7,FALSE),main!$K$10:$Q$14,5,FALSE),1,0)</f>
        <v>0</v>
      </c>
      <c r="T156">
        <f>IF(VLOOKUP(T$1,main!$A$3:$I$56,5,FALSE)-VLOOKUP($A156,main!$A$3:$I$56,6,FALSE)&gt;=VLOOKUP(57,main!$A$57:$I$59,4,FALSE)+VLOOKUP(VLOOKUP(T$1,main!$A$3:$I$56,7,FALSE),main!$K$10:$Q$14,5,FALSE),1,0)</f>
        <v>0</v>
      </c>
      <c r="U156">
        <f>IF(VLOOKUP(U$1,main!$A$3:$I$56,5,FALSE)-VLOOKUP($A156,main!$A$3:$I$56,6,FALSE)&gt;=VLOOKUP(57,main!$A$57:$I$59,4,FALSE)+VLOOKUP(VLOOKUP(U$1,main!$A$3:$I$56,7,FALSE),main!$K$10:$Q$14,5,FALSE),1,0)</f>
        <v>0</v>
      </c>
      <c r="V156">
        <f>IF(VLOOKUP(V$1,main!$A$3:$I$56,5,FALSE)-VLOOKUP($A156,main!$A$3:$I$56,6,FALSE)&gt;=VLOOKUP(57,main!$A$57:$I$59,4,FALSE)+VLOOKUP(VLOOKUP(V$1,main!$A$3:$I$56,7,FALSE),main!$K$10:$Q$14,5,FALSE),1,0)</f>
        <v>0</v>
      </c>
      <c r="W156">
        <f>IF(VLOOKUP(W$1,main!$A$3:$I$56,5,FALSE)-VLOOKUP($A156,main!$A$3:$I$56,6,FALSE)&gt;=VLOOKUP(57,main!$A$57:$I$59,4,FALSE)+VLOOKUP(VLOOKUP(W$1,main!$A$3:$I$56,7,FALSE),main!$K$10:$Q$14,5,FALSE),1,0)</f>
        <v>0</v>
      </c>
      <c r="X156">
        <f>IF(VLOOKUP(X$1,main!$A$3:$I$56,5,FALSE)-VLOOKUP($A156,main!$A$3:$I$56,6,FALSE)&gt;=VLOOKUP(57,main!$A$57:$I$59,4,FALSE)+VLOOKUP(VLOOKUP(X$1,main!$A$3:$I$56,7,FALSE),main!$K$10:$Q$14,5,FALSE),1,0)</f>
        <v>0</v>
      </c>
      <c r="Y156">
        <f>IF(VLOOKUP(Y$1,main!$A$3:$I$56,5,FALSE)-VLOOKUP($A156,main!$A$3:$I$56,6,FALSE)&gt;=VLOOKUP(57,main!$A$57:$I$59,4,FALSE)+VLOOKUP(VLOOKUP(Y$1,main!$A$3:$I$56,7,FALSE),main!$K$10:$Q$14,5,FALSE),1,0)</f>
        <v>0</v>
      </c>
      <c r="Z156">
        <f>IF(VLOOKUP(Z$1,main!$A$3:$I$56,5,FALSE)-VLOOKUP($A156,main!$A$3:$I$56,6,FALSE)&gt;=VLOOKUP(57,main!$A$57:$I$59,4,FALSE)+VLOOKUP(VLOOKUP(Z$1,main!$A$3:$I$56,7,FALSE),main!$K$10:$Q$14,5,FALSE),1,0)</f>
        <v>0</v>
      </c>
      <c r="AA156">
        <f>IF(VLOOKUP(AA$1,main!$A$3:$I$56,5,FALSE)-VLOOKUP($A156,main!$A$3:$I$56,6,FALSE)&gt;=VLOOKUP(57,main!$A$57:$I$59,4,FALSE)+VLOOKUP(VLOOKUP(AA$1,main!$A$3:$I$56,7,FALSE),main!$K$10:$Q$14,5,FALSE),1,0)</f>
        <v>1</v>
      </c>
      <c r="AB156">
        <f>IF(VLOOKUP(AB$1,main!$A$3:$I$56,5,FALSE)-VLOOKUP($A156,main!$A$3:$I$56,6,FALSE)&gt;=VLOOKUP(57,main!$A$57:$I$59,4,FALSE)+VLOOKUP(VLOOKUP(AB$1,main!$A$3:$I$56,7,FALSE),main!$K$10:$Q$14,5,FALSE),1,0)</f>
        <v>1</v>
      </c>
      <c r="AC156">
        <f>IF(VLOOKUP(AC$1,main!$A$3:$I$56,5,FALSE)-VLOOKUP($A156,main!$A$3:$I$56,6,FALSE)&gt;=VLOOKUP(57,main!$A$57:$I$59,4,FALSE)+VLOOKUP(VLOOKUP(AC$1,main!$A$3:$I$56,7,FALSE),main!$K$10:$Q$14,5,FALSE),1,0)</f>
        <v>0</v>
      </c>
      <c r="AD156">
        <f>IF(VLOOKUP(AD$1,main!$A$3:$I$56,5,FALSE)-VLOOKUP($A156,main!$A$3:$I$56,6,FALSE)&gt;=VLOOKUP(57,main!$A$57:$I$59,4,FALSE)+VLOOKUP(VLOOKUP(AD$1,main!$A$3:$I$56,7,FALSE),main!$K$10:$Q$14,5,FALSE),1,0)</f>
        <v>0</v>
      </c>
      <c r="AE156">
        <f>IF(VLOOKUP(AE$1,main!$A$3:$I$56,5,FALSE)-VLOOKUP($A156,main!$A$3:$I$56,6,FALSE)&gt;=VLOOKUP(57,main!$A$57:$I$59,4,FALSE)+VLOOKUP(VLOOKUP(AE$1,main!$A$3:$I$56,7,FALSE),main!$K$10:$Q$14,5,FALSE),1,0)</f>
        <v>0</v>
      </c>
      <c r="AF156">
        <f>IF(VLOOKUP(AF$1,main!$A$3:$I$56,5,FALSE)-VLOOKUP($A156,main!$A$3:$I$56,6,FALSE)&gt;=VLOOKUP(57,main!$A$57:$I$59,4,FALSE)+VLOOKUP(VLOOKUP(AF$1,main!$A$3:$I$56,7,FALSE),main!$K$10:$Q$14,5,FALSE),1,0)</f>
        <v>0</v>
      </c>
      <c r="AG156">
        <f>IF(VLOOKUP(AG$1,main!$A$3:$I$56,5,FALSE)-VLOOKUP($A156,main!$A$3:$I$56,6,FALSE)&gt;=VLOOKUP(57,main!$A$57:$I$59,4,FALSE)+VLOOKUP(VLOOKUP(AG$1,main!$A$3:$I$56,7,FALSE),main!$K$10:$Q$14,5,FALSE),1,0)</f>
        <v>0</v>
      </c>
      <c r="AH156">
        <f>IF(VLOOKUP(AH$1,main!$A$3:$I$56,5,FALSE)-VLOOKUP($A156,main!$A$3:$I$56,6,FALSE)&gt;=VLOOKUP(57,main!$A$57:$I$59,4,FALSE)+VLOOKUP(VLOOKUP(AH$1,main!$A$3:$I$56,7,FALSE),main!$K$10:$Q$14,5,FALSE),1,0)</f>
        <v>0</v>
      </c>
      <c r="AI156">
        <f>IF(VLOOKUP(AI$1,main!$A$3:$I$56,5,FALSE)-VLOOKUP($A156,main!$A$3:$I$56,6,FALSE)&gt;=VLOOKUP(57,main!$A$57:$I$59,4,FALSE)+VLOOKUP(VLOOKUP(AI$1,main!$A$3:$I$56,7,FALSE),main!$K$10:$Q$14,5,FALSE),1,0)</f>
        <v>0</v>
      </c>
      <c r="AJ156">
        <f>IF(VLOOKUP(AJ$1,main!$A$3:$I$56,5,FALSE)-VLOOKUP($A156,main!$A$3:$I$56,6,FALSE)&gt;=VLOOKUP(57,main!$A$57:$I$59,4,FALSE)+VLOOKUP(VLOOKUP(AJ$1,main!$A$3:$I$56,7,FALSE),main!$K$10:$Q$14,5,FALSE),1,0)</f>
        <v>0</v>
      </c>
      <c r="AK156">
        <f>IF(VLOOKUP(AK$1,main!$A$3:$I$56,5,FALSE)-VLOOKUP($A156,main!$A$3:$I$56,6,FALSE)&gt;=VLOOKUP(57,main!$A$57:$I$59,4,FALSE)+VLOOKUP(VLOOKUP(AK$1,main!$A$3:$I$56,7,FALSE),main!$K$10:$Q$14,5,FALSE),1,0)</f>
        <v>0</v>
      </c>
      <c r="AL156">
        <f>IF(VLOOKUP(AL$1,main!$A$3:$I$56,5,FALSE)-VLOOKUP($A156,main!$A$3:$I$56,6,FALSE)&gt;=VLOOKUP(57,main!$A$57:$I$59,4,FALSE)+VLOOKUP(VLOOKUP(AL$1,main!$A$3:$I$56,7,FALSE),main!$K$10:$Q$14,5,FALSE),1,0)</f>
        <v>0</v>
      </c>
      <c r="AM156">
        <f>IF(VLOOKUP(AM$1,main!$A$3:$I$56,5,FALSE)-VLOOKUP($A156,main!$A$3:$I$56,6,FALSE)&gt;=VLOOKUP(57,main!$A$57:$I$59,4,FALSE)+VLOOKUP(VLOOKUP(AM$1,main!$A$3:$I$56,7,FALSE),main!$K$10:$Q$14,5,FALSE),1,0)</f>
        <v>0</v>
      </c>
      <c r="AN156">
        <f>IF(VLOOKUP(AN$1,main!$A$3:$I$56,5,FALSE)-VLOOKUP($A156,main!$A$3:$I$56,6,FALSE)&gt;=VLOOKUP(57,main!$A$57:$I$59,4,FALSE)+VLOOKUP(VLOOKUP(AN$1,main!$A$3:$I$56,7,FALSE),main!$K$10:$Q$14,5,FALSE),1,0)</f>
        <v>0</v>
      </c>
      <c r="AO156">
        <f>IF(VLOOKUP(AO$1,main!$A$3:$I$56,5,FALSE)-VLOOKUP($A156,main!$A$3:$I$56,6,FALSE)&gt;=VLOOKUP(57,main!$A$57:$I$59,4,FALSE)+VLOOKUP(VLOOKUP(AO$1,main!$A$3:$I$56,7,FALSE),main!$K$10:$Q$14,5,FALSE),1,0)</f>
        <v>0</v>
      </c>
      <c r="AP156">
        <f>IF(VLOOKUP(AP$1,main!$A$3:$I$56,5,FALSE)-VLOOKUP($A156,main!$A$3:$I$56,6,FALSE)&gt;=VLOOKUP(57,main!$A$57:$I$59,4,FALSE)+VLOOKUP(VLOOKUP(AP$1,main!$A$3:$I$56,7,FALSE),main!$K$10:$Q$14,5,FALSE),1,0)</f>
        <v>0</v>
      </c>
      <c r="AQ156">
        <f>IF(VLOOKUP(AQ$1,main!$A$3:$I$56,5,FALSE)-VLOOKUP($A156,main!$A$3:$I$56,6,FALSE)&gt;=VLOOKUP(57,main!$A$57:$I$59,4,FALSE)+VLOOKUP(VLOOKUP(AQ$1,main!$A$3:$I$56,7,FALSE),main!$K$10:$Q$14,5,FALSE),1,0)</f>
        <v>0</v>
      </c>
      <c r="AR156">
        <f>IF(VLOOKUP(AR$1,main!$A$3:$I$56,5,FALSE)-VLOOKUP($A156,main!$A$3:$I$56,6,FALSE)&gt;=VLOOKUP(57,main!$A$57:$I$59,4,FALSE)+VLOOKUP(VLOOKUP(AR$1,main!$A$3:$I$56,7,FALSE),main!$K$10:$Q$14,5,FALSE),1,0)</f>
        <v>0</v>
      </c>
      <c r="AS156">
        <f>IF(VLOOKUP(AS$1,main!$A$3:$I$56,5,FALSE)-VLOOKUP($A156,main!$A$3:$I$56,6,FALSE)&gt;=VLOOKUP(57,main!$A$57:$I$59,4,FALSE)+VLOOKUP(VLOOKUP(AS$1,main!$A$3:$I$56,7,FALSE),main!$K$10:$Q$14,5,FALSE),1,0)</f>
        <v>0</v>
      </c>
      <c r="AT156">
        <f>IF(VLOOKUP(AT$1,main!$A$3:$I$56,5,FALSE)-VLOOKUP($A156,main!$A$3:$I$56,6,FALSE)&gt;=VLOOKUP(57,main!$A$57:$I$59,4,FALSE)+VLOOKUP(VLOOKUP(AT$1,main!$A$3:$I$56,7,FALSE),main!$K$10:$Q$14,5,FALSE),1,0)</f>
        <v>0</v>
      </c>
      <c r="AU156">
        <f>IF(VLOOKUP(AU$1,main!$A$3:$I$56,5,FALSE)-VLOOKUP($A156,main!$A$3:$I$56,6,FALSE)&gt;=VLOOKUP(57,main!$A$57:$I$59,4,FALSE)+VLOOKUP(VLOOKUP(AU$1,main!$A$3:$I$56,7,FALSE),main!$K$10:$Q$14,5,FALSE),1,0)</f>
        <v>0</v>
      </c>
      <c r="AV156">
        <f>IF(VLOOKUP(AV$1,main!$A$3:$I$56,5,FALSE)-VLOOKUP($A156,main!$A$3:$I$56,6,FALSE)&gt;=VLOOKUP(57,main!$A$57:$I$59,4,FALSE)+VLOOKUP(VLOOKUP(AV$1,main!$A$3:$I$56,7,FALSE),main!$K$10:$Q$14,5,FALSE),1,0)</f>
        <v>0</v>
      </c>
      <c r="AW156">
        <f>IF(VLOOKUP(AW$1,main!$A$3:$I$56,5,FALSE)-VLOOKUP($A156,main!$A$3:$I$56,6,FALSE)&gt;=VLOOKUP(57,main!$A$57:$I$59,4,FALSE)+VLOOKUP(VLOOKUP(AW$1,main!$A$3:$I$56,7,FALSE),main!$K$10:$Q$14,5,FALSE),1,0)</f>
        <v>0</v>
      </c>
      <c r="AX156">
        <f>IF(VLOOKUP(AX$1,main!$A$3:$I$56,5,FALSE)-VLOOKUP($A156,main!$A$3:$I$56,6,FALSE)&gt;=VLOOKUP(57,main!$A$57:$I$59,4,FALSE)+VLOOKUP(VLOOKUP(AX$1,main!$A$3:$I$56,7,FALSE),main!$K$10:$Q$14,5,FALSE),1,0)</f>
        <v>0</v>
      </c>
      <c r="AY156">
        <f>IF(VLOOKUP(AY$1,main!$A$3:$I$56,5,FALSE)-VLOOKUP($A156,main!$A$3:$I$56,6,FALSE)&gt;=VLOOKUP(57,main!$A$57:$I$59,4,FALSE)+VLOOKUP(VLOOKUP(AY$1,main!$A$3:$I$56,7,FALSE),main!$K$10:$Q$14,5,FALSE),1,0)</f>
        <v>1</v>
      </c>
      <c r="AZ156">
        <f>IF(VLOOKUP(AZ$1,main!$A$3:$I$56,5,FALSE)-VLOOKUP($A156,main!$A$3:$I$56,6,FALSE)&gt;=VLOOKUP(57,main!$A$57:$I$59,4,FALSE)+VLOOKUP(VLOOKUP(AZ$1,main!$A$3:$I$56,7,FALSE),main!$K$10:$Q$14,5,FALSE),1,0)</f>
        <v>0</v>
      </c>
      <c r="BA156">
        <f>IF(VLOOKUP(BA$1,main!$A$3:$I$56,5,FALSE)-VLOOKUP($A156,main!$A$3:$I$56,6,FALSE)&gt;=VLOOKUP(57,main!$A$57:$I$59,4,FALSE)+VLOOKUP(VLOOKUP(BA$1,main!$A$3:$I$56,7,FALSE),main!$K$10:$Q$14,5,FALSE),1,0)</f>
        <v>0</v>
      </c>
      <c r="BB156">
        <f>IF(VLOOKUP(BB$1,main!$A$3:$I$56,5,FALSE)-VLOOKUP($A156,main!$A$3:$I$56,6,FALSE)&gt;=VLOOKUP(57,main!$A$57:$I$59,4,FALSE)+VLOOKUP(VLOOKUP(BB$1,main!$A$3:$I$56,7,FALSE),main!$K$10:$Q$14,5,FALSE),1,0)</f>
        <v>0</v>
      </c>
      <c r="BC156">
        <f>IF(VLOOKUP(BC$1,main!$A$3:$I$56,5,FALSE)-VLOOKUP($A156,main!$A$3:$I$56,6,FALSE)&gt;=VLOOKUP(57,main!$A$57:$I$59,4,FALSE)+VLOOKUP(VLOOKUP(BC$1,main!$A$3:$I$56,7,FALSE),main!$K$10:$Q$14,5,FALSE),1,0)</f>
        <v>0</v>
      </c>
      <c r="BD156">
        <f>IF(VLOOKUP(BD$1,main!$A$3:$I$56,5,FALSE)-VLOOKUP($A156,main!$A$3:$I$56,6,FALSE)&gt;=VLOOKUP(57,main!$A$57:$I$59,4,FALSE)+VLOOKUP(VLOOKUP(BD$1,main!$A$3:$I$56,7,FALSE),main!$K$10:$Q$14,5,FALSE),1,0)</f>
        <v>0</v>
      </c>
    </row>
    <row r="157" spans="1:56" x14ac:dyDescent="0.25">
      <c r="A157">
        <f t="shared" si="2"/>
        <v>45</v>
      </c>
      <c r="B157">
        <v>0</v>
      </c>
      <c r="C157">
        <f>IF(VLOOKUP(C$1,main!$A$3:$I$56,5,FALSE)-VLOOKUP($A157,main!$A$3:$I$56,6,FALSE)&gt;=VLOOKUP(57,main!$A$57:$I$59,4,FALSE)+VLOOKUP(VLOOKUP(C$1,main!$A$3:$I$56,7,FALSE),main!$K$10:$Q$14,5,FALSE),1,0)</f>
        <v>0</v>
      </c>
      <c r="D157">
        <f>IF(VLOOKUP(D$1,main!$A$3:$I$56,5,FALSE)-VLOOKUP($A157,main!$A$3:$I$56,6,FALSE)&gt;=VLOOKUP(57,main!$A$57:$I$59,4,FALSE)+VLOOKUP(VLOOKUP(D$1,main!$A$3:$I$56,7,FALSE),main!$K$10:$Q$14,5,FALSE),1,0)</f>
        <v>0</v>
      </c>
      <c r="E157">
        <f>IF(VLOOKUP(E$1,main!$A$3:$I$56,5,FALSE)-VLOOKUP($A157,main!$A$3:$I$56,6,FALSE)&gt;=VLOOKUP(57,main!$A$57:$I$59,4,FALSE)+VLOOKUP(VLOOKUP(E$1,main!$A$3:$I$56,7,FALSE),main!$K$10:$Q$14,5,FALSE),1,0)</f>
        <v>0</v>
      </c>
      <c r="F157">
        <f>IF(VLOOKUP(F$1,main!$A$3:$I$56,5,FALSE)-VLOOKUP($A157,main!$A$3:$I$56,6,FALSE)&gt;=VLOOKUP(57,main!$A$57:$I$59,4,FALSE)+VLOOKUP(VLOOKUP(F$1,main!$A$3:$I$56,7,FALSE),main!$K$10:$Q$14,5,FALSE),1,0)</f>
        <v>0</v>
      </c>
      <c r="G157">
        <f>IF(VLOOKUP(G$1,main!$A$3:$I$56,5,FALSE)-VLOOKUP($A157,main!$A$3:$I$56,6,FALSE)&gt;=VLOOKUP(57,main!$A$57:$I$59,4,FALSE)+VLOOKUP(VLOOKUP(G$1,main!$A$3:$I$56,7,FALSE),main!$K$10:$Q$14,5,FALSE),1,0)</f>
        <v>0</v>
      </c>
      <c r="H157">
        <f>IF(VLOOKUP(H$1,main!$A$3:$I$56,5,FALSE)-VLOOKUP($A157,main!$A$3:$I$56,6,FALSE)&gt;=VLOOKUP(57,main!$A$57:$I$59,4,FALSE)+VLOOKUP(VLOOKUP(H$1,main!$A$3:$I$56,7,FALSE),main!$K$10:$Q$14,5,FALSE),1,0)</f>
        <v>0</v>
      </c>
      <c r="I157">
        <f>IF(VLOOKUP(I$1,main!$A$3:$I$56,5,FALSE)-VLOOKUP($A157,main!$A$3:$I$56,6,FALSE)&gt;=VLOOKUP(57,main!$A$57:$I$59,4,FALSE)+VLOOKUP(VLOOKUP(I$1,main!$A$3:$I$56,7,FALSE),main!$K$10:$Q$14,5,FALSE),1,0)</f>
        <v>1</v>
      </c>
      <c r="J157">
        <f>IF(VLOOKUP(J$1,main!$A$3:$I$56,5,FALSE)-VLOOKUP($A157,main!$A$3:$I$56,6,FALSE)&gt;=VLOOKUP(57,main!$A$57:$I$59,4,FALSE)+VLOOKUP(VLOOKUP(J$1,main!$A$3:$I$56,7,FALSE),main!$K$10:$Q$14,5,FALSE),1,0)</f>
        <v>1</v>
      </c>
      <c r="K157">
        <f>IF(VLOOKUP(K$1,main!$A$3:$I$56,5,FALSE)-VLOOKUP($A157,main!$A$3:$I$56,6,FALSE)&gt;=VLOOKUP(57,main!$A$57:$I$59,4,FALSE)+VLOOKUP(VLOOKUP(K$1,main!$A$3:$I$56,7,FALSE),main!$K$10:$Q$14,5,FALSE),1,0)</f>
        <v>0</v>
      </c>
      <c r="L157">
        <f>IF(VLOOKUP(L$1,main!$A$3:$I$56,5,FALSE)-VLOOKUP($A157,main!$A$3:$I$56,6,FALSE)&gt;=VLOOKUP(57,main!$A$57:$I$59,4,FALSE)+VLOOKUP(VLOOKUP(L$1,main!$A$3:$I$56,7,FALSE),main!$K$10:$Q$14,5,FALSE),1,0)</f>
        <v>0</v>
      </c>
      <c r="M157">
        <f>IF(VLOOKUP(M$1,main!$A$3:$I$56,5,FALSE)-VLOOKUP($A157,main!$A$3:$I$56,6,FALSE)&gt;=VLOOKUP(57,main!$A$57:$I$59,4,FALSE)+VLOOKUP(VLOOKUP(M$1,main!$A$3:$I$56,7,FALSE),main!$K$10:$Q$14,5,FALSE),1,0)</f>
        <v>0</v>
      </c>
      <c r="N157">
        <f>IF(VLOOKUP(N$1,main!$A$3:$I$56,5,FALSE)-VLOOKUP($A157,main!$A$3:$I$56,6,FALSE)&gt;=VLOOKUP(57,main!$A$57:$I$59,4,FALSE)+VLOOKUP(VLOOKUP(N$1,main!$A$3:$I$56,7,FALSE),main!$K$10:$Q$14,5,FALSE),1,0)</f>
        <v>1</v>
      </c>
      <c r="O157">
        <f>IF(VLOOKUP(O$1,main!$A$3:$I$56,5,FALSE)-VLOOKUP($A157,main!$A$3:$I$56,6,FALSE)&gt;=VLOOKUP(57,main!$A$57:$I$59,4,FALSE)+VLOOKUP(VLOOKUP(O$1,main!$A$3:$I$56,7,FALSE),main!$K$10:$Q$14,5,FALSE),1,0)</f>
        <v>1</v>
      </c>
      <c r="P157">
        <f>IF(VLOOKUP(P$1,main!$A$3:$I$56,5,FALSE)-VLOOKUP($A157,main!$A$3:$I$56,6,FALSE)&gt;=VLOOKUP(57,main!$A$57:$I$59,4,FALSE)+VLOOKUP(VLOOKUP(P$1,main!$A$3:$I$56,7,FALSE),main!$K$10:$Q$14,5,FALSE),1,0)</f>
        <v>0</v>
      </c>
      <c r="Q157">
        <f>IF(VLOOKUP(Q$1,main!$A$3:$I$56,5,FALSE)-VLOOKUP($A157,main!$A$3:$I$56,6,FALSE)&gt;=VLOOKUP(57,main!$A$57:$I$59,4,FALSE)+VLOOKUP(VLOOKUP(Q$1,main!$A$3:$I$56,7,FALSE),main!$K$10:$Q$14,5,FALSE),1,0)</f>
        <v>0</v>
      </c>
      <c r="R157">
        <f>IF(VLOOKUP(R$1,main!$A$3:$I$56,5,FALSE)-VLOOKUP($A157,main!$A$3:$I$56,6,FALSE)&gt;=VLOOKUP(57,main!$A$57:$I$59,4,FALSE)+VLOOKUP(VLOOKUP(R$1,main!$A$3:$I$56,7,FALSE),main!$K$10:$Q$14,5,FALSE),1,0)</f>
        <v>0</v>
      </c>
      <c r="S157">
        <f>IF(VLOOKUP(S$1,main!$A$3:$I$56,5,FALSE)-VLOOKUP($A157,main!$A$3:$I$56,6,FALSE)&gt;=VLOOKUP(57,main!$A$57:$I$59,4,FALSE)+VLOOKUP(VLOOKUP(S$1,main!$A$3:$I$56,7,FALSE),main!$K$10:$Q$14,5,FALSE),1,0)</f>
        <v>0</v>
      </c>
      <c r="T157">
        <f>IF(VLOOKUP(T$1,main!$A$3:$I$56,5,FALSE)-VLOOKUP($A157,main!$A$3:$I$56,6,FALSE)&gt;=VLOOKUP(57,main!$A$57:$I$59,4,FALSE)+VLOOKUP(VLOOKUP(T$1,main!$A$3:$I$56,7,FALSE),main!$K$10:$Q$14,5,FALSE),1,0)</f>
        <v>1</v>
      </c>
      <c r="U157">
        <f>IF(VLOOKUP(U$1,main!$A$3:$I$56,5,FALSE)-VLOOKUP($A157,main!$A$3:$I$56,6,FALSE)&gt;=VLOOKUP(57,main!$A$57:$I$59,4,FALSE)+VLOOKUP(VLOOKUP(U$1,main!$A$3:$I$56,7,FALSE),main!$K$10:$Q$14,5,FALSE),1,0)</f>
        <v>0</v>
      </c>
      <c r="V157">
        <f>IF(VLOOKUP(V$1,main!$A$3:$I$56,5,FALSE)-VLOOKUP($A157,main!$A$3:$I$56,6,FALSE)&gt;=VLOOKUP(57,main!$A$57:$I$59,4,FALSE)+VLOOKUP(VLOOKUP(V$1,main!$A$3:$I$56,7,FALSE),main!$K$10:$Q$14,5,FALSE),1,0)</f>
        <v>0</v>
      </c>
      <c r="W157">
        <f>IF(VLOOKUP(W$1,main!$A$3:$I$56,5,FALSE)-VLOOKUP($A157,main!$A$3:$I$56,6,FALSE)&gt;=VLOOKUP(57,main!$A$57:$I$59,4,FALSE)+VLOOKUP(VLOOKUP(W$1,main!$A$3:$I$56,7,FALSE),main!$K$10:$Q$14,5,FALSE),1,0)</f>
        <v>0</v>
      </c>
      <c r="X157">
        <f>IF(VLOOKUP(X$1,main!$A$3:$I$56,5,FALSE)-VLOOKUP($A157,main!$A$3:$I$56,6,FALSE)&gt;=VLOOKUP(57,main!$A$57:$I$59,4,FALSE)+VLOOKUP(VLOOKUP(X$1,main!$A$3:$I$56,7,FALSE),main!$K$10:$Q$14,5,FALSE),1,0)</f>
        <v>0</v>
      </c>
      <c r="Y157">
        <f>IF(VLOOKUP(Y$1,main!$A$3:$I$56,5,FALSE)-VLOOKUP($A157,main!$A$3:$I$56,6,FALSE)&gt;=VLOOKUP(57,main!$A$57:$I$59,4,FALSE)+VLOOKUP(VLOOKUP(Y$1,main!$A$3:$I$56,7,FALSE),main!$K$10:$Q$14,5,FALSE),1,0)</f>
        <v>0</v>
      </c>
      <c r="Z157">
        <f>IF(VLOOKUP(Z$1,main!$A$3:$I$56,5,FALSE)-VLOOKUP($A157,main!$A$3:$I$56,6,FALSE)&gt;=VLOOKUP(57,main!$A$57:$I$59,4,FALSE)+VLOOKUP(VLOOKUP(Z$1,main!$A$3:$I$56,7,FALSE),main!$K$10:$Q$14,5,FALSE),1,0)</f>
        <v>1</v>
      </c>
      <c r="AA157">
        <f>IF(VLOOKUP(AA$1,main!$A$3:$I$56,5,FALSE)-VLOOKUP($A157,main!$A$3:$I$56,6,FALSE)&gt;=VLOOKUP(57,main!$A$57:$I$59,4,FALSE)+VLOOKUP(VLOOKUP(AA$1,main!$A$3:$I$56,7,FALSE),main!$K$10:$Q$14,5,FALSE),1,0)</f>
        <v>1</v>
      </c>
      <c r="AB157">
        <f>IF(VLOOKUP(AB$1,main!$A$3:$I$56,5,FALSE)-VLOOKUP($A157,main!$A$3:$I$56,6,FALSE)&gt;=VLOOKUP(57,main!$A$57:$I$59,4,FALSE)+VLOOKUP(VLOOKUP(AB$1,main!$A$3:$I$56,7,FALSE),main!$K$10:$Q$14,5,FALSE),1,0)</f>
        <v>1</v>
      </c>
      <c r="AC157">
        <f>IF(VLOOKUP(AC$1,main!$A$3:$I$56,5,FALSE)-VLOOKUP($A157,main!$A$3:$I$56,6,FALSE)&gt;=VLOOKUP(57,main!$A$57:$I$59,4,FALSE)+VLOOKUP(VLOOKUP(AC$1,main!$A$3:$I$56,7,FALSE),main!$K$10:$Q$14,5,FALSE),1,0)</f>
        <v>0</v>
      </c>
      <c r="AD157">
        <f>IF(VLOOKUP(AD$1,main!$A$3:$I$56,5,FALSE)-VLOOKUP($A157,main!$A$3:$I$56,6,FALSE)&gt;=VLOOKUP(57,main!$A$57:$I$59,4,FALSE)+VLOOKUP(VLOOKUP(AD$1,main!$A$3:$I$56,7,FALSE),main!$K$10:$Q$14,5,FALSE),1,0)</f>
        <v>0</v>
      </c>
      <c r="AE157">
        <f>IF(VLOOKUP(AE$1,main!$A$3:$I$56,5,FALSE)-VLOOKUP($A157,main!$A$3:$I$56,6,FALSE)&gt;=VLOOKUP(57,main!$A$57:$I$59,4,FALSE)+VLOOKUP(VLOOKUP(AE$1,main!$A$3:$I$56,7,FALSE),main!$K$10:$Q$14,5,FALSE),1,0)</f>
        <v>0</v>
      </c>
      <c r="AF157">
        <f>IF(VLOOKUP(AF$1,main!$A$3:$I$56,5,FALSE)-VLOOKUP($A157,main!$A$3:$I$56,6,FALSE)&gt;=VLOOKUP(57,main!$A$57:$I$59,4,FALSE)+VLOOKUP(VLOOKUP(AF$1,main!$A$3:$I$56,7,FALSE),main!$K$10:$Q$14,5,FALSE),1,0)</f>
        <v>1</v>
      </c>
      <c r="AG157">
        <f>IF(VLOOKUP(AG$1,main!$A$3:$I$56,5,FALSE)-VLOOKUP($A157,main!$A$3:$I$56,6,FALSE)&gt;=VLOOKUP(57,main!$A$57:$I$59,4,FALSE)+VLOOKUP(VLOOKUP(AG$1,main!$A$3:$I$56,7,FALSE),main!$K$10:$Q$14,5,FALSE),1,0)</f>
        <v>0</v>
      </c>
      <c r="AH157">
        <f>IF(VLOOKUP(AH$1,main!$A$3:$I$56,5,FALSE)-VLOOKUP($A157,main!$A$3:$I$56,6,FALSE)&gt;=VLOOKUP(57,main!$A$57:$I$59,4,FALSE)+VLOOKUP(VLOOKUP(AH$1,main!$A$3:$I$56,7,FALSE),main!$K$10:$Q$14,5,FALSE),1,0)</f>
        <v>0</v>
      </c>
      <c r="AI157">
        <f>IF(VLOOKUP(AI$1,main!$A$3:$I$56,5,FALSE)-VLOOKUP($A157,main!$A$3:$I$56,6,FALSE)&gt;=VLOOKUP(57,main!$A$57:$I$59,4,FALSE)+VLOOKUP(VLOOKUP(AI$1,main!$A$3:$I$56,7,FALSE),main!$K$10:$Q$14,5,FALSE),1,0)</f>
        <v>0</v>
      </c>
      <c r="AJ157">
        <f>IF(VLOOKUP(AJ$1,main!$A$3:$I$56,5,FALSE)-VLOOKUP($A157,main!$A$3:$I$56,6,FALSE)&gt;=VLOOKUP(57,main!$A$57:$I$59,4,FALSE)+VLOOKUP(VLOOKUP(AJ$1,main!$A$3:$I$56,7,FALSE),main!$K$10:$Q$14,5,FALSE),1,0)</f>
        <v>0</v>
      </c>
      <c r="AK157">
        <f>IF(VLOOKUP(AK$1,main!$A$3:$I$56,5,FALSE)-VLOOKUP($A157,main!$A$3:$I$56,6,FALSE)&gt;=VLOOKUP(57,main!$A$57:$I$59,4,FALSE)+VLOOKUP(VLOOKUP(AK$1,main!$A$3:$I$56,7,FALSE),main!$K$10:$Q$14,5,FALSE),1,0)</f>
        <v>0</v>
      </c>
      <c r="AL157">
        <f>IF(VLOOKUP(AL$1,main!$A$3:$I$56,5,FALSE)-VLOOKUP($A157,main!$A$3:$I$56,6,FALSE)&gt;=VLOOKUP(57,main!$A$57:$I$59,4,FALSE)+VLOOKUP(VLOOKUP(AL$1,main!$A$3:$I$56,7,FALSE),main!$K$10:$Q$14,5,FALSE),1,0)</f>
        <v>0</v>
      </c>
      <c r="AM157">
        <f>IF(VLOOKUP(AM$1,main!$A$3:$I$56,5,FALSE)-VLOOKUP($A157,main!$A$3:$I$56,6,FALSE)&gt;=VLOOKUP(57,main!$A$57:$I$59,4,FALSE)+VLOOKUP(VLOOKUP(AM$1,main!$A$3:$I$56,7,FALSE),main!$K$10:$Q$14,5,FALSE),1,0)</f>
        <v>0</v>
      </c>
      <c r="AN157">
        <f>IF(VLOOKUP(AN$1,main!$A$3:$I$56,5,FALSE)-VLOOKUP($A157,main!$A$3:$I$56,6,FALSE)&gt;=VLOOKUP(57,main!$A$57:$I$59,4,FALSE)+VLOOKUP(VLOOKUP(AN$1,main!$A$3:$I$56,7,FALSE),main!$K$10:$Q$14,5,FALSE),1,0)</f>
        <v>0</v>
      </c>
      <c r="AO157">
        <f>IF(VLOOKUP(AO$1,main!$A$3:$I$56,5,FALSE)-VLOOKUP($A157,main!$A$3:$I$56,6,FALSE)&gt;=VLOOKUP(57,main!$A$57:$I$59,4,FALSE)+VLOOKUP(VLOOKUP(AO$1,main!$A$3:$I$56,7,FALSE),main!$K$10:$Q$14,5,FALSE),1,0)</f>
        <v>0</v>
      </c>
      <c r="AP157">
        <f>IF(VLOOKUP(AP$1,main!$A$3:$I$56,5,FALSE)-VLOOKUP($A157,main!$A$3:$I$56,6,FALSE)&gt;=VLOOKUP(57,main!$A$57:$I$59,4,FALSE)+VLOOKUP(VLOOKUP(AP$1,main!$A$3:$I$56,7,FALSE),main!$K$10:$Q$14,5,FALSE),1,0)</f>
        <v>0</v>
      </c>
      <c r="AQ157">
        <f>IF(VLOOKUP(AQ$1,main!$A$3:$I$56,5,FALSE)-VLOOKUP($A157,main!$A$3:$I$56,6,FALSE)&gt;=VLOOKUP(57,main!$A$57:$I$59,4,FALSE)+VLOOKUP(VLOOKUP(AQ$1,main!$A$3:$I$56,7,FALSE),main!$K$10:$Q$14,5,FALSE),1,0)</f>
        <v>0</v>
      </c>
      <c r="AR157">
        <f>IF(VLOOKUP(AR$1,main!$A$3:$I$56,5,FALSE)-VLOOKUP($A157,main!$A$3:$I$56,6,FALSE)&gt;=VLOOKUP(57,main!$A$57:$I$59,4,FALSE)+VLOOKUP(VLOOKUP(AR$1,main!$A$3:$I$56,7,FALSE),main!$K$10:$Q$14,5,FALSE),1,0)</f>
        <v>0</v>
      </c>
      <c r="AS157">
        <f>IF(VLOOKUP(AS$1,main!$A$3:$I$56,5,FALSE)-VLOOKUP($A157,main!$A$3:$I$56,6,FALSE)&gt;=VLOOKUP(57,main!$A$57:$I$59,4,FALSE)+VLOOKUP(VLOOKUP(AS$1,main!$A$3:$I$56,7,FALSE),main!$K$10:$Q$14,5,FALSE),1,0)</f>
        <v>0</v>
      </c>
      <c r="AT157">
        <f>IF(VLOOKUP(AT$1,main!$A$3:$I$56,5,FALSE)-VLOOKUP($A157,main!$A$3:$I$56,6,FALSE)&gt;=VLOOKUP(57,main!$A$57:$I$59,4,FALSE)+VLOOKUP(VLOOKUP(AT$1,main!$A$3:$I$56,7,FALSE),main!$K$10:$Q$14,5,FALSE),1,0)</f>
        <v>0</v>
      </c>
      <c r="AU157">
        <f>IF(VLOOKUP(AU$1,main!$A$3:$I$56,5,FALSE)-VLOOKUP($A157,main!$A$3:$I$56,6,FALSE)&gt;=VLOOKUP(57,main!$A$57:$I$59,4,FALSE)+VLOOKUP(VLOOKUP(AU$1,main!$A$3:$I$56,7,FALSE),main!$K$10:$Q$14,5,FALSE),1,0)</f>
        <v>0</v>
      </c>
      <c r="AV157">
        <f>IF(VLOOKUP(AV$1,main!$A$3:$I$56,5,FALSE)-VLOOKUP($A157,main!$A$3:$I$56,6,FALSE)&gt;=VLOOKUP(57,main!$A$57:$I$59,4,FALSE)+VLOOKUP(VLOOKUP(AV$1,main!$A$3:$I$56,7,FALSE),main!$K$10:$Q$14,5,FALSE),1,0)</f>
        <v>0</v>
      </c>
      <c r="AW157">
        <f>IF(VLOOKUP(AW$1,main!$A$3:$I$56,5,FALSE)-VLOOKUP($A157,main!$A$3:$I$56,6,FALSE)&gt;=VLOOKUP(57,main!$A$57:$I$59,4,FALSE)+VLOOKUP(VLOOKUP(AW$1,main!$A$3:$I$56,7,FALSE),main!$K$10:$Q$14,5,FALSE),1,0)</f>
        <v>0</v>
      </c>
      <c r="AX157">
        <f>IF(VLOOKUP(AX$1,main!$A$3:$I$56,5,FALSE)-VLOOKUP($A157,main!$A$3:$I$56,6,FALSE)&gt;=VLOOKUP(57,main!$A$57:$I$59,4,FALSE)+VLOOKUP(VLOOKUP(AX$1,main!$A$3:$I$56,7,FALSE),main!$K$10:$Q$14,5,FALSE),1,0)</f>
        <v>0</v>
      </c>
      <c r="AY157">
        <f>IF(VLOOKUP(AY$1,main!$A$3:$I$56,5,FALSE)-VLOOKUP($A157,main!$A$3:$I$56,6,FALSE)&gt;=VLOOKUP(57,main!$A$57:$I$59,4,FALSE)+VLOOKUP(VLOOKUP(AY$1,main!$A$3:$I$56,7,FALSE),main!$K$10:$Q$14,5,FALSE),1,0)</f>
        <v>1</v>
      </c>
      <c r="AZ157">
        <f>IF(VLOOKUP(AZ$1,main!$A$3:$I$56,5,FALSE)-VLOOKUP($A157,main!$A$3:$I$56,6,FALSE)&gt;=VLOOKUP(57,main!$A$57:$I$59,4,FALSE)+VLOOKUP(VLOOKUP(AZ$1,main!$A$3:$I$56,7,FALSE),main!$K$10:$Q$14,5,FALSE),1,0)</f>
        <v>0</v>
      </c>
      <c r="BA157">
        <f>IF(VLOOKUP(BA$1,main!$A$3:$I$56,5,FALSE)-VLOOKUP($A157,main!$A$3:$I$56,6,FALSE)&gt;=VLOOKUP(57,main!$A$57:$I$59,4,FALSE)+VLOOKUP(VLOOKUP(BA$1,main!$A$3:$I$56,7,FALSE),main!$K$10:$Q$14,5,FALSE),1,0)</f>
        <v>0</v>
      </c>
      <c r="BB157">
        <f>IF(VLOOKUP(BB$1,main!$A$3:$I$56,5,FALSE)-VLOOKUP($A157,main!$A$3:$I$56,6,FALSE)&gt;=VLOOKUP(57,main!$A$57:$I$59,4,FALSE)+VLOOKUP(VLOOKUP(BB$1,main!$A$3:$I$56,7,FALSE),main!$K$10:$Q$14,5,FALSE),1,0)</f>
        <v>0</v>
      </c>
      <c r="BC157">
        <f>IF(VLOOKUP(BC$1,main!$A$3:$I$56,5,FALSE)-VLOOKUP($A157,main!$A$3:$I$56,6,FALSE)&gt;=VLOOKUP(57,main!$A$57:$I$59,4,FALSE)+VLOOKUP(VLOOKUP(BC$1,main!$A$3:$I$56,7,FALSE),main!$K$10:$Q$14,5,FALSE),1,0)</f>
        <v>0</v>
      </c>
      <c r="BD157">
        <f>IF(VLOOKUP(BD$1,main!$A$3:$I$56,5,FALSE)-VLOOKUP($A157,main!$A$3:$I$56,6,FALSE)&gt;=VLOOKUP(57,main!$A$57:$I$59,4,FALSE)+VLOOKUP(VLOOKUP(BD$1,main!$A$3:$I$56,7,FALSE),main!$K$10:$Q$14,5,FALSE),1,0)</f>
        <v>0</v>
      </c>
    </row>
    <row r="158" spans="1:56" x14ac:dyDescent="0.25">
      <c r="A158">
        <f t="shared" si="2"/>
        <v>46</v>
      </c>
      <c r="B158">
        <v>0</v>
      </c>
      <c r="C158">
        <f>IF(VLOOKUP(C$1,main!$A$3:$I$56,5,FALSE)-VLOOKUP($A158,main!$A$3:$I$56,6,FALSE)&gt;=VLOOKUP(57,main!$A$57:$I$59,4,FALSE)+VLOOKUP(VLOOKUP(C$1,main!$A$3:$I$56,7,FALSE),main!$K$10:$Q$14,5,FALSE),1,0)</f>
        <v>0</v>
      </c>
      <c r="D158">
        <f>IF(VLOOKUP(D$1,main!$A$3:$I$56,5,FALSE)-VLOOKUP($A158,main!$A$3:$I$56,6,FALSE)&gt;=VLOOKUP(57,main!$A$57:$I$59,4,FALSE)+VLOOKUP(VLOOKUP(D$1,main!$A$3:$I$56,7,FALSE),main!$K$10:$Q$14,5,FALSE),1,0)</f>
        <v>0</v>
      </c>
      <c r="E158">
        <f>IF(VLOOKUP(E$1,main!$A$3:$I$56,5,FALSE)-VLOOKUP($A158,main!$A$3:$I$56,6,FALSE)&gt;=VLOOKUP(57,main!$A$57:$I$59,4,FALSE)+VLOOKUP(VLOOKUP(E$1,main!$A$3:$I$56,7,FALSE),main!$K$10:$Q$14,5,FALSE),1,0)</f>
        <v>0</v>
      </c>
      <c r="F158">
        <f>IF(VLOOKUP(F$1,main!$A$3:$I$56,5,FALSE)-VLOOKUP($A158,main!$A$3:$I$56,6,FALSE)&gt;=VLOOKUP(57,main!$A$57:$I$59,4,FALSE)+VLOOKUP(VLOOKUP(F$1,main!$A$3:$I$56,7,FALSE),main!$K$10:$Q$14,5,FALSE),1,0)</f>
        <v>0</v>
      </c>
      <c r="G158">
        <f>IF(VLOOKUP(G$1,main!$A$3:$I$56,5,FALSE)-VLOOKUP($A158,main!$A$3:$I$56,6,FALSE)&gt;=VLOOKUP(57,main!$A$57:$I$59,4,FALSE)+VLOOKUP(VLOOKUP(G$1,main!$A$3:$I$56,7,FALSE),main!$K$10:$Q$14,5,FALSE),1,0)</f>
        <v>0</v>
      </c>
      <c r="H158">
        <f>IF(VLOOKUP(H$1,main!$A$3:$I$56,5,FALSE)-VLOOKUP($A158,main!$A$3:$I$56,6,FALSE)&gt;=VLOOKUP(57,main!$A$57:$I$59,4,FALSE)+VLOOKUP(VLOOKUP(H$1,main!$A$3:$I$56,7,FALSE),main!$K$10:$Q$14,5,FALSE),1,0)</f>
        <v>0</v>
      </c>
      <c r="I158">
        <f>IF(VLOOKUP(I$1,main!$A$3:$I$56,5,FALSE)-VLOOKUP($A158,main!$A$3:$I$56,6,FALSE)&gt;=VLOOKUP(57,main!$A$57:$I$59,4,FALSE)+VLOOKUP(VLOOKUP(I$1,main!$A$3:$I$56,7,FALSE),main!$K$10:$Q$14,5,FALSE),1,0)</f>
        <v>1</v>
      </c>
      <c r="J158">
        <f>IF(VLOOKUP(J$1,main!$A$3:$I$56,5,FALSE)-VLOOKUP($A158,main!$A$3:$I$56,6,FALSE)&gt;=VLOOKUP(57,main!$A$57:$I$59,4,FALSE)+VLOOKUP(VLOOKUP(J$1,main!$A$3:$I$56,7,FALSE),main!$K$10:$Q$14,5,FALSE),1,0)</f>
        <v>1</v>
      </c>
      <c r="K158">
        <f>IF(VLOOKUP(K$1,main!$A$3:$I$56,5,FALSE)-VLOOKUP($A158,main!$A$3:$I$56,6,FALSE)&gt;=VLOOKUP(57,main!$A$57:$I$59,4,FALSE)+VLOOKUP(VLOOKUP(K$1,main!$A$3:$I$56,7,FALSE),main!$K$10:$Q$14,5,FALSE),1,0)</f>
        <v>0</v>
      </c>
      <c r="L158">
        <f>IF(VLOOKUP(L$1,main!$A$3:$I$56,5,FALSE)-VLOOKUP($A158,main!$A$3:$I$56,6,FALSE)&gt;=VLOOKUP(57,main!$A$57:$I$59,4,FALSE)+VLOOKUP(VLOOKUP(L$1,main!$A$3:$I$56,7,FALSE),main!$K$10:$Q$14,5,FALSE),1,0)</f>
        <v>0</v>
      </c>
      <c r="M158">
        <f>IF(VLOOKUP(M$1,main!$A$3:$I$56,5,FALSE)-VLOOKUP($A158,main!$A$3:$I$56,6,FALSE)&gt;=VLOOKUP(57,main!$A$57:$I$59,4,FALSE)+VLOOKUP(VLOOKUP(M$1,main!$A$3:$I$56,7,FALSE),main!$K$10:$Q$14,5,FALSE),1,0)</f>
        <v>0</v>
      </c>
      <c r="N158">
        <f>IF(VLOOKUP(N$1,main!$A$3:$I$56,5,FALSE)-VLOOKUP($A158,main!$A$3:$I$56,6,FALSE)&gt;=VLOOKUP(57,main!$A$57:$I$59,4,FALSE)+VLOOKUP(VLOOKUP(N$1,main!$A$3:$I$56,7,FALSE),main!$K$10:$Q$14,5,FALSE),1,0)</f>
        <v>1</v>
      </c>
      <c r="O158">
        <f>IF(VLOOKUP(O$1,main!$A$3:$I$56,5,FALSE)-VLOOKUP($A158,main!$A$3:$I$56,6,FALSE)&gt;=VLOOKUP(57,main!$A$57:$I$59,4,FALSE)+VLOOKUP(VLOOKUP(O$1,main!$A$3:$I$56,7,FALSE),main!$K$10:$Q$14,5,FALSE),1,0)</f>
        <v>1</v>
      </c>
      <c r="P158">
        <f>IF(VLOOKUP(P$1,main!$A$3:$I$56,5,FALSE)-VLOOKUP($A158,main!$A$3:$I$56,6,FALSE)&gt;=VLOOKUP(57,main!$A$57:$I$59,4,FALSE)+VLOOKUP(VLOOKUP(P$1,main!$A$3:$I$56,7,FALSE),main!$K$10:$Q$14,5,FALSE),1,0)</f>
        <v>0</v>
      </c>
      <c r="Q158">
        <f>IF(VLOOKUP(Q$1,main!$A$3:$I$56,5,FALSE)-VLOOKUP($A158,main!$A$3:$I$56,6,FALSE)&gt;=VLOOKUP(57,main!$A$57:$I$59,4,FALSE)+VLOOKUP(VLOOKUP(Q$1,main!$A$3:$I$56,7,FALSE),main!$K$10:$Q$14,5,FALSE),1,0)</f>
        <v>0</v>
      </c>
      <c r="R158">
        <f>IF(VLOOKUP(R$1,main!$A$3:$I$56,5,FALSE)-VLOOKUP($A158,main!$A$3:$I$56,6,FALSE)&gt;=VLOOKUP(57,main!$A$57:$I$59,4,FALSE)+VLOOKUP(VLOOKUP(R$1,main!$A$3:$I$56,7,FALSE),main!$K$10:$Q$14,5,FALSE),1,0)</f>
        <v>0</v>
      </c>
      <c r="S158">
        <f>IF(VLOOKUP(S$1,main!$A$3:$I$56,5,FALSE)-VLOOKUP($A158,main!$A$3:$I$56,6,FALSE)&gt;=VLOOKUP(57,main!$A$57:$I$59,4,FALSE)+VLOOKUP(VLOOKUP(S$1,main!$A$3:$I$56,7,FALSE),main!$K$10:$Q$14,5,FALSE),1,0)</f>
        <v>0</v>
      </c>
      <c r="T158">
        <f>IF(VLOOKUP(T$1,main!$A$3:$I$56,5,FALSE)-VLOOKUP($A158,main!$A$3:$I$56,6,FALSE)&gt;=VLOOKUP(57,main!$A$57:$I$59,4,FALSE)+VLOOKUP(VLOOKUP(T$1,main!$A$3:$I$56,7,FALSE),main!$K$10:$Q$14,5,FALSE),1,0)</f>
        <v>1</v>
      </c>
      <c r="U158">
        <f>IF(VLOOKUP(U$1,main!$A$3:$I$56,5,FALSE)-VLOOKUP($A158,main!$A$3:$I$56,6,FALSE)&gt;=VLOOKUP(57,main!$A$57:$I$59,4,FALSE)+VLOOKUP(VLOOKUP(U$1,main!$A$3:$I$56,7,FALSE),main!$K$10:$Q$14,5,FALSE),1,0)</f>
        <v>0</v>
      </c>
      <c r="V158">
        <f>IF(VLOOKUP(V$1,main!$A$3:$I$56,5,FALSE)-VLOOKUP($A158,main!$A$3:$I$56,6,FALSE)&gt;=VLOOKUP(57,main!$A$57:$I$59,4,FALSE)+VLOOKUP(VLOOKUP(V$1,main!$A$3:$I$56,7,FALSE),main!$K$10:$Q$14,5,FALSE),1,0)</f>
        <v>0</v>
      </c>
      <c r="W158">
        <f>IF(VLOOKUP(W$1,main!$A$3:$I$56,5,FALSE)-VLOOKUP($A158,main!$A$3:$I$56,6,FALSE)&gt;=VLOOKUP(57,main!$A$57:$I$59,4,FALSE)+VLOOKUP(VLOOKUP(W$1,main!$A$3:$I$56,7,FALSE),main!$K$10:$Q$14,5,FALSE),1,0)</f>
        <v>0</v>
      </c>
      <c r="X158">
        <f>IF(VLOOKUP(X$1,main!$A$3:$I$56,5,FALSE)-VLOOKUP($A158,main!$A$3:$I$56,6,FALSE)&gt;=VLOOKUP(57,main!$A$57:$I$59,4,FALSE)+VLOOKUP(VLOOKUP(X$1,main!$A$3:$I$56,7,FALSE),main!$K$10:$Q$14,5,FALSE),1,0)</f>
        <v>0</v>
      </c>
      <c r="Y158">
        <f>IF(VLOOKUP(Y$1,main!$A$3:$I$56,5,FALSE)-VLOOKUP($A158,main!$A$3:$I$56,6,FALSE)&gt;=VLOOKUP(57,main!$A$57:$I$59,4,FALSE)+VLOOKUP(VLOOKUP(Y$1,main!$A$3:$I$56,7,FALSE),main!$K$10:$Q$14,5,FALSE),1,0)</f>
        <v>0</v>
      </c>
      <c r="Z158">
        <f>IF(VLOOKUP(Z$1,main!$A$3:$I$56,5,FALSE)-VLOOKUP($A158,main!$A$3:$I$56,6,FALSE)&gt;=VLOOKUP(57,main!$A$57:$I$59,4,FALSE)+VLOOKUP(VLOOKUP(Z$1,main!$A$3:$I$56,7,FALSE),main!$K$10:$Q$14,5,FALSE),1,0)</f>
        <v>1</v>
      </c>
      <c r="AA158">
        <f>IF(VLOOKUP(AA$1,main!$A$3:$I$56,5,FALSE)-VLOOKUP($A158,main!$A$3:$I$56,6,FALSE)&gt;=VLOOKUP(57,main!$A$57:$I$59,4,FALSE)+VLOOKUP(VLOOKUP(AA$1,main!$A$3:$I$56,7,FALSE),main!$K$10:$Q$14,5,FALSE),1,0)</f>
        <v>1</v>
      </c>
      <c r="AB158">
        <f>IF(VLOOKUP(AB$1,main!$A$3:$I$56,5,FALSE)-VLOOKUP($A158,main!$A$3:$I$56,6,FALSE)&gt;=VLOOKUP(57,main!$A$57:$I$59,4,FALSE)+VLOOKUP(VLOOKUP(AB$1,main!$A$3:$I$56,7,FALSE),main!$K$10:$Q$14,5,FALSE),1,0)</f>
        <v>1</v>
      </c>
      <c r="AC158">
        <f>IF(VLOOKUP(AC$1,main!$A$3:$I$56,5,FALSE)-VLOOKUP($A158,main!$A$3:$I$56,6,FALSE)&gt;=VLOOKUP(57,main!$A$57:$I$59,4,FALSE)+VLOOKUP(VLOOKUP(AC$1,main!$A$3:$I$56,7,FALSE),main!$K$10:$Q$14,5,FALSE),1,0)</f>
        <v>0</v>
      </c>
      <c r="AD158">
        <f>IF(VLOOKUP(AD$1,main!$A$3:$I$56,5,FALSE)-VLOOKUP($A158,main!$A$3:$I$56,6,FALSE)&gt;=VLOOKUP(57,main!$A$57:$I$59,4,FALSE)+VLOOKUP(VLOOKUP(AD$1,main!$A$3:$I$56,7,FALSE),main!$K$10:$Q$14,5,FALSE),1,0)</f>
        <v>0</v>
      </c>
      <c r="AE158">
        <f>IF(VLOOKUP(AE$1,main!$A$3:$I$56,5,FALSE)-VLOOKUP($A158,main!$A$3:$I$56,6,FALSE)&gt;=VLOOKUP(57,main!$A$57:$I$59,4,FALSE)+VLOOKUP(VLOOKUP(AE$1,main!$A$3:$I$56,7,FALSE),main!$K$10:$Q$14,5,FALSE),1,0)</f>
        <v>0</v>
      </c>
      <c r="AF158">
        <f>IF(VLOOKUP(AF$1,main!$A$3:$I$56,5,FALSE)-VLOOKUP($A158,main!$A$3:$I$56,6,FALSE)&gt;=VLOOKUP(57,main!$A$57:$I$59,4,FALSE)+VLOOKUP(VLOOKUP(AF$1,main!$A$3:$I$56,7,FALSE),main!$K$10:$Q$14,5,FALSE),1,0)</f>
        <v>1</v>
      </c>
      <c r="AG158">
        <f>IF(VLOOKUP(AG$1,main!$A$3:$I$56,5,FALSE)-VLOOKUP($A158,main!$A$3:$I$56,6,FALSE)&gt;=VLOOKUP(57,main!$A$57:$I$59,4,FALSE)+VLOOKUP(VLOOKUP(AG$1,main!$A$3:$I$56,7,FALSE),main!$K$10:$Q$14,5,FALSE),1,0)</f>
        <v>0</v>
      </c>
      <c r="AH158">
        <f>IF(VLOOKUP(AH$1,main!$A$3:$I$56,5,FALSE)-VLOOKUP($A158,main!$A$3:$I$56,6,FALSE)&gt;=VLOOKUP(57,main!$A$57:$I$59,4,FALSE)+VLOOKUP(VLOOKUP(AH$1,main!$A$3:$I$56,7,FALSE),main!$K$10:$Q$14,5,FALSE),1,0)</f>
        <v>0</v>
      </c>
      <c r="AI158">
        <f>IF(VLOOKUP(AI$1,main!$A$3:$I$56,5,FALSE)-VLOOKUP($A158,main!$A$3:$I$56,6,FALSE)&gt;=VLOOKUP(57,main!$A$57:$I$59,4,FALSE)+VLOOKUP(VLOOKUP(AI$1,main!$A$3:$I$56,7,FALSE),main!$K$10:$Q$14,5,FALSE),1,0)</f>
        <v>0</v>
      </c>
      <c r="AJ158">
        <f>IF(VLOOKUP(AJ$1,main!$A$3:$I$56,5,FALSE)-VLOOKUP($A158,main!$A$3:$I$56,6,FALSE)&gt;=VLOOKUP(57,main!$A$57:$I$59,4,FALSE)+VLOOKUP(VLOOKUP(AJ$1,main!$A$3:$I$56,7,FALSE),main!$K$10:$Q$14,5,FALSE),1,0)</f>
        <v>0</v>
      </c>
      <c r="AK158">
        <f>IF(VLOOKUP(AK$1,main!$A$3:$I$56,5,FALSE)-VLOOKUP($A158,main!$A$3:$I$56,6,FALSE)&gt;=VLOOKUP(57,main!$A$57:$I$59,4,FALSE)+VLOOKUP(VLOOKUP(AK$1,main!$A$3:$I$56,7,FALSE),main!$K$10:$Q$14,5,FALSE),1,0)</f>
        <v>0</v>
      </c>
      <c r="AL158">
        <f>IF(VLOOKUP(AL$1,main!$A$3:$I$56,5,FALSE)-VLOOKUP($A158,main!$A$3:$I$56,6,FALSE)&gt;=VLOOKUP(57,main!$A$57:$I$59,4,FALSE)+VLOOKUP(VLOOKUP(AL$1,main!$A$3:$I$56,7,FALSE),main!$K$10:$Q$14,5,FALSE),1,0)</f>
        <v>0</v>
      </c>
      <c r="AM158">
        <f>IF(VLOOKUP(AM$1,main!$A$3:$I$56,5,FALSE)-VLOOKUP($A158,main!$A$3:$I$56,6,FALSE)&gt;=VLOOKUP(57,main!$A$57:$I$59,4,FALSE)+VLOOKUP(VLOOKUP(AM$1,main!$A$3:$I$56,7,FALSE),main!$K$10:$Q$14,5,FALSE),1,0)</f>
        <v>0</v>
      </c>
      <c r="AN158">
        <f>IF(VLOOKUP(AN$1,main!$A$3:$I$56,5,FALSE)-VLOOKUP($A158,main!$A$3:$I$56,6,FALSE)&gt;=VLOOKUP(57,main!$A$57:$I$59,4,FALSE)+VLOOKUP(VLOOKUP(AN$1,main!$A$3:$I$56,7,FALSE),main!$K$10:$Q$14,5,FALSE),1,0)</f>
        <v>0</v>
      </c>
      <c r="AO158">
        <f>IF(VLOOKUP(AO$1,main!$A$3:$I$56,5,FALSE)-VLOOKUP($A158,main!$A$3:$I$56,6,FALSE)&gt;=VLOOKUP(57,main!$A$57:$I$59,4,FALSE)+VLOOKUP(VLOOKUP(AO$1,main!$A$3:$I$56,7,FALSE),main!$K$10:$Q$14,5,FALSE),1,0)</f>
        <v>0</v>
      </c>
      <c r="AP158">
        <f>IF(VLOOKUP(AP$1,main!$A$3:$I$56,5,FALSE)-VLOOKUP($A158,main!$A$3:$I$56,6,FALSE)&gt;=VLOOKUP(57,main!$A$57:$I$59,4,FALSE)+VLOOKUP(VLOOKUP(AP$1,main!$A$3:$I$56,7,FALSE),main!$K$10:$Q$14,5,FALSE),1,0)</f>
        <v>0</v>
      </c>
      <c r="AQ158">
        <f>IF(VLOOKUP(AQ$1,main!$A$3:$I$56,5,FALSE)-VLOOKUP($A158,main!$A$3:$I$56,6,FALSE)&gt;=VLOOKUP(57,main!$A$57:$I$59,4,FALSE)+VLOOKUP(VLOOKUP(AQ$1,main!$A$3:$I$56,7,FALSE),main!$K$10:$Q$14,5,FALSE),1,0)</f>
        <v>0</v>
      </c>
      <c r="AR158">
        <f>IF(VLOOKUP(AR$1,main!$A$3:$I$56,5,FALSE)-VLOOKUP($A158,main!$A$3:$I$56,6,FALSE)&gt;=VLOOKUP(57,main!$A$57:$I$59,4,FALSE)+VLOOKUP(VLOOKUP(AR$1,main!$A$3:$I$56,7,FALSE),main!$K$10:$Q$14,5,FALSE),1,0)</f>
        <v>0</v>
      </c>
      <c r="AS158">
        <f>IF(VLOOKUP(AS$1,main!$A$3:$I$56,5,FALSE)-VLOOKUP($A158,main!$A$3:$I$56,6,FALSE)&gt;=VLOOKUP(57,main!$A$57:$I$59,4,FALSE)+VLOOKUP(VLOOKUP(AS$1,main!$A$3:$I$56,7,FALSE),main!$K$10:$Q$14,5,FALSE),1,0)</f>
        <v>0</v>
      </c>
      <c r="AT158">
        <f>IF(VLOOKUP(AT$1,main!$A$3:$I$56,5,FALSE)-VLOOKUP($A158,main!$A$3:$I$56,6,FALSE)&gt;=VLOOKUP(57,main!$A$57:$I$59,4,FALSE)+VLOOKUP(VLOOKUP(AT$1,main!$A$3:$I$56,7,FALSE),main!$K$10:$Q$14,5,FALSE),1,0)</f>
        <v>0</v>
      </c>
      <c r="AU158">
        <f>IF(VLOOKUP(AU$1,main!$A$3:$I$56,5,FALSE)-VLOOKUP($A158,main!$A$3:$I$56,6,FALSE)&gt;=VLOOKUP(57,main!$A$57:$I$59,4,FALSE)+VLOOKUP(VLOOKUP(AU$1,main!$A$3:$I$56,7,FALSE),main!$K$10:$Q$14,5,FALSE),1,0)</f>
        <v>0</v>
      </c>
      <c r="AV158">
        <f>IF(VLOOKUP(AV$1,main!$A$3:$I$56,5,FALSE)-VLOOKUP($A158,main!$A$3:$I$56,6,FALSE)&gt;=VLOOKUP(57,main!$A$57:$I$59,4,FALSE)+VLOOKUP(VLOOKUP(AV$1,main!$A$3:$I$56,7,FALSE),main!$K$10:$Q$14,5,FALSE),1,0)</f>
        <v>0</v>
      </c>
      <c r="AW158">
        <f>IF(VLOOKUP(AW$1,main!$A$3:$I$56,5,FALSE)-VLOOKUP($A158,main!$A$3:$I$56,6,FALSE)&gt;=VLOOKUP(57,main!$A$57:$I$59,4,FALSE)+VLOOKUP(VLOOKUP(AW$1,main!$A$3:$I$56,7,FALSE),main!$K$10:$Q$14,5,FALSE),1,0)</f>
        <v>0</v>
      </c>
      <c r="AX158">
        <f>IF(VLOOKUP(AX$1,main!$A$3:$I$56,5,FALSE)-VLOOKUP($A158,main!$A$3:$I$56,6,FALSE)&gt;=VLOOKUP(57,main!$A$57:$I$59,4,FALSE)+VLOOKUP(VLOOKUP(AX$1,main!$A$3:$I$56,7,FALSE),main!$K$10:$Q$14,5,FALSE),1,0)</f>
        <v>0</v>
      </c>
      <c r="AY158">
        <f>IF(VLOOKUP(AY$1,main!$A$3:$I$56,5,FALSE)-VLOOKUP($A158,main!$A$3:$I$56,6,FALSE)&gt;=VLOOKUP(57,main!$A$57:$I$59,4,FALSE)+VLOOKUP(VLOOKUP(AY$1,main!$A$3:$I$56,7,FALSE),main!$K$10:$Q$14,5,FALSE),1,0)</f>
        <v>1</v>
      </c>
      <c r="AZ158">
        <f>IF(VLOOKUP(AZ$1,main!$A$3:$I$56,5,FALSE)-VLOOKUP($A158,main!$A$3:$I$56,6,FALSE)&gt;=VLOOKUP(57,main!$A$57:$I$59,4,FALSE)+VLOOKUP(VLOOKUP(AZ$1,main!$A$3:$I$56,7,FALSE),main!$K$10:$Q$14,5,FALSE),1,0)</f>
        <v>0</v>
      </c>
      <c r="BA158">
        <f>IF(VLOOKUP(BA$1,main!$A$3:$I$56,5,FALSE)-VLOOKUP($A158,main!$A$3:$I$56,6,FALSE)&gt;=VLOOKUP(57,main!$A$57:$I$59,4,FALSE)+VLOOKUP(VLOOKUP(BA$1,main!$A$3:$I$56,7,FALSE),main!$K$10:$Q$14,5,FALSE),1,0)</f>
        <v>0</v>
      </c>
      <c r="BB158">
        <f>IF(VLOOKUP(BB$1,main!$A$3:$I$56,5,FALSE)-VLOOKUP($A158,main!$A$3:$I$56,6,FALSE)&gt;=VLOOKUP(57,main!$A$57:$I$59,4,FALSE)+VLOOKUP(VLOOKUP(BB$1,main!$A$3:$I$56,7,FALSE),main!$K$10:$Q$14,5,FALSE),1,0)</f>
        <v>0</v>
      </c>
      <c r="BC158">
        <f>IF(VLOOKUP(BC$1,main!$A$3:$I$56,5,FALSE)-VLOOKUP($A158,main!$A$3:$I$56,6,FALSE)&gt;=VLOOKUP(57,main!$A$57:$I$59,4,FALSE)+VLOOKUP(VLOOKUP(BC$1,main!$A$3:$I$56,7,FALSE),main!$K$10:$Q$14,5,FALSE),1,0)</f>
        <v>0</v>
      </c>
      <c r="BD158">
        <f>IF(VLOOKUP(BD$1,main!$A$3:$I$56,5,FALSE)-VLOOKUP($A158,main!$A$3:$I$56,6,FALSE)&gt;=VLOOKUP(57,main!$A$57:$I$59,4,FALSE)+VLOOKUP(VLOOKUP(BD$1,main!$A$3:$I$56,7,FALSE),main!$K$10:$Q$14,5,FALSE),1,0)</f>
        <v>0</v>
      </c>
    </row>
    <row r="159" spans="1:56" x14ac:dyDescent="0.25">
      <c r="A159">
        <f t="shared" si="2"/>
        <v>47</v>
      </c>
      <c r="B159">
        <v>0</v>
      </c>
      <c r="C159">
        <f>IF(VLOOKUP(C$1,main!$A$3:$I$56,5,FALSE)-VLOOKUP($A159,main!$A$3:$I$56,6,FALSE)&gt;=VLOOKUP(57,main!$A$57:$I$59,4,FALSE)+VLOOKUP(VLOOKUP(C$1,main!$A$3:$I$56,7,FALSE),main!$K$10:$Q$14,5,FALSE),1,0)</f>
        <v>0</v>
      </c>
      <c r="D159">
        <f>IF(VLOOKUP(D$1,main!$A$3:$I$56,5,FALSE)-VLOOKUP($A159,main!$A$3:$I$56,6,FALSE)&gt;=VLOOKUP(57,main!$A$57:$I$59,4,FALSE)+VLOOKUP(VLOOKUP(D$1,main!$A$3:$I$56,7,FALSE),main!$K$10:$Q$14,5,FALSE),1,0)</f>
        <v>0</v>
      </c>
      <c r="E159">
        <f>IF(VLOOKUP(E$1,main!$A$3:$I$56,5,FALSE)-VLOOKUP($A159,main!$A$3:$I$56,6,FALSE)&gt;=VLOOKUP(57,main!$A$57:$I$59,4,FALSE)+VLOOKUP(VLOOKUP(E$1,main!$A$3:$I$56,7,FALSE),main!$K$10:$Q$14,5,FALSE),1,0)</f>
        <v>0</v>
      </c>
      <c r="F159">
        <f>IF(VLOOKUP(F$1,main!$A$3:$I$56,5,FALSE)-VLOOKUP($A159,main!$A$3:$I$56,6,FALSE)&gt;=VLOOKUP(57,main!$A$57:$I$59,4,FALSE)+VLOOKUP(VLOOKUP(F$1,main!$A$3:$I$56,7,FALSE),main!$K$10:$Q$14,5,FALSE),1,0)</f>
        <v>0</v>
      </c>
      <c r="G159">
        <f>IF(VLOOKUP(G$1,main!$A$3:$I$56,5,FALSE)-VLOOKUP($A159,main!$A$3:$I$56,6,FALSE)&gt;=VLOOKUP(57,main!$A$57:$I$59,4,FALSE)+VLOOKUP(VLOOKUP(G$1,main!$A$3:$I$56,7,FALSE),main!$K$10:$Q$14,5,FALSE),1,0)</f>
        <v>0</v>
      </c>
      <c r="H159">
        <f>IF(VLOOKUP(H$1,main!$A$3:$I$56,5,FALSE)-VLOOKUP($A159,main!$A$3:$I$56,6,FALSE)&gt;=VLOOKUP(57,main!$A$57:$I$59,4,FALSE)+VLOOKUP(VLOOKUP(H$1,main!$A$3:$I$56,7,FALSE),main!$K$10:$Q$14,5,FALSE),1,0)</f>
        <v>0</v>
      </c>
      <c r="I159">
        <f>IF(VLOOKUP(I$1,main!$A$3:$I$56,5,FALSE)-VLOOKUP($A159,main!$A$3:$I$56,6,FALSE)&gt;=VLOOKUP(57,main!$A$57:$I$59,4,FALSE)+VLOOKUP(VLOOKUP(I$1,main!$A$3:$I$56,7,FALSE),main!$K$10:$Q$14,5,FALSE),1,0)</f>
        <v>0</v>
      </c>
      <c r="J159">
        <f>IF(VLOOKUP(J$1,main!$A$3:$I$56,5,FALSE)-VLOOKUP($A159,main!$A$3:$I$56,6,FALSE)&gt;=VLOOKUP(57,main!$A$57:$I$59,4,FALSE)+VLOOKUP(VLOOKUP(J$1,main!$A$3:$I$56,7,FALSE),main!$K$10:$Q$14,5,FALSE),1,0)</f>
        <v>1</v>
      </c>
      <c r="K159">
        <f>IF(VLOOKUP(K$1,main!$A$3:$I$56,5,FALSE)-VLOOKUP($A159,main!$A$3:$I$56,6,FALSE)&gt;=VLOOKUP(57,main!$A$57:$I$59,4,FALSE)+VLOOKUP(VLOOKUP(K$1,main!$A$3:$I$56,7,FALSE),main!$K$10:$Q$14,5,FALSE),1,0)</f>
        <v>0</v>
      </c>
      <c r="L159">
        <f>IF(VLOOKUP(L$1,main!$A$3:$I$56,5,FALSE)-VLOOKUP($A159,main!$A$3:$I$56,6,FALSE)&gt;=VLOOKUP(57,main!$A$57:$I$59,4,FALSE)+VLOOKUP(VLOOKUP(L$1,main!$A$3:$I$56,7,FALSE),main!$K$10:$Q$14,5,FALSE),1,0)</f>
        <v>0</v>
      </c>
      <c r="M159">
        <f>IF(VLOOKUP(M$1,main!$A$3:$I$56,5,FALSE)-VLOOKUP($A159,main!$A$3:$I$56,6,FALSE)&gt;=VLOOKUP(57,main!$A$57:$I$59,4,FALSE)+VLOOKUP(VLOOKUP(M$1,main!$A$3:$I$56,7,FALSE),main!$K$10:$Q$14,5,FALSE),1,0)</f>
        <v>0</v>
      </c>
      <c r="N159">
        <f>IF(VLOOKUP(N$1,main!$A$3:$I$56,5,FALSE)-VLOOKUP($A159,main!$A$3:$I$56,6,FALSE)&gt;=VLOOKUP(57,main!$A$57:$I$59,4,FALSE)+VLOOKUP(VLOOKUP(N$1,main!$A$3:$I$56,7,FALSE),main!$K$10:$Q$14,5,FALSE),1,0)</f>
        <v>1</v>
      </c>
      <c r="O159">
        <f>IF(VLOOKUP(O$1,main!$A$3:$I$56,5,FALSE)-VLOOKUP($A159,main!$A$3:$I$56,6,FALSE)&gt;=VLOOKUP(57,main!$A$57:$I$59,4,FALSE)+VLOOKUP(VLOOKUP(O$1,main!$A$3:$I$56,7,FALSE),main!$K$10:$Q$14,5,FALSE),1,0)</f>
        <v>1</v>
      </c>
      <c r="P159">
        <f>IF(VLOOKUP(P$1,main!$A$3:$I$56,5,FALSE)-VLOOKUP($A159,main!$A$3:$I$56,6,FALSE)&gt;=VLOOKUP(57,main!$A$57:$I$59,4,FALSE)+VLOOKUP(VLOOKUP(P$1,main!$A$3:$I$56,7,FALSE),main!$K$10:$Q$14,5,FALSE),1,0)</f>
        <v>0</v>
      </c>
      <c r="Q159">
        <f>IF(VLOOKUP(Q$1,main!$A$3:$I$56,5,FALSE)-VLOOKUP($A159,main!$A$3:$I$56,6,FALSE)&gt;=VLOOKUP(57,main!$A$57:$I$59,4,FALSE)+VLOOKUP(VLOOKUP(Q$1,main!$A$3:$I$56,7,FALSE),main!$K$10:$Q$14,5,FALSE),1,0)</f>
        <v>0</v>
      </c>
      <c r="R159">
        <f>IF(VLOOKUP(R$1,main!$A$3:$I$56,5,FALSE)-VLOOKUP($A159,main!$A$3:$I$56,6,FALSE)&gt;=VLOOKUP(57,main!$A$57:$I$59,4,FALSE)+VLOOKUP(VLOOKUP(R$1,main!$A$3:$I$56,7,FALSE),main!$K$10:$Q$14,5,FALSE),1,0)</f>
        <v>0</v>
      </c>
      <c r="S159">
        <f>IF(VLOOKUP(S$1,main!$A$3:$I$56,5,FALSE)-VLOOKUP($A159,main!$A$3:$I$56,6,FALSE)&gt;=VLOOKUP(57,main!$A$57:$I$59,4,FALSE)+VLOOKUP(VLOOKUP(S$1,main!$A$3:$I$56,7,FALSE),main!$K$10:$Q$14,5,FALSE),1,0)</f>
        <v>0</v>
      </c>
      <c r="T159">
        <f>IF(VLOOKUP(T$1,main!$A$3:$I$56,5,FALSE)-VLOOKUP($A159,main!$A$3:$I$56,6,FALSE)&gt;=VLOOKUP(57,main!$A$57:$I$59,4,FALSE)+VLOOKUP(VLOOKUP(T$1,main!$A$3:$I$56,7,FALSE),main!$K$10:$Q$14,5,FALSE),1,0)</f>
        <v>0</v>
      </c>
      <c r="U159">
        <f>IF(VLOOKUP(U$1,main!$A$3:$I$56,5,FALSE)-VLOOKUP($A159,main!$A$3:$I$56,6,FALSE)&gt;=VLOOKUP(57,main!$A$57:$I$59,4,FALSE)+VLOOKUP(VLOOKUP(U$1,main!$A$3:$I$56,7,FALSE),main!$K$10:$Q$14,5,FALSE),1,0)</f>
        <v>0</v>
      </c>
      <c r="V159">
        <f>IF(VLOOKUP(V$1,main!$A$3:$I$56,5,FALSE)-VLOOKUP($A159,main!$A$3:$I$56,6,FALSE)&gt;=VLOOKUP(57,main!$A$57:$I$59,4,FALSE)+VLOOKUP(VLOOKUP(V$1,main!$A$3:$I$56,7,FALSE),main!$K$10:$Q$14,5,FALSE),1,0)</f>
        <v>0</v>
      </c>
      <c r="W159">
        <f>IF(VLOOKUP(W$1,main!$A$3:$I$56,5,FALSE)-VLOOKUP($A159,main!$A$3:$I$56,6,FALSE)&gt;=VLOOKUP(57,main!$A$57:$I$59,4,FALSE)+VLOOKUP(VLOOKUP(W$1,main!$A$3:$I$56,7,FALSE),main!$K$10:$Q$14,5,FALSE),1,0)</f>
        <v>0</v>
      </c>
      <c r="X159">
        <f>IF(VLOOKUP(X$1,main!$A$3:$I$56,5,FALSE)-VLOOKUP($A159,main!$A$3:$I$56,6,FALSE)&gt;=VLOOKUP(57,main!$A$57:$I$59,4,FALSE)+VLOOKUP(VLOOKUP(X$1,main!$A$3:$I$56,7,FALSE),main!$K$10:$Q$14,5,FALSE),1,0)</f>
        <v>0</v>
      </c>
      <c r="Y159">
        <f>IF(VLOOKUP(Y$1,main!$A$3:$I$56,5,FALSE)-VLOOKUP($A159,main!$A$3:$I$56,6,FALSE)&gt;=VLOOKUP(57,main!$A$57:$I$59,4,FALSE)+VLOOKUP(VLOOKUP(Y$1,main!$A$3:$I$56,7,FALSE),main!$K$10:$Q$14,5,FALSE),1,0)</f>
        <v>0</v>
      </c>
      <c r="Z159">
        <f>IF(VLOOKUP(Z$1,main!$A$3:$I$56,5,FALSE)-VLOOKUP($A159,main!$A$3:$I$56,6,FALSE)&gt;=VLOOKUP(57,main!$A$57:$I$59,4,FALSE)+VLOOKUP(VLOOKUP(Z$1,main!$A$3:$I$56,7,FALSE),main!$K$10:$Q$14,5,FALSE),1,0)</f>
        <v>0</v>
      </c>
      <c r="AA159">
        <f>IF(VLOOKUP(AA$1,main!$A$3:$I$56,5,FALSE)-VLOOKUP($A159,main!$A$3:$I$56,6,FALSE)&gt;=VLOOKUP(57,main!$A$57:$I$59,4,FALSE)+VLOOKUP(VLOOKUP(AA$1,main!$A$3:$I$56,7,FALSE),main!$K$10:$Q$14,5,FALSE),1,0)</f>
        <v>1</v>
      </c>
      <c r="AB159">
        <f>IF(VLOOKUP(AB$1,main!$A$3:$I$56,5,FALSE)-VLOOKUP($A159,main!$A$3:$I$56,6,FALSE)&gt;=VLOOKUP(57,main!$A$57:$I$59,4,FALSE)+VLOOKUP(VLOOKUP(AB$1,main!$A$3:$I$56,7,FALSE),main!$K$10:$Q$14,5,FALSE),1,0)</f>
        <v>1</v>
      </c>
      <c r="AC159">
        <f>IF(VLOOKUP(AC$1,main!$A$3:$I$56,5,FALSE)-VLOOKUP($A159,main!$A$3:$I$56,6,FALSE)&gt;=VLOOKUP(57,main!$A$57:$I$59,4,FALSE)+VLOOKUP(VLOOKUP(AC$1,main!$A$3:$I$56,7,FALSE),main!$K$10:$Q$14,5,FALSE),1,0)</f>
        <v>0</v>
      </c>
      <c r="AD159">
        <f>IF(VLOOKUP(AD$1,main!$A$3:$I$56,5,FALSE)-VLOOKUP($A159,main!$A$3:$I$56,6,FALSE)&gt;=VLOOKUP(57,main!$A$57:$I$59,4,FALSE)+VLOOKUP(VLOOKUP(AD$1,main!$A$3:$I$56,7,FALSE),main!$K$10:$Q$14,5,FALSE),1,0)</f>
        <v>0</v>
      </c>
      <c r="AE159">
        <f>IF(VLOOKUP(AE$1,main!$A$3:$I$56,5,FALSE)-VLOOKUP($A159,main!$A$3:$I$56,6,FALSE)&gt;=VLOOKUP(57,main!$A$57:$I$59,4,FALSE)+VLOOKUP(VLOOKUP(AE$1,main!$A$3:$I$56,7,FALSE),main!$K$10:$Q$14,5,FALSE),1,0)</f>
        <v>0</v>
      </c>
      <c r="AF159">
        <f>IF(VLOOKUP(AF$1,main!$A$3:$I$56,5,FALSE)-VLOOKUP($A159,main!$A$3:$I$56,6,FALSE)&gt;=VLOOKUP(57,main!$A$57:$I$59,4,FALSE)+VLOOKUP(VLOOKUP(AF$1,main!$A$3:$I$56,7,FALSE),main!$K$10:$Q$14,5,FALSE),1,0)</f>
        <v>0</v>
      </c>
      <c r="AG159">
        <f>IF(VLOOKUP(AG$1,main!$A$3:$I$56,5,FALSE)-VLOOKUP($A159,main!$A$3:$I$56,6,FALSE)&gt;=VLOOKUP(57,main!$A$57:$I$59,4,FALSE)+VLOOKUP(VLOOKUP(AG$1,main!$A$3:$I$56,7,FALSE),main!$K$10:$Q$14,5,FALSE),1,0)</f>
        <v>0</v>
      </c>
      <c r="AH159">
        <f>IF(VLOOKUP(AH$1,main!$A$3:$I$56,5,FALSE)-VLOOKUP($A159,main!$A$3:$I$56,6,FALSE)&gt;=VLOOKUP(57,main!$A$57:$I$59,4,FALSE)+VLOOKUP(VLOOKUP(AH$1,main!$A$3:$I$56,7,FALSE),main!$K$10:$Q$14,5,FALSE),1,0)</f>
        <v>0</v>
      </c>
      <c r="AI159">
        <f>IF(VLOOKUP(AI$1,main!$A$3:$I$56,5,FALSE)-VLOOKUP($A159,main!$A$3:$I$56,6,FALSE)&gt;=VLOOKUP(57,main!$A$57:$I$59,4,FALSE)+VLOOKUP(VLOOKUP(AI$1,main!$A$3:$I$56,7,FALSE),main!$K$10:$Q$14,5,FALSE),1,0)</f>
        <v>0</v>
      </c>
      <c r="AJ159">
        <f>IF(VLOOKUP(AJ$1,main!$A$3:$I$56,5,FALSE)-VLOOKUP($A159,main!$A$3:$I$56,6,FALSE)&gt;=VLOOKUP(57,main!$A$57:$I$59,4,FALSE)+VLOOKUP(VLOOKUP(AJ$1,main!$A$3:$I$56,7,FALSE),main!$K$10:$Q$14,5,FALSE),1,0)</f>
        <v>0</v>
      </c>
      <c r="AK159">
        <f>IF(VLOOKUP(AK$1,main!$A$3:$I$56,5,FALSE)-VLOOKUP($A159,main!$A$3:$I$56,6,FALSE)&gt;=VLOOKUP(57,main!$A$57:$I$59,4,FALSE)+VLOOKUP(VLOOKUP(AK$1,main!$A$3:$I$56,7,FALSE),main!$K$10:$Q$14,5,FALSE),1,0)</f>
        <v>0</v>
      </c>
      <c r="AL159">
        <f>IF(VLOOKUP(AL$1,main!$A$3:$I$56,5,FALSE)-VLOOKUP($A159,main!$A$3:$I$56,6,FALSE)&gt;=VLOOKUP(57,main!$A$57:$I$59,4,FALSE)+VLOOKUP(VLOOKUP(AL$1,main!$A$3:$I$56,7,FALSE),main!$K$10:$Q$14,5,FALSE),1,0)</f>
        <v>0</v>
      </c>
      <c r="AM159">
        <f>IF(VLOOKUP(AM$1,main!$A$3:$I$56,5,FALSE)-VLOOKUP($A159,main!$A$3:$I$56,6,FALSE)&gt;=VLOOKUP(57,main!$A$57:$I$59,4,FALSE)+VLOOKUP(VLOOKUP(AM$1,main!$A$3:$I$56,7,FALSE),main!$K$10:$Q$14,5,FALSE),1,0)</f>
        <v>0</v>
      </c>
      <c r="AN159">
        <f>IF(VLOOKUP(AN$1,main!$A$3:$I$56,5,FALSE)-VLOOKUP($A159,main!$A$3:$I$56,6,FALSE)&gt;=VLOOKUP(57,main!$A$57:$I$59,4,FALSE)+VLOOKUP(VLOOKUP(AN$1,main!$A$3:$I$56,7,FALSE),main!$K$10:$Q$14,5,FALSE),1,0)</f>
        <v>0</v>
      </c>
      <c r="AO159">
        <f>IF(VLOOKUP(AO$1,main!$A$3:$I$56,5,FALSE)-VLOOKUP($A159,main!$A$3:$I$56,6,FALSE)&gt;=VLOOKUP(57,main!$A$57:$I$59,4,FALSE)+VLOOKUP(VLOOKUP(AO$1,main!$A$3:$I$56,7,FALSE),main!$K$10:$Q$14,5,FALSE),1,0)</f>
        <v>0</v>
      </c>
      <c r="AP159">
        <f>IF(VLOOKUP(AP$1,main!$A$3:$I$56,5,FALSE)-VLOOKUP($A159,main!$A$3:$I$56,6,FALSE)&gt;=VLOOKUP(57,main!$A$57:$I$59,4,FALSE)+VLOOKUP(VLOOKUP(AP$1,main!$A$3:$I$56,7,FALSE),main!$K$10:$Q$14,5,FALSE),1,0)</f>
        <v>0</v>
      </c>
      <c r="AQ159">
        <f>IF(VLOOKUP(AQ$1,main!$A$3:$I$56,5,FALSE)-VLOOKUP($A159,main!$A$3:$I$56,6,FALSE)&gt;=VLOOKUP(57,main!$A$57:$I$59,4,FALSE)+VLOOKUP(VLOOKUP(AQ$1,main!$A$3:$I$56,7,FALSE),main!$K$10:$Q$14,5,FALSE),1,0)</f>
        <v>0</v>
      </c>
      <c r="AR159">
        <f>IF(VLOOKUP(AR$1,main!$A$3:$I$56,5,FALSE)-VLOOKUP($A159,main!$A$3:$I$56,6,FALSE)&gt;=VLOOKUP(57,main!$A$57:$I$59,4,FALSE)+VLOOKUP(VLOOKUP(AR$1,main!$A$3:$I$56,7,FALSE),main!$K$10:$Q$14,5,FALSE),1,0)</f>
        <v>0</v>
      </c>
      <c r="AS159">
        <f>IF(VLOOKUP(AS$1,main!$A$3:$I$56,5,FALSE)-VLOOKUP($A159,main!$A$3:$I$56,6,FALSE)&gt;=VLOOKUP(57,main!$A$57:$I$59,4,FALSE)+VLOOKUP(VLOOKUP(AS$1,main!$A$3:$I$56,7,FALSE),main!$K$10:$Q$14,5,FALSE),1,0)</f>
        <v>0</v>
      </c>
      <c r="AT159">
        <f>IF(VLOOKUP(AT$1,main!$A$3:$I$56,5,FALSE)-VLOOKUP($A159,main!$A$3:$I$56,6,FALSE)&gt;=VLOOKUP(57,main!$A$57:$I$59,4,FALSE)+VLOOKUP(VLOOKUP(AT$1,main!$A$3:$I$56,7,FALSE),main!$K$10:$Q$14,5,FALSE),1,0)</f>
        <v>0</v>
      </c>
      <c r="AU159">
        <f>IF(VLOOKUP(AU$1,main!$A$3:$I$56,5,FALSE)-VLOOKUP($A159,main!$A$3:$I$56,6,FALSE)&gt;=VLOOKUP(57,main!$A$57:$I$59,4,FALSE)+VLOOKUP(VLOOKUP(AU$1,main!$A$3:$I$56,7,FALSE),main!$K$10:$Q$14,5,FALSE),1,0)</f>
        <v>0</v>
      </c>
      <c r="AV159">
        <f>IF(VLOOKUP(AV$1,main!$A$3:$I$56,5,FALSE)-VLOOKUP($A159,main!$A$3:$I$56,6,FALSE)&gt;=VLOOKUP(57,main!$A$57:$I$59,4,FALSE)+VLOOKUP(VLOOKUP(AV$1,main!$A$3:$I$56,7,FALSE),main!$K$10:$Q$14,5,FALSE),1,0)</f>
        <v>0</v>
      </c>
      <c r="AW159">
        <f>IF(VLOOKUP(AW$1,main!$A$3:$I$56,5,FALSE)-VLOOKUP($A159,main!$A$3:$I$56,6,FALSE)&gt;=VLOOKUP(57,main!$A$57:$I$59,4,FALSE)+VLOOKUP(VLOOKUP(AW$1,main!$A$3:$I$56,7,FALSE),main!$K$10:$Q$14,5,FALSE),1,0)</f>
        <v>0</v>
      </c>
      <c r="AX159">
        <f>IF(VLOOKUP(AX$1,main!$A$3:$I$56,5,FALSE)-VLOOKUP($A159,main!$A$3:$I$56,6,FALSE)&gt;=VLOOKUP(57,main!$A$57:$I$59,4,FALSE)+VLOOKUP(VLOOKUP(AX$1,main!$A$3:$I$56,7,FALSE),main!$K$10:$Q$14,5,FALSE),1,0)</f>
        <v>0</v>
      </c>
      <c r="AY159">
        <f>IF(VLOOKUP(AY$1,main!$A$3:$I$56,5,FALSE)-VLOOKUP($A159,main!$A$3:$I$56,6,FALSE)&gt;=VLOOKUP(57,main!$A$57:$I$59,4,FALSE)+VLOOKUP(VLOOKUP(AY$1,main!$A$3:$I$56,7,FALSE),main!$K$10:$Q$14,5,FALSE),1,0)</f>
        <v>1</v>
      </c>
      <c r="AZ159">
        <f>IF(VLOOKUP(AZ$1,main!$A$3:$I$56,5,FALSE)-VLOOKUP($A159,main!$A$3:$I$56,6,FALSE)&gt;=VLOOKUP(57,main!$A$57:$I$59,4,FALSE)+VLOOKUP(VLOOKUP(AZ$1,main!$A$3:$I$56,7,FALSE),main!$K$10:$Q$14,5,FALSE),1,0)</f>
        <v>0</v>
      </c>
      <c r="BA159">
        <f>IF(VLOOKUP(BA$1,main!$A$3:$I$56,5,FALSE)-VLOOKUP($A159,main!$A$3:$I$56,6,FALSE)&gt;=VLOOKUP(57,main!$A$57:$I$59,4,FALSE)+VLOOKUP(VLOOKUP(BA$1,main!$A$3:$I$56,7,FALSE),main!$K$10:$Q$14,5,FALSE),1,0)</f>
        <v>0</v>
      </c>
      <c r="BB159">
        <f>IF(VLOOKUP(BB$1,main!$A$3:$I$56,5,FALSE)-VLOOKUP($A159,main!$A$3:$I$56,6,FALSE)&gt;=VLOOKUP(57,main!$A$57:$I$59,4,FALSE)+VLOOKUP(VLOOKUP(BB$1,main!$A$3:$I$56,7,FALSE),main!$K$10:$Q$14,5,FALSE),1,0)</f>
        <v>0</v>
      </c>
      <c r="BC159">
        <f>IF(VLOOKUP(BC$1,main!$A$3:$I$56,5,FALSE)-VLOOKUP($A159,main!$A$3:$I$56,6,FALSE)&gt;=VLOOKUP(57,main!$A$57:$I$59,4,FALSE)+VLOOKUP(VLOOKUP(BC$1,main!$A$3:$I$56,7,FALSE),main!$K$10:$Q$14,5,FALSE),1,0)</f>
        <v>0</v>
      </c>
      <c r="BD159">
        <f>IF(VLOOKUP(BD$1,main!$A$3:$I$56,5,FALSE)-VLOOKUP($A159,main!$A$3:$I$56,6,FALSE)&gt;=VLOOKUP(57,main!$A$57:$I$59,4,FALSE)+VLOOKUP(VLOOKUP(BD$1,main!$A$3:$I$56,7,FALSE),main!$K$10:$Q$14,5,FALSE),1,0)</f>
        <v>0</v>
      </c>
    </row>
    <row r="160" spans="1:56" x14ac:dyDescent="0.25">
      <c r="A160">
        <f t="shared" si="2"/>
        <v>48</v>
      </c>
      <c r="B160">
        <v>0</v>
      </c>
      <c r="C160">
        <f>IF(VLOOKUP(C$1,main!$A$3:$I$56,5,FALSE)-VLOOKUP($A160,main!$A$3:$I$56,6,FALSE)&gt;=VLOOKUP(57,main!$A$57:$I$59,4,FALSE)+VLOOKUP(VLOOKUP(C$1,main!$A$3:$I$56,7,FALSE),main!$K$10:$Q$14,5,FALSE),1,0)</f>
        <v>0</v>
      </c>
      <c r="D160">
        <f>IF(VLOOKUP(D$1,main!$A$3:$I$56,5,FALSE)-VLOOKUP($A160,main!$A$3:$I$56,6,FALSE)&gt;=VLOOKUP(57,main!$A$57:$I$59,4,FALSE)+VLOOKUP(VLOOKUP(D$1,main!$A$3:$I$56,7,FALSE),main!$K$10:$Q$14,5,FALSE),1,0)</f>
        <v>0</v>
      </c>
      <c r="E160">
        <f>IF(VLOOKUP(E$1,main!$A$3:$I$56,5,FALSE)-VLOOKUP($A160,main!$A$3:$I$56,6,FALSE)&gt;=VLOOKUP(57,main!$A$57:$I$59,4,FALSE)+VLOOKUP(VLOOKUP(E$1,main!$A$3:$I$56,7,FALSE),main!$K$10:$Q$14,5,FALSE),1,0)</f>
        <v>0</v>
      </c>
      <c r="F160">
        <f>IF(VLOOKUP(F$1,main!$A$3:$I$56,5,FALSE)-VLOOKUP($A160,main!$A$3:$I$56,6,FALSE)&gt;=VLOOKUP(57,main!$A$57:$I$59,4,FALSE)+VLOOKUP(VLOOKUP(F$1,main!$A$3:$I$56,7,FALSE),main!$K$10:$Q$14,5,FALSE),1,0)</f>
        <v>0</v>
      </c>
      <c r="G160">
        <f>IF(VLOOKUP(G$1,main!$A$3:$I$56,5,FALSE)-VLOOKUP($A160,main!$A$3:$I$56,6,FALSE)&gt;=VLOOKUP(57,main!$A$57:$I$59,4,FALSE)+VLOOKUP(VLOOKUP(G$1,main!$A$3:$I$56,7,FALSE),main!$K$10:$Q$14,5,FALSE),1,0)</f>
        <v>0</v>
      </c>
      <c r="H160">
        <f>IF(VLOOKUP(H$1,main!$A$3:$I$56,5,FALSE)-VLOOKUP($A160,main!$A$3:$I$56,6,FALSE)&gt;=VLOOKUP(57,main!$A$57:$I$59,4,FALSE)+VLOOKUP(VLOOKUP(H$1,main!$A$3:$I$56,7,FALSE),main!$K$10:$Q$14,5,FALSE),1,0)</f>
        <v>0</v>
      </c>
      <c r="I160">
        <f>IF(VLOOKUP(I$1,main!$A$3:$I$56,5,FALSE)-VLOOKUP($A160,main!$A$3:$I$56,6,FALSE)&gt;=VLOOKUP(57,main!$A$57:$I$59,4,FALSE)+VLOOKUP(VLOOKUP(I$1,main!$A$3:$I$56,7,FALSE),main!$K$10:$Q$14,5,FALSE),1,0)</f>
        <v>0</v>
      </c>
      <c r="J160">
        <f>IF(VLOOKUP(J$1,main!$A$3:$I$56,5,FALSE)-VLOOKUP($A160,main!$A$3:$I$56,6,FALSE)&gt;=VLOOKUP(57,main!$A$57:$I$59,4,FALSE)+VLOOKUP(VLOOKUP(J$1,main!$A$3:$I$56,7,FALSE),main!$K$10:$Q$14,5,FALSE),1,0)</f>
        <v>0</v>
      </c>
      <c r="K160">
        <f>IF(VLOOKUP(K$1,main!$A$3:$I$56,5,FALSE)-VLOOKUP($A160,main!$A$3:$I$56,6,FALSE)&gt;=VLOOKUP(57,main!$A$57:$I$59,4,FALSE)+VLOOKUP(VLOOKUP(K$1,main!$A$3:$I$56,7,FALSE),main!$K$10:$Q$14,5,FALSE),1,0)</f>
        <v>0</v>
      </c>
      <c r="L160">
        <f>IF(VLOOKUP(L$1,main!$A$3:$I$56,5,FALSE)-VLOOKUP($A160,main!$A$3:$I$56,6,FALSE)&gt;=VLOOKUP(57,main!$A$57:$I$59,4,FALSE)+VLOOKUP(VLOOKUP(L$1,main!$A$3:$I$56,7,FALSE),main!$K$10:$Q$14,5,FALSE),1,0)</f>
        <v>0</v>
      </c>
      <c r="M160">
        <f>IF(VLOOKUP(M$1,main!$A$3:$I$56,5,FALSE)-VLOOKUP($A160,main!$A$3:$I$56,6,FALSE)&gt;=VLOOKUP(57,main!$A$57:$I$59,4,FALSE)+VLOOKUP(VLOOKUP(M$1,main!$A$3:$I$56,7,FALSE),main!$K$10:$Q$14,5,FALSE),1,0)</f>
        <v>0</v>
      </c>
      <c r="N160">
        <f>IF(VLOOKUP(N$1,main!$A$3:$I$56,5,FALSE)-VLOOKUP($A160,main!$A$3:$I$56,6,FALSE)&gt;=VLOOKUP(57,main!$A$57:$I$59,4,FALSE)+VLOOKUP(VLOOKUP(N$1,main!$A$3:$I$56,7,FALSE),main!$K$10:$Q$14,5,FALSE),1,0)</f>
        <v>0</v>
      </c>
      <c r="O160">
        <f>IF(VLOOKUP(O$1,main!$A$3:$I$56,5,FALSE)-VLOOKUP($A160,main!$A$3:$I$56,6,FALSE)&gt;=VLOOKUP(57,main!$A$57:$I$59,4,FALSE)+VLOOKUP(VLOOKUP(O$1,main!$A$3:$I$56,7,FALSE),main!$K$10:$Q$14,5,FALSE),1,0)</f>
        <v>0</v>
      </c>
      <c r="P160">
        <f>IF(VLOOKUP(P$1,main!$A$3:$I$56,5,FALSE)-VLOOKUP($A160,main!$A$3:$I$56,6,FALSE)&gt;=VLOOKUP(57,main!$A$57:$I$59,4,FALSE)+VLOOKUP(VLOOKUP(P$1,main!$A$3:$I$56,7,FALSE),main!$K$10:$Q$14,5,FALSE),1,0)</f>
        <v>0</v>
      </c>
      <c r="Q160">
        <f>IF(VLOOKUP(Q$1,main!$A$3:$I$56,5,FALSE)-VLOOKUP($A160,main!$A$3:$I$56,6,FALSE)&gt;=VLOOKUP(57,main!$A$57:$I$59,4,FALSE)+VLOOKUP(VLOOKUP(Q$1,main!$A$3:$I$56,7,FALSE),main!$K$10:$Q$14,5,FALSE),1,0)</f>
        <v>0</v>
      </c>
      <c r="R160">
        <f>IF(VLOOKUP(R$1,main!$A$3:$I$56,5,FALSE)-VLOOKUP($A160,main!$A$3:$I$56,6,FALSE)&gt;=VLOOKUP(57,main!$A$57:$I$59,4,FALSE)+VLOOKUP(VLOOKUP(R$1,main!$A$3:$I$56,7,FALSE),main!$K$10:$Q$14,5,FALSE),1,0)</f>
        <v>0</v>
      </c>
      <c r="S160">
        <f>IF(VLOOKUP(S$1,main!$A$3:$I$56,5,FALSE)-VLOOKUP($A160,main!$A$3:$I$56,6,FALSE)&gt;=VLOOKUP(57,main!$A$57:$I$59,4,FALSE)+VLOOKUP(VLOOKUP(S$1,main!$A$3:$I$56,7,FALSE),main!$K$10:$Q$14,5,FALSE),1,0)</f>
        <v>0</v>
      </c>
      <c r="T160">
        <f>IF(VLOOKUP(T$1,main!$A$3:$I$56,5,FALSE)-VLOOKUP($A160,main!$A$3:$I$56,6,FALSE)&gt;=VLOOKUP(57,main!$A$57:$I$59,4,FALSE)+VLOOKUP(VLOOKUP(T$1,main!$A$3:$I$56,7,FALSE),main!$K$10:$Q$14,5,FALSE),1,0)</f>
        <v>0</v>
      </c>
      <c r="U160">
        <f>IF(VLOOKUP(U$1,main!$A$3:$I$56,5,FALSE)-VLOOKUP($A160,main!$A$3:$I$56,6,FALSE)&gt;=VLOOKUP(57,main!$A$57:$I$59,4,FALSE)+VLOOKUP(VLOOKUP(U$1,main!$A$3:$I$56,7,FALSE),main!$K$10:$Q$14,5,FALSE),1,0)</f>
        <v>0</v>
      </c>
      <c r="V160">
        <f>IF(VLOOKUP(V$1,main!$A$3:$I$56,5,FALSE)-VLOOKUP($A160,main!$A$3:$I$56,6,FALSE)&gt;=VLOOKUP(57,main!$A$57:$I$59,4,FALSE)+VLOOKUP(VLOOKUP(V$1,main!$A$3:$I$56,7,FALSE),main!$K$10:$Q$14,5,FALSE),1,0)</f>
        <v>0</v>
      </c>
      <c r="W160">
        <f>IF(VLOOKUP(W$1,main!$A$3:$I$56,5,FALSE)-VLOOKUP($A160,main!$A$3:$I$56,6,FALSE)&gt;=VLOOKUP(57,main!$A$57:$I$59,4,FALSE)+VLOOKUP(VLOOKUP(W$1,main!$A$3:$I$56,7,FALSE),main!$K$10:$Q$14,5,FALSE),1,0)</f>
        <v>0</v>
      </c>
      <c r="X160">
        <f>IF(VLOOKUP(X$1,main!$A$3:$I$56,5,FALSE)-VLOOKUP($A160,main!$A$3:$I$56,6,FALSE)&gt;=VLOOKUP(57,main!$A$57:$I$59,4,FALSE)+VLOOKUP(VLOOKUP(X$1,main!$A$3:$I$56,7,FALSE),main!$K$10:$Q$14,5,FALSE),1,0)</f>
        <v>0</v>
      </c>
      <c r="Y160">
        <f>IF(VLOOKUP(Y$1,main!$A$3:$I$56,5,FALSE)-VLOOKUP($A160,main!$A$3:$I$56,6,FALSE)&gt;=VLOOKUP(57,main!$A$57:$I$59,4,FALSE)+VLOOKUP(VLOOKUP(Y$1,main!$A$3:$I$56,7,FALSE),main!$K$10:$Q$14,5,FALSE),1,0)</f>
        <v>0</v>
      </c>
      <c r="Z160">
        <f>IF(VLOOKUP(Z$1,main!$A$3:$I$56,5,FALSE)-VLOOKUP($A160,main!$A$3:$I$56,6,FALSE)&gt;=VLOOKUP(57,main!$A$57:$I$59,4,FALSE)+VLOOKUP(VLOOKUP(Z$1,main!$A$3:$I$56,7,FALSE),main!$K$10:$Q$14,5,FALSE),1,0)</f>
        <v>0</v>
      </c>
      <c r="AA160">
        <f>IF(VLOOKUP(AA$1,main!$A$3:$I$56,5,FALSE)-VLOOKUP($A160,main!$A$3:$I$56,6,FALSE)&gt;=VLOOKUP(57,main!$A$57:$I$59,4,FALSE)+VLOOKUP(VLOOKUP(AA$1,main!$A$3:$I$56,7,FALSE),main!$K$10:$Q$14,5,FALSE),1,0)</f>
        <v>0</v>
      </c>
      <c r="AB160">
        <f>IF(VLOOKUP(AB$1,main!$A$3:$I$56,5,FALSE)-VLOOKUP($A160,main!$A$3:$I$56,6,FALSE)&gt;=VLOOKUP(57,main!$A$57:$I$59,4,FALSE)+VLOOKUP(VLOOKUP(AB$1,main!$A$3:$I$56,7,FALSE),main!$K$10:$Q$14,5,FALSE),1,0)</f>
        <v>0</v>
      </c>
      <c r="AC160">
        <f>IF(VLOOKUP(AC$1,main!$A$3:$I$56,5,FALSE)-VLOOKUP($A160,main!$A$3:$I$56,6,FALSE)&gt;=VLOOKUP(57,main!$A$57:$I$59,4,FALSE)+VLOOKUP(VLOOKUP(AC$1,main!$A$3:$I$56,7,FALSE),main!$K$10:$Q$14,5,FALSE),1,0)</f>
        <v>0</v>
      </c>
      <c r="AD160">
        <f>IF(VLOOKUP(AD$1,main!$A$3:$I$56,5,FALSE)-VLOOKUP($A160,main!$A$3:$I$56,6,FALSE)&gt;=VLOOKUP(57,main!$A$57:$I$59,4,FALSE)+VLOOKUP(VLOOKUP(AD$1,main!$A$3:$I$56,7,FALSE),main!$K$10:$Q$14,5,FALSE),1,0)</f>
        <v>0</v>
      </c>
      <c r="AE160">
        <f>IF(VLOOKUP(AE$1,main!$A$3:$I$56,5,FALSE)-VLOOKUP($A160,main!$A$3:$I$56,6,FALSE)&gt;=VLOOKUP(57,main!$A$57:$I$59,4,FALSE)+VLOOKUP(VLOOKUP(AE$1,main!$A$3:$I$56,7,FALSE),main!$K$10:$Q$14,5,FALSE),1,0)</f>
        <v>0</v>
      </c>
      <c r="AF160">
        <f>IF(VLOOKUP(AF$1,main!$A$3:$I$56,5,FALSE)-VLOOKUP($A160,main!$A$3:$I$56,6,FALSE)&gt;=VLOOKUP(57,main!$A$57:$I$59,4,FALSE)+VLOOKUP(VLOOKUP(AF$1,main!$A$3:$I$56,7,FALSE),main!$K$10:$Q$14,5,FALSE),1,0)</f>
        <v>0</v>
      </c>
      <c r="AG160">
        <f>IF(VLOOKUP(AG$1,main!$A$3:$I$56,5,FALSE)-VLOOKUP($A160,main!$A$3:$I$56,6,FALSE)&gt;=VLOOKUP(57,main!$A$57:$I$59,4,FALSE)+VLOOKUP(VLOOKUP(AG$1,main!$A$3:$I$56,7,FALSE),main!$K$10:$Q$14,5,FALSE),1,0)</f>
        <v>0</v>
      </c>
      <c r="AH160">
        <f>IF(VLOOKUP(AH$1,main!$A$3:$I$56,5,FALSE)-VLOOKUP($A160,main!$A$3:$I$56,6,FALSE)&gt;=VLOOKUP(57,main!$A$57:$I$59,4,FALSE)+VLOOKUP(VLOOKUP(AH$1,main!$A$3:$I$56,7,FALSE),main!$K$10:$Q$14,5,FALSE),1,0)</f>
        <v>0</v>
      </c>
      <c r="AI160">
        <f>IF(VLOOKUP(AI$1,main!$A$3:$I$56,5,FALSE)-VLOOKUP($A160,main!$A$3:$I$56,6,FALSE)&gt;=VLOOKUP(57,main!$A$57:$I$59,4,FALSE)+VLOOKUP(VLOOKUP(AI$1,main!$A$3:$I$56,7,FALSE),main!$K$10:$Q$14,5,FALSE),1,0)</f>
        <v>0</v>
      </c>
      <c r="AJ160">
        <f>IF(VLOOKUP(AJ$1,main!$A$3:$I$56,5,FALSE)-VLOOKUP($A160,main!$A$3:$I$56,6,FALSE)&gt;=VLOOKUP(57,main!$A$57:$I$59,4,FALSE)+VLOOKUP(VLOOKUP(AJ$1,main!$A$3:$I$56,7,FALSE),main!$K$10:$Q$14,5,FALSE),1,0)</f>
        <v>0</v>
      </c>
      <c r="AK160">
        <f>IF(VLOOKUP(AK$1,main!$A$3:$I$56,5,FALSE)-VLOOKUP($A160,main!$A$3:$I$56,6,FALSE)&gt;=VLOOKUP(57,main!$A$57:$I$59,4,FALSE)+VLOOKUP(VLOOKUP(AK$1,main!$A$3:$I$56,7,FALSE),main!$K$10:$Q$14,5,FALSE),1,0)</f>
        <v>0</v>
      </c>
      <c r="AL160">
        <f>IF(VLOOKUP(AL$1,main!$A$3:$I$56,5,FALSE)-VLOOKUP($A160,main!$A$3:$I$56,6,FALSE)&gt;=VLOOKUP(57,main!$A$57:$I$59,4,FALSE)+VLOOKUP(VLOOKUP(AL$1,main!$A$3:$I$56,7,FALSE),main!$K$10:$Q$14,5,FALSE),1,0)</f>
        <v>0</v>
      </c>
      <c r="AM160">
        <f>IF(VLOOKUP(AM$1,main!$A$3:$I$56,5,FALSE)-VLOOKUP($A160,main!$A$3:$I$56,6,FALSE)&gt;=VLOOKUP(57,main!$A$57:$I$59,4,FALSE)+VLOOKUP(VLOOKUP(AM$1,main!$A$3:$I$56,7,FALSE),main!$K$10:$Q$14,5,FALSE),1,0)</f>
        <v>0</v>
      </c>
      <c r="AN160">
        <f>IF(VLOOKUP(AN$1,main!$A$3:$I$56,5,FALSE)-VLOOKUP($A160,main!$A$3:$I$56,6,FALSE)&gt;=VLOOKUP(57,main!$A$57:$I$59,4,FALSE)+VLOOKUP(VLOOKUP(AN$1,main!$A$3:$I$56,7,FALSE),main!$K$10:$Q$14,5,FALSE),1,0)</f>
        <v>0</v>
      </c>
      <c r="AO160">
        <f>IF(VLOOKUP(AO$1,main!$A$3:$I$56,5,FALSE)-VLOOKUP($A160,main!$A$3:$I$56,6,FALSE)&gt;=VLOOKUP(57,main!$A$57:$I$59,4,FALSE)+VLOOKUP(VLOOKUP(AO$1,main!$A$3:$I$56,7,FALSE),main!$K$10:$Q$14,5,FALSE),1,0)</f>
        <v>0</v>
      </c>
      <c r="AP160">
        <f>IF(VLOOKUP(AP$1,main!$A$3:$I$56,5,FALSE)-VLOOKUP($A160,main!$A$3:$I$56,6,FALSE)&gt;=VLOOKUP(57,main!$A$57:$I$59,4,FALSE)+VLOOKUP(VLOOKUP(AP$1,main!$A$3:$I$56,7,FALSE),main!$K$10:$Q$14,5,FALSE),1,0)</f>
        <v>0</v>
      </c>
      <c r="AQ160">
        <f>IF(VLOOKUP(AQ$1,main!$A$3:$I$56,5,FALSE)-VLOOKUP($A160,main!$A$3:$I$56,6,FALSE)&gt;=VLOOKUP(57,main!$A$57:$I$59,4,FALSE)+VLOOKUP(VLOOKUP(AQ$1,main!$A$3:$I$56,7,FALSE),main!$K$10:$Q$14,5,FALSE),1,0)</f>
        <v>0</v>
      </c>
      <c r="AR160">
        <f>IF(VLOOKUP(AR$1,main!$A$3:$I$56,5,FALSE)-VLOOKUP($A160,main!$A$3:$I$56,6,FALSE)&gt;=VLOOKUP(57,main!$A$57:$I$59,4,FALSE)+VLOOKUP(VLOOKUP(AR$1,main!$A$3:$I$56,7,FALSE),main!$K$10:$Q$14,5,FALSE),1,0)</f>
        <v>0</v>
      </c>
      <c r="AS160">
        <f>IF(VLOOKUP(AS$1,main!$A$3:$I$56,5,FALSE)-VLOOKUP($A160,main!$A$3:$I$56,6,FALSE)&gt;=VLOOKUP(57,main!$A$57:$I$59,4,FALSE)+VLOOKUP(VLOOKUP(AS$1,main!$A$3:$I$56,7,FALSE),main!$K$10:$Q$14,5,FALSE),1,0)</f>
        <v>0</v>
      </c>
      <c r="AT160">
        <f>IF(VLOOKUP(AT$1,main!$A$3:$I$56,5,FALSE)-VLOOKUP($A160,main!$A$3:$I$56,6,FALSE)&gt;=VLOOKUP(57,main!$A$57:$I$59,4,FALSE)+VLOOKUP(VLOOKUP(AT$1,main!$A$3:$I$56,7,FALSE),main!$K$10:$Q$14,5,FALSE),1,0)</f>
        <v>0</v>
      </c>
      <c r="AU160">
        <f>IF(VLOOKUP(AU$1,main!$A$3:$I$56,5,FALSE)-VLOOKUP($A160,main!$A$3:$I$56,6,FALSE)&gt;=VLOOKUP(57,main!$A$57:$I$59,4,FALSE)+VLOOKUP(VLOOKUP(AU$1,main!$A$3:$I$56,7,FALSE),main!$K$10:$Q$14,5,FALSE),1,0)</f>
        <v>0</v>
      </c>
      <c r="AV160">
        <f>IF(VLOOKUP(AV$1,main!$A$3:$I$56,5,FALSE)-VLOOKUP($A160,main!$A$3:$I$56,6,FALSE)&gt;=VLOOKUP(57,main!$A$57:$I$59,4,FALSE)+VLOOKUP(VLOOKUP(AV$1,main!$A$3:$I$56,7,FALSE),main!$K$10:$Q$14,5,FALSE),1,0)</f>
        <v>0</v>
      </c>
      <c r="AW160">
        <f>IF(VLOOKUP(AW$1,main!$A$3:$I$56,5,FALSE)-VLOOKUP($A160,main!$A$3:$I$56,6,FALSE)&gt;=VLOOKUP(57,main!$A$57:$I$59,4,FALSE)+VLOOKUP(VLOOKUP(AW$1,main!$A$3:$I$56,7,FALSE),main!$K$10:$Q$14,5,FALSE),1,0)</f>
        <v>0</v>
      </c>
      <c r="AX160">
        <f>IF(VLOOKUP(AX$1,main!$A$3:$I$56,5,FALSE)-VLOOKUP($A160,main!$A$3:$I$56,6,FALSE)&gt;=VLOOKUP(57,main!$A$57:$I$59,4,FALSE)+VLOOKUP(VLOOKUP(AX$1,main!$A$3:$I$56,7,FALSE),main!$K$10:$Q$14,5,FALSE),1,0)</f>
        <v>0</v>
      </c>
      <c r="AY160">
        <f>IF(VLOOKUP(AY$1,main!$A$3:$I$56,5,FALSE)-VLOOKUP($A160,main!$A$3:$I$56,6,FALSE)&gt;=VLOOKUP(57,main!$A$57:$I$59,4,FALSE)+VLOOKUP(VLOOKUP(AY$1,main!$A$3:$I$56,7,FALSE),main!$K$10:$Q$14,5,FALSE),1,0)</f>
        <v>0</v>
      </c>
      <c r="AZ160">
        <f>IF(VLOOKUP(AZ$1,main!$A$3:$I$56,5,FALSE)-VLOOKUP($A160,main!$A$3:$I$56,6,FALSE)&gt;=VLOOKUP(57,main!$A$57:$I$59,4,FALSE)+VLOOKUP(VLOOKUP(AZ$1,main!$A$3:$I$56,7,FALSE),main!$K$10:$Q$14,5,FALSE),1,0)</f>
        <v>0</v>
      </c>
      <c r="BA160">
        <f>IF(VLOOKUP(BA$1,main!$A$3:$I$56,5,FALSE)-VLOOKUP($A160,main!$A$3:$I$56,6,FALSE)&gt;=VLOOKUP(57,main!$A$57:$I$59,4,FALSE)+VLOOKUP(VLOOKUP(BA$1,main!$A$3:$I$56,7,FALSE),main!$K$10:$Q$14,5,FALSE),1,0)</f>
        <v>0</v>
      </c>
      <c r="BB160">
        <f>IF(VLOOKUP(BB$1,main!$A$3:$I$56,5,FALSE)-VLOOKUP($A160,main!$A$3:$I$56,6,FALSE)&gt;=VLOOKUP(57,main!$A$57:$I$59,4,FALSE)+VLOOKUP(VLOOKUP(BB$1,main!$A$3:$I$56,7,FALSE),main!$K$10:$Q$14,5,FALSE),1,0)</f>
        <v>0</v>
      </c>
      <c r="BC160">
        <f>IF(VLOOKUP(BC$1,main!$A$3:$I$56,5,FALSE)-VLOOKUP($A160,main!$A$3:$I$56,6,FALSE)&gt;=VLOOKUP(57,main!$A$57:$I$59,4,FALSE)+VLOOKUP(VLOOKUP(BC$1,main!$A$3:$I$56,7,FALSE),main!$K$10:$Q$14,5,FALSE),1,0)</f>
        <v>0</v>
      </c>
      <c r="BD160">
        <f>IF(VLOOKUP(BD$1,main!$A$3:$I$56,5,FALSE)-VLOOKUP($A160,main!$A$3:$I$56,6,FALSE)&gt;=VLOOKUP(57,main!$A$57:$I$59,4,FALSE)+VLOOKUP(VLOOKUP(BD$1,main!$A$3:$I$56,7,FALSE),main!$K$10:$Q$14,5,FALSE),1,0)</f>
        <v>0</v>
      </c>
    </row>
    <row r="161" spans="1:56" x14ac:dyDescent="0.25">
      <c r="A161">
        <f t="shared" si="2"/>
        <v>49</v>
      </c>
      <c r="B161">
        <v>0</v>
      </c>
      <c r="C161">
        <f>IF(VLOOKUP(C$1,main!$A$3:$I$56,5,FALSE)-VLOOKUP($A161,main!$A$3:$I$56,6,FALSE)&gt;=VLOOKUP(57,main!$A$57:$I$59,4,FALSE)+VLOOKUP(VLOOKUP(C$1,main!$A$3:$I$56,7,FALSE),main!$K$10:$Q$14,5,FALSE),1,0)</f>
        <v>0</v>
      </c>
      <c r="D161">
        <f>IF(VLOOKUP(D$1,main!$A$3:$I$56,5,FALSE)-VLOOKUP($A161,main!$A$3:$I$56,6,FALSE)&gt;=VLOOKUP(57,main!$A$57:$I$59,4,FALSE)+VLOOKUP(VLOOKUP(D$1,main!$A$3:$I$56,7,FALSE),main!$K$10:$Q$14,5,FALSE),1,0)</f>
        <v>0</v>
      </c>
      <c r="E161">
        <f>IF(VLOOKUP(E$1,main!$A$3:$I$56,5,FALSE)-VLOOKUP($A161,main!$A$3:$I$56,6,FALSE)&gt;=VLOOKUP(57,main!$A$57:$I$59,4,FALSE)+VLOOKUP(VLOOKUP(E$1,main!$A$3:$I$56,7,FALSE),main!$K$10:$Q$14,5,FALSE),1,0)</f>
        <v>0</v>
      </c>
      <c r="F161">
        <f>IF(VLOOKUP(F$1,main!$A$3:$I$56,5,FALSE)-VLOOKUP($A161,main!$A$3:$I$56,6,FALSE)&gt;=VLOOKUP(57,main!$A$57:$I$59,4,FALSE)+VLOOKUP(VLOOKUP(F$1,main!$A$3:$I$56,7,FALSE),main!$K$10:$Q$14,5,FALSE),1,0)</f>
        <v>0</v>
      </c>
      <c r="G161">
        <f>IF(VLOOKUP(G$1,main!$A$3:$I$56,5,FALSE)-VLOOKUP($A161,main!$A$3:$I$56,6,FALSE)&gt;=VLOOKUP(57,main!$A$57:$I$59,4,FALSE)+VLOOKUP(VLOOKUP(G$1,main!$A$3:$I$56,7,FALSE),main!$K$10:$Q$14,5,FALSE),1,0)</f>
        <v>0</v>
      </c>
      <c r="H161">
        <f>IF(VLOOKUP(H$1,main!$A$3:$I$56,5,FALSE)-VLOOKUP($A161,main!$A$3:$I$56,6,FALSE)&gt;=VLOOKUP(57,main!$A$57:$I$59,4,FALSE)+VLOOKUP(VLOOKUP(H$1,main!$A$3:$I$56,7,FALSE),main!$K$10:$Q$14,5,FALSE),1,0)</f>
        <v>0</v>
      </c>
      <c r="I161">
        <f>IF(VLOOKUP(I$1,main!$A$3:$I$56,5,FALSE)-VLOOKUP($A161,main!$A$3:$I$56,6,FALSE)&gt;=VLOOKUP(57,main!$A$57:$I$59,4,FALSE)+VLOOKUP(VLOOKUP(I$1,main!$A$3:$I$56,7,FALSE),main!$K$10:$Q$14,5,FALSE),1,0)</f>
        <v>0</v>
      </c>
      <c r="J161">
        <f>IF(VLOOKUP(J$1,main!$A$3:$I$56,5,FALSE)-VLOOKUP($A161,main!$A$3:$I$56,6,FALSE)&gt;=VLOOKUP(57,main!$A$57:$I$59,4,FALSE)+VLOOKUP(VLOOKUP(J$1,main!$A$3:$I$56,7,FALSE),main!$K$10:$Q$14,5,FALSE),1,0)</f>
        <v>0</v>
      </c>
      <c r="K161">
        <f>IF(VLOOKUP(K$1,main!$A$3:$I$56,5,FALSE)-VLOOKUP($A161,main!$A$3:$I$56,6,FALSE)&gt;=VLOOKUP(57,main!$A$57:$I$59,4,FALSE)+VLOOKUP(VLOOKUP(K$1,main!$A$3:$I$56,7,FALSE),main!$K$10:$Q$14,5,FALSE),1,0)</f>
        <v>0</v>
      </c>
      <c r="L161">
        <f>IF(VLOOKUP(L$1,main!$A$3:$I$56,5,FALSE)-VLOOKUP($A161,main!$A$3:$I$56,6,FALSE)&gt;=VLOOKUP(57,main!$A$57:$I$59,4,FALSE)+VLOOKUP(VLOOKUP(L$1,main!$A$3:$I$56,7,FALSE),main!$K$10:$Q$14,5,FALSE),1,0)</f>
        <v>0</v>
      </c>
      <c r="M161">
        <f>IF(VLOOKUP(M$1,main!$A$3:$I$56,5,FALSE)-VLOOKUP($A161,main!$A$3:$I$56,6,FALSE)&gt;=VLOOKUP(57,main!$A$57:$I$59,4,FALSE)+VLOOKUP(VLOOKUP(M$1,main!$A$3:$I$56,7,FALSE),main!$K$10:$Q$14,5,FALSE),1,0)</f>
        <v>0</v>
      </c>
      <c r="N161">
        <f>IF(VLOOKUP(N$1,main!$A$3:$I$56,5,FALSE)-VLOOKUP($A161,main!$A$3:$I$56,6,FALSE)&gt;=VLOOKUP(57,main!$A$57:$I$59,4,FALSE)+VLOOKUP(VLOOKUP(N$1,main!$A$3:$I$56,7,FALSE),main!$K$10:$Q$14,5,FALSE),1,0)</f>
        <v>0</v>
      </c>
      <c r="O161">
        <f>IF(VLOOKUP(O$1,main!$A$3:$I$56,5,FALSE)-VLOOKUP($A161,main!$A$3:$I$56,6,FALSE)&gt;=VLOOKUP(57,main!$A$57:$I$59,4,FALSE)+VLOOKUP(VLOOKUP(O$1,main!$A$3:$I$56,7,FALSE),main!$K$10:$Q$14,5,FALSE),1,0)</f>
        <v>0</v>
      </c>
      <c r="P161">
        <f>IF(VLOOKUP(P$1,main!$A$3:$I$56,5,FALSE)-VLOOKUP($A161,main!$A$3:$I$56,6,FALSE)&gt;=VLOOKUP(57,main!$A$57:$I$59,4,FALSE)+VLOOKUP(VLOOKUP(P$1,main!$A$3:$I$56,7,FALSE),main!$K$10:$Q$14,5,FALSE),1,0)</f>
        <v>0</v>
      </c>
      <c r="Q161">
        <f>IF(VLOOKUP(Q$1,main!$A$3:$I$56,5,FALSE)-VLOOKUP($A161,main!$A$3:$I$56,6,FALSE)&gt;=VLOOKUP(57,main!$A$57:$I$59,4,FALSE)+VLOOKUP(VLOOKUP(Q$1,main!$A$3:$I$56,7,FALSE),main!$K$10:$Q$14,5,FALSE),1,0)</f>
        <v>0</v>
      </c>
      <c r="R161">
        <f>IF(VLOOKUP(R$1,main!$A$3:$I$56,5,FALSE)-VLOOKUP($A161,main!$A$3:$I$56,6,FALSE)&gt;=VLOOKUP(57,main!$A$57:$I$59,4,FALSE)+VLOOKUP(VLOOKUP(R$1,main!$A$3:$I$56,7,FALSE),main!$K$10:$Q$14,5,FALSE),1,0)</f>
        <v>0</v>
      </c>
      <c r="S161">
        <f>IF(VLOOKUP(S$1,main!$A$3:$I$56,5,FALSE)-VLOOKUP($A161,main!$A$3:$I$56,6,FALSE)&gt;=VLOOKUP(57,main!$A$57:$I$59,4,FALSE)+VLOOKUP(VLOOKUP(S$1,main!$A$3:$I$56,7,FALSE),main!$K$10:$Q$14,5,FALSE),1,0)</f>
        <v>0</v>
      </c>
      <c r="T161">
        <f>IF(VLOOKUP(T$1,main!$A$3:$I$56,5,FALSE)-VLOOKUP($A161,main!$A$3:$I$56,6,FALSE)&gt;=VLOOKUP(57,main!$A$57:$I$59,4,FALSE)+VLOOKUP(VLOOKUP(T$1,main!$A$3:$I$56,7,FALSE),main!$K$10:$Q$14,5,FALSE),1,0)</f>
        <v>0</v>
      </c>
      <c r="U161">
        <f>IF(VLOOKUP(U$1,main!$A$3:$I$56,5,FALSE)-VLOOKUP($A161,main!$A$3:$I$56,6,FALSE)&gt;=VLOOKUP(57,main!$A$57:$I$59,4,FALSE)+VLOOKUP(VLOOKUP(U$1,main!$A$3:$I$56,7,FALSE),main!$K$10:$Q$14,5,FALSE),1,0)</f>
        <v>0</v>
      </c>
      <c r="V161">
        <f>IF(VLOOKUP(V$1,main!$A$3:$I$56,5,FALSE)-VLOOKUP($A161,main!$A$3:$I$56,6,FALSE)&gt;=VLOOKUP(57,main!$A$57:$I$59,4,FALSE)+VLOOKUP(VLOOKUP(V$1,main!$A$3:$I$56,7,FALSE),main!$K$10:$Q$14,5,FALSE),1,0)</f>
        <v>0</v>
      </c>
      <c r="W161">
        <f>IF(VLOOKUP(W$1,main!$A$3:$I$56,5,FALSE)-VLOOKUP($A161,main!$A$3:$I$56,6,FALSE)&gt;=VLOOKUP(57,main!$A$57:$I$59,4,FALSE)+VLOOKUP(VLOOKUP(W$1,main!$A$3:$I$56,7,FALSE),main!$K$10:$Q$14,5,FALSE),1,0)</f>
        <v>0</v>
      </c>
      <c r="X161">
        <f>IF(VLOOKUP(X$1,main!$A$3:$I$56,5,FALSE)-VLOOKUP($A161,main!$A$3:$I$56,6,FALSE)&gt;=VLOOKUP(57,main!$A$57:$I$59,4,FALSE)+VLOOKUP(VLOOKUP(X$1,main!$A$3:$I$56,7,FALSE),main!$K$10:$Q$14,5,FALSE),1,0)</f>
        <v>0</v>
      </c>
      <c r="Y161">
        <f>IF(VLOOKUP(Y$1,main!$A$3:$I$56,5,FALSE)-VLOOKUP($A161,main!$A$3:$I$56,6,FALSE)&gt;=VLOOKUP(57,main!$A$57:$I$59,4,FALSE)+VLOOKUP(VLOOKUP(Y$1,main!$A$3:$I$56,7,FALSE),main!$K$10:$Q$14,5,FALSE),1,0)</f>
        <v>0</v>
      </c>
      <c r="Z161">
        <f>IF(VLOOKUP(Z$1,main!$A$3:$I$56,5,FALSE)-VLOOKUP($A161,main!$A$3:$I$56,6,FALSE)&gt;=VLOOKUP(57,main!$A$57:$I$59,4,FALSE)+VLOOKUP(VLOOKUP(Z$1,main!$A$3:$I$56,7,FALSE),main!$K$10:$Q$14,5,FALSE),1,0)</f>
        <v>0</v>
      </c>
      <c r="AA161">
        <f>IF(VLOOKUP(AA$1,main!$A$3:$I$56,5,FALSE)-VLOOKUP($A161,main!$A$3:$I$56,6,FALSE)&gt;=VLOOKUP(57,main!$A$57:$I$59,4,FALSE)+VLOOKUP(VLOOKUP(AA$1,main!$A$3:$I$56,7,FALSE),main!$K$10:$Q$14,5,FALSE),1,0)</f>
        <v>0</v>
      </c>
      <c r="AB161">
        <f>IF(VLOOKUP(AB$1,main!$A$3:$I$56,5,FALSE)-VLOOKUP($A161,main!$A$3:$I$56,6,FALSE)&gt;=VLOOKUP(57,main!$A$57:$I$59,4,FALSE)+VLOOKUP(VLOOKUP(AB$1,main!$A$3:$I$56,7,FALSE),main!$K$10:$Q$14,5,FALSE),1,0)</f>
        <v>0</v>
      </c>
      <c r="AC161">
        <f>IF(VLOOKUP(AC$1,main!$A$3:$I$56,5,FALSE)-VLOOKUP($A161,main!$A$3:$I$56,6,FALSE)&gt;=VLOOKUP(57,main!$A$57:$I$59,4,FALSE)+VLOOKUP(VLOOKUP(AC$1,main!$A$3:$I$56,7,FALSE),main!$K$10:$Q$14,5,FALSE),1,0)</f>
        <v>0</v>
      </c>
      <c r="AD161">
        <f>IF(VLOOKUP(AD$1,main!$A$3:$I$56,5,FALSE)-VLOOKUP($A161,main!$A$3:$I$56,6,FALSE)&gt;=VLOOKUP(57,main!$A$57:$I$59,4,FALSE)+VLOOKUP(VLOOKUP(AD$1,main!$A$3:$I$56,7,FALSE),main!$K$10:$Q$14,5,FALSE),1,0)</f>
        <v>0</v>
      </c>
      <c r="AE161">
        <f>IF(VLOOKUP(AE$1,main!$A$3:$I$56,5,FALSE)-VLOOKUP($A161,main!$A$3:$I$56,6,FALSE)&gt;=VLOOKUP(57,main!$A$57:$I$59,4,FALSE)+VLOOKUP(VLOOKUP(AE$1,main!$A$3:$I$56,7,FALSE),main!$K$10:$Q$14,5,FALSE),1,0)</f>
        <v>0</v>
      </c>
      <c r="AF161">
        <f>IF(VLOOKUP(AF$1,main!$A$3:$I$56,5,FALSE)-VLOOKUP($A161,main!$A$3:$I$56,6,FALSE)&gt;=VLOOKUP(57,main!$A$57:$I$59,4,FALSE)+VLOOKUP(VLOOKUP(AF$1,main!$A$3:$I$56,7,FALSE),main!$K$10:$Q$14,5,FALSE),1,0)</f>
        <v>0</v>
      </c>
      <c r="AG161">
        <f>IF(VLOOKUP(AG$1,main!$A$3:$I$56,5,FALSE)-VLOOKUP($A161,main!$A$3:$I$56,6,FALSE)&gt;=VLOOKUP(57,main!$A$57:$I$59,4,FALSE)+VLOOKUP(VLOOKUP(AG$1,main!$A$3:$I$56,7,FALSE),main!$K$10:$Q$14,5,FALSE),1,0)</f>
        <v>0</v>
      </c>
      <c r="AH161">
        <f>IF(VLOOKUP(AH$1,main!$A$3:$I$56,5,FALSE)-VLOOKUP($A161,main!$A$3:$I$56,6,FALSE)&gt;=VLOOKUP(57,main!$A$57:$I$59,4,FALSE)+VLOOKUP(VLOOKUP(AH$1,main!$A$3:$I$56,7,FALSE),main!$K$10:$Q$14,5,FALSE),1,0)</f>
        <v>0</v>
      </c>
      <c r="AI161">
        <f>IF(VLOOKUP(AI$1,main!$A$3:$I$56,5,FALSE)-VLOOKUP($A161,main!$A$3:$I$56,6,FALSE)&gt;=VLOOKUP(57,main!$A$57:$I$59,4,FALSE)+VLOOKUP(VLOOKUP(AI$1,main!$A$3:$I$56,7,FALSE),main!$K$10:$Q$14,5,FALSE),1,0)</f>
        <v>0</v>
      </c>
      <c r="AJ161">
        <f>IF(VLOOKUP(AJ$1,main!$A$3:$I$56,5,FALSE)-VLOOKUP($A161,main!$A$3:$I$56,6,FALSE)&gt;=VLOOKUP(57,main!$A$57:$I$59,4,FALSE)+VLOOKUP(VLOOKUP(AJ$1,main!$A$3:$I$56,7,FALSE),main!$K$10:$Q$14,5,FALSE),1,0)</f>
        <v>0</v>
      </c>
      <c r="AK161">
        <f>IF(VLOOKUP(AK$1,main!$A$3:$I$56,5,FALSE)-VLOOKUP($A161,main!$A$3:$I$56,6,FALSE)&gt;=VLOOKUP(57,main!$A$57:$I$59,4,FALSE)+VLOOKUP(VLOOKUP(AK$1,main!$A$3:$I$56,7,FALSE),main!$K$10:$Q$14,5,FALSE),1,0)</f>
        <v>0</v>
      </c>
      <c r="AL161">
        <f>IF(VLOOKUP(AL$1,main!$A$3:$I$56,5,FALSE)-VLOOKUP($A161,main!$A$3:$I$56,6,FALSE)&gt;=VLOOKUP(57,main!$A$57:$I$59,4,FALSE)+VLOOKUP(VLOOKUP(AL$1,main!$A$3:$I$56,7,FALSE),main!$K$10:$Q$14,5,FALSE),1,0)</f>
        <v>0</v>
      </c>
      <c r="AM161">
        <f>IF(VLOOKUP(AM$1,main!$A$3:$I$56,5,FALSE)-VLOOKUP($A161,main!$A$3:$I$56,6,FALSE)&gt;=VLOOKUP(57,main!$A$57:$I$59,4,FALSE)+VLOOKUP(VLOOKUP(AM$1,main!$A$3:$I$56,7,FALSE),main!$K$10:$Q$14,5,FALSE),1,0)</f>
        <v>0</v>
      </c>
      <c r="AN161">
        <f>IF(VLOOKUP(AN$1,main!$A$3:$I$56,5,FALSE)-VLOOKUP($A161,main!$A$3:$I$56,6,FALSE)&gt;=VLOOKUP(57,main!$A$57:$I$59,4,FALSE)+VLOOKUP(VLOOKUP(AN$1,main!$A$3:$I$56,7,FALSE),main!$K$10:$Q$14,5,FALSE),1,0)</f>
        <v>0</v>
      </c>
      <c r="AO161">
        <f>IF(VLOOKUP(AO$1,main!$A$3:$I$56,5,FALSE)-VLOOKUP($A161,main!$A$3:$I$56,6,FALSE)&gt;=VLOOKUP(57,main!$A$57:$I$59,4,FALSE)+VLOOKUP(VLOOKUP(AO$1,main!$A$3:$I$56,7,FALSE),main!$K$10:$Q$14,5,FALSE),1,0)</f>
        <v>0</v>
      </c>
      <c r="AP161">
        <f>IF(VLOOKUP(AP$1,main!$A$3:$I$56,5,FALSE)-VLOOKUP($A161,main!$A$3:$I$56,6,FALSE)&gt;=VLOOKUP(57,main!$A$57:$I$59,4,FALSE)+VLOOKUP(VLOOKUP(AP$1,main!$A$3:$I$56,7,FALSE),main!$K$10:$Q$14,5,FALSE),1,0)</f>
        <v>0</v>
      </c>
      <c r="AQ161">
        <f>IF(VLOOKUP(AQ$1,main!$A$3:$I$56,5,FALSE)-VLOOKUP($A161,main!$A$3:$I$56,6,FALSE)&gt;=VLOOKUP(57,main!$A$57:$I$59,4,FALSE)+VLOOKUP(VLOOKUP(AQ$1,main!$A$3:$I$56,7,FALSE),main!$K$10:$Q$14,5,FALSE),1,0)</f>
        <v>0</v>
      </c>
      <c r="AR161">
        <f>IF(VLOOKUP(AR$1,main!$A$3:$I$56,5,FALSE)-VLOOKUP($A161,main!$A$3:$I$56,6,FALSE)&gt;=VLOOKUP(57,main!$A$57:$I$59,4,FALSE)+VLOOKUP(VLOOKUP(AR$1,main!$A$3:$I$56,7,FALSE),main!$K$10:$Q$14,5,FALSE),1,0)</f>
        <v>0</v>
      </c>
      <c r="AS161">
        <f>IF(VLOOKUP(AS$1,main!$A$3:$I$56,5,FALSE)-VLOOKUP($A161,main!$A$3:$I$56,6,FALSE)&gt;=VLOOKUP(57,main!$A$57:$I$59,4,FALSE)+VLOOKUP(VLOOKUP(AS$1,main!$A$3:$I$56,7,FALSE),main!$K$10:$Q$14,5,FALSE),1,0)</f>
        <v>0</v>
      </c>
      <c r="AT161">
        <f>IF(VLOOKUP(AT$1,main!$A$3:$I$56,5,FALSE)-VLOOKUP($A161,main!$A$3:$I$56,6,FALSE)&gt;=VLOOKUP(57,main!$A$57:$I$59,4,FALSE)+VLOOKUP(VLOOKUP(AT$1,main!$A$3:$I$56,7,FALSE),main!$K$10:$Q$14,5,FALSE),1,0)</f>
        <v>0</v>
      </c>
      <c r="AU161">
        <f>IF(VLOOKUP(AU$1,main!$A$3:$I$56,5,FALSE)-VLOOKUP($A161,main!$A$3:$I$56,6,FALSE)&gt;=VLOOKUP(57,main!$A$57:$I$59,4,FALSE)+VLOOKUP(VLOOKUP(AU$1,main!$A$3:$I$56,7,FALSE),main!$K$10:$Q$14,5,FALSE),1,0)</f>
        <v>0</v>
      </c>
      <c r="AV161">
        <f>IF(VLOOKUP(AV$1,main!$A$3:$I$56,5,FALSE)-VLOOKUP($A161,main!$A$3:$I$56,6,FALSE)&gt;=VLOOKUP(57,main!$A$57:$I$59,4,FALSE)+VLOOKUP(VLOOKUP(AV$1,main!$A$3:$I$56,7,FALSE),main!$K$10:$Q$14,5,FALSE),1,0)</f>
        <v>0</v>
      </c>
      <c r="AW161">
        <f>IF(VLOOKUP(AW$1,main!$A$3:$I$56,5,FALSE)-VLOOKUP($A161,main!$A$3:$I$56,6,FALSE)&gt;=VLOOKUP(57,main!$A$57:$I$59,4,FALSE)+VLOOKUP(VLOOKUP(AW$1,main!$A$3:$I$56,7,FALSE),main!$K$10:$Q$14,5,FALSE),1,0)</f>
        <v>0</v>
      </c>
      <c r="AX161">
        <f>IF(VLOOKUP(AX$1,main!$A$3:$I$56,5,FALSE)-VLOOKUP($A161,main!$A$3:$I$56,6,FALSE)&gt;=VLOOKUP(57,main!$A$57:$I$59,4,FALSE)+VLOOKUP(VLOOKUP(AX$1,main!$A$3:$I$56,7,FALSE),main!$K$10:$Q$14,5,FALSE),1,0)</f>
        <v>0</v>
      </c>
      <c r="AY161">
        <f>IF(VLOOKUP(AY$1,main!$A$3:$I$56,5,FALSE)-VLOOKUP($A161,main!$A$3:$I$56,6,FALSE)&gt;=VLOOKUP(57,main!$A$57:$I$59,4,FALSE)+VLOOKUP(VLOOKUP(AY$1,main!$A$3:$I$56,7,FALSE),main!$K$10:$Q$14,5,FALSE),1,0)</f>
        <v>0</v>
      </c>
      <c r="AZ161">
        <f>IF(VLOOKUP(AZ$1,main!$A$3:$I$56,5,FALSE)-VLOOKUP($A161,main!$A$3:$I$56,6,FALSE)&gt;=VLOOKUP(57,main!$A$57:$I$59,4,FALSE)+VLOOKUP(VLOOKUP(AZ$1,main!$A$3:$I$56,7,FALSE),main!$K$10:$Q$14,5,FALSE),1,0)</f>
        <v>0</v>
      </c>
      <c r="BA161">
        <f>IF(VLOOKUP(BA$1,main!$A$3:$I$56,5,FALSE)-VLOOKUP($A161,main!$A$3:$I$56,6,FALSE)&gt;=VLOOKUP(57,main!$A$57:$I$59,4,FALSE)+VLOOKUP(VLOOKUP(BA$1,main!$A$3:$I$56,7,FALSE),main!$K$10:$Q$14,5,FALSE),1,0)</f>
        <v>0</v>
      </c>
      <c r="BB161">
        <f>IF(VLOOKUP(BB$1,main!$A$3:$I$56,5,FALSE)-VLOOKUP($A161,main!$A$3:$I$56,6,FALSE)&gt;=VLOOKUP(57,main!$A$57:$I$59,4,FALSE)+VLOOKUP(VLOOKUP(BB$1,main!$A$3:$I$56,7,FALSE),main!$K$10:$Q$14,5,FALSE),1,0)</f>
        <v>0</v>
      </c>
      <c r="BC161">
        <f>IF(VLOOKUP(BC$1,main!$A$3:$I$56,5,FALSE)-VLOOKUP($A161,main!$A$3:$I$56,6,FALSE)&gt;=VLOOKUP(57,main!$A$57:$I$59,4,FALSE)+VLOOKUP(VLOOKUP(BC$1,main!$A$3:$I$56,7,FALSE),main!$K$10:$Q$14,5,FALSE),1,0)</f>
        <v>0</v>
      </c>
      <c r="BD161">
        <f>IF(VLOOKUP(BD$1,main!$A$3:$I$56,5,FALSE)-VLOOKUP($A161,main!$A$3:$I$56,6,FALSE)&gt;=VLOOKUP(57,main!$A$57:$I$59,4,FALSE)+VLOOKUP(VLOOKUP(BD$1,main!$A$3:$I$56,7,FALSE),main!$K$10:$Q$14,5,FALSE),1,0)</f>
        <v>0</v>
      </c>
    </row>
    <row r="162" spans="1:56" x14ac:dyDescent="0.25">
      <c r="A162">
        <f t="shared" si="2"/>
        <v>50</v>
      </c>
      <c r="B162">
        <v>0</v>
      </c>
      <c r="C162">
        <f>IF(VLOOKUP(C$1,main!$A$3:$I$56,5,FALSE)-VLOOKUP($A162,main!$A$3:$I$56,6,FALSE)&gt;=VLOOKUP(57,main!$A$57:$I$59,4,FALSE)+VLOOKUP(VLOOKUP(C$1,main!$A$3:$I$56,7,FALSE),main!$K$10:$Q$14,5,FALSE),1,0)</f>
        <v>0</v>
      </c>
      <c r="D162">
        <f>IF(VLOOKUP(D$1,main!$A$3:$I$56,5,FALSE)-VLOOKUP($A162,main!$A$3:$I$56,6,FALSE)&gt;=VLOOKUP(57,main!$A$57:$I$59,4,FALSE)+VLOOKUP(VLOOKUP(D$1,main!$A$3:$I$56,7,FALSE),main!$K$10:$Q$14,5,FALSE),1,0)</f>
        <v>0</v>
      </c>
      <c r="E162">
        <f>IF(VLOOKUP(E$1,main!$A$3:$I$56,5,FALSE)-VLOOKUP($A162,main!$A$3:$I$56,6,FALSE)&gt;=VLOOKUP(57,main!$A$57:$I$59,4,FALSE)+VLOOKUP(VLOOKUP(E$1,main!$A$3:$I$56,7,FALSE),main!$K$10:$Q$14,5,FALSE),1,0)</f>
        <v>0</v>
      </c>
      <c r="F162">
        <f>IF(VLOOKUP(F$1,main!$A$3:$I$56,5,FALSE)-VLOOKUP($A162,main!$A$3:$I$56,6,FALSE)&gt;=VLOOKUP(57,main!$A$57:$I$59,4,FALSE)+VLOOKUP(VLOOKUP(F$1,main!$A$3:$I$56,7,FALSE),main!$K$10:$Q$14,5,FALSE),1,0)</f>
        <v>0</v>
      </c>
      <c r="G162">
        <f>IF(VLOOKUP(G$1,main!$A$3:$I$56,5,FALSE)-VLOOKUP($A162,main!$A$3:$I$56,6,FALSE)&gt;=VLOOKUP(57,main!$A$57:$I$59,4,FALSE)+VLOOKUP(VLOOKUP(G$1,main!$A$3:$I$56,7,FALSE),main!$K$10:$Q$14,5,FALSE),1,0)</f>
        <v>1</v>
      </c>
      <c r="H162">
        <f>IF(VLOOKUP(H$1,main!$A$3:$I$56,5,FALSE)-VLOOKUP($A162,main!$A$3:$I$56,6,FALSE)&gt;=VLOOKUP(57,main!$A$57:$I$59,4,FALSE)+VLOOKUP(VLOOKUP(H$1,main!$A$3:$I$56,7,FALSE),main!$K$10:$Q$14,5,FALSE),1,0)</f>
        <v>1</v>
      </c>
      <c r="I162">
        <f>IF(VLOOKUP(I$1,main!$A$3:$I$56,5,FALSE)-VLOOKUP($A162,main!$A$3:$I$56,6,FALSE)&gt;=VLOOKUP(57,main!$A$57:$I$59,4,FALSE)+VLOOKUP(VLOOKUP(I$1,main!$A$3:$I$56,7,FALSE),main!$K$10:$Q$14,5,FALSE),1,0)</f>
        <v>1</v>
      </c>
      <c r="J162">
        <f>IF(VLOOKUP(J$1,main!$A$3:$I$56,5,FALSE)-VLOOKUP($A162,main!$A$3:$I$56,6,FALSE)&gt;=VLOOKUP(57,main!$A$57:$I$59,4,FALSE)+VLOOKUP(VLOOKUP(J$1,main!$A$3:$I$56,7,FALSE),main!$K$10:$Q$14,5,FALSE),1,0)</f>
        <v>1</v>
      </c>
      <c r="K162">
        <f>IF(VLOOKUP(K$1,main!$A$3:$I$56,5,FALSE)-VLOOKUP($A162,main!$A$3:$I$56,6,FALSE)&gt;=VLOOKUP(57,main!$A$57:$I$59,4,FALSE)+VLOOKUP(VLOOKUP(K$1,main!$A$3:$I$56,7,FALSE),main!$K$10:$Q$14,5,FALSE),1,0)</f>
        <v>0</v>
      </c>
      <c r="L162">
        <f>IF(VLOOKUP(L$1,main!$A$3:$I$56,5,FALSE)-VLOOKUP($A162,main!$A$3:$I$56,6,FALSE)&gt;=VLOOKUP(57,main!$A$57:$I$59,4,FALSE)+VLOOKUP(VLOOKUP(L$1,main!$A$3:$I$56,7,FALSE),main!$K$10:$Q$14,5,FALSE),1,0)</f>
        <v>0</v>
      </c>
      <c r="M162">
        <f>IF(VLOOKUP(M$1,main!$A$3:$I$56,5,FALSE)-VLOOKUP($A162,main!$A$3:$I$56,6,FALSE)&gt;=VLOOKUP(57,main!$A$57:$I$59,4,FALSE)+VLOOKUP(VLOOKUP(M$1,main!$A$3:$I$56,7,FALSE),main!$K$10:$Q$14,5,FALSE),1,0)</f>
        <v>0</v>
      </c>
      <c r="N162">
        <f>IF(VLOOKUP(N$1,main!$A$3:$I$56,5,FALSE)-VLOOKUP($A162,main!$A$3:$I$56,6,FALSE)&gt;=VLOOKUP(57,main!$A$57:$I$59,4,FALSE)+VLOOKUP(VLOOKUP(N$1,main!$A$3:$I$56,7,FALSE),main!$K$10:$Q$14,5,FALSE),1,0)</f>
        <v>1</v>
      </c>
      <c r="O162">
        <f>IF(VLOOKUP(O$1,main!$A$3:$I$56,5,FALSE)-VLOOKUP($A162,main!$A$3:$I$56,6,FALSE)&gt;=VLOOKUP(57,main!$A$57:$I$59,4,FALSE)+VLOOKUP(VLOOKUP(O$1,main!$A$3:$I$56,7,FALSE),main!$K$10:$Q$14,5,FALSE),1,0)</f>
        <v>1</v>
      </c>
      <c r="P162">
        <f>IF(VLOOKUP(P$1,main!$A$3:$I$56,5,FALSE)-VLOOKUP($A162,main!$A$3:$I$56,6,FALSE)&gt;=VLOOKUP(57,main!$A$57:$I$59,4,FALSE)+VLOOKUP(VLOOKUP(P$1,main!$A$3:$I$56,7,FALSE),main!$K$10:$Q$14,5,FALSE),1,0)</f>
        <v>0</v>
      </c>
      <c r="Q162">
        <f>IF(VLOOKUP(Q$1,main!$A$3:$I$56,5,FALSE)-VLOOKUP($A162,main!$A$3:$I$56,6,FALSE)&gt;=VLOOKUP(57,main!$A$57:$I$59,4,FALSE)+VLOOKUP(VLOOKUP(Q$1,main!$A$3:$I$56,7,FALSE),main!$K$10:$Q$14,5,FALSE),1,0)</f>
        <v>0</v>
      </c>
      <c r="R162">
        <f>IF(VLOOKUP(R$1,main!$A$3:$I$56,5,FALSE)-VLOOKUP($A162,main!$A$3:$I$56,6,FALSE)&gt;=VLOOKUP(57,main!$A$57:$I$59,4,FALSE)+VLOOKUP(VLOOKUP(R$1,main!$A$3:$I$56,7,FALSE),main!$K$10:$Q$14,5,FALSE),1,0)</f>
        <v>0</v>
      </c>
      <c r="S162">
        <f>IF(VLOOKUP(S$1,main!$A$3:$I$56,5,FALSE)-VLOOKUP($A162,main!$A$3:$I$56,6,FALSE)&gt;=VLOOKUP(57,main!$A$57:$I$59,4,FALSE)+VLOOKUP(VLOOKUP(S$1,main!$A$3:$I$56,7,FALSE),main!$K$10:$Q$14,5,FALSE),1,0)</f>
        <v>1</v>
      </c>
      <c r="T162">
        <f>IF(VLOOKUP(T$1,main!$A$3:$I$56,5,FALSE)-VLOOKUP($A162,main!$A$3:$I$56,6,FALSE)&gt;=VLOOKUP(57,main!$A$57:$I$59,4,FALSE)+VLOOKUP(VLOOKUP(T$1,main!$A$3:$I$56,7,FALSE),main!$K$10:$Q$14,5,FALSE),1,0)</f>
        <v>1</v>
      </c>
      <c r="U162">
        <f>IF(VLOOKUP(U$1,main!$A$3:$I$56,5,FALSE)-VLOOKUP($A162,main!$A$3:$I$56,6,FALSE)&gt;=VLOOKUP(57,main!$A$57:$I$59,4,FALSE)+VLOOKUP(VLOOKUP(U$1,main!$A$3:$I$56,7,FALSE),main!$K$10:$Q$14,5,FALSE),1,0)</f>
        <v>0</v>
      </c>
      <c r="V162">
        <f>IF(VLOOKUP(V$1,main!$A$3:$I$56,5,FALSE)-VLOOKUP($A162,main!$A$3:$I$56,6,FALSE)&gt;=VLOOKUP(57,main!$A$57:$I$59,4,FALSE)+VLOOKUP(VLOOKUP(V$1,main!$A$3:$I$56,7,FALSE),main!$K$10:$Q$14,5,FALSE),1,0)</f>
        <v>0</v>
      </c>
      <c r="W162">
        <f>IF(VLOOKUP(W$1,main!$A$3:$I$56,5,FALSE)-VLOOKUP($A162,main!$A$3:$I$56,6,FALSE)&gt;=VLOOKUP(57,main!$A$57:$I$59,4,FALSE)+VLOOKUP(VLOOKUP(W$1,main!$A$3:$I$56,7,FALSE),main!$K$10:$Q$14,5,FALSE),1,0)</f>
        <v>0</v>
      </c>
      <c r="X162">
        <f>IF(VLOOKUP(X$1,main!$A$3:$I$56,5,FALSE)-VLOOKUP($A162,main!$A$3:$I$56,6,FALSE)&gt;=VLOOKUP(57,main!$A$57:$I$59,4,FALSE)+VLOOKUP(VLOOKUP(X$1,main!$A$3:$I$56,7,FALSE),main!$K$10:$Q$14,5,FALSE),1,0)</f>
        <v>1</v>
      </c>
      <c r="Y162">
        <f>IF(VLOOKUP(Y$1,main!$A$3:$I$56,5,FALSE)-VLOOKUP($A162,main!$A$3:$I$56,6,FALSE)&gt;=VLOOKUP(57,main!$A$57:$I$59,4,FALSE)+VLOOKUP(VLOOKUP(Y$1,main!$A$3:$I$56,7,FALSE),main!$K$10:$Q$14,5,FALSE),1,0)</f>
        <v>1</v>
      </c>
      <c r="Z162">
        <f>IF(VLOOKUP(Z$1,main!$A$3:$I$56,5,FALSE)-VLOOKUP($A162,main!$A$3:$I$56,6,FALSE)&gt;=VLOOKUP(57,main!$A$57:$I$59,4,FALSE)+VLOOKUP(VLOOKUP(Z$1,main!$A$3:$I$56,7,FALSE),main!$K$10:$Q$14,5,FALSE),1,0)</f>
        <v>1</v>
      </c>
      <c r="AA162">
        <f>IF(VLOOKUP(AA$1,main!$A$3:$I$56,5,FALSE)-VLOOKUP($A162,main!$A$3:$I$56,6,FALSE)&gt;=VLOOKUP(57,main!$A$57:$I$59,4,FALSE)+VLOOKUP(VLOOKUP(AA$1,main!$A$3:$I$56,7,FALSE),main!$K$10:$Q$14,5,FALSE),1,0)</f>
        <v>1</v>
      </c>
      <c r="AB162">
        <f>IF(VLOOKUP(AB$1,main!$A$3:$I$56,5,FALSE)-VLOOKUP($A162,main!$A$3:$I$56,6,FALSE)&gt;=VLOOKUP(57,main!$A$57:$I$59,4,FALSE)+VLOOKUP(VLOOKUP(AB$1,main!$A$3:$I$56,7,FALSE),main!$K$10:$Q$14,5,FALSE),1,0)</f>
        <v>1</v>
      </c>
      <c r="AC162">
        <f>IF(VLOOKUP(AC$1,main!$A$3:$I$56,5,FALSE)-VLOOKUP($A162,main!$A$3:$I$56,6,FALSE)&gt;=VLOOKUP(57,main!$A$57:$I$59,4,FALSE)+VLOOKUP(VLOOKUP(AC$1,main!$A$3:$I$56,7,FALSE),main!$K$10:$Q$14,5,FALSE),1,0)</f>
        <v>0</v>
      </c>
      <c r="AD162">
        <f>IF(VLOOKUP(AD$1,main!$A$3:$I$56,5,FALSE)-VLOOKUP($A162,main!$A$3:$I$56,6,FALSE)&gt;=VLOOKUP(57,main!$A$57:$I$59,4,FALSE)+VLOOKUP(VLOOKUP(AD$1,main!$A$3:$I$56,7,FALSE),main!$K$10:$Q$14,5,FALSE),1,0)</f>
        <v>0</v>
      </c>
      <c r="AE162">
        <f>IF(VLOOKUP(AE$1,main!$A$3:$I$56,5,FALSE)-VLOOKUP($A162,main!$A$3:$I$56,6,FALSE)&gt;=VLOOKUP(57,main!$A$57:$I$59,4,FALSE)+VLOOKUP(VLOOKUP(AE$1,main!$A$3:$I$56,7,FALSE),main!$K$10:$Q$14,5,FALSE),1,0)</f>
        <v>1</v>
      </c>
      <c r="AF162">
        <f>IF(VLOOKUP(AF$1,main!$A$3:$I$56,5,FALSE)-VLOOKUP($A162,main!$A$3:$I$56,6,FALSE)&gt;=VLOOKUP(57,main!$A$57:$I$59,4,FALSE)+VLOOKUP(VLOOKUP(AF$1,main!$A$3:$I$56,7,FALSE),main!$K$10:$Q$14,5,FALSE),1,0)</f>
        <v>1</v>
      </c>
      <c r="AG162">
        <f>IF(VLOOKUP(AG$1,main!$A$3:$I$56,5,FALSE)-VLOOKUP($A162,main!$A$3:$I$56,6,FALSE)&gt;=VLOOKUP(57,main!$A$57:$I$59,4,FALSE)+VLOOKUP(VLOOKUP(AG$1,main!$A$3:$I$56,7,FALSE),main!$K$10:$Q$14,5,FALSE),1,0)</f>
        <v>0</v>
      </c>
      <c r="AH162">
        <f>IF(VLOOKUP(AH$1,main!$A$3:$I$56,5,FALSE)-VLOOKUP($A162,main!$A$3:$I$56,6,FALSE)&gt;=VLOOKUP(57,main!$A$57:$I$59,4,FALSE)+VLOOKUP(VLOOKUP(AH$1,main!$A$3:$I$56,7,FALSE),main!$K$10:$Q$14,5,FALSE),1,0)</f>
        <v>0</v>
      </c>
      <c r="AI162">
        <f>IF(VLOOKUP(AI$1,main!$A$3:$I$56,5,FALSE)-VLOOKUP($A162,main!$A$3:$I$56,6,FALSE)&gt;=VLOOKUP(57,main!$A$57:$I$59,4,FALSE)+VLOOKUP(VLOOKUP(AI$1,main!$A$3:$I$56,7,FALSE),main!$K$10:$Q$14,5,FALSE),1,0)</f>
        <v>0</v>
      </c>
      <c r="AJ162">
        <f>IF(VLOOKUP(AJ$1,main!$A$3:$I$56,5,FALSE)-VLOOKUP($A162,main!$A$3:$I$56,6,FALSE)&gt;=VLOOKUP(57,main!$A$57:$I$59,4,FALSE)+VLOOKUP(VLOOKUP(AJ$1,main!$A$3:$I$56,7,FALSE),main!$K$10:$Q$14,5,FALSE),1,0)</f>
        <v>0</v>
      </c>
      <c r="AK162">
        <f>IF(VLOOKUP(AK$1,main!$A$3:$I$56,5,FALSE)-VLOOKUP($A162,main!$A$3:$I$56,6,FALSE)&gt;=VLOOKUP(57,main!$A$57:$I$59,4,FALSE)+VLOOKUP(VLOOKUP(AK$1,main!$A$3:$I$56,7,FALSE),main!$K$10:$Q$14,5,FALSE),1,0)</f>
        <v>1</v>
      </c>
      <c r="AL162">
        <f>IF(VLOOKUP(AL$1,main!$A$3:$I$56,5,FALSE)-VLOOKUP($A162,main!$A$3:$I$56,6,FALSE)&gt;=VLOOKUP(57,main!$A$57:$I$59,4,FALSE)+VLOOKUP(VLOOKUP(AL$1,main!$A$3:$I$56,7,FALSE),main!$K$10:$Q$14,5,FALSE),1,0)</f>
        <v>0</v>
      </c>
      <c r="AM162">
        <f>IF(VLOOKUP(AM$1,main!$A$3:$I$56,5,FALSE)-VLOOKUP($A162,main!$A$3:$I$56,6,FALSE)&gt;=VLOOKUP(57,main!$A$57:$I$59,4,FALSE)+VLOOKUP(VLOOKUP(AM$1,main!$A$3:$I$56,7,FALSE),main!$K$10:$Q$14,5,FALSE),1,0)</f>
        <v>0</v>
      </c>
      <c r="AN162">
        <f>IF(VLOOKUP(AN$1,main!$A$3:$I$56,5,FALSE)-VLOOKUP($A162,main!$A$3:$I$56,6,FALSE)&gt;=VLOOKUP(57,main!$A$57:$I$59,4,FALSE)+VLOOKUP(VLOOKUP(AN$1,main!$A$3:$I$56,7,FALSE),main!$K$10:$Q$14,5,FALSE),1,0)</f>
        <v>0</v>
      </c>
      <c r="AO162">
        <f>IF(VLOOKUP(AO$1,main!$A$3:$I$56,5,FALSE)-VLOOKUP($A162,main!$A$3:$I$56,6,FALSE)&gt;=VLOOKUP(57,main!$A$57:$I$59,4,FALSE)+VLOOKUP(VLOOKUP(AO$1,main!$A$3:$I$56,7,FALSE),main!$K$10:$Q$14,5,FALSE),1,0)</f>
        <v>1</v>
      </c>
      <c r="AP162">
        <f>IF(VLOOKUP(AP$1,main!$A$3:$I$56,5,FALSE)-VLOOKUP($A162,main!$A$3:$I$56,6,FALSE)&gt;=VLOOKUP(57,main!$A$57:$I$59,4,FALSE)+VLOOKUP(VLOOKUP(AP$1,main!$A$3:$I$56,7,FALSE),main!$K$10:$Q$14,5,FALSE),1,0)</f>
        <v>0</v>
      </c>
      <c r="AQ162">
        <f>IF(VLOOKUP(AQ$1,main!$A$3:$I$56,5,FALSE)-VLOOKUP($A162,main!$A$3:$I$56,6,FALSE)&gt;=VLOOKUP(57,main!$A$57:$I$59,4,FALSE)+VLOOKUP(VLOOKUP(AQ$1,main!$A$3:$I$56,7,FALSE),main!$K$10:$Q$14,5,FALSE),1,0)</f>
        <v>0</v>
      </c>
      <c r="AR162">
        <f>IF(VLOOKUP(AR$1,main!$A$3:$I$56,5,FALSE)-VLOOKUP($A162,main!$A$3:$I$56,6,FALSE)&gt;=VLOOKUP(57,main!$A$57:$I$59,4,FALSE)+VLOOKUP(VLOOKUP(AR$1,main!$A$3:$I$56,7,FALSE),main!$K$10:$Q$14,5,FALSE),1,0)</f>
        <v>0</v>
      </c>
      <c r="AS162">
        <f>IF(VLOOKUP(AS$1,main!$A$3:$I$56,5,FALSE)-VLOOKUP($A162,main!$A$3:$I$56,6,FALSE)&gt;=VLOOKUP(57,main!$A$57:$I$59,4,FALSE)+VLOOKUP(VLOOKUP(AS$1,main!$A$3:$I$56,7,FALSE),main!$K$10:$Q$14,5,FALSE),1,0)</f>
        <v>0</v>
      </c>
      <c r="AT162">
        <f>IF(VLOOKUP(AT$1,main!$A$3:$I$56,5,FALSE)-VLOOKUP($A162,main!$A$3:$I$56,6,FALSE)&gt;=VLOOKUP(57,main!$A$57:$I$59,4,FALSE)+VLOOKUP(VLOOKUP(AT$1,main!$A$3:$I$56,7,FALSE),main!$K$10:$Q$14,5,FALSE),1,0)</f>
        <v>0</v>
      </c>
      <c r="AU162">
        <f>IF(VLOOKUP(AU$1,main!$A$3:$I$56,5,FALSE)-VLOOKUP($A162,main!$A$3:$I$56,6,FALSE)&gt;=VLOOKUP(57,main!$A$57:$I$59,4,FALSE)+VLOOKUP(VLOOKUP(AU$1,main!$A$3:$I$56,7,FALSE),main!$K$10:$Q$14,5,FALSE),1,0)</f>
        <v>0</v>
      </c>
      <c r="AV162">
        <f>IF(VLOOKUP(AV$1,main!$A$3:$I$56,5,FALSE)-VLOOKUP($A162,main!$A$3:$I$56,6,FALSE)&gt;=VLOOKUP(57,main!$A$57:$I$59,4,FALSE)+VLOOKUP(VLOOKUP(AV$1,main!$A$3:$I$56,7,FALSE),main!$K$10:$Q$14,5,FALSE),1,0)</f>
        <v>0</v>
      </c>
      <c r="AW162">
        <f>IF(VLOOKUP(AW$1,main!$A$3:$I$56,5,FALSE)-VLOOKUP($A162,main!$A$3:$I$56,6,FALSE)&gt;=VLOOKUP(57,main!$A$57:$I$59,4,FALSE)+VLOOKUP(VLOOKUP(AW$1,main!$A$3:$I$56,7,FALSE),main!$K$10:$Q$14,5,FALSE),1,0)</f>
        <v>0</v>
      </c>
      <c r="AX162">
        <f>IF(VLOOKUP(AX$1,main!$A$3:$I$56,5,FALSE)-VLOOKUP($A162,main!$A$3:$I$56,6,FALSE)&gt;=VLOOKUP(57,main!$A$57:$I$59,4,FALSE)+VLOOKUP(VLOOKUP(AX$1,main!$A$3:$I$56,7,FALSE),main!$K$10:$Q$14,5,FALSE),1,0)</f>
        <v>1</v>
      </c>
      <c r="AY162">
        <f>IF(VLOOKUP(AY$1,main!$A$3:$I$56,5,FALSE)-VLOOKUP($A162,main!$A$3:$I$56,6,FALSE)&gt;=VLOOKUP(57,main!$A$57:$I$59,4,FALSE)+VLOOKUP(VLOOKUP(AY$1,main!$A$3:$I$56,7,FALSE),main!$K$10:$Q$14,5,FALSE),1,0)</f>
        <v>1</v>
      </c>
      <c r="AZ162">
        <f>IF(VLOOKUP(AZ$1,main!$A$3:$I$56,5,FALSE)-VLOOKUP($A162,main!$A$3:$I$56,6,FALSE)&gt;=VLOOKUP(57,main!$A$57:$I$59,4,FALSE)+VLOOKUP(VLOOKUP(AZ$1,main!$A$3:$I$56,7,FALSE),main!$K$10:$Q$14,5,FALSE),1,0)</f>
        <v>0</v>
      </c>
      <c r="BA162">
        <f>IF(VLOOKUP(BA$1,main!$A$3:$I$56,5,FALSE)-VLOOKUP($A162,main!$A$3:$I$56,6,FALSE)&gt;=VLOOKUP(57,main!$A$57:$I$59,4,FALSE)+VLOOKUP(VLOOKUP(BA$1,main!$A$3:$I$56,7,FALSE),main!$K$10:$Q$14,5,FALSE),1,0)</f>
        <v>0</v>
      </c>
      <c r="BB162">
        <f>IF(VLOOKUP(BB$1,main!$A$3:$I$56,5,FALSE)-VLOOKUP($A162,main!$A$3:$I$56,6,FALSE)&gt;=VLOOKUP(57,main!$A$57:$I$59,4,FALSE)+VLOOKUP(VLOOKUP(BB$1,main!$A$3:$I$56,7,FALSE),main!$K$10:$Q$14,5,FALSE),1,0)</f>
        <v>0</v>
      </c>
      <c r="BC162">
        <f>IF(VLOOKUP(BC$1,main!$A$3:$I$56,5,FALSE)-VLOOKUP($A162,main!$A$3:$I$56,6,FALSE)&gt;=VLOOKUP(57,main!$A$57:$I$59,4,FALSE)+VLOOKUP(VLOOKUP(BC$1,main!$A$3:$I$56,7,FALSE),main!$K$10:$Q$14,5,FALSE),1,0)</f>
        <v>1</v>
      </c>
      <c r="BD162">
        <f>IF(VLOOKUP(BD$1,main!$A$3:$I$56,5,FALSE)-VLOOKUP($A162,main!$A$3:$I$56,6,FALSE)&gt;=VLOOKUP(57,main!$A$57:$I$59,4,FALSE)+VLOOKUP(VLOOKUP(BD$1,main!$A$3:$I$56,7,FALSE),main!$K$10:$Q$14,5,FALSE),1,0)</f>
        <v>1</v>
      </c>
    </row>
    <row r="163" spans="1:56" x14ac:dyDescent="0.25">
      <c r="A163">
        <f t="shared" si="2"/>
        <v>51</v>
      </c>
      <c r="B163">
        <v>0</v>
      </c>
      <c r="C163">
        <f>IF(VLOOKUP(C$1,main!$A$3:$I$56,5,FALSE)-VLOOKUP($A163,main!$A$3:$I$56,6,FALSE)&gt;=VLOOKUP(57,main!$A$57:$I$59,4,FALSE)+VLOOKUP(VLOOKUP(C$1,main!$A$3:$I$56,7,FALSE),main!$K$10:$Q$14,5,FALSE),1,0)</f>
        <v>0</v>
      </c>
      <c r="D163">
        <f>IF(VLOOKUP(D$1,main!$A$3:$I$56,5,FALSE)-VLOOKUP($A163,main!$A$3:$I$56,6,FALSE)&gt;=VLOOKUP(57,main!$A$57:$I$59,4,FALSE)+VLOOKUP(VLOOKUP(D$1,main!$A$3:$I$56,7,FALSE),main!$K$10:$Q$14,5,FALSE),1,0)</f>
        <v>0</v>
      </c>
      <c r="E163">
        <f>IF(VLOOKUP(E$1,main!$A$3:$I$56,5,FALSE)-VLOOKUP($A163,main!$A$3:$I$56,6,FALSE)&gt;=VLOOKUP(57,main!$A$57:$I$59,4,FALSE)+VLOOKUP(VLOOKUP(E$1,main!$A$3:$I$56,7,FALSE),main!$K$10:$Q$14,5,FALSE),1,0)</f>
        <v>0</v>
      </c>
      <c r="F163">
        <f>IF(VLOOKUP(F$1,main!$A$3:$I$56,5,FALSE)-VLOOKUP($A163,main!$A$3:$I$56,6,FALSE)&gt;=VLOOKUP(57,main!$A$57:$I$59,4,FALSE)+VLOOKUP(VLOOKUP(F$1,main!$A$3:$I$56,7,FALSE),main!$K$10:$Q$14,5,FALSE),1,0)</f>
        <v>0</v>
      </c>
      <c r="G163">
        <f>IF(VLOOKUP(G$1,main!$A$3:$I$56,5,FALSE)-VLOOKUP($A163,main!$A$3:$I$56,6,FALSE)&gt;=VLOOKUP(57,main!$A$57:$I$59,4,FALSE)+VLOOKUP(VLOOKUP(G$1,main!$A$3:$I$56,7,FALSE),main!$K$10:$Q$14,5,FALSE),1,0)</f>
        <v>0</v>
      </c>
      <c r="H163">
        <f>IF(VLOOKUP(H$1,main!$A$3:$I$56,5,FALSE)-VLOOKUP($A163,main!$A$3:$I$56,6,FALSE)&gt;=VLOOKUP(57,main!$A$57:$I$59,4,FALSE)+VLOOKUP(VLOOKUP(H$1,main!$A$3:$I$56,7,FALSE),main!$K$10:$Q$14,5,FALSE),1,0)</f>
        <v>0</v>
      </c>
      <c r="I163">
        <f>IF(VLOOKUP(I$1,main!$A$3:$I$56,5,FALSE)-VLOOKUP($A163,main!$A$3:$I$56,6,FALSE)&gt;=VLOOKUP(57,main!$A$57:$I$59,4,FALSE)+VLOOKUP(VLOOKUP(I$1,main!$A$3:$I$56,7,FALSE),main!$K$10:$Q$14,5,FALSE),1,0)</f>
        <v>1</v>
      </c>
      <c r="J163">
        <f>IF(VLOOKUP(J$1,main!$A$3:$I$56,5,FALSE)-VLOOKUP($A163,main!$A$3:$I$56,6,FALSE)&gt;=VLOOKUP(57,main!$A$57:$I$59,4,FALSE)+VLOOKUP(VLOOKUP(J$1,main!$A$3:$I$56,7,FALSE),main!$K$10:$Q$14,5,FALSE),1,0)</f>
        <v>1</v>
      </c>
      <c r="K163">
        <f>IF(VLOOKUP(K$1,main!$A$3:$I$56,5,FALSE)-VLOOKUP($A163,main!$A$3:$I$56,6,FALSE)&gt;=VLOOKUP(57,main!$A$57:$I$59,4,FALSE)+VLOOKUP(VLOOKUP(K$1,main!$A$3:$I$56,7,FALSE),main!$K$10:$Q$14,5,FALSE),1,0)</f>
        <v>0</v>
      </c>
      <c r="L163">
        <f>IF(VLOOKUP(L$1,main!$A$3:$I$56,5,FALSE)-VLOOKUP($A163,main!$A$3:$I$56,6,FALSE)&gt;=VLOOKUP(57,main!$A$57:$I$59,4,FALSE)+VLOOKUP(VLOOKUP(L$1,main!$A$3:$I$56,7,FALSE),main!$K$10:$Q$14,5,FALSE),1,0)</f>
        <v>0</v>
      </c>
      <c r="M163">
        <f>IF(VLOOKUP(M$1,main!$A$3:$I$56,5,FALSE)-VLOOKUP($A163,main!$A$3:$I$56,6,FALSE)&gt;=VLOOKUP(57,main!$A$57:$I$59,4,FALSE)+VLOOKUP(VLOOKUP(M$1,main!$A$3:$I$56,7,FALSE),main!$K$10:$Q$14,5,FALSE),1,0)</f>
        <v>0</v>
      </c>
      <c r="N163">
        <f>IF(VLOOKUP(N$1,main!$A$3:$I$56,5,FALSE)-VLOOKUP($A163,main!$A$3:$I$56,6,FALSE)&gt;=VLOOKUP(57,main!$A$57:$I$59,4,FALSE)+VLOOKUP(VLOOKUP(N$1,main!$A$3:$I$56,7,FALSE),main!$K$10:$Q$14,5,FALSE),1,0)</f>
        <v>1</v>
      </c>
      <c r="O163">
        <f>IF(VLOOKUP(O$1,main!$A$3:$I$56,5,FALSE)-VLOOKUP($A163,main!$A$3:$I$56,6,FALSE)&gt;=VLOOKUP(57,main!$A$57:$I$59,4,FALSE)+VLOOKUP(VLOOKUP(O$1,main!$A$3:$I$56,7,FALSE),main!$K$10:$Q$14,5,FALSE),1,0)</f>
        <v>1</v>
      </c>
      <c r="P163">
        <f>IF(VLOOKUP(P$1,main!$A$3:$I$56,5,FALSE)-VLOOKUP($A163,main!$A$3:$I$56,6,FALSE)&gt;=VLOOKUP(57,main!$A$57:$I$59,4,FALSE)+VLOOKUP(VLOOKUP(P$1,main!$A$3:$I$56,7,FALSE),main!$K$10:$Q$14,5,FALSE),1,0)</f>
        <v>0</v>
      </c>
      <c r="Q163">
        <f>IF(VLOOKUP(Q$1,main!$A$3:$I$56,5,FALSE)-VLOOKUP($A163,main!$A$3:$I$56,6,FALSE)&gt;=VLOOKUP(57,main!$A$57:$I$59,4,FALSE)+VLOOKUP(VLOOKUP(Q$1,main!$A$3:$I$56,7,FALSE),main!$K$10:$Q$14,5,FALSE),1,0)</f>
        <v>0</v>
      </c>
      <c r="R163">
        <f>IF(VLOOKUP(R$1,main!$A$3:$I$56,5,FALSE)-VLOOKUP($A163,main!$A$3:$I$56,6,FALSE)&gt;=VLOOKUP(57,main!$A$57:$I$59,4,FALSE)+VLOOKUP(VLOOKUP(R$1,main!$A$3:$I$56,7,FALSE),main!$K$10:$Q$14,5,FALSE),1,0)</f>
        <v>0</v>
      </c>
      <c r="S163">
        <f>IF(VLOOKUP(S$1,main!$A$3:$I$56,5,FALSE)-VLOOKUP($A163,main!$A$3:$I$56,6,FALSE)&gt;=VLOOKUP(57,main!$A$57:$I$59,4,FALSE)+VLOOKUP(VLOOKUP(S$1,main!$A$3:$I$56,7,FALSE),main!$K$10:$Q$14,5,FALSE),1,0)</f>
        <v>0</v>
      </c>
      <c r="T163">
        <f>IF(VLOOKUP(T$1,main!$A$3:$I$56,5,FALSE)-VLOOKUP($A163,main!$A$3:$I$56,6,FALSE)&gt;=VLOOKUP(57,main!$A$57:$I$59,4,FALSE)+VLOOKUP(VLOOKUP(T$1,main!$A$3:$I$56,7,FALSE),main!$K$10:$Q$14,5,FALSE),1,0)</f>
        <v>1</v>
      </c>
      <c r="U163">
        <f>IF(VLOOKUP(U$1,main!$A$3:$I$56,5,FALSE)-VLOOKUP($A163,main!$A$3:$I$56,6,FALSE)&gt;=VLOOKUP(57,main!$A$57:$I$59,4,FALSE)+VLOOKUP(VLOOKUP(U$1,main!$A$3:$I$56,7,FALSE),main!$K$10:$Q$14,5,FALSE),1,0)</f>
        <v>0</v>
      </c>
      <c r="V163">
        <f>IF(VLOOKUP(V$1,main!$A$3:$I$56,5,FALSE)-VLOOKUP($A163,main!$A$3:$I$56,6,FALSE)&gt;=VLOOKUP(57,main!$A$57:$I$59,4,FALSE)+VLOOKUP(VLOOKUP(V$1,main!$A$3:$I$56,7,FALSE),main!$K$10:$Q$14,5,FALSE),1,0)</f>
        <v>0</v>
      </c>
      <c r="W163">
        <f>IF(VLOOKUP(W$1,main!$A$3:$I$56,5,FALSE)-VLOOKUP($A163,main!$A$3:$I$56,6,FALSE)&gt;=VLOOKUP(57,main!$A$57:$I$59,4,FALSE)+VLOOKUP(VLOOKUP(W$1,main!$A$3:$I$56,7,FALSE),main!$K$10:$Q$14,5,FALSE),1,0)</f>
        <v>0</v>
      </c>
      <c r="X163">
        <f>IF(VLOOKUP(X$1,main!$A$3:$I$56,5,FALSE)-VLOOKUP($A163,main!$A$3:$I$56,6,FALSE)&gt;=VLOOKUP(57,main!$A$57:$I$59,4,FALSE)+VLOOKUP(VLOOKUP(X$1,main!$A$3:$I$56,7,FALSE),main!$K$10:$Q$14,5,FALSE),1,0)</f>
        <v>0</v>
      </c>
      <c r="Y163">
        <f>IF(VLOOKUP(Y$1,main!$A$3:$I$56,5,FALSE)-VLOOKUP($A163,main!$A$3:$I$56,6,FALSE)&gt;=VLOOKUP(57,main!$A$57:$I$59,4,FALSE)+VLOOKUP(VLOOKUP(Y$1,main!$A$3:$I$56,7,FALSE),main!$K$10:$Q$14,5,FALSE),1,0)</f>
        <v>0</v>
      </c>
      <c r="Z163">
        <f>IF(VLOOKUP(Z$1,main!$A$3:$I$56,5,FALSE)-VLOOKUP($A163,main!$A$3:$I$56,6,FALSE)&gt;=VLOOKUP(57,main!$A$57:$I$59,4,FALSE)+VLOOKUP(VLOOKUP(Z$1,main!$A$3:$I$56,7,FALSE),main!$K$10:$Q$14,5,FALSE),1,0)</f>
        <v>1</v>
      </c>
      <c r="AA163">
        <f>IF(VLOOKUP(AA$1,main!$A$3:$I$56,5,FALSE)-VLOOKUP($A163,main!$A$3:$I$56,6,FALSE)&gt;=VLOOKUP(57,main!$A$57:$I$59,4,FALSE)+VLOOKUP(VLOOKUP(AA$1,main!$A$3:$I$56,7,FALSE),main!$K$10:$Q$14,5,FALSE),1,0)</f>
        <v>1</v>
      </c>
      <c r="AB163">
        <f>IF(VLOOKUP(AB$1,main!$A$3:$I$56,5,FALSE)-VLOOKUP($A163,main!$A$3:$I$56,6,FALSE)&gt;=VLOOKUP(57,main!$A$57:$I$59,4,FALSE)+VLOOKUP(VLOOKUP(AB$1,main!$A$3:$I$56,7,FALSE),main!$K$10:$Q$14,5,FALSE),1,0)</f>
        <v>1</v>
      </c>
      <c r="AC163">
        <f>IF(VLOOKUP(AC$1,main!$A$3:$I$56,5,FALSE)-VLOOKUP($A163,main!$A$3:$I$56,6,FALSE)&gt;=VLOOKUP(57,main!$A$57:$I$59,4,FALSE)+VLOOKUP(VLOOKUP(AC$1,main!$A$3:$I$56,7,FALSE),main!$K$10:$Q$14,5,FALSE),1,0)</f>
        <v>0</v>
      </c>
      <c r="AD163">
        <f>IF(VLOOKUP(AD$1,main!$A$3:$I$56,5,FALSE)-VLOOKUP($A163,main!$A$3:$I$56,6,FALSE)&gt;=VLOOKUP(57,main!$A$57:$I$59,4,FALSE)+VLOOKUP(VLOOKUP(AD$1,main!$A$3:$I$56,7,FALSE),main!$K$10:$Q$14,5,FALSE),1,0)</f>
        <v>0</v>
      </c>
      <c r="AE163">
        <f>IF(VLOOKUP(AE$1,main!$A$3:$I$56,5,FALSE)-VLOOKUP($A163,main!$A$3:$I$56,6,FALSE)&gt;=VLOOKUP(57,main!$A$57:$I$59,4,FALSE)+VLOOKUP(VLOOKUP(AE$1,main!$A$3:$I$56,7,FALSE),main!$K$10:$Q$14,5,FALSE),1,0)</f>
        <v>0</v>
      </c>
      <c r="AF163">
        <f>IF(VLOOKUP(AF$1,main!$A$3:$I$56,5,FALSE)-VLOOKUP($A163,main!$A$3:$I$56,6,FALSE)&gt;=VLOOKUP(57,main!$A$57:$I$59,4,FALSE)+VLOOKUP(VLOOKUP(AF$1,main!$A$3:$I$56,7,FALSE),main!$K$10:$Q$14,5,FALSE),1,0)</f>
        <v>1</v>
      </c>
      <c r="AG163">
        <f>IF(VLOOKUP(AG$1,main!$A$3:$I$56,5,FALSE)-VLOOKUP($A163,main!$A$3:$I$56,6,FALSE)&gt;=VLOOKUP(57,main!$A$57:$I$59,4,FALSE)+VLOOKUP(VLOOKUP(AG$1,main!$A$3:$I$56,7,FALSE),main!$K$10:$Q$14,5,FALSE),1,0)</f>
        <v>0</v>
      </c>
      <c r="AH163">
        <f>IF(VLOOKUP(AH$1,main!$A$3:$I$56,5,FALSE)-VLOOKUP($A163,main!$A$3:$I$56,6,FALSE)&gt;=VLOOKUP(57,main!$A$57:$I$59,4,FALSE)+VLOOKUP(VLOOKUP(AH$1,main!$A$3:$I$56,7,FALSE),main!$K$10:$Q$14,5,FALSE),1,0)</f>
        <v>0</v>
      </c>
      <c r="AI163">
        <f>IF(VLOOKUP(AI$1,main!$A$3:$I$56,5,FALSE)-VLOOKUP($A163,main!$A$3:$I$56,6,FALSE)&gt;=VLOOKUP(57,main!$A$57:$I$59,4,FALSE)+VLOOKUP(VLOOKUP(AI$1,main!$A$3:$I$56,7,FALSE),main!$K$10:$Q$14,5,FALSE),1,0)</f>
        <v>0</v>
      </c>
      <c r="AJ163">
        <f>IF(VLOOKUP(AJ$1,main!$A$3:$I$56,5,FALSE)-VLOOKUP($A163,main!$A$3:$I$56,6,FALSE)&gt;=VLOOKUP(57,main!$A$57:$I$59,4,FALSE)+VLOOKUP(VLOOKUP(AJ$1,main!$A$3:$I$56,7,FALSE),main!$K$10:$Q$14,5,FALSE),1,0)</f>
        <v>0</v>
      </c>
      <c r="AK163">
        <f>IF(VLOOKUP(AK$1,main!$A$3:$I$56,5,FALSE)-VLOOKUP($A163,main!$A$3:$I$56,6,FALSE)&gt;=VLOOKUP(57,main!$A$57:$I$59,4,FALSE)+VLOOKUP(VLOOKUP(AK$1,main!$A$3:$I$56,7,FALSE),main!$K$10:$Q$14,5,FALSE),1,0)</f>
        <v>0</v>
      </c>
      <c r="AL163">
        <f>IF(VLOOKUP(AL$1,main!$A$3:$I$56,5,FALSE)-VLOOKUP($A163,main!$A$3:$I$56,6,FALSE)&gt;=VLOOKUP(57,main!$A$57:$I$59,4,FALSE)+VLOOKUP(VLOOKUP(AL$1,main!$A$3:$I$56,7,FALSE),main!$K$10:$Q$14,5,FALSE),1,0)</f>
        <v>0</v>
      </c>
      <c r="AM163">
        <f>IF(VLOOKUP(AM$1,main!$A$3:$I$56,5,FALSE)-VLOOKUP($A163,main!$A$3:$I$56,6,FALSE)&gt;=VLOOKUP(57,main!$A$57:$I$59,4,FALSE)+VLOOKUP(VLOOKUP(AM$1,main!$A$3:$I$56,7,FALSE),main!$K$10:$Q$14,5,FALSE),1,0)</f>
        <v>0</v>
      </c>
      <c r="AN163">
        <f>IF(VLOOKUP(AN$1,main!$A$3:$I$56,5,FALSE)-VLOOKUP($A163,main!$A$3:$I$56,6,FALSE)&gt;=VLOOKUP(57,main!$A$57:$I$59,4,FALSE)+VLOOKUP(VLOOKUP(AN$1,main!$A$3:$I$56,7,FALSE),main!$K$10:$Q$14,5,FALSE),1,0)</f>
        <v>0</v>
      </c>
      <c r="AO163">
        <f>IF(VLOOKUP(AO$1,main!$A$3:$I$56,5,FALSE)-VLOOKUP($A163,main!$A$3:$I$56,6,FALSE)&gt;=VLOOKUP(57,main!$A$57:$I$59,4,FALSE)+VLOOKUP(VLOOKUP(AO$1,main!$A$3:$I$56,7,FALSE),main!$K$10:$Q$14,5,FALSE),1,0)</f>
        <v>0</v>
      </c>
      <c r="AP163">
        <f>IF(VLOOKUP(AP$1,main!$A$3:$I$56,5,FALSE)-VLOOKUP($A163,main!$A$3:$I$56,6,FALSE)&gt;=VLOOKUP(57,main!$A$57:$I$59,4,FALSE)+VLOOKUP(VLOOKUP(AP$1,main!$A$3:$I$56,7,FALSE),main!$K$10:$Q$14,5,FALSE),1,0)</f>
        <v>0</v>
      </c>
      <c r="AQ163">
        <f>IF(VLOOKUP(AQ$1,main!$A$3:$I$56,5,FALSE)-VLOOKUP($A163,main!$A$3:$I$56,6,FALSE)&gt;=VLOOKUP(57,main!$A$57:$I$59,4,FALSE)+VLOOKUP(VLOOKUP(AQ$1,main!$A$3:$I$56,7,FALSE),main!$K$10:$Q$14,5,FALSE),1,0)</f>
        <v>0</v>
      </c>
      <c r="AR163">
        <f>IF(VLOOKUP(AR$1,main!$A$3:$I$56,5,FALSE)-VLOOKUP($A163,main!$A$3:$I$56,6,FALSE)&gt;=VLOOKUP(57,main!$A$57:$I$59,4,FALSE)+VLOOKUP(VLOOKUP(AR$1,main!$A$3:$I$56,7,FALSE),main!$K$10:$Q$14,5,FALSE),1,0)</f>
        <v>0</v>
      </c>
      <c r="AS163">
        <f>IF(VLOOKUP(AS$1,main!$A$3:$I$56,5,FALSE)-VLOOKUP($A163,main!$A$3:$I$56,6,FALSE)&gt;=VLOOKUP(57,main!$A$57:$I$59,4,FALSE)+VLOOKUP(VLOOKUP(AS$1,main!$A$3:$I$56,7,FALSE),main!$K$10:$Q$14,5,FALSE),1,0)</f>
        <v>0</v>
      </c>
      <c r="AT163">
        <f>IF(VLOOKUP(AT$1,main!$A$3:$I$56,5,FALSE)-VLOOKUP($A163,main!$A$3:$I$56,6,FALSE)&gt;=VLOOKUP(57,main!$A$57:$I$59,4,FALSE)+VLOOKUP(VLOOKUP(AT$1,main!$A$3:$I$56,7,FALSE),main!$K$10:$Q$14,5,FALSE),1,0)</f>
        <v>0</v>
      </c>
      <c r="AU163">
        <f>IF(VLOOKUP(AU$1,main!$A$3:$I$56,5,FALSE)-VLOOKUP($A163,main!$A$3:$I$56,6,FALSE)&gt;=VLOOKUP(57,main!$A$57:$I$59,4,FALSE)+VLOOKUP(VLOOKUP(AU$1,main!$A$3:$I$56,7,FALSE),main!$K$10:$Q$14,5,FALSE),1,0)</f>
        <v>0</v>
      </c>
      <c r="AV163">
        <f>IF(VLOOKUP(AV$1,main!$A$3:$I$56,5,FALSE)-VLOOKUP($A163,main!$A$3:$I$56,6,FALSE)&gt;=VLOOKUP(57,main!$A$57:$I$59,4,FALSE)+VLOOKUP(VLOOKUP(AV$1,main!$A$3:$I$56,7,FALSE),main!$K$10:$Q$14,5,FALSE),1,0)</f>
        <v>0</v>
      </c>
      <c r="AW163">
        <f>IF(VLOOKUP(AW$1,main!$A$3:$I$56,5,FALSE)-VLOOKUP($A163,main!$A$3:$I$56,6,FALSE)&gt;=VLOOKUP(57,main!$A$57:$I$59,4,FALSE)+VLOOKUP(VLOOKUP(AW$1,main!$A$3:$I$56,7,FALSE),main!$K$10:$Q$14,5,FALSE),1,0)</f>
        <v>0</v>
      </c>
      <c r="AX163">
        <f>IF(VLOOKUP(AX$1,main!$A$3:$I$56,5,FALSE)-VLOOKUP($A163,main!$A$3:$I$56,6,FALSE)&gt;=VLOOKUP(57,main!$A$57:$I$59,4,FALSE)+VLOOKUP(VLOOKUP(AX$1,main!$A$3:$I$56,7,FALSE),main!$K$10:$Q$14,5,FALSE),1,0)</f>
        <v>0</v>
      </c>
      <c r="AY163">
        <f>IF(VLOOKUP(AY$1,main!$A$3:$I$56,5,FALSE)-VLOOKUP($A163,main!$A$3:$I$56,6,FALSE)&gt;=VLOOKUP(57,main!$A$57:$I$59,4,FALSE)+VLOOKUP(VLOOKUP(AY$1,main!$A$3:$I$56,7,FALSE),main!$K$10:$Q$14,5,FALSE),1,0)</f>
        <v>1</v>
      </c>
      <c r="AZ163">
        <f>IF(VLOOKUP(AZ$1,main!$A$3:$I$56,5,FALSE)-VLOOKUP($A163,main!$A$3:$I$56,6,FALSE)&gt;=VLOOKUP(57,main!$A$57:$I$59,4,FALSE)+VLOOKUP(VLOOKUP(AZ$1,main!$A$3:$I$56,7,FALSE),main!$K$10:$Q$14,5,FALSE),1,0)</f>
        <v>0</v>
      </c>
      <c r="BA163">
        <f>IF(VLOOKUP(BA$1,main!$A$3:$I$56,5,FALSE)-VLOOKUP($A163,main!$A$3:$I$56,6,FALSE)&gt;=VLOOKUP(57,main!$A$57:$I$59,4,FALSE)+VLOOKUP(VLOOKUP(BA$1,main!$A$3:$I$56,7,FALSE),main!$K$10:$Q$14,5,FALSE),1,0)</f>
        <v>0</v>
      </c>
      <c r="BB163">
        <f>IF(VLOOKUP(BB$1,main!$A$3:$I$56,5,FALSE)-VLOOKUP($A163,main!$A$3:$I$56,6,FALSE)&gt;=VLOOKUP(57,main!$A$57:$I$59,4,FALSE)+VLOOKUP(VLOOKUP(BB$1,main!$A$3:$I$56,7,FALSE),main!$K$10:$Q$14,5,FALSE),1,0)</f>
        <v>0</v>
      </c>
      <c r="BC163">
        <f>IF(VLOOKUP(BC$1,main!$A$3:$I$56,5,FALSE)-VLOOKUP($A163,main!$A$3:$I$56,6,FALSE)&gt;=VLOOKUP(57,main!$A$57:$I$59,4,FALSE)+VLOOKUP(VLOOKUP(BC$1,main!$A$3:$I$56,7,FALSE),main!$K$10:$Q$14,5,FALSE),1,0)</f>
        <v>0</v>
      </c>
      <c r="BD163">
        <f>IF(VLOOKUP(BD$1,main!$A$3:$I$56,5,FALSE)-VLOOKUP($A163,main!$A$3:$I$56,6,FALSE)&gt;=VLOOKUP(57,main!$A$57:$I$59,4,FALSE)+VLOOKUP(VLOOKUP(BD$1,main!$A$3:$I$56,7,FALSE),main!$K$10:$Q$14,5,FALSE),1,0)</f>
        <v>0</v>
      </c>
    </row>
    <row r="164" spans="1:56" x14ac:dyDescent="0.25">
      <c r="A164">
        <f t="shared" si="2"/>
        <v>52</v>
      </c>
      <c r="B164">
        <v>0</v>
      </c>
      <c r="C164">
        <f>IF(VLOOKUP(C$1,main!$A$3:$I$56,5,FALSE)-VLOOKUP($A164,main!$A$3:$I$56,6,FALSE)&gt;=VLOOKUP(57,main!$A$57:$I$59,4,FALSE)+VLOOKUP(VLOOKUP(C$1,main!$A$3:$I$56,7,FALSE),main!$K$10:$Q$14,5,FALSE),1,0)</f>
        <v>0</v>
      </c>
      <c r="D164">
        <f>IF(VLOOKUP(D$1,main!$A$3:$I$56,5,FALSE)-VLOOKUP($A164,main!$A$3:$I$56,6,FALSE)&gt;=VLOOKUP(57,main!$A$57:$I$59,4,FALSE)+VLOOKUP(VLOOKUP(D$1,main!$A$3:$I$56,7,FALSE),main!$K$10:$Q$14,5,FALSE),1,0)</f>
        <v>0</v>
      </c>
      <c r="E164">
        <f>IF(VLOOKUP(E$1,main!$A$3:$I$56,5,FALSE)-VLOOKUP($A164,main!$A$3:$I$56,6,FALSE)&gt;=VLOOKUP(57,main!$A$57:$I$59,4,FALSE)+VLOOKUP(VLOOKUP(E$1,main!$A$3:$I$56,7,FALSE),main!$K$10:$Q$14,5,FALSE),1,0)</f>
        <v>0</v>
      </c>
      <c r="F164">
        <f>IF(VLOOKUP(F$1,main!$A$3:$I$56,5,FALSE)-VLOOKUP($A164,main!$A$3:$I$56,6,FALSE)&gt;=VLOOKUP(57,main!$A$57:$I$59,4,FALSE)+VLOOKUP(VLOOKUP(F$1,main!$A$3:$I$56,7,FALSE),main!$K$10:$Q$14,5,FALSE),1,0)</f>
        <v>0</v>
      </c>
      <c r="G164">
        <f>IF(VLOOKUP(G$1,main!$A$3:$I$56,5,FALSE)-VLOOKUP($A164,main!$A$3:$I$56,6,FALSE)&gt;=VLOOKUP(57,main!$A$57:$I$59,4,FALSE)+VLOOKUP(VLOOKUP(G$1,main!$A$3:$I$56,7,FALSE),main!$K$10:$Q$14,5,FALSE),1,0)</f>
        <v>0</v>
      </c>
      <c r="H164">
        <f>IF(VLOOKUP(H$1,main!$A$3:$I$56,5,FALSE)-VLOOKUP($A164,main!$A$3:$I$56,6,FALSE)&gt;=VLOOKUP(57,main!$A$57:$I$59,4,FALSE)+VLOOKUP(VLOOKUP(H$1,main!$A$3:$I$56,7,FALSE),main!$K$10:$Q$14,5,FALSE),1,0)</f>
        <v>0</v>
      </c>
      <c r="I164">
        <f>IF(VLOOKUP(I$1,main!$A$3:$I$56,5,FALSE)-VLOOKUP($A164,main!$A$3:$I$56,6,FALSE)&gt;=VLOOKUP(57,main!$A$57:$I$59,4,FALSE)+VLOOKUP(VLOOKUP(I$1,main!$A$3:$I$56,7,FALSE),main!$K$10:$Q$14,5,FALSE),1,0)</f>
        <v>1</v>
      </c>
      <c r="J164">
        <f>IF(VLOOKUP(J$1,main!$A$3:$I$56,5,FALSE)-VLOOKUP($A164,main!$A$3:$I$56,6,FALSE)&gt;=VLOOKUP(57,main!$A$57:$I$59,4,FALSE)+VLOOKUP(VLOOKUP(J$1,main!$A$3:$I$56,7,FALSE),main!$K$10:$Q$14,5,FALSE),1,0)</f>
        <v>1</v>
      </c>
      <c r="K164">
        <f>IF(VLOOKUP(K$1,main!$A$3:$I$56,5,FALSE)-VLOOKUP($A164,main!$A$3:$I$56,6,FALSE)&gt;=VLOOKUP(57,main!$A$57:$I$59,4,FALSE)+VLOOKUP(VLOOKUP(K$1,main!$A$3:$I$56,7,FALSE),main!$K$10:$Q$14,5,FALSE),1,0)</f>
        <v>0</v>
      </c>
      <c r="L164">
        <f>IF(VLOOKUP(L$1,main!$A$3:$I$56,5,FALSE)-VLOOKUP($A164,main!$A$3:$I$56,6,FALSE)&gt;=VLOOKUP(57,main!$A$57:$I$59,4,FALSE)+VLOOKUP(VLOOKUP(L$1,main!$A$3:$I$56,7,FALSE),main!$K$10:$Q$14,5,FALSE),1,0)</f>
        <v>0</v>
      </c>
      <c r="M164">
        <f>IF(VLOOKUP(M$1,main!$A$3:$I$56,5,FALSE)-VLOOKUP($A164,main!$A$3:$I$56,6,FALSE)&gt;=VLOOKUP(57,main!$A$57:$I$59,4,FALSE)+VLOOKUP(VLOOKUP(M$1,main!$A$3:$I$56,7,FALSE),main!$K$10:$Q$14,5,FALSE),1,0)</f>
        <v>0</v>
      </c>
      <c r="N164">
        <f>IF(VLOOKUP(N$1,main!$A$3:$I$56,5,FALSE)-VLOOKUP($A164,main!$A$3:$I$56,6,FALSE)&gt;=VLOOKUP(57,main!$A$57:$I$59,4,FALSE)+VLOOKUP(VLOOKUP(N$1,main!$A$3:$I$56,7,FALSE),main!$K$10:$Q$14,5,FALSE),1,0)</f>
        <v>1</v>
      </c>
      <c r="O164">
        <f>IF(VLOOKUP(O$1,main!$A$3:$I$56,5,FALSE)-VLOOKUP($A164,main!$A$3:$I$56,6,FALSE)&gt;=VLOOKUP(57,main!$A$57:$I$59,4,FALSE)+VLOOKUP(VLOOKUP(O$1,main!$A$3:$I$56,7,FALSE),main!$K$10:$Q$14,5,FALSE),1,0)</f>
        <v>1</v>
      </c>
      <c r="P164">
        <f>IF(VLOOKUP(P$1,main!$A$3:$I$56,5,FALSE)-VLOOKUP($A164,main!$A$3:$I$56,6,FALSE)&gt;=VLOOKUP(57,main!$A$57:$I$59,4,FALSE)+VLOOKUP(VLOOKUP(P$1,main!$A$3:$I$56,7,FALSE),main!$K$10:$Q$14,5,FALSE),1,0)</f>
        <v>0</v>
      </c>
      <c r="Q164">
        <f>IF(VLOOKUP(Q$1,main!$A$3:$I$56,5,FALSE)-VLOOKUP($A164,main!$A$3:$I$56,6,FALSE)&gt;=VLOOKUP(57,main!$A$57:$I$59,4,FALSE)+VLOOKUP(VLOOKUP(Q$1,main!$A$3:$I$56,7,FALSE),main!$K$10:$Q$14,5,FALSE),1,0)</f>
        <v>0</v>
      </c>
      <c r="R164">
        <f>IF(VLOOKUP(R$1,main!$A$3:$I$56,5,FALSE)-VLOOKUP($A164,main!$A$3:$I$56,6,FALSE)&gt;=VLOOKUP(57,main!$A$57:$I$59,4,FALSE)+VLOOKUP(VLOOKUP(R$1,main!$A$3:$I$56,7,FALSE),main!$K$10:$Q$14,5,FALSE),1,0)</f>
        <v>0</v>
      </c>
      <c r="S164">
        <f>IF(VLOOKUP(S$1,main!$A$3:$I$56,5,FALSE)-VLOOKUP($A164,main!$A$3:$I$56,6,FALSE)&gt;=VLOOKUP(57,main!$A$57:$I$59,4,FALSE)+VLOOKUP(VLOOKUP(S$1,main!$A$3:$I$56,7,FALSE),main!$K$10:$Q$14,5,FALSE),1,0)</f>
        <v>0</v>
      </c>
      <c r="T164">
        <f>IF(VLOOKUP(T$1,main!$A$3:$I$56,5,FALSE)-VLOOKUP($A164,main!$A$3:$I$56,6,FALSE)&gt;=VLOOKUP(57,main!$A$57:$I$59,4,FALSE)+VLOOKUP(VLOOKUP(T$1,main!$A$3:$I$56,7,FALSE),main!$K$10:$Q$14,5,FALSE),1,0)</f>
        <v>1</v>
      </c>
      <c r="U164">
        <f>IF(VLOOKUP(U$1,main!$A$3:$I$56,5,FALSE)-VLOOKUP($A164,main!$A$3:$I$56,6,FALSE)&gt;=VLOOKUP(57,main!$A$57:$I$59,4,FALSE)+VLOOKUP(VLOOKUP(U$1,main!$A$3:$I$56,7,FALSE),main!$K$10:$Q$14,5,FALSE),1,0)</f>
        <v>0</v>
      </c>
      <c r="V164">
        <f>IF(VLOOKUP(V$1,main!$A$3:$I$56,5,FALSE)-VLOOKUP($A164,main!$A$3:$I$56,6,FALSE)&gt;=VLOOKUP(57,main!$A$57:$I$59,4,FALSE)+VLOOKUP(VLOOKUP(V$1,main!$A$3:$I$56,7,FALSE),main!$K$10:$Q$14,5,FALSE),1,0)</f>
        <v>0</v>
      </c>
      <c r="W164">
        <f>IF(VLOOKUP(W$1,main!$A$3:$I$56,5,FALSE)-VLOOKUP($A164,main!$A$3:$I$56,6,FALSE)&gt;=VLOOKUP(57,main!$A$57:$I$59,4,FALSE)+VLOOKUP(VLOOKUP(W$1,main!$A$3:$I$56,7,FALSE),main!$K$10:$Q$14,5,FALSE),1,0)</f>
        <v>0</v>
      </c>
      <c r="X164">
        <f>IF(VLOOKUP(X$1,main!$A$3:$I$56,5,FALSE)-VLOOKUP($A164,main!$A$3:$I$56,6,FALSE)&gt;=VLOOKUP(57,main!$A$57:$I$59,4,FALSE)+VLOOKUP(VLOOKUP(X$1,main!$A$3:$I$56,7,FALSE),main!$K$10:$Q$14,5,FALSE),1,0)</f>
        <v>0</v>
      </c>
      <c r="Y164">
        <f>IF(VLOOKUP(Y$1,main!$A$3:$I$56,5,FALSE)-VLOOKUP($A164,main!$A$3:$I$56,6,FALSE)&gt;=VLOOKUP(57,main!$A$57:$I$59,4,FALSE)+VLOOKUP(VLOOKUP(Y$1,main!$A$3:$I$56,7,FALSE),main!$K$10:$Q$14,5,FALSE),1,0)</f>
        <v>0</v>
      </c>
      <c r="Z164">
        <f>IF(VLOOKUP(Z$1,main!$A$3:$I$56,5,FALSE)-VLOOKUP($A164,main!$A$3:$I$56,6,FALSE)&gt;=VLOOKUP(57,main!$A$57:$I$59,4,FALSE)+VLOOKUP(VLOOKUP(Z$1,main!$A$3:$I$56,7,FALSE),main!$K$10:$Q$14,5,FALSE),1,0)</f>
        <v>1</v>
      </c>
      <c r="AA164">
        <f>IF(VLOOKUP(AA$1,main!$A$3:$I$56,5,FALSE)-VLOOKUP($A164,main!$A$3:$I$56,6,FALSE)&gt;=VLOOKUP(57,main!$A$57:$I$59,4,FALSE)+VLOOKUP(VLOOKUP(AA$1,main!$A$3:$I$56,7,FALSE),main!$K$10:$Q$14,5,FALSE),1,0)</f>
        <v>1</v>
      </c>
      <c r="AB164">
        <f>IF(VLOOKUP(AB$1,main!$A$3:$I$56,5,FALSE)-VLOOKUP($A164,main!$A$3:$I$56,6,FALSE)&gt;=VLOOKUP(57,main!$A$57:$I$59,4,FALSE)+VLOOKUP(VLOOKUP(AB$1,main!$A$3:$I$56,7,FALSE),main!$K$10:$Q$14,5,FALSE),1,0)</f>
        <v>1</v>
      </c>
      <c r="AC164">
        <f>IF(VLOOKUP(AC$1,main!$A$3:$I$56,5,FALSE)-VLOOKUP($A164,main!$A$3:$I$56,6,FALSE)&gt;=VLOOKUP(57,main!$A$57:$I$59,4,FALSE)+VLOOKUP(VLOOKUP(AC$1,main!$A$3:$I$56,7,FALSE),main!$K$10:$Q$14,5,FALSE),1,0)</f>
        <v>0</v>
      </c>
      <c r="AD164">
        <f>IF(VLOOKUP(AD$1,main!$A$3:$I$56,5,FALSE)-VLOOKUP($A164,main!$A$3:$I$56,6,FALSE)&gt;=VLOOKUP(57,main!$A$57:$I$59,4,FALSE)+VLOOKUP(VLOOKUP(AD$1,main!$A$3:$I$56,7,FALSE),main!$K$10:$Q$14,5,FALSE),1,0)</f>
        <v>0</v>
      </c>
      <c r="AE164">
        <f>IF(VLOOKUP(AE$1,main!$A$3:$I$56,5,FALSE)-VLOOKUP($A164,main!$A$3:$I$56,6,FALSE)&gt;=VLOOKUP(57,main!$A$57:$I$59,4,FALSE)+VLOOKUP(VLOOKUP(AE$1,main!$A$3:$I$56,7,FALSE),main!$K$10:$Q$14,5,FALSE),1,0)</f>
        <v>0</v>
      </c>
      <c r="AF164">
        <f>IF(VLOOKUP(AF$1,main!$A$3:$I$56,5,FALSE)-VLOOKUP($A164,main!$A$3:$I$56,6,FALSE)&gt;=VLOOKUP(57,main!$A$57:$I$59,4,FALSE)+VLOOKUP(VLOOKUP(AF$1,main!$A$3:$I$56,7,FALSE),main!$K$10:$Q$14,5,FALSE),1,0)</f>
        <v>0</v>
      </c>
      <c r="AG164">
        <f>IF(VLOOKUP(AG$1,main!$A$3:$I$56,5,FALSE)-VLOOKUP($A164,main!$A$3:$I$56,6,FALSE)&gt;=VLOOKUP(57,main!$A$57:$I$59,4,FALSE)+VLOOKUP(VLOOKUP(AG$1,main!$A$3:$I$56,7,FALSE),main!$K$10:$Q$14,5,FALSE),1,0)</f>
        <v>0</v>
      </c>
      <c r="AH164">
        <f>IF(VLOOKUP(AH$1,main!$A$3:$I$56,5,FALSE)-VLOOKUP($A164,main!$A$3:$I$56,6,FALSE)&gt;=VLOOKUP(57,main!$A$57:$I$59,4,FALSE)+VLOOKUP(VLOOKUP(AH$1,main!$A$3:$I$56,7,FALSE),main!$K$10:$Q$14,5,FALSE),1,0)</f>
        <v>0</v>
      </c>
      <c r="AI164">
        <f>IF(VLOOKUP(AI$1,main!$A$3:$I$56,5,FALSE)-VLOOKUP($A164,main!$A$3:$I$56,6,FALSE)&gt;=VLOOKUP(57,main!$A$57:$I$59,4,FALSE)+VLOOKUP(VLOOKUP(AI$1,main!$A$3:$I$56,7,FALSE),main!$K$10:$Q$14,5,FALSE),1,0)</f>
        <v>0</v>
      </c>
      <c r="AJ164">
        <f>IF(VLOOKUP(AJ$1,main!$A$3:$I$56,5,FALSE)-VLOOKUP($A164,main!$A$3:$I$56,6,FALSE)&gt;=VLOOKUP(57,main!$A$57:$I$59,4,FALSE)+VLOOKUP(VLOOKUP(AJ$1,main!$A$3:$I$56,7,FALSE),main!$K$10:$Q$14,5,FALSE),1,0)</f>
        <v>0</v>
      </c>
      <c r="AK164">
        <f>IF(VLOOKUP(AK$1,main!$A$3:$I$56,5,FALSE)-VLOOKUP($A164,main!$A$3:$I$56,6,FALSE)&gt;=VLOOKUP(57,main!$A$57:$I$59,4,FALSE)+VLOOKUP(VLOOKUP(AK$1,main!$A$3:$I$56,7,FALSE),main!$K$10:$Q$14,5,FALSE),1,0)</f>
        <v>0</v>
      </c>
      <c r="AL164">
        <f>IF(VLOOKUP(AL$1,main!$A$3:$I$56,5,FALSE)-VLOOKUP($A164,main!$A$3:$I$56,6,FALSE)&gt;=VLOOKUP(57,main!$A$57:$I$59,4,FALSE)+VLOOKUP(VLOOKUP(AL$1,main!$A$3:$I$56,7,FALSE),main!$K$10:$Q$14,5,FALSE),1,0)</f>
        <v>0</v>
      </c>
      <c r="AM164">
        <f>IF(VLOOKUP(AM$1,main!$A$3:$I$56,5,FALSE)-VLOOKUP($A164,main!$A$3:$I$56,6,FALSE)&gt;=VLOOKUP(57,main!$A$57:$I$59,4,FALSE)+VLOOKUP(VLOOKUP(AM$1,main!$A$3:$I$56,7,FALSE),main!$K$10:$Q$14,5,FALSE),1,0)</f>
        <v>0</v>
      </c>
      <c r="AN164">
        <f>IF(VLOOKUP(AN$1,main!$A$3:$I$56,5,FALSE)-VLOOKUP($A164,main!$A$3:$I$56,6,FALSE)&gt;=VLOOKUP(57,main!$A$57:$I$59,4,FALSE)+VLOOKUP(VLOOKUP(AN$1,main!$A$3:$I$56,7,FALSE),main!$K$10:$Q$14,5,FALSE),1,0)</f>
        <v>0</v>
      </c>
      <c r="AO164">
        <f>IF(VLOOKUP(AO$1,main!$A$3:$I$56,5,FALSE)-VLOOKUP($A164,main!$A$3:$I$56,6,FALSE)&gt;=VLOOKUP(57,main!$A$57:$I$59,4,FALSE)+VLOOKUP(VLOOKUP(AO$1,main!$A$3:$I$56,7,FALSE),main!$K$10:$Q$14,5,FALSE),1,0)</f>
        <v>0</v>
      </c>
      <c r="AP164">
        <f>IF(VLOOKUP(AP$1,main!$A$3:$I$56,5,FALSE)-VLOOKUP($A164,main!$A$3:$I$56,6,FALSE)&gt;=VLOOKUP(57,main!$A$57:$I$59,4,FALSE)+VLOOKUP(VLOOKUP(AP$1,main!$A$3:$I$56,7,FALSE),main!$K$10:$Q$14,5,FALSE),1,0)</f>
        <v>0</v>
      </c>
      <c r="AQ164">
        <f>IF(VLOOKUP(AQ$1,main!$A$3:$I$56,5,FALSE)-VLOOKUP($A164,main!$A$3:$I$56,6,FALSE)&gt;=VLOOKUP(57,main!$A$57:$I$59,4,FALSE)+VLOOKUP(VLOOKUP(AQ$1,main!$A$3:$I$56,7,FALSE),main!$K$10:$Q$14,5,FALSE),1,0)</f>
        <v>0</v>
      </c>
      <c r="AR164">
        <f>IF(VLOOKUP(AR$1,main!$A$3:$I$56,5,FALSE)-VLOOKUP($A164,main!$A$3:$I$56,6,FALSE)&gt;=VLOOKUP(57,main!$A$57:$I$59,4,FALSE)+VLOOKUP(VLOOKUP(AR$1,main!$A$3:$I$56,7,FALSE),main!$K$10:$Q$14,5,FALSE),1,0)</f>
        <v>0</v>
      </c>
      <c r="AS164">
        <f>IF(VLOOKUP(AS$1,main!$A$3:$I$56,5,FALSE)-VLOOKUP($A164,main!$A$3:$I$56,6,FALSE)&gt;=VLOOKUP(57,main!$A$57:$I$59,4,FALSE)+VLOOKUP(VLOOKUP(AS$1,main!$A$3:$I$56,7,FALSE),main!$K$10:$Q$14,5,FALSE),1,0)</f>
        <v>0</v>
      </c>
      <c r="AT164">
        <f>IF(VLOOKUP(AT$1,main!$A$3:$I$56,5,FALSE)-VLOOKUP($A164,main!$A$3:$I$56,6,FALSE)&gt;=VLOOKUP(57,main!$A$57:$I$59,4,FALSE)+VLOOKUP(VLOOKUP(AT$1,main!$A$3:$I$56,7,FALSE),main!$K$10:$Q$14,5,FALSE),1,0)</f>
        <v>0</v>
      </c>
      <c r="AU164">
        <f>IF(VLOOKUP(AU$1,main!$A$3:$I$56,5,FALSE)-VLOOKUP($A164,main!$A$3:$I$56,6,FALSE)&gt;=VLOOKUP(57,main!$A$57:$I$59,4,FALSE)+VLOOKUP(VLOOKUP(AU$1,main!$A$3:$I$56,7,FALSE),main!$K$10:$Q$14,5,FALSE),1,0)</f>
        <v>0</v>
      </c>
      <c r="AV164">
        <f>IF(VLOOKUP(AV$1,main!$A$3:$I$56,5,FALSE)-VLOOKUP($A164,main!$A$3:$I$56,6,FALSE)&gt;=VLOOKUP(57,main!$A$57:$I$59,4,FALSE)+VLOOKUP(VLOOKUP(AV$1,main!$A$3:$I$56,7,FALSE),main!$K$10:$Q$14,5,FALSE),1,0)</f>
        <v>0</v>
      </c>
      <c r="AW164">
        <f>IF(VLOOKUP(AW$1,main!$A$3:$I$56,5,FALSE)-VLOOKUP($A164,main!$A$3:$I$56,6,FALSE)&gt;=VLOOKUP(57,main!$A$57:$I$59,4,FALSE)+VLOOKUP(VLOOKUP(AW$1,main!$A$3:$I$56,7,FALSE),main!$K$10:$Q$14,5,FALSE),1,0)</f>
        <v>0</v>
      </c>
      <c r="AX164">
        <f>IF(VLOOKUP(AX$1,main!$A$3:$I$56,5,FALSE)-VLOOKUP($A164,main!$A$3:$I$56,6,FALSE)&gt;=VLOOKUP(57,main!$A$57:$I$59,4,FALSE)+VLOOKUP(VLOOKUP(AX$1,main!$A$3:$I$56,7,FALSE),main!$K$10:$Q$14,5,FALSE),1,0)</f>
        <v>0</v>
      </c>
      <c r="AY164">
        <f>IF(VLOOKUP(AY$1,main!$A$3:$I$56,5,FALSE)-VLOOKUP($A164,main!$A$3:$I$56,6,FALSE)&gt;=VLOOKUP(57,main!$A$57:$I$59,4,FALSE)+VLOOKUP(VLOOKUP(AY$1,main!$A$3:$I$56,7,FALSE),main!$K$10:$Q$14,5,FALSE),1,0)</f>
        <v>1</v>
      </c>
      <c r="AZ164">
        <f>IF(VLOOKUP(AZ$1,main!$A$3:$I$56,5,FALSE)-VLOOKUP($A164,main!$A$3:$I$56,6,FALSE)&gt;=VLOOKUP(57,main!$A$57:$I$59,4,FALSE)+VLOOKUP(VLOOKUP(AZ$1,main!$A$3:$I$56,7,FALSE),main!$K$10:$Q$14,5,FALSE),1,0)</f>
        <v>0</v>
      </c>
      <c r="BA164">
        <f>IF(VLOOKUP(BA$1,main!$A$3:$I$56,5,FALSE)-VLOOKUP($A164,main!$A$3:$I$56,6,FALSE)&gt;=VLOOKUP(57,main!$A$57:$I$59,4,FALSE)+VLOOKUP(VLOOKUP(BA$1,main!$A$3:$I$56,7,FALSE),main!$K$10:$Q$14,5,FALSE),1,0)</f>
        <v>0</v>
      </c>
      <c r="BB164">
        <f>IF(VLOOKUP(BB$1,main!$A$3:$I$56,5,FALSE)-VLOOKUP($A164,main!$A$3:$I$56,6,FALSE)&gt;=VLOOKUP(57,main!$A$57:$I$59,4,FALSE)+VLOOKUP(VLOOKUP(BB$1,main!$A$3:$I$56,7,FALSE),main!$K$10:$Q$14,5,FALSE),1,0)</f>
        <v>0</v>
      </c>
      <c r="BC164">
        <f>IF(VLOOKUP(BC$1,main!$A$3:$I$56,5,FALSE)-VLOOKUP($A164,main!$A$3:$I$56,6,FALSE)&gt;=VLOOKUP(57,main!$A$57:$I$59,4,FALSE)+VLOOKUP(VLOOKUP(BC$1,main!$A$3:$I$56,7,FALSE),main!$K$10:$Q$14,5,FALSE),1,0)</f>
        <v>0</v>
      </c>
      <c r="BD164">
        <f>IF(VLOOKUP(BD$1,main!$A$3:$I$56,5,FALSE)-VLOOKUP($A164,main!$A$3:$I$56,6,FALSE)&gt;=VLOOKUP(57,main!$A$57:$I$59,4,FALSE)+VLOOKUP(VLOOKUP(BD$1,main!$A$3:$I$56,7,FALSE),main!$K$10:$Q$14,5,FALSE),1,0)</f>
        <v>0</v>
      </c>
    </row>
    <row r="165" spans="1:56" x14ac:dyDescent="0.25">
      <c r="A165">
        <f t="shared" si="2"/>
        <v>53</v>
      </c>
      <c r="B165">
        <v>0</v>
      </c>
      <c r="C165">
        <f>IF(VLOOKUP(C$1,main!$A$3:$I$56,5,FALSE)-VLOOKUP($A165,main!$A$3:$I$56,6,FALSE)&gt;=VLOOKUP(57,main!$A$57:$I$59,4,FALSE)+VLOOKUP(VLOOKUP(C$1,main!$A$3:$I$56,7,FALSE),main!$K$10:$Q$14,5,FALSE),1,0)</f>
        <v>0</v>
      </c>
      <c r="D165">
        <f>IF(VLOOKUP(D$1,main!$A$3:$I$56,5,FALSE)-VLOOKUP($A165,main!$A$3:$I$56,6,FALSE)&gt;=VLOOKUP(57,main!$A$57:$I$59,4,FALSE)+VLOOKUP(VLOOKUP(D$1,main!$A$3:$I$56,7,FALSE),main!$K$10:$Q$14,5,FALSE),1,0)</f>
        <v>0</v>
      </c>
      <c r="E165">
        <f>IF(VLOOKUP(E$1,main!$A$3:$I$56,5,FALSE)-VLOOKUP($A165,main!$A$3:$I$56,6,FALSE)&gt;=VLOOKUP(57,main!$A$57:$I$59,4,FALSE)+VLOOKUP(VLOOKUP(E$1,main!$A$3:$I$56,7,FALSE),main!$K$10:$Q$14,5,FALSE),1,0)</f>
        <v>0</v>
      </c>
      <c r="F165">
        <f>IF(VLOOKUP(F$1,main!$A$3:$I$56,5,FALSE)-VLOOKUP($A165,main!$A$3:$I$56,6,FALSE)&gt;=VLOOKUP(57,main!$A$57:$I$59,4,FALSE)+VLOOKUP(VLOOKUP(F$1,main!$A$3:$I$56,7,FALSE),main!$K$10:$Q$14,5,FALSE),1,0)</f>
        <v>0</v>
      </c>
      <c r="G165">
        <f>IF(VLOOKUP(G$1,main!$A$3:$I$56,5,FALSE)-VLOOKUP($A165,main!$A$3:$I$56,6,FALSE)&gt;=VLOOKUP(57,main!$A$57:$I$59,4,FALSE)+VLOOKUP(VLOOKUP(G$1,main!$A$3:$I$56,7,FALSE),main!$K$10:$Q$14,5,FALSE),1,0)</f>
        <v>0</v>
      </c>
      <c r="H165">
        <f>IF(VLOOKUP(H$1,main!$A$3:$I$56,5,FALSE)-VLOOKUP($A165,main!$A$3:$I$56,6,FALSE)&gt;=VLOOKUP(57,main!$A$57:$I$59,4,FALSE)+VLOOKUP(VLOOKUP(H$1,main!$A$3:$I$56,7,FALSE),main!$K$10:$Q$14,5,FALSE),1,0)</f>
        <v>0</v>
      </c>
      <c r="I165">
        <f>IF(VLOOKUP(I$1,main!$A$3:$I$56,5,FALSE)-VLOOKUP($A165,main!$A$3:$I$56,6,FALSE)&gt;=VLOOKUP(57,main!$A$57:$I$59,4,FALSE)+VLOOKUP(VLOOKUP(I$1,main!$A$3:$I$56,7,FALSE),main!$K$10:$Q$14,5,FALSE),1,0)</f>
        <v>0</v>
      </c>
      <c r="J165">
        <f>IF(VLOOKUP(J$1,main!$A$3:$I$56,5,FALSE)-VLOOKUP($A165,main!$A$3:$I$56,6,FALSE)&gt;=VLOOKUP(57,main!$A$57:$I$59,4,FALSE)+VLOOKUP(VLOOKUP(J$1,main!$A$3:$I$56,7,FALSE),main!$K$10:$Q$14,5,FALSE),1,0)</f>
        <v>0</v>
      </c>
      <c r="K165">
        <f>IF(VLOOKUP(K$1,main!$A$3:$I$56,5,FALSE)-VLOOKUP($A165,main!$A$3:$I$56,6,FALSE)&gt;=VLOOKUP(57,main!$A$57:$I$59,4,FALSE)+VLOOKUP(VLOOKUP(K$1,main!$A$3:$I$56,7,FALSE),main!$K$10:$Q$14,5,FALSE),1,0)</f>
        <v>0</v>
      </c>
      <c r="L165">
        <f>IF(VLOOKUP(L$1,main!$A$3:$I$56,5,FALSE)-VLOOKUP($A165,main!$A$3:$I$56,6,FALSE)&gt;=VLOOKUP(57,main!$A$57:$I$59,4,FALSE)+VLOOKUP(VLOOKUP(L$1,main!$A$3:$I$56,7,FALSE),main!$K$10:$Q$14,5,FALSE),1,0)</f>
        <v>0</v>
      </c>
      <c r="M165">
        <f>IF(VLOOKUP(M$1,main!$A$3:$I$56,5,FALSE)-VLOOKUP($A165,main!$A$3:$I$56,6,FALSE)&gt;=VLOOKUP(57,main!$A$57:$I$59,4,FALSE)+VLOOKUP(VLOOKUP(M$1,main!$A$3:$I$56,7,FALSE),main!$K$10:$Q$14,5,FALSE),1,0)</f>
        <v>0</v>
      </c>
      <c r="N165">
        <f>IF(VLOOKUP(N$1,main!$A$3:$I$56,5,FALSE)-VLOOKUP($A165,main!$A$3:$I$56,6,FALSE)&gt;=VLOOKUP(57,main!$A$57:$I$59,4,FALSE)+VLOOKUP(VLOOKUP(N$1,main!$A$3:$I$56,7,FALSE),main!$K$10:$Q$14,5,FALSE),1,0)</f>
        <v>0</v>
      </c>
      <c r="O165">
        <f>IF(VLOOKUP(O$1,main!$A$3:$I$56,5,FALSE)-VLOOKUP($A165,main!$A$3:$I$56,6,FALSE)&gt;=VLOOKUP(57,main!$A$57:$I$59,4,FALSE)+VLOOKUP(VLOOKUP(O$1,main!$A$3:$I$56,7,FALSE),main!$K$10:$Q$14,5,FALSE),1,0)</f>
        <v>0</v>
      </c>
      <c r="P165">
        <f>IF(VLOOKUP(P$1,main!$A$3:$I$56,5,FALSE)-VLOOKUP($A165,main!$A$3:$I$56,6,FALSE)&gt;=VLOOKUP(57,main!$A$57:$I$59,4,FALSE)+VLOOKUP(VLOOKUP(P$1,main!$A$3:$I$56,7,FALSE),main!$K$10:$Q$14,5,FALSE),1,0)</f>
        <v>0</v>
      </c>
      <c r="Q165">
        <f>IF(VLOOKUP(Q$1,main!$A$3:$I$56,5,FALSE)-VLOOKUP($A165,main!$A$3:$I$56,6,FALSE)&gt;=VLOOKUP(57,main!$A$57:$I$59,4,FALSE)+VLOOKUP(VLOOKUP(Q$1,main!$A$3:$I$56,7,FALSE),main!$K$10:$Q$14,5,FALSE),1,0)</f>
        <v>0</v>
      </c>
      <c r="R165">
        <f>IF(VLOOKUP(R$1,main!$A$3:$I$56,5,FALSE)-VLOOKUP($A165,main!$A$3:$I$56,6,FALSE)&gt;=VLOOKUP(57,main!$A$57:$I$59,4,FALSE)+VLOOKUP(VLOOKUP(R$1,main!$A$3:$I$56,7,FALSE),main!$K$10:$Q$14,5,FALSE),1,0)</f>
        <v>0</v>
      </c>
      <c r="S165">
        <f>IF(VLOOKUP(S$1,main!$A$3:$I$56,5,FALSE)-VLOOKUP($A165,main!$A$3:$I$56,6,FALSE)&gt;=VLOOKUP(57,main!$A$57:$I$59,4,FALSE)+VLOOKUP(VLOOKUP(S$1,main!$A$3:$I$56,7,FALSE),main!$K$10:$Q$14,5,FALSE),1,0)</f>
        <v>0</v>
      </c>
      <c r="T165">
        <f>IF(VLOOKUP(T$1,main!$A$3:$I$56,5,FALSE)-VLOOKUP($A165,main!$A$3:$I$56,6,FALSE)&gt;=VLOOKUP(57,main!$A$57:$I$59,4,FALSE)+VLOOKUP(VLOOKUP(T$1,main!$A$3:$I$56,7,FALSE),main!$K$10:$Q$14,5,FALSE),1,0)</f>
        <v>0</v>
      </c>
      <c r="U165">
        <f>IF(VLOOKUP(U$1,main!$A$3:$I$56,5,FALSE)-VLOOKUP($A165,main!$A$3:$I$56,6,FALSE)&gt;=VLOOKUP(57,main!$A$57:$I$59,4,FALSE)+VLOOKUP(VLOOKUP(U$1,main!$A$3:$I$56,7,FALSE),main!$K$10:$Q$14,5,FALSE),1,0)</f>
        <v>0</v>
      </c>
      <c r="V165">
        <f>IF(VLOOKUP(V$1,main!$A$3:$I$56,5,FALSE)-VLOOKUP($A165,main!$A$3:$I$56,6,FALSE)&gt;=VLOOKUP(57,main!$A$57:$I$59,4,FALSE)+VLOOKUP(VLOOKUP(V$1,main!$A$3:$I$56,7,FALSE),main!$K$10:$Q$14,5,FALSE),1,0)</f>
        <v>0</v>
      </c>
      <c r="W165">
        <f>IF(VLOOKUP(W$1,main!$A$3:$I$56,5,FALSE)-VLOOKUP($A165,main!$A$3:$I$56,6,FALSE)&gt;=VLOOKUP(57,main!$A$57:$I$59,4,FALSE)+VLOOKUP(VLOOKUP(W$1,main!$A$3:$I$56,7,FALSE),main!$K$10:$Q$14,5,FALSE),1,0)</f>
        <v>0</v>
      </c>
      <c r="X165">
        <f>IF(VLOOKUP(X$1,main!$A$3:$I$56,5,FALSE)-VLOOKUP($A165,main!$A$3:$I$56,6,FALSE)&gt;=VLOOKUP(57,main!$A$57:$I$59,4,FALSE)+VLOOKUP(VLOOKUP(X$1,main!$A$3:$I$56,7,FALSE),main!$K$10:$Q$14,5,FALSE),1,0)</f>
        <v>0</v>
      </c>
      <c r="Y165">
        <f>IF(VLOOKUP(Y$1,main!$A$3:$I$56,5,FALSE)-VLOOKUP($A165,main!$A$3:$I$56,6,FALSE)&gt;=VLOOKUP(57,main!$A$57:$I$59,4,FALSE)+VLOOKUP(VLOOKUP(Y$1,main!$A$3:$I$56,7,FALSE),main!$K$10:$Q$14,5,FALSE),1,0)</f>
        <v>0</v>
      </c>
      <c r="Z165">
        <f>IF(VLOOKUP(Z$1,main!$A$3:$I$56,5,FALSE)-VLOOKUP($A165,main!$A$3:$I$56,6,FALSE)&gt;=VLOOKUP(57,main!$A$57:$I$59,4,FALSE)+VLOOKUP(VLOOKUP(Z$1,main!$A$3:$I$56,7,FALSE),main!$K$10:$Q$14,5,FALSE),1,0)</f>
        <v>0</v>
      </c>
      <c r="AA165">
        <f>IF(VLOOKUP(AA$1,main!$A$3:$I$56,5,FALSE)-VLOOKUP($A165,main!$A$3:$I$56,6,FALSE)&gt;=VLOOKUP(57,main!$A$57:$I$59,4,FALSE)+VLOOKUP(VLOOKUP(AA$1,main!$A$3:$I$56,7,FALSE),main!$K$10:$Q$14,5,FALSE),1,0)</f>
        <v>0</v>
      </c>
      <c r="AB165">
        <f>IF(VLOOKUP(AB$1,main!$A$3:$I$56,5,FALSE)-VLOOKUP($A165,main!$A$3:$I$56,6,FALSE)&gt;=VLOOKUP(57,main!$A$57:$I$59,4,FALSE)+VLOOKUP(VLOOKUP(AB$1,main!$A$3:$I$56,7,FALSE),main!$K$10:$Q$14,5,FALSE),1,0)</f>
        <v>0</v>
      </c>
      <c r="AC165">
        <f>IF(VLOOKUP(AC$1,main!$A$3:$I$56,5,FALSE)-VLOOKUP($A165,main!$A$3:$I$56,6,FALSE)&gt;=VLOOKUP(57,main!$A$57:$I$59,4,FALSE)+VLOOKUP(VLOOKUP(AC$1,main!$A$3:$I$56,7,FALSE),main!$K$10:$Q$14,5,FALSE),1,0)</f>
        <v>0</v>
      </c>
      <c r="AD165">
        <f>IF(VLOOKUP(AD$1,main!$A$3:$I$56,5,FALSE)-VLOOKUP($A165,main!$A$3:$I$56,6,FALSE)&gt;=VLOOKUP(57,main!$A$57:$I$59,4,FALSE)+VLOOKUP(VLOOKUP(AD$1,main!$A$3:$I$56,7,FALSE),main!$K$10:$Q$14,5,FALSE),1,0)</f>
        <v>0</v>
      </c>
      <c r="AE165">
        <f>IF(VLOOKUP(AE$1,main!$A$3:$I$56,5,FALSE)-VLOOKUP($A165,main!$A$3:$I$56,6,FALSE)&gt;=VLOOKUP(57,main!$A$57:$I$59,4,FALSE)+VLOOKUP(VLOOKUP(AE$1,main!$A$3:$I$56,7,FALSE),main!$K$10:$Q$14,5,FALSE),1,0)</f>
        <v>0</v>
      </c>
      <c r="AF165">
        <f>IF(VLOOKUP(AF$1,main!$A$3:$I$56,5,FALSE)-VLOOKUP($A165,main!$A$3:$I$56,6,FALSE)&gt;=VLOOKUP(57,main!$A$57:$I$59,4,FALSE)+VLOOKUP(VLOOKUP(AF$1,main!$A$3:$I$56,7,FALSE),main!$K$10:$Q$14,5,FALSE),1,0)</f>
        <v>0</v>
      </c>
      <c r="AG165">
        <f>IF(VLOOKUP(AG$1,main!$A$3:$I$56,5,FALSE)-VLOOKUP($A165,main!$A$3:$I$56,6,FALSE)&gt;=VLOOKUP(57,main!$A$57:$I$59,4,FALSE)+VLOOKUP(VLOOKUP(AG$1,main!$A$3:$I$56,7,FALSE),main!$K$10:$Q$14,5,FALSE),1,0)</f>
        <v>0</v>
      </c>
      <c r="AH165">
        <f>IF(VLOOKUP(AH$1,main!$A$3:$I$56,5,FALSE)-VLOOKUP($A165,main!$A$3:$I$56,6,FALSE)&gt;=VLOOKUP(57,main!$A$57:$I$59,4,FALSE)+VLOOKUP(VLOOKUP(AH$1,main!$A$3:$I$56,7,FALSE),main!$K$10:$Q$14,5,FALSE),1,0)</f>
        <v>0</v>
      </c>
      <c r="AI165">
        <f>IF(VLOOKUP(AI$1,main!$A$3:$I$56,5,FALSE)-VLOOKUP($A165,main!$A$3:$I$56,6,FALSE)&gt;=VLOOKUP(57,main!$A$57:$I$59,4,FALSE)+VLOOKUP(VLOOKUP(AI$1,main!$A$3:$I$56,7,FALSE),main!$K$10:$Q$14,5,FALSE),1,0)</f>
        <v>0</v>
      </c>
      <c r="AJ165">
        <f>IF(VLOOKUP(AJ$1,main!$A$3:$I$56,5,FALSE)-VLOOKUP($A165,main!$A$3:$I$56,6,FALSE)&gt;=VLOOKUP(57,main!$A$57:$I$59,4,FALSE)+VLOOKUP(VLOOKUP(AJ$1,main!$A$3:$I$56,7,FALSE),main!$K$10:$Q$14,5,FALSE),1,0)</f>
        <v>0</v>
      </c>
      <c r="AK165">
        <f>IF(VLOOKUP(AK$1,main!$A$3:$I$56,5,FALSE)-VLOOKUP($A165,main!$A$3:$I$56,6,FALSE)&gt;=VLOOKUP(57,main!$A$57:$I$59,4,FALSE)+VLOOKUP(VLOOKUP(AK$1,main!$A$3:$I$56,7,FALSE),main!$K$10:$Q$14,5,FALSE),1,0)</f>
        <v>0</v>
      </c>
      <c r="AL165">
        <f>IF(VLOOKUP(AL$1,main!$A$3:$I$56,5,FALSE)-VLOOKUP($A165,main!$A$3:$I$56,6,FALSE)&gt;=VLOOKUP(57,main!$A$57:$I$59,4,FALSE)+VLOOKUP(VLOOKUP(AL$1,main!$A$3:$I$56,7,FALSE),main!$K$10:$Q$14,5,FALSE),1,0)</f>
        <v>0</v>
      </c>
      <c r="AM165">
        <f>IF(VLOOKUP(AM$1,main!$A$3:$I$56,5,FALSE)-VLOOKUP($A165,main!$A$3:$I$56,6,FALSE)&gt;=VLOOKUP(57,main!$A$57:$I$59,4,FALSE)+VLOOKUP(VLOOKUP(AM$1,main!$A$3:$I$56,7,FALSE),main!$K$10:$Q$14,5,FALSE),1,0)</f>
        <v>0</v>
      </c>
      <c r="AN165">
        <f>IF(VLOOKUP(AN$1,main!$A$3:$I$56,5,FALSE)-VLOOKUP($A165,main!$A$3:$I$56,6,FALSE)&gt;=VLOOKUP(57,main!$A$57:$I$59,4,FALSE)+VLOOKUP(VLOOKUP(AN$1,main!$A$3:$I$56,7,FALSE),main!$K$10:$Q$14,5,FALSE),1,0)</f>
        <v>0</v>
      </c>
      <c r="AO165">
        <f>IF(VLOOKUP(AO$1,main!$A$3:$I$56,5,FALSE)-VLOOKUP($A165,main!$A$3:$I$56,6,FALSE)&gt;=VLOOKUP(57,main!$A$57:$I$59,4,FALSE)+VLOOKUP(VLOOKUP(AO$1,main!$A$3:$I$56,7,FALSE),main!$K$10:$Q$14,5,FALSE),1,0)</f>
        <v>0</v>
      </c>
      <c r="AP165">
        <f>IF(VLOOKUP(AP$1,main!$A$3:$I$56,5,FALSE)-VLOOKUP($A165,main!$A$3:$I$56,6,FALSE)&gt;=VLOOKUP(57,main!$A$57:$I$59,4,FALSE)+VLOOKUP(VLOOKUP(AP$1,main!$A$3:$I$56,7,FALSE),main!$K$10:$Q$14,5,FALSE),1,0)</f>
        <v>0</v>
      </c>
      <c r="AQ165">
        <f>IF(VLOOKUP(AQ$1,main!$A$3:$I$56,5,FALSE)-VLOOKUP($A165,main!$A$3:$I$56,6,FALSE)&gt;=VLOOKUP(57,main!$A$57:$I$59,4,FALSE)+VLOOKUP(VLOOKUP(AQ$1,main!$A$3:$I$56,7,FALSE),main!$K$10:$Q$14,5,FALSE),1,0)</f>
        <v>0</v>
      </c>
      <c r="AR165">
        <f>IF(VLOOKUP(AR$1,main!$A$3:$I$56,5,FALSE)-VLOOKUP($A165,main!$A$3:$I$56,6,FALSE)&gt;=VLOOKUP(57,main!$A$57:$I$59,4,FALSE)+VLOOKUP(VLOOKUP(AR$1,main!$A$3:$I$56,7,FALSE),main!$K$10:$Q$14,5,FALSE),1,0)</f>
        <v>0</v>
      </c>
      <c r="AS165">
        <f>IF(VLOOKUP(AS$1,main!$A$3:$I$56,5,FALSE)-VLOOKUP($A165,main!$A$3:$I$56,6,FALSE)&gt;=VLOOKUP(57,main!$A$57:$I$59,4,FALSE)+VLOOKUP(VLOOKUP(AS$1,main!$A$3:$I$56,7,FALSE),main!$K$10:$Q$14,5,FALSE),1,0)</f>
        <v>0</v>
      </c>
      <c r="AT165">
        <f>IF(VLOOKUP(AT$1,main!$A$3:$I$56,5,FALSE)-VLOOKUP($A165,main!$A$3:$I$56,6,FALSE)&gt;=VLOOKUP(57,main!$A$57:$I$59,4,FALSE)+VLOOKUP(VLOOKUP(AT$1,main!$A$3:$I$56,7,FALSE),main!$K$10:$Q$14,5,FALSE),1,0)</f>
        <v>0</v>
      </c>
      <c r="AU165">
        <f>IF(VLOOKUP(AU$1,main!$A$3:$I$56,5,FALSE)-VLOOKUP($A165,main!$A$3:$I$56,6,FALSE)&gt;=VLOOKUP(57,main!$A$57:$I$59,4,FALSE)+VLOOKUP(VLOOKUP(AU$1,main!$A$3:$I$56,7,FALSE),main!$K$10:$Q$14,5,FALSE),1,0)</f>
        <v>0</v>
      </c>
      <c r="AV165">
        <f>IF(VLOOKUP(AV$1,main!$A$3:$I$56,5,FALSE)-VLOOKUP($A165,main!$A$3:$I$56,6,FALSE)&gt;=VLOOKUP(57,main!$A$57:$I$59,4,FALSE)+VLOOKUP(VLOOKUP(AV$1,main!$A$3:$I$56,7,FALSE),main!$K$10:$Q$14,5,FALSE),1,0)</f>
        <v>0</v>
      </c>
      <c r="AW165">
        <f>IF(VLOOKUP(AW$1,main!$A$3:$I$56,5,FALSE)-VLOOKUP($A165,main!$A$3:$I$56,6,FALSE)&gt;=VLOOKUP(57,main!$A$57:$I$59,4,FALSE)+VLOOKUP(VLOOKUP(AW$1,main!$A$3:$I$56,7,FALSE),main!$K$10:$Q$14,5,FALSE),1,0)</f>
        <v>0</v>
      </c>
      <c r="AX165">
        <f>IF(VLOOKUP(AX$1,main!$A$3:$I$56,5,FALSE)-VLOOKUP($A165,main!$A$3:$I$56,6,FALSE)&gt;=VLOOKUP(57,main!$A$57:$I$59,4,FALSE)+VLOOKUP(VLOOKUP(AX$1,main!$A$3:$I$56,7,FALSE),main!$K$10:$Q$14,5,FALSE),1,0)</f>
        <v>0</v>
      </c>
      <c r="AY165">
        <f>IF(VLOOKUP(AY$1,main!$A$3:$I$56,5,FALSE)-VLOOKUP($A165,main!$A$3:$I$56,6,FALSE)&gt;=VLOOKUP(57,main!$A$57:$I$59,4,FALSE)+VLOOKUP(VLOOKUP(AY$1,main!$A$3:$I$56,7,FALSE),main!$K$10:$Q$14,5,FALSE),1,0)</f>
        <v>0</v>
      </c>
      <c r="AZ165">
        <f>IF(VLOOKUP(AZ$1,main!$A$3:$I$56,5,FALSE)-VLOOKUP($A165,main!$A$3:$I$56,6,FALSE)&gt;=VLOOKUP(57,main!$A$57:$I$59,4,FALSE)+VLOOKUP(VLOOKUP(AZ$1,main!$A$3:$I$56,7,FALSE),main!$K$10:$Q$14,5,FALSE),1,0)</f>
        <v>0</v>
      </c>
      <c r="BA165">
        <f>IF(VLOOKUP(BA$1,main!$A$3:$I$56,5,FALSE)-VLOOKUP($A165,main!$A$3:$I$56,6,FALSE)&gt;=VLOOKUP(57,main!$A$57:$I$59,4,FALSE)+VLOOKUP(VLOOKUP(BA$1,main!$A$3:$I$56,7,FALSE),main!$K$10:$Q$14,5,FALSE),1,0)</f>
        <v>0</v>
      </c>
      <c r="BB165">
        <f>IF(VLOOKUP(BB$1,main!$A$3:$I$56,5,FALSE)-VLOOKUP($A165,main!$A$3:$I$56,6,FALSE)&gt;=VLOOKUP(57,main!$A$57:$I$59,4,FALSE)+VLOOKUP(VLOOKUP(BB$1,main!$A$3:$I$56,7,FALSE),main!$K$10:$Q$14,5,FALSE),1,0)</f>
        <v>0</v>
      </c>
      <c r="BC165">
        <f>IF(VLOOKUP(BC$1,main!$A$3:$I$56,5,FALSE)-VLOOKUP($A165,main!$A$3:$I$56,6,FALSE)&gt;=VLOOKUP(57,main!$A$57:$I$59,4,FALSE)+VLOOKUP(VLOOKUP(BC$1,main!$A$3:$I$56,7,FALSE),main!$K$10:$Q$14,5,FALSE),1,0)</f>
        <v>0</v>
      </c>
      <c r="BD165">
        <f>IF(VLOOKUP(BD$1,main!$A$3:$I$56,5,FALSE)-VLOOKUP($A165,main!$A$3:$I$56,6,FALSE)&gt;=VLOOKUP(57,main!$A$57:$I$59,4,FALSE)+VLOOKUP(VLOOKUP(BD$1,main!$A$3:$I$56,7,FALSE),main!$K$10:$Q$14,5,FALSE),1,0)</f>
        <v>0</v>
      </c>
    </row>
    <row r="166" spans="1:56" x14ac:dyDescent="0.25">
      <c r="A166">
        <f t="shared" si="2"/>
        <v>54</v>
      </c>
      <c r="B166">
        <v>0</v>
      </c>
      <c r="C166">
        <f>IF(VLOOKUP(C$1,main!$A$3:$I$56,5,FALSE)-VLOOKUP($A166,main!$A$3:$I$56,6,FALSE)&gt;=VLOOKUP(57,main!$A$57:$I$59,4,FALSE)+VLOOKUP(VLOOKUP(C$1,main!$A$3:$I$56,7,FALSE),main!$K$10:$Q$14,5,FALSE),1,0)</f>
        <v>0</v>
      </c>
      <c r="D166">
        <f>IF(VLOOKUP(D$1,main!$A$3:$I$56,5,FALSE)-VLOOKUP($A166,main!$A$3:$I$56,6,FALSE)&gt;=VLOOKUP(57,main!$A$57:$I$59,4,FALSE)+VLOOKUP(VLOOKUP(D$1,main!$A$3:$I$56,7,FALSE),main!$K$10:$Q$14,5,FALSE),1,0)</f>
        <v>0</v>
      </c>
      <c r="E166">
        <f>IF(VLOOKUP(E$1,main!$A$3:$I$56,5,FALSE)-VLOOKUP($A166,main!$A$3:$I$56,6,FALSE)&gt;=VLOOKUP(57,main!$A$57:$I$59,4,FALSE)+VLOOKUP(VLOOKUP(E$1,main!$A$3:$I$56,7,FALSE),main!$K$10:$Q$14,5,FALSE),1,0)</f>
        <v>0</v>
      </c>
      <c r="F166">
        <f>IF(VLOOKUP(F$1,main!$A$3:$I$56,5,FALSE)-VLOOKUP($A166,main!$A$3:$I$56,6,FALSE)&gt;=VLOOKUP(57,main!$A$57:$I$59,4,FALSE)+VLOOKUP(VLOOKUP(F$1,main!$A$3:$I$56,7,FALSE),main!$K$10:$Q$14,5,FALSE),1,0)</f>
        <v>0</v>
      </c>
      <c r="G166">
        <f>IF(VLOOKUP(G$1,main!$A$3:$I$56,5,FALSE)-VLOOKUP($A166,main!$A$3:$I$56,6,FALSE)&gt;=VLOOKUP(57,main!$A$57:$I$59,4,FALSE)+VLOOKUP(VLOOKUP(G$1,main!$A$3:$I$56,7,FALSE),main!$K$10:$Q$14,5,FALSE),1,0)</f>
        <v>0</v>
      </c>
      <c r="H166">
        <f>IF(VLOOKUP(H$1,main!$A$3:$I$56,5,FALSE)-VLOOKUP($A166,main!$A$3:$I$56,6,FALSE)&gt;=VLOOKUP(57,main!$A$57:$I$59,4,FALSE)+VLOOKUP(VLOOKUP(H$1,main!$A$3:$I$56,7,FALSE),main!$K$10:$Q$14,5,FALSE),1,0)</f>
        <v>0</v>
      </c>
      <c r="I166">
        <f>IF(VLOOKUP(I$1,main!$A$3:$I$56,5,FALSE)-VLOOKUP($A166,main!$A$3:$I$56,6,FALSE)&gt;=VLOOKUP(57,main!$A$57:$I$59,4,FALSE)+VLOOKUP(VLOOKUP(I$1,main!$A$3:$I$56,7,FALSE),main!$K$10:$Q$14,5,FALSE),1,0)</f>
        <v>0</v>
      </c>
      <c r="J166">
        <f>IF(VLOOKUP(J$1,main!$A$3:$I$56,5,FALSE)-VLOOKUP($A166,main!$A$3:$I$56,6,FALSE)&gt;=VLOOKUP(57,main!$A$57:$I$59,4,FALSE)+VLOOKUP(VLOOKUP(J$1,main!$A$3:$I$56,7,FALSE),main!$K$10:$Q$14,5,FALSE),1,0)</f>
        <v>0</v>
      </c>
      <c r="K166">
        <f>IF(VLOOKUP(K$1,main!$A$3:$I$56,5,FALSE)-VLOOKUP($A166,main!$A$3:$I$56,6,FALSE)&gt;=VLOOKUP(57,main!$A$57:$I$59,4,FALSE)+VLOOKUP(VLOOKUP(K$1,main!$A$3:$I$56,7,FALSE),main!$K$10:$Q$14,5,FALSE),1,0)</f>
        <v>0</v>
      </c>
      <c r="L166">
        <f>IF(VLOOKUP(L$1,main!$A$3:$I$56,5,FALSE)-VLOOKUP($A166,main!$A$3:$I$56,6,FALSE)&gt;=VLOOKUP(57,main!$A$57:$I$59,4,FALSE)+VLOOKUP(VLOOKUP(L$1,main!$A$3:$I$56,7,FALSE),main!$K$10:$Q$14,5,FALSE),1,0)</f>
        <v>0</v>
      </c>
      <c r="M166">
        <f>IF(VLOOKUP(M$1,main!$A$3:$I$56,5,FALSE)-VLOOKUP($A166,main!$A$3:$I$56,6,FALSE)&gt;=VLOOKUP(57,main!$A$57:$I$59,4,FALSE)+VLOOKUP(VLOOKUP(M$1,main!$A$3:$I$56,7,FALSE),main!$K$10:$Q$14,5,FALSE),1,0)</f>
        <v>0</v>
      </c>
      <c r="N166">
        <f>IF(VLOOKUP(N$1,main!$A$3:$I$56,5,FALSE)-VLOOKUP($A166,main!$A$3:$I$56,6,FALSE)&gt;=VLOOKUP(57,main!$A$57:$I$59,4,FALSE)+VLOOKUP(VLOOKUP(N$1,main!$A$3:$I$56,7,FALSE),main!$K$10:$Q$14,5,FALSE),1,0)</f>
        <v>0</v>
      </c>
      <c r="O166">
        <f>IF(VLOOKUP(O$1,main!$A$3:$I$56,5,FALSE)-VLOOKUP($A166,main!$A$3:$I$56,6,FALSE)&gt;=VLOOKUP(57,main!$A$57:$I$59,4,FALSE)+VLOOKUP(VLOOKUP(O$1,main!$A$3:$I$56,7,FALSE),main!$K$10:$Q$14,5,FALSE),1,0)</f>
        <v>0</v>
      </c>
      <c r="P166">
        <f>IF(VLOOKUP(P$1,main!$A$3:$I$56,5,FALSE)-VLOOKUP($A166,main!$A$3:$I$56,6,FALSE)&gt;=VLOOKUP(57,main!$A$57:$I$59,4,FALSE)+VLOOKUP(VLOOKUP(P$1,main!$A$3:$I$56,7,FALSE),main!$K$10:$Q$14,5,FALSE),1,0)</f>
        <v>0</v>
      </c>
      <c r="Q166">
        <f>IF(VLOOKUP(Q$1,main!$A$3:$I$56,5,FALSE)-VLOOKUP($A166,main!$A$3:$I$56,6,FALSE)&gt;=VLOOKUP(57,main!$A$57:$I$59,4,FALSE)+VLOOKUP(VLOOKUP(Q$1,main!$A$3:$I$56,7,FALSE),main!$K$10:$Q$14,5,FALSE),1,0)</f>
        <v>0</v>
      </c>
      <c r="R166">
        <f>IF(VLOOKUP(R$1,main!$A$3:$I$56,5,FALSE)-VLOOKUP($A166,main!$A$3:$I$56,6,FALSE)&gt;=VLOOKUP(57,main!$A$57:$I$59,4,FALSE)+VLOOKUP(VLOOKUP(R$1,main!$A$3:$I$56,7,FALSE),main!$K$10:$Q$14,5,FALSE),1,0)</f>
        <v>0</v>
      </c>
      <c r="S166">
        <f>IF(VLOOKUP(S$1,main!$A$3:$I$56,5,FALSE)-VLOOKUP($A166,main!$A$3:$I$56,6,FALSE)&gt;=VLOOKUP(57,main!$A$57:$I$59,4,FALSE)+VLOOKUP(VLOOKUP(S$1,main!$A$3:$I$56,7,FALSE),main!$K$10:$Q$14,5,FALSE),1,0)</f>
        <v>0</v>
      </c>
      <c r="T166">
        <f>IF(VLOOKUP(T$1,main!$A$3:$I$56,5,FALSE)-VLOOKUP($A166,main!$A$3:$I$56,6,FALSE)&gt;=VLOOKUP(57,main!$A$57:$I$59,4,FALSE)+VLOOKUP(VLOOKUP(T$1,main!$A$3:$I$56,7,FALSE),main!$K$10:$Q$14,5,FALSE),1,0)</f>
        <v>0</v>
      </c>
      <c r="U166">
        <f>IF(VLOOKUP(U$1,main!$A$3:$I$56,5,FALSE)-VLOOKUP($A166,main!$A$3:$I$56,6,FALSE)&gt;=VLOOKUP(57,main!$A$57:$I$59,4,FALSE)+VLOOKUP(VLOOKUP(U$1,main!$A$3:$I$56,7,FALSE),main!$K$10:$Q$14,5,FALSE),1,0)</f>
        <v>0</v>
      </c>
      <c r="V166">
        <f>IF(VLOOKUP(V$1,main!$A$3:$I$56,5,FALSE)-VLOOKUP($A166,main!$A$3:$I$56,6,FALSE)&gt;=VLOOKUP(57,main!$A$57:$I$59,4,FALSE)+VLOOKUP(VLOOKUP(V$1,main!$A$3:$I$56,7,FALSE),main!$K$10:$Q$14,5,FALSE),1,0)</f>
        <v>0</v>
      </c>
      <c r="W166">
        <f>IF(VLOOKUP(W$1,main!$A$3:$I$56,5,FALSE)-VLOOKUP($A166,main!$A$3:$I$56,6,FALSE)&gt;=VLOOKUP(57,main!$A$57:$I$59,4,FALSE)+VLOOKUP(VLOOKUP(W$1,main!$A$3:$I$56,7,FALSE),main!$K$10:$Q$14,5,FALSE),1,0)</f>
        <v>0</v>
      </c>
      <c r="X166">
        <f>IF(VLOOKUP(X$1,main!$A$3:$I$56,5,FALSE)-VLOOKUP($A166,main!$A$3:$I$56,6,FALSE)&gt;=VLOOKUP(57,main!$A$57:$I$59,4,FALSE)+VLOOKUP(VLOOKUP(X$1,main!$A$3:$I$56,7,FALSE),main!$K$10:$Q$14,5,FALSE),1,0)</f>
        <v>0</v>
      </c>
      <c r="Y166">
        <f>IF(VLOOKUP(Y$1,main!$A$3:$I$56,5,FALSE)-VLOOKUP($A166,main!$A$3:$I$56,6,FALSE)&gt;=VLOOKUP(57,main!$A$57:$I$59,4,FALSE)+VLOOKUP(VLOOKUP(Y$1,main!$A$3:$I$56,7,FALSE),main!$K$10:$Q$14,5,FALSE),1,0)</f>
        <v>0</v>
      </c>
      <c r="Z166">
        <f>IF(VLOOKUP(Z$1,main!$A$3:$I$56,5,FALSE)-VLOOKUP($A166,main!$A$3:$I$56,6,FALSE)&gt;=VLOOKUP(57,main!$A$57:$I$59,4,FALSE)+VLOOKUP(VLOOKUP(Z$1,main!$A$3:$I$56,7,FALSE),main!$K$10:$Q$14,5,FALSE),1,0)</f>
        <v>0</v>
      </c>
      <c r="AA166">
        <f>IF(VLOOKUP(AA$1,main!$A$3:$I$56,5,FALSE)-VLOOKUP($A166,main!$A$3:$I$56,6,FALSE)&gt;=VLOOKUP(57,main!$A$57:$I$59,4,FALSE)+VLOOKUP(VLOOKUP(AA$1,main!$A$3:$I$56,7,FALSE),main!$K$10:$Q$14,5,FALSE),1,0)</f>
        <v>0</v>
      </c>
      <c r="AB166">
        <f>IF(VLOOKUP(AB$1,main!$A$3:$I$56,5,FALSE)-VLOOKUP($A166,main!$A$3:$I$56,6,FALSE)&gt;=VLOOKUP(57,main!$A$57:$I$59,4,FALSE)+VLOOKUP(VLOOKUP(AB$1,main!$A$3:$I$56,7,FALSE),main!$K$10:$Q$14,5,FALSE),1,0)</f>
        <v>0</v>
      </c>
      <c r="AC166">
        <f>IF(VLOOKUP(AC$1,main!$A$3:$I$56,5,FALSE)-VLOOKUP($A166,main!$A$3:$I$56,6,FALSE)&gt;=VLOOKUP(57,main!$A$57:$I$59,4,FALSE)+VLOOKUP(VLOOKUP(AC$1,main!$A$3:$I$56,7,FALSE),main!$K$10:$Q$14,5,FALSE),1,0)</f>
        <v>0</v>
      </c>
      <c r="AD166">
        <f>IF(VLOOKUP(AD$1,main!$A$3:$I$56,5,FALSE)-VLOOKUP($A166,main!$A$3:$I$56,6,FALSE)&gt;=VLOOKUP(57,main!$A$57:$I$59,4,FALSE)+VLOOKUP(VLOOKUP(AD$1,main!$A$3:$I$56,7,FALSE),main!$K$10:$Q$14,5,FALSE),1,0)</f>
        <v>0</v>
      </c>
      <c r="AE166">
        <f>IF(VLOOKUP(AE$1,main!$A$3:$I$56,5,FALSE)-VLOOKUP($A166,main!$A$3:$I$56,6,FALSE)&gt;=VLOOKUP(57,main!$A$57:$I$59,4,FALSE)+VLOOKUP(VLOOKUP(AE$1,main!$A$3:$I$56,7,FALSE),main!$K$10:$Q$14,5,FALSE),1,0)</f>
        <v>0</v>
      </c>
      <c r="AF166">
        <f>IF(VLOOKUP(AF$1,main!$A$3:$I$56,5,FALSE)-VLOOKUP($A166,main!$A$3:$I$56,6,FALSE)&gt;=VLOOKUP(57,main!$A$57:$I$59,4,FALSE)+VLOOKUP(VLOOKUP(AF$1,main!$A$3:$I$56,7,FALSE),main!$K$10:$Q$14,5,FALSE),1,0)</f>
        <v>0</v>
      </c>
      <c r="AG166">
        <f>IF(VLOOKUP(AG$1,main!$A$3:$I$56,5,FALSE)-VLOOKUP($A166,main!$A$3:$I$56,6,FALSE)&gt;=VLOOKUP(57,main!$A$57:$I$59,4,FALSE)+VLOOKUP(VLOOKUP(AG$1,main!$A$3:$I$56,7,FALSE),main!$K$10:$Q$14,5,FALSE),1,0)</f>
        <v>0</v>
      </c>
      <c r="AH166">
        <f>IF(VLOOKUP(AH$1,main!$A$3:$I$56,5,FALSE)-VLOOKUP($A166,main!$A$3:$I$56,6,FALSE)&gt;=VLOOKUP(57,main!$A$57:$I$59,4,FALSE)+VLOOKUP(VLOOKUP(AH$1,main!$A$3:$I$56,7,FALSE),main!$K$10:$Q$14,5,FALSE),1,0)</f>
        <v>0</v>
      </c>
      <c r="AI166">
        <f>IF(VLOOKUP(AI$1,main!$A$3:$I$56,5,FALSE)-VLOOKUP($A166,main!$A$3:$I$56,6,FALSE)&gt;=VLOOKUP(57,main!$A$57:$I$59,4,FALSE)+VLOOKUP(VLOOKUP(AI$1,main!$A$3:$I$56,7,FALSE),main!$K$10:$Q$14,5,FALSE),1,0)</f>
        <v>0</v>
      </c>
      <c r="AJ166">
        <f>IF(VLOOKUP(AJ$1,main!$A$3:$I$56,5,FALSE)-VLOOKUP($A166,main!$A$3:$I$56,6,FALSE)&gt;=VLOOKUP(57,main!$A$57:$I$59,4,FALSE)+VLOOKUP(VLOOKUP(AJ$1,main!$A$3:$I$56,7,FALSE),main!$K$10:$Q$14,5,FALSE),1,0)</f>
        <v>0</v>
      </c>
      <c r="AK166">
        <f>IF(VLOOKUP(AK$1,main!$A$3:$I$56,5,FALSE)-VLOOKUP($A166,main!$A$3:$I$56,6,FALSE)&gt;=VLOOKUP(57,main!$A$57:$I$59,4,FALSE)+VLOOKUP(VLOOKUP(AK$1,main!$A$3:$I$56,7,FALSE),main!$K$10:$Q$14,5,FALSE),1,0)</f>
        <v>0</v>
      </c>
      <c r="AL166">
        <f>IF(VLOOKUP(AL$1,main!$A$3:$I$56,5,FALSE)-VLOOKUP($A166,main!$A$3:$I$56,6,FALSE)&gt;=VLOOKUP(57,main!$A$57:$I$59,4,FALSE)+VLOOKUP(VLOOKUP(AL$1,main!$A$3:$I$56,7,FALSE),main!$K$10:$Q$14,5,FALSE),1,0)</f>
        <v>0</v>
      </c>
      <c r="AM166">
        <f>IF(VLOOKUP(AM$1,main!$A$3:$I$56,5,FALSE)-VLOOKUP($A166,main!$A$3:$I$56,6,FALSE)&gt;=VLOOKUP(57,main!$A$57:$I$59,4,FALSE)+VLOOKUP(VLOOKUP(AM$1,main!$A$3:$I$56,7,FALSE),main!$K$10:$Q$14,5,FALSE),1,0)</f>
        <v>0</v>
      </c>
      <c r="AN166">
        <f>IF(VLOOKUP(AN$1,main!$A$3:$I$56,5,FALSE)-VLOOKUP($A166,main!$A$3:$I$56,6,FALSE)&gt;=VLOOKUP(57,main!$A$57:$I$59,4,FALSE)+VLOOKUP(VLOOKUP(AN$1,main!$A$3:$I$56,7,FALSE),main!$K$10:$Q$14,5,FALSE),1,0)</f>
        <v>0</v>
      </c>
      <c r="AO166">
        <f>IF(VLOOKUP(AO$1,main!$A$3:$I$56,5,FALSE)-VLOOKUP($A166,main!$A$3:$I$56,6,FALSE)&gt;=VLOOKUP(57,main!$A$57:$I$59,4,FALSE)+VLOOKUP(VLOOKUP(AO$1,main!$A$3:$I$56,7,FALSE),main!$K$10:$Q$14,5,FALSE),1,0)</f>
        <v>0</v>
      </c>
      <c r="AP166">
        <f>IF(VLOOKUP(AP$1,main!$A$3:$I$56,5,FALSE)-VLOOKUP($A166,main!$A$3:$I$56,6,FALSE)&gt;=VLOOKUP(57,main!$A$57:$I$59,4,FALSE)+VLOOKUP(VLOOKUP(AP$1,main!$A$3:$I$56,7,FALSE),main!$K$10:$Q$14,5,FALSE),1,0)</f>
        <v>0</v>
      </c>
      <c r="AQ166">
        <f>IF(VLOOKUP(AQ$1,main!$A$3:$I$56,5,FALSE)-VLOOKUP($A166,main!$A$3:$I$56,6,FALSE)&gt;=VLOOKUP(57,main!$A$57:$I$59,4,FALSE)+VLOOKUP(VLOOKUP(AQ$1,main!$A$3:$I$56,7,FALSE),main!$K$10:$Q$14,5,FALSE),1,0)</f>
        <v>0</v>
      </c>
      <c r="AR166">
        <f>IF(VLOOKUP(AR$1,main!$A$3:$I$56,5,FALSE)-VLOOKUP($A166,main!$A$3:$I$56,6,FALSE)&gt;=VLOOKUP(57,main!$A$57:$I$59,4,FALSE)+VLOOKUP(VLOOKUP(AR$1,main!$A$3:$I$56,7,FALSE),main!$K$10:$Q$14,5,FALSE),1,0)</f>
        <v>0</v>
      </c>
      <c r="AS166">
        <f>IF(VLOOKUP(AS$1,main!$A$3:$I$56,5,FALSE)-VLOOKUP($A166,main!$A$3:$I$56,6,FALSE)&gt;=VLOOKUP(57,main!$A$57:$I$59,4,FALSE)+VLOOKUP(VLOOKUP(AS$1,main!$A$3:$I$56,7,FALSE),main!$K$10:$Q$14,5,FALSE),1,0)</f>
        <v>0</v>
      </c>
      <c r="AT166">
        <f>IF(VLOOKUP(AT$1,main!$A$3:$I$56,5,FALSE)-VLOOKUP($A166,main!$A$3:$I$56,6,FALSE)&gt;=VLOOKUP(57,main!$A$57:$I$59,4,FALSE)+VLOOKUP(VLOOKUP(AT$1,main!$A$3:$I$56,7,FALSE),main!$K$10:$Q$14,5,FALSE),1,0)</f>
        <v>0</v>
      </c>
      <c r="AU166">
        <f>IF(VLOOKUP(AU$1,main!$A$3:$I$56,5,FALSE)-VLOOKUP($A166,main!$A$3:$I$56,6,FALSE)&gt;=VLOOKUP(57,main!$A$57:$I$59,4,FALSE)+VLOOKUP(VLOOKUP(AU$1,main!$A$3:$I$56,7,FALSE),main!$K$10:$Q$14,5,FALSE),1,0)</f>
        <v>0</v>
      </c>
      <c r="AV166">
        <f>IF(VLOOKUP(AV$1,main!$A$3:$I$56,5,FALSE)-VLOOKUP($A166,main!$A$3:$I$56,6,FALSE)&gt;=VLOOKUP(57,main!$A$57:$I$59,4,FALSE)+VLOOKUP(VLOOKUP(AV$1,main!$A$3:$I$56,7,FALSE),main!$K$10:$Q$14,5,FALSE),1,0)</f>
        <v>0</v>
      </c>
      <c r="AW166">
        <f>IF(VLOOKUP(AW$1,main!$A$3:$I$56,5,FALSE)-VLOOKUP($A166,main!$A$3:$I$56,6,FALSE)&gt;=VLOOKUP(57,main!$A$57:$I$59,4,FALSE)+VLOOKUP(VLOOKUP(AW$1,main!$A$3:$I$56,7,FALSE),main!$K$10:$Q$14,5,FALSE),1,0)</f>
        <v>0</v>
      </c>
      <c r="AX166">
        <f>IF(VLOOKUP(AX$1,main!$A$3:$I$56,5,FALSE)-VLOOKUP($A166,main!$A$3:$I$56,6,FALSE)&gt;=VLOOKUP(57,main!$A$57:$I$59,4,FALSE)+VLOOKUP(VLOOKUP(AX$1,main!$A$3:$I$56,7,FALSE),main!$K$10:$Q$14,5,FALSE),1,0)</f>
        <v>0</v>
      </c>
      <c r="AY166">
        <f>IF(VLOOKUP(AY$1,main!$A$3:$I$56,5,FALSE)-VLOOKUP($A166,main!$A$3:$I$56,6,FALSE)&gt;=VLOOKUP(57,main!$A$57:$I$59,4,FALSE)+VLOOKUP(VLOOKUP(AY$1,main!$A$3:$I$56,7,FALSE),main!$K$10:$Q$14,5,FALSE),1,0)</f>
        <v>0</v>
      </c>
      <c r="AZ166">
        <f>IF(VLOOKUP(AZ$1,main!$A$3:$I$56,5,FALSE)-VLOOKUP($A166,main!$A$3:$I$56,6,FALSE)&gt;=VLOOKUP(57,main!$A$57:$I$59,4,FALSE)+VLOOKUP(VLOOKUP(AZ$1,main!$A$3:$I$56,7,FALSE),main!$K$10:$Q$14,5,FALSE),1,0)</f>
        <v>0</v>
      </c>
      <c r="BA166">
        <f>IF(VLOOKUP(BA$1,main!$A$3:$I$56,5,FALSE)-VLOOKUP($A166,main!$A$3:$I$56,6,FALSE)&gt;=VLOOKUP(57,main!$A$57:$I$59,4,FALSE)+VLOOKUP(VLOOKUP(BA$1,main!$A$3:$I$56,7,FALSE),main!$K$10:$Q$14,5,FALSE),1,0)</f>
        <v>0</v>
      </c>
      <c r="BB166">
        <f>IF(VLOOKUP(BB$1,main!$A$3:$I$56,5,FALSE)-VLOOKUP($A166,main!$A$3:$I$56,6,FALSE)&gt;=VLOOKUP(57,main!$A$57:$I$59,4,FALSE)+VLOOKUP(VLOOKUP(BB$1,main!$A$3:$I$56,7,FALSE),main!$K$10:$Q$14,5,FALSE),1,0)</f>
        <v>0</v>
      </c>
      <c r="BC166">
        <f>IF(VLOOKUP(BC$1,main!$A$3:$I$56,5,FALSE)-VLOOKUP($A166,main!$A$3:$I$56,6,FALSE)&gt;=VLOOKUP(57,main!$A$57:$I$59,4,FALSE)+VLOOKUP(VLOOKUP(BC$1,main!$A$3:$I$56,7,FALSE),main!$K$10:$Q$14,5,FALSE),1,0)</f>
        <v>0</v>
      </c>
      <c r="BD166">
        <f>IF(VLOOKUP(BD$1,main!$A$3:$I$56,5,FALSE)-VLOOKUP($A166,main!$A$3:$I$56,6,FALSE)&gt;=VLOOKUP(57,main!$A$57:$I$59,4,FALSE)+VLOOKUP(VLOOKUP(BD$1,main!$A$3:$I$56,7,FALSE),main!$K$10:$Q$14,5,FALSE),1,0)</f>
        <v>0</v>
      </c>
    </row>
    <row r="167" spans="1:56" x14ac:dyDescent="0.25">
      <c r="A167">
        <v>0</v>
      </c>
      <c r="B167">
        <v>0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</row>
    <row r="168" spans="1:56" x14ac:dyDescent="0.25">
      <c r="A168">
        <f>A167+1</f>
        <v>1</v>
      </c>
      <c r="B168">
        <v>0</v>
      </c>
      <c r="C168">
        <f>IF(VLOOKUP(C$1,main!$A$3:$I$56,5,FALSE)-VLOOKUP($A168,main!$A$3:$I$56,6,FALSE)&gt;=VLOOKUP(58,main!$A$57:$I$61,4,FALSE)+VLOOKUP(VLOOKUP(C$1,main!$A$3:$I$56,7,FALSE),main!$K$10:$Q$14,6,FALSE),1,0)</f>
        <v>0</v>
      </c>
      <c r="D168">
        <f>IF(VLOOKUP(D$1,main!$A$3:$I$56,5,FALSE)-VLOOKUP($A168,main!$A$3:$I$56,6,FALSE)&gt;=VLOOKUP(58,main!$A$57:$I$61,4,FALSE)+VLOOKUP(VLOOKUP(D$1,main!$A$3:$I$56,7,FALSE),main!$K$10:$Q$14,6,FALSE),1,0)</f>
        <v>0</v>
      </c>
      <c r="E168">
        <f>IF(VLOOKUP(E$1,main!$A$3:$I$56,5,FALSE)-VLOOKUP($A168,main!$A$3:$I$56,6,FALSE)&gt;=VLOOKUP(58,main!$A$57:$I$61,4,FALSE)+VLOOKUP(VLOOKUP(E$1,main!$A$3:$I$56,7,FALSE),main!$K$10:$Q$14,6,FALSE),1,0)</f>
        <v>0</v>
      </c>
      <c r="F168">
        <f>IF(VLOOKUP(F$1,main!$A$3:$I$56,5,FALSE)-VLOOKUP($A168,main!$A$3:$I$56,6,FALSE)&gt;=VLOOKUP(58,main!$A$57:$I$61,4,FALSE)+VLOOKUP(VLOOKUP(F$1,main!$A$3:$I$56,7,FALSE),main!$K$10:$Q$14,6,FALSE),1,0)</f>
        <v>1</v>
      </c>
      <c r="G168">
        <f>IF(VLOOKUP(G$1,main!$A$3:$I$56,5,FALSE)-VLOOKUP($A168,main!$A$3:$I$56,6,FALSE)&gt;=VLOOKUP(58,main!$A$57:$I$61,4,FALSE)+VLOOKUP(VLOOKUP(G$1,main!$A$3:$I$56,7,FALSE),main!$K$10:$Q$14,6,FALSE),1,0)</f>
        <v>1</v>
      </c>
      <c r="H168">
        <f>IF(VLOOKUP(H$1,main!$A$3:$I$56,5,FALSE)-VLOOKUP($A168,main!$A$3:$I$56,6,FALSE)&gt;=VLOOKUP(58,main!$A$57:$I$61,4,FALSE)+VLOOKUP(VLOOKUP(H$1,main!$A$3:$I$56,7,FALSE),main!$K$10:$Q$14,6,FALSE),1,0)</f>
        <v>1</v>
      </c>
      <c r="I168">
        <f>IF(VLOOKUP(I$1,main!$A$3:$I$56,5,FALSE)-VLOOKUP($A168,main!$A$3:$I$56,6,FALSE)&gt;=VLOOKUP(58,main!$A$57:$I$61,4,FALSE)+VLOOKUP(VLOOKUP(I$1,main!$A$3:$I$56,7,FALSE),main!$K$10:$Q$14,6,FALSE),1,0)</f>
        <v>1</v>
      </c>
      <c r="J168">
        <f>IF(VLOOKUP(J$1,main!$A$3:$I$56,5,FALSE)-VLOOKUP($A168,main!$A$3:$I$56,6,FALSE)&gt;=VLOOKUP(58,main!$A$57:$I$61,4,FALSE)+VLOOKUP(VLOOKUP(J$1,main!$A$3:$I$56,7,FALSE),main!$K$10:$Q$14,6,FALSE),1,0)</f>
        <v>1</v>
      </c>
      <c r="K168">
        <f>IF(VLOOKUP(K$1,main!$A$3:$I$56,5,FALSE)-VLOOKUP($A168,main!$A$3:$I$56,6,FALSE)&gt;=VLOOKUP(58,main!$A$57:$I$61,4,FALSE)+VLOOKUP(VLOOKUP(K$1,main!$A$3:$I$56,7,FALSE),main!$K$10:$Q$14,6,FALSE),1,0)</f>
        <v>0</v>
      </c>
      <c r="L168">
        <f>IF(VLOOKUP(L$1,main!$A$3:$I$56,5,FALSE)-VLOOKUP($A168,main!$A$3:$I$56,6,FALSE)&gt;=VLOOKUP(58,main!$A$57:$I$61,4,FALSE)+VLOOKUP(VLOOKUP(L$1,main!$A$3:$I$56,7,FALSE),main!$K$10:$Q$14,6,FALSE),1,0)</f>
        <v>0</v>
      </c>
      <c r="M168">
        <f>IF(VLOOKUP(M$1,main!$A$3:$I$56,5,FALSE)-VLOOKUP($A168,main!$A$3:$I$56,6,FALSE)&gt;=VLOOKUP(58,main!$A$57:$I$61,4,FALSE)+VLOOKUP(VLOOKUP(M$1,main!$A$3:$I$56,7,FALSE),main!$K$10:$Q$14,6,FALSE),1,0)</f>
        <v>0</v>
      </c>
      <c r="N168">
        <f>IF(VLOOKUP(N$1,main!$A$3:$I$56,5,FALSE)-VLOOKUP($A168,main!$A$3:$I$56,6,FALSE)&gt;=VLOOKUP(58,main!$A$57:$I$61,4,FALSE)+VLOOKUP(VLOOKUP(N$1,main!$A$3:$I$56,7,FALSE),main!$K$10:$Q$14,6,FALSE),1,0)</f>
        <v>1</v>
      </c>
      <c r="O168">
        <f>IF(VLOOKUP(O$1,main!$A$3:$I$56,5,FALSE)-VLOOKUP($A168,main!$A$3:$I$56,6,FALSE)&gt;=VLOOKUP(58,main!$A$57:$I$61,4,FALSE)+VLOOKUP(VLOOKUP(O$1,main!$A$3:$I$56,7,FALSE),main!$K$10:$Q$14,6,FALSE),1,0)</f>
        <v>1</v>
      </c>
      <c r="P168">
        <f>IF(VLOOKUP(P$1,main!$A$3:$I$56,5,FALSE)-VLOOKUP($A168,main!$A$3:$I$56,6,FALSE)&gt;=VLOOKUP(58,main!$A$57:$I$61,4,FALSE)+VLOOKUP(VLOOKUP(P$1,main!$A$3:$I$56,7,FALSE),main!$K$10:$Q$14,6,FALSE),1,0)</f>
        <v>0</v>
      </c>
      <c r="Q168">
        <f>IF(VLOOKUP(Q$1,main!$A$3:$I$56,5,FALSE)-VLOOKUP($A168,main!$A$3:$I$56,6,FALSE)&gt;=VLOOKUP(58,main!$A$57:$I$61,4,FALSE)+VLOOKUP(VLOOKUP(Q$1,main!$A$3:$I$56,7,FALSE),main!$K$10:$Q$14,6,FALSE),1,0)</f>
        <v>0</v>
      </c>
      <c r="R168">
        <f>IF(VLOOKUP(R$1,main!$A$3:$I$56,5,FALSE)-VLOOKUP($A168,main!$A$3:$I$56,6,FALSE)&gt;=VLOOKUP(58,main!$A$57:$I$61,4,FALSE)+VLOOKUP(VLOOKUP(R$1,main!$A$3:$I$56,7,FALSE),main!$K$10:$Q$14,6,FALSE),1,0)</f>
        <v>0</v>
      </c>
      <c r="S168">
        <f>IF(VLOOKUP(S$1,main!$A$3:$I$56,5,FALSE)-VLOOKUP($A168,main!$A$3:$I$56,6,FALSE)&gt;=VLOOKUP(58,main!$A$57:$I$61,4,FALSE)+VLOOKUP(VLOOKUP(S$1,main!$A$3:$I$56,7,FALSE),main!$K$10:$Q$14,6,FALSE),1,0)</f>
        <v>1</v>
      </c>
      <c r="T168">
        <f>IF(VLOOKUP(T$1,main!$A$3:$I$56,5,FALSE)-VLOOKUP($A168,main!$A$3:$I$56,6,FALSE)&gt;=VLOOKUP(58,main!$A$57:$I$61,4,FALSE)+VLOOKUP(VLOOKUP(T$1,main!$A$3:$I$56,7,FALSE),main!$K$10:$Q$14,6,FALSE),1,0)</f>
        <v>1</v>
      </c>
      <c r="U168">
        <f>IF(VLOOKUP(U$1,main!$A$3:$I$56,5,FALSE)-VLOOKUP($A168,main!$A$3:$I$56,6,FALSE)&gt;=VLOOKUP(58,main!$A$57:$I$61,4,FALSE)+VLOOKUP(VLOOKUP(U$1,main!$A$3:$I$56,7,FALSE),main!$K$10:$Q$14,6,FALSE),1,0)</f>
        <v>0</v>
      </c>
      <c r="V168">
        <f>IF(VLOOKUP(V$1,main!$A$3:$I$56,5,FALSE)-VLOOKUP($A168,main!$A$3:$I$56,6,FALSE)&gt;=VLOOKUP(58,main!$A$57:$I$61,4,FALSE)+VLOOKUP(VLOOKUP(V$1,main!$A$3:$I$56,7,FALSE),main!$K$10:$Q$14,6,FALSE),1,0)</f>
        <v>0</v>
      </c>
      <c r="W168">
        <f>IF(VLOOKUP(W$1,main!$A$3:$I$56,5,FALSE)-VLOOKUP($A168,main!$A$3:$I$56,6,FALSE)&gt;=VLOOKUP(58,main!$A$57:$I$61,4,FALSE)+VLOOKUP(VLOOKUP(W$1,main!$A$3:$I$56,7,FALSE),main!$K$10:$Q$14,6,FALSE),1,0)</f>
        <v>0</v>
      </c>
      <c r="X168">
        <f>IF(VLOOKUP(X$1,main!$A$3:$I$56,5,FALSE)-VLOOKUP($A168,main!$A$3:$I$56,6,FALSE)&gt;=VLOOKUP(58,main!$A$57:$I$61,4,FALSE)+VLOOKUP(VLOOKUP(X$1,main!$A$3:$I$56,7,FALSE),main!$K$10:$Q$14,6,FALSE),1,0)</f>
        <v>0</v>
      </c>
      <c r="Y168">
        <f>IF(VLOOKUP(Y$1,main!$A$3:$I$56,5,FALSE)-VLOOKUP($A168,main!$A$3:$I$56,6,FALSE)&gt;=VLOOKUP(58,main!$A$57:$I$61,4,FALSE)+VLOOKUP(VLOOKUP(Y$1,main!$A$3:$I$56,7,FALSE),main!$K$10:$Q$14,6,FALSE),1,0)</f>
        <v>1</v>
      </c>
      <c r="Z168">
        <f>IF(VLOOKUP(Z$1,main!$A$3:$I$56,5,FALSE)-VLOOKUP($A168,main!$A$3:$I$56,6,FALSE)&gt;=VLOOKUP(58,main!$A$57:$I$61,4,FALSE)+VLOOKUP(VLOOKUP(Z$1,main!$A$3:$I$56,7,FALSE),main!$K$10:$Q$14,6,FALSE),1,0)</f>
        <v>1</v>
      </c>
      <c r="AA168">
        <f>IF(VLOOKUP(AA$1,main!$A$3:$I$56,5,FALSE)-VLOOKUP($A168,main!$A$3:$I$56,6,FALSE)&gt;=VLOOKUP(58,main!$A$57:$I$61,4,FALSE)+VLOOKUP(VLOOKUP(AA$1,main!$A$3:$I$56,7,FALSE),main!$K$10:$Q$14,6,FALSE),1,0)</f>
        <v>1</v>
      </c>
      <c r="AB168">
        <f>IF(VLOOKUP(AB$1,main!$A$3:$I$56,5,FALSE)-VLOOKUP($A168,main!$A$3:$I$56,6,FALSE)&gt;=VLOOKUP(58,main!$A$57:$I$61,4,FALSE)+VLOOKUP(VLOOKUP(AB$1,main!$A$3:$I$56,7,FALSE),main!$K$10:$Q$14,6,FALSE),1,0)</f>
        <v>1</v>
      </c>
      <c r="AC168">
        <f>IF(VLOOKUP(AC$1,main!$A$3:$I$56,5,FALSE)-VLOOKUP($A168,main!$A$3:$I$56,6,FALSE)&gt;=VLOOKUP(58,main!$A$57:$I$61,4,FALSE)+VLOOKUP(VLOOKUP(AC$1,main!$A$3:$I$56,7,FALSE),main!$K$10:$Q$14,6,FALSE),1,0)</f>
        <v>0</v>
      </c>
      <c r="AD168">
        <f>IF(VLOOKUP(AD$1,main!$A$3:$I$56,5,FALSE)-VLOOKUP($A168,main!$A$3:$I$56,6,FALSE)&gt;=VLOOKUP(58,main!$A$57:$I$61,4,FALSE)+VLOOKUP(VLOOKUP(AD$1,main!$A$3:$I$56,7,FALSE),main!$K$10:$Q$14,6,FALSE),1,0)</f>
        <v>0</v>
      </c>
      <c r="AE168">
        <f>IF(VLOOKUP(AE$1,main!$A$3:$I$56,5,FALSE)-VLOOKUP($A168,main!$A$3:$I$56,6,FALSE)&gt;=VLOOKUP(58,main!$A$57:$I$61,4,FALSE)+VLOOKUP(VLOOKUP(AE$1,main!$A$3:$I$56,7,FALSE),main!$K$10:$Q$14,6,FALSE),1,0)</f>
        <v>0</v>
      </c>
      <c r="AF168">
        <f>IF(VLOOKUP(AF$1,main!$A$3:$I$56,5,FALSE)-VLOOKUP($A168,main!$A$3:$I$56,6,FALSE)&gt;=VLOOKUP(58,main!$A$57:$I$61,4,FALSE)+VLOOKUP(VLOOKUP(AF$1,main!$A$3:$I$56,7,FALSE),main!$K$10:$Q$14,6,FALSE),1,0)</f>
        <v>1</v>
      </c>
      <c r="AG168">
        <f>IF(VLOOKUP(AG$1,main!$A$3:$I$56,5,FALSE)-VLOOKUP($A168,main!$A$3:$I$56,6,FALSE)&gt;=VLOOKUP(58,main!$A$57:$I$61,4,FALSE)+VLOOKUP(VLOOKUP(AG$1,main!$A$3:$I$56,7,FALSE),main!$K$10:$Q$14,6,FALSE),1,0)</f>
        <v>0</v>
      </c>
      <c r="AH168">
        <f>IF(VLOOKUP(AH$1,main!$A$3:$I$56,5,FALSE)-VLOOKUP($A168,main!$A$3:$I$56,6,FALSE)&gt;=VLOOKUP(58,main!$A$57:$I$61,4,FALSE)+VLOOKUP(VLOOKUP(AH$1,main!$A$3:$I$56,7,FALSE),main!$K$10:$Q$14,6,FALSE),1,0)</f>
        <v>0</v>
      </c>
      <c r="AI168">
        <f>IF(VLOOKUP(AI$1,main!$A$3:$I$56,5,FALSE)-VLOOKUP($A168,main!$A$3:$I$56,6,FALSE)&gt;=VLOOKUP(58,main!$A$57:$I$61,4,FALSE)+VLOOKUP(VLOOKUP(AI$1,main!$A$3:$I$56,7,FALSE),main!$K$10:$Q$14,6,FALSE),1,0)</f>
        <v>1</v>
      </c>
      <c r="AJ168">
        <f>IF(VLOOKUP(AJ$1,main!$A$3:$I$56,5,FALSE)-VLOOKUP($A168,main!$A$3:$I$56,6,FALSE)&gt;=VLOOKUP(58,main!$A$57:$I$61,4,FALSE)+VLOOKUP(VLOOKUP(AJ$1,main!$A$3:$I$56,7,FALSE),main!$K$10:$Q$14,6,FALSE),1,0)</f>
        <v>1</v>
      </c>
      <c r="AK168">
        <f>IF(VLOOKUP(AK$1,main!$A$3:$I$56,5,FALSE)-VLOOKUP($A168,main!$A$3:$I$56,6,FALSE)&gt;=VLOOKUP(58,main!$A$57:$I$61,4,FALSE)+VLOOKUP(VLOOKUP(AK$1,main!$A$3:$I$56,7,FALSE),main!$K$10:$Q$14,6,FALSE),1,0)</f>
        <v>1</v>
      </c>
      <c r="AL168">
        <f>IF(VLOOKUP(AL$1,main!$A$3:$I$56,5,FALSE)-VLOOKUP($A168,main!$A$3:$I$56,6,FALSE)&gt;=VLOOKUP(58,main!$A$57:$I$61,4,FALSE)+VLOOKUP(VLOOKUP(AL$1,main!$A$3:$I$56,7,FALSE),main!$K$10:$Q$14,6,FALSE),1,0)</f>
        <v>0</v>
      </c>
      <c r="AM168">
        <f>IF(VLOOKUP(AM$1,main!$A$3:$I$56,5,FALSE)-VLOOKUP($A168,main!$A$3:$I$56,6,FALSE)&gt;=VLOOKUP(58,main!$A$57:$I$61,4,FALSE)+VLOOKUP(VLOOKUP(AM$1,main!$A$3:$I$56,7,FALSE),main!$K$10:$Q$14,6,FALSE),1,0)</f>
        <v>0</v>
      </c>
      <c r="AN168">
        <f>IF(VLOOKUP(AN$1,main!$A$3:$I$56,5,FALSE)-VLOOKUP($A168,main!$A$3:$I$56,6,FALSE)&gt;=VLOOKUP(58,main!$A$57:$I$61,4,FALSE)+VLOOKUP(VLOOKUP(AN$1,main!$A$3:$I$56,7,FALSE),main!$K$10:$Q$14,6,FALSE),1,0)</f>
        <v>1</v>
      </c>
      <c r="AO168">
        <f>IF(VLOOKUP(AO$1,main!$A$3:$I$56,5,FALSE)-VLOOKUP($A168,main!$A$3:$I$56,6,FALSE)&gt;=VLOOKUP(58,main!$A$57:$I$61,4,FALSE)+VLOOKUP(VLOOKUP(AO$1,main!$A$3:$I$56,7,FALSE),main!$K$10:$Q$14,6,FALSE),1,0)</f>
        <v>1</v>
      </c>
      <c r="AP168">
        <f>IF(VLOOKUP(AP$1,main!$A$3:$I$56,5,FALSE)-VLOOKUP($A168,main!$A$3:$I$56,6,FALSE)&gt;=VLOOKUP(58,main!$A$57:$I$61,4,FALSE)+VLOOKUP(VLOOKUP(AP$1,main!$A$3:$I$56,7,FALSE),main!$K$10:$Q$14,6,FALSE),1,0)</f>
        <v>0</v>
      </c>
      <c r="AQ168">
        <f>IF(VLOOKUP(AQ$1,main!$A$3:$I$56,5,FALSE)-VLOOKUP($A168,main!$A$3:$I$56,6,FALSE)&gt;=VLOOKUP(58,main!$A$57:$I$61,4,FALSE)+VLOOKUP(VLOOKUP(AQ$1,main!$A$3:$I$56,7,FALSE),main!$K$10:$Q$14,6,FALSE),1,0)</f>
        <v>0</v>
      </c>
      <c r="AR168">
        <f>IF(VLOOKUP(AR$1,main!$A$3:$I$56,5,FALSE)-VLOOKUP($A168,main!$A$3:$I$56,6,FALSE)&gt;=VLOOKUP(58,main!$A$57:$I$61,4,FALSE)+VLOOKUP(VLOOKUP(AR$1,main!$A$3:$I$56,7,FALSE),main!$K$10:$Q$14,6,FALSE),1,0)</f>
        <v>0</v>
      </c>
      <c r="AS168">
        <f>IF(VLOOKUP(AS$1,main!$A$3:$I$56,5,FALSE)-VLOOKUP($A168,main!$A$3:$I$56,6,FALSE)&gt;=VLOOKUP(58,main!$A$57:$I$61,4,FALSE)+VLOOKUP(VLOOKUP(AS$1,main!$A$3:$I$56,7,FALSE),main!$K$10:$Q$14,6,FALSE),1,0)</f>
        <v>1</v>
      </c>
      <c r="AT168">
        <f>IF(VLOOKUP(AT$1,main!$A$3:$I$56,5,FALSE)-VLOOKUP($A168,main!$A$3:$I$56,6,FALSE)&gt;=VLOOKUP(58,main!$A$57:$I$61,4,FALSE)+VLOOKUP(VLOOKUP(AT$1,main!$A$3:$I$56,7,FALSE),main!$K$10:$Q$14,6,FALSE),1,0)</f>
        <v>1</v>
      </c>
      <c r="AU168">
        <f>IF(VLOOKUP(AU$1,main!$A$3:$I$56,5,FALSE)-VLOOKUP($A168,main!$A$3:$I$56,6,FALSE)&gt;=VLOOKUP(58,main!$A$57:$I$61,4,FALSE)+VLOOKUP(VLOOKUP(AU$1,main!$A$3:$I$56,7,FALSE),main!$K$10:$Q$14,6,FALSE),1,0)</f>
        <v>0</v>
      </c>
      <c r="AV168">
        <f>IF(VLOOKUP(AV$1,main!$A$3:$I$56,5,FALSE)-VLOOKUP($A168,main!$A$3:$I$56,6,FALSE)&gt;=VLOOKUP(58,main!$A$57:$I$61,4,FALSE)+VLOOKUP(VLOOKUP(AV$1,main!$A$3:$I$56,7,FALSE),main!$K$10:$Q$14,6,FALSE),1,0)</f>
        <v>0</v>
      </c>
      <c r="AW168">
        <f>IF(VLOOKUP(AW$1,main!$A$3:$I$56,5,FALSE)-VLOOKUP($A168,main!$A$3:$I$56,6,FALSE)&gt;=VLOOKUP(58,main!$A$57:$I$61,4,FALSE)+VLOOKUP(VLOOKUP(AW$1,main!$A$3:$I$56,7,FALSE),main!$K$10:$Q$14,6,FALSE),1,0)</f>
        <v>0</v>
      </c>
      <c r="AX168">
        <f>IF(VLOOKUP(AX$1,main!$A$3:$I$56,5,FALSE)-VLOOKUP($A168,main!$A$3:$I$56,6,FALSE)&gt;=VLOOKUP(58,main!$A$57:$I$61,4,FALSE)+VLOOKUP(VLOOKUP(AX$1,main!$A$3:$I$56,7,FALSE),main!$K$10:$Q$14,6,FALSE),1,0)</f>
        <v>0</v>
      </c>
      <c r="AY168">
        <f>IF(VLOOKUP(AY$1,main!$A$3:$I$56,5,FALSE)-VLOOKUP($A168,main!$A$3:$I$56,6,FALSE)&gt;=VLOOKUP(58,main!$A$57:$I$61,4,FALSE)+VLOOKUP(VLOOKUP(AY$1,main!$A$3:$I$56,7,FALSE),main!$K$10:$Q$14,6,FALSE),1,0)</f>
        <v>1</v>
      </c>
      <c r="AZ168">
        <f>IF(VLOOKUP(AZ$1,main!$A$3:$I$56,5,FALSE)-VLOOKUP($A168,main!$A$3:$I$56,6,FALSE)&gt;=VLOOKUP(58,main!$A$57:$I$61,4,FALSE)+VLOOKUP(VLOOKUP(AZ$1,main!$A$3:$I$56,7,FALSE),main!$K$10:$Q$14,6,FALSE),1,0)</f>
        <v>0</v>
      </c>
      <c r="BA168">
        <f>IF(VLOOKUP(BA$1,main!$A$3:$I$56,5,FALSE)-VLOOKUP($A168,main!$A$3:$I$56,6,FALSE)&gt;=VLOOKUP(58,main!$A$57:$I$61,4,FALSE)+VLOOKUP(VLOOKUP(BA$1,main!$A$3:$I$56,7,FALSE),main!$K$10:$Q$14,6,FALSE),1,0)</f>
        <v>0</v>
      </c>
      <c r="BB168">
        <f>IF(VLOOKUP(BB$1,main!$A$3:$I$56,5,FALSE)-VLOOKUP($A168,main!$A$3:$I$56,6,FALSE)&gt;=VLOOKUP(58,main!$A$57:$I$61,4,FALSE)+VLOOKUP(VLOOKUP(BB$1,main!$A$3:$I$56,7,FALSE),main!$K$10:$Q$14,6,FALSE),1,0)</f>
        <v>0</v>
      </c>
      <c r="BC168">
        <f>IF(VLOOKUP(BC$1,main!$A$3:$I$56,5,FALSE)-VLOOKUP($A168,main!$A$3:$I$56,6,FALSE)&gt;=VLOOKUP(58,main!$A$57:$I$61,4,FALSE)+VLOOKUP(VLOOKUP(BC$1,main!$A$3:$I$56,7,FALSE),main!$K$10:$Q$14,6,FALSE),1,0)</f>
        <v>0</v>
      </c>
      <c r="BD168">
        <f>IF(VLOOKUP(BD$1,main!$A$3:$I$56,5,FALSE)-VLOOKUP($A168,main!$A$3:$I$56,6,FALSE)&gt;=VLOOKUP(58,main!$A$57:$I$61,4,FALSE)+VLOOKUP(VLOOKUP(BD$1,main!$A$3:$I$56,7,FALSE),main!$K$10:$Q$14,6,FALSE),1,0)</f>
        <v>0</v>
      </c>
    </row>
    <row r="169" spans="1:56" x14ac:dyDescent="0.25">
      <c r="A169">
        <f t="shared" ref="A169:A221" si="3">A168+1</f>
        <v>2</v>
      </c>
      <c r="B169">
        <v>0</v>
      </c>
      <c r="C169">
        <f>IF(VLOOKUP(C$1,main!$A$3:$I$56,5,FALSE)-VLOOKUP($A169,main!$A$3:$I$56,6,FALSE)&gt;=VLOOKUP(58,main!$A$57:$I$61,4,FALSE)+VLOOKUP(VLOOKUP(C$1,main!$A$3:$I$56,7,FALSE),main!$K$10:$Q$14,6,FALSE),1,0)</f>
        <v>0</v>
      </c>
      <c r="D169">
        <f>IF(VLOOKUP(D$1,main!$A$3:$I$56,5,FALSE)-VLOOKUP($A169,main!$A$3:$I$56,6,FALSE)&gt;=VLOOKUP(58,main!$A$57:$I$61,4,FALSE)+VLOOKUP(VLOOKUP(D$1,main!$A$3:$I$56,7,FALSE),main!$K$10:$Q$14,6,FALSE),1,0)</f>
        <v>0</v>
      </c>
      <c r="E169">
        <f>IF(VLOOKUP(E$1,main!$A$3:$I$56,5,FALSE)-VLOOKUP($A169,main!$A$3:$I$56,6,FALSE)&gt;=VLOOKUP(58,main!$A$57:$I$61,4,FALSE)+VLOOKUP(VLOOKUP(E$1,main!$A$3:$I$56,7,FALSE),main!$K$10:$Q$14,6,FALSE),1,0)</f>
        <v>0</v>
      </c>
      <c r="F169">
        <f>IF(VLOOKUP(F$1,main!$A$3:$I$56,5,FALSE)-VLOOKUP($A169,main!$A$3:$I$56,6,FALSE)&gt;=VLOOKUP(58,main!$A$57:$I$61,4,FALSE)+VLOOKUP(VLOOKUP(F$1,main!$A$3:$I$56,7,FALSE),main!$K$10:$Q$14,6,FALSE),1,0)</f>
        <v>0</v>
      </c>
      <c r="G169">
        <f>IF(VLOOKUP(G$1,main!$A$3:$I$56,5,FALSE)-VLOOKUP($A169,main!$A$3:$I$56,6,FALSE)&gt;=VLOOKUP(58,main!$A$57:$I$61,4,FALSE)+VLOOKUP(VLOOKUP(G$1,main!$A$3:$I$56,7,FALSE),main!$K$10:$Q$14,6,FALSE),1,0)</f>
        <v>0</v>
      </c>
      <c r="H169">
        <f>IF(VLOOKUP(H$1,main!$A$3:$I$56,5,FALSE)-VLOOKUP($A169,main!$A$3:$I$56,6,FALSE)&gt;=VLOOKUP(58,main!$A$57:$I$61,4,FALSE)+VLOOKUP(VLOOKUP(H$1,main!$A$3:$I$56,7,FALSE),main!$K$10:$Q$14,6,FALSE),1,0)</f>
        <v>0</v>
      </c>
      <c r="I169">
        <f>IF(VLOOKUP(I$1,main!$A$3:$I$56,5,FALSE)-VLOOKUP($A169,main!$A$3:$I$56,6,FALSE)&gt;=VLOOKUP(58,main!$A$57:$I$61,4,FALSE)+VLOOKUP(VLOOKUP(I$1,main!$A$3:$I$56,7,FALSE),main!$K$10:$Q$14,6,FALSE),1,0)</f>
        <v>1</v>
      </c>
      <c r="J169">
        <f>IF(VLOOKUP(J$1,main!$A$3:$I$56,5,FALSE)-VLOOKUP($A169,main!$A$3:$I$56,6,FALSE)&gt;=VLOOKUP(58,main!$A$57:$I$61,4,FALSE)+VLOOKUP(VLOOKUP(J$1,main!$A$3:$I$56,7,FALSE),main!$K$10:$Q$14,6,FALSE),1,0)</f>
        <v>1</v>
      </c>
      <c r="K169">
        <f>IF(VLOOKUP(K$1,main!$A$3:$I$56,5,FALSE)-VLOOKUP($A169,main!$A$3:$I$56,6,FALSE)&gt;=VLOOKUP(58,main!$A$57:$I$61,4,FALSE)+VLOOKUP(VLOOKUP(K$1,main!$A$3:$I$56,7,FALSE),main!$K$10:$Q$14,6,FALSE),1,0)</f>
        <v>0</v>
      </c>
      <c r="L169">
        <f>IF(VLOOKUP(L$1,main!$A$3:$I$56,5,FALSE)-VLOOKUP($A169,main!$A$3:$I$56,6,FALSE)&gt;=VLOOKUP(58,main!$A$57:$I$61,4,FALSE)+VLOOKUP(VLOOKUP(L$1,main!$A$3:$I$56,7,FALSE),main!$K$10:$Q$14,6,FALSE),1,0)</f>
        <v>0</v>
      </c>
      <c r="M169">
        <f>IF(VLOOKUP(M$1,main!$A$3:$I$56,5,FALSE)-VLOOKUP($A169,main!$A$3:$I$56,6,FALSE)&gt;=VLOOKUP(58,main!$A$57:$I$61,4,FALSE)+VLOOKUP(VLOOKUP(M$1,main!$A$3:$I$56,7,FALSE),main!$K$10:$Q$14,6,FALSE),1,0)</f>
        <v>0</v>
      </c>
      <c r="N169">
        <f>IF(VLOOKUP(N$1,main!$A$3:$I$56,5,FALSE)-VLOOKUP($A169,main!$A$3:$I$56,6,FALSE)&gt;=VLOOKUP(58,main!$A$57:$I$61,4,FALSE)+VLOOKUP(VLOOKUP(N$1,main!$A$3:$I$56,7,FALSE),main!$K$10:$Q$14,6,FALSE),1,0)</f>
        <v>1</v>
      </c>
      <c r="O169">
        <f>IF(VLOOKUP(O$1,main!$A$3:$I$56,5,FALSE)-VLOOKUP($A169,main!$A$3:$I$56,6,FALSE)&gt;=VLOOKUP(58,main!$A$57:$I$61,4,FALSE)+VLOOKUP(VLOOKUP(O$1,main!$A$3:$I$56,7,FALSE),main!$K$10:$Q$14,6,FALSE),1,0)</f>
        <v>1</v>
      </c>
      <c r="P169">
        <f>IF(VLOOKUP(P$1,main!$A$3:$I$56,5,FALSE)-VLOOKUP($A169,main!$A$3:$I$56,6,FALSE)&gt;=VLOOKUP(58,main!$A$57:$I$61,4,FALSE)+VLOOKUP(VLOOKUP(P$1,main!$A$3:$I$56,7,FALSE),main!$K$10:$Q$14,6,FALSE),1,0)</f>
        <v>0</v>
      </c>
      <c r="Q169">
        <f>IF(VLOOKUP(Q$1,main!$A$3:$I$56,5,FALSE)-VLOOKUP($A169,main!$A$3:$I$56,6,FALSE)&gt;=VLOOKUP(58,main!$A$57:$I$61,4,FALSE)+VLOOKUP(VLOOKUP(Q$1,main!$A$3:$I$56,7,FALSE),main!$K$10:$Q$14,6,FALSE),1,0)</f>
        <v>0</v>
      </c>
      <c r="R169">
        <f>IF(VLOOKUP(R$1,main!$A$3:$I$56,5,FALSE)-VLOOKUP($A169,main!$A$3:$I$56,6,FALSE)&gt;=VLOOKUP(58,main!$A$57:$I$61,4,FALSE)+VLOOKUP(VLOOKUP(R$1,main!$A$3:$I$56,7,FALSE),main!$K$10:$Q$14,6,FALSE),1,0)</f>
        <v>0</v>
      </c>
      <c r="S169">
        <f>IF(VLOOKUP(S$1,main!$A$3:$I$56,5,FALSE)-VLOOKUP($A169,main!$A$3:$I$56,6,FALSE)&gt;=VLOOKUP(58,main!$A$57:$I$61,4,FALSE)+VLOOKUP(VLOOKUP(S$1,main!$A$3:$I$56,7,FALSE),main!$K$10:$Q$14,6,FALSE),1,0)</f>
        <v>0</v>
      </c>
      <c r="T169">
        <f>IF(VLOOKUP(T$1,main!$A$3:$I$56,5,FALSE)-VLOOKUP($A169,main!$A$3:$I$56,6,FALSE)&gt;=VLOOKUP(58,main!$A$57:$I$61,4,FALSE)+VLOOKUP(VLOOKUP(T$1,main!$A$3:$I$56,7,FALSE),main!$K$10:$Q$14,6,FALSE),1,0)</f>
        <v>1</v>
      </c>
      <c r="U169">
        <f>IF(VLOOKUP(U$1,main!$A$3:$I$56,5,FALSE)-VLOOKUP($A169,main!$A$3:$I$56,6,FALSE)&gt;=VLOOKUP(58,main!$A$57:$I$61,4,FALSE)+VLOOKUP(VLOOKUP(U$1,main!$A$3:$I$56,7,FALSE),main!$K$10:$Q$14,6,FALSE),1,0)</f>
        <v>0</v>
      </c>
      <c r="V169">
        <f>IF(VLOOKUP(V$1,main!$A$3:$I$56,5,FALSE)-VLOOKUP($A169,main!$A$3:$I$56,6,FALSE)&gt;=VLOOKUP(58,main!$A$57:$I$61,4,FALSE)+VLOOKUP(VLOOKUP(V$1,main!$A$3:$I$56,7,FALSE),main!$K$10:$Q$14,6,FALSE),1,0)</f>
        <v>0</v>
      </c>
      <c r="W169">
        <f>IF(VLOOKUP(W$1,main!$A$3:$I$56,5,FALSE)-VLOOKUP($A169,main!$A$3:$I$56,6,FALSE)&gt;=VLOOKUP(58,main!$A$57:$I$61,4,FALSE)+VLOOKUP(VLOOKUP(W$1,main!$A$3:$I$56,7,FALSE),main!$K$10:$Q$14,6,FALSE),1,0)</f>
        <v>0</v>
      </c>
      <c r="X169">
        <f>IF(VLOOKUP(X$1,main!$A$3:$I$56,5,FALSE)-VLOOKUP($A169,main!$A$3:$I$56,6,FALSE)&gt;=VLOOKUP(58,main!$A$57:$I$61,4,FALSE)+VLOOKUP(VLOOKUP(X$1,main!$A$3:$I$56,7,FALSE),main!$K$10:$Q$14,6,FALSE),1,0)</f>
        <v>0</v>
      </c>
      <c r="Y169">
        <f>IF(VLOOKUP(Y$1,main!$A$3:$I$56,5,FALSE)-VLOOKUP($A169,main!$A$3:$I$56,6,FALSE)&gt;=VLOOKUP(58,main!$A$57:$I$61,4,FALSE)+VLOOKUP(VLOOKUP(Y$1,main!$A$3:$I$56,7,FALSE),main!$K$10:$Q$14,6,FALSE),1,0)</f>
        <v>0</v>
      </c>
      <c r="Z169">
        <f>IF(VLOOKUP(Z$1,main!$A$3:$I$56,5,FALSE)-VLOOKUP($A169,main!$A$3:$I$56,6,FALSE)&gt;=VLOOKUP(58,main!$A$57:$I$61,4,FALSE)+VLOOKUP(VLOOKUP(Z$1,main!$A$3:$I$56,7,FALSE),main!$K$10:$Q$14,6,FALSE),1,0)</f>
        <v>0</v>
      </c>
      <c r="AA169">
        <f>IF(VLOOKUP(AA$1,main!$A$3:$I$56,5,FALSE)-VLOOKUP($A169,main!$A$3:$I$56,6,FALSE)&gt;=VLOOKUP(58,main!$A$57:$I$61,4,FALSE)+VLOOKUP(VLOOKUP(AA$1,main!$A$3:$I$56,7,FALSE),main!$K$10:$Q$14,6,FALSE),1,0)</f>
        <v>1</v>
      </c>
      <c r="AB169">
        <f>IF(VLOOKUP(AB$1,main!$A$3:$I$56,5,FALSE)-VLOOKUP($A169,main!$A$3:$I$56,6,FALSE)&gt;=VLOOKUP(58,main!$A$57:$I$61,4,FALSE)+VLOOKUP(VLOOKUP(AB$1,main!$A$3:$I$56,7,FALSE),main!$K$10:$Q$14,6,FALSE),1,0)</f>
        <v>1</v>
      </c>
      <c r="AC169">
        <f>IF(VLOOKUP(AC$1,main!$A$3:$I$56,5,FALSE)-VLOOKUP($A169,main!$A$3:$I$56,6,FALSE)&gt;=VLOOKUP(58,main!$A$57:$I$61,4,FALSE)+VLOOKUP(VLOOKUP(AC$1,main!$A$3:$I$56,7,FALSE),main!$K$10:$Q$14,6,FALSE),1,0)</f>
        <v>0</v>
      </c>
      <c r="AD169">
        <f>IF(VLOOKUP(AD$1,main!$A$3:$I$56,5,FALSE)-VLOOKUP($A169,main!$A$3:$I$56,6,FALSE)&gt;=VLOOKUP(58,main!$A$57:$I$61,4,FALSE)+VLOOKUP(VLOOKUP(AD$1,main!$A$3:$I$56,7,FALSE),main!$K$10:$Q$14,6,FALSE),1,0)</f>
        <v>0</v>
      </c>
      <c r="AE169">
        <f>IF(VLOOKUP(AE$1,main!$A$3:$I$56,5,FALSE)-VLOOKUP($A169,main!$A$3:$I$56,6,FALSE)&gt;=VLOOKUP(58,main!$A$57:$I$61,4,FALSE)+VLOOKUP(VLOOKUP(AE$1,main!$A$3:$I$56,7,FALSE),main!$K$10:$Q$14,6,FALSE),1,0)</f>
        <v>0</v>
      </c>
      <c r="AF169">
        <f>IF(VLOOKUP(AF$1,main!$A$3:$I$56,5,FALSE)-VLOOKUP($A169,main!$A$3:$I$56,6,FALSE)&gt;=VLOOKUP(58,main!$A$57:$I$61,4,FALSE)+VLOOKUP(VLOOKUP(AF$1,main!$A$3:$I$56,7,FALSE),main!$K$10:$Q$14,6,FALSE),1,0)</f>
        <v>0</v>
      </c>
      <c r="AG169">
        <f>IF(VLOOKUP(AG$1,main!$A$3:$I$56,5,FALSE)-VLOOKUP($A169,main!$A$3:$I$56,6,FALSE)&gt;=VLOOKUP(58,main!$A$57:$I$61,4,FALSE)+VLOOKUP(VLOOKUP(AG$1,main!$A$3:$I$56,7,FALSE),main!$K$10:$Q$14,6,FALSE),1,0)</f>
        <v>0</v>
      </c>
      <c r="AH169">
        <f>IF(VLOOKUP(AH$1,main!$A$3:$I$56,5,FALSE)-VLOOKUP($A169,main!$A$3:$I$56,6,FALSE)&gt;=VLOOKUP(58,main!$A$57:$I$61,4,FALSE)+VLOOKUP(VLOOKUP(AH$1,main!$A$3:$I$56,7,FALSE),main!$K$10:$Q$14,6,FALSE),1,0)</f>
        <v>0</v>
      </c>
      <c r="AI169">
        <f>IF(VLOOKUP(AI$1,main!$A$3:$I$56,5,FALSE)-VLOOKUP($A169,main!$A$3:$I$56,6,FALSE)&gt;=VLOOKUP(58,main!$A$57:$I$61,4,FALSE)+VLOOKUP(VLOOKUP(AI$1,main!$A$3:$I$56,7,FALSE),main!$K$10:$Q$14,6,FALSE),1,0)</f>
        <v>0</v>
      </c>
      <c r="AJ169">
        <f>IF(VLOOKUP(AJ$1,main!$A$3:$I$56,5,FALSE)-VLOOKUP($A169,main!$A$3:$I$56,6,FALSE)&gt;=VLOOKUP(58,main!$A$57:$I$61,4,FALSE)+VLOOKUP(VLOOKUP(AJ$1,main!$A$3:$I$56,7,FALSE),main!$K$10:$Q$14,6,FALSE),1,0)</f>
        <v>0</v>
      </c>
      <c r="AK169">
        <f>IF(VLOOKUP(AK$1,main!$A$3:$I$56,5,FALSE)-VLOOKUP($A169,main!$A$3:$I$56,6,FALSE)&gt;=VLOOKUP(58,main!$A$57:$I$61,4,FALSE)+VLOOKUP(VLOOKUP(AK$1,main!$A$3:$I$56,7,FALSE),main!$K$10:$Q$14,6,FALSE),1,0)</f>
        <v>1</v>
      </c>
      <c r="AL169">
        <f>IF(VLOOKUP(AL$1,main!$A$3:$I$56,5,FALSE)-VLOOKUP($A169,main!$A$3:$I$56,6,FALSE)&gt;=VLOOKUP(58,main!$A$57:$I$61,4,FALSE)+VLOOKUP(VLOOKUP(AL$1,main!$A$3:$I$56,7,FALSE),main!$K$10:$Q$14,6,FALSE),1,0)</f>
        <v>0</v>
      </c>
      <c r="AM169">
        <f>IF(VLOOKUP(AM$1,main!$A$3:$I$56,5,FALSE)-VLOOKUP($A169,main!$A$3:$I$56,6,FALSE)&gt;=VLOOKUP(58,main!$A$57:$I$61,4,FALSE)+VLOOKUP(VLOOKUP(AM$1,main!$A$3:$I$56,7,FALSE),main!$K$10:$Q$14,6,FALSE),1,0)</f>
        <v>0</v>
      </c>
      <c r="AN169">
        <f>IF(VLOOKUP(AN$1,main!$A$3:$I$56,5,FALSE)-VLOOKUP($A169,main!$A$3:$I$56,6,FALSE)&gt;=VLOOKUP(58,main!$A$57:$I$61,4,FALSE)+VLOOKUP(VLOOKUP(AN$1,main!$A$3:$I$56,7,FALSE),main!$K$10:$Q$14,6,FALSE),1,0)</f>
        <v>0</v>
      </c>
      <c r="AO169">
        <f>IF(VLOOKUP(AO$1,main!$A$3:$I$56,5,FALSE)-VLOOKUP($A169,main!$A$3:$I$56,6,FALSE)&gt;=VLOOKUP(58,main!$A$57:$I$61,4,FALSE)+VLOOKUP(VLOOKUP(AO$1,main!$A$3:$I$56,7,FALSE),main!$K$10:$Q$14,6,FALSE),1,0)</f>
        <v>1</v>
      </c>
      <c r="AP169">
        <f>IF(VLOOKUP(AP$1,main!$A$3:$I$56,5,FALSE)-VLOOKUP($A169,main!$A$3:$I$56,6,FALSE)&gt;=VLOOKUP(58,main!$A$57:$I$61,4,FALSE)+VLOOKUP(VLOOKUP(AP$1,main!$A$3:$I$56,7,FALSE),main!$K$10:$Q$14,6,FALSE),1,0)</f>
        <v>0</v>
      </c>
      <c r="AQ169">
        <f>IF(VLOOKUP(AQ$1,main!$A$3:$I$56,5,FALSE)-VLOOKUP($A169,main!$A$3:$I$56,6,FALSE)&gt;=VLOOKUP(58,main!$A$57:$I$61,4,FALSE)+VLOOKUP(VLOOKUP(AQ$1,main!$A$3:$I$56,7,FALSE),main!$K$10:$Q$14,6,FALSE),1,0)</f>
        <v>0</v>
      </c>
      <c r="AR169">
        <f>IF(VLOOKUP(AR$1,main!$A$3:$I$56,5,FALSE)-VLOOKUP($A169,main!$A$3:$I$56,6,FALSE)&gt;=VLOOKUP(58,main!$A$57:$I$61,4,FALSE)+VLOOKUP(VLOOKUP(AR$1,main!$A$3:$I$56,7,FALSE),main!$K$10:$Q$14,6,FALSE),1,0)</f>
        <v>0</v>
      </c>
      <c r="AS169">
        <f>IF(VLOOKUP(AS$1,main!$A$3:$I$56,5,FALSE)-VLOOKUP($A169,main!$A$3:$I$56,6,FALSE)&gt;=VLOOKUP(58,main!$A$57:$I$61,4,FALSE)+VLOOKUP(VLOOKUP(AS$1,main!$A$3:$I$56,7,FALSE),main!$K$10:$Q$14,6,FALSE),1,0)</f>
        <v>0</v>
      </c>
      <c r="AT169">
        <f>IF(VLOOKUP(AT$1,main!$A$3:$I$56,5,FALSE)-VLOOKUP($A169,main!$A$3:$I$56,6,FALSE)&gt;=VLOOKUP(58,main!$A$57:$I$61,4,FALSE)+VLOOKUP(VLOOKUP(AT$1,main!$A$3:$I$56,7,FALSE),main!$K$10:$Q$14,6,FALSE),1,0)</f>
        <v>0</v>
      </c>
      <c r="AU169">
        <f>IF(VLOOKUP(AU$1,main!$A$3:$I$56,5,FALSE)-VLOOKUP($A169,main!$A$3:$I$56,6,FALSE)&gt;=VLOOKUP(58,main!$A$57:$I$61,4,FALSE)+VLOOKUP(VLOOKUP(AU$1,main!$A$3:$I$56,7,FALSE),main!$K$10:$Q$14,6,FALSE),1,0)</f>
        <v>0</v>
      </c>
      <c r="AV169">
        <f>IF(VLOOKUP(AV$1,main!$A$3:$I$56,5,FALSE)-VLOOKUP($A169,main!$A$3:$I$56,6,FALSE)&gt;=VLOOKUP(58,main!$A$57:$I$61,4,FALSE)+VLOOKUP(VLOOKUP(AV$1,main!$A$3:$I$56,7,FALSE),main!$K$10:$Q$14,6,FALSE),1,0)</f>
        <v>0</v>
      </c>
      <c r="AW169">
        <f>IF(VLOOKUP(AW$1,main!$A$3:$I$56,5,FALSE)-VLOOKUP($A169,main!$A$3:$I$56,6,FALSE)&gt;=VLOOKUP(58,main!$A$57:$I$61,4,FALSE)+VLOOKUP(VLOOKUP(AW$1,main!$A$3:$I$56,7,FALSE),main!$K$10:$Q$14,6,FALSE),1,0)</f>
        <v>0</v>
      </c>
      <c r="AX169">
        <f>IF(VLOOKUP(AX$1,main!$A$3:$I$56,5,FALSE)-VLOOKUP($A169,main!$A$3:$I$56,6,FALSE)&gt;=VLOOKUP(58,main!$A$57:$I$61,4,FALSE)+VLOOKUP(VLOOKUP(AX$1,main!$A$3:$I$56,7,FALSE),main!$K$10:$Q$14,6,FALSE),1,0)</f>
        <v>0</v>
      </c>
      <c r="AY169">
        <f>IF(VLOOKUP(AY$1,main!$A$3:$I$56,5,FALSE)-VLOOKUP($A169,main!$A$3:$I$56,6,FALSE)&gt;=VLOOKUP(58,main!$A$57:$I$61,4,FALSE)+VLOOKUP(VLOOKUP(AY$1,main!$A$3:$I$56,7,FALSE),main!$K$10:$Q$14,6,FALSE),1,0)</f>
        <v>0</v>
      </c>
      <c r="AZ169">
        <f>IF(VLOOKUP(AZ$1,main!$A$3:$I$56,5,FALSE)-VLOOKUP($A169,main!$A$3:$I$56,6,FALSE)&gt;=VLOOKUP(58,main!$A$57:$I$61,4,FALSE)+VLOOKUP(VLOOKUP(AZ$1,main!$A$3:$I$56,7,FALSE),main!$K$10:$Q$14,6,FALSE),1,0)</f>
        <v>0</v>
      </c>
      <c r="BA169">
        <f>IF(VLOOKUP(BA$1,main!$A$3:$I$56,5,FALSE)-VLOOKUP($A169,main!$A$3:$I$56,6,FALSE)&gt;=VLOOKUP(58,main!$A$57:$I$61,4,FALSE)+VLOOKUP(VLOOKUP(BA$1,main!$A$3:$I$56,7,FALSE),main!$K$10:$Q$14,6,FALSE),1,0)</f>
        <v>0</v>
      </c>
      <c r="BB169">
        <f>IF(VLOOKUP(BB$1,main!$A$3:$I$56,5,FALSE)-VLOOKUP($A169,main!$A$3:$I$56,6,FALSE)&gt;=VLOOKUP(58,main!$A$57:$I$61,4,FALSE)+VLOOKUP(VLOOKUP(BB$1,main!$A$3:$I$56,7,FALSE),main!$K$10:$Q$14,6,FALSE),1,0)</f>
        <v>0</v>
      </c>
      <c r="BC169">
        <f>IF(VLOOKUP(BC$1,main!$A$3:$I$56,5,FALSE)-VLOOKUP($A169,main!$A$3:$I$56,6,FALSE)&gt;=VLOOKUP(58,main!$A$57:$I$61,4,FALSE)+VLOOKUP(VLOOKUP(BC$1,main!$A$3:$I$56,7,FALSE),main!$K$10:$Q$14,6,FALSE),1,0)</f>
        <v>0</v>
      </c>
      <c r="BD169">
        <f>IF(VLOOKUP(BD$1,main!$A$3:$I$56,5,FALSE)-VLOOKUP($A169,main!$A$3:$I$56,6,FALSE)&gt;=VLOOKUP(58,main!$A$57:$I$61,4,FALSE)+VLOOKUP(VLOOKUP(BD$1,main!$A$3:$I$56,7,FALSE),main!$K$10:$Q$14,6,FALSE),1,0)</f>
        <v>0</v>
      </c>
    </row>
    <row r="170" spans="1:56" x14ac:dyDescent="0.25">
      <c r="A170">
        <f t="shared" si="3"/>
        <v>3</v>
      </c>
      <c r="B170">
        <v>0</v>
      </c>
      <c r="C170">
        <f>IF(VLOOKUP(C$1,main!$A$3:$I$56,5,FALSE)-VLOOKUP($A170,main!$A$3:$I$56,6,FALSE)&gt;=VLOOKUP(58,main!$A$57:$I$61,4,FALSE)+VLOOKUP(VLOOKUP(C$1,main!$A$3:$I$56,7,FALSE),main!$K$10:$Q$14,6,FALSE),1,0)</f>
        <v>0</v>
      </c>
      <c r="D170">
        <f>IF(VLOOKUP(D$1,main!$A$3:$I$56,5,FALSE)-VLOOKUP($A170,main!$A$3:$I$56,6,FALSE)&gt;=VLOOKUP(58,main!$A$57:$I$61,4,FALSE)+VLOOKUP(VLOOKUP(D$1,main!$A$3:$I$56,7,FALSE),main!$K$10:$Q$14,6,FALSE),1,0)</f>
        <v>0</v>
      </c>
      <c r="E170">
        <f>IF(VLOOKUP(E$1,main!$A$3:$I$56,5,FALSE)-VLOOKUP($A170,main!$A$3:$I$56,6,FALSE)&gt;=VLOOKUP(58,main!$A$57:$I$61,4,FALSE)+VLOOKUP(VLOOKUP(E$1,main!$A$3:$I$56,7,FALSE),main!$K$10:$Q$14,6,FALSE),1,0)</f>
        <v>0</v>
      </c>
      <c r="F170">
        <f>IF(VLOOKUP(F$1,main!$A$3:$I$56,5,FALSE)-VLOOKUP($A170,main!$A$3:$I$56,6,FALSE)&gt;=VLOOKUP(58,main!$A$57:$I$61,4,FALSE)+VLOOKUP(VLOOKUP(F$1,main!$A$3:$I$56,7,FALSE),main!$K$10:$Q$14,6,FALSE),1,0)</f>
        <v>0</v>
      </c>
      <c r="G170">
        <f>IF(VLOOKUP(G$1,main!$A$3:$I$56,5,FALSE)-VLOOKUP($A170,main!$A$3:$I$56,6,FALSE)&gt;=VLOOKUP(58,main!$A$57:$I$61,4,FALSE)+VLOOKUP(VLOOKUP(G$1,main!$A$3:$I$56,7,FALSE),main!$K$10:$Q$14,6,FALSE),1,0)</f>
        <v>0</v>
      </c>
      <c r="H170">
        <f>IF(VLOOKUP(H$1,main!$A$3:$I$56,5,FALSE)-VLOOKUP($A170,main!$A$3:$I$56,6,FALSE)&gt;=VLOOKUP(58,main!$A$57:$I$61,4,FALSE)+VLOOKUP(VLOOKUP(H$1,main!$A$3:$I$56,7,FALSE),main!$K$10:$Q$14,6,FALSE),1,0)</f>
        <v>0</v>
      </c>
      <c r="I170">
        <f>IF(VLOOKUP(I$1,main!$A$3:$I$56,5,FALSE)-VLOOKUP($A170,main!$A$3:$I$56,6,FALSE)&gt;=VLOOKUP(58,main!$A$57:$I$61,4,FALSE)+VLOOKUP(VLOOKUP(I$1,main!$A$3:$I$56,7,FALSE),main!$K$10:$Q$14,6,FALSE),1,0)</f>
        <v>0</v>
      </c>
      <c r="J170">
        <f>IF(VLOOKUP(J$1,main!$A$3:$I$56,5,FALSE)-VLOOKUP($A170,main!$A$3:$I$56,6,FALSE)&gt;=VLOOKUP(58,main!$A$57:$I$61,4,FALSE)+VLOOKUP(VLOOKUP(J$1,main!$A$3:$I$56,7,FALSE),main!$K$10:$Q$14,6,FALSE),1,0)</f>
        <v>1</v>
      </c>
      <c r="K170">
        <f>IF(VLOOKUP(K$1,main!$A$3:$I$56,5,FALSE)-VLOOKUP($A170,main!$A$3:$I$56,6,FALSE)&gt;=VLOOKUP(58,main!$A$57:$I$61,4,FALSE)+VLOOKUP(VLOOKUP(K$1,main!$A$3:$I$56,7,FALSE),main!$K$10:$Q$14,6,FALSE),1,0)</f>
        <v>0</v>
      </c>
      <c r="L170">
        <f>IF(VLOOKUP(L$1,main!$A$3:$I$56,5,FALSE)-VLOOKUP($A170,main!$A$3:$I$56,6,FALSE)&gt;=VLOOKUP(58,main!$A$57:$I$61,4,FALSE)+VLOOKUP(VLOOKUP(L$1,main!$A$3:$I$56,7,FALSE),main!$K$10:$Q$14,6,FALSE),1,0)</f>
        <v>0</v>
      </c>
      <c r="M170">
        <f>IF(VLOOKUP(M$1,main!$A$3:$I$56,5,FALSE)-VLOOKUP($A170,main!$A$3:$I$56,6,FALSE)&gt;=VLOOKUP(58,main!$A$57:$I$61,4,FALSE)+VLOOKUP(VLOOKUP(M$1,main!$A$3:$I$56,7,FALSE),main!$K$10:$Q$14,6,FALSE),1,0)</f>
        <v>0</v>
      </c>
      <c r="N170">
        <f>IF(VLOOKUP(N$1,main!$A$3:$I$56,5,FALSE)-VLOOKUP($A170,main!$A$3:$I$56,6,FALSE)&gt;=VLOOKUP(58,main!$A$57:$I$61,4,FALSE)+VLOOKUP(VLOOKUP(N$1,main!$A$3:$I$56,7,FALSE),main!$K$10:$Q$14,6,FALSE),1,0)</f>
        <v>0</v>
      </c>
      <c r="O170">
        <f>IF(VLOOKUP(O$1,main!$A$3:$I$56,5,FALSE)-VLOOKUP($A170,main!$A$3:$I$56,6,FALSE)&gt;=VLOOKUP(58,main!$A$57:$I$61,4,FALSE)+VLOOKUP(VLOOKUP(O$1,main!$A$3:$I$56,7,FALSE),main!$K$10:$Q$14,6,FALSE),1,0)</f>
        <v>1</v>
      </c>
      <c r="P170">
        <f>IF(VLOOKUP(P$1,main!$A$3:$I$56,5,FALSE)-VLOOKUP($A170,main!$A$3:$I$56,6,FALSE)&gt;=VLOOKUP(58,main!$A$57:$I$61,4,FALSE)+VLOOKUP(VLOOKUP(P$1,main!$A$3:$I$56,7,FALSE),main!$K$10:$Q$14,6,FALSE),1,0)</f>
        <v>0</v>
      </c>
      <c r="Q170">
        <f>IF(VLOOKUP(Q$1,main!$A$3:$I$56,5,FALSE)-VLOOKUP($A170,main!$A$3:$I$56,6,FALSE)&gt;=VLOOKUP(58,main!$A$57:$I$61,4,FALSE)+VLOOKUP(VLOOKUP(Q$1,main!$A$3:$I$56,7,FALSE),main!$K$10:$Q$14,6,FALSE),1,0)</f>
        <v>0</v>
      </c>
      <c r="R170">
        <f>IF(VLOOKUP(R$1,main!$A$3:$I$56,5,FALSE)-VLOOKUP($A170,main!$A$3:$I$56,6,FALSE)&gt;=VLOOKUP(58,main!$A$57:$I$61,4,FALSE)+VLOOKUP(VLOOKUP(R$1,main!$A$3:$I$56,7,FALSE),main!$K$10:$Q$14,6,FALSE),1,0)</f>
        <v>0</v>
      </c>
      <c r="S170">
        <f>IF(VLOOKUP(S$1,main!$A$3:$I$56,5,FALSE)-VLOOKUP($A170,main!$A$3:$I$56,6,FALSE)&gt;=VLOOKUP(58,main!$A$57:$I$61,4,FALSE)+VLOOKUP(VLOOKUP(S$1,main!$A$3:$I$56,7,FALSE),main!$K$10:$Q$14,6,FALSE),1,0)</f>
        <v>0</v>
      </c>
      <c r="T170">
        <f>IF(VLOOKUP(T$1,main!$A$3:$I$56,5,FALSE)-VLOOKUP($A170,main!$A$3:$I$56,6,FALSE)&gt;=VLOOKUP(58,main!$A$57:$I$61,4,FALSE)+VLOOKUP(VLOOKUP(T$1,main!$A$3:$I$56,7,FALSE),main!$K$10:$Q$14,6,FALSE),1,0)</f>
        <v>0</v>
      </c>
      <c r="U170">
        <f>IF(VLOOKUP(U$1,main!$A$3:$I$56,5,FALSE)-VLOOKUP($A170,main!$A$3:$I$56,6,FALSE)&gt;=VLOOKUP(58,main!$A$57:$I$61,4,FALSE)+VLOOKUP(VLOOKUP(U$1,main!$A$3:$I$56,7,FALSE),main!$K$10:$Q$14,6,FALSE),1,0)</f>
        <v>0</v>
      </c>
      <c r="V170">
        <f>IF(VLOOKUP(V$1,main!$A$3:$I$56,5,FALSE)-VLOOKUP($A170,main!$A$3:$I$56,6,FALSE)&gt;=VLOOKUP(58,main!$A$57:$I$61,4,FALSE)+VLOOKUP(VLOOKUP(V$1,main!$A$3:$I$56,7,FALSE),main!$K$10:$Q$14,6,FALSE),1,0)</f>
        <v>0</v>
      </c>
      <c r="W170">
        <f>IF(VLOOKUP(W$1,main!$A$3:$I$56,5,FALSE)-VLOOKUP($A170,main!$A$3:$I$56,6,FALSE)&gt;=VLOOKUP(58,main!$A$57:$I$61,4,FALSE)+VLOOKUP(VLOOKUP(W$1,main!$A$3:$I$56,7,FALSE),main!$K$10:$Q$14,6,FALSE),1,0)</f>
        <v>0</v>
      </c>
      <c r="X170">
        <f>IF(VLOOKUP(X$1,main!$A$3:$I$56,5,FALSE)-VLOOKUP($A170,main!$A$3:$I$56,6,FALSE)&gt;=VLOOKUP(58,main!$A$57:$I$61,4,FALSE)+VLOOKUP(VLOOKUP(X$1,main!$A$3:$I$56,7,FALSE),main!$K$10:$Q$14,6,FALSE),1,0)</f>
        <v>0</v>
      </c>
      <c r="Y170">
        <f>IF(VLOOKUP(Y$1,main!$A$3:$I$56,5,FALSE)-VLOOKUP($A170,main!$A$3:$I$56,6,FALSE)&gt;=VLOOKUP(58,main!$A$57:$I$61,4,FALSE)+VLOOKUP(VLOOKUP(Y$1,main!$A$3:$I$56,7,FALSE),main!$K$10:$Q$14,6,FALSE),1,0)</f>
        <v>0</v>
      </c>
      <c r="Z170">
        <f>IF(VLOOKUP(Z$1,main!$A$3:$I$56,5,FALSE)-VLOOKUP($A170,main!$A$3:$I$56,6,FALSE)&gt;=VLOOKUP(58,main!$A$57:$I$61,4,FALSE)+VLOOKUP(VLOOKUP(Z$1,main!$A$3:$I$56,7,FALSE),main!$K$10:$Q$14,6,FALSE),1,0)</f>
        <v>0</v>
      </c>
      <c r="AA170">
        <f>IF(VLOOKUP(AA$1,main!$A$3:$I$56,5,FALSE)-VLOOKUP($A170,main!$A$3:$I$56,6,FALSE)&gt;=VLOOKUP(58,main!$A$57:$I$61,4,FALSE)+VLOOKUP(VLOOKUP(AA$1,main!$A$3:$I$56,7,FALSE),main!$K$10:$Q$14,6,FALSE),1,0)</f>
        <v>0</v>
      </c>
      <c r="AB170">
        <f>IF(VLOOKUP(AB$1,main!$A$3:$I$56,5,FALSE)-VLOOKUP($A170,main!$A$3:$I$56,6,FALSE)&gt;=VLOOKUP(58,main!$A$57:$I$61,4,FALSE)+VLOOKUP(VLOOKUP(AB$1,main!$A$3:$I$56,7,FALSE),main!$K$10:$Q$14,6,FALSE),1,0)</f>
        <v>0</v>
      </c>
      <c r="AC170">
        <f>IF(VLOOKUP(AC$1,main!$A$3:$I$56,5,FALSE)-VLOOKUP($A170,main!$A$3:$I$56,6,FALSE)&gt;=VLOOKUP(58,main!$A$57:$I$61,4,FALSE)+VLOOKUP(VLOOKUP(AC$1,main!$A$3:$I$56,7,FALSE),main!$K$10:$Q$14,6,FALSE),1,0)</f>
        <v>0</v>
      </c>
      <c r="AD170">
        <f>IF(VLOOKUP(AD$1,main!$A$3:$I$56,5,FALSE)-VLOOKUP($A170,main!$A$3:$I$56,6,FALSE)&gt;=VLOOKUP(58,main!$A$57:$I$61,4,FALSE)+VLOOKUP(VLOOKUP(AD$1,main!$A$3:$I$56,7,FALSE),main!$K$10:$Q$14,6,FALSE),1,0)</f>
        <v>0</v>
      </c>
      <c r="AE170">
        <f>IF(VLOOKUP(AE$1,main!$A$3:$I$56,5,FALSE)-VLOOKUP($A170,main!$A$3:$I$56,6,FALSE)&gt;=VLOOKUP(58,main!$A$57:$I$61,4,FALSE)+VLOOKUP(VLOOKUP(AE$1,main!$A$3:$I$56,7,FALSE),main!$K$10:$Q$14,6,FALSE),1,0)</f>
        <v>0</v>
      </c>
      <c r="AF170">
        <f>IF(VLOOKUP(AF$1,main!$A$3:$I$56,5,FALSE)-VLOOKUP($A170,main!$A$3:$I$56,6,FALSE)&gt;=VLOOKUP(58,main!$A$57:$I$61,4,FALSE)+VLOOKUP(VLOOKUP(AF$1,main!$A$3:$I$56,7,FALSE),main!$K$10:$Q$14,6,FALSE),1,0)</f>
        <v>0</v>
      </c>
      <c r="AG170">
        <f>IF(VLOOKUP(AG$1,main!$A$3:$I$56,5,FALSE)-VLOOKUP($A170,main!$A$3:$I$56,6,FALSE)&gt;=VLOOKUP(58,main!$A$57:$I$61,4,FALSE)+VLOOKUP(VLOOKUP(AG$1,main!$A$3:$I$56,7,FALSE),main!$K$10:$Q$14,6,FALSE),1,0)</f>
        <v>0</v>
      </c>
      <c r="AH170">
        <f>IF(VLOOKUP(AH$1,main!$A$3:$I$56,5,FALSE)-VLOOKUP($A170,main!$A$3:$I$56,6,FALSE)&gt;=VLOOKUP(58,main!$A$57:$I$61,4,FALSE)+VLOOKUP(VLOOKUP(AH$1,main!$A$3:$I$56,7,FALSE),main!$K$10:$Q$14,6,FALSE),1,0)</f>
        <v>0</v>
      </c>
      <c r="AI170">
        <f>IF(VLOOKUP(AI$1,main!$A$3:$I$56,5,FALSE)-VLOOKUP($A170,main!$A$3:$I$56,6,FALSE)&gt;=VLOOKUP(58,main!$A$57:$I$61,4,FALSE)+VLOOKUP(VLOOKUP(AI$1,main!$A$3:$I$56,7,FALSE),main!$K$10:$Q$14,6,FALSE),1,0)</f>
        <v>0</v>
      </c>
      <c r="AJ170">
        <f>IF(VLOOKUP(AJ$1,main!$A$3:$I$56,5,FALSE)-VLOOKUP($A170,main!$A$3:$I$56,6,FALSE)&gt;=VLOOKUP(58,main!$A$57:$I$61,4,FALSE)+VLOOKUP(VLOOKUP(AJ$1,main!$A$3:$I$56,7,FALSE),main!$K$10:$Q$14,6,FALSE),1,0)</f>
        <v>0</v>
      </c>
      <c r="AK170">
        <f>IF(VLOOKUP(AK$1,main!$A$3:$I$56,5,FALSE)-VLOOKUP($A170,main!$A$3:$I$56,6,FALSE)&gt;=VLOOKUP(58,main!$A$57:$I$61,4,FALSE)+VLOOKUP(VLOOKUP(AK$1,main!$A$3:$I$56,7,FALSE),main!$K$10:$Q$14,6,FALSE),1,0)</f>
        <v>1</v>
      </c>
      <c r="AL170">
        <f>IF(VLOOKUP(AL$1,main!$A$3:$I$56,5,FALSE)-VLOOKUP($A170,main!$A$3:$I$56,6,FALSE)&gt;=VLOOKUP(58,main!$A$57:$I$61,4,FALSE)+VLOOKUP(VLOOKUP(AL$1,main!$A$3:$I$56,7,FALSE),main!$K$10:$Q$14,6,FALSE),1,0)</f>
        <v>0</v>
      </c>
      <c r="AM170">
        <f>IF(VLOOKUP(AM$1,main!$A$3:$I$56,5,FALSE)-VLOOKUP($A170,main!$A$3:$I$56,6,FALSE)&gt;=VLOOKUP(58,main!$A$57:$I$61,4,FALSE)+VLOOKUP(VLOOKUP(AM$1,main!$A$3:$I$56,7,FALSE),main!$K$10:$Q$14,6,FALSE),1,0)</f>
        <v>0</v>
      </c>
      <c r="AN170">
        <f>IF(VLOOKUP(AN$1,main!$A$3:$I$56,5,FALSE)-VLOOKUP($A170,main!$A$3:$I$56,6,FALSE)&gt;=VLOOKUP(58,main!$A$57:$I$61,4,FALSE)+VLOOKUP(VLOOKUP(AN$1,main!$A$3:$I$56,7,FALSE),main!$K$10:$Q$14,6,FALSE),1,0)</f>
        <v>0</v>
      </c>
      <c r="AO170">
        <f>IF(VLOOKUP(AO$1,main!$A$3:$I$56,5,FALSE)-VLOOKUP($A170,main!$A$3:$I$56,6,FALSE)&gt;=VLOOKUP(58,main!$A$57:$I$61,4,FALSE)+VLOOKUP(VLOOKUP(AO$1,main!$A$3:$I$56,7,FALSE),main!$K$10:$Q$14,6,FALSE),1,0)</f>
        <v>0</v>
      </c>
      <c r="AP170">
        <f>IF(VLOOKUP(AP$1,main!$A$3:$I$56,5,FALSE)-VLOOKUP($A170,main!$A$3:$I$56,6,FALSE)&gt;=VLOOKUP(58,main!$A$57:$I$61,4,FALSE)+VLOOKUP(VLOOKUP(AP$1,main!$A$3:$I$56,7,FALSE),main!$K$10:$Q$14,6,FALSE),1,0)</f>
        <v>0</v>
      </c>
      <c r="AQ170">
        <f>IF(VLOOKUP(AQ$1,main!$A$3:$I$56,5,FALSE)-VLOOKUP($A170,main!$A$3:$I$56,6,FALSE)&gt;=VLOOKUP(58,main!$A$57:$I$61,4,FALSE)+VLOOKUP(VLOOKUP(AQ$1,main!$A$3:$I$56,7,FALSE),main!$K$10:$Q$14,6,FALSE),1,0)</f>
        <v>0</v>
      </c>
      <c r="AR170">
        <f>IF(VLOOKUP(AR$1,main!$A$3:$I$56,5,FALSE)-VLOOKUP($A170,main!$A$3:$I$56,6,FALSE)&gt;=VLOOKUP(58,main!$A$57:$I$61,4,FALSE)+VLOOKUP(VLOOKUP(AR$1,main!$A$3:$I$56,7,FALSE),main!$K$10:$Q$14,6,FALSE),1,0)</f>
        <v>0</v>
      </c>
      <c r="AS170">
        <f>IF(VLOOKUP(AS$1,main!$A$3:$I$56,5,FALSE)-VLOOKUP($A170,main!$A$3:$I$56,6,FALSE)&gt;=VLOOKUP(58,main!$A$57:$I$61,4,FALSE)+VLOOKUP(VLOOKUP(AS$1,main!$A$3:$I$56,7,FALSE),main!$K$10:$Q$14,6,FALSE),1,0)</f>
        <v>0</v>
      </c>
      <c r="AT170">
        <f>IF(VLOOKUP(AT$1,main!$A$3:$I$56,5,FALSE)-VLOOKUP($A170,main!$A$3:$I$56,6,FALSE)&gt;=VLOOKUP(58,main!$A$57:$I$61,4,FALSE)+VLOOKUP(VLOOKUP(AT$1,main!$A$3:$I$56,7,FALSE),main!$K$10:$Q$14,6,FALSE),1,0)</f>
        <v>0</v>
      </c>
      <c r="AU170">
        <f>IF(VLOOKUP(AU$1,main!$A$3:$I$56,5,FALSE)-VLOOKUP($A170,main!$A$3:$I$56,6,FALSE)&gt;=VLOOKUP(58,main!$A$57:$I$61,4,FALSE)+VLOOKUP(VLOOKUP(AU$1,main!$A$3:$I$56,7,FALSE),main!$K$10:$Q$14,6,FALSE),1,0)</f>
        <v>0</v>
      </c>
      <c r="AV170">
        <f>IF(VLOOKUP(AV$1,main!$A$3:$I$56,5,FALSE)-VLOOKUP($A170,main!$A$3:$I$56,6,FALSE)&gt;=VLOOKUP(58,main!$A$57:$I$61,4,FALSE)+VLOOKUP(VLOOKUP(AV$1,main!$A$3:$I$56,7,FALSE),main!$K$10:$Q$14,6,FALSE),1,0)</f>
        <v>0</v>
      </c>
      <c r="AW170">
        <f>IF(VLOOKUP(AW$1,main!$A$3:$I$56,5,FALSE)-VLOOKUP($A170,main!$A$3:$I$56,6,FALSE)&gt;=VLOOKUP(58,main!$A$57:$I$61,4,FALSE)+VLOOKUP(VLOOKUP(AW$1,main!$A$3:$I$56,7,FALSE),main!$K$10:$Q$14,6,FALSE),1,0)</f>
        <v>0</v>
      </c>
      <c r="AX170">
        <f>IF(VLOOKUP(AX$1,main!$A$3:$I$56,5,FALSE)-VLOOKUP($A170,main!$A$3:$I$56,6,FALSE)&gt;=VLOOKUP(58,main!$A$57:$I$61,4,FALSE)+VLOOKUP(VLOOKUP(AX$1,main!$A$3:$I$56,7,FALSE),main!$K$10:$Q$14,6,FALSE),1,0)</f>
        <v>0</v>
      </c>
      <c r="AY170">
        <f>IF(VLOOKUP(AY$1,main!$A$3:$I$56,5,FALSE)-VLOOKUP($A170,main!$A$3:$I$56,6,FALSE)&gt;=VLOOKUP(58,main!$A$57:$I$61,4,FALSE)+VLOOKUP(VLOOKUP(AY$1,main!$A$3:$I$56,7,FALSE),main!$K$10:$Q$14,6,FALSE),1,0)</f>
        <v>0</v>
      </c>
      <c r="AZ170">
        <f>IF(VLOOKUP(AZ$1,main!$A$3:$I$56,5,FALSE)-VLOOKUP($A170,main!$A$3:$I$56,6,FALSE)&gt;=VLOOKUP(58,main!$A$57:$I$61,4,FALSE)+VLOOKUP(VLOOKUP(AZ$1,main!$A$3:$I$56,7,FALSE),main!$K$10:$Q$14,6,FALSE),1,0)</f>
        <v>0</v>
      </c>
      <c r="BA170">
        <f>IF(VLOOKUP(BA$1,main!$A$3:$I$56,5,FALSE)-VLOOKUP($A170,main!$A$3:$I$56,6,FALSE)&gt;=VLOOKUP(58,main!$A$57:$I$61,4,FALSE)+VLOOKUP(VLOOKUP(BA$1,main!$A$3:$I$56,7,FALSE),main!$K$10:$Q$14,6,FALSE),1,0)</f>
        <v>0</v>
      </c>
      <c r="BB170">
        <f>IF(VLOOKUP(BB$1,main!$A$3:$I$56,5,FALSE)-VLOOKUP($A170,main!$A$3:$I$56,6,FALSE)&gt;=VLOOKUP(58,main!$A$57:$I$61,4,FALSE)+VLOOKUP(VLOOKUP(BB$1,main!$A$3:$I$56,7,FALSE),main!$K$10:$Q$14,6,FALSE),1,0)</f>
        <v>0</v>
      </c>
      <c r="BC170">
        <f>IF(VLOOKUP(BC$1,main!$A$3:$I$56,5,FALSE)-VLOOKUP($A170,main!$A$3:$I$56,6,FALSE)&gt;=VLOOKUP(58,main!$A$57:$I$61,4,FALSE)+VLOOKUP(VLOOKUP(BC$1,main!$A$3:$I$56,7,FALSE),main!$K$10:$Q$14,6,FALSE),1,0)</f>
        <v>0</v>
      </c>
      <c r="BD170">
        <f>IF(VLOOKUP(BD$1,main!$A$3:$I$56,5,FALSE)-VLOOKUP($A170,main!$A$3:$I$56,6,FALSE)&gt;=VLOOKUP(58,main!$A$57:$I$61,4,FALSE)+VLOOKUP(VLOOKUP(BD$1,main!$A$3:$I$56,7,FALSE),main!$K$10:$Q$14,6,FALSE),1,0)</f>
        <v>0</v>
      </c>
    </row>
    <row r="171" spans="1:56" x14ac:dyDescent="0.25">
      <c r="A171">
        <f t="shared" si="3"/>
        <v>4</v>
      </c>
      <c r="B171">
        <v>0</v>
      </c>
      <c r="C171">
        <f>IF(VLOOKUP(C$1,main!$A$3:$I$56,5,FALSE)-VLOOKUP($A171,main!$A$3:$I$56,6,FALSE)&gt;=VLOOKUP(58,main!$A$57:$I$61,4,FALSE)+VLOOKUP(VLOOKUP(C$1,main!$A$3:$I$56,7,FALSE),main!$K$10:$Q$14,6,FALSE),1,0)</f>
        <v>0</v>
      </c>
      <c r="D171">
        <f>IF(VLOOKUP(D$1,main!$A$3:$I$56,5,FALSE)-VLOOKUP($A171,main!$A$3:$I$56,6,FALSE)&gt;=VLOOKUP(58,main!$A$57:$I$61,4,FALSE)+VLOOKUP(VLOOKUP(D$1,main!$A$3:$I$56,7,FALSE),main!$K$10:$Q$14,6,FALSE),1,0)</f>
        <v>0</v>
      </c>
      <c r="E171">
        <f>IF(VLOOKUP(E$1,main!$A$3:$I$56,5,FALSE)-VLOOKUP($A171,main!$A$3:$I$56,6,FALSE)&gt;=VLOOKUP(58,main!$A$57:$I$61,4,FALSE)+VLOOKUP(VLOOKUP(E$1,main!$A$3:$I$56,7,FALSE),main!$K$10:$Q$14,6,FALSE),1,0)</f>
        <v>0</v>
      </c>
      <c r="F171">
        <f>IF(VLOOKUP(F$1,main!$A$3:$I$56,5,FALSE)-VLOOKUP($A171,main!$A$3:$I$56,6,FALSE)&gt;=VLOOKUP(58,main!$A$57:$I$61,4,FALSE)+VLOOKUP(VLOOKUP(F$1,main!$A$3:$I$56,7,FALSE),main!$K$10:$Q$14,6,FALSE),1,0)</f>
        <v>0</v>
      </c>
      <c r="G171">
        <f>IF(VLOOKUP(G$1,main!$A$3:$I$56,5,FALSE)-VLOOKUP($A171,main!$A$3:$I$56,6,FALSE)&gt;=VLOOKUP(58,main!$A$57:$I$61,4,FALSE)+VLOOKUP(VLOOKUP(G$1,main!$A$3:$I$56,7,FALSE),main!$K$10:$Q$14,6,FALSE),1,0)</f>
        <v>0</v>
      </c>
      <c r="H171">
        <f>IF(VLOOKUP(H$1,main!$A$3:$I$56,5,FALSE)-VLOOKUP($A171,main!$A$3:$I$56,6,FALSE)&gt;=VLOOKUP(58,main!$A$57:$I$61,4,FALSE)+VLOOKUP(VLOOKUP(H$1,main!$A$3:$I$56,7,FALSE),main!$K$10:$Q$14,6,FALSE),1,0)</f>
        <v>0</v>
      </c>
      <c r="I171">
        <f>IF(VLOOKUP(I$1,main!$A$3:$I$56,5,FALSE)-VLOOKUP($A171,main!$A$3:$I$56,6,FALSE)&gt;=VLOOKUP(58,main!$A$57:$I$61,4,FALSE)+VLOOKUP(VLOOKUP(I$1,main!$A$3:$I$56,7,FALSE),main!$K$10:$Q$14,6,FALSE),1,0)</f>
        <v>0</v>
      </c>
      <c r="J171">
        <f>IF(VLOOKUP(J$1,main!$A$3:$I$56,5,FALSE)-VLOOKUP($A171,main!$A$3:$I$56,6,FALSE)&gt;=VLOOKUP(58,main!$A$57:$I$61,4,FALSE)+VLOOKUP(VLOOKUP(J$1,main!$A$3:$I$56,7,FALSE),main!$K$10:$Q$14,6,FALSE),1,0)</f>
        <v>0</v>
      </c>
      <c r="K171">
        <f>IF(VLOOKUP(K$1,main!$A$3:$I$56,5,FALSE)-VLOOKUP($A171,main!$A$3:$I$56,6,FALSE)&gt;=VLOOKUP(58,main!$A$57:$I$61,4,FALSE)+VLOOKUP(VLOOKUP(K$1,main!$A$3:$I$56,7,FALSE),main!$K$10:$Q$14,6,FALSE),1,0)</f>
        <v>0</v>
      </c>
      <c r="L171">
        <f>IF(VLOOKUP(L$1,main!$A$3:$I$56,5,FALSE)-VLOOKUP($A171,main!$A$3:$I$56,6,FALSE)&gt;=VLOOKUP(58,main!$A$57:$I$61,4,FALSE)+VLOOKUP(VLOOKUP(L$1,main!$A$3:$I$56,7,FALSE),main!$K$10:$Q$14,6,FALSE),1,0)</f>
        <v>0</v>
      </c>
      <c r="M171">
        <f>IF(VLOOKUP(M$1,main!$A$3:$I$56,5,FALSE)-VLOOKUP($A171,main!$A$3:$I$56,6,FALSE)&gt;=VLOOKUP(58,main!$A$57:$I$61,4,FALSE)+VLOOKUP(VLOOKUP(M$1,main!$A$3:$I$56,7,FALSE),main!$K$10:$Q$14,6,FALSE),1,0)</f>
        <v>0</v>
      </c>
      <c r="N171">
        <f>IF(VLOOKUP(N$1,main!$A$3:$I$56,5,FALSE)-VLOOKUP($A171,main!$A$3:$I$56,6,FALSE)&gt;=VLOOKUP(58,main!$A$57:$I$61,4,FALSE)+VLOOKUP(VLOOKUP(N$1,main!$A$3:$I$56,7,FALSE),main!$K$10:$Q$14,6,FALSE),1,0)</f>
        <v>0</v>
      </c>
      <c r="O171">
        <f>IF(VLOOKUP(O$1,main!$A$3:$I$56,5,FALSE)-VLOOKUP($A171,main!$A$3:$I$56,6,FALSE)&gt;=VLOOKUP(58,main!$A$57:$I$61,4,FALSE)+VLOOKUP(VLOOKUP(O$1,main!$A$3:$I$56,7,FALSE),main!$K$10:$Q$14,6,FALSE),1,0)</f>
        <v>0</v>
      </c>
      <c r="P171">
        <f>IF(VLOOKUP(P$1,main!$A$3:$I$56,5,FALSE)-VLOOKUP($A171,main!$A$3:$I$56,6,FALSE)&gt;=VLOOKUP(58,main!$A$57:$I$61,4,FALSE)+VLOOKUP(VLOOKUP(P$1,main!$A$3:$I$56,7,FALSE),main!$K$10:$Q$14,6,FALSE),1,0)</f>
        <v>0</v>
      </c>
      <c r="Q171">
        <f>IF(VLOOKUP(Q$1,main!$A$3:$I$56,5,FALSE)-VLOOKUP($A171,main!$A$3:$I$56,6,FALSE)&gt;=VLOOKUP(58,main!$A$57:$I$61,4,FALSE)+VLOOKUP(VLOOKUP(Q$1,main!$A$3:$I$56,7,FALSE),main!$K$10:$Q$14,6,FALSE),1,0)</f>
        <v>0</v>
      </c>
      <c r="R171">
        <f>IF(VLOOKUP(R$1,main!$A$3:$I$56,5,FALSE)-VLOOKUP($A171,main!$A$3:$I$56,6,FALSE)&gt;=VLOOKUP(58,main!$A$57:$I$61,4,FALSE)+VLOOKUP(VLOOKUP(R$1,main!$A$3:$I$56,7,FALSE),main!$K$10:$Q$14,6,FALSE),1,0)</f>
        <v>0</v>
      </c>
      <c r="S171">
        <f>IF(VLOOKUP(S$1,main!$A$3:$I$56,5,FALSE)-VLOOKUP($A171,main!$A$3:$I$56,6,FALSE)&gt;=VLOOKUP(58,main!$A$57:$I$61,4,FALSE)+VLOOKUP(VLOOKUP(S$1,main!$A$3:$I$56,7,FALSE),main!$K$10:$Q$14,6,FALSE),1,0)</f>
        <v>0</v>
      </c>
      <c r="T171">
        <f>IF(VLOOKUP(T$1,main!$A$3:$I$56,5,FALSE)-VLOOKUP($A171,main!$A$3:$I$56,6,FALSE)&gt;=VLOOKUP(58,main!$A$57:$I$61,4,FALSE)+VLOOKUP(VLOOKUP(T$1,main!$A$3:$I$56,7,FALSE),main!$K$10:$Q$14,6,FALSE),1,0)</f>
        <v>0</v>
      </c>
      <c r="U171">
        <f>IF(VLOOKUP(U$1,main!$A$3:$I$56,5,FALSE)-VLOOKUP($A171,main!$A$3:$I$56,6,FALSE)&gt;=VLOOKUP(58,main!$A$57:$I$61,4,FALSE)+VLOOKUP(VLOOKUP(U$1,main!$A$3:$I$56,7,FALSE),main!$K$10:$Q$14,6,FALSE),1,0)</f>
        <v>0</v>
      </c>
      <c r="V171">
        <f>IF(VLOOKUP(V$1,main!$A$3:$I$56,5,FALSE)-VLOOKUP($A171,main!$A$3:$I$56,6,FALSE)&gt;=VLOOKUP(58,main!$A$57:$I$61,4,FALSE)+VLOOKUP(VLOOKUP(V$1,main!$A$3:$I$56,7,FALSE),main!$K$10:$Q$14,6,FALSE),1,0)</f>
        <v>0</v>
      </c>
      <c r="W171">
        <f>IF(VLOOKUP(W$1,main!$A$3:$I$56,5,FALSE)-VLOOKUP($A171,main!$A$3:$I$56,6,FALSE)&gt;=VLOOKUP(58,main!$A$57:$I$61,4,FALSE)+VLOOKUP(VLOOKUP(W$1,main!$A$3:$I$56,7,FALSE),main!$K$10:$Q$14,6,FALSE),1,0)</f>
        <v>0</v>
      </c>
      <c r="X171">
        <f>IF(VLOOKUP(X$1,main!$A$3:$I$56,5,FALSE)-VLOOKUP($A171,main!$A$3:$I$56,6,FALSE)&gt;=VLOOKUP(58,main!$A$57:$I$61,4,FALSE)+VLOOKUP(VLOOKUP(X$1,main!$A$3:$I$56,7,FALSE),main!$K$10:$Q$14,6,FALSE),1,0)</f>
        <v>0</v>
      </c>
      <c r="Y171">
        <f>IF(VLOOKUP(Y$1,main!$A$3:$I$56,5,FALSE)-VLOOKUP($A171,main!$A$3:$I$56,6,FALSE)&gt;=VLOOKUP(58,main!$A$57:$I$61,4,FALSE)+VLOOKUP(VLOOKUP(Y$1,main!$A$3:$I$56,7,FALSE),main!$K$10:$Q$14,6,FALSE),1,0)</f>
        <v>0</v>
      </c>
      <c r="Z171">
        <f>IF(VLOOKUP(Z$1,main!$A$3:$I$56,5,FALSE)-VLOOKUP($A171,main!$A$3:$I$56,6,FALSE)&gt;=VLOOKUP(58,main!$A$57:$I$61,4,FALSE)+VLOOKUP(VLOOKUP(Z$1,main!$A$3:$I$56,7,FALSE),main!$K$10:$Q$14,6,FALSE),1,0)</f>
        <v>0</v>
      </c>
      <c r="AA171">
        <f>IF(VLOOKUP(AA$1,main!$A$3:$I$56,5,FALSE)-VLOOKUP($A171,main!$A$3:$I$56,6,FALSE)&gt;=VLOOKUP(58,main!$A$57:$I$61,4,FALSE)+VLOOKUP(VLOOKUP(AA$1,main!$A$3:$I$56,7,FALSE),main!$K$10:$Q$14,6,FALSE),1,0)</f>
        <v>0</v>
      </c>
      <c r="AB171">
        <f>IF(VLOOKUP(AB$1,main!$A$3:$I$56,5,FALSE)-VLOOKUP($A171,main!$A$3:$I$56,6,FALSE)&gt;=VLOOKUP(58,main!$A$57:$I$61,4,FALSE)+VLOOKUP(VLOOKUP(AB$1,main!$A$3:$I$56,7,FALSE),main!$K$10:$Q$14,6,FALSE),1,0)</f>
        <v>0</v>
      </c>
      <c r="AC171">
        <f>IF(VLOOKUP(AC$1,main!$A$3:$I$56,5,FALSE)-VLOOKUP($A171,main!$A$3:$I$56,6,FALSE)&gt;=VLOOKUP(58,main!$A$57:$I$61,4,FALSE)+VLOOKUP(VLOOKUP(AC$1,main!$A$3:$I$56,7,FALSE),main!$K$10:$Q$14,6,FALSE),1,0)</f>
        <v>0</v>
      </c>
      <c r="AD171">
        <f>IF(VLOOKUP(AD$1,main!$A$3:$I$56,5,FALSE)-VLOOKUP($A171,main!$A$3:$I$56,6,FALSE)&gt;=VLOOKUP(58,main!$A$57:$I$61,4,FALSE)+VLOOKUP(VLOOKUP(AD$1,main!$A$3:$I$56,7,FALSE),main!$K$10:$Q$14,6,FALSE),1,0)</f>
        <v>0</v>
      </c>
      <c r="AE171">
        <f>IF(VLOOKUP(AE$1,main!$A$3:$I$56,5,FALSE)-VLOOKUP($A171,main!$A$3:$I$56,6,FALSE)&gt;=VLOOKUP(58,main!$A$57:$I$61,4,FALSE)+VLOOKUP(VLOOKUP(AE$1,main!$A$3:$I$56,7,FALSE),main!$K$10:$Q$14,6,FALSE),1,0)</f>
        <v>0</v>
      </c>
      <c r="AF171">
        <f>IF(VLOOKUP(AF$1,main!$A$3:$I$56,5,FALSE)-VLOOKUP($A171,main!$A$3:$I$56,6,FALSE)&gt;=VLOOKUP(58,main!$A$57:$I$61,4,FALSE)+VLOOKUP(VLOOKUP(AF$1,main!$A$3:$I$56,7,FALSE),main!$K$10:$Q$14,6,FALSE),1,0)</f>
        <v>0</v>
      </c>
      <c r="AG171">
        <f>IF(VLOOKUP(AG$1,main!$A$3:$I$56,5,FALSE)-VLOOKUP($A171,main!$A$3:$I$56,6,FALSE)&gt;=VLOOKUP(58,main!$A$57:$I$61,4,FALSE)+VLOOKUP(VLOOKUP(AG$1,main!$A$3:$I$56,7,FALSE),main!$K$10:$Q$14,6,FALSE),1,0)</f>
        <v>0</v>
      </c>
      <c r="AH171">
        <f>IF(VLOOKUP(AH$1,main!$A$3:$I$56,5,FALSE)-VLOOKUP($A171,main!$A$3:$I$56,6,FALSE)&gt;=VLOOKUP(58,main!$A$57:$I$61,4,FALSE)+VLOOKUP(VLOOKUP(AH$1,main!$A$3:$I$56,7,FALSE),main!$K$10:$Q$14,6,FALSE),1,0)</f>
        <v>0</v>
      </c>
      <c r="AI171">
        <f>IF(VLOOKUP(AI$1,main!$A$3:$I$56,5,FALSE)-VLOOKUP($A171,main!$A$3:$I$56,6,FALSE)&gt;=VLOOKUP(58,main!$A$57:$I$61,4,FALSE)+VLOOKUP(VLOOKUP(AI$1,main!$A$3:$I$56,7,FALSE),main!$K$10:$Q$14,6,FALSE),1,0)</f>
        <v>0</v>
      </c>
      <c r="AJ171">
        <f>IF(VLOOKUP(AJ$1,main!$A$3:$I$56,5,FALSE)-VLOOKUP($A171,main!$A$3:$I$56,6,FALSE)&gt;=VLOOKUP(58,main!$A$57:$I$61,4,FALSE)+VLOOKUP(VLOOKUP(AJ$1,main!$A$3:$I$56,7,FALSE),main!$K$10:$Q$14,6,FALSE),1,0)</f>
        <v>0</v>
      </c>
      <c r="AK171">
        <f>IF(VLOOKUP(AK$1,main!$A$3:$I$56,5,FALSE)-VLOOKUP($A171,main!$A$3:$I$56,6,FALSE)&gt;=VLOOKUP(58,main!$A$57:$I$61,4,FALSE)+VLOOKUP(VLOOKUP(AK$1,main!$A$3:$I$56,7,FALSE),main!$K$10:$Q$14,6,FALSE),1,0)</f>
        <v>0</v>
      </c>
      <c r="AL171">
        <f>IF(VLOOKUP(AL$1,main!$A$3:$I$56,5,FALSE)-VLOOKUP($A171,main!$A$3:$I$56,6,FALSE)&gt;=VLOOKUP(58,main!$A$57:$I$61,4,FALSE)+VLOOKUP(VLOOKUP(AL$1,main!$A$3:$I$56,7,FALSE),main!$K$10:$Q$14,6,FALSE),1,0)</f>
        <v>0</v>
      </c>
      <c r="AM171">
        <f>IF(VLOOKUP(AM$1,main!$A$3:$I$56,5,FALSE)-VLOOKUP($A171,main!$A$3:$I$56,6,FALSE)&gt;=VLOOKUP(58,main!$A$57:$I$61,4,FALSE)+VLOOKUP(VLOOKUP(AM$1,main!$A$3:$I$56,7,FALSE),main!$K$10:$Q$14,6,FALSE),1,0)</f>
        <v>0</v>
      </c>
      <c r="AN171">
        <f>IF(VLOOKUP(AN$1,main!$A$3:$I$56,5,FALSE)-VLOOKUP($A171,main!$A$3:$I$56,6,FALSE)&gt;=VLOOKUP(58,main!$A$57:$I$61,4,FALSE)+VLOOKUP(VLOOKUP(AN$1,main!$A$3:$I$56,7,FALSE),main!$K$10:$Q$14,6,FALSE),1,0)</f>
        <v>0</v>
      </c>
      <c r="AO171">
        <f>IF(VLOOKUP(AO$1,main!$A$3:$I$56,5,FALSE)-VLOOKUP($A171,main!$A$3:$I$56,6,FALSE)&gt;=VLOOKUP(58,main!$A$57:$I$61,4,FALSE)+VLOOKUP(VLOOKUP(AO$1,main!$A$3:$I$56,7,FALSE),main!$K$10:$Q$14,6,FALSE),1,0)</f>
        <v>0</v>
      </c>
      <c r="AP171">
        <f>IF(VLOOKUP(AP$1,main!$A$3:$I$56,5,FALSE)-VLOOKUP($A171,main!$A$3:$I$56,6,FALSE)&gt;=VLOOKUP(58,main!$A$57:$I$61,4,FALSE)+VLOOKUP(VLOOKUP(AP$1,main!$A$3:$I$56,7,FALSE),main!$K$10:$Q$14,6,FALSE),1,0)</f>
        <v>0</v>
      </c>
      <c r="AQ171">
        <f>IF(VLOOKUP(AQ$1,main!$A$3:$I$56,5,FALSE)-VLOOKUP($A171,main!$A$3:$I$56,6,FALSE)&gt;=VLOOKUP(58,main!$A$57:$I$61,4,FALSE)+VLOOKUP(VLOOKUP(AQ$1,main!$A$3:$I$56,7,FALSE),main!$K$10:$Q$14,6,FALSE),1,0)</f>
        <v>0</v>
      </c>
      <c r="AR171">
        <f>IF(VLOOKUP(AR$1,main!$A$3:$I$56,5,FALSE)-VLOOKUP($A171,main!$A$3:$I$56,6,FALSE)&gt;=VLOOKUP(58,main!$A$57:$I$61,4,FALSE)+VLOOKUP(VLOOKUP(AR$1,main!$A$3:$I$56,7,FALSE),main!$K$10:$Q$14,6,FALSE),1,0)</f>
        <v>0</v>
      </c>
      <c r="AS171">
        <f>IF(VLOOKUP(AS$1,main!$A$3:$I$56,5,FALSE)-VLOOKUP($A171,main!$A$3:$I$56,6,FALSE)&gt;=VLOOKUP(58,main!$A$57:$I$61,4,FALSE)+VLOOKUP(VLOOKUP(AS$1,main!$A$3:$I$56,7,FALSE),main!$K$10:$Q$14,6,FALSE),1,0)</f>
        <v>0</v>
      </c>
      <c r="AT171">
        <f>IF(VLOOKUP(AT$1,main!$A$3:$I$56,5,FALSE)-VLOOKUP($A171,main!$A$3:$I$56,6,FALSE)&gt;=VLOOKUP(58,main!$A$57:$I$61,4,FALSE)+VLOOKUP(VLOOKUP(AT$1,main!$A$3:$I$56,7,FALSE),main!$K$10:$Q$14,6,FALSE),1,0)</f>
        <v>0</v>
      </c>
      <c r="AU171">
        <f>IF(VLOOKUP(AU$1,main!$A$3:$I$56,5,FALSE)-VLOOKUP($A171,main!$A$3:$I$56,6,FALSE)&gt;=VLOOKUP(58,main!$A$57:$I$61,4,FALSE)+VLOOKUP(VLOOKUP(AU$1,main!$A$3:$I$56,7,FALSE),main!$K$10:$Q$14,6,FALSE),1,0)</f>
        <v>0</v>
      </c>
      <c r="AV171">
        <f>IF(VLOOKUP(AV$1,main!$A$3:$I$56,5,FALSE)-VLOOKUP($A171,main!$A$3:$I$56,6,FALSE)&gt;=VLOOKUP(58,main!$A$57:$I$61,4,FALSE)+VLOOKUP(VLOOKUP(AV$1,main!$A$3:$I$56,7,FALSE),main!$K$10:$Q$14,6,FALSE),1,0)</f>
        <v>0</v>
      </c>
      <c r="AW171">
        <f>IF(VLOOKUP(AW$1,main!$A$3:$I$56,5,FALSE)-VLOOKUP($A171,main!$A$3:$I$56,6,FALSE)&gt;=VLOOKUP(58,main!$A$57:$I$61,4,FALSE)+VLOOKUP(VLOOKUP(AW$1,main!$A$3:$I$56,7,FALSE),main!$K$10:$Q$14,6,FALSE),1,0)</f>
        <v>0</v>
      </c>
      <c r="AX171">
        <f>IF(VLOOKUP(AX$1,main!$A$3:$I$56,5,FALSE)-VLOOKUP($A171,main!$A$3:$I$56,6,FALSE)&gt;=VLOOKUP(58,main!$A$57:$I$61,4,FALSE)+VLOOKUP(VLOOKUP(AX$1,main!$A$3:$I$56,7,FALSE),main!$K$10:$Q$14,6,FALSE),1,0)</f>
        <v>0</v>
      </c>
      <c r="AY171">
        <f>IF(VLOOKUP(AY$1,main!$A$3:$I$56,5,FALSE)-VLOOKUP($A171,main!$A$3:$I$56,6,FALSE)&gt;=VLOOKUP(58,main!$A$57:$I$61,4,FALSE)+VLOOKUP(VLOOKUP(AY$1,main!$A$3:$I$56,7,FALSE),main!$K$10:$Q$14,6,FALSE),1,0)</f>
        <v>0</v>
      </c>
      <c r="AZ171">
        <f>IF(VLOOKUP(AZ$1,main!$A$3:$I$56,5,FALSE)-VLOOKUP($A171,main!$A$3:$I$56,6,FALSE)&gt;=VLOOKUP(58,main!$A$57:$I$61,4,FALSE)+VLOOKUP(VLOOKUP(AZ$1,main!$A$3:$I$56,7,FALSE),main!$K$10:$Q$14,6,FALSE),1,0)</f>
        <v>0</v>
      </c>
      <c r="BA171">
        <f>IF(VLOOKUP(BA$1,main!$A$3:$I$56,5,FALSE)-VLOOKUP($A171,main!$A$3:$I$56,6,FALSE)&gt;=VLOOKUP(58,main!$A$57:$I$61,4,FALSE)+VLOOKUP(VLOOKUP(BA$1,main!$A$3:$I$56,7,FALSE),main!$K$10:$Q$14,6,FALSE),1,0)</f>
        <v>0</v>
      </c>
      <c r="BB171">
        <f>IF(VLOOKUP(BB$1,main!$A$3:$I$56,5,FALSE)-VLOOKUP($A171,main!$A$3:$I$56,6,FALSE)&gt;=VLOOKUP(58,main!$A$57:$I$61,4,FALSE)+VLOOKUP(VLOOKUP(BB$1,main!$A$3:$I$56,7,FALSE),main!$K$10:$Q$14,6,FALSE),1,0)</f>
        <v>0</v>
      </c>
      <c r="BC171">
        <f>IF(VLOOKUP(BC$1,main!$A$3:$I$56,5,FALSE)-VLOOKUP($A171,main!$A$3:$I$56,6,FALSE)&gt;=VLOOKUP(58,main!$A$57:$I$61,4,FALSE)+VLOOKUP(VLOOKUP(BC$1,main!$A$3:$I$56,7,FALSE),main!$K$10:$Q$14,6,FALSE),1,0)</f>
        <v>0</v>
      </c>
      <c r="BD171">
        <f>IF(VLOOKUP(BD$1,main!$A$3:$I$56,5,FALSE)-VLOOKUP($A171,main!$A$3:$I$56,6,FALSE)&gt;=VLOOKUP(58,main!$A$57:$I$61,4,FALSE)+VLOOKUP(VLOOKUP(BD$1,main!$A$3:$I$56,7,FALSE),main!$K$10:$Q$14,6,FALSE),1,0)</f>
        <v>0</v>
      </c>
    </row>
    <row r="172" spans="1:56" x14ac:dyDescent="0.25">
      <c r="A172">
        <f t="shared" si="3"/>
        <v>5</v>
      </c>
      <c r="B172">
        <v>0</v>
      </c>
      <c r="C172">
        <f>IF(VLOOKUP(C$1,main!$A$3:$I$56,5,FALSE)-VLOOKUP($A172,main!$A$3:$I$56,6,FALSE)&gt;=VLOOKUP(58,main!$A$57:$I$61,4,FALSE)+VLOOKUP(VLOOKUP(C$1,main!$A$3:$I$56,7,FALSE),main!$K$10:$Q$14,6,FALSE),1,0)</f>
        <v>0</v>
      </c>
      <c r="D172">
        <f>IF(VLOOKUP(D$1,main!$A$3:$I$56,5,FALSE)-VLOOKUP($A172,main!$A$3:$I$56,6,FALSE)&gt;=VLOOKUP(58,main!$A$57:$I$61,4,FALSE)+VLOOKUP(VLOOKUP(D$1,main!$A$3:$I$56,7,FALSE),main!$K$10:$Q$14,6,FALSE),1,0)</f>
        <v>0</v>
      </c>
      <c r="E172">
        <f>IF(VLOOKUP(E$1,main!$A$3:$I$56,5,FALSE)-VLOOKUP($A172,main!$A$3:$I$56,6,FALSE)&gt;=VLOOKUP(58,main!$A$57:$I$61,4,FALSE)+VLOOKUP(VLOOKUP(E$1,main!$A$3:$I$56,7,FALSE),main!$K$10:$Q$14,6,FALSE),1,0)</f>
        <v>0</v>
      </c>
      <c r="F172">
        <f>IF(VLOOKUP(F$1,main!$A$3:$I$56,5,FALSE)-VLOOKUP($A172,main!$A$3:$I$56,6,FALSE)&gt;=VLOOKUP(58,main!$A$57:$I$61,4,FALSE)+VLOOKUP(VLOOKUP(F$1,main!$A$3:$I$56,7,FALSE),main!$K$10:$Q$14,6,FALSE),1,0)</f>
        <v>0</v>
      </c>
      <c r="G172">
        <f>IF(VLOOKUP(G$1,main!$A$3:$I$56,5,FALSE)-VLOOKUP($A172,main!$A$3:$I$56,6,FALSE)&gt;=VLOOKUP(58,main!$A$57:$I$61,4,FALSE)+VLOOKUP(VLOOKUP(G$1,main!$A$3:$I$56,7,FALSE),main!$K$10:$Q$14,6,FALSE),1,0)</f>
        <v>0</v>
      </c>
      <c r="H172">
        <f>IF(VLOOKUP(H$1,main!$A$3:$I$56,5,FALSE)-VLOOKUP($A172,main!$A$3:$I$56,6,FALSE)&gt;=VLOOKUP(58,main!$A$57:$I$61,4,FALSE)+VLOOKUP(VLOOKUP(H$1,main!$A$3:$I$56,7,FALSE),main!$K$10:$Q$14,6,FALSE),1,0)</f>
        <v>0</v>
      </c>
      <c r="I172">
        <f>IF(VLOOKUP(I$1,main!$A$3:$I$56,5,FALSE)-VLOOKUP($A172,main!$A$3:$I$56,6,FALSE)&gt;=VLOOKUP(58,main!$A$57:$I$61,4,FALSE)+VLOOKUP(VLOOKUP(I$1,main!$A$3:$I$56,7,FALSE),main!$K$10:$Q$14,6,FALSE),1,0)</f>
        <v>0</v>
      </c>
      <c r="J172">
        <f>IF(VLOOKUP(J$1,main!$A$3:$I$56,5,FALSE)-VLOOKUP($A172,main!$A$3:$I$56,6,FALSE)&gt;=VLOOKUP(58,main!$A$57:$I$61,4,FALSE)+VLOOKUP(VLOOKUP(J$1,main!$A$3:$I$56,7,FALSE),main!$K$10:$Q$14,6,FALSE),1,0)</f>
        <v>0</v>
      </c>
      <c r="K172">
        <f>IF(VLOOKUP(K$1,main!$A$3:$I$56,5,FALSE)-VLOOKUP($A172,main!$A$3:$I$56,6,FALSE)&gt;=VLOOKUP(58,main!$A$57:$I$61,4,FALSE)+VLOOKUP(VLOOKUP(K$1,main!$A$3:$I$56,7,FALSE),main!$K$10:$Q$14,6,FALSE),1,0)</f>
        <v>0</v>
      </c>
      <c r="L172">
        <f>IF(VLOOKUP(L$1,main!$A$3:$I$56,5,FALSE)-VLOOKUP($A172,main!$A$3:$I$56,6,FALSE)&gt;=VLOOKUP(58,main!$A$57:$I$61,4,FALSE)+VLOOKUP(VLOOKUP(L$1,main!$A$3:$I$56,7,FALSE),main!$K$10:$Q$14,6,FALSE),1,0)</f>
        <v>0</v>
      </c>
      <c r="M172">
        <f>IF(VLOOKUP(M$1,main!$A$3:$I$56,5,FALSE)-VLOOKUP($A172,main!$A$3:$I$56,6,FALSE)&gt;=VLOOKUP(58,main!$A$57:$I$61,4,FALSE)+VLOOKUP(VLOOKUP(M$1,main!$A$3:$I$56,7,FALSE),main!$K$10:$Q$14,6,FALSE),1,0)</f>
        <v>0</v>
      </c>
      <c r="N172">
        <f>IF(VLOOKUP(N$1,main!$A$3:$I$56,5,FALSE)-VLOOKUP($A172,main!$A$3:$I$56,6,FALSE)&gt;=VLOOKUP(58,main!$A$57:$I$61,4,FALSE)+VLOOKUP(VLOOKUP(N$1,main!$A$3:$I$56,7,FALSE),main!$K$10:$Q$14,6,FALSE),1,0)</f>
        <v>0</v>
      </c>
      <c r="O172">
        <f>IF(VLOOKUP(O$1,main!$A$3:$I$56,5,FALSE)-VLOOKUP($A172,main!$A$3:$I$56,6,FALSE)&gt;=VLOOKUP(58,main!$A$57:$I$61,4,FALSE)+VLOOKUP(VLOOKUP(O$1,main!$A$3:$I$56,7,FALSE),main!$K$10:$Q$14,6,FALSE),1,0)</f>
        <v>0</v>
      </c>
      <c r="P172">
        <f>IF(VLOOKUP(P$1,main!$A$3:$I$56,5,FALSE)-VLOOKUP($A172,main!$A$3:$I$56,6,FALSE)&gt;=VLOOKUP(58,main!$A$57:$I$61,4,FALSE)+VLOOKUP(VLOOKUP(P$1,main!$A$3:$I$56,7,FALSE),main!$K$10:$Q$14,6,FALSE),1,0)</f>
        <v>0</v>
      </c>
      <c r="Q172">
        <f>IF(VLOOKUP(Q$1,main!$A$3:$I$56,5,FALSE)-VLOOKUP($A172,main!$A$3:$I$56,6,FALSE)&gt;=VLOOKUP(58,main!$A$57:$I$61,4,FALSE)+VLOOKUP(VLOOKUP(Q$1,main!$A$3:$I$56,7,FALSE),main!$K$10:$Q$14,6,FALSE),1,0)</f>
        <v>0</v>
      </c>
      <c r="R172">
        <f>IF(VLOOKUP(R$1,main!$A$3:$I$56,5,FALSE)-VLOOKUP($A172,main!$A$3:$I$56,6,FALSE)&gt;=VLOOKUP(58,main!$A$57:$I$61,4,FALSE)+VLOOKUP(VLOOKUP(R$1,main!$A$3:$I$56,7,FALSE),main!$K$10:$Q$14,6,FALSE),1,0)</f>
        <v>0</v>
      </c>
      <c r="S172">
        <f>IF(VLOOKUP(S$1,main!$A$3:$I$56,5,FALSE)-VLOOKUP($A172,main!$A$3:$I$56,6,FALSE)&gt;=VLOOKUP(58,main!$A$57:$I$61,4,FALSE)+VLOOKUP(VLOOKUP(S$1,main!$A$3:$I$56,7,FALSE),main!$K$10:$Q$14,6,FALSE),1,0)</f>
        <v>0</v>
      </c>
      <c r="T172">
        <f>IF(VLOOKUP(T$1,main!$A$3:$I$56,5,FALSE)-VLOOKUP($A172,main!$A$3:$I$56,6,FALSE)&gt;=VLOOKUP(58,main!$A$57:$I$61,4,FALSE)+VLOOKUP(VLOOKUP(T$1,main!$A$3:$I$56,7,FALSE),main!$K$10:$Q$14,6,FALSE),1,0)</f>
        <v>0</v>
      </c>
      <c r="U172">
        <f>IF(VLOOKUP(U$1,main!$A$3:$I$56,5,FALSE)-VLOOKUP($A172,main!$A$3:$I$56,6,FALSE)&gt;=VLOOKUP(58,main!$A$57:$I$61,4,FALSE)+VLOOKUP(VLOOKUP(U$1,main!$A$3:$I$56,7,FALSE),main!$K$10:$Q$14,6,FALSE),1,0)</f>
        <v>0</v>
      </c>
      <c r="V172">
        <f>IF(VLOOKUP(V$1,main!$A$3:$I$56,5,FALSE)-VLOOKUP($A172,main!$A$3:$I$56,6,FALSE)&gt;=VLOOKUP(58,main!$A$57:$I$61,4,FALSE)+VLOOKUP(VLOOKUP(V$1,main!$A$3:$I$56,7,FALSE),main!$K$10:$Q$14,6,FALSE),1,0)</f>
        <v>0</v>
      </c>
      <c r="W172">
        <f>IF(VLOOKUP(W$1,main!$A$3:$I$56,5,FALSE)-VLOOKUP($A172,main!$A$3:$I$56,6,FALSE)&gt;=VLOOKUP(58,main!$A$57:$I$61,4,FALSE)+VLOOKUP(VLOOKUP(W$1,main!$A$3:$I$56,7,FALSE),main!$K$10:$Q$14,6,FALSE),1,0)</f>
        <v>0</v>
      </c>
      <c r="X172">
        <f>IF(VLOOKUP(X$1,main!$A$3:$I$56,5,FALSE)-VLOOKUP($A172,main!$A$3:$I$56,6,FALSE)&gt;=VLOOKUP(58,main!$A$57:$I$61,4,FALSE)+VLOOKUP(VLOOKUP(X$1,main!$A$3:$I$56,7,FALSE),main!$K$10:$Q$14,6,FALSE),1,0)</f>
        <v>0</v>
      </c>
      <c r="Y172">
        <f>IF(VLOOKUP(Y$1,main!$A$3:$I$56,5,FALSE)-VLOOKUP($A172,main!$A$3:$I$56,6,FALSE)&gt;=VLOOKUP(58,main!$A$57:$I$61,4,FALSE)+VLOOKUP(VLOOKUP(Y$1,main!$A$3:$I$56,7,FALSE),main!$K$10:$Q$14,6,FALSE),1,0)</f>
        <v>0</v>
      </c>
      <c r="Z172">
        <f>IF(VLOOKUP(Z$1,main!$A$3:$I$56,5,FALSE)-VLOOKUP($A172,main!$A$3:$I$56,6,FALSE)&gt;=VLOOKUP(58,main!$A$57:$I$61,4,FALSE)+VLOOKUP(VLOOKUP(Z$1,main!$A$3:$I$56,7,FALSE),main!$K$10:$Q$14,6,FALSE),1,0)</f>
        <v>0</v>
      </c>
      <c r="AA172">
        <f>IF(VLOOKUP(AA$1,main!$A$3:$I$56,5,FALSE)-VLOOKUP($A172,main!$A$3:$I$56,6,FALSE)&gt;=VLOOKUP(58,main!$A$57:$I$61,4,FALSE)+VLOOKUP(VLOOKUP(AA$1,main!$A$3:$I$56,7,FALSE),main!$K$10:$Q$14,6,FALSE),1,0)</f>
        <v>0</v>
      </c>
      <c r="AB172">
        <f>IF(VLOOKUP(AB$1,main!$A$3:$I$56,5,FALSE)-VLOOKUP($A172,main!$A$3:$I$56,6,FALSE)&gt;=VLOOKUP(58,main!$A$57:$I$61,4,FALSE)+VLOOKUP(VLOOKUP(AB$1,main!$A$3:$I$56,7,FALSE),main!$K$10:$Q$14,6,FALSE),1,0)</f>
        <v>0</v>
      </c>
      <c r="AC172">
        <f>IF(VLOOKUP(AC$1,main!$A$3:$I$56,5,FALSE)-VLOOKUP($A172,main!$A$3:$I$56,6,FALSE)&gt;=VLOOKUP(58,main!$A$57:$I$61,4,FALSE)+VLOOKUP(VLOOKUP(AC$1,main!$A$3:$I$56,7,FALSE),main!$K$10:$Q$14,6,FALSE),1,0)</f>
        <v>0</v>
      </c>
      <c r="AD172">
        <f>IF(VLOOKUP(AD$1,main!$A$3:$I$56,5,FALSE)-VLOOKUP($A172,main!$A$3:$I$56,6,FALSE)&gt;=VLOOKUP(58,main!$A$57:$I$61,4,FALSE)+VLOOKUP(VLOOKUP(AD$1,main!$A$3:$I$56,7,FALSE),main!$K$10:$Q$14,6,FALSE),1,0)</f>
        <v>0</v>
      </c>
      <c r="AE172">
        <f>IF(VLOOKUP(AE$1,main!$A$3:$I$56,5,FALSE)-VLOOKUP($A172,main!$A$3:$I$56,6,FALSE)&gt;=VLOOKUP(58,main!$A$57:$I$61,4,FALSE)+VLOOKUP(VLOOKUP(AE$1,main!$A$3:$I$56,7,FALSE),main!$K$10:$Q$14,6,FALSE),1,0)</f>
        <v>0</v>
      </c>
      <c r="AF172">
        <f>IF(VLOOKUP(AF$1,main!$A$3:$I$56,5,FALSE)-VLOOKUP($A172,main!$A$3:$I$56,6,FALSE)&gt;=VLOOKUP(58,main!$A$57:$I$61,4,FALSE)+VLOOKUP(VLOOKUP(AF$1,main!$A$3:$I$56,7,FALSE),main!$K$10:$Q$14,6,FALSE),1,0)</f>
        <v>0</v>
      </c>
      <c r="AG172">
        <f>IF(VLOOKUP(AG$1,main!$A$3:$I$56,5,FALSE)-VLOOKUP($A172,main!$A$3:$I$56,6,FALSE)&gt;=VLOOKUP(58,main!$A$57:$I$61,4,FALSE)+VLOOKUP(VLOOKUP(AG$1,main!$A$3:$I$56,7,FALSE),main!$K$10:$Q$14,6,FALSE),1,0)</f>
        <v>0</v>
      </c>
      <c r="AH172">
        <f>IF(VLOOKUP(AH$1,main!$A$3:$I$56,5,FALSE)-VLOOKUP($A172,main!$A$3:$I$56,6,FALSE)&gt;=VLOOKUP(58,main!$A$57:$I$61,4,FALSE)+VLOOKUP(VLOOKUP(AH$1,main!$A$3:$I$56,7,FALSE),main!$K$10:$Q$14,6,FALSE),1,0)</f>
        <v>0</v>
      </c>
      <c r="AI172">
        <f>IF(VLOOKUP(AI$1,main!$A$3:$I$56,5,FALSE)-VLOOKUP($A172,main!$A$3:$I$56,6,FALSE)&gt;=VLOOKUP(58,main!$A$57:$I$61,4,FALSE)+VLOOKUP(VLOOKUP(AI$1,main!$A$3:$I$56,7,FALSE),main!$K$10:$Q$14,6,FALSE),1,0)</f>
        <v>0</v>
      </c>
      <c r="AJ172">
        <f>IF(VLOOKUP(AJ$1,main!$A$3:$I$56,5,FALSE)-VLOOKUP($A172,main!$A$3:$I$56,6,FALSE)&gt;=VLOOKUP(58,main!$A$57:$I$61,4,FALSE)+VLOOKUP(VLOOKUP(AJ$1,main!$A$3:$I$56,7,FALSE),main!$K$10:$Q$14,6,FALSE),1,0)</f>
        <v>0</v>
      </c>
      <c r="AK172">
        <f>IF(VLOOKUP(AK$1,main!$A$3:$I$56,5,FALSE)-VLOOKUP($A172,main!$A$3:$I$56,6,FALSE)&gt;=VLOOKUP(58,main!$A$57:$I$61,4,FALSE)+VLOOKUP(VLOOKUP(AK$1,main!$A$3:$I$56,7,FALSE),main!$K$10:$Q$14,6,FALSE),1,0)</f>
        <v>0</v>
      </c>
      <c r="AL172">
        <f>IF(VLOOKUP(AL$1,main!$A$3:$I$56,5,FALSE)-VLOOKUP($A172,main!$A$3:$I$56,6,FALSE)&gt;=VLOOKUP(58,main!$A$57:$I$61,4,FALSE)+VLOOKUP(VLOOKUP(AL$1,main!$A$3:$I$56,7,FALSE),main!$K$10:$Q$14,6,FALSE),1,0)</f>
        <v>0</v>
      </c>
      <c r="AM172">
        <f>IF(VLOOKUP(AM$1,main!$A$3:$I$56,5,FALSE)-VLOOKUP($A172,main!$A$3:$I$56,6,FALSE)&gt;=VLOOKUP(58,main!$A$57:$I$61,4,FALSE)+VLOOKUP(VLOOKUP(AM$1,main!$A$3:$I$56,7,FALSE),main!$K$10:$Q$14,6,FALSE),1,0)</f>
        <v>0</v>
      </c>
      <c r="AN172">
        <f>IF(VLOOKUP(AN$1,main!$A$3:$I$56,5,FALSE)-VLOOKUP($A172,main!$A$3:$I$56,6,FALSE)&gt;=VLOOKUP(58,main!$A$57:$I$61,4,FALSE)+VLOOKUP(VLOOKUP(AN$1,main!$A$3:$I$56,7,FALSE),main!$K$10:$Q$14,6,FALSE),1,0)</f>
        <v>0</v>
      </c>
      <c r="AO172">
        <f>IF(VLOOKUP(AO$1,main!$A$3:$I$56,5,FALSE)-VLOOKUP($A172,main!$A$3:$I$56,6,FALSE)&gt;=VLOOKUP(58,main!$A$57:$I$61,4,FALSE)+VLOOKUP(VLOOKUP(AO$1,main!$A$3:$I$56,7,FALSE),main!$K$10:$Q$14,6,FALSE),1,0)</f>
        <v>0</v>
      </c>
      <c r="AP172">
        <f>IF(VLOOKUP(AP$1,main!$A$3:$I$56,5,FALSE)-VLOOKUP($A172,main!$A$3:$I$56,6,FALSE)&gt;=VLOOKUP(58,main!$A$57:$I$61,4,FALSE)+VLOOKUP(VLOOKUP(AP$1,main!$A$3:$I$56,7,FALSE),main!$K$10:$Q$14,6,FALSE),1,0)</f>
        <v>0</v>
      </c>
      <c r="AQ172">
        <f>IF(VLOOKUP(AQ$1,main!$A$3:$I$56,5,FALSE)-VLOOKUP($A172,main!$A$3:$I$56,6,FALSE)&gt;=VLOOKUP(58,main!$A$57:$I$61,4,FALSE)+VLOOKUP(VLOOKUP(AQ$1,main!$A$3:$I$56,7,FALSE),main!$K$10:$Q$14,6,FALSE),1,0)</f>
        <v>0</v>
      </c>
      <c r="AR172">
        <f>IF(VLOOKUP(AR$1,main!$A$3:$I$56,5,FALSE)-VLOOKUP($A172,main!$A$3:$I$56,6,FALSE)&gt;=VLOOKUP(58,main!$A$57:$I$61,4,FALSE)+VLOOKUP(VLOOKUP(AR$1,main!$A$3:$I$56,7,FALSE),main!$K$10:$Q$14,6,FALSE),1,0)</f>
        <v>0</v>
      </c>
      <c r="AS172">
        <f>IF(VLOOKUP(AS$1,main!$A$3:$I$56,5,FALSE)-VLOOKUP($A172,main!$A$3:$I$56,6,FALSE)&gt;=VLOOKUP(58,main!$A$57:$I$61,4,FALSE)+VLOOKUP(VLOOKUP(AS$1,main!$A$3:$I$56,7,FALSE),main!$K$10:$Q$14,6,FALSE),1,0)</f>
        <v>0</v>
      </c>
      <c r="AT172">
        <f>IF(VLOOKUP(AT$1,main!$A$3:$I$56,5,FALSE)-VLOOKUP($A172,main!$A$3:$I$56,6,FALSE)&gt;=VLOOKUP(58,main!$A$57:$I$61,4,FALSE)+VLOOKUP(VLOOKUP(AT$1,main!$A$3:$I$56,7,FALSE),main!$K$10:$Q$14,6,FALSE),1,0)</f>
        <v>0</v>
      </c>
      <c r="AU172">
        <f>IF(VLOOKUP(AU$1,main!$A$3:$I$56,5,FALSE)-VLOOKUP($A172,main!$A$3:$I$56,6,FALSE)&gt;=VLOOKUP(58,main!$A$57:$I$61,4,FALSE)+VLOOKUP(VLOOKUP(AU$1,main!$A$3:$I$56,7,FALSE),main!$K$10:$Q$14,6,FALSE),1,0)</f>
        <v>0</v>
      </c>
      <c r="AV172">
        <f>IF(VLOOKUP(AV$1,main!$A$3:$I$56,5,FALSE)-VLOOKUP($A172,main!$A$3:$I$56,6,FALSE)&gt;=VLOOKUP(58,main!$A$57:$I$61,4,FALSE)+VLOOKUP(VLOOKUP(AV$1,main!$A$3:$I$56,7,FALSE),main!$K$10:$Q$14,6,FALSE),1,0)</f>
        <v>0</v>
      </c>
      <c r="AW172">
        <f>IF(VLOOKUP(AW$1,main!$A$3:$I$56,5,FALSE)-VLOOKUP($A172,main!$A$3:$I$56,6,FALSE)&gt;=VLOOKUP(58,main!$A$57:$I$61,4,FALSE)+VLOOKUP(VLOOKUP(AW$1,main!$A$3:$I$56,7,FALSE),main!$K$10:$Q$14,6,FALSE),1,0)</f>
        <v>0</v>
      </c>
      <c r="AX172">
        <f>IF(VLOOKUP(AX$1,main!$A$3:$I$56,5,FALSE)-VLOOKUP($A172,main!$A$3:$I$56,6,FALSE)&gt;=VLOOKUP(58,main!$A$57:$I$61,4,FALSE)+VLOOKUP(VLOOKUP(AX$1,main!$A$3:$I$56,7,FALSE),main!$K$10:$Q$14,6,FALSE),1,0)</f>
        <v>0</v>
      </c>
      <c r="AY172">
        <f>IF(VLOOKUP(AY$1,main!$A$3:$I$56,5,FALSE)-VLOOKUP($A172,main!$A$3:$I$56,6,FALSE)&gt;=VLOOKUP(58,main!$A$57:$I$61,4,FALSE)+VLOOKUP(VLOOKUP(AY$1,main!$A$3:$I$56,7,FALSE),main!$K$10:$Q$14,6,FALSE),1,0)</f>
        <v>0</v>
      </c>
      <c r="AZ172">
        <f>IF(VLOOKUP(AZ$1,main!$A$3:$I$56,5,FALSE)-VLOOKUP($A172,main!$A$3:$I$56,6,FALSE)&gt;=VLOOKUP(58,main!$A$57:$I$61,4,FALSE)+VLOOKUP(VLOOKUP(AZ$1,main!$A$3:$I$56,7,FALSE),main!$K$10:$Q$14,6,FALSE),1,0)</f>
        <v>0</v>
      </c>
      <c r="BA172">
        <f>IF(VLOOKUP(BA$1,main!$A$3:$I$56,5,FALSE)-VLOOKUP($A172,main!$A$3:$I$56,6,FALSE)&gt;=VLOOKUP(58,main!$A$57:$I$61,4,FALSE)+VLOOKUP(VLOOKUP(BA$1,main!$A$3:$I$56,7,FALSE),main!$K$10:$Q$14,6,FALSE),1,0)</f>
        <v>0</v>
      </c>
      <c r="BB172">
        <f>IF(VLOOKUP(BB$1,main!$A$3:$I$56,5,FALSE)-VLOOKUP($A172,main!$A$3:$I$56,6,FALSE)&gt;=VLOOKUP(58,main!$A$57:$I$61,4,FALSE)+VLOOKUP(VLOOKUP(BB$1,main!$A$3:$I$56,7,FALSE),main!$K$10:$Q$14,6,FALSE),1,0)</f>
        <v>0</v>
      </c>
      <c r="BC172">
        <f>IF(VLOOKUP(BC$1,main!$A$3:$I$56,5,FALSE)-VLOOKUP($A172,main!$A$3:$I$56,6,FALSE)&gt;=VLOOKUP(58,main!$A$57:$I$61,4,FALSE)+VLOOKUP(VLOOKUP(BC$1,main!$A$3:$I$56,7,FALSE),main!$K$10:$Q$14,6,FALSE),1,0)</f>
        <v>0</v>
      </c>
      <c r="BD172">
        <f>IF(VLOOKUP(BD$1,main!$A$3:$I$56,5,FALSE)-VLOOKUP($A172,main!$A$3:$I$56,6,FALSE)&gt;=VLOOKUP(58,main!$A$57:$I$61,4,FALSE)+VLOOKUP(VLOOKUP(BD$1,main!$A$3:$I$56,7,FALSE),main!$K$10:$Q$14,6,FALSE),1,0)</f>
        <v>0</v>
      </c>
    </row>
    <row r="173" spans="1:56" x14ac:dyDescent="0.25">
      <c r="A173">
        <f t="shared" si="3"/>
        <v>6</v>
      </c>
      <c r="B173">
        <v>0</v>
      </c>
      <c r="C173">
        <f>IF(VLOOKUP(C$1,main!$A$3:$I$56,5,FALSE)-VLOOKUP($A173,main!$A$3:$I$56,6,FALSE)&gt;=VLOOKUP(58,main!$A$57:$I$61,4,FALSE)+VLOOKUP(VLOOKUP(C$1,main!$A$3:$I$56,7,FALSE),main!$K$10:$Q$14,6,FALSE),1,0)</f>
        <v>0</v>
      </c>
      <c r="D173">
        <f>IF(VLOOKUP(D$1,main!$A$3:$I$56,5,FALSE)-VLOOKUP($A173,main!$A$3:$I$56,6,FALSE)&gt;=VLOOKUP(58,main!$A$57:$I$61,4,FALSE)+VLOOKUP(VLOOKUP(D$1,main!$A$3:$I$56,7,FALSE),main!$K$10:$Q$14,6,FALSE),1,0)</f>
        <v>0</v>
      </c>
      <c r="E173">
        <f>IF(VLOOKUP(E$1,main!$A$3:$I$56,5,FALSE)-VLOOKUP($A173,main!$A$3:$I$56,6,FALSE)&gt;=VLOOKUP(58,main!$A$57:$I$61,4,FALSE)+VLOOKUP(VLOOKUP(E$1,main!$A$3:$I$56,7,FALSE),main!$K$10:$Q$14,6,FALSE),1,0)</f>
        <v>0</v>
      </c>
      <c r="F173">
        <f>IF(VLOOKUP(F$1,main!$A$3:$I$56,5,FALSE)-VLOOKUP($A173,main!$A$3:$I$56,6,FALSE)&gt;=VLOOKUP(58,main!$A$57:$I$61,4,FALSE)+VLOOKUP(VLOOKUP(F$1,main!$A$3:$I$56,7,FALSE),main!$K$10:$Q$14,6,FALSE),1,0)</f>
        <v>0</v>
      </c>
      <c r="G173">
        <f>IF(VLOOKUP(G$1,main!$A$3:$I$56,5,FALSE)-VLOOKUP($A173,main!$A$3:$I$56,6,FALSE)&gt;=VLOOKUP(58,main!$A$57:$I$61,4,FALSE)+VLOOKUP(VLOOKUP(G$1,main!$A$3:$I$56,7,FALSE),main!$K$10:$Q$14,6,FALSE),1,0)</f>
        <v>0</v>
      </c>
      <c r="H173">
        <f>IF(VLOOKUP(H$1,main!$A$3:$I$56,5,FALSE)-VLOOKUP($A173,main!$A$3:$I$56,6,FALSE)&gt;=VLOOKUP(58,main!$A$57:$I$61,4,FALSE)+VLOOKUP(VLOOKUP(H$1,main!$A$3:$I$56,7,FALSE),main!$K$10:$Q$14,6,FALSE),1,0)</f>
        <v>0</v>
      </c>
      <c r="I173">
        <f>IF(VLOOKUP(I$1,main!$A$3:$I$56,5,FALSE)-VLOOKUP($A173,main!$A$3:$I$56,6,FALSE)&gt;=VLOOKUP(58,main!$A$57:$I$61,4,FALSE)+VLOOKUP(VLOOKUP(I$1,main!$A$3:$I$56,7,FALSE),main!$K$10:$Q$14,6,FALSE),1,0)</f>
        <v>0</v>
      </c>
      <c r="J173">
        <f>IF(VLOOKUP(J$1,main!$A$3:$I$56,5,FALSE)-VLOOKUP($A173,main!$A$3:$I$56,6,FALSE)&gt;=VLOOKUP(58,main!$A$57:$I$61,4,FALSE)+VLOOKUP(VLOOKUP(J$1,main!$A$3:$I$56,7,FALSE),main!$K$10:$Q$14,6,FALSE),1,0)</f>
        <v>0</v>
      </c>
      <c r="K173">
        <f>IF(VLOOKUP(K$1,main!$A$3:$I$56,5,FALSE)-VLOOKUP($A173,main!$A$3:$I$56,6,FALSE)&gt;=VLOOKUP(58,main!$A$57:$I$61,4,FALSE)+VLOOKUP(VLOOKUP(K$1,main!$A$3:$I$56,7,FALSE),main!$K$10:$Q$14,6,FALSE),1,0)</f>
        <v>0</v>
      </c>
      <c r="L173">
        <f>IF(VLOOKUP(L$1,main!$A$3:$I$56,5,FALSE)-VLOOKUP($A173,main!$A$3:$I$56,6,FALSE)&gt;=VLOOKUP(58,main!$A$57:$I$61,4,FALSE)+VLOOKUP(VLOOKUP(L$1,main!$A$3:$I$56,7,FALSE),main!$K$10:$Q$14,6,FALSE),1,0)</f>
        <v>0</v>
      </c>
      <c r="M173">
        <f>IF(VLOOKUP(M$1,main!$A$3:$I$56,5,FALSE)-VLOOKUP($A173,main!$A$3:$I$56,6,FALSE)&gt;=VLOOKUP(58,main!$A$57:$I$61,4,FALSE)+VLOOKUP(VLOOKUP(M$1,main!$A$3:$I$56,7,FALSE),main!$K$10:$Q$14,6,FALSE),1,0)</f>
        <v>0</v>
      </c>
      <c r="N173">
        <f>IF(VLOOKUP(N$1,main!$A$3:$I$56,5,FALSE)-VLOOKUP($A173,main!$A$3:$I$56,6,FALSE)&gt;=VLOOKUP(58,main!$A$57:$I$61,4,FALSE)+VLOOKUP(VLOOKUP(N$1,main!$A$3:$I$56,7,FALSE),main!$K$10:$Q$14,6,FALSE),1,0)</f>
        <v>0</v>
      </c>
      <c r="O173">
        <f>IF(VLOOKUP(O$1,main!$A$3:$I$56,5,FALSE)-VLOOKUP($A173,main!$A$3:$I$56,6,FALSE)&gt;=VLOOKUP(58,main!$A$57:$I$61,4,FALSE)+VLOOKUP(VLOOKUP(O$1,main!$A$3:$I$56,7,FALSE),main!$K$10:$Q$14,6,FALSE),1,0)</f>
        <v>0</v>
      </c>
      <c r="P173">
        <f>IF(VLOOKUP(P$1,main!$A$3:$I$56,5,FALSE)-VLOOKUP($A173,main!$A$3:$I$56,6,FALSE)&gt;=VLOOKUP(58,main!$A$57:$I$61,4,FALSE)+VLOOKUP(VLOOKUP(P$1,main!$A$3:$I$56,7,FALSE),main!$K$10:$Q$14,6,FALSE),1,0)</f>
        <v>0</v>
      </c>
      <c r="Q173">
        <f>IF(VLOOKUP(Q$1,main!$A$3:$I$56,5,FALSE)-VLOOKUP($A173,main!$A$3:$I$56,6,FALSE)&gt;=VLOOKUP(58,main!$A$57:$I$61,4,FALSE)+VLOOKUP(VLOOKUP(Q$1,main!$A$3:$I$56,7,FALSE),main!$K$10:$Q$14,6,FALSE),1,0)</f>
        <v>0</v>
      </c>
      <c r="R173">
        <f>IF(VLOOKUP(R$1,main!$A$3:$I$56,5,FALSE)-VLOOKUP($A173,main!$A$3:$I$56,6,FALSE)&gt;=VLOOKUP(58,main!$A$57:$I$61,4,FALSE)+VLOOKUP(VLOOKUP(R$1,main!$A$3:$I$56,7,FALSE),main!$K$10:$Q$14,6,FALSE),1,0)</f>
        <v>0</v>
      </c>
      <c r="S173">
        <f>IF(VLOOKUP(S$1,main!$A$3:$I$56,5,FALSE)-VLOOKUP($A173,main!$A$3:$I$56,6,FALSE)&gt;=VLOOKUP(58,main!$A$57:$I$61,4,FALSE)+VLOOKUP(VLOOKUP(S$1,main!$A$3:$I$56,7,FALSE),main!$K$10:$Q$14,6,FALSE),1,0)</f>
        <v>0</v>
      </c>
      <c r="T173">
        <f>IF(VLOOKUP(T$1,main!$A$3:$I$56,5,FALSE)-VLOOKUP($A173,main!$A$3:$I$56,6,FALSE)&gt;=VLOOKUP(58,main!$A$57:$I$61,4,FALSE)+VLOOKUP(VLOOKUP(T$1,main!$A$3:$I$56,7,FALSE),main!$K$10:$Q$14,6,FALSE),1,0)</f>
        <v>0</v>
      </c>
      <c r="U173">
        <f>IF(VLOOKUP(U$1,main!$A$3:$I$56,5,FALSE)-VLOOKUP($A173,main!$A$3:$I$56,6,FALSE)&gt;=VLOOKUP(58,main!$A$57:$I$61,4,FALSE)+VLOOKUP(VLOOKUP(U$1,main!$A$3:$I$56,7,FALSE),main!$K$10:$Q$14,6,FALSE),1,0)</f>
        <v>0</v>
      </c>
      <c r="V173">
        <f>IF(VLOOKUP(V$1,main!$A$3:$I$56,5,FALSE)-VLOOKUP($A173,main!$A$3:$I$56,6,FALSE)&gt;=VLOOKUP(58,main!$A$57:$I$61,4,FALSE)+VLOOKUP(VLOOKUP(V$1,main!$A$3:$I$56,7,FALSE),main!$K$10:$Q$14,6,FALSE),1,0)</f>
        <v>0</v>
      </c>
      <c r="W173">
        <f>IF(VLOOKUP(W$1,main!$A$3:$I$56,5,FALSE)-VLOOKUP($A173,main!$A$3:$I$56,6,FALSE)&gt;=VLOOKUP(58,main!$A$57:$I$61,4,FALSE)+VLOOKUP(VLOOKUP(W$1,main!$A$3:$I$56,7,FALSE),main!$K$10:$Q$14,6,FALSE),1,0)</f>
        <v>0</v>
      </c>
      <c r="X173">
        <f>IF(VLOOKUP(X$1,main!$A$3:$I$56,5,FALSE)-VLOOKUP($A173,main!$A$3:$I$56,6,FALSE)&gt;=VLOOKUP(58,main!$A$57:$I$61,4,FALSE)+VLOOKUP(VLOOKUP(X$1,main!$A$3:$I$56,7,FALSE),main!$K$10:$Q$14,6,FALSE),1,0)</f>
        <v>0</v>
      </c>
      <c r="Y173">
        <f>IF(VLOOKUP(Y$1,main!$A$3:$I$56,5,FALSE)-VLOOKUP($A173,main!$A$3:$I$56,6,FALSE)&gt;=VLOOKUP(58,main!$A$57:$I$61,4,FALSE)+VLOOKUP(VLOOKUP(Y$1,main!$A$3:$I$56,7,FALSE),main!$K$10:$Q$14,6,FALSE),1,0)</f>
        <v>0</v>
      </c>
      <c r="Z173">
        <f>IF(VLOOKUP(Z$1,main!$A$3:$I$56,5,FALSE)-VLOOKUP($A173,main!$A$3:$I$56,6,FALSE)&gt;=VLOOKUP(58,main!$A$57:$I$61,4,FALSE)+VLOOKUP(VLOOKUP(Z$1,main!$A$3:$I$56,7,FALSE),main!$K$10:$Q$14,6,FALSE),1,0)</f>
        <v>0</v>
      </c>
      <c r="AA173">
        <f>IF(VLOOKUP(AA$1,main!$A$3:$I$56,5,FALSE)-VLOOKUP($A173,main!$A$3:$I$56,6,FALSE)&gt;=VLOOKUP(58,main!$A$57:$I$61,4,FALSE)+VLOOKUP(VLOOKUP(AA$1,main!$A$3:$I$56,7,FALSE),main!$K$10:$Q$14,6,FALSE),1,0)</f>
        <v>0</v>
      </c>
      <c r="AB173">
        <f>IF(VLOOKUP(AB$1,main!$A$3:$I$56,5,FALSE)-VLOOKUP($A173,main!$A$3:$I$56,6,FALSE)&gt;=VLOOKUP(58,main!$A$57:$I$61,4,FALSE)+VLOOKUP(VLOOKUP(AB$1,main!$A$3:$I$56,7,FALSE),main!$K$10:$Q$14,6,FALSE),1,0)</f>
        <v>0</v>
      </c>
      <c r="AC173">
        <f>IF(VLOOKUP(AC$1,main!$A$3:$I$56,5,FALSE)-VLOOKUP($A173,main!$A$3:$I$56,6,FALSE)&gt;=VLOOKUP(58,main!$A$57:$I$61,4,FALSE)+VLOOKUP(VLOOKUP(AC$1,main!$A$3:$I$56,7,FALSE),main!$K$10:$Q$14,6,FALSE),1,0)</f>
        <v>0</v>
      </c>
      <c r="AD173">
        <f>IF(VLOOKUP(AD$1,main!$A$3:$I$56,5,FALSE)-VLOOKUP($A173,main!$A$3:$I$56,6,FALSE)&gt;=VLOOKUP(58,main!$A$57:$I$61,4,FALSE)+VLOOKUP(VLOOKUP(AD$1,main!$A$3:$I$56,7,FALSE),main!$K$10:$Q$14,6,FALSE),1,0)</f>
        <v>0</v>
      </c>
      <c r="AE173">
        <f>IF(VLOOKUP(AE$1,main!$A$3:$I$56,5,FALSE)-VLOOKUP($A173,main!$A$3:$I$56,6,FALSE)&gt;=VLOOKUP(58,main!$A$57:$I$61,4,FALSE)+VLOOKUP(VLOOKUP(AE$1,main!$A$3:$I$56,7,FALSE),main!$K$10:$Q$14,6,FALSE),1,0)</f>
        <v>0</v>
      </c>
      <c r="AF173">
        <f>IF(VLOOKUP(AF$1,main!$A$3:$I$56,5,FALSE)-VLOOKUP($A173,main!$A$3:$I$56,6,FALSE)&gt;=VLOOKUP(58,main!$A$57:$I$61,4,FALSE)+VLOOKUP(VLOOKUP(AF$1,main!$A$3:$I$56,7,FALSE),main!$K$10:$Q$14,6,FALSE),1,0)</f>
        <v>0</v>
      </c>
      <c r="AG173">
        <f>IF(VLOOKUP(AG$1,main!$A$3:$I$56,5,FALSE)-VLOOKUP($A173,main!$A$3:$I$56,6,FALSE)&gt;=VLOOKUP(58,main!$A$57:$I$61,4,FALSE)+VLOOKUP(VLOOKUP(AG$1,main!$A$3:$I$56,7,FALSE),main!$K$10:$Q$14,6,FALSE),1,0)</f>
        <v>0</v>
      </c>
      <c r="AH173">
        <f>IF(VLOOKUP(AH$1,main!$A$3:$I$56,5,FALSE)-VLOOKUP($A173,main!$A$3:$I$56,6,FALSE)&gt;=VLOOKUP(58,main!$A$57:$I$61,4,FALSE)+VLOOKUP(VLOOKUP(AH$1,main!$A$3:$I$56,7,FALSE),main!$K$10:$Q$14,6,FALSE),1,0)</f>
        <v>0</v>
      </c>
      <c r="AI173">
        <f>IF(VLOOKUP(AI$1,main!$A$3:$I$56,5,FALSE)-VLOOKUP($A173,main!$A$3:$I$56,6,FALSE)&gt;=VLOOKUP(58,main!$A$57:$I$61,4,FALSE)+VLOOKUP(VLOOKUP(AI$1,main!$A$3:$I$56,7,FALSE),main!$K$10:$Q$14,6,FALSE),1,0)</f>
        <v>0</v>
      </c>
      <c r="AJ173">
        <f>IF(VLOOKUP(AJ$1,main!$A$3:$I$56,5,FALSE)-VLOOKUP($A173,main!$A$3:$I$56,6,FALSE)&gt;=VLOOKUP(58,main!$A$57:$I$61,4,FALSE)+VLOOKUP(VLOOKUP(AJ$1,main!$A$3:$I$56,7,FALSE),main!$K$10:$Q$14,6,FALSE),1,0)</f>
        <v>0</v>
      </c>
      <c r="AK173">
        <f>IF(VLOOKUP(AK$1,main!$A$3:$I$56,5,FALSE)-VLOOKUP($A173,main!$A$3:$I$56,6,FALSE)&gt;=VLOOKUP(58,main!$A$57:$I$61,4,FALSE)+VLOOKUP(VLOOKUP(AK$1,main!$A$3:$I$56,7,FALSE),main!$K$10:$Q$14,6,FALSE),1,0)</f>
        <v>0</v>
      </c>
      <c r="AL173">
        <f>IF(VLOOKUP(AL$1,main!$A$3:$I$56,5,FALSE)-VLOOKUP($A173,main!$A$3:$I$56,6,FALSE)&gt;=VLOOKUP(58,main!$A$57:$I$61,4,FALSE)+VLOOKUP(VLOOKUP(AL$1,main!$A$3:$I$56,7,FALSE),main!$K$10:$Q$14,6,FALSE),1,0)</f>
        <v>0</v>
      </c>
      <c r="AM173">
        <f>IF(VLOOKUP(AM$1,main!$A$3:$I$56,5,FALSE)-VLOOKUP($A173,main!$A$3:$I$56,6,FALSE)&gt;=VLOOKUP(58,main!$A$57:$I$61,4,FALSE)+VLOOKUP(VLOOKUP(AM$1,main!$A$3:$I$56,7,FALSE),main!$K$10:$Q$14,6,FALSE),1,0)</f>
        <v>0</v>
      </c>
      <c r="AN173">
        <f>IF(VLOOKUP(AN$1,main!$A$3:$I$56,5,FALSE)-VLOOKUP($A173,main!$A$3:$I$56,6,FALSE)&gt;=VLOOKUP(58,main!$A$57:$I$61,4,FALSE)+VLOOKUP(VLOOKUP(AN$1,main!$A$3:$I$56,7,FALSE),main!$K$10:$Q$14,6,FALSE),1,0)</f>
        <v>0</v>
      </c>
      <c r="AO173">
        <f>IF(VLOOKUP(AO$1,main!$A$3:$I$56,5,FALSE)-VLOOKUP($A173,main!$A$3:$I$56,6,FALSE)&gt;=VLOOKUP(58,main!$A$57:$I$61,4,FALSE)+VLOOKUP(VLOOKUP(AO$1,main!$A$3:$I$56,7,FALSE),main!$K$10:$Q$14,6,FALSE),1,0)</f>
        <v>0</v>
      </c>
      <c r="AP173">
        <f>IF(VLOOKUP(AP$1,main!$A$3:$I$56,5,FALSE)-VLOOKUP($A173,main!$A$3:$I$56,6,FALSE)&gt;=VLOOKUP(58,main!$A$57:$I$61,4,FALSE)+VLOOKUP(VLOOKUP(AP$1,main!$A$3:$I$56,7,FALSE),main!$K$10:$Q$14,6,FALSE),1,0)</f>
        <v>0</v>
      </c>
      <c r="AQ173">
        <f>IF(VLOOKUP(AQ$1,main!$A$3:$I$56,5,FALSE)-VLOOKUP($A173,main!$A$3:$I$56,6,FALSE)&gt;=VLOOKUP(58,main!$A$57:$I$61,4,FALSE)+VLOOKUP(VLOOKUP(AQ$1,main!$A$3:$I$56,7,FALSE),main!$K$10:$Q$14,6,FALSE),1,0)</f>
        <v>0</v>
      </c>
      <c r="AR173">
        <f>IF(VLOOKUP(AR$1,main!$A$3:$I$56,5,FALSE)-VLOOKUP($A173,main!$A$3:$I$56,6,FALSE)&gt;=VLOOKUP(58,main!$A$57:$I$61,4,FALSE)+VLOOKUP(VLOOKUP(AR$1,main!$A$3:$I$56,7,FALSE),main!$K$10:$Q$14,6,FALSE),1,0)</f>
        <v>0</v>
      </c>
      <c r="AS173">
        <f>IF(VLOOKUP(AS$1,main!$A$3:$I$56,5,FALSE)-VLOOKUP($A173,main!$A$3:$I$56,6,FALSE)&gt;=VLOOKUP(58,main!$A$57:$I$61,4,FALSE)+VLOOKUP(VLOOKUP(AS$1,main!$A$3:$I$56,7,FALSE),main!$K$10:$Q$14,6,FALSE),1,0)</f>
        <v>0</v>
      </c>
      <c r="AT173">
        <f>IF(VLOOKUP(AT$1,main!$A$3:$I$56,5,FALSE)-VLOOKUP($A173,main!$A$3:$I$56,6,FALSE)&gt;=VLOOKUP(58,main!$A$57:$I$61,4,FALSE)+VLOOKUP(VLOOKUP(AT$1,main!$A$3:$I$56,7,FALSE),main!$K$10:$Q$14,6,FALSE),1,0)</f>
        <v>0</v>
      </c>
      <c r="AU173">
        <f>IF(VLOOKUP(AU$1,main!$A$3:$I$56,5,FALSE)-VLOOKUP($A173,main!$A$3:$I$56,6,FALSE)&gt;=VLOOKUP(58,main!$A$57:$I$61,4,FALSE)+VLOOKUP(VLOOKUP(AU$1,main!$A$3:$I$56,7,FALSE),main!$K$10:$Q$14,6,FALSE),1,0)</f>
        <v>0</v>
      </c>
      <c r="AV173">
        <f>IF(VLOOKUP(AV$1,main!$A$3:$I$56,5,FALSE)-VLOOKUP($A173,main!$A$3:$I$56,6,FALSE)&gt;=VLOOKUP(58,main!$A$57:$I$61,4,FALSE)+VLOOKUP(VLOOKUP(AV$1,main!$A$3:$I$56,7,FALSE),main!$K$10:$Q$14,6,FALSE),1,0)</f>
        <v>0</v>
      </c>
      <c r="AW173">
        <f>IF(VLOOKUP(AW$1,main!$A$3:$I$56,5,FALSE)-VLOOKUP($A173,main!$A$3:$I$56,6,FALSE)&gt;=VLOOKUP(58,main!$A$57:$I$61,4,FALSE)+VLOOKUP(VLOOKUP(AW$1,main!$A$3:$I$56,7,FALSE),main!$K$10:$Q$14,6,FALSE),1,0)</f>
        <v>0</v>
      </c>
      <c r="AX173">
        <f>IF(VLOOKUP(AX$1,main!$A$3:$I$56,5,FALSE)-VLOOKUP($A173,main!$A$3:$I$56,6,FALSE)&gt;=VLOOKUP(58,main!$A$57:$I$61,4,FALSE)+VLOOKUP(VLOOKUP(AX$1,main!$A$3:$I$56,7,FALSE),main!$K$10:$Q$14,6,FALSE),1,0)</f>
        <v>0</v>
      </c>
      <c r="AY173">
        <f>IF(VLOOKUP(AY$1,main!$A$3:$I$56,5,FALSE)-VLOOKUP($A173,main!$A$3:$I$56,6,FALSE)&gt;=VLOOKUP(58,main!$A$57:$I$61,4,FALSE)+VLOOKUP(VLOOKUP(AY$1,main!$A$3:$I$56,7,FALSE),main!$K$10:$Q$14,6,FALSE),1,0)</f>
        <v>0</v>
      </c>
      <c r="AZ173">
        <f>IF(VLOOKUP(AZ$1,main!$A$3:$I$56,5,FALSE)-VLOOKUP($A173,main!$A$3:$I$56,6,FALSE)&gt;=VLOOKUP(58,main!$A$57:$I$61,4,FALSE)+VLOOKUP(VLOOKUP(AZ$1,main!$A$3:$I$56,7,FALSE),main!$K$10:$Q$14,6,FALSE),1,0)</f>
        <v>0</v>
      </c>
      <c r="BA173">
        <f>IF(VLOOKUP(BA$1,main!$A$3:$I$56,5,FALSE)-VLOOKUP($A173,main!$A$3:$I$56,6,FALSE)&gt;=VLOOKUP(58,main!$A$57:$I$61,4,FALSE)+VLOOKUP(VLOOKUP(BA$1,main!$A$3:$I$56,7,FALSE),main!$K$10:$Q$14,6,FALSE),1,0)</f>
        <v>0</v>
      </c>
      <c r="BB173">
        <f>IF(VLOOKUP(BB$1,main!$A$3:$I$56,5,FALSE)-VLOOKUP($A173,main!$A$3:$I$56,6,FALSE)&gt;=VLOOKUP(58,main!$A$57:$I$61,4,FALSE)+VLOOKUP(VLOOKUP(BB$1,main!$A$3:$I$56,7,FALSE),main!$K$10:$Q$14,6,FALSE),1,0)</f>
        <v>0</v>
      </c>
      <c r="BC173">
        <f>IF(VLOOKUP(BC$1,main!$A$3:$I$56,5,FALSE)-VLOOKUP($A173,main!$A$3:$I$56,6,FALSE)&gt;=VLOOKUP(58,main!$A$57:$I$61,4,FALSE)+VLOOKUP(VLOOKUP(BC$1,main!$A$3:$I$56,7,FALSE),main!$K$10:$Q$14,6,FALSE),1,0)</f>
        <v>0</v>
      </c>
      <c r="BD173">
        <f>IF(VLOOKUP(BD$1,main!$A$3:$I$56,5,FALSE)-VLOOKUP($A173,main!$A$3:$I$56,6,FALSE)&gt;=VLOOKUP(58,main!$A$57:$I$61,4,FALSE)+VLOOKUP(VLOOKUP(BD$1,main!$A$3:$I$56,7,FALSE),main!$K$10:$Q$14,6,FALSE),1,0)</f>
        <v>0</v>
      </c>
    </row>
    <row r="174" spans="1:56" x14ac:dyDescent="0.25">
      <c r="A174">
        <f t="shared" si="3"/>
        <v>7</v>
      </c>
      <c r="B174">
        <v>0</v>
      </c>
      <c r="C174">
        <f>IF(VLOOKUP(C$1,main!$A$3:$I$56,5,FALSE)-VLOOKUP($A174,main!$A$3:$I$56,6,FALSE)&gt;=VLOOKUP(58,main!$A$57:$I$61,4,FALSE)+VLOOKUP(VLOOKUP(C$1,main!$A$3:$I$56,7,FALSE),main!$K$10:$Q$14,6,FALSE),1,0)</f>
        <v>0</v>
      </c>
      <c r="D174">
        <f>IF(VLOOKUP(D$1,main!$A$3:$I$56,5,FALSE)-VLOOKUP($A174,main!$A$3:$I$56,6,FALSE)&gt;=VLOOKUP(58,main!$A$57:$I$61,4,FALSE)+VLOOKUP(VLOOKUP(D$1,main!$A$3:$I$56,7,FALSE),main!$K$10:$Q$14,6,FALSE),1,0)</f>
        <v>0</v>
      </c>
      <c r="E174">
        <f>IF(VLOOKUP(E$1,main!$A$3:$I$56,5,FALSE)-VLOOKUP($A174,main!$A$3:$I$56,6,FALSE)&gt;=VLOOKUP(58,main!$A$57:$I$61,4,FALSE)+VLOOKUP(VLOOKUP(E$1,main!$A$3:$I$56,7,FALSE),main!$K$10:$Q$14,6,FALSE),1,0)</f>
        <v>0</v>
      </c>
      <c r="F174">
        <f>IF(VLOOKUP(F$1,main!$A$3:$I$56,5,FALSE)-VLOOKUP($A174,main!$A$3:$I$56,6,FALSE)&gt;=VLOOKUP(58,main!$A$57:$I$61,4,FALSE)+VLOOKUP(VLOOKUP(F$1,main!$A$3:$I$56,7,FALSE),main!$K$10:$Q$14,6,FALSE),1,0)</f>
        <v>0</v>
      </c>
      <c r="G174">
        <f>IF(VLOOKUP(G$1,main!$A$3:$I$56,5,FALSE)-VLOOKUP($A174,main!$A$3:$I$56,6,FALSE)&gt;=VLOOKUP(58,main!$A$57:$I$61,4,FALSE)+VLOOKUP(VLOOKUP(G$1,main!$A$3:$I$56,7,FALSE),main!$K$10:$Q$14,6,FALSE),1,0)</f>
        <v>0</v>
      </c>
      <c r="H174">
        <f>IF(VLOOKUP(H$1,main!$A$3:$I$56,5,FALSE)-VLOOKUP($A174,main!$A$3:$I$56,6,FALSE)&gt;=VLOOKUP(58,main!$A$57:$I$61,4,FALSE)+VLOOKUP(VLOOKUP(H$1,main!$A$3:$I$56,7,FALSE),main!$K$10:$Q$14,6,FALSE),1,0)</f>
        <v>0</v>
      </c>
      <c r="I174">
        <f>IF(VLOOKUP(I$1,main!$A$3:$I$56,5,FALSE)-VLOOKUP($A174,main!$A$3:$I$56,6,FALSE)&gt;=VLOOKUP(58,main!$A$57:$I$61,4,FALSE)+VLOOKUP(VLOOKUP(I$1,main!$A$3:$I$56,7,FALSE),main!$K$10:$Q$14,6,FALSE),1,0)</f>
        <v>0</v>
      </c>
      <c r="J174">
        <f>IF(VLOOKUP(J$1,main!$A$3:$I$56,5,FALSE)-VLOOKUP($A174,main!$A$3:$I$56,6,FALSE)&gt;=VLOOKUP(58,main!$A$57:$I$61,4,FALSE)+VLOOKUP(VLOOKUP(J$1,main!$A$3:$I$56,7,FALSE),main!$K$10:$Q$14,6,FALSE),1,0)</f>
        <v>0</v>
      </c>
      <c r="K174">
        <f>IF(VLOOKUP(K$1,main!$A$3:$I$56,5,FALSE)-VLOOKUP($A174,main!$A$3:$I$56,6,FALSE)&gt;=VLOOKUP(58,main!$A$57:$I$61,4,FALSE)+VLOOKUP(VLOOKUP(K$1,main!$A$3:$I$56,7,FALSE),main!$K$10:$Q$14,6,FALSE),1,0)</f>
        <v>0</v>
      </c>
      <c r="L174">
        <f>IF(VLOOKUP(L$1,main!$A$3:$I$56,5,FALSE)-VLOOKUP($A174,main!$A$3:$I$56,6,FALSE)&gt;=VLOOKUP(58,main!$A$57:$I$61,4,FALSE)+VLOOKUP(VLOOKUP(L$1,main!$A$3:$I$56,7,FALSE),main!$K$10:$Q$14,6,FALSE),1,0)</f>
        <v>0</v>
      </c>
      <c r="M174">
        <f>IF(VLOOKUP(M$1,main!$A$3:$I$56,5,FALSE)-VLOOKUP($A174,main!$A$3:$I$56,6,FALSE)&gt;=VLOOKUP(58,main!$A$57:$I$61,4,FALSE)+VLOOKUP(VLOOKUP(M$1,main!$A$3:$I$56,7,FALSE),main!$K$10:$Q$14,6,FALSE),1,0)</f>
        <v>0</v>
      </c>
      <c r="N174">
        <f>IF(VLOOKUP(N$1,main!$A$3:$I$56,5,FALSE)-VLOOKUP($A174,main!$A$3:$I$56,6,FALSE)&gt;=VLOOKUP(58,main!$A$57:$I$61,4,FALSE)+VLOOKUP(VLOOKUP(N$1,main!$A$3:$I$56,7,FALSE),main!$K$10:$Q$14,6,FALSE),1,0)</f>
        <v>0</v>
      </c>
      <c r="O174">
        <f>IF(VLOOKUP(O$1,main!$A$3:$I$56,5,FALSE)-VLOOKUP($A174,main!$A$3:$I$56,6,FALSE)&gt;=VLOOKUP(58,main!$A$57:$I$61,4,FALSE)+VLOOKUP(VLOOKUP(O$1,main!$A$3:$I$56,7,FALSE),main!$K$10:$Q$14,6,FALSE),1,0)</f>
        <v>0</v>
      </c>
      <c r="P174">
        <f>IF(VLOOKUP(P$1,main!$A$3:$I$56,5,FALSE)-VLOOKUP($A174,main!$A$3:$I$56,6,FALSE)&gt;=VLOOKUP(58,main!$A$57:$I$61,4,FALSE)+VLOOKUP(VLOOKUP(P$1,main!$A$3:$I$56,7,FALSE),main!$K$10:$Q$14,6,FALSE),1,0)</f>
        <v>0</v>
      </c>
      <c r="Q174">
        <f>IF(VLOOKUP(Q$1,main!$A$3:$I$56,5,FALSE)-VLOOKUP($A174,main!$A$3:$I$56,6,FALSE)&gt;=VLOOKUP(58,main!$A$57:$I$61,4,FALSE)+VLOOKUP(VLOOKUP(Q$1,main!$A$3:$I$56,7,FALSE),main!$K$10:$Q$14,6,FALSE),1,0)</f>
        <v>0</v>
      </c>
      <c r="R174">
        <f>IF(VLOOKUP(R$1,main!$A$3:$I$56,5,FALSE)-VLOOKUP($A174,main!$A$3:$I$56,6,FALSE)&gt;=VLOOKUP(58,main!$A$57:$I$61,4,FALSE)+VLOOKUP(VLOOKUP(R$1,main!$A$3:$I$56,7,FALSE),main!$K$10:$Q$14,6,FALSE),1,0)</f>
        <v>0</v>
      </c>
      <c r="S174">
        <f>IF(VLOOKUP(S$1,main!$A$3:$I$56,5,FALSE)-VLOOKUP($A174,main!$A$3:$I$56,6,FALSE)&gt;=VLOOKUP(58,main!$A$57:$I$61,4,FALSE)+VLOOKUP(VLOOKUP(S$1,main!$A$3:$I$56,7,FALSE),main!$K$10:$Q$14,6,FALSE),1,0)</f>
        <v>0</v>
      </c>
      <c r="T174">
        <f>IF(VLOOKUP(T$1,main!$A$3:$I$56,5,FALSE)-VLOOKUP($A174,main!$A$3:$I$56,6,FALSE)&gt;=VLOOKUP(58,main!$A$57:$I$61,4,FALSE)+VLOOKUP(VLOOKUP(T$1,main!$A$3:$I$56,7,FALSE),main!$K$10:$Q$14,6,FALSE),1,0)</f>
        <v>0</v>
      </c>
      <c r="U174">
        <f>IF(VLOOKUP(U$1,main!$A$3:$I$56,5,FALSE)-VLOOKUP($A174,main!$A$3:$I$56,6,FALSE)&gt;=VLOOKUP(58,main!$A$57:$I$61,4,FALSE)+VLOOKUP(VLOOKUP(U$1,main!$A$3:$I$56,7,FALSE),main!$K$10:$Q$14,6,FALSE),1,0)</f>
        <v>0</v>
      </c>
      <c r="V174">
        <f>IF(VLOOKUP(V$1,main!$A$3:$I$56,5,FALSE)-VLOOKUP($A174,main!$A$3:$I$56,6,FALSE)&gt;=VLOOKUP(58,main!$A$57:$I$61,4,FALSE)+VLOOKUP(VLOOKUP(V$1,main!$A$3:$I$56,7,FALSE),main!$K$10:$Q$14,6,FALSE),1,0)</f>
        <v>0</v>
      </c>
      <c r="W174">
        <f>IF(VLOOKUP(W$1,main!$A$3:$I$56,5,FALSE)-VLOOKUP($A174,main!$A$3:$I$56,6,FALSE)&gt;=VLOOKUP(58,main!$A$57:$I$61,4,FALSE)+VLOOKUP(VLOOKUP(W$1,main!$A$3:$I$56,7,FALSE),main!$K$10:$Q$14,6,FALSE),1,0)</f>
        <v>0</v>
      </c>
      <c r="X174">
        <f>IF(VLOOKUP(X$1,main!$A$3:$I$56,5,FALSE)-VLOOKUP($A174,main!$A$3:$I$56,6,FALSE)&gt;=VLOOKUP(58,main!$A$57:$I$61,4,FALSE)+VLOOKUP(VLOOKUP(X$1,main!$A$3:$I$56,7,FALSE),main!$K$10:$Q$14,6,FALSE),1,0)</f>
        <v>0</v>
      </c>
      <c r="Y174">
        <f>IF(VLOOKUP(Y$1,main!$A$3:$I$56,5,FALSE)-VLOOKUP($A174,main!$A$3:$I$56,6,FALSE)&gt;=VLOOKUP(58,main!$A$57:$I$61,4,FALSE)+VLOOKUP(VLOOKUP(Y$1,main!$A$3:$I$56,7,FALSE),main!$K$10:$Q$14,6,FALSE),1,0)</f>
        <v>0</v>
      </c>
      <c r="Z174">
        <f>IF(VLOOKUP(Z$1,main!$A$3:$I$56,5,FALSE)-VLOOKUP($A174,main!$A$3:$I$56,6,FALSE)&gt;=VLOOKUP(58,main!$A$57:$I$61,4,FALSE)+VLOOKUP(VLOOKUP(Z$1,main!$A$3:$I$56,7,FALSE),main!$K$10:$Q$14,6,FALSE),1,0)</f>
        <v>0</v>
      </c>
      <c r="AA174">
        <f>IF(VLOOKUP(AA$1,main!$A$3:$I$56,5,FALSE)-VLOOKUP($A174,main!$A$3:$I$56,6,FALSE)&gt;=VLOOKUP(58,main!$A$57:$I$61,4,FALSE)+VLOOKUP(VLOOKUP(AA$1,main!$A$3:$I$56,7,FALSE),main!$K$10:$Q$14,6,FALSE),1,0)</f>
        <v>0</v>
      </c>
      <c r="AB174">
        <f>IF(VLOOKUP(AB$1,main!$A$3:$I$56,5,FALSE)-VLOOKUP($A174,main!$A$3:$I$56,6,FALSE)&gt;=VLOOKUP(58,main!$A$57:$I$61,4,FALSE)+VLOOKUP(VLOOKUP(AB$1,main!$A$3:$I$56,7,FALSE),main!$K$10:$Q$14,6,FALSE),1,0)</f>
        <v>0</v>
      </c>
      <c r="AC174">
        <f>IF(VLOOKUP(AC$1,main!$A$3:$I$56,5,FALSE)-VLOOKUP($A174,main!$A$3:$I$56,6,FALSE)&gt;=VLOOKUP(58,main!$A$57:$I$61,4,FALSE)+VLOOKUP(VLOOKUP(AC$1,main!$A$3:$I$56,7,FALSE),main!$K$10:$Q$14,6,FALSE),1,0)</f>
        <v>0</v>
      </c>
      <c r="AD174">
        <f>IF(VLOOKUP(AD$1,main!$A$3:$I$56,5,FALSE)-VLOOKUP($A174,main!$A$3:$I$56,6,FALSE)&gt;=VLOOKUP(58,main!$A$57:$I$61,4,FALSE)+VLOOKUP(VLOOKUP(AD$1,main!$A$3:$I$56,7,FALSE),main!$K$10:$Q$14,6,FALSE),1,0)</f>
        <v>0</v>
      </c>
      <c r="AE174">
        <f>IF(VLOOKUP(AE$1,main!$A$3:$I$56,5,FALSE)-VLOOKUP($A174,main!$A$3:$I$56,6,FALSE)&gt;=VLOOKUP(58,main!$A$57:$I$61,4,FALSE)+VLOOKUP(VLOOKUP(AE$1,main!$A$3:$I$56,7,FALSE),main!$K$10:$Q$14,6,FALSE),1,0)</f>
        <v>0</v>
      </c>
      <c r="AF174">
        <f>IF(VLOOKUP(AF$1,main!$A$3:$I$56,5,FALSE)-VLOOKUP($A174,main!$A$3:$I$56,6,FALSE)&gt;=VLOOKUP(58,main!$A$57:$I$61,4,FALSE)+VLOOKUP(VLOOKUP(AF$1,main!$A$3:$I$56,7,FALSE),main!$K$10:$Q$14,6,FALSE),1,0)</f>
        <v>0</v>
      </c>
      <c r="AG174">
        <f>IF(VLOOKUP(AG$1,main!$A$3:$I$56,5,FALSE)-VLOOKUP($A174,main!$A$3:$I$56,6,FALSE)&gt;=VLOOKUP(58,main!$A$57:$I$61,4,FALSE)+VLOOKUP(VLOOKUP(AG$1,main!$A$3:$I$56,7,FALSE),main!$K$10:$Q$14,6,FALSE),1,0)</f>
        <v>0</v>
      </c>
      <c r="AH174">
        <f>IF(VLOOKUP(AH$1,main!$A$3:$I$56,5,FALSE)-VLOOKUP($A174,main!$A$3:$I$56,6,FALSE)&gt;=VLOOKUP(58,main!$A$57:$I$61,4,FALSE)+VLOOKUP(VLOOKUP(AH$1,main!$A$3:$I$56,7,FALSE),main!$K$10:$Q$14,6,FALSE),1,0)</f>
        <v>0</v>
      </c>
      <c r="AI174">
        <f>IF(VLOOKUP(AI$1,main!$A$3:$I$56,5,FALSE)-VLOOKUP($A174,main!$A$3:$I$56,6,FALSE)&gt;=VLOOKUP(58,main!$A$57:$I$61,4,FALSE)+VLOOKUP(VLOOKUP(AI$1,main!$A$3:$I$56,7,FALSE),main!$K$10:$Q$14,6,FALSE),1,0)</f>
        <v>0</v>
      </c>
      <c r="AJ174">
        <f>IF(VLOOKUP(AJ$1,main!$A$3:$I$56,5,FALSE)-VLOOKUP($A174,main!$A$3:$I$56,6,FALSE)&gt;=VLOOKUP(58,main!$A$57:$I$61,4,FALSE)+VLOOKUP(VLOOKUP(AJ$1,main!$A$3:$I$56,7,FALSE),main!$K$10:$Q$14,6,FALSE),1,0)</f>
        <v>0</v>
      </c>
      <c r="AK174">
        <f>IF(VLOOKUP(AK$1,main!$A$3:$I$56,5,FALSE)-VLOOKUP($A174,main!$A$3:$I$56,6,FALSE)&gt;=VLOOKUP(58,main!$A$57:$I$61,4,FALSE)+VLOOKUP(VLOOKUP(AK$1,main!$A$3:$I$56,7,FALSE),main!$K$10:$Q$14,6,FALSE),1,0)</f>
        <v>0</v>
      </c>
      <c r="AL174">
        <f>IF(VLOOKUP(AL$1,main!$A$3:$I$56,5,FALSE)-VLOOKUP($A174,main!$A$3:$I$56,6,FALSE)&gt;=VLOOKUP(58,main!$A$57:$I$61,4,FALSE)+VLOOKUP(VLOOKUP(AL$1,main!$A$3:$I$56,7,FALSE),main!$K$10:$Q$14,6,FALSE),1,0)</f>
        <v>0</v>
      </c>
      <c r="AM174">
        <f>IF(VLOOKUP(AM$1,main!$A$3:$I$56,5,FALSE)-VLOOKUP($A174,main!$A$3:$I$56,6,FALSE)&gt;=VLOOKUP(58,main!$A$57:$I$61,4,FALSE)+VLOOKUP(VLOOKUP(AM$1,main!$A$3:$I$56,7,FALSE),main!$K$10:$Q$14,6,FALSE),1,0)</f>
        <v>0</v>
      </c>
      <c r="AN174">
        <f>IF(VLOOKUP(AN$1,main!$A$3:$I$56,5,FALSE)-VLOOKUP($A174,main!$A$3:$I$56,6,FALSE)&gt;=VLOOKUP(58,main!$A$57:$I$61,4,FALSE)+VLOOKUP(VLOOKUP(AN$1,main!$A$3:$I$56,7,FALSE),main!$K$10:$Q$14,6,FALSE),1,0)</f>
        <v>0</v>
      </c>
      <c r="AO174">
        <f>IF(VLOOKUP(AO$1,main!$A$3:$I$56,5,FALSE)-VLOOKUP($A174,main!$A$3:$I$56,6,FALSE)&gt;=VLOOKUP(58,main!$A$57:$I$61,4,FALSE)+VLOOKUP(VLOOKUP(AO$1,main!$A$3:$I$56,7,FALSE),main!$K$10:$Q$14,6,FALSE),1,0)</f>
        <v>0</v>
      </c>
      <c r="AP174">
        <f>IF(VLOOKUP(AP$1,main!$A$3:$I$56,5,FALSE)-VLOOKUP($A174,main!$A$3:$I$56,6,FALSE)&gt;=VLOOKUP(58,main!$A$57:$I$61,4,FALSE)+VLOOKUP(VLOOKUP(AP$1,main!$A$3:$I$56,7,FALSE),main!$K$10:$Q$14,6,FALSE),1,0)</f>
        <v>0</v>
      </c>
      <c r="AQ174">
        <f>IF(VLOOKUP(AQ$1,main!$A$3:$I$56,5,FALSE)-VLOOKUP($A174,main!$A$3:$I$56,6,FALSE)&gt;=VLOOKUP(58,main!$A$57:$I$61,4,FALSE)+VLOOKUP(VLOOKUP(AQ$1,main!$A$3:$I$56,7,FALSE),main!$K$10:$Q$14,6,FALSE),1,0)</f>
        <v>0</v>
      </c>
      <c r="AR174">
        <f>IF(VLOOKUP(AR$1,main!$A$3:$I$56,5,FALSE)-VLOOKUP($A174,main!$A$3:$I$56,6,FALSE)&gt;=VLOOKUP(58,main!$A$57:$I$61,4,FALSE)+VLOOKUP(VLOOKUP(AR$1,main!$A$3:$I$56,7,FALSE),main!$K$10:$Q$14,6,FALSE),1,0)</f>
        <v>0</v>
      </c>
      <c r="AS174">
        <f>IF(VLOOKUP(AS$1,main!$A$3:$I$56,5,FALSE)-VLOOKUP($A174,main!$A$3:$I$56,6,FALSE)&gt;=VLOOKUP(58,main!$A$57:$I$61,4,FALSE)+VLOOKUP(VLOOKUP(AS$1,main!$A$3:$I$56,7,FALSE),main!$K$10:$Q$14,6,FALSE),1,0)</f>
        <v>0</v>
      </c>
      <c r="AT174">
        <f>IF(VLOOKUP(AT$1,main!$A$3:$I$56,5,FALSE)-VLOOKUP($A174,main!$A$3:$I$56,6,FALSE)&gt;=VLOOKUP(58,main!$A$57:$I$61,4,FALSE)+VLOOKUP(VLOOKUP(AT$1,main!$A$3:$I$56,7,FALSE),main!$K$10:$Q$14,6,FALSE),1,0)</f>
        <v>0</v>
      </c>
      <c r="AU174">
        <f>IF(VLOOKUP(AU$1,main!$A$3:$I$56,5,FALSE)-VLOOKUP($A174,main!$A$3:$I$56,6,FALSE)&gt;=VLOOKUP(58,main!$A$57:$I$61,4,FALSE)+VLOOKUP(VLOOKUP(AU$1,main!$A$3:$I$56,7,FALSE),main!$K$10:$Q$14,6,FALSE),1,0)</f>
        <v>0</v>
      </c>
      <c r="AV174">
        <f>IF(VLOOKUP(AV$1,main!$A$3:$I$56,5,FALSE)-VLOOKUP($A174,main!$A$3:$I$56,6,FALSE)&gt;=VLOOKUP(58,main!$A$57:$I$61,4,FALSE)+VLOOKUP(VLOOKUP(AV$1,main!$A$3:$I$56,7,FALSE),main!$K$10:$Q$14,6,FALSE),1,0)</f>
        <v>0</v>
      </c>
      <c r="AW174">
        <f>IF(VLOOKUP(AW$1,main!$A$3:$I$56,5,FALSE)-VLOOKUP($A174,main!$A$3:$I$56,6,FALSE)&gt;=VLOOKUP(58,main!$A$57:$I$61,4,FALSE)+VLOOKUP(VLOOKUP(AW$1,main!$A$3:$I$56,7,FALSE),main!$K$10:$Q$14,6,FALSE),1,0)</f>
        <v>0</v>
      </c>
      <c r="AX174">
        <f>IF(VLOOKUP(AX$1,main!$A$3:$I$56,5,FALSE)-VLOOKUP($A174,main!$A$3:$I$56,6,FALSE)&gt;=VLOOKUP(58,main!$A$57:$I$61,4,FALSE)+VLOOKUP(VLOOKUP(AX$1,main!$A$3:$I$56,7,FALSE),main!$K$10:$Q$14,6,FALSE),1,0)</f>
        <v>0</v>
      </c>
      <c r="AY174">
        <f>IF(VLOOKUP(AY$1,main!$A$3:$I$56,5,FALSE)-VLOOKUP($A174,main!$A$3:$I$56,6,FALSE)&gt;=VLOOKUP(58,main!$A$57:$I$61,4,FALSE)+VLOOKUP(VLOOKUP(AY$1,main!$A$3:$I$56,7,FALSE),main!$K$10:$Q$14,6,FALSE),1,0)</f>
        <v>0</v>
      </c>
      <c r="AZ174">
        <f>IF(VLOOKUP(AZ$1,main!$A$3:$I$56,5,FALSE)-VLOOKUP($A174,main!$A$3:$I$56,6,FALSE)&gt;=VLOOKUP(58,main!$A$57:$I$61,4,FALSE)+VLOOKUP(VLOOKUP(AZ$1,main!$A$3:$I$56,7,FALSE),main!$K$10:$Q$14,6,FALSE),1,0)</f>
        <v>0</v>
      </c>
      <c r="BA174">
        <f>IF(VLOOKUP(BA$1,main!$A$3:$I$56,5,FALSE)-VLOOKUP($A174,main!$A$3:$I$56,6,FALSE)&gt;=VLOOKUP(58,main!$A$57:$I$61,4,FALSE)+VLOOKUP(VLOOKUP(BA$1,main!$A$3:$I$56,7,FALSE),main!$K$10:$Q$14,6,FALSE),1,0)</f>
        <v>0</v>
      </c>
      <c r="BB174">
        <f>IF(VLOOKUP(BB$1,main!$A$3:$I$56,5,FALSE)-VLOOKUP($A174,main!$A$3:$I$56,6,FALSE)&gt;=VLOOKUP(58,main!$A$57:$I$61,4,FALSE)+VLOOKUP(VLOOKUP(BB$1,main!$A$3:$I$56,7,FALSE),main!$K$10:$Q$14,6,FALSE),1,0)</f>
        <v>0</v>
      </c>
      <c r="BC174">
        <f>IF(VLOOKUP(BC$1,main!$A$3:$I$56,5,FALSE)-VLOOKUP($A174,main!$A$3:$I$56,6,FALSE)&gt;=VLOOKUP(58,main!$A$57:$I$61,4,FALSE)+VLOOKUP(VLOOKUP(BC$1,main!$A$3:$I$56,7,FALSE),main!$K$10:$Q$14,6,FALSE),1,0)</f>
        <v>0</v>
      </c>
      <c r="BD174">
        <f>IF(VLOOKUP(BD$1,main!$A$3:$I$56,5,FALSE)-VLOOKUP($A174,main!$A$3:$I$56,6,FALSE)&gt;=VLOOKUP(58,main!$A$57:$I$61,4,FALSE)+VLOOKUP(VLOOKUP(BD$1,main!$A$3:$I$56,7,FALSE),main!$K$10:$Q$14,6,FALSE),1,0)</f>
        <v>0</v>
      </c>
    </row>
    <row r="175" spans="1:56" x14ac:dyDescent="0.25">
      <c r="A175">
        <f t="shared" si="3"/>
        <v>8</v>
      </c>
      <c r="B175">
        <v>0</v>
      </c>
      <c r="C175">
        <f>IF(VLOOKUP(C$1,main!$A$3:$I$56,5,FALSE)-VLOOKUP($A175,main!$A$3:$I$56,6,FALSE)&gt;=VLOOKUP(58,main!$A$57:$I$61,4,FALSE)+VLOOKUP(VLOOKUP(C$1,main!$A$3:$I$56,7,FALSE),main!$K$10:$Q$14,6,FALSE),1,0)</f>
        <v>0</v>
      </c>
      <c r="D175">
        <f>IF(VLOOKUP(D$1,main!$A$3:$I$56,5,FALSE)-VLOOKUP($A175,main!$A$3:$I$56,6,FALSE)&gt;=VLOOKUP(58,main!$A$57:$I$61,4,FALSE)+VLOOKUP(VLOOKUP(D$1,main!$A$3:$I$56,7,FALSE),main!$K$10:$Q$14,6,FALSE),1,0)</f>
        <v>0</v>
      </c>
      <c r="E175">
        <f>IF(VLOOKUP(E$1,main!$A$3:$I$56,5,FALSE)-VLOOKUP($A175,main!$A$3:$I$56,6,FALSE)&gt;=VLOOKUP(58,main!$A$57:$I$61,4,FALSE)+VLOOKUP(VLOOKUP(E$1,main!$A$3:$I$56,7,FALSE),main!$K$10:$Q$14,6,FALSE),1,0)</f>
        <v>0</v>
      </c>
      <c r="F175">
        <f>IF(VLOOKUP(F$1,main!$A$3:$I$56,5,FALSE)-VLOOKUP($A175,main!$A$3:$I$56,6,FALSE)&gt;=VLOOKUP(58,main!$A$57:$I$61,4,FALSE)+VLOOKUP(VLOOKUP(F$1,main!$A$3:$I$56,7,FALSE),main!$K$10:$Q$14,6,FALSE),1,0)</f>
        <v>0</v>
      </c>
      <c r="G175">
        <f>IF(VLOOKUP(G$1,main!$A$3:$I$56,5,FALSE)-VLOOKUP($A175,main!$A$3:$I$56,6,FALSE)&gt;=VLOOKUP(58,main!$A$57:$I$61,4,FALSE)+VLOOKUP(VLOOKUP(G$1,main!$A$3:$I$56,7,FALSE),main!$K$10:$Q$14,6,FALSE),1,0)</f>
        <v>0</v>
      </c>
      <c r="H175">
        <f>IF(VLOOKUP(H$1,main!$A$3:$I$56,5,FALSE)-VLOOKUP($A175,main!$A$3:$I$56,6,FALSE)&gt;=VLOOKUP(58,main!$A$57:$I$61,4,FALSE)+VLOOKUP(VLOOKUP(H$1,main!$A$3:$I$56,7,FALSE),main!$K$10:$Q$14,6,FALSE),1,0)</f>
        <v>0</v>
      </c>
      <c r="I175">
        <f>IF(VLOOKUP(I$1,main!$A$3:$I$56,5,FALSE)-VLOOKUP($A175,main!$A$3:$I$56,6,FALSE)&gt;=VLOOKUP(58,main!$A$57:$I$61,4,FALSE)+VLOOKUP(VLOOKUP(I$1,main!$A$3:$I$56,7,FALSE),main!$K$10:$Q$14,6,FALSE),1,0)</f>
        <v>0</v>
      </c>
      <c r="J175">
        <f>IF(VLOOKUP(J$1,main!$A$3:$I$56,5,FALSE)-VLOOKUP($A175,main!$A$3:$I$56,6,FALSE)&gt;=VLOOKUP(58,main!$A$57:$I$61,4,FALSE)+VLOOKUP(VLOOKUP(J$1,main!$A$3:$I$56,7,FALSE),main!$K$10:$Q$14,6,FALSE),1,0)</f>
        <v>0</v>
      </c>
      <c r="K175">
        <f>IF(VLOOKUP(K$1,main!$A$3:$I$56,5,FALSE)-VLOOKUP($A175,main!$A$3:$I$56,6,FALSE)&gt;=VLOOKUP(58,main!$A$57:$I$61,4,FALSE)+VLOOKUP(VLOOKUP(K$1,main!$A$3:$I$56,7,FALSE),main!$K$10:$Q$14,6,FALSE),1,0)</f>
        <v>0</v>
      </c>
      <c r="L175">
        <f>IF(VLOOKUP(L$1,main!$A$3:$I$56,5,FALSE)-VLOOKUP($A175,main!$A$3:$I$56,6,FALSE)&gt;=VLOOKUP(58,main!$A$57:$I$61,4,FALSE)+VLOOKUP(VLOOKUP(L$1,main!$A$3:$I$56,7,FALSE),main!$K$10:$Q$14,6,FALSE),1,0)</f>
        <v>0</v>
      </c>
      <c r="M175">
        <f>IF(VLOOKUP(M$1,main!$A$3:$I$56,5,FALSE)-VLOOKUP($A175,main!$A$3:$I$56,6,FALSE)&gt;=VLOOKUP(58,main!$A$57:$I$61,4,FALSE)+VLOOKUP(VLOOKUP(M$1,main!$A$3:$I$56,7,FALSE),main!$K$10:$Q$14,6,FALSE),1,0)</f>
        <v>0</v>
      </c>
      <c r="N175">
        <f>IF(VLOOKUP(N$1,main!$A$3:$I$56,5,FALSE)-VLOOKUP($A175,main!$A$3:$I$56,6,FALSE)&gt;=VLOOKUP(58,main!$A$57:$I$61,4,FALSE)+VLOOKUP(VLOOKUP(N$1,main!$A$3:$I$56,7,FALSE),main!$K$10:$Q$14,6,FALSE),1,0)</f>
        <v>0</v>
      </c>
      <c r="O175">
        <f>IF(VLOOKUP(O$1,main!$A$3:$I$56,5,FALSE)-VLOOKUP($A175,main!$A$3:$I$56,6,FALSE)&gt;=VLOOKUP(58,main!$A$57:$I$61,4,FALSE)+VLOOKUP(VLOOKUP(O$1,main!$A$3:$I$56,7,FALSE),main!$K$10:$Q$14,6,FALSE),1,0)</f>
        <v>0</v>
      </c>
      <c r="P175">
        <f>IF(VLOOKUP(P$1,main!$A$3:$I$56,5,FALSE)-VLOOKUP($A175,main!$A$3:$I$56,6,FALSE)&gt;=VLOOKUP(58,main!$A$57:$I$61,4,FALSE)+VLOOKUP(VLOOKUP(P$1,main!$A$3:$I$56,7,FALSE),main!$K$10:$Q$14,6,FALSE),1,0)</f>
        <v>0</v>
      </c>
      <c r="Q175">
        <f>IF(VLOOKUP(Q$1,main!$A$3:$I$56,5,FALSE)-VLOOKUP($A175,main!$A$3:$I$56,6,FALSE)&gt;=VLOOKUP(58,main!$A$57:$I$61,4,FALSE)+VLOOKUP(VLOOKUP(Q$1,main!$A$3:$I$56,7,FALSE),main!$K$10:$Q$14,6,FALSE),1,0)</f>
        <v>0</v>
      </c>
      <c r="R175">
        <f>IF(VLOOKUP(R$1,main!$A$3:$I$56,5,FALSE)-VLOOKUP($A175,main!$A$3:$I$56,6,FALSE)&gt;=VLOOKUP(58,main!$A$57:$I$61,4,FALSE)+VLOOKUP(VLOOKUP(R$1,main!$A$3:$I$56,7,FALSE),main!$K$10:$Q$14,6,FALSE),1,0)</f>
        <v>0</v>
      </c>
      <c r="S175">
        <f>IF(VLOOKUP(S$1,main!$A$3:$I$56,5,FALSE)-VLOOKUP($A175,main!$A$3:$I$56,6,FALSE)&gt;=VLOOKUP(58,main!$A$57:$I$61,4,FALSE)+VLOOKUP(VLOOKUP(S$1,main!$A$3:$I$56,7,FALSE),main!$K$10:$Q$14,6,FALSE),1,0)</f>
        <v>0</v>
      </c>
      <c r="T175">
        <f>IF(VLOOKUP(T$1,main!$A$3:$I$56,5,FALSE)-VLOOKUP($A175,main!$A$3:$I$56,6,FALSE)&gt;=VLOOKUP(58,main!$A$57:$I$61,4,FALSE)+VLOOKUP(VLOOKUP(T$1,main!$A$3:$I$56,7,FALSE),main!$K$10:$Q$14,6,FALSE),1,0)</f>
        <v>0</v>
      </c>
      <c r="U175">
        <f>IF(VLOOKUP(U$1,main!$A$3:$I$56,5,FALSE)-VLOOKUP($A175,main!$A$3:$I$56,6,FALSE)&gt;=VLOOKUP(58,main!$A$57:$I$61,4,FALSE)+VLOOKUP(VLOOKUP(U$1,main!$A$3:$I$56,7,FALSE),main!$K$10:$Q$14,6,FALSE),1,0)</f>
        <v>0</v>
      </c>
      <c r="V175">
        <f>IF(VLOOKUP(V$1,main!$A$3:$I$56,5,FALSE)-VLOOKUP($A175,main!$A$3:$I$56,6,FALSE)&gt;=VLOOKUP(58,main!$A$57:$I$61,4,FALSE)+VLOOKUP(VLOOKUP(V$1,main!$A$3:$I$56,7,FALSE),main!$K$10:$Q$14,6,FALSE),1,0)</f>
        <v>0</v>
      </c>
      <c r="W175">
        <f>IF(VLOOKUP(W$1,main!$A$3:$I$56,5,FALSE)-VLOOKUP($A175,main!$A$3:$I$56,6,FALSE)&gt;=VLOOKUP(58,main!$A$57:$I$61,4,FALSE)+VLOOKUP(VLOOKUP(W$1,main!$A$3:$I$56,7,FALSE),main!$K$10:$Q$14,6,FALSE),1,0)</f>
        <v>0</v>
      </c>
      <c r="X175">
        <f>IF(VLOOKUP(X$1,main!$A$3:$I$56,5,FALSE)-VLOOKUP($A175,main!$A$3:$I$56,6,FALSE)&gt;=VLOOKUP(58,main!$A$57:$I$61,4,FALSE)+VLOOKUP(VLOOKUP(X$1,main!$A$3:$I$56,7,FALSE),main!$K$10:$Q$14,6,FALSE),1,0)</f>
        <v>0</v>
      </c>
      <c r="Y175">
        <f>IF(VLOOKUP(Y$1,main!$A$3:$I$56,5,FALSE)-VLOOKUP($A175,main!$A$3:$I$56,6,FALSE)&gt;=VLOOKUP(58,main!$A$57:$I$61,4,FALSE)+VLOOKUP(VLOOKUP(Y$1,main!$A$3:$I$56,7,FALSE),main!$K$10:$Q$14,6,FALSE),1,0)</f>
        <v>0</v>
      </c>
      <c r="Z175">
        <f>IF(VLOOKUP(Z$1,main!$A$3:$I$56,5,FALSE)-VLOOKUP($A175,main!$A$3:$I$56,6,FALSE)&gt;=VLOOKUP(58,main!$A$57:$I$61,4,FALSE)+VLOOKUP(VLOOKUP(Z$1,main!$A$3:$I$56,7,FALSE),main!$K$10:$Q$14,6,FALSE),1,0)</f>
        <v>0</v>
      </c>
      <c r="AA175">
        <f>IF(VLOOKUP(AA$1,main!$A$3:$I$56,5,FALSE)-VLOOKUP($A175,main!$A$3:$I$56,6,FALSE)&gt;=VLOOKUP(58,main!$A$57:$I$61,4,FALSE)+VLOOKUP(VLOOKUP(AA$1,main!$A$3:$I$56,7,FALSE),main!$K$10:$Q$14,6,FALSE),1,0)</f>
        <v>0</v>
      </c>
      <c r="AB175">
        <f>IF(VLOOKUP(AB$1,main!$A$3:$I$56,5,FALSE)-VLOOKUP($A175,main!$A$3:$I$56,6,FALSE)&gt;=VLOOKUP(58,main!$A$57:$I$61,4,FALSE)+VLOOKUP(VLOOKUP(AB$1,main!$A$3:$I$56,7,FALSE),main!$K$10:$Q$14,6,FALSE),1,0)</f>
        <v>0</v>
      </c>
      <c r="AC175">
        <f>IF(VLOOKUP(AC$1,main!$A$3:$I$56,5,FALSE)-VLOOKUP($A175,main!$A$3:$I$56,6,FALSE)&gt;=VLOOKUP(58,main!$A$57:$I$61,4,FALSE)+VLOOKUP(VLOOKUP(AC$1,main!$A$3:$I$56,7,FALSE),main!$K$10:$Q$14,6,FALSE),1,0)</f>
        <v>0</v>
      </c>
      <c r="AD175">
        <f>IF(VLOOKUP(AD$1,main!$A$3:$I$56,5,FALSE)-VLOOKUP($A175,main!$A$3:$I$56,6,FALSE)&gt;=VLOOKUP(58,main!$A$57:$I$61,4,FALSE)+VLOOKUP(VLOOKUP(AD$1,main!$A$3:$I$56,7,FALSE),main!$K$10:$Q$14,6,FALSE),1,0)</f>
        <v>0</v>
      </c>
      <c r="AE175">
        <f>IF(VLOOKUP(AE$1,main!$A$3:$I$56,5,FALSE)-VLOOKUP($A175,main!$A$3:$I$56,6,FALSE)&gt;=VLOOKUP(58,main!$A$57:$I$61,4,FALSE)+VLOOKUP(VLOOKUP(AE$1,main!$A$3:$I$56,7,FALSE),main!$K$10:$Q$14,6,FALSE),1,0)</f>
        <v>0</v>
      </c>
      <c r="AF175">
        <f>IF(VLOOKUP(AF$1,main!$A$3:$I$56,5,FALSE)-VLOOKUP($A175,main!$A$3:$I$56,6,FALSE)&gt;=VLOOKUP(58,main!$A$57:$I$61,4,FALSE)+VLOOKUP(VLOOKUP(AF$1,main!$A$3:$I$56,7,FALSE),main!$K$10:$Q$14,6,FALSE),1,0)</f>
        <v>0</v>
      </c>
      <c r="AG175">
        <f>IF(VLOOKUP(AG$1,main!$A$3:$I$56,5,FALSE)-VLOOKUP($A175,main!$A$3:$I$56,6,FALSE)&gt;=VLOOKUP(58,main!$A$57:$I$61,4,FALSE)+VLOOKUP(VLOOKUP(AG$1,main!$A$3:$I$56,7,FALSE),main!$K$10:$Q$14,6,FALSE),1,0)</f>
        <v>0</v>
      </c>
      <c r="AH175">
        <f>IF(VLOOKUP(AH$1,main!$A$3:$I$56,5,FALSE)-VLOOKUP($A175,main!$A$3:$I$56,6,FALSE)&gt;=VLOOKUP(58,main!$A$57:$I$61,4,FALSE)+VLOOKUP(VLOOKUP(AH$1,main!$A$3:$I$56,7,FALSE),main!$K$10:$Q$14,6,FALSE),1,0)</f>
        <v>0</v>
      </c>
      <c r="AI175">
        <f>IF(VLOOKUP(AI$1,main!$A$3:$I$56,5,FALSE)-VLOOKUP($A175,main!$A$3:$I$56,6,FALSE)&gt;=VLOOKUP(58,main!$A$57:$I$61,4,FALSE)+VLOOKUP(VLOOKUP(AI$1,main!$A$3:$I$56,7,FALSE),main!$K$10:$Q$14,6,FALSE),1,0)</f>
        <v>0</v>
      </c>
      <c r="AJ175">
        <f>IF(VLOOKUP(AJ$1,main!$A$3:$I$56,5,FALSE)-VLOOKUP($A175,main!$A$3:$I$56,6,FALSE)&gt;=VLOOKUP(58,main!$A$57:$I$61,4,FALSE)+VLOOKUP(VLOOKUP(AJ$1,main!$A$3:$I$56,7,FALSE),main!$K$10:$Q$14,6,FALSE),1,0)</f>
        <v>0</v>
      </c>
      <c r="AK175">
        <f>IF(VLOOKUP(AK$1,main!$A$3:$I$56,5,FALSE)-VLOOKUP($A175,main!$A$3:$I$56,6,FALSE)&gt;=VLOOKUP(58,main!$A$57:$I$61,4,FALSE)+VLOOKUP(VLOOKUP(AK$1,main!$A$3:$I$56,7,FALSE),main!$K$10:$Q$14,6,FALSE),1,0)</f>
        <v>0</v>
      </c>
      <c r="AL175">
        <f>IF(VLOOKUP(AL$1,main!$A$3:$I$56,5,FALSE)-VLOOKUP($A175,main!$A$3:$I$56,6,FALSE)&gt;=VLOOKUP(58,main!$A$57:$I$61,4,FALSE)+VLOOKUP(VLOOKUP(AL$1,main!$A$3:$I$56,7,FALSE),main!$K$10:$Q$14,6,FALSE),1,0)</f>
        <v>0</v>
      </c>
      <c r="AM175">
        <f>IF(VLOOKUP(AM$1,main!$A$3:$I$56,5,FALSE)-VLOOKUP($A175,main!$A$3:$I$56,6,FALSE)&gt;=VLOOKUP(58,main!$A$57:$I$61,4,FALSE)+VLOOKUP(VLOOKUP(AM$1,main!$A$3:$I$56,7,FALSE),main!$K$10:$Q$14,6,FALSE),1,0)</f>
        <v>0</v>
      </c>
      <c r="AN175">
        <f>IF(VLOOKUP(AN$1,main!$A$3:$I$56,5,FALSE)-VLOOKUP($A175,main!$A$3:$I$56,6,FALSE)&gt;=VLOOKUP(58,main!$A$57:$I$61,4,FALSE)+VLOOKUP(VLOOKUP(AN$1,main!$A$3:$I$56,7,FALSE),main!$K$10:$Q$14,6,FALSE),1,0)</f>
        <v>0</v>
      </c>
      <c r="AO175">
        <f>IF(VLOOKUP(AO$1,main!$A$3:$I$56,5,FALSE)-VLOOKUP($A175,main!$A$3:$I$56,6,FALSE)&gt;=VLOOKUP(58,main!$A$57:$I$61,4,FALSE)+VLOOKUP(VLOOKUP(AO$1,main!$A$3:$I$56,7,FALSE),main!$K$10:$Q$14,6,FALSE),1,0)</f>
        <v>0</v>
      </c>
      <c r="AP175">
        <f>IF(VLOOKUP(AP$1,main!$A$3:$I$56,5,FALSE)-VLOOKUP($A175,main!$A$3:$I$56,6,FALSE)&gt;=VLOOKUP(58,main!$A$57:$I$61,4,FALSE)+VLOOKUP(VLOOKUP(AP$1,main!$A$3:$I$56,7,FALSE),main!$K$10:$Q$14,6,FALSE),1,0)</f>
        <v>0</v>
      </c>
      <c r="AQ175">
        <f>IF(VLOOKUP(AQ$1,main!$A$3:$I$56,5,FALSE)-VLOOKUP($A175,main!$A$3:$I$56,6,FALSE)&gt;=VLOOKUP(58,main!$A$57:$I$61,4,FALSE)+VLOOKUP(VLOOKUP(AQ$1,main!$A$3:$I$56,7,FALSE),main!$K$10:$Q$14,6,FALSE),1,0)</f>
        <v>0</v>
      </c>
      <c r="AR175">
        <f>IF(VLOOKUP(AR$1,main!$A$3:$I$56,5,FALSE)-VLOOKUP($A175,main!$A$3:$I$56,6,FALSE)&gt;=VLOOKUP(58,main!$A$57:$I$61,4,FALSE)+VLOOKUP(VLOOKUP(AR$1,main!$A$3:$I$56,7,FALSE),main!$K$10:$Q$14,6,FALSE),1,0)</f>
        <v>0</v>
      </c>
      <c r="AS175">
        <f>IF(VLOOKUP(AS$1,main!$A$3:$I$56,5,FALSE)-VLOOKUP($A175,main!$A$3:$I$56,6,FALSE)&gt;=VLOOKUP(58,main!$A$57:$I$61,4,FALSE)+VLOOKUP(VLOOKUP(AS$1,main!$A$3:$I$56,7,FALSE),main!$K$10:$Q$14,6,FALSE),1,0)</f>
        <v>0</v>
      </c>
      <c r="AT175">
        <f>IF(VLOOKUP(AT$1,main!$A$3:$I$56,5,FALSE)-VLOOKUP($A175,main!$A$3:$I$56,6,FALSE)&gt;=VLOOKUP(58,main!$A$57:$I$61,4,FALSE)+VLOOKUP(VLOOKUP(AT$1,main!$A$3:$I$56,7,FALSE),main!$K$10:$Q$14,6,FALSE),1,0)</f>
        <v>0</v>
      </c>
      <c r="AU175">
        <f>IF(VLOOKUP(AU$1,main!$A$3:$I$56,5,FALSE)-VLOOKUP($A175,main!$A$3:$I$56,6,FALSE)&gt;=VLOOKUP(58,main!$A$57:$I$61,4,FALSE)+VLOOKUP(VLOOKUP(AU$1,main!$A$3:$I$56,7,FALSE),main!$K$10:$Q$14,6,FALSE),1,0)</f>
        <v>0</v>
      </c>
      <c r="AV175">
        <f>IF(VLOOKUP(AV$1,main!$A$3:$I$56,5,FALSE)-VLOOKUP($A175,main!$A$3:$I$56,6,FALSE)&gt;=VLOOKUP(58,main!$A$57:$I$61,4,FALSE)+VLOOKUP(VLOOKUP(AV$1,main!$A$3:$I$56,7,FALSE),main!$K$10:$Q$14,6,FALSE),1,0)</f>
        <v>0</v>
      </c>
      <c r="AW175">
        <f>IF(VLOOKUP(AW$1,main!$A$3:$I$56,5,FALSE)-VLOOKUP($A175,main!$A$3:$I$56,6,FALSE)&gt;=VLOOKUP(58,main!$A$57:$I$61,4,FALSE)+VLOOKUP(VLOOKUP(AW$1,main!$A$3:$I$56,7,FALSE),main!$K$10:$Q$14,6,FALSE),1,0)</f>
        <v>0</v>
      </c>
      <c r="AX175">
        <f>IF(VLOOKUP(AX$1,main!$A$3:$I$56,5,FALSE)-VLOOKUP($A175,main!$A$3:$I$56,6,FALSE)&gt;=VLOOKUP(58,main!$A$57:$I$61,4,FALSE)+VLOOKUP(VLOOKUP(AX$1,main!$A$3:$I$56,7,FALSE),main!$K$10:$Q$14,6,FALSE),1,0)</f>
        <v>0</v>
      </c>
      <c r="AY175">
        <f>IF(VLOOKUP(AY$1,main!$A$3:$I$56,5,FALSE)-VLOOKUP($A175,main!$A$3:$I$56,6,FALSE)&gt;=VLOOKUP(58,main!$A$57:$I$61,4,FALSE)+VLOOKUP(VLOOKUP(AY$1,main!$A$3:$I$56,7,FALSE),main!$K$10:$Q$14,6,FALSE),1,0)</f>
        <v>0</v>
      </c>
      <c r="AZ175">
        <f>IF(VLOOKUP(AZ$1,main!$A$3:$I$56,5,FALSE)-VLOOKUP($A175,main!$A$3:$I$56,6,FALSE)&gt;=VLOOKUP(58,main!$A$57:$I$61,4,FALSE)+VLOOKUP(VLOOKUP(AZ$1,main!$A$3:$I$56,7,FALSE),main!$K$10:$Q$14,6,FALSE),1,0)</f>
        <v>0</v>
      </c>
      <c r="BA175">
        <f>IF(VLOOKUP(BA$1,main!$A$3:$I$56,5,FALSE)-VLOOKUP($A175,main!$A$3:$I$56,6,FALSE)&gt;=VLOOKUP(58,main!$A$57:$I$61,4,FALSE)+VLOOKUP(VLOOKUP(BA$1,main!$A$3:$I$56,7,FALSE),main!$K$10:$Q$14,6,FALSE),1,0)</f>
        <v>0</v>
      </c>
      <c r="BB175">
        <f>IF(VLOOKUP(BB$1,main!$A$3:$I$56,5,FALSE)-VLOOKUP($A175,main!$A$3:$I$56,6,FALSE)&gt;=VLOOKUP(58,main!$A$57:$I$61,4,FALSE)+VLOOKUP(VLOOKUP(BB$1,main!$A$3:$I$56,7,FALSE),main!$K$10:$Q$14,6,FALSE),1,0)</f>
        <v>0</v>
      </c>
      <c r="BC175">
        <f>IF(VLOOKUP(BC$1,main!$A$3:$I$56,5,FALSE)-VLOOKUP($A175,main!$A$3:$I$56,6,FALSE)&gt;=VLOOKUP(58,main!$A$57:$I$61,4,FALSE)+VLOOKUP(VLOOKUP(BC$1,main!$A$3:$I$56,7,FALSE),main!$K$10:$Q$14,6,FALSE),1,0)</f>
        <v>0</v>
      </c>
      <c r="BD175">
        <f>IF(VLOOKUP(BD$1,main!$A$3:$I$56,5,FALSE)-VLOOKUP($A175,main!$A$3:$I$56,6,FALSE)&gt;=VLOOKUP(58,main!$A$57:$I$61,4,FALSE)+VLOOKUP(VLOOKUP(BD$1,main!$A$3:$I$56,7,FALSE),main!$K$10:$Q$14,6,FALSE),1,0)</f>
        <v>0</v>
      </c>
    </row>
    <row r="176" spans="1:56" x14ac:dyDescent="0.25">
      <c r="A176">
        <f t="shared" si="3"/>
        <v>9</v>
      </c>
      <c r="B176">
        <v>0</v>
      </c>
      <c r="C176">
        <f>IF(VLOOKUP(C$1,main!$A$3:$I$56,5,FALSE)-VLOOKUP($A176,main!$A$3:$I$56,6,FALSE)&gt;=VLOOKUP(58,main!$A$57:$I$61,4,FALSE)+VLOOKUP(VLOOKUP(C$1,main!$A$3:$I$56,7,FALSE),main!$K$10:$Q$14,6,FALSE),1,0)</f>
        <v>0</v>
      </c>
      <c r="D176">
        <f>IF(VLOOKUP(D$1,main!$A$3:$I$56,5,FALSE)-VLOOKUP($A176,main!$A$3:$I$56,6,FALSE)&gt;=VLOOKUP(58,main!$A$57:$I$61,4,FALSE)+VLOOKUP(VLOOKUP(D$1,main!$A$3:$I$56,7,FALSE),main!$K$10:$Q$14,6,FALSE),1,0)</f>
        <v>0</v>
      </c>
      <c r="E176">
        <f>IF(VLOOKUP(E$1,main!$A$3:$I$56,5,FALSE)-VLOOKUP($A176,main!$A$3:$I$56,6,FALSE)&gt;=VLOOKUP(58,main!$A$57:$I$61,4,FALSE)+VLOOKUP(VLOOKUP(E$1,main!$A$3:$I$56,7,FALSE),main!$K$10:$Q$14,6,FALSE),1,0)</f>
        <v>0</v>
      </c>
      <c r="F176">
        <f>IF(VLOOKUP(F$1,main!$A$3:$I$56,5,FALSE)-VLOOKUP($A176,main!$A$3:$I$56,6,FALSE)&gt;=VLOOKUP(58,main!$A$57:$I$61,4,FALSE)+VLOOKUP(VLOOKUP(F$1,main!$A$3:$I$56,7,FALSE),main!$K$10:$Q$14,6,FALSE),1,0)</f>
        <v>1</v>
      </c>
      <c r="G176">
        <f>IF(VLOOKUP(G$1,main!$A$3:$I$56,5,FALSE)-VLOOKUP($A176,main!$A$3:$I$56,6,FALSE)&gt;=VLOOKUP(58,main!$A$57:$I$61,4,FALSE)+VLOOKUP(VLOOKUP(G$1,main!$A$3:$I$56,7,FALSE),main!$K$10:$Q$14,6,FALSE),1,0)</f>
        <v>1</v>
      </c>
      <c r="H176">
        <f>IF(VLOOKUP(H$1,main!$A$3:$I$56,5,FALSE)-VLOOKUP($A176,main!$A$3:$I$56,6,FALSE)&gt;=VLOOKUP(58,main!$A$57:$I$61,4,FALSE)+VLOOKUP(VLOOKUP(H$1,main!$A$3:$I$56,7,FALSE),main!$K$10:$Q$14,6,FALSE),1,0)</f>
        <v>1</v>
      </c>
      <c r="I176">
        <f>IF(VLOOKUP(I$1,main!$A$3:$I$56,5,FALSE)-VLOOKUP($A176,main!$A$3:$I$56,6,FALSE)&gt;=VLOOKUP(58,main!$A$57:$I$61,4,FALSE)+VLOOKUP(VLOOKUP(I$1,main!$A$3:$I$56,7,FALSE),main!$K$10:$Q$14,6,FALSE),1,0)</f>
        <v>1</v>
      </c>
      <c r="J176">
        <f>IF(VLOOKUP(J$1,main!$A$3:$I$56,5,FALSE)-VLOOKUP($A176,main!$A$3:$I$56,6,FALSE)&gt;=VLOOKUP(58,main!$A$57:$I$61,4,FALSE)+VLOOKUP(VLOOKUP(J$1,main!$A$3:$I$56,7,FALSE),main!$K$10:$Q$14,6,FALSE),1,0)</f>
        <v>1</v>
      </c>
      <c r="K176">
        <f>IF(VLOOKUP(K$1,main!$A$3:$I$56,5,FALSE)-VLOOKUP($A176,main!$A$3:$I$56,6,FALSE)&gt;=VLOOKUP(58,main!$A$57:$I$61,4,FALSE)+VLOOKUP(VLOOKUP(K$1,main!$A$3:$I$56,7,FALSE),main!$K$10:$Q$14,6,FALSE),1,0)</f>
        <v>0</v>
      </c>
      <c r="L176">
        <f>IF(VLOOKUP(L$1,main!$A$3:$I$56,5,FALSE)-VLOOKUP($A176,main!$A$3:$I$56,6,FALSE)&gt;=VLOOKUP(58,main!$A$57:$I$61,4,FALSE)+VLOOKUP(VLOOKUP(L$1,main!$A$3:$I$56,7,FALSE),main!$K$10:$Q$14,6,FALSE),1,0)</f>
        <v>0</v>
      </c>
      <c r="M176">
        <f>IF(VLOOKUP(M$1,main!$A$3:$I$56,5,FALSE)-VLOOKUP($A176,main!$A$3:$I$56,6,FALSE)&gt;=VLOOKUP(58,main!$A$57:$I$61,4,FALSE)+VLOOKUP(VLOOKUP(M$1,main!$A$3:$I$56,7,FALSE),main!$K$10:$Q$14,6,FALSE),1,0)</f>
        <v>0</v>
      </c>
      <c r="N176">
        <f>IF(VLOOKUP(N$1,main!$A$3:$I$56,5,FALSE)-VLOOKUP($A176,main!$A$3:$I$56,6,FALSE)&gt;=VLOOKUP(58,main!$A$57:$I$61,4,FALSE)+VLOOKUP(VLOOKUP(N$1,main!$A$3:$I$56,7,FALSE),main!$K$10:$Q$14,6,FALSE),1,0)</f>
        <v>1</v>
      </c>
      <c r="O176">
        <f>IF(VLOOKUP(O$1,main!$A$3:$I$56,5,FALSE)-VLOOKUP($A176,main!$A$3:$I$56,6,FALSE)&gt;=VLOOKUP(58,main!$A$57:$I$61,4,FALSE)+VLOOKUP(VLOOKUP(O$1,main!$A$3:$I$56,7,FALSE),main!$K$10:$Q$14,6,FALSE),1,0)</f>
        <v>1</v>
      </c>
      <c r="P176">
        <f>IF(VLOOKUP(P$1,main!$A$3:$I$56,5,FALSE)-VLOOKUP($A176,main!$A$3:$I$56,6,FALSE)&gt;=VLOOKUP(58,main!$A$57:$I$61,4,FALSE)+VLOOKUP(VLOOKUP(P$1,main!$A$3:$I$56,7,FALSE),main!$K$10:$Q$14,6,FALSE),1,0)</f>
        <v>0</v>
      </c>
      <c r="Q176">
        <f>IF(VLOOKUP(Q$1,main!$A$3:$I$56,5,FALSE)-VLOOKUP($A176,main!$A$3:$I$56,6,FALSE)&gt;=VLOOKUP(58,main!$A$57:$I$61,4,FALSE)+VLOOKUP(VLOOKUP(Q$1,main!$A$3:$I$56,7,FALSE),main!$K$10:$Q$14,6,FALSE),1,0)</f>
        <v>0</v>
      </c>
      <c r="R176">
        <f>IF(VLOOKUP(R$1,main!$A$3:$I$56,5,FALSE)-VLOOKUP($A176,main!$A$3:$I$56,6,FALSE)&gt;=VLOOKUP(58,main!$A$57:$I$61,4,FALSE)+VLOOKUP(VLOOKUP(R$1,main!$A$3:$I$56,7,FALSE),main!$K$10:$Q$14,6,FALSE),1,0)</f>
        <v>0</v>
      </c>
      <c r="S176">
        <f>IF(VLOOKUP(S$1,main!$A$3:$I$56,5,FALSE)-VLOOKUP($A176,main!$A$3:$I$56,6,FALSE)&gt;=VLOOKUP(58,main!$A$57:$I$61,4,FALSE)+VLOOKUP(VLOOKUP(S$1,main!$A$3:$I$56,7,FALSE),main!$K$10:$Q$14,6,FALSE),1,0)</f>
        <v>1</v>
      </c>
      <c r="T176">
        <f>IF(VLOOKUP(T$1,main!$A$3:$I$56,5,FALSE)-VLOOKUP($A176,main!$A$3:$I$56,6,FALSE)&gt;=VLOOKUP(58,main!$A$57:$I$61,4,FALSE)+VLOOKUP(VLOOKUP(T$1,main!$A$3:$I$56,7,FALSE),main!$K$10:$Q$14,6,FALSE),1,0)</f>
        <v>1</v>
      </c>
      <c r="U176">
        <f>IF(VLOOKUP(U$1,main!$A$3:$I$56,5,FALSE)-VLOOKUP($A176,main!$A$3:$I$56,6,FALSE)&gt;=VLOOKUP(58,main!$A$57:$I$61,4,FALSE)+VLOOKUP(VLOOKUP(U$1,main!$A$3:$I$56,7,FALSE),main!$K$10:$Q$14,6,FALSE),1,0)</f>
        <v>0</v>
      </c>
      <c r="V176">
        <f>IF(VLOOKUP(V$1,main!$A$3:$I$56,5,FALSE)-VLOOKUP($A176,main!$A$3:$I$56,6,FALSE)&gt;=VLOOKUP(58,main!$A$57:$I$61,4,FALSE)+VLOOKUP(VLOOKUP(V$1,main!$A$3:$I$56,7,FALSE),main!$K$10:$Q$14,6,FALSE),1,0)</f>
        <v>0</v>
      </c>
      <c r="W176">
        <f>IF(VLOOKUP(W$1,main!$A$3:$I$56,5,FALSE)-VLOOKUP($A176,main!$A$3:$I$56,6,FALSE)&gt;=VLOOKUP(58,main!$A$57:$I$61,4,FALSE)+VLOOKUP(VLOOKUP(W$1,main!$A$3:$I$56,7,FALSE),main!$K$10:$Q$14,6,FALSE),1,0)</f>
        <v>0</v>
      </c>
      <c r="X176">
        <f>IF(VLOOKUP(X$1,main!$A$3:$I$56,5,FALSE)-VLOOKUP($A176,main!$A$3:$I$56,6,FALSE)&gt;=VLOOKUP(58,main!$A$57:$I$61,4,FALSE)+VLOOKUP(VLOOKUP(X$1,main!$A$3:$I$56,7,FALSE),main!$K$10:$Q$14,6,FALSE),1,0)</f>
        <v>0</v>
      </c>
      <c r="Y176">
        <f>IF(VLOOKUP(Y$1,main!$A$3:$I$56,5,FALSE)-VLOOKUP($A176,main!$A$3:$I$56,6,FALSE)&gt;=VLOOKUP(58,main!$A$57:$I$61,4,FALSE)+VLOOKUP(VLOOKUP(Y$1,main!$A$3:$I$56,7,FALSE),main!$K$10:$Q$14,6,FALSE),1,0)</f>
        <v>1</v>
      </c>
      <c r="Z176">
        <f>IF(VLOOKUP(Z$1,main!$A$3:$I$56,5,FALSE)-VLOOKUP($A176,main!$A$3:$I$56,6,FALSE)&gt;=VLOOKUP(58,main!$A$57:$I$61,4,FALSE)+VLOOKUP(VLOOKUP(Z$1,main!$A$3:$I$56,7,FALSE),main!$K$10:$Q$14,6,FALSE),1,0)</f>
        <v>1</v>
      </c>
      <c r="AA176">
        <f>IF(VLOOKUP(AA$1,main!$A$3:$I$56,5,FALSE)-VLOOKUP($A176,main!$A$3:$I$56,6,FALSE)&gt;=VLOOKUP(58,main!$A$57:$I$61,4,FALSE)+VLOOKUP(VLOOKUP(AA$1,main!$A$3:$I$56,7,FALSE),main!$K$10:$Q$14,6,FALSE),1,0)</f>
        <v>1</v>
      </c>
      <c r="AB176">
        <f>IF(VLOOKUP(AB$1,main!$A$3:$I$56,5,FALSE)-VLOOKUP($A176,main!$A$3:$I$56,6,FALSE)&gt;=VLOOKUP(58,main!$A$57:$I$61,4,FALSE)+VLOOKUP(VLOOKUP(AB$1,main!$A$3:$I$56,7,FALSE),main!$K$10:$Q$14,6,FALSE),1,0)</f>
        <v>1</v>
      </c>
      <c r="AC176">
        <f>IF(VLOOKUP(AC$1,main!$A$3:$I$56,5,FALSE)-VLOOKUP($A176,main!$A$3:$I$56,6,FALSE)&gt;=VLOOKUP(58,main!$A$57:$I$61,4,FALSE)+VLOOKUP(VLOOKUP(AC$1,main!$A$3:$I$56,7,FALSE),main!$K$10:$Q$14,6,FALSE),1,0)</f>
        <v>0</v>
      </c>
      <c r="AD176">
        <f>IF(VLOOKUP(AD$1,main!$A$3:$I$56,5,FALSE)-VLOOKUP($A176,main!$A$3:$I$56,6,FALSE)&gt;=VLOOKUP(58,main!$A$57:$I$61,4,FALSE)+VLOOKUP(VLOOKUP(AD$1,main!$A$3:$I$56,7,FALSE),main!$K$10:$Q$14,6,FALSE),1,0)</f>
        <v>0</v>
      </c>
      <c r="AE176">
        <f>IF(VLOOKUP(AE$1,main!$A$3:$I$56,5,FALSE)-VLOOKUP($A176,main!$A$3:$I$56,6,FALSE)&gt;=VLOOKUP(58,main!$A$57:$I$61,4,FALSE)+VLOOKUP(VLOOKUP(AE$1,main!$A$3:$I$56,7,FALSE),main!$K$10:$Q$14,6,FALSE),1,0)</f>
        <v>0</v>
      </c>
      <c r="AF176">
        <f>IF(VLOOKUP(AF$1,main!$A$3:$I$56,5,FALSE)-VLOOKUP($A176,main!$A$3:$I$56,6,FALSE)&gt;=VLOOKUP(58,main!$A$57:$I$61,4,FALSE)+VLOOKUP(VLOOKUP(AF$1,main!$A$3:$I$56,7,FALSE),main!$K$10:$Q$14,6,FALSE),1,0)</f>
        <v>1</v>
      </c>
      <c r="AG176">
        <f>IF(VLOOKUP(AG$1,main!$A$3:$I$56,5,FALSE)-VLOOKUP($A176,main!$A$3:$I$56,6,FALSE)&gt;=VLOOKUP(58,main!$A$57:$I$61,4,FALSE)+VLOOKUP(VLOOKUP(AG$1,main!$A$3:$I$56,7,FALSE),main!$K$10:$Q$14,6,FALSE),1,0)</f>
        <v>0</v>
      </c>
      <c r="AH176">
        <f>IF(VLOOKUP(AH$1,main!$A$3:$I$56,5,FALSE)-VLOOKUP($A176,main!$A$3:$I$56,6,FALSE)&gt;=VLOOKUP(58,main!$A$57:$I$61,4,FALSE)+VLOOKUP(VLOOKUP(AH$1,main!$A$3:$I$56,7,FALSE),main!$K$10:$Q$14,6,FALSE),1,0)</f>
        <v>0</v>
      </c>
      <c r="AI176">
        <f>IF(VLOOKUP(AI$1,main!$A$3:$I$56,5,FALSE)-VLOOKUP($A176,main!$A$3:$I$56,6,FALSE)&gt;=VLOOKUP(58,main!$A$57:$I$61,4,FALSE)+VLOOKUP(VLOOKUP(AI$1,main!$A$3:$I$56,7,FALSE),main!$K$10:$Q$14,6,FALSE),1,0)</f>
        <v>1</v>
      </c>
      <c r="AJ176">
        <f>IF(VLOOKUP(AJ$1,main!$A$3:$I$56,5,FALSE)-VLOOKUP($A176,main!$A$3:$I$56,6,FALSE)&gt;=VLOOKUP(58,main!$A$57:$I$61,4,FALSE)+VLOOKUP(VLOOKUP(AJ$1,main!$A$3:$I$56,7,FALSE),main!$K$10:$Q$14,6,FALSE),1,0)</f>
        <v>1</v>
      </c>
      <c r="AK176">
        <f>IF(VLOOKUP(AK$1,main!$A$3:$I$56,5,FALSE)-VLOOKUP($A176,main!$A$3:$I$56,6,FALSE)&gt;=VLOOKUP(58,main!$A$57:$I$61,4,FALSE)+VLOOKUP(VLOOKUP(AK$1,main!$A$3:$I$56,7,FALSE),main!$K$10:$Q$14,6,FALSE),1,0)</f>
        <v>1</v>
      </c>
      <c r="AL176">
        <f>IF(VLOOKUP(AL$1,main!$A$3:$I$56,5,FALSE)-VLOOKUP($A176,main!$A$3:$I$56,6,FALSE)&gt;=VLOOKUP(58,main!$A$57:$I$61,4,FALSE)+VLOOKUP(VLOOKUP(AL$1,main!$A$3:$I$56,7,FALSE),main!$K$10:$Q$14,6,FALSE),1,0)</f>
        <v>0</v>
      </c>
      <c r="AM176">
        <f>IF(VLOOKUP(AM$1,main!$A$3:$I$56,5,FALSE)-VLOOKUP($A176,main!$A$3:$I$56,6,FALSE)&gt;=VLOOKUP(58,main!$A$57:$I$61,4,FALSE)+VLOOKUP(VLOOKUP(AM$1,main!$A$3:$I$56,7,FALSE),main!$K$10:$Q$14,6,FALSE),1,0)</f>
        <v>0</v>
      </c>
      <c r="AN176">
        <f>IF(VLOOKUP(AN$1,main!$A$3:$I$56,5,FALSE)-VLOOKUP($A176,main!$A$3:$I$56,6,FALSE)&gt;=VLOOKUP(58,main!$A$57:$I$61,4,FALSE)+VLOOKUP(VLOOKUP(AN$1,main!$A$3:$I$56,7,FALSE),main!$K$10:$Q$14,6,FALSE),1,0)</f>
        <v>1</v>
      </c>
      <c r="AO176">
        <f>IF(VLOOKUP(AO$1,main!$A$3:$I$56,5,FALSE)-VLOOKUP($A176,main!$A$3:$I$56,6,FALSE)&gt;=VLOOKUP(58,main!$A$57:$I$61,4,FALSE)+VLOOKUP(VLOOKUP(AO$1,main!$A$3:$I$56,7,FALSE),main!$K$10:$Q$14,6,FALSE),1,0)</f>
        <v>1</v>
      </c>
      <c r="AP176">
        <f>IF(VLOOKUP(AP$1,main!$A$3:$I$56,5,FALSE)-VLOOKUP($A176,main!$A$3:$I$56,6,FALSE)&gt;=VLOOKUP(58,main!$A$57:$I$61,4,FALSE)+VLOOKUP(VLOOKUP(AP$1,main!$A$3:$I$56,7,FALSE),main!$K$10:$Q$14,6,FALSE),1,0)</f>
        <v>0</v>
      </c>
      <c r="AQ176">
        <f>IF(VLOOKUP(AQ$1,main!$A$3:$I$56,5,FALSE)-VLOOKUP($A176,main!$A$3:$I$56,6,FALSE)&gt;=VLOOKUP(58,main!$A$57:$I$61,4,FALSE)+VLOOKUP(VLOOKUP(AQ$1,main!$A$3:$I$56,7,FALSE),main!$K$10:$Q$14,6,FALSE),1,0)</f>
        <v>0</v>
      </c>
      <c r="AR176">
        <f>IF(VLOOKUP(AR$1,main!$A$3:$I$56,5,FALSE)-VLOOKUP($A176,main!$A$3:$I$56,6,FALSE)&gt;=VLOOKUP(58,main!$A$57:$I$61,4,FALSE)+VLOOKUP(VLOOKUP(AR$1,main!$A$3:$I$56,7,FALSE),main!$K$10:$Q$14,6,FALSE),1,0)</f>
        <v>0</v>
      </c>
      <c r="AS176">
        <f>IF(VLOOKUP(AS$1,main!$A$3:$I$56,5,FALSE)-VLOOKUP($A176,main!$A$3:$I$56,6,FALSE)&gt;=VLOOKUP(58,main!$A$57:$I$61,4,FALSE)+VLOOKUP(VLOOKUP(AS$1,main!$A$3:$I$56,7,FALSE),main!$K$10:$Q$14,6,FALSE),1,0)</f>
        <v>1</v>
      </c>
      <c r="AT176">
        <f>IF(VLOOKUP(AT$1,main!$A$3:$I$56,5,FALSE)-VLOOKUP($A176,main!$A$3:$I$56,6,FALSE)&gt;=VLOOKUP(58,main!$A$57:$I$61,4,FALSE)+VLOOKUP(VLOOKUP(AT$1,main!$A$3:$I$56,7,FALSE),main!$K$10:$Q$14,6,FALSE),1,0)</f>
        <v>1</v>
      </c>
      <c r="AU176">
        <f>IF(VLOOKUP(AU$1,main!$A$3:$I$56,5,FALSE)-VLOOKUP($A176,main!$A$3:$I$56,6,FALSE)&gt;=VLOOKUP(58,main!$A$57:$I$61,4,FALSE)+VLOOKUP(VLOOKUP(AU$1,main!$A$3:$I$56,7,FALSE),main!$K$10:$Q$14,6,FALSE),1,0)</f>
        <v>0</v>
      </c>
      <c r="AV176">
        <f>IF(VLOOKUP(AV$1,main!$A$3:$I$56,5,FALSE)-VLOOKUP($A176,main!$A$3:$I$56,6,FALSE)&gt;=VLOOKUP(58,main!$A$57:$I$61,4,FALSE)+VLOOKUP(VLOOKUP(AV$1,main!$A$3:$I$56,7,FALSE),main!$K$10:$Q$14,6,FALSE),1,0)</f>
        <v>0</v>
      </c>
      <c r="AW176">
        <f>IF(VLOOKUP(AW$1,main!$A$3:$I$56,5,FALSE)-VLOOKUP($A176,main!$A$3:$I$56,6,FALSE)&gt;=VLOOKUP(58,main!$A$57:$I$61,4,FALSE)+VLOOKUP(VLOOKUP(AW$1,main!$A$3:$I$56,7,FALSE),main!$K$10:$Q$14,6,FALSE),1,0)</f>
        <v>0</v>
      </c>
      <c r="AX176">
        <f>IF(VLOOKUP(AX$1,main!$A$3:$I$56,5,FALSE)-VLOOKUP($A176,main!$A$3:$I$56,6,FALSE)&gt;=VLOOKUP(58,main!$A$57:$I$61,4,FALSE)+VLOOKUP(VLOOKUP(AX$1,main!$A$3:$I$56,7,FALSE),main!$K$10:$Q$14,6,FALSE),1,0)</f>
        <v>0</v>
      </c>
      <c r="AY176">
        <f>IF(VLOOKUP(AY$1,main!$A$3:$I$56,5,FALSE)-VLOOKUP($A176,main!$A$3:$I$56,6,FALSE)&gt;=VLOOKUP(58,main!$A$57:$I$61,4,FALSE)+VLOOKUP(VLOOKUP(AY$1,main!$A$3:$I$56,7,FALSE),main!$K$10:$Q$14,6,FALSE),1,0)</f>
        <v>1</v>
      </c>
      <c r="AZ176">
        <f>IF(VLOOKUP(AZ$1,main!$A$3:$I$56,5,FALSE)-VLOOKUP($A176,main!$A$3:$I$56,6,FALSE)&gt;=VLOOKUP(58,main!$A$57:$I$61,4,FALSE)+VLOOKUP(VLOOKUP(AZ$1,main!$A$3:$I$56,7,FALSE),main!$K$10:$Q$14,6,FALSE),1,0)</f>
        <v>0</v>
      </c>
      <c r="BA176">
        <f>IF(VLOOKUP(BA$1,main!$A$3:$I$56,5,FALSE)-VLOOKUP($A176,main!$A$3:$I$56,6,FALSE)&gt;=VLOOKUP(58,main!$A$57:$I$61,4,FALSE)+VLOOKUP(VLOOKUP(BA$1,main!$A$3:$I$56,7,FALSE),main!$K$10:$Q$14,6,FALSE),1,0)</f>
        <v>0</v>
      </c>
      <c r="BB176">
        <f>IF(VLOOKUP(BB$1,main!$A$3:$I$56,5,FALSE)-VLOOKUP($A176,main!$A$3:$I$56,6,FALSE)&gt;=VLOOKUP(58,main!$A$57:$I$61,4,FALSE)+VLOOKUP(VLOOKUP(BB$1,main!$A$3:$I$56,7,FALSE),main!$K$10:$Q$14,6,FALSE),1,0)</f>
        <v>0</v>
      </c>
      <c r="BC176">
        <f>IF(VLOOKUP(BC$1,main!$A$3:$I$56,5,FALSE)-VLOOKUP($A176,main!$A$3:$I$56,6,FALSE)&gt;=VLOOKUP(58,main!$A$57:$I$61,4,FALSE)+VLOOKUP(VLOOKUP(BC$1,main!$A$3:$I$56,7,FALSE),main!$K$10:$Q$14,6,FALSE),1,0)</f>
        <v>0</v>
      </c>
      <c r="BD176">
        <f>IF(VLOOKUP(BD$1,main!$A$3:$I$56,5,FALSE)-VLOOKUP($A176,main!$A$3:$I$56,6,FALSE)&gt;=VLOOKUP(58,main!$A$57:$I$61,4,FALSE)+VLOOKUP(VLOOKUP(BD$1,main!$A$3:$I$56,7,FALSE),main!$K$10:$Q$14,6,FALSE),1,0)</f>
        <v>0</v>
      </c>
    </row>
    <row r="177" spans="1:56" x14ac:dyDescent="0.25">
      <c r="A177">
        <f t="shared" si="3"/>
        <v>10</v>
      </c>
      <c r="B177">
        <v>0</v>
      </c>
      <c r="C177">
        <f>IF(VLOOKUP(C$1,main!$A$3:$I$56,5,FALSE)-VLOOKUP($A177,main!$A$3:$I$56,6,FALSE)&gt;=VLOOKUP(58,main!$A$57:$I$61,4,FALSE)+VLOOKUP(VLOOKUP(C$1,main!$A$3:$I$56,7,FALSE),main!$K$10:$Q$14,6,FALSE),1,0)</f>
        <v>0</v>
      </c>
      <c r="D177">
        <f>IF(VLOOKUP(D$1,main!$A$3:$I$56,5,FALSE)-VLOOKUP($A177,main!$A$3:$I$56,6,FALSE)&gt;=VLOOKUP(58,main!$A$57:$I$61,4,FALSE)+VLOOKUP(VLOOKUP(D$1,main!$A$3:$I$56,7,FALSE),main!$K$10:$Q$14,6,FALSE),1,0)</f>
        <v>0</v>
      </c>
      <c r="E177">
        <f>IF(VLOOKUP(E$1,main!$A$3:$I$56,5,FALSE)-VLOOKUP($A177,main!$A$3:$I$56,6,FALSE)&gt;=VLOOKUP(58,main!$A$57:$I$61,4,FALSE)+VLOOKUP(VLOOKUP(E$1,main!$A$3:$I$56,7,FALSE),main!$K$10:$Q$14,6,FALSE),1,0)</f>
        <v>0</v>
      </c>
      <c r="F177">
        <f>IF(VLOOKUP(F$1,main!$A$3:$I$56,5,FALSE)-VLOOKUP($A177,main!$A$3:$I$56,6,FALSE)&gt;=VLOOKUP(58,main!$A$57:$I$61,4,FALSE)+VLOOKUP(VLOOKUP(F$1,main!$A$3:$I$56,7,FALSE),main!$K$10:$Q$14,6,FALSE),1,0)</f>
        <v>0</v>
      </c>
      <c r="G177">
        <f>IF(VLOOKUP(G$1,main!$A$3:$I$56,5,FALSE)-VLOOKUP($A177,main!$A$3:$I$56,6,FALSE)&gt;=VLOOKUP(58,main!$A$57:$I$61,4,FALSE)+VLOOKUP(VLOOKUP(G$1,main!$A$3:$I$56,7,FALSE),main!$K$10:$Q$14,6,FALSE),1,0)</f>
        <v>0</v>
      </c>
      <c r="H177">
        <f>IF(VLOOKUP(H$1,main!$A$3:$I$56,5,FALSE)-VLOOKUP($A177,main!$A$3:$I$56,6,FALSE)&gt;=VLOOKUP(58,main!$A$57:$I$61,4,FALSE)+VLOOKUP(VLOOKUP(H$1,main!$A$3:$I$56,7,FALSE),main!$K$10:$Q$14,6,FALSE),1,0)</f>
        <v>1</v>
      </c>
      <c r="I177">
        <f>IF(VLOOKUP(I$1,main!$A$3:$I$56,5,FALSE)-VLOOKUP($A177,main!$A$3:$I$56,6,FALSE)&gt;=VLOOKUP(58,main!$A$57:$I$61,4,FALSE)+VLOOKUP(VLOOKUP(I$1,main!$A$3:$I$56,7,FALSE),main!$K$10:$Q$14,6,FALSE),1,0)</f>
        <v>1</v>
      </c>
      <c r="J177">
        <f>IF(VLOOKUP(J$1,main!$A$3:$I$56,5,FALSE)-VLOOKUP($A177,main!$A$3:$I$56,6,FALSE)&gt;=VLOOKUP(58,main!$A$57:$I$61,4,FALSE)+VLOOKUP(VLOOKUP(J$1,main!$A$3:$I$56,7,FALSE),main!$K$10:$Q$14,6,FALSE),1,0)</f>
        <v>1</v>
      </c>
      <c r="K177">
        <f>IF(VLOOKUP(K$1,main!$A$3:$I$56,5,FALSE)-VLOOKUP($A177,main!$A$3:$I$56,6,FALSE)&gt;=VLOOKUP(58,main!$A$57:$I$61,4,FALSE)+VLOOKUP(VLOOKUP(K$1,main!$A$3:$I$56,7,FALSE),main!$K$10:$Q$14,6,FALSE),1,0)</f>
        <v>0</v>
      </c>
      <c r="L177">
        <f>IF(VLOOKUP(L$1,main!$A$3:$I$56,5,FALSE)-VLOOKUP($A177,main!$A$3:$I$56,6,FALSE)&gt;=VLOOKUP(58,main!$A$57:$I$61,4,FALSE)+VLOOKUP(VLOOKUP(L$1,main!$A$3:$I$56,7,FALSE),main!$K$10:$Q$14,6,FALSE),1,0)</f>
        <v>0</v>
      </c>
      <c r="M177">
        <f>IF(VLOOKUP(M$1,main!$A$3:$I$56,5,FALSE)-VLOOKUP($A177,main!$A$3:$I$56,6,FALSE)&gt;=VLOOKUP(58,main!$A$57:$I$61,4,FALSE)+VLOOKUP(VLOOKUP(M$1,main!$A$3:$I$56,7,FALSE),main!$K$10:$Q$14,6,FALSE),1,0)</f>
        <v>0</v>
      </c>
      <c r="N177">
        <f>IF(VLOOKUP(N$1,main!$A$3:$I$56,5,FALSE)-VLOOKUP($A177,main!$A$3:$I$56,6,FALSE)&gt;=VLOOKUP(58,main!$A$57:$I$61,4,FALSE)+VLOOKUP(VLOOKUP(N$1,main!$A$3:$I$56,7,FALSE),main!$K$10:$Q$14,6,FALSE),1,0)</f>
        <v>1</v>
      </c>
      <c r="O177">
        <f>IF(VLOOKUP(O$1,main!$A$3:$I$56,5,FALSE)-VLOOKUP($A177,main!$A$3:$I$56,6,FALSE)&gt;=VLOOKUP(58,main!$A$57:$I$61,4,FALSE)+VLOOKUP(VLOOKUP(O$1,main!$A$3:$I$56,7,FALSE),main!$K$10:$Q$14,6,FALSE),1,0)</f>
        <v>1</v>
      </c>
      <c r="P177">
        <f>IF(VLOOKUP(P$1,main!$A$3:$I$56,5,FALSE)-VLOOKUP($A177,main!$A$3:$I$56,6,FALSE)&gt;=VLOOKUP(58,main!$A$57:$I$61,4,FALSE)+VLOOKUP(VLOOKUP(P$1,main!$A$3:$I$56,7,FALSE),main!$K$10:$Q$14,6,FALSE),1,0)</f>
        <v>0</v>
      </c>
      <c r="Q177">
        <f>IF(VLOOKUP(Q$1,main!$A$3:$I$56,5,FALSE)-VLOOKUP($A177,main!$A$3:$I$56,6,FALSE)&gt;=VLOOKUP(58,main!$A$57:$I$61,4,FALSE)+VLOOKUP(VLOOKUP(Q$1,main!$A$3:$I$56,7,FALSE),main!$K$10:$Q$14,6,FALSE),1,0)</f>
        <v>0</v>
      </c>
      <c r="R177">
        <f>IF(VLOOKUP(R$1,main!$A$3:$I$56,5,FALSE)-VLOOKUP($A177,main!$A$3:$I$56,6,FALSE)&gt;=VLOOKUP(58,main!$A$57:$I$61,4,FALSE)+VLOOKUP(VLOOKUP(R$1,main!$A$3:$I$56,7,FALSE),main!$K$10:$Q$14,6,FALSE),1,0)</f>
        <v>0</v>
      </c>
      <c r="S177">
        <f>IF(VLOOKUP(S$1,main!$A$3:$I$56,5,FALSE)-VLOOKUP($A177,main!$A$3:$I$56,6,FALSE)&gt;=VLOOKUP(58,main!$A$57:$I$61,4,FALSE)+VLOOKUP(VLOOKUP(S$1,main!$A$3:$I$56,7,FALSE),main!$K$10:$Q$14,6,FALSE),1,0)</f>
        <v>0</v>
      </c>
      <c r="T177">
        <f>IF(VLOOKUP(T$1,main!$A$3:$I$56,5,FALSE)-VLOOKUP($A177,main!$A$3:$I$56,6,FALSE)&gt;=VLOOKUP(58,main!$A$57:$I$61,4,FALSE)+VLOOKUP(VLOOKUP(T$1,main!$A$3:$I$56,7,FALSE),main!$K$10:$Q$14,6,FALSE),1,0)</f>
        <v>1</v>
      </c>
      <c r="U177">
        <f>IF(VLOOKUP(U$1,main!$A$3:$I$56,5,FALSE)-VLOOKUP($A177,main!$A$3:$I$56,6,FALSE)&gt;=VLOOKUP(58,main!$A$57:$I$61,4,FALSE)+VLOOKUP(VLOOKUP(U$1,main!$A$3:$I$56,7,FALSE),main!$K$10:$Q$14,6,FALSE),1,0)</f>
        <v>0</v>
      </c>
      <c r="V177">
        <f>IF(VLOOKUP(V$1,main!$A$3:$I$56,5,FALSE)-VLOOKUP($A177,main!$A$3:$I$56,6,FALSE)&gt;=VLOOKUP(58,main!$A$57:$I$61,4,FALSE)+VLOOKUP(VLOOKUP(V$1,main!$A$3:$I$56,7,FALSE),main!$K$10:$Q$14,6,FALSE),1,0)</f>
        <v>0</v>
      </c>
      <c r="W177">
        <f>IF(VLOOKUP(W$1,main!$A$3:$I$56,5,FALSE)-VLOOKUP($A177,main!$A$3:$I$56,6,FALSE)&gt;=VLOOKUP(58,main!$A$57:$I$61,4,FALSE)+VLOOKUP(VLOOKUP(W$1,main!$A$3:$I$56,7,FALSE),main!$K$10:$Q$14,6,FALSE),1,0)</f>
        <v>0</v>
      </c>
      <c r="X177">
        <f>IF(VLOOKUP(X$1,main!$A$3:$I$56,5,FALSE)-VLOOKUP($A177,main!$A$3:$I$56,6,FALSE)&gt;=VLOOKUP(58,main!$A$57:$I$61,4,FALSE)+VLOOKUP(VLOOKUP(X$1,main!$A$3:$I$56,7,FALSE),main!$K$10:$Q$14,6,FALSE),1,0)</f>
        <v>0</v>
      </c>
      <c r="Y177">
        <f>IF(VLOOKUP(Y$1,main!$A$3:$I$56,5,FALSE)-VLOOKUP($A177,main!$A$3:$I$56,6,FALSE)&gt;=VLOOKUP(58,main!$A$57:$I$61,4,FALSE)+VLOOKUP(VLOOKUP(Y$1,main!$A$3:$I$56,7,FALSE),main!$K$10:$Q$14,6,FALSE),1,0)</f>
        <v>0</v>
      </c>
      <c r="Z177">
        <f>IF(VLOOKUP(Z$1,main!$A$3:$I$56,5,FALSE)-VLOOKUP($A177,main!$A$3:$I$56,6,FALSE)&gt;=VLOOKUP(58,main!$A$57:$I$61,4,FALSE)+VLOOKUP(VLOOKUP(Z$1,main!$A$3:$I$56,7,FALSE),main!$K$10:$Q$14,6,FALSE),1,0)</f>
        <v>0</v>
      </c>
      <c r="AA177">
        <f>IF(VLOOKUP(AA$1,main!$A$3:$I$56,5,FALSE)-VLOOKUP($A177,main!$A$3:$I$56,6,FALSE)&gt;=VLOOKUP(58,main!$A$57:$I$61,4,FALSE)+VLOOKUP(VLOOKUP(AA$1,main!$A$3:$I$56,7,FALSE),main!$K$10:$Q$14,6,FALSE),1,0)</f>
        <v>1</v>
      </c>
      <c r="AB177">
        <f>IF(VLOOKUP(AB$1,main!$A$3:$I$56,5,FALSE)-VLOOKUP($A177,main!$A$3:$I$56,6,FALSE)&gt;=VLOOKUP(58,main!$A$57:$I$61,4,FALSE)+VLOOKUP(VLOOKUP(AB$1,main!$A$3:$I$56,7,FALSE),main!$K$10:$Q$14,6,FALSE),1,0)</f>
        <v>1</v>
      </c>
      <c r="AC177">
        <f>IF(VLOOKUP(AC$1,main!$A$3:$I$56,5,FALSE)-VLOOKUP($A177,main!$A$3:$I$56,6,FALSE)&gt;=VLOOKUP(58,main!$A$57:$I$61,4,FALSE)+VLOOKUP(VLOOKUP(AC$1,main!$A$3:$I$56,7,FALSE),main!$K$10:$Q$14,6,FALSE),1,0)</f>
        <v>0</v>
      </c>
      <c r="AD177">
        <f>IF(VLOOKUP(AD$1,main!$A$3:$I$56,5,FALSE)-VLOOKUP($A177,main!$A$3:$I$56,6,FALSE)&gt;=VLOOKUP(58,main!$A$57:$I$61,4,FALSE)+VLOOKUP(VLOOKUP(AD$1,main!$A$3:$I$56,7,FALSE),main!$K$10:$Q$14,6,FALSE),1,0)</f>
        <v>0</v>
      </c>
      <c r="AE177">
        <f>IF(VLOOKUP(AE$1,main!$A$3:$I$56,5,FALSE)-VLOOKUP($A177,main!$A$3:$I$56,6,FALSE)&gt;=VLOOKUP(58,main!$A$57:$I$61,4,FALSE)+VLOOKUP(VLOOKUP(AE$1,main!$A$3:$I$56,7,FALSE),main!$K$10:$Q$14,6,FALSE),1,0)</f>
        <v>0</v>
      </c>
      <c r="AF177">
        <f>IF(VLOOKUP(AF$1,main!$A$3:$I$56,5,FALSE)-VLOOKUP($A177,main!$A$3:$I$56,6,FALSE)&gt;=VLOOKUP(58,main!$A$57:$I$61,4,FALSE)+VLOOKUP(VLOOKUP(AF$1,main!$A$3:$I$56,7,FALSE),main!$K$10:$Q$14,6,FALSE),1,0)</f>
        <v>0</v>
      </c>
      <c r="AG177">
        <f>IF(VLOOKUP(AG$1,main!$A$3:$I$56,5,FALSE)-VLOOKUP($A177,main!$A$3:$I$56,6,FALSE)&gt;=VLOOKUP(58,main!$A$57:$I$61,4,FALSE)+VLOOKUP(VLOOKUP(AG$1,main!$A$3:$I$56,7,FALSE),main!$K$10:$Q$14,6,FALSE),1,0)</f>
        <v>0</v>
      </c>
      <c r="AH177">
        <f>IF(VLOOKUP(AH$1,main!$A$3:$I$56,5,FALSE)-VLOOKUP($A177,main!$A$3:$I$56,6,FALSE)&gt;=VLOOKUP(58,main!$A$57:$I$61,4,FALSE)+VLOOKUP(VLOOKUP(AH$1,main!$A$3:$I$56,7,FALSE),main!$K$10:$Q$14,6,FALSE),1,0)</f>
        <v>0</v>
      </c>
      <c r="AI177">
        <f>IF(VLOOKUP(AI$1,main!$A$3:$I$56,5,FALSE)-VLOOKUP($A177,main!$A$3:$I$56,6,FALSE)&gt;=VLOOKUP(58,main!$A$57:$I$61,4,FALSE)+VLOOKUP(VLOOKUP(AI$1,main!$A$3:$I$56,7,FALSE),main!$K$10:$Q$14,6,FALSE),1,0)</f>
        <v>0</v>
      </c>
      <c r="AJ177">
        <f>IF(VLOOKUP(AJ$1,main!$A$3:$I$56,5,FALSE)-VLOOKUP($A177,main!$A$3:$I$56,6,FALSE)&gt;=VLOOKUP(58,main!$A$57:$I$61,4,FALSE)+VLOOKUP(VLOOKUP(AJ$1,main!$A$3:$I$56,7,FALSE),main!$K$10:$Q$14,6,FALSE),1,0)</f>
        <v>1</v>
      </c>
      <c r="AK177">
        <f>IF(VLOOKUP(AK$1,main!$A$3:$I$56,5,FALSE)-VLOOKUP($A177,main!$A$3:$I$56,6,FALSE)&gt;=VLOOKUP(58,main!$A$57:$I$61,4,FALSE)+VLOOKUP(VLOOKUP(AK$1,main!$A$3:$I$56,7,FALSE),main!$K$10:$Q$14,6,FALSE),1,0)</f>
        <v>1</v>
      </c>
      <c r="AL177">
        <f>IF(VLOOKUP(AL$1,main!$A$3:$I$56,5,FALSE)-VLOOKUP($A177,main!$A$3:$I$56,6,FALSE)&gt;=VLOOKUP(58,main!$A$57:$I$61,4,FALSE)+VLOOKUP(VLOOKUP(AL$1,main!$A$3:$I$56,7,FALSE),main!$K$10:$Q$14,6,FALSE),1,0)</f>
        <v>0</v>
      </c>
      <c r="AM177">
        <f>IF(VLOOKUP(AM$1,main!$A$3:$I$56,5,FALSE)-VLOOKUP($A177,main!$A$3:$I$56,6,FALSE)&gt;=VLOOKUP(58,main!$A$57:$I$61,4,FALSE)+VLOOKUP(VLOOKUP(AM$1,main!$A$3:$I$56,7,FALSE),main!$K$10:$Q$14,6,FALSE),1,0)</f>
        <v>0</v>
      </c>
      <c r="AN177">
        <f>IF(VLOOKUP(AN$1,main!$A$3:$I$56,5,FALSE)-VLOOKUP($A177,main!$A$3:$I$56,6,FALSE)&gt;=VLOOKUP(58,main!$A$57:$I$61,4,FALSE)+VLOOKUP(VLOOKUP(AN$1,main!$A$3:$I$56,7,FALSE),main!$K$10:$Q$14,6,FALSE),1,0)</f>
        <v>1</v>
      </c>
      <c r="AO177">
        <f>IF(VLOOKUP(AO$1,main!$A$3:$I$56,5,FALSE)-VLOOKUP($A177,main!$A$3:$I$56,6,FALSE)&gt;=VLOOKUP(58,main!$A$57:$I$61,4,FALSE)+VLOOKUP(VLOOKUP(AO$1,main!$A$3:$I$56,7,FALSE),main!$K$10:$Q$14,6,FALSE),1,0)</f>
        <v>1</v>
      </c>
      <c r="AP177">
        <f>IF(VLOOKUP(AP$1,main!$A$3:$I$56,5,FALSE)-VLOOKUP($A177,main!$A$3:$I$56,6,FALSE)&gt;=VLOOKUP(58,main!$A$57:$I$61,4,FALSE)+VLOOKUP(VLOOKUP(AP$1,main!$A$3:$I$56,7,FALSE),main!$K$10:$Q$14,6,FALSE),1,0)</f>
        <v>0</v>
      </c>
      <c r="AQ177">
        <f>IF(VLOOKUP(AQ$1,main!$A$3:$I$56,5,FALSE)-VLOOKUP($A177,main!$A$3:$I$56,6,FALSE)&gt;=VLOOKUP(58,main!$A$57:$I$61,4,FALSE)+VLOOKUP(VLOOKUP(AQ$1,main!$A$3:$I$56,7,FALSE),main!$K$10:$Q$14,6,FALSE),1,0)</f>
        <v>0</v>
      </c>
      <c r="AR177">
        <f>IF(VLOOKUP(AR$1,main!$A$3:$I$56,5,FALSE)-VLOOKUP($A177,main!$A$3:$I$56,6,FALSE)&gt;=VLOOKUP(58,main!$A$57:$I$61,4,FALSE)+VLOOKUP(VLOOKUP(AR$1,main!$A$3:$I$56,7,FALSE),main!$K$10:$Q$14,6,FALSE),1,0)</f>
        <v>0</v>
      </c>
      <c r="AS177">
        <f>IF(VLOOKUP(AS$1,main!$A$3:$I$56,5,FALSE)-VLOOKUP($A177,main!$A$3:$I$56,6,FALSE)&gt;=VLOOKUP(58,main!$A$57:$I$61,4,FALSE)+VLOOKUP(VLOOKUP(AS$1,main!$A$3:$I$56,7,FALSE),main!$K$10:$Q$14,6,FALSE),1,0)</f>
        <v>0</v>
      </c>
      <c r="AT177">
        <f>IF(VLOOKUP(AT$1,main!$A$3:$I$56,5,FALSE)-VLOOKUP($A177,main!$A$3:$I$56,6,FALSE)&gt;=VLOOKUP(58,main!$A$57:$I$61,4,FALSE)+VLOOKUP(VLOOKUP(AT$1,main!$A$3:$I$56,7,FALSE),main!$K$10:$Q$14,6,FALSE),1,0)</f>
        <v>0</v>
      </c>
      <c r="AU177">
        <f>IF(VLOOKUP(AU$1,main!$A$3:$I$56,5,FALSE)-VLOOKUP($A177,main!$A$3:$I$56,6,FALSE)&gt;=VLOOKUP(58,main!$A$57:$I$61,4,FALSE)+VLOOKUP(VLOOKUP(AU$1,main!$A$3:$I$56,7,FALSE),main!$K$10:$Q$14,6,FALSE),1,0)</f>
        <v>0</v>
      </c>
      <c r="AV177">
        <f>IF(VLOOKUP(AV$1,main!$A$3:$I$56,5,FALSE)-VLOOKUP($A177,main!$A$3:$I$56,6,FALSE)&gt;=VLOOKUP(58,main!$A$57:$I$61,4,FALSE)+VLOOKUP(VLOOKUP(AV$1,main!$A$3:$I$56,7,FALSE),main!$K$10:$Q$14,6,FALSE),1,0)</f>
        <v>0</v>
      </c>
      <c r="AW177">
        <f>IF(VLOOKUP(AW$1,main!$A$3:$I$56,5,FALSE)-VLOOKUP($A177,main!$A$3:$I$56,6,FALSE)&gt;=VLOOKUP(58,main!$A$57:$I$61,4,FALSE)+VLOOKUP(VLOOKUP(AW$1,main!$A$3:$I$56,7,FALSE),main!$K$10:$Q$14,6,FALSE),1,0)</f>
        <v>0</v>
      </c>
      <c r="AX177">
        <f>IF(VLOOKUP(AX$1,main!$A$3:$I$56,5,FALSE)-VLOOKUP($A177,main!$A$3:$I$56,6,FALSE)&gt;=VLOOKUP(58,main!$A$57:$I$61,4,FALSE)+VLOOKUP(VLOOKUP(AX$1,main!$A$3:$I$56,7,FALSE),main!$K$10:$Q$14,6,FALSE),1,0)</f>
        <v>0</v>
      </c>
      <c r="AY177">
        <f>IF(VLOOKUP(AY$1,main!$A$3:$I$56,5,FALSE)-VLOOKUP($A177,main!$A$3:$I$56,6,FALSE)&gt;=VLOOKUP(58,main!$A$57:$I$61,4,FALSE)+VLOOKUP(VLOOKUP(AY$1,main!$A$3:$I$56,7,FALSE),main!$K$10:$Q$14,6,FALSE),1,0)</f>
        <v>1</v>
      </c>
      <c r="AZ177">
        <f>IF(VLOOKUP(AZ$1,main!$A$3:$I$56,5,FALSE)-VLOOKUP($A177,main!$A$3:$I$56,6,FALSE)&gt;=VLOOKUP(58,main!$A$57:$I$61,4,FALSE)+VLOOKUP(VLOOKUP(AZ$1,main!$A$3:$I$56,7,FALSE),main!$K$10:$Q$14,6,FALSE),1,0)</f>
        <v>0</v>
      </c>
      <c r="BA177">
        <f>IF(VLOOKUP(BA$1,main!$A$3:$I$56,5,FALSE)-VLOOKUP($A177,main!$A$3:$I$56,6,FALSE)&gt;=VLOOKUP(58,main!$A$57:$I$61,4,FALSE)+VLOOKUP(VLOOKUP(BA$1,main!$A$3:$I$56,7,FALSE),main!$K$10:$Q$14,6,FALSE),1,0)</f>
        <v>0</v>
      </c>
      <c r="BB177">
        <f>IF(VLOOKUP(BB$1,main!$A$3:$I$56,5,FALSE)-VLOOKUP($A177,main!$A$3:$I$56,6,FALSE)&gt;=VLOOKUP(58,main!$A$57:$I$61,4,FALSE)+VLOOKUP(VLOOKUP(BB$1,main!$A$3:$I$56,7,FALSE),main!$K$10:$Q$14,6,FALSE),1,0)</f>
        <v>0</v>
      </c>
      <c r="BC177">
        <f>IF(VLOOKUP(BC$1,main!$A$3:$I$56,5,FALSE)-VLOOKUP($A177,main!$A$3:$I$56,6,FALSE)&gt;=VLOOKUP(58,main!$A$57:$I$61,4,FALSE)+VLOOKUP(VLOOKUP(BC$1,main!$A$3:$I$56,7,FALSE),main!$K$10:$Q$14,6,FALSE),1,0)</f>
        <v>0</v>
      </c>
      <c r="BD177">
        <f>IF(VLOOKUP(BD$1,main!$A$3:$I$56,5,FALSE)-VLOOKUP($A177,main!$A$3:$I$56,6,FALSE)&gt;=VLOOKUP(58,main!$A$57:$I$61,4,FALSE)+VLOOKUP(VLOOKUP(BD$1,main!$A$3:$I$56,7,FALSE),main!$K$10:$Q$14,6,FALSE),1,0)</f>
        <v>0</v>
      </c>
    </row>
    <row r="178" spans="1:56" x14ac:dyDescent="0.25">
      <c r="A178">
        <f t="shared" si="3"/>
        <v>11</v>
      </c>
      <c r="B178">
        <v>0</v>
      </c>
      <c r="C178">
        <f>IF(VLOOKUP(C$1,main!$A$3:$I$56,5,FALSE)-VLOOKUP($A178,main!$A$3:$I$56,6,FALSE)&gt;=VLOOKUP(58,main!$A$57:$I$61,4,FALSE)+VLOOKUP(VLOOKUP(C$1,main!$A$3:$I$56,7,FALSE),main!$K$10:$Q$14,6,FALSE),1,0)</f>
        <v>0</v>
      </c>
      <c r="D178">
        <f>IF(VLOOKUP(D$1,main!$A$3:$I$56,5,FALSE)-VLOOKUP($A178,main!$A$3:$I$56,6,FALSE)&gt;=VLOOKUP(58,main!$A$57:$I$61,4,FALSE)+VLOOKUP(VLOOKUP(D$1,main!$A$3:$I$56,7,FALSE),main!$K$10:$Q$14,6,FALSE),1,0)</f>
        <v>0</v>
      </c>
      <c r="E178">
        <f>IF(VLOOKUP(E$1,main!$A$3:$I$56,5,FALSE)-VLOOKUP($A178,main!$A$3:$I$56,6,FALSE)&gt;=VLOOKUP(58,main!$A$57:$I$61,4,FALSE)+VLOOKUP(VLOOKUP(E$1,main!$A$3:$I$56,7,FALSE),main!$K$10:$Q$14,6,FALSE),1,0)</f>
        <v>0</v>
      </c>
      <c r="F178">
        <f>IF(VLOOKUP(F$1,main!$A$3:$I$56,5,FALSE)-VLOOKUP($A178,main!$A$3:$I$56,6,FALSE)&gt;=VLOOKUP(58,main!$A$57:$I$61,4,FALSE)+VLOOKUP(VLOOKUP(F$1,main!$A$3:$I$56,7,FALSE),main!$K$10:$Q$14,6,FALSE),1,0)</f>
        <v>0</v>
      </c>
      <c r="G178">
        <f>IF(VLOOKUP(G$1,main!$A$3:$I$56,5,FALSE)-VLOOKUP($A178,main!$A$3:$I$56,6,FALSE)&gt;=VLOOKUP(58,main!$A$57:$I$61,4,FALSE)+VLOOKUP(VLOOKUP(G$1,main!$A$3:$I$56,7,FALSE),main!$K$10:$Q$14,6,FALSE),1,0)</f>
        <v>0</v>
      </c>
      <c r="H178">
        <f>IF(VLOOKUP(H$1,main!$A$3:$I$56,5,FALSE)-VLOOKUP($A178,main!$A$3:$I$56,6,FALSE)&gt;=VLOOKUP(58,main!$A$57:$I$61,4,FALSE)+VLOOKUP(VLOOKUP(H$1,main!$A$3:$I$56,7,FALSE),main!$K$10:$Q$14,6,FALSE),1,0)</f>
        <v>0</v>
      </c>
      <c r="I178">
        <f>IF(VLOOKUP(I$1,main!$A$3:$I$56,5,FALSE)-VLOOKUP($A178,main!$A$3:$I$56,6,FALSE)&gt;=VLOOKUP(58,main!$A$57:$I$61,4,FALSE)+VLOOKUP(VLOOKUP(I$1,main!$A$3:$I$56,7,FALSE),main!$K$10:$Q$14,6,FALSE),1,0)</f>
        <v>0</v>
      </c>
      <c r="J178">
        <f>IF(VLOOKUP(J$1,main!$A$3:$I$56,5,FALSE)-VLOOKUP($A178,main!$A$3:$I$56,6,FALSE)&gt;=VLOOKUP(58,main!$A$57:$I$61,4,FALSE)+VLOOKUP(VLOOKUP(J$1,main!$A$3:$I$56,7,FALSE),main!$K$10:$Q$14,6,FALSE),1,0)</f>
        <v>1</v>
      </c>
      <c r="K178">
        <f>IF(VLOOKUP(K$1,main!$A$3:$I$56,5,FALSE)-VLOOKUP($A178,main!$A$3:$I$56,6,FALSE)&gt;=VLOOKUP(58,main!$A$57:$I$61,4,FALSE)+VLOOKUP(VLOOKUP(K$1,main!$A$3:$I$56,7,FALSE),main!$K$10:$Q$14,6,FALSE),1,0)</f>
        <v>0</v>
      </c>
      <c r="L178">
        <f>IF(VLOOKUP(L$1,main!$A$3:$I$56,5,FALSE)-VLOOKUP($A178,main!$A$3:$I$56,6,FALSE)&gt;=VLOOKUP(58,main!$A$57:$I$61,4,FALSE)+VLOOKUP(VLOOKUP(L$1,main!$A$3:$I$56,7,FALSE),main!$K$10:$Q$14,6,FALSE),1,0)</f>
        <v>0</v>
      </c>
      <c r="M178">
        <f>IF(VLOOKUP(M$1,main!$A$3:$I$56,5,FALSE)-VLOOKUP($A178,main!$A$3:$I$56,6,FALSE)&gt;=VLOOKUP(58,main!$A$57:$I$61,4,FALSE)+VLOOKUP(VLOOKUP(M$1,main!$A$3:$I$56,7,FALSE),main!$K$10:$Q$14,6,FALSE),1,0)</f>
        <v>0</v>
      </c>
      <c r="N178">
        <f>IF(VLOOKUP(N$1,main!$A$3:$I$56,5,FALSE)-VLOOKUP($A178,main!$A$3:$I$56,6,FALSE)&gt;=VLOOKUP(58,main!$A$57:$I$61,4,FALSE)+VLOOKUP(VLOOKUP(N$1,main!$A$3:$I$56,7,FALSE),main!$K$10:$Q$14,6,FALSE),1,0)</f>
        <v>1</v>
      </c>
      <c r="O178">
        <f>IF(VLOOKUP(O$1,main!$A$3:$I$56,5,FALSE)-VLOOKUP($A178,main!$A$3:$I$56,6,FALSE)&gt;=VLOOKUP(58,main!$A$57:$I$61,4,FALSE)+VLOOKUP(VLOOKUP(O$1,main!$A$3:$I$56,7,FALSE),main!$K$10:$Q$14,6,FALSE),1,0)</f>
        <v>1</v>
      </c>
      <c r="P178">
        <f>IF(VLOOKUP(P$1,main!$A$3:$I$56,5,FALSE)-VLOOKUP($A178,main!$A$3:$I$56,6,FALSE)&gt;=VLOOKUP(58,main!$A$57:$I$61,4,FALSE)+VLOOKUP(VLOOKUP(P$1,main!$A$3:$I$56,7,FALSE),main!$K$10:$Q$14,6,FALSE),1,0)</f>
        <v>0</v>
      </c>
      <c r="Q178">
        <f>IF(VLOOKUP(Q$1,main!$A$3:$I$56,5,FALSE)-VLOOKUP($A178,main!$A$3:$I$56,6,FALSE)&gt;=VLOOKUP(58,main!$A$57:$I$61,4,FALSE)+VLOOKUP(VLOOKUP(Q$1,main!$A$3:$I$56,7,FALSE),main!$K$10:$Q$14,6,FALSE),1,0)</f>
        <v>0</v>
      </c>
      <c r="R178">
        <f>IF(VLOOKUP(R$1,main!$A$3:$I$56,5,FALSE)-VLOOKUP($A178,main!$A$3:$I$56,6,FALSE)&gt;=VLOOKUP(58,main!$A$57:$I$61,4,FALSE)+VLOOKUP(VLOOKUP(R$1,main!$A$3:$I$56,7,FALSE),main!$K$10:$Q$14,6,FALSE),1,0)</f>
        <v>0</v>
      </c>
      <c r="S178">
        <f>IF(VLOOKUP(S$1,main!$A$3:$I$56,5,FALSE)-VLOOKUP($A178,main!$A$3:$I$56,6,FALSE)&gt;=VLOOKUP(58,main!$A$57:$I$61,4,FALSE)+VLOOKUP(VLOOKUP(S$1,main!$A$3:$I$56,7,FALSE),main!$K$10:$Q$14,6,FALSE),1,0)</f>
        <v>0</v>
      </c>
      <c r="T178">
        <f>IF(VLOOKUP(T$1,main!$A$3:$I$56,5,FALSE)-VLOOKUP($A178,main!$A$3:$I$56,6,FALSE)&gt;=VLOOKUP(58,main!$A$57:$I$61,4,FALSE)+VLOOKUP(VLOOKUP(T$1,main!$A$3:$I$56,7,FALSE),main!$K$10:$Q$14,6,FALSE),1,0)</f>
        <v>0</v>
      </c>
      <c r="U178">
        <f>IF(VLOOKUP(U$1,main!$A$3:$I$56,5,FALSE)-VLOOKUP($A178,main!$A$3:$I$56,6,FALSE)&gt;=VLOOKUP(58,main!$A$57:$I$61,4,FALSE)+VLOOKUP(VLOOKUP(U$1,main!$A$3:$I$56,7,FALSE),main!$K$10:$Q$14,6,FALSE),1,0)</f>
        <v>0</v>
      </c>
      <c r="V178">
        <f>IF(VLOOKUP(V$1,main!$A$3:$I$56,5,FALSE)-VLOOKUP($A178,main!$A$3:$I$56,6,FALSE)&gt;=VLOOKUP(58,main!$A$57:$I$61,4,FALSE)+VLOOKUP(VLOOKUP(V$1,main!$A$3:$I$56,7,FALSE),main!$K$10:$Q$14,6,FALSE),1,0)</f>
        <v>0</v>
      </c>
      <c r="W178">
        <f>IF(VLOOKUP(W$1,main!$A$3:$I$56,5,FALSE)-VLOOKUP($A178,main!$A$3:$I$56,6,FALSE)&gt;=VLOOKUP(58,main!$A$57:$I$61,4,FALSE)+VLOOKUP(VLOOKUP(W$1,main!$A$3:$I$56,7,FALSE),main!$K$10:$Q$14,6,FALSE),1,0)</f>
        <v>0</v>
      </c>
      <c r="X178">
        <f>IF(VLOOKUP(X$1,main!$A$3:$I$56,5,FALSE)-VLOOKUP($A178,main!$A$3:$I$56,6,FALSE)&gt;=VLOOKUP(58,main!$A$57:$I$61,4,FALSE)+VLOOKUP(VLOOKUP(X$1,main!$A$3:$I$56,7,FALSE),main!$K$10:$Q$14,6,FALSE),1,0)</f>
        <v>0</v>
      </c>
      <c r="Y178">
        <f>IF(VLOOKUP(Y$1,main!$A$3:$I$56,5,FALSE)-VLOOKUP($A178,main!$A$3:$I$56,6,FALSE)&gt;=VLOOKUP(58,main!$A$57:$I$61,4,FALSE)+VLOOKUP(VLOOKUP(Y$1,main!$A$3:$I$56,7,FALSE),main!$K$10:$Q$14,6,FALSE),1,0)</f>
        <v>0</v>
      </c>
      <c r="Z178">
        <f>IF(VLOOKUP(Z$1,main!$A$3:$I$56,5,FALSE)-VLOOKUP($A178,main!$A$3:$I$56,6,FALSE)&gt;=VLOOKUP(58,main!$A$57:$I$61,4,FALSE)+VLOOKUP(VLOOKUP(Z$1,main!$A$3:$I$56,7,FALSE),main!$K$10:$Q$14,6,FALSE),1,0)</f>
        <v>0</v>
      </c>
      <c r="AA178">
        <f>IF(VLOOKUP(AA$1,main!$A$3:$I$56,5,FALSE)-VLOOKUP($A178,main!$A$3:$I$56,6,FALSE)&gt;=VLOOKUP(58,main!$A$57:$I$61,4,FALSE)+VLOOKUP(VLOOKUP(AA$1,main!$A$3:$I$56,7,FALSE),main!$K$10:$Q$14,6,FALSE),1,0)</f>
        <v>0</v>
      </c>
      <c r="AB178">
        <f>IF(VLOOKUP(AB$1,main!$A$3:$I$56,5,FALSE)-VLOOKUP($A178,main!$A$3:$I$56,6,FALSE)&gt;=VLOOKUP(58,main!$A$57:$I$61,4,FALSE)+VLOOKUP(VLOOKUP(AB$1,main!$A$3:$I$56,7,FALSE),main!$K$10:$Q$14,6,FALSE),1,0)</f>
        <v>1</v>
      </c>
      <c r="AC178">
        <f>IF(VLOOKUP(AC$1,main!$A$3:$I$56,5,FALSE)-VLOOKUP($A178,main!$A$3:$I$56,6,FALSE)&gt;=VLOOKUP(58,main!$A$57:$I$61,4,FALSE)+VLOOKUP(VLOOKUP(AC$1,main!$A$3:$I$56,7,FALSE),main!$K$10:$Q$14,6,FALSE),1,0)</f>
        <v>0</v>
      </c>
      <c r="AD178">
        <f>IF(VLOOKUP(AD$1,main!$A$3:$I$56,5,FALSE)-VLOOKUP($A178,main!$A$3:$I$56,6,FALSE)&gt;=VLOOKUP(58,main!$A$57:$I$61,4,FALSE)+VLOOKUP(VLOOKUP(AD$1,main!$A$3:$I$56,7,FALSE),main!$K$10:$Q$14,6,FALSE),1,0)</f>
        <v>0</v>
      </c>
      <c r="AE178">
        <f>IF(VLOOKUP(AE$1,main!$A$3:$I$56,5,FALSE)-VLOOKUP($A178,main!$A$3:$I$56,6,FALSE)&gt;=VLOOKUP(58,main!$A$57:$I$61,4,FALSE)+VLOOKUP(VLOOKUP(AE$1,main!$A$3:$I$56,7,FALSE),main!$K$10:$Q$14,6,FALSE),1,0)</f>
        <v>0</v>
      </c>
      <c r="AF178">
        <f>IF(VLOOKUP(AF$1,main!$A$3:$I$56,5,FALSE)-VLOOKUP($A178,main!$A$3:$I$56,6,FALSE)&gt;=VLOOKUP(58,main!$A$57:$I$61,4,FALSE)+VLOOKUP(VLOOKUP(AF$1,main!$A$3:$I$56,7,FALSE),main!$K$10:$Q$14,6,FALSE),1,0)</f>
        <v>0</v>
      </c>
      <c r="AG178">
        <f>IF(VLOOKUP(AG$1,main!$A$3:$I$56,5,FALSE)-VLOOKUP($A178,main!$A$3:$I$56,6,FALSE)&gt;=VLOOKUP(58,main!$A$57:$I$61,4,FALSE)+VLOOKUP(VLOOKUP(AG$1,main!$A$3:$I$56,7,FALSE),main!$K$10:$Q$14,6,FALSE),1,0)</f>
        <v>0</v>
      </c>
      <c r="AH178">
        <f>IF(VLOOKUP(AH$1,main!$A$3:$I$56,5,FALSE)-VLOOKUP($A178,main!$A$3:$I$56,6,FALSE)&gt;=VLOOKUP(58,main!$A$57:$I$61,4,FALSE)+VLOOKUP(VLOOKUP(AH$1,main!$A$3:$I$56,7,FALSE),main!$K$10:$Q$14,6,FALSE),1,0)</f>
        <v>0</v>
      </c>
      <c r="AI178">
        <f>IF(VLOOKUP(AI$1,main!$A$3:$I$56,5,FALSE)-VLOOKUP($A178,main!$A$3:$I$56,6,FALSE)&gt;=VLOOKUP(58,main!$A$57:$I$61,4,FALSE)+VLOOKUP(VLOOKUP(AI$1,main!$A$3:$I$56,7,FALSE),main!$K$10:$Q$14,6,FALSE),1,0)</f>
        <v>0</v>
      </c>
      <c r="AJ178">
        <f>IF(VLOOKUP(AJ$1,main!$A$3:$I$56,5,FALSE)-VLOOKUP($A178,main!$A$3:$I$56,6,FALSE)&gt;=VLOOKUP(58,main!$A$57:$I$61,4,FALSE)+VLOOKUP(VLOOKUP(AJ$1,main!$A$3:$I$56,7,FALSE),main!$K$10:$Q$14,6,FALSE),1,0)</f>
        <v>0</v>
      </c>
      <c r="AK178">
        <f>IF(VLOOKUP(AK$1,main!$A$3:$I$56,5,FALSE)-VLOOKUP($A178,main!$A$3:$I$56,6,FALSE)&gt;=VLOOKUP(58,main!$A$57:$I$61,4,FALSE)+VLOOKUP(VLOOKUP(AK$1,main!$A$3:$I$56,7,FALSE),main!$K$10:$Q$14,6,FALSE),1,0)</f>
        <v>1</v>
      </c>
      <c r="AL178">
        <f>IF(VLOOKUP(AL$1,main!$A$3:$I$56,5,FALSE)-VLOOKUP($A178,main!$A$3:$I$56,6,FALSE)&gt;=VLOOKUP(58,main!$A$57:$I$61,4,FALSE)+VLOOKUP(VLOOKUP(AL$1,main!$A$3:$I$56,7,FALSE),main!$K$10:$Q$14,6,FALSE),1,0)</f>
        <v>0</v>
      </c>
      <c r="AM178">
        <f>IF(VLOOKUP(AM$1,main!$A$3:$I$56,5,FALSE)-VLOOKUP($A178,main!$A$3:$I$56,6,FALSE)&gt;=VLOOKUP(58,main!$A$57:$I$61,4,FALSE)+VLOOKUP(VLOOKUP(AM$1,main!$A$3:$I$56,7,FALSE),main!$K$10:$Q$14,6,FALSE),1,0)</f>
        <v>0</v>
      </c>
      <c r="AN178">
        <f>IF(VLOOKUP(AN$1,main!$A$3:$I$56,5,FALSE)-VLOOKUP($A178,main!$A$3:$I$56,6,FALSE)&gt;=VLOOKUP(58,main!$A$57:$I$61,4,FALSE)+VLOOKUP(VLOOKUP(AN$1,main!$A$3:$I$56,7,FALSE),main!$K$10:$Q$14,6,FALSE),1,0)</f>
        <v>0</v>
      </c>
      <c r="AO178">
        <f>IF(VLOOKUP(AO$1,main!$A$3:$I$56,5,FALSE)-VLOOKUP($A178,main!$A$3:$I$56,6,FALSE)&gt;=VLOOKUP(58,main!$A$57:$I$61,4,FALSE)+VLOOKUP(VLOOKUP(AO$1,main!$A$3:$I$56,7,FALSE),main!$K$10:$Q$14,6,FALSE),1,0)</f>
        <v>0</v>
      </c>
      <c r="AP178">
        <f>IF(VLOOKUP(AP$1,main!$A$3:$I$56,5,FALSE)-VLOOKUP($A178,main!$A$3:$I$56,6,FALSE)&gt;=VLOOKUP(58,main!$A$57:$I$61,4,FALSE)+VLOOKUP(VLOOKUP(AP$1,main!$A$3:$I$56,7,FALSE),main!$K$10:$Q$14,6,FALSE),1,0)</f>
        <v>0</v>
      </c>
      <c r="AQ178">
        <f>IF(VLOOKUP(AQ$1,main!$A$3:$I$56,5,FALSE)-VLOOKUP($A178,main!$A$3:$I$56,6,FALSE)&gt;=VLOOKUP(58,main!$A$57:$I$61,4,FALSE)+VLOOKUP(VLOOKUP(AQ$1,main!$A$3:$I$56,7,FALSE),main!$K$10:$Q$14,6,FALSE),1,0)</f>
        <v>0</v>
      </c>
      <c r="AR178">
        <f>IF(VLOOKUP(AR$1,main!$A$3:$I$56,5,FALSE)-VLOOKUP($A178,main!$A$3:$I$56,6,FALSE)&gt;=VLOOKUP(58,main!$A$57:$I$61,4,FALSE)+VLOOKUP(VLOOKUP(AR$1,main!$A$3:$I$56,7,FALSE),main!$K$10:$Q$14,6,FALSE),1,0)</f>
        <v>0</v>
      </c>
      <c r="AS178">
        <f>IF(VLOOKUP(AS$1,main!$A$3:$I$56,5,FALSE)-VLOOKUP($A178,main!$A$3:$I$56,6,FALSE)&gt;=VLOOKUP(58,main!$A$57:$I$61,4,FALSE)+VLOOKUP(VLOOKUP(AS$1,main!$A$3:$I$56,7,FALSE),main!$K$10:$Q$14,6,FALSE),1,0)</f>
        <v>0</v>
      </c>
      <c r="AT178">
        <f>IF(VLOOKUP(AT$1,main!$A$3:$I$56,5,FALSE)-VLOOKUP($A178,main!$A$3:$I$56,6,FALSE)&gt;=VLOOKUP(58,main!$A$57:$I$61,4,FALSE)+VLOOKUP(VLOOKUP(AT$1,main!$A$3:$I$56,7,FALSE),main!$K$10:$Q$14,6,FALSE),1,0)</f>
        <v>0</v>
      </c>
      <c r="AU178">
        <f>IF(VLOOKUP(AU$1,main!$A$3:$I$56,5,FALSE)-VLOOKUP($A178,main!$A$3:$I$56,6,FALSE)&gt;=VLOOKUP(58,main!$A$57:$I$61,4,FALSE)+VLOOKUP(VLOOKUP(AU$1,main!$A$3:$I$56,7,FALSE),main!$K$10:$Q$14,6,FALSE),1,0)</f>
        <v>0</v>
      </c>
      <c r="AV178">
        <f>IF(VLOOKUP(AV$1,main!$A$3:$I$56,5,FALSE)-VLOOKUP($A178,main!$A$3:$I$56,6,FALSE)&gt;=VLOOKUP(58,main!$A$57:$I$61,4,FALSE)+VLOOKUP(VLOOKUP(AV$1,main!$A$3:$I$56,7,FALSE),main!$K$10:$Q$14,6,FALSE),1,0)</f>
        <v>0</v>
      </c>
      <c r="AW178">
        <f>IF(VLOOKUP(AW$1,main!$A$3:$I$56,5,FALSE)-VLOOKUP($A178,main!$A$3:$I$56,6,FALSE)&gt;=VLOOKUP(58,main!$A$57:$I$61,4,FALSE)+VLOOKUP(VLOOKUP(AW$1,main!$A$3:$I$56,7,FALSE),main!$K$10:$Q$14,6,FALSE),1,0)</f>
        <v>0</v>
      </c>
      <c r="AX178">
        <f>IF(VLOOKUP(AX$1,main!$A$3:$I$56,5,FALSE)-VLOOKUP($A178,main!$A$3:$I$56,6,FALSE)&gt;=VLOOKUP(58,main!$A$57:$I$61,4,FALSE)+VLOOKUP(VLOOKUP(AX$1,main!$A$3:$I$56,7,FALSE),main!$K$10:$Q$14,6,FALSE),1,0)</f>
        <v>0</v>
      </c>
      <c r="AY178">
        <f>IF(VLOOKUP(AY$1,main!$A$3:$I$56,5,FALSE)-VLOOKUP($A178,main!$A$3:$I$56,6,FALSE)&gt;=VLOOKUP(58,main!$A$57:$I$61,4,FALSE)+VLOOKUP(VLOOKUP(AY$1,main!$A$3:$I$56,7,FALSE),main!$K$10:$Q$14,6,FALSE),1,0)</f>
        <v>0</v>
      </c>
      <c r="AZ178">
        <f>IF(VLOOKUP(AZ$1,main!$A$3:$I$56,5,FALSE)-VLOOKUP($A178,main!$A$3:$I$56,6,FALSE)&gt;=VLOOKUP(58,main!$A$57:$I$61,4,FALSE)+VLOOKUP(VLOOKUP(AZ$1,main!$A$3:$I$56,7,FALSE),main!$K$10:$Q$14,6,FALSE),1,0)</f>
        <v>0</v>
      </c>
      <c r="BA178">
        <f>IF(VLOOKUP(BA$1,main!$A$3:$I$56,5,FALSE)-VLOOKUP($A178,main!$A$3:$I$56,6,FALSE)&gt;=VLOOKUP(58,main!$A$57:$I$61,4,FALSE)+VLOOKUP(VLOOKUP(BA$1,main!$A$3:$I$56,7,FALSE),main!$K$10:$Q$14,6,FALSE),1,0)</f>
        <v>0</v>
      </c>
      <c r="BB178">
        <f>IF(VLOOKUP(BB$1,main!$A$3:$I$56,5,FALSE)-VLOOKUP($A178,main!$A$3:$I$56,6,FALSE)&gt;=VLOOKUP(58,main!$A$57:$I$61,4,FALSE)+VLOOKUP(VLOOKUP(BB$1,main!$A$3:$I$56,7,FALSE),main!$K$10:$Q$14,6,FALSE),1,0)</f>
        <v>0</v>
      </c>
      <c r="BC178">
        <f>IF(VLOOKUP(BC$1,main!$A$3:$I$56,5,FALSE)-VLOOKUP($A178,main!$A$3:$I$56,6,FALSE)&gt;=VLOOKUP(58,main!$A$57:$I$61,4,FALSE)+VLOOKUP(VLOOKUP(BC$1,main!$A$3:$I$56,7,FALSE),main!$K$10:$Q$14,6,FALSE),1,0)</f>
        <v>0</v>
      </c>
      <c r="BD178">
        <f>IF(VLOOKUP(BD$1,main!$A$3:$I$56,5,FALSE)-VLOOKUP($A178,main!$A$3:$I$56,6,FALSE)&gt;=VLOOKUP(58,main!$A$57:$I$61,4,FALSE)+VLOOKUP(VLOOKUP(BD$1,main!$A$3:$I$56,7,FALSE),main!$K$10:$Q$14,6,FALSE),1,0)</f>
        <v>0</v>
      </c>
    </row>
    <row r="179" spans="1:56" x14ac:dyDescent="0.25">
      <c r="A179">
        <f t="shared" si="3"/>
        <v>12</v>
      </c>
      <c r="B179">
        <v>0</v>
      </c>
      <c r="C179">
        <f>IF(VLOOKUP(C$1,main!$A$3:$I$56,5,FALSE)-VLOOKUP($A179,main!$A$3:$I$56,6,FALSE)&gt;=VLOOKUP(58,main!$A$57:$I$61,4,FALSE)+VLOOKUP(VLOOKUP(C$1,main!$A$3:$I$56,7,FALSE),main!$K$10:$Q$14,6,FALSE),1,0)</f>
        <v>0</v>
      </c>
      <c r="D179">
        <f>IF(VLOOKUP(D$1,main!$A$3:$I$56,5,FALSE)-VLOOKUP($A179,main!$A$3:$I$56,6,FALSE)&gt;=VLOOKUP(58,main!$A$57:$I$61,4,FALSE)+VLOOKUP(VLOOKUP(D$1,main!$A$3:$I$56,7,FALSE),main!$K$10:$Q$14,6,FALSE),1,0)</f>
        <v>0</v>
      </c>
      <c r="E179">
        <f>IF(VLOOKUP(E$1,main!$A$3:$I$56,5,FALSE)-VLOOKUP($A179,main!$A$3:$I$56,6,FALSE)&gt;=VLOOKUP(58,main!$A$57:$I$61,4,FALSE)+VLOOKUP(VLOOKUP(E$1,main!$A$3:$I$56,7,FALSE),main!$K$10:$Q$14,6,FALSE),1,0)</f>
        <v>0</v>
      </c>
      <c r="F179">
        <f>IF(VLOOKUP(F$1,main!$A$3:$I$56,5,FALSE)-VLOOKUP($A179,main!$A$3:$I$56,6,FALSE)&gt;=VLOOKUP(58,main!$A$57:$I$61,4,FALSE)+VLOOKUP(VLOOKUP(F$1,main!$A$3:$I$56,7,FALSE),main!$K$10:$Q$14,6,FALSE),1,0)</f>
        <v>0</v>
      </c>
      <c r="G179">
        <f>IF(VLOOKUP(G$1,main!$A$3:$I$56,5,FALSE)-VLOOKUP($A179,main!$A$3:$I$56,6,FALSE)&gt;=VLOOKUP(58,main!$A$57:$I$61,4,FALSE)+VLOOKUP(VLOOKUP(G$1,main!$A$3:$I$56,7,FALSE),main!$K$10:$Q$14,6,FALSE),1,0)</f>
        <v>0</v>
      </c>
      <c r="H179">
        <f>IF(VLOOKUP(H$1,main!$A$3:$I$56,5,FALSE)-VLOOKUP($A179,main!$A$3:$I$56,6,FALSE)&gt;=VLOOKUP(58,main!$A$57:$I$61,4,FALSE)+VLOOKUP(VLOOKUP(H$1,main!$A$3:$I$56,7,FALSE),main!$K$10:$Q$14,6,FALSE),1,0)</f>
        <v>0</v>
      </c>
      <c r="I179">
        <f>IF(VLOOKUP(I$1,main!$A$3:$I$56,5,FALSE)-VLOOKUP($A179,main!$A$3:$I$56,6,FALSE)&gt;=VLOOKUP(58,main!$A$57:$I$61,4,FALSE)+VLOOKUP(VLOOKUP(I$1,main!$A$3:$I$56,7,FALSE),main!$K$10:$Q$14,6,FALSE),1,0)</f>
        <v>0</v>
      </c>
      <c r="J179">
        <f>IF(VLOOKUP(J$1,main!$A$3:$I$56,5,FALSE)-VLOOKUP($A179,main!$A$3:$I$56,6,FALSE)&gt;=VLOOKUP(58,main!$A$57:$I$61,4,FALSE)+VLOOKUP(VLOOKUP(J$1,main!$A$3:$I$56,7,FALSE),main!$K$10:$Q$14,6,FALSE),1,0)</f>
        <v>0</v>
      </c>
      <c r="K179">
        <f>IF(VLOOKUP(K$1,main!$A$3:$I$56,5,FALSE)-VLOOKUP($A179,main!$A$3:$I$56,6,FALSE)&gt;=VLOOKUP(58,main!$A$57:$I$61,4,FALSE)+VLOOKUP(VLOOKUP(K$1,main!$A$3:$I$56,7,FALSE),main!$K$10:$Q$14,6,FALSE),1,0)</f>
        <v>0</v>
      </c>
      <c r="L179">
        <f>IF(VLOOKUP(L$1,main!$A$3:$I$56,5,FALSE)-VLOOKUP($A179,main!$A$3:$I$56,6,FALSE)&gt;=VLOOKUP(58,main!$A$57:$I$61,4,FALSE)+VLOOKUP(VLOOKUP(L$1,main!$A$3:$I$56,7,FALSE),main!$K$10:$Q$14,6,FALSE),1,0)</f>
        <v>0</v>
      </c>
      <c r="M179">
        <f>IF(VLOOKUP(M$1,main!$A$3:$I$56,5,FALSE)-VLOOKUP($A179,main!$A$3:$I$56,6,FALSE)&gt;=VLOOKUP(58,main!$A$57:$I$61,4,FALSE)+VLOOKUP(VLOOKUP(M$1,main!$A$3:$I$56,7,FALSE),main!$K$10:$Q$14,6,FALSE),1,0)</f>
        <v>0</v>
      </c>
      <c r="N179">
        <f>IF(VLOOKUP(N$1,main!$A$3:$I$56,5,FALSE)-VLOOKUP($A179,main!$A$3:$I$56,6,FALSE)&gt;=VLOOKUP(58,main!$A$57:$I$61,4,FALSE)+VLOOKUP(VLOOKUP(N$1,main!$A$3:$I$56,7,FALSE),main!$K$10:$Q$14,6,FALSE),1,0)</f>
        <v>0</v>
      </c>
      <c r="O179">
        <f>IF(VLOOKUP(O$1,main!$A$3:$I$56,5,FALSE)-VLOOKUP($A179,main!$A$3:$I$56,6,FALSE)&gt;=VLOOKUP(58,main!$A$57:$I$61,4,FALSE)+VLOOKUP(VLOOKUP(O$1,main!$A$3:$I$56,7,FALSE),main!$K$10:$Q$14,6,FALSE),1,0)</f>
        <v>0</v>
      </c>
      <c r="P179">
        <f>IF(VLOOKUP(P$1,main!$A$3:$I$56,5,FALSE)-VLOOKUP($A179,main!$A$3:$I$56,6,FALSE)&gt;=VLOOKUP(58,main!$A$57:$I$61,4,FALSE)+VLOOKUP(VLOOKUP(P$1,main!$A$3:$I$56,7,FALSE),main!$K$10:$Q$14,6,FALSE),1,0)</f>
        <v>0</v>
      </c>
      <c r="Q179">
        <f>IF(VLOOKUP(Q$1,main!$A$3:$I$56,5,FALSE)-VLOOKUP($A179,main!$A$3:$I$56,6,FALSE)&gt;=VLOOKUP(58,main!$A$57:$I$61,4,FALSE)+VLOOKUP(VLOOKUP(Q$1,main!$A$3:$I$56,7,FALSE),main!$K$10:$Q$14,6,FALSE),1,0)</f>
        <v>0</v>
      </c>
      <c r="R179">
        <f>IF(VLOOKUP(R$1,main!$A$3:$I$56,5,FALSE)-VLOOKUP($A179,main!$A$3:$I$56,6,FALSE)&gt;=VLOOKUP(58,main!$A$57:$I$61,4,FALSE)+VLOOKUP(VLOOKUP(R$1,main!$A$3:$I$56,7,FALSE),main!$K$10:$Q$14,6,FALSE),1,0)</f>
        <v>0</v>
      </c>
      <c r="S179">
        <f>IF(VLOOKUP(S$1,main!$A$3:$I$56,5,FALSE)-VLOOKUP($A179,main!$A$3:$I$56,6,FALSE)&gt;=VLOOKUP(58,main!$A$57:$I$61,4,FALSE)+VLOOKUP(VLOOKUP(S$1,main!$A$3:$I$56,7,FALSE),main!$K$10:$Q$14,6,FALSE),1,0)</f>
        <v>0</v>
      </c>
      <c r="T179">
        <f>IF(VLOOKUP(T$1,main!$A$3:$I$56,5,FALSE)-VLOOKUP($A179,main!$A$3:$I$56,6,FALSE)&gt;=VLOOKUP(58,main!$A$57:$I$61,4,FALSE)+VLOOKUP(VLOOKUP(T$1,main!$A$3:$I$56,7,FALSE),main!$K$10:$Q$14,6,FALSE),1,0)</f>
        <v>0</v>
      </c>
      <c r="U179">
        <f>IF(VLOOKUP(U$1,main!$A$3:$I$56,5,FALSE)-VLOOKUP($A179,main!$A$3:$I$56,6,FALSE)&gt;=VLOOKUP(58,main!$A$57:$I$61,4,FALSE)+VLOOKUP(VLOOKUP(U$1,main!$A$3:$I$56,7,FALSE),main!$K$10:$Q$14,6,FALSE),1,0)</f>
        <v>0</v>
      </c>
      <c r="V179">
        <f>IF(VLOOKUP(V$1,main!$A$3:$I$56,5,FALSE)-VLOOKUP($A179,main!$A$3:$I$56,6,FALSE)&gt;=VLOOKUP(58,main!$A$57:$I$61,4,FALSE)+VLOOKUP(VLOOKUP(V$1,main!$A$3:$I$56,7,FALSE),main!$K$10:$Q$14,6,FALSE),1,0)</f>
        <v>0</v>
      </c>
      <c r="W179">
        <f>IF(VLOOKUP(W$1,main!$A$3:$I$56,5,FALSE)-VLOOKUP($A179,main!$A$3:$I$56,6,FALSE)&gt;=VLOOKUP(58,main!$A$57:$I$61,4,FALSE)+VLOOKUP(VLOOKUP(W$1,main!$A$3:$I$56,7,FALSE),main!$K$10:$Q$14,6,FALSE),1,0)</f>
        <v>0</v>
      </c>
      <c r="X179">
        <f>IF(VLOOKUP(X$1,main!$A$3:$I$56,5,FALSE)-VLOOKUP($A179,main!$A$3:$I$56,6,FALSE)&gt;=VLOOKUP(58,main!$A$57:$I$61,4,FALSE)+VLOOKUP(VLOOKUP(X$1,main!$A$3:$I$56,7,FALSE),main!$K$10:$Q$14,6,FALSE),1,0)</f>
        <v>0</v>
      </c>
      <c r="Y179">
        <f>IF(VLOOKUP(Y$1,main!$A$3:$I$56,5,FALSE)-VLOOKUP($A179,main!$A$3:$I$56,6,FALSE)&gt;=VLOOKUP(58,main!$A$57:$I$61,4,FALSE)+VLOOKUP(VLOOKUP(Y$1,main!$A$3:$I$56,7,FALSE),main!$K$10:$Q$14,6,FALSE),1,0)</f>
        <v>0</v>
      </c>
      <c r="Z179">
        <f>IF(VLOOKUP(Z$1,main!$A$3:$I$56,5,FALSE)-VLOOKUP($A179,main!$A$3:$I$56,6,FALSE)&gt;=VLOOKUP(58,main!$A$57:$I$61,4,FALSE)+VLOOKUP(VLOOKUP(Z$1,main!$A$3:$I$56,7,FALSE),main!$K$10:$Q$14,6,FALSE),1,0)</f>
        <v>0</v>
      </c>
      <c r="AA179">
        <f>IF(VLOOKUP(AA$1,main!$A$3:$I$56,5,FALSE)-VLOOKUP($A179,main!$A$3:$I$56,6,FALSE)&gt;=VLOOKUP(58,main!$A$57:$I$61,4,FALSE)+VLOOKUP(VLOOKUP(AA$1,main!$A$3:$I$56,7,FALSE),main!$K$10:$Q$14,6,FALSE),1,0)</f>
        <v>0</v>
      </c>
      <c r="AB179">
        <f>IF(VLOOKUP(AB$1,main!$A$3:$I$56,5,FALSE)-VLOOKUP($A179,main!$A$3:$I$56,6,FALSE)&gt;=VLOOKUP(58,main!$A$57:$I$61,4,FALSE)+VLOOKUP(VLOOKUP(AB$1,main!$A$3:$I$56,7,FALSE),main!$K$10:$Q$14,6,FALSE),1,0)</f>
        <v>0</v>
      </c>
      <c r="AC179">
        <f>IF(VLOOKUP(AC$1,main!$A$3:$I$56,5,FALSE)-VLOOKUP($A179,main!$A$3:$I$56,6,FALSE)&gt;=VLOOKUP(58,main!$A$57:$I$61,4,FALSE)+VLOOKUP(VLOOKUP(AC$1,main!$A$3:$I$56,7,FALSE),main!$K$10:$Q$14,6,FALSE),1,0)</f>
        <v>0</v>
      </c>
      <c r="AD179">
        <f>IF(VLOOKUP(AD$1,main!$A$3:$I$56,5,FALSE)-VLOOKUP($A179,main!$A$3:$I$56,6,FALSE)&gt;=VLOOKUP(58,main!$A$57:$I$61,4,FALSE)+VLOOKUP(VLOOKUP(AD$1,main!$A$3:$I$56,7,FALSE),main!$K$10:$Q$14,6,FALSE),1,0)</f>
        <v>0</v>
      </c>
      <c r="AE179">
        <f>IF(VLOOKUP(AE$1,main!$A$3:$I$56,5,FALSE)-VLOOKUP($A179,main!$A$3:$I$56,6,FALSE)&gt;=VLOOKUP(58,main!$A$57:$I$61,4,FALSE)+VLOOKUP(VLOOKUP(AE$1,main!$A$3:$I$56,7,FALSE),main!$K$10:$Q$14,6,FALSE),1,0)</f>
        <v>0</v>
      </c>
      <c r="AF179">
        <f>IF(VLOOKUP(AF$1,main!$A$3:$I$56,5,FALSE)-VLOOKUP($A179,main!$A$3:$I$56,6,FALSE)&gt;=VLOOKUP(58,main!$A$57:$I$61,4,FALSE)+VLOOKUP(VLOOKUP(AF$1,main!$A$3:$I$56,7,FALSE),main!$K$10:$Q$14,6,FALSE),1,0)</f>
        <v>0</v>
      </c>
      <c r="AG179">
        <f>IF(VLOOKUP(AG$1,main!$A$3:$I$56,5,FALSE)-VLOOKUP($A179,main!$A$3:$I$56,6,FALSE)&gt;=VLOOKUP(58,main!$A$57:$I$61,4,FALSE)+VLOOKUP(VLOOKUP(AG$1,main!$A$3:$I$56,7,FALSE),main!$K$10:$Q$14,6,FALSE),1,0)</f>
        <v>0</v>
      </c>
      <c r="AH179">
        <f>IF(VLOOKUP(AH$1,main!$A$3:$I$56,5,FALSE)-VLOOKUP($A179,main!$A$3:$I$56,6,FALSE)&gt;=VLOOKUP(58,main!$A$57:$I$61,4,FALSE)+VLOOKUP(VLOOKUP(AH$1,main!$A$3:$I$56,7,FALSE),main!$K$10:$Q$14,6,FALSE),1,0)</f>
        <v>0</v>
      </c>
      <c r="AI179">
        <f>IF(VLOOKUP(AI$1,main!$A$3:$I$56,5,FALSE)-VLOOKUP($A179,main!$A$3:$I$56,6,FALSE)&gt;=VLOOKUP(58,main!$A$57:$I$61,4,FALSE)+VLOOKUP(VLOOKUP(AI$1,main!$A$3:$I$56,7,FALSE),main!$K$10:$Q$14,6,FALSE),1,0)</f>
        <v>0</v>
      </c>
      <c r="AJ179">
        <f>IF(VLOOKUP(AJ$1,main!$A$3:$I$56,5,FALSE)-VLOOKUP($A179,main!$A$3:$I$56,6,FALSE)&gt;=VLOOKUP(58,main!$A$57:$I$61,4,FALSE)+VLOOKUP(VLOOKUP(AJ$1,main!$A$3:$I$56,7,FALSE),main!$K$10:$Q$14,6,FALSE),1,0)</f>
        <v>0</v>
      </c>
      <c r="AK179">
        <f>IF(VLOOKUP(AK$1,main!$A$3:$I$56,5,FALSE)-VLOOKUP($A179,main!$A$3:$I$56,6,FALSE)&gt;=VLOOKUP(58,main!$A$57:$I$61,4,FALSE)+VLOOKUP(VLOOKUP(AK$1,main!$A$3:$I$56,7,FALSE),main!$K$10:$Q$14,6,FALSE),1,0)</f>
        <v>0</v>
      </c>
      <c r="AL179">
        <f>IF(VLOOKUP(AL$1,main!$A$3:$I$56,5,FALSE)-VLOOKUP($A179,main!$A$3:$I$56,6,FALSE)&gt;=VLOOKUP(58,main!$A$57:$I$61,4,FALSE)+VLOOKUP(VLOOKUP(AL$1,main!$A$3:$I$56,7,FALSE),main!$K$10:$Q$14,6,FALSE),1,0)</f>
        <v>0</v>
      </c>
      <c r="AM179">
        <f>IF(VLOOKUP(AM$1,main!$A$3:$I$56,5,FALSE)-VLOOKUP($A179,main!$A$3:$I$56,6,FALSE)&gt;=VLOOKUP(58,main!$A$57:$I$61,4,FALSE)+VLOOKUP(VLOOKUP(AM$1,main!$A$3:$I$56,7,FALSE),main!$K$10:$Q$14,6,FALSE),1,0)</f>
        <v>0</v>
      </c>
      <c r="AN179">
        <f>IF(VLOOKUP(AN$1,main!$A$3:$I$56,5,FALSE)-VLOOKUP($A179,main!$A$3:$I$56,6,FALSE)&gt;=VLOOKUP(58,main!$A$57:$I$61,4,FALSE)+VLOOKUP(VLOOKUP(AN$1,main!$A$3:$I$56,7,FALSE),main!$K$10:$Q$14,6,FALSE),1,0)</f>
        <v>0</v>
      </c>
      <c r="AO179">
        <f>IF(VLOOKUP(AO$1,main!$A$3:$I$56,5,FALSE)-VLOOKUP($A179,main!$A$3:$I$56,6,FALSE)&gt;=VLOOKUP(58,main!$A$57:$I$61,4,FALSE)+VLOOKUP(VLOOKUP(AO$1,main!$A$3:$I$56,7,FALSE),main!$K$10:$Q$14,6,FALSE),1,0)</f>
        <v>0</v>
      </c>
      <c r="AP179">
        <f>IF(VLOOKUP(AP$1,main!$A$3:$I$56,5,FALSE)-VLOOKUP($A179,main!$A$3:$I$56,6,FALSE)&gt;=VLOOKUP(58,main!$A$57:$I$61,4,FALSE)+VLOOKUP(VLOOKUP(AP$1,main!$A$3:$I$56,7,FALSE),main!$K$10:$Q$14,6,FALSE),1,0)</f>
        <v>0</v>
      </c>
      <c r="AQ179">
        <f>IF(VLOOKUP(AQ$1,main!$A$3:$I$56,5,FALSE)-VLOOKUP($A179,main!$A$3:$I$56,6,FALSE)&gt;=VLOOKUP(58,main!$A$57:$I$61,4,FALSE)+VLOOKUP(VLOOKUP(AQ$1,main!$A$3:$I$56,7,FALSE),main!$K$10:$Q$14,6,FALSE),1,0)</f>
        <v>0</v>
      </c>
      <c r="AR179">
        <f>IF(VLOOKUP(AR$1,main!$A$3:$I$56,5,FALSE)-VLOOKUP($A179,main!$A$3:$I$56,6,FALSE)&gt;=VLOOKUP(58,main!$A$57:$I$61,4,FALSE)+VLOOKUP(VLOOKUP(AR$1,main!$A$3:$I$56,7,FALSE),main!$K$10:$Q$14,6,FALSE),1,0)</f>
        <v>0</v>
      </c>
      <c r="AS179">
        <f>IF(VLOOKUP(AS$1,main!$A$3:$I$56,5,FALSE)-VLOOKUP($A179,main!$A$3:$I$56,6,FALSE)&gt;=VLOOKUP(58,main!$A$57:$I$61,4,FALSE)+VLOOKUP(VLOOKUP(AS$1,main!$A$3:$I$56,7,FALSE),main!$K$10:$Q$14,6,FALSE),1,0)</f>
        <v>0</v>
      </c>
      <c r="AT179">
        <f>IF(VLOOKUP(AT$1,main!$A$3:$I$56,5,FALSE)-VLOOKUP($A179,main!$A$3:$I$56,6,FALSE)&gt;=VLOOKUP(58,main!$A$57:$I$61,4,FALSE)+VLOOKUP(VLOOKUP(AT$1,main!$A$3:$I$56,7,FALSE),main!$K$10:$Q$14,6,FALSE),1,0)</f>
        <v>0</v>
      </c>
      <c r="AU179">
        <f>IF(VLOOKUP(AU$1,main!$A$3:$I$56,5,FALSE)-VLOOKUP($A179,main!$A$3:$I$56,6,FALSE)&gt;=VLOOKUP(58,main!$A$57:$I$61,4,FALSE)+VLOOKUP(VLOOKUP(AU$1,main!$A$3:$I$56,7,FALSE),main!$K$10:$Q$14,6,FALSE),1,0)</f>
        <v>0</v>
      </c>
      <c r="AV179">
        <f>IF(VLOOKUP(AV$1,main!$A$3:$I$56,5,FALSE)-VLOOKUP($A179,main!$A$3:$I$56,6,FALSE)&gt;=VLOOKUP(58,main!$A$57:$I$61,4,FALSE)+VLOOKUP(VLOOKUP(AV$1,main!$A$3:$I$56,7,FALSE),main!$K$10:$Q$14,6,FALSE),1,0)</f>
        <v>0</v>
      </c>
      <c r="AW179">
        <f>IF(VLOOKUP(AW$1,main!$A$3:$I$56,5,FALSE)-VLOOKUP($A179,main!$A$3:$I$56,6,FALSE)&gt;=VLOOKUP(58,main!$A$57:$I$61,4,FALSE)+VLOOKUP(VLOOKUP(AW$1,main!$A$3:$I$56,7,FALSE),main!$K$10:$Q$14,6,FALSE),1,0)</f>
        <v>0</v>
      </c>
      <c r="AX179">
        <f>IF(VLOOKUP(AX$1,main!$A$3:$I$56,5,FALSE)-VLOOKUP($A179,main!$A$3:$I$56,6,FALSE)&gt;=VLOOKUP(58,main!$A$57:$I$61,4,FALSE)+VLOOKUP(VLOOKUP(AX$1,main!$A$3:$I$56,7,FALSE),main!$K$10:$Q$14,6,FALSE),1,0)</f>
        <v>0</v>
      </c>
      <c r="AY179">
        <f>IF(VLOOKUP(AY$1,main!$A$3:$I$56,5,FALSE)-VLOOKUP($A179,main!$A$3:$I$56,6,FALSE)&gt;=VLOOKUP(58,main!$A$57:$I$61,4,FALSE)+VLOOKUP(VLOOKUP(AY$1,main!$A$3:$I$56,7,FALSE),main!$K$10:$Q$14,6,FALSE),1,0)</f>
        <v>0</v>
      </c>
      <c r="AZ179">
        <f>IF(VLOOKUP(AZ$1,main!$A$3:$I$56,5,FALSE)-VLOOKUP($A179,main!$A$3:$I$56,6,FALSE)&gt;=VLOOKUP(58,main!$A$57:$I$61,4,FALSE)+VLOOKUP(VLOOKUP(AZ$1,main!$A$3:$I$56,7,FALSE),main!$K$10:$Q$14,6,FALSE),1,0)</f>
        <v>0</v>
      </c>
      <c r="BA179">
        <f>IF(VLOOKUP(BA$1,main!$A$3:$I$56,5,FALSE)-VLOOKUP($A179,main!$A$3:$I$56,6,FALSE)&gt;=VLOOKUP(58,main!$A$57:$I$61,4,FALSE)+VLOOKUP(VLOOKUP(BA$1,main!$A$3:$I$56,7,FALSE),main!$K$10:$Q$14,6,FALSE),1,0)</f>
        <v>0</v>
      </c>
      <c r="BB179">
        <f>IF(VLOOKUP(BB$1,main!$A$3:$I$56,5,FALSE)-VLOOKUP($A179,main!$A$3:$I$56,6,FALSE)&gt;=VLOOKUP(58,main!$A$57:$I$61,4,FALSE)+VLOOKUP(VLOOKUP(BB$1,main!$A$3:$I$56,7,FALSE),main!$K$10:$Q$14,6,FALSE),1,0)</f>
        <v>0</v>
      </c>
      <c r="BC179">
        <f>IF(VLOOKUP(BC$1,main!$A$3:$I$56,5,FALSE)-VLOOKUP($A179,main!$A$3:$I$56,6,FALSE)&gt;=VLOOKUP(58,main!$A$57:$I$61,4,FALSE)+VLOOKUP(VLOOKUP(BC$1,main!$A$3:$I$56,7,FALSE),main!$K$10:$Q$14,6,FALSE),1,0)</f>
        <v>0</v>
      </c>
      <c r="BD179">
        <f>IF(VLOOKUP(BD$1,main!$A$3:$I$56,5,FALSE)-VLOOKUP($A179,main!$A$3:$I$56,6,FALSE)&gt;=VLOOKUP(58,main!$A$57:$I$61,4,FALSE)+VLOOKUP(VLOOKUP(BD$1,main!$A$3:$I$56,7,FALSE),main!$K$10:$Q$14,6,FALSE),1,0)</f>
        <v>0</v>
      </c>
    </row>
    <row r="180" spans="1:56" x14ac:dyDescent="0.25">
      <c r="A180">
        <f t="shared" si="3"/>
        <v>13</v>
      </c>
      <c r="B180">
        <v>0</v>
      </c>
      <c r="C180">
        <f>IF(VLOOKUP(C$1,main!$A$3:$I$56,5,FALSE)-VLOOKUP($A180,main!$A$3:$I$56,6,FALSE)&gt;=VLOOKUP(58,main!$A$57:$I$61,4,FALSE)+VLOOKUP(VLOOKUP(C$1,main!$A$3:$I$56,7,FALSE),main!$K$10:$Q$14,6,FALSE),1,0)</f>
        <v>0</v>
      </c>
      <c r="D180">
        <f>IF(VLOOKUP(D$1,main!$A$3:$I$56,5,FALSE)-VLOOKUP($A180,main!$A$3:$I$56,6,FALSE)&gt;=VLOOKUP(58,main!$A$57:$I$61,4,FALSE)+VLOOKUP(VLOOKUP(D$1,main!$A$3:$I$56,7,FALSE),main!$K$10:$Q$14,6,FALSE),1,0)</f>
        <v>0</v>
      </c>
      <c r="E180">
        <f>IF(VLOOKUP(E$1,main!$A$3:$I$56,5,FALSE)-VLOOKUP($A180,main!$A$3:$I$56,6,FALSE)&gt;=VLOOKUP(58,main!$A$57:$I$61,4,FALSE)+VLOOKUP(VLOOKUP(E$1,main!$A$3:$I$56,7,FALSE),main!$K$10:$Q$14,6,FALSE),1,0)</f>
        <v>0</v>
      </c>
      <c r="F180">
        <f>IF(VLOOKUP(F$1,main!$A$3:$I$56,5,FALSE)-VLOOKUP($A180,main!$A$3:$I$56,6,FALSE)&gt;=VLOOKUP(58,main!$A$57:$I$61,4,FALSE)+VLOOKUP(VLOOKUP(F$1,main!$A$3:$I$56,7,FALSE),main!$K$10:$Q$14,6,FALSE),1,0)</f>
        <v>0</v>
      </c>
      <c r="G180">
        <f>IF(VLOOKUP(G$1,main!$A$3:$I$56,5,FALSE)-VLOOKUP($A180,main!$A$3:$I$56,6,FALSE)&gt;=VLOOKUP(58,main!$A$57:$I$61,4,FALSE)+VLOOKUP(VLOOKUP(G$1,main!$A$3:$I$56,7,FALSE),main!$K$10:$Q$14,6,FALSE),1,0)</f>
        <v>0</v>
      </c>
      <c r="H180">
        <f>IF(VLOOKUP(H$1,main!$A$3:$I$56,5,FALSE)-VLOOKUP($A180,main!$A$3:$I$56,6,FALSE)&gt;=VLOOKUP(58,main!$A$57:$I$61,4,FALSE)+VLOOKUP(VLOOKUP(H$1,main!$A$3:$I$56,7,FALSE),main!$K$10:$Q$14,6,FALSE),1,0)</f>
        <v>0</v>
      </c>
      <c r="I180">
        <f>IF(VLOOKUP(I$1,main!$A$3:$I$56,5,FALSE)-VLOOKUP($A180,main!$A$3:$I$56,6,FALSE)&gt;=VLOOKUP(58,main!$A$57:$I$61,4,FALSE)+VLOOKUP(VLOOKUP(I$1,main!$A$3:$I$56,7,FALSE),main!$K$10:$Q$14,6,FALSE),1,0)</f>
        <v>0</v>
      </c>
      <c r="J180">
        <f>IF(VLOOKUP(J$1,main!$A$3:$I$56,5,FALSE)-VLOOKUP($A180,main!$A$3:$I$56,6,FALSE)&gt;=VLOOKUP(58,main!$A$57:$I$61,4,FALSE)+VLOOKUP(VLOOKUP(J$1,main!$A$3:$I$56,7,FALSE),main!$K$10:$Q$14,6,FALSE),1,0)</f>
        <v>0</v>
      </c>
      <c r="K180">
        <f>IF(VLOOKUP(K$1,main!$A$3:$I$56,5,FALSE)-VLOOKUP($A180,main!$A$3:$I$56,6,FALSE)&gt;=VLOOKUP(58,main!$A$57:$I$61,4,FALSE)+VLOOKUP(VLOOKUP(K$1,main!$A$3:$I$56,7,FALSE),main!$K$10:$Q$14,6,FALSE),1,0)</f>
        <v>0</v>
      </c>
      <c r="L180">
        <f>IF(VLOOKUP(L$1,main!$A$3:$I$56,5,FALSE)-VLOOKUP($A180,main!$A$3:$I$56,6,FALSE)&gt;=VLOOKUP(58,main!$A$57:$I$61,4,FALSE)+VLOOKUP(VLOOKUP(L$1,main!$A$3:$I$56,7,FALSE),main!$K$10:$Q$14,6,FALSE),1,0)</f>
        <v>0</v>
      </c>
      <c r="M180">
        <f>IF(VLOOKUP(M$1,main!$A$3:$I$56,5,FALSE)-VLOOKUP($A180,main!$A$3:$I$56,6,FALSE)&gt;=VLOOKUP(58,main!$A$57:$I$61,4,FALSE)+VLOOKUP(VLOOKUP(M$1,main!$A$3:$I$56,7,FALSE),main!$K$10:$Q$14,6,FALSE),1,0)</f>
        <v>0</v>
      </c>
      <c r="N180">
        <f>IF(VLOOKUP(N$1,main!$A$3:$I$56,5,FALSE)-VLOOKUP($A180,main!$A$3:$I$56,6,FALSE)&gt;=VLOOKUP(58,main!$A$57:$I$61,4,FALSE)+VLOOKUP(VLOOKUP(N$1,main!$A$3:$I$56,7,FALSE),main!$K$10:$Q$14,6,FALSE),1,0)</f>
        <v>0</v>
      </c>
      <c r="O180">
        <f>IF(VLOOKUP(O$1,main!$A$3:$I$56,5,FALSE)-VLOOKUP($A180,main!$A$3:$I$56,6,FALSE)&gt;=VLOOKUP(58,main!$A$57:$I$61,4,FALSE)+VLOOKUP(VLOOKUP(O$1,main!$A$3:$I$56,7,FALSE),main!$K$10:$Q$14,6,FALSE),1,0)</f>
        <v>0</v>
      </c>
      <c r="P180">
        <f>IF(VLOOKUP(P$1,main!$A$3:$I$56,5,FALSE)-VLOOKUP($A180,main!$A$3:$I$56,6,FALSE)&gt;=VLOOKUP(58,main!$A$57:$I$61,4,FALSE)+VLOOKUP(VLOOKUP(P$1,main!$A$3:$I$56,7,FALSE),main!$K$10:$Q$14,6,FALSE),1,0)</f>
        <v>0</v>
      </c>
      <c r="Q180">
        <f>IF(VLOOKUP(Q$1,main!$A$3:$I$56,5,FALSE)-VLOOKUP($A180,main!$A$3:$I$56,6,FALSE)&gt;=VLOOKUP(58,main!$A$57:$I$61,4,FALSE)+VLOOKUP(VLOOKUP(Q$1,main!$A$3:$I$56,7,FALSE),main!$K$10:$Q$14,6,FALSE),1,0)</f>
        <v>0</v>
      </c>
      <c r="R180">
        <f>IF(VLOOKUP(R$1,main!$A$3:$I$56,5,FALSE)-VLOOKUP($A180,main!$A$3:$I$56,6,FALSE)&gt;=VLOOKUP(58,main!$A$57:$I$61,4,FALSE)+VLOOKUP(VLOOKUP(R$1,main!$A$3:$I$56,7,FALSE),main!$K$10:$Q$14,6,FALSE),1,0)</f>
        <v>0</v>
      </c>
      <c r="S180">
        <f>IF(VLOOKUP(S$1,main!$A$3:$I$56,5,FALSE)-VLOOKUP($A180,main!$A$3:$I$56,6,FALSE)&gt;=VLOOKUP(58,main!$A$57:$I$61,4,FALSE)+VLOOKUP(VLOOKUP(S$1,main!$A$3:$I$56,7,FALSE),main!$K$10:$Q$14,6,FALSE),1,0)</f>
        <v>0</v>
      </c>
      <c r="T180">
        <f>IF(VLOOKUP(T$1,main!$A$3:$I$56,5,FALSE)-VLOOKUP($A180,main!$A$3:$I$56,6,FALSE)&gt;=VLOOKUP(58,main!$A$57:$I$61,4,FALSE)+VLOOKUP(VLOOKUP(T$1,main!$A$3:$I$56,7,FALSE),main!$K$10:$Q$14,6,FALSE),1,0)</f>
        <v>0</v>
      </c>
      <c r="U180">
        <f>IF(VLOOKUP(U$1,main!$A$3:$I$56,5,FALSE)-VLOOKUP($A180,main!$A$3:$I$56,6,FALSE)&gt;=VLOOKUP(58,main!$A$57:$I$61,4,FALSE)+VLOOKUP(VLOOKUP(U$1,main!$A$3:$I$56,7,FALSE),main!$K$10:$Q$14,6,FALSE),1,0)</f>
        <v>0</v>
      </c>
      <c r="V180">
        <f>IF(VLOOKUP(V$1,main!$A$3:$I$56,5,FALSE)-VLOOKUP($A180,main!$A$3:$I$56,6,FALSE)&gt;=VLOOKUP(58,main!$A$57:$I$61,4,FALSE)+VLOOKUP(VLOOKUP(V$1,main!$A$3:$I$56,7,FALSE),main!$K$10:$Q$14,6,FALSE),1,0)</f>
        <v>0</v>
      </c>
      <c r="W180">
        <f>IF(VLOOKUP(W$1,main!$A$3:$I$56,5,FALSE)-VLOOKUP($A180,main!$A$3:$I$56,6,FALSE)&gt;=VLOOKUP(58,main!$A$57:$I$61,4,FALSE)+VLOOKUP(VLOOKUP(W$1,main!$A$3:$I$56,7,FALSE),main!$K$10:$Q$14,6,FALSE),1,0)</f>
        <v>0</v>
      </c>
      <c r="X180">
        <f>IF(VLOOKUP(X$1,main!$A$3:$I$56,5,FALSE)-VLOOKUP($A180,main!$A$3:$I$56,6,FALSE)&gt;=VLOOKUP(58,main!$A$57:$I$61,4,FALSE)+VLOOKUP(VLOOKUP(X$1,main!$A$3:$I$56,7,FALSE),main!$K$10:$Q$14,6,FALSE),1,0)</f>
        <v>0</v>
      </c>
      <c r="Y180">
        <f>IF(VLOOKUP(Y$1,main!$A$3:$I$56,5,FALSE)-VLOOKUP($A180,main!$A$3:$I$56,6,FALSE)&gt;=VLOOKUP(58,main!$A$57:$I$61,4,FALSE)+VLOOKUP(VLOOKUP(Y$1,main!$A$3:$I$56,7,FALSE),main!$K$10:$Q$14,6,FALSE),1,0)</f>
        <v>0</v>
      </c>
      <c r="Z180">
        <f>IF(VLOOKUP(Z$1,main!$A$3:$I$56,5,FALSE)-VLOOKUP($A180,main!$A$3:$I$56,6,FALSE)&gt;=VLOOKUP(58,main!$A$57:$I$61,4,FALSE)+VLOOKUP(VLOOKUP(Z$1,main!$A$3:$I$56,7,FALSE),main!$K$10:$Q$14,6,FALSE),1,0)</f>
        <v>0</v>
      </c>
      <c r="AA180">
        <f>IF(VLOOKUP(AA$1,main!$A$3:$I$56,5,FALSE)-VLOOKUP($A180,main!$A$3:$I$56,6,FALSE)&gt;=VLOOKUP(58,main!$A$57:$I$61,4,FALSE)+VLOOKUP(VLOOKUP(AA$1,main!$A$3:$I$56,7,FALSE),main!$K$10:$Q$14,6,FALSE),1,0)</f>
        <v>0</v>
      </c>
      <c r="AB180">
        <f>IF(VLOOKUP(AB$1,main!$A$3:$I$56,5,FALSE)-VLOOKUP($A180,main!$A$3:$I$56,6,FALSE)&gt;=VLOOKUP(58,main!$A$57:$I$61,4,FALSE)+VLOOKUP(VLOOKUP(AB$1,main!$A$3:$I$56,7,FALSE),main!$K$10:$Q$14,6,FALSE),1,0)</f>
        <v>0</v>
      </c>
      <c r="AC180">
        <f>IF(VLOOKUP(AC$1,main!$A$3:$I$56,5,FALSE)-VLOOKUP($A180,main!$A$3:$I$56,6,FALSE)&gt;=VLOOKUP(58,main!$A$57:$I$61,4,FALSE)+VLOOKUP(VLOOKUP(AC$1,main!$A$3:$I$56,7,FALSE),main!$K$10:$Q$14,6,FALSE),1,0)</f>
        <v>0</v>
      </c>
      <c r="AD180">
        <f>IF(VLOOKUP(AD$1,main!$A$3:$I$56,5,FALSE)-VLOOKUP($A180,main!$A$3:$I$56,6,FALSE)&gt;=VLOOKUP(58,main!$A$57:$I$61,4,FALSE)+VLOOKUP(VLOOKUP(AD$1,main!$A$3:$I$56,7,FALSE),main!$K$10:$Q$14,6,FALSE),1,0)</f>
        <v>0</v>
      </c>
      <c r="AE180">
        <f>IF(VLOOKUP(AE$1,main!$A$3:$I$56,5,FALSE)-VLOOKUP($A180,main!$A$3:$I$56,6,FALSE)&gt;=VLOOKUP(58,main!$A$57:$I$61,4,FALSE)+VLOOKUP(VLOOKUP(AE$1,main!$A$3:$I$56,7,FALSE),main!$K$10:$Q$14,6,FALSE),1,0)</f>
        <v>0</v>
      </c>
      <c r="AF180">
        <f>IF(VLOOKUP(AF$1,main!$A$3:$I$56,5,FALSE)-VLOOKUP($A180,main!$A$3:$I$56,6,FALSE)&gt;=VLOOKUP(58,main!$A$57:$I$61,4,FALSE)+VLOOKUP(VLOOKUP(AF$1,main!$A$3:$I$56,7,FALSE),main!$K$10:$Q$14,6,FALSE),1,0)</f>
        <v>0</v>
      </c>
      <c r="AG180">
        <f>IF(VLOOKUP(AG$1,main!$A$3:$I$56,5,FALSE)-VLOOKUP($A180,main!$A$3:$I$56,6,FALSE)&gt;=VLOOKUP(58,main!$A$57:$I$61,4,FALSE)+VLOOKUP(VLOOKUP(AG$1,main!$A$3:$I$56,7,FALSE),main!$K$10:$Q$14,6,FALSE),1,0)</f>
        <v>0</v>
      </c>
      <c r="AH180">
        <f>IF(VLOOKUP(AH$1,main!$A$3:$I$56,5,FALSE)-VLOOKUP($A180,main!$A$3:$I$56,6,FALSE)&gt;=VLOOKUP(58,main!$A$57:$I$61,4,FALSE)+VLOOKUP(VLOOKUP(AH$1,main!$A$3:$I$56,7,FALSE),main!$K$10:$Q$14,6,FALSE),1,0)</f>
        <v>0</v>
      </c>
      <c r="AI180">
        <f>IF(VLOOKUP(AI$1,main!$A$3:$I$56,5,FALSE)-VLOOKUP($A180,main!$A$3:$I$56,6,FALSE)&gt;=VLOOKUP(58,main!$A$57:$I$61,4,FALSE)+VLOOKUP(VLOOKUP(AI$1,main!$A$3:$I$56,7,FALSE),main!$K$10:$Q$14,6,FALSE),1,0)</f>
        <v>0</v>
      </c>
      <c r="AJ180">
        <f>IF(VLOOKUP(AJ$1,main!$A$3:$I$56,5,FALSE)-VLOOKUP($A180,main!$A$3:$I$56,6,FALSE)&gt;=VLOOKUP(58,main!$A$57:$I$61,4,FALSE)+VLOOKUP(VLOOKUP(AJ$1,main!$A$3:$I$56,7,FALSE),main!$K$10:$Q$14,6,FALSE),1,0)</f>
        <v>0</v>
      </c>
      <c r="AK180">
        <f>IF(VLOOKUP(AK$1,main!$A$3:$I$56,5,FALSE)-VLOOKUP($A180,main!$A$3:$I$56,6,FALSE)&gt;=VLOOKUP(58,main!$A$57:$I$61,4,FALSE)+VLOOKUP(VLOOKUP(AK$1,main!$A$3:$I$56,7,FALSE),main!$K$10:$Q$14,6,FALSE),1,0)</f>
        <v>0</v>
      </c>
      <c r="AL180">
        <f>IF(VLOOKUP(AL$1,main!$A$3:$I$56,5,FALSE)-VLOOKUP($A180,main!$A$3:$I$56,6,FALSE)&gt;=VLOOKUP(58,main!$A$57:$I$61,4,FALSE)+VLOOKUP(VLOOKUP(AL$1,main!$A$3:$I$56,7,FALSE),main!$K$10:$Q$14,6,FALSE),1,0)</f>
        <v>0</v>
      </c>
      <c r="AM180">
        <f>IF(VLOOKUP(AM$1,main!$A$3:$I$56,5,FALSE)-VLOOKUP($A180,main!$A$3:$I$56,6,FALSE)&gt;=VLOOKUP(58,main!$A$57:$I$61,4,FALSE)+VLOOKUP(VLOOKUP(AM$1,main!$A$3:$I$56,7,FALSE),main!$K$10:$Q$14,6,FALSE),1,0)</f>
        <v>0</v>
      </c>
      <c r="AN180">
        <f>IF(VLOOKUP(AN$1,main!$A$3:$I$56,5,FALSE)-VLOOKUP($A180,main!$A$3:$I$56,6,FALSE)&gt;=VLOOKUP(58,main!$A$57:$I$61,4,FALSE)+VLOOKUP(VLOOKUP(AN$1,main!$A$3:$I$56,7,FALSE),main!$K$10:$Q$14,6,FALSE),1,0)</f>
        <v>0</v>
      </c>
      <c r="AO180">
        <f>IF(VLOOKUP(AO$1,main!$A$3:$I$56,5,FALSE)-VLOOKUP($A180,main!$A$3:$I$56,6,FALSE)&gt;=VLOOKUP(58,main!$A$57:$I$61,4,FALSE)+VLOOKUP(VLOOKUP(AO$1,main!$A$3:$I$56,7,FALSE),main!$K$10:$Q$14,6,FALSE),1,0)</f>
        <v>0</v>
      </c>
      <c r="AP180">
        <f>IF(VLOOKUP(AP$1,main!$A$3:$I$56,5,FALSE)-VLOOKUP($A180,main!$A$3:$I$56,6,FALSE)&gt;=VLOOKUP(58,main!$A$57:$I$61,4,FALSE)+VLOOKUP(VLOOKUP(AP$1,main!$A$3:$I$56,7,FALSE),main!$K$10:$Q$14,6,FALSE),1,0)</f>
        <v>0</v>
      </c>
      <c r="AQ180">
        <f>IF(VLOOKUP(AQ$1,main!$A$3:$I$56,5,FALSE)-VLOOKUP($A180,main!$A$3:$I$56,6,FALSE)&gt;=VLOOKUP(58,main!$A$57:$I$61,4,FALSE)+VLOOKUP(VLOOKUP(AQ$1,main!$A$3:$I$56,7,FALSE),main!$K$10:$Q$14,6,FALSE),1,0)</f>
        <v>0</v>
      </c>
      <c r="AR180">
        <f>IF(VLOOKUP(AR$1,main!$A$3:$I$56,5,FALSE)-VLOOKUP($A180,main!$A$3:$I$56,6,FALSE)&gt;=VLOOKUP(58,main!$A$57:$I$61,4,FALSE)+VLOOKUP(VLOOKUP(AR$1,main!$A$3:$I$56,7,FALSE),main!$K$10:$Q$14,6,FALSE),1,0)</f>
        <v>0</v>
      </c>
      <c r="AS180">
        <f>IF(VLOOKUP(AS$1,main!$A$3:$I$56,5,FALSE)-VLOOKUP($A180,main!$A$3:$I$56,6,FALSE)&gt;=VLOOKUP(58,main!$A$57:$I$61,4,FALSE)+VLOOKUP(VLOOKUP(AS$1,main!$A$3:$I$56,7,FALSE),main!$K$10:$Q$14,6,FALSE),1,0)</f>
        <v>0</v>
      </c>
      <c r="AT180">
        <f>IF(VLOOKUP(AT$1,main!$A$3:$I$56,5,FALSE)-VLOOKUP($A180,main!$A$3:$I$56,6,FALSE)&gt;=VLOOKUP(58,main!$A$57:$I$61,4,FALSE)+VLOOKUP(VLOOKUP(AT$1,main!$A$3:$I$56,7,FALSE),main!$K$10:$Q$14,6,FALSE),1,0)</f>
        <v>0</v>
      </c>
      <c r="AU180">
        <f>IF(VLOOKUP(AU$1,main!$A$3:$I$56,5,FALSE)-VLOOKUP($A180,main!$A$3:$I$56,6,FALSE)&gt;=VLOOKUP(58,main!$A$57:$I$61,4,FALSE)+VLOOKUP(VLOOKUP(AU$1,main!$A$3:$I$56,7,FALSE),main!$K$10:$Q$14,6,FALSE),1,0)</f>
        <v>0</v>
      </c>
      <c r="AV180">
        <f>IF(VLOOKUP(AV$1,main!$A$3:$I$56,5,FALSE)-VLOOKUP($A180,main!$A$3:$I$56,6,FALSE)&gt;=VLOOKUP(58,main!$A$57:$I$61,4,FALSE)+VLOOKUP(VLOOKUP(AV$1,main!$A$3:$I$56,7,FALSE),main!$K$10:$Q$14,6,FALSE),1,0)</f>
        <v>0</v>
      </c>
      <c r="AW180">
        <f>IF(VLOOKUP(AW$1,main!$A$3:$I$56,5,FALSE)-VLOOKUP($A180,main!$A$3:$I$56,6,FALSE)&gt;=VLOOKUP(58,main!$A$57:$I$61,4,FALSE)+VLOOKUP(VLOOKUP(AW$1,main!$A$3:$I$56,7,FALSE),main!$K$10:$Q$14,6,FALSE),1,0)</f>
        <v>0</v>
      </c>
      <c r="AX180">
        <f>IF(VLOOKUP(AX$1,main!$A$3:$I$56,5,FALSE)-VLOOKUP($A180,main!$A$3:$I$56,6,FALSE)&gt;=VLOOKUP(58,main!$A$57:$I$61,4,FALSE)+VLOOKUP(VLOOKUP(AX$1,main!$A$3:$I$56,7,FALSE),main!$K$10:$Q$14,6,FALSE),1,0)</f>
        <v>0</v>
      </c>
      <c r="AY180">
        <f>IF(VLOOKUP(AY$1,main!$A$3:$I$56,5,FALSE)-VLOOKUP($A180,main!$A$3:$I$56,6,FALSE)&gt;=VLOOKUP(58,main!$A$57:$I$61,4,FALSE)+VLOOKUP(VLOOKUP(AY$1,main!$A$3:$I$56,7,FALSE),main!$K$10:$Q$14,6,FALSE),1,0)</f>
        <v>0</v>
      </c>
      <c r="AZ180">
        <f>IF(VLOOKUP(AZ$1,main!$A$3:$I$56,5,FALSE)-VLOOKUP($A180,main!$A$3:$I$56,6,FALSE)&gt;=VLOOKUP(58,main!$A$57:$I$61,4,FALSE)+VLOOKUP(VLOOKUP(AZ$1,main!$A$3:$I$56,7,FALSE),main!$K$10:$Q$14,6,FALSE),1,0)</f>
        <v>0</v>
      </c>
      <c r="BA180">
        <f>IF(VLOOKUP(BA$1,main!$A$3:$I$56,5,FALSE)-VLOOKUP($A180,main!$A$3:$I$56,6,FALSE)&gt;=VLOOKUP(58,main!$A$57:$I$61,4,FALSE)+VLOOKUP(VLOOKUP(BA$1,main!$A$3:$I$56,7,FALSE),main!$K$10:$Q$14,6,FALSE),1,0)</f>
        <v>0</v>
      </c>
      <c r="BB180">
        <f>IF(VLOOKUP(BB$1,main!$A$3:$I$56,5,FALSE)-VLOOKUP($A180,main!$A$3:$I$56,6,FALSE)&gt;=VLOOKUP(58,main!$A$57:$I$61,4,FALSE)+VLOOKUP(VLOOKUP(BB$1,main!$A$3:$I$56,7,FALSE),main!$K$10:$Q$14,6,FALSE),1,0)</f>
        <v>0</v>
      </c>
      <c r="BC180">
        <f>IF(VLOOKUP(BC$1,main!$A$3:$I$56,5,FALSE)-VLOOKUP($A180,main!$A$3:$I$56,6,FALSE)&gt;=VLOOKUP(58,main!$A$57:$I$61,4,FALSE)+VLOOKUP(VLOOKUP(BC$1,main!$A$3:$I$56,7,FALSE),main!$K$10:$Q$14,6,FALSE),1,0)</f>
        <v>0</v>
      </c>
      <c r="BD180">
        <f>IF(VLOOKUP(BD$1,main!$A$3:$I$56,5,FALSE)-VLOOKUP($A180,main!$A$3:$I$56,6,FALSE)&gt;=VLOOKUP(58,main!$A$57:$I$61,4,FALSE)+VLOOKUP(VLOOKUP(BD$1,main!$A$3:$I$56,7,FALSE),main!$K$10:$Q$14,6,FALSE),1,0)</f>
        <v>0</v>
      </c>
    </row>
    <row r="181" spans="1:56" x14ac:dyDescent="0.25">
      <c r="A181">
        <f t="shared" si="3"/>
        <v>14</v>
      </c>
      <c r="B181">
        <v>0</v>
      </c>
      <c r="C181">
        <f>IF(VLOOKUP(C$1,main!$A$3:$I$56,5,FALSE)-VLOOKUP($A181,main!$A$3:$I$56,6,FALSE)&gt;=VLOOKUP(58,main!$A$57:$I$61,4,FALSE)+VLOOKUP(VLOOKUP(C$1,main!$A$3:$I$56,7,FALSE),main!$K$10:$Q$14,6,FALSE),1,0)</f>
        <v>0</v>
      </c>
      <c r="D181">
        <f>IF(VLOOKUP(D$1,main!$A$3:$I$56,5,FALSE)-VLOOKUP($A181,main!$A$3:$I$56,6,FALSE)&gt;=VLOOKUP(58,main!$A$57:$I$61,4,FALSE)+VLOOKUP(VLOOKUP(D$1,main!$A$3:$I$56,7,FALSE),main!$K$10:$Q$14,6,FALSE),1,0)</f>
        <v>0</v>
      </c>
      <c r="E181">
        <f>IF(VLOOKUP(E$1,main!$A$3:$I$56,5,FALSE)-VLOOKUP($A181,main!$A$3:$I$56,6,FALSE)&gt;=VLOOKUP(58,main!$A$57:$I$61,4,FALSE)+VLOOKUP(VLOOKUP(E$1,main!$A$3:$I$56,7,FALSE),main!$K$10:$Q$14,6,FALSE),1,0)</f>
        <v>0</v>
      </c>
      <c r="F181">
        <f>IF(VLOOKUP(F$1,main!$A$3:$I$56,5,FALSE)-VLOOKUP($A181,main!$A$3:$I$56,6,FALSE)&gt;=VLOOKUP(58,main!$A$57:$I$61,4,FALSE)+VLOOKUP(VLOOKUP(F$1,main!$A$3:$I$56,7,FALSE),main!$K$10:$Q$14,6,FALSE),1,0)</f>
        <v>1</v>
      </c>
      <c r="G181">
        <f>IF(VLOOKUP(G$1,main!$A$3:$I$56,5,FALSE)-VLOOKUP($A181,main!$A$3:$I$56,6,FALSE)&gt;=VLOOKUP(58,main!$A$57:$I$61,4,FALSE)+VLOOKUP(VLOOKUP(G$1,main!$A$3:$I$56,7,FALSE),main!$K$10:$Q$14,6,FALSE),1,0)</f>
        <v>1</v>
      </c>
      <c r="H181">
        <f>IF(VLOOKUP(H$1,main!$A$3:$I$56,5,FALSE)-VLOOKUP($A181,main!$A$3:$I$56,6,FALSE)&gt;=VLOOKUP(58,main!$A$57:$I$61,4,FALSE)+VLOOKUP(VLOOKUP(H$1,main!$A$3:$I$56,7,FALSE),main!$K$10:$Q$14,6,FALSE),1,0)</f>
        <v>1</v>
      </c>
      <c r="I181">
        <f>IF(VLOOKUP(I$1,main!$A$3:$I$56,5,FALSE)-VLOOKUP($A181,main!$A$3:$I$56,6,FALSE)&gt;=VLOOKUP(58,main!$A$57:$I$61,4,FALSE)+VLOOKUP(VLOOKUP(I$1,main!$A$3:$I$56,7,FALSE),main!$K$10:$Q$14,6,FALSE),1,0)</f>
        <v>1</v>
      </c>
      <c r="J181">
        <f>IF(VLOOKUP(J$1,main!$A$3:$I$56,5,FALSE)-VLOOKUP($A181,main!$A$3:$I$56,6,FALSE)&gt;=VLOOKUP(58,main!$A$57:$I$61,4,FALSE)+VLOOKUP(VLOOKUP(J$1,main!$A$3:$I$56,7,FALSE),main!$K$10:$Q$14,6,FALSE),1,0)</f>
        <v>1</v>
      </c>
      <c r="K181">
        <f>IF(VLOOKUP(K$1,main!$A$3:$I$56,5,FALSE)-VLOOKUP($A181,main!$A$3:$I$56,6,FALSE)&gt;=VLOOKUP(58,main!$A$57:$I$61,4,FALSE)+VLOOKUP(VLOOKUP(K$1,main!$A$3:$I$56,7,FALSE),main!$K$10:$Q$14,6,FALSE),1,0)</f>
        <v>0</v>
      </c>
      <c r="L181">
        <f>IF(VLOOKUP(L$1,main!$A$3:$I$56,5,FALSE)-VLOOKUP($A181,main!$A$3:$I$56,6,FALSE)&gt;=VLOOKUP(58,main!$A$57:$I$61,4,FALSE)+VLOOKUP(VLOOKUP(L$1,main!$A$3:$I$56,7,FALSE),main!$K$10:$Q$14,6,FALSE),1,0)</f>
        <v>0</v>
      </c>
      <c r="M181">
        <f>IF(VLOOKUP(M$1,main!$A$3:$I$56,5,FALSE)-VLOOKUP($A181,main!$A$3:$I$56,6,FALSE)&gt;=VLOOKUP(58,main!$A$57:$I$61,4,FALSE)+VLOOKUP(VLOOKUP(M$1,main!$A$3:$I$56,7,FALSE),main!$K$10:$Q$14,6,FALSE),1,0)</f>
        <v>0</v>
      </c>
      <c r="N181">
        <f>IF(VLOOKUP(N$1,main!$A$3:$I$56,5,FALSE)-VLOOKUP($A181,main!$A$3:$I$56,6,FALSE)&gt;=VLOOKUP(58,main!$A$57:$I$61,4,FALSE)+VLOOKUP(VLOOKUP(N$1,main!$A$3:$I$56,7,FALSE),main!$K$10:$Q$14,6,FALSE),1,0)</f>
        <v>1</v>
      </c>
      <c r="O181">
        <f>IF(VLOOKUP(O$1,main!$A$3:$I$56,5,FALSE)-VLOOKUP($A181,main!$A$3:$I$56,6,FALSE)&gt;=VLOOKUP(58,main!$A$57:$I$61,4,FALSE)+VLOOKUP(VLOOKUP(O$1,main!$A$3:$I$56,7,FALSE),main!$K$10:$Q$14,6,FALSE),1,0)</f>
        <v>1</v>
      </c>
      <c r="P181">
        <f>IF(VLOOKUP(P$1,main!$A$3:$I$56,5,FALSE)-VLOOKUP($A181,main!$A$3:$I$56,6,FALSE)&gt;=VLOOKUP(58,main!$A$57:$I$61,4,FALSE)+VLOOKUP(VLOOKUP(P$1,main!$A$3:$I$56,7,FALSE),main!$K$10:$Q$14,6,FALSE),1,0)</f>
        <v>0</v>
      </c>
      <c r="Q181">
        <f>IF(VLOOKUP(Q$1,main!$A$3:$I$56,5,FALSE)-VLOOKUP($A181,main!$A$3:$I$56,6,FALSE)&gt;=VLOOKUP(58,main!$A$57:$I$61,4,FALSE)+VLOOKUP(VLOOKUP(Q$1,main!$A$3:$I$56,7,FALSE),main!$K$10:$Q$14,6,FALSE),1,0)</f>
        <v>0</v>
      </c>
      <c r="R181">
        <f>IF(VLOOKUP(R$1,main!$A$3:$I$56,5,FALSE)-VLOOKUP($A181,main!$A$3:$I$56,6,FALSE)&gt;=VLOOKUP(58,main!$A$57:$I$61,4,FALSE)+VLOOKUP(VLOOKUP(R$1,main!$A$3:$I$56,7,FALSE),main!$K$10:$Q$14,6,FALSE),1,0)</f>
        <v>0</v>
      </c>
      <c r="S181">
        <f>IF(VLOOKUP(S$1,main!$A$3:$I$56,5,FALSE)-VLOOKUP($A181,main!$A$3:$I$56,6,FALSE)&gt;=VLOOKUP(58,main!$A$57:$I$61,4,FALSE)+VLOOKUP(VLOOKUP(S$1,main!$A$3:$I$56,7,FALSE),main!$K$10:$Q$14,6,FALSE),1,0)</f>
        <v>1</v>
      </c>
      <c r="T181">
        <f>IF(VLOOKUP(T$1,main!$A$3:$I$56,5,FALSE)-VLOOKUP($A181,main!$A$3:$I$56,6,FALSE)&gt;=VLOOKUP(58,main!$A$57:$I$61,4,FALSE)+VLOOKUP(VLOOKUP(T$1,main!$A$3:$I$56,7,FALSE),main!$K$10:$Q$14,6,FALSE),1,0)</f>
        <v>1</v>
      </c>
      <c r="U181">
        <f>IF(VLOOKUP(U$1,main!$A$3:$I$56,5,FALSE)-VLOOKUP($A181,main!$A$3:$I$56,6,FALSE)&gt;=VLOOKUP(58,main!$A$57:$I$61,4,FALSE)+VLOOKUP(VLOOKUP(U$1,main!$A$3:$I$56,7,FALSE),main!$K$10:$Q$14,6,FALSE),1,0)</f>
        <v>0</v>
      </c>
      <c r="V181">
        <f>IF(VLOOKUP(V$1,main!$A$3:$I$56,5,FALSE)-VLOOKUP($A181,main!$A$3:$I$56,6,FALSE)&gt;=VLOOKUP(58,main!$A$57:$I$61,4,FALSE)+VLOOKUP(VLOOKUP(V$1,main!$A$3:$I$56,7,FALSE),main!$K$10:$Q$14,6,FALSE),1,0)</f>
        <v>0</v>
      </c>
      <c r="W181">
        <f>IF(VLOOKUP(W$1,main!$A$3:$I$56,5,FALSE)-VLOOKUP($A181,main!$A$3:$I$56,6,FALSE)&gt;=VLOOKUP(58,main!$A$57:$I$61,4,FALSE)+VLOOKUP(VLOOKUP(W$1,main!$A$3:$I$56,7,FALSE),main!$K$10:$Q$14,6,FALSE),1,0)</f>
        <v>0</v>
      </c>
      <c r="X181">
        <f>IF(VLOOKUP(X$1,main!$A$3:$I$56,5,FALSE)-VLOOKUP($A181,main!$A$3:$I$56,6,FALSE)&gt;=VLOOKUP(58,main!$A$57:$I$61,4,FALSE)+VLOOKUP(VLOOKUP(X$1,main!$A$3:$I$56,7,FALSE),main!$K$10:$Q$14,6,FALSE),1,0)</f>
        <v>0</v>
      </c>
      <c r="Y181">
        <f>IF(VLOOKUP(Y$1,main!$A$3:$I$56,5,FALSE)-VLOOKUP($A181,main!$A$3:$I$56,6,FALSE)&gt;=VLOOKUP(58,main!$A$57:$I$61,4,FALSE)+VLOOKUP(VLOOKUP(Y$1,main!$A$3:$I$56,7,FALSE),main!$K$10:$Q$14,6,FALSE),1,0)</f>
        <v>0</v>
      </c>
      <c r="Z181">
        <f>IF(VLOOKUP(Z$1,main!$A$3:$I$56,5,FALSE)-VLOOKUP($A181,main!$A$3:$I$56,6,FALSE)&gt;=VLOOKUP(58,main!$A$57:$I$61,4,FALSE)+VLOOKUP(VLOOKUP(Z$1,main!$A$3:$I$56,7,FALSE),main!$K$10:$Q$14,6,FALSE),1,0)</f>
        <v>1</v>
      </c>
      <c r="AA181">
        <f>IF(VLOOKUP(AA$1,main!$A$3:$I$56,5,FALSE)-VLOOKUP($A181,main!$A$3:$I$56,6,FALSE)&gt;=VLOOKUP(58,main!$A$57:$I$61,4,FALSE)+VLOOKUP(VLOOKUP(AA$1,main!$A$3:$I$56,7,FALSE),main!$K$10:$Q$14,6,FALSE),1,0)</f>
        <v>1</v>
      </c>
      <c r="AB181">
        <f>IF(VLOOKUP(AB$1,main!$A$3:$I$56,5,FALSE)-VLOOKUP($A181,main!$A$3:$I$56,6,FALSE)&gt;=VLOOKUP(58,main!$A$57:$I$61,4,FALSE)+VLOOKUP(VLOOKUP(AB$1,main!$A$3:$I$56,7,FALSE),main!$K$10:$Q$14,6,FALSE),1,0)</f>
        <v>1</v>
      </c>
      <c r="AC181">
        <f>IF(VLOOKUP(AC$1,main!$A$3:$I$56,5,FALSE)-VLOOKUP($A181,main!$A$3:$I$56,6,FALSE)&gt;=VLOOKUP(58,main!$A$57:$I$61,4,FALSE)+VLOOKUP(VLOOKUP(AC$1,main!$A$3:$I$56,7,FALSE),main!$K$10:$Q$14,6,FALSE),1,0)</f>
        <v>0</v>
      </c>
      <c r="AD181">
        <f>IF(VLOOKUP(AD$1,main!$A$3:$I$56,5,FALSE)-VLOOKUP($A181,main!$A$3:$I$56,6,FALSE)&gt;=VLOOKUP(58,main!$A$57:$I$61,4,FALSE)+VLOOKUP(VLOOKUP(AD$1,main!$A$3:$I$56,7,FALSE),main!$K$10:$Q$14,6,FALSE),1,0)</f>
        <v>0</v>
      </c>
      <c r="AE181">
        <f>IF(VLOOKUP(AE$1,main!$A$3:$I$56,5,FALSE)-VLOOKUP($A181,main!$A$3:$I$56,6,FALSE)&gt;=VLOOKUP(58,main!$A$57:$I$61,4,FALSE)+VLOOKUP(VLOOKUP(AE$1,main!$A$3:$I$56,7,FALSE),main!$K$10:$Q$14,6,FALSE),1,0)</f>
        <v>0</v>
      </c>
      <c r="AF181">
        <f>IF(VLOOKUP(AF$1,main!$A$3:$I$56,5,FALSE)-VLOOKUP($A181,main!$A$3:$I$56,6,FALSE)&gt;=VLOOKUP(58,main!$A$57:$I$61,4,FALSE)+VLOOKUP(VLOOKUP(AF$1,main!$A$3:$I$56,7,FALSE),main!$K$10:$Q$14,6,FALSE),1,0)</f>
        <v>1</v>
      </c>
      <c r="AG181">
        <f>IF(VLOOKUP(AG$1,main!$A$3:$I$56,5,FALSE)-VLOOKUP($A181,main!$A$3:$I$56,6,FALSE)&gt;=VLOOKUP(58,main!$A$57:$I$61,4,FALSE)+VLOOKUP(VLOOKUP(AG$1,main!$A$3:$I$56,7,FALSE),main!$K$10:$Q$14,6,FALSE),1,0)</f>
        <v>0</v>
      </c>
      <c r="AH181">
        <f>IF(VLOOKUP(AH$1,main!$A$3:$I$56,5,FALSE)-VLOOKUP($A181,main!$A$3:$I$56,6,FALSE)&gt;=VLOOKUP(58,main!$A$57:$I$61,4,FALSE)+VLOOKUP(VLOOKUP(AH$1,main!$A$3:$I$56,7,FALSE),main!$K$10:$Q$14,6,FALSE),1,0)</f>
        <v>0</v>
      </c>
      <c r="AI181">
        <f>IF(VLOOKUP(AI$1,main!$A$3:$I$56,5,FALSE)-VLOOKUP($A181,main!$A$3:$I$56,6,FALSE)&gt;=VLOOKUP(58,main!$A$57:$I$61,4,FALSE)+VLOOKUP(VLOOKUP(AI$1,main!$A$3:$I$56,7,FALSE),main!$K$10:$Q$14,6,FALSE),1,0)</f>
        <v>1</v>
      </c>
      <c r="AJ181">
        <f>IF(VLOOKUP(AJ$1,main!$A$3:$I$56,5,FALSE)-VLOOKUP($A181,main!$A$3:$I$56,6,FALSE)&gt;=VLOOKUP(58,main!$A$57:$I$61,4,FALSE)+VLOOKUP(VLOOKUP(AJ$1,main!$A$3:$I$56,7,FALSE),main!$K$10:$Q$14,6,FALSE),1,0)</f>
        <v>1</v>
      </c>
      <c r="AK181">
        <f>IF(VLOOKUP(AK$1,main!$A$3:$I$56,5,FALSE)-VLOOKUP($A181,main!$A$3:$I$56,6,FALSE)&gt;=VLOOKUP(58,main!$A$57:$I$61,4,FALSE)+VLOOKUP(VLOOKUP(AK$1,main!$A$3:$I$56,7,FALSE),main!$K$10:$Q$14,6,FALSE),1,0)</f>
        <v>1</v>
      </c>
      <c r="AL181">
        <f>IF(VLOOKUP(AL$1,main!$A$3:$I$56,5,FALSE)-VLOOKUP($A181,main!$A$3:$I$56,6,FALSE)&gt;=VLOOKUP(58,main!$A$57:$I$61,4,FALSE)+VLOOKUP(VLOOKUP(AL$1,main!$A$3:$I$56,7,FALSE),main!$K$10:$Q$14,6,FALSE),1,0)</f>
        <v>0</v>
      </c>
      <c r="AM181">
        <f>IF(VLOOKUP(AM$1,main!$A$3:$I$56,5,FALSE)-VLOOKUP($A181,main!$A$3:$I$56,6,FALSE)&gt;=VLOOKUP(58,main!$A$57:$I$61,4,FALSE)+VLOOKUP(VLOOKUP(AM$1,main!$A$3:$I$56,7,FALSE),main!$K$10:$Q$14,6,FALSE),1,0)</f>
        <v>0</v>
      </c>
      <c r="AN181">
        <f>IF(VLOOKUP(AN$1,main!$A$3:$I$56,5,FALSE)-VLOOKUP($A181,main!$A$3:$I$56,6,FALSE)&gt;=VLOOKUP(58,main!$A$57:$I$61,4,FALSE)+VLOOKUP(VLOOKUP(AN$1,main!$A$3:$I$56,7,FALSE),main!$K$10:$Q$14,6,FALSE),1,0)</f>
        <v>1</v>
      </c>
      <c r="AO181">
        <f>IF(VLOOKUP(AO$1,main!$A$3:$I$56,5,FALSE)-VLOOKUP($A181,main!$A$3:$I$56,6,FALSE)&gt;=VLOOKUP(58,main!$A$57:$I$61,4,FALSE)+VLOOKUP(VLOOKUP(AO$1,main!$A$3:$I$56,7,FALSE),main!$K$10:$Q$14,6,FALSE),1,0)</f>
        <v>1</v>
      </c>
      <c r="AP181">
        <f>IF(VLOOKUP(AP$1,main!$A$3:$I$56,5,FALSE)-VLOOKUP($A181,main!$A$3:$I$56,6,FALSE)&gt;=VLOOKUP(58,main!$A$57:$I$61,4,FALSE)+VLOOKUP(VLOOKUP(AP$1,main!$A$3:$I$56,7,FALSE),main!$K$10:$Q$14,6,FALSE),1,0)</f>
        <v>0</v>
      </c>
      <c r="AQ181">
        <f>IF(VLOOKUP(AQ$1,main!$A$3:$I$56,5,FALSE)-VLOOKUP($A181,main!$A$3:$I$56,6,FALSE)&gt;=VLOOKUP(58,main!$A$57:$I$61,4,FALSE)+VLOOKUP(VLOOKUP(AQ$1,main!$A$3:$I$56,7,FALSE),main!$K$10:$Q$14,6,FALSE),1,0)</f>
        <v>0</v>
      </c>
      <c r="AR181">
        <f>IF(VLOOKUP(AR$1,main!$A$3:$I$56,5,FALSE)-VLOOKUP($A181,main!$A$3:$I$56,6,FALSE)&gt;=VLOOKUP(58,main!$A$57:$I$61,4,FALSE)+VLOOKUP(VLOOKUP(AR$1,main!$A$3:$I$56,7,FALSE),main!$K$10:$Q$14,6,FALSE),1,0)</f>
        <v>0</v>
      </c>
      <c r="AS181">
        <f>IF(VLOOKUP(AS$1,main!$A$3:$I$56,5,FALSE)-VLOOKUP($A181,main!$A$3:$I$56,6,FALSE)&gt;=VLOOKUP(58,main!$A$57:$I$61,4,FALSE)+VLOOKUP(VLOOKUP(AS$1,main!$A$3:$I$56,7,FALSE),main!$K$10:$Q$14,6,FALSE),1,0)</f>
        <v>1</v>
      </c>
      <c r="AT181">
        <f>IF(VLOOKUP(AT$1,main!$A$3:$I$56,5,FALSE)-VLOOKUP($A181,main!$A$3:$I$56,6,FALSE)&gt;=VLOOKUP(58,main!$A$57:$I$61,4,FALSE)+VLOOKUP(VLOOKUP(AT$1,main!$A$3:$I$56,7,FALSE),main!$K$10:$Q$14,6,FALSE),1,0)</f>
        <v>1</v>
      </c>
      <c r="AU181">
        <f>IF(VLOOKUP(AU$1,main!$A$3:$I$56,5,FALSE)-VLOOKUP($A181,main!$A$3:$I$56,6,FALSE)&gt;=VLOOKUP(58,main!$A$57:$I$61,4,FALSE)+VLOOKUP(VLOOKUP(AU$1,main!$A$3:$I$56,7,FALSE),main!$K$10:$Q$14,6,FALSE),1,0)</f>
        <v>0</v>
      </c>
      <c r="AV181">
        <f>IF(VLOOKUP(AV$1,main!$A$3:$I$56,5,FALSE)-VLOOKUP($A181,main!$A$3:$I$56,6,FALSE)&gt;=VLOOKUP(58,main!$A$57:$I$61,4,FALSE)+VLOOKUP(VLOOKUP(AV$1,main!$A$3:$I$56,7,FALSE),main!$K$10:$Q$14,6,FALSE),1,0)</f>
        <v>0</v>
      </c>
      <c r="AW181">
        <f>IF(VLOOKUP(AW$1,main!$A$3:$I$56,5,FALSE)-VLOOKUP($A181,main!$A$3:$I$56,6,FALSE)&gt;=VLOOKUP(58,main!$A$57:$I$61,4,FALSE)+VLOOKUP(VLOOKUP(AW$1,main!$A$3:$I$56,7,FALSE),main!$K$10:$Q$14,6,FALSE),1,0)</f>
        <v>0</v>
      </c>
      <c r="AX181">
        <f>IF(VLOOKUP(AX$1,main!$A$3:$I$56,5,FALSE)-VLOOKUP($A181,main!$A$3:$I$56,6,FALSE)&gt;=VLOOKUP(58,main!$A$57:$I$61,4,FALSE)+VLOOKUP(VLOOKUP(AX$1,main!$A$3:$I$56,7,FALSE),main!$K$10:$Q$14,6,FALSE),1,0)</f>
        <v>0</v>
      </c>
      <c r="AY181">
        <f>IF(VLOOKUP(AY$1,main!$A$3:$I$56,5,FALSE)-VLOOKUP($A181,main!$A$3:$I$56,6,FALSE)&gt;=VLOOKUP(58,main!$A$57:$I$61,4,FALSE)+VLOOKUP(VLOOKUP(AY$1,main!$A$3:$I$56,7,FALSE),main!$K$10:$Q$14,6,FALSE),1,0)</f>
        <v>1</v>
      </c>
      <c r="AZ181">
        <f>IF(VLOOKUP(AZ$1,main!$A$3:$I$56,5,FALSE)-VLOOKUP($A181,main!$A$3:$I$56,6,FALSE)&gt;=VLOOKUP(58,main!$A$57:$I$61,4,FALSE)+VLOOKUP(VLOOKUP(AZ$1,main!$A$3:$I$56,7,FALSE),main!$K$10:$Q$14,6,FALSE),1,0)</f>
        <v>0</v>
      </c>
      <c r="BA181">
        <f>IF(VLOOKUP(BA$1,main!$A$3:$I$56,5,FALSE)-VLOOKUP($A181,main!$A$3:$I$56,6,FALSE)&gt;=VLOOKUP(58,main!$A$57:$I$61,4,FALSE)+VLOOKUP(VLOOKUP(BA$1,main!$A$3:$I$56,7,FALSE),main!$K$10:$Q$14,6,FALSE),1,0)</f>
        <v>0</v>
      </c>
      <c r="BB181">
        <f>IF(VLOOKUP(BB$1,main!$A$3:$I$56,5,FALSE)-VLOOKUP($A181,main!$A$3:$I$56,6,FALSE)&gt;=VLOOKUP(58,main!$A$57:$I$61,4,FALSE)+VLOOKUP(VLOOKUP(BB$1,main!$A$3:$I$56,7,FALSE),main!$K$10:$Q$14,6,FALSE),1,0)</f>
        <v>0</v>
      </c>
      <c r="BC181">
        <f>IF(VLOOKUP(BC$1,main!$A$3:$I$56,5,FALSE)-VLOOKUP($A181,main!$A$3:$I$56,6,FALSE)&gt;=VLOOKUP(58,main!$A$57:$I$61,4,FALSE)+VLOOKUP(VLOOKUP(BC$1,main!$A$3:$I$56,7,FALSE),main!$K$10:$Q$14,6,FALSE),1,0)</f>
        <v>0</v>
      </c>
      <c r="BD181">
        <f>IF(VLOOKUP(BD$1,main!$A$3:$I$56,5,FALSE)-VLOOKUP($A181,main!$A$3:$I$56,6,FALSE)&gt;=VLOOKUP(58,main!$A$57:$I$61,4,FALSE)+VLOOKUP(VLOOKUP(BD$1,main!$A$3:$I$56,7,FALSE),main!$K$10:$Q$14,6,FALSE),1,0)</f>
        <v>0</v>
      </c>
    </row>
    <row r="182" spans="1:56" x14ac:dyDescent="0.25">
      <c r="A182">
        <f t="shared" si="3"/>
        <v>15</v>
      </c>
      <c r="B182">
        <v>0</v>
      </c>
      <c r="C182">
        <f>IF(VLOOKUP(C$1,main!$A$3:$I$56,5,FALSE)-VLOOKUP($A182,main!$A$3:$I$56,6,FALSE)&gt;=VLOOKUP(58,main!$A$57:$I$61,4,FALSE)+VLOOKUP(VLOOKUP(C$1,main!$A$3:$I$56,7,FALSE),main!$K$10:$Q$14,6,FALSE),1,0)</f>
        <v>0</v>
      </c>
      <c r="D182">
        <f>IF(VLOOKUP(D$1,main!$A$3:$I$56,5,FALSE)-VLOOKUP($A182,main!$A$3:$I$56,6,FALSE)&gt;=VLOOKUP(58,main!$A$57:$I$61,4,FALSE)+VLOOKUP(VLOOKUP(D$1,main!$A$3:$I$56,7,FALSE),main!$K$10:$Q$14,6,FALSE),1,0)</f>
        <v>0</v>
      </c>
      <c r="E182">
        <f>IF(VLOOKUP(E$1,main!$A$3:$I$56,5,FALSE)-VLOOKUP($A182,main!$A$3:$I$56,6,FALSE)&gt;=VLOOKUP(58,main!$A$57:$I$61,4,FALSE)+VLOOKUP(VLOOKUP(E$1,main!$A$3:$I$56,7,FALSE),main!$K$10:$Q$14,6,FALSE),1,0)</f>
        <v>0</v>
      </c>
      <c r="F182">
        <f>IF(VLOOKUP(F$1,main!$A$3:$I$56,5,FALSE)-VLOOKUP($A182,main!$A$3:$I$56,6,FALSE)&gt;=VLOOKUP(58,main!$A$57:$I$61,4,FALSE)+VLOOKUP(VLOOKUP(F$1,main!$A$3:$I$56,7,FALSE),main!$K$10:$Q$14,6,FALSE),1,0)</f>
        <v>0</v>
      </c>
      <c r="G182">
        <f>IF(VLOOKUP(G$1,main!$A$3:$I$56,5,FALSE)-VLOOKUP($A182,main!$A$3:$I$56,6,FALSE)&gt;=VLOOKUP(58,main!$A$57:$I$61,4,FALSE)+VLOOKUP(VLOOKUP(G$1,main!$A$3:$I$56,7,FALSE),main!$K$10:$Q$14,6,FALSE),1,0)</f>
        <v>1</v>
      </c>
      <c r="H182">
        <f>IF(VLOOKUP(H$1,main!$A$3:$I$56,5,FALSE)-VLOOKUP($A182,main!$A$3:$I$56,6,FALSE)&gt;=VLOOKUP(58,main!$A$57:$I$61,4,FALSE)+VLOOKUP(VLOOKUP(H$1,main!$A$3:$I$56,7,FALSE),main!$K$10:$Q$14,6,FALSE),1,0)</f>
        <v>1</v>
      </c>
      <c r="I182">
        <f>IF(VLOOKUP(I$1,main!$A$3:$I$56,5,FALSE)-VLOOKUP($A182,main!$A$3:$I$56,6,FALSE)&gt;=VLOOKUP(58,main!$A$57:$I$61,4,FALSE)+VLOOKUP(VLOOKUP(I$1,main!$A$3:$I$56,7,FALSE),main!$K$10:$Q$14,6,FALSE),1,0)</f>
        <v>1</v>
      </c>
      <c r="J182">
        <f>IF(VLOOKUP(J$1,main!$A$3:$I$56,5,FALSE)-VLOOKUP($A182,main!$A$3:$I$56,6,FALSE)&gt;=VLOOKUP(58,main!$A$57:$I$61,4,FALSE)+VLOOKUP(VLOOKUP(J$1,main!$A$3:$I$56,7,FALSE),main!$K$10:$Q$14,6,FALSE),1,0)</f>
        <v>1</v>
      </c>
      <c r="K182">
        <f>IF(VLOOKUP(K$1,main!$A$3:$I$56,5,FALSE)-VLOOKUP($A182,main!$A$3:$I$56,6,FALSE)&gt;=VLOOKUP(58,main!$A$57:$I$61,4,FALSE)+VLOOKUP(VLOOKUP(K$1,main!$A$3:$I$56,7,FALSE),main!$K$10:$Q$14,6,FALSE),1,0)</f>
        <v>0</v>
      </c>
      <c r="L182">
        <f>IF(VLOOKUP(L$1,main!$A$3:$I$56,5,FALSE)-VLOOKUP($A182,main!$A$3:$I$56,6,FALSE)&gt;=VLOOKUP(58,main!$A$57:$I$61,4,FALSE)+VLOOKUP(VLOOKUP(L$1,main!$A$3:$I$56,7,FALSE),main!$K$10:$Q$14,6,FALSE),1,0)</f>
        <v>0</v>
      </c>
      <c r="M182">
        <f>IF(VLOOKUP(M$1,main!$A$3:$I$56,5,FALSE)-VLOOKUP($A182,main!$A$3:$I$56,6,FALSE)&gt;=VLOOKUP(58,main!$A$57:$I$61,4,FALSE)+VLOOKUP(VLOOKUP(M$1,main!$A$3:$I$56,7,FALSE),main!$K$10:$Q$14,6,FALSE),1,0)</f>
        <v>0</v>
      </c>
      <c r="N182">
        <f>IF(VLOOKUP(N$1,main!$A$3:$I$56,5,FALSE)-VLOOKUP($A182,main!$A$3:$I$56,6,FALSE)&gt;=VLOOKUP(58,main!$A$57:$I$61,4,FALSE)+VLOOKUP(VLOOKUP(N$1,main!$A$3:$I$56,7,FALSE),main!$K$10:$Q$14,6,FALSE),1,0)</f>
        <v>1</v>
      </c>
      <c r="O182">
        <f>IF(VLOOKUP(O$1,main!$A$3:$I$56,5,FALSE)-VLOOKUP($A182,main!$A$3:$I$56,6,FALSE)&gt;=VLOOKUP(58,main!$A$57:$I$61,4,FALSE)+VLOOKUP(VLOOKUP(O$1,main!$A$3:$I$56,7,FALSE),main!$K$10:$Q$14,6,FALSE),1,0)</f>
        <v>1</v>
      </c>
      <c r="P182">
        <f>IF(VLOOKUP(P$1,main!$A$3:$I$56,5,FALSE)-VLOOKUP($A182,main!$A$3:$I$56,6,FALSE)&gt;=VLOOKUP(58,main!$A$57:$I$61,4,FALSE)+VLOOKUP(VLOOKUP(P$1,main!$A$3:$I$56,7,FALSE),main!$K$10:$Q$14,6,FALSE),1,0)</f>
        <v>0</v>
      </c>
      <c r="Q182">
        <f>IF(VLOOKUP(Q$1,main!$A$3:$I$56,5,FALSE)-VLOOKUP($A182,main!$A$3:$I$56,6,FALSE)&gt;=VLOOKUP(58,main!$A$57:$I$61,4,FALSE)+VLOOKUP(VLOOKUP(Q$1,main!$A$3:$I$56,7,FALSE),main!$K$10:$Q$14,6,FALSE),1,0)</f>
        <v>0</v>
      </c>
      <c r="R182">
        <f>IF(VLOOKUP(R$1,main!$A$3:$I$56,5,FALSE)-VLOOKUP($A182,main!$A$3:$I$56,6,FALSE)&gt;=VLOOKUP(58,main!$A$57:$I$61,4,FALSE)+VLOOKUP(VLOOKUP(R$1,main!$A$3:$I$56,7,FALSE),main!$K$10:$Q$14,6,FALSE),1,0)</f>
        <v>0</v>
      </c>
      <c r="S182">
        <f>IF(VLOOKUP(S$1,main!$A$3:$I$56,5,FALSE)-VLOOKUP($A182,main!$A$3:$I$56,6,FALSE)&gt;=VLOOKUP(58,main!$A$57:$I$61,4,FALSE)+VLOOKUP(VLOOKUP(S$1,main!$A$3:$I$56,7,FALSE),main!$K$10:$Q$14,6,FALSE),1,0)</f>
        <v>1</v>
      </c>
      <c r="T182">
        <f>IF(VLOOKUP(T$1,main!$A$3:$I$56,5,FALSE)-VLOOKUP($A182,main!$A$3:$I$56,6,FALSE)&gt;=VLOOKUP(58,main!$A$57:$I$61,4,FALSE)+VLOOKUP(VLOOKUP(T$1,main!$A$3:$I$56,7,FALSE),main!$K$10:$Q$14,6,FALSE),1,0)</f>
        <v>1</v>
      </c>
      <c r="U182">
        <f>IF(VLOOKUP(U$1,main!$A$3:$I$56,5,FALSE)-VLOOKUP($A182,main!$A$3:$I$56,6,FALSE)&gt;=VLOOKUP(58,main!$A$57:$I$61,4,FALSE)+VLOOKUP(VLOOKUP(U$1,main!$A$3:$I$56,7,FALSE),main!$K$10:$Q$14,6,FALSE),1,0)</f>
        <v>0</v>
      </c>
      <c r="V182">
        <f>IF(VLOOKUP(V$1,main!$A$3:$I$56,5,FALSE)-VLOOKUP($A182,main!$A$3:$I$56,6,FALSE)&gt;=VLOOKUP(58,main!$A$57:$I$61,4,FALSE)+VLOOKUP(VLOOKUP(V$1,main!$A$3:$I$56,7,FALSE),main!$K$10:$Q$14,6,FALSE),1,0)</f>
        <v>0</v>
      </c>
      <c r="W182">
        <f>IF(VLOOKUP(W$1,main!$A$3:$I$56,5,FALSE)-VLOOKUP($A182,main!$A$3:$I$56,6,FALSE)&gt;=VLOOKUP(58,main!$A$57:$I$61,4,FALSE)+VLOOKUP(VLOOKUP(W$1,main!$A$3:$I$56,7,FALSE),main!$K$10:$Q$14,6,FALSE),1,0)</f>
        <v>0</v>
      </c>
      <c r="X182">
        <f>IF(VLOOKUP(X$1,main!$A$3:$I$56,5,FALSE)-VLOOKUP($A182,main!$A$3:$I$56,6,FALSE)&gt;=VLOOKUP(58,main!$A$57:$I$61,4,FALSE)+VLOOKUP(VLOOKUP(X$1,main!$A$3:$I$56,7,FALSE),main!$K$10:$Q$14,6,FALSE),1,0)</f>
        <v>0</v>
      </c>
      <c r="Y182">
        <f>IF(VLOOKUP(Y$1,main!$A$3:$I$56,5,FALSE)-VLOOKUP($A182,main!$A$3:$I$56,6,FALSE)&gt;=VLOOKUP(58,main!$A$57:$I$61,4,FALSE)+VLOOKUP(VLOOKUP(Y$1,main!$A$3:$I$56,7,FALSE),main!$K$10:$Q$14,6,FALSE),1,0)</f>
        <v>0</v>
      </c>
      <c r="Z182">
        <f>IF(VLOOKUP(Z$1,main!$A$3:$I$56,5,FALSE)-VLOOKUP($A182,main!$A$3:$I$56,6,FALSE)&gt;=VLOOKUP(58,main!$A$57:$I$61,4,FALSE)+VLOOKUP(VLOOKUP(Z$1,main!$A$3:$I$56,7,FALSE),main!$K$10:$Q$14,6,FALSE),1,0)</f>
        <v>1</v>
      </c>
      <c r="AA182">
        <f>IF(VLOOKUP(AA$1,main!$A$3:$I$56,5,FALSE)-VLOOKUP($A182,main!$A$3:$I$56,6,FALSE)&gt;=VLOOKUP(58,main!$A$57:$I$61,4,FALSE)+VLOOKUP(VLOOKUP(AA$1,main!$A$3:$I$56,7,FALSE),main!$K$10:$Q$14,6,FALSE),1,0)</f>
        <v>1</v>
      </c>
      <c r="AB182">
        <f>IF(VLOOKUP(AB$1,main!$A$3:$I$56,5,FALSE)-VLOOKUP($A182,main!$A$3:$I$56,6,FALSE)&gt;=VLOOKUP(58,main!$A$57:$I$61,4,FALSE)+VLOOKUP(VLOOKUP(AB$1,main!$A$3:$I$56,7,FALSE),main!$K$10:$Q$14,6,FALSE),1,0)</f>
        <v>1</v>
      </c>
      <c r="AC182">
        <f>IF(VLOOKUP(AC$1,main!$A$3:$I$56,5,FALSE)-VLOOKUP($A182,main!$A$3:$I$56,6,FALSE)&gt;=VLOOKUP(58,main!$A$57:$I$61,4,FALSE)+VLOOKUP(VLOOKUP(AC$1,main!$A$3:$I$56,7,FALSE),main!$K$10:$Q$14,6,FALSE),1,0)</f>
        <v>0</v>
      </c>
      <c r="AD182">
        <f>IF(VLOOKUP(AD$1,main!$A$3:$I$56,5,FALSE)-VLOOKUP($A182,main!$A$3:$I$56,6,FALSE)&gt;=VLOOKUP(58,main!$A$57:$I$61,4,FALSE)+VLOOKUP(VLOOKUP(AD$1,main!$A$3:$I$56,7,FALSE),main!$K$10:$Q$14,6,FALSE),1,0)</f>
        <v>0</v>
      </c>
      <c r="AE182">
        <f>IF(VLOOKUP(AE$1,main!$A$3:$I$56,5,FALSE)-VLOOKUP($A182,main!$A$3:$I$56,6,FALSE)&gt;=VLOOKUP(58,main!$A$57:$I$61,4,FALSE)+VLOOKUP(VLOOKUP(AE$1,main!$A$3:$I$56,7,FALSE),main!$K$10:$Q$14,6,FALSE),1,0)</f>
        <v>0</v>
      </c>
      <c r="AF182">
        <f>IF(VLOOKUP(AF$1,main!$A$3:$I$56,5,FALSE)-VLOOKUP($A182,main!$A$3:$I$56,6,FALSE)&gt;=VLOOKUP(58,main!$A$57:$I$61,4,FALSE)+VLOOKUP(VLOOKUP(AF$1,main!$A$3:$I$56,7,FALSE),main!$K$10:$Q$14,6,FALSE),1,0)</f>
        <v>0</v>
      </c>
      <c r="AG182">
        <f>IF(VLOOKUP(AG$1,main!$A$3:$I$56,5,FALSE)-VLOOKUP($A182,main!$A$3:$I$56,6,FALSE)&gt;=VLOOKUP(58,main!$A$57:$I$61,4,FALSE)+VLOOKUP(VLOOKUP(AG$1,main!$A$3:$I$56,7,FALSE),main!$K$10:$Q$14,6,FALSE),1,0)</f>
        <v>0</v>
      </c>
      <c r="AH182">
        <f>IF(VLOOKUP(AH$1,main!$A$3:$I$56,5,FALSE)-VLOOKUP($A182,main!$A$3:$I$56,6,FALSE)&gt;=VLOOKUP(58,main!$A$57:$I$61,4,FALSE)+VLOOKUP(VLOOKUP(AH$1,main!$A$3:$I$56,7,FALSE),main!$K$10:$Q$14,6,FALSE),1,0)</f>
        <v>0</v>
      </c>
      <c r="AI182">
        <f>IF(VLOOKUP(AI$1,main!$A$3:$I$56,5,FALSE)-VLOOKUP($A182,main!$A$3:$I$56,6,FALSE)&gt;=VLOOKUP(58,main!$A$57:$I$61,4,FALSE)+VLOOKUP(VLOOKUP(AI$1,main!$A$3:$I$56,7,FALSE),main!$K$10:$Q$14,6,FALSE),1,0)</f>
        <v>1</v>
      </c>
      <c r="AJ182">
        <f>IF(VLOOKUP(AJ$1,main!$A$3:$I$56,5,FALSE)-VLOOKUP($A182,main!$A$3:$I$56,6,FALSE)&gt;=VLOOKUP(58,main!$A$57:$I$61,4,FALSE)+VLOOKUP(VLOOKUP(AJ$1,main!$A$3:$I$56,7,FALSE),main!$K$10:$Q$14,6,FALSE),1,0)</f>
        <v>1</v>
      </c>
      <c r="AK182">
        <f>IF(VLOOKUP(AK$1,main!$A$3:$I$56,5,FALSE)-VLOOKUP($A182,main!$A$3:$I$56,6,FALSE)&gt;=VLOOKUP(58,main!$A$57:$I$61,4,FALSE)+VLOOKUP(VLOOKUP(AK$1,main!$A$3:$I$56,7,FALSE),main!$K$10:$Q$14,6,FALSE),1,0)</f>
        <v>1</v>
      </c>
      <c r="AL182">
        <f>IF(VLOOKUP(AL$1,main!$A$3:$I$56,5,FALSE)-VLOOKUP($A182,main!$A$3:$I$56,6,FALSE)&gt;=VLOOKUP(58,main!$A$57:$I$61,4,FALSE)+VLOOKUP(VLOOKUP(AL$1,main!$A$3:$I$56,7,FALSE),main!$K$10:$Q$14,6,FALSE),1,0)</f>
        <v>0</v>
      </c>
      <c r="AM182">
        <f>IF(VLOOKUP(AM$1,main!$A$3:$I$56,5,FALSE)-VLOOKUP($A182,main!$A$3:$I$56,6,FALSE)&gt;=VLOOKUP(58,main!$A$57:$I$61,4,FALSE)+VLOOKUP(VLOOKUP(AM$1,main!$A$3:$I$56,7,FALSE),main!$K$10:$Q$14,6,FALSE),1,0)</f>
        <v>0</v>
      </c>
      <c r="AN182">
        <f>IF(VLOOKUP(AN$1,main!$A$3:$I$56,5,FALSE)-VLOOKUP($A182,main!$A$3:$I$56,6,FALSE)&gt;=VLOOKUP(58,main!$A$57:$I$61,4,FALSE)+VLOOKUP(VLOOKUP(AN$1,main!$A$3:$I$56,7,FALSE),main!$K$10:$Q$14,6,FALSE),1,0)</f>
        <v>1</v>
      </c>
      <c r="AO182">
        <f>IF(VLOOKUP(AO$1,main!$A$3:$I$56,5,FALSE)-VLOOKUP($A182,main!$A$3:$I$56,6,FALSE)&gt;=VLOOKUP(58,main!$A$57:$I$61,4,FALSE)+VLOOKUP(VLOOKUP(AO$1,main!$A$3:$I$56,7,FALSE),main!$K$10:$Q$14,6,FALSE),1,0)</f>
        <v>1</v>
      </c>
      <c r="AP182">
        <f>IF(VLOOKUP(AP$1,main!$A$3:$I$56,5,FALSE)-VLOOKUP($A182,main!$A$3:$I$56,6,FALSE)&gt;=VLOOKUP(58,main!$A$57:$I$61,4,FALSE)+VLOOKUP(VLOOKUP(AP$1,main!$A$3:$I$56,7,FALSE),main!$K$10:$Q$14,6,FALSE),1,0)</f>
        <v>0</v>
      </c>
      <c r="AQ182">
        <f>IF(VLOOKUP(AQ$1,main!$A$3:$I$56,5,FALSE)-VLOOKUP($A182,main!$A$3:$I$56,6,FALSE)&gt;=VLOOKUP(58,main!$A$57:$I$61,4,FALSE)+VLOOKUP(VLOOKUP(AQ$1,main!$A$3:$I$56,7,FALSE),main!$K$10:$Q$14,6,FALSE),1,0)</f>
        <v>0</v>
      </c>
      <c r="AR182">
        <f>IF(VLOOKUP(AR$1,main!$A$3:$I$56,5,FALSE)-VLOOKUP($A182,main!$A$3:$I$56,6,FALSE)&gt;=VLOOKUP(58,main!$A$57:$I$61,4,FALSE)+VLOOKUP(VLOOKUP(AR$1,main!$A$3:$I$56,7,FALSE),main!$K$10:$Q$14,6,FALSE),1,0)</f>
        <v>0</v>
      </c>
      <c r="AS182">
        <f>IF(VLOOKUP(AS$1,main!$A$3:$I$56,5,FALSE)-VLOOKUP($A182,main!$A$3:$I$56,6,FALSE)&gt;=VLOOKUP(58,main!$A$57:$I$61,4,FALSE)+VLOOKUP(VLOOKUP(AS$1,main!$A$3:$I$56,7,FALSE),main!$K$10:$Q$14,6,FALSE),1,0)</f>
        <v>0</v>
      </c>
      <c r="AT182">
        <f>IF(VLOOKUP(AT$1,main!$A$3:$I$56,5,FALSE)-VLOOKUP($A182,main!$A$3:$I$56,6,FALSE)&gt;=VLOOKUP(58,main!$A$57:$I$61,4,FALSE)+VLOOKUP(VLOOKUP(AT$1,main!$A$3:$I$56,7,FALSE),main!$K$10:$Q$14,6,FALSE),1,0)</f>
        <v>1</v>
      </c>
      <c r="AU182">
        <f>IF(VLOOKUP(AU$1,main!$A$3:$I$56,5,FALSE)-VLOOKUP($A182,main!$A$3:$I$56,6,FALSE)&gt;=VLOOKUP(58,main!$A$57:$I$61,4,FALSE)+VLOOKUP(VLOOKUP(AU$1,main!$A$3:$I$56,7,FALSE),main!$K$10:$Q$14,6,FALSE),1,0)</f>
        <v>0</v>
      </c>
      <c r="AV182">
        <f>IF(VLOOKUP(AV$1,main!$A$3:$I$56,5,FALSE)-VLOOKUP($A182,main!$A$3:$I$56,6,FALSE)&gt;=VLOOKUP(58,main!$A$57:$I$61,4,FALSE)+VLOOKUP(VLOOKUP(AV$1,main!$A$3:$I$56,7,FALSE),main!$K$10:$Q$14,6,FALSE),1,0)</f>
        <v>0</v>
      </c>
      <c r="AW182">
        <f>IF(VLOOKUP(AW$1,main!$A$3:$I$56,5,FALSE)-VLOOKUP($A182,main!$A$3:$I$56,6,FALSE)&gt;=VLOOKUP(58,main!$A$57:$I$61,4,FALSE)+VLOOKUP(VLOOKUP(AW$1,main!$A$3:$I$56,7,FALSE),main!$K$10:$Q$14,6,FALSE),1,0)</f>
        <v>0</v>
      </c>
      <c r="AX182">
        <f>IF(VLOOKUP(AX$1,main!$A$3:$I$56,5,FALSE)-VLOOKUP($A182,main!$A$3:$I$56,6,FALSE)&gt;=VLOOKUP(58,main!$A$57:$I$61,4,FALSE)+VLOOKUP(VLOOKUP(AX$1,main!$A$3:$I$56,7,FALSE),main!$K$10:$Q$14,6,FALSE),1,0)</f>
        <v>0</v>
      </c>
      <c r="AY182">
        <f>IF(VLOOKUP(AY$1,main!$A$3:$I$56,5,FALSE)-VLOOKUP($A182,main!$A$3:$I$56,6,FALSE)&gt;=VLOOKUP(58,main!$A$57:$I$61,4,FALSE)+VLOOKUP(VLOOKUP(AY$1,main!$A$3:$I$56,7,FALSE),main!$K$10:$Q$14,6,FALSE),1,0)</f>
        <v>1</v>
      </c>
      <c r="AZ182">
        <f>IF(VLOOKUP(AZ$1,main!$A$3:$I$56,5,FALSE)-VLOOKUP($A182,main!$A$3:$I$56,6,FALSE)&gt;=VLOOKUP(58,main!$A$57:$I$61,4,FALSE)+VLOOKUP(VLOOKUP(AZ$1,main!$A$3:$I$56,7,FALSE),main!$K$10:$Q$14,6,FALSE),1,0)</f>
        <v>0</v>
      </c>
      <c r="BA182">
        <f>IF(VLOOKUP(BA$1,main!$A$3:$I$56,5,FALSE)-VLOOKUP($A182,main!$A$3:$I$56,6,FALSE)&gt;=VLOOKUP(58,main!$A$57:$I$61,4,FALSE)+VLOOKUP(VLOOKUP(BA$1,main!$A$3:$I$56,7,FALSE),main!$K$10:$Q$14,6,FALSE),1,0)</f>
        <v>0</v>
      </c>
      <c r="BB182">
        <f>IF(VLOOKUP(BB$1,main!$A$3:$I$56,5,FALSE)-VLOOKUP($A182,main!$A$3:$I$56,6,FALSE)&gt;=VLOOKUP(58,main!$A$57:$I$61,4,FALSE)+VLOOKUP(VLOOKUP(BB$1,main!$A$3:$I$56,7,FALSE),main!$K$10:$Q$14,6,FALSE),1,0)</f>
        <v>0</v>
      </c>
      <c r="BC182">
        <f>IF(VLOOKUP(BC$1,main!$A$3:$I$56,5,FALSE)-VLOOKUP($A182,main!$A$3:$I$56,6,FALSE)&gt;=VLOOKUP(58,main!$A$57:$I$61,4,FALSE)+VLOOKUP(VLOOKUP(BC$1,main!$A$3:$I$56,7,FALSE),main!$K$10:$Q$14,6,FALSE),1,0)</f>
        <v>0</v>
      </c>
      <c r="BD182">
        <f>IF(VLOOKUP(BD$1,main!$A$3:$I$56,5,FALSE)-VLOOKUP($A182,main!$A$3:$I$56,6,FALSE)&gt;=VLOOKUP(58,main!$A$57:$I$61,4,FALSE)+VLOOKUP(VLOOKUP(BD$1,main!$A$3:$I$56,7,FALSE),main!$K$10:$Q$14,6,FALSE),1,0)</f>
        <v>0</v>
      </c>
    </row>
    <row r="183" spans="1:56" x14ac:dyDescent="0.25">
      <c r="A183">
        <f t="shared" si="3"/>
        <v>16</v>
      </c>
      <c r="B183">
        <v>0</v>
      </c>
      <c r="C183">
        <f>IF(VLOOKUP(C$1,main!$A$3:$I$56,5,FALSE)-VLOOKUP($A183,main!$A$3:$I$56,6,FALSE)&gt;=VLOOKUP(58,main!$A$57:$I$61,4,FALSE)+VLOOKUP(VLOOKUP(C$1,main!$A$3:$I$56,7,FALSE),main!$K$10:$Q$14,6,FALSE),1,0)</f>
        <v>0</v>
      </c>
      <c r="D183">
        <f>IF(VLOOKUP(D$1,main!$A$3:$I$56,5,FALSE)-VLOOKUP($A183,main!$A$3:$I$56,6,FALSE)&gt;=VLOOKUP(58,main!$A$57:$I$61,4,FALSE)+VLOOKUP(VLOOKUP(D$1,main!$A$3:$I$56,7,FALSE),main!$K$10:$Q$14,6,FALSE),1,0)</f>
        <v>0</v>
      </c>
      <c r="E183">
        <f>IF(VLOOKUP(E$1,main!$A$3:$I$56,5,FALSE)-VLOOKUP($A183,main!$A$3:$I$56,6,FALSE)&gt;=VLOOKUP(58,main!$A$57:$I$61,4,FALSE)+VLOOKUP(VLOOKUP(E$1,main!$A$3:$I$56,7,FALSE),main!$K$10:$Q$14,6,FALSE),1,0)</f>
        <v>0</v>
      </c>
      <c r="F183">
        <f>IF(VLOOKUP(F$1,main!$A$3:$I$56,5,FALSE)-VLOOKUP($A183,main!$A$3:$I$56,6,FALSE)&gt;=VLOOKUP(58,main!$A$57:$I$61,4,FALSE)+VLOOKUP(VLOOKUP(F$1,main!$A$3:$I$56,7,FALSE),main!$K$10:$Q$14,6,FALSE),1,0)</f>
        <v>0</v>
      </c>
      <c r="G183">
        <f>IF(VLOOKUP(G$1,main!$A$3:$I$56,5,FALSE)-VLOOKUP($A183,main!$A$3:$I$56,6,FALSE)&gt;=VLOOKUP(58,main!$A$57:$I$61,4,FALSE)+VLOOKUP(VLOOKUP(G$1,main!$A$3:$I$56,7,FALSE),main!$K$10:$Q$14,6,FALSE),1,0)</f>
        <v>0</v>
      </c>
      <c r="H183">
        <f>IF(VLOOKUP(H$1,main!$A$3:$I$56,5,FALSE)-VLOOKUP($A183,main!$A$3:$I$56,6,FALSE)&gt;=VLOOKUP(58,main!$A$57:$I$61,4,FALSE)+VLOOKUP(VLOOKUP(H$1,main!$A$3:$I$56,7,FALSE),main!$K$10:$Q$14,6,FALSE),1,0)</f>
        <v>0</v>
      </c>
      <c r="I183">
        <f>IF(VLOOKUP(I$1,main!$A$3:$I$56,5,FALSE)-VLOOKUP($A183,main!$A$3:$I$56,6,FALSE)&gt;=VLOOKUP(58,main!$A$57:$I$61,4,FALSE)+VLOOKUP(VLOOKUP(I$1,main!$A$3:$I$56,7,FALSE),main!$K$10:$Q$14,6,FALSE),1,0)</f>
        <v>0</v>
      </c>
      <c r="J183">
        <f>IF(VLOOKUP(J$1,main!$A$3:$I$56,5,FALSE)-VLOOKUP($A183,main!$A$3:$I$56,6,FALSE)&gt;=VLOOKUP(58,main!$A$57:$I$61,4,FALSE)+VLOOKUP(VLOOKUP(J$1,main!$A$3:$I$56,7,FALSE),main!$K$10:$Q$14,6,FALSE),1,0)</f>
        <v>1</v>
      </c>
      <c r="K183">
        <f>IF(VLOOKUP(K$1,main!$A$3:$I$56,5,FALSE)-VLOOKUP($A183,main!$A$3:$I$56,6,FALSE)&gt;=VLOOKUP(58,main!$A$57:$I$61,4,FALSE)+VLOOKUP(VLOOKUP(K$1,main!$A$3:$I$56,7,FALSE),main!$K$10:$Q$14,6,FALSE),1,0)</f>
        <v>0</v>
      </c>
      <c r="L183">
        <f>IF(VLOOKUP(L$1,main!$A$3:$I$56,5,FALSE)-VLOOKUP($A183,main!$A$3:$I$56,6,FALSE)&gt;=VLOOKUP(58,main!$A$57:$I$61,4,FALSE)+VLOOKUP(VLOOKUP(L$1,main!$A$3:$I$56,7,FALSE),main!$K$10:$Q$14,6,FALSE),1,0)</f>
        <v>0</v>
      </c>
      <c r="M183">
        <f>IF(VLOOKUP(M$1,main!$A$3:$I$56,5,FALSE)-VLOOKUP($A183,main!$A$3:$I$56,6,FALSE)&gt;=VLOOKUP(58,main!$A$57:$I$61,4,FALSE)+VLOOKUP(VLOOKUP(M$1,main!$A$3:$I$56,7,FALSE),main!$K$10:$Q$14,6,FALSE),1,0)</f>
        <v>0</v>
      </c>
      <c r="N183">
        <f>IF(VLOOKUP(N$1,main!$A$3:$I$56,5,FALSE)-VLOOKUP($A183,main!$A$3:$I$56,6,FALSE)&gt;=VLOOKUP(58,main!$A$57:$I$61,4,FALSE)+VLOOKUP(VLOOKUP(N$1,main!$A$3:$I$56,7,FALSE),main!$K$10:$Q$14,6,FALSE),1,0)</f>
        <v>1</v>
      </c>
      <c r="O183">
        <f>IF(VLOOKUP(O$1,main!$A$3:$I$56,5,FALSE)-VLOOKUP($A183,main!$A$3:$I$56,6,FALSE)&gt;=VLOOKUP(58,main!$A$57:$I$61,4,FALSE)+VLOOKUP(VLOOKUP(O$1,main!$A$3:$I$56,7,FALSE),main!$K$10:$Q$14,6,FALSE),1,0)</f>
        <v>1</v>
      </c>
      <c r="P183">
        <f>IF(VLOOKUP(P$1,main!$A$3:$I$56,5,FALSE)-VLOOKUP($A183,main!$A$3:$I$56,6,FALSE)&gt;=VLOOKUP(58,main!$A$57:$I$61,4,FALSE)+VLOOKUP(VLOOKUP(P$1,main!$A$3:$I$56,7,FALSE),main!$K$10:$Q$14,6,FALSE),1,0)</f>
        <v>0</v>
      </c>
      <c r="Q183">
        <f>IF(VLOOKUP(Q$1,main!$A$3:$I$56,5,FALSE)-VLOOKUP($A183,main!$A$3:$I$56,6,FALSE)&gt;=VLOOKUP(58,main!$A$57:$I$61,4,FALSE)+VLOOKUP(VLOOKUP(Q$1,main!$A$3:$I$56,7,FALSE),main!$K$10:$Q$14,6,FALSE),1,0)</f>
        <v>0</v>
      </c>
      <c r="R183">
        <f>IF(VLOOKUP(R$1,main!$A$3:$I$56,5,FALSE)-VLOOKUP($A183,main!$A$3:$I$56,6,FALSE)&gt;=VLOOKUP(58,main!$A$57:$I$61,4,FALSE)+VLOOKUP(VLOOKUP(R$1,main!$A$3:$I$56,7,FALSE),main!$K$10:$Q$14,6,FALSE),1,0)</f>
        <v>0</v>
      </c>
      <c r="S183">
        <f>IF(VLOOKUP(S$1,main!$A$3:$I$56,5,FALSE)-VLOOKUP($A183,main!$A$3:$I$56,6,FALSE)&gt;=VLOOKUP(58,main!$A$57:$I$61,4,FALSE)+VLOOKUP(VLOOKUP(S$1,main!$A$3:$I$56,7,FALSE),main!$K$10:$Q$14,6,FALSE),1,0)</f>
        <v>0</v>
      </c>
      <c r="T183">
        <f>IF(VLOOKUP(T$1,main!$A$3:$I$56,5,FALSE)-VLOOKUP($A183,main!$A$3:$I$56,6,FALSE)&gt;=VLOOKUP(58,main!$A$57:$I$61,4,FALSE)+VLOOKUP(VLOOKUP(T$1,main!$A$3:$I$56,7,FALSE),main!$K$10:$Q$14,6,FALSE),1,0)</f>
        <v>0</v>
      </c>
      <c r="U183">
        <f>IF(VLOOKUP(U$1,main!$A$3:$I$56,5,FALSE)-VLOOKUP($A183,main!$A$3:$I$56,6,FALSE)&gt;=VLOOKUP(58,main!$A$57:$I$61,4,FALSE)+VLOOKUP(VLOOKUP(U$1,main!$A$3:$I$56,7,FALSE),main!$K$10:$Q$14,6,FALSE),1,0)</f>
        <v>0</v>
      </c>
      <c r="V183">
        <f>IF(VLOOKUP(V$1,main!$A$3:$I$56,5,FALSE)-VLOOKUP($A183,main!$A$3:$I$56,6,FALSE)&gt;=VLOOKUP(58,main!$A$57:$I$61,4,FALSE)+VLOOKUP(VLOOKUP(V$1,main!$A$3:$I$56,7,FALSE),main!$K$10:$Q$14,6,FALSE),1,0)</f>
        <v>0</v>
      </c>
      <c r="W183">
        <f>IF(VLOOKUP(W$1,main!$A$3:$I$56,5,FALSE)-VLOOKUP($A183,main!$A$3:$I$56,6,FALSE)&gt;=VLOOKUP(58,main!$A$57:$I$61,4,FALSE)+VLOOKUP(VLOOKUP(W$1,main!$A$3:$I$56,7,FALSE),main!$K$10:$Q$14,6,FALSE),1,0)</f>
        <v>0</v>
      </c>
      <c r="X183">
        <f>IF(VLOOKUP(X$1,main!$A$3:$I$56,5,FALSE)-VLOOKUP($A183,main!$A$3:$I$56,6,FALSE)&gt;=VLOOKUP(58,main!$A$57:$I$61,4,FALSE)+VLOOKUP(VLOOKUP(X$1,main!$A$3:$I$56,7,FALSE),main!$K$10:$Q$14,6,FALSE),1,0)</f>
        <v>0</v>
      </c>
      <c r="Y183">
        <f>IF(VLOOKUP(Y$1,main!$A$3:$I$56,5,FALSE)-VLOOKUP($A183,main!$A$3:$I$56,6,FALSE)&gt;=VLOOKUP(58,main!$A$57:$I$61,4,FALSE)+VLOOKUP(VLOOKUP(Y$1,main!$A$3:$I$56,7,FALSE),main!$K$10:$Q$14,6,FALSE),1,0)</f>
        <v>0</v>
      </c>
      <c r="Z183">
        <f>IF(VLOOKUP(Z$1,main!$A$3:$I$56,5,FALSE)-VLOOKUP($A183,main!$A$3:$I$56,6,FALSE)&gt;=VLOOKUP(58,main!$A$57:$I$61,4,FALSE)+VLOOKUP(VLOOKUP(Z$1,main!$A$3:$I$56,7,FALSE),main!$K$10:$Q$14,6,FALSE),1,0)</f>
        <v>0</v>
      </c>
      <c r="AA183">
        <f>IF(VLOOKUP(AA$1,main!$A$3:$I$56,5,FALSE)-VLOOKUP($A183,main!$A$3:$I$56,6,FALSE)&gt;=VLOOKUP(58,main!$A$57:$I$61,4,FALSE)+VLOOKUP(VLOOKUP(AA$1,main!$A$3:$I$56,7,FALSE),main!$K$10:$Q$14,6,FALSE),1,0)</f>
        <v>0</v>
      </c>
      <c r="AB183">
        <f>IF(VLOOKUP(AB$1,main!$A$3:$I$56,5,FALSE)-VLOOKUP($A183,main!$A$3:$I$56,6,FALSE)&gt;=VLOOKUP(58,main!$A$57:$I$61,4,FALSE)+VLOOKUP(VLOOKUP(AB$1,main!$A$3:$I$56,7,FALSE),main!$K$10:$Q$14,6,FALSE),1,0)</f>
        <v>1</v>
      </c>
      <c r="AC183">
        <f>IF(VLOOKUP(AC$1,main!$A$3:$I$56,5,FALSE)-VLOOKUP($A183,main!$A$3:$I$56,6,FALSE)&gt;=VLOOKUP(58,main!$A$57:$I$61,4,FALSE)+VLOOKUP(VLOOKUP(AC$1,main!$A$3:$I$56,7,FALSE),main!$K$10:$Q$14,6,FALSE),1,0)</f>
        <v>0</v>
      </c>
      <c r="AD183">
        <f>IF(VLOOKUP(AD$1,main!$A$3:$I$56,5,FALSE)-VLOOKUP($A183,main!$A$3:$I$56,6,FALSE)&gt;=VLOOKUP(58,main!$A$57:$I$61,4,FALSE)+VLOOKUP(VLOOKUP(AD$1,main!$A$3:$I$56,7,FALSE),main!$K$10:$Q$14,6,FALSE),1,0)</f>
        <v>0</v>
      </c>
      <c r="AE183">
        <f>IF(VLOOKUP(AE$1,main!$A$3:$I$56,5,FALSE)-VLOOKUP($A183,main!$A$3:$I$56,6,FALSE)&gt;=VLOOKUP(58,main!$A$57:$I$61,4,FALSE)+VLOOKUP(VLOOKUP(AE$1,main!$A$3:$I$56,7,FALSE),main!$K$10:$Q$14,6,FALSE),1,0)</f>
        <v>0</v>
      </c>
      <c r="AF183">
        <f>IF(VLOOKUP(AF$1,main!$A$3:$I$56,5,FALSE)-VLOOKUP($A183,main!$A$3:$I$56,6,FALSE)&gt;=VLOOKUP(58,main!$A$57:$I$61,4,FALSE)+VLOOKUP(VLOOKUP(AF$1,main!$A$3:$I$56,7,FALSE),main!$K$10:$Q$14,6,FALSE),1,0)</f>
        <v>0</v>
      </c>
      <c r="AG183">
        <f>IF(VLOOKUP(AG$1,main!$A$3:$I$56,5,FALSE)-VLOOKUP($A183,main!$A$3:$I$56,6,FALSE)&gt;=VLOOKUP(58,main!$A$57:$I$61,4,FALSE)+VLOOKUP(VLOOKUP(AG$1,main!$A$3:$I$56,7,FALSE),main!$K$10:$Q$14,6,FALSE),1,0)</f>
        <v>0</v>
      </c>
      <c r="AH183">
        <f>IF(VLOOKUP(AH$1,main!$A$3:$I$56,5,FALSE)-VLOOKUP($A183,main!$A$3:$I$56,6,FALSE)&gt;=VLOOKUP(58,main!$A$57:$I$61,4,FALSE)+VLOOKUP(VLOOKUP(AH$1,main!$A$3:$I$56,7,FALSE),main!$K$10:$Q$14,6,FALSE),1,0)</f>
        <v>0</v>
      </c>
      <c r="AI183">
        <f>IF(VLOOKUP(AI$1,main!$A$3:$I$56,5,FALSE)-VLOOKUP($A183,main!$A$3:$I$56,6,FALSE)&gt;=VLOOKUP(58,main!$A$57:$I$61,4,FALSE)+VLOOKUP(VLOOKUP(AI$1,main!$A$3:$I$56,7,FALSE),main!$K$10:$Q$14,6,FALSE),1,0)</f>
        <v>0</v>
      </c>
      <c r="AJ183">
        <f>IF(VLOOKUP(AJ$1,main!$A$3:$I$56,5,FALSE)-VLOOKUP($A183,main!$A$3:$I$56,6,FALSE)&gt;=VLOOKUP(58,main!$A$57:$I$61,4,FALSE)+VLOOKUP(VLOOKUP(AJ$1,main!$A$3:$I$56,7,FALSE),main!$K$10:$Q$14,6,FALSE),1,0)</f>
        <v>0</v>
      </c>
      <c r="AK183">
        <f>IF(VLOOKUP(AK$1,main!$A$3:$I$56,5,FALSE)-VLOOKUP($A183,main!$A$3:$I$56,6,FALSE)&gt;=VLOOKUP(58,main!$A$57:$I$61,4,FALSE)+VLOOKUP(VLOOKUP(AK$1,main!$A$3:$I$56,7,FALSE),main!$K$10:$Q$14,6,FALSE),1,0)</f>
        <v>1</v>
      </c>
      <c r="AL183">
        <f>IF(VLOOKUP(AL$1,main!$A$3:$I$56,5,FALSE)-VLOOKUP($A183,main!$A$3:$I$56,6,FALSE)&gt;=VLOOKUP(58,main!$A$57:$I$61,4,FALSE)+VLOOKUP(VLOOKUP(AL$1,main!$A$3:$I$56,7,FALSE),main!$K$10:$Q$14,6,FALSE),1,0)</f>
        <v>0</v>
      </c>
      <c r="AM183">
        <f>IF(VLOOKUP(AM$1,main!$A$3:$I$56,5,FALSE)-VLOOKUP($A183,main!$A$3:$I$56,6,FALSE)&gt;=VLOOKUP(58,main!$A$57:$I$61,4,FALSE)+VLOOKUP(VLOOKUP(AM$1,main!$A$3:$I$56,7,FALSE),main!$K$10:$Q$14,6,FALSE),1,0)</f>
        <v>0</v>
      </c>
      <c r="AN183">
        <f>IF(VLOOKUP(AN$1,main!$A$3:$I$56,5,FALSE)-VLOOKUP($A183,main!$A$3:$I$56,6,FALSE)&gt;=VLOOKUP(58,main!$A$57:$I$61,4,FALSE)+VLOOKUP(VLOOKUP(AN$1,main!$A$3:$I$56,7,FALSE),main!$K$10:$Q$14,6,FALSE),1,0)</f>
        <v>0</v>
      </c>
      <c r="AO183">
        <f>IF(VLOOKUP(AO$1,main!$A$3:$I$56,5,FALSE)-VLOOKUP($A183,main!$A$3:$I$56,6,FALSE)&gt;=VLOOKUP(58,main!$A$57:$I$61,4,FALSE)+VLOOKUP(VLOOKUP(AO$1,main!$A$3:$I$56,7,FALSE),main!$K$10:$Q$14,6,FALSE),1,0)</f>
        <v>0</v>
      </c>
      <c r="AP183">
        <f>IF(VLOOKUP(AP$1,main!$A$3:$I$56,5,FALSE)-VLOOKUP($A183,main!$A$3:$I$56,6,FALSE)&gt;=VLOOKUP(58,main!$A$57:$I$61,4,FALSE)+VLOOKUP(VLOOKUP(AP$1,main!$A$3:$I$56,7,FALSE),main!$K$10:$Q$14,6,FALSE),1,0)</f>
        <v>0</v>
      </c>
      <c r="AQ183">
        <f>IF(VLOOKUP(AQ$1,main!$A$3:$I$56,5,FALSE)-VLOOKUP($A183,main!$A$3:$I$56,6,FALSE)&gt;=VLOOKUP(58,main!$A$57:$I$61,4,FALSE)+VLOOKUP(VLOOKUP(AQ$1,main!$A$3:$I$56,7,FALSE),main!$K$10:$Q$14,6,FALSE),1,0)</f>
        <v>0</v>
      </c>
      <c r="AR183">
        <f>IF(VLOOKUP(AR$1,main!$A$3:$I$56,5,FALSE)-VLOOKUP($A183,main!$A$3:$I$56,6,FALSE)&gt;=VLOOKUP(58,main!$A$57:$I$61,4,FALSE)+VLOOKUP(VLOOKUP(AR$1,main!$A$3:$I$56,7,FALSE),main!$K$10:$Q$14,6,FALSE),1,0)</f>
        <v>0</v>
      </c>
      <c r="AS183">
        <f>IF(VLOOKUP(AS$1,main!$A$3:$I$56,5,FALSE)-VLOOKUP($A183,main!$A$3:$I$56,6,FALSE)&gt;=VLOOKUP(58,main!$A$57:$I$61,4,FALSE)+VLOOKUP(VLOOKUP(AS$1,main!$A$3:$I$56,7,FALSE),main!$K$10:$Q$14,6,FALSE),1,0)</f>
        <v>0</v>
      </c>
      <c r="AT183">
        <f>IF(VLOOKUP(AT$1,main!$A$3:$I$56,5,FALSE)-VLOOKUP($A183,main!$A$3:$I$56,6,FALSE)&gt;=VLOOKUP(58,main!$A$57:$I$61,4,FALSE)+VLOOKUP(VLOOKUP(AT$1,main!$A$3:$I$56,7,FALSE),main!$K$10:$Q$14,6,FALSE),1,0)</f>
        <v>0</v>
      </c>
      <c r="AU183">
        <f>IF(VLOOKUP(AU$1,main!$A$3:$I$56,5,FALSE)-VLOOKUP($A183,main!$A$3:$I$56,6,FALSE)&gt;=VLOOKUP(58,main!$A$57:$I$61,4,FALSE)+VLOOKUP(VLOOKUP(AU$1,main!$A$3:$I$56,7,FALSE),main!$K$10:$Q$14,6,FALSE),1,0)</f>
        <v>0</v>
      </c>
      <c r="AV183">
        <f>IF(VLOOKUP(AV$1,main!$A$3:$I$56,5,FALSE)-VLOOKUP($A183,main!$A$3:$I$56,6,FALSE)&gt;=VLOOKUP(58,main!$A$57:$I$61,4,FALSE)+VLOOKUP(VLOOKUP(AV$1,main!$A$3:$I$56,7,FALSE),main!$K$10:$Q$14,6,FALSE),1,0)</f>
        <v>0</v>
      </c>
      <c r="AW183">
        <f>IF(VLOOKUP(AW$1,main!$A$3:$I$56,5,FALSE)-VLOOKUP($A183,main!$A$3:$I$56,6,FALSE)&gt;=VLOOKUP(58,main!$A$57:$I$61,4,FALSE)+VLOOKUP(VLOOKUP(AW$1,main!$A$3:$I$56,7,FALSE),main!$K$10:$Q$14,6,FALSE),1,0)</f>
        <v>0</v>
      </c>
      <c r="AX183">
        <f>IF(VLOOKUP(AX$1,main!$A$3:$I$56,5,FALSE)-VLOOKUP($A183,main!$A$3:$I$56,6,FALSE)&gt;=VLOOKUP(58,main!$A$57:$I$61,4,FALSE)+VLOOKUP(VLOOKUP(AX$1,main!$A$3:$I$56,7,FALSE),main!$K$10:$Q$14,6,FALSE),1,0)</f>
        <v>0</v>
      </c>
      <c r="AY183">
        <f>IF(VLOOKUP(AY$1,main!$A$3:$I$56,5,FALSE)-VLOOKUP($A183,main!$A$3:$I$56,6,FALSE)&gt;=VLOOKUP(58,main!$A$57:$I$61,4,FALSE)+VLOOKUP(VLOOKUP(AY$1,main!$A$3:$I$56,7,FALSE),main!$K$10:$Q$14,6,FALSE),1,0)</f>
        <v>0</v>
      </c>
      <c r="AZ183">
        <f>IF(VLOOKUP(AZ$1,main!$A$3:$I$56,5,FALSE)-VLOOKUP($A183,main!$A$3:$I$56,6,FALSE)&gt;=VLOOKUP(58,main!$A$57:$I$61,4,FALSE)+VLOOKUP(VLOOKUP(AZ$1,main!$A$3:$I$56,7,FALSE),main!$K$10:$Q$14,6,FALSE),1,0)</f>
        <v>0</v>
      </c>
      <c r="BA183">
        <f>IF(VLOOKUP(BA$1,main!$A$3:$I$56,5,FALSE)-VLOOKUP($A183,main!$A$3:$I$56,6,FALSE)&gt;=VLOOKUP(58,main!$A$57:$I$61,4,FALSE)+VLOOKUP(VLOOKUP(BA$1,main!$A$3:$I$56,7,FALSE),main!$K$10:$Q$14,6,FALSE),1,0)</f>
        <v>0</v>
      </c>
      <c r="BB183">
        <f>IF(VLOOKUP(BB$1,main!$A$3:$I$56,5,FALSE)-VLOOKUP($A183,main!$A$3:$I$56,6,FALSE)&gt;=VLOOKUP(58,main!$A$57:$I$61,4,FALSE)+VLOOKUP(VLOOKUP(BB$1,main!$A$3:$I$56,7,FALSE),main!$K$10:$Q$14,6,FALSE),1,0)</f>
        <v>0</v>
      </c>
      <c r="BC183">
        <f>IF(VLOOKUP(BC$1,main!$A$3:$I$56,5,FALSE)-VLOOKUP($A183,main!$A$3:$I$56,6,FALSE)&gt;=VLOOKUP(58,main!$A$57:$I$61,4,FALSE)+VLOOKUP(VLOOKUP(BC$1,main!$A$3:$I$56,7,FALSE),main!$K$10:$Q$14,6,FALSE),1,0)</f>
        <v>0</v>
      </c>
      <c r="BD183">
        <f>IF(VLOOKUP(BD$1,main!$A$3:$I$56,5,FALSE)-VLOOKUP($A183,main!$A$3:$I$56,6,FALSE)&gt;=VLOOKUP(58,main!$A$57:$I$61,4,FALSE)+VLOOKUP(VLOOKUP(BD$1,main!$A$3:$I$56,7,FALSE),main!$K$10:$Q$14,6,FALSE),1,0)</f>
        <v>0</v>
      </c>
    </row>
    <row r="184" spans="1:56" x14ac:dyDescent="0.25">
      <c r="A184">
        <f t="shared" si="3"/>
        <v>17</v>
      </c>
      <c r="B184">
        <v>0</v>
      </c>
      <c r="C184">
        <f>IF(VLOOKUP(C$1,main!$A$3:$I$56,5,FALSE)-VLOOKUP($A184,main!$A$3:$I$56,6,FALSE)&gt;=VLOOKUP(58,main!$A$57:$I$61,4,FALSE)+VLOOKUP(VLOOKUP(C$1,main!$A$3:$I$56,7,FALSE),main!$K$10:$Q$14,6,FALSE),1,0)</f>
        <v>0</v>
      </c>
      <c r="D184">
        <f>IF(VLOOKUP(D$1,main!$A$3:$I$56,5,FALSE)-VLOOKUP($A184,main!$A$3:$I$56,6,FALSE)&gt;=VLOOKUP(58,main!$A$57:$I$61,4,FALSE)+VLOOKUP(VLOOKUP(D$1,main!$A$3:$I$56,7,FALSE),main!$K$10:$Q$14,6,FALSE),1,0)</f>
        <v>0</v>
      </c>
      <c r="E184">
        <f>IF(VLOOKUP(E$1,main!$A$3:$I$56,5,FALSE)-VLOOKUP($A184,main!$A$3:$I$56,6,FALSE)&gt;=VLOOKUP(58,main!$A$57:$I$61,4,FALSE)+VLOOKUP(VLOOKUP(E$1,main!$A$3:$I$56,7,FALSE),main!$K$10:$Q$14,6,FALSE),1,0)</f>
        <v>0</v>
      </c>
      <c r="F184">
        <f>IF(VLOOKUP(F$1,main!$A$3:$I$56,5,FALSE)-VLOOKUP($A184,main!$A$3:$I$56,6,FALSE)&gt;=VLOOKUP(58,main!$A$57:$I$61,4,FALSE)+VLOOKUP(VLOOKUP(F$1,main!$A$3:$I$56,7,FALSE),main!$K$10:$Q$14,6,FALSE),1,0)</f>
        <v>0</v>
      </c>
      <c r="G184">
        <f>IF(VLOOKUP(G$1,main!$A$3:$I$56,5,FALSE)-VLOOKUP($A184,main!$A$3:$I$56,6,FALSE)&gt;=VLOOKUP(58,main!$A$57:$I$61,4,FALSE)+VLOOKUP(VLOOKUP(G$1,main!$A$3:$I$56,7,FALSE),main!$K$10:$Q$14,6,FALSE),1,0)</f>
        <v>0</v>
      </c>
      <c r="H184">
        <f>IF(VLOOKUP(H$1,main!$A$3:$I$56,5,FALSE)-VLOOKUP($A184,main!$A$3:$I$56,6,FALSE)&gt;=VLOOKUP(58,main!$A$57:$I$61,4,FALSE)+VLOOKUP(VLOOKUP(H$1,main!$A$3:$I$56,7,FALSE),main!$K$10:$Q$14,6,FALSE),1,0)</f>
        <v>0</v>
      </c>
      <c r="I184">
        <f>IF(VLOOKUP(I$1,main!$A$3:$I$56,5,FALSE)-VLOOKUP($A184,main!$A$3:$I$56,6,FALSE)&gt;=VLOOKUP(58,main!$A$57:$I$61,4,FALSE)+VLOOKUP(VLOOKUP(I$1,main!$A$3:$I$56,7,FALSE),main!$K$10:$Q$14,6,FALSE),1,0)</f>
        <v>0</v>
      </c>
      <c r="J184">
        <f>IF(VLOOKUP(J$1,main!$A$3:$I$56,5,FALSE)-VLOOKUP($A184,main!$A$3:$I$56,6,FALSE)&gt;=VLOOKUP(58,main!$A$57:$I$61,4,FALSE)+VLOOKUP(VLOOKUP(J$1,main!$A$3:$I$56,7,FALSE),main!$K$10:$Q$14,6,FALSE),1,0)</f>
        <v>0</v>
      </c>
      <c r="K184">
        <f>IF(VLOOKUP(K$1,main!$A$3:$I$56,5,FALSE)-VLOOKUP($A184,main!$A$3:$I$56,6,FALSE)&gt;=VLOOKUP(58,main!$A$57:$I$61,4,FALSE)+VLOOKUP(VLOOKUP(K$1,main!$A$3:$I$56,7,FALSE),main!$K$10:$Q$14,6,FALSE),1,0)</f>
        <v>0</v>
      </c>
      <c r="L184">
        <f>IF(VLOOKUP(L$1,main!$A$3:$I$56,5,FALSE)-VLOOKUP($A184,main!$A$3:$I$56,6,FALSE)&gt;=VLOOKUP(58,main!$A$57:$I$61,4,FALSE)+VLOOKUP(VLOOKUP(L$1,main!$A$3:$I$56,7,FALSE),main!$K$10:$Q$14,6,FALSE),1,0)</f>
        <v>0</v>
      </c>
      <c r="M184">
        <f>IF(VLOOKUP(M$1,main!$A$3:$I$56,5,FALSE)-VLOOKUP($A184,main!$A$3:$I$56,6,FALSE)&gt;=VLOOKUP(58,main!$A$57:$I$61,4,FALSE)+VLOOKUP(VLOOKUP(M$1,main!$A$3:$I$56,7,FALSE),main!$K$10:$Q$14,6,FALSE),1,0)</f>
        <v>0</v>
      </c>
      <c r="N184">
        <f>IF(VLOOKUP(N$1,main!$A$3:$I$56,5,FALSE)-VLOOKUP($A184,main!$A$3:$I$56,6,FALSE)&gt;=VLOOKUP(58,main!$A$57:$I$61,4,FALSE)+VLOOKUP(VLOOKUP(N$1,main!$A$3:$I$56,7,FALSE),main!$K$10:$Q$14,6,FALSE),1,0)</f>
        <v>0</v>
      </c>
      <c r="O184">
        <f>IF(VLOOKUP(O$1,main!$A$3:$I$56,5,FALSE)-VLOOKUP($A184,main!$A$3:$I$56,6,FALSE)&gt;=VLOOKUP(58,main!$A$57:$I$61,4,FALSE)+VLOOKUP(VLOOKUP(O$1,main!$A$3:$I$56,7,FALSE),main!$K$10:$Q$14,6,FALSE),1,0)</f>
        <v>0</v>
      </c>
      <c r="P184">
        <f>IF(VLOOKUP(P$1,main!$A$3:$I$56,5,FALSE)-VLOOKUP($A184,main!$A$3:$I$56,6,FALSE)&gt;=VLOOKUP(58,main!$A$57:$I$61,4,FALSE)+VLOOKUP(VLOOKUP(P$1,main!$A$3:$I$56,7,FALSE),main!$K$10:$Q$14,6,FALSE),1,0)</f>
        <v>0</v>
      </c>
      <c r="Q184">
        <f>IF(VLOOKUP(Q$1,main!$A$3:$I$56,5,FALSE)-VLOOKUP($A184,main!$A$3:$I$56,6,FALSE)&gt;=VLOOKUP(58,main!$A$57:$I$61,4,FALSE)+VLOOKUP(VLOOKUP(Q$1,main!$A$3:$I$56,7,FALSE),main!$K$10:$Q$14,6,FALSE),1,0)</f>
        <v>0</v>
      </c>
      <c r="R184">
        <f>IF(VLOOKUP(R$1,main!$A$3:$I$56,5,FALSE)-VLOOKUP($A184,main!$A$3:$I$56,6,FALSE)&gt;=VLOOKUP(58,main!$A$57:$I$61,4,FALSE)+VLOOKUP(VLOOKUP(R$1,main!$A$3:$I$56,7,FALSE),main!$K$10:$Q$14,6,FALSE),1,0)</f>
        <v>0</v>
      </c>
      <c r="S184">
        <f>IF(VLOOKUP(S$1,main!$A$3:$I$56,5,FALSE)-VLOOKUP($A184,main!$A$3:$I$56,6,FALSE)&gt;=VLOOKUP(58,main!$A$57:$I$61,4,FALSE)+VLOOKUP(VLOOKUP(S$1,main!$A$3:$I$56,7,FALSE),main!$K$10:$Q$14,6,FALSE),1,0)</f>
        <v>0</v>
      </c>
      <c r="T184">
        <f>IF(VLOOKUP(T$1,main!$A$3:$I$56,5,FALSE)-VLOOKUP($A184,main!$A$3:$I$56,6,FALSE)&gt;=VLOOKUP(58,main!$A$57:$I$61,4,FALSE)+VLOOKUP(VLOOKUP(T$1,main!$A$3:$I$56,7,FALSE),main!$K$10:$Q$14,6,FALSE),1,0)</f>
        <v>0</v>
      </c>
      <c r="U184">
        <f>IF(VLOOKUP(U$1,main!$A$3:$I$56,5,FALSE)-VLOOKUP($A184,main!$A$3:$I$56,6,FALSE)&gt;=VLOOKUP(58,main!$A$57:$I$61,4,FALSE)+VLOOKUP(VLOOKUP(U$1,main!$A$3:$I$56,7,FALSE),main!$K$10:$Q$14,6,FALSE),1,0)</f>
        <v>0</v>
      </c>
      <c r="V184">
        <f>IF(VLOOKUP(V$1,main!$A$3:$I$56,5,FALSE)-VLOOKUP($A184,main!$A$3:$I$56,6,FALSE)&gt;=VLOOKUP(58,main!$A$57:$I$61,4,FALSE)+VLOOKUP(VLOOKUP(V$1,main!$A$3:$I$56,7,FALSE),main!$K$10:$Q$14,6,FALSE),1,0)</f>
        <v>0</v>
      </c>
      <c r="W184">
        <f>IF(VLOOKUP(W$1,main!$A$3:$I$56,5,FALSE)-VLOOKUP($A184,main!$A$3:$I$56,6,FALSE)&gt;=VLOOKUP(58,main!$A$57:$I$61,4,FALSE)+VLOOKUP(VLOOKUP(W$1,main!$A$3:$I$56,7,FALSE),main!$K$10:$Q$14,6,FALSE),1,0)</f>
        <v>0</v>
      </c>
      <c r="X184">
        <f>IF(VLOOKUP(X$1,main!$A$3:$I$56,5,FALSE)-VLOOKUP($A184,main!$A$3:$I$56,6,FALSE)&gt;=VLOOKUP(58,main!$A$57:$I$61,4,FALSE)+VLOOKUP(VLOOKUP(X$1,main!$A$3:$I$56,7,FALSE),main!$K$10:$Q$14,6,FALSE),1,0)</f>
        <v>0</v>
      </c>
      <c r="Y184">
        <f>IF(VLOOKUP(Y$1,main!$A$3:$I$56,5,FALSE)-VLOOKUP($A184,main!$A$3:$I$56,6,FALSE)&gt;=VLOOKUP(58,main!$A$57:$I$61,4,FALSE)+VLOOKUP(VLOOKUP(Y$1,main!$A$3:$I$56,7,FALSE),main!$K$10:$Q$14,6,FALSE),1,0)</f>
        <v>0</v>
      </c>
      <c r="Z184">
        <f>IF(VLOOKUP(Z$1,main!$A$3:$I$56,5,FALSE)-VLOOKUP($A184,main!$A$3:$I$56,6,FALSE)&gt;=VLOOKUP(58,main!$A$57:$I$61,4,FALSE)+VLOOKUP(VLOOKUP(Z$1,main!$A$3:$I$56,7,FALSE),main!$K$10:$Q$14,6,FALSE),1,0)</f>
        <v>0</v>
      </c>
      <c r="AA184">
        <f>IF(VLOOKUP(AA$1,main!$A$3:$I$56,5,FALSE)-VLOOKUP($A184,main!$A$3:$I$56,6,FALSE)&gt;=VLOOKUP(58,main!$A$57:$I$61,4,FALSE)+VLOOKUP(VLOOKUP(AA$1,main!$A$3:$I$56,7,FALSE),main!$K$10:$Q$14,6,FALSE),1,0)</f>
        <v>0</v>
      </c>
      <c r="AB184">
        <f>IF(VLOOKUP(AB$1,main!$A$3:$I$56,5,FALSE)-VLOOKUP($A184,main!$A$3:$I$56,6,FALSE)&gt;=VLOOKUP(58,main!$A$57:$I$61,4,FALSE)+VLOOKUP(VLOOKUP(AB$1,main!$A$3:$I$56,7,FALSE),main!$K$10:$Q$14,6,FALSE),1,0)</f>
        <v>0</v>
      </c>
      <c r="AC184">
        <f>IF(VLOOKUP(AC$1,main!$A$3:$I$56,5,FALSE)-VLOOKUP($A184,main!$A$3:$I$56,6,FALSE)&gt;=VLOOKUP(58,main!$A$57:$I$61,4,FALSE)+VLOOKUP(VLOOKUP(AC$1,main!$A$3:$I$56,7,FALSE),main!$K$10:$Q$14,6,FALSE),1,0)</f>
        <v>0</v>
      </c>
      <c r="AD184">
        <f>IF(VLOOKUP(AD$1,main!$A$3:$I$56,5,FALSE)-VLOOKUP($A184,main!$A$3:$I$56,6,FALSE)&gt;=VLOOKUP(58,main!$A$57:$I$61,4,FALSE)+VLOOKUP(VLOOKUP(AD$1,main!$A$3:$I$56,7,FALSE),main!$K$10:$Q$14,6,FALSE),1,0)</f>
        <v>0</v>
      </c>
      <c r="AE184">
        <f>IF(VLOOKUP(AE$1,main!$A$3:$I$56,5,FALSE)-VLOOKUP($A184,main!$A$3:$I$56,6,FALSE)&gt;=VLOOKUP(58,main!$A$57:$I$61,4,FALSE)+VLOOKUP(VLOOKUP(AE$1,main!$A$3:$I$56,7,FALSE),main!$K$10:$Q$14,6,FALSE),1,0)</f>
        <v>0</v>
      </c>
      <c r="AF184">
        <f>IF(VLOOKUP(AF$1,main!$A$3:$I$56,5,FALSE)-VLOOKUP($A184,main!$A$3:$I$56,6,FALSE)&gt;=VLOOKUP(58,main!$A$57:$I$61,4,FALSE)+VLOOKUP(VLOOKUP(AF$1,main!$A$3:$I$56,7,FALSE),main!$K$10:$Q$14,6,FALSE),1,0)</f>
        <v>0</v>
      </c>
      <c r="AG184">
        <f>IF(VLOOKUP(AG$1,main!$A$3:$I$56,5,FALSE)-VLOOKUP($A184,main!$A$3:$I$56,6,FALSE)&gt;=VLOOKUP(58,main!$A$57:$I$61,4,FALSE)+VLOOKUP(VLOOKUP(AG$1,main!$A$3:$I$56,7,FALSE),main!$K$10:$Q$14,6,FALSE),1,0)</f>
        <v>0</v>
      </c>
      <c r="AH184">
        <f>IF(VLOOKUP(AH$1,main!$A$3:$I$56,5,FALSE)-VLOOKUP($A184,main!$A$3:$I$56,6,FALSE)&gt;=VLOOKUP(58,main!$A$57:$I$61,4,FALSE)+VLOOKUP(VLOOKUP(AH$1,main!$A$3:$I$56,7,FALSE),main!$K$10:$Q$14,6,FALSE),1,0)</f>
        <v>0</v>
      </c>
      <c r="AI184">
        <f>IF(VLOOKUP(AI$1,main!$A$3:$I$56,5,FALSE)-VLOOKUP($A184,main!$A$3:$I$56,6,FALSE)&gt;=VLOOKUP(58,main!$A$57:$I$61,4,FALSE)+VLOOKUP(VLOOKUP(AI$1,main!$A$3:$I$56,7,FALSE),main!$K$10:$Q$14,6,FALSE),1,0)</f>
        <v>0</v>
      </c>
      <c r="AJ184">
        <f>IF(VLOOKUP(AJ$1,main!$A$3:$I$56,5,FALSE)-VLOOKUP($A184,main!$A$3:$I$56,6,FALSE)&gt;=VLOOKUP(58,main!$A$57:$I$61,4,FALSE)+VLOOKUP(VLOOKUP(AJ$1,main!$A$3:$I$56,7,FALSE),main!$K$10:$Q$14,6,FALSE),1,0)</f>
        <v>0</v>
      </c>
      <c r="AK184">
        <f>IF(VLOOKUP(AK$1,main!$A$3:$I$56,5,FALSE)-VLOOKUP($A184,main!$A$3:$I$56,6,FALSE)&gt;=VLOOKUP(58,main!$A$57:$I$61,4,FALSE)+VLOOKUP(VLOOKUP(AK$1,main!$A$3:$I$56,7,FALSE),main!$K$10:$Q$14,6,FALSE),1,0)</f>
        <v>0</v>
      </c>
      <c r="AL184">
        <f>IF(VLOOKUP(AL$1,main!$A$3:$I$56,5,FALSE)-VLOOKUP($A184,main!$A$3:$I$56,6,FALSE)&gt;=VLOOKUP(58,main!$A$57:$I$61,4,FALSE)+VLOOKUP(VLOOKUP(AL$1,main!$A$3:$I$56,7,FALSE),main!$K$10:$Q$14,6,FALSE),1,0)</f>
        <v>0</v>
      </c>
      <c r="AM184">
        <f>IF(VLOOKUP(AM$1,main!$A$3:$I$56,5,FALSE)-VLOOKUP($A184,main!$A$3:$I$56,6,FALSE)&gt;=VLOOKUP(58,main!$A$57:$I$61,4,FALSE)+VLOOKUP(VLOOKUP(AM$1,main!$A$3:$I$56,7,FALSE),main!$K$10:$Q$14,6,FALSE),1,0)</f>
        <v>0</v>
      </c>
      <c r="AN184">
        <f>IF(VLOOKUP(AN$1,main!$A$3:$I$56,5,FALSE)-VLOOKUP($A184,main!$A$3:$I$56,6,FALSE)&gt;=VLOOKUP(58,main!$A$57:$I$61,4,FALSE)+VLOOKUP(VLOOKUP(AN$1,main!$A$3:$I$56,7,FALSE),main!$K$10:$Q$14,6,FALSE),1,0)</f>
        <v>0</v>
      </c>
      <c r="AO184">
        <f>IF(VLOOKUP(AO$1,main!$A$3:$I$56,5,FALSE)-VLOOKUP($A184,main!$A$3:$I$56,6,FALSE)&gt;=VLOOKUP(58,main!$A$57:$I$61,4,FALSE)+VLOOKUP(VLOOKUP(AO$1,main!$A$3:$I$56,7,FALSE),main!$K$10:$Q$14,6,FALSE),1,0)</f>
        <v>0</v>
      </c>
      <c r="AP184">
        <f>IF(VLOOKUP(AP$1,main!$A$3:$I$56,5,FALSE)-VLOOKUP($A184,main!$A$3:$I$56,6,FALSE)&gt;=VLOOKUP(58,main!$A$57:$I$61,4,FALSE)+VLOOKUP(VLOOKUP(AP$1,main!$A$3:$I$56,7,FALSE),main!$K$10:$Q$14,6,FALSE),1,0)</f>
        <v>0</v>
      </c>
      <c r="AQ184">
        <f>IF(VLOOKUP(AQ$1,main!$A$3:$I$56,5,FALSE)-VLOOKUP($A184,main!$A$3:$I$56,6,FALSE)&gt;=VLOOKUP(58,main!$A$57:$I$61,4,FALSE)+VLOOKUP(VLOOKUP(AQ$1,main!$A$3:$I$56,7,FALSE),main!$K$10:$Q$14,6,FALSE),1,0)</f>
        <v>0</v>
      </c>
      <c r="AR184">
        <f>IF(VLOOKUP(AR$1,main!$A$3:$I$56,5,FALSE)-VLOOKUP($A184,main!$A$3:$I$56,6,FALSE)&gt;=VLOOKUP(58,main!$A$57:$I$61,4,FALSE)+VLOOKUP(VLOOKUP(AR$1,main!$A$3:$I$56,7,FALSE),main!$K$10:$Q$14,6,FALSE),1,0)</f>
        <v>0</v>
      </c>
      <c r="AS184">
        <f>IF(VLOOKUP(AS$1,main!$A$3:$I$56,5,FALSE)-VLOOKUP($A184,main!$A$3:$I$56,6,FALSE)&gt;=VLOOKUP(58,main!$A$57:$I$61,4,FALSE)+VLOOKUP(VLOOKUP(AS$1,main!$A$3:$I$56,7,FALSE),main!$K$10:$Q$14,6,FALSE),1,0)</f>
        <v>0</v>
      </c>
      <c r="AT184">
        <f>IF(VLOOKUP(AT$1,main!$A$3:$I$56,5,FALSE)-VLOOKUP($A184,main!$A$3:$I$56,6,FALSE)&gt;=VLOOKUP(58,main!$A$57:$I$61,4,FALSE)+VLOOKUP(VLOOKUP(AT$1,main!$A$3:$I$56,7,FALSE),main!$K$10:$Q$14,6,FALSE),1,0)</f>
        <v>0</v>
      </c>
      <c r="AU184">
        <f>IF(VLOOKUP(AU$1,main!$A$3:$I$56,5,FALSE)-VLOOKUP($A184,main!$A$3:$I$56,6,FALSE)&gt;=VLOOKUP(58,main!$A$57:$I$61,4,FALSE)+VLOOKUP(VLOOKUP(AU$1,main!$A$3:$I$56,7,FALSE),main!$K$10:$Q$14,6,FALSE),1,0)</f>
        <v>0</v>
      </c>
      <c r="AV184">
        <f>IF(VLOOKUP(AV$1,main!$A$3:$I$56,5,FALSE)-VLOOKUP($A184,main!$A$3:$I$56,6,FALSE)&gt;=VLOOKUP(58,main!$A$57:$I$61,4,FALSE)+VLOOKUP(VLOOKUP(AV$1,main!$A$3:$I$56,7,FALSE),main!$K$10:$Q$14,6,FALSE),1,0)</f>
        <v>0</v>
      </c>
      <c r="AW184">
        <f>IF(VLOOKUP(AW$1,main!$A$3:$I$56,5,FALSE)-VLOOKUP($A184,main!$A$3:$I$56,6,FALSE)&gt;=VLOOKUP(58,main!$A$57:$I$61,4,FALSE)+VLOOKUP(VLOOKUP(AW$1,main!$A$3:$I$56,7,FALSE),main!$K$10:$Q$14,6,FALSE),1,0)</f>
        <v>0</v>
      </c>
      <c r="AX184">
        <f>IF(VLOOKUP(AX$1,main!$A$3:$I$56,5,FALSE)-VLOOKUP($A184,main!$A$3:$I$56,6,FALSE)&gt;=VLOOKUP(58,main!$A$57:$I$61,4,FALSE)+VLOOKUP(VLOOKUP(AX$1,main!$A$3:$I$56,7,FALSE),main!$K$10:$Q$14,6,FALSE),1,0)</f>
        <v>0</v>
      </c>
      <c r="AY184">
        <f>IF(VLOOKUP(AY$1,main!$A$3:$I$56,5,FALSE)-VLOOKUP($A184,main!$A$3:$I$56,6,FALSE)&gt;=VLOOKUP(58,main!$A$57:$I$61,4,FALSE)+VLOOKUP(VLOOKUP(AY$1,main!$A$3:$I$56,7,FALSE),main!$K$10:$Q$14,6,FALSE),1,0)</f>
        <v>0</v>
      </c>
      <c r="AZ184">
        <f>IF(VLOOKUP(AZ$1,main!$A$3:$I$56,5,FALSE)-VLOOKUP($A184,main!$A$3:$I$56,6,FALSE)&gt;=VLOOKUP(58,main!$A$57:$I$61,4,FALSE)+VLOOKUP(VLOOKUP(AZ$1,main!$A$3:$I$56,7,FALSE),main!$K$10:$Q$14,6,FALSE),1,0)</f>
        <v>0</v>
      </c>
      <c r="BA184">
        <f>IF(VLOOKUP(BA$1,main!$A$3:$I$56,5,FALSE)-VLOOKUP($A184,main!$A$3:$I$56,6,FALSE)&gt;=VLOOKUP(58,main!$A$57:$I$61,4,FALSE)+VLOOKUP(VLOOKUP(BA$1,main!$A$3:$I$56,7,FALSE),main!$K$10:$Q$14,6,FALSE),1,0)</f>
        <v>0</v>
      </c>
      <c r="BB184">
        <f>IF(VLOOKUP(BB$1,main!$A$3:$I$56,5,FALSE)-VLOOKUP($A184,main!$A$3:$I$56,6,FALSE)&gt;=VLOOKUP(58,main!$A$57:$I$61,4,FALSE)+VLOOKUP(VLOOKUP(BB$1,main!$A$3:$I$56,7,FALSE),main!$K$10:$Q$14,6,FALSE),1,0)</f>
        <v>0</v>
      </c>
      <c r="BC184">
        <f>IF(VLOOKUP(BC$1,main!$A$3:$I$56,5,FALSE)-VLOOKUP($A184,main!$A$3:$I$56,6,FALSE)&gt;=VLOOKUP(58,main!$A$57:$I$61,4,FALSE)+VLOOKUP(VLOOKUP(BC$1,main!$A$3:$I$56,7,FALSE),main!$K$10:$Q$14,6,FALSE),1,0)</f>
        <v>0</v>
      </c>
      <c r="BD184">
        <f>IF(VLOOKUP(BD$1,main!$A$3:$I$56,5,FALSE)-VLOOKUP($A184,main!$A$3:$I$56,6,FALSE)&gt;=VLOOKUP(58,main!$A$57:$I$61,4,FALSE)+VLOOKUP(VLOOKUP(BD$1,main!$A$3:$I$56,7,FALSE),main!$K$10:$Q$14,6,FALSE),1,0)</f>
        <v>0</v>
      </c>
    </row>
    <row r="185" spans="1:56" x14ac:dyDescent="0.25">
      <c r="A185">
        <f t="shared" si="3"/>
        <v>18</v>
      </c>
      <c r="B185">
        <v>0</v>
      </c>
      <c r="C185">
        <f>IF(VLOOKUP(C$1,main!$A$3:$I$56,5,FALSE)-VLOOKUP($A185,main!$A$3:$I$56,6,FALSE)&gt;=VLOOKUP(58,main!$A$57:$I$61,4,FALSE)+VLOOKUP(VLOOKUP(C$1,main!$A$3:$I$56,7,FALSE),main!$K$10:$Q$14,6,FALSE),1,0)</f>
        <v>0</v>
      </c>
      <c r="D185">
        <f>IF(VLOOKUP(D$1,main!$A$3:$I$56,5,FALSE)-VLOOKUP($A185,main!$A$3:$I$56,6,FALSE)&gt;=VLOOKUP(58,main!$A$57:$I$61,4,FALSE)+VLOOKUP(VLOOKUP(D$1,main!$A$3:$I$56,7,FALSE),main!$K$10:$Q$14,6,FALSE),1,0)</f>
        <v>0</v>
      </c>
      <c r="E185">
        <f>IF(VLOOKUP(E$1,main!$A$3:$I$56,5,FALSE)-VLOOKUP($A185,main!$A$3:$I$56,6,FALSE)&gt;=VLOOKUP(58,main!$A$57:$I$61,4,FALSE)+VLOOKUP(VLOOKUP(E$1,main!$A$3:$I$56,7,FALSE),main!$K$10:$Q$14,6,FALSE),1,0)</f>
        <v>0</v>
      </c>
      <c r="F185">
        <f>IF(VLOOKUP(F$1,main!$A$3:$I$56,5,FALSE)-VLOOKUP($A185,main!$A$3:$I$56,6,FALSE)&gt;=VLOOKUP(58,main!$A$57:$I$61,4,FALSE)+VLOOKUP(VLOOKUP(F$1,main!$A$3:$I$56,7,FALSE),main!$K$10:$Q$14,6,FALSE),1,0)</f>
        <v>0</v>
      </c>
      <c r="G185">
        <f>IF(VLOOKUP(G$1,main!$A$3:$I$56,5,FALSE)-VLOOKUP($A185,main!$A$3:$I$56,6,FALSE)&gt;=VLOOKUP(58,main!$A$57:$I$61,4,FALSE)+VLOOKUP(VLOOKUP(G$1,main!$A$3:$I$56,7,FALSE),main!$K$10:$Q$14,6,FALSE),1,0)</f>
        <v>0</v>
      </c>
      <c r="H185">
        <f>IF(VLOOKUP(H$1,main!$A$3:$I$56,5,FALSE)-VLOOKUP($A185,main!$A$3:$I$56,6,FALSE)&gt;=VLOOKUP(58,main!$A$57:$I$61,4,FALSE)+VLOOKUP(VLOOKUP(H$1,main!$A$3:$I$56,7,FALSE),main!$K$10:$Q$14,6,FALSE),1,0)</f>
        <v>0</v>
      </c>
      <c r="I185">
        <f>IF(VLOOKUP(I$1,main!$A$3:$I$56,5,FALSE)-VLOOKUP($A185,main!$A$3:$I$56,6,FALSE)&gt;=VLOOKUP(58,main!$A$57:$I$61,4,FALSE)+VLOOKUP(VLOOKUP(I$1,main!$A$3:$I$56,7,FALSE),main!$K$10:$Q$14,6,FALSE),1,0)</f>
        <v>0</v>
      </c>
      <c r="J185">
        <f>IF(VLOOKUP(J$1,main!$A$3:$I$56,5,FALSE)-VLOOKUP($A185,main!$A$3:$I$56,6,FALSE)&gt;=VLOOKUP(58,main!$A$57:$I$61,4,FALSE)+VLOOKUP(VLOOKUP(J$1,main!$A$3:$I$56,7,FALSE),main!$K$10:$Q$14,6,FALSE),1,0)</f>
        <v>0</v>
      </c>
      <c r="K185">
        <f>IF(VLOOKUP(K$1,main!$A$3:$I$56,5,FALSE)-VLOOKUP($A185,main!$A$3:$I$56,6,FALSE)&gt;=VLOOKUP(58,main!$A$57:$I$61,4,FALSE)+VLOOKUP(VLOOKUP(K$1,main!$A$3:$I$56,7,FALSE),main!$K$10:$Q$14,6,FALSE),1,0)</f>
        <v>0</v>
      </c>
      <c r="L185">
        <f>IF(VLOOKUP(L$1,main!$A$3:$I$56,5,FALSE)-VLOOKUP($A185,main!$A$3:$I$56,6,FALSE)&gt;=VLOOKUP(58,main!$A$57:$I$61,4,FALSE)+VLOOKUP(VLOOKUP(L$1,main!$A$3:$I$56,7,FALSE),main!$K$10:$Q$14,6,FALSE),1,0)</f>
        <v>0</v>
      </c>
      <c r="M185">
        <f>IF(VLOOKUP(M$1,main!$A$3:$I$56,5,FALSE)-VLOOKUP($A185,main!$A$3:$I$56,6,FALSE)&gt;=VLOOKUP(58,main!$A$57:$I$61,4,FALSE)+VLOOKUP(VLOOKUP(M$1,main!$A$3:$I$56,7,FALSE),main!$K$10:$Q$14,6,FALSE),1,0)</f>
        <v>0</v>
      </c>
      <c r="N185">
        <f>IF(VLOOKUP(N$1,main!$A$3:$I$56,5,FALSE)-VLOOKUP($A185,main!$A$3:$I$56,6,FALSE)&gt;=VLOOKUP(58,main!$A$57:$I$61,4,FALSE)+VLOOKUP(VLOOKUP(N$1,main!$A$3:$I$56,7,FALSE),main!$K$10:$Q$14,6,FALSE),1,0)</f>
        <v>0</v>
      </c>
      <c r="O185">
        <f>IF(VLOOKUP(O$1,main!$A$3:$I$56,5,FALSE)-VLOOKUP($A185,main!$A$3:$I$56,6,FALSE)&gt;=VLOOKUP(58,main!$A$57:$I$61,4,FALSE)+VLOOKUP(VLOOKUP(O$1,main!$A$3:$I$56,7,FALSE),main!$K$10:$Q$14,6,FALSE),1,0)</f>
        <v>0</v>
      </c>
      <c r="P185">
        <f>IF(VLOOKUP(P$1,main!$A$3:$I$56,5,FALSE)-VLOOKUP($A185,main!$A$3:$I$56,6,FALSE)&gt;=VLOOKUP(58,main!$A$57:$I$61,4,FALSE)+VLOOKUP(VLOOKUP(P$1,main!$A$3:$I$56,7,FALSE),main!$K$10:$Q$14,6,FALSE),1,0)</f>
        <v>0</v>
      </c>
      <c r="Q185">
        <f>IF(VLOOKUP(Q$1,main!$A$3:$I$56,5,FALSE)-VLOOKUP($A185,main!$A$3:$I$56,6,FALSE)&gt;=VLOOKUP(58,main!$A$57:$I$61,4,FALSE)+VLOOKUP(VLOOKUP(Q$1,main!$A$3:$I$56,7,FALSE),main!$K$10:$Q$14,6,FALSE),1,0)</f>
        <v>0</v>
      </c>
      <c r="R185">
        <f>IF(VLOOKUP(R$1,main!$A$3:$I$56,5,FALSE)-VLOOKUP($A185,main!$A$3:$I$56,6,FALSE)&gt;=VLOOKUP(58,main!$A$57:$I$61,4,FALSE)+VLOOKUP(VLOOKUP(R$1,main!$A$3:$I$56,7,FALSE),main!$K$10:$Q$14,6,FALSE),1,0)</f>
        <v>0</v>
      </c>
      <c r="S185">
        <f>IF(VLOOKUP(S$1,main!$A$3:$I$56,5,FALSE)-VLOOKUP($A185,main!$A$3:$I$56,6,FALSE)&gt;=VLOOKUP(58,main!$A$57:$I$61,4,FALSE)+VLOOKUP(VLOOKUP(S$1,main!$A$3:$I$56,7,FALSE),main!$K$10:$Q$14,6,FALSE),1,0)</f>
        <v>0</v>
      </c>
      <c r="T185">
        <f>IF(VLOOKUP(T$1,main!$A$3:$I$56,5,FALSE)-VLOOKUP($A185,main!$A$3:$I$56,6,FALSE)&gt;=VLOOKUP(58,main!$A$57:$I$61,4,FALSE)+VLOOKUP(VLOOKUP(T$1,main!$A$3:$I$56,7,FALSE),main!$K$10:$Q$14,6,FALSE),1,0)</f>
        <v>0</v>
      </c>
      <c r="U185">
        <f>IF(VLOOKUP(U$1,main!$A$3:$I$56,5,FALSE)-VLOOKUP($A185,main!$A$3:$I$56,6,FALSE)&gt;=VLOOKUP(58,main!$A$57:$I$61,4,FALSE)+VLOOKUP(VLOOKUP(U$1,main!$A$3:$I$56,7,FALSE),main!$K$10:$Q$14,6,FALSE),1,0)</f>
        <v>0</v>
      </c>
      <c r="V185">
        <f>IF(VLOOKUP(V$1,main!$A$3:$I$56,5,FALSE)-VLOOKUP($A185,main!$A$3:$I$56,6,FALSE)&gt;=VLOOKUP(58,main!$A$57:$I$61,4,FALSE)+VLOOKUP(VLOOKUP(V$1,main!$A$3:$I$56,7,FALSE),main!$K$10:$Q$14,6,FALSE),1,0)</f>
        <v>0</v>
      </c>
      <c r="W185">
        <f>IF(VLOOKUP(W$1,main!$A$3:$I$56,5,FALSE)-VLOOKUP($A185,main!$A$3:$I$56,6,FALSE)&gt;=VLOOKUP(58,main!$A$57:$I$61,4,FALSE)+VLOOKUP(VLOOKUP(W$1,main!$A$3:$I$56,7,FALSE),main!$K$10:$Q$14,6,FALSE),1,0)</f>
        <v>0</v>
      </c>
      <c r="X185">
        <f>IF(VLOOKUP(X$1,main!$A$3:$I$56,5,FALSE)-VLOOKUP($A185,main!$A$3:$I$56,6,FALSE)&gt;=VLOOKUP(58,main!$A$57:$I$61,4,FALSE)+VLOOKUP(VLOOKUP(X$1,main!$A$3:$I$56,7,FALSE),main!$K$10:$Q$14,6,FALSE),1,0)</f>
        <v>0</v>
      </c>
      <c r="Y185">
        <f>IF(VLOOKUP(Y$1,main!$A$3:$I$56,5,FALSE)-VLOOKUP($A185,main!$A$3:$I$56,6,FALSE)&gt;=VLOOKUP(58,main!$A$57:$I$61,4,FALSE)+VLOOKUP(VLOOKUP(Y$1,main!$A$3:$I$56,7,FALSE),main!$K$10:$Q$14,6,FALSE),1,0)</f>
        <v>0</v>
      </c>
      <c r="Z185">
        <f>IF(VLOOKUP(Z$1,main!$A$3:$I$56,5,FALSE)-VLOOKUP($A185,main!$A$3:$I$56,6,FALSE)&gt;=VLOOKUP(58,main!$A$57:$I$61,4,FALSE)+VLOOKUP(VLOOKUP(Z$1,main!$A$3:$I$56,7,FALSE),main!$K$10:$Q$14,6,FALSE),1,0)</f>
        <v>0</v>
      </c>
      <c r="AA185">
        <f>IF(VLOOKUP(AA$1,main!$A$3:$I$56,5,FALSE)-VLOOKUP($A185,main!$A$3:$I$56,6,FALSE)&gt;=VLOOKUP(58,main!$A$57:$I$61,4,FALSE)+VLOOKUP(VLOOKUP(AA$1,main!$A$3:$I$56,7,FALSE),main!$K$10:$Q$14,6,FALSE),1,0)</f>
        <v>0</v>
      </c>
      <c r="AB185">
        <f>IF(VLOOKUP(AB$1,main!$A$3:$I$56,5,FALSE)-VLOOKUP($A185,main!$A$3:$I$56,6,FALSE)&gt;=VLOOKUP(58,main!$A$57:$I$61,4,FALSE)+VLOOKUP(VLOOKUP(AB$1,main!$A$3:$I$56,7,FALSE),main!$K$10:$Q$14,6,FALSE),1,0)</f>
        <v>0</v>
      </c>
      <c r="AC185">
        <f>IF(VLOOKUP(AC$1,main!$A$3:$I$56,5,FALSE)-VLOOKUP($A185,main!$A$3:$I$56,6,FALSE)&gt;=VLOOKUP(58,main!$A$57:$I$61,4,FALSE)+VLOOKUP(VLOOKUP(AC$1,main!$A$3:$I$56,7,FALSE),main!$K$10:$Q$14,6,FALSE),1,0)</f>
        <v>0</v>
      </c>
      <c r="AD185">
        <f>IF(VLOOKUP(AD$1,main!$A$3:$I$56,5,FALSE)-VLOOKUP($A185,main!$A$3:$I$56,6,FALSE)&gt;=VLOOKUP(58,main!$A$57:$I$61,4,FALSE)+VLOOKUP(VLOOKUP(AD$1,main!$A$3:$I$56,7,FALSE),main!$K$10:$Q$14,6,FALSE),1,0)</f>
        <v>0</v>
      </c>
      <c r="AE185">
        <f>IF(VLOOKUP(AE$1,main!$A$3:$I$56,5,FALSE)-VLOOKUP($A185,main!$A$3:$I$56,6,FALSE)&gt;=VLOOKUP(58,main!$A$57:$I$61,4,FALSE)+VLOOKUP(VLOOKUP(AE$1,main!$A$3:$I$56,7,FALSE),main!$K$10:$Q$14,6,FALSE),1,0)</f>
        <v>0</v>
      </c>
      <c r="AF185">
        <f>IF(VLOOKUP(AF$1,main!$A$3:$I$56,5,FALSE)-VLOOKUP($A185,main!$A$3:$I$56,6,FALSE)&gt;=VLOOKUP(58,main!$A$57:$I$61,4,FALSE)+VLOOKUP(VLOOKUP(AF$1,main!$A$3:$I$56,7,FALSE),main!$K$10:$Q$14,6,FALSE),1,0)</f>
        <v>0</v>
      </c>
      <c r="AG185">
        <f>IF(VLOOKUP(AG$1,main!$A$3:$I$56,5,FALSE)-VLOOKUP($A185,main!$A$3:$I$56,6,FALSE)&gt;=VLOOKUP(58,main!$A$57:$I$61,4,FALSE)+VLOOKUP(VLOOKUP(AG$1,main!$A$3:$I$56,7,FALSE),main!$K$10:$Q$14,6,FALSE),1,0)</f>
        <v>0</v>
      </c>
      <c r="AH185">
        <f>IF(VLOOKUP(AH$1,main!$A$3:$I$56,5,FALSE)-VLOOKUP($A185,main!$A$3:$I$56,6,FALSE)&gt;=VLOOKUP(58,main!$A$57:$I$61,4,FALSE)+VLOOKUP(VLOOKUP(AH$1,main!$A$3:$I$56,7,FALSE),main!$K$10:$Q$14,6,FALSE),1,0)</f>
        <v>0</v>
      </c>
      <c r="AI185">
        <f>IF(VLOOKUP(AI$1,main!$A$3:$I$56,5,FALSE)-VLOOKUP($A185,main!$A$3:$I$56,6,FALSE)&gt;=VLOOKUP(58,main!$A$57:$I$61,4,FALSE)+VLOOKUP(VLOOKUP(AI$1,main!$A$3:$I$56,7,FALSE),main!$K$10:$Q$14,6,FALSE),1,0)</f>
        <v>0</v>
      </c>
      <c r="AJ185">
        <f>IF(VLOOKUP(AJ$1,main!$A$3:$I$56,5,FALSE)-VLOOKUP($A185,main!$A$3:$I$56,6,FALSE)&gt;=VLOOKUP(58,main!$A$57:$I$61,4,FALSE)+VLOOKUP(VLOOKUP(AJ$1,main!$A$3:$I$56,7,FALSE),main!$K$10:$Q$14,6,FALSE),1,0)</f>
        <v>0</v>
      </c>
      <c r="AK185">
        <f>IF(VLOOKUP(AK$1,main!$A$3:$I$56,5,FALSE)-VLOOKUP($A185,main!$A$3:$I$56,6,FALSE)&gt;=VLOOKUP(58,main!$A$57:$I$61,4,FALSE)+VLOOKUP(VLOOKUP(AK$1,main!$A$3:$I$56,7,FALSE),main!$K$10:$Q$14,6,FALSE),1,0)</f>
        <v>0</v>
      </c>
      <c r="AL185">
        <f>IF(VLOOKUP(AL$1,main!$A$3:$I$56,5,FALSE)-VLOOKUP($A185,main!$A$3:$I$56,6,FALSE)&gt;=VLOOKUP(58,main!$A$57:$I$61,4,FALSE)+VLOOKUP(VLOOKUP(AL$1,main!$A$3:$I$56,7,FALSE),main!$K$10:$Q$14,6,FALSE),1,0)</f>
        <v>0</v>
      </c>
      <c r="AM185">
        <f>IF(VLOOKUP(AM$1,main!$A$3:$I$56,5,FALSE)-VLOOKUP($A185,main!$A$3:$I$56,6,FALSE)&gt;=VLOOKUP(58,main!$A$57:$I$61,4,FALSE)+VLOOKUP(VLOOKUP(AM$1,main!$A$3:$I$56,7,FALSE),main!$K$10:$Q$14,6,FALSE),1,0)</f>
        <v>0</v>
      </c>
      <c r="AN185">
        <f>IF(VLOOKUP(AN$1,main!$A$3:$I$56,5,FALSE)-VLOOKUP($A185,main!$A$3:$I$56,6,FALSE)&gt;=VLOOKUP(58,main!$A$57:$I$61,4,FALSE)+VLOOKUP(VLOOKUP(AN$1,main!$A$3:$I$56,7,FALSE),main!$K$10:$Q$14,6,FALSE),1,0)</f>
        <v>0</v>
      </c>
      <c r="AO185">
        <f>IF(VLOOKUP(AO$1,main!$A$3:$I$56,5,FALSE)-VLOOKUP($A185,main!$A$3:$I$56,6,FALSE)&gt;=VLOOKUP(58,main!$A$57:$I$61,4,FALSE)+VLOOKUP(VLOOKUP(AO$1,main!$A$3:$I$56,7,FALSE),main!$K$10:$Q$14,6,FALSE),1,0)</f>
        <v>0</v>
      </c>
      <c r="AP185">
        <f>IF(VLOOKUP(AP$1,main!$A$3:$I$56,5,FALSE)-VLOOKUP($A185,main!$A$3:$I$56,6,FALSE)&gt;=VLOOKUP(58,main!$A$57:$I$61,4,FALSE)+VLOOKUP(VLOOKUP(AP$1,main!$A$3:$I$56,7,FALSE),main!$K$10:$Q$14,6,FALSE),1,0)</f>
        <v>0</v>
      </c>
      <c r="AQ185">
        <f>IF(VLOOKUP(AQ$1,main!$A$3:$I$56,5,FALSE)-VLOOKUP($A185,main!$A$3:$I$56,6,FALSE)&gt;=VLOOKUP(58,main!$A$57:$I$61,4,FALSE)+VLOOKUP(VLOOKUP(AQ$1,main!$A$3:$I$56,7,FALSE),main!$K$10:$Q$14,6,FALSE),1,0)</f>
        <v>0</v>
      </c>
      <c r="AR185">
        <f>IF(VLOOKUP(AR$1,main!$A$3:$I$56,5,FALSE)-VLOOKUP($A185,main!$A$3:$I$56,6,FALSE)&gt;=VLOOKUP(58,main!$A$57:$I$61,4,FALSE)+VLOOKUP(VLOOKUP(AR$1,main!$A$3:$I$56,7,FALSE),main!$K$10:$Q$14,6,FALSE),1,0)</f>
        <v>0</v>
      </c>
      <c r="AS185">
        <f>IF(VLOOKUP(AS$1,main!$A$3:$I$56,5,FALSE)-VLOOKUP($A185,main!$A$3:$I$56,6,FALSE)&gt;=VLOOKUP(58,main!$A$57:$I$61,4,FALSE)+VLOOKUP(VLOOKUP(AS$1,main!$A$3:$I$56,7,FALSE),main!$K$10:$Q$14,6,FALSE),1,0)</f>
        <v>0</v>
      </c>
      <c r="AT185">
        <f>IF(VLOOKUP(AT$1,main!$A$3:$I$56,5,FALSE)-VLOOKUP($A185,main!$A$3:$I$56,6,FALSE)&gt;=VLOOKUP(58,main!$A$57:$I$61,4,FALSE)+VLOOKUP(VLOOKUP(AT$1,main!$A$3:$I$56,7,FALSE),main!$K$10:$Q$14,6,FALSE),1,0)</f>
        <v>0</v>
      </c>
      <c r="AU185">
        <f>IF(VLOOKUP(AU$1,main!$A$3:$I$56,5,FALSE)-VLOOKUP($A185,main!$A$3:$I$56,6,FALSE)&gt;=VLOOKUP(58,main!$A$57:$I$61,4,FALSE)+VLOOKUP(VLOOKUP(AU$1,main!$A$3:$I$56,7,FALSE),main!$K$10:$Q$14,6,FALSE),1,0)</f>
        <v>0</v>
      </c>
      <c r="AV185">
        <f>IF(VLOOKUP(AV$1,main!$A$3:$I$56,5,FALSE)-VLOOKUP($A185,main!$A$3:$I$56,6,FALSE)&gt;=VLOOKUP(58,main!$A$57:$I$61,4,FALSE)+VLOOKUP(VLOOKUP(AV$1,main!$A$3:$I$56,7,FALSE),main!$K$10:$Q$14,6,FALSE),1,0)</f>
        <v>0</v>
      </c>
      <c r="AW185">
        <f>IF(VLOOKUP(AW$1,main!$A$3:$I$56,5,FALSE)-VLOOKUP($A185,main!$A$3:$I$56,6,FALSE)&gt;=VLOOKUP(58,main!$A$57:$I$61,4,FALSE)+VLOOKUP(VLOOKUP(AW$1,main!$A$3:$I$56,7,FALSE),main!$K$10:$Q$14,6,FALSE),1,0)</f>
        <v>0</v>
      </c>
      <c r="AX185">
        <f>IF(VLOOKUP(AX$1,main!$A$3:$I$56,5,FALSE)-VLOOKUP($A185,main!$A$3:$I$56,6,FALSE)&gt;=VLOOKUP(58,main!$A$57:$I$61,4,FALSE)+VLOOKUP(VLOOKUP(AX$1,main!$A$3:$I$56,7,FALSE),main!$K$10:$Q$14,6,FALSE),1,0)</f>
        <v>0</v>
      </c>
      <c r="AY185">
        <f>IF(VLOOKUP(AY$1,main!$A$3:$I$56,5,FALSE)-VLOOKUP($A185,main!$A$3:$I$56,6,FALSE)&gt;=VLOOKUP(58,main!$A$57:$I$61,4,FALSE)+VLOOKUP(VLOOKUP(AY$1,main!$A$3:$I$56,7,FALSE),main!$K$10:$Q$14,6,FALSE),1,0)</f>
        <v>0</v>
      </c>
      <c r="AZ185">
        <f>IF(VLOOKUP(AZ$1,main!$A$3:$I$56,5,FALSE)-VLOOKUP($A185,main!$A$3:$I$56,6,FALSE)&gt;=VLOOKUP(58,main!$A$57:$I$61,4,FALSE)+VLOOKUP(VLOOKUP(AZ$1,main!$A$3:$I$56,7,FALSE),main!$K$10:$Q$14,6,FALSE),1,0)</f>
        <v>0</v>
      </c>
      <c r="BA185">
        <f>IF(VLOOKUP(BA$1,main!$A$3:$I$56,5,FALSE)-VLOOKUP($A185,main!$A$3:$I$56,6,FALSE)&gt;=VLOOKUP(58,main!$A$57:$I$61,4,FALSE)+VLOOKUP(VLOOKUP(BA$1,main!$A$3:$I$56,7,FALSE),main!$K$10:$Q$14,6,FALSE),1,0)</f>
        <v>0</v>
      </c>
      <c r="BB185">
        <f>IF(VLOOKUP(BB$1,main!$A$3:$I$56,5,FALSE)-VLOOKUP($A185,main!$A$3:$I$56,6,FALSE)&gt;=VLOOKUP(58,main!$A$57:$I$61,4,FALSE)+VLOOKUP(VLOOKUP(BB$1,main!$A$3:$I$56,7,FALSE),main!$K$10:$Q$14,6,FALSE),1,0)</f>
        <v>0</v>
      </c>
      <c r="BC185">
        <f>IF(VLOOKUP(BC$1,main!$A$3:$I$56,5,FALSE)-VLOOKUP($A185,main!$A$3:$I$56,6,FALSE)&gt;=VLOOKUP(58,main!$A$57:$I$61,4,FALSE)+VLOOKUP(VLOOKUP(BC$1,main!$A$3:$I$56,7,FALSE),main!$K$10:$Q$14,6,FALSE),1,0)</f>
        <v>0</v>
      </c>
      <c r="BD185">
        <f>IF(VLOOKUP(BD$1,main!$A$3:$I$56,5,FALSE)-VLOOKUP($A185,main!$A$3:$I$56,6,FALSE)&gt;=VLOOKUP(58,main!$A$57:$I$61,4,FALSE)+VLOOKUP(VLOOKUP(BD$1,main!$A$3:$I$56,7,FALSE),main!$K$10:$Q$14,6,FALSE),1,0)</f>
        <v>0</v>
      </c>
    </row>
    <row r="186" spans="1:56" x14ac:dyDescent="0.25">
      <c r="A186">
        <f t="shared" si="3"/>
        <v>19</v>
      </c>
      <c r="B186">
        <v>0</v>
      </c>
      <c r="C186">
        <f>IF(VLOOKUP(C$1,main!$A$3:$I$56,5,FALSE)-VLOOKUP($A186,main!$A$3:$I$56,6,FALSE)&gt;=VLOOKUP(58,main!$A$57:$I$61,4,FALSE)+VLOOKUP(VLOOKUP(C$1,main!$A$3:$I$56,7,FALSE),main!$K$10:$Q$14,6,FALSE),1,0)</f>
        <v>0</v>
      </c>
      <c r="D186">
        <f>IF(VLOOKUP(D$1,main!$A$3:$I$56,5,FALSE)-VLOOKUP($A186,main!$A$3:$I$56,6,FALSE)&gt;=VLOOKUP(58,main!$A$57:$I$61,4,FALSE)+VLOOKUP(VLOOKUP(D$1,main!$A$3:$I$56,7,FALSE),main!$K$10:$Q$14,6,FALSE),1,0)</f>
        <v>0</v>
      </c>
      <c r="E186">
        <f>IF(VLOOKUP(E$1,main!$A$3:$I$56,5,FALSE)-VLOOKUP($A186,main!$A$3:$I$56,6,FALSE)&gt;=VLOOKUP(58,main!$A$57:$I$61,4,FALSE)+VLOOKUP(VLOOKUP(E$1,main!$A$3:$I$56,7,FALSE),main!$K$10:$Q$14,6,FALSE),1,0)</f>
        <v>0</v>
      </c>
      <c r="F186">
        <f>IF(VLOOKUP(F$1,main!$A$3:$I$56,5,FALSE)-VLOOKUP($A186,main!$A$3:$I$56,6,FALSE)&gt;=VLOOKUP(58,main!$A$57:$I$61,4,FALSE)+VLOOKUP(VLOOKUP(F$1,main!$A$3:$I$56,7,FALSE),main!$K$10:$Q$14,6,FALSE),1,0)</f>
        <v>1</v>
      </c>
      <c r="G186">
        <f>IF(VLOOKUP(G$1,main!$A$3:$I$56,5,FALSE)-VLOOKUP($A186,main!$A$3:$I$56,6,FALSE)&gt;=VLOOKUP(58,main!$A$57:$I$61,4,FALSE)+VLOOKUP(VLOOKUP(G$1,main!$A$3:$I$56,7,FALSE),main!$K$10:$Q$14,6,FALSE),1,0)</f>
        <v>1</v>
      </c>
      <c r="H186">
        <f>IF(VLOOKUP(H$1,main!$A$3:$I$56,5,FALSE)-VLOOKUP($A186,main!$A$3:$I$56,6,FALSE)&gt;=VLOOKUP(58,main!$A$57:$I$61,4,FALSE)+VLOOKUP(VLOOKUP(H$1,main!$A$3:$I$56,7,FALSE),main!$K$10:$Q$14,6,FALSE),1,0)</f>
        <v>1</v>
      </c>
      <c r="I186">
        <f>IF(VLOOKUP(I$1,main!$A$3:$I$56,5,FALSE)-VLOOKUP($A186,main!$A$3:$I$56,6,FALSE)&gt;=VLOOKUP(58,main!$A$57:$I$61,4,FALSE)+VLOOKUP(VLOOKUP(I$1,main!$A$3:$I$56,7,FALSE),main!$K$10:$Q$14,6,FALSE),1,0)</f>
        <v>1</v>
      </c>
      <c r="J186">
        <f>IF(VLOOKUP(J$1,main!$A$3:$I$56,5,FALSE)-VLOOKUP($A186,main!$A$3:$I$56,6,FALSE)&gt;=VLOOKUP(58,main!$A$57:$I$61,4,FALSE)+VLOOKUP(VLOOKUP(J$1,main!$A$3:$I$56,7,FALSE),main!$K$10:$Q$14,6,FALSE),1,0)</f>
        <v>1</v>
      </c>
      <c r="K186">
        <f>IF(VLOOKUP(K$1,main!$A$3:$I$56,5,FALSE)-VLOOKUP($A186,main!$A$3:$I$56,6,FALSE)&gt;=VLOOKUP(58,main!$A$57:$I$61,4,FALSE)+VLOOKUP(VLOOKUP(K$1,main!$A$3:$I$56,7,FALSE),main!$K$10:$Q$14,6,FALSE),1,0)</f>
        <v>0</v>
      </c>
      <c r="L186">
        <f>IF(VLOOKUP(L$1,main!$A$3:$I$56,5,FALSE)-VLOOKUP($A186,main!$A$3:$I$56,6,FALSE)&gt;=VLOOKUP(58,main!$A$57:$I$61,4,FALSE)+VLOOKUP(VLOOKUP(L$1,main!$A$3:$I$56,7,FALSE),main!$K$10:$Q$14,6,FALSE),1,0)</f>
        <v>0</v>
      </c>
      <c r="M186">
        <f>IF(VLOOKUP(M$1,main!$A$3:$I$56,5,FALSE)-VLOOKUP($A186,main!$A$3:$I$56,6,FALSE)&gt;=VLOOKUP(58,main!$A$57:$I$61,4,FALSE)+VLOOKUP(VLOOKUP(M$1,main!$A$3:$I$56,7,FALSE),main!$K$10:$Q$14,6,FALSE),1,0)</f>
        <v>0</v>
      </c>
      <c r="N186">
        <f>IF(VLOOKUP(N$1,main!$A$3:$I$56,5,FALSE)-VLOOKUP($A186,main!$A$3:$I$56,6,FALSE)&gt;=VLOOKUP(58,main!$A$57:$I$61,4,FALSE)+VLOOKUP(VLOOKUP(N$1,main!$A$3:$I$56,7,FALSE),main!$K$10:$Q$14,6,FALSE),1,0)</f>
        <v>1</v>
      </c>
      <c r="O186">
        <f>IF(VLOOKUP(O$1,main!$A$3:$I$56,5,FALSE)-VLOOKUP($A186,main!$A$3:$I$56,6,FALSE)&gt;=VLOOKUP(58,main!$A$57:$I$61,4,FALSE)+VLOOKUP(VLOOKUP(O$1,main!$A$3:$I$56,7,FALSE),main!$K$10:$Q$14,6,FALSE),1,0)</f>
        <v>1</v>
      </c>
      <c r="P186">
        <f>IF(VLOOKUP(P$1,main!$A$3:$I$56,5,FALSE)-VLOOKUP($A186,main!$A$3:$I$56,6,FALSE)&gt;=VLOOKUP(58,main!$A$57:$I$61,4,FALSE)+VLOOKUP(VLOOKUP(P$1,main!$A$3:$I$56,7,FALSE),main!$K$10:$Q$14,6,FALSE),1,0)</f>
        <v>0</v>
      </c>
      <c r="Q186">
        <f>IF(VLOOKUP(Q$1,main!$A$3:$I$56,5,FALSE)-VLOOKUP($A186,main!$A$3:$I$56,6,FALSE)&gt;=VLOOKUP(58,main!$A$57:$I$61,4,FALSE)+VLOOKUP(VLOOKUP(Q$1,main!$A$3:$I$56,7,FALSE),main!$K$10:$Q$14,6,FALSE),1,0)</f>
        <v>0</v>
      </c>
      <c r="R186">
        <f>IF(VLOOKUP(R$1,main!$A$3:$I$56,5,FALSE)-VLOOKUP($A186,main!$A$3:$I$56,6,FALSE)&gt;=VLOOKUP(58,main!$A$57:$I$61,4,FALSE)+VLOOKUP(VLOOKUP(R$1,main!$A$3:$I$56,7,FALSE),main!$K$10:$Q$14,6,FALSE),1,0)</f>
        <v>0</v>
      </c>
      <c r="S186">
        <f>IF(VLOOKUP(S$1,main!$A$3:$I$56,5,FALSE)-VLOOKUP($A186,main!$A$3:$I$56,6,FALSE)&gt;=VLOOKUP(58,main!$A$57:$I$61,4,FALSE)+VLOOKUP(VLOOKUP(S$1,main!$A$3:$I$56,7,FALSE),main!$K$10:$Q$14,6,FALSE),1,0)</f>
        <v>1</v>
      </c>
      <c r="T186">
        <f>IF(VLOOKUP(T$1,main!$A$3:$I$56,5,FALSE)-VLOOKUP($A186,main!$A$3:$I$56,6,FALSE)&gt;=VLOOKUP(58,main!$A$57:$I$61,4,FALSE)+VLOOKUP(VLOOKUP(T$1,main!$A$3:$I$56,7,FALSE),main!$K$10:$Q$14,6,FALSE),1,0)</f>
        <v>1</v>
      </c>
      <c r="U186">
        <f>IF(VLOOKUP(U$1,main!$A$3:$I$56,5,FALSE)-VLOOKUP($A186,main!$A$3:$I$56,6,FALSE)&gt;=VLOOKUP(58,main!$A$57:$I$61,4,FALSE)+VLOOKUP(VLOOKUP(U$1,main!$A$3:$I$56,7,FALSE),main!$K$10:$Q$14,6,FALSE),1,0)</f>
        <v>0</v>
      </c>
      <c r="V186">
        <f>IF(VLOOKUP(V$1,main!$A$3:$I$56,5,FALSE)-VLOOKUP($A186,main!$A$3:$I$56,6,FALSE)&gt;=VLOOKUP(58,main!$A$57:$I$61,4,FALSE)+VLOOKUP(VLOOKUP(V$1,main!$A$3:$I$56,7,FALSE),main!$K$10:$Q$14,6,FALSE),1,0)</f>
        <v>0</v>
      </c>
      <c r="W186">
        <f>IF(VLOOKUP(W$1,main!$A$3:$I$56,5,FALSE)-VLOOKUP($A186,main!$A$3:$I$56,6,FALSE)&gt;=VLOOKUP(58,main!$A$57:$I$61,4,FALSE)+VLOOKUP(VLOOKUP(W$1,main!$A$3:$I$56,7,FALSE),main!$K$10:$Q$14,6,FALSE),1,0)</f>
        <v>0</v>
      </c>
      <c r="X186">
        <f>IF(VLOOKUP(X$1,main!$A$3:$I$56,5,FALSE)-VLOOKUP($A186,main!$A$3:$I$56,6,FALSE)&gt;=VLOOKUP(58,main!$A$57:$I$61,4,FALSE)+VLOOKUP(VLOOKUP(X$1,main!$A$3:$I$56,7,FALSE),main!$K$10:$Q$14,6,FALSE),1,0)</f>
        <v>0</v>
      </c>
      <c r="Y186">
        <f>IF(VLOOKUP(Y$1,main!$A$3:$I$56,5,FALSE)-VLOOKUP($A186,main!$A$3:$I$56,6,FALSE)&gt;=VLOOKUP(58,main!$A$57:$I$61,4,FALSE)+VLOOKUP(VLOOKUP(Y$1,main!$A$3:$I$56,7,FALSE),main!$K$10:$Q$14,6,FALSE),1,0)</f>
        <v>1</v>
      </c>
      <c r="Z186">
        <f>IF(VLOOKUP(Z$1,main!$A$3:$I$56,5,FALSE)-VLOOKUP($A186,main!$A$3:$I$56,6,FALSE)&gt;=VLOOKUP(58,main!$A$57:$I$61,4,FALSE)+VLOOKUP(VLOOKUP(Z$1,main!$A$3:$I$56,7,FALSE),main!$K$10:$Q$14,6,FALSE),1,0)</f>
        <v>1</v>
      </c>
      <c r="AA186">
        <f>IF(VLOOKUP(AA$1,main!$A$3:$I$56,5,FALSE)-VLOOKUP($A186,main!$A$3:$I$56,6,FALSE)&gt;=VLOOKUP(58,main!$A$57:$I$61,4,FALSE)+VLOOKUP(VLOOKUP(AA$1,main!$A$3:$I$56,7,FALSE),main!$K$10:$Q$14,6,FALSE),1,0)</f>
        <v>1</v>
      </c>
      <c r="AB186">
        <f>IF(VLOOKUP(AB$1,main!$A$3:$I$56,5,FALSE)-VLOOKUP($A186,main!$A$3:$I$56,6,FALSE)&gt;=VLOOKUP(58,main!$A$57:$I$61,4,FALSE)+VLOOKUP(VLOOKUP(AB$1,main!$A$3:$I$56,7,FALSE),main!$K$10:$Q$14,6,FALSE),1,0)</f>
        <v>1</v>
      </c>
      <c r="AC186">
        <f>IF(VLOOKUP(AC$1,main!$A$3:$I$56,5,FALSE)-VLOOKUP($A186,main!$A$3:$I$56,6,FALSE)&gt;=VLOOKUP(58,main!$A$57:$I$61,4,FALSE)+VLOOKUP(VLOOKUP(AC$1,main!$A$3:$I$56,7,FALSE),main!$K$10:$Q$14,6,FALSE),1,0)</f>
        <v>0</v>
      </c>
      <c r="AD186">
        <f>IF(VLOOKUP(AD$1,main!$A$3:$I$56,5,FALSE)-VLOOKUP($A186,main!$A$3:$I$56,6,FALSE)&gt;=VLOOKUP(58,main!$A$57:$I$61,4,FALSE)+VLOOKUP(VLOOKUP(AD$1,main!$A$3:$I$56,7,FALSE),main!$K$10:$Q$14,6,FALSE),1,0)</f>
        <v>0</v>
      </c>
      <c r="AE186">
        <f>IF(VLOOKUP(AE$1,main!$A$3:$I$56,5,FALSE)-VLOOKUP($A186,main!$A$3:$I$56,6,FALSE)&gt;=VLOOKUP(58,main!$A$57:$I$61,4,FALSE)+VLOOKUP(VLOOKUP(AE$1,main!$A$3:$I$56,7,FALSE),main!$K$10:$Q$14,6,FALSE),1,0)</f>
        <v>0</v>
      </c>
      <c r="AF186">
        <f>IF(VLOOKUP(AF$1,main!$A$3:$I$56,5,FALSE)-VLOOKUP($A186,main!$A$3:$I$56,6,FALSE)&gt;=VLOOKUP(58,main!$A$57:$I$61,4,FALSE)+VLOOKUP(VLOOKUP(AF$1,main!$A$3:$I$56,7,FALSE),main!$K$10:$Q$14,6,FALSE),1,0)</f>
        <v>1</v>
      </c>
      <c r="AG186">
        <f>IF(VLOOKUP(AG$1,main!$A$3:$I$56,5,FALSE)-VLOOKUP($A186,main!$A$3:$I$56,6,FALSE)&gt;=VLOOKUP(58,main!$A$57:$I$61,4,FALSE)+VLOOKUP(VLOOKUP(AG$1,main!$A$3:$I$56,7,FALSE),main!$K$10:$Q$14,6,FALSE),1,0)</f>
        <v>0</v>
      </c>
      <c r="AH186">
        <f>IF(VLOOKUP(AH$1,main!$A$3:$I$56,5,FALSE)-VLOOKUP($A186,main!$A$3:$I$56,6,FALSE)&gt;=VLOOKUP(58,main!$A$57:$I$61,4,FALSE)+VLOOKUP(VLOOKUP(AH$1,main!$A$3:$I$56,7,FALSE),main!$K$10:$Q$14,6,FALSE),1,0)</f>
        <v>1</v>
      </c>
      <c r="AI186">
        <f>IF(VLOOKUP(AI$1,main!$A$3:$I$56,5,FALSE)-VLOOKUP($A186,main!$A$3:$I$56,6,FALSE)&gt;=VLOOKUP(58,main!$A$57:$I$61,4,FALSE)+VLOOKUP(VLOOKUP(AI$1,main!$A$3:$I$56,7,FALSE),main!$K$10:$Q$14,6,FALSE),1,0)</f>
        <v>1</v>
      </c>
      <c r="AJ186">
        <f>IF(VLOOKUP(AJ$1,main!$A$3:$I$56,5,FALSE)-VLOOKUP($A186,main!$A$3:$I$56,6,FALSE)&gt;=VLOOKUP(58,main!$A$57:$I$61,4,FALSE)+VLOOKUP(VLOOKUP(AJ$1,main!$A$3:$I$56,7,FALSE),main!$K$10:$Q$14,6,FALSE),1,0)</f>
        <v>1</v>
      </c>
      <c r="AK186">
        <f>IF(VLOOKUP(AK$1,main!$A$3:$I$56,5,FALSE)-VLOOKUP($A186,main!$A$3:$I$56,6,FALSE)&gt;=VLOOKUP(58,main!$A$57:$I$61,4,FALSE)+VLOOKUP(VLOOKUP(AK$1,main!$A$3:$I$56,7,FALSE),main!$K$10:$Q$14,6,FALSE),1,0)</f>
        <v>1</v>
      </c>
      <c r="AL186">
        <f>IF(VLOOKUP(AL$1,main!$A$3:$I$56,5,FALSE)-VLOOKUP($A186,main!$A$3:$I$56,6,FALSE)&gt;=VLOOKUP(58,main!$A$57:$I$61,4,FALSE)+VLOOKUP(VLOOKUP(AL$1,main!$A$3:$I$56,7,FALSE),main!$K$10:$Q$14,6,FALSE),1,0)</f>
        <v>0</v>
      </c>
      <c r="AM186">
        <f>IF(VLOOKUP(AM$1,main!$A$3:$I$56,5,FALSE)-VLOOKUP($A186,main!$A$3:$I$56,6,FALSE)&gt;=VLOOKUP(58,main!$A$57:$I$61,4,FALSE)+VLOOKUP(VLOOKUP(AM$1,main!$A$3:$I$56,7,FALSE),main!$K$10:$Q$14,6,FALSE),1,0)</f>
        <v>0</v>
      </c>
      <c r="AN186">
        <f>IF(VLOOKUP(AN$1,main!$A$3:$I$56,5,FALSE)-VLOOKUP($A186,main!$A$3:$I$56,6,FALSE)&gt;=VLOOKUP(58,main!$A$57:$I$61,4,FALSE)+VLOOKUP(VLOOKUP(AN$1,main!$A$3:$I$56,7,FALSE),main!$K$10:$Q$14,6,FALSE),1,0)</f>
        <v>1</v>
      </c>
      <c r="AO186">
        <f>IF(VLOOKUP(AO$1,main!$A$3:$I$56,5,FALSE)-VLOOKUP($A186,main!$A$3:$I$56,6,FALSE)&gt;=VLOOKUP(58,main!$A$57:$I$61,4,FALSE)+VLOOKUP(VLOOKUP(AO$1,main!$A$3:$I$56,7,FALSE),main!$K$10:$Q$14,6,FALSE),1,0)</f>
        <v>1</v>
      </c>
      <c r="AP186">
        <f>IF(VLOOKUP(AP$1,main!$A$3:$I$56,5,FALSE)-VLOOKUP($A186,main!$A$3:$I$56,6,FALSE)&gt;=VLOOKUP(58,main!$A$57:$I$61,4,FALSE)+VLOOKUP(VLOOKUP(AP$1,main!$A$3:$I$56,7,FALSE),main!$K$10:$Q$14,6,FALSE),1,0)</f>
        <v>0</v>
      </c>
      <c r="AQ186">
        <f>IF(VLOOKUP(AQ$1,main!$A$3:$I$56,5,FALSE)-VLOOKUP($A186,main!$A$3:$I$56,6,FALSE)&gt;=VLOOKUP(58,main!$A$57:$I$61,4,FALSE)+VLOOKUP(VLOOKUP(AQ$1,main!$A$3:$I$56,7,FALSE),main!$K$10:$Q$14,6,FALSE),1,0)</f>
        <v>0</v>
      </c>
      <c r="AR186">
        <f>IF(VLOOKUP(AR$1,main!$A$3:$I$56,5,FALSE)-VLOOKUP($A186,main!$A$3:$I$56,6,FALSE)&gt;=VLOOKUP(58,main!$A$57:$I$61,4,FALSE)+VLOOKUP(VLOOKUP(AR$1,main!$A$3:$I$56,7,FALSE),main!$K$10:$Q$14,6,FALSE),1,0)</f>
        <v>0</v>
      </c>
      <c r="AS186">
        <f>IF(VLOOKUP(AS$1,main!$A$3:$I$56,5,FALSE)-VLOOKUP($A186,main!$A$3:$I$56,6,FALSE)&gt;=VLOOKUP(58,main!$A$57:$I$61,4,FALSE)+VLOOKUP(VLOOKUP(AS$1,main!$A$3:$I$56,7,FALSE),main!$K$10:$Q$14,6,FALSE),1,0)</f>
        <v>1</v>
      </c>
      <c r="AT186">
        <f>IF(VLOOKUP(AT$1,main!$A$3:$I$56,5,FALSE)-VLOOKUP($A186,main!$A$3:$I$56,6,FALSE)&gt;=VLOOKUP(58,main!$A$57:$I$61,4,FALSE)+VLOOKUP(VLOOKUP(AT$1,main!$A$3:$I$56,7,FALSE),main!$K$10:$Q$14,6,FALSE),1,0)</f>
        <v>1</v>
      </c>
      <c r="AU186">
        <f>IF(VLOOKUP(AU$1,main!$A$3:$I$56,5,FALSE)-VLOOKUP($A186,main!$A$3:$I$56,6,FALSE)&gt;=VLOOKUP(58,main!$A$57:$I$61,4,FALSE)+VLOOKUP(VLOOKUP(AU$1,main!$A$3:$I$56,7,FALSE),main!$K$10:$Q$14,6,FALSE),1,0)</f>
        <v>0</v>
      </c>
      <c r="AV186">
        <f>IF(VLOOKUP(AV$1,main!$A$3:$I$56,5,FALSE)-VLOOKUP($A186,main!$A$3:$I$56,6,FALSE)&gt;=VLOOKUP(58,main!$A$57:$I$61,4,FALSE)+VLOOKUP(VLOOKUP(AV$1,main!$A$3:$I$56,7,FALSE),main!$K$10:$Q$14,6,FALSE),1,0)</f>
        <v>0</v>
      </c>
      <c r="AW186">
        <f>IF(VLOOKUP(AW$1,main!$A$3:$I$56,5,FALSE)-VLOOKUP($A186,main!$A$3:$I$56,6,FALSE)&gt;=VLOOKUP(58,main!$A$57:$I$61,4,FALSE)+VLOOKUP(VLOOKUP(AW$1,main!$A$3:$I$56,7,FALSE),main!$K$10:$Q$14,6,FALSE),1,0)</f>
        <v>0</v>
      </c>
      <c r="AX186">
        <f>IF(VLOOKUP(AX$1,main!$A$3:$I$56,5,FALSE)-VLOOKUP($A186,main!$A$3:$I$56,6,FALSE)&gt;=VLOOKUP(58,main!$A$57:$I$61,4,FALSE)+VLOOKUP(VLOOKUP(AX$1,main!$A$3:$I$56,7,FALSE),main!$K$10:$Q$14,6,FALSE),1,0)</f>
        <v>0</v>
      </c>
      <c r="AY186">
        <f>IF(VLOOKUP(AY$1,main!$A$3:$I$56,5,FALSE)-VLOOKUP($A186,main!$A$3:$I$56,6,FALSE)&gt;=VLOOKUP(58,main!$A$57:$I$61,4,FALSE)+VLOOKUP(VLOOKUP(AY$1,main!$A$3:$I$56,7,FALSE),main!$K$10:$Q$14,6,FALSE),1,0)</f>
        <v>1</v>
      </c>
      <c r="AZ186">
        <f>IF(VLOOKUP(AZ$1,main!$A$3:$I$56,5,FALSE)-VLOOKUP($A186,main!$A$3:$I$56,6,FALSE)&gt;=VLOOKUP(58,main!$A$57:$I$61,4,FALSE)+VLOOKUP(VLOOKUP(AZ$1,main!$A$3:$I$56,7,FALSE),main!$K$10:$Q$14,6,FALSE),1,0)</f>
        <v>0</v>
      </c>
      <c r="BA186">
        <f>IF(VLOOKUP(BA$1,main!$A$3:$I$56,5,FALSE)-VLOOKUP($A186,main!$A$3:$I$56,6,FALSE)&gt;=VLOOKUP(58,main!$A$57:$I$61,4,FALSE)+VLOOKUP(VLOOKUP(BA$1,main!$A$3:$I$56,7,FALSE),main!$K$10:$Q$14,6,FALSE),1,0)</f>
        <v>0</v>
      </c>
      <c r="BB186">
        <f>IF(VLOOKUP(BB$1,main!$A$3:$I$56,5,FALSE)-VLOOKUP($A186,main!$A$3:$I$56,6,FALSE)&gt;=VLOOKUP(58,main!$A$57:$I$61,4,FALSE)+VLOOKUP(VLOOKUP(BB$1,main!$A$3:$I$56,7,FALSE),main!$K$10:$Q$14,6,FALSE),1,0)</f>
        <v>0</v>
      </c>
      <c r="BC186">
        <f>IF(VLOOKUP(BC$1,main!$A$3:$I$56,5,FALSE)-VLOOKUP($A186,main!$A$3:$I$56,6,FALSE)&gt;=VLOOKUP(58,main!$A$57:$I$61,4,FALSE)+VLOOKUP(VLOOKUP(BC$1,main!$A$3:$I$56,7,FALSE),main!$K$10:$Q$14,6,FALSE),1,0)</f>
        <v>0</v>
      </c>
      <c r="BD186">
        <f>IF(VLOOKUP(BD$1,main!$A$3:$I$56,5,FALSE)-VLOOKUP($A186,main!$A$3:$I$56,6,FALSE)&gt;=VLOOKUP(58,main!$A$57:$I$61,4,FALSE)+VLOOKUP(VLOOKUP(BD$1,main!$A$3:$I$56,7,FALSE),main!$K$10:$Q$14,6,FALSE),1,0)</f>
        <v>0</v>
      </c>
    </row>
    <row r="187" spans="1:56" x14ac:dyDescent="0.25">
      <c r="A187">
        <f t="shared" si="3"/>
        <v>20</v>
      </c>
      <c r="B187">
        <v>0</v>
      </c>
      <c r="C187">
        <f>IF(VLOOKUP(C$1,main!$A$3:$I$56,5,FALSE)-VLOOKUP($A187,main!$A$3:$I$56,6,FALSE)&gt;=VLOOKUP(58,main!$A$57:$I$61,4,FALSE)+VLOOKUP(VLOOKUP(C$1,main!$A$3:$I$56,7,FALSE),main!$K$10:$Q$14,6,FALSE),1,0)</f>
        <v>0</v>
      </c>
      <c r="D187">
        <f>IF(VLOOKUP(D$1,main!$A$3:$I$56,5,FALSE)-VLOOKUP($A187,main!$A$3:$I$56,6,FALSE)&gt;=VLOOKUP(58,main!$A$57:$I$61,4,FALSE)+VLOOKUP(VLOOKUP(D$1,main!$A$3:$I$56,7,FALSE),main!$K$10:$Q$14,6,FALSE),1,0)</f>
        <v>0</v>
      </c>
      <c r="E187">
        <f>IF(VLOOKUP(E$1,main!$A$3:$I$56,5,FALSE)-VLOOKUP($A187,main!$A$3:$I$56,6,FALSE)&gt;=VLOOKUP(58,main!$A$57:$I$61,4,FALSE)+VLOOKUP(VLOOKUP(E$1,main!$A$3:$I$56,7,FALSE),main!$K$10:$Q$14,6,FALSE),1,0)</f>
        <v>0</v>
      </c>
      <c r="F187">
        <f>IF(VLOOKUP(F$1,main!$A$3:$I$56,5,FALSE)-VLOOKUP($A187,main!$A$3:$I$56,6,FALSE)&gt;=VLOOKUP(58,main!$A$57:$I$61,4,FALSE)+VLOOKUP(VLOOKUP(F$1,main!$A$3:$I$56,7,FALSE),main!$K$10:$Q$14,6,FALSE),1,0)</f>
        <v>0</v>
      </c>
      <c r="G187">
        <f>IF(VLOOKUP(G$1,main!$A$3:$I$56,5,FALSE)-VLOOKUP($A187,main!$A$3:$I$56,6,FALSE)&gt;=VLOOKUP(58,main!$A$57:$I$61,4,FALSE)+VLOOKUP(VLOOKUP(G$1,main!$A$3:$I$56,7,FALSE),main!$K$10:$Q$14,6,FALSE),1,0)</f>
        <v>1</v>
      </c>
      <c r="H187">
        <f>IF(VLOOKUP(H$1,main!$A$3:$I$56,5,FALSE)-VLOOKUP($A187,main!$A$3:$I$56,6,FALSE)&gt;=VLOOKUP(58,main!$A$57:$I$61,4,FALSE)+VLOOKUP(VLOOKUP(H$1,main!$A$3:$I$56,7,FALSE),main!$K$10:$Q$14,6,FALSE),1,0)</f>
        <v>1</v>
      </c>
      <c r="I187">
        <f>IF(VLOOKUP(I$1,main!$A$3:$I$56,5,FALSE)-VLOOKUP($A187,main!$A$3:$I$56,6,FALSE)&gt;=VLOOKUP(58,main!$A$57:$I$61,4,FALSE)+VLOOKUP(VLOOKUP(I$1,main!$A$3:$I$56,7,FALSE),main!$K$10:$Q$14,6,FALSE),1,0)</f>
        <v>1</v>
      </c>
      <c r="J187">
        <f>IF(VLOOKUP(J$1,main!$A$3:$I$56,5,FALSE)-VLOOKUP($A187,main!$A$3:$I$56,6,FALSE)&gt;=VLOOKUP(58,main!$A$57:$I$61,4,FALSE)+VLOOKUP(VLOOKUP(J$1,main!$A$3:$I$56,7,FALSE),main!$K$10:$Q$14,6,FALSE),1,0)</f>
        <v>1</v>
      </c>
      <c r="K187">
        <f>IF(VLOOKUP(K$1,main!$A$3:$I$56,5,FALSE)-VLOOKUP($A187,main!$A$3:$I$56,6,FALSE)&gt;=VLOOKUP(58,main!$A$57:$I$61,4,FALSE)+VLOOKUP(VLOOKUP(K$1,main!$A$3:$I$56,7,FALSE),main!$K$10:$Q$14,6,FALSE),1,0)</f>
        <v>0</v>
      </c>
      <c r="L187">
        <f>IF(VLOOKUP(L$1,main!$A$3:$I$56,5,FALSE)-VLOOKUP($A187,main!$A$3:$I$56,6,FALSE)&gt;=VLOOKUP(58,main!$A$57:$I$61,4,FALSE)+VLOOKUP(VLOOKUP(L$1,main!$A$3:$I$56,7,FALSE),main!$K$10:$Q$14,6,FALSE),1,0)</f>
        <v>0</v>
      </c>
      <c r="M187">
        <f>IF(VLOOKUP(M$1,main!$A$3:$I$56,5,FALSE)-VLOOKUP($A187,main!$A$3:$I$56,6,FALSE)&gt;=VLOOKUP(58,main!$A$57:$I$61,4,FALSE)+VLOOKUP(VLOOKUP(M$1,main!$A$3:$I$56,7,FALSE),main!$K$10:$Q$14,6,FALSE),1,0)</f>
        <v>0</v>
      </c>
      <c r="N187">
        <f>IF(VLOOKUP(N$1,main!$A$3:$I$56,5,FALSE)-VLOOKUP($A187,main!$A$3:$I$56,6,FALSE)&gt;=VLOOKUP(58,main!$A$57:$I$61,4,FALSE)+VLOOKUP(VLOOKUP(N$1,main!$A$3:$I$56,7,FALSE),main!$K$10:$Q$14,6,FALSE),1,0)</f>
        <v>1</v>
      </c>
      <c r="O187">
        <f>IF(VLOOKUP(O$1,main!$A$3:$I$56,5,FALSE)-VLOOKUP($A187,main!$A$3:$I$56,6,FALSE)&gt;=VLOOKUP(58,main!$A$57:$I$61,4,FALSE)+VLOOKUP(VLOOKUP(O$1,main!$A$3:$I$56,7,FALSE),main!$K$10:$Q$14,6,FALSE),1,0)</f>
        <v>1</v>
      </c>
      <c r="P187">
        <f>IF(VLOOKUP(P$1,main!$A$3:$I$56,5,FALSE)-VLOOKUP($A187,main!$A$3:$I$56,6,FALSE)&gt;=VLOOKUP(58,main!$A$57:$I$61,4,FALSE)+VLOOKUP(VLOOKUP(P$1,main!$A$3:$I$56,7,FALSE),main!$K$10:$Q$14,6,FALSE),1,0)</f>
        <v>0</v>
      </c>
      <c r="Q187">
        <f>IF(VLOOKUP(Q$1,main!$A$3:$I$56,5,FALSE)-VLOOKUP($A187,main!$A$3:$I$56,6,FALSE)&gt;=VLOOKUP(58,main!$A$57:$I$61,4,FALSE)+VLOOKUP(VLOOKUP(Q$1,main!$A$3:$I$56,7,FALSE),main!$K$10:$Q$14,6,FALSE),1,0)</f>
        <v>0</v>
      </c>
      <c r="R187">
        <f>IF(VLOOKUP(R$1,main!$A$3:$I$56,5,FALSE)-VLOOKUP($A187,main!$A$3:$I$56,6,FALSE)&gt;=VLOOKUP(58,main!$A$57:$I$61,4,FALSE)+VLOOKUP(VLOOKUP(R$1,main!$A$3:$I$56,7,FALSE),main!$K$10:$Q$14,6,FALSE),1,0)</f>
        <v>0</v>
      </c>
      <c r="S187">
        <f>IF(VLOOKUP(S$1,main!$A$3:$I$56,5,FALSE)-VLOOKUP($A187,main!$A$3:$I$56,6,FALSE)&gt;=VLOOKUP(58,main!$A$57:$I$61,4,FALSE)+VLOOKUP(VLOOKUP(S$1,main!$A$3:$I$56,7,FALSE),main!$K$10:$Q$14,6,FALSE),1,0)</f>
        <v>1</v>
      </c>
      <c r="T187">
        <f>IF(VLOOKUP(T$1,main!$A$3:$I$56,5,FALSE)-VLOOKUP($A187,main!$A$3:$I$56,6,FALSE)&gt;=VLOOKUP(58,main!$A$57:$I$61,4,FALSE)+VLOOKUP(VLOOKUP(T$1,main!$A$3:$I$56,7,FALSE),main!$K$10:$Q$14,6,FALSE),1,0)</f>
        <v>1</v>
      </c>
      <c r="U187">
        <f>IF(VLOOKUP(U$1,main!$A$3:$I$56,5,FALSE)-VLOOKUP($A187,main!$A$3:$I$56,6,FALSE)&gt;=VLOOKUP(58,main!$A$57:$I$61,4,FALSE)+VLOOKUP(VLOOKUP(U$1,main!$A$3:$I$56,7,FALSE),main!$K$10:$Q$14,6,FALSE),1,0)</f>
        <v>0</v>
      </c>
      <c r="V187">
        <f>IF(VLOOKUP(V$1,main!$A$3:$I$56,5,FALSE)-VLOOKUP($A187,main!$A$3:$I$56,6,FALSE)&gt;=VLOOKUP(58,main!$A$57:$I$61,4,FALSE)+VLOOKUP(VLOOKUP(V$1,main!$A$3:$I$56,7,FALSE),main!$K$10:$Q$14,6,FALSE),1,0)</f>
        <v>0</v>
      </c>
      <c r="W187">
        <f>IF(VLOOKUP(W$1,main!$A$3:$I$56,5,FALSE)-VLOOKUP($A187,main!$A$3:$I$56,6,FALSE)&gt;=VLOOKUP(58,main!$A$57:$I$61,4,FALSE)+VLOOKUP(VLOOKUP(W$1,main!$A$3:$I$56,7,FALSE),main!$K$10:$Q$14,6,FALSE),1,0)</f>
        <v>0</v>
      </c>
      <c r="X187">
        <f>IF(VLOOKUP(X$1,main!$A$3:$I$56,5,FALSE)-VLOOKUP($A187,main!$A$3:$I$56,6,FALSE)&gt;=VLOOKUP(58,main!$A$57:$I$61,4,FALSE)+VLOOKUP(VLOOKUP(X$1,main!$A$3:$I$56,7,FALSE),main!$K$10:$Q$14,6,FALSE),1,0)</f>
        <v>0</v>
      </c>
      <c r="Y187">
        <f>IF(VLOOKUP(Y$1,main!$A$3:$I$56,5,FALSE)-VLOOKUP($A187,main!$A$3:$I$56,6,FALSE)&gt;=VLOOKUP(58,main!$A$57:$I$61,4,FALSE)+VLOOKUP(VLOOKUP(Y$1,main!$A$3:$I$56,7,FALSE),main!$K$10:$Q$14,6,FALSE),1,0)</f>
        <v>0</v>
      </c>
      <c r="Z187">
        <f>IF(VLOOKUP(Z$1,main!$A$3:$I$56,5,FALSE)-VLOOKUP($A187,main!$A$3:$I$56,6,FALSE)&gt;=VLOOKUP(58,main!$A$57:$I$61,4,FALSE)+VLOOKUP(VLOOKUP(Z$1,main!$A$3:$I$56,7,FALSE),main!$K$10:$Q$14,6,FALSE),1,0)</f>
        <v>1</v>
      </c>
      <c r="AA187">
        <f>IF(VLOOKUP(AA$1,main!$A$3:$I$56,5,FALSE)-VLOOKUP($A187,main!$A$3:$I$56,6,FALSE)&gt;=VLOOKUP(58,main!$A$57:$I$61,4,FALSE)+VLOOKUP(VLOOKUP(AA$1,main!$A$3:$I$56,7,FALSE),main!$K$10:$Q$14,6,FALSE),1,0)</f>
        <v>1</v>
      </c>
      <c r="AB187">
        <f>IF(VLOOKUP(AB$1,main!$A$3:$I$56,5,FALSE)-VLOOKUP($A187,main!$A$3:$I$56,6,FALSE)&gt;=VLOOKUP(58,main!$A$57:$I$61,4,FALSE)+VLOOKUP(VLOOKUP(AB$1,main!$A$3:$I$56,7,FALSE),main!$K$10:$Q$14,6,FALSE),1,0)</f>
        <v>1</v>
      </c>
      <c r="AC187">
        <f>IF(VLOOKUP(AC$1,main!$A$3:$I$56,5,FALSE)-VLOOKUP($A187,main!$A$3:$I$56,6,FALSE)&gt;=VLOOKUP(58,main!$A$57:$I$61,4,FALSE)+VLOOKUP(VLOOKUP(AC$1,main!$A$3:$I$56,7,FALSE),main!$K$10:$Q$14,6,FALSE),1,0)</f>
        <v>0</v>
      </c>
      <c r="AD187">
        <f>IF(VLOOKUP(AD$1,main!$A$3:$I$56,5,FALSE)-VLOOKUP($A187,main!$A$3:$I$56,6,FALSE)&gt;=VLOOKUP(58,main!$A$57:$I$61,4,FALSE)+VLOOKUP(VLOOKUP(AD$1,main!$A$3:$I$56,7,FALSE),main!$K$10:$Q$14,6,FALSE),1,0)</f>
        <v>0</v>
      </c>
      <c r="AE187">
        <f>IF(VLOOKUP(AE$1,main!$A$3:$I$56,5,FALSE)-VLOOKUP($A187,main!$A$3:$I$56,6,FALSE)&gt;=VLOOKUP(58,main!$A$57:$I$61,4,FALSE)+VLOOKUP(VLOOKUP(AE$1,main!$A$3:$I$56,7,FALSE),main!$K$10:$Q$14,6,FALSE),1,0)</f>
        <v>0</v>
      </c>
      <c r="AF187">
        <f>IF(VLOOKUP(AF$1,main!$A$3:$I$56,5,FALSE)-VLOOKUP($A187,main!$A$3:$I$56,6,FALSE)&gt;=VLOOKUP(58,main!$A$57:$I$61,4,FALSE)+VLOOKUP(VLOOKUP(AF$1,main!$A$3:$I$56,7,FALSE),main!$K$10:$Q$14,6,FALSE),1,0)</f>
        <v>0</v>
      </c>
      <c r="AG187">
        <f>IF(VLOOKUP(AG$1,main!$A$3:$I$56,5,FALSE)-VLOOKUP($A187,main!$A$3:$I$56,6,FALSE)&gt;=VLOOKUP(58,main!$A$57:$I$61,4,FALSE)+VLOOKUP(VLOOKUP(AG$1,main!$A$3:$I$56,7,FALSE),main!$K$10:$Q$14,6,FALSE),1,0)</f>
        <v>0</v>
      </c>
      <c r="AH187">
        <f>IF(VLOOKUP(AH$1,main!$A$3:$I$56,5,FALSE)-VLOOKUP($A187,main!$A$3:$I$56,6,FALSE)&gt;=VLOOKUP(58,main!$A$57:$I$61,4,FALSE)+VLOOKUP(VLOOKUP(AH$1,main!$A$3:$I$56,7,FALSE),main!$K$10:$Q$14,6,FALSE),1,0)</f>
        <v>0</v>
      </c>
      <c r="AI187">
        <f>IF(VLOOKUP(AI$1,main!$A$3:$I$56,5,FALSE)-VLOOKUP($A187,main!$A$3:$I$56,6,FALSE)&gt;=VLOOKUP(58,main!$A$57:$I$61,4,FALSE)+VLOOKUP(VLOOKUP(AI$1,main!$A$3:$I$56,7,FALSE),main!$K$10:$Q$14,6,FALSE),1,0)</f>
        <v>1</v>
      </c>
      <c r="AJ187">
        <f>IF(VLOOKUP(AJ$1,main!$A$3:$I$56,5,FALSE)-VLOOKUP($A187,main!$A$3:$I$56,6,FALSE)&gt;=VLOOKUP(58,main!$A$57:$I$61,4,FALSE)+VLOOKUP(VLOOKUP(AJ$1,main!$A$3:$I$56,7,FALSE),main!$K$10:$Q$14,6,FALSE),1,0)</f>
        <v>1</v>
      </c>
      <c r="AK187">
        <f>IF(VLOOKUP(AK$1,main!$A$3:$I$56,5,FALSE)-VLOOKUP($A187,main!$A$3:$I$56,6,FALSE)&gt;=VLOOKUP(58,main!$A$57:$I$61,4,FALSE)+VLOOKUP(VLOOKUP(AK$1,main!$A$3:$I$56,7,FALSE),main!$K$10:$Q$14,6,FALSE),1,0)</f>
        <v>1</v>
      </c>
      <c r="AL187">
        <f>IF(VLOOKUP(AL$1,main!$A$3:$I$56,5,FALSE)-VLOOKUP($A187,main!$A$3:$I$56,6,FALSE)&gt;=VLOOKUP(58,main!$A$57:$I$61,4,FALSE)+VLOOKUP(VLOOKUP(AL$1,main!$A$3:$I$56,7,FALSE),main!$K$10:$Q$14,6,FALSE),1,0)</f>
        <v>0</v>
      </c>
      <c r="AM187">
        <f>IF(VLOOKUP(AM$1,main!$A$3:$I$56,5,FALSE)-VLOOKUP($A187,main!$A$3:$I$56,6,FALSE)&gt;=VLOOKUP(58,main!$A$57:$I$61,4,FALSE)+VLOOKUP(VLOOKUP(AM$1,main!$A$3:$I$56,7,FALSE),main!$K$10:$Q$14,6,FALSE),1,0)</f>
        <v>0</v>
      </c>
      <c r="AN187">
        <f>IF(VLOOKUP(AN$1,main!$A$3:$I$56,5,FALSE)-VLOOKUP($A187,main!$A$3:$I$56,6,FALSE)&gt;=VLOOKUP(58,main!$A$57:$I$61,4,FALSE)+VLOOKUP(VLOOKUP(AN$1,main!$A$3:$I$56,7,FALSE),main!$K$10:$Q$14,6,FALSE),1,0)</f>
        <v>1</v>
      </c>
      <c r="AO187">
        <f>IF(VLOOKUP(AO$1,main!$A$3:$I$56,5,FALSE)-VLOOKUP($A187,main!$A$3:$I$56,6,FALSE)&gt;=VLOOKUP(58,main!$A$57:$I$61,4,FALSE)+VLOOKUP(VLOOKUP(AO$1,main!$A$3:$I$56,7,FALSE),main!$K$10:$Q$14,6,FALSE),1,0)</f>
        <v>1</v>
      </c>
      <c r="AP187">
        <f>IF(VLOOKUP(AP$1,main!$A$3:$I$56,5,FALSE)-VLOOKUP($A187,main!$A$3:$I$56,6,FALSE)&gt;=VLOOKUP(58,main!$A$57:$I$61,4,FALSE)+VLOOKUP(VLOOKUP(AP$1,main!$A$3:$I$56,7,FALSE),main!$K$10:$Q$14,6,FALSE),1,0)</f>
        <v>0</v>
      </c>
      <c r="AQ187">
        <f>IF(VLOOKUP(AQ$1,main!$A$3:$I$56,5,FALSE)-VLOOKUP($A187,main!$A$3:$I$56,6,FALSE)&gt;=VLOOKUP(58,main!$A$57:$I$61,4,FALSE)+VLOOKUP(VLOOKUP(AQ$1,main!$A$3:$I$56,7,FALSE),main!$K$10:$Q$14,6,FALSE),1,0)</f>
        <v>0</v>
      </c>
      <c r="AR187">
        <f>IF(VLOOKUP(AR$1,main!$A$3:$I$56,5,FALSE)-VLOOKUP($A187,main!$A$3:$I$56,6,FALSE)&gt;=VLOOKUP(58,main!$A$57:$I$61,4,FALSE)+VLOOKUP(VLOOKUP(AR$1,main!$A$3:$I$56,7,FALSE),main!$K$10:$Q$14,6,FALSE),1,0)</f>
        <v>0</v>
      </c>
      <c r="AS187">
        <f>IF(VLOOKUP(AS$1,main!$A$3:$I$56,5,FALSE)-VLOOKUP($A187,main!$A$3:$I$56,6,FALSE)&gt;=VLOOKUP(58,main!$A$57:$I$61,4,FALSE)+VLOOKUP(VLOOKUP(AS$1,main!$A$3:$I$56,7,FALSE),main!$K$10:$Q$14,6,FALSE),1,0)</f>
        <v>0</v>
      </c>
      <c r="AT187">
        <f>IF(VLOOKUP(AT$1,main!$A$3:$I$56,5,FALSE)-VLOOKUP($A187,main!$A$3:$I$56,6,FALSE)&gt;=VLOOKUP(58,main!$A$57:$I$61,4,FALSE)+VLOOKUP(VLOOKUP(AT$1,main!$A$3:$I$56,7,FALSE),main!$K$10:$Q$14,6,FALSE),1,0)</f>
        <v>1</v>
      </c>
      <c r="AU187">
        <f>IF(VLOOKUP(AU$1,main!$A$3:$I$56,5,FALSE)-VLOOKUP($A187,main!$A$3:$I$56,6,FALSE)&gt;=VLOOKUP(58,main!$A$57:$I$61,4,FALSE)+VLOOKUP(VLOOKUP(AU$1,main!$A$3:$I$56,7,FALSE),main!$K$10:$Q$14,6,FALSE),1,0)</f>
        <v>0</v>
      </c>
      <c r="AV187">
        <f>IF(VLOOKUP(AV$1,main!$A$3:$I$56,5,FALSE)-VLOOKUP($A187,main!$A$3:$I$56,6,FALSE)&gt;=VLOOKUP(58,main!$A$57:$I$61,4,FALSE)+VLOOKUP(VLOOKUP(AV$1,main!$A$3:$I$56,7,FALSE),main!$K$10:$Q$14,6,FALSE),1,0)</f>
        <v>0</v>
      </c>
      <c r="AW187">
        <f>IF(VLOOKUP(AW$1,main!$A$3:$I$56,5,FALSE)-VLOOKUP($A187,main!$A$3:$I$56,6,FALSE)&gt;=VLOOKUP(58,main!$A$57:$I$61,4,FALSE)+VLOOKUP(VLOOKUP(AW$1,main!$A$3:$I$56,7,FALSE),main!$K$10:$Q$14,6,FALSE),1,0)</f>
        <v>0</v>
      </c>
      <c r="AX187">
        <f>IF(VLOOKUP(AX$1,main!$A$3:$I$56,5,FALSE)-VLOOKUP($A187,main!$A$3:$I$56,6,FALSE)&gt;=VLOOKUP(58,main!$A$57:$I$61,4,FALSE)+VLOOKUP(VLOOKUP(AX$1,main!$A$3:$I$56,7,FALSE),main!$K$10:$Q$14,6,FALSE),1,0)</f>
        <v>0</v>
      </c>
      <c r="AY187">
        <f>IF(VLOOKUP(AY$1,main!$A$3:$I$56,5,FALSE)-VLOOKUP($A187,main!$A$3:$I$56,6,FALSE)&gt;=VLOOKUP(58,main!$A$57:$I$61,4,FALSE)+VLOOKUP(VLOOKUP(AY$1,main!$A$3:$I$56,7,FALSE),main!$K$10:$Q$14,6,FALSE),1,0)</f>
        <v>1</v>
      </c>
      <c r="AZ187">
        <f>IF(VLOOKUP(AZ$1,main!$A$3:$I$56,5,FALSE)-VLOOKUP($A187,main!$A$3:$I$56,6,FALSE)&gt;=VLOOKUP(58,main!$A$57:$I$61,4,FALSE)+VLOOKUP(VLOOKUP(AZ$1,main!$A$3:$I$56,7,FALSE),main!$K$10:$Q$14,6,FALSE),1,0)</f>
        <v>0</v>
      </c>
      <c r="BA187">
        <f>IF(VLOOKUP(BA$1,main!$A$3:$I$56,5,FALSE)-VLOOKUP($A187,main!$A$3:$I$56,6,FALSE)&gt;=VLOOKUP(58,main!$A$57:$I$61,4,FALSE)+VLOOKUP(VLOOKUP(BA$1,main!$A$3:$I$56,7,FALSE),main!$K$10:$Q$14,6,FALSE),1,0)</f>
        <v>0</v>
      </c>
      <c r="BB187">
        <f>IF(VLOOKUP(BB$1,main!$A$3:$I$56,5,FALSE)-VLOOKUP($A187,main!$A$3:$I$56,6,FALSE)&gt;=VLOOKUP(58,main!$A$57:$I$61,4,FALSE)+VLOOKUP(VLOOKUP(BB$1,main!$A$3:$I$56,7,FALSE),main!$K$10:$Q$14,6,FALSE),1,0)</f>
        <v>0</v>
      </c>
      <c r="BC187">
        <f>IF(VLOOKUP(BC$1,main!$A$3:$I$56,5,FALSE)-VLOOKUP($A187,main!$A$3:$I$56,6,FALSE)&gt;=VLOOKUP(58,main!$A$57:$I$61,4,FALSE)+VLOOKUP(VLOOKUP(BC$1,main!$A$3:$I$56,7,FALSE),main!$K$10:$Q$14,6,FALSE),1,0)</f>
        <v>0</v>
      </c>
      <c r="BD187">
        <f>IF(VLOOKUP(BD$1,main!$A$3:$I$56,5,FALSE)-VLOOKUP($A187,main!$A$3:$I$56,6,FALSE)&gt;=VLOOKUP(58,main!$A$57:$I$61,4,FALSE)+VLOOKUP(VLOOKUP(BD$1,main!$A$3:$I$56,7,FALSE),main!$K$10:$Q$14,6,FALSE),1,0)</f>
        <v>0</v>
      </c>
    </row>
    <row r="188" spans="1:56" x14ac:dyDescent="0.25">
      <c r="A188">
        <f t="shared" si="3"/>
        <v>21</v>
      </c>
      <c r="B188">
        <v>0</v>
      </c>
      <c r="C188">
        <f>IF(VLOOKUP(C$1,main!$A$3:$I$56,5,FALSE)-VLOOKUP($A188,main!$A$3:$I$56,6,FALSE)&gt;=VLOOKUP(58,main!$A$57:$I$61,4,FALSE)+VLOOKUP(VLOOKUP(C$1,main!$A$3:$I$56,7,FALSE),main!$K$10:$Q$14,6,FALSE),1,0)</f>
        <v>0</v>
      </c>
      <c r="D188">
        <f>IF(VLOOKUP(D$1,main!$A$3:$I$56,5,FALSE)-VLOOKUP($A188,main!$A$3:$I$56,6,FALSE)&gt;=VLOOKUP(58,main!$A$57:$I$61,4,FALSE)+VLOOKUP(VLOOKUP(D$1,main!$A$3:$I$56,7,FALSE),main!$K$10:$Q$14,6,FALSE),1,0)</f>
        <v>0</v>
      </c>
      <c r="E188">
        <f>IF(VLOOKUP(E$1,main!$A$3:$I$56,5,FALSE)-VLOOKUP($A188,main!$A$3:$I$56,6,FALSE)&gt;=VLOOKUP(58,main!$A$57:$I$61,4,FALSE)+VLOOKUP(VLOOKUP(E$1,main!$A$3:$I$56,7,FALSE),main!$K$10:$Q$14,6,FALSE),1,0)</f>
        <v>0</v>
      </c>
      <c r="F188">
        <f>IF(VLOOKUP(F$1,main!$A$3:$I$56,5,FALSE)-VLOOKUP($A188,main!$A$3:$I$56,6,FALSE)&gt;=VLOOKUP(58,main!$A$57:$I$61,4,FALSE)+VLOOKUP(VLOOKUP(F$1,main!$A$3:$I$56,7,FALSE),main!$K$10:$Q$14,6,FALSE),1,0)</f>
        <v>0</v>
      </c>
      <c r="G188">
        <f>IF(VLOOKUP(G$1,main!$A$3:$I$56,5,FALSE)-VLOOKUP($A188,main!$A$3:$I$56,6,FALSE)&gt;=VLOOKUP(58,main!$A$57:$I$61,4,FALSE)+VLOOKUP(VLOOKUP(G$1,main!$A$3:$I$56,7,FALSE),main!$K$10:$Q$14,6,FALSE),1,0)</f>
        <v>0</v>
      </c>
      <c r="H188">
        <f>IF(VLOOKUP(H$1,main!$A$3:$I$56,5,FALSE)-VLOOKUP($A188,main!$A$3:$I$56,6,FALSE)&gt;=VLOOKUP(58,main!$A$57:$I$61,4,FALSE)+VLOOKUP(VLOOKUP(H$1,main!$A$3:$I$56,7,FALSE),main!$K$10:$Q$14,6,FALSE),1,0)</f>
        <v>0</v>
      </c>
      <c r="I188">
        <f>IF(VLOOKUP(I$1,main!$A$3:$I$56,5,FALSE)-VLOOKUP($A188,main!$A$3:$I$56,6,FALSE)&gt;=VLOOKUP(58,main!$A$57:$I$61,4,FALSE)+VLOOKUP(VLOOKUP(I$1,main!$A$3:$I$56,7,FALSE),main!$K$10:$Q$14,6,FALSE),1,0)</f>
        <v>1</v>
      </c>
      <c r="J188">
        <f>IF(VLOOKUP(J$1,main!$A$3:$I$56,5,FALSE)-VLOOKUP($A188,main!$A$3:$I$56,6,FALSE)&gt;=VLOOKUP(58,main!$A$57:$I$61,4,FALSE)+VLOOKUP(VLOOKUP(J$1,main!$A$3:$I$56,7,FALSE),main!$K$10:$Q$14,6,FALSE),1,0)</f>
        <v>1</v>
      </c>
      <c r="K188">
        <f>IF(VLOOKUP(K$1,main!$A$3:$I$56,5,FALSE)-VLOOKUP($A188,main!$A$3:$I$56,6,FALSE)&gt;=VLOOKUP(58,main!$A$57:$I$61,4,FALSE)+VLOOKUP(VLOOKUP(K$1,main!$A$3:$I$56,7,FALSE),main!$K$10:$Q$14,6,FALSE),1,0)</f>
        <v>0</v>
      </c>
      <c r="L188">
        <f>IF(VLOOKUP(L$1,main!$A$3:$I$56,5,FALSE)-VLOOKUP($A188,main!$A$3:$I$56,6,FALSE)&gt;=VLOOKUP(58,main!$A$57:$I$61,4,FALSE)+VLOOKUP(VLOOKUP(L$1,main!$A$3:$I$56,7,FALSE),main!$K$10:$Q$14,6,FALSE),1,0)</f>
        <v>0</v>
      </c>
      <c r="M188">
        <f>IF(VLOOKUP(M$1,main!$A$3:$I$56,5,FALSE)-VLOOKUP($A188,main!$A$3:$I$56,6,FALSE)&gt;=VLOOKUP(58,main!$A$57:$I$61,4,FALSE)+VLOOKUP(VLOOKUP(M$1,main!$A$3:$I$56,7,FALSE),main!$K$10:$Q$14,6,FALSE),1,0)</f>
        <v>0</v>
      </c>
      <c r="N188">
        <f>IF(VLOOKUP(N$1,main!$A$3:$I$56,5,FALSE)-VLOOKUP($A188,main!$A$3:$I$56,6,FALSE)&gt;=VLOOKUP(58,main!$A$57:$I$61,4,FALSE)+VLOOKUP(VLOOKUP(N$1,main!$A$3:$I$56,7,FALSE),main!$K$10:$Q$14,6,FALSE),1,0)</f>
        <v>1</v>
      </c>
      <c r="O188">
        <f>IF(VLOOKUP(O$1,main!$A$3:$I$56,5,FALSE)-VLOOKUP($A188,main!$A$3:$I$56,6,FALSE)&gt;=VLOOKUP(58,main!$A$57:$I$61,4,FALSE)+VLOOKUP(VLOOKUP(O$1,main!$A$3:$I$56,7,FALSE),main!$K$10:$Q$14,6,FALSE),1,0)</f>
        <v>1</v>
      </c>
      <c r="P188">
        <f>IF(VLOOKUP(P$1,main!$A$3:$I$56,5,FALSE)-VLOOKUP($A188,main!$A$3:$I$56,6,FALSE)&gt;=VLOOKUP(58,main!$A$57:$I$61,4,FALSE)+VLOOKUP(VLOOKUP(P$1,main!$A$3:$I$56,7,FALSE),main!$K$10:$Q$14,6,FALSE),1,0)</f>
        <v>0</v>
      </c>
      <c r="Q188">
        <f>IF(VLOOKUP(Q$1,main!$A$3:$I$56,5,FALSE)-VLOOKUP($A188,main!$A$3:$I$56,6,FALSE)&gt;=VLOOKUP(58,main!$A$57:$I$61,4,FALSE)+VLOOKUP(VLOOKUP(Q$1,main!$A$3:$I$56,7,FALSE),main!$K$10:$Q$14,6,FALSE),1,0)</f>
        <v>0</v>
      </c>
      <c r="R188">
        <f>IF(VLOOKUP(R$1,main!$A$3:$I$56,5,FALSE)-VLOOKUP($A188,main!$A$3:$I$56,6,FALSE)&gt;=VLOOKUP(58,main!$A$57:$I$61,4,FALSE)+VLOOKUP(VLOOKUP(R$1,main!$A$3:$I$56,7,FALSE),main!$K$10:$Q$14,6,FALSE),1,0)</f>
        <v>0</v>
      </c>
      <c r="S188">
        <f>IF(VLOOKUP(S$1,main!$A$3:$I$56,5,FALSE)-VLOOKUP($A188,main!$A$3:$I$56,6,FALSE)&gt;=VLOOKUP(58,main!$A$57:$I$61,4,FALSE)+VLOOKUP(VLOOKUP(S$1,main!$A$3:$I$56,7,FALSE),main!$K$10:$Q$14,6,FALSE),1,0)</f>
        <v>0</v>
      </c>
      <c r="T188">
        <f>IF(VLOOKUP(T$1,main!$A$3:$I$56,5,FALSE)-VLOOKUP($A188,main!$A$3:$I$56,6,FALSE)&gt;=VLOOKUP(58,main!$A$57:$I$61,4,FALSE)+VLOOKUP(VLOOKUP(T$1,main!$A$3:$I$56,7,FALSE),main!$K$10:$Q$14,6,FALSE),1,0)</f>
        <v>1</v>
      </c>
      <c r="U188">
        <f>IF(VLOOKUP(U$1,main!$A$3:$I$56,5,FALSE)-VLOOKUP($A188,main!$A$3:$I$56,6,FALSE)&gt;=VLOOKUP(58,main!$A$57:$I$61,4,FALSE)+VLOOKUP(VLOOKUP(U$1,main!$A$3:$I$56,7,FALSE),main!$K$10:$Q$14,6,FALSE),1,0)</f>
        <v>0</v>
      </c>
      <c r="V188">
        <f>IF(VLOOKUP(V$1,main!$A$3:$I$56,5,FALSE)-VLOOKUP($A188,main!$A$3:$I$56,6,FALSE)&gt;=VLOOKUP(58,main!$A$57:$I$61,4,FALSE)+VLOOKUP(VLOOKUP(V$1,main!$A$3:$I$56,7,FALSE),main!$K$10:$Q$14,6,FALSE),1,0)</f>
        <v>0</v>
      </c>
      <c r="W188">
        <f>IF(VLOOKUP(W$1,main!$A$3:$I$56,5,FALSE)-VLOOKUP($A188,main!$A$3:$I$56,6,FALSE)&gt;=VLOOKUP(58,main!$A$57:$I$61,4,FALSE)+VLOOKUP(VLOOKUP(W$1,main!$A$3:$I$56,7,FALSE),main!$K$10:$Q$14,6,FALSE),1,0)</f>
        <v>0</v>
      </c>
      <c r="X188">
        <f>IF(VLOOKUP(X$1,main!$A$3:$I$56,5,FALSE)-VLOOKUP($A188,main!$A$3:$I$56,6,FALSE)&gt;=VLOOKUP(58,main!$A$57:$I$61,4,FALSE)+VLOOKUP(VLOOKUP(X$1,main!$A$3:$I$56,7,FALSE),main!$K$10:$Q$14,6,FALSE),1,0)</f>
        <v>0</v>
      </c>
      <c r="Y188">
        <f>IF(VLOOKUP(Y$1,main!$A$3:$I$56,5,FALSE)-VLOOKUP($A188,main!$A$3:$I$56,6,FALSE)&gt;=VLOOKUP(58,main!$A$57:$I$61,4,FALSE)+VLOOKUP(VLOOKUP(Y$1,main!$A$3:$I$56,7,FALSE),main!$K$10:$Q$14,6,FALSE),1,0)</f>
        <v>0</v>
      </c>
      <c r="Z188">
        <f>IF(VLOOKUP(Z$1,main!$A$3:$I$56,5,FALSE)-VLOOKUP($A188,main!$A$3:$I$56,6,FALSE)&gt;=VLOOKUP(58,main!$A$57:$I$61,4,FALSE)+VLOOKUP(VLOOKUP(Z$1,main!$A$3:$I$56,7,FALSE),main!$K$10:$Q$14,6,FALSE),1,0)</f>
        <v>0</v>
      </c>
      <c r="AA188">
        <f>IF(VLOOKUP(AA$1,main!$A$3:$I$56,5,FALSE)-VLOOKUP($A188,main!$A$3:$I$56,6,FALSE)&gt;=VLOOKUP(58,main!$A$57:$I$61,4,FALSE)+VLOOKUP(VLOOKUP(AA$1,main!$A$3:$I$56,7,FALSE),main!$K$10:$Q$14,6,FALSE),1,0)</f>
        <v>1</v>
      </c>
      <c r="AB188">
        <f>IF(VLOOKUP(AB$1,main!$A$3:$I$56,5,FALSE)-VLOOKUP($A188,main!$A$3:$I$56,6,FALSE)&gt;=VLOOKUP(58,main!$A$57:$I$61,4,FALSE)+VLOOKUP(VLOOKUP(AB$1,main!$A$3:$I$56,7,FALSE),main!$K$10:$Q$14,6,FALSE),1,0)</f>
        <v>1</v>
      </c>
      <c r="AC188">
        <f>IF(VLOOKUP(AC$1,main!$A$3:$I$56,5,FALSE)-VLOOKUP($A188,main!$A$3:$I$56,6,FALSE)&gt;=VLOOKUP(58,main!$A$57:$I$61,4,FALSE)+VLOOKUP(VLOOKUP(AC$1,main!$A$3:$I$56,7,FALSE),main!$K$10:$Q$14,6,FALSE),1,0)</f>
        <v>0</v>
      </c>
      <c r="AD188">
        <f>IF(VLOOKUP(AD$1,main!$A$3:$I$56,5,FALSE)-VLOOKUP($A188,main!$A$3:$I$56,6,FALSE)&gt;=VLOOKUP(58,main!$A$57:$I$61,4,FALSE)+VLOOKUP(VLOOKUP(AD$1,main!$A$3:$I$56,7,FALSE),main!$K$10:$Q$14,6,FALSE),1,0)</f>
        <v>0</v>
      </c>
      <c r="AE188">
        <f>IF(VLOOKUP(AE$1,main!$A$3:$I$56,5,FALSE)-VLOOKUP($A188,main!$A$3:$I$56,6,FALSE)&gt;=VLOOKUP(58,main!$A$57:$I$61,4,FALSE)+VLOOKUP(VLOOKUP(AE$1,main!$A$3:$I$56,7,FALSE),main!$K$10:$Q$14,6,FALSE),1,0)</f>
        <v>0</v>
      </c>
      <c r="AF188">
        <f>IF(VLOOKUP(AF$1,main!$A$3:$I$56,5,FALSE)-VLOOKUP($A188,main!$A$3:$I$56,6,FALSE)&gt;=VLOOKUP(58,main!$A$57:$I$61,4,FALSE)+VLOOKUP(VLOOKUP(AF$1,main!$A$3:$I$56,7,FALSE),main!$K$10:$Q$14,6,FALSE),1,0)</f>
        <v>0</v>
      </c>
      <c r="AG188">
        <f>IF(VLOOKUP(AG$1,main!$A$3:$I$56,5,FALSE)-VLOOKUP($A188,main!$A$3:$I$56,6,FALSE)&gt;=VLOOKUP(58,main!$A$57:$I$61,4,FALSE)+VLOOKUP(VLOOKUP(AG$1,main!$A$3:$I$56,7,FALSE),main!$K$10:$Q$14,6,FALSE),1,0)</f>
        <v>0</v>
      </c>
      <c r="AH188">
        <f>IF(VLOOKUP(AH$1,main!$A$3:$I$56,5,FALSE)-VLOOKUP($A188,main!$A$3:$I$56,6,FALSE)&gt;=VLOOKUP(58,main!$A$57:$I$61,4,FALSE)+VLOOKUP(VLOOKUP(AH$1,main!$A$3:$I$56,7,FALSE),main!$K$10:$Q$14,6,FALSE),1,0)</f>
        <v>0</v>
      </c>
      <c r="AI188">
        <f>IF(VLOOKUP(AI$1,main!$A$3:$I$56,5,FALSE)-VLOOKUP($A188,main!$A$3:$I$56,6,FALSE)&gt;=VLOOKUP(58,main!$A$57:$I$61,4,FALSE)+VLOOKUP(VLOOKUP(AI$1,main!$A$3:$I$56,7,FALSE),main!$K$10:$Q$14,6,FALSE),1,0)</f>
        <v>0</v>
      </c>
      <c r="AJ188">
        <f>IF(VLOOKUP(AJ$1,main!$A$3:$I$56,5,FALSE)-VLOOKUP($A188,main!$A$3:$I$56,6,FALSE)&gt;=VLOOKUP(58,main!$A$57:$I$61,4,FALSE)+VLOOKUP(VLOOKUP(AJ$1,main!$A$3:$I$56,7,FALSE),main!$K$10:$Q$14,6,FALSE),1,0)</f>
        <v>1</v>
      </c>
      <c r="AK188">
        <f>IF(VLOOKUP(AK$1,main!$A$3:$I$56,5,FALSE)-VLOOKUP($A188,main!$A$3:$I$56,6,FALSE)&gt;=VLOOKUP(58,main!$A$57:$I$61,4,FALSE)+VLOOKUP(VLOOKUP(AK$1,main!$A$3:$I$56,7,FALSE),main!$K$10:$Q$14,6,FALSE),1,0)</f>
        <v>1</v>
      </c>
      <c r="AL188">
        <f>IF(VLOOKUP(AL$1,main!$A$3:$I$56,5,FALSE)-VLOOKUP($A188,main!$A$3:$I$56,6,FALSE)&gt;=VLOOKUP(58,main!$A$57:$I$61,4,FALSE)+VLOOKUP(VLOOKUP(AL$1,main!$A$3:$I$56,7,FALSE),main!$K$10:$Q$14,6,FALSE),1,0)</f>
        <v>0</v>
      </c>
      <c r="AM188">
        <f>IF(VLOOKUP(AM$1,main!$A$3:$I$56,5,FALSE)-VLOOKUP($A188,main!$A$3:$I$56,6,FALSE)&gt;=VLOOKUP(58,main!$A$57:$I$61,4,FALSE)+VLOOKUP(VLOOKUP(AM$1,main!$A$3:$I$56,7,FALSE),main!$K$10:$Q$14,6,FALSE),1,0)</f>
        <v>0</v>
      </c>
      <c r="AN188">
        <f>IF(VLOOKUP(AN$1,main!$A$3:$I$56,5,FALSE)-VLOOKUP($A188,main!$A$3:$I$56,6,FALSE)&gt;=VLOOKUP(58,main!$A$57:$I$61,4,FALSE)+VLOOKUP(VLOOKUP(AN$1,main!$A$3:$I$56,7,FALSE),main!$K$10:$Q$14,6,FALSE),1,0)</f>
        <v>0</v>
      </c>
      <c r="AO188">
        <f>IF(VLOOKUP(AO$1,main!$A$3:$I$56,5,FALSE)-VLOOKUP($A188,main!$A$3:$I$56,6,FALSE)&gt;=VLOOKUP(58,main!$A$57:$I$61,4,FALSE)+VLOOKUP(VLOOKUP(AO$1,main!$A$3:$I$56,7,FALSE),main!$K$10:$Q$14,6,FALSE),1,0)</f>
        <v>1</v>
      </c>
      <c r="AP188">
        <f>IF(VLOOKUP(AP$1,main!$A$3:$I$56,5,FALSE)-VLOOKUP($A188,main!$A$3:$I$56,6,FALSE)&gt;=VLOOKUP(58,main!$A$57:$I$61,4,FALSE)+VLOOKUP(VLOOKUP(AP$1,main!$A$3:$I$56,7,FALSE),main!$K$10:$Q$14,6,FALSE),1,0)</f>
        <v>0</v>
      </c>
      <c r="AQ188">
        <f>IF(VLOOKUP(AQ$1,main!$A$3:$I$56,5,FALSE)-VLOOKUP($A188,main!$A$3:$I$56,6,FALSE)&gt;=VLOOKUP(58,main!$A$57:$I$61,4,FALSE)+VLOOKUP(VLOOKUP(AQ$1,main!$A$3:$I$56,7,FALSE),main!$K$10:$Q$14,6,FALSE),1,0)</f>
        <v>0</v>
      </c>
      <c r="AR188">
        <f>IF(VLOOKUP(AR$1,main!$A$3:$I$56,5,FALSE)-VLOOKUP($A188,main!$A$3:$I$56,6,FALSE)&gt;=VLOOKUP(58,main!$A$57:$I$61,4,FALSE)+VLOOKUP(VLOOKUP(AR$1,main!$A$3:$I$56,7,FALSE),main!$K$10:$Q$14,6,FALSE),1,0)</f>
        <v>0</v>
      </c>
      <c r="AS188">
        <f>IF(VLOOKUP(AS$1,main!$A$3:$I$56,5,FALSE)-VLOOKUP($A188,main!$A$3:$I$56,6,FALSE)&gt;=VLOOKUP(58,main!$A$57:$I$61,4,FALSE)+VLOOKUP(VLOOKUP(AS$1,main!$A$3:$I$56,7,FALSE),main!$K$10:$Q$14,6,FALSE),1,0)</f>
        <v>0</v>
      </c>
      <c r="AT188">
        <f>IF(VLOOKUP(AT$1,main!$A$3:$I$56,5,FALSE)-VLOOKUP($A188,main!$A$3:$I$56,6,FALSE)&gt;=VLOOKUP(58,main!$A$57:$I$61,4,FALSE)+VLOOKUP(VLOOKUP(AT$1,main!$A$3:$I$56,7,FALSE),main!$K$10:$Q$14,6,FALSE),1,0)</f>
        <v>0</v>
      </c>
      <c r="AU188">
        <f>IF(VLOOKUP(AU$1,main!$A$3:$I$56,5,FALSE)-VLOOKUP($A188,main!$A$3:$I$56,6,FALSE)&gt;=VLOOKUP(58,main!$A$57:$I$61,4,FALSE)+VLOOKUP(VLOOKUP(AU$1,main!$A$3:$I$56,7,FALSE),main!$K$10:$Q$14,6,FALSE),1,0)</f>
        <v>0</v>
      </c>
      <c r="AV188">
        <f>IF(VLOOKUP(AV$1,main!$A$3:$I$56,5,FALSE)-VLOOKUP($A188,main!$A$3:$I$56,6,FALSE)&gt;=VLOOKUP(58,main!$A$57:$I$61,4,FALSE)+VLOOKUP(VLOOKUP(AV$1,main!$A$3:$I$56,7,FALSE),main!$K$10:$Q$14,6,FALSE),1,0)</f>
        <v>0</v>
      </c>
      <c r="AW188">
        <f>IF(VLOOKUP(AW$1,main!$A$3:$I$56,5,FALSE)-VLOOKUP($A188,main!$A$3:$I$56,6,FALSE)&gt;=VLOOKUP(58,main!$A$57:$I$61,4,FALSE)+VLOOKUP(VLOOKUP(AW$1,main!$A$3:$I$56,7,FALSE),main!$K$10:$Q$14,6,FALSE),1,0)</f>
        <v>0</v>
      </c>
      <c r="AX188">
        <f>IF(VLOOKUP(AX$1,main!$A$3:$I$56,5,FALSE)-VLOOKUP($A188,main!$A$3:$I$56,6,FALSE)&gt;=VLOOKUP(58,main!$A$57:$I$61,4,FALSE)+VLOOKUP(VLOOKUP(AX$1,main!$A$3:$I$56,7,FALSE),main!$K$10:$Q$14,6,FALSE),1,0)</f>
        <v>0</v>
      </c>
      <c r="AY188">
        <f>IF(VLOOKUP(AY$1,main!$A$3:$I$56,5,FALSE)-VLOOKUP($A188,main!$A$3:$I$56,6,FALSE)&gt;=VLOOKUP(58,main!$A$57:$I$61,4,FALSE)+VLOOKUP(VLOOKUP(AY$1,main!$A$3:$I$56,7,FALSE),main!$K$10:$Q$14,6,FALSE),1,0)</f>
        <v>1</v>
      </c>
      <c r="AZ188">
        <f>IF(VLOOKUP(AZ$1,main!$A$3:$I$56,5,FALSE)-VLOOKUP($A188,main!$A$3:$I$56,6,FALSE)&gt;=VLOOKUP(58,main!$A$57:$I$61,4,FALSE)+VLOOKUP(VLOOKUP(AZ$1,main!$A$3:$I$56,7,FALSE),main!$K$10:$Q$14,6,FALSE),1,0)</f>
        <v>0</v>
      </c>
      <c r="BA188">
        <f>IF(VLOOKUP(BA$1,main!$A$3:$I$56,5,FALSE)-VLOOKUP($A188,main!$A$3:$I$56,6,FALSE)&gt;=VLOOKUP(58,main!$A$57:$I$61,4,FALSE)+VLOOKUP(VLOOKUP(BA$1,main!$A$3:$I$56,7,FALSE),main!$K$10:$Q$14,6,FALSE),1,0)</f>
        <v>0</v>
      </c>
      <c r="BB188">
        <f>IF(VLOOKUP(BB$1,main!$A$3:$I$56,5,FALSE)-VLOOKUP($A188,main!$A$3:$I$56,6,FALSE)&gt;=VLOOKUP(58,main!$A$57:$I$61,4,FALSE)+VLOOKUP(VLOOKUP(BB$1,main!$A$3:$I$56,7,FALSE),main!$K$10:$Q$14,6,FALSE),1,0)</f>
        <v>0</v>
      </c>
      <c r="BC188">
        <f>IF(VLOOKUP(BC$1,main!$A$3:$I$56,5,FALSE)-VLOOKUP($A188,main!$A$3:$I$56,6,FALSE)&gt;=VLOOKUP(58,main!$A$57:$I$61,4,FALSE)+VLOOKUP(VLOOKUP(BC$1,main!$A$3:$I$56,7,FALSE),main!$K$10:$Q$14,6,FALSE),1,0)</f>
        <v>0</v>
      </c>
      <c r="BD188">
        <f>IF(VLOOKUP(BD$1,main!$A$3:$I$56,5,FALSE)-VLOOKUP($A188,main!$A$3:$I$56,6,FALSE)&gt;=VLOOKUP(58,main!$A$57:$I$61,4,FALSE)+VLOOKUP(VLOOKUP(BD$1,main!$A$3:$I$56,7,FALSE),main!$K$10:$Q$14,6,FALSE),1,0)</f>
        <v>0</v>
      </c>
    </row>
    <row r="189" spans="1:56" x14ac:dyDescent="0.25">
      <c r="A189">
        <f t="shared" si="3"/>
        <v>22</v>
      </c>
      <c r="B189">
        <v>0</v>
      </c>
      <c r="C189">
        <f>IF(VLOOKUP(C$1,main!$A$3:$I$56,5,FALSE)-VLOOKUP($A189,main!$A$3:$I$56,6,FALSE)&gt;=VLOOKUP(58,main!$A$57:$I$61,4,FALSE)+VLOOKUP(VLOOKUP(C$1,main!$A$3:$I$56,7,FALSE),main!$K$10:$Q$14,6,FALSE),1,0)</f>
        <v>0</v>
      </c>
      <c r="D189">
        <f>IF(VLOOKUP(D$1,main!$A$3:$I$56,5,FALSE)-VLOOKUP($A189,main!$A$3:$I$56,6,FALSE)&gt;=VLOOKUP(58,main!$A$57:$I$61,4,FALSE)+VLOOKUP(VLOOKUP(D$1,main!$A$3:$I$56,7,FALSE),main!$K$10:$Q$14,6,FALSE),1,0)</f>
        <v>0</v>
      </c>
      <c r="E189">
        <f>IF(VLOOKUP(E$1,main!$A$3:$I$56,5,FALSE)-VLOOKUP($A189,main!$A$3:$I$56,6,FALSE)&gt;=VLOOKUP(58,main!$A$57:$I$61,4,FALSE)+VLOOKUP(VLOOKUP(E$1,main!$A$3:$I$56,7,FALSE),main!$K$10:$Q$14,6,FALSE),1,0)</f>
        <v>0</v>
      </c>
      <c r="F189">
        <f>IF(VLOOKUP(F$1,main!$A$3:$I$56,5,FALSE)-VLOOKUP($A189,main!$A$3:$I$56,6,FALSE)&gt;=VLOOKUP(58,main!$A$57:$I$61,4,FALSE)+VLOOKUP(VLOOKUP(F$1,main!$A$3:$I$56,7,FALSE),main!$K$10:$Q$14,6,FALSE),1,0)</f>
        <v>0</v>
      </c>
      <c r="G189">
        <f>IF(VLOOKUP(G$1,main!$A$3:$I$56,5,FALSE)-VLOOKUP($A189,main!$A$3:$I$56,6,FALSE)&gt;=VLOOKUP(58,main!$A$57:$I$61,4,FALSE)+VLOOKUP(VLOOKUP(G$1,main!$A$3:$I$56,7,FALSE),main!$K$10:$Q$14,6,FALSE),1,0)</f>
        <v>0</v>
      </c>
      <c r="H189">
        <f>IF(VLOOKUP(H$1,main!$A$3:$I$56,5,FALSE)-VLOOKUP($A189,main!$A$3:$I$56,6,FALSE)&gt;=VLOOKUP(58,main!$A$57:$I$61,4,FALSE)+VLOOKUP(VLOOKUP(H$1,main!$A$3:$I$56,7,FALSE),main!$K$10:$Q$14,6,FALSE),1,0)</f>
        <v>0</v>
      </c>
      <c r="I189">
        <f>IF(VLOOKUP(I$1,main!$A$3:$I$56,5,FALSE)-VLOOKUP($A189,main!$A$3:$I$56,6,FALSE)&gt;=VLOOKUP(58,main!$A$57:$I$61,4,FALSE)+VLOOKUP(VLOOKUP(I$1,main!$A$3:$I$56,7,FALSE),main!$K$10:$Q$14,6,FALSE),1,0)</f>
        <v>0</v>
      </c>
      <c r="J189">
        <f>IF(VLOOKUP(J$1,main!$A$3:$I$56,5,FALSE)-VLOOKUP($A189,main!$A$3:$I$56,6,FALSE)&gt;=VLOOKUP(58,main!$A$57:$I$61,4,FALSE)+VLOOKUP(VLOOKUP(J$1,main!$A$3:$I$56,7,FALSE),main!$K$10:$Q$14,6,FALSE),1,0)</f>
        <v>1</v>
      </c>
      <c r="K189">
        <f>IF(VLOOKUP(K$1,main!$A$3:$I$56,5,FALSE)-VLOOKUP($A189,main!$A$3:$I$56,6,FALSE)&gt;=VLOOKUP(58,main!$A$57:$I$61,4,FALSE)+VLOOKUP(VLOOKUP(K$1,main!$A$3:$I$56,7,FALSE),main!$K$10:$Q$14,6,FALSE),1,0)</f>
        <v>0</v>
      </c>
      <c r="L189">
        <f>IF(VLOOKUP(L$1,main!$A$3:$I$56,5,FALSE)-VLOOKUP($A189,main!$A$3:$I$56,6,FALSE)&gt;=VLOOKUP(58,main!$A$57:$I$61,4,FALSE)+VLOOKUP(VLOOKUP(L$1,main!$A$3:$I$56,7,FALSE),main!$K$10:$Q$14,6,FALSE),1,0)</f>
        <v>0</v>
      </c>
      <c r="M189">
        <f>IF(VLOOKUP(M$1,main!$A$3:$I$56,5,FALSE)-VLOOKUP($A189,main!$A$3:$I$56,6,FALSE)&gt;=VLOOKUP(58,main!$A$57:$I$61,4,FALSE)+VLOOKUP(VLOOKUP(M$1,main!$A$3:$I$56,7,FALSE),main!$K$10:$Q$14,6,FALSE),1,0)</f>
        <v>0</v>
      </c>
      <c r="N189">
        <f>IF(VLOOKUP(N$1,main!$A$3:$I$56,5,FALSE)-VLOOKUP($A189,main!$A$3:$I$56,6,FALSE)&gt;=VLOOKUP(58,main!$A$57:$I$61,4,FALSE)+VLOOKUP(VLOOKUP(N$1,main!$A$3:$I$56,7,FALSE),main!$K$10:$Q$14,6,FALSE),1,0)</f>
        <v>1</v>
      </c>
      <c r="O189">
        <f>IF(VLOOKUP(O$1,main!$A$3:$I$56,5,FALSE)-VLOOKUP($A189,main!$A$3:$I$56,6,FALSE)&gt;=VLOOKUP(58,main!$A$57:$I$61,4,FALSE)+VLOOKUP(VLOOKUP(O$1,main!$A$3:$I$56,7,FALSE),main!$K$10:$Q$14,6,FALSE),1,0)</f>
        <v>1</v>
      </c>
      <c r="P189">
        <f>IF(VLOOKUP(P$1,main!$A$3:$I$56,5,FALSE)-VLOOKUP($A189,main!$A$3:$I$56,6,FALSE)&gt;=VLOOKUP(58,main!$A$57:$I$61,4,FALSE)+VLOOKUP(VLOOKUP(P$1,main!$A$3:$I$56,7,FALSE),main!$K$10:$Q$14,6,FALSE),1,0)</f>
        <v>0</v>
      </c>
      <c r="Q189">
        <f>IF(VLOOKUP(Q$1,main!$A$3:$I$56,5,FALSE)-VLOOKUP($A189,main!$A$3:$I$56,6,FALSE)&gt;=VLOOKUP(58,main!$A$57:$I$61,4,FALSE)+VLOOKUP(VLOOKUP(Q$1,main!$A$3:$I$56,7,FALSE),main!$K$10:$Q$14,6,FALSE),1,0)</f>
        <v>0</v>
      </c>
      <c r="R189">
        <f>IF(VLOOKUP(R$1,main!$A$3:$I$56,5,FALSE)-VLOOKUP($A189,main!$A$3:$I$56,6,FALSE)&gt;=VLOOKUP(58,main!$A$57:$I$61,4,FALSE)+VLOOKUP(VLOOKUP(R$1,main!$A$3:$I$56,7,FALSE),main!$K$10:$Q$14,6,FALSE),1,0)</f>
        <v>0</v>
      </c>
      <c r="S189">
        <f>IF(VLOOKUP(S$1,main!$A$3:$I$56,5,FALSE)-VLOOKUP($A189,main!$A$3:$I$56,6,FALSE)&gt;=VLOOKUP(58,main!$A$57:$I$61,4,FALSE)+VLOOKUP(VLOOKUP(S$1,main!$A$3:$I$56,7,FALSE),main!$K$10:$Q$14,6,FALSE),1,0)</f>
        <v>0</v>
      </c>
      <c r="T189">
        <f>IF(VLOOKUP(T$1,main!$A$3:$I$56,5,FALSE)-VLOOKUP($A189,main!$A$3:$I$56,6,FALSE)&gt;=VLOOKUP(58,main!$A$57:$I$61,4,FALSE)+VLOOKUP(VLOOKUP(T$1,main!$A$3:$I$56,7,FALSE),main!$K$10:$Q$14,6,FALSE),1,0)</f>
        <v>0</v>
      </c>
      <c r="U189">
        <f>IF(VLOOKUP(U$1,main!$A$3:$I$56,5,FALSE)-VLOOKUP($A189,main!$A$3:$I$56,6,FALSE)&gt;=VLOOKUP(58,main!$A$57:$I$61,4,FALSE)+VLOOKUP(VLOOKUP(U$1,main!$A$3:$I$56,7,FALSE),main!$K$10:$Q$14,6,FALSE),1,0)</f>
        <v>0</v>
      </c>
      <c r="V189">
        <f>IF(VLOOKUP(V$1,main!$A$3:$I$56,5,FALSE)-VLOOKUP($A189,main!$A$3:$I$56,6,FALSE)&gt;=VLOOKUP(58,main!$A$57:$I$61,4,FALSE)+VLOOKUP(VLOOKUP(V$1,main!$A$3:$I$56,7,FALSE),main!$K$10:$Q$14,6,FALSE),1,0)</f>
        <v>0</v>
      </c>
      <c r="W189">
        <f>IF(VLOOKUP(W$1,main!$A$3:$I$56,5,FALSE)-VLOOKUP($A189,main!$A$3:$I$56,6,FALSE)&gt;=VLOOKUP(58,main!$A$57:$I$61,4,FALSE)+VLOOKUP(VLOOKUP(W$1,main!$A$3:$I$56,7,FALSE),main!$K$10:$Q$14,6,FALSE),1,0)</f>
        <v>0</v>
      </c>
      <c r="X189">
        <f>IF(VLOOKUP(X$1,main!$A$3:$I$56,5,FALSE)-VLOOKUP($A189,main!$A$3:$I$56,6,FALSE)&gt;=VLOOKUP(58,main!$A$57:$I$61,4,FALSE)+VLOOKUP(VLOOKUP(X$1,main!$A$3:$I$56,7,FALSE),main!$K$10:$Q$14,6,FALSE),1,0)</f>
        <v>0</v>
      </c>
      <c r="Y189">
        <f>IF(VLOOKUP(Y$1,main!$A$3:$I$56,5,FALSE)-VLOOKUP($A189,main!$A$3:$I$56,6,FALSE)&gt;=VLOOKUP(58,main!$A$57:$I$61,4,FALSE)+VLOOKUP(VLOOKUP(Y$1,main!$A$3:$I$56,7,FALSE),main!$K$10:$Q$14,6,FALSE),1,0)</f>
        <v>0</v>
      </c>
      <c r="Z189">
        <f>IF(VLOOKUP(Z$1,main!$A$3:$I$56,5,FALSE)-VLOOKUP($A189,main!$A$3:$I$56,6,FALSE)&gt;=VLOOKUP(58,main!$A$57:$I$61,4,FALSE)+VLOOKUP(VLOOKUP(Z$1,main!$A$3:$I$56,7,FALSE),main!$K$10:$Q$14,6,FALSE),1,0)</f>
        <v>0</v>
      </c>
      <c r="AA189">
        <f>IF(VLOOKUP(AA$1,main!$A$3:$I$56,5,FALSE)-VLOOKUP($A189,main!$A$3:$I$56,6,FALSE)&gt;=VLOOKUP(58,main!$A$57:$I$61,4,FALSE)+VLOOKUP(VLOOKUP(AA$1,main!$A$3:$I$56,7,FALSE),main!$K$10:$Q$14,6,FALSE),1,0)</f>
        <v>0</v>
      </c>
      <c r="AB189">
        <f>IF(VLOOKUP(AB$1,main!$A$3:$I$56,5,FALSE)-VLOOKUP($A189,main!$A$3:$I$56,6,FALSE)&gt;=VLOOKUP(58,main!$A$57:$I$61,4,FALSE)+VLOOKUP(VLOOKUP(AB$1,main!$A$3:$I$56,7,FALSE),main!$K$10:$Q$14,6,FALSE),1,0)</f>
        <v>0</v>
      </c>
      <c r="AC189">
        <f>IF(VLOOKUP(AC$1,main!$A$3:$I$56,5,FALSE)-VLOOKUP($A189,main!$A$3:$I$56,6,FALSE)&gt;=VLOOKUP(58,main!$A$57:$I$61,4,FALSE)+VLOOKUP(VLOOKUP(AC$1,main!$A$3:$I$56,7,FALSE),main!$K$10:$Q$14,6,FALSE),1,0)</f>
        <v>0</v>
      </c>
      <c r="AD189">
        <f>IF(VLOOKUP(AD$1,main!$A$3:$I$56,5,FALSE)-VLOOKUP($A189,main!$A$3:$I$56,6,FALSE)&gt;=VLOOKUP(58,main!$A$57:$I$61,4,FALSE)+VLOOKUP(VLOOKUP(AD$1,main!$A$3:$I$56,7,FALSE),main!$K$10:$Q$14,6,FALSE),1,0)</f>
        <v>0</v>
      </c>
      <c r="AE189">
        <f>IF(VLOOKUP(AE$1,main!$A$3:$I$56,5,FALSE)-VLOOKUP($A189,main!$A$3:$I$56,6,FALSE)&gt;=VLOOKUP(58,main!$A$57:$I$61,4,FALSE)+VLOOKUP(VLOOKUP(AE$1,main!$A$3:$I$56,7,FALSE),main!$K$10:$Q$14,6,FALSE),1,0)</f>
        <v>0</v>
      </c>
      <c r="AF189">
        <f>IF(VLOOKUP(AF$1,main!$A$3:$I$56,5,FALSE)-VLOOKUP($A189,main!$A$3:$I$56,6,FALSE)&gt;=VLOOKUP(58,main!$A$57:$I$61,4,FALSE)+VLOOKUP(VLOOKUP(AF$1,main!$A$3:$I$56,7,FALSE),main!$K$10:$Q$14,6,FALSE),1,0)</f>
        <v>0</v>
      </c>
      <c r="AG189">
        <f>IF(VLOOKUP(AG$1,main!$A$3:$I$56,5,FALSE)-VLOOKUP($A189,main!$A$3:$I$56,6,FALSE)&gt;=VLOOKUP(58,main!$A$57:$I$61,4,FALSE)+VLOOKUP(VLOOKUP(AG$1,main!$A$3:$I$56,7,FALSE),main!$K$10:$Q$14,6,FALSE),1,0)</f>
        <v>0</v>
      </c>
      <c r="AH189">
        <f>IF(VLOOKUP(AH$1,main!$A$3:$I$56,5,FALSE)-VLOOKUP($A189,main!$A$3:$I$56,6,FALSE)&gt;=VLOOKUP(58,main!$A$57:$I$61,4,FALSE)+VLOOKUP(VLOOKUP(AH$1,main!$A$3:$I$56,7,FALSE),main!$K$10:$Q$14,6,FALSE),1,0)</f>
        <v>0</v>
      </c>
      <c r="AI189">
        <f>IF(VLOOKUP(AI$1,main!$A$3:$I$56,5,FALSE)-VLOOKUP($A189,main!$A$3:$I$56,6,FALSE)&gt;=VLOOKUP(58,main!$A$57:$I$61,4,FALSE)+VLOOKUP(VLOOKUP(AI$1,main!$A$3:$I$56,7,FALSE),main!$K$10:$Q$14,6,FALSE),1,0)</f>
        <v>0</v>
      </c>
      <c r="AJ189">
        <f>IF(VLOOKUP(AJ$1,main!$A$3:$I$56,5,FALSE)-VLOOKUP($A189,main!$A$3:$I$56,6,FALSE)&gt;=VLOOKUP(58,main!$A$57:$I$61,4,FALSE)+VLOOKUP(VLOOKUP(AJ$1,main!$A$3:$I$56,7,FALSE),main!$K$10:$Q$14,6,FALSE),1,0)</f>
        <v>0</v>
      </c>
      <c r="AK189">
        <f>IF(VLOOKUP(AK$1,main!$A$3:$I$56,5,FALSE)-VLOOKUP($A189,main!$A$3:$I$56,6,FALSE)&gt;=VLOOKUP(58,main!$A$57:$I$61,4,FALSE)+VLOOKUP(VLOOKUP(AK$1,main!$A$3:$I$56,7,FALSE),main!$K$10:$Q$14,6,FALSE),1,0)</f>
        <v>1</v>
      </c>
      <c r="AL189">
        <f>IF(VLOOKUP(AL$1,main!$A$3:$I$56,5,FALSE)-VLOOKUP($A189,main!$A$3:$I$56,6,FALSE)&gt;=VLOOKUP(58,main!$A$57:$I$61,4,FALSE)+VLOOKUP(VLOOKUP(AL$1,main!$A$3:$I$56,7,FALSE),main!$K$10:$Q$14,6,FALSE),1,0)</f>
        <v>0</v>
      </c>
      <c r="AM189">
        <f>IF(VLOOKUP(AM$1,main!$A$3:$I$56,5,FALSE)-VLOOKUP($A189,main!$A$3:$I$56,6,FALSE)&gt;=VLOOKUP(58,main!$A$57:$I$61,4,FALSE)+VLOOKUP(VLOOKUP(AM$1,main!$A$3:$I$56,7,FALSE),main!$K$10:$Q$14,6,FALSE),1,0)</f>
        <v>0</v>
      </c>
      <c r="AN189">
        <f>IF(VLOOKUP(AN$1,main!$A$3:$I$56,5,FALSE)-VLOOKUP($A189,main!$A$3:$I$56,6,FALSE)&gt;=VLOOKUP(58,main!$A$57:$I$61,4,FALSE)+VLOOKUP(VLOOKUP(AN$1,main!$A$3:$I$56,7,FALSE),main!$K$10:$Q$14,6,FALSE),1,0)</f>
        <v>0</v>
      </c>
      <c r="AO189">
        <f>IF(VLOOKUP(AO$1,main!$A$3:$I$56,5,FALSE)-VLOOKUP($A189,main!$A$3:$I$56,6,FALSE)&gt;=VLOOKUP(58,main!$A$57:$I$61,4,FALSE)+VLOOKUP(VLOOKUP(AO$1,main!$A$3:$I$56,7,FALSE),main!$K$10:$Q$14,6,FALSE),1,0)</f>
        <v>0</v>
      </c>
      <c r="AP189">
        <f>IF(VLOOKUP(AP$1,main!$A$3:$I$56,5,FALSE)-VLOOKUP($A189,main!$A$3:$I$56,6,FALSE)&gt;=VLOOKUP(58,main!$A$57:$I$61,4,FALSE)+VLOOKUP(VLOOKUP(AP$1,main!$A$3:$I$56,7,FALSE),main!$K$10:$Q$14,6,FALSE),1,0)</f>
        <v>0</v>
      </c>
      <c r="AQ189">
        <f>IF(VLOOKUP(AQ$1,main!$A$3:$I$56,5,FALSE)-VLOOKUP($A189,main!$A$3:$I$56,6,FALSE)&gt;=VLOOKUP(58,main!$A$57:$I$61,4,FALSE)+VLOOKUP(VLOOKUP(AQ$1,main!$A$3:$I$56,7,FALSE),main!$K$10:$Q$14,6,FALSE),1,0)</f>
        <v>0</v>
      </c>
      <c r="AR189">
        <f>IF(VLOOKUP(AR$1,main!$A$3:$I$56,5,FALSE)-VLOOKUP($A189,main!$A$3:$I$56,6,FALSE)&gt;=VLOOKUP(58,main!$A$57:$I$61,4,FALSE)+VLOOKUP(VLOOKUP(AR$1,main!$A$3:$I$56,7,FALSE),main!$K$10:$Q$14,6,FALSE),1,0)</f>
        <v>0</v>
      </c>
      <c r="AS189">
        <f>IF(VLOOKUP(AS$1,main!$A$3:$I$56,5,FALSE)-VLOOKUP($A189,main!$A$3:$I$56,6,FALSE)&gt;=VLOOKUP(58,main!$A$57:$I$61,4,FALSE)+VLOOKUP(VLOOKUP(AS$1,main!$A$3:$I$56,7,FALSE),main!$K$10:$Q$14,6,FALSE),1,0)</f>
        <v>0</v>
      </c>
      <c r="AT189">
        <f>IF(VLOOKUP(AT$1,main!$A$3:$I$56,5,FALSE)-VLOOKUP($A189,main!$A$3:$I$56,6,FALSE)&gt;=VLOOKUP(58,main!$A$57:$I$61,4,FALSE)+VLOOKUP(VLOOKUP(AT$1,main!$A$3:$I$56,7,FALSE),main!$K$10:$Q$14,6,FALSE),1,0)</f>
        <v>0</v>
      </c>
      <c r="AU189">
        <f>IF(VLOOKUP(AU$1,main!$A$3:$I$56,5,FALSE)-VLOOKUP($A189,main!$A$3:$I$56,6,FALSE)&gt;=VLOOKUP(58,main!$A$57:$I$61,4,FALSE)+VLOOKUP(VLOOKUP(AU$1,main!$A$3:$I$56,7,FALSE),main!$K$10:$Q$14,6,FALSE),1,0)</f>
        <v>0</v>
      </c>
      <c r="AV189">
        <f>IF(VLOOKUP(AV$1,main!$A$3:$I$56,5,FALSE)-VLOOKUP($A189,main!$A$3:$I$56,6,FALSE)&gt;=VLOOKUP(58,main!$A$57:$I$61,4,FALSE)+VLOOKUP(VLOOKUP(AV$1,main!$A$3:$I$56,7,FALSE),main!$K$10:$Q$14,6,FALSE),1,0)</f>
        <v>0</v>
      </c>
      <c r="AW189">
        <f>IF(VLOOKUP(AW$1,main!$A$3:$I$56,5,FALSE)-VLOOKUP($A189,main!$A$3:$I$56,6,FALSE)&gt;=VLOOKUP(58,main!$A$57:$I$61,4,FALSE)+VLOOKUP(VLOOKUP(AW$1,main!$A$3:$I$56,7,FALSE),main!$K$10:$Q$14,6,FALSE),1,0)</f>
        <v>0</v>
      </c>
      <c r="AX189">
        <f>IF(VLOOKUP(AX$1,main!$A$3:$I$56,5,FALSE)-VLOOKUP($A189,main!$A$3:$I$56,6,FALSE)&gt;=VLOOKUP(58,main!$A$57:$I$61,4,FALSE)+VLOOKUP(VLOOKUP(AX$1,main!$A$3:$I$56,7,FALSE),main!$K$10:$Q$14,6,FALSE),1,0)</f>
        <v>0</v>
      </c>
      <c r="AY189">
        <f>IF(VLOOKUP(AY$1,main!$A$3:$I$56,5,FALSE)-VLOOKUP($A189,main!$A$3:$I$56,6,FALSE)&gt;=VLOOKUP(58,main!$A$57:$I$61,4,FALSE)+VLOOKUP(VLOOKUP(AY$1,main!$A$3:$I$56,7,FALSE),main!$K$10:$Q$14,6,FALSE),1,0)</f>
        <v>0</v>
      </c>
      <c r="AZ189">
        <f>IF(VLOOKUP(AZ$1,main!$A$3:$I$56,5,FALSE)-VLOOKUP($A189,main!$A$3:$I$56,6,FALSE)&gt;=VLOOKUP(58,main!$A$57:$I$61,4,FALSE)+VLOOKUP(VLOOKUP(AZ$1,main!$A$3:$I$56,7,FALSE),main!$K$10:$Q$14,6,FALSE),1,0)</f>
        <v>0</v>
      </c>
      <c r="BA189">
        <f>IF(VLOOKUP(BA$1,main!$A$3:$I$56,5,FALSE)-VLOOKUP($A189,main!$A$3:$I$56,6,FALSE)&gt;=VLOOKUP(58,main!$A$57:$I$61,4,FALSE)+VLOOKUP(VLOOKUP(BA$1,main!$A$3:$I$56,7,FALSE),main!$K$10:$Q$14,6,FALSE),1,0)</f>
        <v>0</v>
      </c>
      <c r="BB189">
        <f>IF(VLOOKUP(BB$1,main!$A$3:$I$56,5,FALSE)-VLOOKUP($A189,main!$A$3:$I$56,6,FALSE)&gt;=VLOOKUP(58,main!$A$57:$I$61,4,FALSE)+VLOOKUP(VLOOKUP(BB$1,main!$A$3:$I$56,7,FALSE),main!$K$10:$Q$14,6,FALSE),1,0)</f>
        <v>0</v>
      </c>
      <c r="BC189">
        <f>IF(VLOOKUP(BC$1,main!$A$3:$I$56,5,FALSE)-VLOOKUP($A189,main!$A$3:$I$56,6,FALSE)&gt;=VLOOKUP(58,main!$A$57:$I$61,4,FALSE)+VLOOKUP(VLOOKUP(BC$1,main!$A$3:$I$56,7,FALSE),main!$K$10:$Q$14,6,FALSE),1,0)</f>
        <v>0</v>
      </c>
      <c r="BD189">
        <f>IF(VLOOKUP(BD$1,main!$A$3:$I$56,5,FALSE)-VLOOKUP($A189,main!$A$3:$I$56,6,FALSE)&gt;=VLOOKUP(58,main!$A$57:$I$61,4,FALSE)+VLOOKUP(VLOOKUP(BD$1,main!$A$3:$I$56,7,FALSE),main!$K$10:$Q$14,6,FALSE),1,0)</f>
        <v>0</v>
      </c>
    </row>
    <row r="190" spans="1:56" x14ac:dyDescent="0.25">
      <c r="A190">
        <f t="shared" si="3"/>
        <v>23</v>
      </c>
      <c r="B190">
        <v>0</v>
      </c>
      <c r="C190">
        <f>IF(VLOOKUP(C$1,main!$A$3:$I$56,5,FALSE)-VLOOKUP($A190,main!$A$3:$I$56,6,FALSE)&gt;=VLOOKUP(58,main!$A$57:$I$61,4,FALSE)+VLOOKUP(VLOOKUP(C$1,main!$A$3:$I$56,7,FALSE),main!$K$10:$Q$14,6,FALSE),1,0)</f>
        <v>0</v>
      </c>
      <c r="D190">
        <f>IF(VLOOKUP(D$1,main!$A$3:$I$56,5,FALSE)-VLOOKUP($A190,main!$A$3:$I$56,6,FALSE)&gt;=VLOOKUP(58,main!$A$57:$I$61,4,FALSE)+VLOOKUP(VLOOKUP(D$1,main!$A$3:$I$56,7,FALSE),main!$K$10:$Q$14,6,FALSE),1,0)</f>
        <v>0</v>
      </c>
      <c r="E190">
        <f>IF(VLOOKUP(E$1,main!$A$3:$I$56,5,FALSE)-VLOOKUP($A190,main!$A$3:$I$56,6,FALSE)&gt;=VLOOKUP(58,main!$A$57:$I$61,4,FALSE)+VLOOKUP(VLOOKUP(E$1,main!$A$3:$I$56,7,FALSE),main!$K$10:$Q$14,6,FALSE),1,0)</f>
        <v>0</v>
      </c>
      <c r="F190">
        <f>IF(VLOOKUP(F$1,main!$A$3:$I$56,5,FALSE)-VLOOKUP($A190,main!$A$3:$I$56,6,FALSE)&gt;=VLOOKUP(58,main!$A$57:$I$61,4,FALSE)+VLOOKUP(VLOOKUP(F$1,main!$A$3:$I$56,7,FALSE),main!$K$10:$Q$14,6,FALSE),1,0)</f>
        <v>0</v>
      </c>
      <c r="G190">
        <f>IF(VLOOKUP(G$1,main!$A$3:$I$56,5,FALSE)-VLOOKUP($A190,main!$A$3:$I$56,6,FALSE)&gt;=VLOOKUP(58,main!$A$57:$I$61,4,FALSE)+VLOOKUP(VLOOKUP(G$1,main!$A$3:$I$56,7,FALSE),main!$K$10:$Q$14,6,FALSE),1,0)</f>
        <v>0</v>
      </c>
      <c r="H190">
        <f>IF(VLOOKUP(H$1,main!$A$3:$I$56,5,FALSE)-VLOOKUP($A190,main!$A$3:$I$56,6,FALSE)&gt;=VLOOKUP(58,main!$A$57:$I$61,4,FALSE)+VLOOKUP(VLOOKUP(H$1,main!$A$3:$I$56,7,FALSE),main!$K$10:$Q$14,6,FALSE),1,0)</f>
        <v>0</v>
      </c>
      <c r="I190">
        <f>IF(VLOOKUP(I$1,main!$A$3:$I$56,5,FALSE)-VLOOKUP($A190,main!$A$3:$I$56,6,FALSE)&gt;=VLOOKUP(58,main!$A$57:$I$61,4,FALSE)+VLOOKUP(VLOOKUP(I$1,main!$A$3:$I$56,7,FALSE),main!$K$10:$Q$14,6,FALSE),1,0)</f>
        <v>0</v>
      </c>
      <c r="J190">
        <f>IF(VLOOKUP(J$1,main!$A$3:$I$56,5,FALSE)-VLOOKUP($A190,main!$A$3:$I$56,6,FALSE)&gt;=VLOOKUP(58,main!$A$57:$I$61,4,FALSE)+VLOOKUP(VLOOKUP(J$1,main!$A$3:$I$56,7,FALSE),main!$K$10:$Q$14,6,FALSE),1,0)</f>
        <v>0</v>
      </c>
      <c r="K190">
        <f>IF(VLOOKUP(K$1,main!$A$3:$I$56,5,FALSE)-VLOOKUP($A190,main!$A$3:$I$56,6,FALSE)&gt;=VLOOKUP(58,main!$A$57:$I$61,4,FALSE)+VLOOKUP(VLOOKUP(K$1,main!$A$3:$I$56,7,FALSE),main!$K$10:$Q$14,6,FALSE),1,0)</f>
        <v>0</v>
      </c>
      <c r="L190">
        <f>IF(VLOOKUP(L$1,main!$A$3:$I$56,5,FALSE)-VLOOKUP($A190,main!$A$3:$I$56,6,FALSE)&gt;=VLOOKUP(58,main!$A$57:$I$61,4,FALSE)+VLOOKUP(VLOOKUP(L$1,main!$A$3:$I$56,7,FALSE),main!$K$10:$Q$14,6,FALSE),1,0)</f>
        <v>0</v>
      </c>
      <c r="M190">
        <f>IF(VLOOKUP(M$1,main!$A$3:$I$56,5,FALSE)-VLOOKUP($A190,main!$A$3:$I$56,6,FALSE)&gt;=VLOOKUP(58,main!$A$57:$I$61,4,FALSE)+VLOOKUP(VLOOKUP(M$1,main!$A$3:$I$56,7,FALSE),main!$K$10:$Q$14,6,FALSE),1,0)</f>
        <v>0</v>
      </c>
      <c r="N190">
        <f>IF(VLOOKUP(N$1,main!$A$3:$I$56,5,FALSE)-VLOOKUP($A190,main!$A$3:$I$56,6,FALSE)&gt;=VLOOKUP(58,main!$A$57:$I$61,4,FALSE)+VLOOKUP(VLOOKUP(N$1,main!$A$3:$I$56,7,FALSE),main!$K$10:$Q$14,6,FALSE),1,0)</f>
        <v>0</v>
      </c>
      <c r="O190">
        <f>IF(VLOOKUP(O$1,main!$A$3:$I$56,5,FALSE)-VLOOKUP($A190,main!$A$3:$I$56,6,FALSE)&gt;=VLOOKUP(58,main!$A$57:$I$61,4,FALSE)+VLOOKUP(VLOOKUP(O$1,main!$A$3:$I$56,7,FALSE),main!$K$10:$Q$14,6,FALSE),1,0)</f>
        <v>0</v>
      </c>
      <c r="P190">
        <f>IF(VLOOKUP(P$1,main!$A$3:$I$56,5,FALSE)-VLOOKUP($A190,main!$A$3:$I$56,6,FALSE)&gt;=VLOOKUP(58,main!$A$57:$I$61,4,FALSE)+VLOOKUP(VLOOKUP(P$1,main!$A$3:$I$56,7,FALSE),main!$K$10:$Q$14,6,FALSE),1,0)</f>
        <v>0</v>
      </c>
      <c r="Q190">
        <f>IF(VLOOKUP(Q$1,main!$A$3:$I$56,5,FALSE)-VLOOKUP($A190,main!$A$3:$I$56,6,FALSE)&gt;=VLOOKUP(58,main!$A$57:$I$61,4,FALSE)+VLOOKUP(VLOOKUP(Q$1,main!$A$3:$I$56,7,FALSE),main!$K$10:$Q$14,6,FALSE),1,0)</f>
        <v>0</v>
      </c>
      <c r="R190">
        <f>IF(VLOOKUP(R$1,main!$A$3:$I$56,5,FALSE)-VLOOKUP($A190,main!$A$3:$I$56,6,FALSE)&gt;=VLOOKUP(58,main!$A$57:$I$61,4,FALSE)+VLOOKUP(VLOOKUP(R$1,main!$A$3:$I$56,7,FALSE),main!$K$10:$Q$14,6,FALSE),1,0)</f>
        <v>0</v>
      </c>
      <c r="S190">
        <f>IF(VLOOKUP(S$1,main!$A$3:$I$56,5,FALSE)-VLOOKUP($A190,main!$A$3:$I$56,6,FALSE)&gt;=VLOOKUP(58,main!$A$57:$I$61,4,FALSE)+VLOOKUP(VLOOKUP(S$1,main!$A$3:$I$56,7,FALSE),main!$K$10:$Q$14,6,FALSE),1,0)</f>
        <v>0</v>
      </c>
      <c r="T190">
        <f>IF(VLOOKUP(T$1,main!$A$3:$I$56,5,FALSE)-VLOOKUP($A190,main!$A$3:$I$56,6,FALSE)&gt;=VLOOKUP(58,main!$A$57:$I$61,4,FALSE)+VLOOKUP(VLOOKUP(T$1,main!$A$3:$I$56,7,FALSE),main!$K$10:$Q$14,6,FALSE),1,0)</f>
        <v>0</v>
      </c>
      <c r="U190">
        <f>IF(VLOOKUP(U$1,main!$A$3:$I$56,5,FALSE)-VLOOKUP($A190,main!$A$3:$I$56,6,FALSE)&gt;=VLOOKUP(58,main!$A$57:$I$61,4,FALSE)+VLOOKUP(VLOOKUP(U$1,main!$A$3:$I$56,7,FALSE),main!$K$10:$Q$14,6,FALSE),1,0)</f>
        <v>0</v>
      </c>
      <c r="V190">
        <f>IF(VLOOKUP(V$1,main!$A$3:$I$56,5,FALSE)-VLOOKUP($A190,main!$A$3:$I$56,6,FALSE)&gt;=VLOOKUP(58,main!$A$57:$I$61,4,FALSE)+VLOOKUP(VLOOKUP(V$1,main!$A$3:$I$56,7,FALSE),main!$K$10:$Q$14,6,FALSE),1,0)</f>
        <v>0</v>
      </c>
      <c r="W190">
        <f>IF(VLOOKUP(W$1,main!$A$3:$I$56,5,FALSE)-VLOOKUP($A190,main!$A$3:$I$56,6,FALSE)&gt;=VLOOKUP(58,main!$A$57:$I$61,4,FALSE)+VLOOKUP(VLOOKUP(W$1,main!$A$3:$I$56,7,FALSE),main!$K$10:$Q$14,6,FALSE),1,0)</f>
        <v>0</v>
      </c>
      <c r="X190">
        <f>IF(VLOOKUP(X$1,main!$A$3:$I$56,5,FALSE)-VLOOKUP($A190,main!$A$3:$I$56,6,FALSE)&gt;=VLOOKUP(58,main!$A$57:$I$61,4,FALSE)+VLOOKUP(VLOOKUP(X$1,main!$A$3:$I$56,7,FALSE),main!$K$10:$Q$14,6,FALSE),1,0)</f>
        <v>0</v>
      </c>
      <c r="Y190">
        <f>IF(VLOOKUP(Y$1,main!$A$3:$I$56,5,FALSE)-VLOOKUP($A190,main!$A$3:$I$56,6,FALSE)&gt;=VLOOKUP(58,main!$A$57:$I$61,4,FALSE)+VLOOKUP(VLOOKUP(Y$1,main!$A$3:$I$56,7,FALSE),main!$K$10:$Q$14,6,FALSE),1,0)</f>
        <v>0</v>
      </c>
      <c r="Z190">
        <f>IF(VLOOKUP(Z$1,main!$A$3:$I$56,5,FALSE)-VLOOKUP($A190,main!$A$3:$I$56,6,FALSE)&gt;=VLOOKUP(58,main!$A$57:$I$61,4,FALSE)+VLOOKUP(VLOOKUP(Z$1,main!$A$3:$I$56,7,FALSE),main!$K$10:$Q$14,6,FALSE),1,0)</f>
        <v>0</v>
      </c>
      <c r="AA190">
        <f>IF(VLOOKUP(AA$1,main!$A$3:$I$56,5,FALSE)-VLOOKUP($A190,main!$A$3:$I$56,6,FALSE)&gt;=VLOOKUP(58,main!$A$57:$I$61,4,FALSE)+VLOOKUP(VLOOKUP(AA$1,main!$A$3:$I$56,7,FALSE),main!$K$10:$Q$14,6,FALSE),1,0)</f>
        <v>0</v>
      </c>
      <c r="AB190">
        <f>IF(VLOOKUP(AB$1,main!$A$3:$I$56,5,FALSE)-VLOOKUP($A190,main!$A$3:$I$56,6,FALSE)&gt;=VLOOKUP(58,main!$A$57:$I$61,4,FALSE)+VLOOKUP(VLOOKUP(AB$1,main!$A$3:$I$56,7,FALSE),main!$K$10:$Q$14,6,FALSE),1,0)</f>
        <v>0</v>
      </c>
      <c r="AC190">
        <f>IF(VLOOKUP(AC$1,main!$A$3:$I$56,5,FALSE)-VLOOKUP($A190,main!$A$3:$I$56,6,FALSE)&gt;=VLOOKUP(58,main!$A$57:$I$61,4,FALSE)+VLOOKUP(VLOOKUP(AC$1,main!$A$3:$I$56,7,FALSE),main!$K$10:$Q$14,6,FALSE),1,0)</f>
        <v>0</v>
      </c>
      <c r="AD190">
        <f>IF(VLOOKUP(AD$1,main!$A$3:$I$56,5,FALSE)-VLOOKUP($A190,main!$A$3:$I$56,6,FALSE)&gt;=VLOOKUP(58,main!$A$57:$I$61,4,FALSE)+VLOOKUP(VLOOKUP(AD$1,main!$A$3:$I$56,7,FALSE),main!$K$10:$Q$14,6,FALSE),1,0)</f>
        <v>0</v>
      </c>
      <c r="AE190">
        <f>IF(VLOOKUP(AE$1,main!$A$3:$I$56,5,FALSE)-VLOOKUP($A190,main!$A$3:$I$56,6,FALSE)&gt;=VLOOKUP(58,main!$A$57:$I$61,4,FALSE)+VLOOKUP(VLOOKUP(AE$1,main!$A$3:$I$56,7,FALSE),main!$K$10:$Q$14,6,FALSE),1,0)</f>
        <v>0</v>
      </c>
      <c r="AF190">
        <f>IF(VLOOKUP(AF$1,main!$A$3:$I$56,5,FALSE)-VLOOKUP($A190,main!$A$3:$I$56,6,FALSE)&gt;=VLOOKUP(58,main!$A$57:$I$61,4,FALSE)+VLOOKUP(VLOOKUP(AF$1,main!$A$3:$I$56,7,FALSE),main!$K$10:$Q$14,6,FALSE),1,0)</f>
        <v>0</v>
      </c>
      <c r="AG190">
        <f>IF(VLOOKUP(AG$1,main!$A$3:$I$56,5,FALSE)-VLOOKUP($A190,main!$A$3:$I$56,6,FALSE)&gt;=VLOOKUP(58,main!$A$57:$I$61,4,FALSE)+VLOOKUP(VLOOKUP(AG$1,main!$A$3:$I$56,7,FALSE),main!$K$10:$Q$14,6,FALSE),1,0)</f>
        <v>0</v>
      </c>
      <c r="AH190">
        <f>IF(VLOOKUP(AH$1,main!$A$3:$I$56,5,FALSE)-VLOOKUP($A190,main!$A$3:$I$56,6,FALSE)&gt;=VLOOKUP(58,main!$A$57:$I$61,4,FALSE)+VLOOKUP(VLOOKUP(AH$1,main!$A$3:$I$56,7,FALSE),main!$K$10:$Q$14,6,FALSE),1,0)</f>
        <v>0</v>
      </c>
      <c r="AI190">
        <f>IF(VLOOKUP(AI$1,main!$A$3:$I$56,5,FALSE)-VLOOKUP($A190,main!$A$3:$I$56,6,FALSE)&gt;=VLOOKUP(58,main!$A$57:$I$61,4,FALSE)+VLOOKUP(VLOOKUP(AI$1,main!$A$3:$I$56,7,FALSE),main!$K$10:$Q$14,6,FALSE),1,0)</f>
        <v>0</v>
      </c>
      <c r="AJ190">
        <f>IF(VLOOKUP(AJ$1,main!$A$3:$I$56,5,FALSE)-VLOOKUP($A190,main!$A$3:$I$56,6,FALSE)&gt;=VLOOKUP(58,main!$A$57:$I$61,4,FALSE)+VLOOKUP(VLOOKUP(AJ$1,main!$A$3:$I$56,7,FALSE),main!$K$10:$Q$14,6,FALSE),1,0)</f>
        <v>0</v>
      </c>
      <c r="AK190">
        <f>IF(VLOOKUP(AK$1,main!$A$3:$I$56,5,FALSE)-VLOOKUP($A190,main!$A$3:$I$56,6,FALSE)&gt;=VLOOKUP(58,main!$A$57:$I$61,4,FALSE)+VLOOKUP(VLOOKUP(AK$1,main!$A$3:$I$56,7,FALSE),main!$K$10:$Q$14,6,FALSE),1,0)</f>
        <v>0</v>
      </c>
      <c r="AL190">
        <f>IF(VLOOKUP(AL$1,main!$A$3:$I$56,5,FALSE)-VLOOKUP($A190,main!$A$3:$I$56,6,FALSE)&gt;=VLOOKUP(58,main!$A$57:$I$61,4,FALSE)+VLOOKUP(VLOOKUP(AL$1,main!$A$3:$I$56,7,FALSE),main!$K$10:$Q$14,6,FALSE),1,0)</f>
        <v>0</v>
      </c>
      <c r="AM190">
        <f>IF(VLOOKUP(AM$1,main!$A$3:$I$56,5,FALSE)-VLOOKUP($A190,main!$A$3:$I$56,6,FALSE)&gt;=VLOOKUP(58,main!$A$57:$I$61,4,FALSE)+VLOOKUP(VLOOKUP(AM$1,main!$A$3:$I$56,7,FALSE),main!$K$10:$Q$14,6,FALSE),1,0)</f>
        <v>0</v>
      </c>
      <c r="AN190">
        <f>IF(VLOOKUP(AN$1,main!$A$3:$I$56,5,FALSE)-VLOOKUP($A190,main!$A$3:$I$56,6,FALSE)&gt;=VLOOKUP(58,main!$A$57:$I$61,4,FALSE)+VLOOKUP(VLOOKUP(AN$1,main!$A$3:$I$56,7,FALSE),main!$K$10:$Q$14,6,FALSE),1,0)</f>
        <v>0</v>
      </c>
      <c r="AO190">
        <f>IF(VLOOKUP(AO$1,main!$A$3:$I$56,5,FALSE)-VLOOKUP($A190,main!$A$3:$I$56,6,FALSE)&gt;=VLOOKUP(58,main!$A$57:$I$61,4,FALSE)+VLOOKUP(VLOOKUP(AO$1,main!$A$3:$I$56,7,FALSE),main!$K$10:$Q$14,6,FALSE),1,0)</f>
        <v>0</v>
      </c>
      <c r="AP190">
        <f>IF(VLOOKUP(AP$1,main!$A$3:$I$56,5,FALSE)-VLOOKUP($A190,main!$A$3:$I$56,6,FALSE)&gt;=VLOOKUP(58,main!$A$57:$I$61,4,FALSE)+VLOOKUP(VLOOKUP(AP$1,main!$A$3:$I$56,7,FALSE),main!$K$10:$Q$14,6,FALSE),1,0)</f>
        <v>0</v>
      </c>
      <c r="AQ190">
        <f>IF(VLOOKUP(AQ$1,main!$A$3:$I$56,5,FALSE)-VLOOKUP($A190,main!$A$3:$I$56,6,FALSE)&gt;=VLOOKUP(58,main!$A$57:$I$61,4,FALSE)+VLOOKUP(VLOOKUP(AQ$1,main!$A$3:$I$56,7,FALSE),main!$K$10:$Q$14,6,FALSE),1,0)</f>
        <v>0</v>
      </c>
      <c r="AR190">
        <f>IF(VLOOKUP(AR$1,main!$A$3:$I$56,5,FALSE)-VLOOKUP($A190,main!$A$3:$I$56,6,FALSE)&gt;=VLOOKUP(58,main!$A$57:$I$61,4,FALSE)+VLOOKUP(VLOOKUP(AR$1,main!$A$3:$I$56,7,FALSE),main!$K$10:$Q$14,6,FALSE),1,0)</f>
        <v>0</v>
      </c>
      <c r="AS190">
        <f>IF(VLOOKUP(AS$1,main!$A$3:$I$56,5,FALSE)-VLOOKUP($A190,main!$A$3:$I$56,6,FALSE)&gt;=VLOOKUP(58,main!$A$57:$I$61,4,FALSE)+VLOOKUP(VLOOKUP(AS$1,main!$A$3:$I$56,7,FALSE),main!$K$10:$Q$14,6,FALSE),1,0)</f>
        <v>0</v>
      </c>
      <c r="AT190">
        <f>IF(VLOOKUP(AT$1,main!$A$3:$I$56,5,FALSE)-VLOOKUP($A190,main!$A$3:$I$56,6,FALSE)&gt;=VLOOKUP(58,main!$A$57:$I$61,4,FALSE)+VLOOKUP(VLOOKUP(AT$1,main!$A$3:$I$56,7,FALSE),main!$K$10:$Q$14,6,FALSE),1,0)</f>
        <v>0</v>
      </c>
      <c r="AU190">
        <f>IF(VLOOKUP(AU$1,main!$A$3:$I$56,5,FALSE)-VLOOKUP($A190,main!$A$3:$I$56,6,FALSE)&gt;=VLOOKUP(58,main!$A$57:$I$61,4,FALSE)+VLOOKUP(VLOOKUP(AU$1,main!$A$3:$I$56,7,FALSE),main!$K$10:$Q$14,6,FALSE),1,0)</f>
        <v>0</v>
      </c>
      <c r="AV190">
        <f>IF(VLOOKUP(AV$1,main!$A$3:$I$56,5,FALSE)-VLOOKUP($A190,main!$A$3:$I$56,6,FALSE)&gt;=VLOOKUP(58,main!$A$57:$I$61,4,FALSE)+VLOOKUP(VLOOKUP(AV$1,main!$A$3:$I$56,7,FALSE),main!$K$10:$Q$14,6,FALSE),1,0)</f>
        <v>0</v>
      </c>
      <c r="AW190">
        <f>IF(VLOOKUP(AW$1,main!$A$3:$I$56,5,FALSE)-VLOOKUP($A190,main!$A$3:$I$56,6,FALSE)&gt;=VLOOKUP(58,main!$A$57:$I$61,4,FALSE)+VLOOKUP(VLOOKUP(AW$1,main!$A$3:$I$56,7,FALSE),main!$K$10:$Q$14,6,FALSE),1,0)</f>
        <v>0</v>
      </c>
      <c r="AX190">
        <f>IF(VLOOKUP(AX$1,main!$A$3:$I$56,5,FALSE)-VLOOKUP($A190,main!$A$3:$I$56,6,FALSE)&gt;=VLOOKUP(58,main!$A$57:$I$61,4,FALSE)+VLOOKUP(VLOOKUP(AX$1,main!$A$3:$I$56,7,FALSE),main!$K$10:$Q$14,6,FALSE),1,0)</f>
        <v>0</v>
      </c>
      <c r="AY190">
        <f>IF(VLOOKUP(AY$1,main!$A$3:$I$56,5,FALSE)-VLOOKUP($A190,main!$A$3:$I$56,6,FALSE)&gt;=VLOOKUP(58,main!$A$57:$I$61,4,FALSE)+VLOOKUP(VLOOKUP(AY$1,main!$A$3:$I$56,7,FALSE),main!$K$10:$Q$14,6,FALSE),1,0)</f>
        <v>0</v>
      </c>
      <c r="AZ190">
        <f>IF(VLOOKUP(AZ$1,main!$A$3:$I$56,5,FALSE)-VLOOKUP($A190,main!$A$3:$I$56,6,FALSE)&gt;=VLOOKUP(58,main!$A$57:$I$61,4,FALSE)+VLOOKUP(VLOOKUP(AZ$1,main!$A$3:$I$56,7,FALSE),main!$K$10:$Q$14,6,FALSE),1,0)</f>
        <v>0</v>
      </c>
      <c r="BA190">
        <f>IF(VLOOKUP(BA$1,main!$A$3:$I$56,5,FALSE)-VLOOKUP($A190,main!$A$3:$I$56,6,FALSE)&gt;=VLOOKUP(58,main!$A$57:$I$61,4,FALSE)+VLOOKUP(VLOOKUP(BA$1,main!$A$3:$I$56,7,FALSE),main!$K$10:$Q$14,6,FALSE),1,0)</f>
        <v>0</v>
      </c>
      <c r="BB190">
        <f>IF(VLOOKUP(BB$1,main!$A$3:$I$56,5,FALSE)-VLOOKUP($A190,main!$A$3:$I$56,6,FALSE)&gt;=VLOOKUP(58,main!$A$57:$I$61,4,FALSE)+VLOOKUP(VLOOKUP(BB$1,main!$A$3:$I$56,7,FALSE),main!$K$10:$Q$14,6,FALSE),1,0)</f>
        <v>0</v>
      </c>
      <c r="BC190">
        <f>IF(VLOOKUP(BC$1,main!$A$3:$I$56,5,FALSE)-VLOOKUP($A190,main!$A$3:$I$56,6,FALSE)&gt;=VLOOKUP(58,main!$A$57:$I$61,4,FALSE)+VLOOKUP(VLOOKUP(BC$1,main!$A$3:$I$56,7,FALSE),main!$K$10:$Q$14,6,FALSE),1,0)</f>
        <v>0</v>
      </c>
      <c r="BD190">
        <f>IF(VLOOKUP(BD$1,main!$A$3:$I$56,5,FALSE)-VLOOKUP($A190,main!$A$3:$I$56,6,FALSE)&gt;=VLOOKUP(58,main!$A$57:$I$61,4,FALSE)+VLOOKUP(VLOOKUP(BD$1,main!$A$3:$I$56,7,FALSE),main!$K$10:$Q$14,6,FALSE),1,0)</f>
        <v>0</v>
      </c>
    </row>
    <row r="191" spans="1:56" x14ac:dyDescent="0.25">
      <c r="A191">
        <f t="shared" si="3"/>
        <v>24</v>
      </c>
      <c r="B191">
        <v>0</v>
      </c>
      <c r="C191">
        <f>IF(VLOOKUP(C$1,main!$A$3:$I$56,5,FALSE)-VLOOKUP($A191,main!$A$3:$I$56,6,FALSE)&gt;=VLOOKUP(58,main!$A$57:$I$61,4,FALSE)+VLOOKUP(VLOOKUP(C$1,main!$A$3:$I$56,7,FALSE),main!$K$10:$Q$14,6,FALSE),1,0)</f>
        <v>0</v>
      </c>
      <c r="D191">
        <f>IF(VLOOKUP(D$1,main!$A$3:$I$56,5,FALSE)-VLOOKUP($A191,main!$A$3:$I$56,6,FALSE)&gt;=VLOOKUP(58,main!$A$57:$I$61,4,FALSE)+VLOOKUP(VLOOKUP(D$1,main!$A$3:$I$56,7,FALSE),main!$K$10:$Q$14,6,FALSE),1,0)</f>
        <v>0</v>
      </c>
      <c r="E191">
        <f>IF(VLOOKUP(E$1,main!$A$3:$I$56,5,FALSE)-VLOOKUP($A191,main!$A$3:$I$56,6,FALSE)&gt;=VLOOKUP(58,main!$A$57:$I$61,4,FALSE)+VLOOKUP(VLOOKUP(E$1,main!$A$3:$I$56,7,FALSE),main!$K$10:$Q$14,6,FALSE),1,0)</f>
        <v>0</v>
      </c>
      <c r="F191">
        <f>IF(VLOOKUP(F$1,main!$A$3:$I$56,5,FALSE)-VLOOKUP($A191,main!$A$3:$I$56,6,FALSE)&gt;=VLOOKUP(58,main!$A$57:$I$61,4,FALSE)+VLOOKUP(VLOOKUP(F$1,main!$A$3:$I$56,7,FALSE),main!$K$10:$Q$14,6,FALSE),1,0)</f>
        <v>0</v>
      </c>
      <c r="G191">
        <f>IF(VLOOKUP(G$1,main!$A$3:$I$56,5,FALSE)-VLOOKUP($A191,main!$A$3:$I$56,6,FALSE)&gt;=VLOOKUP(58,main!$A$57:$I$61,4,FALSE)+VLOOKUP(VLOOKUP(G$1,main!$A$3:$I$56,7,FALSE),main!$K$10:$Q$14,6,FALSE),1,0)</f>
        <v>0</v>
      </c>
      <c r="H191">
        <f>IF(VLOOKUP(H$1,main!$A$3:$I$56,5,FALSE)-VLOOKUP($A191,main!$A$3:$I$56,6,FALSE)&gt;=VLOOKUP(58,main!$A$57:$I$61,4,FALSE)+VLOOKUP(VLOOKUP(H$1,main!$A$3:$I$56,7,FALSE),main!$K$10:$Q$14,6,FALSE),1,0)</f>
        <v>0</v>
      </c>
      <c r="I191">
        <f>IF(VLOOKUP(I$1,main!$A$3:$I$56,5,FALSE)-VLOOKUP($A191,main!$A$3:$I$56,6,FALSE)&gt;=VLOOKUP(58,main!$A$57:$I$61,4,FALSE)+VLOOKUP(VLOOKUP(I$1,main!$A$3:$I$56,7,FALSE),main!$K$10:$Q$14,6,FALSE),1,0)</f>
        <v>0</v>
      </c>
      <c r="J191">
        <f>IF(VLOOKUP(J$1,main!$A$3:$I$56,5,FALSE)-VLOOKUP($A191,main!$A$3:$I$56,6,FALSE)&gt;=VLOOKUP(58,main!$A$57:$I$61,4,FALSE)+VLOOKUP(VLOOKUP(J$1,main!$A$3:$I$56,7,FALSE),main!$K$10:$Q$14,6,FALSE),1,0)</f>
        <v>0</v>
      </c>
      <c r="K191">
        <f>IF(VLOOKUP(K$1,main!$A$3:$I$56,5,FALSE)-VLOOKUP($A191,main!$A$3:$I$56,6,FALSE)&gt;=VLOOKUP(58,main!$A$57:$I$61,4,FALSE)+VLOOKUP(VLOOKUP(K$1,main!$A$3:$I$56,7,FALSE),main!$K$10:$Q$14,6,FALSE),1,0)</f>
        <v>0</v>
      </c>
      <c r="L191">
        <f>IF(VLOOKUP(L$1,main!$A$3:$I$56,5,FALSE)-VLOOKUP($A191,main!$A$3:$I$56,6,FALSE)&gt;=VLOOKUP(58,main!$A$57:$I$61,4,FALSE)+VLOOKUP(VLOOKUP(L$1,main!$A$3:$I$56,7,FALSE),main!$K$10:$Q$14,6,FALSE),1,0)</f>
        <v>0</v>
      </c>
      <c r="M191">
        <f>IF(VLOOKUP(M$1,main!$A$3:$I$56,5,FALSE)-VLOOKUP($A191,main!$A$3:$I$56,6,FALSE)&gt;=VLOOKUP(58,main!$A$57:$I$61,4,FALSE)+VLOOKUP(VLOOKUP(M$1,main!$A$3:$I$56,7,FALSE),main!$K$10:$Q$14,6,FALSE),1,0)</f>
        <v>0</v>
      </c>
      <c r="N191">
        <f>IF(VLOOKUP(N$1,main!$A$3:$I$56,5,FALSE)-VLOOKUP($A191,main!$A$3:$I$56,6,FALSE)&gt;=VLOOKUP(58,main!$A$57:$I$61,4,FALSE)+VLOOKUP(VLOOKUP(N$1,main!$A$3:$I$56,7,FALSE),main!$K$10:$Q$14,6,FALSE),1,0)</f>
        <v>0</v>
      </c>
      <c r="O191">
        <f>IF(VLOOKUP(O$1,main!$A$3:$I$56,5,FALSE)-VLOOKUP($A191,main!$A$3:$I$56,6,FALSE)&gt;=VLOOKUP(58,main!$A$57:$I$61,4,FALSE)+VLOOKUP(VLOOKUP(O$1,main!$A$3:$I$56,7,FALSE),main!$K$10:$Q$14,6,FALSE),1,0)</f>
        <v>0</v>
      </c>
      <c r="P191">
        <f>IF(VLOOKUP(P$1,main!$A$3:$I$56,5,FALSE)-VLOOKUP($A191,main!$A$3:$I$56,6,FALSE)&gt;=VLOOKUP(58,main!$A$57:$I$61,4,FALSE)+VLOOKUP(VLOOKUP(P$1,main!$A$3:$I$56,7,FALSE),main!$K$10:$Q$14,6,FALSE),1,0)</f>
        <v>0</v>
      </c>
      <c r="Q191">
        <f>IF(VLOOKUP(Q$1,main!$A$3:$I$56,5,FALSE)-VLOOKUP($A191,main!$A$3:$I$56,6,FALSE)&gt;=VLOOKUP(58,main!$A$57:$I$61,4,FALSE)+VLOOKUP(VLOOKUP(Q$1,main!$A$3:$I$56,7,FALSE),main!$K$10:$Q$14,6,FALSE),1,0)</f>
        <v>0</v>
      </c>
      <c r="R191">
        <f>IF(VLOOKUP(R$1,main!$A$3:$I$56,5,FALSE)-VLOOKUP($A191,main!$A$3:$I$56,6,FALSE)&gt;=VLOOKUP(58,main!$A$57:$I$61,4,FALSE)+VLOOKUP(VLOOKUP(R$1,main!$A$3:$I$56,7,FALSE),main!$K$10:$Q$14,6,FALSE),1,0)</f>
        <v>0</v>
      </c>
      <c r="S191">
        <f>IF(VLOOKUP(S$1,main!$A$3:$I$56,5,FALSE)-VLOOKUP($A191,main!$A$3:$I$56,6,FALSE)&gt;=VLOOKUP(58,main!$A$57:$I$61,4,FALSE)+VLOOKUP(VLOOKUP(S$1,main!$A$3:$I$56,7,FALSE),main!$K$10:$Q$14,6,FALSE),1,0)</f>
        <v>0</v>
      </c>
      <c r="T191">
        <f>IF(VLOOKUP(T$1,main!$A$3:$I$56,5,FALSE)-VLOOKUP($A191,main!$A$3:$I$56,6,FALSE)&gt;=VLOOKUP(58,main!$A$57:$I$61,4,FALSE)+VLOOKUP(VLOOKUP(T$1,main!$A$3:$I$56,7,FALSE),main!$K$10:$Q$14,6,FALSE),1,0)</f>
        <v>0</v>
      </c>
      <c r="U191">
        <f>IF(VLOOKUP(U$1,main!$A$3:$I$56,5,FALSE)-VLOOKUP($A191,main!$A$3:$I$56,6,FALSE)&gt;=VLOOKUP(58,main!$A$57:$I$61,4,FALSE)+VLOOKUP(VLOOKUP(U$1,main!$A$3:$I$56,7,FALSE),main!$K$10:$Q$14,6,FALSE),1,0)</f>
        <v>0</v>
      </c>
      <c r="V191">
        <f>IF(VLOOKUP(V$1,main!$A$3:$I$56,5,FALSE)-VLOOKUP($A191,main!$A$3:$I$56,6,FALSE)&gt;=VLOOKUP(58,main!$A$57:$I$61,4,FALSE)+VLOOKUP(VLOOKUP(V$1,main!$A$3:$I$56,7,FALSE),main!$K$10:$Q$14,6,FALSE),1,0)</f>
        <v>0</v>
      </c>
      <c r="W191">
        <f>IF(VLOOKUP(W$1,main!$A$3:$I$56,5,FALSE)-VLOOKUP($A191,main!$A$3:$I$56,6,FALSE)&gt;=VLOOKUP(58,main!$A$57:$I$61,4,FALSE)+VLOOKUP(VLOOKUP(W$1,main!$A$3:$I$56,7,FALSE),main!$K$10:$Q$14,6,FALSE),1,0)</f>
        <v>0</v>
      </c>
      <c r="X191">
        <f>IF(VLOOKUP(X$1,main!$A$3:$I$56,5,FALSE)-VLOOKUP($A191,main!$A$3:$I$56,6,FALSE)&gt;=VLOOKUP(58,main!$A$57:$I$61,4,FALSE)+VLOOKUP(VLOOKUP(X$1,main!$A$3:$I$56,7,FALSE),main!$K$10:$Q$14,6,FALSE),1,0)</f>
        <v>0</v>
      </c>
      <c r="Y191">
        <f>IF(VLOOKUP(Y$1,main!$A$3:$I$56,5,FALSE)-VLOOKUP($A191,main!$A$3:$I$56,6,FALSE)&gt;=VLOOKUP(58,main!$A$57:$I$61,4,FALSE)+VLOOKUP(VLOOKUP(Y$1,main!$A$3:$I$56,7,FALSE),main!$K$10:$Q$14,6,FALSE),1,0)</f>
        <v>0</v>
      </c>
      <c r="Z191">
        <f>IF(VLOOKUP(Z$1,main!$A$3:$I$56,5,FALSE)-VLOOKUP($A191,main!$A$3:$I$56,6,FALSE)&gt;=VLOOKUP(58,main!$A$57:$I$61,4,FALSE)+VLOOKUP(VLOOKUP(Z$1,main!$A$3:$I$56,7,FALSE),main!$K$10:$Q$14,6,FALSE),1,0)</f>
        <v>0</v>
      </c>
      <c r="AA191">
        <f>IF(VLOOKUP(AA$1,main!$A$3:$I$56,5,FALSE)-VLOOKUP($A191,main!$A$3:$I$56,6,FALSE)&gt;=VLOOKUP(58,main!$A$57:$I$61,4,FALSE)+VLOOKUP(VLOOKUP(AA$1,main!$A$3:$I$56,7,FALSE),main!$K$10:$Q$14,6,FALSE),1,0)</f>
        <v>0</v>
      </c>
      <c r="AB191">
        <f>IF(VLOOKUP(AB$1,main!$A$3:$I$56,5,FALSE)-VLOOKUP($A191,main!$A$3:$I$56,6,FALSE)&gt;=VLOOKUP(58,main!$A$57:$I$61,4,FALSE)+VLOOKUP(VLOOKUP(AB$1,main!$A$3:$I$56,7,FALSE),main!$K$10:$Q$14,6,FALSE),1,0)</f>
        <v>0</v>
      </c>
      <c r="AC191">
        <f>IF(VLOOKUP(AC$1,main!$A$3:$I$56,5,FALSE)-VLOOKUP($A191,main!$A$3:$I$56,6,FALSE)&gt;=VLOOKUP(58,main!$A$57:$I$61,4,FALSE)+VLOOKUP(VLOOKUP(AC$1,main!$A$3:$I$56,7,FALSE),main!$K$10:$Q$14,6,FALSE),1,0)</f>
        <v>0</v>
      </c>
      <c r="AD191">
        <f>IF(VLOOKUP(AD$1,main!$A$3:$I$56,5,FALSE)-VLOOKUP($A191,main!$A$3:$I$56,6,FALSE)&gt;=VLOOKUP(58,main!$A$57:$I$61,4,FALSE)+VLOOKUP(VLOOKUP(AD$1,main!$A$3:$I$56,7,FALSE),main!$K$10:$Q$14,6,FALSE),1,0)</f>
        <v>0</v>
      </c>
      <c r="AE191">
        <f>IF(VLOOKUP(AE$1,main!$A$3:$I$56,5,FALSE)-VLOOKUP($A191,main!$A$3:$I$56,6,FALSE)&gt;=VLOOKUP(58,main!$A$57:$I$61,4,FALSE)+VLOOKUP(VLOOKUP(AE$1,main!$A$3:$I$56,7,FALSE),main!$K$10:$Q$14,6,FALSE),1,0)</f>
        <v>0</v>
      </c>
      <c r="AF191">
        <f>IF(VLOOKUP(AF$1,main!$A$3:$I$56,5,FALSE)-VLOOKUP($A191,main!$A$3:$I$56,6,FALSE)&gt;=VLOOKUP(58,main!$A$57:$I$61,4,FALSE)+VLOOKUP(VLOOKUP(AF$1,main!$A$3:$I$56,7,FALSE),main!$K$10:$Q$14,6,FALSE),1,0)</f>
        <v>0</v>
      </c>
      <c r="AG191">
        <f>IF(VLOOKUP(AG$1,main!$A$3:$I$56,5,FALSE)-VLOOKUP($A191,main!$A$3:$I$56,6,FALSE)&gt;=VLOOKUP(58,main!$A$57:$I$61,4,FALSE)+VLOOKUP(VLOOKUP(AG$1,main!$A$3:$I$56,7,FALSE),main!$K$10:$Q$14,6,FALSE),1,0)</f>
        <v>0</v>
      </c>
      <c r="AH191">
        <f>IF(VLOOKUP(AH$1,main!$A$3:$I$56,5,FALSE)-VLOOKUP($A191,main!$A$3:$I$56,6,FALSE)&gt;=VLOOKUP(58,main!$A$57:$I$61,4,FALSE)+VLOOKUP(VLOOKUP(AH$1,main!$A$3:$I$56,7,FALSE),main!$K$10:$Q$14,6,FALSE),1,0)</f>
        <v>0</v>
      </c>
      <c r="AI191">
        <f>IF(VLOOKUP(AI$1,main!$A$3:$I$56,5,FALSE)-VLOOKUP($A191,main!$A$3:$I$56,6,FALSE)&gt;=VLOOKUP(58,main!$A$57:$I$61,4,FALSE)+VLOOKUP(VLOOKUP(AI$1,main!$A$3:$I$56,7,FALSE),main!$K$10:$Q$14,6,FALSE),1,0)</f>
        <v>0</v>
      </c>
      <c r="AJ191">
        <f>IF(VLOOKUP(AJ$1,main!$A$3:$I$56,5,FALSE)-VLOOKUP($A191,main!$A$3:$I$56,6,FALSE)&gt;=VLOOKUP(58,main!$A$57:$I$61,4,FALSE)+VLOOKUP(VLOOKUP(AJ$1,main!$A$3:$I$56,7,FALSE),main!$K$10:$Q$14,6,FALSE),1,0)</f>
        <v>0</v>
      </c>
      <c r="AK191">
        <f>IF(VLOOKUP(AK$1,main!$A$3:$I$56,5,FALSE)-VLOOKUP($A191,main!$A$3:$I$56,6,FALSE)&gt;=VLOOKUP(58,main!$A$57:$I$61,4,FALSE)+VLOOKUP(VLOOKUP(AK$1,main!$A$3:$I$56,7,FALSE),main!$K$10:$Q$14,6,FALSE),1,0)</f>
        <v>0</v>
      </c>
      <c r="AL191">
        <f>IF(VLOOKUP(AL$1,main!$A$3:$I$56,5,FALSE)-VLOOKUP($A191,main!$A$3:$I$56,6,FALSE)&gt;=VLOOKUP(58,main!$A$57:$I$61,4,FALSE)+VLOOKUP(VLOOKUP(AL$1,main!$A$3:$I$56,7,FALSE),main!$K$10:$Q$14,6,FALSE),1,0)</f>
        <v>0</v>
      </c>
      <c r="AM191">
        <f>IF(VLOOKUP(AM$1,main!$A$3:$I$56,5,FALSE)-VLOOKUP($A191,main!$A$3:$I$56,6,FALSE)&gt;=VLOOKUP(58,main!$A$57:$I$61,4,FALSE)+VLOOKUP(VLOOKUP(AM$1,main!$A$3:$I$56,7,FALSE),main!$K$10:$Q$14,6,FALSE),1,0)</f>
        <v>0</v>
      </c>
      <c r="AN191">
        <f>IF(VLOOKUP(AN$1,main!$A$3:$I$56,5,FALSE)-VLOOKUP($A191,main!$A$3:$I$56,6,FALSE)&gt;=VLOOKUP(58,main!$A$57:$I$61,4,FALSE)+VLOOKUP(VLOOKUP(AN$1,main!$A$3:$I$56,7,FALSE),main!$K$10:$Q$14,6,FALSE),1,0)</f>
        <v>0</v>
      </c>
      <c r="AO191">
        <f>IF(VLOOKUP(AO$1,main!$A$3:$I$56,5,FALSE)-VLOOKUP($A191,main!$A$3:$I$56,6,FALSE)&gt;=VLOOKUP(58,main!$A$57:$I$61,4,FALSE)+VLOOKUP(VLOOKUP(AO$1,main!$A$3:$I$56,7,FALSE),main!$K$10:$Q$14,6,FALSE),1,0)</f>
        <v>0</v>
      </c>
      <c r="AP191">
        <f>IF(VLOOKUP(AP$1,main!$A$3:$I$56,5,FALSE)-VLOOKUP($A191,main!$A$3:$I$56,6,FALSE)&gt;=VLOOKUP(58,main!$A$57:$I$61,4,FALSE)+VLOOKUP(VLOOKUP(AP$1,main!$A$3:$I$56,7,FALSE),main!$K$10:$Q$14,6,FALSE),1,0)</f>
        <v>0</v>
      </c>
      <c r="AQ191">
        <f>IF(VLOOKUP(AQ$1,main!$A$3:$I$56,5,FALSE)-VLOOKUP($A191,main!$A$3:$I$56,6,FALSE)&gt;=VLOOKUP(58,main!$A$57:$I$61,4,FALSE)+VLOOKUP(VLOOKUP(AQ$1,main!$A$3:$I$56,7,FALSE),main!$K$10:$Q$14,6,FALSE),1,0)</f>
        <v>0</v>
      </c>
      <c r="AR191">
        <f>IF(VLOOKUP(AR$1,main!$A$3:$I$56,5,FALSE)-VLOOKUP($A191,main!$A$3:$I$56,6,FALSE)&gt;=VLOOKUP(58,main!$A$57:$I$61,4,FALSE)+VLOOKUP(VLOOKUP(AR$1,main!$A$3:$I$56,7,FALSE),main!$K$10:$Q$14,6,FALSE),1,0)</f>
        <v>0</v>
      </c>
      <c r="AS191">
        <f>IF(VLOOKUP(AS$1,main!$A$3:$I$56,5,FALSE)-VLOOKUP($A191,main!$A$3:$I$56,6,FALSE)&gt;=VLOOKUP(58,main!$A$57:$I$61,4,FALSE)+VLOOKUP(VLOOKUP(AS$1,main!$A$3:$I$56,7,FALSE),main!$K$10:$Q$14,6,FALSE),1,0)</f>
        <v>0</v>
      </c>
      <c r="AT191">
        <f>IF(VLOOKUP(AT$1,main!$A$3:$I$56,5,FALSE)-VLOOKUP($A191,main!$A$3:$I$56,6,FALSE)&gt;=VLOOKUP(58,main!$A$57:$I$61,4,FALSE)+VLOOKUP(VLOOKUP(AT$1,main!$A$3:$I$56,7,FALSE),main!$K$10:$Q$14,6,FALSE),1,0)</f>
        <v>0</v>
      </c>
      <c r="AU191">
        <f>IF(VLOOKUP(AU$1,main!$A$3:$I$56,5,FALSE)-VLOOKUP($A191,main!$A$3:$I$56,6,FALSE)&gt;=VLOOKUP(58,main!$A$57:$I$61,4,FALSE)+VLOOKUP(VLOOKUP(AU$1,main!$A$3:$I$56,7,FALSE),main!$K$10:$Q$14,6,FALSE),1,0)</f>
        <v>0</v>
      </c>
      <c r="AV191">
        <f>IF(VLOOKUP(AV$1,main!$A$3:$I$56,5,FALSE)-VLOOKUP($A191,main!$A$3:$I$56,6,FALSE)&gt;=VLOOKUP(58,main!$A$57:$I$61,4,FALSE)+VLOOKUP(VLOOKUP(AV$1,main!$A$3:$I$56,7,FALSE),main!$K$10:$Q$14,6,FALSE),1,0)</f>
        <v>0</v>
      </c>
      <c r="AW191">
        <f>IF(VLOOKUP(AW$1,main!$A$3:$I$56,5,FALSE)-VLOOKUP($A191,main!$A$3:$I$56,6,FALSE)&gt;=VLOOKUP(58,main!$A$57:$I$61,4,FALSE)+VLOOKUP(VLOOKUP(AW$1,main!$A$3:$I$56,7,FALSE),main!$K$10:$Q$14,6,FALSE),1,0)</f>
        <v>0</v>
      </c>
      <c r="AX191">
        <f>IF(VLOOKUP(AX$1,main!$A$3:$I$56,5,FALSE)-VLOOKUP($A191,main!$A$3:$I$56,6,FALSE)&gt;=VLOOKUP(58,main!$A$57:$I$61,4,FALSE)+VLOOKUP(VLOOKUP(AX$1,main!$A$3:$I$56,7,FALSE),main!$K$10:$Q$14,6,FALSE),1,0)</f>
        <v>0</v>
      </c>
      <c r="AY191">
        <f>IF(VLOOKUP(AY$1,main!$A$3:$I$56,5,FALSE)-VLOOKUP($A191,main!$A$3:$I$56,6,FALSE)&gt;=VLOOKUP(58,main!$A$57:$I$61,4,FALSE)+VLOOKUP(VLOOKUP(AY$1,main!$A$3:$I$56,7,FALSE),main!$K$10:$Q$14,6,FALSE),1,0)</f>
        <v>0</v>
      </c>
      <c r="AZ191">
        <f>IF(VLOOKUP(AZ$1,main!$A$3:$I$56,5,FALSE)-VLOOKUP($A191,main!$A$3:$I$56,6,FALSE)&gt;=VLOOKUP(58,main!$A$57:$I$61,4,FALSE)+VLOOKUP(VLOOKUP(AZ$1,main!$A$3:$I$56,7,FALSE),main!$K$10:$Q$14,6,FALSE),1,0)</f>
        <v>0</v>
      </c>
      <c r="BA191">
        <f>IF(VLOOKUP(BA$1,main!$A$3:$I$56,5,FALSE)-VLOOKUP($A191,main!$A$3:$I$56,6,FALSE)&gt;=VLOOKUP(58,main!$A$57:$I$61,4,FALSE)+VLOOKUP(VLOOKUP(BA$1,main!$A$3:$I$56,7,FALSE),main!$K$10:$Q$14,6,FALSE),1,0)</f>
        <v>0</v>
      </c>
      <c r="BB191">
        <f>IF(VLOOKUP(BB$1,main!$A$3:$I$56,5,FALSE)-VLOOKUP($A191,main!$A$3:$I$56,6,FALSE)&gt;=VLOOKUP(58,main!$A$57:$I$61,4,FALSE)+VLOOKUP(VLOOKUP(BB$1,main!$A$3:$I$56,7,FALSE),main!$K$10:$Q$14,6,FALSE),1,0)</f>
        <v>0</v>
      </c>
      <c r="BC191">
        <f>IF(VLOOKUP(BC$1,main!$A$3:$I$56,5,FALSE)-VLOOKUP($A191,main!$A$3:$I$56,6,FALSE)&gt;=VLOOKUP(58,main!$A$57:$I$61,4,FALSE)+VLOOKUP(VLOOKUP(BC$1,main!$A$3:$I$56,7,FALSE),main!$K$10:$Q$14,6,FALSE),1,0)</f>
        <v>0</v>
      </c>
      <c r="BD191">
        <f>IF(VLOOKUP(BD$1,main!$A$3:$I$56,5,FALSE)-VLOOKUP($A191,main!$A$3:$I$56,6,FALSE)&gt;=VLOOKUP(58,main!$A$57:$I$61,4,FALSE)+VLOOKUP(VLOOKUP(BD$1,main!$A$3:$I$56,7,FALSE),main!$K$10:$Q$14,6,FALSE),1,0)</f>
        <v>0</v>
      </c>
    </row>
    <row r="192" spans="1:56" x14ac:dyDescent="0.25">
      <c r="A192">
        <f t="shared" si="3"/>
        <v>25</v>
      </c>
      <c r="B192">
        <v>0</v>
      </c>
      <c r="C192">
        <f>IF(VLOOKUP(C$1,main!$A$3:$I$56,5,FALSE)-VLOOKUP($A192,main!$A$3:$I$56,6,FALSE)&gt;=VLOOKUP(58,main!$A$57:$I$61,4,FALSE)+VLOOKUP(VLOOKUP(C$1,main!$A$3:$I$56,7,FALSE),main!$K$10:$Q$14,6,FALSE),1,0)</f>
        <v>0</v>
      </c>
      <c r="D192">
        <f>IF(VLOOKUP(D$1,main!$A$3:$I$56,5,FALSE)-VLOOKUP($A192,main!$A$3:$I$56,6,FALSE)&gt;=VLOOKUP(58,main!$A$57:$I$61,4,FALSE)+VLOOKUP(VLOOKUP(D$1,main!$A$3:$I$56,7,FALSE),main!$K$10:$Q$14,6,FALSE),1,0)</f>
        <v>0</v>
      </c>
      <c r="E192">
        <f>IF(VLOOKUP(E$1,main!$A$3:$I$56,5,FALSE)-VLOOKUP($A192,main!$A$3:$I$56,6,FALSE)&gt;=VLOOKUP(58,main!$A$57:$I$61,4,FALSE)+VLOOKUP(VLOOKUP(E$1,main!$A$3:$I$56,7,FALSE),main!$K$10:$Q$14,6,FALSE),1,0)</f>
        <v>0</v>
      </c>
      <c r="F192">
        <f>IF(VLOOKUP(F$1,main!$A$3:$I$56,5,FALSE)-VLOOKUP($A192,main!$A$3:$I$56,6,FALSE)&gt;=VLOOKUP(58,main!$A$57:$I$61,4,FALSE)+VLOOKUP(VLOOKUP(F$1,main!$A$3:$I$56,7,FALSE),main!$K$10:$Q$14,6,FALSE),1,0)</f>
        <v>0</v>
      </c>
      <c r="G192">
        <f>IF(VLOOKUP(G$1,main!$A$3:$I$56,5,FALSE)-VLOOKUP($A192,main!$A$3:$I$56,6,FALSE)&gt;=VLOOKUP(58,main!$A$57:$I$61,4,FALSE)+VLOOKUP(VLOOKUP(G$1,main!$A$3:$I$56,7,FALSE),main!$K$10:$Q$14,6,FALSE),1,0)</f>
        <v>0</v>
      </c>
      <c r="H192">
        <f>IF(VLOOKUP(H$1,main!$A$3:$I$56,5,FALSE)-VLOOKUP($A192,main!$A$3:$I$56,6,FALSE)&gt;=VLOOKUP(58,main!$A$57:$I$61,4,FALSE)+VLOOKUP(VLOOKUP(H$1,main!$A$3:$I$56,7,FALSE),main!$K$10:$Q$14,6,FALSE),1,0)</f>
        <v>0</v>
      </c>
      <c r="I192">
        <f>IF(VLOOKUP(I$1,main!$A$3:$I$56,5,FALSE)-VLOOKUP($A192,main!$A$3:$I$56,6,FALSE)&gt;=VLOOKUP(58,main!$A$57:$I$61,4,FALSE)+VLOOKUP(VLOOKUP(I$1,main!$A$3:$I$56,7,FALSE),main!$K$10:$Q$14,6,FALSE),1,0)</f>
        <v>0</v>
      </c>
      <c r="J192">
        <f>IF(VLOOKUP(J$1,main!$A$3:$I$56,5,FALSE)-VLOOKUP($A192,main!$A$3:$I$56,6,FALSE)&gt;=VLOOKUP(58,main!$A$57:$I$61,4,FALSE)+VLOOKUP(VLOOKUP(J$1,main!$A$3:$I$56,7,FALSE),main!$K$10:$Q$14,6,FALSE),1,0)</f>
        <v>0</v>
      </c>
      <c r="K192">
        <f>IF(VLOOKUP(K$1,main!$A$3:$I$56,5,FALSE)-VLOOKUP($A192,main!$A$3:$I$56,6,FALSE)&gt;=VLOOKUP(58,main!$A$57:$I$61,4,FALSE)+VLOOKUP(VLOOKUP(K$1,main!$A$3:$I$56,7,FALSE),main!$K$10:$Q$14,6,FALSE),1,0)</f>
        <v>0</v>
      </c>
      <c r="L192">
        <f>IF(VLOOKUP(L$1,main!$A$3:$I$56,5,FALSE)-VLOOKUP($A192,main!$A$3:$I$56,6,FALSE)&gt;=VLOOKUP(58,main!$A$57:$I$61,4,FALSE)+VLOOKUP(VLOOKUP(L$1,main!$A$3:$I$56,7,FALSE),main!$K$10:$Q$14,6,FALSE),1,0)</f>
        <v>0</v>
      </c>
      <c r="M192">
        <f>IF(VLOOKUP(M$1,main!$A$3:$I$56,5,FALSE)-VLOOKUP($A192,main!$A$3:$I$56,6,FALSE)&gt;=VLOOKUP(58,main!$A$57:$I$61,4,FALSE)+VLOOKUP(VLOOKUP(M$1,main!$A$3:$I$56,7,FALSE),main!$K$10:$Q$14,6,FALSE),1,0)</f>
        <v>0</v>
      </c>
      <c r="N192">
        <f>IF(VLOOKUP(N$1,main!$A$3:$I$56,5,FALSE)-VLOOKUP($A192,main!$A$3:$I$56,6,FALSE)&gt;=VLOOKUP(58,main!$A$57:$I$61,4,FALSE)+VLOOKUP(VLOOKUP(N$1,main!$A$3:$I$56,7,FALSE),main!$K$10:$Q$14,6,FALSE),1,0)</f>
        <v>0</v>
      </c>
      <c r="O192">
        <f>IF(VLOOKUP(O$1,main!$A$3:$I$56,5,FALSE)-VLOOKUP($A192,main!$A$3:$I$56,6,FALSE)&gt;=VLOOKUP(58,main!$A$57:$I$61,4,FALSE)+VLOOKUP(VLOOKUP(O$1,main!$A$3:$I$56,7,FALSE),main!$K$10:$Q$14,6,FALSE),1,0)</f>
        <v>0</v>
      </c>
      <c r="P192">
        <f>IF(VLOOKUP(P$1,main!$A$3:$I$56,5,FALSE)-VLOOKUP($A192,main!$A$3:$I$56,6,FALSE)&gt;=VLOOKUP(58,main!$A$57:$I$61,4,FALSE)+VLOOKUP(VLOOKUP(P$1,main!$A$3:$I$56,7,FALSE),main!$K$10:$Q$14,6,FALSE),1,0)</f>
        <v>0</v>
      </c>
      <c r="Q192">
        <f>IF(VLOOKUP(Q$1,main!$A$3:$I$56,5,FALSE)-VLOOKUP($A192,main!$A$3:$I$56,6,FALSE)&gt;=VLOOKUP(58,main!$A$57:$I$61,4,FALSE)+VLOOKUP(VLOOKUP(Q$1,main!$A$3:$I$56,7,FALSE),main!$K$10:$Q$14,6,FALSE),1,0)</f>
        <v>0</v>
      </c>
      <c r="R192">
        <f>IF(VLOOKUP(R$1,main!$A$3:$I$56,5,FALSE)-VLOOKUP($A192,main!$A$3:$I$56,6,FALSE)&gt;=VLOOKUP(58,main!$A$57:$I$61,4,FALSE)+VLOOKUP(VLOOKUP(R$1,main!$A$3:$I$56,7,FALSE),main!$K$10:$Q$14,6,FALSE),1,0)</f>
        <v>0</v>
      </c>
      <c r="S192">
        <f>IF(VLOOKUP(S$1,main!$A$3:$I$56,5,FALSE)-VLOOKUP($A192,main!$A$3:$I$56,6,FALSE)&gt;=VLOOKUP(58,main!$A$57:$I$61,4,FALSE)+VLOOKUP(VLOOKUP(S$1,main!$A$3:$I$56,7,FALSE),main!$K$10:$Q$14,6,FALSE),1,0)</f>
        <v>0</v>
      </c>
      <c r="T192">
        <f>IF(VLOOKUP(T$1,main!$A$3:$I$56,5,FALSE)-VLOOKUP($A192,main!$A$3:$I$56,6,FALSE)&gt;=VLOOKUP(58,main!$A$57:$I$61,4,FALSE)+VLOOKUP(VLOOKUP(T$1,main!$A$3:$I$56,7,FALSE),main!$K$10:$Q$14,6,FALSE),1,0)</f>
        <v>0</v>
      </c>
      <c r="U192">
        <f>IF(VLOOKUP(U$1,main!$A$3:$I$56,5,FALSE)-VLOOKUP($A192,main!$A$3:$I$56,6,FALSE)&gt;=VLOOKUP(58,main!$A$57:$I$61,4,FALSE)+VLOOKUP(VLOOKUP(U$1,main!$A$3:$I$56,7,FALSE),main!$K$10:$Q$14,6,FALSE),1,0)</f>
        <v>0</v>
      </c>
      <c r="V192">
        <f>IF(VLOOKUP(V$1,main!$A$3:$I$56,5,FALSE)-VLOOKUP($A192,main!$A$3:$I$56,6,FALSE)&gt;=VLOOKUP(58,main!$A$57:$I$61,4,FALSE)+VLOOKUP(VLOOKUP(V$1,main!$A$3:$I$56,7,FALSE),main!$K$10:$Q$14,6,FALSE),1,0)</f>
        <v>0</v>
      </c>
      <c r="W192">
        <f>IF(VLOOKUP(W$1,main!$A$3:$I$56,5,FALSE)-VLOOKUP($A192,main!$A$3:$I$56,6,FALSE)&gt;=VLOOKUP(58,main!$A$57:$I$61,4,FALSE)+VLOOKUP(VLOOKUP(W$1,main!$A$3:$I$56,7,FALSE),main!$K$10:$Q$14,6,FALSE),1,0)</f>
        <v>0</v>
      </c>
      <c r="X192">
        <f>IF(VLOOKUP(X$1,main!$A$3:$I$56,5,FALSE)-VLOOKUP($A192,main!$A$3:$I$56,6,FALSE)&gt;=VLOOKUP(58,main!$A$57:$I$61,4,FALSE)+VLOOKUP(VLOOKUP(X$1,main!$A$3:$I$56,7,FALSE),main!$K$10:$Q$14,6,FALSE),1,0)</f>
        <v>0</v>
      </c>
      <c r="Y192">
        <f>IF(VLOOKUP(Y$1,main!$A$3:$I$56,5,FALSE)-VLOOKUP($A192,main!$A$3:$I$56,6,FALSE)&gt;=VLOOKUP(58,main!$A$57:$I$61,4,FALSE)+VLOOKUP(VLOOKUP(Y$1,main!$A$3:$I$56,7,FALSE),main!$K$10:$Q$14,6,FALSE),1,0)</f>
        <v>0</v>
      </c>
      <c r="Z192">
        <f>IF(VLOOKUP(Z$1,main!$A$3:$I$56,5,FALSE)-VLOOKUP($A192,main!$A$3:$I$56,6,FALSE)&gt;=VLOOKUP(58,main!$A$57:$I$61,4,FALSE)+VLOOKUP(VLOOKUP(Z$1,main!$A$3:$I$56,7,FALSE),main!$K$10:$Q$14,6,FALSE),1,0)</f>
        <v>0</v>
      </c>
      <c r="AA192">
        <f>IF(VLOOKUP(AA$1,main!$A$3:$I$56,5,FALSE)-VLOOKUP($A192,main!$A$3:$I$56,6,FALSE)&gt;=VLOOKUP(58,main!$A$57:$I$61,4,FALSE)+VLOOKUP(VLOOKUP(AA$1,main!$A$3:$I$56,7,FALSE),main!$K$10:$Q$14,6,FALSE),1,0)</f>
        <v>0</v>
      </c>
      <c r="AB192">
        <f>IF(VLOOKUP(AB$1,main!$A$3:$I$56,5,FALSE)-VLOOKUP($A192,main!$A$3:$I$56,6,FALSE)&gt;=VLOOKUP(58,main!$A$57:$I$61,4,FALSE)+VLOOKUP(VLOOKUP(AB$1,main!$A$3:$I$56,7,FALSE),main!$K$10:$Q$14,6,FALSE),1,0)</f>
        <v>0</v>
      </c>
      <c r="AC192">
        <f>IF(VLOOKUP(AC$1,main!$A$3:$I$56,5,FALSE)-VLOOKUP($A192,main!$A$3:$I$56,6,FALSE)&gt;=VLOOKUP(58,main!$A$57:$I$61,4,FALSE)+VLOOKUP(VLOOKUP(AC$1,main!$A$3:$I$56,7,FALSE),main!$K$10:$Q$14,6,FALSE),1,0)</f>
        <v>0</v>
      </c>
      <c r="AD192">
        <f>IF(VLOOKUP(AD$1,main!$A$3:$I$56,5,FALSE)-VLOOKUP($A192,main!$A$3:$I$56,6,FALSE)&gt;=VLOOKUP(58,main!$A$57:$I$61,4,FALSE)+VLOOKUP(VLOOKUP(AD$1,main!$A$3:$I$56,7,FALSE),main!$K$10:$Q$14,6,FALSE),1,0)</f>
        <v>0</v>
      </c>
      <c r="AE192">
        <f>IF(VLOOKUP(AE$1,main!$A$3:$I$56,5,FALSE)-VLOOKUP($A192,main!$A$3:$I$56,6,FALSE)&gt;=VLOOKUP(58,main!$A$57:$I$61,4,FALSE)+VLOOKUP(VLOOKUP(AE$1,main!$A$3:$I$56,7,FALSE),main!$K$10:$Q$14,6,FALSE),1,0)</f>
        <v>0</v>
      </c>
      <c r="AF192">
        <f>IF(VLOOKUP(AF$1,main!$A$3:$I$56,5,FALSE)-VLOOKUP($A192,main!$A$3:$I$56,6,FALSE)&gt;=VLOOKUP(58,main!$A$57:$I$61,4,FALSE)+VLOOKUP(VLOOKUP(AF$1,main!$A$3:$I$56,7,FALSE),main!$K$10:$Q$14,6,FALSE),1,0)</f>
        <v>0</v>
      </c>
      <c r="AG192">
        <f>IF(VLOOKUP(AG$1,main!$A$3:$I$56,5,FALSE)-VLOOKUP($A192,main!$A$3:$I$56,6,FALSE)&gt;=VLOOKUP(58,main!$A$57:$I$61,4,FALSE)+VLOOKUP(VLOOKUP(AG$1,main!$A$3:$I$56,7,FALSE),main!$K$10:$Q$14,6,FALSE),1,0)</f>
        <v>0</v>
      </c>
      <c r="AH192">
        <f>IF(VLOOKUP(AH$1,main!$A$3:$I$56,5,FALSE)-VLOOKUP($A192,main!$A$3:$I$56,6,FALSE)&gt;=VLOOKUP(58,main!$A$57:$I$61,4,FALSE)+VLOOKUP(VLOOKUP(AH$1,main!$A$3:$I$56,7,FALSE),main!$K$10:$Q$14,6,FALSE),1,0)</f>
        <v>0</v>
      </c>
      <c r="AI192">
        <f>IF(VLOOKUP(AI$1,main!$A$3:$I$56,5,FALSE)-VLOOKUP($A192,main!$A$3:$I$56,6,FALSE)&gt;=VLOOKUP(58,main!$A$57:$I$61,4,FALSE)+VLOOKUP(VLOOKUP(AI$1,main!$A$3:$I$56,7,FALSE),main!$K$10:$Q$14,6,FALSE),1,0)</f>
        <v>0</v>
      </c>
      <c r="AJ192">
        <f>IF(VLOOKUP(AJ$1,main!$A$3:$I$56,5,FALSE)-VLOOKUP($A192,main!$A$3:$I$56,6,FALSE)&gt;=VLOOKUP(58,main!$A$57:$I$61,4,FALSE)+VLOOKUP(VLOOKUP(AJ$1,main!$A$3:$I$56,7,FALSE),main!$K$10:$Q$14,6,FALSE),1,0)</f>
        <v>0</v>
      </c>
      <c r="AK192">
        <f>IF(VLOOKUP(AK$1,main!$A$3:$I$56,5,FALSE)-VLOOKUP($A192,main!$A$3:$I$56,6,FALSE)&gt;=VLOOKUP(58,main!$A$57:$I$61,4,FALSE)+VLOOKUP(VLOOKUP(AK$1,main!$A$3:$I$56,7,FALSE),main!$K$10:$Q$14,6,FALSE),1,0)</f>
        <v>0</v>
      </c>
      <c r="AL192">
        <f>IF(VLOOKUP(AL$1,main!$A$3:$I$56,5,FALSE)-VLOOKUP($A192,main!$A$3:$I$56,6,FALSE)&gt;=VLOOKUP(58,main!$A$57:$I$61,4,FALSE)+VLOOKUP(VLOOKUP(AL$1,main!$A$3:$I$56,7,FALSE),main!$K$10:$Q$14,6,FALSE),1,0)</f>
        <v>0</v>
      </c>
      <c r="AM192">
        <f>IF(VLOOKUP(AM$1,main!$A$3:$I$56,5,FALSE)-VLOOKUP($A192,main!$A$3:$I$56,6,FALSE)&gt;=VLOOKUP(58,main!$A$57:$I$61,4,FALSE)+VLOOKUP(VLOOKUP(AM$1,main!$A$3:$I$56,7,FALSE),main!$K$10:$Q$14,6,FALSE),1,0)</f>
        <v>0</v>
      </c>
      <c r="AN192">
        <f>IF(VLOOKUP(AN$1,main!$A$3:$I$56,5,FALSE)-VLOOKUP($A192,main!$A$3:$I$56,6,FALSE)&gt;=VLOOKUP(58,main!$A$57:$I$61,4,FALSE)+VLOOKUP(VLOOKUP(AN$1,main!$A$3:$I$56,7,FALSE),main!$K$10:$Q$14,6,FALSE),1,0)</f>
        <v>0</v>
      </c>
      <c r="AO192">
        <f>IF(VLOOKUP(AO$1,main!$A$3:$I$56,5,FALSE)-VLOOKUP($A192,main!$A$3:$I$56,6,FALSE)&gt;=VLOOKUP(58,main!$A$57:$I$61,4,FALSE)+VLOOKUP(VLOOKUP(AO$1,main!$A$3:$I$56,7,FALSE),main!$K$10:$Q$14,6,FALSE),1,0)</f>
        <v>0</v>
      </c>
      <c r="AP192">
        <f>IF(VLOOKUP(AP$1,main!$A$3:$I$56,5,FALSE)-VLOOKUP($A192,main!$A$3:$I$56,6,FALSE)&gt;=VLOOKUP(58,main!$A$57:$I$61,4,FALSE)+VLOOKUP(VLOOKUP(AP$1,main!$A$3:$I$56,7,FALSE),main!$K$10:$Q$14,6,FALSE),1,0)</f>
        <v>0</v>
      </c>
      <c r="AQ192">
        <f>IF(VLOOKUP(AQ$1,main!$A$3:$I$56,5,FALSE)-VLOOKUP($A192,main!$A$3:$I$56,6,FALSE)&gt;=VLOOKUP(58,main!$A$57:$I$61,4,FALSE)+VLOOKUP(VLOOKUP(AQ$1,main!$A$3:$I$56,7,FALSE),main!$K$10:$Q$14,6,FALSE),1,0)</f>
        <v>0</v>
      </c>
      <c r="AR192">
        <f>IF(VLOOKUP(AR$1,main!$A$3:$I$56,5,FALSE)-VLOOKUP($A192,main!$A$3:$I$56,6,FALSE)&gt;=VLOOKUP(58,main!$A$57:$I$61,4,FALSE)+VLOOKUP(VLOOKUP(AR$1,main!$A$3:$I$56,7,FALSE),main!$K$10:$Q$14,6,FALSE),1,0)</f>
        <v>0</v>
      </c>
      <c r="AS192">
        <f>IF(VLOOKUP(AS$1,main!$A$3:$I$56,5,FALSE)-VLOOKUP($A192,main!$A$3:$I$56,6,FALSE)&gt;=VLOOKUP(58,main!$A$57:$I$61,4,FALSE)+VLOOKUP(VLOOKUP(AS$1,main!$A$3:$I$56,7,FALSE),main!$K$10:$Q$14,6,FALSE),1,0)</f>
        <v>0</v>
      </c>
      <c r="AT192">
        <f>IF(VLOOKUP(AT$1,main!$A$3:$I$56,5,FALSE)-VLOOKUP($A192,main!$A$3:$I$56,6,FALSE)&gt;=VLOOKUP(58,main!$A$57:$I$61,4,FALSE)+VLOOKUP(VLOOKUP(AT$1,main!$A$3:$I$56,7,FALSE),main!$K$10:$Q$14,6,FALSE),1,0)</f>
        <v>0</v>
      </c>
      <c r="AU192">
        <f>IF(VLOOKUP(AU$1,main!$A$3:$I$56,5,FALSE)-VLOOKUP($A192,main!$A$3:$I$56,6,FALSE)&gt;=VLOOKUP(58,main!$A$57:$I$61,4,FALSE)+VLOOKUP(VLOOKUP(AU$1,main!$A$3:$I$56,7,FALSE),main!$K$10:$Q$14,6,FALSE),1,0)</f>
        <v>0</v>
      </c>
      <c r="AV192">
        <f>IF(VLOOKUP(AV$1,main!$A$3:$I$56,5,FALSE)-VLOOKUP($A192,main!$A$3:$I$56,6,FALSE)&gt;=VLOOKUP(58,main!$A$57:$I$61,4,FALSE)+VLOOKUP(VLOOKUP(AV$1,main!$A$3:$I$56,7,FALSE),main!$K$10:$Q$14,6,FALSE),1,0)</f>
        <v>0</v>
      </c>
      <c r="AW192">
        <f>IF(VLOOKUP(AW$1,main!$A$3:$I$56,5,FALSE)-VLOOKUP($A192,main!$A$3:$I$56,6,FALSE)&gt;=VLOOKUP(58,main!$A$57:$I$61,4,FALSE)+VLOOKUP(VLOOKUP(AW$1,main!$A$3:$I$56,7,FALSE),main!$K$10:$Q$14,6,FALSE),1,0)</f>
        <v>0</v>
      </c>
      <c r="AX192">
        <f>IF(VLOOKUP(AX$1,main!$A$3:$I$56,5,FALSE)-VLOOKUP($A192,main!$A$3:$I$56,6,FALSE)&gt;=VLOOKUP(58,main!$A$57:$I$61,4,FALSE)+VLOOKUP(VLOOKUP(AX$1,main!$A$3:$I$56,7,FALSE),main!$K$10:$Q$14,6,FALSE),1,0)</f>
        <v>0</v>
      </c>
      <c r="AY192">
        <f>IF(VLOOKUP(AY$1,main!$A$3:$I$56,5,FALSE)-VLOOKUP($A192,main!$A$3:$I$56,6,FALSE)&gt;=VLOOKUP(58,main!$A$57:$I$61,4,FALSE)+VLOOKUP(VLOOKUP(AY$1,main!$A$3:$I$56,7,FALSE),main!$K$10:$Q$14,6,FALSE),1,0)</f>
        <v>0</v>
      </c>
      <c r="AZ192">
        <f>IF(VLOOKUP(AZ$1,main!$A$3:$I$56,5,FALSE)-VLOOKUP($A192,main!$A$3:$I$56,6,FALSE)&gt;=VLOOKUP(58,main!$A$57:$I$61,4,FALSE)+VLOOKUP(VLOOKUP(AZ$1,main!$A$3:$I$56,7,FALSE),main!$K$10:$Q$14,6,FALSE),1,0)</f>
        <v>0</v>
      </c>
      <c r="BA192">
        <f>IF(VLOOKUP(BA$1,main!$A$3:$I$56,5,FALSE)-VLOOKUP($A192,main!$A$3:$I$56,6,FALSE)&gt;=VLOOKUP(58,main!$A$57:$I$61,4,FALSE)+VLOOKUP(VLOOKUP(BA$1,main!$A$3:$I$56,7,FALSE),main!$K$10:$Q$14,6,FALSE),1,0)</f>
        <v>0</v>
      </c>
      <c r="BB192">
        <f>IF(VLOOKUP(BB$1,main!$A$3:$I$56,5,FALSE)-VLOOKUP($A192,main!$A$3:$I$56,6,FALSE)&gt;=VLOOKUP(58,main!$A$57:$I$61,4,FALSE)+VLOOKUP(VLOOKUP(BB$1,main!$A$3:$I$56,7,FALSE),main!$K$10:$Q$14,6,FALSE),1,0)</f>
        <v>0</v>
      </c>
      <c r="BC192">
        <f>IF(VLOOKUP(BC$1,main!$A$3:$I$56,5,FALSE)-VLOOKUP($A192,main!$A$3:$I$56,6,FALSE)&gt;=VLOOKUP(58,main!$A$57:$I$61,4,FALSE)+VLOOKUP(VLOOKUP(BC$1,main!$A$3:$I$56,7,FALSE),main!$K$10:$Q$14,6,FALSE),1,0)</f>
        <v>0</v>
      </c>
      <c r="BD192">
        <f>IF(VLOOKUP(BD$1,main!$A$3:$I$56,5,FALSE)-VLOOKUP($A192,main!$A$3:$I$56,6,FALSE)&gt;=VLOOKUP(58,main!$A$57:$I$61,4,FALSE)+VLOOKUP(VLOOKUP(BD$1,main!$A$3:$I$56,7,FALSE),main!$K$10:$Q$14,6,FALSE),1,0)</f>
        <v>0</v>
      </c>
    </row>
    <row r="193" spans="1:56" x14ac:dyDescent="0.25">
      <c r="A193">
        <f t="shared" si="3"/>
        <v>26</v>
      </c>
      <c r="B193">
        <v>0</v>
      </c>
      <c r="C193">
        <f>IF(VLOOKUP(C$1,main!$A$3:$I$56,5,FALSE)-VLOOKUP($A193,main!$A$3:$I$56,6,FALSE)&gt;=VLOOKUP(58,main!$A$57:$I$61,4,FALSE)+VLOOKUP(VLOOKUP(C$1,main!$A$3:$I$56,7,FALSE),main!$K$10:$Q$14,6,FALSE),1,0)</f>
        <v>0</v>
      </c>
      <c r="D193">
        <f>IF(VLOOKUP(D$1,main!$A$3:$I$56,5,FALSE)-VLOOKUP($A193,main!$A$3:$I$56,6,FALSE)&gt;=VLOOKUP(58,main!$A$57:$I$61,4,FALSE)+VLOOKUP(VLOOKUP(D$1,main!$A$3:$I$56,7,FALSE),main!$K$10:$Q$14,6,FALSE),1,0)</f>
        <v>0</v>
      </c>
      <c r="E193">
        <f>IF(VLOOKUP(E$1,main!$A$3:$I$56,5,FALSE)-VLOOKUP($A193,main!$A$3:$I$56,6,FALSE)&gt;=VLOOKUP(58,main!$A$57:$I$61,4,FALSE)+VLOOKUP(VLOOKUP(E$1,main!$A$3:$I$56,7,FALSE),main!$K$10:$Q$14,6,FALSE),1,0)</f>
        <v>0</v>
      </c>
      <c r="F193">
        <f>IF(VLOOKUP(F$1,main!$A$3:$I$56,5,FALSE)-VLOOKUP($A193,main!$A$3:$I$56,6,FALSE)&gt;=VLOOKUP(58,main!$A$57:$I$61,4,FALSE)+VLOOKUP(VLOOKUP(F$1,main!$A$3:$I$56,7,FALSE),main!$K$10:$Q$14,6,FALSE),1,0)</f>
        <v>0</v>
      </c>
      <c r="G193">
        <f>IF(VLOOKUP(G$1,main!$A$3:$I$56,5,FALSE)-VLOOKUP($A193,main!$A$3:$I$56,6,FALSE)&gt;=VLOOKUP(58,main!$A$57:$I$61,4,FALSE)+VLOOKUP(VLOOKUP(G$1,main!$A$3:$I$56,7,FALSE),main!$K$10:$Q$14,6,FALSE),1,0)</f>
        <v>0</v>
      </c>
      <c r="H193">
        <f>IF(VLOOKUP(H$1,main!$A$3:$I$56,5,FALSE)-VLOOKUP($A193,main!$A$3:$I$56,6,FALSE)&gt;=VLOOKUP(58,main!$A$57:$I$61,4,FALSE)+VLOOKUP(VLOOKUP(H$1,main!$A$3:$I$56,7,FALSE),main!$K$10:$Q$14,6,FALSE),1,0)</f>
        <v>0</v>
      </c>
      <c r="I193">
        <f>IF(VLOOKUP(I$1,main!$A$3:$I$56,5,FALSE)-VLOOKUP($A193,main!$A$3:$I$56,6,FALSE)&gt;=VLOOKUP(58,main!$A$57:$I$61,4,FALSE)+VLOOKUP(VLOOKUP(I$1,main!$A$3:$I$56,7,FALSE),main!$K$10:$Q$14,6,FALSE),1,0)</f>
        <v>0</v>
      </c>
      <c r="J193">
        <f>IF(VLOOKUP(J$1,main!$A$3:$I$56,5,FALSE)-VLOOKUP($A193,main!$A$3:$I$56,6,FALSE)&gt;=VLOOKUP(58,main!$A$57:$I$61,4,FALSE)+VLOOKUP(VLOOKUP(J$1,main!$A$3:$I$56,7,FALSE),main!$K$10:$Q$14,6,FALSE),1,0)</f>
        <v>0</v>
      </c>
      <c r="K193">
        <f>IF(VLOOKUP(K$1,main!$A$3:$I$56,5,FALSE)-VLOOKUP($A193,main!$A$3:$I$56,6,FALSE)&gt;=VLOOKUP(58,main!$A$57:$I$61,4,FALSE)+VLOOKUP(VLOOKUP(K$1,main!$A$3:$I$56,7,FALSE),main!$K$10:$Q$14,6,FALSE),1,0)</f>
        <v>0</v>
      </c>
      <c r="L193">
        <f>IF(VLOOKUP(L$1,main!$A$3:$I$56,5,FALSE)-VLOOKUP($A193,main!$A$3:$I$56,6,FALSE)&gt;=VLOOKUP(58,main!$A$57:$I$61,4,FALSE)+VLOOKUP(VLOOKUP(L$1,main!$A$3:$I$56,7,FALSE),main!$K$10:$Q$14,6,FALSE),1,0)</f>
        <v>0</v>
      </c>
      <c r="M193">
        <f>IF(VLOOKUP(M$1,main!$A$3:$I$56,5,FALSE)-VLOOKUP($A193,main!$A$3:$I$56,6,FALSE)&gt;=VLOOKUP(58,main!$A$57:$I$61,4,FALSE)+VLOOKUP(VLOOKUP(M$1,main!$A$3:$I$56,7,FALSE),main!$K$10:$Q$14,6,FALSE),1,0)</f>
        <v>0</v>
      </c>
      <c r="N193">
        <f>IF(VLOOKUP(N$1,main!$A$3:$I$56,5,FALSE)-VLOOKUP($A193,main!$A$3:$I$56,6,FALSE)&gt;=VLOOKUP(58,main!$A$57:$I$61,4,FALSE)+VLOOKUP(VLOOKUP(N$1,main!$A$3:$I$56,7,FALSE),main!$K$10:$Q$14,6,FALSE),1,0)</f>
        <v>0</v>
      </c>
      <c r="O193">
        <f>IF(VLOOKUP(O$1,main!$A$3:$I$56,5,FALSE)-VLOOKUP($A193,main!$A$3:$I$56,6,FALSE)&gt;=VLOOKUP(58,main!$A$57:$I$61,4,FALSE)+VLOOKUP(VLOOKUP(O$1,main!$A$3:$I$56,7,FALSE),main!$K$10:$Q$14,6,FALSE),1,0)</f>
        <v>0</v>
      </c>
      <c r="P193">
        <f>IF(VLOOKUP(P$1,main!$A$3:$I$56,5,FALSE)-VLOOKUP($A193,main!$A$3:$I$56,6,FALSE)&gt;=VLOOKUP(58,main!$A$57:$I$61,4,FALSE)+VLOOKUP(VLOOKUP(P$1,main!$A$3:$I$56,7,FALSE),main!$K$10:$Q$14,6,FALSE),1,0)</f>
        <v>0</v>
      </c>
      <c r="Q193">
        <f>IF(VLOOKUP(Q$1,main!$A$3:$I$56,5,FALSE)-VLOOKUP($A193,main!$A$3:$I$56,6,FALSE)&gt;=VLOOKUP(58,main!$A$57:$I$61,4,FALSE)+VLOOKUP(VLOOKUP(Q$1,main!$A$3:$I$56,7,FALSE),main!$K$10:$Q$14,6,FALSE),1,0)</f>
        <v>0</v>
      </c>
      <c r="R193">
        <f>IF(VLOOKUP(R$1,main!$A$3:$I$56,5,FALSE)-VLOOKUP($A193,main!$A$3:$I$56,6,FALSE)&gt;=VLOOKUP(58,main!$A$57:$I$61,4,FALSE)+VLOOKUP(VLOOKUP(R$1,main!$A$3:$I$56,7,FALSE),main!$K$10:$Q$14,6,FALSE),1,0)</f>
        <v>0</v>
      </c>
      <c r="S193">
        <f>IF(VLOOKUP(S$1,main!$A$3:$I$56,5,FALSE)-VLOOKUP($A193,main!$A$3:$I$56,6,FALSE)&gt;=VLOOKUP(58,main!$A$57:$I$61,4,FALSE)+VLOOKUP(VLOOKUP(S$1,main!$A$3:$I$56,7,FALSE),main!$K$10:$Q$14,6,FALSE),1,0)</f>
        <v>0</v>
      </c>
      <c r="T193">
        <f>IF(VLOOKUP(T$1,main!$A$3:$I$56,5,FALSE)-VLOOKUP($A193,main!$A$3:$I$56,6,FALSE)&gt;=VLOOKUP(58,main!$A$57:$I$61,4,FALSE)+VLOOKUP(VLOOKUP(T$1,main!$A$3:$I$56,7,FALSE),main!$K$10:$Q$14,6,FALSE),1,0)</f>
        <v>0</v>
      </c>
      <c r="U193">
        <f>IF(VLOOKUP(U$1,main!$A$3:$I$56,5,FALSE)-VLOOKUP($A193,main!$A$3:$I$56,6,FALSE)&gt;=VLOOKUP(58,main!$A$57:$I$61,4,FALSE)+VLOOKUP(VLOOKUP(U$1,main!$A$3:$I$56,7,FALSE),main!$K$10:$Q$14,6,FALSE),1,0)</f>
        <v>0</v>
      </c>
      <c r="V193">
        <f>IF(VLOOKUP(V$1,main!$A$3:$I$56,5,FALSE)-VLOOKUP($A193,main!$A$3:$I$56,6,FALSE)&gt;=VLOOKUP(58,main!$A$57:$I$61,4,FALSE)+VLOOKUP(VLOOKUP(V$1,main!$A$3:$I$56,7,FALSE),main!$K$10:$Q$14,6,FALSE),1,0)</f>
        <v>0</v>
      </c>
      <c r="W193">
        <f>IF(VLOOKUP(W$1,main!$A$3:$I$56,5,FALSE)-VLOOKUP($A193,main!$A$3:$I$56,6,FALSE)&gt;=VLOOKUP(58,main!$A$57:$I$61,4,FALSE)+VLOOKUP(VLOOKUP(W$1,main!$A$3:$I$56,7,FALSE),main!$K$10:$Q$14,6,FALSE),1,0)</f>
        <v>0</v>
      </c>
      <c r="X193">
        <f>IF(VLOOKUP(X$1,main!$A$3:$I$56,5,FALSE)-VLOOKUP($A193,main!$A$3:$I$56,6,FALSE)&gt;=VLOOKUP(58,main!$A$57:$I$61,4,FALSE)+VLOOKUP(VLOOKUP(X$1,main!$A$3:$I$56,7,FALSE),main!$K$10:$Q$14,6,FALSE),1,0)</f>
        <v>0</v>
      </c>
      <c r="Y193">
        <f>IF(VLOOKUP(Y$1,main!$A$3:$I$56,5,FALSE)-VLOOKUP($A193,main!$A$3:$I$56,6,FALSE)&gt;=VLOOKUP(58,main!$A$57:$I$61,4,FALSE)+VLOOKUP(VLOOKUP(Y$1,main!$A$3:$I$56,7,FALSE),main!$K$10:$Q$14,6,FALSE),1,0)</f>
        <v>0</v>
      </c>
      <c r="Z193">
        <f>IF(VLOOKUP(Z$1,main!$A$3:$I$56,5,FALSE)-VLOOKUP($A193,main!$A$3:$I$56,6,FALSE)&gt;=VLOOKUP(58,main!$A$57:$I$61,4,FALSE)+VLOOKUP(VLOOKUP(Z$1,main!$A$3:$I$56,7,FALSE),main!$K$10:$Q$14,6,FALSE),1,0)</f>
        <v>0</v>
      </c>
      <c r="AA193">
        <f>IF(VLOOKUP(AA$1,main!$A$3:$I$56,5,FALSE)-VLOOKUP($A193,main!$A$3:$I$56,6,FALSE)&gt;=VLOOKUP(58,main!$A$57:$I$61,4,FALSE)+VLOOKUP(VLOOKUP(AA$1,main!$A$3:$I$56,7,FALSE),main!$K$10:$Q$14,6,FALSE),1,0)</f>
        <v>0</v>
      </c>
      <c r="AB193">
        <f>IF(VLOOKUP(AB$1,main!$A$3:$I$56,5,FALSE)-VLOOKUP($A193,main!$A$3:$I$56,6,FALSE)&gt;=VLOOKUP(58,main!$A$57:$I$61,4,FALSE)+VLOOKUP(VLOOKUP(AB$1,main!$A$3:$I$56,7,FALSE),main!$K$10:$Q$14,6,FALSE),1,0)</f>
        <v>0</v>
      </c>
      <c r="AC193">
        <f>IF(VLOOKUP(AC$1,main!$A$3:$I$56,5,FALSE)-VLOOKUP($A193,main!$A$3:$I$56,6,FALSE)&gt;=VLOOKUP(58,main!$A$57:$I$61,4,FALSE)+VLOOKUP(VLOOKUP(AC$1,main!$A$3:$I$56,7,FALSE),main!$K$10:$Q$14,6,FALSE),1,0)</f>
        <v>0</v>
      </c>
      <c r="AD193">
        <f>IF(VLOOKUP(AD$1,main!$A$3:$I$56,5,FALSE)-VLOOKUP($A193,main!$A$3:$I$56,6,FALSE)&gt;=VLOOKUP(58,main!$A$57:$I$61,4,FALSE)+VLOOKUP(VLOOKUP(AD$1,main!$A$3:$I$56,7,FALSE),main!$K$10:$Q$14,6,FALSE),1,0)</f>
        <v>0</v>
      </c>
      <c r="AE193">
        <f>IF(VLOOKUP(AE$1,main!$A$3:$I$56,5,FALSE)-VLOOKUP($A193,main!$A$3:$I$56,6,FALSE)&gt;=VLOOKUP(58,main!$A$57:$I$61,4,FALSE)+VLOOKUP(VLOOKUP(AE$1,main!$A$3:$I$56,7,FALSE),main!$K$10:$Q$14,6,FALSE),1,0)</f>
        <v>0</v>
      </c>
      <c r="AF193">
        <f>IF(VLOOKUP(AF$1,main!$A$3:$I$56,5,FALSE)-VLOOKUP($A193,main!$A$3:$I$56,6,FALSE)&gt;=VLOOKUP(58,main!$A$57:$I$61,4,FALSE)+VLOOKUP(VLOOKUP(AF$1,main!$A$3:$I$56,7,FALSE),main!$K$10:$Q$14,6,FALSE),1,0)</f>
        <v>0</v>
      </c>
      <c r="AG193">
        <f>IF(VLOOKUP(AG$1,main!$A$3:$I$56,5,FALSE)-VLOOKUP($A193,main!$A$3:$I$56,6,FALSE)&gt;=VLOOKUP(58,main!$A$57:$I$61,4,FALSE)+VLOOKUP(VLOOKUP(AG$1,main!$A$3:$I$56,7,FALSE),main!$K$10:$Q$14,6,FALSE),1,0)</f>
        <v>0</v>
      </c>
      <c r="AH193">
        <f>IF(VLOOKUP(AH$1,main!$A$3:$I$56,5,FALSE)-VLOOKUP($A193,main!$A$3:$I$56,6,FALSE)&gt;=VLOOKUP(58,main!$A$57:$I$61,4,FALSE)+VLOOKUP(VLOOKUP(AH$1,main!$A$3:$I$56,7,FALSE),main!$K$10:$Q$14,6,FALSE),1,0)</f>
        <v>0</v>
      </c>
      <c r="AI193">
        <f>IF(VLOOKUP(AI$1,main!$A$3:$I$56,5,FALSE)-VLOOKUP($A193,main!$A$3:$I$56,6,FALSE)&gt;=VLOOKUP(58,main!$A$57:$I$61,4,FALSE)+VLOOKUP(VLOOKUP(AI$1,main!$A$3:$I$56,7,FALSE),main!$K$10:$Q$14,6,FALSE),1,0)</f>
        <v>0</v>
      </c>
      <c r="AJ193">
        <f>IF(VLOOKUP(AJ$1,main!$A$3:$I$56,5,FALSE)-VLOOKUP($A193,main!$A$3:$I$56,6,FALSE)&gt;=VLOOKUP(58,main!$A$57:$I$61,4,FALSE)+VLOOKUP(VLOOKUP(AJ$1,main!$A$3:$I$56,7,FALSE),main!$K$10:$Q$14,6,FALSE),1,0)</f>
        <v>0</v>
      </c>
      <c r="AK193">
        <f>IF(VLOOKUP(AK$1,main!$A$3:$I$56,5,FALSE)-VLOOKUP($A193,main!$A$3:$I$56,6,FALSE)&gt;=VLOOKUP(58,main!$A$57:$I$61,4,FALSE)+VLOOKUP(VLOOKUP(AK$1,main!$A$3:$I$56,7,FALSE),main!$K$10:$Q$14,6,FALSE),1,0)</f>
        <v>0</v>
      </c>
      <c r="AL193">
        <f>IF(VLOOKUP(AL$1,main!$A$3:$I$56,5,FALSE)-VLOOKUP($A193,main!$A$3:$I$56,6,FALSE)&gt;=VLOOKUP(58,main!$A$57:$I$61,4,FALSE)+VLOOKUP(VLOOKUP(AL$1,main!$A$3:$I$56,7,FALSE),main!$K$10:$Q$14,6,FALSE),1,0)</f>
        <v>0</v>
      </c>
      <c r="AM193">
        <f>IF(VLOOKUP(AM$1,main!$A$3:$I$56,5,FALSE)-VLOOKUP($A193,main!$A$3:$I$56,6,FALSE)&gt;=VLOOKUP(58,main!$A$57:$I$61,4,FALSE)+VLOOKUP(VLOOKUP(AM$1,main!$A$3:$I$56,7,FALSE),main!$K$10:$Q$14,6,FALSE),1,0)</f>
        <v>0</v>
      </c>
      <c r="AN193">
        <f>IF(VLOOKUP(AN$1,main!$A$3:$I$56,5,FALSE)-VLOOKUP($A193,main!$A$3:$I$56,6,FALSE)&gt;=VLOOKUP(58,main!$A$57:$I$61,4,FALSE)+VLOOKUP(VLOOKUP(AN$1,main!$A$3:$I$56,7,FALSE),main!$K$10:$Q$14,6,FALSE),1,0)</f>
        <v>0</v>
      </c>
      <c r="AO193">
        <f>IF(VLOOKUP(AO$1,main!$A$3:$I$56,5,FALSE)-VLOOKUP($A193,main!$A$3:$I$56,6,FALSE)&gt;=VLOOKUP(58,main!$A$57:$I$61,4,FALSE)+VLOOKUP(VLOOKUP(AO$1,main!$A$3:$I$56,7,FALSE),main!$K$10:$Q$14,6,FALSE),1,0)</f>
        <v>0</v>
      </c>
      <c r="AP193">
        <f>IF(VLOOKUP(AP$1,main!$A$3:$I$56,5,FALSE)-VLOOKUP($A193,main!$A$3:$I$56,6,FALSE)&gt;=VLOOKUP(58,main!$A$57:$I$61,4,FALSE)+VLOOKUP(VLOOKUP(AP$1,main!$A$3:$I$56,7,FALSE),main!$K$10:$Q$14,6,FALSE),1,0)</f>
        <v>0</v>
      </c>
      <c r="AQ193">
        <f>IF(VLOOKUP(AQ$1,main!$A$3:$I$56,5,FALSE)-VLOOKUP($A193,main!$A$3:$I$56,6,FALSE)&gt;=VLOOKUP(58,main!$A$57:$I$61,4,FALSE)+VLOOKUP(VLOOKUP(AQ$1,main!$A$3:$I$56,7,FALSE),main!$K$10:$Q$14,6,FALSE),1,0)</f>
        <v>0</v>
      </c>
      <c r="AR193">
        <f>IF(VLOOKUP(AR$1,main!$A$3:$I$56,5,FALSE)-VLOOKUP($A193,main!$A$3:$I$56,6,FALSE)&gt;=VLOOKUP(58,main!$A$57:$I$61,4,FALSE)+VLOOKUP(VLOOKUP(AR$1,main!$A$3:$I$56,7,FALSE),main!$K$10:$Q$14,6,FALSE),1,0)</f>
        <v>0</v>
      </c>
      <c r="AS193">
        <f>IF(VLOOKUP(AS$1,main!$A$3:$I$56,5,FALSE)-VLOOKUP($A193,main!$A$3:$I$56,6,FALSE)&gt;=VLOOKUP(58,main!$A$57:$I$61,4,FALSE)+VLOOKUP(VLOOKUP(AS$1,main!$A$3:$I$56,7,FALSE),main!$K$10:$Q$14,6,FALSE),1,0)</f>
        <v>0</v>
      </c>
      <c r="AT193">
        <f>IF(VLOOKUP(AT$1,main!$A$3:$I$56,5,FALSE)-VLOOKUP($A193,main!$A$3:$I$56,6,FALSE)&gt;=VLOOKUP(58,main!$A$57:$I$61,4,FALSE)+VLOOKUP(VLOOKUP(AT$1,main!$A$3:$I$56,7,FALSE),main!$K$10:$Q$14,6,FALSE),1,0)</f>
        <v>0</v>
      </c>
      <c r="AU193">
        <f>IF(VLOOKUP(AU$1,main!$A$3:$I$56,5,FALSE)-VLOOKUP($A193,main!$A$3:$I$56,6,FALSE)&gt;=VLOOKUP(58,main!$A$57:$I$61,4,FALSE)+VLOOKUP(VLOOKUP(AU$1,main!$A$3:$I$56,7,FALSE),main!$K$10:$Q$14,6,FALSE),1,0)</f>
        <v>0</v>
      </c>
      <c r="AV193">
        <f>IF(VLOOKUP(AV$1,main!$A$3:$I$56,5,FALSE)-VLOOKUP($A193,main!$A$3:$I$56,6,FALSE)&gt;=VLOOKUP(58,main!$A$57:$I$61,4,FALSE)+VLOOKUP(VLOOKUP(AV$1,main!$A$3:$I$56,7,FALSE),main!$K$10:$Q$14,6,FALSE),1,0)</f>
        <v>0</v>
      </c>
      <c r="AW193">
        <f>IF(VLOOKUP(AW$1,main!$A$3:$I$56,5,FALSE)-VLOOKUP($A193,main!$A$3:$I$56,6,FALSE)&gt;=VLOOKUP(58,main!$A$57:$I$61,4,FALSE)+VLOOKUP(VLOOKUP(AW$1,main!$A$3:$I$56,7,FALSE),main!$K$10:$Q$14,6,FALSE),1,0)</f>
        <v>0</v>
      </c>
      <c r="AX193">
        <f>IF(VLOOKUP(AX$1,main!$A$3:$I$56,5,FALSE)-VLOOKUP($A193,main!$A$3:$I$56,6,FALSE)&gt;=VLOOKUP(58,main!$A$57:$I$61,4,FALSE)+VLOOKUP(VLOOKUP(AX$1,main!$A$3:$I$56,7,FALSE),main!$K$10:$Q$14,6,FALSE),1,0)</f>
        <v>0</v>
      </c>
      <c r="AY193">
        <f>IF(VLOOKUP(AY$1,main!$A$3:$I$56,5,FALSE)-VLOOKUP($A193,main!$A$3:$I$56,6,FALSE)&gt;=VLOOKUP(58,main!$A$57:$I$61,4,FALSE)+VLOOKUP(VLOOKUP(AY$1,main!$A$3:$I$56,7,FALSE),main!$K$10:$Q$14,6,FALSE),1,0)</f>
        <v>0</v>
      </c>
      <c r="AZ193">
        <f>IF(VLOOKUP(AZ$1,main!$A$3:$I$56,5,FALSE)-VLOOKUP($A193,main!$A$3:$I$56,6,FALSE)&gt;=VLOOKUP(58,main!$A$57:$I$61,4,FALSE)+VLOOKUP(VLOOKUP(AZ$1,main!$A$3:$I$56,7,FALSE),main!$K$10:$Q$14,6,FALSE),1,0)</f>
        <v>0</v>
      </c>
      <c r="BA193">
        <f>IF(VLOOKUP(BA$1,main!$A$3:$I$56,5,FALSE)-VLOOKUP($A193,main!$A$3:$I$56,6,FALSE)&gt;=VLOOKUP(58,main!$A$57:$I$61,4,FALSE)+VLOOKUP(VLOOKUP(BA$1,main!$A$3:$I$56,7,FALSE),main!$K$10:$Q$14,6,FALSE),1,0)</f>
        <v>0</v>
      </c>
      <c r="BB193">
        <f>IF(VLOOKUP(BB$1,main!$A$3:$I$56,5,FALSE)-VLOOKUP($A193,main!$A$3:$I$56,6,FALSE)&gt;=VLOOKUP(58,main!$A$57:$I$61,4,FALSE)+VLOOKUP(VLOOKUP(BB$1,main!$A$3:$I$56,7,FALSE),main!$K$10:$Q$14,6,FALSE),1,0)</f>
        <v>0</v>
      </c>
      <c r="BC193">
        <f>IF(VLOOKUP(BC$1,main!$A$3:$I$56,5,FALSE)-VLOOKUP($A193,main!$A$3:$I$56,6,FALSE)&gt;=VLOOKUP(58,main!$A$57:$I$61,4,FALSE)+VLOOKUP(VLOOKUP(BC$1,main!$A$3:$I$56,7,FALSE),main!$K$10:$Q$14,6,FALSE),1,0)</f>
        <v>0</v>
      </c>
      <c r="BD193">
        <f>IF(VLOOKUP(BD$1,main!$A$3:$I$56,5,FALSE)-VLOOKUP($A193,main!$A$3:$I$56,6,FALSE)&gt;=VLOOKUP(58,main!$A$57:$I$61,4,FALSE)+VLOOKUP(VLOOKUP(BD$1,main!$A$3:$I$56,7,FALSE),main!$K$10:$Q$14,6,FALSE),1,0)</f>
        <v>0</v>
      </c>
    </row>
    <row r="194" spans="1:56" x14ac:dyDescent="0.25">
      <c r="A194">
        <f t="shared" si="3"/>
        <v>27</v>
      </c>
      <c r="B194">
        <v>0</v>
      </c>
      <c r="C194">
        <f>IF(VLOOKUP(C$1,main!$A$3:$I$56,5,FALSE)-VLOOKUP($A194,main!$A$3:$I$56,6,FALSE)&gt;=VLOOKUP(58,main!$A$57:$I$61,4,FALSE)+VLOOKUP(VLOOKUP(C$1,main!$A$3:$I$56,7,FALSE),main!$K$10:$Q$14,6,FALSE),1,0)</f>
        <v>0</v>
      </c>
      <c r="D194">
        <f>IF(VLOOKUP(D$1,main!$A$3:$I$56,5,FALSE)-VLOOKUP($A194,main!$A$3:$I$56,6,FALSE)&gt;=VLOOKUP(58,main!$A$57:$I$61,4,FALSE)+VLOOKUP(VLOOKUP(D$1,main!$A$3:$I$56,7,FALSE),main!$K$10:$Q$14,6,FALSE),1,0)</f>
        <v>1</v>
      </c>
      <c r="E194">
        <f>IF(VLOOKUP(E$1,main!$A$3:$I$56,5,FALSE)-VLOOKUP($A194,main!$A$3:$I$56,6,FALSE)&gt;=VLOOKUP(58,main!$A$57:$I$61,4,FALSE)+VLOOKUP(VLOOKUP(E$1,main!$A$3:$I$56,7,FALSE),main!$K$10:$Q$14,6,FALSE),1,0)</f>
        <v>1</v>
      </c>
      <c r="F194">
        <f>IF(VLOOKUP(F$1,main!$A$3:$I$56,5,FALSE)-VLOOKUP($A194,main!$A$3:$I$56,6,FALSE)&gt;=VLOOKUP(58,main!$A$57:$I$61,4,FALSE)+VLOOKUP(VLOOKUP(F$1,main!$A$3:$I$56,7,FALSE),main!$K$10:$Q$14,6,FALSE),1,0)</f>
        <v>1</v>
      </c>
      <c r="G194">
        <f>IF(VLOOKUP(G$1,main!$A$3:$I$56,5,FALSE)-VLOOKUP($A194,main!$A$3:$I$56,6,FALSE)&gt;=VLOOKUP(58,main!$A$57:$I$61,4,FALSE)+VLOOKUP(VLOOKUP(G$1,main!$A$3:$I$56,7,FALSE),main!$K$10:$Q$14,6,FALSE),1,0)</f>
        <v>1</v>
      </c>
      <c r="H194">
        <f>IF(VLOOKUP(H$1,main!$A$3:$I$56,5,FALSE)-VLOOKUP($A194,main!$A$3:$I$56,6,FALSE)&gt;=VLOOKUP(58,main!$A$57:$I$61,4,FALSE)+VLOOKUP(VLOOKUP(H$1,main!$A$3:$I$56,7,FALSE),main!$K$10:$Q$14,6,FALSE),1,0)</f>
        <v>1</v>
      </c>
      <c r="I194">
        <f>IF(VLOOKUP(I$1,main!$A$3:$I$56,5,FALSE)-VLOOKUP($A194,main!$A$3:$I$56,6,FALSE)&gt;=VLOOKUP(58,main!$A$57:$I$61,4,FALSE)+VLOOKUP(VLOOKUP(I$1,main!$A$3:$I$56,7,FALSE),main!$K$10:$Q$14,6,FALSE),1,0)</f>
        <v>1</v>
      </c>
      <c r="J194">
        <f>IF(VLOOKUP(J$1,main!$A$3:$I$56,5,FALSE)-VLOOKUP($A194,main!$A$3:$I$56,6,FALSE)&gt;=VLOOKUP(58,main!$A$57:$I$61,4,FALSE)+VLOOKUP(VLOOKUP(J$1,main!$A$3:$I$56,7,FALSE),main!$K$10:$Q$14,6,FALSE),1,0)</f>
        <v>1</v>
      </c>
      <c r="K194">
        <f>IF(VLOOKUP(K$1,main!$A$3:$I$56,5,FALSE)-VLOOKUP($A194,main!$A$3:$I$56,6,FALSE)&gt;=VLOOKUP(58,main!$A$57:$I$61,4,FALSE)+VLOOKUP(VLOOKUP(K$1,main!$A$3:$I$56,7,FALSE),main!$K$10:$Q$14,6,FALSE),1,0)</f>
        <v>0</v>
      </c>
      <c r="L194">
        <f>IF(VLOOKUP(L$1,main!$A$3:$I$56,5,FALSE)-VLOOKUP($A194,main!$A$3:$I$56,6,FALSE)&gt;=VLOOKUP(58,main!$A$57:$I$61,4,FALSE)+VLOOKUP(VLOOKUP(L$1,main!$A$3:$I$56,7,FALSE),main!$K$10:$Q$14,6,FALSE),1,0)</f>
        <v>1</v>
      </c>
      <c r="M194">
        <f>IF(VLOOKUP(M$1,main!$A$3:$I$56,5,FALSE)-VLOOKUP($A194,main!$A$3:$I$56,6,FALSE)&gt;=VLOOKUP(58,main!$A$57:$I$61,4,FALSE)+VLOOKUP(VLOOKUP(M$1,main!$A$3:$I$56,7,FALSE),main!$K$10:$Q$14,6,FALSE),1,0)</f>
        <v>1</v>
      </c>
      <c r="N194">
        <f>IF(VLOOKUP(N$1,main!$A$3:$I$56,5,FALSE)-VLOOKUP($A194,main!$A$3:$I$56,6,FALSE)&gt;=VLOOKUP(58,main!$A$57:$I$61,4,FALSE)+VLOOKUP(VLOOKUP(N$1,main!$A$3:$I$56,7,FALSE),main!$K$10:$Q$14,6,FALSE),1,0)</f>
        <v>1</v>
      </c>
      <c r="O194">
        <f>IF(VLOOKUP(O$1,main!$A$3:$I$56,5,FALSE)-VLOOKUP($A194,main!$A$3:$I$56,6,FALSE)&gt;=VLOOKUP(58,main!$A$57:$I$61,4,FALSE)+VLOOKUP(VLOOKUP(O$1,main!$A$3:$I$56,7,FALSE),main!$K$10:$Q$14,6,FALSE),1,0)</f>
        <v>1</v>
      </c>
      <c r="P194">
        <f>IF(VLOOKUP(P$1,main!$A$3:$I$56,5,FALSE)-VLOOKUP($A194,main!$A$3:$I$56,6,FALSE)&gt;=VLOOKUP(58,main!$A$57:$I$61,4,FALSE)+VLOOKUP(VLOOKUP(P$1,main!$A$3:$I$56,7,FALSE),main!$K$10:$Q$14,6,FALSE),1,0)</f>
        <v>0</v>
      </c>
      <c r="Q194">
        <f>IF(VLOOKUP(Q$1,main!$A$3:$I$56,5,FALSE)-VLOOKUP($A194,main!$A$3:$I$56,6,FALSE)&gt;=VLOOKUP(58,main!$A$57:$I$61,4,FALSE)+VLOOKUP(VLOOKUP(Q$1,main!$A$3:$I$56,7,FALSE),main!$K$10:$Q$14,6,FALSE),1,0)</f>
        <v>1</v>
      </c>
      <c r="R194">
        <f>IF(VLOOKUP(R$1,main!$A$3:$I$56,5,FALSE)-VLOOKUP($A194,main!$A$3:$I$56,6,FALSE)&gt;=VLOOKUP(58,main!$A$57:$I$61,4,FALSE)+VLOOKUP(VLOOKUP(R$1,main!$A$3:$I$56,7,FALSE),main!$K$10:$Q$14,6,FALSE),1,0)</f>
        <v>1</v>
      </c>
      <c r="S194">
        <f>IF(VLOOKUP(S$1,main!$A$3:$I$56,5,FALSE)-VLOOKUP($A194,main!$A$3:$I$56,6,FALSE)&gt;=VLOOKUP(58,main!$A$57:$I$61,4,FALSE)+VLOOKUP(VLOOKUP(S$1,main!$A$3:$I$56,7,FALSE),main!$K$10:$Q$14,6,FALSE),1,0)</f>
        <v>1</v>
      </c>
      <c r="T194">
        <f>IF(VLOOKUP(T$1,main!$A$3:$I$56,5,FALSE)-VLOOKUP($A194,main!$A$3:$I$56,6,FALSE)&gt;=VLOOKUP(58,main!$A$57:$I$61,4,FALSE)+VLOOKUP(VLOOKUP(T$1,main!$A$3:$I$56,7,FALSE),main!$K$10:$Q$14,6,FALSE),1,0)</f>
        <v>1</v>
      </c>
      <c r="U194">
        <f>IF(VLOOKUP(U$1,main!$A$3:$I$56,5,FALSE)-VLOOKUP($A194,main!$A$3:$I$56,6,FALSE)&gt;=VLOOKUP(58,main!$A$57:$I$61,4,FALSE)+VLOOKUP(VLOOKUP(U$1,main!$A$3:$I$56,7,FALSE),main!$K$10:$Q$14,6,FALSE),1,0)</f>
        <v>0</v>
      </c>
      <c r="V194">
        <f>IF(VLOOKUP(V$1,main!$A$3:$I$56,5,FALSE)-VLOOKUP($A194,main!$A$3:$I$56,6,FALSE)&gt;=VLOOKUP(58,main!$A$57:$I$61,4,FALSE)+VLOOKUP(VLOOKUP(V$1,main!$A$3:$I$56,7,FALSE),main!$K$10:$Q$14,6,FALSE),1,0)</f>
        <v>1</v>
      </c>
      <c r="W194">
        <f>IF(VLOOKUP(W$1,main!$A$3:$I$56,5,FALSE)-VLOOKUP($A194,main!$A$3:$I$56,6,FALSE)&gt;=VLOOKUP(58,main!$A$57:$I$61,4,FALSE)+VLOOKUP(VLOOKUP(W$1,main!$A$3:$I$56,7,FALSE),main!$K$10:$Q$14,6,FALSE),1,0)</f>
        <v>1</v>
      </c>
      <c r="X194">
        <f>IF(VLOOKUP(X$1,main!$A$3:$I$56,5,FALSE)-VLOOKUP($A194,main!$A$3:$I$56,6,FALSE)&gt;=VLOOKUP(58,main!$A$57:$I$61,4,FALSE)+VLOOKUP(VLOOKUP(X$1,main!$A$3:$I$56,7,FALSE),main!$K$10:$Q$14,6,FALSE),1,0)</f>
        <v>1</v>
      </c>
      <c r="Y194">
        <f>IF(VLOOKUP(Y$1,main!$A$3:$I$56,5,FALSE)-VLOOKUP($A194,main!$A$3:$I$56,6,FALSE)&gt;=VLOOKUP(58,main!$A$57:$I$61,4,FALSE)+VLOOKUP(VLOOKUP(Y$1,main!$A$3:$I$56,7,FALSE),main!$K$10:$Q$14,6,FALSE),1,0)</f>
        <v>1</v>
      </c>
      <c r="Z194">
        <f>IF(VLOOKUP(Z$1,main!$A$3:$I$56,5,FALSE)-VLOOKUP($A194,main!$A$3:$I$56,6,FALSE)&gt;=VLOOKUP(58,main!$A$57:$I$61,4,FALSE)+VLOOKUP(VLOOKUP(Z$1,main!$A$3:$I$56,7,FALSE),main!$K$10:$Q$14,6,FALSE),1,0)</f>
        <v>1</v>
      </c>
      <c r="AA194">
        <f>IF(VLOOKUP(AA$1,main!$A$3:$I$56,5,FALSE)-VLOOKUP($A194,main!$A$3:$I$56,6,FALSE)&gt;=VLOOKUP(58,main!$A$57:$I$61,4,FALSE)+VLOOKUP(VLOOKUP(AA$1,main!$A$3:$I$56,7,FALSE),main!$K$10:$Q$14,6,FALSE),1,0)</f>
        <v>1</v>
      </c>
      <c r="AB194">
        <f>IF(VLOOKUP(AB$1,main!$A$3:$I$56,5,FALSE)-VLOOKUP($A194,main!$A$3:$I$56,6,FALSE)&gt;=VLOOKUP(58,main!$A$57:$I$61,4,FALSE)+VLOOKUP(VLOOKUP(AB$1,main!$A$3:$I$56,7,FALSE),main!$K$10:$Q$14,6,FALSE),1,0)</f>
        <v>1</v>
      </c>
      <c r="AC194">
        <f>IF(VLOOKUP(AC$1,main!$A$3:$I$56,5,FALSE)-VLOOKUP($A194,main!$A$3:$I$56,6,FALSE)&gt;=VLOOKUP(58,main!$A$57:$I$61,4,FALSE)+VLOOKUP(VLOOKUP(AC$1,main!$A$3:$I$56,7,FALSE),main!$K$10:$Q$14,6,FALSE),1,0)</f>
        <v>0</v>
      </c>
      <c r="AD194">
        <f>IF(VLOOKUP(AD$1,main!$A$3:$I$56,5,FALSE)-VLOOKUP($A194,main!$A$3:$I$56,6,FALSE)&gt;=VLOOKUP(58,main!$A$57:$I$61,4,FALSE)+VLOOKUP(VLOOKUP(AD$1,main!$A$3:$I$56,7,FALSE),main!$K$10:$Q$14,6,FALSE),1,0)</f>
        <v>0</v>
      </c>
      <c r="AE194">
        <f>IF(VLOOKUP(AE$1,main!$A$3:$I$56,5,FALSE)-VLOOKUP($A194,main!$A$3:$I$56,6,FALSE)&gt;=VLOOKUP(58,main!$A$57:$I$61,4,FALSE)+VLOOKUP(VLOOKUP(AE$1,main!$A$3:$I$56,7,FALSE),main!$K$10:$Q$14,6,FALSE),1,0)</f>
        <v>1</v>
      </c>
      <c r="AF194">
        <f>IF(VLOOKUP(AF$1,main!$A$3:$I$56,5,FALSE)-VLOOKUP($A194,main!$A$3:$I$56,6,FALSE)&gt;=VLOOKUP(58,main!$A$57:$I$61,4,FALSE)+VLOOKUP(VLOOKUP(AF$1,main!$A$3:$I$56,7,FALSE),main!$K$10:$Q$14,6,FALSE),1,0)</f>
        <v>1</v>
      </c>
      <c r="AG194">
        <f>IF(VLOOKUP(AG$1,main!$A$3:$I$56,5,FALSE)-VLOOKUP($A194,main!$A$3:$I$56,6,FALSE)&gt;=VLOOKUP(58,main!$A$57:$I$61,4,FALSE)+VLOOKUP(VLOOKUP(AG$1,main!$A$3:$I$56,7,FALSE),main!$K$10:$Q$14,6,FALSE),1,0)</f>
        <v>1</v>
      </c>
      <c r="AH194">
        <f>IF(VLOOKUP(AH$1,main!$A$3:$I$56,5,FALSE)-VLOOKUP($A194,main!$A$3:$I$56,6,FALSE)&gt;=VLOOKUP(58,main!$A$57:$I$61,4,FALSE)+VLOOKUP(VLOOKUP(AH$1,main!$A$3:$I$56,7,FALSE),main!$K$10:$Q$14,6,FALSE),1,0)</f>
        <v>1</v>
      </c>
      <c r="AI194">
        <f>IF(VLOOKUP(AI$1,main!$A$3:$I$56,5,FALSE)-VLOOKUP($A194,main!$A$3:$I$56,6,FALSE)&gt;=VLOOKUP(58,main!$A$57:$I$61,4,FALSE)+VLOOKUP(VLOOKUP(AI$1,main!$A$3:$I$56,7,FALSE),main!$K$10:$Q$14,6,FALSE),1,0)</f>
        <v>1</v>
      </c>
      <c r="AJ194">
        <f>IF(VLOOKUP(AJ$1,main!$A$3:$I$56,5,FALSE)-VLOOKUP($A194,main!$A$3:$I$56,6,FALSE)&gt;=VLOOKUP(58,main!$A$57:$I$61,4,FALSE)+VLOOKUP(VLOOKUP(AJ$1,main!$A$3:$I$56,7,FALSE),main!$K$10:$Q$14,6,FALSE),1,0)</f>
        <v>1</v>
      </c>
      <c r="AK194">
        <f>IF(VLOOKUP(AK$1,main!$A$3:$I$56,5,FALSE)-VLOOKUP($A194,main!$A$3:$I$56,6,FALSE)&gt;=VLOOKUP(58,main!$A$57:$I$61,4,FALSE)+VLOOKUP(VLOOKUP(AK$1,main!$A$3:$I$56,7,FALSE),main!$K$10:$Q$14,6,FALSE),1,0)</f>
        <v>1</v>
      </c>
      <c r="AL194">
        <f>IF(VLOOKUP(AL$1,main!$A$3:$I$56,5,FALSE)-VLOOKUP($A194,main!$A$3:$I$56,6,FALSE)&gt;=VLOOKUP(58,main!$A$57:$I$61,4,FALSE)+VLOOKUP(VLOOKUP(AL$1,main!$A$3:$I$56,7,FALSE),main!$K$10:$Q$14,6,FALSE),1,0)</f>
        <v>1</v>
      </c>
      <c r="AM194">
        <f>IF(VLOOKUP(AM$1,main!$A$3:$I$56,5,FALSE)-VLOOKUP($A194,main!$A$3:$I$56,6,FALSE)&gt;=VLOOKUP(58,main!$A$57:$I$61,4,FALSE)+VLOOKUP(VLOOKUP(AM$1,main!$A$3:$I$56,7,FALSE),main!$K$10:$Q$14,6,FALSE),1,0)</f>
        <v>1</v>
      </c>
      <c r="AN194">
        <f>IF(VLOOKUP(AN$1,main!$A$3:$I$56,5,FALSE)-VLOOKUP($A194,main!$A$3:$I$56,6,FALSE)&gt;=VLOOKUP(58,main!$A$57:$I$61,4,FALSE)+VLOOKUP(VLOOKUP(AN$1,main!$A$3:$I$56,7,FALSE),main!$K$10:$Q$14,6,FALSE),1,0)</f>
        <v>1</v>
      </c>
      <c r="AO194">
        <f>IF(VLOOKUP(AO$1,main!$A$3:$I$56,5,FALSE)-VLOOKUP($A194,main!$A$3:$I$56,6,FALSE)&gt;=VLOOKUP(58,main!$A$57:$I$61,4,FALSE)+VLOOKUP(VLOOKUP(AO$1,main!$A$3:$I$56,7,FALSE),main!$K$10:$Q$14,6,FALSE),1,0)</f>
        <v>1</v>
      </c>
      <c r="AP194">
        <f>IF(VLOOKUP(AP$1,main!$A$3:$I$56,5,FALSE)-VLOOKUP($A194,main!$A$3:$I$56,6,FALSE)&gt;=VLOOKUP(58,main!$A$57:$I$61,4,FALSE)+VLOOKUP(VLOOKUP(AP$1,main!$A$3:$I$56,7,FALSE),main!$K$10:$Q$14,6,FALSE),1,0)</f>
        <v>0</v>
      </c>
      <c r="AQ194">
        <f>IF(VLOOKUP(AQ$1,main!$A$3:$I$56,5,FALSE)-VLOOKUP($A194,main!$A$3:$I$56,6,FALSE)&gt;=VLOOKUP(58,main!$A$57:$I$61,4,FALSE)+VLOOKUP(VLOOKUP(AQ$1,main!$A$3:$I$56,7,FALSE),main!$K$10:$Q$14,6,FALSE),1,0)</f>
        <v>1</v>
      </c>
      <c r="AR194">
        <f>IF(VLOOKUP(AR$1,main!$A$3:$I$56,5,FALSE)-VLOOKUP($A194,main!$A$3:$I$56,6,FALSE)&gt;=VLOOKUP(58,main!$A$57:$I$61,4,FALSE)+VLOOKUP(VLOOKUP(AR$1,main!$A$3:$I$56,7,FALSE),main!$K$10:$Q$14,6,FALSE),1,0)</f>
        <v>1</v>
      </c>
      <c r="AS194">
        <f>IF(VLOOKUP(AS$1,main!$A$3:$I$56,5,FALSE)-VLOOKUP($A194,main!$A$3:$I$56,6,FALSE)&gt;=VLOOKUP(58,main!$A$57:$I$61,4,FALSE)+VLOOKUP(VLOOKUP(AS$1,main!$A$3:$I$56,7,FALSE),main!$K$10:$Q$14,6,FALSE),1,0)</f>
        <v>1</v>
      </c>
      <c r="AT194">
        <f>IF(VLOOKUP(AT$1,main!$A$3:$I$56,5,FALSE)-VLOOKUP($A194,main!$A$3:$I$56,6,FALSE)&gt;=VLOOKUP(58,main!$A$57:$I$61,4,FALSE)+VLOOKUP(VLOOKUP(AT$1,main!$A$3:$I$56,7,FALSE),main!$K$10:$Q$14,6,FALSE),1,0)</f>
        <v>1</v>
      </c>
      <c r="AU194">
        <f>IF(VLOOKUP(AU$1,main!$A$3:$I$56,5,FALSE)-VLOOKUP($A194,main!$A$3:$I$56,6,FALSE)&gt;=VLOOKUP(58,main!$A$57:$I$61,4,FALSE)+VLOOKUP(VLOOKUP(AU$1,main!$A$3:$I$56,7,FALSE),main!$K$10:$Q$14,6,FALSE),1,0)</f>
        <v>0</v>
      </c>
      <c r="AV194">
        <f>IF(VLOOKUP(AV$1,main!$A$3:$I$56,5,FALSE)-VLOOKUP($A194,main!$A$3:$I$56,6,FALSE)&gt;=VLOOKUP(58,main!$A$57:$I$61,4,FALSE)+VLOOKUP(VLOOKUP(AV$1,main!$A$3:$I$56,7,FALSE),main!$K$10:$Q$14,6,FALSE),1,0)</f>
        <v>1</v>
      </c>
      <c r="AW194">
        <f>IF(VLOOKUP(AW$1,main!$A$3:$I$56,5,FALSE)-VLOOKUP($A194,main!$A$3:$I$56,6,FALSE)&gt;=VLOOKUP(58,main!$A$57:$I$61,4,FALSE)+VLOOKUP(VLOOKUP(AW$1,main!$A$3:$I$56,7,FALSE),main!$K$10:$Q$14,6,FALSE),1,0)</f>
        <v>1</v>
      </c>
      <c r="AX194">
        <f>IF(VLOOKUP(AX$1,main!$A$3:$I$56,5,FALSE)-VLOOKUP($A194,main!$A$3:$I$56,6,FALSE)&gt;=VLOOKUP(58,main!$A$57:$I$61,4,FALSE)+VLOOKUP(VLOOKUP(AX$1,main!$A$3:$I$56,7,FALSE),main!$K$10:$Q$14,6,FALSE),1,0)</f>
        <v>1</v>
      </c>
      <c r="AY194">
        <f>IF(VLOOKUP(AY$1,main!$A$3:$I$56,5,FALSE)-VLOOKUP($A194,main!$A$3:$I$56,6,FALSE)&gt;=VLOOKUP(58,main!$A$57:$I$61,4,FALSE)+VLOOKUP(VLOOKUP(AY$1,main!$A$3:$I$56,7,FALSE),main!$K$10:$Q$14,6,FALSE),1,0)</f>
        <v>1</v>
      </c>
      <c r="AZ194">
        <f>IF(VLOOKUP(AZ$1,main!$A$3:$I$56,5,FALSE)-VLOOKUP($A194,main!$A$3:$I$56,6,FALSE)&gt;=VLOOKUP(58,main!$A$57:$I$61,4,FALSE)+VLOOKUP(VLOOKUP(AZ$1,main!$A$3:$I$56,7,FALSE),main!$K$10:$Q$14,6,FALSE),1,0)</f>
        <v>0</v>
      </c>
      <c r="BA194">
        <f>IF(VLOOKUP(BA$1,main!$A$3:$I$56,5,FALSE)-VLOOKUP($A194,main!$A$3:$I$56,6,FALSE)&gt;=VLOOKUP(58,main!$A$57:$I$61,4,FALSE)+VLOOKUP(VLOOKUP(BA$1,main!$A$3:$I$56,7,FALSE),main!$K$10:$Q$14,6,FALSE),1,0)</f>
        <v>1</v>
      </c>
      <c r="BB194">
        <f>IF(VLOOKUP(BB$1,main!$A$3:$I$56,5,FALSE)-VLOOKUP($A194,main!$A$3:$I$56,6,FALSE)&gt;=VLOOKUP(58,main!$A$57:$I$61,4,FALSE)+VLOOKUP(VLOOKUP(BB$1,main!$A$3:$I$56,7,FALSE),main!$K$10:$Q$14,6,FALSE),1,0)</f>
        <v>1</v>
      </c>
      <c r="BC194">
        <f>IF(VLOOKUP(BC$1,main!$A$3:$I$56,5,FALSE)-VLOOKUP($A194,main!$A$3:$I$56,6,FALSE)&gt;=VLOOKUP(58,main!$A$57:$I$61,4,FALSE)+VLOOKUP(VLOOKUP(BC$1,main!$A$3:$I$56,7,FALSE),main!$K$10:$Q$14,6,FALSE),1,0)</f>
        <v>1</v>
      </c>
      <c r="BD194">
        <f>IF(VLOOKUP(BD$1,main!$A$3:$I$56,5,FALSE)-VLOOKUP($A194,main!$A$3:$I$56,6,FALSE)&gt;=VLOOKUP(58,main!$A$57:$I$61,4,FALSE)+VLOOKUP(VLOOKUP(BD$1,main!$A$3:$I$56,7,FALSE),main!$K$10:$Q$14,6,FALSE),1,0)</f>
        <v>1</v>
      </c>
    </row>
    <row r="195" spans="1:56" x14ac:dyDescent="0.25">
      <c r="A195">
        <f t="shared" si="3"/>
        <v>28</v>
      </c>
      <c r="B195">
        <v>0</v>
      </c>
      <c r="C195">
        <f>IF(VLOOKUP(C$1,main!$A$3:$I$56,5,FALSE)-VLOOKUP($A195,main!$A$3:$I$56,6,FALSE)&gt;=VLOOKUP(58,main!$A$57:$I$61,4,FALSE)+VLOOKUP(VLOOKUP(C$1,main!$A$3:$I$56,7,FALSE),main!$K$10:$Q$14,6,FALSE),1,0)</f>
        <v>0</v>
      </c>
      <c r="D195">
        <f>IF(VLOOKUP(D$1,main!$A$3:$I$56,5,FALSE)-VLOOKUP($A195,main!$A$3:$I$56,6,FALSE)&gt;=VLOOKUP(58,main!$A$57:$I$61,4,FALSE)+VLOOKUP(VLOOKUP(D$1,main!$A$3:$I$56,7,FALSE),main!$K$10:$Q$14,6,FALSE),1,0)</f>
        <v>0</v>
      </c>
      <c r="E195">
        <f>IF(VLOOKUP(E$1,main!$A$3:$I$56,5,FALSE)-VLOOKUP($A195,main!$A$3:$I$56,6,FALSE)&gt;=VLOOKUP(58,main!$A$57:$I$61,4,FALSE)+VLOOKUP(VLOOKUP(E$1,main!$A$3:$I$56,7,FALSE),main!$K$10:$Q$14,6,FALSE),1,0)</f>
        <v>0</v>
      </c>
      <c r="F195">
        <f>IF(VLOOKUP(F$1,main!$A$3:$I$56,5,FALSE)-VLOOKUP($A195,main!$A$3:$I$56,6,FALSE)&gt;=VLOOKUP(58,main!$A$57:$I$61,4,FALSE)+VLOOKUP(VLOOKUP(F$1,main!$A$3:$I$56,7,FALSE),main!$K$10:$Q$14,6,FALSE),1,0)</f>
        <v>0</v>
      </c>
      <c r="G195">
        <f>IF(VLOOKUP(G$1,main!$A$3:$I$56,5,FALSE)-VLOOKUP($A195,main!$A$3:$I$56,6,FALSE)&gt;=VLOOKUP(58,main!$A$57:$I$61,4,FALSE)+VLOOKUP(VLOOKUP(G$1,main!$A$3:$I$56,7,FALSE),main!$K$10:$Q$14,6,FALSE),1,0)</f>
        <v>1</v>
      </c>
      <c r="H195">
        <f>IF(VLOOKUP(H$1,main!$A$3:$I$56,5,FALSE)-VLOOKUP($A195,main!$A$3:$I$56,6,FALSE)&gt;=VLOOKUP(58,main!$A$57:$I$61,4,FALSE)+VLOOKUP(VLOOKUP(H$1,main!$A$3:$I$56,7,FALSE),main!$K$10:$Q$14,6,FALSE),1,0)</f>
        <v>1</v>
      </c>
      <c r="I195">
        <f>IF(VLOOKUP(I$1,main!$A$3:$I$56,5,FALSE)-VLOOKUP($A195,main!$A$3:$I$56,6,FALSE)&gt;=VLOOKUP(58,main!$A$57:$I$61,4,FALSE)+VLOOKUP(VLOOKUP(I$1,main!$A$3:$I$56,7,FALSE),main!$K$10:$Q$14,6,FALSE),1,0)</f>
        <v>1</v>
      </c>
      <c r="J195">
        <f>IF(VLOOKUP(J$1,main!$A$3:$I$56,5,FALSE)-VLOOKUP($A195,main!$A$3:$I$56,6,FALSE)&gt;=VLOOKUP(58,main!$A$57:$I$61,4,FALSE)+VLOOKUP(VLOOKUP(J$1,main!$A$3:$I$56,7,FALSE),main!$K$10:$Q$14,6,FALSE),1,0)</f>
        <v>1</v>
      </c>
      <c r="K195">
        <f>IF(VLOOKUP(K$1,main!$A$3:$I$56,5,FALSE)-VLOOKUP($A195,main!$A$3:$I$56,6,FALSE)&gt;=VLOOKUP(58,main!$A$57:$I$61,4,FALSE)+VLOOKUP(VLOOKUP(K$1,main!$A$3:$I$56,7,FALSE),main!$K$10:$Q$14,6,FALSE),1,0)</f>
        <v>0</v>
      </c>
      <c r="L195">
        <f>IF(VLOOKUP(L$1,main!$A$3:$I$56,5,FALSE)-VLOOKUP($A195,main!$A$3:$I$56,6,FALSE)&gt;=VLOOKUP(58,main!$A$57:$I$61,4,FALSE)+VLOOKUP(VLOOKUP(L$1,main!$A$3:$I$56,7,FALSE),main!$K$10:$Q$14,6,FALSE),1,0)</f>
        <v>0</v>
      </c>
      <c r="M195">
        <f>IF(VLOOKUP(M$1,main!$A$3:$I$56,5,FALSE)-VLOOKUP($A195,main!$A$3:$I$56,6,FALSE)&gt;=VLOOKUP(58,main!$A$57:$I$61,4,FALSE)+VLOOKUP(VLOOKUP(M$1,main!$A$3:$I$56,7,FALSE),main!$K$10:$Q$14,6,FALSE),1,0)</f>
        <v>0</v>
      </c>
      <c r="N195">
        <f>IF(VLOOKUP(N$1,main!$A$3:$I$56,5,FALSE)-VLOOKUP($A195,main!$A$3:$I$56,6,FALSE)&gt;=VLOOKUP(58,main!$A$57:$I$61,4,FALSE)+VLOOKUP(VLOOKUP(N$1,main!$A$3:$I$56,7,FALSE),main!$K$10:$Q$14,6,FALSE),1,0)</f>
        <v>1</v>
      </c>
      <c r="O195">
        <f>IF(VLOOKUP(O$1,main!$A$3:$I$56,5,FALSE)-VLOOKUP($A195,main!$A$3:$I$56,6,FALSE)&gt;=VLOOKUP(58,main!$A$57:$I$61,4,FALSE)+VLOOKUP(VLOOKUP(O$1,main!$A$3:$I$56,7,FALSE),main!$K$10:$Q$14,6,FALSE),1,0)</f>
        <v>1</v>
      </c>
      <c r="P195">
        <f>IF(VLOOKUP(P$1,main!$A$3:$I$56,5,FALSE)-VLOOKUP($A195,main!$A$3:$I$56,6,FALSE)&gt;=VLOOKUP(58,main!$A$57:$I$61,4,FALSE)+VLOOKUP(VLOOKUP(P$1,main!$A$3:$I$56,7,FALSE),main!$K$10:$Q$14,6,FALSE),1,0)</f>
        <v>0</v>
      </c>
      <c r="Q195">
        <f>IF(VLOOKUP(Q$1,main!$A$3:$I$56,5,FALSE)-VLOOKUP($A195,main!$A$3:$I$56,6,FALSE)&gt;=VLOOKUP(58,main!$A$57:$I$61,4,FALSE)+VLOOKUP(VLOOKUP(Q$1,main!$A$3:$I$56,7,FALSE),main!$K$10:$Q$14,6,FALSE),1,0)</f>
        <v>0</v>
      </c>
      <c r="R195">
        <f>IF(VLOOKUP(R$1,main!$A$3:$I$56,5,FALSE)-VLOOKUP($A195,main!$A$3:$I$56,6,FALSE)&gt;=VLOOKUP(58,main!$A$57:$I$61,4,FALSE)+VLOOKUP(VLOOKUP(R$1,main!$A$3:$I$56,7,FALSE),main!$K$10:$Q$14,6,FALSE),1,0)</f>
        <v>0</v>
      </c>
      <c r="S195">
        <f>IF(VLOOKUP(S$1,main!$A$3:$I$56,5,FALSE)-VLOOKUP($A195,main!$A$3:$I$56,6,FALSE)&gt;=VLOOKUP(58,main!$A$57:$I$61,4,FALSE)+VLOOKUP(VLOOKUP(S$1,main!$A$3:$I$56,7,FALSE),main!$K$10:$Q$14,6,FALSE),1,0)</f>
        <v>1</v>
      </c>
      <c r="T195">
        <f>IF(VLOOKUP(T$1,main!$A$3:$I$56,5,FALSE)-VLOOKUP($A195,main!$A$3:$I$56,6,FALSE)&gt;=VLOOKUP(58,main!$A$57:$I$61,4,FALSE)+VLOOKUP(VLOOKUP(T$1,main!$A$3:$I$56,7,FALSE),main!$K$10:$Q$14,6,FALSE),1,0)</f>
        <v>1</v>
      </c>
      <c r="U195">
        <f>IF(VLOOKUP(U$1,main!$A$3:$I$56,5,FALSE)-VLOOKUP($A195,main!$A$3:$I$56,6,FALSE)&gt;=VLOOKUP(58,main!$A$57:$I$61,4,FALSE)+VLOOKUP(VLOOKUP(U$1,main!$A$3:$I$56,7,FALSE),main!$K$10:$Q$14,6,FALSE),1,0)</f>
        <v>0</v>
      </c>
      <c r="V195">
        <f>IF(VLOOKUP(V$1,main!$A$3:$I$56,5,FALSE)-VLOOKUP($A195,main!$A$3:$I$56,6,FALSE)&gt;=VLOOKUP(58,main!$A$57:$I$61,4,FALSE)+VLOOKUP(VLOOKUP(V$1,main!$A$3:$I$56,7,FALSE),main!$K$10:$Q$14,6,FALSE),1,0)</f>
        <v>0</v>
      </c>
      <c r="W195">
        <f>IF(VLOOKUP(W$1,main!$A$3:$I$56,5,FALSE)-VLOOKUP($A195,main!$A$3:$I$56,6,FALSE)&gt;=VLOOKUP(58,main!$A$57:$I$61,4,FALSE)+VLOOKUP(VLOOKUP(W$1,main!$A$3:$I$56,7,FALSE),main!$K$10:$Q$14,6,FALSE),1,0)</f>
        <v>0</v>
      </c>
      <c r="X195">
        <f>IF(VLOOKUP(X$1,main!$A$3:$I$56,5,FALSE)-VLOOKUP($A195,main!$A$3:$I$56,6,FALSE)&gt;=VLOOKUP(58,main!$A$57:$I$61,4,FALSE)+VLOOKUP(VLOOKUP(X$1,main!$A$3:$I$56,7,FALSE),main!$K$10:$Q$14,6,FALSE),1,0)</f>
        <v>0</v>
      </c>
      <c r="Y195">
        <f>IF(VLOOKUP(Y$1,main!$A$3:$I$56,5,FALSE)-VLOOKUP($A195,main!$A$3:$I$56,6,FALSE)&gt;=VLOOKUP(58,main!$A$57:$I$61,4,FALSE)+VLOOKUP(VLOOKUP(Y$1,main!$A$3:$I$56,7,FALSE),main!$K$10:$Q$14,6,FALSE),1,0)</f>
        <v>0</v>
      </c>
      <c r="Z195">
        <f>IF(VLOOKUP(Z$1,main!$A$3:$I$56,5,FALSE)-VLOOKUP($A195,main!$A$3:$I$56,6,FALSE)&gt;=VLOOKUP(58,main!$A$57:$I$61,4,FALSE)+VLOOKUP(VLOOKUP(Z$1,main!$A$3:$I$56,7,FALSE),main!$K$10:$Q$14,6,FALSE),1,0)</f>
        <v>1</v>
      </c>
      <c r="AA195">
        <f>IF(VLOOKUP(AA$1,main!$A$3:$I$56,5,FALSE)-VLOOKUP($A195,main!$A$3:$I$56,6,FALSE)&gt;=VLOOKUP(58,main!$A$57:$I$61,4,FALSE)+VLOOKUP(VLOOKUP(AA$1,main!$A$3:$I$56,7,FALSE),main!$K$10:$Q$14,6,FALSE),1,0)</f>
        <v>1</v>
      </c>
      <c r="AB195">
        <f>IF(VLOOKUP(AB$1,main!$A$3:$I$56,5,FALSE)-VLOOKUP($A195,main!$A$3:$I$56,6,FALSE)&gt;=VLOOKUP(58,main!$A$57:$I$61,4,FALSE)+VLOOKUP(VLOOKUP(AB$1,main!$A$3:$I$56,7,FALSE),main!$K$10:$Q$14,6,FALSE),1,0)</f>
        <v>1</v>
      </c>
      <c r="AC195">
        <f>IF(VLOOKUP(AC$1,main!$A$3:$I$56,5,FALSE)-VLOOKUP($A195,main!$A$3:$I$56,6,FALSE)&gt;=VLOOKUP(58,main!$A$57:$I$61,4,FALSE)+VLOOKUP(VLOOKUP(AC$1,main!$A$3:$I$56,7,FALSE),main!$K$10:$Q$14,6,FALSE),1,0)</f>
        <v>0</v>
      </c>
      <c r="AD195">
        <f>IF(VLOOKUP(AD$1,main!$A$3:$I$56,5,FALSE)-VLOOKUP($A195,main!$A$3:$I$56,6,FALSE)&gt;=VLOOKUP(58,main!$A$57:$I$61,4,FALSE)+VLOOKUP(VLOOKUP(AD$1,main!$A$3:$I$56,7,FALSE),main!$K$10:$Q$14,6,FALSE),1,0)</f>
        <v>0</v>
      </c>
      <c r="AE195">
        <f>IF(VLOOKUP(AE$1,main!$A$3:$I$56,5,FALSE)-VLOOKUP($A195,main!$A$3:$I$56,6,FALSE)&gt;=VLOOKUP(58,main!$A$57:$I$61,4,FALSE)+VLOOKUP(VLOOKUP(AE$1,main!$A$3:$I$56,7,FALSE),main!$K$10:$Q$14,6,FALSE),1,0)</f>
        <v>0</v>
      </c>
      <c r="AF195">
        <f>IF(VLOOKUP(AF$1,main!$A$3:$I$56,5,FALSE)-VLOOKUP($A195,main!$A$3:$I$56,6,FALSE)&gt;=VLOOKUP(58,main!$A$57:$I$61,4,FALSE)+VLOOKUP(VLOOKUP(AF$1,main!$A$3:$I$56,7,FALSE),main!$K$10:$Q$14,6,FALSE),1,0)</f>
        <v>1</v>
      </c>
      <c r="AG195">
        <f>IF(VLOOKUP(AG$1,main!$A$3:$I$56,5,FALSE)-VLOOKUP($A195,main!$A$3:$I$56,6,FALSE)&gt;=VLOOKUP(58,main!$A$57:$I$61,4,FALSE)+VLOOKUP(VLOOKUP(AG$1,main!$A$3:$I$56,7,FALSE),main!$K$10:$Q$14,6,FALSE),1,0)</f>
        <v>0</v>
      </c>
      <c r="AH195">
        <f>IF(VLOOKUP(AH$1,main!$A$3:$I$56,5,FALSE)-VLOOKUP($A195,main!$A$3:$I$56,6,FALSE)&gt;=VLOOKUP(58,main!$A$57:$I$61,4,FALSE)+VLOOKUP(VLOOKUP(AH$1,main!$A$3:$I$56,7,FALSE),main!$K$10:$Q$14,6,FALSE),1,0)</f>
        <v>0</v>
      </c>
      <c r="AI195">
        <f>IF(VLOOKUP(AI$1,main!$A$3:$I$56,5,FALSE)-VLOOKUP($A195,main!$A$3:$I$56,6,FALSE)&gt;=VLOOKUP(58,main!$A$57:$I$61,4,FALSE)+VLOOKUP(VLOOKUP(AI$1,main!$A$3:$I$56,7,FALSE),main!$K$10:$Q$14,6,FALSE),1,0)</f>
        <v>1</v>
      </c>
      <c r="AJ195">
        <f>IF(VLOOKUP(AJ$1,main!$A$3:$I$56,5,FALSE)-VLOOKUP($A195,main!$A$3:$I$56,6,FALSE)&gt;=VLOOKUP(58,main!$A$57:$I$61,4,FALSE)+VLOOKUP(VLOOKUP(AJ$1,main!$A$3:$I$56,7,FALSE),main!$K$10:$Q$14,6,FALSE),1,0)</f>
        <v>1</v>
      </c>
      <c r="AK195">
        <f>IF(VLOOKUP(AK$1,main!$A$3:$I$56,5,FALSE)-VLOOKUP($A195,main!$A$3:$I$56,6,FALSE)&gt;=VLOOKUP(58,main!$A$57:$I$61,4,FALSE)+VLOOKUP(VLOOKUP(AK$1,main!$A$3:$I$56,7,FALSE),main!$K$10:$Q$14,6,FALSE),1,0)</f>
        <v>1</v>
      </c>
      <c r="AL195">
        <f>IF(VLOOKUP(AL$1,main!$A$3:$I$56,5,FALSE)-VLOOKUP($A195,main!$A$3:$I$56,6,FALSE)&gt;=VLOOKUP(58,main!$A$57:$I$61,4,FALSE)+VLOOKUP(VLOOKUP(AL$1,main!$A$3:$I$56,7,FALSE),main!$K$10:$Q$14,6,FALSE),1,0)</f>
        <v>0</v>
      </c>
      <c r="AM195">
        <f>IF(VLOOKUP(AM$1,main!$A$3:$I$56,5,FALSE)-VLOOKUP($A195,main!$A$3:$I$56,6,FALSE)&gt;=VLOOKUP(58,main!$A$57:$I$61,4,FALSE)+VLOOKUP(VLOOKUP(AM$1,main!$A$3:$I$56,7,FALSE),main!$K$10:$Q$14,6,FALSE),1,0)</f>
        <v>0</v>
      </c>
      <c r="AN195">
        <f>IF(VLOOKUP(AN$1,main!$A$3:$I$56,5,FALSE)-VLOOKUP($A195,main!$A$3:$I$56,6,FALSE)&gt;=VLOOKUP(58,main!$A$57:$I$61,4,FALSE)+VLOOKUP(VLOOKUP(AN$1,main!$A$3:$I$56,7,FALSE),main!$K$10:$Q$14,6,FALSE),1,0)</f>
        <v>1</v>
      </c>
      <c r="AO195">
        <f>IF(VLOOKUP(AO$1,main!$A$3:$I$56,5,FALSE)-VLOOKUP($A195,main!$A$3:$I$56,6,FALSE)&gt;=VLOOKUP(58,main!$A$57:$I$61,4,FALSE)+VLOOKUP(VLOOKUP(AO$1,main!$A$3:$I$56,7,FALSE),main!$K$10:$Q$14,6,FALSE),1,0)</f>
        <v>1</v>
      </c>
      <c r="AP195">
        <f>IF(VLOOKUP(AP$1,main!$A$3:$I$56,5,FALSE)-VLOOKUP($A195,main!$A$3:$I$56,6,FALSE)&gt;=VLOOKUP(58,main!$A$57:$I$61,4,FALSE)+VLOOKUP(VLOOKUP(AP$1,main!$A$3:$I$56,7,FALSE),main!$K$10:$Q$14,6,FALSE),1,0)</f>
        <v>0</v>
      </c>
      <c r="AQ195">
        <f>IF(VLOOKUP(AQ$1,main!$A$3:$I$56,5,FALSE)-VLOOKUP($A195,main!$A$3:$I$56,6,FALSE)&gt;=VLOOKUP(58,main!$A$57:$I$61,4,FALSE)+VLOOKUP(VLOOKUP(AQ$1,main!$A$3:$I$56,7,FALSE),main!$K$10:$Q$14,6,FALSE),1,0)</f>
        <v>0</v>
      </c>
      <c r="AR195">
        <f>IF(VLOOKUP(AR$1,main!$A$3:$I$56,5,FALSE)-VLOOKUP($A195,main!$A$3:$I$56,6,FALSE)&gt;=VLOOKUP(58,main!$A$57:$I$61,4,FALSE)+VLOOKUP(VLOOKUP(AR$1,main!$A$3:$I$56,7,FALSE),main!$K$10:$Q$14,6,FALSE),1,0)</f>
        <v>0</v>
      </c>
      <c r="AS195">
        <f>IF(VLOOKUP(AS$1,main!$A$3:$I$56,5,FALSE)-VLOOKUP($A195,main!$A$3:$I$56,6,FALSE)&gt;=VLOOKUP(58,main!$A$57:$I$61,4,FALSE)+VLOOKUP(VLOOKUP(AS$1,main!$A$3:$I$56,7,FALSE),main!$K$10:$Q$14,6,FALSE),1,0)</f>
        <v>0</v>
      </c>
      <c r="AT195">
        <f>IF(VLOOKUP(AT$1,main!$A$3:$I$56,5,FALSE)-VLOOKUP($A195,main!$A$3:$I$56,6,FALSE)&gt;=VLOOKUP(58,main!$A$57:$I$61,4,FALSE)+VLOOKUP(VLOOKUP(AT$1,main!$A$3:$I$56,7,FALSE),main!$K$10:$Q$14,6,FALSE),1,0)</f>
        <v>1</v>
      </c>
      <c r="AU195">
        <f>IF(VLOOKUP(AU$1,main!$A$3:$I$56,5,FALSE)-VLOOKUP($A195,main!$A$3:$I$56,6,FALSE)&gt;=VLOOKUP(58,main!$A$57:$I$61,4,FALSE)+VLOOKUP(VLOOKUP(AU$1,main!$A$3:$I$56,7,FALSE),main!$K$10:$Q$14,6,FALSE),1,0)</f>
        <v>0</v>
      </c>
      <c r="AV195">
        <f>IF(VLOOKUP(AV$1,main!$A$3:$I$56,5,FALSE)-VLOOKUP($A195,main!$A$3:$I$56,6,FALSE)&gt;=VLOOKUP(58,main!$A$57:$I$61,4,FALSE)+VLOOKUP(VLOOKUP(AV$1,main!$A$3:$I$56,7,FALSE),main!$K$10:$Q$14,6,FALSE),1,0)</f>
        <v>0</v>
      </c>
      <c r="AW195">
        <f>IF(VLOOKUP(AW$1,main!$A$3:$I$56,5,FALSE)-VLOOKUP($A195,main!$A$3:$I$56,6,FALSE)&gt;=VLOOKUP(58,main!$A$57:$I$61,4,FALSE)+VLOOKUP(VLOOKUP(AW$1,main!$A$3:$I$56,7,FALSE),main!$K$10:$Q$14,6,FALSE),1,0)</f>
        <v>0</v>
      </c>
      <c r="AX195">
        <f>IF(VLOOKUP(AX$1,main!$A$3:$I$56,5,FALSE)-VLOOKUP($A195,main!$A$3:$I$56,6,FALSE)&gt;=VLOOKUP(58,main!$A$57:$I$61,4,FALSE)+VLOOKUP(VLOOKUP(AX$1,main!$A$3:$I$56,7,FALSE),main!$K$10:$Q$14,6,FALSE),1,0)</f>
        <v>0</v>
      </c>
      <c r="AY195">
        <f>IF(VLOOKUP(AY$1,main!$A$3:$I$56,5,FALSE)-VLOOKUP($A195,main!$A$3:$I$56,6,FALSE)&gt;=VLOOKUP(58,main!$A$57:$I$61,4,FALSE)+VLOOKUP(VLOOKUP(AY$1,main!$A$3:$I$56,7,FALSE),main!$K$10:$Q$14,6,FALSE),1,0)</f>
        <v>1</v>
      </c>
      <c r="AZ195">
        <f>IF(VLOOKUP(AZ$1,main!$A$3:$I$56,5,FALSE)-VLOOKUP($A195,main!$A$3:$I$56,6,FALSE)&gt;=VLOOKUP(58,main!$A$57:$I$61,4,FALSE)+VLOOKUP(VLOOKUP(AZ$1,main!$A$3:$I$56,7,FALSE),main!$K$10:$Q$14,6,FALSE),1,0)</f>
        <v>0</v>
      </c>
      <c r="BA195">
        <f>IF(VLOOKUP(BA$1,main!$A$3:$I$56,5,FALSE)-VLOOKUP($A195,main!$A$3:$I$56,6,FALSE)&gt;=VLOOKUP(58,main!$A$57:$I$61,4,FALSE)+VLOOKUP(VLOOKUP(BA$1,main!$A$3:$I$56,7,FALSE),main!$K$10:$Q$14,6,FALSE),1,0)</f>
        <v>0</v>
      </c>
      <c r="BB195">
        <f>IF(VLOOKUP(BB$1,main!$A$3:$I$56,5,FALSE)-VLOOKUP($A195,main!$A$3:$I$56,6,FALSE)&gt;=VLOOKUP(58,main!$A$57:$I$61,4,FALSE)+VLOOKUP(VLOOKUP(BB$1,main!$A$3:$I$56,7,FALSE),main!$K$10:$Q$14,6,FALSE),1,0)</f>
        <v>0</v>
      </c>
      <c r="BC195">
        <f>IF(VLOOKUP(BC$1,main!$A$3:$I$56,5,FALSE)-VLOOKUP($A195,main!$A$3:$I$56,6,FALSE)&gt;=VLOOKUP(58,main!$A$57:$I$61,4,FALSE)+VLOOKUP(VLOOKUP(BC$1,main!$A$3:$I$56,7,FALSE),main!$K$10:$Q$14,6,FALSE),1,0)</f>
        <v>0</v>
      </c>
      <c r="BD195">
        <f>IF(VLOOKUP(BD$1,main!$A$3:$I$56,5,FALSE)-VLOOKUP($A195,main!$A$3:$I$56,6,FALSE)&gt;=VLOOKUP(58,main!$A$57:$I$61,4,FALSE)+VLOOKUP(VLOOKUP(BD$1,main!$A$3:$I$56,7,FALSE),main!$K$10:$Q$14,6,FALSE),1,0)</f>
        <v>0</v>
      </c>
    </row>
    <row r="196" spans="1:56" x14ac:dyDescent="0.25">
      <c r="A196">
        <f t="shared" si="3"/>
        <v>29</v>
      </c>
      <c r="B196">
        <v>0</v>
      </c>
      <c r="C196">
        <f>IF(VLOOKUP(C$1,main!$A$3:$I$56,5,FALSE)-VLOOKUP($A196,main!$A$3:$I$56,6,FALSE)&gt;=VLOOKUP(58,main!$A$57:$I$61,4,FALSE)+VLOOKUP(VLOOKUP(C$1,main!$A$3:$I$56,7,FALSE),main!$K$10:$Q$14,6,FALSE),1,0)</f>
        <v>0</v>
      </c>
      <c r="D196">
        <f>IF(VLOOKUP(D$1,main!$A$3:$I$56,5,FALSE)-VLOOKUP($A196,main!$A$3:$I$56,6,FALSE)&gt;=VLOOKUP(58,main!$A$57:$I$61,4,FALSE)+VLOOKUP(VLOOKUP(D$1,main!$A$3:$I$56,7,FALSE),main!$K$10:$Q$14,6,FALSE),1,0)</f>
        <v>0</v>
      </c>
      <c r="E196">
        <f>IF(VLOOKUP(E$1,main!$A$3:$I$56,5,FALSE)-VLOOKUP($A196,main!$A$3:$I$56,6,FALSE)&gt;=VLOOKUP(58,main!$A$57:$I$61,4,FALSE)+VLOOKUP(VLOOKUP(E$1,main!$A$3:$I$56,7,FALSE),main!$K$10:$Q$14,6,FALSE),1,0)</f>
        <v>0</v>
      </c>
      <c r="F196">
        <f>IF(VLOOKUP(F$1,main!$A$3:$I$56,5,FALSE)-VLOOKUP($A196,main!$A$3:$I$56,6,FALSE)&gt;=VLOOKUP(58,main!$A$57:$I$61,4,FALSE)+VLOOKUP(VLOOKUP(F$1,main!$A$3:$I$56,7,FALSE),main!$K$10:$Q$14,6,FALSE),1,0)</f>
        <v>0</v>
      </c>
      <c r="G196">
        <f>IF(VLOOKUP(G$1,main!$A$3:$I$56,5,FALSE)-VLOOKUP($A196,main!$A$3:$I$56,6,FALSE)&gt;=VLOOKUP(58,main!$A$57:$I$61,4,FALSE)+VLOOKUP(VLOOKUP(G$1,main!$A$3:$I$56,7,FALSE),main!$K$10:$Q$14,6,FALSE),1,0)</f>
        <v>0</v>
      </c>
      <c r="H196">
        <f>IF(VLOOKUP(H$1,main!$A$3:$I$56,5,FALSE)-VLOOKUP($A196,main!$A$3:$I$56,6,FALSE)&gt;=VLOOKUP(58,main!$A$57:$I$61,4,FALSE)+VLOOKUP(VLOOKUP(H$1,main!$A$3:$I$56,7,FALSE),main!$K$10:$Q$14,6,FALSE),1,0)</f>
        <v>0</v>
      </c>
      <c r="I196">
        <f>IF(VLOOKUP(I$1,main!$A$3:$I$56,5,FALSE)-VLOOKUP($A196,main!$A$3:$I$56,6,FALSE)&gt;=VLOOKUP(58,main!$A$57:$I$61,4,FALSE)+VLOOKUP(VLOOKUP(I$1,main!$A$3:$I$56,7,FALSE),main!$K$10:$Q$14,6,FALSE),1,0)</f>
        <v>0</v>
      </c>
      <c r="J196">
        <f>IF(VLOOKUP(J$1,main!$A$3:$I$56,5,FALSE)-VLOOKUP($A196,main!$A$3:$I$56,6,FALSE)&gt;=VLOOKUP(58,main!$A$57:$I$61,4,FALSE)+VLOOKUP(VLOOKUP(J$1,main!$A$3:$I$56,7,FALSE),main!$K$10:$Q$14,6,FALSE),1,0)</f>
        <v>1</v>
      </c>
      <c r="K196">
        <f>IF(VLOOKUP(K$1,main!$A$3:$I$56,5,FALSE)-VLOOKUP($A196,main!$A$3:$I$56,6,FALSE)&gt;=VLOOKUP(58,main!$A$57:$I$61,4,FALSE)+VLOOKUP(VLOOKUP(K$1,main!$A$3:$I$56,7,FALSE),main!$K$10:$Q$14,6,FALSE),1,0)</f>
        <v>0</v>
      </c>
      <c r="L196">
        <f>IF(VLOOKUP(L$1,main!$A$3:$I$56,5,FALSE)-VLOOKUP($A196,main!$A$3:$I$56,6,FALSE)&gt;=VLOOKUP(58,main!$A$57:$I$61,4,FALSE)+VLOOKUP(VLOOKUP(L$1,main!$A$3:$I$56,7,FALSE),main!$K$10:$Q$14,6,FALSE),1,0)</f>
        <v>0</v>
      </c>
      <c r="M196">
        <f>IF(VLOOKUP(M$1,main!$A$3:$I$56,5,FALSE)-VLOOKUP($A196,main!$A$3:$I$56,6,FALSE)&gt;=VLOOKUP(58,main!$A$57:$I$61,4,FALSE)+VLOOKUP(VLOOKUP(M$1,main!$A$3:$I$56,7,FALSE),main!$K$10:$Q$14,6,FALSE),1,0)</f>
        <v>0</v>
      </c>
      <c r="N196">
        <f>IF(VLOOKUP(N$1,main!$A$3:$I$56,5,FALSE)-VLOOKUP($A196,main!$A$3:$I$56,6,FALSE)&gt;=VLOOKUP(58,main!$A$57:$I$61,4,FALSE)+VLOOKUP(VLOOKUP(N$1,main!$A$3:$I$56,7,FALSE),main!$K$10:$Q$14,6,FALSE),1,0)</f>
        <v>1</v>
      </c>
      <c r="O196">
        <f>IF(VLOOKUP(O$1,main!$A$3:$I$56,5,FALSE)-VLOOKUP($A196,main!$A$3:$I$56,6,FALSE)&gt;=VLOOKUP(58,main!$A$57:$I$61,4,FALSE)+VLOOKUP(VLOOKUP(O$1,main!$A$3:$I$56,7,FALSE),main!$K$10:$Q$14,6,FALSE),1,0)</f>
        <v>1</v>
      </c>
      <c r="P196">
        <f>IF(VLOOKUP(P$1,main!$A$3:$I$56,5,FALSE)-VLOOKUP($A196,main!$A$3:$I$56,6,FALSE)&gt;=VLOOKUP(58,main!$A$57:$I$61,4,FALSE)+VLOOKUP(VLOOKUP(P$1,main!$A$3:$I$56,7,FALSE),main!$K$10:$Q$14,6,FALSE),1,0)</f>
        <v>0</v>
      </c>
      <c r="Q196">
        <f>IF(VLOOKUP(Q$1,main!$A$3:$I$56,5,FALSE)-VLOOKUP($A196,main!$A$3:$I$56,6,FALSE)&gt;=VLOOKUP(58,main!$A$57:$I$61,4,FALSE)+VLOOKUP(VLOOKUP(Q$1,main!$A$3:$I$56,7,FALSE),main!$K$10:$Q$14,6,FALSE),1,0)</f>
        <v>0</v>
      </c>
      <c r="R196">
        <f>IF(VLOOKUP(R$1,main!$A$3:$I$56,5,FALSE)-VLOOKUP($A196,main!$A$3:$I$56,6,FALSE)&gt;=VLOOKUP(58,main!$A$57:$I$61,4,FALSE)+VLOOKUP(VLOOKUP(R$1,main!$A$3:$I$56,7,FALSE),main!$K$10:$Q$14,6,FALSE),1,0)</f>
        <v>0</v>
      </c>
      <c r="S196">
        <f>IF(VLOOKUP(S$1,main!$A$3:$I$56,5,FALSE)-VLOOKUP($A196,main!$A$3:$I$56,6,FALSE)&gt;=VLOOKUP(58,main!$A$57:$I$61,4,FALSE)+VLOOKUP(VLOOKUP(S$1,main!$A$3:$I$56,7,FALSE),main!$K$10:$Q$14,6,FALSE),1,0)</f>
        <v>0</v>
      </c>
      <c r="T196">
        <f>IF(VLOOKUP(T$1,main!$A$3:$I$56,5,FALSE)-VLOOKUP($A196,main!$A$3:$I$56,6,FALSE)&gt;=VLOOKUP(58,main!$A$57:$I$61,4,FALSE)+VLOOKUP(VLOOKUP(T$1,main!$A$3:$I$56,7,FALSE),main!$K$10:$Q$14,6,FALSE),1,0)</f>
        <v>1</v>
      </c>
      <c r="U196">
        <f>IF(VLOOKUP(U$1,main!$A$3:$I$56,5,FALSE)-VLOOKUP($A196,main!$A$3:$I$56,6,FALSE)&gt;=VLOOKUP(58,main!$A$57:$I$61,4,FALSE)+VLOOKUP(VLOOKUP(U$1,main!$A$3:$I$56,7,FALSE),main!$K$10:$Q$14,6,FALSE),1,0)</f>
        <v>0</v>
      </c>
      <c r="V196">
        <f>IF(VLOOKUP(V$1,main!$A$3:$I$56,5,FALSE)-VLOOKUP($A196,main!$A$3:$I$56,6,FALSE)&gt;=VLOOKUP(58,main!$A$57:$I$61,4,FALSE)+VLOOKUP(VLOOKUP(V$1,main!$A$3:$I$56,7,FALSE),main!$K$10:$Q$14,6,FALSE),1,0)</f>
        <v>0</v>
      </c>
      <c r="W196">
        <f>IF(VLOOKUP(W$1,main!$A$3:$I$56,5,FALSE)-VLOOKUP($A196,main!$A$3:$I$56,6,FALSE)&gt;=VLOOKUP(58,main!$A$57:$I$61,4,FALSE)+VLOOKUP(VLOOKUP(W$1,main!$A$3:$I$56,7,FALSE),main!$K$10:$Q$14,6,FALSE),1,0)</f>
        <v>0</v>
      </c>
      <c r="X196">
        <f>IF(VLOOKUP(X$1,main!$A$3:$I$56,5,FALSE)-VLOOKUP($A196,main!$A$3:$I$56,6,FALSE)&gt;=VLOOKUP(58,main!$A$57:$I$61,4,FALSE)+VLOOKUP(VLOOKUP(X$1,main!$A$3:$I$56,7,FALSE),main!$K$10:$Q$14,6,FALSE),1,0)</f>
        <v>0</v>
      </c>
      <c r="Y196">
        <f>IF(VLOOKUP(Y$1,main!$A$3:$I$56,5,FALSE)-VLOOKUP($A196,main!$A$3:$I$56,6,FALSE)&gt;=VLOOKUP(58,main!$A$57:$I$61,4,FALSE)+VLOOKUP(VLOOKUP(Y$1,main!$A$3:$I$56,7,FALSE),main!$K$10:$Q$14,6,FALSE),1,0)</f>
        <v>0</v>
      </c>
      <c r="Z196">
        <f>IF(VLOOKUP(Z$1,main!$A$3:$I$56,5,FALSE)-VLOOKUP($A196,main!$A$3:$I$56,6,FALSE)&gt;=VLOOKUP(58,main!$A$57:$I$61,4,FALSE)+VLOOKUP(VLOOKUP(Z$1,main!$A$3:$I$56,7,FALSE),main!$K$10:$Q$14,6,FALSE),1,0)</f>
        <v>0</v>
      </c>
      <c r="AA196">
        <f>IF(VLOOKUP(AA$1,main!$A$3:$I$56,5,FALSE)-VLOOKUP($A196,main!$A$3:$I$56,6,FALSE)&gt;=VLOOKUP(58,main!$A$57:$I$61,4,FALSE)+VLOOKUP(VLOOKUP(AA$1,main!$A$3:$I$56,7,FALSE),main!$K$10:$Q$14,6,FALSE),1,0)</f>
        <v>0</v>
      </c>
      <c r="AB196">
        <f>IF(VLOOKUP(AB$1,main!$A$3:$I$56,5,FALSE)-VLOOKUP($A196,main!$A$3:$I$56,6,FALSE)&gt;=VLOOKUP(58,main!$A$57:$I$61,4,FALSE)+VLOOKUP(VLOOKUP(AB$1,main!$A$3:$I$56,7,FALSE),main!$K$10:$Q$14,6,FALSE),1,0)</f>
        <v>1</v>
      </c>
      <c r="AC196">
        <f>IF(VLOOKUP(AC$1,main!$A$3:$I$56,5,FALSE)-VLOOKUP($A196,main!$A$3:$I$56,6,FALSE)&gt;=VLOOKUP(58,main!$A$57:$I$61,4,FALSE)+VLOOKUP(VLOOKUP(AC$1,main!$A$3:$I$56,7,FALSE),main!$K$10:$Q$14,6,FALSE),1,0)</f>
        <v>0</v>
      </c>
      <c r="AD196">
        <f>IF(VLOOKUP(AD$1,main!$A$3:$I$56,5,FALSE)-VLOOKUP($A196,main!$A$3:$I$56,6,FALSE)&gt;=VLOOKUP(58,main!$A$57:$I$61,4,FALSE)+VLOOKUP(VLOOKUP(AD$1,main!$A$3:$I$56,7,FALSE),main!$K$10:$Q$14,6,FALSE),1,0)</f>
        <v>0</v>
      </c>
      <c r="AE196">
        <f>IF(VLOOKUP(AE$1,main!$A$3:$I$56,5,FALSE)-VLOOKUP($A196,main!$A$3:$I$56,6,FALSE)&gt;=VLOOKUP(58,main!$A$57:$I$61,4,FALSE)+VLOOKUP(VLOOKUP(AE$1,main!$A$3:$I$56,7,FALSE),main!$K$10:$Q$14,6,FALSE),1,0)</f>
        <v>0</v>
      </c>
      <c r="AF196">
        <f>IF(VLOOKUP(AF$1,main!$A$3:$I$56,5,FALSE)-VLOOKUP($A196,main!$A$3:$I$56,6,FALSE)&gt;=VLOOKUP(58,main!$A$57:$I$61,4,FALSE)+VLOOKUP(VLOOKUP(AF$1,main!$A$3:$I$56,7,FALSE),main!$K$10:$Q$14,6,FALSE),1,0)</f>
        <v>0</v>
      </c>
      <c r="AG196">
        <f>IF(VLOOKUP(AG$1,main!$A$3:$I$56,5,FALSE)-VLOOKUP($A196,main!$A$3:$I$56,6,FALSE)&gt;=VLOOKUP(58,main!$A$57:$I$61,4,FALSE)+VLOOKUP(VLOOKUP(AG$1,main!$A$3:$I$56,7,FALSE),main!$K$10:$Q$14,6,FALSE),1,0)</f>
        <v>0</v>
      </c>
      <c r="AH196">
        <f>IF(VLOOKUP(AH$1,main!$A$3:$I$56,5,FALSE)-VLOOKUP($A196,main!$A$3:$I$56,6,FALSE)&gt;=VLOOKUP(58,main!$A$57:$I$61,4,FALSE)+VLOOKUP(VLOOKUP(AH$1,main!$A$3:$I$56,7,FALSE),main!$K$10:$Q$14,6,FALSE),1,0)</f>
        <v>0</v>
      </c>
      <c r="AI196">
        <f>IF(VLOOKUP(AI$1,main!$A$3:$I$56,5,FALSE)-VLOOKUP($A196,main!$A$3:$I$56,6,FALSE)&gt;=VLOOKUP(58,main!$A$57:$I$61,4,FALSE)+VLOOKUP(VLOOKUP(AI$1,main!$A$3:$I$56,7,FALSE),main!$K$10:$Q$14,6,FALSE),1,0)</f>
        <v>0</v>
      </c>
      <c r="AJ196">
        <f>IF(VLOOKUP(AJ$1,main!$A$3:$I$56,5,FALSE)-VLOOKUP($A196,main!$A$3:$I$56,6,FALSE)&gt;=VLOOKUP(58,main!$A$57:$I$61,4,FALSE)+VLOOKUP(VLOOKUP(AJ$1,main!$A$3:$I$56,7,FALSE),main!$K$10:$Q$14,6,FALSE),1,0)</f>
        <v>0</v>
      </c>
      <c r="AK196">
        <f>IF(VLOOKUP(AK$1,main!$A$3:$I$56,5,FALSE)-VLOOKUP($A196,main!$A$3:$I$56,6,FALSE)&gt;=VLOOKUP(58,main!$A$57:$I$61,4,FALSE)+VLOOKUP(VLOOKUP(AK$1,main!$A$3:$I$56,7,FALSE),main!$K$10:$Q$14,6,FALSE),1,0)</f>
        <v>1</v>
      </c>
      <c r="AL196">
        <f>IF(VLOOKUP(AL$1,main!$A$3:$I$56,5,FALSE)-VLOOKUP($A196,main!$A$3:$I$56,6,FALSE)&gt;=VLOOKUP(58,main!$A$57:$I$61,4,FALSE)+VLOOKUP(VLOOKUP(AL$1,main!$A$3:$I$56,7,FALSE),main!$K$10:$Q$14,6,FALSE),1,0)</f>
        <v>0</v>
      </c>
      <c r="AM196">
        <f>IF(VLOOKUP(AM$1,main!$A$3:$I$56,5,FALSE)-VLOOKUP($A196,main!$A$3:$I$56,6,FALSE)&gt;=VLOOKUP(58,main!$A$57:$I$61,4,FALSE)+VLOOKUP(VLOOKUP(AM$1,main!$A$3:$I$56,7,FALSE),main!$K$10:$Q$14,6,FALSE),1,0)</f>
        <v>0</v>
      </c>
      <c r="AN196">
        <f>IF(VLOOKUP(AN$1,main!$A$3:$I$56,5,FALSE)-VLOOKUP($A196,main!$A$3:$I$56,6,FALSE)&gt;=VLOOKUP(58,main!$A$57:$I$61,4,FALSE)+VLOOKUP(VLOOKUP(AN$1,main!$A$3:$I$56,7,FALSE),main!$K$10:$Q$14,6,FALSE),1,0)</f>
        <v>0</v>
      </c>
      <c r="AO196">
        <f>IF(VLOOKUP(AO$1,main!$A$3:$I$56,5,FALSE)-VLOOKUP($A196,main!$A$3:$I$56,6,FALSE)&gt;=VLOOKUP(58,main!$A$57:$I$61,4,FALSE)+VLOOKUP(VLOOKUP(AO$1,main!$A$3:$I$56,7,FALSE),main!$K$10:$Q$14,6,FALSE),1,0)</f>
        <v>0</v>
      </c>
      <c r="AP196">
        <f>IF(VLOOKUP(AP$1,main!$A$3:$I$56,5,FALSE)-VLOOKUP($A196,main!$A$3:$I$56,6,FALSE)&gt;=VLOOKUP(58,main!$A$57:$I$61,4,FALSE)+VLOOKUP(VLOOKUP(AP$1,main!$A$3:$I$56,7,FALSE),main!$K$10:$Q$14,6,FALSE),1,0)</f>
        <v>0</v>
      </c>
      <c r="AQ196">
        <f>IF(VLOOKUP(AQ$1,main!$A$3:$I$56,5,FALSE)-VLOOKUP($A196,main!$A$3:$I$56,6,FALSE)&gt;=VLOOKUP(58,main!$A$57:$I$61,4,FALSE)+VLOOKUP(VLOOKUP(AQ$1,main!$A$3:$I$56,7,FALSE),main!$K$10:$Q$14,6,FALSE),1,0)</f>
        <v>0</v>
      </c>
      <c r="AR196">
        <f>IF(VLOOKUP(AR$1,main!$A$3:$I$56,5,FALSE)-VLOOKUP($A196,main!$A$3:$I$56,6,FALSE)&gt;=VLOOKUP(58,main!$A$57:$I$61,4,FALSE)+VLOOKUP(VLOOKUP(AR$1,main!$A$3:$I$56,7,FALSE),main!$K$10:$Q$14,6,FALSE),1,0)</f>
        <v>0</v>
      </c>
      <c r="AS196">
        <f>IF(VLOOKUP(AS$1,main!$A$3:$I$56,5,FALSE)-VLOOKUP($A196,main!$A$3:$I$56,6,FALSE)&gt;=VLOOKUP(58,main!$A$57:$I$61,4,FALSE)+VLOOKUP(VLOOKUP(AS$1,main!$A$3:$I$56,7,FALSE),main!$K$10:$Q$14,6,FALSE),1,0)</f>
        <v>0</v>
      </c>
      <c r="AT196">
        <f>IF(VLOOKUP(AT$1,main!$A$3:$I$56,5,FALSE)-VLOOKUP($A196,main!$A$3:$I$56,6,FALSE)&gt;=VLOOKUP(58,main!$A$57:$I$61,4,FALSE)+VLOOKUP(VLOOKUP(AT$1,main!$A$3:$I$56,7,FALSE),main!$K$10:$Q$14,6,FALSE),1,0)</f>
        <v>0</v>
      </c>
      <c r="AU196">
        <f>IF(VLOOKUP(AU$1,main!$A$3:$I$56,5,FALSE)-VLOOKUP($A196,main!$A$3:$I$56,6,FALSE)&gt;=VLOOKUP(58,main!$A$57:$I$61,4,FALSE)+VLOOKUP(VLOOKUP(AU$1,main!$A$3:$I$56,7,FALSE),main!$K$10:$Q$14,6,FALSE),1,0)</f>
        <v>0</v>
      </c>
      <c r="AV196">
        <f>IF(VLOOKUP(AV$1,main!$A$3:$I$56,5,FALSE)-VLOOKUP($A196,main!$A$3:$I$56,6,FALSE)&gt;=VLOOKUP(58,main!$A$57:$I$61,4,FALSE)+VLOOKUP(VLOOKUP(AV$1,main!$A$3:$I$56,7,FALSE),main!$K$10:$Q$14,6,FALSE),1,0)</f>
        <v>0</v>
      </c>
      <c r="AW196">
        <f>IF(VLOOKUP(AW$1,main!$A$3:$I$56,5,FALSE)-VLOOKUP($A196,main!$A$3:$I$56,6,FALSE)&gt;=VLOOKUP(58,main!$A$57:$I$61,4,FALSE)+VLOOKUP(VLOOKUP(AW$1,main!$A$3:$I$56,7,FALSE),main!$K$10:$Q$14,6,FALSE),1,0)</f>
        <v>0</v>
      </c>
      <c r="AX196">
        <f>IF(VLOOKUP(AX$1,main!$A$3:$I$56,5,FALSE)-VLOOKUP($A196,main!$A$3:$I$56,6,FALSE)&gt;=VLOOKUP(58,main!$A$57:$I$61,4,FALSE)+VLOOKUP(VLOOKUP(AX$1,main!$A$3:$I$56,7,FALSE),main!$K$10:$Q$14,6,FALSE),1,0)</f>
        <v>0</v>
      </c>
      <c r="AY196">
        <f>IF(VLOOKUP(AY$1,main!$A$3:$I$56,5,FALSE)-VLOOKUP($A196,main!$A$3:$I$56,6,FALSE)&gt;=VLOOKUP(58,main!$A$57:$I$61,4,FALSE)+VLOOKUP(VLOOKUP(AY$1,main!$A$3:$I$56,7,FALSE),main!$K$10:$Q$14,6,FALSE),1,0)</f>
        <v>0</v>
      </c>
      <c r="AZ196">
        <f>IF(VLOOKUP(AZ$1,main!$A$3:$I$56,5,FALSE)-VLOOKUP($A196,main!$A$3:$I$56,6,FALSE)&gt;=VLOOKUP(58,main!$A$57:$I$61,4,FALSE)+VLOOKUP(VLOOKUP(AZ$1,main!$A$3:$I$56,7,FALSE),main!$K$10:$Q$14,6,FALSE),1,0)</f>
        <v>0</v>
      </c>
      <c r="BA196">
        <f>IF(VLOOKUP(BA$1,main!$A$3:$I$56,5,FALSE)-VLOOKUP($A196,main!$A$3:$I$56,6,FALSE)&gt;=VLOOKUP(58,main!$A$57:$I$61,4,FALSE)+VLOOKUP(VLOOKUP(BA$1,main!$A$3:$I$56,7,FALSE),main!$K$10:$Q$14,6,FALSE),1,0)</f>
        <v>0</v>
      </c>
      <c r="BB196">
        <f>IF(VLOOKUP(BB$1,main!$A$3:$I$56,5,FALSE)-VLOOKUP($A196,main!$A$3:$I$56,6,FALSE)&gt;=VLOOKUP(58,main!$A$57:$I$61,4,FALSE)+VLOOKUP(VLOOKUP(BB$1,main!$A$3:$I$56,7,FALSE),main!$K$10:$Q$14,6,FALSE),1,0)</f>
        <v>0</v>
      </c>
      <c r="BC196">
        <f>IF(VLOOKUP(BC$1,main!$A$3:$I$56,5,FALSE)-VLOOKUP($A196,main!$A$3:$I$56,6,FALSE)&gt;=VLOOKUP(58,main!$A$57:$I$61,4,FALSE)+VLOOKUP(VLOOKUP(BC$1,main!$A$3:$I$56,7,FALSE),main!$K$10:$Q$14,6,FALSE),1,0)</f>
        <v>0</v>
      </c>
      <c r="BD196">
        <f>IF(VLOOKUP(BD$1,main!$A$3:$I$56,5,FALSE)-VLOOKUP($A196,main!$A$3:$I$56,6,FALSE)&gt;=VLOOKUP(58,main!$A$57:$I$61,4,FALSE)+VLOOKUP(VLOOKUP(BD$1,main!$A$3:$I$56,7,FALSE),main!$K$10:$Q$14,6,FALSE),1,0)</f>
        <v>0</v>
      </c>
    </row>
    <row r="197" spans="1:56" x14ac:dyDescent="0.25">
      <c r="A197">
        <f t="shared" si="3"/>
        <v>30</v>
      </c>
      <c r="B197">
        <v>0</v>
      </c>
      <c r="C197">
        <f>IF(VLOOKUP(C$1,main!$A$3:$I$56,5,FALSE)-VLOOKUP($A197,main!$A$3:$I$56,6,FALSE)&gt;=VLOOKUP(58,main!$A$57:$I$61,4,FALSE)+VLOOKUP(VLOOKUP(C$1,main!$A$3:$I$56,7,FALSE),main!$K$10:$Q$14,6,FALSE),1,0)</f>
        <v>0</v>
      </c>
      <c r="D197">
        <f>IF(VLOOKUP(D$1,main!$A$3:$I$56,5,FALSE)-VLOOKUP($A197,main!$A$3:$I$56,6,FALSE)&gt;=VLOOKUP(58,main!$A$57:$I$61,4,FALSE)+VLOOKUP(VLOOKUP(D$1,main!$A$3:$I$56,7,FALSE),main!$K$10:$Q$14,6,FALSE),1,0)</f>
        <v>0</v>
      </c>
      <c r="E197">
        <f>IF(VLOOKUP(E$1,main!$A$3:$I$56,5,FALSE)-VLOOKUP($A197,main!$A$3:$I$56,6,FALSE)&gt;=VLOOKUP(58,main!$A$57:$I$61,4,FALSE)+VLOOKUP(VLOOKUP(E$1,main!$A$3:$I$56,7,FALSE),main!$K$10:$Q$14,6,FALSE),1,0)</f>
        <v>0</v>
      </c>
      <c r="F197">
        <f>IF(VLOOKUP(F$1,main!$A$3:$I$56,5,FALSE)-VLOOKUP($A197,main!$A$3:$I$56,6,FALSE)&gt;=VLOOKUP(58,main!$A$57:$I$61,4,FALSE)+VLOOKUP(VLOOKUP(F$1,main!$A$3:$I$56,7,FALSE),main!$K$10:$Q$14,6,FALSE),1,0)</f>
        <v>0</v>
      </c>
      <c r="G197">
        <f>IF(VLOOKUP(G$1,main!$A$3:$I$56,5,FALSE)-VLOOKUP($A197,main!$A$3:$I$56,6,FALSE)&gt;=VLOOKUP(58,main!$A$57:$I$61,4,FALSE)+VLOOKUP(VLOOKUP(G$1,main!$A$3:$I$56,7,FALSE),main!$K$10:$Q$14,6,FALSE),1,0)</f>
        <v>0</v>
      </c>
      <c r="H197">
        <f>IF(VLOOKUP(H$1,main!$A$3:$I$56,5,FALSE)-VLOOKUP($A197,main!$A$3:$I$56,6,FALSE)&gt;=VLOOKUP(58,main!$A$57:$I$61,4,FALSE)+VLOOKUP(VLOOKUP(H$1,main!$A$3:$I$56,7,FALSE),main!$K$10:$Q$14,6,FALSE),1,0)</f>
        <v>0</v>
      </c>
      <c r="I197">
        <f>IF(VLOOKUP(I$1,main!$A$3:$I$56,5,FALSE)-VLOOKUP($A197,main!$A$3:$I$56,6,FALSE)&gt;=VLOOKUP(58,main!$A$57:$I$61,4,FALSE)+VLOOKUP(VLOOKUP(I$1,main!$A$3:$I$56,7,FALSE),main!$K$10:$Q$14,6,FALSE),1,0)</f>
        <v>0</v>
      </c>
      <c r="J197">
        <f>IF(VLOOKUP(J$1,main!$A$3:$I$56,5,FALSE)-VLOOKUP($A197,main!$A$3:$I$56,6,FALSE)&gt;=VLOOKUP(58,main!$A$57:$I$61,4,FALSE)+VLOOKUP(VLOOKUP(J$1,main!$A$3:$I$56,7,FALSE),main!$K$10:$Q$14,6,FALSE),1,0)</f>
        <v>0</v>
      </c>
      <c r="K197">
        <f>IF(VLOOKUP(K$1,main!$A$3:$I$56,5,FALSE)-VLOOKUP($A197,main!$A$3:$I$56,6,FALSE)&gt;=VLOOKUP(58,main!$A$57:$I$61,4,FALSE)+VLOOKUP(VLOOKUP(K$1,main!$A$3:$I$56,7,FALSE),main!$K$10:$Q$14,6,FALSE),1,0)</f>
        <v>0</v>
      </c>
      <c r="L197">
        <f>IF(VLOOKUP(L$1,main!$A$3:$I$56,5,FALSE)-VLOOKUP($A197,main!$A$3:$I$56,6,FALSE)&gt;=VLOOKUP(58,main!$A$57:$I$61,4,FALSE)+VLOOKUP(VLOOKUP(L$1,main!$A$3:$I$56,7,FALSE),main!$K$10:$Q$14,6,FALSE),1,0)</f>
        <v>0</v>
      </c>
      <c r="M197">
        <f>IF(VLOOKUP(M$1,main!$A$3:$I$56,5,FALSE)-VLOOKUP($A197,main!$A$3:$I$56,6,FALSE)&gt;=VLOOKUP(58,main!$A$57:$I$61,4,FALSE)+VLOOKUP(VLOOKUP(M$1,main!$A$3:$I$56,7,FALSE),main!$K$10:$Q$14,6,FALSE),1,0)</f>
        <v>0</v>
      </c>
      <c r="N197">
        <f>IF(VLOOKUP(N$1,main!$A$3:$I$56,5,FALSE)-VLOOKUP($A197,main!$A$3:$I$56,6,FALSE)&gt;=VLOOKUP(58,main!$A$57:$I$61,4,FALSE)+VLOOKUP(VLOOKUP(N$1,main!$A$3:$I$56,7,FALSE),main!$K$10:$Q$14,6,FALSE),1,0)</f>
        <v>0</v>
      </c>
      <c r="O197">
        <f>IF(VLOOKUP(O$1,main!$A$3:$I$56,5,FALSE)-VLOOKUP($A197,main!$A$3:$I$56,6,FALSE)&gt;=VLOOKUP(58,main!$A$57:$I$61,4,FALSE)+VLOOKUP(VLOOKUP(O$1,main!$A$3:$I$56,7,FALSE),main!$K$10:$Q$14,6,FALSE),1,0)</f>
        <v>0</v>
      </c>
      <c r="P197">
        <f>IF(VLOOKUP(P$1,main!$A$3:$I$56,5,FALSE)-VLOOKUP($A197,main!$A$3:$I$56,6,FALSE)&gt;=VLOOKUP(58,main!$A$57:$I$61,4,FALSE)+VLOOKUP(VLOOKUP(P$1,main!$A$3:$I$56,7,FALSE),main!$K$10:$Q$14,6,FALSE),1,0)</f>
        <v>0</v>
      </c>
      <c r="Q197">
        <f>IF(VLOOKUP(Q$1,main!$A$3:$I$56,5,FALSE)-VLOOKUP($A197,main!$A$3:$I$56,6,FALSE)&gt;=VLOOKUP(58,main!$A$57:$I$61,4,FALSE)+VLOOKUP(VLOOKUP(Q$1,main!$A$3:$I$56,7,FALSE),main!$K$10:$Q$14,6,FALSE),1,0)</f>
        <v>0</v>
      </c>
      <c r="R197">
        <f>IF(VLOOKUP(R$1,main!$A$3:$I$56,5,FALSE)-VLOOKUP($A197,main!$A$3:$I$56,6,FALSE)&gt;=VLOOKUP(58,main!$A$57:$I$61,4,FALSE)+VLOOKUP(VLOOKUP(R$1,main!$A$3:$I$56,7,FALSE),main!$K$10:$Q$14,6,FALSE),1,0)</f>
        <v>0</v>
      </c>
      <c r="S197">
        <f>IF(VLOOKUP(S$1,main!$A$3:$I$56,5,FALSE)-VLOOKUP($A197,main!$A$3:$I$56,6,FALSE)&gt;=VLOOKUP(58,main!$A$57:$I$61,4,FALSE)+VLOOKUP(VLOOKUP(S$1,main!$A$3:$I$56,7,FALSE),main!$K$10:$Q$14,6,FALSE),1,0)</f>
        <v>0</v>
      </c>
      <c r="T197">
        <f>IF(VLOOKUP(T$1,main!$A$3:$I$56,5,FALSE)-VLOOKUP($A197,main!$A$3:$I$56,6,FALSE)&gt;=VLOOKUP(58,main!$A$57:$I$61,4,FALSE)+VLOOKUP(VLOOKUP(T$1,main!$A$3:$I$56,7,FALSE),main!$K$10:$Q$14,6,FALSE),1,0)</f>
        <v>0</v>
      </c>
      <c r="U197">
        <f>IF(VLOOKUP(U$1,main!$A$3:$I$56,5,FALSE)-VLOOKUP($A197,main!$A$3:$I$56,6,FALSE)&gt;=VLOOKUP(58,main!$A$57:$I$61,4,FALSE)+VLOOKUP(VLOOKUP(U$1,main!$A$3:$I$56,7,FALSE),main!$K$10:$Q$14,6,FALSE),1,0)</f>
        <v>0</v>
      </c>
      <c r="V197">
        <f>IF(VLOOKUP(V$1,main!$A$3:$I$56,5,FALSE)-VLOOKUP($A197,main!$A$3:$I$56,6,FALSE)&gt;=VLOOKUP(58,main!$A$57:$I$61,4,FALSE)+VLOOKUP(VLOOKUP(V$1,main!$A$3:$I$56,7,FALSE),main!$K$10:$Q$14,6,FALSE),1,0)</f>
        <v>0</v>
      </c>
      <c r="W197">
        <f>IF(VLOOKUP(W$1,main!$A$3:$I$56,5,FALSE)-VLOOKUP($A197,main!$A$3:$I$56,6,FALSE)&gt;=VLOOKUP(58,main!$A$57:$I$61,4,FALSE)+VLOOKUP(VLOOKUP(W$1,main!$A$3:$I$56,7,FALSE),main!$K$10:$Q$14,6,FALSE),1,0)</f>
        <v>0</v>
      </c>
      <c r="X197">
        <f>IF(VLOOKUP(X$1,main!$A$3:$I$56,5,FALSE)-VLOOKUP($A197,main!$A$3:$I$56,6,FALSE)&gt;=VLOOKUP(58,main!$A$57:$I$61,4,FALSE)+VLOOKUP(VLOOKUP(X$1,main!$A$3:$I$56,7,FALSE),main!$K$10:$Q$14,6,FALSE),1,0)</f>
        <v>0</v>
      </c>
      <c r="Y197">
        <f>IF(VLOOKUP(Y$1,main!$A$3:$I$56,5,FALSE)-VLOOKUP($A197,main!$A$3:$I$56,6,FALSE)&gt;=VLOOKUP(58,main!$A$57:$I$61,4,FALSE)+VLOOKUP(VLOOKUP(Y$1,main!$A$3:$I$56,7,FALSE),main!$K$10:$Q$14,6,FALSE),1,0)</f>
        <v>0</v>
      </c>
      <c r="Z197">
        <f>IF(VLOOKUP(Z$1,main!$A$3:$I$56,5,FALSE)-VLOOKUP($A197,main!$A$3:$I$56,6,FALSE)&gt;=VLOOKUP(58,main!$A$57:$I$61,4,FALSE)+VLOOKUP(VLOOKUP(Z$1,main!$A$3:$I$56,7,FALSE),main!$K$10:$Q$14,6,FALSE),1,0)</f>
        <v>0</v>
      </c>
      <c r="AA197">
        <f>IF(VLOOKUP(AA$1,main!$A$3:$I$56,5,FALSE)-VLOOKUP($A197,main!$A$3:$I$56,6,FALSE)&gt;=VLOOKUP(58,main!$A$57:$I$61,4,FALSE)+VLOOKUP(VLOOKUP(AA$1,main!$A$3:$I$56,7,FALSE),main!$K$10:$Q$14,6,FALSE),1,0)</f>
        <v>0</v>
      </c>
      <c r="AB197">
        <f>IF(VLOOKUP(AB$1,main!$A$3:$I$56,5,FALSE)-VLOOKUP($A197,main!$A$3:$I$56,6,FALSE)&gt;=VLOOKUP(58,main!$A$57:$I$61,4,FALSE)+VLOOKUP(VLOOKUP(AB$1,main!$A$3:$I$56,7,FALSE),main!$K$10:$Q$14,6,FALSE),1,0)</f>
        <v>0</v>
      </c>
      <c r="AC197">
        <f>IF(VLOOKUP(AC$1,main!$A$3:$I$56,5,FALSE)-VLOOKUP($A197,main!$A$3:$I$56,6,FALSE)&gt;=VLOOKUP(58,main!$A$57:$I$61,4,FALSE)+VLOOKUP(VLOOKUP(AC$1,main!$A$3:$I$56,7,FALSE),main!$K$10:$Q$14,6,FALSE),1,0)</f>
        <v>0</v>
      </c>
      <c r="AD197">
        <f>IF(VLOOKUP(AD$1,main!$A$3:$I$56,5,FALSE)-VLOOKUP($A197,main!$A$3:$I$56,6,FALSE)&gt;=VLOOKUP(58,main!$A$57:$I$61,4,FALSE)+VLOOKUP(VLOOKUP(AD$1,main!$A$3:$I$56,7,FALSE),main!$K$10:$Q$14,6,FALSE),1,0)</f>
        <v>0</v>
      </c>
      <c r="AE197">
        <f>IF(VLOOKUP(AE$1,main!$A$3:$I$56,5,FALSE)-VLOOKUP($A197,main!$A$3:$I$56,6,FALSE)&gt;=VLOOKUP(58,main!$A$57:$I$61,4,FALSE)+VLOOKUP(VLOOKUP(AE$1,main!$A$3:$I$56,7,FALSE),main!$K$10:$Q$14,6,FALSE),1,0)</f>
        <v>0</v>
      </c>
      <c r="AF197">
        <f>IF(VLOOKUP(AF$1,main!$A$3:$I$56,5,FALSE)-VLOOKUP($A197,main!$A$3:$I$56,6,FALSE)&gt;=VLOOKUP(58,main!$A$57:$I$61,4,FALSE)+VLOOKUP(VLOOKUP(AF$1,main!$A$3:$I$56,7,FALSE),main!$K$10:$Q$14,6,FALSE),1,0)</f>
        <v>0</v>
      </c>
      <c r="AG197">
        <f>IF(VLOOKUP(AG$1,main!$A$3:$I$56,5,FALSE)-VLOOKUP($A197,main!$A$3:$I$56,6,FALSE)&gt;=VLOOKUP(58,main!$A$57:$I$61,4,FALSE)+VLOOKUP(VLOOKUP(AG$1,main!$A$3:$I$56,7,FALSE),main!$K$10:$Q$14,6,FALSE),1,0)</f>
        <v>0</v>
      </c>
      <c r="AH197">
        <f>IF(VLOOKUP(AH$1,main!$A$3:$I$56,5,FALSE)-VLOOKUP($A197,main!$A$3:$I$56,6,FALSE)&gt;=VLOOKUP(58,main!$A$57:$I$61,4,FALSE)+VLOOKUP(VLOOKUP(AH$1,main!$A$3:$I$56,7,FALSE),main!$K$10:$Q$14,6,FALSE),1,0)</f>
        <v>0</v>
      </c>
      <c r="AI197">
        <f>IF(VLOOKUP(AI$1,main!$A$3:$I$56,5,FALSE)-VLOOKUP($A197,main!$A$3:$I$56,6,FALSE)&gt;=VLOOKUP(58,main!$A$57:$I$61,4,FALSE)+VLOOKUP(VLOOKUP(AI$1,main!$A$3:$I$56,7,FALSE),main!$K$10:$Q$14,6,FALSE),1,0)</f>
        <v>0</v>
      </c>
      <c r="AJ197">
        <f>IF(VLOOKUP(AJ$1,main!$A$3:$I$56,5,FALSE)-VLOOKUP($A197,main!$A$3:$I$56,6,FALSE)&gt;=VLOOKUP(58,main!$A$57:$I$61,4,FALSE)+VLOOKUP(VLOOKUP(AJ$1,main!$A$3:$I$56,7,FALSE),main!$K$10:$Q$14,6,FALSE),1,0)</f>
        <v>0</v>
      </c>
      <c r="AK197">
        <f>IF(VLOOKUP(AK$1,main!$A$3:$I$56,5,FALSE)-VLOOKUP($A197,main!$A$3:$I$56,6,FALSE)&gt;=VLOOKUP(58,main!$A$57:$I$61,4,FALSE)+VLOOKUP(VLOOKUP(AK$1,main!$A$3:$I$56,7,FALSE),main!$K$10:$Q$14,6,FALSE),1,0)</f>
        <v>0</v>
      </c>
      <c r="AL197">
        <f>IF(VLOOKUP(AL$1,main!$A$3:$I$56,5,FALSE)-VLOOKUP($A197,main!$A$3:$I$56,6,FALSE)&gt;=VLOOKUP(58,main!$A$57:$I$61,4,FALSE)+VLOOKUP(VLOOKUP(AL$1,main!$A$3:$I$56,7,FALSE),main!$K$10:$Q$14,6,FALSE),1,0)</f>
        <v>0</v>
      </c>
      <c r="AM197">
        <f>IF(VLOOKUP(AM$1,main!$A$3:$I$56,5,FALSE)-VLOOKUP($A197,main!$A$3:$I$56,6,FALSE)&gt;=VLOOKUP(58,main!$A$57:$I$61,4,FALSE)+VLOOKUP(VLOOKUP(AM$1,main!$A$3:$I$56,7,FALSE),main!$K$10:$Q$14,6,FALSE),1,0)</f>
        <v>0</v>
      </c>
      <c r="AN197">
        <f>IF(VLOOKUP(AN$1,main!$A$3:$I$56,5,FALSE)-VLOOKUP($A197,main!$A$3:$I$56,6,FALSE)&gt;=VLOOKUP(58,main!$A$57:$I$61,4,FALSE)+VLOOKUP(VLOOKUP(AN$1,main!$A$3:$I$56,7,FALSE),main!$K$10:$Q$14,6,FALSE),1,0)</f>
        <v>0</v>
      </c>
      <c r="AO197">
        <f>IF(VLOOKUP(AO$1,main!$A$3:$I$56,5,FALSE)-VLOOKUP($A197,main!$A$3:$I$56,6,FALSE)&gt;=VLOOKUP(58,main!$A$57:$I$61,4,FALSE)+VLOOKUP(VLOOKUP(AO$1,main!$A$3:$I$56,7,FALSE),main!$K$10:$Q$14,6,FALSE),1,0)</f>
        <v>0</v>
      </c>
      <c r="AP197">
        <f>IF(VLOOKUP(AP$1,main!$A$3:$I$56,5,FALSE)-VLOOKUP($A197,main!$A$3:$I$56,6,FALSE)&gt;=VLOOKUP(58,main!$A$57:$I$61,4,FALSE)+VLOOKUP(VLOOKUP(AP$1,main!$A$3:$I$56,7,FALSE),main!$K$10:$Q$14,6,FALSE),1,0)</f>
        <v>0</v>
      </c>
      <c r="AQ197">
        <f>IF(VLOOKUP(AQ$1,main!$A$3:$I$56,5,FALSE)-VLOOKUP($A197,main!$A$3:$I$56,6,FALSE)&gt;=VLOOKUP(58,main!$A$57:$I$61,4,FALSE)+VLOOKUP(VLOOKUP(AQ$1,main!$A$3:$I$56,7,FALSE),main!$K$10:$Q$14,6,FALSE),1,0)</f>
        <v>0</v>
      </c>
      <c r="AR197">
        <f>IF(VLOOKUP(AR$1,main!$A$3:$I$56,5,FALSE)-VLOOKUP($A197,main!$A$3:$I$56,6,FALSE)&gt;=VLOOKUP(58,main!$A$57:$I$61,4,FALSE)+VLOOKUP(VLOOKUP(AR$1,main!$A$3:$I$56,7,FALSE),main!$K$10:$Q$14,6,FALSE),1,0)</f>
        <v>0</v>
      </c>
      <c r="AS197">
        <f>IF(VLOOKUP(AS$1,main!$A$3:$I$56,5,FALSE)-VLOOKUP($A197,main!$A$3:$I$56,6,FALSE)&gt;=VLOOKUP(58,main!$A$57:$I$61,4,FALSE)+VLOOKUP(VLOOKUP(AS$1,main!$A$3:$I$56,7,FALSE),main!$K$10:$Q$14,6,FALSE),1,0)</f>
        <v>0</v>
      </c>
      <c r="AT197">
        <f>IF(VLOOKUP(AT$1,main!$A$3:$I$56,5,FALSE)-VLOOKUP($A197,main!$A$3:$I$56,6,FALSE)&gt;=VLOOKUP(58,main!$A$57:$I$61,4,FALSE)+VLOOKUP(VLOOKUP(AT$1,main!$A$3:$I$56,7,FALSE),main!$K$10:$Q$14,6,FALSE),1,0)</f>
        <v>0</v>
      </c>
      <c r="AU197">
        <f>IF(VLOOKUP(AU$1,main!$A$3:$I$56,5,FALSE)-VLOOKUP($A197,main!$A$3:$I$56,6,FALSE)&gt;=VLOOKUP(58,main!$A$57:$I$61,4,FALSE)+VLOOKUP(VLOOKUP(AU$1,main!$A$3:$I$56,7,FALSE),main!$K$10:$Q$14,6,FALSE),1,0)</f>
        <v>0</v>
      </c>
      <c r="AV197">
        <f>IF(VLOOKUP(AV$1,main!$A$3:$I$56,5,FALSE)-VLOOKUP($A197,main!$A$3:$I$56,6,FALSE)&gt;=VLOOKUP(58,main!$A$57:$I$61,4,FALSE)+VLOOKUP(VLOOKUP(AV$1,main!$A$3:$I$56,7,FALSE),main!$K$10:$Q$14,6,FALSE),1,0)</f>
        <v>0</v>
      </c>
      <c r="AW197">
        <f>IF(VLOOKUP(AW$1,main!$A$3:$I$56,5,FALSE)-VLOOKUP($A197,main!$A$3:$I$56,6,FALSE)&gt;=VLOOKUP(58,main!$A$57:$I$61,4,FALSE)+VLOOKUP(VLOOKUP(AW$1,main!$A$3:$I$56,7,FALSE),main!$K$10:$Q$14,6,FALSE),1,0)</f>
        <v>0</v>
      </c>
      <c r="AX197">
        <f>IF(VLOOKUP(AX$1,main!$A$3:$I$56,5,FALSE)-VLOOKUP($A197,main!$A$3:$I$56,6,FALSE)&gt;=VLOOKUP(58,main!$A$57:$I$61,4,FALSE)+VLOOKUP(VLOOKUP(AX$1,main!$A$3:$I$56,7,FALSE),main!$K$10:$Q$14,6,FALSE),1,0)</f>
        <v>0</v>
      </c>
      <c r="AY197">
        <f>IF(VLOOKUP(AY$1,main!$A$3:$I$56,5,FALSE)-VLOOKUP($A197,main!$A$3:$I$56,6,FALSE)&gt;=VLOOKUP(58,main!$A$57:$I$61,4,FALSE)+VLOOKUP(VLOOKUP(AY$1,main!$A$3:$I$56,7,FALSE),main!$K$10:$Q$14,6,FALSE),1,0)</f>
        <v>0</v>
      </c>
      <c r="AZ197">
        <f>IF(VLOOKUP(AZ$1,main!$A$3:$I$56,5,FALSE)-VLOOKUP($A197,main!$A$3:$I$56,6,FALSE)&gt;=VLOOKUP(58,main!$A$57:$I$61,4,FALSE)+VLOOKUP(VLOOKUP(AZ$1,main!$A$3:$I$56,7,FALSE),main!$K$10:$Q$14,6,FALSE),1,0)</f>
        <v>0</v>
      </c>
      <c r="BA197">
        <f>IF(VLOOKUP(BA$1,main!$A$3:$I$56,5,FALSE)-VLOOKUP($A197,main!$A$3:$I$56,6,FALSE)&gt;=VLOOKUP(58,main!$A$57:$I$61,4,FALSE)+VLOOKUP(VLOOKUP(BA$1,main!$A$3:$I$56,7,FALSE),main!$K$10:$Q$14,6,FALSE),1,0)</f>
        <v>0</v>
      </c>
      <c r="BB197">
        <f>IF(VLOOKUP(BB$1,main!$A$3:$I$56,5,FALSE)-VLOOKUP($A197,main!$A$3:$I$56,6,FALSE)&gt;=VLOOKUP(58,main!$A$57:$I$61,4,FALSE)+VLOOKUP(VLOOKUP(BB$1,main!$A$3:$I$56,7,FALSE),main!$K$10:$Q$14,6,FALSE),1,0)</f>
        <v>0</v>
      </c>
      <c r="BC197">
        <f>IF(VLOOKUP(BC$1,main!$A$3:$I$56,5,FALSE)-VLOOKUP($A197,main!$A$3:$I$56,6,FALSE)&gt;=VLOOKUP(58,main!$A$57:$I$61,4,FALSE)+VLOOKUP(VLOOKUP(BC$1,main!$A$3:$I$56,7,FALSE),main!$K$10:$Q$14,6,FALSE),1,0)</f>
        <v>0</v>
      </c>
      <c r="BD197">
        <f>IF(VLOOKUP(BD$1,main!$A$3:$I$56,5,FALSE)-VLOOKUP($A197,main!$A$3:$I$56,6,FALSE)&gt;=VLOOKUP(58,main!$A$57:$I$61,4,FALSE)+VLOOKUP(VLOOKUP(BD$1,main!$A$3:$I$56,7,FALSE),main!$K$10:$Q$14,6,FALSE),1,0)</f>
        <v>0</v>
      </c>
    </row>
    <row r="198" spans="1:56" x14ac:dyDescent="0.25">
      <c r="A198">
        <f t="shared" si="3"/>
        <v>31</v>
      </c>
      <c r="B198">
        <v>0</v>
      </c>
      <c r="C198">
        <f>IF(VLOOKUP(C$1,main!$A$3:$I$56,5,FALSE)-VLOOKUP($A198,main!$A$3:$I$56,6,FALSE)&gt;=VLOOKUP(58,main!$A$57:$I$61,4,FALSE)+VLOOKUP(VLOOKUP(C$1,main!$A$3:$I$56,7,FALSE),main!$K$10:$Q$14,6,FALSE),1,0)</f>
        <v>0</v>
      </c>
      <c r="D198">
        <f>IF(VLOOKUP(D$1,main!$A$3:$I$56,5,FALSE)-VLOOKUP($A198,main!$A$3:$I$56,6,FALSE)&gt;=VLOOKUP(58,main!$A$57:$I$61,4,FALSE)+VLOOKUP(VLOOKUP(D$1,main!$A$3:$I$56,7,FALSE),main!$K$10:$Q$14,6,FALSE),1,0)</f>
        <v>0</v>
      </c>
      <c r="E198">
        <f>IF(VLOOKUP(E$1,main!$A$3:$I$56,5,FALSE)-VLOOKUP($A198,main!$A$3:$I$56,6,FALSE)&gt;=VLOOKUP(58,main!$A$57:$I$61,4,FALSE)+VLOOKUP(VLOOKUP(E$1,main!$A$3:$I$56,7,FALSE),main!$K$10:$Q$14,6,FALSE),1,0)</f>
        <v>0</v>
      </c>
      <c r="F198">
        <f>IF(VLOOKUP(F$1,main!$A$3:$I$56,5,FALSE)-VLOOKUP($A198,main!$A$3:$I$56,6,FALSE)&gt;=VLOOKUP(58,main!$A$57:$I$61,4,FALSE)+VLOOKUP(VLOOKUP(F$1,main!$A$3:$I$56,7,FALSE),main!$K$10:$Q$14,6,FALSE),1,0)</f>
        <v>1</v>
      </c>
      <c r="G198">
        <f>IF(VLOOKUP(G$1,main!$A$3:$I$56,5,FALSE)-VLOOKUP($A198,main!$A$3:$I$56,6,FALSE)&gt;=VLOOKUP(58,main!$A$57:$I$61,4,FALSE)+VLOOKUP(VLOOKUP(G$1,main!$A$3:$I$56,7,FALSE),main!$K$10:$Q$14,6,FALSE),1,0)</f>
        <v>1</v>
      </c>
      <c r="H198">
        <f>IF(VLOOKUP(H$1,main!$A$3:$I$56,5,FALSE)-VLOOKUP($A198,main!$A$3:$I$56,6,FALSE)&gt;=VLOOKUP(58,main!$A$57:$I$61,4,FALSE)+VLOOKUP(VLOOKUP(H$1,main!$A$3:$I$56,7,FALSE),main!$K$10:$Q$14,6,FALSE),1,0)</f>
        <v>1</v>
      </c>
      <c r="I198">
        <f>IF(VLOOKUP(I$1,main!$A$3:$I$56,5,FALSE)-VLOOKUP($A198,main!$A$3:$I$56,6,FALSE)&gt;=VLOOKUP(58,main!$A$57:$I$61,4,FALSE)+VLOOKUP(VLOOKUP(I$1,main!$A$3:$I$56,7,FALSE),main!$K$10:$Q$14,6,FALSE),1,0)</f>
        <v>1</v>
      </c>
      <c r="J198">
        <f>IF(VLOOKUP(J$1,main!$A$3:$I$56,5,FALSE)-VLOOKUP($A198,main!$A$3:$I$56,6,FALSE)&gt;=VLOOKUP(58,main!$A$57:$I$61,4,FALSE)+VLOOKUP(VLOOKUP(J$1,main!$A$3:$I$56,7,FALSE),main!$K$10:$Q$14,6,FALSE),1,0)</f>
        <v>1</v>
      </c>
      <c r="K198">
        <f>IF(VLOOKUP(K$1,main!$A$3:$I$56,5,FALSE)-VLOOKUP($A198,main!$A$3:$I$56,6,FALSE)&gt;=VLOOKUP(58,main!$A$57:$I$61,4,FALSE)+VLOOKUP(VLOOKUP(K$1,main!$A$3:$I$56,7,FALSE),main!$K$10:$Q$14,6,FALSE),1,0)</f>
        <v>0</v>
      </c>
      <c r="L198">
        <f>IF(VLOOKUP(L$1,main!$A$3:$I$56,5,FALSE)-VLOOKUP($A198,main!$A$3:$I$56,6,FALSE)&gt;=VLOOKUP(58,main!$A$57:$I$61,4,FALSE)+VLOOKUP(VLOOKUP(L$1,main!$A$3:$I$56,7,FALSE),main!$K$10:$Q$14,6,FALSE),1,0)</f>
        <v>0</v>
      </c>
      <c r="M198">
        <f>IF(VLOOKUP(M$1,main!$A$3:$I$56,5,FALSE)-VLOOKUP($A198,main!$A$3:$I$56,6,FALSE)&gt;=VLOOKUP(58,main!$A$57:$I$61,4,FALSE)+VLOOKUP(VLOOKUP(M$1,main!$A$3:$I$56,7,FALSE),main!$K$10:$Q$14,6,FALSE),1,0)</f>
        <v>0</v>
      </c>
      <c r="N198">
        <f>IF(VLOOKUP(N$1,main!$A$3:$I$56,5,FALSE)-VLOOKUP($A198,main!$A$3:$I$56,6,FALSE)&gt;=VLOOKUP(58,main!$A$57:$I$61,4,FALSE)+VLOOKUP(VLOOKUP(N$1,main!$A$3:$I$56,7,FALSE),main!$K$10:$Q$14,6,FALSE),1,0)</f>
        <v>1</v>
      </c>
      <c r="O198">
        <f>IF(VLOOKUP(O$1,main!$A$3:$I$56,5,FALSE)-VLOOKUP($A198,main!$A$3:$I$56,6,FALSE)&gt;=VLOOKUP(58,main!$A$57:$I$61,4,FALSE)+VLOOKUP(VLOOKUP(O$1,main!$A$3:$I$56,7,FALSE),main!$K$10:$Q$14,6,FALSE),1,0)</f>
        <v>1</v>
      </c>
      <c r="P198">
        <f>IF(VLOOKUP(P$1,main!$A$3:$I$56,5,FALSE)-VLOOKUP($A198,main!$A$3:$I$56,6,FALSE)&gt;=VLOOKUP(58,main!$A$57:$I$61,4,FALSE)+VLOOKUP(VLOOKUP(P$1,main!$A$3:$I$56,7,FALSE),main!$K$10:$Q$14,6,FALSE),1,0)</f>
        <v>0</v>
      </c>
      <c r="Q198">
        <f>IF(VLOOKUP(Q$1,main!$A$3:$I$56,5,FALSE)-VLOOKUP($A198,main!$A$3:$I$56,6,FALSE)&gt;=VLOOKUP(58,main!$A$57:$I$61,4,FALSE)+VLOOKUP(VLOOKUP(Q$1,main!$A$3:$I$56,7,FALSE),main!$K$10:$Q$14,6,FALSE),1,0)</f>
        <v>0</v>
      </c>
      <c r="R198">
        <f>IF(VLOOKUP(R$1,main!$A$3:$I$56,5,FALSE)-VLOOKUP($A198,main!$A$3:$I$56,6,FALSE)&gt;=VLOOKUP(58,main!$A$57:$I$61,4,FALSE)+VLOOKUP(VLOOKUP(R$1,main!$A$3:$I$56,7,FALSE),main!$K$10:$Q$14,6,FALSE),1,0)</f>
        <v>0</v>
      </c>
      <c r="S198">
        <f>IF(VLOOKUP(S$1,main!$A$3:$I$56,5,FALSE)-VLOOKUP($A198,main!$A$3:$I$56,6,FALSE)&gt;=VLOOKUP(58,main!$A$57:$I$61,4,FALSE)+VLOOKUP(VLOOKUP(S$1,main!$A$3:$I$56,7,FALSE),main!$K$10:$Q$14,6,FALSE),1,0)</f>
        <v>1</v>
      </c>
      <c r="T198">
        <f>IF(VLOOKUP(T$1,main!$A$3:$I$56,5,FALSE)-VLOOKUP($A198,main!$A$3:$I$56,6,FALSE)&gt;=VLOOKUP(58,main!$A$57:$I$61,4,FALSE)+VLOOKUP(VLOOKUP(T$1,main!$A$3:$I$56,7,FALSE),main!$K$10:$Q$14,6,FALSE),1,0)</f>
        <v>1</v>
      </c>
      <c r="U198">
        <f>IF(VLOOKUP(U$1,main!$A$3:$I$56,5,FALSE)-VLOOKUP($A198,main!$A$3:$I$56,6,FALSE)&gt;=VLOOKUP(58,main!$A$57:$I$61,4,FALSE)+VLOOKUP(VLOOKUP(U$1,main!$A$3:$I$56,7,FALSE),main!$K$10:$Q$14,6,FALSE),1,0)</f>
        <v>0</v>
      </c>
      <c r="V198">
        <f>IF(VLOOKUP(V$1,main!$A$3:$I$56,5,FALSE)-VLOOKUP($A198,main!$A$3:$I$56,6,FALSE)&gt;=VLOOKUP(58,main!$A$57:$I$61,4,FALSE)+VLOOKUP(VLOOKUP(V$1,main!$A$3:$I$56,7,FALSE),main!$K$10:$Q$14,6,FALSE),1,0)</f>
        <v>0</v>
      </c>
      <c r="W198">
        <f>IF(VLOOKUP(W$1,main!$A$3:$I$56,5,FALSE)-VLOOKUP($A198,main!$A$3:$I$56,6,FALSE)&gt;=VLOOKUP(58,main!$A$57:$I$61,4,FALSE)+VLOOKUP(VLOOKUP(W$1,main!$A$3:$I$56,7,FALSE),main!$K$10:$Q$14,6,FALSE),1,0)</f>
        <v>0</v>
      </c>
      <c r="X198">
        <f>IF(VLOOKUP(X$1,main!$A$3:$I$56,5,FALSE)-VLOOKUP($A198,main!$A$3:$I$56,6,FALSE)&gt;=VLOOKUP(58,main!$A$57:$I$61,4,FALSE)+VLOOKUP(VLOOKUP(X$1,main!$A$3:$I$56,7,FALSE),main!$K$10:$Q$14,6,FALSE),1,0)</f>
        <v>0</v>
      </c>
      <c r="Y198">
        <f>IF(VLOOKUP(Y$1,main!$A$3:$I$56,5,FALSE)-VLOOKUP($A198,main!$A$3:$I$56,6,FALSE)&gt;=VLOOKUP(58,main!$A$57:$I$61,4,FALSE)+VLOOKUP(VLOOKUP(Y$1,main!$A$3:$I$56,7,FALSE),main!$K$10:$Q$14,6,FALSE),1,0)</f>
        <v>0</v>
      </c>
      <c r="Z198">
        <f>IF(VLOOKUP(Z$1,main!$A$3:$I$56,5,FALSE)-VLOOKUP($A198,main!$A$3:$I$56,6,FALSE)&gt;=VLOOKUP(58,main!$A$57:$I$61,4,FALSE)+VLOOKUP(VLOOKUP(Z$1,main!$A$3:$I$56,7,FALSE),main!$K$10:$Q$14,6,FALSE),1,0)</f>
        <v>1</v>
      </c>
      <c r="AA198">
        <f>IF(VLOOKUP(AA$1,main!$A$3:$I$56,5,FALSE)-VLOOKUP($A198,main!$A$3:$I$56,6,FALSE)&gt;=VLOOKUP(58,main!$A$57:$I$61,4,FALSE)+VLOOKUP(VLOOKUP(AA$1,main!$A$3:$I$56,7,FALSE),main!$K$10:$Q$14,6,FALSE),1,0)</f>
        <v>1</v>
      </c>
      <c r="AB198">
        <f>IF(VLOOKUP(AB$1,main!$A$3:$I$56,5,FALSE)-VLOOKUP($A198,main!$A$3:$I$56,6,FALSE)&gt;=VLOOKUP(58,main!$A$57:$I$61,4,FALSE)+VLOOKUP(VLOOKUP(AB$1,main!$A$3:$I$56,7,FALSE),main!$K$10:$Q$14,6,FALSE),1,0)</f>
        <v>1</v>
      </c>
      <c r="AC198">
        <f>IF(VLOOKUP(AC$1,main!$A$3:$I$56,5,FALSE)-VLOOKUP($A198,main!$A$3:$I$56,6,FALSE)&gt;=VLOOKUP(58,main!$A$57:$I$61,4,FALSE)+VLOOKUP(VLOOKUP(AC$1,main!$A$3:$I$56,7,FALSE),main!$K$10:$Q$14,6,FALSE),1,0)</f>
        <v>0</v>
      </c>
      <c r="AD198">
        <f>IF(VLOOKUP(AD$1,main!$A$3:$I$56,5,FALSE)-VLOOKUP($A198,main!$A$3:$I$56,6,FALSE)&gt;=VLOOKUP(58,main!$A$57:$I$61,4,FALSE)+VLOOKUP(VLOOKUP(AD$1,main!$A$3:$I$56,7,FALSE),main!$K$10:$Q$14,6,FALSE),1,0)</f>
        <v>0</v>
      </c>
      <c r="AE198">
        <f>IF(VLOOKUP(AE$1,main!$A$3:$I$56,5,FALSE)-VLOOKUP($A198,main!$A$3:$I$56,6,FALSE)&gt;=VLOOKUP(58,main!$A$57:$I$61,4,FALSE)+VLOOKUP(VLOOKUP(AE$1,main!$A$3:$I$56,7,FALSE),main!$K$10:$Q$14,6,FALSE),1,0)</f>
        <v>0</v>
      </c>
      <c r="AF198">
        <f>IF(VLOOKUP(AF$1,main!$A$3:$I$56,5,FALSE)-VLOOKUP($A198,main!$A$3:$I$56,6,FALSE)&gt;=VLOOKUP(58,main!$A$57:$I$61,4,FALSE)+VLOOKUP(VLOOKUP(AF$1,main!$A$3:$I$56,7,FALSE),main!$K$10:$Q$14,6,FALSE),1,0)</f>
        <v>1</v>
      </c>
      <c r="AG198">
        <f>IF(VLOOKUP(AG$1,main!$A$3:$I$56,5,FALSE)-VLOOKUP($A198,main!$A$3:$I$56,6,FALSE)&gt;=VLOOKUP(58,main!$A$57:$I$61,4,FALSE)+VLOOKUP(VLOOKUP(AG$1,main!$A$3:$I$56,7,FALSE),main!$K$10:$Q$14,6,FALSE),1,0)</f>
        <v>0</v>
      </c>
      <c r="AH198">
        <f>IF(VLOOKUP(AH$1,main!$A$3:$I$56,5,FALSE)-VLOOKUP($A198,main!$A$3:$I$56,6,FALSE)&gt;=VLOOKUP(58,main!$A$57:$I$61,4,FALSE)+VLOOKUP(VLOOKUP(AH$1,main!$A$3:$I$56,7,FALSE),main!$K$10:$Q$14,6,FALSE),1,0)</f>
        <v>0</v>
      </c>
      <c r="AI198">
        <f>IF(VLOOKUP(AI$1,main!$A$3:$I$56,5,FALSE)-VLOOKUP($A198,main!$A$3:$I$56,6,FALSE)&gt;=VLOOKUP(58,main!$A$57:$I$61,4,FALSE)+VLOOKUP(VLOOKUP(AI$1,main!$A$3:$I$56,7,FALSE),main!$K$10:$Q$14,6,FALSE),1,0)</f>
        <v>1</v>
      </c>
      <c r="AJ198">
        <f>IF(VLOOKUP(AJ$1,main!$A$3:$I$56,5,FALSE)-VLOOKUP($A198,main!$A$3:$I$56,6,FALSE)&gt;=VLOOKUP(58,main!$A$57:$I$61,4,FALSE)+VLOOKUP(VLOOKUP(AJ$1,main!$A$3:$I$56,7,FALSE),main!$K$10:$Q$14,6,FALSE),1,0)</f>
        <v>1</v>
      </c>
      <c r="AK198">
        <f>IF(VLOOKUP(AK$1,main!$A$3:$I$56,5,FALSE)-VLOOKUP($A198,main!$A$3:$I$56,6,FALSE)&gt;=VLOOKUP(58,main!$A$57:$I$61,4,FALSE)+VLOOKUP(VLOOKUP(AK$1,main!$A$3:$I$56,7,FALSE),main!$K$10:$Q$14,6,FALSE),1,0)</f>
        <v>1</v>
      </c>
      <c r="AL198">
        <f>IF(VLOOKUP(AL$1,main!$A$3:$I$56,5,FALSE)-VLOOKUP($A198,main!$A$3:$I$56,6,FALSE)&gt;=VLOOKUP(58,main!$A$57:$I$61,4,FALSE)+VLOOKUP(VLOOKUP(AL$1,main!$A$3:$I$56,7,FALSE),main!$K$10:$Q$14,6,FALSE),1,0)</f>
        <v>0</v>
      </c>
      <c r="AM198">
        <f>IF(VLOOKUP(AM$1,main!$A$3:$I$56,5,FALSE)-VLOOKUP($A198,main!$A$3:$I$56,6,FALSE)&gt;=VLOOKUP(58,main!$A$57:$I$61,4,FALSE)+VLOOKUP(VLOOKUP(AM$1,main!$A$3:$I$56,7,FALSE),main!$K$10:$Q$14,6,FALSE),1,0)</f>
        <v>0</v>
      </c>
      <c r="AN198">
        <f>IF(VLOOKUP(AN$1,main!$A$3:$I$56,5,FALSE)-VLOOKUP($A198,main!$A$3:$I$56,6,FALSE)&gt;=VLOOKUP(58,main!$A$57:$I$61,4,FALSE)+VLOOKUP(VLOOKUP(AN$1,main!$A$3:$I$56,7,FALSE),main!$K$10:$Q$14,6,FALSE),1,0)</f>
        <v>1</v>
      </c>
      <c r="AO198">
        <f>IF(VLOOKUP(AO$1,main!$A$3:$I$56,5,FALSE)-VLOOKUP($A198,main!$A$3:$I$56,6,FALSE)&gt;=VLOOKUP(58,main!$A$57:$I$61,4,FALSE)+VLOOKUP(VLOOKUP(AO$1,main!$A$3:$I$56,7,FALSE),main!$K$10:$Q$14,6,FALSE),1,0)</f>
        <v>1</v>
      </c>
      <c r="AP198">
        <f>IF(VLOOKUP(AP$1,main!$A$3:$I$56,5,FALSE)-VLOOKUP($A198,main!$A$3:$I$56,6,FALSE)&gt;=VLOOKUP(58,main!$A$57:$I$61,4,FALSE)+VLOOKUP(VLOOKUP(AP$1,main!$A$3:$I$56,7,FALSE),main!$K$10:$Q$14,6,FALSE),1,0)</f>
        <v>0</v>
      </c>
      <c r="AQ198">
        <f>IF(VLOOKUP(AQ$1,main!$A$3:$I$56,5,FALSE)-VLOOKUP($A198,main!$A$3:$I$56,6,FALSE)&gt;=VLOOKUP(58,main!$A$57:$I$61,4,FALSE)+VLOOKUP(VLOOKUP(AQ$1,main!$A$3:$I$56,7,FALSE),main!$K$10:$Q$14,6,FALSE),1,0)</f>
        <v>0</v>
      </c>
      <c r="AR198">
        <f>IF(VLOOKUP(AR$1,main!$A$3:$I$56,5,FALSE)-VLOOKUP($A198,main!$A$3:$I$56,6,FALSE)&gt;=VLOOKUP(58,main!$A$57:$I$61,4,FALSE)+VLOOKUP(VLOOKUP(AR$1,main!$A$3:$I$56,7,FALSE),main!$K$10:$Q$14,6,FALSE),1,0)</f>
        <v>0</v>
      </c>
      <c r="AS198">
        <f>IF(VLOOKUP(AS$1,main!$A$3:$I$56,5,FALSE)-VLOOKUP($A198,main!$A$3:$I$56,6,FALSE)&gt;=VLOOKUP(58,main!$A$57:$I$61,4,FALSE)+VLOOKUP(VLOOKUP(AS$1,main!$A$3:$I$56,7,FALSE),main!$K$10:$Q$14,6,FALSE),1,0)</f>
        <v>0</v>
      </c>
      <c r="AT198">
        <f>IF(VLOOKUP(AT$1,main!$A$3:$I$56,5,FALSE)-VLOOKUP($A198,main!$A$3:$I$56,6,FALSE)&gt;=VLOOKUP(58,main!$A$57:$I$61,4,FALSE)+VLOOKUP(VLOOKUP(AT$1,main!$A$3:$I$56,7,FALSE),main!$K$10:$Q$14,6,FALSE),1,0)</f>
        <v>1</v>
      </c>
      <c r="AU198">
        <f>IF(VLOOKUP(AU$1,main!$A$3:$I$56,5,FALSE)-VLOOKUP($A198,main!$A$3:$I$56,6,FALSE)&gt;=VLOOKUP(58,main!$A$57:$I$61,4,FALSE)+VLOOKUP(VLOOKUP(AU$1,main!$A$3:$I$56,7,FALSE),main!$K$10:$Q$14,6,FALSE),1,0)</f>
        <v>0</v>
      </c>
      <c r="AV198">
        <f>IF(VLOOKUP(AV$1,main!$A$3:$I$56,5,FALSE)-VLOOKUP($A198,main!$A$3:$I$56,6,FALSE)&gt;=VLOOKUP(58,main!$A$57:$I$61,4,FALSE)+VLOOKUP(VLOOKUP(AV$1,main!$A$3:$I$56,7,FALSE),main!$K$10:$Q$14,6,FALSE),1,0)</f>
        <v>0</v>
      </c>
      <c r="AW198">
        <f>IF(VLOOKUP(AW$1,main!$A$3:$I$56,5,FALSE)-VLOOKUP($A198,main!$A$3:$I$56,6,FALSE)&gt;=VLOOKUP(58,main!$A$57:$I$61,4,FALSE)+VLOOKUP(VLOOKUP(AW$1,main!$A$3:$I$56,7,FALSE),main!$K$10:$Q$14,6,FALSE),1,0)</f>
        <v>0</v>
      </c>
      <c r="AX198">
        <f>IF(VLOOKUP(AX$1,main!$A$3:$I$56,5,FALSE)-VLOOKUP($A198,main!$A$3:$I$56,6,FALSE)&gt;=VLOOKUP(58,main!$A$57:$I$61,4,FALSE)+VLOOKUP(VLOOKUP(AX$1,main!$A$3:$I$56,7,FALSE),main!$K$10:$Q$14,6,FALSE),1,0)</f>
        <v>0</v>
      </c>
      <c r="AY198">
        <f>IF(VLOOKUP(AY$1,main!$A$3:$I$56,5,FALSE)-VLOOKUP($A198,main!$A$3:$I$56,6,FALSE)&gt;=VLOOKUP(58,main!$A$57:$I$61,4,FALSE)+VLOOKUP(VLOOKUP(AY$1,main!$A$3:$I$56,7,FALSE),main!$K$10:$Q$14,6,FALSE),1,0)</f>
        <v>1</v>
      </c>
      <c r="AZ198">
        <f>IF(VLOOKUP(AZ$1,main!$A$3:$I$56,5,FALSE)-VLOOKUP($A198,main!$A$3:$I$56,6,FALSE)&gt;=VLOOKUP(58,main!$A$57:$I$61,4,FALSE)+VLOOKUP(VLOOKUP(AZ$1,main!$A$3:$I$56,7,FALSE),main!$K$10:$Q$14,6,FALSE),1,0)</f>
        <v>0</v>
      </c>
      <c r="BA198">
        <f>IF(VLOOKUP(BA$1,main!$A$3:$I$56,5,FALSE)-VLOOKUP($A198,main!$A$3:$I$56,6,FALSE)&gt;=VLOOKUP(58,main!$A$57:$I$61,4,FALSE)+VLOOKUP(VLOOKUP(BA$1,main!$A$3:$I$56,7,FALSE),main!$K$10:$Q$14,6,FALSE),1,0)</f>
        <v>0</v>
      </c>
      <c r="BB198">
        <f>IF(VLOOKUP(BB$1,main!$A$3:$I$56,5,FALSE)-VLOOKUP($A198,main!$A$3:$I$56,6,FALSE)&gt;=VLOOKUP(58,main!$A$57:$I$61,4,FALSE)+VLOOKUP(VLOOKUP(BB$1,main!$A$3:$I$56,7,FALSE),main!$K$10:$Q$14,6,FALSE),1,0)</f>
        <v>0</v>
      </c>
      <c r="BC198">
        <f>IF(VLOOKUP(BC$1,main!$A$3:$I$56,5,FALSE)-VLOOKUP($A198,main!$A$3:$I$56,6,FALSE)&gt;=VLOOKUP(58,main!$A$57:$I$61,4,FALSE)+VLOOKUP(VLOOKUP(BC$1,main!$A$3:$I$56,7,FALSE),main!$K$10:$Q$14,6,FALSE),1,0)</f>
        <v>0</v>
      </c>
      <c r="BD198">
        <f>IF(VLOOKUP(BD$1,main!$A$3:$I$56,5,FALSE)-VLOOKUP($A198,main!$A$3:$I$56,6,FALSE)&gt;=VLOOKUP(58,main!$A$57:$I$61,4,FALSE)+VLOOKUP(VLOOKUP(BD$1,main!$A$3:$I$56,7,FALSE),main!$K$10:$Q$14,6,FALSE),1,0)</f>
        <v>0</v>
      </c>
    </row>
    <row r="199" spans="1:56" x14ac:dyDescent="0.25">
      <c r="A199">
        <f t="shared" si="3"/>
        <v>32</v>
      </c>
      <c r="B199">
        <v>0</v>
      </c>
      <c r="C199">
        <f>IF(VLOOKUP(C$1,main!$A$3:$I$56,5,FALSE)-VLOOKUP($A199,main!$A$3:$I$56,6,FALSE)&gt;=VLOOKUP(58,main!$A$57:$I$61,4,FALSE)+VLOOKUP(VLOOKUP(C$1,main!$A$3:$I$56,7,FALSE),main!$K$10:$Q$14,6,FALSE),1,0)</f>
        <v>0</v>
      </c>
      <c r="D199">
        <f>IF(VLOOKUP(D$1,main!$A$3:$I$56,5,FALSE)-VLOOKUP($A199,main!$A$3:$I$56,6,FALSE)&gt;=VLOOKUP(58,main!$A$57:$I$61,4,FALSE)+VLOOKUP(VLOOKUP(D$1,main!$A$3:$I$56,7,FALSE),main!$K$10:$Q$14,6,FALSE),1,0)</f>
        <v>0</v>
      </c>
      <c r="E199">
        <f>IF(VLOOKUP(E$1,main!$A$3:$I$56,5,FALSE)-VLOOKUP($A199,main!$A$3:$I$56,6,FALSE)&gt;=VLOOKUP(58,main!$A$57:$I$61,4,FALSE)+VLOOKUP(VLOOKUP(E$1,main!$A$3:$I$56,7,FALSE),main!$K$10:$Q$14,6,FALSE),1,0)</f>
        <v>0</v>
      </c>
      <c r="F199">
        <f>IF(VLOOKUP(F$1,main!$A$3:$I$56,5,FALSE)-VLOOKUP($A199,main!$A$3:$I$56,6,FALSE)&gt;=VLOOKUP(58,main!$A$57:$I$61,4,FALSE)+VLOOKUP(VLOOKUP(F$1,main!$A$3:$I$56,7,FALSE),main!$K$10:$Q$14,6,FALSE),1,0)</f>
        <v>0</v>
      </c>
      <c r="G199">
        <f>IF(VLOOKUP(G$1,main!$A$3:$I$56,5,FALSE)-VLOOKUP($A199,main!$A$3:$I$56,6,FALSE)&gt;=VLOOKUP(58,main!$A$57:$I$61,4,FALSE)+VLOOKUP(VLOOKUP(G$1,main!$A$3:$I$56,7,FALSE),main!$K$10:$Q$14,6,FALSE),1,0)</f>
        <v>0</v>
      </c>
      <c r="H199">
        <f>IF(VLOOKUP(H$1,main!$A$3:$I$56,5,FALSE)-VLOOKUP($A199,main!$A$3:$I$56,6,FALSE)&gt;=VLOOKUP(58,main!$A$57:$I$61,4,FALSE)+VLOOKUP(VLOOKUP(H$1,main!$A$3:$I$56,7,FALSE),main!$K$10:$Q$14,6,FALSE),1,0)</f>
        <v>0</v>
      </c>
      <c r="I199">
        <f>IF(VLOOKUP(I$1,main!$A$3:$I$56,5,FALSE)-VLOOKUP($A199,main!$A$3:$I$56,6,FALSE)&gt;=VLOOKUP(58,main!$A$57:$I$61,4,FALSE)+VLOOKUP(VLOOKUP(I$1,main!$A$3:$I$56,7,FALSE),main!$K$10:$Q$14,6,FALSE),1,0)</f>
        <v>1</v>
      </c>
      <c r="J199">
        <f>IF(VLOOKUP(J$1,main!$A$3:$I$56,5,FALSE)-VLOOKUP($A199,main!$A$3:$I$56,6,FALSE)&gt;=VLOOKUP(58,main!$A$57:$I$61,4,FALSE)+VLOOKUP(VLOOKUP(J$1,main!$A$3:$I$56,7,FALSE),main!$K$10:$Q$14,6,FALSE),1,0)</f>
        <v>1</v>
      </c>
      <c r="K199">
        <f>IF(VLOOKUP(K$1,main!$A$3:$I$56,5,FALSE)-VLOOKUP($A199,main!$A$3:$I$56,6,FALSE)&gt;=VLOOKUP(58,main!$A$57:$I$61,4,FALSE)+VLOOKUP(VLOOKUP(K$1,main!$A$3:$I$56,7,FALSE),main!$K$10:$Q$14,6,FALSE),1,0)</f>
        <v>0</v>
      </c>
      <c r="L199">
        <f>IF(VLOOKUP(L$1,main!$A$3:$I$56,5,FALSE)-VLOOKUP($A199,main!$A$3:$I$56,6,FALSE)&gt;=VLOOKUP(58,main!$A$57:$I$61,4,FALSE)+VLOOKUP(VLOOKUP(L$1,main!$A$3:$I$56,7,FALSE),main!$K$10:$Q$14,6,FALSE),1,0)</f>
        <v>0</v>
      </c>
      <c r="M199">
        <f>IF(VLOOKUP(M$1,main!$A$3:$I$56,5,FALSE)-VLOOKUP($A199,main!$A$3:$I$56,6,FALSE)&gt;=VLOOKUP(58,main!$A$57:$I$61,4,FALSE)+VLOOKUP(VLOOKUP(M$1,main!$A$3:$I$56,7,FALSE),main!$K$10:$Q$14,6,FALSE),1,0)</f>
        <v>0</v>
      </c>
      <c r="N199">
        <f>IF(VLOOKUP(N$1,main!$A$3:$I$56,5,FALSE)-VLOOKUP($A199,main!$A$3:$I$56,6,FALSE)&gt;=VLOOKUP(58,main!$A$57:$I$61,4,FALSE)+VLOOKUP(VLOOKUP(N$1,main!$A$3:$I$56,7,FALSE),main!$K$10:$Q$14,6,FALSE),1,0)</f>
        <v>1</v>
      </c>
      <c r="O199">
        <f>IF(VLOOKUP(O$1,main!$A$3:$I$56,5,FALSE)-VLOOKUP($A199,main!$A$3:$I$56,6,FALSE)&gt;=VLOOKUP(58,main!$A$57:$I$61,4,FALSE)+VLOOKUP(VLOOKUP(O$1,main!$A$3:$I$56,7,FALSE),main!$K$10:$Q$14,6,FALSE),1,0)</f>
        <v>1</v>
      </c>
      <c r="P199">
        <f>IF(VLOOKUP(P$1,main!$A$3:$I$56,5,FALSE)-VLOOKUP($A199,main!$A$3:$I$56,6,FALSE)&gt;=VLOOKUP(58,main!$A$57:$I$61,4,FALSE)+VLOOKUP(VLOOKUP(P$1,main!$A$3:$I$56,7,FALSE),main!$K$10:$Q$14,6,FALSE),1,0)</f>
        <v>0</v>
      </c>
      <c r="Q199">
        <f>IF(VLOOKUP(Q$1,main!$A$3:$I$56,5,FALSE)-VLOOKUP($A199,main!$A$3:$I$56,6,FALSE)&gt;=VLOOKUP(58,main!$A$57:$I$61,4,FALSE)+VLOOKUP(VLOOKUP(Q$1,main!$A$3:$I$56,7,FALSE),main!$K$10:$Q$14,6,FALSE),1,0)</f>
        <v>0</v>
      </c>
      <c r="R199">
        <f>IF(VLOOKUP(R$1,main!$A$3:$I$56,5,FALSE)-VLOOKUP($A199,main!$A$3:$I$56,6,FALSE)&gt;=VLOOKUP(58,main!$A$57:$I$61,4,FALSE)+VLOOKUP(VLOOKUP(R$1,main!$A$3:$I$56,7,FALSE),main!$K$10:$Q$14,6,FALSE),1,0)</f>
        <v>0</v>
      </c>
      <c r="S199">
        <f>IF(VLOOKUP(S$1,main!$A$3:$I$56,5,FALSE)-VLOOKUP($A199,main!$A$3:$I$56,6,FALSE)&gt;=VLOOKUP(58,main!$A$57:$I$61,4,FALSE)+VLOOKUP(VLOOKUP(S$1,main!$A$3:$I$56,7,FALSE),main!$K$10:$Q$14,6,FALSE),1,0)</f>
        <v>0</v>
      </c>
      <c r="T199">
        <f>IF(VLOOKUP(T$1,main!$A$3:$I$56,5,FALSE)-VLOOKUP($A199,main!$A$3:$I$56,6,FALSE)&gt;=VLOOKUP(58,main!$A$57:$I$61,4,FALSE)+VLOOKUP(VLOOKUP(T$1,main!$A$3:$I$56,7,FALSE),main!$K$10:$Q$14,6,FALSE),1,0)</f>
        <v>1</v>
      </c>
      <c r="U199">
        <f>IF(VLOOKUP(U$1,main!$A$3:$I$56,5,FALSE)-VLOOKUP($A199,main!$A$3:$I$56,6,FALSE)&gt;=VLOOKUP(58,main!$A$57:$I$61,4,FALSE)+VLOOKUP(VLOOKUP(U$1,main!$A$3:$I$56,7,FALSE),main!$K$10:$Q$14,6,FALSE),1,0)</f>
        <v>0</v>
      </c>
      <c r="V199">
        <f>IF(VLOOKUP(V$1,main!$A$3:$I$56,5,FALSE)-VLOOKUP($A199,main!$A$3:$I$56,6,FALSE)&gt;=VLOOKUP(58,main!$A$57:$I$61,4,FALSE)+VLOOKUP(VLOOKUP(V$1,main!$A$3:$I$56,7,FALSE),main!$K$10:$Q$14,6,FALSE),1,0)</f>
        <v>0</v>
      </c>
      <c r="W199">
        <f>IF(VLOOKUP(W$1,main!$A$3:$I$56,5,FALSE)-VLOOKUP($A199,main!$A$3:$I$56,6,FALSE)&gt;=VLOOKUP(58,main!$A$57:$I$61,4,FALSE)+VLOOKUP(VLOOKUP(W$1,main!$A$3:$I$56,7,FALSE),main!$K$10:$Q$14,6,FALSE),1,0)</f>
        <v>0</v>
      </c>
      <c r="X199">
        <f>IF(VLOOKUP(X$1,main!$A$3:$I$56,5,FALSE)-VLOOKUP($A199,main!$A$3:$I$56,6,FALSE)&gt;=VLOOKUP(58,main!$A$57:$I$61,4,FALSE)+VLOOKUP(VLOOKUP(X$1,main!$A$3:$I$56,7,FALSE),main!$K$10:$Q$14,6,FALSE),1,0)</f>
        <v>0</v>
      </c>
      <c r="Y199">
        <f>IF(VLOOKUP(Y$1,main!$A$3:$I$56,5,FALSE)-VLOOKUP($A199,main!$A$3:$I$56,6,FALSE)&gt;=VLOOKUP(58,main!$A$57:$I$61,4,FALSE)+VLOOKUP(VLOOKUP(Y$1,main!$A$3:$I$56,7,FALSE),main!$K$10:$Q$14,6,FALSE),1,0)</f>
        <v>0</v>
      </c>
      <c r="Z199">
        <f>IF(VLOOKUP(Z$1,main!$A$3:$I$56,5,FALSE)-VLOOKUP($A199,main!$A$3:$I$56,6,FALSE)&gt;=VLOOKUP(58,main!$A$57:$I$61,4,FALSE)+VLOOKUP(VLOOKUP(Z$1,main!$A$3:$I$56,7,FALSE),main!$K$10:$Q$14,6,FALSE),1,0)</f>
        <v>0</v>
      </c>
      <c r="AA199">
        <f>IF(VLOOKUP(AA$1,main!$A$3:$I$56,5,FALSE)-VLOOKUP($A199,main!$A$3:$I$56,6,FALSE)&gt;=VLOOKUP(58,main!$A$57:$I$61,4,FALSE)+VLOOKUP(VLOOKUP(AA$1,main!$A$3:$I$56,7,FALSE),main!$K$10:$Q$14,6,FALSE),1,0)</f>
        <v>0</v>
      </c>
      <c r="AB199">
        <f>IF(VLOOKUP(AB$1,main!$A$3:$I$56,5,FALSE)-VLOOKUP($A199,main!$A$3:$I$56,6,FALSE)&gt;=VLOOKUP(58,main!$A$57:$I$61,4,FALSE)+VLOOKUP(VLOOKUP(AB$1,main!$A$3:$I$56,7,FALSE),main!$K$10:$Q$14,6,FALSE),1,0)</f>
        <v>1</v>
      </c>
      <c r="AC199">
        <f>IF(VLOOKUP(AC$1,main!$A$3:$I$56,5,FALSE)-VLOOKUP($A199,main!$A$3:$I$56,6,FALSE)&gt;=VLOOKUP(58,main!$A$57:$I$61,4,FALSE)+VLOOKUP(VLOOKUP(AC$1,main!$A$3:$I$56,7,FALSE),main!$K$10:$Q$14,6,FALSE),1,0)</f>
        <v>0</v>
      </c>
      <c r="AD199">
        <f>IF(VLOOKUP(AD$1,main!$A$3:$I$56,5,FALSE)-VLOOKUP($A199,main!$A$3:$I$56,6,FALSE)&gt;=VLOOKUP(58,main!$A$57:$I$61,4,FALSE)+VLOOKUP(VLOOKUP(AD$1,main!$A$3:$I$56,7,FALSE),main!$K$10:$Q$14,6,FALSE),1,0)</f>
        <v>0</v>
      </c>
      <c r="AE199">
        <f>IF(VLOOKUP(AE$1,main!$A$3:$I$56,5,FALSE)-VLOOKUP($A199,main!$A$3:$I$56,6,FALSE)&gt;=VLOOKUP(58,main!$A$57:$I$61,4,FALSE)+VLOOKUP(VLOOKUP(AE$1,main!$A$3:$I$56,7,FALSE),main!$K$10:$Q$14,6,FALSE),1,0)</f>
        <v>0</v>
      </c>
      <c r="AF199">
        <f>IF(VLOOKUP(AF$1,main!$A$3:$I$56,5,FALSE)-VLOOKUP($A199,main!$A$3:$I$56,6,FALSE)&gt;=VLOOKUP(58,main!$A$57:$I$61,4,FALSE)+VLOOKUP(VLOOKUP(AF$1,main!$A$3:$I$56,7,FALSE),main!$K$10:$Q$14,6,FALSE),1,0)</f>
        <v>0</v>
      </c>
      <c r="AG199">
        <f>IF(VLOOKUP(AG$1,main!$A$3:$I$56,5,FALSE)-VLOOKUP($A199,main!$A$3:$I$56,6,FALSE)&gt;=VLOOKUP(58,main!$A$57:$I$61,4,FALSE)+VLOOKUP(VLOOKUP(AG$1,main!$A$3:$I$56,7,FALSE),main!$K$10:$Q$14,6,FALSE),1,0)</f>
        <v>0</v>
      </c>
      <c r="AH199">
        <f>IF(VLOOKUP(AH$1,main!$A$3:$I$56,5,FALSE)-VLOOKUP($A199,main!$A$3:$I$56,6,FALSE)&gt;=VLOOKUP(58,main!$A$57:$I$61,4,FALSE)+VLOOKUP(VLOOKUP(AH$1,main!$A$3:$I$56,7,FALSE),main!$K$10:$Q$14,6,FALSE),1,0)</f>
        <v>0</v>
      </c>
      <c r="AI199">
        <f>IF(VLOOKUP(AI$1,main!$A$3:$I$56,5,FALSE)-VLOOKUP($A199,main!$A$3:$I$56,6,FALSE)&gt;=VLOOKUP(58,main!$A$57:$I$61,4,FALSE)+VLOOKUP(VLOOKUP(AI$1,main!$A$3:$I$56,7,FALSE),main!$K$10:$Q$14,6,FALSE),1,0)</f>
        <v>0</v>
      </c>
      <c r="AJ199">
        <f>IF(VLOOKUP(AJ$1,main!$A$3:$I$56,5,FALSE)-VLOOKUP($A199,main!$A$3:$I$56,6,FALSE)&gt;=VLOOKUP(58,main!$A$57:$I$61,4,FALSE)+VLOOKUP(VLOOKUP(AJ$1,main!$A$3:$I$56,7,FALSE),main!$K$10:$Q$14,6,FALSE),1,0)</f>
        <v>0</v>
      </c>
      <c r="AK199">
        <f>IF(VLOOKUP(AK$1,main!$A$3:$I$56,5,FALSE)-VLOOKUP($A199,main!$A$3:$I$56,6,FALSE)&gt;=VLOOKUP(58,main!$A$57:$I$61,4,FALSE)+VLOOKUP(VLOOKUP(AK$1,main!$A$3:$I$56,7,FALSE),main!$K$10:$Q$14,6,FALSE),1,0)</f>
        <v>1</v>
      </c>
      <c r="AL199">
        <f>IF(VLOOKUP(AL$1,main!$A$3:$I$56,5,FALSE)-VLOOKUP($A199,main!$A$3:$I$56,6,FALSE)&gt;=VLOOKUP(58,main!$A$57:$I$61,4,FALSE)+VLOOKUP(VLOOKUP(AL$1,main!$A$3:$I$56,7,FALSE),main!$K$10:$Q$14,6,FALSE),1,0)</f>
        <v>0</v>
      </c>
      <c r="AM199">
        <f>IF(VLOOKUP(AM$1,main!$A$3:$I$56,5,FALSE)-VLOOKUP($A199,main!$A$3:$I$56,6,FALSE)&gt;=VLOOKUP(58,main!$A$57:$I$61,4,FALSE)+VLOOKUP(VLOOKUP(AM$1,main!$A$3:$I$56,7,FALSE),main!$K$10:$Q$14,6,FALSE),1,0)</f>
        <v>0</v>
      </c>
      <c r="AN199">
        <f>IF(VLOOKUP(AN$1,main!$A$3:$I$56,5,FALSE)-VLOOKUP($A199,main!$A$3:$I$56,6,FALSE)&gt;=VLOOKUP(58,main!$A$57:$I$61,4,FALSE)+VLOOKUP(VLOOKUP(AN$1,main!$A$3:$I$56,7,FALSE),main!$K$10:$Q$14,6,FALSE),1,0)</f>
        <v>0</v>
      </c>
      <c r="AO199">
        <f>IF(VLOOKUP(AO$1,main!$A$3:$I$56,5,FALSE)-VLOOKUP($A199,main!$A$3:$I$56,6,FALSE)&gt;=VLOOKUP(58,main!$A$57:$I$61,4,FALSE)+VLOOKUP(VLOOKUP(AO$1,main!$A$3:$I$56,7,FALSE),main!$K$10:$Q$14,6,FALSE),1,0)</f>
        <v>1</v>
      </c>
      <c r="AP199">
        <f>IF(VLOOKUP(AP$1,main!$A$3:$I$56,5,FALSE)-VLOOKUP($A199,main!$A$3:$I$56,6,FALSE)&gt;=VLOOKUP(58,main!$A$57:$I$61,4,FALSE)+VLOOKUP(VLOOKUP(AP$1,main!$A$3:$I$56,7,FALSE),main!$K$10:$Q$14,6,FALSE),1,0)</f>
        <v>0</v>
      </c>
      <c r="AQ199">
        <f>IF(VLOOKUP(AQ$1,main!$A$3:$I$56,5,FALSE)-VLOOKUP($A199,main!$A$3:$I$56,6,FALSE)&gt;=VLOOKUP(58,main!$A$57:$I$61,4,FALSE)+VLOOKUP(VLOOKUP(AQ$1,main!$A$3:$I$56,7,FALSE),main!$K$10:$Q$14,6,FALSE),1,0)</f>
        <v>0</v>
      </c>
      <c r="AR199">
        <f>IF(VLOOKUP(AR$1,main!$A$3:$I$56,5,FALSE)-VLOOKUP($A199,main!$A$3:$I$56,6,FALSE)&gt;=VLOOKUP(58,main!$A$57:$I$61,4,FALSE)+VLOOKUP(VLOOKUP(AR$1,main!$A$3:$I$56,7,FALSE),main!$K$10:$Q$14,6,FALSE),1,0)</f>
        <v>0</v>
      </c>
      <c r="AS199">
        <f>IF(VLOOKUP(AS$1,main!$A$3:$I$56,5,FALSE)-VLOOKUP($A199,main!$A$3:$I$56,6,FALSE)&gt;=VLOOKUP(58,main!$A$57:$I$61,4,FALSE)+VLOOKUP(VLOOKUP(AS$1,main!$A$3:$I$56,7,FALSE),main!$K$10:$Q$14,6,FALSE),1,0)</f>
        <v>0</v>
      </c>
      <c r="AT199">
        <f>IF(VLOOKUP(AT$1,main!$A$3:$I$56,5,FALSE)-VLOOKUP($A199,main!$A$3:$I$56,6,FALSE)&gt;=VLOOKUP(58,main!$A$57:$I$61,4,FALSE)+VLOOKUP(VLOOKUP(AT$1,main!$A$3:$I$56,7,FALSE),main!$K$10:$Q$14,6,FALSE),1,0)</f>
        <v>0</v>
      </c>
      <c r="AU199">
        <f>IF(VLOOKUP(AU$1,main!$A$3:$I$56,5,FALSE)-VLOOKUP($A199,main!$A$3:$I$56,6,FALSE)&gt;=VLOOKUP(58,main!$A$57:$I$61,4,FALSE)+VLOOKUP(VLOOKUP(AU$1,main!$A$3:$I$56,7,FALSE),main!$K$10:$Q$14,6,FALSE),1,0)</f>
        <v>0</v>
      </c>
      <c r="AV199">
        <f>IF(VLOOKUP(AV$1,main!$A$3:$I$56,5,FALSE)-VLOOKUP($A199,main!$A$3:$I$56,6,FALSE)&gt;=VLOOKUP(58,main!$A$57:$I$61,4,FALSE)+VLOOKUP(VLOOKUP(AV$1,main!$A$3:$I$56,7,FALSE),main!$K$10:$Q$14,6,FALSE),1,0)</f>
        <v>0</v>
      </c>
      <c r="AW199">
        <f>IF(VLOOKUP(AW$1,main!$A$3:$I$56,5,FALSE)-VLOOKUP($A199,main!$A$3:$I$56,6,FALSE)&gt;=VLOOKUP(58,main!$A$57:$I$61,4,FALSE)+VLOOKUP(VLOOKUP(AW$1,main!$A$3:$I$56,7,FALSE),main!$K$10:$Q$14,6,FALSE),1,0)</f>
        <v>0</v>
      </c>
      <c r="AX199">
        <f>IF(VLOOKUP(AX$1,main!$A$3:$I$56,5,FALSE)-VLOOKUP($A199,main!$A$3:$I$56,6,FALSE)&gt;=VLOOKUP(58,main!$A$57:$I$61,4,FALSE)+VLOOKUP(VLOOKUP(AX$1,main!$A$3:$I$56,7,FALSE),main!$K$10:$Q$14,6,FALSE),1,0)</f>
        <v>0</v>
      </c>
      <c r="AY199">
        <f>IF(VLOOKUP(AY$1,main!$A$3:$I$56,5,FALSE)-VLOOKUP($A199,main!$A$3:$I$56,6,FALSE)&gt;=VLOOKUP(58,main!$A$57:$I$61,4,FALSE)+VLOOKUP(VLOOKUP(AY$1,main!$A$3:$I$56,7,FALSE),main!$K$10:$Q$14,6,FALSE),1,0)</f>
        <v>0</v>
      </c>
      <c r="AZ199">
        <f>IF(VLOOKUP(AZ$1,main!$A$3:$I$56,5,FALSE)-VLOOKUP($A199,main!$A$3:$I$56,6,FALSE)&gt;=VLOOKUP(58,main!$A$57:$I$61,4,FALSE)+VLOOKUP(VLOOKUP(AZ$1,main!$A$3:$I$56,7,FALSE),main!$K$10:$Q$14,6,FALSE),1,0)</f>
        <v>0</v>
      </c>
      <c r="BA199">
        <f>IF(VLOOKUP(BA$1,main!$A$3:$I$56,5,FALSE)-VLOOKUP($A199,main!$A$3:$I$56,6,FALSE)&gt;=VLOOKUP(58,main!$A$57:$I$61,4,FALSE)+VLOOKUP(VLOOKUP(BA$1,main!$A$3:$I$56,7,FALSE),main!$K$10:$Q$14,6,FALSE),1,0)</f>
        <v>0</v>
      </c>
      <c r="BB199">
        <f>IF(VLOOKUP(BB$1,main!$A$3:$I$56,5,FALSE)-VLOOKUP($A199,main!$A$3:$I$56,6,FALSE)&gt;=VLOOKUP(58,main!$A$57:$I$61,4,FALSE)+VLOOKUP(VLOOKUP(BB$1,main!$A$3:$I$56,7,FALSE),main!$K$10:$Q$14,6,FALSE),1,0)</f>
        <v>0</v>
      </c>
      <c r="BC199">
        <f>IF(VLOOKUP(BC$1,main!$A$3:$I$56,5,FALSE)-VLOOKUP($A199,main!$A$3:$I$56,6,FALSE)&gt;=VLOOKUP(58,main!$A$57:$I$61,4,FALSE)+VLOOKUP(VLOOKUP(BC$1,main!$A$3:$I$56,7,FALSE),main!$K$10:$Q$14,6,FALSE),1,0)</f>
        <v>0</v>
      </c>
      <c r="BD199">
        <f>IF(VLOOKUP(BD$1,main!$A$3:$I$56,5,FALSE)-VLOOKUP($A199,main!$A$3:$I$56,6,FALSE)&gt;=VLOOKUP(58,main!$A$57:$I$61,4,FALSE)+VLOOKUP(VLOOKUP(BD$1,main!$A$3:$I$56,7,FALSE),main!$K$10:$Q$14,6,FALSE),1,0)</f>
        <v>0</v>
      </c>
    </row>
    <row r="200" spans="1:56" x14ac:dyDescent="0.25">
      <c r="A200">
        <f t="shared" si="3"/>
        <v>33</v>
      </c>
      <c r="B200">
        <v>0</v>
      </c>
      <c r="C200">
        <f>IF(VLOOKUP(C$1,main!$A$3:$I$56,5,FALSE)-VLOOKUP($A200,main!$A$3:$I$56,6,FALSE)&gt;=VLOOKUP(58,main!$A$57:$I$61,4,FALSE)+VLOOKUP(VLOOKUP(C$1,main!$A$3:$I$56,7,FALSE),main!$K$10:$Q$14,6,FALSE),1,0)</f>
        <v>0</v>
      </c>
      <c r="D200">
        <f>IF(VLOOKUP(D$1,main!$A$3:$I$56,5,FALSE)-VLOOKUP($A200,main!$A$3:$I$56,6,FALSE)&gt;=VLOOKUP(58,main!$A$57:$I$61,4,FALSE)+VLOOKUP(VLOOKUP(D$1,main!$A$3:$I$56,7,FALSE),main!$K$10:$Q$14,6,FALSE),1,0)</f>
        <v>0</v>
      </c>
      <c r="E200">
        <f>IF(VLOOKUP(E$1,main!$A$3:$I$56,5,FALSE)-VLOOKUP($A200,main!$A$3:$I$56,6,FALSE)&gt;=VLOOKUP(58,main!$A$57:$I$61,4,FALSE)+VLOOKUP(VLOOKUP(E$1,main!$A$3:$I$56,7,FALSE),main!$K$10:$Q$14,6,FALSE),1,0)</f>
        <v>0</v>
      </c>
      <c r="F200">
        <f>IF(VLOOKUP(F$1,main!$A$3:$I$56,5,FALSE)-VLOOKUP($A200,main!$A$3:$I$56,6,FALSE)&gt;=VLOOKUP(58,main!$A$57:$I$61,4,FALSE)+VLOOKUP(VLOOKUP(F$1,main!$A$3:$I$56,7,FALSE),main!$K$10:$Q$14,6,FALSE),1,0)</f>
        <v>0</v>
      </c>
      <c r="G200">
        <f>IF(VLOOKUP(G$1,main!$A$3:$I$56,5,FALSE)-VLOOKUP($A200,main!$A$3:$I$56,6,FALSE)&gt;=VLOOKUP(58,main!$A$57:$I$61,4,FALSE)+VLOOKUP(VLOOKUP(G$1,main!$A$3:$I$56,7,FALSE),main!$K$10:$Q$14,6,FALSE),1,0)</f>
        <v>0</v>
      </c>
      <c r="H200">
        <f>IF(VLOOKUP(H$1,main!$A$3:$I$56,5,FALSE)-VLOOKUP($A200,main!$A$3:$I$56,6,FALSE)&gt;=VLOOKUP(58,main!$A$57:$I$61,4,FALSE)+VLOOKUP(VLOOKUP(H$1,main!$A$3:$I$56,7,FALSE),main!$K$10:$Q$14,6,FALSE),1,0)</f>
        <v>0</v>
      </c>
      <c r="I200">
        <f>IF(VLOOKUP(I$1,main!$A$3:$I$56,5,FALSE)-VLOOKUP($A200,main!$A$3:$I$56,6,FALSE)&gt;=VLOOKUP(58,main!$A$57:$I$61,4,FALSE)+VLOOKUP(VLOOKUP(I$1,main!$A$3:$I$56,7,FALSE),main!$K$10:$Q$14,6,FALSE),1,0)</f>
        <v>0</v>
      </c>
      <c r="J200">
        <f>IF(VLOOKUP(J$1,main!$A$3:$I$56,5,FALSE)-VLOOKUP($A200,main!$A$3:$I$56,6,FALSE)&gt;=VLOOKUP(58,main!$A$57:$I$61,4,FALSE)+VLOOKUP(VLOOKUP(J$1,main!$A$3:$I$56,7,FALSE),main!$K$10:$Q$14,6,FALSE),1,0)</f>
        <v>0</v>
      </c>
      <c r="K200">
        <f>IF(VLOOKUP(K$1,main!$A$3:$I$56,5,FALSE)-VLOOKUP($A200,main!$A$3:$I$56,6,FALSE)&gt;=VLOOKUP(58,main!$A$57:$I$61,4,FALSE)+VLOOKUP(VLOOKUP(K$1,main!$A$3:$I$56,7,FALSE),main!$K$10:$Q$14,6,FALSE),1,0)</f>
        <v>0</v>
      </c>
      <c r="L200">
        <f>IF(VLOOKUP(L$1,main!$A$3:$I$56,5,FALSE)-VLOOKUP($A200,main!$A$3:$I$56,6,FALSE)&gt;=VLOOKUP(58,main!$A$57:$I$61,4,FALSE)+VLOOKUP(VLOOKUP(L$1,main!$A$3:$I$56,7,FALSE),main!$K$10:$Q$14,6,FALSE),1,0)</f>
        <v>0</v>
      </c>
      <c r="M200">
        <f>IF(VLOOKUP(M$1,main!$A$3:$I$56,5,FALSE)-VLOOKUP($A200,main!$A$3:$I$56,6,FALSE)&gt;=VLOOKUP(58,main!$A$57:$I$61,4,FALSE)+VLOOKUP(VLOOKUP(M$1,main!$A$3:$I$56,7,FALSE),main!$K$10:$Q$14,6,FALSE),1,0)</f>
        <v>0</v>
      </c>
      <c r="N200">
        <f>IF(VLOOKUP(N$1,main!$A$3:$I$56,5,FALSE)-VLOOKUP($A200,main!$A$3:$I$56,6,FALSE)&gt;=VLOOKUP(58,main!$A$57:$I$61,4,FALSE)+VLOOKUP(VLOOKUP(N$1,main!$A$3:$I$56,7,FALSE),main!$K$10:$Q$14,6,FALSE),1,0)</f>
        <v>0</v>
      </c>
      <c r="O200">
        <f>IF(VLOOKUP(O$1,main!$A$3:$I$56,5,FALSE)-VLOOKUP($A200,main!$A$3:$I$56,6,FALSE)&gt;=VLOOKUP(58,main!$A$57:$I$61,4,FALSE)+VLOOKUP(VLOOKUP(O$1,main!$A$3:$I$56,7,FALSE),main!$K$10:$Q$14,6,FALSE),1,0)</f>
        <v>1</v>
      </c>
      <c r="P200">
        <f>IF(VLOOKUP(P$1,main!$A$3:$I$56,5,FALSE)-VLOOKUP($A200,main!$A$3:$I$56,6,FALSE)&gt;=VLOOKUP(58,main!$A$57:$I$61,4,FALSE)+VLOOKUP(VLOOKUP(P$1,main!$A$3:$I$56,7,FALSE),main!$K$10:$Q$14,6,FALSE),1,0)</f>
        <v>0</v>
      </c>
      <c r="Q200">
        <f>IF(VLOOKUP(Q$1,main!$A$3:$I$56,5,FALSE)-VLOOKUP($A200,main!$A$3:$I$56,6,FALSE)&gt;=VLOOKUP(58,main!$A$57:$I$61,4,FALSE)+VLOOKUP(VLOOKUP(Q$1,main!$A$3:$I$56,7,FALSE),main!$K$10:$Q$14,6,FALSE),1,0)</f>
        <v>0</v>
      </c>
      <c r="R200">
        <f>IF(VLOOKUP(R$1,main!$A$3:$I$56,5,FALSE)-VLOOKUP($A200,main!$A$3:$I$56,6,FALSE)&gt;=VLOOKUP(58,main!$A$57:$I$61,4,FALSE)+VLOOKUP(VLOOKUP(R$1,main!$A$3:$I$56,7,FALSE),main!$K$10:$Q$14,6,FALSE),1,0)</f>
        <v>0</v>
      </c>
      <c r="S200">
        <f>IF(VLOOKUP(S$1,main!$A$3:$I$56,5,FALSE)-VLOOKUP($A200,main!$A$3:$I$56,6,FALSE)&gt;=VLOOKUP(58,main!$A$57:$I$61,4,FALSE)+VLOOKUP(VLOOKUP(S$1,main!$A$3:$I$56,7,FALSE),main!$K$10:$Q$14,6,FALSE),1,0)</f>
        <v>0</v>
      </c>
      <c r="T200">
        <f>IF(VLOOKUP(T$1,main!$A$3:$I$56,5,FALSE)-VLOOKUP($A200,main!$A$3:$I$56,6,FALSE)&gt;=VLOOKUP(58,main!$A$57:$I$61,4,FALSE)+VLOOKUP(VLOOKUP(T$1,main!$A$3:$I$56,7,FALSE),main!$K$10:$Q$14,6,FALSE),1,0)</f>
        <v>0</v>
      </c>
      <c r="U200">
        <f>IF(VLOOKUP(U$1,main!$A$3:$I$56,5,FALSE)-VLOOKUP($A200,main!$A$3:$I$56,6,FALSE)&gt;=VLOOKUP(58,main!$A$57:$I$61,4,FALSE)+VLOOKUP(VLOOKUP(U$1,main!$A$3:$I$56,7,FALSE),main!$K$10:$Q$14,6,FALSE),1,0)</f>
        <v>0</v>
      </c>
      <c r="V200">
        <f>IF(VLOOKUP(V$1,main!$A$3:$I$56,5,FALSE)-VLOOKUP($A200,main!$A$3:$I$56,6,FALSE)&gt;=VLOOKUP(58,main!$A$57:$I$61,4,FALSE)+VLOOKUP(VLOOKUP(V$1,main!$A$3:$I$56,7,FALSE),main!$K$10:$Q$14,6,FALSE),1,0)</f>
        <v>0</v>
      </c>
      <c r="W200">
        <f>IF(VLOOKUP(W$1,main!$A$3:$I$56,5,FALSE)-VLOOKUP($A200,main!$A$3:$I$56,6,FALSE)&gt;=VLOOKUP(58,main!$A$57:$I$61,4,FALSE)+VLOOKUP(VLOOKUP(W$1,main!$A$3:$I$56,7,FALSE),main!$K$10:$Q$14,6,FALSE),1,0)</f>
        <v>0</v>
      </c>
      <c r="X200">
        <f>IF(VLOOKUP(X$1,main!$A$3:$I$56,5,FALSE)-VLOOKUP($A200,main!$A$3:$I$56,6,FALSE)&gt;=VLOOKUP(58,main!$A$57:$I$61,4,FALSE)+VLOOKUP(VLOOKUP(X$1,main!$A$3:$I$56,7,FALSE),main!$K$10:$Q$14,6,FALSE),1,0)</f>
        <v>0</v>
      </c>
      <c r="Y200">
        <f>IF(VLOOKUP(Y$1,main!$A$3:$I$56,5,FALSE)-VLOOKUP($A200,main!$A$3:$I$56,6,FALSE)&gt;=VLOOKUP(58,main!$A$57:$I$61,4,FALSE)+VLOOKUP(VLOOKUP(Y$1,main!$A$3:$I$56,7,FALSE),main!$K$10:$Q$14,6,FALSE),1,0)</f>
        <v>0</v>
      </c>
      <c r="Z200">
        <f>IF(VLOOKUP(Z$1,main!$A$3:$I$56,5,FALSE)-VLOOKUP($A200,main!$A$3:$I$56,6,FALSE)&gt;=VLOOKUP(58,main!$A$57:$I$61,4,FALSE)+VLOOKUP(VLOOKUP(Z$1,main!$A$3:$I$56,7,FALSE),main!$K$10:$Q$14,6,FALSE),1,0)</f>
        <v>0</v>
      </c>
      <c r="AA200">
        <f>IF(VLOOKUP(AA$1,main!$A$3:$I$56,5,FALSE)-VLOOKUP($A200,main!$A$3:$I$56,6,FALSE)&gt;=VLOOKUP(58,main!$A$57:$I$61,4,FALSE)+VLOOKUP(VLOOKUP(AA$1,main!$A$3:$I$56,7,FALSE),main!$K$10:$Q$14,6,FALSE),1,0)</f>
        <v>0</v>
      </c>
      <c r="AB200">
        <f>IF(VLOOKUP(AB$1,main!$A$3:$I$56,5,FALSE)-VLOOKUP($A200,main!$A$3:$I$56,6,FALSE)&gt;=VLOOKUP(58,main!$A$57:$I$61,4,FALSE)+VLOOKUP(VLOOKUP(AB$1,main!$A$3:$I$56,7,FALSE),main!$K$10:$Q$14,6,FALSE),1,0)</f>
        <v>0</v>
      </c>
      <c r="AC200">
        <f>IF(VLOOKUP(AC$1,main!$A$3:$I$56,5,FALSE)-VLOOKUP($A200,main!$A$3:$I$56,6,FALSE)&gt;=VLOOKUP(58,main!$A$57:$I$61,4,FALSE)+VLOOKUP(VLOOKUP(AC$1,main!$A$3:$I$56,7,FALSE),main!$K$10:$Q$14,6,FALSE),1,0)</f>
        <v>0</v>
      </c>
      <c r="AD200">
        <f>IF(VLOOKUP(AD$1,main!$A$3:$I$56,5,FALSE)-VLOOKUP($A200,main!$A$3:$I$56,6,FALSE)&gt;=VLOOKUP(58,main!$A$57:$I$61,4,FALSE)+VLOOKUP(VLOOKUP(AD$1,main!$A$3:$I$56,7,FALSE),main!$K$10:$Q$14,6,FALSE),1,0)</f>
        <v>0</v>
      </c>
      <c r="AE200">
        <f>IF(VLOOKUP(AE$1,main!$A$3:$I$56,5,FALSE)-VLOOKUP($A200,main!$A$3:$I$56,6,FALSE)&gt;=VLOOKUP(58,main!$A$57:$I$61,4,FALSE)+VLOOKUP(VLOOKUP(AE$1,main!$A$3:$I$56,7,FALSE),main!$K$10:$Q$14,6,FALSE),1,0)</f>
        <v>0</v>
      </c>
      <c r="AF200">
        <f>IF(VLOOKUP(AF$1,main!$A$3:$I$56,5,FALSE)-VLOOKUP($A200,main!$A$3:$I$56,6,FALSE)&gt;=VLOOKUP(58,main!$A$57:$I$61,4,FALSE)+VLOOKUP(VLOOKUP(AF$1,main!$A$3:$I$56,7,FALSE),main!$K$10:$Q$14,6,FALSE),1,0)</f>
        <v>0</v>
      </c>
      <c r="AG200">
        <f>IF(VLOOKUP(AG$1,main!$A$3:$I$56,5,FALSE)-VLOOKUP($A200,main!$A$3:$I$56,6,FALSE)&gt;=VLOOKUP(58,main!$A$57:$I$61,4,FALSE)+VLOOKUP(VLOOKUP(AG$1,main!$A$3:$I$56,7,FALSE),main!$K$10:$Q$14,6,FALSE),1,0)</f>
        <v>0</v>
      </c>
      <c r="AH200">
        <f>IF(VLOOKUP(AH$1,main!$A$3:$I$56,5,FALSE)-VLOOKUP($A200,main!$A$3:$I$56,6,FALSE)&gt;=VLOOKUP(58,main!$A$57:$I$61,4,FALSE)+VLOOKUP(VLOOKUP(AH$1,main!$A$3:$I$56,7,FALSE),main!$K$10:$Q$14,6,FALSE),1,0)</f>
        <v>0</v>
      </c>
      <c r="AI200">
        <f>IF(VLOOKUP(AI$1,main!$A$3:$I$56,5,FALSE)-VLOOKUP($A200,main!$A$3:$I$56,6,FALSE)&gt;=VLOOKUP(58,main!$A$57:$I$61,4,FALSE)+VLOOKUP(VLOOKUP(AI$1,main!$A$3:$I$56,7,FALSE),main!$K$10:$Q$14,6,FALSE),1,0)</f>
        <v>0</v>
      </c>
      <c r="AJ200">
        <f>IF(VLOOKUP(AJ$1,main!$A$3:$I$56,5,FALSE)-VLOOKUP($A200,main!$A$3:$I$56,6,FALSE)&gt;=VLOOKUP(58,main!$A$57:$I$61,4,FALSE)+VLOOKUP(VLOOKUP(AJ$1,main!$A$3:$I$56,7,FALSE),main!$K$10:$Q$14,6,FALSE),1,0)</f>
        <v>0</v>
      </c>
      <c r="AK200">
        <f>IF(VLOOKUP(AK$1,main!$A$3:$I$56,5,FALSE)-VLOOKUP($A200,main!$A$3:$I$56,6,FALSE)&gt;=VLOOKUP(58,main!$A$57:$I$61,4,FALSE)+VLOOKUP(VLOOKUP(AK$1,main!$A$3:$I$56,7,FALSE),main!$K$10:$Q$14,6,FALSE),1,0)</f>
        <v>0</v>
      </c>
      <c r="AL200">
        <f>IF(VLOOKUP(AL$1,main!$A$3:$I$56,5,FALSE)-VLOOKUP($A200,main!$A$3:$I$56,6,FALSE)&gt;=VLOOKUP(58,main!$A$57:$I$61,4,FALSE)+VLOOKUP(VLOOKUP(AL$1,main!$A$3:$I$56,7,FALSE),main!$K$10:$Q$14,6,FALSE),1,0)</f>
        <v>0</v>
      </c>
      <c r="AM200">
        <f>IF(VLOOKUP(AM$1,main!$A$3:$I$56,5,FALSE)-VLOOKUP($A200,main!$A$3:$I$56,6,FALSE)&gt;=VLOOKUP(58,main!$A$57:$I$61,4,FALSE)+VLOOKUP(VLOOKUP(AM$1,main!$A$3:$I$56,7,FALSE),main!$K$10:$Q$14,6,FALSE),1,0)</f>
        <v>0</v>
      </c>
      <c r="AN200">
        <f>IF(VLOOKUP(AN$1,main!$A$3:$I$56,5,FALSE)-VLOOKUP($A200,main!$A$3:$I$56,6,FALSE)&gt;=VLOOKUP(58,main!$A$57:$I$61,4,FALSE)+VLOOKUP(VLOOKUP(AN$1,main!$A$3:$I$56,7,FALSE),main!$K$10:$Q$14,6,FALSE),1,0)</f>
        <v>0</v>
      </c>
      <c r="AO200">
        <f>IF(VLOOKUP(AO$1,main!$A$3:$I$56,5,FALSE)-VLOOKUP($A200,main!$A$3:$I$56,6,FALSE)&gt;=VLOOKUP(58,main!$A$57:$I$61,4,FALSE)+VLOOKUP(VLOOKUP(AO$1,main!$A$3:$I$56,7,FALSE),main!$K$10:$Q$14,6,FALSE),1,0)</f>
        <v>0</v>
      </c>
      <c r="AP200">
        <f>IF(VLOOKUP(AP$1,main!$A$3:$I$56,5,FALSE)-VLOOKUP($A200,main!$A$3:$I$56,6,FALSE)&gt;=VLOOKUP(58,main!$A$57:$I$61,4,FALSE)+VLOOKUP(VLOOKUP(AP$1,main!$A$3:$I$56,7,FALSE),main!$K$10:$Q$14,6,FALSE),1,0)</f>
        <v>0</v>
      </c>
      <c r="AQ200">
        <f>IF(VLOOKUP(AQ$1,main!$A$3:$I$56,5,FALSE)-VLOOKUP($A200,main!$A$3:$I$56,6,FALSE)&gt;=VLOOKUP(58,main!$A$57:$I$61,4,FALSE)+VLOOKUP(VLOOKUP(AQ$1,main!$A$3:$I$56,7,FALSE),main!$K$10:$Q$14,6,FALSE),1,0)</f>
        <v>0</v>
      </c>
      <c r="AR200">
        <f>IF(VLOOKUP(AR$1,main!$A$3:$I$56,5,FALSE)-VLOOKUP($A200,main!$A$3:$I$56,6,FALSE)&gt;=VLOOKUP(58,main!$A$57:$I$61,4,FALSE)+VLOOKUP(VLOOKUP(AR$1,main!$A$3:$I$56,7,FALSE),main!$K$10:$Q$14,6,FALSE),1,0)</f>
        <v>0</v>
      </c>
      <c r="AS200">
        <f>IF(VLOOKUP(AS$1,main!$A$3:$I$56,5,FALSE)-VLOOKUP($A200,main!$A$3:$I$56,6,FALSE)&gt;=VLOOKUP(58,main!$A$57:$I$61,4,FALSE)+VLOOKUP(VLOOKUP(AS$1,main!$A$3:$I$56,7,FALSE),main!$K$10:$Q$14,6,FALSE),1,0)</f>
        <v>0</v>
      </c>
      <c r="AT200">
        <f>IF(VLOOKUP(AT$1,main!$A$3:$I$56,5,FALSE)-VLOOKUP($A200,main!$A$3:$I$56,6,FALSE)&gt;=VLOOKUP(58,main!$A$57:$I$61,4,FALSE)+VLOOKUP(VLOOKUP(AT$1,main!$A$3:$I$56,7,FALSE),main!$K$10:$Q$14,6,FALSE),1,0)</f>
        <v>0</v>
      </c>
      <c r="AU200">
        <f>IF(VLOOKUP(AU$1,main!$A$3:$I$56,5,FALSE)-VLOOKUP($A200,main!$A$3:$I$56,6,FALSE)&gt;=VLOOKUP(58,main!$A$57:$I$61,4,FALSE)+VLOOKUP(VLOOKUP(AU$1,main!$A$3:$I$56,7,FALSE),main!$K$10:$Q$14,6,FALSE),1,0)</f>
        <v>0</v>
      </c>
      <c r="AV200">
        <f>IF(VLOOKUP(AV$1,main!$A$3:$I$56,5,FALSE)-VLOOKUP($A200,main!$A$3:$I$56,6,FALSE)&gt;=VLOOKUP(58,main!$A$57:$I$61,4,FALSE)+VLOOKUP(VLOOKUP(AV$1,main!$A$3:$I$56,7,FALSE),main!$K$10:$Q$14,6,FALSE),1,0)</f>
        <v>0</v>
      </c>
      <c r="AW200">
        <f>IF(VLOOKUP(AW$1,main!$A$3:$I$56,5,FALSE)-VLOOKUP($A200,main!$A$3:$I$56,6,FALSE)&gt;=VLOOKUP(58,main!$A$57:$I$61,4,FALSE)+VLOOKUP(VLOOKUP(AW$1,main!$A$3:$I$56,7,FALSE),main!$K$10:$Q$14,6,FALSE),1,0)</f>
        <v>0</v>
      </c>
      <c r="AX200">
        <f>IF(VLOOKUP(AX$1,main!$A$3:$I$56,5,FALSE)-VLOOKUP($A200,main!$A$3:$I$56,6,FALSE)&gt;=VLOOKUP(58,main!$A$57:$I$61,4,FALSE)+VLOOKUP(VLOOKUP(AX$1,main!$A$3:$I$56,7,FALSE),main!$K$10:$Q$14,6,FALSE),1,0)</f>
        <v>0</v>
      </c>
      <c r="AY200">
        <f>IF(VLOOKUP(AY$1,main!$A$3:$I$56,5,FALSE)-VLOOKUP($A200,main!$A$3:$I$56,6,FALSE)&gt;=VLOOKUP(58,main!$A$57:$I$61,4,FALSE)+VLOOKUP(VLOOKUP(AY$1,main!$A$3:$I$56,7,FALSE),main!$K$10:$Q$14,6,FALSE),1,0)</f>
        <v>0</v>
      </c>
      <c r="AZ200">
        <f>IF(VLOOKUP(AZ$1,main!$A$3:$I$56,5,FALSE)-VLOOKUP($A200,main!$A$3:$I$56,6,FALSE)&gt;=VLOOKUP(58,main!$A$57:$I$61,4,FALSE)+VLOOKUP(VLOOKUP(AZ$1,main!$A$3:$I$56,7,FALSE),main!$K$10:$Q$14,6,FALSE),1,0)</f>
        <v>0</v>
      </c>
      <c r="BA200">
        <f>IF(VLOOKUP(BA$1,main!$A$3:$I$56,5,FALSE)-VLOOKUP($A200,main!$A$3:$I$56,6,FALSE)&gt;=VLOOKUP(58,main!$A$57:$I$61,4,FALSE)+VLOOKUP(VLOOKUP(BA$1,main!$A$3:$I$56,7,FALSE),main!$K$10:$Q$14,6,FALSE),1,0)</f>
        <v>0</v>
      </c>
      <c r="BB200">
        <f>IF(VLOOKUP(BB$1,main!$A$3:$I$56,5,FALSE)-VLOOKUP($A200,main!$A$3:$I$56,6,FALSE)&gt;=VLOOKUP(58,main!$A$57:$I$61,4,FALSE)+VLOOKUP(VLOOKUP(BB$1,main!$A$3:$I$56,7,FALSE),main!$K$10:$Q$14,6,FALSE),1,0)</f>
        <v>0</v>
      </c>
      <c r="BC200">
        <f>IF(VLOOKUP(BC$1,main!$A$3:$I$56,5,FALSE)-VLOOKUP($A200,main!$A$3:$I$56,6,FALSE)&gt;=VLOOKUP(58,main!$A$57:$I$61,4,FALSE)+VLOOKUP(VLOOKUP(BC$1,main!$A$3:$I$56,7,FALSE),main!$K$10:$Q$14,6,FALSE),1,0)</f>
        <v>0</v>
      </c>
      <c r="BD200">
        <f>IF(VLOOKUP(BD$1,main!$A$3:$I$56,5,FALSE)-VLOOKUP($A200,main!$A$3:$I$56,6,FALSE)&gt;=VLOOKUP(58,main!$A$57:$I$61,4,FALSE)+VLOOKUP(VLOOKUP(BD$1,main!$A$3:$I$56,7,FALSE),main!$K$10:$Q$14,6,FALSE),1,0)</f>
        <v>0</v>
      </c>
    </row>
    <row r="201" spans="1:56" x14ac:dyDescent="0.25">
      <c r="A201">
        <f t="shared" si="3"/>
        <v>34</v>
      </c>
      <c r="B201">
        <v>0</v>
      </c>
      <c r="C201">
        <f>IF(VLOOKUP(C$1,main!$A$3:$I$56,5,FALSE)-VLOOKUP($A201,main!$A$3:$I$56,6,FALSE)&gt;=VLOOKUP(58,main!$A$57:$I$61,4,FALSE)+VLOOKUP(VLOOKUP(C$1,main!$A$3:$I$56,7,FALSE),main!$K$10:$Q$14,6,FALSE),1,0)</f>
        <v>0</v>
      </c>
      <c r="D201">
        <f>IF(VLOOKUP(D$1,main!$A$3:$I$56,5,FALSE)-VLOOKUP($A201,main!$A$3:$I$56,6,FALSE)&gt;=VLOOKUP(58,main!$A$57:$I$61,4,FALSE)+VLOOKUP(VLOOKUP(D$1,main!$A$3:$I$56,7,FALSE),main!$K$10:$Q$14,6,FALSE),1,0)</f>
        <v>0</v>
      </c>
      <c r="E201">
        <f>IF(VLOOKUP(E$1,main!$A$3:$I$56,5,FALSE)-VLOOKUP($A201,main!$A$3:$I$56,6,FALSE)&gt;=VLOOKUP(58,main!$A$57:$I$61,4,FALSE)+VLOOKUP(VLOOKUP(E$1,main!$A$3:$I$56,7,FALSE),main!$K$10:$Q$14,6,FALSE),1,0)</f>
        <v>0</v>
      </c>
      <c r="F201">
        <f>IF(VLOOKUP(F$1,main!$A$3:$I$56,5,FALSE)-VLOOKUP($A201,main!$A$3:$I$56,6,FALSE)&gt;=VLOOKUP(58,main!$A$57:$I$61,4,FALSE)+VLOOKUP(VLOOKUP(F$1,main!$A$3:$I$56,7,FALSE),main!$K$10:$Q$14,6,FALSE),1,0)</f>
        <v>0</v>
      </c>
      <c r="G201">
        <f>IF(VLOOKUP(G$1,main!$A$3:$I$56,5,FALSE)-VLOOKUP($A201,main!$A$3:$I$56,6,FALSE)&gt;=VLOOKUP(58,main!$A$57:$I$61,4,FALSE)+VLOOKUP(VLOOKUP(G$1,main!$A$3:$I$56,7,FALSE),main!$K$10:$Q$14,6,FALSE),1,0)</f>
        <v>0</v>
      </c>
      <c r="H201">
        <f>IF(VLOOKUP(H$1,main!$A$3:$I$56,5,FALSE)-VLOOKUP($A201,main!$A$3:$I$56,6,FALSE)&gt;=VLOOKUP(58,main!$A$57:$I$61,4,FALSE)+VLOOKUP(VLOOKUP(H$1,main!$A$3:$I$56,7,FALSE),main!$K$10:$Q$14,6,FALSE),1,0)</f>
        <v>0</v>
      </c>
      <c r="I201">
        <f>IF(VLOOKUP(I$1,main!$A$3:$I$56,5,FALSE)-VLOOKUP($A201,main!$A$3:$I$56,6,FALSE)&gt;=VLOOKUP(58,main!$A$57:$I$61,4,FALSE)+VLOOKUP(VLOOKUP(I$1,main!$A$3:$I$56,7,FALSE),main!$K$10:$Q$14,6,FALSE),1,0)</f>
        <v>0</v>
      </c>
      <c r="J201">
        <f>IF(VLOOKUP(J$1,main!$A$3:$I$56,5,FALSE)-VLOOKUP($A201,main!$A$3:$I$56,6,FALSE)&gt;=VLOOKUP(58,main!$A$57:$I$61,4,FALSE)+VLOOKUP(VLOOKUP(J$1,main!$A$3:$I$56,7,FALSE),main!$K$10:$Q$14,6,FALSE),1,0)</f>
        <v>0</v>
      </c>
      <c r="K201">
        <f>IF(VLOOKUP(K$1,main!$A$3:$I$56,5,FALSE)-VLOOKUP($A201,main!$A$3:$I$56,6,FALSE)&gt;=VLOOKUP(58,main!$A$57:$I$61,4,FALSE)+VLOOKUP(VLOOKUP(K$1,main!$A$3:$I$56,7,FALSE),main!$K$10:$Q$14,6,FALSE),1,0)</f>
        <v>0</v>
      </c>
      <c r="L201">
        <f>IF(VLOOKUP(L$1,main!$A$3:$I$56,5,FALSE)-VLOOKUP($A201,main!$A$3:$I$56,6,FALSE)&gt;=VLOOKUP(58,main!$A$57:$I$61,4,FALSE)+VLOOKUP(VLOOKUP(L$1,main!$A$3:$I$56,7,FALSE),main!$K$10:$Q$14,6,FALSE),1,0)</f>
        <v>0</v>
      </c>
      <c r="M201">
        <f>IF(VLOOKUP(M$1,main!$A$3:$I$56,5,FALSE)-VLOOKUP($A201,main!$A$3:$I$56,6,FALSE)&gt;=VLOOKUP(58,main!$A$57:$I$61,4,FALSE)+VLOOKUP(VLOOKUP(M$1,main!$A$3:$I$56,7,FALSE),main!$K$10:$Q$14,6,FALSE),1,0)</f>
        <v>0</v>
      </c>
      <c r="N201">
        <f>IF(VLOOKUP(N$1,main!$A$3:$I$56,5,FALSE)-VLOOKUP($A201,main!$A$3:$I$56,6,FALSE)&gt;=VLOOKUP(58,main!$A$57:$I$61,4,FALSE)+VLOOKUP(VLOOKUP(N$1,main!$A$3:$I$56,7,FALSE),main!$K$10:$Q$14,6,FALSE),1,0)</f>
        <v>0</v>
      </c>
      <c r="O201">
        <f>IF(VLOOKUP(O$1,main!$A$3:$I$56,5,FALSE)-VLOOKUP($A201,main!$A$3:$I$56,6,FALSE)&gt;=VLOOKUP(58,main!$A$57:$I$61,4,FALSE)+VLOOKUP(VLOOKUP(O$1,main!$A$3:$I$56,7,FALSE),main!$K$10:$Q$14,6,FALSE),1,0)</f>
        <v>0</v>
      </c>
      <c r="P201">
        <f>IF(VLOOKUP(P$1,main!$A$3:$I$56,5,FALSE)-VLOOKUP($A201,main!$A$3:$I$56,6,FALSE)&gt;=VLOOKUP(58,main!$A$57:$I$61,4,FALSE)+VLOOKUP(VLOOKUP(P$1,main!$A$3:$I$56,7,FALSE),main!$K$10:$Q$14,6,FALSE),1,0)</f>
        <v>0</v>
      </c>
      <c r="Q201">
        <f>IF(VLOOKUP(Q$1,main!$A$3:$I$56,5,FALSE)-VLOOKUP($A201,main!$A$3:$I$56,6,FALSE)&gt;=VLOOKUP(58,main!$A$57:$I$61,4,FALSE)+VLOOKUP(VLOOKUP(Q$1,main!$A$3:$I$56,7,FALSE),main!$K$10:$Q$14,6,FALSE),1,0)</f>
        <v>0</v>
      </c>
      <c r="R201">
        <f>IF(VLOOKUP(R$1,main!$A$3:$I$56,5,FALSE)-VLOOKUP($A201,main!$A$3:$I$56,6,FALSE)&gt;=VLOOKUP(58,main!$A$57:$I$61,4,FALSE)+VLOOKUP(VLOOKUP(R$1,main!$A$3:$I$56,7,FALSE),main!$K$10:$Q$14,6,FALSE),1,0)</f>
        <v>0</v>
      </c>
      <c r="S201">
        <f>IF(VLOOKUP(S$1,main!$A$3:$I$56,5,FALSE)-VLOOKUP($A201,main!$A$3:$I$56,6,FALSE)&gt;=VLOOKUP(58,main!$A$57:$I$61,4,FALSE)+VLOOKUP(VLOOKUP(S$1,main!$A$3:$I$56,7,FALSE),main!$K$10:$Q$14,6,FALSE),1,0)</f>
        <v>0</v>
      </c>
      <c r="T201">
        <f>IF(VLOOKUP(T$1,main!$A$3:$I$56,5,FALSE)-VLOOKUP($A201,main!$A$3:$I$56,6,FALSE)&gt;=VLOOKUP(58,main!$A$57:$I$61,4,FALSE)+VLOOKUP(VLOOKUP(T$1,main!$A$3:$I$56,7,FALSE),main!$K$10:$Q$14,6,FALSE),1,0)</f>
        <v>0</v>
      </c>
      <c r="U201">
        <f>IF(VLOOKUP(U$1,main!$A$3:$I$56,5,FALSE)-VLOOKUP($A201,main!$A$3:$I$56,6,FALSE)&gt;=VLOOKUP(58,main!$A$57:$I$61,4,FALSE)+VLOOKUP(VLOOKUP(U$1,main!$A$3:$I$56,7,FALSE),main!$K$10:$Q$14,6,FALSE),1,0)</f>
        <v>0</v>
      </c>
      <c r="V201">
        <f>IF(VLOOKUP(V$1,main!$A$3:$I$56,5,FALSE)-VLOOKUP($A201,main!$A$3:$I$56,6,FALSE)&gt;=VLOOKUP(58,main!$A$57:$I$61,4,FALSE)+VLOOKUP(VLOOKUP(V$1,main!$A$3:$I$56,7,FALSE),main!$K$10:$Q$14,6,FALSE),1,0)</f>
        <v>0</v>
      </c>
      <c r="W201">
        <f>IF(VLOOKUP(W$1,main!$A$3:$I$56,5,FALSE)-VLOOKUP($A201,main!$A$3:$I$56,6,FALSE)&gt;=VLOOKUP(58,main!$A$57:$I$61,4,FALSE)+VLOOKUP(VLOOKUP(W$1,main!$A$3:$I$56,7,FALSE),main!$K$10:$Q$14,6,FALSE),1,0)</f>
        <v>0</v>
      </c>
      <c r="X201">
        <f>IF(VLOOKUP(X$1,main!$A$3:$I$56,5,FALSE)-VLOOKUP($A201,main!$A$3:$I$56,6,FALSE)&gt;=VLOOKUP(58,main!$A$57:$I$61,4,FALSE)+VLOOKUP(VLOOKUP(X$1,main!$A$3:$I$56,7,FALSE),main!$K$10:$Q$14,6,FALSE),1,0)</f>
        <v>0</v>
      </c>
      <c r="Y201">
        <f>IF(VLOOKUP(Y$1,main!$A$3:$I$56,5,FALSE)-VLOOKUP($A201,main!$A$3:$I$56,6,FALSE)&gt;=VLOOKUP(58,main!$A$57:$I$61,4,FALSE)+VLOOKUP(VLOOKUP(Y$1,main!$A$3:$I$56,7,FALSE),main!$K$10:$Q$14,6,FALSE),1,0)</f>
        <v>0</v>
      </c>
      <c r="Z201">
        <f>IF(VLOOKUP(Z$1,main!$A$3:$I$56,5,FALSE)-VLOOKUP($A201,main!$A$3:$I$56,6,FALSE)&gt;=VLOOKUP(58,main!$A$57:$I$61,4,FALSE)+VLOOKUP(VLOOKUP(Z$1,main!$A$3:$I$56,7,FALSE),main!$K$10:$Q$14,6,FALSE),1,0)</f>
        <v>0</v>
      </c>
      <c r="AA201">
        <f>IF(VLOOKUP(AA$1,main!$A$3:$I$56,5,FALSE)-VLOOKUP($A201,main!$A$3:$I$56,6,FALSE)&gt;=VLOOKUP(58,main!$A$57:$I$61,4,FALSE)+VLOOKUP(VLOOKUP(AA$1,main!$A$3:$I$56,7,FALSE),main!$K$10:$Q$14,6,FALSE),1,0)</f>
        <v>0</v>
      </c>
      <c r="AB201">
        <f>IF(VLOOKUP(AB$1,main!$A$3:$I$56,5,FALSE)-VLOOKUP($A201,main!$A$3:$I$56,6,FALSE)&gt;=VLOOKUP(58,main!$A$57:$I$61,4,FALSE)+VLOOKUP(VLOOKUP(AB$1,main!$A$3:$I$56,7,FALSE),main!$K$10:$Q$14,6,FALSE),1,0)</f>
        <v>0</v>
      </c>
      <c r="AC201">
        <f>IF(VLOOKUP(AC$1,main!$A$3:$I$56,5,FALSE)-VLOOKUP($A201,main!$A$3:$I$56,6,FALSE)&gt;=VLOOKUP(58,main!$A$57:$I$61,4,FALSE)+VLOOKUP(VLOOKUP(AC$1,main!$A$3:$I$56,7,FALSE),main!$K$10:$Q$14,6,FALSE),1,0)</f>
        <v>0</v>
      </c>
      <c r="AD201">
        <f>IF(VLOOKUP(AD$1,main!$A$3:$I$56,5,FALSE)-VLOOKUP($A201,main!$A$3:$I$56,6,FALSE)&gt;=VLOOKUP(58,main!$A$57:$I$61,4,FALSE)+VLOOKUP(VLOOKUP(AD$1,main!$A$3:$I$56,7,FALSE),main!$K$10:$Q$14,6,FALSE),1,0)</f>
        <v>0</v>
      </c>
      <c r="AE201">
        <f>IF(VLOOKUP(AE$1,main!$A$3:$I$56,5,FALSE)-VLOOKUP($A201,main!$A$3:$I$56,6,FALSE)&gt;=VLOOKUP(58,main!$A$57:$I$61,4,FALSE)+VLOOKUP(VLOOKUP(AE$1,main!$A$3:$I$56,7,FALSE),main!$K$10:$Q$14,6,FALSE),1,0)</f>
        <v>0</v>
      </c>
      <c r="AF201">
        <f>IF(VLOOKUP(AF$1,main!$A$3:$I$56,5,FALSE)-VLOOKUP($A201,main!$A$3:$I$56,6,FALSE)&gt;=VLOOKUP(58,main!$A$57:$I$61,4,FALSE)+VLOOKUP(VLOOKUP(AF$1,main!$A$3:$I$56,7,FALSE),main!$K$10:$Q$14,6,FALSE),1,0)</f>
        <v>0</v>
      </c>
      <c r="AG201">
        <f>IF(VLOOKUP(AG$1,main!$A$3:$I$56,5,FALSE)-VLOOKUP($A201,main!$A$3:$I$56,6,FALSE)&gt;=VLOOKUP(58,main!$A$57:$I$61,4,FALSE)+VLOOKUP(VLOOKUP(AG$1,main!$A$3:$I$56,7,FALSE),main!$K$10:$Q$14,6,FALSE),1,0)</f>
        <v>0</v>
      </c>
      <c r="AH201">
        <f>IF(VLOOKUP(AH$1,main!$A$3:$I$56,5,FALSE)-VLOOKUP($A201,main!$A$3:$I$56,6,FALSE)&gt;=VLOOKUP(58,main!$A$57:$I$61,4,FALSE)+VLOOKUP(VLOOKUP(AH$1,main!$A$3:$I$56,7,FALSE),main!$K$10:$Q$14,6,FALSE),1,0)</f>
        <v>0</v>
      </c>
      <c r="AI201">
        <f>IF(VLOOKUP(AI$1,main!$A$3:$I$56,5,FALSE)-VLOOKUP($A201,main!$A$3:$I$56,6,FALSE)&gt;=VLOOKUP(58,main!$A$57:$I$61,4,FALSE)+VLOOKUP(VLOOKUP(AI$1,main!$A$3:$I$56,7,FALSE),main!$K$10:$Q$14,6,FALSE),1,0)</f>
        <v>0</v>
      </c>
      <c r="AJ201">
        <f>IF(VLOOKUP(AJ$1,main!$A$3:$I$56,5,FALSE)-VLOOKUP($A201,main!$A$3:$I$56,6,FALSE)&gt;=VLOOKUP(58,main!$A$57:$I$61,4,FALSE)+VLOOKUP(VLOOKUP(AJ$1,main!$A$3:$I$56,7,FALSE),main!$K$10:$Q$14,6,FALSE),1,0)</f>
        <v>0</v>
      </c>
      <c r="AK201">
        <f>IF(VLOOKUP(AK$1,main!$A$3:$I$56,5,FALSE)-VLOOKUP($A201,main!$A$3:$I$56,6,FALSE)&gt;=VLOOKUP(58,main!$A$57:$I$61,4,FALSE)+VLOOKUP(VLOOKUP(AK$1,main!$A$3:$I$56,7,FALSE),main!$K$10:$Q$14,6,FALSE),1,0)</f>
        <v>0</v>
      </c>
      <c r="AL201">
        <f>IF(VLOOKUP(AL$1,main!$A$3:$I$56,5,FALSE)-VLOOKUP($A201,main!$A$3:$I$56,6,FALSE)&gt;=VLOOKUP(58,main!$A$57:$I$61,4,FALSE)+VLOOKUP(VLOOKUP(AL$1,main!$A$3:$I$56,7,FALSE),main!$K$10:$Q$14,6,FALSE),1,0)</f>
        <v>0</v>
      </c>
      <c r="AM201">
        <f>IF(VLOOKUP(AM$1,main!$A$3:$I$56,5,FALSE)-VLOOKUP($A201,main!$A$3:$I$56,6,FALSE)&gt;=VLOOKUP(58,main!$A$57:$I$61,4,FALSE)+VLOOKUP(VLOOKUP(AM$1,main!$A$3:$I$56,7,FALSE),main!$K$10:$Q$14,6,FALSE),1,0)</f>
        <v>0</v>
      </c>
      <c r="AN201">
        <f>IF(VLOOKUP(AN$1,main!$A$3:$I$56,5,FALSE)-VLOOKUP($A201,main!$A$3:$I$56,6,FALSE)&gt;=VLOOKUP(58,main!$A$57:$I$61,4,FALSE)+VLOOKUP(VLOOKUP(AN$1,main!$A$3:$I$56,7,FALSE),main!$K$10:$Q$14,6,FALSE),1,0)</f>
        <v>0</v>
      </c>
      <c r="AO201">
        <f>IF(VLOOKUP(AO$1,main!$A$3:$I$56,5,FALSE)-VLOOKUP($A201,main!$A$3:$I$56,6,FALSE)&gt;=VLOOKUP(58,main!$A$57:$I$61,4,FALSE)+VLOOKUP(VLOOKUP(AO$1,main!$A$3:$I$56,7,FALSE),main!$K$10:$Q$14,6,FALSE),1,0)</f>
        <v>0</v>
      </c>
      <c r="AP201">
        <f>IF(VLOOKUP(AP$1,main!$A$3:$I$56,5,FALSE)-VLOOKUP($A201,main!$A$3:$I$56,6,FALSE)&gt;=VLOOKUP(58,main!$A$57:$I$61,4,FALSE)+VLOOKUP(VLOOKUP(AP$1,main!$A$3:$I$56,7,FALSE),main!$K$10:$Q$14,6,FALSE),1,0)</f>
        <v>0</v>
      </c>
      <c r="AQ201">
        <f>IF(VLOOKUP(AQ$1,main!$A$3:$I$56,5,FALSE)-VLOOKUP($A201,main!$A$3:$I$56,6,FALSE)&gt;=VLOOKUP(58,main!$A$57:$I$61,4,FALSE)+VLOOKUP(VLOOKUP(AQ$1,main!$A$3:$I$56,7,FALSE),main!$K$10:$Q$14,6,FALSE),1,0)</f>
        <v>0</v>
      </c>
      <c r="AR201">
        <f>IF(VLOOKUP(AR$1,main!$A$3:$I$56,5,FALSE)-VLOOKUP($A201,main!$A$3:$I$56,6,FALSE)&gt;=VLOOKUP(58,main!$A$57:$I$61,4,FALSE)+VLOOKUP(VLOOKUP(AR$1,main!$A$3:$I$56,7,FALSE),main!$K$10:$Q$14,6,FALSE),1,0)</f>
        <v>0</v>
      </c>
      <c r="AS201">
        <f>IF(VLOOKUP(AS$1,main!$A$3:$I$56,5,FALSE)-VLOOKUP($A201,main!$A$3:$I$56,6,FALSE)&gt;=VLOOKUP(58,main!$A$57:$I$61,4,FALSE)+VLOOKUP(VLOOKUP(AS$1,main!$A$3:$I$56,7,FALSE),main!$K$10:$Q$14,6,FALSE),1,0)</f>
        <v>0</v>
      </c>
      <c r="AT201">
        <f>IF(VLOOKUP(AT$1,main!$A$3:$I$56,5,FALSE)-VLOOKUP($A201,main!$A$3:$I$56,6,FALSE)&gt;=VLOOKUP(58,main!$A$57:$I$61,4,FALSE)+VLOOKUP(VLOOKUP(AT$1,main!$A$3:$I$56,7,FALSE),main!$K$10:$Q$14,6,FALSE),1,0)</f>
        <v>0</v>
      </c>
      <c r="AU201">
        <f>IF(VLOOKUP(AU$1,main!$A$3:$I$56,5,FALSE)-VLOOKUP($A201,main!$A$3:$I$56,6,FALSE)&gt;=VLOOKUP(58,main!$A$57:$I$61,4,FALSE)+VLOOKUP(VLOOKUP(AU$1,main!$A$3:$I$56,7,FALSE),main!$K$10:$Q$14,6,FALSE),1,0)</f>
        <v>0</v>
      </c>
      <c r="AV201">
        <f>IF(VLOOKUP(AV$1,main!$A$3:$I$56,5,FALSE)-VLOOKUP($A201,main!$A$3:$I$56,6,FALSE)&gt;=VLOOKUP(58,main!$A$57:$I$61,4,FALSE)+VLOOKUP(VLOOKUP(AV$1,main!$A$3:$I$56,7,FALSE),main!$K$10:$Q$14,6,FALSE),1,0)</f>
        <v>0</v>
      </c>
      <c r="AW201">
        <f>IF(VLOOKUP(AW$1,main!$A$3:$I$56,5,FALSE)-VLOOKUP($A201,main!$A$3:$I$56,6,FALSE)&gt;=VLOOKUP(58,main!$A$57:$I$61,4,FALSE)+VLOOKUP(VLOOKUP(AW$1,main!$A$3:$I$56,7,FALSE),main!$K$10:$Q$14,6,FALSE),1,0)</f>
        <v>0</v>
      </c>
      <c r="AX201">
        <f>IF(VLOOKUP(AX$1,main!$A$3:$I$56,5,FALSE)-VLOOKUP($A201,main!$A$3:$I$56,6,FALSE)&gt;=VLOOKUP(58,main!$A$57:$I$61,4,FALSE)+VLOOKUP(VLOOKUP(AX$1,main!$A$3:$I$56,7,FALSE),main!$K$10:$Q$14,6,FALSE),1,0)</f>
        <v>0</v>
      </c>
      <c r="AY201">
        <f>IF(VLOOKUP(AY$1,main!$A$3:$I$56,5,FALSE)-VLOOKUP($A201,main!$A$3:$I$56,6,FALSE)&gt;=VLOOKUP(58,main!$A$57:$I$61,4,FALSE)+VLOOKUP(VLOOKUP(AY$1,main!$A$3:$I$56,7,FALSE),main!$K$10:$Q$14,6,FALSE),1,0)</f>
        <v>0</v>
      </c>
      <c r="AZ201">
        <f>IF(VLOOKUP(AZ$1,main!$A$3:$I$56,5,FALSE)-VLOOKUP($A201,main!$A$3:$I$56,6,FALSE)&gt;=VLOOKUP(58,main!$A$57:$I$61,4,FALSE)+VLOOKUP(VLOOKUP(AZ$1,main!$A$3:$I$56,7,FALSE),main!$K$10:$Q$14,6,FALSE),1,0)</f>
        <v>0</v>
      </c>
      <c r="BA201">
        <f>IF(VLOOKUP(BA$1,main!$A$3:$I$56,5,FALSE)-VLOOKUP($A201,main!$A$3:$I$56,6,FALSE)&gt;=VLOOKUP(58,main!$A$57:$I$61,4,FALSE)+VLOOKUP(VLOOKUP(BA$1,main!$A$3:$I$56,7,FALSE),main!$K$10:$Q$14,6,FALSE),1,0)</f>
        <v>0</v>
      </c>
      <c r="BB201">
        <f>IF(VLOOKUP(BB$1,main!$A$3:$I$56,5,FALSE)-VLOOKUP($A201,main!$A$3:$I$56,6,FALSE)&gt;=VLOOKUP(58,main!$A$57:$I$61,4,FALSE)+VLOOKUP(VLOOKUP(BB$1,main!$A$3:$I$56,7,FALSE),main!$K$10:$Q$14,6,FALSE),1,0)</f>
        <v>0</v>
      </c>
      <c r="BC201">
        <f>IF(VLOOKUP(BC$1,main!$A$3:$I$56,5,FALSE)-VLOOKUP($A201,main!$A$3:$I$56,6,FALSE)&gt;=VLOOKUP(58,main!$A$57:$I$61,4,FALSE)+VLOOKUP(VLOOKUP(BC$1,main!$A$3:$I$56,7,FALSE),main!$K$10:$Q$14,6,FALSE),1,0)</f>
        <v>0</v>
      </c>
      <c r="BD201">
        <f>IF(VLOOKUP(BD$1,main!$A$3:$I$56,5,FALSE)-VLOOKUP($A201,main!$A$3:$I$56,6,FALSE)&gt;=VLOOKUP(58,main!$A$57:$I$61,4,FALSE)+VLOOKUP(VLOOKUP(BD$1,main!$A$3:$I$56,7,FALSE),main!$K$10:$Q$14,6,FALSE),1,0)</f>
        <v>0</v>
      </c>
    </row>
    <row r="202" spans="1:56" x14ac:dyDescent="0.25">
      <c r="A202">
        <f t="shared" si="3"/>
        <v>35</v>
      </c>
      <c r="B202">
        <v>0</v>
      </c>
      <c r="C202">
        <f>IF(VLOOKUP(C$1,main!$A$3:$I$56,5,FALSE)-VLOOKUP($A202,main!$A$3:$I$56,6,FALSE)&gt;=VLOOKUP(58,main!$A$57:$I$61,4,FALSE)+VLOOKUP(VLOOKUP(C$1,main!$A$3:$I$56,7,FALSE),main!$K$10:$Q$14,6,FALSE),1,0)</f>
        <v>0</v>
      </c>
      <c r="D202">
        <f>IF(VLOOKUP(D$1,main!$A$3:$I$56,5,FALSE)-VLOOKUP($A202,main!$A$3:$I$56,6,FALSE)&gt;=VLOOKUP(58,main!$A$57:$I$61,4,FALSE)+VLOOKUP(VLOOKUP(D$1,main!$A$3:$I$56,7,FALSE),main!$K$10:$Q$14,6,FALSE),1,0)</f>
        <v>0</v>
      </c>
      <c r="E202">
        <f>IF(VLOOKUP(E$1,main!$A$3:$I$56,5,FALSE)-VLOOKUP($A202,main!$A$3:$I$56,6,FALSE)&gt;=VLOOKUP(58,main!$A$57:$I$61,4,FALSE)+VLOOKUP(VLOOKUP(E$1,main!$A$3:$I$56,7,FALSE),main!$K$10:$Q$14,6,FALSE),1,0)</f>
        <v>0</v>
      </c>
      <c r="F202">
        <f>IF(VLOOKUP(F$1,main!$A$3:$I$56,5,FALSE)-VLOOKUP($A202,main!$A$3:$I$56,6,FALSE)&gt;=VLOOKUP(58,main!$A$57:$I$61,4,FALSE)+VLOOKUP(VLOOKUP(F$1,main!$A$3:$I$56,7,FALSE),main!$K$10:$Q$14,6,FALSE),1,0)</f>
        <v>0</v>
      </c>
      <c r="G202">
        <f>IF(VLOOKUP(G$1,main!$A$3:$I$56,5,FALSE)-VLOOKUP($A202,main!$A$3:$I$56,6,FALSE)&gt;=VLOOKUP(58,main!$A$57:$I$61,4,FALSE)+VLOOKUP(VLOOKUP(G$1,main!$A$3:$I$56,7,FALSE),main!$K$10:$Q$14,6,FALSE),1,0)</f>
        <v>0</v>
      </c>
      <c r="H202">
        <f>IF(VLOOKUP(H$1,main!$A$3:$I$56,5,FALSE)-VLOOKUP($A202,main!$A$3:$I$56,6,FALSE)&gt;=VLOOKUP(58,main!$A$57:$I$61,4,FALSE)+VLOOKUP(VLOOKUP(H$1,main!$A$3:$I$56,7,FALSE),main!$K$10:$Q$14,6,FALSE),1,0)</f>
        <v>0</v>
      </c>
      <c r="I202">
        <f>IF(VLOOKUP(I$1,main!$A$3:$I$56,5,FALSE)-VLOOKUP($A202,main!$A$3:$I$56,6,FALSE)&gt;=VLOOKUP(58,main!$A$57:$I$61,4,FALSE)+VLOOKUP(VLOOKUP(I$1,main!$A$3:$I$56,7,FALSE),main!$K$10:$Q$14,6,FALSE),1,0)</f>
        <v>0</v>
      </c>
      <c r="J202">
        <f>IF(VLOOKUP(J$1,main!$A$3:$I$56,5,FALSE)-VLOOKUP($A202,main!$A$3:$I$56,6,FALSE)&gt;=VLOOKUP(58,main!$A$57:$I$61,4,FALSE)+VLOOKUP(VLOOKUP(J$1,main!$A$3:$I$56,7,FALSE),main!$K$10:$Q$14,6,FALSE),1,0)</f>
        <v>0</v>
      </c>
      <c r="K202">
        <f>IF(VLOOKUP(K$1,main!$A$3:$I$56,5,FALSE)-VLOOKUP($A202,main!$A$3:$I$56,6,FALSE)&gt;=VLOOKUP(58,main!$A$57:$I$61,4,FALSE)+VLOOKUP(VLOOKUP(K$1,main!$A$3:$I$56,7,FALSE),main!$K$10:$Q$14,6,FALSE),1,0)</f>
        <v>0</v>
      </c>
      <c r="L202">
        <f>IF(VLOOKUP(L$1,main!$A$3:$I$56,5,FALSE)-VLOOKUP($A202,main!$A$3:$I$56,6,FALSE)&gt;=VLOOKUP(58,main!$A$57:$I$61,4,FALSE)+VLOOKUP(VLOOKUP(L$1,main!$A$3:$I$56,7,FALSE),main!$K$10:$Q$14,6,FALSE),1,0)</f>
        <v>0</v>
      </c>
      <c r="M202">
        <f>IF(VLOOKUP(M$1,main!$A$3:$I$56,5,FALSE)-VLOOKUP($A202,main!$A$3:$I$56,6,FALSE)&gt;=VLOOKUP(58,main!$A$57:$I$61,4,FALSE)+VLOOKUP(VLOOKUP(M$1,main!$A$3:$I$56,7,FALSE),main!$K$10:$Q$14,6,FALSE),1,0)</f>
        <v>0</v>
      </c>
      <c r="N202">
        <f>IF(VLOOKUP(N$1,main!$A$3:$I$56,5,FALSE)-VLOOKUP($A202,main!$A$3:$I$56,6,FALSE)&gt;=VLOOKUP(58,main!$A$57:$I$61,4,FALSE)+VLOOKUP(VLOOKUP(N$1,main!$A$3:$I$56,7,FALSE),main!$K$10:$Q$14,6,FALSE),1,0)</f>
        <v>0</v>
      </c>
      <c r="O202">
        <f>IF(VLOOKUP(O$1,main!$A$3:$I$56,5,FALSE)-VLOOKUP($A202,main!$A$3:$I$56,6,FALSE)&gt;=VLOOKUP(58,main!$A$57:$I$61,4,FALSE)+VLOOKUP(VLOOKUP(O$1,main!$A$3:$I$56,7,FALSE),main!$K$10:$Q$14,6,FALSE),1,0)</f>
        <v>0</v>
      </c>
      <c r="P202">
        <f>IF(VLOOKUP(P$1,main!$A$3:$I$56,5,FALSE)-VLOOKUP($A202,main!$A$3:$I$56,6,FALSE)&gt;=VLOOKUP(58,main!$A$57:$I$61,4,FALSE)+VLOOKUP(VLOOKUP(P$1,main!$A$3:$I$56,7,FALSE),main!$K$10:$Q$14,6,FALSE),1,0)</f>
        <v>0</v>
      </c>
      <c r="Q202">
        <f>IF(VLOOKUP(Q$1,main!$A$3:$I$56,5,FALSE)-VLOOKUP($A202,main!$A$3:$I$56,6,FALSE)&gt;=VLOOKUP(58,main!$A$57:$I$61,4,FALSE)+VLOOKUP(VLOOKUP(Q$1,main!$A$3:$I$56,7,FALSE),main!$K$10:$Q$14,6,FALSE),1,0)</f>
        <v>0</v>
      </c>
      <c r="R202">
        <f>IF(VLOOKUP(R$1,main!$A$3:$I$56,5,FALSE)-VLOOKUP($A202,main!$A$3:$I$56,6,FALSE)&gt;=VLOOKUP(58,main!$A$57:$I$61,4,FALSE)+VLOOKUP(VLOOKUP(R$1,main!$A$3:$I$56,7,FALSE),main!$K$10:$Q$14,6,FALSE),1,0)</f>
        <v>0</v>
      </c>
      <c r="S202">
        <f>IF(VLOOKUP(S$1,main!$A$3:$I$56,5,FALSE)-VLOOKUP($A202,main!$A$3:$I$56,6,FALSE)&gt;=VLOOKUP(58,main!$A$57:$I$61,4,FALSE)+VLOOKUP(VLOOKUP(S$1,main!$A$3:$I$56,7,FALSE),main!$K$10:$Q$14,6,FALSE),1,0)</f>
        <v>0</v>
      </c>
      <c r="T202">
        <f>IF(VLOOKUP(T$1,main!$A$3:$I$56,5,FALSE)-VLOOKUP($A202,main!$A$3:$I$56,6,FALSE)&gt;=VLOOKUP(58,main!$A$57:$I$61,4,FALSE)+VLOOKUP(VLOOKUP(T$1,main!$A$3:$I$56,7,FALSE),main!$K$10:$Q$14,6,FALSE),1,0)</f>
        <v>0</v>
      </c>
      <c r="U202">
        <f>IF(VLOOKUP(U$1,main!$A$3:$I$56,5,FALSE)-VLOOKUP($A202,main!$A$3:$I$56,6,FALSE)&gt;=VLOOKUP(58,main!$A$57:$I$61,4,FALSE)+VLOOKUP(VLOOKUP(U$1,main!$A$3:$I$56,7,FALSE),main!$K$10:$Q$14,6,FALSE),1,0)</f>
        <v>0</v>
      </c>
      <c r="V202">
        <f>IF(VLOOKUP(V$1,main!$A$3:$I$56,5,FALSE)-VLOOKUP($A202,main!$A$3:$I$56,6,FALSE)&gt;=VLOOKUP(58,main!$A$57:$I$61,4,FALSE)+VLOOKUP(VLOOKUP(V$1,main!$A$3:$I$56,7,FALSE),main!$K$10:$Q$14,6,FALSE),1,0)</f>
        <v>0</v>
      </c>
      <c r="W202">
        <f>IF(VLOOKUP(W$1,main!$A$3:$I$56,5,FALSE)-VLOOKUP($A202,main!$A$3:$I$56,6,FALSE)&gt;=VLOOKUP(58,main!$A$57:$I$61,4,FALSE)+VLOOKUP(VLOOKUP(W$1,main!$A$3:$I$56,7,FALSE),main!$K$10:$Q$14,6,FALSE),1,0)</f>
        <v>0</v>
      </c>
      <c r="X202">
        <f>IF(VLOOKUP(X$1,main!$A$3:$I$56,5,FALSE)-VLOOKUP($A202,main!$A$3:$I$56,6,FALSE)&gt;=VLOOKUP(58,main!$A$57:$I$61,4,FALSE)+VLOOKUP(VLOOKUP(X$1,main!$A$3:$I$56,7,FALSE),main!$K$10:$Q$14,6,FALSE),1,0)</f>
        <v>0</v>
      </c>
      <c r="Y202">
        <f>IF(VLOOKUP(Y$1,main!$A$3:$I$56,5,FALSE)-VLOOKUP($A202,main!$A$3:$I$56,6,FALSE)&gt;=VLOOKUP(58,main!$A$57:$I$61,4,FALSE)+VLOOKUP(VLOOKUP(Y$1,main!$A$3:$I$56,7,FALSE),main!$K$10:$Q$14,6,FALSE),1,0)</f>
        <v>0</v>
      </c>
      <c r="Z202">
        <f>IF(VLOOKUP(Z$1,main!$A$3:$I$56,5,FALSE)-VLOOKUP($A202,main!$A$3:$I$56,6,FALSE)&gt;=VLOOKUP(58,main!$A$57:$I$61,4,FALSE)+VLOOKUP(VLOOKUP(Z$1,main!$A$3:$I$56,7,FALSE),main!$K$10:$Q$14,6,FALSE),1,0)</f>
        <v>0</v>
      </c>
      <c r="AA202">
        <f>IF(VLOOKUP(AA$1,main!$A$3:$I$56,5,FALSE)-VLOOKUP($A202,main!$A$3:$I$56,6,FALSE)&gt;=VLOOKUP(58,main!$A$57:$I$61,4,FALSE)+VLOOKUP(VLOOKUP(AA$1,main!$A$3:$I$56,7,FALSE),main!$K$10:$Q$14,6,FALSE),1,0)</f>
        <v>0</v>
      </c>
      <c r="AB202">
        <f>IF(VLOOKUP(AB$1,main!$A$3:$I$56,5,FALSE)-VLOOKUP($A202,main!$A$3:$I$56,6,FALSE)&gt;=VLOOKUP(58,main!$A$57:$I$61,4,FALSE)+VLOOKUP(VLOOKUP(AB$1,main!$A$3:$I$56,7,FALSE),main!$K$10:$Q$14,6,FALSE),1,0)</f>
        <v>0</v>
      </c>
      <c r="AC202">
        <f>IF(VLOOKUP(AC$1,main!$A$3:$I$56,5,FALSE)-VLOOKUP($A202,main!$A$3:$I$56,6,FALSE)&gt;=VLOOKUP(58,main!$A$57:$I$61,4,FALSE)+VLOOKUP(VLOOKUP(AC$1,main!$A$3:$I$56,7,FALSE),main!$K$10:$Q$14,6,FALSE),1,0)</f>
        <v>0</v>
      </c>
      <c r="AD202">
        <f>IF(VLOOKUP(AD$1,main!$A$3:$I$56,5,FALSE)-VLOOKUP($A202,main!$A$3:$I$56,6,FALSE)&gt;=VLOOKUP(58,main!$A$57:$I$61,4,FALSE)+VLOOKUP(VLOOKUP(AD$1,main!$A$3:$I$56,7,FALSE),main!$K$10:$Q$14,6,FALSE),1,0)</f>
        <v>0</v>
      </c>
      <c r="AE202">
        <f>IF(VLOOKUP(AE$1,main!$A$3:$I$56,5,FALSE)-VLOOKUP($A202,main!$A$3:$I$56,6,FALSE)&gt;=VLOOKUP(58,main!$A$57:$I$61,4,FALSE)+VLOOKUP(VLOOKUP(AE$1,main!$A$3:$I$56,7,FALSE),main!$K$10:$Q$14,6,FALSE),1,0)</f>
        <v>0</v>
      </c>
      <c r="AF202">
        <f>IF(VLOOKUP(AF$1,main!$A$3:$I$56,5,FALSE)-VLOOKUP($A202,main!$A$3:$I$56,6,FALSE)&gt;=VLOOKUP(58,main!$A$57:$I$61,4,FALSE)+VLOOKUP(VLOOKUP(AF$1,main!$A$3:$I$56,7,FALSE),main!$K$10:$Q$14,6,FALSE),1,0)</f>
        <v>0</v>
      </c>
      <c r="AG202">
        <f>IF(VLOOKUP(AG$1,main!$A$3:$I$56,5,FALSE)-VLOOKUP($A202,main!$A$3:$I$56,6,FALSE)&gt;=VLOOKUP(58,main!$A$57:$I$61,4,FALSE)+VLOOKUP(VLOOKUP(AG$1,main!$A$3:$I$56,7,FALSE),main!$K$10:$Q$14,6,FALSE),1,0)</f>
        <v>0</v>
      </c>
      <c r="AH202">
        <f>IF(VLOOKUP(AH$1,main!$A$3:$I$56,5,FALSE)-VLOOKUP($A202,main!$A$3:$I$56,6,FALSE)&gt;=VLOOKUP(58,main!$A$57:$I$61,4,FALSE)+VLOOKUP(VLOOKUP(AH$1,main!$A$3:$I$56,7,FALSE),main!$K$10:$Q$14,6,FALSE),1,0)</f>
        <v>0</v>
      </c>
      <c r="AI202">
        <f>IF(VLOOKUP(AI$1,main!$A$3:$I$56,5,FALSE)-VLOOKUP($A202,main!$A$3:$I$56,6,FALSE)&gt;=VLOOKUP(58,main!$A$57:$I$61,4,FALSE)+VLOOKUP(VLOOKUP(AI$1,main!$A$3:$I$56,7,FALSE),main!$K$10:$Q$14,6,FALSE),1,0)</f>
        <v>0</v>
      </c>
      <c r="AJ202">
        <f>IF(VLOOKUP(AJ$1,main!$A$3:$I$56,5,FALSE)-VLOOKUP($A202,main!$A$3:$I$56,6,FALSE)&gt;=VLOOKUP(58,main!$A$57:$I$61,4,FALSE)+VLOOKUP(VLOOKUP(AJ$1,main!$A$3:$I$56,7,FALSE),main!$K$10:$Q$14,6,FALSE),1,0)</f>
        <v>0</v>
      </c>
      <c r="AK202">
        <f>IF(VLOOKUP(AK$1,main!$A$3:$I$56,5,FALSE)-VLOOKUP($A202,main!$A$3:$I$56,6,FALSE)&gt;=VLOOKUP(58,main!$A$57:$I$61,4,FALSE)+VLOOKUP(VLOOKUP(AK$1,main!$A$3:$I$56,7,FALSE),main!$K$10:$Q$14,6,FALSE),1,0)</f>
        <v>0</v>
      </c>
      <c r="AL202">
        <f>IF(VLOOKUP(AL$1,main!$A$3:$I$56,5,FALSE)-VLOOKUP($A202,main!$A$3:$I$56,6,FALSE)&gt;=VLOOKUP(58,main!$A$57:$I$61,4,FALSE)+VLOOKUP(VLOOKUP(AL$1,main!$A$3:$I$56,7,FALSE),main!$K$10:$Q$14,6,FALSE),1,0)</f>
        <v>0</v>
      </c>
      <c r="AM202">
        <f>IF(VLOOKUP(AM$1,main!$A$3:$I$56,5,FALSE)-VLOOKUP($A202,main!$A$3:$I$56,6,FALSE)&gt;=VLOOKUP(58,main!$A$57:$I$61,4,FALSE)+VLOOKUP(VLOOKUP(AM$1,main!$A$3:$I$56,7,FALSE),main!$K$10:$Q$14,6,FALSE),1,0)</f>
        <v>0</v>
      </c>
      <c r="AN202">
        <f>IF(VLOOKUP(AN$1,main!$A$3:$I$56,5,FALSE)-VLOOKUP($A202,main!$A$3:$I$56,6,FALSE)&gt;=VLOOKUP(58,main!$A$57:$I$61,4,FALSE)+VLOOKUP(VLOOKUP(AN$1,main!$A$3:$I$56,7,FALSE),main!$K$10:$Q$14,6,FALSE),1,0)</f>
        <v>0</v>
      </c>
      <c r="AO202">
        <f>IF(VLOOKUP(AO$1,main!$A$3:$I$56,5,FALSE)-VLOOKUP($A202,main!$A$3:$I$56,6,FALSE)&gt;=VLOOKUP(58,main!$A$57:$I$61,4,FALSE)+VLOOKUP(VLOOKUP(AO$1,main!$A$3:$I$56,7,FALSE),main!$K$10:$Q$14,6,FALSE),1,0)</f>
        <v>0</v>
      </c>
      <c r="AP202">
        <f>IF(VLOOKUP(AP$1,main!$A$3:$I$56,5,FALSE)-VLOOKUP($A202,main!$A$3:$I$56,6,FALSE)&gt;=VLOOKUP(58,main!$A$57:$I$61,4,FALSE)+VLOOKUP(VLOOKUP(AP$1,main!$A$3:$I$56,7,FALSE),main!$K$10:$Q$14,6,FALSE),1,0)</f>
        <v>0</v>
      </c>
      <c r="AQ202">
        <f>IF(VLOOKUP(AQ$1,main!$A$3:$I$56,5,FALSE)-VLOOKUP($A202,main!$A$3:$I$56,6,FALSE)&gt;=VLOOKUP(58,main!$A$57:$I$61,4,FALSE)+VLOOKUP(VLOOKUP(AQ$1,main!$A$3:$I$56,7,FALSE),main!$K$10:$Q$14,6,FALSE),1,0)</f>
        <v>0</v>
      </c>
      <c r="AR202">
        <f>IF(VLOOKUP(AR$1,main!$A$3:$I$56,5,FALSE)-VLOOKUP($A202,main!$A$3:$I$56,6,FALSE)&gt;=VLOOKUP(58,main!$A$57:$I$61,4,FALSE)+VLOOKUP(VLOOKUP(AR$1,main!$A$3:$I$56,7,FALSE),main!$K$10:$Q$14,6,FALSE),1,0)</f>
        <v>0</v>
      </c>
      <c r="AS202">
        <f>IF(VLOOKUP(AS$1,main!$A$3:$I$56,5,FALSE)-VLOOKUP($A202,main!$A$3:$I$56,6,FALSE)&gt;=VLOOKUP(58,main!$A$57:$I$61,4,FALSE)+VLOOKUP(VLOOKUP(AS$1,main!$A$3:$I$56,7,FALSE),main!$K$10:$Q$14,6,FALSE),1,0)</f>
        <v>0</v>
      </c>
      <c r="AT202">
        <f>IF(VLOOKUP(AT$1,main!$A$3:$I$56,5,FALSE)-VLOOKUP($A202,main!$A$3:$I$56,6,FALSE)&gt;=VLOOKUP(58,main!$A$57:$I$61,4,FALSE)+VLOOKUP(VLOOKUP(AT$1,main!$A$3:$I$56,7,FALSE),main!$K$10:$Q$14,6,FALSE),1,0)</f>
        <v>0</v>
      </c>
      <c r="AU202">
        <f>IF(VLOOKUP(AU$1,main!$A$3:$I$56,5,FALSE)-VLOOKUP($A202,main!$A$3:$I$56,6,FALSE)&gt;=VLOOKUP(58,main!$A$57:$I$61,4,FALSE)+VLOOKUP(VLOOKUP(AU$1,main!$A$3:$I$56,7,FALSE),main!$K$10:$Q$14,6,FALSE),1,0)</f>
        <v>0</v>
      </c>
      <c r="AV202">
        <f>IF(VLOOKUP(AV$1,main!$A$3:$I$56,5,FALSE)-VLOOKUP($A202,main!$A$3:$I$56,6,FALSE)&gt;=VLOOKUP(58,main!$A$57:$I$61,4,FALSE)+VLOOKUP(VLOOKUP(AV$1,main!$A$3:$I$56,7,FALSE),main!$K$10:$Q$14,6,FALSE),1,0)</f>
        <v>0</v>
      </c>
      <c r="AW202">
        <f>IF(VLOOKUP(AW$1,main!$A$3:$I$56,5,FALSE)-VLOOKUP($A202,main!$A$3:$I$56,6,FALSE)&gt;=VLOOKUP(58,main!$A$57:$I$61,4,FALSE)+VLOOKUP(VLOOKUP(AW$1,main!$A$3:$I$56,7,FALSE),main!$K$10:$Q$14,6,FALSE),1,0)</f>
        <v>0</v>
      </c>
      <c r="AX202">
        <f>IF(VLOOKUP(AX$1,main!$A$3:$I$56,5,FALSE)-VLOOKUP($A202,main!$A$3:$I$56,6,FALSE)&gt;=VLOOKUP(58,main!$A$57:$I$61,4,FALSE)+VLOOKUP(VLOOKUP(AX$1,main!$A$3:$I$56,7,FALSE),main!$K$10:$Q$14,6,FALSE),1,0)</f>
        <v>0</v>
      </c>
      <c r="AY202">
        <f>IF(VLOOKUP(AY$1,main!$A$3:$I$56,5,FALSE)-VLOOKUP($A202,main!$A$3:$I$56,6,FALSE)&gt;=VLOOKUP(58,main!$A$57:$I$61,4,FALSE)+VLOOKUP(VLOOKUP(AY$1,main!$A$3:$I$56,7,FALSE),main!$K$10:$Q$14,6,FALSE),1,0)</f>
        <v>0</v>
      </c>
      <c r="AZ202">
        <f>IF(VLOOKUP(AZ$1,main!$A$3:$I$56,5,FALSE)-VLOOKUP($A202,main!$A$3:$I$56,6,FALSE)&gt;=VLOOKUP(58,main!$A$57:$I$61,4,FALSE)+VLOOKUP(VLOOKUP(AZ$1,main!$A$3:$I$56,7,FALSE),main!$K$10:$Q$14,6,FALSE),1,0)</f>
        <v>0</v>
      </c>
      <c r="BA202">
        <f>IF(VLOOKUP(BA$1,main!$A$3:$I$56,5,FALSE)-VLOOKUP($A202,main!$A$3:$I$56,6,FALSE)&gt;=VLOOKUP(58,main!$A$57:$I$61,4,FALSE)+VLOOKUP(VLOOKUP(BA$1,main!$A$3:$I$56,7,FALSE),main!$K$10:$Q$14,6,FALSE),1,0)</f>
        <v>0</v>
      </c>
      <c r="BB202">
        <f>IF(VLOOKUP(BB$1,main!$A$3:$I$56,5,FALSE)-VLOOKUP($A202,main!$A$3:$I$56,6,FALSE)&gt;=VLOOKUP(58,main!$A$57:$I$61,4,FALSE)+VLOOKUP(VLOOKUP(BB$1,main!$A$3:$I$56,7,FALSE),main!$K$10:$Q$14,6,FALSE),1,0)</f>
        <v>0</v>
      </c>
      <c r="BC202">
        <f>IF(VLOOKUP(BC$1,main!$A$3:$I$56,5,FALSE)-VLOOKUP($A202,main!$A$3:$I$56,6,FALSE)&gt;=VLOOKUP(58,main!$A$57:$I$61,4,FALSE)+VLOOKUP(VLOOKUP(BC$1,main!$A$3:$I$56,7,FALSE),main!$K$10:$Q$14,6,FALSE),1,0)</f>
        <v>0</v>
      </c>
      <c r="BD202">
        <f>IF(VLOOKUP(BD$1,main!$A$3:$I$56,5,FALSE)-VLOOKUP($A202,main!$A$3:$I$56,6,FALSE)&gt;=VLOOKUP(58,main!$A$57:$I$61,4,FALSE)+VLOOKUP(VLOOKUP(BD$1,main!$A$3:$I$56,7,FALSE),main!$K$10:$Q$14,6,FALSE),1,0)</f>
        <v>0</v>
      </c>
    </row>
    <row r="203" spans="1:56" x14ac:dyDescent="0.25">
      <c r="A203">
        <f t="shared" si="3"/>
        <v>36</v>
      </c>
      <c r="B203">
        <v>0</v>
      </c>
      <c r="C203">
        <f>IF(VLOOKUP(C$1,main!$A$3:$I$56,5,FALSE)-VLOOKUP($A203,main!$A$3:$I$56,6,FALSE)&gt;=VLOOKUP(58,main!$A$57:$I$61,4,FALSE)+VLOOKUP(VLOOKUP(C$1,main!$A$3:$I$56,7,FALSE),main!$K$10:$Q$14,6,FALSE),1,0)</f>
        <v>0</v>
      </c>
      <c r="D203">
        <f>IF(VLOOKUP(D$1,main!$A$3:$I$56,5,FALSE)-VLOOKUP($A203,main!$A$3:$I$56,6,FALSE)&gt;=VLOOKUP(58,main!$A$57:$I$61,4,FALSE)+VLOOKUP(VLOOKUP(D$1,main!$A$3:$I$56,7,FALSE),main!$K$10:$Q$14,6,FALSE),1,0)</f>
        <v>0</v>
      </c>
      <c r="E203">
        <f>IF(VLOOKUP(E$1,main!$A$3:$I$56,5,FALSE)-VLOOKUP($A203,main!$A$3:$I$56,6,FALSE)&gt;=VLOOKUP(58,main!$A$57:$I$61,4,FALSE)+VLOOKUP(VLOOKUP(E$1,main!$A$3:$I$56,7,FALSE),main!$K$10:$Q$14,6,FALSE),1,0)</f>
        <v>0</v>
      </c>
      <c r="F203">
        <f>IF(VLOOKUP(F$1,main!$A$3:$I$56,5,FALSE)-VLOOKUP($A203,main!$A$3:$I$56,6,FALSE)&gt;=VLOOKUP(58,main!$A$57:$I$61,4,FALSE)+VLOOKUP(VLOOKUP(F$1,main!$A$3:$I$56,7,FALSE),main!$K$10:$Q$14,6,FALSE),1,0)</f>
        <v>1</v>
      </c>
      <c r="G203">
        <f>IF(VLOOKUP(G$1,main!$A$3:$I$56,5,FALSE)-VLOOKUP($A203,main!$A$3:$I$56,6,FALSE)&gt;=VLOOKUP(58,main!$A$57:$I$61,4,FALSE)+VLOOKUP(VLOOKUP(G$1,main!$A$3:$I$56,7,FALSE),main!$K$10:$Q$14,6,FALSE),1,0)</f>
        <v>1</v>
      </c>
      <c r="H203">
        <f>IF(VLOOKUP(H$1,main!$A$3:$I$56,5,FALSE)-VLOOKUP($A203,main!$A$3:$I$56,6,FALSE)&gt;=VLOOKUP(58,main!$A$57:$I$61,4,FALSE)+VLOOKUP(VLOOKUP(H$1,main!$A$3:$I$56,7,FALSE),main!$K$10:$Q$14,6,FALSE),1,0)</f>
        <v>1</v>
      </c>
      <c r="I203">
        <f>IF(VLOOKUP(I$1,main!$A$3:$I$56,5,FALSE)-VLOOKUP($A203,main!$A$3:$I$56,6,FALSE)&gt;=VLOOKUP(58,main!$A$57:$I$61,4,FALSE)+VLOOKUP(VLOOKUP(I$1,main!$A$3:$I$56,7,FALSE),main!$K$10:$Q$14,6,FALSE),1,0)</f>
        <v>1</v>
      </c>
      <c r="J203">
        <f>IF(VLOOKUP(J$1,main!$A$3:$I$56,5,FALSE)-VLOOKUP($A203,main!$A$3:$I$56,6,FALSE)&gt;=VLOOKUP(58,main!$A$57:$I$61,4,FALSE)+VLOOKUP(VLOOKUP(J$1,main!$A$3:$I$56,7,FALSE),main!$K$10:$Q$14,6,FALSE),1,0)</f>
        <v>1</v>
      </c>
      <c r="K203">
        <f>IF(VLOOKUP(K$1,main!$A$3:$I$56,5,FALSE)-VLOOKUP($A203,main!$A$3:$I$56,6,FALSE)&gt;=VLOOKUP(58,main!$A$57:$I$61,4,FALSE)+VLOOKUP(VLOOKUP(K$1,main!$A$3:$I$56,7,FALSE),main!$K$10:$Q$14,6,FALSE),1,0)</f>
        <v>0</v>
      </c>
      <c r="L203">
        <f>IF(VLOOKUP(L$1,main!$A$3:$I$56,5,FALSE)-VLOOKUP($A203,main!$A$3:$I$56,6,FALSE)&gt;=VLOOKUP(58,main!$A$57:$I$61,4,FALSE)+VLOOKUP(VLOOKUP(L$1,main!$A$3:$I$56,7,FALSE),main!$K$10:$Q$14,6,FALSE),1,0)</f>
        <v>0</v>
      </c>
      <c r="M203">
        <f>IF(VLOOKUP(M$1,main!$A$3:$I$56,5,FALSE)-VLOOKUP($A203,main!$A$3:$I$56,6,FALSE)&gt;=VLOOKUP(58,main!$A$57:$I$61,4,FALSE)+VLOOKUP(VLOOKUP(M$1,main!$A$3:$I$56,7,FALSE),main!$K$10:$Q$14,6,FALSE),1,0)</f>
        <v>0</v>
      </c>
      <c r="N203">
        <f>IF(VLOOKUP(N$1,main!$A$3:$I$56,5,FALSE)-VLOOKUP($A203,main!$A$3:$I$56,6,FALSE)&gt;=VLOOKUP(58,main!$A$57:$I$61,4,FALSE)+VLOOKUP(VLOOKUP(N$1,main!$A$3:$I$56,7,FALSE),main!$K$10:$Q$14,6,FALSE),1,0)</f>
        <v>1</v>
      </c>
      <c r="O203">
        <f>IF(VLOOKUP(O$1,main!$A$3:$I$56,5,FALSE)-VLOOKUP($A203,main!$A$3:$I$56,6,FALSE)&gt;=VLOOKUP(58,main!$A$57:$I$61,4,FALSE)+VLOOKUP(VLOOKUP(O$1,main!$A$3:$I$56,7,FALSE),main!$K$10:$Q$14,6,FALSE),1,0)</f>
        <v>1</v>
      </c>
      <c r="P203">
        <f>IF(VLOOKUP(P$1,main!$A$3:$I$56,5,FALSE)-VLOOKUP($A203,main!$A$3:$I$56,6,FALSE)&gt;=VLOOKUP(58,main!$A$57:$I$61,4,FALSE)+VLOOKUP(VLOOKUP(P$1,main!$A$3:$I$56,7,FALSE),main!$K$10:$Q$14,6,FALSE),1,0)</f>
        <v>0</v>
      </c>
      <c r="Q203">
        <f>IF(VLOOKUP(Q$1,main!$A$3:$I$56,5,FALSE)-VLOOKUP($A203,main!$A$3:$I$56,6,FALSE)&gt;=VLOOKUP(58,main!$A$57:$I$61,4,FALSE)+VLOOKUP(VLOOKUP(Q$1,main!$A$3:$I$56,7,FALSE),main!$K$10:$Q$14,6,FALSE),1,0)</f>
        <v>0</v>
      </c>
      <c r="R203">
        <f>IF(VLOOKUP(R$1,main!$A$3:$I$56,5,FALSE)-VLOOKUP($A203,main!$A$3:$I$56,6,FALSE)&gt;=VLOOKUP(58,main!$A$57:$I$61,4,FALSE)+VLOOKUP(VLOOKUP(R$1,main!$A$3:$I$56,7,FALSE),main!$K$10:$Q$14,6,FALSE),1,0)</f>
        <v>0</v>
      </c>
      <c r="S203">
        <f>IF(VLOOKUP(S$1,main!$A$3:$I$56,5,FALSE)-VLOOKUP($A203,main!$A$3:$I$56,6,FALSE)&gt;=VLOOKUP(58,main!$A$57:$I$61,4,FALSE)+VLOOKUP(VLOOKUP(S$1,main!$A$3:$I$56,7,FALSE),main!$K$10:$Q$14,6,FALSE),1,0)</f>
        <v>1</v>
      </c>
      <c r="T203">
        <f>IF(VLOOKUP(T$1,main!$A$3:$I$56,5,FALSE)-VLOOKUP($A203,main!$A$3:$I$56,6,FALSE)&gt;=VLOOKUP(58,main!$A$57:$I$61,4,FALSE)+VLOOKUP(VLOOKUP(T$1,main!$A$3:$I$56,7,FALSE),main!$K$10:$Q$14,6,FALSE),1,0)</f>
        <v>1</v>
      </c>
      <c r="U203">
        <f>IF(VLOOKUP(U$1,main!$A$3:$I$56,5,FALSE)-VLOOKUP($A203,main!$A$3:$I$56,6,FALSE)&gt;=VLOOKUP(58,main!$A$57:$I$61,4,FALSE)+VLOOKUP(VLOOKUP(U$1,main!$A$3:$I$56,7,FALSE),main!$K$10:$Q$14,6,FALSE),1,0)</f>
        <v>0</v>
      </c>
      <c r="V203">
        <f>IF(VLOOKUP(V$1,main!$A$3:$I$56,5,FALSE)-VLOOKUP($A203,main!$A$3:$I$56,6,FALSE)&gt;=VLOOKUP(58,main!$A$57:$I$61,4,FALSE)+VLOOKUP(VLOOKUP(V$1,main!$A$3:$I$56,7,FALSE),main!$K$10:$Q$14,6,FALSE),1,0)</f>
        <v>0</v>
      </c>
      <c r="W203">
        <f>IF(VLOOKUP(W$1,main!$A$3:$I$56,5,FALSE)-VLOOKUP($A203,main!$A$3:$I$56,6,FALSE)&gt;=VLOOKUP(58,main!$A$57:$I$61,4,FALSE)+VLOOKUP(VLOOKUP(W$1,main!$A$3:$I$56,7,FALSE),main!$K$10:$Q$14,6,FALSE),1,0)</f>
        <v>0</v>
      </c>
      <c r="X203">
        <f>IF(VLOOKUP(X$1,main!$A$3:$I$56,5,FALSE)-VLOOKUP($A203,main!$A$3:$I$56,6,FALSE)&gt;=VLOOKUP(58,main!$A$57:$I$61,4,FALSE)+VLOOKUP(VLOOKUP(X$1,main!$A$3:$I$56,7,FALSE),main!$K$10:$Q$14,6,FALSE),1,0)</f>
        <v>0</v>
      </c>
      <c r="Y203">
        <f>IF(VLOOKUP(Y$1,main!$A$3:$I$56,5,FALSE)-VLOOKUP($A203,main!$A$3:$I$56,6,FALSE)&gt;=VLOOKUP(58,main!$A$57:$I$61,4,FALSE)+VLOOKUP(VLOOKUP(Y$1,main!$A$3:$I$56,7,FALSE),main!$K$10:$Q$14,6,FALSE),1,0)</f>
        <v>1</v>
      </c>
      <c r="Z203">
        <f>IF(VLOOKUP(Z$1,main!$A$3:$I$56,5,FALSE)-VLOOKUP($A203,main!$A$3:$I$56,6,FALSE)&gt;=VLOOKUP(58,main!$A$57:$I$61,4,FALSE)+VLOOKUP(VLOOKUP(Z$1,main!$A$3:$I$56,7,FALSE),main!$K$10:$Q$14,6,FALSE),1,0)</f>
        <v>1</v>
      </c>
      <c r="AA203">
        <f>IF(VLOOKUP(AA$1,main!$A$3:$I$56,5,FALSE)-VLOOKUP($A203,main!$A$3:$I$56,6,FALSE)&gt;=VLOOKUP(58,main!$A$57:$I$61,4,FALSE)+VLOOKUP(VLOOKUP(AA$1,main!$A$3:$I$56,7,FALSE),main!$K$10:$Q$14,6,FALSE),1,0)</f>
        <v>1</v>
      </c>
      <c r="AB203">
        <f>IF(VLOOKUP(AB$1,main!$A$3:$I$56,5,FALSE)-VLOOKUP($A203,main!$A$3:$I$56,6,FALSE)&gt;=VLOOKUP(58,main!$A$57:$I$61,4,FALSE)+VLOOKUP(VLOOKUP(AB$1,main!$A$3:$I$56,7,FALSE),main!$K$10:$Q$14,6,FALSE),1,0)</f>
        <v>1</v>
      </c>
      <c r="AC203">
        <f>IF(VLOOKUP(AC$1,main!$A$3:$I$56,5,FALSE)-VLOOKUP($A203,main!$A$3:$I$56,6,FALSE)&gt;=VLOOKUP(58,main!$A$57:$I$61,4,FALSE)+VLOOKUP(VLOOKUP(AC$1,main!$A$3:$I$56,7,FALSE),main!$K$10:$Q$14,6,FALSE),1,0)</f>
        <v>0</v>
      </c>
      <c r="AD203">
        <f>IF(VLOOKUP(AD$1,main!$A$3:$I$56,5,FALSE)-VLOOKUP($A203,main!$A$3:$I$56,6,FALSE)&gt;=VLOOKUP(58,main!$A$57:$I$61,4,FALSE)+VLOOKUP(VLOOKUP(AD$1,main!$A$3:$I$56,7,FALSE),main!$K$10:$Q$14,6,FALSE),1,0)</f>
        <v>0</v>
      </c>
      <c r="AE203">
        <f>IF(VLOOKUP(AE$1,main!$A$3:$I$56,5,FALSE)-VLOOKUP($A203,main!$A$3:$I$56,6,FALSE)&gt;=VLOOKUP(58,main!$A$57:$I$61,4,FALSE)+VLOOKUP(VLOOKUP(AE$1,main!$A$3:$I$56,7,FALSE),main!$K$10:$Q$14,6,FALSE),1,0)</f>
        <v>0</v>
      </c>
      <c r="AF203">
        <f>IF(VLOOKUP(AF$1,main!$A$3:$I$56,5,FALSE)-VLOOKUP($A203,main!$A$3:$I$56,6,FALSE)&gt;=VLOOKUP(58,main!$A$57:$I$61,4,FALSE)+VLOOKUP(VLOOKUP(AF$1,main!$A$3:$I$56,7,FALSE),main!$K$10:$Q$14,6,FALSE),1,0)</f>
        <v>1</v>
      </c>
      <c r="AG203">
        <f>IF(VLOOKUP(AG$1,main!$A$3:$I$56,5,FALSE)-VLOOKUP($A203,main!$A$3:$I$56,6,FALSE)&gt;=VLOOKUP(58,main!$A$57:$I$61,4,FALSE)+VLOOKUP(VLOOKUP(AG$1,main!$A$3:$I$56,7,FALSE),main!$K$10:$Q$14,6,FALSE),1,0)</f>
        <v>0</v>
      </c>
      <c r="AH203">
        <f>IF(VLOOKUP(AH$1,main!$A$3:$I$56,5,FALSE)-VLOOKUP($A203,main!$A$3:$I$56,6,FALSE)&gt;=VLOOKUP(58,main!$A$57:$I$61,4,FALSE)+VLOOKUP(VLOOKUP(AH$1,main!$A$3:$I$56,7,FALSE),main!$K$10:$Q$14,6,FALSE),1,0)</f>
        <v>1</v>
      </c>
      <c r="AI203">
        <f>IF(VLOOKUP(AI$1,main!$A$3:$I$56,5,FALSE)-VLOOKUP($A203,main!$A$3:$I$56,6,FALSE)&gt;=VLOOKUP(58,main!$A$57:$I$61,4,FALSE)+VLOOKUP(VLOOKUP(AI$1,main!$A$3:$I$56,7,FALSE),main!$K$10:$Q$14,6,FALSE),1,0)</f>
        <v>1</v>
      </c>
      <c r="AJ203">
        <f>IF(VLOOKUP(AJ$1,main!$A$3:$I$56,5,FALSE)-VLOOKUP($A203,main!$A$3:$I$56,6,FALSE)&gt;=VLOOKUP(58,main!$A$57:$I$61,4,FALSE)+VLOOKUP(VLOOKUP(AJ$1,main!$A$3:$I$56,7,FALSE),main!$K$10:$Q$14,6,FALSE),1,0)</f>
        <v>1</v>
      </c>
      <c r="AK203">
        <f>IF(VLOOKUP(AK$1,main!$A$3:$I$56,5,FALSE)-VLOOKUP($A203,main!$A$3:$I$56,6,FALSE)&gt;=VLOOKUP(58,main!$A$57:$I$61,4,FALSE)+VLOOKUP(VLOOKUP(AK$1,main!$A$3:$I$56,7,FALSE),main!$K$10:$Q$14,6,FALSE),1,0)</f>
        <v>1</v>
      </c>
      <c r="AL203">
        <f>IF(VLOOKUP(AL$1,main!$A$3:$I$56,5,FALSE)-VLOOKUP($A203,main!$A$3:$I$56,6,FALSE)&gt;=VLOOKUP(58,main!$A$57:$I$61,4,FALSE)+VLOOKUP(VLOOKUP(AL$1,main!$A$3:$I$56,7,FALSE),main!$K$10:$Q$14,6,FALSE),1,0)</f>
        <v>0</v>
      </c>
      <c r="AM203">
        <f>IF(VLOOKUP(AM$1,main!$A$3:$I$56,5,FALSE)-VLOOKUP($A203,main!$A$3:$I$56,6,FALSE)&gt;=VLOOKUP(58,main!$A$57:$I$61,4,FALSE)+VLOOKUP(VLOOKUP(AM$1,main!$A$3:$I$56,7,FALSE),main!$K$10:$Q$14,6,FALSE),1,0)</f>
        <v>0</v>
      </c>
      <c r="AN203">
        <f>IF(VLOOKUP(AN$1,main!$A$3:$I$56,5,FALSE)-VLOOKUP($A203,main!$A$3:$I$56,6,FALSE)&gt;=VLOOKUP(58,main!$A$57:$I$61,4,FALSE)+VLOOKUP(VLOOKUP(AN$1,main!$A$3:$I$56,7,FALSE),main!$K$10:$Q$14,6,FALSE),1,0)</f>
        <v>1</v>
      </c>
      <c r="AO203">
        <f>IF(VLOOKUP(AO$1,main!$A$3:$I$56,5,FALSE)-VLOOKUP($A203,main!$A$3:$I$56,6,FALSE)&gt;=VLOOKUP(58,main!$A$57:$I$61,4,FALSE)+VLOOKUP(VLOOKUP(AO$1,main!$A$3:$I$56,7,FALSE),main!$K$10:$Q$14,6,FALSE),1,0)</f>
        <v>1</v>
      </c>
      <c r="AP203">
        <f>IF(VLOOKUP(AP$1,main!$A$3:$I$56,5,FALSE)-VLOOKUP($A203,main!$A$3:$I$56,6,FALSE)&gt;=VLOOKUP(58,main!$A$57:$I$61,4,FALSE)+VLOOKUP(VLOOKUP(AP$1,main!$A$3:$I$56,7,FALSE),main!$K$10:$Q$14,6,FALSE),1,0)</f>
        <v>0</v>
      </c>
      <c r="AQ203">
        <f>IF(VLOOKUP(AQ$1,main!$A$3:$I$56,5,FALSE)-VLOOKUP($A203,main!$A$3:$I$56,6,FALSE)&gt;=VLOOKUP(58,main!$A$57:$I$61,4,FALSE)+VLOOKUP(VLOOKUP(AQ$1,main!$A$3:$I$56,7,FALSE),main!$K$10:$Q$14,6,FALSE),1,0)</f>
        <v>0</v>
      </c>
      <c r="AR203">
        <f>IF(VLOOKUP(AR$1,main!$A$3:$I$56,5,FALSE)-VLOOKUP($A203,main!$A$3:$I$56,6,FALSE)&gt;=VLOOKUP(58,main!$A$57:$I$61,4,FALSE)+VLOOKUP(VLOOKUP(AR$1,main!$A$3:$I$56,7,FALSE),main!$K$10:$Q$14,6,FALSE),1,0)</f>
        <v>0</v>
      </c>
      <c r="AS203">
        <f>IF(VLOOKUP(AS$1,main!$A$3:$I$56,5,FALSE)-VLOOKUP($A203,main!$A$3:$I$56,6,FALSE)&gt;=VLOOKUP(58,main!$A$57:$I$61,4,FALSE)+VLOOKUP(VLOOKUP(AS$1,main!$A$3:$I$56,7,FALSE),main!$K$10:$Q$14,6,FALSE),1,0)</f>
        <v>1</v>
      </c>
      <c r="AT203">
        <f>IF(VLOOKUP(AT$1,main!$A$3:$I$56,5,FALSE)-VLOOKUP($A203,main!$A$3:$I$56,6,FALSE)&gt;=VLOOKUP(58,main!$A$57:$I$61,4,FALSE)+VLOOKUP(VLOOKUP(AT$1,main!$A$3:$I$56,7,FALSE),main!$K$10:$Q$14,6,FALSE),1,0)</f>
        <v>1</v>
      </c>
      <c r="AU203">
        <f>IF(VLOOKUP(AU$1,main!$A$3:$I$56,5,FALSE)-VLOOKUP($A203,main!$A$3:$I$56,6,FALSE)&gt;=VLOOKUP(58,main!$A$57:$I$61,4,FALSE)+VLOOKUP(VLOOKUP(AU$1,main!$A$3:$I$56,7,FALSE),main!$K$10:$Q$14,6,FALSE),1,0)</f>
        <v>0</v>
      </c>
      <c r="AV203">
        <f>IF(VLOOKUP(AV$1,main!$A$3:$I$56,5,FALSE)-VLOOKUP($A203,main!$A$3:$I$56,6,FALSE)&gt;=VLOOKUP(58,main!$A$57:$I$61,4,FALSE)+VLOOKUP(VLOOKUP(AV$1,main!$A$3:$I$56,7,FALSE),main!$K$10:$Q$14,6,FALSE),1,0)</f>
        <v>0</v>
      </c>
      <c r="AW203">
        <f>IF(VLOOKUP(AW$1,main!$A$3:$I$56,5,FALSE)-VLOOKUP($A203,main!$A$3:$I$56,6,FALSE)&gt;=VLOOKUP(58,main!$A$57:$I$61,4,FALSE)+VLOOKUP(VLOOKUP(AW$1,main!$A$3:$I$56,7,FALSE),main!$K$10:$Q$14,6,FALSE),1,0)</f>
        <v>0</v>
      </c>
      <c r="AX203">
        <f>IF(VLOOKUP(AX$1,main!$A$3:$I$56,5,FALSE)-VLOOKUP($A203,main!$A$3:$I$56,6,FALSE)&gt;=VLOOKUP(58,main!$A$57:$I$61,4,FALSE)+VLOOKUP(VLOOKUP(AX$1,main!$A$3:$I$56,7,FALSE),main!$K$10:$Q$14,6,FALSE),1,0)</f>
        <v>0</v>
      </c>
      <c r="AY203">
        <f>IF(VLOOKUP(AY$1,main!$A$3:$I$56,5,FALSE)-VLOOKUP($A203,main!$A$3:$I$56,6,FALSE)&gt;=VLOOKUP(58,main!$A$57:$I$61,4,FALSE)+VLOOKUP(VLOOKUP(AY$1,main!$A$3:$I$56,7,FALSE),main!$K$10:$Q$14,6,FALSE),1,0)</f>
        <v>1</v>
      </c>
      <c r="AZ203">
        <f>IF(VLOOKUP(AZ$1,main!$A$3:$I$56,5,FALSE)-VLOOKUP($A203,main!$A$3:$I$56,6,FALSE)&gt;=VLOOKUP(58,main!$A$57:$I$61,4,FALSE)+VLOOKUP(VLOOKUP(AZ$1,main!$A$3:$I$56,7,FALSE),main!$K$10:$Q$14,6,FALSE),1,0)</f>
        <v>0</v>
      </c>
      <c r="BA203">
        <f>IF(VLOOKUP(BA$1,main!$A$3:$I$56,5,FALSE)-VLOOKUP($A203,main!$A$3:$I$56,6,FALSE)&gt;=VLOOKUP(58,main!$A$57:$I$61,4,FALSE)+VLOOKUP(VLOOKUP(BA$1,main!$A$3:$I$56,7,FALSE),main!$K$10:$Q$14,6,FALSE),1,0)</f>
        <v>0</v>
      </c>
      <c r="BB203">
        <f>IF(VLOOKUP(BB$1,main!$A$3:$I$56,5,FALSE)-VLOOKUP($A203,main!$A$3:$I$56,6,FALSE)&gt;=VLOOKUP(58,main!$A$57:$I$61,4,FALSE)+VLOOKUP(VLOOKUP(BB$1,main!$A$3:$I$56,7,FALSE),main!$K$10:$Q$14,6,FALSE),1,0)</f>
        <v>0</v>
      </c>
      <c r="BC203">
        <f>IF(VLOOKUP(BC$1,main!$A$3:$I$56,5,FALSE)-VLOOKUP($A203,main!$A$3:$I$56,6,FALSE)&gt;=VLOOKUP(58,main!$A$57:$I$61,4,FALSE)+VLOOKUP(VLOOKUP(BC$1,main!$A$3:$I$56,7,FALSE),main!$K$10:$Q$14,6,FALSE),1,0)</f>
        <v>0</v>
      </c>
      <c r="BD203">
        <f>IF(VLOOKUP(BD$1,main!$A$3:$I$56,5,FALSE)-VLOOKUP($A203,main!$A$3:$I$56,6,FALSE)&gt;=VLOOKUP(58,main!$A$57:$I$61,4,FALSE)+VLOOKUP(VLOOKUP(BD$1,main!$A$3:$I$56,7,FALSE),main!$K$10:$Q$14,6,FALSE),1,0)</f>
        <v>0</v>
      </c>
    </row>
    <row r="204" spans="1:56" x14ac:dyDescent="0.25">
      <c r="A204">
        <f t="shared" si="3"/>
        <v>37</v>
      </c>
      <c r="B204">
        <v>0</v>
      </c>
      <c r="C204">
        <f>IF(VLOOKUP(C$1,main!$A$3:$I$56,5,FALSE)-VLOOKUP($A204,main!$A$3:$I$56,6,FALSE)&gt;=VLOOKUP(58,main!$A$57:$I$61,4,FALSE)+VLOOKUP(VLOOKUP(C$1,main!$A$3:$I$56,7,FALSE),main!$K$10:$Q$14,6,FALSE),1,0)</f>
        <v>0</v>
      </c>
      <c r="D204">
        <f>IF(VLOOKUP(D$1,main!$A$3:$I$56,5,FALSE)-VLOOKUP($A204,main!$A$3:$I$56,6,FALSE)&gt;=VLOOKUP(58,main!$A$57:$I$61,4,FALSE)+VLOOKUP(VLOOKUP(D$1,main!$A$3:$I$56,7,FALSE),main!$K$10:$Q$14,6,FALSE),1,0)</f>
        <v>0</v>
      </c>
      <c r="E204">
        <f>IF(VLOOKUP(E$1,main!$A$3:$I$56,5,FALSE)-VLOOKUP($A204,main!$A$3:$I$56,6,FALSE)&gt;=VLOOKUP(58,main!$A$57:$I$61,4,FALSE)+VLOOKUP(VLOOKUP(E$1,main!$A$3:$I$56,7,FALSE),main!$K$10:$Q$14,6,FALSE),1,0)</f>
        <v>0</v>
      </c>
      <c r="F204">
        <f>IF(VLOOKUP(F$1,main!$A$3:$I$56,5,FALSE)-VLOOKUP($A204,main!$A$3:$I$56,6,FALSE)&gt;=VLOOKUP(58,main!$A$57:$I$61,4,FALSE)+VLOOKUP(VLOOKUP(F$1,main!$A$3:$I$56,7,FALSE),main!$K$10:$Q$14,6,FALSE),1,0)</f>
        <v>0</v>
      </c>
      <c r="G204">
        <f>IF(VLOOKUP(G$1,main!$A$3:$I$56,5,FALSE)-VLOOKUP($A204,main!$A$3:$I$56,6,FALSE)&gt;=VLOOKUP(58,main!$A$57:$I$61,4,FALSE)+VLOOKUP(VLOOKUP(G$1,main!$A$3:$I$56,7,FALSE),main!$K$10:$Q$14,6,FALSE),1,0)</f>
        <v>0</v>
      </c>
      <c r="H204">
        <f>IF(VLOOKUP(H$1,main!$A$3:$I$56,5,FALSE)-VLOOKUP($A204,main!$A$3:$I$56,6,FALSE)&gt;=VLOOKUP(58,main!$A$57:$I$61,4,FALSE)+VLOOKUP(VLOOKUP(H$1,main!$A$3:$I$56,7,FALSE),main!$K$10:$Q$14,6,FALSE),1,0)</f>
        <v>1</v>
      </c>
      <c r="I204">
        <f>IF(VLOOKUP(I$1,main!$A$3:$I$56,5,FALSE)-VLOOKUP($A204,main!$A$3:$I$56,6,FALSE)&gt;=VLOOKUP(58,main!$A$57:$I$61,4,FALSE)+VLOOKUP(VLOOKUP(I$1,main!$A$3:$I$56,7,FALSE),main!$K$10:$Q$14,6,FALSE),1,0)</f>
        <v>1</v>
      </c>
      <c r="J204">
        <f>IF(VLOOKUP(J$1,main!$A$3:$I$56,5,FALSE)-VLOOKUP($A204,main!$A$3:$I$56,6,FALSE)&gt;=VLOOKUP(58,main!$A$57:$I$61,4,FALSE)+VLOOKUP(VLOOKUP(J$1,main!$A$3:$I$56,7,FALSE),main!$K$10:$Q$14,6,FALSE),1,0)</f>
        <v>1</v>
      </c>
      <c r="K204">
        <f>IF(VLOOKUP(K$1,main!$A$3:$I$56,5,FALSE)-VLOOKUP($A204,main!$A$3:$I$56,6,FALSE)&gt;=VLOOKUP(58,main!$A$57:$I$61,4,FALSE)+VLOOKUP(VLOOKUP(K$1,main!$A$3:$I$56,7,FALSE),main!$K$10:$Q$14,6,FALSE),1,0)</f>
        <v>0</v>
      </c>
      <c r="L204">
        <f>IF(VLOOKUP(L$1,main!$A$3:$I$56,5,FALSE)-VLOOKUP($A204,main!$A$3:$I$56,6,FALSE)&gt;=VLOOKUP(58,main!$A$57:$I$61,4,FALSE)+VLOOKUP(VLOOKUP(L$1,main!$A$3:$I$56,7,FALSE),main!$K$10:$Q$14,6,FALSE),1,0)</f>
        <v>0</v>
      </c>
      <c r="M204">
        <f>IF(VLOOKUP(M$1,main!$A$3:$I$56,5,FALSE)-VLOOKUP($A204,main!$A$3:$I$56,6,FALSE)&gt;=VLOOKUP(58,main!$A$57:$I$61,4,FALSE)+VLOOKUP(VLOOKUP(M$1,main!$A$3:$I$56,7,FALSE),main!$K$10:$Q$14,6,FALSE),1,0)</f>
        <v>0</v>
      </c>
      <c r="N204">
        <f>IF(VLOOKUP(N$1,main!$A$3:$I$56,5,FALSE)-VLOOKUP($A204,main!$A$3:$I$56,6,FALSE)&gt;=VLOOKUP(58,main!$A$57:$I$61,4,FALSE)+VLOOKUP(VLOOKUP(N$1,main!$A$3:$I$56,7,FALSE),main!$K$10:$Q$14,6,FALSE),1,0)</f>
        <v>1</v>
      </c>
      <c r="O204">
        <f>IF(VLOOKUP(O$1,main!$A$3:$I$56,5,FALSE)-VLOOKUP($A204,main!$A$3:$I$56,6,FALSE)&gt;=VLOOKUP(58,main!$A$57:$I$61,4,FALSE)+VLOOKUP(VLOOKUP(O$1,main!$A$3:$I$56,7,FALSE),main!$K$10:$Q$14,6,FALSE),1,0)</f>
        <v>1</v>
      </c>
      <c r="P204">
        <f>IF(VLOOKUP(P$1,main!$A$3:$I$56,5,FALSE)-VLOOKUP($A204,main!$A$3:$I$56,6,FALSE)&gt;=VLOOKUP(58,main!$A$57:$I$61,4,FALSE)+VLOOKUP(VLOOKUP(P$1,main!$A$3:$I$56,7,FALSE),main!$K$10:$Q$14,6,FALSE),1,0)</f>
        <v>0</v>
      </c>
      <c r="Q204">
        <f>IF(VLOOKUP(Q$1,main!$A$3:$I$56,5,FALSE)-VLOOKUP($A204,main!$A$3:$I$56,6,FALSE)&gt;=VLOOKUP(58,main!$A$57:$I$61,4,FALSE)+VLOOKUP(VLOOKUP(Q$1,main!$A$3:$I$56,7,FALSE),main!$K$10:$Q$14,6,FALSE),1,0)</f>
        <v>0</v>
      </c>
      <c r="R204">
        <f>IF(VLOOKUP(R$1,main!$A$3:$I$56,5,FALSE)-VLOOKUP($A204,main!$A$3:$I$56,6,FALSE)&gt;=VLOOKUP(58,main!$A$57:$I$61,4,FALSE)+VLOOKUP(VLOOKUP(R$1,main!$A$3:$I$56,7,FALSE),main!$K$10:$Q$14,6,FALSE),1,0)</f>
        <v>0</v>
      </c>
      <c r="S204">
        <f>IF(VLOOKUP(S$1,main!$A$3:$I$56,5,FALSE)-VLOOKUP($A204,main!$A$3:$I$56,6,FALSE)&gt;=VLOOKUP(58,main!$A$57:$I$61,4,FALSE)+VLOOKUP(VLOOKUP(S$1,main!$A$3:$I$56,7,FALSE),main!$K$10:$Q$14,6,FALSE),1,0)</f>
        <v>0</v>
      </c>
      <c r="T204">
        <f>IF(VLOOKUP(T$1,main!$A$3:$I$56,5,FALSE)-VLOOKUP($A204,main!$A$3:$I$56,6,FALSE)&gt;=VLOOKUP(58,main!$A$57:$I$61,4,FALSE)+VLOOKUP(VLOOKUP(T$1,main!$A$3:$I$56,7,FALSE),main!$K$10:$Q$14,6,FALSE),1,0)</f>
        <v>1</v>
      </c>
      <c r="U204">
        <f>IF(VLOOKUP(U$1,main!$A$3:$I$56,5,FALSE)-VLOOKUP($A204,main!$A$3:$I$56,6,FALSE)&gt;=VLOOKUP(58,main!$A$57:$I$61,4,FALSE)+VLOOKUP(VLOOKUP(U$1,main!$A$3:$I$56,7,FALSE),main!$K$10:$Q$14,6,FALSE),1,0)</f>
        <v>0</v>
      </c>
      <c r="V204">
        <f>IF(VLOOKUP(V$1,main!$A$3:$I$56,5,FALSE)-VLOOKUP($A204,main!$A$3:$I$56,6,FALSE)&gt;=VLOOKUP(58,main!$A$57:$I$61,4,FALSE)+VLOOKUP(VLOOKUP(V$1,main!$A$3:$I$56,7,FALSE),main!$K$10:$Q$14,6,FALSE),1,0)</f>
        <v>0</v>
      </c>
      <c r="W204">
        <f>IF(VLOOKUP(W$1,main!$A$3:$I$56,5,FALSE)-VLOOKUP($A204,main!$A$3:$I$56,6,FALSE)&gt;=VLOOKUP(58,main!$A$57:$I$61,4,FALSE)+VLOOKUP(VLOOKUP(W$1,main!$A$3:$I$56,7,FALSE),main!$K$10:$Q$14,6,FALSE),1,0)</f>
        <v>0</v>
      </c>
      <c r="X204">
        <f>IF(VLOOKUP(X$1,main!$A$3:$I$56,5,FALSE)-VLOOKUP($A204,main!$A$3:$I$56,6,FALSE)&gt;=VLOOKUP(58,main!$A$57:$I$61,4,FALSE)+VLOOKUP(VLOOKUP(X$1,main!$A$3:$I$56,7,FALSE),main!$K$10:$Q$14,6,FALSE),1,0)</f>
        <v>0</v>
      </c>
      <c r="Y204">
        <f>IF(VLOOKUP(Y$1,main!$A$3:$I$56,5,FALSE)-VLOOKUP($A204,main!$A$3:$I$56,6,FALSE)&gt;=VLOOKUP(58,main!$A$57:$I$61,4,FALSE)+VLOOKUP(VLOOKUP(Y$1,main!$A$3:$I$56,7,FALSE),main!$K$10:$Q$14,6,FALSE),1,0)</f>
        <v>0</v>
      </c>
      <c r="Z204">
        <f>IF(VLOOKUP(Z$1,main!$A$3:$I$56,5,FALSE)-VLOOKUP($A204,main!$A$3:$I$56,6,FALSE)&gt;=VLOOKUP(58,main!$A$57:$I$61,4,FALSE)+VLOOKUP(VLOOKUP(Z$1,main!$A$3:$I$56,7,FALSE),main!$K$10:$Q$14,6,FALSE),1,0)</f>
        <v>1</v>
      </c>
      <c r="AA204">
        <f>IF(VLOOKUP(AA$1,main!$A$3:$I$56,5,FALSE)-VLOOKUP($A204,main!$A$3:$I$56,6,FALSE)&gt;=VLOOKUP(58,main!$A$57:$I$61,4,FALSE)+VLOOKUP(VLOOKUP(AA$1,main!$A$3:$I$56,7,FALSE),main!$K$10:$Q$14,6,FALSE),1,0)</f>
        <v>1</v>
      </c>
      <c r="AB204">
        <f>IF(VLOOKUP(AB$1,main!$A$3:$I$56,5,FALSE)-VLOOKUP($A204,main!$A$3:$I$56,6,FALSE)&gt;=VLOOKUP(58,main!$A$57:$I$61,4,FALSE)+VLOOKUP(VLOOKUP(AB$1,main!$A$3:$I$56,7,FALSE),main!$K$10:$Q$14,6,FALSE),1,0)</f>
        <v>1</v>
      </c>
      <c r="AC204">
        <f>IF(VLOOKUP(AC$1,main!$A$3:$I$56,5,FALSE)-VLOOKUP($A204,main!$A$3:$I$56,6,FALSE)&gt;=VLOOKUP(58,main!$A$57:$I$61,4,FALSE)+VLOOKUP(VLOOKUP(AC$1,main!$A$3:$I$56,7,FALSE),main!$K$10:$Q$14,6,FALSE),1,0)</f>
        <v>0</v>
      </c>
      <c r="AD204">
        <f>IF(VLOOKUP(AD$1,main!$A$3:$I$56,5,FALSE)-VLOOKUP($A204,main!$A$3:$I$56,6,FALSE)&gt;=VLOOKUP(58,main!$A$57:$I$61,4,FALSE)+VLOOKUP(VLOOKUP(AD$1,main!$A$3:$I$56,7,FALSE),main!$K$10:$Q$14,6,FALSE),1,0)</f>
        <v>0</v>
      </c>
      <c r="AE204">
        <f>IF(VLOOKUP(AE$1,main!$A$3:$I$56,5,FALSE)-VLOOKUP($A204,main!$A$3:$I$56,6,FALSE)&gt;=VLOOKUP(58,main!$A$57:$I$61,4,FALSE)+VLOOKUP(VLOOKUP(AE$1,main!$A$3:$I$56,7,FALSE),main!$K$10:$Q$14,6,FALSE),1,0)</f>
        <v>0</v>
      </c>
      <c r="AF204">
        <f>IF(VLOOKUP(AF$1,main!$A$3:$I$56,5,FALSE)-VLOOKUP($A204,main!$A$3:$I$56,6,FALSE)&gt;=VLOOKUP(58,main!$A$57:$I$61,4,FALSE)+VLOOKUP(VLOOKUP(AF$1,main!$A$3:$I$56,7,FALSE),main!$K$10:$Q$14,6,FALSE),1,0)</f>
        <v>0</v>
      </c>
      <c r="AG204">
        <f>IF(VLOOKUP(AG$1,main!$A$3:$I$56,5,FALSE)-VLOOKUP($A204,main!$A$3:$I$56,6,FALSE)&gt;=VLOOKUP(58,main!$A$57:$I$61,4,FALSE)+VLOOKUP(VLOOKUP(AG$1,main!$A$3:$I$56,7,FALSE),main!$K$10:$Q$14,6,FALSE),1,0)</f>
        <v>0</v>
      </c>
      <c r="AH204">
        <f>IF(VLOOKUP(AH$1,main!$A$3:$I$56,5,FALSE)-VLOOKUP($A204,main!$A$3:$I$56,6,FALSE)&gt;=VLOOKUP(58,main!$A$57:$I$61,4,FALSE)+VLOOKUP(VLOOKUP(AH$1,main!$A$3:$I$56,7,FALSE),main!$K$10:$Q$14,6,FALSE),1,0)</f>
        <v>0</v>
      </c>
      <c r="AI204">
        <f>IF(VLOOKUP(AI$1,main!$A$3:$I$56,5,FALSE)-VLOOKUP($A204,main!$A$3:$I$56,6,FALSE)&gt;=VLOOKUP(58,main!$A$57:$I$61,4,FALSE)+VLOOKUP(VLOOKUP(AI$1,main!$A$3:$I$56,7,FALSE),main!$K$10:$Q$14,6,FALSE),1,0)</f>
        <v>1</v>
      </c>
      <c r="AJ204">
        <f>IF(VLOOKUP(AJ$1,main!$A$3:$I$56,5,FALSE)-VLOOKUP($A204,main!$A$3:$I$56,6,FALSE)&gt;=VLOOKUP(58,main!$A$57:$I$61,4,FALSE)+VLOOKUP(VLOOKUP(AJ$1,main!$A$3:$I$56,7,FALSE),main!$K$10:$Q$14,6,FALSE),1,0)</f>
        <v>1</v>
      </c>
      <c r="AK204">
        <f>IF(VLOOKUP(AK$1,main!$A$3:$I$56,5,FALSE)-VLOOKUP($A204,main!$A$3:$I$56,6,FALSE)&gt;=VLOOKUP(58,main!$A$57:$I$61,4,FALSE)+VLOOKUP(VLOOKUP(AK$1,main!$A$3:$I$56,7,FALSE),main!$K$10:$Q$14,6,FALSE),1,0)</f>
        <v>1</v>
      </c>
      <c r="AL204">
        <f>IF(VLOOKUP(AL$1,main!$A$3:$I$56,5,FALSE)-VLOOKUP($A204,main!$A$3:$I$56,6,FALSE)&gt;=VLOOKUP(58,main!$A$57:$I$61,4,FALSE)+VLOOKUP(VLOOKUP(AL$1,main!$A$3:$I$56,7,FALSE),main!$K$10:$Q$14,6,FALSE),1,0)</f>
        <v>0</v>
      </c>
      <c r="AM204">
        <f>IF(VLOOKUP(AM$1,main!$A$3:$I$56,5,FALSE)-VLOOKUP($A204,main!$A$3:$I$56,6,FALSE)&gt;=VLOOKUP(58,main!$A$57:$I$61,4,FALSE)+VLOOKUP(VLOOKUP(AM$1,main!$A$3:$I$56,7,FALSE),main!$K$10:$Q$14,6,FALSE),1,0)</f>
        <v>0</v>
      </c>
      <c r="AN204">
        <f>IF(VLOOKUP(AN$1,main!$A$3:$I$56,5,FALSE)-VLOOKUP($A204,main!$A$3:$I$56,6,FALSE)&gt;=VLOOKUP(58,main!$A$57:$I$61,4,FALSE)+VLOOKUP(VLOOKUP(AN$1,main!$A$3:$I$56,7,FALSE),main!$K$10:$Q$14,6,FALSE),1,0)</f>
        <v>1</v>
      </c>
      <c r="AO204">
        <f>IF(VLOOKUP(AO$1,main!$A$3:$I$56,5,FALSE)-VLOOKUP($A204,main!$A$3:$I$56,6,FALSE)&gt;=VLOOKUP(58,main!$A$57:$I$61,4,FALSE)+VLOOKUP(VLOOKUP(AO$1,main!$A$3:$I$56,7,FALSE),main!$K$10:$Q$14,6,FALSE),1,0)</f>
        <v>1</v>
      </c>
      <c r="AP204">
        <f>IF(VLOOKUP(AP$1,main!$A$3:$I$56,5,FALSE)-VLOOKUP($A204,main!$A$3:$I$56,6,FALSE)&gt;=VLOOKUP(58,main!$A$57:$I$61,4,FALSE)+VLOOKUP(VLOOKUP(AP$1,main!$A$3:$I$56,7,FALSE),main!$K$10:$Q$14,6,FALSE),1,0)</f>
        <v>0</v>
      </c>
      <c r="AQ204">
        <f>IF(VLOOKUP(AQ$1,main!$A$3:$I$56,5,FALSE)-VLOOKUP($A204,main!$A$3:$I$56,6,FALSE)&gt;=VLOOKUP(58,main!$A$57:$I$61,4,FALSE)+VLOOKUP(VLOOKUP(AQ$1,main!$A$3:$I$56,7,FALSE),main!$K$10:$Q$14,6,FALSE),1,0)</f>
        <v>0</v>
      </c>
      <c r="AR204">
        <f>IF(VLOOKUP(AR$1,main!$A$3:$I$56,5,FALSE)-VLOOKUP($A204,main!$A$3:$I$56,6,FALSE)&gt;=VLOOKUP(58,main!$A$57:$I$61,4,FALSE)+VLOOKUP(VLOOKUP(AR$1,main!$A$3:$I$56,7,FALSE),main!$K$10:$Q$14,6,FALSE),1,0)</f>
        <v>0</v>
      </c>
      <c r="AS204">
        <f>IF(VLOOKUP(AS$1,main!$A$3:$I$56,5,FALSE)-VLOOKUP($A204,main!$A$3:$I$56,6,FALSE)&gt;=VLOOKUP(58,main!$A$57:$I$61,4,FALSE)+VLOOKUP(VLOOKUP(AS$1,main!$A$3:$I$56,7,FALSE),main!$K$10:$Q$14,6,FALSE),1,0)</f>
        <v>0</v>
      </c>
      <c r="AT204">
        <f>IF(VLOOKUP(AT$1,main!$A$3:$I$56,5,FALSE)-VLOOKUP($A204,main!$A$3:$I$56,6,FALSE)&gt;=VLOOKUP(58,main!$A$57:$I$61,4,FALSE)+VLOOKUP(VLOOKUP(AT$1,main!$A$3:$I$56,7,FALSE),main!$K$10:$Q$14,6,FALSE),1,0)</f>
        <v>1</v>
      </c>
      <c r="AU204">
        <f>IF(VLOOKUP(AU$1,main!$A$3:$I$56,5,FALSE)-VLOOKUP($A204,main!$A$3:$I$56,6,FALSE)&gt;=VLOOKUP(58,main!$A$57:$I$61,4,FALSE)+VLOOKUP(VLOOKUP(AU$1,main!$A$3:$I$56,7,FALSE),main!$K$10:$Q$14,6,FALSE),1,0)</f>
        <v>0</v>
      </c>
      <c r="AV204">
        <f>IF(VLOOKUP(AV$1,main!$A$3:$I$56,5,FALSE)-VLOOKUP($A204,main!$A$3:$I$56,6,FALSE)&gt;=VLOOKUP(58,main!$A$57:$I$61,4,FALSE)+VLOOKUP(VLOOKUP(AV$1,main!$A$3:$I$56,7,FALSE),main!$K$10:$Q$14,6,FALSE),1,0)</f>
        <v>0</v>
      </c>
      <c r="AW204">
        <f>IF(VLOOKUP(AW$1,main!$A$3:$I$56,5,FALSE)-VLOOKUP($A204,main!$A$3:$I$56,6,FALSE)&gt;=VLOOKUP(58,main!$A$57:$I$61,4,FALSE)+VLOOKUP(VLOOKUP(AW$1,main!$A$3:$I$56,7,FALSE),main!$K$10:$Q$14,6,FALSE),1,0)</f>
        <v>0</v>
      </c>
      <c r="AX204">
        <f>IF(VLOOKUP(AX$1,main!$A$3:$I$56,5,FALSE)-VLOOKUP($A204,main!$A$3:$I$56,6,FALSE)&gt;=VLOOKUP(58,main!$A$57:$I$61,4,FALSE)+VLOOKUP(VLOOKUP(AX$1,main!$A$3:$I$56,7,FALSE),main!$K$10:$Q$14,6,FALSE),1,0)</f>
        <v>0</v>
      </c>
      <c r="AY204">
        <f>IF(VLOOKUP(AY$1,main!$A$3:$I$56,5,FALSE)-VLOOKUP($A204,main!$A$3:$I$56,6,FALSE)&gt;=VLOOKUP(58,main!$A$57:$I$61,4,FALSE)+VLOOKUP(VLOOKUP(AY$1,main!$A$3:$I$56,7,FALSE),main!$K$10:$Q$14,6,FALSE),1,0)</f>
        <v>1</v>
      </c>
      <c r="AZ204">
        <f>IF(VLOOKUP(AZ$1,main!$A$3:$I$56,5,FALSE)-VLOOKUP($A204,main!$A$3:$I$56,6,FALSE)&gt;=VLOOKUP(58,main!$A$57:$I$61,4,FALSE)+VLOOKUP(VLOOKUP(AZ$1,main!$A$3:$I$56,7,FALSE),main!$K$10:$Q$14,6,FALSE),1,0)</f>
        <v>0</v>
      </c>
      <c r="BA204">
        <f>IF(VLOOKUP(BA$1,main!$A$3:$I$56,5,FALSE)-VLOOKUP($A204,main!$A$3:$I$56,6,FALSE)&gt;=VLOOKUP(58,main!$A$57:$I$61,4,FALSE)+VLOOKUP(VLOOKUP(BA$1,main!$A$3:$I$56,7,FALSE),main!$K$10:$Q$14,6,FALSE),1,0)</f>
        <v>0</v>
      </c>
      <c r="BB204">
        <f>IF(VLOOKUP(BB$1,main!$A$3:$I$56,5,FALSE)-VLOOKUP($A204,main!$A$3:$I$56,6,FALSE)&gt;=VLOOKUP(58,main!$A$57:$I$61,4,FALSE)+VLOOKUP(VLOOKUP(BB$1,main!$A$3:$I$56,7,FALSE),main!$K$10:$Q$14,6,FALSE),1,0)</f>
        <v>0</v>
      </c>
      <c r="BC204">
        <f>IF(VLOOKUP(BC$1,main!$A$3:$I$56,5,FALSE)-VLOOKUP($A204,main!$A$3:$I$56,6,FALSE)&gt;=VLOOKUP(58,main!$A$57:$I$61,4,FALSE)+VLOOKUP(VLOOKUP(BC$1,main!$A$3:$I$56,7,FALSE),main!$K$10:$Q$14,6,FALSE),1,0)</f>
        <v>0</v>
      </c>
      <c r="BD204">
        <f>IF(VLOOKUP(BD$1,main!$A$3:$I$56,5,FALSE)-VLOOKUP($A204,main!$A$3:$I$56,6,FALSE)&gt;=VLOOKUP(58,main!$A$57:$I$61,4,FALSE)+VLOOKUP(VLOOKUP(BD$1,main!$A$3:$I$56,7,FALSE),main!$K$10:$Q$14,6,FALSE),1,0)</f>
        <v>0</v>
      </c>
    </row>
    <row r="205" spans="1:56" x14ac:dyDescent="0.25">
      <c r="A205">
        <f t="shared" si="3"/>
        <v>38</v>
      </c>
      <c r="B205">
        <v>0</v>
      </c>
      <c r="C205">
        <f>IF(VLOOKUP(C$1,main!$A$3:$I$56,5,FALSE)-VLOOKUP($A205,main!$A$3:$I$56,6,FALSE)&gt;=VLOOKUP(58,main!$A$57:$I$61,4,FALSE)+VLOOKUP(VLOOKUP(C$1,main!$A$3:$I$56,7,FALSE),main!$K$10:$Q$14,6,FALSE),1,0)</f>
        <v>0</v>
      </c>
      <c r="D205">
        <f>IF(VLOOKUP(D$1,main!$A$3:$I$56,5,FALSE)-VLOOKUP($A205,main!$A$3:$I$56,6,FALSE)&gt;=VLOOKUP(58,main!$A$57:$I$61,4,FALSE)+VLOOKUP(VLOOKUP(D$1,main!$A$3:$I$56,7,FALSE),main!$K$10:$Q$14,6,FALSE),1,0)</f>
        <v>0</v>
      </c>
      <c r="E205">
        <f>IF(VLOOKUP(E$1,main!$A$3:$I$56,5,FALSE)-VLOOKUP($A205,main!$A$3:$I$56,6,FALSE)&gt;=VLOOKUP(58,main!$A$57:$I$61,4,FALSE)+VLOOKUP(VLOOKUP(E$1,main!$A$3:$I$56,7,FALSE),main!$K$10:$Q$14,6,FALSE),1,0)</f>
        <v>0</v>
      </c>
      <c r="F205">
        <f>IF(VLOOKUP(F$1,main!$A$3:$I$56,5,FALSE)-VLOOKUP($A205,main!$A$3:$I$56,6,FALSE)&gt;=VLOOKUP(58,main!$A$57:$I$61,4,FALSE)+VLOOKUP(VLOOKUP(F$1,main!$A$3:$I$56,7,FALSE),main!$K$10:$Q$14,6,FALSE),1,0)</f>
        <v>0</v>
      </c>
      <c r="G205">
        <f>IF(VLOOKUP(G$1,main!$A$3:$I$56,5,FALSE)-VLOOKUP($A205,main!$A$3:$I$56,6,FALSE)&gt;=VLOOKUP(58,main!$A$57:$I$61,4,FALSE)+VLOOKUP(VLOOKUP(G$1,main!$A$3:$I$56,7,FALSE),main!$K$10:$Q$14,6,FALSE),1,0)</f>
        <v>0</v>
      </c>
      <c r="H205">
        <f>IF(VLOOKUP(H$1,main!$A$3:$I$56,5,FALSE)-VLOOKUP($A205,main!$A$3:$I$56,6,FALSE)&gt;=VLOOKUP(58,main!$A$57:$I$61,4,FALSE)+VLOOKUP(VLOOKUP(H$1,main!$A$3:$I$56,7,FALSE),main!$K$10:$Q$14,6,FALSE),1,0)</f>
        <v>0</v>
      </c>
      <c r="I205">
        <f>IF(VLOOKUP(I$1,main!$A$3:$I$56,5,FALSE)-VLOOKUP($A205,main!$A$3:$I$56,6,FALSE)&gt;=VLOOKUP(58,main!$A$57:$I$61,4,FALSE)+VLOOKUP(VLOOKUP(I$1,main!$A$3:$I$56,7,FALSE),main!$K$10:$Q$14,6,FALSE),1,0)</f>
        <v>0</v>
      </c>
      <c r="J205">
        <f>IF(VLOOKUP(J$1,main!$A$3:$I$56,5,FALSE)-VLOOKUP($A205,main!$A$3:$I$56,6,FALSE)&gt;=VLOOKUP(58,main!$A$57:$I$61,4,FALSE)+VLOOKUP(VLOOKUP(J$1,main!$A$3:$I$56,7,FALSE),main!$K$10:$Q$14,6,FALSE),1,0)</f>
        <v>0</v>
      </c>
      <c r="K205">
        <f>IF(VLOOKUP(K$1,main!$A$3:$I$56,5,FALSE)-VLOOKUP($A205,main!$A$3:$I$56,6,FALSE)&gt;=VLOOKUP(58,main!$A$57:$I$61,4,FALSE)+VLOOKUP(VLOOKUP(K$1,main!$A$3:$I$56,7,FALSE),main!$K$10:$Q$14,6,FALSE),1,0)</f>
        <v>0</v>
      </c>
      <c r="L205">
        <f>IF(VLOOKUP(L$1,main!$A$3:$I$56,5,FALSE)-VLOOKUP($A205,main!$A$3:$I$56,6,FALSE)&gt;=VLOOKUP(58,main!$A$57:$I$61,4,FALSE)+VLOOKUP(VLOOKUP(L$1,main!$A$3:$I$56,7,FALSE),main!$K$10:$Q$14,6,FALSE),1,0)</f>
        <v>0</v>
      </c>
      <c r="M205">
        <f>IF(VLOOKUP(M$1,main!$A$3:$I$56,5,FALSE)-VLOOKUP($A205,main!$A$3:$I$56,6,FALSE)&gt;=VLOOKUP(58,main!$A$57:$I$61,4,FALSE)+VLOOKUP(VLOOKUP(M$1,main!$A$3:$I$56,7,FALSE),main!$K$10:$Q$14,6,FALSE),1,0)</f>
        <v>0</v>
      </c>
      <c r="N205">
        <f>IF(VLOOKUP(N$1,main!$A$3:$I$56,5,FALSE)-VLOOKUP($A205,main!$A$3:$I$56,6,FALSE)&gt;=VLOOKUP(58,main!$A$57:$I$61,4,FALSE)+VLOOKUP(VLOOKUP(N$1,main!$A$3:$I$56,7,FALSE),main!$K$10:$Q$14,6,FALSE),1,0)</f>
        <v>0</v>
      </c>
      <c r="O205">
        <f>IF(VLOOKUP(O$1,main!$A$3:$I$56,5,FALSE)-VLOOKUP($A205,main!$A$3:$I$56,6,FALSE)&gt;=VLOOKUP(58,main!$A$57:$I$61,4,FALSE)+VLOOKUP(VLOOKUP(O$1,main!$A$3:$I$56,7,FALSE),main!$K$10:$Q$14,6,FALSE),1,0)</f>
        <v>0</v>
      </c>
      <c r="P205">
        <f>IF(VLOOKUP(P$1,main!$A$3:$I$56,5,FALSE)-VLOOKUP($A205,main!$A$3:$I$56,6,FALSE)&gt;=VLOOKUP(58,main!$A$57:$I$61,4,FALSE)+VLOOKUP(VLOOKUP(P$1,main!$A$3:$I$56,7,FALSE),main!$K$10:$Q$14,6,FALSE),1,0)</f>
        <v>0</v>
      </c>
      <c r="Q205">
        <f>IF(VLOOKUP(Q$1,main!$A$3:$I$56,5,FALSE)-VLOOKUP($A205,main!$A$3:$I$56,6,FALSE)&gt;=VLOOKUP(58,main!$A$57:$I$61,4,FALSE)+VLOOKUP(VLOOKUP(Q$1,main!$A$3:$I$56,7,FALSE),main!$K$10:$Q$14,6,FALSE),1,0)</f>
        <v>0</v>
      </c>
      <c r="R205">
        <f>IF(VLOOKUP(R$1,main!$A$3:$I$56,5,FALSE)-VLOOKUP($A205,main!$A$3:$I$56,6,FALSE)&gt;=VLOOKUP(58,main!$A$57:$I$61,4,FALSE)+VLOOKUP(VLOOKUP(R$1,main!$A$3:$I$56,7,FALSE),main!$K$10:$Q$14,6,FALSE),1,0)</f>
        <v>0</v>
      </c>
      <c r="S205">
        <f>IF(VLOOKUP(S$1,main!$A$3:$I$56,5,FALSE)-VLOOKUP($A205,main!$A$3:$I$56,6,FALSE)&gt;=VLOOKUP(58,main!$A$57:$I$61,4,FALSE)+VLOOKUP(VLOOKUP(S$1,main!$A$3:$I$56,7,FALSE),main!$K$10:$Q$14,6,FALSE),1,0)</f>
        <v>0</v>
      </c>
      <c r="T205">
        <f>IF(VLOOKUP(T$1,main!$A$3:$I$56,5,FALSE)-VLOOKUP($A205,main!$A$3:$I$56,6,FALSE)&gt;=VLOOKUP(58,main!$A$57:$I$61,4,FALSE)+VLOOKUP(VLOOKUP(T$1,main!$A$3:$I$56,7,FALSE),main!$K$10:$Q$14,6,FALSE),1,0)</f>
        <v>0</v>
      </c>
      <c r="U205">
        <f>IF(VLOOKUP(U$1,main!$A$3:$I$56,5,FALSE)-VLOOKUP($A205,main!$A$3:$I$56,6,FALSE)&gt;=VLOOKUP(58,main!$A$57:$I$61,4,FALSE)+VLOOKUP(VLOOKUP(U$1,main!$A$3:$I$56,7,FALSE),main!$K$10:$Q$14,6,FALSE),1,0)</f>
        <v>0</v>
      </c>
      <c r="V205">
        <f>IF(VLOOKUP(V$1,main!$A$3:$I$56,5,FALSE)-VLOOKUP($A205,main!$A$3:$I$56,6,FALSE)&gt;=VLOOKUP(58,main!$A$57:$I$61,4,FALSE)+VLOOKUP(VLOOKUP(V$1,main!$A$3:$I$56,7,FALSE),main!$K$10:$Q$14,6,FALSE),1,0)</f>
        <v>0</v>
      </c>
      <c r="W205">
        <f>IF(VLOOKUP(W$1,main!$A$3:$I$56,5,FALSE)-VLOOKUP($A205,main!$A$3:$I$56,6,FALSE)&gt;=VLOOKUP(58,main!$A$57:$I$61,4,FALSE)+VLOOKUP(VLOOKUP(W$1,main!$A$3:$I$56,7,FALSE),main!$K$10:$Q$14,6,FALSE),1,0)</f>
        <v>0</v>
      </c>
      <c r="X205">
        <f>IF(VLOOKUP(X$1,main!$A$3:$I$56,5,FALSE)-VLOOKUP($A205,main!$A$3:$I$56,6,FALSE)&gt;=VLOOKUP(58,main!$A$57:$I$61,4,FALSE)+VLOOKUP(VLOOKUP(X$1,main!$A$3:$I$56,7,FALSE),main!$K$10:$Q$14,6,FALSE),1,0)</f>
        <v>0</v>
      </c>
      <c r="Y205">
        <f>IF(VLOOKUP(Y$1,main!$A$3:$I$56,5,FALSE)-VLOOKUP($A205,main!$A$3:$I$56,6,FALSE)&gt;=VLOOKUP(58,main!$A$57:$I$61,4,FALSE)+VLOOKUP(VLOOKUP(Y$1,main!$A$3:$I$56,7,FALSE),main!$K$10:$Q$14,6,FALSE),1,0)</f>
        <v>0</v>
      </c>
      <c r="Z205">
        <f>IF(VLOOKUP(Z$1,main!$A$3:$I$56,5,FALSE)-VLOOKUP($A205,main!$A$3:$I$56,6,FALSE)&gt;=VLOOKUP(58,main!$A$57:$I$61,4,FALSE)+VLOOKUP(VLOOKUP(Z$1,main!$A$3:$I$56,7,FALSE),main!$K$10:$Q$14,6,FALSE),1,0)</f>
        <v>0</v>
      </c>
      <c r="AA205">
        <f>IF(VLOOKUP(AA$1,main!$A$3:$I$56,5,FALSE)-VLOOKUP($A205,main!$A$3:$I$56,6,FALSE)&gt;=VLOOKUP(58,main!$A$57:$I$61,4,FALSE)+VLOOKUP(VLOOKUP(AA$1,main!$A$3:$I$56,7,FALSE),main!$K$10:$Q$14,6,FALSE),1,0)</f>
        <v>0</v>
      </c>
      <c r="AB205">
        <f>IF(VLOOKUP(AB$1,main!$A$3:$I$56,5,FALSE)-VLOOKUP($A205,main!$A$3:$I$56,6,FALSE)&gt;=VLOOKUP(58,main!$A$57:$I$61,4,FALSE)+VLOOKUP(VLOOKUP(AB$1,main!$A$3:$I$56,7,FALSE),main!$K$10:$Q$14,6,FALSE),1,0)</f>
        <v>0</v>
      </c>
      <c r="AC205">
        <f>IF(VLOOKUP(AC$1,main!$A$3:$I$56,5,FALSE)-VLOOKUP($A205,main!$A$3:$I$56,6,FALSE)&gt;=VLOOKUP(58,main!$A$57:$I$61,4,FALSE)+VLOOKUP(VLOOKUP(AC$1,main!$A$3:$I$56,7,FALSE),main!$K$10:$Q$14,6,FALSE),1,0)</f>
        <v>0</v>
      </c>
      <c r="AD205">
        <f>IF(VLOOKUP(AD$1,main!$A$3:$I$56,5,FALSE)-VLOOKUP($A205,main!$A$3:$I$56,6,FALSE)&gt;=VLOOKUP(58,main!$A$57:$I$61,4,FALSE)+VLOOKUP(VLOOKUP(AD$1,main!$A$3:$I$56,7,FALSE),main!$K$10:$Q$14,6,FALSE),1,0)</f>
        <v>0</v>
      </c>
      <c r="AE205">
        <f>IF(VLOOKUP(AE$1,main!$A$3:$I$56,5,FALSE)-VLOOKUP($A205,main!$A$3:$I$56,6,FALSE)&gt;=VLOOKUP(58,main!$A$57:$I$61,4,FALSE)+VLOOKUP(VLOOKUP(AE$1,main!$A$3:$I$56,7,FALSE),main!$K$10:$Q$14,6,FALSE),1,0)</f>
        <v>0</v>
      </c>
      <c r="AF205">
        <f>IF(VLOOKUP(AF$1,main!$A$3:$I$56,5,FALSE)-VLOOKUP($A205,main!$A$3:$I$56,6,FALSE)&gt;=VLOOKUP(58,main!$A$57:$I$61,4,FALSE)+VLOOKUP(VLOOKUP(AF$1,main!$A$3:$I$56,7,FALSE),main!$K$10:$Q$14,6,FALSE),1,0)</f>
        <v>0</v>
      </c>
      <c r="AG205">
        <f>IF(VLOOKUP(AG$1,main!$A$3:$I$56,5,FALSE)-VLOOKUP($A205,main!$A$3:$I$56,6,FALSE)&gt;=VLOOKUP(58,main!$A$57:$I$61,4,FALSE)+VLOOKUP(VLOOKUP(AG$1,main!$A$3:$I$56,7,FALSE),main!$K$10:$Q$14,6,FALSE),1,0)</f>
        <v>0</v>
      </c>
      <c r="AH205">
        <f>IF(VLOOKUP(AH$1,main!$A$3:$I$56,5,FALSE)-VLOOKUP($A205,main!$A$3:$I$56,6,FALSE)&gt;=VLOOKUP(58,main!$A$57:$I$61,4,FALSE)+VLOOKUP(VLOOKUP(AH$1,main!$A$3:$I$56,7,FALSE),main!$K$10:$Q$14,6,FALSE),1,0)</f>
        <v>0</v>
      </c>
      <c r="AI205">
        <f>IF(VLOOKUP(AI$1,main!$A$3:$I$56,5,FALSE)-VLOOKUP($A205,main!$A$3:$I$56,6,FALSE)&gt;=VLOOKUP(58,main!$A$57:$I$61,4,FALSE)+VLOOKUP(VLOOKUP(AI$1,main!$A$3:$I$56,7,FALSE),main!$K$10:$Q$14,6,FALSE),1,0)</f>
        <v>0</v>
      </c>
      <c r="AJ205">
        <f>IF(VLOOKUP(AJ$1,main!$A$3:$I$56,5,FALSE)-VLOOKUP($A205,main!$A$3:$I$56,6,FALSE)&gt;=VLOOKUP(58,main!$A$57:$I$61,4,FALSE)+VLOOKUP(VLOOKUP(AJ$1,main!$A$3:$I$56,7,FALSE),main!$K$10:$Q$14,6,FALSE),1,0)</f>
        <v>0</v>
      </c>
      <c r="AK205">
        <f>IF(VLOOKUP(AK$1,main!$A$3:$I$56,5,FALSE)-VLOOKUP($A205,main!$A$3:$I$56,6,FALSE)&gt;=VLOOKUP(58,main!$A$57:$I$61,4,FALSE)+VLOOKUP(VLOOKUP(AK$1,main!$A$3:$I$56,7,FALSE),main!$K$10:$Q$14,6,FALSE),1,0)</f>
        <v>0</v>
      </c>
      <c r="AL205">
        <f>IF(VLOOKUP(AL$1,main!$A$3:$I$56,5,FALSE)-VLOOKUP($A205,main!$A$3:$I$56,6,FALSE)&gt;=VLOOKUP(58,main!$A$57:$I$61,4,FALSE)+VLOOKUP(VLOOKUP(AL$1,main!$A$3:$I$56,7,FALSE),main!$K$10:$Q$14,6,FALSE),1,0)</f>
        <v>0</v>
      </c>
      <c r="AM205">
        <f>IF(VLOOKUP(AM$1,main!$A$3:$I$56,5,FALSE)-VLOOKUP($A205,main!$A$3:$I$56,6,FALSE)&gt;=VLOOKUP(58,main!$A$57:$I$61,4,FALSE)+VLOOKUP(VLOOKUP(AM$1,main!$A$3:$I$56,7,FALSE),main!$K$10:$Q$14,6,FALSE),1,0)</f>
        <v>0</v>
      </c>
      <c r="AN205">
        <f>IF(VLOOKUP(AN$1,main!$A$3:$I$56,5,FALSE)-VLOOKUP($A205,main!$A$3:$I$56,6,FALSE)&gt;=VLOOKUP(58,main!$A$57:$I$61,4,FALSE)+VLOOKUP(VLOOKUP(AN$1,main!$A$3:$I$56,7,FALSE),main!$K$10:$Q$14,6,FALSE),1,0)</f>
        <v>0</v>
      </c>
      <c r="AO205">
        <f>IF(VLOOKUP(AO$1,main!$A$3:$I$56,5,FALSE)-VLOOKUP($A205,main!$A$3:$I$56,6,FALSE)&gt;=VLOOKUP(58,main!$A$57:$I$61,4,FALSE)+VLOOKUP(VLOOKUP(AO$1,main!$A$3:$I$56,7,FALSE),main!$K$10:$Q$14,6,FALSE),1,0)</f>
        <v>0</v>
      </c>
      <c r="AP205">
        <f>IF(VLOOKUP(AP$1,main!$A$3:$I$56,5,FALSE)-VLOOKUP($A205,main!$A$3:$I$56,6,FALSE)&gt;=VLOOKUP(58,main!$A$57:$I$61,4,FALSE)+VLOOKUP(VLOOKUP(AP$1,main!$A$3:$I$56,7,FALSE),main!$K$10:$Q$14,6,FALSE),1,0)</f>
        <v>0</v>
      </c>
      <c r="AQ205">
        <f>IF(VLOOKUP(AQ$1,main!$A$3:$I$56,5,FALSE)-VLOOKUP($A205,main!$A$3:$I$56,6,FALSE)&gt;=VLOOKUP(58,main!$A$57:$I$61,4,FALSE)+VLOOKUP(VLOOKUP(AQ$1,main!$A$3:$I$56,7,FALSE),main!$K$10:$Q$14,6,FALSE),1,0)</f>
        <v>0</v>
      </c>
      <c r="AR205">
        <f>IF(VLOOKUP(AR$1,main!$A$3:$I$56,5,FALSE)-VLOOKUP($A205,main!$A$3:$I$56,6,FALSE)&gt;=VLOOKUP(58,main!$A$57:$I$61,4,FALSE)+VLOOKUP(VLOOKUP(AR$1,main!$A$3:$I$56,7,FALSE),main!$K$10:$Q$14,6,FALSE),1,0)</f>
        <v>0</v>
      </c>
      <c r="AS205">
        <f>IF(VLOOKUP(AS$1,main!$A$3:$I$56,5,FALSE)-VLOOKUP($A205,main!$A$3:$I$56,6,FALSE)&gt;=VLOOKUP(58,main!$A$57:$I$61,4,FALSE)+VLOOKUP(VLOOKUP(AS$1,main!$A$3:$I$56,7,FALSE),main!$K$10:$Q$14,6,FALSE),1,0)</f>
        <v>0</v>
      </c>
      <c r="AT205">
        <f>IF(VLOOKUP(AT$1,main!$A$3:$I$56,5,FALSE)-VLOOKUP($A205,main!$A$3:$I$56,6,FALSE)&gt;=VLOOKUP(58,main!$A$57:$I$61,4,FALSE)+VLOOKUP(VLOOKUP(AT$1,main!$A$3:$I$56,7,FALSE),main!$K$10:$Q$14,6,FALSE),1,0)</f>
        <v>0</v>
      </c>
      <c r="AU205">
        <f>IF(VLOOKUP(AU$1,main!$A$3:$I$56,5,FALSE)-VLOOKUP($A205,main!$A$3:$I$56,6,FALSE)&gt;=VLOOKUP(58,main!$A$57:$I$61,4,FALSE)+VLOOKUP(VLOOKUP(AU$1,main!$A$3:$I$56,7,FALSE),main!$K$10:$Q$14,6,FALSE),1,0)</f>
        <v>0</v>
      </c>
      <c r="AV205">
        <f>IF(VLOOKUP(AV$1,main!$A$3:$I$56,5,FALSE)-VLOOKUP($A205,main!$A$3:$I$56,6,FALSE)&gt;=VLOOKUP(58,main!$A$57:$I$61,4,FALSE)+VLOOKUP(VLOOKUP(AV$1,main!$A$3:$I$56,7,FALSE),main!$K$10:$Q$14,6,FALSE),1,0)</f>
        <v>0</v>
      </c>
      <c r="AW205">
        <f>IF(VLOOKUP(AW$1,main!$A$3:$I$56,5,FALSE)-VLOOKUP($A205,main!$A$3:$I$56,6,FALSE)&gt;=VLOOKUP(58,main!$A$57:$I$61,4,FALSE)+VLOOKUP(VLOOKUP(AW$1,main!$A$3:$I$56,7,FALSE),main!$K$10:$Q$14,6,FALSE),1,0)</f>
        <v>0</v>
      </c>
      <c r="AX205">
        <f>IF(VLOOKUP(AX$1,main!$A$3:$I$56,5,FALSE)-VLOOKUP($A205,main!$A$3:$I$56,6,FALSE)&gt;=VLOOKUP(58,main!$A$57:$I$61,4,FALSE)+VLOOKUP(VLOOKUP(AX$1,main!$A$3:$I$56,7,FALSE),main!$K$10:$Q$14,6,FALSE),1,0)</f>
        <v>0</v>
      </c>
      <c r="AY205">
        <f>IF(VLOOKUP(AY$1,main!$A$3:$I$56,5,FALSE)-VLOOKUP($A205,main!$A$3:$I$56,6,FALSE)&gt;=VLOOKUP(58,main!$A$57:$I$61,4,FALSE)+VLOOKUP(VLOOKUP(AY$1,main!$A$3:$I$56,7,FALSE),main!$K$10:$Q$14,6,FALSE),1,0)</f>
        <v>0</v>
      </c>
      <c r="AZ205">
        <f>IF(VLOOKUP(AZ$1,main!$A$3:$I$56,5,FALSE)-VLOOKUP($A205,main!$A$3:$I$56,6,FALSE)&gt;=VLOOKUP(58,main!$A$57:$I$61,4,FALSE)+VLOOKUP(VLOOKUP(AZ$1,main!$A$3:$I$56,7,FALSE),main!$K$10:$Q$14,6,FALSE),1,0)</f>
        <v>0</v>
      </c>
      <c r="BA205">
        <f>IF(VLOOKUP(BA$1,main!$A$3:$I$56,5,FALSE)-VLOOKUP($A205,main!$A$3:$I$56,6,FALSE)&gt;=VLOOKUP(58,main!$A$57:$I$61,4,FALSE)+VLOOKUP(VLOOKUP(BA$1,main!$A$3:$I$56,7,FALSE),main!$K$10:$Q$14,6,FALSE),1,0)</f>
        <v>0</v>
      </c>
      <c r="BB205">
        <f>IF(VLOOKUP(BB$1,main!$A$3:$I$56,5,FALSE)-VLOOKUP($A205,main!$A$3:$I$56,6,FALSE)&gt;=VLOOKUP(58,main!$A$57:$I$61,4,FALSE)+VLOOKUP(VLOOKUP(BB$1,main!$A$3:$I$56,7,FALSE),main!$K$10:$Q$14,6,FALSE),1,0)</f>
        <v>0</v>
      </c>
      <c r="BC205">
        <f>IF(VLOOKUP(BC$1,main!$A$3:$I$56,5,FALSE)-VLOOKUP($A205,main!$A$3:$I$56,6,FALSE)&gt;=VLOOKUP(58,main!$A$57:$I$61,4,FALSE)+VLOOKUP(VLOOKUP(BC$1,main!$A$3:$I$56,7,FALSE),main!$K$10:$Q$14,6,FALSE),1,0)</f>
        <v>0</v>
      </c>
      <c r="BD205">
        <f>IF(VLOOKUP(BD$1,main!$A$3:$I$56,5,FALSE)-VLOOKUP($A205,main!$A$3:$I$56,6,FALSE)&gt;=VLOOKUP(58,main!$A$57:$I$61,4,FALSE)+VLOOKUP(VLOOKUP(BD$1,main!$A$3:$I$56,7,FALSE),main!$K$10:$Q$14,6,FALSE),1,0)</f>
        <v>0</v>
      </c>
    </row>
    <row r="206" spans="1:56" x14ac:dyDescent="0.25">
      <c r="A206">
        <f t="shared" si="3"/>
        <v>39</v>
      </c>
      <c r="B206">
        <v>0</v>
      </c>
      <c r="C206">
        <f>IF(VLOOKUP(C$1,main!$A$3:$I$56,5,FALSE)-VLOOKUP($A206,main!$A$3:$I$56,6,FALSE)&gt;=VLOOKUP(58,main!$A$57:$I$61,4,FALSE)+VLOOKUP(VLOOKUP(C$1,main!$A$3:$I$56,7,FALSE),main!$K$10:$Q$14,6,FALSE),1,0)</f>
        <v>0</v>
      </c>
      <c r="D206">
        <f>IF(VLOOKUP(D$1,main!$A$3:$I$56,5,FALSE)-VLOOKUP($A206,main!$A$3:$I$56,6,FALSE)&gt;=VLOOKUP(58,main!$A$57:$I$61,4,FALSE)+VLOOKUP(VLOOKUP(D$1,main!$A$3:$I$56,7,FALSE),main!$K$10:$Q$14,6,FALSE),1,0)</f>
        <v>0</v>
      </c>
      <c r="E206">
        <f>IF(VLOOKUP(E$1,main!$A$3:$I$56,5,FALSE)-VLOOKUP($A206,main!$A$3:$I$56,6,FALSE)&gt;=VLOOKUP(58,main!$A$57:$I$61,4,FALSE)+VLOOKUP(VLOOKUP(E$1,main!$A$3:$I$56,7,FALSE),main!$K$10:$Q$14,6,FALSE),1,0)</f>
        <v>0</v>
      </c>
      <c r="F206">
        <f>IF(VLOOKUP(F$1,main!$A$3:$I$56,5,FALSE)-VLOOKUP($A206,main!$A$3:$I$56,6,FALSE)&gt;=VLOOKUP(58,main!$A$57:$I$61,4,FALSE)+VLOOKUP(VLOOKUP(F$1,main!$A$3:$I$56,7,FALSE),main!$K$10:$Q$14,6,FALSE),1,0)</f>
        <v>0</v>
      </c>
      <c r="G206">
        <f>IF(VLOOKUP(G$1,main!$A$3:$I$56,5,FALSE)-VLOOKUP($A206,main!$A$3:$I$56,6,FALSE)&gt;=VLOOKUP(58,main!$A$57:$I$61,4,FALSE)+VLOOKUP(VLOOKUP(G$1,main!$A$3:$I$56,7,FALSE),main!$K$10:$Q$14,6,FALSE),1,0)</f>
        <v>0</v>
      </c>
      <c r="H206">
        <f>IF(VLOOKUP(H$1,main!$A$3:$I$56,5,FALSE)-VLOOKUP($A206,main!$A$3:$I$56,6,FALSE)&gt;=VLOOKUP(58,main!$A$57:$I$61,4,FALSE)+VLOOKUP(VLOOKUP(H$1,main!$A$3:$I$56,7,FALSE),main!$K$10:$Q$14,6,FALSE),1,0)</f>
        <v>0</v>
      </c>
      <c r="I206">
        <f>IF(VLOOKUP(I$1,main!$A$3:$I$56,5,FALSE)-VLOOKUP($A206,main!$A$3:$I$56,6,FALSE)&gt;=VLOOKUP(58,main!$A$57:$I$61,4,FALSE)+VLOOKUP(VLOOKUP(I$1,main!$A$3:$I$56,7,FALSE),main!$K$10:$Q$14,6,FALSE),1,0)</f>
        <v>0</v>
      </c>
      <c r="J206">
        <f>IF(VLOOKUP(J$1,main!$A$3:$I$56,5,FALSE)-VLOOKUP($A206,main!$A$3:$I$56,6,FALSE)&gt;=VLOOKUP(58,main!$A$57:$I$61,4,FALSE)+VLOOKUP(VLOOKUP(J$1,main!$A$3:$I$56,7,FALSE),main!$K$10:$Q$14,6,FALSE),1,0)</f>
        <v>0</v>
      </c>
      <c r="K206">
        <f>IF(VLOOKUP(K$1,main!$A$3:$I$56,5,FALSE)-VLOOKUP($A206,main!$A$3:$I$56,6,FALSE)&gt;=VLOOKUP(58,main!$A$57:$I$61,4,FALSE)+VLOOKUP(VLOOKUP(K$1,main!$A$3:$I$56,7,FALSE),main!$K$10:$Q$14,6,FALSE),1,0)</f>
        <v>0</v>
      </c>
      <c r="L206">
        <f>IF(VLOOKUP(L$1,main!$A$3:$I$56,5,FALSE)-VLOOKUP($A206,main!$A$3:$I$56,6,FALSE)&gt;=VLOOKUP(58,main!$A$57:$I$61,4,FALSE)+VLOOKUP(VLOOKUP(L$1,main!$A$3:$I$56,7,FALSE),main!$K$10:$Q$14,6,FALSE),1,0)</f>
        <v>0</v>
      </c>
      <c r="M206">
        <f>IF(VLOOKUP(M$1,main!$A$3:$I$56,5,FALSE)-VLOOKUP($A206,main!$A$3:$I$56,6,FALSE)&gt;=VLOOKUP(58,main!$A$57:$I$61,4,FALSE)+VLOOKUP(VLOOKUP(M$1,main!$A$3:$I$56,7,FALSE),main!$K$10:$Q$14,6,FALSE),1,0)</f>
        <v>0</v>
      </c>
      <c r="N206">
        <f>IF(VLOOKUP(N$1,main!$A$3:$I$56,5,FALSE)-VLOOKUP($A206,main!$A$3:$I$56,6,FALSE)&gt;=VLOOKUP(58,main!$A$57:$I$61,4,FALSE)+VLOOKUP(VLOOKUP(N$1,main!$A$3:$I$56,7,FALSE),main!$K$10:$Q$14,6,FALSE),1,0)</f>
        <v>0</v>
      </c>
      <c r="O206">
        <f>IF(VLOOKUP(O$1,main!$A$3:$I$56,5,FALSE)-VLOOKUP($A206,main!$A$3:$I$56,6,FALSE)&gt;=VLOOKUP(58,main!$A$57:$I$61,4,FALSE)+VLOOKUP(VLOOKUP(O$1,main!$A$3:$I$56,7,FALSE),main!$K$10:$Q$14,6,FALSE),1,0)</f>
        <v>0</v>
      </c>
      <c r="P206">
        <f>IF(VLOOKUP(P$1,main!$A$3:$I$56,5,FALSE)-VLOOKUP($A206,main!$A$3:$I$56,6,FALSE)&gt;=VLOOKUP(58,main!$A$57:$I$61,4,FALSE)+VLOOKUP(VLOOKUP(P$1,main!$A$3:$I$56,7,FALSE),main!$K$10:$Q$14,6,FALSE),1,0)</f>
        <v>0</v>
      </c>
      <c r="Q206">
        <f>IF(VLOOKUP(Q$1,main!$A$3:$I$56,5,FALSE)-VLOOKUP($A206,main!$A$3:$I$56,6,FALSE)&gt;=VLOOKUP(58,main!$A$57:$I$61,4,FALSE)+VLOOKUP(VLOOKUP(Q$1,main!$A$3:$I$56,7,FALSE),main!$K$10:$Q$14,6,FALSE),1,0)</f>
        <v>0</v>
      </c>
      <c r="R206">
        <f>IF(VLOOKUP(R$1,main!$A$3:$I$56,5,FALSE)-VLOOKUP($A206,main!$A$3:$I$56,6,FALSE)&gt;=VLOOKUP(58,main!$A$57:$I$61,4,FALSE)+VLOOKUP(VLOOKUP(R$1,main!$A$3:$I$56,7,FALSE),main!$K$10:$Q$14,6,FALSE),1,0)</f>
        <v>0</v>
      </c>
      <c r="S206">
        <f>IF(VLOOKUP(S$1,main!$A$3:$I$56,5,FALSE)-VLOOKUP($A206,main!$A$3:$I$56,6,FALSE)&gt;=VLOOKUP(58,main!$A$57:$I$61,4,FALSE)+VLOOKUP(VLOOKUP(S$1,main!$A$3:$I$56,7,FALSE),main!$K$10:$Q$14,6,FALSE),1,0)</f>
        <v>0</v>
      </c>
      <c r="T206">
        <f>IF(VLOOKUP(T$1,main!$A$3:$I$56,5,FALSE)-VLOOKUP($A206,main!$A$3:$I$56,6,FALSE)&gt;=VLOOKUP(58,main!$A$57:$I$61,4,FALSE)+VLOOKUP(VLOOKUP(T$1,main!$A$3:$I$56,7,FALSE),main!$K$10:$Q$14,6,FALSE),1,0)</f>
        <v>0</v>
      </c>
      <c r="U206">
        <f>IF(VLOOKUP(U$1,main!$A$3:$I$56,5,FALSE)-VLOOKUP($A206,main!$A$3:$I$56,6,FALSE)&gt;=VLOOKUP(58,main!$A$57:$I$61,4,FALSE)+VLOOKUP(VLOOKUP(U$1,main!$A$3:$I$56,7,FALSE),main!$K$10:$Q$14,6,FALSE),1,0)</f>
        <v>0</v>
      </c>
      <c r="V206">
        <f>IF(VLOOKUP(V$1,main!$A$3:$I$56,5,FALSE)-VLOOKUP($A206,main!$A$3:$I$56,6,FALSE)&gt;=VLOOKUP(58,main!$A$57:$I$61,4,FALSE)+VLOOKUP(VLOOKUP(V$1,main!$A$3:$I$56,7,FALSE),main!$K$10:$Q$14,6,FALSE),1,0)</f>
        <v>0</v>
      </c>
      <c r="W206">
        <f>IF(VLOOKUP(W$1,main!$A$3:$I$56,5,FALSE)-VLOOKUP($A206,main!$A$3:$I$56,6,FALSE)&gt;=VLOOKUP(58,main!$A$57:$I$61,4,FALSE)+VLOOKUP(VLOOKUP(W$1,main!$A$3:$I$56,7,FALSE),main!$K$10:$Q$14,6,FALSE),1,0)</f>
        <v>0</v>
      </c>
      <c r="X206">
        <f>IF(VLOOKUP(X$1,main!$A$3:$I$56,5,FALSE)-VLOOKUP($A206,main!$A$3:$I$56,6,FALSE)&gt;=VLOOKUP(58,main!$A$57:$I$61,4,FALSE)+VLOOKUP(VLOOKUP(X$1,main!$A$3:$I$56,7,FALSE),main!$K$10:$Q$14,6,FALSE),1,0)</f>
        <v>0</v>
      </c>
      <c r="Y206">
        <f>IF(VLOOKUP(Y$1,main!$A$3:$I$56,5,FALSE)-VLOOKUP($A206,main!$A$3:$I$56,6,FALSE)&gt;=VLOOKUP(58,main!$A$57:$I$61,4,FALSE)+VLOOKUP(VLOOKUP(Y$1,main!$A$3:$I$56,7,FALSE),main!$K$10:$Q$14,6,FALSE),1,0)</f>
        <v>0</v>
      </c>
      <c r="Z206">
        <f>IF(VLOOKUP(Z$1,main!$A$3:$I$56,5,FALSE)-VLOOKUP($A206,main!$A$3:$I$56,6,FALSE)&gt;=VLOOKUP(58,main!$A$57:$I$61,4,FALSE)+VLOOKUP(VLOOKUP(Z$1,main!$A$3:$I$56,7,FALSE),main!$K$10:$Q$14,6,FALSE),1,0)</f>
        <v>0</v>
      </c>
      <c r="AA206">
        <f>IF(VLOOKUP(AA$1,main!$A$3:$I$56,5,FALSE)-VLOOKUP($A206,main!$A$3:$I$56,6,FALSE)&gt;=VLOOKUP(58,main!$A$57:$I$61,4,FALSE)+VLOOKUP(VLOOKUP(AA$1,main!$A$3:$I$56,7,FALSE),main!$K$10:$Q$14,6,FALSE),1,0)</f>
        <v>0</v>
      </c>
      <c r="AB206">
        <f>IF(VLOOKUP(AB$1,main!$A$3:$I$56,5,FALSE)-VLOOKUP($A206,main!$A$3:$I$56,6,FALSE)&gt;=VLOOKUP(58,main!$A$57:$I$61,4,FALSE)+VLOOKUP(VLOOKUP(AB$1,main!$A$3:$I$56,7,FALSE),main!$K$10:$Q$14,6,FALSE),1,0)</f>
        <v>0</v>
      </c>
      <c r="AC206">
        <f>IF(VLOOKUP(AC$1,main!$A$3:$I$56,5,FALSE)-VLOOKUP($A206,main!$A$3:$I$56,6,FALSE)&gt;=VLOOKUP(58,main!$A$57:$I$61,4,FALSE)+VLOOKUP(VLOOKUP(AC$1,main!$A$3:$I$56,7,FALSE),main!$K$10:$Q$14,6,FALSE),1,0)</f>
        <v>0</v>
      </c>
      <c r="AD206">
        <f>IF(VLOOKUP(AD$1,main!$A$3:$I$56,5,FALSE)-VLOOKUP($A206,main!$A$3:$I$56,6,FALSE)&gt;=VLOOKUP(58,main!$A$57:$I$61,4,FALSE)+VLOOKUP(VLOOKUP(AD$1,main!$A$3:$I$56,7,FALSE),main!$K$10:$Q$14,6,FALSE),1,0)</f>
        <v>0</v>
      </c>
      <c r="AE206">
        <f>IF(VLOOKUP(AE$1,main!$A$3:$I$56,5,FALSE)-VLOOKUP($A206,main!$A$3:$I$56,6,FALSE)&gt;=VLOOKUP(58,main!$A$57:$I$61,4,FALSE)+VLOOKUP(VLOOKUP(AE$1,main!$A$3:$I$56,7,FALSE),main!$K$10:$Q$14,6,FALSE),1,0)</f>
        <v>0</v>
      </c>
      <c r="AF206">
        <f>IF(VLOOKUP(AF$1,main!$A$3:$I$56,5,FALSE)-VLOOKUP($A206,main!$A$3:$I$56,6,FALSE)&gt;=VLOOKUP(58,main!$A$57:$I$61,4,FALSE)+VLOOKUP(VLOOKUP(AF$1,main!$A$3:$I$56,7,FALSE),main!$K$10:$Q$14,6,FALSE),1,0)</f>
        <v>0</v>
      </c>
      <c r="AG206">
        <f>IF(VLOOKUP(AG$1,main!$A$3:$I$56,5,FALSE)-VLOOKUP($A206,main!$A$3:$I$56,6,FALSE)&gt;=VLOOKUP(58,main!$A$57:$I$61,4,FALSE)+VLOOKUP(VLOOKUP(AG$1,main!$A$3:$I$56,7,FALSE),main!$K$10:$Q$14,6,FALSE),1,0)</f>
        <v>0</v>
      </c>
      <c r="AH206">
        <f>IF(VLOOKUP(AH$1,main!$A$3:$I$56,5,FALSE)-VLOOKUP($A206,main!$A$3:$I$56,6,FALSE)&gt;=VLOOKUP(58,main!$A$57:$I$61,4,FALSE)+VLOOKUP(VLOOKUP(AH$1,main!$A$3:$I$56,7,FALSE),main!$K$10:$Q$14,6,FALSE),1,0)</f>
        <v>0</v>
      </c>
      <c r="AI206">
        <f>IF(VLOOKUP(AI$1,main!$A$3:$I$56,5,FALSE)-VLOOKUP($A206,main!$A$3:$I$56,6,FALSE)&gt;=VLOOKUP(58,main!$A$57:$I$61,4,FALSE)+VLOOKUP(VLOOKUP(AI$1,main!$A$3:$I$56,7,FALSE),main!$K$10:$Q$14,6,FALSE),1,0)</f>
        <v>0</v>
      </c>
      <c r="AJ206">
        <f>IF(VLOOKUP(AJ$1,main!$A$3:$I$56,5,FALSE)-VLOOKUP($A206,main!$A$3:$I$56,6,FALSE)&gt;=VLOOKUP(58,main!$A$57:$I$61,4,FALSE)+VLOOKUP(VLOOKUP(AJ$1,main!$A$3:$I$56,7,FALSE),main!$K$10:$Q$14,6,FALSE),1,0)</f>
        <v>0</v>
      </c>
      <c r="AK206">
        <f>IF(VLOOKUP(AK$1,main!$A$3:$I$56,5,FALSE)-VLOOKUP($A206,main!$A$3:$I$56,6,FALSE)&gt;=VLOOKUP(58,main!$A$57:$I$61,4,FALSE)+VLOOKUP(VLOOKUP(AK$1,main!$A$3:$I$56,7,FALSE),main!$K$10:$Q$14,6,FALSE),1,0)</f>
        <v>0</v>
      </c>
      <c r="AL206">
        <f>IF(VLOOKUP(AL$1,main!$A$3:$I$56,5,FALSE)-VLOOKUP($A206,main!$A$3:$I$56,6,FALSE)&gt;=VLOOKUP(58,main!$A$57:$I$61,4,FALSE)+VLOOKUP(VLOOKUP(AL$1,main!$A$3:$I$56,7,FALSE),main!$K$10:$Q$14,6,FALSE),1,0)</f>
        <v>0</v>
      </c>
      <c r="AM206">
        <f>IF(VLOOKUP(AM$1,main!$A$3:$I$56,5,FALSE)-VLOOKUP($A206,main!$A$3:$I$56,6,FALSE)&gt;=VLOOKUP(58,main!$A$57:$I$61,4,FALSE)+VLOOKUP(VLOOKUP(AM$1,main!$A$3:$I$56,7,FALSE),main!$K$10:$Q$14,6,FALSE),1,0)</f>
        <v>0</v>
      </c>
      <c r="AN206">
        <f>IF(VLOOKUP(AN$1,main!$A$3:$I$56,5,FALSE)-VLOOKUP($A206,main!$A$3:$I$56,6,FALSE)&gt;=VLOOKUP(58,main!$A$57:$I$61,4,FALSE)+VLOOKUP(VLOOKUP(AN$1,main!$A$3:$I$56,7,FALSE),main!$K$10:$Q$14,6,FALSE),1,0)</f>
        <v>0</v>
      </c>
      <c r="AO206">
        <f>IF(VLOOKUP(AO$1,main!$A$3:$I$56,5,FALSE)-VLOOKUP($A206,main!$A$3:$I$56,6,FALSE)&gt;=VLOOKUP(58,main!$A$57:$I$61,4,FALSE)+VLOOKUP(VLOOKUP(AO$1,main!$A$3:$I$56,7,FALSE),main!$K$10:$Q$14,6,FALSE),1,0)</f>
        <v>0</v>
      </c>
      <c r="AP206">
        <f>IF(VLOOKUP(AP$1,main!$A$3:$I$56,5,FALSE)-VLOOKUP($A206,main!$A$3:$I$56,6,FALSE)&gt;=VLOOKUP(58,main!$A$57:$I$61,4,FALSE)+VLOOKUP(VLOOKUP(AP$1,main!$A$3:$I$56,7,FALSE),main!$K$10:$Q$14,6,FALSE),1,0)</f>
        <v>0</v>
      </c>
      <c r="AQ206">
        <f>IF(VLOOKUP(AQ$1,main!$A$3:$I$56,5,FALSE)-VLOOKUP($A206,main!$A$3:$I$56,6,FALSE)&gt;=VLOOKUP(58,main!$A$57:$I$61,4,FALSE)+VLOOKUP(VLOOKUP(AQ$1,main!$A$3:$I$56,7,FALSE),main!$K$10:$Q$14,6,FALSE),1,0)</f>
        <v>0</v>
      </c>
      <c r="AR206">
        <f>IF(VLOOKUP(AR$1,main!$A$3:$I$56,5,FALSE)-VLOOKUP($A206,main!$A$3:$I$56,6,FALSE)&gt;=VLOOKUP(58,main!$A$57:$I$61,4,FALSE)+VLOOKUP(VLOOKUP(AR$1,main!$A$3:$I$56,7,FALSE),main!$K$10:$Q$14,6,FALSE),1,0)</f>
        <v>0</v>
      </c>
      <c r="AS206">
        <f>IF(VLOOKUP(AS$1,main!$A$3:$I$56,5,FALSE)-VLOOKUP($A206,main!$A$3:$I$56,6,FALSE)&gt;=VLOOKUP(58,main!$A$57:$I$61,4,FALSE)+VLOOKUP(VLOOKUP(AS$1,main!$A$3:$I$56,7,FALSE),main!$K$10:$Q$14,6,FALSE),1,0)</f>
        <v>0</v>
      </c>
      <c r="AT206">
        <f>IF(VLOOKUP(AT$1,main!$A$3:$I$56,5,FALSE)-VLOOKUP($A206,main!$A$3:$I$56,6,FALSE)&gt;=VLOOKUP(58,main!$A$57:$I$61,4,FALSE)+VLOOKUP(VLOOKUP(AT$1,main!$A$3:$I$56,7,FALSE),main!$K$10:$Q$14,6,FALSE),1,0)</f>
        <v>0</v>
      </c>
      <c r="AU206">
        <f>IF(VLOOKUP(AU$1,main!$A$3:$I$56,5,FALSE)-VLOOKUP($A206,main!$A$3:$I$56,6,FALSE)&gt;=VLOOKUP(58,main!$A$57:$I$61,4,FALSE)+VLOOKUP(VLOOKUP(AU$1,main!$A$3:$I$56,7,FALSE),main!$K$10:$Q$14,6,FALSE),1,0)</f>
        <v>0</v>
      </c>
      <c r="AV206">
        <f>IF(VLOOKUP(AV$1,main!$A$3:$I$56,5,FALSE)-VLOOKUP($A206,main!$A$3:$I$56,6,FALSE)&gt;=VLOOKUP(58,main!$A$57:$I$61,4,FALSE)+VLOOKUP(VLOOKUP(AV$1,main!$A$3:$I$56,7,FALSE),main!$K$10:$Q$14,6,FALSE),1,0)</f>
        <v>0</v>
      </c>
      <c r="AW206">
        <f>IF(VLOOKUP(AW$1,main!$A$3:$I$56,5,FALSE)-VLOOKUP($A206,main!$A$3:$I$56,6,FALSE)&gt;=VLOOKUP(58,main!$A$57:$I$61,4,FALSE)+VLOOKUP(VLOOKUP(AW$1,main!$A$3:$I$56,7,FALSE),main!$K$10:$Q$14,6,FALSE),1,0)</f>
        <v>0</v>
      </c>
      <c r="AX206">
        <f>IF(VLOOKUP(AX$1,main!$A$3:$I$56,5,FALSE)-VLOOKUP($A206,main!$A$3:$I$56,6,FALSE)&gt;=VLOOKUP(58,main!$A$57:$I$61,4,FALSE)+VLOOKUP(VLOOKUP(AX$1,main!$A$3:$I$56,7,FALSE),main!$K$10:$Q$14,6,FALSE),1,0)</f>
        <v>0</v>
      </c>
      <c r="AY206">
        <f>IF(VLOOKUP(AY$1,main!$A$3:$I$56,5,FALSE)-VLOOKUP($A206,main!$A$3:$I$56,6,FALSE)&gt;=VLOOKUP(58,main!$A$57:$I$61,4,FALSE)+VLOOKUP(VLOOKUP(AY$1,main!$A$3:$I$56,7,FALSE),main!$K$10:$Q$14,6,FALSE),1,0)</f>
        <v>0</v>
      </c>
      <c r="AZ206">
        <f>IF(VLOOKUP(AZ$1,main!$A$3:$I$56,5,FALSE)-VLOOKUP($A206,main!$A$3:$I$56,6,FALSE)&gt;=VLOOKUP(58,main!$A$57:$I$61,4,FALSE)+VLOOKUP(VLOOKUP(AZ$1,main!$A$3:$I$56,7,FALSE),main!$K$10:$Q$14,6,FALSE),1,0)</f>
        <v>0</v>
      </c>
      <c r="BA206">
        <f>IF(VLOOKUP(BA$1,main!$A$3:$I$56,5,FALSE)-VLOOKUP($A206,main!$A$3:$I$56,6,FALSE)&gt;=VLOOKUP(58,main!$A$57:$I$61,4,FALSE)+VLOOKUP(VLOOKUP(BA$1,main!$A$3:$I$56,7,FALSE),main!$K$10:$Q$14,6,FALSE),1,0)</f>
        <v>0</v>
      </c>
      <c r="BB206">
        <f>IF(VLOOKUP(BB$1,main!$A$3:$I$56,5,FALSE)-VLOOKUP($A206,main!$A$3:$I$56,6,FALSE)&gt;=VLOOKUP(58,main!$A$57:$I$61,4,FALSE)+VLOOKUP(VLOOKUP(BB$1,main!$A$3:$I$56,7,FALSE),main!$K$10:$Q$14,6,FALSE),1,0)</f>
        <v>0</v>
      </c>
      <c r="BC206">
        <f>IF(VLOOKUP(BC$1,main!$A$3:$I$56,5,FALSE)-VLOOKUP($A206,main!$A$3:$I$56,6,FALSE)&gt;=VLOOKUP(58,main!$A$57:$I$61,4,FALSE)+VLOOKUP(VLOOKUP(BC$1,main!$A$3:$I$56,7,FALSE),main!$K$10:$Q$14,6,FALSE),1,0)</f>
        <v>0</v>
      </c>
      <c r="BD206">
        <f>IF(VLOOKUP(BD$1,main!$A$3:$I$56,5,FALSE)-VLOOKUP($A206,main!$A$3:$I$56,6,FALSE)&gt;=VLOOKUP(58,main!$A$57:$I$61,4,FALSE)+VLOOKUP(VLOOKUP(BD$1,main!$A$3:$I$56,7,FALSE),main!$K$10:$Q$14,6,FALSE),1,0)</f>
        <v>0</v>
      </c>
    </row>
    <row r="207" spans="1:56" x14ac:dyDescent="0.25">
      <c r="A207">
        <f t="shared" si="3"/>
        <v>40</v>
      </c>
      <c r="B207">
        <v>0</v>
      </c>
      <c r="C207">
        <f>IF(VLOOKUP(C$1,main!$A$3:$I$56,5,FALSE)-VLOOKUP($A207,main!$A$3:$I$56,6,FALSE)&gt;=VLOOKUP(58,main!$A$57:$I$61,4,FALSE)+VLOOKUP(VLOOKUP(C$1,main!$A$3:$I$56,7,FALSE),main!$K$10:$Q$14,6,FALSE),1,0)</f>
        <v>0</v>
      </c>
      <c r="D207">
        <f>IF(VLOOKUP(D$1,main!$A$3:$I$56,5,FALSE)-VLOOKUP($A207,main!$A$3:$I$56,6,FALSE)&gt;=VLOOKUP(58,main!$A$57:$I$61,4,FALSE)+VLOOKUP(VLOOKUP(D$1,main!$A$3:$I$56,7,FALSE),main!$K$10:$Q$14,6,FALSE),1,0)</f>
        <v>0</v>
      </c>
      <c r="E207">
        <f>IF(VLOOKUP(E$1,main!$A$3:$I$56,5,FALSE)-VLOOKUP($A207,main!$A$3:$I$56,6,FALSE)&gt;=VLOOKUP(58,main!$A$57:$I$61,4,FALSE)+VLOOKUP(VLOOKUP(E$1,main!$A$3:$I$56,7,FALSE),main!$K$10:$Q$14,6,FALSE),1,0)</f>
        <v>1</v>
      </c>
      <c r="F207">
        <f>IF(VLOOKUP(F$1,main!$A$3:$I$56,5,FALSE)-VLOOKUP($A207,main!$A$3:$I$56,6,FALSE)&gt;=VLOOKUP(58,main!$A$57:$I$61,4,FALSE)+VLOOKUP(VLOOKUP(F$1,main!$A$3:$I$56,7,FALSE),main!$K$10:$Q$14,6,FALSE),1,0)</f>
        <v>1</v>
      </c>
      <c r="G207">
        <f>IF(VLOOKUP(G$1,main!$A$3:$I$56,5,FALSE)-VLOOKUP($A207,main!$A$3:$I$56,6,FALSE)&gt;=VLOOKUP(58,main!$A$57:$I$61,4,FALSE)+VLOOKUP(VLOOKUP(G$1,main!$A$3:$I$56,7,FALSE),main!$K$10:$Q$14,6,FALSE),1,0)</f>
        <v>1</v>
      </c>
      <c r="H207">
        <f>IF(VLOOKUP(H$1,main!$A$3:$I$56,5,FALSE)-VLOOKUP($A207,main!$A$3:$I$56,6,FALSE)&gt;=VLOOKUP(58,main!$A$57:$I$61,4,FALSE)+VLOOKUP(VLOOKUP(H$1,main!$A$3:$I$56,7,FALSE),main!$K$10:$Q$14,6,FALSE),1,0)</f>
        <v>1</v>
      </c>
      <c r="I207">
        <f>IF(VLOOKUP(I$1,main!$A$3:$I$56,5,FALSE)-VLOOKUP($A207,main!$A$3:$I$56,6,FALSE)&gt;=VLOOKUP(58,main!$A$57:$I$61,4,FALSE)+VLOOKUP(VLOOKUP(I$1,main!$A$3:$I$56,7,FALSE),main!$K$10:$Q$14,6,FALSE),1,0)</f>
        <v>1</v>
      </c>
      <c r="J207">
        <f>IF(VLOOKUP(J$1,main!$A$3:$I$56,5,FALSE)-VLOOKUP($A207,main!$A$3:$I$56,6,FALSE)&gt;=VLOOKUP(58,main!$A$57:$I$61,4,FALSE)+VLOOKUP(VLOOKUP(J$1,main!$A$3:$I$56,7,FALSE),main!$K$10:$Q$14,6,FALSE),1,0)</f>
        <v>1</v>
      </c>
      <c r="K207">
        <f>IF(VLOOKUP(K$1,main!$A$3:$I$56,5,FALSE)-VLOOKUP($A207,main!$A$3:$I$56,6,FALSE)&gt;=VLOOKUP(58,main!$A$57:$I$61,4,FALSE)+VLOOKUP(VLOOKUP(K$1,main!$A$3:$I$56,7,FALSE),main!$K$10:$Q$14,6,FALSE),1,0)</f>
        <v>0</v>
      </c>
      <c r="L207">
        <f>IF(VLOOKUP(L$1,main!$A$3:$I$56,5,FALSE)-VLOOKUP($A207,main!$A$3:$I$56,6,FALSE)&gt;=VLOOKUP(58,main!$A$57:$I$61,4,FALSE)+VLOOKUP(VLOOKUP(L$1,main!$A$3:$I$56,7,FALSE),main!$K$10:$Q$14,6,FALSE),1,0)</f>
        <v>0</v>
      </c>
      <c r="M207">
        <f>IF(VLOOKUP(M$1,main!$A$3:$I$56,5,FALSE)-VLOOKUP($A207,main!$A$3:$I$56,6,FALSE)&gt;=VLOOKUP(58,main!$A$57:$I$61,4,FALSE)+VLOOKUP(VLOOKUP(M$1,main!$A$3:$I$56,7,FALSE),main!$K$10:$Q$14,6,FALSE),1,0)</f>
        <v>1</v>
      </c>
      <c r="N207">
        <f>IF(VLOOKUP(N$1,main!$A$3:$I$56,5,FALSE)-VLOOKUP($A207,main!$A$3:$I$56,6,FALSE)&gt;=VLOOKUP(58,main!$A$57:$I$61,4,FALSE)+VLOOKUP(VLOOKUP(N$1,main!$A$3:$I$56,7,FALSE),main!$K$10:$Q$14,6,FALSE),1,0)</f>
        <v>1</v>
      </c>
      <c r="O207">
        <f>IF(VLOOKUP(O$1,main!$A$3:$I$56,5,FALSE)-VLOOKUP($A207,main!$A$3:$I$56,6,FALSE)&gt;=VLOOKUP(58,main!$A$57:$I$61,4,FALSE)+VLOOKUP(VLOOKUP(O$1,main!$A$3:$I$56,7,FALSE),main!$K$10:$Q$14,6,FALSE),1,0)</f>
        <v>1</v>
      </c>
      <c r="P207">
        <f>IF(VLOOKUP(P$1,main!$A$3:$I$56,5,FALSE)-VLOOKUP($A207,main!$A$3:$I$56,6,FALSE)&gt;=VLOOKUP(58,main!$A$57:$I$61,4,FALSE)+VLOOKUP(VLOOKUP(P$1,main!$A$3:$I$56,7,FALSE),main!$K$10:$Q$14,6,FALSE),1,0)</f>
        <v>0</v>
      </c>
      <c r="Q207">
        <f>IF(VLOOKUP(Q$1,main!$A$3:$I$56,5,FALSE)-VLOOKUP($A207,main!$A$3:$I$56,6,FALSE)&gt;=VLOOKUP(58,main!$A$57:$I$61,4,FALSE)+VLOOKUP(VLOOKUP(Q$1,main!$A$3:$I$56,7,FALSE),main!$K$10:$Q$14,6,FALSE),1,0)</f>
        <v>0</v>
      </c>
      <c r="R207">
        <f>IF(VLOOKUP(R$1,main!$A$3:$I$56,5,FALSE)-VLOOKUP($A207,main!$A$3:$I$56,6,FALSE)&gt;=VLOOKUP(58,main!$A$57:$I$61,4,FALSE)+VLOOKUP(VLOOKUP(R$1,main!$A$3:$I$56,7,FALSE),main!$K$10:$Q$14,6,FALSE),1,0)</f>
        <v>1</v>
      </c>
      <c r="S207">
        <f>IF(VLOOKUP(S$1,main!$A$3:$I$56,5,FALSE)-VLOOKUP($A207,main!$A$3:$I$56,6,FALSE)&gt;=VLOOKUP(58,main!$A$57:$I$61,4,FALSE)+VLOOKUP(VLOOKUP(S$1,main!$A$3:$I$56,7,FALSE),main!$K$10:$Q$14,6,FALSE),1,0)</f>
        <v>1</v>
      </c>
      <c r="T207">
        <f>IF(VLOOKUP(T$1,main!$A$3:$I$56,5,FALSE)-VLOOKUP($A207,main!$A$3:$I$56,6,FALSE)&gt;=VLOOKUP(58,main!$A$57:$I$61,4,FALSE)+VLOOKUP(VLOOKUP(T$1,main!$A$3:$I$56,7,FALSE),main!$K$10:$Q$14,6,FALSE),1,0)</f>
        <v>1</v>
      </c>
      <c r="U207">
        <f>IF(VLOOKUP(U$1,main!$A$3:$I$56,5,FALSE)-VLOOKUP($A207,main!$A$3:$I$56,6,FALSE)&gt;=VLOOKUP(58,main!$A$57:$I$61,4,FALSE)+VLOOKUP(VLOOKUP(U$1,main!$A$3:$I$56,7,FALSE),main!$K$10:$Q$14,6,FALSE),1,0)</f>
        <v>0</v>
      </c>
      <c r="V207">
        <f>IF(VLOOKUP(V$1,main!$A$3:$I$56,5,FALSE)-VLOOKUP($A207,main!$A$3:$I$56,6,FALSE)&gt;=VLOOKUP(58,main!$A$57:$I$61,4,FALSE)+VLOOKUP(VLOOKUP(V$1,main!$A$3:$I$56,7,FALSE),main!$K$10:$Q$14,6,FALSE),1,0)</f>
        <v>0</v>
      </c>
      <c r="W207">
        <f>IF(VLOOKUP(W$1,main!$A$3:$I$56,5,FALSE)-VLOOKUP($A207,main!$A$3:$I$56,6,FALSE)&gt;=VLOOKUP(58,main!$A$57:$I$61,4,FALSE)+VLOOKUP(VLOOKUP(W$1,main!$A$3:$I$56,7,FALSE),main!$K$10:$Q$14,6,FALSE),1,0)</f>
        <v>0</v>
      </c>
      <c r="X207">
        <f>IF(VLOOKUP(X$1,main!$A$3:$I$56,5,FALSE)-VLOOKUP($A207,main!$A$3:$I$56,6,FALSE)&gt;=VLOOKUP(58,main!$A$57:$I$61,4,FALSE)+VLOOKUP(VLOOKUP(X$1,main!$A$3:$I$56,7,FALSE),main!$K$10:$Q$14,6,FALSE),1,0)</f>
        <v>1</v>
      </c>
      <c r="Y207">
        <f>IF(VLOOKUP(Y$1,main!$A$3:$I$56,5,FALSE)-VLOOKUP($A207,main!$A$3:$I$56,6,FALSE)&gt;=VLOOKUP(58,main!$A$57:$I$61,4,FALSE)+VLOOKUP(VLOOKUP(Y$1,main!$A$3:$I$56,7,FALSE),main!$K$10:$Q$14,6,FALSE),1,0)</f>
        <v>1</v>
      </c>
      <c r="Z207">
        <f>IF(VLOOKUP(Z$1,main!$A$3:$I$56,5,FALSE)-VLOOKUP($A207,main!$A$3:$I$56,6,FALSE)&gt;=VLOOKUP(58,main!$A$57:$I$61,4,FALSE)+VLOOKUP(VLOOKUP(Z$1,main!$A$3:$I$56,7,FALSE),main!$K$10:$Q$14,6,FALSE),1,0)</f>
        <v>1</v>
      </c>
      <c r="AA207">
        <f>IF(VLOOKUP(AA$1,main!$A$3:$I$56,5,FALSE)-VLOOKUP($A207,main!$A$3:$I$56,6,FALSE)&gt;=VLOOKUP(58,main!$A$57:$I$61,4,FALSE)+VLOOKUP(VLOOKUP(AA$1,main!$A$3:$I$56,7,FALSE),main!$K$10:$Q$14,6,FALSE),1,0)</f>
        <v>1</v>
      </c>
      <c r="AB207">
        <f>IF(VLOOKUP(AB$1,main!$A$3:$I$56,5,FALSE)-VLOOKUP($A207,main!$A$3:$I$56,6,FALSE)&gt;=VLOOKUP(58,main!$A$57:$I$61,4,FALSE)+VLOOKUP(VLOOKUP(AB$1,main!$A$3:$I$56,7,FALSE),main!$K$10:$Q$14,6,FALSE),1,0)</f>
        <v>1</v>
      </c>
      <c r="AC207">
        <f>IF(VLOOKUP(AC$1,main!$A$3:$I$56,5,FALSE)-VLOOKUP($A207,main!$A$3:$I$56,6,FALSE)&gt;=VLOOKUP(58,main!$A$57:$I$61,4,FALSE)+VLOOKUP(VLOOKUP(AC$1,main!$A$3:$I$56,7,FALSE),main!$K$10:$Q$14,6,FALSE),1,0)</f>
        <v>0</v>
      </c>
      <c r="AD207">
        <f>IF(VLOOKUP(AD$1,main!$A$3:$I$56,5,FALSE)-VLOOKUP($A207,main!$A$3:$I$56,6,FALSE)&gt;=VLOOKUP(58,main!$A$57:$I$61,4,FALSE)+VLOOKUP(VLOOKUP(AD$1,main!$A$3:$I$56,7,FALSE),main!$K$10:$Q$14,6,FALSE),1,0)</f>
        <v>0</v>
      </c>
      <c r="AE207">
        <f>IF(VLOOKUP(AE$1,main!$A$3:$I$56,5,FALSE)-VLOOKUP($A207,main!$A$3:$I$56,6,FALSE)&gt;=VLOOKUP(58,main!$A$57:$I$61,4,FALSE)+VLOOKUP(VLOOKUP(AE$1,main!$A$3:$I$56,7,FALSE),main!$K$10:$Q$14,6,FALSE),1,0)</f>
        <v>1</v>
      </c>
      <c r="AF207">
        <f>IF(VLOOKUP(AF$1,main!$A$3:$I$56,5,FALSE)-VLOOKUP($A207,main!$A$3:$I$56,6,FALSE)&gt;=VLOOKUP(58,main!$A$57:$I$61,4,FALSE)+VLOOKUP(VLOOKUP(AF$1,main!$A$3:$I$56,7,FALSE),main!$K$10:$Q$14,6,FALSE),1,0)</f>
        <v>1</v>
      </c>
      <c r="AG207">
        <f>IF(VLOOKUP(AG$1,main!$A$3:$I$56,5,FALSE)-VLOOKUP($A207,main!$A$3:$I$56,6,FALSE)&gt;=VLOOKUP(58,main!$A$57:$I$61,4,FALSE)+VLOOKUP(VLOOKUP(AG$1,main!$A$3:$I$56,7,FALSE),main!$K$10:$Q$14,6,FALSE),1,0)</f>
        <v>0</v>
      </c>
      <c r="AH207">
        <f>IF(VLOOKUP(AH$1,main!$A$3:$I$56,5,FALSE)-VLOOKUP($A207,main!$A$3:$I$56,6,FALSE)&gt;=VLOOKUP(58,main!$A$57:$I$61,4,FALSE)+VLOOKUP(VLOOKUP(AH$1,main!$A$3:$I$56,7,FALSE),main!$K$10:$Q$14,6,FALSE),1,0)</f>
        <v>1</v>
      </c>
      <c r="AI207">
        <f>IF(VLOOKUP(AI$1,main!$A$3:$I$56,5,FALSE)-VLOOKUP($A207,main!$A$3:$I$56,6,FALSE)&gt;=VLOOKUP(58,main!$A$57:$I$61,4,FALSE)+VLOOKUP(VLOOKUP(AI$1,main!$A$3:$I$56,7,FALSE),main!$K$10:$Q$14,6,FALSE),1,0)</f>
        <v>1</v>
      </c>
      <c r="AJ207">
        <f>IF(VLOOKUP(AJ$1,main!$A$3:$I$56,5,FALSE)-VLOOKUP($A207,main!$A$3:$I$56,6,FALSE)&gt;=VLOOKUP(58,main!$A$57:$I$61,4,FALSE)+VLOOKUP(VLOOKUP(AJ$1,main!$A$3:$I$56,7,FALSE),main!$K$10:$Q$14,6,FALSE),1,0)</f>
        <v>1</v>
      </c>
      <c r="AK207">
        <f>IF(VLOOKUP(AK$1,main!$A$3:$I$56,5,FALSE)-VLOOKUP($A207,main!$A$3:$I$56,6,FALSE)&gt;=VLOOKUP(58,main!$A$57:$I$61,4,FALSE)+VLOOKUP(VLOOKUP(AK$1,main!$A$3:$I$56,7,FALSE),main!$K$10:$Q$14,6,FALSE),1,0)</f>
        <v>1</v>
      </c>
      <c r="AL207">
        <f>IF(VLOOKUP(AL$1,main!$A$3:$I$56,5,FALSE)-VLOOKUP($A207,main!$A$3:$I$56,6,FALSE)&gt;=VLOOKUP(58,main!$A$57:$I$61,4,FALSE)+VLOOKUP(VLOOKUP(AL$1,main!$A$3:$I$56,7,FALSE),main!$K$10:$Q$14,6,FALSE),1,0)</f>
        <v>0</v>
      </c>
      <c r="AM207">
        <f>IF(VLOOKUP(AM$1,main!$A$3:$I$56,5,FALSE)-VLOOKUP($A207,main!$A$3:$I$56,6,FALSE)&gt;=VLOOKUP(58,main!$A$57:$I$61,4,FALSE)+VLOOKUP(VLOOKUP(AM$1,main!$A$3:$I$56,7,FALSE),main!$K$10:$Q$14,6,FALSE),1,0)</f>
        <v>1</v>
      </c>
      <c r="AN207">
        <f>IF(VLOOKUP(AN$1,main!$A$3:$I$56,5,FALSE)-VLOOKUP($A207,main!$A$3:$I$56,6,FALSE)&gt;=VLOOKUP(58,main!$A$57:$I$61,4,FALSE)+VLOOKUP(VLOOKUP(AN$1,main!$A$3:$I$56,7,FALSE),main!$K$10:$Q$14,6,FALSE),1,0)</f>
        <v>1</v>
      </c>
      <c r="AO207">
        <f>IF(VLOOKUP(AO$1,main!$A$3:$I$56,5,FALSE)-VLOOKUP($A207,main!$A$3:$I$56,6,FALSE)&gt;=VLOOKUP(58,main!$A$57:$I$61,4,FALSE)+VLOOKUP(VLOOKUP(AO$1,main!$A$3:$I$56,7,FALSE),main!$K$10:$Q$14,6,FALSE),1,0)</f>
        <v>1</v>
      </c>
      <c r="AP207">
        <f>IF(VLOOKUP(AP$1,main!$A$3:$I$56,5,FALSE)-VLOOKUP($A207,main!$A$3:$I$56,6,FALSE)&gt;=VLOOKUP(58,main!$A$57:$I$61,4,FALSE)+VLOOKUP(VLOOKUP(AP$1,main!$A$3:$I$56,7,FALSE),main!$K$10:$Q$14,6,FALSE),1,0)</f>
        <v>0</v>
      </c>
      <c r="AQ207">
        <f>IF(VLOOKUP(AQ$1,main!$A$3:$I$56,5,FALSE)-VLOOKUP($A207,main!$A$3:$I$56,6,FALSE)&gt;=VLOOKUP(58,main!$A$57:$I$61,4,FALSE)+VLOOKUP(VLOOKUP(AQ$1,main!$A$3:$I$56,7,FALSE),main!$K$10:$Q$14,6,FALSE),1,0)</f>
        <v>0</v>
      </c>
      <c r="AR207">
        <f>IF(VLOOKUP(AR$1,main!$A$3:$I$56,5,FALSE)-VLOOKUP($A207,main!$A$3:$I$56,6,FALSE)&gt;=VLOOKUP(58,main!$A$57:$I$61,4,FALSE)+VLOOKUP(VLOOKUP(AR$1,main!$A$3:$I$56,7,FALSE),main!$K$10:$Q$14,6,FALSE),1,0)</f>
        <v>0</v>
      </c>
      <c r="AS207">
        <f>IF(VLOOKUP(AS$1,main!$A$3:$I$56,5,FALSE)-VLOOKUP($A207,main!$A$3:$I$56,6,FALSE)&gt;=VLOOKUP(58,main!$A$57:$I$61,4,FALSE)+VLOOKUP(VLOOKUP(AS$1,main!$A$3:$I$56,7,FALSE),main!$K$10:$Q$14,6,FALSE),1,0)</f>
        <v>1</v>
      </c>
      <c r="AT207">
        <f>IF(VLOOKUP(AT$1,main!$A$3:$I$56,5,FALSE)-VLOOKUP($A207,main!$A$3:$I$56,6,FALSE)&gt;=VLOOKUP(58,main!$A$57:$I$61,4,FALSE)+VLOOKUP(VLOOKUP(AT$1,main!$A$3:$I$56,7,FALSE),main!$K$10:$Q$14,6,FALSE),1,0)</f>
        <v>1</v>
      </c>
      <c r="AU207">
        <f>IF(VLOOKUP(AU$1,main!$A$3:$I$56,5,FALSE)-VLOOKUP($A207,main!$A$3:$I$56,6,FALSE)&gt;=VLOOKUP(58,main!$A$57:$I$61,4,FALSE)+VLOOKUP(VLOOKUP(AU$1,main!$A$3:$I$56,7,FALSE),main!$K$10:$Q$14,6,FALSE),1,0)</f>
        <v>0</v>
      </c>
      <c r="AV207">
        <f>IF(VLOOKUP(AV$1,main!$A$3:$I$56,5,FALSE)-VLOOKUP($A207,main!$A$3:$I$56,6,FALSE)&gt;=VLOOKUP(58,main!$A$57:$I$61,4,FALSE)+VLOOKUP(VLOOKUP(AV$1,main!$A$3:$I$56,7,FALSE),main!$K$10:$Q$14,6,FALSE),1,0)</f>
        <v>0</v>
      </c>
      <c r="AW207">
        <f>IF(VLOOKUP(AW$1,main!$A$3:$I$56,5,FALSE)-VLOOKUP($A207,main!$A$3:$I$56,6,FALSE)&gt;=VLOOKUP(58,main!$A$57:$I$61,4,FALSE)+VLOOKUP(VLOOKUP(AW$1,main!$A$3:$I$56,7,FALSE),main!$K$10:$Q$14,6,FALSE),1,0)</f>
        <v>0</v>
      </c>
      <c r="AX207">
        <f>IF(VLOOKUP(AX$1,main!$A$3:$I$56,5,FALSE)-VLOOKUP($A207,main!$A$3:$I$56,6,FALSE)&gt;=VLOOKUP(58,main!$A$57:$I$61,4,FALSE)+VLOOKUP(VLOOKUP(AX$1,main!$A$3:$I$56,7,FALSE),main!$K$10:$Q$14,6,FALSE),1,0)</f>
        <v>1</v>
      </c>
      <c r="AY207">
        <f>IF(VLOOKUP(AY$1,main!$A$3:$I$56,5,FALSE)-VLOOKUP($A207,main!$A$3:$I$56,6,FALSE)&gt;=VLOOKUP(58,main!$A$57:$I$61,4,FALSE)+VLOOKUP(VLOOKUP(AY$1,main!$A$3:$I$56,7,FALSE),main!$K$10:$Q$14,6,FALSE),1,0)</f>
        <v>1</v>
      </c>
      <c r="AZ207">
        <f>IF(VLOOKUP(AZ$1,main!$A$3:$I$56,5,FALSE)-VLOOKUP($A207,main!$A$3:$I$56,6,FALSE)&gt;=VLOOKUP(58,main!$A$57:$I$61,4,FALSE)+VLOOKUP(VLOOKUP(AZ$1,main!$A$3:$I$56,7,FALSE),main!$K$10:$Q$14,6,FALSE),1,0)</f>
        <v>0</v>
      </c>
      <c r="BA207">
        <f>IF(VLOOKUP(BA$1,main!$A$3:$I$56,5,FALSE)-VLOOKUP($A207,main!$A$3:$I$56,6,FALSE)&gt;=VLOOKUP(58,main!$A$57:$I$61,4,FALSE)+VLOOKUP(VLOOKUP(BA$1,main!$A$3:$I$56,7,FALSE),main!$K$10:$Q$14,6,FALSE),1,0)</f>
        <v>0</v>
      </c>
      <c r="BB207">
        <f>IF(VLOOKUP(BB$1,main!$A$3:$I$56,5,FALSE)-VLOOKUP($A207,main!$A$3:$I$56,6,FALSE)&gt;=VLOOKUP(58,main!$A$57:$I$61,4,FALSE)+VLOOKUP(VLOOKUP(BB$1,main!$A$3:$I$56,7,FALSE),main!$K$10:$Q$14,6,FALSE),1,0)</f>
        <v>0</v>
      </c>
      <c r="BC207">
        <f>IF(VLOOKUP(BC$1,main!$A$3:$I$56,5,FALSE)-VLOOKUP($A207,main!$A$3:$I$56,6,FALSE)&gt;=VLOOKUP(58,main!$A$57:$I$61,4,FALSE)+VLOOKUP(VLOOKUP(BC$1,main!$A$3:$I$56,7,FALSE),main!$K$10:$Q$14,6,FALSE),1,0)</f>
        <v>1</v>
      </c>
      <c r="BD207">
        <f>IF(VLOOKUP(BD$1,main!$A$3:$I$56,5,FALSE)-VLOOKUP($A207,main!$A$3:$I$56,6,FALSE)&gt;=VLOOKUP(58,main!$A$57:$I$61,4,FALSE)+VLOOKUP(VLOOKUP(BD$1,main!$A$3:$I$56,7,FALSE),main!$K$10:$Q$14,6,FALSE),1,0)</f>
        <v>1</v>
      </c>
    </row>
    <row r="208" spans="1:56" x14ac:dyDescent="0.25">
      <c r="A208">
        <f t="shared" si="3"/>
        <v>41</v>
      </c>
      <c r="B208">
        <v>0</v>
      </c>
      <c r="C208">
        <f>IF(VLOOKUP(C$1,main!$A$3:$I$56,5,FALSE)-VLOOKUP($A208,main!$A$3:$I$56,6,FALSE)&gt;=VLOOKUP(58,main!$A$57:$I$61,4,FALSE)+VLOOKUP(VLOOKUP(C$1,main!$A$3:$I$56,7,FALSE),main!$K$10:$Q$14,6,FALSE),1,0)</f>
        <v>0</v>
      </c>
      <c r="D208">
        <f>IF(VLOOKUP(D$1,main!$A$3:$I$56,5,FALSE)-VLOOKUP($A208,main!$A$3:$I$56,6,FALSE)&gt;=VLOOKUP(58,main!$A$57:$I$61,4,FALSE)+VLOOKUP(VLOOKUP(D$1,main!$A$3:$I$56,7,FALSE),main!$K$10:$Q$14,6,FALSE),1,0)</f>
        <v>0</v>
      </c>
      <c r="E208">
        <f>IF(VLOOKUP(E$1,main!$A$3:$I$56,5,FALSE)-VLOOKUP($A208,main!$A$3:$I$56,6,FALSE)&gt;=VLOOKUP(58,main!$A$57:$I$61,4,FALSE)+VLOOKUP(VLOOKUP(E$1,main!$A$3:$I$56,7,FALSE),main!$K$10:$Q$14,6,FALSE),1,0)</f>
        <v>0</v>
      </c>
      <c r="F208">
        <f>IF(VLOOKUP(F$1,main!$A$3:$I$56,5,FALSE)-VLOOKUP($A208,main!$A$3:$I$56,6,FALSE)&gt;=VLOOKUP(58,main!$A$57:$I$61,4,FALSE)+VLOOKUP(VLOOKUP(F$1,main!$A$3:$I$56,7,FALSE),main!$K$10:$Q$14,6,FALSE),1,0)</f>
        <v>1</v>
      </c>
      <c r="G208">
        <f>IF(VLOOKUP(G$1,main!$A$3:$I$56,5,FALSE)-VLOOKUP($A208,main!$A$3:$I$56,6,FALSE)&gt;=VLOOKUP(58,main!$A$57:$I$61,4,FALSE)+VLOOKUP(VLOOKUP(G$1,main!$A$3:$I$56,7,FALSE),main!$K$10:$Q$14,6,FALSE),1,0)</f>
        <v>1</v>
      </c>
      <c r="H208">
        <f>IF(VLOOKUP(H$1,main!$A$3:$I$56,5,FALSE)-VLOOKUP($A208,main!$A$3:$I$56,6,FALSE)&gt;=VLOOKUP(58,main!$A$57:$I$61,4,FALSE)+VLOOKUP(VLOOKUP(H$1,main!$A$3:$I$56,7,FALSE),main!$K$10:$Q$14,6,FALSE),1,0)</f>
        <v>1</v>
      </c>
      <c r="I208">
        <f>IF(VLOOKUP(I$1,main!$A$3:$I$56,5,FALSE)-VLOOKUP($A208,main!$A$3:$I$56,6,FALSE)&gt;=VLOOKUP(58,main!$A$57:$I$61,4,FALSE)+VLOOKUP(VLOOKUP(I$1,main!$A$3:$I$56,7,FALSE),main!$K$10:$Q$14,6,FALSE),1,0)</f>
        <v>1</v>
      </c>
      <c r="J208">
        <f>IF(VLOOKUP(J$1,main!$A$3:$I$56,5,FALSE)-VLOOKUP($A208,main!$A$3:$I$56,6,FALSE)&gt;=VLOOKUP(58,main!$A$57:$I$61,4,FALSE)+VLOOKUP(VLOOKUP(J$1,main!$A$3:$I$56,7,FALSE),main!$K$10:$Q$14,6,FALSE),1,0)</f>
        <v>1</v>
      </c>
      <c r="K208">
        <f>IF(VLOOKUP(K$1,main!$A$3:$I$56,5,FALSE)-VLOOKUP($A208,main!$A$3:$I$56,6,FALSE)&gt;=VLOOKUP(58,main!$A$57:$I$61,4,FALSE)+VLOOKUP(VLOOKUP(K$1,main!$A$3:$I$56,7,FALSE),main!$K$10:$Q$14,6,FALSE),1,0)</f>
        <v>0</v>
      </c>
      <c r="L208">
        <f>IF(VLOOKUP(L$1,main!$A$3:$I$56,5,FALSE)-VLOOKUP($A208,main!$A$3:$I$56,6,FALSE)&gt;=VLOOKUP(58,main!$A$57:$I$61,4,FALSE)+VLOOKUP(VLOOKUP(L$1,main!$A$3:$I$56,7,FALSE),main!$K$10:$Q$14,6,FALSE),1,0)</f>
        <v>0</v>
      </c>
      <c r="M208">
        <f>IF(VLOOKUP(M$1,main!$A$3:$I$56,5,FALSE)-VLOOKUP($A208,main!$A$3:$I$56,6,FALSE)&gt;=VLOOKUP(58,main!$A$57:$I$61,4,FALSE)+VLOOKUP(VLOOKUP(M$1,main!$A$3:$I$56,7,FALSE),main!$K$10:$Q$14,6,FALSE),1,0)</f>
        <v>0</v>
      </c>
      <c r="N208">
        <f>IF(VLOOKUP(N$1,main!$A$3:$I$56,5,FALSE)-VLOOKUP($A208,main!$A$3:$I$56,6,FALSE)&gt;=VLOOKUP(58,main!$A$57:$I$61,4,FALSE)+VLOOKUP(VLOOKUP(N$1,main!$A$3:$I$56,7,FALSE),main!$K$10:$Q$14,6,FALSE),1,0)</f>
        <v>1</v>
      </c>
      <c r="O208">
        <f>IF(VLOOKUP(O$1,main!$A$3:$I$56,5,FALSE)-VLOOKUP($A208,main!$A$3:$I$56,6,FALSE)&gt;=VLOOKUP(58,main!$A$57:$I$61,4,FALSE)+VLOOKUP(VLOOKUP(O$1,main!$A$3:$I$56,7,FALSE),main!$K$10:$Q$14,6,FALSE),1,0)</f>
        <v>1</v>
      </c>
      <c r="P208">
        <f>IF(VLOOKUP(P$1,main!$A$3:$I$56,5,FALSE)-VLOOKUP($A208,main!$A$3:$I$56,6,FALSE)&gt;=VLOOKUP(58,main!$A$57:$I$61,4,FALSE)+VLOOKUP(VLOOKUP(P$1,main!$A$3:$I$56,7,FALSE),main!$K$10:$Q$14,6,FALSE),1,0)</f>
        <v>0</v>
      </c>
      <c r="Q208">
        <f>IF(VLOOKUP(Q$1,main!$A$3:$I$56,5,FALSE)-VLOOKUP($A208,main!$A$3:$I$56,6,FALSE)&gt;=VLOOKUP(58,main!$A$57:$I$61,4,FALSE)+VLOOKUP(VLOOKUP(Q$1,main!$A$3:$I$56,7,FALSE),main!$K$10:$Q$14,6,FALSE),1,0)</f>
        <v>0</v>
      </c>
      <c r="R208">
        <f>IF(VLOOKUP(R$1,main!$A$3:$I$56,5,FALSE)-VLOOKUP($A208,main!$A$3:$I$56,6,FALSE)&gt;=VLOOKUP(58,main!$A$57:$I$61,4,FALSE)+VLOOKUP(VLOOKUP(R$1,main!$A$3:$I$56,7,FALSE),main!$K$10:$Q$14,6,FALSE),1,0)</f>
        <v>0</v>
      </c>
      <c r="S208">
        <f>IF(VLOOKUP(S$1,main!$A$3:$I$56,5,FALSE)-VLOOKUP($A208,main!$A$3:$I$56,6,FALSE)&gt;=VLOOKUP(58,main!$A$57:$I$61,4,FALSE)+VLOOKUP(VLOOKUP(S$1,main!$A$3:$I$56,7,FALSE),main!$K$10:$Q$14,6,FALSE),1,0)</f>
        <v>1</v>
      </c>
      <c r="T208">
        <f>IF(VLOOKUP(T$1,main!$A$3:$I$56,5,FALSE)-VLOOKUP($A208,main!$A$3:$I$56,6,FALSE)&gt;=VLOOKUP(58,main!$A$57:$I$61,4,FALSE)+VLOOKUP(VLOOKUP(T$1,main!$A$3:$I$56,7,FALSE),main!$K$10:$Q$14,6,FALSE),1,0)</f>
        <v>1</v>
      </c>
      <c r="U208">
        <f>IF(VLOOKUP(U$1,main!$A$3:$I$56,5,FALSE)-VLOOKUP($A208,main!$A$3:$I$56,6,FALSE)&gt;=VLOOKUP(58,main!$A$57:$I$61,4,FALSE)+VLOOKUP(VLOOKUP(U$1,main!$A$3:$I$56,7,FALSE),main!$K$10:$Q$14,6,FALSE),1,0)</f>
        <v>0</v>
      </c>
      <c r="V208">
        <f>IF(VLOOKUP(V$1,main!$A$3:$I$56,5,FALSE)-VLOOKUP($A208,main!$A$3:$I$56,6,FALSE)&gt;=VLOOKUP(58,main!$A$57:$I$61,4,FALSE)+VLOOKUP(VLOOKUP(V$1,main!$A$3:$I$56,7,FALSE),main!$K$10:$Q$14,6,FALSE),1,0)</f>
        <v>0</v>
      </c>
      <c r="W208">
        <f>IF(VLOOKUP(W$1,main!$A$3:$I$56,5,FALSE)-VLOOKUP($A208,main!$A$3:$I$56,6,FALSE)&gt;=VLOOKUP(58,main!$A$57:$I$61,4,FALSE)+VLOOKUP(VLOOKUP(W$1,main!$A$3:$I$56,7,FALSE),main!$K$10:$Q$14,6,FALSE),1,0)</f>
        <v>0</v>
      </c>
      <c r="X208">
        <f>IF(VLOOKUP(X$1,main!$A$3:$I$56,5,FALSE)-VLOOKUP($A208,main!$A$3:$I$56,6,FALSE)&gt;=VLOOKUP(58,main!$A$57:$I$61,4,FALSE)+VLOOKUP(VLOOKUP(X$1,main!$A$3:$I$56,7,FALSE),main!$K$10:$Q$14,6,FALSE),1,0)</f>
        <v>0</v>
      </c>
      <c r="Y208">
        <f>IF(VLOOKUP(Y$1,main!$A$3:$I$56,5,FALSE)-VLOOKUP($A208,main!$A$3:$I$56,6,FALSE)&gt;=VLOOKUP(58,main!$A$57:$I$61,4,FALSE)+VLOOKUP(VLOOKUP(Y$1,main!$A$3:$I$56,7,FALSE),main!$K$10:$Q$14,6,FALSE),1,0)</f>
        <v>1</v>
      </c>
      <c r="Z208">
        <f>IF(VLOOKUP(Z$1,main!$A$3:$I$56,5,FALSE)-VLOOKUP($A208,main!$A$3:$I$56,6,FALSE)&gt;=VLOOKUP(58,main!$A$57:$I$61,4,FALSE)+VLOOKUP(VLOOKUP(Z$1,main!$A$3:$I$56,7,FALSE),main!$K$10:$Q$14,6,FALSE),1,0)</f>
        <v>1</v>
      </c>
      <c r="AA208">
        <f>IF(VLOOKUP(AA$1,main!$A$3:$I$56,5,FALSE)-VLOOKUP($A208,main!$A$3:$I$56,6,FALSE)&gt;=VLOOKUP(58,main!$A$57:$I$61,4,FALSE)+VLOOKUP(VLOOKUP(AA$1,main!$A$3:$I$56,7,FALSE),main!$K$10:$Q$14,6,FALSE),1,0)</f>
        <v>1</v>
      </c>
      <c r="AB208">
        <f>IF(VLOOKUP(AB$1,main!$A$3:$I$56,5,FALSE)-VLOOKUP($A208,main!$A$3:$I$56,6,FALSE)&gt;=VLOOKUP(58,main!$A$57:$I$61,4,FALSE)+VLOOKUP(VLOOKUP(AB$1,main!$A$3:$I$56,7,FALSE),main!$K$10:$Q$14,6,FALSE),1,0)</f>
        <v>1</v>
      </c>
      <c r="AC208">
        <f>IF(VLOOKUP(AC$1,main!$A$3:$I$56,5,FALSE)-VLOOKUP($A208,main!$A$3:$I$56,6,FALSE)&gt;=VLOOKUP(58,main!$A$57:$I$61,4,FALSE)+VLOOKUP(VLOOKUP(AC$1,main!$A$3:$I$56,7,FALSE),main!$K$10:$Q$14,6,FALSE),1,0)</f>
        <v>0</v>
      </c>
      <c r="AD208">
        <f>IF(VLOOKUP(AD$1,main!$A$3:$I$56,5,FALSE)-VLOOKUP($A208,main!$A$3:$I$56,6,FALSE)&gt;=VLOOKUP(58,main!$A$57:$I$61,4,FALSE)+VLOOKUP(VLOOKUP(AD$1,main!$A$3:$I$56,7,FALSE),main!$K$10:$Q$14,6,FALSE),1,0)</f>
        <v>0</v>
      </c>
      <c r="AE208">
        <f>IF(VLOOKUP(AE$1,main!$A$3:$I$56,5,FALSE)-VLOOKUP($A208,main!$A$3:$I$56,6,FALSE)&gt;=VLOOKUP(58,main!$A$57:$I$61,4,FALSE)+VLOOKUP(VLOOKUP(AE$1,main!$A$3:$I$56,7,FALSE),main!$K$10:$Q$14,6,FALSE),1,0)</f>
        <v>0</v>
      </c>
      <c r="AF208">
        <f>IF(VLOOKUP(AF$1,main!$A$3:$I$56,5,FALSE)-VLOOKUP($A208,main!$A$3:$I$56,6,FALSE)&gt;=VLOOKUP(58,main!$A$57:$I$61,4,FALSE)+VLOOKUP(VLOOKUP(AF$1,main!$A$3:$I$56,7,FALSE),main!$K$10:$Q$14,6,FALSE),1,0)</f>
        <v>1</v>
      </c>
      <c r="AG208">
        <f>IF(VLOOKUP(AG$1,main!$A$3:$I$56,5,FALSE)-VLOOKUP($A208,main!$A$3:$I$56,6,FALSE)&gt;=VLOOKUP(58,main!$A$57:$I$61,4,FALSE)+VLOOKUP(VLOOKUP(AG$1,main!$A$3:$I$56,7,FALSE),main!$K$10:$Q$14,6,FALSE),1,0)</f>
        <v>0</v>
      </c>
      <c r="AH208">
        <f>IF(VLOOKUP(AH$1,main!$A$3:$I$56,5,FALSE)-VLOOKUP($A208,main!$A$3:$I$56,6,FALSE)&gt;=VLOOKUP(58,main!$A$57:$I$61,4,FALSE)+VLOOKUP(VLOOKUP(AH$1,main!$A$3:$I$56,7,FALSE),main!$K$10:$Q$14,6,FALSE),1,0)</f>
        <v>0</v>
      </c>
      <c r="AI208">
        <f>IF(VLOOKUP(AI$1,main!$A$3:$I$56,5,FALSE)-VLOOKUP($A208,main!$A$3:$I$56,6,FALSE)&gt;=VLOOKUP(58,main!$A$57:$I$61,4,FALSE)+VLOOKUP(VLOOKUP(AI$1,main!$A$3:$I$56,7,FALSE),main!$K$10:$Q$14,6,FALSE),1,0)</f>
        <v>1</v>
      </c>
      <c r="AJ208">
        <f>IF(VLOOKUP(AJ$1,main!$A$3:$I$56,5,FALSE)-VLOOKUP($A208,main!$A$3:$I$56,6,FALSE)&gt;=VLOOKUP(58,main!$A$57:$I$61,4,FALSE)+VLOOKUP(VLOOKUP(AJ$1,main!$A$3:$I$56,7,FALSE),main!$K$10:$Q$14,6,FALSE),1,0)</f>
        <v>1</v>
      </c>
      <c r="AK208">
        <f>IF(VLOOKUP(AK$1,main!$A$3:$I$56,5,FALSE)-VLOOKUP($A208,main!$A$3:$I$56,6,FALSE)&gt;=VLOOKUP(58,main!$A$57:$I$61,4,FALSE)+VLOOKUP(VLOOKUP(AK$1,main!$A$3:$I$56,7,FALSE),main!$K$10:$Q$14,6,FALSE),1,0)</f>
        <v>1</v>
      </c>
      <c r="AL208">
        <f>IF(VLOOKUP(AL$1,main!$A$3:$I$56,5,FALSE)-VLOOKUP($A208,main!$A$3:$I$56,6,FALSE)&gt;=VLOOKUP(58,main!$A$57:$I$61,4,FALSE)+VLOOKUP(VLOOKUP(AL$1,main!$A$3:$I$56,7,FALSE),main!$K$10:$Q$14,6,FALSE),1,0)</f>
        <v>0</v>
      </c>
      <c r="AM208">
        <f>IF(VLOOKUP(AM$1,main!$A$3:$I$56,5,FALSE)-VLOOKUP($A208,main!$A$3:$I$56,6,FALSE)&gt;=VLOOKUP(58,main!$A$57:$I$61,4,FALSE)+VLOOKUP(VLOOKUP(AM$1,main!$A$3:$I$56,7,FALSE),main!$K$10:$Q$14,6,FALSE),1,0)</f>
        <v>0</v>
      </c>
      <c r="AN208">
        <f>IF(VLOOKUP(AN$1,main!$A$3:$I$56,5,FALSE)-VLOOKUP($A208,main!$A$3:$I$56,6,FALSE)&gt;=VLOOKUP(58,main!$A$57:$I$61,4,FALSE)+VLOOKUP(VLOOKUP(AN$1,main!$A$3:$I$56,7,FALSE),main!$K$10:$Q$14,6,FALSE),1,0)</f>
        <v>1</v>
      </c>
      <c r="AO208">
        <f>IF(VLOOKUP(AO$1,main!$A$3:$I$56,5,FALSE)-VLOOKUP($A208,main!$A$3:$I$56,6,FALSE)&gt;=VLOOKUP(58,main!$A$57:$I$61,4,FALSE)+VLOOKUP(VLOOKUP(AO$1,main!$A$3:$I$56,7,FALSE),main!$K$10:$Q$14,6,FALSE),1,0)</f>
        <v>1</v>
      </c>
      <c r="AP208">
        <f>IF(VLOOKUP(AP$1,main!$A$3:$I$56,5,FALSE)-VLOOKUP($A208,main!$A$3:$I$56,6,FALSE)&gt;=VLOOKUP(58,main!$A$57:$I$61,4,FALSE)+VLOOKUP(VLOOKUP(AP$1,main!$A$3:$I$56,7,FALSE),main!$K$10:$Q$14,6,FALSE),1,0)</f>
        <v>0</v>
      </c>
      <c r="AQ208">
        <f>IF(VLOOKUP(AQ$1,main!$A$3:$I$56,5,FALSE)-VLOOKUP($A208,main!$A$3:$I$56,6,FALSE)&gt;=VLOOKUP(58,main!$A$57:$I$61,4,FALSE)+VLOOKUP(VLOOKUP(AQ$1,main!$A$3:$I$56,7,FALSE),main!$K$10:$Q$14,6,FALSE),1,0)</f>
        <v>0</v>
      </c>
      <c r="AR208">
        <f>IF(VLOOKUP(AR$1,main!$A$3:$I$56,5,FALSE)-VLOOKUP($A208,main!$A$3:$I$56,6,FALSE)&gt;=VLOOKUP(58,main!$A$57:$I$61,4,FALSE)+VLOOKUP(VLOOKUP(AR$1,main!$A$3:$I$56,7,FALSE),main!$K$10:$Q$14,6,FALSE),1,0)</f>
        <v>0</v>
      </c>
      <c r="AS208">
        <f>IF(VLOOKUP(AS$1,main!$A$3:$I$56,5,FALSE)-VLOOKUP($A208,main!$A$3:$I$56,6,FALSE)&gt;=VLOOKUP(58,main!$A$57:$I$61,4,FALSE)+VLOOKUP(VLOOKUP(AS$1,main!$A$3:$I$56,7,FALSE),main!$K$10:$Q$14,6,FALSE),1,0)</f>
        <v>1</v>
      </c>
      <c r="AT208">
        <f>IF(VLOOKUP(AT$1,main!$A$3:$I$56,5,FALSE)-VLOOKUP($A208,main!$A$3:$I$56,6,FALSE)&gt;=VLOOKUP(58,main!$A$57:$I$61,4,FALSE)+VLOOKUP(VLOOKUP(AT$1,main!$A$3:$I$56,7,FALSE),main!$K$10:$Q$14,6,FALSE),1,0)</f>
        <v>1</v>
      </c>
      <c r="AU208">
        <f>IF(VLOOKUP(AU$1,main!$A$3:$I$56,5,FALSE)-VLOOKUP($A208,main!$A$3:$I$56,6,FALSE)&gt;=VLOOKUP(58,main!$A$57:$I$61,4,FALSE)+VLOOKUP(VLOOKUP(AU$1,main!$A$3:$I$56,7,FALSE),main!$K$10:$Q$14,6,FALSE),1,0)</f>
        <v>0</v>
      </c>
      <c r="AV208">
        <f>IF(VLOOKUP(AV$1,main!$A$3:$I$56,5,FALSE)-VLOOKUP($A208,main!$A$3:$I$56,6,FALSE)&gt;=VLOOKUP(58,main!$A$57:$I$61,4,FALSE)+VLOOKUP(VLOOKUP(AV$1,main!$A$3:$I$56,7,FALSE),main!$K$10:$Q$14,6,FALSE),1,0)</f>
        <v>0</v>
      </c>
      <c r="AW208">
        <f>IF(VLOOKUP(AW$1,main!$A$3:$I$56,5,FALSE)-VLOOKUP($A208,main!$A$3:$I$56,6,FALSE)&gt;=VLOOKUP(58,main!$A$57:$I$61,4,FALSE)+VLOOKUP(VLOOKUP(AW$1,main!$A$3:$I$56,7,FALSE),main!$K$10:$Q$14,6,FALSE),1,0)</f>
        <v>0</v>
      </c>
      <c r="AX208">
        <f>IF(VLOOKUP(AX$1,main!$A$3:$I$56,5,FALSE)-VLOOKUP($A208,main!$A$3:$I$56,6,FALSE)&gt;=VLOOKUP(58,main!$A$57:$I$61,4,FALSE)+VLOOKUP(VLOOKUP(AX$1,main!$A$3:$I$56,7,FALSE),main!$K$10:$Q$14,6,FALSE),1,0)</f>
        <v>0</v>
      </c>
      <c r="AY208">
        <f>IF(VLOOKUP(AY$1,main!$A$3:$I$56,5,FALSE)-VLOOKUP($A208,main!$A$3:$I$56,6,FALSE)&gt;=VLOOKUP(58,main!$A$57:$I$61,4,FALSE)+VLOOKUP(VLOOKUP(AY$1,main!$A$3:$I$56,7,FALSE),main!$K$10:$Q$14,6,FALSE),1,0)</f>
        <v>1</v>
      </c>
      <c r="AZ208">
        <f>IF(VLOOKUP(AZ$1,main!$A$3:$I$56,5,FALSE)-VLOOKUP($A208,main!$A$3:$I$56,6,FALSE)&gt;=VLOOKUP(58,main!$A$57:$I$61,4,FALSE)+VLOOKUP(VLOOKUP(AZ$1,main!$A$3:$I$56,7,FALSE),main!$K$10:$Q$14,6,FALSE),1,0)</f>
        <v>0</v>
      </c>
      <c r="BA208">
        <f>IF(VLOOKUP(BA$1,main!$A$3:$I$56,5,FALSE)-VLOOKUP($A208,main!$A$3:$I$56,6,FALSE)&gt;=VLOOKUP(58,main!$A$57:$I$61,4,FALSE)+VLOOKUP(VLOOKUP(BA$1,main!$A$3:$I$56,7,FALSE),main!$K$10:$Q$14,6,FALSE),1,0)</f>
        <v>0</v>
      </c>
      <c r="BB208">
        <f>IF(VLOOKUP(BB$1,main!$A$3:$I$56,5,FALSE)-VLOOKUP($A208,main!$A$3:$I$56,6,FALSE)&gt;=VLOOKUP(58,main!$A$57:$I$61,4,FALSE)+VLOOKUP(VLOOKUP(BB$1,main!$A$3:$I$56,7,FALSE),main!$K$10:$Q$14,6,FALSE),1,0)</f>
        <v>0</v>
      </c>
      <c r="BC208">
        <f>IF(VLOOKUP(BC$1,main!$A$3:$I$56,5,FALSE)-VLOOKUP($A208,main!$A$3:$I$56,6,FALSE)&gt;=VLOOKUP(58,main!$A$57:$I$61,4,FALSE)+VLOOKUP(VLOOKUP(BC$1,main!$A$3:$I$56,7,FALSE),main!$K$10:$Q$14,6,FALSE),1,0)</f>
        <v>0</v>
      </c>
      <c r="BD208">
        <f>IF(VLOOKUP(BD$1,main!$A$3:$I$56,5,FALSE)-VLOOKUP($A208,main!$A$3:$I$56,6,FALSE)&gt;=VLOOKUP(58,main!$A$57:$I$61,4,FALSE)+VLOOKUP(VLOOKUP(BD$1,main!$A$3:$I$56,7,FALSE),main!$K$10:$Q$14,6,FALSE),1,0)</f>
        <v>0</v>
      </c>
    </row>
    <row r="209" spans="1:56" x14ac:dyDescent="0.25">
      <c r="A209">
        <f t="shared" si="3"/>
        <v>42</v>
      </c>
      <c r="B209">
        <v>0</v>
      </c>
      <c r="C209">
        <f>IF(VLOOKUP(C$1,main!$A$3:$I$56,5,FALSE)-VLOOKUP($A209,main!$A$3:$I$56,6,FALSE)&gt;=VLOOKUP(58,main!$A$57:$I$61,4,FALSE)+VLOOKUP(VLOOKUP(C$1,main!$A$3:$I$56,7,FALSE),main!$K$10:$Q$14,6,FALSE),1,0)</f>
        <v>0</v>
      </c>
      <c r="D209">
        <f>IF(VLOOKUP(D$1,main!$A$3:$I$56,5,FALSE)-VLOOKUP($A209,main!$A$3:$I$56,6,FALSE)&gt;=VLOOKUP(58,main!$A$57:$I$61,4,FALSE)+VLOOKUP(VLOOKUP(D$1,main!$A$3:$I$56,7,FALSE),main!$K$10:$Q$14,6,FALSE),1,0)</f>
        <v>0</v>
      </c>
      <c r="E209">
        <f>IF(VLOOKUP(E$1,main!$A$3:$I$56,5,FALSE)-VLOOKUP($A209,main!$A$3:$I$56,6,FALSE)&gt;=VLOOKUP(58,main!$A$57:$I$61,4,FALSE)+VLOOKUP(VLOOKUP(E$1,main!$A$3:$I$56,7,FALSE),main!$K$10:$Q$14,6,FALSE),1,0)</f>
        <v>0</v>
      </c>
      <c r="F209">
        <f>IF(VLOOKUP(F$1,main!$A$3:$I$56,5,FALSE)-VLOOKUP($A209,main!$A$3:$I$56,6,FALSE)&gt;=VLOOKUP(58,main!$A$57:$I$61,4,FALSE)+VLOOKUP(VLOOKUP(F$1,main!$A$3:$I$56,7,FALSE),main!$K$10:$Q$14,6,FALSE),1,0)</f>
        <v>0</v>
      </c>
      <c r="G209">
        <f>IF(VLOOKUP(G$1,main!$A$3:$I$56,5,FALSE)-VLOOKUP($A209,main!$A$3:$I$56,6,FALSE)&gt;=VLOOKUP(58,main!$A$57:$I$61,4,FALSE)+VLOOKUP(VLOOKUP(G$1,main!$A$3:$I$56,7,FALSE),main!$K$10:$Q$14,6,FALSE),1,0)</f>
        <v>1</v>
      </c>
      <c r="H209">
        <f>IF(VLOOKUP(H$1,main!$A$3:$I$56,5,FALSE)-VLOOKUP($A209,main!$A$3:$I$56,6,FALSE)&gt;=VLOOKUP(58,main!$A$57:$I$61,4,FALSE)+VLOOKUP(VLOOKUP(H$1,main!$A$3:$I$56,7,FALSE),main!$K$10:$Q$14,6,FALSE),1,0)</f>
        <v>1</v>
      </c>
      <c r="I209">
        <f>IF(VLOOKUP(I$1,main!$A$3:$I$56,5,FALSE)-VLOOKUP($A209,main!$A$3:$I$56,6,FALSE)&gt;=VLOOKUP(58,main!$A$57:$I$61,4,FALSE)+VLOOKUP(VLOOKUP(I$1,main!$A$3:$I$56,7,FALSE),main!$K$10:$Q$14,6,FALSE),1,0)</f>
        <v>1</v>
      </c>
      <c r="J209">
        <f>IF(VLOOKUP(J$1,main!$A$3:$I$56,5,FALSE)-VLOOKUP($A209,main!$A$3:$I$56,6,FALSE)&gt;=VLOOKUP(58,main!$A$57:$I$61,4,FALSE)+VLOOKUP(VLOOKUP(J$1,main!$A$3:$I$56,7,FALSE),main!$K$10:$Q$14,6,FALSE),1,0)</f>
        <v>1</v>
      </c>
      <c r="K209">
        <f>IF(VLOOKUP(K$1,main!$A$3:$I$56,5,FALSE)-VLOOKUP($A209,main!$A$3:$I$56,6,FALSE)&gt;=VLOOKUP(58,main!$A$57:$I$61,4,FALSE)+VLOOKUP(VLOOKUP(K$1,main!$A$3:$I$56,7,FALSE),main!$K$10:$Q$14,6,FALSE),1,0)</f>
        <v>0</v>
      </c>
      <c r="L209">
        <f>IF(VLOOKUP(L$1,main!$A$3:$I$56,5,FALSE)-VLOOKUP($A209,main!$A$3:$I$56,6,FALSE)&gt;=VLOOKUP(58,main!$A$57:$I$61,4,FALSE)+VLOOKUP(VLOOKUP(L$1,main!$A$3:$I$56,7,FALSE),main!$K$10:$Q$14,6,FALSE),1,0)</f>
        <v>0</v>
      </c>
      <c r="M209">
        <f>IF(VLOOKUP(M$1,main!$A$3:$I$56,5,FALSE)-VLOOKUP($A209,main!$A$3:$I$56,6,FALSE)&gt;=VLOOKUP(58,main!$A$57:$I$61,4,FALSE)+VLOOKUP(VLOOKUP(M$1,main!$A$3:$I$56,7,FALSE),main!$K$10:$Q$14,6,FALSE),1,0)</f>
        <v>0</v>
      </c>
      <c r="N209">
        <f>IF(VLOOKUP(N$1,main!$A$3:$I$56,5,FALSE)-VLOOKUP($A209,main!$A$3:$I$56,6,FALSE)&gt;=VLOOKUP(58,main!$A$57:$I$61,4,FALSE)+VLOOKUP(VLOOKUP(N$1,main!$A$3:$I$56,7,FALSE),main!$K$10:$Q$14,6,FALSE),1,0)</f>
        <v>1</v>
      </c>
      <c r="O209">
        <f>IF(VLOOKUP(O$1,main!$A$3:$I$56,5,FALSE)-VLOOKUP($A209,main!$A$3:$I$56,6,FALSE)&gt;=VLOOKUP(58,main!$A$57:$I$61,4,FALSE)+VLOOKUP(VLOOKUP(O$1,main!$A$3:$I$56,7,FALSE),main!$K$10:$Q$14,6,FALSE),1,0)</f>
        <v>1</v>
      </c>
      <c r="P209">
        <f>IF(VLOOKUP(P$1,main!$A$3:$I$56,5,FALSE)-VLOOKUP($A209,main!$A$3:$I$56,6,FALSE)&gt;=VLOOKUP(58,main!$A$57:$I$61,4,FALSE)+VLOOKUP(VLOOKUP(P$1,main!$A$3:$I$56,7,FALSE),main!$K$10:$Q$14,6,FALSE),1,0)</f>
        <v>0</v>
      </c>
      <c r="Q209">
        <f>IF(VLOOKUP(Q$1,main!$A$3:$I$56,5,FALSE)-VLOOKUP($A209,main!$A$3:$I$56,6,FALSE)&gt;=VLOOKUP(58,main!$A$57:$I$61,4,FALSE)+VLOOKUP(VLOOKUP(Q$1,main!$A$3:$I$56,7,FALSE),main!$K$10:$Q$14,6,FALSE),1,0)</f>
        <v>0</v>
      </c>
      <c r="R209">
        <f>IF(VLOOKUP(R$1,main!$A$3:$I$56,5,FALSE)-VLOOKUP($A209,main!$A$3:$I$56,6,FALSE)&gt;=VLOOKUP(58,main!$A$57:$I$61,4,FALSE)+VLOOKUP(VLOOKUP(R$1,main!$A$3:$I$56,7,FALSE),main!$K$10:$Q$14,6,FALSE),1,0)</f>
        <v>0</v>
      </c>
      <c r="S209">
        <f>IF(VLOOKUP(S$1,main!$A$3:$I$56,5,FALSE)-VLOOKUP($A209,main!$A$3:$I$56,6,FALSE)&gt;=VLOOKUP(58,main!$A$57:$I$61,4,FALSE)+VLOOKUP(VLOOKUP(S$1,main!$A$3:$I$56,7,FALSE),main!$K$10:$Q$14,6,FALSE),1,0)</f>
        <v>1</v>
      </c>
      <c r="T209">
        <f>IF(VLOOKUP(T$1,main!$A$3:$I$56,5,FALSE)-VLOOKUP($A209,main!$A$3:$I$56,6,FALSE)&gt;=VLOOKUP(58,main!$A$57:$I$61,4,FALSE)+VLOOKUP(VLOOKUP(T$1,main!$A$3:$I$56,7,FALSE),main!$K$10:$Q$14,6,FALSE),1,0)</f>
        <v>1</v>
      </c>
      <c r="U209">
        <f>IF(VLOOKUP(U$1,main!$A$3:$I$56,5,FALSE)-VLOOKUP($A209,main!$A$3:$I$56,6,FALSE)&gt;=VLOOKUP(58,main!$A$57:$I$61,4,FALSE)+VLOOKUP(VLOOKUP(U$1,main!$A$3:$I$56,7,FALSE),main!$K$10:$Q$14,6,FALSE),1,0)</f>
        <v>0</v>
      </c>
      <c r="V209">
        <f>IF(VLOOKUP(V$1,main!$A$3:$I$56,5,FALSE)-VLOOKUP($A209,main!$A$3:$I$56,6,FALSE)&gt;=VLOOKUP(58,main!$A$57:$I$61,4,FALSE)+VLOOKUP(VLOOKUP(V$1,main!$A$3:$I$56,7,FALSE),main!$K$10:$Q$14,6,FALSE),1,0)</f>
        <v>0</v>
      </c>
      <c r="W209">
        <f>IF(VLOOKUP(W$1,main!$A$3:$I$56,5,FALSE)-VLOOKUP($A209,main!$A$3:$I$56,6,FALSE)&gt;=VLOOKUP(58,main!$A$57:$I$61,4,FALSE)+VLOOKUP(VLOOKUP(W$1,main!$A$3:$I$56,7,FALSE),main!$K$10:$Q$14,6,FALSE),1,0)</f>
        <v>0</v>
      </c>
      <c r="X209">
        <f>IF(VLOOKUP(X$1,main!$A$3:$I$56,5,FALSE)-VLOOKUP($A209,main!$A$3:$I$56,6,FALSE)&gt;=VLOOKUP(58,main!$A$57:$I$61,4,FALSE)+VLOOKUP(VLOOKUP(X$1,main!$A$3:$I$56,7,FALSE),main!$K$10:$Q$14,6,FALSE),1,0)</f>
        <v>0</v>
      </c>
      <c r="Y209">
        <f>IF(VLOOKUP(Y$1,main!$A$3:$I$56,5,FALSE)-VLOOKUP($A209,main!$A$3:$I$56,6,FALSE)&gt;=VLOOKUP(58,main!$A$57:$I$61,4,FALSE)+VLOOKUP(VLOOKUP(Y$1,main!$A$3:$I$56,7,FALSE),main!$K$10:$Q$14,6,FALSE),1,0)</f>
        <v>0</v>
      </c>
      <c r="Z209">
        <f>IF(VLOOKUP(Z$1,main!$A$3:$I$56,5,FALSE)-VLOOKUP($A209,main!$A$3:$I$56,6,FALSE)&gt;=VLOOKUP(58,main!$A$57:$I$61,4,FALSE)+VLOOKUP(VLOOKUP(Z$1,main!$A$3:$I$56,7,FALSE),main!$K$10:$Q$14,6,FALSE),1,0)</f>
        <v>1</v>
      </c>
      <c r="AA209">
        <f>IF(VLOOKUP(AA$1,main!$A$3:$I$56,5,FALSE)-VLOOKUP($A209,main!$A$3:$I$56,6,FALSE)&gt;=VLOOKUP(58,main!$A$57:$I$61,4,FALSE)+VLOOKUP(VLOOKUP(AA$1,main!$A$3:$I$56,7,FALSE),main!$K$10:$Q$14,6,FALSE),1,0)</f>
        <v>1</v>
      </c>
      <c r="AB209">
        <f>IF(VLOOKUP(AB$1,main!$A$3:$I$56,5,FALSE)-VLOOKUP($A209,main!$A$3:$I$56,6,FALSE)&gt;=VLOOKUP(58,main!$A$57:$I$61,4,FALSE)+VLOOKUP(VLOOKUP(AB$1,main!$A$3:$I$56,7,FALSE),main!$K$10:$Q$14,6,FALSE),1,0)</f>
        <v>1</v>
      </c>
      <c r="AC209">
        <f>IF(VLOOKUP(AC$1,main!$A$3:$I$56,5,FALSE)-VLOOKUP($A209,main!$A$3:$I$56,6,FALSE)&gt;=VLOOKUP(58,main!$A$57:$I$61,4,FALSE)+VLOOKUP(VLOOKUP(AC$1,main!$A$3:$I$56,7,FALSE),main!$K$10:$Q$14,6,FALSE),1,0)</f>
        <v>0</v>
      </c>
      <c r="AD209">
        <f>IF(VLOOKUP(AD$1,main!$A$3:$I$56,5,FALSE)-VLOOKUP($A209,main!$A$3:$I$56,6,FALSE)&gt;=VLOOKUP(58,main!$A$57:$I$61,4,FALSE)+VLOOKUP(VLOOKUP(AD$1,main!$A$3:$I$56,7,FALSE),main!$K$10:$Q$14,6,FALSE),1,0)</f>
        <v>0</v>
      </c>
      <c r="AE209">
        <f>IF(VLOOKUP(AE$1,main!$A$3:$I$56,5,FALSE)-VLOOKUP($A209,main!$A$3:$I$56,6,FALSE)&gt;=VLOOKUP(58,main!$A$57:$I$61,4,FALSE)+VLOOKUP(VLOOKUP(AE$1,main!$A$3:$I$56,7,FALSE),main!$K$10:$Q$14,6,FALSE),1,0)</f>
        <v>0</v>
      </c>
      <c r="AF209">
        <f>IF(VLOOKUP(AF$1,main!$A$3:$I$56,5,FALSE)-VLOOKUP($A209,main!$A$3:$I$56,6,FALSE)&gt;=VLOOKUP(58,main!$A$57:$I$61,4,FALSE)+VLOOKUP(VLOOKUP(AF$1,main!$A$3:$I$56,7,FALSE),main!$K$10:$Q$14,6,FALSE),1,0)</f>
        <v>1</v>
      </c>
      <c r="AG209">
        <f>IF(VLOOKUP(AG$1,main!$A$3:$I$56,5,FALSE)-VLOOKUP($A209,main!$A$3:$I$56,6,FALSE)&gt;=VLOOKUP(58,main!$A$57:$I$61,4,FALSE)+VLOOKUP(VLOOKUP(AG$1,main!$A$3:$I$56,7,FALSE),main!$K$10:$Q$14,6,FALSE),1,0)</f>
        <v>0</v>
      </c>
      <c r="AH209">
        <f>IF(VLOOKUP(AH$1,main!$A$3:$I$56,5,FALSE)-VLOOKUP($A209,main!$A$3:$I$56,6,FALSE)&gt;=VLOOKUP(58,main!$A$57:$I$61,4,FALSE)+VLOOKUP(VLOOKUP(AH$1,main!$A$3:$I$56,7,FALSE),main!$K$10:$Q$14,6,FALSE),1,0)</f>
        <v>0</v>
      </c>
      <c r="AI209">
        <f>IF(VLOOKUP(AI$1,main!$A$3:$I$56,5,FALSE)-VLOOKUP($A209,main!$A$3:$I$56,6,FALSE)&gt;=VLOOKUP(58,main!$A$57:$I$61,4,FALSE)+VLOOKUP(VLOOKUP(AI$1,main!$A$3:$I$56,7,FALSE),main!$K$10:$Q$14,6,FALSE),1,0)</f>
        <v>1</v>
      </c>
      <c r="AJ209">
        <f>IF(VLOOKUP(AJ$1,main!$A$3:$I$56,5,FALSE)-VLOOKUP($A209,main!$A$3:$I$56,6,FALSE)&gt;=VLOOKUP(58,main!$A$57:$I$61,4,FALSE)+VLOOKUP(VLOOKUP(AJ$1,main!$A$3:$I$56,7,FALSE),main!$K$10:$Q$14,6,FALSE),1,0)</f>
        <v>1</v>
      </c>
      <c r="AK209">
        <f>IF(VLOOKUP(AK$1,main!$A$3:$I$56,5,FALSE)-VLOOKUP($A209,main!$A$3:$I$56,6,FALSE)&gt;=VLOOKUP(58,main!$A$57:$I$61,4,FALSE)+VLOOKUP(VLOOKUP(AK$1,main!$A$3:$I$56,7,FALSE),main!$K$10:$Q$14,6,FALSE),1,0)</f>
        <v>1</v>
      </c>
      <c r="AL209">
        <f>IF(VLOOKUP(AL$1,main!$A$3:$I$56,5,FALSE)-VLOOKUP($A209,main!$A$3:$I$56,6,FALSE)&gt;=VLOOKUP(58,main!$A$57:$I$61,4,FALSE)+VLOOKUP(VLOOKUP(AL$1,main!$A$3:$I$56,7,FALSE),main!$K$10:$Q$14,6,FALSE),1,0)</f>
        <v>0</v>
      </c>
      <c r="AM209">
        <f>IF(VLOOKUP(AM$1,main!$A$3:$I$56,5,FALSE)-VLOOKUP($A209,main!$A$3:$I$56,6,FALSE)&gt;=VLOOKUP(58,main!$A$57:$I$61,4,FALSE)+VLOOKUP(VLOOKUP(AM$1,main!$A$3:$I$56,7,FALSE),main!$K$10:$Q$14,6,FALSE),1,0)</f>
        <v>0</v>
      </c>
      <c r="AN209">
        <f>IF(VLOOKUP(AN$1,main!$A$3:$I$56,5,FALSE)-VLOOKUP($A209,main!$A$3:$I$56,6,FALSE)&gt;=VLOOKUP(58,main!$A$57:$I$61,4,FALSE)+VLOOKUP(VLOOKUP(AN$1,main!$A$3:$I$56,7,FALSE),main!$K$10:$Q$14,6,FALSE),1,0)</f>
        <v>1</v>
      </c>
      <c r="AO209">
        <f>IF(VLOOKUP(AO$1,main!$A$3:$I$56,5,FALSE)-VLOOKUP($A209,main!$A$3:$I$56,6,FALSE)&gt;=VLOOKUP(58,main!$A$57:$I$61,4,FALSE)+VLOOKUP(VLOOKUP(AO$1,main!$A$3:$I$56,7,FALSE),main!$K$10:$Q$14,6,FALSE),1,0)</f>
        <v>1</v>
      </c>
      <c r="AP209">
        <f>IF(VLOOKUP(AP$1,main!$A$3:$I$56,5,FALSE)-VLOOKUP($A209,main!$A$3:$I$56,6,FALSE)&gt;=VLOOKUP(58,main!$A$57:$I$61,4,FALSE)+VLOOKUP(VLOOKUP(AP$1,main!$A$3:$I$56,7,FALSE),main!$K$10:$Q$14,6,FALSE),1,0)</f>
        <v>0</v>
      </c>
      <c r="AQ209">
        <f>IF(VLOOKUP(AQ$1,main!$A$3:$I$56,5,FALSE)-VLOOKUP($A209,main!$A$3:$I$56,6,FALSE)&gt;=VLOOKUP(58,main!$A$57:$I$61,4,FALSE)+VLOOKUP(VLOOKUP(AQ$1,main!$A$3:$I$56,7,FALSE),main!$K$10:$Q$14,6,FALSE),1,0)</f>
        <v>0</v>
      </c>
      <c r="AR209">
        <f>IF(VLOOKUP(AR$1,main!$A$3:$I$56,5,FALSE)-VLOOKUP($A209,main!$A$3:$I$56,6,FALSE)&gt;=VLOOKUP(58,main!$A$57:$I$61,4,FALSE)+VLOOKUP(VLOOKUP(AR$1,main!$A$3:$I$56,7,FALSE),main!$K$10:$Q$14,6,FALSE),1,0)</f>
        <v>0</v>
      </c>
      <c r="AS209">
        <f>IF(VLOOKUP(AS$1,main!$A$3:$I$56,5,FALSE)-VLOOKUP($A209,main!$A$3:$I$56,6,FALSE)&gt;=VLOOKUP(58,main!$A$57:$I$61,4,FALSE)+VLOOKUP(VLOOKUP(AS$1,main!$A$3:$I$56,7,FALSE),main!$K$10:$Q$14,6,FALSE),1,0)</f>
        <v>0</v>
      </c>
      <c r="AT209">
        <f>IF(VLOOKUP(AT$1,main!$A$3:$I$56,5,FALSE)-VLOOKUP($A209,main!$A$3:$I$56,6,FALSE)&gt;=VLOOKUP(58,main!$A$57:$I$61,4,FALSE)+VLOOKUP(VLOOKUP(AT$1,main!$A$3:$I$56,7,FALSE),main!$K$10:$Q$14,6,FALSE),1,0)</f>
        <v>1</v>
      </c>
      <c r="AU209">
        <f>IF(VLOOKUP(AU$1,main!$A$3:$I$56,5,FALSE)-VLOOKUP($A209,main!$A$3:$I$56,6,FALSE)&gt;=VLOOKUP(58,main!$A$57:$I$61,4,FALSE)+VLOOKUP(VLOOKUP(AU$1,main!$A$3:$I$56,7,FALSE),main!$K$10:$Q$14,6,FALSE),1,0)</f>
        <v>0</v>
      </c>
      <c r="AV209">
        <f>IF(VLOOKUP(AV$1,main!$A$3:$I$56,5,FALSE)-VLOOKUP($A209,main!$A$3:$I$56,6,FALSE)&gt;=VLOOKUP(58,main!$A$57:$I$61,4,FALSE)+VLOOKUP(VLOOKUP(AV$1,main!$A$3:$I$56,7,FALSE),main!$K$10:$Q$14,6,FALSE),1,0)</f>
        <v>0</v>
      </c>
      <c r="AW209">
        <f>IF(VLOOKUP(AW$1,main!$A$3:$I$56,5,FALSE)-VLOOKUP($A209,main!$A$3:$I$56,6,FALSE)&gt;=VLOOKUP(58,main!$A$57:$I$61,4,FALSE)+VLOOKUP(VLOOKUP(AW$1,main!$A$3:$I$56,7,FALSE),main!$K$10:$Q$14,6,FALSE),1,0)</f>
        <v>0</v>
      </c>
      <c r="AX209">
        <f>IF(VLOOKUP(AX$1,main!$A$3:$I$56,5,FALSE)-VLOOKUP($A209,main!$A$3:$I$56,6,FALSE)&gt;=VLOOKUP(58,main!$A$57:$I$61,4,FALSE)+VLOOKUP(VLOOKUP(AX$1,main!$A$3:$I$56,7,FALSE),main!$K$10:$Q$14,6,FALSE),1,0)</f>
        <v>0</v>
      </c>
      <c r="AY209">
        <f>IF(VLOOKUP(AY$1,main!$A$3:$I$56,5,FALSE)-VLOOKUP($A209,main!$A$3:$I$56,6,FALSE)&gt;=VLOOKUP(58,main!$A$57:$I$61,4,FALSE)+VLOOKUP(VLOOKUP(AY$1,main!$A$3:$I$56,7,FALSE),main!$K$10:$Q$14,6,FALSE),1,0)</f>
        <v>1</v>
      </c>
      <c r="AZ209">
        <f>IF(VLOOKUP(AZ$1,main!$A$3:$I$56,5,FALSE)-VLOOKUP($A209,main!$A$3:$I$56,6,FALSE)&gt;=VLOOKUP(58,main!$A$57:$I$61,4,FALSE)+VLOOKUP(VLOOKUP(AZ$1,main!$A$3:$I$56,7,FALSE),main!$K$10:$Q$14,6,FALSE),1,0)</f>
        <v>0</v>
      </c>
      <c r="BA209">
        <f>IF(VLOOKUP(BA$1,main!$A$3:$I$56,5,FALSE)-VLOOKUP($A209,main!$A$3:$I$56,6,FALSE)&gt;=VLOOKUP(58,main!$A$57:$I$61,4,FALSE)+VLOOKUP(VLOOKUP(BA$1,main!$A$3:$I$56,7,FALSE),main!$K$10:$Q$14,6,FALSE),1,0)</f>
        <v>0</v>
      </c>
      <c r="BB209">
        <f>IF(VLOOKUP(BB$1,main!$A$3:$I$56,5,FALSE)-VLOOKUP($A209,main!$A$3:$I$56,6,FALSE)&gt;=VLOOKUP(58,main!$A$57:$I$61,4,FALSE)+VLOOKUP(VLOOKUP(BB$1,main!$A$3:$I$56,7,FALSE),main!$K$10:$Q$14,6,FALSE),1,0)</f>
        <v>0</v>
      </c>
      <c r="BC209">
        <f>IF(VLOOKUP(BC$1,main!$A$3:$I$56,5,FALSE)-VLOOKUP($A209,main!$A$3:$I$56,6,FALSE)&gt;=VLOOKUP(58,main!$A$57:$I$61,4,FALSE)+VLOOKUP(VLOOKUP(BC$1,main!$A$3:$I$56,7,FALSE),main!$K$10:$Q$14,6,FALSE),1,0)</f>
        <v>0</v>
      </c>
      <c r="BD209">
        <f>IF(VLOOKUP(BD$1,main!$A$3:$I$56,5,FALSE)-VLOOKUP($A209,main!$A$3:$I$56,6,FALSE)&gt;=VLOOKUP(58,main!$A$57:$I$61,4,FALSE)+VLOOKUP(VLOOKUP(BD$1,main!$A$3:$I$56,7,FALSE),main!$K$10:$Q$14,6,FALSE),1,0)</f>
        <v>0</v>
      </c>
    </row>
    <row r="210" spans="1:56" x14ac:dyDescent="0.25">
      <c r="A210">
        <f t="shared" si="3"/>
        <v>43</v>
      </c>
      <c r="B210">
        <v>0</v>
      </c>
      <c r="C210">
        <f>IF(VLOOKUP(C$1,main!$A$3:$I$56,5,FALSE)-VLOOKUP($A210,main!$A$3:$I$56,6,FALSE)&gt;=VLOOKUP(58,main!$A$57:$I$61,4,FALSE)+VLOOKUP(VLOOKUP(C$1,main!$A$3:$I$56,7,FALSE),main!$K$10:$Q$14,6,FALSE),1,0)</f>
        <v>0</v>
      </c>
      <c r="D210">
        <f>IF(VLOOKUP(D$1,main!$A$3:$I$56,5,FALSE)-VLOOKUP($A210,main!$A$3:$I$56,6,FALSE)&gt;=VLOOKUP(58,main!$A$57:$I$61,4,FALSE)+VLOOKUP(VLOOKUP(D$1,main!$A$3:$I$56,7,FALSE),main!$K$10:$Q$14,6,FALSE),1,0)</f>
        <v>0</v>
      </c>
      <c r="E210">
        <f>IF(VLOOKUP(E$1,main!$A$3:$I$56,5,FALSE)-VLOOKUP($A210,main!$A$3:$I$56,6,FALSE)&gt;=VLOOKUP(58,main!$A$57:$I$61,4,FALSE)+VLOOKUP(VLOOKUP(E$1,main!$A$3:$I$56,7,FALSE),main!$K$10:$Q$14,6,FALSE),1,0)</f>
        <v>0</v>
      </c>
      <c r="F210">
        <f>IF(VLOOKUP(F$1,main!$A$3:$I$56,5,FALSE)-VLOOKUP($A210,main!$A$3:$I$56,6,FALSE)&gt;=VLOOKUP(58,main!$A$57:$I$61,4,FALSE)+VLOOKUP(VLOOKUP(F$1,main!$A$3:$I$56,7,FALSE),main!$K$10:$Q$14,6,FALSE),1,0)</f>
        <v>0</v>
      </c>
      <c r="G210">
        <f>IF(VLOOKUP(G$1,main!$A$3:$I$56,5,FALSE)-VLOOKUP($A210,main!$A$3:$I$56,6,FALSE)&gt;=VLOOKUP(58,main!$A$57:$I$61,4,FALSE)+VLOOKUP(VLOOKUP(G$1,main!$A$3:$I$56,7,FALSE),main!$K$10:$Q$14,6,FALSE),1,0)</f>
        <v>0</v>
      </c>
      <c r="H210">
        <f>IF(VLOOKUP(H$1,main!$A$3:$I$56,5,FALSE)-VLOOKUP($A210,main!$A$3:$I$56,6,FALSE)&gt;=VLOOKUP(58,main!$A$57:$I$61,4,FALSE)+VLOOKUP(VLOOKUP(H$1,main!$A$3:$I$56,7,FALSE),main!$K$10:$Q$14,6,FALSE),1,0)</f>
        <v>0</v>
      </c>
      <c r="I210">
        <f>IF(VLOOKUP(I$1,main!$A$3:$I$56,5,FALSE)-VLOOKUP($A210,main!$A$3:$I$56,6,FALSE)&gt;=VLOOKUP(58,main!$A$57:$I$61,4,FALSE)+VLOOKUP(VLOOKUP(I$1,main!$A$3:$I$56,7,FALSE),main!$K$10:$Q$14,6,FALSE),1,0)</f>
        <v>1</v>
      </c>
      <c r="J210">
        <f>IF(VLOOKUP(J$1,main!$A$3:$I$56,5,FALSE)-VLOOKUP($A210,main!$A$3:$I$56,6,FALSE)&gt;=VLOOKUP(58,main!$A$57:$I$61,4,FALSE)+VLOOKUP(VLOOKUP(J$1,main!$A$3:$I$56,7,FALSE),main!$K$10:$Q$14,6,FALSE),1,0)</f>
        <v>1</v>
      </c>
      <c r="K210">
        <f>IF(VLOOKUP(K$1,main!$A$3:$I$56,5,FALSE)-VLOOKUP($A210,main!$A$3:$I$56,6,FALSE)&gt;=VLOOKUP(58,main!$A$57:$I$61,4,FALSE)+VLOOKUP(VLOOKUP(K$1,main!$A$3:$I$56,7,FALSE),main!$K$10:$Q$14,6,FALSE),1,0)</f>
        <v>0</v>
      </c>
      <c r="L210">
        <f>IF(VLOOKUP(L$1,main!$A$3:$I$56,5,FALSE)-VLOOKUP($A210,main!$A$3:$I$56,6,FALSE)&gt;=VLOOKUP(58,main!$A$57:$I$61,4,FALSE)+VLOOKUP(VLOOKUP(L$1,main!$A$3:$I$56,7,FALSE),main!$K$10:$Q$14,6,FALSE),1,0)</f>
        <v>0</v>
      </c>
      <c r="M210">
        <f>IF(VLOOKUP(M$1,main!$A$3:$I$56,5,FALSE)-VLOOKUP($A210,main!$A$3:$I$56,6,FALSE)&gt;=VLOOKUP(58,main!$A$57:$I$61,4,FALSE)+VLOOKUP(VLOOKUP(M$1,main!$A$3:$I$56,7,FALSE),main!$K$10:$Q$14,6,FALSE),1,0)</f>
        <v>0</v>
      </c>
      <c r="N210">
        <f>IF(VLOOKUP(N$1,main!$A$3:$I$56,5,FALSE)-VLOOKUP($A210,main!$A$3:$I$56,6,FALSE)&gt;=VLOOKUP(58,main!$A$57:$I$61,4,FALSE)+VLOOKUP(VLOOKUP(N$1,main!$A$3:$I$56,7,FALSE),main!$K$10:$Q$14,6,FALSE),1,0)</f>
        <v>1</v>
      </c>
      <c r="O210">
        <f>IF(VLOOKUP(O$1,main!$A$3:$I$56,5,FALSE)-VLOOKUP($A210,main!$A$3:$I$56,6,FALSE)&gt;=VLOOKUP(58,main!$A$57:$I$61,4,FALSE)+VLOOKUP(VLOOKUP(O$1,main!$A$3:$I$56,7,FALSE),main!$K$10:$Q$14,6,FALSE),1,0)</f>
        <v>1</v>
      </c>
      <c r="P210">
        <f>IF(VLOOKUP(P$1,main!$A$3:$I$56,5,FALSE)-VLOOKUP($A210,main!$A$3:$I$56,6,FALSE)&gt;=VLOOKUP(58,main!$A$57:$I$61,4,FALSE)+VLOOKUP(VLOOKUP(P$1,main!$A$3:$I$56,7,FALSE),main!$K$10:$Q$14,6,FALSE),1,0)</f>
        <v>0</v>
      </c>
      <c r="Q210">
        <f>IF(VLOOKUP(Q$1,main!$A$3:$I$56,5,FALSE)-VLOOKUP($A210,main!$A$3:$I$56,6,FALSE)&gt;=VLOOKUP(58,main!$A$57:$I$61,4,FALSE)+VLOOKUP(VLOOKUP(Q$1,main!$A$3:$I$56,7,FALSE),main!$K$10:$Q$14,6,FALSE),1,0)</f>
        <v>0</v>
      </c>
      <c r="R210">
        <f>IF(VLOOKUP(R$1,main!$A$3:$I$56,5,FALSE)-VLOOKUP($A210,main!$A$3:$I$56,6,FALSE)&gt;=VLOOKUP(58,main!$A$57:$I$61,4,FALSE)+VLOOKUP(VLOOKUP(R$1,main!$A$3:$I$56,7,FALSE),main!$K$10:$Q$14,6,FALSE),1,0)</f>
        <v>0</v>
      </c>
      <c r="S210">
        <f>IF(VLOOKUP(S$1,main!$A$3:$I$56,5,FALSE)-VLOOKUP($A210,main!$A$3:$I$56,6,FALSE)&gt;=VLOOKUP(58,main!$A$57:$I$61,4,FALSE)+VLOOKUP(VLOOKUP(S$1,main!$A$3:$I$56,7,FALSE),main!$K$10:$Q$14,6,FALSE),1,0)</f>
        <v>0</v>
      </c>
      <c r="T210">
        <f>IF(VLOOKUP(T$1,main!$A$3:$I$56,5,FALSE)-VLOOKUP($A210,main!$A$3:$I$56,6,FALSE)&gt;=VLOOKUP(58,main!$A$57:$I$61,4,FALSE)+VLOOKUP(VLOOKUP(T$1,main!$A$3:$I$56,7,FALSE),main!$K$10:$Q$14,6,FALSE),1,0)</f>
        <v>1</v>
      </c>
      <c r="U210">
        <f>IF(VLOOKUP(U$1,main!$A$3:$I$56,5,FALSE)-VLOOKUP($A210,main!$A$3:$I$56,6,FALSE)&gt;=VLOOKUP(58,main!$A$57:$I$61,4,FALSE)+VLOOKUP(VLOOKUP(U$1,main!$A$3:$I$56,7,FALSE),main!$K$10:$Q$14,6,FALSE),1,0)</f>
        <v>0</v>
      </c>
      <c r="V210">
        <f>IF(VLOOKUP(V$1,main!$A$3:$I$56,5,FALSE)-VLOOKUP($A210,main!$A$3:$I$56,6,FALSE)&gt;=VLOOKUP(58,main!$A$57:$I$61,4,FALSE)+VLOOKUP(VLOOKUP(V$1,main!$A$3:$I$56,7,FALSE),main!$K$10:$Q$14,6,FALSE),1,0)</f>
        <v>0</v>
      </c>
      <c r="W210">
        <f>IF(VLOOKUP(W$1,main!$A$3:$I$56,5,FALSE)-VLOOKUP($A210,main!$A$3:$I$56,6,FALSE)&gt;=VLOOKUP(58,main!$A$57:$I$61,4,FALSE)+VLOOKUP(VLOOKUP(W$1,main!$A$3:$I$56,7,FALSE),main!$K$10:$Q$14,6,FALSE),1,0)</f>
        <v>0</v>
      </c>
      <c r="X210">
        <f>IF(VLOOKUP(X$1,main!$A$3:$I$56,5,FALSE)-VLOOKUP($A210,main!$A$3:$I$56,6,FALSE)&gt;=VLOOKUP(58,main!$A$57:$I$61,4,FALSE)+VLOOKUP(VLOOKUP(X$1,main!$A$3:$I$56,7,FALSE),main!$K$10:$Q$14,6,FALSE),1,0)</f>
        <v>0</v>
      </c>
      <c r="Y210">
        <f>IF(VLOOKUP(Y$1,main!$A$3:$I$56,5,FALSE)-VLOOKUP($A210,main!$A$3:$I$56,6,FALSE)&gt;=VLOOKUP(58,main!$A$57:$I$61,4,FALSE)+VLOOKUP(VLOOKUP(Y$1,main!$A$3:$I$56,7,FALSE),main!$K$10:$Q$14,6,FALSE),1,0)</f>
        <v>0</v>
      </c>
      <c r="Z210">
        <f>IF(VLOOKUP(Z$1,main!$A$3:$I$56,5,FALSE)-VLOOKUP($A210,main!$A$3:$I$56,6,FALSE)&gt;=VLOOKUP(58,main!$A$57:$I$61,4,FALSE)+VLOOKUP(VLOOKUP(Z$1,main!$A$3:$I$56,7,FALSE),main!$K$10:$Q$14,6,FALSE),1,0)</f>
        <v>0</v>
      </c>
      <c r="AA210">
        <f>IF(VLOOKUP(AA$1,main!$A$3:$I$56,5,FALSE)-VLOOKUP($A210,main!$A$3:$I$56,6,FALSE)&gt;=VLOOKUP(58,main!$A$57:$I$61,4,FALSE)+VLOOKUP(VLOOKUP(AA$1,main!$A$3:$I$56,7,FALSE),main!$K$10:$Q$14,6,FALSE),1,0)</f>
        <v>0</v>
      </c>
      <c r="AB210">
        <f>IF(VLOOKUP(AB$1,main!$A$3:$I$56,5,FALSE)-VLOOKUP($A210,main!$A$3:$I$56,6,FALSE)&gt;=VLOOKUP(58,main!$A$57:$I$61,4,FALSE)+VLOOKUP(VLOOKUP(AB$1,main!$A$3:$I$56,7,FALSE),main!$K$10:$Q$14,6,FALSE),1,0)</f>
        <v>1</v>
      </c>
      <c r="AC210">
        <f>IF(VLOOKUP(AC$1,main!$A$3:$I$56,5,FALSE)-VLOOKUP($A210,main!$A$3:$I$56,6,FALSE)&gt;=VLOOKUP(58,main!$A$57:$I$61,4,FALSE)+VLOOKUP(VLOOKUP(AC$1,main!$A$3:$I$56,7,FALSE),main!$K$10:$Q$14,6,FALSE),1,0)</f>
        <v>0</v>
      </c>
      <c r="AD210">
        <f>IF(VLOOKUP(AD$1,main!$A$3:$I$56,5,FALSE)-VLOOKUP($A210,main!$A$3:$I$56,6,FALSE)&gt;=VLOOKUP(58,main!$A$57:$I$61,4,FALSE)+VLOOKUP(VLOOKUP(AD$1,main!$A$3:$I$56,7,FALSE),main!$K$10:$Q$14,6,FALSE),1,0)</f>
        <v>0</v>
      </c>
      <c r="AE210">
        <f>IF(VLOOKUP(AE$1,main!$A$3:$I$56,5,FALSE)-VLOOKUP($A210,main!$A$3:$I$56,6,FALSE)&gt;=VLOOKUP(58,main!$A$57:$I$61,4,FALSE)+VLOOKUP(VLOOKUP(AE$1,main!$A$3:$I$56,7,FALSE),main!$K$10:$Q$14,6,FALSE),1,0)</f>
        <v>0</v>
      </c>
      <c r="AF210">
        <f>IF(VLOOKUP(AF$1,main!$A$3:$I$56,5,FALSE)-VLOOKUP($A210,main!$A$3:$I$56,6,FALSE)&gt;=VLOOKUP(58,main!$A$57:$I$61,4,FALSE)+VLOOKUP(VLOOKUP(AF$1,main!$A$3:$I$56,7,FALSE),main!$K$10:$Q$14,6,FALSE),1,0)</f>
        <v>0</v>
      </c>
      <c r="AG210">
        <f>IF(VLOOKUP(AG$1,main!$A$3:$I$56,5,FALSE)-VLOOKUP($A210,main!$A$3:$I$56,6,FALSE)&gt;=VLOOKUP(58,main!$A$57:$I$61,4,FALSE)+VLOOKUP(VLOOKUP(AG$1,main!$A$3:$I$56,7,FALSE),main!$K$10:$Q$14,6,FALSE),1,0)</f>
        <v>0</v>
      </c>
      <c r="AH210">
        <f>IF(VLOOKUP(AH$1,main!$A$3:$I$56,5,FALSE)-VLOOKUP($A210,main!$A$3:$I$56,6,FALSE)&gt;=VLOOKUP(58,main!$A$57:$I$61,4,FALSE)+VLOOKUP(VLOOKUP(AH$1,main!$A$3:$I$56,7,FALSE),main!$K$10:$Q$14,6,FALSE),1,0)</f>
        <v>0</v>
      </c>
      <c r="AI210">
        <f>IF(VLOOKUP(AI$1,main!$A$3:$I$56,5,FALSE)-VLOOKUP($A210,main!$A$3:$I$56,6,FALSE)&gt;=VLOOKUP(58,main!$A$57:$I$61,4,FALSE)+VLOOKUP(VLOOKUP(AI$1,main!$A$3:$I$56,7,FALSE),main!$K$10:$Q$14,6,FALSE),1,0)</f>
        <v>0</v>
      </c>
      <c r="AJ210">
        <f>IF(VLOOKUP(AJ$1,main!$A$3:$I$56,5,FALSE)-VLOOKUP($A210,main!$A$3:$I$56,6,FALSE)&gt;=VLOOKUP(58,main!$A$57:$I$61,4,FALSE)+VLOOKUP(VLOOKUP(AJ$1,main!$A$3:$I$56,7,FALSE),main!$K$10:$Q$14,6,FALSE),1,0)</f>
        <v>0</v>
      </c>
      <c r="AK210">
        <f>IF(VLOOKUP(AK$1,main!$A$3:$I$56,5,FALSE)-VLOOKUP($A210,main!$A$3:$I$56,6,FALSE)&gt;=VLOOKUP(58,main!$A$57:$I$61,4,FALSE)+VLOOKUP(VLOOKUP(AK$1,main!$A$3:$I$56,7,FALSE),main!$K$10:$Q$14,6,FALSE),1,0)</f>
        <v>1</v>
      </c>
      <c r="AL210">
        <f>IF(VLOOKUP(AL$1,main!$A$3:$I$56,5,FALSE)-VLOOKUP($A210,main!$A$3:$I$56,6,FALSE)&gt;=VLOOKUP(58,main!$A$57:$I$61,4,FALSE)+VLOOKUP(VLOOKUP(AL$1,main!$A$3:$I$56,7,FALSE),main!$K$10:$Q$14,6,FALSE),1,0)</f>
        <v>0</v>
      </c>
      <c r="AM210">
        <f>IF(VLOOKUP(AM$1,main!$A$3:$I$56,5,FALSE)-VLOOKUP($A210,main!$A$3:$I$56,6,FALSE)&gt;=VLOOKUP(58,main!$A$57:$I$61,4,FALSE)+VLOOKUP(VLOOKUP(AM$1,main!$A$3:$I$56,7,FALSE),main!$K$10:$Q$14,6,FALSE),1,0)</f>
        <v>0</v>
      </c>
      <c r="AN210">
        <f>IF(VLOOKUP(AN$1,main!$A$3:$I$56,5,FALSE)-VLOOKUP($A210,main!$A$3:$I$56,6,FALSE)&gt;=VLOOKUP(58,main!$A$57:$I$61,4,FALSE)+VLOOKUP(VLOOKUP(AN$1,main!$A$3:$I$56,7,FALSE),main!$K$10:$Q$14,6,FALSE),1,0)</f>
        <v>0</v>
      </c>
      <c r="AO210">
        <f>IF(VLOOKUP(AO$1,main!$A$3:$I$56,5,FALSE)-VLOOKUP($A210,main!$A$3:$I$56,6,FALSE)&gt;=VLOOKUP(58,main!$A$57:$I$61,4,FALSE)+VLOOKUP(VLOOKUP(AO$1,main!$A$3:$I$56,7,FALSE),main!$K$10:$Q$14,6,FALSE),1,0)</f>
        <v>0</v>
      </c>
      <c r="AP210">
        <f>IF(VLOOKUP(AP$1,main!$A$3:$I$56,5,FALSE)-VLOOKUP($A210,main!$A$3:$I$56,6,FALSE)&gt;=VLOOKUP(58,main!$A$57:$I$61,4,FALSE)+VLOOKUP(VLOOKUP(AP$1,main!$A$3:$I$56,7,FALSE),main!$K$10:$Q$14,6,FALSE),1,0)</f>
        <v>0</v>
      </c>
      <c r="AQ210">
        <f>IF(VLOOKUP(AQ$1,main!$A$3:$I$56,5,FALSE)-VLOOKUP($A210,main!$A$3:$I$56,6,FALSE)&gt;=VLOOKUP(58,main!$A$57:$I$61,4,FALSE)+VLOOKUP(VLOOKUP(AQ$1,main!$A$3:$I$56,7,FALSE),main!$K$10:$Q$14,6,FALSE),1,0)</f>
        <v>0</v>
      </c>
      <c r="AR210">
        <f>IF(VLOOKUP(AR$1,main!$A$3:$I$56,5,FALSE)-VLOOKUP($A210,main!$A$3:$I$56,6,FALSE)&gt;=VLOOKUP(58,main!$A$57:$I$61,4,FALSE)+VLOOKUP(VLOOKUP(AR$1,main!$A$3:$I$56,7,FALSE),main!$K$10:$Q$14,6,FALSE),1,0)</f>
        <v>0</v>
      </c>
      <c r="AS210">
        <f>IF(VLOOKUP(AS$1,main!$A$3:$I$56,5,FALSE)-VLOOKUP($A210,main!$A$3:$I$56,6,FALSE)&gt;=VLOOKUP(58,main!$A$57:$I$61,4,FALSE)+VLOOKUP(VLOOKUP(AS$1,main!$A$3:$I$56,7,FALSE),main!$K$10:$Q$14,6,FALSE),1,0)</f>
        <v>0</v>
      </c>
      <c r="AT210">
        <f>IF(VLOOKUP(AT$1,main!$A$3:$I$56,5,FALSE)-VLOOKUP($A210,main!$A$3:$I$56,6,FALSE)&gt;=VLOOKUP(58,main!$A$57:$I$61,4,FALSE)+VLOOKUP(VLOOKUP(AT$1,main!$A$3:$I$56,7,FALSE),main!$K$10:$Q$14,6,FALSE),1,0)</f>
        <v>0</v>
      </c>
      <c r="AU210">
        <f>IF(VLOOKUP(AU$1,main!$A$3:$I$56,5,FALSE)-VLOOKUP($A210,main!$A$3:$I$56,6,FALSE)&gt;=VLOOKUP(58,main!$A$57:$I$61,4,FALSE)+VLOOKUP(VLOOKUP(AU$1,main!$A$3:$I$56,7,FALSE),main!$K$10:$Q$14,6,FALSE),1,0)</f>
        <v>0</v>
      </c>
      <c r="AV210">
        <f>IF(VLOOKUP(AV$1,main!$A$3:$I$56,5,FALSE)-VLOOKUP($A210,main!$A$3:$I$56,6,FALSE)&gt;=VLOOKUP(58,main!$A$57:$I$61,4,FALSE)+VLOOKUP(VLOOKUP(AV$1,main!$A$3:$I$56,7,FALSE),main!$K$10:$Q$14,6,FALSE),1,0)</f>
        <v>0</v>
      </c>
      <c r="AW210">
        <f>IF(VLOOKUP(AW$1,main!$A$3:$I$56,5,FALSE)-VLOOKUP($A210,main!$A$3:$I$56,6,FALSE)&gt;=VLOOKUP(58,main!$A$57:$I$61,4,FALSE)+VLOOKUP(VLOOKUP(AW$1,main!$A$3:$I$56,7,FALSE),main!$K$10:$Q$14,6,FALSE),1,0)</f>
        <v>0</v>
      </c>
      <c r="AX210">
        <f>IF(VLOOKUP(AX$1,main!$A$3:$I$56,5,FALSE)-VLOOKUP($A210,main!$A$3:$I$56,6,FALSE)&gt;=VLOOKUP(58,main!$A$57:$I$61,4,FALSE)+VLOOKUP(VLOOKUP(AX$1,main!$A$3:$I$56,7,FALSE),main!$K$10:$Q$14,6,FALSE),1,0)</f>
        <v>0</v>
      </c>
      <c r="AY210">
        <f>IF(VLOOKUP(AY$1,main!$A$3:$I$56,5,FALSE)-VLOOKUP($A210,main!$A$3:$I$56,6,FALSE)&gt;=VLOOKUP(58,main!$A$57:$I$61,4,FALSE)+VLOOKUP(VLOOKUP(AY$1,main!$A$3:$I$56,7,FALSE),main!$K$10:$Q$14,6,FALSE),1,0)</f>
        <v>0</v>
      </c>
      <c r="AZ210">
        <f>IF(VLOOKUP(AZ$1,main!$A$3:$I$56,5,FALSE)-VLOOKUP($A210,main!$A$3:$I$56,6,FALSE)&gt;=VLOOKUP(58,main!$A$57:$I$61,4,FALSE)+VLOOKUP(VLOOKUP(AZ$1,main!$A$3:$I$56,7,FALSE),main!$K$10:$Q$14,6,FALSE),1,0)</f>
        <v>0</v>
      </c>
      <c r="BA210">
        <f>IF(VLOOKUP(BA$1,main!$A$3:$I$56,5,FALSE)-VLOOKUP($A210,main!$A$3:$I$56,6,FALSE)&gt;=VLOOKUP(58,main!$A$57:$I$61,4,FALSE)+VLOOKUP(VLOOKUP(BA$1,main!$A$3:$I$56,7,FALSE),main!$K$10:$Q$14,6,FALSE),1,0)</f>
        <v>0</v>
      </c>
      <c r="BB210">
        <f>IF(VLOOKUP(BB$1,main!$A$3:$I$56,5,FALSE)-VLOOKUP($A210,main!$A$3:$I$56,6,FALSE)&gt;=VLOOKUP(58,main!$A$57:$I$61,4,FALSE)+VLOOKUP(VLOOKUP(BB$1,main!$A$3:$I$56,7,FALSE),main!$K$10:$Q$14,6,FALSE),1,0)</f>
        <v>0</v>
      </c>
      <c r="BC210">
        <f>IF(VLOOKUP(BC$1,main!$A$3:$I$56,5,FALSE)-VLOOKUP($A210,main!$A$3:$I$56,6,FALSE)&gt;=VLOOKUP(58,main!$A$57:$I$61,4,FALSE)+VLOOKUP(VLOOKUP(BC$1,main!$A$3:$I$56,7,FALSE),main!$K$10:$Q$14,6,FALSE),1,0)</f>
        <v>0</v>
      </c>
      <c r="BD210">
        <f>IF(VLOOKUP(BD$1,main!$A$3:$I$56,5,FALSE)-VLOOKUP($A210,main!$A$3:$I$56,6,FALSE)&gt;=VLOOKUP(58,main!$A$57:$I$61,4,FALSE)+VLOOKUP(VLOOKUP(BD$1,main!$A$3:$I$56,7,FALSE),main!$K$10:$Q$14,6,FALSE),1,0)</f>
        <v>0</v>
      </c>
    </row>
    <row r="211" spans="1:56" x14ac:dyDescent="0.25">
      <c r="A211">
        <f t="shared" si="3"/>
        <v>44</v>
      </c>
      <c r="B211">
        <v>0</v>
      </c>
      <c r="C211">
        <f>IF(VLOOKUP(C$1,main!$A$3:$I$56,5,FALSE)-VLOOKUP($A211,main!$A$3:$I$56,6,FALSE)&gt;=VLOOKUP(58,main!$A$57:$I$61,4,FALSE)+VLOOKUP(VLOOKUP(C$1,main!$A$3:$I$56,7,FALSE),main!$K$10:$Q$14,6,FALSE),1,0)</f>
        <v>0</v>
      </c>
      <c r="D211">
        <f>IF(VLOOKUP(D$1,main!$A$3:$I$56,5,FALSE)-VLOOKUP($A211,main!$A$3:$I$56,6,FALSE)&gt;=VLOOKUP(58,main!$A$57:$I$61,4,FALSE)+VLOOKUP(VLOOKUP(D$1,main!$A$3:$I$56,7,FALSE),main!$K$10:$Q$14,6,FALSE),1,0)</f>
        <v>0</v>
      </c>
      <c r="E211">
        <f>IF(VLOOKUP(E$1,main!$A$3:$I$56,5,FALSE)-VLOOKUP($A211,main!$A$3:$I$56,6,FALSE)&gt;=VLOOKUP(58,main!$A$57:$I$61,4,FALSE)+VLOOKUP(VLOOKUP(E$1,main!$A$3:$I$56,7,FALSE),main!$K$10:$Q$14,6,FALSE),1,0)</f>
        <v>0</v>
      </c>
      <c r="F211">
        <f>IF(VLOOKUP(F$1,main!$A$3:$I$56,5,FALSE)-VLOOKUP($A211,main!$A$3:$I$56,6,FALSE)&gt;=VLOOKUP(58,main!$A$57:$I$61,4,FALSE)+VLOOKUP(VLOOKUP(F$1,main!$A$3:$I$56,7,FALSE),main!$K$10:$Q$14,6,FALSE),1,0)</f>
        <v>0</v>
      </c>
      <c r="G211">
        <f>IF(VLOOKUP(G$1,main!$A$3:$I$56,5,FALSE)-VLOOKUP($A211,main!$A$3:$I$56,6,FALSE)&gt;=VLOOKUP(58,main!$A$57:$I$61,4,FALSE)+VLOOKUP(VLOOKUP(G$1,main!$A$3:$I$56,7,FALSE),main!$K$10:$Q$14,6,FALSE),1,0)</f>
        <v>0</v>
      </c>
      <c r="H211">
        <f>IF(VLOOKUP(H$1,main!$A$3:$I$56,5,FALSE)-VLOOKUP($A211,main!$A$3:$I$56,6,FALSE)&gt;=VLOOKUP(58,main!$A$57:$I$61,4,FALSE)+VLOOKUP(VLOOKUP(H$1,main!$A$3:$I$56,7,FALSE),main!$K$10:$Q$14,6,FALSE),1,0)</f>
        <v>0</v>
      </c>
      <c r="I211">
        <f>IF(VLOOKUP(I$1,main!$A$3:$I$56,5,FALSE)-VLOOKUP($A211,main!$A$3:$I$56,6,FALSE)&gt;=VLOOKUP(58,main!$A$57:$I$61,4,FALSE)+VLOOKUP(VLOOKUP(I$1,main!$A$3:$I$56,7,FALSE),main!$K$10:$Q$14,6,FALSE),1,0)</f>
        <v>0</v>
      </c>
      <c r="J211">
        <f>IF(VLOOKUP(J$1,main!$A$3:$I$56,5,FALSE)-VLOOKUP($A211,main!$A$3:$I$56,6,FALSE)&gt;=VLOOKUP(58,main!$A$57:$I$61,4,FALSE)+VLOOKUP(VLOOKUP(J$1,main!$A$3:$I$56,7,FALSE),main!$K$10:$Q$14,6,FALSE),1,0)</f>
        <v>1</v>
      </c>
      <c r="K211">
        <f>IF(VLOOKUP(K$1,main!$A$3:$I$56,5,FALSE)-VLOOKUP($A211,main!$A$3:$I$56,6,FALSE)&gt;=VLOOKUP(58,main!$A$57:$I$61,4,FALSE)+VLOOKUP(VLOOKUP(K$1,main!$A$3:$I$56,7,FALSE),main!$K$10:$Q$14,6,FALSE),1,0)</f>
        <v>0</v>
      </c>
      <c r="L211">
        <f>IF(VLOOKUP(L$1,main!$A$3:$I$56,5,FALSE)-VLOOKUP($A211,main!$A$3:$I$56,6,FALSE)&gt;=VLOOKUP(58,main!$A$57:$I$61,4,FALSE)+VLOOKUP(VLOOKUP(L$1,main!$A$3:$I$56,7,FALSE),main!$K$10:$Q$14,6,FALSE),1,0)</f>
        <v>0</v>
      </c>
      <c r="M211">
        <f>IF(VLOOKUP(M$1,main!$A$3:$I$56,5,FALSE)-VLOOKUP($A211,main!$A$3:$I$56,6,FALSE)&gt;=VLOOKUP(58,main!$A$57:$I$61,4,FALSE)+VLOOKUP(VLOOKUP(M$1,main!$A$3:$I$56,7,FALSE),main!$K$10:$Q$14,6,FALSE),1,0)</f>
        <v>0</v>
      </c>
      <c r="N211">
        <f>IF(VLOOKUP(N$1,main!$A$3:$I$56,5,FALSE)-VLOOKUP($A211,main!$A$3:$I$56,6,FALSE)&gt;=VLOOKUP(58,main!$A$57:$I$61,4,FALSE)+VLOOKUP(VLOOKUP(N$1,main!$A$3:$I$56,7,FALSE),main!$K$10:$Q$14,6,FALSE),1,0)</f>
        <v>0</v>
      </c>
      <c r="O211">
        <f>IF(VLOOKUP(O$1,main!$A$3:$I$56,5,FALSE)-VLOOKUP($A211,main!$A$3:$I$56,6,FALSE)&gt;=VLOOKUP(58,main!$A$57:$I$61,4,FALSE)+VLOOKUP(VLOOKUP(O$1,main!$A$3:$I$56,7,FALSE),main!$K$10:$Q$14,6,FALSE),1,0)</f>
        <v>1</v>
      </c>
      <c r="P211">
        <f>IF(VLOOKUP(P$1,main!$A$3:$I$56,5,FALSE)-VLOOKUP($A211,main!$A$3:$I$56,6,FALSE)&gt;=VLOOKUP(58,main!$A$57:$I$61,4,FALSE)+VLOOKUP(VLOOKUP(P$1,main!$A$3:$I$56,7,FALSE),main!$K$10:$Q$14,6,FALSE),1,0)</f>
        <v>0</v>
      </c>
      <c r="Q211">
        <f>IF(VLOOKUP(Q$1,main!$A$3:$I$56,5,FALSE)-VLOOKUP($A211,main!$A$3:$I$56,6,FALSE)&gt;=VLOOKUP(58,main!$A$57:$I$61,4,FALSE)+VLOOKUP(VLOOKUP(Q$1,main!$A$3:$I$56,7,FALSE),main!$K$10:$Q$14,6,FALSE),1,0)</f>
        <v>0</v>
      </c>
      <c r="R211">
        <f>IF(VLOOKUP(R$1,main!$A$3:$I$56,5,FALSE)-VLOOKUP($A211,main!$A$3:$I$56,6,FALSE)&gt;=VLOOKUP(58,main!$A$57:$I$61,4,FALSE)+VLOOKUP(VLOOKUP(R$1,main!$A$3:$I$56,7,FALSE),main!$K$10:$Q$14,6,FALSE),1,0)</f>
        <v>0</v>
      </c>
      <c r="S211">
        <f>IF(VLOOKUP(S$1,main!$A$3:$I$56,5,FALSE)-VLOOKUP($A211,main!$A$3:$I$56,6,FALSE)&gt;=VLOOKUP(58,main!$A$57:$I$61,4,FALSE)+VLOOKUP(VLOOKUP(S$1,main!$A$3:$I$56,7,FALSE),main!$K$10:$Q$14,6,FALSE),1,0)</f>
        <v>0</v>
      </c>
      <c r="T211">
        <f>IF(VLOOKUP(T$1,main!$A$3:$I$56,5,FALSE)-VLOOKUP($A211,main!$A$3:$I$56,6,FALSE)&gt;=VLOOKUP(58,main!$A$57:$I$61,4,FALSE)+VLOOKUP(VLOOKUP(T$1,main!$A$3:$I$56,7,FALSE),main!$K$10:$Q$14,6,FALSE),1,0)</f>
        <v>0</v>
      </c>
      <c r="U211">
        <f>IF(VLOOKUP(U$1,main!$A$3:$I$56,5,FALSE)-VLOOKUP($A211,main!$A$3:$I$56,6,FALSE)&gt;=VLOOKUP(58,main!$A$57:$I$61,4,FALSE)+VLOOKUP(VLOOKUP(U$1,main!$A$3:$I$56,7,FALSE),main!$K$10:$Q$14,6,FALSE),1,0)</f>
        <v>0</v>
      </c>
      <c r="V211">
        <f>IF(VLOOKUP(V$1,main!$A$3:$I$56,5,FALSE)-VLOOKUP($A211,main!$A$3:$I$56,6,FALSE)&gt;=VLOOKUP(58,main!$A$57:$I$61,4,FALSE)+VLOOKUP(VLOOKUP(V$1,main!$A$3:$I$56,7,FALSE),main!$K$10:$Q$14,6,FALSE),1,0)</f>
        <v>0</v>
      </c>
      <c r="W211">
        <f>IF(VLOOKUP(W$1,main!$A$3:$I$56,5,FALSE)-VLOOKUP($A211,main!$A$3:$I$56,6,FALSE)&gt;=VLOOKUP(58,main!$A$57:$I$61,4,FALSE)+VLOOKUP(VLOOKUP(W$1,main!$A$3:$I$56,7,FALSE),main!$K$10:$Q$14,6,FALSE),1,0)</f>
        <v>0</v>
      </c>
      <c r="X211">
        <f>IF(VLOOKUP(X$1,main!$A$3:$I$56,5,FALSE)-VLOOKUP($A211,main!$A$3:$I$56,6,FALSE)&gt;=VLOOKUP(58,main!$A$57:$I$61,4,FALSE)+VLOOKUP(VLOOKUP(X$1,main!$A$3:$I$56,7,FALSE),main!$K$10:$Q$14,6,FALSE),1,0)</f>
        <v>0</v>
      </c>
      <c r="Y211">
        <f>IF(VLOOKUP(Y$1,main!$A$3:$I$56,5,FALSE)-VLOOKUP($A211,main!$A$3:$I$56,6,FALSE)&gt;=VLOOKUP(58,main!$A$57:$I$61,4,FALSE)+VLOOKUP(VLOOKUP(Y$1,main!$A$3:$I$56,7,FALSE),main!$K$10:$Q$14,6,FALSE),1,0)</f>
        <v>0</v>
      </c>
      <c r="Z211">
        <f>IF(VLOOKUP(Z$1,main!$A$3:$I$56,5,FALSE)-VLOOKUP($A211,main!$A$3:$I$56,6,FALSE)&gt;=VLOOKUP(58,main!$A$57:$I$61,4,FALSE)+VLOOKUP(VLOOKUP(Z$1,main!$A$3:$I$56,7,FALSE),main!$K$10:$Q$14,6,FALSE),1,0)</f>
        <v>0</v>
      </c>
      <c r="AA211">
        <f>IF(VLOOKUP(AA$1,main!$A$3:$I$56,5,FALSE)-VLOOKUP($A211,main!$A$3:$I$56,6,FALSE)&gt;=VLOOKUP(58,main!$A$57:$I$61,4,FALSE)+VLOOKUP(VLOOKUP(AA$1,main!$A$3:$I$56,7,FALSE),main!$K$10:$Q$14,6,FALSE),1,0)</f>
        <v>0</v>
      </c>
      <c r="AB211">
        <f>IF(VLOOKUP(AB$1,main!$A$3:$I$56,5,FALSE)-VLOOKUP($A211,main!$A$3:$I$56,6,FALSE)&gt;=VLOOKUP(58,main!$A$57:$I$61,4,FALSE)+VLOOKUP(VLOOKUP(AB$1,main!$A$3:$I$56,7,FALSE),main!$K$10:$Q$14,6,FALSE),1,0)</f>
        <v>0</v>
      </c>
      <c r="AC211">
        <f>IF(VLOOKUP(AC$1,main!$A$3:$I$56,5,FALSE)-VLOOKUP($A211,main!$A$3:$I$56,6,FALSE)&gt;=VLOOKUP(58,main!$A$57:$I$61,4,FALSE)+VLOOKUP(VLOOKUP(AC$1,main!$A$3:$I$56,7,FALSE),main!$K$10:$Q$14,6,FALSE),1,0)</f>
        <v>0</v>
      </c>
      <c r="AD211">
        <f>IF(VLOOKUP(AD$1,main!$A$3:$I$56,5,FALSE)-VLOOKUP($A211,main!$A$3:$I$56,6,FALSE)&gt;=VLOOKUP(58,main!$A$57:$I$61,4,FALSE)+VLOOKUP(VLOOKUP(AD$1,main!$A$3:$I$56,7,FALSE),main!$K$10:$Q$14,6,FALSE),1,0)</f>
        <v>0</v>
      </c>
      <c r="AE211">
        <f>IF(VLOOKUP(AE$1,main!$A$3:$I$56,5,FALSE)-VLOOKUP($A211,main!$A$3:$I$56,6,FALSE)&gt;=VLOOKUP(58,main!$A$57:$I$61,4,FALSE)+VLOOKUP(VLOOKUP(AE$1,main!$A$3:$I$56,7,FALSE),main!$K$10:$Q$14,6,FALSE),1,0)</f>
        <v>0</v>
      </c>
      <c r="AF211">
        <f>IF(VLOOKUP(AF$1,main!$A$3:$I$56,5,FALSE)-VLOOKUP($A211,main!$A$3:$I$56,6,FALSE)&gt;=VLOOKUP(58,main!$A$57:$I$61,4,FALSE)+VLOOKUP(VLOOKUP(AF$1,main!$A$3:$I$56,7,FALSE),main!$K$10:$Q$14,6,FALSE),1,0)</f>
        <v>0</v>
      </c>
      <c r="AG211">
        <f>IF(VLOOKUP(AG$1,main!$A$3:$I$56,5,FALSE)-VLOOKUP($A211,main!$A$3:$I$56,6,FALSE)&gt;=VLOOKUP(58,main!$A$57:$I$61,4,FALSE)+VLOOKUP(VLOOKUP(AG$1,main!$A$3:$I$56,7,FALSE),main!$K$10:$Q$14,6,FALSE),1,0)</f>
        <v>0</v>
      </c>
      <c r="AH211">
        <f>IF(VLOOKUP(AH$1,main!$A$3:$I$56,5,FALSE)-VLOOKUP($A211,main!$A$3:$I$56,6,FALSE)&gt;=VLOOKUP(58,main!$A$57:$I$61,4,FALSE)+VLOOKUP(VLOOKUP(AH$1,main!$A$3:$I$56,7,FALSE),main!$K$10:$Q$14,6,FALSE),1,0)</f>
        <v>0</v>
      </c>
      <c r="AI211">
        <f>IF(VLOOKUP(AI$1,main!$A$3:$I$56,5,FALSE)-VLOOKUP($A211,main!$A$3:$I$56,6,FALSE)&gt;=VLOOKUP(58,main!$A$57:$I$61,4,FALSE)+VLOOKUP(VLOOKUP(AI$1,main!$A$3:$I$56,7,FALSE),main!$K$10:$Q$14,6,FALSE),1,0)</f>
        <v>0</v>
      </c>
      <c r="AJ211">
        <f>IF(VLOOKUP(AJ$1,main!$A$3:$I$56,5,FALSE)-VLOOKUP($A211,main!$A$3:$I$56,6,FALSE)&gt;=VLOOKUP(58,main!$A$57:$I$61,4,FALSE)+VLOOKUP(VLOOKUP(AJ$1,main!$A$3:$I$56,7,FALSE),main!$K$10:$Q$14,6,FALSE),1,0)</f>
        <v>0</v>
      </c>
      <c r="AK211">
        <f>IF(VLOOKUP(AK$1,main!$A$3:$I$56,5,FALSE)-VLOOKUP($A211,main!$A$3:$I$56,6,FALSE)&gt;=VLOOKUP(58,main!$A$57:$I$61,4,FALSE)+VLOOKUP(VLOOKUP(AK$1,main!$A$3:$I$56,7,FALSE),main!$K$10:$Q$14,6,FALSE),1,0)</f>
        <v>1</v>
      </c>
      <c r="AL211">
        <f>IF(VLOOKUP(AL$1,main!$A$3:$I$56,5,FALSE)-VLOOKUP($A211,main!$A$3:$I$56,6,FALSE)&gt;=VLOOKUP(58,main!$A$57:$I$61,4,FALSE)+VLOOKUP(VLOOKUP(AL$1,main!$A$3:$I$56,7,FALSE),main!$K$10:$Q$14,6,FALSE),1,0)</f>
        <v>0</v>
      </c>
      <c r="AM211">
        <f>IF(VLOOKUP(AM$1,main!$A$3:$I$56,5,FALSE)-VLOOKUP($A211,main!$A$3:$I$56,6,FALSE)&gt;=VLOOKUP(58,main!$A$57:$I$61,4,FALSE)+VLOOKUP(VLOOKUP(AM$1,main!$A$3:$I$56,7,FALSE),main!$K$10:$Q$14,6,FALSE),1,0)</f>
        <v>0</v>
      </c>
      <c r="AN211">
        <f>IF(VLOOKUP(AN$1,main!$A$3:$I$56,5,FALSE)-VLOOKUP($A211,main!$A$3:$I$56,6,FALSE)&gt;=VLOOKUP(58,main!$A$57:$I$61,4,FALSE)+VLOOKUP(VLOOKUP(AN$1,main!$A$3:$I$56,7,FALSE),main!$K$10:$Q$14,6,FALSE),1,0)</f>
        <v>0</v>
      </c>
      <c r="AO211">
        <f>IF(VLOOKUP(AO$1,main!$A$3:$I$56,5,FALSE)-VLOOKUP($A211,main!$A$3:$I$56,6,FALSE)&gt;=VLOOKUP(58,main!$A$57:$I$61,4,FALSE)+VLOOKUP(VLOOKUP(AO$1,main!$A$3:$I$56,7,FALSE),main!$K$10:$Q$14,6,FALSE),1,0)</f>
        <v>0</v>
      </c>
      <c r="AP211">
        <f>IF(VLOOKUP(AP$1,main!$A$3:$I$56,5,FALSE)-VLOOKUP($A211,main!$A$3:$I$56,6,FALSE)&gt;=VLOOKUP(58,main!$A$57:$I$61,4,FALSE)+VLOOKUP(VLOOKUP(AP$1,main!$A$3:$I$56,7,FALSE),main!$K$10:$Q$14,6,FALSE),1,0)</f>
        <v>0</v>
      </c>
      <c r="AQ211">
        <f>IF(VLOOKUP(AQ$1,main!$A$3:$I$56,5,FALSE)-VLOOKUP($A211,main!$A$3:$I$56,6,FALSE)&gt;=VLOOKUP(58,main!$A$57:$I$61,4,FALSE)+VLOOKUP(VLOOKUP(AQ$1,main!$A$3:$I$56,7,FALSE),main!$K$10:$Q$14,6,FALSE),1,0)</f>
        <v>0</v>
      </c>
      <c r="AR211">
        <f>IF(VLOOKUP(AR$1,main!$A$3:$I$56,5,FALSE)-VLOOKUP($A211,main!$A$3:$I$56,6,FALSE)&gt;=VLOOKUP(58,main!$A$57:$I$61,4,FALSE)+VLOOKUP(VLOOKUP(AR$1,main!$A$3:$I$56,7,FALSE),main!$K$10:$Q$14,6,FALSE),1,0)</f>
        <v>0</v>
      </c>
      <c r="AS211">
        <f>IF(VLOOKUP(AS$1,main!$A$3:$I$56,5,FALSE)-VLOOKUP($A211,main!$A$3:$I$56,6,FALSE)&gt;=VLOOKUP(58,main!$A$57:$I$61,4,FALSE)+VLOOKUP(VLOOKUP(AS$1,main!$A$3:$I$56,7,FALSE),main!$K$10:$Q$14,6,FALSE),1,0)</f>
        <v>0</v>
      </c>
      <c r="AT211">
        <f>IF(VLOOKUP(AT$1,main!$A$3:$I$56,5,FALSE)-VLOOKUP($A211,main!$A$3:$I$56,6,FALSE)&gt;=VLOOKUP(58,main!$A$57:$I$61,4,FALSE)+VLOOKUP(VLOOKUP(AT$1,main!$A$3:$I$56,7,FALSE),main!$K$10:$Q$14,6,FALSE),1,0)</f>
        <v>0</v>
      </c>
      <c r="AU211">
        <f>IF(VLOOKUP(AU$1,main!$A$3:$I$56,5,FALSE)-VLOOKUP($A211,main!$A$3:$I$56,6,FALSE)&gt;=VLOOKUP(58,main!$A$57:$I$61,4,FALSE)+VLOOKUP(VLOOKUP(AU$1,main!$A$3:$I$56,7,FALSE),main!$K$10:$Q$14,6,FALSE),1,0)</f>
        <v>0</v>
      </c>
      <c r="AV211">
        <f>IF(VLOOKUP(AV$1,main!$A$3:$I$56,5,FALSE)-VLOOKUP($A211,main!$A$3:$I$56,6,FALSE)&gt;=VLOOKUP(58,main!$A$57:$I$61,4,FALSE)+VLOOKUP(VLOOKUP(AV$1,main!$A$3:$I$56,7,FALSE),main!$K$10:$Q$14,6,FALSE),1,0)</f>
        <v>0</v>
      </c>
      <c r="AW211">
        <f>IF(VLOOKUP(AW$1,main!$A$3:$I$56,5,FALSE)-VLOOKUP($A211,main!$A$3:$I$56,6,FALSE)&gt;=VLOOKUP(58,main!$A$57:$I$61,4,FALSE)+VLOOKUP(VLOOKUP(AW$1,main!$A$3:$I$56,7,FALSE),main!$K$10:$Q$14,6,FALSE),1,0)</f>
        <v>0</v>
      </c>
      <c r="AX211">
        <f>IF(VLOOKUP(AX$1,main!$A$3:$I$56,5,FALSE)-VLOOKUP($A211,main!$A$3:$I$56,6,FALSE)&gt;=VLOOKUP(58,main!$A$57:$I$61,4,FALSE)+VLOOKUP(VLOOKUP(AX$1,main!$A$3:$I$56,7,FALSE),main!$K$10:$Q$14,6,FALSE),1,0)</f>
        <v>0</v>
      </c>
      <c r="AY211">
        <f>IF(VLOOKUP(AY$1,main!$A$3:$I$56,5,FALSE)-VLOOKUP($A211,main!$A$3:$I$56,6,FALSE)&gt;=VLOOKUP(58,main!$A$57:$I$61,4,FALSE)+VLOOKUP(VLOOKUP(AY$1,main!$A$3:$I$56,7,FALSE),main!$K$10:$Q$14,6,FALSE),1,0)</f>
        <v>0</v>
      </c>
      <c r="AZ211">
        <f>IF(VLOOKUP(AZ$1,main!$A$3:$I$56,5,FALSE)-VLOOKUP($A211,main!$A$3:$I$56,6,FALSE)&gt;=VLOOKUP(58,main!$A$57:$I$61,4,FALSE)+VLOOKUP(VLOOKUP(AZ$1,main!$A$3:$I$56,7,FALSE),main!$K$10:$Q$14,6,FALSE),1,0)</f>
        <v>0</v>
      </c>
      <c r="BA211">
        <f>IF(VLOOKUP(BA$1,main!$A$3:$I$56,5,FALSE)-VLOOKUP($A211,main!$A$3:$I$56,6,FALSE)&gt;=VLOOKUP(58,main!$A$57:$I$61,4,FALSE)+VLOOKUP(VLOOKUP(BA$1,main!$A$3:$I$56,7,FALSE),main!$K$10:$Q$14,6,FALSE),1,0)</f>
        <v>0</v>
      </c>
      <c r="BB211">
        <f>IF(VLOOKUP(BB$1,main!$A$3:$I$56,5,FALSE)-VLOOKUP($A211,main!$A$3:$I$56,6,FALSE)&gt;=VLOOKUP(58,main!$A$57:$I$61,4,FALSE)+VLOOKUP(VLOOKUP(BB$1,main!$A$3:$I$56,7,FALSE),main!$K$10:$Q$14,6,FALSE),1,0)</f>
        <v>0</v>
      </c>
      <c r="BC211">
        <f>IF(VLOOKUP(BC$1,main!$A$3:$I$56,5,FALSE)-VLOOKUP($A211,main!$A$3:$I$56,6,FALSE)&gt;=VLOOKUP(58,main!$A$57:$I$61,4,FALSE)+VLOOKUP(VLOOKUP(BC$1,main!$A$3:$I$56,7,FALSE),main!$K$10:$Q$14,6,FALSE),1,0)</f>
        <v>0</v>
      </c>
      <c r="BD211">
        <f>IF(VLOOKUP(BD$1,main!$A$3:$I$56,5,FALSE)-VLOOKUP($A211,main!$A$3:$I$56,6,FALSE)&gt;=VLOOKUP(58,main!$A$57:$I$61,4,FALSE)+VLOOKUP(VLOOKUP(BD$1,main!$A$3:$I$56,7,FALSE),main!$K$10:$Q$14,6,FALSE),1,0)</f>
        <v>0</v>
      </c>
    </row>
    <row r="212" spans="1:56" x14ac:dyDescent="0.25">
      <c r="A212">
        <f t="shared" si="3"/>
        <v>45</v>
      </c>
      <c r="B212">
        <v>0</v>
      </c>
      <c r="C212">
        <f>IF(VLOOKUP(C$1,main!$A$3:$I$56,5,FALSE)-VLOOKUP($A212,main!$A$3:$I$56,6,FALSE)&gt;=VLOOKUP(58,main!$A$57:$I$61,4,FALSE)+VLOOKUP(VLOOKUP(C$1,main!$A$3:$I$56,7,FALSE),main!$K$10:$Q$14,6,FALSE),1,0)</f>
        <v>0</v>
      </c>
      <c r="D212">
        <f>IF(VLOOKUP(D$1,main!$A$3:$I$56,5,FALSE)-VLOOKUP($A212,main!$A$3:$I$56,6,FALSE)&gt;=VLOOKUP(58,main!$A$57:$I$61,4,FALSE)+VLOOKUP(VLOOKUP(D$1,main!$A$3:$I$56,7,FALSE),main!$K$10:$Q$14,6,FALSE),1,0)</f>
        <v>0</v>
      </c>
      <c r="E212">
        <f>IF(VLOOKUP(E$1,main!$A$3:$I$56,5,FALSE)-VLOOKUP($A212,main!$A$3:$I$56,6,FALSE)&gt;=VLOOKUP(58,main!$A$57:$I$61,4,FALSE)+VLOOKUP(VLOOKUP(E$1,main!$A$3:$I$56,7,FALSE),main!$K$10:$Q$14,6,FALSE),1,0)</f>
        <v>0</v>
      </c>
      <c r="F212">
        <f>IF(VLOOKUP(F$1,main!$A$3:$I$56,5,FALSE)-VLOOKUP($A212,main!$A$3:$I$56,6,FALSE)&gt;=VLOOKUP(58,main!$A$57:$I$61,4,FALSE)+VLOOKUP(VLOOKUP(F$1,main!$A$3:$I$56,7,FALSE),main!$K$10:$Q$14,6,FALSE),1,0)</f>
        <v>0</v>
      </c>
      <c r="G212">
        <f>IF(VLOOKUP(G$1,main!$A$3:$I$56,5,FALSE)-VLOOKUP($A212,main!$A$3:$I$56,6,FALSE)&gt;=VLOOKUP(58,main!$A$57:$I$61,4,FALSE)+VLOOKUP(VLOOKUP(G$1,main!$A$3:$I$56,7,FALSE),main!$K$10:$Q$14,6,FALSE),1,0)</f>
        <v>0</v>
      </c>
      <c r="H212">
        <f>IF(VLOOKUP(H$1,main!$A$3:$I$56,5,FALSE)-VLOOKUP($A212,main!$A$3:$I$56,6,FALSE)&gt;=VLOOKUP(58,main!$A$57:$I$61,4,FALSE)+VLOOKUP(VLOOKUP(H$1,main!$A$3:$I$56,7,FALSE),main!$K$10:$Q$14,6,FALSE),1,0)</f>
        <v>0</v>
      </c>
      <c r="I212">
        <f>IF(VLOOKUP(I$1,main!$A$3:$I$56,5,FALSE)-VLOOKUP($A212,main!$A$3:$I$56,6,FALSE)&gt;=VLOOKUP(58,main!$A$57:$I$61,4,FALSE)+VLOOKUP(VLOOKUP(I$1,main!$A$3:$I$56,7,FALSE),main!$K$10:$Q$14,6,FALSE),1,0)</f>
        <v>1</v>
      </c>
      <c r="J212">
        <f>IF(VLOOKUP(J$1,main!$A$3:$I$56,5,FALSE)-VLOOKUP($A212,main!$A$3:$I$56,6,FALSE)&gt;=VLOOKUP(58,main!$A$57:$I$61,4,FALSE)+VLOOKUP(VLOOKUP(J$1,main!$A$3:$I$56,7,FALSE),main!$K$10:$Q$14,6,FALSE),1,0)</f>
        <v>1</v>
      </c>
      <c r="K212">
        <f>IF(VLOOKUP(K$1,main!$A$3:$I$56,5,FALSE)-VLOOKUP($A212,main!$A$3:$I$56,6,FALSE)&gt;=VLOOKUP(58,main!$A$57:$I$61,4,FALSE)+VLOOKUP(VLOOKUP(K$1,main!$A$3:$I$56,7,FALSE),main!$K$10:$Q$14,6,FALSE),1,0)</f>
        <v>0</v>
      </c>
      <c r="L212">
        <f>IF(VLOOKUP(L$1,main!$A$3:$I$56,5,FALSE)-VLOOKUP($A212,main!$A$3:$I$56,6,FALSE)&gt;=VLOOKUP(58,main!$A$57:$I$61,4,FALSE)+VLOOKUP(VLOOKUP(L$1,main!$A$3:$I$56,7,FALSE),main!$K$10:$Q$14,6,FALSE),1,0)</f>
        <v>0</v>
      </c>
      <c r="M212">
        <f>IF(VLOOKUP(M$1,main!$A$3:$I$56,5,FALSE)-VLOOKUP($A212,main!$A$3:$I$56,6,FALSE)&gt;=VLOOKUP(58,main!$A$57:$I$61,4,FALSE)+VLOOKUP(VLOOKUP(M$1,main!$A$3:$I$56,7,FALSE),main!$K$10:$Q$14,6,FALSE),1,0)</f>
        <v>0</v>
      </c>
      <c r="N212">
        <f>IF(VLOOKUP(N$1,main!$A$3:$I$56,5,FALSE)-VLOOKUP($A212,main!$A$3:$I$56,6,FALSE)&gt;=VLOOKUP(58,main!$A$57:$I$61,4,FALSE)+VLOOKUP(VLOOKUP(N$1,main!$A$3:$I$56,7,FALSE),main!$K$10:$Q$14,6,FALSE),1,0)</f>
        <v>1</v>
      </c>
      <c r="O212">
        <f>IF(VLOOKUP(O$1,main!$A$3:$I$56,5,FALSE)-VLOOKUP($A212,main!$A$3:$I$56,6,FALSE)&gt;=VLOOKUP(58,main!$A$57:$I$61,4,FALSE)+VLOOKUP(VLOOKUP(O$1,main!$A$3:$I$56,7,FALSE),main!$K$10:$Q$14,6,FALSE),1,0)</f>
        <v>1</v>
      </c>
      <c r="P212">
        <f>IF(VLOOKUP(P$1,main!$A$3:$I$56,5,FALSE)-VLOOKUP($A212,main!$A$3:$I$56,6,FALSE)&gt;=VLOOKUP(58,main!$A$57:$I$61,4,FALSE)+VLOOKUP(VLOOKUP(P$1,main!$A$3:$I$56,7,FALSE),main!$K$10:$Q$14,6,FALSE),1,0)</f>
        <v>0</v>
      </c>
      <c r="Q212">
        <f>IF(VLOOKUP(Q$1,main!$A$3:$I$56,5,FALSE)-VLOOKUP($A212,main!$A$3:$I$56,6,FALSE)&gt;=VLOOKUP(58,main!$A$57:$I$61,4,FALSE)+VLOOKUP(VLOOKUP(Q$1,main!$A$3:$I$56,7,FALSE),main!$K$10:$Q$14,6,FALSE),1,0)</f>
        <v>0</v>
      </c>
      <c r="R212">
        <f>IF(VLOOKUP(R$1,main!$A$3:$I$56,5,FALSE)-VLOOKUP($A212,main!$A$3:$I$56,6,FALSE)&gt;=VLOOKUP(58,main!$A$57:$I$61,4,FALSE)+VLOOKUP(VLOOKUP(R$1,main!$A$3:$I$56,7,FALSE),main!$K$10:$Q$14,6,FALSE),1,0)</f>
        <v>0</v>
      </c>
      <c r="S212">
        <f>IF(VLOOKUP(S$1,main!$A$3:$I$56,5,FALSE)-VLOOKUP($A212,main!$A$3:$I$56,6,FALSE)&gt;=VLOOKUP(58,main!$A$57:$I$61,4,FALSE)+VLOOKUP(VLOOKUP(S$1,main!$A$3:$I$56,7,FALSE),main!$K$10:$Q$14,6,FALSE),1,0)</f>
        <v>0</v>
      </c>
      <c r="T212">
        <f>IF(VLOOKUP(T$1,main!$A$3:$I$56,5,FALSE)-VLOOKUP($A212,main!$A$3:$I$56,6,FALSE)&gt;=VLOOKUP(58,main!$A$57:$I$61,4,FALSE)+VLOOKUP(VLOOKUP(T$1,main!$A$3:$I$56,7,FALSE),main!$K$10:$Q$14,6,FALSE),1,0)</f>
        <v>1</v>
      </c>
      <c r="U212">
        <f>IF(VLOOKUP(U$1,main!$A$3:$I$56,5,FALSE)-VLOOKUP($A212,main!$A$3:$I$56,6,FALSE)&gt;=VLOOKUP(58,main!$A$57:$I$61,4,FALSE)+VLOOKUP(VLOOKUP(U$1,main!$A$3:$I$56,7,FALSE),main!$K$10:$Q$14,6,FALSE),1,0)</f>
        <v>0</v>
      </c>
      <c r="V212">
        <f>IF(VLOOKUP(V$1,main!$A$3:$I$56,5,FALSE)-VLOOKUP($A212,main!$A$3:$I$56,6,FALSE)&gt;=VLOOKUP(58,main!$A$57:$I$61,4,FALSE)+VLOOKUP(VLOOKUP(V$1,main!$A$3:$I$56,7,FALSE),main!$K$10:$Q$14,6,FALSE),1,0)</f>
        <v>0</v>
      </c>
      <c r="W212">
        <f>IF(VLOOKUP(W$1,main!$A$3:$I$56,5,FALSE)-VLOOKUP($A212,main!$A$3:$I$56,6,FALSE)&gt;=VLOOKUP(58,main!$A$57:$I$61,4,FALSE)+VLOOKUP(VLOOKUP(W$1,main!$A$3:$I$56,7,FALSE),main!$K$10:$Q$14,6,FALSE),1,0)</f>
        <v>0</v>
      </c>
      <c r="X212">
        <f>IF(VLOOKUP(X$1,main!$A$3:$I$56,5,FALSE)-VLOOKUP($A212,main!$A$3:$I$56,6,FALSE)&gt;=VLOOKUP(58,main!$A$57:$I$61,4,FALSE)+VLOOKUP(VLOOKUP(X$1,main!$A$3:$I$56,7,FALSE),main!$K$10:$Q$14,6,FALSE),1,0)</f>
        <v>0</v>
      </c>
      <c r="Y212">
        <f>IF(VLOOKUP(Y$1,main!$A$3:$I$56,5,FALSE)-VLOOKUP($A212,main!$A$3:$I$56,6,FALSE)&gt;=VLOOKUP(58,main!$A$57:$I$61,4,FALSE)+VLOOKUP(VLOOKUP(Y$1,main!$A$3:$I$56,7,FALSE),main!$K$10:$Q$14,6,FALSE),1,0)</f>
        <v>0</v>
      </c>
      <c r="Z212">
        <f>IF(VLOOKUP(Z$1,main!$A$3:$I$56,5,FALSE)-VLOOKUP($A212,main!$A$3:$I$56,6,FALSE)&gt;=VLOOKUP(58,main!$A$57:$I$61,4,FALSE)+VLOOKUP(VLOOKUP(Z$1,main!$A$3:$I$56,7,FALSE),main!$K$10:$Q$14,6,FALSE),1,0)</f>
        <v>0</v>
      </c>
      <c r="AA212">
        <f>IF(VLOOKUP(AA$1,main!$A$3:$I$56,5,FALSE)-VLOOKUP($A212,main!$A$3:$I$56,6,FALSE)&gt;=VLOOKUP(58,main!$A$57:$I$61,4,FALSE)+VLOOKUP(VLOOKUP(AA$1,main!$A$3:$I$56,7,FALSE),main!$K$10:$Q$14,6,FALSE),1,0)</f>
        <v>1</v>
      </c>
      <c r="AB212">
        <f>IF(VLOOKUP(AB$1,main!$A$3:$I$56,5,FALSE)-VLOOKUP($A212,main!$A$3:$I$56,6,FALSE)&gt;=VLOOKUP(58,main!$A$57:$I$61,4,FALSE)+VLOOKUP(VLOOKUP(AB$1,main!$A$3:$I$56,7,FALSE),main!$K$10:$Q$14,6,FALSE),1,0)</f>
        <v>1</v>
      </c>
      <c r="AC212">
        <f>IF(VLOOKUP(AC$1,main!$A$3:$I$56,5,FALSE)-VLOOKUP($A212,main!$A$3:$I$56,6,FALSE)&gt;=VLOOKUP(58,main!$A$57:$I$61,4,FALSE)+VLOOKUP(VLOOKUP(AC$1,main!$A$3:$I$56,7,FALSE),main!$K$10:$Q$14,6,FALSE),1,0)</f>
        <v>0</v>
      </c>
      <c r="AD212">
        <f>IF(VLOOKUP(AD$1,main!$A$3:$I$56,5,FALSE)-VLOOKUP($A212,main!$A$3:$I$56,6,FALSE)&gt;=VLOOKUP(58,main!$A$57:$I$61,4,FALSE)+VLOOKUP(VLOOKUP(AD$1,main!$A$3:$I$56,7,FALSE),main!$K$10:$Q$14,6,FALSE),1,0)</f>
        <v>0</v>
      </c>
      <c r="AE212">
        <f>IF(VLOOKUP(AE$1,main!$A$3:$I$56,5,FALSE)-VLOOKUP($A212,main!$A$3:$I$56,6,FALSE)&gt;=VLOOKUP(58,main!$A$57:$I$61,4,FALSE)+VLOOKUP(VLOOKUP(AE$1,main!$A$3:$I$56,7,FALSE),main!$K$10:$Q$14,6,FALSE),1,0)</f>
        <v>0</v>
      </c>
      <c r="AF212">
        <f>IF(VLOOKUP(AF$1,main!$A$3:$I$56,5,FALSE)-VLOOKUP($A212,main!$A$3:$I$56,6,FALSE)&gt;=VLOOKUP(58,main!$A$57:$I$61,4,FALSE)+VLOOKUP(VLOOKUP(AF$1,main!$A$3:$I$56,7,FALSE),main!$K$10:$Q$14,6,FALSE),1,0)</f>
        <v>0</v>
      </c>
      <c r="AG212">
        <f>IF(VLOOKUP(AG$1,main!$A$3:$I$56,5,FALSE)-VLOOKUP($A212,main!$A$3:$I$56,6,FALSE)&gt;=VLOOKUP(58,main!$A$57:$I$61,4,FALSE)+VLOOKUP(VLOOKUP(AG$1,main!$A$3:$I$56,7,FALSE),main!$K$10:$Q$14,6,FALSE),1,0)</f>
        <v>0</v>
      </c>
      <c r="AH212">
        <f>IF(VLOOKUP(AH$1,main!$A$3:$I$56,5,FALSE)-VLOOKUP($A212,main!$A$3:$I$56,6,FALSE)&gt;=VLOOKUP(58,main!$A$57:$I$61,4,FALSE)+VLOOKUP(VLOOKUP(AH$1,main!$A$3:$I$56,7,FALSE),main!$K$10:$Q$14,6,FALSE),1,0)</f>
        <v>0</v>
      </c>
      <c r="AI212">
        <f>IF(VLOOKUP(AI$1,main!$A$3:$I$56,5,FALSE)-VLOOKUP($A212,main!$A$3:$I$56,6,FALSE)&gt;=VLOOKUP(58,main!$A$57:$I$61,4,FALSE)+VLOOKUP(VLOOKUP(AI$1,main!$A$3:$I$56,7,FALSE),main!$K$10:$Q$14,6,FALSE),1,0)</f>
        <v>0</v>
      </c>
      <c r="AJ212">
        <f>IF(VLOOKUP(AJ$1,main!$A$3:$I$56,5,FALSE)-VLOOKUP($A212,main!$A$3:$I$56,6,FALSE)&gt;=VLOOKUP(58,main!$A$57:$I$61,4,FALSE)+VLOOKUP(VLOOKUP(AJ$1,main!$A$3:$I$56,7,FALSE),main!$K$10:$Q$14,6,FALSE),1,0)</f>
        <v>1</v>
      </c>
      <c r="AK212">
        <f>IF(VLOOKUP(AK$1,main!$A$3:$I$56,5,FALSE)-VLOOKUP($A212,main!$A$3:$I$56,6,FALSE)&gt;=VLOOKUP(58,main!$A$57:$I$61,4,FALSE)+VLOOKUP(VLOOKUP(AK$1,main!$A$3:$I$56,7,FALSE),main!$K$10:$Q$14,6,FALSE),1,0)</f>
        <v>1</v>
      </c>
      <c r="AL212">
        <f>IF(VLOOKUP(AL$1,main!$A$3:$I$56,5,FALSE)-VLOOKUP($A212,main!$A$3:$I$56,6,FALSE)&gt;=VLOOKUP(58,main!$A$57:$I$61,4,FALSE)+VLOOKUP(VLOOKUP(AL$1,main!$A$3:$I$56,7,FALSE),main!$K$10:$Q$14,6,FALSE),1,0)</f>
        <v>0</v>
      </c>
      <c r="AM212">
        <f>IF(VLOOKUP(AM$1,main!$A$3:$I$56,5,FALSE)-VLOOKUP($A212,main!$A$3:$I$56,6,FALSE)&gt;=VLOOKUP(58,main!$A$57:$I$61,4,FALSE)+VLOOKUP(VLOOKUP(AM$1,main!$A$3:$I$56,7,FALSE),main!$K$10:$Q$14,6,FALSE),1,0)</f>
        <v>0</v>
      </c>
      <c r="AN212">
        <f>IF(VLOOKUP(AN$1,main!$A$3:$I$56,5,FALSE)-VLOOKUP($A212,main!$A$3:$I$56,6,FALSE)&gt;=VLOOKUP(58,main!$A$57:$I$61,4,FALSE)+VLOOKUP(VLOOKUP(AN$1,main!$A$3:$I$56,7,FALSE),main!$K$10:$Q$14,6,FALSE),1,0)</f>
        <v>0</v>
      </c>
      <c r="AO212">
        <f>IF(VLOOKUP(AO$1,main!$A$3:$I$56,5,FALSE)-VLOOKUP($A212,main!$A$3:$I$56,6,FALSE)&gt;=VLOOKUP(58,main!$A$57:$I$61,4,FALSE)+VLOOKUP(VLOOKUP(AO$1,main!$A$3:$I$56,7,FALSE),main!$K$10:$Q$14,6,FALSE),1,0)</f>
        <v>1</v>
      </c>
      <c r="AP212">
        <f>IF(VLOOKUP(AP$1,main!$A$3:$I$56,5,FALSE)-VLOOKUP($A212,main!$A$3:$I$56,6,FALSE)&gt;=VLOOKUP(58,main!$A$57:$I$61,4,FALSE)+VLOOKUP(VLOOKUP(AP$1,main!$A$3:$I$56,7,FALSE),main!$K$10:$Q$14,6,FALSE),1,0)</f>
        <v>0</v>
      </c>
      <c r="AQ212">
        <f>IF(VLOOKUP(AQ$1,main!$A$3:$I$56,5,FALSE)-VLOOKUP($A212,main!$A$3:$I$56,6,FALSE)&gt;=VLOOKUP(58,main!$A$57:$I$61,4,FALSE)+VLOOKUP(VLOOKUP(AQ$1,main!$A$3:$I$56,7,FALSE),main!$K$10:$Q$14,6,FALSE),1,0)</f>
        <v>0</v>
      </c>
      <c r="AR212">
        <f>IF(VLOOKUP(AR$1,main!$A$3:$I$56,5,FALSE)-VLOOKUP($A212,main!$A$3:$I$56,6,FALSE)&gt;=VLOOKUP(58,main!$A$57:$I$61,4,FALSE)+VLOOKUP(VLOOKUP(AR$1,main!$A$3:$I$56,7,FALSE),main!$K$10:$Q$14,6,FALSE),1,0)</f>
        <v>0</v>
      </c>
      <c r="AS212">
        <f>IF(VLOOKUP(AS$1,main!$A$3:$I$56,5,FALSE)-VLOOKUP($A212,main!$A$3:$I$56,6,FALSE)&gt;=VLOOKUP(58,main!$A$57:$I$61,4,FALSE)+VLOOKUP(VLOOKUP(AS$1,main!$A$3:$I$56,7,FALSE),main!$K$10:$Q$14,6,FALSE),1,0)</f>
        <v>0</v>
      </c>
      <c r="AT212">
        <f>IF(VLOOKUP(AT$1,main!$A$3:$I$56,5,FALSE)-VLOOKUP($A212,main!$A$3:$I$56,6,FALSE)&gt;=VLOOKUP(58,main!$A$57:$I$61,4,FALSE)+VLOOKUP(VLOOKUP(AT$1,main!$A$3:$I$56,7,FALSE),main!$K$10:$Q$14,6,FALSE),1,0)</f>
        <v>0</v>
      </c>
      <c r="AU212">
        <f>IF(VLOOKUP(AU$1,main!$A$3:$I$56,5,FALSE)-VLOOKUP($A212,main!$A$3:$I$56,6,FALSE)&gt;=VLOOKUP(58,main!$A$57:$I$61,4,FALSE)+VLOOKUP(VLOOKUP(AU$1,main!$A$3:$I$56,7,FALSE),main!$K$10:$Q$14,6,FALSE),1,0)</f>
        <v>0</v>
      </c>
      <c r="AV212">
        <f>IF(VLOOKUP(AV$1,main!$A$3:$I$56,5,FALSE)-VLOOKUP($A212,main!$A$3:$I$56,6,FALSE)&gt;=VLOOKUP(58,main!$A$57:$I$61,4,FALSE)+VLOOKUP(VLOOKUP(AV$1,main!$A$3:$I$56,7,FALSE),main!$K$10:$Q$14,6,FALSE),1,0)</f>
        <v>0</v>
      </c>
      <c r="AW212">
        <f>IF(VLOOKUP(AW$1,main!$A$3:$I$56,5,FALSE)-VLOOKUP($A212,main!$A$3:$I$56,6,FALSE)&gt;=VLOOKUP(58,main!$A$57:$I$61,4,FALSE)+VLOOKUP(VLOOKUP(AW$1,main!$A$3:$I$56,7,FALSE),main!$K$10:$Q$14,6,FALSE),1,0)</f>
        <v>0</v>
      </c>
      <c r="AX212">
        <f>IF(VLOOKUP(AX$1,main!$A$3:$I$56,5,FALSE)-VLOOKUP($A212,main!$A$3:$I$56,6,FALSE)&gt;=VLOOKUP(58,main!$A$57:$I$61,4,FALSE)+VLOOKUP(VLOOKUP(AX$1,main!$A$3:$I$56,7,FALSE),main!$K$10:$Q$14,6,FALSE),1,0)</f>
        <v>0</v>
      </c>
      <c r="AY212">
        <f>IF(VLOOKUP(AY$1,main!$A$3:$I$56,5,FALSE)-VLOOKUP($A212,main!$A$3:$I$56,6,FALSE)&gt;=VLOOKUP(58,main!$A$57:$I$61,4,FALSE)+VLOOKUP(VLOOKUP(AY$1,main!$A$3:$I$56,7,FALSE),main!$K$10:$Q$14,6,FALSE),1,0)</f>
        <v>1</v>
      </c>
      <c r="AZ212">
        <f>IF(VLOOKUP(AZ$1,main!$A$3:$I$56,5,FALSE)-VLOOKUP($A212,main!$A$3:$I$56,6,FALSE)&gt;=VLOOKUP(58,main!$A$57:$I$61,4,FALSE)+VLOOKUP(VLOOKUP(AZ$1,main!$A$3:$I$56,7,FALSE),main!$K$10:$Q$14,6,FALSE),1,0)</f>
        <v>0</v>
      </c>
      <c r="BA212">
        <f>IF(VLOOKUP(BA$1,main!$A$3:$I$56,5,FALSE)-VLOOKUP($A212,main!$A$3:$I$56,6,FALSE)&gt;=VLOOKUP(58,main!$A$57:$I$61,4,FALSE)+VLOOKUP(VLOOKUP(BA$1,main!$A$3:$I$56,7,FALSE),main!$K$10:$Q$14,6,FALSE),1,0)</f>
        <v>0</v>
      </c>
      <c r="BB212">
        <f>IF(VLOOKUP(BB$1,main!$A$3:$I$56,5,FALSE)-VLOOKUP($A212,main!$A$3:$I$56,6,FALSE)&gt;=VLOOKUP(58,main!$A$57:$I$61,4,FALSE)+VLOOKUP(VLOOKUP(BB$1,main!$A$3:$I$56,7,FALSE),main!$K$10:$Q$14,6,FALSE),1,0)</f>
        <v>0</v>
      </c>
      <c r="BC212">
        <f>IF(VLOOKUP(BC$1,main!$A$3:$I$56,5,FALSE)-VLOOKUP($A212,main!$A$3:$I$56,6,FALSE)&gt;=VLOOKUP(58,main!$A$57:$I$61,4,FALSE)+VLOOKUP(VLOOKUP(BC$1,main!$A$3:$I$56,7,FALSE),main!$K$10:$Q$14,6,FALSE),1,0)</f>
        <v>0</v>
      </c>
      <c r="BD212">
        <f>IF(VLOOKUP(BD$1,main!$A$3:$I$56,5,FALSE)-VLOOKUP($A212,main!$A$3:$I$56,6,FALSE)&gt;=VLOOKUP(58,main!$A$57:$I$61,4,FALSE)+VLOOKUP(VLOOKUP(BD$1,main!$A$3:$I$56,7,FALSE),main!$K$10:$Q$14,6,FALSE),1,0)</f>
        <v>0</v>
      </c>
    </row>
    <row r="213" spans="1:56" x14ac:dyDescent="0.25">
      <c r="A213">
        <f t="shared" si="3"/>
        <v>46</v>
      </c>
      <c r="B213">
        <v>0</v>
      </c>
      <c r="C213">
        <f>IF(VLOOKUP(C$1,main!$A$3:$I$56,5,FALSE)-VLOOKUP($A213,main!$A$3:$I$56,6,FALSE)&gt;=VLOOKUP(58,main!$A$57:$I$61,4,FALSE)+VLOOKUP(VLOOKUP(C$1,main!$A$3:$I$56,7,FALSE),main!$K$10:$Q$14,6,FALSE),1,0)</f>
        <v>0</v>
      </c>
      <c r="D213">
        <f>IF(VLOOKUP(D$1,main!$A$3:$I$56,5,FALSE)-VLOOKUP($A213,main!$A$3:$I$56,6,FALSE)&gt;=VLOOKUP(58,main!$A$57:$I$61,4,FALSE)+VLOOKUP(VLOOKUP(D$1,main!$A$3:$I$56,7,FALSE),main!$K$10:$Q$14,6,FALSE),1,0)</f>
        <v>0</v>
      </c>
      <c r="E213">
        <f>IF(VLOOKUP(E$1,main!$A$3:$I$56,5,FALSE)-VLOOKUP($A213,main!$A$3:$I$56,6,FALSE)&gt;=VLOOKUP(58,main!$A$57:$I$61,4,FALSE)+VLOOKUP(VLOOKUP(E$1,main!$A$3:$I$56,7,FALSE),main!$K$10:$Q$14,6,FALSE),1,0)</f>
        <v>0</v>
      </c>
      <c r="F213">
        <f>IF(VLOOKUP(F$1,main!$A$3:$I$56,5,FALSE)-VLOOKUP($A213,main!$A$3:$I$56,6,FALSE)&gt;=VLOOKUP(58,main!$A$57:$I$61,4,FALSE)+VLOOKUP(VLOOKUP(F$1,main!$A$3:$I$56,7,FALSE),main!$K$10:$Q$14,6,FALSE),1,0)</f>
        <v>0</v>
      </c>
      <c r="G213">
        <f>IF(VLOOKUP(G$1,main!$A$3:$I$56,5,FALSE)-VLOOKUP($A213,main!$A$3:$I$56,6,FALSE)&gt;=VLOOKUP(58,main!$A$57:$I$61,4,FALSE)+VLOOKUP(VLOOKUP(G$1,main!$A$3:$I$56,7,FALSE),main!$K$10:$Q$14,6,FALSE),1,0)</f>
        <v>0</v>
      </c>
      <c r="H213">
        <f>IF(VLOOKUP(H$1,main!$A$3:$I$56,5,FALSE)-VLOOKUP($A213,main!$A$3:$I$56,6,FALSE)&gt;=VLOOKUP(58,main!$A$57:$I$61,4,FALSE)+VLOOKUP(VLOOKUP(H$1,main!$A$3:$I$56,7,FALSE),main!$K$10:$Q$14,6,FALSE),1,0)</f>
        <v>0</v>
      </c>
      <c r="I213">
        <f>IF(VLOOKUP(I$1,main!$A$3:$I$56,5,FALSE)-VLOOKUP($A213,main!$A$3:$I$56,6,FALSE)&gt;=VLOOKUP(58,main!$A$57:$I$61,4,FALSE)+VLOOKUP(VLOOKUP(I$1,main!$A$3:$I$56,7,FALSE),main!$K$10:$Q$14,6,FALSE),1,0)</f>
        <v>1</v>
      </c>
      <c r="J213">
        <f>IF(VLOOKUP(J$1,main!$A$3:$I$56,5,FALSE)-VLOOKUP($A213,main!$A$3:$I$56,6,FALSE)&gt;=VLOOKUP(58,main!$A$57:$I$61,4,FALSE)+VLOOKUP(VLOOKUP(J$1,main!$A$3:$I$56,7,FALSE),main!$K$10:$Q$14,6,FALSE),1,0)</f>
        <v>1</v>
      </c>
      <c r="K213">
        <f>IF(VLOOKUP(K$1,main!$A$3:$I$56,5,FALSE)-VLOOKUP($A213,main!$A$3:$I$56,6,FALSE)&gt;=VLOOKUP(58,main!$A$57:$I$61,4,FALSE)+VLOOKUP(VLOOKUP(K$1,main!$A$3:$I$56,7,FALSE),main!$K$10:$Q$14,6,FALSE),1,0)</f>
        <v>0</v>
      </c>
      <c r="L213">
        <f>IF(VLOOKUP(L$1,main!$A$3:$I$56,5,FALSE)-VLOOKUP($A213,main!$A$3:$I$56,6,FALSE)&gt;=VLOOKUP(58,main!$A$57:$I$61,4,FALSE)+VLOOKUP(VLOOKUP(L$1,main!$A$3:$I$56,7,FALSE),main!$K$10:$Q$14,6,FALSE),1,0)</f>
        <v>0</v>
      </c>
      <c r="M213">
        <f>IF(VLOOKUP(M$1,main!$A$3:$I$56,5,FALSE)-VLOOKUP($A213,main!$A$3:$I$56,6,FALSE)&gt;=VLOOKUP(58,main!$A$57:$I$61,4,FALSE)+VLOOKUP(VLOOKUP(M$1,main!$A$3:$I$56,7,FALSE),main!$K$10:$Q$14,6,FALSE),1,0)</f>
        <v>0</v>
      </c>
      <c r="N213">
        <f>IF(VLOOKUP(N$1,main!$A$3:$I$56,5,FALSE)-VLOOKUP($A213,main!$A$3:$I$56,6,FALSE)&gt;=VLOOKUP(58,main!$A$57:$I$61,4,FALSE)+VLOOKUP(VLOOKUP(N$1,main!$A$3:$I$56,7,FALSE),main!$K$10:$Q$14,6,FALSE),1,0)</f>
        <v>1</v>
      </c>
      <c r="O213">
        <f>IF(VLOOKUP(O$1,main!$A$3:$I$56,5,FALSE)-VLOOKUP($A213,main!$A$3:$I$56,6,FALSE)&gt;=VLOOKUP(58,main!$A$57:$I$61,4,FALSE)+VLOOKUP(VLOOKUP(O$1,main!$A$3:$I$56,7,FALSE),main!$K$10:$Q$14,6,FALSE),1,0)</f>
        <v>1</v>
      </c>
      <c r="P213">
        <f>IF(VLOOKUP(P$1,main!$A$3:$I$56,5,FALSE)-VLOOKUP($A213,main!$A$3:$I$56,6,FALSE)&gt;=VLOOKUP(58,main!$A$57:$I$61,4,FALSE)+VLOOKUP(VLOOKUP(P$1,main!$A$3:$I$56,7,FALSE),main!$K$10:$Q$14,6,FALSE),1,0)</f>
        <v>0</v>
      </c>
      <c r="Q213">
        <f>IF(VLOOKUP(Q$1,main!$A$3:$I$56,5,FALSE)-VLOOKUP($A213,main!$A$3:$I$56,6,FALSE)&gt;=VLOOKUP(58,main!$A$57:$I$61,4,FALSE)+VLOOKUP(VLOOKUP(Q$1,main!$A$3:$I$56,7,FALSE),main!$K$10:$Q$14,6,FALSE),1,0)</f>
        <v>0</v>
      </c>
      <c r="R213">
        <f>IF(VLOOKUP(R$1,main!$A$3:$I$56,5,FALSE)-VLOOKUP($A213,main!$A$3:$I$56,6,FALSE)&gt;=VLOOKUP(58,main!$A$57:$I$61,4,FALSE)+VLOOKUP(VLOOKUP(R$1,main!$A$3:$I$56,7,FALSE),main!$K$10:$Q$14,6,FALSE),1,0)</f>
        <v>0</v>
      </c>
      <c r="S213">
        <f>IF(VLOOKUP(S$1,main!$A$3:$I$56,5,FALSE)-VLOOKUP($A213,main!$A$3:$I$56,6,FALSE)&gt;=VLOOKUP(58,main!$A$57:$I$61,4,FALSE)+VLOOKUP(VLOOKUP(S$1,main!$A$3:$I$56,7,FALSE),main!$K$10:$Q$14,6,FALSE),1,0)</f>
        <v>0</v>
      </c>
      <c r="T213">
        <f>IF(VLOOKUP(T$1,main!$A$3:$I$56,5,FALSE)-VLOOKUP($A213,main!$A$3:$I$56,6,FALSE)&gt;=VLOOKUP(58,main!$A$57:$I$61,4,FALSE)+VLOOKUP(VLOOKUP(T$1,main!$A$3:$I$56,7,FALSE),main!$K$10:$Q$14,6,FALSE),1,0)</f>
        <v>1</v>
      </c>
      <c r="U213">
        <f>IF(VLOOKUP(U$1,main!$A$3:$I$56,5,FALSE)-VLOOKUP($A213,main!$A$3:$I$56,6,FALSE)&gt;=VLOOKUP(58,main!$A$57:$I$61,4,FALSE)+VLOOKUP(VLOOKUP(U$1,main!$A$3:$I$56,7,FALSE),main!$K$10:$Q$14,6,FALSE),1,0)</f>
        <v>0</v>
      </c>
      <c r="V213">
        <f>IF(VLOOKUP(V$1,main!$A$3:$I$56,5,FALSE)-VLOOKUP($A213,main!$A$3:$I$56,6,FALSE)&gt;=VLOOKUP(58,main!$A$57:$I$61,4,FALSE)+VLOOKUP(VLOOKUP(V$1,main!$A$3:$I$56,7,FALSE),main!$K$10:$Q$14,6,FALSE),1,0)</f>
        <v>0</v>
      </c>
      <c r="W213">
        <f>IF(VLOOKUP(W$1,main!$A$3:$I$56,5,FALSE)-VLOOKUP($A213,main!$A$3:$I$56,6,FALSE)&gt;=VLOOKUP(58,main!$A$57:$I$61,4,FALSE)+VLOOKUP(VLOOKUP(W$1,main!$A$3:$I$56,7,FALSE),main!$K$10:$Q$14,6,FALSE),1,0)</f>
        <v>0</v>
      </c>
      <c r="X213">
        <f>IF(VLOOKUP(X$1,main!$A$3:$I$56,5,FALSE)-VLOOKUP($A213,main!$A$3:$I$56,6,FALSE)&gt;=VLOOKUP(58,main!$A$57:$I$61,4,FALSE)+VLOOKUP(VLOOKUP(X$1,main!$A$3:$I$56,7,FALSE),main!$K$10:$Q$14,6,FALSE),1,0)</f>
        <v>0</v>
      </c>
      <c r="Y213">
        <f>IF(VLOOKUP(Y$1,main!$A$3:$I$56,5,FALSE)-VLOOKUP($A213,main!$A$3:$I$56,6,FALSE)&gt;=VLOOKUP(58,main!$A$57:$I$61,4,FALSE)+VLOOKUP(VLOOKUP(Y$1,main!$A$3:$I$56,7,FALSE),main!$K$10:$Q$14,6,FALSE),1,0)</f>
        <v>0</v>
      </c>
      <c r="Z213">
        <f>IF(VLOOKUP(Z$1,main!$A$3:$I$56,5,FALSE)-VLOOKUP($A213,main!$A$3:$I$56,6,FALSE)&gt;=VLOOKUP(58,main!$A$57:$I$61,4,FALSE)+VLOOKUP(VLOOKUP(Z$1,main!$A$3:$I$56,7,FALSE),main!$K$10:$Q$14,6,FALSE),1,0)</f>
        <v>0</v>
      </c>
      <c r="AA213">
        <f>IF(VLOOKUP(AA$1,main!$A$3:$I$56,5,FALSE)-VLOOKUP($A213,main!$A$3:$I$56,6,FALSE)&gt;=VLOOKUP(58,main!$A$57:$I$61,4,FALSE)+VLOOKUP(VLOOKUP(AA$1,main!$A$3:$I$56,7,FALSE),main!$K$10:$Q$14,6,FALSE),1,0)</f>
        <v>0</v>
      </c>
      <c r="AB213">
        <f>IF(VLOOKUP(AB$1,main!$A$3:$I$56,5,FALSE)-VLOOKUP($A213,main!$A$3:$I$56,6,FALSE)&gt;=VLOOKUP(58,main!$A$57:$I$61,4,FALSE)+VLOOKUP(VLOOKUP(AB$1,main!$A$3:$I$56,7,FALSE),main!$K$10:$Q$14,6,FALSE),1,0)</f>
        <v>1</v>
      </c>
      <c r="AC213">
        <f>IF(VLOOKUP(AC$1,main!$A$3:$I$56,5,FALSE)-VLOOKUP($A213,main!$A$3:$I$56,6,FALSE)&gt;=VLOOKUP(58,main!$A$57:$I$61,4,FALSE)+VLOOKUP(VLOOKUP(AC$1,main!$A$3:$I$56,7,FALSE),main!$K$10:$Q$14,6,FALSE),1,0)</f>
        <v>0</v>
      </c>
      <c r="AD213">
        <f>IF(VLOOKUP(AD$1,main!$A$3:$I$56,5,FALSE)-VLOOKUP($A213,main!$A$3:$I$56,6,FALSE)&gt;=VLOOKUP(58,main!$A$57:$I$61,4,FALSE)+VLOOKUP(VLOOKUP(AD$1,main!$A$3:$I$56,7,FALSE),main!$K$10:$Q$14,6,FALSE),1,0)</f>
        <v>0</v>
      </c>
      <c r="AE213">
        <f>IF(VLOOKUP(AE$1,main!$A$3:$I$56,5,FALSE)-VLOOKUP($A213,main!$A$3:$I$56,6,FALSE)&gt;=VLOOKUP(58,main!$A$57:$I$61,4,FALSE)+VLOOKUP(VLOOKUP(AE$1,main!$A$3:$I$56,7,FALSE),main!$K$10:$Q$14,6,FALSE),1,0)</f>
        <v>0</v>
      </c>
      <c r="AF213">
        <f>IF(VLOOKUP(AF$1,main!$A$3:$I$56,5,FALSE)-VLOOKUP($A213,main!$A$3:$I$56,6,FALSE)&gt;=VLOOKUP(58,main!$A$57:$I$61,4,FALSE)+VLOOKUP(VLOOKUP(AF$1,main!$A$3:$I$56,7,FALSE),main!$K$10:$Q$14,6,FALSE),1,0)</f>
        <v>0</v>
      </c>
      <c r="AG213">
        <f>IF(VLOOKUP(AG$1,main!$A$3:$I$56,5,FALSE)-VLOOKUP($A213,main!$A$3:$I$56,6,FALSE)&gt;=VLOOKUP(58,main!$A$57:$I$61,4,FALSE)+VLOOKUP(VLOOKUP(AG$1,main!$A$3:$I$56,7,FALSE),main!$K$10:$Q$14,6,FALSE),1,0)</f>
        <v>0</v>
      </c>
      <c r="AH213">
        <f>IF(VLOOKUP(AH$1,main!$A$3:$I$56,5,FALSE)-VLOOKUP($A213,main!$A$3:$I$56,6,FALSE)&gt;=VLOOKUP(58,main!$A$57:$I$61,4,FALSE)+VLOOKUP(VLOOKUP(AH$1,main!$A$3:$I$56,7,FALSE),main!$K$10:$Q$14,6,FALSE),1,0)</f>
        <v>0</v>
      </c>
      <c r="AI213">
        <f>IF(VLOOKUP(AI$1,main!$A$3:$I$56,5,FALSE)-VLOOKUP($A213,main!$A$3:$I$56,6,FALSE)&gt;=VLOOKUP(58,main!$A$57:$I$61,4,FALSE)+VLOOKUP(VLOOKUP(AI$1,main!$A$3:$I$56,7,FALSE),main!$K$10:$Q$14,6,FALSE),1,0)</f>
        <v>0</v>
      </c>
      <c r="AJ213">
        <f>IF(VLOOKUP(AJ$1,main!$A$3:$I$56,5,FALSE)-VLOOKUP($A213,main!$A$3:$I$56,6,FALSE)&gt;=VLOOKUP(58,main!$A$57:$I$61,4,FALSE)+VLOOKUP(VLOOKUP(AJ$1,main!$A$3:$I$56,7,FALSE),main!$K$10:$Q$14,6,FALSE),1,0)</f>
        <v>0</v>
      </c>
      <c r="AK213">
        <f>IF(VLOOKUP(AK$1,main!$A$3:$I$56,5,FALSE)-VLOOKUP($A213,main!$A$3:$I$56,6,FALSE)&gt;=VLOOKUP(58,main!$A$57:$I$61,4,FALSE)+VLOOKUP(VLOOKUP(AK$1,main!$A$3:$I$56,7,FALSE),main!$K$10:$Q$14,6,FALSE),1,0)</f>
        <v>1</v>
      </c>
      <c r="AL213">
        <f>IF(VLOOKUP(AL$1,main!$A$3:$I$56,5,FALSE)-VLOOKUP($A213,main!$A$3:$I$56,6,FALSE)&gt;=VLOOKUP(58,main!$A$57:$I$61,4,FALSE)+VLOOKUP(VLOOKUP(AL$1,main!$A$3:$I$56,7,FALSE),main!$K$10:$Q$14,6,FALSE),1,0)</f>
        <v>0</v>
      </c>
      <c r="AM213">
        <f>IF(VLOOKUP(AM$1,main!$A$3:$I$56,5,FALSE)-VLOOKUP($A213,main!$A$3:$I$56,6,FALSE)&gt;=VLOOKUP(58,main!$A$57:$I$61,4,FALSE)+VLOOKUP(VLOOKUP(AM$1,main!$A$3:$I$56,7,FALSE),main!$K$10:$Q$14,6,FALSE),1,0)</f>
        <v>0</v>
      </c>
      <c r="AN213">
        <f>IF(VLOOKUP(AN$1,main!$A$3:$I$56,5,FALSE)-VLOOKUP($A213,main!$A$3:$I$56,6,FALSE)&gt;=VLOOKUP(58,main!$A$57:$I$61,4,FALSE)+VLOOKUP(VLOOKUP(AN$1,main!$A$3:$I$56,7,FALSE),main!$K$10:$Q$14,6,FALSE),1,0)</f>
        <v>0</v>
      </c>
      <c r="AO213">
        <f>IF(VLOOKUP(AO$1,main!$A$3:$I$56,5,FALSE)-VLOOKUP($A213,main!$A$3:$I$56,6,FALSE)&gt;=VLOOKUP(58,main!$A$57:$I$61,4,FALSE)+VLOOKUP(VLOOKUP(AO$1,main!$A$3:$I$56,7,FALSE),main!$K$10:$Q$14,6,FALSE),1,0)</f>
        <v>1</v>
      </c>
      <c r="AP213">
        <f>IF(VLOOKUP(AP$1,main!$A$3:$I$56,5,FALSE)-VLOOKUP($A213,main!$A$3:$I$56,6,FALSE)&gt;=VLOOKUP(58,main!$A$57:$I$61,4,FALSE)+VLOOKUP(VLOOKUP(AP$1,main!$A$3:$I$56,7,FALSE),main!$K$10:$Q$14,6,FALSE),1,0)</f>
        <v>0</v>
      </c>
      <c r="AQ213">
        <f>IF(VLOOKUP(AQ$1,main!$A$3:$I$56,5,FALSE)-VLOOKUP($A213,main!$A$3:$I$56,6,FALSE)&gt;=VLOOKUP(58,main!$A$57:$I$61,4,FALSE)+VLOOKUP(VLOOKUP(AQ$1,main!$A$3:$I$56,7,FALSE),main!$K$10:$Q$14,6,FALSE),1,0)</f>
        <v>0</v>
      </c>
      <c r="AR213">
        <f>IF(VLOOKUP(AR$1,main!$A$3:$I$56,5,FALSE)-VLOOKUP($A213,main!$A$3:$I$56,6,FALSE)&gt;=VLOOKUP(58,main!$A$57:$I$61,4,FALSE)+VLOOKUP(VLOOKUP(AR$1,main!$A$3:$I$56,7,FALSE),main!$K$10:$Q$14,6,FALSE),1,0)</f>
        <v>0</v>
      </c>
      <c r="AS213">
        <f>IF(VLOOKUP(AS$1,main!$A$3:$I$56,5,FALSE)-VLOOKUP($A213,main!$A$3:$I$56,6,FALSE)&gt;=VLOOKUP(58,main!$A$57:$I$61,4,FALSE)+VLOOKUP(VLOOKUP(AS$1,main!$A$3:$I$56,7,FALSE),main!$K$10:$Q$14,6,FALSE),1,0)</f>
        <v>0</v>
      </c>
      <c r="AT213">
        <f>IF(VLOOKUP(AT$1,main!$A$3:$I$56,5,FALSE)-VLOOKUP($A213,main!$A$3:$I$56,6,FALSE)&gt;=VLOOKUP(58,main!$A$57:$I$61,4,FALSE)+VLOOKUP(VLOOKUP(AT$1,main!$A$3:$I$56,7,FALSE),main!$K$10:$Q$14,6,FALSE),1,0)</f>
        <v>0</v>
      </c>
      <c r="AU213">
        <f>IF(VLOOKUP(AU$1,main!$A$3:$I$56,5,FALSE)-VLOOKUP($A213,main!$A$3:$I$56,6,FALSE)&gt;=VLOOKUP(58,main!$A$57:$I$61,4,FALSE)+VLOOKUP(VLOOKUP(AU$1,main!$A$3:$I$56,7,FALSE),main!$K$10:$Q$14,6,FALSE),1,0)</f>
        <v>0</v>
      </c>
      <c r="AV213">
        <f>IF(VLOOKUP(AV$1,main!$A$3:$I$56,5,FALSE)-VLOOKUP($A213,main!$A$3:$I$56,6,FALSE)&gt;=VLOOKUP(58,main!$A$57:$I$61,4,FALSE)+VLOOKUP(VLOOKUP(AV$1,main!$A$3:$I$56,7,FALSE),main!$K$10:$Q$14,6,FALSE),1,0)</f>
        <v>0</v>
      </c>
      <c r="AW213">
        <f>IF(VLOOKUP(AW$1,main!$A$3:$I$56,5,FALSE)-VLOOKUP($A213,main!$A$3:$I$56,6,FALSE)&gt;=VLOOKUP(58,main!$A$57:$I$61,4,FALSE)+VLOOKUP(VLOOKUP(AW$1,main!$A$3:$I$56,7,FALSE),main!$K$10:$Q$14,6,FALSE),1,0)</f>
        <v>0</v>
      </c>
      <c r="AX213">
        <f>IF(VLOOKUP(AX$1,main!$A$3:$I$56,5,FALSE)-VLOOKUP($A213,main!$A$3:$I$56,6,FALSE)&gt;=VLOOKUP(58,main!$A$57:$I$61,4,FALSE)+VLOOKUP(VLOOKUP(AX$1,main!$A$3:$I$56,7,FALSE),main!$K$10:$Q$14,6,FALSE),1,0)</f>
        <v>0</v>
      </c>
      <c r="AY213">
        <f>IF(VLOOKUP(AY$1,main!$A$3:$I$56,5,FALSE)-VLOOKUP($A213,main!$A$3:$I$56,6,FALSE)&gt;=VLOOKUP(58,main!$A$57:$I$61,4,FALSE)+VLOOKUP(VLOOKUP(AY$1,main!$A$3:$I$56,7,FALSE),main!$K$10:$Q$14,6,FALSE),1,0)</f>
        <v>0</v>
      </c>
      <c r="AZ213">
        <f>IF(VLOOKUP(AZ$1,main!$A$3:$I$56,5,FALSE)-VLOOKUP($A213,main!$A$3:$I$56,6,FALSE)&gt;=VLOOKUP(58,main!$A$57:$I$61,4,FALSE)+VLOOKUP(VLOOKUP(AZ$1,main!$A$3:$I$56,7,FALSE),main!$K$10:$Q$14,6,FALSE),1,0)</f>
        <v>0</v>
      </c>
      <c r="BA213">
        <f>IF(VLOOKUP(BA$1,main!$A$3:$I$56,5,FALSE)-VLOOKUP($A213,main!$A$3:$I$56,6,FALSE)&gt;=VLOOKUP(58,main!$A$57:$I$61,4,FALSE)+VLOOKUP(VLOOKUP(BA$1,main!$A$3:$I$56,7,FALSE),main!$K$10:$Q$14,6,FALSE),1,0)</f>
        <v>0</v>
      </c>
      <c r="BB213">
        <f>IF(VLOOKUP(BB$1,main!$A$3:$I$56,5,FALSE)-VLOOKUP($A213,main!$A$3:$I$56,6,FALSE)&gt;=VLOOKUP(58,main!$A$57:$I$61,4,FALSE)+VLOOKUP(VLOOKUP(BB$1,main!$A$3:$I$56,7,FALSE),main!$K$10:$Q$14,6,FALSE),1,0)</f>
        <v>0</v>
      </c>
      <c r="BC213">
        <f>IF(VLOOKUP(BC$1,main!$A$3:$I$56,5,FALSE)-VLOOKUP($A213,main!$A$3:$I$56,6,FALSE)&gt;=VLOOKUP(58,main!$A$57:$I$61,4,FALSE)+VLOOKUP(VLOOKUP(BC$1,main!$A$3:$I$56,7,FALSE),main!$K$10:$Q$14,6,FALSE),1,0)</f>
        <v>0</v>
      </c>
      <c r="BD213">
        <f>IF(VLOOKUP(BD$1,main!$A$3:$I$56,5,FALSE)-VLOOKUP($A213,main!$A$3:$I$56,6,FALSE)&gt;=VLOOKUP(58,main!$A$57:$I$61,4,FALSE)+VLOOKUP(VLOOKUP(BD$1,main!$A$3:$I$56,7,FALSE),main!$K$10:$Q$14,6,FALSE),1,0)</f>
        <v>0</v>
      </c>
    </row>
    <row r="214" spans="1:56" x14ac:dyDescent="0.25">
      <c r="A214">
        <f t="shared" si="3"/>
        <v>47</v>
      </c>
      <c r="B214">
        <v>0</v>
      </c>
      <c r="C214">
        <f>IF(VLOOKUP(C$1,main!$A$3:$I$56,5,FALSE)-VLOOKUP($A214,main!$A$3:$I$56,6,FALSE)&gt;=VLOOKUP(58,main!$A$57:$I$61,4,FALSE)+VLOOKUP(VLOOKUP(C$1,main!$A$3:$I$56,7,FALSE),main!$K$10:$Q$14,6,FALSE),1,0)</f>
        <v>0</v>
      </c>
      <c r="D214">
        <f>IF(VLOOKUP(D$1,main!$A$3:$I$56,5,FALSE)-VLOOKUP($A214,main!$A$3:$I$56,6,FALSE)&gt;=VLOOKUP(58,main!$A$57:$I$61,4,FALSE)+VLOOKUP(VLOOKUP(D$1,main!$A$3:$I$56,7,FALSE),main!$K$10:$Q$14,6,FALSE),1,0)</f>
        <v>0</v>
      </c>
      <c r="E214">
        <f>IF(VLOOKUP(E$1,main!$A$3:$I$56,5,FALSE)-VLOOKUP($A214,main!$A$3:$I$56,6,FALSE)&gt;=VLOOKUP(58,main!$A$57:$I$61,4,FALSE)+VLOOKUP(VLOOKUP(E$1,main!$A$3:$I$56,7,FALSE),main!$K$10:$Q$14,6,FALSE),1,0)</f>
        <v>0</v>
      </c>
      <c r="F214">
        <f>IF(VLOOKUP(F$1,main!$A$3:$I$56,5,FALSE)-VLOOKUP($A214,main!$A$3:$I$56,6,FALSE)&gt;=VLOOKUP(58,main!$A$57:$I$61,4,FALSE)+VLOOKUP(VLOOKUP(F$1,main!$A$3:$I$56,7,FALSE),main!$K$10:$Q$14,6,FALSE),1,0)</f>
        <v>0</v>
      </c>
      <c r="G214">
        <f>IF(VLOOKUP(G$1,main!$A$3:$I$56,5,FALSE)-VLOOKUP($A214,main!$A$3:$I$56,6,FALSE)&gt;=VLOOKUP(58,main!$A$57:$I$61,4,FALSE)+VLOOKUP(VLOOKUP(G$1,main!$A$3:$I$56,7,FALSE),main!$K$10:$Q$14,6,FALSE),1,0)</f>
        <v>0</v>
      </c>
      <c r="H214">
        <f>IF(VLOOKUP(H$1,main!$A$3:$I$56,5,FALSE)-VLOOKUP($A214,main!$A$3:$I$56,6,FALSE)&gt;=VLOOKUP(58,main!$A$57:$I$61,4,FALSE)+VLOOKUP(VLOOKUP(H$1,main!$A$3:$I$56,7,FALSE),main!$K$10:$Q$14,6,FALSE),1,0)</f>
        <v>0</v>
      </c>
      <c r="I214">
        <f>IF(VLOOKUP(I$1,main!$A$3:$I$56,5,FALSE)-VLOOKUP($A214,main!$A$3:$I$56,6,FALSE)&gt;=VLOOKUP(58,main!$A$57:$I$61,4,FALSE)+VLOOKUP(VLOOKUP(I$1,main!$A$3:$I$56,7,FALSE),main!$K$10:$Q$14,6,FALSE),1,0)</f>
        <v>0</v>
      </c>
      <c r="J214">
        <f>IF(VLOOKUP(J$1,main!$A$3:$I$56,5,FALSE)-VLOOKUP($A214,main!$A$3:$I$56,6,FALSE)&gt;=VLOOKUP(58,main!$A$57:$I$61,4,FALSE)+VLOOKUP(VLOOKUP(J$1,main!$A$3:$I$56,7,FALSE),main!$K$10:$Q$14,6,FALSE),1,0)</f>
        <v>1</v>
      </c>
      <c r="K214">
        <f>IF(VLOOKUP(K$1,main!$A$3:$I$56,5,FALSE)-VLOOKUP($A214,main!$A$3:$I$56,6,FALSE)&gt;=VLOOKUP(58,main!$A$57:$I$61,4,FALSE)+VLOOKUP(VLOOKUP(K$1,main!$A$3:$I$56,7,FALSE),main!$K$10:$Q$14,6,FALSE),1,0)</f>
        <v>0</v>
      </c>
      <c r="L214">
        <f>IF(VLOOKUP(L$1,main!$A$3:$I$56,5,FALSE)-VLOOKUP($A214,main!$A$3:$I$56,6,FALSE)&gt;=VLOOKUP(58,main!$A$57:$I$61,4,FALSE)+VLOOKUP(VLOOKUP(L$1,main!$A$3:$I$56,7,FALSE),main!$K$10:$Q$14,6,FALSE),1,0)</f>
        <v>0</v>
      </c>
      <c r="M214">
        <f>IF(VLOOKUP(M$1,main!$A$3:$I$56,5,FALSE)-VLOOKUP($A214,main!$A$3:$I$56,6,FALSE)&gt;=VLOOKUP(58,main!$A$57:$I$61,4,FALSE)+VLOOKUP(VLOOKUP(M$1,main!$A$3:$I$56,7,FALSE),main!$K$10:$Q$14,6,FALSE),1,0)</f>
        <v>0</v>
      </c>
      <c r="N214">
        <f>IF(VLOOKUP(N$1,main!$A$3:$I$56,5,FALSE)-VLOOKUP($A214,main!$A$3:$I$56,6,FALSE)&gt;=VLOOKUP(58,main!$A$57:$I$61,4,FALSE)+VLOOKUP(VLOOKUP(N$1,main!$A$3:$I$56,7,FALSE),main!$K$10:$Q$14,6,FALSE),1,0)</f>
        <v>1</v>
      </c>
      <c r="O214">
        <f>IF(VLOOKUP(O$1,main!$A$3:$I$56,5,FALSE)-VLOOKUP($A214,main!$A$3:$I$56,6,FALSE)&gt;=VLOOKUP(58,main!$A$57:$I$61,4,FALSE)+VLOOKUP(VLOOKUP(O$1,main!$A$3:$I$56,7,FALSE),main!$K$10:$Q$14,6,FALSE),1,0)</f>
        <v>1</v>
      </c>
      <c r="P214">
        <f>IF(VLOOKUP(P$1,main!$A$3:$I$56,5,FALSE)-VLOOKUP($A214,main!$A$3:$I$56,6,FALSE)&gt;=VLOOKUP(58,main!$A$57:$I$61,4,FALSE)+VLOOKUP(VLOOKUP(P$1,main!$A$3:$I$56,7,FALSE),main!$K$10:$Q$14,6,FALSE),1,0)</f>
        <v>0</v>
      </c>
      <c r="Q214">
        <f>IF(VLOOKUP(Q$1,main!$A$3:$I$56,5,FALSE)-VLOOKUP($A214,main!$A$3:$I$56,6,FALSE)&gt;=VLOOKUP(58,main!$A$57:$I$61,4,FALSE)+VLOOKUP(VLOOKUP(Q$1,main!$A$3:$I$56,7,FALSE),main!$K$10:$Q$14,6,FALSE),1,0)</f>
        <v>0</v>
      </c>
      <c r="R214">
        <f>IF(VLOOKUP(R$1,main!$A$3:$I$56,5,FALSE)-VLOOKUP($A214,main!$A$3:$I$56,6,FALSE)&gt;=VLOOKUP(58,main!$A$57:$I$61,4,FALSE)+VLOOKUP(VLOOKUP(R$1,main!$A$3:$I$56,7,FALSE),main!$K$10:$Q$14,6,FALSE),1,0)</f>
        <v>0</v>
      </c>
      <c r="S214">
        <f>IF(VLOOKUP(S$1,main!$A$3:$I$56,5,FALSE)-VLOOKUP($A214,main!$A$3:$I$56,6,FALSE)&gt;=VLOOKUP(58,main!$A$57:$I$61,4,FALSE)+VLOOKUP(VLOOKUP(S$1,main!$A$3:$I$56,7,FALSE),main!$K$10:$Q$14,6,FALSE),1,0)</f>
        <v>0</v>
      </c>
      <c r="T214">
        <f>IF(VLOOKUP(T$1,main!$A$3:$I$56,5,FALSE)-VLOOKUP($A214,main!$A$3:$I$56,6,FALSE)&gt;=VLOOKUP(58,main!$A$57:$I$61,4,FALSE)+VLOOKUP(VLOOKUP(T$1,main!$A$3:$I$56,7,FALSE),main!$K$10:$Q$14,6,FALSE),1,0)</f>
        <v>0</v>
      </c>
      <c r="U214">
        <f>IF(VLOOKUP(U$1,main!$A$3:$I$56,5,FALSE)-VLOOKUP($A214,main!$A$3:$I$56,6,FALSE)&gt;=VLOOKUP(58,main!$A$57:$I$61,4,FALSE)+VLOOKUP(VLOOKUP(U$1,main!$A$3:$I$56,7,FALSE),main!$K$10:$Q$14,6,FALSE),1,0)</f>
        <v>0</v>
      </c>
      <c r="V214">
        <f>IF(VLOOKUP(V$1,main!$A$3:$I$56,5,FALSE)-VLOOKUP($A214,main!$A$3:$I$56,6,FALSE)&gt;=VLOOKUP(58,main!$A$57:$I$61,4,FALSE)+VLOOKUP(VLOOKUP(V$1,main!$A$3:$I$56,7,FALSE),main!$K$10:$Q$14,6,FALSE),1,0)</f>
        <v>0</v>
      </c>
      <c r="W214">
        <f>IF(VLOOKUP(W$1,main!$A$3:$I$56,5,FALSE)-VLOOKUP($A214,main!$A$3:$I$56,6,FALSE)&gt;=VLOOKUP(58,main!$A$57:$I$61,4,FALSE)+VLOOKUP(VLOOKUP(W$1,main!$A$3:$I$56,7,FALSE),main!$K$10:$Q$14,6,FALSE),1,0)</f>
        <v>0</v>
      </c>
      <c r="X214">
        <f>IF(VLOOKUP(X$1,main!$A$3:$I$56,5,FALSE)-VLOOKUP($A214,main!$A$3:$I$56,6,FALSE)&gt;=VLOOKUP(58,main!$A$57:$I$61,4,FALSE)+VLOOKUP(VLOOKUP(X$1,main!$A$3:$I$56,7,FALSE),main!$K$10:$Q$14,6,FALSE),1,0)</f>
        <v>0</v>
      </c>
      <c r="Y214">
        <f>IF(VLOOKUP(Y$1,main!$A$3:$I$56,5,FALSE)-VLOOKUP($A214,main!$A$3:$I$56,6,FALSE)&gt;=VLOOKUP(58,main!$A$57:$I$61,4,FALSE)+VLOOKUP(VLOOKUP(Y$1,main!$A$3:$I$56,7,FALSE),main!$K$10:$Q$14,6,FALSE),1,0)</f>
        <v>0</v>
      </c>
      <c r="Z214">
        <f>IF(VLOOKUP(Z$1,main!$A$3:$I$56,5,FALSE)-VLOOKUP($A214,main!$A$3:$I$56,6,FALSE)&gt;=VLOOKUP(58,main!$A$57:$I$61,4,FALSE)+VLOOKUP(VLOOKUP(Z$1,main!$A$3:$I$56,7,FALSE),main!$K$10:$Q$14,6,FALSE),1,0)</f>
        <v>0</v>
      </c>
      <c r="AA214">
        <f>IF(VLOOKUP(AA$1,main!$A$3:$I$56,5,FALSE)-VLOOKUP($A214,main!$A$3:$I$56,6,FALSE)&gt;=VLOOKUP(58,main!$A$57:$I$61,4,FALSE)+VLOOKUP(VLOOKUP(AA$1,main!$A$3:$I$56,7,FALSE),main!$K$10:$Q$14,6,FALSE),1,0)</f>
        <v>0</v>
      </c>
      <c r="AB214">
        <f>IF(VLOOKUP(AB$1,main!$A$3:$I$56,5,FALSE)-VLOOKUP($A214,main!$A$3:$I$56,6,FALSE)&gt;=VLOOKUP(58,main!$A$57:$I$61,4,FALSE)+VLOOKUP(VLOOKUP(AB$1,main!$A$3:$I$56,7,FALSE),main!$K$10:$Q$14,6,FALSE),1,0)</f>
        <v>0</v>
      </c>
      <c r="AC214">
        <f>IF(VLOOKUP(AC$1,main!$A$3:$I$56,5,FALSE)-VLOOKUP($A214,main!$A$3:$I$56,6,FALSE)&gt;=VLOOKUP(58,main!$A$57:$I$61,4,FALSE)+VLOOKUP(VLOOKUP(AC$1,main!$A$3:$I$56,7,FALSE),main!$K$10:$Q$14,6,FALSE),1,0)</f>
        <v>0</v>
      </c>
      <c r="AD214">
        <f>IF(VLOOKUP(AD$1,main!$A$3:$I$56,5,FALSE)-VLOOKUP($A214,main!$A$3:$I$56,6,FALSE)&gt;=VLOOKUP(58,main!$A$57:$I$61,4,FALSE)+VLOOKUP(VLOOKUP(AD$1,main!$A$3:$I$56,7,FALSE),main!$K$10:$Q$14,6,FALSE),1,0)</f>
        <v>0</v>
      </c>
      <c r="AE214">
        <f>IF(VLOOKUP(AE$1,main!$A$3:$I$56,5,FALSE)-VLOOKUP($A214,main!$A$3:$I$56,6,FALSE)&gt;=VLOOKUP(58,main!$A$57:$I$61,4,FALSE)+VLOOKUP(VLOOKUP(AE$1,main!$A$3:$I$56,7,FALSE),main!$K$10:$Q$14,6,FALSE),1,0)</f>
        <v>0</v>
      </c>
      <c r="AF214">
        <f>IF(VLOOKUP(AF$1,main!$A$3:$I$56,5,FALSE)-VLOOKUP($A214,main!$A$3:$I$56,6,FALSE)&gt;=VLOOKUP(58,main!$A$57:$I$61,4,FALSE)+VLOOKUP(VLOOKUP(AF$1,main!$A$3:$I$56,7,FALSE),main!$K$10:$Q$14,6,FALSE),1,0)</f>
        <v>0</v>
      </c>
      <c r="AG214">
        <f>IF(VLOOKUP(AG$1,main!$A$3:$I$56,5,FALSE)-VLOOKUP($A214,main!$A$3:$I$56,6,FALSE)&gt;=VLOOKUP(58,main!$A$57:$I$61,4,FALSE)+VLOOKUP(VLOOKUP(AG$1,main!$A$3:$I$56,7,FALSE),main!$K$10:$Q$14,6,FALSE),1,0)</f>
        <v>0</v>
      </c>
      <c r="AH214">
        <f>IF(VLOOKUP(AH$1,main!$A$3:$I$56,5,FALSE)-VLOOKUP($A214,main!$A$3:$I$56,6,FALSE)&gt;=VLOOKUP(58,main!$A$57:$I$61,4,FALSE)+VLOOKUP(VLOOKUP(AH$1,main!$A$3:$I$56,7,FALSE),main!$K$10:$Q$14,6,FALSE),1,0)</f>
        <v>0</v>
      </c>
      <c r="AI214">
        <f>IF(VLOOKUP(AI$1,main!$A$3:$I$56,5,FALSE)-VLOOKUP($A214,main!$A$3:$I$56,6,FALSE)&gt;=VLOOKUP(58,main!$A$57:$I$61,4,FALSE)+VLOOKUP(VLOOKUP(AI$1,main!$A$3:$I$56,7,FALSE),main!$K$10:$Q$14,6,FALSE),1,0)</f>
        <v>0</v>
      </c>
      <c r="AJ214">
        <f>IF(VLOOKUP(AJ$1,main!$A$3:$I$56,5,FALSE)-VLOOKUP($A214,main!$A$3:$I$56,6,FALSE)&gt;=VLOOKUP(58,main!$A$57:$I$61,4,FALSE)+VLOOKUP(VLOOKUP(AJ$1,main!$A$3:$I$56,7,FALSE),main!$K$10:$Q$14,6,FALSE),1,0)</f>
        <v>0</v>
      </c>
      <c r="AK214">
        <f>IF(VLOOKUP(AK$1,main!$A$3:$I$56,5,FALSE)-VLOOKUP($A214,main!$A$3:$I$56,6,FALSE)&gt;=VLOOKUP(58,main!$A$57:$I$61,4,FALSE)+VLOOKUP(VLOOKUP(AK$1,main!$A$3:$I$56,7,FALSE),main!$K$10:$Q$14,6,FALSE),1,0)</f>
        <v>1</v>
      </c>
      <c r="AL214">
        <f>IF(VLOOKUP(AL$1,main!$A$3:$I$56,5,FALSE)-VLOOKUP($A214,main!$A$3:$I$56,6,FALSE)&gt;=VLOOKUP(58,main!$A$57:$I$61,4,FALSE)+VLOOKUP(VLOOKUP(AL$1,main!$A$3:$I$56,7,FALSE),main!$K$10:$Q$14,6,FALSE),1,0)</f>
        <v>0</v>
      </c>
      <c r="AM214">
        <f>IF(VLOOKUP(AM$1,main!$A$3:$I$56,5,FALSE)-VLOOKUP($A214,main!$A$3:$I$56,6,FALSE)&gt;=VLOOKUP(58,main!$A$57:$I$61,4,FALSE)+VLOOKUP(VLOOKUP(AM$1,main!$A$3:$I$56,7,FALSE),main!$K$10:$Q$14,6,FALSE),1,0)</f>
        <v>0</v>
      </c>
      <c r="AN214">
        <f>IF(VLOOKUP(AN$1,main!$A$3:$I$56,5,FALSE)-VLOOKUP($A214,main!$A$3:$I$56,6,FALSE)&gt;=VLOOKUP(58,main!$A$57:$I$61,4,FALSE)+VLOOKUP(VLOOKUP(AN$1,main!$A$3:$I$56,7,FALSE),main!$K$10:$Q$14,6,FALSE),1,0)</f>
        <v>0</v>
      </c>
      <c r="AO214">
        <f>IF(VLOOKUP(AO$1,main!$A$3:$I$56,5,FALSE)-VLOOKUP($A214,main!$A$3:$I$56,6,FALSE)&gt;=VLOOKUP(58,main!$A$57:$I$61,4,FALSE)+VLOOKUP(VLOOKUP(AO$1,main!$A$3:$I$56,7,FALSE),main!$K$10:$Q$14,6,FALSE),1,0)</f>
        <v>0</v>
      </c>
      <c r="AP214">
        <f>IF(VLOOKUP(AP$1,main!$A$3:$I$56,5,FALSE)-VLOOKUP($A214,main!$A$3:$I$56,6,FALSE)&gt;=VLOOKUP(58,main!$A$57:$I$61,4,FALSE)+VLOOKUP(VLOOKUP(AP$1,main!$A$3:$I$56,7,FALSE),main!$K$10:$Q$14,6,FALSE),1,0)</f>
        <v>0</v>
      </c>
      <c r="AQ214">
        <f>IF(VLOOKUP(AQ$1,main!$A$3:$I$56,5,FALSE)-VLOOKUP($A214,main!$A$3:$I$56,6,FALSE)&gt;=VLOOKUP(58,main!$A$57:$I$61,4,FALSE)+VLOOKUP(VLOOKUP(AQ$1,main!$A$3:$I$56,7,FALSE),main!$K$10:$Q$14,6,FALSE),1,0)</f>
        <v>0</v>
      </c>
      <c r="AR214">
        <f>IF(VLOOKUP(AR$1,main!$A$3:$I$56,5,FALSE)-VLOOKUP($A214,main!$A$3:$I$56,6,FALSE)&gt;=VLOOKUP(58,main!$A$57:$I$61,4,FALSE)+VLOOKUP(VLOOKUP(AR$1,main!$A$3:$I$56,7,FALSE),main!$K$10:$Q$14,6,FALSE),1,0)</f>
        <v>0</v>
      </c>
      <c r="AS214">
        <f>IF(VLOOKUP(AS$1,main!$A$3:$I$56,5,FALSE)-VLOOKUP($A214,main!$A$3:$I$56,6,FALSE)&gt;=VLOOKUP(58,main!$A$57:$I$61,4,FALSE)+VLOOKUP(VLOOKUP(AS$1,main!$A$3:$I$56,7,FALSE),main!$K$10:$Q$14,6,FALSE),1,0)</f>
        <v>0</v>
      </c>
      <c r="AT214">
        <f>IF(VLOOKUP(AT$1,main!$A$3:$I$56,5,FALSE)-VLOOKUP($A214,main!$A$3:$I$56,6,FALSE)&gt;=VLOOKUP(58,main!$A$57:$I$61,4,FALSE)+VLOOKUP(VLOOKUP(AT$1,main!$A$3:$I$56,7,FALSE),main!$K$10:$Q$14,6,FALSE),1,0)</f>
        <v>0</v>
      </c>
      <c r="AU214">
        <f>IF(VLOOKUP(AU$1,main!$A$3:$I$56,5,FALSE)-VLOOKUP($A214,main!$A$3:$I$56,6,FALSE)&gt;=VLOOKUP(58,main!$A$57:$I$61,4,FALSE)+VLOOKUP(VLOOKUP(AU$1,main!$A$3:$I$56,7,FALSE),main!$K$10:$Q$14,6,FALSE),1,0)</f>
        <v>0</v>
      </c>
      <c r="AV214">
        <f>IF(VLOOKUP(AV$1,main!$A$3:$I$56,5,FALSE)-VLOOKUP($A214,main!$A$3:$I$56,6,FALSE)&gt;=VLOOKUP(58,main!$A$57:$I$61,4,FALSE)+VLOOKUP(VLOOKUP(AV$1,main!$A$3:$I$56,7,FALSE),main!$K$10:$Q$14,6,FALSE),1,0)</f>
        <v>0</v>
      </c>
      <c r="AW214">
        <f>IF(VLOOKUP(AW$1,main!$A$3:$I$56,5,FALSE)-VLOOKUP($A214,main!$A$3:$I$56,6,FALSE)&gt;=VLOOKUP(58,main!$A$57:$I$61,4,FALSE)+VLOOKUP(VLOOKUP(AW$1,main!$A$3:$I$56,7,FALSE),main!$K$10:$Q$14,6,FALSE),1,0)</f>
        <v>0</v>
      </c>
      <c r="AX214">
        <f>IF(VLOOKUP(AX$1,main!$A$3:$I$56,5,FALSE)-VLOOKUP($A214,main!$A$3:$I$56,6,FALSE)&gt;=VLOOKUP(58,main!$A$57:$I$61,4,FALSE)+VLOOKUP(VLOOKUP(AX$1,main!$A$3:$I$56,7,FALSE),main!$K$10:$Q$14,6,FALSE),1,0)</f>
        <v>0</v>
      </c>
      <c r="AY214">
        <f>IF(VLOOKUP(AY$1,main!$A$3:$I$56,5,FALSE)-VLOOKUP($A214,main!$A$3:$I$56,6,FALSE)&gt;=VLOOKUP(58,main!$A$57:$I$61,4,FALSE)+VLOOKUP(VLOOKUP(AY$1,main!$A$3:$I$56,7,FALSE),main!$K$10:$Q$14,6,FALSE),1,0)</f>
        <v>0</v>
      </c>
      <c r="AZ214">
        <f>IF(VLOOKUP(AZ$1,main!$A$3:$I$56,5,FALSE)-VLOOKUP($A214,main!$A$3:$I$56,6,FALSE)&gt;=VLOOKUP(58,main!$A$57:$I$61,4,FALSE)+VLOOKUP(VLOOKUP(AZ$1,main!$A$3:$I$56,7,FALSE),main!$K$10:$Q$14,6,FALSE),1,0)</f>
        <v>0</v>
      </c>
      <c r="BA214">
        <f>IF(VLOOKUP(BA$1,main!$A$3:$I$56,5,FALSE)-VLOOKUP($A214,main!$A$3:$I$56,6,FALSE)&gt;=VLOOKUP(58,main!$A$57:$I$61,4,FALSE)+VLOOKUP(VLOOKUP(BA$1,main!$A$3:$I$56,7,FALSE),main!$K$10:$Q$14,6,FALSE),1,0)</f>
        <v>0</v>
      </c>
      <c r="BB214">
        <f>IF(VLOOKUP(BB$1,main!$A$3:$I$56,5,FALSE)-VLOOKUP($A214,main!$A$3:$I$56,6,FALSE)&gt;=VLOOKUP(58,main!$A$57:$I$61,4,FALSE)+VLOOKUP(VLOOKUP(BB$1,main!$A$3:$I$56,7,FALSE),main!$K$10:$Q$14,6,FALSE),1,0)</f>
        <v>0</v>
      </c>
      <c r="BC214">
        <f>IF(VLOOKUP(BC$1,main!$A$3:$I$56,5,FALSE)-VLOOKUP($A214,main!$A$3:$I$56,6,FALSE)&gt;=VLOOKUP(58,main!$A$57:$I$61,4,FALSE)+VLOOKUP(VLOOKUP(BC$1,main!$A$3:$I$56,7,FALSE),main!$K$10:$Q$14,6,FALSE),1,0)</f>
        <v>0</v>
      </c>
      <c r="BD214">
        <f>IF(VLOOKUP(BD$1,main!$A$3:$I$56,5,FALSE)-VLOOKUP($A214,main!$A$3:$I$56,6,FALSE)&gt;=VLOOKUP(58,main!$A$57:$I$61,4,FALSE)+VLOOKUP(VLOOKUP(BD$1,main!$A$3:$I$56,7,FALSE),main!$K$10:$Q$14,6,FALSE),1,0)</f>
        <v>0</v>
      </c>
    </row>
    <row r="215" spans="1:56" x14ac:dyDescent="0.25">
      <c r="A215">
        <f t="shared" si="3"/>
        <v>48</v>
      </c>
      <c r="B215">
        <v>0</v>
      </c>
      <c r="C215">
        <f>IF(VLOOKUP(C$1,main!$A$3:$I$56,5,FALSE)-VLOOKUP($A215,main!$A$3:$I$56,6,FALSE)&gt;=VLOOKUP(58,main!$A$57:$I$61,4,FALSE)+VLOOKUP(VLOOKUP(C$1,main!$A$3:$I$56,7,FALSE),main!$K$10:$Q$14,6,FALSE),1,0)</f>
        <v>0</v>
      </c>
      <c r="D215">
        <f>IF(VLOOKUP(D$1,main!$A$3:$I$56,5,FALSE)-VLOOKUP($A215,main!$A$3:$I$56,6,FALSE)&gt;=VLOOKUP(58,main!$A$57:$I$61,4,FALSE)+VLOOKUP(VLOOKUP(D$1,main!$A$3:$I$56,7,FALSE),main!$K$10:$Q$14,6,FALSE),1,0)</f>
        <v>0</v>
      </c>
      <c r="E215">
        <f>IF(VLOOKUP(E$1,main!$A$3:$I$56,5,FALSE)-VLOOKUP($A215,main!$A$3:$I$56,6,FALSE)&gt;=VLOOKUP(58,main!$A$57:$I$61,4,FALSE)+VLOOKUP(VLOOKUP(E$1,main!$A$3:$I$56,7,FALSE),main!$K$10:$Q$14,6,FALSE),1,0)</f>
        <v>0</v>
      </c>
      <c r="F215">
        <f>IF(VLOOKUP(F$1,main!$A$3:$I$56,5,FALSE)-VLOOKUP($A215,main!$A$3:$I$56,6,FALSE)&gt;=VLOOKUP(58,main!$A$57:$I$61,4,FALSE)+VLOOKUP(VLOOKUP(F$1,main!$A$3:$I$56,7,FALSE),main!$K$10:$Q$14,6,FALSE),1,0)</f>
        <v>0</v>
      </c>
      <c r="G215">
        <f>IF(VLOOKUP(G$1,main!$A$3:$I$56,5,FALSE)-VLOOKUP($A215,main!$A$3:$I$56,6,FALSE)&gt;=VLOOKUP(58,main!$A$57:$I$61,4,FALSE)+VLOOKUP(VLOOKUP(G$1,main!$A$3:$I$56,7,FALSE),main!$K$10:$Q$14,6,FALSE),1,0)</f>
        <v>0</v>
      </c>
      <c r="H215">
        <f>IF(VLOOKUP(H$1,main!$A$3:$I$56,5,FALSE)-VLOOKUP($A215,main!$A$3:$I$56,6,FALSE)&gt;=VLOOKUP(58,main!$A$57:$I$61,4,FALSE)+VLOOKUP(VLOOKUP(H$1,main!$A$3:$I$56,7,FALSE),main!$K$10:$Q$14,6,FALSE),1,0)</f>
        <v>0</v>
      </c>
      <c r="I215">
        <f>IF(VLOOKUP(I$1,main!$A$3:$I$56,5,FALSE)-VLOOKUP($A215,main!$A$3:$I$56,6,FALSE)&gt;=VLOOKUP(58,main!$A$57:$I$61,4,FALSE)+VLOOKUP(VLOOKUP(I$1,main!$A$3:$I$56,7,FALSE),main!$K$10:$Q$14,6,FALSE),1,0)</f>
        <v>0</v>
      </c>
      <c r="J215">
        <f>IF(VLOOKUP(J$1,main!$A$3:$I$56,5,FALSE)-VLOOKUP($A215,main!$A$3:$I$56,6,FALSE)&gt;=VLOOKUP(58,main!$A$57:$I$61,4,FALSE)+VLOOKUP(VLOOKUP(J$1,main!$A$3:$I$56,7,FALSE),main!$K$10:$Q$14,6,FALSE),1,0)</f>
        <v>0</v>
      </c>
      <c r="K215">
        <f>IF(VLOOKUP(K$1,main!$A$3:$I$56,5,FALSE)-VLOOKUP($A215,main!$A$3:$I$56,6,FALSE)&gt;=VLOOKUP(58,main!$A$57:$I$61,4,FALSE)+VLOOKUP(VLOOKUP(K$1,main!$A$3:$I$56,7,FALSE),main!$K$10:$Q$14,6,FALSE),1,0)</f>
        <v>0</v>
      </c>
      <c r="L215">
        <f>IF(VLOOKUP(L$1,main!$A$3:$I$56,5,FALSE)-VLOOKUP($A215,main!$A$3:$I$56,6,FALSE)&gt;=VLOOKUP(58,main!$A$57:$I$61,4,FALSE)+VLOOKUP(VLOOKUP(L$1,main!$A$3:$I$56,7,FALSE),main!$K$10:$Q$14,6,FALSE),1,0)</f>
        <v>0</v>
      </c>
      <c r="M215">
        <f>IF(VLOOKUP(M$1,main!$A$3:$I$56,5,FALSE)-VLOOKUP($A215,main!$A$3:$I$56,6,FALSE)&gt;=VLOOKUP(58,main!$A$57:$I$61,4,FALSE)+VLOOKUP(VLOOKUP(M$1,main!$A$3:$I$56,7,FALSE),main!$K$10:$Q$14,6,FALSE),1,0)</f>
        <v>0</v>
      </c>
      <c r="N215">
        <f>IF(VLOOKUP(N$1,main!$A$3:$I$56,5,FALSE)-VLOOKUP($A215,main!$A$3:$I$56,6,FALSE)&gt;=VLOOKUP(58,main!$A$57:$I$61,4,FALSE)+VLOOKUP(VLOOKUP(N$1,main!$A$3:$I$56,7,FALSE),main!$K$10:$Q$14,6,FALSE),1,0)</f>
        <v>0</v>
      </c>
      <c r="O215">
        <f>IF(VLOOKUP(O$1,main!$A$3:$I$56,5,FALSE)-VLOOKUP($A215,main!$A$3:$I$56,6,FALSE)&gt;=VLOOKUP(58,main!$A$57:$I$61,4,FALSE)+VLOOKUP(VLOOKUP(O$1,main!$A$3:$I$56,7,FALSE),main!$K$10:$Q$14,6,FALSE),1,0)</f>
        <v>0</v>
      </c>
      <c r="P215">
        <f>IF(VLOOKUP(P$1,main!$A$3:$I$56,5,FALSE)-VLOOKUP($A215,main!$A$3:$I$56,6,FALSE)&gt;=VLOOKUP(58,main!$A$57:$I$61,4,FALSE)+VLOOKUP(VLOOKUP(P$1,main!$A$3:$I$56,7,FALSE),main!$K$10:$Q$14,6,FALSE),1,0)</f>
        <v>0</v>
      </c>
      <c r="Q215">
        <f>IF(VLOOKUP(Q$1,main!$A$3:$I$56,5,FALSE)-VLOOKUP($A215,main!$A$3:$I$56,6,FALSE)&gt;=VLOOKUP(58,main!$A$57:$I$61,4,FALSE)+VLOOKUP(VLOOKUP(Q$1,main!$A$3:$I$56,7,FALSE),main!$K$10:$Q$14,6,FALSE),1,0)</f>
        <v>0</v>
      </c>
      <c r="R215">
        <f>IF(VLOOKUP(R$1,main!$A$3:$I$56,5,FALSE)-VLOOKUP($A215,main!$A$3:$I$56,6,FALSE)&gt;=VLOOKUP(58,main!$A$57:$I$61,4,FALSE)+VLOOKUP(VLOOKUP(R$1,main!$A$3:$I$56,7,FALSE),main!$K$10:$Q$14,6,FALSE),1,0)</f>
        <v>0</v>
      </c>
      <c r="S215">
        <f>IF(VLOOKUP(S$1,main!$A$3:$I$56,5,FALSE)-VLOOKUP($A215,main!$A$3:$I$56,6,FALSE)&gt;=VLOOKUP(58,main!$A$57:$I$61,4,FALSE)+VLOOKUP(VLOOKUP(S$1,main!$A$3:$I$56,7,FALSE),main!$K$10:$Q$14,6,FALSE),1,0)</f>
        <v>0</v>
      </c>
      <c r="T215">
        <f>IF(VLOOKUP(T$1,main!$A$3:$I$56,5,FALSE)-VLOOKUP($A215,main!$A$3:$I$56,6,FALSE)&gt;=VLOOKUP(58,main!$A$57:$I$61,4,FALSE)+VLOOKUP(VLOOKUP(T$1,main!$A$3:$I$56,7,FALSE),main!$K$10:$Q$14,6,FALSE),1,0)</f>
        <v>0</v>
      </c>
      <c r="U215">
        <f>IF(VLOOKUP(U$1,main!$A$3:$I$56,5,FALSE)-VLOOKUP($A215,main!$A$3:$I$56,6,FALSE)&gt;=VLOOKUP(58,main!$A$57:$I$61,4,FALSE)+VLOOKUP(VLOOKUP(U$1,main!$A$3:$I$56,7,FALSE),main!$K$10:$Q$14,6,FALSE),1,0)</f>
        <v>0</v>
      </c>
      <c r="V215">
        <f>IF(VLOOKUP(V$1,main!$A$3:$I$56,5,FALSE)-VLOOKUP($A215,main!$A$3:$I$56,6,FALSE)&gt;=VLOOKUP(58,main!$A$57:$I$61,4,FALSE)+VLOOKUP(VLOOKUP(V$1,main!$A$3:$I$56,7,FALSE),main!$K$10:$Q$14,6,FALSE),1,0)</f>
        <v>0</v>
      </c>
      <c r="W215">
        <f>IF(VLOOKUP(W$1,main!$A$3:$I$56,5,FALSE)-VLOOKUP($A215,main!$A$3:$I$56,6,FALSE)&gt;=VLOOKUP(58,main!$A$57:$I$61,4,FALSE)+VLOOKUP(VLOOKUP(W$1,main!$A$3:$I$56,7,FALSE),main!$K$10:$Q$14,6,FALSE),1,0)</f>
        <v>0</v>
      </c>
      <c r="X215">
        <f>IF(VLOOKUP(X$1,main!$A$3:$I$56,5,FALSE)-VLOOKUP($A215,main!$A$3:$I$56,6,FALSE)&gt;=VLOOKUP(58,main!$A$57:$I$61,4,FALSE)+VLOOKUP(VLOOKUP(X$1,main!$A$3:$I$56,7,FALSE),main!$K$10:$Q$14,6,FALSE),1,0)</f>
        <v>0</v>
      </c>
      <c r="Y215">
        <f>IF(VLOOKUP(Y$1,main!$A$3:$I$56,5,FALSE)-VLOOKUP($A215,main!$A$3:$I$56,6,FALSE)&gt;=VLOOKUP(58,main!$A$57:$I$61,4,FALSE)+VLOOKUP(VLOOKUP(Y$1,main!$A$3:$I$56,7,FALSE),main!$K$10:$Q$14,6,FALSE),1,0)</f>
        <v>0</v>
      </c>
      <c r="Z215">
        <f>IF(VLOOKUP(Z$1,main!$A$3:$I$56,5,FALSE)-VLOOKUP($A215,main!$A$3:$I$56,6,FALSE)&gt;=VLOOKUP(58,main!$A$57:$I$61,4,FALSE)+VLOOKUP(VLOOKUP(Z$1,main!$A$3:$I$56,7,FALSE),main!$K$10:$Q$14,6,FALSE),1,0)</f>
        <v>0</v>
      </c>
      <c r="AA215">
        <f>IF(VLOOKUP(AA$1,main!$A$3:$I$56,5,FALSE)-VLOOKUP($A215,main!$A$3:$I$56,6,FALSE)&gt;=VLOOKUP(58,main!$A$57:$I$61,4,FALSE)+VLOOKUP(VLOOKUP(AA$1,main!$A$3:$I$56,7,FALSE),main!$K$10:$Q$14,6,FALSE),1,0)</f>
        <v>0</v>
      </c>
      <c r="AB215">
        <f>IF(VLOOKUP(AB$1,main!$A$3:$I$56,5,FALSE)-VLOOKUP($A215,main!$A$3:$I$56,6,FALSE)&gt;=VLOOKUP(58,main!$A$57:$I$61,4,FALSE)+VLOOKUP(VLOOKUP(AB$1,main!$A$3:$I$56,7,FALSE),main!$K$10:$Q$14,6,FALSE),1,0)</f>
        <v>0</v>
      </c>
      <c r="AC215">
        <f>IF(VLOOKUP(AC$1,main!$A$3:$I$56,5,FALSE)-VLOOKUP($A215,main!$A$3:$I$56,6,FALSE)&gt;=VLOOKUP(58,main!$A$57:$I$61,4,FALSE)+VLOOKUP(VLOOKUP(AC$1,main!$A$3:$I$56,7,FALSE),main!$K$10:$Q$14,6,FALSE),1,0)</f>
        <v>0</v>
      </c>
      <c r="AD215">
        <f>IF(VLOOKUP(AD$1,main!$A$3:$I$56,5,FALSE)-VLOOKUP($A215,main!$A$3:$I$56,6,FALSE)&gt;=VLOOKUP(58,main!$A$57:$I$61,4,FALSE)+VLOOKUP(VLOOKUP(AD$1,main!$A$3:$I$56,7,FALSE),main!$K$10:$Q$14,6,FALSE),1,0)</f>
        <v>0</v>
      </c>
      <c r="AE215">
        <f>IF(VLOOKUP(AE$1,main!$A$3:$I$56,5,FALSE)-VLOOKUP($A215,main!$A$3:$I$56,6,FALSE)&gt;=VLOOKUP(58,main!$A$57:$I$61,4,FALSE)+VLOOKUP(VLOOKUP(AE$1,main!$A$3:$I$56,7,FALSE),main!$K$10:$Q$14,6,FALSE),1,0)</f>
        <v>0</v>
      </c>
      <c r="AF215">
        <f>IF(VLOOKUP(AF$1,main!$A$3:$I$56,5,FALSE)-VLOOKUP($A215,main!$A$3:$I$56,6,FALSE)&gt;=VLOOKUP(58,main!$A$57:$I$61,4,FALSE)+VLOOKUP(VLOOKUP(AF$1,main!$A$3:$I$56,7,FALSE),main!$K$10:$Q$14,6,FALSE),1,0)</f>
        <v>0</v>
      </c>
      <c r="AG215">
        <f>IF(VLOOKUP(AG$1,main!$A$3:$I$56,5,FALSE)-VLOOKUP($A215,main!$A$3:$I$56,6,FALSE)&gt;=VLOOKUP(58,main!$A$57:$I$61,4,FALSE)+VLOOKUP(VLOOKUP(AG$1,main!$A$3:$I$56,7,FALSE),main!$K$10:$Q$14,6,FALSE),1,0)</f>
        <v>0</v>
      </c>
      <c r="AH215">
        <f>IF(VLOOKUP(AH$1,main!$A$3:$I$56,5,FALSE)-VLOOKUP($A215,main!$A$3:$I$56,6,FALSE)&gt;=VLOOKUP(58,main!$A$57:$I$61,4,FALSE)+VLOOKUP(VLOOKUP(AH$1,main!$A$3:$I$56,7,FALSE),main!$K$10:$Q$14,6,FALSE),1,0)</f>
        <v>0</v>
      </c>
      <c r="AI215">
        <f>IF(VLOOKUP(AI$1,main!$A$3:$I$56,5,FALSE)-VLOOKUP($A215,main!$A$3:$I$56,6,FALSE)&gt;=VLOOKUP(58,main!$A$57:$I$61,4,FALSE)+VLOOKUP(VLOOKUP(AI$1,main!$A$3:$I$56,7,FALSE),main!$K$10:$Q$14,6,FALSE),1,0)</f>
        <v>0</v>
      </c>
      <c r="AJ215">
        <f>IF(VLOOKUP(AJ$1,main!$A$3:$I$56,5,FALSE)-VLOOKUP($A215,main!$A$3:$I$56,6,FALSE)&gt;=VLOOKUP(58,main!$A$57:$I$61,4,FALSE)+VLOOKUP(VLOOKUP(AJ$1,main!$A$3:$I$56,7,FALSE),main!$K$10:$Q$14,6,FALSE),1,0)</f>
        <v>0</v>
      </c>
      <c r="AK215">
        <f>IF(VLOOKUP(AK$1,main!$A$3:$I$56,5,FALSE)-VLOOKUP($A215,main!$A$3:$I$56,6,FALSE)&gt;=VLOOKUP(58,main!$A$57:$I$61,4,FALSE)+VLOOKUP(VLOOKUP(AK$1,main!$A$3:$I$56,7,FALSE),main!$K$10:$Q$14,6,FALSE),1,0)</f>
        <v>0</v>
      </c>
      <c r="AL215">
        <f>IF(VLOOKUP(AL$1,main!$A$3:$I$56,5,FALSE)-VLOOKUP($A215,main!$A$3:$I$56,6,FALSE)&gt;=VLOOKUP(58,main!$A$57:$I$61,4,FALSE)+VLOOKUP(VLOOKUP(AL$1,main!$A$3:$I$56,7,FALSE),main!$K$10:$Q$14,6,FALSE),1,0)</f>
        <v>0</v>
      </c>
      <c r="AM215">
        <f>IF(VLOOKUP(AM$1,main!$A$3:$I$56,5,FALSE)-VLOOKUP($A215,main!$A$3:$I$56,6,FALSE)&gt;=VLOOKUP(58,main!$A$57:$I$61,4,FALSE)+VLOOKUP(VLOOKUP(AM$1,main!$A$3:$I$56,7,FALSE),main!$K$10:$Q$14,6,FALSE),1,0)</f>
        <v>0</v>
      </c>
      <c r="AN215">
        <f>IF(VLOOKUP(AN$1,main!$A$3:$I$56,5,FALSE)-VLOOKUP($A215,main!$A$3:$I$56,6,FALSE)&gt;=VLOOKUP(58,main!$A$57:$I$61,4,FALSE)+VLOOKUP(VLOOKUP(AN$1,main!$A$3:$I$56,7,FALSE),main!$K$10:$Q$14,6,FALSE),1,0)</f>
        <v>0</v>
      </c>
      <c r="AO215">
        <f>IF(VLOOKUP(AO$1,main!$A$3:$I$56,5,FALSE)-VLOOKUP($A215,main!$A$3:$I$56,6,FALSE)&gt;=VLOOKUP(58,main!$A$57:$I$61,4,FALSE)+VLOOKUP(VLOOKUP(AO$1,main!$A$3:$I$56,7,FALSE),main!$K$10:$Q$14,6,FALSE),1,0)</f>
        <v>0</v>
      </c>
      <c r="AP215">
        <f>IF(VLOOKUP(AP$1,main!$A$3:$I$56,5,FALSE)-VLOOKUP($A215,main!$A$3:$I$56,6,FALSE)&gt;=VLOOKUP(58,main!$A$57:$I$61,4,FALSE)+VLOOKUP(VLOOKUP(AP$1,main!$A$3:$I$56,7,FALSE),main!$K$10:$Q$14,6,FALSE),1,0)</f>
        <v>0</v>
      </c>
      <c r="AQ215">
        <f>IF(VLOOKUP(AQ$1,main!$A$3:$I$56,5,FALSE)-VLOOKUP($A215,main!$A$3:$I$56,6,FALSE)&gt;=VLOOKUP(58,main!$A$57:$I$61,4,FALSE)+VLOOKUP(VLOOKUP(AQ$1,main!$A$3:$I$56,7,FALSE),main!$K$10:$Q$14,6,FALSE),1,0)</f>
        <v>0</v>
      </c>
      <c r="AR215">
        <f>IF(VLOOKUP(AR$1,main!$A$3:$I$56,5,FALSE)-VLOOKUP($A215,main!$A$3:$I$56,6,FALSE)&gt;=VLOOKUP(58,main!$A$57:$I$61,4,FALSE)+VLOOKUP(VLOOKUP(AR$1,main!$A$3:$I$56,7,FALSE),main!$K$10:$Q$14,6,FALSE),1,0)</f>
        <v>0</v>
      </c>
      <c r="AS215">
        <f>IF(VLOOKUP(AS$1,main!$A$3:$I$56,5,FALSE)-VLOOKUP($A215,main!$A$3:$I$56,6,FALSE)&gt;=VLOOKUP(58,main!$A$57:$I$61,4,FALSE)+VLOOKUP(VLOOKUP(AS$1,main!$A$3:$I$56,7,FALSE),main!$K$10:$Q$14,6,FALSE),1,0)</f>
        <v>0</v>
      </c>
      <c r="AT215">
        <f>IF(VLOOKUP(AT$1,main!$A$3:$I$56,5,FALSE)-VLOOKUP($A215,main!$A$3:$I$56,6,FALSE)&gt;=VLOOKUP(58,main!$A$57:$I$61,4,FALSE)+VLOOKUP(VLOOKUP(AT$1,main!$A$3:$I$56,7,FALSE),main!$K$10:$Q$14,6,FALSE),1,0)</f>
        <v>0</v>
      </c>
      <c r="AU215">
        <f>IF(VLOOKUP(AU$1,main!$A$3:$I$56,5,FALSE)-VLOOKUP($A215,main!$A$3:$I$56,6,FALSE)&gt;=VLOOKUP(58,main!$A$57:$I$61,4,FALSE)+VLOOKUP(VLOOKUP(AU$1,main!$A$3:$I$56,7,FALSE),main!$K$10:$Q$14,6,FALSE),1,0)</f>
        <v>0</v>
      </c>
      <c r="AV215">
        <f>IF(VLOOKUP(AV$1,main!$A$3:$I$56,5,FALSE)-VLOOKUP($A215,main!$A$3:$I$56,6,FALSE)&gt;=VLOOKUP(58,main!$A$57:$I$61,4,FALSE)+VLOOKUP(VLOOKUP(AV$1,main!$A$3:$I$56,7,FALSE),main!$K$10:$Q$14,6,FALSE),1,0)</f>
        <v>0</v>
      </c>
      <c r="AW215">
        <f>IF(VLOOKUP(AW$1,main!$A$3:$I$56,5,FALSE)-VLOOKUP($A215,main!$A$3:$I$56,6,FALSE)&gt;=VLOOKUP(58,main!$A$57:$I$61,4,FALSE)+VLOOKUP(VLOOKUP(AW$1,main!$A$3:$I$56,7,FALSE),main!$K$10:$Q$14,6,FALSE),1,0)</f>
        <v>0</v>
      </c>
      <c r="AX215">
        <f>IF(VLOOKUP(AX$1,main!$A$3:$I$56,5,FALSE)-VLOOKUP($A215,main!$A$3:$I$56,6,FALSE)&gt;=VLOOKUP(58,main!$A$57:$I$61,4,FALSE)+VLOOKUP(VLOOKUP(AX$1,main!$A$3:$I$56,7,FALSE),main!$K$10:$Q$14,6,FALSE),1,0)</f>
        <v>0</v>
      </c>
      <c r="AY215">
        <f>IF(VLOOKUP(AY$1,main!$A$3:$I$56,5,FALSE)-VLOOKUP($A215,main!$A$3:$I$56,6,FALSE)&gt;=VLOOKUP(58,main!$A$57:$I$61,4,FALSE)+VLOOKUP(VLOOKUP(AY$1,main!$A$3:$I$56,7,FALSE),main!$K$10:$Q$14,6,FALSE),1,0)</f>
        <v>0</v>
      </c>
      <c r="AZ215">
        <f>IF(VLOOKUP(AZ$1,main!$A$3:$I$56,5,FALSE)-VLOOKUP($A215,main!$A$3:$I$56,6,FALSE)&gt;=VLOOKUP(58,main!$A$57:$I$61,4,FALSE)+VLOOKUP(VLOOKUP(AZ$1,main!$A$3:$I$56,7,FALSE),main!$K$10:$Q$14,6,FALSE),1,0)</f>
        <v>0</v>
      </c>
      <c r="BA215">
        <f>IF(VLOOKUP(BA$1,main!$A$3:$I$56,5,FALSE)-VLOOKUP($A215,main!$A$3:$I$56,6,FALSE)&gt;=VLOOKUP(58,main!$A$57:$I$61,4,FALSE)+VLOOKUP(VLOOKUP(BA$1,main!$A$3:$I$56,7,FALSE),main!$K$10:$Q$14,6,FALSE),1,0)</f>
        <v>0</v>
      </c>
      <c r="BB215">
        <f>IF(VLOOKUP(BB$1,main!$A$3:$I$56,5,FALSE)-VLOOKUP($A215,main!$A$3:$I$56,6,FALSE)&gt;=VLOOKUP(58,main!$A$57:$I$61,4,FALSE)+VLOOKUP(VLOOKUP(BB$1,main!$A$3:$I$56,7,FALSE),main!$K$10:$Q$14,6,FALSE),1,0)</f>
        <v>0</v>
      </c>
      <c r="BC215">
        <f>IF(VLOOKUP(BC$1,main!$A$3:$I$56,5,FALSE)-VLOOKUP($A215,main!$A$3:$I$56,6,FALSE)&gt;=VLOOKUP(58,main!$A$57:$I$61,4,FALSE)+VLOOKUP(VLOOKUP(BC$1,main!$A$3:$I$56,7,FALSE),main!$K$10:$Q$14,6,FALSE),1,0)</f>
        <v>0</v>
      </c>
      <c r="BD215">
        <f>IF(VLOOKUP(BD$1,main!$A$3:$I$56,5,FALSE)-VLOOKUP($A215,main!$A$3:$I$56,6,FALSE)&gt;=VLOOKUP(58,main!$A$57:$I$61,4,FALSE)+VLOOKUP(VLOOKUP(BD$1,main!$A$3:$I$56,7,FALSE),main!$K$10:$Q$14,6,FALSE),1,0)</f>
        <v>0</v>
      </c>
    </row>
    <row r="216" spans="1:56" x14ac:dyDescent="0.25">
      <c r="A216">
        <f t="shared" si="3"/>
        <v>49</v>
      </c>
      <c r="B216">
        <v>0</v>
      </c>
      <c r="C216">
        <f>IF(VLOOKUP(C$1,main!$A$3:$I$56,5,FALSE)-VLOOKUP($A216,main!$A$3:$I$56,6,FALSE)&gt;=VLOOKUP(58,main!$A$57:$I$61,4,FALSE)+VLOOKUP(VLOOKUP(C$1,main!$A$3:$I$56,7,FALSE),main!$K$10:$Q$14,6,FALSE),1,0)</f>
        <v>0</v>
      </c>
      <c r="D216">
        <f>IF(VLOOKUP(D$1,main!$A$3:$I$56,5,FALSE)-VLOOKUP($A216,main!$A$3:$I$56,6,FALSE)&gt;=VLOOKUP(58,main!$A$57:$I$61,4,FALSE)+VLOOKUP(VLOOKUP(D$1,main!$A$3:$I$56,7,FALSE),main!$K$10:$Q$14,6,FALSE),1,0)</f>
        <v>0</v>
      </c>
      <c r="E216">
        <f>IF(VLOOKUP(E$1,main!$A$3:$I$56,5,FALSE)-VLOOKUP($A216,main!$A$3:$I$56,6,FALSE)&gt;=VLOOKUP(58,main!$A$57:$I$61,4,FALSE)+VLOOKUP(VLOOKUP(E$1,main!$A$3:$I$56,7,FALSE),main!$K$10:$Q$14,6,FALSE),1,0)</f>
        <v>0</v>
      </c>
      <c r="F216">
        <f>IF(VLOOKUP(F$1,main!$A$3:$I$56,5,FALSE)-VLOOKUP($A216,main!$A$3:$I$56,6,FALSE)&gt;=VLOOKUP(58,main!$A$57:$I$61,4,FALSE)+VLOOKUP(VLOOKUP(F$1,main!$A$3:$I$56,7,FALSE),main!$K$10:$Q$14,6,FALSE),1,0)</f>
        <v>0</v>
      </c>
      <c r="G216">
        <f>IF(VLOOKUP(G$1,main!$A$3:$I$56,5,FALSE)-VLOOKUP($A216,main!$A$3:$I$56,6,FALSE)&gt;=VLOOKUP(58,main!$A$57:$I$61,4,FALSE)+VLOOKUP(VLOOKUP(G$1,main!$A$3:$I$56,7,FALSE),main!$K$10:$Q$14,6,FALSE),1,0)</f>
        <v>0</v>
      </c>
      <c r="H216">
        <f>IF(VLOOKUP(H$1,main!$A$3:$I$56,5,FALSE)-VLOOKUP($A216,main!$A$3:$I$56,6,FALSE)&gt;=VLOOKUP(58,main!$A$57:$I$61,4,FALSE)+VLOOKUP(VLOOKUP(H$1,main!$A$3:$I$56,7,FALSE),main!$K$10:$Q$14,6,FALSE),1,0)</f>
        <v>0</v>
      </c>
      <c r="I216">
        <f>IF(VLOOKUP(I$1,main!$A$3:$I$56,5,FALSE)-VLOOKUP($A216,main!$A$3:$I$56,6,FALSE)&gt;=VLOOKUP(58,main!$A$57:$I$61,4,FALSE)+VLOOKUP(VLOOKUP(I$1,main!$A$3:$I$56,7,FALSE),main!$K$10:$Q$14,6,FALSE),1,0)</f>
        <v>0</v>
      </c>
      <c r="J216">
        <f>IF(VLOOKUP(J$1,main!$A$3:$I$56,5,FALSE)-VLOOKUP($A216,main!$A$3:$I$56,6,FALSE)&gt;=VLOOKUP(58,main!$A$57:$I$61,4,FALSE)+VLOOKUP(VLOOKUP(J$1,main!$A$3:$I$56,7,FALSE),main!$K$10:$Q$14,6,FALSE),1,0)</f>
        <v>0</v>
      </c>
      <c r="K216">
        <f>IF(VLOOKUP(K$1,main!$A$3:$I$56,5,FALSE)-VLOOKUP($A216,main!$A$3:$I$56,6,FALSE)&gt;=VLOOKUP(58,main!$A$57:$I$61,4,FALSE)+VLOOKUP(VLOOKUP(K$1,main!$A$3:$I$56,7,FALSE),main!$K$10:$Q$14,6,FALSE),1,0)</f>
        <v>0</v>
      </c>
      <c r="L216">
        <f>IF(VLOOKUP(L$1,main!$A$3:$I$56,5,FALSE)-VLOOKUP($A216,main!$A$3:$I$56,6,FALSE)&gt;=VLOOKUP(58,main!$A$57:$I$61,4,FALSE)+VLOOKUP(VLOOKUP(L$1,main!$A$3:$I$56,7,FALSE),main!$K$10:$Q$14,6,FALSE),1,0)</f>
        <v>0</v>
      </c>
      <c r="M216">
        <f>IF(VLOOKUP(M$1,main!$A$3:$I$56,5,FALSE)-VLOOKUP($A216,main!$A$3:$I$56,6,FALSE)&gt;=VLOOKUP(58,main!$A$57:$I$61,4,FALSE)+VLOOKUP(VLOOKUP(M$1,main!$A$3:$I$56,7,FALSE),main!$K$10:$Q$14,6,FALSE),1,0)</f>
        <v>0</v>
      </c>
      <c r="N216">
        <f>IF(VLOOKUP(N$1,main!$A$3:$I$56,5,FALSE)-VLOOKUP($A216,main!$A$3:$I$56,6,FALSE)&gt;=VLOOKUP(58,main!$A$57:$I$61,4,FALSE)+VLOOKUP(VLOOKUP(N$1,main!$A$3:$I$56,7,FALSE),main!$K$10:$Q$14,6,FALSE),1,0)</f>
        <v>0</v>
      </c>
      <c r="O216">
        <f>IF(VLOOKUP(O$1,main!$A$3:$I$56,5,FALSE)-VLOOKUP($A216,main!$A$3:$I$56,6,FALSE)&gt;=VLOOKUP(58,main!$A$57:$I$61,4,FALSE)+VLOOKUP(VLOOKUP(O$1,main!$A$3:$I$56,7,FALSE),main!$K$10:$Q$14,6,FALSE),1,0)</f>
        <v>0</v>
      </c>
      <c r="P216">
        <f>IF(VLOOKUP(P$1,main!$A$3:$I$56,5,FALSE)-VLOOKUP($A216,main!$A$3:$I$56,6,FALSE)&gt;=VLOOKUP(58,main!$A$57:$I$61,4,FALSE)+VLOOKUP(VLOOKUP(P$1,main!$A$3:$I$56,7,FALSE),main!$K$10:$Q$14,6,FALSE),1,0)</f>
        <v>0</v>
      </c>
      <c r="Q216">
        <f>IF(VLOOKUP(Q$1,main!$A$3:$I$56,5,FALSE)-VLOOKUP($A216,main!$A$3:$I$56,6,FALSE)&gt;=VLOOKUP(58,main!$A$57:$I$61,4,FALSE)+VLOOKUP(VLOOKUP(Q$1,main!$A$3:$I$56,7,FALSE),main!$K$10:$Q$14,6,FALSE),1,0)</f>
        <v>0</v>
      </c>
      <c r="R216">
        <f>IF(VLOOKUP(R$1,main!$A$3:$I$56,5,FALSE)-VLOOKUP($A216,main!$A$3:$I$56,6,FALSE)&gt;=VLOOKUP(58,main!$A$57:$I$61,4,FALSE)+VLOOKUP(VLOOKUP(R$1,main!$A$3:$I$56,7,FALSE),main!$K$10:$Q$14,6,FALSE),1,0)</f>
        <v>0</v>
      </c>
      <c r="S216">
        <f>IF(VLOOKUP(S$1,main!$A$3:$I$56,5,FALSE)-VLOOKUP($A216,main!$A$3:$I$56,6,FALSE)&gt;=VLOOKUP(58,main!$A$57:$I$61,4,FALSE)+VLOOKUP(VLOOKUP(S$1,main!$A$3:$I$56,7,FALSE),main!$K$10:$Q$14,6,FALSE),1,0)</f>
        <v>0</v>
      </c>
      <c r="T216">
        <f>IF(VLOOKUP(T$1,main!$A$3:$I$56,5,FALSE)-VLOOKUP($A216,main!$A$3:$I$56,6,FALSE)&gt;=VLOOKUP(58,main!$A$57:$I$61,4,FALSE)+VLOOKUP(VLOOKUP(T$1,main!$A$3:$I$56,7,FALSE),main!$K$10:$Q$14,6,FALSE),1,0)</f>
        <v>0</v>
      </c>
      <c r="U216">
        <f>IF(VLOOKUP(U$1,main!$A$3:$I$56,5,FALSE)-VLOOKUP($A216,main!$A$3:$I$56,6,FALSE)&gt;=VLOOKUP(58,main!$A$57:$I$61,4,FALSE)+VLOOKUP(VLOOKUP(U$1,main!$A$3:$I$56,7,FALSE),main!$K$10:$Q$14,6,FALSE),1,0)</f>
        <v>0</v>
      </c>
      <c r="V216">
        <f>IF(VLOOKUP(V$1,main!$A$3:$I$56,5,FALSE)-VLOOKUP($A216,main!$A$3:$I$56,6,FALSE)&gt;=VLOOKUP(58,main!$A$57:$I$61,4,FALSE)+VLOOKUP(VLOOKUP(V$1,main!$A$3:$I$56,7,FALSE),main!$K$10:$Q$14,6,FALSE),1,0)</f>
        <v>0</v>
      </c>
      <c r="W216">
        <f>IF(VLOOKUP(W$1,main!$A$3:$I$56,5,FALSE)-VLOOKUP($A216,main!$A$3:$I$56,6,FALSE)&gt;=VLOOKUP(58,main!$A$57:$I$61,4,FALSE)+VLOOKUP(VLOOKUP(W$1,main!$A$3:$I$56,7,FALSE),main!$K$10:$Q$14,6,FALSE),1,0)</f>
        <v>0</v>
      </c>
      <c r="X216">
        <f>IF(VLOOKUP(X$1,main!$A$3:$I$56,5,FALSE)-VLOOKUP($A216,main!$A$3:$I$56,6,FALSE)&gt;=VLOOKUP(58,main!$A$57:$I$61,4,FALSE)+VLOOKUP(VLOOKUP(X$1,main!$A$3:$I$56,7,FALSE),main!$K$10:$Q$14,6,FALSE),1,0)</f>
        <v>0</v>
      </c>
      <c r="Y216">
        <f>IF(VLOOKUP(Y$1,main!$A$3:$I$56,5,FALSE)-VLOOKUP($A216,main!$A$3:$I$56,6,FALSE)&gt;=VLOOKUP(58,main!$A$57:$I$61,4,FALSE)+VLOOKUP(VLOOKUP(Y$1,main!$A$3:$I$56,7,FALSE),main!$K$10:$Q$14,6,FALSE),1,0)</f>
        <v>0</v>
      </c>
      <c r="Z216">
        <f>IF(VLOOKUP(Z$1,main!$A$3:$I$56,5,FALSE)-VLOOKUP($A216,main!$A$3:$I$56,6,FALSE)&gt;=VLOOKUP(58,main!$A$57:$I$61,4,FALSE)+VLOOKUP(VLOOKUP(Z$1,main!$A$3:$I$56,7,FALSE),main!$K$10:$Q$14,6,FALSE),1,0)</f>
        <v>0</v>
      </c>
      <c r="AA216">
        <f>IF(VLOOKUP(AA$1,main!$A$3:$I$56,5,FALSE)-VLOOKUP($A216,main!$A$3:$I$56,6,FALSE)&gt;=VLOOKUP(58,main!$A$57:$I$61,4,FALSE)+VLOOKUP(VLOOKUP(AA$1,main!$A$3:$I$56,7,FALSE),main!$K$10:$Q$14,6,FALSE),1,0)</f>
        <v>0</v>
      </c>
      <c r="AB216">
        <f>IF(VLOOKUP(AB$1,main!$A$3:$I$56,5,FALSE)-VLOOKUP($A216,main!$A$3:$I$56,6,FALSE)&gt;=VLOOKUP(58,main!$A$57:$I$61,4,FALSE)+VLOOKUP(VLOOKUP(AB$1,main!$A$3:$I$56,7,FALSE),main!$K$10:$Q$14,6,FALSE),1,0)</f>
        <v>0</v>
      </c>
      <c r="AC216">
        <f>IF(VLOOKUP(AC$1,main!$A$3:$I$56,5,FALSE)-VLOOKUP($A216,main!$A$3:$I$56,6,FALSE)&gt;=VLOOKUP(58,main!$A$57:$I$61,4,FALSE)+VLOOKUP(VLOOKUP(AC$1,main!$A$3:$I$56,7,FALSE),main!$K$10:$Q$14,6,FALSE),1,0)</f>
        <v>0</v>
      </c>
      <c r="AD216">
        <f>IF(VLOOKUP(AD$1,main!$A$3:$I$56,5,FALSE)-VLOOKUP($A216,main!$A$3:$I$56,6,FALSE)&gt;=VLOOKUP(58,main!$A$57:$I$61,4,FALSE)+VLOOKUP(VLOOKUP(AD$1,main!$A$3:$I$56,7,FALSE),main!$K$10:$Q$14,6,FALSE),1,0)</f>
        <v>0</v>
      </c>
      <c r="AE216">
        <f>IF(VLOOKUP(AE$1,main!$A$3:$I$56,5,FALSE)-VLOOKUP($A216,main!$A$3:$I$56,6,FALSE)&gt;=VLOOKUP(58,main!$A$57:$I$61,4,FALSE)+VLOOKUP(VLOOKUP(AE$1,main!$A$3:$I$56,7,FALSE),main!$K$10:$Q$14,6,FALSE),1,0)</f>
        <v>0</v>
      </c>
      <c r="AF216">
        <f>IF(VLOOKUP(AF$1,main!$A$3:$I$56,5,FALSE)-VLOOKUP($A216,main!$A$3:$I$56,6,FALSE)&gt;=VLOOKUP(58,main!$A$57:$I$61,4,FALSE)+VLOOKUP(VLOOKUP(AF$1,main!$A$3:$I$56,7,FALSE),main!$K$10:$Q$14,6,FALSE),1,0)</f>
        <v>0</v>
      </c>
      <c r="AG216">
        <f>IF(VLOOKUP(AG$1,main!$A$3:$I$56,5,FALSE)-VLOOKUP($A216,main!$A$3:$I$56,6,FALSE)&gt;=VLOOKUP(58,main!$A$57:$I$61,4,FALSE)+VLOOKUP(VLOOKUP(AG$1,main!$A$3:$I$56,7,FALSE),main!$K$10:$Q$14,6,FALSE),1,0)</f>
        <v>0</v>
      </c>
      <c r="AH216">
        <f>IF(VLOOKUP(AH$1,main!$A$3:$I$56,5,FALSE)-VLOOKUP($A216,main!$A$3:$I$56,6,FALSE)&gt;=VLOOKUP(58,main!$A$57:$I$61,4,FALSE)+VLOOKUP(VLOOKUP(AH$1,main!$A$3:$I$56,7,FALSE),main!$K$10:$Q$14,6,FALSE),1,0)</f>
        <v>0</v>
      </c>
      <c r="AI216">
        <f>IF(VLOOKUP(AI$1,main!$A$3:$I$56,5,FALSE)-VLOOKUP($A216,main!$A$3:$I$56,6,FALSE)&gt;=VLOOKUP(58,main!$A$57:$I$61,4,FALSE)+VLOOKUP(VLOOKUP(AI$1,main!$A$3:$I$56,7,FALSE),main!$K$10:$Q$14,6,FALSE),1,0)</f>
        <v>0</v>
      </c>
      <c r="AJ216">
        <f>IF(VLOOKUP(AJ$1,main!$A$3:$I$56,5,FALSE)-VLOOKUP($A216,main!$A$3:$I$56,6,FALSE)&gt;=VLOOKUP(58,main!$A$57:$I$61,4,FALSE)+VLOOKUP(VLOOKUP(AJ$1,main!$A$3:$I$56,7,FALSE),main!$K$10:$Q$14,6,FALSE),1,0)</f>
        <v>0</v>
      </c>
      <c r="AK216">
        <f>IF(VLOOKUP(AK$1,main!$A$3:$I$56,5,FALSE)-VLOOKUP($A216,main!$A$3:$I$56,6,FALSE)&gt;=VLOOKUP(58,main!$A$57:$I$61,4,FALSE)+VLOOKUP(VLOOKUP(AK$1,main!$A$3:$I$56,7,FALSE),main!$K$10:$Q$14,6,FALSE),1,0)</f>
        <v>0</v>
      </c>
      <c r="AL216">
        <f>IF(VLOOKUP(AL$1,main!$A$3:$I$56,5,FALSE)-VLOOKUP($A216,main!$A$3:$I$56,6,FALSE)&gt;=VLOOKUP(58,main!$A$57:$I$61,4,FALSE)+VLOOKUP(VLOOKUP(AL$1,main!$A$3:$I$56,7,FALSE),main!$K$10:$Q$14,6,FALSE),1,0)</f>
        <v>0</v>
      </c>
      <c r="AM216">
        <f>IF(VLOOKUP(AM$1,main!$A$3:$I$56,5,FALSE)-VLOOKUP($A216,main!$A$3:$I$56,6,FALSE)&gt;=VLOOKUP(58,main!$A$57:$I$61,4,FALSE)+VLOOKUP(VLOOKUP(AM$1,main!$A$3:$I$56,7,FALSE),main!$K$10:$Q$14,6,FALSE),1,0)</f>
        <v>0</v>
      </c>
      <c r="AN216">
        <f>IF(VLOOKUP(AN$1,main!$A$3:$I$56,5,FALSE)-VLOOKUP($A216,main!$A$3:$I$56,6,FALSE)&gt;=VLOOKUP(58,main!$A$57:$I$61,4,FALSE)+VLOOKUP(VLOOKUP(AN$1,main!$A$3:$I$56,7,FALSE),main!$K$10:$Q$14,6,FALSE),1,0)</f>
        <v>0</v>
      </c>
      <c r="AO216">
        <f>IF(VLOOKUP(AO$1,main!$A$3:$I$56,5,FALSE)-VLOOKUP($A216,main!$A$3:$I$56,6,FALSE)&gt;=VLOOKUP(58,main!$A$57:$I$61,4,FALSE)+VLOOKUP(VLOOKUP(AO$1,main!$A$3:$I$56,7,FALSE),main!$K$10:$Q$14,6,FALSE),1,0)</f>
        <v>0</v>
      </c>
      <c r="AP216">
        <f>IF(VLOOKUP(AP$1,main!$A$3:$I$56,5,FALSE)-VLOOKUP($A216,main!$A$3:$I$56,6,FALSE)&gt;=VLOOKUP(58,main!$A$57:$I$61,4,FALSE)+VLOOKUP(VLOOKUP(AP$1,main!$A$3:$I$56,7,FALSE),main!$K$10:$Q$14,6,FALSE),1,0)</f>
        <v>0</v>
      </c>
      <c r="AQ216">
        <f>IF(VLOOKUP(AQ$1,main!$A$3:$I$56,5,FALSE)-VLOOKUP($A216,main!$A$3:$I$56,6,FALSE)&gt;=VLOOKUP(58,main!$A$57:$I$61,4,FALSE)+VLOOKUP(VLOOKUP(AQ$1,main!$A$3:$I$56,7,FALSE),main!$K$10:$Q$14,6,FALSE),1,0)</f>
        <v>0</v>
      </c>
      <c r="AR216">
        <f>IF(VLOOKUP(AR$1,main!$A$3:$I$56,5,FALSE)-VLOOKUP($A216,main!$A$3:$I$56,6,FALSE)&gt;=VLOOKUP(58,main!$A$57:$I$61,4,FALSE)+VLOOKUP(VLOOKUP(AR$1,main!$A$3:$I$56,7,FALSE),main!$K$10:$Q$14,6,FALSE),1,0)</f>
        <v>0</v>
      </c>
      <c r="AS216">
        <f>IF(VLOOKUP(AS$1,main!$A$3:$I$56,5,FALSE)-VLOOKUP($A216,main!$A$3:$I$56,6,FALSE)&gt;=VLOOKUP(58,main!$A$57:$I$61,4,FALSE)+VLOOKUP(VLOOKUP(AS$1,main!$A$3:$I$56,7,FALSE),main!$K$10:$Q$14,6,FALSE),1,0)</f>
        <v>0</v>
      </c>
      <c r="AT216">
        <f>IF(VLOOKUP(AT$1,main!$A$3:$I$56,5,FALSE)-VLOOKUP($A216,main!$A$3:$I$56,6,FALSE)&gt;=VLOOKUP(58,main!$A$57:$I$61,4,FALSE)+VLOOKUP(VLOOKUP(AT$1,main!$A$3:$I$56,7,FALSE),main!$K$10:$Q$14,6,FALSE),1,0)</f>
        <v>0</v>
      </c>
      <c r="AU216">
        <f>IF(VLOOKUP(AU$1,main!$A$3:$I$56,5,FALSE)-VLOOKUP($A216,main!$A$3:$I$56,6,FALSE)&gt;=VLOOKUP(58,main!$A$57:$I$61,4,FALSE)+VLOOKUP(VLOOKUP(AU$1,main!$A$3:$I$56,7,FALSE),main!$K$10:$Q$14,6,FALSE),1,0)</f>
        <v>0</v>
      </c>
      <c r="AV216">
        <f>IF(VLOOKUP(AV$1,main!$A$3:$I$56,5,FALSE)-VLOOKUP($A216,main!$A$3:$I$56,6,FALSE)&gt;=VLOOKUP(58,main!$A$57:$I$61,4,FALSE)+VLOOKUP(VLOOKUP(AV$1,main!$A$3:$I$56,7,FALSE),main!$K$10:$Q$14,6,FALSE),1,0)</f>
        <v>0</v>
      </c>
      <c r="AW216">
        <f>IF(VLOOKUP(AW$1,main!$A$3:$I$56,5,FALSE)-VLOOKUP($A216,main!$A$3:$I$56,6,FALSE)&gt;=VLOOKUP(58,main!$A$57:$I$61,4,FALSE)+VLOOKUP(VLOOKUP(AW$1,main!$A$3:$I$56,7,FALSE),main!$K$10:$Q$14,6,FALSE),1,0)</f>
        <v>0</v>
      </c>
      <c r="AX216">
        <f>IF(VLOOKUP(AX$1,main!$A$3:$I$56,5,FALSE)-VLOOKUP($A216,main!$A$3:$I$56,6,FALSE)&gt;=VLOOKUP(58,main!$A$57:$I$61,4,FALSE)+VLOOKUP(VLOOKUP(AX$1,main!$A$3:$I$56,7,FALSE),main!$K$10:$Q$14,6,FALSE),1,0)</f>
        <v>0</v>
      </c>
      <c r="AY216">
        <f>IF(VLOOKUP(AY$1,main!$A$3:$I$56,5,FALSE)-VLOOKUP($A216,main!$A$3:$I$56,6,FALSE)&gt;=VLOOKUP(58,main!$A$57:$I$61,4,FALSE)+VLOOKUP(VLOOKUP(AY$1,main!$A$3:$I$56,7,FALSE),main!$K$10:$Q$14,6,FALSE),1,0)</f>
        <v>0</v>
      </c>
      <c r="AZ216">
        <f>IF(VLOOKUP(AZ$1,main!$A$3:$I$56,5,FALSE)-VLOOKUP($A216,main!$A$3:$I$56,6,FALSE)&gt;=VLOOKUP(58,main!$A$57:$I$61,4,FALSE)+VLOOKUP(VLOOKUP(AZ$1,main!$A$3:$I$56,7,FALSE),main!$K$10:$Q$14,6,FALSE),1,0)</f>
        <v>0</v>
      </c>
      <c r="BA216">
        <f>IF(VLOOKUP(BA$1,main!$A$3:$I$56,5,FALSE)-VLOOKUP($A216,main!$A$3:$I$56,6,FALSE)&gt;=VLOOKUP(58,main!$A$57:$I$61,4,FALSE)+VLOOKUP(VLOOKUP(BA$1,main!$A$3:$I$56,7,FALSE),main!$K$10:$Q$14,6,FALSE),1,0)</f>
        <v>0</v>
      </c>
      <c r="BB216">
        <f>IF(VLOOKUP(BB$1,main!$A$3:$I$56,5,FALSE)-VLOOKUP($A216,main!$A$3:$I$56,6,FALSE)&gt;=VLOOKUP(58,main!$A$57:$I$61,4,FALSE)+VLOOKUP(VLOOKUP(BB$1,main!$A$3:$I$56,7,FALSE),main!$K$10:$Q$14,6,FALSE),1,0)</f>
        <v>0</v>
      </c>
      <c r="BC216">
        <f>IF(VLOOKUP(BC$1,main!$A$3:$I$56,5,FALSE)-VLOOKUP($A216,main!$A$3:$I$56,6,FALSE)&gt;=VLOOKUP(58,main!$A$57:$I$61,4,FALSE)+VLOOKUP(VLOOKUP(BC$1,main!$A$3:$I$56,7,FALSE),main!$K$10:$Q$14,6,FALSE),1,0)</f>
        <v>0</v>
      </c>
      <c r="BD216">
        <f>IF(VLOOKUP(BD$1,main!$A$3:$I$56,5,FALSE)-VLOOKUP($A216,main!$A$3:$I$56,6,FALSE)&gt;=VLOOKUP(58,main!$A$57:$I$61,4,FALSE)+VLOOKUP(VLOOKUP(BD$1,main!$A$3:$I$56,7,FALSE),main!$K$10:$Q$14,6,FALSE),1,0)</f>
        <v>0</v>
      </c>
    </row>
    <row r="217" spans="1:56" x14ac:dyDescent="0.25">
      <c r="A217">
        <f t="shared" si="3"/>
        <v>50</v>
      </c>
      <c r="B217">
        <v>0</v>
      </c>
      <c r="C217">
        <f>IF(VLOOKUP(C$1,main!$A$3:$I$56,5,FALSE)-VLOOKUP($A217,main!$A$3:$I$56,6,FALSE)&gt;=VLOOKUP(58,main!$A$57:$I$61,4,FALSE)+VLOOKUP(VLOOKUP(C$1,main!$A$3:$I$56,7,FALSE),main!$K$10:$Q$14,6,FALSE),1,0)</f>
        <v>0</v>
      </c>
      <c r="D217">
        <f>IF(VLOOKUP(D$1,main!$A$3:$I$56,5,FALSE)-VLOOKUP($A217,main!$A$3:$I$56,6,FALSE)&gt;=VLOOKUP(58,main!$A$57:$I$61,4,FALSE)+VLOOKUP(VLOOKUP(D$1,main!$A$3:$I$56,7,FALSE),main!$K$10:$Q$14,6,FALSE),1,0)</f>
        <v>0</v>
      </c>
      <c r="E217">
        <f>IF(VLOOKUP(E$1,main!$A$3:$I$56,5,FALSE)-VLOOKUP($A217,main!$A$3:$I$56,6,FALSE)&gt;=VLOOKUP(58,main!$A$57:$I$61,4,FALSE)+VLOOKUP(VLOOKUP(E$1,main!$A$3:$I$56,7,FALSE),main!$K$10:$Q$14,6,FALSE),1,0)</f>
        <v>0</v>
      </c>
      <c r="F217">
        <f>IF(VLOOKUP(F$1,main!$A$3:$I$56,5,FALSE)-VLOOKUP($A217,main!$A$3:$I$56,6,FALSE)&gt;=VLOOKUP(58,main!$A$57:$I$61,4,FALSE)+VLOOKUP(VLOOKUP(F$1,main!$A$3:$I$56,7,FALSE),main!$K$10:$Q$14,6,FALSE),1,0)</f>
        <v>0</v>
      </c>
      <c r="G217">
        <f>IF(VLOOKUP(G$1,main!$A$3:$I$56,5,FALSE)-VLOOKUP($A217,main!$A$3:$I$56,6,FALSE)&gt;=VLOOKUP(58,main!$A$57:$I$61,4,FALSE)+VLOOKUP(VLOOKUP(G$1,main!$A$3:$I$56,7,FALSE),main!$K$10:$Q$14,6,FALSE),1,0)</f>
        <v>1</v>
      </c>
      <c r="H217">
        <f>IF(VLOOKUP(H$1,main!$A$3:$I$56,5,FALSE)-VLOOKUP($A217,main!$A$3:$I$56,6,FALSE)&gt;=VLOOKUP(58,main!$A$57:$I$61,4,FALSE)+VLOOKUP(VLOOKUP(H$1,main!$A$3:$I$56,7,FALSE),main!$K$10:$Q$14,6,FALSE),1,0)</f>
        <v>1</v>
      </c>
      <c r="I217">
        <f>IF(VLOOKUP(I$1,main!$A$3:$I$56,5,FALSE)-VLOOKUP($A217,main!$A$3:$I$56,6,FALSE)&gt;=VLOOKUP(58,main!$A$57:$I$61,4,FALSE)+VLOOKUP(VLOOKUP(I$1,main!$A$3:$I$56,7,FALSE),main!$K$10:$Q$14,6,FALSE),1,0)</f>
        <v>1</v>
      </c>
      <c r="J217">
        <f>IF(VLOOKUP(J$1,main!$A$3:$I$56,5,FALSE)-VLOOKUP($A217,main!$A$3:$I$56,6,FALSE)&gt;=VLOOKUP(58,main!$A$57:$I$61,4,FALSE)+VLOOKUP(VLOOKUP(J$1,main!$A$3:$I$56,7,FALSE),main!$K$10:$Q$14,6,FALSE),1,0)</f>
        <v>1</v>
      </c>
      <c r="K217">
        <f>IF(VLOOKUP(K$1,main!$A$3:$I$56,5,FALSE)-VLOOKUP($A217,main!$A$3:$I$56,6,FALSE)&gt;=VLOOKUP(58,main!$A$57:$I$61,4,FALSE)+VLOOKUP(VLOOKUP(K$1,main!$A$3:$I$56,7,FALSE),main!$K$10:$Q$14,6,FALSE),1,0)</f>
        <v>0</v>
      </c>
      <c r="L217">
        <f>IF(VLOOKUP(L$1,main!$A$3:$I$56,5,FALSE)-VLOOKUP($A217,main!$A$3:$I$56,6,FALSE)&gt;=VLOOKUP(58,main!$A$57:$I$61,4,FALSE)+VLOOKUP(VLOOKUP(L$1,main!$A$3:$I$56,7,FALSE),main!$K$10:$Q$14,6,FALSE),1,0)</f>
        <v>0</v>
      </c>
      <c r="M217">
        <f>IF(VLOOKUP(M$1,main!$A$3:$I$56,5,FALSE)-VLOOKUP($A217,main!$A$3:$I$56,6,FALSE)&gt;=VLOOKUP(58,main!$A$57:$I$61,4,FALSE)+VLOOKUP(VLOOKUP(M$1,main!$A$3:$I$56,7,FALSE),main!$K$10:$Q$14,6,FALSE),1,0)</f>
        <v>0</v>
      </c>
      <c r="N217">
        <f>IF(VLOOKUP(N$1,main!$A$3:$I$56,5,FALSE)-VLOOKUP($A217,main!$A$3:$I$56,6,FALSE)&gt;=VLOOKUP(58,main!$A$57:$I$61,4,FALSE)+VLOOKUP(VLOOKUP(N$1,main!$A$3:$I$56,7,FALSE),main!$K$10:$Q$14,6,FALSE),1,0)</f>
        <v>1</v>
      </c>
      <c r="O217">
        <f>IF(VLOOKUP(O$1,main!$A$3:$I$56,5,FALSE)-VLOOKUP($A217,main!$A$3:$I$56,6,FALSE)&gt;=VLOOKUP(58,main!$A$57:$I$61,4,FALSE)+VLOOKUP(VLOOKUP(O$1,main!$A$3:$I$56,7,FALSE),main!$K$10:$Q$14,6,FALSE),1,0)</f>
        <v>1</v>
      </c>
      <c r="P217">
        <f>IF(VLOOKUP(P$1,main!$A$3:$I$56,5,FALSE)-VLOOKUP($A217,main!$A$3:$I$56,6,FALSE)&gt;=VLOOKUP(58,main!$A$57:$I$61,4,FALSE)+VLOOKUP(VLOOKUP(P$1,main!$A$3:$I$56,7,FALSE),main!$K$10:$Q$14,6,FALSE),1,0)</f>
        <v>0</v>
      </c>
      <c r="Q217">
        <f>IF(VLOOKUP(Q$1,main!$A$3:$I$56,5,FALSE)-VLOOKUP($A217,main!$A$3:$I$56,6,FALSE)&gt;=VLOOKUP(58,main!$A$57:$I$61,4,FALSE)+VLOOKUP(VLOOKUP(Q$1,main!$A$3:$I$56,7,FALSE),main!$K$10:$Q$14,6,FALSE),1,0)</f>
        <v>0</v>
      </c>
      <c r="R217">
        <f>IF(VLOOKUP(R$1,main!$A$3:$I$56,5,FALSE)-VLOOKUP($A217,main!$A$3:$I$56,6,FALSE)&gt;=VLOOKUP(58,main!$A$57:$I$61,4,FALSE)+VLOOKUP(VLOOKUP(R$1,main!$A$3:$I$56,7,FALSE),main!$K$10:$Q$14,6,FALSE),1,0)</f>
        <v>0</v>
      </c>
      <c r="S217">
        <f>IF(VLOOKUP(S$1,main!$A$3:$I$56,5,FALSE)-VLOOKUP($A217,main!$A$3:$I$56,6,FALSE)&gt;=VLOOKUP(58,main!$A$57:$I$61,4,FALSE)+VLOOKUP(VLOOKUP(S$1,main!$A$3:$I$56,7,FALSE),main!$K$10:$Q$14,6,FALSE),1,0)</f>
        <v>1</v>
      </c>
      <c r="T217">
        <f>IF(VLOOKUP(T$1,main!$A$3:$I$56,5,FALSE)-VLOOKUP($A217,main!$A$3:$I$56,6,FALSE)&gt;=VLOOKUP(58,main!$A$57:$I$61,4,FALSE)+VLOOKUP(VLOOKUP(T$1,main!$A$3:$I$56,7,FALSE),main!$K$10:$Q$14,6,FALSE),1,0)</f>
        <v>1</v>
      </c>
      <c r="U217">
        <f>IF(VLOOKUP(U$1,main!$A$3:$I$56,5,FALSE)-VLOOKUP($A217,main!$A$3:$I$56,6,FALSE)&gt;=VLOOKUP(58,main!$A$57:$I$61,4,FALSE)+VLOOKUP(VLOOKUP(U$1,main!$A$3:$I$56,7,FALSE),main!$K$10:$Q$14,6,FALSE),1,0)</f>
        <v>0</v>
      </c>
      <c r="V217">
        <f>IF(VLOOKUP(V$1,main!$A$3:$I$56,5,FALSE)-VLOOKUP($A217,main!$A$3:$I$56,6,FALSE)&gt;=VLOOKUP(58,main!$A$57:$I$61,4,FALSE)+VLOOKUP(VLOOKUP(V$1,main!$A$3:$I$56,7,FALSE),main!$K$10:$Q$14,6,FALSE),1,0)</f>
        <v>0</v>
      </c>
      <c r="W217">
        <f>IF(VLOOKUP(W$1,main!$A$3:$I$56,5,FALSE)-VLOOKUP($A217,main!$A$3:$I$56,6,FALSE)&gt;=VLOOKUP(58,main!$A$57:$I$61,4,FALSE)+VLOOKUP(VLOOKUP(W$1,main!$A$3:$I$56,7,FALSE),main!$K$10:$Q$14,6,FALSE),1,0)</f>
        <v>0</v>
      </c>
      <c r="X217">
        <f>IF(VLOOKUP(X$1,main!$A$3:$I$56,5,FALSE)-VLOOKUP($A217,main!$A$3:$I$56,6,FALSE)&gt;=VLOOKUP(58,main!$A$57:$I$61,4,FALSE)+VLOOKUP(VLOOKUP(X$1,main!$A$3:$I$56,7,FALSE),main!$K$10:$Q$14,6,FALSE),1,0)</f>
        <v>0</v>
      </c>
      <c r="Y217">
        <f>IF(VLOOKUP(Y$1,main!$A$3:$I$56,5,FALSE)-VLOOKUP($A217,main!$A$3:$I$56,6,FALSE)&gt;=VLOOKUP(58,main!$A$57:$I$61,4,FALSE)+VLOOKUP(VLOOKUP(Y$1,main!$A$3:$I$56,7,FALSE),main!$K$10:$Q$14,6,FALSE),1,0)</f>
        <v>0</v>
      </c>
      <c r="Z217">
        <f>IF(VLOOKUP(Z$1,main!$A$3:$I$56,5,FALSE)-VLOOKUP($A217,main!$A$3:$I$56,6,FALSE)&gt;=VLOOKUP(58,main!$A$57:$I$61,4,FALSE)+VLOOKUP(VLOOKUP(Z$1,main!$A$3:$I$56,7,FALSE),main!$K$10:$Q$14,6,FALSE),1,0)</f>
        <v>1</v>
      </c>
      <c r="AA217">
        <f>IF(VLOOKUP(AA$1,main!$A$3:$I$56,5,FALSE)-VLOOKUP($A217,main!$A$3:$I$56,6,FALSE)&gt;=VLOOKUP(58,main!$A$57:$I$61,4,FALSE)+VLOOKUP(VLOOKUP(AA$1,main!$A$3:$I$56,7,FALSE),main!$K$10:$Q$14,6,FALSE),1,0)</f>
        <v>1</v>
      </c>
      <c r="AB217">
        <f>IF(VLOOKUP(AB$1,main!$A$3:$I$56,5,FALSE)-VLOOKUP($A217,main!$A$3:$I$56,6,FALSE)&gt;=VLOOKUP(58,main!$A$57:$I$61,4,FALSE)+VLOOKUP(VLOOKUP(AB$1,main!$A$3:$I$56,7,FALSE),main!$K$10:$Q$14,6,FALSE),1,0)</f>
        <v>1</v>
      </c>
      <c r="AC217">
        <f>IF(VLOOKUP(AC$1,main!$A$3:$I$56,5,FALSE)-VLOOKUP($A217,main!$A$3:$I$56,6,FALSE)&gt;=VLOOKUP(58,main!$A$57:$I$61,4,FALSE)+VLOOKUP(VLOOKUP(AC$1,main!$A$3:$I$56,7,FALSE),main!$K$10:$Q$14,6,FALSE),1,0)</f>
        <v>0</v>
      </c>
      <c r="AD217">
        <f>IF(VLOOKUP(AD$1,main!$A$3:$I$56,5,FALSE)-VLOOKUP($A217,main!$A$3:$I$56,6,FALSE)&gt;=VLOOKUP(58,main!$A$57:$I$61,4,FALSE)+VLOOKUP(VLOOKUP(AD$1,main!$A$3:$I$56,7,FALSE),main!$K$10:$Q$14,6,FALSE),1,0)</f>
        <v>0</v>
      </c>
      <c r="AE217">
        <f>IF(VLOOKUP(AE$1,main!$A$3:$I$56,5,FALSE)-VLOOKUP($A217,main!$A$3:$I$56,6,FALSE)&gt;=VLOOKUP(58,main!$A$57:$I$61,4,FALSE)+VLOOKUP(VLOOKUP(AE$1,main!$A$3:$I$56,7,FALSE),main!$K$10:$Q$14,6,FALSE),1,0)</f>
        <v>0</v>
      </c>
      <c r="AF217">
        <f>IF(VLOOKUP(AF$1,main!$A$3:$I$56,5,FALSE)-VLOOKUP($A217,main!$A$3:$I$56,6,FALSE)&gt;=VLOOKUP(58,main!$A$57:$I$61,4,FALSE)+VLOOKUP(VLOOKUP(AF$1,main!$A$3:$I$56,7,FALSE),main!$K$10:$Q$14,6,FALSE),1,0)</f>
        <v>1</v>
      </c>
      <c r="AG217">
        <f>IF(VLOOKUP(AG$1,main!$A$3:$I$56,5,FALSE)-VLOOKUP($A217,main!$A$3:$I$56,6,FALSE)&gt;=VLOOKUP(58,main!$A$57:$I$61,4,FALSE)+VLOOKUP(VLOOKUP(AG$1,main!$A$3:$I$56,7,FALSE),main!$K$10:$Q$14,6,FALSE),1,0)</f>
        <v>0</v>
      </c>
      <c r="AH217">
        <f>IF(VLOOKUP(AH$1,main!$A$3:$I$56,5,FALSE)-VLOOKUP($A217,main!$A$3:$I$56,6,FALSE)&gt;=VLOOKUP(58,main!$A$57:$I$61,4,FALSE)+VLOOKUP(VLOOKUP(AH$1,main!$A$3:$I$56,7,FALSE),main!$K$10:$Q$14,6,FALSE),1,0)</f>
        <v>0</v>
      </c>
      <c r="AI217">
        <f>IF(VLOOKUP(AI$1,main!$A$3:$I$56,5,FALSE)-VLOOKUP($A217,main!$A$3:$I$56,6,FALSE)&gt;=VLOOKUP(58,main!$A$57:$I$61,4,FALSE)+VLOOKUP(VLOOKUP(AI$1,main!$A$3:$I$56,7,FALSE),main!$K$10:$Q$14,6,FALSE),1,0)</f>
        <v>1</v>
      </c>
      <c r="AJ217">
        <f>IF(VLOOKUP(AJ$1,main!$A$3:$I$56,5,FALSE)-VLOOKUP($A217,main!$A$3:$I$56,6,FALSE)&gt;=VLOOKUP(58,main!$A$57:$I$61,4,FALSE)+VLOOKUP(VLOOKUP(AJ$1,main!$A$3:$I$56,7,FALSE),main!$K$10:$Q$14,6,FALSE),1,0)</f>
        <v>1</v>
      </c>
      <c r="AK217">
        <f>IF(VLOOKUP(AK$1,main!$A$3:$I$56,5,FALSE)-VLOOKUP($A217,main!$A$3:$I$56,6,FALSE)&gt;=VLOOKUP(58,main!$A$57:$I$61,4,FALSE)+VLOOKUP(VLOOKUP(AK$1,main!$A$3:$I$56,7,FALSE),main!$K$10:$Q$14,6,FALSE),1,0)</f>
        <v>1</v>
      </c>
      <c r="AL217">
        <f>IF(VLOOKUP(AL$1,main!$A$3:$I$56,5,FALSE)-VLOOKUP($A217,main!$A$3:$I$56,6,FALSE)&gt;=VLOOKUP(58,main!$A$57:$I$61,4,FALSE)+VLOOKUP(VLOOKUP(AL$1,main!$A$3:$I$56,7,FALSE),main!$K$10:$Q$14,6,FALSE),1,0)</f>
        <v>0</v>
      </c>
      <c r="AM217">
        <f>IF(VLOOKUP(AM$1,main!$A$3:$I$56,5,FALSE)-VLOOKUP($A217,main!$A$3:$I$56,6,FALSE)&gt;=VLOOKUP(58,main!$A$57:$I$61,4,FALSE)+VLOOKUP(VLOOKUP(AM$1,main!$A$3:$I$56,7,FALSE),main!$K$10:$Q$14,6,FALSE),1,0)</f>
        <v>0</v>
      </c>
      <c r="AN217">
        <f>IF(VLOOKUP(AN$1,main!$A$3:$I$56,5,FALSE)-VLOOKUP($A217,main!$A$3:$I$56,6,FALSE)&gt;=VLOOKUP(58,main!$A$57:$I$61,4,FALSE)+VLOOKUP(VLOOKUP(AN$1,main!$A$3:$I$56,7,FALSE),main!$K$10:$Q$14,6,FALSE),1,0)</f>
        <v>1</v>
      </c>
      <c r="AO217">
        <f>IF(VLOOKUP(AO$1,main!$A$3:$I$56,5,FALSE)-VLOOKUP($A217,main!$A$3:$I$56,6,FALSE)&gt;=VLOOKUP(58,main!$A$57:$I$61,4,FALSE)+VLOOKUP(VLOOKUP(AO$1,main!$A$3:$I$56,7,FALSE),main!$K$10:$Q$14,6,FALSE),1,0)</f>
        <v>1</v>
      </c>
      <c r="AP217">
        <f>IF(VLOOKUP(AP$1,main!$A$3:$I$56,5,FALSE)-VLOOKUP($A217,main!$A$3:$I$56,6,FALSE)&gt;=VLOOKUP(58,main!$A$57:$I$61,4,FALSE)+VLOOKUP(VLOOKUP(AP$1,main!$A$3:$I$56,7,FALSE),main!$K$10:$Q$14,6,FALSE),1,0)</f>
        <v>0</v>
      </c>
      <c r="AQ217">
        <f>IF(VLOOKUP(AQ$1,main!$A$3:$I$56,5,FALSE)-VLOOKUP($A217,main!$A$3:$I$56,6,FALSE)&gt;=VLOOKUP(58,main!$A$57:$I$61,4,FALSE)+VLOOKUP(VLOOKUP(AQ$1,main!$A$3:$I$56,7,FALSE),main!$K$10:$Q$14,6,FALSE),1,0)</f>
        <v>0</v>
      </c>
      <c r="AR217">
        <f>IF(VLOOKUP(AR$1,main!$A$3:$I$56,5,FALSE)-VLOOKUP($A217,main!$A$3:$I$56,6,FALSE)&gt;=VLOOKUP(58,main!$A$57:$I$61,4,FALSE)+VLOOKUP(VLOOKUP(AR$1,main!$A$3:$I$56,7,FALSE),main!$K$10:$Q$14,6,FALSE),1,0)</f>
        <v>0</v>
      </c>
      <c r="AS217">
        <f>IF(VLOOKUP(AS$1,main!$A$3:$I$56,5,FALSE)-VLOOKUP($A217,main!$A$3:$I$56,6,FALSE)&gt;=VLOOKUP(58,main!$A$57:$I$61,4,FALSE)+VLOOKUP(VLOOKUP(AS$1,main!$A$3:$I$56,7,FALSE),main!$K$10:$Q$14,6,FALSE),1,0)</f>
        <v>0</v>
      </c>
      <c r="AT217">
        <f>IF(VLOOKUP(AT$1,main!$A$3:$I$56,5,FALSE)-VLOOKUP($A217,main!$A$3:$I$56,6,FALSE)&gt;=VLOOKUP(58,main!$A$57:$I$61,4,FALSE)+VLOOKUP(VLOOKUP(AT$1,main!$A$3:$I$56,7,FALSE),main!$K$10:$Q$14,6,FALSE),1,0)</f>
        <v>1</v>
      </c>
      <c r="AU217">
        <f>IF(VLOOKUP(AU$1,main!$A$3:$I$56,5,FALSE)-VLOOKUP($A217,main!$A$3:$I$56,6,FALSE)&gt;=VLOOKUP(58,main!$A$57:$I$61,4,FALSE)+VLOOKUP(VLOOKUP(AU$1,main!$A$3:$I$56,7,FALSE),main!$K$10:$Q$14,6,FALSE),1,0)</f>
        <v>0</v>
      </c>
      <c r="AV217">
        <f>IF(VLOOKUP(AV$1,main!$A$3:$I$56,5,FALSE)-VLOOKUP($A217,main!$A$3:$I$56,6,FALSE)&gt;=VLOOKUP(58,main!$A$57:$I$61,4,FALSE)+VLOOKUP(VLOOKUP(AV$1,main!$A$3:$I$56,7,FALSE),main!$K$10:$Q$14,6,FALSE),1,0)</f>
        <v>0</v>
      </c>
      <c r="AW217">
        <f>IF(VLOOKUP(AW$1,main!$A$3:$I$56,5,FALSE)-VLOOKUP($A217,main!$A$3:$I$56,6,FALSE)&gt;=VLOOKUP(58,main!$A$57:$I$61,4,FALSE)+VLOOKUP(VLOOKUP(AW$1,main!$A$3:$I$56,7,FALSE),main!$K$10:$Q$14,6,FALSE),1,0)</f>
        <v>0</v>
      </c>
      <c r="AX217">
        <f>IF(VLOOKUP(AX$1,main!$A$3:$I$56,5,FALSE)-VLOOKUP($A217,main!$A$3:$I$56,6,FALSE)&gt;=VLOOKUP(58,main!$A$57:$I$61,4,FALSE)+VLOOKUP(VLOOKUP(AX$1,main!$A$3:$I$56,7,FALSE),main!$K$10:$Q$14,6,FALSE),1,0)</f>
        <v>0</v>
      </c>
      <c r="AY217">
        <f>IF(VLOOKUP(AY$1,main!$A$3:$I$56,5,FALSE)-VLOOKUP($A217,main!$A$3:$I$56,6,FALSE)&gt;=VLOOKUP(58,main!$A$57:$I$61,4,FALSE)+VLOOKUP(VLOOKUP(AY$1,main!$A$3:$I$56,7,FALSE),main!$K$10:$Q$14,6,FALSE),1,0)</f>
        <v>1</v>
      </c>
      <c r="AZ217">
        <f>IF(VLOOKUP(AZ$1,main!$A$3:$I$56,5,FALSE)-VLOOKUP($A217,main!$A$3:$I$56,6,FALSE)&gt;=VLOOKUP(58,main!$A$57:$I$61,4,FALSE)+VLOOKUP(VLOOKUP(AZ$1,main!$A$3:$I$56,7,FALSE),main!$K$10:$Q$14,6,FALSE),1,0)</f>
        <v>0</v>
      </c>
      <c r="BA217">
        <f>IF(VLOOKUP(BA$1,main!$A$3:$I$56,5,FALSE)-VLOOKUP($A217,main!$A$3:$I$56,6,FALSE)&gt;=VLOOKUP(58,main!$A$57:$I$61,4,FALSE)+VLOOKUP(VLOOKUP(BA$1,main!$A$3:$I$56,7,FALSE),main!$K$10:$Q$14,6,FALSE),1,0)</f>
        <v>0</v>
      </c>
      <c r="BB217">
        <f>IF(VLOOKUP(BB$1,main!$A$3:$I$56,5,FALSE)-VLOOKUP($A217,main!$A$3:$I$56,6,FALSE)&gt;=VLOOKUP(58,main!$A$57:$I$61,4,FALSE)+VLOOKUP(VLOOKUP(BB$1,main!$A$3:$I$56,7,FALSE),main!$K$10:$Q$14,6,FALSE),1,0)</f>
        <v>0</v>
      </c>
      <c r="BC217">
        <f>IF(VLOOKUP(BC$1,main!$A$3:$I$56,5,FALSE)-VLOOKUP($A217,main!$A$3:$I$56,6,FALSE)&gt;=VLOOKUP(58,main!$A$57:$I$61,4,FALSE)+VLOOKUP(VLOOKUP(BC$1,main!$A$3:$I$56,7,FALSE),main!$K$10:$Q$14,6,FALSE),1,0)</f>
        <v>0</v>
      </c>
      <c r="BD217">
        <f>IF(VLOOKUP(BD$1,main!$A$3:$I$56,5,FALSE)-VLOOKUP($A217,main!$A$3:$I$56,6,FALSE)&gt;=VLOOKUP(58,main!$A$57:$I$61,4,FALSE)+VLOOKUP(VLOOKUP(BD$1,main!$A$3:$I$56,7,FALSE),main!$K$10:$Q$14,6,FALSE),1,0)</f>
        <v>0</v>
      </c>
    </row>
    <row r="218" spans="1:56" x14ac:dyDescent="0.25">
      <c r="A218">
        <f t="shared" si="3"/>
        <v>51</v>
      </c>
      <c r="B218">
        <v>0</v>
      </c>
      <c r="C218">
        <f>IF(VLOOKUP(C$1,main!$A$3:$I$56,5,FALSE)-VLOOKUP($A218,main!$A$3:$I$56,6,FALSE)&gt;=VLOOKUP(58,main!$A$57:$I$61,4,FALSE)+VLOOKUP(VLOOKUP(C$1,main!$A$3:$I$56,7,FALSE),main!$K$10:$Q$14,6,FALSE),1,0)</f>
        <v>0</v>
      </c>
      <c r="D218">
        <f>IF(VLOOKUP(D$1,main!$A$3:$I$56,5,FALSE)-VLOOKUP($A218,main!$A$3:$I$56,6,FALSE)&gt;=VLOOKUP(58,main!$A$57:$I$61,4,FALSE)+VLOOKUP(VLOOKUP(D$1,main!$A$3:$I$56,7,FALSE),main!$K$10:$Q$14,6,FALSE),1,0)</f>
        <v>0</v>
      </c>
      <c r="E218">
        <f>IF(VLOOKUP(E$1,main!$A$3:$I$56,5,FALSE)-VLOOKUP($A218,main!$A$3:$I$56,6,FALSE)&gt;=VLOOKUP(58,main!$A$57:$I$61,4,FALSE)+VLOOKUP(VLOOKUP(E$1,main!$A$3:$I$56,7,FALSE),main!$K$10:$Q$14,6,FALSE),1,0)</f>
        <v>0</v>
      </c>
      <c r="F218">
        <f>IF(VLOOKUP(F$1,main!$A$3:$I$56,5,FALSE)-VLOOKUP($A218,main!$A$3:$I$56,6,FALSE)&gt;=VLOOKUP(58,main!$A$57:$I$61,4,FALSE)+VLOOKUP(VLOOKUP(F$1,main!$A$3:$I$56,7,FALSE),main!$K$10:$Q$14,6,FALSE),1,0)</f>
        <v>0</v>
      </c>
      <c r="G218">
        <f>IF(VLOOKUP(G$1,main!$A$3:$I$56,5,FALSE)-VLOOKUP($A218,main!$A$3:$I$56,6,FALSE)&gt;=VLOOKUP(58,main!$A$57:$I$61,4,FALSE)+VLOOKUP(VLOOKUP(G$1,main!$A$3:$I$56,7,FALSE),main!$K$10:$Q$14,6,FALSE),1,0)</f>
        <v>0</v>
      </c>
      <c r="H218">
        <f>IF(VLOOKUP(H$1,main!$A$3:$I$56,5,FALSE)-VLOOKUP($A218,main!$A$3:$I$56,6,FALSE)&gt;=VLOOKUP(58,main!$A$57:$I$61,4,FALSE)+VLOOKUP(VLOOKUP(H$1,main!$A$3:$I$56,7,FALSE),main!$K$10:$Q$14,6,FALSE),1,0)</f>
        <v>0</v>
      </c>
      <c r="I218">
        <f>IF(VLOOKUP(I$1,main!$A$3:$I$56,5,FALSE)-VLOOKUP($A218,main!$A$3:$I$56,6,FALSE)&gt;=VLOOKUP(58,main!$A$57:$I$61,4,FALSE)+VLOOKUP(VLOOKUP(I$1,main!$A$3:$I$56,7,FALSE),main!$K$10:$Q$14,6,FALSE),1,0)</f>
        <v>1</v>
      </c>
      <c r="J218">
        <f>IF(VLOOKUP(J$1,main!$A$3:$I$56,5,FALSE)-VLOOKUP($A218,main!$A$3:$I$56,6,FALSE)&gt;=VLOOKUP(58,main!$A$57:$I$61,4,FALSE)+VLOOKUP(VLOOKUP(J$1,main!$A$3:$I$56,7,FALSE),main!$K$10:$Q$14,6,FALSE),1,0)</f>
        <v>1</v>
      </c>
      <c r="K218">
        <f>IF(VLOOKUP(K$1,main!$A$3:$I$56,5,FALSE)-VLOOKUP($A218,main!$A$3:$I$56,6,FALSE)&gt;=VLOOKUP(58,main!$A$57:$I$61,4,FALSE)+VLOOKUP(VLOOKUP(K$1,main!$A$3:$I$56,7,FALSE),main!$K$10:$Q$14,6,FALSE),1,0)</f>
        <v>0</v>
      </c>
      <c r="L218">
        <f>IF(VLOOKUP(L$1,main!$A$3:$I$56,5,FALSE)-VLOOKUP($A218,main!$A$3:$I$56,6,FALSE)&gt;=VLOOKUP(58,main!$A$57:$I$61,4,FALSE)+VLOOKUP(VLOOKUP(L$1,main!$A$3:$I$56,7,FALSE),main!$K$10:$Q$14,6,FALSE),1,0)</f>
        <v>0</v>
      </c>
      <c r="M218">
        <f>IF(VLOOKUP(M$1,main!$A$3:$I$56,5,FALSE)-VLOOKUP($A218,main!$A$3:$I$56,6,FALSE)&gt;=VLOOKUP(58,main!$A$57:$I$61,4,FALSE)+VLOOKUP(VLOOKUP(M$1,main!$A$3:$I$56,7,FALSE),main!$K$10:$Q$14,6,FALSE),1,0)</f>
        <v>0</v>
      </c>
      <c r="N218">
        <f>IF(VLOOKUP(N$1,main!$A$3:$I$56,5,FALSE)-VLOOKUP($A218,main!$A$3:$I$56,6,FALSE)&gt;=VLOOKUP(58,main!$A$57:$I$61,4,FALSE)+VLOOKUP(VLOOKUP(N$1,main!$A$3:$I$56,7,FALSE),main!$K$10:$Q$14,6,FALSE),1,0)</f>
        <v>1</v>
      </c>
      <c r="O218">
        <f>IF(VLOOKUP(O$1,main!$A$3:$I$56,5,FALSE)-VLOOKUP($A218,main!$A$3:$I$56,6,FALSE)&gt;=VLOOKUP(58,main!$A$57:$I$61,4,FALSE)+VLOOKUP(VLOOKUP(O$1,main!$A$3:$I$56,7,FALSE),main!$K$10:$Q$14,6,FALSE),1,0)</f>
        <v>1</v>
      </c>
      <c r="P218">
        <f>IF(VLOOKUP(P$1,main!$A$3:$I$56,5,FALSE)-VLOOKUP($A218,main!$A$3:$I$56,6,FALSE)&gt;=VLOOKUP(58,main!$A$57:$I$61,4,FALSE)+VLOOKUP(VLOOKUP(P$1,main!$A$3:$I$56,7,FALSE),main!$K$10:$Q$14,6,FALSE),1,0)</f>
        <v>0</v>
      </c>
      <c r="Q218">
        <f>IF(VLOOKUP(Q$1,main!$A$3:$I$56,5,FALSE)-VLOOKUP($A218,main!$A$3:$I$56,6,FALSE)&gt;=VLOOKUP(58,main!$A$57:$I$61,4,FALSE)+VLOOKUP(VLOOKUP(Q$1,main!$A$3:$I$56,7,FALSE),main!$K$10:$Q$14,6,FALSE),1,0)</f>
        <v>0</v>
      </c>
      <c r="R218">
        <f>IF(VLOOKUP(R$1,main!$A$3:$I$56,5,FALSE)-VLOOKUP($A218,main!$A$3:$I$56,6,FALSE)&gt;=VLOOKUP(58,main!$A$57:$I$61,4,FALSE)+VLOOKUP(VLOOKUP(R$1,main!$A$3:$I$56,7,FALSE),main!$K$10:$Q$14,6,FALSE),1,0)</f>
        <v>0</v>
      </c>
      <c r="S218">
        <f>IF(VLOOKUP(S$1,main!$A$3:$I$56,5,FALSE)-VLOOKUP($A218,main!$A$3:$I$56,6,FALSE)&gt;=VLOOKUP(58,main!$A$57:$I$61,4,FALSE)+VLOOKUP(VLOOKUP(S$1,main!$A$3:$I$56,7,FALSE),main!$K$10:$Q$14,6,FALSE),1,0)</f>
        <v>0</v>
      </c>
      <c r="T218">
        <f>IF(VLOOKUP(T$1,main!$A$3:$I$56,5,FALSE)-VLOOKUP($A218,main!$A$3:$I$56,6,FALSE)&gt;=VLOOKUP(58,main!$A$57:$I$61,4,FALSE)+VLOOKUP(VLOOKUP(T$1,main!$A$3:$I$56,7,FALSE),main!$K$10:$Q$14,6,FALSE),1,0)</f>
        <v>1</v>
      </c>
      <c r="U218">
        <f>IF(VLOOKUP(U$1,main!$A$3:$I$56,5,FALSE)-VLOOKUP($A218,main!$A$3:$I$56,6,FALSE)&gt;=VLOOKUP(58,main!$A$57:$I$61,4,FALSE)+VLOOKUP(VLOOKUP(U$1,main!$A$3:$I$56,7,FALSE),main!$K$10:$Q$14,6,FALSE),1,0)</f>
        <v>0</v>
      </c>
      <c r="V218">
        <f>IF(VLOOKUP(V$1,main!$A$3:$I$56,5,FALSE)-VLOOKUP($A218,main!$A$3:$I$56,6,FALSE)&gt;=VLOOKUP(58,main!$A$57:$I$61,4,FALSE)+VLOOKUP(VLOOKUP(V$1,main!$A$3:$I$56,7,FALSE),main!$K$10:$Q$14,6,FALSE),1,0)</f>
        <v>0</v>
      </c>
      <c r="W218">
        <f>IF(VLOOKUP(W$1,main!$A$3:$I$56,5,FALSE)-VLOOKUP($A218,main!$A$3:$I$56,6,FALSE)&gt;=VLOOKUP(58,main!$A$57:$I$61,4,FALSE)+VLOOKUP(VLOOKUP(W$1,main!$A$3:$I$56,7,FALSE),main!$K$10:$Q$14,6,FALSE),1,0)</f>
        <v>0</v>
      </c>
      <c r="X218">
        <f>IF(VLOOKUP(X$1,main!$A$3:$I$56,5,FALSE)-VLOOKUP($A218,main!$A$3:$I$56,6,FALSE)&gt;=VLOOKUP(58,main!$A$57:$I$61,4,FALSE)+VLOOKUP(VLOOKUP(X$1,main!$A$3:$I$56,7,FALSE),main!$K$10:$Q$14,6,FALSE),1,0)</f>
        <v>0</v>
      </c>
      <c r="Y218">
        <f>IF(VLOOKUP(Y$1,main!$A$3:$I$56,5,FALSE)-VLOOKUP($A218,main!$A$3:$I$56,6,FALSE)&gt;=VLOOKUP(58,main!$A$57:$I$61,4,FALSE)+VLOOKUP(VLOOKUP(Y$1,main!$A$3:$I$56,7,FALSE),main!$K$10:$Q$14,6,FALSE),1,0)</f>
        <v>0</v>
      </c>
      <c r="Z218">
        <f>IF(VLOOKUP(Z$1,main!$A$3:$I$56,5,FALSE)-VLOOKUP($A218,main!$A$3:$I$56,6,FALSE)&gt;=VLOOKUP(58,main!$A$57:$I$61,4,FALSE)+VLOOKUP(VLOOKUP(Z$1,main!$A$3:$I$56,7,FALSE),main!$K$10:$Q$14,6,FALSE),1,0)</f>
        <v>0</v>
      </c>
      <c r="AA218">
        <f>IF(VLOOKUP(AA$1,main!$A$3:$I$56,5,FALSE)-VLOOKUP($A218,main!$A$3:$I$56,6,FALSE)&gt;=VLOOKUP(58,main!$A$57:$I$61,4,FALSE)+VLOOKUP(VLOOKUP(AA$1,main!$A$3:$I$56,7,FALSE),main!$K$10:$Q$14,6,FALSE),1,0)</f>
        <v>0</v>
      </c>
      <c r="AB218">
        <f>IF(VLOOKUP(AB$1,main!$A$3:$I$56,5,FALSE)-VLOOKUP($A218,main!$A$3:$I$56,6,FALSE)&gt;=VLOOKUP(58,main!$A$57:$I$61,4,FALSE)+VLOOKUP(VLOOKUP(AB$1,main!$A$3:$I$56,7,FALSE),main!$K$10:$Q$14,6,FALSE),1,0)</f>
        <v>1</v>
      </c>
      <c r="AC218">
        <f>IF(VLOOKUP(AC$1,main!$A$3:$I$56,5,FALSE)-VLOOKUP($A218,main!$A$3:$I$56,6,FALSE)&gt;=VLOOKUP(58,main!$A$57:$I$61,4,FALSE)+VLOOKUP(VLOOKUP(AC$1,main!$A$3:$I$56,7,FALSE),main!$K$10:$Q$14,6,FALSE),1,0)</f>
        <v>0</v>
      </c>
      <c r="AD218">
        <f>IF(VLOOKUP(AD$1,main!$A$3:$I$56,5,FALSE)-VLOOKUP($A218,main!$A$3:$I$56,6,FALSE)&gt;=VLOOKUP(58,main!$A$57:$I$61,4,FALSE)+VLOOKUP(VLOOKUP(AD$1,main!$A$3:$I$56,7,FALSE),main!$K$10:$Q$14,6,FALSE),1,0)</f>
        <v>0</v>
      </c>
      <c r="AE218">
        <f>IF(VLOOKUP(AE$1,main!$A$3:$I$56,5,FALSE)-VLOOKUP($A218,main!$A$3:$I$56,6,FALSE)&gt;=VLOOKUP(58,main!$A$57:$I$61,4,FALSE)+VLOOKUP(VLOOKUP(AE$1,main!$A$3:$I$56,7,FALSE),main!$K$10:$Q$14,6,FALSE),1,0)</f>
        <v>0</v>
      </c>
      <c r="AF218">
        <f>IF(VLOOKUP(AF$1,main!$A$3:$I$56,5,FALSE)-VLOOKUP($A218,main!$A$3:$I$56,6,FALSE)&gt;=VLOOKUP(58,main!$A$57:$I$61,4,FALSE)+VLOOKUP(VLOOKUP(AF$1,main!$A$3:$I$56,7,FALSE),main!$K$10:$Q$14,6,FALSE),1,0)</f>
        <v>0</v>
      </c>
      <c r="AG218">
        <f>IF(VLOOKUP(AG$1,main!$A$3:$I$56,5,FALSE)-VLOOKUP($A218,main!$A$3:$I$56,6,FALSE)&gt;=VLOOKUP(58,main!$A$57:$I$61,4,FALSE)+VLOOKUP(VLOOKUP(AG$1,main!$A$3:$I$56,7,FALSE),main!$K$10:$Q$14,6,FALSE),1,0)</f>
        <v>0</v>
      </c>
      <c r="AH218">
        <f>IF(VLOOKUP(AH$1,main!$A$3:$I$56,5,FALSE)-VLOOKUP($A218,main!$A$3:$I$56,6,FALSE)&gt;=VLOOKUP(58,main!$A$57:$I$61,4,FALSE)+VLOOKUP(VLOOKUP(AH$1,main!$A$3:$I$56,7,FALSE),main!$K$10:$Q$14,6,FALSE),1,0)</f>
        <v>0</v>
      </c>
      <c r="AI218">
        <f>IF(VLOOKUP(AI$1,main!$A$3:$I$56,5,FALSE)-VLOOKUP($A218,main!$A$3:$I$56,6,FALSE)&gt;=VLOOKUP(58,main!$A$57:$I$61,4,FALSE)+VLOOKUP(VLOOKUP(AI$1,main!$A$3:$I$56,7,FALSE),main!$K$10:$Q$14,6,FALSE),1,0)</f>
        <v>0</v>
      </c>
      <c r="AJ218">
        <f>IF(VLOOKUP(AJ$1,main!$A$3:$I$56,5,FALSE)-VLOOKUP($A218,main!$A$3:$I$56,6,FALSE)&gt;=VLOOKUP(58,main!$A$57:$I$61,4,FALSE)+VLOOKUP(VLOOKUP(AJ$1,main!$A$3:$I$56,7,FALSE),main!$K$10:$Q$14,6,FALSE),1,0)</f>
        <v>0</v>
      </c>
      <c r="AK218">
        <f>IF(VLOOKUP(AK$1,main!$A$3:$I$56,5,FALSE)-VLOOKUP($A218,main!$A$3:$I$56,6,FALSE)&gt;=VLOOKUP(58,main!$A$57:$I$61,4,FALSE)+VLOOKUP(VLOOKUP(AK$1,main!$A$3:$I$56,7,FALSE),main!$K$10:$Q$14,6,FALSE),1,0)</f>
        <v>1</v>
      </c>
      <c r="AL218">
        <f>IF(VLOOKUP(AL$1,main!$A$3:$I$56,5,FALSE)-VLOOKUP($A218,main!$A$3:$I$56,6,FALSE)&gt;=VLOOKUP(58,main!$A$57:$I$61,4,FALSE)+VLOOKUP(VLOOKUP(AL$1,main!$A$3:$I$56,7,FALSE),main!$K$10:$Q$14,6,FALSE),1,0)</f>
        <v>0</v>
      </c>
      <c r="AM218">
        <f>IF(VLOOKUP(AM$1,main!$A$3:$I$56,5,FALSE)-VLOOKUP($A218,main!$A$3:$I$56,6,FALSE)&gt;=VLOOKUP(58,main!$A$57:$I$61,4,FALSE)+VLOOKUP(VLOOKUP(AM$1,main!$A$3:$I$56,7,FALSE),main!$K$10:$Q$14,6,FALSE),1,0)</f>
        <v>0</v>
      </c>
      <c r="AN218">
        <f>IF(VLOOKUP(AN$1,main!$A$3:$I$56,5,FALSE)-VLOOKUP($A218,main!$A$3:$I$56,6,FALSE)&gt;=VLOOKUP(58,main!$A$57:$I$61,4,FALSE)+VLOOKUP(VLOOKUP(AN$1,main!$A$3:$I$56,7,FALSE),main!$K$10:$Q$14,6,FALSE),1,0)</f>
        <v>0</v>
      </c>
      <c r="AO218">
        <f>IF(VLOOKUP(AO$1,main!$A$3:$I$56,5,FALSE)-VLOOKUP($A218,main!$A$3:$I$56,6,FALSE)&gt;=VLOOKUP(58,main!$A$57:$I$61,4,FALSE)+VLOOKUP(VLOOKUP(AO$1,main!$A$3:$I$56,7,FALSE),main!$K$10:$Q$14,6,FALSE),1,0)</f>
        <v>1</v>
      </c>
      <c r="AP218">
        <f>IF(VLOOKUP(AP$1,main!$A$3:$I$56,5,FALSE)-VLOOKUP($A218,main!$A$3:$I$56,6,FALSE)&gt;=VLOOKUP(58,main!$A$57:$I$61,4,FALSE)+VLOOKUP(VLOOKUP(AP$1,main!$A$3:$I$56,7,FALSE),main!$K$10:$Q$14,6,FALSE),1,0)</f>
        <v>0</v>
      </c>
      <c r="AQ218">
        <f>IF(VLOOKUP(AQ$1,main!$A$3:$I$56,5,FALSE)-VLOOKUP($A218,main!$A$3:$I$56,6,FALSE)&gt;=VLOOKUP(58,main!$A$57:$I$61,4,FALSE)+VLOOKUP(VLOOKUP(AQ$1,main!$A$3:$I$56,7,FALSE),main!$K$10:$Q$14,6,FALSE),1,0)</f>
        <v>0</v>
      </c>
      <c r="AR218">
        <f>IF(VLOOKUP(AR$1,main!$A$3:$I$56,5,FALSE)-VLOOKUP($A218,main!$A$3:$I$56,6,FALSE)&gt;=VLOOKUP(58,main!$A$57:$I$61,4,FALSE)+VLOOKUP(VLOOKUP(AR$1,main!$A$3:$I$56,7,FALSE),main!$K$10:$Q$14,6,FALSE),1,0)</f>
        <v>0</v>
      </c>
      <c r="AS218">
        <f>IF(VLOOKUP(AS$1,main!$A$3:$I$56,5,FALSE)-VLOOKUP($A218,main!$A$3:$I$56,6,FALSE)&gt;=VLOOKUP(58,main!$A$57:$I$61,4,FALSE)+VLOOKUP(VLOOKUP(AS$1,main!$A$3:$I$56,7,FALSE),main!$K$10:$Q$14,6,FALSE),1,0)</f>
        <v>0</v>
      </c>
      <c r="AT218">
        <f>IF(VLOOKUP(AT$1,main!$A$3:$I$56,5,FALSE)-VLOOKUP($A218,main!$A$3:$I$56,6,FALSE)&gt;=VLOOKUP(58,main!$A$57:$I$61,4,FALSE)+VLOOKUP(VLOOKUP(AT$1,main!$A$3:$I$56,7,FALSE),main!$K$10:$Q$14,6,FALSE),1,0)</f>
        <v>0</v>
      </c>
      <c r="AU218">
        <f>IF(VLOOKUP(AU$1,main!$A$3:$I$56,5,FALSE)-VLOOKUP($A218,main!$A$3:$I$56,6,FALSE)&gt;=VLOOKUP(58,main!$A$57:$I$61,4,FALSE)+VLOOKUP(VLOOKUP(AU$1,main!$A$3:$I$56,7,FALSE),main!$K$10:$Q$14,6,FALSE),1,0)</f>
        <v>0</v>
      </c>
      <c r="AV218">
        <f>IF(VLOOKUP(AV$1,main!$A$3:$I$56,5,FALSE)-VLOOKUP($A218,main!$A$3:$I$56,6,FALSE)&gt;=VLOOKUP(58,main!$A$57:$I$61,4,FALSE)+VLOOKUP(VLOOKUP(AV$1,main!$A$3:$I$56,7,FALSE),main!$K$10:$Q$14,6,FALSE),1,0)</f>
        <v>0</v>
      </c>
      <c r="AW218">
        <f>IF(VLOOKUP(AW$1,main!$A$3:$I$56,5,FALSE)-VLOOKUP($A218,main!$A$3:$I$56,6,FALSE)&gt;=VLOOKUP(58,main!$A$57:$I$61,4,FALSE)+VLOOKUP(VLOOKUP(AW$1,main!$A$3:$I$56,7,FALSE),main!$K$10:$Q$14,6,FALSE),1,0)</f>
        <v>0</v>
      </c>
      <c r="AX218">
        <f>IF(VLOOKUP(AX$1,main!$A$3:$I$56,5,FALSE)-VLOOKUP($A218,main!$A$3:$I$56,6,FALSE)&gt;=VLOOKUP(58,main!$A$57:$I$61,4,FALSE)+VLOOKUP(VLOOKUP(AX$1,main!$A$3:$I$56,7,FALSE),main!$K$10:$Q$14,6,FALSE),1,0)</f>
        <v>0</v>
      </c>
      <c r="AY218">
        <f>IF(VLOOKUP(AY$1,main!$A$3:$I$56,5,FALSE)-VLOOKUP($A218,main!$A$3:$I$56,6,FALSE)&gt;=VLOOKUP(58,main!$A$57:$I$61,4,FALSE)+VLOOKUP(VLOOKUP(AY$1,main!$A$3:$I$56,7,FALSE),main!$K$10:$Q$14,6,FALSE),1,0)</f>
        <v>0</v>
      </c>
      <c r="AZ218">
        <f>IF(VLOOKUP(AZ$1,main!$A$3:$I$56,5,FALSE)-VLOOKUP($A218,main!$A$3:$I$56,6,FALSE)&gt;=VLOOKUP(58,main!$A$57:$I$61,4,FALSE)+VLOOKUP(VLOOKUP(AZ$1,main!$A$3:$I$56,7,FALSE),main!$K$10:$Q$14,6,FALSE),1,0)</f>
        <v>0</v>
      </c>
      <c r="BA218">
        <f>IF(VLOOKUP(BA$1,main!$A$3:$I$56,5,FALSE)-VLOOKUP($A218,main!$A$3:$I$56,6,FALSE)&gt;=VLOOKUP(58,main!$A$57:$I$61,4,FALSE)+VLOOKUP(VLOOKUP(BA$1,main!$A$3:$I$56,7,FALSE),main!$K$10:$Q$14,6,FALSE),1,0)</f>
        <v>0</v>
      </c>
      <c r="BB218">
        <f>IF(VLOOKUP(BB$1,main!$A$3:$I$56,5,FALSE)-VLOOKUP($A218,main!$A$3:$I$56,6,FALSE)&gt;=VLOOKUP(58,main!$A$57:$I$61,4,FALSE)+VLOOKUP(VLOOKUP(BB$1,main!$A$3:$I$56,7,FALSE),main!$K$10:$Q$14,6,FALSE),1,0)</f>
        <v>0</v>
      </c>
      <c r="BC218">
        <f>IF(VLOOKUP(BC$1,main!$A$3:$I$56,5,FALSE)-VLOOKUP($A218,main!$A$3:$I$56,6,FALSE)&gt;=VLOOKUP(58,main!$A$57:$I$61,4,FALSE)+VLOOKUP(VLOOKUP(BC$1,main!$A$3:$I$56,7,FALSE),main!$K$10:$Q$14,6,FALSE),1,0)</f>
        <v>0</v>
      </c>
      <c r="BD218">
        <f>IF(VLOOKUP(BD$1,main!$A$3:$I$56,5,FALSE)-VLOOKUP($A218,main!$A$3:$I$56,6,FALSE)&gt;=VLOOKUP(58,main!$A$57:$I$61,4,FALSE)+VLOOKUP(VLOOKUP(BD$1,main!$A$3:$I$56,7,FALSE),main!$K$10:$Q$14,6,FALSE),1,0)</f>
        <v>0</v>
      </c>
    </row>
    <row r="219" spans="1:56" x14ac:dyDescent="0.25">
      <c r="A219">
        <f t="shared" si="3"/>
        <v>52</v>
      </c>
      <c r="B219">
        <v>0</v>
      </c>
      <c r="C219">
        <f>IF(VLOOKUP(C$1,main!$A$3:$I$56,5,FALSE)-VLOOKUP($A219,main!$A$3:$I$56,6,FALSE)&gt;=VLOOKUP(58,main!$A$57:$I$61,4,FALSE)+VLOOKUP(VLOOKUP(C$1,main!$A$3:$I$56,7,FALSE),main!$K$10:$Q$14,6,FALSE),1,0)</f>
        <v>0</v>
      </c>
      <c r="D219">
        <f>IF(VLOOKUP(D$1,main!$A$3:$I$56,5,FALSE)-VLOOKUP($A219,main!$A$3:$I$56,6,FALSE)&gt;=VLOOKUP(58,main!$A$57:$I$61,4,FALSE)+VLOOKUP(VLOOKUP(D$1,main!$A$3:$I$56,7,FALSE),main!$K$10:$Q$14,6,FALSE),1,0)</f>
        <v>0</v>
      </c>
      <c r="E219">
        <f>IF(VLOOKUP(E$1,main!$A$3:$I$56,5,FALSE)-VLOOKUP($A219,main!$A$3:$I$56,6,FALSE)&gt;=VLOOKUP(58,main!$A$57:$I$61,4,FALSE)+VLOOKUP(VLOOKUP(E$1,main!$A$3:$I$56,7,FALSE),main!$K$10:$Q$14,6,FALSE),1,0)</f>
        <v>0</v>
      </c>
      <c r="F219">
        <f>IF(VLOOKUP(F$1,main!$A$3:$I$56,5,FALSE)-VLOOKUP($A219,main!$A$3:$I$56,6,FALSE)&gt;=VLOOKUP(58,main!$A$57:$I$61,4,FALSE)+VLOOKUP(VLOOKUP(F$1,main!$A$3:$I$56,7,FALSE),main!$K$10:$Q$14,6,FALSE),1,0)</f>
        <v>0</v>
      </c>
      <c r="G219">
        <f>IF(VLOOKUP(G$1,main!$A$3:$I$56,5,FALSE)-VLOOKUP($A219,main!$A$3:$I$56,6,FALSE)&gt;=VLOOKUP(58,main!$A$57:$I$61,4,FALSE)+VLOOKUP(VLOOKUP(G$1,main!$A$3:$I$56,7,FALSE),main!$K$10:$Q$14,6,FALSE),1,0)</f>
        <v>0</v>
      </c>
      <c r="H219">
        <f>IF(VLOOKUP(H$1,main!$A$3:$I$56,5,FALSE)-VLOOKUP($A219,main!$A$3:$I$56,6,FALSE)&gt;=VLOOKUP(58,main!$A$57:$I$61,4,FALSE)+VLOOKUP(VLOOKUP(H$1,main!$A$3:$I$56,7,FALSE),main!$K$10:$Q$14,6,FALSE),1,0)</f>
        <v>0</v>
      </c>
      <c r="I219">
        <f>IF(VLOOKUP(I$1,main!$A$3:$I$56,5,FALSE)-VLOOKUP($A219,main!$A$3:$I$56,6,FALSE)&gt;=VLOOKUP(58,main!$A$57:$I$61,4,FALSE)+VLOOKUP(VLOOKUP(I$1,main!$A$3:$I$56,7,FALSE),main!$K$10:$Q$14,6,FALSE),1,0)</f>
        <v>1</v>
      </c>
      <c r="J219">
        <f>IF(VLOOKUP(J$1,main!$A$3:$I$56,5,FALSE)-VLOOKUP($A219,main!$A$3:$I$56,6,FALSE)&gt;=VLOOKUP(58,main!$A$57:$I$61,4,FALSE)+VLOOKUP(VLOOKUP(J$1,main!$A$3:$I$56,7,FALSE),main!$K$10:$Q$14,6,FALSE),1,0)</f>
        <v>1</v>
      </c>
      <c r="K219">
        <f>IF(VLOOKUP(K$1,main!$A$3:$I$56,5,FALSE)-VLOOKUP($A219,main!$A$3:$I$56,6,FALSE)&gt;=VLOOKUP(58,main!$A$57:$I$61,4,FALSE)+VLOOKUP(VLOOKUP(K$1,main!$A$3:$I$56,7,FALSE),main!$K$10:$Q$14,6,FALSE),1,0)</f>
        <v>0</v>
      </c>
      <c r="L219">
        <f>IF(VLOOKUP(L$1,main!$A$3:$I$56,5,FALSE)-VLOOKUP($A219,main!$A$3:$I$56,6,FALSE)&gt;=VLOOKUP(58,main!$A$57:$I$61,4,FALSE)+VLOOKUP(VLOOKUP(L$1,main!$A$3:$I$56,7,FALSE),main!$K$10:$Q$14,6,FALSE),1,0)</f>
        <v>0</v>
      </c>
      <c r="M219">
        <f>IF(VLOOKUP(M$1,main!$A$3:$I$56,5,FALSE)-VLOOKUP($A219,main!$A$3:$I$56,6,FALSE)&gt;=VLOOKUP(58,main!$A$57:$I$61,4,FALSE)+VLOOKUP(VLOOKUP(M$1,main!$A$3:$I$56,7,FALSE),main!$K$10:$Q$14,6,FALSE),1,0)</f>
        <v>0</v>
      </c>
      <c r="N219">
        <f>IF(VLOOKUP(N$1,main!$A$3:$I$56,5,FALSE)-VLOOKUP($A219,main!$A$3:$I$56,6,FALSE)&gt;=VLOOKUP(58,main!$A$57:$I$61,4,FALSE)+VLOOKUP(VLOOKUP(N$1,main!$A$3:$I$56,7,FALSE),main!$K$10:$Q$14,6,FALSE),1,0)</f>
        <v>1</v>
      </c>
      <c r="O219">
        <f>IF(VLOOKUP(O$1,main!$A$3:$I$56,5,FALSE)-VLOOKUP($A219,main!$A$3:$I$56,6,FALSE)&gt;=VLOOKUP(58,main!$A$57:$I$61,4,FALSE)+VLOOKUP(VLOOKUP(O$1,main!$A$3:$I$56,7,FALSE),main!$K$10:$Q$14,6,FALSE),1,0)</f>
        <v>1</v>
      </c>
      <c r="P219">
        <f>IF(VLOOKUP(P$1,main!$A$3:$I$56,5,FALSE)-VLOOKUP($A219,main!$A$3:$I$56,6,FALSE)&gt;=VLOOKUP(58,main!$A$57:$I$61,4,FALSE)+VLOOKUP(VLOOKUP(P$1,main!$A$3:$I$56,7,FALSE),main!$K$10:$Q$14,6,FALSE),1,0)</f>
        <v>0</v>
      </c>
      <c r="Q219">
        <f>IF(VLOOKUP(Q$1,main!$A$3:$I$56,5,FALSE)-VLOOKUP($A219,main!$A$3:$I$56,6,FALSE)&gt;=VLOOKUP(58,main!$A$57:$I$61,4,FALSE)+VLOOKUP(VLOOKUP(Q$1,main!$A$3:$I$56,7,FALSE),main!$K$10:$Q$14,6,FALSE),1,0)</f>
        <v>0</v>
      </c>
      <c r="R219">
        <f>IF(VLOOKUP(R$1,main!$A$3:$I$56,5,FALSE)-VLOOKUP($A219,main!$A$3:$I$56,6,FALSE)&gt;=VLOOKUP(58,main!$A$57:$I$61,4,FALSE)+VLOOKUP(VLOOKUP(R$1,main!$A$3:$I$56,7,FALSE),main!$K$10:$Q$14,6,FALSE),1,0)</f>
        <v>0</v>
      </c>
      <c r="S219">
        <f>IF(VLOOKUP(S$1,main!$A$3:$I$56,5,FALSE)-VLOOKUP($A219,main!$A$3:$I$56,6,FALSE)&gt;=VLOOKUP(58,main!$A$57:$I$61,4,FALSE)+VLOOKUP(VLOOKUP(S$1,main!$A$3:$I$56,7,FALSE),main!$K$10:$Q$14,6,FALSE),1,0)</f>
        <v>0</v>
      </c>
      <c r="T219">
        <f>IF(VLOOKUP(T$1,main!$A$3:$I$56,5,FALSE)-VLOOKUP($A219,main!$A$3:$I$56,6,FALSE)&gt;=VLOOKUP(58,main!$A$57:$I$61,4,FALSE)+VLOOKUP(VLOOKUP(T$1,main!$A$3:$I$56,7,FALSE),main!$K$10:$Q$14,6,FALSE),1,0)</f>
        <v>1</v>
      </c>
      <c r="U219">
        <f>IF(VLOOKUP(U$1,main!$A$3:$I$56,5,FALSE)-VLOOKUP($A219,main!$A$3:$I$56,6,FALSE)&gt;=VLOOKUP(58,main!$A$57:$I$61,4,FALSE)+VLOOKUP(VLOOKUP(U$1,main!$A$3:$I$56,7,FALSE),main!$K$10:$Q$14,6,FALSE),1,0)</f>
        <v>0</v>
      </c>
      <c r="V219">
        <f>IF(VLOOKUP(V$1,main!$A$3:$I$56,5,FALSE)-VLOOKUP($A219,main!$A$3:$I$56,6,FALSE)&gt;=VLOOKUP(58,main!$A$57:$I$61,4,FALSE)+VLOOKUP(VLOOKUP(V$1,main!$A$3:$I$56,7,FALSE),main!$K$10:$Q$14,6,FALSE),1,0)</f>
        <v>0</v>
      </c>
      <c r="W219">
        <f>IF(VLOOKUP(W$1,main!$A$3:$I$56,5,FALSE)-VLOOKUP($A219,main!$A$3:$I$56,6,FALSE)&gt;=VLOOKUP(58,main!$A$57:$I$61,4,FALSE)+VLOOKUP(VLOOKUP(W$1,main!$A$3:$I$56,7,FALSE),main!$K$10:$Q$14,6,FALSE),1,0)</f>
        <v>0</v>
      </c>
      <c r="X219">
        <f>IF(VLOOKUP(X$1,main!$A$3:$I$56,5,FALSE)-VLOOKUP($A219,main!$A$3:$I$56,6,FALSE)&gt;=VLOOKUP(58,main!$A$57:$I$61,4,FALSE)+VLOOKUP(VLOOKUP(X$1,main!$A$3:$I$56,7,FALSE),main!$K$10:$Q$14,6,FALSE),1,0)</f>
        <v>0</v>
      </c>
      <c r="Y219">
        <f>IF(VLOOKUP(Y$1,main!$A$3:$I$56,5,FALSE)-VLOOKUP($A219,main!$A$3:$I$56,6,FALSE)&gt;=VLOOKUP(58,main!$A$57:$I$61,4,FALSE)+VLOOKUP(VLOOKUP(Y$1,main!$A$3:$I$56,7,FALSE),main!$K$10:$Q$14,6,FALSE),1,0)</f>
        <v>0</v>
      </c>
      <c r="Z219">
        <f>IF(VLOOKUP(Z$1,main!$A$3:$I$56,5,FALSE)-VLOOKUP($A219,main!$A$3:$I$56,6,FALSE)&gt;=VLOOKUP(58,main!$A$57:$I$61,4,FALSE)+VLOOKUP(VLOOKUP(Z$1,main!$A$3:$I$56,7,FALSE),main!$K$10:$Q$14,6,FALSE),1,0)</f>
        <v>0</v>
      </c>
      <c r="AA219">
        <f>IF(VLOOKUP(AA$1,main!$A$3:$I$56,5,FALSE)-VLOOKUP($A219,main!$A$3:$I$56,6,FALSE)&gt;=VLOOKUP(58,main!$A$57:$I$61,4,FALSE)+VLOOKUP(VLOOKUP(AA$1,main!$A$3:$I$56,7,FALSE),main!$K$10:$Q$14,6,FALSE),1,0)</f>
        <v>0</v>
      </c>
      <c r="AB219">
        <f>IF(VLOOKUP(AB$1,main!$A$3:$I$56,5,FALSE)-VLOOKUP($A219,main!$A$3:$I$56,6,FALSE)&gt;=VLOOKUP(58,main!$A$57:$I$61,4,FALSE)+VLOOKUP(VLOOKUP(AB$1,main!$A$3:$I$56,7,FALSE),main!$K$10:$Q$14,6,FALSE),1,0)</f>
        <v>1</v>
      </c>
      <c r="AC219">
        <f>IF(VLOOKUP(AC$1,main!$A$3:$I$56,5,FALSE)-VLOOKUP($A219,main!$A$3:$I$56,6,FALSE)&gt;=VLOOKUP(58,main!$A$57:$I$61,4,FALSE)+VLOOKUP(VLOOKUP(AC$1,main!$A$3:$I$56,7,FALSE),main!$K$10:$Q$14,6,FALSE),1,0)</f>
        <v>0</v>
      </c>
      <c r="AD219">
        <f>IF(VLOOKUP(AD$1,main!$A$3:$I$56,5,FALSE)-VLOOKUP($A219,main!$A$3:$I$56,6,FALSE)&gt;=VLOOKUP(58,main!$A$57:$I$61,4,FALSE)+VLOOKUP(VLOOKUP(AD$1,main!$A$3:$I$56,7,FALSE),main!$K$10:$Q$14,6,FALSE),1,0)</f>
        <v>0</v>
      </c>
      <c r="AE219">
        <f>IF(VLOOKUP(AE$1,main!$A$3:$I$56,5,FALSE)-VLOOKUP($A219,main!$A$3:$I$56,6,FALSE)&gt;=VLOOKUP(58,main!$A$57:$I$61,4,FALSE)+VLOOKUP(VLOOKUP(AE$1,main!$A$3:$I$56,7,FALSE),main!$K$10:$Q$14,6,FALSE),1,0)</f>
        <v>0</v>
      </c>
      <c r="AF219">
        <f>IF(VLOOKUP(AF$1,main!$A$3:$I$56,5,FALSE)-VLOOKUP($A219,main!$A$3:$I$56,6,FALSE)&gt;=VLOOKUP(58,main!$A$57:$I$61,4,FALSE)+VLOOKUP(VLOOKUP(AF$1,main!$A$3:$I$56,7,FALSE),main!$K$10:$Q$14,6,FALSE),1,0)</f>
        <v>0</v>
      </c>
      <c r="AG219">
        <f>IF(VLOOKUP(AG$1,main!$A$3:$I$56,5,FALSE)-VLOOKUP($A219,main!$A$3:$I$56,6,FALSE)&gt;=VLOOKUP(58,main!$A$57:$I$61,4,FALSE)+VLOOKUP(VLOOKUP(AG$1,main!$A$3:$I$56,7,FALSE),main!$K$10:$Q$14,6,FALSE),1,0)</f>
        <v>0</v>
      </c>
      <c r="AH219">
        <f>IF(VLOOKUP(AH$1,main!$A$3:$I$56,5,FALSE)-VLOOKUP($A219,main!$A$3:$I$56,6,FALSE)&gt;=VLOOKUP(58,main!$A$57:$I$61,4,FALSE)+VLOOKUP(VLOOKUP(AH$1,main!$A$3:$I$56,7,FALSE),main!$K$10:$Q$14,6,FALSE),1,0)</f>
        <v>0</v>
      </c>
      <c r="AI219">
        <f>IF(VLOOKUP(AI$1,main!$A$3:$I$56,5,FALSE)-VLOOKUP($A219,main!$A$3:$I$56,6,FALSE)&gt;=VLOOKUP(58,main!$A$57:$I$61,4,FALSE)+VLOOKUP(VLOOKUP(AI$1,main!$A$3:$I$56,7,FALSE),main!$K$10:$Q$14,6,FALSE),1,0)</f>
        <v>0</v>
      </c>
      <c r="AJ219">
        <f>IF(VLOOKUP(AJ$1,main!$A$3:$I$56,5,FALSE)-VLOOKUP($A219,main!$A$3:$I$56,6,FALSE)&gt;=VLOOKUP(58,main!$A$57:$I$61,4,FALSE)+VLOOKUP(VLOOKUP(AJ$1,main!$A$3:$I$56,7,FALSE),main!$K$10:$Q$14,6,FALSE),1,0)</f>
        <v>0</v>
      </c>
      <c r="AK219">
        <f>IF(VLOOKUP(AK$1,main!$A$3:$I$56,5,FALSE)-VLOOKUP($A219,main!$A$3:$I$56,6,FALSE)&gt;=VLOOKUP(58,main!$A$57:$I$61,4,FALSE)+VLOOKUP(VLOOKUP(AK$1,main!$A$3:$I$56,7,FALSE),main!$K$10:$Q$14,6,FALSE),1,0)</f>
        <v>1</v>
      </c>
      <c r="AL219">
        <f>IF(VLOOKUP(AL$1,main!$A$3:$I$56,5,FALSE)-VLOOKUP($A219,main!$A$3:$I$56,6,FALSE)&gt;=VLOOKUP(58,main!$A$57:$I$61,4,FALSE)+VLOOKUP(VLOOKUP(AL$1,main!$A$3:$I$56,7,FALSE),main!$K$10:$Q$14,6,FALSE),1,0)</f>
        <v>0</v>
      </c>
      <c r="AM219">
        <f>IF(VLOOKUP(AM$1,main!$A$3:$I$56,5,FALSE)-VLOOKUP($A219,main!$A$3:$I$56,6,FALSE)&gt;=VLOOKUP(58,main!$A$57:$I$61,4,FALSE)+VLOOKUP(VLOOKUP(AM$1,main!$A$3:$I$56,7,FALSE),main!$K$10:$Q$14,6,FALSE),1,0)</f>
        <v>0</v>
      </c>
      <c r="AN219">
        <f>IF(VLOOKUP(AN$1,main!$A$3:$I$56,5,FALSE)-VLOOKUP($A219,main!$A$3:$I$56,6,FALSE)&gt;=VLOOKUP(58,main!$A$57:$I$61,4,FALSE)+VLOOKUP(VLOOKUP(AN$1,main!$A$3:$I$56,7,FALSE),main!$K$10:$Q$14,6,FALSE),1,0)</f>
        <v>0</v>
      </c>
      <c r="AO219">
        <f>IF(VLOOKUP(AO$1,main!$A$3:$I$56,5,FALSE)-VLOOKUP($A219,main!$A$3:$I$56,6,FALSE)&gt;=VLOOKUP(58,main!$A$57:$I$61,4,FALSE)+VLOOKUP(VLOOKUP(AO$1,main!$A$3:$I$56,7,FALSE),main!$K$10:$Q$14,6,FALSE),1,0)</f>
        <v>0</v>
      </c>
      <c r="AP219">
        <f>IF(VLOOKUP(AP$1,main!$A$3:$I$56,5,FALSE)-VLOOKUP($A219,main!$A$3:$I$56,6,FALSE)&gt;=VLOOKUP(58,main!$A$57:$I$61,4,FALSE)+VLOOKUP(VLOOKUP(AP$1,main!$A$3:$I$56,7,FALSE),main!$K$10:$Q$14,6,FALSE),1,0)</f>
        <v>0</v>
      </c>
      <c r="AQ219">
        <f>IF(VLOOKUP(AQ$1,main!$A$3:$I$56,5,FALSE)-VLOOKUP($A219,main!$A$3:$I$56,6,FALSE)&gt;=VLOOKUP(58,main!$A$57:$I$61,4,FALSE)+VLOOKUP(VLOOKUP(AQ$1,main!$A$3:$I$56,7,FALSE),main!$K$10:$Q$14,6,FALSE),1,0)</f>
        <v>0</v>
      </c>
      <c r="AR219">
        <f>IF(VLOOKUP(AR$1,main!$A$3:$I$56,5,FALSE)-VLOOKUP($A219,main!$A$3:$I$56,6,FALSE)&gt;=VLOOKUP(58,main!$A$57:$I$61,4,FALSE)+VLOOKUP(VLOOKUP(AR$1,main!$A$3:$I$56,7,FALSE),main!$K$10:$Q$14,6,FALSE),1,0)</f>
        <v>0</v>
      </c>
      <c r="AS219">
        <f>IF(VLOOKUP(AS$1,main!$A$3:$I$56,5,FALSE)-VLOOKUP($A219,main!$A$3:$I$56,6,FALSE)&gt;=VLOOKUP(58,main!$A$57:$I$61,4,FALSE)+VLOOKUP(VLOOKUP(AS$1,main!$A$3:$I$56,7,FALSE),main!$K$10:$Q$14,6,FALSE),1,0)</f>
        <v>0</v>
      </c>
      <c r="AT219">
        <f>IF(VLOOKUP(AT$1,main!$A$3:$I$56,5,FALSE)-VLOOKUP($A219,main!$A$3:$I$56,6,FALSE)&gt;=VLOOKUP(58,main!$A$57:$I$61,4,FALSE)+VLOOKUP(VLOOKUP(AT$1,main!$A$3:$I$56,7,FALSE),main!$K$10:$Q$14,6,FALSE),1,0)</f>
        <v>0</v>
      </c>
      <c r="AU219">
        <f>IF(VLOOKUP(AU$1,main!$A$3:$I$56,5,FALSE)-VLOOKUP($A219,main!$A$3:$I$56,6,FALSE)&gt;=VLOOKUP(58,main!$A$57:$I$61,4,FALSE)+VLOOKUP(VLOOKUP(AU$1,main!$A$3:$I$56,7,FALSE),main!$K$10:$Q$14,6,FALSE),1,0)</f>
        <v>0</v>
      </c>
      <c r="AV219">
        <f>IF(VLOOKUP(AV$1,main!$A$3:$I$56,5,FALSE)-VLOOKUP($A219,main!$A$3:$I$56,6,FALSE)&gt;=VLOOKUP(58,main!$A$57:$I$61,4,FALSE)+VLOOKUP(VLOOKUP(AV$1,main!$A$3:$I$56,7,FALSE),main!$K$10:$Q$14,6,FALSE),1,0)</f>
        <v>0</v>
      </c>
      <c r="AW219">
        <f>IF(VLOOKUP(AW$1,main!$A$3:$I$56,5,FALSE)-VLOOKUP($A219,main!$A$3:$I$56,6,FALSE)&gt;=VLOOKUP(58,main!$A$57:$I$61,4,FALSE)+VLOOKUP(VLOOKUP(AW$1,main!$A$3:$I$56,7,FALSE),main!$K$10:$Q$14,6,FALSE),1,0)</f>
        <v>0</v>
      </c>
      <c r="AX219">
        <f>IF(VLOOKUP(AX$1,main!$A$3:$I$56,5,FALSE)-VLOOKUP($A219,main!$A$3:$I$56,6,FALSE)&gt;=VLOOKUP(58,main!$A$57:$I$61,4,FALSE)+VLOOKUP(VLOOKUP(AX$1,main!$A$3:$I$56,7,FALSE),main!$K$10:$Q$14,6,FALSE),1,0)</f>
        <v>0</v>
      </c>
      <c r="AY219">
        <f>IF(VLOOKUP(AY$1,main!$A$3:$I$56,5,FALSE)-VLOOKUP($A219,main!$A$3:$I$56,6,FALSE)&gt;=VLOOKUP(58,main!$A$57:$I$61,4,FALSE)+VLOOKUP(VLOOKUP(AY$1,main!$A$3:$I$56,7,FALSE),main!$K$10:$Q$14,6,FALSE),1,0)</f>
        <v>0</v>
      </c>
      <c r="AZ219">
        <f>IF(VLOOKUP(AZ$1,main!$A$3:$I$56,5,FALSE)-VLOOKUP($A219,main!$A$3:$I$56,6,FALSE)&gt;=VLOOKUP(58,main!$A$57:$I$61,4,FALSE)+VLOOKUP(VLOOKUP(AZ$1,main!$A$3:$I$56,7,FALSE),main!$K$10:$Q$14,6,FALSE),1,0)</f>
        <v>0</v>
      </c>
      <c r="BA219">
        <f>IF(VLOOKUP(BA$1,main!$A$3:$I$56,5,FALSE)-VLOOKUP($A219,main!$A$3:$I$56,6,FALSE)&gt;=VLOOKUP(58,main!$A$57:$I$61,4,FALSE)+VLOOKUP(VLOOKUP(BA$1,main!$A$3:$I$56,7,FALSE),main!$K$10:$Q$14,6,FALSE),1,0)</f>
        <v>0</v>
      </c>
      <c r="BB219">
        <f>IF(VLOOKUP(BB$1,main!$A$3:$I$56,5,FALSE)-VLOOKUP($A219,main!$A$3:$I$56,6,FALSE)&gt;=VLOOKUP(58,main!$A$57:$I$61,4,FALSE)+VLOOKUP(VLOOKUP(BB$1,main!$A$3:$I$56,7,FALSE),main!$K$10:$Q$14,6,FALSE),1,0)</f>
        <v>0</v>
      </c>
      <c r="BC219">
        <f>IF(VLOOKUP(BC$1,main!$A$3:$I$56,5,FALSE)-VLOOKUP($A219,main!$A$3:$I$56,6,FALSE)&gt;=VLOOKUP(58,main!$A$57:$I$61,4,FALSE)+VLOOKUP(VLOOKUP(BC$1,main!$A$3:$I$56,7,FALSE),main!$K$10:$Q$14,6,FALSE),1,0)</f>
        <v>0</v>
      </c>
      <c r="BD219">
        <f>IF(VLOOKUP(BD$1,main!$A$3:$I$56,5,FALSE)-VLOOKUP($A219,main!$A$3:$I$56,6,FALSE)&gt;=VLOOKUP(58,main!$A$57:$I$61,4,FALSE)+VLOOKUP(VLOOKUP(BD$1,main!$A$3:$I$56,7,FALSE),main!$K$10:$Q$14,6,FALSE),1,0)</f>
        <v>0</v>
      </c>
    </row>
    <row r="220" spans="1:56" x14ac:dyDescent="0.25">
      <c r="A220">
        <f t="shared" si="3"/>
        <v>53</v>
      </c>
      <c r="B220">
        <v>0</v>
      </c>
      <c r="C220">
        <f>IF(VLOOKUP(C$1,main!$A$3:$I$56,5,FALSE)-VLOOKUP($A220,main!$A$3:$I$56,6,FALSE)&gt;=VLOOKUP(58,main!$A$57:$I$61,4,FALSE)+VLOOKUP(VLOOKUP(C$1,main!$A$3:$I$56,7,FALSE),main!$K$10:$Q$14,6,FALSE),1,0)</f>
        <v>0</v>
      </c>
      <c r="D220">
        <f>IF(VLOOKUP(D$1,main!$A$3:$I$56,5,FALSE)-VLOOKUP($A220,main!$A$3:$I$56,6,FALSE)&gt;=VLOOKUP(58,main!$A$57:$I$61,4,FALSE)+VLOOKUP(VLOOKUP(D$1,main!$A$3:$I$56,7,FALSE),main!$K$10:$Q$14,6,FALSE),1,0)</f>
        <v>0</v>
      </c>
      <c r="E220">
        <f>IF(VLOOKUP(E$1,main!$A$3:$I$56,5,FALSE)-VLOOKUP($A220,main!$A$3:$I$56,6,FALSE)&gt;=VLOOKUP(58,main!$A$57:$I$61,4,FALSE)+VLOOKUP(VLOOKUP(E$1,main!$A$3:$I$56,7,FALSE),main!$K$10:$Q$14,6,FALSE),1,0)</f>
        <v>0</v>
      </c>
      <c r="F220">
        <f>IF(VLOOKUP(F$1,main!$A$3:$I$56,5,FALSE)-VLOOKUP($A220,main!$A$3:$I$56,6,FALSE)&gt;=VLOOKUP(58,main!$A$57:$I$61,4,FALSE)+VLOOKUP(VLOOKUP(F$1,main!$A$3:$I$56,7,FALSE),main!$K$10:$Q$14,6,FALSE),1,0)</f>
        <v>0</v>
      </c>
      <c r="G220">
        <f>IF(VLOOKUP(G$1,main!$A$3:$I$56,5,FALSE)-VLOOKUP($A220,main!$A$3:$I$56,6,FALSE)&gt;=VLOOKUP(58,main!$A$57:$I$61,4,FALSE)+VLOOKUP(VLOOKUP(G$1,main!$A$3:$I$56,7,FALSE),main!$K$10:$Q$14,6,FALSE),1,0)</f>
        <v>0</v>
      </c>
      <c r="H220">
        <f>IF(VLOOKUP(H$1,main!$A$3:$I$56,5,FALSE)-VLOOKUP($A220,main!$A$3:$I$56,6,FALSE)&gt;=VLOOKUP(58,main!$A$57:$I$61,4,FALSE)+VLOOKUP(VLOOKUP(H$1,main!$A$3:$I$56,7,FALSE),main!$K$10:$Q$14,6,FALSE),1,0)</f>
        <v>0</v>
      </c>
      <c r="I220">
        <f>IF(VLOOKUP(I$1,main!$A$3:$I$56,5,FALSE)-VLOOKUP($A220,main!$A$3:$I$56,6,FALSE)&gt;=VLOOKUP(58,main!$A$57:$I$61,4,FALSE)+VLOOKUP(VLOOKUP(I$1,main!$A$3:$I$56,7,FALSE),main!$K$10:$Q$14,6,FALSE),1,0)</f>
        <v>0</v>
      </c>
      <c r="J220">
        <f>IF(VLOOKUP(J$1,main!$A$3:$I$56,5,FALSE)-VLOOKUP($A220,main!$A$3:$I$56,6,FALSE)&gt;=VLOOKUP(58,main!$A$57:$I$61,4,FALSE)+VLOOKUP(VLOOKUP(J$1,main!$A$3:$I$56,7,FALSE),main!$K$10:$Q$14,6,FALSE),1,0)</f>
        <v>0</v>
      </c>
      <c r="K220">
        <f>IF(VLOOKUP(K$1,main!$A$3:$I$56,5,FALSE)-VLOOKUP($A220,main!$A$3:$I$56,6,FALSE)&gt;=VLOOKUP(58,main!$A$57:$I$61,4,FALSE)+VLOOKUP(VLOOKUP(K$1,main!$A$3:$I$56,7,FALSE),main!$K$10:$Q$14,6,FALSE),1,0)</f>
        <v>0</v>
      </c>
      <c r="L220">
        <f>IF(VLOOKUP(L$1,main!$A$3:$I$56,5,FALSE)-VLOOKUP($A220,main!$A$3:$I$56,6,FALSE)&gt;=VLOOKUP(58,main!$A$57:$I$61,4,FALSE)+VLOOKUP(VLOOKUP(L$1,main!$A$3:$I$56,7,FALSE),main!$K$10:$Q$14,6,FALSE),1,0)</f>
        <v>0</v>
      </c>
      <c r="M220">
        <f>IF(VLOOKUP(M$1,main!$A$3:$I$56,5,FALSE)-VLOOKUP($A220,main!$A$3:$I$56,6,FALSE)&gt;=VLOOKUP(58,main!$A$57:$I$61,4,FALSE)+VLOOKUP(VLOOKUP(M$1,main!$A$3:$I$56,7,FALSE),main!$K$10:$Q$14,6,FALSE),1,0)</f>
        <v>0</v>
      </c>
      <c r="N220">
        <f>IF(VLOOKUP(N$1,main!$A$3:$I$56,5,FALSE)-VLOOKUP($A220,main!$A$3:$I$56,6,FALSE)&gt;=VLOOKUP(58,main!$A$57:$I$61,4,FALSE)+VLOOKUP(VLOOKUP(N$1,main!$A$3:$I$56,7,FALSE),main!$K$10:$Q$14,6,FALSE),1,0)</f>
        <v>0</v>
      </c>
      <c r="O220">
        <f>IF(VLOOKUP(O$1,main!$A$3:$I$56,5,FALSE)-VLOOKUP($A220,main!$A$3:$I$56,6,FALSE)&gt;=VLOOKUP(58,main!$A$57:$I$61,4,FALSE)+VLOOKUP(VLOOKUP(O$1,main!$A$3:$I$56,7,FALSE),main!$K$10:$Q$14,6,FALSE),1,0)</f>
        <v>0</v>
      </c>
      <c r="P220">
        <f>IF(VLOOKUP(P$1,main!$A$3:$I$56,5,FALSE)-VLOOKUP($A220,main!$A$3:$I$56,6,FALSE)&gt;=VLOOKUP(58,main!$A$57:$I$61,4,FALSE)+VLOOKUP(VLOOKUP(P$1,main!$A$3:$I$56,7,FALSE),main!$K$10:$Q$14,6,FALSE),1,0)</f>
        <v>0</v>
      </c>
      <c r="Q220">
        <f>IF(VLOOKUP(Q$1,main!$A$3:$I$56,5,FALSE)-VLOOKUP($A220,main!$A$3:$I$56,6,FALSE)&gt;=VLOOKUP(58,main!$A$57:$I$61,4,FALSE)+VLOOKUP(VLOOKUP(Q$1,main!$A$3:$I$56,7,FALSE),main!$K$10:$Q$14,6,FALSE),1,0)</f>
        <v>0</v>
      </c>
      <c r="R220">
        <f>IF(VLOOKUP(R$1,main!$A$3:$I$56,5,FALSE)-VLOOKUP($A220,main!$A$3:$I$56,6,FALSE)&gt;=VLOOKUP(58,main!$A$57:$I$61,4,FALSE)+VLOOKUP(VLOOKUP(R$1,main!$A$3:$I$56,7,FALSE),main!$K$10:$Q$14,6,FALSE),1,0)</f>
        <v>0</v>
      </c>
      <c r="S220">
        <f>IF(VLOOKUP(S$1,main!$A$3:$I$56,5,FALSE)-VLOOKUP($A220,main!$A$3:$I$56,6,FALSE)&gt;=VLOOKUP(58,main!$A$57:$I$61,4,FALSE)+VLOOKUP(VLOOKUP(S$1,main!$A$3:$I$56,7,FALSE),main!$K$10:$Q$14,6,FALSE),1,0)</f>
        <v>0</v>
      </c>
      <c r="T220">
        <f>IF(VLOOKUP(T$1,main!$A$3:$I$56,5,FALSE)-VLOOKUP($A220,main!$A$3:$I$56,6,FALSE)&gt;=VLOOKUP(58,main!$A$57:$I$61,4,FALSE)+VLOOKUP(VLOOKUP(T$1,main!$A$3:$I$56,7,FALSE),main!$K$10:$Q$14,6,FALSE),1,0)</f>
        <v>0</v>
      </c>
      <c r="U220">
        <f>IF(VLOOKUP(U$1,main!$A$3:$I$56,5,FALSE)-VLOOKUP($A220,main!$A$3:$I$56,6,FALSE)&gt;=VLOOKUP(58,main!$A$57:$I$61,4,FALSE)+VLOOKUP(VLOOKUP(U$1,main!$A$3:$I$56,7,FALSE),main!$K$10:$Q$14,6,FALSE),1,0)</f>
        <v>0</v>
      </c>
      <c r="V220">
        <f>IF(VLOOKUP(V$1,main!$A$3:$I$56,5,FALSE)-VLOOKUP($A220,main!$A$3:$I$56,6,FALSE)&gt;=VLOOKUP(58,main!$A$57:$I$61,4,FALSE)+VLOOKUP(VLOOKUP(V$1,main!$A$3:$I$56,7,FALSE),main!$K$10:$Q$14,6,FALSE),1,0)</f>
        <v>0</v>
      </c>
      <c r="W220">
        <f>IF(VLOOKUP(W$1,main!$A$3:$I$56,5,FALSE)-VLOOKUP($A220,main!$A$3:$I$56,6,FALSE)&gt;=VLOOKUP(58,main!$A$57:$I$61,4,FALSE)+VLOOKUP(VLOOKUP(W$1,main!$A$3:$I$56,7,FALSE),main!$K$10:$Q$14,6,FALSE),1,0)</f>
        <v>0</v>
      </c>
      <c r="X220">
        <f>IF(VLOOKUP(X$1,main!$A$3:$I$56,5,FALSE)-VLOOKUP($A220,main!$A$3:$I$56,6,FALSE)&gt;=VLOOKUP(58,main!$A$57:$I$61,4,FALSE)+VLOOKUP(VLOOKUP(X$1,main!$A$3:$I$56,7,FALSE),main!$K$10:$Q$14,6,FALSE),1,0)</f>
        <v>0</v>
      </c>
      <c r="Y220">
        <f>IF(VLOOKUP(Y$1,main!$A$3:$I$56,5,FALSE)-VLOOKUP($A220,main!$A$3:$I$56,6,FALSE)&gt;=VLOOKUP(58,main!$A$57:$I$61,4,FALSE)+VLOOKUP(VLOOKUP(Y$1,main!$A$3:$I$56,7,FALSE),main!$K$10:$Q$14,6,FALSE),1,0)</f>
        <v>0</v>
      </c>
      <c r="Z220">
        <f>IF(VLOOKUP(Z$1,main!$A$3:$I$56,5,FALSE)-VLOOKUP($A220,main!$A$3:$I$56,6,FALSE)&gt;=VLOOKUP(58,main!$A$57:$I$61,4,FALSE)+VLOOKUP(VLOOKUP(Z$1,main!$A$3:$I$56,7,FALSE),main!$K$10:$Q$14,6,FALSE),1,0)</f>
        <v>0</v>
      </c>
      <c r="AA220">
        <f>IF(VLOOKUP(AA$1,main!$A$3:$I$56,5,FALSE)-VLOOKUP($A220,main!$A$3:$I$56,6,FALSE)&gt;=VLOOKUP(58,main!$A$57:$I$61,4,FALSE)+VLOOKUP(VLOOKUP(AA$1,main!$A$3:$I$56,7,FALSE),main!$K$10:$Q$14,6,FALSE),1,0)</f>
        <v>0</v>
      </c>
      <c r="AB220">
        <f>IF(VLOOKUP(AB$1,main!$A$3:$I$56,5,FALSE)-VLOOKUP($A220,main!$A$3:$I$56,6,FALSE)&gt;=VLOOKUP(58,main!$A$57:$I$61,4,FALSE)+VLOOKUP(VLOOKUP(AB$1,main!$A$3:$I$56,7,FALSE),main!$K$10:$Q$14,6,FALSE),1,0)</f>
        <v>0</v>
      </c>
      <c r="AC220">
        <f>IF(VLOOKUP(AC$1,main!$A$3:$I$56,5,FALSE)-VLOOKUP($A220,main!$A$3:$I$56,6,FALSE)&gt;=VLOOKUP(58,main!$A$57:$I$61,4,FALSE)+VLOOKUP(VLOOKUP(AC$1,main!$A$3:$I$56,7,FALSE),main!$K$10:$Q$14,6,FALSE),1,0)</f>
        <v>0</v>
      </c>
      <c r="AD220">
        <f>IF(VLOOKUP(AD$1,main!$A$3:$I$56,5,FALSE)-VLOOKUP($A220,main!$A$3:$I$56,6,FALSE)&gt;=VLOOKUP(58,main!$A$57:$I$61,4,FALSE)+VLOOKUP(VLOOKUP(AD$1,main!$A$3:$I$56,7,FALSE),main!$K$10:$Q$14,6,FALSE),1,0)</f>
        <v>0</v>
      </c>
      <c r="AE220">
        <f>IF(VLOOKUP(AE$1,main!$A$3:$I$56,5,FALSE)-VLOOKUP($A220,main!$A$3:$I$56,6,FALSE)&gt;=VLOOKUP(58,main!$A$57:$I$61,4,FALSE)+VLOOKUP(VLOOKUP(AE$1,main!$A$3:$I$56,7,FALSE),main!$K$10:$Q$14,6,FALSE),1,0)</f>
        <v>0</v>
      </c>
      <c r="AF220">
        <f>IF(VLOOKUP(AF$1,main!$A$3:$I$56,5,FALSE)-VLOOKUP($A220,main!$A$3:$I$56,6,FALSE)&gt;=VLOOKUP(58,main!$A$57:$I$61,4,FALSE)+VLOOKUP(VLOOKUP(AF$1,main!$A$3:$I$56,7,FALSE),main!$K$10:$Q$14,6,FALSE),1,0)</f>
        <v>0</v>
      </c>
      <c r="AG220">
        <f>IF(VLOOKUP(AG$1,main!$A$3:$I$56,5,FALSE)-VLOOKUP($A220,main!$A$3:$I$56,6,FALSE)&gt;=VLOOKUP(58,main!$A$57:$I$61,4,FALSE)+VLOOKUP(VLOOKUP(AG$1,main!$A$3:$I$56,7,FALSE),main!$K$10:$Q$14,6,FALSE),1,0)</f>
        <v>0</v>
      </c>
      <c r="AH220">
        <f>IF(VLOOKUP(AH$1,main!$A$3:$I$56,5,FALSE)-VLOOKUP($A220,main!$A$3:$I$56,6,FALSE)&gt;=VLOOKUP(58,main!$A$57:$I$61,4,FALSE)+VLOOKUP(VLOOKUP(AH$1,main!$A$3:$I$56,7,FALSE),main!$K$10:$Q$14,6,FALSE),1,0)</f>
        <v>0</v>
      </c>
      <c r="AI220">
        <f>IF(VLOOKUP(AI$1,main!$A$3:$I$56,5,FALSE)-VLOOKUP($A220,main!$A$3:$I$56,6,FALSE)&gt;=VLOOKUP(58,main!$A$57:$I$61,4,FALSE)+VLOOKUP(VLOOKUP(AI$1,main!$A$3:$I$56,7,FALSE),main!$K$10:$Q$14,6,FALSE),1,0)</f>
        <v>0</v>
      </c>
      <c r="AJ220">
        <f>IF(VLOOKUP(AJ$1,main!$A$3:$I$56,5,FALSE)-VLOOKUP($A220,main!$A$3:$I$56,6,FALSE)&gt;=VLOOKUP(58,main!$A$57:$I$61,4,FALSE)+VLOOKUP(VLOOKUP(AJ$1,main!$A$3:$I$56,7,FALSE),main!$K$10:$Q$14,6,FALSE),1,0)</f>
        <v>0</v>
      </c>
      <c r="AK220">
        <f>IF(VLOOKUP(AK$1,main!$A$3:$I$56,5,FALSE)-VLOOKUP($A220,main!$A$3:$I$56,6,FALSE)&gt;=VLOOKUP(58,main!$A$57:$I$61,4,FALSE)+VLOOKUP(VLOOKUP(AK$1,main!$A$3:$I$56,7,FALSE),main!$K$10:$Q$14,6,FALSE),1,0)</f>
        <v>0</v>
      </c>
      <c r="AL220">
        <f>IF(VLOOKUP(AL$1,main!$A$3:$I$56,5,FALSE)-VLOOKUP($A220,main!$A$3:$I$56,6,FALSE)&gt;=VLOOKUP(58,main!$A$57:$I$61,4,FALSE)+VLOOKUP(VLOOKUP(AL$1,main!$A$3:$I$56,7,FALSE),main!$K$10:$Q$14,6,FALSE),1,0)</f>
        <v>0</v>
      </c>
      <c r="AM220">
        <f>IF(VLOOKUP(AM$1,main!$A$3:$I$56,5,FALSE)-VLOOKUP($A220,main!$A$3:$I$56,6,FALSE)&gt;=VLOOKUP(58,main!$A$57:$I$61,4,FALSE)+VLOOKUP(VLOOKUP(AM$1,main!$A$3:$I$56,7,FALSE),main!$K$10:$Q$14,6,FALSE),1,0)</f>
        <v>0</v>
      </c>
      <c r="AN220">
        <f>IF(VLOOKUP(AN$1,main!$A$3:$I$56,5,FALSE)-VLOOKUP($A220,main!$A$3:$I$56,6,FALSE)&gt;=VLOOKUP(58,main!$A$57:$I$61,4,FALSE)+VLOOKUP(VLOOKUP(AN$1,main!$A$3:$I$56,7,FALSE),main!$K$10:$Q$14,6,FALSE),1,0)</f>
        <v>0</v>
      </c>
      <c r="AO220">
        <f>IF(VLOOKUP(AO$1,main!$A$3:$I$56,5,FALSE)-VLOOKUP($A220,main!$A$3:$I$56,6,FALSE)&gt;=VLOOKUP(58,main!$A$57:$I$61,4,FALSE)+VLOOKUP(VLOOKUP(AO$1,main!$A$3:$I$56,7,FALSE),main!$K$10:$Q$14,6,FALSE),1,0)</f>
        <v>0</v>
      </c>
      <c r="AP220">
        <f>IF(VLOOKUP(AP$1,main!$A$3:$I$56,5,FALSE)-VLOOKUP($A220,main!$A$3:$I$56,6,FALSE)&gt;=VLOOKUP(58,main!$A$57:$I$61,4,FALSE)+VLOOKUP(VLOOKUP(AP$1,main!$A$3:$I$56,7,FALSE),main!$K$10:$Q$14,6,FALSE),1,0)</f>
        <v>0</v>
      </c>
      <c r="AQ220">
        <f>IF(VLOOKUP(AQ$1,main!$A$3:$I$56,5,FALSE)-VLOOKUP($A220,main!$A$3:$I$56,6,FALSE)&gt;=VLOOKUP(58,main!$A$57:$I$61,4,FALSE)+VLOOKUP(VLOOKUP(AQ$1,main!$A$3:$I$56,7,FALSE),main!$K$10:$Q$14,6,FALSE),1,0)</f>
        <v>0</v>
      </c>
      <c r="AR220">
        <f>IF(VLOOKUP(AR$1,main!$A$3:$I$56,5,FALSE)-VLOOKUP($A220,main!$A$3:$I$56,6,FALSE)&gt;=VLOOKUP(58,main!$A$57:$I$61,4,FALSE)+VLOOKUP(VLOOKUP(AR$1,main!$A$3:$I$56,7,FALSE),main!$K$10:$Q$14,6,FALSE),1,0)</f>
        <v>0</v>
      </c>
      <c r="AS220">
        <f>IF(VLOOKUP(AS$1,main!$A$3:$I$56,5,FALSE)-VLOOKUP($A220,main!$A$3:$I$56,6,FALSE)&gt;=VLOOKUP(58,main!$A$57:$I$61,4,FALSE)+VLOOKUP(VLOOKUP(AS$1,main!$A$3:$I$56,7,FALSE),main!$K$10:$Q$14,6,FALSE),1,0)</f>
        <v>0</v>
      </c>
      <c r="AT220">
        <f>IF(VLOOKUP(AT$1,main!$A$3:$I$56,5,FALSE)-VLOOKUP($A220,main!$A$3:$I$56,6,FALSE)&gt;=VLOOKUP(58,main!$A$57:$I$61,4,FALSE)+VLOOKUP(VLOOKUP(AT$1,main!$A$3:$I$56,7,FALSE),main!$K$10:$Q$14,6,FALSE),1,0)</f>
        <v>0</v>
      </c>
      <c r="AU220">
        <f>IF(VLOOKUP(AU$1,main!$A$3:$I$56,5,FALSE)-VLOOKUP($A220,main!$A$3:$I$56,6,FALSE)&gt;=VLOOKUP(58,main!$A$57:$I$61,4,FALSE)+VLOOKUP(VLOOKUP(AU$1,main!$A$3:$I$56,7,FALSE),main!$K$10:$Q$14,6,FALSE),1,0)</f>
        <v>0</v>
      </c>
      <c r="AV220">
        <f>IF(VLOOKUP(AV$1,main!$A$3:$I$56,5,FALSE)-VLOOKUP($A220,main!$A$3:$I$56,6,FALSE)&gt;=VLOOKUP(58,main!$A$57:$I$61,4,FALSE)+VLOOKUP(VLOOKUP(AV$1,main!$A$3:$I$56,7,FALSE),main!$K$10:$Q$14,6,FALSE),1,0)</f>
        <v>0</v>
      </c>
      <c r="AW220">
        <f>IF(VLOOKUP(AW$1,main!$A$3:$I$56,5,FALSE)-VLOOKUP($A220,main!$A$3:$I$56,6,FALSE)&gt;=VLOOKUP(58,main!$A$57:$I$61,4,FALSE)+VLOOKUP(VLOOKUP(AW$1,main!$A$3:$I$56,7,FALSE),main!$K$10:$Q$14,6,FALSE),1,0)</f>
        <v>0</v>
      </c>
      <c r="AX220">
        <f>IF(VLOOKUP(AX$1,main!$A$3:$I$56,5,FALSE)-VLOOKUP($A220,main!$A$3:$I$56,6,FALSE)&gt;=VLOOKUP(58,main!$A$57:$I$61,4,FALSE)+VLOOKUP(VLOOKUP(AX$1,main!$A$3:$I$56,7,FALSE),main!$K$10:$Q$14,6,FALSE),1,0)</f>
        <v>0</v>
      </c>
      <c r="AY220">
        <f>IF(VLOOKUP(AY$1,main!$A$3:$I$56,5,FALSE)-VLOOKUP($A220,main!$A$3:$I$56,6,FALSE)&gt;=VLOOKUP(58,main!$A$57:$I$61,4,FALSE)+VLOOKUP(VLOOKUP(AY$1,main!$A$3:$I$56,7,FALSE),main!$K$10:$Q$14,6,FALSE),1,0)</f>
        <v>0</v>
      </c>
      <c r="AZ220">
        <f>IF(VLOOKUP(AZ$1,main!$A$3:$I$56,5,FALSE)-VLOOKUP($A220,main!$A$3:$I$56,6,FALSE)&gt;=VLOOKUP(58,main!$A$57:$I$61,4,FALSE)+VLOOKUP(VLOOKUP(AZ$1,main!$A$3:$I$56,7,FALSE),main!$K$10:$Q$14,6,FALSE),1,0)</f>
        <v>0</v>
      </c>
      <c r="BA220">
        <f>IF(VLOOKUP(BA$1,main!$A$3:$I$56,5,FALSE)-VLOOKUP($A220,main!$A$3:$I$56,6,FALSE)&gt;=VLOOKUP(58,main!$A$57:$I$61,4,FALSE)+VLOOKUP(VLOOKUP(BA$1,main!$A$3:$I$56,7,FALSE),main!$K$10:$Q$14,6,FALSE),1,0)</f>
        <v>0</v>
      </c>
      <c r="BB220">
        <f>IF(VLOOKUP(BB$1,main!$A$3:$I$56,5,FALSE)-VLOOKUP($A220,main!$A$3:$I$56,6,FALSE)&gt;=VLOOKUP(58,main!$A$57:$I$61,4,FALSE)+VLOOKUP(VLOOKUP(BB$1,main!$A$3:$I$56,7,FALSE),main!$K$10:$Q$14,6,FALSE),1,0)</f>
        <v>0</v>
      </c>
      <c r="BC220">
        <f>IF(VLOOKUP(BC$1,main!$A$3:$I$56,5,FALSE)-VLOOKUP($A220,main!$A$3:$I$56,6,FALSE)&gt;=VLOOKUP(58,main!$A$57:$I$61,4,FALSE)+VLOOKUP(VLOOKUP(BC$1,main!$A$3:$I$56,7,FALSE),main!$K$10:$Q$14,6,FALSE),1,0)</f>
        <v>0</v>
      </c>
      <c r="BD220">
        <f>IF(VLOOKUP(BD$1,main!$A$3:$I$56,5,FALSE)-VLOOKUP($A220,main!$A$3:$I$56,6,FALSE)&gt;=VLOOKUP(58,main!$A$57:$I$61,4,FALSE)+VLOOKUP(VLOOKUP(BD$1,main!$A$3:$I$56,7,FALSE),main!$K$10:$Q$14,6,FALSE),1,0)</f>
        <v>0</v>
      </c>
    </row>
    <row r="221" spans="1:56" x14ac:dyDescent="0.25">
      <c r="A221">
        <f t="shared" si="3"/>
        <v>54</v>
      </c>
      <c r="B221">
        <v>0</v>
      </c>
      <c r="C221">
        <f>IF(VLOOKUP(C$1,main!$A$3:$I$56,5,FALSE)-VLOOKUP($A221,main!$A$3:$I$56,6,FALSE)&gt;=VLOOKUP(58,main!$A$57:$I$61,4,FALSE)+VLOOKUP(VLOOKUP(C$1,main!$A$3:$I$56,7,FALSE),main!$K$10:$Q$14,6,FALSE),1,0)</f>
        <v>0</v>
      </c>
      <c r="D221">
        <f>IF(VLOOKUP(D$1,main!$A$3:$I$56,5,FALSE)-VLOOKUP($A221,main!$A$3:$I$56,6,FALSE)&gt;=VLOOKUP(58,main!$A$57:$I$61,4,FALSE)+VLOOKUP(VLOOKUP(D$1,main!$A$3:$I$56,7,FALSE),main!$K$10:$Q$14,6,FALSE),1,0)</f>
        <v>0</v>
      </c>
      <c r="E221">
        <f>IF(VLOOKUP(E$1,main!$A$3:$I$56,5,FALSE)-VLOOKUP($A221,main!$A$3:$I$56,6,FALSE)&gt;=VLOOKUP(58,main!$A$57:$I$61,4,FALSE)+VLOOKUP(VLOOKUP(E$1,main!$A$3:$I$56,7,FALSE),main!$K$10:$Q$14,6,FALSE),1,0)</f>
        <v>0</v>
      </c>
      <c r="F221">
        <f>IF(VLOOKUP(F$1,main!$A$3:$I$56,5,FALSE)-VLOOKUP($A221,main!$A$3:$I$56,6,FALSE)&gt;=VLOOKUP(58,main!$A$57:$I$61,4,FALSE)+VLOOKUP(VLOOKUP(F$1,main!$A$3:$I$56,7,FALSE),main!$K$10:$Q$14,6,FALSE),1,0)</f>
        <v>0</v>
      </c>
      <c r="G221">
        <f>IF(VLOOKUP(G$1,main!$A$3:$I$56,5,FALSE)-VLOOKUP($A221,main!$A$3:$I$56,6,FALSE)&gt;=VLOOKUP(58,main!$A$57:$I$61,4,FALSE)+VLOOKUP(VLOOKUP(G$1,main!$A$3:$I$56,7,FALSE),main!$K$10:$Q$14,6,FALSE),1,0)</f>
        <v>0</v>
      </c>
      <c r="H221">
        <f>IF(VLOOKUP(H$1,main!$A$3:$I$56,5,FALSE)-VLOOKUP($A221,main!$A$3:$I$56,6,FALSE)&gt;=VLOOKUP(58,main!$A$57:$I$61,4,FALSE)+VLOOKUP(VLOOKUP(H$1,main!$A$3:$I$56,7,FALSE),main!$K$10:$Q$14,6,FALSE),1,0)</f>
        <v>0</v>
      </c>
      <c r="I221">
        <f>IF(VLOOKUP(I$1,main!$A$3:$I$56,5,FALSE)-VLOOKUP($A221,main!$A$3:$I$56,6,FALSE)&gt;=VLOOKUP(58,main!$A$57:$I$61,4,FALSE)+VLOOKUP(VLOOKUP(I$1,main!$A$3:$I$56,7,FALSE),main!$K$10:$Q$14,6,FALSE),1,0)</f>
        <v>0</v>
      </c>
      <c r="J221">
        <f>IF(VLOOKUP(J$1,main!$A$3:$I$56,5,FALSE)-VLOOKUP($A221,main!$A$3:$I$56,6,FALSE)&gt;=VLOOKUP(58,main!$A$57:$I$61,4,FALSE)+VLOOKUP(VLOOKUP(J$1,main!$A$3:$I$56,7,FALSE),main!$K$10:$Q$14,6,FALSE),1,0)</f>
        <v>0</v>
      </c>
      <c r="K221">
        <f>IF(VLOOKUP(K$1,main!$A$3:$I$56,5,FALSE)-VLOOKUP($A221,main!$A$3:$I$56,6,FALSE)&gt;=VLOOKUP(58,main!$A$57:$I$61,4,FALSE)+VLOOKUP(VLOOKUP(K$1,main!$A$3:$I$56,7,FALSE),main!$K$10:$Q$14,6,FALSE),1,0)</f>
        <v>0</v>
      </c>
      <c r="L221">
        <f>IF(VLOOKUP(L$1,main!$A$3:$I$56,5,FALSE)-VLOOKUP($A221,main!$A$3:$I$56,6,FALSE)&gt;=VLOOKUP(58,main!$A$57:$I$61,4,FALSE)+VLOOKUP(VLOOKUP(L$1,main!$A$3:$I$56,7,FALSE),main!$K$10:$Q$14,6,FALSE),1,0)</f>
        <v>0</v>
      </c>
      <c r="M221">
        <f>IF(VLOOKUP(M$1,main!$A$3:$I$56,5,FALSE)-VLOOKUP($A221,main!$A$3:$I$56,6,FALSE)&gt;=VLOOKUP(58,main!$A$57:$I$61,4,FALSE)+VLOOKUP(VLOOKUP(M$1,main!$A$3:$I$56,7,FALSE),main!$K$10:$Q$14,6,FALSE),1,0)</f>
        <v>0</v>
      </c>
      <c r="N221">
        <f>IF(VLOOKUP(N$1,main!$A$3:$I$56,5,FALSE)-VLOOKUP($A221,main!$A$3:$I$56,6,FALSE)&gt;=VLOOKUP(58,main!$A$57:$I$61,4,FALSE)+VLOOKUP(VLOOKUP(N$1,main!$A$3:$I$56,7,FALSE),main!$K$10:$Q$14,6,FALSE),1,0)</f>
        <v>0</v>
      </c>
      <c r="O221">
        <f>IF(VLOOKUP(O$1,main!$A$3:$I$56,5,FALSE)-VLOOKUP($A221,main!$A$3:$I$56,6,FALSE)&gt;=VLOOKUP(58,main!$A$57:$I$61,4,FALSE)+VLOOKUP(VLOOKUP(O$1,main!$A$3:$I$56,7,FALSE),main!$K$10:$Q$14,6,FALSE),1,0)</f>
        <v>0</v>
      </c>
      <c r="P221">
        <f>IF(VLOOKUP(P$1,main!$A$3:$I$56,5,FALSE)-VLOOKUP($A221,main!$A$3:$I$56,6,FALSE)&gt;=VLOOKUP(58,main!$A$57:$I$61,4,FALSE)+VLOOKUP(VLOOKUP(P$1,main!$A$3:$I$56,7,FALSE),main!$K$10:$Q$14,6,FALSE),1,0)</f>
        <v>0</v>
      </c>
      <c r="Q221">
        <f>IF(VLOOKUP(Q$1,main!$A$3:$I$56,5,FALSE)-VLOOKUP($A221,main!$A$3:$I$56,6,FALSE)&gt;=VLOOKUP(58,main!$A$57:$I$61,4,FALSE)+VLOOKUP(VLOOKUP(Q$1,main!$A$3:$I$56,7,FALSE),main!$K$10:$Q$14,6,FALSE),1,0)</f>
        <v>0</v>
      </c>
      <c r="R221">
        <f>IF(VLOOKUP(R$1,main!$A$3:$I$56,5,FALSE)-VLOOKUP($A221,main!$A$3:$I$56,6,FALSE)&gt;=VLOOKUP(58,main!$A$57:$I$61,4,FALSE)+VLOOKUP(VLOOKUP(R$1,main!$A$3:$I$56,7,FALSE),main!$K$10:$Q$14,6,FALSE),1,0)</f>
        <v>0</v>
      </c>
      <c r="S221">
        <f>IF(VLOOKUP(S$1,main!$A$3:$I$56,5,FALSE)-VLOOKUP($A221,main!$A$3:$I$56,6,FALSE)&gt;=VLOOKUP(58,main!$A$57:$I$61,4,FALSE)+VLOOKUP(VLOOKUP(S$1,main!$A$3:$I$56,7,FALSE),main!$K$10:$Q$14,6,FALSE),1,0)</f>
        <v>0</v>
      </c>
      <c r="T221">
        <f>IF(VLOOKUP(T$1,main!$A$3:$I$56,5,FALSE)-VLOOKUP($A221,main!$A$3:$I$56,6,FALSE)&gt;=VLOOKUP(58,main!$A$57:$I$61,4,FALSE)+VLOOKUP(VLOOKUP(T$1,main!$A$3:$I$56,7,FALSE),main!$K$10:$Q$14,6,FALSE),1,0)</f>
        <v>0</v>
      </c>
      <c r="U221">
        <f>IF(VLOOKUP(U$1,main!$A$3:$I$56,5,FALSE)-VLOOKUP($A221,main!$A$3:$I$56,6,FALSE)&gt;=VLOOKUP(58,main!$A$57:$I$61,4,FALSE)+VLOOKUP(VLOOKUP(U$1,main!$A$3:$I$56,7,FALSE),main!$K$10:$Q$14,6,FALSE),1,0)</f>
        <v>0</v>
      </c>
      <c r="V221">
        <f>IF(VLOOKUP(V$1,main!$A$3:$I$56,5,FALSE)-VLOOKUP($A221,main!$A$3:$I$56,6,FALSE)&gt;=VLOOKUP(58,main!$A$57:$I$61,4,FALSE)+VLOOKUP(VLOOKUP(V$1,main!$A$3:$I$56,7,FALSE),main!$K$10:$Q$14,6,FALSE),1,0)</f>
        <v>0</v>
      </c>
      <c r="W221">
        <f>IF(VLOOKUP(W$1,main!$A$3:$I$56,5,FALSE)-VLOOKUP($A221,main!$A$3:$I$56,6,FALSE)&gt;=VLOOKUP(58,main!$A$57:$I$61,4,FALSE)+VLOOKUP(VLOOKUP(W$1,main!$A$3:$I$56,7,FALSE),main!$K$10:$Q$14,6,FALSE),1,0)</f>
        <v>0</v>
      </c>
      <c r="X221">
        <f>IF(VLOOKUP(X$1,main!$A$3:$I$56,5,FALSE)-VLOOKUP($A221,main!$A$3:$I$56,6,FALSE)&gt;=VLOOKUP(58,main!$A$57:$I$61,4,FALSE)+VLOOKUP(VLOOKUP(X$1,main!$A$3:$I$56,7,FALSE),main!$K$10:$Q$14,6,FALSE),1,0)</f>
        <v>0</v>
      </c>
      <c r="Y221">
        <f>IF(VLOOKUP(Y$1,main!$A$3:$I$56,5,FALSE)-VLOOKUP($A221,main!$A$3:$I$56,6,FALSE)&gt;=VLOOKUP(58,main!$A$57:$I$61,4,FALSE)+VLOOKUP(VLOOKUP(Y$1,main!$A$3:$I$56,7,FALSE),main!$K$10:$Q$14,6,FALSE),1,0)</f>
        <v>0</v>
      </c>
      <c r="Z221">
        <f>IF(VLOOKUP(Z$1,main!$A$3:$I$56,5,FALSE)-VLOOKUP($A221,main!$A$3:$I$56,6,FALSE)&gt;=VLOOKUP(58,main!$A$57:$I$61,4,FALSE)+VLOOKUP(VLOOKUP(Z$1,main!$A$3:$I$56,7,FALSE),main!$K$10:$Q$14,6,FALSE),1,0)</f>
        <v>0</v>
      </c>
      <c r="AA221">
        <f>IF(VLOOKUP(AA$1,main!$A$3:$I$56,5,FALSE)-VLOOKUP($A221,main!$A$3:$I$56,6,FALSE)&gt;=VLOOKUP(58,main!$A$57:$I$61,4,FALSE)+VLOOKUP(VLOOKUP(AA$1,main!$A$3:$I$56,7,FALSE),main!$K$10:$Q$14,6,FALSE),1,0)</f>
        <v>0</v>
      </c>
      <c r="AB221">
        <f>IF(VLOOKUP(AB$1,main!$A$3:$I$56,5,FALSE)-VLOOKUP($A221,main!$A$3:$I$56,6,FALSE)&gt;=VLOOKUP(58,main!$A$57:$I$61,4,FALSE)+VLOOKUP(VLOOKUP(AB$1,main!$A$3:$I$56,7,FALSE),main!$K$10:$Q$14,6,FALSE),1,0)</f>
        <v>0</v>
      </c>
      <c r="AC221">
        <f>IF(VLOOKUP(AC$1,main!$A$3:$I$56,5,FALSE)-VLOOKUP($A221,main!$A$3:$I$56,6,FALSE)&gt;=VLOOKUP(58,main!$A$57:$I$61,4,FALSE)+VLOOKUP(VLOOKUP(AC$1,main!$A$3:$I$56,7,FALSE),main!$K$10:$Q$14,6,FALSE),1,0)</f>
        <v>0</v>
      </c>
      <c r="AD221">
        <f>IF(VLOOKUP(AD$1,main!$A$3:$I$56,5,FALSE)-VLOOKUP($A221,main!$A$3:$I$56,6,FALSE)&gt;=VLOOKUP(58,main!$A$57:$I$61,4,FALSE)+VLOOKUP(VLOOKUP(AD$1,main!$A$3:$I$56,7,FALSE),main!$K$10:$Q$14,6,FALSE),1,0)</f>
        <v>0</v>
      </c>
      <c r="AE221">
        <f>IF(VLOOKUP(AE$1,main!$A$3:$I$56,5,FALSE)-VLOOKUP($A221,main!$A$3:$I$56,6,FALSE)&gt;=VLOOKUP(58,main!$A$57:$I$61,4,FALSE)+VLOOKUP(VLOOKUP(AE$1,main!$A$3:$I$56,7,FALSE),main!$K$10:$Q$14,6,FALSE),1,0)</f>
        <v>0</v>
      </c>
      <c r="AF221">
        <f>IF(VLOOKUP(AF$1,main!$A$3:$I$56,5,FALSE)-VLOOKUP($A221,main!$A$3:$I$56,6,FALSE)&gt;=VLOOKUP(58,main!$A$57:$I$61,4,FALSE)+VLOOKUP(VLOOKUP(AF$1,main!$A$3:$I$56,7,FALSE),main!$K$10:$Q$14,6,FALSE),1,0)</f>
        <v>0</v>
      </c>
      <c r="AG221">
        <f>IF(VLOOKUP(AG$1,main!$A$3:$I$56,5,FALSE)-VLOOKUP($A221,main!$A$3:$I$56,6,FALSE)&gt;=VLOOKUP(58,main!$A$57:$I$61,4,FALSE)+VLOOKUP(VLOOKUP(AG$1,main!$A$3:$I$56,7,FALSE),main!$K$10:$Q$14,6,FALSE),1,0)</f>
        <v>0</v>
      </c>
      <c r="AH221">
        <f>IF(VLOOKUP(AH$1,main!$A$3:$I$56,5,FALSE)-VLOOKUP($A221,main!$A$3:$I$56,6,FALSE)&gt;=VLOOKUP(58,main!$A$57:$I$61,4,FALSE)+VLOOKUP(VLOOKUP(AH$1,main!$A$3:$I$56,7,FALSE),main!$K$10:$Q$14,6,FALSE),1,0)</f>
        <v>0</v>
      </c>
      <c r="AI221">
        <f>IF(VLOOKUP(AI$1,main!$A$3:$I$56,5,FALSE)-VLOOKUP($A221,main!$A$3:$I$56,6,FALSE)&gt;=VLOOKUP(58,main!$A$57:$I$61,4,FALSE)+VLOOKUP(VLOOKUP(AI$1,main!$A$3:$I$56,7,FALSE),main!$K$10:$Q$14,6,FALSE),1,0)</f>
        <v>0</v>
      </c>
      <c r="AJ221">
        <f>IF(VLOOKUP(AJ$1,main!$A$3:$I$56,5,FALSE)-VLOOKUP($A221,main!$A$3:$I$56,6,FALSE)&gt;=VLOOKUP(58,main!$A$57:$I$61,4,FALSE)+VLOOKUP(VLOOKUP(AJ$1,main!$A$3:$I$56,7,FALSE),main!$K$10:$Q$14,6,FALSE),1,0)</f>
        <v>0</v>
      </c>
      <c r="AK221">
        <f>IF(VLOOKUP(AK$1,main!$A$3:$I$56,5,FALSE)-VLOOKUP($A221,main!$A$3:$I$56,6,FALSE)&gt;=VLOOKUP(58,main!$A$57:$I$61,4,FALSE)+VLOOKUP(VLOOKUP(AK$1,main!$A$3:$I$56,7,FALSE),main!$K$10:$Q$14,6,FALSE),1,0)</f>
        <v>0</v>
      </c>
      <c r="AL221">
        <f>IF(VLOOKUP(AL$1,main!$A$3:$I$56,5,FALSE)-VLOOKUP($A221,main!$A$3:$I$56,6,FALSE)&gt;=VLOOKUP(58,main!$A$57:$I$61,4,FALSE)+VLOOKUP(VLOOKUP(AL$1,main!$A$3:$I$56,7,FALSE),main!$K$10:$Q$14,6,FALSE),1,0)</f>
        <v>0</v>
      </c>
      <c r="AM221">
        <f>IF(VLOOKUP(AM$1,main!$A$3:$I$56,5,FALSE)-VLOOKUP($A221,main!$A$3:$I$56,6,FALSE)&gt;=VLOOKUP(58,main!$A$57:$I$61,4,FALSE)+VLOOKUP(VLOOKUP(AM$1,main!$A$3:$I$56,7,FALSE),main!$K$10:$Q$14,6,FALSE),1,0)</f>
        <v>0</v>
      </c>
      <c r="AN221">
        <f>IF(VLOOKUP(AN$1,main!$A$3:$I$56,5,FALSE)-VLOOKUP($A221,main!$A$3:$I$56,6,FALSE)&gt;=VLOOKUP(58,main!$A$57:$I$61,4,FALSE)+VLOOKUP(VLOOKUP(AN$1,main!$A$3:$I$56,7,FALSE),main!$K$10:$Q$14,6,FALSE),1,0)</f>
        <v>0</v>
      </c>
      <c r="AO221">
        <f>IF(VLOOKUP(AO$1,main!$A$3:$I$56,5,FALSE)-VLOOKUP($A221,main!$A$3:$I$56,6,FALSE)&gt;=VLOOKUP(58,main!$A$57:$I$61,4,FALSE)+VLOOKUP(VLOOKUP(AO$1,main!$A$3:$I$56,7,FALSE),main!$K$10:$Q$14,6,FALSE),1,0)</f>
        <v>0</v>
      </c>
      <c r="AP221">
        <f>IF(VLOOKUP(AP$1,main!$A$3:$I$56,5,FALSE)-VLOOKUP($A221,main!$A$3:$I$56,6,FALSE)&gt;=VLOOKUP(58,main!$A$57:$I$61,4,FALSE)+VLOOKUP(VLOOKUP(AP$1,main!$A$3:$I$56,7,FALSE),main!$K$10:$Q$14,6,FALSE),1,0)</f>
        <v>0</v>
      </c>
      <c r="AQ221">
        <f>IF(VLOOKUP(AQ$1,main!$A$3:$I$56,5,FALSE)-VLOOKUP($A221,main!$A$3:$I$56,6,FALSE)&gt;=VLOOKUP(58,main!$A$57:$I$61,4,FALSE)+VLOOKUP(VLOOKUP(AQ$1,main!$A$3:$I$56,7,FALSE),main!$K$10:$Q$14,6,FALSE),1,0)</f>
        <v>0</v>
      </c>
      <c r="AR221">
        <f>IF(VLOOKUP(AR$1,main!$A$3:$I$56,5,FALSE)-VLOOKUP($A221,main!$A$3:$I$56,6,FALSE)&gt;=VLOOKUP(58,main!$A$57:$I$61,4,FALSE)+VLOOKUP(VLOOKUP(AR$1,main!$A$3:$I$56,7,FALSE),main!$K$10:$Q$14,6,FALSE),1,0)</f>
        <v>0</v>
      </c>
      <c r="AS221">
        <f>IF(VLOOKUP(AS$1,main!$A$3:$I$56,5,FALSE)-VLOOKUP($A221,main!$A$3:$I$56,6,FALSE)&gt;=VLOOKUP(58,main!$A$57:$I$61,4,FALSE)+VLOOKUP(VLOOKUP(AS$1,main!$A$3:$I$56,7,FALSE),main!$K$10:$Q$14,6,FALSE),1,0)</f>
        <v>0</v>
      </c>
      <c r="AT221">
        <f>IF(VLOOKUP(AT$1,main!$A$3:$I$56,5,FALSE)-VLOOKUP($A221,main!$A$3:$I$56,6,FALSE)&gt;=VLOOKUP(58,main!$A$57:$I$61,4,FALSE)+VLOOKUP(VLOOKUP(AT$1,main!$A$3:$I$56,7,FALSE),main!$K$10:$Q$14,6,FALSE),1,0)</f>
        <v>0</v>
      </c>
      <c r="AU221">
        <f>IF(VLOOKUP(AU$1,main!$A$3:$I$56,5,FALSE)-VLOOKUP($A221,main!$A$3:$I$56,6,FALSE)&gt;=VLOOKUP(58,main!$A$57:$I$61,4,FALSE)+VLOOKUP(VLOOKUP(AU$1,main!$A$3:$I$56,7,FALSE),main!$K$10:$Q$14,6,FALSE),1,0)</f>
        <v>0</v>
      </c>
      <c r="AV221">
        <f>IF(VLOOKUP(AV$1,main!$A$3:$I$56,5,FALSE)-VLOOKUP($A221,main!$A$3:$I$56,6,FALSE)&gt;=VLOOKUP(58,main!$A$57:$I$61,4,FALSE)+VLOOKUP(VLOOKUP(AV$1,main!$A$3:$I$56,7,FALSE),main!$K$10:$Q$14,6,FALSE),1,0)</f>
        <v>0</v>
      </c>
      <c r="AW221">
        <f>IF(VLOOKUP(AW$1,main!$A$3:$I$56,5,FALSE)-VLOOKUP($A221,main!$A$3:$I$56,6,FALSE)&gt;=VLOOKUP(58,main!$A$57:$I$61,4,FALSE)+VLOOKUP(VLOOKUP(AW$1,main!$A$3:$I$56,7,FALSE),main!$K$10:$Q$14,6,FALSE),1,0)</f>
        <v>0</v>
      </c>
      <c r="AX221">
        <f>IF(VLOOKUP(AX$1,main!$A$3:$I$56,5,FALSE)-VLOOKUP($A221,main!$A$3:$I$56,6,FALSE)&gt;=VLOOKUP(58,main!$A$57:$I$61,4,FALSE)+VLOOKUP(VLOOKUP(AX$1,main!$A$3:$I$56,7,FALSE),main!$K$10:$Q$14,6,FALSE),1,0)</f>
        <v>0</v>
      </c>
      <c r="AY221">
        <f>IF(VLOOKUP(AY$1,main!$A$3:$I$56,5,FALSE)-VLOOKUP($A221,main!$A$3:$I$56,6,FALSE)&gt;=VLOOKUP(58,main!$A$57:$I$61,4,FALSE)+VLOOKUP(VLOOKUP(AY$1,main!$A$3:$I$56,7,FALSE),main!$K$10:$Q$14,6,FALSE),1,0)</f>
        <v>0</v>
      </c>
      <c r="AZ221">
        <f>IF(VLOOKUP(AZ$1,main!$A$3:$I$56,5,FALSE)-VLOOKUP($A221,main!$A$3:$I$56,6,FALSE)&gt;=VLOOKUP(58,main!$A$57:$I$61,4,FALSE)+VLOOKUP(VLOOKUP(AZ$1,main!$A$3:$I$56,7,FALSE),main!$K$10:$Q$14,6,FALSE),1,0)</f>
        <v>0</v>
      </c>
      <c r="BA221">
        <f>IF(VLOOKUP(BA$1,main!$A$3:$I$56,5,FALSE)-VLOOKUP($A221,main!$A$3:$I$56,6,FALSE)&gt;=VLOOKUP(58,main!$A$57:$I$61,4,FALSE)+VLOOKUP(VLOOKUP(BA$1,main!$A$3:$I$56,7,FALSE),main!$K$10:$Q$14,6,FALSE),1,0)</f>
        <v>0</v>
      </c>
      <c r="BB221">
        <f>IF(VLOOKUP(BB$1,main!$A$3:$I$56,5,FALSE)-VLOOKUP($A221,main!$A$3:$I$56,6,FALSE)&gt;=VLOOKUP(58,main!$A$57:$I$61,4,FALSE)+VLOOKUP(VLOOKUP(BB$1,main!$A$3:$I$56,7,FALSE),main!$K$10:$Q$14,6,FALSE),1,0)</f>
        <v>0</v>
      </c>
      <c r="BC221">
        <f>IF(VLOOKUP(BC$1,main!$A$3:$I$56,5,FALSE)-VLOOKUP($A221,main!$A$3:$I$56,6,FALSE)&gt;=VLOOKUP(58,main!$A$57:$I$61,4,FALSE)+VLOOKUP(VLOOKUP(BC$1,main!$A$3:$I$56,7,FALSE),main!$K$10:$Q$14,6,FALSE),1,0)</f>
        <v>0</v>
      </c>
      <c r="BD221">
        <f>IF(VLOOKUP(BD$1,main!$A$3:$I$56,5,FALSE)-VLOOKUP($A221,main!$A$3:$I$56,6,FALSE)&gt;=VLOOKUP(58,main!$A$57:$I$61,4,FALSE)+VLOOKUP(VLOOKUP(BD$1,main!$A$3:$I$56,7,FALSE),main!$K$10:$Q$14,6,FALSE),1,0)</f>
        <v>0</v>
      </c>
    </row>
    <row r="222" spans="1:56" x14ac:dyDescent="0.25">
      <c r="A222">
        <v>0</v>
      </c>
      <c r="B222">
        <v>0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</row>
    <row r="223" spans="1:56" x14ac:dyDescent="0.25">
      <c r="A223">
        <f>A222+1</f>
        <v>1</v>
      </c>
      <c r="B223">
        <v>0</v>
      </c>
      <c r="C223">
        <f>IF(VLOOKUP(C$1,main!$A$3:$I$56,5,FALSE)-VLOOKUP($A223,main!$A$3:$I$56,6,FALSE)&gt;=VLOOKUP(59,main!$A$57:$I$61,4,FALSE)+VLOOKUP(VLOOKUP(C$1,main!$A$3:$I$56,7,FALSE),main!$K$10:$Q$14,7,FALSE),1,0)</f>
        <v>0</v>
      </c>
      <c r="D223">
        <f>IF(VLOOKUP(D$1,main!$A$3:$I$56,5,FALSE)-VLOOKUP($A223,main!$A$3:$I$56,6,FALSE)&gt;=VLOOKUP(59,main!$A$57:$I$61,4,FALSE)+VLOOKUP(VLOOKUP(D$1,main!$A$3:$I$56,7,FALSE),main!$K$10:$Q$14,7,FALSE),1,0)</f>
        <v>0</v>
      </c>
      <c r="E223">
        <f>IF(VLOOKUP(E$1,main!$A$3:$I$56,5,FALSE)-VLOOKUP($A223,main!$A$3:$I$56,6,FALSE)&gt;=VLOOKUP(59,main!$A$57:$I$61,4,FALSE)+VLOOKUP(VLOOKUP(E$1,main!$A$3:$I$56,7,FALSE),main!$K$10:$Q$14,7,FALSE),1,0)</f>
        <v>0</v>
      </c>
      <c r="F223">
        <f>IF(VLOOKUP(F$1,main!$A$3:$I$56,5,FALSE)-VLOOKUP($A223,main!$A$3:$I$56,6,FALSE)&gt;=VLOOKUP(59,main!$A$57:$I$61,4,FALSE)+VLOOKUP(VLOOKUP(F$1,main!$A$3:$I$56,7,FALSE),main!$K$10:$Q$14,7,FALSE),1,0)</f>
        <v>0</v>
      </c>
      <c r="G223">
        <f>IF(VLOOKUP(G$1,main!$A$3:$I$56,5,FALSE)-VLOOKUP($A223,main!$A$3:$I$56,6,FALSE)&gt;=VLOOKUP(59,main!$A$57:$I$61,4,FALSE)+VLOOKUP(VLOOKUP(G$1,main!$A$3:$I$56,7,FALSE),main!$K$10:$Q$14,7,FALSE),1,0)</f>
        <v>1</v>
      </c>
      <c r="H223">
        <f>IF(VLOOKUP(H$1,main!$A$3:$I$56,5,FALSE)-VLOOKUP($A223,main!$A$3:$I$56,6,FALSE)&gt;=VLOOKUP(59,main!$A$57:$I$61,4,FALSE)+VLOOKUP(VLOOKUP(H$1,main!$A$3:$I$56,7,FALSE),main!$K$10:$Q$14,7,FALSE),1,0)</f>
        <v>1</v>
      </c>
      <c r="I223">
        <f>IF(VLOOKUP(I$1,main!$A$3:$I$56,5,FALSE)-VLOOKUP($A223,main!$A$3:$I$56,6,FALSE)&gt;=VLOOKUP(59,main!$A$57:$I$61,4,FALSE)+VLOOKUP(VLOOKUP(I$1,main!$A$3:$I$56,7,FALSE),main!$K$10:$Q$14,7,FALSE),1,0)</f>
        <v>1</v>
      </c>
      <c r="J223">
        <f>IF(VLOOKUP(J$1,main!$A$3:$I$56,5,FALSE)-VLOOKUP($A223,main!$A$3:$I$56,6,FALSE)&gt;=VLOOKUP(59,main!$A$57:$I$61,4,FALSE)+VLOOKUP(VLOOKUP(J$1,main!$A$3:$I$56,7,FALSE),main!$K$10:$Q$14,7,FALSE),1,0)</f>
        <v>1</v>
      </c>
      <c r="K223">
        <f>IF(VLOOKUP(K$1,main!$A$3:$I$56,5,FALSE)-VLOOKUP($A223,main!$A$3:$I$56,6,FALSE)&gt;=VLOOKUP(59,main!$A$57:$I$61,4,FALSE)+VLOOKUP(VLOOKUP(K$1,main!$A$3:$I$56,7,FALSE),main!$K$10:$Q$14,7,FALSE),1,0)</f>
        <v>0</v>
      </c>
      <c r="L223">
        <f>IF(VLOOKUP(L$1,main!$A$3:$I$56,5,FALSE)-VLOOKUP($A223,main!$A$3:$I$56,6,FALSE)&gt;=VLOOKUP(59,main!$A$57:$I$61,4,FALSE)+VLOOKUP(VLOOKUP(L$1,main!$A$3:$I$56,7,FALSE),main!$K$10:$Q$14,7,FALSE),1,0)</f>
        <v>0</v>
      </c>
      <c r="M223">
        <f>IF(VLOOKUP(M$1,main!$A$3:$I$56,5,FALSE)-VLOOKUP($A223,main!$A$3:$I$56,6,FALSE)&gt;=VLOOKUP(59,main!$A$57:$I$61,4,FALSE)+VLOOKUP(VLOOKUP(M$1,main!$A$3:$I$56,7,FALSE),main!$K$10:$Q$14,7,FALSE),1,0)</f>
        <v>0</v>
      </c>
      <c r="N223">
        <f>IF(VLOOKUP(N$1,main!$A$3:$I$56,5,FALSE)-VLOOKUP($A223,main!$A$3:$I$56,6,FALSE)&gt;=VLOOKUP(59,main!$A$57:$I$61,4,FALSE)+VLOOKUP(VLOOKUP(N$1,main!$A$3:$I$56,7,FALSE),main!$K$10:$Q$14,7,FALSE),1,0)</f>
        <v>1</v>
      </c>
      <c r="O223">
        <f>IF(VLOOKUP(O$1,main!$A$3:$I$56,5,FALSE)-VLOOKUP($A223,main!$A$3:$I$56,6,FALSE)&gt;=VLOOKUP(59,main!$A$57:$I$61,4,FALSE)+VLOOKUP(VLOOKUP(O$1,main!$A$3:$I$56,7,FALSE),main!$K$10:$Q$14,7,FALSE),1,0)</f>
        <v>1</v>
      </c>
      <c r="P223">
        <f>IF(VLOOKUP(P$1,main!$A$3:$I$56,5,FALSE)-VLOOKUP($A223,main!$A$3:$I$56,6,FALSE)&gt;=VLOOKUP(59,main!$A$57:$I$61,4,FALSE)+VLOOKUP(VLOOKUP(P$1,main!$A$3:$I$56,7,FALSE),main!$K$10:$Q$14,7,FALSE),1,0)</f>
        <v>0</v>
      </c>
      <c r="Q223">
        <f>IF(VLOOKUP(Q$1,main!$A$3:$I$56,5,FALSE)-VLOOKUP($A223,main!$A$3:$I$56,6,FALSE)&gt;=VLOOKUP(59,main!$A$57:$I$61,4,FALSE)+VLOOKUP(VLOOKUP(Q$1,main!$A$3:$I$56,7,FALSE),main!$K$10:$Q$14,7,FALSE),1,0)</f>
        <v>0</v>
      </c>
      <c r="R223">
        <f>IF(VLOOKUP(R$1,main!$A$3:$I$56,5,FALSE)-VLOOKUP($A223,main!$A$3:$I$56,6,FALSE)&gt;=VLOOKUP(59,main!$A$57:$I$61,4,FALSE)+VLOOKUP(VLOOKUP(R$1,main!$A$3:$I$56,7,FALSE),main!$K$10:$Q$14,7,FALSE),1,0)</f>
        <v>0</v>
      </c>
      <c r="S223">
        <f>IF(VLOOKUP(S$1,main!$A$3:$I$56,5,FALSE)-VLOOKUP($A223,main!$A$3:$I$56,6,FALSE)&gt;=VLOOKUP(59,main!$A$57:$I$61,4,FALSE)+VLOOKUP(VLOOKUP(S$1,main!$A$3:$I$56,7,FALSE),main!$K$10:$Q$14,7,FALSE),1,0)</f>
        <v>1</v>
      </c>
      <c r="T223">
        <f>IF(VLOOKUP(T$1,main!$A$3:$I$56,5,FALSE)-VLOOKUP($A223,main!$A$3:$I$56,6,FALSE)&gt;=VLOOKUP(59,main!$A$57:$I$61,4,FALSE)+VLOOKUP(VLOOKUP(T$1,main!$A$3:$I$56,7,FALSE),main!$K$10:$Q$14,7,FALSE),1,0)</f>
        <v>1</v>
      </c>
      <c r="U223">
        <f>IF(VLOOKUP(U$1,main!$A$3:$I$56,5,FALSE)-VLOOKUP($A223,main!$A$3:$I$56,6,FALSE)&gt;=VLOOKUP(59,main!$A$57:$I$61,4,FALSE)+VLOOKUP(VLOOKUP(U$1,main!$A$3:$I$56,7,FALSE),main!$K$10:$Q$14,7,FALSE),1,0)</f>
        <v>0</v>
      </c>
      <c r="V223">
        <f>IF(VLOOKUP(V$1,main!$A$3:$I$56,5,FALSE)-VLOOKUP($A223,main!$A$3:$I$56,6,FALSE)&gt;=VLOOKUP(59,main!$A$57:$I$61,4,FALSE)+VLOOKUP(VLOOKUP(V$1,main!$A$3:$I$56,7,FALSE),main!$K$10:$Q$14,7,FALSE),1,0)</f>
        <v>0</v>
      </c>
      <c r="W223">
        <f>IF(VLOOKUP(W$1,main!$A$3:$I$56,5,FALSE)-VLOOKUP($A223,main!$A$3:$I$56,6,FALSE)&gt;=VLOOKUP(59,main!$A$57:$I$61,4,FALSE)+VLOOKUP(VLOOKUP(W$1,main!$A$3:$I$56,7,FALSE),main!$K$10:$Q$14,7,FALSE),1,0)</f>
        <v>0</v>
      </c>
      <c r="X223">
        <f>IF(VLOOKUP(X$1,main!$A$3:$I$56,5,FALSE)-VLOOKUP($A223,main!$A$3:$I$56,6,FALSE)&gt;=VLOOKUP(59,main!$A$57:$I$61,4,FALSE)+VLOOKUP(VLOOKUP(X$1,main!$A$3:$I$56,7,FALSE),main!$K$10:$Q$14,7,FALSE),1,0)</f>
        <v>0</v>
      </c>
      <c r="Y223">
        <f>IF(VLOOKUP(Y$1,main!$A$3:$I$56,5,FALSE)-VLOOKUP($A223,main!$A$3:$I$56,6,FALSE)&gt;=VLOOKUP(59,main!$A$57:$I$61,4,FALSE)+VLOOKUP(VLOOKUP(Y$1,main!$A$3:$I$56,7,FALSE),main!$K$10:$Q$14,7,FALSE),1,0)</f>
        <v>0</v>
      </c>
      <c r="Z223">
        <f>IF(VLOOKUP(Z$1,main!$A$3:$I$56,5,FALSE)-VLOOKUP($A223,main!$A$3:$I$56,6,FALSE)&gt;=VLOOKUP(59,main!$A$57:$I$61,4,FALSE)+VLOOKUP(VLOOKUP(Z$1,main!$A$3:$I$56,7,FALSE),main!$K$10:$Q$14,7,FALSE),1,0)</f>
        <v>1</v>
      </c>
      <c r="AA223">
        <f>IF(VLOOKUP(AA$1,main!$A$3:$I$56,5,FALSE)-VLOOKUP($A223,main!$A$3:$I$56,6,FALSE)&gt;=VLOOKUP(59,main!$A$57:$I$61,4,FALSE)+VLOOKUP(VLOOKUP(AA$1,main!$A$3:$I$56,7,FALSE),main!$K$10:$Q$14,7,FALSE),1,0)</f>
        <v>1</v>
      </c>
      <c r="AB223">
        <f>IF(VLOOKUP(AB$1,main!$A$3:$I$56,5,FALSE)-VLOOKUP($A223,main!$A$3:$I$56,6,FALSE)&gt;=VLOOKUP(59,main!$A$57:$I$61,4,FALSE)+VLOOKUP(VLOOKUP(AB$1,main!$A$3:$I$56,7,FALSE),main!$K$10:$Q$14,7,FALSE),1,0)</f>
        <v>1</v>
      </c>
      <c r="AC223">
        <f>IF(VLOOKUP(AC$1,main!$A$3:$I$56,5,FALSE)-VLOOKUP($A223,main!$A$3:$I$56,6,FALSE)&gt;=VLOOKUP(59,main!$A$57:$I$61,4,FALSE)+VLOOKUP(VLOOKUP(AC$1,main!$A$3:$I$56,7,FALSE),main!$K$10:$Q$14,7,FALSE),1,0)</f>
        <v>0</v>
      </c>
      <c r="AD223">
        <f>IF(VLOOKUP(AD$1,main!$A$3:$I$56,5,FALSE)-VLOOKUP($A223,main!$A$3:$I$56,6,FALSE)&gt;=VLOOKUP(59,main!$A$57:$I$61,4,FALSE)+VLOOKUP(VLOOKUP(AD$1,main!$A$3:$I$56,7,FALSE),main!$K$10:$Q$14,7,FALSE),1,0)</f>
        <v>0</v>
      </c>
      <c r="AE223">
        <f>IF(VLOOKUP(AE$1,main!$A$3:$I$56,5,FALSE)-VLOOKUP($A223,main!$A$3:$I$56,6,FALSE)&gt;=VLOOKUP(59,main!$A$57:$I$61,4,FALSE)+VLOOKUP(VLOOKUP(AE$1,main!$A$3:$I$56,7,FALSE),main!$K$10:$Q$14,7,FALSE),1,0)</f>
        <v>0</v>
      </c>
      <c r="AF223">
        <f>IF(VLOOKUP(AF$1,main!$A$3:$I$56,5,FALSE)-VLOOKUP($A223,main!$A$3:$I$56,6,FALSE)&gt;=VLOOKUP(59,main!$A$57:$I$61,4,FALSE)+VLOOKUP(VLOOKUP(AF$1,main!$A$3:$I$56,7,FALSE),main!$K$10:$Q$14,7,FALSE),1,0)</f>
        <v>1</v>
      </c>
      <c r="AG223">
        <f>IF(VLOOKUP(AG$1,main!$A$3:$I$56,5,FALSE)-VLOOKUP($A223,main!$A$3:$I$56,6,FALSE)&gt;=VLOOKUP(59,main!$A$57:$I$61,4,FALSE)+VLOOKUP(VLOOKUP(AG$1,main!$A$3:$I$56,7,FALSE),main!$K$10:$Q$14,7,FALSE),1,0)</f>
        <v>0</v>
      </c>
      <c r="AH223">
        <f>IF(VLOOKUP(AH$1,main!$A$3:$I$56,5,FALSE)-VLOOKUP($A223,main!$A$3:$I$56,6,FALSE)&gt;=VLOOKUP(59,main!$A$57:$I$61,4,FALSE)+VLOOKUP(VLOOKUP(AH$1,main!$A$3:$I$56,7,FALSE),main!$K$10:$Q$14,7,FALSE),1,0)</f>
        <v>0</v>
      </c>
      <c r="AI223">
        <f>IF(VLOOKUP(AI$1,main!$A$3:$I$56,5,FALSE)-VLOOKUP($A223,main!$A$3:$I$56,6,FALSE)&gt;=VLOOKUP(59,main!$A$57:$I$61,4,FALSE)+VLOOKUP(VLOOKUP(AI$1,main!$A$3:$I$56,7,FALSE),main!$K$10:$Q$14,7,FALSE),1,0)</f>
        <v>0</v>
      </c>
      <c r="AJ223">
        <f>IF(VLOOKUP(AJ$1,main!$A$3:$I$56,5,FALSE)-VLOOKUP($A223,main!$A$3:$I$56,6,FALSE)&gt;=VLOOKUP(59,main!$A$57:$I$61,4,FALSE)+VLOOKUP(VLOOKUP(AJ$1,main!$A$3:$I$56,7,FALSE),main!$K$10:$Q$14,7,FALSE),1,0)</f>
        <v>0</v>
      </c>
      <c r="AK223">
        <f>IF(VLOOKUP(AK$1,main!$A$3:$I$56,5,FALSE)-VLOOKUP($A223,main!$A$3:$I$56,6,FALSE)&gt;=VLOOKUP(59,main!$A$57:$I$61,4,FALSE)+VLOOKUP(VLOOKUP(AK$1,main!$A$3:$I$56,7,FALSE),main!$K$10:$Q$14,7,FALSE),1,0)</f>
        <v>1</v>
      </c>
      <c r="AL223">
        <f>IF(VLOOKUP(AL$1,main!$A$3:$I$56,5,FALSE)-VLOOKUP($A223,main!$A$3:$I$56,6,FALSE)&gt;=VLOOKUP(59,main!$A$57:$I$61,4,FALSE)+VLOOKUP(VLOOKUP(AL$1,main!$A$3:$I$56,7,FALSE),main!$K$10:$Q$14,7,FALSE),1,0)</f>
        <v>0</v>
      </c>
      <c r="AM223">
        <f>IF(VLOOKUP(AM$1,main!$A$3:$I$56,5,FALSE)-VLOOKUP($A223,main!$A$3:$I$56,6,FALSE)&gt;=VLOOKUP(59,main!$A$57:$I$61,4,FALSE)+VLOOKUP(VLOOKUP(AM$1,main!$A$3:$I$56,7,FALSE),main!$K$10:$Q$14,7,FALSE),1,0)</f>
        <v>0</v>
      </c>
      <c r="AN223">
        <f>IF(VLOOKUP(AN$1,main!$A$3:$I$56,5,FALSE)-VLOOKUP($A223,main!$A$3:$I$56,6,FALSE)&gt;=VLOOKUP(59,main!$A$57:$I$61,4,FALSE)+VLOOKUP(VLOOKUP(AN$1,main!$A$3:$I$56,7,FALSE),main!$K$10:$Q$14,7,FALSE),1,0)</f>
        <v>0</v>
      </c>
      <c r="AO223">
        <f>IF(VLOOKUP(AO$1,main!$A$3:$I$56,5,FALSE)-VLOOKUP($A223,main!$A$3:$I$56,6,FALSE)&gt;=VLOOKUP(59,main!$A$57:$I$61,4,FALSE)+VLOOKUP(VLOOKUP(AO$1,main!$A$3:$I$56,7,FALSE),main!$K$10:$Q$14,7,FALSE),1,0)</f>
        <v>0</v>
      </c>
      <c r="AP223">
        <f>IF(VLOOKUP(AP$1,main!$A$3:$I$56,5,FALSE)-VLOOKUP($A223,main!$A$3:$I$56,6,FALSE)&gt;=VLOOKUP(59,main!$A$57:$I$61,4,FALSE)+VLOOKUP(VLOOKUP(AP$1,main!$A$3:$I$56,7,FALSE),main!$K$10:$Q$14,7,FALSE),1,0)</f>
        <v>0</v>
      </c>
      <c r="AQ223">
        <f>IF(VLOOKUP(AQ$1,main!$A$3:$I$56,5,FALSE)-VLOOKUP($A223,main!$A$3:$I$56,6,FALSE)&gt;=VLOOKUP(59,main!$A$57:$I$61,4,FALSE)+VLOOKUP(VLOOKUP(AQ$1,main!$A$3:$I$56,7,FALSE),main!$K$10:$Q$14,7,FALSE),1,0)</f>
        <v>0</v>
      </c>
      <c r="AR223">
        <f>IF(VLOOKUP(AR$1,main!$A$3:$I$56,5,FALSE)-VLOOKUP($A223,main!$A$3:$I$56,6,FALSE)&gt;=VLOOKUP(59,main!$A$57:$I$61,4,FALSE)+VLOOKUP(VLOOKUP(AR$1,main!$A$3:$I$56,7,FALSE),main!$K$10:$Q$14,7,FALSE),1,0)</f>
        <v>0</v>
      </c>
      <c r="AS223">
        <f>IF(VLOOKUP(AS$1,main!$A$3:$I$56,5,FALSE)-VLOOKUP($A223,main!$A$3:$I$56,6,FALSE)&gt;=VLOOKUP(59,main!$A$57:$I$61,4,FALSE)+VLOOKUP(VLOOKUP(AS$1,main!$A$3:$I$56,7,FALSE),main!$K$10:$Q$14,7,FALSE),1,0)</f>
        <v>0</v>
      </c>
      <c r="AT223">
        <f>IF(VLOOKUP(AT$1,main!$A$3:$I$56,5,FALSE)-VLOOKUP($A223,main!$A$3:$I$56,6,FALSE)&gt;=VLOOKUP(59,main!$A$57:$I$61,4,FALSE)+VLOOKUP(VLOOKUP(AT$1,main!$A$3:$I$56,7,FALSE),main!$K$10:$Q$14,7,FALSE),1,0)</f>
        <v>0</v>
      </c>
      <c r="AU223">
        <f>IF(VLOOKUP(AU$1,main!$A$3:$I$56,5,FALSE)-VLOOKUP($A223,main!$A$3:$I$56,6,FALSE)&gt;=VLOOKUP(59,main!$A$57:$I$61,4,FALSE)+VLOOKUP(VLOOKUP(AU$1,main!$A$3:$I$56,7,FALSE),main!$K$10:$Q$14,7,FALSE),1,0)</f>
        <v>0</v>
      </c>
      <c r="AV223">
        <f>IF(VLOOKUP(AV$1,main!$A$3:$I$56,5,FALSE)-VLOOKUP($A223,main!$A$3:$I$56,6,FALSE)&gt;=VLOOKUP(59,main!$A$57:$I$61,4,FALSE)+VLOOKUP(VLOOKUP(AV$1,main!$A$3:$I$56,7,FALSE),main!$K$10:$Q$14,7,FALSE),1,0)</f>
        <v>0</v>
      </c>
      <c r="AW223">
        <f>IF(VLOOKUP(AW$1,main!$A$3:$I$56,5,FALSE)-VLOOKUP($A223,main!$A$3:$I$56,6,FALSE)&gt;=VLOOKUP(59,main!$A$57:$I$61,4,FALSE)+VLOOKUP(VLOOKUP(AW$1,main!$A$3:$I$56,7,FALSE),main!$K$10:$Q$14,7,FALSE),1,0)</f>
        <v>1</v>
      </c>
      <c r="AX223">
        <f>IF(VLOOKUP(AX$1,main!$A$3:$I$56,5,FALSE)-VLOOKUP($A223,main!$A$3:$I$56,6,FALSE)&gt;=VLOOKUP(59,main!$A$57:$I$61,4,FALSE)+VLOOKUP(VLOOKUP(AX$1,main!$A$3:$I$56,7,FALSE),main!$K$10:$Q$14,7,FALSE),1,0)</f>
        <v>1</v>
      </c>
      <c r="AY223">
        <f>IF(VLOOKUP(AY$1,main!$A$3:$I$56,5,FALSE)-VLOOKUP($A223,main!$A$3:$I$56,6,FALSE)&gt;=VLOOKUP(59,main!$A$57:$I$61,4,FALSE)+VLOOKUP(VLOOKUP(AY$1,main!$A$3:$I$56,7,FALSE),main!$K$10:$Q$14,7,FALSE),1,0)</f>
        <v>1</v>
      </c>
      <c r="AZ223">
        <f>IF(VLOOKUP(AZ$1,main!$A$3:$I$56,5,FALSE)-VLOOKUP($A223,main!$A$3:$I$56,6,FALSE)&gt;=VLOOKUP(59,main!$A$57:$I$61,4,FALSE)+VLOOKUP(VLOOKUP(AZ$1,main!$A$3:$I$56,7,FALSE),main!$K$10:$Q$14,7,FALSE),1,0)</f>
        <v>0</v>
      </c>
      <c r="BA223">
        <f>IF(VLOOKUP(BA$1,main!$A$3:$I$56,5,FALSE)-VLOOKUP($A223,main!$A$3:$I$56,6,FALSE)&gt;=VLOOKUP(59,main!$A$57:$I$61,4,FALSE)+VLOOKUP(VLOOKUP(BA$1,main!$A$3:$I$56,7,FALSE),main!$K$10:$Q$14,7,FALSE),1,0)</f>
        <v>1</v>
      </c>
      <c r="BB223">
        <f>IF(VLOOKUP(BB$1,main!$A$3:$I$56,5,FALSE)-VLOOKUP($A223,main!$A$3:$I$56,6,FALSE)&gt;=VLOOKUP(59,main!$A$57:$I$61,4,FALSE)+VLOOKUP(VLOOKUP(BB$1,main!$A$3:$I$56,7,FALSE),main!$K$10:$Q$14,7,FALSE),1,0)</f>
        <v>1</v>
      </c>
      <c r="BC223">
        <f>IF(VLOOKUP(BC$1,main!$A$3:$I$56,5,FALSE)-VLOOKUP($A223,main!$A$3:$I$56,6,FALSE)&gt;=VLOOKUP(59,main!$A$57:$I$61,4,FALSE)+VLOOKUP(VLOOKUP(BC$1,main!$A$3:$I$56,7,FALSE),main!$K$10:$Q$14,7,FALSE),1,0)</f>
        <v>1</v>
      </c>
      <c r="BD223">
        <f>IF(VLOOKUP(BD$1,main!$A$3:$I$56,5,FALSE)-VLOOKUP($A223,main!$A$3:$I$56,6,FALSE)&gt;=VLOOKUP(59,main!$A$57:$I$61,4,FALSE)+VLOOKUP(VLOOKUP(BD$1,main!$A$3:$I$56,7,FALSE),main!$K$10:$Q$14,7,FALSE),1,0)</f>
        <v>1</v>
      </c>
    </row>
    <row r="224" spans="1:56" x14ac:dyDescent="0.25">
      <c r="A224">
        <f t="shared" ref="A224:A276" si="4">A223+1</f>
        <v>2</v>
      </c>
      <c r="B224">
        <v>0</v>
      </c>
      <c r="C224">
        <f>IF(VLOOKUP(C$1,main!$A$3:$I$56,5,FALSE)-VLOOKUP($A224,main!$A$3:$I$56,6,FALSE)&gt;=VLOOKUP(59,main!$A$57:$I$61,4,FALSE)+VLOOKUP(VLOOKUP(C$1,main!$A$3:$I$56,7,FALSE),main!$K$10:$Q$14,7,FALSE),1,0)</f>
        <v>0</v>
      </c>
      <c r="D224">
        <f>IF(VLOOKUP(D$1,main!$A$3:$I$56,5,FALSE)-VLOOKUP($A224,main!$A$3:$I$56,6,FALSE)&gt;=VLOOKUP(59,main!$A$57:$I$61,4,FALSE)+VLOOKUP(VLOOKUP(D$1,main!$A$3:$I$56,7,FALSE),main!$K$10:$Q$14,7,FALSE),1,0)</f>
        <v>0</v>
      </c>
      <c r="E224">
        <f>IF(VLOOKUP(E$1,main!$A$3:$I$56,5,FALSE)-VLOOKUP($A224,main!$A$3:$I$56,6,FALSE)&gt;=VLOOKUP(59,main!$A$57:$I$61,4,FALSE)+VLOOKUP(VLOOKUP(E$1,main!$A$3:$I$56,7,FALSE),main!$K$10:$Q$14,7,FALSE),1,0)</f>
        <v>0</v>
      </c>
      <c r="F224">
        <f>IF(VLOOKUP(F$1,main!$A$3:$I$56,5,FALSE)-VLOOKUP($A224,main!$A$3:$I$56,6,FALSE)&gt;=VLOOKUP(59,main!$A$57:$I$61,4,FALSE)+VLOOKUP(VLOOKUP(F$1,main!$A$3:$I$56,7,FALSE),main!$K$10:$Q$14,7,FALSE),1,0)</f>
        <v>0</v>
      </c>
      <c r="G224">
        <f>IF(VLOOKUP(G$1,main!$A$3:$I$56,5,FALSE)-VLOOKUP($A224,main!$A$3:$I$56,6,FALSE)&gt;=VLOOKUP(59,main!$A$57:$I$61,4,FALSE)+VLOOKUP(VLOOKUP(G$1,main!$A$3:$I$56,7,FALSE),main!$K$10:$Q$14,7,FALSE),1,0)</f>
        <v>0</v>
      </c>
      <c r="H224">
        <f>IF(VLOOKUP(H$1,main!$A$3:$I$56,5,FALSE)-VLOOKUP($A224,main!$A$3:$I$56,6,FALSE)&gt;=VLOOKUP(59,main!$A$57:$I$61,4,FALSE)+VLOOKUP(VLOOKUP(H$1,main!$A$3:$I$56,7,FALSE),main!$K$10:$Q$14,7,FALSE),1,0)</f>
        <v>0</v>
      </c>
      <c r="I224">
        <f>IF(VLOOKUP(I$1,main!$A$3:$I$56,5,FALSE)-VLOOKUP($A224,main!$A$3:$I$56,6,FALSE)&gt;=VLOOKUP(59,main!$A$57:$I$61,4,FALSE)+VLOOKUP(VLOOKUP(I$1,main!$A$3:$I$56,7,FALSE),main!$K$10:$Q$14,7,FALSE),1,0)</f>
        <v>0</v>
      </c>
      <c r="J224">
        <f>IF(VLOOKUP(J$1,main!$A$3:$I$56,5,FALSE)-VLOOKUP($A224,main!$A$3:$I$56,6,FALSE)&gt;=VLOOKUP(59,main!$A$57:$I$61,4,FALSE)+VLOOKUP(VLOOKUP(J$1,main!$A$3:$I$56,7,FALSE),main!$K$10:$Q$14,7,FALSE),1,0)</f>
        <v>1</v>
      </c>
      <c r="K224">
        <f>IF(VLOOKUP(K$1,main!$A$3:$I$56,5,FALSE)-VLOOKUP($A224,main!$A$3:$I$56,6,FALSE)&gt;=VLOOKUP(59,main!$A$57:$I$61,4,FALSE)+VLOOKUP(VLOOKUP(K$1,main!$A$3:$I$56,7,FALSE),main!$K$10:$Q$14,7,FALSE),1,0)</f>
        <v>0</v>
      </c>
      <c r="L224">
        <f>IF(VLOOKUP(L$1,main!$A$3:$I$56,5,FALSE)-VLOOKUP($A224,main!$A$3:$I$56,6,FALSE)&gt;=VLOOKUP(59,main!$A$57:$I$61,4,FALSE)+VLOOKUP(VLOOKUP(L$1,main!$A$3:$I$56,7,FALSE),main!$K$10:$Q$14,7,FALSE),1,0)</f>
        <v>0</v>
      </c>
      <c r="M224">
        <f>IF(VLOOKUP(M$1,main!$A$3:$I$56,5,FALSE)-VLOOKUP($A224,main!$A$3:$I$56,6,FALSE)&gt;=VLOOKUP(59,main!$A$57:$I$61,4,FALSE)+VLOOKUP(VLOOKUP(M$1,main!$A$3:$I$56,7,FALSE),main!$K$10:$Q$14,7,FALSE),1,0)</f>
        <v>0</v>
      </c>
      <c r="N224">
        <f>IF(VLOOKUP(N$1,main!$A$3:$I$56,5,FALSE)-VLOOKUP($A224,main!$A$3:$I$56,6,FALSE)&gt;=VLOOKUP(59,main!$A$57:$I$61,4,FALSE)+VLOOKUP(VLOOKUP(N$1,main!$A$3:$I$56,7,FALSE),main!$K$10:$Q$14,7,FALSE),1,0)</f>
        <v>1</v>
      </c>
      <c r="O224">
        <f>IF(VLOOKUP(O$1,main!$A$3:$I$56,5,FALSE)-VLOOKUP($A224,main!$A$3:$I$56,6,FALSE)&gt;=VLOOKUP(59,main!$A$57:$I$61,4,FALSE)+VLOOKUP(VLOOKUP(O$1,main!$A$3:$I$56,7,FALSE),main!$K$10:$Q$14,7,FALSE),1,0)</f>
        <v>1</v>
      </c>
      <c r="P224">
        <f>IF(VLOOKUP(P$1,main!$A$3:$I$56,5,FALSE)-VLOOKUP($A224,main!$A$3:$I$56,6,FALSE)&gt;=VLOOKUP(59,main!$A$57:$I$61,4,FALSE)+VLOOKUP(VLOOKUP(P$1,main!$A$3:$I$56,7,FALSE),main!$K$10:$Q$14,7,FALSE),1,0)</f>
        <v>0</v>
      </c>
      <c r="Q224">
        <f>IF(VLOOKUP(Q$1,main!$A$3:$I$56,5,FALSE)-VLOOKUP($A224,main!$A$3:$I$56,6,FALSE)&gt;=VLOOKUP(59,main!$A$57:$I$61,4,FALSE)+VLOOKUP(VLOOKUP(Q$1,main!$A$3:$I$56,7,FALSE),main!$K$10:$Q$14,7,FALSE),1,0)</f>
        <v>0</v>
      </c>
      <c r="R224">
        <f>IF(VLOOKUP(R$1,main!$A$3:$I$56,5,FALSE)-VLOOKUP($A224,main!$A$3:$I$56,6,FALSE)&gt;=VLOOKUP(59,main!$A$57:$I$61,4,FALSE)+VLOOKUP(VLOOKUP(R$1,main!$A$3:$I$56,7,FALSE),main!$K$10:$Q$14,7,FALSE),1,0)</f>
        <v>0</v>
      </c>
      <c r="S224">
        <f>IF(VLOOKUP(S$1,main!$A$3:$I$56,5,FALSE)-VLOOKUP($A224,main!$A$3:$I$56,6,FALSE)&gt;=VLOOKUP(59,main!$A$57:$I$61,4,FALSE)+VLOOKUP(VLOOKUP(S$1,main!$A$3:$I$56,7,FALSE),main!$K$10:$Q$14,7,FALSE),1,0)</f>
        <v>0</v>
      </c>
      <c r="T224">
        <f>IF(VLOOKUP(T$1,main!$A$3:$I$56,5,FALSE)-VLOOKUP($A224,main!$A$3:$I$56,6,FALSE)&gt;=VLOOKUP(59,main!$A$57:$I$61,4,FALSE)+VLOOKUP(VLOOKUP(T$1,main!$A$3:$I$56,7,FALSE),main!$K$10:$Q$14,7,FALSE),1,0)</f>
        <v>0</v>
      </c>
      <c r="U224">
        <f>IF(VLOOKUP(U$1,main!$A$3:$I$56,5,FALSE)-VLOOKUP($A224,main!$A$3:$I$56,6,FALSE)&gt;=VLOOKUP(59,main!$A$57:$I$61,4,FALSE)+VLOOKUP(VLOOKUP(U$1,main!$A$3:$I$56,7,FALSE),main!$K$10:$Q$14,7,FALSE),1,0)</f>
        <v>0</v>
      </c>
      <c r="V224">
        <f>IF(VLOOKUP(V$1,main!$A$3:$I$56,5,FALSE)-VLOOKUP($A224,main!$A$3:$I$56,6,FALSE)&gt;=VLOOKUP(59,main!$A$57:$I$61,4,FALSE)+VLOOKUP(VLOOKUP(V$1,main!$A$3:$I$56,7,FALSE),main!$K$10:$Q$14,7,FALSE),1,0)</f>
        <v>0</v>
      </c>
      <c r="W224">
        <f>IF(VLOOKUP(W$1,main!$A$3:$I$56,5,FALSE)-VLOOKUP($A224,main!$A$3:$I$56,6,FALSE)&gt;=VLOOKUP(59,main!$A$57:$I$61,4,FALSE)+VLOOKUP(VLOOKUP(W$1,main!$A$3:$I$56,7,FALSE),main!$K$10:$Q$14,7,FALSE),1,0)</f>
        <v>0</v>
      </c>
      <c r="X224">
        <f>IF(VLOOKUP(X$1,main!$A$3:$I$56,5,FALSE)-VLOOKUP($A224,main!$A$3:$I$56,6,FALSE)&gt;=VLOOKUP(59,main!$A$57:$I$61,4,FALSE)+VLOOKUP(VLOOKUP(X$1,main!$A$3:$I$56,7,FALSE),main!$K$10:$Q$14,7,FALSE),1,0)</f>
        <v>0</v>
      </c>
      <c r="Y224">
        <f>IF(VLOOKUP(Y$1,main!$A$3:$I$56,5,FALSE)-VLOOKUP($A224,main!$A$3:$I$56,6,FALSE)&gt;=VLOOKUP(59,main!$A$57:$I$61,4,FALSE)+VLOOKUP(VLOOKUP(Y$1,main!$A$3:$I$56,7,FALSE),main!$K$10:$Q$14,7,FALSE),1,0)</f>
        <v>0</v>
      </c>
      <c r="Z224">
        <f>IF(VLOOKUP(Z$1,main!$A$3:$I$56,5,FALSE)-VLOOKUP($A224,main!$A$3:$I$56,6,FALSE)&gt;=VLOOKUP(59,main!$A$57:$I$61,4,FALSE)+VLOOKUP(VLOOKUP(Z$1,main!$A$3:$I$56,7,FALSE),main!$K$10:$Q$14,7,FALSE),1,0)</f>
        <v>0</v>
      </c>
      <c r="AA224">
        <f>IF(VLOOKUP(AA$1,main!$A$3:$I$56,5,FALSE)-VLOOKUP($A224,main!$A$3:$I$56,6,FALSE)&gt;=VLOOKUP(59,main!$A$57:$I$61,4,FALSE)+VLOOKUP(VLOOKUP(AA$1,main!$A$3:$I$56,7,FALSE),main!$K$10:$Q$14,7,FALSE),1,0)</f>
        <v>0</v>
      </c>
      <c r="AB224">
        <f>IF(VLOOKUP(AB$1,main!$A$3:$I$56,5,FALSE)-VLOOKUP($A224,main!$A$3:$I$56,6,FALSE)&gt;=VLOOKUP(59,main!$A$57:$I$61,4,FALSE)+VLOOKUP(VLOOKUP(AB$1,main!$A$3:$I$56,7,FALSE),main!$K$10:$Q$14,7,FALSE),1,0)</f>
        <v>1</v>
      </c>
      <c r="AC224">
        <f>IF(VLOOKUP(AC$1,main!$A$3:$I$56,5,FALSE)-VLOOKUP($A224,main!$A$3:$I$56,6,FALSE)&gt;=VLOOKUP(59,main!$A$57:$I$61,4,FALSE)+VLOOKUP(VLOOKUP(AC$1,main!$A$3:$I$56,7,FALSE),main!$K$10:$Q$14,7,FALSE),1,0)</f>
        <v>0</v>
      </c>
      <c r="AD224">
        <f>IF(VLOOKUP(AD$1,main!$A$3:$I$56,5,FALSE)-VLOOKUP($A224,main!$A$3:$I$56,6,FALSE)&gt;=VLOOKUP(59,main!$A$57:$I$61,4,FALSE)+VLOOKUP(VLOOKUP(AD$1,main!$A$3:$I$56,7,FALSE),main!$K$10:$Q$14,7,FALSE),1,0)</f>
        <v>0</v>
      </c>
      <c r="AE224">
        <f>IF(VLOOKUP(AE$1,main!$A$3:$I$56,5,FALSE)-VLOOKUP($A224,main!$A$3:$I$56,6,FALSE)&gt;=VLOOKUP(59,main!$A$57:$I$61,4,FALSE)+VLOOKUP(VLOOKUP(AE$1,main!$A$3:$I$56,7,FALSE),main!$K$10:$Q$14,7,FALSE),1,0)</f>
        <v>0</v>
      </c>
      <c r="AF224">
        <f>IF(VLOOKUP(AF$1,main!$A$3:$I$56,5,FALSE)-VLOOKUP($A224,main!$A$3:$I$56,6,FALSE)&gt;=VLOOKUP(59,main!$A$57:$I$61,4,FALSE)+VLOOKUP(VLOOKUP(AF$1,main!$A$3:$I$56,7,FALSE),main!$K$10:$Q$14,7,FALSE),1,0)</f>
        <v>0</v>
      </c>
      <c r="AG224">
        <f>IF(VLOOKUP(AG$1,main!$A$3:$I$56,5,FALSE)-VLOOKUP($A224,main!$A$3:$I$56,6,FALSE)&gt;=VLOOKUP(59,main!$A$57:$I$61,4,FALSE)+VLOOKUP(VLOOKUP(AG$1,main!$A$3:$I$56,7,FALSE),main!$K$10:$Q$14,7,FALSE),1,0)</f>
        <v>0</v>
      </c>
      <c r="AH224">
        <f>IF(VLOOKUP(AH$1,main!$A$3:$I$56,5,FALSE)-VLOOKUP($A224,main!$A$3:$I$56,6,FALSE)&gt;=VLOOKUP(59,main!$A$57:$I$61,4,FALSE)+VLOOKUP(VLOOKUP(AH$1,main!$A$3:$I$56,7,FALSE),main!$K$10:$Q$14,7,FALSE),1,0)</f>
        <v>0</v>
      </c>
      <c r="AI224">
        <f>IF(VLOOKUP(AI$1,main!$A$3:$I$56,5,FALSE)-VLOOKUP($A224,main!$A$3:$I$56,6,FALSE)&gt;=VLOOKUP(59,main!$A$57:$I$61,4,FALSE)+VLOOKUP(VLOOKUP(AI$1,main!$A$3:$I$56,7,FALSE),main!$K$10:$Q$14,7,FALSE),1,0)</f>
        <v>0</v>
      </c>
      <c r="AJ224">
        <f>IF(VLOOKUP(AJ$1,main!$A$3:$I$56,5,FALSE)-VLOOKUP($A224,main!$A$3:$I$56,6,FALSE)&gt;=VLOOKUP(59,main!$A$57:$I$61,4,FALSE)+VLOOKUP(VLOOKUP(AJ$1,main!$A$3:$I$56,7,FALSE),main!$K$10:$Q$14,7,FALSE),1,0)</f>
        <v>0</v>
      </c>
      <c r="AK224">
        <f>IF(VLOOKUP(AK$1,main!$A$3:$I$56,5,FALSE)-VLOOKUP($A224,main!$A$3:$I$56,6,FALSE)&gt;=VLOOKUP(59,main!$A$57:$I$61,4,FALSE)+VLOOKUP(VLOOKUP(AK$1,main!$A$3:$I$56,7,FALSE),main!$K$10:$Q$14,7,FALSE),1,0)</f>
        <v>0</v>
      </c>
      <c r="AL224">
        <f>IF(VLOOKUP(AL$1,main!$A$3:$I$56,5,FALSE)-VLOOKUP($A224,main!$A$3:$I$56,6,FALSE)&gt;=VLOOKUP(59,main!$A$57:$I$61,4,FALSE)+VLOOKUP(VLOOKUP(AL$1,main!$A$3:$I$56,7,FALSE),main!$K$10:$Q$14,7,FALSE),1,0)</f>
        <v>0</v>
      </c>
      <c r="AM224">
        <f>IF(VLOOKUP(AM$1,main!$A$3:$I$56,5,FALSE)-VLOOKUP($A224,main!$A$3:$I$56,6,FALSE)&gt;=VLOOKUP(59,main!$A$57:$I$61,4,FALSE)+VLOOKUP(VLOOKUP(AM$1,main!$A$3:$I$56,7,FALSE),main!$K$10:$Q$14,7,FALSE),1,0)</f>
        <v>0</v>
      </c>
      <c r="AN224">
        <f>IF(VLOOKUP(AN$1,main!$A$3:$I$56,5,FALSE)-VLOOKUP($A224,main!$A$3:$I$56,6,FALSE)&gt;=VLOOKUP(59,main!$A$57:$I$61,4,FALSE)+VLOOKUP(VLOOKUP(AN$1,main!$A$3:$I$56,7,FALSE),main!$K$10:$Q$14,7,FALSE),1,0)</f>
        <v>0</v>
      </c>
      <c r="AO224">
        <f>IF(VLOOKUP(AO$1,main!$A$3:$I$56,5,FALSE)-VLOOKUP($A224,main!$A$3:$I$56,6,FALSE)&gt;=VLOOKUP(59,main!$A$57:$I$61,4,FALSE)+VLOOKUP(VLOOKUP(AO$1,main!$A$3:$I$56,7,FALSE),main!$K$10:$Q$14,7,FALSE),1,0)</f>
        <v>0</v>
      </c>
      <c r="AP224">
        <f>IF(VLOOKUP(AP$1,main!$A$3:$I$56,5,FALSE)-VLOOKUP($A224,main!$A$3:$I$56,6,FALSE)&gt;=VLOOKUP(59,main!$A$57:$I$61,4,FALSE)+VLOOKUP(VLOOKUP(AP$1,main!$A$3:$I$56,7,FALSE),main!$K$10:$Q$14,7,FALSE),1,0)</f>
        <v>0</v>
      </c>
      <c r="AQ224">
        <f>IF(VLOOKUP(AQ$1,main!$A$3:$I$56,5,FALSE)-VLOOKUP($A224,main!$A$3:$I$56,6,FALSE)&gt;=VLOOKUP(59,main!$A$57:$I$61,4,FALSE)+VLOOKUP(VLOOKUP(AQ$1,main!$A$3:$I$56,7,FALSE),main!$K$10:$Q$14,7,FALSE),1,0)</f>
        <v>0</v>
      </c>
      <c r="AR224">
        <f>IF(VLOOKUP(AR$1,main!$A$3:$I$56,5,FALSE)-VLOOKUP($A224,main!$A$3:$I$56,6,FALSE)&gt;=VLOOKUP(59,main!$A$57:$I$61,4,FALSE)+VLOOKUP(VLOOKUP(AR$1,main!$A$3:$I$56,7,FALSE),main!$K$10:$Q$14,7,FALSE),1,0)</f>
        <v>0</v>
      </c>
      <c r="AS224">
        <f>IF(VLOOKUP(AS$1,main!$A$3:$I$56,5,FALSE)-VLOOKUP($A224,main!$A$3:$I$56,6,FALSE)&gt;=VLOOKUP(59,main!$A$57:$I$61,4,FALSE)+VLOOKUP(VLOOKUP(AS$1,main!$A$3:$I$56,7,FALSE),main!$K$10:$Q$14,7,FALSE),1,0)</f>
        <v>0</v>
      </c>
      <c r="AT224">
        <f>IF(VLOOKUP(AT$1,main!$A$3:$I$56,5,FALSE)-VLOOKUP($A224,main!$A$3:$I$56,6,FALSE)&gt;=VLOOKUP(59,main!$A$57:$I$61,4,FALSE)+VLOOKUP(VLOOKUP(AT$1,main!$A$3:$I$56,7,FALSE),main!$K$10:$Q$14,7,FALSE),1,0)</f>
        <v>0</v>
      </c>
      <c r="AU224">
        <f>IF(VLOOKUP(AU$1,main!$A$3:$I$56,5,FALSE)-VLOOKUP($A224,main!$A$3:$I$56,6,FALSE)&gt;=VLOOKUP(59,main!$A$57:$I$61,4,FALSE)+VLOOKUP(VLOOKUP(AU$1,main!$A$3:$I$56,7,FALSE),main!$K$10:$Q$14,7,FALSE),1,0)</f>
        <v>0</v>
      </c>
      <c r="AV224">
        <f>IF(VLOOKUP(AV$1,main!$A$3:$I$56,5,FALSE)-VLOOKUP($A224,main!$A$3:$I$56,6,FALSE)&gt;=VLOOKUP(59,main!$A$57:$I$61,4,FALSE)+VLOOKUP(VLOOKUP(AV$1,main!$A$3:$I$56,7,FALSE),main!$K$10:$Q$14,7,FALSE),1,0)</f>
        <v>0</v>
      </c>
      <c r="AW224">
        <f>IF(VLOOKUP(AW$1,main!$A$3:$I$56,5,FALSE)-VLOOKUP($A224,main!$A$3:$I$56,6,FALSE)&gt;=VLOOKUP(59,main!$A$57:$I$61,4,FALSE)+VLOOKUP(VLOOKUP(AW$1,main!$A$3:$I$56,7,FALSE),main!$K$10:$Q$14,7,FALSE),1,0)</f>
        <v>0</v>
      </c>
      <c r="AX224">
        <f>IF(VLOOKUP(AX$1,main!$A$3:$I$56,5,FALSE)-VLOOKUP($A224,main!$A$3:$I$56,6,FALSE)&gt;=VLOOKUP(59,main!$A$57:$I$61,4,FALSE)+VLOOKUP(VLOOKUP(AX$1,main!$A$3:$I$56,7,FALSE),main!$K$10:$Q$14,7,FALSE),1,0)</f>
        <v>1</v>
      </c>
      <c r="AY224">
        <f>IF(VLOOKUP(AY$1,main!$A$3:$I$56,5,FALSE)-VLOOKUP($A224,main!$A$3:$I$56,6,FALSE)&gt;=VLOOKUP(59,main!$A$57:$I$61,4,FALSE)+VLOOKUP(VLOOKUP(AY$1,main!$A$3:$I$56,7,FALSE),main!$K$10:$Q$14,7,FALSE),1,0)</f>
        <v>1</v>
      </c>
      <c r="AZ224">
        <f>IF(VLOOKUP(AZ$1,main!$A$3:$I$56,5,FALSE)-VLOOKUP($A224,main!$A$3:$I$56,6,FALSE)&gt;=VLOOKUP(59,main!$A$57:$I$61,4,FALSE)+VLOOKUP(VLOOKUP(AZ$1,main!$A$3:$I$56,7,FALSE),main!$K$10:$Q$14,7,FALSE),1,0)</f>
        <v>0</v>
      </c>
      <c r="BA224">
        <f>IF(VLOOKUP(BA$1,main!$A$3:$I$56,5,FALSE)-VLOOKUP($A224,main!$A$3:$I$56,6,FALSE)&gt;=VLOOKUP(59,main!$A$57:$I$61,4,FALSE)+VLOOKUP(VLOOKUP(BA$1,main!$A$3:$I$56,7,FALSE),main!$K$10:$Q$14,7,FALSE),1,0)</f>
        <v>0</v>
      </c>
      <c r="BB224">
        <f>IF(VLOOKUP(BB$1,main!$A$3:$I$56,5,FALSE)-VLOOKUP($A224,main!$A$3:$I$56,6,FALSE)&gt;=VLOOKUP(59,main!$A$57:$I$61,4,FALSE)+VLOOKUP(VLOOKUP(BB$1,main!$A$3:$I$56,7,FALSE),main!$K$10:$Q$14,7,FALSE),1,0)</f>
        <v>0</v>
      </c>
      <c r="BC224">
        <f>IF(VLOOKUP(BC$1,main!$A$3:$I$56,5,FALSE)-VLOOKUP($A224,main!$A$3:$I$56,6,FALSE)&gt;=VLOOKUP(59,main!$A$57:$I$61,4,FALSE)+VLOOKUP(VLOOKUP(BC$1,main!$A$3:$I$56,7,FALSE),main!$K$10:$Q$14,7,FALSE),1,0)</f>
        <v>1</v>
      </c>
      <c r="BD224">
        <f>IF(VLOOKUP(BD$1,main!$A$3:$I$56,5,FALSE)-VLOOKUP($A224,main!$A$3:$I$56,6,FALSE)&gt;=VLOOKUP(59,main!$A$57:$I$61,4,FALSE)+VLOOKUP(VLOOKUP(BD$1,main!$A$3:$I$56,7,FALSE),main!$K$10:$Q$14,7,FALSE),1,0)</f>
        <v>1</v>
      </c>
    </row>
    <row r="225" spans="1:56" x14ac:dyDescent="0.25">
      <c r="A225">
        <f t="shared" si="4"/>
        <v>3</v>
      </c>
      <c r="B225">
        <v>0</v>
      </c>
      <c r="C225">
        <f>IF(VLOOKUP(C$1,main!$A$3:$I$56,5,FALSE)-VLOOKUP($A225,main!$A$3:$I$56,6,FALSE)&gt;=VLOOKUP(59,main!$A$57:$I$61,4,FALSE)+VLOOKUP(VLOOKUP(C$1,main!$A$3:$I$56,7,FALSE),main!$K$10:$Q$14,7,FALSE),1,0)</f>
        <v>0</v>
      </c>
      <c r="D225">
        <f>IF(VLOOKUP(D$1,main!$A$3:$I$56,5,FALSE)-VLOOKUP($A225,main!$A$3:$I$56,6,FALSE)&gt;=VLOOKUP(59,main!$A$57:$I$61,4,FALSE)+VLOOKUP(VLOOKUP(D$1,main!$A$3:$I$56,7,FALSE),main!$K$10:$Q$14,7,FALSE),1,0)</f>
        <v>0</v>
      </c>
      <c r="E225">
        <f>IF(VLOOKUP(E$1,main!$A$3:$I$56,5,FALSE)-VLOOKUP($A225,main!$A$3:$I$56,6,FALSE)&gt;=VLOOKUP(59,main!$A$57:$I$61,4,FALSE)+VLOOKUP(VLOOKUP(E$1,main!$A$3:$I$56,7,FALSE),main!$K$10:$Q$14,7,FALSE),1,0)</f>
        <v>0</v>
      </c>
      <c r="F225">
        <f>IF(VLOOKUP(F$1,main!$A$3:$I$56,5,FALSE)-VLOOKUP($A225,main!$A$3:$I$56,6,FALSE)&gt;=VLOOKUP(59,main!$A$57:$I$61,4,FALSE)+VLOOKUP(VLOOKUP(F$1,main!$A$3:$I$56,7,FALSE),main!$K$10:$Q$14,7,FALSE),1,0)</f>
        <v>0</v>
      </c>
      <c r="G225">
        <f>IF(VLOOKUP(G$1,main!$A$3:$I$56,5,FALSE)-VLOOKUP($A225,main!$A$3:$I$56,6,FALSE)&gt;=VLOOKUP(59,main!$A$57:$I$61,4,FALSE)+VLOOKUP(VLOOKUP(G$1,main!$A$3:$I$56,7,FALSE),main!$K$10:$Q$14,7,FALSE),1,0)</f>
        <v>0</v>
      </c>
      <c r="H225">
        <f>IF(VLOOKUP(H$1,main!$A$3:$I$56,5,FALSE)-VLOOKUP($A225,main!$A$3:$I$56,6,FALSE)&gt;=VLOOKUP(59,main!$A$57:$I$61,4,FALSE)+VLOOKUP(VLOOKUP(H$1,main!$A$3:$I$56,7,FALSE),main!$K$10:$Q$14,7,FALSE),1,0)</f>
        <v>0</v>
      </c>
      <c r="I225">
        <f>IF(VLOOKUP(I$1,main!$A$3:$I$56,5,FALSE)-VLOOKUP($A225,main!$A$3:$I$56,6,FALSE)&gt;=VLOOKUP(59,main!$A$57:$I$61,4,FALSE)+VLOOKUP(VLOOKUP(I$1,main!$A$3:$I$56,7,FALSE),main!$K$10:$Q$14,7,FALSE),1,0)</f>
        <v>0</v>
      </c>
      <c r="J225">
        <f>IF(VLOOKUP(J$1,main!$A$3:$I$56,5,FALSE)-VLOOKUP($A225,main!$A$3:$I$56,6,FALSE)&gt;=VLOOKUP(59,main!$A$57:$I$61,4,FALSE)+VLOOKUP(VLOOKUP(J$1,main!$A$3:$I$56,7,FALSE),main!$K$10:$Q$14,7,FALSE),1,0)</f>
        <v>0</v>
      </c>
      <c r="K225">
        <f>IF(VLOOKUP(K$1,main!$A$3:$I$56,5,FALSE)-VLOOKUP($A225,main!$A$3:$I$56,6,FALSE)&gt;=VLOOKUP(59,main!$A$57:$I$61,4,FALSE)+VLOOKUP(VLOOKUP(K$1,main!$A$3:$I$56,7,FALSE),main!$K$10:$Q$14,7,FALSE),1,0)</f>
        <v>0</v>
      </c>
      <c r="L225">
        <f>IF(VLOOKUP(L$1,main!$A$3:$I$56,5,FALSE)-VLOOKUP($A225,main!$A$3:$I$56,6,FALSE)&gt;=VLOOKUP(59,main!$A$57:$I$61,4,FALSE)+VLOOKUP(VLOOKUP(L$1,main!$A$3:$I$56,7,FALSE),main!$K$10:$Q$14,7,FALSE),1,0)</f>
        <v>0</v>
      </c>
      <c r="M225">
        <f>IF(VLOOKUP(M$1,main!$A$3:$I$56,5,FALSE)-VLOOKUP($A225,main!$A$3:$I$56,6,FALSE)&gt;=VLOOKUP(59,main!$A$57:$I$61,4,FALSE)+VLOOKUP(VLOOKUP(M$1,main!$A$3:$I$56,7,FALSE),main!$K$10:$Q$14,7,FALSE),1,0)</f>
        <v>0</v>
      </c>
      <c r="N225">
        <f>IF(VLOOKUP(N$1,main!$A$3:$I$56,5,FALSE)-VLOOKUP($A225,main!$A$3:$I$56,6,FALSE)&gt;=VLOOKUP(59,main!$A$57:$I$61,4,FALSE)+VLOOKUP(VLOOKUP(N$1,main!$A$3:$I$56,7,FALSE),main!$K$10:$Q$14,7,FALSE),1,0)</f>
        <v>0</v>
      </c>
      <c r="O225">
        <f>IF(VLOOKUP(O$1,main!$A$3:$I$56,5,FALSE)-VLOOKUP($A225,main!$A$3:$I$56,6,FALSE)&gt;=VLOOKUP(59,main!$A$57:$I$61,4,FALSE)+VLOOKUP(VLOOKUP(O$1,main!$A$3:$I$56,7,FALSE),main!$K$10:$Q$14,7,FALSE),1,0)</f>
        <v>0</v>
      </c>
      <c r="P225">
        <f>IF(VLOOKUP(P$1,main!$A$3:$I$56,5,FALSE)-VLOOKUP($A225,main!$A$3:$I$56,6,FALSE)&gt;=VLOOKUP(59,main!$A$57:$I$61,4,FALSE)+VLOOKUP(VLOOKUP(P$1,main!$A$3:$I$56,7,FALSE),main!$K$10:$Q$14,7,FALSE),1,0)</f>
        <v>0</v>
      </c>
      <c r="Q225">
        <f>IF(VLOOKUP(Q$1,main!$A$3:$I$56,5,FALSE)-VLOOKUP($A225,main!$A$3:$I$56,6,FALSE)&gt;=VLOOKUP(59,main!$A$57:$I$61,4,FALSE)+VLOOKUP(VLOOKUP(Q$1,main!$A$3:$I$56,7,FALSE),main!$K$10:$Q$14,7,FALSE),1,0)</f>
        <v>0</v>
      </c>
      <c r="R225">
        <f>IF(VLOOKUP(R$1,main!$A$3:$I$56,5,FALSE)-VLOOKUP($A225,main!$A$3:$I$56,6,FALSE)&gt;=VLOOKUP(59,main!$A$57:$I$61,4,FALSE)+VLOOKUP(VLOOKUP(R$1,main!$A$3:$I$56,7,FALSE),main!$K$10:$Q$14,7,FALSE),1,0)</f>
        <v>0</v>
      </c>
      <c r="S225">
        <f>IF(VLOOKUP(S$1,main!$A$3:$I$56,5,FALSE)-VLOOKUP($A225,main!$A$3:$I$56,6,FALSE)&gt;=VLOOKUP(59,main!$A$57:$I$61,4,FALSE)+VLOOKUP(VLOOKUP(S$1,main!$A$3:$I$56,7,FALSE),main!$K$10:$Q$14,7,FALSE),1,0)</f>
        <v>0</v>
      </c>
      <c r="T225">
        <f>IF(VLOOKUP(T$1,main!$A$3:$I$56,5,FALSE)-VLOOKUP($A225,main!$A$3:$I$56,6,FALSE)&gt;=VLOOKUP(59,main!$A$57:$I$61,4,FALSE)+VLOOKUP(VLOOKUP(T$1,main!$A$3:$I$56,7,FALSE),main!$K$10:$Q$14,7,FALSE),1,0)</f>
        <v>0</v>
      </c>
      <c r="U225">
        <f>IF(VLOOKUP(U$1,main!$A$3:$I$56,5,FALSE)-VLOOKUP($A225,main!$A$3:$I$56,6,FALSE)&gt;=VLOOKUP(59,main!$A$57:$I$61,4,FALSE)+VLOOKUP(VLOOKUP(U$1,main!$A$3:$I$56,7,FALSE),main!$K$10:$Q$14,7,FALSE),1,0)</f>
        <v>0</v>
      </c>
      <c r="V225">
        <f>IF(VLOOKUP(V$1,main!$A$3:$I$56,5,FALSE)-VLOOKUP($A225,main!$A$3:$I$56,6,FALSE)&gt;=VLOOKUP(59,main!$A$57:$I$61,4,FALSE)+VLOOKUP(VLOOKUP(V$1,main!$A$3:$I$56,7,FALSE),main!$K$10:$Q$14,7,FALSE),1,0)</f>
        <v>0</v>
      </c>
      <c r="W225">
        <f>IF(VLOOKUP(W$1,main!$A$3:$I$56,5,FALSE)-VLOOKUP($A225,main!$A$3:$I$56,6,FALSE)&gt;=VLOOKUP(59,main!$A$57:$I$61,4,FALSE)+VLOOKUP(VLOOKUP(W$1,main!$A$3:$I$56,7,FALSE),main!$K$10:$Q$14,7,FALSE),1,0)</f>
        <v>0</v>
      </c>
      <c r="X225">
        <f>IF(VLOOKUP(X$1,main!$A$3:$I$56,5,FALSE)-VLOOKUP($A225,main!$A$3:$I$56,6,FALSE)&gt;=VLOOKUP(59,main!$A$57:$I$61,4,FALSE)+VLOOKUP(VLOOKUP(X$1,main!$A$3:$I$56,7,FALSE),main!$K$10:$Q$14,7,FALSE),1,0)</f>
        <v>0</v>
      </c>
      <c r="Y225">
        <f>IF(VLOOKUP(Y$1,main!$A$3:$I$56,5,FALSE)-VLOOKUP($A225,main!$A$3:$I$56,6,FALSE)&gt;=VLOOKUP(59,main!$A$57:$I$61,4,FALSE)+VLOOKUP(VLOOKUP(Y$1,main!$A$3:$I$56,7,FALSE),main!$K$10:$Q$14,7,FALSE),1,0)</f>
        <v>0</v>
      </c>
      <c r="Z225">
        <f>IF(VLOOKUP(Z$1,main!$A$3:$I$56,5,FALSE)-VLOOKUP($A225,main!$A$3:$I$56,6,FALSE)&gt;=VLOOKUP(59,main!$A$57:$I$61,4,FALSE)+VLOOKUP(VLOOKUP(Z$1,main!$A$3:$I$56,7,FALSE),main!$K$10:$Q$14,7,FALSE),1,0)</f>
        <v>0</v>
      </c>
      <c r="AA225">
        <f>IF(VLOOKUP(AA$1,main!$A$3:$I$56,5,FALSE)-VLOOKUP($A225,main!$A$3:$I$56,6,FALSE)&gt;=VLOOKUP(59,main!$A$57:$I$61,4,FALSE)+VLOOKUP(VLOOKUP(AA$1,main!$A$3:$I$56,7,FALSE),main!$K$10:$Q$14,7,FALSE),1,0)</f>
        <v>0</v>
      </c>
      <c r="AB225">
        <f>IF(VLOOKUP(AB$1,main!$A$3:$I$56,5,FALSE)-VLOOKUP($A225,main!$A$3:$I$56,6,FALSE)&gt;=VLOOKUP(59,main!$A$57:$I$61,4,FALSE)+VLOOKUP(VLOOKUP(AB$1,main!$A$3:$I$56,7,FALSE),main!$K$10:$Q$14,7,FALSE),1,0)</f>
        <v>0</v>
      </c>
      <c r="AC225">
        <f>IF(VLOOKUP(AC$1,main!$A$3:$I$56,5,FALSE)-VLOOKUP($A225,main!$A$3:$I$56,6,FALSE)&gt;=VLOOKUP(59,main!$A$57:$I$61,4,FALSE)+VLOOKUP(VLOOKUP(AC$1,main!$A$3:$I$56,7,FALSE),main!$K$10:$Q$14,7,FALSE),1,0)</f>
        <v>0</v>
      </c>
      <c r="AD225">
        <f>IF(VLOOKUP(AD$1,main!$A$3:$I$56,5,FALSE)-VLOOKUP($A225,main!$A$3:$I$56,6,FALSE)&gt;=VLOOKUP(59,main!$A$57:$I$61,4,FALSE)+VLOOKUP(VLOOKUP(AD$1,main!$A$3:$I$56,7,FALSE),main!$K$10:$Q$14,7,FALSE),1,0)</f>
        <v>0</v>
      </c>
      <c r="AE225">
        <f>IF(VLOOKUP(AE$1,main!$A$3:$I$56,5,FALSE)-VLOOKUP($A225,main!$A$3:$I$56,6,FALSE)&gt;=VLOOKUP(59,main!$A$57:$I$61,4,FALSE)+VLOOKUP(VLOOKUP(AE$1,main!$A$3:$I$56,7,FALSE),main!$K$10:$Q$14,7,FALSE),1,0)</f>
        <v>0</v>
      </c>
      <c r="AF225">
        <f>IF(VLOOKUP(AF$1,main!$A$3:$I$56,5,FALSE)-VLOOKUP($A225,main!$A$3:$I$56,6,FALSE)&gt;=VLOOKUP(59,main!$A$57:$I$61,4,FALSE)+VLOOKUP(VLOOKUP(AF$1,main!$A$3:$I$56,7,FALSE),main!$K$10:$Q$14,7,FALSE),1,0)</f>
        <v>0</v>
      </c>
      <c r="AG225">
        <f>IF(VLOOKUP(AG$1,main!$A$3:$I$56,5,FALSE)-VLOOKUP($A225,main!$A$3:$I$56,6,FALSE)&gt;=VLOOKUP(59,main!$A$57:$I$61,4,FALSE)+VLOOKUP(VLOOKUP(AG$1,main!$A$3:$I$56,7,FALSE),main!$K$10:$Q$14,7,FALSE),1,0)</f>
        <v>0</v>
      </c>
      <c r="AH225">
        <f>IF(VLOOKUP(AH$1,main!$A$3:$I$56,5,FALSE)-VLOOKUP($A225,main!$A$3:$I$56,6,FALSE)&gt;=VLOOKUP(59,main!$A$57:$I$61,4,FALSE)+VLOOKUP(VLOOKUP(AH$1,main!$A$3:$I$56,7,FALSE),main!$K$10:$Q$14,7,FALSE),1,0)</f>
        <v>0</v>
      </c>
      <c r="AI225">
        <f>IF(VLOOKUP(AI$1,main!$A$3:$I$56,5,FALSE)-VLOOKUP($A225,main!$A$3:$I$56,6,FALSE)&gt;=VLOOKUP(59,main!$A$57:$I$61,4,FALSE)+VLOOKUP(VLOOKUP(AI$1,main!$A$3:$I$56,7,FALSE),main!$K$10:$Q$14,7,FALSE),1,0)</f>
        <v>0</v>
      </c>
      <c r="AJ225">
        <f>IF(VLOOKUP(AJ$1,main!$A$3:$I$56,5,FALSE)-VLOOKUP($A225,main!$A$3:$I$56,6,FALSE)&gt;=VLOOKUP(59,main!$A$57:$I$61,4,FALSE)+VLOOKUP(VLOOKUP(AJ$1,main!$A$3:$I$56,7,FALSE),main!$K$10:$Q$14,7,FALSE),1,0)</f>
        <v>0</v>
      </c>
      <c r="AK225">
        <f>IF(VLOOKUP(AK$1,main!$A$3:$I$56,5,FALSE)-VLOOKUP($A225,main!$A$3:$I$56,6,FALSE)&gt;=VLOOKUP(59,main!$A$57:$I$61,4,FALSE)+VLOOKUP(VLOOKUP(AK$1,main!$A$3:$I$56,7,FALSE),main!$K$10:$Q$14,7,FALSE),1,0)</f>
        <v>0</v>
      </c>
      <c r="AL225">
        <f>IF(VLOOKUP(AL$1,main!$A$3:$I$56,5,FALSE)-VLOOKUP($A225,main!$A$3:$I$56,6,FALSE)&gt;=VLOOKUP(59,main!$A$57:$I$61,4,FALSE)+VLOOKUP(VLOOKUP(AL$1,main!$A$3:$I$56,7,FALSE),main!$K$10:$Q$14,7,FALSE),1,0)</f>
        <v>0</v>
      </c>
      <c r="AM225">
        <f>IF(VLOOKUP(AM$1,main!$A$3:$I$56,5,FALSE)-VLOOKUP($A225,main!$A$3:$I$56,6,FALSE)&gt;=VLOOKUP(59,main!$A$57:$I$61,4,FALSE)+VLOOKUP(VLOOKUP(AM$1,main!$A$3:$I$56,7,FALSE),main!$K$10:$Q$14,7,FALSE),1,0)</f>
        <v>0</v>
      </c>
      <c r="AN225">
        <f>IF(VLOOKUP(AN$1,main!$A$3:$I$56,5,FALSE)-VLOOKUP($A225,main!$A$3:$I$56,6,FALSE)&gt;=VLOOKUP(59,main!$A$57:$I$61,4,FALSE)+VLOOKUP(VLOOKUP(AN$1,main!$A$3:$I$56,7,FALSE),main!$K$10:$Q$14,7,FALSE),1,0)</f>
        <v>0</v>
      </c>
      <c r="AO225">
        <f>IF(VLOOKUP(AO$1,main!$A$3:$I$56,5,FALSE)-VLOOKUP($A225,main!$A$3:$I$56,6,FALSE)&gt;=VLOOKUP(59,main!$A$57:$I$61,4,FALSE)+VLOOKUP(VLOOKUP(AO$1,main!$A$3:$I$56,7,FALSE),main!$K$10:$Q$14,7,FALSE),1,0)</f>
        <v>0</v>
      </c>
      <c r="AP225">
        <f>IF(VLOOKUP(AP$1,main!$A$3:$I$56,5,FALSE)-VLOOKUP($A225,main!$A$3:$I$56,6,FALSE)&gt;=VLOOKUP(59,main!$A$57:$I$61,4,FALSE)+VLOOKUP(VLOOKUP(AP$1,main!$A$3:$I$56,7,FALSE),main!$K$10:$Q$14,7,FALSE),1,0)</f>
        <v>0</v>
      </c>
      <c r="AQ225">
        <f>IF(VLOOKUP(AQ$1,main!$A$3:$I$56,5,FALSE)-VLOOKUP($A225,main!$A$3:$I$56,6,FALSE)&gt;=VLOOKUP(59,main!$A$57:$I$61,4,FALSE)+VLOOKUP(VLOOKUP(AQ$1,main!$A$3:$I$56,7,FALSE),main!$K$10:$Q$14,7,FALSE),1,0)</f>
        <v>0</v>
      </c>
      <c r="AR225">
        <f>IF(VLOOKUP(AR$1,main!$A$3:$I$56,5,FALSE)-VLOOKUP($A225,main!$A$3:$I$56,6,FALSE)&gt;=VLOOKUP(59,main!$A$57:$I$61,4,FALSE)+VLOOKUP(VLOOKUP(AR$1,main!$A$3:$I$56,7,FALSE),main!$K$10:$Q$14,7,FALSE),1,0)</f>
        <v>0</v>
      </c>
      <c r="AS225">
        <f>IF(VLOOKUP(AS$1,main!$A$3:$I$56,5,FALSE)-VLOOKUP($A225,main!$A$3:$I$56,6,FALSE)&gt;=VLOOKUP(59,main!$A$57:$I$61,4,FALSE)+VLOOKUP(VLOOKUP(AS$1,main!$A$3:$I$56,7,FALSE),main!$K$10:$Q$14,7,FALSE),1,0)</f>
        <v>0</v>
      </c>
      <c r="AT225">
        <f>IF(VLOOKUP(AT$1,main!$A$3:$I$56,5,FALSE)-VLOOKUP($A225,main!$A$3:$I$56,6,FALSE)&gt;=VLOOKUP(59,main!$A$57:$I$61,4,FALSE)+VLOOKUP(VLOOKUP(AT$1,main!$A$3:$I$56,7,FALSE),main!$K$10:$Q$14,7,FALSE),1,0)</f>
        <v>0</v>
      </c>
      <c r="AU225">
        <f>IF(VLOOKUP(AU$1,main!$A$3:$I$56,5,FALSE)-VLOOKUP($A225,main!$A$3:$I$56,6,FALSE)&gt;=VLOOKUP(59,main!$A$57:$I$61,4,FALSE)+VLOOKUP(VLOOKUP(AU$1,main!$A$3:$I$56,7,FALSE),main!$K$10:$Q$14,7,FALSE),1,0)</f>
        <v>0</v>
      </c>
      <c r="AV225">
        <f>IF(VLOOKUP(AV$1,main!$A$3:$I$56,5,FALSE)-VLOOKUP($A225,main!$A$3:$I$56,6,FALSE)&gt;=VLOOKUP(59,main!$A$57:$I$61,4,FALSE)+VLOOKUP(VLOOKUP(AV$1,main!$A$3:$I$56,7,FALSE),main!$K$10:$Q$14,7,FALSE),1,0)</f>
        <v>0</v>
      </c>
      <c r="AW225">
        <f>IF(VLOOKUP(AW$1,main!$A$3:$I$56,5,FALSE)-VLOOKUP($A225,main!$A$3:$I$56,6,FALSE)&gt;=VLOOKUP(59,main!$A$57:$I$61,4,FALSE)+VLOOKUP(VLOOKUP(AW$1,main!$A$3:$I$56,7,FALSE),main!$K$10:$Q$14,7,FALSE),1,0)</f>
        <v>0</v>
      </c>
      <c r="AX225">
        <f>IF(VLOOKUP(AX$1,main!$A$3:$I$56,5,FALSE)-VLOOKUP($A225,main!$A$3:$I$56,6,FALSE)&gt;=VLOOKUP(59,main!$A$57:$I$61,4,FALSE)+VLOOKUP(VLOOKUP(AX$1,main!$A$3:$I$56,7,FALSE),main!$K$10:$Q$14,7,FALSE),1,0)</f>
        <v>0</v>
      </c>
      <c r="AY225">
        <f>IF(VLOOKUP(AY$1,main!$A$3:$I$56,5,FALSE)-VLOOKUP($A225,main!$A$3:$I$56,6,FALSE)&gt;=VLOOKUP(59,main!$A$57:$I$61,4,FALSE)+VLOOKUP(VLOOKUP(AY$1,main!$A$3:$I$56,7,FALSE),main!$K$10:$Q$14,7,FALSE),1,0)</f>
        <v>1</v>
      </c>
      <c r="AZ225">
        <f>IF(VLOOKUP(AZ$1,main!$A$3:$I$56,5,FALSE)-VLOOKUP($A225,main!$A$3:$I$56,6,FALSE)&gt;=VLOOKUP(59,main!$A$57:$I$61,4,FALSE)+VLOOKUP(VLOOKUP(AZ$1,main!$A$3:$I$56,7,FALSE),main!$K$10:$Q$14,7,FALSE),1,0)</f>
        <v>0</v>
      </c>
      <c r="BA225">
        <f>IF(VLOOKUP(BA$1,main!$A$3:$I$56,5,FALSE)-VLOOKUP($A225,main!$A$3:$I$56,6,FALSE)&gt;=VLOOKUP(59,main!$A$57:$I$61,4,FALSE)+VLOOKUP(VLOOKUP(BA$1,main!$A$3:$I$56,7,FALSE),main!$K$10:$Q$14,7,FALSE),1,0)</f>
        <v>0</v>
      </c>
      <c r="BB225">
        <f>IF(VLOOKUP(BB$1,main!$A$3:$I$56,5,FALSE)-VLOOKUP($A225,main!$A$3:$I$56,6,FALSE)&gt;=VLOOKUP(59,main!$A$57:$I$61,4,FALSE)+VLOOKUP(VLOOKUP(BB$1,main!$A$3:$I$56,7,FALSE),main!$K$10:$Q$14,7,FALSE),1,0)</f>
        <v>0</v>
      </c>
      <c r="BC225">
        <f>IF(VLOOKUP(BC$1,main!$A$3:$I$56,5,FALSE)-VLOOKUP($A225,main!$A$3:$I$56,6,FALSE)&gt;=VLOOKUP(59,main!$A$57:$I$61,4,FALSE)+VLOOKUP(VLOOKUP(BC$1,main!$A$3:$I$56,7,FALSE),main!$K$10:$Q$14,7,FALSE),1,0)</f>
        <v>0</v>
      </c>
      <c r="BD225">
        <f>IF(VLOOKUP(BD$1,main!$A$3:$I$56,5,FALSE)-VLOOKUP($A225,main!$A$3:$I$56,6,FALSE)&gt;=VLOOKUP(59,main!$A$57:$I$61,4,FALSE)+VLOOKUP(VLOOKUP(BD$1,main!$A$3:$I$56,7,FALSE),main!$K$10:$Q$14,7,FALSE),1,0)</f>
        <v>0</v>
      </c>
    </row>
    <row r="226" spans="1:56" x14ac:dyDescent="0.25">
      <c r="A226">
        <f t="shared" si="4"/>
        <v>4</v>
      </c>
      <c r="B226">
        <v>0</v>
      </c>
      <c r="C226">
        <f>IF(VLOOKUP(C$1,main!$A$3:$I$56,5,FALSE)-VLOOKUP($A226,main!$A$3:$I$56,6,FALSE)&gt;=VLOOKUP(59,main!$A$57:$I$61,4,FALSE)+VLOOKUP(VLOOKUP(C$1,main!$A$3:$I$56,7,FALSE),main!$K$10:$Q$14,7,FALSE),1,0)</f>
        <v>0</v>
      </c>
      <c r="D226">
        <f>IF(VLOOKUP(D$1,main!$A$3:$I$56,5,FALSE)-VLOOKUP($A226,main!$A$3:$I$56,6,FALSE)&gt;=VLOOKUP(59,main!$A$57:$I$61,4,FALSE)+VLOOKUP(VLOOKUP(D$1,main!$A$3:$I$56,7,FALSE),main!$K$10:$Q$14,7,FALSE),1,0)</f>
        <v>0</v>
      </c>
      <c r="E226">
        <f>IF(VLOOKUP(E$1,main!$A$3:$I$56,5,FALSE)-VLOOKUP($A226,main!$A$3:$I$56,6,FALSE)&gt;=VLOOKUP(59,main!$A$57:$I$61,4,FALSE)+VLOOKUP(VLOOKUP(E$1,main!$A$3:$I$56,7,FALSE),main!$K$10:$Q$14,7,FALSE),1,0)</f>
        <v>0</v>
      </c>
      <c r="F226">
        <f>IF(VLOOKUP(F$1,main!$A$3:$I$56,5,FALSE)-VLOOKUP($A226,main!$A$3:$I$56,6,FALSE)&gt;=VLOOKUP(59,main!$A$57:$I$61,4,FALSE)+VLOOKUP(VLOOKUP(F$1,main!$A$3:$I$56,7,FALSE),main!$K$10:$Q$14,7,FALSE),1,0)</f>
        <v>0</v>
      </c>
      <c r="G226">
        <f>IF(VLOOKUP(G$1,main!$A$3:$I$56,5,FALSE)-VLOOKUP($A226,main!$A$3:$I$56,6,FALSE)&gt;=VLOOKUP(59,main!$A$57:$I$61,4,FALSE)+VLOOKUP(VLOOKUP(G$1,main!$A$3:$I$56,7,FALSE),main!$K$10:$Q$14,7,FALSE),1,0)</f>
        <v>0</v>
      </c>
      <c r="H226">
        <f>IF(VLOOKUP(H$1,main!$A$3:$I$56,5,FALSE)-VLOOKUP($A226,main!$A$3:$I$56,6,FALSE)&gt;=VLOOKUP(59,main!$A$57:$I$61,4,FALSE)+VLOOKUP(VLOOKUP(H$1,main!$A$3:$I$56,7,FALSE),main!$K$10:$Q$14,7,FALSE),1,0)</f>
        <v>0</v>
      </c>
      <c r="I226">
        <f>IF(VLOOKUP(I$1,main!$A$3:$I$56,5,FALSE)-VLOOKUP($A226,main!$A$3:$I$56,6,FALSE)&gt;=VLOOKUP(59,main!$A$57:$I$61,4,FALSE)+VLOOKUP(VLOOKUP(I$1,main!$A$3:$I$56,7,FALSE),main!$K$10:$Q$14,7,FALSE),1,0)</f>
        <v>0</v>
      </c>
      <c r="J226">
        <f>IF(VLOOKUP(J$1,main!$A$3:$I$56,5,FALSE)-VLOOKUP($A226,main!$A$3:$I$56,6,FALSE)&gt;=VLOOKUP(59,main!$A$57:$I$61,4,FALSE)+VLOOKUP(VLOOKUP(J$1,main!$A$3:$I$56,7,FALSE),main!$K$10:$Q$14,7,FALSE),1,0)</f>
        <v>0</v>
      </c>
      <c r="K226">
        <f>IF(VLOOKUP(K$1,main!$A$3:$I$56,5,FALSE)-VLOOKUP($A226,main!$A$3:$I$56,6,FALSE)&gt;=VLOOKUP(59,main!$A$57:$I$61,4,FALSE)+VLOOKUP(VLOOKUP(K$1,main!$A$3:$I$56,7,FALSE),main!$K$10:$Q$14,7,FALSE),1,0)</f>
        <v>0</v>
      </c>
      <c r="L226">
        <f>IF(VLOOKUP(L$1,main!$A$3:$I$56,5,FALSE)-VLOOKUP($A226,main!$A$3:$I$56,6,FALSE)&gt;=VLOOKUP(59,main!$A$57:$I$61,4,FALSE)+VLOOKUP(VLOOKUP(L$1,main!$A$3:$I$56,7,FALSE),main!$K$10:$Q$14,7,FALSE),1,0)</f>
        <v>0</v>
      </c>
      <c r="M226">
        <f>IF(VLOOKUP(M$1,main!$A$3:$I$56,5,FALSE)-VLOOKUP($A226,main!$A$3:$I$56,6,FALSE)&gt;=VLOOKUP(59,main!$A$57:$I$61,4,FALSE)+VLOOKUP(VLOOKUP(M$1,main!$A$3:$I$56,7,FALSE),main!$K$10:$Q$14,7,FALSE),1,0)</f>
        <v>0</v>
      </c>
      <c r="N226">
        <f>IF(VLOOKUP(N$1,main!$A$3:$I$56,5,FALSE)-VLOOKUP($A226,main!$A$3:$I$56,6,FALSE)&gt;=VLOOKUP(59,main!$A$57:$I$61,4,FALSE)+VLOOKUP(VLOOKUP(N$1,main!$A$3:$I$56,7,FALSE),main!$K$10:$Q$14,7,FALSE),1,0)</f>
        <v>0</v>
      </c>
      <c r="O226">
        <f>IF(VLOOKUP(O$1,main!$A$3:$I$56,5,FALSE)-VLOOKUP($A226,main!$A$3:$I$56,6,FALSE)&gt;=VLOOKUP(59,main!$A$57:$I$61,4,FALSE)+VLOOKUP(VLOOKUP(O$1,main!$A$3:$I$56,7,FALSE),main!$K$10:$Q$14,7,FALSE),1,0)</f>
        <v>0</v>
      </c>
      <c r="P226">
        <f>IF(VLOOKUP(P$1,main!$A$3:$I$56,5,FALSE)-VLOOKUP($A226,main!$A$3:$I$56,6,FALSE)&gt;=VLOOKUP(59,main!$A$57:$I$61,4,FALSE)+VLOOKUP(VLOOKUP(P$1,main!$A$3:$I$56,7,FALSE),main!$K$10:$Q$14,7,FALSE),1,0)</f>
        <v>0</v>
      </c>
      <c r="Q226">
        <f>IF(VLOOKUP(Q$1,main!$A$3:$I$56,5,FALSE)-VLOOKUP($A226,main!$A$3:$I$56,6,FALSE)&gt;=VLOOKUP(59,main!$A$57:$I$61,4,FALSE)+VLOOKUP(VLOOKUP(Q$1,main!$A$3:$I$56,7,FALSE),main!$K$10:$Q$14,7,FALSE),1,0)</f>
        <v>0</v>
      </c>
      <c r="R226">
        <f>IF(VLOOKUP(R$1,main!$A$3:$I$56,5,FALSE)-VLOOKUP($A226,main!$A$3:$I$56,6,FALSE)&gt;=VLOOKUP(59,main!$A$57:$I$61,4,FALSE)+VLOOKUP(VLOOKUP(R$1,main!$A$3:$I$56,7,FALSE),main!$K$10:$Q$14,7,FALSE),1,0)</f>
        <v>0</v>
      </c>
      <c r="S226">
        <f>IF(VLOOKUP(S$1,main!$A$3:$I$56,5,FALSE)-VLOOKUP($A226,main!$A$3:$I$56,6,FALSE)&gt;=VLOOKUP(59,main!$A$57:$I$61,4,FALSE)+VLOOKUP(VLOOKUP(S$1,main!$A$3:$I$56,7,FALSE),main!$K$10:$Q$14,7,FALSE),1,0)</f>
        <v>0</v>
      </c>
      <c r="T226">
        <f>IF(VLOOKUP(T$1,main!$A$3:$I$56,5,FALSE)-VLOOKUP($A226,main!$A$3:$I$56,6,FALSE)&gt;=VLOOKUP(59,main!$A$57:$I$61,4,FALSE)+VLOOKUP(VLOOKUP(T$1,main!$A$3:$I$56,7,FALSE),main!$K$10:$Q$14,7,FALSE),1,0)</f>
        <v>0</v>
      </c>
      <c r="U226">
        <f>IF(VLOOKUP(U$1,main!$A$3:$I$56,5,FALSE)-VLOOKUP($A226,main!$A$3:$I$56,6,FALSE)&gt;=VLOOKUP(59,main!$A$57:$I$61,4,FALSE)+VLOOKUP(VLOOKUP(U$1,main!$A$3:$I$56,7,FALSE),main!$K$10:$Q$14,7,FALSE),1,0)</f>
        <v>0</v>
      </c>
      <c r="V226">
        <f>IF(VLOOKUP(V$1,main!$A$3:$I$56,5,FALSE)-VLOOKUP($A226,main!$A$3:$I$56,6,FALSE)&gt;=VLOOKUP(59,main!$A$57:$I$61,4,FALSE)+VLOOKUP(VLOOKUP(V$1,main!$A$3:$I$56,7,FALSE),main!$K$10:$Q$14,7,FALSE),1,0)</f>
        <v>0</v>
      </c>
      <c r="W226">
        <f>IF(VLOOKUP(W$1,main!$A$3:$I$56,5,FALSE)-VLOOKUP($A226,main!$A$3:$I$56,6,FALSE)&gt;=VLOOKUP(59,main!$A$57:$I$61,4,FALSE)+VLOOKUP(VLOOKUP(W$1,main!$A$3:$I$56,7,FALSE),main!$K$10:$Q$14,7,FALSE),1,0)</f>
        <v>0</v>
      </c>
      <c r="X226">
        <f>IF(VLOOKUP(X$1,main!$A$3:$I$56,5,FALSE)-VLOOKUP($A226,main!$A$3:$I$56,6,FALSE)&gt;=VLOOKUP(59,main!$A$57:$I$61,4,FALSE)+VLOOKUP(VLOOKUP(X$1,main!$A$3:$I$56,7,FALSE),main!$K$10:$Q$14,7,FALSE),1,0)</f>
        <v>0</v>
      </c>
      <c r="Y226">
        <f>IF(VLOOKUP(Y$1,main!$A$3:$I$56,5,FALSE)-VLOOKUP($A226,main!$A$3:$I$56,6,FALSE)&gt;=VLOOKUP(59,main!$A$57:$I$61,4,FALSE)+VLOOKUP(VLOOKUP(Y$1,main!$A$3:$I$56,7,FALSE),main!$K$10:$Q$14,7,FALSE),1,0)</f>
        <v>0</v>
      </c>
      <c r="Z226">
        <f>IF(VLOOKUP(Z$1,main!$A$3:$I$56,5,FALSE)-VLOOKUP($A226,main!$A$3:$I$56,6,FALSE)&gt;=VLOOKUP(59,main!$A$57:$I$61,4,FALSE)+VLOOKUP(VLOOKUP(Z$1,main!$A$3:$I$56,7,FALSE),main!$K$10:$Q$14,7,FALSE),1,0)</f>
        <v>0</v>
      </c>
      <c r="AA226">
        <f>IF(VLOOKUP(AA$1,main!$A$3:$I$56,5,FALSE)-VLOOKUP($A226,main!$A$3:$I$56,6,FALSE)&gt;=VLOOKUP(59,main!$A$57:$I$61,4,FALSE)+VLOOKUP(VLOOKUP(AA$1,main!$A$3:$I$56,7,FALSE),main!$K$10:$Q$14,7,FALSE),1,0)</f>
        <v>0</v>
      </c>
      <c r="AB226">
        <f>IF(VLOOKUP(AB$1,main!$A$3:$I$56,5,FALSE)-VLOOKUP($A226,main!$A$3:$I$56,6,FALSE)&gt;=VLOOKUP(59,main!$A$57:$I$61,4,FALSE)+VLOOKUP(VLOOKUP(AB$1,main!$A$3:$I$56,7,FALSE),main!$K$10:$Q$14,7,FALSE),1,0)</f>
        <v>0</v>
      </c>
      <c r="AC226">
        <f>IF(VLOOKUP(AC$1,main!$A$3:$I$56,5,FALSE)-VLOOKUP($A226,main!$A$3:$I$56,6,FALSE)&gt;=VLOOKUP(59,main!$A$57:$I$61,4,FALSE)+VLOOKUP(VLOOKUP(AC$1,main!$A$3:$I$56,7,FALSE),main!$K$10:$Q$14,7,FALSE),1,0)</f>
        <v>0</v>
      </c>
      <c r="AD226">
        <f>IF(VLOOKUP(AD$1,main!$A$3:$I$56,5,FALSE)-VLOOKUP($A226,main!$A$3:$I$56,6,FALSE)&gt;=VLOOKUP(59,main!$A$57:$I$61,4,FALSE)+VLOOKUP(VLOOKUP(AD$1,main!$A$3:$I$56,7,FALSE),main!$K$10:$Q$14,7,FALSE),1,0)</f>
        <v>0</v>
      </c>
      <c r="AE226">
        <f>IF(VLOOKUP(AE$1,main!$A$3:$I$56,5,FALSE)-VLOOKUP($A226,main!$A$3:$I$56,6,FALSE)&gt;=VLOOKUP(59,main!$A$57:$I$61,4,FALSE)+VLOOKUP(VLOOKUP(AE$1,main!$A$3:$I$56,7,FALSE),main!$K$10:$Q$14,7,FALSE),1,0)</f>
        <v>0</v>
      </c>
      <c r="AF226">
        <f>IF(VLOOKUP(AF$1,main!$A$3:$I$56,5,FALSE)-VLOOKUP($A226,main!$A$3:$I$56,6,FALSE)&gt;=VLOOKUP(59,main!$A$57:$I$61,4,FALSE)+VLOOKUP(VLOOKUP(AF$1,main!$A$3:$I$56,7,FALSE),main!$K$10:$Q$14,7,FALSE),1,0)</f>
        <v>0</v>
      </c>
      <c r="AG226">
        <f>IF(VLOOKUP(AG$1,main!$A$3:$I$56,5,FALSE)-VLOOKUP($A226,main!$A$3:$I$56,6,FALSE)&gt;=VLOOKUP(59,main!$A$57:$I$61,4,FALSE)+VLOOKUP(VLOOKUP(AG$1,main!$A$3:$I$56,7,FALSE),main!$K$10:$Q$14,7,FALSE),1,0)</f>
        <v>0</v>
      </c>
      <c r="AH226">
        <f>IF(VLOOKUP(AH$1,main!$A$3:$I$56,5,FALSE)-VLOOKUP($A226,main!$A$3:$I$56,6,FALSE)&gt;=VLOOKUP(59,main!$A$57:$I$61,4,FALSE)+VLOOKUP(VLOOKUP(AH$1,main!$A$3:$I$56,7,FALSE),main!$K$10:$Q$14,7,FALSE),1,0)</f>
        <v>0</v>
      </c>
      <c r="AI226">
        <f>IF(VLOOKUP(AI$1,main!$A$3:$I$56,5,FALSE)-VLOOKUP($A226,main!$A$3:$I$56,6,FALSE)&gt;=VLOOKUP(59,main!$A$57:$I$61,4,FALSE)+VLOOKUP(VLOOKUP(AI$1,main!$A$3:$I$56,7,FALSE),main!$K$10:$Q$14,7,FALSE),1,0)</f>
        <v>0</v>
      </c>
      <c r="AJ226">
        <f>IF(VLOOKUP(AJ$1,main!$A$3:$I$56,5,FALSE)-VLOOKUP($A226,main!$A$3:$I$56,6,FALSE)&gt;=VLOOKUP(59,main!$A$57:$I$61,4,FALSE)+VLOOKUP(VLOOKUP(AJ$1,main!$A$3:$I$56,7,FALSE),main!$K$10:$Q$14,7,FALSE),1,0)</f>
        <v>0</v>
      </c>
      <c r="AK226">
        <f>IF(VLOOKUP(AK$1,main!$A$3:$I$56,5,FALSE)-VLOOKUP($A226,main!$A$3:$I$56,6,FALSE)&gt;=VLOOKUP(59,main!$A$57:$I$61,4,FALSE)+VLOOKUP(VLOOKUP(AK$1,main!$A$3:$I$56,7,FALSE),main!$K$10:$Q$14,7,FALSE),1,0)</f>
        <v>0</v>
      </c>
      <c r="AL226">
        <f>IF(VLOOKUP(AL$1,main!$A$3:$I$56,5,FALSE)-VLOOKUP($A226,main!$A$3:$I$56,6,FALSE)&gt;=VLOOKUP(59,main!$A$57:$I$61,4,FALSE)+VLOOKUP(VLOOKUP(AL$1,main!$A$3:$I$56,7,FALSE),main!$K$10:$Q$14,7,FALSE),1,0)</f>
        <v>0</v>
      </c>
      <c r="AM226">
        <f>IF(VLOOKUP(AM$1,main!$A$3:$I$56,5,FALSE)-VLOOKUP($A226,main!$A$3:$I$56,6,FALSE)&gt;=VLOOKUP(59,main!$A$57:$I$61,4,FALSE)+VLOOKUP(VLOOKUP(AM$1,main!$A$3:$I$56,7,FALSE),main!$K$10:$Q$14,7,FALSE),1,0)</f>
        <v>0</v>
      </c>
      <c r="AN226">
        <f>IF(VLOOKUP(AN$1,main!$A$3:$I$56,5,FALSE)-VLOOKUP($A226,main!$A$3:$I$56,6,FALSE)&gt;=VLOOKUP(59,main!$A$57:$I$61,4,FALSE)+VLOOKUP(VLOOKUP(AN$1,main!$A$3:$I$56,7,FALSE),main!$K$10:$Q$14,7,FALSE),1,0)</f>
        <v>0</v>
      </c>
      <c r="AO226">
        <f>IF(VLOOKUP(AO$1,main!$A$3:$I$56,5,FALSE)-VLOOKUP($A226,main!$A$3:$I$56,6,FALSE)&gt;=VLOOKUP(59,main!$A$57:$I$61,4,FALSE)+VLOOKUP(VLOOKUP(AO$1,main!$A$3:$I$56,7,FALSE),main!$K$10:$Q$14,7,FALSE),1,0)</f>
        <v>0</v>
      </c>
      <c r="AP226">
        <f>IF(VLOOKUP(AP$1,main!$A$3:$I$56,5,FALSE)-VLOOKUP($A226,main!$A$3:$I$56,6,FALSE)&gt;=VLOOKUP(59,main!$A$57:$I$61,4,FALSE)+VLOOKUP(VLOOKUP(AP$1,main!$A$3:$I$56,7,FALSE),main!$K$10:$Q$14,7,FALSE),1,0)</f>
        <v>0</v>
      </c>
      <c r="AQ226">
        <f>IF(VLOOKUP(AQ$1,main!$A$3:$I$56,5,FALSE)-VLOOKUP($A226,main!$A$3:$I$56,6,FALSE)&gt;=VLOOKUP(59,main!$A$57:$I$61,4,FALSE)+VLOOKUP(VLOOKUP(AQ$1,main!$A$3:$I$56,7,FALSE),main!$K$10:$Q$14,7,FALSE),1,0)</f>
        <v>0</v>
      </c>
      <c r="AR226">
        <f>IF(VLOOKUP(AR$1,main!$A$3:$I$56,5,FALSE)-VLOOKUP($A226,main!$A$3:$I$56,6,FALSE)&gt;=VLOOKUP(59,main!$A$57:$I$61,4,FALSE)+VLOOKUP(VLOOKUP(AR$1,main!$A$3:$I$56,7,FALSE),main!$K$10:$Q$14,7,FALSE),1,0)</f>
        <v>0</v>
      </c>
      <c r="AS226">
        <f>IF(VLOOKUP(AS$1,main!$A$3:$I$56,5,FALSE)-VLOOKUP($A226,main!$A$3:$I$56,6,FALSE)&gt;=VLOOKUP(59,main!$A$57:$I$61,4,FALSE)+VLOOKUP(VLOOKUP(AS$1,main!$A$3:$I$56,7,FALSE),main!$K$10:$Q$14,7,FALSE),1,0)</f>
        <v>0</v>
      </c>
      <c r="AT226">
        <f>IF(VLOOKUP(AT$1,main!$A$3:$I$56,5,FALSE)-VLOOKUP($A226,main!$A$3:$I$56,6,FALSE)&gt;=VLOOKUP(59,main!$A$57:$I$61,4,FALSE)+VLOOKUP(VLOOKUP(AT$1,main!$A$3:$I$56,7,FALSE),main!$K$10:$Q$14,7,FALSE),1,0)</f>
        <v>0</v>
      </c>
      <c r="AU226">
        <f>IF(VLOOKUP(AU$1,main!$A$3:$I$56,5,FALSE)-VLOOKUP($A226,main!$A$3:$I$56,6,FALSE)&gt;=VLOOKUP(59,main!$A$57:$I$61,4,FALSE)+VLOOKUP(VLOOKUP(AU$1,main!$A$3:$I$56,7,FALSE),main!$K$10:$Q$14,7,FALSE),1,0)</f>
        <v>0</v>
      </c>
      <c r="AV226">
        <f>IF(VLOOKUP(AV$1,main!$A$3:$I$56,5,FALSE)-VLOOKUP($A226,main!$A$3:$I$56,6,FALSE)&gt;=VLOOKUP(59,main!$A$57:$I$61,4,FALSE)+VLOOKUP(VLOOKUP(AV$1,main!$A$3:$I$56,7,FALSE),main!$K$10:$Q$14,7,FALSE),1,0)</f>
        <v>0</v>
      </c>
      <c r="AW226">
        <f>IF(VLOOKUP(AW$1,main!$A$3:$I$56,5,FALSE)-VLOOKUP($A226,main!$A$3:$I$56,6,FALSE)&gt;=VLOOKUP(59,main!$A$57:$I$61,4,FALSE)+VLOOKUP(VLOOKUP(AW$1,main!$A$3:$I$56,7,FALSE),main!$K$10:$Q$14,7,FALSE),1,0)</f>
        <v>0</v>
      </c>
      <c r="AX226">
        <f>IF(VLOOKUP(AX$1,main!$A$3:$I$56,5,FALSE)-VLOOKUP($A226,main!$A$3:$I$56,6,FALSE)&gt;=VLOOKUP(59,main!$A$57:$I$61,4,FALSE)+VLOOKUP(VLOOKUP(AX$1,main!$A$3:$I$56,7,FALSE),main!$K$10:$Q$14,7,FALSE),1,0)</f>
        <v>0</v>
      </c>
      <c r="AY226">
        <f>IF(VLOOKUP(AY$1,main!$A$3:$I$56,5,FALSE)-VLOOKUP($A226,main!$A$3:$I$56,6,FALSE)&gt;=VLOOKUP(59,main!$A$57:$I$61,4,FALSE)+VLOOKUP(VLOOKUP(AY$1,main!$A$3:$I$56,7,FALSE),main!$K$10:$Q$14,7,FALSE),1,0)</f>
        <v>1</v>
      </c>
      <c r="AZ226">
        <f>IF(VLOOKUP(AZ$1,main!$A$3:$I$56,5,FALSE)-VLOOKUP($A226,main!$A$3:$I$56,6,FALSE)&gt;=VLOOKUP(59,main!$A$57:$I$61,4,FALSE)+VLOOKUP(VLOOKUP(AZ$1,main!$A$3:$I$56,7,FALSE),main!$K$10:$Q$14,7,FALSE),1,0)</f>
        <v>0</v>
      </c>
      <c r="BA226">
        <f>IF(VLOOKUP(BA$1,main!$A$3:$I$56,5,FALSE)-VLOOKUP($A226,main!$A$3:$I$56,6,FALSE)&gt;=VLOOKUP(59,main!$A$57:$I$61,4,FALSE)+VLOOKUP(VLOOKUP(BA$1,main!$A$3:$I$56,7,FALSE),main!$K$10:$Q$14,7,FALSE),1,0)</f>
        <v>0</v>
      </c>
      <c r="BB226">
        <f>IF(VLOOKUP(BB$1,main!$A$3:$I$56,5,FALSE)-VLOOKUP($A226,main!$A$3:$I$56,6,FALSE)&gt;=VLOOKUP(59,main!$A$57:$I$61,4,FALSE)+VLOOKUP(VLOOKUP(BB$1,main!$A$3:$I$56,7,FALSE),main!$K$10:$Q$14,7,FALSE),1,0)</f>
        <v>0</v>
      </c>
      <c r="BC226">
        <f>IF(VLOOKUP(BC$1,main!$A$3:$I$56,5,FALSE)-VLOOKUP($A226,main!$A$3:$I$56,6,FALSE)&gt;=VLOOKUP(59,main!$A$57:$I$61,4,FALSE)+VLOOKUP(VLOOKUP(BC$1,main!$A$3:$I$56,7,FALSE),main!$K$10:$Q$14,7,FALSE),1,0)</f>
        <v>0</v>
      </c>
      <c r="BD226">
        <f>IF(VLOOKUP(BD$1,main!$A$3:$I$56,5,FALSE)-VLOOKUP($A226,main!$A$3:$I$56,6,FALSE)&gt;=VLOOKUP(59,main!$A$57:$I$61,4,FALSE)+VLOOKUP(VLOOKUP(BD$1,main!$A$3:$I$56,7,FALSE),main!$K$10:$Q$14,7,FALSE),1,0)</f>
        <v>0</v>
      </c>
    </row>
    <row r="227" spans="1:56" x14ac:dyDescent="0.25">
      <c r="A227">
        <f t="shared" si="4"/>
        <v>5</v>
      </c>
      <c r="B227">
        <v>0</v>
      </c>
      <c r="C227">
        <f>IF(VLOOKUP(C$1,main!$A$3:$I$56,5,FALSE)-VLOOKUP($A227,main!$A$3:$I$56,6,FALSE)&gt;=VLOOKUP(59,main!$A$57:$I$61,4,FALSE)+VLOOKUP(VLOOKUP(C$1,main!$A$3:$I$56,7,FALSE),main!$K$10:$Q$14,7,FALSE),1,0)</f>
        <v>0</v>
      </c>
      <c r="D227">
        <f>IF(VLOOKUP(D$1,main!$A$3:$I$56,5,FALSE)-VLOOKUP($A227,main!$A$3:$I$56,6,FALSE)&gt;=VLOOKUP(59,main!$A$57:$I$61,4,FALSE)+VLOOKUP(VLOOKUP(D$1,main!$A$3:$I$56,7,FALSE),main!$K$10:$Q$14,7,FALSE),1,0)</f>
        <v>0</v>
      </c>
      <c r="E227">
        <f>IF(VLOOKUP(E$1,main!$A$3:$I$56,5,FALSE)-VLOOKUP($A227,main!$A$3:$I$56,6,FALSE)&gt;=VLOOKUP(59,main!$A$57:$I$61,4,FALSE)+VLOOKUP(VLOOKUP(E$1,main!$A$3:$I$56,7,FALSE),main!$K$10:$Q$14,7,FALSE),1,0)</f>
        <v>0</v>
      </c>
      <c r="F227">
        <f>IF(VLOOKUP(F$1,main!$A$3:$I$56,5,FALSE)-VLOOKUP($A227,main!$A$3:$I$56,6,FALSE)&gt;=VLOOKUP(59,main!$A$57:$I$61,4,FALSE)+VLOOKUP(VLOOKUP(F$1,main!$A$3:$I$56,7,FALSE),main!$K$10:$Q$14,7,FALSE),1,0)</f>
        <v>0</v>
      </c>
      <c r="G227">
        <f>IF(VLOOKUP(G$1,main!$A$3:$I$56,5,FALSE)-VLOOKUP($A227,main!$A$3:$I$56,6,FALSE)&gt;=VLOOKUP(59,main!$A$57:$I$61,4,FALSE)+VLOOKUP(VLOOKUP(G$1,main!$A$3:$I$56,7,FALSE),main!$K$10:$Q$14,7,FALSE),1,0)</f>
        <v>0</v>
      </c>
      <c r="H227">
        <f>IF(VLOOKUP(H$1,main!$A$3:$I$56,5,FALSE)-VLOOKUP($A227,main!$A$3:$I$56,6,FALSE)&gt;=VLOOKUP(59,main!$A$57:$I$61,4,FALSE)+VLOOKUP(VLOOKUP(H$1,main!$A$3:$I$56,7,FALSE),main!$K$10:$Q$14,7,FALSE),1,0)</f>
        <v>0</v>
      </c>
      <c r="I227">
        <f>IF(VLOOKUP(I$1,main!$A$3:$I$56,5,FALSE)-VLOOKUP($A227,main!$A$3:$I$56,6,FALSE)&gt;=VLOOKUP(59,main!$A$57:$I$61,4,FALSE)+VLOOKUP(VLOOKUP(I$1,main!$A$3:$I$56,7,FALSE),main!$K$10:$Q$14,7,FALSE),1,0)</f>
        <v>0</v>
      </c>
      <c r="J227">
        <f>IF(VLOOKUP(J$1,main!$A$3:$I$56,5,FALSE)-VLOOKUP($A227,main!$A$3:$I$56,6,FALSE)&gt;=VLOOKUP(59,main!$A$57:$I$61,4,FALSE)+VLOOKUP(VLOOKUP(J$1,main!$A$3:$I$56,7,FALSE),main!$K$10:$Q$14,7,FALSE),1,0)</f>
        <v>0</v>
      </c>
      <c r="K227">
        <f>IF(VLOOKUP(K$1,main!$A$3:$I$56,5,FALSE)-VLOOKUP($A227,main!$A$3:$I$56,6,FALSE)&gt;=VLOOKUP(59,main!$A$57:$I$61,4,FALSE)+VLOOKUP(VLOOKUP(K$1,main!$A$3:$I$56,7,FALSE),main!$K$10:$Q$14,7,FALSE),1,0)</f>
        <v>0</v>
      </c>
      <c r="L227">
        <f>IF(VLOOKUP(L$1,main!$A$3:$I$56,5,FALSE)-VLOOKUP($A227,main!$A$3:$I$56,6,FALSE)&gt;=VLOOKUP(59,main!$A$57:$I$61,4,FALSE)+VLOOKUP(VLOOKUP(L$1,main!$A$3:$I$56,7,FALSE),main!$K$10:$Q$14,7,FALSE),1,0)</f>
        <v>0</v>
      </c>
      <c r="M227">
        <f>IF(VLOOKUP(M$1,main!$A$3:$I$56,5,FALSE)-VLOOKUP($A227,main!$A$3:$I$56,6,FALSE)&gt;=VLOOKUP(59,main!$A$57:$I$61,4,FALSE)+VLOOKUP(VLOOKUP(M$1,main!$A$3:$I$56,7,FALSE),main!$K$10:$Q$14,7,FALSE),1,0)</f>
        <v>0</v>
      </c>
      <c r="N227">
        <f>IF(VLOOKUP(N$1,main!$A$3:$I$56,5,FALSE)-VLOOKUP($A227,main!$A$3:$I$56,6,FALSE)&gt;=VLOOKUP(59,main!$A$57:$I$61,4,FALSE)+VLOOKUP(VLOOKUP(N$1,main!$A$3:$I$56,7,FALSE),main!$K$10:$Q$14,7,FALSE),1,0)</f>
        <v>0</v>
      </c>
      <c r="O227">
        <f>IF(VLOOKUP(O$1,main!$A$3:$I$56,5,FALSE)-VLOOKUP($A227,main!$A$3:$I$56,6,FALSE)&gt;=VLOOKUP(59,main!$A$57:$I$61,4,FALSE)+VLOOKUP(VLOOKUP(O$1,main!$A$3:$I$56,7,FALSE),main!$K$10:$Q$14,7,FALSE),1,0)</f>
        <v>0</v>
      </c>
      <c r="P227">
        <f>IF(VLOOKUP(P$1,main!$A$3:$I$56,5,FALSE)-VLOOKUP($A227,main!$A$3:$I$56,6,FALSE)&gt;=VLOOKUP(59,main!$A$57:$I$61,4,FALSE)+VLOOKUP(VLOOKUP(P$1,main!$A$3:$I$56,7,FALSE),main!$K$10:$Q$14,7,FALSE),1,0)</f>
        <v>0</v>
      </c>
      <c r="Q227">
        <f>IF(VLOOKUP(Q$1,main!$A$3:$I$56,5,FALSE)-VLOOKUP($A227,main!$A$3:$I$56,6,FALSE)&gt;=VLOOKUP(59,main!$A$57:$I$61,4,FALSE)+VLOOKUP(VLOOKUP(Q$1,main!$A$3:$I$56,7,FALSE),main!$K$10:$Q$14,7,FALSE),1,0)</f>
        <v>0</v>
      </c>
      <c r="R227">
        <f>IF(VLOOKUP(R$1,main!$A$3:$I$56,5,FALSE)-VLOOKUP($A227,main!$A$3:$I$56,6,FALSE)&gt;=VLOOKUP(59,main!$A$57:$I$61,4,FALSE)+VLOOKUP(VLOOKUP(R$1,main!$A$3:$I$56,7,FALSE),main!$K$10:$Q$14,7,FALSE),1,0)</f>
        <v>0</v>
      </c>
      <c r="S227">
        <f>IF(VLOOKUP(S$1,main!$A$3:$I$56,5,FALSE)-VLOOKUP($A227,main!$A$3:$I$56,6,FALSE)&gt;=VLOOKUP(59,main!$A$57:$I$61,4,FALSE)+VLOOKUP(VLOOKUP(S$1,main!$A$3:$I$56,7,FALSE),main!$K$10:$Q$14,7,FALSE),1,0)</f>
        <v>0</v>
      </c>
      <c r="T227">
        <f>IF(VLOOKUP(T$1,main!$A$3:$I$56,5,FALSE)-VLOOKUP($A227,main!$A$3:$I$56,6,FALSE)&gt;=VLOOKUP(59,main!$A$57:$I$61,4,FALSE)+VLOOKUP(VLOOKUP(T$1,main!$A$3:$I$56,7,FALSE),main!$K$10:$Q$14,7,FALSE),1,0)</f>
        <v>0</v>
      </c>
      <c r="U227">
        <f>IF(VLOOKUP(U$1,main!$A$3:$I$56,5,FALSE)-VLOOKUP($A227,main!$A$3:$I$56,6,FALSE)&gt;=VLOOKUP(59,main!$A$57:$I$61,4,FALSE)+VLOOKUP(VLOOKUP(U$1,main!$A$3:$I$56,7,FALSE),main!$K$10:$Q$14,7,FALSE),1,0)</f>
        <v>0</v>
      </c>
      <c r="V227">
        <f>IF(VLOOKUP(V$1,main!$A$3:$I$56,5,FALSE)-VLOOKUP($A227,main!$A$3:$I$56,6,FALSE)&gt;=VLOOKUP(59,main!$A$57:$I$61,4,FALSE)+VLOOKUP(VLOOKUP(V$1,main!$A$3:$I$56,7,FALSE),main!$K$10:$Q$14,7,FALSE),1,0)</f>
        <v>0</v>
      </c>
      <c r="W227">
        <f>IF(VLOOKUP(W$1,main!$A$3:$I$56,5,FALSE)-VLOOKUP($A227,main!$A$3:$I$56,6,FALSE)&gt;=VLOOKUP(59,main!$A$57:$I$61,4,FALSE)+VLOOKUP(VLOOKUP(W$1,main!$A$3:$I$56,7,FALSE),main!$K$10:$Q$14,7,FALSE),1,0)</f>
        <v>0</v>
      </c>
      <c r="X227">
        <f>IF(VLOOKUP(X$1,main!$A$3:$I$56,5,FALSE)-VLOOKUP($A227,main!$A$3:$I$56,6,FALSE)&gt;=VLOOKUP(59,main!$A$57:$I$61,4,FALSE)+VLOOKUP(VLOOKUP(X$1,main!$A$3:$I$56,7,FALSE),main!$K$10:$Q$14,7,FALSE),1,0)</f>
        <v>0</v>
      </c>
      <c r="Y227">
        <f>IF(VLOOKUP(Y$1,main!$A$3:$I$56,5,FALSE)-VLOOKUP($A227,main!$A$3:$I$56,6,FALSE)&gt;=VLOOKUP(59,main!$A$57:$I$61,4,FALSE)+VLOOKUP(VLOOKUP(Y$1,main!$A$3:$I$56,7,FALSE),main!$K$10:$Q$14,7,FALSE),1,0)</f>
        <v>0</v>
      </c>
      <c r="Z227">
        <f>IF(VLOOKUP(Z$1,main!$A$3:$I$56,5,FALSE)-VLOOKUP($A227,main!$A$3:$I$56,6,FALSE)&gt;=VLOOKUP(59,main!$A$57:$I$61,4,FALSE)+VLOOKUP(VLOOKUP(Z$1,main!$A$3:$I$56,7,FALSE),main!$K$10:$Q$14,7,FALSE),1,0)</f>
        <v>0</v>
      </c>
      <c r="AA227">
        <f>IF(VLOOKUP(AA$1,main!$A$3:$I$56,5,FALSE)-VLOOKUP($A227,main!$A$3:$I$56,6,FALSE)&gt;=VLOOKUP(59,main!$A$57:$I$61,4,FALSE)+VLOOKUP(VLOOKUP(AA$1,main!$A$3:$I$56,7,FALSE),main!$K$10:$Q$14,7,FALSE),1,0)</f>
        <v>0</v>
      </c>
      <c r="AB227">
        <f>IF(VLOOKUP(AB$1,main!$A$3:$I$56,5,FALSE)-VLOOKUP($A227,main!$A$3:$I$56,6,FALSE)&gt;=VLOOKUP(59,main!$A$57:$I$61,4,FALSE)+VLOOKUP(VLOOKUP(AB$1,main!$A$3:$I$56,7,FALSE),main!$K$10:$Q$14,7,FALSE),1,0)</f>
        <v>0</v>
      </c>
      <c r="AC227">
        <f>IF(VLOOKUP(AC$1,main!$A$3:$I$56,5,FALSE)-VLOOKUP($A227,main!$A$3:$I$56,6,FALSE)&gt;=VLOOKUP(59,main!$A$57:$I$61,4,FALSE)+VLOOKUP(VLOOKUP(AC$1,main!$A$3:$I$56,7,FALSE),main!$K$10:$Q$14,7,FALSE),1,0)</f>
        <v>0</v>
      </c>
      <c r="AD227">
        <f>IF(VLOOKUP(AD$1,main!$A$3:$I$56,5,FALSE)-VLOOKUP($A227,main!$A$3:$I$56,6,FALSE)&gt;=VLOOKUP(59,main!$A$57:$I$61,4,FALSE)+VLOOKUP(VLOOKUP(AD$1,main!$A$3:$I$56,7,FALSE),main!$K$10:$Q$14,7,FALSE),1,0)</f>
        <v>0</v>
      </c>
      <c r="AE227">
        <f>IF(VLOOKUP(AE$1,main!$A$3:$I$56,5,FALSE)-VLOOKUP($A227,main!$A$3:$I$56,6,FALSE)&gt;=VLOOKUP(59,main!$A$57:$I$61,4,FALSE)+VLOOKUP(VLOOKUP(AE$1,main!$A$3:$I$56,7,FALSE),main!$K$10:$Q$14,7,FALSE),1,0)</f>
        <v>0</v>
      </c>
      <c r="AF227">
        <f>IF(VLOOKUP(AF$1,main!$A$3:$I$56,5,FALSE)-VLOOKUP($A227,main!$A$3:$I$56,6,FALSE)&gt;=VLOOKUP(59,main!$A$57:$I$61,4,FALSE)+VLOOKUP(VLOOKUP(AF$1,main!$A$3:$I$56,7,FALSE),main!$K$10:$Q$14,7,FALSE),1,0)</f>
        <v>0</v>
      </c>
      <c r="AG227">
        <f>IF(VLOOKUP(AG$1,main!$A$3:$I$56,5,FALSE)-VLOOKUP($A227,main!$A$3:$I$56,6,FALSE)&gt;=VLOOKUP(59,main!$A$57:$I$61,4,FALSE)+VLOOKUP(VLOOKUP(AG$1,main!$A$3:$I$56,7,FALSE),main!$K$10:$Q$14,7,FALSE),1,0)</f>
        <v>0</v>
      </c>
      <c r="AH227">
        <f>IF(VLOOKUP(AH$1,main!$A$3:$I$56,5,FALSE)-VLOOKUP($A227,main!$A$3:$I$56,6,FALSE)&gt;=VLOOKUP(59,main!$A$57:$I$61,4,FALSE)+VLOOKUP(VLOOKUP(AH$1,main!$A$3:$I$56,7,FALSE),main!$K$10:$Q$14,7,FALSE),1,0)</f>
        <v>0</v>
      </c>
      <c r="AI227">
        <f>IF(VLOOKUP(AI$1,main!$A$3:$I$56,5,FALSE)-VLOOKUP($A227,main!$A$3:$I$56,6,FALSE)&gt;=VLOOKUP(59,main!$A$57:$I$61,4,FALSE)+VLOOKUP(VLOOKUP(AI$1,main!$A$3:$I$56,7,FALSE),main!$K$10:$Q$14,7,FALSE),1,0)</f>
        <v>0</v>
      </c>
      <c r="AJ227">
        <f>IF(VLOOKUP(AJ$1,main!$A$3:$I$56,5,FALSE)-VLOOKUP($A227,main!$A$3:$I$56,6,FALSE)&gt;=VLOOKUP(59,main!$A$57:$I$61,4,FALSE)+VLOOKUP(VLOOKUP(AJ$1,main!$A$3:$I$56,7,FALSE),main!$K$10:$Q$14,7,FALSE),1,0)</f>
        <v>0</v>
      </c>
      <c r="AK227">
        <f>IF(VLOOKUP(AK$1,main!$A$3:$I$56,5,FALSE)-VLOOKUP($A227,main!$A$3:$I$56,6,FALSE)&gt;=VLOOKUP(59,main!$A$57:$I$61,4,FALSE)+VLOOKUP(VLOOKUP(AK$1,main!$A$3:$I$56,7,FALSE),main!$K$10:$Q$14,7,FALSE),1,0)</f>
        <v>0</v>
      </c>
      <c r="AL227">
        <f>IF(VLOOKUP(AL$1,main!$A$3:$I$56,5,FALSE)-VLOOKUP($A227,main!$A$3:$I$56,6,FALSE)&gt;=VLOOKUP(59,main!$A$57:$I$61,4,FALSE)+VLOOKUP(VLOOKUP(AL$1,main!$A$3:$I$56,7,FALSE),main!$K$10:$Q$14,7,FALSE),1,0)</f>
        <v>0</v>
      </c>
      <c r="AM227">
        <f>IF(VLOOKUP(AM$1,main!$A$3:$I$56,5,FALSE)-VLOOKUP($A227,main!$A$3:$I$56,6,FALSE)&gt;=VLOOKUP(59,main!$A$57:$I$61,4,FALSE)+VLOOKUP(VLOOKUP(AM$1,main!$A$3:$I$56,7,FALSE),main!$K$10:$Q$14,7,FALSE),1,0)</f>
        <v>0</v>
      </c>
      <c r="AN227">
        <f>IF(VLOOKUP(AN$1,main!$A$3:$I$56,5,FALSE)-VLOOKUP($A227,main!$A$3:$I$56,6,FALSE)&gt;=VLOOKUP(59,main!$A$57:$I$61,4,FALSE)+VLOOKUP(VLOOKUP(AN$1,main!$A$3:$I$56,7,FALSE),main!$K$10:$Q$14,7,FALSE),1,0)</f>
        <v>0</v>
      </c>
      <c r="AO227">
        <f>IF(VLOOKUP(AO$1,main!$A$3:$I$56,5,FALSE)-VLOOKUP($A227,main!$A$3:$I$56,6,FALSE)&gt;=VLOOKUP(59,main!$A$57:$I$61,4,FALSE)+VLOOKUP(VLOOKUP(AO$1,main!$A$3:$I$56,7,FALSE),main!$K$10:$Q$14,7,FALSE),1,0)</f>
        <v>0</v>
      </c>
      <c r="AP227">
        <f>IF(VLOOKUP(AP$1,main!$A$3:$I$56,5,FALSE)-VLOOKUP($A227,main!$A$3:$I$56,6,FALSE)&gt;=VLOOKUP(59,main!$A$57:$I$61,4,FALSE)+VLOOKUP(VLOOKUP(AP$1,main!$A$3:$I$56,7,FALSE),main!$K$10:$Q$14,7,FALSE),1,0)</f>
        <v>0</v>
      </c>
      <c r="AQ227">
        <f>IF(VLOOKUP(AQ$1,main!$A$3:$I$56,5,FALSE)-VLOOKUP($A227,main!$A$3:$I$56,6,FALSE)&gt;=VLOOKUP(59,main!$A$57:$I$61,4,FALSE)+VLOOKUP(VLOOKUP(AQ$1,main!$A$3:$I$56,7,FALSE),main!$K$10:$Q$14,7,FALSE),1,0)</f>
        <v>0</v>
      </c>
      <c r="AR227">
        <f>IF(VLOOKUP(AR$1,main!$A$3:$I$56,5,FALSE)-VLOOKUP($A227,main!$A$3:$I$56,6,FALSE)&gt;=VLOOKUP(59,main!$A$57:$I$61,4,FALSE)+VLOOKUP(VLOOKUP(AR$1,main!$A$3:$I$56,7,FALSE),main!$K$10:$Q$14,7,FALSE),1,0)</f>
        <v>0</v>
      </c>
      <c r="AS227">
        <f>IF(VLOOKUP(AS$1,main!$A$3:$I$56,5,FALSE)-VLOOKUP($A227,main!$A$3:$I$56,6,FALSE)&gt;=VLOOKUP(59,main!$A$57:$I$61,4,FALSE)+VLOOKUP(VLOOKUP(AS$1,main!$A$3:$I$56,7,FALSE),main!$K$10:$Q$14,7,FALSE),1,0)</f>
        <v>0</v>
      </c>
      <c r="AT227">
        <f>IF(VLOOKUP(AT$1,main!$A$3:$I$56,5,FALSE)-VLOOKUP($A227,main!$A$3:$I$56,6,FALSE)&gt;=VLOOKUP(59,main!$A$57:$I$61,4,FALSE)+VLOOKUP(VLOOKUP(AT$1,main!$A$3:$I$56,7,FALSE),main!$K$10:$Q$14,7,FALSE),1,0)</f>
        <v>0</v>
      </c>
      <c r="AU227">
        <f>IF(VLOOKUP(AU$1,main!$A$3:$I$56,5,FALSE)-VLOOKUP($A227,main!$A$3:$I$56,6,FALSE)&gt;=VLOOKUP(59,main!$A$57:$I$61,4,FALSE)+VLOOKUP(VLOOKUP(AU$1,main!$A$3:$I$56,7,FALSE),main!$K$10:$Q$14,7,FALSE),1,0)</f>
        <v>0</v>
      </c>
      <c r="AV227">
        <f>IF(VLOOKUP(AV$1,main!$A$3:$I$56,5,FALSE)-VLOOKUP($A227,main!$A$3:$I$56,6,FALSE)&gt;=VLOOKUP(59,main!$A$57:$I$61,4,FALSE)+VLOOKUP(VLOOKUP(AV$1,main!$A$3:$I$56,7,FALSE),main!$K$10:$Q$14,7,FALSE),1,0)</f>
        <v>0</v>
      </c>
      <c r="AW227">
        <f>IF(VLOOKUP(AW$1,main!$A$3:$I$56,5,FALSE)-VLOOKUP($A227,main!$A$3:$I$56,6,FALSE)&gt;=VLOOKUP(59,main!$A$57:$I$61,4,FALSE)+VLOOKUP(VLOOKUP(AW$1,main!$A$3:$I$56,7,FALSE),main!$K$10:$Q$14,7,FALSE),1,0)</f>
        <v>0</v>
      </c>
      <c r="AX227">
        <f>IF(VLOOKUP(AX$1,main!$A$3:$I$56,5,FALSE)-VLOOKUP($A227,main!$A$3:$I$56,6,FALSE)&gt;=VLOOKUP(59,main!$A$57:$I$61,4,FALSE)+VLOOKUP(VLOOKUP(AX$1,main!$A$3:$I$56,7,FALSE),main!$K$10:$Q$14,7,FALSE),1,0)</f>
        <v>0</v>
      </c>
      <c r="AY227">
        <f>IF(VLOOKUP(AY$1,main!$A$3:$I$56,5,FALSE)-VLOOKUP($A227,main!$A$3:$I$56,6,FALSE)&gt;=VLOOKUP(59,main!$A$57:$I$61,4,FALSE)+VLOOKUP(VLOOKUP(AY$1,main!$A$3:$I$56,7,FALSE),main!$K$10:$Q$14,7,FALSE),1,0)</f>
        <v>1</v>
      </c>
      <c r="AZ227">
        <f>IF(VLOOKUP(AZ$1,main!$A$3:$I$56,5,FALSE)-VLOOKUP($A227,main!$A$3:$I$56,6,FALSE)&gt;=VLOOKUP(59,main!$A$57:$I$61,4,FALSE)+VLOOKUP(VLOOKUP(AZ$1,main!$A$3:$I$56,7,FALSE),main!$K$10:$Q$14,7,FALSE),1,0)</f>
        <v>0</v>
      </c>
      <c r="BA227">
        <f>IF(VLOOKUP(BA$1,main!$A$3:$I$56,5,FALSE)-VLOOKUP($A227,main!$A$3:$I$56,6,FALSE)&gt;=VLOOKUP(59,main!$A$57:$I$61,4,FALSE)+VLOOKUP(VLOOKUP(BA$1,main!$A$3:$I$56,7,FALSE),main!$K$10:$Q$14,7,FALSE),1,0)</f>
        <v>0</v>
      </c>
      <c r="BB227">
        <f>IF(VLOOKUP(BB$1,main!$A$3:$I$56,5,FALSE)-VLOOKUP($A227,main!$A$3:$I$56,6,FALSE)&gt;=VLOOKUP(59,main!$A$57:$I$61,4,FALSE)+VLOOKUP(VLOOKUP(BB$1,main!$A$3:$I$56,7,FALSE),main!$K$10:$Q$14,7,FALSE),1,0)</f>
        <v>0</v>
      </c>
      <c r="BC227">
        <f>IF(VLOOKUP(BC$1,main!$A$3:$I$56,5,FALSE)-VLOOKUP($A227,main!$A$3:$I$56,6,FALSE)&gt;=VLOOKUP(59,main!$A$57:$I$61,4,FALSE)+VLOOKUP(VLOOKUP(BC$1,main!$A$3:$I$56,7,FALSE),main!$K$10:$Q$14,7,FALSE),1,0)</f>
        <v>0</v>
      </c>
      <c r="BD227">
        <f>IF(VLOOKUP(BD$1,main!$A$3:$I$56,5,FALSE)-VLOOKUP($A227,main!$A$3:$I$56,6,FALSE)&gt;=VLOOKUP(59,main!$A$57:$I$61,4,FALSE)+VLOOKUP(VLOOKUP(BD$1,main!$A$3:$I$56,7,FALSE),main!$K$10:$Q$14,7,FALSE),1,0)</f>
        <v>0</v>
      </c>
    </row>
    <row r="228" spans="1:56" x14ac:dyDescent="0.25">
      <c r="A228">
        <f t="shared" si="4"/>
        <v>6</v>
      </c>
      <c r="B228">
        <v>0</v>
      </c>
      <c r="C228">
        <f>IF(VLOOKUP(C$1,main!$A$3:$I$56,5,FALSE)-VLOOKUP($A228,main!$A$3:$I$56,6,FALSE)&gt;=VLOOKUP(59,main!$A$57:$I$61,4,FALSE)+VLOOKUP(VLOOKUP(C$1,main!$A$3:$I$56,7,FALSE),main!$K$10:$Q$14,7,FALSE),1,0)</f>
        <v>0</v>
      </c>
      <c r="D228">
        <f>IF(VLOOKUP(D$1,main!$A$3:$I$56,5,FALSE)-VLOOKUP($A228,main!$A$3:$I$56,6,FALSE)&gt;=VLOOKUP(59,main!$A$57:$I$61,4,FALSE)+VLOOKUP(VLOOKUP(D$1,main!$A$3:$I$56,7,FALSE),main!$K$10:$Q$14,7,FALSE),1,0)</f>
        <v>0</v>
      </c>
      <c r="E228">
        <f>IF(VLOOKUP(E$1,main!$A$3:$I$56,5,FALSE)-VLOOKUP($A228,main!$A$3:$I$56,6,FALSE)&gt;=VLOOKUP(59,main!$A$57:$I$61,4,FALSE)+VLOOKUP(VLOOKUP(E$1,main!$A$3:$I$56,7,FALSE),main!$K$10:$Q$14,7,FALSE),1,0)</f>
        <v>0</v>
      </c>
      <c r="F228">
        <f>IF(VLOOKUP(F$1,main!$A$3:$I$56,5,FALSE)-VLOOKUP($A228,main!$A$3:$I$56,6,FALSE)&gt;=VLOOKUP(59,main!$A$57:$I$61,4,FALSE)+VLOOKUP(VLOOKUP(F$1,main!$A$3:$I$56,7,FALSE),main!$K$10:$Q$14,7,FALSE),1,0)</f>
        <v>0</v>
      </c>
      <c r="G228">
        <f>IF(VLOOKUP(G$1,main!$A$3:$I$56,5,FALSE)-VLOOKUP($A228,main!$A$3:$I$56,6,FALSE)&gt;=VLOOKUP(59,main!$A$57:$I$61,4,FALSE)+VLOOKUP(VLOOKUP(G$1,main!$A$3:$I$56,7,FALSE),main!$K$10:$Q$14,7,FALSE),1,0)</f>
        <v>0</v>
      </c>
      <c r="H228">
        <f>IF(VLOOKUP(H$1,main!$A$3:$I$56,5,FALSE)-VLOOKUP($A228,main!$A$3:$I$56,6,FALSE)&gt;=VLOOKUP(59,main!$A$57:$I$61,4,FALSE)+VLOOKUP(VLOOKUP(H$1,main!$A$3:$I$56,7,FALSE),main!$K$10:$Q$14,7,FALSE),1,0)</f>
        <v>0</v>
      </c>
      <c r="I228">
        <f>IF(VLOOKUP(I$1,main!$A$3:$I$56,5,FALSE)-VLOOKUP($A228,main!$A$3:$I$56,6,FALSE)&gt;=VLOOKUP(59,main!$A$57:$I$61,4,FALSE)+VLOOKUP(VLOOKUP(I$1,main!$A$3:$I$56,7,FALSE),main!$K$10:$Q$14,7,FALSE),1,0)</f>
        <v>0</v>
      </c>
      <c r="J228">
        <f>IF(VLOOKUP(J$1,main!$A$3:$I$56,5,FALSE)-VLOOKUP($A228,main!$A$3:$I$56,6,FALSE)&gt;=VLOOKUP(59,main!$A$57:$I$61,4,FALSE)+VLOOKUP(VLOOKUP(J$1,main!$A$3:$I$56,7,FALSE),main!$K$10:$Q$14,7,FALSE),1,0)</f>
        <v>0</v>
      </c>
      <c r="K228">
        <f>IF(VLOOKUP(K$1,main!$A$3:$I$56,5,FALSE)-VLOOKUP($A228,main!$A$3:$I$56,6,FALSE)&gt;=VLOOKUP(59,main!$A$57:$I$61,4,FALSE)+VLOOKUP(VLOOKUP(K$1,main!$A$3:$I$56,7,FALSE),main!$K$10:$Q$14,7,FALSE),1,0)</f>
        <v>0</v>
      </c>
      <c r="L228">
        <f>IF(VLOOKUP(L$1,main!$A$3:$I$56,5,FALSE)-VLOOKUP($A228,main!$A$3:$I$56,6,FALSE)&gt;=VLOOKUP(59,main!$A$57:$I$61,4,FALSE)+VLOOKUP(VLOOKUP(L$1,main!$A$3:$I$56,7,FALSE),main!$K$10:$Q$14,7,FALSE),1,0)</f>
        <v>0</v>
      </c>
      <c r="M228">
        <f>IF(VLOOKUP(M$1,main!$A$3:$I$56,5,FALSE)-VLOOKUP($A228,main!$A$3:$I$56,6,FALSE)&gt;=VLOOKUP(59,main!$A$57:$I$61,4,FALSE)+VLOOKUP(VLOOKUP(M$1,main!$A$3:$I$56,7,FALSE),main!$K$10:$Q$14,7,FALSE),1,0)</f>
        <v>0</v>
      </c>
      <c r="N228">
        <f>IF(VLOOKUP(N$1,main!$A$3:$I$56,5,FALSE)-VLOOKUP($A228,main!$A$3:$I$56,6,FALSE)&gt;=VLOOKUP(59,main!$A$57:$I$61,4,FALSE)+VLOOKUP(VLOOKUP(N$1,main!$A$3:$I$56,7,FALSE),main!$K$10:$Q$14,7,FALSE),1,0)</f>
        <v>0</v>
      </c>
      <c r="O228">
        <f>IF(VLOOKUP(O$1,main!$A$3:$I$56,5,FALSE)-VLOOKUP($A228,main!$A$3:$I$56,6,FALSE)&gt;=VLOOKUP(59,main!$A$57:$I$61,4,FALSE)+VLOOKUP(VLOOKUP(O$1,main!$A$3:$I$56,7,FALSE),main!$K$10:$Q$14,7,FALSE),1,0)</f>
        <v>0</v>
      </c>
      <c r="P228">
        <f>IF(VLOOKUP(P$1,main!$A$3:$I$56,5,FALSE)-VLOOKUP($A228,main!$A$3:$I$56,6,FALSE)&gt;=VLOOKUP(59,main!$A$57:$I$61,4,FALSE)+VLOOKUP(VLOOKUP(P$1,main!$A$3:$I$56,7,FALSE),main!$K$10:$Q$14,7,FALSE),1,0)</f>
        <v>0</v>
      </c>
      <c r="Q228">
        <f>IF(VLOOKUP(Q$1,main!$A$3:$I$56,5,FALSE)-VLOOKUP($A228,main!$A$3:$I$56,6,FALSE)&gt;=VLOOKUP(59,main!$A$57:$I$61,4,FALSE)+VLOOKUP(VLOOKUP(Q$1,main!$A$3:$I$56,7,FALSE),main!$K$10:$Q$14,7,FALSE),1,0)</f>
        <v>0</v>
      </c>
      <c r="R228">
        <f>IF(VLOOKUP(R$1,main!$A$3:$I$56,5,FALSE)-VLOOKUP($A228,main!$A$3:$I$56,6,FALSE)&gt;=VLOOKUP(59,main!$A$57:$I$61,4,FALSE)+VLOOKUP(VLOOKUP(R$1,main!$A$3:$I$56,7,FALSE),main!$K$10:$Q$14,7,FALSE),1,0)</f>
        <v>0</v>
      </c>
      <c r="S228">
        <f>IF(VLOOKUP(S$1,main!$A$3:$I$56,5,FALSE)-VLOOKUP($A228,main!$A$3:$I$56,6,FALSE)&gt;=VLOOKUP(59,main!$A$57:$I$61,4,FALSE)+VLOOKUP(VLOOKUP(S$1,main!$A$3:$I$56,7,FALSE),main!$K$10:$Q$14,7,FALSE),1,0)</f>
        <v>0</v>
      </c>
      <c r="T228">
        <f>IF(VLOOKUP(T$1,main!$A$3:$I$56,5,FALSE)-VLOOKUP($A228,main!$A$3:$I$56,6,FALSE)&gt;=VLOOKUP(59,main!$A$57:$I$61,4,FALSE)+VLOOKUP(VLOOKUP(T$1,main!$A$3:$I$56,7,FALSE),main!$K$10:$Q$14,7,FALSE),1,0)</f>
        <v>0</v>
      </c>
      <c r="U228">
        <f>IF(VLOOKUP(U$1,main!$A$3:$I$56,5,FALSE)-VLOOKUP($A228,main!$A$3:$I$56,6,FALSE)&gt;=VLOOKUP(59,main!$A$57:$I$61,4,FALSE)+VLOOKUP(VLOOKUP(U$1,main!$A$3:$I$56,7,FALSE),main!$K$10:$Q$14,7,FALSE),1,0)</f>
        <v>0</v>
      </c>
      <c r="V228">
        <f>IF(VLOOKUP(V$1,main!$A$3:$I$56,5,FALSE)-VLOOKUP($A228,main!$A$3:$I$56,6,FALSE)&gt;=VLOOKUP(59,main!$A$57:$I$61,4,FALSE)+VLOOKUP(VLOOKUP(V$1,main!$A$3:$I$56,7,FALSE),main!$K$10:$Q$14,7,FALSE),1,0)</f>
        <v>0</v>
      </c>
      <c r="W228">
        <f>IF(VLOOKUP(W$1,main!$A$3:$I$56,5,FALSE)-VLOOKUP($A228,main!$A$3:$I$56,6,FALSE)&gt;=VLOOKUP(59,main!$A$57:$I$61,4,FALSE)+VLOOKUP(VLOOKUP(W$1,main!$A$3:$I$56,7,FALSE),main!$K$10:$Q$14,7,FALSE),1,0)</f>
        <v>0</v>
      </c>
      <c r="X228">
        <f>IF(VLOOKUP(X$1,main!$A$3:$I$56,5,FALSE)-VLOOKUP($A228,main!$A$3:$I$56,6,FALSE)&gt;=VLOOKUP(59,main!$A$57:$I$61,4,FALSE)+VLOOKUP(VLOOKUP(X$1,main!$A$3:$I$56,7,FALSE),main!$K$10:$Q$14,7,FALSE),1,0)</f>
        <v>0</v>
      </c>
      <c r="Y228">
        <f>IF(VLOOKUP(Y$1,main!$A$3:$I$56,5,FALSE)-VLOOKUP($A228,main!$A$3:$I$56,6,FALSE)&gt;=VLOOKUP(59,main!$A$57:$I$61,4,FALSE)+VLOOKUP(VLOOKUP(Y$1,main!$A$3:$I$56,7,FALSE),main!$K$10:$Q$14,7,FALSE),1,0)</f>
        <v>0</v>
      </c>
      <c r="Z228">
        <f>IF(VLOOKUP(Z$1,main!$A$3:$I$56,5,FALSE)-VLOOKUP($A228,main!$A$3:$I$56,6,FALSE)&gt;=VLOOKUP(59,main!$A$57:$I$61,4,FALSE)+VLOOKUP(VLOOKUP(Z$1,main!$A$3:$I$56,7,FALSE),main!$K$10:$Q$14,7,FALSE),1,0)</f>
        <v>0</v>
      </c>
      <c r="AA228">
        <f>IF(VLOOKUP(AA$1,main!$A$3:$I$56,5,FALSE)-VLOOKUP($A228,main!$A$3:$I$56,6,FALSE)&gt;=VLOOKUP(59,main!$A$57:$I$61,4,FALSE)+VLOOKUP(VLOOKUP(AA$1,main!$A$3:$I$56,7,FALSE),main!$K$10:$Q$14,7,FALSE),1,0)</f>
        <v>0</v>
      </c>
      <c r="AB228">
        <f>IF(VLOOKUP(AB$1,main!$A$3:$I$56,5,FALSE)-VLOOKUP($A228,main!$A$3:$I$56,6,FALSE)&gt;=VLOOKUP(59,main!$A$57:$I$61,4,FALSE)+VLOOKUP(VLOOKUP(AB$1,main!$A$3:$I$56,7,FALSE),main!$K$10:$Q$14,7,FALSE),1,0)</f>
        <v>0</v>
      </c>
      <c r="AC228">
        <f>IF(VLOOKUP(AC$1,main!$A$3:$I$56,5,FALSE)-VLOOKUP($A228,main!$A$3:$I$56,6,FALSE)&gt;=VLOOKUP(59,main!$A$57:$I$61,4,FALSE)+VLOOKUP(VLOOKUP(AC$1,main!$A$3:$I$56,7,FALSE),main!$K$10:$Q$14,7,FALSE),1,0)</f>
        <v>0</v>
      </c>
      <c r="AD228">
        <f>IF(VLOOKUP(AD$1,main!$A$3:$I$56,5,FALSE)-VLOOKUP($A228,main!$A$3:$I$56,6,FALSE)&gt;=VLOOKUP(59,main!$A$57:$I$61,4,FALSE)+VLOOKUP(VLOOKUP(AD$1,main!$A$3:$I$56,7,FALSE),main!$K$10:$Q$14,7,FALSE),1,0)</f>
        <v>0</v>
      </c>
      <c r="AE228">
        <f>IF(VLOOKUP(AE$1,main!$A$3:$I$56,5,FALSE)-VLOOKUP($A228,main!$A$3:$I$56,6,FALSE)&gt;=VLOOKUP(59,main!$A$57:$I$61,4,FALSE)+VLOOKUP(VLOOKUP(AE$1,main!$A$3:$I$56,7,FALSE),main!$K$10:$Q$14,7,FALSE),1,0)</f>
        <v>0</v>
      </c>
      <c r="AF228">
        <f>IF(VLOOKUP(AF$1,main!$A$3:$I$56,5,FALSE)-VLOOKUP($A228,main!$A$3:$I$56,6,FALSE)&gt;=VLOOKUP(59,main!$A$57:$I$61,4,FALSE)+VLOOKUP(VLOOKUP(AF$1,main!$A$3:$I$56,7,FALSE),main!$K$10:$Q$14,7,FALSE),1,0)</f>
        <v>0</v>
      </c>
      <c r="AG228">
        <f>IF(VLOOKUP(AG$1,main!$A$3:$I$56,5,FALSE)-VLOOKUP($A228,main!$A$3:$I$56,6,FALSE)&gt;=VLOOKUP(59,main!$A$57:$I$61,4,FALSE)+VLOOKUP(VLOOKUP(AG$1,main!$A$3:$I$56,7,FALSE),main!$K$10:$Q$14,7,FALSE),1,0)</f>
        <v>0</v>
      </c>
      <c r="AH228">
        <f>IF(VLOOKUP(AH$1,main!$A$3:$I$56,5,FALSE)-VLOOKUP($A228,main!$A$3:$I$56,6,FALSE)&gt;=VLOOKUP(59,main!$A$57:$I$61,4,FALSE)+VLOOKUP(VLOOKUP(AH$1,main!$A$3:$I$56,7,FALSE),main!$K$10:$Q$14,7,FALSE),1,0)</f>
        <v>0</v>
      </c>
      <c r="AI228">
        <f>IF(VLOOKUP(AI$1,main!$A$3:$I$56,5,FALSE)-VLOOKUP($A228,main!$A$3:$I$56,6,FALSE)&gt;=VLOOKUP(59,main!$A$57:$I$61,4,FALSE)+VLOOKUP(VLOOKUP(AI$1,main!$A$3:$I$56,7,FALSE),main!$K$10:$Q$14,7,FALSE),1,0)</f>
        <v>0</v>
      </c>
      <c r="AJ228">
        <f>IF(VLOOKUP(AJ$1,main!$A$3:$I$56,5,FALSE)-VLOOKUP($A228,main!$A$3:$I$56,6,FALSE)&gt;=VLOOKUP(59,main!$A$57:$I$61,4,FALSE)+VLOOKUP(VLOOKUP(AJ$1,main!$A$3:$I$56,7,FALSE),main!$K$10:$Q$14,7,FALSE),1,0)</f>
        <v>0</v>
      </c>
      <c r="AK228">
        <f>IF(VLOOKUP(AK$1,main!$A$3:$I$56,5,FALSE)-VLOOKUP($A228,main!$A$3:$I$56,6,FALSE)&gt;=VLOOKUP(59,main!$A$57:$I$61,4,FALSE)+VLOOKUP(VLOOKUP(AK$1,main!$A$3:$I$56,7,FALSE),main!$K$10:$Q$14,7,FALSE),1,0)</f>
        <v>0</v>
      </c>
      <c r="AL228">
        <f>IF(VLOOKUP(AL$1,main!$A$3:$I$56,5,FALSE)-VLOOKUP($A228,main!$A$3:$I$56,6,FALSE)&gt;=VLOOKUP(59,main!$A$57:$I$61,4,FALSE)+VLOOKUP(VLOOKUP(AL$1,main!$A$3:$I$56,7,FALSE),main!$K$10:$Q$14,7,FALSE),1,0)</f>
        <v>0</v>
      </c>
      <c r="AM228">
        <f>IF(VLOOKUP(AM$1,main!$A$3:$I$56,5,FALSE)-VLOOKUP($A228,main!$A$3:$I$56,6,FALSE)&gt;=VLOOKUP(59,main!$A$57:$I$61,4,FALSE)+VLOOKUP(VLOOKUP(AM$1,main!$A$3:$I$56,7,FALSE),main!$K$10:$Q$14,7,FALSE),1,0)</f>
        <v>0</v>
      </c>
      <c r="AN228">
        <f>IF(VLOOKUP(AN$1,main!$A$3:$I$56,5,FALSE)-VLOOKUP($A228,main!$A$3:$I$56,6,FALSE)&gt;=VLOOKUP(59,main!$A$57:$I$61,4,FALSE)+VLOOKUP(VLOOKUP(AN$1,main!$A$3:$I$56,7,FALSE),main!$K$10:$Q$14,7,FALSE),1,0)</f>
        <v>0</v>
      </c>
      <c r="AO228">
        <f>IF(VLOOKUP(AO$1,main!$A$3:$I$56,5,FALSE)-VLOOKUP($A228,main!$A$3:$I$56,6,FALSE)&gt;=VLOOKUP(59,main!$A$57:$I$61,4,FALSE)+VLOOKUP(VLOOKUP(AO$1,main!$A$3:$I$56,7,FALSE),main!$K$10:$Q$14,7,FALSE),1,0)</f>
        <v>0</v>
      </c>
      <c r="AP228">
        <f>IF(VLOOKUP(AP$1,main!$A$3:$I$56,5,FALSE)-VLOOKUP($A228,main!$A$3:$I$56,6,FALSE)&gt;=VLOOKUP(59,main!$A$57:$I$61,4,FALSE)+VLOOKUP(VLOOKUP(AP$1,main!$A$3:$I$56,7,FALSE),main!$K$10:$Q$14,7,FALSE),1,0)</f>
        <v>0</v>
      </c>
      <c r="AQ228">
        <f>IF(VLOOKUP(AQ$1,main!$A$3:$I$56,5,FALSE)-VLOOKUP($A228,main!$A$3:$I$56,6,FALSE)&gt;=VLOOKUP(59,main!$A$57:$I$61,4,FALSE)+VLOOKUP(VLOOKUP(AQ$1,main!$A$3:$I$56,7,FALSE),main!$K$10:$Q$14,7,FALSE),1,0)</f>
        <v>0</v>
      </c>
      <c r="AR228">
        <f>IF(VLOOKUP(AR$1,main!$A$3:$I$56,5,FALSE)-VLOOKUP($A228,main!$A$3:$I$56,6,FALSE)&gt;=VLOOKUP(59,main!$A$57:$I$61,4,FALSE)+VLOOKUP(VLOOKUP(AR$1,main!$A$3:$I$56,7,FALSE),main!$K$10:$Q$14,7,FALSE),1,0)</f>
        <v>0</v>
      </c>
      <c r="AS228">
        <f>IF(VLOOKUP(AS$1,main!$A$3:$I$56,5,FALSE)-VLOOKUP($A228,main!$A$3:$I$56,6,FALSE)&gt;=VLOOKUP(59,main!$A$57:$I$61,4,FALSE)+VLOOKUP(VLOOKUP(AS$1,main!$A$3:$I$56,7,FALSE),main!$K$10:$Q$14,7,FALSE),1,0)</f>
        <v>0</v>
      </c>
      <c r="AT228">
        <f>IF(VLOOKUP(AT$1,main!$A$3:$I$56,5,FALSE)-VLOOKUP($A228,main!$A$3:$I$56,6,FALSE)&gt;=VLOOKUP(59,main!$A$57:$I$61,4,FALSE)+VLOOKUP(VLOOKUP(AT$1,main!$A$3:$I$56,7,FALSE),main!$K$10:$Q$14,7,FALSE),1,0)</f>
        <v>0</v>
      </c>
      <c r="AU228">
        <f>IF(VLOOKUP(AU$1,main!$A$3:$I$56,5,FALSE)-VLOOKUP($A228,main!$A$3:$I$56,6,FALSE)&gt;=VLOOKUP(59,main!$A$57:$I$61,4,FALSE)+VLOOKUP(VLOOKUP(AU$1,main!$A$3:$I$56,7,FALSE),main!$K$10:$Q$14,7,FALSE),1,0)</f>
        <v>0</v>
      </c>
      <c r="AV228">
        <f>IF(VLOOKUP(AV$1,main!$A$3:$I$56,5,FALSE)-VLOOKUP($A228,main!$A$3:$I$56,6,FALSE)&gt;=VLOOKUP(59,main!$A$57:$I$61,4,FALSE)+VLOOKUP(VLOOKUP(AV$1,main!$A$3:$I$56,7,FALSE),main!$K$10:$Q$14,7,FALSE),1,0)</f>
        <v>0</v>
      </c>
      <c r="AW228">
        <f>IF(VLOOKUP(AW$1,main!$A$3:$I$56,5,FALSE)-VLOOKUP($A228,main!$A$3:$I$56,6,FALSE)&gt;=VLOOKUP(59,main!$A$57:$I$61,4,FALSE)+VLOOKUP(VLOOKUP(AW$1,main!$A$3:$I$56,7,FALSE),main!$K$10:$Q$14,7,FALSE),1,0)</f>
        <v>0</v>
      </c>
      <c r="AX228">
        <f>IF(VLOOKUP(AX$1,main!$A$3:$I$56,5,FALSE)-VLOOKUP($A228,main!$A$3:$I$56,6,FALSE)&gt;=VLOOKUP(59,main!$A$57:$I$61,4,FALSE)+VLOOKUP(VLOOKUP(AX$1,main!$A$3:$I$56,7,FALSE),main!$K$10:$Q$14,7,FALSE),1,0)</f>
        <v>0</v>
      </c>
      <c r="AY228">
        <f>IF(VLOOKUP(AY$1,main!$A$3:$I$56,5,FALSE)-VLOOKUP($A228,main!$A$3:$I$56,6,FALSE)&gt;=VLOOKUP(59,main!$A$57:$I$61,4,FALSE)+VLOOKUP(VLOOKUP(AY$1,main!$A$3:$I$56,7,FALSE),main!$K$10:$Q$14,7,FALSE),1,0)</f>
        <v>0</v>
      </c>
      <c r="AZ228">
        <f>IF(VLOOKUP(AZ$1,main!$A$3:$I$56,5,FALSE)-VLOOKUP($A228,main!$A$3:$I$56,6,FALSE)&gt;=VLOOKUP(59,main!$A$57:$I$61,4,FALSE)+VLOOKUP(VLOOKUP(AZ$1,main!$A$3:$I$56,7,FALSE),main!$K$10:$Q$14,7,FALSE),1,0)</f>
        <v>0</v>
      </c>
      <c r="BA228">
        <f>IF(VLOOKUP(BA$1,main!$A$3:$I$56,5,FALSE)-VLOOKUP($A228,main!$A$3:$I$56,6,FALSE)&gt;=VLOOKUP(59,main!$A$57:$I$61,4,FALSE)+VLOOKUP(VLOOKUP(BA$1,main!$A$3:$I$56,7,FALSE),main!$K$10:$Q$14,7,FALSE),1,0)</f>
        <v>0</v>
      </c>
      <c r="BB228">
        <f>IF(VLOOKUP(BB$1,main!$A$3:$I$56,5,FALSE)-VLOOKUP($A228,main!$A$3:$I$56,6,FALSE)&gt;=VLOOKUP(59,main!$A$57:$I$61,4,FALSE)+VLOOKUP(VLOOKUP(BB$1,main!$A$3:$I$56,7,FALSE),main!$K$10:$Q$14,7,FALSE),1,0)</f>
        <v>0</v>
      </c>
      <c r="BC228">
        <f>IF(VLOOKUP(BC$1,main!$A$3:$I$56,5,FALSE)-VLOOKUP($A228,main!$A$3:$I$56,6,FALSE)&gt;=VLOOKUP(59,main!$A$57:$I$61,4,FALSE)+VLOOKUP(VLOOKUP(BC$1,main!$A$3:$I$56,7,FALSE),main!$K$10:$Q$14,7,FALSE),1,0)</f>
        <v>0</v>
      </c>
      <c r="BD228">
        <f>IF(VLOOKUP(BD$1,main!$A$3:$I$56,5,FALSE)-VLOOKUP($A228,main!$A$3:$I$56,6,FALSE)&gt;=VLOOKUP(59,main!$A$57:$I$61,4,FALSE)+VLOOKUP(VLOOKUP(BD$1,main!$A$3:$I$56,7,FALSE),main!$K$10:$Q$14,7,FALSE),1,0)</f>
        <v>0</v>
      </c>
    </row>
    <row r="229" spans="1:56" x14ac:dyDescent="0.25">
      <c r="A229">
        <f t="shared" si="4"/>
        <v>7</v>
      </c>
      <c r="B229">
        <v>0</v>
      </c>
      <c r="C229">
        <f>IF(VLOOKUP(C$1,main!$A$3:$I$56,5,FALSE)-VLOOKUP($A229,main!$A$3:$I$56,6,FALSE)&gt;=VLOOKUP(59,main!$A$57:$I$61,4,FALSE)+VLOOKUP(VLOOKUP(C$1,main!$A$3:$I$56,7,FALSE),main!$K$10:$Q$14,7,FALSE),1,0)</f>
        <v>0</v>
      </c>
      <c r="D229">
        <f>IF(VLOOKUP(D$1,main!$A$3:$I$56,5,FALSE)-VLOOKUP($A229,main!$A$3:$I$56,6,FALSE)&gt;=VLOOKUP(59,main!$A$57:$I$61,4,FALSE)+VLOOKUP(VLOOKUP(D$1,main!$A$3:$I$56,7,FALSE),main!$K$10:$Q$14,7,FALSE),1,0)</f>
        <v>0</v>
      </c>
      <c r="E229">
        <f>IF(VLOOKUP(E$1,main!$A$3:$I$56,5,FALSE)-VLOOKUP($A229,main!$A$3:$I$56,6,FALSE)&gt;=VLOOKUP(59,main!$A$57:$I$61,4,FALSE)+VLOOKUP(VLOOKUP(E$1,main!$A$3:$I$56,7,FALSE),main!$K$10:$Q$14,7,FALSE),1,0)</f>
        <v>0</v>
      </c>
      <c r="F229">
        <f>IF(VLOOKUP(F$1,main!$A$3:$I$56,5,FALSE)-VLOOKUP($A229,main!$A$3:$I$56,6,FALSE)&gt;=VLOOKUP(59,main!$A$57:$I$61,4,FALSE)+VLOOKUP(VLOOKUP(F$1,main!$A$3:$I$56,7,FALSE),main!$K$10:$Q$14,7,FALSE),1,0)</f>
        <v>0</v>
      </c>
      <c r="G229">
        <f>IF(VLOOKUP(G$1,main!$A$3:$I$56,5,FALSE)-VLOOKUP($A229,main!$A$3:$I$56,6,FALSE)&gt;=VLOOKUP(59,main!$A$57:$I$61,4,FALSE)+VLOOKUP(VLOOKUP(G$1,main!$A$3:$I$56,7,FALSE),main!$K$10:$Q$14,7,FALSE),1,0)</f>
        <v>0</v>
      </c>
      <c r="H229">
        <f>IF(VLOOKUP(H$1,main!$A$3:$I$56,5,FALSE)-VLOOKUP($A229,main!$A$3:$I$56,6,FALSE)&gt;=VLOOKUP(59,main!$A$57:$I$61,4,FALSE)+VLOOKUP(VLOOKUP(H$1,main!$A$3:$I$56,7,FALSE),main!$K$10:$Q$14,7,FALSE),1,0)</f>
        <v>0</v>
      </c>
      <c r="I229">
        <f>IF(VLOOKUP(I$1,main!$A$3:$I$56,5,FALSE)-VLOOKUP($A229,main!$A$3:$I$56,6,FALSE)&gt;=VLOOKUP(59,main!$A$57:$I$61,4,FALSE)+VLOOKUP(VLOOKUP(I$1,main!$A$3:$I$56,7,FALSE),main!$K$10:$Q$14,7,FALSE),1,0)</f>
        <v>0</v>
      </c>
      <c r="J229">
        <f>IF(VLOOKUP(J$1,main!$A$3:$I$56,5,FALSE)-VLOOKUP($A229,main!$A$3:$I$56,6,FALSE)&gt;=VLOOKUP(59,main!$A$57:$I$61,4,FALSE)+VLOOKUP(VLOOKUP(J$1,main!$A$3:$I$56,7,FALSE),main!$K$10:$Q$14,7,FALSE),1,0)</f>
        <v>0</v>
      </c>
      <c r="K229">
        <f>IF(VLOOKUP(K$1,main!$A$3:$I$56,5,FALSE)-VLOOKUP($A229,main!$A$3:$I$56,6,FALSE)&gt;=VLOOKUP(59,main!$A$57:$I$61,4,FALSE)+VLOOKUP(VLOOKUP(K$1,main!$A$3:$I$56,7,FALSE),main!$K$10:$Q$14,7,FALSE),1,0)</f>
        <v>0</v>
      </c>
      <c r="L229">
        <f>IF(VLOOKUP(L$1,main!$A$3:$I$56,5,FALSE)-VLOOKUP($A229,main!$A$3:$I$56,6,FALSE)&gt;=VLOOKUP(59,main!$A$57:$I$61,4,FALSE)+VLOOKUP(VLOOKUP(L$1,main!$A$3:$I$56,7,FALSE),main!$K$10:$Q$14,7,FALSE),1,0)</f>
        <v>0</v>
      </c>
      <c r="M229">
        <f>IF(VLOOKUP(M$1,main!$A$3:$I$56,5,FALSE)-VLOOKUP($A229,main!$A$3:$I$56,6,FALSE)&gt;=VLOOKUP(59,main!$A$57:$I$61,4,FALSE)+VLOOKUP(VLOOKUP(M$1,main!$A$3:$I$56,7,FALSE),main!$K$10:$Q$14,7,FALSE),1,0)</f>
        <v>0</v>
      </c>
      <c r="N229">
        <f>IF(VLOOKUP(N$1,main!$A$3:$I$56,5,FALSE)-VLOOKUP($A229,main!$A$3:$I$56,6,FALSE)&gt;=VLOOKUP(59,main!$A$57:$I$61,4,FALSE)+VLOOKUP(VLOOKUP(N$1,main!$A$3:$I$56,7,FALSE),main!$K$10:$Q$14,7,FALSE),1,0)</f>
        <v>0</v>
      </c>
      <c r="O229">
        <f>IF(VLOOKUP(O$1,main!$A$3:$I$56,5,FALSE)-VLOOKUP($A229,main!$A$3:$I$56,6,FALSE)&gt;=VLOOKUP(59,main!$A$57:$I$61,4,FALSE)+VLOOKUP(VLOOKUP(O$1,main!$A$3:$I$56,7,FALSE),main!$K$10:$Q$14,7,FALSE),1,0)</f>
        <v>0</v>
      </c>
      <c r="P229">
        <f>IF(VLOOKUP(P$1,main!$A$3:$I$56,5,FALSE)-VLOOKUP($A229,main!$A$3:$I$56,6,FALSE)&gt;=VLOOKUP(59,main!$A$57:$I$61,4,FALSE)+VLOOKUP(VLOOKUP(P$1,main!$A$3:$I$56,7,FALSE),main!$K$10:$Q$14,7,FALSE),1,0)</f>
        <v>0</v>
      </c>
      <c r="Q229">
        <f>IF(VLOOKUP(Q$1,main!$A$3:$I$56,5,FALSE)-VLOOKUP($A229,main!$A$3:$I$56,6,FALSE)&gt;=VLOOKUP(59,main!$A$57:$I$61,4,FALSE)+VLOOKUP(VLOOKUP(Q$1,main!$A$3:$I$56,7,FALSE),main!$K$10:$Q$14,7,FALSE),1,0)</f>
        <v>0</v>
      </c>
      <c r="R229">
        <f>IF(VLOOKUP(R$1,main!$A$3:$I$56,5,FALSE)-VLOOKUP($A229,main!$A$3:$I$56,6,FALSE)&gt;=VLOOKUP(59,main!$A$57:$I$61,4,FALSE)+VLOOKUP(VLOOKUP(R$1,main!$A$3:$I$56,7,FALSE),main!$K$10:$Q$14,7,FALSE),1,0)</f>
        <v>0</v>
      </c>
      <c r="S229">
        <f>IF(VLOOKUP(S$1,main!$A$3:$I$56,5,FALSE)-VLOOKUP($A229,main!$A$3:$I$56,6,FALSE)&gt;=VLOOKUP(59,main!$A$57:$I$61,4,FALSE)+VLOOKUP(VLOOKUP(S$1,main!$A$3:$I$56,7,FALSE),main!$K$10:$Q$14,7,FALSE),1,0)</f>
        <v>0</v>
      </c>
      <c r="T229">
        <f>IF(VLOOKUP(T$1,main!$A$3:$I$56,5,FALSE)-VLOOKUP($A229,main!$A$3:$I$56,6,FALSE)&gt;=VLOOKUP(59,main!$A$57:$I$61,4,FALSE)+VLOOKUP(VLOOKUP(T$1,main!$A$3:$I$56,7,FALSE),main!$K$10:$Q$14,7,FALSE),1,0)</f>
        <v>0</v>
      </c>
      <c r="U229">
        <f>IF(VLOOKUP(U$1,main!$A$3:$I$56,5,FALSE)-VLOOKUP($A229,main!$A$3:$I$56,6,FALSE)&gt;=VLOOKUP(59,main!$A$57:$I$61,4,FALSE)+VLOOKUP(VLOOKUP(U$1,main!$A$3:$I$56,7,FALSE),main!$K$10:$Q$14,7,FALSE),1,0)</f>
        <v>0</v>
      </c>
      <c r="V229">
        <f>IF(VLOOKUP(V$1,main!$A$3:$I$56,5,FALSE)-VLOOKUP($A229,main!$A$3:$I$56,6,FALSE)&gt;=VLOOKUP(59,main!$A$57:$I$61,4,FALSE)+VLOOKUP(VLOOKUP(V$1,main!$A$3:$I$56,7,FALSE),main!$K$10:$Q$14,7,FALSE),1,0)</f>
        <v>0</v>
      </c>
      <c r="W229">
        <f>IF(VLOOKUP(W$1,main!$A$3:$I$56,5,FALSE)-VLOOKUP($A229,main!$A$3:$I$56,6,FALSE)&gt;=VLOOKUP(59,main!$A$57:$I$61,4,FALSE)+VLOOKUP(VLOOKUP(W$1,main!$A$3:$I$56,7,FALSE),main!$K$10:$Q$14,7,FALSE),1,0)</f>
        <v>0</v>
      </c>
      <c r="X229">
        <f>IF(VLOOKUP(X$1,main!$A$3:$I$56,5,FALSE)-VLOOKUP($A229,main!$A$3:$I$56,6,FALSE)&gt;=VLOOKUP(59,main!$A$57:$I$61,4,FALSE)+VLOOKUP(VLOOKUP(X$1,main!$A$3:$I$56,7,FALSE),main!$K$10:$Q$14,7,FALSE),1,0)</f>
        <v>0</v>
      </c>
      <c r="Y229">
        <f>IF(VLOOKUP(Y$1,main!$A$3:$I$56,5,FALSE)-VLOOKUP($A229,main!$A$3:$I$56,6,FALSE)&gt;=VLOOKUP(59,main!$A$57:$I$61,4,FALSE)+VLOOKUP(VLOOKUP(Y$1,main!$A$3:$I$56,7,FALSE),main!$K$10:$Q$14,7,FALSE),1,0)</f>
        <v>0</v>
      </c>
      <c r="Z229">
        <f>IF(VLOOKUP(Z$1,main!$A$3:$I$56,5,FALSE)-VLOOKUP($A229,main!$A$3:$I$56,6,FALSE)&gt;=VLOOKUP(59,main!$A$57:$I$61,4,FALSE)+VLOOKUP(VLOOKUP(Z$1,main!$A$3:$I$56,7,FALSE),main!$K$10:$Q$14,7,FALSE),1,0)</f>
        <v>0</v>
      </c>
      <c r="AA229">
        <f>IF(VLOOKUP(AA$1,main!$A$3:$I$56,5,FALSE)-VLOOKUP($A229,main!$A$3:$I$56,6,FALSE)&gt;=VLOOKUP(59,main!$A$57:$I$61,4,FALSE)+VLOOKUP(VLOOKUP(AA$1,main!$A$3:$I$56,7,FALSE),main!$K$10:$Q$14,7,FALSE),1,0)</f>
        <v>0</v>
      </c>
      <c r="AB229">
        <f>IF(VLOOKUP(AB$1,main!$A$3:$I$56,5,FALSE)-VLOOKUP($A229,main!$A$3:$I$56,6,FALSE)&gt;=VLOOKUP(59,main!$A$57:$I$61,4,FALSE)+VLOOKUP(VLOOKUP(AB$1,main!$A$3:$I$56,7,FALSE),main!$K$10:$Q$14,7,FALSE),1,0)</f>
        <v>0</v>
      </c>
      <c r="AC229">
        <f>IF(VLOOKUP(AC$1,main!$A$3:$I$56,5,FALSE)-VLOOKUP($A229,main!$A$3:$I$56,6,FALSE)&gt;=VLOOKUP(59,main!$A$57:$I$61,4,FALSE)+VLOOKUP(VLOOKUP(AC$1,main!$A$3:$I$56,7,FALSE),main!$K$10:$Q$14,7,FALSE),1,0)</f>
        <v>0</v>
      </c>
      <c r="AD229">
        <f>IF(VLOOKUP(AD$1,main!$A$3:$I$56,5,FALSE)-VLOOKUP($A229,main!$A$3:$I$56,6,FALSE)&gt;=VLOOKUP(59,main!$A$57:$I$61,4,FALSE)+VLOOKUP(VLOOKUP(AD$1,main!$A$3:$I$56,7,FALSE),main!$K$10:$Q$14,7,FALSE),1,0)</f>
        <v>0</v>
      </c>
      <c r="AE229">
        <f>IF(VLOOKUP(AE$1,main!$A$3:$I$56,5,FALSE)-VLOOKUP($A229,main!$A$3:$I$56,6,FALSE)&gt;=VLOOKUP(59,main!$A$57:$I$61,4,FALSE)+VLOOKUP(VLOOKUP(AE$1,main!$A$3:$I$56,7,FALSE),main!$K$10:$Q$14,7,FALSE),1,0)</f>
        <v>0</v>
      </c>
      <c r="AF229">
        <f>IF(VLOOKUP(AF$1,main!$A$3:$I$56,5,FALSE)-VLOOKUP($A229,main!$A$3:$I$56,6,FALSE)&gt;=VLOOKUP(59,main!$A$57:$I$61,4,FALSE)+VLOOKUP(VLOOKUP(AF$1,main!$A$3:$I$56,7,FALSE),main!$K$10:$Q$14,7,FALSE),1,0)</f>
        <v>0</v>
      </c>
      <c r="AG229">
        <f>IF(VLOOKUP(AG$1,main!$A$3:$I$56,5,FALSE)-VLOOKUP($A229,main!$A$3:$I$56,6,FALSE)&gt;=VLOOKUP(59,main!$A$57:$I$61,4,FALSE)+VLOOKUP(VLOOKUP(AG$1,main!$A$3:$I$56,7,FALSE),main!$K$10:$Q$14,7,FALSE),1,0)</f>
        <v>0</v>
      </c>
      <c r="AH229">
        <f>IF(VLOOKUP(AH$1,main!$A$3:$I$56,5,FALSE)-VLOOKUP($A229,main!$A$3:$I$56,6,FALSE)&gt;=VLOOKUP(59,main!$A$57:$I$61,4,FALSE)+VLOOKUP(VLOOKUP(AH$1,main!$A$3:$I$56,7,FALSE),main!$K$10:$Q$14,7,FALSE),1,0)</f>
        <v>0</v>
      </c>
      <c r="AI229">
        <f>IF(VLOOKUP(AI$1,main!$A$3:$I$56,5,FALSE)-VLOOKUP($A229,main!$A$3:$I$56,6,FALSE)&gt;=VLOOKUP(59,main!$A$57:$I$61,4,FALSE)+VLOOKUP(VLOOKUP(AI$1,main!$A$3:$I$56,7,FALSE),main!$K$10:$Q$14,7,FALSE),1,0)</f>
        <v>0</v>
      </c>
      <c r="AJ229">
        <f>IF(VLOOKUP(AJ$1,main!$A$3:$I$56,5,FALSE)-VLOOKUP($A229,main!$A$3:$I$56,6,FALSE)&gt;=VLOOKUP(59,main!$A$57:$I$61,4,FALSE)+VLOOKUP(VLOOKUP(AJ$1,main!$A$3:$I$56,7,FALSE),main!$K$10:$Q$14,7,FALSE),1,0)</f>
        <v>0</v>
      </c>
      <c r="AK229">
        <f>IF(VLOOKUP(AK$1,main!$A$3:$I$56,5,FALSE)-VLOOKUP($A229,main!$A$3:$I$56,6,FALSE)&gt;=VLOOKUP(59,main!$A$57:$I$61,4,FALSE)+VLOOKUP(VLOOKUP(AK$1,main!$A$3:$I$56,7,FALSE),main!$K$10:$Q$14,7,FALSE),1,0)</f>
        <v>0</v>
      </c>
      <c r="AL229">
        <f>IF(VLOOKUP(AL$1,main!$A$3:$I$56,5,FALSE)-VLOOKUP($A229,main!$A$3:$I$56,6,FALSE)&gt;=VLOOKUP(59,main!$A$57:$I$61,4,FALSE)+VLOOKUP(VLOOKUP(AL$1,main!$A$3:$I$56,7,FALSE),main!$K$10:$Q$14,7,FALSE),1,0)</f>
        <v>0</v>
      </c>
      <c r="AM229">
        <f>IF(VLOOKUP(AM$1,main!$A$3:$I$56,5,FALSE)-VLOOKUP($A229,main!$A$3:$I$56,6,FALSE)&gt;=VLOOKUP(59,main!$A$57:$I$61,4,FALSE)+VLOOKUP(VLOOKUP(AM$1,main!$A$3:$I$56,7,FALSE),main!$K$10:$Q$14,7,FALSE),1,0)</f>
        <v>0</v>
      </c>
      <c r="AN229">
        <f>IF(VLOOKUP(AN$1,main!$A$3:$I$56,5,FALSE)-VLOOKUP($A229,main!$A$3:$I$56,6,FALSE)&gt;=VLOOKUP(59,main!$A$57:$I$61,4,FALSE)+VLOOKUP(VLOOKUP(AN$1,main!$A$3:$I$56,7,FALSE),main!$K$10:$Q$14,7,FALSE),1,0)</f>
        <v>0</v>
      </c>
      <c r="AO229">
        <f>IF(VLOOKUP(AO$1,main!$A$3:$I$56,5,FALSE)-VLOOKUP($A229,main!$A$3:$I$56,6,FALSE)&gt;=VLOOKUP(59,main!$A$57:$I$61,4,FALSE)+VLOOKUP(VLOOKUP(AO$1,main!$A$3:$I$56,7,FALSE),main!$K$10:$Q$14,7,FALSE),1,0)</f>
        <v>0</v>
      </c>
      <c r="AP229">
        <f>IF(VLOOKUP(AP$1,main!$A$3:$I$56,5,FALSE)-VLOOKUP($A229,main!$A$3:$I$56,6,FALSE)&gt;=VLOOKUP(59,main!$A$57:$I$61,4,FALSE)+VLOOKUP(VLOOKUP(AP$1,main!$A$3:$I$56,7,FALSE),main!$K$10:$Q$14,7,FALSE),1,0)</f>
        <v>0</v>
      </c>
      <c r="AQ229">
        <f>IF(VLOOKUP(AQ$1,main!$A$3:$I$56,5,FALSE)-VLOOKUP($A229,main!$A$3:$I$56,6,FALSE)&gt;=VLOOKUP(59,main!$A$57:$I$61,4,FALSE)+VLOOKUP(VLOOKUP(AQ$1,main!$A$3:$I$56,7,FALSE),main!$K$10:$Q$14,7,FALSE),1,0)</f>
        <v>0</v>
      </c>
      <c r="AR229">
        <f>IF(VLOOKUP(AR$1,main!$A$3:$I$56,5,FALSE)-VLOOKUP($A229,main!$A$3:$I$56,6,FALSE)&gt;=VLOOKUP(59,main!$A$57:$I$61,4,FALSE)+VLOOKUP(VLOOKUP(AR$1,main!$A$3:$I$56,7,FALSE),main!$K$10:$Q$14,7,FALSE),1,0)</f>
        <v>0</v>
      </c>
      <c r="AS229">
        <f>IF(VLOOKUP(AS$1,main!$A$3:$I$56,5,FALSE)-VLOOKUP($A229,main!$A$3:$I$56,6,FALSE)&gt;=VLOOKUP(59,main!$A$57:$I$61,4,FALSE)+VLOOKUP(VLOOKUP(AS$1,main!$A$3:$I$56,7,FALSE),main!$K$10:$Q$14,7,FALSE),1,0)</f>
        <v>0</v>
      </c>
      <c r="AT229">
        <f>IF(VLOOKUP(AT$1,main!$A$3:$I$56,5,FALSE)-VLOOKUP($A229,main!$A$3:$I$56,6,FALSE)&gt;=VLOOKUP(59,main!$A$57:$I$61,4,FALSE)+VLOOKUP(VLOOKUP(AT$1,main!$A$3:$I$56,7,FALSE),main!$K$10:$Q$14,7,FALSE),1,0)</f>
        <v>0</v>
      </c>
      <c r="AU229">
        <f>IF(VLOOKUP(AU$1,main!$A$3:$I$56,5,FALSE)-VLOOKUP($A229,main!$A$3:$I$56,6,FALSE)&gt;=VLOOKUP(59,main!$A$57:$I$61,4,FALSE)+VLOOKUP(VLOOKUP(AU$1,main!$A$3:$I$56,7,FALSE),main!$K$10:$Q$14,7,FALSE),1,0)</f>
        <v>0</v>
      </c>
      <c r="AV229">
        <f>IF(VLOOKUP(AV$1,main!$A$3:$I$56,5,FALSE)-VLOOKUP($A229,main!$A$3:$I$56,6,FALSE)&gt;=VLOOKUP(59,main!$A$57:$I$61,4,FALSE)+VLOOKUP(VLOOKUP(AV$1,main!$A$3:$I$56,7,FALSE),main!$K$10:$Q$14,7,FALSE),1,0)</f>
        <v>0</v>
      </c>
      <c r="AW229">
        <f>IF(VLOOKUP(AW$1,main!$A$3:$I$56,5,FALSE)-VLOOKUP($A229,main!$A$3:$I$56,6,FALSE)&gt;=VLOOKUP(59,main!$A$57:$I$61,4,FALSE)+VLOOKUP(VLOOKUP(AW$1,main!$A$3:$I$56,7,FALSE),main!$K$10:$Q$14,7,FALSE),1,0)</f>
        <v>0</v>
      </c>
      <c r="AX229">
        <f>IF(VLOOKUP(AX$1,main!$A$3:$I$56,5,FALSE)-VLOOKUP($A229,main!$A$3:$I$56,6,FALSE)&gt;=VLOOKUP(59,main!$A$57:$I$61,4,FALSE)+VLOOKUP(VLOOKUP(AX$1,main!$A$3:$I$56,7,FALSE),main!$K$10:$Q$14,7,FALSE),1,0)</f>
        <v>0</v>
      </c>
      <c r="AY229">
        <f>IF(VLOOKUP(AY$1,main!$A$3:$I$56,5,FALSE)-VLOOKUP($A229,main!$A$3:$I$56,6,FALSE)&gt;=VLOOKUP(59,main!$A$57:$I$61,4,FALSE)+VLOOKUP(VLOOKUP(AY$1,main!$A$3:$I$56,7,FALSE),main!$K$10:$Q$14,7,FALSE),1,0)</f>
        <v>0</v>
      </c>
      <c r="AZ229">
        <f>IF(VLOOKUP(AZ$1,main!$A$3:$I$56,5,FALSE)-VLOOKUP($A229,main!$A$3:$I$56,6,FALSE)&gt;=VLOOKUP(59,main!$A$57:$I$61,4,FALSE)+VLOOKUP(VLOOKUP(AZ$1,main!$A$3:$I$56,7,FALSE),main!$K$10:$Q$14,7,FALSE),1,0)</f>
        <v>0</v>
      </c>
      <c r="BA229">
        <f>IF(VLOOKUP(BA$1,main!$A$3:$I$56,5,FALSE)-VLOOKUP($A229,main!$A$3:$I$56,6,FALSE)&gt;=VLOOKUP(59,main!$A$57:$I$61,4,FALSE)+VLOOKUP(VLOOKUP(BA$1,main!$A$3:$I$56,7,FALSE),main!$K$10:$Q$14,7,FALSE),1,0)</f>
        <v>0</v>
      </c>
      <c r="BB229">
        <f>IF(VLOOKUP(BB$1,main!$A$3:$I$56,5,FALSE)-VLOOKUP($A229,main!$A$3:$I$56,6,FALSE)&gt;=VLOOKUP(59,main!$A$57:$I$61,4,FALSE)+VLOOKUP(VLOOKUP(BB$1,main!$A$3:$I$56,7,FALSE),main!$K$10:$Q$14,7,FALSE),1,0)</f>
        <v>0</v>
      </c>
      <c r="BC229">
        <f>IF(VLOOKUP(BC$1,main!$A$3:$I$56,5,FALSE)-VLOOKUP($A229,main!$A$3:$I$56,6,FALSE)&gt;=VLOOKUP(59,main!$A$57:$I$61,4,FALSE)+VLOOKUP(VLOOKUP(BC$1,main!$A$3:$I$56,7,FALSE),main!$K$10:$Q$14,7,FALSE),1,0)</f>
        <v>0</v>
      </c>
      <c r="BD229">
        <f>IF(VLOOKUP(BD$1,main!$A$3:$I$56,5,FALSE)-VLOOKUP($A229,main!$A$3:$I$56,6,FALSE)&gt;=VLOOKUP(59,main!$A$57:$I$61,4,FALSE)+VLOOKUP(VLOOKUP(BD$1,main!$A$3:$I$56,7,FALSE),main!$K$10:$Q$14,7,FALSE),1,0)</f>
        <v>0</v>
      </c>
    </row>
    <row r="230" spans="1:56" x14ac:dyDescent="0.25">
      <c r="A230">
        <f t="shared" si="4"/>
        <v>8</v>
      </c>
      <c r="B230">
        <v>0</v>
      </c>
      <c r="C230">
        <f>IF(VLOOKUP(C$1,main!$A$3:$I$56,5,FALSE)-VLOOKUP($A230,main!$A$3:$I$56,6,FALSE)&gt;=VLOOKUP(59,main!$A$57:$I$61,4,FALSE)+VLOOKUP(VLOOKUP(C$1,main!$A$3:$I$56,7,FALSE),main!$K$10:$Q$14,7,FALSE),1,0)</f>
        <v>0</v>
      </c>
      <c r="D230">
        <f>IF(VLOOKUP(D$1,main!$A$3:$I$56,5,FALSE)-VLOOKUP($A230,main!$A$3:$I$56,6,FALSE)&gt;=VLOOKUP(59,main!$A$57:$I$61,4,FALSE)+VLOOKUP(VLOOKUP(D$1,main!$A$3:$I$56,7,FALSE),main!$K$10:$Q$14,7,FALSE),1,0)</f>
        <v>0</v>
      </c>
      <c r="E230">
        <f>IF(VLOOKUP(E$1,main!$A$3:$I$56,5,FALSE)-VLOOKUP($A230,main!$A$3:$I$56,6,FALSE)&gt;=VLOOKUP(59,main!$A$57:$I$61,4,FALSE)+VLOOKUP(VLOOKUP(E$1,main!$A$3:$I$56,7,FALSE),main!$K$10:$Q$14,7,FALSE),1,0)</f>
        <v>0</v>
      </c>
      <c r="F230">
        <f>IF(VLOOKUP(F$1,main!$A$3:$I$56,5,FALSE)-VLOOKUP($A230,main!$A$3:$I$56,6,FALSE)&gt;=VLOOKUP(59,main!$A$57:$I$61,4,FALSE)+VLOOKUP(VLOOKUP(F$1,main!$A$3:$I$56,7,FALSE),main!$K$10:$Q$14,7,FALSE),1,0)</f>
        <v>0</v>
      </c>
      <c r="G230">
        <f>IF(VLOOKUP(G$1,main!$A$3:$I$56,5,FALSE)-VLOOKUP($A230,main!$A$3:$I$56,6,FALSE)&gt;=VLOOKUP(59,main!$A$57:$I$61,4,FALSE)+VLOOKUP(VLOOKUP(G$1,main!$A$3:$I$56,7,FALSE),main!$K$10:$Q$14,7,FALSE),1,0)</f>
        <v>0</v>
      </c>
      <c r="H230">
        <f>IF(VLOOKUP(H$1,main!$A$3:$I$56,5,FALSE)-VLOOKUP($A230,main!$A$3:$I$56,6,FALSE)&gt;=VLOOKUP(59,main!$A$57:$I$61,4,FALSE)+VLOOKUP(VLOOKUP(H$1,main!$A$3:$I$56,7,FALSE),main!$K$10:$Q$14,7,FALSE),1,0)</f>
        <v>0</v>
      </c>
      <c r="I230">
        <f>IF(VLOOKUP(I$1,main!$A$3:$I$56,5,FALSE)-VLOOKUP($A230,main!$A$3:$I$56,6,FALSE)&gt;=VLOOKUP(59,main!$A$57:$I$61,4,FALSE)+VLOOKUP(VLOOKUP(I$1,main!$A$3:$I$56,7,FALSE),main!$K$10:$Q$14,7,FALSE),1,0)</f>
        <v>0</v>
      </c>
      <c r="J230">
        <f>IF(VLOOKUP(J$1,main!$A$3:$I$56,5,FALSE)-VLOOKUP($A230,main!$A$3:$I$56,6,FALSE)&gt;=VLOOKUP(59,main!$A$57:$I$61,4,FALSE)+VLOOKUP(VLOOKUP(J$1,main!$A$3:$I$56,7,FALSE),main!$K$10:$Q$14,7,FALSE),1,0)</f>
        <v>0</v>
      </c>
      <c r="K230">
        <f>IF(VLOOKUP(K$1,main!$A$3:$I$56,5,FALSE)-VLOOKUP($A230,main!$A$3:$I$56,6,FALSE)&gt;=VLOOKUP(59,main!$A$57:$I$61,4,FALSE)+VLOOKUP(VLOOKUP(K$1,main!$A$3:$I$56,7,FALSE),main!$K$10:$Q$14,7,FALSE),1,0)</f>
        <v>0</v>
      </c>
      <c r="L230">
        <f>IF(VLOOKUP(L$1,main!$A$3:$I$56,5,FALSE)-VLOOKUP($A230,main!$A$3:$I$56,6,FALSE)&gt;=VLOOKUP(59,main!$A$57:$I$61,4,FALSE)+VLOOKUP(VLOOKUP(L$1,main!$A$3:$I$56,7,FALSE),main!$K$10:$Q$14,7,FALSE),1,0)</f>
        <v>0</v>
      </c>
      <c r="M230">
        <f>IF(VLOOKUP(M$1,main!$A$3:$I$56,5,FALSE)-VLOOKUP($A230,main!$A$3:$I$56,6,FALSE)&gt;=VLOOKUP(59,main!$A$57:$I$61,4,FALSE)+VLOOKUP(VLOOKUP(M$1,main!$A$3:$I$56,7,FALSE),main!$K$10:$Q$14,7,FALSE),1,0)</f>
        <v>0</v>
      </c>
      <c r="N230">
        <f>IF(VLOOKUP(N$1,main!$A$3:$I$56,5,FALSE)-VLOOKUP($A230,main!$A$3:$I$56,6,FALSE)&gt;=VLOOKUP(59,main!$A$57:$I$61,4,FALSE)+VLOOKUP(VLOOKUP(N$1,main!$A$3:$I$56,7,FALSE),main!$K$10:$Q$14,7,FALSE),1,0)</f>
        <v>0</v>
      </c>
      <c r="O230">
        <f>IF(VLOOKUP(O$1,main!$A$3:$I$56,5,FALSE)-VLOOKUP($A230,main!$A$3:$I$56,6,FALSE)&gt;=VLOOKUP(59,main!$A$57:$I$61,4,FALSE)+VLOOKUP(VLOOKUP(O$1,main!$A$3:$I$56,7,FALSE),main!$K$10:$Q$14,7,FALSE),1,0)</f>
        <v>0</v>
      </c>
      <c r="P230">
        <f>IF(VLOOKUP(P$1,main!$A$3:$I$56,5,FALSE)-VLOOKUP($A230,main!$A$3:$I$56,6,FALSE)&gt;=VLOOKUP(59,main!$A$57:$I$61,4,FALSE)+VLOOKUP(VLOOKUP(P$1,main!$A$3:$I$56,7,FALSE),main!$K$10:$Q$14,7,FALSE),1,0)</f>
        <v>0</v>
      </c>
      <c r="Q230">
        <f>IF(VLOOKUP(Q$1,main!$A$3:$I$56,5,FALSE)-VLOOKUP($A230,main!$A$3:$I$56,6,FALSE)&gt;=VLOOKUP(59,main!$A$57:$I$61,4,FALSE)+VLOOKUP(VLOOKUP(Q$1,main!$A$3:$I$56,7,FALSE),main!$K$10:$Q$14,7,FALSE),1,0)</f>
        <v>0</v>
      </c>
      <c r="R230">
        <f>IF(VLOOKUP(R$1,main!$A$3:$I$56,5,FALSE)-VLOOKUP($A230,main!$A$3:$I$56,6,FALSE)&gt;=VLOOKUP(59,main!$A$57:$I$61,4,FALSE)+VLOOKUP(VLOOKUP(R$1,main!$A$3:$I$56,7,FALSE),main!$K$10:$Q$14,7,FALSE),1,0)</f>
        <v>0</v>
      </c>
      <c r="S230">
        <f>IF(VLOOKUP(S$1,main!$A$3:$I$56,5,FALSE)-VLOOKUP($A230,main!$A$3:$I$56,6,FALSE)&gt;=VLOOKUP(59,main!$A$57:$I$61,4,FALSE)+VLOOKUP(VLOOKUP(S$1,main!$A$3:$I$56,7,FALSE),main!$K$10:$Q$14,7,FALSE),1,0)</f>
        <v>0</v>
      </c>
      <c r="T230">
        <f>IF(VLOOKUP(T$1,main!$A$3:$I$56,5,FALSE)-VLOOKUP($A230,main!$A$3:$I$56,6,FALSE)&gt;=VLOOKUP(59,main!$A$57:$I$61,4,FALSE)+VLOOKUP(VLOOKUP(T$1,main!$A$3:$I$56,7,FALSE),main!$K$10:$Q$14,7,FALSE),1,0)</f>
        <v>0</v>
      </c>
      <c r="U230">
        <f>IF(VLOOKUP(U$1,main!$A$3:$I$56,5,FALSE)-VLOOKUP($A230,main!$A$3:$I$56,6,FALSE)&gt;=VLOOKUP(59,main!$A$57:$I$61,4,FALSE)+VLOOKUP(VLOOKUP(U$1,main!$A$3:$I$56,7,FALSE),main!$K$10:$Q$14,7,FALSE),1,0)</f>
        <v>0</v>
      </c>
      <c r="V230">
        <f>IF(VLOOKUP(V$1,main!$A$3:$I$56,5,FALSE)-VLOOKUP($A230,main!$A$3:$I$56,6,FALSE)&gt;=VLOOKUP(59,main!$A$57:$I$61,4,FALSE)+VLOOKUP(VLOOKUP(V$1,main!$A$3:$I$56,7,FALSE),main!$K$10:$Q$14,7,FALSE),1,0)</f>
        <v>0</v>
      </c>
      <c r="W230">
        <f>IF(VLOOKUP(W$1,main!$A$3:$I$56,5,FALSE)-VLOOKUP($A230,main!$A$3:$I$56,6,FALSE)&gt;=VLOOKUP(59,main!$A$57:$I$61,4,FALSE)+VLOOKUP(VLOOKUP(W$1,main!$A$3:$I$56,7,FALSE),main!$K$10:$Q$14,7,FALSE),1,0)</f>
        <v>0</v>
      </c>
      <c r="X230">
        <f>IF(VLOOKUP(X$1,main!$A$3:$I$56,5,FALSE)-VLOOKUP($A230,main!$A$3:$I$56,6,FALSE)&gt;=VLOOKUP(59,main!$A$57:$I$61,4,FALSE)+VLOOKUP(VLOOKUP(X$1,main!$A$3:$I$56,7,FALSE),main!$K$10:$Q$14,7,FALSE),1,0)</f>
        <v>0</v>
      </c>
      <c r="Y230">
        <f>IF(VLOOKUP(Y$1,main!$A$3:$I$56,5,FALSE)-VLOOKUP($A230,main!$A$3:$I$56,6,FALSE)&gt;=VLOOKUP(59,main!$A$57:$I$61,4,FALSE)+VLOOKUP(VLOOKUP(Y$1,main!$A$3:$I$56,7,FALSE),main!$K$10:$Q$14,7,FALSE),1,0)</f>
        <v>0</v>
      </c>
      <c r="Z230">
        <f>IF(VLOOKUP(Z$1,main!$A$3:$I$56,5,FALSE)-VLOOKUP($A230,main!$A$3:$I$56,6,FALSE)&gt;=VLOOKUP(59,main!$A$57:$I$61,4,FALSE)+VLOOKUP(VLOOKUP(Z$1,main!$A$3:$I$56,7,FALSE),main!$K$10:$Q$14,7,FALSE),1,0)</f>
        <v>0</v>
      </c>
      <c r="AA230">
        <f>IF(VLOOKUP(AA$1,main!$A$3:$I$56,5,FALSE)-VLOOKUP($A230,main!$A$3:$I$56,6,FALSE)&gt;=VLOOKUP(59,main!$A$57:$I$61,4,FALSE)+VLOOKUP(VLOOKUP(AA$1,main!$A$3:$I$56,7,FALSE),main!$K$10:$Q$14,7,FALSE),1,0)</f>
        <v>0</v>
      </c>
      <c r="AB230">
        <f>IF(VLOOKUP(AB$1,main!$A$3:$I$56,5,FALSE)-VLOOKUP($A230,main!$A$3:$I$56,6,FALSE)&gt;=VLOOKUP(59,main!$A$57:$I$61,4,FALSE)+VLOOKUP(VLOOKUP(AB$1,main!$A$3:$I$56,7,FALSE),main!$K$10:$Q$14,7,FALSE),1,0)</f>
        <v>0</v>
      </c>
      <c r="AC230">
        <f>IF(VLOOKUP(AC$1,main!$A$3:$I$56,5,FALSE)-VLOOKUP($A230,main!$A$3:$I$56,6,FALSE)&gt;=VLOOKUP(59,main!$A$57:$I$61,4,FALSE)+VLOOKUP(VLOOKUP(AC$1,main!$A$3:$I$56,7,FALSE),main!$K$10:$Q$14,7,FALSE),1,0)</f>
        <v>0</v>
      </c>
      <c r="AD230">
        <f>IF(VLOOKUP(AD$1,main!$A$3:$I$56,5,FALSE)-VLOOKUP($A230,main!$A$3:$I$56,6,FALSE)&gt;=VLOOKUP(59,main!$A$57:$I$61,4,FALSE)+VLOOKUP(VLOOKUP(AD$1,main!$A$3:$I$56,7,FALSE),main!$K$10:$Q$14,7,FALSE),1,0)</f>
        <v>0</v>
      </c>
      <c r="AE230">
        <f>IF(VLOOKUP(AE$1,main!$A$3:$I$56,5,FALSE)-VLOOKUP($A230,main!$A$3:$I$56,6,FALSE)&gt;=VLOOKUP(59,main!$A$57:$I$61,4,FALSE)+VLOOKUP(VLOOKUP(AE$1,main!$A$3:$I$56,7,FALSE),main!$K$10:$Q$14,7,FALSE),1,0)</f>
        <v>0</v>
      </c>
      <c r="AF230">
        <f>IF(VLOOKUP(AF$1,main!$A$3:$I$56,5,FALSE)-VLOOKUP($A230,main!$A$3:$I$56,6,FALSE)&gt;=VLOOKUP(59,main!$A$57:$I$61,4,FALSE)+VLOOKUP(VLOOKUP(AF$1,main!$A$3:$I$56,7,FALSE),main!$K$10:$Q$14,7,FALSE),1,0)</f>
        <v>0</v>
      </c>
      <c r="AG230">
        <f>IF(VLOOKUP(AG$1,main!$A$3:$I$56,5,FALSE)-VLOOKUP($A230,main!$A$3:$I$56,6,FALSE)&gt;=VLOOKUP(59,main!$A$57:$I$61,4,FALSE)+VLOOKUP(VLOOKUP(AG$1,main!$A$3:$I$56,7,FALSE),main!$K$10:$Q$14,7,FALSE),1,0)</f>
        <v>0</v>
      </c>
      <c r="AH230">
        <f>IF(VLOOKUP(AH$1,main!$A$3:$I$56,5,FALSE)-VLOOKUP($A230,main!$A$3:$I$56,6,FALSE)&gt;=VLOOKUP(59,main!$A$57:$I$61,4,FALSE)+VLOOKUP(VLOOKUP(AH$1,main!$A$3:$I$56,7,FALSE),main!$K$10:$Q$14,7,FALSE),1,0)</f>
        <v>0</v>
      </c>
      <c r="AI230">
        <f>IF(VLOOKUP(AI$1,main!$A$3:$I$56,5,FALSE)-VLOOKUP($A230,main!$A$3:$I$56,6,FALSE)&gt;=VLOOKUP(59,main!$A$57:$I$61,4,FALSE)+VLOOKUP(VLOOKUP(AI$1,main!$A$3:$I$56,7,FALSE),main!$K$10:$Q$14,7,FALSE),1,0)</f>
        <v>0</v>
      </c>
      <c r="AJ230">
        <f>IF(VLOOKUP(AJ$1,main!$A$3:$I$56,5,FALSE)-VLOOKUP($A230,main!$A$3:$I$56,6,FALSE)&gt;=VLOOKUP(59,main!$A$57:$I$61,4,FALSE)+VLOOKUP(VLOOKUP(AJ$1,main!$A$3:$I$56,7,FALSE),main!$K$10:$Q$14,7,FALSE),1,0)</f>
        <v>0</v>
      </c>
      <c r="AK230">
        <f>IF(VLOOKUP(AK$1,main!$A$3:$I$56,5,FALSE)-VLOOKUP($A230,main!$A$3:$I$56,6,FALSE)&gt;=VLOOKUP(59,main!$A$57:$I$61,4,FALSE)+VLOOKUP(VLOOKUP(AK$1,main!$A$3:$I$56,7,FALSE),main!$K$10:$Q$14,7,FALSE),1,0)</f>
        <v>0</v>
      </c>
      <c r="AL230">
        <f>IF(VLOOKUP(AL$1,main!$A$3:$I$56,5,FALSE)-VLOOKUP($A230,main!$A$3:$I$56,6,FALSE)&gt;=VLOOKUP(59,main!$A$57:$I$61,4,FALSE)+VLOOKUP(VLOOKUP(AL$1,main!$A$3:$I$56,7,FALSE),main!$K$10:$Q$14,7,FALSE),1,0)</f>
        <v>0</v>
      </c>
      <c r="AM230">
        <f>IF(VLOOKUP(AM$1,main!$A$3:$I$56,5,FALSE)-VLOOKUP($A230,main!$A$3:$I$56,6,FALSE)&gt;=VLOOKUP(59,main!$A$57:$I$61,4,FALSE)+VLOOKUP(VLOOKUP(AM$1,main!$A$3:$I$56,7,FALSE),main!$K$10:$Q$14,7,FALSE),1,0)</f>
        <v>0</v>
      </c>
      <c r="AN230">
        <f>IF(VLOOKUP(AN$1,main!$A$3:$I$56,5,FALSE)-VLOOKUP($A230,main!$A$3:$I$56,6,FALSE)&gt;=VLOOKUP(59,main!$A$57:$I$61,4,FALSE)+VLOOKUP(VLOOKUP(AN$1,main!$A$3:$I$56,7,FALSE),main!$K$10:$Q$14,7,FALSE),1,0)</f>
        <v>0</v>
      </c>
      <c r="AO230">
        <f>IF(VLOOKUP(AO$1,main!$A$3:$I$56,5,FALSE)-VLOOKUP($A230,main!$A$3:$I$56,6,FALSE)&gt;=VLOOKUP(59,main!$A$57:$I$61,4,FALSE)+VLOOKUP(VLOOKUP(AO$1,main!$A$3:$I$56,7,FALSE),main!$K$10:$Q$14,7,FALSE),1,0)</f>
        <v>0</v>
      </c>
      <c r="AP230">
        <f>IF(VLOOKUP(AP$1,main!$A$3:$I$56,5,FALSE)-VLOOKUP($A230,main!$A$3:$I$56,6,FALSE)&gt;=VLOOKUP(59,main!$A$57:$I$61,4,FALSE)+VLOOKUP(VLOOKUP(AP$1,main!$A$3:$I$56,7,FALSE),main!$K$10:$Q$14,7,FALSE),1,0)</f>
        <v>0</v>
      </c>
      <c r="AQ230">
        <f>IF(VLOOKUP(AQ$1,main!$A$3:$I$56,5,FALSE)-VLOOKUP($A230,main!$A$3:$I$56,6,FALSE)&gt;=VLOOKUP(59,main!$A$57:$I$61,4,FALSE)+VLOOKUP(VLOOKUP(AQ$1,main!$A$3:$I$56,7,FALSE),main!$K$10:$Q$14,7,FALSE),1,0)</f>
        <v>0</v>
      </c>
      <c r="AR230">
        <f>IF(VLOOKUP(AR$1,main!$A$3:$I$56,5,FALSE)-VLOOKUP($A230,main!$A$3:$I$56,6,FALSE)&gt;=VLOOKUP(59,main!$A$57:$I$61,4,FALSE)+VLOOKUP(VLOOKUP(AR$1,main!$A$3:$I$56,7,FALSE),main!$K$10:$Q$14,7,FALSE),1,0)</f>
        <v>0</v>
      </c>
      <c r="AS230">
        <f>IF(VLOOKUP(AS$1,main!$A$3:$I$56,5,FALSE)-VLOOKUP($A230,main!$A$3:$I$56,6,FALSE)&gt;=VLOOKUP(59,main!$A$57:$I$61,4,FALSE)+VLOOKUP(VLOOKUP(AS$1,main!$A$3:$I$56,7,FALSE),main!$K$10:$Q$14,7,FALSE),1,0)</f>
        <v>0</v>
      </c>
      <c r="AT230">
        <f>IF(VLOOKUP(AT$1,main!$A$3:$I$56,5,FALSE)-VLOOKUP($A230,main!$A$3:$I$56,6,FALSE)&gt;=VLOOKUP(59,main!$A$57:$I$61,4,FALSE)+VLOOKUP(VLOOKUP(AT$1,main!$A$3:$I$56,7,FALSE),main!$K$10:$Q$14,7,FALSE),1,0)</f>
        <v>0</v>
      </c>
      <c r="AU230">
        <f>IF(VLOOKUP(AU$1,main!$A$3:$I$56,5,FALSE)-VLOOKUP($A230,main!$A$3:$I$56,6,FALSE)&gt;=VLOOKUP(59,main!$A$57:$I$61,4,FALSE)+VLOOKUP(VLOOKUP(AU$1,main!$A$3:$I$56,7,FALSE),main!$K$10:$Q$14,7,FALSE),1,0)</f>
        <v>0</v>
      </c>
      <c r="AV230">
        <f>IF(VLOOKUP(AV$1,main!$A$3:$I$56,5,FALSE)-VLOOKUP($A230,main!$A$3:$I$56,6,FALSE)&gt;=VLOOKUP(59,main!$A$57:$I$61,4,FALSE)+VLOOKUP(VLOOKUP(AV$1,main!$A$3:$I$56,7,FALSE),main!$K$10:$Q$14,7,FALSE),1,0)</f>
        <v>0</v>
      </c>
      <c r="AW230">
        <f>IF(VLOOKUP(AW$1,main!$A$3:$I$56,5,FALSE)-VLOOKUP($A230,main!$A$3:$I$56,6,FALSE)&gt;=VLOOKUP(59,main!$A$57:$I$61,4,FALSE)+VLOOKUP(VLOOKUP(AW$1,main!$A$3:$I$56,7,FALSE),main!$K$10:$Q$14,7,FALSE),1,0)</f>
        <v>0</v>
      </c>
      <c r="AX230">
        <f>IF(VLOOKUP(AX$1,main!$A$3:$I$56,5,FALSE)-VLOOKUP($A230,main!$A$3:$I$56,6,FALSE)&gt;=VLOOKUP(59,main!$A$57:$I$61,4,FALSE)+VLOOKUP(VLOOKUP(AX$1,main!$A$3:$I$56,7,FALSE),main!$K$10:$Q$14,7,FALSE),1,0)</f>
        <v>0</v>
      </c>
      <c r="AY230">
        <f>IF(VLOOKUP(AY$1,main!$A$3:$I$56,5,FALSE)-VLOOKUP($A230,main!$A$3:$I$56,6,FALSE)&gt;=VLOOKUP(59,main!$A$57:$I$61,4,FALSE)+VLOOKUP(VLOOKUP(AY$1,main!$A$3:$I$56,7,FALSE),main!$K$10:$Q$14,7,FALSE),1,0)</f>
        <v>0</v>
      </c>
      <c r="AZ230">
        <f>IF(VLOOKUP(AZ$1,main!$A$3:$I$56,5,FALSE)-VLOOKUP($A230,main!$A$3:$I$56,6,FALSE)&gt;=VLOOKUP(59,main!$A$57:$I$61,4,FALSE)+VLOOKUP(VLOOKUP(AZ$1,main!$A$3:$I$56,7,FALSE),main!$K$10:$Q$14,7,FALSE),1,0)</f>
        <v>0</v>
      </c>
      <c r="BA230">
        <f>IF(VLOOKUP(BA$1,main!$A$3:$I$56,5,FALSE)-VLOOKUP($A230,main!$A$3:$I$56,6,FALSE)&gt;=VLOOKUP(59,main!$A$57:$I$61,4,FALSE)+VLOOKUP(VLOOKUP(BA$1,main!$A$3:$I$56,7,FALSE),main!$K$10:$Q$14,7,FALSE),1,0)</f>
        <v>0</v>
      </c>
      <c r="BB230">
        <f>IF(VLOOKUP(BB$1,main!$A$3:$I$56,5,FALSE)-VLOOKUP($A230,main!$A$3:$I$56,6,FALSE)&gt;=VLOOKUP(59,main!$A$57:$I$61,4,FALSE)+VLOOKUP(VLOOKUP(BB$1,main!$A$3:$I$56,7,FALSE),main!$K$10:$Q$14,7,FALSE),1,0)</f>
        <v>0</v>
      </c>
      <c r="BC230">
        <f>IF(VLOOKUP(BC$1,main!$A$3:$I$56,5,FALSE)-VLOOKUP($A230,main!$A$3:$I$56,6,FALSE)&gt;=VLOOKUP(59,main!$A$57:$I$61,4,FALSE)+VLOOKUP(VLOOKUP(BC$1,main!$A$3:$I$56,7,FALSE),main!$K$10:$Q$14,7,FALSE),1,0)</f>
        <v>0</v>
      </c>
      <c r="BD230">
        <f>IF(VLOOKUP(BD$1,main!$A$3:$I$56,5,FALSE)-VLOOKUP($A230,main!$A$3:$I$56,6,FALSE)&gt;=VLOOKUP(59,main!$A$57:$I$61,4,FALSE)+VLOOKUP(VLOOKUP(BD$1,main!$A$3:$I$56,7,FALSE),main!$K$10:$Q$14,7,FALSE),1,0)</f>
        <v>0</v>
      </c>
    </row>
    <row r="231" spans="1:56" x14ac:dyDescent="0.25">
      <c r="A231">
        <f t="shared" si="4"/>
        <v>9</v>
      </c>
      <c r="B231">
        <v>0</v>
      </c>
      <c r="C231">
        <f>IF(VLOOKUP(C$1,main!$A$3:$I$56,5,FALSE)-VLOOKUP($A231,main!$A$3:$I$56,6,FALSE)&gt;=VLOOKUP(59,main!$A$57:$I$61,4,FALSE)+VLOOKUP(VLOOKUP(C$1,main!$A$3:$I$56,7,FALSE),main!$K$10:$Q$14,7,FALSE),1,0)</f>
        <v>0</v>
      </c>
      <c r="D231">
        <f>IF(VLOOKUP(D$1,main!$A$3:$I$56,5,FALSE)-VLOOKUP($A231,main!$A$3:$I$56,6,FALSE)&gt;=VLOOKUP(59,main!$A$57:$I$61,4,FALSE)+VLOOKUP(VLOOKUP(D$1,main!$A$3:$I$56,7,FALSE),main!$K$10:$Q$14,7,FALSE),1,0)</f>
        <v>0</v>
      </c>
      <c r="E231">
        <f>IF(VLOOKUP(E$1,main!$A$3:$I$56,5,FALSE)-VLOOKUP($A231,main!$A$3:$I$56,6,FALSE)&gt;=VLOOKUP(59,main!$A$57:$I$61,4,FALSE)+VLOOKUP(VLOOKUP(E$1,main!$A$3:$I$56,7,FALSE),main!$K$10:$Q$14,7,FALSE),1,0)</f>
        <v>0</v>
      </c>
      <c r="F231">
        <f>IF(VLOOKUP(F$1,main!$A$3:$I$56,5,FALSE)-VLOOKUP($A231,main!$A$3:$I$56,6,FALSE)&gt;=VLOOKUP(59,main!$A$57:$I$61,4,FALSE)+VLOOKUP(VLOOKUP(F$1,main!$A$3:$I$56,7,FALSE),main!$K$10:$Q$14,7,FALSE),1,0)</f>
        <v>0</v>
      </c>
      <c r="G231">
        <f>IF(VLOOKUP(G$1,main!$A$3:$I$56,5,FALSE)-VLOOKUP($A231,main!$A$3:$I$56,6,FALSE)&gt;=VLOOKUP(59,main!$A$57:$I$61,4,FALSE)+VLOOKUP(VLOOKUP(G$1,main!$A$3:$I$56,7,FALSE),main!$K$10:$Q$14,7,FALSE),1,0)</f>
        <v>1</v>
      </c>
      <c r="H231">
        <f>IF(VLOOKUP(H$1,main!$A$3:$I$56,5,FALSE)-VLOOKUP($A231,main!$A$3:$I$56,6,FALSE)&gt;=VLOOKUP(59,main!$A$57:$I$61,4,FALSE)+VLOOKUP(VLOOKUP(H$1,main!$A$3:$I$56,7,FALSE),main!$K$10:$Q$14,7,FALSE),1,0)</f>
        <v>1</v>
      </c>
      <c r="I231">
        <f>IF(VLOOKUP(I$1,main!$A$3:$I$56,5,FALSE)-VLOOKUP($A231,main!$A$3:$I$56,6,FALSE)&gt;=VLOOKUP(59,main!$A$57:$I$61,4,FALSE)+VLOOKUP(VLOOKUP(I$1,main!$A$3:$I$56,7,FALSE),main!$K$10:$Q$14,7,FALSE),1,0)</f>
        <v>1</v>
      </c>
      <c r="J231">
        <f>IF(VLOOKUP(J$1,main!$A$3:$I$56,5,FALSE)-VLOOKUP($A231,main!$A$3:$I$56,6,FALSE)&gt;=VLOOKUP(59,main!$A$57:$I$61,4,FALSE)+VLOOKUP(VLOOKUP(J$1,main!$A$3:$I$56,7,FALSE),main!$K$10:$Q$14,7,FALSE),1,0)</f>
        <v>1</v>
      </c>
      <c r="K231">
        <f>IF(VLOOKUP(K$1,main!$A$3:$I$56,5,FALSE)-VLOOKUP($A231,main!$A$3:$I$56,6,FALSE)&gt;=VLOOKUP(59,main!$A$57:$I$61,4,FALSE)+VLOOKUP(VLOOKUP(K$1,main!$A$3:$I$56,7,FALSE),main!$K$10:$Q$14,7,FALSE),1,0)</f>
        <v>0</v>
      </c>
      <c r="L231">
        <f>IF(VLOOKUP(L$1,main!$A$3:$I$56,5,FALSE)-VLOOKUP($A231,main!$A$3:$I$56,6,FALSE)&gt;=VLOOKUP(59,main!$A$57:$I$61,4,FALSE)+VLOOKUP(VLOOKUP(L$1,main!$A$3:$I$56,7,FALSE),main!$K$10:$Q$14,7,FALSE),1,0)</f>
        <v>0</v>
      </c>
      <c r="M231">
        <f>IF(VLOOKUP(M$1,main!$A$3:$I$56,5,FALSE)-VLOOKUP($A231,main!$A$3:$I$56,6,FALSE)&gt;=VLOOKUP(59,main!$A$57:$I$61,4,FALSE)+VLOOKUP(VLOOKUP(M$1,main!$A$3:$I$56,7,FALSE),main!$K$10:$Q$14,7,FALSE),1,0)</f>
        <v>0</v>
      </c>
      <c r="N231">
        <f>IF(VLOOKUP(N$1,main!$A$3:$I$56,5,FALSE)-VLOOKUP($A231,main!$A$3:$I$56,6,FALSE)&gt;=VLOOKUP(59,main!$A$57:$I$61,4,FALSE)+VLOOKUP(VLOOKUP(N$1,main!$A$3:$I$56,7,FALSE),main!$K$10:$Q$14,7,FALSE),1,0)</f>
        <v>1</v>
      </c>
      <c r="O231">
        <f>IF(VLOOKUP(O$1,main!$A$3:$I$56,5,FALSE)-VLOOKUP($A231,main!$A$3:$I$56,6,FALSE)&gt;=VLOOKUP(59,main!$A$57:$I$61,4,FALSE)+VLOOKUP(VLOOKUP(O$1,main!$A$3:$I$56,7,FALSE),main!$K$10:$Q$14,7,FALSE),1,0)</f>
        <v>1</v>
      </c>
      <c r="P231">
        <f>IF(VLOOKUP(P$1,main!$A$3:$I$56,5,FALSE)-VLOOKUP($A231,main!$A$3:$I$56,6,FALSE)&gt;=VLOOKUP(59,main!$A$57:$I$61,4,FALSE)+VLOOKUP(VLOOKUP(P$1,main!$A$3:$I$56,7,FALSE),main!$K$10:$Q$14,7,FALSE),1,0)</f>
        <v>0</v>
      </c>
      <c r="Q231">
        <f>IF(VLOOKUP(Q$1,main!$A$3:$I$56,5,FALSE)-VLOOKUP($A231,main!$A$3:$I$56,6,FALSE)&gt;=VLOOKUP(59,main!$A$57:$I$61,4,FALSE)+VLOOKUP(VLOOKUP(Q$1,main!$A$3:$I$56,7,FALSE),main!$K$10:$Q$14,7,FALSE),1,0)</f>
        <v>0</v>
      </c>
      <c r="R231">
        <f>IF(VLOOKUP(R$1,main!$A$3:$I$56,5,FALSE)-VLOOKUP($A231,main!$A$3:$I$56,6,FALSE)&gt;=VLOOKUP(59,main!$A$57:$I$61,4,FALSE)+VLOOKUP(VLOOKUP(R$1,main!$A$3:$I$56,7,FALSE),main!$K$10:$Q$14,7,FALSE),1,0)</f>
        <v>0</v>
      </c>
      <c r="S231">
        <f>IF(VLOOKUP(S$1,main!$A$3:$I$56,5,FALSE)-VLOOKUP($A231,main!$A$3:$I$56,6,FALSE)&gt;=VLOOKUP(59,main!$A$57:$I$61,4,FALSE)+VLOOKUP(VLOOKUP(S$1,main!$A$3:$I$56,7,FALSE),main!$K$10:$Q$14,7,FALSE),1,0)</f>
        <v>1</v>
      </c>
      <c r="T231">
        <f>IF(VLOOKUP(T$1,main!$A$3:$I$56,5,FALSE)-VLOOKUP($A231,main!$A$3:$I$56,6,FALSE)&gt;=VLOOKUP(59,main!$A$57:$I$61,4,FALSE)+VLOOKUP(VLOOKUP(T$1,main!$A$3:$I$56,7,FALSE),main!$K$10:$Q$14,7,FALSE),1,0)</f>
        <v>1</v>
      </c>
      <c r="U231">
        <f>IF(VLOOKUP(U$1,main!$A$3:$I$56,5,FALSE)-VLOOKUP($A231,main!$A$3:$I$56,6,FALSE)&gt;=VLOOKUP(59,main!$A$57:$I$61,4,FALSE)+VLOOKUP(VLOOKUP(U$1,main!$A$3:$I$56,7,FALSE),main!$K$10:$Q$14,7,FALSE),1,0)</f>
        <v>0</v>
      </c>
      <c r="V231">
        <f>IF(VLOOKUP(V$1,main!$A$3:$I$56,5,FALSE)-VLOOKUP($A231,main!$A$3:$I$56,6,FALSE)&gt;=VLOOKUP(59,main!$A$57:$I$61,4,FALSE)+VLOOKUP(VLOOKUP(V$1,main!$A$3:$I$56,7,FALSE),main!$K$10:$Q$14,7,FALSE),1,0)</f>
        <v>0</v>
      </c>
      <c r="W231">
        <f>IF(VLOOKUP(W$1,main!$A$3:$I$56,5,FALSE)-VLOOKUP($A231,main!$A$3:$I$56,6,FALSE)&gt;=VLOOKUP(59,main!$A$57:$I$61,4,FALSE)+VLOOKUP(VLOOKUP(W$1,main!$A$3:$I$56,7,FALSE),main!$K$10:$Q$14,7,FALSE),1,0)</f>
        <v>0</v>
      </c>
      <c r="X231">
        <f>IF(VLOOKUP(X$1,main!$A$3:$I$56,5,FALSE)-VLOOKUP($A231,main!$A$3:$I$56,6,FALSE)&gt;=VLOOKUP(59,main!$A$57:$I$61,4,FALSE)+VLOOKUP(VLOOKUP(X$1,main!$A$3:$I$56,7,FALSE),main!$K$10:$Q$14,7,FALSE),1,0)</f>
        <v>0</v>
      </c>
      <c r="Y231">
        <f>IF(VLOOKUP(Y$1,main!$A$3:$I$56,5,FALSE)-VLOOKUP($A231,main!$A$3:$I$56,6,FALSE)&gt;=VLOOKUP(59,main!$A$57:$I$61,4,FALSE)+VLOOKUP(VLOOKUP(Y$1,main!$A$3:$I$56,7,FALSE),main!$K$10:$Q$14,7,FALSE),1,0)</f>
        <v>0</v>
      </c>
      <c r="Z231">
        <f>IF(VLOOKUP(Z$1,main!$A$3:$I$56,5,FALSE)-VLOOKUP($A231,main!$A$3:$I$56,6,FALSE)&gt;=VLOOKUP(59,main!$A$57:$I$61,4,FALSE)+VLOOKUP(VLOOKUP(Z$1,main!$A$3:$I$56,7,FALSE),main!$K$10:$Q$14,7,FALSE),1,0)</f>
        <v>1</v>
      </c>
      <c r="AA231">
        <f>IF(VLOOKUP(AA$1,main!$A$3:$I$56,5,FALSE)-VLOOKUP($A231,main!$A$3:$I$56,6,FALSE)&gt;=VLOOKUP(59,main!$A$57:$I$61,4,FALSE)+VLOOKUP(VLOOKUP(AA$1,main!$A$3:$I$56,7,FALSE),main!$K$10:$Q$14,7,FALSE),1,0)</f>
        <v>1</v>
      </c>
      <c r="AB231">
        <f>IF(VLOOKUP(AB$1,main!$A$3:$I$56,5,FALSE)-VLOOKUP($A231,main!$A$3:$I$56,6,FALSE)&gt;=VLOOKUP(59,main!$A$57:$I$61,4,FALSE)+VLOOKUP(VLOOKUP(AB$1,main!$A$3:$I$56,7,FALSE),main!$K$10:$Q$14,7,FALSE),1,0)</f>
        <v>1</v>
      </c>
      <c r="AC231">
        <f>IF(VLOOKUP(AC$1,main!$A$3:$I$56,5,FALSE)-VLOOKUP($A231,main!$A$3:$I$56,6,FALSE)&gt;=VLOOKUP(59,main!$A$57:$I$61,4,FALSE)+VLOOKUP(VLOOKUP(AC$1,main!$A$3:$I$56,7,FALSE),main!$K$10:$Q$14,7,FALSE),1,0)</f>
        <v>0</v>
      </c>
      <c r="AD231">
        <f>IF(VLOOKUP(AD$1,main!$A$3:$I$56,5,FALSE)-VLOOKUP($A231,main!$A$3:$I$56,6,FALSE)&gt;=VLOOKUP(59,main!$A$57:$I$61,4,FALSE)+VLOOKUP(VLOOKUP(AD$1,main!$A$3:$I$56,7,FALSE),main!$K$10:$Q$14,7,FALSE),1,0)</f>
        <v>0</v>
      </c>
      <c r="AE231">
        <f>IF(VLOOKUP(AE$1,main!$A$3:$I$56,5,FALSE)-VLOOKUP($A231,main!$A$3:$I$56,6,FALSE)&gt;=VLOOKUP(59,main!$A$57:$I$61,4,FALSE)+VLOOKUP(VLOOKUP(AE$1,main!$A$3:$I$56,7,FALSE),main!$K$10:$Q$14,7,FALSE),1,0)</f>
        <v>0</v>
      </c>
      <c r="AF231">
        <f>IF(VLOOKUP(AF$1,main!$A$3:$I$56,5,FALSE)-VLOOKUP($A231,main!$A$3:$I$56,6,FALSE)&gt;=VLOOKUP(59,main!$A$57:$I$61,4,FALSE)+VLOOKUP(VLOOKUP(AF$1,main!$A$3:$I$56,7,FALSE),main!$K$10:$Q$14,7,FALSE),1,0)</f>
        <v>1</v>
      </c>
      <c r="AG231">
        <f>IF(VLOOKUP(AG$1,main!$A$3:$I$56,5,FALSE)-VLOOKUP($A231,main!$A$3:$I$56,6,FALSE)&gt;=VLOOKUP(59,main!$A$57:$I$61,4,FALSE)+VLOOKUP(VLOOKUP(AG$1,main!$A$3:$I$56,7,FALSE),main!$K$10:$Q$14,7,FALSE),1,0)</f>
        <v>0</v>
      </c>
      <c r="AH231">
        <f>IF(VLOOKUP(AH$1,main!$A$3:$I$56,5,FALSE)-VLOOKUP($A231,main!$A$3:$I$56,6,FALSE)&gt;=VLOOKUP(59,main!$A$57:$I$61,4,FALSE)+VLOOKUP(VLOOKUP(AH$1,main!$A$3:$I$56,7,FALSE),main!$K$10:$Q$14,7,FALSE),1,0)</f>
        <v>0</v>
      </c>
      <c r="AI231">
        <f>IF(VLOOKUP(AI$1,main!$A$3:$I$56,5,FALSE)-VLOOKUP($A231,main!$A$3:$I$56,6,FALSE)&gt;=VLOOKUP(59,main!$A$57:$I$61,4,FALSE)+VLOOKUP(VLOOKUP(AI$1,main!$A$3:$I$56,7,FALSE),main!$K$10:$Q$14,7,FALSE),1,0)</f>
        <v>0</v>
      </c>
      <c r="AJ231">
        <f>IF(VLOOKUP(AJ$1,main!$A$3:$I$56,5,FALSE)-VLOOKUP($A231,main!$A$3:$I$56,6,FALSE)&gt;=VLOOKUP(59,main!$A$57:$I$61,4,FALSE)+VLOOKUP(VLOOKUP(AJ$1,main!$A$3:$I$56,7,FALSE),main!$K$10:$Q$14,7,FALSE),1,0)</f>
        <v>0</v>
      </c>
      <c r="AK231">
        <f>IF(VLOOKUP(AK$1,main!$A$3:$I$56,5,FALSE)-VLOOKUP($A231,main!$A$3:$I$56,6,FALSE)&gt;=VLOOKUP(59,main!$A$57:$I$61,4,FALSE)+VLOOKUP(VLOOKUP(AK$1,main!$A$3:$I$56,7,FALSE),main!$K$10:$Q$14,7,FALSE),1,0)</f>
        <v>1</v>
      </c>
      <c r="AL231">
        <f>IF(VLOOKUP(AL$1,main!$A$3:$I$56,5,FALSE)-VLOOKUP($A231,main!$A$3:$I$56,6,FALSE)&gt;=VLOOKUP(59,main!$A$57:$I$61,4,FALSE)+VLOOKUP(VLOOKUP(AL$1,main!$A$3:$I$56,7,FALSE),main!$K$10:$Q$14,7,FALSE),1,0)</f>
        <v>0</v>
      </c>
      <c r="AM231">
        <f>IF(VLOOKUP(AM$1,main!$A$3:$I$56,5,FALSE)-VLOOKUP($A231,main!$A$3:$I$56,6,FALSE)&gt;=VLOOKUP(59,main!$A$57:$I$61,4,FALSE)+VLOOKUP(VLOOKUP(AM$1,main!$A$3:$I$56,7,FALSE),main!$K$10:$Q$14,7,FALSE),1,0)</f>
        <v>0</v>
      </c>
      <c r="AN231">
        <f>IF(VLOOKUP(AN$1,main!$A$3:$I$56,5,FALSE)-VLOOKUP($A231,main!$A$3:$I$56,6,FALSE)&gt;=VLOOKUP(59,main!$A$57:$I$61,4,FALSE)+VLOOKUP(VLOOKUP(AN$1,main!$A$3:$I$56,7,FALSE),main!$K$10:$Q$14,7,FALSE),1,0)</f>
        <v>0</v>
      </c>
      <c r="AO231">
        <f>IF(VLOOKUP(AO$1,main!$A$3:$I$56,5,FALSE)-VLOOKUP($A231,main!$A$3:$I$56,6,FALSE)&gt;=VLOOKUP(59,main!$A$57:$I$61,4,FALSE)+VLOOKUP(VLOOKUP(AO$1,main!$A$3:$I$56,7,FALSE),main!$K$10:$Q$14,7,FALSE),1,0)</f>
        <v>0</v>
      </c>
      <c r="AP231">
        <f>IF(VLOOKUP(AP$1,main!$A$3:$I$56,5,FALSE)-VLOOKUP($A231,main!$A$3:$I$56,6,FALSE)&gt;=VLOOKUP(59,main!$A$57:$I$61,4,FALSE)+VLOOKUP(VLOOKUP(AP$1,main!$A$3:$I$56,7,FALSE),main!$K$10:$Q$14,7,FALSE),1,0)</f>
        <v>0</v>
      </c>
      <c r="AQ231">
        <f>IF(VLOOKUP(AQ$1,main!$A$3:$I$56,5,FALSE)-VLOOKUP($A231,main!$A$3:$I$56,6,FALSE)&gt;=VLOOKUP(59,main!$A$57:$I$61,4,FALSE)+VLOOKUP(VLOOKUP(AQ$1,main!$A$3:$I$56,7,FALSE),main!$K$10:$Q$14,7,FALSE),1,0)</f>
        <v>0</v>
      </c>
      <c r="AR231">
        <f>IF(VLOOKUP(AR$1,main!$A$3:$I$56,5,FALSE)-VLOOKUP($A231,main!$A$3:$I$56,6,FALSE)&gt;=VLOOKUP(59,main!$A$57:$I$61,4,FALSE)+VLOOKUP(VLOOKUP(AR$1,main!$A$3:$I$56,7,FALSE),main!$K$10:$Q$14,7,FALSE),1,0)</f>
        <v>0</v>
      </c>
      <c r="AS231">
        <f>IF(VLOOKUP(AS$1,main!$A$3:$I$56,5,FALSE)-VLOOKUP($A231,main!$A$3:$I$56,6,FALSE)&gt;=VLOOKUP(59,main!$A$57:$I$61,4,FALSE)+VLOOKUP(VLOOKUP(AS$1,main!$A$3:$I$56,7,FALSE),main!$K$10:$Q$14,7,FALSE),1,0)</f>
        <v>0</v>
      </c>
      <c r="AT231">
        <f>IF(VLOOKUP(AT$1,main!$A$3:$I$56,5,FALSE)-VLOOKUP($A231,main!$A$3:$I$56,6,FALSE)&gt;=VLOOKUP(59,main!$A$57:$I$61,4,FALSE)+VLOOKUP(VLOOKUP(AT$1,main!$A$3:$I$56,7,FALSE),main!$K$10:$Q$14,7,FALSE),1,0)</f>
        <v>0</v>
      </c>
      <c r="AU231">
        <f>IF(VLOOKUP(AU$1,main!$A$3:$I$56,5,FALSE)-VLOOKUP($A231,main!$A$3:$I$56,6,FALSE)&gt;=VLOOKUP(59,main!$A$57:$I$61,4,FALSE)+VLOOKUP(VLOOKUP(AU$1,main!$A$3:$I$56,7,FALSE),main!$K$10:$Q$14,7,FALSE),1,0)</f>
        <v>0</v>
      </c>
      <c r="AV231">
        <f>IF(VLOOKUP(AV$1,main!$A$3:$I$56,5,FALSE)-VLOOKUP($A231,main!$A$3:$I$56,6,FALSE)&gt;=VLOOKUP(59,main!$A$57:$I$61,4,FALSE)+VLOOKUP(VLOOKUP(AV$1,main!$A$3:$I$56,7,FALSE),main!$K$10:$Q$14,7,FALSE),1,0)</f>
        <v>0</v>
      </c>
      <c r="AW231">
        <f>IF(VLOOKUP(AW$1,main!$A$3:$I$56,5,FALSE)-VLOOKUP($A231,main!$A$3:$I$56,6,FALSE)&gt;=VLOOKUP(59,main!$A$57:$I$61,4,FALSE)+VLOOKUP(VLOOKUP(AW$1,main!$A$3:$I$56,7,FALSE),main!$K$10:$Q$14,7,FALSE),1,0)</f>
        <v>1</v>
      </c>
      <c r="AX231">
        <f>IF(VLOOKUP(AX$1,main!$A$3:$I$56,5,FALSE)-VLOOKUP($A231,main!$A$3:$I$56,6,FALSE)&gt;=VLOOKUP(59,main!$A$57:$I$61,4,FALSE)+VLOOKUP(VLOOKUP(AX$1,main!$A$3:$I$56,7,FALSE),main!$K$10:$Q$14,7,FALSE),1,0)</f>
        <v>1</v>
      </c>
      <c r="AY231">
        <f>IF(VLOOKUP(AY$1,main!$A$3:$I$56,5,FALSE)-VLOOKUP($A231,main!$A$3:$I$56,6,FALSE)&gt;=VLOOKUP(59,main!$A$57:$I$61,4,FALSE)+VLOOKUP(VLOOKUP(AY$1,main!$A$3:$I$56,7,FALSE),main!$K$10:$Q$14,7,FALSE),1,0)</f>
        <v>1</v>
      </c>
      <c r="AZ231">
        <f>IF(VLOOKUP(AZ$1,main!$A$3:$I$56,5,FALSE)-VLOOKUP($A231,main!$A$3:$I$56,6,FALSE)&gt;=VLOOKUP(59,main!$A$57:$I$61,4,FALSE)+VLOOKUP(VLOOKUP(AZ$1,main!$A$3:$I$56,7,FALSE),main!$K$10:$Q$14,7,FALSE),1,0)</f>
        <v>0</v>
      </c>
      <c r="BA231">
        <f>IF(VLOOKUP(BA$1,main!$A$3:$I$56,5,FALSE)-VLOOKUP($A231,main!$A$3:$I$56,6,FALSE)&gt;=VLOOKUP(59,main!$A$57:$I$61,4,FALSE)+VLOOKUP(VLOOKUP(BA$1,main!$A$3:$I$56,7,FALSE),main!$K$10:$Q$14,7,FALSE),1,0)</f>
        <v>1</v>
      </c>
      <c r="BB231">
        <f>IF(VLOOKUP(BB$1,main!$A$3:$I$56,5,FALSE)-VLOOKUP($A231,main!$A$3:$I$56,6,FALSE)&gt;=VLOOKUP(59,main!$A$57:$I$61,4,FALSE)+VLOOKUP(VLOOKUP(BB$1,main!$A$3:$I$56,7,FALSE),main!$K$10:$Q$14,7,FALSE),1,0)</f>
        <v>1</v>
      </c>
      <c r="BC231">
        <f>IF(VLOOKUP(BC$1,main!$A$3:$I$56,5,FALSE)-VLOOKUP($A231,main!$A$3:$I$56,6,FALSE)&gt;=VLOOKUP(59,main!$A$57:$I$61,4,FALSE)+VLOOKUP(VLOOKUP(BC$1,main!$A$3:$I$56,7,FALSE),main!$K$10:$Q$14,7,FALSE),1,0)</f>
        <v>1</v>
      </c>
      <c r="BD231">
        <f>IF(VLOOKUP(BD$1,main!$A$3:$I$56,5,FALSE)-VLOOKUP($A231,main!$A$3:$I$56,6,FALSE)&gt;=VLOOKUP(59,main!$A$57:$I$61,4,FALSE)+VLOOKUP(VLOOKUP(BD$1,main!$A$3:$I$56,7,FALSE),main!$K$10:$Q$14,7,FALSE),1,0)</f>
        <v>1</v>
      </c>
    </row>
    <row r="232" spans="1:56" x14ac:dyDescent="0.25">
      <c r="A232">
        <f t="shared" si="4"/>
        <v>10</v>
      </c>
      <c r="B232">
        <v>0</v>
      </c>
      <c r="C232">
        <f>IF(VLOOKUP(C$1,main!$A$3:$I$56,5,FALSE)-VLOOKUP($A232,main!$A$3:$I$56,6,FALSE)&gt;=VLOOKUP(59,main!$A$57:$I$61,4,FALSE)+VLOOKUP(VLOOKUP(C$1,main!$A$3:$I$56,7,FALSE),main!$K$10:$Q$14,7,FALSE),1,0)</f>
        <v>0</v>
      </c>
      <c r="D232">
        <f>IF(VLOOKUP(D$1,main!$A$3:$I$56,5,FALSE)-VLOOKUP($A232,main!$A$3:$I$56,6,FALSE)&gt;=VLOOKUP(59,main!$A$57:$I$61,4,FALSE)+VLOOKUP(VLOOKUP(D$1,main!$A$3:$I$56,7,FALSE),main!$K$10:$Q$14,7,FALSE),1,0)</f>
        <v>0</v>
      </c>
      <c r="E232">
        <f>IF(VLOOKUP(E$1,main!$A$3:$I$56,5,FALSE)-VLOOKUP($A232,main!$A$3:$I$56,6,FALSE)&gt;=VLOOKUP(59,main!$A$57:$I$61,4,FALSE)+VLOOKUP(VLOOKUP(E$1,main!$A$3:$I$56,7,FALSE),main!$K$10:$Q$14,7,FALSE),1,0)</f>
        <v>0</v>
      </c>
      <c r="F232">
        <f>IF(VLOOKUP(F$1,main!$A$3:$I$56,5,FALSE)-VLOOKUP($A232,main!$A$3:$I$56,6,FALSE)&gt;=VLOOKUP(59,main!$A$57:$I$61,4,FALSE)+VLOOKUP(VLOOKUP(F$1,main!$A$3:$I$56,7,FALSE),main!$K$10:$Q$14,7,FALSE),1,0)</f>
        <v>0</v>
      </c>
      <c r="G232">
        <f>IF(VLOOKUP(G$1,main!$A$3:$I$56,5,FALSE)-VLOOKUP($A232,main!$A$3:$I$56,6,FALSE)&gt;=VLOOKUP(59,main!$A$57:$I$61,4,FALSE)+VLOOKUP(VLOOKUP(G$1,main!$A$3:$I$56,7,FALSE),main!$K$10:$Q$14,7,FALSE),1,0)</f>
        <v>0</v>
      </c>
      <c r="H232">
        <f>IF(VLOOKUP(H$1,main!$A$3:$I$56,5,FALSE)-VLOOKUP($A232,main!$A$3:$I$56,6,FALSE)&gt;=VLOOKUP(59,main!$A$57:$I$61,4,FALSE)+VLOOKUP(VLOOKUP(H$1,main!$A$3:$I$56,7,FALSE),main!$K$10:$Q$14,7,FALSE),1,0)</f>
        <v>0</v>
      </c>
      <c r="I232">
        <f>IF(VLOOKUP(I$1,main!$A$3:$I$56,5,FALSE)-VLOOKUP($A232,main!$A$3:$I$56,6,FALSE)&gt;=VLOOKUP(59,main!$A$57:$I$61,4,FALSE)+VLOOKUP(VLOOKUP(I$1,main!$A$3:$I$56,7,FALSE),main!$K$10:$Q$14,7,FALSE),1,0)</f>
        <v>1</v>
      </c>
      <c r="J232">
        <f>IF(VLOOKUP(J$1,main!$A$3:$I$56,5,FALSE)-VLOOKUP($A232,main!$A$3:$I$56,6,FALSE)&gt;=VLOOKUP(59,main!$A$57:$I$61,4,FALSE)+VLOOKUP(VLOOKUP(J$1,main!$A$3:$I$56,7,FALSE),main!$K$10:$Q$14,7,FALSE),1,0)</f>
        <v>1</v>
      </c>
      <c r="K232">
        <f>IF(VLOOKUP(K$1,main!$A$3:$I$56,5,FALSE)-VLOOKUP($A232,main!$A$3:$I$56,6,FALSE)&gt;=VLOOKUP(59,main!$A$57:$I$61,4,FALSE)+VLOOKUP(VLOOKUP(K$1,main!$A$3:$I$56,7,FALSE),main!$K$10:$Q$14,7,FALSE),1,0)</f>
        <v>0</v>
      </c>
      <c r="L232">
        <f>IF(VLOOKUP(L$1,main!$A$3:$I$56,5,FALSE)-VLOOKUP($A232,main!$A$3:$I$56,6,FALSE)&gt;=VLOOKUP(59,main!$A$57:$I$61,4,FALSE)+VLOOKUP(VLOOKUP(L$1,main!$A$3:$I$56,7,FALSE),main!$K$10:$Q$14,7,FALSE),1,0)</f>
        <v>0</v>
      </c>
      <c r="M232">
        <f>IF(VLOOKUP(M$1,main!$A$3:$I$56,5,FALSE)-VLOOKUP($A232,main!$A$3:$I$56,6,FALSE)&gt;=VLOOKUP(59,main!$A$57:$I$61,4,FALSE)+VLOOKUP(VLOOKUP(M$1,main!$A$3:$I$56,7,FALSE),main!$K$10:$Q$14,7,FALSE),1,0)</f>
        <v>0</v>
      </c>
      <c r="N232">
        <f>IF(VLOOKUP(N$1,main!$A$3:$I$56,5,FALSE)-VLOOKUP($A232,main!$A$3:$I$56,6,FALSE)&gt;=VLOOKUP(59,main!$A$57:$I$61,4,FALSE)+VLOOKUP(VLOOKUP(N$1,main!$A$3:$I$56,7,FALSE),main!$K$10:$Q$14,7,FALSE),1,0)</f>
        <v>1</v>
      </c>
      <c r="O232">
        <f>IF(VLOOKUP(O$1,main!$A$3:$I$56,5,FALSE)-VLOOKUP($A232,main!$A$3:$I$56,6,FALSE)&gt;=VLOOKUP(59,main!$A$57:$I$61,4,FALSE)+VLOOKUP(VLOOKUP(O$1,main!$A$3:$I$56,7,FALSE),main!$K$10:$Q$14,7,FALSE),1,0)</f>
        <v>1</v>
      </c>
      <c r="P232">
        <f>IF(VLOOKUP(P$1,main!$A$3:$I$56,5,FALSE)-VLOOKUP($A232,main!$A$3:$I$56,6,FALSE)&gt;=VLOOKUP(59,main!$A$57:$I$61,4,FALSE)+VLOOKUP(VLOOKUP(P$1,main!$A$3:$I$56,7,FALSE),main!$K$10:$Q$14,7,FALSE),1,0)</f>
        <v>0</v>
      </c>
      <c r="Q232">
        <f>IF(VLOOKUP(Q$1,main!$A$3:$I$56,5,FALSE)-VLOOKUP($A232,main!$A$3:$I$56,6,FALSE)&gt;=VLOOKUP(59,main!$A$57:$I$61,4,FALSE)+VLOOKUP(VLOOKUP(Q$1,main!$A$3:$I$56,7,FALSE),main!$K$10:$Q$14,7,FALSE),1,0)</f>
        <v>0</v>
      </c>
      <c r="R232">
        <f>IF(VLOOKUP(R$1,main!$A$3:$I$56,5,FALSE)-VLOOKUP($A232,main!$A$3:$I$56,6,FALSE)&gt;=VLOOKUP(59,main!$A$57:$I$61,4,FALSE)+VLOOKUP(VLOOKUP(R$1,main!$A$3:$I$56,7,FALSE),main!$K$10:$Q$14,7,FALSE),1,0)</f>
        <v>0</v>
      </c>
      <c r="S232">
        <f>IF(VLOOKUP(S$1,main!$A$3:$I$56,5,FALSE)-VLOOKUP($A232,main!$A$3:$I$56,6,FALSE)&gt;=VLOOKUP(59,main!$A$57:$I$61,4,FALSE)+VLOOKUP(VLOOKUP(S$1,main!$A$3:$I$56,7,FALSE),main!$K$10:$Q$14,7,FALSE),1,0)</f>
        <v>0</v>
      </c>
      <c r="T232">
        <f>IF(VLOOKUP(T$1,main!$A$3:$I$56,5,FALSE)-VLOOKUP($A232,main!$A$3:$I$56,6,FALSE)&gt;=VLOOKUP(59,main!$A$57:$I$61,4,FALSE)+VLOOKUP(VLOOKUP(T$1,main!$A$3:$I$56,7,FALSE),main!$K$10:$Q$14,7,FALSE),1,0)</f>
        <v>1</v>
      </c>
      <c r="U232">
        <f>IF(VLOOKUP(U$1,main!$A$3:$I$56,5,FALSE)-VLOOKUP($A232,main!$A$3:$I$56,6,FALSE)&gt;=VLOOKUP(59,main!$A$57:$I$61,4,FALSE)+VLOOKUP(VLOOKUP(U$1,main!$A$3:$I$56,7,FALSE),main!$K$10:$Q$14,7,FALSE),1,0)</f>
        <v>0</v>
      </c>
      <c r="V232">
        <f>IF(VLOOKUP(V$1,main!$A$3:$I$56,5,FALSE)-VLOOKUP($A232,main!$A$3:$I$56,6,FALSE)&gt;=VLOOKUP(59,main!$A$57:$I$61,4,FALSE)+VLOOKUP(VLOOKUP(V$1,main!$A$3:$I$56,7,FALSE),main!$K$10:$Q$14,7,FALSE),1,0)</f>
        <v>0</v>
      </c>
      <c r="W232">
        <f>IF(VLOOKUP(W$1,main!$A$3:$I$56,5,FALSE)-VLOOKUP($A232,main!$A$3:$I$56,6,FALSE)&gt;=VLOOKUP(59,main!$A$57:$I$61,4,FALSE)+VLOOKUP(VLOOKUP(W$1,main!$A$3:$I$56,7,FALSE),main!$K$10:$Q$14,7,FALSE),1,0)</f>
        <v>0</v>
      </c>
      <c r="X232">
        <f>IF(VLOOKUP(X$1,main!$A$3:$I$56,5,FALSE)-VLOOKUP($A232,main!$A$3:$I$56,6,FALSE)&gt;=VLOOKUP(59,main!$A$57:$I$61,4,FALSE)+VLOOKUP(VLOOKUP(X$1,main!$A$3:$I$56,7,FALSE),main!$K$10:$Q$14,7,FALSE),1,0)</f>
        <v>0</v>
      </c>
      <c r="Y232">
        <f>IF(VLOOKUP(Y$1,main!$A$3:$I$56,5,FALSE)-VLOOKUP($A232,main!$A$3:$I$56,6,FALSE)&gt;=VLOOKUP(59,main!$A$57:$I$61,4,FALSE)+VLOOKUP(VLOOKUP(Y$1,main!$A$3:$I$56,7,FALSE),main!$K$10:$Q$14,7,FALSE),1,0)</f>
        <v>0</v>
      </c>
      <c r="Z232">
        <f>IF(VLOOKUP(Z$1,main!$A$3:$I$56,5,FALSE)-VLOOKUP($A232,main!$A$3:$I$56,6,FALSE)&gt;=VLOOKUP(59,main!$A$57:$I$61,4,FALSE)+VLOOKUP(VLOOKUP(Z$1,main!$A$3:$I$56,7,FALSE),main!$K$10:$Q$14,7,FALSE),1,0)</f>
        <v>0</v>
      </c>
      <c r="AA232">
        <f>IF(VLOOKUP(AA$1,main!$A$3:$I$56,5,FALSE)-VLOOKUP($A232,main!$A$3:$I$56,6,FALSE)&gt;=VLOOKUP(59,main!$A$57:$I$61,4,FALSE)+VLOOKUP(VLOOKUP(AA$1,main!$A$3:$I$56,7,FALSE),main!$K$10:$Q$14,7,FALSE),1,0)</f>
        <v>1</v>
      </c>
      <c r="AB232">
        <f>IF(VLOOKUP(AB$1,main!$A$3:$I$56,5,FALSE)-VLOOKUP($A232,main!$A$3:$I$56,6,FALSE)&gt;=VLOOKUP(59,main!$A$57:$I$61,4,FALSE)+VLOOKUP(VLOOKUP(AB$1,main!$A$3:$I$56,7,FALSE),main!$K$10:$Q$14,7,FALSE),1,0)</f>
        <v>1</v>
      </c>
      <c r="AC232">
        <f>IF(VLOOKUP(AC$1,main!$A$3:$I$56,5,FALSE)-VLOOKUP($A232,main!$A$3:$I$56,6,FALSE)&gt;=VLOOKUP(59,main!$A$57:$I$61,4,FALSE)+VLOOKUP(VLOOKUP(AC$1,main!$A$3:$I$56,7,FALSE),main!$K$10:$Q$14,7,FALSE),1,0)</f>
        <v>0</v>
      </c>
      <c r="AD232">
        <f>IF(VLOOKUP(AD$1,main!$A$3:$I$56,5,FALSE)-VLOOKUP($A232,main!$A$3:$I$56,6,FALSE)&gt;=VLOOKUP(59,main!$A$57:$I$61,4,FALSE)+VLOOKUP(VLOOKUP(AD$1,main!$A$3:$I$56,7,FALSE),main!$K$10:$Q$14,7,FALSE),1,0)</f>
        <v>0</v>
      </c>
      <c r="AE232">
        <f>IF(VLOOKUP(AE$1,main!$A$3:$I$56,5,FALSE)-VLOOKUP($A232,main!$A$3:$I$56,6,FALSE)&gt;=VLOOKUP(59,main!$A$57:$I$61,4,FALSE)+VLOOKUP(VLOOKUP(AE$1,main!$A$3:$I$56,7,FALSE),main!$K$10:$Q$14,7,FALSE),1,0)</f>
        <v>0</v>
      </c>
      <c r="AF232">
        <f>IF(VLOOKUP(AF$1,main!$A$3:$I$56,5,FALSE)-VLOOKUP($A232,main!$A$3:$I$56,6,FALSE)&gt;=VLOOKUP(59,main!$A$57:$I$61,4,FALSE)+VLOOKUP(VLOOKUP(AF$1,main!$A$3:$I$56,7,FALSE),main!$K$10:$Q$14,7,FALSE),1,0)</f>
        <v>0</v>
      </c>
      <c r="AG232">
        <f>IF(VLOOKUP(AG$1,main!$A$3:$I$56,5,FALSE)-VLOOKUP($A232,main!$A$3:$I$56,6,FALSE)&gt;=VLOOKUP(59,main!$A$57:$I$61,4,FALSE)+VLOOKUP(VLOOKUP(AG$1,main!$A$3:$I$56,7,FALSE),main!$K$10:$Q$14,7,FALSE),1,0)</f>
        <v>0</v>
      </c>
      <c r="AH232">
        <f>IF(VLOOKUP(AH$1,main!$A$3:$I$56,5,FALSE)-VLOOKUP($A232,main!$A$3:$I$56,6,FALSE)&gt;=VLOOKUP(59,main!$A$57:$I$61,4,FALSE)+VLOOKUP(VLOOKUP(AH$1,main!$A$3:$I$56,7,FALSE),main!$K$10:$Q$14,7,FALSE),1,0)</f>
        <v>0</v>
      </c>
      <c r="AI232">
        <f>IF(VLOOKUP(AI$1,main!$A$3:$I$56,5,FALSE)-VLOOKUP($A232,main!$A$3:$I$56,6,FALSE)&gt;=VLOOKUP(59,main!$A$57:$I$61,4,FALSE)+VLOOKUP(VLOOKUP(AI$1,main!$A$3:$I$56,7,FALSE),main!$K$10:$Q$14,7,FALSE),1,0)</f>
        <v>0</v>
      </c>
      <c r="AJ232">
        <f>IF(VLOOKUP(AJ$1,main!$A$3:$I$56,5,FALSE)-VLOOKUP($A232,main!$A$3:$I$56,6,FALSE)&gt;=VLOOKUP(59,main!$A$57:$I$61,4,FALSE)+VLOOKUP(VLOOKUP(AJ$1,main!$A$3:$I$56,7,FALSE),main!$K$10:$Q$14,7,FALSE),1,0)</f>
        <v>0</v>
      </c>
      <c r="AK232">
        <f>IF(VLOOKUP(AK$1,main!$A$3:$I$56,5,FALSE)-VLOOKUP($A232,main!$A$3:$I$56,6,FALSE)&gt;=VLOOKUP(59,main!$A$57:$I$61,4,FALSE)+VLOOKUP(VLOOKUP(AK$1,main!$A$3:$I$56,7,FALSE),main!$K$10:$Q$14,7,FALSE),1,0)</f>
        <v>0</v>
      </c>
      <c r="AL232">
        <f>IF(VLOOKUP(AL$1,main!$A$3:$I$56,5,FALSE)-VLOOKUP($A232,main!$A$3:$I$56,6,FALSE)&gt;=VLOOKUP(59,main!$A$57:$I$61,4,FALSE)+VLOOKUP(VLOOKUP(AL$1,main!$A$3:$I$56,7,FALSE),main!$K$10:$Q$14,7,FALSE),1,0)</f>
        <v>0</v>
      </c>
      <c r="AM232">
        <f>IF(VLOOKUP(AM$1,main!$A$3:$I$56,5,FALSE)-VLOOKUP($A232,main!$A$3:$I$56,6,FALSE)&gt;=VLOOKUP(59,main!$A$57:$I$61,4,FALSE)+VLOOKUP(VLOOKUP(AM$1,main!$A$3:$I$56,7,FALSE),main!$K$10:$Q$14,7,FALSE),1,0)</f>
        <v>0</v>
      </c>
      <c r="AN232">
        <f>IF(VLOOKUP(AN$1,main!$A$3:$I$56,5,FALSE)-VLOOKUP($A232,main!$A$3:$I$56,6,FALSE)&gt;=VLOOKUP(59,main!$A$57:$I$61,4,FALSE)+VLOOKUP(VLOOKUP(AN$1,main!$A$3:$I$56,7,FALSE),main!$K$10:$Q$14,7,FALSE),1,0)</f>
        <v>0</v>
      </c>
      <c r="AO232">
        <f>IF(VLOOKUP(AO$1,main!$A$3:$I$56,5,FALSE)-VLOOKUP($A232,main!$A$3:$I$56,6,FALSE)&gt;=VLOOKUP(59,main!$A$57:$I$61,4,FALSE)+VLOOKUP(VLOOKUP(AO$1,main!$A$3:$I$56,7,FALSE),main!$K$10:$Q$14,7,FALSE),1,0)</f>
        <v>0</v>
      </c>
      <c r="AP232">
        <f>IF(VLOOKUP(AP$1,main!$A$3:$I$56,5,FALSE)-VLOOKUP($A232,main!$A$3:$I$56,6,FALSE)&gt;=VLOOKUP(59,main!$A$57:$I$61,4,FALSE)+VLOOKUP(VLOOKUP(AP$1,main!$A$3:$I$56,7,FALSE),main!$K$10:$Q$14,7,FALSE),1,0)</f>
        <v>0</v>
      </c>
      <c r="AQ232">
        <f>IF(VLOOKUP(AQ$1,main!$A$3:$I$56,5,FALSE)-VLOOKUP($A232,main!$A$3:$I$56,6,FALSE)&gt;=VLOOKUP(59,main!$A$57:$I$61,4,FALSE)+VLOOKUP(VLOOKUP(AQ$1,main!$A$3:$I$56,7,FALSE),main!$K$10:$Q$14,7,FALSE),1,0)</f>
        <v>0</v>
      </c>
      <c r="AR232">
        <f>IF(VLOOKUP(AR$1,main!$A$3:$I$56,5,FALSE)-VLOOKUP($A232,main!$A$3:$I$56,6,FALSE)&gt;=VLOOKUP(59,main!$A$57:$I$61,4,FALSE)+VLOOKUP(VLOOKUP(AR$1,main!$A$3:$I$56,7,FALSE),main!$K$10:$Q$14,7,FALSE),1,0)</f>
        <v>0</v>
      </c>
      <c r="AS232">
        <f>IF(VLOOKUP(AS$1,main!$A$3:$I$56,5,FALSE)-VLOOKUP($A232,main!$A$3:$I$56,6,FALSE)&gt;=VLOOKUP(59,main!$A$57:$I$61,4,FALSE)+VLOOKUP(VLOOKUP(AS$1,main!$A$3:$I$56,7,FALSE),main!$K$10:$Q$14,7,FALSE),1,0)</f>
        <v>0</v>
      </c>
      <c r="AT232">
        <f>IF(VLOOKUP(AT$1,main!$A$3:$I$56,5,FALSE)-VLOOKUP($A232,main!$A$3:$I$56,6,FALSE)&gt;=VLOOKUP(59,main!$A$57:$I$61,4,FALSE)+VLOOKUP(VLOOKUP(AT$1,main!$A$3:$I$56,7,FALSE),main!$K$10:$Q$14,7,FALSE),1,0)</f>
        <v>0</v>
      </c>
      <c r="AU232">
        <f>IF(VLOOKUP(AU$1,main!$A$3:$I$56,5,FALSE)-VLOOKUP($A232,main!$A$3:$I$56,6,FALSE)&gt;=VLOOKUP(59,main!$A$57:$I$61,4,FALSE)+VLOOKUP(VLOOKUP(AU$1,main!$A$3:$I$56,7,FALSE),main!$K$10:$Q$14,7,FALSE),1,0)</f>
        <v>0</v>
      </c>
      <c r="AV232">
        <f>IF(VLOOKUP(AV$1,main!$A$3:$I$56,5,FALSE)-VLOOKUP($A232,main!$A$3:$I$56,6,FALSE)&gt;=VLOOKUP(59,main!$A$57:$I$61,4,FALSE)+VLOOKUP(VLOOKUP(AV$1,main!$A$3:$I$56,7,FALSE),main!$K$10:$Q$14,7,FALSE),1,0)</f>
        <v>0</v>
      </c>
      <c r="AW232">
        <f>IF(VLOOKUP(AW$1,main!$A$3:$I$56,5,FALSE)-VLOOKUP($A232,main!$A$3:$I$56,6,FALSE)&gt;=VLOOKUP(59,main!$A$57:$I$61,4,FALSE)+VLOOKUP(VLOOKUP(AW$1,main!$A$3:$I$56,7,FALSE),main!$K$10:$Q$14,7,FALSE),1,0)</f>
        <v>0</v>
      </c>
      <c r="AX232">
        <f>IF(VLOOKUP(AX$1,main!$A$3:$I$56,5,FALSE)-VLOOKUP($A232,main!$A$3:$I$56,6,FALSE)&gt;=VLOOKUP(59,main!$A$57:$I$61,4,FALSE)+VLOOKUP(VLOOKUP(AX$1,main!$A$3:$I$56,7,FALSE),main!$K$10:$Q$14,7,FALSE),1,0)</f>
        <v>1</v>
      </c>
      <c r="AY232">
        <f>IF(VLOOKUP(AY$1,main!$A$3:$I$56,5,FALSE)-VLOOKUP($A232,main!$A$3:$I$56,6,FALSE)&gt;=VLOOKUP(59,main!$A$57:$I$61,4,FALSE)+VLOOKUP(VLOOKUP(AY$1,main!$A$3:$I$56,7,FALSE),main!$K$10:$Q$14,7,FALSE),1,0)</f>
        <v>1</v>
      </c>
      <c r="AZ232">
        <f>IF(VLOOKUP(AZ$1,main!$A$3:$I$56,5,FALSE)-VLOOKUP($A232,main!$A$3:$I$56,6,FALSE)&gt;=VLOOKUP(59,main!$A$57:$I$61,4,FALSE)+VLOOKUP(VLOOKUP(AZ$1,main!$A$3:$I$56,7,FALSE),main!$K$10:$Q$14,7,FALSE),1,0)</f>
        <v>0</v>
      </c>
      <c r="BA232">
        <f>IF(VLOOKUP(BA$1,main!$A$3:$I$56,5,FALSE)-VLOOKUP($A232,main!$A$3:$I$56,6,FALSE)&gt;=VLOOKUP(59,main!$A$57:$I$61,4,FALSE)+VLOOKUP(VLOOKUP(BA$1,main!$A$3:$I$56,7,FALSE),main!$K$10:$Q$14,7,FALSE),1,0)</f>
        <v>0</v>
      </c>
      <c r="BB232">
        <f>IF(VLOOKUP(BB$1,main!$A$3:$I$56,5,FALSE)-VLOOKUP($A232,main!$A$3:$I$56,6,FALSE)&gt;=VLOOKUP(59,main!$A$57:$I$61,4,FALSE)+VLOOKUP(VLOOKUP(BB$1,main!$A$3:$I$56,7,FALSE),main!$K$10:$Q$14,7,FALSE),1,0)</f>
        <v>0</v>
      </c>
      <c r="BC232">
        <f>IF(VLOOKUP(BC$1,main!$A$3:$I$56,5,FALSE)-VLOOKUP($A232,main!$A$3:$I$56,6,FALSE)&gt;=VLOOKUP(59,main!$A$57:$I$61,4,FALSE)+VLOOKUP(VLOOKUP(BC$1,main!$A$3:$I$56,7,FALSE),main!$K$10:$Q$14,7,FALSE),1,0)</f>
        <v>1</v>
      </c>
      <c r="BD232">
        <f>IF(VLOOKUP(BD$1,main!$A$3:$I$56,5,FALSE)-VLOOKUP($A232,main!$A$3:$I$56,6,FALSE)&gt;=VLOOKUP(59,main!$A$57:$I$61,4,FALSE)+VLOOKUP(VLOOKUP(BD$1,main!$A$3:$I$56,7,FALSE),main!$K$10:$Q$14,7,FALSE),1,0)</f>
        <v>1</v>
      </c>
    </row>
    <row r="233" spans="1:56" x14ac:dyDescent="0.25">
      <c r="A233">
        <f t="shared" si="4"/>
        <v>11</v>
      </c>
      <c r="B233">
        <v>0</v>
      </c>
      <c r="C233">
        <f>IF(VLOOKUP(C$1,main!$A$3:$I$56,5,FALSE)-VLOOKUP($A233,main!$A$3:$I$56,6,FALSE)&gt;=VLOOKUP(59,main!$A$57:$I$61,4,FALSE)+VLOOKUP(VLOOKUP(C$1,main!$A$3:$I$56,7,FALSE),main!$K$10:$Q$14,7,FALSE),1,0)</f>
        <v>0</v>
      </c>
      <c r="D233">
        <f>IF(VLOOKUP(D$1,main!$A$3:$I$56,5,FALSE)-VLOOKUP($A233,main!$A$3:$I$56,6,FALSE)&gt;=VLOOKUP(59,main!$A$57:$I$61,4,FALSE)+VLOOKUP(VLOOKUP(D$1,main!$A$3:$I$56,7,FALSE),main!$K$10:$Q$14,7,FALSE),1,0)</f>
        <v>0</v>
      </c>
      <c r="E233">
        <f>IF(VLOOKUP(E$1,main!$A$3:$I$56,5,FALSE)-VLOOKUP($A233,main!$A$3:$I$56,6,FALSE)&gt;=VLOOKUP(59,main!$A$57:$I$61,4,FALSE)+VLOOKUP(VLOOKUP(E$1,main!$A$3:$I$56,7,FALSE),main!$K$10:$Q$14,7,FALSE),1,0)</f>
        <v>0</v>
      </c>
      <c r="F233">
        <f>IF(VLOOKUP(F$1,main!$A$3:$I$56,5,FALSE)-VLOOKUP($A233,main!$A$3:$I$56,6,FALSE)&gt;=VLOOKUP(59,main!$A$57:$I$61,4,FALSE)+VLOOKUP(VLOOKUP(F$1,main!$A$3:$I$56,7,FALSE),main!$K$10:$Q$14,7,FALSE),1,0)</f>
        <v>0</v>
      </c>
      <c r="G233">
        <f>IF(VLOOKUP(G$1,main!$A$3:$I$56,5,FALSE)-VLOOKUP($A233,main!$A$3:$I$56,6,FALSE)&gt;=VLOOKUP(59,main!$A$57:$I$61,4,FALSE)+VLOOKUP(VLOOKUP(G$1,main!$A$3:$I$56,7,FALSE),main!$K$10:$Q$14,7,FALSE),1,0)</f>
        <v>0</v>
      </c>
      <c r="H233">
        <f>IF(VLOOKUP(H$1,main!$A$3:$I$56,5,FALSE)-VLOOKUP($A233,main!$A$3:$I$56,6,FALSE)&gt;=VLOOKUP(59,main!$A$57:$I$61,4,FALSE)+VLOOKUP(VLOOKUP(H$1,main!$A$3:$I$56,7,FALSE),main!$K$10:$Q$14,7,FALSE),1,0)</f>
        <v>0</v>
      </c>
      <c r="I233">
        <f>IF(VLOOKUP(I$1,main!$A$3:$I$56,5,FALSE)-VLOOKUP($A233,main!$A$3:$I$56,6,FALSE)&gt;=VLOOKUP(59,main!$A$57:$I$61,4,FALSE)+VLOOKUP(VLOOKUP(I$1,main!$A$3:$I$56,7,FALSE),main!$K$10:$Q$14,7,FALSE),1,0)</f>
        <v>0</v>
      </c>
      <c r="J233">
        <f>IF(VLOOKUP(J$1,main!$A$3:$I$56,5,FALSE)-VLOOKUP($A233,main!$A$3:$I$56,6,FALSE)&gt;=VLOOKUP(59,main!$A$57:$I$61,4,FALSE)+VLOOKUP(VLOOKUP(J$1,main!$A$3:$I$56,7,FALSE),main!$K$10:$Q$14,7,FALSE),1,0)</f>
        <v>0</v>
      </c>
      <c r="K233">
        <f>IF(VLOOKUP(K$1,main!$A$3:$I$56,5,FALSE)-VLOOKUP($A233,main!$A$3:$I$56,6,FALSE)&gt;=VLOOKUP(59,main!$A$57:$I$61,4,FALSE)+VLOOKUP(VLOOKUP(K$1,main!$A$3:$I$56,7,FALSE),main!$K$10:$Q$14,7,FALSE),1,0)</f>
        <v>0</v>
      </c>
      <c r="L233">
        <f>IF(VLOOKUP(L$1,main!$A$3:$I$56,5,FALSE)-VLOOKUP($A233,main!$A$3:$I$56,6,FALSE)&gt;=VLOOKUP(59,main!$A$57:$I$61,4,FALSE)+VLOOKUP(VLOOKUP(L$1,main!$A$3:$I$56,7,FALSE),main!$K$10:$Q$14,7,FALSE),1,0)</f>
        <v>0</v>
      </c>
      <c r="M233">
        <f>IF(VLOOKUP(M$1,main!$A$3:$I$56,5,FALSE)-VLOOKUP($A233,main!$A$3:$I$56,6,FALSE)&gt;=VLOOKUP(59,main!$A$57:$I$61,4,FALSE)+VLOOKUP(VLOOKUP(M$1,main!$A$3:$I$56,7,FALSE),main!$K$10:$Q$14,7,FALSE),1,0)</f>
        <v>0</v>
      </c>
      <c r="N233">
        <f>IF(VLOOKUP(N$1,main!$A$3:$I$56,5,FALSE)-VLOOKUP($A233,main!$A$3:$I$56,6,FALSE)&gt;=VLOOKUP(59,main!$A$57:$I$61,4,FALSE)+VLOOKUP(VLOOKUP(N$1,main!$A$3:$I$56,7,FALSE),main!$K$10:$Q$14,7,FALSE),1,0)</f>
        <v>0</v>
      </c>
      <c r="O233">
        <f>IF(VLOOKUP(O$1,main!$A$3:$I$56,5,FALSE)-VLOOKUP($A233,main!$A$3:$I$56,6,FALSE)&gt;=VLOOKUP(59,main!$A$57:$I$61,4,FALSE)+VLOOKUP(VLOOKUP(O$1,main!$A$3:$I$56,7,FALSE),main!$K$10:$Q$14,7,FALSE),1,0)</f>
        <v>1</v>
      </c>
      <c r="P233">
        <f>IF(VLOOKUP(P$1,main!$A$3:$I$56,5,FALSE)-VLOOKUP($A233,main!$A$3:$I$56,6,FALSE)&gt;=VLOOKUP(59,main!$A$57:$I$61,4,FALSE)+VLOOKUP(VLOOKUP(P$1,main!$A$3:$I$56,7,FALSE),main!$K$10:$Q$14,7,FALSE),1,0)</f>
        <v>0</v>
      </c>
      <c r="Q233">
        <f>IF(VLOOKUP(Q$1,main!$A$3:$I$56,5,FALSE)-VLOOKUP($A233,main!$A$3:$I$56,6,FALSE)&gt;=VLOOKUP(59,main!$A$57:$I$61,4,FALSE)+VLOOKUP(VLOOKUP(Q$1,main!$A$3:$I$56,7,FALSE),main!$K$10:$Q$14,7,FALSE),1,0)</f>
        <v>0</v>
      </c>
      <c r="R233">
        <f>IF(VLOOKUP(R$1,main!$A$3:$I$56,5,FALSE)-VLOOKUP($A233,main!$A$3:$I$56,6,FALSE)&gt;=VLOOKUP(59,main!$A$57:$I$61,4,FALSE)+VLOOKUP(VLOOKUP(R$1,main!$A$3:$I$56,7,FALSE),main!$K$10:$Q$14,7,FALSE),1,0)</f>
        <v>0</v>
      </c>
      <c r="S233">
        <f>IF(VLOOKUP(S$1,main!$A$3:$I$56,5,FALSE)-VLOOKUP($A233,main!$A$3:$I$56,6,FALSE)&gt;=VLOOKUP(59,main!$A$57:$I$61,4,FALSE)+VLOOKUP(VLOOKUP(S$1,main!$A$3:$I$56,7,FALSE),main!$K$10:$Q$14,7,FALSE),1,0)</f>
        <v>0</v>
      </c>
      <c r="T233">
        <f>IF(VLOOKUP(T$1,main!$A$3:$I$56,5,FALSE)-VLOOKUP($A233,main!$A$3:$I$56,6,FALSE)&gt;=VLOOKUP(59,main!$A$57:$I$61,4,FALSE)+VLOOKUP(VLOOKUP(T$1,main!$A$3:$I$56,7,FALSE),main!$K$10:$Q$14,7,FALSE),1,0)</f>
        <v>0</v>
      </c>
      <c r="U233">
        <f>IF(VLOOKUP(U$1,main!$A$3:$I$56,5,FALSE)-VLOOKUP($A233,main!$A$3:$I$56,6,FALSE)&gt;=VLOOKUP(59,main!$A$57:$I$61,4,FALSE)+VLOOKUP(VLOOKUP(U$1,main!$A$3:$I$56,7,FALSE),main!$K$10:$Q$14,7,FALSE),1,0)</f>
        <v>0</v>
      </c>
      <c r="V233">
        <f>IF(VLOOKUP(V$1,main!$A$3:$I$56,5,FALSE)-VLOOKUP($A233,main!$A$3:$I$56,6,FALSE)&gt;=VLOOKUP(59,main!$A$57:$I$61,4,FALSE)+VLOOKUP(VLOOKUP(V$1,main!$A$3:$I$56,7,FALSE),main!$K$10:$Q$14,7,FALSE),1,0)</f>
        <v>0</v>
      </c>
      <c r="W233">
        <f>IF(VLOOKUP(W$1,main!$A$3:$I$56,5,FALSE)-VLOOKUP($A233,main!$A$3:$I$56,6,FALSE)&gt;=VLOOKUP(59,main!$A$57:$I$61,4,FALSE)+VLOOKUP(VLOOKUP(W$1,main!$A$3:$I$56,7,FALSE),main!$K$10:$Q$14,7,FALSE),1,0)</f>
        <v>0</v>
      </c>
      <c r="X233">
        <f>IF(VLOOKUP(X$1,main!$A$3:$I$56,5,FALSE)-VLOOKUP($A233,main!$A$3:$I$56,6,FALSE)&gt;=VLOOKUP(59,main!$A$57:$I$61,4,FALSE)+VLOOKUP(VLOOKUP(X$1,main!$A$3:$I$56,7,FALSE),main!$K$10:$Q$14,7,FALSE),1,0)</f>
        <v>0</v>
      </c>
      <c r="Y233">
        <f>IF(VLOOKUP(Y$1,main!$A$3:$I$56,5,FALSE)-VLOOKUP($A233,main!$A$3:$I$56,6,FALSE)&gt;=VLOOKUP(59,main!$A$57:$I$61,4,FALSE)+VLOOKUP(VLOOKUP(Y$1,main!$A$3:$I$56,7,FALSE),main!$K$10:$Q$14,7,FALSE),1,0)</f>
        <v>0</v>
      </c>
      <c r="Z233">
        <f>IF(VLOOKUP(Z$1,main!$A$3:$I$56,5,FALSE)-VLOOKUP($A233,main!$A$3:$I$56,6,FALSE)&gt;=VLOOKUP(59,main!$A$57:$I$61,4,FALSE)+VLOOKUP(VLOOKUP(Z$1,main!$A$3:$I$56,7,FALSE),main!$K$10:$Q$14,7,FALSE),1,0)</f>
        <v>0</v>
      </c>
      <c r="AA233">
        <f>IF(VLOOKUP(AA$1,main!$A$3:$I$56,5,FALSE)-VLOOKUP($A233,main!$A$3:$I$56,6,FALSE)&gt;=VLOOKUP(59,main!$A$57:$I$61,4,FALSE)+VLOOKUP(VLOOKUP(AA$1,main!$A$3:$I$56,7,FALSE),main!$K$10:$Q$14,7,FALSE),1,0)</f>
        <v>0</v>
      </c>
      <c r="AB233">
        <f>IF(VLOOKUP(AB$1,main!$A$3:$I$56,5,FALSE)-VLOOKUP($A233,main!$A$3:$I$56,6,FALSE)&gt;=VLOOKUP(59,main!$A$57:$I$61,4,FALSE)+VLOOKUP(VLOOKUP(AB$1,main!$A$3:$I$56,7,FALSE),main!$K$10:$Q$14,7,FALSE),1,0)</f>
        <v>0</v>
      </c>
      <c r="AC233">
        <f>IF(VLOOKUP(AC$1,main!$A$3:$I$56,5,FALSE)-VLOOKUP($A233,main!$A$3:$I$56,6,FALSE)&gt;=VLOOKUP(59,main!$A$57:$I$61,4,FALSE)+VLOOKUP(VLOOKUP(AC$1,main!$A$3:$I$56,7,FALSE),main!$K$10:$Q$14,7,FALSE),1,0)</f>
        <v>0</v>
      </c>
      <c r="AD233">
        <f>IF(VLOOKUP(AD$1,main!$A$3:$I$56,5,FALSE)-VLOOKUP($A233,main!$A$3:$I$56,6,FALSE)&gt;=VLOOKUP(59,main!$A$57:$I$61,4,FALSE)+VLOOKUP(VLOOKUP(AD$1,main!$A$3:$I$56,7,FALSE),main!$K$10:$Q$14,7,FALSE),1,0)</f>
        <v>0</v>
      </c>
      <c r="AE233">
        <f>IF(VLOOKUP(AE$1,main!$A$3:$I$56,5,FALSE)-VLOOKUP($A233,main!$A$3:$I$56,6,FALSE)&gt;=VLOOKUP(59,main!$A$57:$I$61,4,FALSE)+VLOOKUP(VLOOKUP(AE$1,main!$A$3:$I$56,7,FALSE),main!$K$10:$Q$14,7,FALSE),1,0)</f>
        <v>0</v>
      </c>
      <c r="AF233">
        <f>IF(VLOOKUP(AF$1,main!$A$3:$I$56,5,FALSE)-VLOOKUP($A233,main!$A$3:$I$56,6,FALSE)&gt;=VLOOKUP(59,main!$A$57:$I$61,4,FALSE)+VLOOKUP(VLOOKUP(AF$1,main!$A$3:$I$56,7,FALSE),main!$K$10:$Q$14,7,FALSE),1,0)</f>
        <v>0</v>
      </c>
      <c r="AG233">
        <f>IF(VLOOKUP(AG$1,main!$A$3:$I$56,5,FALSE)-VLOOKUP($A233,main!$A$3:$I$56,6,FALSE)&gt;=VLOOKUP(59,main!$A$57:$I$61,4,FALSE)+VLOOKUP(VLOOKUP(AG$1,main!$A$3:$I$56,7,FALSE),main!$K$10:$Q$14,7,FALSE),1,0)</f>
        <v>0</v>
      </c>
      <c r="AH233">
        <f>IF(VLOOKUP(AH$1,main!$A$3:$I$56,5,FALSE)-VLOOKUP($A233,main!$A$3:$I$56,6,FALSE)&gt;=VLOOKUP(59,main!$A$57:$I$61,4,FALSE)+VLOOKUP(VLOOKUP(AH$1,main!$A$3:$I$56,7,FALSE),main!$K$10:$Q$14,7,FALSE),1,0)</f>
        <v>0</v>
      </c>
      <c r="AI233">
        <f>IF(VLOOKUP(AI$1,main!$A$3:$I$56,5,FALSE)-VLOOKUP($A233,main!$A$3:$I$56,6,FALSE)&gt;=VLOOKUP(59,main!$A$57:$I$61,4,FALSE)+VLOOKUP(VLOOKUP(AI$1,main!$A$3:$I$56,7,FALSE),main!$K$10:$Q$14,7,FALSE),1,0)</f>
        <v>0</v>
      </c>
      <c r="AJ233">
        <f>IF(VLOOKUP(AJ$1,main!$A$3:$I$56,5,FALSE)-VLOOKUP($A233,main!$A$3:$I$56,6,FALSE)&gt;=VLOOKUP(59,main!$A$57:$I$61,4,FALSE)+VLOOKUP(VLOOKUP(AJ$1,main!$A$3:$I$56,7,FALSE),main!$K$10:$Q$14,7,FALSE),1,0)</f>
        <v>0</v>
      </c>
      <c r="AK233">
        <f>IF(VLOOKUP(AK$1,main!$A$3:$I$56,5,FALSE)-VLOOKUP($A233,main!$A$3:$I$56,6,FALSE)&gt;=VLOOKUP(59,main!$A$57:$I$61,4,FALSE)+VLOOKUP(VLOOKUP(AK$1,main!$A$3:$I$56,7,FALSE),main!$K$10:$Q$14,7,FALSE),1,0)</f>
        <v>0</v>
      </c>
      <c r="AL233">
        <f>IF(VLOOKUP(AL$1,main!$A$3:$I$56,5,FALSE)-VLOOKUP($A233,main!$A$3:$I$56,6,FALSE)&gt;=VLOOKUP(59,main!$A$57:$I$61,4,FALSE)+VLOOKUP(VLOOKUP(AL$1,main!$A$3:$I$56,7,FALSE),main!$K$10:$Q$14,7,FALSE),1,0)</f>
        <v>0</v>
      </c>
      <c r="AM233">
        <f>IF(VLOOKUP(AM$1,main!$A$3:$I$56,5,FALSE)-VLOOKUP($A233,main!$A$3:$I$56,6,FALSE)&gt;=VLOOKUP(59,main!$A$57:$I$61,4,FALSE)+VLOOKUP(VLOOKUP(AM$1,main!$A$3:$I$56,7,FALSE),main!$K$10:$Q$14,7,FALSE),1,0)</f>
        <v>0</v>
      </c>
      <c r="AN233">
        <f>IF(VLOOKUP(AN$1,main!$A$3:$I$56,5,FALSE)-VLOOKUP($A233,main!$A$3:$I$56,6,FALSE)&gt;=VLOOKUP(59,main!$A$57:$I$61,4,FALSE)+VLOOKUP(VLOOKUP(AN$1,main!$A$3:$I$56,7,FALSE),main!$K$10:$Q$14,7,FALSE),1,0)</f>
        <v>0</v>
      </c>
      <c r="AO233">
        <f>IF(VLOOKUP(AO$1,main!$A$3:$I$56,5,FALSE)-VLOOKUP($A233,main!$A$3:$I$56,6,FALSE)&gt;=VLOOKUP(59,main!$A$57:$I$61,4,FALSE)+VLOOKUP(VLOOKUP(AO$1,main!$A$3:$I$56,7,FALSE),main!$K$10:$Q$14,7,FALSE),1,0)</f>
        <v>0</v>
      </c>
      <c r="AP233">
        <f>IF(VLOOKUP(AP$1,main!$A$3:$I$56,5,FALSE)-VLOOKUP($A233,main!$A$3:$I$56,6,FALSE)&gt;=VLOOKUP(59,main!$A$57:$I$61,4,FALSE)+VLOOKUP(VLOOKUP(AP$1,main!$A$3:$I$56,7,FALSE),main!$K$10:$Q$14,7,FALSE),1,0)</f>
        <v>0</v>
      </c>
      <c r="AQ233">
        <f>IF(VLOOKUP(AQ$1,main!$A$3:$I$56,5,FALSE)-VLOOKUP($A233,main!$A$3:$I$56,6,FALSE)&gt;=VLOOKUP(59,main!$A$57:$I$61,4,FALSE)+VLOOKUP(VLOOKUP(AQ$1,main!$A$3:$I$56,7,FALSE),main!$K$10:$Q$14,7,FALSE),1,0)</f>
        <v>0</v>
      </c>
      <c r="AR233">
        <f>IF(VLOOKUP(AR$1,main!$A$3:$I$56,5,FALSE)-VLOOKUP($A233,main!$A$3:$I$56,6,FALSE)&gt;=VLOOKUP(59,main!$A$57:$I$61,4,FALSE)+VLOOKUP(VLOOKUP(AR$1,main!$A$3:$I$56,7,FALSE),main!$K$10:$Q$14,7,FALSE),1,0)</f>
        <v>0</v>
      </c>
      <c r="AS233">
        <f>IF(VLOOKUP(AS$1,main!$A$3:$I$56,5,FALSE)-VLOOKUP($A233,main!$A$3:$I$56,6,FALSE)&gt;=VLOOKUP(59,main!$A$57:$I$61,4,FALSE)+VLOOKUP(VLOOKUP(AS$1,main!$A$3:$I$56,7,FALSE),main!$K$10:$Q$14,7,FALSE),1,0)</f>
        <v>0</v>
      </c>
      <c r="AT233">
        <f>IF(VLOOKUP(AT$1,main!$A$3:$I$56,5,FALSE)-VLOOKUP($A233,main!$A$3:$I$56,6,FALSE)&gt;=VLOOKUP(59,main!$A$57:$I$61,4,FALSE)+VLOOKUP(VLOOKUP(AT$1,main!$A$3:$I$56,7,FALSE),main!$K$10:$Q$14,7,FALSE),1,0)</f>
        <v>0</v>
      </c>
      <c r="AU233">
        <f>IF(VLOOKUP(AU$1,main!$A$3:$I$56,5,FALSE)-VLOOKUP($A233,main!$A$3:$I$56,6,FALSE)&gt;=VLOOKUP(59,main!$A$57:$I$61,4,FALSE)+VLOOKUP(VLOOKUP(AU$1,main!$A$3:$I$56,7,FALSE),main!$K$10:$Q$14,7,FALSE),1,0)</f>
        <v>0</v>
      </c>
      <c r="AV233">
        <f>IF(VLOOKUP(AV$1,main!$A$3:$I$56,5,FALSE)-VLOOKUP($A233,main!$A$3:$I$56,6,FALSE)&gt;=VLOOKUP(59,main!$A$57:$I$61,4,FALSE)+VLOOKUP(VLOOKUP(AV$1,main!$A$3:$I$56,7,FALSE),main!$K$10:$Q$14,7,FALSE),1,0)</f>
        <v>0</v>
      </c>
      <c r="AW233">
        <f>IF(VLOOKUP(AW$1,main!$A$3:$I$56,5,FALSE)-VLOOKUP($A233,main!$A$3:$I$56,6,FALSE)&gt;=VLOOKUP(59,main!$A$57:$I$61,4,FALSE)+VLOOKUP(VLOOKUP(AW$1,main!$A$3:$I$56,7,FALSE),main!$K$10:$Q$14,7,FALSE),1,0)</f>
        <v>0</v>
      </c>
      <c r="AX233">
        <f>IF(VLOOKUP(AX$1,main!$A$3:$I$56,5,FALSE)-VLOOKUP($A233,main!$A$3:$I$56,6,FALSE)&gt;=VLOOKUP(59,main!$A$57:$I$61,4,FALSE)+VLOOKUP(VLOOKUP(AX$1,main!$A$3:$I$56,7,FALSE),main!$K$10:$Q$14,7,FALSE),1,0)</f>
        <v>1</v>
      </c>
      <c r="AY233">
        <f>IF(VLOOKUP(AY$1,main!$A$3:$I$56,5,FALSE)-VLOOKUP($A233,main!$A$3:$I$56,6,FALSE)&gt;=VLOOKUP(59,main!$A$57:$I$61,4,FALSE)+VLOOKUP(VLOOKUP(AY$1,main!$A$3:$I$56,7,FALSE),main!$K$10:$Q$14,7,FALSE),1,0)</f>
        <v>1</v>
      </c>
      <c r="AZ233">
        <f>IF(VLOOKUP(AZ$1,main!$A$3:$I$56,5,FALSE)-VLOOKUP($A233,main!$A$3:$I$56,6,FALSE)&gt;=VLOOKUP(59,main!$A$57:$I$61,4,FALSE)+VLOOKUP(VLOOKUP(AZ$1,main!$A$3:$I$56,7,FALSE),main!$K$10:$Q$14,7,FALSE),1,0)</f>
        <v>0</v>
      </c>
      <c r="BA233">
        <f>IF(VLOOKUP(BA$1,main!$A$3:$I$56,5,FALSE)-VLOOKUP($A233,main!$A$3:$I$56,6,FALSE)&gt;=VLOOKUP(59,main!$A$57:$I$61,4,FALSE)+VLOOKUP(VLOOKUP(BA$1,main!$A$3:$I$56,7,FALSE),main!$K$10:$Q$14,7,FALSE),1,0)</f>
        <v>0</v>
      </c>
      <c r="BB233">
        <f>IF(VLOOKUP(BB$1,main!$A$3:$I$56,5,FALSE)-VLOOKUP($A233,main!$A$3:$I$56,6,FALSE)&gt;=VLOOKUP(59,main!$A$57:$I$61,4,FALSE)+VLOOKUP(VLOOKUP(BB$1,main!$A$3:$I$56,7,FALSE),main!$K$10:$Q$14,7,FALSE),1,0)</f>
        <v>0</v>
      </c>
      <c r="BC233">
        <f>IF(VLOOKUP(BC$1,main!$A$3:$I$56,5,FALSE)-VLOOKUP($A233,main!$A$3:$I$56,6,FALSE)&gt;=VLOOKUP(59,main!$A$57:$I$61,4,FALSE)+VLOOKUP(VLOOKUP(BC$1,main!$A$3:$I$56,7,FALSE),main!$K$10:$Q$14,7,FALSE),1,0)</f>
        <v>0</v>
      </c>
      <c r="BD233">
        <f>IF(VLOOKUP(BD$1,main!$A$3:$I$56,5,FALSE)-VLOOKUP($A233,main!$A$3:$I$56,6,FALSE)&gt;=VLOOKUP(59,main!$A$57:$I$61,4,FALSE)+VLOOKUP(VLOOKUP(BD$1,main!$A$3:$I$56,7,FALSE),main!$K$10:$Q$14,7,FALSE),1,0)</f>
        <v>0</v>
      </c>
    </row>
    <row r="234" spans="1:56" x14ac:dyDescent="0.25">
      <c r="A234">
        <f t="shared" si="4"/>
        <v>12</v>
      </c>
      <c r="B234">
        <v>0</v>
      </c>
      <c r="C234">
        <f>IF(VLOOKUP(C$1,main!$A$3:$I$56,5,FALSE)-VLOOKUP($A234,main!$A$3:$I$56,6,FALSE)&gt;=VLOOKUP(59,main!$A$57:$I$61,4,FALSE)+VLOOKUP(VLOOKUP(C$1,main!$A$3:$I$56,7,FALSE),main!$K$10:$Q$14,7,FALSE),1,0)</f>
        <v>0</v>
      </c>
      <c r="D234">
        <f>IF(VLOOKUP(D$1,main!$A$3:$I$56,5,FALSE)-VLOOKUP($A234,main!$A$3:$I$56,6,FALSE)&gt;=VLOOKUP(59,main!$A$57:$I$61,4,FALSE)+VLOOKUP(VLOOKUP(D$1,main!$A$3:$I$56,7,FALSE),main!$K$10:$Q$14,7,FALSE),1,0)</f>
        <v>0</v>
      </c>
      <c r="E234">
        <f>IF(VLOOKUP(E$1,main!$A$3:$I$56,5,FALSE)-VLOOKUP($A234,main!$A$3:$I$56,6,FALSE)&gt;=VLOOKUP(59,main!$A$57:$I$61,4,FALSE)+VLOOKUP(VLOOKUP(E$1,main!$A$3:$I$56,7,FALSE),main!$K$10:$Q$14,7,FALSE),1,0)</f>
        <v>0</v>
      </c>
      <c r="F234">
        <f>IF(VLOOKUP(F$1,main!$A$3:$I$56,5,FALSE)-VLOOKUP($A234,main!$A$3:$I$56,6,FALSE)&gt;=VLOOKUP(59,main!$A$57:$I$61,4,FALSE)+VLOOKUP(VLOOKUP(F$1,main!$A$3:$I$56,7,FALSE),main!$K$10:$Q$14,7,FALSE),1,0)</f>
        <v>0</v>
      </c>
      <c r="G234">
        <f>IF(VLOOKUP(G$1,main!$A$3:$I$56,5,FALSE)-VLOOKUP($A234,main!$A$3:$I$56,6,FALSE)&gt;=VLOOKUP(59,main!$A$57:$I$61,4,FALSE)+VLOOKUP(VLOOKUP(G$1,main!$A$3:$I$56,7,FALSE),main!$K$10:$Q$14,7,FALSE),1,0)</f>
        <v>0</v>
      </c>
      <c r="H234">
        <f>IF(VLOOKUP(H$1,main!$A$3:$I$56,5,FALSE)-VLOOKUP($A234,main!$A$3:$I$56,6,FALSE)&gt;=VLOOKUP(59,main!$A$57:$I$61,4,FALSE)+VLOOKUP(VLOOKUP(H$1,main!$A$3:$I$56,7,FALSE),main!$K$10:$Q$14,7,FALSE),1,0)</f>
        <v>0</v>
      </c>
      <c r="I234">
        <f>IF(VLOOKUP(I$1,main!$A$3:$I$56,5,FALSE)-VLOOKUP($A234,main!$A$3:$I$56,6,FALSE)&gt;=VLOOKUP(59,main!$A$57:$I$61,4,FALSE)+VLOOKUP(VLOOKUP(I$1,main!$A$3:$I$56,7,FALSE),main!$K$10:$Q$14,7,FALSE),1,0)</f>
        <v>0</v>
      </c>
      <c r="J234">
        <f>IF(VLOOKUP(J$1,main!$A$3:$I$56,5,FALSE)-VLOOKUP($A234,main!$A$3:$I$56,6,FALSE)&gt;=VLOOKUP(59,main!$A$57:$I$61,4,FALSE)+VLOOKUP(VLOOKUP(J$1,main!$A$3:$I$56,7,FALSE),main!$K$10:$Q$14,7,FALSE),1,0)</f>
        <v>0</v>
      </c>
      <c r="K234">
        <f>IF(VLOOKUP(K$1,main!$A$3:$I$56,5,FALSE)-VLOOKUP($A234,main!$A$3:$I$56,6,FALSE)&gt;=VLOOKUP(59,main!$A$57:$I$61,4,FALSE)+VLOOKUP(VLOOKUP(K$1,main!$A$3:$I$56,7,FALSE),main!$K$10:$Q$14,7,FALSE),1,0)</f>
        <v>0</v>
      </c>
      <c r="L234">
        <f>IF(VLOOKUP(L$1,main!$A$3:$I$56,5,FALSE)-VLOOKUP($A234,main!$A$3:$I$56,6,FALSE)&gt;=VLOOKUP(59,main!$A$57:$I$61,4,FALSE)+VLOOKUP(VLOOKUP(L$1,main!$A$3:$I$56,7,FALSE),main!$K$10:$Q$14,7,FALSE),1,0)</f>
        <v>0</v>
      </c>
      <c r="M234">
        <f>IF(VLOOKUP(M$1,main!$A$3:$I$56,5,FALSE)-VLOOKUP($A234,main!$A$3:$I$56,6,FALSE)&gt;=VLOOKUP(59,main!$A$57:$I$61,4,FALSE)+VLOOKUP(VLOOKUP(M$1,main!$A$3:$I$56,7,FALSE),main!$K$10:$Q$14,7,FALSE),1,0)</f>
        <v>0</v>
      </c>
      <c r="N234">
        <f>IF(VLOOKUP(N$1,main!$A$3:$I$56,5,FALSE)-VLOOKUP($A234,main!$A$3:$I$56,6,FALSE)&gt;=VLOOKUP(59,main!$A$57:$I$61,4,FALSE)+VLOOKUP(VLOOKUP(N$1,main!$A$3:$I$56,7,FALSE),main!$K$10:$Q$14,7,FALSE),1,0)</f>
        <v>0</v>
      </c>
      <c r="O234">
        <f>IF(VLOOKUP(O$1,main!$A$3:$I$56,5,FALSE)-VLOOKUP($A234,main!$A$3:$I$56,6,FALSE)&gt;=VLOOKUP(59,main!$A$57:$I$61,4,FALSE)+VLOOKUP(VLOOKUP(O$1,main!$A$3:$I$56,7,FALSE),main!$K$10:$Q$14,7,FALSE),1,0)</f>
        <v>0</v>
      </c>
      <c r="P234">
        <f>IF(VLOOKUP(P$1,main!$A$3:$I$56,5,FALSE)-VLOOKUP($A234,main!$A$3:$I$56,6,FALSE)&gt;=VLOOKUP(59,main!$A$57:$I$61,4,FALSE)+VLOOKUP(VLOOKUP(P$1,main!$A$3:$I$56,7,FALSE),main!$K$10:$Q$14,7,FALSE),1,0)</f>
        <v>0</v>
      </c>
      <c r="Q234">
        <f>IF(VLOOKUP(Q$1,main!$A$3:$I$56,5,FALSE)-VLOOKUP($A234,main!$A$3:$I$56,6,FALSE)&gt;=VLOOKUP(59,main!$A$57:$I$61,4,FALSE)+VLOOKUP(VLOOKUP(Q$1,main!$A$3:$I$56,7,FALSE),main!$K$10:$Q$14,7,FALSE),1,0)</f>
        <v>0</v>
      </c>
      <c r="R234">
        <f>IF(VLOOKUP(R$1,main!$A$3:$I$56,5,FALSE)-VLOOKUP($A234,main!$A$3:$I$56,6,FALSE)&gt;=VLOOKUP(59,main!$A$57:$I$61,4,FALSE)+VLOOKUP(VLOOKUP(R$1,main!$A$3:$I$56,7,FALSE),main!$K$10:$Q$14,7,FALSE),1,0)</f>
        <v>0</v>
      </c>
      <c r="S234">
        <f>IF(VLOOKUP(S$1,main!$A$3:$I$56,5,FALSE)-VLOOKUP($A234,main!$A$3:$I$56,6,FALSE)&gt;=VLOOKUP(59,main!$A$57:$I$61,4,FALSE)+VLOOKUP(VLOOKUP(S$1,main!$A$3:$I$56,7,FALSE),main!$K$10:$Q$14,7,FALSE),1,0)</f>
        <v>0</v>
      </c>
      <c r="T234">
        <f>IF(VLOOKUP(T$1,main!$A$3:$I$56,5,FALSE)-VLOOKUP($A234,main!$A$3:$I$56,6,FALSE)&gt;=VLOOKUP(59,main!$A$57:$I$61,4,FALSE)+VLOOKUP(VLOOKUP(T$1,main!$A$3:$I$56,7,FALSE),main!$K$10:$Q$14,7,FALSE),1,0)</f>
        <v>0</v>
      </c>
      <c r="U234">
        <f>IF(VLOOKUP(U$1,main!$A$3:$I$56,5,FALSE)-VLOOKUP($A234,main!$A$3:$I$56,6,FALSE)&gt;=VLOOKUP(59,main!$A$57:$I$61,4,FALSE)+VLOOKUP(VLOOKUP(U$1,main!$A$3:$I$56,7,FALSE),main!$K$10:$Q$14,7,FALSE),1,0)</f>
        <v>0</v>
      </c>
      <c r="V234">
        <f>IF(VLOOKUP(V$1,main!$A$3:$I$56,5,FALSE)-VLOOKUP($A234,main!$A$3:$I$56,6,FALSE)&gt;=VLOOKUP(59,main!$A$57:$I$61,4,FALSE)+VLOOKUP(VLOOKUP(V$1,main!$A$3:$I$56,7,FALSE),main!$K$10:$Q$14,7,FALSE),1,0)</f>
        <v>0</v>
      </c>
      <c r="W234">
        <f>IF(VLOOKUP(W$1,main!$A$3:$I$56,5,FALSE)-VLOOKUP($A234,main!$A$3:$I$56,6,FALSE)&gt;=VLOOKUP(59,main!$A$57:$I$61,4,FALSE)+VLOOKUP(VLOOKUP(W$1,main!$A$3:$I$56,7,FALSE),main!$K$10:$Q$14,7,FALSE),1,0)</f>
        <v>0</v>
      </c>
      <c r="X234">
        <f>IF(VLOOKUP(X$1,main!$A$3:$I$56,5,FALSE)-VLOOKUP($A234,main!$A$3:$I$56,6,FALSE)&gt;=VLOOKUP(59,main!$A$57:$I$61,4,FALSE)+VLOOKUP(VLOOKUP(X$1,main!$A$3:$I$56,7,FALSE),main!$K$10:$Q$14,7,FALSE),1,0)</f>
        <v>0</v>
      </c>
      <c r="Y234">
        <f>IF(VLOOKUP(Y$1,main!$A$3:$I$56,5,FALSE)-VLOOKUP($A234,main!$A$3:$I$56,6,FALSE)&gt;=VLOOKUP(59,main!$A$57:$I$61,4,FALSE)+VLOOKUP(VLOOKUP(Y$1,main!$A$3:$I$56,7,FALSE),main!$K$10:$Q$14,7,FALSE),1,0)</f>
        <v>0</v>
      </c>
      <c r="Z234">
        <f>IF(VLOOKUP(Z$1,main!$A$3:$I$56,5,FALSE)-VLOOKUP($A234,main!$A$3:$I$56,6,FALSE)&gt;=VLOOKUP(59,main!$A$57:$I$61,4,FALSE)+VLOOKUP(VLOOKUP(Z$1,main!$A$3:$I$56,7,FALSE),main!$K$10:$Q$14,7,FALSE),1,0)</f>
        <v>0</v>
      </c>
      <c r="AA234">
        <f>IF(VLOOKUP(AA$1,main!$A$3:$I$56,5,FALSE)-VLOOKUP($A234,main!$A$3:$I$56,6,FALSE)&gt;=VLOOKUP(59,main!$A$57:$I$61,4,FALSE)+VLOOKUP(VLOOKUP(AA$1,main!$A$3:$I$56,7,FALSE),main!$K$10:$Q$14,7,FALSE),1,0)</f>
        <v>0</v>
      </c>
      <c r="AB234">
        <f>IF(VLOOKUP(AB$1,main!$A$3:$I$56,5,FALSE)-VLOOKUP($A234,main!$A$3:$I$56,6,FALSE)&gt;=VLOOKUP(59,main!$A$57:$I$61,4,FALSE)+VLOOKUP(VLOOKUP(AB$1,main!$A$3:$I$56,7,FALSE),main!$K$10:$Q$14,7,FALSE),1,0)</f>
        <v>0</v>
      </c>
      <c r="AC234">
        <f>IF(VLOOKUP(AC$1,main!$A$3:$I$56,5,FALSE)-VLOOKUP($A234,main!$A$3:$I$56,6,FALSE)&gt;=VLOOKUP(59,main!$A$57:$I$61,4,FALSE)+VLOOKUP(VLOOKUP(AC$1,main!$A$3:$I$56,7,FALSE),main!$K$10:$Q$14,7,FALSE),1,0)</f>
        <v>0</v>
      </c>
      <c r="AD234">
        <f>IF(VLOOKUP(AD$1,main!$A$3:$I$56,5,FALSE)-VLOOKUP($A234,main!$A$3:$I$56,6,FALSE)&gt;=VLOOKUP(59,main!$A$57:$I$61,4,FALSE)+VLOOKUP(VLOOKUP(AD$1,main!$A$3:$I$56,7,FALSE),main!$K$10:$Q$14,7,FALSE),1,0)</f>
        <v>0</v>
      </c>
      <c r="AE234">
        <f>IF(VLOOKUP(AE$1,main!$A$3:$I$56,5,FALSE)-VLOOKUP($A234,main!$A$3:$I$56,6,FALSE)&gt;=VLOOKUP(59,main!$A$57:$I$61,4,FALSE)+VLOOKUP(VLOOKUP(AE$1,main!$A$3:$I$56,7,FALSE),main!$K$10:$Q$14,7,FALSE),1,0)</f>
        <v>0</v>
      </c>
      <c r="AF234">
        <f>IF(VLOOKUP(AF$1,main!$A$3:$I$56,5,FALSE)-VLOOKUP($A234,main!$A$3:$I$56,6,FALSE)&gt;=VLOOKUP(59,main!$A$57:$I$61,4,FALSE)+VLOOKUP(VLOOKUP(AF$1,main!$A$3:$I$56,7,FALSE),main!$K$10:$Q$14,7,FALSE),1,0)</f>
        <v>0</v>
      </c>
      <c r="AG234">
        <f>IF(VLOOKUP(AG$1,main!$A$3:$I$56,5,FALSE)-VLOOKUP($A234,main!$A$3:$I$56,6,FALSE)&gt;=VLOOKUP(59,main!$A$57:$I$61,4,FALSE)+VLOOKUP(VLOOKUP(AG$1,main!$A$3:$I$56,7,FALSE),main!$K$10:$Q$14,7,FALSE),1,0)</f>
        <v>0</v>
      </c>
      <c r="AH234">
        <f>IF(VLOOKUP(AH$1,main!$A$3:$I$56,5,FALSE)-VLOOKUP($A234,main!$A$3:$I$56,6,FALSE)&gt;=VLOOKUP(59,main!$A$57:$I$61,4,FALSE)+VLOOKUP(VLOOKUP(AH$1,main!$A$3:$I$56,7,FALSE),main!$K$10:$Q$14,7,FALSE),1,0)</f>
        <v>0</v>
      </c>
      <c r="AI234">
        <f>IF(VLOOKUP(AI$1,main!$A$3:$I$56,5,FALSE)-VLOOKUP($A234,main!$A$3:$I$56,6,FALSE)&gt;=VLOOKUP(59,main!$A$57:$I$61,4,FALSE)+VLOOKUP(VLOOKUP(AI$1,main!$A$3:$I$56,7,FALSE),main!$K$10:$Q$14,7,FALSE),1,0)</f>
        <v>0</v>
      </c>
      <c r="AJ234">
        <f>IF(VLOOKUP(AJ$1,main!$A$3:$I$56,5,FALSE)-VLOOKUP($A234,main!$A$3:$I$56,6,FALSE)&gt;=VLOOKUP(59,main!$A$57:$I$61,4,FALSE)+VLOOKUP(VLOOKUP(AJ$1,main!$A$3:$I$56,7,FALSE),main!$K$10:$Q$14,7,FALSE),1,0)</f>
        <v>0</v>
      </c>
      <c r="AK234">
        <f>IF(VLOOKUP(AK$1,main!$A$3:$I$56,5,FALSE)-VLOOKUP($A234,main!$A$3:$I$56,6,FALSE)&gt;=VLOOKUP(59,main!$A$57:$I$61,4,FALSE)+VLOOKUP(VLOOKUP(AK$1,main!$A$3:$I$56,7,FALSE),main!$K$10:$Q$14,7,FALSE),1,0)</f>
        <v>0</v>
      </c>
      <c r="AL234">
        <f>IF(VLOOKUP(AL$1,main!$A$3:$I$56,5,FALSE)-VLOOKUP($A234,main!$A$3:$I$56,6,FALSE)&gt;=VLOOKUP(59,main!$A$57:$I$61,4,FALSE)+VLOOKUP(VLOOKUP(AL$1,main!$A$3:$I$56,7,FALSE),main!$K$10:$Q$14,7,FALSE),1,0)</f>
        <v>0</v>
      </c>
      <c r="AM234">
        <f>IF(VLOOKUP(AM$1,main!$A$3:$I$56,5,FALSE)-VLOOKUP($A234,main!$A$3:$I$56,6,FALSE)&gt;=VLOOKUP(59,main!$A$57:$I$61,4,FALSE)+VLOOKUP(VLOOKUP(AM$1,main!$A$3:$I$56,7,FALSE),main!$K$10:$Q$14,7,FALSE),1,0)</f>
        <v>0</v>
      </c>
      <c r="AN234">
        <f>IF(VLOOKUP(AN$1,main!$A$3:$I$56,5,FALSE)-VLOOKUP($A234,main!$A$3:$I$56,6,FALSE)&gt;=VLOOKUP(59,main!$A$57:$I$61,4,FALSE)+VLOOKUP(VLOOKUP(AN$1,main!$A$3:$I$56,7,FALSE),main!$K$10:$Q$14,7,FALSE),1,0)</f>
        <v>0</v>
      </c>
      <c r="AO234">
        <f>IF(VLOOKUP(AO$1,main!$A$3:$I$56,5,FALSE)-VLOOKUP($A234,main!$A$3:$I$56,6,FALSE)&gt;=VLOOKUP(59,main!$A$57:$I$61,4,FALSE)+VLOOKUP(VLOOKUP(AO$1,main!$A$3:$I$56,7,FALSE),main!$K$10:$Q$14,7,FALSE),1,0)</f>
        <v>0</v>
      </c>
      <c r="AP234">
        <f>IF(VLOOKUP(AP$1,main!$A$3:$I$56,5,FALSE)-VLOOKUP($A234,main!$A$3:$I$56,6,FALSE)&gt;=VLOOKUP(59,main!$A$57:$I$61,4,FALSE)+VLOOKUP(VLOOKUP(AP$1,main!$A$3:$I$56,7,FALSE),main!$K$10:$Q$14,7,FALSE),1,0)</f>
        <v>0</v>
      </c>
      <c r="AQ234">
        <f>IF(VLOOKUP(AQ$1,main!$A$3:$I$56,5,FALSE)-VLOOKUP($A234,main!$A$3:$I$56,6,FALSE)&gt;=VLOOKUP(59,main!$A$57:$I$61,4,FALSE)+VLOOKUP(VLOOKUP(AQ$1,main!$A$3:$I$56,7,FALSE),main!$K$10:$Q$14,7,FALSE),1,0)</f>
        <v>0</v>
      </c>
      <c r="AR234">
        <f>IF(VLOOKUP(AR$1,main!$A$3:$I$56,5,FALSE)-VLOOKUP($A234,main!$A$3:$I$56,6,FALSE)&gt;=VLOOKUP(59,main!$A$57:$I$61,4,FALSE)+VLOOKUP(VLOOKUP(AR$1,main!$A$3:$I$56,7,FALSE),main!$K$10:$Q$14,7,FALSE),1,0)</f>
        <v>0</v>
      </c>
      <c r="AS234">
        <f>IF(VLOOKUP(AS$1,main!$A$3:$I$56,5,FALSE)-VLOOKUP($A234,main!$A$3:$I$56,6,FALSE)&gt;=VLOOKUP(59,main!$A$57:$I$61,4,FALSE)+VLOOKUP(VLOOKUP(AS$1,main!$A$3:$I$56,7,FALSE),main!$K$10:$Q$14,7,FALSE),1,0)</f>
        <v>0</v>
      </c>
      <c r="AT234">
        <f>IF(VLOOKUP(AT$1,main!$A$3:$I$56,5,FALSE)-VLOOKUP($A234,main!$A$3:$I$56,6,FALSE)&gt;=VLOOKUP(59,main!$A$57:$I$61,4,FALSE)+VLOOKUP(VLOOKUP(AT$1,main!$A$3:$I$56,7,FALSE),main!$K$10:$Q$14,7,FALSE),1,0)</f>
        <v>0</v>
      </c>
      <c r="AU234">
        <f>IF(VLOOKUP(AU$1,main!$A$3:$I$56,5,FALSE)-VLOOKUP($A234,main!$A$3:$I$56,6,FALSE)&gt;=VLOOKUP(59,main!$A$57:$I$61,4,FALSE)+VLOOKUP(VLOOKUP(AU$1,main!$A$3:$I$56,7,FALSE),main!$K$10:$Q$14,7,FALSE),1,0)</f>
        <v>0</v>
      </c>
      <c r="AV234">
        <f>IF(VLOOKUP(AV$1,main!$A$3:$I$56,5,FALSE)-VLOOKUP($A234,main!$A$3:$I$56,6,FALSE)&gt;=VLOOKUP(59,main!$A$57:$I$61,4,FALSE)+VLOOKUP(VLOOKUP(AV$1,main!$A$3:$I$56,7,FALSE),main!$K$10:$Q$14,7,FALSE),1,0)</f>
        <v>0</v>
      </c>
      <c r="AW234">
        <f>IF(VLOOKUP(AW$1,main!$A$3:$I$56,5,FALSE)-VLOOKUP($A234,main!$A$3:$I$56,6,FALSE)&gt;=VLOOKUP(59,main!$A$57:$I$61,4,FALSE)+VLOOKUP(VLOOKUP(AW$1,main!$A$3:$I$56,7,FALSE),main!$K$10:$Q$14,7,FALSE),1,0)</f>
        <v>0</v>
      </c>
      <c r="AX234">
        <f>IF(VLOOKUP(AX$1,main!$A$3:$I$56,5,FALSE)-VLOOKUP($A234,main!$A$3:$I$56,6,FALSE)&gt;=VLOOKUP(59,main!$A$57:$I$61,4,FALSE)+VLOOKUP(VLOOKUP(AX$1,main!$A$3:$I$56,7,FALSE),main!$K$10:$Q$14,7,FALSE),1,0)</f>
        <v>0</v>
      </c>
      <c r="AY234">
        <f>IF(VLOOKUP(AY$1,main!$A$3:$I$56,5,FALSE)-VLOOKUP($A234,main!$A$3:$I$56,6,FALSE)&gt;=VLOOKUP(59,main!$A$57:$I$61,4,FALSE)+VLOOKUP(VLOOKUP(AY$1,main!$A$3:$I$56,7,FALSE),main!$K$10:$Q$14,7,FALSE),1,0)</f>
        <v>0</v>
      </c>
      <c r="AZ234">
        <f>IF(VLOOKUP(AZ$1,main!$A$3:$I$56,5,FALSE)-VLOOKUP($A234,main!$A$3:$I$56,6,FALSE)&gt;=VLOOKUP(59,main!$A$57:$I$61,4,FALSE)+VLOOKUP(VLOOKUP(AZ$1,main!$A$3:$I$56,7,FALSE),main!$K$10:$Q$14,7,FALSE),1,0)</f>
        <v>0</v>
      </c>
      <c r="BA234">
        <f>IF(VLOOKUP(BA$1,main!$A$3:$I$56,5,FALSE)-VLOOKUP($A234,main!$A$3:$I$56,6,FALSE)&gt;=VLOOKUP(59,main!$A$57:$I$61,4,FALSE)+VLOOKUP(VLOOKUP(BA$1,main!$A$3:$I$56,7,FALSE),main!$K$10:$Q$14,7,FALSE),1,0)</f>
        <v>0</v>
      </c>
      <c r="BB234">
        <f>IF(VLOOKUP(BB$1,main!$A$3:$I$56,5,FALSE)-VLOOKUP($A234,main!$A$3:$I$56,6,FALSE)&gt;=VLOOKUP(59,main!$A$57:$I$61,4,FALSE)+VLOOKUP(VLOOKUP(BB$1,main!$A$3:$I$56,7,FALSE),main!$K$10:$Q$14,7,FALSE),1,0)</f>
        <v>0</v>
      </c>
      <c r="BC234">
        <f>IF(VLOOKUP(BC$1,main!$A$3:$I$56,5,FALSE)-VLOOKUP($A234,main!$A$3:$I$56,6,FALSE)&gt;=VLOOKUP(59,main!$A$57:$I$61,4,FALSE)+VLOOKUP(VLOOKUP(BC$1,main!$A$3:$I$56,7,FALSE),main!$K$10:$Q$14,7,FALSE),1,0)</f>
        <v>0</v>
      </c>
      <c r="BD234">
        <f>IF(VLOOKUP(BD$1,main!$A$3:$I$56,5,FALSE)-VLOOKUP($A234,main!$A$3:$I$56,6,FALSE)&gt;=VLOOKUP(59,main!$A$57:$I$61,4,FALSE)+VLOOKUP(VLOOKUP(BD$1,main!$A$3:$I$56,7,FALSE),main!$K$10:$Q$14,7,FALSE),1,0)</f>
        <v>0</v>
      </c>
    </row>
    <row r="235" spans="1:56" x14ac:dyDescent="0.25">
      <c r="A235">
        <f t="shared" si="4"/>
        <v>13</v>
      </c>
      <c r="B235">
        <v>0</v>
      </c>
      <c r="C235">
        <f>IF(VLOOKUP(C$1,main!$A$3:$I$56,5,FALSE)-VLOOKUP($A235,main!$A$3:$I$56,6,FALSE)&gt;=VLOOKUP(59,main!$A$57:$I$61,4,FALSE)+VLOOKUP(VLOOKUP(C$1,main!$A$3:$I$56,7,FALSE),main!$K$10:$Q$14,7,FALSE),1,0)</f>
        <v>0</v>
      </c>
      <c r="D235">
        <f>IF(VLOOKUP(D$1,main!$A$3:$I$56,5,FALSE)-VLOOKUP($A235,main!$A$3:$I$56,6,FALSE)&gt;=VLOOKUP(59,main!$A$57:$I$61,4,FALSE)+VLOOKUP(VLOOKUP(D$1,main!$A$3:$I$56,7,FALSE),main!$K$10:$Q$14,7,FALSE),1,0)</f>
        <v>0</v>
      </c>
      <c r="E235">
        <f>IF(VLOOKUP(E$1,main!$A$3:$I$56,5,FALSE)-VLOOKUP($A235,main!$A$3:$I$56,6,FALSE)&gt;=VLOOKUP(59,main!$A$57:$I$61,4,FALSE)+VLOOKUP(VLOOKUP(E$1,main!$A$3:$I$56,7,FALSE),main!$K$10:$Q$14,7,FALSE),1,0)</f>
        <v>0</v>
      </c>
      <c r="F235">
        <f>IF(VLOOKUP(F$1,main!$A$3:$I$56,5,FALSE)-VLOOKUP($A235,main!$A$3:$I$56,6,FALSE)&gt;=VLOOKUP(59,main!$A$57:$I$61,4,FALSE)+VLOOKUP(VLOOKUP(F$1,main!$A$3:$I$56,7,FALSE),main!$K$10:$Q$14,7,FALSE),1,0)</f>
        <v>0</v>
      </c>
      <c r="G235">
        <f>IF(VLOOKUP(G$1,main!$A$3:$I$56,5,FALSE)-VLOOKUP($A235,main!$A$3:$I$56,6,FALSE)&gt;=VLOOKUP(59,main!$A$57:$I$61,4,FALSE)+VLOOKUP(VLOOKUP(G$1,main!$A$3:$I$56,7,FALSE),main!$K$10:$Q$14,7,FALSE),1,0)</f>
        <v>0</v>
      </c>
      <c r="H235">
        <f>IF(VLOOKUP(H$1,main!$A$3:$I$56,5,FALSE)-VLOOKUP($A235,main!$A$3:$I$56,6,FALSE)&gt;=VLOOKUP(59,main!$A$57:$I$61,4,FALSE)+VLOOKUP(VLOOKUP(H$1,main!$A$3:$I$56,7,FALSE),main!$K$10:$Q$14,7,FALSE),1,0)</f>
        <v>0</v>
      </c>
      <c r="I235">
        <f>IF(VLOOKUP(I$1,main!$A$3:$I$56,5,FALSE)-VLOOKUP($A235,main!$A$3:$I$56,6,FALSE)&gt;=VLOOKUP(59,main!$A$57:$I$61,4,FALSE)+VLOOKUP(VLOOKUP(I$1,main!$A$3:$I$56,7,FALSE),main!$K$10:$Q$14,7,FALSE),1,0)</f>
        <v>0</v>
      </c>
      <c r="J235">
        <f>IF(VLOOKUP(J$1,main!$A$3:$I$56,5,FALSE)-VLOOKUP($A235,main!$A$3:$I$56,6,FALSE)&gt;=VLOOKUP(59,main!$A$57:$I$61,4,FALSE)+VLOOKUP(VLOOKUP(J$1,main!$A$3:$I$56,7,FALSE),main!$K$10:$Q$14,7,FALSE),1,0)</f>
        <v>0</v>
      </c>
      <c r="K235">
        <f>IF(VLOOKUP(K$1,main!$A$3:$I$56,5,FALSE)-VLOOKUP($A235,main!$A$3:$I$56,6,FALSE)&gt;=VLOOKUP(59,main!$A$57:$I$61,4,FALSE)+VLOOKUP(VLOOKUP(K$1,main!$A$3:$I$56,7,FALSE),main!$K$10:$Q$14,7,FALSE),1,0)</f>
        <v>0</v>
      </c>
      <c r="L235">
        <f>IF(VLOOKUP(L$1,main!$A$3:$I$56,5,FALSE)-VLOOKUP($A235,main!$A$3:$I$56,6,FALSE)&gt;=VLOOKUP(59,main!$A$57:$I$61,4,FALSE)+VLOOKUP(VLOOKUP(L$1,main!$A$3:$I$56,7,FALSE),main!$K$10:$Q$14,7,FALSE),1,0)</f>
        <v>0</v>
      </c>
      <c r="M235">
        <f>IF(VLOOKUP(M$1,main!$A$3:$I$56,5,FALSE)-VLOOKUP($A235,main!$A$3:$I$56,6,FALSE)&gt;=VLOOKUP(59,main!$A$57:$I$61,4,FALSE)+VLOOKUP(VLOOKUP(M$1,main!$A$3:$I$56,7,FALSE),main!$K$10:$Q$14,7,FALSE),1,0)</f>
        <v>0</v>
      </c>
      <c r="N235">
        <f>IF(VLOOKUP(N$1,main!$A$3:$I$56,5,FALSE)-VLOOKUP($A235,main!$A$3:$I$56,6,FALSE)&gt;=VLOOKUP(59,main!$A$57:$I$61,4,FALSE)+VLOOKUP(VLOOKUP(N$1,main!$A$3:$I$56,7,FALSE),main!$K$10:$Q$14,7,FALSE),1,0)</f>
        <v>0</v>
      </c>
      <c r="O235">
        <f>IF(VLOOKUP(O$1,main!$A$3:$I$56,5,FALSE)-VLOOKUP($A235,main!$A$3:$I$56,6,FALSE)&gt;=VLOOKUP(59,main!$A$57:$I$61,4,FALSE)+VLOOKUP(VLOOKUP(O$1,main!$A$3:$I$56,7,FALSE),main!$K$10:$Q$14,7,FALSE),1,0)</f>
        <v>0</v>
      </c>
      <c r="P235">
        <f>IF(VLOOKUP(P$1,main!$A$3:$I$56,5,FALSE)-VLOOKUP($A235,main!$A$3:$I$56,6,FALSE)&gt;=VLOOKUP(59,main!$A$57:$I$61,4,FALSE)+VLOOKUP(VLOOKUP(P$1,main!$A$3:$I$56,7,FALSE),main!$K$10:$Q$14,7,FALSE),1,0)</f>
        <v>0</v>
      </c>
      <c r="Q235">
        <f>IF(VLOOKUP(Q$1,main!$A$3:$I$56,5,FALSE)-VLOOKUP($A235,main!$A$3:$I$56,6,FALSE)&gt;=VLOOKUP(59,main!$A$57:$I$61,4,FALSE)+VLOOKUP(VLOOKUP(Q$1,main!$A$3:$I$56,7,FALSE),main!$K$10:$Q$14,7,FALSE),1,0)</f>
        <v>0</v>
      </c>
      <c r="R235">
        <f>IF(VLOOKUP(R$1,main!$A$3:$I$56,5,FALSE)-VLOOKUP($A235,main!$A$3:$I$56,6,FALSE)&gt;=VLOOKUP(59,main!$A$57:$I$61,4,FALSE)+VLOOKUP(VLOOKUP(R$1,main!$A$3:$I$56,7,FALSE),main!$K$10:$Q$14,7,FALSE),1,0)</f>
        <v>0</v>
      </c>
      <c r="S235">
        <f>IF(VLOOKUP(S$1,main!$A$3:$I$56,5,FALSE)-VLOOKUP($A235,main!$A$3:$I$56,6,FALSE)&gt;=VLOOKUP(59,main!$A$57:$I$61,4,FALSE)+VLOOKUP(VLOOKUP(S$1,main!$A$3:$I$56,7,FALSE),main!$K$10:$Q$14,7,FALSE),1,0)</f>
        <v>0</v>
      </c>
      <c r="T235">
        <f>IF(VLOOKUP(T$1,main!$A$3:$I$56,5,FALSE)-VLOOKUP($A235,main!$A$3:$I$56,6,FALSE)&gt;=VLOOKUP(59,main!$A$57:$I$61,4,FALSE)+VLOOKUP(VLOOKUP(T$1,main!$A$3:$I$56,7,FALSE),main!$K$10:$Q$14,7,FALSE),1,0)</f>
        <v>0</v>
      </c>
      <c r="U235">
        <f>IF(VLOOKUP(U$1,main!$A$3:$I$56,5,FALSE)-VLOOKUP($A235,main!$A$3:$I$56,6,FALSE)&gt;=VLOOKUP(59,main!$A$57:$I$61,4,FALSE)+VLOOKUP(VLOOKUP(U$1,main!$A$3:$I$56,7,FALSE),main!$K$10:$Q$14,7,FALSE),1,0)</f>
        <v>0</v>
      </c>
      <c r="V235">
        <f>IF(VLOOKUP(V$1,main!$A$3:$I$56,5,FALSE)-VLOOKUP($A235,main!$A$3:$I$56,6,FALSE)&gt;=VLOOKUP(59,main!$A$57:$I$61,4,FALSE)+VLOOKUP(VLOOKUP(V$1,main!$A$3:$I$56,7,FALSE),main!$K$10:$Q$14,7,FALSE),1,0)</f>
        <v>0</v>
      </c>
      <c r="W235">
        <f>IF(VLOOKUP(W$1,main!$A$3:$I$56,5,FALSE)-VLOOKUP($A235,main!$A$3:$I$56,6,FALSE)&gt;=VLOOKUP(59,main!$A$57:$I$61,4,FALSE)+VLOOKUP(VLOOKUP(W$1,main!$A$3:$I$56,7,FALSE),main!$K$10:$Q$14,7,FALSE),1,0)</f>
        <v>0</v>
      </c>
      <c r="X235">
        <f>IF(VLOOKUP(X$1,main!$A$3:$I$56,5,FALSE)-VLOOKUP($A235,main!$A$3:$I$56,6,FALSE)&gt;=VLOOKUP(59,main!$A$57:$I$61,4,FALSE)+VLOOKUP(VLOOKUP(X$1,main!$A$3:$I$56,7,FALSE),main!$K$10:$Q$14,7,FALSE),1,0)</f>
        <v>0</v>
      </c>
      <c r="Y235">
        <f>IF(VLOOKUP(Y$1,main!$A$3:$I$56,5,FALSE)-VLOOKUP($A235,main!$A$3:$I$56,6,FALSE)&gt;=VLOOKUP(59,main!$A$57:$I$61,4,FALSE)+VLOOKUP(VLOOKUP(Y$1,main!$A$3:$I$56,7,FALSE),main!$K$10:$Q$14,7,FALSE),1,0)</f>
        <v>0</v>
      </c>
      <c r="Z235">
        <f>IF(VLOOKUP(Z$1,main!$A$3:$I$56,5,FALSE)-VLOOKUP($A235,main!$A$3:$I$56,6,FALSE)&gt;=VLOOKUP(59,main!$A$57:$I$61,4,FALSE)+VLOOKUP(VLOOKUP(Z$1,main!$A$3:$I$56,7,FALSE),main!$K$10:$Q$14,7,FALSE),1,0)</f>
        <v>0</v>
      </c>
      <c r="AA235">
        <f>IF(VLOOKUP(AA$1,main!$A$3:$I$56,5,FALSE)-VLOOKUP($A235,main!$A$3:$I$56,6,FALSE)&gt;=VLOOKUP(59,main!$A$57:$I$61,4,FALSE)+VLOOKUP(VLOOKUP(AA$1,main!$A$3:$I$56,7,FALSE),main!$K$10:$Q$14,7,FALSE),1,0)</f>
        <v>0</v>
      </c>
      <c r="AB235">
        <f>IF(VLOOKUP(AB$1,main!$A$3:$I$56,5,FALSE)-VLOOKUP($A235,main!$A$3:$I$56,6,FALSE)&gt;=VLOOKUP(59,main!$A$57:$I$61,4,FALSE)+VLOOKUP(VLOOKUP(AB$1,main!$A$3:$I$56,7,FALSE),main!$K$10:$Q$14,7,FALSE),1,0)</f>
        <v>0</v>
      </c>
      <c r="AC235">
        <f>IF(VLOOKUP(AC$1,main!$A$3:$I$56,5,FALSE)-VLOOKUP($A235,main!$A$3:$I$56,6,FALSE)&gt;=VLOOKUP(59,main!$A$57:$I$61,4,FALSE)+VLOOKUP(VLOOKUP(AC$1,main!$A$3:$I$56,7,FALSE),main!$K$10:$Q$14,7,FALSE),1,0)</f>
        <v>0</v>
      </c>
      <c r="AD235">
        <f>IF(VLOOKUP(AD$1,main!$A$3:$I$56,5,FALSE)-VLOOKUP($A235,main!$A$3:$I$56,6,FALSE)&gt;=VLOOKUP(59,main!$A$57:$I$61,4,FALSE)+VLOOKUP(VLOOKUP(AD$1,main!$A$3:$I$56,7,FALSE),main!$K$10:$Q$14,7,FALSE),1,0)</f>
        <v>0</v>
      </c>
      <c r="AE235">
        <f>IF(VLOOKUP(AE$1,main!$A$3:$I$56,5,FALSE)-VLOOKUP($A235,main!$A$3:$I$56,6,FALSE)&gt;=VLOOKUP(59,main!$A$57:$I$61,4,FALSE)+VLOOKUP(VLOOKUP(AE$1,main!$A$3:$I$56,7,FALSE),main!$K$10:$Q$14,7,FALSE),1,0)</f>
        <v>0</v>
      </c>
      <c r="AF235">
        <f>IF(VLOOKUP(AF$1,main!$A$3:$I$56,5,FALSE)-VLOOKUP($A235,main!$A$3:$I$56,6,FALSE)&gt;=VLOOKUP(59,main!$A$57:$I$61,4,FALSE)+VLOOKUP(VLOOKUP(AF$1,main!$A$3:$I$56,7,FALSE),main!$K$10:$Q$14,7,FALSE),1,0)</f>
        <v>0</v>
      </c>
      <c r="AG235">
        <f>IF(VLOOKUP(AG$1,main!$A$3:$I$56,5,FALSE)-VLOOKUP($A235,main!$A$3:$I$56,6,FALSE)&gt;=VLOOKUP(59,main!$A$57:$I$61,4,FALSE)+VLOOKUP(VLOOKUP(AG$1,main!$A$3:$I$56,7,FALSE),main!$K$10:$Q$14,7,FALSE),1,0)</f>
        <v>0</v>
      </c>
      <c r="AH235">
        <f>IF(VLOOKUP(AH$1,main!$A$3:$I$56,5,FALSE)-VLOOKUP($A235,main!$A$3:$I$56,6,FALSE)&gt;=VLOOKUP(59,main!$A$57:$I$61,4,FALSE)+VLOOKUP(VLOOKUP(AH$1,main!$A$3:$I$56,7,FALSE),main!$K$10:$Q$14,7,FALSE),1,0)</f>
        <v>0</v>
      </c>
      <c r="AI235">
        <f>IF(VLOOKUP(AI$1,main!$A$3:$I$56,5,FALSE)-VLOOKUP($A235,main!$A$3:$I$56,6,FALSE)&gt;=VLOOKUP(59,main!$A$57:$I$61,4,FALSE)+VLOOKUP(VLOOKUP(AI$1,main!$A$3:$I$56,7,FALSE),main!$K$10:$Q$14,7,FALSE),1,0)</f>
        <v>0</v>
      </c>
      <c r="AJ235">
        <f>IF(VLOOKUP(AJ$1,main!$A$3:$I$56,5,FALSE)-VLOOKUP($A235,main!$A$3:$I$56,6,FALSE)&gt;=VLOOKUP(59,main!$A$57:$I$61,4,FALSE)+VLOOKUP(VLOOKUP(AJ$1,main!$A$3:$I$56,7,FALSE),main!$K$10:$Q$14,7,FALSE),1,0)</f>
        <v>0</v>
      </c>
      <c r="AK235">
        <f>IF(VLOOKUP(AK$1,main!$A$3:$I$56,5,FALSE)-VLOOKUP($A235,main!$A$3:$I$56,6,FALSE)&gt;=VLOOKUP(59,main!$A$57:$I$61,4,FALSE)+VLOOKUP(VLOOKUP(AK$1,main!$A$3:$I$56,7,FALSE),main!$K$10:$Q$14,7,FALSE),1,0)</f>
        <v>0</v>
      </c>
      <c r="AL235">
        <f>IF(VLOOKUP(AL$1,main!$A$3:$I$56,5,FALSE)-VLOOKUP($A235,main!$A$3:$I$56,6,FALSE)&gt;=VLOOKUP(59,main!$A$57:$I$61,4,FALSE)+VLOOKUP(VLOOKUP(AL$1,main!$A$3:$I$56,7,FALSE),main!$K$10:$Q$14,7,FALSE),1,0)</f>
        <v>0</v>
      </c>
      <c r="AM235">
        <f>IF(VLOOKUP(AM$1,main!$A$3:$I$56,5,FALSE)-VLOOKUP($A235,main!$A$3:$I$56,6,FALSE)&gt;=VLOOKUP(59,main!$A$57:$I$61,4,FALSE)+VLOOKUP(VLOOKUP(AM$1,main!$A$3:$I$56,7,FALSE),main!$K$10:$Q$14,7,FALSE),1,0)</f>
        <v>0</v>
      </c>
      <c r="AN235">
        <f>IF(VLOOKUP(AN$1,main!$A$3:$I$56,5,FALSE)-VLOOKUP($A235,main!$A$3:$I$56,6,FALSE)&gt;=VLOOKUP(59,main!$A$57:$I$61,4,FALSE)+VLOOKUP(VLOOKUP(AN$1,main!$A$3:$I$56,7,FALSE),main!$K$10:$Q$14,7,FALSE),1,0)</f>
        <v>0</v>
      </c>
      <c r="AO235">
        <f>IF(VLOOKUP(AO$1,main!$A$3:$I$56,5,FALSE)-VLOOKUP($A235,main!$A$3:$I$56,6,FALSE)&gt;=VLOOKUP(59,main!$A$57:$I$61,4,FALSE)+VLOOKUP(VLOOKUP(AO$1,main!$A$3:$I$56,7,FALSE),main!$K$10:$Q$14,7,FALSE),1,0)</f>
        <v>0</v>
      </c>
      <c r="AP235">
        <f>IF(VLOOKUP(AP$1,main!$A$3:$I$56,5,FALSE)-VLOOKUP($A235,main!$A$3:$I$56,6,FALSE)&gt;=VLOOKUP(59,main!$A$57:$I$61,4,FALSE)+VLOOKUP(VLOOKUP(AP$1,main!$A$3:$I$56,7,FALSE),main!$K$10:$Q$14,7,FALSE),1,0)</f>
        <v>0</v>
      </c>
      <c r="AQ235">
        <f>IF(VLOOKUP(AQ$1,main!$A$3:$I$56,5,FALSE)-VLOOKUP($A235,main!$A$3:$I$56,6,FALSE)&gt;=VLOOKUP(59,main!$A$57:$I$61,4,FALSE)+VLOOKUP(VLOOKUP(AQ$1,main!$A$3:$I$56,7,FALSE),main!$K$10:$Q$14,7,FALSE),1,0)</f>
        <v>0</v>
      </c>
      <c r="AR235">
        <f>IF(VLOOKUP(AR$1,main!$A$3:$I$56,5,FALSE)-VLOOKUP($A235,main!$A$3:$I$56,6,FALSE)&gt;=VLOOKUP(59,main!$A$57:$I$61,4,FALSE)+VLOOKUP(VLOOKUP(AR$1,main!$A$3:$I$56,7,FALSE),main!$K$10:$Q$14,7,FALSE),1,0)</f>
        <v>0</v>
      </c>
      <c r="AS235">
        <f>IF(VLOOKUP(AS$1,main!$A$3:$I$56,5,FALSE)-VLOOKUP($A235,main!$A$3:$I$56,6,FALSE)&gt;=VLOOKUP(59,main!$A$57:$I$61,4,FALSE)+VLOOKUP(VLOOKUP(AS$1,main!$A$3:$I$56,7,FALSE),main!$K$10:$Q$14,7,FALSE),1,0)</f>
        <v>0</v>
      </c>
      <c r="AT235">
        <f>IF(VLOOKUP(AT$1,main!$A$3:$I$56,5,FALSE)-VLOOKUP($A235,main!$A$3:$I$56,6,FALSE)&gt;=VLOOKUP(59,main!$A$57:$I$61,4,FALSE)+VLOOKUP(VLOOKUP(AT$1,main!$A$3:$I$56,7,FALSE),main!$K$10:$Q$14,7,FALSE),1,0)</f>
        <v>0</v>
      </c>
      <c r="AU235">
        <f>IF(VLOOKUP(AU$1,main!$A$3:$I$56,5,FALSE)-VLOOKUP($A235,main!$A$3:$I$56,6,FALSE)&gt;=VLOOKUP(59,main!$A$57:$I$61,4,FALSE)+VLOOKUP(VLOOKUP(AU$1,main!$A$3:$I$56,7,FALSE),main!$K$10:$Q$14,7,FALSE),1,0)</f>
        <v>0</v>
      </c>
      <c r="AV235">
        <f>IF(VLOOKUP(AV$1,main!$A$3:$I$56,5,FALSE)-VLOOKUP($A235,main!$A$3:$I$56,6,FALSE)&gt;=VLOOKUP(59,main!$A$57:$I$61,4,FALSE)+VLOOKUP(VLOOKUP(AV$1,main!$A$3:$I$56,7,FALSE),main!$K$10:$Q$14,7,FALSE),1,0)</f>
        <v>0</v>
      </c>
      <c r="AW235">
        <f>IF(VLOOKUP(AW$1,main!$A$3:$I$56,5,FALSE)-VLOOKUP($A235,main!$A$3:$I$56,6,FALSE)&gt;=VLOOKUP(59,main!$A$57:$I$61,4,FALSE)+VLOOKUP(VLOOKUP(AW$1,main!$A$3:$I$56,7,FALSE),main!$K$10:$Q$14,7,FALSE),1,0)</f>
        <v>0</v>
      </c>
      <c r="AX235">
        <f>IF(VLOOKUP(AX$1,main!$A$3:$I$56,5,FALSE)-VLOOKUP($A235,main!$A$3:$I$56,6,FALSE)&gt;=VLOOKUP(59,main!$A$57:$I$61,4,FALSE)+VLOOKUP(VLOOKUP(AX$1,main!$A$3:$I$56,7,FALSE),main!$K$10:$Q$14,7,FALSE),1,0)</f>
        <v>0</v>
      </c>
      <c r="AY235">
        <f>IF(VLOOKUP(AY$1,main!$A$3:$I$56,5,FALSE)-VLOOKUP($A235,main!$A$3:$I$56,6,FALSE)&gt;=VLOOKUP(59,main!$A$57:$I$61,4,FALSE)+VLOOKUP(VLOOKUP(AY$1,main!$A$3:$I$56,7,FALSE),main!$K$10:$Q$14,7,FALSE),1,0)</f>
        <v>0</v>
      </c>
      <c r="AZ235">
        <f>IF(VLOOKUP(AZ$1,main!$A$3:$I$56,5,FALSE)-VLOOKUP($A235,main!$A$3:$I$56,6,FALSE)&gt;=VLOOKUP(59,main!$A$57:$I$61,4,FALSE)+VLOOKUP(VLOOKUP(AZ$1,main!$A$3:$I$56,7,FALSE),main!$K$10:$Q$14,7,FALSE),1,0)</f>
        <v>0</v>
      </c>
      <c r="BA235">
        <f>IF(VLOOKUP(BA$1,main!$A$3:$I$56,5,FALSE)-VLOOKUP($A235,main!$A$3:$I$56,6,FALSE)&gt;=VLOOKUP(59,main!$A$57:$I$61,4,FALSE)+VLOOKUP(VLOOKUP(BA$1,main!$A$3:$I$56,7,FALSE),main!$K$10:$Q$14,7,FALSE),1,0)</f>
        <v>0</v>
      </c>
      <c r="BB235">
        <f>IF(VLOOKUP(BB$1,main!$A$3:$I$56,5,FALSE)-VLOOKUP($A235,main!$A$3:$I$56,6,FALSE)&gt;=VLOOKUP(59,main!$A$57:$I$61,4,FALSE)+VLOOKUP(VLOOKUP(BB$1,main!$A$3:$I$56,7,FALSE),main!$K$10:$Q$14,7,FALSE),1,0)</f>
        <v>0</v>
      </c>
      <c r="BC235">
        <f>IF(VLOOKUP(BC$1,main!$A$3:$I$56,5,FALSE)-VLOOKUP($A235,main!$A$3:$I$56,6,FALSE)&gt;=VLOOKUP(59,main!$A$57:$I$61,4,FALSE)+VLOOKUP(VLOOKUP(BC$1,main!$A$3:$I$56,7,FALSE),main!$K$10:$Q$14,7,FALSE),1,0)</f>
        <v>0</v>
      </c>
      <c r="BD235">
        <f>IF(VLOOKUP(BD$1,main!$A$3:$I$56,5,FALSE)-VLOOKUP($A235,main!$A$3:$I$56,6,FALSE)&gt;=VLOOKUP(59,main!$A$57:$I$61,4,FALSE)+VLOOKUP(VLOOKUP(BD$1,main!$A$3:$I$56,7,FALSE),main!$K$10:$Q$14,7,FALSE),1,0)</f>
        <v>0</v>
      </c>
    </row>
    <row r="236" spans="1:56" x14ac:dyDescent="0.25">
      <c r="A236">
        <f t="shared" si="4"/>
        <v>14</v>
      </c>
      <c r="B236">
        <v>0</v>
      </c>
      <c r="C236">
        <f>IF(VLOOKUP(C$1,main!$A$3:$I$56,5,FALSE)-VLOOKUP($A236,main!$A$3:$I$56,6,FALSE)&gt;=VLOOKUP(59,main!$A$57:$I$61,4,FALSE)+VLOOKUP(VLOOKUP(C$1,main!$A$3:$I$56,7,FALSE),main!$K$10:$Q$14,7,FALSE),1,0)</f>
        <v>0</v>
      </c>
      <c r="D236">
        <f>IF(VLOOKUP(D$1,main!$A$3:$I$56,5,FALSE)-VLOOKUP($A236,main!$A$3:$I$56,6,FALSE)&gt;=VLOOKUP(59,main!$A$57:$I$61,4,FALSE)+VLOOKUP(VLOOKUP(D$1,main!$A$3:$I$56,7,FALSE),main!$K$10:$Q$14,7,FALSE),1,0)</f>
        <v>0</v>
      </c>
      <c r="E236">
        <f>IF(VLOOKUP(E$1,main!$A$3:$I$56,5,FALSE)-VLOOKUP($A236,main!$A$3:$I$56,6,FALSE)&gt;=VLOOKUP(59,main!$A$57:$I$61,4,FALSE)+VLOOKUP(VLOOKUP(E$1,main!$A$3:$I$56,7,FALSE),main!$K$10:$Q$14,7,FALSE),1,0)</f>
        <v>0</v>
      </c>
      <c r="F236">
        <f>IF(VLOOKUP(F$1,main!$A$3:$I$56,5,FALSE)-VLOOKUP($A236,main!$A$3:$I$56,6,FALSE)&gt;=VLOOKUP(59,main!$A$57:$I$61,4,FALSE)+VLOOKUP(VLOOKUP(F$1,main!$A$3:$I$56,7,FALSE),main!$K$10:$Q$14,7,FALSE),1,0)</f>
        <v>0</v>
      </c>
      <c r="G236">
        <f>IF(VLOOKUP(G$1,main!$A$3:$I$56,5,FALSE)-VLOOKUP($A236,main!$A$3:$I$56,6,FALSE)&gt;=VLOOKUP(59,main!$A$57:$I$61,4,FALSE)+VLOOKUP(VLOOKUP(G$1,main!$A$3:$I$56,7,FALSE),main!$K$10:$Q$14,7,FALSE),1,0)</f>
        <v>1</v>
      </c>
      <c r="H236">
        <f>IF(VLOOKUP(H$1,main!$A$3:$I$56,5,FALSE)-VLOOKUP($A236,main!$A$3:$I$56,6,FALSE)&gt;=VLOOKUP(59,main!$A$57:$I$61,4,FALSE)+VLOOKUP(VLOOKUP(H$1,main!$A$3:$I$56,7,FALSE),main!$K$10:$Q$14,7,FALSE),1,0)</f>
        <v>1</v>
      </c>
      <c r="I236">
        <f>IF(VLOOKUP(I$1,main!$A$3:$I$56,5,FALSE)-VLOOKUP($A236,main!$A$3:$I$56,6,FALSE)&gt;=VLOOKUP(59,main!$A$57:$I$61,4,FALSE)+VLOOKUP(VLOOKUP(I$1,main!$A$3:$I$56,7,FALSE),main!$K$10:$Q$14,7,FALSE),1,0)</f>
        <v>1</v>
      </c>
      <c r="J236">
        <f>IF(VLOOKUP(J$1,main!$A$3:$I$56,5,FALSE)-VLOOKUP($A236,main!$A$3:$I$56,6,FALSE)&gt;=VLOOKUP(59,main!$A$57:$I$61,4,FALSE)+VLOOKUP(VLOOKUP(J$1,main!$A$3:$I$56,7,FALSE),main!$K$10:$Q$14,7,FALSE),1,0)</f>
        <v>1</v>
      </c>
      <c r="K236">
        <f>IF(VLOOKUP(K$1,main!$A$3:$I$56,5,FALSE)-VLOOKUP($A236,main!$A$3:$I$56,6,FALSE)&gt;=VLOOKUP(59,main!$A$57:$I$61,4,FALSE)+VLOOKUP(VLOOKUP(K$1,main!$A$3:$I$56,7,FALSE),main!$K$10:$Q$14,7,FALSE),1,0)</f>
        <v>0</v>
      </c>
      <c r="L236">
        <f>IF(VLOOKUP(L$1,main!$A$3:$I$56,5,FALSE)-VLOOKUP($A236,main!$A$3:$I$56,6,FALSE)&gt;=VLOOKUP(59,main!$A$57:$I$61,4,FALSE)+VLOOKUP(VLOOKUP(L$1,main!$A$3:$I$56,7,FALSE),main!$K$10:$Q$14,7,FALSE),1,0)</f>
        <v>0</v>
      </c>
      <c r="M236">
        <f>IF(VLOOKUP(M$1,main!$A$3:$I$56,5,FALSE)-VLOOKUP($A236,main!$A$3:$I$56,6,FALSE)&gt;=VLOOKUP(59,main!$A$57:$I$61,4,FALSE)+VLOOKUP(VLOOKUP(M$1,main!$A$3:$I$56,7,FALSE),main!$K$10:$Q$14,7,FALSE),1,0)</f>
        <v>0</v>
      </c>
      <c r="N236">
        <f>IF(VLOOKUP(N$1,main!$A$3:$I$56,5,FALSE)-VLOOKUP($A236,main!$A$3:$I$56,6,FALSE)&gt;=VLOOKUP(59,main!$A$57:$I$61,4,FALSE)+VLOOKUP(VLOOKUP(N$1,main!$A$3:$I$56,7,FALSE),main!$K$10:$Q$14,7,FALSE),1,0)</f>
        <v>1</v>
      </c>
      <c r="O236">
        <f>IF(VLOOKUP(O$1,main!$A$3:$I$56,5,FALSE)-VLOOKUP($A236,main!$A$3:$I$56,6,FALSE)&gt;=VLOOKUP(59,main!$A$57:$I$61,4,FALSE)+VLOOKUP(VLOOKUP(O$1,main!$A$3:$I$56,7,FALSE),main!$K$10:$Q$14,7,FALSE),1,0)</f>
        <v>1</v>
      </c>
      <c r="P236">
        <f>IF(VLOOKUP(P$1,main!$A$3:$I$56,5,FALSE)-VLOOKUP($A236,main!$A$3:$I$56,6,FALSE)&gt;=VLOOKUP(59,main!$A$57:$I$61,4,FALSE)+VLOOKUP(VLOOKUP(P$1,main!$A$3:$I$56,7,FALSE),main!$K$10:$Q$14,7,FALSE),1,0)</f>
        <v>0</v>
      </c>
      <c r="Q236">
        <f>IF(VLOOKUP(Q$1,main!$A$3:$I$56,5,FALSE)-VLOOKUP($A236,main!$A$3:$I$56,6,FALSE)&gt;=VLOOKUP(59,main!$A$57:$I$61,4,FALSE)+VLOOKUP(VLOOKUP(Q$1,main!$A$3:$I$56,7,FALSE),main!$K$10:$Q$14,7,FALSE),1,0)</f>
        <v>0</v>
      </c>
      <c r="R236">
        <f>IF(VLOOKUP(R$1,main!$A$3:$I$56,5,FALSE)-VLOOKUP($A236,main!$A$3:$I$56,6,FALSE)&gt;=VLOOKUP(59,main!$A$57:$I$61,4,FALSE)+VLOOKUP(VLOOKUP(R$1,main!$A$3:$I$56,7,FALSE),main!$K$10:$Q$14,7,FALSE),1,0)</f>
        <v>0</v>
      </c>
      <c r="S236">
        <f>IF(VLOOKUP(S$1,main!$A$3:$I$56,5,FALSE)-VLOOKUP($A236,main!$A$3:$I$56,6,FALSE)&gt;=VLOOKUP(59,main!$A$57:$I$61,4,FALSE)+VLOOKUP(VLOOKUP(S$1,main!$A$3:$I$56,7,FALSE),main!$K$10:$Q$14,7,FALSE),1,0)</f>
        <v>1</v>
      </c>
      <c r="T236">
        <f>IF(VLOOKUP(T$1,main!$A$3:$I$56,5,FALSE)-VLOOKUP($A236,main!$A$3:$I$56,6,FALSE)&gt;=VLOOKUP(59,main!$A$57:$I$61,4,FALSE)+VLOOKUP(VLOOKUP(T$1,main!$A$3:$I$56,7,FALSE),main!$K$10:$Q$14,7,FALSE),1,0)</f>
        <v>1</v>
      </c>
      <c r="U236">
        <f>IF(VLOOKUP(U$1,main!$A$3:$I$56,5,FALSE)-VLOOKUP($A236,main!$A$3:$I$56,6,FALSE)&gt;=VLOOKUP(59,main!$A$57:$I$61,4,FALSE)+VLOOKUP(VLOOKUP(U$1,main!$A$3:$I$56,7,FALSE),main!$K$10:$Q$14,7,FALSE),1,0)</f>
        <v>0</v>
      </c>
      <c r="V236">
        <f>IF(VLOOKUP(V$1,main!$A$3:$I$56,5,FALSE)-VLOOKUP($A236,main!$A$3:$I$56,6,FALSE)&gt;=VLOOKUP(59,main!$A$57:$I$61,4,FALSE)+VLOOKUP(VLOOKUP(V$1,main!$A$3:$I$56,7,FALSE),main!$K$10:$Q$14,7,FALSE),1,0)</f>
        <v>0</v>
      </c>
      <c r="W236">
        <f>IF(VLOOKUP(W$1,main!$A$3:$I$56,5,FALSE)-VLOOKUP($A236,main!$A$3:$I$56,6,FALSE)&gt;=VLOOKUP(59,main!$A$57:$I$61,4,FALSE)+VLOOKUP(VLOOKUP(W$1,main!$A$3:$I$56,7,FALSE),main!$K$10:$Q$14,7,FALSE),1,0)</f>
        <v>0</v>
      </c>
      <c r="X236">
        <f>IF(VLOOKUP(X$1,main!$A$3:$I$56,5,FALSE)-VLOOKUP($A236,main!$A$3:$I$56,6,FALSE)&gt;=VLOOKUP(59,main!$A$57:$I$61,4,FALSE)+VLOOKUP(VLOOKUP(X$1,main!$A$3:$I$56,7,FALSE),main!$K$10:$Q$14,7,FALSE),1,0)</f>
        <v>0</v>
      </c>
      <c r="Y236">
        <f>IF(VLOOKUP(Y$1,main!$A$3:$I$56,5,FALSE)-VLOOKUP($A236,main!$A$3:$I$56,6,FALSE)&gt;=VLOOKUP(59,main!$A$57:$I$61,4,FALSE)+VLOOKUP(VLOOKUP(Y$1,main!$A$3:$I$56,7,FALSE),main!$K$10:$Q$14,7,FALSE),1,0)</f>
        <v>0</v>
      </c>
      <c r="Z236">
        <f>IF(VLOOKUP(Z$1,main!$A$3:$I$56,5,FALSE)-VLOOKUP($A236,main!$A$3:$I$56,6,FALSE)&gt;=VLOOKUP(59,main!$A$57:$I$61,4,FALSE)+VLOOKUP(VLOOKUP(Z$1,main!$A$3:$I$56,7,FALSE),main!$K$10:$Q$14,7,FALSE),1,0)</f>
        <v>1</v>
      </c>
      <c r="AA236">
        <f>IF(VLOOKUP(AA$1,main!$A$3:$I$56,5,FALSE)-VLOOKUP($A236,main!$A$3:$I$56,6,FALSE)&gt;=VLOOKUP(59,main!$A$57:$I$61,4,FALSE)+VLOOKUP(VLOOKUP(AA$1,main!$A$3:$I$56,7,FALSE),main!$K$10:$Q$14,7,FALSE),1,0)</f>
        <v>1</v>
      </c>
      <c r="AB236">
        <f>IF(VLOOKUP(AB$1,main!$A$3:$I$56,5,FALSE)-VLOOKUP($A236,main!$A$3:$I$56,6,FALSE)&gt;=VLOOKUP(59,main!$A$57:$I$61,4,FALSE)+VLOOKUP(VLOOKUP(AB$1,main!$A$3:$I$56,7,FALSE),main!$K$10:$Q$14,7,FALSE),1,0)</f>
        <v>1</v>
      </c>
      <c r="AC236">
        <f>IF(VLOOKUP(AC$1,main!$A$3:$I$56,5,FALSE)-VLOOKUP($A236,main!$A$3:$I$56,6,FALSE)&gt;=VLOOKUP(59,main!$A$57:$I$61,4,FALSE)+VLOOKUP(VLOOKUP(AC$1,main!$A$3:$I$56,7,FALSE),main!$K$10:$Q$14,7,FALSE),1,0)</f>
        <v>0</v>
      </c>
      <c r="AD236">
        <f>IF(VLOOKUP(AD$1,main!$A$3:$I$56,5,FALSE)-VLOOKUP($A236,main!$A$3:$I$56,6,FALSE)&gt;=VLOOKUP(59,main!$A$57:$I$61,4,FALSE)+VLOOKUP(VLOOKUP(AD$1,main!$A$3:$I$56,7,FALSE),main!$K$10:$Q$14,7,FALSE),1,0)</f>
        <v>0</v>
      </c>
      <c r="AE236">
        <f>IF(VLOOKUP(AE$1,main!$A$3:$I$56,5,FALSE)-VLOOKUP($A236,main!$A$3:$I$56,6,FALSE)&gt;=VLOOKUP(59,main!$A$57:$I$61,4,FALSE)+VLOOKUP(VLOOKUP(AE$1,main!$A$3:$I$56,7,FALSE),main!$K$10:$Q$14,7,FALSE),1,0)</f>
        <v>0</v>
      </c>
      <c r="AF236">
        <f>IF(VLOOKUP(AF$1,main!$A$3:$I$56,5,FALSE)-VLOOKUP($A236,main!$A$3:$I$56,6,FALSE)&gt;=VLOOKUP(59,main!$A$57:$I$61,4,FALSE)+VLOOKUP(VLOOKUP(AF$1,main!$A$3:$I$56,7,FALSE),main!$K$10:$Q$14,7,FALSE),1,0)</f>
        <v>1</v>
      </c>
      <c r="AG236">
        <f>IF(VLOOKUP(AG$1,main!$A$3:$I$56,5,FALSE)-VLOOKUP($A236,main!$A$3:$I$56,6,FALSE)&gt;=VLOOKUP(59,main!$A$57:$I$61,4,FALSE)+VLOOKUP(VLOOKUP(AG$1,main!$A$3:$I$56,7,FALSE),main!$K$10:$Q$14,7,FALSE),1,0)</f>
        <v>0</v>
      </c>
      <c r="AH236">
        <f>IF(VLOOKUP(AH$1,main!$A$3:$I$56,5,FALSE)-VLOOKUP($A236,main!$A$3:$I$56,6,FALSE)&gt;=VLOOKUP(59,main!$A$57:$I$61,4,FALSE)+VLOOKUP(VLOOKUP(AH$1,main!$A$3:$I$56,7,FALSE),main!$K$10:$Q$14,7,FALSE),1,0)</f>
        <v>0</v>
      </c>
      <c r="AI236">
        <f>IF(VLOOKUP(AI$1,main!$A$3:$I$56,5,FALSE)-VLOOKUP($A236,main!$A$3:$I$56,6,FALSE)&gt;=VLOOKUP(59,main!$A$57:$I$61,4,FALSE)+VLOOKUP(VLOOKUP(AI$1,main!$A$3:$I$56,7,FALSE),main!$K$10:$Q$14,7,FALSE),1,0)</f>
        <v>0</v>
      </c>
      <c r="AJ236">
        <f>IF(VLOOKUP(AJ$1,main!$A$3:$I$56,5,FALSE)-VLOOKUP($A236,main!$A$3:$I$56,6,FALSE)&gt;=VLOOKUP(59,main!$A$57:$I$61,4,FALSE)+VLOOKUP(VLOOKUP(AJ$1,main!$A$3:$I$56,7,FALSE),main!$K$10:$Q$14,7,FALSE),1,0)</f>
        <v>0</v>
      </c>
      <c r="AK236">
        <f>IF(VLOOKUP(AK$1,main!$A$3:$I$56,5,FALSE)-VLOOKUP($A236,main!$A$3:$I$56,6,FALSE)&gt;=VLOOKUP(59,main!$A$57:$I$61,4,FALSE)+VLOOKUP(VLOOKUP(AK$1,main!$A$3:$I$56,7,FALSE),main!$K$10:$Q$14,7,FALSE),1,0)</f>
        <v>1</v>
      </c>
      <c r="AL236">
        <f>IF(VLOOKUP(AL$1,main!$A$3:$I$56,5,FALSE)-VLOOKUP($A236,main!$A$3:$I$56,6,FALSE)&gt;=VLOOKUP(59,main!$A$57:$I$61,4,FALSE)+VLOOKUP(VLOOKUP(AL$1,main!$A$3:$I$56,7,FALSE),main!$K$10:$Q$14,7,FALSE),1,0)</f>
        <v>0</v>
      </c>
      <c r="AM236">
        <f>IF(VLOOKUP(AM$1,main!$A$3:$I$56,5,FALSE)-VLOOKUP($A236,main!$A$3:$I$56,6,FALSE)&gt;=VLOOKUP(59,main!$A$57:$I$61,4,FALSE)+VLOOKUP(VLOOKUP(AM$1,main!$A$3:$I$56,7,FALSE),main!$K$10:$Q$14,7,FALSE),1,0)</f>
        <v>0</v>
      </c>
      <c r="AN236">
        <f>IF(VLOOKUP(AN$1,main!$A$3:$I$56,5,FALSE)-VLOOKUP($A236,main!$A$3:$I$56,6,FALSE)&gt;=VLOOKUP(59,main!$A$57:$I$61,4,FALSE)+VLOOKUP(VLOOKUP(AN$1,main!$A$3:$I$56,7,FALSE),main!$K$10:$Q$14,7,FALSE),1,0)</f>
        <v>0</v>
      </c>
      <c r="AO236">
        <f>IF(VLOOKUP(AO$1,main!$A$3:$I$56,5,FALSE)-VLOOKUP($A236,main!$A$3:$I$56,6,FALSE)&gt;=VLOOKUP(59,main!$A$57:$I$61,4,FALSE)+VLOOKUP(VLOOKUP(AO$1,main!$A$3:$I$56,7,FALSE),main!$K$10:$Q$14,7,FALSE),1,0)</f>
        <v>0</v>
      </c>
      <c r="AP236">
        <f>IF(VLOOKUP(AP$1,main!$A$3:$I$56,5,FALSE)-VLOOKUP($A236,main!$A$3:$I$56,6,FALSE)&gt;=VLOOKUP(59,main!$A$57:$I$61,4,FALSE)+VLOOKUP(VLOOKUP(AP$1,main!$A$3:$I$56,7,FALSE),main!$K$10:$Q$14,7,FALSE),1,0)</f>
        <v>0</v>
      </c>
      <c r="AQ236">
        <f>IF(VLOOKUP(AQ$1,main!$A$3:$I$56,5,FALSE)-VLOOKUP($A236,main!$A$3:$I$56,6,FALSE)&gt;=VLOOKUP(59,main!$A$57:$I$61,4,FALSE)+VLOOKUP(VLOOKUP(AQ$1,main!$A$3:$I$56,7,FALSE),main!$K$10:$Q$14,7,FALSE),1,0)</f>
        <v>0</v>
      </c>
      <c r="AR236">
        <f>IF(VLOOKUP(AR$1,main!$A$3:$I$56,5,FALSE)-VLOOKUP($A236,main!$A$3:$I$56,6,FALSE)&gt;=VLOOKUP(59,main!$A$57:$I$61,4,FALSE)+VLOOKUP(VLOOKUP(AR$1,main!$A$3:$I$56,7,FALSE),main!$K$10:$Q$14,7,FALSE),1,0)</f>
        <v>0</v>
      </c>
      <c r="AS236">
        <f>IF(VLOOKUP(AS$1,main!$A$3:$I$56,5,FALSE)-VLOOKUP($A236,main!$A$3:$I$56,6,FALSE)&gt;=VLOOKUP(59,main!$A$57:$I$61,4,FALSE)+VLOOKUP(VLOOKUP(AS$1,main!$A$3:$I$56,7,FALSE),main!$K$10:$Q$14,7,FALSE),1,0)</f>
        <v>0</v>
      </c>
      <c r="AT236">
        <f>IF(VLOOKUP(AT$1,main!$A$3:$I$56,5,FALSE)-VLOOKUP($A236,main!$A$3:$I$56,6,FALSE)&gt;=VLOOKUP(59,main!$A$57:$I$61,4,FALSE)+VLOOKUP(VLOOKUP(AT$1,main!$A$3:$I$56,7,FALSE),main!$K$10:$Q$14,7,FALSE),1,0)</f>
        <v>0</v>
      </c>
      <c r="AU236">
        <f>IF(VLOOKUP(AU$1,main!$A$3:$I$56,5,FALSE)-VLOOKUP($A236,main!$A$3:$I$56,6,FALSE)&gt;=VLOOKUP(59,main!$A$57:$I$61,4,FALSE)+VLOOKUP(VLOOKUP(AU$1,main!$A$3:$I$56,7,FALSE),main!$K$10:$Q$14,7,FALSE),1,0)</f>
        <v>0</v>
      </c>
      <c r="AV236">
        <f>IF(VLOOKUP(AV$1,main!$A$3:$I$56,5,FALSE)-VLOOKUP($A236,main!$A$3:$I$56,6,FALSE)&gt;=VLOOKUP(59,main!$A$57:$I$61,4,FALSE)+VLOOKUP(VLOOKUP(AV$1,main!$A$3:$I$56,7,FALSE),main!$K$10:$Q$14,7,FALSE),1,0)</f>
        <v>0</v>
      </c>
      <c r="AW236">
        <f>IF(VLOOKUP(AW$1,main!$A$3:$I$56,5,FALSE)-VLOOKUP($A236,main!$A$3:$I$56,6,FALSE)&gt;=VLOOKUP(59,main!$A$57:$I$61,4,FALSE)+VLOOKUP(VLOOKUP(AW$1,main!$A$3:$I$56,7,FALSE),main!$K$10:$Q$14,7,FALSE),1,0)</f>
        <v>1</v>
      </c>
      <c r="AX236">
        <f>IF(VLOOKUP(AX$1,main!$A$3:$I$56,5,FALSE)-VLOOKUP($A236,main!$A$3:$I$56,6,FALSE)&gt;=VLOOKUP(59,main!$A$57:$I$61,4,FALSE)+VLOOKUP(VLOOKUP(AX$1,main!$A$3:$I$56,7,FALSE),main!$K$10:$Q$14,7,FALSE),1,0)</f>
        <v>1</v>
      </c>
      <c r="AY236">
        <f>IF(VLOOKUP(AY$1,main!$A$3:$I$56,5,FALSE)-VLOOKUP($A236,main!$A$3:$I$56,6,FALSE)&gt;=VLOOKUP(59,main!$A$57:$I$61,4,FALSE)+VLOOKUP(VLOOKUP(AY$1,main!$A$3:$I$56,7,FALSE),main!$K$10:$Q$14,7,FALSE),1,0)</f>
        <v>1</v>
      </c>
      <c r="AZ236">
        <f>IF(VLOOKUP(AZ$1,main!$A$3:$I$56,5,FALSE)-VLOOKUP($A236,main!$A$3:$I$56,6,FALSE)&gt;=VLOOKUP(59,main!$A$57:$I$61,4,FALSE)+VLOOKUP(VLOOKUP(AZ$1,main!$A$3:$I$56,7,FALSE),main!$K$10:$Q$14,7,FALSE),1,0)</f>
        <v>0</v>
      </c>
      <c r="BA236">
        <f>IF(VLOOKUP(BA$1,main!$A$3:$I$56,5,FALSE)-VLOOKUP($A236,main!$A$3:$I$56,6,FALSE)&gt;=VLOOKUP(59,main!$A$57:$I$61,4,FALSE)+VLOOKUP(VLOOKUP(BA$1,main!$A$3:$I$56,7,FALSE),main!$K$10:$Q$14,7,FALSE),1,0)</f>
        <v>1</v>
      </c>
      <c r="BB236">
        <f>IF(VLOOKUP(BB$1,main!$A$3:$I$56,5,FALSE)-VLOOKUP($A236,main!$A$3:$I$56,6,FALSE)&gt;=VLOOKUP(59,main!$A$57:$I$61,4,FALSE)+VLOOKUP(VLOOKUP(BB$1,main!$A$3:$I$56,7,FALSE),main!$K$10:$Q$14,7,FALSE),1,0)</f>
        <v>1</v>
      </c>
      <c r="BC236">
        <f>IF(VLOOKUP(BC$1,main!$A$3:$I$56,5,FALSE)-VLOOKUP($A236,main!$A$3:$I$56,6,FALSE)&gt;=VLOOKUP(59,main!$A$57:$I$61,4,FALSE)+VLOOKUP(VLOOKUP(BC$1,main!$A$3:$I$56,7,FALSE),main!$K$10:$Q$14,7,FALSE),1,0)</f>
        <v>1</v>
      </c>
      <c r="BD236">
        <f>IF(VLOOKUP(BD$1,main!$A$3:$I$56,5,FALSE)-VLOOKUP($A236,main!$A$3:$I$56,6,FALSE)&gt;=VLOOKUP(59,main!$A$57:$I$61,4,FALSE)+VLOOKUP(VLOOKUP(BD$1,main!$A$3:$I$56,7,FALSE),main!$K$10:$Q$14,7,FALSE),1,0)</f>
        <v>1</v>
      </c>
    </row>
    <row r="237" spans="1:56" x14ac:dyDescent="0.25">
      <c r="A237">
        <f t="shared" si="4"/>
        <v>15</v>
      </c>
      <c r="B237">
        <v>0</v>
      </c>
      <c r="C237">
        <f>IF(VLOOKUP(C$1,main!$A$3:$I$56,5,FALSE)-VLOOKUP($A237,main!$A$3:$I$56,6,FALSE)&gt;=VLOOKUP(59,main!$A$57:$I$61,4,FALSE)+VLOOKUP(VLOOKUP(C$1,main!$A$3:$I$56,7,FALSE),main!$K$10:$Q$14,7,FALSE),1,0)</f>
        <v>0</v>
      </c>
      <c r="D237">
        <f>IF(VLOOKUP(D$1,main!$A$3:$I$56,5,FALSE)-VLOOKUP($A237,main!$A$3:$I$56,6,FALSE)&gt;=VLOOKUP(59,main!$A$57:$I$61,4,FALSE)+VLOOKUP(VLOOKUP(D$1,main!$A$3:$I$56,7,FALSE),main!$K$10:$Q$14,7,FALSE),1,0)</f>
        <v>0</v>
      </c>
      <c r="E237">
        <f>IF(VLOOKUP(E$1,main!$A$3:$I$56,5,FALSE)-VLOOKUP($A237,main!$A$3:$I$56,6,FALSE)&gt;=VLOOKUP(59,main!$A$57:$I$61,4,FALSE)+VLOOKUP(VLOOKUP(E$1,main!$A$3:$I$56,7,FALSE),main!$K$10:$Q$14,7,FALSE),1,0)</f>
        <v>0</v>
      </c>
      <c r="F237">
        <f>IF(VLOOKUP(F$1,main!$A$3:$I$56,5,FALSE)-VLOOKUP($A237,main!$A$3:$I$56,6,FALSE)&gt;=VLOOKUP(59,main!$A$57:$I$61,4,FALSE)+VLOOKUP(VLOOKUP(F$1,main!$A$3:$I$56,7,FALSE),main!$K$10:$Q$14,7,FALSE),1,0)</f>
        <v>0</v>
      </c>
      <c r="G237">
        <f>IF(VLOOKUP(G$1,main!$A$3:$I$56,5,FALSE)-VLOOKUP($A237,main!$A$3:$I$56,6,FALSE)&gt;=VLOOKUP(59,main!$A$57:$I$61,4,FALSE)+VLOOKUP(VLOOKUP(G$1,main!$A$3:$I$56,7,FALSE),main!$K$10:$Q$14,7,FALSE),1,0)</f>
        <v>0</v>
      </c>
      <c r="H237">
        <f>IF(VLOOKUP(H$1,main!$A$3:$I$56,5,FALSE)-VLOOKUP($A237,main!$A$3:$I$56,6,FALSE)&gt;=VLOOKUP(59,main!$A$57:$I$61,4,FALSE)+VLOOKUP(VLOOKUP(H$1,main!$A$3:$I$56,7,FALSE),main!$K$10:$Q$14,7,FALSE),1,0)</f>
        <v>1</v>
      </c>
      <c r="I237">
        <f>IF(VLOOKUP(I$1,main!$A$3:$I$56,5,FALSE)-VLOOKUP($A237,main!$A$3:$I$56,6,FALSE)&gt;=VLOOKUP(59,main!$A$57:$I$61,4,FALSE)+VLOOKUP(VLOOKUP(I$1,main!$A$3:$I$56,7,FALSE),main!$K$10:$Q$14,7,FALSE),1,0)</f>
        <v>1</v>
      </c>
      <c r="J237">
        <f>IF(VLOOKUP(J$1,main!$A$3:$I$56,5,FALSE)-VLOOKUP($A237,main!$A$3:$I$56,6,FALSE)&gt;=VLOOKUP(59,main!$A$57:$I$61,4,FALSE)+VLOOKUP(VLOOKUP(J$1,main!$A$3:$I$56,7,FALSE),main!$K$10:$Q$14,7,FALSE),1,0)</f>
        <v>1</v>
      </c>
      <c r="K237">
        <f>IF(VLOOKUP(K$1,main!$A$3:$I$56,5,FALSE)-VLOOKUP($A237,main!$A$3:$I$56,6,FALSE)&gt;=VLOOKUP(59,main!$A$57:$I$61,4,FALSE)+VLOOKUP(VLOOKUP(K$1,main!$A$3:$I$56,7,FALSE),main!$K$10:$Q$14,7,FALSE),1,0)</f>
        <v>0</v>
      </c>
      <c r="L237">
        <f>IF(VLOOKUP(L$1,main!$A$3:$I$56,5,FALSE)-VLOOKUP($A237,main!$A$3:$I$56,6,FALSE)&gt;=VLOOKUP(59,main!$A$57:$I$61,4,FALSE)+VLOOKUP(VLOOKUP(L$1,main!$A$3:$I$56,7,FALSE),main!$K$10:$Q$14,7,FALSE),1,0)</f>
        <v>0</v>
      </c>
      <c r="M237">
        <f>IF(VLOOKUP(M$1,main!$A$3:$I$56,5,FALSE)-VLOOKUP($A237,main!$A$3:$I$56,6,FALSE)&gt;=VLOOKUP(59,main!$A$57:$I$61,4,FALSE)+VLOOKUP(VLOOKUP(M$1,main!$A$3:$I$56,7,FALSE),main!$K$10:$Q$14,7,FALSE),1,0)</f>
        <v>0</v>
      </c>
      <c r="N237">
        <f>IF(VLOOKUP(N$1,main!$A$3:$I$56,5,FALSE)-VLOOKUP($A237,main!$A$3:$I$56,6,FALSE)&gt;=VLOOKUP(59,main!$A$57:$I$61,4,FALSE)+VLOOKUP(VLOOKUP(N$1,main!$A$3:$I$56,7,FALSE),main!$K$10:$Q$14,7,FALSE),1,0)</f>
        <v>1</v>
      </c>
      <c r="O237">
        <f>IF(VLOOKUP(O$1,main!$A$3:$I$56,5,FALSE)-VLOOKUP($A237,main!$A$3:$I$56,6,FALSE)&gt;=VLOOKUP(59,main!$A$57:$I$61,4,FALSE)+VLOOKUP(VLOOKUP(O$1,main!$A$3:$I$56,7,FALSE),main!$K$10:$Q$14,7,FALSE),1,0)</f>
        <v>1</v>
      </c>
      <c r="P237">
        <f>IF(VLOOKUP(P$1,main!$A$3:$I$56,5,FALSE)-VLOOKUP($A237,main!$A$3:$I$56,6,FALSE)&gt;=VLOOKUP(59,main!$A$57:$I$61,4,FALSE)+VLOOKUP(VLOOKUP(P$1,main!$A$3:$I$56,7,FALSE),main!$K$10:$Q$14,7,FALSE),1,0)</f>
        <v>0</v>
      </c>
      <c r="Q237">
        <f>IF(VLOOKUP(Q$1,main!$A$3:$I$56,5,FALSE)-VLOOKUP($A237,main!$A$3:$I$56,6,FALSE)&gt;=VLOOKUP(59,main!$A$57:$I$61,4,FALSE)+VLOOKUP(VLOOKUP(Q$1,main!$A$3:$I$56,7,FALSE),main!$K$10:$Q$14,7,FALSE),1,0)</f>
        <v>0</v>
      </c>
      <c r="R237">
        <f>IF(VLOOKUP(R$1,main!$A$3:$I$56,5,FALSE)-VLOOKUP($A237,main!$A$3:$I$56,6,FALSE)&gt;=VLOOKUP(59,main!$A$57:$I$61,4,FALSE)+VLOOKUP(VLOOKUP(R$1,main!$A$3:$I$56,7,FALSE),main!$K$10:$Q$14,7,FALSE),1,0)</f>
        <v>0</v>
      </c>
      <c r="S237">
        <f>IF(VLOOKUP(S$1,main!$A$3:$I$56,5,FALSE)-VLOOKUP($A237,main!$A$3:$I$56,6,FALSE)&gt;=VLOOKUP(59,main!$A$57:$I$61,4,FALSE)+VLOOKUP(VLOOKUP(S$1,main!$A$3:$I$56,7,FALSE),main!$K$10:$Q$14,7,FALSE),1,0)</f>
        <v>0</v>
      </c>
      <c r="T237">
        <f>IF(VLOOKUP(T$1,main!$A$3:$I$56,5,FALSE)-VLOOKUP($A237,main!$A$3:$I$56,6,FALSE)&gt;=VLOOKUP(59,main!$A$57:$I$61,4,FALSE)+VLOOKUP(VLOOKUP(T$1,main!$A$3:$I$56,7,FALSE),main!$K$10:$Q$14,7,FALSE),1,0)</f>
        <v>1</v>
      </c>
      <c r="U237">
        <f>IF(VLOOKUP(U$1,main!$A$3:$I$56,5,FALSE)-VLOOKUP($A237,main!$A$3:$I$56,6,FALSE)&gt;=VLOOKUP(59,main!$A$57:$I$61,4,FALSE)+VLOOKUP(VLOOKUP(U$1,main!$A$3:$I$56,7,FALSE),main!$K$10:$Q$14,7,FALSE),1,0)</f>
        <v>0</v>
      </c>
      <c r="V237">
        <f>IF(VLOOKUP(V$1,main!$A$3:$I$56,5,FALSE)-VLOOKUP($A237,main!$A$3:$I$56,6,FALSE)&gt;=VLOOKUP(59,main!$A$57:$I$61,4,FALSE)+VLOOKUP(VLOOKUP(V$1,main!$A$3:$I$56,7,FALSE),main!$K$10:$Q$14,7,FALSE),1,0)</f>
        <v>0</v>
      </c>
      <c r="W237">
        <f>IF(VLOOKUP(W$1,main!$A$3:$I$56,5,FALSE)-VLOOKUP($A237,main!$A$3:$I$56,6,FALSE)&gt;=VLOOKUP(59,main!$A$57:$I$61,4,FALSE)+VLOOKUP(VLOOKUP(W$1,main!$A$3:$I$56,7,FALSE),main!$K$10:$Q$14,7,FALSE),1,0)</f>
        <v>0</v>
      </c>
      <c r="X237">
        <f>IF(VLOOKUP(X$1,main!$A$3:$I$56,5,FALSE)-VLOOKUP($A237,main!$A$3:$I$56,6,FALSE)&gt;=VLOOKUP(59,main!$A$57:$I$61,4,FALSE)+VLOOKUP(VLOOKUP(X$1,main!$A$3:$I$56,7,FALSE),main!$K$10:$Q$14,7,FALSE),1,0)</f>
        <v>0</v>
      </c>
      <c r="Y237">
        <f>IF(VLOOKUP(Y$1,main!$A$3:$I$56,5,FALSE)-VLOOKUP($A237,main!$A$3:$I$56,6,FALSE)&gt;=VLOOKUP(59,main!$A$57:$I$61,4,FALSE)+VLOOKUP(VLOOKUP(Y$1,main!$A$3:$I$56,7,FALSE),main!$K$10:$Q$14,7,FALSE),1,0)</f>
        <v>0</v>
      </c>
      <c r="Z237">
        <f>IF(VLOOKUP(Z$1,main!$A$3:$I$56,5,FALSE)-VLOOKUP($A237,main!$A$3:$I$56,6,FALSE)&gt;=VLOOKUP(59,main!$A$57:$I$61,4,FALSE)+VLOOKUP(VLOOKUP(Z$1,main!$A$3:$I$56,7,FALSE),main!$K$10:$Q$14,7,FALSE),1,0)</f>
        <v>1</v>
      </c>
      <c r="AA237">
        <f>IF(VLOOKUP(AA$1,main!$A$3:$I$56,5,FALSE)-VLOOKUP($A237,main!$A$3:$I$56,6,FALSE)&gt;=VLOOKUP(59,main!$A$57:$I$61,4,FALSE)+VLOOKUP(VLOOKUP(AA$1,main!$A$3:$I$56,7,FALSE),main!$K$10:$Q$14,7,FALSE),1,0)</f>
        <v>1</v>
      </c>
      <c r="AB237">
        <f>IF(VLOOKUP(AB$1,main!$A$3:$I$56,5,FALSE)-VLOOKUP($A237,main!$A$3:$I$56,6,FALSE)&gt;=VLOOKUP(59,main!$A$57:$I$61,4,FALSE)+VLOOKUP(VLOOKUP(AB$1,main!$A$3:$I$56,7,FALSE),main!$K$10:$Q$14,7,FALSE),1,0)</f>
        <v>1</v>
      </c>
      <c r="AC237">
        <f>IF(VLOOKUP(AC$1,main!$A$3:$I$56,5,FALSE)-VLOOKUP($A237,main!$A$3:$I$56,6,FALSE)&gt;=VLOOKUP(59,main!$A$57:$I$61,4,FALSE)+VLOOKUP(VLOOKUP(AC$1,main!$A$3:$I$56,7,FALSE),main!$K$10:$Q$14,7,FALSE),1,0)</f>
        <v>0</v>
      </c>
      <c r="AD237">
        <f>IF(VLOOKUP(AD$1,main!$A$3:$I$56,5,FALSE)-VLOOKUP($A237,main!$A$3:$I$56,6,FALSE)&gt;=VLOOKUP(59,main!$A$57:$I$61,4,FALSE)+VLOOKUP(VLOOKUP(AD$1,main!$A$3:$I$56,7,FALSE),main!$K$10:$Q$14,7,FALSE),1,0)</f>
        <v>0</v>
      </c>
      <c r="AE237">
        <f>IF(VLOOKUP(AE$1,main!$A$3:$I$56,5,FALSE)-VLOOKUP($A237,main!$A$3:$I$56,6,FALSE)&gt;=VLOOKUP(59,main!$A$57:$I$61,4,FALSE)+VLOOKUP(VLOOKUP(AE$1,main!$A$3:$I$56,7,FALSE),main!$K$10:$Q$14,7,FALSE),1,0)</f>
        <v>0</v>
      </c>
      <c r="AF237">
        <f>IF(VLOOKUP(AF$1,main!$A$3:$I$56,5,FALSE)-VLOOKUP($A237,main!$A$3:$I$56,6,FALSE)&gt;=VLOOKUP(59,main!$A$57:$I$61,4,FALSE)+VLOOKUP(VLOOKUP(AF$1,main!$A$3:$I$56,7,FALSE),main!$K$10:$Q$14,7,FALSE),1,0)</f>
        <v>0</v>
      </c>
      <c r="AG237">
        <f>IF(VLOOKUP(AG$1,main!$A$3:$I$56,5,FALSE)-VLOOKUP($A237,main!$A$3:$I$56,6,FALSE)&gt;=VLOOKUP(59,main!$A$57:$I$61,4,FALSE)+VLOOKUP(VLOOKUP(AG$1,main!$A$3:$I$56,7,FALSE),main!$K$10:$Q$14,7,FALSE),1,0)</f>
        <v>0</v>
      </c>
      <c r="AH237">
        <f>IF(VLOOKUP(AH$1,main!$A$3:$I$56,5,FALSE)-VLOOKUP($A237,main!$A$3:$I$56,6,FALSE)&gt;=VLOOKUP(59,main!$A$57:$I$61,4,FALSE)+VLOOKUP(VLOOKUP(AH$1,main!$A$3:$I$56,7,FALSE),main!$K$10:$Q$14,7,FALSE),1,0)</f>
        <v>0</v>
      </c>
      <c r="AI237">
        <f>IF(VLOOKUP(AI$1,main!$A$3:$I$56,5,FALSE)-VLOOKUP($A237,main!$A$3:$I$56,6,FALSE)&gt;=VLOOKUP(59,main!$A$57:$I$61,4,FALSE)+VLOOKUP(VLOOKUP(AI$1,main!$A$3:$I$56,7,FALSE),main!$K$10:$Q$14,7,FALSE),1,0)</f>
        <v>0</v>
      </c>
      <c r="AJ237">
        <f>IF(VLOOKUP(AJ$1,main!$A$3:$I$56,5,FALSE)-VLOOKUP($A237,main!$A$3:$I$56,6,FALSE)&gt;=VLOOKUP(59,main!$A$57:$I$61,4,FALSE)+VLOOKUP(VLOOKUP(AJ$1,main!$A$3:$I$56,7,FALSE),main!$K$10:$Q$14,7,FALSE),1,0)</f>
        <v>0</v>
      </c>
      <c r="AK237">
        <f>IF(VLOOKUP(AK$1,main!$A$3:$I$56,5,FALSE)-VLOOKUP($A237,main!$A$3:$I$56,6,FALSE)&gt;=VLOOKUP(59,main!$A$57:$I$61,4,FALSE)+VLOOKUP(VLOOKUP(AK$1,main!$A$3:$I$56,7,FALSE),main!$K$10:$Q$14,7,FALSE),1,0)</f>
        <v>0</v>
      </c>
      <c r="AL237">
        <f>IF(VLOOKUP(AL$1,main!$A$3:$I$56,5,FALSE)-VLOOKUP($A237,main!$A$3:$I$56,6,FALSE)&gt;=VLOOKUP(59,main!$A$57:$I$61,4,FALSE)+VLOOKUP(VLOOKUP(AL$1,main!$A$3:$I$56,7,FALSE),main!$K$10:$Q$14,7,FALSE),1,0)</f>
        <v>0</v>
      </c>
      <c r="AM237">
        <f>IF(VLOOKUP(AM$1,main!$A$3:$I$56,5,FALSE)-VLOOKUP($A237,main!$A$3:$I$56,6,FALSE)&gt;=VLOOKUP(59,main!$A$57:$I$61,4,FALSE)+VLOOKUP(VLOOKUP(AM$1,main!$A$3:$I$56,7,FALSE),main!$K$10:$Q$14,7,FALSE),1,0)</f>
        <v>0</v>
      </c>
      <c r="AN237">
        <f>IF(VLOOKUP(AN$1,main!$A$3:$I$56,5,FALSE)-VLOOKUP($A237,main!$A$3:$I$56,6,FALSE)&gt;=VLOOKUP(59,main!$A$57:$I$61,4,FALSE)+VLOOKUP(VLOOKUP(AN$1,main!$A$3:$I$56,7,FALSE),main!$K$10:$Q$14,7,FALSE),1,0)</f>
        <v>0</v>
      </c>
      <c r="AO237">
        <f>IF(VLOOKUP(AO$1,main!$A$3:$I$56,5,FALSE)-VLOOKUP($A237,main!$A$3:$I$56,6,FALSE)&gt;=VLOOKUP(59,main!$A$57:$I$61,4,FALSE)+VLOOKUP(VLOOKUP(AO$1,main!$A$3:$I$56,7,FALSE),main!$K$10:$Q$14,7,FALSE),1,0)</f>
        <v>0</v>
      </c>
      <c r="AP237">
        <f>IF(VLOOKUP(AP$1,main!$A$3:$I$56,5,FALSE)-VLOOKUP($A237,main!$A$3:$I$56,6,FALSE)&gt;=VLOOKUP(59,main!$A$57:$I$61,4,FALSE)+VLOOKUP(VLOOKUP(AP$1,main!$A$3:$I$56,7,FALSE),main!$K$10:$Q$14,7,FALSE),1,0)</f>
        <v>0</v>
      </c>
      <c r="AQ237">
        <f>IF(VLOOKUP(AQ$1,main!$A$3:$I$56,5,FALSE)-VLOOKUP($A237,main!$A$3:$I$56,6,FALSE)&gt;=VLOOKUP(59,main!$A$57:$I$61,4,FALSE)+VLOOKUP(VLOOKUP(AQ$1,main!$A$3:$I$56,7,FALSE),main!$K$10:$Q$14,7,FALSE),1,0)</f>
        <v>0</v>
      </c>
      <c r="AR237">
        <f>IF(VLOOKUP(AR$1,main!$A$3:$I$56,5,FALSE)-VLOOKUP($A237,main!$A$3:$I$56,6,FALSE)&gt;=VLOOKUP(59,main!$A$57:$I$61,4,FALSE)+VLOOKUP(VLOOKUP(AR$1,main!$A$3:$I$56,7,FALSE),main!$K$10:$Q$14,7,FALSE),1,0)</f>
        <v>0</v>
      </c>
      <c r="AS237">
        <f>IF(VLOOKUP(AS$1,main!$A$3:$I$56,5,FALSE)-VLOOKUP($A237,main!$A$3:$I$56,6,FALSE)&gt;=VLOOKUP(59,main!$A$57:$I$61,4,FALSE)+VLOOKUP(VLOOKUP(AS$1,main!$A$3:$I$56,7,FALSE),main!$K$10:$Q$14,7,FALSE),1,0)</f>
        <v>0</v>
      </c>
      <c r="AT237">
        <f>IF(VLOOKUP(AT$1,main!$A$3:$I$56,5,FALSE)-VLOOKUP($A237,main!$A$3:$I$56,6,FALSE)&gt;=VLOOKUP(59,main!$A$57:$I$61,4,FALSE)+VLOOKUP(VLOOKUP(AT$1,main!$A$3:$I$56,7,FALSE),main!$K$10:$Q$14,7,FALSE),1,0)</f>
        <v>0</v>
      </c>
      <c r="AU237">
        <f>IF(VLOOKUP(AU$1,main!$A$3:$I$56,5,FALSE)-VLOOKUP($A237,main!$A$3:$I$56,6,FALSE)&gt;=VLOOKUP(59,main!$A$57:$I$61,4,FALSE)+VLOOKUP(VLOOKUP(AU$1,main!$A$3:$I$56,7,FALSE),main!$K$10:$Q$14,7,FALSE),1,0)</f>
        <v>0</v>
      </c>
      <c r="AV237">
        <f>IF(VLOOKUP(AV$1,main!$A$3:$I$56,5,FALSE)-VLOOKUP($A237,main!$A$3:$I$56,6,FALSE)&gt;=VLOOKUP(59,main!$A$57:$I$61,4,FALSE)+VLOOKUP(VLOOKUP(AV$1,main!$A$3:$I$56,7,FALSE),main!$K$10:$Q$14,7,FALSE),1,0)</f>
        <v>0</v>
      </c>
      <c r="AW237">
        <f>IF(VLOOKUP(AW$1,main!$A$3:$I$56,5,FALSE)-VLOOKUP($A237,main!$A$3:$I$56,6,FALSE)&gt;=VLOOKUP(59,main!$A$57:$I$61,4,FALSE)+VLOOKUP(VLOOKUP(AW$1,main!$A$3:$I$56,7,FALSE),main!$K$10:$Q$14,7,FALSE),1,0)</f>
        <v>0</v>
      </c>
      <c r="AX237">
        <f>IF(VLOOKUP(AX$1,main!$A$3:$I$56,5,FALSE)-VLOOKUP($A237,main!$A$3:$I$56,6,FALSE)&gt;=VLOOKUP(59,main!$A$57:$I$61,4,FALSE)+VLOOKUP(VLOOKUP(AX$1,main!$A$3:$I$56,7,FALSE),main!$K$10:$Q$14,7,FALSE),1,0)</f>
        <v>1</v>
      </c>
      <c r="AY237">
        <f>IF(VLOOKUP(AY$1,main!$A$3:$I$56,5,FALSE)-VLOOKUP($A237,main!$A$3:$I$56,6,FALSE)&gt;=VLOOKUP(59,main!$A$57:$I$61,4,FALSE)+VLOOKUP(VLOOKUP(AY$1,main!$A$3:$I$56,7,FALSE),main!$K$10:$Q$14,7,FALSE),1,0)</f>
        <v>1</v>
      </c>
      <c r="AZ237">
        <f>IF(VLOOKUP(AZ$1,main!$A$3:$I$56,5,FALSE)-VLOOKUP($A237,main!$A$3:$I$56,6,FALSE)&gt;=VLOOKUP(59,main!$A$57:$I$61,4,FALSE)+VLOOKUP(VLOOKUP(AZ$1,main!$A$3:$I$56,7,FALSE),main!$K$10:$Q$14,7,FALSE),1,0)</f>
        <v>0</v>
      </c>
      <c r="BA237">
        <f>IF(VLOOKUP(BA$1,main!$A$3:$I$56,5,FALSE)-VLOOKUP($A237,main!$A$3:$I$56,6,FALSE)&gt;=VLOOKUP(59,main!$A$57:$I$61,4,FALSE)+VLOOKUP(VLOOKUP(BA$1,main!$A$3:$I$56,7,FALSE),main!$K$10:$Q$14,7,FALSE),1,0)</f>
        <v>0</v>
      </c>
      <c r="BB237">
        <f>IF(VLOOKUP(BB$1,main!$A$3:$I$56,5,FALSE)-VLOOKUP($A237,main!$A$3:$I$56,6,FALSE)&gt;=VLOOKUP(59,main!$A$57:$I$61,4,FALSE)+VLOOKUP(VLOOKUP(BB$1,main!$A$3:$I$56,7,FALSE),main!$K$10:$Q$14,7,FALSE),1,0)</f>
        <v>0</v>
      </c>
      <c r="BC237">
        <f>IF(VLOOKUP(BC$1,main!$A$3:$I$56,5,FALSE)-VLOOKUP($A237,main!$A$3:$I$56,6,FALSE)&gt;=VLOOKUP(59,main!$A$57:$I$61,4,FALSE)+VLOOKUP(VLOOKUP(BC$1,main!$A$3:$I$56,7,FALSE),main!$K$10:$Q$14,7,FALSE),1,0)</f>
        <v>1</v>
      </c>
      <c r="BD237">
        <f>IF(VLOOKUP(BD$1,main!$A$3:$I$56,5,FALSE)-VLOOKUP($A237,main!$A$3:$I$56,6,FALSE)&gt;=VLOOKUP(59,main!$A$57:$I$61,4,FALSE)+VLOOKUP(VLOOKUP(BD$1,main!$A$3:$I$56,7,FALSE),main!$K$10:$Q$14,7,FALSE),1,0)</f>
        <v>1</v>
      </c>
    </row>
    <row r="238" spans="1:56" x14ac:dyDescent="0.25">
      <c r="A238">
        <f t="shared" si="4"/>
        <v>16</v>
      </c>
      <c r="B238">
        <v>0</v>
      </c>
      <c r="C238">
        <f>IF(VLOOKUP(C$1,main!$A$3:$I$56,5,FALSE)-VLOOKUP($A238,main!$A$3:$I$56,6,FALSE)&gt;=VLOOKUP(59,main!$A$57:$I$61,4,FALSE)+VLOOKUP(VLOOKUP(C$1,main!$A$3:$I$56,7,FALSE),main!$K$10:$Q$14,7,FALSE),1,0)</f>
        <v>0</v>
      </c>
      <c r="D238">
        <f>IF(VLOOKUP(D$1,main!$A$3:$I$56,5,FALSE)-VLOOKUP($A238,main!$A$3:$I$56,6,FALSE)&gt;=VLOOKUP(59,main!$A$57:$I$61,4,FALSE)+VLOOKUP(VLOOKUP(D$1,main!$A$3:$I$56,7,FALSE),main!$K$10:$Q$14,7,FALSE),1,0)</f>
        <v>0</v>
      </c>
      <c r="E238">
        <f>IF(VLOOKUP(E$1,main!$A$3:$I$56,5,FALSE)-VLOOKUP($A238,main!$A$3:$I$56,6,FALSE)&gt;=VLOOKUP(59,main!$A$57:$I$61,4,FALSE)+VLOOKUP(VLOOKUP(E$1,main!$A$3:$I$56,7,FALSE),main!$K$10:$Q$14,7,FALSE),1,0)</f>
        <v>0</v>
      </c>
      <c r="F238">
        <f>IF(VLOOKUP(F$1,main!$A$3:$I$56,5,FALSE)-VLOOKUP($A238,main!$A$3:$I$56,6,FALSE)&gt;=VLOOKUP(59,main!$A$57:$I$61,4,FALSE)+VLOOKUP(VLOOKUP(F$1,main!$A$3:$I$56,7,FALSE),main!$K$10:$Q$14,7,FALSE),1,0)</f>
        <v>0</v>
      </c>
      <c r="G238">
        <f>IF(VLOOKUP(G$1,main!$A$3:$I$56,5,FALSE)-VLOOKUP($A238,main!$A$3:$I$56,6,FALSE)&gt;=VLOOKUP(59,main!$A$57:$I$61,4,FALSE)+VLOOKUP(VLOOKUP(G$1,main!$A$3:$I$56,7,FALSE),main!$K$10:$Q$14,7,FALSE),1,0)</f>
        <v>0</v>
      </c>
      <c r="H238">
        <f>IF(VLOOKUP(H$1,main!$A$3:$I$56,5,FALSE)-VLOOKUP($A238,main!$A$3:$I$56,6,FALSE)&gt;=VLOOKUP(59,main!$A$57:$I$61,4,FALSE)+VLOOKUP(VLOOKUP(H$1,main!$A$3:$I$56,7,FALSE),main!$K$10:$Q$14,7,FALSE),1,0)</f>
        <v>0</v>
      </c>
      <c r="I238">
        <f>IF(VLOOKUP(I$1,main!$A$3:$I$56,5,FALSE)-VLOOKUP($A238,main!$A$3:$I$56,6,FALSE)&gt;=VLOOKUP(59,main!$A$57:$I$61,4,FALSE)+VLOOKUP(VLOOKUP(I$1,main!$A$3:$I$56,7,FALSE),main!$K$10:$Q$14,7,FALSE),1,0)</f>
        <v>0</v>
      </c>
      <c r="J238">
        <f>IF(VLOOKUP(J$1,main!$A$3:$I$56,5,FALSE)-VLOOKUP($A238,main!$A$3:$I$56,6,FALSE)&gt;=VLOOKUP(59,main!$A$57:$I$61,4,FALSE)+VLOOKUP(VLOOKUP(J$1,main!$A$3:$I$56,7,FALSE),main!$K$10:$Q$14,7,FALSE),1,0)</f>
        <v>0</v>
      </c>
      <c r="K238">
        <f>IF(VLOOKUP(K$1,main!$A$3:$I$56,5,FALSE)-VLOOKUP($A238,main!$A$3:$I$56,6,FALSE)&gt;=VLOOKUP(59,main!$A$57:$I$61,4,FALSE)+VLOOKUP(VLOOKUP(K$1,main!$A$3:$I$56,7,FALSE),main!$K$10:$Q$14,7,FALSE),1,0)</f>
        <v>0</v>
      </c>
      <c r="L238">
        <f>IF(VLOOKUP(L$1,main!$A$3:$I$56,5,FALSE)-VLOOKUP($A238,main!$A$3:$I$56,6,FALSE)&gt;=VLOOKUP(59,main!$A$57:$I$61,4,FALSE)+VLOOKUP(VLOOKUP(L$1,main!$A$3:$I$56,7,FALSE),main!$K$10:$Q$14,7,FALSE),1,0)</f>
        <v>0</v>
      </c>
      <c r="M238">
        <f>IF(VLOOKUP(M$1,main!$A$3:$I$56,5,FALSE)-VLOOKUP($A238,main!$A$3:$I$56,6,FALSE)&gt;=VLOOKUP(59,main!$A$57:$I$61,4,FALSE)+VLOOKUP(VLOOKUP(M$1,main!$A$3:$I$56,7,FALSE),main!$K$10:$Q$14,7,FALSE),1,0)</f>
        <v>0</v>
      </c>
      <c r="N238">
        <f>IF(VLOOKUP(N$1,main!$A$3:$I$56,5,FALSE)-VLOOKUP($A238,main!$A$3:$I$56,6,FALSE)&gt;=VLOOKUP(59,main!$A$57:$I$61,4,FALSE)+VLOOKUP(VLOOKUP(N$1,main!$A$3:$I$56,7,FALSE),main!$K$10:$Q$14,7,FALSE),1,0)</f>
        <v>0</v>
      </c>
      <c r="O238">
        <f>IF(VLOOKUP(O$1,main!$A$3:$I$56,5,FALSE)-VLOOKUP($A238,main!$A$3:$I$56,6,FALSE)&gt;=VLOOKUP(59,main!$A$57:$I$61,4,FALSE)+VLOOKUP(VLOOKUP(O$1,main!$A$3:$I$56,7,FALSE),main!$K$10:$Q$14,7,FALSE),1,0)</f>
        <v>1</v>
      </c>
      <c r="P238">
        <f>IF(VLOOKUP(P$1,main!$A$3:$I$56,5,FALSE)-VLOOKUP($A238,main!$A$3:$I$56,6,FALSE)&gt;=VLOOKUP(59,main!$A$57:$I$61,4,FALSE)+VLOOKUP(VLOOKUP(P$1,main!$A$3:$I$56,7,FALSE),main!$K$10:$Q$14,7,FALSE),1,0)</f>
        <v>0</v>
      </c>
      <c r="Q238">
        <f>IF(VLOOKUP(Q$1,main!$A$3:$I$56,5,FALSE)-VLOOKUP($A238,main!$A$3:$I$56,6,FALSE)&gt;=VLOOKUP(59,main!$A$57:$I$61,4,FALSE)+VLOOKUP(VLOOKUP(Q$1,main!$A$3:$I$56,7,FALSE),main!$K$10:$Q$14,7,FALSE),1,0)</f>
        <v>0</v>
      </c>
      <c r="R238">
        <f>IF(VLOOKUP(R$1,main!$A$3:$I$56,5,FALSE)-VLOOKUP($A238,main!$A$3:$I$56,6,FALSE)&gt;=VLOOKUP(59,main!$A$57:$I$61,4,FALSE)+VLOOKUP(VLOOKUP(R$1,main!$A$3:$I$56,7,FALSE),main!$K$10:$Q$14,7,FALSE),1,0)</f>
        <v>0</v>
      </c>
      <c r="S238">
        <f>IF(VLOOKUP(S$1,main!$A$3:$I$56,5,FALSE)-VLOOKUP($A238,main!$A$3:$I$56,6,FALSE)&gt;=VLOOKUP(59,main!$A$57:$I$61,4,FALSE)+VLOOKUP(VLOOKUP(S$1,main!$A$3:$I$56,7,FALSE),main!$K$10:$Q$14,7,FALSE),1,0)</f>
        <v>0</v>
      </c>
      <c r="T238">
        <f>IF(VLOOKUP(T$1,main!$A$3:$I$56,5,FALSE)-VLOOKUP($A238,main!$A$3:$I$56,6,FALSE)&gt;=VLOOKUP(59,main!$A$57:$I$61,4,FALSE)+VLOOKUP(VLOOKUP(T$1,main!$A$3:$I$56,7,FALSE),main!$K$10:$Q$14,7,FALSE),1,0)</f>
        <v>0</v>
      </c>
      <c r="U238">
        <f>IF(VLOOKUP(U$1,main!$A$3:$I$56,5,FALSE)-VLOOKUP($A238,main!$A$3:$I$56,6,FALSE)&gt;=VLOOKUP(59,main!$A$57:$I$61,4,FALSE)+VLOOKUP(VLOOKUP(U$1,main!$A$3:$I$56,7,FALSE),main!$K$10:$Q$14,7,FALSE),1,0)</f>
        <v>0</v>
      </c>
      <c r="V238">
        <f>IF(VLOOKUP(V$1,main!$A$3:$I$56,5,FALSE)-VLOOKUP($A238,main!$A$3:$I$56,6,FALSE)&gt;=VLOOKUP(59,main!$A$57:$I$61,4,FALSE)+VLOOKUP(VLOOKUP(V$1,main!$A$3:$I$56,7,FALSE),main!$K$10:$Q$14,7,FALSE),1,0)</f>
        <v>0</v>
      </c>
      <c r="W238">
        <f>IF(VLOOKUP(W$1,main!$A$3:$I$56,5,FALSE)-VLOOKUP($A238,main!$A$3:$I$56,6,FALSE)&gt;=VLOOKUP(59,main!$A$57:$I$61,4,FALSE)+VLOOKUP(VLOOKUP(W$1,main!$A$3:$I$56,7,FALSE),main!$K$10:$Q$14,7,FALSE),1,0)</f>
        <v>0</v>
      </c>
      <c r="X238">
        <f>IF(VLOOKUP(X$1,main!$A$3:$I$56,5,FALSE)-VLOOKUP($A238,main!$A$3:$I$56,6,FALSE)&gt;=VLOOKUP(59,main!$A$57:$I$61,4,FALSE)+VLOOKUP(VLOOKUP(X$1,main!$A$3:$I$56,7,FALSE),main!$K$10:$Q$14,7,FALSE),1,0)</f>
        <v>0</v>
      </c>
      <c r="Y238">
        <f>IF(VLOOKUP(Y$1,main!$A$3:$I$56,5,FALSE)-VLOOKUP($A238,main!$A$3:$I$56,6,FALSE)&gt;=VLOOKUP(59,main!$A$57:$I$61,4,FALSE)+VLOOKUP(VLOOKUP(Y$1,main!$A$3:$I$56,7,FALSE),main!$K$10:$Q$14,7,FALSE),1,0)</f>
        <v>0</v>
      </c>
      <c r="Z238">
        <f>IF(VLOOKUP(Z$1,main!$A$3:$I$56,5,FALSE)-VLOOKUP($A238,main!$A$3:$I$56,6,FALSE)&gt;=VLOOKUP(59,main!$A$57:$I$61,4,FALSE)+VLOOKUP(VLOOKUP(Z$1,main!$A$3:$I$56,7,FALSE),main!$K$10:$Q$14,7,FALSE),1,0)</f>
        <v>0</v>
      </c>
      <c r="AA238">
        <f>IF(VLOOKUP(AA$1,main!$A$3:$I$56,5,FALSE)-VLOOKUP($A238,main!$A$3:$I$56,6,FALSE)&gt;=VLOOKUP(59,main!$A$57:$I$61,4,FALSE)+VLOOKUP(VLOOKUP(AA$1,main!$A$3:$I$56,7,FALSE),main!$K$10:$Q$14,7,FALSE),1,0)</f>
        <v>0</v>
      </c>
      <c r="AB238">
        <f>IF(VLOOKUP(AB$1,main!$A$3:$I$56,5,FALSE)-VLOOKUP($A238,main!$A$3:$I$56,6,FALSE)&gt;=VLOOKUP(59,main!$A$57:$I$61,4,FALSE)+VLOOKUP(VLOOKUP(AB$1,main!$A$3:$I$56,7,FALSE),main!$K$10:$Q$14,7,FALSE),1,0)</f>
        <v>1</v>
      </c>
      <c r="AC238">
        <f>IF(VLOOKUP(AC$1,main!$A$3:$I$56,5,FALSE)-VLOOKUP($A238,main!$A$3:$I$56,6,FALSE)&gt;=VLOOKUP(59,main!$A$57:$I$61,4,FALSE)+VLOOKUP(VLOOKUP(AC$1,main!$A$3:$I$56,7,FALSE),main!$K$10:$Q$14,7,FALSE),1,0)</f>
        <v>0</v>
      </c>
      <c r="AD238">
        <f>IF(VLOOKUP(AD$1,main!$A$3:$I$56,5,FALSE)-VLOOKUP($A238,main!$A$3:$I$56,6,FALSE)&gt;=VLOOKUP(59,main!$A$57:$I$61,4,FALSE)+VLOOKUP(VLOOKUP(AD$1,main!$A$3:$I$56,7,FALSE),main!$K$10:$Q$14,7,FALSE),1,0)</f>
        <v>0</v>
      </c>
      <c r="AE238">
        <f>IF(VLOOKUP(AE$1,main!$A$3:$I$56,5,FALSE)-VLOOKUP($A238,main!$A$3:$I$56,6,FALSE)&gt;=VLOOKUP(59,main!$A$57:$I$61,4,FALSE)+VLOOKUP(VLOOKUP(AE$1,main!$A$3:$I$56,7,FALSE),main!$K$10:$Q$14,7,FALSE),1,0)</f>
        <v>0</v>
      </c>
      <c r="AF238">
        <f>IF(VLOOKUP(AF$1,main!$A$3:$I$56,5,FALSE)-VLOOKUP($A238,main!$A$3:$I$56,6,FALSE)&gt;=VLOOKUP(59,main!$A$57:$I$61,4,FALSE)+VLOOKUP(VLOOKUP(AF$1,main!$A$3:$I$56,7,FALSE),main!$K$10:$Q$14,7,FALSE),1,0)</f>
        <v>0</v>
      </c>
      <c r="AG238">
        <f>IF(VLOOKUP(AG$1,main!$A$3:$I$56,5,FALSE)-VLOOKUP($A238,main!$A$3:$I$56,6,FALSE)&gt;=VLOOKUP(59,main!$A$57:$I$61,4,FALSE)+VLOOKUP(VLOOKUP(AG$1,main!$A$3:$I$56,7,FALSE),main!$K$10:$Q$14,7,FALSE),1,0)</f>
        <v>0</v>
      </c>
      <c r="AH238">
        <f>IF(VLOOKUP(AH$1,main!$A$3:$I$56,5,FALSE)-VLOOKUP($A238,main!$A$3:$I$56,6,FALSE)&gt;=VLOOKUP(59,main!$A$57:$I$61,4,FALSE)+VLOOKUP(VLOOKUP(AH$1,main!$A$3:$I$56,7,FALSE),main!$K$10:$Q$14,7,FALSE),1,0)</f>
        <v>0</v>
      </c>
      <c r="AI238">
        <f>IF(VLOOKUP(AI$1,main!$A$3:$I$56,5,FALSE)-VLOOKUP($A238,main!$A$3:$I$56,6,FALSE)&gt;=VLOOKUP(59,main!$A$57:$I$61,4,FALSE)+VLOOKUP(VLOOKUP(AI$1,main!$A$3:$I$56,7,FALSE),main!$K$10:$Q$14,7,FALSE),1,0)</f>
        <v>0</v>
      </c>
      <c r="AJ238">
        <f>IF(VLOOKUP(AJ$1,main!$A$3:$I$56,5,FALSE)-VLOOKUP($A238,main!$A$3:$I$56,6,FALSE)&gt;=VLOOKUP(59,main!$A$57:$I$61,4,FALSE)+VLOOKUP(VLOOKUP(AJ$1,main!$A$3:$I$56,7,FALSE),main!$K$10:$Q$14,7,FALSE),1,0)</f>
        <v>0</v>
      </c>
      <c r="AK238">
        <f>IF(VLOOKUP(AK$1,main!$A$3:$I$56,5,FALSE)-VLOOKUP($A238,main!$A$3:$I$56,6,FALSE)&gt;=VLOOKUP(59,main!$A$57:$I$61,4,FALSE)+VLOOKUP(VLOOKUP(AK$1,main!$A$3:$I$56,7,FALSE),main!$K$10:$Q$14,7,FALSE),1,0)</f>
        <v>0</v>
      </c>
      <c r="AL238">
        <f>IF(VLOOKUP(AL$1,main!$A$3:$I$56,5,FALSE)-VLOOKUP($A238,main!$A$3:$I$56,6,FALSE)&gt;=VLOOKUP(59,main!$A$57:$I$61,4,FALSE)+VLOOKUP(VLOOKUP(AL$1,main!$A$3:$I$56,7,FALSE),main!$K$10:$Q$14,7,FALSE),1,0)</f>
        <v>0</v>
      </c>
      <c r="AM238">
        <f>IF(VLOOKUP(AM$1,main!$A$3:$I$56,5,FALSE)-VLOOKUP($A238,main!$A$3:$I$56,6,FALSE)&gt;=VLOOKUP(59,main!$A$57:$I$61,4,FALSE)+VLOOKUP(VLOOKUP(AM$1,main!$A$3:$I$56,7,FALSE),main!$K$10:$Q$14,7,FALSE),1,0)</f>
        <v>0</v>
      </c>
      <c r="AN238">
        <f>IF(VLOOKUP(AN$1,main!$A$3:$I$56,5,FALSE)-VLOOKUP($A238,main!$A$3:$I$56,6,FALSE)&gt;=VLOOKUP(59,main!$A$57:$I$61,4,FALSE)+VLOOKUP(VLOOKUP(AN$1,main!$A$3:$I$56,7,FALSE),main!$K$10:$Q$14,7,FALSE),1,0)</f>
        <v>0</v>
      </c>
      <c r="AO238">
        <f>IF(VLOOKUP(AO$1,main!$A$3:$I$56,5,FALSE)-VLOOKUP($A238,main!$A$3:$I$56,6,FALSE)&gt;=VLOOKUP(59,main!$A$57:$I$61,4,FALSE)+VLOOKUP(VLOOKUP(AO$1,main!$A$3:$I$56,7,FALSE),main!$K$10:$Q$14,7,FALSE),1,0)</f>
        <v>0</v>
      </c>
      <c r="AP238">
        <f>IF(VLOOKUP(AP$1,main!$A$3:$I$56,5,FALSE)-VLOOKUP($A238,main!$A$3:$I$56,6,FALSE)&gt;=VLOOKUP(59,main!$A$57:$I$61,4,FALSE)+VLOOKUP(VLOOKUP(AP$1,main!$A$3:$I$56,7,FALSE),main!$K$10:$Q$14,7,FALSE),1,0)</f>
        <v>0</v>
      </c>
      <c r="AQ238">
        <f>IF(VLOOKUP(AQ$1,main!$A$3:$I$56,5,FALSE)-VLOOKUP($A238,main!$A$3:$I$56,6,FALSE)&gt;=VLOOKUP(59,main!$A$57:$I$61,4,FALSE)+VLOOKUP(VLOOKUP(AQ$1,main!$A$3:$I$56,7,FALSE),main!$K$10:$Q$14,7,FALSE),1,0)</f>
        <v>0</v>
      </c>
      <c r="AR238">
        <f>IF(VLOOKUP(AR$1,main!$A$3:$I$56,5,FALSE)-VLOOKUP($A238,main!$A$3:$I$56,6,FALSE)&gt;=VLOOKUP(59,main!$A$57:$I$61,4,FALSE)+VLOOKUP(VLOOKUP(AR$1,main!$A$3:$I$56,7,FALSE),main!$K$10:$Q$14,7,FALSE),1,0)</f>
        <v>0</v>
      </c>
      <c r="AS238">
        <f>IF(VLOOKUP(AS$1,main!$A$3:$I$56,5,FALSE)-VLOOKUP($A238,main!$A$3:$I$56,6,FALSE)&gt;=VLOOKUP(59,main!$A$57:$I$61,4,FALSE)+VLOOKUP(VLOOKUP(AS$1,main!$A$3:$I$56,7,FALSE),main!$K$10:$Q$14,7,FALSE),1,0)</f>
        <v>0</v>
      </c>
      <c r="AT238">
        <f>IF(VLOOKUP(AT$1,main!$A$3:$I$56,5,FALSE)-VLOOKUP($A238,main!$A$3:$I$56,6,FALSE)&gt;=VLOOKUP(59,main!$A$57:$I$61,4,FALSE)+VLOOKUP(VLOOKUP(AT$1,main!$A$3:$I$56,7,FALSE),main!$K$10:$Q$14,7,FALSE),1,0)</f>
        <v>0</v>
      </c>
      <c r="AU238">
        <f>IF(VLOOKUP(AU$1,main!$A$3:$I$56,5,FALSE)-VLOOKUP($A238,main!$A$3:$I$56,6,FALSE)&gt;=VLOOKUP(59,main!$A$57:$I$61,4,FALSE)+VLOOKUP(VLOOKUP(AU$1,main!$A$3:$I$56,7,FALSE),main!$K$10:$Q$14,7,FALSE),1,0)</f>
        <v>0</v>
      </c>
      <c r="AV238">
        <f>IF(VLOOKUP(AV$1,main!$A$3:$I$56,5,FALSE)-VLOOKUP($A238,main!$A$3:$I$56,6,FALSE)&gt;=VLOOKUP(59,main!$A$57:$I$61,4,FALSE)+VLOOKUP(VLOOKUP(AV$1,main!$A$3:$I$56,7,FALSE),main!$K$10:$Q$14,7,FALSE),1,0)</f>
        <v>0</v>
      </c>
      <c r="AW238">
        <f>IF(VLOOKUP(AW$1,main!$A$3:$I$56,5,FALSE)-VLOOKUP($A238,main!$A$3:$I$56,6,FALSE)&gt;=VLOOKUP(59,main!$A$57:$I$61,4,FALSE)+VLOOKUP(VLOOKUP(AW$1,main!$A$3:$I$56,7,FALSE),main!$K$10:$Q$14,7,FALSE),1,0)</f>
        <v>0</v>
      </c>
      <c r="AX238">
        <f>IF(VLOOKUP(AX$1,main!$A$3:$I$56,5,FALSE)-VLOOKUP($A238,main!$A$3:$I$56,6,FALSE)&gt;=VLOOKUP(59,main!$A$57:$I$61,4,FALSE)+VLOOKUP(VLOOKUP(AX$1,main!$A$3:$I$56,7,FALSE),main!$K$10:$Q$14,7,FALSE),1,0)</f>
        <v>1</v>
      </c>
      <c r="AY238">
        <f>IF(VLOOKUP(AY$1,main!$A$3:$I$56,5,FALSE)-VLOOKUP($A238,main!$A$3:$I$56,6,FALSE)&gt;=VLOOKUP(59,main!$A$57:$I$61,4,FALSE)+VLOOKUP(VLOOKUP(AY$1,main!$A$3:$I$56,7,FALSE),main!$K$10:$Q$14,7,FALSE),1,0)</f>
        <v>1</v>
      </c>
      <c r="AZ238">
        <f>IF(VLOOKUP(AZ$1,main!$A$3:$I$56,5,FALSE)-VLOOKUP($A238,main!$A$3:$I$56,6,FALSE)&gt;=VLOOKUP(59,main!$A$57:$I$61,4,FALSE)+VLOOKUP(VLOOKUP(AZ$1,main!$A$3:$I$56,7,FALSE),main!$K$10:$Q$14,7,FALSE),1,0)</f>
        <v>0</v>
      </c>
      <c r="BA238">
        <f>IF(VLOOKUP(BA$1,main!$A$3:$I$56,5,FALSE)-VLOOKUP($A238,main!$A$3:$I$56,6,FALSE)&gt;=VLOOKUP(59,main!$A$57:$I$61,4,FALSE)+VLOOKUP(VLOOKUP(BA$1,main!$A$3:$I$56,7,FALSE),main!$K$10:$Q$14,7,FALSE),1,0)</f>
        <v>0</v>
      </c>
      <c r="BB238">
        <f>IF(VLOOKUP(BB$1,main!$A$3:$I$56,5,FALSE)-VLOOKUP($A238,main!$A$3:$I$56,6,FALSE)&gt;=VLOOKUP(59,main!$A$57:$I$61,4,FALSE)+VLOOKUP(VLOOKUP(BB$1,main!$A$3:$I$56,7,FALSE),main!$K$10:$Q$14,7,FALSE),1,0)</f>
        <v>0</v>
      </c>
      <c r="BC238">
        <f>IF(VLOOKUP(BC$1,main!$A$3:$I$56,5,FALSE)-VLOOKUP($A238,main!$A$3:$I$56,6,FALSE)&gt;=VLOOKUP(59,main!$A$57:$I$61,4,FALSE)+VLOOKUP(VLOOKUP(BC$1,main!$A$3:$I$56,7,FALSE),main!$K$10:$Q$14,7,FALSE),1,0)</f>
        <v>0</v>
      </c>
      <c r="BD238">
        <f>IF(VLOOKUP(BD$1,main!$A$3:$I$56,5,FALSE)-VLOOKUP($A238,main!$A$3:$I$56,6,FALSE)&gt;=VLOOKUP(59,main!$A$57:$I$61,4,FALSE)+VLOOKUP(VLOOKUP(BD$1,main!$A$3:$I$56,7,FALSE),main!$K$10:$Q$14,7,FALSE),1,0)</f>
        <v>0</v>
      </c>
    </row>
    <row r="239" spans="1:56" x14ac:dyDescent="0.25">
      <c r="A239">
        <f t="shared" si="4"/>
        <v>17</v>
      </c>
      <c r="B239">
        <v>0</v>
      </c>
      <c r="C239">
        <f>IF(VLOOKUP(C$1,main!$A$3:$I$56,5,FALSE)-VLOOKUP($A239,main!$A$3:$I$56,6,FALSE)&gt;=VLOOKUP(59,main!$A$57:$I$61,4,FALSE)+VLOOKUP(VLOOKUP(C$1,main!$A$3:$I$56,7,FALSE),main!$K$10:$Q$14,7,FALSE),1,0)</f>
        <v>0</v>
      </c>
      <c r="D239">
        <f>IF(VLOOKUP(D$1,main!$A$3:$I$56,5,FALSE)-VLOOKUP($A239,main!$A$3:$I$56,6,FALSE)&gt;=VLOOKUP(59,main!$A$57:$I$61,4,FALSE)+VLOOKUP(VLOOKUP(D$1,main!$A$3:$I$56,7,FALSE),main!$K$10:$Q$14,7,FALSE),1,0)</f>
        <v>0</v>
      </c>
      <c r="E239">
        <f>IF(VLOOKUP(E$1,main!$A$3:$I$56,5,FALSE)-VLOOKUP($A239,main!$A$3:$I$56,6,FALSE)&gt;=VLOOKUP(59,main!$A$57:$I$61,4,FALSE)+VLOOKUP(VLOOKUP(E$1,main!$A$3:$I$56,7,FALSE),main!$K$10:$Q$14,7,FALSE),1,0)</f>
        <v>0</v>
      </c>
      <c r="F239">
        <f>IF(VLOOKUP(F$1,main!$A$3:$I$56,5,FALSE)-VLOOKUP($A239,main!$A$3:$I$56,6,FALSE)&gt;=VLOOKUP(59,main!$A$57:$I$61,4,FALSE)+VLOOKUP(VLOOKUP(F$1,main!$A$3:$I$56,7,FALSE),main!$K$10:$Q$14,7,FALSE),1,0)</f>
        <v>0</v>
      </c>
      <c r="G239">
        <f>IF(VLOOKUP(G$1,main!$A$3:$I$56,5,FALSE)-VLOOKUP($A239,main!$A$3:$I$56,6,FALSE)&gt;=VLOOKUP(59,main!$A$57:$I$61,4,FALSE)+VLOOKUP(VLOOKUP(G$1,main!$A$3:$I$56,7,FALSE),main!$K$10:$Q$14,7,FALSE),1,0)</f>
        <v>0</v>
      </c>
      <c r="H239">
        <f>IF(VLOOKUP(H$1,main!$A$3:$I$56,5,FALSE)-VLOOKUP($A239,main!$A$3:$I$56,6,FALSE)&gt;=VLOOKUP(59,main!$A$57:$I$61,4,FALSE)+VLOOKUP(VLOOKUP(H$1,main!$A$3:$I$56,7,FALSE),main!$K$10:$Q$14,7,FALSE),1,0)</f>
        <v>0</v>
      </c>
      <c r="I239">
        <f>IF(VLOOKUP(I$1,main!$A$3:$I$56,5,FALSE)-VLOOKUP($A239,main!$A$3:$I$56,6,FALSE)&gt;=VLOOKUP(59,main!$A$57:$I$61,4,FALSE)+VLOOKUP(VLOOKUP(I$1,main!$A$3:$I$56,7,FALSE),main!$K$10:$Q$14,7,FALSE),1,0)</f>
        <v>0</v>
      </c>
      <c r="J239">
        <f>IF(VLOOKUP(J$1,main!$A$3:$I$56,5,FALSE)-VLOOKUP($A239,main!$A$3:$I$56,6,FALSE)&gt;=VLOOKUP(59,main!$A$57:$I$61,4,FALSE)+VLOOKUP(VLOOKUP(J$1,main!$A$3:$I$56,7,FALSE),main!$K$10:$Q$14,7,FALSE),1,0)</f>
        <v>0</v>
      </c>
      <c r="K239">
        <f>IF(VLOOKUP(K$1,main!$A$3:$I$56,5,FALSE)-VLOOKUP($A239,main!$A$3:$I$56,6,FALSE)&gt;=VLOOKUP(59,main!$A$57:$I$61,4,FALSE)+VLOOKUP(VLOOKUP(K$1,main!$A$3:$I$56,7,FALSE),main!$K$10:$Q$14,7,FALSE),1,0)</f>
        <v>0</v>
      </c>
      <c r="L239">
        <f>IF(VLOOKUP(L$1,main!$A$3:$I$56,5,FALSE)-VLOOKUP($A239,main!$A$3:$I$56,6,FALSE)&gt;=VLOOKUP(59,main!$A$57:$I$61,4,FALSE)+VLOOKUP(VLOOKUP(L$1,main!$A$3:$I$56,7,FALSE),main!$K$10:$Q$14,7,FALSE),1,0)</f>
        <v>0</v>
      </c>
      <c r="M239">
        <f>IF(VLOOKUP(M$1,main!$A$3:$I$56,5,FALSE)-VLOOKUP($A239,main!$A$3:$I$56,6,FALSE)&gt;=VLOOKUP(59,main!$A$57:$I$61,4,FALSE)+VLOOKUP(VLOOKUP(M$1,main!$A$3:$I$56,7,FALSE),main!$K$10:$Q$14,7,FALSE),1,0)</f>
        <v>0</v>
      </c>
      <c r="N239">
        <f>IF(VLOOKUP(N$1,main!$A$3:$I$56,5,FALSE)-VLOOKUP($A239,main!$A$3:$I$56,6,FALSE)&gt;=VLOOKUP(59,main!$A$57:$I$61,4,FALSE)+VLOOKUP(VLOOKUP(N$1,main!$A$3:$I$56,7,FALSE),main!$K$10:$Q$14,7,FALSE),1,0)</f>
        <v>0</v>
      </c>
      <c r="O239">
        <f>IF(VLOOKUP(O$1,main!$A$3:$I$56,5,FALSE)-VLOOKUP($A239,main!$A$3:$I$56,6,FALSE)&gt;=VLOOKUP(59,main!$A$57:$I$61,4,FALSE)+VLOOKUP(VLOOKUP(O$1,main!$A$3:$I$56,7,FALSE),main!$K$10:$Q$14,7,FALSE),1,0)</f>
        <v>0</v>
      </c>
      <c r="P239">
        <f>IF(VLOOKUP(P$1,main!$A$3:$I$56,5,FALSE)-VLOOKUP($A239,main!$A$3:$I$56,6,FALSE)&gt;=VLOOKUP(59,main!$A$57:$I$61,4,FALSE)+VLOOKUP(VLOOKUP(P$1,main!$A$3:$I$56,7,FALSE),main!$K$10:$Q$14,7,FALSE),1,0)</f>
        <v>0</v>
      </c>
      <c r="Q239">
        <f>IF(VLOOKUP(Q$1,main!$A$3:$I$56,5,FALSE)-VLOOKUP($A239,main!$A$3:$I$56,6,FALSE)&gt;=VLOOKUP(59,main!$A$57:$I$61,4,FALSE)+VLOOKUP(VLOOKUP(Q$1,main!$A$3:$I$56,7,FALSE),main!$K$10:$Q$14,7,FALSE),1,0)</f>
        <v>0</v>
      </c>
      <c r="R239">
        <f>IF(VLOOKUP(R$1,main!$A$3:$I$56,5,FALSE)-VLOOKUP($A239,main!$A$3:$I$56,6,FALSE)&gt;=VLOOKUP(59,main!$A$57:$I$61,4,FALSE)+VLOOKUP(VLOOKUP(R$1,main!$A$3:$I$56,7,FALSE),main!$K$10:$Q$14,7,FALSE),1,0)</f>
        <v>0</v>
      </c>
      <c r="S239">
        <f>IF(VLOOKUP(S$1,main!$A$3:$I$56,5,FALSE)-VLOOKUP($A239,main!$A$3:$I$56,6,FALSE)&gt;=VLOOKUP(59,main!$A$57:$I$61,4,FALSE)+VLOOKUP(VLOOKUP(S$1,main!$A$3:$I$56,7,FALSE),main!$K$10:$Q$14,7,FALSE),1,0)</f>
        <v>0</v>
      </c>
      <c r="T239">
        <f>IF(VLOOKUP(T$1,main!$A$3:$I$56,5,FALSE)-VLOOKUP($A239,main!$A$3:$I$56,6,FALSE)&gt;=VLOOKUP(59,main!$A$57:$I$61,4,FALSE)+VLOOKUP(VLOOKUP(T$1,main!$A$3:$I$56,7,FALSE),main!$K$10:$Q$14,7,FALSE),1,0)</f>
        <v>0</v>
      </c>
      <c r="U239">
        <f>IF(VLOOKUP(U$1,main!$A$3:$I$56,5,FALSE)-VLOOKUP($A239,main!$A$3:$I$56,6,FALSE)&gt;=VLOOKUP(59,main!$A$57:$I$61,4,FALSE)+VLOOKUP(VLOOKUP(U$1,main!$A$3:$I$56,7,FALSE),main!$K$10:$Q$14,7,FALSE),1,0)</f>
        <v>0</v>
      </c>
      <c r="V239">
        <f>IF(VLOOKUP(V$1,main!$A$3:$I$56,5,FALSE)-VLOOKUP($A239,main!$A$3:$I$56,6,FALSE)&gt;=VLOOKUP(59,main!$A$57:$I$61,4,FALSE)+VLOOKUP(VLOOKUP(V$1,main!$A$3:$I$56,7,FALSE),main!$K$10:$Q$14,7,FALSE),1,0)</f>
        <v>0</v>
      </c>
      <c r="W239">
        <f>IF(VLOOKUP(W$1,main!$A$3:$I$56,5,FALSE)-VLOOKUP($A239,main!$A$3:$I$56,6,FALSE)&gt;=VLOOKUP(59,main!$A$57:$I$61,4,FALSE)+VLOOKUP(VLOOKUP(W$1,main!$A$3:$I$56,7,FALSE),main!$K$10:$Q$14,7,FALSE),1,0)</f>
        <v>0</v>
      </c>
      <c r="X239">
        <f>IF(VLOOKUP(X$1,main!$A$3:$I$56,5,FALSE)-VLOOKUP($A239,main!$A$3:$I$56,6,FALSE)&gt;=VLOOKUP(59,main!$A$57:$I$61,4,FALSE)+VLOOKUP(VLOOKUP(X$1,main!$A$3:$I$56,7,FALSE),main!$K$10:$Q$14,7,FALSE),1,0)</f>
        <v>0</v>
      </c>
      <c r="Y239">
        <f>IF(VLOOKUP(Y$1,main!$A$3:$I$56,5,FALSE)-VLOOKUP($A239,main!$A$3:$I$56,6,FALSE)&gt;=VLOOKUP(59,main!$A$57:$I$61,4,FALSE)+VLOOKUP(VLOOKUP(Y$1,main!$A$3:$I$56,7,FALSE),main!$K$10:$Q$14,7,FALSE),1,0)</f>
        <v>0</v>
      </c>
      <c r="Z239">
        <f>IF(VLOOKUP(Z$1,main!$A$3:$I$56,5,FALSE)-VLOOKUP($A239,main!$A$3:$I$56,6,FALSE)&gt;=VLOOKUP(59,main!$A$57:$I$61,4,FALSE)+VLOOKUP(VLOOKUP(Z$1,main!$A$3:$I$56,7,FALSE),main!$K$10:$Q$14,7,FALSE),1,0)</f>
        <v>0</v>
      </c>
      <c r="AA239">
        <f>IF(VLOOKUP(AA$1,main!$A$3:$I$56,5,FALSE)-VLOOKUP($A239,main!$A$3:$I$56,6,FALSE)&gt;=VLOOKUP(59,main!$A$57:$I$61,4,FALSE)+VLOOKUP(VLOOKUP(AA$1,main!$A$3:$I$56,7,FALSE),main!$K$10:$Q$14,7,FALSE),1,0)</f>
        <v>0</v>
      </c>
      <c r="AB239">
        <f>IF(VLOOKUP(AB$1,main!$A$3:$I$56,5,FALSE)-VLOOKUP($A239,main!$A$3:$I$56,6,FALSE)&gt;=VLOOKUP(59,main!$A$57:$I$61,4,FALSE)+VLOOKUP(VLOOKUP(AB$1,main!$A$3:$I$56,7,FALSE),main!$K$10:$Q$14,7,FALSE),1,0)</f>
        <v>0</v>
      </c>
      <c r="AC239">
        <f>IF(VLOOKUP(AC$1,main!$A$3:$I$56,5,FALSE)-VLOOKUP($A239,main!$A$3:$I$56,6,FALSE)&gt;=VLOOKUP(59,main!$A$57:$I$61,4,FALSE)+VLOOKUP(VLOOKUP(AC$1,main!$A$3:$I$56,7,FALSE),main!$K$10:$Q$14,7,FALSE),1,0)</f>
        <v>0</v>
      </c>
      <c r="AD239">
        <f>IF(VLOOKUP(AD$1,main!$A$3:$I$56,5,FALSE)-VLOOKUP($A239,main!$A$3:$I$56,6,FALSE)&gt;=VLOOKUP(59,main!$A$57:$I$61,4,FALSE)+VLOOKUP(VLOOKUP(AD$1,main!$A$3:$I$56,7,FALSE),main!$K$10:$Q$14,7,FALSE),1,0)</f>
        <v>0</v>
      </c>
      <c r="AE239">
        <f>IF(VLOOKUP(AE$1,main!$A$3:$I$56,5,FALSE)-VLOOKUP($A239,main!$A$3:$I$56,6,FALSE)&gt;=VLOOKUP(59,main!$A$57:$I$61,4,FALSE)+VLOOKUP(VLOOKUP(AE$1,main!$A$3:$I$56,7,FALSE),main!$K$10:$Q$14,7,FALSE),1,0)</f>
        <v>0</v>
      </c>
      <c r="AF239">
        <f>IF(VLOOKUP(AF$1,main!$A$3:$I$56,5,FALSE)-VLOOKUP($A239,main!$A$3:$I$56,6,FALSE)&gt;=VLOOKUP(59,main!$A$57:$I$61,4,FALSE)+VLOOKUP(VLOOKUP(AF$1,main!$A$3:$I$56,7,FALSE),main!$K$10:$Q$14,7,FALSE),1,0)</f>
        <v>0</v>
      </c>
      <c r="AG239">
        <f>IF(VLOOKUP(AG$1,main!$A$3:$I$56,5,FALSE)-VLOOKUP($A239,main!$A$3:$I$56,6,FALSE)&gt;=VLOOKUP(59,main!$A$57:$I$61,4,FALSE)+VLOOKUP(VLOOKUP(AG$1,main!$A$3:$I$56,7,FALSE),main!$K$10:$Q$14,7,FALSE),1,0)</f>
        <v>0</v>
      </c>
      <c r="AH239">
        <f>IF(VLOOKUP(AH$1,main!$A$3:$I$56,5,FALSE)-VLOOKUP($A239,main!$A$3:$I$56,6,FALSE)&gt;=VLOOKUP(59,main!$A$57:$I$61,4,FALSE)+VLOOKUP(VLOOKUP(AH$1,main!$A$3:$I$56,7,FALSE),main!$K$10:$Q$14,7,FALSE),1,0)</f>
        <v>0</v>
      </c>
      <c r="AI239">
        <f>IF(VLOOKUP(AI$1,main!$A$3:$I$56,5,FALSE)-VLOOKUP($A239,main!$A$3:$I$56,6,FALSE)&gt;=VLOOKUP(59,main!$A$57:$I$61,4,FALSE)+VLOOKUP(VLOOKUP(AI$1,main!$A$3:$I$56,7,FALSE),main!$K$10:$Q$14,7,FALSE),1,0)</f>
        <v>0</v>
      </c>
      <c r="AJ239">
        <f>IF(VLOOKUP(AJ$1,main!$A$3:$I$56,5,FALSE)-VLOOKUP($A239,main!$A$3:$I$56,6,FALSE)&gt;=VLOOKUP(59,main!$A$57:$I$61,4,FALSE)+VLOOKUP(VLOOKUP(AJ$1,main!$A$3:$I$56,7,FALSE),main!$K$10:$Q$14,7,FALSE),1,0)</f>
        <v>0</v>
      </c>
      <c r="AK239">
        <f>IF(VLOOKUP(AK$1,main!$A$3:$I$56,5,FALSE)-VLOOKUP($A239,main!$A$3:$I$56,6,FALSE)&gt;=VLOOKUP(59,main!$A$57:$I$61,4,FALSE)+VLOOKUP(VLOOKUP(AK$1,main!$A$3:$I$56,7,FALSE),main!$K$10:$Q$14,7,FALSE),1,0)</f>
        <v>0</v>
      </c>
      <c r="AL239">
        <f>IF(VLOOKUP(AL$1,main!$A$3:$I$56,5,FALSE)-VLOOKUP($A239,main!$A$3:$I$56,6,FALSE)&gt;=VLOOKUP(59,main!$A$57:$I$61,4,FALSE)+VLOOKUP(VLOOKUP(AL$1,main!$A$3:$I$56,7,FALSE),main!$K$10:$Q$14,7,FALSE),1,0)</f>
        <v>0</v>
      </c>
      <c r="AM239">
        <f>IF(VLOOKUP(AM$1,main!$A$3:$I$56,5,FALSE)-VLOOKUP($A239,main!$A$3:$I$56,6,FALSE)&gt;=VLOOKUP(59,main!$A$57:$I$61,4,FALSE)+VLOOKUP(VLOOKUP(AM$1,main!$A$3:$I$56,7,FALSE),main!$K$10:$Q$14,7,FALSE),1,0)</f>
        <v>0</v>
      </c>
      <c r="AN239">
        <f>IF(VLOOKUP(AN$1,main!$A$3:$I$56,5,FALSE)-VLOOKUP($A239,main!$A$3:$I$56,6,FALSE)&gt;=VLOOKUP(59,main!$A$57:$I$61,4,FALSE)+VLOOKUP(VLOOKUP(AN$1,main!$A$3:$I$56,7,FALSE),main!$K$10:$Q$14,7,FALSE),1,0)</f>
        <v>0</v>
      </c>
      <c r="AO239">
        <f>IF(VLOOKUP(AO$1,main!$A$3:$I$56,5,FALSE)-VLOOKUP($A239,main!$A$3:$I$56,6,FALSE)&gt;=VLOOKUP(59,main!$A$57:$I$61,4,FALSE)+VLOOKUP(VLOOKUP(AO$1,main!$A$3:$I$56,7,FALSE),main!$K$10:$Q$14,7,FALSE),1,0)</f>
        <v>0</v>
      </c>
      <c r="AP239">
        <f>IF(VLOOKUP(AP$1,main!$A$3:$I$56,5,FALSE)-VLOOKUP($A239,main!$A$3:$I$56,6,FALSE)&gt;=VLOOKUP(59,main!$A$57:$I$61,4,FALSE)+VLOOKUP(VLOOKUP(AP$1,main!$A$3:$I$56,7,FALSE),main!$K$10:$Q$14,7,FALSE),1,0)</f>
        <v>0</v>
      </c>
      <c r="AQ239">
        <f>IF(VLOOKUP(AQ$1,main!$A$3:$I$56,5,FALSE)-VLOOKUP($A239,main!$A$3:$I$56,6,FALSE)&gt;=VLOOKUP(59,main!$A$57:$I$61,4,FALSE)+VLOOKUP(VLOOKUP(AQ$1,main!$A$3:$I$56,7,FALSE),main!$K$10:$Q$14,7,FALSE),1,0)</f>
        <v>0</v>
      </c>
      <c r="AR239">
        <f>IF(VLOOKUP(AR$1,main!$A$3:$I$56,5,FALSE)-VLOOKUP($A239,main!$A$3:$I$56,6,FALSE)&gt;=VLOOKUP(59,main!$A$57:$I$61,4,FALSE)+VLOOKUP(VLOOKUP(AR$1,main!$A$3:$I$56,7,FALSE),main!$K$10:$Q$14,7,FALSE),1,0)</f>
        <v>0</v>
      </c>
      <c r="AS239">
        <f>IF(VLOOKUP(AS$1,main!$A$3:$I$56,5,FALSE)-VLOOKUP($A239,main!$A$3:$I$56,6,FALSE)&gt;=VLOOKUP(59,main!$A$57:$I$61,4,FALSE)+VLOOKUP(VLOOKUP(AS$1,main!$A$3:$I$56,7,FALSE),main!$K$10:$Q$14,7,FALSE),1,0)</f>
        <v>0</v>
      </c>
      <c r="AT239">
        <f>IF(VLOOKUP(AT$1,main!$A$3:$I$56,5,FALSE)-VLOOKUP($A239,main!$A$3:$I$56,6,FALSE)&gt;=VLOOKUP(59,main!$A$57:$I$61,4,FALSE)+VLOOKUP(VLOOKUP(AT$1,main!$A$3:$I$56,7,FALSE),main!$K$10:$Q$14,7,FALSE),1,0)</f>
        <v>0</v>
      </c>
      <c r="AU239">
        <f>IF(VLOOKUP(AU$1,main!$A$3:$I$56,5,FALSE)-VLOOKUP($A239,main!$A$3:$I$56,6,FALSE)&gt;=VLOOKUP(59,main!$A$57:$I$61,4,FALSE)+VLOOKUP(VLOOKUP(AU$1,main!$A$3:$I$56,7,FALSE),main!$K$10:$Q$14,7,FALSE),1,0)</f>
        <v>0</v>
      </c>
      <c r="AV239">
        <f>IF(VLOOKUP(AV$1,main!$A$3:$I$56,5,FALSE)-VLOOKUP($A239,main!$A$3:$I$56,6,FALSE)&gt;=VLOOKUP(59,main!$A$57:$I$61,4,FALSE)+VLOOKUP(VLOOKUP(AV$1,main!$A$3:$I$56,7,FALSE),main!$K$10:$Q$14,7,FALSE),1,0)</f>
        <v>0</v>
      </c>
      <c r="AW239">
        <f>IF(VLOOKUP(AW$1,main!$A$3:$I$56,5,FALSE)-VLOOKUP($A239,main!$A$3:$I$56,6,FALSE)&gt;=VLOOKUP(59,main!$A$57:$I$61,4,FALSE)+VLOOKUP(VLOOKUP(AW$1,main!$A$3:$I$56,7,FALSE),main!$K$10:$Q$14,7,FALSE),1,0)</f>
        <v>0</v>
      </c>
      <c r="AX239">
        <f>IF(VLOOKUP(AX$1,main!$A$3:$I$56,5,FALSE)-VLOOKUP($A239,main!$A$3:$I$56,6,FALSE)&gt;=VLOOKUP(59,main!$A$57:$I$61,4,FALSE)+VLOOKUP(VLOOKUP(AX$1,main!$A$3:$I$56,7,FALSE),main!$K$10:$Q$14,7,FALSE),1,0)</f>
        <v>0</v>
      </c>
      <c r="AY239">
        <f>IF(VLOOKUP(AY$1,main!$A$3:$I$56,5,FALSE)-VLOOKUP($A239,main!$A$3:$I$56,6,FALSE)&gt;=VLOOKUP(59,main!$A$57:$I$61,4,FALSE)+VLOOKUP(VLOOKUP(AY$1,main!$A$3:$I$56,7,FALSE),main!$K$10:$Q$14,7,FALSE),1,0)</f>
        <v>1</v>
      </c>
      <c r="AZ239">
        <f>IF(VLOOKUP(AZ$1,main!$A$3:$I$56,5,FALSE)-VLOOKUP($A239,main!$A$3:$I$56,6,FALSE)&gt;=VLOOKUP(59,main!$A$57:$I$61,4,FALSE)+VLOOKUP(VLOOKUP(AZ$1,main!$A$3:$I$56,7,FALSE),main!$K$10:$Q$14,7,FALSE),1,0)</f>
        <v>0</v>
      </c>
      <c r="BA239">
        <f>IF(VLOOKUP(BA$1,main!$A$3:$I$56,5,FALSE)-VLOOKUP($A239,main!$A$3:$I$56,6,FALSE)&gt;=VLOOKUP(59,main!$A$57:$I$61,4,FALSE)+VLOOKUP(VLOOKUP(BA$1,main!$A$3:$I$56,7,FALSE),main!$K$10:$Q$14,7,FALSE),1,0)</f>
        <v>0</v>
      </c>
      <c r="BB239">
        <f>IF(VLOOKUP(BB$1,main!$A$3:$I$56,5,FALSE)-VLOOKUP($A239,main!$A$3:$I$56,6,FALSE)&gt;=VLOOKUP(59,main!$A$57:$I$61,4,FALSE)+VLOOKUP(VLOOKUP(BB$1,main!$A$3:$I$56,7,FALSE),main!$K$10:$Q$14,7,FALSE),1,0)</f>
        <v>0</v>
      </c>
      <c r="BC239">
        <f>IF(VLOOKUP(BC$1,main!$A$3:$I$56,5,FALSE)-VLOOKUP($A239,main!$A$3:$I$56,6,FALSE)&gt;=VLOOKUP(59,main!$A$57:$I$61,4,FALSE)+VLOOKUP(VLOOKUP(BC$1,main!$A$3:$I$56,7,FALSE),main!$K$10:$Q$14,7,FALSE),1,0)</f>
        <v>0</v>
      </c>
      <c r="BD239">
        <f>IF(VLOOKUP(BD$1,main!$A$3:$I$56,5,FALSE)-VLOOKUP($A239,main!$A$3:$I$56,6,FALSE)&gt;=VLOOKUP(59,main!$A$57:$I$61,4,FALSE)+VLOOKUP(VLOOKUP(BD$1,main!$A$3:$I$56,7,FALSE),main!$K$10:$Q$14,7,FALSE),1,0)</f>
        <v>0</v>
      </c>
    </row>
    <row r="240" spans="1:56" x14ac:dyDescent="0.25">
      <c r="A240">
        <f t="shared" si="4"/>
        <v>18</v>
      </c>
      <c r="B240">
        <v>0</v>
      </c>
      <c r="C240">
        <f>IF(VLOOKUP(C$1,main!$A$3:$I$56,5,FALSE)-VLOOKUP($A240,main!$A$3:$I$56,6,FALSE)&gt;=VLOOKUP(59,main!$A$57:$I$61,4,FALSE)+VLOOKUP(VLOOKUP(C$1,main!$A$3:$I$56,7,FALSE),main!$K$10:$Q$14,7,FALSE),1,0)</f>
        <v>0</v>
      </c>
      <c r="D240">
        <f>IF(VLOOKUP(D$1,main!$A$3:$I$56,5,FALSE)-VLOOKUP($A240,main!$A$3:$I$56,6,FALSE)&gt;=VLOOKUP(59,main!$A$57:$I$61,4,FALSE)+VLOOKUP(VLOOKUP(D$1,main!$A$3:$I$56,7,FALSE),main!$K$10:$Q$14,7,FALSE),1,0)</f>
        <v>0</v>
      </c>
      <c r="E240">
        <f>IF(VLOOKUP(E$1,main!$A$3:$I$56,5,FALSE)-VLOOKUP($A240,main!$A$3:$I$56,6,FALSE)&gt;=VLOOKUP(59,main!$A$57:$I$61,4,FALSE)+VLOOKUP(VLOOKUP(E$1,main!$A$3:$I$56,7,FALSE),main!$K$10:$Q$14,7,FALSE),1,0)</f>
        <v>0</v>
      </c>
      <c r="F240">
        <f>IF(VLOOKUP(F$1,main!$A$3:$I$56,5,FALSE)-VLOOKUP($A240,main!$A$3:$I$56,6,FALSE)&gt;=VLOOKUP(59,main!$A$57:$I$61,4,FALSE)+VLOOKUP(VLOOKUP(F$1,main!$A$3:$I$56,7,FALSE),main!$K$10:$Q$14,7,FALSE),1,0)</f>
        <v>0</v>
      </c>
      <c r="G240">
        <f>IF(VLOOKUP(G$1,main!$A$3:$I$56,5,FALSE)-VLOOKUP($A240,main!$A$3:$I$56,6,FALSE)&gt;=VLOOKUP(59,main!$A$57:$I$61,4,FALSE)+VLOOKUP(VLOOKUP(G$1,main!$A$3:$I$56,7,FALSE),main!$K$10:$Q$14,7,FALSE),1,0)</f>
        <v>0</v>
      </c>
      <c r="H240">
        <f>IF(VLOOKUP(H$1,main!$A$3:$I$56,5,FALSE)-VLOOKUP($A240,main!$A$3:$I$56,6,FALSE)&gt;=VLOOKUP(59,main!$A$57:$I$61,4,FALSE)+VLOOKUP(VLOOKUP(H$1,main!$A$3:$I$56,7,FALSE),main!$K$10:$Q$14,7,FALSE),1,0)</f>
        <v>0</v>
      </c>
      <c r="I240">
        <f>IF(VLOOKUP(I$1,main!$A$3:$I$56,5,FALSE)-VLOOKUP($A240,main!$A$3:$I$56,6,FALSE)&gt;=VLOOKUP(59,main!$A$57:$I$61,4,FALSE)+VLOOKUP(VLOOKUP(I$1,main!$A$3:$I$56,7,FALSE),main!$K$10:$Q$14,7,FALSE),1,0)</f>
        <v>0</v>
      </c>
      <c r="J240">
        <f>IF(VLOOKUP(J$1,main!$A$3:$I$56,5,FALSE)-VLOOKUP($A240,main!$A$3:$I$56,6,FALSE)&gt;=VLOOKUP(59,main!$A$57:$I$61,4,FALSE)+VLOOKUP(VLOOKUP(J$1,main!$A$3:$I$56,7,FALSE),main!$K$10:$Q$14,7,FALSE),1,0)</f>
        <v>0</v>
      </c>
      <c r="K240">
        <f>IF(VLOOKUP(K$1,main!$A$3:$I$56,5,FALSE)-VLOOKUP($A240,main!$A$3:$I$56,6,FALSE)&gt;=VLOOKUP(59,main!$A$57:$I$61,4,FALSE)+VLOOKUP(VLOOKUP(K$1,main!$A$3:$I$56,7,FALSE),main!$K$10:$Q$14,7,FALSE),1,0)</f>
        <v>0</v>
      </c>
      <c r="L240">
        <f>IF(VLOOKUP(L$1,main!$A$3:$I$56,5,FALSE)-VLOOKUP($A240,main!$A$3:$I$56,6,FALSE)&gt;=VLOOKUP(59,main!$A$57:$I$61,4,FALSE)+VLOOKUP(VLOOKUP(L$1,main!$A$3:$I$56,7,FALSE),main!$K$10:$Q$14,7,FALSE),1,0)</f>
        <v>0</v>
      </c>
      <c r="M240">
        <f>IF(VLOOKUP(M$1,main!$A$3:$I$56,5,FALSE)-VLOOKUP($A240,main!$A$3:$I$56,6,FALSE)&gt;=VLOOKUP(59,main!$A$57:$I$61,4,FALSE)+VLOOKUP(VLOOKUP(M$1,main!$A$3:$I$56,7,FALSE),main!$K$10:$Q$14,7,FALSE),1,0)</f>
        <v>0</v>
      </c>
      <c r="N240">
        <f>IF(VLOOKUP(N$1,main!$A$3:$I$56,5,FALSE)-VLOOKUP($A240,main!$A$3:$I$56,6,FALSE)&gt;=VLOOKUP(59,main!$A$57:$I$61,4,FALSE)+VLOOKUP(VLOOKUP(N$1,main!$A$3:$I$56,7,FALSE),main!$K$10:$Q$14,7,FALSE),1,0)</f>
        <v>0</v>
      </c>
      <c r="O240">
        <f>IF(VLOOKUP(O$1,main!$A$3:$I$56,5,FALSE)-VLOOKUP($A240,main!$A$3:$I$56,6,FALSE)&gt;=VLOOKUP(59,main!$A$57:$I$61,4,FALSE)+VLOOKUP(VLOOKUP(O$1,main!$A$3:$I$56,7,FALSE),main!$K$10:$Q$14,7,FALSE),1,0)</f>
        <v>0</v>
      </c>
      <c r="P240">
        <f>IF(VLOOKUP(P$1,main!$A$3:$I$56,5,FALSE)-VLOOKUP($A240,main!$A$3:$I$56,6,FALSE)&gt;=VLOOKUP(59,main!$A$57:$I$61,4,FALSE)+VLOOKUP(VLOOKUP(P$1,main!$A$3:$I$56,7,FALSE),main!$K$10:$Q$14,7,FALSE),1,0)</f>
        <v>0</v>
      </c>
      <c r="Q240">
        <f>IF(VLOOKUP(Q$1,main!$A$3:$I$56,5,FALSE)-VLOOKUP($A240,main!$A$3:$I$56,6,FALSE)&gt;=VLOOKUP(59,main!$A$57:$I$61,4,FALSE)+VLOOKUP(VLOOKUP(Q$1,main!$A$3:$I$56,7,FALSE),main!$K$10:$Q$14,7,FALSE),1,0)</f>
        <v>0</v>
      </c>
      <c r="R240">
        <f>IF(VLOOKUP(R$1,main!$A$3:$I$56,5,FALSE)-VLOOKUP($A240,main!$A$3:$I$56,6,FALSE)&gt;=VLOOKUP(59,main!$A$57:$I$61,4,FALSE)+VLOOKUP(VLOOKUP(R$1,main!$A$3:$I$56,7,FALSE),main!$K$10:$Q$14,7,FALSE),1,0)</f>
        <v>0</v>
      </c>
      <c r="S240">
        <f>IF(VLOOKUP(S$1,main!$A$3:$I$56,5,FALSE)-VLOOKUP($A240,main!$A$3:$I$56,6,FALSE)&gt;=VLOOKUP(59,main!$A$57:$I$61,4,FALSE)+VLOOKUP(VLOOKUP(S$1,main!$A$3:$I$56,7,FALSE),main!$K$10:$Q$14,7,FALSE),1,0)</f>
        <v>0</v>
      </c>
      <c r="T240">
        <f>IF(VLOOKUP(T$1,main!$A$3:$I$56,5,FALSE)-VLOOKUP($A240,main!$A$3:$I$56,6,FALSE)&gt;=VLOOKUP(59,main!$A$57:$I$61,4,FALSE)+VLOOKUP(VLOOKUP(T$1,main!$A$3:$I$56,7,FALSE),main!$K$10:$Q$14,7,FALSE),1,0)</f>
        <v>0</v>
      </c>
      <c r="U240">
        <f>IF(VLOOKUP(U$1,main!$A$3:$I$56,5,FALSE)-VLOOKUP($A240,main!$A$3:$I$56,6,FALSE)&gt;=VLOOKUP(59,main!$A$57:$I$61,4,FALSE)+VLOOKUP(VLOOKUP(U$1,main!$A$3:$I$56,7,FALSE),main!$K$10:$Q$14,7,FALSE),1,0)</f>
        <v>0</v>
      </c>
      <c r="V240">
        <f>IF(VLOOKUP(V$1,main!$A$3:$I$56,5,FALSE)-VLOOKUP($A240,main!$A$3:$I$56,6,FALSE)&gt;=VLOOKUP(59,main!$A$57:$I$61,4,FALSE)+VLOOKUP(VLOOKUP(V$1,main!$A$3:$I$56,7,FALSE),main!$K$10:$Q$14,7,FALSE),1,0)</f>
        <v>0</v>
      </c>
      <c r="W240">
        <f>IF(VLOOKUP(W$1,main!$A$3:$I$56,5,FALSE)-VLOOKUP($A240,main!$A$3:$I$56,6,FALSE)&gt;=VLOOKUP(59,main!$A$57:$I$61,4,FALSE)+VLOOKUP(VLOOKUP(W$1,main!$A$3:$I$56,7,FALSE),main!$K$10:$Q$14,7,FALSE),1,0)</f>
        <v>0</v>
      </c>
      <c r="X240">
        <f>IF(VLOOKUP(X$1,main!$A$3:$I$56,5,FALSE)-VLOOKUP($A240,main!$A$3:$I$56,6,FALSE)&gt;=VLOOKUP(59,main!$A$57:$I$61,4,FALSE)+VLOOKUP(VLOOKUP(X$1,main!$A$3:$I$56,7,FALSE),main!$K$10:$Q$14,7,FALSE),1,0)</f>
        <v>0</v>
      </c>
      <c r="Y240">
        <f>IF(VLOOKUP(Y$1,main!$A$3:$I$56,5,FALSE)-VLOOKUP($A240,main!$A$3:$I$56,6,FALSE)&gt;=VLOOKUP(59,main!$A$57:$I$61,4,FALSE)+VLOOKUP(VLOOKUP(Y$1,main!$A$3:$I$56,7,FALSE),main!$K$10:$Q$14,7,FALSE),1,0)</f>
        <v>0</v>
      </c>
      <c r="Z240">
        <f>IF(VLOOKUP(Z$1,main!$A$3:$I$56,5,FALSE)-VLOOKUP($A240,main!$A$3:$I$56,6,FALSE)&gt;=VLOOKUP(59,main!$A$57:$I$61,4,FALSE)+VLOOKUP(VLOOKUP(Z$1,main!$A$3:$I$56,7,FALSE),main!$K$10:$Q$14,7,FALSE),1,0)</f>
        <v>0</v>
      </c>
      <c r="AA240">
        <f>IF(VLOOKUP(AA$1,main!$A$3:$I$56,5,FALSE)-VLOOKUP($A240,main!$A$3:$I$56,6,FALSE)&gt;=VLOOKUP(59,main!$A$57:$I$61,4,FALSE)+VLOOKUP(VLOOKUP(AA$1,main!$A$3:$I$56,7,FALSE),main!$K$10:$Q$14,7,FALSE),1,0)</f>
        <v>0</v>
      </c>
      <c r="AB240">
        <f>IF(VLOOKUP(AB$1,main!$A$3:$I$56,5,FALSE)-VLOOKUP($A240,main!$A$3:$I$56,6,FALSE)&gt;=VLOOKUP(59,main!$A$57:$I$61,4,FALSE)+VLOOKUP(VLOOKUP(AB$1,main!$A$3:$I$56,7,FALSE),main!$K$10:$Q$14,7,FALSE),1,0)</f>
        <v>0</v>
      </c>
      <c r="AC240">
        <f>IF(VLOOKUP(AC$1,main!$A$3:$I$56,5,FALSE)-VLOOKUP($A240,main!$A$3:$I$56,6,FALSE)&gt;=VLOOKUP(59,main!$A$57:$I$61,4,FALSE)+VLOOKUP(VLOOKUP(AC$1,main!$A$3:$I$56,7,FALSE),main!$K$10:$Q$14,7,FALSE),1,0)</f>
        <v>0</v>
      </c>
      <c r="AD240">
        <f>IF(VLOOKUP(AD$1,main!$A$3:$I$56,5,FALSE)-VLOOKUP($A240,main!$A$3:$I$56,6,FALSE)&gt;=VLOOKUP(59,main!$A$57:$I$61,4,FALSE)+VLOOKUP(VLOOKUP(AD$1,main!$A$3:$I$56,7,FALSE),main!$K$10:$Q$14,7,FALSE),1,0)</f>
        <v>0</v>
      </c>
      <c r="AE240">
        <f>IF(VLOOKUP(AE$1,main!$A$3:$I$56,5,FALSE)-VLOOKUP($A240,main!$A$3:$I$56,6,FALSE)&gt;=VLOOKUP(59,main!$A$57:$I$61,4,FALSE)+VLOOKUP(VLOOKUP(AE$1,main!$A$3:$I$56,7,FALSE),main!$K$10:$Q$14,7,FALSE),1,0)</f>
        <v>0</v>
      </c>
      <c r="AF240">
        <f>IF(VLOOKUP(AF$1,main!$A$3:$I$56,5,FALSE)-VLOOKUP($A240,main!$A$3:$I$56,6,FALSE)&gt;=VLOOKUP(59,main!$A$57:$I$61,4,FALSE)+VLOOKUP(VLOOKUP(AF$1,main!$A$3:$I$56,7,FALSE),main!$K$10:$Q$14,7,FALSE),1,0)</f>
        <v>0</v>
      </c>
      <c r="AG240">
        <f>IF(VLOOKUP(AG$1,main!$A$3:$I$56,5,FALSE)-VLOOKUP($A240,main!$A$3:$I$56,6,FALSE)&gt;=VLOOKUP(59,main!$A$57:$I$61,4,FALSE)+VLOOKUP(VLOOKUP(AG$1,main!$A$3:$I$56,7,FALSE),main!$K$10:$Q$14,7,FALSE),1,0)</f>
        <v>0</v>
      </c>
      <c r="AH240">
        <f>IF(VLOOKUP(AH$1,main!$A$3:$I$56,5,FALSE)-VLOOKUP($A240,main!$A$3:$I$56,6,FALSE)&gt;=VLOOKUP(59,main!$A$57:$I$61,4,FALSE)+VLOOKUP(VLOOKUP(AH$1,main!$A$3:$I$56,7,FALSE),main!$K$10:$Q$14,7,FALSE),1,0)</f>
        <v>0</v>
      </c>
      <c r="AI240">
        <f>IF(VLOOKUP(AI$1,main!$A$3:$I$56,5,FALSE)-VLOOKUP($A240,main!$A$3:$I$56,6,FALSE)&gt;=VLOOKUP(59,main!$A$57:$I$61,4,FALSE)+VLOOKUP(VLOOKUP(AI$1,main!$A$3:$I$56,7,FALSE),main!$K$10:$Q$14,7,FALSE),1,0)</f>
        <v>0</v>
      </c>
      <c r="AJ240">
        <f>IF(VLOOKUP(AJ$1,main!$A$3:$I$56,5,FALSE)-VLOOKUP($A240,main!$A$3:$I$56,6,FALSE)&gt;=VLOOKUP(59,main!$A$57:$I$61,4,FALSE)+VLOOKUP(VLOOKUP(AJ$1,main!$A$3:$I$56,7,FALSE),main!$K$10:$Q$14,7,FALSE),1,0)</f>
        <v>0</v>
      </c>
      <c r="AK240">
        <f>IF(VLOOKUP(AK$1,main!$A$3:$I$56,5,FALSE)-VLOOKUP($A240,main!$A$3:$I$56,6,FALSE)&gt;=VLOOKUP(59,main!$A$57:$I$61,4,FALSE)+VLOOKUP(VLOOKUP(AK$1,main!$A$3:$I$56,7,FALSE),main!$K$10:$Q$14,7,FALSE),1,0)</f>
        <v>0</v>
      </c>
      <c r="AL240">
        <f>IF(VLOOKUP(AL$1,main!$A$3:$I$56,5,FALSE)-VLOOKUP($A240,main!$A$3:$I$56,6,FALSE)&gt;=VLOOKUP(59,main!$A$57:$I$61,4,FALSE)+VLOOKUP(VLOOKUP(AL$1,main!$A$3:$I$56,7,FALSE),main!$K$10:$Q$14,7,FALSE),1,0)</f>
        <v>0</v>
      </c>
      <c r="AM240">
        <f>IF(VLOOKUP(AM$1,main!$A$3:$I$56,5,FALSE)-VLOOKUP($A240,main!$A$3:$I$56,6,FALSE)&gt;=VLOOKUP(59,main!$A$57:$I$61,4,FALSE)+VLOOKUP(VLOOKUP(AM$1,main!$A$3:$I$56,7,FALSE),main!$K$10:$Q$14,7,FALSE),1,0)</f>
        <v>0</v>
      </c>
      <c r="AN240">
        <f>IF(VLOOKUP(AN$1,main!$A$3:$I$56,5,FALSE)-VLOOKUP($A240,main!$A$3:$I$56,6,FALSE)&gt;=VLOOKUP(59,main!$A$57:$I$61,4,FALSE)+VLOOKUP(VLOOKUP(AN$1,main!$A$3:$I$56,7,FALSE),main!$K$10:$Q$14,7,FALSE),1,0)</f>
        <v>0</v>
      </c>
      <c r="AO240">
        <f>IF(VLOOKUP(AO$1,main!$A$3:$I$56,5,FALSE)-VLOOKUP($A240,main!$A$3:$I$56,6,FALSE)&gt;=VLOOKUP(59,main!$A$57:$I$61,4,FALSE)+VLOOKUP(VLOOKUP(AO$1,main!$A$3:$I$56,7,FALSE),main!$K$10:$Q$14,7,FALSE),1,0)</f>
        <v>0</v>
      </c>
      <c r="AP240">
        <f>IF(VLOOKUP(AP$1,main!$A$3:$I$56,5,FALSE)-VLOOKUP($A240,main!$A$3:$I$56,6,FALSE)&gt;=VLOOKUP(59,main!$A$57:$I$61,4,FALSE)+VLOOKUP(VLOOKUP(AP$1,main!$A$3:$I$56,7,FALSE),main!$K$10:$Q$14,7,FALSE),1,0)</f>
        <v>0</v>
      </c>
      <c r="AQ240">
        <f>IF(VLOOKUP(AQ$1,main!$A$3:$I$56,5,FALSE)-VLOOKUP($A240,main!$A$3:$I$56,6,FALSE)&gt;=VLOOKUP(59,main!$A$57:$I$61,4,FALSE)+VLOOKUP(VLOOKUP(AQ$1,main!$A$3:$I$56,7,FALSE),main!$K$10:$Q$14,7,FALSE),1,0)</f>
        <v>0</v>
      </c>
      <c r="AR240">
        <f>IF(VLOOKUP(AR$1,main!$A$3:$I$56,5,FALSE)-VLOOKUP($A240,main!$A$3:$I$56,6,FALSE)&gt;=VLOOKUP(59,main!$A$57:$I$61,4,FALSE)+VLOOKUP(VLOOKUP(AR$1,main!$A$3:$I$56,7,FALSE),main!$K$10:$Q$14,7,FALSE),1,0)</f>
        <v>0</v>
      </c>
      <c r="AS240">
        <f>IF(VLOOKUP(AS$1,main!$A$3:$I$56,5,FALSE)-VLOOKUP($A240,main!$A$3:$I$56,6,FALSE)&gt;=VLOOKUP(59,main!$A$57:$I$61,4,FALSE)+VLOOKUP(VLOOKUP(AS$1,main!$A$3:$I$56,7,FALSE),main!$K$10:$Q$14,7,FALSE),1,0)</f>
        <v>0</v>
      </c>
      <c r="AT240">
        <f>IF(VLOOKUP(AT$1,main!$A$3:$I$56,5,FALSE)-VLOOKUP($A240,main!$A$3:$I$56,6,FALSE)&gt;=VLOOKUP(59,main!$A$57:$I$61,4,FALSE)+VLOOKUP(VLOOKUP(AT$1,main!$A$3:$I$56,7,FALSE),main!$K$10:$Q$14,7,FALSE),1,0)</f>
        <v>0</v>
      </c>
      <c r="AU240">
        <f>IF(VLOOKUP(AU$1,main!$A$3:$I$56,5,FALSE)-VLOOKUP($A240,main!$A$3:$I$56,6,FALSE)&gt;=VLOOKUP(59,main!$A$57:$I$61,4,FALSE)+VLOOKUP(VLOOKUP(AU$1,main!$A$3:$I$56,7,FALSE),main!$K$10:$Q$14,7,FALSE),1,0)</f>
        <v>0</v>
      </c>
      <c r="AV240">
        <f>IF(VLOOKUP(AV$1,main!$A$3:$I$56,5,FALSE)-VLOOKUP($A240,main!$A$3:$I$56,6,FALSE)&gt;=VLOOKUP(59,main!$A$57:$I$61,4,FALSE)+VLOOKUP(VLOOKUP(AV$1,main!$A$3:$I$56,7,FALSE),main!$K$10:$Q$14,7,FALSE),1,0)</f>
        <v>0</v>
      </c>
      <c r="AW240">
        <f>IF(VLOOKUP(AW$1,main!$A$3:$I$56,5,FALSE)-VLOOKUP($A240,main!$A$3:$I$56,6,FALSE)&gt;=VLOOKUP(59,main!$A$57:$I$61,4,FALSE)+VLOOKUP(VLOOKUP(AW$1,main!$A$3:$I$56,7,FALSE),main!$K$10:$Q$14,7,FALSE),1,0)</f>
        <v>0</v>
      </c>
      <c r="AX240">
        <f>IF(VLOOKUP(AX$1,main!$A$3:$I$56,5,FALSE)-VLOOKUP($A240,main!$A$3:$I$56,6,FALSE)&gt;=VLOOKUP(59,main!$A$57:$I$61,4,FALSE)+VLOOKUP(VLOOKUP(AX$1,main!$A$3:$I$56,7,FALSE),main!$K$10:$Q$14,7,FALSE),1,0)</f>
        <v>0</v>
      </c>
      <c r="AY240">
        <f>IF(VLOOKUP(AY$1,main!$A$3:$I$56,5,FALSE)-VLOOKUP($A240,main!$A$3:$I$56,6,FALSE)&gt;=VLOOKUP(59,main!$A$57:$I$61,4,FALSE)+VLOOKUP(VLOOKUP(AY$1,main!$A$3:$I$56,7,FALSE),main!$K$10:$Q$14,7,FALSE),1,0)</f>
        <v>0</v>
      </c>
      <c r="AZ240">
        <f>IF(VLOOKUP(AZ$1,main!$A$3:$I$56,5,FALSE)-VLOOKUP($A240,main!$A$3:$I$56,6,FALSE)&gt;=VLOOKUP(59,main!$A$57:$I$61,4,FALSE)+VLOOKUP(VLOOKUP(AZ$1,main!$A$3:$I$56,7,FALSE),main!$K$10:$Q$14,7,FALSE),1,0)</f>
        <v>0</v>
      </c>
      <c r="BA240">
        <f>IF(VLOOKUP(BA$1,main!$A$3:$I$56,5,FALSE)-VLOOKUP($A240,main!$A$3:$I$56,6,FALSE)&gt;=VLOOKUP(59,main!$A$57:$I$61,4,FALSE)+VLOOKUP(VLOOKUP(BA$1,main!$A$3:$I$56,7,FALSE),main!$K$10:$Q$14,7,FALSE),1,0)</f>
        <v>0</v>
      </c>
      <c r="BB240">
        <f>IF(VLOOKUP(BB$1,main!$A$3:$I$56,5,FALSE)-VLOOKUP($A240,main!$A$3:$I$56,6,FALSE)&gt;=VLOOKUP(59,main!$A$57:$I$61,4,FALSE)+VLOOKUP(VLOOKUP(BB$1,main!$A$3:$I$56,7,FALSE),main!$K$10:$Q$14,7,FALSE),1,0)</f>
        <v>0</v>
      </c>
      <c r="BC240">
        <f>IF(VLOOKUP(BC$1,main!$A$3:$I$56,5,FALSE)-VLOOKUP($A240,main!$A$3:$I$56,6,FALSE)&gt;=VLOOKUP(59,main!$A$57:$I$61,4,FALSE)+VLOOKUP(VLOOKUP(BC$1,main!$A$3:$I$56,7,FALSE),main!$K$10:$Q$14,7,FALSE),1,0)</f>
        <v>0</v>
      </c>
      <c r="BD240">
        <f>IF(VLOOKUP(BD$1,main!$A$3:$I$56,5,FALSE)-VLOOKUP($A240,main!$A$3:$I$56,6,FALSE)&gt;=VLOOKUP(59,main!$A$57:$I$61,4,FALSE)+VLOOKUP(VLOOKUP(BD$1,main!$A$3:$I$56,7,FALSE),main!$K$10:$Q$14,7,FALSE),1,0)</f>
        <v>0</v>
      </c>
    </row>
    <row r="241" spans="1:56" x14ac:dyDescent="0.25">
      <c r="A241">
        <f t="shared" si="4"/>
        <v>19</v>
      </c>
      <c r="B241">
        <v>0</v>
      </c>
      <c r="C241">
        <f>IF(VLOOKUP(C$1,main!$A$3:$I$56,5,FALSE)-VLOOKUP($A241,main!$A$3:$I$56,6,FALSE)&gt;=VLOOKUP(59,main!$A$57:$I$61,4,FALSE)+VLOOKUP(VLOOKUP(C$1,main!$A$3:$I$56,7,FALSE),main!$K$10:$Q$14,7,FALSE),1,0)</f>
        <v>0</v>
      </c>
      <c r="D241">
        <f>IF(VLOOKUP(D$1,main!$A$3:$I$56,5,FALSE)-VLOOKUP($A241,main!$A$3:$I$56,6,FALSE)&gt;=VLOOKUP(59,main!$A$57:$I$61,4,FALSE)+VLOOKUP(VLOOKUP(D$1,main!$A$3:$I$56,7,FALSE),main!$K$10:$Q$14,7,FALSE),1,0)</f>
        <v>0</v>
      </c>
      <c r="E241">
        <f>IF(VLOOKUP(E$1,main!$A$3:$I$56,5,FALSE)-VLOOKUP($A241,main!$A$3:$I$56,6,FALSE)&gt;=VLOOKUP(59,main!$A$57:$I$61,4,FALSE)+VLOOKUP(VLOOKUP(E$1,main!$A$3:$I$56,7,FALSE),main!$K$10:$Q$14,7,FALSE),1,0)</f>
        <v>0</v>
      </c>
      <c r="F241">
        <f>IF(VLOOKUP(F$1,main!$A$3:$I$56,5,FALSE)-VLOOKUP($A241,main!$A$3:$I$56,6,FALSE)&gt;=VLOOKUP(59,main!$A$57:$I$61,4,FALSE)+VLOOKUP(VLOOKUP(F$1,main!$A$3:$I$56,7,FALSE),main!$K$10:$Q$14,7,FALSE),1,0)</f>
        <v>0</v>
      </c>
      <c r="G241">
        <f>IF(VLOOKUP(G$1,main!$A$3:$I$56,5,FALSE)-VLOOKUP($A241,main!$A$3:$I$56,6,FALSE)&gt;=VLOOKUP(59,main!$A$57:$I$61,4,FALSE)+VLOOKUP(VLOOKUP(G$1,main!$A$3:$I$56,7,FALSE),main!$K$10:$Q$14,7,FALSE),1,0)</f>
        <v>1</v>
      </c>
      <c r="H241">
        <f>IF(VLOOKUP(H$1,main!$A$3:$I$56,5,FALSE)-VLOOKUP($A241,main!$A$3:$I$56,6,FALSE)&gt;=VLOOKUP(59,main!$A$57:$I$61,4,FALSE)+VLOOKUP(VLOOKUP(H$1,main!$A$3:$I$56,7,FALSE),main!$K$10:$Q$14,7,FALSE),1,0)</f>
        <v>1</v>
      </c>
      <c r="I241">
        <f>IF(VLOOKUP(I$1,main!$A$3:$I$56,5,FALSE)-VLOOKUP($A241,main!$A$3:$I$56,6,FALSE)&gt;=VLOOKUP(59,main!$A$57:$I$61,4,FALSE)+VLOOKUP(VLOOKUP(I$1,main!$A$3:$I$56,7,FALSE),main!$K$10:$Q$14,7,FALSE),1,0)</f>
        <v>1</v>
      </c>
      <c r="J241">
        <f>IF(VLOOKUP(J$1,main!$A$3:$I$56,5,FALSE)-VLOOKUP($A241,main!$A$3:$I$56,6,FALSE)&gt;=VLOOKUP(59,main!$A$57:$I$61,4,FALSE)+VLOOKUP(VLOOKUP(J$1,main!$A$3:$I$56,7,FALSE),main!$K$10:$Q$14,7,FALSE),1,0)</f>
        <v>1</v>
      </c>
      <c r="K241">
        <f>IF(VLOOKUP(K$1,main!$A$3:$I$56,5,FALSE)-VLOOKUP($A241,main!$A$3:$I$56,6,FALSE)&gt;=VLOOKUP(59,main!$A$57:$I$61,4,FALSE)+VLOOKUP(VLOOKUP(K$1,main!$A$3:$I$56,7,FALSE),main!$K$10:$Q$14,7,FALSE),1,0)</f>
        <v>0</v>
      </c>
      <c r="L241">
        <f>IF(VLOOKUP(L$1,main!$A$3:$I$56,5,FALSE)-VLOOKUP($A241,main!$A$3:$I$56,6,FALSE)&gt;=VLOOKUP(59,main!$A$57:$I$61,4,FALSE)+VLOOKUP(VLOOKUP(L$1,main!$A$3:$I$56,7,FALSE),main!$K$10:$Q$14,7,FALSE),1,0)</f>
        <v>0</v>
      </c>
      <c r="M241">
        <f>IF(VLOOKUP(M$1,main!$A$3:$I$56,5,FALSE)-VLOOKUP($A241,main!$A$3:$I$56,6,FALSE)&gt;=VLOOKUP(59,main!$A$57:$I$61,4,FALSE)+VLOOKUP(VLOOKUP(M$1,main!$A$3:$I$56,7,FALSE),main!$K$10:$Q$14,7,FALSE),1,0)</f>
        <v>0</v>
      </c>
      <c r="N241">
        <f>IF(VLOOKUP(N$1,main!$A$3:$I$56,5,FALSE)-VLOOKUP($A241,main!$A$3:$I$56,6,FALSE)&gt;=VLOOKUP(59,main!$A$57:$I$61,4,FALSE)+VLOOKUP(VLOOKUP(N$1,main!$A$3:$I$56,7,FALSE),main!$K$10:$Q$14,7,FALSE),1,0)</f>
        <v>1</v>
      </c>
      <c r="O241">
        <f>IF(VLOOKUP(O$1,main!$A$3:$I$56,5,FALSE)-VLOOKUP($A241,main!$A$3:$I$56,6,FALSE)&gt;=VLOOKUP(59,main!$A$57:$I$61,4,FALSE)+VLOOKUP(VLOOKUP(O$1,main!$A$3:$I$56,7,FALSE),main!$K$10:$Q$14,7,FALSE),1,0)</f>
        <v>1</v>
      </c>
      <c r="P241">
        <f>IF(VLOOKUP(P$1,main!$A$3:$I$56,5,FALSE)-VLOOKUP($A241,main!$A$3:$I$56,6,FALSE)&gt;=VLOOKUP(59,main!$A$57:$I$61,4,FALSE)+VLOOKUP(VLOOKUP(P$1,main!$A$3:$I$56,7,FALSE),main!$K$10:$Q$14,7,FALSE),1,0)</f>
        <v>0</v>
      </c>
      <c r="Q241">
        <f>IF(VLOOKUP(Q$1,main!$A$3:$I$56,5,FALSE)-VLOOKUP($A241,main!$A$3:$I$56,6,FALSE)&gt;=VLOOKUP(59,main!$A$57:$I$61,4,FALSE)+VLOOKUP(VLOOKUP(Q$1,main!$A$3:$I$56,7,FALSE),main!$K$10:$Q$14,7,FALSE),1,0)</f>
        <v>0</v>
      </c>
      <c r="R241">
        <f>IF(VLOOKUP(R$1,main!$A$3:$I$56,5,FALSE)-VLOOKUP($A241,main!$A$3:$I$56,6,FALSE)&gt;=VLOOKUP(59,main!$A$57:$I$61,4,FALSE)+VLOOKUP(VLOOKUP(R$1,main!$A$3:$I$56,7,FALSE),main!$K$10:$Q$14,7,FALSE),1,0)</f>
        <v>0</v>
      </c>
      <c r="S241">
        <f>IF(VLOOKUP(S$1,main!$A$3:$I$56,5,FALSE)-VLOOKUP($A241,main!$A$3:$I$56,6,FALSE)&gt;=VLOOKUP(59,main!$A$57:$I$61,4,FALSE)+VLOOKUP(VLOOKUP(S$1,main!$A$3:$I$56,7,FALSE),main!$K$10:$Q$14,7,FALSE),1,0)</f>
        <v>1</v>
      </c>
      <c r="T241">
        <f>IF(VLOOKUP(T$1,main!$A$3:$I$56,5,FALSE)-VLOOKUP($A241,main!$A$3:$I$56,6,FALSE)&gt;=VLOOKUP(59,main!$A$57:$I$61,4,FALSE)+VLOOKUP(VLOOKUP(T$1,main!$A$3:$I$56,7,FALSE),main!$K$10:$Q$14,7,FALSE),1,0)</f>
        <v>1</v>
      </c>
      <c r="U241">
        <f>IF(VLOOKUP(U$1,main!$A$3:$I$56,5,FALSE)-VLOOKUP($A241,main!$A$3:$I$56,6,FALSE)&gt;=VLOOKUP(59,main!$A$57:$I$61,4,FALSE)+VLOOKUP(VLOOKUP(U$1,main!$A$3:$I$56,7,FALSE),main!$K$10:$Q$14,7,FALSE),1,0)</f>
        <v>0</v>
      </c>
      <c r="V241">
        <f>IF(VLOOKUP(V$1,main!$A$3:$I$56,5,FALSE)-VLOOKUP($A241,main!$A$3:$I$56,6,FALSE)&gt;=VLOOKUP(59,main!$A$57:$I$61,4,FALSE)+VLOOKUP(VLOOKUP(V$1,main!$A$3:$I$56,7,FALSE),main!$K$10:$Q$14,7,FALSE),1,0)</f>
        <v>0</v>
      </c>
      <c r="W241">
        <f>IF(VLOOKUP(W$1,main!$A$3:$I$56,5,FALSE)-VLOOKUP($A241,main!$A$3:$I$56,6,FALSE)&gt;=VLOOKUP(59,main!$A$57:$I$61,4,FALSE)+VLOOKUP(VLOOKUP(W$1,main!$A$3:$I$56,7,FALSE),main!$K$10:$Q$14,7,FALSE),1,0)</f>
        <v>0</v>
      </c>
      <c r="X241">
        <f>IF(VLOOKUP(X$1,main!$A$3:$I$56,5,FALSE)-VLOOKUP($A241,main!$A$3:$I$56,6,FALSE)&gt;=VLOOKUP(59,main!$A$57:$I$61,4,FALSE)+VLOOKUP(VLOOKUP(X$1,main!$A$3:$I$56,7,FALSE),main!$K$10:$Q$14,7,FALSE),1,0)</f>
        <v>0</v>
      </c>
      <c r="Y241">
        <f>IF(VLOOKUP(Y$1,main!$A$3:$I$56,5,FALSE)-VLOOKUP($A241,main!$A$3:$I$56,6,FALSE)&gt;=VLOOKUP(59,main!$A$57:$I$61,4,FALSE)+VLOOKUP(VLOOKUP(Y$1,main!$A$3:$I$56,7,FALSE),main!$K$10:$Q$14,7,FALSE),1,0)</f>
        <v>1</v>
      </c>
      <c r="Z241">
        <f>IF(VLOOKUP(Z$1,main!$A$3:$I$56,5,FALSE)-VLOOKUP($A241,main!$A$3:$I$56,6,FALSE)&gt;=VLOOKUP(59,main!$A$57:$I$61,4,FALSE)+VLOOKUP(VLOOKUP(Z$1,main!$A$3:$I$56,7,FALSE),main!$K$10:$Q$14,7,FALSE),1,0)</f>
        <v>1</v>
      </c>
      <c r="AA241">
        <f>IF(VLOOKUP(AA$1,main!$A$3:$I$56,5,FALSE)-VLOOKUP($A241,main!$A$3:$I$56,6,FALSE)&gt;=VLOOKUP(59,main!$A$57:$I$61,4,FALSE)+VLOOKUP(VLOOKUP(AA$1,main!$A$3:$I$56,7,FALSE),main!$K$10:$Q$14,7,FALSE),1,0)</f>
        <v>1</v>
      </c>
      <c r="AB241">
        <f>IF(VLOOKUP(AB$1,main!$A$3:$I$56,5,FALSE)-VLOOKUP($A241,main!$A$3:$I$56,6,FALSE)&gt;=VLOOKUP(59,main!$A$57:$I$61,4,FALSE)+VLOOKUP(VLOOKUP(AB$1,main!$A$3:$I$56,7,FALSE),main!$K$10:$Q$14,7,FALSE),1,0)</f>
        <v>1</v>
      </c>
      <c r="AC241">
        <f>IF(VLOOKUP(AC$1,main!$A$3:$I$56,5,FALSE)-VLOOKUP($A241,main!$A$3:$I$56,6,FALSE)&gt;=VLOOKUP(59,main!$A$57:$I$61,4,FALSE)+VLOOKUP(VLOOKUP(AC$1,main!$A$3:$I$56,7,FALSE),main!$K$10:$Q$14,7,FALSE),1,0)</f>
        <v>0</v>
      </c>
      <c r="AD241">
        <f>IF(VLOOKUP(AD$1,main!$A$3:$I$56,5,FALSE)-VLOOKUP($A241,main!$A$3:$I$56,6,FALSE)&gt;=VLOOKUP(59,main!$A$57:$I$61,4,FALSE)+VLOOKUP(VLOOKUP(AD$1,main!$A$3:$I$56,7,FALSE),main!$K$10:$Q$14,7,FALSE),1,0)</f>
        <v>0</v>
      </c>
      <c r="AE241">
        <f>IF(VLOOKUP(AE$1,main!$A$3:$I$56,5,FALSE)-VLOOKUP($A241,main!$A$3:$I$56,6,FALSE)&gt;=VLOOKUP(59,main!$A$57:$I$61,4,FALSE)+VLOOKUP(VLOOKUP(AE$1,main!$A$3:$I$56,7,FALSE),main!$K$10:$Q$14,7,FALSE),1,0)</f>
        <v>0</v>
      </c>
      <c r="AF241">
        <f>IF(VLOOKUP(AF$1,main!$A$3:$I$56,5,FALSE)-VLOOKUP($A241,main!$A$3:$I$56,6,FALSE)&gt;=VLOOKUP(59,main!$A$57:$I$61,4,FALSE)+VLOOKUP(VLOOKUP(AF$1,main!$A$3:$I$56,7,FALSE),main!$K$10:$Q$14,7,FALSE),1,0)</f>
        <v>1</v>
      </c>
      <c r="AG241">
        <f>IF(VLOOKUP(AG$1,main!$A$3:$I$56,5,FALSE)-VLOOKUP($A241,main!$A$3:$I$56,6,FALSE)&gt;=VLOOKUP(59,main!$A$57:$I$61,4,FALSE)+VLOOKUP(VLOOKUP(AG$1,main!$A$3:$I$56,7,FALSE),main!$K$10:$Q$14,7,FALSE),1,0)</f>
        <v>0</v>
      </c>
      <c r="AH241">
        <f>IF(VLOOKUP(AH$1,main!$A$3:$I$56,5,FALSE)-VLOOKUP($A241,main!$A$3:$I$56,6,FALSE)&gt;=VLOOKUP(59,main!$A$57:$I$61,4,FALSE)+VLOOKUP(VLOOKUP(AH$1,main!$A$3:$I$56,7,FALSE),main!$K$10:$Q$14,7,FALSE),1,0)</f>
        <v>0</v>
      </c>
      <c r="AI241">
        <f>IF(VLOOKUP(AI$1,main!$A$3:$I$56,5,FALSE)-VLOOKUP($A241,main!$A$3:$I$56,6,FALSE)&gt;=VLOOKUP(59,main!$A$57:$I$61,4,FALSE)+VLOOKUP(VLOOKUP(AI$1,main!$A$3:$I$56,7,FALSE),main!$K$10:$Q$14,7,FALSE),1,0)</f>
        <v>0</v>
      </c>
      <c r="AJ241">
        <f>IF(VLOOKUP(AJ$1,main!$A$3:$I$56,5,FALSE)-VLOOKUP($A241,main!$A$3:$I$56,6,FALSE)&gt;=VLOOKUP(59,main!$A$57:$I$61,4,FALSE)+VLOOKUP(VLOOKUP(AJ$1,main!$A$3:$I$56,7,FALSE),main!$K$10:$Q$14,7,FALSE),1,0)</f>
        <v>0</v>
      </c>
      <c r="AK241">
        <f>IF(VLOOKUP(AK$1,main!$A$3:$I$56,5,FALSE)-VLOOKUP($A241,main!$A$3:$I$56,6,FALSE)&gt;=VLOOKUP(59,main!$A$57:$I$61,4,FALSE)+VLOOKUP(VLOOKUP(AK$1,main!$A$3:$I$56,7,FALSE),main!$K$10:$Q$14,7,FALSE),1,0)</f>
        <v>1</v>
      </c>
      <c r="AL241">
        <f>IF(VLOOKUP(AL$1,main!$A$3:$I$56,5,FALSE)-VLOOKUP($A241,main!$A$3:$I$56,6,FALSE)&gt;=VLOOKUP(59,main!$A$57:$I$61,4,FALSE)+VLOOKUP(VLOOKUP(AL$1,main!$A$3:$I$56,7,FALSE),main!$K$10:$Q$14,7,FALSE),1,0)</f>
        <v>0</v>
      </c>
      <c r="AM241">
        <f>IF(VLOOKUP(AM$1,main!$A$3:$I$56,5,FALSE)-VLOOKUP($A241,main!$A$3:$I$56,6,FALSE)&gt;=VLOOKUP(59,main!$A$57:$I$61,4,FALSE)+VLOOKUP(VLOOKUP(AM$1,main!$A$3:$I$56,7,FALSE),main!$K$10:$Q$14,7,FALSE),1,0)</f>
        <v>0</v>
      </c>
      <c r="AN241">
        <f>IF(VLOOKUP(AN$1,main!$A$3:$I$56,5,FALSE)-VLOOKUP($A241,main!$A$3:$I$56,6,FALSE)&gt;=VLOOKUP(59,main!$A$57:$I$61,4,FALSE)+VLOOKUP(VLOOKUP(AN$1,main!$A$3:$I$56,7,FALSE),main!$K$10:$Q$14,7,FALSE),1,0)</f>
        <v>0</v>
      </c>
      <c r="AO241">
        <f>IF(VLOOKUP(AO$1,main!$A$3:$I$56,5,FALSE)-VLOOKUP($A241,main!$A$3:$I$56,6,FALSE)&gt;=VLOOKUP(59,main!$A$57:$I$61,4,FALSE)+VLOOKUP(VLOOKUP(AO$1,main!$A$3:$I$56,7,FALSE),main!$K$10:$Q$14,7,FALSE),1,0)</f>
        <v>0</v>
      </c>
      <c r="AP241">
        <f>IF(VLOOKUP(AP$1,main!$A$3:$I$56,5,FALSE)-VLOOKUP($A241,main!$A$3:$I$56,6,FALSE)&gt;=VLOOKUP(59,main!$A$57:$I$61,4,FALSE)+VLOOKUP(VLOOKUP(AP$1,main!$A$3:$I$56,7,FALSE),main!$K$10:$Q$14,7,FALSE),1,0)</f>
        <v>0</v>
      </c>
      <c r="AQ241">
        <f>IF(VLOOKUP(AQ$1,main!$A$3:$I$56,5,FALSE)-VLOOKUP($A241,main!$A$3:$I$56,6,FALSE)&gt;=VLOOKUP(59,main!$A$57:$I$61,4,FALSE)+VLOOKUP(VLOOKUP(AQ$1,main!$A$3:$I$56,7,FALSE),main!$K$10:$Q$14,7,FALSE),1,0)</f>
        <v>0</v>
      </c>
      <c r="AR241">
        <f>IF(VLOOKUP(AR$1,main!$A$3:$I$56,5,FALSE)-VLOOKUP($A241,main!$A$3:$I$56,6,FALSE)&gt;=VLOOKUP(59,main!$A$57:$I$61,4,FALSE)+VLOOKUP(VLOOKUP(AR$1,main!$A$3:$I$56,7,FALSE),main!$K$10:$Q$14,7,FALSE),1,0)</f>
        <v>0</v>
      </c>
      <c r="AS241">
        <f>IF(VLOOKUP(AS$1,main!$A$3:$I$56,5,FALSE)-VLOOKUP($A241,main!$A$3:$I$56,6,FALSE)&gt;=VLOOKUP(59,main!$A$57:$I$61,4,FALSE)+VLOOKUP(VLOOKUP(AS$1,main!$A$3:$I$56,7,FALSE),main!$K$10:$Q$14,7,FALSE),1,0)</f>
        <v>0</v>
      </c>
      <c r="AT241">
        <f>IF(VLOOKUP(AT$1,main!$A$3:$I$56,5,FALSE)-VLOOKUP($A241,main!$A$3:$I$56,6,FALSE)&gt;=VLOOKUP(59,main!$A$57:$I$61,4,FALSE)+VLOOKUP(VLOOKUP(AT$1,main!$A$3:$I$56,7,FALSE),main!$K$10:$Q$14,7,FALSE),1,0)</f>
        <v>0</v>
      </c>
      <c r="AU241">
        <f>IF(VLOOKUP(AU$1,main!$A$3:$I$56,5,FALSE)-VLOOKUP($A241,main!$A$3:$I$56,6,FALSE)&gt;=VLOOKUP(59,main!$A$57:$I$61,4,FALSE)+VLOOKUP(VLOOKUP(AU$1,main!$A$3:$I$56,7,FALSE),main!$K$10:$Q$14,7,FALSE),1,0)</f>
        <v>0</v>
      </c>
      <c r="AV241">
        <f>IF(VLOOKUP(AV$1,main!$A$3:$I$56,5,FALSE)-VLOOKUP($A241,main!$A$3:$I$56,6,FALSE)&gt;=VLOOKUP(59,main!$A$57:$I$61,4,FALSE)+VLOOKUP(VLOOKUP(AV$1,main!$A$3:$I$56,7,FALSE),main!$K$10:$Q$14,7,FALSE),1,0)</f>
        <v>1</v>
      </c>
      <c r="AW241">
        <f>IF(VLOOKUP(AW$1,main!$A$3:$I$56,5,FALSE)-VLOOKUP($A241,main!$A$3:$I$56,6,FALSE)&gt;=VLOOKUP(59,main!$A$57:$I$61,4,FALSE)+VLOOKUP(VLOOKUP(AW$1,main!$A$3:$I$56,7,FALSE),main!$K$10:$Q$14,7,FALSE),1,0)</f>
        <v>1</v>
      </c>
      <c r="AX241">
        <f>IF(VLOOKUP(AX$1,main!$A$3:$I$56,5,FALSE)-VLOOKUP($A241,main!$A$3:$I$56,6,FALSE)&gt;=VLOOKUP(59,main!$A$57:$I$61,4,FALSE)+VLOOKUP(VLOOKUP(AX$1,main!$A$3:$I$56,7,FALSE),main!$K$10:$Q$14,7,FALSE),1,0)</f>
        <v>1</v>
      </c>
      <c r="AY241">
        <f>IF(VLOOKUP(AY$1,main!$A$3:$I$56,5,FALSE)-VLOOKUP($A241,main!$A$3:$I$56,6,FALSE)&gt;=VLOOKUP(59,main!$A$57:$I$61,4,FALSE)+VLOOKUP(VLOOKUP(AY$1,main!$A$3:$I$56,7,FALSE),main!$K$10:$Q$14,7,FALSE),1,0)</f>
        <v>1</v>
      </c>
      <c r="AZ241">
        <f>IF(VLOOKUP(AZ$1,main!$A$3:$I$56,5,FALSE)-VLOOKUP($A241,main!$A$3:$I$56,6,FALSE)&gt;=VLOOKUP(59,main!$A$57:$I$61,4,FALSE)+VLOOKUP(VLOOKUP(AZ$1,main!$A$3:$I$56,7,FALSE),main!$K$10:$Q$14,7,FALSE),1,0)</f>
        <v>0</v>
      </c>
      <c r="BA241">
        <f>IF(VLOOKUP(BA$1,main!$A$3:$I$56,5,FALSE)-VLOOKUP($A241,main!$A$3:$I$56,6,FALSE)&gt;=VLOOKUP(59,main!$A$57:$I$61,4,FALSE)+VLOOKUP(VLOOKUP(BA$1,main!$A$3:$I$56,7,FALSE),main!$K$10:$Q$14,7,FALSE),1,0)</f>
        <v>1</v>
      </c>
      <c r="BB241">
        <f>IF(VLOOKUP(BB$1,main!$A$3:$I$56,5,FALSE)-VLOOKUP($A241,main!$A$3:$I$56,6,FALSE)&gt;=VLOOKUP(59,main!$A$57:$I$61,4,FALSE)+VLOOKUP(VLOOKUP(BB$1,main!$A$3:$I$56,7,FALSE),main!$K$10:$Q$14,7,FALSE),1,0)</f>
        <v>1</v>
      </c>
      <c r="BC241">
        <f>IF(VLOOKUP(BC$1,main!$A$3:$I$56,5,FALSE)-VLOOKUP($A241,main!$A$3:$I$56,6,FALSE)&gt;=VLOOKUP(59,main!$A$57:$I$61,4,FALSE)+VLOOKUP(VLOOKUP(BC$1,main!$A$3:$I$56,7,FALSE),main!$K$10:$Q$14,7,FALSE),1,0)</f>
        <v>1</v>
      </c>
      <c r="BD241">
        <f>IF(VLOOKUP(BD$1,main!$A$3:$I$56,5,FALSE)-VLOOKUP($A241,main!$A$3:$I$56,6,FALSE)&gt;=VLOOKUP(59,main!$A$57:$I$61,4,FALSE)+VLOOKUP(VLOOKUP(BD$1,main!$A$3:$I$56,7,FALSE),main!$K$10:$Q$14,7,FALSE),1,0)</f>
        <v>1</v>
      </c>
    </row>
    <row r="242" spans="1:56" x14ac:dyDescent="0.25">
      <c r="A242">
        <f t="shared" si="4"/>
        <v>20</v>
      </c>
      <c r="B242">
        <v>0</v>
      </c>
      <c r="C242">
        <f>IF(VLOOKUP(C$1,main!$A$3:$I$56,5,FALSE)-VLOOKUP($A242,main!$A$3:$I$56,6,FALSE)&gt;=VLOOKUP(59,main!$A$57:$I$61,4,FALSE)+VLOOKUP(VLOOKUP(C$1,main!$A$3:$I$56,7,FALSE),main!$K$10:$Q$14,7,FALSE),1,0)</f>
        <v>0</v>
      </c>
      <c r="D242">
        <f>IF(VLOOKUP(D$1,main!$A$3:$I$56,5,FALSE)-VLOOKUP($A242,main!$A$3:$I$56,6,FALSE)&gt;=VLOOKUP(59,main!$A$57:$I$61,4,FALSE)+VLOOKUP(VLOOKUP(D$1,main!$A$3:$I$56,7,FALSE),main!$K$10:$Q$14,7,FALSE),1,0)</f>
        <v>0</v>
      </c>
      <c r="E242">
        <f>IF(VLOOKUP(E$1,main!$A$3:$I$56,5,FALSE)-VLOOKUP($A242,main!$A$3:$I$56,6,FALSE)&gt;=VLOOKUP(59,main!$A$57:$I$61,4,FALSE)+VLOOKUP(VLOOKUP(E$1,main!$A$3:$I$56,7,FALSE),main!$K$10:$Q$14,7,FALSE),1,0)</f>
        <v>0</v>
      </c>
      <c r="F242">
        <f>IF(VLOOKUP(F$1,main!$A$3:$I$56,5,FALSE)-VLOOKUP($A242,main!$A$3:$I$56,6,FALSE)&gt;=VLOOKUP(59,main!$A$57:$I$61,4,FALSE)+VLOOKUP(VLOOKUP(F$1,main!$A$3:$I$56,7,FALSE),main!$K$10:$Q$14,7,FALSE),1,0)</f>
        <v>0</v>
      </c>
      <c r="G242">
        <f>IF(VLOOKUP(G$1,main!$A$3:$I$56,5,FALSE)-VLOOKUP($A242,main!$A$3:$I$56,6,FALSE)&gt;=VLOOKUP(59,main!$A$57:$I$61,4,FALSE)+VLOOKUP(VLOOKUP(G$1,main!$A$3:$I$56,7,FALSE),main!$K$10:$Q$14,7,FALSE),1,0)</f>
        <v>0</v>
      </c>
      <c r="H242">
        <f>IF(VLOOKUP(H$1,main!$A$3:$I$56,5,FALSE)-VLOOKUP($A242,main!$A$3:$I$56,6,FALSE)&gt;=VLOOKUP(59,main!$A$57:$I$61,4,FALSE)+VLOOKUP(VLOOKUP(H$1,main!$A$3:$I$56,7,FALSE),main!$K$10:$Q$14,7,FALSE),1,0)</f>
        <v>1</v>
      </c>
      <c r="I242">
        <f>IF(VLOOKUP(I$1,main!$A$3:$I$56,5,FALSE)-VLOOKUP($A242,main!$A$3:$I$56,6,FALSE)&gt;=VLOOKUP(59,main!$A$57:$I$61,4,FALSE)+VLOOKUP(VLOOKUP(I$1,main!$A$3:$I$56,7,FALSE),main!$K$10:$Q$14,7,FALSE),1,0)</f>
        <v>1</v>
      </c>
      <c r="J242">
        <f>IF(VLOOKUP(J$1,main!$A$3:$I$56,5,FALSE)-VLOOKUP($A242,main!$A$3:$I$56,6,FALSE)&gt;=VLOOKUP(59,main!$A$57:$I$61,4,FALSE)+VLOOKUP(VLOOKUP(J$1,main!$A$3:$I$56,7,FALSE),main!$K$10:$Q$14,7,FALSE),1,0)</f>
        <v>1</v>
      </c>
      <c r="K242">
        <f>IF(VLOOKUP(K$1,main!$A$3:$I$56,5,FALSE)-VLOOKUP($A242,main!$A$3:$I$56,6,FALSE)&gt;=VLOOKUP(59,main!$A$57:$I$61,4,FALSE)+VLOOKUP(VLOOKUP(K$1,main!$A$3:$I$56,7,FALSE),main!$K$10:$Q$14,7,FALSE),1,0)</f>
        <v>0</v>
      </c>
      <c r="L242">
        <f>IF(VLOOKUP(L$1,main!$A$3:$I$56,5,FALSE)-VLOOKUP($A242,main!$A$3:$I$56,6,FALSE)&gt;=VLOOKUP(59,main!$A$57:$I$61,4,FALSE)+VLOOKUP(VLOOKUP(L$1,main!$A$3:$I$56,7,FALSE),main!$K$10:$Q$14,7,FALSE),1,0)</f>
        <v>0</v>
      </c>
      <c r="M242">
        <f>IF(VLOOKUP(M$1,main!$A$3:$I$56,5,FALSE)-VLOOKUP($A242,main!$A$3:$I$56,6,FALSE)&gt;=VLOOKUP(59,main!$A$57:$I$61,4,FALSE)+VLOOKUP(VLOOKUP(M$1,main!$A$3:$I$56,7,FALSE),main!$K$10:$Q$14,7,FALSE),1,0)</f>
        <v>0</v>
      </c>
      <c r="N242">
        <f>IF(VLOOKUP(N$1,main!$A$3:$I$56,5,FALSE)-VLOOKUP($A242,main!$A$3:$I$56,6,FALSE)&gt;=VLOOKUP(59,main!$A$57:$I$61,4,FALSE)+VLOOKUP(VLOOKUP(N$1,main!$A$3:$I$56,7,FALSE),main!$K$10:$Q$14,7,FALSE),1,0)</f>
        <v>1</v>
      </c>
      <c r="O242">
        <f>IF(VLOOKUP(O$1,main!$A$3:$I$56,5,FALSE)-VLOOKUP($A242,main!$A$3:$I$56,6,FALSE)&gt;=VLOOKUP(59,main!$A$57:$I$61,4,FALSE)+VLOOKUP(VLOOKUP(O$1,main!$A$3:$I$56,7,FALSE),main!$K$10:$Q$14,7,FALSE),1,0)</f>
        <v>1</v>
      </c>
      <c r="P242">
        <f>IF(VLOOKUP(P$1,main!$A$3:$I$56,5,FALSE)-VLOOKUP($A242,main!$A$3:$I$56,6,FALSE)&gt;=VLOOKUP(59,main!$A$57:$I$61,4,FALSE)+VLOOKUP(VLOOKUP(P$1,main!$A$3:$I$56,7,FALSE),main!$K$10:$Q$14,7,FALSE),1,0)</f>
        <v>0</v>
      </c>
      <c r="Q242">
        <f>IF(VLOOKUP(Q$1,main!$A$3:$I$56,5,FALSE)-VLOOKUP($A242,main!$A$3:$I$56,6,FALSE)&gt;=VLOOKUP(59,main!$A$57:$I$61,4,FALSE)+VLOOKUP(VLOOKUP(Q$1,main!$A$3:$I$56,7,FALSE),main!$K$10:$Q$14,7,FALSE),1,0)</f>
        <v>0</v>
      </c>
      <c r="R242">
        <f>IF(VLOOKUP(R$1,main!$A$3:$I$56,5,FALSE)-VLOOKUP($A242,main!$A$3:$I$56,6,FALSE)&gt;=VLOOKUP(59,main!$A$57:$I$61,4,FALSE)+VLOOKUP(VLOOKUP(R$1,main!$A$3:$I$56,7,FALSE),main!$K$10:$Q$14,7,FALSE),1,0)</f>
        <v>0</v>
      </c>
      <c r="S242">
        <f>IF(VLOOKUP(S$1,main!$A$3:$I$56,5,FALSE)-VLOOKUP($A242,main!$A$3:$I$56,6,FALSE)&gt;=VLOOKUP(59,main!$A$57:$I$61,4,FALSE)+VLOOKUP(VLOOKUP(S$1,main!$A$3:$I$56,7,FALSE),main!$K$10:$Q$14,7,FALSE),1,0)</f>
        <v>0</v>
      </c>
      <c r="T242">
        <f>IF(VLOOKUP(T$1,main!$A$3:$I$56,5,FALSE)-VLOOKUP($A242,main!$A$3:$I$56,6,FALSE)&gt;=VLOOKUP(59,main!$A$57:$I$61,4,FALSE)+VLOOKUP(VLOOKUP(T$1,main!$A$3:$I$56,7,FALSE),main!$K$10:$Q$14,7,FALSE),1,0)</f>
        <v>1</v>
      </c>
      <c r="U242">
        <f>IF(VLOOKUP(U$1,main!$A$3:$I$56,5,FALSE)-VLOOKUP($A242,main!$A$3:$I$56,6,FALSE)&gt;=VLOOKUP(59,main!$A$57:$I$61,4,FALSE)+VLOOKUP(VLOOKUP(U$1,main!$A$3:$I$56,7,FALSE),main!$K$10:$Q$14,7,FALSE),1,0)</f>
        <v>0</v>
      </c>
      <c r="V242">
        <f>IF(VLOOKUP(V$1,main!$A$3:$I$56,5,FALSE)-VLOOKUP($A242,main!$A$3:$I$56,6,FALSE)&gt;=VLOOKUP(59,main!$A$57:$I$61,4,FALSE)+VLOOKUP(VLOOKUP(V$1,main!$A$3:$I$56,7,FALSE),main!$K$10:$Q$14,7,FALSE),1,0)</f>
        <v>0</v>
      </c>
      <c r="W242">
        <f>IF(VLOOKUP(W$1,main!$A$3:$I$56,5,FALSE)-VLOOKUP($A242,main!$A$3:$I$56,6,FALSE)&gt;=VLOOKUP(59,main!$A$57:$I$61,4,FALSE)+VLOOKUP(VLOOKUP(W$1,main!$A$3:$I$56,7,FALSE),main!$K$10:$Q$14,7,FALSE),1,0)</f>
        <v>0</v>
      </c>
      <c r="X242">
        <f>IF(VLOOKUP(X$1,main!$A$3:$I$56,5,FALSE)-VLOOKUP($A242,main!$A$3:$I$56,6,FALSE)&gt;=VLOOKUP(59,main!$A$57:$I$61,4,FALSE)+VLOOKUP(VLOOKUP(X$1,main!$A$3:$I$56,7,FALSE),main!$K$10:$Q$14,7,FALSE),1,0)</f>
        <v>0</v>
      </c>
      <c r="Y242">
        <f>IF(VLOOKUP(Y$1,main!$A$3:$I$56,5,FALSE)-VLOOKUP($A242,main!$A$3:$I$56,6,FALSE)&gt;=VLOOKUP(59,main!$A$57:$I$61,4,FALSE)+VLOOKUP(VLOOKUP(Y$1,main!$A$3:$I$56,7,FALSE),main!$K$10:$Q$14,7,FALSE),1,0)</f>
        <v>0</v>
      </c>
      <c r="Z242">
        <f>IF(VLOOKUP(Z$1,main!$A$3:$I$56,5,FALSE)-VLOOKUP($A242,main!$A$3:$I$56,6,FALSE)&gt;=VLOOKUP(59,main!$A$57:$I$61,4,FALSE)+VLOOKUP(VLOOKUP(Z$1,main!$A$3:$I$56,7,FALSE),main!$K$10:$Q$14,7,FALSE),1,0)</f>
        <v>1</v>
      </c>
      <c r="AA242">
        <f>IF(VLOOKUP(AA$1,main!$A$3:$I$56,5,FALSE)-VLOOKUP($A242,main!$A$3:$I$56,6,FALSE)&gt;=VLOOKUP(59,main!$A$57:$I$61,4,FALSE)+VLOOKUP(VLOOKUP(AA$1,main!$A$3:$I$56,7,FALSE),main!$K$10:$Q$14,7,FALSE),1,0)</f>
        <v>1</v>
      </c>
      <c r="AB242">
        <f>IF(VLOOKUP(AB$1,main!$A$3:$I$56,5,FALSE)-VLOOKUP($A242,main!$A$3:$I$56,6,FALSE)&gt;=VLOOKUP(59,main!$A$57:$I$61,4,FALSE)+VLOOKUP(VLOOKUP(AB$1,main!$A$3:$I$56,7,FALSE),main!$K$10:$Q$14,7,FALSE),1,0)</f>
        <v>1</v>
      </c>
      <c r="AC242">
        <f>IF(VLOOKUP(AC$1,main!$A$3:$I$56,5,FALSE)-VLOOKUP($A242,main!$A$3:$I$56,6,FALSE)&gt;=VLOOKUP(59,main!$A$57:$I$61,4,FALSE)+VLOOKUP(VLOOKUP(AC$1,main!$A$3:$I$56,7,FALSE),main!$K$10:$Q$14,7,FALSE),1,0)</f>
        <v>0</v>
      </c>
      <c r="AD242">
        <f>IF(VLOOKUP(AD$1,main!$A$3:$I$56,5,FALSE)-VLOOKUP($A242,main!$A$3:$I$56,6,FALSE)&gt;=VLOOKUP(59,main!$A$57:$I$61,4,FALSE)+VLOOKUP(VLOOKUP(AD$1,main!$A$3:$I$56,7,FALSE),main!$K$10:$Q$14,7,FALSE),1,0)</f>
        <v>0</v>
      </c>
      <c r="AE242">
        <f>IF(VLOOKUP(AE$1,main!$A$3:$I$56,5,FALSE)-VLOOKUP($A242,main!$A$3:$I$56,6,FALSE)&gt;=VLOOKUP(59,main!$A$57:$I$61,4,FALSE)+VLOOKUP(VLOOKUP(AE$1,main!$A$3:$I$56,7,FALSE),main!$K$10:$Q$14,7,FALSE),1,0)</f>
        <v>0</v>
      </c>
      <c r="AF242">
        <f>IF(VLOOKUP(AF$1,main!$A$3:$I$56,5,FALSE)-VLOOKUP($A242,main!$A$3:$I$56,6,FALSE)&gt;=VLOOKUP(59,main!$A$57:$I$61,4,FALSE)+VLOOKUP(VLOOKUP(AF$1,main!$A$3:$I$56,7,FALSE),main!$K$10:$Q$14,7,FALSE),1,0)</f>
        <v>0</v>
      </c>
      <c r="AG242">
        <f>IF(VLOOKUP(AG$1,main!$A$3:$I$56,5,FALSE)-VLOOKUP($A242,main!$A$3:$I$56,6,FALSE)&gt;=VLOOKUP(59,main!$A$57:$I$61,4,FALSE)+VLOOKUP(VLOOKUP(AG$1,main!$A$3:$I$56,7,FALSE),main!$K$10:$Q$14,7,FALSE),1,0)</f>
        <v>0</v>
      </c>
      <c r="AH242">
        <f>IF(VLOOKUP(AH$1,main!$A$3:$I$56,5,FALSE)-VLOOKUP($A242,main!$A$3:$I$56,6,FALSE)&gt;=VLOOKUP(59,main!$A$57:$I$61,4,FALSE)+VLOOKUP(VLOOKUP(AH$1,main!$A$3:$I$56,7,FALSE),main!$K$10:$Q$14,7,FALSE),1,0)</f>
        <v>0</v>
      </c>
      <c r="AI242">
        <f>IF(VLOOKUP(AI$1,main!$A$3:$I$56,5,FALSE)-VLOOKUP($A242,main!$A$3:$I$56,6,FALSE)&gt;=VLOOKUP(59,main!$A$57:$I$61,4,FALSE)+VLOOKUP(VLOOKUP(AI$1,main!$A$3:$I$56,7,FALSE),main!$K$10:$Q$14,7,FALSE),1,0)</f>
        <v>0</v>
      </c>
      <c r="AJ242">
        <f>IF(VLOOKUP(AJ$1,main!$A$3:$I$56,5,FALSE)-VLOOKUP($A242,main!$A$3:$I$56,6,FALSE)&gt;=VLOOKUP(59,main!$A$57:$I$61,4,FALSE)+VLOOKUP(VLOOKUP(AJ$1,main!$A$3:$I$56,7,FALSE),main!$K$10:$Q$14,7,FALSE),1,0)</f>
        <v>0</v>
      </c>
      <c r="AK242">
        <f>IF(VLOOKUP(AK$1,main!$A$3:$I$56,5,FALSE)-VLOOKUP($A242,main!$A$3:$I$56,6,FALSE)&gt;=VLOOKUP(59,main!$A$57:$I$61,4,FALSE)+VLOOKUP(VLOOKUP(AK$1,main!$A$3:$I$56,7,FALSE),main!$K$10:$Q$14,7,FALSE),1,0)</f>
        <v>0</v>
      </c>
      <c r="AL242">
        <f>IF(VLOOKUP(AL$1,main!$A$3:$I$56,5,FALSE)-VLOOKUP($A242,main!$A$3:$I$56,6,FALSE)&gt;=VLOOKUP(59,main!$A$57:$I$61,4,FALSE)+VLOOKUP(VLOOKUP(AL$1,main!$A$3:$I$56,7,FALSE),main!$K$10:$Q$14,7,FALSE),1,0)</f>
        <v>0</v>
      </c>
      <c r="AM242">
        <f>IF(VLOOKUP(AM$1,main!$A$3:$I$56,5,FALSE)-VLOOKUP($A242,main!$A$3:$I$56,6,FALSE)&gt;=VLOOKUP(59,main!$A$57:$I$61,4,FALSE)+VLOOKUP(VLOOKUP(AM$1,main!$A$3:$I$56,7,FALSE),main!$K$10:$Q$14,7,FALSE),1,0)</f>
        <v>0</v>
      </c>
      <c r="AN242">
        <f>IF(VLOOKUP(AN$1,main!$A$3:$I$56,5,FALSE)-VLOOKUP($A242,main!$A$3:$I$56,6,FALSE)&gt;=VLOOKUP(59,main!$A$57:$I$61,4,FALSE)+VLOOKUP(VLOOKUP(AN$1,main!$A$3:$I$56,7,FALSE),main!$K$10:$Q$14,7,FALSE),1,0)</f>
        <v>0</v>
      </c>
      <c r="AO242">
        <f>IF(VLOOKUP(AO$1,main!$A$3:$I$56,5,FALSE)-VLOOKUP($A242,main!$A$3:$I$56,6,FALSE)&gt;=VLOOKUP(59,main!$A$57:$I$61,4,FALSE)+VLOOKUP(VLOOKUP(AO$1,main!$A$3:$I$56,7,FALSE),main!$K$10:$Q$14,7,FALSE),1,0)</f>
        <v>0</v>
      </c>
      <c r="AP242">
        <f>IF(VLOOKUP(AP$1,main!$A$3:$I$56,5,FALSE)-VLOOKUP($A242,main!$A$3:$I$56,6,FALSE)&gt;=VLOOKUP(59,main!$A$57:$I$61,4,FALSE)+VLOOKUP(VLOOKUP(AP$1,main!$A$3:$I$56,7,FALSE),main!$K$10:$Q$14,7,FALSE),1,0)</f>
        <v>0</v>
      </c>
      <c r="AQ242">
        <f>IF(VLOOKUP(AQ$1,main!$A$3:$I$56,5,FALSE)-VLOOKUP($A242,main!$A$3:$I$56,6,FALSE)&gt;=VLOOKUP(59,main!$A$57:$I$61,4,FALSE)+VLOOKUP(VLOOKUP(AQ$1,main!$A$3:$I$56,7,FALSE),main!$K$10:$Q$14,7,FALSE),1,0)</f>
        <v>0</v>
      </c>
      <c r="AR242">
        <f>IF(VLOOKUP(AR$1,main!$A$3:$I$56,5,FALSE)-VLOOKUP($A242,main!$A$3:$I$56,6,FALSE)&gt;=VLOOKUP(59,main!$A$57:$I$61,4,FALSE)+VLOOKUP(VLOOKUP(AR$1,main!$A$3:$I$56,7,FALSE),main!$K$10:$Q$14,7,FALSE),1,0)</f>
        <v>0</v>
      </c>
      <c r="AS242">
        <f>IF(VLOOKUP(AS$1,main!$A$3:$I$56,5,FALSE)-VLOOKUP($A242,main!$A$3:$I$56,6,FALSE)&gt;=VLOOKUP(59,main!$A$57:$I$61,4,FALSE)+VLOOKUP(VLOOKUP(AS$1,main!$A$3:$I$56,7,FALSE),main!$K$10:$Q$14,7,FALSE),1,0)</f>
        <v>0</v>
      </c>
      <c r="AT242">
        <f>IF(VLOOKUP(AT$1,main!$A$3:$I$56,5,FALSE)-VLOOKUP($A242,main!$A$3:$I$56,6,FALSE)&gt;=VLOOKUP(59,main!$A$57:$I$61,4,FALSE)+VLOOKUP(VLOOKUP(AT$1,main!$A$3:$I$56,7,FALSE),main!$K$10:$Q$14,7,FALSE),1,0)</f>
        <v>0</v>
      </c>
      <c r="AU242">
        <f>IF(VLOOKUP(AU$1,main!$A$3:$I$56,5,FALSE)-VLOOKUP($A242,main!$A$3:$I$56,6,FALSE)&gt;=VLOOKUP(59,main!$A$57:$I$61,4,FALSE)+VLOOKUP(VLOOKUP(AU$1,main!$A$3:$I$56,7,FALSE),main!$K$10:$Q$14,7,FALSE),1,0)</f>
        <v>0</v>
      </c>
      <c r="AV242">
        <f>IF(VLOOKUP(AV$1,main!$A$3:$I$56,5,FALSE)-VLOOKUP($A242,main!$A$3:$I$56,6,FALSE)&gt;=VLOOKUP(59,main!$A$57:$I$61,4,FALSE)+VLOOKUP(VLOOKUP(AV$1,main!$A$3:$I$56,7,FALSE),main!$K$10:$Q$14,7,FALSE),1,0)</f>
        <v>0</v>
      </c>
      <c r="AW242">
        <f>IF(VLOOKUP(AW$1,main!$A$3:$I$56,5,FALSE)-VLOOKUP($A242,main!$A$3:$I$56,6,FALSE)&gt;=VLOOKUP(59,main!$A$57:$I$61,4,FALSE)+VLOOKUP(VLOOKUP(AW$1,main!$A$3:$I$56,7,FALSE),main!$K$10:$Q$14,7,FALSE),1,0)</f>
        <v>0</v>
      </c>
      <c r="AX242">
        <f>IF(VLOOKUP(AX$1,main!$A$3:$I$56,5,FALSE)-VLOOKUP($A242,main!$A$3:$I$56,6,FALSE)&gt;=VLOOKUP(59,main!$A$57:$I$61,4,FALSE)+VLOOKUP(VLOOKUP(AX$1,main!$A$3:$I$56,7,FALSE),main!$K$10:$Q$14,7,FALSE),1,0)</f>
        <v>1</v>
      </c>
      <c r="AY242">
        <f>IF(VLOOKUP(AY$1,main!$A$3:$I$56,5,FALSE)-VLOOKUP($A242,main!$A$3:$I$56,6,FALSE)&gt;=VLOOKUP(59,main!$A$57:$I$61,4,FALSE)+VLOOKUP(VLOOKUP(AY$1,main!$A$3:$I$56,7,FALSE),main!$K$10:$Q$14,7,FALSE),1,0)</f>
        <v>1</v>
      </c>
      <c r="AZ242">
        <f>IF(VLOOKUP(AZ$1,main!$A$3:$I$56,5,FALSE)-VLOOKUP($A242,main!$A$3:$I$56,6,FALSE)&gt;=VLOOKUP(59,main!$A$57:$I$61,4,FALSE)+VLOOKUP(VLOOKUP(AZ$1,main!$A$3:$I$56,7,FALSE),main!$K$10:$Q$14,7,FALSE),1,0)</f>
        <v>0</v>
      </c>
      <c r="BA242">
        <f>IF(VLOOKUP(BA$1,main!$A$3:$I$56,5,FALSE)-VLOOKUP($A242,main!$A$3:$I$56,6,FALSE)&gt;=VLOOKUP(59,main!$A$57:$I$61,4,FALSE)+VLOOKUP(VLOOKUP(BA$1,main!$A$3:$I$56,7,FALSE),main!$K$10:$Q$14,7,FALSE),1,0)</f>
        <v>0</v>
      </c>
      <c r="BB242">
        <f>IF(VLOOKUP(BB$1,main!$A$3:$I$56,5,FALSE)-VLOOKUP($A242,main!$A$3:$I$56,6,FALSE)&gt;=VLOOKUP(59,main!$A$57:$I$61,4,FALSE)+VLOOKUP(VLOOKUP(BB$1,main!$A$3:$I$56,7,FALSE),main!$K$10:$Q$14,7,FALSE),1,0)</f>
        <v>0</v>
      </c>
      <c r="BC242">
        <f>IF(VLOOKUP(BC$1,main!$A$3:$I$56,5,FALSE)-VLOOKUP($A242,main!$A$3:$I$56,6,FALSE)&gt;=VLOOKUP(59,main!$A$57:$I$61,4,FALSE)+VLOOKUP(VLOOKUP(BC$1,main!$A$3:$I$56,7,FALSE),main!$K$10:$Q$14,7,FALSE),1,0)</f>
        <v>1</v>
      </c>
      <c r="BD242">
        <f>IF(VLOOKUP(BD$1,main!$A$3:$I$56,5,FALSE)-VLOOKUP($A242,main!$A$3:$I$56,6,FALSE)&gt;=VLOOKUP(59,main!$A$57:$I$61,4,FALSE)+VLOOKUP(VLOOKUP(BD$1,main!$A$3:$I$56,7,FALSE),main!$K$10:$Q$14,7,FALSE),1,0)</f>
        <v>1</v>
      </c>
    </row>
    <row r="243" spans="1:56" x14ac:dyDescent="0.25">
      <c r="A243">
        <f t="shared" si="4"/>
        <v>21</v>
      </c>
      <c r="B243">
        <v>0</v>
      </c>
      <c r="C243">
        <f>IF(VLOOKUP(C$1,main!$A$3:$I$56,5,FALSE)-VLOOKUP($A243,main!$A$3:$I$56,6,FALSE)&gt;=VLOOKUP(59,main!$A$57:$I$61,4,FALSE)+VLOOKUP(VLOOKUP(C$1,main!$A$3:$I$56,7,FALSE),main!$K$10:$Q$14,7,FALSE),1,0)</f>
        <v>0</v>
      </c>
      <c r="D243">
        <f>IF(VLOOKUP(D$1,main!$A$3:$I$56,5,FALSE)-VLOOKUP($A243,main!$A$3:$I$56,6,FALSE)&gt;=VLOOKUP(59,main!$A$57:$I$61,4,FALSE)+VLOOKUP(VLOOKUP(D$1,main!$A$3:$I$56,7,FALSE),main!$K$10:$Q$14,7,FALSE),1,0)</f>
        <v>0</v>
      </c>
      <c r="E243">
        <f>IF(VLOOKUP(E$1,main!$A$3:$I$56,5,FALSE)-VLOOKUP($A243,main!$A$3:$I$56,6,FALSE)&gt;=VLOOKUP(59,main!$A$57:$I$61,4,FALSE)+VLOOKUP(VLOOKUP(E$1,main!$A$3:$I$56,7,FALSE),main!$K$10:$Q$14,7,FALSE),1,0)</f>
        <v>0</v>
      </c>
      <c r="F243">
        <f>IF(VLOOKUP(F$1,main!$A$3:$I$56,5,FALSE)-VLOOKUP($A243,main!$A$3:$I$56,6,FALSE)&gt;=VLOOKUP(59,main!$A$57:$I$61,4,FALSE)+VLOOKUP(VLOOKUP(F$1,main!$A$3:$I$56,7,FALSE),main!$K$10:$Q$14,7,FALSE),1,0)</f>
        <v>0</v>
      </c>
      <c r="G243">
        <f>IF(VLOOKUP(G$1,main!$A$3:$I$56,5,FALSE)-VLOOKUP($A243,main!$A$3:$I$56,6,FALSE)&gt;=VLOOKUP(59,main!$A$57:$I$61,4,FALSE)+VLOOKUP(VLOOKUP(G$1,main!$A$3:$I$56,7,FALSE),main!$K$10:$Q$14,7,FALSE),1,0)</f>
        <v>0</v>
      </c>
      <c r="H243">
        <f>IF(VLOOKUP(H$1,main!$A$3:$I$56,5,FALSE)-VLOOKUP($A243,main!$A$3:$I$56,6,FALSE)&gt;=VLOOKUP(59,main!$A$57:$I$61,4,FALSE)+VLOOKUP(VLOOKUP(H$1,main!$A$3:$I$56,7,FALSE),main!$K$10:$Q$14,7,FALSE),1,0)</f>
        <v>0</v>
      </c>
      <c r="I243">
        <f>IF(VLOOKUP(I$1,main!$A$3:$I$56,5,FALSE)-VLOOKUP($A243,main!$A$3:$I$56,6,FALSE)&gt;=VLOOKUP(59,main!$A$57:$I$61,4,FALSE)+VLOOKUP(VLOOKUP(I$1,main!$A$3:$I$56,7,FALSE),main!$K$10:$Q$14,7,FALSE),1,0)</f>
        <v>0</v>
      </c>
      <c r="J243">
        <f>IF(VLOOKUP(J$1,main!$A$3:$I$56,5,FALSE)-VLOOKUP($A243,main!$A$3:$I$56,6,FALSE)&gt;=VLOOKUP(59,main!$A$57:$I$61,4,FALSE)+VLOOKUP(VLOOKUP(J$1,main!$A$3:$I$56,7,FALSE),main!$K$10:$Q$14,7,FALSE),1,0)</f>
        <v>1</v>
      </c>
      <c r="K243">
        <f>IF(VLOOKUP(K$1,main!$A$3:$I$56,5,FALSE)-VLOOKUP($A243,main!$A$3:$I$56,6,FALSE)&gt;=VLOOKUP(59,main!$A$57:$I$61,4,FALSE)+VLOOKUP(VLOOKUP(K$1,main!$A$3:$I$56,7,FALSE),main!$K$10:$Q$14,7,FALSE),1,0)</f>
        <v>0</v>
      </c>
      <c r="L243">
        <f>IF(VLOOKUP(L$1,main!$A$3:$I$56,5,FALSE)-VLOOKUP($A243,main!$A$3:$I$56,6,FALSE)&gt;=VLOOKUP(59,main!$A$57:$I$61,4,FALSE)+VLOOKUP(VLOOKUP(L$1,main!$A$3:$I$56,7,FALSE),main!$K$10:$Q$14,7,FALSE),1,0)</f>
        <v>0</v>
      </c>
      <c r="M243">
        <f>IF(VLOOKUP(M$1,main!$A$3:$I$56,5,FALSE)-VLOOKUP($A243,main!$A$3:$I$56,6,FALSE)&gt;=VLOOKUP(59,main!$A$57:$I$61,4,FALSE)+VLOOKUP(VLOOKUP(M$1,main!$A$3:$I$56,7,FALSE),main!$K$10:$Q$14,7,FALSE),1,0)</f>
        <v>0</v>
      </c>
      <c r="N243">
        <f>IF(VLOOKUP(N$1,main!$A$3:$I$56,5,FALSE)-VLOOKUP($A243,main!$A$3:$I$56,6,FALSE)&gt;=VLOOKUP(59,main!$A$57:$I$61,4,FALSE)+VLOOKUP(VLOOKUP(N$1,main!$A$3:$I$56,7,FALSE),main!$K$10:$Q$14,7,FALSE),1,0)</f>
        <v>1</v>
      </c>
      <c r="O243">
        <f>IF(VLOOKUP(O$1,main!$A$3:$I$56,5,FALSE)-VLOOKUP($A243,main!$A$3:$I$56,6,FALSE)&gt;=VLOOKUP(59,main!$A$57:$I$61,4,FALSE)+VLOOKUP(VLOOKUP(O$1,main!$A$3:$I$56,7,FALSE),main!$K$10:$Q$14,7,FALSE),1,0)</f>
        <v>1</v>
      </c>
      <c r="P243">
        <f>IF(VLOOKUP(P$1,main!$A$3:$I$56,5,FALSE)-VLOOKUP($A243,main!$A$3:$I$56,6,FALSE)&gt;=VLOOKUP(59,main!$A$57:$I$61,4,FALSE)+VLOOKUP(VLOOKUP(P$1,main!$A$3:$I$56,7,FALSE),main!$K$10:$Q$14,7,FALSE),1,0)</f>
        <v>0</v>
      </c>
      <c r="Q243">
        <f>IF(VLOOKUP(Q$1,main!$A$3:$I$56,5,FALSE)-VLOOKUP($A243,main!$A$3:$I$56,6,FALSE)&gt;=VLOOKUP(59,main!$A$57:$I$61,4,FALSE)+VLOOKUP(VLOOKUP(Q$1,main!$A$3:$I$56,7,FALSE),main!$K$10:$Q$14,7,FALSE),1,0)</f>
        <v>0</v>
      </c>
      <c r="R243">
        <f>IF(VLOOKUP(R$1,main!$A$3:$I$56,5,FALSE)-VLOOKUP($A243,main!$A$3:$I$56,6,FALSE)&gt;=VLOOKUP(59,main!$A$57:$I$61,4,FALSE)+VLOOKUP(VLOOKUP(R$1,main!$A$3:$I$56,7,FALSE),main!$K$10:$Q$14,7,FALSE),1,0)</f>
        <v>0</v>
      </c>
      <c r="S243">
        <f>IF(VLOOKUP(S$1,main!$A$3:$I$56,5,FALSE)-VLOOKUP($A243,main!$A$3:$I$56,6,FALSE)&gt;=VLOOKUP(59,main!$A$57:$I$61,4,FALSE)+VLOOKUP(VLOOKUP(S$1,main!$A$3:$I$56,7,FALSE),main!$K$10:$Q$14,7,FALSE),1,0)</f>
        <v>0</v>
      </c>
      <c r="T243">
        <f>IF(VLOOKUP(T$1,main!$A$3:$I$56,5,FALSE)-VLOOKUP($A243,main!$A$3:$I$56,6,FALSE)&gt;=VLOOKUP(59,main!$A$57:$I$61,4,FALSE)+VLOOKUP(VLOOKUP(T$1,main!$A$3:$I$56,7,FALSE),main!$K$10:$Q$14,7,FALSE),1,0)</f>
        <v>0</v>
      </c>
      <c r="U243">
        <f>IF(VLOOKUP(U$1,main!$A$3:$I$56,5,FALSE)-VLOOKUP($A243,main!$A$3:$I$56,6,FALSE)&gt;=VLOOKUP(59,main!$A$57:$I$61,4,FALSE)+VLOOKUP(VLOOKUP(U$1,main!$A$3:$I$56,7,FALSE),main!$K$10:$Q$14,7,FALSE),1,0)</f>
        <v>0</v>
      </c>
      <c r="V243">
        <f>IF(VLOOKUP(V$1,main!$A$3:$I$56,5,FALSE)-VLOOKUP($A243,main!$A$3:$I$56,6,FALSE)&gt;=VLOOKUP(59,main!$A$57:$I$61,4,FALSE)+VLOOKUP(VLOOKUP(V$1,main!$A$3:$I$56,7,FALSE),main!$K$10:$Q$14,7,FALSE),1,0)</f>
        <v>0</v>
      </c>
      <c r="W243">
        <f>IF(VLOOKUP(W$1,main!$A$3:$I$56,5,FALSE)-VLOOKUP($A243,main!$A$3:$I$56,6,FALSE)&gt;=VLOOKUP(59,main!$A$57:$I$61,4,FALSE)+VLOOKUP(VLOOKUP(W$1,main!$A$3:$I$56,7,FALSE),main!$K$10:$Q$14,7,FALSE),1,0)</f>
        <v>0</v>
      </c>
      <c r="X243">
        <f>IF(VLOOKUP(X$1,main!$A$3:$I$56,5,FALSE)-VLOOKUP($A243,main!$A$3:$I$56,6,FALSE)&gt;=VLOOKUP(59,main!$A$57:$I$61,4,FALSE)+VLOOKUP(VLOOKUP(X$1,main!$A$3:$I$56,7,FALSE),main!$K$10:$Q$14,7,FALSE),1,0)</f>
        <v>0</v>
      </c>
      <c r="Y243">
        <f>IF(VLOOKUP(Y$1,main!$A$3:$I$56,5,FALSE)-VLOOKUP($A243,main!$A$3:$I$56,6,FALSE)&gt;=VLOOKUP(59,main!$A$57:$I$61,4,FALSE)+VLOOKUP(VLOOKUP(Y$1,main!$A$3:$I$56,7,FALSE),main!$K$10:$Q$14,7,FALSE),1,0)</f>
        <v>0</v>
      </c>
      <c r="Z243">
        <f>IF(VLOOKUP(Z$1,main!$A$3:$I$56,5,FALSE)-VLOOKUP($A243,main!$A$3:$I$56,6,FALSE)&gt;=VLOOKUP(59,main!$A$57:$I$61,4,FALSE)+VLOOKUP(VLOOKUP(Z$1,main!$A$3:$I$56,7,FALSE),main!$K$10:$Q$14,7,FALSE),1,0)</f>
        <v>0</v>
      </c>
      <c r="AA243">
        <f>IF(VLOOKUP(AA$1,main!$A$3:$I$56,5,FALSE)-VLOOKUP($A243,main!$A$3:$I$56,6,FALSE)&gt;=VLOOKUP(59,main!$A$57:$I$61,4,FALSE)+VLOOKUP(VLOOKUP(AA$1,main!$A$3:$I$56,7,FALSE),main!$K$10:$Q$14,7,FALSE),1,0)</f>
        <v>1</v>
      </c>
      <c r="AB243">
        <f>IF(VLOOKUP(AB$1,main!$A$3:$I$56,5,FALSE)-VLOOKUP($A243,main!$A$3:$I$56,6,FALSE)&gt;=VLOOKUP(59,main!$A$57:$I$61,4,FALSE)+VLOOKUP(VLOOKUP(AB$1,main!$A$3:$I$56,7,FALSE),main!$K$10:$Q$14,7,FALSE),1,0)</f>
        <v>1</v>
      </c>
      <c r="AC243">
        <f>IF(VLOOKUP(AC$1,main!$A$3:$I$56,5,FALSE)-VLOOKUP($A243,main!$A$3:$I$56,6,FALSE)&gt;=VLOOKUP(59,main!$A$57:$I$61,4,FALSE)+VLOOKUP(VLOOKUP(AC$1,main!$A$3:$I$56,7,FALSE),main!$K$10:$Q$14,7,FALSE),1,0)</f>
        <v>0</v>
      </c>
      <c r="AD243">
        <f>IF(VLOOKUP(AD$1,main!$A$3:$I$56,5,FALSE)-VLOOKUP($A243,main!$A$3:$I$56,6,FALSE)&gt;=VLOOKUP(59,main!$A$57:$I$61,4,FALSE)+VLOOKUP(VLOOKUP(AD$1,main!$A$3:$I$56,7,FALSE),main!$K$10:$Q$14,7,FALSE),1,0)</f>
        <v>0</v>
      </c>
      <c r="AE243">
        <f>IF(VLOOKUP(AE$1,main!$A$3:$I$56,5,FALSE)-VLOOKUP($A243,main!$A$3:$I$56,6,FALSE)&gt;=VLOOKUP(59,main!$A$57:$I$61,4,FALSE)+VLOOKUP(VLOOKUP(AE$1,main!$A$3:$I$56,7,FALSE),main!$K$10:$Q$14,7,FALSE),1,0)</f>
        <v>0</v>
      </c>
      <c r="AF243">
        <f>IF(VLOOKUP(AF$1,main!$A$3:$I$56,5,FALSE)-VLOOKUP($A243,main!$A$3:$I$56,6,FALSE)&gt;=VLOOKUP(59,main!$A$57:$I$61,4,FALSE)+VLOOKUP(VLOOKUP(AF$1,main!$A$3:$I$56,7,FALSE),main!$K$10:$Q$14,7,FALSE),1,0)</f>
        <v>0</v>
      </c>
      <c r="AG243">
        <f>IF(VLOOKUP(AG$1,main!$A$3:$I$56,5,FALSE)-VLOOKUP($A243,main!$A$3:$I$56,6,FALSE)&gt;=VLOOKUP(59,main!$A$57:$I$61,4,FALSE)+VLOOKUP(VLOOKUP(AG$1,main!$A$3:$I$56,7,FALSE),main!$K$10:$Q$14,7,FALSE),1,0)</f>
        <v>0</v>
      </c>
      <c r="AH243">
        <f>IF(VLOOKUP(AH$1,main!$A$3:$I$56,5,FALSE)-VLOOKUP($A243,main!$A$3:$I$56,6,FALSE)&gt;=VLOOKUP(59,main!$A$57:$I$61,4,FALSE)+VLOOKUP(VLOOKUP(AH$1,main!$A$3:$I$56,7,FALSE),main!$K$10:$Q$14,7,FALSE),1,0)</f>
        <v>0</v>
      </c>
      <c r="AI243">
        <f>IF(VLOOKUP(AI$1,main!$A$3:$I$56,5,FALSE)-VLOOKUP($A243,main!$A$3:$I$56,6,FALSE)&gt;=VLOOKUP(59,main!$A$57:$I$61,4,FALSE)+VLOOKUP(VLOOKUP(AI$1,main!$A$3:$I$56,7,FALSE),main!$K$10:$Q$14,7,FALSE),1,0)</f>
        <v>0</v>
      </c>
      <c r="AJ243">
        <f>IF(VLOOKUP(AJ$1,main!$A$3:$I$56,5,FALSE)-VLOOKUP($A243,main!$A$3:$I$56,6,FALSE)&gt;=VLOOKUP(59,main!$A$57:$I$61,4,FALSE)+VLOOKUP(VLOOKUP(AJ$1,main!$A$3:$I$56,7,FALSE),main!$K$10:$Q$14,7,FALSE),1,0)</f>
        <v>0</v>
      </c>
      <c r="AK243">
        <f>IF(VLOOKUP(AK$1,main!$A$3:$I$56,5,FALSE)-VLOOKUP($A243,main!$A$3:$I$56,6,FALSE)&gt;=VLOOKUP(59,main!$A$57:$I$61,4,FALSE)+VLOOKUP(VLOOKUP(AK$1,main!$A$3:$I$56,7,FALSE),main!$K$10:$Q$14,7,FALSE),1,0)</f>
        <v>0</v>
      </c>
      <c r="AL243">
        <f>IF(VLOOKUP(AL$1,main!$A$3:$I$56,5,FALSE)-VLOOKUP($A243,main!$A$3:$I$56,6,FALSE)&gt;=VLOOKUP(59,main!$A$57:$I$61,4,FALSE)+VLOOKUP(VLOOKUP(AL$1,main!$A$3:$I$56,7,FALSE),main!$K$10:$Q$14,7,FALSE),1,0)</f>
        <v>0</v>
      </c>
      <c r="AM243">
        <f>IF(VLOOKUP(AM$1,main!$A$3:$I$56,5,FALSE)-VLOOKUP($A243,main!$A$3:$I$56,6,FALSE)&gt;=VLOOKUP(59,main!$A$57:$I$61,4,FALSE)+VLOOKUP(VLOOKUP(AM$1,main!$A$3:$I$56,7,FALSE),main!$K$10:$Q$14,7,FALSE),1,0)</f>
        <v>0</v>
      </c>
      <c r="AN243">
        <f>IF(VLOOKUP(AN$1,main!$A$3:$I$56,5,FALSE)-VLOOKUP($A243,main!$A$3:$I$56,6,FALSE)&gt;=VLOOKUP(59,main!$A$57:$I$61,4,FALSE)+VLOOKUP(VLOOKUP(AN$1,main!$A$3:$I$56,7,FALSE),main!$K$10:$Q$14,7,FALSE),1,0)</f>
        <v>0</v>
      </c>
      <c r="AO243">
        <f>IF(VLOOKUP(AO$1,main!$A$3:$I$56,5,FALSE)-VLOOKUP($A243,main!$A$3:$I$56,6,FALSE)&gt;=VLOOKUP(59,main!$A$57:$I$61,4,FALSE)+VLOOKUP(VLOOKUP(AO$1,main!$A$3:$I$56,7,FALSE),main!$K$10:$Q$14,7,FALSE),1,0)</f>
        <v>0</v>
      </c>
      <c r="AP243">
        <f>IF(VLOOKUP(AP$1,main!$A$3:$I$56,5,FALSE)-VLOOKUP($A243,main!$A$3:$I$56,6,FALSE)&gt;=VLOOKUP(59,main!$A$57:$I$61,4,FALSE)+VLOOKUP(VLOOKUP(AP$1,main!$A$3:$I$56,7,FALSE),main!$K$10:$Q$14,7,FALSE),1,0)</f>
        <v>0</v>
      </c>
      <c r="AQ243">
        <f>IF(VLOOKUP(AQ$1,main!$A$3:$I$56,5,FALSE)-VLOOKUP($A243,main!$A$3:$I$56,6,FALSE)&gt;=VLOOKUP(59,main!$A$57:$I$61,4,FALSE)+VLOOKUP(VLOOKUP(AQ$1,main!$A$3:$I$56,7,FALSE),main!$K$10:$Q$14,7,FALSE),1,0)</f>
        <v>0</v>
      </c>
      <c r="AR243">
        <f>IF(VLOOKUP(AR$1,main!$A$3:$I$56,5,FALSE)-VLOOKUP($A243,main!$A$3:$I$56,6,FALSE)&gt;=VLOOKUP(59,main!$A$57:$I$61,4,FALSE)+VLOOKUP(VLOOKUP(AR$1,main!$A$3:$I$56,7,FALSE),main!$K$10:$Q$14,7,FALSE),1,0)</f>
        <v>0</v>
      </c>
      <c r="AS243">
        <f>IF(VLOOKUP(AS$1,main!$A$3:$I$56,5,FALSE)-VLOOKUP($A243,main!$A$3:$I$56,6,FALSE)&gt;=VLOOKUP(59,main!$A$57:$I$61,4,FALSE)+VLOOKUP(VLOOKUP(AS$1,main!$A$3:$I$56,7,FALSE),main!$K$10:$Q$14,7,FALSE),1,0)</f>
        <v>0</v>
      </c>
      <c r="AT243">
        <f>IF(VLOOKUP(AT$1,main!$A$3:$I$56,5,FALSE)-VLOOKUP($A243,main!$A$3:$I$56,6,FALSE)&gt;=VLOOKUP(59,main!$A$57:$I$61,4,FALSE)+VLOOKUP(VLOOKUP(AT$1,main!$A$3:$I$56,7,FALSE),main!$K$10:$Q$14,7,FALSE),1,0)</f>
        <v>0</v>
      </c>
      <c r="AU243">
        <f>IF(VLOOKUP(AU$1,main!$A$3:$I$56,5,FALSE)-VLOOKUP($A243,main!$A$3:$I$56,6,FALSE)&gt;=VLOOKUP(59,main!$A$57:$I$61,4,FALSE)+VLOOKUP(VLOOKUP(AU$1,main!$A$3:$I$56,7,FALSE),main!$K$10:$Q$14,7,FALSE),1,0)</f>
        <v>0</v>
      </c>
      <c r="AV243">
        <f>IF(VLOOKUP(AV$1,main!$A$3:$I$56,5,FALSE)-VLOOKUP($A243,main!$A$3:$I$56,6,FALSE)&gt;=VLOOKUP(59,main!$A$57:$I$61,4,FALSE)+VLOOKUP(VLOOKUP(AV$1,main!$A$3:$I$56,7,FALSE),main!$K$10:$Q$14,7,FALSE),1,0)</f>
        <v>0</v>
      </c>
      <c r="AW243">
        <f>IF(VLOOKUP(AW$1,main!$A$3:$I$56,5,FALSE)-VLOOKUP($A243,main!$A$3:$I$56,6,FALSE)&gt;=VLOOKUP(59,main!$A$57:$I$61,4,FALSE)+VLOOKUP(VLOOKUP(AW$1,main!$A$3:$I$56,7,FALSE),main!$K$10:$Q$14,7,FALSE),1,0)</f>
        <v>0</v>
      </c>
      <c r="AX243">
        <f>IF(VLOOKUP(AX$1,main!$A$3:$I$56,5,FALSE)-VLOOKUP($A243,main!$A$3:$I$56,6,FALSE)&gt;=VLOOKUP(59,main!$A$57:$I$61,4,FALSE)+VLOOKUP(VLOOKUP(AX$1,main!$A$3:$I$56,7,FALSE),main!$K$10:$Q$14,7,FALSE),1,0)</f>
        <v>1</v>
      </c>
      <c r="AY243">
        <f>IF(VLOOKUP(AY$1,main!$A$3:$I$56,5,FALSE)-VLOOKUP($A243,main!$A$3:$I$56,6,FALSE)&gt;=VLOOKUP(59,main!$A$57:$I$61,4,FALSE)+VLOOKUP(VLOOKUP(AY$1,main!$A$3:$I$56,7,FALSE),main!$K$10:$Q$14,7,FALSE),1,0)</f>
        <v>1</v>
      </c>
      <c r="AZ243">
        <f>IF(VLOOKUP(AZ$1,main!$A$3:$I$56,5,FALSE)-VLOOKUP($A243,main!$A$3:$I$56,6,FALSE)&gt;=VLOOKUP(59,main!$A$57:$I$61,4,FALSE)+VLOOKUP(VLOOKUP(AZ$1,main!$A$3:$I$56,7,FALSE),main!$K$10:$Q$14,7,FALSE),1,0)</f>
        <v>0</v>
      </c>
      <c r="BA243">
        <f>IF(VLOOKUP(BA$1,main!$A$3:$I$56,5,FALSE)-VLOOKUP($A243,main!$A$3:$I$56,6,FALSE)&gt;=VLOOKUP(59,main!$A$57:$I$61,4,FALSE)+VLOOKUP(VLOOKUP(BA$1,main!$A$3:$I$56,7,FALSE),main!$K$10:$Q$14,7,FALSE),1,0)</f>
        <v>0</v>
      </c>
      <c r="BB243">
        <f>IF(VLOOKUP(BB$1,main!$A$3:$I$56,5,FALSE)-VLOOKUP($A243,main!$A$3:$I$56,6,FALSE)&gt;=VLOOKUP(59,main!$A$57:$I$61,4,FALSE)+VLOOKUP(VLOOKUP(BB$1,main!$A$3:$I$56,7,FALSE),main!$K$10:$Q$14,7,FALSE),1,0)</f>
        <v>0</v>
      </c>
      <c r="BC243">
        <f>IF(VLOOKUP(BC$1,main!$A$3:$I$56,5,FALSE)-VLOOKUP($A243,main!$A$3:$I$56,6,FALSE)&gt;=VLOOKUP(59,main!$A$57:$I$61,4,FALSE)+VLOOKUP(VLOOKUP(BC$1,main!$A$3:$I$56,7,FALSE),main!$K$10:$Q$14,7,FALSE),1,0)</f>
        <v>1</v>
      </c>
      <c r="BD243">
        <f>IF(VLOOKUP(BD$1,main!$A$3:$I$56,5,FALSE)-VLOOKUP($A243,main!$A$3:$I$56,6,FALSE)&gt;=VLOOKUP(59,main!$A$57:$I$61,4,FALSE)+VLOOKUP(VLOOKUP(BD$1,main!$A$3:$I$56,7,FALSE),main!$K$10:$Q$14,7,FALSE),1,0)</f>
        <v>1</v>
      </c>
    </row>
    <row r="244" spans="1:56" x14ac:dyDescent="0.25">
      <c r="A244">
        <f t="shared" si="4"/>
        <v>22</v>
      </c>
      <c r="B244">
        <v>0</v>
      </c>
      <c r="C244">
        <f>IF(VLOOKUP(C$1,main!$A$3:$I$56,5,FALSE)-VLOOKUP($A244,main!$A$3:$I$56,6,FALSE)&gt;=VLOOKUP(59,main!$A$57:$I$61,4,FALSE)+VLOOKUP(VLOOKUP(C$1,main!$A$3:$I$56,7,FALSE),main!$K$10:$Q$14,7,FALSE),1,0)</f>
        <v>0</v>
      </c>
      <c r="D244">
        <f>IF(VLOOKUP(D$1,main!$A$3:$I$56,5,FALSE)-VLOOKUP($A244,main!$A$3:$I$56,6,FALSE)&gt;=VLOOKUP(59,main!$A$57:$I$61,4,FALSE)+VLOOKUP(VLOOKUP(D$1,main!$A$3:$I$56,7,FALSE),main!$K$10:$Q$14,7,FALSE),1,0)</f>
        <v>0</v>
      </c>
      <c r="E244">
        <f>IF(VLOOKUP(E$1,main!$A$3:$I$56,5,FALSE)-VLOOKUP($A244,main!$A$3:$I$56,6,FALSE)&gt;=VLOOKUP(59,main!$A$57:$I$61,4,FALSE)+VLOOKUP(VLOOKUP(E$1,main!$A$3:$I$56,7,FALSE),main!$K$10:$Q$14,7,FALSE),1,0)</f>
        <v>0</v>
      </c>
      <c r="F244">
        <f>IF(VLOOKUP(F$1,main!$A$3:$I$56,5,FALSE)-VLOOKUP($A244,main!$A$3:$I$56,6,FALSE)&gt;=VLOOKUP(59,main!$A$57:$I$61,4,FALSE)+VLOOKUP(VLOOKUP(F$1,main!$A$3:$I$56,7,FALSE),main!$K$10:$Q$14,7,FALSE),1,0)</f>
        <v>0</v>
      </c>
      <c r="G244">
        <f>IF(VLOOKUP(G$1,main!$A$3:$I$56,5,FALSE)-VLOOKUP($A244,main!$A$3:$I$56,6,FALSE)&gt;=VLOOKUP(59,main!$A$57:$I$61,4,FALSE)+VLOOKUP(VLOOKUP(G$1,main!$A$3:$I$56,7,FALSE),main!$K$10:$Q$14,7,FALSE),1,0)</f>
        <v>0</v>
      </c>
      <c r="H244">
        <f>IF(VLOOKUP(H$1,main!$A$3:$I$56,5,FALSE)-VLOOKUP($A244,main!$A$3:$I$56,6,FALSE)&gt;=VLOOKUP(59,main!$A$57:$I$61,4,FALSE)+VLOOKUP(VLOOKUP(H$1,main!$A$3:$I$56,7,FALSE),main!$K$10:$Q$14,7,FALSE),1,0)</f>
        <v>0</v>
      </c>
      <c r="I244">
        <f>IF(VLOOKUP(I$1,main!$A$3:$I$56,5,FALSE)-VLOOKUP($A244,main!$A$3:$I$56,6,FALSE)&gt;=VLOOKUP(59,main!$A$57:$I$61,4,FALSE)+VLOOKUP(VLOOKUP(I$1,main!$A$3:$I$56,7,FALSE),main!$K$10:$Q$14,7,FALSE),1,0)</f>
        <v>0</v>
      </c>
      <c r="J244">
        <f>IF(VLOOKUP(J$1,main!$A$3:$I$56,5,FALSE)-VLOOKUP($A244,main!$A$3:$I$56,6,FALSE)&gt;=VLOOKUP(59,main!$A$57:$I$61,4,FALSE)+VLOOKUP(VLOOKUP(J$1,main!$A$3:$I$56,7,FALSE),main!$K$10:$Q$14,7,FALSE),1,0)</f>
        <v>0</v>
      </c>
      <c r="K244">
        <f>IF(VLOOKUP(K$1,main!$A$3:$I$56,5,FALSE)-VLOOKUP($A244,main!$A$3:$I$56,6,FALSE)&gt;=VLOOKUP(59,main!$A$57:$I$61,4,FALSE)+VLOOKUP(VLOOKUP(K$1,main!$A$3:$I$56,7,FALSE),main!$K$10:$Q$14,7,FALSE),1,0)</f>
        <v>0</v>
      </c>
      <c r="L244">
        <f>IF(VLOOKUP(L$1,main!$A$3:$I$56,5,FALSE)-VLOOKUP($A244,main!$A$3:$I$56,6,FALSE)&gt;=VLOOKUP(59,main!$A$57:$I$61,4,FALSE)+VLOOKUP(VLOOKUP(L$1,main!$A$3:$I$56,7,FALSE),main!$K$10:$Q$14,7,FALSE),1,0)</f>
        <v>0</v>
      </c>
      <c r="M244">
        <f>IF(VLOOKUP(M$1,main!$A$3:$I$56,5,FALSE)-VLOOKUP($A244,main!$A$3:$I$56,6,FALSE)&gt;=VLOOKUP(59,main!$A$57:$I$61,4,FALSE)+VLOOKUP(VLOOKUP(M$1,main!$A$3:$I$56,7,FALSE),main!$K$10:$Q$14,7,FALSE),1,0)</f>
        <v>0</v>
      </c>
      <c r="N244">
        <f>IF(VLOOKUP(N$1,main!$A$3:$I$56,5,FALSE)-VLOOKUP($A244,main!$A$3:$I$56,6,FALSE)&gt;=VLOOKUP(59,main!$A$57:$I$61,4,FALSE)+VLOOKUP(VLOOKUP(N$1,main!$A$3:$I$56,7,FALSE),main!$K$10:$Q$14,7,FALSE),1,0)</f>
        <v>0</v>
      </c>
      <c r="O244">
        <f>IF(VLOOKUP(O$1,main!$A$3:$I$56,5,FALSE)-VLOOKUP($A244,main!$A$3:$I$56,6,FALSE)&gt;=VLOOKUP(59,main!$A$57:$I$61,4,FALSE)+VLOOKUP(VLOOKUP(O$1,main!$A$3:$I$56,7,FALSE),main!$K$10:$Q$14,7,FALSE),1,0)</f>
        <v>1</v>
      </c>
      <c r="P244">
        <f>IF(VLOOKUP(P$1,main!$A$3:$I$56,5,FALSE)-VLOOKUP($A244,main!$A$3:$I$56,6,FALSE)&gt;=VLOOKUP(59,main!$A$57:$I$61,4,FALSE)+VLOOKUP(VLOOKUP(P$1,main!$A$3:$I$56,7,FALSE),main!$K$10:$Q$14,7,FALSE),1,0)</f>
        <v>0</v>
      </c>
      <c r="Q244">
        <f>IF(VLOOKUP(Q$1,main!$A$3:$I$56,5,FALSE)-VLOOKUP($A244,main!$A$3:$I$56,6,FALSE)&gt;=VLOOKUP(59,main!$A$57:$I$61,4,FALSE)+VLOOKUP(VLOOKUP(Q$1,main!$A$3:$I$56,7,FALSE),main!$K$10:$Q$14,7,FALSE),1,0)</f>
        <v>0</v>
      </c>
      <c r="R244">
        <f>IF(VLOOKUP(R$1,main!$A$3:$I$56,5,FALSE)-VLOOKUP($A244,main!$A$3:$I$56,6,FALSE)&gt;=VLOOKUP(59,main!$A$57:$I$61,4,FALSE)+VLOOKUP(VLOOKUP(R$1,main!$A$3:$I$56,7,FALSE),main!$K$10:$Q$14,7,FALSE),1,0)</f>
        <v>0</v>
      </c>
      <c r="S244">
        <f>IF(VLOOKUP(S$1,main!$A$3:$I$56,5,FALSE)-VLOOKUP($A244,main!$A$3:$I$56,6,FALSE)&gt;=VLOOKUP(59,main!$A$57:$I$61,4,FALSE)+VLOOKUP(VLOOKUP(S$1,main!$A$3:$I$56,7,FALSE),main!$K$10:$Q$14,7,FALSE),1,0)</f>
        <v>0</v>
      </c>
      <c r="T244">
        <f>IF(VLOOKUP(T$1,main!$A$3:$I$56,5,FALSE)-VLOOKUP($A244,main!$A$3:$I$56,6,FALSE)&gt;=VLOOKUP(59,main!$A$57:$I$61,4,FALSE)+VLOOKUP(VLOOKUP(T$1,main!$A$3:$I$56,7,FALSE),main!$K$10:$Q$14,7,FALSE),1,0)</f>
        <v>0</v>
      </c>
      <c r="U244">
        <f>IF(VLOOKUP(U$1,main!$A$3:$I$56,5,FALSE)-VLOOKUP($A244,main!$A$3:$I$56,6,FALSE)&gt;=VLOOKUP(59,main!$A$57:$I$61,4,FALSE)+VLOOKUP(VLOOKUP(U$1,main!$A$3:$I$56,7,FALSE),main!$K$10:$Q$14,7,FALSE),1,0)</f>
        <v>0</v>
      </c>
      <c r="V244">
        <f>IF(VLOOKUP(V$1,main!$A$3:$I$56,5,FALSE)-VLOOKUP($A244,main!$A$3:$I$56,6,FALSE)&gt;=VLOOKUP(59,main!$A$57:$I$61,4,FALSE)+VLOOKUP(VLOOKUP(V$1,main!$A$3:$I$56,7,FALSE),main!$K$10:$Q$14,7,FALSE),1,0)</f>
        <v>0</v>
      </c>
      <c r="W244">
        <f>IF(VLOOKUP(W$1,main!$A$3:$I$56,5,FALSE)-VLOOKUP($A244,main!$A$3:$I$56,6,FALSE)&gt;=VLOOKUP(59,main!$A$57:$I$61,4,FALSE)+VLOOKUP(VLOOKUP(W$1,main!$A$3:$I$56,7,FALSE),main!$K$10:$Q$14,7,FALSE),1,0)</f>
        <v>0</v>
      </c>
      <c r="X244">
        <f>IF(VLOOKUP(X$1,main!$A$3:$I$56,5,FALSE)-VLOOKUP($A244,main!$A$3:$I$56,6,FALSE)&gt;=VLOOKUP(59,main!$A$57:$I$61,4,FALSE)+VLOOKUP(VLOOKUP(X$1,main!$A$3:$I$56,7,FALSE),main!$K$10:$Q$14,7,FALSE),1,0)</f>
        <v>0</v>
      </c>
      <c r="Y244">
        <f>IF(VLOOKUP(Y$1,main!$A$3:$I$56,5,FALSE)-VLOOKUP($A244,main!$A$3:$I$56,6,FALSE)&gt;=VLOOKUP(59,main!$A$57:$I$61,4,FALSE)+VLOOKUP(VLOOKUP(Y$1,main!$A$3:$I$56,7,FALSE),main!$K$10:$Q$14,7,FALSE),1,0)</f>
        <v>0</v>
      </c>
      <c r="Z244">
        <f>IF(VLOOKUP(Z$1,main!$A$3:$I$56,5,FALSE)-VLOOKUP($A244,main!$A$3:$I$56,6,FALSE)&gt;=VLOOKUP(59,main!$A$57:$I$61,4,FALSE)+VLOOKUP(VLOOKUP(Z$1,main!$A$3:$I$56,7,FALSE),main!$K$10:$Q$14,7,FALSE),1,0)</f>
        <v>0</v>
      </c>
      <c r="AA244">
        <f>IF(VLOOKUP(AA$1,main!$A$3:$I$56,5,FALSE)-VLOOKUP($A244,main!$A$3:$I$56,6,FALSE)&gt;=VLOOKUP(59,main!$A$57:$I$61,4,FALSE)+VLOOKUP(VLOOKUP(AA$1,main!$A$3:$I$56,7,FALSE),main!$K$10:$Q$14,7,FALSE),1,0)</f>
        <v>0</v>
      </c>
      <c r="AB244">
        <f>IF(VLOOKUP(AB$1,main!$A$3:$I$56,5,FALSE)-VLOOKUP($A244,main!$A$3:$I$56,6,FALSE)&gt;=VLOOKUP(59,main!$A$57:$I$61,4,FALSE)+VLOOKUP(VLOOKUP(AB$1,main!$A$3:$I$56,7,FALSE),main!$K$10:$Q$14,7,FALSE),1,0)</f>
        <v>0</v>
      </c>
      <c r="AC244">
        <f>IF(VLOOKUP(AC$1,main!$A$3:$I$56,5,FALSE)-VLOOKUP($A244,main!$A$3:$I$56,6,FALSE)&gt;=VLOOKUP(59,main!$A$57:$I$61,4,FALSE)+VLOOKUP(VLOOKUP(AC$1,main!$A$3:$I$56,7,FALSE),main!$K$10:$Q$14,7,FALSE),1,0)</f>
        <v>0</v>
      </c>
      <c r="AD244">
        <f>IF(VLOOKUP(AD$1,main!$A$3:$I$56,5,FALSE)-VLOOKUP($A244,main!$A$3:$I$56,6,FALSE)&gt;=VLOOKUP(59,main!$A$57:$I$61,4,FALSE)+VLOOKUP(VLOOKUP(AD$1,main!$A$3:$I$56,7,FALSE),main!$K$10:$Q$14,7,FALSE),1,0)</f>
        <v>0</v>
      </c>
      <c r="AE244">
        <f>IF(VLOOKUP(AE$1,main!$A$3:$I$56,5,FALSE)-VLOOKUP($A244,main!$A$3:$I$56,6,FALSE)&gt;=VLOOKUP(59,main!$A$57:$I$61,4,FALSE)+VLOOKUP(VLOOKUP(AE$1,main!$A$3:$I$56,7,FALSE),main!$K$10:$Q$14,7,FALSE),1,0)</f>
        <v>0</v>
      </c>
      <c r="AF244">
        <f>IF(VLOOKUP(AF$1,main!$A$3:$I$56,5,FALSE)-VLOOKUP($A244,main!$A$3:$I$56,6,FALSE)&gt;=VLOOKUP(59,main!$A$57:$I$61,4,FALSE)+VLOOKUP(VLOOKUP(AF$1,main!$A$3:$I$56,7,FALSE),main!$K$10:$Q$14,7,FALSE),1,0)</f>
        <v>0</v>
      </c>
      <c r="AG244">
        <f>IF(VLOOKUP(AG$1,main!$A$3:$I$56,5,FALSE)-VLOOKUP($A244,main!$A$3:$I$56,6,FALSE)&gt;=VLOOKUP(59,main!$A$57:$I$61,4,FALSE)+VLOOKUP(VLOOKUP(AG$1,main!$A$3:$I$56,7,FALSE),main!$K$10:$Q$14,7,FALSE),1,0)</f>
        <v>0</v>
      </c>
      <c r="AH244">
        <f>IF(VLOOKUP(AH$1,main!$A$3:$I$56,5,FALSE)-VLOOKUP($A244,main!$A$3:$I$56,6,FALSE)&gt;=VLOOKUP(59,main!$A$57:$I$61,4,FALSE)+VLOOKUP(VLOOKUP(AH$1,main!$A$3:$I$56,7,FALSE),main!$K$10:$Q$14,7,FALSE),1,0)</f>
        <v>0</v>
      </c>
      <c r="AI244">
        <f>IF(VLOOKUP(AI$1,main!$A$3:$I$56,5,FALSE)-VLOOKUP($A244,main!$A$3:$I$56,6,FALSE)&gt;=VLOOKUP(59,main!$A$57:$I$61,4,FALSE)+VLOOKUP(VLOOKUP(AI$1,main!$A$3:$I$56,7,FALSE),main!$K$10:$Q$14,7,FALSE),1,0)</f>
        <v>0</v>
      </c>
      <c r="AJ244">
        <f>IF(VLOOKUP(AJ$1,main!$A$3:$I$56,5,FALSE)-VLOOKUP($A244,main!$A$3:$I$56,6,FALSE)&gt;=VLOOKUP(59,main!$A$57:$I$61,4,FALSE)+VLOOKUP(VLOOKUP(AJ$1,main!$A$3:$I$56,7,FALSE),main!$K$10:$Q$14,7,FALSE),1,0)</f>
        <v>0</v>
      </c>
      <c r="AK244">
        <f>IF(VLOOKUP(AK$1,main!$A$3:$I$56,5,FALSE)-VLOOKUP($A244,main!$A$3:$I$56,6,FALSE)&gt;=VLOOKUP(59,main!$A$57:$I$61,4,FALSE)+VLOOKUP(VLOOKUP(AK$1,main!$A$3:$I$56,7,FALSE),main!$K$10:$Q$14,7,FALSE),1,0)</f>
        <v>0</v>
      </c>
      <c r="AL244">
        <f>IF(VLOOKUP(AL$1,main!$A$3:$I$56,5,FALSE)-VLOOKUP($A244,main!$A$3:$I$56,6,FALSE)&gt;=VLOOKUP(59,main!$A$57:$I$61,4,FALSE)+VLOOKUP(VLOOKUP(AL$1,main!$A$3:$I$56,7,FALSE),main!$K$10:$Q$14,7,FALSE),1,0)</f>
        <v>0</v>
      </c>
      <c r="AM244">
        <f>IF(VLOOKUP(AM$1,main!$A$3:$I$56,5,FALSE)-VLOOKUP($A244,main!$A$3:$I$56,6,FALSE)&gt;=VLOOKUP(59,main!$A$57:$I$61,4,FALSE)+VLOOKUP(VLOOKUP(AM$1,main!$A$3:$I$56,7,FALSE),main!$K$10:$Q$14,7,FALSE),1,0)</f>
        <v>0</v>
      </c>
      <c r="AN244">
        <f>IF(VLOOKUP(AN$1,main!$A$3:$I$56,5,FALSE)-VLOOKUP($A244,main!$A$3:$I$56,6,FALSE)&gt;=VLOOKUP(59,main!$A$57:$I$61,4,FALSE)+VLOOKUP(VLOOKUP(AN$1,main!$A$3:$I$56,7,FALSE),main!$K$10:$Q$14,7,FALSE),1,0)</f>
        <v>0</v>
      </c>
      <c r="AO244">
        <f>IF(VLOOKUP(AO$1,main!$A$3:$I$56,5,FALSE)-VLOOKUP($A244,main!$A$3:$I$56,6,FALSE)&gt;=VLOOKUP(59,main!$A$57:$I$61,4,FALSE)+VLOOKUP(VLOOKUP(AO$1,main!$A$3:$I$56,7,FALSE),main!$K$10:$Q$14,7,FALSE),1,0)</f>
        <v>0</v>
      </c>
      <c r="AP244">
        <f>IF(VLOOKUP(AP$1,main!$A$3:$I$56,5,FALSE)-VLOOKUP($A244,main!$A$3:$I$56,6,FALSE)&gt;=VLOOKUP(59,main!$A$57:$I$61,4,FALSE)+VLOOKUP(VLOOKUP(AP$1,main!$A$3:$I$56,7,FALSE),main!$K$10:$Q$14,7,FALSE),1,0)</f>
        <v>0</v>
      </c>
      <c r="AQ244">
        <f>IF(VLOOKUP(AQ$1,main!$A$3:$I$56,5,FALSE)-VLOOKUP($A244,main!$A$3:$I$56,6,FALSE)&gt;=VLOOKUP(59,main!$A$57:$I$61,4,FALSE)+VLOOKUP(VLOOKUP(AQ$1,main!$A$3:$I$56,7,FALSE),main!$K$10:$Q$14,7,FALSE),1,0)</f>
        <v>0</v>
      </c>
      <c r="AR244">
        <f>IF(VLOOKUP(AR$1,main!$A$3:$I$56,5,FALSE)-VLOOKUP($A244,main!$A$3:$I$56,6,FALSE)&gt;=VLOOKUP(59,main!$A$57:$I$61,4,FALSE)+VLOOKUP(VLOOKUP(AR$1,main!$A$3:$I$56,7,FALSE),main!$K$10:$Q$14,7,FALSE),1,0)</f>
        <v>0</v>
      </c>
      <c r="AS244">
        <f>IF(VLOOKUP(AS$1,main!$A$3:$I$56,5,FALSE)-VLOOKUP($A244,main!$A$3:$I$56,6,FALSE)&gt;=VLOOKUP(59,main!$A$57:$I$61,4,FALSE)+VLOOKUP(VLOOKUP(AS$1,main!$A$3:$I$56,7,FALSE),main!$K$10:$Q$14,7,FALSE),1,0)</f>
        <v>0</v>
      </c>
      <c r="AT244">
        <f>IF(VLOOKUP(AT$1,main!$A$3:$I$56,5,FALSE)-VLOOKUP($A244,main!$A$3:$I$56,6,FALSE)&gt;=VLOOKUP(59,main!$A$57:$I$61,4,FALSE)+VLOOKUP(VLOOKUP(AT$1,main!$A$3:$I$56,7,FALSE),main!$K$10:$Q$14,7,FALSE),1,0)</f>
        <v>0</v>
      </c>
      <c r="AU244">
        <f>IF(VLOOKUP(AU$1,main!$A$3:$I$56,5,FALSE)-VLOOKUP($A244,main!$A$3:$I$56,6,FALSE)&gt;=VLOOKUP(59,main!$A$57:$I$61,4,FALSE)+VLOOKUP(VLOOKUP(AU$1,main!$A$3:$I$56,7,FALSE),main!$K$10:$Q$14,7,FALSE),1,0)</f>
        <v>0</v>
      </c>
      <c r="AV244">
        <f>IF(VLOOKUP(AV$1,main!$A$3:$I$56,5,FALSE)-VLOOKUP($A244,main!$A$3:$I$56,6,FALSE)&gt;=VLOOKUP(59,main!$A$57:$I$61,4,FALSE)+VLOOKUP(VLOOKUP(AV$1,main!$A$3:$I$56,7,FALSE),main!$K$10:$Q$14,7,FALSE),1,0)</f>
        <v>0</v>
      </c>
      <c r="AW244">
        <f>IF(VLOOKUP(AW$1,main!$A$3:$I$56,5,FALSE)-VLOOKUP($A244,main!$A$3:$I$56,6,FALSE)&gt;=VLOOKUP(59,main!$A$57:$I$61,4,FALSE)+VLOOKUP(VLOOKUP(AW$1,main!$A$3:$I$56,7,FALSE),main!$K$10:$Q$14,7,FALSE),1,0)</f>
        <v>0</v>
      </c>
      <c r="AX244">
        <f>IF(VLOOKUP(AX$1,main!$A$3:$I$56,5,FALSE)-VLOOKUP($A244,main!$A$3:$I$56,6,FALSE)&gt;=VLOOKUP(59,main!$A$57:$I$61,4,FALSE)+VLOOKUP(VLOOKUP(AX$1,main!$A$3:$I$56,7,FALSE),main!$K$10:$Q$14,7,FALSE),1,0)</f>
        <v>0</v>
      </c>
      <c r="AY244">
        <f>IF(VLOOKUP(AY$1,main!$A$3:$I$56,5,FALSE)-VLOOKUP($A244,main!$A$3:$I$56,6,FALSE)&gt;=VLOOKUP(59,main!$A$57:$I$61,4,FALSE)+VLOOKUP(VLOOKUP(AY$1,main!$A$3:$I$56,7,FALSE),main!$K$10:$Q$14,7,FALSE),1,0)</f>
        <v>1</v>
      </c>
      <c r="AZ244">
        <f>IF(VLOOKUP(AZ$1,main!$A$3:$I$56,5,FALSE)-VLOOKUP($A244,main!$A$3:$I$56,6,FALSE)&gt;=VLOOKUP(59,main!$A$57:$I$61,4,FALSE)+VLOOKUP(VLOOKUP(AZ$1,main!$A$3:$I$56,7,FALSE),main!$K$10:$Q$14,7,FALSE),1,0)</f>
        <v>0</v>
      </c>
      <c r="BA244">
        <f>IF(VLOOKUP(BA$1,main!$A$3:$I$56,5,FALSE)-VLOOKUP($A244,main!$A$3:$I$56,6,FALSE)&gt;=VLOOKUP(59,main!$A$57:$I$61,4,FALSE)+VLOOKUP(VLOOKUP(BA$1,main!$A$3:$I$56,7,FALSE),main!$K$10:$Q$14,7,FALSE),1,0)</f>
        <v>0</v>
      </c>
      <c r="BB244">
        <f>IF(VLOOKUP(BB$1,main!$A$3:$I$56,5,FALSE)-VLOOKUP($A244,main!$A$3:$I$56,6,FALSE)&gt;=VLOOKUP(59,main!$A$57:$I$61,4,FALSE)+VLOOKUP(VLOOKUP(BB$1,main!$A$3:$I$56,7,FALSE),main!$K$10:$Q$14,7,FALSE),1,0)</f>
        <v>0</v>
      </c>
      <c r="BC244">
        <f>IF(VLOOKUP(BC$1,main!$A$3:$I$56,5,FALSE)-VLOOKUP($A244,main!$A$3:$I$56,6,FALSE)&gt;=VLOOKUP(59,main!$A$57:$I$61,4,FALSE)+VLOOKUP(VLOOKUP(BC$1,main!$A$3:$I$56,7,FALSE),main!$K$10:$Q$14,7,FALSE),1,0)</f>
        <v>0</v>
      </c>
      <c r="BD244">
        <f>IF(VLOOKUP(BD$1,main!$A$3:$I$56,5,FALSE)-VLOOKUP($A244,main!$A$3:$I$56,6,FALSE)&gt;=VLOOKUP(59,main!$A$57:$I$61,4,FALSE)+VLOOKUP(VLOOKUP(BD$1,main!$A$3:$I$56,7,FALSE),main!$K$10:$Q$14,7,FALSE),1,0)</f>
        <v>0</v>
      </c>
    </row>
    <row r="245" spans="1:56" x14ac:dyDescent="0.25">
      <c r="A245">
        <f t="shared" si="4"/>
        <v>23</v>
      </c>
      <c r="B245">
        <v>0</v>
      </c>
      <c r="C245">
        <f>IF(VLOOKUP(C$1,main!$A$3:$I$56,5,FALSE)-VLOOKUP($A245,main!$A$3:$I$56,6,FALSE)&gt;=VLOOKUP(59,main!$A$57:$I$61,4,FALSE)+VLOOKUP(VLOOKUP(C$1,main!$A$3:$I$56,7,FALSE),main!$K$10:$Q$14,7,FALSE),1,0)</f>
        <v>0</v>
      </c>
      <c r="D245">
        <f>IF(VLOOKUP(D$1,main!$A$3:$I$56,5,FALSE)-VLOOKUP($A245,main!$A$3:$I$56,6,FALSE)&gt;=VLOOKUP(59,main!$A$57:$I$61,4,FALSE)+VLOOKUP(VLOOKUP(D$1,main!$A$3:$I$56,7,FALSE),main!$K$10:$Q$14,7,FALSE),1,0)</f>
        <v>0</v>
      </c>
      <c r="E245">
        <f>IF(VLOOKUP(E$1,main!$A$3:$I$56,5,FALSE)-VLOOKUP($A245,main!$A$3:$I$56,6,FALSE)&gt;=VLOOKUP(59,main!$A$57:$I$61,4,FALSE)+VLOOKUP(VLOOKUP(E$1,main!$A$3:$I$56,7,FALSE),main!$K$10:$Q$14,7,FALSE),1,0)</f>
        <v>0</v>
      </c>
      <c r="F245">
        <f>IF(VLOOKUP(F$1,main!$A$3:$I$56,5,FALSE)-VLOOKUP($A245,main!$A$3:$I$56,6,FALSE)&gt;=VLOOKUP(59,main!$A$57:$I$61,4,FALSE)+VLOOKUP(VLOOKUP(F$1,main!$A$3:$I$56,7,FALSE),main!$K$10:$Q$14,7,FALSE),1,0)</f>
        <v>0</v>
      </c>
      <c r="G245">
        <f>IF(VLOOKUP(G$1,main!$A$3:$I$56,5,FALSE)-VLOOKUP($A245,main!$A$3:$I$56,6,FALSE)&gt;=VLOOKUP(59,main!$A$57:$I$61,4,FALSE)+VLOOKUP(VLOOKUP(G$1,main!$A$3:$I$56,7,FALSE),main!$K$10:$Q$14,7,FALSE),1,0)</f>
        <v>0</v>
      </c>
      <c r="H245">
        <f>IF(VLOOKUP(H$1,main!$A$3:$I$56,5,FALSE)-VLOOKUP($A245,main!$A$3:$I$56,6,FALSE)&gt;=VLOOKUP(59,main!$A$57:$I$61,4,FALSE)+VLOOKUP(VLOOKUP(H$1,main!$A$3:$I$56,7,FALSE),main!$K$10:$Q$14,7,FALSE),1,0)</f>
        <v>0</v>
      </c>
      <c r="I245">
        <f>IF(VLOOKUP(I$1,main!$A$3:$I$56,5,FALSE)-VLOOKUP($A245,main!$A$3:$I$56,6,FALSE)&gt;=VLOOKUP(59,main!$A$57:$I$61,4,FALSE)+VLOOKUP(VLOOKUP(I$1,main!$A$3:$I$56,7,FALSE),main!$K$10:$Q$14,7,FALSE),1,0)</f>
        <v>0</v>
      </c>
      <c r="J245">
        <f>IF(VLOOKUP(J$1,main!$A$3:$I$56,5,FALSE)-VLOOKUP($A245,main!$A$3:$I$56,6,FALSE)&gt;=VLOOKUP(59,main!$A$57:$I$61,4,FALSE)+VLOOKUP(VLOOKUP(J$1,main!$A$3:$I$56,7,FALSE),main!$K$10:$Q$14,7,FALSE),1,0)</f>
        <v>0</v>
      </c>
      <c r="K245">
        <f>IF(VLOOKUP(K$1,main!$A$3:$I$56,5,FALSE)-VLOOKUP($A245,main!$A$3:$I$56,6,FALSE)&gt;=VLOOKUP(59,main!$A$57:$I$61,4,FALSE)+VLOOKUP(VLOOKUP(K$1,main!$A$3:$I$56,7,FALSE),main!$K$10:$Q$14,7,FALSE),1,0)</f>
        <v>0</v>
      </c>
      <c r="L245">
        <f>IF(VLOOKUP(L$1,main!$A$3:$I$56,5,FALSE)-VLOOKUP($A245,main!$A$3:$I$56,6,FALSE)&gt;=VLOOKUP(59,main!$A$57:$I$61,4,FALSE)+VLOOKUP(VLOOKUP(L$1,main!$A$3:$I$56,7,FALSE),main!$K$10:$Q$14,7,FALSE),1,0)</f>
        <v>0</v>
      </c>
      <c r="M245">
        <f>IF(VLOOKUP(M$1,main!$A$3:$I$56,5,FALSE)-VLOOKUP($A245,main!$A$3:$I$56,6,FALSE)&gt;=VLOOKUP(59,main!$A$57:$I$61,4,FALSE)+VLOOKUP(VLOOKUP(M$1,main!$A$3:$I$56,7,FALSE),main!$K$10:$Q$14,7,FALSE),1,0)</f>
        <v>0</v>
      </c>
      <c r="N245">
        <f>IF(VLOOKUP(N$1,main!$A$3:$I$56,5,FALSE)-VLOOKUP($A245,main!$A$3:$I$56,6,FALSE)&gt;=VLOOKUP(59,main!$A$57:$I$61,4,FALSE)+VLOOKUP(VLOOKUP(N$1,main!$A$3:$I$56,7,FALSE),main!$K$10:$Q$14,7,FALSE),1,0)</f>
        <v>0</v>
      </c>
      <c r="O245">
        <f>IF(VLOOKUP(O$1,main!$A$3:$I$56,5,FALSE)-VLOOKUP($A245,main!$A$3:$I$56,6,FALSE)&gt;=VLOOKUP(59,main!$A$57:$I$61,4,FALSE)+VLOOKUP(VLOOKUP(O$1,main!$A$3:$I$56,7,FALSE),main!$K$10:$Q$14,7,FALSE),1,0)</f>
        <v>0</v>
      </c>
      <c r="P245">
        <f>IF(VLOOKUP(P$1,main!$A$3:$I$56,5,FALSE)-VLOOKUP($A245,main!$A$3:$I$56,6,FALSE)&gt;=VLOOKUP(59,main!$A$57:$I$61,4,FALSE)+VLOOKUP(VLOOKUP(P$1,main!$A$3:$I$56,7,FALSE),main!$K$10:$Q$14,7,FALSE),1,0)</f>
        <v>0</v>
      </c>
      <c r="Q245">
        <f>IF(VLOOKUP(Q$1,main!$A$3:$I$56,5,FALSE)-VLOOKUP($A245,main!$A$3:$I$56,6,FALSE)&gt;=VLOOKUP(59,main!$A$57:$I$61,4,FALSE)+VLOOKUP(VLOOKUP(Q$1,main!$A$3:$I$56,7,FALSE),main!$K$10:$Q$14,7,FALSE),1,0)</f>
        <v>0</v>
      </c>
      <c r="R245">
        <f>IF(VLOOKUP(R$1,main!$A$3:$I$56,5,FALSE)-VLOOKUP($A245,main!$A$3:$I$56,6,FALSE)&gt;=VLOOKUP(59,main!$A$57:$I$61,4,FALSE)+VLOOKUP(VLOOKUP(R$1,main!$A$3:$I$56,7,FALSE),main!$K$10:$Q$14,7,FALSE),1,0)</f>
        <v>0</v>
      </c>
      <c r="S245">
        <f>IF(VLOOKUP(S$1,main!$A$3:$I$56,5,FALSE)-VLOOKUP($A245,main!$A$3:$I$56,6,FALSE)&gt;=VLOOKUP(59,main!$A$57:$I$61,4,FALSE)+VLOOKUP(VLOOKUP(S$1,main!$A$3:$I$56,7,FALSE),main!$K$10:$Q$14,7,FALSE),1,0)</f>
        <v>0</v>
      </c>
      <c r="T245">
        <f>IF(VLOOKUP(T$1,main!$A$3:$I$56,5,FALSE)-VLOOKUP($A245,main!$A$3:$I$56,6,FALSE)&gt;=VLOOKUP(59,main!$A$57:$I$61,4,FALSE)+VLOOKUP(VLOOKUP(T$1,main!$A$3:$I$56,7,FALSE),main!$K$10:$Q$14,7,FALSE),1,0)</f>
        <v>0</v>
      </c>
      <c r="U245">
        <f>IF(VLOOKUP(U$1,main!$A$3:$I$56,5,FALSE)-VLOOKUP($A245,main!$A$3:$I$56,6,FALSE)&gt;=VLOOKUP(59,main!$A$57:$I$61,4,FALSE)+VLOOKUP(VLOOKUP(U$1,main!$A$3:$I$56,7,FALSE),main!$K$10:$Q$14,7,FALSE),1,0)</f>
        <v>0</v>
      </c>
      <c r="V245">
        <f>IF(VLOOKUP(V$1,main!$A$3:$I$56,5,FALSE)-VLOOKUP($A245,main!$A$3:$I$56,6,FALSE)&gt;=VLOOKUP(59,main!$A$57:$I$61,4,FALSE)+VLOOKUP(VLOOKUP(V$1,main!$A$3:$I$56,7,FALSE),main!$K$10:$Q$14,7,FALSE),1,0)</f>
        <v>0</v>
      </c>
      <c r="W245">
        <f>IF(VLOOKUP(W$1,main!$A$3:$I$56,5,FALSE)-VLOOKUP($A245,main!$A$3:$I$56,6,FALSE)&gt;=VLOOKUP(59,main!$A$57:$I$61,4,FALSE)+VLOOKUP(VLOOKUP(W$1,main!$A$3:$I$56,7,FALSE),main!$K$10:$Q$14,7,FALSE),1,0)</f>
        <v>0</v>
      </c>
      <c r="X245">
        <f>IF(VLOOKUP(X$1,main!$A$3:$I$56,5,FALSE)-VLOOKUP($A245,main!$A$3:$I$56,6,FALSE)&gt;=VLOOKUP(59,main!$A$57:$I$61,4,FALSE)+VLOOKUP(VLOOKUP(X$1,main!$A$3:$I$56,7,FALSE),main!$K$10:$Q$14,7,FALSE),1,0)</f>
        <v>0</v>
      </c>
      <c r="Y245">
        <f>IF(VLOOKUP(Y$1,main!$A$3:$I$56,5,FALSE)-VLOOKUP($A245,main!$A$3:$I$56,6,FALSE)&gt;=VLOOKUP(59,main!$A$57:$I$61,4,FALSE)+VLOOKUP(VLOOKUP(Y$1,main!$A$3:$I$56,7,FALSE),main!$K$10:$Q$14,7,FALSE),1,0)</f>
        <v>0</v>
      </c>
      <c r="Z245">
        <f>IF(VLOOKUP(Z$1,main!$A$3:$I$56,5,FALSE)-VLOOKUP($A245,main!$A$3:$I$56,6,FALSE)&gt;=VLOOKUP(59,main!$A$57:$I$61,4,FALSE)+VLOOKUP(VLOOKUP(Z$1,main!$A$3:$I$56,7,FALSE),main!$K$10:$Q$14,7,FALSE),1,0)</f>
        <v>0</v>
      </c>
      <c r="AA245">
        <f>IF(VLOOKUP(AA$1,main!$A$3:$I$56,5,FALSE)-VLOOKUP($A245,main!$A$3:$I$56,6,FALSE)&gt;=VLOOKUP(59,main!$A$57:$I$61,4,FALSE)+VLOOKUP(VLOOKUP(AA$1,main!$A$3:$I$56,7,FALSE),main!$K$10:$Q$14,7,FALSE),1,0)</f>
        <v>0</v>
      </c>
      <c r="AB245">
        <f>IF(VLOOKUP(AB$1,main!$A$3:$I$56,5,FALSE)-VLOOKUP($A245,main!$A$3:$I$56,6,FALSE)&gt;=VLOOKUP(59,main!$A$57:$I$61,4,FALSE)+VLOOKUP(VLOOKUP(AB$1,main!$A$3:$I$56,7,FALSE),main!$K$10:$Q$14,7,FALSE),1,0)</f>
        <v>0</v>
      </c>
      <c r="AC245">
        <f>IF(VLOOKUP(AC$1,main!$A$3:$I$56,5,FALSE)-VLOOKUP($A245,main!$A$3:$I$56,6,FALSE)&gt;=VLOOKUP(59,main!$A$57:$I$61,4,FALSE)+VLOOKUP(VLOOKUP(AC$1,main!$A$3:$I$56,7,FALSE),main!$K$10:$Q$14,7,FALSE),1,0)</f>
        <v>0</v>
      </c>
      <c r="AD245">
        <f>IF(VLOOKUP(AD$1,main!$A$3:$I$56,5,FALSE)-VLOOKUP($A245,main!$A$3:$I$56,6,FALSE)&gt;=VLOOKUP(59,main!$A$57:$I$61,4,FALSE)+VLOOKUP(VLOOKUP(AD$1,main!$A$3:$I$56,7,FALSE),main!$K$10:$Q$14,7,FALSE),1,0)</f>
        <v>0</v>
      </c>
      <c r="AE245">
        <f>IF(VLOOKUP(AE$1,main!$A$3:$I$56,5,FALSE)-VLOOKUP($A245,main!$A$3:$I$56,6,FALSE)&gt;=VLOOKUP(59,main!$A$57:$I$61,4,FALSE)+VLOOKUP(VLOOKUP(AE$1,main!$A$3:$I$56,7,FALSE),main!$K$10:$Q$14,7,FALSE),1,0)</f>
        <v>0</v>
      </c>
      <c r="AF245">
        <f>IF(VLOOKUP(AF$1,main!$A$3:$I$56,5,FALSE)-VLOOKUP($A245,main!$A$3:$I$56,6,FALSE)&gt;=VLOOKUP(59,main!$A$57:$I$61,4,FALSE)+VLOOKUP(VLOOKUP(AF$1,main!$A$3:$I$56,7,FALSE),main!$K$10:$Q$14,7,FALSE),1,0)</f>
        <v>0</v>
      </c>
      <c r="AG245">
        <f>IF(VLOOKUP(AG$1,main!$A$3:$I$56,5,FALSE)-VLOOKUP($A245,main!$A$3:$I$56,6,FALSE)&gt;=VLOOKUP(59,main!$A$57:$I$61,4,FALSE)+VLOOKUP(VLOOKUP(AG$1,main!$A$3:$I$56,7,FALSE),main!$K$10:$Q$14,7,FALSE),1,0)</f>
        <v>0</v>
      </c>
      <c r="AH245">
        <f>IF(VLOOKUP(AH$1,main!$A$3:$I$56,5,FALSE)-VLOOKUP($A245,main!$A$3:$I$56,6,FALSE)&gt;=VLOOKUP(59,main!$A$57:$I$61,4,FALSE)+VLOOKUP(VLOOKUP(AH$1,main!$A$3:$I$56,7,FALSE),main!$K$10:$Q$14,7,FALSE),1,0)</f>
        <v>0</v>
      </c>
      <c r="AI245">
        <f>IF(VLOOKUP(AI$1,main!$A$3:$I$56,5,FALSE)-VLOOKUP($A245,main!$A$3:$I$56,6,FALSE)&gt;=VLOOKUP(59,main!$A$57:$I$61,4,FALSE)+VLOOKUP(VLOOKUP(AI$1,main!$A$3:$I$56,7,FALSE),main!$K$10:$Q$14,7,FALSE),1,0)</f>
        <v>0</v>
      </c>
      <c r="AJ245">
        <f>IF(VLOOKUP(AJ$1,main!$A$3:$I$56,5,FALSE)-VLOOKUP($A245,main!$A$3:$I$56,6,FALSE)&gt;=VLOOKUP(59,main!$A$57:$I$61,4,FALSE)+VLOOKUP(VLOOKUP(AJ$1,main!$A$3:$I$56,7,FALSE),main!$K$10:$Q$14,7,FALSE),1,0)</f>
        <v>0</v>
      </c>
      <c r="AK245">
        <f>IF(VLOOKUP(AK$1,main!$A$3:$I$56,5,FALSE)-VLOOKUP($A245,main!$A$3:$I$56,6,FALSE)&gt;=VLOOKUP(59,main!$A$57:$I$61,4,FALSE)+VLOOKUP(VLOOKUP(AK$1,main!$A$3:$I$56,7,FALSE),main!$K$10:$Q$14,7,FALSE),1,0)</f>
        <v>0</v>
      </c>
      <c r="AL245">
        <f>IF(VLOOKUP(AL$1,main!$A$3:$I$56,5,FALSE)-VLOOKUP($A245,main!$A$3:$I$56,6,FALSE)&gt;=VLOOKUP(59,main!$A$57:$I$61,4,FALSE)+VLOOKUP(VLOOKUP(AL$1,main!$A$3:$I$56,7,FALSE),main!$K$10:$Q$14,7,FALSE),1,0)</f>
        <v>0</v>
      </c>
      <c r="AM245">
        <f>IF(VLOOKUP(AM$1,main!$A$3:$I$56,5,FALSE)-VLOOKUP($A245,main!$A$3:$I$56,6,FALSE)&gt;=VLOOKUP(59,main!$A$57:$I$61,4,FALSE)+VLOOKUP(VLOOKUP(AM$1,main!$A$3:$I$56,7,FALSE),main!$K$10:$Q$14,7,FALSE),1,0)</f>
        <v>0</v>
      </c>
      <c r="AN245">
        <f>IF(VLOOKUP(AN$1,main!$A$3:$I$56,5,FALSE)-VLOOKUP($A245,main!$A$3:$I$56,6,FALSE)&gt;=VLOOKUP(59,main!$A$57:$I$61,4,FALSE)+VLOOKUP(VLOOKUP(AN$1,main!$A$3:$I$56,7,FALSE),main!$K$10:$Q$14,7,FALSE),1,0)</f>
        <v>0</v>
      </c>
      <c r="AO245">
        <f>IF(VLOOKUP(AO$1,main!$A$3:$I$56,5,FALSE)-VLOOKUP($A245,main!$A$3:$I$56,6,FALSE)&gt;=VLOOKUP(59,main!$A$57:$I$61,4,FALSE)+VLOOKUP(VLOOKUP(AO$1,main!$A$3:$I$56,7,FALSE),main!$K$10:$Q$14,7,FALSE),1,0)</f>
        <v>0</v>
      </c>
      <c r="AP245">
        <f>IF(VLOOKUP(AP$1,main!$A$3:$I$56,5,FALSE)-VLOOKUP($A245,main!$A$3:$I$56,6,FALSE)&gt;=VLOOKUP(59,main!$A$57:$I$61,4,FALSE)+VLOOKUP(VLOOKUP(AP$1,main!$A$3:$I$56,7,FALSE),main!$K$10:$Q$14,7,FALSE),1,0)</f>
        <v>0</v>
      </c>
      <c r="AQ245">
        <f>IF(VLOOKUP(AQ$1,main!$A$3:$I$56,5,FALSE)-VLOOKUP($A245,main!$A$3:$I$56,6,FALSE)&gt;=VLOOKUP(59,main!$A$57:$I$61,4,FALSE)+VLOOKUP(VLOOKUP(AQ$1,main!$A$3:$I$56,7,FALSE),main!$K$10:$Q$14,7,FALSE),1,0)</f>
        <v>0</v>
      </c>
      <c r="AR245">
        <f>IF(VLOOKUP(AR$1,main!$A$3:$I$56,5,FALSE)-VLOOKUP($A245,main!$A$3:$I$56,6,FALSE)&gt;=VLOOKUP(59,main!$A$57:$I$61,4,FALSE)+VLOOKUP(VLOOKUP(AR$1,main!$A$3:$I$56,7,FALSE),main!$K$10:$Q$14,7,FALSE),1,0)</f>
        <v>0</v>
      </c>
      <c r="AS245">
        <f>IF(VLOOKUP(AS$1,main!$A$3:$I$56,5,FALSE)-VLOOKUP($A245,main!$A$3:$I$56,6,FALSE)&gt;=VLOOKUP(59,main!$A$57:$I$61,4,FALSE)+VLOOKUP(VLOOKUP(AS$1,main!$A$3:$I$56,7,FALSE),main!$K$10:$Q$14,7,FALSE),1,0)</f>
        <v>0</v>
      </c>
      <c r="AT245">
        <f>IF(VLOOKUP(AT$1,main!$A$3:$I$56,5,FALSE)-VLOOKUP($A245,main!$A$3:$I$56,6,FALSE)&gt;=VLOOKUP(59,main!$A$57:$I$61,4,FALSE)+VLOOKUP(VLOOKUP(AT$1,main!$A$3:$I$56,7,FALSE),main!$K$10:$Q$14,7,FALSE),1,0)</f>
        <v>0</v>
      </c>
      <c r="AU245">
        <f>IF(VLOOKUP(AU$1,main!$A$3:$I$56,5,FALSE)-VLOOKUP($A245,main!$A$3:$I$56,6,FALSE)&gt;=VLOOKUP(59,main!$A$57:$I$61,4,FALSE)+VLOOKUP(VLOOKUP(AU$1,main!$A$3:$I$56,7,FALSE),main!$K$10:$Q$14,7,FALSE),1,0)</f>
        <v>0</v>
      </c>
      <c r="AV245">
        <f>IF(VLOOKUP(AV$1,main!$A$3:$I$56,5,FALSE)-VLOOKUP($A245,main!$A$3:$I$56,6,FALSE)&gt;=VLOOKUP(59,main!$A$57:$I$61,4,FALSE)+VLOOKUP(VLOOKUP(AV$1,main!$A$3:$I$56,7,FALSE),main!$K$10:$Q$14,7,FALSE),1,0)</f>
        <v>0</v>
      </c>
      <c r="AW245">
        <f>IF(VLOOKUP(AW$1,main!$A$3:$I$56,5,FALSE)-VLOOKUP($A245,main!$A$3:$I$56,6,FALSE)&gt;=VLOOKUP(59,main!$A$57:$I$61,4,FALSE)+VLOOKUP(VLOOKUP(AW$1,main!$A$3:$I$56,7,FALSE),main!$K$10:$Q$14,7,FALSE),1,0)</f>
        <v>0</v>
      </c>
      <c r="AX245">
        <f>IF(VLOOKUP(AX$1,main!$A$3:$I$56,5,FALSE)-VLOOKUP($A245,main!$A$3:$I$56,6,FALSE)&gt;=VLOOKUP(59,main!$A$57:$I$61,4,FALSE)+VLOOKUP(VLOOKUP(AX$1,main!$A$3:$I$56,7,FALSE),main!$K$10:$Q$14,7,FALSE),1,0)</f>
        <v>0</v>
      </c>
      <c r="AY245">
        <f>IF(VLOOKUP(AY$1,main!$A$3:$I$56,5,FALSE)-VLOOKUP($A245,main!$A$3:$I$56,6,FALSE)&gt;=VLOOKUP(59,main!$A$57:$I$61,4,FALSE)+VLOOKUP(VLOOKUP(AY$1,main!$A$3:$I$56,7,FALSE),main!$K$10:$Q$14,7,FALSE),1,0)</f>
        <v>1</v>
      </c>
      <c r="AZ245">
        <f>IF(VLOOKUP(AZ$1,main!$A$3:$I$56,5,FALSE)-VLOOKUP($A245,main!$A$3:$I$56,6,FALSE)&gt;=VLOOKUP(59,main!$A$57:$I$61,4,FALSE)+VLOOKUP(VLOOKUP(AZ$1,main!$A$3:$I$56,7,FALSE),main!$K$10:$Q$14,7,FALSE),1,0)</f>
        <v>0</v>
      </c>
      <c r="BA245">
        <f>IF(VLOOKUP(BA$1,main!$A$3:$I$56,5,FALSE)-VLOOKUP($A245,main!$A$3:$I$56,6,FALSE)&gt;=VLOOKUP(59,main!$A$57:$I$61,4,FALSE)+VLOOKUP(VLOOKUP(BA$1,main!$A$3:$I$56,7,FALSE),main!$K$10:$Q$14,7,FALSE),1,0)</f>
        <v>0</v>
      </c>
      <c r="BB245">
        <f>IF(VLOOKUP(BB$1,main!$A$3:$I$56,5,FALSE)-VLOOKUP($A245,main!$A$3:$I$56,6,FALSE)&gt;=VLOOKUP(59,main!$A$57:$I$61,4,FALSE)+VLOOKUP(VLOOKUP(BB$1,main!$A$3:$I$56,7,FALSE),main!$K$10:$Q$14,7,FALSE),1,0)</f>
        <v>0</v>
      </c>
      <c r="BC245">
        <f>IF(VLOOKUP(BC$1,main!$A$3:$I$56,5,FALSE)-VLOOKUP($A245,main!$A$3:$I$56,6,FALSE)&gt;=VLOOKUP(59,main!$A$57:$I$61,4,FALSE)+VLOOKUP(VLOOKUP(BC$1,main!$A$3:$I$56,7,FALSE),main!$K$10:$Q$14,7,FALSE),1,0)</f>
        <v>0</v>
      </c>
      <c r="BD245">
        <f>IF(VLOOKUP(BD$1,main!$A$3:$I$56,5,FALSE)-VLOOKUP($A245,main!$A$3:$I$56,6,FALSE)&gt;=VLOOKUP(59,main!$A$57:$I$61,4,FALSE)+VLOOKUP(VLOOKUP(BD$1,main!$A$3:$I$56,7,FALSE),main!$K$10:$Q$14,7,FALSE),1,0)</f>
        <v>0</v>
      </c>
    </row>
    <row r="246" spans="1:56" x14ac:dyDescent="0.25">
      <c r="A246">
        <f t="shared" si="4"/>
        <v>24</v>
      </c>
      <c r="B246">
        <v>0</v>
      </c>
      <c r="C246">
        <f>IF(VLOOKUP(C$1,main!$A$3:$I$56,5,FALSE)-VLOOKUP($A246,main!$A$3:$I$56,6,FALSE)&gt;=VLOOKUP(59,main!$A$57:$I$61,4,FALSE)+VLOOKUP(VLOOKUP(C$1,main!$A$3:$I$56,7,FALSE),main!$K$10:$Q$14,7,FALSE),1,0)</f>
        <v>0</v>
      </c>
      <c r="D246">
        <f>IF(VLOOKUP(D$1,main!$A$3:$I$56,5,FALSE)-VLOOKUP($A246,main!$A$3:$I$56,6,FALSE)&gt;=VLOOKUP(59,main!$A$57:$I$61,4,FALSE)+VLOOKUP(VLOOKUP(D$1,main!$A$3:$I$56,7,FALSE),main!$K$10:$Q$14,7,FALSE),1,0)</f>
        <v>0</v>
      </c>
      <c r="E246">
        <f>IF(VLOOKUP(E$1,main!$A$3:$I$56,5,FALSE)-VLOOKUP($A246,main!$A$3:$I$56,6,FALSE)&gt;=VLOOKUP(59,main!$A$57:$I$61,4,FALSE)+VLOOKUP(VLOOKUP(E$1,main!$A$3:$I$56,7,FALSE),main!$K$10:$Q$14,7,FALSE),1,0)</f>
        <v>0</v>
      </c>
      <c r="F246">
        <f>IF(VLOOKUP(F$1,main!$A$3:$I$56,5,FALSE)-VLOOKUP($A246,main!$A$3:$I$56,6,FALSE)&gt;=VLOOKUP(59,main!$A$57:$I$61,4,FALSE)+VLOOKUP(VLOOKUP(F$1,main!$A$3:$I$56,7,FALSE),main!$K$10:$Q$14,7,FALSE),1,0)</f>
        <v>0</v>
      </c>
      <c r="G246">
        <f>IF(VLOOKUP(G$1,main!$A$3:$I$56,5,FALSE)-VLOOKUP($A246,main!$A$3:$I$56,6,FALSE)&gt;=VLOOKUP(59,main!$A$57:$I$61,4,FALSE)+VLOOKUP(VLOOKUP(G$1,main!$A$3:$I$56,7,FALSE),main!$K$10:$Q$14,7,FALSE),1,0)</f>
        <v>0</v>
      </c>
      <c r="H246">
        <f>IF(VLOOKUP(H$1,main!$A$3:$I$56,5,FALSE)-VLOOKUP($A246,main!$A$3:$I$56,6,FALSE)&gt;=VLOOKUP(59,main!$A$57:$I$61,4,FALSE)+VLOOKUP(VLOOKUP(H$1,main!$A$3:$I$56,7,FALSE),main!$K$10:$Q$14,7,FALSE),1,0)</f>
        <v>0</v>
      </c>
      <c r="I246">
        <f>IF(VLOOKUP(I$1,main!$A$3:$I$56,5,FALSE)-VLOOKUP($A246,main!$A$3:$I$56,6,FALSE)&gt;=VLOOKUP(59,main!$A$57:$I$61,4,FALSE)+VLOOKUP(VLOOKUP(I$1,main!$A$3:$I$56,7,FALSE),main!$K$10:$Q$14,7,FALSE),1,0)</f>
        <v>0</v>
      </c>
      <c r="J246">
        <f>IF(VLOOKUP(J$1,main!$A$3:$I$56,5,FALSE)-VLOOKUP($A246,main!$A$3:$I$56,6,FALSE)&gt;=VLOOKUP(59,main!$A$57:$I$61,4,FALSE)+VLOOKUP(VLOOKUP(J$1,main!$A$3:$I$56,7,FALSE),main!$K$10:$Q$14,7,FALSE),1,0)</f>
        <v>0</v>
      </c>
      <c r="K246">
        <f>IF(VLOOKUP(K$1,main!$A$3:$I$56,5,FALSE)-VLOOKUP($A246,main!$A$3:$I$56,6,FALSE)&gt;=VLOOKUP(59,main!$A$57:$I$61,4,FALSE)+VLOOKUP(VLOOKUP(K$1,main!$A$3:$I$56,7,FALSE),main!$K$10:$Q$14,7,FALSE),1,0)</f>
        <v>0</v>
      </c>
      <c r="L246">
        <f>IF(VLOOKUP(L$1,main!$A$3:$I$56,5,FALSE)-VLOOKUP($A246,main!$A$3:$I$56,6,FALSE)&gt;=VLOOKUP(59,main!$A$57:$I$61,4,FALSE)+VLOOKUP(VLOOKUP(L$1,main!$A$3:$I$56,7,FALSE),main!$K$10:$Q$14,7,FALSE),1,0)</f>
        <v>0</v>
      </c>
      <c r="M246">
        <f>IF(VLOOKUP(M$1,main!$A$3:$I$56,5,FALSE)-VLOOKUP($A246,main!$A$3:$I$56,6,FALSE)&gt;=VLOOKUP(59,main!$A$57:$I$61,4,FALSE)+VLOOKUP(VLOOKUP(M$1,main!$A$3:$I$56,7,FALSE),main!$K$10:$Q$14,7,FALSE),1,0)</f>
        <v>0</v>
      </c>
      <c r="N246">
        <f>IF(VLOOKUP(N$1,main!$A$3:$I$56,5,FALSE)-VLOOKUP($A246,main!$A$3:$I$56,6,FALSE)&gt;=VLOOKUP(59,main!$A$57:$I$61,4,FALSE)+VLOOKUP(VLOOKUP(N$1,main!$A$3:$I$56,7,FALSE),main!$K$10:$Q$14,7,FALSE),1,0)</f>
        <v>0</v>
      </c>
      <c r="O246">
        <f>IF(VLOOKUP(O$1,main!$A$3:$I$56,5,FALSE)-VLOOKUP($A246,main!$A$3:$I$56,6,FALSE)&gt;=VLOOKUP(59,main!$A$57:$I$61,4,FALSE)+VLOOKUP(VLOOKUP(O$1,main!$A$3:$I$56,7,FALSE),main!$K$10:$Q$14,7,FALSE),1,0)</f>
        <v>0</v>
      </c>
      <c r="P246">
        <f>IF(VLOOKUP(P$1,main!$A$3:$I$56,5,FALSE)-VLOOKUP($A246,main!$A$3:$I$56,6,FALSE)&gt;=VLOOKUP(59,main!$A$57:$I$61,4,FALSE)+VLOOKUP(VLOOKUP(P$1,main!$A$3:$I$56,7,FALSE),main!$K$10:$Q$14,7,FALSE),1,0)</f>
        <v>0</v>
      </c>
      <c r="Q246">
        <f>IF(VLOOKUP(Q$1,main!$A$3:$I$56,5,FALSE)-VLOOKUP($A246,main!$A$3:$I$56,6,FALSE)&gt;=VLOOKUP(59,main!$A$57:$I$61,4,FALSE)+VLOOKUP(VLOOKUP(Q$1,main!$A$3:$I$56,7,FALSE),main!$K$10:$Q$14,7,FALSE),1,0)</f>
        <v>0</v>
      </c>
      <c r="R246">
        <f>IF(VLOOKUP(R$1,main!$A$3:$I$56,5,FALSE)-VLOOKUP($A246,main!$A$3:$I$56,6,FALSE)&gt;=VLOOKUP(59,main!$A$57:$I$61,4,FALSE)+VLOOKUP(VLOOKUP(R$1,main!$A$3:$I$56,7,FALSE),main!$K$10:$Q$14,7,FALSE),1,0)</f>
        <v>0</v>
      </c>
      <c r="S246">
        <f>IF(VLOOKUP(S$1,main!$A$3:$I$56,5,FALSE)-VLOOKUP($A246,main!$A$3:$I$56,6,FALSE)&gt;=VLOOKUP(59,main!$A$57:$I$61,4,FALSE)+VLOOKUP(VLOOKUP(S$1,main!$A$3:$I$56,7,FALSE),main!$K$10:$Q$14,7,FALSE),1,0)</f>
        <v>0</v>
      </c>
      <c r="T246">
        <f>IF(VLOOKUP(T$1,main!$A$3:$I$56,5,FALSE)-VLOOKUP($A246,main!$A$3:$I$56,6,FALSE)&gt;=VLOOKUP(59,main!$A$57:$I$61,4,FALSE)+VLOOKUP(VLOOKUP(T$1,main!$A$3:$I$56,7,FALSE),main!$K$10:$Q$14,7,FALSE),1,0)</f>
        <v>0</v>
      </c>
      <c r="U246">
        <f>IF(VLOOKUP(U$1,main!$A$3:$I$56,5,FALSE)-VLOOKUP($A246,main!$A$3:$I$56,6,FALSE)&gt;=VLOOKUP(59,main!$A$57:$I$61,4,FALSE)+VLOOKUP(VLOOKUP(U$1,main!$A$3:$I$56,7,FALSE),main!$K$10:$Q$14,7,FALSE),1,0)</f>
        <v>0</v>
      </c>
      <c r="V246">
        <f>IF(VLOOKUP(V$1,main!$A$3:$I$56,5,FALSE)-VLOOKUP($A246,main!$A$3:$I$56,6,FALSE)&gt;=VLOOKUP(59,main!$A$57:$I$61,4,FALSE)+VLOOKUP(VLOOKUP(V$1,main!$A$3:$I$56,7,FALSE),main!$K$10:$Q$14,7,FALSE),1,0)</f>
        <v>0</v>
      </c>
      <c r="W246">
        <f>IF(VLOOKUP(W$1,main!$A$3:$I$56,5,FALSE)-VLOOKUP($A246,main!$A$3:$I$56,6,FALSE)&gt;=VLOOKUP(59,main!$A$57:$I$61,4,FALSE)+VLOOKUP(VLOOKUP(W$1,main!$A$3:$I$56,7,FALSE),main!$K$10:$Q$14,7,FALSE),1,0)</f>
        <v>0</v>
      </c>
      <c r="X246">
        <f>IF(VLOOKUP(X$1,main!$A$3:$I$56,5,FALSE)-VLOOKUP($A246,main!$A$3:$I$56,6,FALSE)&gt;=VLOOKUP(59,main!$A$57:$I$61,4,FALSE)+VLOOKUP(VLOOKUP(X$1,main!$A$3:$I$56,7,FALSE),main!$K$10:$Q$14,7,FALSE),1,0)</f>
        <v>0</v>
      </c>
      <c r="Y246">
        <f>IF(VLOOKUP(Y$1,main!$A$3:$I$56,5,FALSE)-VLOOKUP($A246,main!$A$3:$I$56,6,FALSE)&gt;=VLOOKUP(59,main!$A$57:$I$61,4,FALSE)+VLOOKUP(VLOOKUP(Y$1,main!$A$3:$I$56,7,FALSE),main!$K$10:$Q$14,7,FALSE),1,0)</f>
        <v>0</v>
      </c>
      <c r="Z246">
        <f>IF(VLOOKUP(Z$1,main!$A$3:$I$56,5,FALSE)-VLOOKUP($A246,main!$A$3:$I$56,6,FALSE)&gt;=VLOOKUP(59,main!$A$57:$I$61,4,FALSE)+VLOOKUP(VLOOKUP(Z$1,main!$A$3:$I$56,7,FALSE),main!$K$10:$Q$14,7,FALSE),1,0)</f>
        <v>0</v>
      </c>
      <c r="AA246">
        <f>IF(VLOOKUP(AA$1,main!$A$3:$I$56,5,FALSE)-VLOOKUP($A246,main!$A$3:$I$56,6,FALSE)&gt;=VLOOKUP(59,main!$A$57:$I$61,4,FALSE)+VLOOKUP(VLOOKUP(AA$1,main!$A$3:$I$56,7,FALSE),main!$K$10:$Q$14,7,FALSE),1,0)</f>
        <v>0</v>
      </c>
      <c r="AB246">
        <f>IF(VLOOKUP(AB$1,main!$A$3:$I$56,5,FALSE)-VLOOKUP($A246,main!$A$3:$I$56,6,FALSE)&gt;=VLOOKUP(59,main!$A$57:$I$61,4,FALSE)+VLOOKUP(VLOOKUP(AB$1,main!$A$3:$I$56,7,FALSE),main!$K$10:$Q$14,7,FALSE),1,0)</f>
        <v>0</v>
      </c>
      <c r="AC246">
        <f>IF(VLOOKUP(AC$1,main!$A$3:$I$56,5,FALSE)-VLOOKUP($A246,main!$A$3:$I$56,6,FALSE)&gt;=VLOOKUP(59,main!$A$57:$I$61,4,FALSE)+VLOOKUP(VLOOKUP(AC$1,main!$A$3:$I$56,7,FALSE),main!$K$10:$Q$14,7,FALSE),1,0)</f>
        <v>0</v>
      </c>
      <c r="AD246">
        <f>IF(VLOOKUP(AD$1,main!$A$3:$I$56,5,FALSE)-VLOOKUP($A246,main!$A$3:$I$56,6,FALSE)&gt;=VLOOKUP(59,main!$A$57:$I$61,4,FALSE)+VLOOKUP(VLOOKUP(AD$1,main!$A$3:$I$56,7,FALSE),main!$K$10:$Q$14,7,FALSE),1,0)</f>
        <v>0</v>
      </c>
      <c r="AE246">
        <f>IF(VLOOKUP(AE$1,main!$A$3:$I$56,5,FALSE)-VLOOKUP($A246,main!$A$3:$I$56,6,FALSE)&gt;=VLOOKUP(59,main!$A$57:$I$61,4,FALSE)+VLOOKUP(VLOOKUP(AE$1,main!$A$3:$I$56,7,FALSE),main!$K$10:$Q$14,7,FALSE),1,0)</f>
        <v>0</v>
      </c>
      <c r="AF246">
        <f>IF(VLOOKUP(AF$1,main!$A$3:$I$56,5,FALSE)-VLOOKUP($A246,main!$A$3:$I$56,6,FALSE)&gt;=VLOOKUP(59,main!$A$57:$I$61,4,FALSE)+VLOOKUP(VLOOKUP(AF$1,main!$A$3:$I$56,7,FALSE),main!$K$10:$Q$14,7,FALSE),1,0)</f>
        <v>0</v>
      </c>
      <c r="AG246">
        <f>IF(VLOOKUP(AG$1,main!$A$3:$I$56,5,FALSE)-VLOOKUP($A246,main!$A$3:$I$56,6,FALSE)&gt;=VLOOKUP(59,main!$A$57:$I$61,4,FALSE)+VLOOKUP(VLOOKUP(AG$1,main!$A$3:$I$56,7,FALSE),main!$K$10:$Q$14,7,FALSE),1,0)</f>
        <v>0</v>
      </c>
      <c r="AH246">
        <f>IF(VLOOKUP(AH$1,main!$A$3:$I$56,5,FALSE)-VLOOKUP($A246,main!$A$3:$I$56,6,FALSE)&gt;=VLOOKUP(59,main!$A$57:$I$61,4,FALSE)+VLOOKUP(VLOOKUP(AH$1,main!$A$3:$I$56,7,FALSE),main!$K$10:$Q$14,7,FALSE),1,0)</f>
        <v>0</v>
      </c>
      <c r="AI246">
        <f>IF(VLOOKUP(AI$1,main!$A$3:$I$56,5,FALSE)-VLOOKUP($A246,main!$A$3:$I$56,6,FALSE)&gt;=VLOOKUP(59,main!$A$57:$I$61,4,FALSE)+VLOOKUP(VLOOKUP(AI$1,main!$A$3:$I$56,7,FALSE),main!$K$10:$Q$14,7,FALSE),1,0)</f>
        <v>0</v>
      </c>
      <c r="AJ246">
        <f>IF(VLOOKUP(AJ$1,main!$A$3:$I$56,5,FALSE)-VLOOKUP($A246,main!$A$3:$I$56,6,FALSE)&gt;=VLOOKUP(59,main!$A$57:$I$61,4,FALSE)+VLOOKUP(VLOOKUP(AJ$1,main!$A$3:$I$56,7,FALSE),main!$K$10:$Q$14,7,FALSE),1,0)</f>
        <v>0</v>
      </c>
      <c r="AK246">
        <f>IF(VLOOKUP(AK$1,main!$A$3:$I$56,5,FALSE)-VLOOKUP($A246,main!$A$3:$I$56,6,FALSE)&gt;=VLOOKUP(59,main!$A$57:$I$61,4,FALSE)+VLOOKUP(VLOOKUP(AK$1,main!$A$3:$I$56,7,FALSE),main!$K$10:$Q$14,7,FALSE),1,0)</f>
        <v>0</v>
      </c>
      <c r="AL246">
        <f>IF(VLOOKUP(AL$1,main!$A$3:$I$56,5,FALSE)-VLOOKUP($A246,main!$A$3:$I$56,6,FALSE)&gt;=VLOOKUP(59,main!$A$57:$I$61,4,FALSE)+VLOOKUP(VLOOKUP(AL$1,main!$A$3:$I$56,7,FALSE),main!$K$10:$Q$14,7,FALSE),1,0)</f>
        <v>0</v>
      </c>
      <c r="AM246">
        <f>IF(VLOOKUP(AM$1,main!$A$3:$I$56,5,FALSE)-VLOOKUP($A246,main!$A$3:$I$56,6,FALSE)&gt;=VLOOKUP(59,main!$A$57:$I$61,4,FALSE)+VLOOKUP(VLOOKUP(AM$1,main!$A$3:$I$56,7,FALSE),main!$K$10:$Q$14,7,FALSE),1,0)</f>
        <v>0</v>
      </c>
      <c r="AN246">
        <f>IF(VLOOKUP(AN$1,main!$A$3:$I$56,5,FALSE)-VLOOKUP($A246,main!$A$3:$I$56,6,FALSE)&gt;=VLOOKUP(59,main!$A$57:$I$61,4,FALSE)+VLOOKUP(VLOOKUP(AN$1,main!$A$3:$I$56,7,FALSE),main!$K$10:$Q$14,7,FALSE),1,0)</f>
        <v>0</v>
      </c>
      <c r="AO246">
        <f>IF(VLOOKUP(AO$1,main!$A$3:$I$56,5,FALSE)-VLOOKUP($A246,main!$A$3:$I$56,6,FALSE)&gt;=VLOOKUP(59,main!$A$57:$I$61,4,FALSE)+VLOOKUP(VLOOKUP(AO$1,main!$A$3:$I$56,7,FALSE),main!$K$10:$Q$14,7,FALSE),1,0)</f>
        <v>0</v>
      </c>
      <c r="AP246">
        <f>IF(VLOOKUP(AP$1,main!$A$3:$I$56,5,FALSE)-VLOOKUP($A246,main!$A$3:$I$56,6,FALSE)&gt;=VLOOKUP(59,main!$A$57:$I$61,4,FALSE)+VLOOKUP(VLOOKUP(AP$1,main!$A$3:$I$56,7,FALSE),main!$K$10:$Q$14,7,FALSE),1,0)</f>
        <v>0</v>
      </c>
      <c r="AQ246">
        <f>IF(VLOOKUP(AQ$1,main!$A$3:$I$56,5,FALSE)-VLOOKUP($A246,main!$A$3:$I$56,6,FALSE)&gt;=VLOOKUP(59,main!$A$57:$I$61,4,FALSE)+VLOOKUP(VLOOKUP(AQ$1,main!$A$3:$I$56,7,FALSE),main!$K$10:$Q$14,7,FALSE),1,0)</f>
        <v>0</v>
      </c>
      <c r="AR246">
        <f>IF(VLOOKUP(AR$1,main!$A$3:$I$56,5,FALSE)-VLOOKUP($A246,main!$A$3:$I$56,6,FALSE)&gt;=VLOOKUP(59,main!$A$57:$I$61,4,FALSE)+VLOOKUP(VLOOKUP(AR$1,main!$A$3:$I$56,7,FALSE),main!$K$10:$Q$14,7,FALSE),1,0)</f>
        <v>0</v>
      </c>
      <c r="AS246">
        <f>IF(VLOOKUP(AS$1,main!$A$3:$I$56,5,FALSE)-VLOOKUP($A246,main!$A$3:$I$56,6,FALSE)&gt;=VLOOKUP(59,main!$A$57:$I$61,4,FALSE)+VLOOKUP(VLOOKUP(AS$1,main!$A$3:$I$56,7,FALSE),main!$K$10:$Q$14,7,FALSE),1,0)</f>
        <v>0</v>
      </c>
      <c r="AT246">
        <f>IF(VLOOKUP(AT$1,main!$A$3:$I$56,5,FALSE)-VLOOKUP($A246,main!$A$3:$I$56,6,FALSE)&gt;=VLOOKUP(59,main!$A$57:$I$61,4,FALSE)+VLOOKUP(VLOOKUP(AT$1,main!$A$3:$I$56,7,FALSE),main!$K$10:$Q$14,7,FALSE),1,0)</f>
        <v>0</v>
      </c>
      <c r="AU246">
        <f>IF(VLOOKUP(AU$1,main!$A$3:$I$56,5,FALSE)-VLOOKUP($A246,main!$A$3:$I$56,6,FALSE)&gt;=VLOOKUP(59,main!$A$57:$I$61,4,FALSE)+VLOOKUP(VLOOKUP(AU$1,main!$A$3:$I$56,7,FALSE),main!$K$10:$Q$14,7,FALSE),1,0)</f>
        <v>0</v>
      </c>
      <c r="AV246">
        <f>IF(VLOOKUP(AV$1,main!$A$3:$I$56,5,FALSE)-VLOOKUP($A246,main!$A$3:$I$56,6,FALSE)&gt;=VLOOKUP(59,main!$A$57:$I$61,4,FALSE)+VLOOKUP(VLOOKUP(AV$1,main!$A$3:$I$56,7,FALSE),main!$K$10:$Q$14,7,FALSE),1,0)</f>
        <v>0</v>
      </c>
      <c r="AW246">
        <f>IF(VLOOKUP(AW$1,main!$A$3:$I$56,5,FALSE)-VLOOKUP($A246,main!$A$3:$I$56,6,FALSE)&gt;=VLOOKUP(59,main!$A$57:$I$61,4,FALSE)+VLOOKUP(VLOOKUP(AW$1,main!$A$3:$I$56,7,FALSE),main!$K$10:$Q$14,7,FALSE),1,0)</f>
        <v>0</v>
      </c>
      <c r="AX246">
        <f>IF(VLOOKUP(AX$1,main!$A$3:$I$56,5,FALSE)-VLOOKUP($A246,main!$A$3:$I$56,6,FALSE)&gt;=VLOOKUP(59,main!$A$57:$I$61,4,FALSE)+VLOOKUP(VLOOKUP(AX$1,main!$A$3:$I$56,7,FALSE),main!$K$10:$Q$14,7,FALSE),1,0)</f>
        <v>0</v>
      </c>
      <c r="AY246">
        <f>IF(VLOOKUP(AY$1,main!$A$3:$I$56,5,FALSE)-VLOOKUP($A246,main!$A$3:$I$56,6,FALSE)&gt;=VLOOKUP(59,main!$A$57:$I$61,4,FALSE)+VLOOKUP(VLOOKUP(AY$1,main!$A$3:$I$56,7,FALSE),main!$K$10:$Q$14,7,FALSE),1,0)</f>
        <v>1</v>
      </c>
      <c r="AZ246">
        <f>IF(VLOOKUP(AZ$1,main!$A$3:$I$56,5,FALSE)-VLOOKUP($A246,main!$A$3:$I$56,6,FALSE)&gt;=VLOOKUP(59,main!$A$57:$I$61,4,FALSE)+VLOOKUP(VLOOKUP(AZ$1,main!$A$3:$I$56,7,FALSE),main!$K$10:$Q$14,7,FALSE),1,0)</f>
        <v>0</v>
      </c>
      <c r="BA246">
        <f>IF(VLOOKUP(BA$1,main!$A$3:$I$56,5,FALSE)-VLOOKUP($A246,main!$A$3:$I$56,6,FALSE)&gt;=VLOOKUP(59,main!$A$57:$I$61,4,FALSE)+VLOOKUP(VLOOKUP(BA$1,main!$A$3:$I$56,7,FALSE),main!$K$10:$Q$14,7,FALSE),1,0)</f>
        <v>0</v>
      </c>
      <c r="BB246">
        <f>IF(VLOOKUP(BB$1,main!$A$3:$I$56,5,FALSE)-VLOOKUP($A246,main!$A$3:$I$56,6,FALSE)&gt;=VLOOKUP(59,main!$A$57:$I$61,4,FALSE)+VLOOKUP(VLOOKUP(BB$1,main!$A$3:$I$56,7,FALSE),main!$K$10:$Q$14,7,FALSE),1,0)</f>
        <v>0</v>
      </c>
      <c r="BC246">
        <f>IF(VLOOKUP(BC$1,main!$A$3:$I$56,5,FALSE)-VLOOKUP($A246,main!$A$3:$I$56,6,FALSE)&gt;=VLOOKUP(59,main!$A$57:$I$61,4,FALSE)+VLOOKUP(VLOOKUP(BC$1,main!$A$3:$I$56,7,FALSE),main!$K$10:$Q$14,7,FALSE),1,0)</f>
        <v>0</v>
      </c>
      <c r="BD246">
        <f>IF(VLOOKUP(BD$1,main!$A$3:$I$56,5,FALSE)-VLOOKUP($A246,main!$A$3:$I$56,6,FALSE)&gt;=VLOOKUP(59,main!$A$57:$I$61,4,FALSE)+VLOOKUP(VLOOKUP(BD$1,main!$A$3:$I$56,7,FALSE),main!$K$10:$Q$14,7,FALSE),1,0)</f>
        <v>0</v>
      </c>
    </row>
    <row r="247" spans="1:56" x14ac:dyDescent="0.25">
      <c r="A247">
        <f t="shared" si="4"/>
        <v>25</v>
      </c>
      <c r="B247">
        <v>0</v>
      </c>
      <c r="C247">
        <f>IF(VLOOKUP(C$1,main!$A$3:$I$56,5,FALSE)-VLOOKUP($A247,main!$A$3:$I$56,6,FALSE)&gt;=VLOOKUP(59,main!$A$57:$I$61,4,FALSE)+VLOOKUP(VLOOKUP(C$1,main!$A$3:$I$56,7,FALSE),main!$K$10:$Q$14,7,FALSE),1,0)</f>
        <v>0</v>
      </c>
      <c r="D247">
        <f>IF(VLOOKUP(D$1,main!$A$3:$I$56,5,FALSE)-VLOOKUP($A247,main!$A$3:$I$56,6,FALSE)&gt;=VLOOKUP(59,main!$A$57:$I$61,4,FALSE)+VLOOKUP(VLOOKUP(D$1,main!$A$3:$I$56,7,FALSE),main!$K$10:$Q$14,7,FALSE),1,0)</f>
        <v>0</v>
      </c>
      <c r="E247">
        <f>IF(VLOOKUP(E$1,main!$A$3:$I$56,5,FALSE)-VLOOKUP($A247,main!$A$3:$I$56,6,FALSE)&gt;=VLOOKUP(59,main!$A$57:$I$61,4,FALSE)+VLOOKUP(VLOOKUP(E$1,main!$A$3:$I$56,7,FALSE),main!$K$10:$Q$14,7,FALSE),1,0)</f>
        <v>0</v>
      </c>
      <c r="F247">
        <f>IF(VLOOKUP(F$1,main!$A$3:$I$56,5,FALSE)-VLOOKUP($A247,main!$A$3:$I$56,6,FALSE)&gt;=VLOOKUP(59,main!$A$57:$I$61,4,FALSE)+VLOOKUP(VLOOKUP(F$1,main!$A$3:$I$56,7,FALSE),main!$K$10:$Q$14,7,FALSE),1,0)</f>
        <v>0</v>
      </c>
      <c r="G247">
        <f>IF(VLOOKUP(G$1,main!$A$3:$I$56,5,FALSE)-VLOOKUP($A247,main!$A$3:$I$56,6,FALSE)&gt;=VLOOKUP(59,main!$A$57:$I$61,4,FALSE)+VLOOKUP(VLOOKUP(G$1,main!$A$3:$I$56,7,FALSE),main!$K$10:$Q$14,7,FALSE),1,0)</f>
        <v>0</v>
      </c>
      <c r="H247">
        <f>IF(VLOOKUP(H$1,main!$A$3:$I$56,5,FALSE)-VLOOKUP($A247,main!$A$3:$I$56,6,FALSE)&gt;=VLOOKUP(59,main!$A$57:$I$61,4,FALSE)+VLOOKUP(VLOOKUP(H$1,main!$A$3:$I$56,7,FALSE),main!$K$10:$Q$14,7,FALSE),1,0)</f>
        <v>0</v>
      </c>
      <c r="I247">
        <f>IF(VLOOKUP(I$1,main!$A$3:$I$56,5,FALSE)-VLOOKUP($A247,main!$A$3:$I$56,6,FALSE)&gt;=VLOOKUP(59,main!$A$57:$I$61,4,FALSE)+VLOOKUP(VLOOKUP(I$1,main!$A$3:$I$56,7,FALSE),main!$K$10:$Q$14,7,FALSE),1,0)</f>
        <v>0</v>
      </c>
      <c r="J247">
        <f>IF(VLOOKUP(J$1,main!$A$3:$I$56,5,FALSE)-VLOOKUP($A247,main!$A$3:$I$56,6,FALSE)&gt;=VLOOKUP(59,main!$A$57:$I$61,4,FALSE)+VLOOKUP(VLOOKUP(J$1,main!$A$3:$I$56,7,FALSE),main!$K$10:$Q$14,7,FALSE),1,0)</f>
        <v>0</v>
      </c>
      <c r="K247">
        <f>IF(VLOOKUP(K$1,main!$A$3:$I$56,5,FALSE)-VLOOKUP($A247,main!$A$3:$I$56,6,FALSE)&gt;=VLOOKUP(59,main!$A$57:$I$61,4,FALSE)+VLOOKUP(VLOOKUP(K$1,main!$A$3:$I$56,7,FALSE),main!$K$10:$Q$14,7,FALSE),1,0)</f>
        <v>0</v>
      </c>
      <c r="L247">
        <f>IF(VLOOKUP(L$1,main!$A$3:$I$56,5,FALSE)-VLOOKUP($A247,main!$A$3:$I$56,6,FALSE)&gt;=VLOOKUP(59,main!$A$57:$I$61,4,FALSE)+VLOOKUP(VLOOKUP(L$1,main!$A$3:$I$56,7,FALSE),main!$K$10:$Q$14,7,FALSE),1,0)</f>
        <v>0</v>
      </c>
      <c r="M247">
        <f>IF(VLOOKUP(M$1,main!$A$3:$I$56,5,FALSE)-VLOOKUP($A247,main!$A$3:$I$56,6,FALSE)&gt;=VLOOKUP(59,main!$A$57:$I$61,4,FALSE)+VLOOKUP(VLOOKUP(M$1,main!$A$3:$I$56,7,FALSE),main!$K$10:$Q$14,7,FALSE),1,0)</f>
        <v>0</v>
      </c>
      <c r="N247">
        <f>IF(VLOOKUP(N$1,main!$A$3:$I$56,5,FALSE)-VLOOKUP($A247,main!$A$3:$I$56,6,FALSE)&gt;=VLOOKUP(59,main!$A$57:$I$61,4,FALSE)+VLOOKUP(VLOOKUP(N$1,main!$A$3:$I$56,7,FALSE),main!$K$10:$Q$14,7,FALSE),1,0)</f>
        <v>0</v>
      </c>
      <c r="O247">
        <f>IF(VLOOKUP(O$1,main!$A$3:$I$56,5,FALSE)-VLOOKUP($A247,main!$A$3:$I$56,6,FALSE)&gt;=VLOOKUP(59,main!$A$57:$I$61,4,FALSE)+VLOOKUP(VLOOKUP(O$1,main!$A$3:$I$56,7,FALSE),main!$K$10:$Q$14,7,FALSE),1,0)</f>
        <v>0</v>
      </c>
      <c r="P247">
        <f>IF(VLOOKUP(P$1,main!$A$3:$I$56,5,FALSE)-VLOOKUP($A247,main!$A$3:$I$56,6,FALSE)&gt;=VLOOKUP(59,main!$A$57:$I$61,4,FALSE)+VLOOKUP(VLOOKUP(P$1,main!$A$3:$I$56,7,FALSE),main!$K$10:$Q$14,7,FALSE),1,0)</f>
        <v>0</v>
      </c>
      <c r="Q247">
        <f>IF(VLOOKUP(Q$1,main!$A$3:$I$56,5,FALSE)-VLOOKUP($A247,main!$A$3:$I$56,6,FALSE)&gt;=VLOOKUP(59,main!$A$57:$I$61,4,FALSE)+VLOOKUP(VLOOKUP(Q$1,main!$A$3:$I$56,7,FALSE),main!$K$10:$Q$14,7,FALSE),1,0)</f>
        <v>0</v>
      </c>
      <c r="R247">
        <f>IF(VLOOKUP(R$1,main!$A$3:$I$56,5,FALSE)-VLOOKUP($A247,main!$A$3:$I$56,6,FALSE)&gt;=VLOOKUP(59,main!$A$57:$I$61,4,FALSE)+VLOOKUP(VLOOKUP(R$1,main!$A$3:$I$56,7,FALSE),main!$K$10:$Q$14,7,FALSE),1,0)</f>
        <v>0</v>
      </c>
      <c r="S247">
        <f>IF(VLOOKUP(S$1,main!$A$3:$I$56,5,FALSE)-VLOOKUP($A247,main!$A$3:$I$56,6,FALSE)&gt;=VLOOKUP(59,main!$A$57:$I$61,4,FALSE)+VLOOKUP(VLOOKUP(S$1,main!$A$3:$I$56,7,FALSE),main!$K$10:$Q$14,7,FALSE),1,0)</f>
        <v>0</v>
      </c>
      <c r="T247">
        <f>IF(VLOOKUP(T$1,main!$A$3:$I$56,5,FALSE)-VLOOKUP($A247,main!$A$3:$I$56,6,FALSE)&gt;=VLOOKUP(59,main!$A$57:$I$61,4,FALSE)+VLOOKUP(VLOOKUP(T$1,main!$A$3:$I$56,7,FALSE),main!$K$10:$Q$14,7,FALSE),1,0)</f>
        <v>0</v>
      </c>
      <c r="U247">
        <f>IF(VLOOKUP(U$1,main!$A$3:$I$56,5,FALSE)-VLOOKUP($A247,main!$A$3:$I$56,6,FALSE)&gt;=VLOOKUP(59,main!$A$57:$I$61,4,FALSE)+VLOOKUP(VLOOKUP(U$1,main!$A$3:$I$56,7,FALSE),main!$K$10:$Q$14,7,FALSE),1,0)</f>
        <v>0</v>
      </c>
      <c r="V247">
        <f>IF(VLOOKUP(V$1,main!$A$3:$I$56,5,FALSE)-VLOOKUP($A247,main!$A$3:$I$56,6,FALSE)&gt;=VLOOKUP(59,main!$A$57:$I$61,4,FALSE)+VLOOKUP(VLOOKUP(V$1,main!$A$3:$I$56,7,FALSE),main!$K$10:$Q$14,7,FALSE),1,0)</f>
        <v>0</v>
      </c>
      <c r="W247">
        <f>IF(VLOOKUP(W$1,main!$A$3:$I$56,5,FALSE)-VLOOKUP($A247,main!$A$3:$I$56,6,FALSE)&gt;=VLOOKUP(59,main!$A$57:$I$61,4,FALSE)+VLOOKUP(VLOOKUP(W$1,main!$A$3:$I$56,7,FALSE),main!$K$10:$Q$14,7,FALSE),1,0)</f>
        <v>0</v>
      </c>
      <c r="X247">
        <f>IF(VLOOKUP(X$1,main!$A$3:$I$56,5,FALSE)-VLOOKUP($A247,main!$A$3:$I$56,6,FALSE)&gt;=VLOOKUP(59,main!$A$57:$I$61,4,FALSE)+VLOOKUP(VLOOKUP(X$1,main!$A$3:$I$56,7,FALSE),main!$K$10:$Q$14,7,FALSE),1,0)</f>
        <v>0</v>
      </c>
      <c r="Y247">
        <f>IF(VLOOKUP(Y$1,main!$A$3:$I$56,5,FALSE)-VLOOKUP($A247,main!$A$3:$I$56,6,FALSE)&gt;=VLOOKUP(59,main!$A$57:$I$61,4,FALSE)+VLOOKUP(VLOOKUP(Y$1,main!$A$3:$I$56,7,FALSE),main!$K$10:$Q$14,7,FALSE),1,0)</f>
        <v>0</v>
      </c>
      <c r="Z247">
        <f>IF(VLOOKUP(Z$1,main!$A$3:$I$56,5,FALSE)-VLOOKUP($A247,main!$A$3:$I$56,6,FALSE)&gt;=VLOOKUP(59,main!$A$57:$I$61,4,FALSE)+VLOOKUP(VLOOKUP(Z$1,main!$A$3:$I$56,7,FALSE),main!$K$10:$Q$14,7,FALSE),1,0)</f>
        <v>0</v>
      </c>
      <c r="AA247">
        <f>IF(VLOOKUP(AA$1,main!$A$3:$I$56,5,FALSE)-VLOOKUP($A247,main!$A$3:$I$56,6,FALSE)&gt;=VLOOKUP(59,main!$A$57:$I$61,4,FALSE)+VLOOKUP(VLOOKUP(AA$1,main!$A$3:$I$56,7,FALSE),main!$K$10:$Q$14,7,FALSE),1,0)</f>
        <v>0</v>
      </c>
      <c r="AB247">
        <f>IF(VLOOKUP(AB$1,main!$A$3:$I$56,5,FALSE)-VLOOKUP($A247,main!$A$3:$I$56,6,FALSE)&gt;=VLOOKUP(59,main!$A$57:$I$61,4,FALSE)+VLOOKUP(VLOOKUP(AB$1,main!$A$3:$I$56,7,FALSE),main!$K$10:$Q$14,7,FALSE),1,0)</f>
        <v>0</v>
      </c>
      <c r="AC247">
        <f>IF(VLOOKUP(AC$1,main!$A$3:$I$56,5,FALSE)-VLOOKUP($A247,main!$A$3:$I$56,6,FALSE)&gt;=VLOOKUP(59,main!$A$57:$I$61,4,FALSE)+VLOOKUP(VLOOKUP(AC$1,main!$A$3:$I$56,7,FALSE),main!$K$10:$Q$14,7,FALSE),1,0)</f>
        <v>0</v>
      </c>
      <c r="AD247">
        <f>IF(VLOOKUP(AD$1,main!$A$3:$I$56,5,FALSE)-VLOOKUP($A247,main!$A$3:$I$56,6,FALSE)&gt;=VLOOKUP(59,main!$A$57:$I$61,4,FALSE)+VLOOKUP(VLOOKUP(AD$1,main!$A$3:$I$56,7,FALSE),main!$K$10:$Q$14,7,FALSE),1,0)</f>
        <v>0</v>
      </c>
      <c r="AE247">
        <f>IF(VLOOKUP(AE$1,main!$A$3:$I$56,5,FALSE)-VLOOKUP($A247,main!$A$3:$I$56,6,FALSE)&gt;=VLOOKUP(59,main!$A$57:$I$61,4,FALSE)+VLOOKUP(VLOOKUP(AE$1,main!$A$3:$I$56,7,FALSE),main!$K$10:$Q$14,7,FALSE),1,0)</f>
        <v>0</v>
      </c>
      <c r="AF247">
        <f>IF(VLOOKUP(AF$1,main!$A$3:$I$56,5,FALSE)-VLOOKUP($A247,main!$A$3:$I$56,6,FALSE)&gt;=VLOOKUP(59,main!$A$57:$I$61,4,FALSE)+VLOOKUP(VLOOKUP(AF$1,main!$A$3:$I$56,7,FALSE),main!$K$10:$Q$14,7,FALSE),1,0)</f>
        <v>0</v>
      </c>
      <c r="AG247">
        <f>IF(VLOOKUP(AG$1,main!$A$3:$I$56,5,FALSE)-VLOOKUP($A247,main!$A$3:$I$56,6,FALSE)&gt;=VLOOKUP(59,main!$A$57:$I$61,4,FALSE)+VLOOKUP(VLOOKUP(AG$1,main!$A$3:$I$56,7,FALSE),main!$K$10:$Q$14,7,FALSE),1,0)</f>
        <v>0</v>
      </c>
      <c r="AH247">
        <f>IF(VLOOKUP(AH$1,main!$A$3:$I$56,5,FALSE)-VLOOKUP($A247,main!$A$3:$I$56,6,FALSE)&gt;=VLOOKUP(59,main!$A$57:$I$61,4,FALSE)+VLOOKUP(VLOOKUP(AH$1,main!$A$3:$I$56,7,FALSE),main!$K$10:$Q$14,7,FALSE),1,0)</f>
        <v>0</v>
      </c>
      <c r="AI247">
        <f>IF(VLOOKUP(AI$1,main!$A$3:$I$56,5,FALSE)-VLOOKUP($A247,main!$A$3:$I$56,6,FALSE)&gt;=VLOOKUP(59,main!$A$57:$I$61,4,FALSE)+VLOOKUP(VLOOKUP(AI$1,main!$A$3:$I$56,7,FALSE),main!$K$10:$Q$14,7,FALSE),1,0)</f>
        <v>0</v>
      </c>
      <c r="AJ247">
        <f>IF(VLOOKUP(AJ$1,main!$A$3:$I$56,5,FALSE)-VLOOKUP($A247,main!$A$3:$I$56,6,FALSE)&gt;=VLOOKUP(59,main!$A$57:$I$61,4,FALSE)+VLOOKUP(VLOOKUP(AJ$1,main!$A$3:$I$56,7,FALSE),main!$K$10:$Q$14,7,FALSE),1,0)</f>
        <v>0</v>
      </c>
      <c r="AK247">
        <f>IF(VLOOKUP(AK$1,main!$A$3:$I$56,5,FALSE)-VLOOKUP($A247,main!$A$3:$I$56,6,FALSE)&gt;=VLOOKUP(59,main!$A$57:$I$61,4,FALSE)+VLOOKUP(VLOOKUP(AK$1,main!$A$3:$I$56,7,FALSE),main!$K$10:$Q$14,7,FALSE),1,0)</f>
        <v>0</v>
      </c>
      <c r="AL247">
        <f>IF(VLOOKUP(AL$1,main!$A$3:$I$56,5,FALSE)-VLOOKUP($A247,main!$A$3:$I$56,6,FALSE)&gt;=VLOOKUP(59,main!$A$57:$I$61,4,FALSE)+VLOOKUP(VLOOKUP(AL$1,main!$A$3:$I$56,7,FALSE),main!$K$10:$Q$14,7,FALSE),1,0)</f>
        <v>0</v>
      </c>
      <c r="AM247">
        <f>IF(VLOOKUP(AM$1,main!$A$3:$I$56,5,FALSE)-VLOOKUP($A247,main!$A$3:$I$56,6,FALSE)&gt;=VLOOKUP(59,main!$A$57:$I$61,4,FALSE)+VLOOKUP(VLOOKUP(AM$1,main!$A$3:$I$56,7,FALSE),main!$K$10:$Q$14,7,FALSE),1,0)</f>
        <v>0</v>
      </c>
      <c r="AN247">
        <f>IF(VLOOKUP(AN$1,main!$A$3:$I$56,5,FALSE)-VLOOKUP($A247,main!$A$3:$I$56,6,FALSE)&gt;=VLOOKUP(59,main!$A$57:$I$61,4,FALSE)+VLOOKUP(VLOOKUP(AN$1,main!$A$3:$I$56,7,FALSE),main!$K$10:$Q$14,7,FALSE),1,0)</f>
        <v>0</v>
      </c>
      <c r="AO247">
        <f>IF(VLOOKUP(AO$1,main!$A$3:$I$56,5,FALSE)-VLOOKUP($A247,main!$A$3:$I$56,6,FALSE)&gt;=VLOOKUP(59,main!$A$57:$I$61,4,FALSE)+VLOOKUP(VLOOKUP(AO$1,main!$A$3:$I$56,7,FALSE),main!$K$10:$Q$14,7,FALSE),1,0)</f>
        <v>0</v>
      </c>
      <c r="AP247">
        <f>IF(VLOOKUP(AP$1,main!$A$3:$I$56,5,FALSE)-VLOOKUP($A247,main!$A$3:$I$56,6,FALSE)&gt;=VLOOKUP(59,main!$A$57:$I$61,4,FALSE)+VLOOKUP(VLOOKUP(AP$1,main!$A$3:$I$56,7,FALSE),main!$K$10:$Q$14,7,FALSE),1,0)</f>
        <v>0</v>
      </c>
      <c r="AQ247">
        <f>IF(VLOOKUP(AQ$1,main!$A$3:$I$56,5,FALSE)-VLOOKUP($A247,main!$A$3:$I$56,6,FALSE)&gt;=VLOOKUP(59,main!$A$57:$I$61,4,FALSE)+VLOOKUP(VLOOKUP(AQ$1,main!$A$3:$I$56,7,FALSE),main!$K$10:$Q$14,7,FALSE),1,0)</f>
        <v>0</v>
      </c>
      <c r="AR247">
        <f>IF(VLOOKUP(AR$1,main!$A$3:$I$56,5,FALSE)-VLOOKUP($A247,main!$A$3:$I$56,6,FALSE)&gt;=VLOOKUP(59,main!$A$57:$I$61,4,FALSE)+VLOOKUP(VLOOKUP(AR$1,main!$A$3:$I$56,7,FALSE),main!$K$10:$Q$14,7,FALSE),1,0)</f>
        <v>0</v>
      </c>
      <c r="AS247">
        <f>IF(VLOOKUP(AS$1,main!$A$3:$I$56,5,FALSE)-VLOOKUP($A247,main!$A$3:$I$56,6,FALSE)&gt;=VLOOKUP(59,main!$A$57:$I$61,4,FALSE)+VLOOKUP(VLOOKUP(AS$1,main!$A$3:$I$56,7,FALSE),main!$K$10:$Q$14,7,FALSE),1,0)</f>
        <v>0</v>
      </c>
      <c r="AT247">
        <f>IF(VLOOKUP(AT$1,main!$A$3:$I$56,5,FALSE)-VLOOKUP($A247,main!$A$3:$I$56,6,FALSE)&gt;=VLOOKUP(59,main!$A$57:$I$61,4,FALSE)+VLOOKUP(VLOOKUP(AT$1,main!$A$3:$I$56,7,FALSE),main!$K$10:$Q$14,7,FALSE),1,0)</f>
        <v>0</v>
      </c>
      <c r="AU247">
        <f>IF(VLOOKUP(AU$1,main!$A$3:$I$56,5,FALSE)-VLOOKUP($A247,main!$A$3:$I$56,6,FALSE)&gt;=VLOOKUP(59,main!$A$57:$I$61,4,FALSE)+VLOOKUP(VLOOKUP(AU$1,main!$A$3:$I$56,7,FALSE),main!$K$10:$Q$14,7,FALSE),1,0)</f>
        <v>0</v>
      </c>
      <c r="AV247">
        <f>IF(VLOOKUP(AV$1,main!$A$3:$I$56,5,FALSE)-VLOOKUP($A247,main!$A$3:$I$56,6,FALSE)&gt;=VLOOKUP(59,main!$A$57:$I$61,4,FALSE)+VLOOKUP(VLOOKUP(AV$1,main!$A$3:$I$56,7,FALSE),main!$K$10:$Q$14,7,FALSE),1,0)</f>
        <v>0</v>
      </c>
      <c r="AW247">
        <f>IF(VLOOKUP(AW$1,main!$A$3:$I$56,5,FALSE)-VLOOKUP($A247,main!$A$3:$I$56,6,FALSE)&gt;=VLOOKUP(59,main!$A$57:$I$61,4,FALSE)+VLOOKUP(VLOOKUP(AW$1,main!$A$3:$I$56,7,FALSE),main!$K$10:$Q$14,7,FALSE),1,0)</f>
        <v>0</v>
      </c>
      <c r="AX247">
        <f>IF(VLOOKUP(AX$1,main!$A$3:$I$56,5,FALSE)-VLOOKUP($A247,main!$A$3:$I$56,6,FALSE)&gt;=VLOOKUP(59,main!$A$57:$I$61,4,FALSE)+VLOOKUP(VLOOKUP(AX$1,main!$A$3:$I$56,7,FALSE),main!$K$10:$Q$14,7,FALSE),1,0)</f>
        <v>0</v>
      </c>
      <c r="AY247">
        <f>IF(VLOOKUP(AY$1,main!$A$3:$I$56,5,FALSE)-VLOOKUP($A247,main!$A$3:$I$56,6,FALSE)&gt;=VLOOKUP(59,main!$A$57:$I$61,4,FALSE)+VLOOKUP(VLOOKUP(AY$1,main!$A$3:$I$56,7,FALSE),main!$K$10:$Q$14,7,FALSE),1,0)</f>
        <v>0</v>
      </c>
      <c r="AZ247">
        <f>IF(VLOOKUP(AZ$1,main!$A$3:$I$56,5,FALSE)-VLOOKUP($A247,main!$A$3:$I$56,6,FALSE)&gt;=VLOOKUP(59,main!$A$57:$I$61,4,FALSE)+VLOOKUP(VLOOKUP(AZ$1,main!$A$3:$I$56,7,FALSE),main!$K$10:$Q$14,7,FALSE),1,0)</f>
        <v>0</v>
      </c>
      <c r="BA247">
        <f>IF(VLOOKUP(BA$1,main!$A$3:$I$56,5,FALSE)-VLOOKUP($A247,main!$A$3:$I$56,6,FALSE)&gt;=VLOOKUP(59,main!$A$57:$I$61,4,FALSE)+VLOOKUP(VLOOKUP(BA$1,main!$A$3:$I$56,7,FALSE),main!$K$10:$Q$14,7,FALSE),1,0)</f>
        <v>0</v>
      </c>
      <c r="BB247">
        <f>IF(VLOOKUP(BB$1,main!$A$3:$I$56,5,FALSE)-VLOOKUP($A247,main!$A$3:$I$56,6,FALSE)&gt;=VLOOKUP(59,main!$A$57:$I$61,4,FALSE)+VLOOKUP(VLOOKUP(BB$1,main!$A$3:$I$56,7,FALSE),main!$K$10:$Q$14,7,FALSE),1,0)</f>
        <v>0</v>
      </c>
      <c r="BC247">
        <f>IF(VLOOKUP(BC$1,main!$A$3:$I$56,5,FALSE)-VLOOKUP($A247,main!$A$3:$I$56,6,FALSE)&gt;=VLOOKUP(59,main!$A$57:$I$61,4,FALSE)+VLOOKUP(VLOOKUP(BC$1,main!$A$3:$I$56,7,FALSE),main!$K$10:$Q$14,7,FALSE),1,0)</f>
        <v>0</v>
      </c>
      <c r="BD247">
        <f>IF(VLOOKUP(BD$1,main!$A$3:$I$56,5,FALSE)-VLOOKUP($A247,main!$A$3:$I$56,6,FALSE)&gt;=VLOOKUP(59,main!$A$57:$I$61,4,FALSE)+VLOOKUP(VLOOKUP(BD$1,main!$A$3:$I$56,7,FALSE),main!$K$10:$Q$14,7,FALSE),1,0)</f>
        <v>0</v>
      </c>
    </row>
    <row r="248" spans="1:56" x14ac:dyDescent="0.25">
      <c r="A248">
        <f t="shared" si="4"/>
        <v>26</v>
      </c>
      <c r="B248">
        <v>0</v>
      </c>
      <c r="C248">
        <f>IF(VLOOKUP(C$1,main!$A$3:$I$56,5,FALSE)-VLOOKUP($A248,main!$A$3:$I$56,6,FALSE)&gt;=VLOOKUP(59,main!$A$57:$I$61,4,FALSE)+VLOOKUP(VLOOKUP(C$1,main!$A$3:$I$56,7,FALSE),main!$K$10:$Q$14,7,FALSE),1,0)</f>
        <v>0</v>
      </c>
      <c r="D248">
        <f>IF(VLOOKUP(D$1,main!$A$3:$I$56,5,FALSE)-VLOOKUP($A248,main!$A$3:$I$56,6,FALSE)&gt;=VLOOKUP(59,main!$A$57:$I$61,4,FALSE)+VLOOKUP(VLOOKUP(D$1,main!$A$3:$I$56,7,FALSE),main!$K$10:$Q$14,7,FALSE),1,0)</f>
        <v>0</v>
      </c>
      <c r="E248">
        <f>IF(VLOOKUP(E$1,main!$A$3:$I$56,5,FALSE)-VLOOKUP($A248,main!$A$3:$I$56,6,FALSE)&gt;=VLOOKUP(59,main!$A$57:$I$61,4,FALSE)+VLOOKUP(VLOOKUP(E$1,main!$A$3:$I$56,7,FALSE),main!$K$10:$Q$14,7,FALSE),1,0)</f>
        <v>0</v>
      </c>
      <c r="F248">
        <f>IF(VLOOKUP(F$1,main!$A$3:$I$56,5,FALSE)-VLOOKUP($A248,main!$A$3:$I$56,6,FALSE)&gt;=VLOOKUP(59,main!$A$57:$I$61,4,FALSE)+VLOOKUP(VLOOKUP(F$1,main!$A$3:$I$56,7,FALSE),main!$K$10:$Q$14,7,FALSE),1,0)</f>
        <v>0</v>
      </c>
      <c r="G248">
        <f>IF(VLOOKUP(G$1,main!$A$3:$I$56,5,FALSE)-VLOOKUP($A248,main!$A$3:$I$56,6,FALSE)&gt;=VLOOKUP(59,main!$A$57:$I$61,4,FALSE)+VLOOKUP(VLOOKUP(G$1,main!$A$3:$I$56,7,FALSE),main!$K$10:$Q$14,7,FALSE),1,0)</f>
        <v>0</v>
      </c>
      <c r="H248">
        <f>IF(VLOOKUP(H$1,main!$A$3:$I$56,5,FALSE)-VLOOKUP($A248,main!$A$3:$I$56,6,FALSE)&gt;=VLOOKUP(59,main!$A$57:$I$61,4,FALSE)+VLOOKUP(VLOOKUP(H$1,main!$A$3:$I$56,7,FALSE),main!$K$10:$Q$14,7,FALSE),1,0)</f>
        <v>0</v>
      </c>
      <c r="I248">
        <f>IF(VLOOKUP(I$1,main!$A$3:$I$56,5,FALSE)-VLOOKUP($A248,main!$A$3:$I$56,6,FALSE)&gt;=VLOOKUP(59,main!$A$57:$I$61,4,FALSE)+VLOOKUP(VLOOKUP(I$1,main!$A$3:$I$56,7,FALSE),main!$K$10:$Q$14,7,FALSE),1,0)</f>
        <v>0</v>
      </c>
      <c r="J248">
        <f>IF(VLOOKUP(J$1,main!$A$3:$I$56,5,FALSE)-VLOOKUP($A248,main!$A$3:$I$56,6,FALSE)&gt;=VLOOKUP(59,main!$A$57:$I$61,4,FALSE)+VLOOKUP(VLOOKUP(J$1,main!$A$3:$I$56,7,FALSE),main!$K$10:$Q$14,7,FALSE),1,0)</f>
        <v>0</v>
      </c>
      <c r="K248">
        <f>IF(VLOOKUP(K$1,main!$A$3:$I$56,5,FALSE)-VLOOKUP($A248,main!$A$3:$I$56,6,FALSE)&gt;=VLOOKUP(59,main!$A$57:$I$61,4,FALSE)+VLOOKUP(VLOOKUP(K$1,main!$A$3:$I$56,7,FALSE),main!$K$10:$Q$14,7,FALSE),1,0)</f>
        <v>0</v>
      </c>
      <c r="L248">
        <f>IF(VLOOKUP(L$1,main!$A$3:$I$56,5,FALSE)-VLOOKUP($A248,main!$A$3:$I$56,6,FALSE)&gt;=VLOOKUP(59,main!$A$57:$I$61,4,FALSE)+VLOOKUP(VLOOKUP(L$1,main!$A$3:$I$56,7,FALSE),main!$K$10:$Q$14,7,FALSE),1,0)</f>
        <v>0</v>
      </c>
      <c r="M248">
        <f>IF(VLOOKUP(M$1,main!$A$3:$I$56,5,FALSE)-VLOOKUP($A248,main!$A$3:$I$56,6,FALSE)&gt;=VLOOKUP(59,main!$A$57:$I$61,4,FALSE)+VLOOKUP(VLOOKUP(M$1,main!$A$3:$I$56,7,FALSE),main!$K$10:$Q$14,7,FALSE),1,0)</f>
        <v>0</v>
      </c>
      <c r="N248">
        <f>IF(VLOOKUP(N$1,main!$A$3:$I$56,5,FALSE)-VLOOKUP($A248,main!$A$3:$I$56,6,FALSE)&gt;=VLOOKUP(59,main!$A$57:$I$61,4,FALSE)+VLOOKUP(VLOOKUP(N$1,main!$A$3:$I$56,7,FALSE),main!$K$10:$Q$14,7,FALSE),1,0)</f>
        <v>0</v>
      </c>
      <c r="O248">
        <f>IF(VLOOKUP(O$1,main!$A$3:$I$56,5,FALSE)-VLOOKUP($A248,main!$A$3:$I$56,6,FALSE)&gt;=VLOOKUP(59,main!$A$57:$I$61,4,FALSE)+VLOOKUP(VLOOKUP(O$1,main!$A$3:$I$56,7,FALSE),main!$K$10:$Q$14,7,FALSE),1,0)</f>
        <v>0</v>
      </c>
      <c r="P248">
        <f>IF(VLOOKUP(P$1,main!$A$3:$I$56,5,FALSE)-VLOOKUP($A248,main!$A$3:$I$56,6,FALSE)&gt;=VLOOKUP(59,main!$A$57:$I$61,4,FALSE)+VLOOKUP(VLOOKUP(P$1,main!$A$3:$I$56,7,FALSE),main!$K$10:$Q$14,7,FALSE),1,0)</f>
        <v>0</v>
      </c>
      <c r="Q248">
        <f>IF(VLOOKUP(Q$1,main!$A$3:$I$56,5,FALSE)-VLOOKUP($A248,main!$A$3:$I$56,6,FALSE)&gt;=VLOOKUP(59,main!$A$57:$I$61,4,FALSE)+VLOOKUP(VLOOKUP(Q$1,main!$A$3:$I$56,7,FALSE),main!$K$10:$Q$14,7,FALSE),1,0)</f>
        <v>0</v>
      </c>
      <c r="R248">
        <f>IF(VLOOKUP(R$1,main!$A$3:$I$56,5,FALSE)-VLOOKUP($A248,main!$A$3:$I$56,6,FALSE)&gt;=VLOOKUP(59,main!$A$57:$I$61,4,FALSE)+VLOOKUP(VLOOKUP(R$1,main!$A$3:$I$56,7,FALSE),main!$K$10:$Q$14,7,FALSE),1,0)</f>
        <v>0</v>
      </c>
      <c r="S248">
        <f>IF(VLOOKUP(S$1,main!$A$3:$I$56,5,FALSE)-VLOOKUP($A248,main!$A$3:$I$56,6,FALSE)&gt;=VLOOKUP(59,main!$A$57:$I$61,4,FALSE)+VLOOKUP(VLOOKUP(S$1,main!$A$3:$I$56,7,FALSE),main!$K$10:$Q$14,7,FALSE),1,0)</f>
        <v>0</v>
      </c>
      <c r="T248">
        <f>IF(VLOOKUP(T$1,main!$A$3:$I$56,5,FALSE)-VLOOKUP($A248,main!$A$3:$I$56,6,FALSE)&gt;=VLOOKUP(59,main!$A$57:$I$61,4,FALSE)+VLOOKUP(VLOOKUP(T$1,main!$A$3:$I$56,7,FALSE),main!$K$10:$Q$14,7,FALSE),1,0)</f>
        <v>0</v>
      </c>
      <c r="U248">
        <f>IF(VLOOKUP(U$1,main!$A$3:$I$56,5,FALSE)-VLOOKUP($A248,main!$A$3:$I$56,6,FALSE)&gt;=VLOOKUP(59,main!$A$57:$I$61,4,FALSE)+VLOOKUP(VLOOKUP(U$1,main!$A$3:$I$56,7,FALSE),main!$K$10:$Q$14,7,FALSE),1,0)</f>
        <v>0</v>
      </c>
      <c r="V248">
        <f>IF(VLOOKUP(V$1,main!$A$3:$I$56,5,FALSE)-VLOOKUP($A248,main!$A$3:$I$56,6,FALSE)&gt;=VLOOKUP(59,main!$A$57:$I$61,4,FALSE)+VLOOKUP(VLOOKUP(V$1,main!$A$3:$I$56,7,FALSE),main!$K$10:$Q$14,7,FALSE),1,0)</f>
        <v>0</v>
      </c>
      <c r="W248">
        <f>IF(VLOOKUP(W$1,main!$A$3:$I$56,5,FALSE)-VLOOKUP($A248,main!$A$3:$I$56,6,FALSE)&gt;=VLOOKUP(59,main!$A$57:$I$61,4,FALSE)+VLOOKUP(VLOOKUP(W$1,main!$A$3:$I$56,7,FALSE),main!$K$10:$Q$14,7,FALSE),1,0)</f>
        <v>0</v>
      </c>
      <c r="X248">
        <f>IF(VLOOKUP(X$1,main!$A$3:$I$56,5,FALSE)-VLOOKUP($A248,main!$A$3:$I$56,6,FALSE)&gt;=VLOOKUP(59,main!$A$57:$I$61,4,FALSE)+VLOOKUP(VLOOKUP(X$1,main!$A$3:$I$56,7,FALSE),main!$K$10:$Q$14,7,FALSE),1,0)</f>
        <v>0</v>
      </c>
      <c r="Y248">
        <f>IF(VLOOKUP(Y$1,main!$A$3:$I$56,5,FALSE)-VLOOKUP($A248,main!$A$3:$I$56,6,FALSE)&gt;=VLOOKUP(59,main!$A$57:$I$61,4,FALSE)+VLOOKUP(VLOOKUP(Y$1,main!$A$3:$I$56,7,FALSE),main!$K$10:$Q$14,7,FALSE),1,0)</f>
        <v>0</v>
      </c>
      <c r="Z248">
        <f>IF(VLOOKUP(Z$1,main!$A$3:$I$56,5,FALSE)-VLOOKUP($A248,main!$A$3:$I$56,6,FALSE)&gt;=VLOOKUP(59,main!$A$57:$I$61,4,FALSE)+VLOOKUP(VLOOKUP(Z$1,main!$A$3:$I$56,7,FALSE),main!$K$10:$Q$14,7,FALSE),1,0)</f>
        <v>0</v>
      </c>
      <c r="AA248">
        <f>IF(VLOOKUP(AA$1,main!$A$3:$I$56,5,FALSE)-VLOOKUP($A248,main!$A$3:$I$56,6,FALSE)&gt;=VLOOKUP(59,main!$A$57:$I$61,4,FALSE)+VLOOKUP(VLOOKUP(AA$1,main!$A$3:$I$56,7,FALSE),main!$K$10:$Q$14,7,FALSE),1,0)</f>
        <v>0</v>
      </c>
      <c r="AB248">
        <f>IF(VLOOKUP(AB$1,main!$A$3:$I$56,5,FALSE)-VLOOKUP($A248,main!$A$3:$I$56,6,FALSE)&gt;=VLOOKUP(59,main!$A$57:$I$61,4,FALSE)+VLOOKUP(VLOOKUP(AB$1,main!$A$3:$I$56,7,FALSE),main!$K$10:$Q$14,7,FALSE),1,0)</f>
        <v>0</v>
      </c>
      <c r="AC248">
        <f>IF(VLOOKUP(AC$1,main!$A$3:$I$56,5,FALSE)-VLOOKUP($A248,main!$A$3:$I$56,6,FALSE)&gt;=VLOOKUP(59,main!$A$57:$I$61,4,FALSE)+VLOOKUP(VLOOKUP(AC$1,main!$A$3:$I$56,7,FALSE),main!$K$10:$Q$14,7,FALSE),1,0)</f>
        <v>0</v>
      </c>
      <c r="AD248">
        <f>IF(VLOOKUP(AD$1,main!$A$3:$I$56,5,FALSE)-VLOOKUP($A248,main!$A$3:$I$56,6,FALSE)&gt;=VLOOKUP(59,main!$A$57:$I$61,4,FALSE)+VLOOKUP(VLOOKUP(AD$1,main!$A$3:$I$56,7,FALSE),main!$K$10:$Q$14,7,FALSE),1,0)</f>
        <v>0</v>
      </c>
      <c r="AE248">
        <f>IF(VLOOKUP(AE$1,main!$A$3:$I$56,5,FALSE)-VLOOKUP($A248,main!$A$3:$I$56,6,FALSE)&gt;=VLOOKUP(59,main!$A$57:$I$61,4,FALSE)+VLOOKUP(VLOOKUP(AE$1,main!$A$3:$I$56,7,FALSE),main!$K$10:$Q$14,7,FALSE),1,0)</f>
        <v>0</v>
      </c>
      <c r="AF248">
        <f>IF(VLOOKUP(AF$1,main!$A$3:$I$56,5,FALSE)-VLOOKUP($A248,main!$A$3:$I$56,6,FALSE)&gt;=VLOOKUP(59,main!$A$57:$I$61,4,FALSE)+VLOOKUP(VLOOKUP(AF$1,main!$A$3:$I$56,7,FALSE),main!$K$10:$Q$14,7,FALSE),1,0)</f>
        <v>0</v>
      </c>
      <c r="AG248">
        <f>IF(VLOOKUP(AG$1,main!$A$3:$I$56,5,FALSE)-VLOOKUP($A248,main!$A$3:$I$56,6,FALSE)&gt;=VLOOKUP(59,main!$A$57:$I$61,4,FALSE)+VLOOKUP(VLOOKUP(AG$1,main!$A$3:$I$56,7,FALSE),main!$K$10:$Q$14,7,FALSE),1,0)</f>
        <v>0</v>
      </c>
      <c r="AH248">
        <f>IF(VLOOKUP(AH$1,main!$A$3:$I$56,5,FALSE)-VLOOKUP($A248,main!$A$3:$I$56,6,FALSE)&gt;=VLOOKUP(59,main!$A$57:$I$61,4,FALSE)+VLOOKUP(VLOOKUP(AH$1,main!$A$3:$I$56,7,FALSE),main!$K$10:$Q$14,7,FALSE),1,0)</f>
        <v>0</v>
      </c>
      <c r="AI248">
        <f>IF(VLOOKUP(AI$1,main!$A$3:$I$56,5,FALSE)-VLOOKUP($A248,main!$A$3:$I$56,6,FALSE)&gt;=VLOOKUP(59,main!$A$57:$I$61,4,FALSE)+VLOOKUP(VLOOKUP(AI$1,main!$A$3:$I$56,7,FALSE),main!$K$10:$Q$14,7,FALSE),1,0)</f>
        <v>0</v>
      </c>
      <c r="AJ248">
        <f>IF(VLOOKUP(AJ$1,main!$A$3:$I$56,5,FALSE)-VLOOKUP($A248,main!$A$3:$I$56,6,FALSE)&gt;=VLOOKUP(59,main!$A$57:$I$61,4,FALSE)+VLOOKUP(VLOOKUP(AJ$1,main!$A$3:$I$56,7,FALSE),main!$K$10:$Q$14,7,FALSE),1,0)</f>
        <v>0</v>
      </c>
      <c r="AK248">
        <f>IF(VLOOKUP(AK$1,main!$A$3:$I$56,5,FALSE)-VLOOKUP($A248,main!$A$3:$I$56,6,FALSE)&gt;=VLOOKUP(59,main!$A$57:$I$61,4,FALSE)+VLOOKUP(VLOOKUP(AK$1,main!$A$3:$I$56,7,FALSE),main!$K$10:$Q$14,7,FALSE),1,0)</f>
        <v>0</v>
      </c>
      <c r="AL248">
        <f>IF(VLOOKUP(AL$1,main!$A$3:$I$56,5,FALSE)-VLOOKUP($A248,main!$A$3:$I$56,6,FALSE)&gt;=VLOOKUP(59,main!$A$57:$I$61,4,FALSE)+VLOOKUP(VLOOKUP(AL$1,main!$A$3:$I$56,7,FALSE),main!$K$10:$Q$14,7,FALSE),1,0)</f>
        <v>0</v>
      </c>
      <c r="AM248">
        <f>IF(VLOOKUP(AM$1,main!$A$3:$I$56,5,FALSE)-VLOOKUP($A248,main!$A$3:$I$56,6,FALSE)&gt;=VLOOKUP(59,main!$A$57:$I$61,4,FALSE)+VLOOKUP(VLOOKUP(AM$1,main!$A$3:$I$56,7,FALSE),main!$K$10:$Q$14,7,FALSE),1,0)</f>
        <v>0</v>
      </c>
      <c r="AN248">
        <f>IF(VLOOKUP(AN$1,main!$A$3:$I$56,5,FALSE)-VLOOKUP($A248,main!$A$3:$I$56,6,FALSE)&gt;=VLOOKUP(59,main!$A$57:$I$61,4,FALSE)+VLOOKUP(VLOOKUP(AN$1,main!$A$3:$I$56,7,FALSE),main!$K$10:$Q$14,7,FALSE),1,0)</f>
        <v>0</v>
      </c>
      <c r="AO248">
        <f>IF(VLOOKUP(AO$1,main!$A$3:$I$56,5,FALSE)-VLOOKUP($A248,main!$A$3:$I$56,6,FALSE)&gt;=VLOOKUP(59,main!$A$57:$I$61,4,FALSE)+VLOOKUP(VLOOKUP(AO$1,main!$A$3:$I$56,7,FALSE),main!$K$10:$Q$14,7,FALSE),1,0)</f>
        <v>0</v>
      </c>
      <c r="AP248">
        <f>IF(VLOOKUP(AP$1,main!$A$3:$I$56,5,FALSE)-VLOOKUP($A248,main!$A$3:$I$56,6,FALSE)&gt;=VLOOKUP(59,main!$A$57:$I$61,4,FALSE)+VLOOKUP(VLOOKUP(AP$1,main!$A$3:$I$56,7,FALSE),main!$K$10:$Q$14,7,FALSE),1,0)</f>
        <v>0</v>
      </c>
      <c r="AQ248">
        <f>IF(VLOOKUP(AQ$1,main!$A$3:$I$56,5,FALSE)-VLOOKUP($A248,main!$A$3:$I$56,6,FALSE)&gt;=VLOOKUP(59,main!$A$57:$I$61,4,FALSE)+VLOOKUP(VLOOKUP(AQ$1,main!$A$3:$I$56,7,FALSE),main!$K$10:$Q$14,7,FALSE),1,0)</f>
        <v>0</v>
      </c>
      <c r="AR248">
        <f>IF(VLOOKUP(AR$1,main!$A$3:$I$56,5,FALSE)-VLOOKUP($A248,main!$A$3:$I$56,6,FALSE)&gt;=VLOOKUP(59,main!$A$57:$I$61,4,FALSE)+VLOOKUP(VLOOKUP(AR$1,main!$A$3:$I$56,7,FALSE),main!$K$10:$Q$14,7,FALSE),1,0)</f>
        <v>0</v>
      </c>
      <c r="AS248">
        <f>IF(VLOOKUP(AS$1,main!$A$3:$I$56,5,FALSE)-VLOOKUP($A248,main!$A$3:$I$56,6,FALSE)&gt;=VLOOKUP(59,main!$A$57:$I$61,4,FALSE)+VLOOKUP(VLOOKUP(AS$1,main!$A$3:$I$56,7,FALSE),main!$K$10:$Q$14,7,FALSE),1,0)</f>
        <v>0</v>
      </c>
      <c r="AT248">
        <f>IF(VLOOKUP(AT$1,main!$A$3:$I$56,5,FALSE)-VLOOKUP($A248,main!$A$3:$I$56,6,FALSE)&gt;=VLOOKUP(59,main!$A$57:$I$61,4,FALSE)+VLOOKUP(VLOOKUP(AT$1,main!$A$3:$I$56,7,FALSE),main!$K$10:$Q$14,7,FALSE),1,0)</f>
        <v>0</v>
      </c>
      <c r="AU248">
        <f>IF(VLOOKUP(AU$1,main!$A$3:$I$56,5,FALSE)-VLOOKUP($A248,main!$A$3:$I$56,6,FALSE)&gt;=VLOOKUP(59,main!$A$57:$I$61,4,FALSE)+VLOOKUP(VLOOKUP(AU$1,main!$A$3:$I$56,7,FALSE),main!$K$10:$Q$14,7,FALSE),1,0)</f>
        <v>0</v>
      </c>
      <c r="AV248">
        <f>IF(VLOOKUP(AV$1,main!$A$3:$I$56,5,FALSE)-VLOOKUP($A248,main!$A$3:$I$56,6,FALSE)&gt;=VLOOKUP(59,main!$A$57:$I$61,4,FALSE)+VLOOKUP(VLOOKUP(AV$1,main!$A$3:$I$56,7,FALSE),main!$K$10:$Q$14,7,FALSE),1,0)</f>
        <v>0</v>
      </c>
      <c r="AW248">
        <f>IF(VLOOKUP(AW$1,main!$A$3:$I$56,5,FALSE)-VLOOKUP($A248,main!$A$3:$I$56,6,FALSE)&gt;=VLOOKUP(59,main!$A$57:$I$61,4,FALSE)+VLOOKUP(VLOOKUP(AW$1,main!$A$3:$I$56,7,FALSE),main!$K$10:$Q$14,7,FALSE),1,0)</f>
        <v>0</v>
      </c>
      <c r="AX248">
        <f>IF(VLOOKUP(AX$1,main!$A$3:$I$56,5,FALSE)-VLOOKUP($A248,main!$A$3:$I$56,6,FALSE)&gt;=VLOOKUP(59,main!$A$57:$I$61,4,FALSE)+VLOOKUP(VLOOKUP(AX$1,main!$A$3:$I$56,7,FALSE),main!$K$10:$Q$14,7,FALSE),1,0)</f>
        <v>0</v>
      </c>
      <c r="AY248">
        <f>IF(VLOOKUP(AY$1,main!$A$3:$I$56,5,FALSE)-VLOOKUP($A248,main!$A$3:$I$56,6,FALSE)&gt;=VLOOKUP(59,main!$A$57:$I$61,4,FALSE)+VLOOKUP(VLOOKUP(AY$1,main!$A$3:$I$56,7,FALSE),main!$K$10:$Q$14,7,FALSE),1,0)</f>
        <v>0</v>
      </c>
      <c r="AZ248">
        <f>IF(VLOOKUP(AZ$1,main!$A$3:$I$56,5,FALSE)-VLOOKUP($A248,main!$A$3:$I$56,6,FALSE)&gt;=VLOOKUP(59,main!$A$57:$I$61,4,FALSE)+VLOOKUP(VLOOKUP(AZ$1,main!$A$3:$I$56,7,FALSE),main!$K$10:$Q$14,7,FALSE),1,0)</f>
        <v>0</v>
      </c>
      <c r="BA248">
        <f>IF(VLOOKUP(BA$1,main!$A$3:$I$56,5,FALSE)-VLOOKUP($A248,main!$A$3:$I$56,6,FALSE)&gt;=VLOOKUP(59,main!$A$57:$I$61,4,FALSE)+VLOOKUP(VLOOKUP(BA$1,main!$A$3:$I$56,7,FALSE),main!$K$10:$Q$14,7,FALSE),1,0)</f>
        <v>0</v>
      </c>
      <c r="BB248">
        <f>IF(VLOOKUP(BB$1,main!$A$3:$I$56,5,FALSE)-VLOOKUP($A248,main!$A$3:$I$56,6,FALSE)&gt;=VLOOKUP(59,main!$A$57:$I$61,4,FALSE)+VLOOKUP(VLOOKUP(BB$1,main!$A$3:$I$56,7,FALSE),main!$K$10:$Q$14,7,FALSE),1,0)</f>
        <v>0</v>
      </c>
      <c r="BC248">
        <f>IF(VLOOKUP(BC$1,main!$A$3:$I$56,5,FALSE)-VLOOKUP($A248,main!$A$3:$I$56,6,FALSE)&gt;=VLOOKUP(59,main!$A$57:$I$61,4,FALSE)+VLOOKUP(VLOOKUP(BC$1,main!$A$3:$I$56,7,FALSE),main!$K$10:$Q$14,7,FALSE),1,0)</f>
        <v>0</v>
      </c>
      <c r="BD248">
        <f>IF(VLOOKUP(BD$1,main!$A$3:$I$56,5,FALSE)-VLOOKUP($A248,main!$A$3:$I$56,6,FALSE)&gt;=VLOOKUP(59,main!$A$57:$I$61,4,FALSE)+VLOOKUP(VLOOKUP(BD$1,main!$A$3:$I$56,7,FALSE),main!$K$10:$Q$14,7,FALSE),1,0)</f>
        <v>0</v>
      </c>
    </row>
    <row r="249" spans="1:56" x14ac:dyDescent="0.25">
      <c r="A249">
        <f t="shared" si="4"/>
        <v>27</v>
      </c>
      <c r="B249">
        <v>0</v>
      </c>
      <c r="C249">
        <f>IF(VLOOKUP(C$1,main!$A$3:$I$56,5,FALSE)-VLOOKUP($A249,main!$A$3:$I$56,6,FALSE)&gt;=VLOOKUP(59,main!$A$57:$I$61,4,FALSE)+VLOOKUP(VLOOKUP(C$1,main!$A$3:$I$56,7,FALSE),main!$K$10:$Q$14,7,FALSE),1,0)</f>
        <v>0</v>
      </c>
      <c r="D249">
        <f>IF(VLOOKUP(D$1,main!$A$3:$I$56,5,FALSE)-VLOOKUP($A249,main!$A$3:$I$56,6,FALSE)&gt;=VLOOKUP(59,main!$A$57:$I$61,4,FALSE)+VLOOKUP(VLOOKUP(D$1,main!$A$3:$I$56,7,FALSE),main!$K$10:$Q$14,7,FALSE),1,0)</f>
        <v>1</v>
      </c>
      <c r="E249">
        <f>IF(VLOOKUP(E$1,main!$A$3:$I$56,5,FALSE)-VLOOKUP($A249,main!$A$3:$I$56,6,FALSE)&gt;=VLOOKUP(59,main!$A$57:$I$61,4,FALSE)+VLOOKUP(VLOOKUP(E$1,main!$A$3:$I$56,7,FALSE),main!$K$10:$Q$14,7,FALSE),1,0)</f>
        <v>1</v>
      </c>
      <c r="F249">
        <f>IF(VLOOKUP(F$1,main!$A$3:$I$56,5,FALSE)-VLOOKUP($A249,main!$A$3:$I$56,6,FALSE)&gt;=VLOOKUP(59,main!$A$57:$I$61,4,FALSE)+VLOOKUP(VLOOKUP(F$1,main!$A$3:$I$56,7,FALSE),main!$K$10:$Q$14,7,FALSE),1,0)</f>
        <v>1</v>
      </c>
      <c r="G249">
        <f>IF(VLOOKUP(G$1,main!$A$3:$I$56,5,FALSE)-VLOOKUP($A249,main!$A$3:$I$56,6,FALSE)&gt;=VLOOKUP(59,main!$A$57:$I$61,4,FALSE)+VLOOKUP(VLOOKUP(G$1,main!$A$3:$I$56,7,FALSE),main!$K$10:$Q$14,7,FALSE),1,0)</f>
        <v>1</v>
      </c>
      <c r="H249">
        <f>IF(VLOOKUP(H$1,main!$A$3:$I$56,5,FALSE)-VLOOKUP($A249,main!$A$3:$I$56,6,FALSE)&gt;=VLOOKUP(59,main!$A$57:$I$61,4,FALSE)+VLOOKUP(VLOOKUP(H$1,main!$A$3:$I$56,7,FALSE),main!$K$10:$Q$14,7,FALSE),1,0)</f>
        <v>1</v>
      </c>
      <c r="I249">
        <f>IF(VLOOKUP(I$1,main!$A$3:$I$56,5,FALSE)-VLOOKUP($A249,main!$A$3:$I$56,6,FALSE)&gt;=VLOOKUP(59,main!$A$57:$I$61,4,FALSE)+VLOOKUP(VLOOKUP(I$1,main!$A$3:$I$56,7,FALSE),main!$K$10:$Q$14,7,FALSE),1,0)</f>
        <v>1</v>
      </c>
      <c r="J249">
        <f>IF(VLOOKUP(J$1,main!$A$3:$I$56,5,FALSE)-VLOOKUP($A249,main!$A$3:$I$56,6,FALSE)&gt;=VLOOKUP(59,main!$A$57:$I$61,4,FALSE)+VLOOKUP(VLOOKUP(J$1,main!$A$3:$I$56,7,FALSE),main!$K$10:$Q$14,7,FALSE),1,0)</f>
        <v>1</v>
      </c>
      <c r="K249">
        <f>IF(VLOOKUP(K$1,main!$A$3:$I$56,5,FALSE)-VLOOKUP($A249,main!$A$3:$I$56,6,FALSE)&gt;=VLOOKUP(59,main!$A$57:$I$61,4,FALSE)+VLOOKUP(VLOOKUP(K$1,main!$A$3:$I$56,7,FALSE),main!$K$10:$Q$14,7,FALSE),1,0)</f>
        <v>0</v>
      </c>
      <c r="L249">
        <f>IF(VLOOKUP(L$1,main!$A$3:$I$56,5,FALSE)-VLOOKUP($A249,main!$A$3:$I$56,6,FALSE)&gt;=VLOOKUP(59,main!$A$57:$I$61,4,FALSE)+VLOOKUP(VLOOKUP(L$1,main!$A$3:$I$56,7,FALSE),main!$K$10:$Q$14,7,FALSE),1,0)</f>
        <v>0</v>
      </c>
      <c r="M249">
        <f>IF(VLOOKUP(M$1,main!$A$3:$I$56,5,FALSE)-VLOOKUP($A249,main!$A$3:$I$56,6,FALSE)&gt;=VLOOKUP(59,main!$A$57:$I$61,4,FALSE)+VLOOKUP(VLOOKUP(M$1,main!$A$3:$I$56,7,FALSE),main!$K$10:$Q$14,7,FALSE),1,0)</f>
        <v>1</v>
      </c>
      <c r="N249">
        <f>IF(VLOOKUP(N$1,main!$A$3:$I$56,5,FALSE)-VLOOKUP($A249,main!$A$3:$I$56,6,FALSE)&gt;=VLOOKUP(59,main!$A$57:$I$61,4,FALSE)+VLOOKUP(VLOOKUP(N$1,main!$A$3:$I$56,7,FALSE),main!$K$10:$Q$14,7,FALSE),1,0)</f>
        <v>1</v>
      </c>
      <c r="O249">
        <f>IF(VLOOKUP(O$1,main!$A$3:$I$56,5,FALSE)-VLOOKUP($A249,main!$A$3:$I$56,6,FALSE)&gt;=VLOOKUP(59,main!$A$57:$I$61,4,FALSE)+VLOOKUP(VLOOKUP(O$1,main!$A$3:$I$56,7,FALSE),main!$K$10:$Q$14,7,FALSE),1,0)</f>
        <v>1</v>
      </c>
      <c r="P249">
        <f>IF(VLOOKUP(P$1,main!$A$3:$I$56,5,FALSE)-VLOOKUP($A249,main!$A$3:$I$56,6,FALSE)&gt;=VLOOKUP(59,main!$A$57:$I$61,4,FALSE)+VLOOKUP(VLOOKUP(P$1,main!$A$3:$I$56,7,FALSE),main!$K$10:$Q$14,7,FALSE),1,0)</f>
        <v>0</v>
      </c>
      <c r="Q249">
        <f>IF(VLOOKUP(Q$1,main!$A$3:$I$56,5,FALSE)-VLOOKUP($A249,main!$A$3:$I$56,6,FALSE)&gt;=VLOOKUP(59,main!$A$57:$I$61,4,FALSE)+VLOOKUP(VLOOKUP(Q$1,main!$A$3:$I$56,7,FALSE),main!$K$10:$Q$14,7,FALSE),1,0)</f>
        <v>0</v>
      </c>
      <c r="R249">
        <f>IF(VLOOKUP(R$1,main!$A$3:$I$56,5,FALSE)-VLOOKUP($A249,main!$A$3:$I$56,6,FALSE)&gt;=VLOOKUP(59,main!$A$57:$I$61,4,FALSE)+VLOOKUP(VLOOKUP(R$1,main!$A$3:$I$56,7,FALSE),main!$K$10:$Q$14,7,FALSE),1,0)</f>
        <v>1</v>
      </c>
      <c r="S249">
        <f>IF(VLOOKUP(S$1,main!$A$3:$I$56,5,FALSE)-VLOOKUP($A249,main!$A$3:$I$56,6,FALSE)&gt;=VLOOKUP(59,main!$A$57:$I$61,4,FALSE)+VLOOKUP(VLOOKUP(S$1,main!$A$3:$I$56,7,FALSE),main!$K$10:$Q$14,7,FALSE),1,0)</f>
        <v>1</v>
      </c>
      <c r="T249">
        <f>IF(VLOOKUP(T$1,main!$A$3:$I$56,5,FALSE)-VLOOKUP($A249,main!$A$3:$I$56,6,FALSE)&gt;=VLOOKUP(59,main!$A$57:$I$61,4,FALSE)+VLOOKUP(VLOOKUP(T$1,main!$A$3:$I$56,7,FALSE),main!$K$10:$Q$14,7,FALSE),1,0)</f>
        <v>1</v>
      </c>
      <c r="U249">
        <f>IF(VLOOKUP(U$1,main!$A$3:$I$56,5,FALSE)-VLOOKUP($A249,main!$A$3:$I$56,6,FALSE)&gt;=VLOOKUP(59,main!$A$57:$I$61,4,FALSE)+VLOOKUP(VLOOKUP(U$1,main!$A$3:$I$56,7,FALSE),main!$K$10:$Q$14,7,FALSE),1,0)</f>
        <v>0</v>
      </c>
      <c r="V249">
        <f>IF(VLOOKUP(V$1,main!$A$3:$I$56,5,FALSE)-VLOOKUP($A249,main!$A$3:$I$56,6,FALSE)&gt;=VLOOKUP(59,main!$A$57:$I$61,4,FALSE)+VLOOKUP(VLOOKUP(V$1,main!$A$3:$I$56,7,FALSE),main!$K$10:$Q$14,7,FALSE),1,0)</f>
        <v>1</v>
      </c>
      <c r="W249">
        <f>IF(VLOOKUP(W$1,main!$A$3:$I$56,5,FALSE)-VLOOKUP($A249,main!$A$3:$I$56,6,FALSE)&gt;=VLOOKUP(59,main!$A$57:$I$61,4,FALSE)+VLOOKUP(VLOOKUP(W$1,main!$A$3:$I$56,7,FALSE),main!$K$10:$Q$14,7,FALSE),1,0)</f>
        <v>1</v>
      </c>
      <c r="X249">
        <f>IF(VLOOKUP(X$1,main!$A$3:$I$56,5,FALSE)-VLOOKUP($A249,main!$A$3:$I$56,6,FALSE)&gt;=VLOOKUP(59,main!$A$57:$I$61,4,FALSE)+VLOOKUP(VLOOKUP(X$1,main!$A$3:$I$56,7,FALSE),main!$K$10:$Q$14,7,FALSE),1,0)</f>
        <v>1</v>
      </c>
      <c r="Y249">
        <f>IF(VLOOKUP(Y$1,main!$A$3:$I$56,5,FALSE)-VLOOKUP($A249,main!$A$3:$I$56,6,FALSE)&gt;=VLOOKUP(59,main!$A$57:$I$61,4,FALSE)+VLOOKUP(VLOOKUP(Y$1,main!$A$3:$I$56,7,FALSE),main!$K$10:$Q$14,7,FALSE),1,0)</f>
        <v>1</v>
      </c>
      <c r="Z249">
        <f>IF(VLOOKUP(Z$1,main!$A$3:$I$56,5,FALSE)-VLOOKUP($A249,main!$A$3:$I$56,6,FALSE)&gt;=VLOOKUP(59,main!$A$57:$I$61,4,FALSE)+VLOOKUP(VLOOKUP(Z$1,main!$A$3:$I$56,7,FALSE),main!$K$10:$Q$14,7,FALSE),1,0)</f>
        <v>1</v>
      </c>
      <c r="AA249">
        <f>IF(VLOOKUP(AA$1,main!$A$3:$I$56,5,FALSE)-VLOOKUP($A249,main!$A$3:$I$56,6,FALSE)&gt;=VLOOKUP(59,main!$A$57:$I$61,4,FALSE)+VLOOKUP(VLOOKUP(AA$1,main!$A$3:$I$56,7,FALSE),main!$K$10:$Q$14,7,FALSE),1,0)</f>
        <v>1</v>
      </c>
      <c r="AB249">
        <f>IF(VLOOKUP(AB$1,main!$A$3:$I$56,5,FALSE)-VLOOKUP($A249,main!$A$3:$I$56,6,FALSE)&gt;=VLOOKUP(59,main!$A$57:$I$61,4,FALSE)+VLOOKUP(VLOOKUP(AB$1,main!$A$3:$I$56,7,FALSE),main!$K$10:$Q$14,7,FALSE),1,0)</f>
        <v>1</v>
      </c>
      <c r="AC249">
        <f>IF(VLOOKUP(AC$1,main!$A$3:$I$56,5,FALSE)-VLOOKUP($A249,main!$A$3:$I$56,6,FALSE)&gt;=VLOOKUP(59,main!$A$57:$I$61,4,FALSE)+VLOOKUP(VLOOKUP(AC$1,main!$A$3:$I$56,7,FALSE),main!$K$10:$Q$14,7,FALSE),1,0)</f>
        <v>0</v>
      </c>
      <c r="AD249">
        <f>IF(VLOOKUP(AD$1,main!$A$3:$I$56,5,FALSE)-VLOOKUP($A249,main!$A$3:$I$56,6,FALSE)&gt;=VLOOKUP(59,main!$A$57:$I$61,4,FALSE)+VLOOKUP(VLOOKUP(AD$1,main!$A$3:$I$56,7,FALSE),main!$K$10:$Q$14,7,FALSE),1,0)</f>
        <v>0</v>
      </c>
      <c r="AE249">
        <f>IF(VLOOKUP(AE$1,main!$A$3:$I$56,5,FALSE)-VLOOKUP($A249,main!$A$3:$I$56,6,FALSE)&gt;=VLOOKUP(59,main!$A$57:$I$61,4,FALSE)+VLOOKUP(VLOOKUP(AE$1,main!$A$3:$I$56,7,FALSE),main!$K$10:$Q$14,7,FALSE),1,0)</f>
        <v>1</v>
      </c>
      <c r="AF249">
        <f>IF(VLOOKUP(AF$1,main!$A$3:$I$56,5,FALSE)-VLOOKUP($A249,main!$A$3:$I$56,6,FALSE)&gt;=VLOOKUP(59,main!$A$57:$I$61,4,FALSE)+VLOOKUP(VLOOKUP(AF$1,main!$A$3:$I$56,7,FALSE),main!$K$10:$Q$14,7,FALSE),1,0)</f>
        <v>1</v>
      </c>
      <c r="AG249">
        <f>IF(VLOOKUP(AG$1,main!$A$3:$I$56,5,FALSE)-VLOOKUP($A249,main!$A$3:$I$56,6,FALSE)&gt;=VLOOKUP(59,main!$A$57:$I$61,4,FALSE)+VLOOKUP(VLOOKUP(AG$1,main!$A$3:$I$56,7,FALSE),main!$K$10:$Q$14,7,FALSE),1,0)</f>
        <v>0</v>
      </c>
      <c r="AH249">
        <f>IF(VLOOKUP(AH$1,main!$A$3:$I$56,5,FALSE)-VLOOKUP($A249,main!$A$3:$I$56,6,FALSE)&gt;=VLOOKUP(59,main!$A$57:$I$61,4,FALSE)+VLOOKUP(VLOOKUP(AH$1,main!$A$3:$I$56,7,FALSE),main!$K$10:$Q$14,7,FALSE),1,0)</f>
        <v>0</v>
      </c>
      <c r="AI249">
        <f>IF(VLOOKUP(AI$1,main!$A$3:$I$56,5,FALSE)-VLOOKUP($A249,main!$A$3:$I$56,6,FALSE)&gt;=VLOOKUP(59,main!$A$57:$I$61,4,FALSE)+VLOOKUP(VLOOKUP(AI$1,main!$A$3:$I$56,7,FALSE),main!$K$10:$Q$14,7,FALSE),1,0)</f>
        <v>1</v>
      </c>
      <c r="AJ249">
        <f>IF(VLOOKUP(AJ$1,main!$A$3:$I$56,5,FALSE)-VLOOKUP($A249,main!$A$3:$I$56,6,FALSE)&gt;=VLOOKUP(59,main!$A$57:$I$61,4,FALSE)+VLOOKUP(VLOOKUP(AJ$1,main!$A$3:$I$56,7,FALSE),main!$K$10:$Q$14,7,FALSE),1,0)</f>
        <v>1</v>
      </c>
      <c r="AK249">
        <f>IF(VLOOKUP(AK$1,main!$A$3:$I$56,5,FALSE)-VLOOKUP($A249,main!$A$3:$I$56,6,FALSE)&gt;=VLOOKUP(59,main!$A$57:$I$61,4,FALSE)+VLOOKUP(VLOOKUP(AK$1,main!$A$3:$I$56,7,FALSE),main!$K$10:$Q$14,7,FALSE),1,0)</f>
        <v>1</v>
      </c>
      <c r="AL249">
        <f>IF(VLOOKUP(AL$1,main!$A$3:$I$56,5,FALSE)-VLOOKUP($A249,main!$A$3:$I$56,6,FALSE)&gt;=VLOOKUP(59,main!$A$57:$I$61,4,FALSE)+VLOOKUP(VLOOKUP(AL$1,main!$A$3:$I$56,7,FALSE),main!$K$10:$Q$14,7,FALSE),1,0)</f>
        <v>0</v>
      </c>
      <c r="AM249">
        <f>IF(VLOOKUP(AM$1,main!$A$3:$I$56,5,FALSE)-VLOOKUP($A249,main!$A$3:$I$56,6,FALSE)&gt;=VLOOKUP(59,main!$A$57:$I$61,4,FALSE)+VLOOKUP(VLOOKUP(AM$1,main!$A$3:$I$56,7,FALSE),main!$K$10:$Q$14,7,FALSE),1,0)</f>
        <v>0</v>
      </c>
      <c r="AN249">
        <f>IF(VLOOKUP(AN$1,main!$A$3:$I$56,5,FALSE)-VLOOKUP($A249,main!$A$3:$I$56,6,FALSE)&gt;=VLOOKUP(59,main!$A$57:$I$61,4,FALSE)+VLOOKUP(VLOOKUP(AN$1,main!$A$3:$I$56,7,FALSE),main!$K$10:$Q$14,7,FALSE),1,0)</f>
        <v>1</v>
      </c>
      <c r="AO249">
        <f>IF(VLOOKUP(AO$1,main!$A$3:$I$56,5,FALSE)-VLOOKUP($A249,main!$A$3:$I$56,6,FALSE)&gt;=VLOOKUP(59,main!$A$57:$I$61,4,FALSE)+VLOOKUP(VLOOKUP(AO$1,main!$A$3:$I$56,7,FALSE),main!$K$10:$Q$14,7,FALSE),1,0)</f>
        <v>1</v>
      </c>
      <c r="AP249">
        <f>IF(VLOOKUP(AP$1,main!$A$3:$I$56,5,FALSE)-VLOOKUP($A249,main!$A$3:$I$56,6,FALSE)&gt;=VLOOKUP(59,main!$A$57:$I$61,4,FALSE)+VLOOKUP(VLOOKUP(AP$1,main!$A$3:$I$56,7,FALSE),main!$K$10:$Q$14,7,FALSE),1,0)</f>
        <v>0</v>
      </c>
      <c r="AQ249">
        <f>IF(VLOOKUP(AQ$1,main!$A$3:$I$56,5,FALSE)-VLOOKUP($A249,main!$A$3:$I$56,6,FALSE)&gt;=VLOOKUP(59,main!$A$57:$I$61,4,FALSE)+VLOOKUP(VLOOKUP(AQ$1,main!$A$3:$I$56,7,FALSE),main!$K$10:$Q$14,7,FALSE),1,0)</f>
        <v>0</v>
      </c>
      <c r="AR249">
        <f>IF(VLOOKUP(AR$1,main!$A$3:$I$56,5,FALSE)-VLOOKUP($A249,main!$A$3:$I$56,6,FALSE)&gt;=VLOOKUP(59,main!$A$57:$I$61,4,FALSE)+VLOOKUP(VLOOKUP(AR$1,main!$A$3:$I$56,7,FALSE),main!$K$10:$Q$14,7,FALSE),1,0)</f>
        <v>0</v>
      </c>
      <c r="AS249">
        <f>IF(VLOOKUP(AS$1,main!$A$3:$I$56,5,FALSE)-VLOOKUP($A249,main!$A$3:$I$56,6,FALSE)&gt;=VLOOKUP(59,main!$A$57:$I$61,4,FALSE)+VLOOKUP(VLOOKUP(AS$1,main!$A$3:$I$56,7,FALSE),main!$K$10:$Q$14,7,FALSE),1,0)</f>
        <v>1</v>
      </c>
      <c r="AT249">
        <f>IF(VLOOKUP(AT$1,main!$A$3:$I$56,5,FALSE)-VLOOKUP($A249,main!$A$3:$I$56,6,FALSE)&gt;=VLOOKUP(59,main!$A$57:$I$61,4,FALSE)+VLOOKUP(VLOOKUP(AT$1,main!$A$3:$I$56,7,FALSE),main!$K$10:$Q$14,7,FALSE),1,0)</f>
        <v>1</v>
      </c>
      <c r="AU249">
        <f>IF(VLOOKUP(AU$1,main!$A$3:$I$56,5,FALSE)-VLOOKUP($A249,main!$A$3:$I$56,6,FALSE)&gt;=VLOOKUP(59,main!$A$57:$I$61,4,FALSE)+VLOOKUP(VLOOKUP(AU$1,main!$A$3:$I$56,7,FALSE),main!$K$10:$Q$14,7,FALSE),1,0)</f>
        <v>1</v>
      </c>
      <c r="AV249">
        <f>IF(VLOOKUP(AV$1,main!$A$3:$I$56,5,FALSE)-VLOOKUP($A249,main!$A$3:$I$56,6,FALSE)&gt;=VLOOKUP(59,main!$A$57:$I$61,4,FALSE)+VLOOKUP(VLOOKUP(AV$1,main!$A$3:$I$56,7,FALSE),main!$K$10:$Q$14,7,FALSE),1,0)</f>
        <v>1</v>
      </c>
      <c r="AW249">
        <f>IF(VLOOKUP(AW$1,main!$A$3:$I$56,5,FALSE)-VLOOKUP($A249,main!$A$3:$I$56,6,FALSE)&gt;=VLOOKUP(59,main!$A$57:$I$61,4,FALSE)+VLOOKUP(VLOOKUP(AW$1,main!$A$3:$I$56,7,FALSE),main!$K$10:$Q$14,7,FALSE),1,0)</f>
        <v>1</v>
      </c>
      <c r="AX249">
        <f>IF(VLOOKUP(AX$1,main!$A$3:$I$56,5,FALSE)-VLOOKUP($A249,main!$A$3:$I$56,6,FALSE)&gt;=VLOOKUP(59,main!$A$57:$I$61,4,FALSE)+VLOOKUP(VLOOKUP(AX$1,main!$A$3:$I$56,7,FALSE),main!$K$10:$Q$14,7,FALSE),1,0)</f>
        <v>1</v>
      </c>
      <c r="AY249">
        <f>IF(VLOOKUP(AY$1,main!$A$3:$I$56,5,FALSE)-VLOOKUP($A249,main!$A$3:$I$56,6,FALSE)&gt;=VLOOKUP(59,main!$A$57:$I$61,4,FALSE)+VLOOKUP(VLOOKUP(AY$1,main!$A$3:$I$56,7,FALSE),main!$K$10:$Q$14,7,FALSE),1,0)</f>
        <v>1</v>
      </c>
      <c r="AZ249">
        <f>IF(VLOOKUP(AZ$1,main!$A$3:$I$56,5,FALSE)-VLOOKUP($A249,main!$A$3:$I$56,6,FALSE)&gt;=VLOOKUP(59,main!$A$57:$I$61,4,FALSE)+VLOOKUP(VLOOKUP(AZ$1,main!$A$3:$I$56,7,FALSE),main!$K$10:$Q$14,7,FALSE),1,0)</f>
        <v>1</v>
      </c>
      <c r="BA249">
        <f>IF(VLOOKUP(BA$1,main!$A$3:$I$56,5,FALSE)-VLOOKUP($A249,main!$A$3:$I$56,6,FALSE)&gt;=VLOOKUP(59,main!$A$57:$I$61,4,FALSE)+VLOOKUP(VLOOKUP(BA$1,main!$A$3:$I$56,7,FALSE),main!$K$10:$Q$14,7,FALSE),1,0)</f>
        <v>1</v>
      </c>
      <c r="BB249">
        <f>IF(VLOOKUP(BB$1,main!$A$3:$I$56,5,FALSE)-VLOOKUP($A249,main!$A$3:$I$56,6,FALSE)&gt;=VLOOKUP(59,main!$A$57:$I$61,4,FALSE)+VLOOKUP(VLOOKUP(BB$1,main!$A$3:$I$56,7,FALSE),main!$K$10:$Q$14,7,FALSE),1,0)</f>
        <v>1</v>
      </c>
      <c r="BC249">
        <f>IF(VLOOKUP(BC$1,main!$A$3:$I$56,5,FALSE)-VLOOKUP($A249,main!$A$3:$I$56,6,FALSE)&gt;=VLOOKUP(59,main!$A$57:$I$61,4,FALSE)+VLOOKUP(VLOOKUP(BC$1,main!$A$3:$I$56,7,FALSE),main!$K$10:$Q$14,7,FALSE),1,0)</f>
        <v>1</v>
      </c>
      <c r="BD249">
        <f>IF(VLOOKUP(BD$1,main!$A$3:$I$56,5,FALSE)-VLOOKUP($A249,main!$A$3:$I$56,6,FALSE)&gt;=VLOOKUP(59,main!$A$57:$I$61,4,FALSE)+VLOOKUP(VLOOKUP(BD$1,main!$A$3:$I$56,7,FALSE),main!$K$10:$Q$14,7,FALSE),1,0)</f>
        <v>1</v>
      </c>
    </row>
    <row r="250" spans="1:56" x14ac:dyDescent="0.25">
      <c r="A250">
        <f t="shared" si="4"/>
        <v>28</v>
      </c>
      <c r="B250">
        <v>0</v>
      </c>
      <c r="C250">
        <f>IF(VLOOKUP(C$1,main!$A$3:$I$56,5,FALSE)-VLOOKUP($A250,main!$A$3:$I$56,6,FALSE)&gt;=VLOOKUP(59,main!$A$57:$I$61,4,FALSE)+VLOOKUP(VLOOKUP(C$1,main!$A$3:$I$56,7,FALSE),main!$K$10:$Q$14,7,FALSE),1,0)</f>
        <v>0</v>
      </c>
      <c r="D250">
        <f>IF(VLOOKUP(D$1,main!$A$3:$I$56,5,FALSE)-VLOOKUP($A250,main!$A$3:$I$56,6,FALSE)&gt;=VLOOKUP(59,main!$A$57:$I$61,4,FALSE)+VLOOKUP(VLOOKUP(D$1,main!$A$3:$I$56,7,FALSE),main!$K$10:$Q$14,7,FALSE),1,0)</f>
        <v>0</v>
      </c>
      <c r="E250">
        <f>IF(VLOOKUP(E$1,main!$A$3:$I$56,5,FALSE)-VLOOKUP($A250,main!$A$3:$I$56,6,FALSE)&gt;=VLOOKUP(59,main!$A$57:$I$61,4,FALSE)+VLOOKUP(VLOOKUP(E$1,main!$A$3:$I$56,7,FALSE),main!$K$10:$Q$14,7,FALSE),1,0)</f>
        <v>0</v>
      </c>
      <c r="F250">
        <f>IF(VLOOKUP(F$1,main!$A$3:$I$56,5,FALSE)-VLOOKUP($A250,main!$A$3:$I$56,6,FALSE)&gt;=VLOOKUP(59,main!$A$57:$I$61,4,FALSE)+VLOOKUP(VLOOKUP(F$1,main!$A$3:$I$56,7,FALSE),main!$K$10:$Q$14,7,FALSE),1,0)</f>
        <v>0</v>
      </c>
      <c r="G250">
        <f>IF(VLOOKUP(G$1,main!$A$3:$I$56,5,FALSE)-VLOOKUP($A250,main!$A$3:$I$56,6,FALSE)&gt;=VLOOKUP(59,main!$A$57:$I$61,4,FALSE)+VLOOKUP(VLOOKUP(G$1,main!$A$3:$I$56,7,FALSE),main!$K$10:$Q$14,7,FALSE),1,0)</f>
        <v>0</v>
      </c>
      <c r="H250">
        <f>IF(VLOOKUP(H$1,main!$A$3:$I$56,5,FALSE)-VLOOKUP($A250,main!$A$3:$I$56,6,FALSE)&gt;=VLOOKUP(59,main!$A$57:$I$61,4,FALSE)+VLOOKUP(VLOOKUP(H$1,main!$A$3:$I$56,7,FALSE),main!$K$10:$Q$14,7,FALSE),1,0)</f>
        <v>1</v>
      </c>
      <c r="I250">
        <f>IF(VLOOKUP(I$1,main!$A$3:$I$56,5,FALSE)-VLOOKUP($A250,main!$A$3:$I$56,6,FALSE)&gt;=VLOOKUP(59,main!$A$57:$I$61,4,FALSE)+VLOOKUP(VLOOKUP(I$1,main!$A$3:$I$56,7,FALSE),main!$K$10:$Q$14,7,FALSE),1,0)</f>
        <v>1</v>
      </c>
      <c r="J250">
        <f>IF(VLOOKUP(J$1,main!$A$3:$I$56,5,FALSE)-VLOOKUP($A250,main!$A$3:$I$56,6,FALSE)&gt;=VLOOKUP(59,main!$A$57:$I$61,4,FALSE)+VLOOKUP(VLOOKUP(J$1,main!$A$3:$I$56,7,FALSE),main!$K$10:$Q$14,7,FALSE),1,0)</f>
        <v>1</v>
      </c>
      <c r="K250">
        <f>IF(VLOOKUP(K$1,main!$A$3:$I$56,5,FALSE)-VLOOKUP($A250,main!$A$3:$I$56,6,FALSE)&gt;=VLOOKUP(59,main!$A$57:$I$61,4,FALSE)+VLOOKUP(VLOOKUP(K$1,main!$A$3:$I$56,7,FALSE),main!$K$10:$Q$14,7,FALSE),1,0)</f>
        <v>0</v>
      </c>
      <c r="L250">
        <f>IF(VLOOKUP(L$1,main!$A$3:$I$56,5,FALSE)-VLOOKUP($A250,main!$A$3:$I$56,6,FALSE)&gt;=VLOOKUP(59,main!$A$57:$I$61,4,FALSE)+VLOOKUP(VLOOKUP(L$1,main!$A$3:$I$56,7,FALSE),main!$K$10:$Q$14,7,FALSE),1,0)</f>
        <v>0</v>
      </c>
      <c r="M250">
        <f>IF(VLOOKUP(M$1,main!$A$3:$I$56,5,FALSE)-VLOOKUP($A250,main!$A$3:$I$56,6,FALSE)&gt;=VLOOKUP(59,main!$A$57:$I$61,4,FALSE)+VLOOKUP(VLOOKUP(M$1,main!$A$3:$I$56,7,FALSE),main!$K$10:$Q$14,7,FALSE),1,0)</f>
        <v>0</v>
      </c>
      <c r="N250">
        <f>IF(VLOOKUP(N$1,main!$A$3:$I$56,5,FALSE)-VLOOKUP($A250,main!$A$3:$I$56,6,FALSE)&gt;=VLOOKUP(59,main!$A$57:$I$61,4,FALSE)+VLOOKUP(VLOOKUP(N$1,main!$A$3:$I$56,7,FALSE),main!$K$10:$Q$14,7,FALSE),1,0)</f>
        <v>1</v>
      </c>
      <c r="O250">
        <f>IF(VLOOKUP(O$1,main!$A$3:$I$56,5,FALSE)-VLOOKUP($A250,main!$A$3:$I$56,6,FALSE)&gt;=VLOOKUP(59,main!$A$57:$I$61,4,FALSE)+VLOOKUP(VLOOKUP(O$1,main!$A$3:$I$56,7,FALSE),main!$K$10:$Q$14,7,FALSE),1,0)</f>
        <v>1</v>
      </c>
      <c r="P250">
        <f>IF(VLOOKUP(P$1,main!$A$3:$I$56,5,FALSE)-VLOOKUP($A250,main!$A$3:$I$56,6,FALSE)&gt;=VLOOKUP(59,main!$A$57:$I$61,4,FALSE)+VLOOKUP(VLOOKUP(P$1,main!$A$3:$I$56,7,FALSE),main!$K$10:$Q$14,7,FALSE),1,0)</f>
        <v>0</v>
      </c>
      <c r="Q250">
        <f>IF(VLOOKUP(Q$1,main!$A$3:$I$56,5,FALSE)-VLOOKUP($A250,main!$A$3:$I$56,6,FALSE)&gt;=VLOOKUP(59,main!$A$57:$I$61,4,FALSE)+VLOOKUP(VLOOKUP(Q$1,main!$A$3:$I$56,7,FALSE),main!$K$10:$Q$14,7,FALSE),1,0)</f>
        <v>0</v>
      </c>
      <c r="R250">
        <f>IF(VLOOKUP(R$1,main!$A$3:$I$56,5,FALSE)-VLOOKUP($A250,main!$A$3:$I$56,6,FALSE)&gt;=VLOOKUP(59,main!$A$57:$I$61,4,FALSE)+VLOOKUP(VLOOKUP(R$1,main!$A$3:$I$56,7,FALSE),main!$K$10:$Q$14,7,FALSE),1,0)</f>
        <v>0</v>
      </c>
      <c r="S250">
        <f>IF(VLOOKUP(S$1,main!$A$3:$I$56,5,FALSE)-VLOOKUP($A250,main!$A$3:$I$56,6,FALSE)&gt;=VLOOKUP(59,main!$A$57:$I$61,4,FALSE)+VLOOKUP(VLOOKUP(S$1,main!$A$3:$I$56,7,FALSE),main!$K$10:$Q$14,7,FALSE),1,0)</f>
        <v>0</v>
      </c>
      <c r="T250">
        <f>IF(VLOOKUP(T$1,main!$A$3:$I$56,5,FALSE)-VLOOKUP($A250,main!$A$3:$I$56,6,FALSE)&gt;=VLOOKUP(59,main!$A$57:$I$61,4,FALSE)+VLOOKUP(VLOOKUP(T$1,main!$A$3:$I$56,7,FALSE),main!$K$10:$Q$14,7,FALSE),1,0)</f>
        <v>1</v>
      </c>
      <c r="U250">
        <f>IF(VLOOKUP(U$1,main!$A$3:$I$56,5,FALSE)-VLOOKUP($A250,main!$A$3:$I$56,6,FALSE)&gt;=VLOOKUP(59,main!$A$57:$I$61,4,FALSE)+VLOOKUP(VLOOKUP(U$1,main!$A$3:$I$56,7,FALSE),main!$K$10:$Q$14,7,FALSE),1,0)</f>
        <v>0</v>
      </c>
      <c r="V250">
        <f>IF(VLOOKUP(V$1,main!$A$3:$I$56,5,FALSE)-VLOOKUP($A250,main!$A$3:$I$56,6,FALSE)&gt;=VLOOKUP(59,main!$A$57:$I$61,4,FALSE)+VLOOKUP(VLOOKUP(V$1,main!$A$3:$I$56,7,FALSE),main!$K$10:$Q$14,7,FALSE),1,0)</f>
        <v>0</v>
      </c>
      <c r="W250">
        <f>IF(VLOOKUP(W$1,main!$A$3:$I$56,5,FALSE)-VLOOKUP($A250,main!$A$3:$I$56,6,FALSE)&gt;=VLOOKUP(59,main!$A$57:$I$61,4,FALSE)+VLOOKUP(VLOOKUP(W$1,main!$A$3:$I$56,7,FALSE),main!$K$10:$Q$14,7,FALSE),1,0)</f>
        <v>0</v>
      </c>
      <c r="X250">
        <f>IF(VLOOKUP(X$1,main!$A$3:$I$56,5,FALSE)-VLOOKUP($A250,main!$A$3:$I$56,6,FALSE)&gt;=VLOOKUP(59,main!$A$57:$I$61,4,FALSE)+VLOOKUP(VLOOKUP(X$1,main!$A$3:$I$56,7,FALSE),main!$K$10:$Q$14,7,FALSE),1,0)</f>
        <v>0</v>
      </c>
      <c r="Y250">
        <f>IF(VLOOKUP(Y$1,main!$A$3:$I$56,5,FALSE)-VLOOKUP($A250,main!$A$3:$I$56,6,FALSE)&gt;=VLOOKUP(59,main!$A$57:$I$61,4,FALSE)+VLOOKUP(VLOOKUP(Y$1,main!$A$3:$I$56,7,FALSE),main!$K$10:$Q$14,7,FALSE),1,0)</f>
        <v>0</v>
      </c>
      <c r="Z250">
        <f>IF(VLOOKUP(Z$1,main!$A$3:$I$56,5,FALSE)-VLOOKUP($A250,main!$A$3:$I$56,6,FALSE)&gt;=VLOOKUP(59,main!$A$57:$I$61,4,FALSE)+VLOOKUP(VLOOKUP(Z$1,main!$A$3:$I$56,7,FALSE),main!$K$10:$Q$14,7,FALSE),1,0)</f>
        <v>1</v>
      </c>
      <c r="AA250">
        <f>IF(VLOOKUP(AA$1,main!$A$3:$I$56,5,FALSE)-VLOOKUP($A250,main!$A$3:$I$56,6,FALSE)&gt;=VLOOKUP(59,main!$A$57:$I$61,4,FALSE)+VLOOKUP(VLOOKUP(AA$1,main!$A$3:$I$56,7,FALSE),main!$K$10:$Q$14,7,FALSE),1,0)</f>
        <v>1</v>
      </c>
      <c r="AB250">
        <f>IF(VLOOKUP(AB$1,main!$A$3:$I$56,5,FALSE)-VLOOKUP($A250,main!$A$3:$I$56,6,FALSE)&gt;=VLOOKUP(59,main!$A$57:$I$61,4,FALSE)+VLOOKUP(VLOOKUP(AB$1,main!$A$3:$I$56,7,FALSE),main!$K$10:$Q$14,7,FALSE),1,0)</f>
        <v>1</v>
      </c>
      <c r="AC250">
        <f>IF(VLOOKUP(AC$1,main!$A$3:$I$56,5,FALSE)-VLOOKUP($A250,main!$A$3:$I$56,6,FALSE)&gt;=VLOOKUP(59,main!$A$57:$I$61,4,FALSE)+VLOOKUP(VLOOKUP(AC$1,main!$A$3:$I$56,7,FALSE),main!$K$10:$Q$14,7,FALSE),1,0)</f>
        <v>0</v>
      </c>
      <c r="AD250">
        <f>IF(VLOOKUP(AD$1,main!$A$3:$I$56,5,FALSE)-VLOOKUP($A250,main!$A$3:$I$56,6,FALSE)&gt;=VLOOKUP(59,main!$A$57:$I$61,4,FALSE)+VLOOKUP(VLOOKUP(AD$1,main!$A$3:$I$56,7,FALSE),main!$K$10:$Q$14,7,FALSE),1,0)</f>
        <v>0</v>
      </c>
      <c r="AE250">
        <f>IF(VLOOKUP(AE$1,main!$A$3:$I$56,5,FALSE)-VLOOKUP($A250,main!$A$3:$I$56,6,FALSE)&gt;=VLOOKUP(59,main!$A$57:$I$61,4,FALSE)+VLOOKUP(VLOOKUP(AE$1,main!$A$3:$I$56,7,FALSE),main!$K$10:$Q$14,7,FALSE),1,0)</f>
        <v>0</v>
      </c>
      <c r="AF250">
        <f>IF(VLOOKUP(AF$1,main!$A$3:$I$56,5,FALSE)-VLOOKUP($A250,main!$A$3:$I$56,6,FALSE)&gt;=VLOOKUP(59,main!$A$57:$I$61,4,FALSE)+VLOOKUP(VLOOKUP(AF$1,main!$A$3:$I$56,7,FALSE),main!$K$10:$Q$14,7,FALSE),1,0)</f>
        <v>1</v>
      </c>
      <c r="AG250">
        <f>IF(VLOOKUP(AG$1,main!$A$3:$I$56,5,FALSE)-VLOOKUP($A250,main!$A$3:$I$56,6,FALSE)&gt;=VLOOKUP(59,main!$A$57:$I$61,4,FALSE)+VLOOKUP(VLOOKUP(AG$1,main!$A$3:$I$56,7,FALSE),main!$K$10:$Q$14,7,FALSE),1,0)</f>
        <v>0</v>
      </c>
      <c r="AH250">
        <f>IF(VLOOKUP(AH$1,main!$A$3:$I$56,5,FALSE)-VLOOKUP($A250,main!$A$3:$I$56,6,FALSE)&gt;=VLOOKUP(59,main!$A$57:$I$61,4,FALSE)+VLOOKUP(VLOOKUP(AH$1,main!$A$3:$I$56,7,FALSE),main!$K$10:$Q$14,7,FALSE),1,0)</f>
        <v>0</v>
      </c>
      <c r="AI250">
        <f>IF(VLOOKUP(AI$1,main!$A$3:$I$56,5,FALSE)-VLOOKUP($A250,main!$A$3:$I$56,6,FALSE)&gt;=VLOOKUP(59,main!$A$57:$I$61,4,FALSE)+VLOOKUP(VLOOKUP(AI$1,main!$A$3:$I$56,7,FALSE),main!$K$10:$Q$14,7,FALSE),1,0)</f>
        <v>0</v>
      </c>
      <c r="AJ250">
        <f>IF(VLOOKUP(AJ$1,main!$A$3:$I$56,5,FALSE)-VLOOKUP($A250,main!$A$3:$I$56,6,FALSE)&gt;=VLOOKUP(59,main!$A$57:$I$61,4,FALSE)+VLOOKUP(VLOOKUP(AJ$1,main!$A$3:$I$56,7,FALSE),main!$K$10:$Q$14,7,FALSE),1,0)</f>
        <v>0</v>
      </c>
      <c r="AK250">
        <f>IF(VLOOKUP(AK$1,main!$A$3:$I$56,5,FALSE)-VLOOKUP($A250,main!$A$3:$I$56,6,FALSE)&gt;=VLOOKUP(59,main!$A$57:$I$61,4,FALSE)+VLOOKUP(VLOOKUP(AK$1,main!$A$3:$I$56,7,FALSE),main!$K$10:$Q$14,7,FALSE),1,0)</f>
        <v>0</v>
      </c>
      <c r="AL250">
        <f>IF(VLOOKUP(AL$1,main!$A$3:$I$56,5,FALSE)-VLOOKUP($A250,main!$A$3:$I$56,6,FALSE)&gt;=VLOOKUP(59,main!$A$57:$I$61,4,FALSE)+VLOOKUP(VLOOKUP(AL$1,main!$A$3:$I$56,7,FALSE),main!$K$10:$Q$14,7,FALSE),1,0)</f>
        <v>0</v>
      </c>
      <c r="AM250">
        <f>IF(VLOOKUP(AM$1,main!$A$3:$I$56,5,FALSE)-VLOOKUP($A250,main!$A$3:$I$56,6,FALSE)&gt;=VLOOKUP(59,main!$A$57:$I$61,4,FALSE)+VLOOKUP(VLOOKUP(AM$1,main!$A$3:$I$56,7,FALSE),main!$K$10:$Q$14,7,FALSE),1,0)</f>
        <v>0</v>
      </c>
      <c r="AN250">
        <f>IF(VLOOKUP(AN$1,main!$A$3:$I$56,5,FALSE)-VLOOKUP($A250,main!$A$3:$I$56,6,FALSE)&gt;=VLOOKUP(59,main!$A$57:$I$61,4,FALSE)+VLOOKUP(VLOOKUP(AN$1,main!$A$3:$I$56,7,FALSE),main!$K$10:$Q$14,7,FALSE),1,0)</f>
        <v>0</v>
      </c>
      <c r="AO250">
        <f>IF(VLOOKUP(AO$1,main!$A$3:$I$56,5,FALSE)-VLOOKUP($A250,main!$A$3:$I$56,6,FALSE)&gt;=VLOOKUP(59,main!$A$57:$I$61,4,FALSE)+VLOOKUP(VLOOKUP(AO$1,main!$A$3:$I$56,7,FALSE),main!$K$10:$Q$14,7,FALSE),1,0)</f>
        <v>0</v>
      </c>
      <c r="AP250">
        <f>IF(VLOOKUP(AP$1,main!$A$3:$I$56,5,FALSE)-VLOOKUP($A250,main!$A$3:$I$56,6,FALSE)&gt;=VLOOKUP(59,main!$A$57:$I$61,4,FALSE)+VLOOKUP(VLOOKUP(AP$1,main!$A$3:$I$56,7,FALSE),main!$K$10:$Q$14,7,FALSE),1,0)</f>
        <v>0</v>
      </c>
      <c r="AQ250">
        <f>IF(VLOOKUP(AQ$1,main!$A$3:$I$56,5,FALSE)-VLOOKUP($A250,main!$A$3:$I$56,6,FALSE)&gt;=VLOOKUP(59,main!$A$57:$I$61,4,FALSE)+VLOOKUP(VLOOKUP(AQ$1,main!$A$3:$I$56,7,FALSE),main!$K$10:$Q$14,7,FALSE),1,0)</f>
        <v>0</v>
      </c>
      <c r="AR250">
        <f>IF(VLOOKUP(AR$1,main!$A$3:$I$56,5,FALSE)-VLOOKUP($A250,main!$A$3:$I$56,6,FALSE)&gt;=VLOOKUP(59,main!$A$57:$I$61,4,FALSE)+VLOOKUP(VLOOKUP(AR$1,main!$A$3:$I$56,7,FALSE),main!$K$10:$Q$14,7,FALSE),1,0)</f>
        <v>0</v>
      </c>
      <c r="AS250">
        <f>IF(VLOOKUP(AS$1,main!$A$3:$I$56,5,FALSE)-VLOOKUP($A250,main!$A$3:$I$56,6,FALSE)&gt;=VLOOKUP(59,main!$A$57:$I$61,4,FALSE)+VLOOKUP(VLOOKUP(AS$1,main!$A$3:$I$56,7,FALSE),main!$K$10:$Q$14,7,FALSE),1,0)</f>
        <v>0</v>
      </c>
      <c r="AT250">
        <f>IF(VLOOKUP(AT$1,main!$A$3:$I$56,5,FALSE)-VLOOKUP($A250,main!$A$3:$I$56,6,FALSE)&gt;=VLOOKUP(59,main!$A$57:$I$61,4,FALSE)+VLOOKUP(VLOOKUP(AT$1,main!$A$3:$I$56,7,FALSE),main!$K$10:$Q$14,7,FALSE),1,0)</f>
        <v>0</v>
      </c>
      <c r="AU250">
        <f>IF(VLOOKUP(AU$1,main!$A$3:$I$56,5,FALSE)-VLOOKUP($A250,main!$A$3:$I$56,6,FALSE)&gt;=VLOOKUP(59,main!$A$57:$I$61,4,FALSE)+VLOOKUP(VLOOKUP(AU$1,main!$A$3:$I$56,7,FALSE),main!$K$10:$Q$14,7,FALSE),1,0)</f>
        <v>0</v>
      </c>
      <c r="AV250">
        <f>IF(VLOOKUP(AV$1,main!$A$3:$I$56,5,FALSE)-VLOOKUP($A250,main!$A$3:$I$56,6,FALSE)&gt;=VLOOKUP(59,main!$A$57:$I$61,4,FALSE)+VLOOKUP(VLOOKUP(AV$1,main!$A$3:$I$56,7,FALSE),main!$K$10:$Q$14,7,FALSE),1,0)</f>
        <v>0</v>
      </c>
      <c r="AW250">
        <f>IF(VLOOKUP(AW$1,main!$A$3:$I$56,5,FALSE)-VLOOKUP($A250,main!$A$3:$I$56,6,FALSE)&gt;=VLOOKUP(59,main!$A$57:$I$61,4,FALSE)+VLOOKUP(VLOOKUP(AW$1,main!$A$3:$I$56,7,FALSE),main!$K$10:$Q$14,7,FALSE),1,0)</f>
        <v>1</v>
      </c>
      <c r="AX250">
        <f>IF(VLOOKUP(AX$1,main!$A$3:$I$56,5,FALSE)-VLOOKUP($A250,main!$A$3:$I$56,6,FALSE)&gt;=VLOOKUP(59,main!$A$57:$I$61,4,FALSE)+VLOOKUP(VLOOKUP(AX$1,main!$A$3:$I$56,7,FALSE),main!$K$10:$Q$14,7,FALSE),1,0)</f>
        <v>1</v>
      </c>
      <c r="AY250">
        <f>IF(VLOOKUP(AY$1,main!$A$3:$I$56,5,FALSE)-VLOOKUP($A250,main!$A$3:$I$56,6,FALSE)&gt;=VLOOKUP(59,main!$A$57:$I$61,4,FALSE)+VLOOKUP(VLOOKUP(AY$1,main!$A$3:$I$56,7,FALSE),main!$K$10:$Q$14,7,FALSE),1,0)</f>
        <v>1</v>
      </c>
      <c r="AZ250">
        <f>IF(VLOOKUP(AZ$1,main!$A$3:$I$56,5,FALSE)-VLOOKUP($A250,main!$A$3:$I$56,6,FALSE)&gt;=VLOOKUP(59,main!$A$57:$I$61,4,FALSE)+VLOOKUP(VLOOKUP(AZ$1,main!$A$3:$I$56,7,FALSE),main!$K$10:$Q$14,7,FALSE),1,0)</f>
        <v>0</v>
      </c>
      <c r="BA250">
        <f>IF(VLOOKUP(BA$1,main!$A$3:$I$56,5,FALSE)-VLOOKUP($A250,main!$A$3:$I$56,6,FALSE)&gt;=VLOOKUP(59,main!$A$57:$I$61,4,FALSE)+VLOOKUP(VLOOKUP(BA$1,main!$A$3:$I$56,7,FALSE),main!$K$10:$Q$14,7,FALSE),1,0)</f>
        <v>0</v>
      </c>
      <c r="BB250">
        <f>IF(VLOOKUP(BB$1,main!$A$3:$I$56,5,FALSE)-VLOOKUP($A250,main!$A$3:$I$56,6,FALSE)&gt;=VLOOKUP(59,main!$A$57:$I$61,4,FALSE)+VLOOKUP(VLOOKUP(BB$1,main!$A$3:$I$56,7,FALSE),main!$K$10:$Q$14,7,FALSE),1,0)</f>
        <v>0</v>
      </c>
      <c r="BC250">
        <f>IF(VLOOKUP(BC$1,main!$A$3:$I$56,5,FALSE)-VLOOKUP($A250,main!$A$3:$I$56,6,FALSE)&gt;=VLOOKUP(59,main!$A$57:$I$61,4,FALSE)+VLOOKUP(VLOOKUP(BC$1,main!$A$3:$I$56,7,FALSE),main!$K$10:$Q$14,7,FALSE),1,0)</f>
        <v>1</v>
      </c>
      <c r="BD250">
        <f>IF(VLOOKUP(BD$1,main!$A$3:$I$56,5,FALSE)-VLOOKUP($A250,main!$A$3:$I$56,6,FALSE)&gt;=VLOOKUP(59,main!$A$57:$I$61,4,FALSE)+VLOOKUP(VLOOKUP(BD$1,main!$A$3:$I$56,7,FALSE),main!$K$10:$Q$14,7,FALSE),1,0)</f>
        <v>1</v>
      </c>
    </row>
    <row r="251" spans="1:56" x14ac:dyDescent="0.25">
      <c r="A251">
        <f t="shared" si="4"/>
        <v>29</v>
      </c>
      <c r="B251">
        <v>0</v>
      </c>
      <c r="C251">
        <f>IF(VLOOKUP(C$1,main!$A$3:$I$56,5,FALSE)-VLOOKUP($A251,main!$A$3:$I$56,6,FALSE)&gt;=VLOOKUP(59,main!$A$57:$I$61,4,FALSE)+VLOOKUP(VLOOKUP(C$1,main!$A$3:$I$56,7,FALSE),main!$K$10:$Q$14,7,FALSE),1,0)</f>
        <v>0</v>
      </c>
      <c r="D251">
        <f>IF(VLOOKUP(D$1,main!$A$3:$I$56,5,FALSE)-VLOOKUP($A251,main!$A$3:$I$56,6,FALSE)&gt;=VLOOKUP(59,main!$A$57:$I$61,4,FALSE)+VLOOKUP(VLOOKUP(D$1,main!$A$3:$I$56,7,FALSE),main!$K$10:$Q$14,7,FALSE),1,0)</f>
        <v>0</v>
      </c>
      <c r="E251">
        <f>IF(VLOOKUP(E$1,main!$A$3:$I$56,5,FALSE)-VLOOKUP($A251,main!$A$3:$I$56,6,FALSE)&gt;=VLOOKUP(59,main!$A$57:$I$61,4,FALSE)+VLOOKUP(VLOOKUP(E$1,main!$A$3:$I$56,7,FALSE),main!$K$10:$Q$14,7,FALSE),1,0)</f>
        <v>0</v>
      </c>
      <c r="F251">
        <f>IF(VLOOKUP(F$1,main!$A$3:$I$56,5,FALSE)-VLOOKUP($A251,main!$A$3:$I$56,6,FALSE)&gt;=VLOOKUP(59,main!$A$57:$I$61,4,FALSE)+VLOOKUP(VLOOKUP(F$1,main!$A$3:$I$56,7,FALSE),main!$K$10:$Q$14,7,FALSE),1,0)</f>
        <v>0</v>
      </c>
      <c r="G251">
        <f>IF(VLOOKUP(G$1,main!$A$3:$I$56,5,FALSE)-VLOOKUP($A251,main!$A$3:$I$56,6,FALSE)&gt;=VLOOKUP(59,main!$A$57:$I$61,4,FALSE)+VLOOKUP(VLOOKUP(G$1,main!$A$3:$I$56,7,FALSE),main!$K$10:$Q$14,7,FALSE),1,0)</f>
        <v>0</v>
      </c>
      <c r="H251">
        <f>IF(VLOOKUP(H$1,main!$A$3:$I$56,5,FALSE)-VLOOKUP($A251,main!$A$3:$I$56,6,FALSE)&gt;=VLOOKUP(59,main!$A$57:$I$61,4,FALSE)+VLOOKUP(VLOOKUP(H$1,main!$A$3:$I$56,7,FALSE),main!$K$10:$Q$14,7,FALSE),1,0)</f>
        <v>0</v>
      </c>
      <c r="I251">
        <f>IF(VLOOKUP(I$1,main!$A$3:$I$56,5,FALSE)-VLOOKUP($A251,main!$A$3:$I$56,6,FALSE)&gt;=VLOOKUP(59,main!$A$57:$I$61,4,FALSE)+VLOOKUP(VLOOKUP(I$1,main!$A$3:$I$56,7,FALSE),main!$K$10:$Q$14,7,FALSE),1,0)</f>
        <v>0</v>
      </c>
      <c r="J251">
        <f>IF(VLOOKUP(J$1,main!$A$3:$I$56,5,FALSE)-VLOOKUP($A251,main!$A$3:$I$56,6,FALSE)&gt;=VLOOKUP(59,main!$A$57:$I$61,4,FALSE)+VLOOKUP(VLOOKUP(J$1,main!$A$3:$I$56,7,FALSE),main!$K$10:$Q$14,7,FALSE),1,0)</f>
        <v>1</v>
      </c>
      <c r="K251">
        <f>IF(VLOOKUP(K$1,main!$A$3:$I$56,5,FALSE)-VLOOKUP($A251,main!$A$3:$I$56,6,FALSE)&gt;=VLOOKUP(59,main!$A$57:$I$61,4,FALSE)+VLOOKUP(VLOOKUP(K$1,main!$A$3:$I$56,7,FALSE),main!$K$10:$Q$14,7,FALSE),1,0)</f>
        <v>0</v>
      </c>
      <c r="L251">
        <f>IF(VLOOKUP(L$1,main!$A$3:$I$56,5,FALSE)-VLOOKUP($A251,main!$A$3:$I$56,6,FALSE)&gt;=VLOOKUP(59,main!$A$57:$I$61,4,FALSE)+VLOOKUP(VLOOKUP(L$1,main!$A$3:$I$56,7,FALSE),main!$K$10:$Q$14,7,FALSE),1,0)</f>
        <v>0</v>
      </c>
      <c r="M251">
        <f>IF(VLOOKUP(M$1,main!$A$3:$I$56,5,FALSE)-VLOOKUP($A251,main!$A$3:$I$56,6,FALSE)&gt;=VLOOKUP(59,main!$A$57:$I$61,4,FALSE)+VLOOKUP(VLOOKUP(M$1,main!$A$3:$I$56,7,FALSE),main!$K$10:$Q$14,7,FALSE),1,0)</f>
        <v>0</v>
      </c>
      <c r="N251">
        <f>IF(VLOOKUP(N$1,main!$A$3:$I$56,5,FALSE)-VLOOKUP($A251,main!$A$3:$I$56,6,FALSE)&gt;=VLOOKUP(59,main!$A$57:$I$61,4,FALSE)+VLOOKUP(VLOOKUP(N$1,main!$A$3:$I$56,7,FALSE),main!$K$10:$Q$14,7,FALSE),1,0)</f>
        <v>0</v>
      </c>
      <c r="O251">
        <f>IF(VLOOKUP(O$1,main!$A$3:$I$56,5,FALSE)-VLOOKUP($A251,main!$A$3:$I$56,6,FALSE)&gt;=VLOOKUP(59,main!$A$57:$I$61,4,FALSE)+VLOOKUP(VLOOKUP(O$1,main!$A$3:$I$56,7,FALSE),main!$K$10:$Q$14,7,FALSE),1,0)</f>
        <v>1</v>
      </c>
      <c r="P251">
        <f>IF(VLOOKUP(P$1,main!$A$3:$I$56,5,FALSE)-VLOOKUP($A251,main!$A$3:$I$56,6,FALSE)&gt;=VLOOKUP(59,main!$A$57:$I$61,4,FALSE)+VLOOKUP(VLOOKUP(P$1,main!$A$3:$I$56,7,FALSE),main!$K$10:$Q$14,7,FALSE),1,0)</f>
        <v>0</v>
      </c>
      <c r="Q251">
        <f>IF(VLOOKUP(Q$1,main!$A$3:$I$56,5,FALSE)-VLOOKUP($A251,main!$A$3:$I$56,6,FALSE)&gt;=VLOOKUP(59,main!$A$57:$I$61,4,FALSE)+VLOOKUP(VLOOKUP(Q$1,main!$A$3:$I$56,7,FALSE),main!$K$10:$Q$14,7,FALSE),1,0)</f>
        <v>0</v>
      </c>
      <c r="R251">
        <f>IF(VLOOKUP(R$1,main!$A$3:$I$56,5,FALSE)-VLOOKUP($A251,main!$A$3:$I$56,6,FALSE)&gt;=VLOOKUP(59,main!$A$57:$I$61,4,FALSE)+VLOOKUP(VLOOKUP(R$1,main!$A$3:$I$56,7,FALSE),main!$K$10:$Q$14,7,FALSE),1,0)</f>
        <v>0</v>
      </c>
      <c r="S251">
        <f>IF(VLOOKUP(S$1,main!$A$3:$I$56,5,FALSE)-VLOOKUP($A251,main!$A$3:$I$56,6,FALSE)&gt;=VLOOKUP(59,main!$A$57:$I$61,4,FALSE)+VLOOKUP(VLOOKUP(S$1,main!$A$3:$I$56,7,FALSE),main!$K$10:$Q$14,7,FALSE),1,0)</f>
        <v>0</v>
      </c>
      <c r="T251">
        <f>IF(VLOOKUP(T$1,main!$A$3:$I$56,5,FALSE)-VLOOKUP($A251,main!$A$3:$I$56,6,FALSE)&gt;=VLOOKUP(59,main!$A$57:$I$61,4,FALSE)+VLOOKUP(VLOOKUP(T$1,main!$A$3:$I$56,7,FALSE),main!$K$10:$Q$14,7,FALSE),1,0)</f>
        <v>0</v>
      </c>
      <c r="U251">
        <f>IF(VLOOKUP(U$1,main!$A$3:$I$56,5,FALSE)-VLOOKUP($A251,main!$A$3:$I$56,6,FALSE)&gt;=VLOOKUP(59,main!$A$57:$I$61,4,FALSE)+VLOOKUP(VLOOKUP(U$1,main!$A$3:$I$56,7,FALSE),main!$K$10:$Q$14,7,FALSE),1,0)</f>
        <v>0</v>
      </c>
      <c r="V251">
        <f>IF(VLOOKUP(V$1,main!$A$3:$I$56,5,FALSE)-VLOOKUP($A251,main!$A$3:$I$56,6,FALSE)&gt;=VLOOKUP(59,main!$A$57:$I$61,4,FALSE)+VLOOKUP(VLOOKUP(V$1,main!$A$3:$I$56,7,FALSE),main!$K$10:$Q$14,7,FALSE),1,0)</f>
        <v>0</v>
      </c>
      <c r="W251">
        <f>IF(VLOOKUP(W$1,main!$A$3:$I$56,5,FALSE)-VLOOKUP($A251,main!$A$3:$I$56,6,FALSE)&gt;=VLOOKUP(59,main!$A$57:$I$61,4,FALSE)+VLOOKUP(VLOOKUP(W$1,main!$A$3:$I$56,7,FALSE),main!$K$10:$Q$14,7,FALSE),1,0)</f>
        <v>0</v>
      </c>
      <c r="X251">
        <f>IF(VLOOKUP(X$1,main!$A$3:$I$56,5,FALSE)-VLOOKUP($A251,main!$A$3:$I$56,6,FALSE)&gt;=VLOOKUP(59,main!$A$57:$I$61,4,FALSE)+VLOOKUP(VLOOKUP(X$1,main!$A$3:$I$56,7,FALSE),main!$K$10:$Q$14,7,FALSE),1,0)</f>
        <v>0</v>
      </c>
      <c r="Y251">
        <f>IF(VLOOKUP(Y$1,main!$A$3:$I$56,5,FALSE)-VLOOKUP($A251,main!$A$3:$I$56,6,FALSE)&gt;=VLOOKUP(59,main!$A$57:$I$61,4,FALSE)+VLOOKUP(VLOOKUP(Y$1,main!$A$3:$I$56,7,FALSE),main!$K$10:$Q$14,7,FALSE),1,0)</f>
        <v>0</v>
      </c>
      <c r="Z251">
        <f>IF(VLOOKUP(Z$1,main!$A$3:$I$56,5,FALSE)-VLOOKUP($A251,main!$A$3:$I$56,6,FALSE)&gt;=VLOOKUP(59,main!$A$57:$I$61,4,FALSE)+VLOOKUP(VLOOKUP(Z$1,main!$A$3:$I$56,7,FALSE),main!$K$10:$Q$14,7,FALSE),1,0)</f>
        <v>0</v>
      </c>
      <c r="AA251">
        <f>IF(VLOOKUP(AA$1,main!$A$3:$I$56,5,FALSE)-VLOOKUP($A251,main!$A$3:$I$56,6,FALSE)&gt;=VLOOKUP(59,main!$A$57:$I$61,4,FALSE)+VLOOKUP(VLOOKUP(AA$1,main!$A$3:$I$56,7,FALSE),main!$K$10:$Q$14,7,FALSE),1,0)</f>
        <v>0</v>
      </c>
      <c r="AB251">
        <f>IF(VLOOKUP(AB$1,main!$A$3:$I$56,5,FALSE)-VLOOKUP($A251,main!$A$3:$I$56,6,FALSE)&gt;=VLOOKUP(59,main!$A$57:$I$61,4,FALSE)+VLOOKUP(VLOOKUP(AB$1,main!$A$3:$I$56,7,FALSE),main!$K$10:$Q$14,7,FALSE),1,0)</f>
        <v>1</v>
      </c>
      <c r="AC251">
        <f>IF(VLOOKUP(AC$1,main!$A$3:$I$56,5,FALSE)-VLOOKUP($A251,main!$A$3:$I$56,6,FALSE)&gt;=VLOOKUP(59,main!$A$57:$I$61,4,FALSE)+VLOOKUP(VLOOKUP(AC$1,main!$A$3:$I$56,7,FALSE),main!$K$10:$Q$14,7,FALSE),1,0)</f>
        <v>0</v>
      </c>
      <c r="AD251">
        <f>IF(VLOOKUP(AD$1,main!$A$3:$I$56,5,FALSE)-VLOOKUP($A251,main!$A$3:$I$56,6,FALSE)&gt;=VLOOKUP(59,main!$A$57:$I$61,4,FALSE)+VLOOKUP(VLOOKUP(AD$1,main!$A$3:$I$56,7,FALSE),main!$K$10:$Q$14,7,FALSE),1,0)</f>
        <v>0</v>
      </c>
      <c r="AE251">
        <f>IF(VLOOKUP(AE$1,main!$A$3:$I$56,5,FALSE)-VLOOKUP($A251,main!$A$3:$I$56,6,FALSE)&gt;=VLOOKUP(59,main!$A$57:$I$61,4,FALSE)+VLOOKUP(VLOOKUP(AE$1,main!$A$3:$I$56,7,FALSE),main!$K$10:$Q$14,7,FALSE),1,0)</f>
        <v>0</v>
      </c>
      <c r="AF251">
        <f>IF(VLOOKUP(AF$1,main!$A$3:$I$56,5,FALSE)-VLOOKUP($A251,main!$A$3:$I$56,6,FALSE)&gt;=VLOOKUP(59,main!$A$57:$I$61,4,FALSE)+VLOOKUP(VLOOKUP(AF$1,main!$A$3:$I$56,7,FALSE),main!$K$10:$Q$14,7,FALSE),1,0)</f>
        <v>0</v>
      </c>
      <c r="AG251">
        <f>IF(VLOOKUP(AG$1,main!$A$3:$I$56,5,FALSE)-VLOOKUP($A251,main!$A$3:$I$56,6,FALSE)&gt;=VLOOKUP(59,main!$A$57:$I$61,4,FALSE)+VLOOKUP(VLOOKUP(AG$1,main!$A$3:$I$56,7,FALSE),main!$K$10:$Q$14,7,FALSE),1,0)</f>
        <v>0</v>
      </c>
      <c r="AH251">
        <f>IF(VLOOKUP(AH$1,main!$A$3:$I$56,5,FALSE)-VLOOKUP($A251,main!$A$3:$I$56,6,FALSE)&gt;=VLOOKUP(59,main!$A$57:$I$61,4,FALSE)+VLOOKUP(VLOOKUP(AH$1,main!$A$3:$I$56,7,FALSE),main!$K$10:$Q$14,7,FALSE),1,0)</f>
        <v>0</v>
      </c>
      <c r="AI251">
        <f>IF(VLOOKUP(AI$1,main!$A$3:$I$56,5,FALSE)-VLOOKUP($A251,main!$A$3:$I$56,6,FALSE)&gt;=VLOOKUP(59,main!$A$57:$I$61,4,FALSE)+VLOOKUP(VLOOKUP(AI$1,main!$A$3:$I$56,7,FALSE),main!$K$10:$Q$14,7,FALSE),1,0)</f>
        <v>0</v>
      </c>
      <c r="AJ251">
        <f>IF(VLOOKUP(AJ$1,main!$A$3:$I$56,5,FALSE)-VLOOKUP($A251,main!$A$3:$I$56,6,FALSE)&gt;=VLOOKUP(59,main!$A$57:$I$61,4,FALSE)+VLOOKUP(VLOOKUP(AJ$1,main!$A$3:$I$56,7,FALSE),main!$K$10:$Q$14,7,FALSE),1,0)</f>
        <v>0</v>
      </c>
      <c r="AK251">
        <f>IF(VLOOKUP(AK$1,main!$A$3:$I$56,5,FALSE)-VLOOKUP($A251,main!$A$3:$I$56,6,FALSE)&gt;=VLOOKUP(59,main!$A$57:$I$61,4,FALSE)+VLOOKUP(VLOOKUP(AK$1,main!$A$3:$I$56,7,FALSE),main!$K$10:$Q$14,7,FALSE),1,0)</f>
        <v>0</v>
      </c>
      <c r="AL251">
        <f>IF(VLOOKUP(AL$1,main!$A$3:$I$56,5,FALSE)-VLOOKUP($A251,main!$A$3:$I$56,6,FALSE)&gt;=VLOOKUP(59,main!$A$57:$I$61,4,FALSE)+VLOOKUP(VLOOKUP(AL$1,main!$A$3:$I$56,7,FALSE),main!$K$10:$Q$14,7,FALSE),1,0)</f>
        <v>0</v>
      </c>
      <c r="AM251">
        <f>IF(VLOOKUP(AM$1,main!$A$3:$I$56,5,FALSE)-VLOOKUP($A251,main!$A$3:$I$56,6,FALSE)&gt;=VLOOKUP(59,main!$A$57:$I$61,4,FALSE)+VLOOKUP(VLOOKUP(AM$1,main!$A$3:$I$56,7,FALSE),main!$K$10:$Q$14,7,FALSE),1,0)</f>
        <v>0</v>
      </c>
      <c r="AN251">
        <f>IF(VLOOKUP(AN$1,main!$A$3:$I$56,5,FALSE)-VLOOKUP($A251,main!$A$3:$I$56,6,FALSE)&gt;=VLOOKUP(59,main!$A$57:$I$61,4,FALSE)+VLOOKUP(VLOOKUP(AN$1,main!$A$3:$I$56,7,FALSE),main!$K$10:$Q$14,7,FALSE),1,0)</f>
        <v>0</v>
      </c>
      <c r="AO251">
        <f>IF(VLOOKUP(AO$1,main!$A$3:$I$56,5,FALSE)-VLOOKUP($A251,main!$A$3:$I$56,6,FALSE)&gt;=VLOOKUP(59,main!$A$57:$I$61,4,FALSE)+VLOOKUP(VLOOKUP(AO$1,main!$A$3:$I$56,7,FALSE),main!$K$10:$Q$14,7,FALSE),1,0)</f>
        <v>0</v>
      </c>
      <c r="AP251">
        <f>IF(VLOOKUP(AP$1,main!$A$3:$I$56,5,FALSE)-VLOOKUP($A251,main!$A$3:$I$56,6,FALSE)&gt;=VLOOKUP(59,main!$A$57:$I$61,4,FALSE)+VLOOKUP(VLOOKUP(AP$1,main!$A$3:$I$56,7,FALSE),main!$K$10:$Q$14,7,FALSE),1,0)</f>
        <v>0</v>
      </c>
      <c r="AQ251">
        <f>IF(VLOOKUP(AQ$1,main!$A$3:$I$56,5,FALSE)-VLOOKUP($A251,main!$A$3:$I$56,6,FALSE)&gt;=VLOOKUP(59,main!$A$57:$I$61,4,FALSE)+VLOOKUP(VLOOKUP(AQ$1,main!$A$3:$I$56,7,FALSE),main!$K$10:$Q$14,7,FALSE),1,0)</f>
        <v>0</v>
      </c>
      <c r="AR251">
        <f>IF(VLOOKUP(AR$1,main!$A$3:$I$56,5,FALSE)-VLOOKUP($A251,main!$A$3:$I$56,6,FALSE)&gt;=VLOOKUP(59,main!$A$57:$I$61,4,FALSE)+VLOOKUP(VLOOKUP(AR$1,main!$A$3:$I$56,7,FALSE),main!$K$10:$Q$14,7,FALSE),1,0)</f>
        <v>0</v>
      </c>
      <c r="AS251">
        <f>IF(VLOOKUP(AS$1,main!$A$3:$I$56,5,FALSE)-VLOOKUP($A251,main!$A$3:$I$56,6,FALSE)&gt;=VLOOKUP(59,main!$A$57:$I$61,4,FALSE)+VLOOKUP(VLOOKUP(AS$1,main!$A$3:$I$56,7,FALSE),main!$K$10:$Q$14,7,FALSE),1,0)</f>
        <v>0</v>
      </c>
      <c r="AT251">
        <f>IF(VLOOKUP(AT$1,main!$A$3:$I$56,5,FALSE)-VLOOKUP($A251,main!$A$3:$I$56,6,FALSE)&gt;=VLOOKUP(59,main!$A$57:$I$61,4,FALSE)+VLOOKUP(VLOOKUP(AT$1,main!$A$3:$I$56,7,FALSE),main!$K$10:$Q$14,7,FALSE),1,0)</f>
        <v>0</v>
      </c>
      <c r="AU251">
        <f>IF(VLOOKUP(AU$1,main!$A$3:$I$56,5,FALSE)-VLOOKUP($A251,main!$A$3:$I$56,6,FALSE)&gt;=VLOOKUP(59,main!$A$57:$I$61,4,FALSE)+VLOOKUP(VLOOKUP(AU$1,main!$A$3:$I$56,7,FALSE),main!$K$10:$Q$14,7,FALSE),1,0)</f>
        <v>0</v>
      </c>
      <c r="AV251">
        <f>IF(VLOOKUP(AV$1,main!$A$3:$I$56,5,FALSE)-VLOOKUP($A251,main!$A$3:$I$56,6,FALSE)&gt;=VLOOKUP(59,main!$A$57:$I$61,4,FALSE)+VLOOKUP(VLOOKUP(AV$1,main!$A$3:$I$56,7,FALSE),main!$K$10:$Q$14,7,FALSE),1,0)</f>
        <v>0</v>
      </c>
      <c r="AW251">
        <f>IF(VLOOKUP(AW$1,main!$A$3:$I$56,5,FALSE)-VLOOKUP($A251,main!$A$3:$I$56,6,FALSE)&gt;=VLOOKUP(59,main!$A$57:$I$61,4,FALSE)+VLOOKUP(VLOOKUP(AW$1,main!$A$3:$I$56,7,FALSE),main!$K$10:$Q$14,7,FALSE),1,0)</f>
        <v>0</v>
      </c>
      <c r="AX251">
        <f>IF(VLOOKUP(AX$1,main!$A$3:$I$56,5,FALSE)-VLOOKUP($A251,main!$A$3:$I$56,6,FALSE)&gt;=VLOOKUP(59,main!$A$57:$I$61,4,FALSE)+VLOOKUP(VLOOKUP(AX$1,main!$A$3:$I$56,7,FALSE),main!$K$10:$Q$14,7,FALSE),1,0)</f>
        <v>1</v>
      </c>
      <c r="AY251">
        <f>IF(VLOOKUP(AY$1,main!$A$3:$I$56,5,FALSE)-VLOOKUP($A251,main!$A$3:$I$56,6,FALSE)&gt;=VLOOKUP(59,main!$A$57:$I$61,4,FALSE)+VLOOKUP(VLOOKUP(AY$1,main!$A$3:$I$56,7,FALSE),main!$K$10:$Q$14,7,FALSE),1,0)</f>
        <v>1</v>
      </c>
      <c r="AZ251">
        <f>IF(VLOOKUP(AZ$1,main!$A$3:$I$56,5,FALSE)-VLOOKUP($A251,main!$A$3:$I$56,6,FALSE)&gt;=VLOOKUP(59,main!$A$57:$I$61,4,FALSE)+VLOOKUP(VLOOKUP(AZ$1,main!$A$3:$I$56,7,FALSE),main!$K$10:$Q$14,7,FALSE),1,0)</f>
        <v>0</v>
      </c>
      <c r="BA251">
        <f>IF(VLOOKUP(BA$1,main!$A$3:$I$56,5,FALSE)-VLOOKUP($A251,main!$A$3:$I$56,6,FALSE)&gt;=VLOOKUP(59,main!$A$57:$I$61,4,FALSE)+VLOOKUP(VLOOKUP(BA$1,main!$A$3:$I$56,7,FALSE),main!$K$10:$Q$14,7,FALSE),1,0)</f>
        <v>0</v>
      </c>
      <c r="BB251">
        <f>IF(VLOOKUP(BB$1,main!$A$3:$I$56,5,FALSE)-VLOOKUP($A251,main!$A$3:$I$56,6,FALSE)&gt;=VLOOKUP(59,main!$A$57:$I$61,4,FALSE)+VLOOKUP(VLOOKUP(BB$1,main!$A$3:$I$56,7,FALSE),main!$K$10:$Q$14,7,FALSE),1,0)</f>
        <v>0</v>
      </c>
      <c r="BC251">
        <f>IF(VLOOKUP(BC$1,main!$A$3:$I$56,5,FALSE)-VLOOKUP($A251,main!$A$3:$I$56,6,FALSE)&gt;=VLOOKUP(59,main!$A$57:$I$61,4,FALSE)+VLOOKUP(VLOOKUP(BC$1,main!$A$3:$I$56,7,FALSE),main!$K$10:$Q$14,7,FALSE),1,0)</f>
        <v>0</v>
      </c>
      <c r="BD251">
        <f>IF(VLOOKUP(BD$1,main!$A$3:$I$56,5,FALSE)-VLOOKUP($A251,main!$A$3:$I$56,6,FALSE)&gt;=VLOOKUP(59,main!$A$57:$I$61,4,FALSE)+VLOOKUP(VLOOKUP(BD$1,main!$A$3:$I$56,7,FALSE),main!$K$10:$Q$14,7,FALSE),1,0)</f>
        <v>0</v>
      </c>
    </row>
    <row r="252" spans="1:56" x14ac:dyDescent="0.25">
      <c r="A252">
        <f t="shared" si="4"/>
        <v>30</v>
      </c>
      <c r="B252">
        <v>0</v>
      </c>
      <c r="C252">
        <f>IF(VLOOKUP(C$1,main!$A$3:$I$56,5,FALSE)-VLOOKUP($A252,main!$A$3:$I$56,6,FALSE)&gt;=VLOOKUP(59,main!$A$57:$I$61,4,FALSE)+VLOOKUP(VLOOKUP(C$1,main!$A$3:$I$56,7,FALSE),main!$K$10:$Q$14,7,FALSE),1,0)</f>
        <v>0</v>
      </c>
      <c r="D252">
        <f>IF(VLOOKUP(D$1,main!$A$3:$I$56,5,FALSE)-VLOOKUP($A252,main!$A$3:$I$56,6,FALSE)&gt;=VLOOKUP(59,main!$A$57:$I$61,4,FALSE)+VLOOKUP(VLOOKUP(D$1,main!$A$3:$I$56,7,FALSE),main!$K$10:$Q$14,7,FALSE),1,0)</f>
        <v>0</v>
      </c>
      <c r="E252">
        <f>IF(VLOOKUP(E$1,main!$A$3:$I$56,5,FALSE)-VLOOKUP($A252,main!$A$3:$I$56,6,FALSE)&gt;=VLOOKUP(59,main!$A$57:$I$61,4,FALSE)+VLOOKUP(VLOOKUP(E$1,main!$A$3:$I$56,7,FALSE),main!$K$10:$Q$14,7,FALSE),1,0)</f>
        <v>0</v>
      </c>
      <c r="F252">
        <f>IF(VLOOKUP(F$1,main!$A$3:$I$56,5,FALSE)-VLOOKUP($A252,main!$A$3:$I$56,6,FALSE)&gt;=VLOOKUP(59,main!$A$57:$I$61,4,FALSE)+VLOOKUP(VLOOKUP(F$1,main!$A$3:$I$56,7,FALSE),main!$K$10:$Q$14,7,FALSE),1,0)</f>
        <v>0</v>
      </c>
      <c r="G252">
        <f>IF(VLOOKUP(G$1,main!$A$3:$I$56,5,FALSE)-VLOOKUP($A252,main!$A$3:$I$56,6,FALSE)&gt;=VLOOKUP(59,main!$A$57:$I$61,4,FALSE)+VLOOKUP(VLOOKUP(G$1,main!$A$3:$I$56,7,FALSE),main!$K$10:$Q$14,7,FALSE),1,0)</f>
        <v>0</v>
      </c>
      <c r="H252">
        <f>IF(VLOOKUP(H$1,main!$A$3:$I$56,5,FALSE)-VLOOKUP($A252,main!$A$3:$I$56,6,FALSE)&gt;=VLOOKUP(59,main!$A$57:$I$61,4,FALSE)+VLOOKUP(VLOOKUP(H$1,main!$A$3:$I$56,7,FALSE),main!$K$10:$Q$14,7,FALSE),1,0)</f>
        <v>0</v>
      </c>
      <c r="I252">
        <f>IF(VLOOKUP(I$1,main!$A$3:$I$56,5,FALSE)-VLOOKUP($A252,main!$A$3:$I$56,6,FALSE)&gt;=VLOOKUP(59,main!$A$57:$I$61,4,FALSE)+VLOOKUP(VLOOKUP(I$1,main!$A$3:$I$56,7,FALSE),main!$K$10:$Q$14,7,FALSE),1,0)</f>
        <v>0</v>
      </c>
      <c r="J252">
        <f>IF(VLOOKUP(J$1,main!$A$3:$I$56,5,FALSE)-VLOOKUP($A252,main!$A$3:$I$56,6,FALSE)&gt;=VLOOKUP(59,main!$A$57:$I$61,4,FALSE)+VLOOKUP(VLOOKUP(J$1,main!$A$3:$I$56,7,FALSE),main!$K$10:$Q$14,7,FALSE),1,0)</f>
        <v>0</v>
      </c>
      <c r="K252">
        <f>IF(VLOOKUP(K$1,main!$A$3:$I$56,5,FALSE)-VLOOKUP($A252,main!$A$3:$I$56,6,FALSE)&gt;=VLOOKUP(59,main!$A$57:$I$61,4,FALSE)+VLOOKUP(VLOOKUP(K$1,main!$A$3:$I$56,7,FALSE),main!$K$10:$Q$14,7,FALSE),1,0)</f>
        <v>0</v>
      </c>
      <c r="L252">
        <f>IF(VLOOKUP(L$1,main!$A$3:$I$56,5,FALSE)-VLOOKUP($A252,main!$A$3:$I$56,6,FALSE)&gt;=VLOOKUP(59,main!$A$57:$I$61,4,FALSE)+VLOOKUP(VLOOKUP(L$1,main!$A$3:$I$56,7,FALSE),main!$K$10:$Q$14,7,FALSE),1,0)</f>
        <v>0</v>
      </c>
      <c r="M252">
        <f>IF(VLOOKUP(M$1,main!$A$3:$I$56,5,FALSE)-VLOOKUP($A252,main!$A$3:$I$56,6,FALSE)&gt;=VLOOKUP(59,main!$A$57:$I$61,4,FALSE)+VLOOKUP(VLOOKUP(M$1,main!$A$3:$I$56,7,FALSE),main!$K$10:$Q$14,7,FALSE),1,0)</f>
        <v>0</v>
      </c>
      <c r="N252">
        <f>IF(VLOOKUP(N$1,main!$A$3:$I$56,5,FALSE)-VLOOKUP($A252,main!$A$3:$I$56,6,FALSE)&gt;=VLOOKUP(59,main!$A$57:$I$61,4,FALSE)+VLOOKUP(VLOOKUP(N$1,main!$A$3:$I$56,7,FALSE),main!$K$10:$Q$14,7,FALSE),1,0)</f>
        <v>0</v>
      </c>
      <c r="O252">
        <f>IF(VLOOKUP(O$1,main!$A$3:$I$56,5,FALSE)-VLOOKUP($A252,main!$A$3:$I$56,6,FALSE)&gt;=VLOOKUP(59,main!$A$57:$I$61,4,FALSE)+VLOOKUP(VLOOKUP(O$1,main!$A$3:$I$56,7,FALSE),main!$K$10:$Q$14,7,FALSE),1,0)</f>
        <v>0</v>
      </c>
      <c r="P252">
        <f>IF(VLOOKUP(P$1,main!$A$3:$I$56,5,FALSE)-VLOOKUP($A252,main!$A$3:$I$56,6,FALSE)&gt;=VLOOKUP(59,main!$A$57:$I$61,4,FALSE)+VLOOKUP(VLOOKUP(P$1,main!$A$3:$I$56,7,FALSE),main!$K$10:$Q$14,7,FALSE),1,0)</f>
        <v>0</v>
      </c>
      <c r="Q252">
        <f>IF(VLOOKUP(Q$1,main!$A$3:$I$56,5,FALSE)-VLOOKUP($A252,main!$A$3:$I$56,6,FALSE)&gt;=VLOOKUP(59,main!$A$57:$I$61,4,FALSE)+VLOOKUP(VLOOKUP(Q$1,main!$A$3:$I$56,7,FALSE),main!$K$10:$Q$14,7,FALSE),1,0)</f>
        <v>0</v>
      </c>
      <c r="R252">
        <f>IF(VLOOKUP(R$1,main!$A$3:$I$56,5,FALSE)-VLOOKUP($A252,main!$A$3:$I$56,6,FALSE)&gt;=VLOOKUP(59,main!$A$57:$I$61,4,FALSE)+VLOOKUP(VLOOKUP(R$1,main!$A$3:$I$56,7,FALSE),main!$K$10:$Q$14,7,FALSE),1,0)</f>
        <v>0</v>
      </c>
      <c r="S252">
        <f>IF(VLOOKUP(S$1,main!$A$3:$I$56,5,FALSE)-VLOOKUP($A252,main!$A$3:$I$56,6,FALSE)&gt;=VLOOKUP(59,main!$A$57:$I$61,4,FALSE)+VLOOKUP(VLOOKUP(S$1,main!$A$3:$I$56,7,FALSE),main!$K$10:$Q$14,7,FALSE),1,0)</f>
        <v>0</v>
      </c>
      <c r="T252">
        <f>IF(VLOOKUP(T$1,main!$A$3:$I$56,5,FALSE)-VLOOKUP($A252,main!$A$3:$I$56,6,FALSE)&gt;=VLOOKUP(59,main!$A$57:$I$61,4,FALSE)+VLOOKUP(VLOOKUP(T$1,main!$A$3:$I$56,7,FALSE),main!$K$10:$Q$14,7,FALSE),1,0)</f>
        <v>0</v>
      </c>
      <c r="U252">
        <f>IF(VLOOKUP(U$1,main!$A$3:$I$56,5,FALSE)-VLOOKUP($A252,main!$A$3:$I$56,6,FALSE)&gt;=VLOOKUP(59,main!$A$57:$I$61,4,FALSE)+VLOOKUP(VLOOKUP(U$1,main!$A$3:$I$56,7,FALSE),main!$K$10:$Q$14,7,FALSE),1,0)</f>
        <v>0</v>
      </c>
      <c r="V252">
        <f>IF(VLOOKUP(V$1,main!$A$3:$I$56,5,FALSE)-VLOOKUP($A252,main!$A$3:$I$56,6,FALSE)&gt;=VLOOKUP(59,main!$A$57:$I$61,4,FALSE)+VLOOKUP(VLOOKUP(V$1,main!$A$3:$I$56,7,FALSE),main!$K$10:$Q$14,7,FALSE),1,0)</f>
        <v>0</v>
      </c>
      <c r="W252">
        <f>IF(VLOOKUP(W$1,main!$A$3:$I$56,5,FALSE)-VLOOKUP($A252,main!$A$3:$I$56,6,FALSE)&gt;=VLOOKUP(59,main!$A$57:$I$61,4,FALSE)+VLOOKUP(VLOOKUP(W$1,main!$A$3:$I$56,7,FALSE),main!$K$10:$Q$14,7,FALSE),1,0)</f>
        <v>0</v>
      </c>
      <c r="X252">
        <f>IF(VLOOKUP(X$1,main!$A$3:$I$56,5,FALSE)-VLOOKUP($A252,main!$A$3:$I$56,6,FALSE)&gt;=VLOOKUP(59,main!$A$57:$I$61,4,FALSE)+VLOOKUP(VLOOKUP(X$1,main!$A$3:$I$56,7,FALSE),main!$K$10:$Q$14,7,FALSE),1,0)</f>
        <v>0</v>
      </c>
      <c r="Y252">
        <f>IF(VLOOKUP(Y$1,main!$A$3:$I$56,5,FALSE)-VLOOKUP($A252,main!$A$3:$I$56,6,FALSE)&gt;=VLOOKUP(59,main!$A$57:$I$61,4,FALSE)+VLOOKUP(VLOOKUP(Y$1,main!$A$3:$I$56,7,FALSE),main!$K$10:$Q$14,7,FALSE),1,0)</f>
        <v>0</v>
      </c>
      <c r="Z252">
        <f>IF(VLOOKUP(Z$1,main!$A$3:$I$56,5,FALSE)-VLOOKUP($A252,main!$A$3:$I$56,6,FALSE)&gt;=VLOOKUP(59,main!$A$57:$I$61,4,FALSE)+VLOOKUP(VLOOKUP(Z$1,main!$A$3:$I$56,7,FALSE),main!$K$10:$Q$14,7,FALSE),1,0)</f>
        <v>0</v>
      </c>
      <c r="AA252">
        <f>IF(VLOOKUP(AA$1,main!$A$3:$I$56,5,FALSE)-VLOOKUP($A252,main!$A$3:$I$56,6,FALSE)&gt;=VLOOKUP(59,main!$A$57:$I$61,4,FALSE)+VLOOKUP(VLOOKUP(AA$1,main!$A$3:$I$56,7,FALSE),main!$K$10:$Q$14,7,FALSE),1,0)</f>
        <v>0</v>
      </c>
      <c r="AB252">
        <f>IF(VLOOKUP(AB$1,main!$A$3:$I$56,5,FALSE)-VLOOKUP($A252,main!$A$3:$I$56,6,FALSE)&gt;=VLOOKUP(59,main!$A$57:$I$61,4,FALSE)+VLOOKUP(VLOOKUP(AB$1,main!$A$3:$I$56,7,FALSE),main!$K$10:$Q$14,7,FALSE),1,0)</f>
        <v>0</v>
      </c>
      <c r="AC252">
        <f>IF(VLOOKUP(AC$1,main!$A$3:$I$56,5,FALSE)-VLOOKUP($A252,main!$A$3:$I$56,6,FALSE)&gt;=VLOOKUP(59,main!$A$57:$I$61,4,FALSE)+VLOOKUP(VLOOKUP(AC$1,main!$A$3:$I$56,7,FALSE),main!$K$10:$Q$14,7,FALSE),1,0)</f>
        <v>0</v>
      </c>
      <c r="AD252">
        <f>IF(VLOOKUP(AD$1,main!$A$3:$I$56,5,FALSE)-VLOOKUP($A252,main!$A$3:$I$56,6,FALSE)&gt;=VLOOKUP(59,main!$A$57:$I$61,4,FALSE)+VLOOKUP(VLOOKUP(AD$1,main!$A$3:$I$56,7,FALSE),main!$K$10:$Q$14,7,FALSE),1,0)</f>
        <v>0</v>
      </c>
      <c r="AE252">
        <f>IF(VLOOKUP(AE$1,main!$A$3:$I$56,5,FALSE)-VLOOKUP($A252,main!$A$3:$I$56,6,FALSE)&gt;=VLOOKUP(59,main!$A$57:$I$61,4,FALSE)+VLOOKUP(VLOOKUP(AE$1,main!$A$3:$I$56,7,FALSE),main!$K$10:$Q$14,7,FALSE),1,0)</f>
        <v>0</v>
      </c>
      <c r="AF252">
        <f>IF(VLOOKUP(AF$1,main!$A$3:$I$56,5,FALSE)-VLOOKUP($A252,main!$A$3:$I$56,6,FALSE)&gt;=VLOOKUP(59,main!$A$57:$I$61,4,FALSE)+VLOOKUP(VLOOKUP(AF$1,main!$A$3:$I$56,7,FALSE),main!$K$10:$Q$14,7,FALSE),1,0)</f>
        <v>0</v>
      </c>
      <c r="AG252">
        <f>IF(VLOOKUP(AG$1,main!$A$3:$I$56,5,FALSE)-VLOOKUP($A252,main!$A$3:$I$56,6,FALSE)&gt;=VLOOKUP(59,main!$A$57:$I$61,4,FALSE)+VLOOKUP(VLOOKUP(AG$1,main!$A$3:$I$56,7,FALSE),main!$K$10:$Q$14,7,FALSE),1,0)</f>
        <v>0</v>
      </c>
      <c r="AH252">
        <f>IF(VLOOKUP(AH$1,main!$A$3:$I$56,5,FALSE)-VLOOKUP($A252,main!$A$3:$I$56,6,FALSE)&gt;=VLOOKUP(59,main!$A$57:$I$61,4,FALSE)+VLOOKUP(VLOOKUP(AH$1,main!$A$3:$I$56,7,FALSE),main!$K$10:$Q$14,7,FALSE),1,0)</f>
        <v>0</v>
      </c>
      <c r="AI252">
        <f>IF(VLOOKUP(AI$1,main!$A$3:$I$56,5,FALSE)-VLOOKUP($A252,main!$A$3:$I$56,6,FALSE)&gt;=VLOOKUP(59,main!$A$57:$I$61,4,FALSE)+VLOOKUP(VLOOKUP(AI$1,main!$A$3:$I$56,7,FALSE),main!$K$10:$Q$14,7,FALSE),1,0)</f>
        <v>0</v>
      </c>
      <c r="AJ252">
        <f>IF(VLOOKUP(AJ$1,main!$A$3:$I$56,5,FALSE)-VLOOKUP($A252,main!$A$3:$I$56,6,FALSE)&gt;=VLOOKUP(59,main!$A$57:$I$61,4,FALSE)+VLOOKUP(VLOOKUP(AJ$1,main!$A$3:$I$56,7,FALSE),main!$K$10:$Q$14,7,FALSE),1,0)</f>
        <v>0</v>
      </c>
      <c r="AK252">
        <f>IF(VLOOKUP(AK$1,main!$A$3:$I$56,5,FALSE)-VLOOKUP($A252,main!$A$3:$I$56,6,FALSE)&gt;=VLOOKUP(59,main!$A$57:$I$61,4,FALSE)+VLOOKUP(VLOOKUP(AK$1,main!$A$3:$I$56,7,FALSE),main!$K$10:$Q$14,7,FALSE),1,0)</f>
        <v>0</v>
      </c>
      <c r="AL252">
        <f>IF(VLOOKUP(AL$1,main!$A$3:$I$56,5,FALSE)-VLOOKUP($A252,main!$A$3:$I$56,6,FALSE)&gt;=VLOOKUP(59,main!$A$57:$I$61,4,FALSE)+VLOOKUP(VLOOKUP(AL$1,main!$A$3:$I$56,7,FALSE),main!$K$10:$Q$14,7,FALSE),1,0)</f>
        <v>0</v>
      </c>
      <c r="AM252">
        <f>IF(VLOOKUP(AM$1,main!$A$3:$I$56,5,FALSE)-VLOOKUP($A252,main!$A$3:$I$56,6,FALSE)&gt;=VLOOKUP(59,main!$A$57:$I$61,4,FALSE)+VLOOKUP(VLOOKUP(AM$1,main!$A$3:$I$56,7,FALSE),main!$K$10:$Q$14,7,FALSE),1,0)</f>
        <v>0</v>
      </c>
      <c r="AN252">
        <f>IF(VLOOKUP(AN$1,main!$A$3:$I$56,5,FALSE)-VLOOKUP($A252,main!$A$3:$I$56,6,FALSE)&gt;=VLOOKUP(59,main!$A$57:$I$61,4,FALSE)+VLOOKUP(VLOOKUP(AN$1,main!$A$3:$I$56,7,FALSE),main!$K$10:$Q$14,7,FALSE),1,0)</f>
        <v>0</v>
      </c>
      <c r="AO252">
        <f>IF(VLOOKUP(AO$1,main!$A$3:$I$56,5,FALSE)-VLOOKUP($A252,main!$A$3:$I$56,6,FALSE)&gt;=VLOOKUP(59,main!$A$57:$I$61,4,FALSE)+VLOOKUP(VLOOKUP(AO$1,main!$A$3:$I$56,7,FALSE),main!$K$10:$Q$14,7,FALSE),1,0)</f>
        <v>0</v>
      </c>
      <c r="AP252">
        <f>IF(VLOOKUP(AP$1,main!$A$3:$I$56,5,FALSE)-VLOOKUP($A252,main!$A$3:$I$56,6,FALSE)&gt;=VLOOKUP(59,main!$A$57:$I$61,4,FALSE)+VLOOKUP(VLOOKUP(AP$1,main!$A$3:$I$56,7,FALSE),main!$K$10:$Q$14,7,FALSE),1,0)</f>
        <v>0</v>
      </c>
      <c r="AQ252">
        <f>IF(VLOOKUP(AQ$1,main!$A$3:$I$56,5,FALSE)-VLOOKUP($A252,main!$A$3:$I$56,6,FALSE)&gt;=VLOOKUP(59,main!$A$57:$I$61,4,FALSE)+VLOOKUP(VLOOKUP(AQ$1,main!$A$3:$I$56,7,FALSE),main!$K$10:$Q$14,7,FALSE),1,0)</f>
        <v>0</v>
      </c>
      <c r="AR252">
        <f>IF(VLOOKUP(AR$1,main!$A$3:$I$56,5,FALSE)-VLOOKUP($A252,main!$A$3:$I$56,6,FALSE)&gt;=VLOOKUP(59,main!$A$57:$I$61,4,FALSE)+VLOOKUP(VLOOKUP(AR$1,main!$A$3:$I$56,7,FALSE),main!$K$10:$Q$14,7,FALSE),1,0)</f>
        <v>0</v>
      </c>
      <c r="AS252">
        <f>IF(VLOOKUP(AS$1,main!$A$3:$I$56,5,FALSE)-VLOOKUP($A252,main!$A$3:$I$56,6,FALSE)&gt;=VLOOKUP(59,main!$A$57:$I$61,4,FALSE)+VLOOKUP(VLOOKUP(AS$1,main!$A$3:$I$56,7,FALSE),main!$K$10:$Q$14,7,FALSE),1,0)</f>
        <v>0</v>
      </c>
      <c r="AT252">
        <f>IF(VLOOKUP(AT$1,main!$A$3:$I$56,5,FALSE)-VLOOKUP($A252,main!$A$3:$I$56,6,FALSE)&gt;=VLOOKUP(59,main!$A$57:$I$61,4,FALSE)+VLOOKUP(VLOOKUP(AT$1,main!$A$3:$I$56,7,FALSE),main!$K$10:$Q$14,7,FALSE),1,0)</f>
        <v>0</v>
      </c>
      <c r="AU252">
        <f>IF(VLOOKUP(AU$1,main!$A$3:$I$56,5,FALSE)-VLOOKUP($A252,main!$A$3:$I$56,6,FALSE)&gt;=VLOOKUP(59,main!$A$57:$I$61,4,FALSE)+VLOOKUP(VLOOKUP(AU$1,main!$A$3:$I$56,7,FALSE),main!$K$10:$Q$14,7,FALSE),1,0)</f>
        <v>0</v>
      </c>
      <c r="AV252">
        <f>IF(VLOOKUP(AV$1,main!$A$3:$I$56,5,FALSE)-VLOOKUP($A252,main!$A$3:$I$56,6,FALSE)&gt;=VLOOKUP(59,main!$A$57:$I$61,4,FALSE)+VLOOKUP(VLOOKUP(AV$1,main!$A$3:$I$56,7,FALSE),main!$K$10:$Q$14,7,FALSE),1,0)</f>
        <v>0</v>
      </c>
      <c r="AW252">
        <f>IF(VLOOKUP(AW$1,main!$A$3:$I$56,5,FALSE)-VLOOKUP($A252,main!$A$3:$I$56,6,FALSE)&gt;=VLOOKUP(59,main!$A$57:$I$61,4,FALSE)+VLOOKUP(VLOOKUP(AW$1,main!$A$3:$I$56,7,FALSE),main!$K$10:$Q$14,7,FALSE),1,0)</f>
        <v>0</v>
      </c>
      <c r="AX252">
        <f>IF(VLOOKUP(AX$1,main!$A$3:$I$56,5,FALSE)-VLOOKUP($A252,main!$A$3:$I$56,6,FALSE)&gt;=VLOOKUP(59,main!$A$57:$I$61,4,FALSE)+VLOOKUP(VLOOKUP(AX$1,main!$A$3:$I$56,7,FALSE),main!$K$10:$Q$14,7,FALSE),1,0)</f>
        <v>0</v>
      </c>
      <c r="AY252">
        <f>IF(VLOOKUP(AY$1,main!$A$3:$I$56,5,FALSE)-VLOOKUP($A252,main!$A$3:$I$56,6,FALSE)&gt;=VLOOKUP(59,main!$A$57:$I$61,4,FALSE)+VLOOKUP(VLOOKUP(AY$1,main!$A$3:$I$56,7,FALSE),main!$K$10:$Q$14,7,FALSE),1,0)</f>
        <v>1</v>
      </c>
      <c r="AZ252">
        <f>IF(VLOOKUP(AZ$1,main!$A$3:$I$56,5,FALSE)-VLOOKUP($A252,main!$A$3:$I$56,6,FALSE)&gt;=VLOOKUP(59,main!$A$57:$I$61,4,FALSE)+VLOOKUP(VLOOKUP(AZ$1,main!$A$3:$I$56,7,FALSE),main!$K$10:$Q$14,7,FALSE),1,0)</f>
        <v>0</v>
      </c>
      <c r="BA252">
        <f>IF(VLOOKUP(BA$1,main!$A$3:$I$56,5,FALSE)-VLOOKUP($A252,main!$A$3:$I$56,6,FALSE)&gt;=VLOOKUP(59,main!$A$57:$I$61,4,FALSE)+VLOOKUP(VLOOKUP(BA$1,main!$A$3:$I$56,7,FALSE),main!$K$10:$Q$14,7,FALSE),1,0)</f>
        <v>0</v>
      </c>
      <c r="BB252">
        <f>IF(VLOOKUP(BB$1,main!$A$3:$I$56,5,FALSE)-VLOOKUP($A252,main!$A$3:$I$56,6,FALSE)&gt;=VLOOKUP(59,main!$A$57:$I$61,4,FALSE)+VLOOKUP(VLOOKUP(BB$1,main!$A$3:$I$56,7,FALSE),main!$K$10:$Q$14,7,FALSE),1,0)</f>
        <v>0</v>
      </c>
      <c r="BC252">
        <f>IF(VLOOKUP(BC$1,main!$A$3:$I$56,5,FALSE)-VLOOKUP($A252,main!$A$3:$I$56,6,FALSE)&gt;=VLOOKUP(59,main!$A$57:$I$61,4,FALSE)+VLOOKUP(VLOOKUP(BC$1,main!$A$3:$I$56,7,FALSE),main!$K$10:$Q$14,7,FALSE),1,0)</f>
        <v>0</v>
      </c>
      <c r="BD252">
        <f>IF(VLOOKUP(BD$1,main!$A$3:$I$56,5,FALSE)-VLOOKUP($A252,main!$A$3:$I$56,6,FALSE)&gt;=VLOOKUP(59,main!$A$57:$I$61,4,FALSE)+VLOOKUP(VLOOKUP(BD$1,main!$A$3:$I$56,7,FALSE),main!$K$10:$Q$14,7,FALSE),1,0)</f>
        <v>0</v>
      </c>
    </row>
    <row r="253" spans="1:56" x14ac:dyDescent="0.25">
      <c r="A253">
        <f t="shared" si="4"/>
        <v>31</v>
      </c>
      <c r="B253">
        <v>0</v>
      </c>
      <c r="C253">
        <f>IF(VLOOKUP(C$1,main!$A$3:$I$56,5,FALSE)-VLOOKUP($A253,main!$A$3:$I$56,6,FALSE)&gt;=VLOOKUP(59,main!$A$57:$I$61,4,FALSE)+VLOOKUP(VLOOKUP(C$1,main!$A$3:$I$56,7,FALSE),main!$K$10:$Q$14,7,FALSE),1,0)</f>
        <v>0</v>
      </c>
      <c r="D253">
        <f>IF(VLOOKUP(D$1,main!$A$3:$I$56,5,FALSE)-VLOOKUP($A253,main!$A$3:$I$56,6,FALSE)&gt;=VLOOKUP(59,main!$A$57:$I$61,4,FALSE)+VLOOKUP(VLOOKUP(D$1,main!$A$3:$I$56,7,FALSE),main!$K$10:$Q$14,7,FALSE),1,0)</f>
        <v>0</v>
      </c>
      <c r="E253">
        <f>IF(VLOOKUP(E$1,main!$A$3:$I$56,5,FALSE)-VLOOKUP($A253,main!$A$3:$I$56,6,FALSE)&gt;=VLOOKUP(59,main!$A$57:$I$61,4,FALSE)+VLOOKUP(VLOOKUP(E$1,main!$A$3:$I$56,7,FALSE),main!$K$10:$Q$14,7,FALSE),1,0)</f>
        <v>0</v>
      </c>
      <c r="F253">
        <f>IF(VLOOKUP(F$1,main!$A$3:$I$56,5,FALSE)-VLOOKUP($A253,main!$A$3:$I$56,6,FALSE)&gt;=VLOOKUP(59,main!$A$57:$I$61,4,FALSE)+VLOOKUP(VLOOKUP(F$1,main!$A$3:$I$56,7,FALSE),main!$K$10:$Q$14,7,FALSE),1,0)</f>
        <v>0</v>
      </c>
      <c r="G253">
        <f>IF(VLOOKUP(G$1,main!$A$3:$I$56,5,FALSE)-VLOOKUP($A253,main!$A$3:$I$56,6,FALSE)&gt;=VLOOKUP(59,main!$A$57:$I$61,4,FALSE)+VLOOKUP(VLOOKUP(G$1,main!$A$3:$I$56,7,FALSE),main!$K$10:$Q$14,7,FALSE),1,0)</f>
        <v>1</v>
      </c>
      <c r="H253">
        <f>IF(VLOOKUP(H$1,main!$A$3:$I$56,5,FALSE)-VLOOKUP($A253,main!$A$3:$I$56,6,FALSE)&gt;=VLOOKUP(59,main!$A$57:$I$61,4,FALSE)+VLOOKUP(VLOOKUP(H$1,main!$A$3:$I$56,7,FALSE),main!$K$10:$Q$14,7,FALSE),1,0)</f>
        <v>1</v>
      </c>
      <c r="I253">
        <f>IF(VLOOKUP(I$1,main!$A$3:$I$56,5,FALSE)-VLOOKUP($A253,main!$A$3:$I$56,6,FALSE)&gt;=VLOOKUP(59,main!$A$57:$I$61,4,FALSE)+VLOOKUP(VLOOKUP(I$1,main!$A$3:$I$56,7,FALSE),main!$K$10:$Q$14,7,FALSE),1,0)</f>
        <v>1</v>
      </c>
      <c r="J253">
        <f>IF(VLOOKUP(J$1,main!$A$3:$I$56,5,FALSE)-VLOOKUP($A253,main!$A$3:$I$56,6,FALSE)&gt;=VLOOKUP(59,main!$A$57:$I$61,4,FALSE)+VLOOKUP(VLOOKUP(J$1,main!$A$3:$I$56,7,FALSE),main!$K$10:$Q$14,7,FALSE),1,0)</f>
        <v>1</v>
      </c>
      <c r="K253">
        <f>IF(VLOOKUP(K$1,main!$A$3:$I$56,5,FALSE)-VLOOKUP($A253,main!$A$3:$I$56,6,FALSE)&gt;=VLOOKUP(59,main!$A$57:$I$61,4,FALSE)+VLOOKUP(VLOOKUP(K$1,main!$A$3:$I$56,7,FALSE),main!$K$10:$Q$14,7,FALSE),1,0)</f>
        <v>0</v>
      </c>
      <c r="L253">
        <f>IF(VLOOKUP(L$1,main!$A$3:$I$56,5,FALSE)-VLOOKUP($A253,main!$A$3:$I$56,6,FALSE)&gt;=VLOOKUP(59,main!$A$57:$I$61,4,FALSE)+VLOOKUP(VLOOKUP(L$1,main!$A$3:$I$56,7,FALSE),main!$K$10:$Q$14,7,FALSE),1,0)</f>
        <v>0</v>
      </c>
      <c r="M253">
        <f>IF(VLOOKUP(M$1,main!$A$3:$I$56,5,FALSE)-VLOOKUP($A253,main!$A$3:$I$56,6,FALSE)&gt;=VLOOKUP(59,main!$A$57:$I$61,4,FALSE)+VLOOKUP(VLOOKUP(M$1,main!$A$3:$I$56,7,FALSE),main!$K$10:$Q$14,7,FALSE),1,0)</f>
        <v>0</v>
      </c>
      <c r="N253">
        <f>IF(VLOOKUP(N$1,main!$A$3:$I$56,5,FALSE)-VLOOKUP($A253,main!$A$3:$I$56,6,FALSE)&gt;=VLOOKUP(59,main!$A$57:$I$61,4,FALSE)+VLOOKUP(VLOOKUP(N$1,main!$A$3:$I$56,7,FALSE),main!$K$10:$Q$14,7,FALSE),1,0)</f>
        <v>1</v>
      </c>
      <c r="O253">
        <f>IF(VLOOKUP(O$1,main!$A$3:$I$56,5,FALSE)-VLOOKUP($A253,main!$A$3:$I$56,6,FALSE)&gt;=VLOOKUP(59,main!$A$57:$I$61,4,FALSE)+VLOOKUP(VLOOKUP(O$1,main!$A$3:$I$56,7,FALSE),main!$K$10:$Q$14,7,FALSE),1,0)</f>
        <v>1</v>
      </c>
      <c r="P253">
        <f>IF(VLOOKUP(P$1,main!$A$3:$I$56,5,FALSE)-VLOOKUP($A253,main!$A$3:$I$56,6,FALSE)&gt;=VLOOKUP(59,main!$A$57:$I$61,4,FALSE)+VLOOKUP(VLOOKUP(P$1,main!$A$3:$I$56,7,FALSE),main!$K$10:$Q$14,7,FALSE),1,0)</f>
        <v>0</v>
      </c>
      <c r="Q253">
        <f>IF(VLOOKUP(Q$1,main!$A$3:$I$56,5,FALSE)-VLOOKUP($A253,main!$A$3:$I$56,6,FALSE)&gt;=VLOOKUP(59,main!$A$57:$I$61,4,FALSE)+VLOOKUP(VLOOKUP(Q$1,main!$A$3:$I$56,7,FALSE),main!$K$10:$Q$14,7,FALSE),1,0)</f>
        <v>0</v>
      </c>
      <c r="R253">
        <f>IF(VLOOKUP(R$1,main!$A$3:$I$56,5,FALSE)-VLOOKUP($A253,main!$A$3:$I$56,6,FALSE)&gt;=VLOOKUP(59,main!$A$57:$I$61,4,FALSE)+VLOOKUP(VLOOKUP(R$1,main!$A$3:$I$56,7,FALSE),main!$K$10:$Q$14,7,FALSE),1,0)</f>
        <v>0</v>
      </c>
      <c r="S253">
        <f>IF(VLOOKUP(S$1,main!$A$3:$I$56,5,FALSE)-VLOOKUP($A253,main!$A$3:$I$56,6,FALSE)&gt;=VLOOKUP(59,main!$A$57:$I$61,4,FALSE)+VLOOKUP(VLOOKUP(S$1,main!$A$3:$I$56,7,FALSE),main!$K$10:$Q$14,7,FALSE),1,0)</f>
        <v>0</v>
      </c>
      <c r="T253">
        <f>IF(VLOOKUP(T$1,main!$A$3:$I$56,5,FALSE)-VLOOKUP($A253,main!$A$3:$I$56,6,FALSE)&gt;=VLOOKUP(59,main!$A$57:$I$61,4,FALSE)+VLOOKUP(VLOOKUP(T$1,main!$A$3:$I$56,7,FALSE),main!$K$10:$Q$14,7,FALSE),1,0)</f>
        <v>1</v>
      </c>
      <c r="U253">
        <f>IF(VLOOKUP(U$1,main!$A$3:$I$56,5,FALSE)-VLOOKUP($A253,main!$A$3:$I$56,6,FALSE)&gt;=VLOOKUP(59,main!$A$57:$I$61,4,FALSE)+VLOOKUP(VLOOKUP(U$1,main!$A$3:$I$56,7,FALSE),main!$K$10:$Q$14,7,FALSE),1,0)</f>
        <v>0</v>
      </c>
      <c r="V253">
        <f>IF(VLOOKUP(V$1,main!$A$3:$I$56,5,FALSE)-VLOOKUP($A253,main!$A$3:$I$56,6,FALSE)&gt;=VLOOKUP(59,main!$A$57:$I$61,4,FALSE)+VLOOKUP(VLOOKUP(V$1,main!$A$3:$I$56,7,FALSE),main!$K$10:$Q$14,7,FALSE),1,0)</f>
        <v>0</v>
      </c>
      <c r="W253">
        <f>IF(VLOOKUP(W$1,main!$A$3:$I$56,5,FALSE)-VLOOKUP($A253,main!$A$3:$I$56,6,FALSE)&gt;=VLOOKUP(59,main!$A$57:$I$61,4,FALSE)+VLOOKUP(VLOOKUP(W$1,main!$A$3:$I$56,7,FALSE),main!$K$10:$Q$14,7,FALSE),1,0)</f>
        <v>0</v>
      </c>
      <c r="X253">
        <f>IF(VLOOKUP(X$1,main!$A$3:$I$56,5,FALSE)-VLOOKUP($A253,main!$A$3:$I$56,6,FALSE)&gt;=VLOOKUP(59,main!$A$57:$I$61,4,FALSE)+VLOOKUP(VLOOKUP(X$1,main!$A$3:$I$56,7,FALSE),main!$K$10:$Q$14,7,FALSE),1,0)</f>
        <v>0</v>
      </c>
      <c r="Y253">
        <f>IF(VLOOKUP(Y$1,main!$A$3:$I$56,5,FALSE)-VLOOKUP($A253,main!$A$3:$I$56,6,FALSE)&gt;=VLOOKUP(59,main!$A$57:$I$61,4,FALSE)+VLOOKUP(VLOOKUP(Y$1,main!$A$3:$I$56,7,FALSE),main!$K$10:$Q$14,7,FALSE),1,0)</f>
        <v>0</v>
      </c>
      <c r="Z253">
        <f>IF(VLOOKUP(Z$1,main!$A$3:$I$56,5,FALSE)-VLOOKUP($A253,main!$A$3:$I$56,6,FALSE)&gt;=VLOOKUP(59,main!$A$57:$I$61,4,FALSE)+VLOOKUP(VLOOKUP(Z$1,main!$A$3:$I$56,7,FALSE),main!$K$10:$Q$14,7,FALSE),1,0)</f>
        <v>1</v>
      </c>
      <c r="AA253">
        <f>IF(VLOOKUP(AA$1,main!$A$3:$I$56,5,FALSE)-VLOOKUP($A253,main!$A$3:$I$56,6,FALSE)&gt;=VLOOKUP(59,main!$A$57:$I$61,4,FALSE)+VLOOKUP(VLOOKUP(AA$1,main!$A$3:$I$56,7,FALSE),main!$K$10:$Q$14,7,FALSE),1,0)</f>
        <v>1</v>
      </c>
      <c r="AB253">
        <f>IF(VLOOKUP(AB$1,main!$A$3:$I$56,5,FALSE)-VLOOKUP($A253,main!$A$3:$I$56,6,FALSE)&gt;=VLOOKUP(59,main!$A$57:$I$61,4,FALSE)+VLOOKUP(VLOOKUP(AB$1,main!$A$3:$I$56,7,FALSE),main!$K$10:$Q$14,7,FALSE),1,0)</f>
        <v>1</v>
      </c>
      <c r="AC253">
        <f>IF(VLOOKUP(AC$1,main!$A$3:$I$56,5,FALSE)-VLOOKUP($A253,main!$A$3:$I$56,6,FALSE)&gt;=VLOOKUP(59,main!$A$57:$I$61,4,FALSE)+VLOOKUP(VLOOKUP(AC$1,main!$A$3:$I$56,7,FALSE),main!$K$10:$Q$14,7,FALSE),1,0)</f>
        <v>0</v>
      </c>
      <c r="AD253">
        <f>IF(VLOOKUP(AD$1,main!$A$3:$I$56,5,FALSE)-VLOOKUP($A253,main!$A$3:$I$56,6,FALSE)&gt;=VLOOKUP(59,main!$A$57:$I$61,4,FALSE)+VLOOKUP(VLOOKUP(AD$1,main!$A$3:$I$56,7,FALSE),main!$K$10:$Q$14,7,FALSE),1,0)</f>
        <v>0</v>
      </c>
      <c r="AE253">
        <f>IF(VLOOKUP(AE$1,main!$A$3:$I$56,5,FALSE)-VLOOKUP($A253,main!$A$3:$I$56,6,FALSE)&gt;=VLOOKUP(59,main!$A$57:$I$61,4,FALSE)+VLOOKUP(VLOOKUP(AE$1,main!$A$3:$I$56,7,FALSE),main!$K$10:$Q$14,7,FALSE),1,0)</f>
        <v>0</v>
      </c>
      <c r="AF253">
        <f>IF(VLOOKUP(AF$1,main!$A$3:$I$56,5,FALSE)-VLOOKUP($A253,main!$A$3:$I$56,6,FALSE)&gt;=VLOOKUP(59,main!$A$57:$I$61,4,FALSE)+VLOOKUP(VLOOKUP(AF$1,main!$A$3:$I$56,7,FALSE),main!$K$10:$Q$14,7,FALSE),1,0)</f>
        <v>1</v>
      </c>
      <c r="AG253">
        <f>IF(VLOOKUP(AG$1,main!$A$3:$I$56,5,FALSE)-VLOOKUP($A253,main!$A$3:$I$56,6,FALSE)&gt;=VLOOKUP(59,main!$A$57:$I$61,4,FALSE)+VLOOKUP(VLOOKUP(AG$1,main!$A$3:$I$56,7,FALSE),main!$K$10:$Q$14,7,FALSE),1,0)</f>
        <v>0</v>
      </c>
      <c r="AH253">
        <f>IF(VLOOKUP(AH$1,main!$A$3:$I$56,5,FALSE)-VLOOKUP($A253,main!$A$3:$I$56,6,FALSE)&gt;=VLOOKUP(59,main!$A$57:$I$61,4,FALSE)+VLOOKUP(VLOOKUP(AH$1,main!$A$3:$I$56,7,FALSE),main!$K$10:$Q$14,7,FALSE),1,0)</f>
        <v>0</v>
      </c>
      <c r="AI253">
        <f>IF(VLOOKUP(AI$1,main!$A$3:$I$56,5,FALSE)-VLOOKUP($A253,main!$A$3:$I$56,6,FALSE)&gt;=VLOOKUP(59,main!$A$57:$I$61,4,FALSE)+VLOOKUP(VLOOKUP(AI$1,main!$A$3:$I$56,7,FALSE),main!$K$10:$Q$14,7,FALSE),1,0)</f>
        <v>0</v>
      </c>
      <c r="AJ253">
        <f>IF(VLOOKUP(AJ$1,main!$A$3:$I$56,5,FALSE)-VLOOKUP($A253,main!$A$3:$I$56,6,FALSE)&gt;=VLOOKUP(59,main!$A$57:$I$61,4,FALSE)+VLOOKUP(VLOOKUP(AJ$1,main!$A$3:$I$56,7,FALSE),main!$K$10:$Q$14,7,FALSE),1,0)</f>
        <v>0</v>
      </c>
      <c r="AK253">
        <f>IF(VLOOKUP(AK$1,main!$A$3:$I$56,5,FALSE)-VLOOKUP($A253,main!$A$3:$I$56,6,FALSE)&gt;=VLOOKUP(59,main!$A$57:$I$61,4,FALSE)+VLOOKUP(VLOOKUP(AK$1,main!$A$3:$I$56,7,FALSE),main!$K$10:$Q$14,7,FALSE),1,0)</f>
        <v>1</v>
      </c>
      <c r="AL253">
        <f>IF(VLOOKUP(AL$1,main!$A$3:$I$56,5,FALSE)-VLOOKUP($A253,main!$A$3:$I$56,6,FALSE)&gt;=VLOOKUP(59,main!$A$57:$I$61,4,FALSE)+VLOOKUP(VLOOKUP(AL$1,main!$A$3:$I$56,7,FALSE),main!$K$10:$Q$14,7,FALSE),1,0)</f>
        <v>0</v>
      </c>
      <c r="AM253">
        <f>IF(VLOOKUP(AM$1,main!$A$3:$I$56,5,FALSE)-VLOOKUP($A253,main!$A$3:$I$56,6,FALSE)&gt;=VLOOKUP(59,main!$A$57:$I$61,4,FALSE)+VLOOKUP(VLOOKUP(AM$1,main!$A$3:$I$56,7,FALSE),main!$K$10:$Q$14,7,FALSE),1,0)</f>
        <v>0</v>
      </c>
      <c r="AN253">
        <f>IF(VLOOKUP(AN$1,main!$A$3:$I$56,5,FALSE)-VLOOKUP($A253,main!$A$3:$I$56,6,FALSE)&gt;=VLOOKUP(59,main!$A$57:$I$61,4,FALSE)+VLOOKUP(VLOOKUP(AN$1,main!$A$3:$I$56,7,FALSE),main!$K$10:$Q$14,7,FALSE),1,0)</f>
        <v>0</v>
      </c>
      <c r="AO253">
        <f>IF(VLOOKUP(AO$1,main!$A$3:$I$56,5,FALSE)-VLOOKUP($A253,main!$A$3:$I$56,6,FALSE)&gt;=VLOOKUP(59,main!$A$57:$I$61,4,FALSE)+VLOOKUP(VLOOKUP(AO$1,main!$A$3:$I$56,7,FALSE),main!$K$10:$Q$14,7,FALSE),1,0)</f>
        <v>0</v>
      </c>
      <c r="AP253">
        <f>IF(VLOOKUP(AP$1,main!$A$3:$I$56,5,FALSE)-VLOOKUP($A253,main!$A$3:$I$56,6,FALSE)&gt;=VLOOKUP(59,main!$A$57:$I$61,4,FALSE)+VLOOKUP(VLOOKUP(AP$1,main!$A$3:$I$56,7,FALSE),main!$K$10:$Q$14,7,FALSE),1,0)</f>
        <v>0</v>
      </c>
      <c r="AQ253">
        <f>IF(VLOOKUP(AQ$1,main!$A$3:$I$56,5,FALSE)-VLOOKUP($A253,main!$A$3:$I$56,6,FALSE)&gt;=VLOOKUP(59,main!$A$57:$I$61,4,FALSE)+VLOOKUP(VLOOKUP(AQ$1,main!$A$3:$I$56,7,FALSE),main!$K$10:$Q$14,7,FALSE),1,0)</f>
        <v>0</v>
      </c>
      <c r="AR253">
        <f>IF(VLOOKUP(AR$1,main!$A$3:$I$56,5,FALSE)-VLOOKUP($A253,main!$A$3:$I$56,6,FALSE)&gt;=VLOOKUP(59,main!$A$57:$I$61,4,FALSE)+VLOOKUP(VLOOKUP(AR$1,main!$A$3:$I$56,7,FALSE),main!$K$10:$Q$14,7,FALSE),1,0)</f>
        <v>0</v>
      </c>
      <c r="AS253">
        <f>IF(VLOOKUP(AS$1,main!$A$3:$I$56,5,FALSE)-VLOOKUP($A253,main!$A$3:$I$56,6,FALSE)&gt;=VLOOKUP(59,main!$A$57:$I$61,4,FALSE)+VLOOKUP(VLOOKUP(AS$1,main!$A$3:$I$56,7,FALSE),main!$K$10:$Q$14,7,FALSE),1,0)</f>
        <v>0</v>
      </c>
      <c r="AT253">
        <f>IF(VLOOKUP(AT$1,main!$A$3:$I$56,5,FALSE)-VLOOKUP($A253,main!$A$3:$I$56,6,FALSE)&gt;=VLOOKUP(59,main!$A$57:$I$61,4,FALSE)+VLOOKUP(VLOOKUP(AT$1,main!$A$3:$I$56,7,FALSE),main!$K$10:$Q$14,7,FALSE),1,0)</f>
        <v>0</v>
      </c>
      <c r="AU253">
        <f>IF(VLOOKUP(AU$1,main!$A$3:$I$56,5,FALSE)-VLOOKUP($A253,main!$A$3:$I$56,6,FALSE)&gt;=VLOOKUP(59,main!$A$57:$I$61,4,FALSE)+VLOOKUP(VLOOKUP(AU$1,main!$A$3:$I$56,7,FALSE),main!$K$10:$Q$14,7,FALSE),1,0)</f>
        <v>0</v>
      </c>
      <c r="AV253">
        <f>IF(VLOOKUP(AV$1,main!$A$3:$I$56,5,FALSE)-VLOOKUP($A253,main!$A$3:$I$56,6,FALSE)&gt;=VLOOKUP(59,main!$A$57:$I$61,4,FALSE)+VLOOKUP(VLOOKUP(AV$1,main!$A$3:$I$56,7,FALSE),main!$K$10:$Q$14,7,FALSE),1,0)</f>
        <v>0</v>
      </c>
      <c r="AW253">
        <f>IF(VLOOKUP(AW$1,main!$A$3:$I$56,5,FALSE)-VLOOKUP($A253,main!$A$3:$I$56,6,FALSE)&gt;=VLOOKUP(59,main!$A$57:$I$61,4,FALSE)+VLOOKUP(VLOOKUP(AW$1,main!$A$3:$I$56,7,FALSE),main!$K$10:$Q$14,7,FALSE),1,0)</f>
        <v>1</v>
      </c>
      <c r="AX253">
        <f>IF(VLOOKUP(AX$1,main!$A$3:$I$56,5,FALSE)-VLOOKUP($A253,main!$A$3:$I$56,6,FALSE)&gt;=VLOOKUP(59,main!$A$57:$I$61,4,FALSE)+VLOOKUP(VLOOKUP(AX$1,main!$A$3:$I$56,7,FALSE),main!$K$10:$Q$14,7,FALSE),1,0)</f>
        <v>1</v>
      </c>
      <c r="AY253">
        <f>IF(VLOOKUP(AY$1,main!$A$3:$I$56,5,FALSE)-VLOOKUP($A253,main!$A$3:$I$56,6,FALSE)&gt;=VLOOKUP(59,main!$A$57:$I$61,4,FALSE)+VLOOKUP(VLOOKUP(AY$1,main!$A$3:$I$56,7,FALSE),main!$K$10:$Q$14,7,FALSE),1,0)</f>
        <v>1</v>
      </c>
      <c r="AZ253">
        <f>IF(VLOOKUP(AZ$1,main!$A$3:$I$56,5,FALSE)-VLOOKUP($A253,main!$A$3:$I$56,6,FALSE)&gt;=VLOOKUP(59,main!$A$57:$I$61,4,FALSE)+VLOOKUP(VLOOKUP(AZ$1,main!$A$3:$I$56,7,FALSE),main!$K$10:$Q$14,7,FALSE),1,0)</f>
        <v>0</v>
      </c>
      <c r="BA253">
        <f>IF(VLOOKUP(BA$1,main!$A$3:$I$56,5,FALSE)-VLOOKUP($A253,main!$A$3:$I$56,6,FALSE)&gt;=VLOOKUP(59,main!$A$57:$I$61,4,FALSE)+VLOOKUP(VLOOKUP(BA$1,main!$A$3:$I$56,7,FALSE),main!$K$10:$Q$14,7,FALSE),1,0)</f>
        <v>0</v>
      </c>
      <c r="BB253">
        <f>IF(VLOOKUP(BB$1,main!$A$3:$I$56,5,FALSE)-VLOOKUP($A253,main!$A$3:$I$56,6,FALSE)&gt;=VLOOKUP(59,main!$A$57:$I$61,4,FALSE)+VLOOKUP(VLOOKUP(BB$1,main!$A$3:$I$56,7,FALSE),main!$K$10:$Q$14,7,FALSE),1,0)</f>
        <v>1</v>
      </c>
      <c r="BC253">
        <f>IF(VLOOKUP(BC$1,main!$A$3:$I$56,5,FALSE)-VLOOKUP($A253,main!$A$3:$I$56,6,FALSE)&gt;=VLOOKUP(59,main!$A$57:$I$61,4,FALSE)+VLOOKUP(VLOOKUP(BC$1,main!$A$3:$I$56,7,FALSE),main!$K$10:$Q$14,7,FALSE),1,0)</f>
        <v>1</v>
      </c>
      <c r="BD253">
        <f>IF(VLOOKUP(BD$1,main!$A$3:$I$56,5,FALSE)-VLOOKUP($A253,main!$A$3:$I$56,6,FALSE)&gt;=VLOOKUP(59,main!$A$57:$I$61,4,FALSE)+VLOOKUP(VLOOKUP(BD$1,main!$A$3:$I$56,7,FALSE),main!$K$10:$Q$14,7,FALSE),1,0)</f>
        <v>1</v>
      </c>
    </row>
    <row r="254" spans="1:56" x14ac:dyDescent="0.25">
      <c r="A254">
        <f t="shared" si="4"/>
        <v>32</v>
      </c>
      <c r="B254">
        <v>0</v>
      </c>
      <c r="C254">
        <f>IF(VLOOKUP(C$1,main!$A$3:$I$56,5,FALSE)-VLOOKUP($A254,main!$A$3:$I$56,6,FALSE)&gt;=VLOOKUP(59,main!$A$57:$I$61,4,FALSE)+VLOOKUP(VLOOKUP(C$1,main!$A$3:$I$56,7,FALSE),main!$K$10:$Q$14,7,FALSE),1,0)</f>
        <v>0</v>
      </c>
      <c r="D254">
        <f>IF(VLOOKUP(D$1,main!$A$3:$I$56,5,FALSE)-VLOOKUP($A254,main!$A$3:$I$56,6,FALSE)&gt;=VLOOKUP(59,main!$A$57:$I$61,4,FALSE)+VLOOKUP(VLOOKUP(D$1,main!$A$3:$I$56,7,FALSE),main!$K$10:$Q$14,7,FALSE),1,0)</f>
        <v>0</v>
      </c>
      <c r="E254">
        <f>IF(VLOOKUP(E$1,main!$A$3:$I$56,5,FALSE)-VLOOKUP($A254,main!$A$3:$I$56,6,FALSE)&gt;=VLOOKUP(59,main!$A$57:$I$61,4,FALSE)+VLOOKUP(VLOOKUP(E$1,main!$A$3:$I$56,7,FALSE),main!$K$10:$Q$14,7,FALSE),1,0)</f>
        <v>0</v>
      </c>
      <c r="F254">
        <f>IF(VLOOKUP(F$1,main!$A$3:$I$56,5,FALSE)-VLOOKUP($A254,main!$A$3:$I$56,6,FALSE)&gt;=VLOOKUP(59,main!$A$57:$I$61,4,FALSE)+VLOOKUP(VLOOKUP(F$1,main!$A$3:$I$56,7,FALSE),main!$K$10:$Q$14,7,FALSE),1,0)</f>
        <v>0</v>
      </c>
      <c r="G254">
        <f>IF(VLOOKUP(G$1,main!$A$3:$I$56,5,FALSE)-VLOOKUP($A254,main!$A$3:$I$56,6,FALSE)&gt;=VLOOKUP(59,main!$A$57:$I$61,4,FALSE)+VLOOKUP(VLOOKUP(G$1,main!$A$3:$I$56,7,FALSE),main!$K$10:$Q$14,7,FALSE),1,0)</f>
        <v>0</v>
      </c>
      <c r="H254">
        <f>IF(VLOOKUP(H$1,main!$A$3:$I$56,5,FALSE)-VLOOKUP($A254,main!$A$3:$I$56,6,FALSE)&gt;=VLOOKUP(59,main!$A$57:$I$61,4,FALSE)+VLOOKUP(VLOOKUP(H$1,main!$A$3:$I$56,7,FALSE),main!$K$10:$Q$14,7,FALSE),1,0)</f>
        <v>0</v>
      </c>
      <c r="I254">
        <f>IF(VLOOKUP(I$1,main!$A$3:$I$56,5,FALSE)-VLOOKUP($A254,main!$A$3:$I$56,6,FALSE)&gt;=VLOOKUP(59,main!$A$57:$I$61,4,FALSE)+VLOOKUP(VLOOKUP(I$1,main!$A$3:$I$56,7,FALSE),main!$K$10:$Q$14,7,FALSE),1,0)</f>
        <v>0</v>
      </c>
      <c r="J254">
        <f>IF(VLOOKUP(J$1,main!$A$3:$I$56,5,FALSE)-VLOOKUP($A254,main!$A$3:$I$56,6,FALSE)&gt;=VLOOKUP(59,main!$A$57:$I$61,4,FALSE)+VLOOKUP(VLOOKUP(J$1,main!$A$3:$I$56,7,FALSE),main!$K$10:$Q$14,7,FALSE),1,0)</f>
        <v>1</v>
      </c>
      <c r="K254">
        <f>IF(VLOOKUP(K$1,main!$A$3:$I$56,5,FALSE)-VLOOKUP($A254,main!$A$3:$I$56,6,FALSE)&gt;=VLOOKUP(59,main!$A$57:$I$61,4,FALSE)+VLOOKUP(VLOOKUP(K$1,main!$A$3:$I$56,7,FALSE),main!$K$10:$Q$14,7,FALSE),1,0)</f>
        <v>0</v>
      </c>
      <c r="L254">
        <f>IF(VLOOKUP(L$1,main!$A$3:$I$56,5,FALSE)-VLOOKUP($A254,main!$A$3:$I$56,6,FALSE)&gt;=VLOOKUP(59,main!$A$57:$I$61,4,FALSE)+VLOOKUP(VLOOKUP(L$1,main!$A$3:$I$56,7,FALSE),main!$K$10:$Q$14,7,FALSE),1,0)</f>
        <v>0</v>
      </c>
      <c r="M254">
        <f>IF(VLOOKUP(M$1,main!$A$3:$I$56,5,FALSE)-VLOOKUP($A254,main!$A$3:$I$56,6,FALSE)&gt;=VLOOKUP(59,main!$A$57:$I$61,4,FALSE)+VLOOKUP(VLOOKUP(M$1,main!$A$3:$I$56,7,FALSE),main!$K$10:$Q$14,7,FALSE),1,0)</f>
        <v>0</v>
      </c>
      <c r="N254">
        <f>IF(VLOOKUP(N$1,main!$A$3:$I$56,5,FALSE)-VLOOKUP($A254,main!$A$3:$I$56,6,FALSE)&gt;=VLOOKUP(59,main!$A$57:$I$61,4,FALSE)+VLOOKUP(VLOOKUP(N$1,main!$A$3:$I$56,7,FALSE),main!$K$10:$Q$14,7,FALSE),1,0)</f>
        <v>1</v>
      </c>
      <c r="O254">
        <f>IF(VLOOKUP(O$1,main!$A$3:$I$56,5,FALSE)-VLOOKUP($A254,main!$A$3:$I$56,6,FALSE)&gt;=VLOOKUP(59,main!$A$57:$I$61,4,FALSE)+VLOOKUP(VLOOKUP(O$1,main!$A$3:$I$56,7,FALSE),main!$K$10:$Q$14,7,FALSE),1,0)</f>
        <v>1</v>
      </c>
      <c r="P254">
        <f>IF(VLOOKUP(P$1,main!$A$3:$I$56,5,FALSE)-VLOOKUP($A254,main!$A$3:$I$56,6,FALSE)&gt;=VLOOKUP(59,main!$A$57:$I$61,4,FALSE)+VLOOKUP(VLOOKUP(P$1,main!$A$3:$I$56,7,FALSE),main!$K$10:$Q$14,7,FALSE),1,0)</f>
        <v>0</v>
      </c>
      <c r="Q254">
        <f>IF(VLOOKUP(Q$1,main!$A$3:$I$56,5,FALSE)-VLOOKUP($A254,main!$A$3:$I$56,6,FALSE)&gt;=VLOOKUP(59,main!$A$57:$I$61,4,FALSE)+VLOOKUP(VLOOKUP(Q$1,main!$A$3:$I$56,7,FALSE),main!$K$10:$Q$14,7,FALSE),1,0)</f>
        <v>0</v>
      </c>
      <c r="R254">
        <f>IF(VLOOKUP(R$1,main!$A$3:$I$56,5,FALSE)-VLOOKUP($A254,main!$A$3:$I$56,6,FALSE)&gt;=VLOOKUP(59,main!$A$57:$I$61,4,FALSE)+VLOOKUP(VLOOKUP(R$1,main!$A$3:$I$56,7,FALSE),main!$K$10:$Q$14,7,FALSE),1,0)</f>
        <v>0</v>
      </c>
      <c r="S254">
        <f>IF(VLOOKUP(S$1,main!$A$3:$I$56,5,FALSE)-VLOOKUP($A254,main!$A$3:$I$56,6,FALSE)&gt;=VLOOKUP(59,main!$A$57:$I$61,4,FALSE)+VLOOKUP(VLOOKUP(S$1,main!$A$3:$I$56,7,FALSE),main!$K$10:$Q$14,7,FALSE),1,0)</f>
        <v>0</v>
      </c>
      <c r="T254">
        <f>IF(VLOOKUP(T$1,main!$A$3:$I$56,5,FALSE)-VLOOKUP($A254,main!$A$3:$I$56,6,FALSE)&gt;=VLOOKUP(59,main!$A$57:$I$61,4,FALSE)+VLOOKUP(VLOOKUP(T$1,main!$A$3:$I$56,7,FALSE),main!$K$10:$Q$14,7,FALSE),1,0)</f>
        <v>0</v>
      </c>
      <c r="U254">
        <f>IF(VLOOKUP(U$1,main!$A$3:$I$56,5,FALSE)-VLOOKUP($A254,main!$A$3:$I$56,6,FALSE)&gt;=VLOOKUP(59,main!$A$57:$I$61,4,FALSE)+VLOOKUP(VLOOKUP(U$1,main!$A$3:$I$56,7,FALSE),main!$K$10:$Q$14,7,FALSE),1,0)</f>
        <v>0</v>
      </c>
      <c r="V254">
        <f>IF(VLOOKUP(V$1,main!$A$3:$I$56,5,FALSE)-VLOOKUP($A254,main!$A$3:$I$56,6,FALSE)&gt;=VLOOKUP(59,main!$A$57:$I$61,4,FALSE)+VLOOKUP(VLOOKUP(V$1,main!$A$3:$I$56,7,FALSE),main!$K$10:$Q$14,7,FALSE),1,0)</f>
        <v>0</v>
      </c>
      <c r="W254">
        <f>IF(VLOOKUP(W$1,main!$A$3:$I$56,5,FALSE)-VLOOKUP($A254,main!$A$3:$I$56,6,FALSE)&gt;=VLOOKUP(59,main!$A$57:$I$61,4,FALSE)+VLOOKUP(VLOOKUP(W$1,main!$A$3:$I$56,7,FALSE),main!$K$10:$Q$14,7,FALSE),1,0)</f>
        <v>0</v>
      </c>
      <c r="X254">
        <f>IF(VLOOKUP(X$1,main!$A$3:$I$56,5,FALSE)-VLOOKUP($A254,main!$A$3:$I$56,6,FALSE)&gt;=VLOOKUP(59,main!$A$57:$I$61,4,FALSE)+VLOOKUP(VLOOKUP(X$1,main!$A$3:$I$56,7,FALSE),main!$K$10:$Q$14,7,FALSE),1,0)</f>
        <v>0</v>
      </c>
      <c r="Y254">
        <f>IF(VLOOKUP(Y$1,main!$A$3:$I$56,5,FALSE)-VLOOKUP($A254,main!$A$3:$I$56,6,FALSE)&gt;=VLOOKUP(59,main!$A$57:$I$61,4,FALSE)+VLOOKUP(VLOOKUP(Y$1,main!$A$3:$I$56,7,FALSE),main!$K$10:$Q$14,7,FALSE),1,0)</f>
        <v>0</v>
      </c>
      <c r="Z254">
        <f>IF(VLOOKUP(Z$1,main!$A$3:$I$56,5,FALSE)-VLOOKUP($A254,main!$A$3:$I$56,6,FALSE)&gt;=VLOOKUP(59,main!$A$57:$I$61,4,FALSE)+VLOOKUP(VLOOKUP(Z$1,main!$A$3:$I$56,7,FALSE),main!$K$10:$Q$14,7,FALSE),1,0)</f>
        <v>0</v>
      </c>
      <c r="AA254">
        <f>IF(VLOOKUP(AA$1,main!$A$3:$I$56,5,FALSE)-VLOOKUP($A254,main!$A$3:$I$56,6,FALSE)&gt;=VLOOKUP(59,main!$A$57:$I$61,4,FALSE)+VLOOKUP(VLOOKUP(AA$1,main!$A$3:$I$56,7,FALSE),main!$K$10:$Q$14,7,FALSE),1,0)</f>
        <v>0</v>
      </c>
      <c r="AB254">
        <f>IF(VLOOKUP(AB$1,main!$A$3:$I$56,5,FALSE)-VLOOKUP($A254,main!$A$3:$I$56,6,FALSE)&gt;=VLOOKUP(59,main!$A$57:$I$61,4,FALSE)+VLOOKUP(VLOOKUP(AB$1,main!$A$3:$I$56,7,FALSE),main!$K$10:$Q$14,7,FALSE),1,0)</f>
        <v>1</v>
      </c>
      <c r="AC254">
        <f>IF(VLOOKUP(AC$1,main!$A$3:$I$56,5,FALSE)-VLOOKUP($A254,main!$A$3:$I$56,6,FALSE)&gt;=VLOOKUP(59,main!$A$57:$I$61,4,FALSE)+VLOOKUP(VLOOKUP(AC$1,main!$A$3:$I$56,7,FALSE),main!$K$10:$Q$14,7,FALSE),1,0)</f>
        <v>0</v>
      </c>
      <c r="AD254">
        <f>IF(VLOOKUP(AD$1,main!$A$3:$I$56,5,FALSE)-VLOOKUP($A254,main!$A$3:$I$56,6,FALSE)&gt;=VLOOKUP(59,main!$A$57:$I$61,4,FALSE)+VLOOKUP(VLOOKUP(AD$1,main!$A$3:$I$56,7,FALSE),main!$K$10:$Q$14,7,FALSE),1,0)</f>
        <v>0</v>
      </c>
      <c r="AE254">
        <f>IF(VLOOKUP(AE$1,main!$A$3:$I$56,5,FALSE)-VLOOKUP($A254,main!$A$3:$I$56,6,FALSE)&gt;=VLOOKUP(59,main!$A$57:$I$61,4,FALSE)+VLOOKUP(VLOOKUP(AE$1,main!$A$3:$I$56,7,FALSE),main!$K$10:$Q$14,7,FALSE),1,0)</f>
        <v>0</v>
      </c>
      <c r="AF254">
        <f>IF(VLOOKUP(AF$1,main!$A$3:$I$56,5,FALSE)-VLOOKUP($A254,main!$A$3:$I$56,6,FALSE)&gt;=VLOOKUP(59,main!$A$57:$I$61,4,FALSE)+VLOOKUP(VLOOKUP(AF$1,main!$A$3:$I$56,7,FALSE),main!$K$10:$Q$14,7,FALSE),1,0)</f>
        <v>0</v>
      </c>
      <c r="AG254">
        <f>IF(VLOOKUP(AG$1,main!$A$3:$I$56,5,FALSE)-VLOOKUP($A254,main!$A$3:$I$56,6,FALSE)&gt;=VLOOKUP(59,main!$A$57:$I$61,4,FALSE)+VLOOKUP(VLOOKUP(AG$1,main!$A$3:$I$56,7,FALSE),main!$K$10:$Q$14,7,FALSE),1,0)</f>
        <v>0</v>
      </c>
      <c r="AH254">
        <f>IF(VLOOKUP(AH$1,main!$A$3:$I$56,5,FALSE)-VLOOKUP($A254,main!$A$3:$I$56,6,FALSE)&gt;=VLOOKUP(59,main!$A$57:$I$61,4,FALSE)+VLOOKUP(VLOOKUP(AH$1,main!$A$3:$I$56,7,FALSE),main!$K$10:$Q$14,7,FALSE),1,0)</f>
        <v>0</v>
      </c>
      <c r="AI254">
        <f>IF(VLOOKUP(AI$1,main!$A$3:$I$56,5,FALSE)-VLOOKUP($A254,main!$A$3:$I$56,6,FALSE)&gt;=VLOOKUP(59,main!$A$57:$I$61,4,FALSE)+VLOOKUP(VLOOKUP(AI$1,main!$A$3:$I$56,7,FALSE),main!$K$10:$Q$14,7,FALSE),1,0)</f>
        <v>0</v>
      </c>
      <c r="AJ254">
        <f>IF(VLOOKUP(AJ$1,main!$A$3:$I$56,5,FALSE)-VLOOKUP($A254,main!$A$3:$I$56,6,FALSE)&gt;=VLOOKUP(59,main!$A$57:$I$61,4,FALSE)+VLOOKUP(VLOOKUP(AJ$1,main!$A$3:$I$56,7,FALSE),main!$K$10:$Q$14,7,FALSE),1,0)</f>
        <v>0</v>
      </c>
      <c r="AK254">
        <f>IF(VLOOKUP(AK$1,main!$A$3:$I$56,5,FALSE)-VLOOKUP($A254,main!$A$3:$I$56,6,FALSE)&gt;=VLOOKUP(59,main!$A$57:$I$61,4,FALSE)+VLOOKUP(VLOOKUP(AK$1,main!$A$3:$I$56,7,FALSE),main!$K$10:$Q$14,7,FALSE),1,0)</f>
        <v>0</v>
      </c>
      <c r="AL254">
        <f>IF(VLOOKUP(AL$1,main!$A$3:$I$56,5,FALSE)-VLOOKUP($A254,main!$A$3:$I$56,6,FALSE)&gt;=VLOOKUP(59,main!$A$57:$I$61,4,FALSE)+VLOOKUP(VLOOKUP(AL$1,main!$A$3:$I$56,7,FALSE),main!$K$10:$Q$14,7,FALSE),1,0)</f>
        <v>0</v>
      </c>
      <c r="AM254">
        <f>IF(VLOOKUP(AM$1,main!$A$3:$I$56,5,FALSE)-VLOOKUP($A254,main!$A$3:$I$56,6,FALSE)&gt;=VLOOKUP(59,main!$A$57:$I$61,4,FALSE)+VLOOKUP(VLOOKUP(AM$1,main!$A$3:$I$56,7,FALSE),main!$K$10:$Q$14,7,FALSE),1,0)</f>
        <v>0</v>
      </c>
      <c r="AN254">
        <f>IF(VLOOKUP(AN$1,main!$A$3:$I$56,5,FALSE)-VLOOKUP($A254,main!$A$3:$I$56,6,FALSE)&gt;=VLOOKUP(59,main!$A$57:$I$61,4,FALSE)+VLOOKUP(VLOOKUP(AN$1,main!$A$3:$I$56,7,FALSE),main!$K$10:$Q$14,7,FALSE),1,0)</f>
        <v>0</v>
      </c>
      <c r="AO254">
        <f>IF(VLOOKUP(AO$1,main!$A$3:$I$56,5,FALSE)-VLOOKUP($A254,main!$A$3:$I$56,6,FALSE)&gt;=VLOOKUP(59,main!$A$57:$I$61,4,FALSE)+VLOOKUP(VLOOKUP(AO$1,main!$A$3:$I$56,7,FALSE),main!$K$10:$Q$14,7,FALSE),1,0)</f>
        <v>0</v>
      </c>
      <c r="AP254">
        <f>IF(VLOOKUP(AP$1,main!$A$3:$I$56,5,FALSE)-VLOOKUP($A254,main!$A$3:$I$56,6,FALSE)&gt;=VLOOKUP(59,main!$A$57:$I$61,4,FALSE)+VLOOKUP(VLOOKUP(AP$1,main!$A$3:$I$56,7,FALSE),main!$K$10:$Q$14,7,FALSE),1,0)</f>
        <v>0</v>
      </c>
      <c r="AQ254">
        <f>IF(VLOOKUP(AQ$1,main!$A$3:$I$56,5,FALSE)-VLOOKUP($A254,main!$A$3:$I$56,6,FALSE)&gt;=VLOOKUP(59,main!$A$57:$I$61,4,FALSE)+VLOOKUP(VLOOKUP(AQ$1,main!$A$3:$I$56,7,FALSE),main!$K$10:$Q$14,7,FALSE),1,0)</f>
        <v>0</v>
      </c>
      <c r="AR254">
        <f>IF(VLOOKUP(AR$1,main!$A$3:$I$56,5,FALSE)-VLOOKUP($A254,main!$A$3:$I$56,6,FALSE)&gt;=VLOOKUP(59,main!$A$57:$I$61,4,FALSE)+VLOOKUP(VLOOKUP(AR$1,main!$A$3:$I$56,7,FALSE),main!$K$10:$Q$14,7,FALSE),1,0)</f>
        <v>0</v>
      </c>
      <c r="AS254">
        <f>IF(VLOOKUP(AS$1,main!$A$3:$I$56,5,FALSE)-VLOOKUP($A254,main!$A$3:$I$56,6,FALSE)&gt;=VLOOKUP(59,main!$A$57:$I$61,4,FALSE)+VLOOKUP(VLOOKUP(AS$1,main!$A$3:$I$56,7,FALSE),main!$K$10:$Q$14,7,FALSE),1,0)</f>
        <v>0</v>
      </c>
      <c r="AT254">
        <f>IF(VLOOKUP(AT$1,main!$A$3:$I$56,5,FALSE)-VLOOKUP($A254,main!$A$3:$I$56,6,FALSE)&gt;=VLOOKUP(59,main!$A$57:$I$61,4,FALSE)+VLOOKUP(VLOOKUP(AT$1,main!$A$3:$I$56,7,FALSE),main!$K$10:$Q$14,7,FALSE),1,0)</f>
        <v>0</v>
      </c>
      <c r="AU254">
        <f>IF(VLOOKUP(AU$1,main!$A$3:$I$56,5,FALSE)-VLOOKUP($A254,main!$A$3:$I$56,6,FALSE)&gt;=VLOOKUP(59,main!$A$57:$I$61,4,FALSE)+VLOOKUP(VLOOKUP(AU$1,main!$A$3:$I$56,7,FALSE),main!$K$10:$Q$14,7,FALSE),1,0)</f>
        <v>0</v>
      </c>
      <c r="AV254">
        <f>IF(VLOOKUP(AV$1,main!$A$3:$I$56,5,FALSE)-VLOOKUP($A254,main!$A$3:$I$56,6,FALSE)&gt;=VLOOKUP(59,main!$A$57:$I$61,4,FALSE)+VLOOKUP(VLOOKUP(AV$1,main!$A$3:$I$56,7,FALSE),main!$K$10:$Q$14,7,FALSE),1,0)</f>
        <v>0</v>
      </c>
      <c r="AW254">
        <f>IF(VLOOKUP(AW$1,main!$A$3:$I$56,5,FALSE)-VLOOKUP($A254,main!$A$3:$I$56,6,FALSE)&gt;=VLOOKUP(59,main!$A$57:$I$61,4,FALSE)+VLOOKUP(VLOOKUP(AW$1,main!$A$3:$I$56,7,FALSE),main!$K$10:$Q$14,7,FALSE),1,0)</f>
        <v>0</v>
      </c>
      <c r="AX254">
        <f>IF(VLOOKUP(AX$1,main!$A$3:$I$56,5,FALSE)-VLOOKUP($A254,main!$A$3:$I$56,6,FALSE)&gt;=VLOOKUP(59,main!$A$57:$I$61,4,FALSE)+VLOOKUP(VLOOKUP(AX$1,main!$A$3:$I$56,7,FALSE),main!$K$10:$Q$14,7,FALSE),1,0)</f>
        <v>1</v>
      </c>
      <c r="AY254">
        <f>IF(VLOOKUP(AY$1,main!$A$3:$I$56,5,FALSE)-VLOOKUP($A254,main!$A$3:$I$56,6,FALSE)&gt;=VLOOKUP(59,main!$A$57:$I$61,4,FALSE)+VLOOKUP(VLOOKUP(AY$1,main!$A$3:$I$56,7,FALSE),main!$K$10:$Q$14,7,FALSE),1,0)</f>
        <v>1</v>
      </c>
      <c r="AZ254">
        <f>IF(VLOOKUP(AZ$1,main!$A$3:$I$56,5,FALSE)-VLOOKUP($A254,main!$A$3:$I$56,6,FALSE)&gt;=VLOOKUP(59,main!$A$57:$I$61,4,FALSE)+VLOOKUP(VLOOKUP(AZ$1,main!$A$3:$I$56,7,FALSE),main!$K$10:$Q$14,7,FALSE),1,0)</f>
        <v>0</v>
      </c>
      <c r="BA254">
        <f>IF(VLOOKUP(BA$1,main!$A$3:$I$56,5,FALSE)-VLOOKUP($A254,main!$A$3:$I$56,6,FALSE)&gt;=VLOOKUP(59,main!$A$57:$I$61,4,FALSE)+VLOOKUP(VLOOKUP(BA$1,main!$A$3:$I$56,7,FALSE),main!$K$10:$Q$14,7,FALSE),1,0)</f>
        <v>0</v>
      </c>
      <c r="BB254">
        <f>IF(VLOOKUP(BB$1,main!$A$3:$I$56,5,FALSE)-VLOOKUP($A254,main!$A$3:$I$56,6,FALSE)&gt;=VLOOKUP(59,main!$A$57:$I$61,4,FALSE)+VLOOKUP(VLOOKUP(BB$1,main!$A$3:$I$56,7,FALSE),main!$K$10:$Q$14,7,FALSE),1,0)</f>
        <v>0</v>
      </c>
      <c r="BC254">
        <f>IF(VLOOKUP(BC$1,main!$A$3:$I$56,5,FALSE)-VLOOKUP($A254,main!$A$3:$I$56,6,FALSE)&gt;=VLOOKUP(59,main!$A$57:$I$61,4,FALSE)+VLOOKUP(VLOOKUP(BC$1,main!$A$3:$I$56,7,FALSE),main!$K$10:$Q$14,7,FALSE),1,0)</f>
        <v>1</v>
      </c>
      <c r="BD254">
        <f>IF(VLOOKUP(BD$1,main!$A$3:$I$56,5,FALSE)-VLOOKUP($A254,main!$A$3:$I$56,6,FALSE)&gt;=VLOOKUP(59,main!$A$57:$I$61,4,FALSE)+VLOOKUP(VLOOKUP(BD$1,main!$A$3:$I$56,7,FALSE),main!$K$10:$Q$14,7,FALSE),1,0)</f>
        <v>1</v>
      </c>
    </row>
    <row r="255" spans="1:56" x14ac:dyDescent="0.25">
      <c r="A255">
        <f t="shared" si="4"/>
        <v>33</v>
      </c>
      <c r="B255">
        <v>0</v>
      </c>
      <c r="C255">
        <f>IF(VLOOKUP(C$1,main!$A$3:$I$56,5,FALSE)-VLOOKUP($A255,main!$A$3:$I$56,6,FALSE)&gt;=VLOOKUP(59,main!$A$57:$I$61,4,FALSE)+VLOOKUP(VLOOKUP(C$1,main!$A$3:$I$56,7,FALSE),main!$K$10:$Q$14,7,FALSE),1,0)</f>
        <v>0</v>
      </c>
      <c r="D255">
        <f>IF(VLOOKUP(D$1,main!$A$3:$I$56,5,FALSE)-VLOOKUP($A255,main!$A$3:$I$56,6,FALSE)&gt;=VLOOKUP(59,main!$A$57:$I$61,4,FALSE)+VLOOKUP(VLOOKUP(D$1,main!$A$3:$I$56,7,FALSE),main!$K$10:$Q$14,7,FALSE),1,0)</f>
        <v>0</v>
      </c>
      <c r="E255">
        <f>IF(VLOOKUP(E$1,main!$A$3:$I$56,5,FALSE)-VLOOKUP($A255,main!$A$3:$I$56,6,FALSE)&gt;=VLOOKUP(59,main!$A$57:$I$61,4,FALSE)+VLOOKUP(VLOOKUP(E$1,main!$A$3:$I$56,7,FALSE),main!$K$10:$Q$14,7,FALSE),1,0)</f>
        <v>0</v>
      </c>
      <c r="F255">
        <f>IF(VLOOKUP(F$1,main!$A$3:$I$56,5,FALSE)-VLOOKUP($A255,main!$A$3:$I$56,6,FALSE)&gt;=VLOOKUP(59,main!$A$57:$I$61,4,FALSE)+VLOOKUP(VLOOKUP(F$1,main!$A$3:$I$56,7,FALSE),main!$K$10:$Q$14,7,FALSE),1,0)</f>
        <v>0</v>
      </c>
      <c r="G255">
        <f>IF(VLOOKUP(G$1,main!$A$3:$I$56,5,FALSE)-VLOOKUP($A255,main!$A$3:$I$56,6,FALSE)&gt;=VLOOKUP(59,main!$A$57:$I$61,4,FALSE)+VLOOKUP(VLOOKUP(G$1,main!$A$3:$I$56,7,FALSE),main!$K$10:$Q$14,7,FALSE),1,0)</f>
        <v>0</v>
      </c>
      <c r="H255">
        <f>IF(VLOOKUP(H$1,main!$A$3:$I$56,5,FALSE)-VLOOKUP($A255,main!$A$3:$I$56,6,FALSE)&gt;=VLOOKUP(59,main!$A$57:$I$61,4,FALSE)+VLOOKUP(VLOOKUP(H$1,main!$A$3:$I$56,7,FALSE),main!$K$10:$Q$14,7,FALSE),1,0)</f>
        <v>0</v>
      </c>
      <c r="I255">
        <f>IF(VLOOKUP(I$1,main!$A$3:$I$56,5,FALSE)-VLOOKUP($A255,main!$A$3:$I$56,6,FALSE)&gt;=VLOOKUP(59,main!$A$57:$I$61,4,FALSE)+VLOOKUP(VLOOKUP(I$1,main!$A$3:$I$56,7,FALSE),main!$K$10:$Q$14,7,FALSE),1,0)</f>
        <v>0</v>
      </c>
      <c r="J255">
        <f>IF(VLOOKUP(J$1,main!$A$3:$I$56,5,FALSE)-VLOOKUP($A255,main!$A$3:$I$56,6,FALSE)&gt;=VLOOKUP(59,main!$A$57:$I$61,4,FALSE)+VLOOKUP(VLOOKUP(J$1,main!$A$3:$I$56,7,FALSE),main!$K$10:$Q$14,7,FALSE),1,0)</f>
        <v>0</v>
      </c>
      <c r="K255">
        <f>IF(VLOOKUP(K$1,main!$A$3:$I$56,5,FALSE)-VLOOKUP($A255,main!$A$3:$I$56,6,FALSE)&gt;=VLOOKUP(59,main!$A$57:$I$61,4,FALSE)+VLOOKUP(VLOOKUP(K$1,main!$A$3:$I$56,7,FALSE),main!$K$10:$Q$14,7,FALSE),1,0)</f>
        <v>0</v>
      </c>
      <c r="L255">
        <f>IF(VLOOKUP(L$1,main!$A$3:$I$56,5,FALSE)-VLOOKUP($A255,main!$A$3:$I$56,6,FALSE)&gt;=VLOOKUP(59,main!$A$57:$I$61,4,FALSE)+VLOOKUP(VLOOKUP(L$1,main!$A$3:$I$56,7,FALSE),main!$K$10:$Q$14,7,FALSE),1,0)</f>
        <v>0</v>
      </c>
      <c r="M255">
        <f>IF(VLOOKUP(M$1,main!$A$3:$I$56,5,FALSE)-VLOOKUP($A255,main!$A$3:$I$56,6,FALSE)&gt;=VLOOKUP(59,main!$A$57:$I$61,4,FALSE)+VLOOKUP(VLOOKUP(M$1,main!$A$3:$I$56,7,FALSE),main!$K$10:$Q$14,7,FALSE),1,0)</f>
        <v>0</v>
      </c>
      <c r="N255">
        <f>IF(VLOOKUP(N$1,main!$A$3:$I$56,5,FALSE)-VLOOKUP($A255,main!$A$3:$I$56,6,FALSE)&gt;=VLOOKUP(59,main!$A$57:$I$61,4,FALSE)+VLOOKUP(VLOOKUP(N$1,main!$A$3:$I$56,7,FALSE),main!$K$10:$Q$14,7,FALSE),1,0)</f>
        <v>0</v>
      </c>
      <c r="O255">
        <f>IF(VLOOKUP(O$1,main!$A$3:$I$56,5,FALSE)-VLOOKUP($A255,main!$A$3:$I$56,6,FALSE)&gt;=VLOOKUP(59,main!$A$57:$I$61,4,FALSE)+VLOOKUP(VLOOKUP(O$1,main!$A$3:$I$56,7,FALSE),main!$K$10:$Q$14,7,FALSE),1,0)</f>
        <v>0</v>
      </c>
      <c r="P255">
        <f>IF(VLOOKUP(P$1,main!$A$3:$I$56,5,FALSE)-VLOOKUP($A255,main!$A$3:$I$56,6,FALSE)&gt;=VLOOKUP(59,main!$A$57:$I$61,4,FALSE)+VLOOKUP(VLOOKUP(P$1,main!$A$3:$I$56,7,FALSE),main!$K$10:$Q$14,7,FALSE),1,0)</f>
        <v>0</v>
      </c>
      <c r="Q255">
        <f>IF(VLOOKUP(Q$1,main!$A$3:$I$56,5,FALSE)-VLOOKUP($A255,main!$A$3:$I$56,6,FALSE)&gt;=VLOOKUP(59,main!$A$57:$I$61,4,FALSE)+VLOOKUP(VLOOKUP(Q$1,main!$A$3:$I$56,7,FALSE),main!$K$10:$Q$14,7,FALSE),1,0)</f>
        <v>0</v>
      </c>
      <c r="R255">
        <f>IF(VLOOKUP(R$1,main!$A$3:$I$56,5,FALSE)-VLOOKUP($A255,main!$A$3:$I$56,6,FALSE)&gt;=VLOOKUP(59,main!$A$57:$I$61,4,FALSE)+VLOOKUP(VLOOKUP(R$1,main!$A$3:$I$56,7,FALSE),main!$K$10:$Q$14,7,FALSE),1,0)</f>
        <v>0</v>
      </c>
      <c r="S255">
        <f>IF(VLOOKUP(S$1,main!$A$3:$I$56,5,FALSE)-VLOOKUP($A255,main!$A$3:$I$56,6,FALSE)&gt;=VLOOKUP(59,main!$A$57:$I$61,4,FALSE)+VLOOKUP(VLOOKUP(S$1,main!$A$3:$I$56,7,FALSE),main!$K$10:$Q$14,7,FALSE),1,0)</f>
        <v>0</v>
      </c>
      <c r="T255">
        <f>IF(VLOOKUP(T$1,main!$A$3:$I$56,5,FALSE)-VLOOKUP($A255,main!$A$3:$I$56,6,FALSE)&gt;=VLOOKUP(59,main!$A$57:$I$61,4,FALSE)+VLOOKUP(VLOOKUP(T$1,main!$A$3:$I$56,7,FALSE),main!$K$10:$Q$14,7,FALSE),1,0)</f>
        <v>0</v>
      </c>
      <c r="U255">
        <f>IF(VLOOKUP(U$1,main!$A$3:$I$56,5,FALSE)-VLOOKUP($A255,main!$A$3:$I$56,6,FALSE)&gt;=VLOOKUP(59,main!$A$57:$I$61,4,FALSE)+VLOOKUP(VLOOKUP(U$1,main!$A$3:$I$56,7,FALSE),main!$K$10:$Q$14,7,FALSE),1,0)</f>
        <v>0</v>
      </c>
      <c r="V255">
        <f>IF(VLOOKUP(V$1,main!$A$3:$I$56,5,FALSE)-VLOOKUP($A255,main!$A$3:$I$56,6,FALSE)&gt;=VLOOKUP(59,main!$A$57:$I$61,4,FALSE)+VLOOKUP(VLOOKUP(V$1,main!$A$3:$I$56,7,FALSE),main!$K$10:$Q$14,7,FALSE),1,0)</f>
        <v>0</v>
      </c>
      <c r="W255">
        <f>IF(VLOOKUP(W$1,main!$A$3:$I$56,5,FALSE)-VLOOKUP($A255,main!$A$3:$I$56,6,FALSE)&gt;=VLOOKUP(59,main!$A$57:$I$61,4,FALSE)+VLOOKUP(VLOOKUP(W$1,main!$A$3:$I$56,7,FALSE),main!$K$10:$Q$14,7,FALSE),1,0)</f>
        <v>0</v>
      </c>
      <c r="X255">
        <f>IF(VLOOKUP(X$1,main!$A$3:$I$56,5,FALSE)-VLOOKUP($A255,main!$A$3:$I$56,6,FALSE)&gt;=VLOOKUP(59,main!$A$57:$I$61,4,FALSE)+VLOOKUP(VLOOKUP(X$1,main!$A$3:$I$56,7,FALSE),main!$K$10:$Q$14,7,FALSE),1,0)</f>
        <v>0</v>
      </c>
      <c r="Y255">
        <f>IF(VLOOKUP(Y$1,main!$A$3:$I$56,5,FALSE)-VLOOKUP($A255,main!$A$3:$I$56,6,FALSE)&gt;=VLOOKUP(59,main!$A$57:$I$61,4,FALSE)+VLOOKUP(VLOOKUP(Y$1,main!$A$3:$I$56,7,FALSE),main!$K$10:$Q$14,7,FALSE),1,0)</f>
        <v>0</v>
      </c>
      <c r="Z255">
        <f>IF(VLOOKUP(Z$1,main!$A$3:$I$56,5,FALSE)-VLOOKUP($A255,main!$A$3:$I$56,6,FALSE)&gt;=VLOOKUP(59,main!$A$57:$I$61,4,FALSE)+VLOOKUP(VLOOKUP(Z$1,main!$A$3:$I$56,7,FALSE),main!$K$10:$Q$14,7,FALSE),1,0)</f>
        <v>0</v>
      </c>
      <c r="AA255">
        <f>IF(VLOOKUP(AA$1,main!$A$3:$I$56,5,FALSE)-VLOOKUP($A255,main!$A$3:$I$56,6,FALSE)&gt;=VLOOKUP(59,main!$A$57:$I$61,4,FALSE)+VLOOKUP(VLOOKUP(AA$1,main!$A$3:$I$56,7,FALSE),main!$K$10:$Q$14,7,FALSE),1,0)</f>
        <v>0</v>
      </c>
      <c r="AB255">
        <f>IF(VLOOKUP(AB$1,main!$A$3:$I$56,5,FALSE)-VLOOKUP($A255,main!$A$3:$I$56,6,FALSE)&gt;=VLOOKUP(59,main!$A$57:$I$61,4,FALSE)+VLOOKUP(VLOOKUP(AB$1,main!$A$3:$I$56,7,FALSE),main!$K$10:$Q$14,7,FALSE),1,0)</f>
        <v>0</v>
      </c>
      <c r="AC255">
        <f>IF(VLOOKUP(AC$1,main!$A$3:$I$56,5,FALSE)-VLOOKUP($A255,main!$A$3:$I$56,6,FALSE)&gt;=VLOOKUP(59,main!$A$57:$I$61,4,FALSE)+VLOOKUP(VLOOKUP(AC$1,main!$A$3:$I$56,7,FALSE),main!$K$10:$Q$14,7,FALSE),1,0)</f>
        <v>0</v>
      </c>
      <c r="AD255">
        <f>IF(VLOOKUP(AD$1,main!$A$3:$I$56,5,FALSE)-VLOOKUP($A255,main!$A$3:$I$56,6,FALSE)&gt;=VLOOKUP(59,main!$A$57:$I$61,4,FALSE)+VLOOKUP(VLOOKUP(AD$1,main!$A$3:$I$56,7,FALSE),main!$K$10:$Q$14,7,FALSE),1,0)</f>
        <v>0</v>
      </c>
      <c r="AE255">
        <f>IF(VLOOKUP(AE$1,main!$A$3:$I$56,5,FALSE)-VLOOKUP($A255,main!$A$3:$I$56,6,FALSE)&gt;=VLOOKUP(59,main!$A$57:$I$61,4,FALSE)+VLOOKUP(VLOOKUP(AE$1,main!$A$3:$I$56,7,FALSE),main!$K$10:$Q$14,7,FALSE),1,0)</f>
        <v>0</v>
      </c>
      <c r="AF255">
        <f>IF(VLOOKUP(AF$1,main!$A$3:$I$56,5,FALSE)-VLOOKUP($A255,main!$A$3:$I$56,6,FALSE)&gt;=VLOOKUP(59,main!$A$57:$I$61,4,FALSE)+VLOOKUP(VLOOKUP(AF$1,main!$A$3:$I$56,7,FALSE),main!$K$10:$Q$14,7,FALSE),1,0)</f>
        <v>0</v>
      </c>
      <c r="AG255">
        <f>IF(VLOOKUP(AG$1,main!$A$3:$I$56,5,FALSE)-VLOOKUP($A255,main!$A$3:$I$56,6,FALSE)&gt;=VLOOKUP(59,main!$A$57:$I$61,4,FALSE)+VLOOKUP(VLOOKUP(AG$1,main!$A$3:$I$56,7,FALSE),main!$K$10:$Q$14,7,FALSE),1,0)</f>
        <v>0</v>
      </c>
      <c r="AH255">
        <f>IF(VLOOKUP(AH$1,main!$A$3:$I$56,5,FALSE)-VLOOKUP($A255,main!$A$3:$I$56,6,FALSE)&gt;=VLOOKUP(59,main!$A$57:$I$61,4,FALSE)+VLOOKUP(VLOOKUP(AH$1,main!$A$3:$I$56,7,FALSE),main!$K$10:$Q$14,7,FALSE),1,0)</f>
        <v>0</v>
      </c>
      <c r="AI255">
        <f>IF(VLOOKUP(AI$1,main!$A$3:$I$56,5,FALSE)-VLOOKUP($A255,main!$A$3:$I$56,6,FALSE)&gt;=VLOOKUP(59,main!$A$57:$I$61,4,FALSE)+VLOOKUP(VLOOKUP(AI$1,main!$A$3:$I$56,7,FALSE),main!$K$10:$Q$14,7,FALSE),1,0)</f>
        <v>0</v>
      </c>
      <c r="AJ255">
        <f>IF(VLOOKUP(AJ$1,main!$A$3:$I$56,5,FALSE)-VLOOKUP($A255,main!$A$3:$I$56,6,FALSE)&gt;=VLOOKUP(59,main!$A$57:$I$61,4,FALSE)+VLOOKUP(VLOOKUP(AJ$1,main!$A$3:$I$56,7,FALSE),main!$K$10:$Q$14,7,FALSE),1,0)</f>
        <v>0</v>
      </c>
      <c r="AK255">
        <f>IF(VLOOKUP(AK$1,main!$A$3:$I$56,5,FALSE)-VLOOKUP($A255,main!$A$3:$I$56,6,FALSE)&gt;=VLOOKUP(59,main!$A$57:$I$61,4,FALSE)+VLOOKUP(VLOOKUP(AK$1,main!$A$3:$I$56,7,FALSE),main!$K$10:$Q$14,7,FALSE),1,0)</f>
        <v>0</v>
      </c>
      <c r="AL255">
        <f>IF(VLOOKUP(AL$1,main!$A$3:$I$56,5,FALSE)-VLOOKUP($A255,main!$A$3:$I$56,6,FALSE)&gt;=VLOOKUP(59,main!$A$57:$I$61,4,FALSE)+VLOOKUP(VLOOKUP(AL$1,main!$A$3:$I$56,7,FALSE),main!$K$10:$Q$14,7,FALSE),1,0)</f>
        <v>0</v>
      </c>
      <c r="AM255">
        <f>IF(VLOOKUP(AM$1,main!$A$3:$I$56,5,FALSE)-VLOOKUP($A255,main!$A$3:$I$56,6,FALSE)&gt;=VLOOKUP(59,main!$A$57:$I$61,4,FALSE)+VLOOKUP(VLOOKUP(AM$1,main!$A$3:$I$56,7,FALSE),main!$K$10:$Q$14,7,FALSE),1,0)</f>
        <v>0</v>
      </c>
      <c r="AN255">
        <f>IF(VLOOKUP(AN$1,main!$A$3:$I$56,5,FALSE)-VLOOKUP($A255,main!$A$3:$I$56,6,FALSE)&gt;=VLOOKUP(59,main!$A$57:$I$61,4,FALSE)+VLOOKUP(VLOOKUP(AN$1,main!$A$3:$I$56,7,FALSE),main!$K$10:$Q$14,7,FALSE),1,0)</f>
        <v>0</v>
      </c>
      <c r="AO255">
        <f>IF(VLOOKUP(AO$1,main!$A$3:$I$56,5,FALSE)-VLOOKUP($A255,main!$A$3:$I$56,6,FALSE)&gt;=VLOOKUP(59,main!$A$57:$I$61,4,FALSE)+VLOOKUP(VLOOKUP(AO$1,main!$A$3:$I$56,7,FALSE),main!$K$10:$Q$14,7,FALSE),1,0)</f>
        <v>0</v>
      </c>
      <c r="AP255">
        <f>IF(VLOOKUP(AP$1,main!$A$3:$I$56,5,FALSE)-VLOOKUP($A255,main!$A$3:$I$56,6,FALSE)&gt;=VLOOKUP(59,main!$A$57:$I$61,4,FALSE)+VLOOKUP(VLOOKUP(AP$1,main!$A$3:$I$56,7,FALSE),main!$K$10:$Q$14,7,FALSE),1,0)</f>
        <v>0</v>
      </c>
      <c r="AQ255">
        <f>IF(VLOOKUP(AQ$1,main!$A$3:$I$56,5,FALSE)-VLOOKUP($A255,main!$A$3:$I$56,6,FALSE)&gt;=VLOOKUP(59,main!$A$57:$I$61,4,FALSE)+VLOOKUP(VLOOKUP(AQ$1,main!$A$3:$I$56,7,FALSE),main!$K$10:$Q$14,7,FALSE),1,0)</f>
        <v>0</v>
      </c>
      <c r="AR255">
        <f>IF(VLOOKUP(AR$1,main!$A$3:$I$56,5,FALSE)-VLOOKUP($A255,main!$A$3:$I$56,6,FALSE)&gt;=VLOOKUP(59,main!$A$57:$I$61,4,FALSE)+VLOOKUP(VLOOKUP(AR$1,main!$A$3:$I$56,7,FALSE),main!$K$10:$Q$14,7,FALSE),1,0)</f>
        <v>0</v>
      </c>
      <c r="AS255">
        <f>IF(VLOOKUP(AS$1,main!$A$3:$I$56,5,FALSE)-VLOOKUP($A255,main!$A$3:$I$56,6,FALSE)&gt;=VLOOKUP(59,main!$A$57:$I$61,4,FALSE)+VLOOKUP(VLOOKUP(AS$1,main!$A$3:$I$56,7,FALSE),main!$K$10:$Q$14,7,FALSE),1,0)</f>
        <v>0</v>
      </c>
      <c r="AT255">
        <f>IF(VLOOKUP(AT$1,main!$A$3:$I$56,5,FALSE)-VLOOKUP($A255,main!$A$3:$I$56,6,FALSE)&gt;=VLOOKUP(59,main!$A$57:$I$61,4,FALSE)+VLOOKUP(VLOOKUP(AT$1,main!$A$3:$I$56,7,FALSE),main!$K$10:$Q$14,7,FALSE),1,0)</f>
        <v>0</v>
      </c>
      <c r="AU255">
        <f>IF(VLOOKUP(AU$1,main!$A$3:$I$56,5,FALSE)-VLOOKUP($A255,main!$A$3:$I$56,6,FALSE)&gt;=VLOOKUP(59,main!$A$57:$I$61,4,FALSE)+VLOOKUP(VLOOKUP(AU$1,main!$A$3:$I$56,7,FALSE),main!$K$10:$Q$14,7,FALSE),1,0)</f>
        <v>0</v>
      </c>
      <c r="AV255">
        <f>IF(VLOOKUP(AV$1,main!$A$3:$I$56,5,FALSE)-VLOOKUP($A255,main!$A$3:$I$56,6,FALSE)&gt;=VLOOKUP(59,main!$A$57:$I$61,4,FALSE)+VLOOKUP(VLOOKUP(AV$1,main!$A$3:$I$56,7,FALSE),main!$K$10:$Q$14,7,FALSE),1,0)</f>
        <v>0</v>
      </c>
      <c r="AW255">
        <f>IF(VLOOKUP(AW$1,main!$A$3:$I$56,5,FALSE)-VLOOKUP($A255,main!$A$3:$I$56,6,FALSE)&gt;=VLOOKUP(59,main!$A$57:$I$61,4,FALSE)+VLOOKUP(VLOOKUP(AW$1,main!$A$3:$I$56,7,FALSE),main!$K$10:$Q$14,7,FALSE),1,0)</f>
        <v>0</v>
      </c>
      <c r="AX255">
        <f>IF(VLOOKUP(AX$1,main!$A$3:$I$56,5,FALSE)-VLOOKUP($A255,main!$A$3:$I$56,6,FALSE)&gt;=VLOOKUP(59,main!$A$57:$I$61,4,FALSE)+VLOOKUP(VLOOKUP(AX$1,main!$A$3:$I$56,7,FALSE),main!$K$10:$Q$14,7,FALSE),1,0)</f>
        <v>0</v>
      </c>
      <c r="AY255">
        <f>IF(VLOOKUP(AY$1,main!$A$3:$I$56,5,FALSE)-VLOOKUP($A255,main!$A$3:$I$56,6,FALSE)&gt;=VLOOKUP(59,main!$A$57:$I$61,4,FALSE)+VLOOKUP(VLOOKUP(AY$1,main!$A$3:$I$56,7,FALSE),main!$K$10:$Q$14,7,FALSE),1,0)</f>
        <v>1</v>
      </c>
      <c r="AZ255">
        <f>IF(VLOOKUP(AZ$1,main!$A$3:$I$56,5,FALSE)-VLOOKUP($A255,main!$A$3:$I$56,6,FALSE)&gt;=VLOOKUP(59,main!$A$57:$I$61,4,FALSE)+VLOOKUP(VLOOKUP(AZ$1,main!$A$3:$I$56,7,FALSE),main!$K$10:$Q$14,7,FALSE),1,0)</f>
        <v>0</v>
      </c>
      <c r="BA255">
        <f>IF(VLOOKUP(BA$1,main!$A$3:$I$56,5,FALSE)-VLOOKUP($A255,main!$A$3:$I$56,6,FALSE)&gt;=VLOOKUP(59,main!$A$57:$I$61,4,FALSE)+VLOOKUP(VLOOKUP(BA$1,main!$A$3:$I$56,7,FALSE),main!$K$10:$Q$14,7,FALSE),1,0)</f>
        <v>0</v>
      </c>
      <c r="BB255">
        <f>IF(VLOOKUP(BB$1,main!$A$3:$I$56,5,FALSE)-VLOOKUP($A255,main!$A$3:$I$56,6,FALSE)&gt;=VLOOKUP(59,main!$A$57:$I$61,4,FALSE)+VLOOKUP(VLOOKUP(BB$1,main!$A$3:$I$56,7,FALSE),main!$K$10:$Q$14,7,FALSE),1,0)</f>
        <v>0</v>
      </c>
      <c r="BC255">
        <f>IF(VLOOKUP(BC$1,main!$A$3:$I$56,5,FALSE)-VLOOKUP($A255,main!$A$3:$I$56,6,FALSE)&gt;=VLOOKUP(59,main!$A$57:$I$61,4,FALSE)+VLOOKUP(VLOOKUP(BC$1,main!$A$3:$I$56,7,FALSE),main!$K$10:$Q$14,7,FALSE),1,0)</f>
        <v>0</v>
      </c>
      <c r="BD255">
        <f>IF(VLOOKUP(BD$1,main!$A$3:$I$56,5,FALSE)-VLOOKUP($A255,main!$A$3:$I$56,6,FALSE)&gt;=VLOOKUP(59,main!$A$57:$I$61,4,FALSE)+VLOOKUP(VLOOKUP(BD$1,main!$A$3:$I$56,7,FALSE),main!$K$10:$Q$14,7,FALSE),1,0)</f>
        <v>0</v>
      </c>
    </row>
    <row r="256" spans="1:56" x14ac:dyDescent="0.25">
      <c r="A256">
        <f t="shared" si="4"/>
        <v>34</v>
      </c>
      <c r="B256">
        <v>0</v>
      </c>
      <c r="C256">
        <f>IF(VLOOKUP(C$1,main!$A$3:$I$56,5,FALSE)-VLOOKUP($A256,main!$A$3:$I$56,6,FALSE)&gt;=VLOOKUP(59,main!$A$57:$I$61,4,FALSE)+VLOOKUP(VLOOKUP(C$1,main!$A$3:$I$56,7,FALSE),main!$K$10:$Q$14,7,FALSE),1,0)</f>
        <v>0</v>
      </c>
      <c r="D256">
        <f>IF(VLOOKUP(D$1,main!$A$3:$I$56,5,FALSE)-VLOOKUP($A256,main!$A$3:$I$56,6,FALSE)&gt;=VLOOKUP(59,main!$A$57:$I$61,4,FALSE)+VLOOKUP(VLOOKUP(D$1,main!$A$3:$I$56,7,FALSE),main!$K$10:$Q$14,7,FALSE),1,0)</f>
        <v>0</v>
      </c>
      <c r="E256">
        <f>IF(VLOOKUP(E$1,main!$A$3:$I$56,5,FALSE)-VLOOKUP($A256,main!$A$3:$I$56,6,FALSE)&gt;=VLOOKUP(59,main!$A$57:$I$61,4,FALSE)+VLOOKUP(VLOOKUP(E$1,main!$A$3:$I$56,7,FALSE),main!$K$10:$Q$14,7,FALSE),1,0)</f>
        <v>0</v>
      </c>
      <c r="F256">
        <f>IF(VLOOKUP(F$1,main!$A$3:$I$56,5,FALSE)-VLOOKUP($A256,main!$A$3:$I$56,6,FALSE)&gt;=VLOOKUP(59,main!$A$57:$I$61,4,FALSE)+VLOOKUP(VLOOKUP(F$1,main!$A$3:$I$56,7,FALSE),main!$K$10:$Q$14,7,FALSE),1,0)</f>
        <v>0</v>
      </c>
      <c r="G256">
        <f>IF(VLOOKUP(G$1,main!$A$3:$I$56,5,FALSE)-VLOOKUP($A256,main!$A$3:$I$56,6,FALSE)&gt;=VLOOKUP(59,main!$A$57:$I$61,4,FALSE)+VLOOKUP(VLOOKUP(G$1,main!$A$3:$I$56,7,FALSE),main!$K$10:$Q$14,7,FALSE),1,0)</f>
        <v>0</v>
      </c>
      <c r="H256">
        <f>IF(VLOOKUP(H$1,main!$A$3:$I$56,5,FALSE)-VLOOKUP($A256,main!$A$3:$I$56,6,FALSE)&gt;=VLOOKUP(59,main!$A$57:$I$61,4,FALSE)+VLOOKUP(VLOOKUP(H$1,main!$A$3:$I$56,7,FALSE),main!$K$10:$Q$14,7,FALSE),1,0)</f>
        <v>0</v>
      </c>
      <c r="I256">
        <f>IF(VLOOKUP(I$1,main!$A$3:$I$56,5,FALSE)-VLOOKUP($A256,main!$A$3:$I$56,6,FALSE)&gt;=VLOOKUP(59,main!$A$57:$I$61,4,FALSE)+VLOOKUP(VLOOKUP(I$1,main!$A$3:$I$56,7,FALSE),main!$K$10:$Q$14,7,FALSE),1,0)</f>
        <v>0</v>
      </c>
      <c r="J256">
        <f>IF(VLOOKUP(J$1,main!$A$3:$I$56,5,FALSE)-VLOOKUP($A256,main!$A$3:$I$56,6,FALSE)&gt;=VLOOKUP(59,main!$A$57:$I$61,4,FALSE)+VLOOKUP(VLOOKUP(J$1,main!$A$3:$I$56,7,FALSE),main!$K$10:$Q$14,7,FALSE),1,0)</f>
        <v>0</v>
      </c>
      <c r="K256">
        <f>IF(VLOOKUP(K$1,main!$A$3:$I$56,5,FALSE)-VLOOKUP($A256,main!$A$3:$I$56,6,FALSE)&gt;=VLOOKUP(59,main!$A$57:$I$61,4,FALSE)+VLOOKUP(VLOOKUP(K$1,main!$A$3:$I$56,7,FALSE),main!$K$10:$Q$14,7,FALSE),1,0)</f>
        <v>0</v>
      </c>
      <c r="L256">
        <f>IF(VLOOKUP(L$1,main!$A$3:$I$56,5,FALSE)-VLOOKUP($A256,main!$A$3:$I$56,6,FALSE)&gt;=VLOOKUP(59,main!$A$57:$I$61,4,FALSE)+VLOOKUP(VLOOKUP(L$1,main!$A$3:$I$56,7,FALSE),main!$K$10:$Q$14,7,FALSE),1,0)</f>
        <v>0</v>
      </c>
      <c r="M256">
        <f>IF(VLOOKUP(M$1,main!$A$3:$I$56,5,FALSE)-VLOOKUP($A256,main!$A$3:$I$56,6,FALSE)&gt;=VLOOKUP(59,main!$A$57:$I$61,4,FALSE)+VLOOKUP(VLOOKUP(M$1,main!$A$3:$I$56,7,FALSE),main!$K$10:$Q$14,7,FALSE),1,0)</f>
        <v>0</v>
      </c>
      <c r="N256">
        <f>IF(VLOOKUP(N$1,main!$A$3:$I$56,5,FALSE)-VLOOKUP($A256,main!$A$3:$I$56,6,FALSE)&gt;=VLOOKUP(59,main!$A$57:$I$61,4,FALSE)+VLOOKUP(VLOOKUP(N$1,main!$A$3:$I$56,7,FALSE),main!$K$10:$Q$14,7,FALSE),1,0)</f>
        <v>0</v>
      </c>
      <c r="O256">
        <f>IF(VLOOKUP(O$1,main!$A$3:$I$56,5,FALSE)-VLOOKUP($A256,main!$A$3:$I$56,6,FALSE)&gt;=VLOOKUP(59,main!$A$57:$I$61,4,FALSE)+VLOOKUP(VLOOKUP(O$1,main!$A$3:$I$56,7,FALSE),main!$K$10:$Q$14,7,FALSE),1,0)</f>
        <v>0</v>
      </c>
      <c r="P256">
        <f>IF(VLOOKUP(P$1,main!$A$3:$I$56,5,FALSE)-VLOOKUP($A256,main!$A$3:$I$56,6,FALSE)&gt;=VLOOKUP(59,main!$A$57:$I$61,4,FALSE)+VLOOKUP(VLOOKUP(P$1,main!$A$3:$I$56,7,FALSE),main!$K$10:$Q$14,7,FALSE),1,0)</f>
        <v>0</v>
      </c>
      <c r="Q256">
        <f>IF(VLOOKUP(Q$1,main!$A$3:$I$56,5,FALSE)-VLOOKUP($A256,main!$A$3:$I$56,6,FALSE)&gt;=VLOOKUP(59,main!$A$57:$I$61,4,FALSE)+VLOOKUP(VLOOKUP(Q$1,main!$A$3:$I$56,7,FALSE),main!$K$10:$Q$14,7,FALSE),1,0)</f>
        <v>0</v>
      </c>
      <c r="R256">
        <f>IF(VLOOKUP(R$1,main!$A$3:$I$56,5,FALSE)-VLOOKUP($A256,main!$A$3:$I$56,6,FALSE)&gt;=VLOOKUP(59,main!$A$57:$I$61,4,FALSE)+VLOOKUP(VLOOKUP(R$1,main!$A$3:$I$56,7,FALSE),main!$K$10:$Q$14,7,FALSE),1,0)</f>
        <v>0</v>
      </c>
      <c r="S256">
        <f>IF(VLOOKUP(S$1,main!$A$3:$I$56,5,FALSE)-VLOOKUP($A256,main!$A$3:$I$56,6,FALSE)&gt;=VLOOKUP(59,main!$A$57:$I$61,4,FALSE)+VLOOKUP(VLOOKUP(S$1,main!$A$3:$I$56,7,FALSE),main!$K$10:$Q$14,7,FALSE),1,0)</f>
        <v>0</v>
      </c>
      <c r="T256">
        <f>IF(VLOOKUP(T$1,main!$A$3:$I$56,5,FALSE)-VLOOKUP($A256,main!$A$3:$I$56,6,FALSE)&gt;=VLOOKUP(59,main!$A$57:$I$61,4,FALSE)+VLOOKUP(VLOOKUP(T$1,main!$A$3:$I$56,7,FALSE),main!$K$10:$Q$14,7,FALSE),1,0)</f>
        <v>0</v>
      </c>
      <c r="U256">
        <f>IF(VLOOKUP(U$1,main!$A$3:$I$56,5,FALSE)-VLOOKUP($A256,main!$A$3:$I$56,6,FALSE)&gt;=VLOOKUP(59,main!$A$57:$I$61,4,FALSE)+VLOOKUP(VLOOKUP(U$1,main!$A$3:$I$56,7,FALSE),main!$K$10:$Q$14,7,FALSE),1,0)</f>
        <v>0</v>
      </c>
      <c r="V256">
        <f>IF(VLOOKUP(V$1,main!$A$3:$I$56,5,FALSE)-VLOOKUP($A256,main!$A$3:$I$56,6,FALSE)&gt;=VLOOKUP(59,main!$A$57:$I$61,4,FALSE)+VLOOKUP(VLOOKUP(V$1,main!$A$3:$I$56,7,FALSE),main!$K$10:$Q$14,7,FALSE),1,0)</f>
        <v>0</v>
      </c>
      <c r="W256">
        <f>IF(VLOOKUP(W$1,main!$A$3:$I$56,5,FALSE)-VLOOKUP($A256,main!$A$3:$I$56,6,FALSE)&gt;=VLOOKUP(59,main!$A$57:$I$61,4,FALSE)+VLOOKUP(VLOOKUP(W$1,main!$A$3:$I$56,7,FALSE),main!$K$10:$Q$14,7,FALSE),1,0)</f>
        <v>0</v>
      </c>
      <c r="X256">
        <f>IF(VLOOKUP(X$1,main!$A$3:$I$56,5,FALSE)-VLOOKUP($A256,main!$A$3:$I$56,6,FALSE)&gt;=VLOOKUP(59,main!$A$57:$I$61,4,FALSE)+VLOOKUP(VLOOKUP(X$1,main!$A$3:$I$56,7,FALSE),main!$K$10:$Q$14,7,FALSE),1,0)</f>
        <v>0</v>
      </c>
      <c r="Y256">
        <f>IF(VLOOKUP(Y$1,main!$A$3:$I$56,5,FALSE)-VLOOKUP($A256,main!$A$3:$I$56,6,FALSE)&gt;=VLOOKUP(59,main!$A$57:$I$61,4,FALSE)+VLOOKUP(VLOOKUP(Y$1,main!$A$3:$I$56,7,FALSE),main!$K$10:$Q$14,7,FALSE),1,0)</f>
        <v>0</v>
      </c>
      <c r="Z256">
        <f>IF(VLOOKUP(Z$1,main!$A$3:$I$56,5,FALSE)-VLOOKUP($A256,main!$A$3:$I$56,6,FALSE)&gt;=VLOOKUP(59,main!$A$57:$I$61,4,FALSE)+VLOOKUP(VLOOKUP(Z$1,main!$A$3:$I$56,7,FALSE),main!$K$10:$Q$14,7,FALSE),1,0)</f>
        <v>0</v>
      </c>
      <c r="AA256">
        <f>IF(VLOOKUP(AA$1,main!$A$3:$I$56,5,FALSE)-VLOOKUP($A256,main!$A$3:$I$56,6,FALSE)&gt;=VLOOKUP(59,main!$A$57:$I$61,4,FALSE)+VLOOKUP(VLOOKUP(AA$1,main!$A$3:$I$56,7,FALSE),main!$K$10:$Q$14,7,FALSE),1,0)</f>
        <v>0</v>
      </c>
      <c r="AB256">
        <f>IF(VLOOKUP(AB$1,main!$A$3:$I$56,5,FALSE)-VLOOKUP($A256,main!$A$3:$I$56,6,FALSE)&gt;=VLOOKUP(59,main!$A$57:$I$61,4,FALSE)+VLOOKUP(VLOOKUP(AB$1,main!$A$3:$I$56,7,FALSE),main!$K$10:$Q$14,7,FALSE),1,0)</f>
        <v>0</v>
      </c>
      <c r="AC256">
        <f>IF(VLOOKUP(AC$1,main!$A$3:$I$56,5,FALSE)-VLOOKUP($A256,main!$A$3:$I$56,6,FALSE)&gt;=VLOOKUP(59,main!$A$57:$I$61,4,FALSE)+VLOOKUP(VLOOKUP(AC$1,main!$A$3:$I$56,7,FALSE),main!$K$10:$Q$14,7,FALSE),1,0)</f>
        <v>0</v>
      </c>
      <c r="AD256">
        <f>IF(VLOOKUP(AD$1,main!$A$3:$I$56,5,FALSE)-VLOOKUP($A256,main!$A$3:$I$56,6,FALSE)&gt;=VLOOKUP(59,main!$A$57:$I$61,4,FALSE)+VLOOKUP(VLOOKUP(AD$1,main!$A$3:$I$56,7,FALSE),main!$K$10:$Q$14,7,FALSE),1,0)</f>
        <v>0</v>
      </c>
      <c r="AE256">
        <f>IF(VLOOKUP(AE$1,main!$A$3:$I$56,5,FALSE)-VLOOKUP($A256,main!$A$3:$I$56,6,FALSE)&gt;=VLOOKUP(59,main!$A$57:$I$61,4,FALSE)+VLOOKUP(VLOOKUP(AE$1,main!$A$3:$I$56,7,FALSE),main!$K$10:$Q$14,7,FALSE),1,0)</f>
        <v>0</v>
      </c>
      <c r="AF256">
        <f>IF(VLOOKUP(AF$1,main!$A$3:$I$56,5,FALSE)-VLOOKUP($A256,main!$A$3:$I$56,6,FALSE)&gt;=VLOOKUP(59,main!$A$57:$I$61,4,FALSE)+VLOOKUP(VLOOKUP(AF$1,main!$A$3:$I$56,7,FALSE),main!$K$10:$Q$14,7,FALSE),1,0)</f>
        <v>0</v>
      </c>
      <c r="AG256">
        <f>IF(VLOOKUP(AG$1,main!$A$3:$I$56,5,FALSE)-VLOOKUP($A256,main!$A$3:$I$56,6,FALSE)&gt;=VLOOKUP(59,main!$A$57:$I$61,4,FALSE)+VLOOKUP(VLOOKUP(AG$1,main!$A$3:$I$56,7,FALSE),main!$K$10:$Q$14,7,FALSE),1,0)</f>
        <v>0</v>
      </c>
      <c r="AH256">
        <f>IF(VLOOKUP(AH$1,main!$A$3:$I$56,5,FALSE)-VLOOKUP($A256,main!$A$3:$I$56,6,FALSE)&gt;=VLOOKUP(59,main!$A$57:$I$61,4,FALSE)+VLOOKUP(VLOOKUP(AH$1,main!$A$3:$I$56,7,FALSE),main!$K$10:$Q$14,7,FALSE),1,0)</f>
        <v>0</v>
      </c>
      <c r="AI256">
        <f>IF(VLOOKUP(AI$1,main!$A$3:$I$56,5,FALSE)-VLOOKUP($A256,main!$A$3:$I$56,6,FALSE)&gt;=VLOOKUP(59,main!$A$57:$I$61,4,FALSE)+VLOOKUP(VLOOKUP(AI$1,main!$A$3:$I$56,7,FALSE),main!$K$10:$Q$14,7,FALSE),1,0)</f>
        <v>0</v>
      </c>
      <c r="AJ256">
        <f>IF(VLOOKUP(AJ$1,main!$A$3:$I$56,5,FALSE)-VLOOKUP($A256,main!$A$3:$I$56,6,FALSE)&gt;=VLOOKUP(59,main!$A$57:$I$61,4,FALSE)+VLOOKUP(VLOOKUP(AJ$1,main!$A$3:$I$56,7,FALSE),main!$K$10:$Q$14,7,FALSE),1,0)</f>
        <v>0</v>
      </c>
      <c r="AK256">
        <f>IF(VLOOKUP(AK$1,main!$A$3:$I$56,5,FALSE)-VLOOKUP($A256,main!$A$3:$I$56,6,FALSE)&gt;=VLOOKUP(59,main!$A$57:$I$61,4,FALSE)+VLOOKUP(VLOOKUP(AK$1,main!$A$3:$I$56,7,FALSE),main!$K$10:$Q$14,7,FALSE),1,0)</f>
        <v>0</v>
      </c>
      <c r="AL256">
        <f>IF(VLOOKUP(AL$1,main!$A$3:$I$56,5,FALSE)-VLOOKUP($A256,main!$A$3:$I$56,6,FALSE)&gt;=VLOOKUP(59,main!$A$57:$I$61,4,FALSE)+VLOOKUP(VLOOKUP(AL$1,main!$A$3:$I$56,7,FALSE),main!$K$10:$Q$14,7,FALSE),1,0)</f>
        <v>0</v>
      </c>
      <c r="AM256">
        <f>IF(VLOOKUP(AM$1,main!$A$3:$I$56,5,FALSE)-VLOOKUP($A256,main!$A$3:$I$56,6,FALSE)&gt;=VLOOKUP(59,main!$A$57:$I$61,4,FALSE)+VLOOKUP(VLOOKUP(AM$1,main!$A$3:$I$56,7,FALSE),main!$K$10:$Q$14,7,FALSE),1,0)</f>
        <v>0</v>
      </c>
      <c r="AN256">
        <f>IF(VLOOKUP(AN$1,main!$A$3:$I$56,5,FALSE)-VLOOKUP($A256,main!$A$3:$I$56,6,FALSE)&gt;=VLOOKUP(59,main!$A$57:$I$61,4,FALSE)+VLOOKUP(VLOOKUP(AN$1,main!$A$3:$I$56,7,FALSE),main!$K$10:$Q$14,7,FALSE),1,0)</f>
        <v>0</v>
      </c>
      <c r="AO256">
        <f>IF(VLOOKUP(AO$1,main!$A$3:$I$56,5,FALSE)-VLOOKUP($A256,main!$A$3:$I$56,6,FALSE)&gt;=VLOOKUP(59,main!$A$57:$I$61,4,FALSE)+VLOOKUP(VLOOKUP(AO$1,main!$A$3:$I$56,7,FALSE),main!$K$10:$Q$14,7,FALSE),1,0)</f>
        <v>0</v>
      </c>
      <c r="AP256">
        <f>IF(VLOOKUP(AP$1,main!$A$3:$I$56,5,FALSE)-VLOOKUP($A256,main!$A$3:$I$56,6,FALSE)&gt;=VLOOKUP(59,main!$A$57:$I$61,4,FALSE)+VLOOKUP(VLOOKUP(AP$1,main!$A$3:$I$56,7,FALSE),main!$K$10:$Q$14,7,FALSE),1,0)</f>
        <v>0</v>
      </c>
      <c r="AQ256">
        <f>IF(VLOOKUP(AQ$1,main!$A$3:$I$56,5,FALSE)-VLOOKUP($A256,main!$A$3:$I$56,6,FALSE)&gt;=VLOOKUP(59,main!$A$57:$I$61,4,FALSE)+VLOOKUP(VLOOKUP(AQ$1,main!$A$3:$I$56,7,FALSE),main!$K$10:$Q$14,7,FALSE),1,0)</f>
        <v>0</v>
      </c>
      <c r="AR256">
        <f>IF(VLOOKUP(AR$1,main!$A$3:$I$56,5,FALSE)-VLOOKUP($A256,main!$A$3:$I$56,6,FALSE)&gt;=VLOOKUP(59,main!$A$57:$I$61,4,FALSE)+VLOOKUP(VLOOKUP(AR$1,main!$A$3:$I$56,7,FALSE),main!$K$10:$Q$14,7,FALSE),1,0)</f>
        <v>0</v>
      </c>
      <c r="AS256">
        <f>IF(VLOOKUP(AS$1,main!$A$3:$I$56,5,FALSE)-VLOOKUP($A256,main!$A$3:$I$56,6,FALSE)&gt;=VLOOKUP(59,main!$A$57:$I$61,4,FALSE)+VLOOKUP(VLOOKUP(AS$1,main!$A$3:$I$56,7,FALSE),main!$K$10:$Q$14,7,FALSE),1,0)</f>
        <v>0</v>
      </c>
      <c r="AT256">
        <f>IF(VLOOKUP(AT$1,main!$A$3:$I$56,5,FALSE)-VLOOKUP($A256,main!$A$3:$I$56,6,FALSE)&gt;=VLOOKUP(59,main!$A$57:$I$61,4,FALSE)+VLOOKUP(VLOOKUP(AT$1,main!$A$3:$I$56,7,FALSE),main!$K$10:$Q$14,7,FALSE),1,0)</f>
        <v>0</v>
      </c>
      <c r="AU256">
        <f>IF(VLOOKUP(AU$1,main!$A$3:$I$56,5,FALSE)-VLOOKUP($A256,main!$A$3:$I$56,6,FALSE)&gt;=VLOOKUP(59,main!$A$57:$I$61,4,FALSE)+VLOOKUP(VLOOKUP(AU$1,main!$A$3:$I$56,7,FALSE),main!$K$10:$Q$14,7,FALSE),1,0)</f>
        <v>0</v>
      </c>
      <c r="AV256">
        <f>IF(VLOOKUP(AV$1,main!$A$3:$I$56,5,FALSE)-VLOOKUP($A256,main!$A$3:$I$56,6,FALSE)&gt;=VLOOKUP(59,main!$A$57:$I$61,4,FALSE)+VLOOKUP(VLOOKUP(AV$1,main!$A$3:$I$56,7,FALSE),main!$K$10:$Q$14,7,FALSE),1,0)</f>
        <v>0</v>
      </c>
      <c r="AW256">
        <f>IF(VLOOKUP(AW$1,main!$A$3:$I$56,5,FALSE)-VLOOKUP($A256,main!$A$3:$I$56,6,FALSE)&gt;=VLOOKUP(59,main!$A$57:$I$61,4,FALSE)+VLOOKUP(VLOOKUP(AW$1,main!$A$3:$I$56,7,FALSE),main!$K$10:$Q$14,7,FALSE),1,0)</f>
        <v>0</v>
      </c>
      <c r="AX256">
        <f>IF(VLOOKUP(AX$1,main!$A$3:$I$56,5,FALSE)-VLOOKUP($A256,main!$A$3:$I$56,6,FALSE)&gt;=VLOOKUP(59,main!$A$57:$I$61,4,FALSE)+VLOOKUP(VLOOKUP(AX$1,main!$A$3:$I$56,7,FALSE),main!$K$10:$Q$14,7,FALSE),1,0)</f>
        <v>0</v>
      </c>
      <c r="AY256">
        <f>IF(VLOOKUP(AY$1,main!$A$3:$I$56,5,FALSE)-VLOOKUP($A256,main!$A$3:$I$56,6,FALSE)&gt;=VLOOKUP(59,main!$A$57:$I$61,4,FALSE)+VLOOKUP(VLOOKUP(AY$1,main!$A$3:$I$56,7,FALSE),main!$K$10:$Q$14,7,FALSE),1,0)</f>
        <v>1</v>
      </c>
      <c r="AZ256">
        <f>IF(VLOOKUP(AZ$1,main!$A$3:$I$56,5,FALSE)-VLOOKUP($A256,main!$A$3:$I$56,6,FALSE)&gt;=VLOOKUP(59,main!$A$57:$I$61,4,FALSE)+VLOOKUP(VLOOKUP(AZ$1,main!$A$3:$I$56,7,FALSE),main!$K$10:$Q$14,7,FALSE),1,0)</f>
        <v>0</v>
      </c>
      <c r="BA256">
        <f>IF(VLOOKUP(BA$1,main!$A$3:$I$56,5,FALSE)-VLOOKUP($A256,main!$A$3:$I$56,6,FALSE)&gt;=VLOOKUP(59,main!$A$57:$I$61,4,FALSE)+VLOOKUP(VLOOKUP(BA$1,main!$A$3:$I$56,7,FALSE),main!$K$10:$Q$14,7,FALSE),1,0)</f>
        <v>0</v>
      </c>
      <c r="BB256">
        <f>IF(VLOOKUP(BB$1,main!$A$3:$I$56,5,FALSE)-VLOOKUP($A256,main!$A$3:$I$56,6,FALSE)&gt;=VLOOKUP(59,main!$A$57:$I$61,4,FALSE)+VLOOKUP(VLOOKUP(BB$1,main!$A$3:$I$56,7,FALSE),main!$K$10:$Q$14,7,FALSE),1,0)</f>
        <v>0</v>
      </c>
      <c r="BC256">
        <f>IF(VLOOKUP(BC$1,main!$A$3:$I$56,5,FALSE)-VLOOKUP($A256,main!$A$3:$I$56,6,FALSE)&gt;=VLOOKUP(59,main!$A$57:$I$61,4,FALSE)+VLOOKUP(VLOOKUP(BC$1,main!$A$3:$I$56,7,FALSE),main!$K$10:$Q$14,7,FALSE),1,0)</f>
        <v>0</v>
      </c>
      <c r="BD256">
        <f>IF(VLOOKUP(BD$1,main!$A$3:$I$56,5,FALSE)-VLOOKUP($A256,main!$A$3:$I$56,6,FALSE)&gt;=VLOOKUP(59,main!$A$57:$I$61,4,FALSE)+VLOOKUP(VLOOKUP(BD$1,main!$A$3:$I$56,7,FALSE),main!$K$10:$Q$14,7,FALSE),1,0)</f>
        <v>0</v>
      </c>
    </row>
    <row r="257" spans="1:56" x14ac:dyDescent="0.25">
      <c r="A257">
        <f t="shared" si="4"/>
        <v>35</v>
      </c>
      <c r="B257">
        <v>0</v>
      </c>
      <c r="C257">
        <f>IF(VLOOKUP(C$1,main!$A$3:$I$56,5,FALSE)-VLOOKUP($A257,main!$A$3:$I$56,6,FALSE)&gt;=VLOOKUP(59,main!$A$57:$I$61,4,FALSE)+VLOOKUP(VLOOKUP(C$1,main!$A$3:$I$56,7,FALSE),main!$K$10:$Q$14,7,FALSE),1,0)</f>
        <v>0</v>
      </c>
      <c r="D257">
        <f>IF(VLOOKUP(D$1,main!$A$3:$I$56,5,FALSE)-VLOOKUP($A257,main!$A$3:$I$56,6,FALSE)&gt;=VLOOKUP(59,main!$A$57:$I$61,4,FALSE)+VLOOKUP(VLOOKUP(D$1,main!$A$3:$I$56,7,FALSE),main!$K$10:$Q$14,7,FALSE),1,0)</f>
        <v>0</v>
      </c>
      <c r="E257">
        <f>IF(VLOOKUP(E$1,main!$A$3:$I$56,5,FALSE)-VLOOKUP($A257,main!$A$3:$I$56,6,FALSE)&gt;=VLOOKUP(59,main!$A$57:$I$61,4,FALSE)+VLOOKUP(VLOOKUP(E$1,main!$A$3:$I$56,7,FALSE),main!$K$10:$Q$14,7,FALSE),1,0)</f>
        <v>0</v>
      </c>
      <c r="F257">
        <f>IF(VLOOKUP(F$1,main!$A$3:$I$56,5,FALSE)-VLOOKUP($A257,main!$A$3:$I$56,6,FALSE)&gt;=VLOOKUP(59,main!$A$57:$I$61,4,FALSE)+VLOOKUP(VLOOKUP(F$1,main!$A$3:$I$56,7,FALSE),main!$K$10:$Q$14,7,FALSE),1,0)</f>
        <v>0</v>
      </c>
      <c r="G257">
        <f>IF(VLOOKUP(G$1,main!$A$3:$I$56,5,FALSE)-VLOOKUP($A257,main!$A$3:$I$56,6,FALSE)&gt;=VLOOKUP(59,main!$A$57:$I$61,4,FALSE)+VLOOKUP(VLOOKUP(G$1,main!$A$3:$I$56,7,FALSE),main!$K$10:$Q$14,7,FALSE),1,0)</f>
        <v>0</v>
      </c>
      <c r="H257">
        <f>IF(VLOOKUP(H$1,main!$A$3:$I$56,5,FALSE)-VLOOKUP($A257,main!$A$3:$I$56,6,FALSE)&gt;=VLOOKUP(59,main!$A$57:$I$61,4,FALSE)+VLOOKUP(VLOOKUP(H$1,main!$A$3:$I$56,7,FALSE),main!$K$10:$Q$14,7,FALSE),1,0)</f>
        <v>0</v>
      </c>
      <c r="I257">
        <f>IF(VLOOKUP(I$1,main!$A$3:$I$56,5,FALSE)-VLOOKUP($A257,main!$A$3:$I$56,6,FALSE)&gt;=VLOOKUP(59,main!$A$57:$I$61,4,FALSE)+VLOOKUP(VLOOKUP(I$1,main!$A$3:$I$56,7,FALSE),main!$K$10:$Q$14,7,FALSE),1,0)</f>
        <v>0</v>
      </c>
      <c r="J257">
        <f>IF(VLOOKUP(J$1,main!$A$3:$I$56,5,FALSE)-VLOOKUP($A257,main!$A$3:$I$56,6,FALSE)&gt;=VLOOKUP(59,main!$A$57:$I$61,4,FALSE)+VLOOKUP(VLOOKUP(J$1,main!$A$3:$I$56,7,FALSE),main!$K$10:$Q$14,7,FALSE),1,0)</f>
        <v>0</v>
      </c>
      <c r="K257">
        <f>IF(VLOOKUP(K$1,main!$A$3:$I$56,5,FALSE)-VLOOKUP($A257,main!$A$3:$I$56,6,FALSE)&gt;=VLOOKUP(59,main!$A$57:$I$61,4,FALSE)+VLOOKUP(VLOOKUP(K$1,main!$A$3:$I$56,7,FALSE),main!$K$10:$Q$14,7,FALSE),1,0)</f>
        <v>0</v>
      </c>
      <c r="L257">
        <f>IF(VLOOKUP(L$1,main!$A$3:$I$56,5,FALSE)-VLOOKUP($A257,main!$A$3:$I$56,6,FALSE)&gt;=VLOOKUP(59,main!$A$57:$I$61,4,FALSE)+VLOOKUP(VLOOKUP(L$1,main!$A$3:$I$56,7,FALSE),main!$K$10:$Q$14,7,FALSE),1,0)</f>
        <v>0</v>
      </c>
      <c r="M257">
        <f>IF(VLOOKUP(M$1,main!$A$3:$I$56,5,FALSE)-VLOOKUP($A257,main!$A$3:$I$56,6,FALSE)&gt;=VLOOKUP(59,main!$A$57:$I$61,4,FALSE)+VLOOKUP(VLOOKUP(M$1,main!$A$3:$I$56,7,FALSE),main!$K$10:$Q$14,7,FALSE),1,0)</f>
        <v>0</v>
      </c>
      <c r="N257">
        <f>IF(VLOOKUP(N$1,main!$A$3:$I$56,5,FALSE)-VLOOKUP($A257,main!$A$3:$I$56,6,FALSE)&gt;=VLOOKUP(59,main!$A$57:$I$61,4,FALSE)+VLOOKUP(VLOOKUP(N$1,main!$A$3:$I$56,7,FALSE),main!$K$10:$Q$14,7,FALSE),1,0)</f>
        <v>0</v>
      </c>
      <c r="O257">
        <f>IF(VLOOKUP(O$1,main!$A$3:$I$56,5,FALSE)-VLOOKUP($A257,main!$A$3:$I$56,6,FALSE)&gt;=VLOOKUP(59,main!$A$57:$I$61,4,FALSE)+VLOOKUP(VLOOKUP(O$1,main!$A$3:$I$56,7,FALSE),main!$K$10:$Q$14,7,FALSE),1,0)</f>
        <v>0</v>
      </c>
      <c r="P257">
        <f>IF(VLOOKUP(P$1,main!$A$3:$I$56,5,FALSE)-VLOOKUP($A257,main!$A$3:$I$56,6,FALSE)&gt;=VLOOKUP(59,main!$A$57:$I$61,4,FALSE)+VLOOKUP(VLOOKUP(P$1,main!$A$3:$I$56,7,FALSE),main!$K$10:$Q$14,7,FALSE),1,0)</f>
        <v>0</v>
      </c>
      <c r="Q257">
        <f>IF(VLOOKUP(Q$1,main!$A$3:$I$56,5,FALSE)-VLOOKUP($A257,main!$A$3:$I$56,6,FALSE)&gt;=VLOOKUP(59,main!$A$57:$I$61,4,FALSE)+VLOOKUP(VLOOKUP(Q$1,main!$A$3:$I$56,7,FALSE),main!$K$10:$Q$14,7,FALSE),1,0)</f>
        <v>0</v>
      </c>
      <c r="R257">
        <f>IF(VLOOKUP(R$1,main!$A$3:$I$56,5,FALSE)-VLOOKUP($A257,main!$A$3:$I$56,6,FALSE)&gt;=VLOOKUP(59,main!$A$57:$I$61,4,FALSE)+VLOOKUP(VLOOKUP(R$1,main!$A$3:$I$56,7,FALSE),main!$K$10:$Q$14,7,FALSE),1,0)</f>
        <v>0</v>
      </c>
      <c r="S257">
        <f>IF(VLOOKUP(S$1,main!$A$3:$I$56,5,FALSE)-VLOOKUP($A257,main!$A$3:$I$56,6,FALSE)&gt;=VLOOKUP(59,main!$A$57:$I$61,4,FALSE)+VLOOKUP(VLOOKUP(S$1,main!$A$3:$I$56,7,FALSE),main!$K$10:$Q$14,7,FALSE),1,0)</f>
        <v>0</v>
      </c>
      <c r="T257">
        <f>IF(VLOOKUP(T$1,main!$A$3:$I$56,5,FALSE)-VLOOKUP($A257,main!$A$3:$I$56,6,FALSE)&gt;=VLOOKUP(59,main!$A$57:$I$61,4,FALSE)+VLOOKUP(VLOOKUP(T$1,main!$A$3:$I$56,7,FALSE),main!$K$10:$Q$14,7,FALSE),1,0)</f>
        <v>0</v>
      </c>
      <c r="U257">
        <f>IF(VLOOKUP(U$1,main!$A$3:$I$56,5,FALSE)-VLOOKUP($A257,main!$A$3:$I$56,6,FALSE)&gt;=VLOOKUP(59,main!$A$57:$I$61,4,FALSE)+VLOOKUP(VLOOKUP(U$1,main!$A$3:$I$56,7,FALSE),main!$K$10:$Q$14,7,FALSE),1,0)</f>
        <v>0</v>
      </c>
      <c r="V257">
        <f>IF(VLOOKUP(V$1,main!$A$3:$I$56,5,FALSE)-VLOOKUP($A257,main!$A$3:$I$56,6,FALSE)&gt;=VLOOKUP(59,main!$A$57:$I$61,4,FALSE)+VLOOKUP(VLOOKUP(V$1,main!$A$3:$I$56,7,FALSE),main!$K$10:$Q$14,7,FALSE),1,0)</f>
        <v>0</v>
      </c>
      <c r="W257">
        <f>IF(VLOOKUP(W$1,main!$A$3:$I$56,5,FALSE)-VLOOKUP($A257,main!$A$3:$I$56,6,FALSE)&gt;=VLOOKUP(59,main!$A$57:$I$61,4,FALSE)+VLOOKUP(VLOOKUP(W$1,main!$A$3:$I$56,7,FALSE),main!$K$10:$Q$14,7,FALSE),1,0)</f>
        <v>0</v>
      </c>
      <c r="X257">
        <f>IF(VLOOKUP(X$1,main!$A$3:$I$56,5,FALSE)-VLOOKUP($A257,main!$A$3:$I$56,6,FALSE)&gt;=VLOOKUP(59,main!$A$57:$I$61,4,FALSE)+VLOOKUP(VLOOKUP(X$1,main!$A$3:$I$56,7,FALSE),main!$K$10:$Q$14,7,FALSE),1,0)</f>
        <v>0</v>
      </c>
      <c r="Y257">
        <f>IF(VLOOKUP(Y$1,main!$A$3:$I$56,5,FALSE)-VLOOKUP($A257,main!$A$3:$I$56,6,FALSE)&gt;=VLOOKUP(59,main!$A$57:$I$61,4,FALSE)+VLOOKUP(VLOOKUP(Y$1,main!$A$3:$I$56,7,FALSE),main!$K$10:$Q$14,7,FALSE),1,0)</f>
        <v>0</v>
      </c>
      <c r="Z257">
        <f>IF(VLOOKUP(Z$1,main!$A$3:$I$56,5,FALSE)-VLOOKUP($A257,main!$A$3:$I$56,6,FALSE)&gt;=VLOOKUP(59,main!$A$57:$I$61,4,FALSE)+VLOOKUP(VLOOKUP(Z$1,main!$A$3:$I$56,7,FALSE),main!$K$10:$Q$14,7,FALSE),1,0)</f>
        <v>0</v>
      </c>
      <c r="AA257">
        <f>IF(VLOOKUP(AA$1,main!$A$3:$I$56,5,FALSE)-VLOOKUP($A257,main!$A$3:$I$56,6,FALSE)&gt;=VLOOKUP(59,main!$A$57:$I$61,4,FALSE)+VLOOKUP(VLOOKUP(AA$1,main!$A$3:$I$56,7,FALSE),main!$K$10:$Q$14,7,FALSE),1,0)</f>
        <v>0</v>
      </c>
      <c r="AB257">
        <f>IF(VLOOKUP(AB$1,main!$A$3:$I$56,5,FALSE)-VLOOKUP($A257,main!$A$3:$I$56,6,FALSE)&gt;=VLOOKUP(59,main!$A$57:$I$61,4,FALSE)+VLOOKUP(VLOOKUP(AB$1,main!$A$3:$I$56,7,FALSE),main!$K$10:$Q$14,7,FALSE),1,0)</f>
        <v>0</v>
      </c>
      <c r="AC257">
        <f>IF(VLOOKUP(AC$1,main!$A$3:$I$56,5,FALSE)-VLOOKUP($A257,main!$A$3:$I$56,6,FALSE)&gt;=VLOOKUP(59,main!$A$57:$I$61,4,FALSE)+VLOOKUP(VLOOKUP(AC$1,main!$A$3:$I$56,7,FALSE),main!$K$10:$Q$14,7,FALSE),1,0)</f>
        <v>0</v>
      </c>
      <c r="AD257">
        <f>IF(VLOOKUP(AD$1,main!$A$3:$I$56,5,FALSE)-VLOOKUP($A257,main!$A$3:$I$56,6,FALSE)&gt;=VLOOKUP(59,main!$A$57:$I$61,4,FALSE)+VLOOKUP(VLOOKUP(AD$1,main!$A$3:$I$56,7,FALSE),main!$K$10:$Q$14,7,FALSE),1,0)</f>
        <v>0</v>
      </c>
      <c r="AE257">
        <f>IF(VLOOKUP(AE$1,main!$A$3:$I$56,5,FALSE)-VLOOKUP($A257,main!$A$3:$I$56,6,FALSE)&gt;=VLOOKUP(59,main!$A$57:$I$61,4,FALSE)+VLOOKUP(VLOOKUP(AE$1,main!$A$3:$I$56,7,FALSE),main!$K$10:$Q$14,7,FALSE),1,0)</f>
        <v>0</v>
      </c>
      <c r="AF257">
        <f>IF(VLOOKUP(AF$1,main!$A$3:$I$56,5,FALSE)-VLOOKUP($A257,main!$A$3:$I$56,6,FALSE)&gt;=VLOOKUP(59,main!$A$57:$I$61,4,FALSE)+VLOOKUP(VLOOKUP(AF$1,main!$A$3:$I$56,7,FALSE),main!$K$10:$Q$14,7,FALSE),1,0)</f>
        <v>0</v>
      </c>
      <c r="AG257">
        <f>IF(VLOOKUP(AG$1,main!$A$3:$I$56,5,FALSE)-VLOOKUP($A257,main!$A$3:$I$56,6,FALSE)&gt;=VLOOKUP(59,main!$A$57:$I$61,4,FALSE)+VLOOKUP(VLOOKUP(AG$1,main!$A$3:$I$56,7,FALSE),main!$K$10:$Q$14,7,FALSE),1,0)</f>
        <v>0</v>
      </c>
      <c r="AH257">
        <f>IF(VLOOKUP(AH$1,main!$A$3:$I$56,5,FALSE)-VLOOKUP($A257,main!$A$3:$I$56,6,FALSE)&gt;=VLOOKUP(59,main!$A$57:$I$61,4,FALSE)+VLOOKUP(VLOOKUP(AH$1,main!$A$3:$I$56,7,FALSE),main!$K$10:$Q$14,7,FALSE),1,0)</f>
        <v>0</v>
      </c>
      <c r="AI257">
        <f>IF(VLOOKUP(AI$1,main!$A$3:$I$56,5,FALSE)-VLOOKUP($A257,main!$A$3:$I$56,6,FALSE)&gt;=VLOOKUP(59,main!$A$57:$I$61,4,FALSE)+VLOOKUP(VLOOKUP(AI$1,main!$A$3:$I$56,7,FALSE),main!$K$10:$Q$14,7,FALSE),1,0)</f>
        <v>0</v>
      </c>
      <c r="AJ257">
        <f>IF(VLOOKUP(AJ$1,main!$A$3:$I$56,5,FALSE)-VLOOKUP($A257,main!$A$3:$I$56,6,FALSE)&gt;=VLOOKUP(59,main!$A$57:$I$61,4,FALSE)+VLOOKUP(VLOOKUP(AJ$1,main!$A$3:$I$56,7,FALSE),main!$K$10:$Q$14,7,FALSE),1,0)</f>
        <v>0</v>
      </c>
      <c r="AK257">
        <f>IF(VLOOKUP(AK$1,main!$A$3:$I$56,5,FALSE)-VLOOKUP($A257,main!$A$3:$I$56,6,FALSE)&gt;=VLOOKUP(59,main!$A$57:$I$61,4,FALSE)+VLOOKUP(VLOOKUP(AK$1,main!$A$3:$I$56,7,FALSE),main!$K$10:$Q$14,7,FALSE),1,0)</f>
        <v>0</v>
      </c>
      <c r="AL257">
        <f>IF(VLOOKUP(AL$1,main!$A$3:$I$56,5,FALSE)-VLOOKUP($A257,main!$A$3:$I$56,6,FALSE)&gt;=VLOOKUP(59,main!$A$57:$I$61,4,FALSE)+VLOOKUP(VLOOKUP(AL$1,main!$A$3:$I$56,7,FALSE),main!$K$10:$Q$14,7,FALSE),1,0)</f>
        <v>0</v>
      </c>
      <c r="AM257">
        <f>IF(VLOOKUP(AM$1,main!$A$3:$I$56,5,FALSE)-VLOOKUP($A257,main!$A$3:$I$56,6,FALSE)&gt;=VLOOKUP(59,main!$A$57:$I$61,4,FALSE)+VLOOKUP(VLOOKUP(AM$1,main!$A$3:$I$56,7,FALSE),main!$K$10:$Q$14,7,FALSE),1,0)</f>
        <v>0</v>
      </c>
      <c r="AN257">
        <f>IF(VLOOKUP(AN$1,main!$A$3:$I$56,5,FALSE)-VLOOKUP($A257,main!$A$3:$I$56,6,FALSE)&gt;=VLOOKUP(59,main!$A$57:$I$61,4,FALSE)+VLOOKUP(VLOOKUP(AN$1,main!$A$3:$I$56,7,FALSE),main!$K$10:$Q$14,7,FALSE),1,0)</f>
        <v>0</v>
      </c>
      <c r="AO257">
        <f>IF(VLOOKUP(AO$1,main!$A$3:$I$56,5,FALSE)-VLOOKUP($A257,main!$A$3:$I$56,6,FALSE)&gt;=VLOOKUP(59,main!$A$57:$I$61,4,FALSE)+VLOOKUP(VLOOKUP(AO$1,main!$A$3:$I$56,7,FALSE),main!$K$10:$Q$14,7,FALSE),1,0)</f>
        <v>0</v>
      </c>
      <c r="AP257">
        <f>IF(VLOOKUP(AP$1,main!$A$3:$I$56,5,FALSE)-VLOOKUP($A257,main!$A$3:$I$56,6,FALSE)&gt;=VLOOKUP(59,main!$A$57:$I$61,4,FALSE)+VLOOKUP(VLOOKUP(AP$1,main!$A$3:$I$56,7,FALSE),main!$K$10:$Q$14,7,FALSE),1,0)</f>
        <v>0</v>
      </c>
      <c r="AQ257">
        <f>IF(VLOOKUP(AQ$1,main!$A$3:$I$56,5,FALSE)-VLOOKUP($A257,main!$A$3:$I$56,6,FALSE)&gt;=VLOOKUP(59,main!$A$57:$I$61,4,FALSE)+VLOOKUP(VLOOKUP(AQ$1,main!$A$3:$I$56,7,FALSE),main!$K$10:$Q$14,7,FALSE),1,0)</f>
        <v>0</v>
      </c>
      <c r="AR257">
        <f>IF(VLOOKUP(AR$1,main!$A$3:$I$56,5,FALSE)-VLOOKUP($A257,main!$A$3:$I$56,6,FALSE)&gt;=VLOOKUP(59,main!$A$57:$I$61,4,FALSE)+VLOOKUP(VLOOKUP(AR$1,main!$A$3:$I$56,7,FALSE),main!$K$10:$Q$14,7,FALSE),1,0)</f>
        <v>0</v>
      </c>
      <c r="AS257">
        <f>IF(VLOOKUP(AS$1,main!$A$3:$I$56,5,FALSE)-VLOOKUP($A257,main!$A$3:$I$56,6,FALSE)&gt;=VLOOKUP(59,main!$A$57:$I$61,4,FALSE)+VLOOKUP(VLOOKUP(AS$1,main!$A$3:$I$56,7,FALSE),main!$K$10:$Q$14,7,FALSE),1,0)</f>
        <v>0</v>
      </c>
      <c r="AT257">
        <f>IF(VLOOKUP(AT$1,main!$A$3:$I$56,5,FALSE)-VLOOKUP($A257,main!$A$3:$I$56,6,FALSE)&gt;=VLOOKUP(59,main!$A$57:$I$61,4,FALSE)+VLOOKUP(VLOOKUP(AT$1,main!$A$3:$I$56,7,FALSE),main!$K$10:$Q$14,7,FALSE),1,0)</f>
        <v>0</v>
      </c>
      <c r="AU257">
        <f>IF(VLOOKUP(AU$1,main!$A$3:$I$56,5,FALSE)-VLOOKUP($A257,main!$A$3:$I$56,6,FALSE)&gt;=VLOOKUP(59,main!$A$57:$I$61,4,FALSE)+VLOOKUP(VLOOKUP(AU$1,main!$A$3:$I$56,7,FALSE),main!$K$10:$Q$14,7,FALSE),1,0)</f>
        <v>0</v>
      </c>
      <c r="AV257">
        <f>IF(VLOOKUP(AV$1,main!$A$3:$I$56,5,FALSE)-VLOOKUP($A257,main!$A$3:$I$56,6,FALSE)&gt;=VLOOKUP(59,main!$A$57:$I$61,4,FALSE)+VLOOKUP(VLOOKUP(AV$1,main!$A$3:$I$56,7,FALSE),main!$K$10:$Q$14,7,FALSE),1,0)</f>
        <v>0</v>
      </c>
      <c r="AW257">
        <f>IF(VLOOKUP(AW$1,main!$A$3:$I$56,5,FALSE)-VLOOKUP($A257,main!$A$3:$I$56,6,FALSE)&gt;=VLOOKUP(59,main!$A$57:$I$61,4,FALSE)+VLOOKUP(VLOOKUP(AW$1,main!$A$3:$I$56,7,FALSE),main!$K$10:$Q$14,7,FALSE),1,0)</f>
        <v>0</v>
      </c>
      <c r="AX257">
        <f>IF(VLOOKUP(AX$1,main!$A$3:$I$56,5,FALSE)-VLOOKUP($A257,main!$A$3:$I$56,6,FALSE)&gt;=VLOOKUP(59,main!$A$57:$I$61,4,FALSE)+VLOOKUP(VLOOKUP(AX$1,main!$A$3:$I$56,7,FALSE),main!$K$10:$Q$14,7,FALSE),1,0)</f>
        <v>0</v>
      </c>
      <c r="AY257">
        <f>IF(VLOOKUP(AY$1,main!$A$3:$I$56,5,FALSE)-VLOOKUP($A257,main!$A$3:$I$56,6,FALSE)&gt;=VLOOKUP(59,main!$A$57:$I$61,4,FALSE)+VLOOKUP(VLOOKUP(AY$1,main!$A$3:$I$56,7,FALSE),main!$K$10:$Q$14,7,FALSE),1,0)</f>
        <v>0</v>
      </c>
      <c r="AZ257">
        <f>IF(VLOOKUP(AZ$1,main!$A$3:$I$56,5,FALSE)-VLOOKUP($A257,main!$A$3:$I$56,6,FALSE)&gt;=VLOOKUP(59,main!$A$57:$I$61,4,FALSE)+VLOOKUP(VLOOKUP(AZ$1,main!$A$3:$I$56,7,FALSE),main!$K$10:$Q$14,7,FALSE),1,0)</f>
        <v>0</v>
      </c>
      <c r="BA257">
        <f>IF(VLOOKUP(BA$1,main!$A$3:$I$56,5,FALSE)-VLOOKUP($A257,main!$A$3:$I$56,6,FALSE)&gt;=VLOOKUP(59,main!$A$57:$I$61,4,FALSE)+VLOOKUP(VLOOKUP(BA$1,main!$A$3:$I$56,7,FALSE),main!$K$10:$Q$14,7,FALSE),1,0)</f>
        <v>0</v>
      </c>
      <c r="BB257">
        <f>IF(VLOOKUP(BB$1,main!$A$3:$I$56,5,FALSE)-VLOOKUP($A257,main!$A$3:$I$56,6,FALSE)&gt;=VLOOKUP(59,main!$A$57:$I$61,4,FALSE)+VLOOKUP(VLOOKUP(BB$1,main!$A$3:$I$56,7,FALSE),main!$K$10:$Q$14,7,FALSE),1,0)</f>
        <v>0</v>
      </c>
      <c r="BC257">
        <f>IF(VLOOKUP(BC$1,main!$A$3:$I$56,5,FALSE)-VLOOKUP($A257,main!$A$3:$I$56,6,FALSE)&gt;=VLOOKUP(59,main!$A$57:$I$61,4,FALSE)+VLOOKUP(VLOOKUP(BC$1,main!$A$3:$I$56,7,FALSE),main!$K$10:$Q$14,7,FALSE),1,0)</f>
        <v>0</v>
      </c>
      <c r="BD257">
        <f>IF(VLOOKUP(BD$1,main!$A$3:$I$56,5,FALSE)-VLOOKUP($A257,main!$A$3:$I$56,6,FALSE)&gt;=VLOOKUP(59,main!$A$57:$I$61,4,FALSE)+VLOOKUP(VLOOKUP(BD$1,main!$A$3:$I$56,7,FALSE),main!$K$10:$Q$14,7,FALSE),1,0)</f>
        <v>0</v>
      </c>
    </row>
    <row r="258" spans="1:56" x14ac:dyDescent="0.25">
      <c r="A258">
        <f t="shared" si="4"/>
        <v>36</v>
      </c>
      <c r="B258">
        <v>0</v>
      </c>
      <c r="C258">
        <f>IF(VLOOKUP(C$1,main!$A$3:$I$56,5,FALSE)-VLOOKUP($A258,main!$A$3:$I$56,6,FALSE)&gt;=VLOOKUP(59,main!$A$57:$I$61,4,FALSE)+VLOOKUP(VLOOKUP(C$1,main!$A$3:$I$56,7,FALSE),main!$K$10:$Q$14,7,FALSE),1,0)</f>
        <v>0</v>
      </c>
      <c r="D258">
        <f>IF(VLOOKUP(D$1,main!$A$3:$I$56,5,FALSE)-VLOOKUP($A258,main!$A$3:$I$56,6,FALSE)&gt;=VLOOKUP(59,main!$A$57:$I$61,4,FALSE)+VLOOKUP(VLOOKUP(D$1,main!$A$3:$I$56,7,FALSE),main!$K$10:$Q$14,7,FALSE),1,0)</f>
        <v>0</v>
      </c>
      <c r="E258">
        <f>IF(VLOOKUP(E$1,main!$A$3:$I$56,5,FALSE)-VLOOKUP($A258,main!$A$3:$I$56,6,FALSE)&gt;=VLOOKUP(59,main!$A$57:$I$61,4,FALSE)+VLOOKUP(VLOOKUP(E$1,main!$A$3:$I$56,7,FALSE),main!$K$10:$Q$14,7,FALSE),1,0)</f>
        <v>0</v>
      </c>
      <c r="F258">
        <f>IF(VLOOKUP(F$1,main!$A$3:$I$56,5,FALSE)-VLOOKUP($A258,main!$A$3:$I$56,6,FALSE)&gt;=VLOOKUP(59,main!$A$57:$I$61,4,FALSE)+VLOOKUP(VLOOKUP(F$1,main!$A$3:$I$56,7,FALSE),main!$K$10:$Q$14,7,FALSE),1,0)</f>
        <v>0</v>
      </c>
      <c r="G258">
        <f>IF(VLOOKUP(G$1,main!$A$3:$I$56,5,FALSE)-VLOOKUP($A258,main!$A$3:$I$56,6,FALSE)&gt;=VLOOKUP(59,main!$A$57:$I$61,4,FALSE)+VLOOKUP(VLOOKUP(G$1,main!$A$3:$I$56,7,FALSE),main!$K$10:$Q$14,7,FALSE),1,0)</f>
        <v>1</v>
      </c>
      <c r="H258">
        <f>IF(VLOOKUP(H$1,main!$A$3:$I$56,5,FALSE)-VLOOKUP($A258,main!$A$3:$I$56,6,FALSE)&gt;=VLOOKUP(59,main!$A$57:$I$61,4,FALSE)+VLOOKUP(VLOOKUP(H$1,main!$A$3:$I$56,7,FALSE),main!$K$10:$Q$14,7,FALSE),1,0)</f>
        <v>1</v>
      </c>
      <c r="I258">
        <f>IF(VLOOKUP(I$1,main!$A$3:$I$56,5,FALSE)-VLOOKUP($A258,main!$A$3:$I$56,6,FALSE)&gt;=VLOOKUP(59,main!$A$57:$I$61,4,FALSE)+VLOOKUP(VLOOKUP(I$1,main!$A$3:$I$56,7,FALSE),main!$K$10:$Q$14,7,FALSE),1,0)</f>
        <v>1</v>
      </c>
      <c r="J258">
        <f>IF(VLOOKUP(J$1,main!$A$3:$I$56,5,FALSE)-VLOOKUP($A258,main!$A$3:$I$56,6,FALSE)&gt;=VLOOKUP(59,main!$A$57:$I$61,4,FALSE)+VLOOKUP(VLOOKUP(J$1,main!$A$3:$I$56,7,FALSE),main!$K$10:$Q$14,7,FALSE),1,0)</f>
        <v>1</v>
      </c>
      <c r="K258">
        <f>IF(VLOOKUP(K$1,main!$A$3:$I$56,5,FALSE)-VLOOKUP($A258,main!$A$3:$I$56,6,FALSE)&gt;=VLOOKUP(59,main!$A$57:$I$61,4,FALSE)+VLOOKUP(VLOOKUP(K$1,main!$A$3:$I$56,7,FALSE),main!$K$10:$Q$14,7,FALSE),1,0)</f>
        <v>0</v>
      </c>
      <c r="L258">
        <f>IF(VLOOKUP(L$1,main!$A$3:$I$56,5,FALSE)-VLOOKUP($A258,main!$A$3:$I$56,6,FALSE)&gt;=VLOOKUP(59,main!$A$57:$I$61,4,FALSE)+VLOOKUP(VLOOKUP(L$1,main!$A$3:$I$56,7,FALSE),main!$K$10:$Q$14,7,FALSE),1,0)</f>
        <v>0</v>
      </c>
      <c r="M258">
        <f>IF(VLOOKUP(M$1,main!$A$3:$I$56,5,FALSE)-VLOOKUP($A258,main!$A$3:$I$56,6,FALSE)&gt;=VLOOKUP(59,main!$A$57:$I$61,4,FALSE)+VLOOKUP(VLOOKUP(M$1,main!$A$3:$I$56,7,FALSE),main!$K$10:$Q$14,7,FALSE),1,0)</f>
        <v>0</v>
      </c>
      <c r="N258">
        <f>IF(VLOOKUP(N$1,main!$A$3:$I$56,5,FALSE)-VLOOKUP($A258,main!$A$3:$I$56,6,FALSE)&gt;=VLOOKUP(59,main!$A$57:$I$61,4,FALSE)+VLOOKUP(VLOOKUP(N$1,main!$A$3:$I$56,7,FALSE),main!$K$10:$Q$14,7,FALSE),1,0)</f>
        <v>1</v>
      </c>
      <c r="O258">
        <f>IF(VLOOKUP(O$1,main!$A$3:$I$56,5,FALSE)-VLOOKUP($A258,main!$A$3:$I$56,6,FALSE)&gt;=VLOOKUP(59,main!$A$57:$I$61,4,FALSE)+VLOOKUP(VLOOKUP(O$1,main!$A$3:$I$56,7,FALSE),main!$K$10:$Q$14,7,FALSE),1,0)</f>
        <v>1</v>
      </c>
      <c r="P258">
        <f>IF(VLOOKUP(P$1,main!$A$3:$I$56,5,FALSE)-VLOOKUP($A258,main!$A$3:$I$56,6,FALSE)&gt;=VLOOKUP(59,main!$A$57:$I$61,4,FALSE)+VLOOKUP(VLOOKUP(P$1,main!$A$3:$I$56,7,FALSE),main!$K$10:$Q$14,7,FALSE),1,0)</f>
        <v>0</v>
      </c>
      <c r="Q258">
        <f>IF(VLOOKUP(Q$1,main!$A$3:$I$56,5,FALSE)-VLOOKUP($A258,main!$A$3:$I$56,6,FALSE)&gt;=VLOOKUP(59,main!$A$57:$I$61,4,FALSE)+VLOOKUP(VLOOKUP(Q$1,main!$A$3:$I$56,7,FALSE),main!$K$10:$Q$14,7,FALSE),1,0)</f>
        <v>0</v>
      </c>
      <c r="R258">
        <f>IF(VLOOKUP(R$1,main!$A$3:$I$56,5,FALSE)-VLOOKUP($A258,main!$A$3:$I$56,6,FALSE)&gt;=VLOOKUP(59,main!$A$57:$I$61,4,FALSE)+VLOOKUP(VLOOKUP(R$1,main!$A$3:$I$56,7,FALSE),main!$K$10:$Q$14,7,FALSE),1,0)</f>
        <v>0</v>
      </c>
      <c r="S258">
        <f>IF(VLOOKUP(S$1,main!$A$3:$I$56,5,FALSE)-VLOOKUP($A258,main!$A$3:$I$56,6,FALSE)&gt;=VLOOKUP(59,main!$A$57:$I$61,4,FALSE)+VLOOKUP(VLOOKUP(S$1,main!$A$3:$I$56,7,FALSE),main!$K$10:$Q$14,7,FALSE),1,0)</f>
        <v>1</v>
      </c>
      <c r="T258">
        <f>IF(VLOOKUP(T$1,main!$A$3:$I$56,5,FALSE)-VLOOKUP($A258,main!$A$3:$I$56,6,FALSE)&gt;=VLOOKUP(59,main!$A$57:$I$61,4,FALSE)+VLOOKUP(VLOOKUP(T$1,main!$A$3:$I$56,7,FALSE),main!$K$10:$Q$14,7,FALSE),1,0)</f>
        <v>1</v>
      </c>
      <c r="U258">
        <f>IF(VLOOKUP(U$1,main!$A$3:$I$56,5,FALSE)-VLOOKUP($A258,main!$A$3:$I$56,6,FALSE)&gt;=VLOOKUP(59,main!$A$57:$I$61,4,FALSE)+VLOOKUP(VLOOKUP(U$1,main!$A$3:$I$56,7,FALSE),main!$K$10:$Q$14,7,FALSE),1,0)</f>
        <v>0</v>
      </c>
      <c r="V258">
        <f>IF(VLOOKUP(V$1,main!$A$3:$I$56,5,FALSE)-VLOOKUP($A258,main!$A$3:$I$56,6,FALSE)&gt;=VLOOKUP(59,main!$A$57:$I$61,4,FALSE)+VLOOKUP(VLOOKUP(V$1,main!$A$3:$I$56,7,FALSE),main!$K$10:$Q$14,7,FALSE),1,0)</f>
        <v>0</v>
      </c>
      <c r="W258">
        <f>IF(VLOOKUP(W$1,main!$A$3:$I$56,5,FALSE)-VLOOKUP($A258,main!$A$3:$I$56,6,FALSE)&gt;=VLOOKUP(59,main!$A$57:$I$61,4,FALSE)+VLOOKUP(VLOOKUP(W$1,main!$A$3:$I$56,7,FALSE),main!$K$10:$Q$14,7,FALSE),1,0)</f>
        <v>0</v>
      </c>
      <c r="X258">
        <f>IF(VLOOKUP(X$1,main!$A$3:$I$56,5,FALSE)-VLOOKUP($A258,main!$A$3:$I$56,6,FALSE)&gt;=VLOOKUP(59,main!$A$57:$I$61,4,FALSE)+VLOOKUP(VLOOKUP(X$1,main!$A$3:$I$56,7,FALSE),main!$K$10:$Q$14,7,FALSE),1,0)</f>
        <v>0</v>
      </c>
      <c r="Y258">
        <f>IF(VLOOKUP(Y$1,main!$A$3:$I$56,5,FALSE)-VLOOKUP($A258,main!$A$3:$I$56,6,FALSE)&gt;=VLOOKUP(59,main!$A$57:$I$61,4,FALSE)+VLOOKUP(VLOOKUP(Y$1,main!$A$3:$I$56,7,FALSE),main!$K$10:$Q$14,7,FALSE),1,0)</f>
        <v>1</v>
      </c>
      <c r="Z258">
        <f>IF(VLOOKUP(Z$1,main!$A$3:$I$56,5,FALSE)-VLOOKUP($A258,main!$A$3:$I$56,6,FALSE)&gt;=VLOOKUP(59,main!$A$57:$I$61,4,FALSE)+VLOOKUP(VLOOKUP(Z$1,main!$A$3:$I$56,7,FALSE),main!$K$10:$Q$14,7,FALSE),1,0)</f>
        <v>1</v>
      </c>
      <c r="AA258">
        <f>IF(VLOOKUP(AA$1,main!$A$3:$I$56,5,FALSE)-VLOOKUP($A258,main!$A$3:$I$56,6,FALSE)&gt;=VLOOKUP(59,main!$A$57:$I$61,4,FALSE)+VLOOKUP(VLOOKUP(AA$1,main!$A$3:$I$56,7,FALSE),main!$K$10:$Q$14,7,FALSE),1,0)</f>
        <v>1</v>
      </c>
      <c r="AB258">
        <f>IF(VLOOKUP(AB$1,main!$A$3:$I$56,5,FALSE)-VLOOKUP($A258,main!$A$3:$I$56,6,FALSE)&gt;=VLOOKUP(59,main!$A$57:$I$61,4,FALSE)+VLOOKUP(VLOOKUP(AB$1,main!$A$3:$I$56,7,FALSE),main!$K$10:$Q$14,7,FALSE),1,0)</f>
        <v>1</v>
      </c>
      <c r="AC258">
        <f>IF(VLOOKUP(AC$1,main!$A$3:$I$56,5,FALSE)-VLOOKUP($A258,main!$A$3:$I$56,6,FALSE)&gt;=VLOOKUP(59,main!$A$57:$I$61,4,FALSE)+VLOOKUP(VLOOKUP(AC$1,main!$A$3:$I$56,7,FALSE),main!$K$10:$Q$14,7,FALSE),1,0)</f>
        <v>0</v>
      </c>
      <c r="AD258">
        <f>IF(VLOOKUP(AD$1,main!$A$3:$I$56,5,FALSE)-VLOOKUP($A258,main!$A$3:$I$56,6,FALSE)&gt;=VLOOKUP(59,main!$A$57:$I$61,4,FALSE)+VLOOKUP(VLOOKUP(AD$1,main!$A$3:$I$56,7,FALSE),main!$K$10:$Q$14,7,FALSE),1,0)</f>
        <v>0</v>
      </c>
      <c r="AE258">
        <f>IF(VLOOKUP(AE$1,main!$A$3:$I$56,5,FALSE)-VLOOKUP($A258,main!$A$3:$I$56,6,FALSE)&gt;=VLOOKUP(59,main!$A$57:$I$61,4,FALSE)+VLOOKUP(VLOOKUP(AE$1,main!$A$3:$I$56,7,FALSE),main!$K$10:$Q$14,7,FALSE),1,0)</f>
        <v>0</v>
      </c>
      <c r="AF258">
        <f>IF(VLOOKUP(AF$1,main!$A$3:$I$56,5,FALSE)-VLOOKUP($A258,main!$A$3:$I$56,6,FALSE)&gt;=VLOOKUP(59,main!$A$57:$I$61,4,FALSE)+VLOOKUP(VLOOKUP(AF$1,main!$A$3:$I$56,7,FALSE),main!$K$10:$Q$14,7,FALSE),1,0)</f>
        <v>1</v>
      </c>
      <c r="AG258">
        <f>IF(VLOOKUP(AG$1,main!$A$3:$I$56,5,FALSE)-VLOOKUP($A258,main!$A$3:$I$56,6,FALSE)&gt;=VLOOKUP(59,main!$A$57:$I$61,4,FALSE)+VLOOKUP(VLOOKUP(AG$1,main!$A$3:$I$56,7,FALSE),main!$K$10:$Q$14,7,FALSE),1,0)</f>
        <v>0</v>
      </c>
      <c r="AH258">
        <f>IF(VLOOKUP(AH$1,main!$A$3:$I$56,5,FALSE)-VLOOKUP($A258,main!$A$3:$I$56,6,FALSE)&gt;=VLOOKUP(59,main!$A$57:$I$61,4,FALSE)+VLOOKUP(VLOOKUP(AH$1,main!$A$3:$I$56,7,FALSE),main!$K$10:$Q$14,7,FALSE),1,0)</f>
        <v>0</v>
      </c>
      <c r="AI258">
        <f>IF(VLOOKUP(AI$1,main!$A$3:$I$56,5,FALSE)-VLOOKUP($A258,main!$A$3:$I$56,6,FALSE)&gt;=VLOOKUP(59,main!$A$57:$I$61,4,FALSE)+VLOOKUP(VLOOKUP(AI$1,main!$A$3:$I$56,7,FALSE),main!$K$10:$Q$14,7,FALSE),1,0)</f>
        <v>0</v>
      </c>
      <c r="AJ258">
        <f>IF(VLOOKUP(AJ$1,main!$A$3:$I$56,5,FALSE)-VLOOKUP($A258,main!$A$3:$I$56,6,FALSE)&gt;=VLOOKUP(59,main!$A$57:$I$61,4,FALSE)+VLOOKUP(VLOOKUP(AJ$1,main!$A$3:$I$56,7,FALSE),main!$K$10:$Q$14,7,FALSE),1,0)</f>
        <v>0</v>
      </c>
      <c r="AK258">
        <f>IF(VLOOKUP(AK$1,main!$A$3:$I$56,5,FALSE)-VLOOKUP($A258,main!$A$3:$I$56,6,FALSE)&gt;=VLOOKUP(59,main!$A$57:$I$61,4,FALSE)+VLOOKUP(VLOOKUP(AK$1,main!$A$3:$I$56,7,FALSE),main!$K$10:$Q$14,7,FALSE),1,0)</f>
        <v>1</v>
      </c>
      <c r="AL258">
        <f>IF(VLOOKUP(AL$1,main!$A$3:$I$56,5,FALSE)-VLOOKUP($A258,main!$A$3:$I$56,6,FALSE)&gt;=VLOOKUP(59,main!$A$57:$I$61,4,FALSE)+VLOOKUP(VLOOKUP(AL$1,main!$A$3:$I$56,7,FALSE),main!$K$10:$Q$14,7,FALSE),1,0)</f>
        <v>0</v>
      </c>
      <c r="AM258">
        <f>IF(VLOOKUP(AM$1,main!$A$3:$I$56,5,FALSE)-VLOOKUP($A258,main!$A$3:$I$56,6,FALSE)&gt;=VLOOKUP(59,main!$A$57:$I$61,4,FALSE)+VLOOKUP(VLOOKUP(AM$1,main!$A$3:$I$56,7,FALSE),main!$K$10:$Q$14,7,FALSE),1,0)</f>
        <v>0</v>
      </c>
      <c r="AN258">
        <f>IF(VLOOKUP(AN$1,main!$A$3:$I$56,5,FALSE)-VLOOKUP($A258,main!$A$3:$I$56,6,FALSE)&gt;=VLOOKUP(59,main!$A$57:$I$61,4,FALSE)+VLOOKUP(VLOOKUP(AN$1,main!$A$3:$I$56,7,FALSE),main!$K$10:$Q$14,7,FALSE),1,0)</f>
        <v>0</v>
      </c>
      <c r="AO258">
        <f>IF(VLOOKUP(AO$1,main!$A$3:$I$56,5,FALSE)-VLOOKUP($A258,main!$A$3:$I$56,6,FALSE)&gt;=VLOOKUP(59,main!$A$57:$I$61,4,FALSE)+VLOOKUP(VLOOKUP(AO$1,main!$A$3:$I$56,7,FALSE),main!$K$10:$Q$14,7,FALSE),1,0)</f>
        <v>0</v>
      </c>
      <c r="AP258">
        <f>IF(VLOOKUP(AP$1,main!$A$3:$I$56,5,FALSE)-VLOOKUP($A258,main!$A$3:$I$56,6,FALSE)&gt;=VLOOKUP(59,main!$A$57:$I$61,4,FALSE)+VLOOKUP(VLOOKUP(AP$1,main!$A$3:$I$56,7,FALSE),main!$K$10:$Q$14,7,FALSE),1,0)</f>
        <v>0</v>
      </c>
      <c r="AQ258">
        <f>IF(VLOOKUP(AQ$1,main!$A$3:$I$56,5,FALSE)-VLOOKUP($A258,main!$A$3:$I$56,6,FALSE)&gt;=VLOOKUP(59,main!$A$57:$I$61,4,FALSE)+VLOOKUP(VLOOKUP(AQ$1,main!$A$3:$I$56,7,FALSE),main!$K$10:$Q$14,7,FALSE),1,0)</f>
        <v>0</v>
      </c>
      <c r="AR258">
        <f>IF(VLOOKUP(AR$1,main!$A$3:$I$56,5,FALSE)-VLOOKUP($A258,main!$A$3:$I$56,6,FALSE)&gt;=VLOOKUP(59,main!$A$57:$I$61,4,FALSE)+VLOOKUP(VLOOKUP(AR$1,main!$A$3:$I$56,7,FALSE),main!$K$10:$Q$14,7,FALSE),1,0)</f>
        <v>0</v>
      </c>
      <c r="AS258">
        <f>IF(VLOOKUP(AS$1,main!$A$3:$I$56,5,FALSE)-VLOOKUP($A258,main!$A$3:$I$56,6,FALSE)&gt;=VLOOKUP(59,main!$A$57:$I$61,4,FALSE)+VLOOKUP(VLOOKUP(AS$1,main!$A$3:$I$56,7,FALSE),main!$K$10:$Q$14,7,FALSE),1,0)</f>
        <v>0</v>
      </c>
      <c r="AT258">
        <f>IF(VLOOKUP(AT$1,main!$A$3:$I$56,5,FALSE)-VLOOKUP($A258,main!$A$3:$I$56,6,FALSE)&gt;=VLOOKUP(59,main!$A$57:$I$61,4,FALSE)+VLOOKUP(VLOOKUP(AT$1,main!$A$3:$I$56,7,FALSE),main!$K$10:$Q$14,7,FALSE),1,0)</f>
        <v>0</v>
      </c>
      <c r="AU258">
        <f>IF(VLOOKUP(AU$1,main!$A$3:$I$56,5,FALSE)-VLOOKUP($A258,main!$A$3:$I$56,6,FALSE)&gt;=VLOOKUP(59,main!$A$57:$I$61,4,FALSE)+VLOOKUP(VLOOKUP(AU$1,main!$A$3:$I$56,7,FALSE),main!$K$10:$Q$14,7,FALSE),1,0)</f>
        <v>0</v>
      </c>
      <c r="AV258">
        <f>IF(VLOOKUP(AV$1,main!$A$3:$I$56,5,FALSE)-VLOOKUP($A258,main!$A$3:$I$56,6,FALSE)&gt;=VLOOKUP(59,main!$A$57:$I$61,4,FALSE)+VLOOKUP(VLOOKUP(AV$1,main!$A$3:$I$56,7,FALSE),main!$K$10:$Q$14,7,FALSE),1,0)</f>
        <v>1</v>
      </c>
      <c r="AW258">
        <f>IF(VLOOKUP(AW$1,main!$A$3:$I$56,5,FALSE)-VLOOKUP($A258,main!$A$3:$I$56,6,FALSE)&gt;=VLOOKUP(59,main!$A$57:$I$61,4,FALSE)+VLOOKUP(VLOOKUP(AW$1,main!$A$3:$I$56,7,FALSE),main!$K$10:$Q$14,7,FALSE),1,0)</f>
        <v>1</v>
      </c>
      <c r="AX258">
        <f>IF(VLOOKUP(AX$1,main!$A$3:$I$56,5,FALSE)-VLOOKUP($A258,main!$A$3:$I$56,6,FALSE)&gt;=VLOOKUP(59,main!$A$57:$I$61,4,FALSE)+VLOOKUP(VLOOKUP(AX$1,main!$A$3:$I$56,7,FALSE),main!$K$10:$Q$14,7,FALSE),1,0)</f>
        <v>1</v>
      </c>
      <c r="AY258">
        <f>IF(VLOOKUP(AY$1,main!$A$3:$I$56,5,FALSE)-VLOOKUP($A258,main!$A$3:$I$56,6,FALSE)&gt;=VLOOKUP(59,main!$A$57:$I$61,4,FALSE)+VLOOKUP(VLOOKUP(AY$1,main!$A$3:$I$56,7,FALSE),main!$K$10:$Q$14,7,FALSE),1,0)</f>
        <v>1</v>
      </c>
      <c r="AZ258">
        <f>IF(VLOOKUP(AZ$1,main!$A$3:$I$56,5,FALSE)-VLOOKUP($A258,main!$A$3:$I$56,6,FALSE)&gt;=VLOOKUP(59,main!$A$57:$I$61,4,FALSE)+VLOOKUP(VLOOKUP(AZ$1,main!$A$3:$I$56,7,FALSE),main!$K$10:$Q$14,7,FALSE),1,0)</f>
        <v>0</v>
      </c>
      <c r="BA258">
        <f>IF(VLOOKUP(BA$1,main!$A$3:$I$56,5,FALSE)-VLOOKUP($A258,main!$A$3:$I$56,6,FALSE)&gt;=VLOOKUP(59,main!$A$57:$I$61,4,FALSE)+VLOOKUP(VLOOKUP(BA$1,main!$A$3:$I$56,7,FALSE),main!$K$10:$Q$14,7,FALSE),1,0)</f>
        <v>1</v>
      </c>
      <c r="BB258">
        <f>IF(VLOOKUP(BB$1,main!$A$3:$I$56,5,FALSE)-VLOOKUP($A258,main!$A$3:$I$56,6,FALSE)&gt;=VLOOKUP(59,main!$A$57:$I$61,4,FALSE)+VLOOKUP(VLOOKUP(BB$1,main!$A$3:$I$56,7,FALSE),main!$K$10:$Q$14,7,FALSE),1,0)</f>
        <v>1</v>
      </c>
      <c r="BC258">
        <f>IF(VLOOKUP(BC$1,main!$A$3:$I$56,5,FALSE)-VLOOKUP($A258,main!$A$3:$I$56,6,FALSE)&gt;=VLOOKUP(59,main!$A$57:$I$61,4,FALSE)+VLOOKUP(VLOOKUP(BC$1,main!$A$3:$I$56,7,FALSE),main!$K$10:$Q$14,7,FALSE),1,0)</f>
        <v>1</v>
      </c>
      <c r="BD258">
        <f>IF(VLOOKUP(BD$1,main!$A$3:$I$56,5,FALSE)-VLOOKUP($A258,main!$A$3:$I$56,6,FALSE)&gt;=VLOOKUP(59,main!$A$57:$I$61,4,FALSE)+VLOOKUP(VLOOKUP(BD$1,main!$A$3:$I$56,7,FALSE),main!$K$10:$Q$14,7,FALSE),1,0)</f>
        <v>1</v>
      </c>
    </row>
    <row r="259" spans="1:56" x14ac:dyDescent="0.25">
      <c r="A259">
        <f t="shared" si="4"/>
        <v>37</v>
      </c>
      <c r="B259">
        <v>0</v>
      </c>
      <c r="C259">
        <f>IF(VLOOKUP(C$1,main!$A$3:$I$56,5,FALSE)-VLOOKUP($A259,main!$A$3:$I$56,6,FALSE)&gt;=VLOOKUP(59,main!$A$57:$I$61,4,FALSE)+VLOOKUP(VLOOKUP(C$1,main!$A$3:$I$56,7,FALSE),main!$K$10:$Q$14,7,FALSE),1,0)</f>
        <v>0</v>
      </c>
      <c r="D259">
        <f>IF(VLOOKUP(D$1,main!$A$3:$I$56,5,FALSE)-VLOOKUP($A259,main!$A$3:$I$56,6,FALSE)&gt;=VLOOKUP(59,main!$A$57:$I$61,4,FALSE)+VLOOKUP(VLOOKUP(D$1,main!$A$3:$I$56,7,FALSE),main!$K$10:$Q$14,7,FALSE),1,0)</f>
        <v>0</v>
      </c>
      <c r="E259">
        <f>IF(VLOOKUP(E$1,main!$A$3:$I$56,5,FALSE)-VLOOKUP($A259,main!$A$3:$I$56,6,FALSE)&gt;=VLOOKUP(59,main!$A$57:$I$61,4,FALSE)+VLOOKUP(VLOOKUP(E$1,main!$A$3:$I$56,7,FALSE),main!$K$10:$Q$14,7,FALSE),1,0)</f>
        <v>0</v>
      </c>
      <c r="F259">
        <f>IF(VLOOKUP(F$1,main!$A$3:$I$56,5,FALSE)-VLOOKUP($A259,main!$A$3:$I$56,6,FALSE)&gt;=VLOOKUP(59,main!$A$57:$I$61,4,FALSE)+VLOOKUP(VLOOKUP(F$1,main!$A$3:$I$56,7,FALSE),main!$K$10:$Q$14,7,FALSE),1,0)</f>
        <v>0</v>
      </c>
      <c r="G259">
        <f>IF(VLOOKUP(G$1,main!$A$3:$I$56,5,FALSE)-VLOOKUP($A259,main!$A$3:$I$56,6,FALSE)&gt;=VLOOKUP(59,main!$A$57:$I$61,4,FALSE)+VLOOKUP(VLOOKUP(G$1,main!$A$3:$I$56,7,FALSE),main!$K$10:$Q$14,7,FALSE),1,0)</f>
        <v>0</v>
      </c>
      <c r="H259">
        <f>IF(VLOOKUP(H$1,main!$A$3:$I$56,5,FALSE)-VLOOKUP($A259,main!$A$3:$I$56,6,FALSE)&gt;=VLOOKUP(59,main!$A$57:$I$61,4,FALSE)+VLOOKUP(VLOOKUP(H$1,main!$A$3:$I$56,7,FALSE),main!$K$10:$Q$14,7,FALSE),1,0)</f>
        <v>0</v>
      </c>
      <c r="I259">
        <f>IF(VLOOKUP(I$1,main!$A$3:$I$56,5,FALSE)-VLOOKUP($A259,main!$A$3:$I$56,6,FALSE)&gt;=VLOOKUP(59,main!$A$57:$I$61,4,FALSE)+VLOOKUP(VLOOKUP(I$1,main!$A$3:$I$56,7,FALSE),main!$K$10:$Q$14,7,FALSE),1,0)</f>
        <v>1</v>
      </c>
      <c r="J259">
        <f>IF(VLOOKUP(J$1,main!$A$3:$I$56,5,FALSE)-VLOOKUP($A259,main!$A$3:$I$56,6,FALSE)&gt;=VLOOKUP(59,main!$A$57:$I$61,4,FALSE)+VLOOKUP(VLOOKUP(J$1,main!$A$3:$I$56,7,FALSE),main!$K$10:$Q$14,7,FALSE),1,0)</f>
        <v>1</v>
      </c>
      <c r="K259">
        <f>IF(VLOOKUP(K$1,main!$A$3:$I$56,5,FALSE)-VLOOKUP($A259,main!$A$3:$I$56,6,FALSE)&gt;=VLOOKUP(59,main!$A$57:$I$61,4,FALSE)+VLOOKUP(VLOOKUP(K$1,main!$A$3:$I$56,7,FALSE),main!$K$10:$Q$14,7,FALSE),1,0)</f>
        <v>0</v>
      </c>
      <c r="L259">
        <f>IF(VLOOKUP(L$1,main!$A$3:$I$56,5,FALSE)-VLOOKUP($A259,main!$A$3:$I$56,6,FALSE)&gt;=VLOOKUP(59,main!$A$57:$I$61,4,FALSE)+VLOOKUP(VLOOKUP(L$1,main!$A$3:$I$56,7,FALSE),main!$K$10:$Q$14,7,FALSE),1,0)</f>
        <v>0</v>
      </c>
      <c r="M259">
        <f>IF(VLOOKUP(M$1,main!$A$3:$I$56,5,FALSE)-VLOOKUP($A259,main!$A$3:$I$56,6,FALSE)&gt;=VLOOKUP(59,main!$A$57:$I$61,4,FALSE)+VLOOKUP(VLOOKUP(M$1,main!$A$3:$I$56,7,FALSE),main!$K$10:$Q$14,7,FALSE),1,0)</f>
        <v>0</v>
      </c>
      <c r="N259">
        <f>IF(VLOOKUP(N$1,main!$A$3:$I$56,5,FALSE)-VLOOKUP($A259,main!$A$3:$I$56,6,FALSE)&gt;=VLOOKUP(59,main!$A$57:$I$61,4,FALSE)+VLOOKUP(VLOOKUP(N$1,main!$A$3:$I$56,7,FALSE),main!$K$10:$Q$14,7,FALSE),1,0)</f>
        <v>1</v>
      </c>
      <c r="O259">
        <f>IF(VLOOKUP(O$1,main!$A$3:$I$56,5,FALSE)-VLOOKUP($A259,main!$A$3:$I$56,6,FALSE)&gt;=VLOOKUP(59,main!$A$57:$I$61,4,FALSE)+VLOOKUP(VLOOKUP(O$1,main!$A$3:$I$56,7,FALSE),main!$K$10:$Q$14,7,FALSE),1,0)</f>
        <v>1</v>
      </c>
      <c r="P259">
        <f>IF(VLOOKUP(P$1,main!$A$3:$I$56,5,FALSE)-VLOOKUP($A259,main!$A$3:$I$56,6,FALSE)&gt;=VLOOKUP(59,main!$A$57:$I$61,4,FALSE)+VLOOKUP(VLOOKUP(P$1,main!$A$3:$I$56,7,FALSE),main!$K$10:$Q$14,7,FALSE),1,0)</f>
        <v>0</v>
      </c>
      <c r="Q259">
        <f>IF(VLOOKUP(Q$1,main!$A$3:$I$56,5,FALSE)-VLOOKUP($A259,main!$A$3:$I$56,6,FALSE)&gt;=VLOOKUP(59,main!$A$57:$I$61,4,FALSE)+VLOOKUP(VLOOKUP(Q$1,main!$A$3:$I$56,7,FALSE),main!$K$10:$Q$14,7,FALSE),1,0)</f>
        <v>0</v>
      </c>
      <c r="R259">
        <f>IF(VLOOKUP(R$1,main!$A$3:$I$56,5,FALSE)-VLOOKUP($A259,main!$A$3:$I$56,6,FALSE)&gt;=VLOOKUP(59,main!$A$57:$I$61,4,FALSE)+VLOOKUP(VLOOKUP(R$1,main!$A$3:$I$56,7,FALSE),main!$K$10:$Q$14,7,FALSE),1,0)</f>
        <v>0</v>
      </c>
      <c r="S259">
        <f>IF(VLOOKUP(S$1,main!$A$3:$I$56,5,FALSE)-VLOOKUP($A259,main!$A$3:$I$56,6,FALSE)&gt;=VLOOKUP(59,main!$A$57:$I$61,4,FALSE)+VLOOKUP(VLOOKUP(S$1,main!$A$3:$I$56,7,FALSE),main!$K$10:$Q$14,7,FALSE),1,0)</f>
        <v>0</v>
      </c>
      <c r="T259">
        <f>IF(VLOOKUP(T$1,main!$A$3:$I$56,5,FALSE)-VLOOKUP($A259,main!$A$3:$I$56,6,FALSE)&gt;=VLOOKUP(59,main!$A$57:$I$61,4,FALSE)+VLOOKUP(VLOOKUP(T$1,main!$A$3:$I$56,7,FALSE),main!$K$10:$Q$14,7,FALSE),1,0)</f>
        <v>1</v>
      </c>
      <c r="U259">
        <f>IF(VLOOKUP(U$1,main!$A$3:$I$56,5,FALSE)-VLOOKUP($A259,main!$A$3:$I$56,6,FALSE)&gt;=VLOOKUP(59,main!$A$57:$I$61,4,FALSE)+VLOOKUP(VLOOKUP(U$1,main!$A$3:$I$56,7,FALSE),main!$K$10:$Q$14,7,FALSE),1,0)</f>
        <v>0</v>
      </c>
      <c r="V259">
        <f>IF(VLOOKUP(V$1,main!$A$3:$I$56,5,FALSE)-VLOOKUP($A259,main!$A$3:$I$56,6,FALSE)&gt;=VLOOKUP(59,main!$A$57:$I$61,4,FALSE)+VLOOKUP(VLOOKUP(V$1,main!$A$3:$I$56,7,FALSE),main!$K$10:$Q$14,7,FALSE),1,0)</f>
        <v>0</v>
      </c>
      <c r="W259">
        <f>IF(VLOOKUP(W$1,main!$A$3:$I$56,5,FALSE)-VLOOKUP($A259,main!$A$3:$I$56,6,FALSE)&gt;=VLOOKUP(59,main!$A$57:$I$61,4,FALSE)+VLOOKUP(VLOOKUP(W$1,main!$A$3:$I$56,7,FALSE),main!$K$10:$Q$14,7,FALSE),1,0)</f>
        <v>0</v>
      </c>
      <c r="X259">
        <f>IF(VLOOKUP(X$1,main!$A$3:$I$56,5,FALSE)-VLOOKUP($A259,main!$A$3:$I$56,6,FALSE)&gt;=VLOOKUP(59,main!$A$57:$I$61,4,FALSE)+VLOOKUP(VLOOKUP(X$1,main!$A$3:$I$56,7,FALSE),main!$K$10:$Q$14,7,FALSE),1,0)</f>
        <v>0</v>
      </c>
      <c r="Y259">
        <f>IF(VLOOKUP(Y$1,main!$A$3:$I$56,5,FALSE)-VLOOKUP($A259,main!$A$3:$I$56,6,FALSE)&gt;=VLOOKUP(59,main!$A$57:$I$61,4,FALSE)+VLOOKUP(VLOOKUP(Y$1,main!$A$3:$I$56,7,FALSE),main!$K$10:$Q$14,7,FALSE),1,0)</f>
        <v>0</v>
      </c>
      <c r="Z259">
        <f>IF(VLOOKUP(Z$1,main!$A$3:$I$56,5,FALSE)-VLOOKUP($A259,main!$A$3:$I$56,6,FALSE)&gt;=VLOOKUP(59,main!$A$57:$I$61,4,FALSE)+VLOOKUP(VLOOKUP(Z$1,main!$A$3:$I$56,7,FALSE),main!$K$10:$Q$14,7,FALSE),1,0)</f>
        <v>0</v>
      </c>
      <c r="AA259">
        <f>IF(VLOOKUP(AA$1,main!$A$3:$I$56,5,FALSE)-VLOOKUP($A259,main!$A$3:$I$56,6,FALSE)&gt;=VLOOKUP(59,main!$A$57:$I$61,4,FALSE)+VLOOKUP(VLOOKUP(AA$1,main!$A$3:$I$56,7,FALSE),main!$K$10:$Q$14,7,FALSE),1,0)</f>
        <v>1</v>
      </c>
      <c r="AB259">
        <f>IF(VLOOKUP(AB$1,main!$A$3:$I$56,5,FALSE)-VLOOKUP($A259,main!$A$3:$I$56,6,FALSE)&gt;=VLOOKUP(59,main!$A$57:$I$61,4,FALSE)+VLOOKUP(VLOOKUP(AB$1,main!$A$3:$I$56,7,FALSE),main!$K$10:$Q$14,7,FALSE),1,0)</f>
        <v>1</v>
      </c>
      <c r="AC259">
        <f>IF(VLOOKUP(AC$1,main!$A$3:$I$56,5,FALSE)-VLOOKUP($A259,main!$A$3:$I$56,6,FALSE)&gt;=VLOOKUP(59,main!$A$57:$I$61,4,FALSE)+VLOOKUP(VLOOKUP(AC$1,main!$A$3:$I$56,7,FALSE),main!$K$10:$Q$14,7,FALSE),1,0)</f>
        <v>0</v>
      </c>
      <c r="AD259">
        <f>IF(VLOOKUP(AD$1,main!$A$3:$I$56,5,FALSE)-VLOOKUP($A259,main!$A$3:$I$56,6,FALSE)&gt;=VLOOKUP(59,main!$A$57:$I$61,4,FALSE)+VLOOKUP(VLOOKUP(AD$1,main!$A$3:$I$56,7,FALSE),main!$K$10:$Q$14,7,FALSE),1,0)</f>
        <v>0</v>
      </c>
      <c r="AE259">
        <f>IF(VLOOKUP(AE$1,main!$A$3:$I$56,5,FALSE)-VLOOKUP($A259,main!$A$3:$I$56,6,FALSE)&gt;=VLOOKUP(59,main!$A$57:$I$61,4,FALSE)+VLOOKUP(VLOOKUP(AE$1,main!$A$3:$I$56,7,FALSE),main!$K$10:$Q$14,7,FALSE),1,0)</f>
        <v>0</v>
      </c>
      <c r="AF259">
        <f>IF(VLOOKUP(AF$1,main!$A$3:$I$56,5,FALSE)-VLOOKUP($A259,main!$A$3:$I$56,6,FALSE)&gt;=VLOOKUP(59,main!$A$57:$I$61,4,FALSE)+VLOOKUP(VLOOKUP(AF$1,main!$A$3:$I$56,7,FALSE),main!$K$10:$Q$14,7,FALSE),1,0)</f>
        <v>0</v>
      </c>
      <c r="AG259">
        <f>IF(VLOOKUP(AG$1,main!$A$3:$I$56,5,FALSE)-VLOOKUP($A259,main!$A$3:$I$56,6,FALSE)&gt;=VLOOKUP(59,main!$A$57:$I$61,4,FALSE)+VLOOKUP(VLOOKUP(AG$1,main!$A$3:$I$56,7,FALSE),main!$K$10:$Q$14,7,FALSE),1,0)</f>
        <v>0</v>
      </c>
      <c r="AH259">
        <f>IF(VLOOKUP(AH$1,main!$A$3:$I$56,5,FALSE)-VLOOKUP($A259,main!$A$3:$I$56,6,FALSE)&gt;=VLOOKUP(59,main!$A$57:$I$61,4,FALSE)+VLOOKUP(VLOOKUP(AH$1,main!$A$3:$I$56,7,FALSE),main!$K$10:$Q$14,7,FALSE),1,0)</f>
        <v>0</v>
      </c>
      <c r="AI259">
        <f>IF(VLOOKUP(AI$1,main!$A$3:$I$56,5,FALSE)-VLOOKUP($A259,main!$A$3:$I$56,6,FALSE)&gt;=VLOOKUP(59,main!$A$57:$I$61,4,FALSE)+VLOOKUP(VLOOKUP(AI$1,main!$A$3:$I$56,7,FALSE),main!$K$10:$Q$14,7,FALSE),1,0)</f>
        <v>0</v>
      </c>
      <c r="AJ259">
        <f>IF(VLOOKUP(AJ$1,main!$A$3:$I$56,5,FALSE)-VLOOKUP($A259,main!$A$3:$I$56,6,FALSE)&gt;=VLOOKUP(59,main!$A$57:$I$61,4,FALSE)+VLOOKUP(VLOOKUP(AJ$1,main!$A$3:$I$56,7,FALSE),main!$K$10:$Q$14,7,FALSE),1,0)</f>
        <v>0</v>
      </c>
      <c r="AK259">
        <f>IF(VLOOKUP(AK$1,main!$A$3:$I$56,5,FALSE)-VLOOKUP($A259,main!$A$3:$I$56,6,FALSE)&gt;=VLOOKUP(59,main!$A$57:$I$61,4,FALSE)+VLOOKUP(VLOOKUP(AK$1,main!$A$3:$I$56,7,FALSE),main!$K$10:$Q$14,7,FALSE),1,0)</f>
        <v>0</v>
      </c>
      <c r="AL259">
        <f>IF(VLOOKUP(AL$1,main!$A$3:$I$56,5,FALSE)-VLOOKUP($A259,main!$A$3:$I$56,6,FALSE)&gt;=VLOOKUP(59,main!$A$57:$I$61,4,FALSE)+VLOOKUP(VLOOKUP(AL$1,main!$A$3:$I$56,7,FALSE),main!$K$10:$Q$14,7,FALSE),1,0)</f>
        <v>0</v>
      </c>
      <c r="AM259">
        <f>IF(VLOOKUP(AM$1,main!$A$3:$I$56,5,FALSE)-VLOOKUP($A259,main!$A$3:$I$56,6,FALSE)&gt;=VLOOKUP(59,main!$A$57:$I$61,4,FALSE)+VLOOKUP(VLOOKUP(AM$1,main!$A$3:$I$56,7,FALSE),main!$K$10:$Q$14,7,FALSE),1,0)</f>
        <v>0</v>
      </c>
      <c r="AN259">
        <f>IF(VLOOKUP(AN$1,main!$A$3:$I$56,5,FALSE)-VLOOKUP($A259,main!$A$3:$I$56,6,FALSE)&gt;=VLOOKUP(59,main!$A$57:$I$61,4,FALSE)+VLOOKUP(VLOOKUP(AN$1,main!$A$3:$I$56,7,FALSE),main!$K$10:$Q$14,7,FALSE),1,0)</f>
        <v>0</v>
      </c>
      <c r="AO259">
        <f>IF(VLOOKUP(AO$1,main!$A$3:$I$56,5,FALSE)-VLOOKUP($A259,main!$A$3:$I$56,6,FALSE)&gt;=VLOOKUP(59,main!$A$57:$I$61,4,FALSE)+VLOOKUP(VLOOKUP(AO$1,main!$A$3:$I$56,7,FALSE),main!$K$10:$Q$14,7,FALSE),1,0)</f>
        <v>0</v>
      </c>
      <c r="AP259">
        <f>IF(VLOOKUP(AP$1,main!$A$3:$I$56,5,FALSE)-VLOOKUP($A259,main!$A$3:$I$56,6,FALSE)&gt;=VLOOKUP(59,main!$A$57:$I$61,4,FALSE)+VLOOKUP(VLOOKUP(AP$1,main!$A$3:$I$56,7,FALSE),main!$K$10:$Q$14,7,FALSE),1,0)</f>
        <v>0</v>
      </c>
      <c r="AQ259">
        <f>IF(VLOOKUP(AQ$1,main!$A$3:$I$56,5,FALSE)-VLOOKUP($A259,main!$A$3:$I$56,6,FALSE)&gt;=VLOOKUP(59,main!$A$57:$I$61,4,FALSE)+VLOOKUP(VLOOKUP(AQ$1,main!$A$3:$I$56,7,FALSE),main!$K$10:$Q$14,7,FALSE),1,0)</f>
        <v>0</v>
      </c>
      <c r="AR259">
        <f>IF(VLOOKUP(AR$1,main!$A$3:$I$56,5,FALSE)-VLOOKUP($A259,main!$A$3:$I$56,6,FALSE)&gt;=VLOOKUP(59,main!$A$57:$I$61,4,FALSE)+VLOOKUP(VLOOKUP(AR$1,main!$A$3:$I$56,7,FALSE),main!$K$10:$Q$14,7,FALSE),1,0)</f>
        <v>0</v>
      </c>
      <c r="AS259">
        <f>IF(VLOOKUP(AS$1,main!$A$3:$I$56,5,FALSE)-VLOOKUP($A259,main!$A$3:$I$56,6,FALSE)&gt;=VLOOKUP(59,main!$A$57:$I$61,4,FALSE)+VLOOKUP(VLOOKUP(AS$1,main!$A$3:$I$56,7,FALSE),main!$K$10:$Q$14,7,FALSE),1,0)</f>
        <v>0</v>
      </c>
      <c r="AT259">
        <f>IF(VLOOKUP(AT$1,main!$A$3:$I$56,5,FALSE)-VLOOKUP($A259,main!$A$3:$I$56,6,FALSE)&gt;=VLOOKUP(59,main!$A$57:$I$61,4,FALSE)+VLOOKUP(VLOOKUP(AT$1,main!$A$3:$I$56,7,FALSE),main!$K$10:$Q$14,7,FALSE),1,0)</f>
        <v>0</v>
      </c>
      <c r="AU259">
        <f>IF(VLOOKUP(AU$1,main!$A$3:$I$56,5,FALSE)-VLOOKUP($A259,main!$A$3:$I$56,6,FALSE)&gt;=VLOOKUP(59,main!$A$57:$I$61,4,FALSE)+VLOOKUP(VLOOKUP(AU$1,main!$A$3:$I$56,7,FALSE),main!$K$10:$Q$14,7,FALSE),1,0)</f>
        <v>0</v>
      </c>
      <c r="AV259">
        <f>IF(VLOOKUP(AV$1,main!$A$3:$I$56,5,FALSE)-VLOOKUP($A259,main!$A$3:$I$56,6,FALSE)&gt;=VLOOKUP(59,main!$A$57:$I$61,4,FALSE)+VLOOKUP(VLOOKUP(AV$1,main!$A$3:$I$56,7,FALSE),main!$K$10:$Q$14,7,FALSE),1,0)</f>
        <v>0</v>
      </c>
      <c r="AW259">
        <f>IF(VLOOKUP(AW$1,main!$A$3:$I$56,5,FALSE)-VLOOKUP($A259,main!$A$3:$I$56,6,FALSE)&gt;=VLOOKUP(59,main!$A$57:$I$61,4,FALSE)+VLOOKUP(VLOOKUP(AW$1,main!$A$3:$I$56,7,FALSE),main!$K$10:$Q$14,7,FALSE),1,0)</f>
        <v>0</v>
      </c>
      <c r="AX259">
        <f>IF(VLOOKUP(AX$1,main!$A$3:$I$56,5,FALSE)-VLOOKUP($A259,main!$A$3:$I$56,6,FALSE)&gt;=VLOOKUP(59,main!$A$57:$I$61,4,FALSE)+VLOOKUP(VLOOKUP(AX$1,main!$A$3:$I$56,7,FALSE),main!$K$10:$Q$14,7,FALSE),1,0)</f>
        <v>1</v>
      </c>
      <c r="AY259">
        <f>IF(VLOOKUP(AY$1,main!$A$3:$I$56,5,FALSE)-VLOOKUP($A259,main!$A$3:$I$56,6,FALSE)&gt;=VLOOKUP(59,main!$A$57:$I$61,4,FALSE)+VLOOKUP(VLOOKUP(AY$1,main!$A$3:$I$56,7,FALSE),main!$K$10:$Q$14,7,FALSE),1,0)</f>
        <v>1</v>
      </c>
      <c r="AZ259">
        <f>IF(VLOOKUP(AZ$1,main!$A$3:$I$56,5,FALSE)-VLOOKUP($A259,main!$A$3:$I$56,6,FALSE)&gt;=VLOOKUP(59,main!$A$57:$I$61,4,FALSE)+VLOOKUP(VLOOKUP(AZ$1,main!$A$3:$I$56,7,FALSE),main!$K$10:$Q$14,7,FALSE),1,0)</f>
        <v>0</v>
      </c>
      <c r="BA259">
        <f>IF(VLOOKUP(BA$1,main!$A$3:$I$56,5,FALSE)-VLOOKUP($A259,main!$A$3:$I$56,6,FALSE)&gt;=VLOOKUP(59,main!$A$57:$I$61,4,FALSE)+VLOOKUP(VLOOKUP(BA$1,main!$A$3:$I$56,7,FALSE),main!$K$10:$Q$14,7,FALSE),1,0)</f>
        <v>0</v>
      </c>
      <c r="BB259">
        <f>IF(VLOOKUP(BB$1,main!$A$3:$I$56,5,FALSE)-VLOOKUP($A259,main!$A$3:$I$56,6,FALSE)&gt;=VLOOKUP(59,main!$A$57:$I$61,4,FALSE)+VLOOKUP(VLOOKUP(BB$1,main!$A$3:$I$56,7,FALSE),main!$K$10:$Q$14,7,FALSE),1,0)</f>
        <v>0</v>
      </c>
      <c r="BC259">
        <f>IF(VLOOKUP(BC$1,main!$A$3:$I$56,5,FALSE)-VLOOKUP($A259,main!$A$3:$I$56,6,FALSE)&gt;=VLOOKUP(59,main!$A$57:$I$61,4,FALSE)+VLOOKUP(VLOOKUP(BC$1,main!$A$3:$I$56,7,FALSE),main!$K$10:$Q$14,7,FALSE),1,0)</f>
        <v>1</v>
      </c>
      <c r="BD259">
        <f>IF(VLOOKUP(BD$1,main!$A$3:$I$56,5,FALSE)-VLOOKUP($A259,main!$A$3:$I$56,6,FALSE)&gt;=VLOOKUP(59,main!$A$57:$I$61,4,FALSE)+VLOOKUP(VLOOKUP(BD$1,main!$A$3:$I$56,7,FALSE),main!$K$10:$Q$14,7,FALSE),1,0)</f>
        <v>1</v>
      </c>
    </row>
    <row r="260" spans="1:56" x14ac:dyDescent="0.25">
      <c r="A260">
        <f t="shared" si="4"/>
        <v>38</v>
      </c>
      <c r="B260">
        <v>0</v>
      </c>
      <c r="C260">
        <f>IF(VLOOKUP(C$1,main!$A$3:$I$56,5,FALSE)-VLOOKUP($A260,main!$A$3:$I$56,6,FALSE)&gt;=VLOOKUP(59,main!$A$57:$I$61,4,FALSE)+VLOOKUP(VLOOKUP(C$1,main!$A$3:$I$56,7,FALSE),main!$K$10:$Q$14,7,FALSE),1,0)</f>
        <v>0</v>
      </c>
      <c r="D260">
        <f>IF(VLOOKUP(D$1,main!$A$3:$I$56,5,FALSE)-VLOOKUP($A260,main!$A$3:$I$56,6,FALSE)&gt;=VLOOKUP(59,main!$A$57:$I$61,4,FALSE)+VLOOKUP(VLOOKUP(D$1,main!$A$3:$I$56,7,FALSE),main!$K$10:$Q$14,7,FALSE),1,0)</f>
        <v>0</v>
      </c>
      <c r="E260">
        <f>IF(VLOOKUP(E$1,main!$A$3:$I$56,5,FALSE)-VLOOKUP($A260,main!$A$3:$I$56,6,FALSE)&gt;=VLOOKUP(59,main!$A$57:$I$61,4,FALSE)+VLOOKUP(VLOOKUP(E$1,main!$A$3:$I$56,7,FALSE),main!$K$10:$Q$14,7,FALSE),1,0)</f>
        <v>0</v>
      </c>
      <c r="F260">
        <f>IF(VLOOKUP(F$1,main!$A$3:$I$56,5,FALSE)-VLOOKUP($A260,main!$A$3:$I$56,6,FALSE)&gt;=VLOOKUP(59,main!$A$57:$I$61,4,FALSE)+VLOOKUP(VLOOKUP(F$1,main!$A$3:$I$56,7,FALSE),main!$K$10:$Q$14,7,FALSE),1,0)</f>
        <v>0</v>
      </c>
      <c r="G260">
        <f>IF(VLOOKUP(G$1,main!$A$3:$I$56,5,FALSE)-VLOOKUP($A260,main!$A$3:$I$56,6,FALSE)&gt;=VLOOKUP(59,main!$A$57:$I$61,4,FALSE)+VLOOKUP(VLOOKUP(G$1,main!$A$3:$I$56,7,FALSE),main!$K$10:$Q$14,7,FALSE),1,0)</f>
        <v>0</v>
      </c>
      <c r="H260">
        <f>IF(VLOOKUP(H$1,main!$A$3:$I$56,5,FALSE)-VLOOKUP($A260,main!$A$3:$I$56,6,FALSE)&gt;=VLOOKUP(59,main!$A$57:$I$61,4,FALSE)+VLOOKUP(VLOOKUP(H$1,main!$A$3:$I$56,7,FALSE),main!$K$10:$Q$14,7,FALSE),1,0)</f>
        <v>0</v>
      </c>
      <c r="I260">
        <f>IF(VLOOKUP(I$1,main!$A$3:$I$56,5,FALSE)-VLOOKUP($A260,main!$A$3:$I$56,6,FALSE)&gt;=VLOOKUP(59,main!$A$57:$I$61,4,FALSE)+VLOOKUP(VLOOKUP(I$1,main!$A$3:$I$56,7,FALSE),main!$K$10:$Q$14,7,FALSE),1,0)</f>
        <v>0</v>
      </c>
      <c r="J260">
        <f>IF(VLOOKUP(J$1,main!$A$3:$I$56,5,FALSE)-VLOOKUP($A260,main!$A$3:$I$56,6,FALSE)&gt;=VLOOKUP(59,main!$A$57:$I$61,4,FALSE)+VLOOKUP(VLOOKUP(J$1,main!$A$3:$I$56,7,FALSE),main!$K$10:$Q$14,7,FALSE),1,0)</f>
        <v>0</v>
      </c>
      <c r="K260">
        <f>IF(VLOOKUP(K$1,main!$A$3:$I$56,5,FALSE)-VLOOKUP($A260,main!$A$3:$I$56,6,FALSE)&gt;=VLOOKUP(59,main!$A$57:$I$61,4,FALSE)+VLOOKUP(VLOOKUP(K$1,main!$A$3:$I$56,7,FALSE),main!$K$10:$Q$14,7,FALSE),1,0)</f>
        <v>0</v>
      </c>
      <c r="L260">
        <f>IF(VLOOKUP(L$1,main!$A$3:$I$56,5,FALSE)-VLOOKUP($A260,main!$A$3:$I$56,6,FALSE)&gt;=VLOOKUP(59,main!$A$57:$I$61,4,FALSE)+VLOOKUP(VLOOKUP(L$1,main!$A$3:$I$56,7,FALSE),main!$K$10:$Q$14,7,FALSE),1,0)</f>
        <v>0</v>
      </c>
      <c r="M260">
        <f>IF(VLOOKUP(M$1,main!$A$3:$I$56,5,FALSE)-VLOOKUP($A260,main!$A$3:$I$56,6,FALSE)&gt;=VLOOKUP(59,main!$A$57:$I$61,4,FALSE)+VLOOKUP(VLOOKUP(M$1,main!$A$3:$I$56,7,FALSE),main!$K$10:$Q$14,7,FALSE),1,0)</f>
        <v>0</v>
      </c>
      <c r="N260">
        <f>IF(VLOOKUP(N$1,main!$A$3:$I$56,5,FALSE)-VLOOKUP($A260,main!$A$3:$I$56,6,FALSE)&gt;=VLOOKUP(59,main!$A$57:$I$61,4,FALSE)+VLOOKUP(VLOOKUP(N$1,main!$A$3:$I$56,7,FALSE),main!$K$10:$Q$14,7,FALSE),1,0)</f>
        <v>0</v>
      </c>
      <c r="O260">
        <f>IF(VLOOKUP(O$1,main!$A$3:$I$56,5,FALSE)-VLOOKUP($A260,main!$A$3:$I$56,6,FALSE)&gt;=VLOOKUP(59,main!$A$57:$I$61,4,FALSE)+VLOOKUP(VLOOKUP(O$1,main!$A$3:$I$56,7,FALSE),main!$K$10:$Q$14,7,FALSE),1,0)</f>
        <v>0</v>
      </c>
      <c r="P260">
        <f>IF(VLOOKUP(P$1,main!$A$3:$I$56,5,FALSE)-VLOOKUP($A260,main!$A$3:$I$56,6,FALSE)&gt;=VLOOKUP(59,main!$A$57:$I$61,4,FALSE)+VLOOKUP(VLOOKUP(P$1,main!$A$3:$I$56,7,FALSE),main!$K$10:$Q$14,7,FALSE),1,0)</f>
        <v>0</v>
      </c>
      <c r="Q260">
        <f>IF(VLOOKUP(Q$1,main!$A$3:$I$56,5,FALSE)-VLOOKUP($A260,main!$A$3:$I$56,6,FALSE)&gt;=VLOOKUP(59,main!$A$57:$I$61,4,FALSE)+VLOOKUP(VLOOKUP(Q$1,main!$A$3:$I$56,7,FALSE),main!$K$10:$Q$14,7,FALSE),1,0)</f>
        <v>0</v>
      </c>
      <c r="R260">
        <f>IF(VLOOKUP(R$1,main!$A$3:$I$56,5,FALSE)-VLOOKUP($A260,main!$A$3:$I$56,6,FALSE)&gt;=VLOOKUP(59,main!$A$57:$I$61,4,FALSE)+VLOOKUP(VLOOKUP(R$1,main!$A$3:$I$56,7,FALSE),main!$K$10:$Q$14,7,FALSE),1,0)</f>
        <v>0</v>
      </c>
      <c r="S260">
        <f>IF(VLOOKUP(S$1,main!$A$3:$I$56,5,FALSE)-VLOOKUP($A260,main!$A$3:$I$56,6,FALSE)&gt;=VLOOKUP(59,main!$A$57:$I$61,4,FALSE)+VLOOKUP(VLOOKUP(S$1,main!$A$3:$I$56,7,FALSE),main!$K$10:$Q$14,7,FALSE),1,0)</f>
        <v>0</v>
      </c>
      <c r="T260">
        <f>IF(VLOOKUP(T$1,main!$A$3:$I$56,5,FALSE)-VLOOKUP($A260,main!$A$3:$I$56,6,FALSE)&gt;=VLOOKUP(59,main!$A$57:$I$61,4,FALSE)+VLOOKUP(VLOOKUP(T$1,main!$A$3:$I$56,7,FALSE),main!$K$10:$Q$14,7,FALSE),1,0)</f>
        <v>0</v>
      </c>
      <c r="U260">
        <f>IF(VLOOKUP(U$1,main!$A$3:$I$56,5,FALSE)-VLOOKUP($A260,main!$A$3:$I$56,6,FALSE)&gt;=VLOOKUP(59,main!$A$57:$I$61,4,FALSE)+VLOOKUP(VLOOKUP(U$1,main!$A$3:$I$56,7,FALSE),main!$K$10:$Q$14,7,FALSE),1,0)</f>
        <v>0</v>
      </c>
      <c r="V260">
        <f>IF(VLOOKUP(V$1,main!$A$3:$I$56,5,FALSE)-VLOOKUP($A260,main!$A$3:$I$56,6,FALSE)&gt;=VLOOKUP(59,main!$A$57:$I$61,4,FALSE)+VLOOKUP(VLOOKUP(V$1,main!$A$3:$I$56,7,FALSE),main!$K$10:$Q$14,7,FALSE),1,0)</f>
        <v>0</v>
      </c>
      <c r="W260">
        <f>IF(VLOOKUP(W$1,main!$A$3:$I$56,5,FALSE)-VLOOKUP($A260,main!$A$3:$I$56,6,FALSE)&gt;=VLOOKUP(59,main!$A$57:$I$61,4,FALSE)+VLOOKUP(VLOOKUP(W$1,main!$A$3:$I$56,7,FALSE),main!$K$10:$Q$14,7,FALSE),1,0)</f>
        <v>0</v>
      </c>
      <c r="X260">
        <f>IF(VLOOKUP(X$1,main!$A$3:$I$56,5,FALSE)-VLOOKUP($A260,main!$A$3:$I$56,6,FALSE)&gt;=VLOOKUP(59,main!$A$57:$I$61,4,FALSE)+VLOOKUP(VLOOKUP(X$1,main!$A$3:$I$56,7,FALSE),main!$K$10:$Q$14,7,FALSE),1,0)</f>
        <v>0</v>
      </c>
      <c r="Y260">
        <f>IF(VLOOKUP(Y$1,main!$A$3:$I$56,5,FALSE)-VLOOKUP($A260,main!$A$3:$I$56,6,FALSE)&gt;=VLOOKUP(59,main!$A$57:$I$61,4,FALSE)+VLOOKUP(VLOOKUP(Y$1,main!$A$3:$I$56,7,FALSE),main!$K$10:$Q$14,7,FALSE),1,0)</f>
        <v>0</v>
      </c>
      <c r="Z260">
        <f>IF(VLOOKUP(Z$1,main!$A$3:$I$56,5,FALSE)-VLOOKUP($A260,main!$A$3:$I$56,6,FALSE)&gt;=VLOOKUP(59,main!$A$57:$I$61,4,FALSE)+VLOOKUP(VLOOKUP(Z$1,main!$A$3:$I$56,7,FALSE),main!$K$10:$Q$14,7,FALSE),1,0)</f>
        <v>0</v>
      </c>
      <c r="AA260">
        <f>IF(VLOOKUP(AA$1,main!$A$3:$I$56,5,FALSE)-VLOOKUP($A260,main!$A$3:$I$56,6,FALSE)&gt;=VLOOKUP(59,main!$A$57:$I$61,4,FALSE)+VLOOKUP(VLOOKUP(AA$1,main!$A$3:$I$56,7,FALSE),main!$K$10:$Q$14,7,FALSE),1,0)</f>
        <v>0</v>
      </c>
      <c r="AB260">
        <f>IF(VLOOKUP(AB$1,main!$A$3:$I$56,5,FALSE)-VLOOKUP($A260,main!$A$3:$I$56,6,FALSE)&gt;=VLOOKUP(59,main!$A$57:$I$61,4,FALSE)+VLOOKUP(VLOOKUP(AB$1,main!$A$3:$I$56,7,FALSE),main!$K$10:$Q$14,7,FALSE),1,0)</f>
        <v>0</v>
      </c>
      <c r="AC260">
        <f>IF(VLOOKUP(AC$1,main!$A$3:$I$56,5,FALSE)-VLOOKUP($A260,main!$A$3:$I$56,6,FALSE)&gt;=VLOOKUP(59,main!$A$57:$I$61,4,FALSE)+VLOOKUP(VLOOKUP(AC$1,main!$A$3:$I$56,7,FALSE),main!$K$10:$Q$14,7,FALSE),1,0)</f>
        <v>0</v>
      </c>
      <c r="AD260">
        <f>IF(VLOOKUP(AD$1,main!$A$3:$I$56,5,FALSE)-VLOOKUP($A260,main!$A$3:$I$56,6,FALSE)&gt;=VLOOKUP(59,main!$A$57:$I$61,4,FALSE)+VLOOKUP(VLOOKUP(AD$1,main!$A$3:$I$56,7,FALSE),main!$K$10:$Q$14,7,FALSE),1,0)</f>
        <v>0</v>
      </c>
      <c r="AE260">
        <f>IF(VLOOKUP(AE$1,main!$A$3:$I$56,5,FALSE)-VLOOKUP($A260,main!$A$3:$I$56,6,FALSE)&gt;=VLOOKUP(59,main!$A$57:$I$61,4,FALSE)+VLOOKUP(VLOOKUP(AE$1,main!$A$3:$I$56,7,FALSE),main!$K$10:$Q$14,7,FALSE),1,0)</f>
        <v>0</v>
      </c>
      <c r="AF260">
        <f>IF(VLOOKUP(AF$1,main!$A$3:$I$56,5,FALSE)-VLOOKUP($A260,main!$A$3:$I$56,6,FALSE)&gt;=VLOOKUP(59,main!$A$57:$I$61,4,FALSE)+VLOOKUP(VLOOKUP(AF$1,main!$A$3:$I$56,7,FALSE),main!$K$10:$Q$14,7,FALSE),1,0)</f>
        <v>0</v>
      </c>
      <c r="AG260">
        <f>IF(VLOOKUP(AG$1,main!$A$3:$I$56,5,FALSE)-VLOOKUP($A260,main!$A$3:$I$56,6,FALSE)&gt;=VLOOKUP(59,main!$A$57:$I$61,4,FALSE)+VLOOKUP(VLOOKUP(AG$1,main!$A$3:$I$56,7,FALSE),main!$K$10:$Q$14,7,FALSE),1,0)</f>
        <v>0</v>
      </c>
      <c r="AH260">
        <f>IF(VLOOKUP(AH$1,main!$A$3:$I$56,5,FALSE)-VLOOKUP($A260,main!$A$3:$I$56,6,FALSE)&gt;=VLOOKUP(59,main!$A$57:$I$61,4,FALSE)+VLOOKUP(VLOOKUP(AH$1,main!$A$3:$I$56,7,FALSE),main!$K$10:$Q$14,7,FALSE),1,0)</f>
        <v>0</v>
      </c>
      <c r="AI260">
        <f>IF(VLOOKUP(AI$1,main!$A$3:$I$56,5,FALSE)-VLOOKUP($A260,main!$A$3:$I$56,6,FALSE)&gt;=VLOOKUP(59,main!$A$57:$I$61,4,FALSE)+VLOOKUP(VLOOKUP(AI$1,main!$A$3:$I$56,7,FALSE),main!$K$10:$Q$14,7,FALSE),1,0)</f>
        <v>0</v>
      </c>
      <c r="AJ260">
        <f>IF(VLOOKUP(AJ$1,main!$A$3:$I$56,5,FALSE)-VLOOKUP($A260,main!$A$3:$I$56,6,FALSE)&gt;=VLOOKUP(59,main!$A$57:$I$61,4,FALSE)+VLOOKUP(VLOOKUP(AJ$1,main!$A$3:$I$56,7,FALSE),main!$K$10:$Q$14,7,FALSE),1,0)</f>
        <v>0</v>
      </c>
      <c r="AK260">
        <f>IF(VLOOKUP(AK$1,main!$A$3:$I$56,5,FALSE)-VLOOKUP($A260,main!$A$3:$I$56,6,FALSE)&gt;=VLOOKUP(59,main!$A$57:$I$61,4,FALSE)+VLOOKUP(VLOOKUP(AK$1,main!$A$3:$I$56,7,FALSE),main!$K$10:$Q$14,7,FALSE),1,0)</f>
        <v>0</v>
      </c>
      <c r="AL260">
        <f>IF(VLOOKUP(AL$1,main!$A$3:$I$56,5,FALSE)-VLOOKUP($A260,main!$A$3:$I$56,6,FALSE)&gt;=VLOOKUP(59,main!$A$57:$I$61,4,FALSE)+VLOOKUP(VLOOKUP(AL$1,main!$A$3:$I$56,7,FALSE),main!$K$10:$Q$14,7,FALSE),1,0)</f>
        <v>0</v>
      </c>
      <c r="AM260">
        <f>IF(VLOOKUP(AM$1,main!$A$3:$I$56,5,FALSE)-VLOOKUP($A260,main!$A$3:$I$56,6,FALSE)&gt;=VLOOKUP(59,main!$A$57:$I$61,4,FALSE)+VLOOKUP(VLOOKUP(AM$1,main!$A$3:$I$56,7,FALSE),main!$K$10:$Q$14,7,FALSE),1,0)</f>
        <v>0</v>
      </c>
      <c r="AN260">
        <f>IF(VLOOKUP(AN$1,main!$A$3:$I$56,5,FALSE)-VLOOKUP($A260,main!$A$3:$I$56,6,FALSE)&gt;=VLOOKUP(59,main!$A$57:$I$61,4,FALSE)+VLOOKUP(VLOOKUP(AN$1,main!$A$3:$I$56,7,FALSE),main!$K$10:$Q$14,7,FALSE),1,0)</f>
        <v>0</v>
      </c>
      <c r="AO260">
        <f>IF(VLOOKUP(AO$1,main!$A$3:$I$56,5,FALSE)-VLOOKUP($A260,main!$A$3:$I$56,6,FALSE)&gt;=VLOOKUP(59,main!$A$57:$I$61,4,FALSE)+VLOOKUP(VLOOKUP(AO$1,main!$A$3:$I$56,7,FALSE),main!$K$10:$Q$14,7,FALSE),1,0)</f>
        <v>0</v>
      </c>
      <c r="AP260">
        <f>IF(VLOOKUP(AP$1,main!$A$3:$I$56,5,FALSE)-VLOOKUP($A260,main!$A$3:$I$56,6,FALSE)&gt;=VLOOKUP(59,main!$A$57:$I$61,4,FALSE)+VLOOKUP(VLOOKUP(AP$1,main!$A$3:$I$56,7,FALSE),main!$K$10:$Q$14,7,FALSE),1,0)</f>
        <v>0</v>
      </c>
      <c r="AQ260">
        <f>IF(VLOOKUP(AQ$1,main!$A$3:$I$56,5,FALSE)-VLOOKUP($A260,main!$A$3:$I$56,6,FALSE)&gt;=VLOOKUP(59,main!$A$57:$I$61,4,FALSE)+VLOOKUP(VLOOKUP(AQ$1,main!$A$3:$I$56,7,FALSE),main!$K$10:$Q$14,7,FALSE),1,0)</f>
        <v>0</v>
      </c>
      <c r="AR260">
        <f>IF(VLOOKUP(AR$1,main!$A$3:$I$56,5,FALSE)-VLOOKUP($A260,main!$A$3:$I$56,6,FALSE)&gt;=VLOOKUP(59,main!$A$57:$I$61,4,FALSE)+VLOOKUP(VLOOKUP(AR$1,main!$A$3:$I$56,7,FALSE),main!$K$10:$Q$14,7,FALSE),1,0)</f>
        <v>0</v>
      </c>
      <c r="AS260">
        <f>IF(VLOOKUP(AS$1,main!$A$3:$I$56,5,FALSE)-VLOOKUP($A260,main!$A$3:$I$56,6,FALSE)&gt;=VLOOKUP(59,main!$A$57:$I$61,4,FALSE)+VLOOKUP(VLOOKUP(AS$1,main!$A$3:$I$56,7,FALSE),main!$K$10:$Q$14,7,FALSE),1,0)</f>
        <v>0</v>
      </c>
      <c r="AT260">
        <f>IF(VLOOKUP(AT$1,main!$A$3:$I$56,5,FALSE)-VLOOKUP($A260,main!$A$3:$I$56,6,FALSE)&gt;=VLOOKUP(59,main!$A$57:$I$61,4,FALSE)+VLOOKUP(VLOOKUP(AT$1,main!$A$3:$I$56,7,FALSE),main!$K$10:$Q$14,7,FALSE),1,0)</f>
        <v>0</v>
      </c>
      <c r="AU260">
        <f>IF(VLOOKUP(AU$1,main!$A$3:$I$56,5,FALSE)-VLOOKUP($A260,main!$A$3:$I$56,6,FALSE)&gt;=VLOOKUP(59,main!$A$57:$I$61,4,FALSE)+VLOOKUP(VLOOKUP(AU$1,main!$A$3:$I$56,7,FALSE),main!$K$10:$Q$14,7,FALSE),1,0)</f>
        <v>0</v>
      </c>
      <c r="AV260">
        <f>IF(VLOOKUP(AV$1,main!$A$3:$I$56,5,FALSE)-VLOOKUP($A260,main!$A$3:$I$56,6,FALSE)&gt;=VLOOKUP(59,main!$A$57:$I$61,4,FALSE)+VLOOKUP(VLOOKUP(AV$1,main!$A$3:$I$56,7,FALSE),main!$K$10:$Q$14,7,FALSE),1,0)</f>
        <v>0</v>
      </c>
      <c r="AW260">
        <f>IF(VLOOKUP(AW$1,main!$A$3:$I$56,5,FALSE)-VLOOKUP($A260,main!$A$3:$I$56,6,FALSE)&gt;=VLOOKUP(59,main!$A$57:$I$61,4,FALSE)+VLOOKUP(VLOOKUP(AW$1,main!$A$3:$I$56,7,FALSE),main!$K$10:$Q$14,7,FALSE),1,0)</f>
        <v>0</v>
      </c>
      <c r="AX260">
        <f>IF(VLOOKUP(AX$1,main!$A$3:$I$56,5,FALSE)-VLOOKUP($A260,main!$A$3:$I$56,6,FALSE)&gt;=VLOOKUP(59,main!$A$57:$I$61,4,FALSE)+VLOOKUP(VLOOKUP(AX$1,main!$A$3:$I$56,7,FALSE),main!$K$10:$Q$14,7,FALSE),1,0)</f>
        <v>0</v>
      </c>
      <c r="AY260">
        <f>IF(VLOOKUP(AY$1,main!$A$3:$I$56,5,FALSE)-VLOOKUP($A260,main!$A$3:$I$56,6,FALSE)&gt;=VLOOKUP(59,main!$A$57:$I$61,4,FALSE)+VLOOKUP(VLOOKUP(AY$1,main!$A$3:$I$56,7,FALSE),main!$K$10:$Q$14,7,FALSE),1,0)</f>
        <v>1</v>
      </c>
      <c r="AZ260">
        <f>IF(VLOOKUP(AZ$1,main!$A$3:$I$56,5,FALSE)-VLOOKUP($A260,main!$A$3:$I$56,6,FALSE)&gt;=VLOOKUP(59,main!$A$57:$I$61,4,FALSE)+VLOOKUP(VLOOKUP(AZ$1,main!$A$3:$I$56,7,FALSE),main!$K$10:$Q$14,7,FALSE),1,0)</f>
        <v>0</v>
      </c>
      <c r="BA260">
        <f>IF(VLOOKUP(BA$1,main!$A$3:$I$56,5,FALSE)-VLOOKUP($A260,main!$A$3:$I$56,6,FALSE)&gt;=VLOOKUP(59,main!$A$57:$I$61,4,FALSE)+VLOOKUP(VLOOKUP(BA$1,main!$A$3:$I$56,7,FALSE),main!$K$10:$Q$14,7,FALSE),1,0)</f>
        <v>0</v>
      </c>
      <c r="BB260">
        <f>IF(VLOOKUP(BB$1,main!$A$3:$I$56,5,FALSE)-VLOOKUP($A260,main!$A$3:$I$56,6,FALSE)&gt;=VLOOKUP(59,main!$A$57:$I$61,4,FALSE)+VLOOKUP(VLOOKUP(BB$1,main!$A$3:$I$56,7,FALSE),main!$K$10:$Q$14,7,FALSE),1,0)</f>
        <v>0</v>
      </c>
      <c r="BC260">
        <f>IF(VLOOKUP(BC$1,main!$A$3:$I$56,5,FALSE)-VLOOKUP($A260,main!$A$3:$I$56,6,FALSE)&gt;=VLOOKUP(59,main!$A$57:$I$61,4,FALSE)+VLOOKUP(VLOOKUP(BC$1,main!$A$3:$I$56,7,FALSE),main!$K$10:$Q$14,7,FALSE),1,0)</f>
        <v>0</v>
      </c>
      <c r="BD260">
        <f>IF(VLOOKUP(BD$1,main!$A$3:$I$56,5,FALSE)-VLOOKUP($A260,main!$A$3:$I$56,6,FALSE)&gt;=VLOOKUP(59,main!$A$57:$I$61,4,FALSE)+VLOOKUP(VLOOKUP(BD$1,main!$A$3:$I$56,7,FALSE),main!$K$10:$Q$14,7,FALSE),1,0)</f>
        <v>0</v>
      </c>
    </row>
    <row r="261" spans="1:56" x14ac:dyDescent="0.25">
      <c r="A261">
        <f t="shared" si="4"/>
        <v>39</v>
      </c>
      <c r="B261">
        <v>0</v>
      </c>
      <c r="C261">
        <f>IF(VLOOKUP(C$1,main!$A$3:$I$56,5,FALSE)-VLOOKUP($A261,main!$A$3:$I$56,6,FALSE)&gt;=VLOOKUP(59,main!$A$57:$I$61,4,FALSE)+VLOOKUP(VLOOKUP(C$1,main!$A$3:$I$56,7,FALSE),main!$K$10:$Q$14,7,FALSE),1,0)</f>
        <v>0</v>
      </c>
      <c r="D261">
        <f>IF(VLOOKUP(D$1,main!$A$3:$I$56,5,FALSE)-VLOOKUP($A261,main!$A$3:$I$56,6,FALSE)&gt;=VLOOKUP(59,main!$A$57:$I$61,4,FALSE)+VLOOKUP(VLOOKUP(D$1,main!$A$3:$I$56,7,FALSE),main!$K$10:$Q$14,7,FALSE),1,0)</f>
        <v>0</v>
      </c>
      <c r="E261">
        <f>IF(VLOOKUP(E$1,main!$A$3:$I$56,5,FALSE)-VLOOKUP($A261,main!$A$3:$I$56,6,FALSE)&gt;=VLOOKUP(59,main!$A$57:$I$61,4,FALSE)+VLOOKUP(VLOOKUP(E$1,main!$A$3:$I$56,7,FALSE),main!$K$10:$Q$14,7,FALSE),1,0)</f>
        <v>0</v>
      </c>
      <c r="F261">
        <f>IF(VLOOKUP(F$1,main!$A$3:$I$56,5,FALSE)-VLOOKUP($A261,main!$A$3:$I$56,6,FALSE)&gt;=VLOOKUP(59,main!$A$57:$I$61,4,FALSE)+VLOOKUP(VLOOKUP(F$1,main!$A$3:$I$56,7,FALSE),main!$K$10:$Q$14,7,FALSE),1,0)</f>
        <v>0</v>
      </c>
      <c r="G261">
        <f>IF(VLOOKUP(G$1,main!$A$3:$I$56,5,FALSE)-VLOOKUP($A261,main!$A$3:$I$56,6,FALSE)&gt;=VLOOKUP(59,main!$A$57:$I$61,4,FALSE)+VLOOKUP(VLOOKUP(G$1,main!$A$3:$I$56,7,FALSE),main!$K$10:$Q$14,7,FALSE),1,0)</f>
        <v>0</v>
      </c>
      <c r="H261">
        <f>IF(VLOOKUP(H$1,main!$A$3:$I$56,5,FALSE)-VLOOKUP($A261,main!$A$3:$I$56,6,FALSE)&gt;=VLOOKUP(59,main!$A$57:$I$61,4,FALSE)+VLOOKUP(VLOOKUP(H$1,main!$A$3:$I$56,7,FALSE),main!$K$10:$Q$14,7,FALSE),1,0)</f>
        <v>0</v>
      </c>
      <c r="I261">
        <f>IF(VLOOKUP(I$1,main!$A$3:$I$56,5,FALSE)-VLOOKUP($A261,main!$A$3:$I$56,6,FALSE)&gt;=VLOOKUP(59,main!$A$57:$I$61,4,FALSE)+VLOOKUP(VLOOKUP(I$1,main!$A$3:$I$56,7,FALSE),main!$K$10:$Q$14,7,FALSE),1,0)</f>
        <v>0</v>
      </c>
      <c r="J261">
        <f>IF(VLOOKUP(J$1,main!$A$3:$I$56,5,FALSE)-VLOOKUP($A261,main!$A$3:$I$56,6,FALSE)&gt;=VLOOKUP(59,main!$A$57:$I$61,4,FALSE)+VLOOKUP(VLOOKUP(J$1,main!$A$3:$I$56,7,FALSE),main!$K$10:$Q$14,7,FALSE),1,0)</f>
        <v>0</v>
      </c>
      <c r="K261">
        <f>IF(VLOOKUP(K$1,main!$A$3:$I$56,5,FALSE)-VLOOKUP($A261,main!$A$3:$I$56,6,FALSE)&gt;=VLOOKUP(59,main!$A$57:$I$61,4,FALSE)+VLOOKUP(VLOOKUP(K$1,main!$A$3:$I$56,7,FALSE),main!$K$10:$Q$14,7,FALSE),1,0)</f>
        <v>0</v>
      </c>
      <c r="L261">
        <f>IF(VLOOKUP(L$1,main!$A$3:$I$56,5,FALSE)-VLOOKUP($A261,main!$A$3:$I$56,6,FALSE)&gt;=VLOOKUP(59,main!$A$57:$I$61,4,FALSE)+VLOOKUP(VLOOKUP(L$1,main!$A$3:$I$56,7,FALSE),main!$K$10:$Q$14,7,FALSE),1,0)</f>
        <v>0</v>
      </c>
      <c r="M261">
        <f>IF(VLOOKUP(M$1,main!$A$3:$I$56,5,FALSE)-VLOOKUP($A261,main!$A$3:$I$56,6,FALSE)&gt;=VLOOKUP(59,main!$A$57:$I$61,4,FALSE)+VLOOKUP(VLOOKUP(M$1,main!$A$3:$I$56,7,FALSE),main!$K$10:$Q$14,7,FALSE),1,0)</f>
        <v>0</v>
      </c>
      <c r="N261">
        <f>IF(VLOOKUP(N$1,main!$A$3:$I$56,5,FALSE)-VLOOKUP($A261,main!$A$3:$I$56,6,FALSE)&gt;=VLOOKUP(59,main!$A$57:$I$61,4,FALSE)+VLOOKUP(VLOOKUP(N$1,main!$A$3:$I$56,7,FALSE),main!$K$10:$Q$14,7,FALSE),1,0)</f>
        <v>0</v>
      </c>
      <c r="O261">
        <f>IF(VLOOKUP(O$1,main!$A$3:$I$56,5,FALSE)-VLOOKUP($A261,main!$A$3:$I$56,6,FALSE)&gt;=VLOOKUP(59,main!$A$57:$I$61,4,FALSE)+VLOOKUP(VLOOKUP(O$1,main!$A$3:$I$56,7,FALSE),main!$K$10:$Q$14,7,FALSE),1,0)</f>
        <v>0</v>
      </c>
      <c r="P261">
        <f>IF(VLOOKUP(P$1,main!$A$3:$I$56,5,FALSE)-VLOOKUP($A261,main!$A$3:$I$56,6,FALSE)&gt;=VLOOKUP(59,main!$A$57:$I$61,4,FALSE)+VLOOKUP(VLOOKUP(P$1,main!$A$3:$I$56,7,FALSE),main!$K$10:$Q$14,7,FALSE),1,0)</f>
        <v>0</v>
      </c>
      <c r="Q261">
        <f>IF(VLOOKUP(Q$1,main!$A$3:$I$56,5,FALSE)-VLOOKUP($A261,main!$A$3:$I$56,6,FALSE)&gt;=VLOOKUP(59,main!$A$57:$I$61,4,FALSE)+VLOOKUP(VLOOKUP(Q$1,main!$A$3:$I$56,7,FALSE),main!$K$10:$Q$14,7,FALSE),1,0)</f>
        <v>0</v>
      </c>
      <c r="R261">
        <f>IF(VLOOKUP(R$1,main!$A$3:$I$56,5,FALSE)-VLOOKUP($A261,main!$A$3:$I$56,6,FALSE)&gt;=VLOOKUP(59,main!$A$57:$I$61,4,FALSE)+VLOOKUP(VLOOKUP(R$1,main!$A$3:$I$56,7,FALSE),main!$K$10:$Q$14,7,FALSE),1,0)</f>
        <v>0</v>
      </c>
      <c r="S261">
        <f>IF(VLOOKUP(S$1,main!$A$3:$I$56,5,FALSE)-VLOOKUP($A261,main!$A$3:$I$56,6,FALSE)&gt;=VLOOKUP(59,main!$A$57:$I$61,4,FALSE)+VLOOKUP(VLOOKUP(S$1,main!$A$3:$I$56,7,FALSE),main!$K$10:$Q$14,7,FALSE),1,0)</f>
        <v>0</v>
      </c>
      <c r="T261">
        <f>IF(VLOOKUP(T$1,main!$A$3:$I$56,5,FALSE)-VLOOKUP($A261,main!$A$3:$I$56,6,FALSE)&gt;=VLOOKUP(59,main!$A$57:$I$61,4,FALSE)+VLOOKUP(VLOOKUP(T$1,main!$A$3:$I$56,7,FALSE),main!$K$10:$Q$14,7,FALSE),1,0)</f>
        <v>0</v>
      </c>
      <c r="U261">
        <f>IF(VLOOKUP(U$1,main!$A$3:$I$56,5,FALSE)-VLOOKUP($A261,main!$A$3:$I$56,6,FALSE)&gt;=VLOOKUP(59,main!$A$57:$I$61,4,FALSE)+VLOOKUP(VLOOKUP(U$1,main!$A$3:$I$56,7,FALSE),main!$K$10:$Q$14,7,FALSE),1,0)</f>
        <v>0</v>
      </c>
      <c r="V261">
        <f>IF(VLOOKUP(V$1,main!$A$3:$I$56,5,FALSE)-VLOOKUP($A261,main!$A$3:$I$56,6,FALSE)&gt;=VLOOKUP(59,main!$A$57:$I$61,4,FALSE)+VLOOKUP(VLOOKUP(V$1,main!$A$3:$I$56,7,FALSE),main!$K$10:$Q$14,7,FALSE),1,0)</f>
        <v>0</v>
      </c>
      <c r="W261">
        <f>IF(VLOOKUP(W$1,main!$A$3:$I$56,5,FALSE)-VLOOKUP($A261,main!$A$3:$I$56,6,FALSE)&gt;=VLOOKUP(59,main!$A$57:$I$61,4,FALSE)+VLOOKUP(VLOOKUP(W$1,main!$A$3:$I$56,7,FALSE),main!$K$10:$Q$14,7,FALSE),1,0)</f>
        <v>0</v>
      </c>
      <c r="X261">
        <f>IF(VLOOKUP(X$1,main!$A$3:$I$56,5,FALSE)-VLOOKUP($A261,main!$A$3:$I$56,6,FALSE)&gt;=VLOOKUP(59,main!$A$57:$I$61,4,FALSE)+VLOOKUP(VLOOKUP(X$1,main!$A$3:$I$56,7,FALSE),main!$K$10:$Q$14,7,FALSE),1,0)</f>
        <v>0</v>
      </c>
      <c r="Y261">
        <f>IF(VLOOKUP(Y$1,main!$A$3:$I$56,5,FALSE)-VLOOKUP($A261,main!$A$3:$I$56,6,FALSE)&gt;=VLOOKUP(59,main!$A$57:$I$61,4,FALSE)+VLOOKUP(VLOOKUP(Y$1,main!$A$3:$I$56,7,FALSE),main!$K$10:$Q$14,7,FALSE),1,0)</f>
        <v>0</v>
      </c>
      <c r="Z261">
        <f>IF(VLOOKUP(Z$1,main!$A$3:$I$56,5,FALSE)-VLOOKUP($A261,main!$A$3:$I$56,6,FALSE)&gt;=VLOOKUP(59,main!$A$57:$I$61,4,FALSE)+VLOOKUP(VLOOKUP(Z$1,main!$A$3:$I$56,7,FALSE),main!$K$10:$Q$14,7,FALSE),1,0)</f>
        <v>0</v>
      </c>
      <c r="AA261">
        <f>IF(VLOOKUP(AA$1,main!$A$3:$I$56,5,FALSE)-VLOOKUP($A261,main!$A$3:$I$56,6,FALSE)&gt;=VLOOKUP(59,main!$A$57:$I$61,4,FALSE)+VLOOKUP(VLOOKUP(AA$1,main!$A$3:$I$56,7,FALSE),main!$K$10:$Q$14,7,FALSE),1,0)</f>
        <v>0</v>
      </c>
      <c r="AB261">
        <f>IF(VLOOKUP(AB$1,main!$A$3:$I$56,5,FALSE)-VLOOKUP($A261,main!$A$3:$I$56,6,FALSE)&gt;=VLOOKUP(59,main!$A$57:$I$61,4,FALSE)+VLOOKUP(VLOOKUP(AB$1,main!$A$3:$I$56,7,FALSE),main!$K$10:$Q$14,7,FALSE),1,0)</f>
        <v>0</v>
      </c>
      <c r="AC261">
        <f>IF(VLOOKUP(AC$1,main!$A$3:$I$56,5,FALSE)-VLOOKUP($A261,main!$A$3:$I$56,6,FALSE)&gt;=VLOOKUP(59,main!$A$57:$I$61,4,FALSE)+VLOOKUP(VLOOKUP(AC$1,main!$A$3:$I$56,7,FALSE),main!$K$10:$Q$14,7,FALSE),1,0)</f>
        <v>0</v>
      </c>
      <c r="AD261">
        <f>IF(VLOOKUP(AD$1,main!$A$3:$I$56,5,FALSE)-VLOOKUP($A261,main!$A$3:$I$56,6,FALSE)&gt;=VLOOKUP(59,main!$A$57:$I$61,4,FALSE)+VLOOKUP(VLOOKUP(AD$1,main!$A$3:$I$56,7,FALSE),main!$K$10:$Q$14,7,FALSE),1,0)</f>
        <v>0</v>
      </c>
      <c r="AE261">
        <f>IF(VLOOKUP(AE$1,main!$A$3:$I$56,5,FALSE)-VLOOKUP($A261,main!$A$3:$I$56,6,FALSE)&gt;=VLOOKUP(59,main!$A$57:$I$61,4,FALSE)+VLOOKUP(VLOOKUP(AE$1,main!$A$3:$I$56,7,FALSE),main!$K$10:$Q$14,7,FALSE),1,0)</f>
        <v>0</v>
      </c>
      <c r="AF261">
        <f>IF(VLOOKUP(AF$1,main!$A$3:$I$56,5,FALSE)-VLOOKUP($A261,main!$A$3:$I$56,6,FALSE)&gt;=VLOOKUP(59,main!$A$57:$I$61,4,FALSE)+VLOOKUP(VLOOKUP(AF$1,main!$A$3:$I$56,7,FALSE),main!$K$10:$Q$14,7,FALSE),1,0)</f>
        <v>0</v>
      </c>
      <c r="AG261">
        <f>IF(VLOOKUP(AG$1,main!$A$3:$I$56,5,FALSE)-VLOOKUP($A261,main!$A$3:$I$56,6,FALSE)&gt;=VLOOKUP(59,main!$A$57:$I$61,4,FALSE)+VLOOKUP(VLOOKUP(AG$1,main!$A$3:$I$56,7,FALSE),main!$K$10:$Q$14,7,FALSE),1,0)</f>
        <v>0</v>
      </c>
      <c r="AH261">
        <f>IF(VLOOKUP(AH$1,main!$A$3:$I$56,5,FALSE)-VLOOKUP($A261,main!$A$3:$I$56,6,FALSE)&gt;=VLOOKUP(59,main!$A$57:$I$61,4,FALSE)+VLOOKUP(VLOOKUP(AH$1,main!$A$3:$I$56,7,FALSE),main!$K$10:$Q$14,7,FALSE),1,0)</f>
        <v>0</v>
      </c>
      <c r="AI261">
        <f>IF(VLOOKUP(AI$1,main!$A$3:$I$56,5,FALSE)-VLOOKUP($A261,main!$A$3:$I$56,6,FALSE)&gt;=VLOOKUP(59,main!$A$57:$I$61,4,FALSE)+VLOOKUP(VLOOKUP(AI$1,main!$A$3:$I$56,7,FALSE),main!$K$10:$Q$14,7,FALSE),1,0)</f>
        <v>0</v>
      </c>
      <c r="AJ261">
        <f>IF(VLOOKUP(AJ$1,main!$A$3:$I$56,5,FALSE)-VLOOKUP($A261,main!$A$3:$I$56,6,FALSE)&gt;=VLOOKUP(59,main!$A$57:$I$61,4,FALSE)+VLOOKUP(VLOOKUP(AJ$1,main!$A$3:$I$56,7,FALSE),main!$K$10:$Q$14,7,FALSE),1,0)</f>
        <v>0</v>
      </c>
      <c r="AK261">
        <f>IF(VLOOKUP(AK$1,main!$A$3:$I$56,5,FALSE)-VLOOKUP($A261,main!$A$3:$I$56,6,FALSE)&gt;=VLOOKUP(59,main!$A$57:$I$61,4,FALSE)+VLOOKUP(VLOOKUP(AK$1,main!$A$3:$I$56,7,FALSE),main!$K$10:$Q$14,7,FALSE),1,0)</f>
        <v>0</v>
      </c>
      <c r="AL261">
        <f>IF(VLOOKUP(AL$1,main!$A$3:$I$56,5,FALSE)-VLOOKUP($A261,main!$A$3:$I$56,6,FALSE)&gt;=VLOOKUP(59,main!$A$57:$I$61,4,FALSE)+VLOOKUP(VLOOKUP(AL$1,main!$A$3:$I$56,7,FALSE),main!$K$10:$Q$14,7,FALSE),1,0)</f>
        <v>0</v>
      </c>
      <c r="AM261">
        <f>IF(VLOOKUP(AM$1,main!$A$3:$I$56,5,FALSE)-VLOOKUP($A261,main!$A$3:$I$56,6,FALSE)&gt;=VLOOKUP(59,main!$A$57:$I$61,4,FALSE)+VLOOKUP(VLOOKUP(AM$1,main!$A$3:$I$56,7,FALSE),main!$K$10:$Q$14,7,FALSE),1,0)</f>
        <v>0</v>
      </c>
      <c r="AN261">
        <f>IF(VLOOKUP(AN$1,main!$A$3:$I$56,5,FALSE)-VLOOKUP($A261,main!$A$3:$I$56,6,FALSE)&gt;=VLOOKUP(59,main!$A$57:$I$61,4,FALSE)+VLOOKUP(VLOOKUP(AN$1,main!$A$3:$I$56,7,FALSE),main!$K$10:$Q$14,7,FALSE),1,0)</f>
        <v>0</v>
      </c>
      <c r="AO261">
        <f>IF(VLOOKUP(AO$1,main!$A$3:$I$56,5,FALSE)-VLOOKUP($A261,main!$A$3:$I$56,6,FALSE)&gt;=VLOOKUP(59,main!$A$57:$I$61,4,FALSE)+VLOOKUP(VLOOKUP(AO$1,main!$A$3:$I$56,7,FALSE),main!$K$10:$Q$14,7,FALSE),1,0)</f>
        <v>0</v>
      </c>
      <c r="AP261">
        <f>IF(VLOOKUP(AP$1,main!$A$3:$I$56,5,FALSE)-VLOOKUP($A261,main!$A$3:$I$56,6,FALSE)&gt;=VLOOKUP(59,main!$A$57:$I$61,4,FALSE)+VLOOKUP(VLOOKUP(AP$1,main!$A$3:$I$56,7,FALSE),main!$K$10:$Q$14,7,FALSE),1,0)</f>
        <v>0</v>
      </c>
      <c r="AQ261">
        <f>IF(VLOOKUP(AQ$1,main!$A$3:$I$56,5,FALSE)-VLOOKUP($A261,main!$A$3:$I$56,6,FALSE)&gt;=VLOOKUP(59,main!$A$57:$I$61,4,FALSE)+VLOOKUP(VLOOKUP(AQ$1,main!$A$3:$I$56,7,FALSE),main!$K$10:$Q$14,7,FALSE),1,0)</f>
        <v>0</v>
      </c>
      <c r="AR261">
        <f>IF(VLOOKUP(AR$1,main!$A$3:$I$56,5,FALSE)-VLOOKUP($A261,main!$A$3:$I$56,6,FALSE)&gt;=VLOOKUP(59,main!$A$57:$I$61,4,FALSE)+VLOOKUP(VLOOKUP(AR$1,main!$A$3:$I$56,7,FALSE),main!$K$10:$Q$14,7,FALSE),1,0)</f>
        <v>0</v>
      </c>
      <c r="AS261">
        <f>IF(VLOOKUP(AS$1,main!$A$3:$I$56,5,FALSE)-VLOOKUP($A261,main!$A$3:$I$56,6,FALSE)&gt;=VLOOKUP(59,main!$A$57:$I$61,4,FALSE)+VLOOKUP(VLOOKUP(AS$1,main!$A$3:$I$56,7,FALSE),main!$K$10:$Q$14,7,FALSE),1,0)</f>
        <v>0</v>
      </c>
      <c r="AT261">
        <f>IF(VLOOKUP(AT$1,main!$A$3:$I$56,5,FALSE)-VLOOKUP($A261,main!$A$3:$I$56,6,FALSE)&gt;=VLOOKUP(59,main!$A$57:$I$61,4,FALSE)+VLOOKUP(VLOOKUP(AT$1,main!$A$3:$I$56,7,FALSE),main!$K$10:$Q$14,7,FALSE),1,0)</f>
        <v>0</v>
      </c>
      <c r="AU261">
        <f>IF(VLOOKUP(AU$1,main!$A$3:$I$56,5,FALSE)-VLOOKUP($A261,main!$A$3:$I$56,6,FALSE)&gt;=VLOOKUP(59,main!$A$57:$I$61,4,FALSE)+VLOOKUP(VLOOKUP(AU$1,main!$A$3:$I$56,7,FALSE),main!$K$10:$Q$14,7,FALSE),1,0)</f>
        <v>0</v>
      </c>
      <c r="AV261">
        <f>IF(VLOOKUP(AV$1,main!$A$3:$I$56,5,FALSE)-VLOOKUP($A261,main!$A$3:$I$56,6,FALSE)&gt;=VLOOKUP(59,main!$A$57:$I$61,4,FALSE)+VLOOKUP(VLOOKUP(AV$1,main!$A$3:$I$56,7,FALSE),main!$K$10:$Q$14,7,FALSE),1,0)</f>
        <v>0</v>
      </c>
      <c r="AW261">
        <f>IF(VLOOKUP(AW$1,main!$A$3:$I$56,5,FALSE)-VLOOKUP($A261,main!$A$3:$I$56,6,FALSE)&gt;=VLOOKUP(59,main!$A$57:$I$61,4,FALSE)+VLOOKUP(VLOOKUP(AW$1,main!$A$3:$I$56,7,FALSE),main!$K$10:$Q$14,7,FALSE),1,0)</f>
        <v>0</v>
      </c>
      <c r="AX261">
        <f>IF(VLOOKUP(AX$1,main!$A$3:$I$56,5,FALSE)-VLOOKUP($A261,main!$A$3:$I$56,6,FALSE)&gt;=VLOOKUP(59,main!$A$57:$I$61,4,FALSE)+VLOOKUP(VLOOKUP(AX$1,main!$A$3:$I$56,7,FALSE),main!$K$10:$Q$14,7,FALSE),1,0)</f>
        <v>0</v>
      </c>
      <c r="AY261">
        <f>IF(VLOOKUP(AY$1,main!$A$3:$I$56,5,FALSE)-VLOOKUP($A261,main!$A$3:$I$56,6,FALSE)&gt;=VLOOKUP(59,main!$A$57:$I$61,4,FALSE)+VLOOKUP(VLOOKUP(AY$1,main!$A$3:$I$56,7,FALSE),main!$K$10:$Q$14,7,FALSE),1,0)</f>
        <v>1</v>
      </c>
      <c r="AZ261">
        <f>IF(VLOOKUP(AZ$1,main!$A$3:$I$56,5,FALSE)-VLOOKUP($A261,main!$A$3:$I$56,6,FALSE)&gt;=VLOOKUP(59,main!$A$57:$I$61,4,FALSE)+VLOOKUP(VLOOKUP(AZ$1,main!$A$3:$I$56,7,FALSE),main!$K$10:$Q$14,7,FALSE),1,0)</f>
        <v>0</v>
      </c>
      <c r="BA261">
        <f>IF(VLOOKUP(BA$1,main!$A$3:$I$56,5,FALSE)-VLOOKUP($A261,main!$A$3:$I$56,6,FALSE)&gt;=VLOOKUP(59,main!$A$57:$I$61,4,FALSE)+VLOOKUP(VLOOKUP(BA$1,main!$A$3:$I$56,7,FALSE),main!$K$10:$Q$14,7,FALSE),1,0)</f>
        <v>0</v>
      </c>
      <c r="BB261">
        <f>IF(VLOOKUP(BB$1,main!$A$3:$I$56,5,FALSE)-VLOOKUP($A261,main!$A$3:$I$56,6,FALSE)&gt;=VLOOKUP(59,main!$A$57:$I$61,4,FALSE)+VLOOKUP(VLOOKUP(BB$1,main!$A$3:$I$56,7,FALSE),main!$K$10:$Q$14,7,FALSE),1,0)</f>
        <v>0</v>
      </c>
      <c r="BC261">
        <f>IF(VLOOKUP(BC$1,main!$A$3:$I$56,5,FALSE)-VLOOKUP($A261,main!$A$3:$I$56,6,FALSE)&gt;=VLOOKUP(59,main!$A$57:$I$61,4,FALSE)+VLOOKUP(VLOOKUP(BC$1,main!$A$3:$I$56,7,FALSE),main!$K$10:$Q$14,7,FALSE),1,0)</f>
        <v>0</v>
      </c>
      <c r="BD261">
        <f>IF(VLOOKUP(BD$1,main!$A$3:$I$56,5,FALSE)-VLOOKUP($A261,main!$A$3:$I$56,6,FALSE)&gt;=VLOOKUP(59,main!$A$57:$I$61,4,FALSE)+VLOOKUP(VLOOKUP(BD$1,main!$A$3:$I$56,7,FALSE),main!$K$10:$Q$14,7,FALSE),1,0)</f>
        <v>0</v>
      </c>
    </row>
    <row r="262" spans="1:56" x14ac:dyDescent="0.25">
      <c r="A262">
        <f t="shared" si="4"/>
        <v>40</v>
      </c>
      <c r="B262">
        <v>0</v>
      </c>
      <c r="C262">
        <f>IF(VLOOKUP(C$1,main!$A$3:$I$56,5,FALSE)-VLOOKUP($A262,main!$A$3:$I$56,6,FALSE)&gt;=VLOOKUP(59,main!$A$57:$I$61,4,FALSE)+VLOOKUP(VLOOKUP(C$1,main!$A$3:$I$56,7,FALSE),main!$K$10:$Q$14,7,FALSE),1,0)</f>
        <v>0</v>
      </c>
      <c r="D262">
        <f>IF(VLOOKUP(D$1,main!$A$3:$I$56,5,FALSE)-VLOOKUP($A262,main!$A$3:$I$56,6,FALSE)&gt;=VLOOKUP(59,main!$A$57:$I$61,4,FALSE)+VLOOKUP(VLOOKUP(D$1,main!$A$3:$I$56,7,FALSE),main!$K$10:$Q$14,7,FALSE),1,0)</f>
        <v>0</v>
      </c>
      <c r="E262">
        <f>IF(VLOOKUP(E$1,main!$A$3:$I$56,5,FALSE)-VLOOKUP($A262,main!$A$3:$I$56,6,FALSE)&gt;=VLOOKUP(59,main!$A$57:$I$61,4,FALSE)+VLOOKUP(VLOOKUP(E$1,main!$A$3:$I$56,7,FALSE),main!$K$10:$Q$14,7,FALSE),1,0)</f>
        <v>0</v>
      </c>
      <c r="F262">
        <f>IF(VLOOKUP(F$1,main!$A$3:$I$56,5,FALSE)-VLOOKUP($A262,main!$A$3:$I$56,6,FALSE)&gt;=VLOOKUP(59,main!$A$57:$I$61,4,FALSE)+VLOOKUP(VLOOKUP(F$1,main!$A$3:$I$56,7,FALSE),main!$K$10:$Q$14,7,FALSE),1,0)</f>
        <v>1</v>
      </c>
      <c r="G262">
        <f>IF(VLOOKUP(G$1,main!$A$3:$I$56,5,FALSE)-VLOOKUP($A262,main!$A$3:$I$56,6,FALSE)&gt;=VLOOKUP(59,main!$A$57:$I$61,4,FALSE)+VLOOKUP(VLOOKUP(G$1,main!$A$3:$I$56,7,FALSE),main!$K$10:$Q$14,7,FALSE),1,0)</f>
        <v>1</v>
      </c>
      <c r="H262">
        <f>IF(VLOOKUP(H$1,main!$A$3:$I$56,5,FALSE)-VLOOKUP($A262,main!$A$3:$I$56,6,FALSE)&gt;=VLOOKUP(59,main!$A$57:$I$61,4,FALSE)+VLOOKUP(VLOOKUP(H$1,main!$A$3:$I$56,7,FALSE),main!$K$10:$Q$14,7,FALSE),1,0)</f>
        <v>1</v>
      </c>
      <c r="I262">
        <f>IF(VLOOKUP(I$1,main!$A$3:$I$56,5,FALSE)-VLOOKUP($A262,main!$A$3:$I$56,6,FALSE)&gt;=VLOOKUP(59,main!$A$57:$I$61,4,FALSE)+VLOOKUP(VLOOKUP(I$1,main!$A$3:$I$56,7,FALSE),main!$K$10:$Q$14,7,FALSE),1,0)</f>
        <v>1</v>
      </c>
      <c r="J262">
        <f>IF(VLOOKUP(J$1,main!$A$3:$I$56,5,FALSE)-VLOOKUP($A262,main!$A$3:$I$56,6,FALSE)&gt;=VLOOKUP(59,main!$A$57:$I$61,4,FALSE)+VLOOKUP(VLOOKUP(J$1,main!$A$3:$I$56,7,FALSE),main!$K$10:$Q$14,7,FALSE),1,0)</f>
        <v>1</v>
      </c>
      <c r="K262">
        <f>IF(VLOOKUP(K$1,main!$A$3:$I$56,5,FALSE)-VLOOKUP($A262,main!$A$3:$I$56,6,FALSE)&gt;=VLOOKUP(59,main!$A$57:$I$61,4,FALSE)+VLOOKUP(VLOOKUP(K$1,main!$A$3:$I$56,7,FALSE),main!$K$10:$Q$14,7,FALSE),1,0)</f>
        <v>0</v>
      </c>
      <c r="L262">
        <f>IF(VLOOKUP(L$1,main!$A$3:$I$56,5,FALSE)-VLOOKUP($A262,main!$A$3:$I$56,6,FALSE)&gt;=VLOOKUP(59,main!$A$57:$I$61,4,FALSE)+VLOOKUP(VLOOKUP(L$1,main!$A$3:$I$56,7,FALSE),main!$K$10:$Q$14,7,FALSE),1,0)</f>
        <v>0</v>
      </c>
      <c r="M262">
        <f>IF(VLOOKUP(M$1,main!$A$3:$I$56,5,FALSE)-VLOOKUP($A262,main!$A$3:$I$56,6,FALSE)&gt;=VLOOKUP(59,main!$A$57:$I$61,4,FALSE)+VLOOKUP(VLOOKUP(M$1,main!$A$3:$I$56,7,FALSE),main!$K$10:$Q$14,7,FALSE),1,0)</f>
        <v>0</v>
      </c>
      <c r="N262">
        <f>IF(VLOOKUP(N$1,main!$A$3:$I$56,5,FALSE)-VLOOKUP($A262,main!$A$3:$I$56,6,FALSE)&gt;=VLOOKUP(59,main!$A$57:$I$61,4,FALSE)+VLOOKUP(VLOOKUP(N$1,main!$A$3:$I$56,7,FALSE),main!$K$10:$Q$14,7,FALSE),1,0)</f>
        <v>1</v>
      </c>
      <c r="O262">
        <f>IF(VLOOKUP(O$1,main!$A$3:$I$56,5,FALSE)-VLOOKUP($A262,main!$A$3:$I$56,6,FALSE)&gt;=VLOOKUP(59,main!$A$57:$I$61,4,FALSE)+VLOOKUP(VLOOKUP(O$1,main!$A$3:$I$56,7,FALSE),main!$K$10:$Q$14,7,FALSE),1,0)</f>
        <v>1</v>
      </c>
      <c r="P262">
        <f>IF(VLOOKUP(P$1,main!$A$3:$I$56,5,FALSE)-VLOOKUP($A262,main!$A$3:$I$56,6,FALSE)&gt;=VLOOKUP(59,main!$A$57:$I$61,4,FALSE)+VLOOKUP(VLOOKUP(P$1,main!$A$3:$I$56,7,FALSE),main!$K$10:$Q$14,7,FALSE),1,0)</f>
        <v>0</v>
      </c>
      <c r="Q262">
        <f>IF(VLOOKUP(Q$1,main!$A$3:$I$56,5,FALSE)-VLOOKUP($A262,main!$A$3:$I$56,6,FALSE)&gt;=VLOOKUP(59,main!$A$57:$I$61,4,FALSE)+VLOOKUP(VLOOKUP(Q$1,main!$A$3:$I$56,7,FALSE),main!$K$10:$Q$14,7,FALSE),1,0)</f>
        <v>0</v>
      </c>
      <c r="R262">
        <f>IF(VLOOKUP(R$1,main!$A$3:$I$56,5,FALSE)-VLOOKUP($A262,main!$A$3:$I$56,6,FALSE)&gt;=VLOOKUP(59,main!$A$57:$I$61,4,FALSE)+VLOOKUP(VLOOKUP(R$1,main!$A$3:$I$56,7,FALSE),main!$K$10:$Q$14,7,FALSE),1,0)</f>
        <v>0</v>
      </c>
      <c r="S262">
        <f>IF(VLOOKUP(S$1,main!$A$3:$I$56,5,FALSE)-VLOOKUP($A262,main!$A$3:$I$56,6,FALSE)&gt;=VLOOKUP(59,main!$A$57:$I$61,4,FALSE)+VLOOKUP(VLOOKUP(S$1,main!$A$3:$I$56,7,FALSE),main!$K$10:$Q$14,7,FALSE),1,0)</f>
        <v>1</v>
      </c>
      <c r="T262">
        <f>IF(VLOOKUP(T$1,main!$A$3:$I$56,5,FALSE)-VLOOKUP($A262,main!$A$3:$I$56,6,FALSE)&gt;=VLOOKUP(59,main!$A$57:$I$61,4,FALSE)+VLOOKUP(VLOOKUP(T$1,main!$A$3:$I$56,7,FALSE),main!$K$10:$Q$14,7,FALSE),1,0)</f>
        <v>1</v>
      </c>
      <c r="U262">
        <f>IF(VLOOKUP(U$1,main!$A$3:$I$56,5,FALSE)-VLOOKUP($A262,main!$A$3:$I$56,6,FALSE)&gt;=VLOOKUP(59,main!$A$57:$I$61,4,FALSE)+VLOOKUP(VLOOKUP(U$1,main!$A$3:$I$56,7,FALSE),main!$K$10:$Q$14,7,FALSE),1,0)</f>
        <v>0</v>
      </c>
      <c r="V262">
        <f>IF(VLOOKUP(V$1,main!$A$3:$I$56,5,FALSE)-VLOOKUP($A262,main!$A$3:$I$56,6,FALSE)&gt;=VLOOKUP(59,main!$A$57:$I$61,4,FALSE)+VLOOKUP(VLOOKUP(V$1,main!$A$3:$I$56,7,FALSE),main!$K$10:$Q$14,7,FALSE),1,0)</f>
        <v>0</v>
      </c>
      <c r="W262">
        <f>IF(VLOOKUP(W$1,main!$A$3:$I$56,5,FALSE)-VLOOKUP($A262,main!$A$3:$I$56,6,FALSE)&gt;=VLOOKUP(59,main!$A$57:$I$61,4,FALSE)+VLOOKUP(VLOOKUP(W$1,main!$A$3:$I$56,7,FALSE),main!$K$10:$Q$14,7,FALSE),1,0)</f>
        <v>0</v>
      </c>
      <c r="X262">
        <f>IF(VLOOKUP(X$1,main!$A$3:$I$56,5,FALSE)-VLOOKUP($A262,main!$A$3:$I$56,6,FALSE)&gt;=VLOOKUP(59,main!$A$57:$I$61,4,FALSE)+VLOOKUP(VLOOKUP(X$1,main!$A$3:$I$56,7,FALSE),main!$K$10:$Q$14,7,FALSE),1,0)</f>
        <v>1</v>
      </c>
      <c r="Y262">
        <f>IF(VLOOKUP(Y$1,main!$A$3:$I$56,5,FALSE)-VLOOKUP($A262,main!$A$3:$I$56,6,FALSE)&gt;=VLOOKUP(59,main!$A$57:$I$61,4,FALSE)+VLOOKUP(VLOOKUP(Y$1,main!$A$3:$I$56,7,FALSE),main!$K$10:$Q$14,7,FALSE),1,0)</f>
        <v>1</v>
      </c>
      <c r="Z262">
        <f>IF(VLOOKUP(Z$1,main!$A$3:$I$56,5,FALSE)-VLOOKUP($A262,main!$A$3:$I$56,6,FALSE)&gt;=VLOOKUP(59,main!$A$57:$I$61,4,FALSE)+VLOOKUP(VLOOKUP(Z$1,main!$A$3:$I$56,7,FALSE),main!$K$10:$Q$14,7,FALSE),1,0)</f>
        <v>1</v>
      </c>
      <c r="AA262">
        <f>IF(VLOOKUP(AA$1,main!$A$3:$I$56,5,FALSE)-VLOOKUP($A262,main!$A$3:$I$56,6,FALSE)&gt;=VLOOKUP(59,main!$A$57:$I$61,4,FALSE)+VLOOKUP(VLOOKUP(AA$1,main!$A$3:$I$56,7,FALSE),main!$K$10:$Q$14,7,FALSE),1,0)</f>
        <v>1</v>
      </c>
      <c r="AB262">
        <f>IF(VLOOKUP(AB$1,main!$A$3:$I$56,5,FALSE)-VLOOKUP($A262,main!$A$3:$I$56,6,FALSE)&gt;=VLOOKUP(59,main!$A$57:$I$61,4,FALSE)+VLOOKUP(VLOOKUP(AB$1,main!$A$3:$I$56,7,FALSE),main!$K$10:$Q$14,7,FALSE),1,0)</f>
        <v>1</v>
      </c>
      <c r="AC262">
        <f>IF(VLOOKUP(AC$1,main!$A$3:$I$56,5,FALSE)-VLOOKUP($A262,main!$A$3:$I$56,6,FALSE)&gt;=VLOOKUP(59,main!$A$57:$I$61,4,FALSE)+VLOOKUP(VLOOKUP(AC$1,main!$A$3:$I$56,7,FALSE),main!$K$10:$Q$14,7,FALSE),1,0)</f>
        <v>0</v>
      </c>
      <c r="AD262">
        <f>IF(VLOOKUP(AD$1,main!$A$3:$I$56,5,FALSE)-VLOOKUP($A262,main!$A$3:$I$56,6,FALSE)&gt;=VLOOKUP(59,main!$A$57:$I$61,4,FALSE)+VLOOKUP(VLOOKUP(AD$1,main!$A$3:$I$56,7,FALSE),main!$K$10:$Q$14,7,FALSE),1,0)</f>
        <v>0</v>
      </c>
      <c r="AE262">
        <f>IF(VLOOKUP(AE$1,main!$A$3:$I$56,5,FALSE)-VLOOKUP($A262,main!$A$3:$I$56,6,FALSE)&gt;=VLOOKUP(59,main!$A$57:$I$61,4,FALSE)+VLOOKUP(VLOOKUP(AE$1,main!$A$3:$I$56,7,FALSE),main!$K$10:$Q$14,7,FALSE),1,0)</f>
        <v>1</v>
      </c>
      <c r="AF262">
        <f>IF(VLOOKUP(AF$1,main!$A$3:$I$56,5,FALSE)-VLOOKUP($A262,main!$A$3:$I$56,6,FALSE)&gt;=VLOOKUP(59,main!$A$57:$I$61,4,FALSE)+VLOOKUP(VLOOKUP(AF$1,main!$A$3:$I$56,7,FALSE),main!$K$10:$Q$14,7,FALSE),1,0)</f>
        <v>1</v>
      </c>
      <c r="AG262">
        <f>IF(VLOOKUP(AG$1,main!$A$3:$I$56,5,FALSE)-VLOOKUP($A262,main!$A$3:$I$56,6,FALSE)&gt;=VLOOKUP(59,main!$A$57:$I$61,4,FALSE)+VLOOKUP(VLOOKUP(AG$1,main!$A$3:$I$56,7,FALSE),main!$K$10:$Q$14,7,FALSE),1,0)</f>
        <v>0</v>
      </c>
      <c r="AH262">
        <f>IF(VLOOKUP(AH$1,main!$A$3:$I$56,5,FALSE)-VLOOKUP($A262,main!$A$3:$I$56,6,FALSE)&gt;=VLOOKUP(59,main!$A$57:$I$61,4,FALSE)+VLOOKUP(VLOOKUP(AH$1,main!$A$3:$I$56,7,FALSE),main!$K$10:$Q$14,7,FALSE),1,0)</f>
        <v>0</v>
      </c>
      <c r="AI262">
        <f>IF(VLOOKUP(AI$1,main!$A$3:$I$56,5,FALSE)-VLOOKUP($A262,main!$A$3:$I$56,6,FALSE)&gt;=VLOOKUP(59,main!$A$57:$I$61,4,FALSE)+VLOOKUP(VLOOKUP(AI$1,main!$A$3:$I$56,7,FALSE),main!$K$10:$Q$14,7,FALSE),1,0)</f>
        <v>0</v>
      </c>
      <c r="AJ262">
        <f>IF(VLOOKUP(AJ$1,main!$A$3:$I$56,5,FALSE)-VLOOKUP($A262,main!$A$3:$I$56,6,FALSE)&gt;=VLOOKUP(59,main!$A$57:$I$61,4,FALSE)+VLOOKUP(VLOOKUP(AJ$1,main!$A$3:$I$56,7,FALSE),main!$K$10:$Q$14,7,FALSE),1,0)</f>
        <v>1</v>
      </c>
      <c r="AK262">
        <f>IF(VLOOKUP(AK$1,main!$A$3:$I$56,5,FALSE)-VLOOKUP($A262,main!$A$3:$I$56,6,FALSE)&gt;=VLOOKUP(59,main!$A$57:$I$61,4,FALSE)+VLOOKUP(VLOOKUP(AK$1,main!$A$3:$I$56,7,FALSE),main!$K$10:$Q$14,7,FALSE),1,0)</f>
        <v>1</v>
      </c>
      <c r="AL262">
        <f>IF(VLOOKUP(AL$1,main!$A$3:$I$56,5,FALSE)-VLOOKUP($A262,main!$A$3:$I$56,6,FALSE)&gt;=VLOOKUP(59,main!$A$57:$I$61,4,FALSE)+VLOOKUP(VLOOKUP(AL$1,main!$A$3:$I$56,7,FALSE),main!$K$10:$Q$14,7,FALSE),1,0)</f>
        <v>0</v>
      </c>
      <c r="AM262">
        <f>IF(VLOOKUP(AM$1,main!$A$3:$I$56,5,FALSE)-VLOOKUP($A262,main!$A$3:$I$56,6,FALSE)&gt;=VLOOKUP(59,main!$A$57:$I$61,4,FALSE)+VLOOKUP(VLOOKUP(AM$1,main!$A$3:$I$56,7,FALSE),main!$K$10:$Q$14,7,FALSE),1,0)</f>
        <v>0</v>
      </c>
      <c r="AN262">
        <f>IF(VLOOKUP(AN$1,main!$A$3:$I$56,5,FALSE)-VLOOKUP($A262,main!$A$3:$I$56,6,FALSE)&gt;=VLOOKUP(59,main!$A$57:$I$61,4,FALSE)+VLOOKUP(VLOOKUP(AN$1,main!$A$3:$I$56,7,FALSE),main!$K$10:$Q$14,7,FALSE),1,0)</f>
        <v>0</v>
      </c>
      <c r="AO262">
        <f>IF(VLOOKUP(AO$1,main!$A$3:$I$56,5,FALSE)-VLOOKUP($A262,main!$A$3:$I$56,6,FALSE)&gt;=VLOOKUP(59,main!$A$57:$I$61,4,FALSE)+VLOOKUP(VLOOKUP(AO$1,main!$A$3:$I$56,7,FALSE),main!$K$10:$Q$14,7,FALSE),1,0)</f>
        <v>1</v>
      </c>
      <c r="AP262">
        <f>IF(VLOOKUP(AP$1,main!$A$3:$I$56,5,FALSE)-VLOOKUP($A262,main!$A$3:$I$56,6,FALSE)&gt;=VLOOKUP(59,main!$A$57:$I$61,4,FALSE)+VLOOKUP(VLOOKUP(AP$1,main!$A$3:$I$56,7,FALSE),main!$K$10:$Q$14,7,FALSE),1,0)</f>
        <v>0</v>
      </c>
      <c r="AQ262">
        <f>IF(VLOOKUP(AQ$1,main!$A$3:$I$56,5,FALSE)-VLOOKUP($A262,main!$A$3:$I$56,6,FALSE)&gt;=VLOOKUP(59,main!$A$57:$I$61,4,FALSE)+VLOOKUP(VLOOKUP(AQ$1,main!$A$3:$I$56,7,FALSE),main!$K$10:$Q$14,7,FALSE),1,0)</f>
        <v>0</v>
      </c>
      <c r="AR262">
        <f>IF(VLOOKUP(AR$1,main!$A$3:$I$56,5,FALSE)-VLOOKUP($A262,main!$A$3:$I$56,6,FALSE)&gt;=VLOOKUP(59,main!$A$57:$I$61,4,FALSE)+VLOOKUP(VLOOKUP(AR$1,main!$A$3:$I$56,7,FALSE),main!$K$10:$Q$14,7,FALSE),1,0)</f>
        <v>0</v>
      </c>
      <c r="AS262">
        <f>IF(VLOOKUP(AS$1,main!$A$3:$I$56,5,FALSE)-VLOOKUP($A262,main!$A$3:$I$56,6,FALSE)&gt;=VLOOKUP(59,main!$A$57:$I$61,4,FALSE)+VLOOKUP(VLOOKUP(AS$1,main!$A$3:$I$56,7,FALSE),main!$K$10:$Q$14,7,FALSE),1,0)</f>
        <v>0</v>
      </c>
      <c r="AT262">
        <f>IF(VLOOKUP(AT$1,main!$A$3:$I$56,5,FALSE)-VLOOKUP($A262,main!$A$3:$I$56,6,FALSE)&gt;=VLOOKUP(59,main!$A$57:$I$61,4,FALSE)+VLOOKUP(VLOOKUP(AT$1,main!$A$3:$I$56,7,FALSE),main!$K$10:$Q$14,7,FALSE),1,0)</f>
        <v>0</v>
      </c>
      <c r="AU262">
        <f>IF(VLOOKUP(AU$1,main!$A$3:$I$56,5,FALSE)-VLOOKUP($A262,main!$A$3:$I$56,6,FALSE)&gt;=VLOOKUP(59,main!$A$57:$I$61,4,FALSE)+VLOOKUP(VLOOKUP(AU$1,main!$A$3:$I$56,7,FALSE),main!$K$10:$Q$14,7,FALSE),1,0)</f>
        <v>1</v>
      </c>
      <c r="AV262">
        <f>IF(VLOOKUP(AV$1,main!$A$3:$I$56,5,FALSE)-VLOOKUP($A262,main!$A$3:$I$56,6,FALSE)&gt;=VLOOKUP(59,main!$A$57:$I$61,4,FALSE)+VLOOKUP(VLOOKUP(AV$1,main!$A$3:$I$56,7,FALSE),main!$K$10:$Q$14,7,FALSE),1,0)</f>
        <v>1</v>
      </c>
      <c r="AW262">
        <f>IF(VLOOKUP(AW$1,main!$A$3:$I$56,5,FALSE)-VLOOKUP($A262,main!$A$3:$I$56,6,FALSE)&gt;=VLOOKUP(59,main!$A$57:$I$61,4,FALSE)+VLOOKUP(VLOOKUP(AW$1,main!$A$3:$I$56,7,FALSE),main!$K$10:$Q$14,7,FALSE),1,0)</f>
        <v>1</v>
      </c>
      <c r="AX262">
        <f>IF(VLOOKUP(AX$1,main!$A$3:$I$56,5,FALSE)-VLOOKUP($A262,main!$A$3:$I$56,6,FALSE)&gt;=VLOOKUP(59,main!$A$57:$I$61,4,FALSE)+VLOOKUP(VLOOKUP(AX$1,main!$A$3:$I$56,7,FALSE),main!$K$10:$Q$14,7,FALSE),1,0)</f>
        <v>1</v>
      </c>
      <c r="AY262">
        <f>IF(VLOOKUP(AY$1,main!$A$3:$I$56,5,FALSE)-VLOOKUP($A262,main!$A$3:$I$56,6,FALSE)&gt;=VLOOKUP(59,main!$A$57:$I$61,4,FALSE)+VLOOKUP(VLOOKUP(AY$1,main!$A$3:$I$56,7,FALSE),main!$K$10:$Q$14,7,FALSE),1,0)</f>
        <v>1</v>
      </c>
      <c r="AZ262">
        <f>IF(VLOOKUP(AZ$1,main!$A$3:$I$56,5,FALSE)-VLOOKUP($A262,main!$A$3:$I$56,6,FALSE)&gt;=VLOOKUP(59,main!$A$57:$I$61,4,FALSE)+VLOOKUP(VLOOKUP(AZ$1,main!$A$3:$I$56,7,FALSE),main!$K$10:$Q$14,7,FALSE),1,0)</f>
        <v>0</v>
      </c>
      <c r="BA262">
        <f>IF(VLOOKUP(BA$1,main!$A$3:$I$56,5,FALSE)-VLOOKUP($A262,main!$A$3:$I$56,6,FALSE)&gt;=VLOOKUP(59,main!$A$57:$I$61,4,FALSE)+VLOOKUP(VLOOKUP(BA$1,main!$A$3:$I$56,7,FALSE),main!$K$10:$Q$14,7,FALSE),1,0)</f>
        <v>1</v>
      </c>
      <c r="BB262">
        <f>IF(VLOOKUP(BB$1,main!$A$3:$I$56,5,FALSE)-VLOOKUP($A262,main!$A$3:$I$56,6,FALSE)&gt;=VLOOKUP(59,main!$A$57:$I$61,4,FALSE)+VLOOKUP(VLOOKUP(BB$1,main!$A$3:$I$56,7,FALSE),main!$K$10:$Q$14,7,FALSE),1,0)</f>
        <v>1</v>
      </c>
      <c r="BC262">
        <f>IF(VLOOKUP(BC$1,main!$A$3:$I$56,5,FALSE)-VLOOKUP($A262,main!$A$3:$I$56,6,FALSE)&gt;=VLOOKUP(59,main!$A$57:$I$61,4,FALSE)+VLOOKUP(VLOOKUP(BC$1,main!$A$3:$I$56,7,FALSE),main!$K$10:$Q$14,7,FALSE),1,0)</f>
        <v>1</v>
      </c>
      <c r="BD262">
        <f>IF(VLOOKUP(BD$1,main!$A$3:$I$56,5,FALSE)-VLOOKUP($A262,main!$A$3:$I$56,6,FALSE)&gt;=VLOOKUP(59,main!$A$57:$I$61,4,FALSE)+VLOOKUP(VLOOKUP(BD$1,main!$A$3:$I$56,7,FALSE),main!$K$10:$Q$14,7,FALSE),1,0)</f>
        <v>1</v>
      </c>
    </row>
    <row r="263" spans="1:56" x14ac:dyDescent="0.25">
      <c r="A263">
        <f t="shared" si="4"/>
        <v>41</v>
      </c>
      <c r="B263">
        <v>0</v>
      </c>
      <c r="C263">
        <f>IF(VLOOKUP(C$1,main!$A$3:$I$56,5,FALSE)-VLOOKUP($A263,main!$A$3:$I$56,6,FALSE)&gt;=VLOOKUP(59,main!$A$57:$I$61,4,FALSE)+VLOOKUP(VLOOKUP(C$1,main!$A$3:$I$56,7,FALSE),main!$K$10:$Q$14,7,FALSE),1,0)</f>
        <v>0</v>
      </c>
      <c r="D263">
        <f>IF(VLOOKUP(D$1,main!$A$3:$I$56,5,FALSE)-VLOOKUP($A263,main!$A$3:$I$56,6,FALSE)&gt;=VLOOKUP(59,main!$A$57:$I$61,4,FALSE)+VLOOKUP(VLOOKUP(D$1,main!$A$3:$I$56,7,FALSE),main!$K$10:$Q$14,7,FALSE),1,0)</f>
        <v>0</v>
      </c>
      <c r="E263">
        <f>IF(VLOOKUP(E$1,main!$A$3:$I$56,5,FALSE)-VLOOKUP($A263,main!$A$3:$I$56,6,FALSE)&gt;=VLOOKUP(59,main!$A$57:$I$61,4,FALSE)+VLOOKUP(VLOOKUP(E$1,main!$A$3:$I$56,7,FALSE),main!$K$10:$Q$14,7,FALSE),1,0)</f>
        <v>0</v>
      </c>
      <c r="F263">
        <f>IF(VLOOKUP(F$1,main!$A$3:$I$56,5,FALSE)-VLOOKUP($A263,main!$A$3:$I$56,6,FALSE)&gt;=VLOOKUP(59,main!$A$57:$I$61,4,FALSE)+VLOOKUP(VLOOKUP(F$1,main!$A$3:$I$56,7,FALSE),main!$K$10:$Q$14,7,FALSE),1,0)</f>
        <v>0</v>
      </c>
      <c r="G263">
        <f>IF(VLOOKUP(G$1,main!$A$3:$I$56,5,FALSE)-VLOOKUP($A263,main!$A$3:$I$56,6,FALSE)&gt;=VLOOKUP(59,main!$A$57:$I$61,4,FALSE)+VLOOKUP(VLOOKUP(G$1,main!$A$3:$I$56,7,FALSE),main!$K$10:$Q$14,7,FALSE),1,0)</f>
        <v>1</v>
      </c>
      <c r="H263">
        <f>IF(VLOOKUP(H$1,main!$A$3:$I$56,5,FALSE)-VLOOKUP($A263,main!$A$3:$I$56,6,FALSE)&gt;=VLOOKUP(59,main!$A$57:$I$61,4,FALSE)+VLOOKUP(VLOOKUP(H$1,main!$A$3:$I$56,7,FALSE),main!$K$10:$Q$14,7,FALSE),1,0)</f>
        <v>1</v>
      </c>
      <c r="I263">
        <f>IF(VLOOKUP(I$1,main!$A$3:$I$56,5,FALSE)-VLOOKUP($A263,main!$A$3:$I$56,6,FALSE)&gt;=VLOOKUP(59,main!$A$57:$I$61,4,FALSE)+VLOOKUP(VLOOKUP(I$1,main!$A$3:$I$56,7,FALSE),main!$K$10:$Q$14,7,FALSE),1,0)</f>
        <v>1</v>
      </c>
      <c r="J263">
        <f>IF(VLOOKUP(J$1,main!$A$3:$I$56,5,FALSE)-VLOOKUP($A263,main!$A$3:$I$56,6,FALSE)&gt;=VLOOKUP(59,main!$A$57:$I$61,4,FALSE)+VLOOKUP(VLOOKUP(J$1,main!$A$3:$I$56,7,FALSE),main!$K$10:$Q$14,7,FALSE),1,0)</f>
        <v>1</v>
      </c>
      <c r="K263">
        <f>IF(VLOOKUP(K$1,main!$A$3:$I$56,5,FALSE)-VLOOKUP($A263,main!$A$3:$I$56,6,FALSE)&gt;=VLOOKUP(59,main!$A$57:$I$61,4,FALSE)+VLOOKUP(VLOOKUP(K$1,main!$A$3:$I$56,7,FALSE),main!$K$10:$Q$14,7,FALSE),1,0)</f>
        <v>0</v>
      </c>
      <c r="L263">
        <f>IF(VLOOKUP(L$1,main!$A$3:$I$56,5,FALSE)-VLOOKUP($A263,main!$A$3:$I$56,6,FALSE)&gt;=VLOOKUP(59,main!$A$57:$I$61,4,FALSE)+VLOOKUP(VLOOKUP(L$1,main!$A$3:$I$56,7,FALSE),main!$K$10:$Q$14,7,FALSE),1,0)</f>
        <v>0</v>
      </c>
      <c r="M263">
        <f>IF(VLOOKUP(M$1,main!$A$3:$I$56,5,FALSE)-VLOOKUP($A263,main!$A$3:$I$56,6,FALSE)&gt;=VLOOKUP(59,main!$A$57:$I$61,4,FALSE)+VLOOKUP(VLOOKUP(M$1,main!$A$3:$I$56,7,FALSE),main!$K$10:$Q$14,7,FALSE),1,0)</f>
        <v>0</v>
      </c>
      <c r="N263">
        <f>IF(VLOOKUP(N$1,main!$A$3:$I$56,5,FALSE)-VLOOKUP($A263,main!$A$3:$I$56,6,FALSE)&gt;=VLOOKUP(59,main!$A$57:$I$61,4,FALSE)+VLOOKUP(VLOOKUP(N$1,main!$A$3:$I$56,7,FALSE),main!$K$10:$Q$14,7,FALSE),1,0)</f>
        <v>1</v>
      </c>
      <c r="O263">
        <f>IF(VLOOKUP(O$1,main!$A$3:$I$56,5,FALSE)-VLOOKUP($A263,main!$A$3:$I$56,6,FALSE)&gt;=VLOOKUP(59,main!$A$57:$I$61,4,FALSE)+VLOOKUP(VLOOKUP(O$1,main!$A$3:$I$56,7,FALSE),main!$K$10:$Q$14,7,FALSE),1,0)</f>
        <v>1</v>
      </c>
      <c r="P263">
        <f>IF(VLOOKUP(P$1,main!$A$3:$I$56,5,FALSE)-VLOOKUP($A263,main!$A$3:$I$56,6,FALSE)&gt;=VLOOKUP(59,main!$A$57:$I$61,4,FALSE)+VLOOKUP(VLOOKUP(P$1,main!$A$3:$I$56,7,FALSE),main!$K$10:$Q$14,7,FALSE),1,0)</f>
        <v>0</v>
      </c>
      <c r="Q263">
        <f>IF(VLOOKUP(Q$1,main!$A$3:$I$56,5,FALSE)-VLOOKUP($A263,main!$A$3:$I$56,6,FALSE)&gt;=VLOOKUP(59,main!$A$57:$I$61,4,FALSE)+VLOOKUP(VLOOKUP(Q$1,main!$A$3:$I$56,7,FALSE),main!$K$10:$Q$14,7,FALSE),1,0)</f>
        <v>0</v>
      </c>
      <c r="R263">
        <f>IF(VLOOKUP(R$1,main!$A$3:$I$56,5,FALSE)-VLOOKUP($A263,main!$A$3:$I$56,6,FALSE)&gt;=VLOOKUP(59,main!$A$57:$I$61,4,FALSE)+VLOOKUP(VLOOKUP(R$1,main!$A$3:$I$56,7,FALSE),main!$K$10:$Q$14,7,FALSE),1,0)</f>
        <v>0</v>
      </c>
      <c r="S263">
        <f>IF(VLOOKUP(S$1,main!$A$3:$I$56,5,FALSE)-VLOOKUP($A263,main!$A$3:$I$56,6,FALSE)&gt;=VLOOKUP(59,main!$A$57:$I$61,4,FALSE)+VLOOKUP(VLOOKUP(S$1,main!$A$3:$I$56,7,FALSE),main!$K$10:$Q$14,7,FALSE),1,0)</f>
        <v>1</v>
      </c>
      <c r="T263">
        <f>IF(VLOOKUP(T$1,main!$A$3:$I$56,5,FALSE)-VLOOKUP($A263,main!$A$3:$I$56,6,FALSE)&gt;=VLOOKUP(59,main!$A$57:$I$61,4,FALSE)+VLOOKUP(VLOOKUP(T$1,main!$A$3:$I$56,7,FALSE),main!$K$10:$Q$14,7,FALSE),1,0)</f>
        <v>1</v>
      </c>
      <c r="U263">
        <f>IF(VLOOKUP(U$1,main!$A$3:$I$56,5,FALSE)-VLOOKUP($A263,main!$A$3:$I$56,6,FALSE)&gt;=VLOOKUP(59,main!$A$57:$I$61,4,FALSE)+VLOOKUP(VLOOKUP(U$1,main!$A$3:$I$56,7,FALSE),main!$K$10:$Q$14,7,FALSE),1,0)</f>
        <v>0</v>
      </c>
      <c r="V263">
        <f>IF(VLOOKUP(V$1,main!$A$3:$I$56,5,FALSE)-VLOOKUP($A263,main!$A$3:$I$56,6,FALSE)&gt;=VLOOKUP(59,main!$A$57:$I$61,4,FALSE)+VLOOKUP(VLOOKUP(V$1,main!$A$3:$I$56,7,FALSE),main!$K$10:$Q$14,7,FALSE),1,0)</f>
        <v>0</v>
      </c>
      <c r="W263">
        <f>IF(VLOOKUP(W$1,main!$A$3:$I$56,5,FALSE)-VLOOKUP($A263,main!$A$3:$I$56,6,FALSE)&gt;=VLOOKUP(59,main!$A$57:$I$61,4,FALSE)+VLOOKUP(VLOOKUP(W$1,main!$A$3:$I$56,7,FALSE),main!$K$10:$Q$14,7,FALSE),1,0)</f>
        <v>0</v>
      </c>
      <c r="X263">
        <f>IF(VLOOKUP(X$1,main!$A$3:$I$56,5,FALSE)-VLOOKUP($A263,main!$A$3:$I$56,6,FALSE)&gt;=VLOOKUP(59,main!$A$57:$I$61,4,FALSE)+VLOOKUP(VLOOKUP(X$1,main!$A$3:$I$56,7,FALSE),main!$K$10:$Q$14,7,FALSE),1,0)</f>
        <v>0</v>
      </c>
      <c r="Y263">
        <f>IF(VLOOKUP(Y$1,main!$A$3:$I$56,5,FALSE)-VLOOKUP($A263,main!$A$3:$I$56,6,FALSE)&gt;=VLOOKUP(59,main!$A$57:$I$61,4,FALSE)+VLOOKUP(VLOOKUP(Y$1,main!$A$3:$I$56,7,FALSE),main!$K$10:$Q$14,7,FALSE),1,0)</f>
        <v>1</v>
      </c>
      <c r="Z263">
        <f>IF(VLOOKUP(Z$1,main!$A$3:$I$56,5,FALSE)-VLOOKUP($A263,main!$A$3:$I$56,6,FALSE)&gt;=VLOOKUP(59,main!$A$57:$I$61,4,FALSE)+VLOOKUP(VLOOKUP(Z$1,main!$A$3:$I$56,7,FALSE),main!$K$10:$Q$14,7,FALSE),1,0)</f>
        <v>1</v>
      </c>
      <c r="AA263">
        <f>IF(VLOOKUP(AA$1,main!$A$3:$I$56,5,FALSE)-VLOOKUP($A263,main!$A$3:$I$56,6,FALSE)&gt;=VLOOKUP(59,main!$A$57:$I$61,4,FALSE)+VLOOKUP(VLOOKUP(AA$1,main!$A$3:$I$56,7,FALSE),main!$K$10:$Q$14,7,FALSE),1,0)</f>
        <v>1</v>
      </c>
      <c r="AB263">
        <f>IF(VLOOKUP(AB$1,main!$A$3:$I$56,5,FALSE)-VLOOKUP($A263,main!$A$3:$I$56,6,FALSE)&gt;=VLOOKUP(59,main!$A$57:$I$61,4,FALSE)+VLOOKUP(VLOOKUP(AB$1,main!$A$3:$I$56,7,FALSE),main!$K$10:$Q$14,7,FALSE),1,0)</f>
        <v>1</v>
      </c>
      <c r="AC263">
        <f>IF(VLOOKUP(AC$1,main!$A$3:$I$56,5,FALSE)-VLOOKUP($A263,main!$A$3:$I$56,6,FALSE)&gt;=VLOOKUP(59,main!$A$57:$I$61,4,FALSE)+VLOOKUP(VLOOKUP(AC$1,main!$A$3:$I$56,7,FALSE),main!$K$10:$Q$14,7,FALSE),1,0)</f>
        <v>0</v>
      </c>
      <c r="AD263">
        <f>IF(VLOOKUP(AD$1,main!$A$3:$I$56,5,FALSE)-VLOOKUP($A263,main!$A$3:$I$56,6,FALSE)&gt;=VLOOKUP(59,main!$A$57:$I$61,4,FALSE)+VLOOKUP(VLOOKUP(AD$1,main!$A$3:$I$56,7,FALSE),main!$K$10:$Q$14,7,FALSE),1,0)</f>
        <v>0</v>
      </c>
      <c r="AE263">
        <f>IF(VLOOKUP(AE$1,main!$A$3:$I$56,5,FALSE)-VLOOKUP($A263,main!$A$3:$I$56,6,FALSE)&gt;=VLOOKUP(59,main!$A$57:$I$61,4,FALSE)+VLOOKUP(VLOOKUP(AE$1,main!$A$3:$I$56,7,FALSE),main!$K$10:$Q$14,7,FALSE),1,0)</f>
        <v>0</v>
      </c>
      <c r="AF263">
        <f>IF(VLOOKUP(AF$1,main!$A$3:$I$56,5,FALSE)-VLOOKUP($A263,main!$A$3:$I$56,6,FALSE)&gt;=VLOOKUP(59,main!$A$57:$I$61,4,FALSE)+VLOOKUP(VLOOKUP(AF$1,main!$A$3:$I$56,7,FALSE),main!$K$10:$Q$14,7,FALSE),1,0)</f>
        <v>1</v>
      </c>
      <c r="AG263">
        <f>IF(VLOOKUP(AG$1,main!$A$3:$I$56,5,FALSE)-VLOOKUP($A263,main!$A$3:$I$56,6,FALSE)&gt;=VLOOKUP(59,main!$A$57:$I$61,4,FALSE)+VLOOKUP(VLOOKUP(AG$1,main!$A$3:$I$56,7,FALSE),main!$K$10:$Q$14,7,FALSE),1,0)</f>
        <v>0</v>
      </c>
      <c r="AH263">
        <f>IF(VLOOKUP(AH$1,main!$A$3:$I$56,5,FALSE)-VLOOKUP($A263,main!$A$3:$I$56,6,FALSE)&gt;=VLOOKUP(59,main!$A$57:$I$61,4,FALSE)+VLOOKUP(VLOOKUP(AH$1,main!$A$3:$I$56,7,FALSE),main!$K$10:$Q$14,7,FALSE),1,0)</f>
        <v>0</v>
      </c>
      <c r="AI263">
        <f>IF(VLOOKUP(AI$1,main!$A$3:$I$56,5,FALSE)-VLOOKUP($A263,main!$A$3:$I$56,6,FALSE)&gt;=VLOOKUP(59,main!$A$57:$I$61,4,FALSE)+VLOOKUP(VLOOKUP(AI$1,main!$A$3:$I$56,7,FALSE),main!$K$10:$Q$14,7,FALSE),1,0)</f>
        <v>0</v>
      </c>
      <c r="AJ263">
        <f>IF(VLOOKUP(AJ$1,main!$A$3:$I$56,5,FALSE)-VLOOKUP($A263,main!$A$3:$I$56,6,FALSE)&gt;=VLOOKUP(59,main!$A$57:$I$61,4,FALSE)+VLOOKUP(VLOOKUP(AJ$1,main!$A$3:$I$56,7,FALSE),main!$K$10:$Q$14,7,FALSE),1,0)</f>
        <v>0</v>
      </c>
      <c r="AK263">
        <f>IF(VLOOKUP(AK$1,main!$A$3:$I$56,5,FALSE)-VLOOKUP($A263,main!$A$3:$I$56,6,FALSE)&gt;=VLOOKUP(59,main!$A$57:$I$61,4,FALSE)+VLOOKUP(VLOOKUP(AK$1,main!$A$3:$I$56,7,FALSE),main!$K$10:$Q$14,7,FALSE),1,0)</f>
        <v>1</v>
      </c>
      <c r="AL263">
        <f>IF(VLOOKUP(AL$1,main!$A$3:$I$56,5,FALSE)-VLOOKUP($A263,main!$A$3:$I$56,6,FALSE)&gt;=VLOOKUP(59,main!$A$57:$I$61,4,FALSE)+VLOOKUP(VLOOKUP(AL$1,main!$A$3:$I$56,7,FALSE),main!$K$10:$Q$14,7,FALSE),1,0)</f>
        <v>0</v>
      </c>
      <c r="AM263">
        <f>IF(VLOOKUP(AM$1,main!$A$3:$I$56,5,FALSE)-VLOOKUP($A263,main!$A$3:$I$56,6,FALSE)&gt;=VLOOKUP(59,main!$A$57:$I$61,4,FALSE)+VLOOKUP(VLOOKUP(AM$1,main!$A$3:$I$56,7,FALSE),main!$K$10:$Q$14,7,FALSE),1,0)</f>
        <v>0</v>
      </c>
      <c r="AN263">
        <f>IF(VLOOKUP(AN$1,main!$A$3:$I$56,5,FALSE)-VLOOKUP($A263,main!$A$3:$I$56,6,FALSE)&gt;=VLOOKUP(59,main!$A$57:$I$61,4,FALSE)+VLOOKUP(VLOOKUP(AN$1,main!$A$3:$I$56,7,FALSE),main!$K$10:$Q$14,7,FALSE),1,0)</f>
        <v>0</v>
      </c>
      <c r="AO263">
        <f>IF(VLOOKUP(AO$1,main!$A$3:$I$56,5,FALSE)-VLOOKUP($A263,main!$A$3:$I$56,6,FALSE)&gt;=VLOOKUP(59,main!$A$57:$I$61,4,FALSE)+VLOOKUP(VLOOKUP(AO$1,main!$A$3:$I$56,7,FALSE),main!$K$10:$Q$14,7,FALSE),1,0)</f>
        <v>0</v>
      </c>
      <c r="AP263">
        <f>IF(VLOOKUP(AP$1,main!$A$3:$I$56,5,FALSE)-VLOOKUP($A263,main!$A$3:$I$56,6,FALSE)&gt;=VLOOKUP(59,main!$A$57:$I$61,4,FALSE)+VLOOKUP(VLOOKUP(AP$1,main!$A$3:$I$56,7,FALSE),main!$K$10:$Q$14,7,FALSE),1,0)</f>
        <v>0</v>
      </c>
      <c r="AQ263">
        <f>IF(VLOOKUP(AQ$1,main!$A$3:$I$56,5,FALSE)-VLOOKUP($A263,main!$A$3:$I$56,6,FALSE)&gt;=VLOOKUP(59,main!$A$57:$I$61,4,FALSE)+VLOOKUP(VLOOKUP(AQ$1,main!$A$3:$I$56,7,FALSE),main!$K$10:$Q$14,7,FALSE),1,0)</f>
        <v>0</v>
      </c>
      <c r="AR263">
        <f>IF(VLOOKUP(AR$1,main!$A$3:$I$56,5,FALSE)-VLOOKUP($A263,main!$A$3:$I$56,6,FALSE)&gt;=VLOOKUP(59,main!$A$57:$I$61,4,FALSE)+VLOOKUP(VLOOKUP(AR$1,main!$A$3:$I$56,7,FALSE),main!$K$10:$Q$14,7,FALSE),1,0)</f>
        <v>0</v>
      </c>
      <c r="AS263">
        <f>IF(VLOOKUP(AS$1,main!$A$3:$I$56,5,FALSE)-VLOOKUP($A263,main!$A$3:$I$56,6,FALSE)&gt;=VLOOKUP(59,main!$A$57:$I$61,4,FALSE)+VLOOKUP(VLOOKUP(AS$1,main!$A$3:$I$56,7,FALSE),main!$K$10:$Q$14,7,FALSE),1,0)</f>
        <v>0</v>
      </c>
      <c r="AT263">
        <f>IF(VLOOKUP(AT$1,main!$A$3:$I$56,5,FALSE)-VLOOKUP($A263,main!$A$3:$I$56,6,FALSE)&gt;=VLOOKUP(59,main!$A$57:$I$61,4,FALSE)+VLOOKUP(VLOOKUP(AT$1,main!$A$3:$I$56,7,FALSE),main!$K$10:$Q$14,7,FALSE),1,0)</f>
        <v>0</v>
      </c>
      <c r="AU263">
        <f>IF(VLOOKUP(AU$1,main!$A$3:$I$56,5,FALSE)-VLOOKUP($A263,main!$A$3:$I$56,6,FALSE)&gt;=VLOOKUP(59,main!$A$57:$I$61,4,FALSE)+VLOOKUP(VLOOKUP(AU$1,main!$A$3:$I$56,7,FALSE),main!$K$10:$Q$14,7,FALSE),1,0)</f>
        <v>0</v>
      </c>
      <c r="AV263">
        <f>IF(VLOOKUP(AV$1,main!$A$3:$I$56,5,FALSE)-VLOOKUP($A263,main!$A$3:$I$56,6,FALSE)&gt;=VLOOKUP(59,main!$A$57:$I$61,4,FALSE)+VLOOKUP(VLOOKUP(AV$1,main!$A$3:$I$56,7,FALSE),main!$K$10:$Q$14,7,FALSE),1,0)</f>
        <v>1</v>
      </c>
      <c r="AW263">
        <f>IF(VLOOKUP(AW$1,main!$A$3:$I$56,5,FALSE)-VLOOKUP($A263,main!$A$3:$I$56,6,FALSE)&gt;=VLOOKUP(59,main!$A$57:$I$61,4,FALSE)+VLOOKUP(VLOOKUP(AW$1,main!$A$3:$I$56,7,FALSE),main!$K$10:$Q$14,7,FALSE),1,0)</f>
        <v>1</v>
      </c>
      <c r="AX263">
        <f>IF(VLOOKUP(AX$1,main!$A$3:$I$56,5,FALSE)-VLOOKUP($A263,main!$A$3:$I$56,6,FALSE)&gt;=VLOOKUP(59,main!$A$57:$I$61,4,FALSE)+VLOOKUP(VLOOKUP(AX$1,main!$A$3:$I$56,7,FALSE),main!$K$10:$Q$14,7,FALSE),1,0)</f>
        <v>1</v>
      </c>
      <c r="AY263">
        <f>IF(VLOOKUP(AY$1,main!$A$3:$I$56,5,FALSE)-VLOOKUP($A263,main!$A$3:$I$56,6,FALSE)&gt;=VLOOKUP(59,main!$A$57:$I$61,4,FALSE)+VLOOKUP(VLOOKUP(AY$1,main!$A$3:$I$56,7,FALSE),main!$K$10:$Q$14,7,FALSE),1,0)</f>
        <v>1</v>
      </c>
      <c r="AZ263">
        <f>IF(VLOOKUP(AZ$1,main!$A$3:$I$56,5,FALSE)-VLOOKUP($A263,main!$A$3:$I$56,6,FALSE)&gt;=VLOOKUP(59,main!$A$57:$I$61,4,FALSE)+VLOOKUP(VLOOKUP(AZ$1,main!$A$3:$I$56,7,FALSE),main!$K$10:$Q$14,7,FALSE),1,0)</f>
        <v>0</v>
      </c>
      <c r="BA263">
        <f>IF(VLOOKUP(BA$1,main!$A$3:$I$56,5,FALSE)-VLOOKUP($A263,main!$A$3:$I$56,6,FALSE)&gt;=VLOOKUP(59,main!$A$57:$I$61,4,FALSE)+VLOOKUP(VLOOKUP(BA$1,main!$A$3:$I$56,7,FALSE),main!$K$10:$Q$14,7,FALSE),1,0)</f>
        <v>1</v>
      </c>
      <c r="BB263">
        <f>IF(VLOOKUP(BB$1,main!$A$3:$I$56,5,FALSE)-VLOOKUP($A263,main!$A$3:$I$56,6,FALSE)&gt;=VLOOKUP(59,main!$A$57:$I$61,4,FALSE)+VLOOKUP(VLOOKUP(BB$1,main!$A$3:$I$56,7,FALSE),main!$K$10:$Q$14,7,FALSE),1,0)</f>
        <v>1</v>
      </c>
      <c r="BC263">
        <f>IF(VLOOKUP(BC$1,main!$A$3:$I$56,5,FALSE)-VLOOKUP($A263,main!$A$3:$I$56,6,FALSE)&gt;=VLOOKUP(59,main!$A$57:$I$61,4,FALSE)+VLOOKUP(VLOOKUP(BC$1,main!$A$3:$I$56,7,FALSE),main!$K$10:$Q$14,7,FALSE),1,0)</f>
        <v>1</v>
      </c>
      <c r="BD263">
        <f>IF(VLOOKUP(BD$1,main!$A$3:$I$56,5,FALSE)-VLOOKUP($A263,main!$A$3:$I$56,6,FALSE)&gt;=VLOOKUP(59,main!$A$57:$I$61,4,FALSE)+VLOOKUP(VLOOKUP(BD$1,main!$A$3:$I$56,7,FALSE),main!$K$10:$Q$14,7,FALSE),1,0)</f>
        <v>1</v>
      </c>
    </row>
    <row r="264" spans="1:56" x14ac:dyDescent="0.25">
      <c r="A264">
        <f t="shared" si="4"/>
        <v>42</v>
      </c>
      <c r="B264">
        <v>0</v>
      </c>
      <c r="C264">
        <f>IF(VLOOKUP(C$1,main!$A$3:$I$56,5,FALSE)-VLOOKUP($A264,main!$A$3:$I$56,6,FALSE)&gt;=VLOOKUP(59,main!$A$57:$I$61,4,FALSE)+VLOOKUP(VLOOKUP(C$1,main!$A$3:$I$56,7,FALSE),main!$K$10:$Q$14,7,FALSE),1,0)</f>
        <v>0</v>
      </c>
      <c r="D264">
        <f>IF(VLOOKUP(D$1,main!$A$3:$I$56,5,FALSE)-VLOOKUP($A264,main!$A$3:$I$56,6,FALSE)&gt;=VLOOKUP(59,main!$A$57:$I$61,4,FALSE)+VLOOKUP(VLOOKUP(D$1,main!$A$3:$I$56,7,FALSE),main!$K$10:$Q$14,7,FALSE),1,0)</f>
        <v>0</v>
      </c>
      <c r="E264">
        <f>IF(VLOOKUP(E$1,main!$A$3:$I$56,5,FALSE)-VLOOKUP($A264,main!$A$3:$I$56,6,FALSE)&gt;=VLOOKUP(59,main!$A$57:$I$61,4,FALSE)+VLOOKUP(VLOOKUP(E$1,main!$A$3:$I$56,7,FALSE),main!$K$10:$Q$14,7,FALSE),1,0)</f>
        <v>0</v>
      </c>
      <c r="F264">
        <f>IF(VLOOKUP(F$1,main!$A$3:$I$56,5,FALSE)-VLOOKUP($A264,main!$A$3:$I$56,6,FALSE)&gt;=VLOOKUP(59,main!$A$57:$I$61,4,FALSE)+VLOOKUP(VLOOKUP(F$1,main!$A$3:$I$56,7,FALSE),main!$K$10:$Q$14,7,FALSE),1,0)</f>
        <v>0</v>
      </c>
      <c r="G264">
        <f>IF(VLOOKUP(G$1,main!$A$3:$I$56,5,FALSE)-VLOOKUP($A264,main!$A$3:$I$56,6,FALSE)&gt;=VLOOKUP(59,main!$A$57:$I$61,4,FALSE)+VLOOKUP(VLOOKUP(G$1,main!$A$3:$I$56,7,FALSE),main!$K$10:$Q$14,7,FALSE),1,0)</f>
        <v>0</v>
      </c>
      <c r="H264">
        <f>IF(VLOOKUP(H$1,main!$A$3:$I$56,5,FALSE)-VLOOKUP($A264,main!$A$3:$I$56,6,FALSE)&gt;=VLOOKUP(59,main!$A$57:$I$61,4,FALSE)+VLOOKUP(VLOOKUP(H$1,main!$A$3:$I$56,7,FALSE),main!$K$10:$Q$14,7,FALSE),1,0)</f>
        <v>1</v>
      </c>
      <c r="I264">
        <f>IF(VLOOKUP(I$1,main!$A$3:$I$56,5,FALSE)-VLOOKUP($A264,main!$A$3:$I$56,6,FALSE)&gt;=VLOOKUP(59,main!$A$57:$I$61,4,FALSE)+VLOOKUP(VLOOKUP(I$1,main!$A$3:$I$56,7,FALSE),main!$K$10:$Q$14,7,FALSE),1,0)</f>
        <v>1</v>
      </c>
      <c r="J264">
        <f>IF(VLOOKUP(J$1,main!$A$3:$I$56,5,FALSE)-VLOOKUP($A264,main!$A$3:$I$56,6,FALSE)&gt;=VLOOKUP(59,main!$A$57:$I$61,4,FALSE)+VLOOKUP(VLOOKUP(J$1,main!$A$3:$I$56,7,FALSE),main!$K$10:$Q$14,7,FALSE),1,0)</f>
        <v>1</v>
      </c>
      <c r="K264">
        <f>IF(VLOOKUP(K$1,main!$A$3:$I$56,5,FALSE)-VLOOKUP($A264,main!$A$3:$I$56,6,FALSE)&gt;=VLOOKUP(59,main!$A$57:$I$61,4,FALSE)+VLOOKUP(VLOOKUP(K$1,main!$A$3:$I$56,7,FALSE),main!$K$10:$Q$14,7,FALSE),1,0)</f>
        <v>0</v>
      </c>
      <c r="L264">
        <f>IF(VLOOKUP(L$1,main!$A$3:$I$56,5,FALSE)-VLOOKUP($A264,main!$A$3:$I$56,6,FALSE)&gt;=VLOOKUP(59,main!$A$57:$I$61,4,FALSE)+VLOOKUP(VLOOKUP(L$1,main!$A$3:$I$56,7,FALSE),main!$K$10:$Q$14,7,FALSE),1,0)</f>
        <v>0</v>
      </c>
      <c r="M264">
        <f>IF(VLOOKUP(M$1,main!$A$3:$I$56,5,FALSE)-VLOOKUP($A264,main!$A$3:$I$56,6,FALSE)&gt;=VLOOKUP(59,main!$A$57:$I$61,4,FALSE)+VLOOKUP(VLOOKUP(M$1,main!$A$3:$I$56,7,FALSE),main!$K$10:$Q$14,7,FALSE),1,0)</f>
        <v>0</v>
      </c>
      <c r="N264">
        <f>IF(VLOOKUP(N$1,main!$A$3:$I$56,5,FALSE)-VLOOKUP($A264,main!$A$3:$I$56,6,FALSE)&gt;=VLOOKUP(59,main!$A$57:$I$61,4,FALSE)+VLOOKUP(VLOOKUP(N$1,main!$A$3:$I$56,7,FALSE),main!$K$10:$Q$14,7,FALSE),1,0)</f>
        <v>1</v>
      </c>
      <c r="O264">
        <f>IF(VLOOKUP(O$1,main!$A$3:$I$56,5,FALSE)-VLOOKUP($A264,main!$A$3:$I$56,6,FALSE)&gt;=VLOOKUP(59,main!$A$57:$I$61,4,FALSE)+VLOOKUP(VLOOKUP(O$1,main!$A$3:$I$56,7,FALSE),main!$K$10:$Q$14,7,FALSE),1,0)</f>
        <v>1</v>
      </c>
      <c r="P264">
        <f>IF(VLOOKUP(P$1,main!$A$3:$I$56,5,FALSE)-VLOOKUP($A264,main!$A$3:$I$56,6,FALSE)&gt;=VLOOKUP(59,main!$A$57:$I$61,4,FALSE)+VLOOKUP(VLOOKUP(P$1,main!$A$3:$I$56,7,FALSE),main!$K$10:$Q$14,7,FALSE),1,0)</f>
        <v>0</v>
      </c>
      <c r="Q264">
        <f>IF(VLOOKUP(Q$1,main!$A$3:$I$56,5,FALSE)-VLOOKUP($A264,main!$A$3:$I$56,6,FALSE)&gt;=VLOOKUP(59,main!$A$57:$I$61,4,FALSE)+VLOOKUP(VLOOKUP(Q$1,main!$A$3:$I$56,7,FALSE),main!$K$10:$Q$14,7,FALSE),1,0)</f>
        <v>0</v>
      </c>
      <c r="R264">
        <f>IF(VLOOKUP(R$1,main!$A$3:$I$56,5,FALSE)-VLOOKUP($A264,main!$A$3:$I$56,6,FALSE)&gt;=VLOOKUP(59,main!$A$57:$I$61,4,FALSE)+VLOOKUP(VLOOKUP(R$1,main!$A$3:$I$56,7,FALSE),main!$K$10:$Q$14,7,FALSE),1,0)</f>
        <v>0</v>
      </c>
      <c r="S264">
        <f>IF(VLOOKUP(S$1,main!$A$3:$I$56,5,FALSE)-VLOOKUP($A264,main!$A$3:$I$56,6,FALSE)&gt;=VLOOKUP(59,main!$A$57:$I$61,4,FALSE)+VLOOKUP(VLOOKUP(S$1,main!$A$3:$I$56,7,FALSE),main!$K$10:$Q$14,7,FALSE),1,0)</f>
        <v>0</v>
      </c>
      <c r="T264">
        <f>IF(VLOOKUP(T$1,main!$A$3:$I$56,5,FALSE)-VLOOKUP($A264,main!$A$3:$I$56,6,FALSE)&gt;=VLOOKUP(59,main!$A$57:$I$61,4,FALSE)+VLOOKUP(VLOOKUP(T$1,main!$A$3:$I$56,7,FALSE),main!$K$10:$Q$14,7,FALSE),1,0)</f>
        <v>1</v>
      </c>
      <c r="U264">
        <f>IF(VLOOKUP(U$1,main!$A$3:$I$56,5,FALSE)-VLOOKUP($A264,main!$A$3:$I$56,6,FALSE)&gt;=VLOOKUP(59,main!$A$57:$I$61,4,FALSE)+VLOOKUP(VLOOKUP(U$1,main!$A$3:$I$56,7,FALSE),main!$K$10:$Q$14,7,FALSE),1,0)</f>
        <v>0</v>
      </c>
      <c r="V264">
        <f>IF(VLOOKUP(V$1,main!$A$3:$I$56,5,FALSE)-VLOOKUP($A264,main!$A$3:$I$56,6,FALSE)&gt;=VLOOKUP(59,main!$A$57:$I$61,4,FALSE)+VLOOKUP(VLOOKUP(V$1,main!$A$3:$I$56,7,FALSE),main!$K$10:$Q$14,7,FALSE),1,0)</f>
        <v>0</v>
      </c>
      <c r="W264">
        <f>IF(VLOOKUP(W$1,main!$A$3:$I$56,5,FALSE)-VLOOKUP($A264,main!$A$3:$I$56,6,FALSE)&gt;=VLOOKUP(59,main!$A$57:$I$61,4,FALSE)+VLOOKUP(VLOOKUP(W$1,main!$A$3:$I$56,7,FALSE),main!$K$10:$Q$14,7,FALSE),1,0)</f>
        <v>0</v>
      </c>
      <c r="X264">
        <f>IF(VLOOKUP(X$1,main!$A$3:$I$56,5,FALSE)-VLOOKUP($A264,main!$A$3:$I$56,6,FALSE)&gt;=VLOOKUP(59,main!$A$57:$I$61,4,FALSE)+VLOOKUP(VLOOKUP(X$1,main!$A$3:$I$56,7,FALSE),main!$K$10:$Q$14,7,FALSE),1,0)</f>
        <v>0</v>
      </c>
      <c r="Y264">
        <f>IF(VLOOKUP(Y$1,main!$A$3:$I$56,5,FALSE)-VLOOKUP($A264,main!$A$3:$I$56,6,FALSE)&gt;=VLOOKUP(59,main!$A$57:$I$61,4,FALSE)+VLOOKUP(VLOOKUP(Y$1,main!$A$3:$I$56,7,FALSE),main!$K$10:$Q$14,7,FALSE),1,0)</f>
        <v>0</v>
      </c>
      <c r="Z264">
        <f>IF(VLOOKUP(Z$1,main!$A$3:$I$56,5,FALSE)-VLOOKUP($A264,main!$A$3:$I$56,6,FALSE)&gt;=VLOOKUP(59,main!$A$57:$I$61,4,FALSE)+VLOOKUP(VLOOKUP(Z$1,main!$A$3:$I$56,7,FALSE),main!$K$10:$Q$14,7,FALSE),1,0)</f>
        <v>1</v>
      </c>
      <c r="AA264">
        <f>IF(VLOOKUP(AA$1,main!$A$3:$I$56,5,FALSE)-VLOOKUP($A264,main!$A$3:$I$56,6,FALSE)&gt;=VLOOKUP(59,main!$A$57:$I$61,4,FALSE)+VLOOKUP(VLOOKUP(AA$1,main!$A$3:$I$56,7,FALSE),main!$K$10:$Q$14,7,FALSE),1,0)</f>
        <v>1</v>
      </c>
      <c r="AB264">
        <f>IF(VLOOKUP(AB$1,main!$A$3:$I$56,5,FALSE)-VLOOKUP($A264,main!$A$3:$I$56,6,FALSE)&gt;=VLOOKUP(59,main!$A$57:$I$61,4,FALSE)+VLOOKUP(VLOOKUP(AB$1,main!$A$3:$I$56,7,FALSE),main!$K$10:$Q$14,7,FALSE),1,0)</f>
        <v>1</v>
      </c>
      <c r="AC264">
        <f>IF(VLOOKUP(AC$1,main!$A$3:$I$56,5,FALSE)-VLOOKUP($A264,main!$A$3:$I$56,6,FALSE)&gt;=VLOOKUP(59,main!$A$57:$I$61,4,FALSE)+VLOOKUP(VLOOKUP(AC$1,main!$A$3:$I$56,7,FALSE),main!$K$10:$Q$14,7,FALSE),1,0)</f>
        <v>0</v>
      </c>
      <c r="AD264">
        <f>IF(VLOOKUP(AD$1,main!$A$3:$I$56,5,FALSE)-VLOOKUP($A264,main!$A$3:$I$56,6,FALSE)&gt;=VLOOKUP(59,main!$A$57:$I$61,4,FALSE)+VLOOKUP(VLOOKUP(AD$1,main!$A$3:$I$56,7,FALSE),main!$K$10:$Q$14,7,FALSE),1,0)</f>
        <v>0</v>
      </c>
      <c r="AE264">
        <f>IF(VLOOKUP(AE$1,main!$A$3:$I$56,5,FALSE)-VLOOKUP($A264,main!$A$3:$I$56,6,FALSE)&gt;=VLOOKUP(59,main!$A$57:$I$61,4,FALSE)+VLOOKUP(VLOOKUP(AE$1,main!$A$3:$I$56,7,FALSE),main!$K$10:$Q$14,7,FALSE),1,0)</f>
        <v>0</v>
      </c>
      <c r="AF264">
        <f>IF(VLOOKUP(AF$1,main!$A$3:$I$56,5,FALSE)-VLOOKUP($A264,main!$A$3:$I$56,6,FALSE)&gt;=VLOOKUP(59,main!$A$57:$I$61,4,FALSE)+VLOOKUP(VLOOKUP(AF$1,main!$A$3:$I$56,7,FALSE),main!$K$10:$Q$14,7,FALSE),1,0)</f>
        <v>1</v>
      </c>
      <c r="AG264">
        <f>IF(VLOOKUP(AG$1,main!$A$3:$I$56,5,FALSE)-VLOOKUP($A264,main!$A$3:$I$56,6,FALSE)&gt;=VLOOKUP(59,main!$A$57:$I$61,4,FALSE)+VLOOKUP(VLOOKUP(AG$1,main!$A$3:$I$56,7,FALSE),main!$K$10:$Q$14,7,FALSE),1,0)</f>
        <v>0</v>
      </c>
      <c r="AH264">
        <f>IF(VLOOKUP(AH$1,main!$A$3:$I$56,5,FALSE)-VLOOKUP($A264,main!$A$3:$I$56,6,FALSE)&gt;=VLOOKUP(59,main!$A$57:$I$61,4,FALSE)+VLOOKUP(VLOOKUP(AH$1,main!$A$3:$I$56,7,FALSE),main!$K$10:$Q$14,7,FALSE),1,0)</f>
        <v>0</v>
      </c>
      <c r="AI264">
        <f>IF(VLOOKUP(AI$1,main!$A$3:$I$56,5,FALSE)-VLOOKUP($A264,main!$A$3:$I$56,6,FALSE)&gt;=VLOOKUP(59,main!$A$57:$I$61,4,FALSE)+VLOOKUP(VLOOKUP(AI$1,main!$A$3:$I$56,7,FALSE),main!$K$10:$Q$14,7,FALSE),1,0)</f>
        <v>0</v>
      </c>
      <c r="AJ264">
        <f>IF(VLOOKUP(AJ$1,main!$A$3:$I$56,5,FALSE)-VLOOKUP($A264,main!$A$3:$I$56,6,FALSE)&gt;=VLOOKUP(59,main!$A$57:$I$61,4,FALSE)+VLOOKUP(VLOOKUP(AJ$1,main!$A$3:$I$56,7,FALSE),main!$K$10:$Q$14,7,FALSE),1,0)</f>
        <v>0</v>
      </c>
      <c r="AK264">
        <f>IF(VLOOKUP(AK$1,main!$A$3:$I$56,5,FALSE)-VLOOKUP($A264,main!$A$3:$I$56,6,FALSE)&gt;=VLOOKUP(59,main!$A$57:$I$61,4,FALSE)+VLOOKUP(VLOOKUP(AK$1,main!$A$3:$I$56,7,FALSE),main!$K$10:$Q$14,7,FALSE),1,0)</f>
        <v>0</v>
      </c>
      <c r="AL264">
        <f>IF(VLOOKUP(AL$1,main!$A$3:$I$56,5,FALSE)-VLOOKUP($A264,main!$A$3:$I$56,6,FALSE)&gt;=VLOOKUP(59,main!$A$57:$I$61,4,FALSE)+VLOOKUP(VLOOKUP(AL$1,main!$A$3:$I$56,7,FALSE),main!$K$10:$Q$14,7,FALSE),1,0)</f>
        <v>0</v>
      </c>
      <c r="AM264">
        <f>IF(VLOOKUP(AM$1,main!$A$3:$I$56,5,FALSE)-VLOOKUP($A264,main!$A$3:$I$56,6,FALSE)&gt;=VLOOKUP(59,main!$A$57:$I$61,4,FALSE)+VLOOKUP(VLOOKUP(AM$1,main!$A$3:$I$56,7,FALSE),main!$K$10:$Q$14,7,FALSE),1,0)</f>
        <v>0</v>
      </c>
      <c r="AN264">
        <f>IF(VLOOKUP(AN$1,main!$A$3:$I$56,5,FALSE)-VLOOKUP($A264,main!$A$3:$I$56,6,FALSE)&gt;=VLOOKUP(59,main!$A$57:$I$61,4,FALSE)+VLOOKUP(VLOOKUP(AN$1,main!$A$3:$I$56,7,FALSE),main!$K$10:$Q$14,7,FALSE),1,0)</f>
        <v>0</v>
      </c>
      <c r="AO264">
        <f>IF(VLOOKUP(AO$1,main!$A$3:$I$56,5,FALSE)-VLOOKUP($A264,main!$A$3:$I$56,6,FALSE)&gt;=VLOOKUP(59,main!$A$57:$I$61,4,FALSE)+VLOOKUP(VLOOKUP(AO$1,main!$A$3:$I$56,7,FALSE),main!$K$10:$Q$14,7,FALSE),1,0)</f>
        <v>0</v>
      </c>
      <c r="AP264">
        <f>IF(VLOOKUP(AP$1,main!$A$3:$I$56,5,FALSE)-VLOOKUP($A264,main!$A$3:$I$56,6,FALSE)&gt;=VLOOKUP(59,main!$A$57:$I$61,4,FALSE)+VLOOKUP(VLOOKUP(AP$1,main!$A$3:$I$56,7,FALSE),main!$K$10:$Q$14,7,FALSE),1,0)</f>
        <v>0</v>
      </c>
      <c r="AQ264">
        <f>IF(VLOOKUP(AQ$1,main!$A$3:$I$56,5,FALSE)-VLOOKUP($A264,main!$A$3:$I$56,6,FALSE)&gt;=VLOOKUP(59,main!$A$57:$I$61,4,FALSE)+VLOOKUP(VLOOKUP(AQ$1,main!$A$3:$I$56,7,FALSE),main!$K$10:$Q$14,7,FALSE),1,0)</f>
        <v>0</v>
      </c>
      <c r="AR264">
        <f>IF(VLOOKUP(AR$1,main!$A$3:$I$56,5,FALSE)-VLOOKUP($A264,main!$A$3:$I$56,6,FALSE)&gt;=VLOOKUP(59,main!$A$57:$I$61,4,FALSE)+VLOOKUP(VLOOKUP(AR$1,main!$A$3:$I$56,7,FALSE),main!$K$10:$Q$14,7,FALSE),1,0)</f>
        <v>0</v>
      </c>
      <c r="AS264">
        <f>IF(VLOOKUP(AS$1,main!$A$3:$I$56,5,FALSE)-VLOOKUP($A264,main!$A$3:$I$56,6,FALSE)&gt;=VLOOKUP(59,main!$A$57:$I$61,4,FALSE)+VLOOKUP(VLOOKUP(AS$1,main!$A$3:$I$56,7,FALSE),main!$K$10:$Q$14,7,FALSE),1,0)</f>
        <v>0</v>
      </c>
      <c r="AT264">
        <f>IF(VLOOKUP(AT$1,main!$A$3:$I$56,5,FALSE)-VLOOKUP($A264,main!$A$3:$I$56,6,FALSE)&gt;=VLOOKUP(59,main!$A$57:$I$61,4,FALSE)+VLOOKUP(VLOOKUP(AT$1,main!$A$3:$I$56,7,FALSE),main!$K$10:$Q$14,7,FALSE),1,0)</f>
        <v>0</v>
      </c>
      <c r="AU264">
        <f>IF(VLOOKUP(AU$1,main!$A$3:$I$56,5,FALSE)-VLOOKUP($A264,main!$A$3:$I$56,6,FALSE)&gt;=VLOOKUP(59,main!$A$57:$I$61,4,FALSE)+VLOOKUP(VLOOKUP(AU$1,main!$A$3:$I$56,7,FALSE),main!$K$10:$Q$14,7,FALSE),1,0)</f>
        <v>0</v>
      </c>
      <c r="AV264">
        <f>IF(VLOOKUP(AV$1,main!$A$3:$I$56,5,FALSE)-VLOOKUP($A264,main!$A$3:$I$56,6,FALSE)&gt;=VLOOKUP(59,main!$A$57:$I$61,4,FALSE)+VLOOKUP(VLOOKUP(AV$1,main!$A$3:$I$56,7,FALSE),main!$K$10:$Q$14,7,FALSE),1,0)</f>
        <v>0</v>
      </c>
      <c r="AW264">
        <f>IF(VLOOKUP(AW$1,main!$A$3:$I$56,5,FALSE)-VLOOKUP($A264,main!$A$3:$I$56,6,FALSE)&gt;=VLOOKUP(59,main!$A$57:$I$61,4,FALSE)+VLOOKUP(VLOOKUP(AW$1,main!$A$3:$I$56,7,FALSE),main!$K$10:$Q$14,7,FALSE),1,0)</f>
        <v>1</v>
      </c>
      <c r="AX264">
        <f>IF(VLOOKUP(AX$1,main!$A$3:$I$56,5,FALSE)-VLOOKUP($A264,main!$A$3:$I$56,6,FALSE)&gt;=VLOOKUP(59,main!$A$57:$I$61,4,FALSE)+VLOOKUP(VLOOKUP(AX$1,main!$A$3:$I$56,7,FALSE),main!$K$10:$Q$14,7,FALSE),1,0)</f>
        <v>1</v>
      </c>
      <c r="AY264">
        <f>IF(VLOOKUP(AY$1,main!$A$3:$I$56,5,FALSE)-VLOOKUP($A264,main!$A$3:$I$56,6,FALSE)&gt;=VLOOKUP(59,main!$A$57:$I$61,4,FALSE)+VLOOKUP(VLOOKUP(AY$1,main!$A$3:$I$56,7,FALSE),main!$K$10:$Q$14,7,FALSE),1,0)</f>
        <v>1</v>
      </c>
      <c r="AZ264">
        <f>IF(VLOOKUP(AZ$1,main!$A$3:$I$56,5,FALSE)-VLOOKUP($A264,main!$A$3:$I$56,6,FALSE)&gt;=VLOOKUP(59,main!$A$57:$I$61,4,FALSE)+VLOOKUP(VLOOKUP(AZ$1,main!$A$3:$I$56,7,FALSE),main!$K$10:$Q$14,7,FALSE),1,0)</f>
        <v>0</v>
      </c>
      <c r="BA264">
        <f>IF(VLOOKUP(BA$1,main!$A$3:$I$56,5,FALSE)-VLOOKUP($A264,main!$A$3:$I$56,6,FALSE)&gt;=VLOOKUP(59,main!$A$57:$I$61,4,FALSE)+VLOOKUP(VLOOKUP(BA$1,main!$A$3:$I$56,7,FALSE),main!$K$10:$Q$14,7,FALSE),1,0)</f>
        <v>0</v>
      </c>
      <c r="BB264">
        <f>IF(VLOOKUP(BB$1,main!$A$3:$I$56,5,FALSE)-VLOOKUP($A264,main!$A$3:$I$56,6,FALSE)&gt;=VLOOKUP(59,main!$A$57:$I$61,4,FALSE)+VLOOKUP(VLOOKUP(BB$1,main!$A$3:$I$56,7,FALSE),main!$K$10:$Q$14,7,FALSE),1,0)</f>
        <v>0</v>
      </c>
      <c r="BC264">
        <f>IF(VLOOKUP(BC$1,main!$A$3:$I$56,5,FALSE)-VLOOKUP($A264,main!$A$3:$I$56,6,FALSE)&gt;=VLOOKUP(59,main!$A$57:$I$61,4,FALSE)+VLOOKUP(VLOOKUP(BC$1,main!$A$3:$I$56,7,FALSE),main!$K$10:$Q$14,7,FALSE),1,0)</f>
        <v>1</v>
      </c>
      <c r="BD264">
        <f>IF(VLOOKUP(BD$1,main!$A$3:$I$56,5,FALSE)-VLOOKUP($A264,main!$A$3:$I$56,6,FALSE)&gt;=VLOOKUP(59,main!$A$57:$I$61,4,FALSE)+VLOOKUP(VLOOKUP(BD$1,main!$A$3:$I$56,7,FALSE),main!$K$10:$Q$14,7,FALSE),1,0)</f>
        <v>1</v>
      </c>
    </row>
    <row r="265" spans="1:56" x14ac:dyDescent="0.25">
      <c r="A265">
        <f t="shared" si="4"/>
        <v>43</v>
      </c>
      <c r="B265">
        <v>0</v>
      </c>
      <c r="C265">
        <f>IF(VLOOKUP(C$1,main!$A$3:$I$56,5,FALSE)-VLOOKUP($A265,main!$A$3:$I$56,6,FALSE)&gt;=VLOOKUP(59,main!$A$57:$I$61,4,FALSE)+VLOOKUP(VLOOKUP(C$1,main!$A$3:$I$56,7,FALSE),main!$K$10:$Q$14,7,FALSE),1,0)</f>
        <v>0</v>
      </c>
      <c r="D265">
        <f>IF(VLOOKUP(D$1,main!$A$3:$I$56,5,FALSE)-VLOOKUP($A265,main!$A$3:$I$56,6,FALSE)&gt;=VLOOKUP(59,main!$A$57:$I$61,4,FALSE)+VLOOKUP(VLOOKUP(D$1,main!$A$3:$I$56,7,FALSE),main!$K$10:$Q$14,7,FALSE),1,0)</f>
        <v>0</v>
      </c>
      <c r="E265">
        <f>IF(VLOOKUP(E$1,main!$A$3:$I$56,5,FALSE)-VLOOKUP($A265,main!$A$3:$I$56,6,FALSE)&gt;=VLOOKUP(59,main!$A$57:$I$61,4,FALSE)+VLOOKUP(VLOOKUP(E$1,main!$A$3:$I$56,7,FALSE),main!$K$10:$Q$14,7,FALSE),1,0)</f>
        <v>0</v>
      </c>
      <c r="F265">
        <f>IF(VLOOKUP(F$1,main!$A$3:$I$56,5,FALSE)-VLOOKUP($A265,main!$A$3:$I$56,6,FALSE)&gt;=VLOOKUP(59,main!$A$57:$I$61,4,FALSE)+VLOOKUP(VLOOKUP(F$1,main!$A$3:$I$56,7,FALSE),main!$K$10:$Q$14,7,FALSE),1,0)</f>
        <v>0</v>
      </c>
      <c r="G265">
        <f>IF(VLOOKUP(G$1,main!$A$3:$I$56,5,FALSE)-VLOOKUP($A265,main!$A$3:$I$56,6,FALSE)&gt;=VLOOKUP(59,main!$A$57:$I$61,4,FALSE)+VLOOKUP(VLOOKUP(G$1,main!$A$3:$I$56,7,FALSE),main!$K$10:$Q$14,7,FALSE),1,0)</f>
        <v>0</v>
      </c>
      <c r="H265">
        <f>IF(VLOOKUP(H$1,main!$A$3:$I$56,5,FALSE)-VLOOKUP($A265,main!$A$3:$I$56,6,FALSE)&gt;=VLOOKUP(59,main!$A$57:$I$61,4,FALSE)+VLOOKUP(VLOOKUP(H$1,main!$A$3:$I$56,7,FALSE),main!$K$10:$Q$14,7,FALSE),1,0)</f>
        <v>0</v>
      </c>
      <c r="I265">
        <f>IF(VLOOKUP(I$1,main!$A$3:$I$56,5,FALSE)-VLOOKUP($A265,main!$A$3:$I$56,6,FALSE)&gt;=VLOOKUP(59,main!$A$57:$I$61,4,FALSE)+VLOOKUP(VLOOKUP(I$1,main!$A$3:$I$56,7,FALSE),main!$K$10:$Q$14,7,FALSE),1,0)</f>
        <v>0</v>
      </c>
      <c r="J265">
        <f>IF(VLOOKUP(J$1,main!$A$3:$I$56,5,FALSE)-VLOOKUP($A265,main!$A$3:$I$56,6,FALSE)&gt;=VLOOKUP(59,main!$A$57:$I$61,4,FALSE)+VLOOKUP(VLOOKUP(J$1,main!$A$3:$I$56,7,FALSE),main!$K$10:$Q$14,7,FALSE),1,0)</f>
        <v>1</v>
      </c>
      <c r="K265">
        <f>IF(VLOOKUP(K$1,main!$A$3:$I$56,5,FALSE)-VLOOKUP($A265,main!$A$3:$I$56,6,FALSE)&gt;=VLOOKUP(59,main!$A$57:$I$61,4,FALSE)+VLOOKUP(VLOOKUP(K$1,main!$A$3:$I$56,7,FALSE),main!$K$10:$Q$14,7,FALSE),1,0)</f>
        <v>0</v>
      </c>
      <c r="L265">
        <f>IF(VLOOKUP(L$1,main!$A$3:$I$56,5,FALSE)-VLOOKUP($A265,main!$A$3:$I$56,6,FALSE)&gt;=VLOOKUP(59,main!$A$57:$I$61,4,FALSE)+VLOOKUP(VLOOKUP(L$1,main!$A$3:$I$56,7,FALSE),main!$K$10:$Q$14,7,FALSE),1,0)</f>
        <v>0</v>
      </c>
      <c r="M265">
        <f>IF(VLOOKUP(M$1,main!$A$3:$I$56,5,FALSE)-VLOOKUP($A265,main!$A$3:$I$56,6,FALSE)&gt;=VLOOKUP(59,main!$A$57:$I$61,4,FALSE)+VLOOKUP(VLOOKUP(M$1,main!$A$3:$I$56,7,FALSE),main!$K$10:$Q$14,7,FALSE),1,0)</f>
        <v>0</v>
      </c>
      <c r="N265">
        <f>IF(VLOOKUP(N$1,main!$A$3:$I$56,5,FALSE)-VLOOKUP($A265,main!$A$3:$I$56,6,FALSE)&gt;=VLOOKUP(59,main!$A$57:$I$61,4,FALSE)+VLOOKUP(VLOOKUP(N$1,main!$A$3:$I$56,7,FALSE),main!$K$10:$Q$14,7,FALSE),1,0)</f>
        <v>0</v>
      </c>
      <c r="O265">
        <f>IF(VLOOKUP(O$1,main!$A$3:$I$56,5,FALSE)-VLOOKUP($A265,main!$A$3:$I$56,6,FALSE)&gt;=VLOOKUP(59,main!$A$57:$I$61,4,FALSE)+VLOOKUP(VLOOKUP(O$1,main!$A$3:$I$56,7,FALSE),main!$K$10:$Q$14,7,FALSE),1,0)</f>
        <v>1</v>
      </c>
      <c r="P265">
        <f>IF(VLOOKUP(P$1,main!$A$3:$I$56,5,FALSE)-VLOOKUP($A265,main!$A$3:$I$56,6,FALSE)&gt;=VLOOKUP(59,main!$A$57:$I$61,4,FALSE)+VLOOKUP(VLOOKUP(P$1,main!$A$3:$I$56,7,FALSE),main!$K$10:$Q$14,7,FALSE),1,0)</f>
        <v>0</v>
      </c>
      <c r="Q265">
        <f>IF(VLOOKUP(Q$1,main!$A$3:$I$56,5,FALSE)-VLOOKUP($A265,main!$A$3:$I$56,6,FALSE)&gt;=VLOOKUP(59,main!$A$57:$I$61,4,FALSE)+VLOOKUP(VLOOKUP(Q$1,main!$A$3:$I$56,7,FALSE),main!$K$10:$Q$14,7,FALSE),1,0)</f>
        <v>0</v>
      </c>
      <c r="R265">
        <f>IF(VLOOKUP(R$1,main!$A$3:$I$56,5,FALSE)-VLOOKUP($A265,main!$A$3:$I$56,6,FALSE)&gt;=VLOOKUP(59,main!$A$57:$I$61,4,FALSE)+VLOOKUP(VLOOKUP(R$1,main!$A$3:$I$56,7,FALSE),main!$K$10:$Q$14,7,FALSE),1,0)</f>
        <v>0</v>
      </c>
      <c r="S265">
        <f>IF(VLOOKUP(S$1,main!$A$3:$I$56,5,FALSE)-VLOOKUP($A265,main!$A$3:$I$56,6,FALSE)&gt;=VLOOKUP(59,main!$A$57:$I$61,4,FALSE)+VLOOKUP(VLOOKUP(S$1,main!$A$3:$I$56,7,FALSE),main!$K$10:$Q$14,7,FALSE),1,0)</f>
        <v>0</v>
      </c>
      <c r="T265">
        <f>IF(VLOOKUP(T$1,main!$A$3:$I$56,5,FALSE)-VLOOKUP($A265,main!$A$3:$I$56,6,FALSE)&gt;=VLOOKUP(59,main!$A$57:$I$61,4,FALSE)+VLOOKUP(VLOOKUP(T$1,main!$A$3:$I$56,7,FALSE),main!$K$10:$Q$14,7,FALSE),1,0)</f>
        <v>0</v>
      </c>
      <c r="U265">
        <f>IF(VLOOKUP(U$1,main!$A$3:$I$56,5,FALSE)-VLOOKUP($A265,main!$A$3:$I$56,6,FALSE)&gt;=VLOOKUP(59,main!$A$57:$I$61,4,FALSE)+VLOOKUP(VLOOKUP(U$1,main!$A$3:$I$56,7,FALSE),main!$K$10:$Q$14,7,FALSE),1,0)</f>
        <v>0</v>
      </c>
      <c r="V265">
        <f>IF(VLOOKUP(V$1,main!$A$3:$I$56,5,FALSE)-VLOOKUP($A265,main!$A$3:$I$56,6,FALSE)&gt;=VLOOKUP(59,main!$A$57:$I$61,4,FALSE)+VLOOKUP(VLOOKUP(V$1,main!$A$3:$I$56,7,FALSE),main!$K$10:$Q$14,7,FALSE),1,0)</f>
        <v>0</v>
      </c>
      <c r="W265">
        <f>IF(VLOOKUP(W$1,main!$A$3:$I$56,5,FALSE)-VLOOKUP($A265,main!$A$3:$I$56,6,FALSE)&gt;=VLOOKUP(59,main!$A$57:$I$61,4,FALSE)+VLOOKUP(VLOOKUP(W$1,main!$A$3:$I$56,7,FALSE),main!$K$10:$Q$14,7,FALSE),1,0)</f>
        <v>0</v>
      </c>
      <c r="X265">
        <f>IF(VLOOKUP(X$1,main!$A$3:$I$56,5,FALSE)-VLOOKUP($A265,main!$A$3:$I$56,6,FALSE)&gt;=VLOOKUP(59,main!$A$57:$I$61,4,FALSE)+VLOOKUP(VLOOKUP(X$1,main!$A$3:$I$56,7,FALSE),main!$K$10:$Q$14,7,FALSE),1,0)</f>
        <v>0</v>
      </c>
      <c r="Y265">
        <f>IF(VLOOKUP(Y$1,main!$A$3:$I$56,5,FALSE)-VLOOKUP($A265,main!$A$3:$I$56,6,FALSE)&gt;=VLOOKUP(59,main!$A$57:$I$61,4,FALSE)+VLOOKUP(VLOOKUP(Y$1,main!$A$3:$I$56,7,FALSE),main!$K$10:$Q$14,7,FALSE),1,0)</f>
        <v>0</v>
      </c>
      <c r="Z265">
        <f>IF(VLOOKUP(Z$1,main!$A$3:$I$56,5,FALSE)-VLOOKUP($A265,main!$A$3:$I$56,6,FALSE)&gt;=VLOOKUP(59,main!$A$57:$I$61,4,FALSE)+VLOOKUP(VLOOKUP(Z$1,main!$A$3:$I$56,7,FALSE),main!$K$10:$Q$14,7,FALSE),1,0)</f>
        <v>0</v>
      </c>
      <c r="AA265">
        <f>IF(VLOOKUP(AA$1,main!$A$3:$I$56,5,FALSE)-VLOOKUP($A265,main!$A$3:$I$56,6,FALSE)&gt;=VLOOKUP(59,main!$A$57:$I$61,4,FALSE)+VLOOKUP(VLOOKUP(AA$1,main!$A$3:$I$56,7,FALSE),main!$K$10:$Q$14,7,FALSE),1,0)</f>
        <v>0</v>
      </c>
      <c r="AB265">
        <f>IF(VLOOKUP(AB$1,main!$A$3:$I$56,5,FALSE)-VLOOKUP($A265,main!$A$3:$I$56,6,FALSE)&gt;=VLOOKUP(59,main!$A$57:$I$61,4,FALSE)+VLOOKUP(VLOOKUP(AB$1,main!$A$3:$I$56,7,FALSE),main!$K$10:$Q$14,7,FALSE),1,0)</f>
        <v>1</v>
      </c>
      <c r="AC265">
        <f>IF(VLOOKUP(AC$1,main!$A$3:$I$56,5,FALSE)-VLOOKUP($A265,main!$A$3:$I$56,6,FALSE)&gt;=VLOOKUP(59,main!$A$57:$I$61,4,FALSE)+VLOOKUP(VLOOKUP(AC$1,main!$A$3:$I$56,7,FALSE),main!$K$10:$Q$14,7,FALSE),1,0)</f>
        <v>0</v>
      </c>
      <c r="AD265">
        <f>IF(VLOOKUP(AD$1,main!$A$3:$I$56,5,FALSE)-VLOOKUP($A265,main!$A$3:$I$56,6,FALSE)&gt;=VLOOKUP(59,main!$A$57:$I$61,4,FALSE)+VLOOKUP(VLOOKUP(AD$1,main!$A$3:$I$56,7,FALSE),main!$K$10:$Q$14,7,FALSE),1,0)</f>
        <v>0</v>
      </c>
      <c r="AE265">
        <f>IF(VLOOKUP(AE$1,main!$A$3:$I$56,5,FALSE)-VLOOKUP($A265,main!$A$3:$I$56,6,FALSE)&gt;=VLOOKUP(59,main!$A$57:$I$61,4,FALSE)+VLOOKUP(VLOOKUP(AE$1,main!$A$3:$I$56,7,FALSE),main!$K$10:$Q$14,7,FALSE),1,0)</f>
        <v>0</v>
      </c>
      <c r="AF265">
        <f>IF(VLOOKUP(AF$1,main!$A$3:$I$56,5,FALSE)-VLOOKUP($A265,main!$A$3:$I$56,6,FALSE)&gt;=VLOOKUP(59,main!$A$57:$I$61,4,FALSE)+VLOOKUP(VLOOKUP(AF$1,main!$A$3:$I$56,7,FALSE),main!$K$10:$Q$14,7,FALSE),1,0)</f>
        <v>0</v>
      </c>
      <c r="AG265">
        <f>IF(VLOOKUP(AG$1,main!$A$3:$I$56,5,FALSE)-VLOOKUP($A265,main!$A$3:$I$56,6,FALSE)&gt;=VLOOKUP(59,main!$A$57:$I$61,4,FALSE)+VLOOKUP(VLOOKUP(AG$1,main!$A$3:$I$56,7,FALSE),main!$K$10:$Q$14,7,FALSE),1,0)</f>
        <v>0</v>
      </c>
      <c r="AH265">
        <f>IF(VLOOKUP(AH$1,main!$A$3:$I$56,5,FALSE)-VLOOKUP($A265,main!$A$3:$I$56,6,FALSE)&gt;=VLOOKUP(59,main!$A$57:$I$61,4,FALSE)+VLOOKUP(VLOOKUP(AH$1,main!$A$3:$I$56,7,FALSE),main!$K$10:$Q$14,7,FALSE),1,0)</f>
        <v>0</v>
      </c>
      <c r="AI265">
        <f>IF(VLOOKUP(AI$1,main!$A$3:$I$56,5,FALSE)-VLOOKUP($A265,main!$A$3:$I$56,6,FALSE)&gt;=VLOOKUP(59,main!$A$57:$I$61,4,FALSE)+VLOOKUP(VLOOKUP(AI$1,main!$A$3:$I$56,7,FALSE),main!$K$10:$Q$14,7,FALSE),1,0)</f>
        <v>0</v>
      </c>
      <c r="AJ265">
        <f>IF(VLOOKUP(AJ$1,main!$A$3:$I$56,5,FALSE)-VLOOKUP($A265,main!$A$3:$I$56,6,FALSE)&gt;=VLOOKUP(59,main!$A$57:$I$61,4,FALSE)+VLOOKUP(VLOOKUP(AJ$1,main!$A$3:$I$56,7,FALSE),main!$K$10:$Q$14,7,FALSE),1,0)</f>
        <v>0</v>
      </c>
      <c r="AK265">
        <f>IF(VLOOKUP(AK$1,main!$A$3:$I$56,5,FALSE)-VLOOKUP($A265,main!$A$3:$I$56,6,FALSE)&gt;=VLOOKUP(59,main!$A$57:$I$61,4,FALSE)+VLOOKUP(VLOOKUP(AK$1,main!$A$3:$I$56,7,FALSE),main!$K$10:$Q$14,7,FALSE),1,0)</f>
        <v>0</v>
      </c>
      <c r="AL265">
        <f>IF(VLOOKUP(AL$1,main!$A$3:$I$56,5,FALSE)-VLOOKUP($A265,main!$A$3:$I$56,6,FALSE)&gt;=VLOOKUP(59,main!$A$57:$I$61,4,FALSE)+VLOOKUP(VLOOKUP(AL$1,main!$A$3:$I$56,7,FALSE),main!$K$10:$Q$14,7,FALSE),1,0)</f>
        <v>0</v>
      </c>
      <c r="AM265">
        <f>IF(VLOOKUP(AM$1,main!$A$3:$I$56,5,FALSE)-VLOOKUP($A265,main!$A$3:$I$56,6,FALSE)&gt;=VLOOKUP(59,main!$A$57:$I$61,4,FALSE)+VLOOKUP(VLOOKUP(AM$1,main!$A$3:$I$56,7,FALSE),main!$K$10:$Q$14,7,FALSE),1,0)</f>
        <v>0</v>
      </c>
      <c r="AN265">
        <f>IF(VLOOKUP(AN$1,main!$A$3:$I$56,5,FALSE)-VLOOKUP($A265,main!$A$3:$I$56,6,FALSE)&gt;=VLOOKUP(59,main!$A$57:$I$61,4,FALSE)+VLOOKUP(VLOOKUP(AN$1,main!$A$3:$I$56,7,FALSE),main!$K$10:$Q$14,7,FALSE),1,0)</f>
        <v>0</v>
      </c>
      <c r="AO265">
        <f>IF(VLOOKUP(AO$1,main!$A$3:$I$56,5,FALSE)-VLOOKUP($A265,main!$A$3:$I$56,6,FALSE)&gt;=VLOOKUP(59,main!$A$57:$I$61,4,FALSE)+VLOOKUP(VLOOKUP(AO$1,main!$A$3:$I$56,7,FALSE),main!$K$10:$Q$14,7,FALSE),1,0)</f>
        <v>0</v>
      </c>
      <c r="AP265">
        <f>IF(VLOOKUP(AP$1,main!$A$3:$I$56,5,FALSE)-VLOOKUP($A265,main!$A$3:$I$56,6,FALSE)&gt;=VLOOKUP(59,main!$A$57:$I$61,4,FALSE)+VLOOKUP(VLOOKUP(AP$1,main!$A$3:$I$56,7,FALSE),main!$K$10:$Q$14,7,FALSE),1,0)</f>
        <v>0</v>
      </c>
      <c r="AQ265">
        <f>IF(VLOOKUP(AQ$1,main!$A$3:$I$56,5,FALSE)-VLOOKUP($A265,main!$A$3:$I$56,6,FALSE)&gt;=VLOOKUP(59,main!$A$57:$I$61,4,FALSE)+VLOOKUP(VLOOKUP(AQ$1,main!$A$3:$I$56,7,FALSE),main!$K$10:$Q$14,7,FALSE),1,0)</f>
        <v>0</v>
      </c>
      <c r="AR265">
        <f>IF(VLOOKUP(AR$1,main!$A$3:$I$56,5,FALSE)-VLOOKUP($A265,main!$A$3:$I$56,6,FALSE)&gt;=VLOOKUP(59,main!$A$57:$I$61,4,FALSE)+VLOOKUP(VLOOKUP(AR$1,main!$A$3:$I$56,7,FALSE),main!$K$10:$Q$14,7,FALSE),1,0)</f>
        <v>0</v>
      </c>
      <c r="AS265">
        <f>IF(VLOOKUP(AS$1,main!$A$3:$I$56,5,FALSE)-VLOOKUP($A265,main!$A$3:$I$56,6,FALSE)&gt;=VLOOKUP(59,main!$A$57:$I$61,4,FALSE)+VLOOKUP(VLOOKUP(AS$1,main!$A$3:$I$56,7,FALSE),main!$K$10:$Q$14,7,FALSE),1,0)</f>
        <v>0</v>
      </c>
      <c r="AT265">
        <f>IF(VLOOKUP(AT$1,main!$A$3:$I$56,5,FALSE)-VLOOKUP($A265,main!$A$3:$I$56,6,FALSE)&gt;=VLOOKUP(59,main!$A$57:$I$61,4,FALSE)+VLOOKUP(VLOOKUP(AT$1,main!$A$3:$I$56,7,FALSE),main!$K$10:$Q$14,7,FALSE),1,0)</f>
        <v>0</v>
      </c>
      <c r="AU265">
        <f>IF(VLOOKUP(AU$1,main!$A$3:$I$56,5,FALSE)-VLOOKUP($A265,main!$A$3:$I$56,6,FALSE)&gt;=VLOOKUP(59,main!$A$57:$I$61,4,FALSE)+VLOOKUP(VLOOKUP(AU$1,main!$A$3:$I$56,7,FALSE),main!$K$10:$Q$14,7,FALSE),1,0)</f>
        <v>0</v>
      </c>
      <c r="AV265">
        <f>IF(VLOOKUP(AV$1,main!$A$3:$I$56,5,FALSE)-VLOOKUP($A265,main!$A$3:$I$56,6,FALSE)&gt;=VLOOKUP(59,main!$A$57:$I$61,4,FALSE)+VLOOKUP(VLOOKUP(AV$1,main!$A$3:$I$56,7,FALSE),main!$K$10:$Q$14,7,FALSE),1,0)</f>
        <v>0</v>
      </c>
      <c r="AW265">
        <f>IF(VLOOKUP(AW$1,main!$A$3:$I$56,5,FALSE)-VLOOKUP($A265,main!$A$3:$I$56,6,FALSE)&gt;=VLOOKUP(59,main!$A$57:$I$61,4,FALSE)+VLOOKUP(VLOOKUP(AW$1,main!$A$3:$I$56,7,FALSE),main!$K$10:$Q$14,7,FALSE),1,0)</f>
        <v>0</v>
      </c>
      <c r="AX265">
        <f>IF(VLOOKUP(AX$1,main!$A$3:$I$56,5,FALSE)-VLOOKUP($A265,main!$A$3:$I$56,6,FALSE)&gt;=VLOOKUP(59,main!$A$57:$I$61,4,FALSE)+VLOOKUP(VLOOKUP(AX$1,main!$A$3:$I$56,7,FALSE),main!$K$10:$Q$14,7,FALSE),1,0)</f>
        <v>1</v>
      </c>
      <c r="AY265">
        <f>IF(VLOOKUP(AY$1,main!$A$3:$I$56,5,FALSE)-VLOOKUP($A265,main!$A$3:$I$56,6,FALSE)&gt;=VLOOKUP(59,main!$A$57:$I$61,4,FALSE)+VLOOKUP(VLOOKUP(AY$1,main!$A$3:$I$56,7,FALSE),main!$K$10:$Q$14,7,FALSE),1,0)</f>
        <v>1</v>
      </c>
      <c r="AZ265">
        <f>IF(VLOOKUP(AZ$1,main!$A$3:$I$56,5,FALSE)-VLOOKUP($A265,main!$A$3:$I$56,6,FALSE)&gt;=VLOOKUP(59,main!$A$57:$I$61,4,FALSE)+VLOOKUP(VLOOKUP(AZ$1,main!$A$3:$I$56,7,FALSE),main!$K$10:$Q$14,7,FALSE),1,0)</f>
        <v>0</v>
      </c>
      <c r="BA265">
        <f>IF(VLOOKUP(BA$1,main!$A$3:$I$56,5,FALSE)-VLOOKUP($A265,main!$A$3:$I$56,6,FALSE)&gt;=VLOOKUP(59,main!$A$57:$I$61,4,FALSE)+VLOOKUP(VLOOKUP(BA$1,main!$A$3:$I$56,7,FALSE),main!$K$10:$Q$14,7,FALSE),1,0)</f>
        <v>0</v>
      </c>
      <c r="BB265">
        <f>IF(VLOOKUP(BB$1,main!$A$3:$I$56,5,FALSE)-VLOOKUP($A265,main!$A$3:$I$56,6,FALSE)&gt;=VLOOKUP(59,main!$A$57:$I$61,4,FALSE)+VLOOKUP(VLOOKUP(BB$1,main!$A$3:$I$56,7,FALSE),main!$K$10:$Q$14,7,FALSE),1,0)</f>
        <v>0</v>
      </c>
      <c r="BC265">
        <f>IF(VLOOKUP(BC$1,main!$A$3:$I$56,5,FALSE)-VLOOKUP($A265,main!$A$3:$I$56,6,FALSE)&gt;=VLOOKUP(59,main!$A$57:$I$61,4,FALSE)+VLOOKUP(VLOOKUP(BC$1,main!$A$3:$I$56,7,FALSE),main!$K$10:$Q$14,7,FALSE),1,0)</f>
        <v>1</v>
      </c>
      <c r="BD265">
        <f>IF(VLOOKUP(BD$1,main!$A$3:$I$56,5,FALSE)-VLOOKUP($A265,main!$A$3:$I$56,6,FALSE)&gt;=VLOOKUP(59,main!$A$57:$I$61,4,FALSE)+VLOOKUP(VLOOKUP(BD$1,main!$A$3:$I$56,7,FALSE),main!$K$10:$Q$14,7,FALSE),1,0)</f>
        <v>1</v>
      </c>
    </row>
    <row r="266" spans="1:56" x14ac:dyDescent="0.25">
      <c r="A266">
        <f t="shared" si="4"/>
        <v>44</v>
      </c>
      <c r="B266">
        <v>0</v>
      </c>
      <c r="C266">
        <f>IF(VLOOKUP(C$1,main!$A$3:$I$56,5,FALSE)-VLOOKUP($A266,main!$A$3:$I$56,6,FALSE)&gt;=VLOOKUP(59,main!$A$57:$I$61,4,FALSE)+VLOOKUP(VLOOKUP(C$1,main!$A$3:$I$56,7,FALSE),main!$K$10:$Q$14,7,FALSE),1,0)</f>
        <v>0</v>
      </c>
      <c r="D266">
        <f>IF(VLOOKUP(D$1,main!$A$3:$I$56,5,FALSE)-VLOOKUP($A266,main!$A$3:$I$56,6,FALSE)&gt;=VLOOKUP(59,main!$A$57:$I$61,4,FALSE)+VLOOKUP(VLOOKUP(D$1,main!$A$3:$I$56,7,FALSE),main!$K$10:$Q$14,7,FALSE),1,0)</f>
        <v>0</v>
      </c>
      <c r="E266">
        <f>IF(VLOOKUP(E$1,main!$A$3:$I$56,5,FALSE)-VLOOKUP($A266,main!$A$3:$I$56,6,FALSE)&gt;=VLOOKUP(59,main!$A$57:$I$61,4,FALSE)+VLOOKUP(VLOOKUP(E$1,main!$A$3:$I$56,7,FALSE),main!$K$10:$Q$14,7,FALSE),1,0)</f>
        <v>0</v>
      </c>
      <c r="F266">
        <f>IF(VLOOKUP(F$1,main!$A$3:$I$56,5,FALSE)-VLOOKUP($A266,main!$A$3:$I$56,6,FALSE)&gt;=VLOOKUP(59,main!$A$57:$I$61,4,FALSE)+VLOOKUP(VLOOKUP(F$1,main!$A$3:$I$56,7,FALSE),main!$K$10:$Q$14,7,FALSE),1,0)</f>
        <v>0</v>
      </c>
      <c r="G266">
        <f>IF(VLOOKUP(G$1,main!$A$3:$I$56,5,FALSE)-VLOOKUP($A266,main!$A$3:$I$56,6,FALSE)&gt;=VLOOKUP(59,main!$A$57:$I$61,4,FALSE)+VLOOKUP(VLOOKUP(G$1,main!$A$3:$I$56,7,FALSE),main!$K$10:$Q$14,7,FALSE),1,0)</f>
        <v>0</v>
      </c>
      <c r="H266">
        <f>IF(VLOOKUP(H$1,main!$A$3:$I$56,5,FALSE)-VLOOKUP($A266,main!$A$3:$I$56,6,FALSE)&gt;=VLOOKUP(59,main!$A$57:$I$61,4,FALSE)+VLOOKUP(VLOOKUP(H$1,main!$A$3:$I$56,7,FALSE),main!$K$10:$Q$14,7,FALSE),1,0)</f>
        <v>0</v>
      </c>
      <c r="I266">
        <f>IF(VLOOKUP(I$1,main!$A$3:$I$56,5,FALSE)-VLOOKUP($A266,main!$A$3:$I$56,6,FALSE)&gt;=VLOOKUP(59,main!$A$57:$I$61,4,FALSE)+VLOOKUP(VLOOKUP(I$1,main!$A$3:$I$56,7,FALSE),main!$K$10:$Q$14,7,FALSE),1,0)</f>
        <v>0</v>
      </c>
      <c r="J266">
        <f>IF(VLOOKUP(J$1,main!$A$3:$I$56,5,FALSE)-VLOOKUP($A266,main!$A$3:$I$56,6,FALSE)&gt;=VLOOKUP(59,main!$A$57:$I$61,4,FALSE)+VLOOKUP(VLOOKUP(J$1,main!$A$3:$I$56,7,FALSE),main!$K$10:$Q$14,7,FALSE),1,0)</f>
        <v>0</v>
      </c>
      <c r="K266">
        <f>IF(VLOOKUP(K$1,main!$A$3:$I$56,5,FALSE)-VLOOKUP($A266,main!$A$3:$I$56,6,FALSE)&gt;=VLOOKUP(59,main!$A$57:$I$61,4,FALSE)+VLOOKUP(VLOOKUP(K$1,main!$A$3:$I$56,7,FALSE),main!$K$10:$Q$14,7,FALSE),1,0)</f>
        <v>0</v>
      </c>
      <c r="L266">
        <f>IF(VLOOKUP(L$1,main!$A$3:$I$56,5,FALSE)-VLOOKUP($A266,main!$A$3:$I$56,6,FALSE)&gt;=VLOOKUP(59,main!$A$57:$I$61,4,FALSE)+VLOOKUP(VLOOKUP(L$1,main!$A$3:$I$56,7,FALSE),main!$K$10:$Q$14,7,FALSE),1,0)</f>
        <v>0</v>
      </c>
      <c r="M266">
        <f>IF(VLOOKUP(M$1,main!$A$3:$I$56,5,FALSE)-VLOOKUP($A266,main!$A$3:$I$56,6,FALSE)&gt;=VLOOKUP(59,main!$A$57:$I$61,4,FALSE)+VLOOKUP(VLOOKUP(M$1,main!$A$3:$I$56,7,FALSE),main!$K$10:$Q$14,7,FALSE),1,0)</f>
        <v>0</v>
      </c>
      <c r="N266">
        <f>IF(VLOOKUP(N$1,main!$A$3:$I$56,5,FALSE)-VLOOKUP($A266,main!$A$3:$I$56,6,FALSE)&gt;=VLOOKUP(59,main!$A$57:$I$61,4,FALSE)+VLOOKUP(VLOOKUP(N$1,main!$A$3:$I$56,7,FALSE),main!$K$10:$Q$14,7,FALSE),1,0)</f>
        <v>0</v>
      </c>
      <c r="O266">
        <f>IF(VLOOKUP(O$1,main!$A$3:$I$56,5,FALSE)-VLOOKUP($A266,main!$A$3:$I$56,6,FALSE)&gt;=VLOOKUP(59,main!$A$57:$I$61,4,FALSE)+VLOOKUP(VLOOKUP(O$1,main!$A$3:$I$56,7,FALSE),main!$K$10:$Q$14,7,FALSE),1,0)</f>
        <v>0</v>
      </c>
      <c r="P266">
        <f>IF(VLOOKUP(P$1,main!$A$3:$I$56,5,FALSE)-VLOOKUP($A266,main!$A$3:$I$56,6,FALSE)&gt;=VLOOKUP(59,main!$A$57:$I$61,4,FALSE)+VLOOKUP(VLOOKUP(P$1,main!$A$3:$I$56,7,FALSE),main!$K$10:$Q$14,7,FALSE),1,0)</f>
        <v>0</v>
      </c>
      <c r="Q266">
        <f>IF(VLOOKUP(Q$1,main!$A$3:$I$56,5,FALSE)-VLOOKUP($A266,main!$A$3:$I$56,6,FALSE)&gt;=VLOOKUP(59,main!$A$57:$I$61,4,FALSE)+VLOOKUP(VLOOKUP(Q$1,main!$A$3:$I$56,7,FALSE),main!$K$10:$Q$14,7,FALSE),1,0)</f>
        <v>0</v>
      </c>
      <c r="R266">
        <f>IF(VLOOKUP(R$1,main!$A$3:$I$56,5,FALSE)-VLOOKUP($A266,main!$A$3:$I$56,6,FALSE)&gt;=VLOOKUP(59,main!$A$57:$I$61,4,FALSE)+VLOOKUP(VLOOKUP(R$1,main!$A$3:$I$56,7,FALSE),main!$K$10:$Q$14,7,FALSE),1,0)</f>
        <v>0</v>
      </c>
      <c r="S266">
        <f>IF(VLOOKUP(S$1,main!$A$3:$I$56,5,FALSE)-VLOOKUP($A266,main!$A$3:$I$56,6,FALSE)&gt;=VLOOKUP(59,main!$A$57:$I$61,4,FALSE)+VLOOKUP(VLOOKUP(S$1,main!$A$3:$I$56,7,FALSE),main!$K$10:$Q$14,7,FALSE),1,0)</f>
        <v>0</v>
      </c>
      <c r="T266">
        <f>IF(VLOOKUP(T$1,main!$A$3:$I$56,5,FALSE)-VLOOKUP($A266,main!$A$3:$I$56,6,FALSE)&gt;=VLOOKUP(59,main!$A$57:$I$61,4,FALSE)+VLOOKUP(VLOOKUP(T$1,main!$A$3:$I$56,7,FALSE),main!$K$10:$Q$14,7,FALSE),1,0)</f>
        <v>0</v>
      </c>
      <c r="U266">
        <f>IF(VLOOKUP(U$1,main!$A$3:$I$56,5,FALSE)-VLOOKUP($A266,main!$A$3:$I$56,6,FALSE)&gt;=VLOOKUP(59,main!$A$57:$I$61,4,FALSE)+VLOOKUP(VLOOKUP(U$1,main!$A$3:$I$56,7,FALSE),main!$K$10:$Q$14,7,FALSE),1,0)</f>
        <v>0</v>
      </c>
      <c r="V266">
        <f>IF(VLOOKUP(V$1,main!$A$3:$I$56,5,FALSE)-VLOOKUP($A266,main!$A$3:$I$56,6,FALSE)&gt;=VLOOKUP(59,main!$A$57:$I$61,4,FALSE)+VLOOKUP(VLOOKUP(V$1,main!$A$3:$I$56,7,FALSE),main!$K$10:$Q$14,7,FALSE),1,0)</f>
        <v>0</v>
      </c>
      <c r="W266">
        <f>IF(VLOOKUP(W$1,main!$A$3:$I$56,5,FALSE)-VLOOKUP($A266,main!$A$3:$I$56,6,FALSE)&gt;=VLOOKUP(59,main!$A$57:$I$61,4,FALSE)+VLOOKUP(VLOOKUP(W$1,main!$A$3:$I$56,7,FALSE),main!$K$10:$Q$14,7,FALSE),1,0)</f>
        <v>0</v>
      </c>
      <c r="X266">
        <f>IF(VLOOKUP(X$1,main!$A$3:$I$56,5,FALSE)-VLOOKUP($A266,main!$A$3:$I$56,6,FALSE)&gt;=VLOOKUP(59,main!$A$57:$I$61,4,FALSE)+VLOOKUP(VLOOKUP(X$1,main!$A$3:$I$56,7,FALSE),main!$K$10:$Q$14,7,FALSE),1,0)</f>
        <v>0</v>
      </c>
      <c r="Y266">
        <f>IF(VLOOKUP(Y$1,main!$A$3:$I$56,5,FALSE)-VLOOKUP($A266,main!$A$3:$I$56,6,FALSE)&gt;=VLOOKUP(59,main!$A$57:$I$61,4,FALSE)+VLOOKUP(VLOOKUP(Y$1,main!$A$3:$I$56,7,FALSE),main!$K$10:$Q$14,7,FALSE),1,0)</f>
        <v>0</v>
      </c>
      <c r="Z266">
        <f>IF(VLOOKUP(Z$1,main!$A$3:$I$56,5,FALSE)-VLOOKUP($A266,main!$A$3:$I$56,6,FALSE)&gt;=VLOOKUP(59,main!$A$57:$I$61,4,FALSE)+VLOOKUP(VLOOKUP(Z$1,main!$A$3:$I$56,7,FALSE),main!$K$10:$Q$14,7,FALSE),1,0)</f>
        <v>0</v>
      </c>
      <c r="AA266">
        <f>IF(VLOOKUP(AA$1,main!$A$3:$I$56,5,FALSE)-VLOOKUP($A266,main!$A$3:$I$56,6,FALSE)&gt;=VLOOKUP(59,main!$A$57:$I$61,4,FALSE)+VLOOKUP(VLOOKUP(AA$1,main!$A$3:$I$56,7,FALSE),main!$K$10:$Q$14,7,FALSE),1,0)</f>
        <v>0</v>
      </c>
      <c r="AB266">
        <f>IF(VLOOKUP(AB$1,main!$A$3:$I$56,5,FALSE)-VLOOKUP($A266,main!$A$3:$I$56,6,FALSE)&gt;=VLOOKUP(59,main!$A$57:$I$61,4,FALSE)+VLOOKUP(VLOOKUP(AB$1,main!$A$3:$I$56,7,FALSE),main!$K$10:$Q$14,7,FALSE),1,0)</f>
        <v>0</v>
      </c>
      <c r="AC266">
        <f>IF(VLOOKUP(AC$1,main!$A$3:$I$56,5,FALSE)-VLOOKUP($A266,main!$A$3:$I$56,6,FALSE)&gt;=VLOOKUP(59,main!$A$57:$I$61,4,FALSE)+VLOOKUP(VLOOKUP(AC$1,main!$A$3:$I$56,7,FALSE),main!$K$10:$Q$14,7,FALSE),1,0)</f>
        <v>0</v>
      </c>
      <c r="AD266">
        <f>IF(VLOOKUP(AD$1,main!$A$3:$I$56,5,FALSE)-VLOOKUP($A266,main!$A$3:$I$56,6,FALSE)&gt;=VLOOKUP(59,main!$A$57:$I$61,4,FALSE)+VLOOKUP(VLOOKUP(AD$1,main!$A$3:$I$56,7,FALSE),main!$K$10:$Q$14,7,FALSE),1,0)</f>
        <v>0</v>
      </c>
      <c r="AE266">
        <f>IF(VLOOKUP(AE$1,main!$A$3:$I$56,5,FALSE)-VLOOKUP($A266,main!$A$3:$I$56,6,FALSE)&gt;=VLOOKUP(59,main!$A$57:$I$61,4,FALSE)+VLOOKUP(VLOOKUP(AE$1,main!$A$3:$I$56,7,FALSE),main!$K$10:$Q$14,7,FALSE),1,0)</f>
        <v>0</v>
      </c>
      <c r="AF266">
        <f>IF(VLOOKUP(AF$1,main!$A$3:$I$56,5,FALSE)-VLOOKUP($A266,main!$A$3:$I$56,6,FALSE)&gt;=VLOOKUP(59,main!$A$57:$I$61,4,FALSE)+VLOOKUP(VLOOKUP(AF$1,main!$A$3:$I$56,7,FALSE),main!$K$10:$Q$14,7,FALSE),1,0)</f>
        <v>0</v>
      </c>
      <c r="AG266">
        <f>IF(VLOOKUP(AG$1,main!$A$3:$I$56,5,FALSE)-VLOOKUP($A266,main!$A$3:$I$56,6,FALSE)&gt;=VLOOKUP(59,main!$A$57:$I$61,4,FALSE)+VLOOKUP(VLOOKUP(AG$1,main!$A$3:$I$56,7,FALSE),main!$K$10:$Q$14,7,FALSE),1,0)</f>
        <v>0</v>
      </c>
      <c r="AH266">
        <f>IF(VLOOKUP(AH$1,main!$A$3:$I$56,5,FALSE)-VLOOKUP($A266,main!$A$3:$I$56,6,FALSE)&gt;=VLOOKUP(59,main!$A$57:$I$61,4,FALSE)+VLOOKUP(VLOOKUP(AH$1,main!$A$3:$I$56,7,FALSE),main!$K$10:$Q$14,7,FALSE),1,0)</f>
        <v>0</v>
      </c>
      <c r="AI266">
        <f>IF(VLOOKUP(AI$1,main!$A$3:$I$56,5,FALSE)-VLOOKUP($A266,main!$A$3:$I$56,6,FALSE)&gt;=VLOOKUP(59,main!$A$57:$I$61,4,FALSE)+VLOOKUP(VLOOKUP(AI$1,main!$A$3:$I$56,7,FALSE),main!$K$10:$Q$14,7,FALSE),1,0)</f>
        <v>0</v>
      </c>
      <c r="AJ266">
        <f>IF(VLOOKUP(AJ$1,main!$A$3:$I$56,5,FALSE)-VLOOKUP($A266,main!$A$3:$I$56,6,FALSE)&gt;=VLOOKUP(59,main!$A$57:$I$61,4,FALSE)+VLOOKUP(VLOOKUP(AJ$1,main!$A$3:$I$56,7,FALSE),main!$K$10:$Q$14,7,FALSE),1,0)</f>
        <v>0</v>
      </c>
      <c r="AK266">
        <f>IF(VLOOKUP(AK$1,main!$A$3:$I$56,5,FALSE)-VLOOKUP($A266,main!$A$3:$I$56,6,FALSE)&gt;=VLOOKUP(59,main!$A$57:$I$61,4,FALSE)+VLOOKUP(VLOOKUP(AK$1,main!$A$3:$I$56,7,FALSE),main!$K$10:$Q$14,7,FALSE),1,0)</f>
        <v>0</v>
      </c>
      <c r="AL266">
        <f>IF(VLOOKUP(AL$1,main!$A$3:$I$56,5,FALSE)-VLOOKUP($A266,main!$A$3:$I$56,6,FALSE)&gt;=VLOOKUP(59,main!$A$57:$I$61,4,FALSE)+VLOOKUP(VLOOKUP(AL$1,main!$A$3:$I$56,7,FALSE),main!$K$10:$Q$14,7,FALSE),1,0)</f>
        <v>0</v>
      </c>
      <c r="AM266">
        <f>IF(VLOOKUP(AM$1,main!$A$3:$I$56,5,FALSE)-VLOOKUP($A266,main!$A$3:$I$56,6,FALSE)&gt;=VLOOKUP(59,main!$A$57:$I$61,4,FALSE)+VLOOKUP(VLOOKUP(AM$1,main!$A$3:$I$56,7,FALSE),main!$K$10:$Q$14,7,FALSE),1,0)</f>
        <v>0</v>
      </c>
      <c r="AN266">
        <f>IF(VLOOKUP(AN$1,main!$A$3:$I$56,5,FALSE)-VLOOKUP($A266,main!$A$3:$I$56,6,FALSE)&gt;=VLOOKUP(59,main!$A$57:$I$61,4,FALSE)+VLOOKUP(VLOOKUP(AN$1,main!$A$3:$I$56,7,FALSE),main!$K$10:$Q$14,7,FALSE),1,0)</f>
        <v>0</v>
      </c>
      <c r="AO266">
        <f>IF(VLOOKUP(AO$1,main!$A$3:$I$56,5,FALSE)-VLOOKUP($A266,main!$A$3:$I$56,6,FALSE)&gt;=VLOOKUP(59,main!$A$57:$I$61,4,FALSE)+VLOOKUP(VLOOKUP(AO$1,main!$A$3:$I$56,7,FALSE),main!$K$10:$Q$14,7,FALSE),1,0)</f>
        <v>0</v>
      </c>
      <c r="AP266">
        <f>IF(VLOOKUP(AP$1,main!$A$3:$I$56,5,FALSE)-VLOOKUP($A266,main!$A$3:$I$56,6,FALSE)&gt;=VLOOKUP(59,main!$A$57:$I$61,4,FALSE)+VLOOKUP(VLOOKUP(AP$1,main!$A$3:$I$56,7,FALSE),main!$K$10:$Q$14,7,FALSE),1,0)</f>
        <v>0</v>
      </c>
      <c r="AQ266">
        <f>IF(VLOOKUP(AQ$1,main!$A$3:$I$56,5,FALSE)-VLOOKUP($A266,main!$A$3:$I$56,6,FALSE)&gt;=VLOOKUP(59,main!$A$57:$I$61,4,FALSE)+VLOOKUP(VLOOKUP(AQ$1,main!$A$3:$I$56,7,FALSE),main!$K$10:$Q$14,7,FALSE),1,0)</f>
        <v>0</v>
      </c>
      <c r="AR266">
        <f>IF(VLOOKUP(AR$1,main!$A$3:$I$56,5,FALSE)-VLOOKUP($A266,main!$A$3:$I$56,6,FALSE)&gt;=VLOOKUP(59,main!$A$57:$I$61,4,FALSE)+VLOOKUP(VLOOKUP(AR$1,main!$A$3:$I$56,7,FALSE),main!$K$10:$Q$14,7,FALSE),1,0)</f>
        <v>0</v>
      </c>
      <c r="AS266">
        <f>IF(VLOOKUP(AS$1,main!$A$3:$I$56,5,FALSE)-VLOOKUP($A266,main!$A$3:$I$56,6,FALSE)&gt;=VLOOKUP(59,main!$A$57:$I$61,4,FALSE)+VLOOKUP(VLOOKUP(AS$1,main!$A$3:$I$56,7,FALSE),main!$K$10:$Q$14,7,FALSE),1,0)</f>
        <v>0</v>
      </c>
      <c r="AT266">
        <f>IF(VLOOKUP(AT$1,main!$A$3:$I$56,5,FALSE)-VLOOKUP($A266,main!$A$3:$I$56,6,FALSE)&gt;=VLOOKUP(59,main!$A$57:$I$61,4,FALSE)+VLOOKUP(VLOOKUP(AT$1,main!$A$3:$I$56,7,FALSE),main!$K$10:$Q$14,7,FALSE),1,0)</f>
        <v>0</v>
      </c>
      <c r="AU266">
        <f>IF(VLOOKUP(AU$1,main!$A$3:$I$56,5,FALSE)-VLOOKUP($A266,main!$A$3:$I$56,6,FALSE)&gt;=VLOOKUP(59,main!$A$57:$I$61,4,FALSE)+VLOOKUP(VLOOKUP(AU$1,main!$A$3:$I$56,7,FALSE),main!$K$10:$Q$14,7,FALSE),1,0)</f>
        <v>0</v>
      </c>
      <c r="AV266">
        <f>IF(VLOOKUP(AV$1,main!$A$3:$I$56,5,FALSE)-VLOOKUP($A266,main!$A$3:$I$56,6,FALSE)&gt;=VLOOKUP(59,main!$A$57:$I$61,4,FALSE)+VLOOKUP(VLOOKUP(AV$1,main!$A$3:$I$56,7,FALSE),main!$K$10:$Q$14,7,FALSE),1,0)</f>
        <v>0</v>
      </c>
      <c r="AW266">
        <f>IF(VLOOKUP(AW$1,main!$A$3:$I$56,5,FALSE)-VLOOKUP($A266,main!$A$3:$I$56,6,FALSE)&gt;=VLOOKUP(59,main!$A$57:$I$61,4,FALSE)+VLOOKUP(VLOOKUP(AW$1,main!$A$3:$I$56,7,FALSE),main!$K$10:$Q$14,7,FALSE),1,0)</f>
        <v>0</v>
      </c>
      <c r="AX266">
        <f>IF(VLOOKUP(AX$1,main!$A$3:$I$56,5,FALSE)-VLOOKUP($A266,main!$A$3:$I$56,6,FALSE)&gt;=VLOOKUP(59,main!$A$57:$I$61,4,FALSE)+VLOOKUP(VLOOKUP(AX$1,main!$A$3:$I$56,7,FALSE),main!$K$10:$Q$14,7,FALSE),1,0)</f>
        <v>0</v>
      </c>
      <c r="AY266">
        <f>IF(VLOOKUP(AY$1,main!$A$3:$I$56,5,FALSE)-VLOOKUP($A266,main!$A$3:$I$56,6,FALSE)&gt;=VLOOKUP(59,main!$A$57:$I$61,4,FALSE)+VLOOKUP(VLOOKUP(AY$1,main!$A$3:$I$56,7,FALSE),main!$K$10:$Q$14,7,FALSE),1,0)</f>
        <v>1</v>
      </c>
      <c r="AZ266">
        <f>IF(VLOOKUP(AZ$1,main!$A$3:$I$56,5,FALSE)-VLOOKUP($A266,main!$A$3:$I$56,6,FALSE)&gt;=VLOOKUP(59,main!$A$57:$I$61,4,FALSE)+VLOOKUP(VLOOKUP(AZ$1,main!$A$3:$I$56,7,FALSE),main!$K$10:$Q$14,7,FALSE),1,0)</f>
        <v>0</v>
      </c>
      <c r="BA266">
        <f>IF(VLOOKUP(BA$1,main!$A$3:$I$56,5,FALSE)-VLOOKUP($A266,main!$A$3:$I$56,6,FALSE)&gt;=VLOOKUP(59,main!$A$57:$I$61,4,FALSE)+VLOOKUP(VLOOKUP(BA$1,main!$A$3:$I$56,7,FALSE),main!$K$10:$Q$14,7,FALSE),1,0)</f>
        <v>0</v>
      </c>
      <c r="BB266">
        <f>IF(VLOOKUP(BB$1,main!$A$3:$I$56,5,FALSE)-VLOOKUP($A266,main!$A$3:$I$56,6,FALSE)&gt;=VLOOKUP(59,main!$A$57:$I$61,4,FALSE)+VLOOKUP(VLOOKUP(BB$1,main!$A$3:$I$56,7,FALSE),main!$K$10:$Q$14,7,FALSE),1,0)</f>
        <v>0</v>
      </c>
      <c r="BC266">
        <f>IF(VLOOKUP(BC$1,main!$A$3:$I$56,5,FALSE)-VLOOKUP($A266,main!$A$3:$I$56,6,FALSE)&gt;=VLOOKUP(59,main!$A$57:$I$61,4,FALSE)+VLOOKUP(VLOOKUP(BC$1,main!$A$3:$I$56,7,FALSE),main!$K$10:$Q$14,7,FALSE),1,0)</f>
        <v>0</v>
      </c>
      <c r="BD266">
        <f>IF(VLOOKUP(BD$1,main!$A$3:$I$56,5,FALSE)-VLOOKUP($A266,main!$A$3:$I$56,6,FALSE)&gt;=VLOOKUP(59,main!$A$57:$I$61,4,FALSE)+VLOOKUP(VLOOKUP(BD$1,main!$A$3:$I$56,7,FALSE),main!$K$10:$Q$14,7,FALSE),1,0)</f>
        <v>0</v>
      </c>
    </row>
    <row r="267" spans="1:56" x14ac:dyDescent="0.25">
      <c r="A267">
        <f t="shared" si="4"/>
        <v>45</v>
      </c>
      <c r="B267">
        <v>0</v>
      </c>
      <c r="C267">
        <f>IF(VLOOKUP(C$1,main!$A$3:$I$56,5,FALSE)-VLOOKUP($A267,main!$A$3:$I$56,6,FALSE)&gt;=VLOOKUP(59,main!$A$57:$I$61,4,FALSE)+VLOOKUP(VLOOKUP(C$1,main!$A$3:$I$56,7,FALSE),main!$K$10:$Q$14,7,FALSE),1,0)</f>
        <v>0</v>
      </c>
      <c r="D267">
        <f>IF(VLOOKUP(D$1,main!$A$3:$I$56,5,FALSE)-VLOOKUP($A267,main!$A$3:$I$56,6,FALSE)&gt;=VLOOKUP(59,main!$A$57:$I$61,4,FALSE)+VLOOKUP(VLOOKUP(D$1,main!$A$3:$I$56,7,FALSE),main!$K$10:$Q$14,7,FALSE),1,0)</f>
        <v>0</v>
      </c>
      <c r="E267">
        <f>IF(VLOOKUP(E$1,main!$A$3:$I$56,5,FALSE)-VLOOKUP($A267,main!$A$3:$I$56,6,FALSE)&gt;=VLOOKUP(59,main!$A$57:$I$61,4,FALSE)+VLOOKUP(VLOOKUP(E$1,main!$A$3:$I$56,7,FALSE),main!$K$10:$Q$14,7,FALSE),1,0)</f>
        <v>0</v>
      </c>
      <c r="F267">
        <f>IF(VLOOKUP(F$1,main!$A$3:$I$56,5,FALSE)-VLOOKUP($A267,main!$A$3:$I$56,6,FALSE)&gt;=VLOOKUP(59,main!$A$57:$I$61,4,FALSE)+VLOOKUP(VLOOKUP(F$1,main!$A$3:$I$56,7,FALSE),main!$K$10:$Q$14,7,FALSE),1,0)</f>
        <v>0</v>
      </c>
      <c r="G267">
        <f>IF(VLOOKUP(G$1,main!$A$3:$I$56,5,FALSE)-VLOOKUP($A267,main!$A$3:$I$56,6,FALSE)&gt;=VLOOKUP(59,main!$A$57:$I$61,4,FALSE)+VLOOKUP(VLOOKUP(G$1,main!$A$3:$I$56,7,FALSE),main!$K$10:$Q$14,7,FALSE),1,0)</f>
        <v>0</v>
      </c>
      <c r="H267">
        <f>IF(VLOOKUP(H$1,main!$A$3:$I$56,5,FALSE)-VLOOKUP($A267,main!$A$3:$I$56,6,FALSE)&gt;=VLOOKUP(59,main!$A$57:$I$61,4,FALSE)+VLOOKUP(VLOOKUP(H$1,main!$A$3:$I$56,7,FALSE),main!$K$10:$Q$14,7,FALSE),1,0)</f>
        <v>0</v>
      </c>
      <c r="I267">
        <f>IF(VLOOKUP(I$1,main!$A$3:$I$56,5,FALSE)-VLOOKUP($A267,main!$A$3:$I$56,6,FALSE)&gt;=VLOOKUP(59,main!$A$57:$I$61,4,FALSE)+VLOOKUP(VLOOKUP(I$1,main!$A$3:$I$56,7,FALSE),main!$K$10:$Q$14,7,FALSE),1,0)</f>
        <v>0</v>
      </c>
      <c r="J267">
        <f>IF(VLOOKUP(J$1,main!$A$3:$I$56,5,FALSE)-VLOOKUP($A267,main!$A$3:$I$56,6,FALSE)&gt;=VLOOKUP(59,main!$A$57:$I$61,4,FALSE)+VLOOKUP(VLOOKUP(J$1,main!$A$3:$I$56,7,FALSE),main!$K$10:$Q$14,7,FALSE),1,0)</f>
        <v>1</v>
      </c>
      <c r="K267">
        <f>IF(VLOOKUP(K$1,main!$A$3:$I$56,5,FALSE)-VLOOKUP($A267,main!$A$3:$I$56,6,FALSE)&gt;=VLOOKUP(59,main!$A$57:$I$61,4,FALSE)+VLOOKUP(VLOOKUP(K$1,main!$A$3:$I$56,7,FALSE),main!$K$10:$Q$14,7,FALSE),1,0)</f>
        <v>0</v>
      </c>
      <c r="L267">
        <f>IF(VLOOKUP(L$1,main!$A$3:$I$56,5,FALSE)-VLOOKUP($A267,main!$A$3:$I$56,6,FALSE)&gt;=VLOOKUP(59,main!$A$57:$I$61,4,FALSE)+VLOOKUP(VLOOKUP(L$1,main!$A$3:$I$56,7,FALSE),main!$K$10:$Q$14,7,FALSE),1,0)</f>
        <v>0</v>
      </c>
      <c r="M267">
        <f>IF(VLOOKUP(M$1,main!$A$3:$I$56,5,FALSE)-VLOOKUP($A267,main!$A$3:$I$56,6,FALSE)&gt;=VLOOKUP(59,main!$A$57:$I$61,4,FALSE)+VLOOKUP(VLOOKUP(M$1,main!$A$3:$I$56,7,FALSE),main!$K$10:$Q$14,7,FALSE),1,0)</f>
        <v>0</v>
      </c>
      <c r="N267">
        <f>IF(VLOOKUP(N$1,main!$A$3:$I$56,5,FALSE)-VLOOKUP($A267,main!$A$3:$I$56,6,FALSE)&gt;=VLOOKUP(59,main!$A$57:$I$61,4,FALSE)+VLOOKUP(VLOOKUP(N$1,main!$A$3:$I$56,7,FALSE),main!$K$10:$Q$14,7,FALSE),1,0)</f>
        <v>1</v>
      </c>
      <c r="O267">
        <f>IF(VLOOKUP(O$1,main!$A$3:$I$56,5,FALSE)-VLOOKUP($A267,main!$A$3:$I$56,6,FALSE)&gt;=VLOOKUP(59,main!$A$57:$I$61,4,FALSE)+VLOOKUP(VLOOKUP(O$1,main!$A$3:$I$56,7,FALSE),main!$K$10:$Q$14,7,FALSE),1,0)</f>
        <v>1</v>
      </c>
      <c r="P267">
        <f>IF(VLOOKUP(P$1,main!$A$3:$I$56,5,FALSE)-VLOOKUP($A267,main!$A$3:$I$56,6,FALSE)&gt;=VLOOKUP(59,main!$A$57:$I$61,4,FALSE)+VLOOKUP(VLOOKUP(P$1,main!$A$3:$I$56,7,FALSE),main!$K$10:$Q$14,7,FALSE),1,0)</f>
        <v>0</v>
      </c>
      <c r="Q267">
        <f>IF(VLOOKUP(Q$1,main!$A$3:$I$56,5,FALSE)-VLOOKUP($A267,main!$A$3:$I$56,6,FALSE)&gt;=VLOOKUP(59,main!$A$57:$I$61,4,FALSE)+VLOOKUP(VLOOKUP(Q$1,main!$A$3:$I$56,7,FALSE),main!$K$10:$Q$14,7,FALSE),1,0)</f>
        <v>0</v>
      </c>
      <c r="R267">
        <f>IF(VLOOKUP(R$1,main!$A$3:$I$56,5,FALSE)-VLOOKUP($A267,main!$A$3:$I$56,6,FALSE)&gt;=VLOOKUP(59,main!$A$57:$I$61,4,FALSE)+VLOOKUP(VLOOKUP(R$1,main!$A$3:$I$56,7,FALSE),main!$K$10:$Q$14,7,FALSE),1,0)</f>
        <v>0</v>
      </c>
      <c r="S267">
        <f>IF(VLOOKUP(S$1,main!$A$3:$I$56,5,FALSE)-VLOOKUP($A267,main!$A$3:$I$56,6,FALSE)&gt;=VLOOKUP(59,main!$A$57:$I$61,4,FALSE)+VLOOKUP(VLOOKUP(S$1,main!$A$3:$I$56,7,FALSE),main!$K$10:$Q$14,7,FALSE),1,0)</f>
        <v>0</v>
      </c>
      <c r="T267">
        <f>IF(VLOOKUP(T$1,main!$A$3:$I$56,5,FALSE)-VLOOKUP($A267,main!$A$3:$I$56,6,FALSE)&gt;=VLOOKUP(59,main!$A$57:$I$61,4,FALSE)+VLOOKUP(VLOOKUP(T$1,main!$A$3:$I$56,7,FALSE),main!$K$10:$Q$14,7,FALSE),1,0)</f>
        <v>0</v>
      </c>
      <c r="U267">
        <f>IF(VLOOKUP(U$1,main!$A$3:$I$56,5,FALSE)-VLOOKUP($A267,main!$A$3:$I$56,6,FALSE)&gt;=VLOOKUP(59,main!$A$57:$I$61,4,FALSE)+VLOOKUP(VLOOKUP(U$1,main!$A$3:$I$56,7,FALSE),main!$K$10:$Q$14,7,FALSE),1,0)</f>
        <v>0</v>
      </c>
      <c r="V267">
        <f>IF(VLOOKUP(V$1,main!$A$3:$I$56,5,FALSE)-VLOOKUP($A267,main!$A$3:$I$56,6,FALSE)&gt;=VLOOKUP(59,main!$A$57:$I$61,4,FALSE)+VLOOKUP(VLOOKUP(V$1,main!$A$3:$I$56,7,FALSE),main!$K$10:$Q$14,7,FALSE),1,0)</f>
        <v>0</v>
      </c>
      <c r="W267">
        <f>IF(VLOOKUP(W$1,main!$A$3:$I$56,5,FALSE)-VLOOKUP($A267,main!$A$3:$I$56,6,FALSE)&gt;=VLOOKUP(59,main!$A$57:$I$61,4,FALSE)+VLOOKUP(VLOOKUP(W$1,main!$A$3:$I$56,7,FALSE),main!$K$10:$Q$14,7,FALSE),1,0)</f>
        <v>0</v>
      </c>
      <c r="X267">
        <f>IF(VLOOKUP(X$1,main!$A$3:$I$56,5,FALSE)-VLOOKUP($A267,main!$A$3:$I$56,6,FALSE)&gt;=VLOOKUP(59,main!$A$57:$I$61,4,FALSE)+VLOOKUP(VLOOKUP(X$1,main!$A$3:$I$56,7,FALSE),main!$K$10:$Q$14,7,FALSE),1,0)</f>
        <v>0</v>
      </c>
      <c r="Y267">
        <f>IF(VLOOKUP(Y$1,main!$A$3:$I$56,5,FALSE)-VLOOKUP($A267,main!$A$3:$I$56,6,FALSE)&gt;=VLOOKUP(59,main!$A$57:$I$61,4,FALSE)+VLOOKUP(VLOOKUP(Y$1,main!$A$3:$I$56,7,FALSE),main!$K$10:$Q$14,7,FALSE),1,0)</f>
        <v>0</v>
      </c>
      <c r="Z267">
        <f>IF(VLOOKUP(Z$1,main!$A$3:$I$56,5,FALSE)-VLOOKUP($A267,main!$A$3:$I$56,6,FALSE)&gt;=VLOOKUP(59,main!$A$57:$I$61,4,FALSE)+VLOOKUP(VLOOKUP(Z$1,main!$A$3:$I$56,7,FALSE),main!$K$10:$Q$14,7,FALSE),1,0)</f>
        <v>0</v>
      </c>
      <c r="AA267">
        <f>IF(VLOOKUP(AA$1,main!$A$3:$I$56,5,FALSE)-VLOOKUP($A267,main!$A$3:$I$56,6,FALSE)&gt;=VLOOKUP(59,main!$A$57:$I$61,4,FALSE)+VLOOKUP(VLOOKUP(AA$1,main!$A$3:$I$56,7,FALSE),main!$K$10:$Q$14,7,FALSE),1,0)</f>
        <v>1</v>
      </c>
      <c r="AB267">
        <f>IF(VLOOKUP(AB$1,main!$A$3:$I$56,5,FALSE)-VLOOKUP($A267,main!$A$3:$I$56,6,FALSE)&gt;=VLOOKUP(59,main!$A$57:$I$61,4,FALSE)+VLOOKUP(VLOOKUP(AB$1,main!$A$3:$I$56,7,FALSE),main!$K$10:$Q$14,7,FALSE),1,0)</f>
        <v>1</v>
      </c>
      <c r="AC267">
        <f>IF(VLOOKUP(AC$1,main!$A$3:$I$56,5,FALSE)-VLOOKUP($A267,main!$A$3:$I$56,6,FALSE)&gt;=VLOOKUP(59,main!$A$57:$I$61,4,FALSE)+VLOOKUP(VLOOKUP(AC$1,main!$A$3:$I$56,7,FALSE),main!$K$10:$Q$14,7,FALSE),1,0)</f>
        <v>0</v>
      </c>
      <c r="AD267">
        <f>IF(VLOOKUP(AD$1,main!$A$3:$I$56,5,FALSE)-VLOOKUP($A267,main!$A$3:$I$56,6,FALSE)&gt;=VLOOKUP(59,main!$A$57:$I$61,4,FALSE)+VLOOKUP(VLOOKUP(AD$1,main!$A$3:$I$56,7,FALSE),main!$K$10:$Q$14,7,FALSE),1,0)</f>
        <v>0</v>
      </c>
      <c r="AE267">
        <f>IF(VLOOKUP(AE$1,main!$A$3:$I$56,5,FALSE)-VLOOKUP($A267,main!$A$3:$I$56,6,FALSE)&gt;=VLOOKUP(59,main!$A$57:$I$61,4,FALSE)+VLOOKUP(VLOOKUP(AE$1,main!$A$3:$I$56,7,FALSE),main!$K$10:$Q$14,7,FALSE),1,0)</f>
        <v>0</v>
      </c>
      <c r="AF267">
        <f>IF(VLOOKUP(AF$1,main!$A$3:$I$56,5,FALSE)-VLOOKUP($A267,main!$A$3:$I$56,6,FALSE)&gt;=VLOOKUP(59,main!$A$57:$I$61,4,FALSE)+VLOOKUP(VLOOKUP(AF$1,main!$A$3:$I$56,7,FALSE),main!$K$10:$Q$14,7,FALSE),1,0)</f>
        <v>0</v>
      </c>
      <c r="AG267">
        <f>IF(VLOOKUP(AG$1,main!$A$3:$I$56,5,FALSE)-VLOOKUP($A267,main!$A$3:$I$56,6,FALSE)&gt;=VLOOKUP(59,main!$A$57:$I$61,4,FALSE)+VLOOKUP(VLOOKUP(AG$1,main!$A$3:$I$56,7,FALSE),main!$K$10:$Q$14,7,FALSE),1,0)</f>
        <v>0</v>
      </c>
      <c r="AH267">
        <f>IF(VLOOKUP(AH$1,main!$A$3:$I$56,5,FALSE)-VLOOKUP($A267,main!$A$3:$I$56,6,FALSE)&gt;=VLOOKUP(59,main!$A$57:$I$61,4,FALSE)+VLOOKUP(VLOOKUP(AH$1,main!$A$3:$I$56,7,FALSE),main!$K$10:$Q$14,7,FALSE),1,0)</f>
        <v>0</v>
      </c>
      <c r="AI267">
        <f>IF(VLOOKUP(AI$1,main!$A$3:$I$56,5,FALSE)-VLOOKUP($A267,main!$A$3:$I$56,6,FALSE)&gt;=VLOOKUP(59,main!$A$57:$I$61,4,FALSE)+VLOOKUP(VLOOKUP(AI$1,main!$A$3:$I$56,7,FALSE),main!$K$10:$Q$14,7,FALSE),1,0)</f>
        <v>0</v>
      </c>
      <c r="AJ267">
        <f>IF(VLOOKUP(AJ$1,main!$A$3:$I$56,5,FALSE)-VLOOKUP($A267,main!$A$3:$I$56,6,FALSE)&gt;=VLOOKUP(59,main!$A$57:$I$61,4,FALSE)+VLOOKUP(VLOOKUP(AJ$1,main!$A$3:$I$56,7,FALSE),main!$K$10:$Q$14,7,FALSE),1,0)</f>
        <v>0</v>
      </c>
      <c r="AK267">
        <f>IF(VLOOKUP(AK$1,main!$A$3:$I$56,5,FALSE)-VLOOKUP($A267,main!$A$3:$I$56,6,FALSE)&gt;=VLOOKUP(59,main!$A$57:$I$61,4,FALSE)+VLOOKUP(VLOOKUP(AK$1,main!$A$3:$I$56,7,FALSE),main!$K$10:$Q$14,7,FALSE),1,0)</f>
        <v>0</v>
      </c>
      <c r="AL267">
        <f>IF(VLOOKUP(AL$1,main!$A$3:$I$56,5,FALSE)-VLOOKUP($A267,main!$A$3:$I$56,6,FALSE)&gt;=VLOOKUP(59,main!$A$57:$I$61,4,FALSE)+VLOOKUP(VLOOKUP(AL$1,main!$A$3:$I$56,7,FALSE),main!$K$10:$Q$14,7,FALSE),1,0)</f>
        <v>0</v>
      </c>
      <c r="AM267">
        <f>IF(VLOOKUP(AM$1,main!$A$3:$I$56,5,FALSE)-VLOOKUP($A267,main!$A$3:$I$56,6,FALSE)&gt;=VLOOKUP(59,main!$A$57:$I$61,4,FALSE)+VLOOKUP(VLOOKUP(AM$1,main!$A$3:$I$56,7,FALSE),main!$K$10:$Q$14,7,FALSE),1,0)</f>
        <v>0</v>
      </c>
      <c r="AN267">
        <f>IF(VLOOKUP(AN$1,main!$A$3:$I$56,5,FALSE)-VLOOKUP($A267,main!$A$3:$I$56,6,FALSE)&gt;=VLOOKUP(59,main!$A$57:$I$61,4,FALSE)+VLOOKUP(VLOOKUP(AN$1,main!$A$3:$I$56,7,FALSE),main!$K$10:$Q$14,7,FALSE),1,0)</f>
        <v>0</v>
      </c>
      <c r="AO267">
        <f>IF(VLOOKUP(AO$1,main!$A$3:$I$56,5,FALSE)-VLOOKUP($A267,main!$A$3:$I$56,6,FALSE)&gt;=VLOOKUP(59,main!$A$57:$I$61,4,FALSE)+VLOOKUP(VLOOKUP(AO$1,main!$A$3:$I$56,7,FALSE),main!$K$10:$Q$14,7,FALSE),1,0)</f>
        <v>0</v>
      </c>
      <c r="AP267">
        <f>IF(VLOOKUP(AP$1,main!$A$3:$I$56,5,FALSE)-VLOOKUP($A267,main!$A$3:$I$56,6,FALSE)&gt;=VLOOKUP(59,main!$A$57:$I$61,4,FALSE)+VLOOKUP(VLOOKUP(AP$1,main!$A$3:$I$56,7,FALSE),main!$K$10:$Q$14,7,FALSE),1,0)</f>
        <v>0</v>
      </c>
      <c r="AQ267">
        <f>IF(VLOOKUP(AQ$1,main!$A$3:$I$56,5,FALSE)-VLOOKUP($A267,main!$A$3:$I$56,6,FALSE)&gt;=VLOOKUP(59,main!$A$57:$I$61,4,FALSE)+VLOOKUP(VLOOKUP(AQ$1,main!$A$3:$I$56,7,FALSE),main!$K$10:$Q$14,7,FALSE),1,0)</f>
        <v>0</v>
      </c>
      <c r="AR267">
        <f>IF(VLOOKUP(AR$1,main!$A$3:$I$56,5,FALSE)-VLOOKUP($A267,main!$A$3:$I$56,6,FALSE)&gt;=VLOOKUP(59,main!$A$57:$I$61,4,FALSE)+VLOOKUP(VLOOKUP(AR$1,main!$A$3:$I$56,7,FALSE),main!$K$10:$Q$14,7,FALSE),1,0)</f>
        <v>0</v>
      </c>
      <c r="AS267">
        <f>IF(VLOOKUP(AS$1,main!$A$3:$I$56,5,FALSE)-VLOOKUP($A267,main!$A$3:$I$56,6,FALSE)&gt;=VLOOKUP(59,main!$A$57:$I$61,4,FALSE)+VLOOKUP(VLOOKUP(AS$1,main!$A$3:$I$56,7,FALSE),main!$K$10:$Q$14,7,FALSE),1,0)</f>
        <v>0</v>
      </c>
      <c r="AT267">
        <f>IF(VLOOKUP(AT$1,main!$A$3:$I$56,5,FALSE)-VLOOKUP($A267,main!$A$3:$I$56,6,FALSE)&gt;=VLOOKUP(59,main!$A$57:$I$61,4,FALSE)+VLOOKUP(VLOOKUP(AT$1,main!$A$3:$I$56,7,FALSE),main!$K$10:$Q$14,7,FALSE),1,0)</f>
        <v>0</v>
      </c>
      <c r="AU267">
        <f>IF(VLOOKUP(AU$1,main!$A$3:$I$56,5,FALSE)-VLOOKUP($A267,main!$A$3:$I$56,6,FALSE)&gt;=VLOOKUP(59,main!$A$57:$I$61,4,FALSE)+VLOOKUP(VLOOKUP(AU$1,main!$A$3:$I$56,7,FALSE),main!$K$10:$Q$14,7,FALSE),1,0)</f>
        <v>0</v>
      </c>
      <c r="AV267">
        <f>IF(VLOOKUP(AV$1,main!$A$3:$I$56,5,FALSE)-VLOOKUP($A267,main!$A$3:$I$56,6,FALSE)&gt;=VLOOKUP(59,main!$A$57:$I$61,4,FALSE)+VLOOKUP(VLOOKUP(AV$1,main!$A$3:$I$56,7,FALSE),main!$K$10:$Q$14,7,FALSE),1,0)</f>
        <v>0</v>
      </c>
      <c r="AW267">
        <f>IF(VLOOKUP(AW$1,main!$A$3:$I$56,5,FALSE)-VLOOKUP($A267,main!$A$3:$I$56,6,FALSE)&gt;=VLOOKUP(59,main!$A$57:$I$61,4,FALSE)+VLOOKUP(VLOOKUP(AW$1,main!$A$3:$I$56,7,FALSE),main!$K$10:$Q$14,7,FALSE),1,0)</f>
        <v>0</v>
      </c>
      <c r="AX267">
        <f>IF(VLOOKUP(AX$1,main!$A$3:$I$56,5,FALSE)-VLOOKUP($A267,main!$A$3:$I$56,6,FALSE)&gt;=VLOOKUP(59,main!$A$57:$I$61,4,FALSE)+VLOOKUP(VLOOKUP(AX$1,main!$A$3:$I$56,7,FALSE),main!$K$10:$Q$14,7,FALSE),1,0)</f>
        <v>1</v>
      </c>
      <c r="AY267">
        <f>IF(VLOOKUP(AY$1,main!$A$3:$I$56,5,FALSE)-VLOOKUP($A267,main!$A$3:$I$56,6,FALSE)&gt;=VLOOKUP(59,main!$A$57:$I$61,4,FALSE)+VLOOKUP(VLOOKUP(AY$1,main!$A$3:$I$56,7,FALSE),main!$K$10:$Q$14,7,FALSE),1,0)</f>
        <v>1</v>
      </c>
      <c r="AZ267">
        <f>IF(VLOOKUP(AZ$1,main!$A$3:$I$56,5,FALSE)-VLOOKUP($A267,main!$A$3:$I$56,6,FALSE)&gt;=VLOOKUP(59,main!$A$57:$I$61,4,FALSE)+VLOOKUP(VLOOKUP(AZ$1,main!$A$3:$I$56,7,FALSE),main!$K$10:$Q$14,7,FALSE),1,0)</f>
        <v>0</v>
      </c>
      <c r="BA267">
        <f>IF(VLOOKUP(BA$1,main!$A$3:$I$56,5,FALSE)-VLOOKUP($A267,main!$A$3:$I$56,6,FALSE)&gt;=VLOOKUP(59,main!$A$57:$I$61,4,FALSE)+VLOOKUP(VLOOKUP(BA$1,main!$A$3:$I$56,7,FALSE),main!$K$10:$Q$14,7,FALSE),1,0)</f>
        <v>0</v>
      </c>
      <c r="BB267">
        <f>IF(VLOOKUP(BB$1,main!$A$3:$I$56,5,FALSE)-VLOOKUP($A267,main!$A$3:$I$56,6,FALSE)&gt;=VLOOKUP(59,main!$A$57:$I$61,4,FALSE)+VLOOKUP(VLOOKUP(BB$1,main!$A$3:$I$56,7,FALSE),main!$K$10:$Q$14,7,FALSE),1,0)</f>
        <v>0</v>
      </c>
      <c r="BC267">
        <f>IF(VLOOKUP(BC$1,main!$A$3:$I$56,5,FALSE)-VLOOKUP($A267,main!$A$3:$I$56,6,FALSE)&gt;=VLOOKUP(59,main!$A$57:$I$61,4,FALSE)+VLOOKUP(VLOOKUP(BC$1,main!$A$3:$I$56,7,FALSE),main!$K$10:$Q$14,7,FALSE),1,0)</f>
        <v>1</v>
      </c>
      <c r="BD267">
        <f>IF(VLOOKUP(BD$1,main!$A$3:$I$56,5,FALSE)-VLOOKUP($A267,main!$A$3:$I$56,6,FALSE)&gt;=VLOOKUP(59,main!$A$57:$I$61,4,FALSE)+VLOOKUP(VLOOKUP(BD$1,main!$A$3:$I$56,7,FALSE),main!$K$10:$Q$14,7,FALSE),1,0)</f>
        <v>1</v>
      </c>
    </row>
    <row r="268" spans="1:56" x14ac:dyDescent="0.25">
      <c r="A268">
        <f t="shared" si="4"/>
        <v>46</v>
      </c>
      <c r="B268">
        <v>0</v>
      </c>
      <c r="C268">
        <f>IF(VLOOKUP(C$1,main!$A$3:$I$56,5,FALSE)-VLOOKUP($A268,main!$A$3:$I$56,6,FALSE)&gt;=VLOOKUP(59,main!$A$57:$I$61,4,FALSE)+VLOOKUP(VLOOKUP(C$1,main!$A$3:$I$56,7,FALSE),main!$K$10:$Q$14,7,FALSE),1,0)</f>
        <v>0</v>
      </c>
      <c r="D268">
        <f>IF(VLOOKUP(D$1,main!$A$3:$I$56,5,FALSE)-VLOOKUP($A268,main!$A$3:$I$56,6,FALSE)&gt;=VLOOKUP(59,main!$A$57:$I$61,4,FALSE)+VLOOKUP(VLOOKUP(D$1,main!$A$3:$I$56,7,FALSE),main!$K$10:$Q$14,7,FALSE),1,0)</f>
        <v>0</v>
      </c>
      <c r="E268">
        <f>IF(VLOOKUP(E$1,main!$A$3:$I$56,5,FALSE)-VLOOKUP($A268,main!$A$3:$I$56,6,FALSE)&gt;=VLOOKUP(59,main!$A$57:$I$61,4,FALSE)+VLOOKUP(VLOOKUP(E$1,main!$A$3:$I$56,7,FALSE),main!$K$10:$Q$14,7,FALSE),1,0)</f>
        <v>0</v>
      </c>
      <c r="F268">
        <f>IF(VLOOKUP(F$1,main!$A$3:$I$56,5,FALSE)-VLOOKUP($A268,main!$A$3:$I$56,6,FALSE)&gt;=VLOOKUP(59,main!$A$57:$I$61,4,FALSE)+VLOOKUP(VLOOKUP(F$1,main!$A$3:$I$56,7,FALSE),main!$K$10:$Q$14,7,FALSE),1,0)</f>
        <v>0</v>
      </c>
      <c r="G268">
        <f>IF(VLOOKUP(G$1,main!$A$3:$I$56,5,FALSE)-VLOOKUP($A268,main!$A$3:$I$56,6,FALSE)&gt;=VLOOKUP(59,main!$A$57:$I$61,4,FALSE)+VLOOKUP(VLOOKUP(G$1,main!$A$3:$I$56,7,FALSE),main!$K$10:$Q$14,7,FALSE),1,0)</f>
        <v>0</v>
      </c>
      <c r="H268">
        <f>IF(VLOOKUP(H$1,main!$A$3:$I$56,5,FALSE)-VLOOKUP($A268,main!$A$3:$I$56,6,FALSE)&gt;=VLOOKUP(59,main!$A$57:$I$61,4,FALSE)+VLOOKUP(VLOOKUP(H$1,main!$A$3:$I$56,7,FALSE),main!$K$10:$Q$14,7,FALSE),1,0)</f>
        <v>0</v>
      </c>
      <c r="I268">
        <f>IF(VLOOKUP(I$1,main!$A$3:$I$56,5,FALSE)-VLOOKUP($A268,main!$A$3:$I$56,6,FALSE)&gt;=VLOOKUP(59,main!$A$57:$I$61,4,FALSE)+VLOOKUP(VLOOKUP(I$1,main!$A$3:$I$56,7,FALSE),main!$K$10:$Q$14,7,FALSE),1,0)</f>
        <v>0</v>
      </c>
      <c r="J268">
        <f>IF(VLOOKUP(J$1,main!$A$3:$I$56,5,FALSE)-VLOOKUP($A268,main!$A$3:$I$56,6,FALSE)&gt;=VLOOKUP(59,main!$A$57:$I$61,4,FALSE)+VLOOKUP(VLOOKUP(J$1,main!$A$3:$I$56,7,FALSE),main!$K$10:$Q$14,7,FALSE),1,0)</f>
        <v>1</v>
      </c>
      <c r="K268">
        <f>IF(VLOOKUP(K$1,main!$A$3:$I$56,5,FALSE)-VLOOKUP($A268,main!$A$3:$I$56,6,FALSE)&gt;=VLOOKUP(59,main!$A$57:$I$61,4,FALSE)+VLOOKUP(VLOOKUP(K$1,main!$A$3:$I$56,7,FALSE),main!$K$10:$Q$14,7,FALSE),1,0)</f>
        <v>0</v>
      </c>
      <c r="L268">
        <f>IF(VLOOKUP(L$1,main!$A$3:$I$56,5,FALSE)-VLOOKUP($A268,main!$A$3:$I$56,6,FALSE)&gt;=VLOOKUP(59,main!$A$57:$I$61,4,FALSE)+VLOOKUP(VLOOKUP(L$1,main!$A$3:$I$56,7,FALSE),main!$K$10:$Q$14,7,FALSE),1,0)</f>
        <v>0</v>
      </c>
      <c r="M268">
        <f>IF(VLOOKUP(M$1,main!$A$3:$I$56,5,FALSE)-VLOOKUP($A268,main!$A$3:$I$56,6,FALSE)&gt;=VLOOKUP(59,main!$A$57:$I$61,4,FALSE)+VLOOKUP(VLOOKUP(M$1,main!$A$3:$I$56,7,FALSE),main!$K$10:$Q$14,7,FALSE),1,0)</f>
        <v>0</v>
      </c>
      <c r="N268">
        <f>IF(VLOOKUP(N$1,main!$A$3:$I$56,5,FALSE)-VLOOKUP($A268,main!$A$3:$I$56,6,FALSE)&gt;=VLOOKUP(59,main!$A$57:$I$61,4,FALSE)+VLOOKUP(VLOOKUP(N$1,main!$A$3:$I$56,7,FALSE),main!$K$10:$Q$14,7,FALSE),1,0)</f>
        <v>1</v>
      </c>
      <c r="O268">
        <f>IF(VLOOKUP(O$1,main!$A$3:$I$56,5,FALSE)-VLOOKUP($A268,main!$A$3:$I$56,6,FALSE)&gt;=VLOOKUP(59,main!$A$57:$I$61,4,FALSE)+VLOOKUP(VLOOKUP(O$1,main!$A$3:$I$56,7,FALSE),main!$K$10:$Q$14,7,FALSE),1,0)</f>
        <v>1</v>
      </c>
      <c r="P268">
        <f>IF(VLOOKUP(P$1,main!$A$3:$I$56,5,FALSE)-VLOOKUP($A268,main!$A$3:$I$56,6,FALSE)&gt;=VLOOKUP(59,main!$A$57:$I$61,4,FALSE)+VLOOKUP(VLOOKUP(P$1,main!$A$3:$I$56,7,FALSE),main!$K$10:$Q$14,7,FALSE),1,0)</f>
        <v>0</v>
      </c>
      <c r="Q268">
        <f>IF(VLOOKUP(Q$1,main!$A$3:$I$56,5,FALSE)-VLOOKUP($A268,main!$A$3:$I$56,6,FALSE)&gt;=VLOOKUP(59,main!$A$57:$I$61,4,FALSE)+VLOOKUP(VLOOKUP(Q$1,main!$A$3:$I$56,7,FALSE),main!$K$10:$Q$14,7,FALSE),1,0)</f>
        <v>0</v>
      </c>
      <c r="R268">
        <f>IF(VLOOKUP(R$1,main!$A$3:$I$56,5,FALSE)-VLOOKUP($A268,main!$A$3:$I$56,6,FALSE)&gt;=VLOOKUP(59,main!$A$57:$I$61,4,FALSE)+VLOOKUP(VLOOKUP(R$1,main!$A$3:$I$56,7,FALSE),main!$K$10:$Q$14,7,FALSE),1,0)</f>
        <v>0</v>
      </c>
      <c r="S268">
        <f>IF(VLOOKUP(S$1,main!$A$3:$I$56,5,FALSE)-VLOOKUP($A268,main!$A$3:$I$56,6,FALSE)&gt;=VLOOKUP(59,main!$A$57:$I$61,4,FALSE)+VLOOKUP(VLOOKUP(S$1,main!$A$3:$I$56,7,FALSE),main!$K$10:$Q$14,7,FALSE),1,0)</f>
        <v>0</v>
      </c>
      <c r="T268">
        <f>IF(VLOOKUP(T$1,main!$A$3:$I$56,5,FALSE)-VLOOKUP($A268,main!$A$3:$I$56,6,FALSE)&gt;=VLOOKUP(59,main!$A$57:$I$61,4,FALSE)+VLOOKUP(VLOOKUP(T$1,main!$A$3:$I$56,7,FALSE),main!$K$10:$Q$14,7,FALSE),1,0)</f>
        <v>0</v>
      </c>
      <c r="U268">
        <f>IF(VLOOKUP(U$1,main!$A$3:$I$56,5,FALSE)-VLOOKUP($A268,main!$A$3:$I$56,6,FALSE)&gt;=VLOOKUP(59,main!$A$57:$I$61,4,FALSE)+VLOOKUP(VLOOKUP(U$1,main!$A$3:$I$56,7,FALSE),main!$K$10:$Q$14,7,FALSE),1,0)</f>
        <v>0</v>
      </c>
      <c r="V268">
        <f>IF(VLOOKUP(V$1,main!$A$3:$I$56,5,FALSE)-VLOOKUP($A268,main!$A$3:$I$56,6,FALSE)&gt;=VLOOKUP(59,main!$A$57:$I$61,4,FALSE)+VLOOKUP(VLOOKUP(V$1,main!$A$3:$I$56,7,FALSE),main!$K$10:$Q$14,7,FALSE),1,0)</f>
        <v>0</v>
      </c>
      <c r="W268">
        <f>IF(VLOOKUP(W$1,main!$A$3:$I$56,5,FALSE)-VLOOKUP($A268,main!$A$3:$I$56,6,FALSE)&gt;=VLOOKUP(59,main!$A$57:$I$61,4,FALSE)+VLOOKUP(VLOOKUP(W$1,main!$A$3:$I$56,7,FALSE),main!$K$10:$Q$14,7,FALSE),1,0)</f>
        <v>0</v>
      </c>
      <c r="X268">
        <f>IF(VLOOKUP(X$1,main!$A$3:$I$56,5,FALSE)-VLOOKUP($A268,main!$A$3:$I$56,6,FALSE)&gt;=VLOOKUP(59,main!$A$57:$I$61,4,FALSE)+VLOOKUP(VLOOKUP(X$1,main!$A$3:$I$56,7,FALSE),main!$K$10:$Q$14,7,FALSE),1,0)</f>
        <v>0</v>
      </c>
      <c r="Y268">
        <f>IF(VLOOKUP(Y$1,main!$A$3:$I$56,5,FALSE)-VLOOKUP($A268,main!$A$3:$I$56,6,FALSE)&gt;=VLOOKUP(59,main!$A$57:$I$61,4,FALSE)+VLOOKUP(VLOOKUP(Y$1,main!$A$3:$I$56,7,FALSE),main!$K$10:$Q$14,7,FALSE),1,0)</f>
        <v>0</v>
      </c>
      <c r="Z268">
        <f>IF(VLOOKUP(Z$1,main!$A$3:$I$56,5,FALSE)-VLOOKUP($A268,main!$A$3:$I$56,6,FALSE)&gt;=VLOOKUP(59,main!$A$57:$I$61,4,FALSE)+VLOOKUP(VLOOKUP(Z$1,main!$A$3:$I$56,7,FALSE),main!$K$10:$Q$14,7,FALSE),1,0)</f>
        <v>0</v>
      </c>
      <c r="AA268">
        <f>IF(VLOOKUP(AA$1,main!$A$3:$I$56,5,FALSE)-VLOOKUP($A268,main!$A$3:$I$56,6,FALSE)&gt;=VLOOKUP(59,main!$A$57:$I$61,4,FALSE)+VLOOKUP(VLOOKUP(AA$1,main!$A$3:$I$56,7,FALSE),main!$K$10:$Q$14,7,FALSE),1,0)</f>
        <v>0</v>
      </c>
      <c r="AB268">
        <f>IF(VLOOKUP(AB$1,main!$A$3:$I$56,5,FALSE)-VLOOKUP($A268,main!$A$3:$I$56,6,FALSE)&gt;=VLOOKUP(59,main!$A$57:$I$61,4,FALSE)+VLOOKUP(VLOOKUP(AB$1,main!$A$3:$I$56,7,FALSE),main!$K$10:$Q$14,7,FALSE),1,0)</f>
        <v>1</v>
      </c>
      <c r="AC268">
        <f>IF(VLOOKUP(AC$1,main!$A$3:$I$56,5,FALSE)-VLOOKUP($A268,main!$A$3:$I$56,6,FALSE)&gt;=VLOOKUP(59,main!$A$57:$I$61,4,FALSE)+VLOOKUP(VLOOKUP(AC$1,main!$A$3:$I$56,7,FALSE),main!$K$10:$Q$14,7,FALSE),1,0)</f>
        <v>0</v>
      </c>
      <c r="AD268">
        <f>IF(VLOOKUP(AD$1,main!$A$3:$I$56,5,FALSE)-VLOOKUP($A268,main!$A$3:$I$56,6,FALSE)&gt;=VLOOKUP(59,main!$A$57:$I$61,4,FALSE)+VLOOKUP(VLOOKUP(AD$1,main!$A$3:$I$56,7,FALSE),main!$K$10:$Q$14,7,FALSE),1,0)</f>
        <v>0</v>
      </c>
      <c r="AE268">
        <f>IF(VLOOKUP(AE$1,main!$A$3:$I$56,5,FALSE)-VLOOKUP($A268,main!$A$3:$I$56,6,FALSE)&gt;=VLOOKUP(59,main!$A$57:$I$61,4,FALSE)+VLOOKUP(VLOOKUP(AE$1,main!$A$3:$I$56,7,FALSE),main!$K$10:$Q$14,7,FALSE),1,0)</f>
        <v>0</v>
      </c>
      <c r="AF268">
        <f>IF(VLOOKUP(AF$1,main!$A$3:$I$56,5,FALSE)-VLOOKUP($A268,main!$A$3:$I$56,6,FALSE)&gt;=VLOOKUP(59,main!$A$57:$I$61,4,FALSE)+VLOOKUP(VLOOKUP(AF$1,main!$A$3:$I$56,7,FALSE),main!$K$10:$Q$14,7,FALSE),1,0)</f>
        <v>0</v>
      </c>
      <c r="AG268">
        <f>IF(VLOOKUP(AG$1,main!$A$3:$I$56,5,FALSE)-VLOOKUP($A268,main!$A$3:$I$56,6,FALSE)&gt;=VLOOKUP(59,main!$A$57:$I$61,4,FALSE)+VLOOKUP(VLOOKUP(AG$1,main!$A$3:$I$56,7,FALSE),main!$K$10:$Q$14,7,FALSE),1,0)</f>
        <v>0</v>
      </c>
      <c r="AH268">
        <f>IF(VLOOKUP(AH$1,main!$A$3:$I$56,5,FALSE)-VLOOKUP($A268,main!$A$3:$I$56,6,FALSE)&gt;=VLOOKUP(59,main!$A$57:$I$61,4,FALSE)+VLOOKUP(VLOOKUP(AH$1,main!$A$3:$I$56,7,FALSE),main!$K$10:$Q$14,7,FALSE),1,0)</f>
        <v>0</v>
      </c>
      <c r="AI268">
        <f>IF(VLOOKUP(AI$1,main!$A$3:$I$56,5,FALSE)-VLOOKUP($A268,main!$A$3:$I$56,6,FALSE)&gt;=VLOOKUP(59,main!$A$57:$I$61,4,FALSE)+VLOOKUP(VLOOKUP(AI$1,main!$A$3:$I$56,7,FALSE),main!$K$10:$Q$14,7,FALSE),1,0)</f>
        <v>0</v>
      </c>
      <c r="AJ268">
        <f>IF(VLOOKUP(AJ$1,main!$A$3:$I$56,5,FALSE)-VLOOKUP($A268,main!$A$3:$I$56,6,FALSE)&gt;=VLOOKUP(59,main!$A$57:$I$61,4,FALSE)+VLOOKUP(VLOOKUP(AJ$1,main!$A$3:$I$56,7,FALSE),main!$K$10:$Q$14,7,FALSE),1,0)</f>
        <v>0</v>
      </c>
      <c r="AK268">
        <f>IF(VLOOKUP(AK$1,main!$A$3:$I$56,5,FALSE)-VLOOKUP($A268,main!$A$3:$I$56,6,FALSE)&gt;=VLOOKUP(59,main!$A$57:$I$61,4,FALSE)+VLOOKUP(VLOOKUP(AK$1,main!$A$3:$I$56,7,FALSE),main!$K$10:$Q$14,7,FALSE),1,0)</f>
        <v>0</v>
      </c>
      <c r="AL268">
        <f>IF(VLOOKUP(AL$1,main!$A$3:$I$56,5,FALSE)-VLOOKUP($A268,main!$A$3:$I$56,6,FALSE)&gt;=VLOOKUP(59,main!$A$57:$I$61,4,FALSE)+VLOOKUP(VLOOKUP(AL$1,main!$A$3:$I$56,7,FALSE),main!$K$10:$Q$14,7,FALSE),1,0)</f>
        <v>0</v>
      </c>
      <c r="AM268">
        <f>IF(VLOOKUP(AM$1,main!$A$3:$I$56,5,FALSE)-VLOOKUP($A268,main!$A$3:$I$56,6,FALSE)&gt;=VLOOKUP(59,main!$A$57:$I$61,4,FALSE)+VLOOKUP(VLOOKUP(AM$1,main!$A$3:$I$56,7,FALSE),main!$K$10:$Q$14,7,FALSE),1,0)</f>
        <v>0</v>
      </c>
      <c r="AN268">
        <f>IF(VLOOKUP(AN$1,main!$A$3:$I$56,5,FALSE)-VLOOKUP($A268,main!$A$3:$I$56,6,FALSE)&gt;=VLOOKUP(59,main!$A$57:$I$61,4,FALSE)+VLOOKUP(VLOOKUP(AN$1,main!$A$3:$I$56,7,FALSE),main!$K$10:$Q$14,7,FALSE),1,0)</f>
        <v>0</v>
      </c>
      <c r="AO268">
        <f>IF(VLOOKUP(AO$1,main!$A$3:$I$56,5,FALSE)-VLOOKUP($A268,main!$A$3:$I$56,6,FALSE)&gt;=VLOOKUP(59,main!$A$57:$I$61,4,FALSE)+VLOOKUP(VLOOKUP(AO$1,main!$A$3:$I$56,7,FALSE),main!$K$10:$Q$14,7,FALSE),1,0)</f>
        <v>0</v>
      </c>
      <c r="AP268">
        <f>IF(VLOOKUP(AP$1,main!$A$3:$I$56,5,FALSE)-VLOOKUP($A268,main!$A$3:$I$56,6,FALSE)&gt;=VLOOKUP(59,main!$A$57:$I$61,4,FALSE)+VLOOKUP(VLOOKUP(AP$1,main!$A$3:$I$56,7,FALSE),main!$K$10:$Q$14,7,FALSE),1,0)</f>
        <v>0</v>
      </c>
      <c r="AQ268">
        <f>IF(VLOOKUP(AQ$1,main!$A$3:$I$56,5,FALSE)-VLOOKUP($A268,main!$A$3:$I$56,6,FALSE)&gt;=VLOOKUP(59,main!$A$57:$I$61,4,FALSE)+VLOOKUP(VLOOKUP(AQ$1,main!$A$3:$I$56,7,FALSE),main!$K$10:$Q$14,7,FALSE),1,0)</f>
        <v>0</v>
      </c>
      <c r="AR268">
        <f>IF(VLOOKUP(AR$1,main!$A$3:$I$56,5,FALSE)-VLOOKUP($A268,main!$A$3:$I$56,6,FALSE)&gt;=VLOOKUP(59,main!$A$57:$I$61,4,FALSE)+VLOOKUP(VLOOKUP(AR$1,main!$A$3:$I$56,7,FALSE),main!$K$10:$Q$14,7,FALSE),1,0)</f>
        <v>0</v>
      </c>
      <c r="AS268">
        <f>IF(VLOOKUP(AS$1,main!$A$3:$I$56,5,FALSE)-VLOOKUP($A268,main!$A$3:$I$56,6,FALSE)&gt;=VLOOKUP(59,main!$A$57:$I$61,4,FALSE)+VLOOKUP(VLOOKUP(AS$1,main!$A$3:$I$56,7,FALSE),main!$K$10:$Q$14,7,FALSE),1,0)</f>
        <v>0</v>
      </c>
      <c r="AT268">
        <f>IF(VLOOKUP(AT$1,main!$A$3:$I$56,5,FALSE)-VLOOKUP($A268,main!$A$3:$I$56,6,FALSE)&gt;=VLOOKUP(59,main!$A$57:$I$61,4,FALSE)+VLOOKUP(VLOOKUP(AT$1,main!$A$3:$I$56,7,FALSE),main!$K$10:$Q$14,7,FALSE),1,0)</f>
        <v>0</v>
      </c>
      <c r="AU268">
        <f>IF(VLOOKUP(AU$1,main!$A$3:$I$56,5,FALSE)-VLOOKUP($A268,main!$A$3:$I$56,6,FALSE)&gt;=VLOOKUP(59,main!$A$57:$I$61,4,FALSE)+VLOOKUP(VLOOKUP(AU$1,main!$A$3:$I$56,7,FALSE),main!$K$10:$Q$14,7,FALSE),1,0)</f>
        <v>0</v>
      </c>
      <c r="AV268">
        <f>IF(VLOOKUP(AV$1,main!$A$3:$I$56,5,FALSE)-VLOOKUP($A268,main!$A$3:$I$56,6,FALSE)&gt;=VLOOKUP(59,main!$A$57:$I$61,4,FALSE)+VLOOKUP(VLOOKUP(AV$1,main!$A$3:$I$56,7,FALSE),main!$K$10:$Q$14,7,FALSE),1,0)</f>
        <v>0</v>
      </c>
      <c r="AW268">
        <f>IF(VLOOKUP(AW$1,main!$A$3:$I$56,5,FALSE)-VLOOKUP($A268,main!$A$3:$I$56,6,FALSE)&gt;=VLOOKUP(59,main!$A$57:$I$61,4,FALSE)+VLOOKUP(VLOOKUP(AW$1,main!$A$3:$I$56,7,FALSE),main!$K$10:$Q$14,7,FALSE),1,0)</f>
        <v>0</v>
      </c>
      <c r="AX268">
        <f>IF(VLOOKUP(AX$1,main!$A$3:$I$56,5,FALSE)-VLOOKUP($A268,main!$A$3:$I$56,6,FALSE)&gt;=VLOOKUP(59,main!$A$57:$I$61,4,FALSE)+VLOOKUP(VLOOKUP(AX$1,main!$A$3:$I$56,7,FALSE),main!$K$10:$Q$14,7,FALSE),1,0)</f>
        <v>1</v>
      </c>
      <c r="AY268">
        <f>IF(VLOOKUP(AY$1,main!$A$3:$I$56,5,FALSE)-VLOOKUP($A268,main!$A$3:$I$56,6,FALSE)&gt;=VLOOKUP(59,main!$A$57:$I$61,4,FALSE)+VLOOKUP(VLOOKUP(AY$1,main!$A$3:$I$56,7,FALSE),main!$K$10:$Q$14,7,FALSE),1,0)</f>
        <v>1</v>
      </c>
      <c r="AZ268">
        <f>IF(VLOOKUP(AZ$1,main!$A$3:$I$56,5,FALSE)-VLOOKUP($A268,main!$A$3:$I$56,6,FALSE)&gt;=VLOOKUP(59,main!$A$57:$I$61,4,FALSE)+VLOOKUP(VLOOKUP(AZ$1,main!$A$3:$I$56,7,FALSE),main!$K$10:$Q$14,7,FALSE),1,0)</f>
        <v>0</v>
      </c>
      <c r="BA268">
        <f>IF(VLOOKUP(BA$1,main!$A$3:$I$56,5,FALSE)-VLOOKUP($A268,main!$A$3:$I$56,6,FALSE)&gt;=VLOOKUP(59,main!$A$57:$I$61,4,FALSE)+VLOOKUP(VLOOKUP(BA$1,main!$A$3:$I$56,7,FALSE),main!$K$10:$Q$14,7,FALSE),1,0)</f>
        <v>0</v>
      </c>
      <c r="BB268">
        <f>IF(VLOOKUP(BB$1,main!$A$3:$I$56,5,FALSE)-VLOOKUP($A268,main!$A$3:$I$56,6,FALSE)&gt;=VLOOKUP(59,main!$A$57:$I$61,4,FALSE)+VLOOKUP(VLOOKUP(BB$1,main!$A$3:$I$56,7,FALSE),main!$K$10:$Q$14,7,FALSE),1,0)</f>
        <v>0</v>
      </c>
      <c r="BC268">
        <f>IF(VLOOKUP(BC$1,main!$A$3:$I$56,5,FALSE)-VLOOKUP($A268,main!$A$3:$I$56,6,FALSE)&gt;=VLOOKUP(59,main!$A$57:$I$61,4,FALSE)+VLOOKUP(VLOOKUP(BC$1,main!$A$3:$I$56,7,FALSE),main!$K$10:$Q$14,7,FALSE),1,0)</f>
        <v>1</v>
      </c>
      <c r="BD268">
        <f>IF(VLOOKUP(BD$1,main!$A$3:$I$56,5,FALSE)-VLOOKUP($A268,main!$A$3:$I$56,6,FALSE)&gt;=VLOOKUP(59,main!$A$57:$I$61,4,FALSE)+VLOOKUP(VLOOKUP(BD$1,main!$A$3:$I$56,7,FALSE),main!$K$10:$Q$14,7,FALSE),1,0)</f>
        <v>1</v>
      </c>
    </row>
    <row r="269" spans="1:56" x14ac:dyDescent="0.25">
      <c r="A269">
        <f t="shared" si="4"/>
        <v>47</v>
      </c>
      <c r="B269">
        <v>0</v>
      </c>
      <c r="C269">
        <f>IF(VLOOKUP(C$1,main!$A$3:$I$56,5,FALSE)-VLOOKUP($A269,main!$A$3:$I$56,6,FALSE)&gt;=VLOOKUP(59,main!$A$57:$I$61,4,FALSE)+VLOOKUP(VLOOKUP(C$1,main!$A$3:$I$56,7,FALSE),main!$K$10:$Q$14,7,FALSE),1,0)</f>
        <v>0</v>
      </c>
      <c r="D269">
        <f>IF(VLOOKUP(D$1,main!$A$3:$I$56,5,FALSE)-VLOOKUP($A269,main!$A$3:$I$56,6,FALSE)&gt;=VLOOKUP(59,main!$A$57:$I$61,4,FALSE)+VLOOKUP(VLOOKUP(D$1,main!$A$3:$I$56,7,FALSE),main!$K$10:$Q$14,7,FALSE),1,0)</f>
        <v>0</v>
      </c>
      <c r="E269">
        <f>IF(VLOOKUP(E$1,main!$A$3:$I$56,5,FALSE)-VLOOKUP($A269,main!$A$3:$I$56,6,FALSE)&gt;=VLOOKUP(59,main!$A$57:$I$61,4,FALSE)+VLOOKUP(VLOOKUP(E$1,main!$A$3:$I$56,7,FALSE),main!$K$10:$Q$14,7,FALSE),1,0)</f>
        <v>0</v>
      </c>
      <c r="F269">
        <f>IF(VLOOKUP(F$1,main!$A$3:$I$56,5,FALSE)-VLOOKUP($A269,main!$A$3:$I$56,6,FALSE)&gt;=VLOOKUP(59,main!$A$57:$I$61,4,FALSE)+VLOOKUP(VLOOKUP(F$1,main!$A$3:$I$56,7,FALSE),main!$K$10:$Q$14,7,FALSE),1,0)</f>
        <v>0</v>
      </c>
      <c r="G269">
        <f>IF(VLOOKUP(G$1,main!$A$3:$I$56,5,FALSE)-VLOOKUP($A269,main!$A$3:$I$56,6,FALSE)&gt;=VLOOKUP(59,main!$A$57:$I$61,4,FALSE)+VLOOKUP(VLOOKUP(G$1,main!$A$3:$I$56,7,FALSE),main!$K$10:$Q$14,7,FALSE),1,0)</f>
        <v>0</v>
      </c>
      <c r="H269">
        <f>IF(VLOOKUP(H$1,main!$A$3:$I$56,5,FALSE)-VLOOKUP($A269,main!$A$3:$I$56,6,FALSE)&gt;=VLOOKUP(59,main!$A$57:$I$61,4,FALSE)+VLOOKUP(VLOOKUP(H$1,main!$A$3:$I$56,7,FALSE),main!$K$10:$Q$14,7,FALSE),1,0)</f>
        <v>0</v>
      </c>
      <c r="I269">
        <f>IF(VLOOKUP(I$1,main!$A$3:$I$56,5,FALSE)-VLOOKUP($A269,main!$A$3:$I$56,6,FALSE)&gt;=VLOOKUP(59,main!$A$57:$I$61,4,FALSE)+VLOOKUP(VLOOKUP(I$1,main!$A$3:$I$56,7,FALSE),main!$K$10:$Q$14,7,FALSE),1,0)</f>
        <v>0</v>
      </c>
      <c r="J269">
        <f>IF(VLOOKUP(J$1,main!$A$3:$I$56,5,FALSE)-VLOOKUP($A269,main!$A$3:$I$56,6,FALSE)&gt;=VLOOKUP(59,main!$A$57:$I$61,4,FALSE)+VLOOKUP(VLOOKUP(J$1,main!$A$3:$I$56,7,FALSE),main!$K$10:$Q$14,7,FALSE),1,0)</f>
        <v>0</v>
      </c>
      <c r="K269">
        <f>IF(VLOOKUP(K$1,main!$A$3:$I$56,5,FALSE)-VLOOKUP($A269,main!$A$3:$I$56,6,FALSE)&gt;=VLOOKUP(59,main!$A$57:$I$61,4,FALSE)+VLOOKUP(VLOOKUP(K$1,main!$A$3:$I$56,7,FALSE),main!$K$10:$Q$14,7,FALSE),1,0)</f>
        <v>0</v>
      </c>
      <c r="L269">
        <f>IF(VLOOKUP(L$1,main!$A$3:$I$56,5,FALSE)-VLOOKUP($A269,main!$A$3:$I$56,6,FALSE)&gt;=VLOOKUP(59,main!$A$57:$I$61,4,FALSE)+VLOOKUP(VLOOKUP(L$1,main!$A$3:$I$56,7,FALSE),main!$K$10:$Q$14,7,FALSE),1,0)</f>
        <v>0</v>
      </c>
      <c r="M269">
        <f>IF(VLOOKUP(M$1,main!$A$3:$I$56,5,FALSE)-VLOOKUP($A269,main!$A$3:$I$56,6,FALSE)&gt;=VLOOKUP(59,main!$A$57:$I$61,4,FALSE)+VLOOKUP(VLOOKUP(M$1,main!$A$3:$I$56,7,FALSE),main!$K$10:$Q$14,7,FALSE),1,0)</f>
        <v>0</v>
      </c>
      <c r="N269">
        <f>IF(VLOOKUP(N$1,main!$A$3:$I$56,5,FALSE)-VLOOKUP($A269,main!$A$3:$I$56,6,FALSE)&gt;=VLOOKUP(59,main!$A$57:$I$61,4,FALSE)+VLOOKUP(VLOOKUP(N$1,main!$A$3:$I$56,7,FALSE),main!$K$10:$Q$14,7,FALSE),1,0)</f>
        <v>0</v>
      </c>
      <c r="O269">
        <f>IF(VLOOKUP(O$1,main!$A$3:$I$56,5,FALSE)-VLOOKUP($A269,main!$A$3:$I$56,6,FALSE)&gt;=VLOOKUP(59,main!$A$57:$I$61,4,FALSE)+VLOOKUP(VLOOKUP(O$1,main!$A$3:$I$56,7,FALSE),main!$K$10:$Q$14,7,FALSE),1,0)</f>
        <v>1</v>
      </c>
      <c r="P269">
        <f>IF(VLOOKUP(P$1,main!$A$3:$I$56,5,FALSE)-VLOOKUP($A269,main!$A$3:$I$56,6,FALSE)&gt;=VLOOKUP(59,main!$A$57:$I$61,4,FALSE)+VLOOKUP(VLOOKUP(P$1,main!$A$3:$I$56,7,FALSE),main!$K$10:$Q$14,7,FALSE),1,0)</f>
        <v>0</v>
      </c>
      <c r="Q269">
        <f>IF(VLOOKUP(Q$1,main!$A$3:$I$56,5,FALSE)-VLOOKUP($A269,main!$A$3:$I$56,6,FALSE)&gt;=VLOOKUP(59,main!$A$57:$I$61,4,FALSE)+VLOOKUP(VLOOKUP(Q$1,main!$A$3:$I$56,7,FALSE),main!$K$10:$Q$14,7,FALSE),1,0)</f>
        <v>0</v>
      </c>
      <c r="R269">
        <f>IF(VLOOKUP(R$1,main!$A$3:$I$56,5,FALSE)-VLOOKUP($A269,main!$A$3:$I$56,6,FALSE)&gt;=VLOOKUP(59,main!$A$57:$I$61,4,FALSE)+VLOOKUP(VLOOKUP(R$1,main!$A$3:$I$56,7,FALSE),main!$K$10:$Q$14,7,FALSE),1,0)</f>
        <v>0</v>
      </c>
      <c r="S269">
        <f>IF(VLOOKUP(S$1,main!$A$3:$I$56,5,FALSE)-VLOOKUP($A269,main!$A$3:$I$56,6,FALSE)&gt;=VLOOKUP(59,main!$A$57:$I$61,4,FALSE)+VLOOKUP(VLOOKUP(S$1,main!$A$3:$I$56,7,FALSE),main!$K$10:$Q$14,7,FALSE),1,0)</f>
        <v>0</v>
      </c>
      <c r="T269">
        <f>IF(VLOOKUP(T$1,main!$A$3:$I$56,5,FALSE)-VLOOKUP($A269,main!$A$3:$I$56,6,FALSE)&gt;=VLOOKUP(59,main!$A$57:$I$61,4,FALSE)+VLOOKUP(VLOOKUP(T$1,main!$A$3:$I$56,7,FALSE),main!$K$10:$Q$14,7,FALSE),1,0)</f>
        <v>0</v>
      </c>
      <c r="U269">
        <f>IF(VLOOKUP(U$1,main!$A$3:$I$56,5,FALSE)-VLOOKUP($A269,main!$A$3:$I$56,6,FALSE)&gt;=VLOOKUP(59,main!$A$57:$I$61,4,FALSE)+VLOOKUP(VLOOKUP(U$1,main!$A$3:$I$56,7,FALSE),main!$K$10:$Q$14,7,FALSE),1,0)</f>
        <v>0</v>
      </c>
      <c r="V269">
        <f>IF(VLOOKUP(V$1,main!$A$3:$I$56,5,FALSE)-VLOOKUP($A269,main!$A$3:$I$56,6,FALSE)&gt;=VLOOKUP(59,main!$A$57:$I$61,4,FALSE)+VLOOKUP(VLOOKUP(V$1,main!$A$3:$I$56,7,FALSE),main!$K$10:$Q$14,7,FALSE),1,0)</f>
        <v>0</v>
      </c>
      <c r="W269">
        <f>IF(VLOOKUP(W$1,main!$A$3:$I$56,5,FALSE)-VLOOKUP($A269,main!$A$3:$I$56,6,FALSE)&gt;=VLOOKUP(59,main!$A$57:$I$61,4,FALSE)+VLOOKUP(VLOOKUP(W$1,main!$A$3:$I$56,7,FALSE),main!$K$10:$Q$14,7,FALSE),1,0)</f>
        <v>0</v>
      </c>
      <c r="X269">
        <f>IF(VLOOKUP(X$1,main!$A$3:$I$56,5,FALSE)-VLOOKUP($A269,main!$A$3:$I$56,6,FALSE)&gt;=VLOOKUP(59,main!$A$57:$I$61,4,FALSE)+VLOOKUP(VLOOKUP(X$1,main!$A$3:$I$56,7,FALSE),main!$K$10:$Q$14,7,FALSE),1,0)</f>
        <v>0</v>
      </c>
      <c r="Y269">
        <f>IF(VLOOKUP(Y$1,main!$A$3:$I$56,5,FALSE)-VLOOKUP($A269,main!$A$3:$I$56,6,FALSE)&gt;=VLOOKUP(59,main!$A$57:$I$61,4,FALSE)+VLOOKUP(VLOOKUP(Y$1,main!$A$3:$I$56,7,FALSE),main!$K$10:$Q$14,7,FALSE),1,0)</f>
        <v>0</v>
      </c>
      <c r="Z269">
        <f>IF(VLOOKUP(Z$1,main!$A$3:$I$56,5,FALSE)-VLOOKUP($A269,main!$A$3:$I$56,6,FALSE)&gt;=VLOOKUP(59,main!$A$57:$I$61,4,FALSE)+VLOOKUP(VLOOKUP(Z$1,main!$A$3:$I$56,7,FALSE),main!$K$10:$Q$14,7,FALSE),1,0)</f>
        <v>0</v>
      </c>
      <c r="AA269">
        <f>IF(VLOOKUP(AA$1,main!$A$3:$I$56,5,FALSE)-VLOOKUP($A269,main!$A$3:$I$56,6,FALSE)&gt;=VLOOKUP(59,main!$A$57:$I$61,4,FALSE)+VLOOKUP(VLOOKUP(AA$1,main!$A$3:$I$56,7,FALSE),main!$K$10:$Q$14,7,FALSE),1,0)</f>
        <v>0</v>
      </c>
      <c r="AB269">
        <f>IF(VLOOKUP(AB$1,main!$A$3:$I$56,5,FALSE)-VLOOKUP($A269,main!$A$3:$I$56,6,FALSE)&gt;=VLOOKUP(59,main!$A$57:$I$61,4,FALSE)+VLOOKUP(VLOOKUP(AB$1,main!$A$3:$I$56,7,FALSE),main!$K$10:$Q$14,7,FALSE),1,0)</f>
        <v>0</v>
      </c>
      <c r="AC269">
        <f>IF(VLOOKUP(AC$1,main!$A$3:$I$56,5,FALSE)-VLOOKUP($A269,main!$A$3:$I$56,6,FALSE)&gt;=VLOOKUP(59,main!$A$57:$I$61,4,FALSE)+VLOOKUP(VLOOKUP(AC$1,main!$A$3:$I$56,7,FALSE),main!$K$10:$Q$14,7,FALSE),1,0)</f>
        <v>0</v>
      </c>
      <c r="AD269">
        <f>IF(VLOOKUP(AD$1,main!$A$3:$I$56,5,FALSE)-VLOOKUP($A269,main!$A$3:$I$56,6,FALSE)&gt;=VLOOKUP(59,main!$A$57:$I$61,4,FALSE)+VLOOKUP(VLOOKUP(AD$1,main!$A$3:$I$56,7,FALSE),main!$K$10:$Q$14,7,FALSE),1,0)</f>
        <v>0</v>
      </c>
      <c r="AE269">
        <f>IF(VLOOKUP(AE$1,main!$A$3:$I$56,5,FALSE)-VLOOKUP($A269,main!$A$3:$I$56,6,FALSE)&gt;=VLOOKUP(59,main!$A$57:$I$61,4,FALSE)+VLOOKUP(VLOOKUP(AE$1,main!$A$3:$I$56,7,FALSE),main!$K$10:$Q$14,7,FALSE),1,0)</f>
        <v>0</v>
      </c>
      <c r="AF269">
        <f>IF(VLOOKUP(AF$1,main!$A$3:$I$56,5,FALSE)-VLOOKUP($A269,main!$A$3:$I$56,6,FALSE)&gt;=VLOOKUP(59,main!$A$57:$I$61,4,FALSE)+VLOOKUP(VLOOKUP(AF$1,main!$A$3:$I$56,7,FALSE),main!$K$10:$Q$14,7,FALSE),1,0)</f>
        <v>0</v>
      </c>
      <c r="AG269">
        <f>IF(VLOOKUP(AG$1,main!$A$3:$I$56,5,FALSE)-VLOOKUP($A269,main!$A$3:$I$56,6,FALSE)&gt;=VLOOKUP(59,main!$A$57:$I$61,4,FALSE)+VLOOKUP(VLOOKUP(AG$1,main!$A$3:$I$56,7,FALSE),main!$K$10:$Q$14,7,FALSE),1,0)</f>
        <v>0</v>
      </c>
      <c r="AH269">
        <f>IF(VLOOKUP(AH$1,main!$A$3:$I$56,5,FALSE)-VLOOKUP($A269,main!$A$3:$I$56,6,FALSE)&gt;=VLOOKUP(59,main!$A$57:$I$61,4,FALSE)+VLOOKUP(VLOOKUP(AH$1,main!$A$3:$I$56,7,FALSE),main!$K$10:$Q$14,7,FALSE),1,0)</f>
        <v>0</v>
      </c>
      <c r="AI269">
        <f>IF(VLOOKUP(AI$1,main!$A$3:$I$56,5,FALSE)-VLOOKUP($A269,main!$A$3:$I$56,6,FALSE)&gt;=VLOOKUP(59,main!$A$57:$I$61,4,FALSE)+VLOOKUP(VLOOKUP(AI$1,main!$A$3:$I$56,7,FALSE),main!$K$10:$Q$14,7,FALSE),1,0)</f>
        <v>0</v>
      </c>
      <c r="AJ269">
        <f>IF(VLOOKUP(AJ$1,main!$A$3:$I$56,5,FALSE)-VLOOKUP($A269,main!$A$3:$I$56,6,FALSE)&gt;=VLOOKUP(59,main!$A$57:$I$61,4,FALSE)+VLOOKUP(VLOOKUP(AJ$1,main!$A$3:$I$56,7,FALSE),main!$K$10:$Q$14,7,FALSE),1,0)</f>
        <v>0</v>
      </c>
      <c r="AK269">
        <f>IF(VLOOKUP(AK$1,main!$A$3:$I$56,5,FALSE)-VLOOKUP($A269,main!$A$3:$I$56,6,FALSE)&gt;=VLOOKUP(59,main!$A$57:$I$61,4,FALSE)+VLOOKUP(VLOOKUP(AK$1,main!$A$3:$I$56,7,FALSE),main!$K$10:$Q$14,7,FALSE),1,0)</f>
        <v>0</v>
      </c>
      <c r="AL269">
        <f>IF(VLOOKUP(AL$1,main!$A$3:$I$56,5,FALSE)-VLOOKUP($A269,main!$A$3:$I$56,6,FALSE)&gt;=VLOOKUP(59,main!$A$57:$I$61,4,FALSE)+VLOOKUP(VLOOKUP(AL$1,main!$A$3:$I$56,7,FALSE),main!$K$10:$Q$14,7,FALSE),1,0)</f>
        <v>0</v>
      </c>
      <c r="AM269">
        <f>IF(VLOOKUP(AM$1,main!$A$3:$I$56,5,FALSE)-VLOOKUP($A269,main!$A$3:$I$56,6,FALSE)&gt;=VLOOKUP(59,main!$A$57:$I$61,4,FALSE)+VLOOKUP(VLOOKUP(AM$1,main!$A$3:$I$56,7,FALSE),main!$K$10:$Q$14,7,FALSE),1,0)</f>
        <v>0</v>
      </c>
      <c r="AN269">
        <f>IF(VLOOKUP(AN$1,main!$A$3:$I$56,5,FALSE)-VLOOKUP($A269,main!$A$3:$I$56,6,FALSE)&gt;=VLOOKUP(59,main!$A$57:$I$61,4,FALSE)+VLOOKUP(VLOOKUP(AN$1,main!$A$3:$I$56,7,FALSE),main!$K$10:$Q$14,7,FALSE),1,0)</f>
        <v>0</v>
      </c>
      <c r="AO269">
        <f>IF(VLOOKUP(AO$1,main!$A$3:$I$56,5,FALSE)-VLOOKUP($A269,main!$A$3:$I$56,6,FALSE)&gt;=VLOOKUP(59,main!$A$57:$I$61,4,FALSE)+VLOOKUP(VLOOKUP(AO$1,main!$A$3:$I$56,7,FALSE),main!$K$10:$Q$14,7,FALSE),1,0)</f>
        <v>0</v>
      </c>
      <c r="AP269">
        <f>IF(VLOOKUP(AP$1,main!$A$3:$I$56,5,FALSE)-VLOOKUP($A269,main!$A$3:$I$56,6,FALSE)&gt;=VLOOKUP(59,main!$A$57:$I$61,4,FALSE)+VLOOKUP(VLOOKUP(AP$1,main!$A$3:$I$56,7,FALSE),main!$K$10:$Q$14,7,FALSE),1,0)</f>
        <v>0</v>
      </c>
      <c r="AQ269">
        <f>IF(VLOOKUP(AQ$1,main!$A$3:$I$56,5,FALSE)-VLOOKUP($A269,main!$A$3:$I$56,6,FALSE)&gt;=VLOOKUP(59,main!$A$57:$I$61,4,FALSE)+VLOOKUP(VLOOKUP(AQ$1,main!$A$3:$I$56,7,FALSE),main!$K$10:$Q$14,7,FALSE),1,0)</f>
        <v>0</v>
      </c>
      <c r="AR269">
        <f>IF(VLOOKUP(AR$1,main!$A$3:$I$56,5,FALSE)-VLOOKUP($A269,main!$A$3:$I$56,6,FALSE)&gt;=VLOOKUP(59,main!$A$57:$I$61,4,FALSE)+VLOOKUP(VLOOKUP(AR$1,main!$A$3:$I$56,7,FALSE),main!$K$10:$Q$14,7,FALSE),1,0)</f>
        <v>0</v>
      </c>
      <c r="AS269">
        <f>IF(VLOOKUP(AS$1,main!$A$3:$I$56,5,FALSE)-VLOOKUP($A269,main!$A$3:$I$56,6,FALSE)&gt;=VLOOKUP(59,main!$A$57:$I$61,4,FALSE)+VLOOKUP(VLOOKUP(AS$1,main!$A$3:$I$56,7,FALSE),main!$K$10:$Q$14,7,FALSE),1,0)</f>
        <v>0</v>
      </c>
      <c r="AT269">
        <f>IF(VLOOKUP(AT$1,main!$A$3:$I$56,5,FALSE)-VLOOKUP($A269,main!$A$3:$I$56,6,FALSE)&gt;=VLOOKUP(59,main!$A$57:$I$61,4,FALSE)+VLOOKUP(VLOOKUP(AT$1,main!$A$3:$I$56,7,FALSE),main!$K$10:$Q$14,7,FALSE),1,0)</f>
        <v>0</v>
      </c>
      <c r="AU269">
        <f>IF(VLOOKUP(AU$1,main!$A$3:$I$56,5,FALSE)-VLOOKUP($A269,main!$A$3:$I$56,6,FALSE)&gt;=VLOOKUP(59,main!$A$57:$I$61,4,FALSE)+VLOOKUP(VLOOKUP(AU$1,main!$A$3:$I$56,7,FALSE),main!$K$10:$Q$14,7,FALSE),1,0)</f>
        <v>0</v>
      </c>
      <c r="AV269">
        <f>IF(VLOOKUP(AV$1,main!$A$3:$I$56,5,FALSE)-VLOOKUP($A269,main!$A$3:$I$56,6,FALSE)&gt;=VLOOKUP(59,main!$A$57:$I$61,4,FALSE)+VLOOKUP(VLOOKUP(AV$1,main!$A$3:$I$56,7,FALSE),main!$K$10:$Q$14,7,FALSE),1,0)</f>
        <v>0</v>
      </c>
      <c r="AW269">
        <f>IF(VLOOKUP(AW$1,main!$A$3:$I$56,5,FALSE)-VLOOKUP($A269,main!$A$3:$I$56,6,FALSE)&gt;=VLOOKUP(59,main!$A$57:$I$61,4,FALSE)+VLOOKUP(VLOOKUP(AW$1,main!$A$3:$I$56,7,FALSE),main!$K$10:$Q$14,7,FALSE),1,0)</f>
        <v>0</v>
      </c>
      <c r="AX269">
        <f>IF(VLOOKUP(AX$1,main!$A$3:$I$56,5,FALSE)-VLOOKUP($A269,main!$A$3:$I$56,6,FALSE)&gt;=VLOOKUP(59,main!$A$57:$I$61,4,FALSE)+VLOOKUP(VLOOKUP(AX$1,main!$A$3:$I$56,7,FALSE),main!$K$10:$Q$14,7,FALSE),1,0)</f>
        <v>1</v>
      </c>
      <c r="AY269">
        <f>IF(VLOOKUP(AY$1,main!$A$3:$I$56,5,FALSE)-VLOOKUP($A269,main!$A$3:$I$56,6,FALSE)&gt;=VLOOKUP(59,main!$A$57:$I$61,4,FALSE)+VLOOKUP(VLOOKUP(AY$1,main!$A$3:$I$56,7,FALSE),main!$K$10:$Q$14,7,FALSE),1,0)</f>
        <v>1</v>
      </c>
      <c r="AZ269">
        <f>IF(VLOOKUP(AZ$1,main!$A$3:$I$56,5,FALSE)-VLOOKUP($A269,main!$A$3:$I$56,6,FALSE)&gt;=VLOOKUP(59,main!$A$57:$I$61,4,FALSE)+VLOOKUP(VLOOKUP(AZ$1,main!$A$3:$I$56,7,FALSE),main!$K$10:$Q$14,7,FALSE),1,0)</f>
        <v>0</v>
      </c>
      <c r="BA269">
        <f>IF(VLOOKUP(BA$1,main!$A$3:$I$56,5,FALSE)-VLOOKUP($A269,main!$A$3:$I$56,6,FALSE)&gt;=VLOOKUP(59,main!$A$57:$I$61,4,FALSE)+VLOOKUP(VLOOKUP(BA$1,main!$A$3:$I$56,7,FALSE),main!$K$10:$Q$14,7,FALSE),1,0)</f>
        <v>0</v>
      </c>
      <c r="BB269">
        <f>IF(VLOOKUP(BB$1,main!$A$3:$I$56,5,FALSE)-VLOOKUP($A269,main!$A$3:$I$56,6,FALSE)&gt;=VLOOKUP(59,main!$A$57:$I$61,4,FALSE)+VLOOKUP(VLOOKUP(BB$1,main!$A$3:$I$56,7,FALSE),main!$K$10:$Q$14,7,FALSE),1,0)</f>
        <v>0</v>
      </c>
      <c r="BC269">
        <f>IF(VLOOKUP(BC$1,main!$A$3:$I$56,5,FALSE)-VLOOKUP($A269,main!$A$3:$I$56,6,FALSE)&gt;=VLOOKUP(59,main!$A$57:$I$61,4,FALSE)+VLOOKUP(VLOOKUP(BC$1,main!$A$3:$I$56,7,FALSE),main!$K$10:$Q$14,7,FALSE),1,0)</f>
        <v>0</v>
      </c>
      <c r="BD269">
        <f>IF(VLOOKUP(BD$1,main!$A$3:$I$56,5,FALSE)-VLOOKUP($A269,main!$A$3:$I$56,6,FALSE)&gt;=VLOOKUP(59,main!$A$57:$I$61,4,FALSE)+VLOOKUP(VLOOKUP(BD$1,main!$A$3:$I$56,7,FALSE),main!$K$10:$Q$14,7,FALSE),1,0)</f>
        <v>0</v>
      </c>
    </row>
    <row r="270" spans="1:56" x14ac:dyDescent="0.25">
      <c r="A270">
        <f t="shared" si="4"/>
        <v>48</v>
      </c>
      <c r="B270">
        <v>0</v>
      </c>
      <c r="C270">
        <f>IF(VLOOKUP(C$1,main!$A$3:$I$56,5,FALSE)-VLOOKUP($A270,main!$A$3:$I$56,6,FALSE)&gt;=VLOOKUP(59,main!$A$57:$I$61,4,FALSE)+VLOOKUP(VLOOKUP(C$1,main!$A$3:$I$56,7,FALSE),main!$K$10:$Q$14,7,FALSE),1,0)</f>
        <v>0</v>
      </c>
      <c r="D270">
        <f>IF(VLOOKUP(D$1,main!$A$3:$I$56,5,FALSE)-VLOOKUP($A270,main!$A$3:$I$56,6,FALSE)&gt;=VLOOKUP(59,main!$A$57:$I$61,4,FALSE)+VLOOKUP(VLOOKUP(D$1,main!$A$3:$I$56,7,FALSE),main!$K$10:$Q$14,7,FALSE),1,0)</f>
        <v>0</v>
      </c>
      <c r="E270">
        <f>IF(VLOOKUP(E$1,main!$A$3:$I$56,5,FALSE)-VLOOKUP($A270,main!$A$3:$I$56,6,FALSE)&gt;=VLOOKUP(59,main!$A$57:$I$61,4,FALSE)+VLOOKUP(VLOOKUP(E$1,main!$A$3:$I$56,7,FALSE),main!$K$10:$Q$14,7,FALSE),1,0)</f>
        <v>0</v>
      </c>
      <c r="F270">
        <f>IF(VLOOKUP(F$1,main!$A$3:$I$56,5,FALSE)-VLOOKUP($A270,main!$A$3:$I$56,6,FALSE)&gt;=VLOOKUP(59,main!$A$57:$I$61,4,FALSE)+VLOOKUP(VLOOKUP(F$1,main!$A$3:$I$56,7,FALSE),main!$K$10:$Q$14,7,FALSE),1,0)</f>
        <v>0</v>
      </c>
      <c r="G270">
        <f>IF(VLOOKUP(G$1,main!$A$3:$I$56,5,FALSE)-VLOOKUP($A270,main!$A$3:$I$56,6,FALSE)&gt;=VLOOKUP(59,main!$A$57:$I$61,4,FALSE)+VLOOKUP(VLOOKUP(G$1,main!$A$3:$I$56,7,FALSE),main!$K$10:$Q$14,7,FALSE),1,0)</f>
        <v>0</v>
      </c>
      <c r="H270">
        <f>IF(VLOOKUP(H$1,main!$A$3:$I$56,5,FALSE)-VLOOKUP($A270,main!$A$3:$I$56,6,FALSE)&gt;=VLOOKUP(59,main!$A$57:$I$61,4,FALSE)+VLOOKUP(VLOOKUP(H$1,main!$A$3:$I$56,7,FALSE),main!$K$10:$Q$14,7,FALSE),1,0)</f>
        <v>0</v>
      </c>
      <c r="I270">
        <f>IF(VLOOKUP(I$1,main!$A$3:$I$56,5,FALSE)-VLOOKUP($A270,main!$A$3:$I$56,6,FALSE)&gt;=VLOOKUP(59,main!$A$57:$I$61,4,FALSE)+VLOOKUP(VLOOKUP(I$1,main!$A$3:$I$56,7,FALSE),main!$K$10:$Q$14,7,FALSE),1,0)</f>
        <v>0</v>
      </c>
      <c r="J270">
        <f>IF(VLOOKUP(J$1,main!$A$3:$I$56,5,FALSE)-VLOOKUP($A270,main!$A$3:$I$56,6,FALSE)&gt;=VLOOKUP(59,main!$A$57:$I$61,4,FALSE)+VLOOKUP(VLOOKUP(J$1,main!$A$3:$I$56,7,FALSE),main!$K$10:$Q$14,7,FALSE),1,0)</f>
        <v>0</v>
      </c>
      <c r="K270">
        <f>IF(VLOOKUP(K$1,main!$A$3:$I$56,5,FALSE)-VLOOKUP($A270,main!$A$3:$I$56,6,FALSE)&gt;=VLOOKUP(59,main!$A$57:$I$61,4,FALSE)+VLOOKUP(VLOOKUP(K$1,main!$A$3:$I$56,7,FALSE),main!$K$10:$Q$14,7,FALSE),1,0)</f>
        <v>0</v>
      </c>
      <c r="L270">
        <f>IF(VLOOKUP(L$1,main!$A$3:$I$56,5,FALSE)-VLOOKUP($A270,main!$A$3:$I$56,6,FALSE)&gt;=VLOOKUP(59,main!$A$57:$I$61,4,FALSE)+VLOOKUP(VLOOKUP(L$1,main!$A$3:$I$56,7,FALSE),main!$K$10:$Q$14,7,FALSE),1,0)</f>
        <v>0</v>
      </c>
      <c r="M270">
        <f>IF(VLOOKUP(M$1,main!$A$3:$I$56,5,FALSE)-VLOOKUP($A270,main!$A$3:$I$56,6,FALSE)&gt;=VLOOKUP(59,main!$A$57:$I$61,4,FALSE)+VLOOKUP(VLOOKUP(M$1,main!$A$3:$I$56,7,FALSE),main!$K$10:$Q$14,7,FALSE),1,0)</f>
        <v>0</v>
      </c>
      <c r="N270">
        <f>IF(VLOOKUP(N$1,main!$A$3:$I$56,5,FALSE)-VLOOKUP($A270,main!$A$3:$I$56,6,FALSE)&gt;=VLOOKUP(59,main!$A$57:$I$61,4,FALSE)+VLOOKUP(VLOOKUP(N$1,main!$A$3:$I$56,7,FALSE),main!$K$10:$Q$14,7,FALSE),1,0)</f>
        <v>0</v>
      </c>
      <c r="O270">
        <f>IF(VLOOKUP(O$1,main!$A$3:$I$56,5,FALSE)-VLOOKUP($A270,main!$A$3:$I$56,6,FALSE)&gt;=VLOOKUP(59,main!$A$57:$I$61,4,FALSE)+VLOOKUP(VLOOKUP(O$1,main!$A$3:$I$56,7,FALSE),main!$K$10:$Q$14,7,FALSE),1,0)</f>
        <v>0</v>
      </c>
      <c r="P270">
        <f>IF(VLOOKUP(P$1,main!$A$3:$I$56,5,FALSE)-VLOOKUP($A270,main!$A$3:$I$56,6,FALSE)&gt;=VLOOKUP(59,main!$A$57:$I$61,4,FALSE)+VLOOKUP(VLOOKUP(P$1,main!$A$3:$I$56,7,FALSE),main!$K$10:$Q$14,7,FALSE),1,0)</f>
        <v>0</v>
      </c>
      <c r="Q270">
        <f>IF(VLOOKUP(Q$1,main!$A$3:$I$56,5,FALSE)-VLOOKUP($A270,main!$A$3:$I$56,6,FALSE)&gt;=VLOOKUP(59,main!$A$57:$I$61,4,FALSE)+VLOOKUP(VLOOKUP(Q$1,main!$A$3:$I$56,7,FALSE),main!$K$10:$Q$14,7,FALSE),1,0)</f>
        <v>0</v>
      </c>
      <c r="R270">
        <f>IF(VLOOKUP(R$1,main!$A$3:$I$56,5,FALSE)-VLOOKUP($A270,main!$A$3:$I$56,6,FALSE)&gt;=VLOOKUP(59,main!$A$57:$I$61,4,FALSE)+VLOOKUP(VLOOKUP(R$1,main!$A$3:$I$56,7,FALSE),main!$K$10:$Q$14,7,FALSE),1,0)</f>
        <v>0</v>
      </c>
      <c r="S270">
        <f>IF(VLOOKUP(S$1,main!$A$3:$I$56,5,FALSE)-VLOOKUP($A270,main!$A$3:$I$56,6,FALSE)&gt;=VLOOKUP(59,main!$A$57:$I$61,4,FALSE)+VLOOKUP(VLOOKUP(S$1,main!$A$3:$I$56,7,FALSE),main!$K$10:$Q$14,7,FALSE),1,0)</f>
        <v>0</v>
      </c>
      <c r="T270">
        <f>IF(VLOOKUP(T$1,main!$A$3:$I$56,5,FALSE)-VLOOKUP($A270,main!$A$3:$I$56,6,FALSE)&gt;=VLOOKUP(59,main!$A$57:$I$61,4,FALSE)+VLOOKUP(VLOOKUP(T$1,main!$A$3:$I$56,7,FALSE),main!$K$10:$Q$14,7,FALSE),1,0)</f>
        <v>0</v>
      </c>
      <c r="U270">
        <f>IF(VLOOKUP(U$1,main!$A$3:$I$56,5,FALSE)-VLOOKUP($A270,main!$A$3:$I$56,6,FALSE)&gt;=VLOOKUP(59,main!$A$57:$I$61,4,FALSE)+VLOOKUP(VLOOKUP(U$1,main!$A$3:$I$56,7,FALSE),main!$K$10:$Q$14,7,FALSE),1,0)</f>
        <v>0</v>
      </c>
      <c r="V270">
        <f>IF(VLOOKUP(V$1,main!$A$3:$I$56,5,FALSE)-VLOOKUP($A270,main!$A$3:$I$56,6,FALSE)&gt;=VLOOKUP(59,main!$A$57:$I$61,4,FALSE)+VLOOKUP(VLOOKUP(V$1,main!$A$3:$I$56,7,FALSE),main!$K$10:$Q$14,7,FALSE),1,0)</f>
        <v>0</v>
      </c>
      <c r="W270">
        <f>IF(VLOOKUP(W$1,main!$A$3:$I$56,5,FALSE)-VLOOKUP($A270,main!$A$3:$I$56,6,FALSE)&gt;=VLOOKUP(59,main!$A$57:$I$61,4,FALSE)+VLOOKUP(VLOOKUP(W$1,main!$A$3:$I$56,7,FALSE),main!$K$10:$Q$14,7,FALSE),1,0)</f>
        <v>0</v>
      </c>
      <c r="X270">
        <f>IF(VLOOKUP(X$1,main!$A$3:$I$56,5,FALSE)-VLOOKUP($A270,main!$A$3:$I$56,6,FALSE)&gt;=VLOOKUP(59,main!$A$57:$I$61,4,FALSE)+VLOOKUP(VLOOKUP(X$1,main!$A$3:$I$56,7,FALSE),main!$K$10:$Q$14,7,FALSE),1,0)</f>
        <v>0</v>
      </c>
      <c r="Y270">
        <f>IF(VLOOKUP(Y$1,main!$A$3:$I$56,5,FALSE)-VLOOKUP($A270,main!$A$3:$I$56,6,FALSE)&gt;=VLOOKUP(59,main!$A$57:$I$61,4,FALSE)+VLOOKUP(VLOOKUP(Y$1,main!$A$3:$I$56,7,FALSE),main!$K$10:$Q$14,7,FALSE),1,0)</f>
        <v>0</v>
      </c>
      <c r="Z270">
        <f>IF(VLOOKUP(Z$1,main!$A$3:$I$56,5,FALSE)-VLOOKUP($A270,main!$A$3:$I$56,6,FALSE)&gt;=VLOOKUP(59,main!$A$57:$I$61,4,FALSE)+VLOOKUP(VLOOKUP(Z$1,main!$A$3:$I$56,7,FALSE),main!$K$10:$Q$14,7,FALSE),1,0)</f>
        <v>0</v>
      </c>
      <c r="AA270">
        <f>IF(VLOOKUP(AA$1,main!$A$3:$I$56,5,FALSE)-VLOOKUP($A270,main!$A$3:$I$56,6,FALSE)&gt;=VLOOKUP(59,main!$A$57:$I$61,4,FALSE)+VLOOKUP(VLOOKUP(AA$1,main!$A$3:$I$56,7,FALSE),main!$K$10:$Q$14,7,FALSE),1,0)</f>
        <v>0</v>
      </c>
      <c r="AB270">
        <f>IF(VLOOKUP(AB$1,main!$A$3:$I$56,5,FALSE)-VLOOKUP($A270,main!$A$3:$I$56,6,FALSE)&gt;=VLOOKUP(59,main!$A$57:$I$61,4,FALSE)+VLOOKUP(VLOOKUP(AB$1,main!$A$3:$I$56,7,FALSE),main!$K$10:$Q$14,7,FALSE),1,0)</f>
        <v>0</v>
      </c>
      <c r="AC270">
        <f>IF(VLOOKUP(AC$1,main!$A$3:$I$56,5,FALSE)-VLOOKUP($A270,main!$A$3:$I$56,6,FALSE)&gt;=VLOOKUP(59,main!$A$57:$I$61,4,FALSE)+VLOOKUP(VLOOKUP(AC$1,main!$A$3:$I$56,7,FALSE),main!$K$10:$Q$14,7,FALSE),1,0)</f>
        <v>0</v>
      </c>
      <c r="AD270">
        <f>IF(VLOOKUP(AD$1,main!$A$3:$I$56,5,FALSE)-VLOOKUP($A270,main!$A$3:$I$56,6,FALSE)&gt;=VLOOKUP(59,main!$A$57:$I$61,4,FALSE)+VLOOKUP(VLOOKUP(AD$1,main!$A$3:$I$56,7,FALSE),main!$K$10:$Q$14,7,FALSE),1,0)</f>
        <v>0</v>
      </c>
      <c r="AE270">
        <f>IF(VLOOKUP(AE$1,main!$A$3:$I$56,5,FALSE)-VLOOKUP($A270,main!$A$3:$I$56,6,FALSE)&gt;=VLOOKUP(59,main!$A$57:$I$61,4,FALSE)+VLOOKUP(VLOOKUP(AE$1,main!$A$3:$I$56,7,FALSE),main!$K$10:$Q$14,7,FALSE),1,0)</f>
        <v>0</v>
      </c>
      <c r="AF270">
        <f>IF(VLOOKUP(AF$1,main!$A$3:$I$56,5,FALSE)-VLOOKUP($A270,main!$A$3:$I$56,6,FALSE)&gt;=VLOOKUP(59,main!$A$57:$I$61,4,FALSE)+VLOOKUP(VLOOKUP(AF$1,main!$A$3:$I$56,7,FALSE),main!$K$10:$Q$14,7,FALSE),1,0)</f>
        <v>0</v>
      </c>
      <c r="AG270">
        <f>IF(VLOOKUP(AG$1,main!$A$3:$I$56,5,FALSE)-VLOOKUP($A270,main!$A$3:$I$56,6,FALSE)&gt;=VLOOKUP(59,main!$A$57:$I$61,4,FALSE)+VLOOKUP(VLOOKUP(AG$1,main!$A$3:$I$56,7,FALSE),main!$K$10:$Q$14,7,FALSE),1,0)</f>
        <v>0</v>
      </c>
      <c r="AH270">
        <f>IF(VLOOKUP(AH$1,main!$A$3:$I$56,5,FALSE)-VLOOKUP($A270,main!$A$3:$I$56,6,FALSE)&gt;=VLOOKUP(59,main!$A$57:$I$61,4,FALSE)+VLOOKUP(VLOOKUP(AH$1,main!$A$3:$I$56,7,FALSE),main!$K$10:$Q$14,7,FALSE),1,0)</f>
        <v>0</v>
      </c>
      <c r="AI270">
        <f>IF(VLOOKUP(AI$1,main!$A$3:$I$56,5,FALSE)-VLOOKUP($A270,main!$A$3:$I$56,6,FALSE)&gt;=VLOOKUP(59,main!$A$57:$I$61,4,FALSE)+VLOOKUP(VLOOKUP(AI$1,main!$A$3:$I$56,7,FALSE),main!$K$10:$Q$14,7,FALSE),1,0)</f>
        <v>0</v>
      </c>
      <c r="AJ270">
        <f>IF(VLOOKUP(AJ$1,main!$A$3:$I$56,5,FALSE)-VLOOKUP($A270,main!$A$3:$I$56,6,FALSE)&gt;=VLOOKUP(59,main!$A$57:$I$61,4,FALSE)+VLOOKUP(VLOOKUP(AJ$1,main!$A$3:$I$56,7,FALSE),main!$K$10:$Q$14,7,FALSE),1,0)</f>
        <v>0</v>
      </c>
      <c r="AK270">
        <f>IF(VLOOKUP(AK$1,main!$A$3:$I$56,5,FALSE)-VLOOKUP($A270,main!$A$3:$I$56,6,FALSE)&gt;=VLOOKUP(59,main!$A$57:$I$61,4,FALSE)+VLOOKUP(VLOOKUP(AK$1,main!$A$3:$I$56,7,FALSE),main!$K$10:$Q$14,7,FALSE),1,0)</f>
        <v>0</v>
      </c>
      <c r="AL270">
        <f>IF(VLOOKUP(AL$1,main!$A$3:$I$56,5,FALSE)-VLOOKUP($A270,main!$A$3:$I$56,6,FALSE)&gt;=VLOOKUP(59,main!$A$57:$I$61,4,FALSE)+VLOOKUP(VLOOKUP(AL$1,main!$A$3:$I$56,7,FALSE),main!$K$10:$Q$14,7,FALSE),1,0)</f>
        <v>0</v>
      </c>
      <c r="AM270">
        <f>IF(VLOOKUP(AM$1,main!$A$3:$I$56,5,FALSE)-VLOOKUP($A270,main!$A$3:$I$56,6,FALSE)&gt;=VLOOKUP(59,main!$A$57:$I$61,4,FALSE)+VLOOKUP(VLOOKUP(AM$1,main!$A$3:$I$56,7,FALSE),main!$K$10:$Q$14,7,FALSE),1,0)</f>
        <v>0</v>
      </c>
      <c r="AN270">
        <f>IF(VLOOKUP(AN$1,main!$A$3:$I$56,5,FALSE)-VLOOKUP($A270,main!$A$3:$I$56,6,FALSE)&gt;=VLOOKUP(59,main!$A$57:$I$61,4,FALSE)+VLOOKUP(VLOOKUP(AN$1,main!$A$3:$I$56,7,FALSE),main!$K$10:$Q$14,7,FALSE),1,0)</f>
        <v>0</v>
      </c>
      <c r="AO270">
        <f>IF(VLOOKUP(AO$1,main!$A$3:$I$56,5,FALSE)-VLOOKUP($A270,main!$A$3:$I$56,6,FALSE)&gt;=VLOOKUP(59,main!$A$57:$I$61,4,FALSE)+VLOOKUP(VLOOKUP(AO$1,main!$A$3:$I$56,7,FALSE),main!$K$10:$Q$14,7,FALSE),1,0)</f>
        <v>0</v>
      </c>
      <c r="AP270">
        <f>IF(VLOOKUP(AP$1,main!$A$3:$I$56,5,FALSE)-VLOOKUP($A270,main!$A$3:$I$56,6,FALSE)&gt;=VLOOKUP(59,main!$A$57:$I$61,4,FALSE)+VLOOKUP(VLOOKUP(AP$1,main!$A$3:$I$56,7,FALSE),main!$K$10:$Q$14,7,FALSE),1,0)</f>
        <v>0</v>
      </c>
      <c r="AQ270">
        <f>IF(VLOOKUP(AQ$1,main!$A$3:$I$56,5,FALSE)-VLOOKUP($A270,main!$A$3:$I$56,6,FALSE)&gt;=VLOOKUP(59,main!$A$57:$I$61,4,FALSE)+VLOOKUP(VLOOKUP(AQ$1,main!$A$3:$I$56,7,FALSE),main!$K$10:$Q$14,7,FALSE),1,0)</f>
        <v>0</v>
      </c>
      <c r="AR270">
        <f>IF(VLOOKUP(AR$1,main!$A$3:$I$56,5,FALSE)-VLOOKUP($A270,main!$A$3:$I$56,6,FALSE)&gt;=VLOOKUP(59,main!$A$57:$I$61,4,FALSE)+VLOOKUP(VLOOKUP(AR$1,main!$A$3:$I$56,7,FALSE),main!$K$10:$Q$14,7,FALSE),1,0)</f>
        <v>0</v>
      </c>
      <c r="AS270">
        <f>IF(VLOOKUP(AS$1,main!$A$3:$I$56,5,FALSE)-VLOOKUP($A270,main!$A$3:$I$56,6,FALSE)&gt;=VLOOKUP(59,main!$A$57:$I$61,4,FALSE)+VLOOKUP(VLOOKUP(AS$1,main!$A$3:$I$56,7,FALSE),main!$K$10:$Q$14,7,FALSE),1,0)</f>
        <v>0</v>
      </c>
      <c r="AT270">
        <f>IF(VLOOKUP(AT$1,main!$A$3:$I$56,5,FALSE)-VLOOKUP($A270,main!$A$3:$I$56,6,FALSE)&gt;=VLOOKUP(59,main!$A$57:$I$61,4,FALSE)+VLOOKUP(VLOOKUP(AT$1,main!$A$3:$I$56,7,FALSE),main!$K$10:$Q$14,7,FALSE),1,0)</f>
        <v>0</v>
      </c>
      <c r="AU270">
        <f>IF(VLOOKUP(AU$1,main!$A$3:$I$56,5,FALSE)-VLOOKUP($A270,main!$A$3:$I$56,6,FALSE)&gt;=VLOOKUP(59,main!$A$57:$I$61,4,FALSE)+VLOOKUP(VLOOKUP(AU$1,main!$A$3:$I$56,7,FALSE),main!$K$10:$Q$14,7,FALSE),1,0)</f>
        <v>0</v>
      </c>
      <c r="AV270">
        <f>IF(VLOOKUP(AV$1,main!$A$3:$I$56,5,FALSE)-VLOOKUP($A270,main!$A$3:$I$56,6,FALSE)&gt;=VLOOKUP(59,main!$A$57:$I$61,4,FALSE)+VLOOKUP(VLOOKUP(AV$1,main!$A$3:$I$56,7,FALSE),main!$K$10:$Q$14,7,FALSE),1,0)</f>
        <v>0</v>
      </c>
      <c r="AW270">
        <f>IF(VLOOKUP(AW$1,main!$A$3:$I$56,5,FALSE)-VLOOKUP($A270,main!$A$3:$I$56,6,FALSE)&gt;=VLOOKUP(59,main!$A$57:$I$61,4,FALSE)+VLOOKUP(VLOOKUP(AW$1,main!$A$3:$I$56,7,FALSE),main!$K$10:$Q$14,7,FALSE),1,0)</f>
        <v>0</v>
      </c>
      <c r="AX270">
        <f>IF(VLOOKUP(AX$1,main!$A$3:$I$56,5,FALSE)-VLOOKUP($A270,main!$A$3:$I$56,6,FALSE)&gt;=VLOOKUP(59,main!$A$57:$I$61,4,FALSE)+VLOOKUP(VLOOKUP(AX$1,main!$A$3:$I$56,7,FALSE),main!$K$10:$Q$14,7,FALSE),1,0)</f>
        <v>0</v>
      </c>
      <c r="AY270">
        <f>IF(VLOOKUP(AY$1,main!$A$3:$I$56,5,FALSE)-VLOOKUP($A270,main!$A$3:$I$56,6,FALSE)&gt;=VLOOKUP(59,main!$A$57:$I$61,4,FALSE)+VLOOKUP(VLOOKUP(AY$1,main!$A$3:$I$56,7,FALSE),main!$K$10:$Q$14,7,FALSE),1,0)</f>
        <v>1</v>
      </c>
      <c r="AZ270">
        <f>IF(VLOOKUP(AZ$1,main!$A$3:$I$56,5,FALSE)-VLOOKUP($A270,main!$A$3:$I$56,6,FALSE)&gt;=VLOOKUP(59,main!$A$57:$I$61,4,FALSE)+VLOOKUP(VLOOKUP(AZ$1,main!$A$3:$I$56,7,FALSE),main!$K$10:$Q$14,7,FALSE),1,0)</f>
        <v>0</v>
      </c>
      <c r="BA270">
        <f>IF(VLOOKUP(BA$1,main!$A$3:$I$56,5,FALSE)-VLOOKUP($A270,main!$A$3:$I$56,6,FALSE)&gt;=VLOOKUP(59,main!$A$57:$I$61,4,FALSE)+VLOOKUP(VLOOKUP(BA$1,main!$A$3:$I$56,7,FALSE),main!$K$10:$Q$14,7,FALSE),1,0)</f>
        <v>0</v>
      </c>
      <c r="BB270">
        <f>IF(VLOOKUP(BB$1,main!$A$3:$I$56,5,FALSE)-VLOOKUP($A270,main!$A$3:$I$56,6,FALSE)&gt;=VLOOKUP(59,main!$A$57:$I$61,4,FALSE)+VLOOKUP(VLOOKUP(BB$1,main!$A$3:$I$56,7,FALSE),main!$K$10:$Q$14,7,FALSE),1,0)</f>
        <v>0</v>
      </c>
      <c r="BC270">
        <f>IF(VLOOKUP(BC$1,main!$A$3:$I$56,5,FALSE)-VLOOKUP($A270,main!$A$3:$I$56,6,FALSE)&gt;=VLOOKUP(59,main!$A$57:$I$61,4,FALSE)+VLOOKUP(VLOOKUP(BC$1,main!$A$3:$I$56,7,FALSE),main!$K$10:$Q$14,7,FALSE),1,0)</f>
        <v>0</v>
      </c>
      <c r="BD270">
        <f>IF(VLOOKUP(BD$1,main!$A$3:$I$56,5,FALSE)-VLOOKUP($A270,main!$A$3:$I$56,6,FALSE)&gt;=VLOOKUP(59,main!$A$57:$I$61,4,FALSE)+VLOOKUP(VLOOKUP(BD$1,main!$A$3:$I$56,7,FALSE),main!$K$10:$Q$14,7,FALSE),1,0)</f>
        <v>0</v>
      </c>
    </row>
    <row r="271" spans="1:56" x14ac:dyDescent="0.25">
      <c r="A271">
        <f t="shared" si="4"/>
        <v>49</v>
      </c>
      <c r="B271">
        <v>0</v>
      </c>
      <c r="C271">
        <f>IF(VLOOKUP(C$1,main!$A$3:$I$56,5,FALSE)-VLOOKUP($A271,main!$A$3:$I$56,6,FALSE)&gt;=VLOOKUP(59,main!$A$57:$I$61,4,FALSE)+VLOOKUP(VLOOKUP(C$1,main!$A$3:$I$56,7,FALSE),main!$K$10:$Q$14,7,FALSE),1,0)</f>
        <v>0</v>
      </c>
      <c r="D271">
        <f>IF(VLOOKUP(D$1,main!$A$3:$I$56,5,FALSE)-VLOOKUP($A271,main!$A$3:$I$56,6,FALSE)&gt;=VLOOKUP(59,main!$A$57:$I$61,4,FALSE)+VLOOKUP(VLOOKUP(D$1,main!$A$3:$I$56,7,FALSE),main!$K$10:$Q$14,7,FALSE),1,0)</f>
        <v>0</v>
      </c>
      <c r="E271">
        <f>IF(VLOOKUP(E$1,main!$A$3:$I$56,5,FALSE)-VLOOKUP($A271,main!$A$3:$I$56,6,FALSE)&gt;=VLOOKUP(59,main!$A$57:$I$61,4,FALSE)+VLOOKUP(VLOOKUP(E$1,main!$A$3:$I$56,7,FALSE),main!$K$10:$Q$14,7,FALSE),1,0)</f>
        <v>0</v>
      </c>
      <c r="F271">
        <f>IF(VLOOKUP(F$1,main!$A$3:$I$56,5,FALSE)-VLOOKUP($A271,main!$A$3:$I$56,6,FALSE)&gt;=VLOOKUP(59,main!$A$57:$I$61,4,FALSE)+VLOOKUP(VLOOKUP(F$1,main!$A$3:$I$56,7,FALSE),main!$K$10:$Q$14,7,FALSE),1,0)</f>
        <v>0</v>
      </c>
      <c r="G271">
        <f>IF(VLOOKUP(G$1,main!$A$3:$I$56,5,FALSE)-VLOOKUP($A271,main!$A$3:$I$56,6,FALSE)&gt;=VLOOKUP(59,main!$A$57:$I$61,4,FALSE)+VLOOKUP(VLOOKUP(G$1,main!$A$3:$I$56,7,FALSE),main!$K$10:$Q$14,7,FALSE),1,0)</f>
        <v>0</v>
      </c>
      <c r="H271">
        <f>IF(VLOOKUP(H$1,main!$A$3:$I$56,5,FALSE)-VLOOKUP($A271,main!$A$3:$I$56,6,FALSE)&gt;=VLOOKUP(59,main!$A$57:$I$61,4,FALSE)+VLOOKUP(VLOOKUP(H$1,main!$A$3:$I$56,7,FALSE),main!$K$10:$Q$14,7,FALSE),1,0)</f>
        <v>0</v>
      </c>
      <c r="I271">
        <f>IF(VLOOKUP(I$1,main!$A$3:$I$56,5,FALSE)-VLOOKUP($A271,main!$A$3:$I$56,6,FALSE)&gt;=VLOOKUP(59,main!$A$57:$I$61,4,FALSE)+VLOOKUP(VLOOKUP(I$1,main!$A$3:$I$56,7,FALSE),main!$K$10:$Q$14,7,FALSE),1,0)</f>
        <v>0</v>
      </c>
      <c r="J271">
        <f>IF(VLOOKUP(J$1,main!$A$3:$I$56,5,FALSE)-VLOOKUP($A271,main!$A$3:$I$56,6,FALSE)&gt;=VLOOKUP(59,main!$A$57:$I$61,4,FALSE)+VLOOKUP(VLOOKUP(J$1,main!$A$3:$I$56,7,FALSE),main!$K$10:$Q$14,7,FALSE),1,0)</f>
        <v>0</v>
      </c>
      <c r="K271">
        <f>IF(VLOOKUP(K$1,main!$A$3:$I$56,5,FALSE)-VLOOKUP($A271,main!$A$3:$I$56,6,FALSE)&gt;=VLOOKUP(59,main!$A$57:$I$61,4,FALSE)+VLOOKUP(VLOOKUP(K$1,main!$A$3:$I$56,7,FALSE),main!$K$10:$Q$14,7,FALSE),1,0)</f>
        <v>0</v>
      </c>
      <c r="L271">
        <f>IF(VLOOKUP(L$1,main!$A$3:$I$56,5,FALSE)-VLOOKUP($A271,main!$A$3:$I$56,6,FALSE)&gt;=VLOOKUP(59,main!$A$57:$I$61,4,FALSE)+VLOOKUP(VLOOKUP(L$1,main!$A$3:$I$56,7,FALSE),main!$K$10:$Q$14,7,FALSE),1,0)</f>
        <v>0</v>
      </c>
      <c r="M271">
        <f>IF(VLOOKUP(M$1,main!$A$3:$I$56,5,FALSE)-VLOOKUP($A271,main!$A$3:$I$56,6,FALSE)&gt;=VLOOKUP(59,main!$A$57:$I$61,4,FALSE)+VLOOKUP(VLOOKUP(M$1,main!$A$3:$I$56,7,FALSE),main!$K$10:$Q$14,7,FALSE),1,0)</f>
        <v>0</v>
      </c>
      <c r="N271">
        <f>IF(VLOOKUP(N$1,main!$A$3:$I$56,5,FALSE)-VLOOKUP($A271,main!$A$3:$I$56,6,FALSE)&gt;=VLOOKUP(59,main!$A$57:$I$61,4,FALSE)+VLOOKUP(VLOOKUP(N$1,main!$A$3:$I$56,7,FALSE),main!$K$10:$Q$14,7,FALSE),1,0)</f>
        <v>0</v>
      </c>
      <c r="O271">
        <f>IF(VLOOKUP(O$1,main!$A$3:$I$56,5,FALSE)-VLOOKUP($A271,main!$A$3:$I$56,6,FALSE)&gt;=VLOOKUP(59,main!$A$57:$I$61,4,FALSE)+VLOOKUP(VLOOKUP(O$1,main!$A$3:$I$56,7,FALSE),main!$K$10:$Q$14,7,FALSE),1,0)</f>
        <v>0</v>
      </c>
      <c r="P271">
        <f>IF(VLOOKUP(P$1,main!$A$3:$I$56,5,FALSE)-VLOOKUP($A271,main!$A$3:$I$56,6,FALSE)&gt;=VLOOKUP(59,main!$A$57:$I$61,4,FALSE)+VLOOKUP(VLOOKUP(P$1,main!$A$3:$I$56,7,FALSE),main!$K$10:$Q$14,7,FALSE),1,0)</f>
        <v>0</v>
      </c>
      <c r="Q271">
        <f>IF(VLOOKUP(Q$1,main!$A$3:$I$56,5,FALSE)-VLOOKUP($A271,main!$A$3:$I$56,6,FALSE)&gt;=VLOOKUP(59,main!$A$57:$I$61,4,FALSE)+VLOOKUP(VLOOKUP(Q$1,main!$A$3:$I$56,7,FALSE),main!$K$10:$Q$14,7,FALSE),1,0)</f>
        <v>0</v>
      </c>
      <c r="R271">
        <f>IF(VLOOKUP(R$1,main!$A$3:$I$56,5,FALSE)-VLOOKUP($A271,main!$A$3:$I$56,6,FALSE)&gt;=VLOOKUP(59,main!$A$57:$I$61,4,FALSE)+VLOOKUP(VLOOKUP(R$1,main!$A$3:$I$56,7,FALSE),main!$K$10:$Q$14,7,FALSE),1,0)</f>
        <v>0</v>
      </c>
      <c r="S271">
        <f>IF(VLOOKUP(S$1,main!$A$3:$I$56,5,FALSE)-VLOOKUP($A271,main!$A$3:$I$56,6,FALSE)&gt;=VLOOKUP(59,main!$A$57:$I$61,4,FALSE)+VLOOKUP(VLOOKUP(S$1,main!$A$3:$I$56,7,FALSE),main!$K$10:$Q$14,7,FALSE),1,0)</f>
        <v>0</v>
      </c>
      <c r="T271">
        <f>IF(VLOOKUP(T$1,main!$A$3:$I$56,5,FALSE)-VLOOKUP($A271,main!$A$3:$I$56,6,FALSE)&gt;=VLOOKUP(59,main!$A$57:$I$61,4,FALSE)+VLOOKUP(VLOOKUP(T$1,main!$A$3:$I$56,7,FALSE),main!$K$10:$Q$14,7,FALSE),1,0)</f>
        <v>0</v>
      </c>
      <c r="U271">
        <f>IF(VLOOKUP(U$1,main!$A$3:$I$56,5,FALSE)-VLOOKUP($A271,main!$A$3:$I$56,6,FALSE)&gt;=VLOOKUP(59,main!$A$57:$I$61,4,FALSE)+VLOOKUP(VLOOKUP(U$1,main!$A$3:$I$56,7,FALSE),main!$K$10:$Q$14,7,FALSE),1,0)</f>
        <v>0</v>
      </c>
      <c r="V271">
        <f>IF(VLOOKUP(V$1,main!$A$3:$I$56,5,FALSE)-VLOOKUP($A271,main!$A$3:$I$56,6,FALSE)&gt;=VLOOKUP(59,main!$A$57:$I$61,4,FALSE)+VLOOKUP(VLOOKUP(V$1,main!$A$3:$I$56,7,FALSE),main!$K$10:$Q$14,7,FALSE),1,0)</f>
        <v>0</v>
      </c>
      <c r="W271">
        <f>IF(VLOOKUP(W$1,main!$A$3:$I$56,5,FALSE)-VLOOKUP($A271,main!$A$3:$I$56,6,FALSE)&gt;=VLOOKUP(59,main!$A$57:$I$61,4,FALSE)+VLOOKUP(VLOOKUP(W$1,main!$A$3:$I$56,7,FALSE),main!$K$10:$Q$14,7,FALSE),1,0)</f>
        <v>0</v>
      </c>
      <c r="X271">
        <f>IF(VLOOKUP(X$1,main!$A$3:$I$56,5,FALSE)-VLOOKUP($A271,main!$A$3:$I$56,6,FALSE)&gt;=VLOOKUP(59,main!$A$57:$I$61,4,FALSE)+VLOOKUP(VLOOKUP(X$1,main!$A$3:$I$56,7,FALSE),main!$K$10:$Q$14,7,FALSE),1,0)</f>
        <v>0</v>
      </c>
      <c r="Y271">
        <f>IF(VLOOKUP(Y$1,main!$A$3:$I$56,5,FALSE)-VLOOKUP($A271,main!$A$3:$I$56,6,FALSE)&gt;=VLOOKUP(59,main!$A$57:$I$61,4,FALSE)+VLOOKUP(VLOOKUP(Y$1,main!$A$3:$I$56,7,FALSE),main!$K$10:$Q$14,7,FALSE),1,0)</f>
        <v>0</v>
      </c>
      <c r="Z271">
        <f>IF(VLOOKUP(Z$1,main!$A$3:$I$56,5,FALSE)-VLOOKUP($A271,main!$A$3:$I$56,6,FALSE)&gt;=VLOOKUP(59,main!$A$57:$I$61,4,FALSE)+VLOOKUP(VLOOKUP(Z$1,main!$A$3:$I$56,7,FALSE),main!$K$10:$Q$14,7,FALSE),1,0)</f>
        <v>0</v>
      </c>
      <c r="AA271">
        <f>IF(VLOOKUP(AA$1,main!$A$3:$I$56,5,FALSE)-VLOOKUP($A271,main!$A$3:$I$56,6,FALSE)&gt;=VLOOKUP(59,main!$A$57:$I$61,4,FALSE)+VLOOKUP(VLOOKUP(AA$1,main!$A$3:$I$56,7,FALSE),main!$K$10:$Q$14,7,FALSE),1,0)</f>
        <v>0</v>
      </c>
      <c r="AB271">
        <f>IF(VLOOKUP(AB$1,main!$A$3:$I$56,5,FALSE)-VLOOKUP($A271,main!$A$3:$I$56,6,FALSE)&gt;=VLOOKUP(59,main!$A$57:$I$61,4,FALSE)+VLOOKUP(VLOOKUP(AB$1,main!$A$3:$I$56,7,FALSE),main!$K$10:$Q$14,7,FALSE),1,0)</f>
        <v>0</v>
      </c>
      <c r="AC271">
        <f>IF(VLOOKUP(AC$1,main!$A$3:$I$56,5,FALSE)-VLOOKUP($A271,main!$A$3:$I$56,6,FALSE)&gt;=VLOOKUP(59,main!$A$57:$I$61,4,FALSE)+VLOOKUP(VLOOKUP(AC$1,main!$A$3:$I$56,7,FALSE),main!$K$10:$Q$14,7,FALSE),1,0)</f>
        <v>0</v>
      </c>
      <c r="AD271">
        <f>IF(VLOOKUP(AD$1,main!$A$3:$I$56,5,FALSE)-VLOOKUP($A271,main!$A$3:$I$56,6,FALSE)&gt;=VLOOKUP(59,main!$A$57:$I$61,4,FALSE)+VLOOKUP(VLOOKUP(AD$1,main!$A$3:$I$56,7,FALSE),main!$K$10:$Q$14,7,FALSE),1,0)</f>
        <v>0</v>
      </c>
      <c r="AE271">
        <f>IF(VLOOKUP(AE$1,main!$A$3:$I$56,5,FALSE)-VLOOKUP($A271,main!$A$3:$I$56,6,FALSE)&gt;=VLOOKUP(59,main!$A$57:$I$61,4,FALSE)+VLOOKUP(VLOOKUP(AE$1,main!$A$3:$I$56,7,FALSE),main!$K$10:$Q$14,7,FALSE),1,0)</f>
        <v>0</v>
      </c>
      <c r="AF271">
        <f>IF(VLOOKUP(AF$1,main!$A$3:$I$56,5,FALSE)-VLOOKUP($A271,main!$A$3:$I$56,6,FALSE)&gt;=VLOOKUP(59,main!$A$57:$I$61,4,FALSE)+VLOOKUP(VLOOKUP(AF$1,main!$A$3:$I$56,7,FALSE),main!$K$10:$Q$14,7,FALSE),1,0)</f>
        <v>0</v>
      </c>
      <c r="AG271">
        <f>IF(VLOOKUP(AG$1,main!$A$3:$I$56,5,FALSE)-VLOOKUP($A271,main!$A$3:$I$56,6,FALSE)&gt;=VLOOKUP(59,main!$A$57:$I$61,4,FALSE)+VLOOKUP(VLOOKUP(AG$1,main!$A$3:$I$56,7,FALSE),main!$K$10:$Q$14,7,FALSE),1,0)</f>
        <v>0</v>
      </c>
      <c r="AH271">
        <f>IF(VLOOKUP(AH$1,main!$A$3:$I$56,5,FALSE)-VLOOKUP($A271,main!$A$3:$I$56,6,FALSE)&gt;=VLOOKUP(59,main!$A$57:$I$61,4,FALSE)+VLOOKUP(VLOOKUP(AH$1,main!$A$3:$I$56,7,FALSE),main!$K$10:$Q$14,7,FALSE),1,0)</f>
        <v>0</v>
      </c>
      <c r="AI271">
        <f>IF(VLOOKUP(AI$1,main!$A$3:$I$56,5,FALSE)-VLOOKUP($A271,main!$A$3:$I$56,6,FALSE)&gt;=VLOOKUP(59,main!$A$57:$I$61,4,FALSE)+VLOOKUP(VLOOKUP(AI$1,main!$A$3:$I$56,7,FALSE),main!$K$10:$Q$14,7,FALSE),1,0)</f>
        <v>0</v>
      </c>
      <c r="AJ271">
        <f>IF(VLOOKUP(AJ$1,main!$A$3:$I$56,5,FALSE)-VLOOKUP($A271,main!$A$3:$I$56,6,FALSE)&gt;=VLOOKUP(59,main!$A$57:$I$61,4,FALSE)+VLOOKUP(VLOOKUP(AJ$1,main!$A$3:$I$56,7,FALSE),main!$K$10:$Q$14,7,FALSE),1,0)</f>
        <v>0</v>
      </c>
      <c r="AK271">
        <f>IF(VLOOKUP(AK$1,main!$A$3:$I$56,5,FALSE)-VLOOKUP($A271,main!$A$3:$I$56,6,FALSE)&gt;=VLOOKUP(59,main!$A$57:$I$61,4,FALSE)+VLOOKUP(VLOOKUP(AK$1,main!$A$3:$I$56,7,FALSE),main!$K$10:$Q$14,7,FALSE),1,0)</f>
        <v>0</v>
      </c>
      <c r="AL271">
        <f>IF(VLOOKUP(AL$1,main!$A$3:$I$56,5,FALSE)-VLOOKUP($A271,main!$A$3:$I$56,6,FALSE)&gt;=VLOOKUP(59,main!$A$57:$I$61,4,FALSE)+VLOOKUP(VLOOKUP(AL$1,main!$A$3:$I$56,7,FALSE),main!$K$10:$Q$14,7,FALSE),1,0)</f>
        <v>0</v>
      </c>
      <c r="AM271">
        <f>IF(VLOOKUP(AM$1,main!$A$3:$I$56,5,FALSE)-VLOOKUP($A271,main!$A$3:$I$56,6,FALSE)&gt;=VLOOKUP(59,main!$A$57:$I$61,4,FALSE)+VLOOKUP(VLOOKUP(AM$1,main!$A$3:$I$56,7,FALSE),main!$K$10:$Q$14,7,FALSE),1,0)</f>
        <v>0</v>
      </c>
      <c r="AN271">
        <f>IF(VLOOKUP(AN$1,main!$A$3:$I$56,5,FALSE)-VLOOKUP($A271,main!$A$3:$I$56,6,FALSE)&gt;=VLOOKUP(59,main!$A$57:$I$61,4,FALSE)+VLOOKUP(VLOOKUP(AN$1,main!$A$3:$I$56,7,FALSE),main!$K$10:$Q$14,7,FALSE),1,0)</f>
        <v>0</v>
      </c>
      <c r="AO271">
        <f>IF(VLOOKUP(AO$1,main!$A$3:$I$56,5,FALSE)-VLOOKUP($A271,main!$A$3:$I$56,6,FALSE)&gt;=VLOOKUP(59,main!$A$57:$I$61,4,FALSE)+VLOOKUP(VLOOKUP(AO$1,main!$A$3:$I$56,7,FALSE),main!$K$10:$Q$14,7,FALSE),1,0)</f>
        <v>0</v>
      </c>
      <c r="AP271">
        <f>IF(VLOOKUP(AP$1,main!$A$3:$I$56,5,FALSE)-VLOOKUP($A271,main!$A$3:$I$56,6,FALSE)&gt;=VLOOKUP(59,main!$A$57:$I$61,4,FALSE)+VLOOKUP(VLOOKUP(AP$1,main!$A$3:$I$56,7,FALSE),main!$K$10:$Q$14,7,FALSE),1,0)</f>
        <v>0</v>
      </c>
      <c r="AQ271">
        <f>IF(VLOOKUP(AQ$1,main!$A$3:$I$56,5,FALSE)-VLOOKUP($A271,main!$A$3:$I$56,6,FALSE)&gt;=VLOOKUP(59,main!$A$57:$I$61,4,FALSE)+VLOOKUP(VLOOKUP(AQ$1,main!$A$3:$I$56,7,FALSE),main!$K$10:$Q$14,7,FALSE),1,0)</f>
        <v>0</v>
      </c>
      <c r="AR271">
        <f>IF(VLOOKUP(AR$1,main!$A$3:$I$56,5,FALSE)-VLOOKUP($A271,main!$A$3:$I$56,6,FALSE)&gt;=VLOOKUP(59,main!$A$57:$I$61,4,FALSE)+VLOOKUP(VLOOKUP(AR$1,main!$A$3:$I$56,7,FALSE),main!$K$10:$Q$14,7,FALSE),1,0)</f>
        <v>0</v>
      </c>
      <c r="AS271">
        <f>IF(VLOOKUP(AS$1,main!$A$3:$I$56,5,FALSE)-VLOOKUP($A271,main!$A$3:$I$56,6,FALSE)&gt;=VLOOKUP(59,main!$A$57:$I$61,4,FALSE)+VLOOKUP(VLOOKUP(AS$1,main!$A$3:$I$56,7,FALSE),main!$K$10:$Q$14,7,FALSE),1,0)</f>
        <v>0</v>
      </c>
      <c r="AT271">
        <f>IF(VLOOKUP(AT$1,main!$A$3:$I$56,5,FALSE)-VLOOKUP($A271,main!$A$3:$I$56,6,FALSE)&gt;=VLOOKUP(59,main!$A$57:$I$61,4,FALSE)+VLOOKUP(VLOOKUP(AT$1,main!$A$3:$I$56,7,FALSE),main!$K$10:$Q$14,7,FALSE),1,0)</f>
        <v>0</v>
      </c>
      <c r="AU271">
        <f>IF(VLOOKUP(AU$1,main!$A$3:$I$56,5,FALSE)-VLOOKUP($A271,main!$A$3:$I$56,6,FALSE)&gt;=VLOOKUP(59,main!$A$57:$I$61,4,FALSE)+VLOOKUP(VLOOKUP(AU$1,main!$A$3:$I$56,7,FALSE),main!$K$10:$Q$14,7,FALSE),1,0)</f>
        <v>0</v>
      </c>
      <c r="AV271">
        <f>IF(VLOOKUP(AV$1,main!$A$3:$I$56,5,FALSE)-VLOOKUP($A271,main!$A$3:$I$56,6,FALSE)&gt;=VLOOKUP(59,main!$A$57:$I$61,4,FALSE)+VLOOKUP(VLOOKUP(AV$1,main!$A$3:$I$56,7,FALSE),main!$K$10:$Q$14,7,FALSE),1,0)</f>
        <v>0</v>
      </c>
      <c r="AW271">
        <f>IF(VLOOKUP(AW$1,main!$A$3:$I$56,5,FALSE)-VLOOKUP($A271,main!$A$3:$I$56,6,FALSE)&gt;=VLOOKUP(59,main!$A$57:$I$61,4,FALSE)+VLOOKUP(VLOOKUP(AW$1,main!$A$3:$I$56,7,FALSE),main!$K$10:$Q$14,7,FALSE),1,0)</f>
        <v>0</v>
      </c>
      <c r="AX271">
        <f>IF(VLOOKUP(AX$1,main!$A$3:$I$56,5,FALSE)-VLOOKUP($A271,main!$A$3:$I$56,6,FALSE)&gt;=VLOOKUP(59,main!$A$57:$I$61,4,FALSE)+VLOOKUP(VLOOKUP(AX$1,main!$A$3:$I$56,7,FALSE),main!$K$10:$Q$14,7,FALSE),1,0)</f>
        <v>0</v>
      </c>
      <c r="AY271">
        <f>IF(VLOOKUP(AY$1,main!$A$3:$I$56,5,FALSE)-VLOOKUP($A271,main!$A$3:$I$56,6,FALSE)&gt;=VLOOKUP(59,main!$A$57:$I$61,4,FALSE)+VLOOKUP(VLOOKUP(AY$1,main!$A$3:$I$56,7,FALSE),main!$K$10:$Q$14,7,FALSE),1,0)</f>
        <v>0</v>
      </c>
      <c r="AZ271">
        <f>IF(VLOOKUP(AZ$1,main!$A$3:$I$56,5,FALSE)-VLOOKUP($A271,main!$A$3:$I$56,6,FALSE)&gt;=VLOOKUP(59,main!$A$57:$I$61,4,FALSE)+VLOOKUP(VLOOKUP(AZ$1,main!$A$3:$I$56,7,FALSE),main!$K$10:$Q$14,7,FALSE),1,0)</f>
        <v>0</v>
      </c>
      <c r="BA271">
        <f>IF(VLOOKUP(BA$1,main!$A$3:$I$56,5,FALSE)-VLOOKUP($A271,main!$A$3:$I$56,6,FALSE)&gt;=VLOOKUP(59,main!$A$57:$I$61,4,FALSE)+VLOOKUP(VLOOKUP(BA$1,main!$A$3:$I$56,7,FALSE),main!$K$10:$Q$14,7,FALSE),1,0)</f>
        <v>0</v>
      </c>
      <c r="BB271">
        <f>IF(VLOOKUP(BB$1,main!$A$3:$I$56,5,FALSE)-VLOOKUP($A271,main!$A$3:$I$56,6,FALSE)&gt;=VLOOKUP(59,main!$A$57:$I$61,4,FALSE)+VLOOKUP(VLOOKUP(BB$1,main!$A$3:$I$56,7,FALSE),main!$K$10:$Q$14,7,FALSE),1,0)</f>
        <v>0</v>
      </c>
      <c r="BC271">
        <f>IF(VLOOKUP(BC$1,main!$A$3:$I$56,5,FALSE)-VLOOKUP($A271,main!$A$3:$I$56,6,FALSE)&gt;=VLOOKUP(59,main!$A$57:$I$61,4,FALSE)+VLOOKUP(VLOOKUP(BC$1,main!$A$3:$I$56,7,FALSE),main!$K$10:$Q$14,7,FALSE),1,0)</f>
        <v>0</v>
      </c>
      <c r="BD271">
        <f>IF(VLOOKUP(BD$1,main!$A$3:$I$56,5,FALSE)-VLOOKUP($A271,main!$A$3:$I$56,6,FALSE)&gt;=VLOOKUP(59,main!$A$57:$I$61,4,FALSE)+VLOOKUP(VLOOKUP(BD$1,main!$A$3:$I$56,7,FALSE),main!$K$10:$Q$14,7,FALSE),1,0)</f>
        <v>0</v>
      </c>
    </row>
    <row r="272" spans="1:56" x14ac:dyDescent="0.25">
      <c r="A272">
        <f t="shared" si="4"/>
        <v>50</v>
      </c>
      <c r="B272">
        <v>0</v>
      </c>
      <c r="C272">
        <f>IF(VLOOKUP(C$1,main!$A$3:$I$56,5,FALSE)-VLOOKUP($A272,main!$A$3:$I$56,6,FALSE)&gt;=VLOOKUP(59,main!$A$57:$I$61,4,FALSE)+VLOOKUP(VLOOKUP(C$1,main!$A$3:$I$56,7,FALSE),main!$K$10:$Q$14,7,FALSE),1,0)</f>
        <v>0</v>
      </c>
      <c r="D272">
        <f>IF(VLOOKUP(D$1,main!$A$3:$I$56,5,FALSE)-VLOOKUP($A272,main!$A$3:$I$56,6,FALSE)&gt;=VLOOKUP(59,main!$A$57:$I$61,4,FALSE)+VLOOKUP(VLOOKUP(D$1,main!$A$3:$I$56,7,FALSE),main!$K$10:$Q$14,7,FALSE),1,0)</f>
        <v>0</v>
      </c>
      <c r="E272">
        <f>IF(VLOOKUP(E$1,main!$A$3:$I$56,5,FALSE)-VLOOKUP($A272,main!$A$3:$I$56,6,FALSE)&gt;=VLOOKUP(59,main!$A$57:$I$61,4,FALSE)+VLOOKUP(VLOOKUP(E$1,main!$A$3:$I$56,7,FALSE),main!$K$10:$Q$14,7,FALSE),1,0)</f>
        <v>0</v>
      </c>
      <c r="F272">
        <f>IF(VLOOKUP(F$1,main!$A$3:$I$56,5,FALSE)-VLOOKUP($A272,main!$A$3:$I$56,6,FALSE)&gt;=VLOOKUP(59,main!$A$57:$I$61,4,FALSE)+VLOOKUP(VLOOKUP(F$1,main!$A$3:$I$56,7,FALSE),main!$K$10:$Q$14,7,FALSE),1,0)</f>
        <v>0</v>
      </c>
      <c r="G272">
        <f>IF(VLOOKUP(G$1,main!$A$3:$I$56,5,FALSE)-VLOOKUP($A272,main!$A$3:$I$56,6,FALSE)&gt;=VLOOKUP(59,main!$A$57:$I$61,4,FALSE)+VLOOKUP(VLOOKUP(G$1,main!$A$3:$I$56,7,FALSE),main!$K$10:$Q$14,7,FALSE),1,0)</f>
        <v>0</v>
      </c>
      <c r="H272">
        <f>IF(VLOOKUP(H$1,main!$A$3:$I$56,5,FALSE)-VLOOKUP($A272,main!$A$3:$I$56,6,FALSE)&gt;=VLOOKUP(59,main!$A$57:$I$61,4,FALSE)+VLOOKUP(VLOOKUP(H$1,main!$A$3:$I$56,7,FALSE),main!$K$10:$Q$14,7,FALSE),1,0)</f>
        <v>1</v>
      </c>
      <c r="I272">
        <f>IF(VLOOKUP(I$1,main!$A$3:$I$56,5,FALSE)-VLOOKUP($A272,main!$A$3:$I$56,6,FALSE)&gt;=VLOOKUP(59,main!$A$57:$I$61,4,FALSE)+VLOOKUP(VLOOKUP(I$1,main!$A$3:$I$56,7,FALSE),main!$K$10:$Q$14,7,FALSE),1,0)</f>
        <v>1</v>
      </c>
      <c r="J272">
        <f>IF(VLOOKUP(J$1,main!$A$3:$I$56,5,FALSE)-VLOOKUP($A272,main!$A$3:$I$56,6,FALSE)&gt;=VLOOKUP(59,main!$A$57:$I$61,4,FALSE)+VLOOKUP(VLOOKUP(J$1,main!$A$3:$I$56,7,FALSE),main!$K$10:$Q$14,7,FALSE),1,0)</f>
        <v>1</v>
      </c>
      <c r="K272">
        <f>IF(VLOOKUP(K$1,main!$A$3:$I$56,5,FALSE)-VLOOKUP($A272,main!$A$3:$I$56,6,FALSE)&gt;=VLOOKUP(59,main!$A$57:$I$61,4,FALSE)+VLOOKUP(VLOOKUP(K$1,main!$A$3:$I$56,7,FALSE),main!$K$10:$Q$14,7,FALSE),1,0)</f>
        <v>0</v>
      </c>
      <c r="L272">
        <f>IF(VLOOKUP(L$1,main!$A$3:$I$56,5,FALSE)-VLOOKUP($A272,main!$A$3:$I$56,6,FALSE)&gt;=VLOOKUP(59,main!$A$57:$I$61,4,FALSE)+VLOOKUP(VLOOKUP(L$1,main!$A$3:$I$56,7,FALSE),main!$K$10:$Q$14,7,FALSE),1,0)</f>
        <v>0</v>
      </c>
      <c r="M272">
        <f>IF(VLOOKUP(M$1,main!$A$3:$I$56,5,FALSE)-VLOOKUP($A272,main!$A$3:$I$56,6,FALSE)&gt;=VLOOKUP(59,main!$A$57:$I$61,4,FALSE)+VLOOKUP(VLOOKUP(M$1,main!$A$3:$I$56,7,FALSE),main!$K$10:$Q$14,7,FALSE),1,0)</f>
        <v>0</v>
      </c>
      <c r="N272">
        <f>IF(VLOOKUP(N$1,main!$A$3:$I$56,5,FALSE)-VLOOKUP($A272,main!$A$3:$I$56,6,FALSE)&gt;=VLOOKUP(59,main!$A$57:$I$61,4,FALSE)+VLOOKUP(VLOOKUP(N$1,main!$A$3:$I$56,7,FALSE),main!$K$10:$Q$14,7,FALSE),1,0)</f>
        <v>1</v>
      </c>
      <c r="O272">
        <f>IF(VLOOKUP(O$1,main!$A$3:$I$56,5,FALSE)-VLOOKUP($A272,main!$A$3:$I$56,6,FALSE)&gt;=VLOOKUP(59,main!$A$57:$I$61,4,FALSE)+VLOOKUP(VLOOKUP(O$1,main!$A$3:$I$56,7,FALSE),main!$K$10:$Q$14,7,FALSE),1,0)</f>
        <v>1</v>
      </c>
      <c r="P272">
        <f>IF(VLOOKUP(P$1,main!$A$3:$I$56,5,FALSE)-VLOOKUP($A272,main!$A$3:$I$56,6,FALSE)&gt;=VLOOKUP(59,main!$A$57:$I$61,4,FALSE)+VLOOKUP(VLOOKUP(P$1,main!$A$3:$I$56,7,FALSE),main!$K$10:$Q$14,7,FALSE),1,0)</f>
        <v>0</v>
      </c>
      <c r="Q272">
        <f>IF(VLOOKUP(Q$1,main!$A$3:$I$56,5,FALSE)-VLOOKUP($A272,main!$A$3:$I$56,6,FALSE)&gt;=VLOOKUP(59,main!$A$57:$I$61,4,FALSE)+VLOOKUP(VLOOKUP(Q$1,main!$A$3:$I$56,7,FALSE),main!$K$10:$Q$14,7,FALSE),1,0)</f>
        <v>0</v>
      </c>
      <c r="R272">
        <f>IF(VLOOKUP(R$1,main!$A$3:$I$56,5,FALSE)-VLOOKUP($A272,main!$A$3:$I$56,6,FALSE)&gt;=VLOOKUP(59,main!$A$57:$I$61,4,FALSE)+VLOOKUP(VLOOKUP(R$1,main!$A$3:$I$56,7,FALSE),main!$K$10:$Q$14,7,FALSE),1,0)</f>
        <v>0</v>
      </c>
      <c r="S272">
        <f>IF(VLOOKUP(S$1,main!$A$3:$I$56,5,FALSE)-VLOOKUP($A272,main!$A$3:$I$56,6,FALSE)&gt;=VLOOKUP(59,main!$A$57:$I$61,4,FALSE)+VLOOKUP(VLOOKUP(S$1,main!$A$3:$I$56,7,FALSE),main!$K$10:$Q$14,7,FALSE),1,0)</f>
        <v>0</v>
      </c>
      <c r="T272">
        <f>IF(VLOOKUP(T$1,main!$A$3:$I$56,5,FALSE)-VLOOKUP($A272,main!$A$3:$I$56,6,FALSE)&gt;=VLOOKUP(59,main!$A$57:$I$61,4,FALSE)+VLOOKUP(VLOOKUP(T$1,main!$A$3:$I$56,7,FALSE),main!$K$10:$Q$14,7,FALSE),1,0)</f>
        <v>1</v>
      </c>
      <c r="U272">
        <f>IF(VLOOKUP(U$1,main!$A$3:$I$56,5,FALSE)-VLOOKUP($A272,main!$A$3:$I$56,6,FALSE)&gt;=VLOOKUP(59,main!$A$57:$I$61,4,FALSE)+VLOOKUP(VLOOKUP(U$1,main!$A$3:$I$56,7,FALSE),main!$K$10:$Q$14,7,FALSE),1,0)</f>
        <v>0</v>
      </c>
      <c r="V272">
        <f>IF(VLOOKUP(V$1,main!$A$3:$I$56,5,FALSE)-VLOOKUP($A272,main!$A$3:$I$56,6,FALSE)&gt;=VLOOKUP(59,main!$A$57:$I$61,4,FALSE)+VLOOKUP(VLOOKUP(V$1,main!$A$3:$I$56,7,FALSE),main!$K$10:$Q$14,7,FALSE),1,0)</f>
        <v>0</v>
      </c>
      <c r="W272">
        <f>IF(VLOOKUP(W$1,main!$A$3:$I$56,5,FALSE)-VLOOKUP($A272,main!$A$3:$I$56,6,FALSE)&gt;=VLOOKUP(59,main!$A$57:$I$61,4,FALSE)+VLOOKUP(VLOOKUP(W$1,main!$A$3:$I$56,7,FALSE),main!$K$10:$Q$14,7,FALSE),1,0)</f>
        <v>0</v>
      </c>
      <c r="X272">
        <f>IF(VLOOKUP(X$1,main!$A$3:$I$56,5,FALSE)-VLOOKUP($A272,main!$A$3:$I$56,6,FALSE)&gt;=VLOOKUP(59,main!$A$57:$I$61,4,FALSE)+VLOOKUP(VLOOKUP(X$1,main!$A$3:$I$56,7,FALSE),main!$K$10:$Q$14,7,FALSE),1,0)</f>
        <v>0</v>
      </c>
      <c r="Y272">
        <f>IF(VLOOKUP(Y$1,main!$A$3:$I$56,5,FALSE)-VLOOKUP($A272,main!$A$3:$I$56,6,FALSE)&gt;=VLOOKUP(59,main!$A$57:$I$61,4,FALSE)+VLOOKUP(VLOOKUP(Y$1,main!$A$3:$I$56,7,FALSE),main!$K$10:$Q$14,7,FALSE),1,0)</f>
        <v>0</v>
      </c>
      <c r="Z272">
        <f>IF(VLOOKUP(Z$1,main!$A$3:$I$56,5,FALSE)-VLOOKUP($A272,main!$A$3:$I$56,6,FALSE)&gt;=VLOOKUP(59,main!$A$57:$I$61,4,FALSE)+VLOOKUP(VLOOKUP(Z$1,main!$A$3:$I$56,7,FALSE),main!$K$10:$Q$14,7,FALSE),1,0)</f>
        <v>1</v>
      </c>
      <c r="AA272">
        <f>IF(VLOOKUP(AA$1,main!$A$3:$I$56,5,FALSE)-VLOOKUP($A272,main!$A$3:$I$56,6,FALSE)&gt;=VLOOKUP(59,main!$A$57:$I$61,4,FALSE)+VLOOKUP(VLOOKUP(AA$1,main!$A$3:$I$56,7,FALSE),main!$K$10:$Q$14,7,FALSE),1,0)</f>
        <v>1</v>
      </c>
      <c r="AB272">
        <f>IF(VLOOKUP(AB$1,main!$A$3:$I$56,5,FALSE)-VLOOKUP($A272,main!$A$3:$I$56,6,FALSE)&gt;=VLOOKUP(59,main!$A$57:$I$61,4,FALSE)+VLOOKUP(VLOOKUP(AB$1,main!$A$3:$I$56,7,FALSE),main!$K$10:$Q$14,7,FALSE),1,0)</f>
        <v>1</v>
      </c>
      <c r="AC272">
        <f>IF(VLOOKUP(AC$1,main!$A$3:$I$56,5,FALSE)-VLOOKUP($A272,main!$A$3:$I$56,6,FALSE)&gt;=VLOOKUP(59,main!$A$57:$I$61,4,FALSE)+VLOOKUP(VLOOKUP(AC$1,main!$A$3:$I$56,7,FALSE),main!$K$10:$Q$14,7,FALSE),1,0)</f>
        <v>0</v>
      </c>
      <c r="AD272">
        <f>IF(VLOOKUP(AD$1,main!$A$3:$I$56,5,FALSE)-VLOOKUP($A272,main!$A$3:$I$56,6,FALSE)&gt;=VLOOKUP(59,main!$A$57:$I$61,4,FALSE)+VLOOKUP(VLOOKUP(AD$1,main!$A$3:$I$56,7,FALSE),main!$K$10:$Q$14,7,FALSE),1,0)</f>
        <v>0</v>
      </c>
      <c r="AE272">
        <f>IF(VLOOKUP(AE$1,main!$A$3:$I$56,5,FALSE)-VLOOKUP($A272,main!$A$3:$I$56,6,FALSE)&gt;=VLOOKUP(59,main!$A$57:$I$61,4,FALSE)+VLOOKUP(VLOOKUP(AE$1,main!$A$3:$I$56,7,FALSE),main!$K$10:$Q$14,7,FALSE),1,0)</f>
        <v>0</v>
      </c>
      <c r="AF272">
        <f>IF(VLOOKUP(AF$1,main!$A$3:$I$56,5,FALSE)-VLOOKUP($A272,main!$A$3:$I$56,6,FALSE)&gt;=VLOOKUP(59,main!$A$57:$I$61,4,FALSE)+VLOOKUP(VLOOKUP(AF$1,main!$A$3:$I$56,7,FALSE),main!$K$10:$Q$14,7,FALSE),1,0)</f>
        <v>1</v>
      </c>
      <c r="AG272">
        <f>IF(VLOOKUP(AG$1,main!$A$3:$I$56,5,FALSE)-VLOOKUP($A272,main!$A$3:$I$56,6,FALSE)&gt;=VLOOKUP(59,main!$A$57:$I$61,4,FALSE)+VLOOKUP(VLOOKUP(AG$1,main!$A$3:$I$56,7,FALSE),main!$K$10:$Q$14,7,FALSE),1,0)</f>
        <v>0</v>
      </c>
      <c r="AH272">
        <f>IF(VLOOKUP(AH$1,main!$A$3:$I$56,5,FALSE)-VLOOKUP($A272,main!$A$3:$I$56,6,FALSE)&gt;=VLOOKUP(59,main!$A$57:$I$61,4,FALSE)+VLOOKUP(VLOOKUP(AH$1,main!$A$3:$I$56,7,FALSE),main!$K$10:$Q$14,7,FALSE),1,0)</f>
        <v>0</v>
      </c>
      <c r="AI272">
        <f>IF(VLOOKUP(AI$1,main!$A$3:$I$56,5,FALSE)-VLOOKUP($A272,main!$A$3:$I$56,6,FALSE)&gt;=VLOOKUP(59,main!$A$57:$I$61,4,FALSE)+VLOOKUP(VLOOKUP(AI$1,main!$A$3:$I$56,7,FALSE),main!$K$10:$Q$14,7,FALSE),1,0)</f>
        <v>0</v>
      </c>
      <c r="AJ272">
        <f>IF(VLOOKUP(AJ$1,main!$A$3:$I$56,5,FALSE)-VLOOKUP($A272,main!$A$3:$I$56,6,FALSE)&gt;=VLOOKUP(59,main!$A$57:$I$61,4,FALSE)+VLOOKUP(VLOOKUP(AJ$1,main!$A$3:$I$56,7,FALSE),main!$K$10:$Q$14,7,FALSE),1,0)</f>
        <v>0</v>
      </c>
      <c r="AK272">
        <f>IF(VLOOKUP(AK$1,main!$A$3:$I$56,5,FALSE)-VLOOKUP($A272,main!$A$3:$I$56,6,FALSE)&gt;=VLOOKUP(59,main!$A$57:$I$61,4,FALSE)+VLOOKUP(VLOOKUP(AK$1,main!$A$3:$I$56,7,FALSE),main!$K$10:$Q$14,7,FALSE),1,0)</f>
        <v>0</v>
      </c>
      <c r="AL272">
        <f>IF(VLOOKUP(AL$1,main!$A$3:$I$56,5,FALSE)-VLOOKUP($A272,main!$A$3:$I$56,6,FALSE)&gt;=VLOOKUP(59,main!$A$57:$I$61,4,FALSE)+VLOOKUP(VLOOKUP(AL$1,main!$A$3:$I$56,7,FALSE),main!$K$10:$Q$14,7,FALSE),1,0)</f>
        <v>0</v>
      </c>
      <c r="AM272">
        <f>IF(VLOOKUP(AM$1,main!$A$3:$I$56,5,FALSE)-VLOOKUP($A272,main!$A$3:$I$56,6,FALSE)&gt;=VLOOKUP(59,main!$A$57:$I$61,4,FALSE)+VLOOKUP(VLOOKUP(AM$1,main!$A$3:$I$56,7,FALSE),main!$K$10:$Q$14,7,FALSE),1,0)</f>
        <v>0</v>
      </c>
      <c r="AN272">
        <f>IF(VLOOKUP(AN$1,main!$A$3:$I$56,5,FALSE)-VLOOKUP($A272,main!$A$3:$I$56,6,FALSE)&gt;=VLOOKUP(59,main!$A$57:$I$61,4,FALSE)+VLOOKUP(VLOOKUP(AN$1,main!$A$3:$I$56,7,FALSE),main!$K$10:$Q$14,7,FALSE),1,0)</f>
        <v>0</v>
      </c>
      <c r="AO272">
        <f>IF(VLOOKUP(AO$1,main!$A$3:$I$56,5,FALSE)-VLOOKUP($A272,main!$A$3:$I$56,6,FALSE)&gt;=VLOOKUP(59,main!$A$57:$I$61,4,FALSE)+VLOOKUP(VLOOKUP(AO$1,main!$A$3:$I$56,7,FALSE),main!$K$10:$Q$14,7,FALSE),1,0)</f>
        <v>0</v>
      </c>
      <c r="AP272">
        <f>IF(VLOOKUP(AP$1,main!$A$3:$I$56,5,FALSE)-VLOOKUP($A272,main!$A$3:$I$56,6,FALSE)&gt;=VLOOKUP(59,main!$A$57:$I$61,4,FALSE)+VLOOKUP(VLOOKUP(AP$1,main!$A$3:$I$56,7,FALSE),main!$K$10:$Q$14,7,FALSE),1,0)</f>
        <v>0</v>
      </c>
      <c r="AQ272">
        <f>IF(VLOOKUP(AQ$1,main!$A$3:$I$56,5,FALSE)-VLOOKUP($A272,main!$A$3:$I$56,6,FALSE)&gt;=VLOOKUP(59,main!$A$57:$I$61,4,FALSE)+VLOOKUP(VLOOKUP(AQ$1,main!$A$3:$I$56,7,FALSE),main!$K$10:$Q$14,7,FALSE),1,0)</f>
        <v>0</v>
      </c>
      <c r="AR272">
        <f>IF(VLOOKUP(AR$1,main!$A$3:$I$56,5,FALSE)-VLOOKUP($A272,main!$A$3:$I$56,6,FALSE)&gt;=VLOOKUP(59,main!$A$57:$I$61,4,FALSE)+VLOOKUP(VLOOKUP(AR$1,main!$A$3:$I$56,7,FALSE),main!$K$10:$Q$14,7,FALSE),1,0)</f>
        <v>0</v>
      </c>
      <c r="AS272">
        <f>IF(VLOOKUP(AS$1,main!$A$3:$I$56,5,FALSE)-VLOOKUP($A272,main!$A$3:$I$56,6,FALSE)&gt;=VLOOKUP(59,main!$A$57:$I$61,4,FALSE)+VLOOKUP(VLOOKUP(AS$1,main!$A$3:$I$56,7,FALSE),main!$K$10:$Q$14,7,FALSE),1,0)</f>
        <v>0</v>
      </c>
      <c r="AT272">
        <f>IF(VLOOKUP(AT$1,main!$A$3:$I$56,5,FALSE)-VLOOKUP($A272,main!$A$3:$I$56,6,FALSE)&gt;=VLOOKUP(59,main!$A$57:$I$61,4,FALSE)+VLOOKUP(VLOOKUP(AT$1,main!$A$3:$I$56,7,FALSE),main!$K$10:$Q$14,7,FALSE),1,0)</f>
        <v>0</v>
      </c>
      <c r="AU272">
        <f>IF(VLOOKUP(AU$1,main!$A$3:$I$56,5,FALSE)-VLOOKUP($A272,main!$A$3:$I$56,6,FALSE)&gt;=VLOOKUP(59,main!$A$57:$I$61,4,FALSE)+VLOOKUP(VLOOKUP(AU$1,main!$A$3:$I$56,7,FALSE),main!$K$10:$Q$14,7,FALSE),1,0)</f>
        <v>0</v>
      </c>
      <c r="AV272">
        <f>IF(VLOOKUP(AV$1,main!$A$3:$I$56,5,FALSE)-VLOOKUP($A272,main!$A$3:$I$56,6,FALSE)&gt;=VLOOKUP(59,main!$A$57:$I$61,4,FALSE)+VLOOKUP(VLOOKUP(AV$1,main!$A$3:$I$56,7,FALSE),main!$K$10:$Q$14,7,FALSE),1,0)</f>
        <v>0</v>
      </c>
      <c r="AW272">
        <f>IF(VLOOKUP(AW$1,main!$A$3:$I$56,5,FALSE)-VLOOKUP($A272,main!$A$3:$I$56,6,FALSE)&gt;=VLOOKUP(59,main!$A$57:$I$61,4,FALSE)+VLOOKUP(VLOOKUP(AW$1,main!$A$3:$I$56,7,FALSE),main!$K$10:$Q$14,7,FALSE),1,0)</f>
        <v>1</v>
      </c>
      <c r="AX272">
        <f>IF(VLOOKUP(AX$1,main!$A$3:$I$56,5,FALSE)-VLOOKUP($A272,main!$A$3:$I$56,6,FALSE)&gt;=VLOOKUP(59,main!$A$57:$I$61,4,FALSE)+VLOOKUP(VLOOKUP(AX$1,main!$A$3:$I$56,7,FALSE),main!$K$10:$Q$14,7,FALSE),1,0)</f>
        <v>1</v>
      </c>
      <c r="AY272">
        <f>IF(VLOOKUP(AY$1,main!$A$3:$I$56,5,FALSE)-VLOOKUP($A272,main!$A$3:$I$56,6,FALSE)&gt;=VLOOKUP(59,main!$A$57:$I$61,4,FALSE)+VLOOKUP(VLOOKUP(AY$1,main!$A$3:$I$56,7,FALSE),main!$K$10:$Q$14,7,FALSE),1,0)</f>
        <v>1</v>
      </c>
      <c r="AZ272">
        <f>IF(VLOOKUP(AZ$1,main!$A$3:$I$56,5,FALSE)-VLOOKUP($A272,main!$A$3:$I$56,6,FALSE)&gt;=VLOOKUP(59,main!$A$57:$I$61,4,FALSE)+VLOOKUP(VLOOKUP(AZ$1,main!$A$3:$I$56,7,FALSE),main!$K$10:$Q$14,7,FALSE),1,0)</f>
        <v>0</v>
      </c>
      <c r="BA272">
        <f>IF(VLOOKUP(BA$1,main!$A$3:$I$56,5,FALSE)-VLOOKUP($A272,main!$A$3:$I$56,6,FALSE)&gt;=VLOOKUP(59,main!$A$57:$I$61,4,FALSE)+VLOOKUP(VLOOKUP(BA$1,main!$A$3:$I$56,7,FALSE),main!$K$10:$Q$14,7,FALSE),1,0)</f>
        <v>0</v>
      </c>
      <c r="BB272">
        <f>IF(VLOOKUP(BB$1,main!$A$3:$I$56,5,FALSE)-VLOOKUP($A272,main!$A$3:$I$56,6,FALSE)&gt;=VLOOKUP(59,main!$A$57:$I$61,4,FALSE)+VLOOKUP(VLOOKUP(BB$1,main!$A$3:$I$56,7,FALSE),main!$K$10:$Q$14,7,FALSE),1,0)</f>
        <v>0</v>
      </c>
      <c r="BC272">
        <f>IF(VLOOKUP(BC$1,main!$A$3:$I$56,5,FALSE)-VLOOKUP($A272,main!$A$3:$I$56,6,FALSE)&gt;=VLOOKUP(59,main!$A$57:$I$61,4,FALSE)+VLOOKUP(VLOOKUP(BC$1,main!$A$3:$I$56,7,FALSE),main!$K$10:$Q$14,7,FALSE),1,0)</f>
        <v>1</v>
      </c>
      <c r="BD272">
        <f>IF(VLOOKUP(BD$1,main!$A$3:$I$56,5,FALSE)-VLOOKUP($A272,main!$A$3:$I$56,6,FALSE)&gt;=VLOOKUP(59,main!$A$57:$I$61,4,FALSE)+VLOOKUP(VLOOKUP(BD$1,main!$A$3:$I$56,7,FALSE),main!$K$10:$Q$14,7,FALSE),1,0)</f>
        <v>1</v>
      </c>
    </row>
    <row r="273" spans="1:56" x14ac:dyDescent="0.25">
      <c r="A273">
        <f t="shared" si="4"/>
        <v>51</v>
      </c>
      <c r="B273">
        <v>0</v>
      </c>
      <c r="C273">
        <f>IF(VLOOKUP(C$1,main!$A$3:$I$56,5,FALSE)-VLOOKUP($A273,main!$A$3:$I$56,6,FALSE)&gt;=VLOOKUP(59,main!$A$57:$I$61,4,FALSE)+VLOOKUP(VLOOKUP(C$1,main!$A$3:$I$56,7,FALSE),main!$K$10:$Q$14,7,FALSE),1,0)</f>
        <v>0</v>
      </c>
      <c r="D273">
        <f>IF(VLOOKUP(D$1,main!$A$3:$I$56,5,FALSE)-VLOOKUP($A273,main!$A$3:$I$56,6,FALSE)&gt;=VLOOKUP(59,main!$A$57:$I$61,4,FALSE)+VLOOKUP(VLOOKUP(D$1,main!$A$3:$I$56,7,FALSE),main!$K$10:$Q$14,7,FALSE),1,0)</f>
        <v>0</v>
      </c>
      <c r="E273">
        <f>IF(VLOOKUP(E$1,main!$A$3:$I$56,5,FALSE)-VLOOKUP($A273,main!$A$3:$I$56,6,FALSE)&gt;=VLOOKUP(59,main!$A$57:$I$61,4,FALSE)+VLOOKUP(VLOOKUP(E$1,main!$A$3:$I$56,7,FALSE),main!$K$10:$Q$14,7,FALSE),1,0)</f>
        <v>0</v>
      </c>
      <c r="F273">
        <f>IF(VLOOKUP(F$1,main!$A$3:$I$56,5,FALSE)-VLOOKUP($A273,main!$A$3:$I$56,6,FALSE)&gt;=VLOOKUP(59,main!$A$57:$I$61,4,FALSE)+VLOOKUP(VLOOKUP(F$1,main!$A$3:$I$56,7,FALSE),main!$K$10:$Q$14,7,FALSE),1,0)</f>
        <v>0</v>
      </c>
      <c r="G273">
        <f>IF(VLOOKUP(G$1,main!$A$3:$I$56,5,FALSE)-VLOOKUP($A273,main!$A$3:$I$56,6,FALSE)&gt;=VLOOKUP(59,main!$A$57:$I$61,4,FALSE)+VLOOKUP(VLOOKUP(G$1,main!$A$3:$I$56,7,FALSE),main!$K$10:$Q$14,7,FALSE),1,0)</f>
        <v>0</v>
      </c>
      <c r="H273">
        <f>IF(VLOOKUP(H$1,main!$A$3:$I$56,5,FALSE)-VLOOKUP($A273,main!$A$3:$I$56,6,FALSE)&gt;=VLOOKUP(59,main!$A$57:$I$61,4,FALSE)+VLOOKUP(VLOOKUP(H$1,main!$A$3:$I$56,7,FALSE),main!$K$10:$Q$14,7,FALSE),1,0)</f>
        <v>0</v>
      </c>
      <c r="I273">
        <f>IF(VLOOKUP(I$1,main!$A$3:$I$56,5,FALSE)-VLOOKUP($A273,main!$A$3:$I$56,6,FALSE)&gt;=VLOOKUP(59,main!$A$57:$I$61,4,FALSE)+VLOOKUP(VLOOKUP(I$1,main!$A$3:$I$56,7,FALSE),main!$K$10:$Q$14,7,FALSE),1,0)</f>
        <v>0</v>
      </c>
      <c r="J273">
        <f>IF(VLOOKUP(J$1,main!$A$3:$I$56,5,FALSE)-VLOOKUP($A273,main!$A$3:$I$56,6,FALSE)&gt;=VLOOKUP(59,main!$A$57:$I$61,4,FALSE)+VLOOKUP(VLOOKUP(J$1,main!$A$3:$I$56,7,FALSE),main!$K$10:$Q$14,7,FALSE),1,0)</f>
        <v>1</v>
      </c>
      <c r="K273">
        <f>IF(VLOOKUP(K$1,main!$A$3:$I$56,5,FALSE)-VLOOKUP($A273,main!$A$3:$I$56,6,FALSE)&gt;=VLOOKUP(59,main!$A$57:$I$61,4,FALSE)+VLOOKUP(VLOOKUP(K$1,main!$A$3:$I$56,7,FALSE),main!$K$10:$Q$14,7,FALSE),1,0)</f>
        <v>0</v>
      </c>
      <c r="L273">
        <f>IF(VLOOKUP(L$1,main!$A$3:$I$56,5,FALSE)-VLOOKUP($A273,main!$A$3:$I$56,6,FALSE)&gt;=VLOOKUP(59,main!$A$57:$I$61,4,FALSE)+VLOOKUP(VLOOKUP(L$1,main!$A$3:$I$56,7,FALSE),main!$K$10:$Q$14,7,FALSE),1,0)</f>
        <v>0</v>
      </c>
      <c r="M273">
        <f>IF(VLOOKUP(M$1,main!$A$3:$I$56,5,FALSE)-VLOOKUP($A273,main!$A$3:$I$56,6,FALSE)&gt;=VLOOKUP(59,main!$A$57:$I$61,4,FALSE)+VLOOKUP(VLOOKUP(M$1,main!$A$3:$I$56,7,FALSE),main!$K$10:$Q$14,7,FALSE),1,0)</f>
        <v>0</v>
      </c>
      <c r="N273">
        <f>IF(VLOOKUP(N$1,main!$A$3:$I$56,5,FALSE)-VLOOKUP($A273,main!$A$3:$I$56,6,FALSE)&gt;=VLOOKUP(59,main!$A$57:$I$61,4,FALSE)+VLOOKUP(VLOOKUP(N$1,main!$A$3:$I$56,7,FALSE),main!$K$10:$Q$14,7,FALSE),1,0)</f>
        <v>1</v>
      </c>
      <c r="O273">
        <f>IF(VLOOKUP(O$1,main!$A$3:$I$56,5,FALSE)-VLOOKUP($A273,main!$A$3:$I$56,6,FALSE)&gt;=VLOOKUP(59,main!$A$57:$I$61,4,FALSE)+VLOOKUP(VLOOKUP(O$1,main!$A$3:$I$56,7,FALSE),main!$K$10:$Q$14,7,FALSE),1,0)</f>
        <v>1</v>
      </c>
      <c r="P273">
        <f>IF(VLOOKUP(P$1,main!$A$3:$I$56,5,FALSE)-VLOOKUP($A273,main!$A$3:$I$56,6,FALSE)&gt;=VLOOKUP(59,main!$A$57:$I$61,4,FALSE)+VLOOKUP(VLOOKUP(P$1,main!$A$3:$I$56,7,FALSE),main!$K$10:$Q$14,7,FALSE),1,0)</f>
        <v>0</v>
      </c>
      <c r="Q273">
        <f>IF(VLOOKUP(Q$1,main!$A$3:$I$56,5,FALSE)-VLOOKUP($A273,main!$A$3:$I$56,6,FALSE)&gt;=VLOOKUP(59,main!$A$57:$I$61,4,FALSE)+VLOOKUP(VLOOKUP(Q$1,main!$A$3:$I$56,7,FALSE),main!$K$10:$Q$14,7,FALSE),1,0)</f>
        <v>0</v>
      </c>
      <c r="R273">
        <f>IF(VLOOKUP(R$1,main!$A$3:$I$56,5,FALSE)-VLOOKUP($A273,main!$A$3:$I$56,6,FALSE)&gt;=VLOOKUP(59,main!$A$57:$I$61,4,FALSE)+VLOOKUP(VLOOKUP(R$1,main!$A$3:$I$56,7,FALSE),main!$K$10:$Q$14,7,FALSE),1,0)</f>
        <v>0</v>
      </c>
      <c r="S273">
        <f>IF(VLOOKUP(S$1,main!$A$3:$I$56,5,FALSE)-VLOOKUP($A273,main!$A$3:$I$56,6,FALSE)&gt;=VLOOKUP(59,main!$A$57:$I$61,4,FALSE)+VLOOKUP(VLOOKUP(S$1,main!$A$3:$I$56,7,FALSE),main!$K$10:$Q$14,7,FALSE),1,0)</f>
        <v>0</v>
      </c>
      <c r="T273">
        <f>IF(VLOOKUP(T$1,main!$A$3:$I$56,5,FALSE)-VLOOKUP($A273,main!$A$3:$I$56,6,FALSE)&gt;=VLOOKUP(59,main!$A$57:$I$61,4,FALSE)+VLOOKUP(VLOOKUP(T$1,main!$A$3:$I$56,7,FALSE),main!$K$10:$Q$14,7,FALSE),1,0)</f>
        <v>0</v>
      </c>
      <c r="U273">
        <f>IF(VLOOKUP(U$1,main!$A$3:$I$56,5,FALSE)-VLOOKUP($A273,main!$A$3:$I$56,6,FALSE)&gt;=VLOOKUP(59,main!$A$57:$I$61,4,FALSE)+VLOOKUP(VLOOKUP(U$1,main!$A$3:$I$56,7,FALSE),main!$K$10:$Q$14,7,FALSE),1,0)</f>
        <v>0</v>
      </c>
      <c r="V273">
        <f>IF(VLOOKUP(V$1,main!$A$3:$I$56,5,FALSE)-VLOOKUP($A273,main!$A$3:$I$56,6,FALSE)&gt;=VLOOKUP(59,main!$A$57:$I$61,4,FALSE)+VLOOKUP(VLOOKUP(V$1,main!$A$3:$I$56,7,FALSE),main!$K$10:$Q$14,7,FALSE),1,0)</f>
        <v>0</v>
      </c>
      <c r="W273">
        <f>IF(VLOOKUP(W$1,main!$A$3:$I$56,5,FALSE)-VLOOKUP($A273,main!$A$3:$I$56,6,FALSE)&gt;=VLOOKUP(59,main!$A$57:$I$61,4,FALSE)+VLOOKUP(VLOOKUP(W$1,main!$A$3:$I$56,7,FALSE),main!$K$10:$Q$14,7,FALSE),1,0)</f>
        <v>0</v>
      </c>
      <c r="X273">
        <f>IF(VLOOKUP(X$1,main!$A$3:$I$56,5,FALSE)-VLOOKUP($A273,main!$A$3:$I$56,6,FALSE)&gt;=VLOOKUP(59,main!$A$57:$I$61,4,FALSE)+VLOOKUP(VLOOKUP(X$1,main!$A$3:$I$56,7,FALSE),main!$K$10:$Q$14,7,FALSE),1,0)</f>
        <v>0</v>
      </c>
      <c r="Y273">
        <f>IF(VLOOKUP(Y$1,main!$A$3:$I$56,5,FALSE)-VLOOKUP($A273,main!$A$3:$I$56,6,FALSE)&gt;=VLOOKUP(59,main!$A$57:$I$61,4,FALSE)+VLOOKUP(VLOOKUP(Y$1,main!$A$3:$I$56,7,FALSE),main!$K$10:$Q$14,7,FALSE),1,0)</f>
        <v>0</v>
      </c>
      <c r="Z273">
        <f>IF(VLOOKUP(Z$1,main!$A$3:$I$56,5,FALSE)-VLOOKUP($A273,main!$A$3:$I$56,6,FALSE)&gt;=VLOOKUP(59,main!$A$57:$I$61,4,FALSE)+VLOOKUP(VLOOKUP(Z$1,main!$A$3:$I$56,7,FALSE),main!$K$10:$Q$14,7,FALSE),1,0)</f>
        <v>0</v>
      </c>
      <c r="AA273">
        <f>IF(VLOOKUP(AA$1,main!$A$3:$I$56,5,FALSE)-VLOOKUP($A273,main!$A$3:$I$56,6,FALSE)&gt;=VLOOKUP(59,main!$A$57:$I$61,4,FALSE)+VLOOKUP(VLOOKUP(AA$1,main!$A$3:$I$56,7,FALSE),main!$K$10:$Q$14,7,FALSE),1,0)</f>
        <v>0</v>
      </c>
      <c r="AB273">
        <f>IF(VLOOKUP(AB$1,main!$A$3:$I$56,5,FALSE)-VLOOKUP($A273,main!$A$3:$I$56,6,FALSE)&gt;=VLOOKUP(59,main!$A$57:$I$61,4,FALSE)+VLOOKUP(VLOOKUP(AB$1,main!$A$3:$I$56,7,FALSE),main!$K$10:$Q$14,7,FALSE),1,0)</f>
        <v>1</v>
      </c>
      <c r="AC273">
        <f>IF(VLOOKUP(AC$1,main!$A$3:$I$56,5,FALSE)-VLOOKUP($A273,main!$A$3:$I$56,6,FALSE)&gt;=VLOOKUP(59,main!$A$57:$I$61,4,FALSE)+VLOOKUP(VLOOKUP(AC$1,main!$A$3:$I$56,7,FALSE),main!$K$10:$Q$14,7,FALSE),1,0)</f>
        <v>0</v>
      </c>
      <c r="AD273">
        <f>IF(VLOOKUP(AD$1,main!$A$3:$I$56,5,FALSE)-VLOOKUP($A273,main!$A$3:$I$56,6,FALSE)&gt;=VLOOKUP(59,main!$A$57:$I$61,4,FALSE)+VLOOKUP(VLOOKUP(AD$1,main!$A$3:$I$56,7,FALSE),main!$K$10:$Q$14,7,FALSE),1,0)</f>
        <v>0</v>
      </c>
      <c r="AE273">
        <f>IF(VLOOKUP(AE$1,main!$A$3:$I$56,5,FALSE)-VLOOKUP($A273,main!$A$3:$I$56,6,FALSE)&gt;=VLOOKUP(59,main!$A$57:$I$61,4,FALSE)+VLOOKUP(VLOOKUP(AE$1,main!$A$3:$I$56,7,FALSE),main!$K$10:$Q$14,7,FALSE),1,0)</f>
        <v>0</v>
      </c>
      <c r="AF273">
        <f>IF(VLOOKUP(AF$1,main!$A$3:$I$56,5,FALSE)-VLOOKUP($A273,main!$A$3:$I$56,6,FALSE)&gt;=VLOOKUP(59,main!$A$57:$I$61,4,FALSE)+VLOOKUP(VLOOKUP(AF$1,main!$A$3:$I$56,7,FALSE),main!$K$10:$Q$14,7,FALSE),1,0)</f>
        <v>0</v>
      </c>
      <c r="AG273">
        <f>IF(VLOOKUP(AG$1,main!$A$3:$I$56,5,FALSE)-VLOOKUP($A273,main!$A$3:$I$56,6,FALSE)&gt;=VLOOKUP(59,main!$A$57:$I$61,4,FALSE)+VLOOKUP(VLOOKUP(AG$1,main!$A$3:$I$56,7,FALSE),main!$K$10:$Q$14,7,FALSE),1,0)</f>
        <v>0</v>
      </c>
      <c r="AH273">
        <f>IF(VLOOKUP(AH$1,main!$A$3:$I$56,5,FALSE)-VLOOKUP($A273,main!$A$3:$I$56,6,FALSE)&gt;=VLOOKUP(59,main!$A$57:$I$61,4,FALSE)+VLOOKUP(VLOOKUP(AH$1,main!$A$3:$I$56,7,FALSE),main!$K$10:$Q$14,7,FALSE),1,0)</f>
        <v>0</v>
      </c>
      <c r="AI273">
        <f>IF(VLOOKUP(AI$1,main!$A$3:$I$56,5,FALSE)-VLOOKUP($A273,main!$A$3:$I$56,6,FALSE)&gt;=VLOOKUP(59,main!$A$57:$I$61,4,FALSE)+VLOOKUP(VLOOKUP(AI$1,main!$A$3:$I$56,7,FALSE),main!$K$10:$Q$14,7,FALSE),1,0)</f>
        <v>0</v>
      </c>
      <c r="AJ273">
        <f>IF(VLOOKUP(AJ$1,main!$A$3:$I$56,5,FALSE)-VLOOKUP($A273,main!$A$3:$I$56,6,FALSE)&gt;=VLOOKUP(59,main!$A$57:$I$61,4,FALSE)+VLOOKUP(VLOOKUP(AJ$1,main!$A$3:$I$56,7,FALSE),main!$K$10:$Q$14,7,FALSE),1,0)</f>
        <v>0</v>
      </c>
      <c r="AK273">
        <f>IF(VLOOKUP(AK$1,main!$A$3:$I$56,5,FALSE)-VLOOKUP($A273,main!$A$3:$I$56,6,FALSE)&gt;=VLOOKUP(59,main!$A$57:$I$61,4,FALSE)+VLOOKUP(VLOOKUP(AK$1,main!$A$3:$I$56,7,FALSE),main!$K$10:$Q$14,7,FALSE),1,0)</f>
        <v>0</v>
      </c>
      <c r="AL273">
        <f>IF(VLOOKUP(AL$1,main!$A$3:$I$56,5,FALSE)-VLOOKUP($A273,main!$A$3:$I$56,6,FALSE)&gt;=VLOOKUP(59,main!$A$57:$I$61,4,FALSE)+VLOOKUP(VLOOKUP(AL$1,main!$A$3:$I$56,7,FALSE),main!$K$10:$Q$14,7,FALSE),1,0)</f>
        <v>0</v>
      </c>
      <c r="AM273">
        <f>IF(VLOOKUP(AM$1,main!$A$3:$I$56,5,FALSE)-VLOOKUP($A273,main!$A$3:$I$56,6,FALSE)&gt;=VLOOKUP(59,main!$A$57:$I$61,4,FALSE)+VLOOKUP(VLOOKUP(AM$1,main!$A$3:$I$56,7,FALSE),main!$K$10:$Q$14,7,FALSE),1,0)</f>
        <v>0</v>
      </c>
      <c r="AN273">
        <f>IF(VLOOKUP(AN$1,main!$A$3:$I$56,5,FALSE)-VLOOKUP($A273,main!$A$3:$I$56,6,FALSE)&gt;=VLOOKUP(59,main!$A$57:$I$61,4,FALSE)+VLOOKUP(VLOOKUP(AN$1,main!$A$3:$I$56,7,FALSE),main!$K$10:$Q$14,7,FALSE),1,0)</f>
        <v>0</v>
      </c>
      <c r="AO273">
        <f>IF(VLOOKUP(AO$1,main!$A$3:$I$56,5,FALSE)-VLOOKUP($A273,main!$A$3:$I$56,6,FALSE)&gt;=VLOOKUP(59,main!$A$57:$I$61,4,FALSE)+VLOOKUP(VLOOKUP(AO$1,main!$A$3:$I$56,7,FALSE),main!$K$10:$Q$14,7,FALSE),1,0)</f>
        <v>0</v>
      </c>
      <c r="AP273">
        <f>IF(VLOOKUP(AP$1,main!$A$3:$I$56,5,FALSE)-VLOOKUP($A273,main!$A$3:$I$56,6,FALSE)&gt;=VLOOKUP(59,main!$A$57:$I$61,4,FALSE)+VLOOKUP(VLOOKUP(AP$1,main!$A$3:$I$56,7,FALSE),main!$K$10:$Q$14,7,FALSE),1,0)</f>
        <v>0</v>
      </c>
      <c r="AQ273">
        <f>IF(VLOOKUP(AQ$1,main!$A$3:$I$56,5,FALSE)-VLOOKUP($A273,main!$A$3:$I$56,6,FALSE)&gt;=VLOOKUP(59,main!$A$57:$I$61,4,FALSE)+VLOOKUP(VLOOKUP(AQ$1,main!$A$3:$I$56,7,FALSE),main!$K$10:$Q$14,7,FALSE),1,0)</f>
        <v>0</v>
      </c>
      <c r="AR273">
        <f>IF(VLOOKUP(AR$1,main!$A$3:$I$56,5,FALSE)-VLOOKUP($A273,main!$A$3:$I$56,6,FALSE)&gt;=VLOOKUP(59,main!$A$57:$I$61,4,FALSE)+VLOOKUP(VLOOKUP(AR$1,main!$A$3:$I$56,7,FALSE),main!$K$10:$Q$14,7,FALSE),1,0)</f>
        <v>0</v>
      </c>
      <c r="AS273">
        <f>IF(VLOOKUP(AS$1,main!$A$3:$I$56,5,FALSE)-VLOOKUP($A273,main!$A$3:$I$56,6,FALSE)&gt;=VLOOKUP(59,main!$A$57:$I$61,4,FALSE)+VLOOKUP(VLOOKUP(AS$1,main!$A$3:$I$56,7,FALSE),main!$K$10:$Q$14,7,FALSE),1,0)</f>
        <v>0</v>
      </c>
      <c r="AT273">
        <f>IF(VLOOKUP(AT$1,main!$A$3:$I$56,5,FALSE)-VLOOKUP($A273,main!$A$3:$I$56,6,FALSE)&gt;=VLOOKUP(59,main!$A$57:$I$61,4,FALSE)+VLOOKUP(VLOOKUP(AT$1,main!$A$3:$I$56,7,FALSE),main!$K$10:$Q$14,7,FALSE),1,0)</f>
        <v>0</v>
      </c>
      <c r="AU273">
        <f>IF(VLOOKUP(AU$1,main!$A$3:$I$56,5,FALSE)-VLOOKUP($A273,main!$A$3:$I$56,6,FALSE)&gt;=VLOOKUP(59,main!$A$57:$I$61,4,FALSE)+VLOOKUP(VLOOKUP(AU$1,main!$A$3:$I$56,7,FALSE),main!$K$10:$Q$14,7,FALSE),1,0)</f>
        <v>0</v>
      </c>
      <c r="AV273">
        <f>IF(VLOOKUP(AV$1,main!$A$3:$I$56,5,FALSE)-VLOOKUP($A273,main!$A$3:$I$56,6,FALSE)&gt;=VLOOKUP(59,main!$A$57:$I$61,4,FALSE)+VLOOKUP(VLOOKUP(AV$1,main!$A$3:$I$56,7,FALSE),main!$K$10:$Q$14,7,FALSE),1,0)</f>
        <v>0</v>
      </c>
      <c r="AW273">
        <f>IF(VLOOKUP(AW$1,main!$A$3:$I$56,5,FALSE)-VLOOKUP($A273,main!$A$3:$I$56,6,FALSE)&gt;=VLOOKUP(59,main!$A$57:$I$61,4,FALSE)+VLOOKUP(VLOOKUP(AW$1,main!$A$3:$I$56,7,FALSE),main!$K$10:$Q$14,7,FALSE),1,0)</f>
        <v>0</v>
      </c>
      <c r="AX273">
        <f>IF(VLOOKUP(AX$1,main!$A$3:$I$56,5,FALSE)-VLOOKUP($A273,main!$A$3:$I$56,6,FALSE)&gt;=VLOOKUP(59,main!$A$57:$I$61,4,FALSE)+VLOOKUP(VLOOKUP(AX$1,main!$A$3:$I$56,7,FALSE),main!$K$10:$Q$14,7,FALSE),1,0)</f>
        <v>1</v>
      </c>
      <c r="AY273">
        <f>IF(VLOOKUP(AY$1,main!$A$3:$I$56,5,FALSE)-VLOOKUP($A273,main!$A$3:$I$56,6,FALSE)&gt;=VLOOKUP(59,main!$A$57:$I$61,4,FALSE)+VLOOKUP(VLOOKUP(AY$1,main!$A$3:$I$56,7,FALSE),main!$K$10:$Q$14,7,FALSE),1,0)</f>
        <v>1</v>
      </c>
      <c r="AZ273">
        <f>IF(VLOOKUP(AZ$1,main!$A$3:$I$56,5,FALSE)-VLOOKUP($A273,main!$A$3:$I$56,6,FALSE)&gt;=VLOOKUP(59,main!$A$57:$I$61,4,FALSE)+VLOOKUP(VLOOKUP(AZ$1,main!$A$3:$I$56,7,FALSE),main!$K$10:$Q$14,7,FALSE),1,0)</f>
        <v>0</v>
      </c>
      <c r="BA273">
        <f>IF(VLOOKUP(BA$1,main!$A$3:$I$56,5,FALSE)-VLOOKUP($A273,main!$A$3:$I$56,6,FALSE)&gt;=VLOOKUP(59,main!$A$57:$I$61,4,FALSE)+VLOOKUP(VLOOKUP(BA$1,main!$A$3:$I$56,7,FALSE),main!$K$10:$Q$14,7,FALSE),1,0)</f>
        <v>0</v>
      </c>
      <c r="BB273">
        <f>IF(VLOOKUP(BB$1,main!$A$3:$I$56,5,FALSE)-VLOOKUP($A273,main!$A$3:$I$56,6,FALSE)&gt;=VLOOKUP(59,main!$A$57:$I$61,4,FALSE)+VLOOKUP(VLOOKUP(BB$1,main!$A$3:$I$56,7,FALSE),main!$K$10:$Q$14,7,FALSE),1,0)</f>
        <v>0</v>
      </c>
      <c r="BC273">
        <f>IF(VLOOKUP(BC$1,main!$A$3:$I$56,5,FALSE)-VLOOKUP($A273,main!$A$3:$I$56,6,FALSE)&gt;=VLOOKUP(59,main!$A$57:$I$61,4,FALSE)+VLOOKUP(VLOOKUP(BC$1,main!$A$3:$I$56,7,FALSE),main!$K$10:$Q$14,7,FALSE),1,0)</f>
        <v>1</v>
      </c>
      <c r="BD273">
        <f>IF(VLOOKUP(BD$1,main!$A$3:$I$56,5,FALSE)-VLOOKUP($A273,main!$A$3:$I$56,6,FALSE)&gt;=VLOOKUP(59,main!$A$57:$I$61,4,FALSE)+VLOOKUP(VLOOKUP(BD$1,main!$A$3:$I$56,7,FALSE),main!$K$10:$Q$14,7,FALSE),1,0)</f>
        <v>1</v>
      </c>
    </row>
    <row r="274" spans="1:56" x14ac:dyDescent="0.25">
      <c r="A274">
        <f t="shared" si="4"/>
        <v>52</v>
      </c>
      <c r="B274">
        <v>0</v>
      </c>
      <c r="C274">
        <f>IF(VLOOKUP(C$1,main!$A$3:$I$56,5,FALSE)-VLOOKUP($A274,main!$A$3:$I$56,6,FALSE)&gt;=VLOOKUP(59,main!$A$57:$I$61,4,FALSE)+VLOOKUP(VLOOKUP(C$1,main!$A$3:$I$56,7,FALSE),main!$K$10:$Q$14,7,FALSE),1,0)</f>
        <v>0</v>
      </c>
      <c r="D274">
        <f>IF(VLOOKUP(D$1,main!$A$3:$I$56,5,FALSE)-VLOOKUP($A274,main!$A$3:$I$56,6,FALSE)&gt;=VLOOKUP(59,main!$A$57:$I$61,4,FALSE)+VLOOKUP(VLOOKUP(D$1,main!$A$3:$I$56,7,FALSE),main!$K$10:$Q$14,7,FALSE),1,0)</f>
        <v>0</v>
      </c>
      <c r="E274">
        <f>IF(VLOOKUP(E$1,main!$A$3:$I$56,5,FALSE)-VLOOKUP($A274,main!$A$3:$I$56,6,FALSE)&gt;=VLOOKUP(59,main!$A$57:$I$61,4,FALSE)+VLOOKUP(VLOOKUP(E$1,main!$A$3:$I$56,7,FALSE),main!$K$10:$Q$14,7,FALSE),1,0)</f>
        <v>0</v>
      </c>
      <c r="F274">
        <f>IF(VLOOKUP(F$1,main!$A$3:$I$56,5,FALSE)-VLOOKUP($A274,main!$A$3:$I$56,6,FALSE)&gt;=VLOOKUP(59,main!$A$57:$I$61,4,FALSE)+VLOOKUP(VLOOKUP(F$1,main!$A$3:$I$56,7,FALSE),main!$K$10:$Q$14,7,FALSE),1,0)</f>
        <v>0</v>
      </c>
      <c r="G274">
        <f>IF(VLOOKUP(G$1,main!$A$3:$I$56,5,FALSE)-VLOOKUP($A274,main!$A$3:$I$56,6,FALSE)&gt;=VLOOKUP(59,main!$A$57:$I$61,4,FALSE)+VLOOKUP(VLOOKUP(G$1,main!$A$3:$I$56,7,FALSE),main!$K$10:$Q$14,7,FALSE),1,0)</f>
        <v>0</v>
      </c>
      <c r="H274">
        <f>IF(VLOOKUP(H$1,main!$A$3:$I$56,5,FALSE)-VLOOKUP($A274,main!$A$3:$I$56,6,FALSE)&gt;=VLOOKUP(59,main!$A$57:$I$61,4,FALSE)+VLOOKUP(VLOOKUP(H$1,main!$A$3:$I$56,7,FALSE),main!$K$10:$Q$14,7,FALSE),1,0)</f>
        <v>0</v>
      </c>
      <c r="I274">
        <f>IF(VLOOKUP(I$1,main!$A$3:$I$56,5,FALSE)-VLOOKUP($A274,main!$A$3:$I$56,6,FALSE)&gt;=VLOOKUP(59,main!$A$57:$I$61,4,FALSE)+VLOOKUP(VLOOKUP(I$1,main!$A$3:$I$56,7,FALSE),main!$K$10:$Q$14,7,FALSE),1,0)</f>
        <v>0</v>
      </c>
      <c r="J274">
        <f>IF(VLOOKUP(J$1,main!$A$3:$I$56,5,FALSE)-VLOOKUP($A274,main!$A$3:$I$56,6,FALSE)&gt;=VLOOKUP(59,main!$A$57:$I$61,4,FALSE)+VLOOKUP(VLOOKUP(J$1,main!$A$3:$I$56,7,FALSE),main!$K$10:$Q$14,7,FALSE),1,0)</f>
        <v>1</v>
      </c>
      <c r="K274">
        <f>IF(VLOOKUP(K$1,main!$A$3:$I$56,5,FALSE)-VLOOKUP($A274,main!$A$3:$I$56,6,FALSE)&gt;=VLOOKUP(59,main!$A$57:$I$61,4,FALSE)+VLOOKUP(VLOOKUP(K$1,main!$A$3:$I$56,7,FALSE),main!$K$10:$Q$14,7,FALSE),1,0)</f>
        <v>0</v>
      </c>
      <c r="L274">
        <f>IF(VLOOKUP(L$1,main!$A$3:$I$56,5,FALSE)-VLOOKUP($A274,main!$A$3:$I$56,6,FALSE)&gt;=VLOOKUP(59,main!$A$57:$I$61,4,FALSE)+VLOOKUP(VLOOKUP(L$1,main!$A$3:$I$56,7,FALSE),main!$K$10:$Q$14,7,FALSE),1,0)</f>
        <v>0</v>
      </c>
      <c r="M274">
        <f>IF(VLOOKUP(M$1,main!$A$3:$I$56,5,FALSE)-VLOOKUP($A274,main!$A$3:$I$56,6,FALSE)&gt;=VLOOKUP(59,main!$A$57:$I$61,4,FALSE)+VLOOKUP(VLOOKUP(M$1,main!$A$3:$I$56,7,FALSE),main!$K$10:$Q$14,7,FALSE),1,0)</f>
        <v>0</v>
      </c>
      <c r="N274">
        <f>IF(VLOOKUP(N$1,main!$A$3:$I$56,5,FALSE)-VLOOKUP($A274,main!$A$3:$I$56,6,FALSE)&gt;=VLOOKUP(59,main!$A$57:$I$61,4,FALSE)+VLOOKUP(VLOOKUP(N$1,main!$A$3:$I$56,7,FALSE),main!$K$10:$Q$14,7,FALSE),1,0)</f>
        <v>0</v>
      </c>
      <c r="O274">
        <f>IF(VLOOKUP(O$1,main!$A$3:$I$56,5,FALSE)-VLOOKUP($A274,main!$A$3:$I$56,6,FALSE)&gt;=VLOOKUP(59,main!$A$57:$I$61,4,FALSE)+VLOOKUP(VLOOKUP(O$1,main!$A$3:$I$56,7,FALSE),main!$K$10:$Q$14,7,FALSE),1,0)</f>
        <v>1</v>
      </c>
      <c r="P274">
        <f>IF(VLOOKUP(P$1,main!$A$3:$I$56,5,FALSE)-VLOOKUP($A274,main!$A$3:$I$56,6,FALSE)&gt;=VLOOKUP(59,main!$A$57:$I$61,4,FALSE)+VLOOKUP(VLOOKUP(P$1,main!$A$3:$I$56,7,FALSE),main!$K$10:$Q$14,7,FALSE),1,0)</f>
        <v>0</v>
      </c>
      <c r="Q274">
        <f>IF(VLOOKUP(Q$1,main!$A$3:$I$56,5,FALSE)-VLOOKUP($A274,main!$A$3:$I$56,6,FALSE)&gt;=VLOOKUP(59,main!$A$57:$I$61,4,FALSE)+VLOOKUP(VLOOKUP(Q$1,main!$A$3:$I$56,7,FALSE),main!$K$10:$Q$14,7,FALSE),1,0)</f>
        <v>0</v>
      </c>
      <c r="R274">
        <f>IF(VLOOKUP(R$1,main!$A$3:$I$56,5,FALSE)-VLOOKUP($A274,main!$A$3:$I$56,6,FALSE)&gt;=VLOOKUP(59,main!$A$57:$I$61,4,FALSE)+VLOOKUP(VLOOKUP(R$1,main!$A$3:$I$56,7,FALSE),main!$K$10:$Q$14,7,FALSE),1,0)</f>
        <v>0</v>
      </c>
      <c r="S274">
        <f>IF(VLOOKUP(S$1,main!$A$3:$I$56,5,FALSE)-VLOOKUP($A274,main!$A$3:$I$56,6,FALSE)&gt;=VLOOKUP(59,main!$A$57:$I$61,4,FALSE)+VLOOKUP(VLOOKUP(S$1,main!$A$3:$I$56,7,FALSE),main!$K$10:$Q$14,7,FALSE),1,0)</f>
        <v>0</v>
      </c>
      <c r="T274">
        <f>IF(VLOOKUP(T$1,main!$A$3:$I$56,5,FALSE)-VLOOKUP($A274,main!$A$3:$I$56,6,FALSE)&gt;=VLOOKUP(59,main!$A$57:$I$61,4,FALSE)+VLOOKUP(VLOOKUP(T$1,main!$A$3:$I$56,7,FALSE),main!$K$10:$Q$14,7,FALSE),1,0)</f>
        <v>0</v>
      </c>
      <c r="U274">
        <f>IF(VLOOKUP(U$1,main!$A$3:$I$56,5,FALSE)-VLOOKUP($A274,main!$A$3:$I$56,6,FALSE)&gt;=VLOOKUP(59,main!$A$57:$I$61,4,FALSE)+VLOOKUP(VLOOKUP(U$1,main!$A$3:$I$56,7,FALSE),main!$K$10:$Q$14,7,FALSE),1,0)</f>
        <v>0</v>
      </c>
      <c r="V274">
        <f>IF(VLOOKUP(V$1,main!$A$3:$I$56,5,FALSE)-VLOOKUP($A274,main!$A$3:$I$56,6,FALSE)&gt;=VLOOKUP(59,main!$A$57:$I$61,4,FALSE)+VLOOKUP(VLOOKUP(V$1,main!$A$3:$I$56,7,FALSE),main!$K$10:$Q$14,7,FALSE),1,0)</f>
        <v>0</v>
      </c>
      <c r="W274">
        <f>IF(VLOOKUP(W$1,main!$A$3:$I$56,5,FALSE)-VLOOKUP($A274,main!$A$3:$I$56,6,FALSE)&gt;=VLOOKUP(59,main!$A$57:$I$61,4,FALSE)+VLOOKUP(VLOOKUP(W$1,main!$A$3:$I$56,7,FALSE),main!$K$10:$Q$14,7,FALSE),1,0)</f>
        <v>0</v>
      </c>
      <c r="X274">
        <f>IF(VLOOKUP(X$1,main!$A$3:$I$56,5,FALSE)-VLOOKUP($A274,main!$A$3:$I$56,6,FALSE)&gt;=VLOOKUP(59,main!$A$57:$I$61,4,FALSE)+VLOOKUP(VLOOKUP(X$1,main!$A$3:$I$56,7,FALSE),main!$K$10:$Q$14,7,FALSE),1,0)</f>
        <v>0</v>
      </c>
      <c r="Y274">
        <f>IF(VLOOKUP(Y$1,main!$A$3:$I$56,5,FALSE)-VLOOKUP($A274,main!$A$3:$I$56,6,FALSE)&gt;=VLOOKUP(59,main!$A$57:$I$61,4,FALSE)+VLOOKUP(VLOOKUP(Y$1,main!$A$3:$I$56,7,FALSE),main!$K$10:$Q$14,7,FALSE),1,0)</f>
        <v>0</v>
      </c>
      <c r="Z274">
        <f>IF(VLOOKUP(Z$1,main!$A$3:$I$56,5,FALSE)-VLOOKUP($A274,main!$A$3:$I$56,6,FALSE)&gt;=VLOOKUP(59,main!$A$57:$I$61,4,FALSE)+VLOOKUP(VLOOKUP(Z$1,main!$A$3:$I$56,7,FALSE),main!$K$10:$Q$14,7,FALSE),1,0)</f>
        <v>0</v>
      </c>
      <c r="AA274">
        <f>IF(VLOOKUP(AA$1,main!$A$3:$I$56,5,FALSE)-VLOOKUP($A274,main!$A$3:$I$56,6,FALSE)&gt;=VLOOKUP(59,main!$A$57:$I$61,4,FALSE)+VLOOKUP(VLOOKUP(AA$1,main!$A$3:$I$56,7,FALSE),main!$K$10:$Q$14,7,FALSE),1,0)</f>
        <v>0</v>
      </c>
      <c r="AB274">
        <f>IF(VLOOKUP(AB$1,main!$A$3:$I$56,5,FALSE)-VLOOKUP($A274,main!$A$3:$I$56,6,FALSE)&gt;=VLOOKUP(59,main!$A$57:$I$61,4,FALSE)+VLOOKUP(VLOOKUP(AB$1,main!$A$3:$I$56,7,FALSE),main!$K$10:$Q$14,7,FALSE),1,0)</f>
        <v>1</v>
      </c>
      <c r="AC274">
        <f>IF(VLOOKUP(AC$1,main!$A$3:$I$56,5,FALSE)-VLOOKUP($A274,main!$A$3:$I$56,6,FALSE)&gt;=VLOOKUP(59,main!$A$57:$I$61,4,FALSE)+VLOOKUP(VLOOKUP(AC$1,main!$A$3:$I$56,7,FALSE),main!$K$10:$Q$14,7,FALSE),1,0)</f>
        <v>0</v>
      </c>
      <c r="AD274">
        <f>IF(VLOOKUP(AD$1,main!$A$3:$I$56,5,FALSE)-VLOOKUP($A274,main!$A$3:$I$56,6,FALSE)&gt;=VLOOKUP(59,main!$A$57:$I$61,4,FALSE)+VLOOKUP(VLOOKUP(AD$1,main!$A$3:$I$56,7,FALSE),main!$K$10:$Q$14,7,FALSE),1,0)</f>
        <v>0</v>
      </c>
      <c r="AE274">
        <f>IF(VLOOKUP(AE$1,main!$A$3:$I$56,5,FALSE)-VLOOKUP($A274,main!$A$3:$I$56,6,FALSE)&gt;=VLOOKUP(59,main!$A$57:$I$61,4,FALSE)+VLOOKUP(VLOOKUP(AE$1,main!$A$3:$I$56,7,FALSE),main!$K$10:$Q$14,7,FALSE),1,0)</f>
        <v>0</v>
      </c>
      <c r="AF274">
        <f>IF(VLOOKUP(AF$1,main!$A$3:$I$56,5,FALSE)-VLOOKUP($A274,main!$A$3:$I$56,6,FALSE)&gt;=VLOOKUP(59,main!$A$57:$I$61,4,FALSE)+VLOOKUP(VLOOKUP(AF$1,main!$A$3:$I$56,7,FALSE),main!$K$10:$Q$14,7,FALSE),1,0)</f>
        <v>0</v>
      </c>
      <c r="AG274">
        <f>IF(VLOOKUP(AG$1,main!$A$3:$I$56,5,FALSE)-VLOOKUP($A274,main!$A$3:$I$56,6,FALSE)&gt;=VLOOKUP(59,main!$A$57:$I$61,4,FALSE)+VLOOKUP(VLOOKUP(AG$1,main!$A$3:$I$56,7,FALSE),main!$K$10:$Q$14,7,FALSE),1,0)</f>
        <v>0</v>
      </c>
      <c r="AH274">
        <f>IF(VLOOKUP(AH$1,main!$A$3:$I$56,5,FALSE)-VLOOKUP($A274,main!$A$3:$I$56,6,FALSE)&gt;=VLOOKUP(59,main!$A$57:$I$61,4,FALSE)+VLOOKUP(VLOOKUP(AH$1,main!$A$3:$I$56,7,FALSE),main!$K$10:$Q$14,7,FALSE),1,0)</f>
        <v>0</v>
      </c>
      <c r="AI274">
        <f>IF(VLOOKUP(AI$1,main!$A$3:$I$56,5,FALSE)-VLOOKUP($A274,main!$A$3:$I$56,6,FALSE)&gt;=VLOOKUP(59,main!$A$57:$I$61,4,FALSE)+VLOOKUP(VLOOKUP(AI$1,main!$A$3:$I$56,7,FALSE),main!$K$10:$Q$14,7,FALSE),1,0)</f>
        <v>0</v>
      </c>
      <c r="AJ274">
        <f>IF(VLOOKUP(AJ$1,main!$A$3:$I$56,5,FALSE)-VLOOKUP($A274,main!$A$3:$I$56,6,FALSE)&gt;=VLOOKUP(59,main!$A$57:$I$61,4,FALSE)+VLOOKUP(VLOOKUP(AJ$1,main!$A$3:$I$56,7,FALSE),main!$K$10:$Q$14,7,FALSE),1,0)</f>
        <v>0</v>
      </c>
      <c r="AK274">
        <f>IF(VLOOKUP(AK$1,main!$A$3:$I$56,5,FALSE)-VLOOKUP($A274,main!$A$3:$I$56,6,FALSE)&gt;=VLOOKUP(59,main!$A$57:$I$61,4,FALSE)+VLOOKUP(VLOOKUP(AK$1,main!$A$3:$I$56,7,FALSE),main!$K$10:$Q$14,7,FALSE),1,0)</f>
        <v>0</v>
      </c>
      <c r="AL274">
        <f>IF(VLOOKUP(AL$1,main!$A$3:$I$56,5,FALSE)-VLOOKUP($A274,main!$A$3:$I$56,6,FALSE)&gt;=VLOOKUP(59,main!$A$57:$I$61,4,FALSE)+VLOOKUP(VLOOKUP(AL$1,main!$A$3:$I$56,7,FALSE),main!$K$10:$Q$14,7,FALSE),1,0)</f>
        <v>0</v>
      </c>
      <c r="AM274">
        <f>IF(VLOOKUP(AM$1,main!$A$3:$I$56,5,FALSE)-VLOOKUP($A274,main!$A$3:$I$56,6,FALSE)&gt;=VLOOKUP(59,main!$A$57:$I$61,4,FALSE)+VLOOKUP(VLOOKUP(AM$1,main!$A$3:$I$56,7,FALSE),main!$K$10:$Q$14,7,FALSE),1,0)</f>
        <v>0</v>
      </c>
      <c r="AN274">
        <f>IF(VLOOKUP(AN$1,main!$A$3:$I$56,5,FALSE)-VLOOKUP($A274,main!$A$3:$I$56,6,FALSE)&gt;=VLOOKUP(59,main!$A$57:$I$61,4,FALSE)+VLOOKUP(VLOOKUP(AN$1,main!$A$3:$I$56,7,FALSE),main!$K$10:$Q$14,7,FALSE),1,0)</f>
        <v>0</v>
      </c>
      <c r="AO274">
        <f>IF(VLOOKUP(AO$1,main!$A$3:$I$56,5,FALSE)-VLOOKUP($A274,main!$A$3:$I$56,6,FALSE)&gt;=VLOOKUP(59,main!$A$57:$I$61,4,FALSE)+VLOOKUP(VLOOKUP(AO$1,main!$A$3:$I$56,7,FALSE),main!$K$10:$Q$14,7,FALSE),1,0)</f>
        <v>0</v>
      </c>
      <c r="AP274">
        <f>IF(VLOOKUP(AP$1,main!$A$3:$I$56,5,FALSE)-VLOOKUP($A274,main!$A$3:$I$56,6,FALSE)&gt;=VLOOKUP(59,main!$A$57:$I$61,4,FALSE)+VLOOKUP(VLOOKUP(AP$1,main!$A$3:$I$56,7,FALSE),main!$K$10:$Q$14,7,FALSE),1,0)</f>
        <v>0</v>
      </c>
      <c r="AQ274">
        <f>IF(VLOOKUP(AQ$1,main!$A$3:$I$56,5,FALSE)-VLOOKUP($A274,main!$A$3:$I$56,6,FALSE)&gt;=VLOOKUP(59,main!$A$57:$I$61,4,FALSE)+VLOOKUP(VLOOKUP(AQ$1,main!$A$3:$I$56,7,FALSE),main!$K$10:$Q$14,7,FALSE),1,0)</f>
        <v>0</v>
      </c>
      <c r="AR274">
        <f>IF(VLOOKUP(AR$1,main!$A$3:$I$56,5,FALSE)-VLOOKUP($A274,main!$A$3:$I$56,6,FALSE)&gt;=VLOOKUP(59,main!$A$57:$I$61,4,FALSE)+VLOOKUP(VLOOKUP(AR$1,main!$A$3:$I$56,7,FALSE),main!$K$10:$Q$14,7,FALSE),1,0)</f>
        <v>0</v>
      </c>
      <c r="AS274">
        <f>IF(VLOOKUP(AS$1,main!$A$3:$I$56,5,FALSE)-VLOOKUP($A274,main!$A$3:$I$56,6,FALSE)&gt;=VLOOKUP(59,main!$A$57:$I$61,4,FALSE)+VLOOKUP(VLOOKUP(AS$1,main!$A$3:$I$56,7,FALSE),main!$K$10:$Q$14,7,FALSE),1,0)</f>
        <v>0</v>
      </c>
      <c r="AT274">
        <f>IF(VLOOKUP(AT$1,main!$A$3:$I$56,5,FALSE)-VLOOKUP($A274,main!$A$3:$I$56,6,FALSE)&gt;=VLOOKUP(59,main!$A$57:$I$61,4,FALSE)+VLOOKUP(VLOOKUP(AT$1,main!$A$3:$I$56,7,FALSE),main!$K$10:$Q$14,7,FALSE),1,0)</f>
        <v>0</v>
      </c>
      <c r="AU274">
        <f>IF(VLOOKUP(AU$1,main!$A$3:$I$56,5,FALSE)-VLOOKUP($A274,main!$A$3:$I$56,6,FALSE)&gt;=VLOOKUP(59,main!$A$57:$I$61,4,FALSE)+VLOOKUP(VLOOKUP(AU$1,main!$A$3:$I$56,7,FALSE),main!$K$10:$Q$14,7,FALSE),1,0)</f>
        <v>0</v>
      </c>
      <c r="AV274">
        <f>IF(VLOOKUP(AV$1,main!$A$3:$I$56,5,FALSE)-VLOOKUP($A274,main!$A$3:$I$56,6,FALSE)&gt;=VLOOKUP(59,main!$A$57:$I$61,4,FALSE)+VLOOKUP(VLOOKUP(AV$1,main!$A$3:$I$56,7,FALSE),main!$K$10:$Q$14,7,FALSE),1,0)</f>
        <v>0</v>
      </c>
      <c r="AW274">
        <f>IF(VLOOKUP(AW$1,main!$A$3:$I$56,5,FALSE)-VLOOKUP($A274,main!$A$3:$I$56,6,FALSE)&gt;=VLOOKUP(59,main!$A$57:$I$61,4,FALSE)+VLOOKUP(VLOOKUP(AW$1,main!$A$3:$I$56,7,FALSE),main!$K$10:$Q$14,7,FALSE),1,0)</f>
        <v>0</v>
      </c>
      <c r="AX274">
        <f>IF(VLOOKUP(AX$1,main!$A$3:$I$56,5,FALSE)-VLOOKUP($A274,main!$A$3:$I$56,6,FALSE)&gt;=VLOOKUP(59,main!$A$57:$I$61,4,FALSE)+VLOOKUP(VLOOKUP(AX$1,main!$A$3:$I$56,7,FALSE),main!$K$10:$Q$14,7,FALSE),1,0)</f>
        <v>1</v>
      </c>
      <c r="AY274">
        <f>IF(VLOOKUP(AY$1,main!$A$3:$I$56,5,FALSE)-VLOOKUP($A274,main!$A$3:$I$56,6,FALSE)&gt;=VLOOKUP(59,main!$A$57:$I$61,4,FALSE)+VLOOKUP(VLOOKUP(AY$1,main!$A$3:$I$56,7,FALSE),main!$K$10:$Q$14,7,FALSE),1,0)</f>
        <v>1</v>
      </c>
      <c r="AZ274">
        <f>IF(VLOOKUP(AZ$1,main!$A$3:$I$56,5,FALSE)-VLOOKUP($A274,main!$A$3:$I$56,6,FALSE)&gt;=VLOOKUP(59,main!$A$57:$I$61,4,FALSE)+VLOOKUP(VLOOKUP(AZ$1,main!$A$3:$I$56,7,FALSE),main!$K$10:$Q$14,7,FALSE),1,0)</f>
        <v>0</v>
      </c>
      <c r="BA274">
        <f>IF(VLOOKUP(BA$1,main!$A$3:$I$56,5,FALSE)-VLOOKUP($A274,main!$A$3:$I$56,6,FALSE)&gt;=VLOOKUP(59,main!$A$57:$I$61,4,FALSE)+VLOOKUP(VLOOKUP(BA$1,main!$A$3:$I$56,7,FALSE),main!$K$10:$Q$14,7,FALSE),1,0)</f>
        <v>0</v>
      </c>
      <c r="BB274">
        <f>IF(VLOOKUP(BB$1,main!$A$3:$I$56,5,FALSE)-VLOOKUP($A274,main!$A$3:$I$56,6,FALSE)&gt;=VLOOKUP(59,main!$A$57:$I$61,4,FALSE)+VLOOKUP(VLOOKUP(BB$1,main!$A$3:$I$56,7,FALSE),main!$K$10:$Q$14,7,FALSE),1,0)</f>
        <v>0</v>
      </c>
      <c r="BC274">
        <f>IF(VLOOKUP(BC$1,main!$A$3:$I$56,5,FALSE)-VLOOKUP($A274,main!$A$3:$I$56,6,FALSE)&gt;=VLOOKUP(59,main!$A$57:$I$61,4,FALSE)+VLOOKUP(VLOOKUP(BC$1,main!$A$3:$I$56,7,FALSE),main!$K$10:$Q$14,7,FALSE),1,0)</f>
        <v>1</v>
      </c>
      <c r="BD274">
        <f>IF(VLOOKUP(BD$1,main!$A$3:$I$56,5,FALSE)-VLOOKUP($A274,main!$A$3:$I$56,6,FALSE)&gt;=VLOOKUP(59,main!$A$57:$I$61,4,FALSE)+VLOOKUP(VLOOKUP(BD$1,main!$A$3:$I$56,7,FALSE),main!$K$10:$Q$14,7,FALSE),1,0)</f>
        <v>1</v>
      </c>
    </row>
    <row r="275" spans="1:56" x14ac:dyDescent="0.25">
      <c r="A275">
        <f t="shared" si="4"/>
        <v>53</v>
      </c>
      <c r="B275">
        <v>0</v>
      </c>
      <c r="C275">
        <f>IF(VLOOKUP(C$1,main!$A$3:$I$56,5,FALSE)-VLOOKUP($A275,main!$A$3:$I$56,6,FALSE)&gt;=VLOOKUP(59,main!$A$57:$I$61,4,FALSE)+VLOOKUP(VLOOKUP(C$1,main!$A$3:$I$56,7,FALSE),main!$K$10:$Q$14,7,FALSE),1,0)</f>
        <v>0</v>
      </c>
      <c r="D275">
        <f>IF(VLOOKUP(D$1,main!$A$3:$I$56,5,FALSE)-VLOOKUP($A275,main!$A$3:$I$56,6,FALSE)&gt;=VLOOKUP(59,main!$A$57:$I$61,4,FALSE)+VLOOKUP(VLOOKUP(D$1,main!$A$3:$I$56,7,FALSE),main!$K$10:$Q$14,7,FALSE),1,0)</f>
        <v>0</v>
      </c>
      <c r="E275">
        <f>IF(VLOOKUP(E$1,main!$A$3:$I$56,5,FALSE)-VLOOKUP($A275,main!$A$3:$I$56,6,FALSE)&gt;=VLOOKUP(59,main!$A$57:$I$61,4,FALSE)+VLOOKUP(VLOOKUP(E$1,main!$A$3:$I$56,7,FALSE),main!$K$10:$Q$14,7,FALSE),1,0)</f>
        <v>0</v>
      </c>
      <c r="F275">
        <f>IF(VLOOKUP(F$1,main!$A$3:$I$56,5,FALSE)-VLOOKUP($A275,main!$A$3:$I$56,6,FALSE)&gt;=VLOOKUP(59,main!$A$57:$I$61,4,FALSE)+VLOOKUP(VLOOKUP(F$1,main!$A$3:$I$56,7,FALSE),main!$K$10:$Q$14,7,FALSE),1,0)</f>
        <v>0</v>
      </c>
      <c r="G275">
        <f>IF(VLOOKUP(G$1,main!$A$3:$I$56,5,FALSE)-VLOOKUP($A275,main!$A$3:$I$56,6,FALSE)&gt;=VLOOKUP(59,main!$A$57:$I$61,4,FALSE)+VLOOKUP(VLOOKUP(G$1,main!$A$3:$I$56,7,FALSE),main!$K$10:$Q$14,7,FALSE),1,0)</f>
        <v>0</v>
      </c>
      <c r="H275">
        <f>IF(VLOOKUP(H$1,main!$A$3:$I$56,5,FALSE)-VLOOKUP($A275,main!$A$3:$I$56,6,FALSE)&gt;=VLOOKUP(59,main!$A$57:$I$61,4,FALSE)+VLOOKUP(VLOOKUP(H$1,main!$A$3:$I$56,7,FALSE),main!$K$10:$Q$14,7,FALSE),1,0)</f>
        <v>0</v>
      </c>
      <c r="I275">
        <f>IF(VLOOKUP(I$1,main!$A$3:$I$56,5,FALSE)-VLOOKUP($A275,main!$A$3:$I$56,6,FALSE)&gt;=VLOOKUP(59,main!$A$57:$I$61,4,FALSE)+VLOOKUP(VLOOKUP(I$1,main!$A$3:$I$56,7,FALSE),main!$K$10:$Q$14,7,FALSE),1,0)</f>
        <v>0</v>
      </c>
      <c r="J275">
        <f>IF(VLOOKUP(J$1,main!$A$3:$I$56,5,FALSE)-VLOOKUP($A275,main!$A$3:$I$56,6,FALSE)&gt;=VLOOKUP(59,main!$A$57:$I$61,4,FALSE)+VLOOKUP(VLOOKUP(J$1,main!$A$3:$I$56,7,FALSE),main!$K$10:$Q$14,7,FALSE),1,0)</f>
        <v>0</v>
      </c>
      <c r="K275">
        <f>IF(VLOOKUP(K$1,main!$A$3:$I$56,5,FALSE)-VLOOKUP($A275,main!$A$3:$I$56,6,FALSE)&gt;=VLOOKUP(59,main!$A$57:$I$61,4,FALSE)+VLOOKUP(VLOOKUP(K$1,main!$A$3:$I$56,7,FALSE),main!$K$10:$Q$14,7,FALSE),1,0)</f>
        <v>0</v>
      </c>
      <c r="L275">
        <f>IF(VLOOKUP(L$1,main!$A$3:$I$56,5,FALSE)-VLOOKUP($A275,main!$A$3:$I$56,6,FALSE)&gt;=VLOOKUP(59,main!$A$57:$I$61,4,FALSE)+VLOOKUP(VLOOKUP(L$1,main!$A$3:$I$56,7,FALSE),main!$K$10:$Q$14,7,FALSE),1,0)</f>
        <v>0</v>
      </c>
      <c r="M275">
        <f>IF(VLOOKUP(M$1,main!$A$3:$I$56,5,FALSE)-VLOOKUP($A275,main!$A$3:$I$56,6,FALSE)&gt;=VLOOKUP(59,main!$A$57:$I$61,4,FALSE)+VLOOKUP(VLOOKUP(M$1,main!$A$3:$I$56,7,FALSE),main!$K$10:$Q$14,7,FALSE),1,0)</f>
        <v>0</v>
      </c>
      <c r="N275">
        <f>IF(VLOOKUP(N$1,main!$A$3:$I$56,5,FALSE)-VLOOKUP($A275,main!$A$3:$I$56,6,FALSE)&gt;=VLOOKUP(59,main!$A$57:$I$61,4,FALSE)+VLOOKUP(VLOOKUP(N$1,main!$A$3:$I$56,7,FALSE),main!$K$10:$Q$14,7,FALSE),1,0)</f>
        <v>0</v>
      </c>
      <c r="O275">
        <f>IF(VLOOKUP(O$1,main!$A$3:$I$56,5,FALSE)-VLOOKUP($A275,main!$A$3:$I$56,6,FALSE)&gt;=VLOOKUP(59,main!$A$57:$I$61,4,FALSE)+VLOOKUP(VLOOKUP(O$1,main!$A$3:$I$56,7,FALSE),main!$K$10:$Q$14,7,FALSE),1,0)</f>
        <v>0</v>
      </c>
      <c r="P275">
        <f>IF(VLOOKUP(P$1,main!$A$3:$I$56,5,FALSE)-VLOOKUP($A275,main!$A$3:$I$56,6,FALSE)&gt;=VLOOKUP(59,main!$A$57:$I$61,4,FALSE)+VLOOKUP(VLOOKUP(P$1,main!$A$3:$I$56,7,FALSE),main!$K$10:$Q$14,7,FALSE),1,0)</f>
        <v>0</v>
      </c>
      <c r="Q275">
        <f>IF(VLOOKUP(Q$1,main!$A$3:$I$56,5,FALSE)-VLOOKUP($A275,main!$A$3:$I$56,6,FALSE)&gt;=VLOOKUP(59,main!$A$57:$I$61,4,FALSE)+VLOOKUP(VLOOKUP(Q$1,main!$A$3:$I$56,7,FALSE),main!$K$10:$Q$14,7,FALSE),1,0)</f>
        <v>0</v>
      </c>
      <c r="R275">
        <f>IF(VLOOKUP(R$1,main!$A$3:$I$56,5,FALSE)-VLOOKUP($A275,main!$A$3:$I$56,6,FALSE)&gt;=VLOOKUP(59,main!$A$57:$I$61,4,FALSE)+VLOOKUP(VLOOKUP(R$1,main!$A$3:$I$56,7,FALSE),main!$K$10:$Q$14,7,FALSE),1,0)</f>
        <v>0</v>
      </c>
      <c r="S275">
        <f>IF(VLOOKUP(S$1,main!$A$3:$I$56,5,FALSE)-VLOOKUP($A275,main!$A$3:$I$56,6,FALSE)&gt;=VLOOKUP(59,main!$A$57:$I$61,4,FALSE)+VLOOKUP(VLOOKUP(S$1,main!$A$3:$I$56,7,FALSE),main!$K$10:$Q$14,7,FALSE),1,0)</f>
        <v>0</v>
      </c>
      <c r="T275">
        <f>IF(VLOOKUP(T$1,main!$A$3:$I$56,5,FALSE)-VLOOKUP($A275,main!$A$3:$I$56,6,FALSE)&gt;=VLOOKUP(59,main!$A$57:$I$61,4,FALSE)+VLOOKUP(VLOOKUP(T$1,main!$A$3:$I$56,7,FALSE),main!$K$10:$Q$14,7,FALSE),1,0)</f>
        <v>0</v>
      </c>
      <c r="U275">
        <f>IF(VLOOKUP(U$1,main!$A$3:$I$56,5,FALSE)-VLOOKUP($A275,main!$A$3:$I$56,6,FALSE)&gt;=VLOOKUP(59,main!$A$57:$I$61,4,FALSE)+VLOOKUP(VLOOKUP(U$1,main!$A$3:$I$56,7,FALSE),main!$K$10:$Q$14,7,FALSE),1,0)</f>
        <v>0</v>
      </c>
      <c r="V275">
        <f>IF(VLOOKUP(V$1,main!$A$3:$I$56,5,FALSE)-VLOOKUP($A275,main!$A$3:$I$56,6,FALSE)&gt;=VLOOKUP(59,main!$A$57:$I$61,4,FALSE)+VLOOKUP(VLOOKUP(V$1,main!$A$3:$I$56,7,FALSE),main!$K$10:$Q$14,7,FALSE),1,0)</f>
        <v>0</v>
      </c>
      <c r="W275">
        <f>IF(VLOOKUP(W$1,main!$A$3:$I$56,5,FALSE)-VLOOKUP($A275,main!$A$3:$I$56,6,FALSE)&gt;=VLOOKUP(59,main!$A$57:$I$61,4,FALSE)+VLOOKUP(VLOOKUP(W$1,main!$A$3:$I$56,7,FALSE),main!$K$10:$Q$14,7,FALSE),1,0)</f>
        <v>0</v>
      </c>
      <c r="X275">
        <f>IF(VLOOKUP(X$1,main!$A$3:$I$56,5,FALSE)-VLOOKUP($A275,main!$A$3:$I$56,6,FALSE)&gt;=VLOOKUP(59,main!$A$57:$I$61,4,FALSE)+VLOOKUP(VLOOKUP(X$1,main!$A$3:$I$56,7,FALSE),main!$K$10:$Q$14,7,FALSE),1,0)</f>
        <v>0</v>
      </c>
      <c r="Y275">
        <f>IF(VLOOKUP(Y$1,main!$A$3:$I$56,5,FALSE)-VLOOKUP($A275,main!$A$3:$I$56,6,FALSE)&gt;=VLOOKUP(59,main!$A$57:$I$61,4,FALSE)+VLOOKUP(VLOOKUP(Y$1,main!$A$3:$I$56,7,FALSE),main!$K$10:$Q$14,7,FALSE),1,0)</f>
        <v>0</v>
      </c>
      <c r="Z275">
        <f>IF(VLOOKUP(Z$1,main!$A$3:$I$56,5,FALSE)-VLOOKUP($A275,main!$A$3:$I$56,6,FALSE)&gt;=VLOOKUP(59,main!$A$57:$I$61,4,FALSE)+VLOOKUP(VLOOKUP(Z$1,main!$A$3:$I$56,7,FALSE),main!$K$10:$Q$14,7,FALSE),1,0)</f>
        <v>0</v>
      </c>
      <c r="AA275">
        <f>IF(VLOOKUP(AA$1,main!$A$3:$I$56,5,FALSE)-VLOOKUP($A275,main!$A$3:$I$56,6,FALSE)&gt;=VLOOKUP(59,main!$A$57:$I$61,4,FALSE)+VLOOKUP(VLOOKUP(AA$1,main!$A$3:$I$56,7,FALSE),main!$K$10:$Q$14,7,FALSE),1,0)</f>
        <v>0</v>
      </c>
      <c r="AB275">
        <f>IF(VLOOKUP(AB$1,main!$A$3:$I$56,5,FALSE)-VLOOKUP($A275,main!$A$3:$I$56,6,FALSE)&gt;=VLOOKUP(59,main!$A$57:$I$61,4,FALSE)+VLOOKUP(VLOOKUP(AB$1,main!$A$3:$I$56,7,FALSE),main!$K$10:$Q$14,7,FALSE),1,0)</f>
        <v>0</v>
      </c>
      <c r="AC275">
        <f>IF(VLOOKUP(AC$1,main!$A$3:$I$56,5,FALSE)-VLOOKUP($A275,main!$A$3:$I$56,6,FALSE)&gt;=VLOOKUP(59,main!$A$57:$I$61,4,FALSE)+VLOOKUP(VLOOKUP(AC$1,main!$A$3:$I$56,7,FALSE),main!$K$10:$Q$14,7,FALSE),1,0)</f>
        <v>0</v>
      </c>
      <c r="AD275">
        <f>IF(VLOOKUP(AD$1,main!$A$3:$I$56,5,FALSE)-VLOOKUP($A275,main!$A$3:$I$56,6,FALSE)&gt;=VLOOKUP(59,main!$A$57:$I$61,4,FALSE)+VLOOKUP(VLOOKUP(AD$1,main!$A$3:$I$56,7,FALSE),main!$K$10:$Q$14,7,FALSE),1,0)</f>
        <v>0</v>
      </c>
      <c r="AE275">
        <f>IF(VLOOKUP(AE$1,main!$A$3:$I$56,5,FALSE)-VLOOKUP($A275,main!$A$3:$I$56,6,FALSE)&gt;=VLOOKUP(59,main!$A$57:$I$61,4,FALSE)+VLOOKUP(VLOOKUP(AE$1,main!$A$3:$I$56,7,FALSE),main!$K$10:$Q$14,7,FALSE),1,0)</f>
        <v>0</v>
      </c>
      <c r="AF275">
        <f>IF(VLOOKUP(AF$1,main!$A$3:$I$56,5,FALSE)-VLOOKUP($A275,main!$A$3:$I$56,6,FALSE)&gt;=VLOOKUP(59,main!$A$57:$I$61,4,FALSE)+VLOOKUP(VLOOKUP(AF$1,main!$A$3:$I$56,7,FALSE),main!$K$10:$Q$14,7,FALSE),1,0)</f>
        <v>0</v>
      </c>
      <c r="AG275">
        <f>IF(VLOOKUP(AG$1,main!$A$3:$I$56,5,FALSE)-VLOOKUP($A275,main!$A$3:$I$56,6,FALSE)&gt;=VLOOKUP(59,main!$A$57:$I$61,4,FALSE)+VLOOKUP(VLOOKUP(AG$1,main!$A$3:$I$56,7,FALSE),main!$K$10:$Q$14,7,FALSE),1,0)</f>
        <v>0</v>
      </c>
      <c r="AH275">
        <f>IF(VLOOKUP(AH$1,main!$A$3:$I$56,5,FALSE)-VLOOKUP($A275,main!$A$3:$I$56,6,FALSE)&gt;=VLOOKUP(59,main!$A$57:$I$61,4,FALSE)+VLOOKUP(VLOOKUP(AH$1,main!$A$3:$I$56,7,FALSE),main!$K$10:$Q$14,7,FALSE),1,0)</f>
        <v>0</v>
      </c>
      <c r="AI275">
        <f>IF(VLOOKUP(AI$1,main!$A$3:$I$56,5,FALSE)-VLOOKUP($A275,main!$A$3:$I$56,6,FALSE)&gt;=VLOOKUP(59,main!$A$57:$I$61,4,FALSE)+VLOOKUP(VLOOKUP(AI$1,main!$A$3:$I$56,7,FALSE),main!$K$10:$Q$14,7,FALSE),1,0)</f>
        <v>0</v>
      </c>
      <c r="AJ275">
        <f>IF(VLOOKUP(AJ$1,main!$A$3:$I$56,5,FALSE)-VLOOKUP($A275,main!$A$3:$I$56,6,FALSE)&gt;=VLOOKUP(59,main!$A$57:$I$61,4,FALSE)+VLOOKUP(VLOOKUP(AJ$1,main!$A$3:$I$56,7,FALSE),main!$K$10:$Q$14,7,FALSE),1,0)</f>
        <v>0</v>
      </c>
      <c r="AK275">
        <f>IF(VLOOKUP(AK$1,main!$A$3:$I$56,5,FALSE)-VLOOKUP($A275,main!$A$3:$I$56,6,FALSE)&gt;=VLOOKUP(59,main!$A$57:$I$61,4,FALSE)+VLOOKUP(VLOOKUP(AK$1,main!$A$3:$I$56,7,FALSE),main!$K$10:$Q$14,7,FALSE),1,0)</f>
        <v>0</v>
      </c>
      <c r="AL275">
        <f>IF(VLOOKUP(AL$1,main!$A$3:$I$56,5,FALSE)-VLOOKUP($A275,main!$A$3:$I$56,6,FALSE)&gt;=VLOOKUP(59,main!$A$57:$I$61,4,FALSE)+VLOOKUP(VLOOKUP(AL$1,main!$A$3:$I$56,7,FALSE),main!$K$10:$Q$14,7,FALSE),1,0)</f>
        <v>0</v>
      </c>
      <c r="AM275">
        <f>IF(VLOOKUP(AM$1,main!$A$3:$I$56,5,FALSE)-VLOOKUP($A275,main!$A$3:$I$56,6,FALSE)&gt;=VLOOKUP(59,main!$A$57:$I$61,4,FALSE)+VLOOKUP(VLOOKUP(AM$1,main!$A$3:$I$56,7,FALSE),main!$K$10:$Q$14,7,FALSE),1,0)</f>
        <v>0</v>
      </c>
      <c r="AN275">
        <f>IF(VLOOKUP(AN$1,main!$A$3:$I$56,5,FALSE)-VLOOKUP($A275,main!$A$3:$I$56,6,FALSE)&gt;=VLOOKUP(59,main!$A$57:$I$61,4,FALSE)+VLOOKUP(VLOOKUP(AN$1,main!$A$3:$I$56,7,FALSE),main!$K$10:$Q$14,7,FALSE),1,0)</f>
        <v>0</v>
      </c>
      <c r="AO275">
        <f>IF(VLOOKUP(AO$1,main!$A$3:$I$56,5,FALSE)-VLOOKUP($A275,main!$A$3:$I$56,6,FALSE)&gt;=VLOOKUP(59,main!$A$57:$I$61,4,FALSE)+VLOOKUP(VLOOKUP(AO$1,main!$A$3:$I$56,7,FALSE),main!$K$10:$Q$14,7,FALSE),1,0)</f>
        <v>0</v>
      </c>
      <c r="AP275">
        <f>IF(VLOOKUP(AP$1,main!$A$3:$I$56,5,FALSE)-VLOOKUP($A275,main!$A$3:$I$56,6,FALSE)&gt;=VLOOKUP(59,main!$A$57:$I$61,4,FALSE)+VLOOKUP(VLOOKUP(AP$1,main!$A$3:$I$56,7,FALSE),main!$K$10:$Q$14,7,FALSE),1,0)</f>
        <v>0</v>
      </c>
      <c r="AQ275">
        <f>IF(VLOOKUP(AQ$1,main!$A$3:$I$56,5,FALSE)-VLOOKUP($A275,main!$A$3:$I$56,6,FALSE)&gt;=VLOOKUP(59,main!$A$57:$I$61,4,FALSE)+VLOOKUP(VLOOKUP(AQ$1,main!$A$3:$I$56,7,FALSE),main!$K$10:$Q$14,7,FALSE),1,0)</f>
        <v>0</v>
      </c>
      <c r="AR275">
        <f>IF(VLOOKUP(AR$1,main!$A$3:$I$56,5,FALSE)-VLOOKUP($A275,main!$A$3:$I$56,6,FALSE)&gt;=VLOOKUP(59,main!$A$57:$I$61,4,FALSE)+VLOOKUP(VLOOKUP(AR$1,main!$A$3:$I$56,7,FALSE),main!$K$10:$Q$14,7,FALSE),1,0)</f>
        <v>0</v>
      </c>
      <c r="AS275">
        <f>IF(VLOOKUP(AS$1,main!$A$3:$I$56,5,FALSE)-VLOOKUP($A275,main!$A$3:$I$56,6,FALSE)&gt;=VLOOKUP(59,main!$A$57:$I$61,4,FALSE)+VLOOKUP(VLOOKUP(AS$1,main!$A$3:$I$56,7,FALSE),main!$K$10:$Q$14,7,FALSE),1,0)</f>
        <v>0</v>
      </c>
      <c r="AT275">
        <f>IF(VLOOKUP(AT$1,main!$A$3:$I$56,5,FALSE)-VLOOKUP($A275,main!$A$3:$I$56,6,FALSE)&gt;=VLOOKUP(59,main!$A$57:$I$61,4,FALSE)+VLOOKUP(VLOOKUP(AT$1,main!$A$3:$I$56,7,FALSE),main!$K$10:$Q$14,7,FALSE),1,0)</f>
        <v>0</v>
      </c>
      <c r="AU275">
        <f>IF(VLOOKUP(AU$1,main!$A$3:$I$56,5,FALSE)-VLOOKUP($A275,main!$A$3:$I$56,6,FALSE)&gt;=VLOOKUP(59,main!$A$57:$I$61,4,FALSE)+VLOOKUP(VLOOKUP(AU$1,main!$A$3:$I$56,7,FALSE),main!$K$10:$Q$14,7,FALSE),1,0)</f>
        <v>0</v>
      </c>
      <c r="AV275">
        <f>IF(VLOOKUP(AV$1,main!$A$3:$I$56,5,FALSE)-VLOOKUP($A275,main!$A$3:$I$56,6,FALSE)&gt;=VLOOKUP(59,main!$A$57:$I$61,4,FALSE)+VLOOKUP(VLOOKUP(AV$1,main!$A$3:$I$56,7,FALSE),main!$K$10:$Q$14,7,FALSE),1,0)</f>
        <v>0</v>
      </c>
      <c r="AW275">
        <f>IF(VLOOKUP(AW$1,main!$A$3:$I$56,5,FALSE)-VLOOKUP($A275,main!$A$3:$I$56,6,FALSE)&gt;=VLOOKUP(59,main!$A$57:$I$61,4,FALSE)+VLOOKUP(VLOOKUP(AW$1,main!$A$3:$I$56,7,FALSE),main!$K$10:$Q$14,7,FALSE),1,0)</f>
        <v>0</v>
      </c>
      <c r="AX275">
        <f>IF(VLOOKUP(AX$1,main!$A$3:$I$56,5,FALSE)-VLOOKUP($A275,main!$A$3:$I$56,6,FALSE)&gt;=VLOOKUP(59,main!$A$57:$I$61,4,FALSE)+VLOOKUP(VLOOKUP(AX$1,main!$A$3:$I$56,7,FALSE),main!$K$10:$Q$14,7,FALSE),1,0)</f>
        <v>0</v>
      </c>
      <c r="AY275">
        <f>IF(VLOOKUP(AY$1,main!$A$3:$I$56,5,FALSE)-VLOOKUP($A275,main!$A$3:$I$56,6,FALSE)&gt;=VLOOKUP(59,main!$A$57:$I$61,4,FALSE)+VLOOKUP(VLOOKUP(AY$1,main!$A$3:$I$56,7,FALSE),main!$K$10:$Q$14,7,FALSE),1,0)</f>
        <v>1</v>
      </c>
      <c r="AZ275">
        <f>IF(VLOOKUP(AZ$1,main!$A$3:$I$56,5,FALSE)-VLOOKUP($A275,main!$A$3:$I$56,6,FALSE)&gt;=VLOOKUP(59,main!$A$57:$I$61,4,FALSE)+VLOOKUP(VLOOKUP(AZ$1,main!$A$3:$I$56,7,FALSE),main!$K$10:$Q$14,7,FALSE),1,0)</f>
        <v>0</v>
      </c>
      <c r="BA275">
        <f>IF(VLOOKUP(BA$1,main!$A$3:$I$56,5,FALSE)-VLOOKUP($A275,main!$A$3:$I$56,6,FALSE)&gt;=VLOOKUP(59,main!$A$57:$I$61,4,FALSE)+VLOOKUP(VLOOKUP(BA$1,main!$A$3:$I$56,7,FALSE),main!$K$10:$Q$14,7,FALSE),1,0)</f>
        <v>0</v>
      </c>
      <c r="BB275">
        <f>IF(VLOOKUP(BB$1,main!$A$3:$I$56,5,FALSE)-VLOOKUP($A275,main!$A$3:$I$56,6,FALSE)&gt;=VLOOKUP(59,main!$A$57:$I$61,4,FALSE)+VLOOKUP(VLOOKUP(BB$1,main!$A$3:$I$56,7,FALSE),main!$K$10:$Q$14,7,FALSE),1,0)</f>
        <v>0</v>
      </c>
      <c r="BC275">
        <f>IF(VLOOKUP(BC$1,main!$A$3:$I$56,5,FALSE)-VLOOKUP($A275,main!$A$3:$I$56,6,FALSE)&gt;=VLOOKUP(59,main!$A$57:$I$61,4,FALSE)+VLOOKUP(VLOOKUP(BC$1,main!$A$3:$I$56,7,FALSE),main!$K$10:$Q$14,7,FALSE),1,0)</f>
        <v>0</v>
      </c>
      <c r="BD275">
        <f>IF(VLOOKUP(BD$1,main!$A$3:$I$56,5,FALSE)-VLOOKUP($A275,main!$A$3:$I$56,6,FALSE)&gt;=VLOOKUP(59,main!$A$57:$I$61,4,FALSE)+VLOOKUP(VLOOKUP(BD$1,main!$A$3:$I$56,7,FALSE),main!$K$10:$Q$14,7,FALSE),1,0)</f>
        <v>0</v>
      </c>
    </row>
    <row r="276" spans="1:56" x14ac:dyDescent="0.25">
      <c r="A276">
        <f t="shared" si="4"/>
        <v>54</v>
      </c>
      <c r="B276">
        <v>0</v>
      </c>
      <c r="C276">
        <f>IF(VLOOKUP(C$1,main!$A$3:$I$56,5,FALSE)-VLOOKUP($A276,main!$A$3:$I$56,6,FALSE)&gt;=VLOOKUP(59,main!$A$57:$I$61,4,FALSE)+VLOOKUP(VLOOKUP(C$1,main!$A$3:$I$56,7,FALSE),main!$K$10:$Q$14,7,FALSE),1,0)</f>
        <v>0</v>
      </c>
      <c r="D276">
        <f>IF(VLOOKUP(D$1,main!$A$3:$I$56,5,FALSE)-VLOOKUP($A276,main!$A$3:$I$56,6,FALSE)&gt;=VLOOKUP(59,main!$A$57:$I$61,4,FALSE)+VLOOKUP(VLOOKUP(D$1,main!$A$3:$I$56,7,FALSE),main!$K$10:$Q$14,7,FALSE),1,0)</f>
        <v>0</v>
      </c>
      <c r="E276">
        <f>IF(VLOOKUP(E$1,main!$A$3:$I$56,5,FALSE)-VLOOKUP($A276,main!$A$3:$I$56,6,FALSE)&gt;=VLOOKUP(59,main!$A$57:$I$61,4,FALSE)+VLOOKUP(VLOOKUP(E$1,main!$A$3:$I$56,7,FALSE),main!$K$10:$Q$14,7,FALSE),1,0)</f>
        <v>0</v>
      </c>
      <c r="F276">
        <f>IF(VLOOKUP(F$1,main!$A$3:$I$56,5,FALSE)-VLOOKUP($A276,main!$A$3:$I$56,6,FALSE)&gt;=VLOOKUP(59,main!$A$57:$I$61,4,FALSE)+VLOOKUP(VLOOKUP(F$1,main!$A$3:$I$56,7,FALSE),main!$K$10:$Q$14,7,FALSE),1,0)</f>
        <v>0</v>
      </c>
      <c r="G276">
        <f>IF(VLOOKUP(G$1,main!$A$3:$I$56,5,FALSE)-VLOOKUP($A276,main!$A$3:$I$56,6,FALSE)&gt;=VLOOKUP(59,main!$A$57:$I$61,4,FALSE)+VLOOKUP(VLOOKUP(G$1,main!$A$3:$I$56,7,FALSE),main!$K$10:$Q$14,7,FALSE),1,0)</f>
        <v>0</v>
      </c>
      <c r="H276">
        <f>IF(VLOOKUP(H$1,main!$A$3:$I$56,5,FALSE)-VLOOKUP($A276,main!$A$3:$I$56,6,FALSE)&gt;=VLOOKUP(59,main!$A$57:$I$61,4,FALSE)+VLOOKUP(VLOOKUP(H$1,main!$A$3:$I$56,7,FALSE),main!$K$10:$Q$14,7,FALSE),1,0)</f>
        <v>0</v>
      </c>
      <c r="I276">
        <f>IF(VLOOKUP(I$1,main!$A$3:$I$56,5,FALSE)-VLOOKUP($A276,main!$A$3:$I$56,6,FALSE)&gt;=VLOOKUP(59,main!$A$57:$I$61,4,FALSE)+VLOOKUP(VLOOKUP(I$1,main!$A$3:$I$56,7,FALSE),main!$K$10:$Q$14,7,FALSE),1,0)</f>
        <v>0</v>
      </c>
      <c r="J276">
        <f>IF(VLOOKUP(J$1,main!$A$3:$I$56,5,FALSE)-VLOOKUP($A276,main!$A$3:$I$56,6,FALSE)&gt;=VLOOKUP(59,main!$A$57:$I$61,4,FALSE)+VLOOKUP(VLOOKUP(J$1,main!$A$3:$I$56,7,FALSE),main!$K$10:$Q$14,7,FALSE),1,0)</f>
        <v>0</v>
      </c>
      <c r="K276">
        <f>IF(VLOOKUP(K$1,main!$A$3:$I$56,5,FALSE)-VLOOKUP($A276,main!$A$3:$I$56,6,FALSE)&gt;=VLOOKUP(59,main!$A$57:$I$61,4,FALSE)+VLOOKUP(VLOOKUP(K$1,main!$A$3:$I$56,7,FALSE),main!$K$10:$Q$14,7,FALSE),1,0)</f>
        <v>0</v>
      </c>
      <c r="L276">
        <f>IF(VLOOKUP(L$1,main!$A$3:$I$56,5,FALSE)-VLOOKUP($A276,main!$A$3:$I$56,6,FALSE)&gt;=VLOOKUP(59,main!$A$57:$I$61,4,FALSE)+VLOOKUP(VLOOKUP(L$1,main!$A$3:$I$56,7,FALSE),main!$K$10:$Q$14,7,FALSE),1,0)</f>
        <v>0</v>
      </c>
      <c r="M276">
        <f>IF(VLOOKUP(M$1,main!$A$3:$I$56,5,FALSE)-VLOOKUP($A276,main!$A$3:$I$56,6,FALSE)&gt;=VLOOKUP(59,main!$A$57:$I$61,4,FALSE)+VLOOKUP(VLOOKUP(M$1,main!$A$3:$I$56,7,FALSE),main!$K$10:$Q$14,7,FALSE),1,0)</f>
        <v>0</v>
      </c>
      <c r="N276">
        <f>IF(VLOOKUP(N$1,main!$A$3:$I$56,5,FALSE)-VLOOKUP($A276,main!$A$3:$I$56,6,FALSE)&gt;=VLOOKUP(59,main!$A$57:$I$61,4,FALSE)+VLOOKUP(VLOOKUP(N$1,main!$A$3:$I$56,7,FALSE),main!$K$10:$Q$14,7,FALSE),1,0)</f>
        <v>0</v>
      </c>
      <c r="O276">
        <f>IF(VLOOKUP(O$1,main!$A$3:$I$56,5,FALSE)-VLOOKUP($A276,main!$A$3:$I$56,6,FALSE)&gt;=VLOOKUP(59,main!$A$57:$I$61,4,FALSE)+VLOOKUP(VLOOKUP(O$1,main!$A$3:$I$56,7,FALSE),main!$K$10:$Q$14,7,FALSE),1,0)</f>
        <v>0</v>
      </c>
      <c r="P276">
        <f>IF(VLOOKUP(P$1,main!$A$3:$I$56,5,FALSE)-VLOOKUP($A276,main!$A$3:$I$56,6,FALSE)&gt;=VLOOKUP(59,main!$A$57:$I$61,4,FALSE)+VLOOKUP(VLOOKUP(P$1,main!$A$3:$I$56,7,FALSE),main!$K$10:$Q$14,7,FALSE),1,0)</f>
        <v>0</v>
      </c>
      <c r="Q276">
        <f>IF(VLOOKUP(Q$1,main!$A$3:$I$56,5,FALSE)-VLOOKUP($A276,main!$A$3:$I$56,6,FALSE)&gt;=VLOOKUP(59,main!$A$57:$I$61,4,FALSE)+VLOOKUP(VLOOKUP(Q$1,main!$A$3:$I$56,7,FALSE),main!$K$10:$Q$14,7,FALSE),1,0)</f>
        <v>0</v>
      </c>
      <c r="R276">
        <f>IF(VLOOKUP(R$1,main!$A$3:$I$56,5,FALSE)-VLOOKUP($A276,main!$A$3:$I$56,6,FALSE)&gt;=VLOOKUP(59,main!$A$57:$I$61,4,FALSE)+VLOOKUP(VLOOKUP(R$1,main!$A$3:$I$56,7,FALSE),main!$K$10:$Q$14,7,FALSE),1,0)</f>
        <v>0</v>
      </c>
      <c r="S276">
        <f>IF(VLOOKUP(S$1,main!$A$3:$I$56,5,FALSE)-VLOOKUP($A276,main!$A$3:$I$56,6,FALSE)&gt;=VLOOKUP(59,main!$A$57:$I$61,4,FALSE)+VLOOKUP(VLOOKUP(S$1,main!$A$3:$I$56,7,FALSE),main!$K$10:$Q$14,7,FALSE),1,0)</f>
        <v>0</v>
      </c>
      <c r="T276">
        <f>IF(VLOOKUP(T$1,main!$A$3:$I$56,5,FALSE)-VLOOKUP($A276,main!$A$3:$I$56,6,FALSE)&gt;=VLOOKUP(59,main!$A$57:$I$61,4,FALSE)+VLOOKUP(VLOOKUP(T$1,main!$A$3:$I$56,7,FALSE),main!$K$10:$Q$14,7,FALSE),1,0)</f>
        <v>0</v>
      </c>
      <c r="U276">
        <f>IF(VLOOKUP(U$1,main!$A$3:$I$56,5,FALSE)-VLOOKUP($A276,main!$A$3:$I$56,6,FALSE)&gt;=VLOOKUP(59,main!$A$57:$I$61,4,FALSE)+VLOOKUP(VLOOKUP(U$1,main!$A$3:$I$56,7,FALSE),main!$K$10:$Q$14,7,FALSE),1,0)</f>
        <v>0</v>
      </c>
      <c r="V276">
        <f>IF(VLOOKUP(V$1,main!$A$3:$I$56,5,FALSE)-VLOOKUP($A276,main!$A$3:$I$56,6,FALSE)&gt;=VLOOKUP(59,main!$A$57:$I$61,4,FALSE)+VLOOKUP(VLOOKUP(V$1,main!$A$3:$I$56,7,FALSE),main!$K$10:$Q$14,7,FALSE),1,0)</f>
        <v>0</v>
      </c>
      <c r="W276">
        <f>IF(VLOOKUP(W$1,main!$A$3:$I$56,5,FALSE)-VLOOKUP($A276,main!$A$3:$I$56,6,FALSE)&gt;=VLOOKUP(59,main!$A$57:$I$61,4,FALSE)+VLOOKUP(VLOOKUP(W$1,main!$A$3:$I$56,7,FALSE),main!$K$10:$Q$14,7,FALSE),1,0)</f>
        <v>0</v>
      </c>
      <c r="X276">
        <f>IF(VLOOKUP(X$1,main!$A$3:$I$56,5,FALSE)-VLOOKUP($A276,main!$A$3:$I$56,6,FALSE)&gt;=VLOOKUP(59,main!$A$57:$I$61,4,FALSE)+VLOOKUP(VLOOKUP(X$1,main!$A$3:$I$56,7,FALSE),main!$K$10:$Q$14,7,FALSE),1,0)</f>
        <v>0</v>
      </c>
      <c r="Y276">
        <f>IF(VLOOKUP(Y$1,main!$A$3:$I$56,5,FALSE)-VLOOKUP($A276,main!$A$3:$I$56,6,FALSE)&gt;=VLOOKUP(59,main!$A$57:$I$61,4,FALSE)+VLOOKUP(VLOOKUP(Y$1,main!$A$3:$I$56,7,FALSE),main!$K$10:$Q$14,7,FALSE),1,0)</f>
        <v>0</v>
      </c>
      <c r="Z276">
        <f>IF(VLOOKUP(Z$1,main!$A$3:$I$56,5,FALSE)-VLOOKUP($A276,main!$A$3:$I$56,6,FALSE)&gt;=VLOOKUP(59,main!$A$57:$I$61,4,FALSE)+VLOOKUP(VLOOKUP(Z$1,main!$A$3:$I$56,7,FALSE),main!$K$10:$Q$14,7,FALSE),1,0)</f>
        <v>0</v>
      </c>
      <c r="AA276">
        <f>IF(VLOOKUP(AA$1,main!$A$3:$I$56,5,FALSE)-VLOOKUP($A276,main!$A$3:$I$56,6,FALSE)&gt;=VLOOKUP(59,main!$A$57:$I$61,4,FALSE)+VLOOKUP(VLOOKUP(AA$1,main!$A$3:$I$56,7,FALSE),main!$K$10:$Q$14,7,FALSE),1,0)</f>
        <v>0</v>
      </c>
      <c r="AB276">
        <f>IF(VLOOKUP(AB$1,main!$A$3:$I$56,5,FALSE)-VLOOKUP($A276,main!$A$3:$I$56,6,FALSE)&gt;=VLOOKUP(59,main!$A$57:$I$61,4,FALSE)+VLOOKUP(VLOOKUP(AB$1,main!$A$3:$I$56,7,FALSE),main!$K$10:$Q$14,7,FALSE),1,0)</f>
        <v>0</v>
      </c>
      <c r="AC276">
        <f>IF(VLOOKUP(AC$1,main!$A$3:$I$56,5,FALSE)-VLOOKUP($A276,main!$A$3:$I$56,6,FALSE)&gt;=VLOOKUP(59,main!$A$57:$I$61,4,FALSE)+VLOOKUP(VLOOKUP(AC$1,main!$A$3:$I$56,7,FALSE),main!$K$10:$Q$14,7,FALSE),1,0)</f>
        <v>0</v>
      </c>
      <c r="AD276">
        <f>IF(VLOOKUP(AD$1,main!$A$3:$I$56,5,FALSE)-VLOOKUP($A276,main!$A$3:$I$56,6,FALSE)&gt;=VLOOKUP(59,main!$A$57:$I$61,4,FALSE)+VLOOKUP(VLOOKUP(AD$1,main!$A$3:$I$56,7,FALSE),main!$K$10:$Q$14,7,FALSE),1,0)</f>
        <v>0</v>
      </c>
      <c r="AE276">
        <f>IF(VLOOKUP(AE$1,main!$A$3:$I$56,5,FALSE)-VLOOKUP($A276,main!$A$3:$I$56,6,FALSE)&gt;=VLOOKUP(59,main!$A$57:$I$61,4,FALSE)+VLOOKUP(VLOOKUP(AE$1,main!$A$3:$I$56,7,FALSE),main!$K$10:$Q$14,7,FALSE),1,0)</f>
        <v>0</v>
      </c>
      <c r="AF276">
        <f>IF(VLOOKUP(AF$1,main!$A$3:$I$56,5,FALSE)-VLOOKUP($A276,main!$A$3:$I$56,6,FALSE)&gt;=VLOOKUP(59,main!$A$57:$I$61,4,FALSE)+VLOOKUP(VLOOKUP(AF$1,main!$A$3:$I$56,7,FALSE),main!$K$10:$Q$14,7,FALSE),1,0)</f>
        <v>0</v>
      </c>
      <c r="AG276">
        <f>IF(VLOOKUP(AG$1,main!$A$3:$I$56,5,FALSE)-VLOOKUP($A276,main!$A$3:$I$56,6,FALSE)&gt;=VLOOKUP(59,main!$A$57:$I$61,4,FALSE)+VLOOKUP(VLOOKUP(AG$1,main!$A$3:$I$56,7,FALSE),main!$K$10:$Q$14,7,FALSE),1,0)</f>
        <v>0</v>
      </c>
      <c r="AH276">
        <f>IF(VLOOKUP(AH$1,main!$A$3:$I$56,5,FALSE)-VLOOKUP($A276,main!$A$3:$I$56,6,FALSE)&gt;=VLOOKUP(59,main!$A$57:$I$61,4,FALSE)+VLOOKUP(VLOOKUP(AH$1,main!$A$3:$I$56,7,FALSE),main!$K$10:$Q$14,7,FALSE),1,0)</f>
        <v>0</v>
      </c>
      <c r="AI276">
        <f>IF(VLOOKUP(AI$1,main!$A$3:$I$56,5,FALSE)-VLOOKUP($A276,main!$A$3:$I$56,6,FALSE)&gt;=VLOOKUP(59,main!$A$57:$I$61,4,FALSE)+VLOOKUP(VLOOKUP(AI$1,main!$A$3:$I$56,7,FALSE),main!$K$10:$Q$14,7,FALSE),1,0)</f>
        <v>0</v>
      </c>
      <c r="AJ276">
        <f>IF(VLOOKUP(AJ$1,main!$A$3:$I$56,5,FALSE)-VLOOKUP($A276,main!$A$3:$I$56,6,FALSE)&gt;=VLOOKUP(59,main!$A$57:$I$61,4,FALSE)+VLOOKUP(VLOOKUP(AJ$1,main!$A$3:$I$56,7,FALSE),main!$K$10:$Q$14,7,FALSE),1,0)</f>
        <v>0</v>
      </c>
      <c r="AK276">
        <f>IF(VLOOKUP(AK$1,main!$A$3:$I$56,5,FALSE)-VLOOKUP($A276,main!$A$3:$I$56,6,FALSE)&gt;=VLOOKUP(59,main!$A$57:$I$61,4,FALSE)+VLOOKUP(VLOOKUP(AK$1,main!$A$3:$I$56,7,FALSE),main!$K$10:$Q$14,7,FALSE),1,0)</f>
        <v>0</v>
      </c>
      <c r="AL276">
        <f>IF(VLOOKUP(AL$1,main!$A$3:$I$56,5,FALSE)-VLOOKUP($A276,main!$A$3:$I$56,6,FALSE)&gt;=VLOOKUP(59,main!$A$57:$I$61,4,FALSE)+VLOOKUP(VLOOKUP(AL$1,main!$A$3:$I$56,7,FALSE),main!$K$10:$Q$14,7,FALSE),1,0)</f>
        <v>0</v>
      </c>
      <c r="AM276">
        <f>IF(VLOOKUP(AM$1,main!$A$3:$I$56,5,FALSE)-VLOOKUP($A276,main!$A$3:$I$56,6,FALSE)&gt;=VLOOKUP(59,main!$A$57:$I$61,4,FALSE)+VLOOKUP(VLOOKUP(AM$1,main!$A$3:$I$56,7,FALSE),main!$K$10:$Q$14,7,FALSE),1,0)</f>
        <v>0</v>
      </c>
      <c r="AN276">
        <f>IF(VLOOKUP(AN$1,main!$A$3:$I$56,5,FALSE)-VLOOKUP($A276,main!$A$3:$I$56,6,FALSE)&gt;=VLOOKUP(59,main!$A$57:$I$61,4,FALSE)+VLOOKUP(VLOOKUP(AN$1,main!$A$3:$I$56,7,FALSE),main!$K$10:$Q$14,7,FALSE),1,0)</f>
        <v>0</v>
      </c>
      <c r="AO276">
        <f>IF(VLOOKUP(AO$1,main!$A$3:$I$56,5,FALSE)-VLOOKUP($A276,main!$A$3:$I$56,6,FALSE)&gt;=VLOOKUP(59,main!$A$57:$I$61,4,FALSE)+VLOOKUP(VLOOKUP(AO$1,main!$A$3:$I$56,7,FALSE),main!$K$10:$Q$14,7,FALSE),1,0)</f>
        <v>0</v>
      </c>
      <c r="AP276">
        <f>IF(VLOOKUP(AP$1,main!$A$3:$I$56,5,FALSE)-VLOOKUP($A276,main!$A$3:$I$56,6,FALSE)&gt;=VLOOKUP(59,main!$A$57:$I$61,4,FALSE)+VLOOKUP(VLOOKUP(AP$1,main!$A$3:$I$56,7,FALSE),main!$K$10:$Q$14,7,FALSE),1,0)</f>
        <v>0</v>
      </c>
      <c r="AQ276">
        <f>IF(VLOOKUP(AQ$1,main!$A$3:$I$56,5,FALSE)-VLOOKUP($A276,main!$A$3:$I$56,6,FALSE)&gt;=VLOOKUP(59,main!$A$57:$I$61,4,FALSE)+VLOOKUP(VLOOKUP(AQ$1,main!$A$3:$I$56,7,FALSE),main!$K$10:$Q$14,7,FALSE),1,0)</f>
        <v>0</v>
      </c>
      <c r="AR276">
        <f>IF(VLOOKUP(AR$1,main!$A$3:$I$56,5,FALSE)-VLOOKUP($A276,main!$A$3:$I$56,6,FALSE)&gt;=VLOOKUP(59,main!$A$57:$I$61,4,FALSE)+VLOOKUP(VLOOKUP(AR$1,main!$A$3:$I$56,7,FALSE),main!$K$10:$Q$14,7,FALSE),1,0)</f>
        <v>0</v>
      </c>
      <c r="AS276">
        <f>IF(VLOOKUP(AS$1,main!$A$3:$I$56,5,FALSE)-VLOOKUP($A276,main!$A$3:$I$56,6,FALSE)&gt;=VLOOKUP(59,main!$A$57:$I$61,4,FALSE)+VLOOKUP(VLOOKUP(AS$1,main!$A$3:$I$56,7,FALSE),main!$K$10:$Q$14,7,FALSE),1,0)</f>
        <v>0</v>
      </c>
      <c r="AT276">
        <f>IF(VLOOKUP(AT$1,main!$A$3:$I$56,5,FALSE)-VLOOKUP($A276,main!$A$3:$I$56,6,FALSE)&gt;=VLOOKUP(59,main!$A$57:$I$61,4,FALSE)+VLOOKUP(VLOOKUP(AT$1,main!$A$3:$I$56,7,FALSE),main!$K$10:$Q$14,7,FALSE),1,0)</f>
        <v>0</v>
      </c>
      <c r="AU276">
        <f>IF(VLOOKUP(AU$1,main!$A$3:$I$56,5,FALSE)-VLOOKUP($A276,main!$A$3:$I$56,6,FALSE)&gt;=VLOOKUP(59,main!$A$57:$I$61,4,FALSE)+VLOOKUP(VLOOKUP(AU$1,main!$A$3:$I$56,7,FALSE),main!$K$10:$Q$14,7,FALSE),1,0)</f>
        <v>0</v>
      </c>
      <c r="AV276">
        <f>IF(VLOOKUP(AV$1,main!$A$3:$I$56,5,FALSE)-VLOOKUP($A276,main!$A$3:$I$56,6,FALSE)&gt;=VLOOKUP(59,main!$A$57:$I$61,4,FALSE)+VLOOKUP(VLOOKUP(AV$1,main!$A$3:$I$56,7,FALSE),main!$K$10:$Q$14,7,FALSE),1,0)</f>
        <v>0</v>
      </c>
      <c r="AW276">
        <f>IF(VLOOKUP(AW$1,main!$A$3:$I$56,5,FALSE)-VLOOKUP($A276,main!$A$3:$I$56,6,FALSE)&gt;=VLOOKUP(59,main!$A$57:$I$61,4,FALSE)+VLOOKUP(VLOOKUP(AW$1,main!$A$3:$I$56,7,FALSE),main!$K$10:$Q$14,7,FALSE),1,0)</f>
        <v>0</v>
      </c>
      <c r="AX276">
        <f>IF(VLOOKUP(AX$1,main!$A$3:$I$56,5,FALSE)-VLOOKUP($A276,main!$A$3:$I$56,6,FALSE)&gt;=VLOOKUP(59,main!$A$57:$I$61,4,FALSE)+VLOOKUP(VLOOKUP(AX$1,main!$A$3:$I$56,7,FALSE),main!$K$10:$Q$14,7,FALSE),1,0)</f>
        <v>0</v>
      </c>
      <c r="AY276">
        <f>IF(VLOOKUP(AY$1,main!$A$3:$I$56,5,FALSE)-VLOOKUP($A276,main!$A$3:$I$56,6,FALSE)&gt;=VLOOKUP(59,main!$A$57:$I$61,4,FALSE)+VLOOKUP(VLOOKUP(AY$1,main!$A$3:$I$56,7,FALSE),main!$K$10:$Q$14,7,FALSE),1,0)</f>
        <v>1</v>
      </c>
      <c r="AZ276">
        <f>IF(VLOOKUP(AZ$1,main!$A$3:$I$56,5,FALSE)-VLOOKUP($A276,main!$A$3:$I$56,6,FALSE)&gt;=VLOOKUP(59,main!$A$57:$I$61,4,FALSE)+VLOOKUP(VLOOKUP(AZ$1,main!$A$3:$I$56,7,FALSE),main!$K$10:$Q$14,7,FALSE),1,0)</f>
        <v>0</v>
      </c>
      <c r="BA276">
        <f>IF(VLOOKUP(BA$1,main!$A$3:$I$56,5,FALSE)-VLOOKUP($A276,main!$A$3:$I$56,6,FALSE)&gt;=VLOOKUP(59,main!$A$57:$I$61,4,FALSE)+VLOOKUP(VLOOKUP(BA$1,main!$A$3:$I$56,7,FALSE),main!$K$10:$Q$14,7,FALSE),1,0)</f>
        <v>0</v>
      </c>
      <c r="BB276">
        <f>IF(VLOOKUP(BB$1,main!$A$3:$I$56,5,FALSE)-VLOOKUP($A276,main!$A$3:$I$56,6,FALSE)&gt;=VLOOKUP(59,main!$A$57:$I$61,4,FALSE)+VLOOKUP(VLOOKUP(BB$1,main!$A$3:$I$56,7,FALSE),main!$K$10:$Q$14,7,FALSE),1,0)</f>
        <v>0</v>
      </c>
      <c r="BC276">
        <f>IF(VLOOKUP(BC$1,main!$A$3:$I$56,5,FALSE)-VLOOKUP($A276,main!$A$3:$I$56,6,FALSE)&gt;=VLOOKUP(59,main!$A$57:$I$61,4,FALSE)+VLOOKUP(VLOOKUP(BC$1,main!$A$3:$I$56,7,FALSE),main!$K$10:$Q$14,7,FALSE),1,0)</f>
        <v>0</v>
      </c>
      <c r="BD276">
        <f>IF(VLOOKUP(BD$1,main!$A$3:$I$56,5,FALSE)-VLOOKUP($A276,main!$A$3:$I$56,6,FALSE)&gt;=VLOOKUP(59,main!$A$57:$I$61,4,FALSE)+VLOOKUP(VLOOKUP(BD$1,main!$A$3:$I$56,7,FALSE),main!$K$10:$Q$14,7,FALSE),1,0)</f>
        <v>0</v>
      </c>
    </row>
  </sheetData>
  <conditionalFormatting sqref="B2:BD166 D168:BD221 C167:C276 D223:BD2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7:BD167 D222:BD222 B167:B2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61A1-88E7-491E-BF2E-8AED59CFD191}">
  <dimension ref="A1:BD221"/>
  <sheetViews>
    <sheetView topLeftCell="A31" workbookViewId="0">
      <pane xSplit="1" topLeftCell="AI1" activePane="topRight" state="frozen"/>
      <selection activeCell="A185" sqref="A185"/>
      <selection pane="topRight" activeCell="BD56" sqref="BD56"/>
    </sheetView>
  </sheetViews>
  <sheetFormatPr defaultRowHeight="15" x14ac:dyDescent="0.25"/>
  <sheetData>
    <row r="1" spans="1:56" x14ac:dyDescent="0.25">
      <c r="B1">
        <v>0</v>
      </c>
      <c r="C1">
        <f t="shared" ref="C1:AH1" si="0">B1+1</f>
        <v>1</v>
      </c>
      <c r="D1">
        <f t="shared" si="0"/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ref="AI1:BD1" si="1">AH1+1</f>
        <v>33</v>
      </c>
      <c r="AJ1">
        <f t="shared" si="1"/>
        <v>34</v>
      </c>
      <c r="AK1">
        <f t="shared" si="1"/>
        <v>35</v>
      </c>
      <c r="AL1">
        <f t="shared" si="1"/>
        <v>36</v>
      </c>
      <c r="AM1">
        <f t="shared" si="1"/>
        <v>37</v>
      </c>
      <c r="AN1">
        <f t="shared" si="1"/>
        <v>38</v>
      </c>
      <c r="AO1">
        <f t="shared" si="1"/>
        <v>39</v>
      </c>
      <c r="AP1">
        <f t="shared" si="1"/>
        <v>40</v>
      </c>
      <c r="AQ1">
        <f t="shared" si="1"/>
        <v>41</v>
      </c>
      <c r="AR1">
        <f t="shared" si="1"/>
        <v>42</v>
      </c>
      <c r="AS1">
        <f t="shared" si="1"/>
        <v>43</v>
      </c>
      <c r="AT1">
        <f t="shared" si="1"/>
        <v>44</v>
      </c>
      <c r="AU1">
        <f t="shared" si="1"/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  <c r="BB1">
        <f t="shared" si="1"/>
        <v>52</v>
      </c>
      <c r="BC1">
        <f t="shared" si="1"/>
        <v>53</v>
      </c>
      <c r="BD1">
        <f t="shared" si="1"/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IF((gamma!C3),VLOOKUP(C$1,main!$A$3:$I$56,5,FALSE)-VLOOKUP($A3,main!$A$3:$I$56,6,FALSE),0)</f>
        <v>0</v>
      </c>
      <c r="D3">
        <f>IF((gamma!D3),VLOOKUP(D$1,main!$A$3:$I$56,5,FALSE)-VLOOKUP($A3,main!$A$3:$I$56,6,FALSE),0)</f>
        <v>45</v>
      </c>
      <c r="E3">
        <f>IF((gamma!E3),VLOOKUP(E$1,main!$A$3:$I$56,5,FALSE)-VLOOKUP($A3,main!$A$3:$I$56,6,FALSE),0)</f>
        <v>135</v>
      </c>
      <c r="F3">
        <f>IF((gamma!F3),VLOOKUP(F$1,main!$A$3:$I$56,5,FALSE)-VLOOKUP($A3,main!$A$3:$I$56,6,FALSE),0)</f>
        <v>225</v>
      </c>
      <c r="G3">
        <f>IF((gamma!G3),VLOOKUP(G$1,main!$A$3:$I$56,5,FALSE)-VLOOKUP($A3,main!$A$3:$I$56,6,FALSE),0)</f>
        <v>285</v>
      </c>
      <c r="H3">
        <f>IF((gamma!H3),VLOOKUP(H$1,main!$A$3:$I$56,5,FALSE)-VLOOKUP($A3,main!$A$3:$I$56,6,FALSE),0)</f>
        <v>345</v>
      </c>
      <c r="I3">
        <f>IF((gamma!I3),VLOOKUP(I$1,main!$A$3:$I$56,5,FALSE)-VLOOKUP($A3,main!$A$3:$I$56,6,FALSE),0)</f>
        <v>405</v>
      </c>
      <c r="J3">
        <f>IF((gamma!J3),VLOOKUP(J$1,main!$A$3:$I$56,5,FALSE)-VLOOKUP($A3,main!$A$3:$I$56,6,FALSE),0)</f>
        <v>495</v>
      </c>
      <c r="K3">
        <f>IF((gamma!K3),VLOOKUP(K$1,main!$A$3:$I$56,5,FALSE)-VLOOKUP($A3,main!$A$3:$I$56,6,FALSE),0)</f>
        <v>0</v>
      </c>
      <c r="L3">
        <f>IF((gamma!L3),VLOOKUP(L$1,main!$A$3:$I$56,5,FALSE)-VLOOKUP($A3,main!$A$3:$I$56,6,FALSE),0)</f>
        <v>0</v>
      </c>
      <c r="M3">
        <f>IF((gamma!M3),VLOOKUP(M$1,main!$A$3:$I$56,5,FALSE)-VLOOKUP($A3,main!$A$3:$I$56,6,FALSE),0)</f>
        <v>100</v>
      </c>
      <c r="N3">
        <f>IF((gamma!N3),VLOOKUP(N$1,main!$A$3:$I$56,5,FALSE)-VLOOKUP($A3,main!$A$3:$I$56,6,FALSE),0)</f>
        <v>460</v>
      </c>
      <c r="O3">
        <f>IF((gamma!O3),VLOOKUP(O$1,main!$A$3:$I$56,5,FALSE)-VLOOKUP($A3,main!$A$3:$I$56,6,FALSE),0)</f>
        <v>520</v>
      </c>
      <c r="P3">
        <f>IF((gamma!P3),VLOOKUP(P$1,main!$A$3:$I$56,5,FALSE)-VLOOKUP($A3,main!$A$3:$I$56,6,FALSE),0)</f>
        <v>0</v>
      </c>
      <c r="Q3">
        <f>IF((gamma!Q3),VLOOKUP(Q$1,main!$A$3:$I$56,5,FALSE)-VLOOKUP($A3,main!$A$3:$I$56,6,FALSE),0)</f>
        <v>0</v>
      </c>
      <c r="R3">
        <f>IF((gamma!R3),VLOOKUP(R$1,main!$A$3:$I$56,5,FALSE)-VLOOKUP($A3,main!$A$3:$I$56,6,FALSE),0)</f>
        <v>95</v>
      </c>
      <c r="S3">
        <f>IF((gamma!S3),VLOOKUP(S$1,main!$A$3:$I$56,5,FALSE)-VLOOKUP($A3,main!$A$3:$I$56,6,FALSE),0)</f>
        <v>275</v>
      </c>
      <c r="T3">
        <f>IF((gamma!T3),VLOOKUP(T$1,main!$A$3:$I$56,5,FALSE)-VLOOKUP($A3,main!$A$3:$I$56,6,FALSE),0)</f>
        <v>425</v>
      </c>
      <c r="U3">
        <f>IF((gamma!U3),VLOOKUP(U$1,main!$A$3:$I$56,5,FALSE)-VLOOKUP($A3,main!$A$3:$I$56,6,FALSE),0)</f>
        <v>0</v>
      </c>
      <c r="V3">
        <f>IF((gamma!V3),VLOOKUP(V$1,main!$A$3:$I$56,5,FALSE)-VLOOKUP($A3,main!$A$3:$I$56,6,FALSE),0)</f>
        <v>0</v>
      </c>
      <c r="W3">
        <f>IF((gamma!W3),VLOOKUP(W$1,main!$A$3:$I$56,5,FALSE)-VLOOKUP($A3,main!$A$3:$I$56,6,FALSE),0)</f>
        <v>25</v>
      </c>
      <c r="X3">
        <f>IF((gamma!X3),VLOOKUP(X$1,main!$A$3:$I$56,5,FALSE)-VLOOKUP($A3,main!$A$3:$I$56,6,FALSE),0)</f>
        <v>115</v>
      </c>
      <c r="Y3">
        <f>IF((gamma!Y3),VLOOKUP(Y$1,main!$A$3:$I$56,5,FALSE)-VLOOKUP($A3,main!$A$3:$I$56,6,FALSE),0)</f>
        <v>205</v>
      </c>
      <c r="Z3">
        <f>IF((gamma!Z3),VLOOKUP(Z$1,main!$A$3:$I$56,5,FALSE)-VLOOKUP($A3,main!$A$3:$I$56,6,FALSE),0)</f>
        <v>295</v>
      </c>
      <c r="AA3">
        <f>IF((gamma!AA3),VLOOKUP(AA$1,main!$A$3:$I$56,5,FALSE)-VLOOKUP($A3,main!$A$3:$I$56,6,FALSE),0)</f>
        <v>385</v>
      </c>
      <c r="AB3">
        <f>IF((gamma!AB3),VLOOKUP(AB$1,main!$A$3:$I$56,5,FALSE)-VLOOKUP($A3,main!$A$3:$I$56,6,FALSE),0)</f>
        <v>445</v>
      </c>
      <c r="AC3">
        <f>IF((gamma!AC3),VLOOKUP(AC$1,main!$A$3:$I$56,5,FALSE)-VLOOKUP($A3,main!$A$3:$I$56,6,FALSE),0)</f>
        <v>0</v>
      </c>
      <c r="AD3">
        <f>IF((gamma!AD3),VLOOKUP(AD$1,main!$A$3:$I$56,5,FALSE)-VLOOKUP($A3,main!$A$3:$I$56,6,FALSE),0)</f>
        <v>0</v>
      </c>
      <c r="AE3">
        <f>IF((gamma!AE3),VLOOKUP(AE$1,main!$A$3:$I$56,5,FALSE)-VLOOKUP($A3,main!$A$3:$I$56,6,FALSE),0)</f>
        <v>105</v>
      </c>
      <c r="AF3">
        <f>IF((gamma!AF3),VLOOKUP(AF$1,main!$A$3:$I$56,5,FALSE)-VLOOKUP($A3,main!$A$3:$I$56,6,FALSE),0)</f>
        <v>255</v>
      </c>
      <c r="AG3">
        <f>IF((gamma!AG3),VLOOKUP(AG$1,main!$A$3:$I$56,5,FALSE)-VLOOKUP($A3,main!$A$3:$I$56,6,FALSE),0)</f>
        <v>0</v>
      </c>
      <c r="AH3">
        <f>IF((gamma!AH3),VLOOKUP(AH$1,main!$A$3:$I$56,5,FALSE)-VLOOKUP($A3,main!$A$3:$I$56,6,FALSE),0)</f>
        <v>45</v>
      </c>
      <c r="AI3">
        <f>IF((gamma!AI3),VLOOKUP(AI$1,main!$A$3:$I$56,5,FALSE)-VLOOKUP($A3,main!$A$3:$I$56,6,FALSE),0)</f>
        <v>165</v>
      </c>
      <c r="AJ3">
        <f>IF((gamma!AJ3),VLOOKUP(AJ$1,main!$A$3:$I$56,5,FALSE)-VLOOKUP($A3,main!$A$3:$I$56,6,FALSE),0)</f>
        <v>225</v>
      </c>
      <c r="AK3">
        <f>IF((gamma!AK3),VLOOKUP(AK$1,main!$A$3:$I$56,5,FALSE)-VLOOKUP($A3,main!$A$3:$I$56,6,FALSE),0)</f>
        <v>345</v>
      </c>
      <c r="AL3">
        <f>IF((gamma!AL3),VLOOKUP(AL$1,main!$A$3:$I$56,5,FALSE)-VLOOKUP($A3,main!$A$3:$I$56,6,FALSE),0)</f>
        <v>0</v>
      </c>
      <c r="AM3">
        <f>IF((gamma!AM3),VLOOKUP(AM$1,main!$A$3:$I$56,5,FALSE)-VLOOKUP($A3,main!$A$3:$I$56,6,FALSE),0)</f>
        <v>0</v>
      </c>
      <c r="AN3">
        <f>IF((gamma!AN3),VLOOKUP(AN$1,main!$A$3:$I$56,5,FALSE)-VLOOKUP($A3,main!$A$3:$I$56,6,FALSE),0)</f>
        <v>205</v>
      </c>
      <c r="AO3">
        <f>IF((gamma!AO3),VLOOKUP(AO$1,main!$A$3:$I$56,5,FALSE)-VLOOKUP($A3,main!$A$3:$I$56,6,FALSE),0)</f>
        <v>255</v>
      </c>
      <c r="AP3">
        <f>IF((gamma!AP3),VLOOKUP(AP$1,main!$A$3:$I$56,5,FALSE)-VLOOKUP($A3,main!$A$3:$I$56,6,FALSE),0)</f>
        <v>0</v>
      </c>
      <c r="AQ3">
        <f>IF((gamma!AQ3),VLOOKUP(AQ$1,main!$A$3:$I$56,5,FALSE)-VLOOKUP($A3,main!$A$3:$I$56,6,FALSE),0)</f>
        <v>0</v>
      </c>
      <c r="AR3">
        <f>IF((gamma!AR3),VLOOKUP(AR$1,main!$A$3:$I$56,5,FALSE)-VLOOKUP($A3,main!$A$3:$I$56,6,FALSE),0)</f>
        <v>0</v>
      </c>
      <c r="AS3">
        <f>IF((gamma!AS3),VLOOKUP(AS$1,main!$A$3:$I$56,5,FALSE)-VLOOKUP($A3,main!$A$3:$I$56,6,FALSE),0)</f>
        <v>70</v>
      </c>
      <c r="AT3">
        <f>IF((gamma!AT3),VLOOKUP(AT$1,main!$A$3:$I$56,5,FALSE)-VLOOKUP($A3,main!$A$3:$I$56,6,FALSE),0)</f>
        <v>155</v>
      </c>
      <c r="AU3">
        <f>IF((gamma!AU3),VLOOKUP(AU$1,main!$A$3:$I$56,5,FALSE)-VLOOKUP($A3,main!$A$3:$I$56,6,FALSE),0)</f>
        <v>0</v>
      </c>
      <c r="AV3">
        <f>IF((gamma!AV3),VLOOKUP(AV$1,main!$A$3:$I$56,5,FALSE)-VLOOKUP($A3,main!$A$3:$I$56,6,FALSE),0)</f>
        <v>55</v>
      </c>
      <c r="AW3">
        <f>IF((gamma!AW3),VLOOKUP(AW$1,main!$A$3:$I$56,5,FALSE)-VLOOKUP($A3,main!$A$3:$I$56,6,FALSE),0)</f>
        <v>105</v>
      </c>
      <c r="AX3">
        <f>IF((gamma!AX3),VLOOKUP(AX$1,main!$A$3:$I$56,5,FALSE)-VLOOKUP($A3,main!$A$3:$I$56,6,FALSE),0)</f>
        <v>305</v>
      </c>
      <c r="AY3">
        <f>IF((gamma!AY3),VLOOKUP(AY$1,main!$A$3:$I$56,5,FALSE)-VLOOKUP($A3,main!$A$3:$I$56,6,FALSE),0)</f>
        <v>505</v>
      </c>
      <c r="AZ3">
        <f>IF((gamma!AZ3),VLOOKUP(AZ$1,main!$A$3:$I$56,5,FALSE)-VLOOKUP($A3,main!$A$3:$I$56,6,FALSE),0)</f>
        <v>0</v>
      </c>
      <c r="BA3">
        <f>IF((gamma!BA3),VLOOKUP(BA$1,main!$A$3:$I$56,5,FALSE)-VLOOKUP($A3,main!$A$3:$I$56,6,FALSE),0)</f>
        <v>70</v>
      </c>
      <c r="BB3">
        <f>IF((gamma!BB3),VLOOKUP(BB$1,main!$A$3:$I$56,5,FALSE)-VLOOKUP($A3,main!$A$3:$I$56,6,FALSE),0)</f>
        <v>85</v>
      </c>
      <c r="BC3">
        <f>IF((gamma!BC3),VLOOKUP(BC$1,main!$A$3:$I$56,5,FALSE)-VLOOKUP($A3,main!$A$3:$I$56,6,FALSE),0)</f>
        <v>270</v>
      </c>
      <c r="BD3">
        <f>IF((gamma!BD3),VLOOKUP(BD$1,main!$A$3:$I$56,5,FALSE)-VLOOKUP($A3,main!$A$3:$I$56,6,FALSE),0)</f>
        <v>280</v>
      </c>
    </row>
    <row r="4" spans="1:56" x14ac:dyDescent="0.25">
      <c r="A4">
        <f t="shared" ref="A4:A56" si="2">A3+1</f>
        <v>2</v>
      </c>
      <c r="B4">
        <v>0</v>
      </c>
      <c r="C4">
        <f>IF((gamma!C4),VLOOKUP(C$1,main!$A$3:$I$56,5,FALSE)-VLOOKUP($A4,main!$A$3:$I$56,6,FALSE),0)</f>
        <v>0</v>
      </c>
      <c r="D4">
        <f>IF((gamma!D4),VLOOKUP(D$1,main!$A$3:$I$56,5,FALSE)-VLOOKUP($A4,main!$A$3:$I$56,6,FALSE),0)</f>
        <v>0</v>
      </c>
      <c r="E4">
        <f>IF((gamma!E4),VLOOKUP(E$1,main!$A$3:$I$56,5,FALSE)-VLOOKUP($A4,main!$A$3:$I$56,6,FALSE),0)</f>
        <v>0</v>
      </c>
      <c r="F4">
        <f>IF((gamma!F4),VLOOKUP(F$1,main!$A$3:$I$56,5,FALSE)-VLOOKUP($A4,main!$A$3:$I$56,6,FALSE),0)</f>
        <v>45</v>
      </c>
      <c r="G4">
        <f>IF((gamma!G4),VLOOKUP(G$1,main!$A$3:$I$56,5,FALSE)-VLOOKUP($A4,main!$A$3:$I$56,6,FALSE),0)</f>
        <v>105</v>
      </c>
      <c r="H4">
        <f>IF((gamma!H4),VLOOKUP(H$1,main!$A$3:$I$56,5,FALSE)-VLOOKUP($A4,main!$A$3:$I$56,6,FALSE),0)</f>
        <v>165</v>
      </c>
      <c r="I4">
        <f>IF((gamma!I4),VLOOKUP(I$1,main!$A$3:$I$56,5,FALSE)-VLOOKUP($A4,main!$A$3:$I$56,6,FALSE),0)</f>
        <v>225</v>
      </c>
      <c r="J4">
        <f>IF((gamma!J4),VLOOKUP(J$1,main!$A$3:$I$56,5,FALSE)-VLOOKUP($A4,main!$A$3:$I$56,6,FALSE),0)</f>
        <v>315</v>
      </c>
      <c r="K4">
        <f>IF((gamma!K4),VLOOKUP(K$1,main!$A$3:$I$56,5,FALSE)-VLOOKUP($A4,main!$A$3:$I$56,6,FALSE),0)</f>
        <v>0</v>
      </c>
      <c r="L4">
        <f>IF((gamma!L4),VLOOKUP(L$1,main!$A$3:$I$56,5,FALSE)-VLOOKUP($A4,main!$A$3:$I$56,6,FALSE),0)</f>
        <v>0</v>
      </c>
      <c r="M4">
        <f>IF((gamma!M4),VLOOKUP(M$1,main!$A$3:$I$56,5,FALSE)-VLOOKUP($A4,main!$A$3:$I$56,6,FALSE),0)</f>
        <v>0</v>
      </c>
      <c r="N4">
        <f>IF((gamma!N4),VLOOKUP(N$1,main!$A$3:$I$56,5,FALSE)-VLOOKUP($A4,main!$A$3:$I$56,6,FALSE),0)</f>
        <v>280</v>
      </c>
      <c r="O4">
        <f>IF((gamma!O4),VLOOKUP(O$1,main!$A$3:$I$56,5,FALSE)-VLOOKUP($A4,main!$A$3:$I$56,6,FALSE),0)</f>
        <v>340</v>
      </c>
      <c r="P4">
        <f>IF((gamma!P4),VLOOKUP(P$1,main!$A$3:$I$56,5,FALSE)-VLOOKUP($A4,main!$A$3:$I$56,6,FALSE),0)</f>
        <v>0</v>
      </c>
      <c r="Q4">
        <f>IF((gamma!Q4),VLOOKUP(Q$1,main!$A$3:$I$56,5,FALSE)-VLOOKUP($A4,main!$A$3:$I$56,6,FALSE),0)</f>
        <v>0</v>
      </c>
      <c r="R4">
        <f>IF((gamma!R4),VLOOKUP(R$1,main!$A$3:$I$56,5,FALSE)-VLOOKUP($A4,main!$A$3:$I$56,6,FALSE),0)</f>
        <v>0</v>
      </c>
      <c r="S4">
        <f>IF((gamma!S4),VLOOKUP(S$1,main!$A$3:$I$56,5,FALSE)-VLOOKUP($A4,main!$A$3:$I$56,6,FALSE),0)</f>
        <v>95</v>
      </c>
      <c r="T4">
        <f>IF((gamma!T4),VLOOKUP(T$1,main!$A$3:$I$56,5,FALSE)-VLOOKUP($A4,main!$A$3:$I$56,6,FALSE),0)</f>
        <v>245</v>
      </c>
      <c r="U4">
        <f>IF((gamma!U4),VLOOKUP(U$1,main!$A$3:$I$56,5,FALSE)-VLOOKUP($A4,main!$A$3:$I$56,6,FALSE),0)</f>
        <v>0</v>
      </c>
      <c r="V4">
        <f>IF((gamma!V4),VLOOKUP(V$1,main!$A$3:$I$56,5,FALSE)-VLOOKUP($A4,main!$A$3:$I$56,6,FALSE),0)</f>
        <v>0</v>
      </c>
      <c r="W4">
        <f>IF((gamma!W4),VLOOKUP(W$1,main!$A$3:$I$56,5,FALSE)-VLOOKUP($A4,main!$A$3:$I$56,6,FALSE),0)</f>
        <v>0</v>
      </c>
      <c r="X4">
        <f>IF((gamma!X4),VLOOKUP(X$1,main!$A$3:$I$56,5,FALSE)-VLOOKUP($A4,main!$A$3:$I$56,6,FALSE),0)</f>
        <v>0</v>
      </c>
      <c r="Y4">
        <f>IF((gamma!Y4),VLOOKUP(Y$1,main!$A$3:$I$56,5,FALSE)-VLOOKUP($A4,main!$A$3:$I$56,6,FALSE),0)</f>
        <v>25</v>
      </c>
      <c r="Z4">
        <f>IF((gamma!Z4),VLOOKUP(Z$1,main!$A$3:$I$56,5,FALSE)-VLOOKUP($A4,main!$A$3:$I$56,6,FALSE),0)</f>
        <v>115</v>
      </c>
      <c r="AA4">
        <f>IF((gamma!AA4),VLOOKUP(AA$1,main!$A$3:$I$56,5,FALSE)-VLOOKUP($A4,main!$A$3:$I$56,6,FALSE),0)</f>
        <v>205</v>
      </c>
      <c r="AB4">
        <f>IF((gamma!AB4),VLOOKUP(AB$1,main!$A$3:$I$56,5,FALSE)-VLOOKUP($A4,main!$A$3:$I$56,6,FALSE),0)</f>
        <v>265</v>
      </c>
      <c r="AC4">
        <f>IF((gamma!AC4),VLOOKUP(AC$1,main!$A$3:$I$56,5,FALSE)-VLOOKUP($A4,main!$A$3:$I$56,6,FALSE),0)</f>
        <v>0</v>
      </c>
      <c r="AD4">
        <f>IF((gamma!AD4),VLOOKUP(AD$1,main!$A$3:$I$56,5,FALSE)-VLOOKUP($A4,main!$A$3:$I$56,6,FALSE),0)</f>
        <v>0</v>
      </c>
      <c r="AE4">
        <f>IF((gamma!AE4),VLOOKUP(AE$1,main!$A$3:$I$56,5,FALSE)-VLOOKUP($A4,main!$A$3:$I$56,6,FALSE),0)</f>
        <v>0</v>
      </c>
      <c r="AF4">
        <f>IF((gamma!AF4),VLOOKUP(AF$1,main!$A$3:$I$56,5,FALSE)-VLOOKUP($A4,main!$A$3:$I$56,6,FALSE),0)</f>
        <v>75</v>
      </c>
      <c r="AG4">
        <f>IF((gamma!AG4),VLOOKUP(AG$1,main!$A$3:$I$56,5,FALSE)-VLOOKUP($A4,main!$A$3:$I$56,6,FALSE),0)</f>
        <v>0</v>
      </c>
      <c r="AH4">
        <f>IF((gamma!AH4),VLOOKUP(AH$1,main!$A$3:$I$56,5,FALSE)-VLOOKUP($A4,main!$A$3:$I$56,6,FALSE),0)</f>
        <v>0</v>
      </c>
      <c r="AI4">
        <f>IF((gamma!AI4),VLOOKUP(AI$1,main!$A$3:$I$56,5,FALSE)-VLOOKUP($A4,main!$A$3:$I$56,6,FALSE),0)</f>
        <v>0</v>
      </c>
      <c r="AJ4">
        <f>IF((gamma!AJ4),VLOOKUP(AJ$1,main!$A$3:$I$56,5,FALSE)-VLOOKUP($A4,main!$A$3:$I$56,6,FALSE),0)</f>
        <v>45</v>
      </c>
      <c r="AK4">
        <f>IF((gamma!AK4),VLOOKUP(AK$1,main!$A$3:$I$56,5,FALSE)-VLOOKUP($A4,main!$A$3:$I$56,6,FALSE),0)</f>
        <v>165</v>
      </c>
      <c r="AL4">
        <f>IF((gamma!AL4),VLOOKUP(AL$1,main!$A$3:$I$56,5,FALSE)-VLOOKUP($A4,main!$A$3:$I$56,6,FALSE),0)</f>
        <v>0</v>
      </c>
      <c r="AM4">
        <f>IF((gamma!AM4),VLOOKUP(AM$1,main!$A$3:$I$56,5,FALSE)-VLOOKUP($A4,main!$A$3:$I$56,6,FALSE),0)</f>
        <v>0</v>
      </c>
      <c r="AN4">
        <f>IF((gamma!AN4),VLOOKUP(AN$1,main!$A$3:$I$56,5,FALSE)-VLOOKUP($A4,main!$A$3:$I$56,6,FALSE),0)</f>
        <v>0</v>
      </c>
      <c r="AO4">
        <f>IF((gamma!AO4),VLOOKUP(AO$1,main!$A$3:$I$56,5,FALSE)-VLOOKUP($A4,main!$A$3:$I$56,6,FALSE),0)</f>
        <v>75</v>
      </c>
      <c r="AP4">
        <f>IF((gamma!AP4),VLOOKUP(AP$1,main!$A$3:$I$56,5,FALSE)-VLOOKUP($A4,main!$A$3:$I$56,6,FALSE),0)</f>
        <v>0</v>
      </c>
      <c r="AQ4">
        <f>IF((gamma!AQ4),VLOOKUP(AQ$1,main!$A$3:$I$56,5,FALSE)-VLOOKUP($A4,main!$A$3:$I$56,6,FALSE),0)</f>
        <v>0</v>
      </c>
      <c r="AR4">
        <f>IF((gamma!AR4),VLOOKUP(AR$1,main!$A$3:$I$56,5,FALSE)-VLOOKUP($A4,main!$A$3:$I$56,6,FALSE),0)</f>
        <v>0</v>
      </c>
      <c r="AS4">
        <f>IF((gamma!AS4),VLOOKUP(AS$1,main!$A$3:$I$56,5,FALSE)-VLOOKUP($A4,main!$A$3:$I$56,6,FALSE),0)</f>
        <v>0</v>
      </c>
      <c r="AT4">
        <f>IF((gamma!AT4),VLOOKUP(AT$1,main!$A$3:$I$56,5,FALSE)-VLOOKUP($A4,main!$A$3:$I$56,6,FALSE),0)</f>
        <v>0</v>
      </c>
      <c r="AU4">
        <f>IF((gamma!AU4),VLOOKUP(AU$1,main!$A$3:$I$56,5,FALSE)-VLOOKUP($A4,main!$A$3:$I$56,6,FALSE),0)</f>
        <v>0</v>
      </c>
      <c r="AV4">
        <f>IF((gamma!AV4),VLOOKUP(AV$1,main!$A$3:$I$56,5,FALSE)-VLOOKUP($A4,main!$A$3:$I$56,6,FALSE),0)</f>
        <v>0</v>
      </c>
      <c r="AW4">
        <f>IF((gamma!AW4),VLOOKUP(AW$1,main!$A$3:$I$56,5,FALSE)-VLOOKUP($A4,main!$A$3:$I$56,6,FALSE),0)</f>
        <v>0</v>
      </c>
      <c r="AX4">
        <f>IF((gamma!AX4),VLOOKUP(AX$1,main!$A$3:$I$56,5,FALSE)-VLOOKUP($A4,main!$A$3:$I$56,6,FALSE),0)</f>
        <v>125</v>
      </c>
      <c r="AY4">
        <f>IF((gamma!AY4),VLOOKUP(AY$1,main!$A$3:$I$56,5,FALSE)-VLOOKUP($A4,main!$A$3:$I$56,6,FALSE),0)</f>
        <v>325</v>
      </c>
      <c r="AZ4">
        <f>IF((gamma!AZ4),VLOOKUP(AZ$1,main!$A$3:$I$56,5,FALSE)-VLOOKUP($A4,main!$A$3:$I$56,6,FALSE),0)</f>
        <v>0</v>
      </c>
      <c r="BA4">
        <f>IF((gamma!BA4),VLOOKUP(BA$1,main!$A$3:$I$56,5,FALSE)-VLOOKUP($A4,main!$A$3:$I$56,6,FALSE),0)</f>
        <v>0</v>
      </c>
      <c r="BB4">
        <f>IF((gamma!BB4),VLOOKUP(BB$1,main!$A$3:$I$56,5,FALSE)-VLOOKUP($A4,main!$A$3:$I$56,6,FALSE),0)</f>
        <v>0</v>
      </c>
      <c r="BC4">
        <f>IF((gamma!BC4),VLOOKUP(BC$1,main!$A$3:$I$56,5,FALSE)-VLOOKUP($A4,main!$A$3:$I$56,6,FALSE),0)</f>
        <v>90</v>
      </c>
      <c r="BD4">
        <f>IF((gamma!BD4),VLOOKUP(BD$1,main!$A$3:$I$56,5,FALSE)-VLOOKUP($A4,main!$A$3:$I$56,6,FALSE),0)</f>
        <v>100</v>
      </c>
    </row>
    <row r="5" spans="1:56" x14ac:dyDescent="0.25">
      <c r="A5">
        <f t="shared" si="2"/>
        <v>3</v>
      </c>
      <c r="B5">
        <v>0</v>
      </c>
      <c r="C5">
        <f>IF((gamma!C5),VLOOKUP(C$1,main!$A$3:$I$56,5,FALSE)-VLOOKUP($A5,main!$A$3:$I$56,6,FALSE),0)</f>
        <v>0</v>
      </c>
      <c r="D5">
        <f>IF((gamma!D5),VLOOKUP(D$1,main!$A$3:$I$56,5,FALSE)-VLOOKUP($A5,main!$A$3:$I$56,6,FALSE),0)</f>
        <v>0</v>
      </c>
      <c r="E5">
        <f>IF((gamma!E5),VLOOKUP(E$1,main!$A$3:$I$56,5,FALSE)-VLOOKUP($A5,main!$A$3:$I$56,6,FALSE),0)</f>
        <v>0</v>
      </c>
      <c r="F5">
        <f>IF((gamma!F5),VLOOKUP(F$1,main!$A$3:$I$56,5,FALSE)-VLOOKUP($A5,main!$A$3:$I$56,6,FALSE),0)</f>
        <v>0</v>
      </c>
      <c r="G5">
        <f>IF((gamma!G5),VLOOKUP(G$1,main!$A$3:$I$56,5,FALSE)-VLOOKUP($A5,main!$A$3:$I$56,6,FALSE),0)</f>
        <v>0</v>
      </c>
      <c r="H5">
        <f>IF((gamma!H5),VLOOKUP(H$1,main!$A$3:$I$56,5,FALSE)-VLOOKUP($A5,main!$A$3:$I$56,6,FALSE),0)</f>
        <v>75</v>
      </c>
      <c r="I5">
        <f>IF((gamma!I5),VLOOKUP(I$1,main!$A$3:$I$56,5,FALSE)-VLOOKUP($A5,main!$A$3:$I$56,6,FALSE),0)</f>
        <v>135</v>
      </c>
      <c r="J5">
        <f>IF((gamma!J5),VLOOKUP(J$1,main!$A$3:$I$56,5,FALSE)-VLOOKUP($A5,main!$A$3:$I$56,6,FALSE),0)</f>
        <v>225</v>
      </c>
      <c r="K5">
        <f>IF((gamma!K5),VLOOKUP(K$1,main!$A$3:$I$56,5,FALSE)-VLOOKUP($A5,main!$A$3:$I$56,6,FALSE),0)</f>
        <v>0</v>
      </c>
      <c r="L5">
        <f>IF((gamma!L5),VLOOKUP(L$1,main!$A$3:$I$56,5,FALSE)-VLOOKUP($A5,main!$A$3:$I$56,6,FALSE),0)</f>
        <v>0</v>
      </c>
      <c r="M5">
        <f>IF((gamma!M5),VLOOKUP(M$1,main!$A$3:$I$56,5,FALSE)-VLOOKUP($A5,main!$A$3:$I$56,6,FALSE),0)</f>
        <v>0</v>
      </c>
      <c r="N5">
        <f>IF((gamma!N5),VLOOKUP(N$1,main!$A$3:$I$56,5,FALSE)-VLOOKUP($A5,main!$A$3:$I$56,6,FALSE),0)</f>
        <v>190</v>
      </c>
      <c r="O5">
        <f>IF((gamma!O5),VLOOKUP(O$1,main!$A$3:$I$56,5,FALSE)-VLOOKUP($A5,main!$A$3:$I$56,6,FALSE),0)</f>
        <v>250</v>
      </c>
      <c r="P5">
        <f>IF((gamma!P5),VLOOKUP(P$1,main!$A$3:$I$56,5,FALSE)-VLOOKUP($A5,main!$A$3:$I$56,6,FALSE),0)</f>
        <v>0</v>
      </c>
      <c r="Q5">
        <f>IF((gamma!Q5),VLOOKUP(Q$1,main!$A$3:$I$56,5,FALSE)-VLOOKUP($A5,main!$A$3:$I$56,6,FALSE),0)</f>
        <v>0</v>
      </c>
      <c r="R5">
        <f>IF((gamma!R5),VLOOKUP(R$1,main!$A$3:$I$56,5,FALSE)-VLOOKUP($A5,main!$A$3:$I$56,6,FALSE),0)</f>
        <v>0</v>
      </c>
      <c r="S5">
        <f>IF((gamma!S5),VLOOKUP(S$1,main!$A$3:$I$56,5,FALSE)-VLOOKUP($A5,main!$A$3:$I$56,6,FALSE),0)</f>
        <v>0</v>
      </c>
      <c r="T5">
        <f>IF((gamma!T5),VLOOKUP(T$1,main!$A$3:$I$56,5,FALSE)-VLOOKUP($A5,main!$A$3:$I$56,6,FALSE),0)</f>
        <v>155</v>
      </c>
      <c r="U5">
        <f>IF((gamma!U5),VLOOKUP(U$1,main!$A$3:$I$56,5,FALSE)-VLOOKUP($A5,main!$A$3:$I$56,6,FALSE),0)</f>
        <v>0</v>
      </c>
      <c r="V5">
        <f>IF((gamma!V5),VLOOKUP(V$1,main!$A$3:$I$56,5,FALSE)-VLOOKUP($A5,main!$A$3:$I$56,6,FALSE),0)</f>
        <v>0</v>
      </c>
      <c r="W5">
        <f>IF((gamma!W5),VLOOKUP(W$1,main!$A$3:$I$56,5,FALSE)-VLOOKUP($A5,main!$A$3:$I$56,6,FALSE),0)</f>
        <v>0</v>
      </c>
      <c r="X5">
        <f>IF((gamma!X5),VLOOKUP(X$1,main!$A$3:$I$56,5,FALSE)-VLOOKUP($A5,main!$A$3:$I$56,6,FALSE),0)</f>
        <v>0</v>
      </c>
      <c r="Y5">
        <f>IF((gamma!Y5),VLOOKUP(Y$1,main!$A$3:$I$56,5,FALSE)-VLOOKUP($A5,main!$A$3:$I$56,6,FALSE),0)</f>
        <v>0</v>
      </c>
      <c r="Z5">
        <f>IF((gamma!Z5),VLOOKUP(Z$1,main!$A$3:$I$56,5,FALSE)-VLOOKUP($A5,main!$A$3:$I$56,6,FALSE),0)</f>
        <v>25</v>
      </c>
      <c r="AA5">
        <f>IF((gamma!AA5),VLOOKUP(AA$1,main!$A$3:$I$56,5,FALSE)-VLOOKUP($A5,main!$A$3:$I$56,6,FALSE),0)</f>
        <v>115</v>
      </c>
      <c r="AB5">
        <f>IF((gamma!AB5),VLOOKUP(AB$1,main!$A$3:$I$56,5,FALSE)-VLOOKUP($A5,main!$A$3:$I$56,6,FALSE),0)</f>
        <v>175</v>
      </c>
      <c r="AC5">
        <f>IF((gamma!AC5),VLOOKUP(AC$1,main!$A$3:$I$56,5,FALSE)-VLOOKUP($A5,main!$A$3:$I$56,6,FALSE),0)</f>
        <v>0</v>
      </c>
      <c r="AD5">
        <f>IF((gamma!AD5),VLOOKUP(AD$1,main!$A$3:$I$56,5,FALSE)-VLOOKUP($A5,main!$A$3:$I$56,6,FALSE),0)</f>
        <v>0</v>
      </c>
      <c r="AE5">
        <f>IF((gamma!AE5),VLOOKUP(AE$1,main!$A$3:$I$56,5,FALSE)-VLOOKUP($A5,main!$A$3:$I$56,6,FALSE),0)</f>
        <v>0</v>
      </c>
      <c r="AF5">
        <f>IF((gamma!AF5),VLOOKUP(AF$1,main!$A$3:$I$56,5,FALSE)-VLOOKUP($A5,main!$A$3:$I$56,6,FALSE),0)</f>
        <v>0</v>
      </c>
      <c r="AG5">
        <f>IF((gamma!AG5),VLOOKUP(AG$1,main!$A$3:$I$56,5,FALSE)-VLOOKUP($A5,main!$A$3:$I$56,6,FALSE),0)</f>
        <v>0</v>
      </c>
      <c r="AH5">
        <f>IF((gamma!AH5),VLOOKUP(AH$1,main!$A$3:$I$56,5,FALSE)-VLOOKUP($A5,main!$A$3:$I$56,6,FALSE),0)</f>
        <v>0</v>
      </c>
      <c r="AI5">
        <f>IF((gamma!AI5),VLOOKUP(AI$1,main!$A$3:$I$56,5,FALSE)-VLOOKUP($A5,main!$A$3:$I$56,6,FALSE),0)</f>
        <v>0</v>
      </c>
      <c r="AJ5">
        <f>IF((gamma!AJ5),VLOOKUP(AJ$1,main!$A$3:$I$56,5,FALSE)-VLOOKUP($A5,main!$A$3:$I$56,6,FALSE),0)</f>
        <v>0</v>
      </c>
      <c r="AK5">
        <f>IF((gamma!AK5),VLOOKUP(AK$1,main!$A$3:$I$56,5,FALSE)-VLOOKUP($A5,main!$A$3:$I$56,6,FALSE),0)</f>
        <v>75</v>
      </c>
      <c r="AL5">
        <f>IF((gamma!AL5),VLOOKUP(AL$1,main!$A$3:$I$56,5,FALSE)-VLOOKUP($A5,main!$A$3:$I$56,6,FALSE),0)</f>
        <v>0</v>
      </c>
      <c r="AM5">
        <f>IF((gamma!AM5),VLOOKUP(AM$1,main!$A$3:$I$56,5,FALSE)-VLOOKUP($A5,main!$A$3:$I$56,6,FALSE),0)</f>
        <v>0</v>
      </c>
      <c r="AN5">
        <f>IF((gamma!AN5),VLOOKUP(AN$1,main!$A$3:$I$56,5,FALSE)-VLOOKUP($A5,main!$A$3:$I$56,6,FALSE),0)</f>
        <v>0</v>
      </c>
      <c r="AO5">
        <f>IF((gamma!AO5),VLOOKUP(AO$1,main!$A$3:$I$56,5,FALSE)-VLOOKUP($A5,main!$A$3:$I$56,6,FALSE),0)</f>
        <v>0</v>
      </c>
      <c r="AP5">
        <f>IF((gamma!AP5),VLOOKUP(AP$1,main!$A$3:$I$56,5,FALSE)-VLOOKUP($A5,main!$A$3:$I$56,6,FALSE),0)</f>
        <v>0</v>
      </c>
      <c r="AQ5">
        <f>IF((gamma!AQ5),VLOOKUP(AQ$1,main!$A$3:$I$56,5,FALSE)-VLOOKUP($A5,main!$A$3:$I$56,6,FALSE),0)</f>
        <v>0</v>
      </c>
      <c r="AR5">
        <f>IF((gamma!AR5),VLOOKUP(AR$1,main!$A$3:$I$56,5,FALSE)-VLOOKUP($A5,main!$A$3:$I$56,6,FALSE),0)</f>
        <v>0</v>
      </c>
      <c r="AS5">
        <f>IF((gamma!AS5),VLOOKUP(AS$1,main!$A$3:$I$56,5,FALSE)-VLOOKUP($A5,main!$A$3:$I$56,6,FALSE),0)</f>
        <v>0</v>
      </c>
      <c r="AT5">
        <f>IF((gamma!AT5),VLOOKUP(AT$1,main!$A$3:$I$56,5,FALSE)-VLOOKUP($A5,main!$A$3:$I$56,6,FALSE),0)</f>
        <v>0</v>
      </c>
      <c r="AU5">
        <f>IF((gamma!AU5),VLOOKUP(AU$1,main!$A$3:$I$56,5,FALSE)-VLOOKUP($A5,main!$A$3:$I$56,6,FALSE),0)</f>
        <v>0</v>
      </c>
      <c r="AV5">
        <f>IF((gamma!AV5),VLOOKUP(AV$1,main!$A$3:$I$56,5,FALSE)-VLOOKUP($A5,main!$A$3:$I$56,6,FALSE),0)</f>
        <v>0</v>
      </c>
      <c r="AW5">
        <f>IF((gamma!AW5),VLOOKUP(AW$1,main!$A$3:$I$56,5,FALSE)-VLOOKUP($A5,main!$A$3:$I$56,6,FALSE),0)</f>
        <v>0</v>
      </c>
      <c r="AX5">
        <f>IF((gamma!AX5),VLOOKUP(AX$1,main!$A$3:$I$56,5,FALSE)-VLOOKUP($A5,main!$A$3:$I$56,6,FALSE),0)</f>
        <v>0</v>
      </c>
      <c r="AY5">
        <f>IF((gamma!AY5),VLOOKUP(AY$1,main!$A$3:$I$56,5,FALSE)-VLOOKUP($A5,main!$A$3:$I$56,6,FALSE),0)</f>
        <v>235</v>
      </c>
      <c r="AZ5">
        <f>IF((gamma!AZ5),VLOOKUP(AZ$1,main!$A$3:$I$56,5,FALSE)-VLOOKUP($A5,main!$A$3:$I$56,6,FALSE),0)</f>
        <v>0</v>
      </c>
      <c r="BA5">
        <f>IF((gamma!BA5),VLOOKUP(BA$1,main!$A$3:$I$56,5,FALSE)-VLOOKUP($A5,main!$A$3:$I$56,6,FALSE),0)</f>
        <v>0</v>
      </c>
      <c r="BB5">
        <f>IF((gamma!BB5),VLOOKUP(BB$1,main!$A$3:$I$56,5,FALSE)-VLOOKUP($A5,main!$A$3:$I$56,6,FALSE),0)</f>
        <v>0</v>
      </c>
      <c r="BC5">
        <f>IF((gamma!BC5),VLOOKUP(BC$1,main!$A$3:$I$56,5,FALSE)-VLOOKUP($A5,main!$A$3:$I$56,6,FALSE),0)</f>
        <v>0</v>
      </c>
      <c r="BD5">
        <f>IF((gamma!BD5),VLOOKUP(BD$1,main!$A$3:$I$56,5,FALSE)-VLOOKUP($A5,main!$A$3:$I$56,6,FALSE),0)</f>
        <v>0</v>
      </c>
    </row>
    <row r="6" spans="1:56" x14ac:dyDescent="0.25">
      <c r="A6">
        <f t="shared" si="2"/>
        <v>4</v>
      </c>
      <c r="B6">
        <v>0</v>
      </c>
      <c r="C6">
        <f>IF((gamma!C6),VLOOKUP(C$1,main!$A$3:$I$56,5,FALSE)-VLOOKUP($A6,main!$A$3:$I$56,6,FALSE),0)</f>
        <v>0</v>
      </c>
      <c r="D6">
        <f>IF((gamma!D6),VLOOKUP(D$1,main!$A$3:$I$56,5,FALSE)-VLOOKUP($A6,main!$A$3:$I$56,6,FALSE),0)</f>
        <v>0</v>
      </c>
      <c r="E6">
        <f>IF((gamma!E6),VLOOKUP(E$1,main!$A$3:$I$56,5,FALSE)-VLOOKUP($A6,main!$A$3:$I$56,6,FALSE),0)</f>
        <v>0</v>
      </c>
      <c r="F6">
        <f>IF((gamma!F6),VLOOKUP(F$1,main!$A$3:$I$56,5,FALSE)-VLOOKUP($A6,main!$A$3:$I$56,6,FALSE),0)</f>
        <v>0</v>
      </c>
      <c r="G6">
        <f>IF((gamma!G6),VLOOKUP(G$1,main!$A$3:$I$56,5,FALSE)-VLOOKUP($A6,main!$A$3:$I$56,6,FALSE),0)</f>
        <v>0</v>
      </c>
      <c r="H6">
        <f>IF((gamma!H6),VLOOKUP(H$1,main!$A$3:$I$56,5,FALSE)-VLOOKUP($A6,main!$A$3:$I$56,6,FALSE),0)</f>
        <v>0</v>
      </c>
      <c r="I6">
        <f>IF((gamma!I6),VLOOKUP(I$1,main!$A$3:$I$56,5,FALSE)-VLOOKUP($A6,main!$A$3:$I$56,6,FALSE),0)</f>
        <v>45</v>
      </c>
      <c r="J6">
        <f>IF((gamma!J6),VLOOKUP(J$1,main!$A$3:$I$56,5,FALSE)-VLOOKUP($A6,main!$A$3:$I$56,6,FALSE),0)</f>
        <v>135</v>
      </c>
      <c r="K6">
        <f>IF((gamma!K6),VLOOKUP(K$1,main!$A$3:$I$56,5,FALSE)-VLOOKUP($A6,main!$A$3:$I$56,6,FALSE),0)</f>
        <v>0</v>
      </c>
      <c r="L6">
        <f>IF((gamma!L6),VLOOKUP(L$1,main!$A$3:$I$56,5,FALSE)-VLOOKUP($A6,main!$A$3:$I$56,6,FALSE),0)</f>
        <v>0</v>
      </c>
      <c r="M6">
        <f>IF((gamma!M6),VLOOKUP(M$1,main!$A$3:$I$56,5,FALSE)-VLOOKUP($A6,main!$A$3:$I$56,6,FALSE),0)</f>
        <v>0</v>
      </c>
      <c r="N6">
        <f>IF((gamma!N6),VLOOKUP(N$1,main!$A$3:$I$56,5,FALSE)-VLOOKUP($A6,main!$A$3:$I$56,6,FALSE),0)</f>
        <v>100</v>
      </c>
      <c r="O6">
        <f>IF((gamma!O6),VLOOKUP(O$1,main!$A$3:$I$56,5,FALSE)-VLOOKUP($A6,main!$A$3:$I$56,6,FALSE),0)</f>
        <v>160</v>
      </c>
      <c r="P6">
        <f>IF((gamma!P6),VLOOKUP(P$1,main!$A$3:$I$56,5,FALSE)-VLOOKUP($A6,main!$A$3:$I$56,6,FALSE),0)</f>
        <v>0</v>
      </c>
      <c r="Q6">
        <f>IF((gamma!Q6),VLOOKUP(Q$1,main!$A$3:$I$56,5,FALSE)-VLOOKUP($A6,main!$A$3:$I$56,6,FALSE),0)</f>
        <v>0</v>
      </c>
      <c r="R6">
        <f>IF((gamma!R6),VLOOKUP(R$1,main!$A$3:$I$56,5,FALSE)-VLOOKUP($A6,main!$A$3:$I$56,6,FALSE),0)</f>
        <v>0</v>
      </c>
      <c r="S6">
        <f>IF((gamma!S6),VLOOKUP(S$1,main!$A$3:$I$56,5,FALSE)-VLOOKUP($A6,main!$A$3:$I$56,6,FALSE),0)</f>
        <v>0</v>
      </c>
      <c r="T6">
        <f>IF((gamma!T6),VLOOKUP(T$1,main!$A$3:$I$56,5,FALSE)-VLOOKUP($A6,main!$A$3:$I$56,6,FALSE),0)</f>
        <v>65</v>
      </c>
      <c r="U6">
        <f>IF((gamma!U6),VLOOKUP(U$1,main!$A$3:$I$56,5,FALSE)-VLOOKUP($A6,main!$A$3:$I$56,6,FALSE),0)</f>
        <v>0</v>
      </c>
      <c r="V6">
        <f>IF((gamma!V6),VLOOKUP(V$1,main!$A$3:$I$56,5,FALSE)-VLOOKUP($A6,main!$A$3:$I$56,6,FALSE),0)</f>
        <v>0</v>
      </c>
      <c r="W6">
        <f>IF((gamma!W6),VLOOKUP(W$1,main!$A$3:$I$56,5,FALSE)-VLOOKUP($A6,main!$A$3:$I$56,6,FALSE),0)</f>
        <v>0</v>
      </c>
      <c r="X6">
        <f>IF((gamma!X6),VLOOKUP(X$1,main!$A$3:$I$56,5,FALSE)-VLOOKUP($A6,main!$A$3:$I$56,6,FALSE),0)</f>
        <v>0</v>
      </c>
      <c r="Y6">
        <f>IF((gamma!Y6),VLOOKUP(Y$1,main!$A$3:$I$56,5,FALSE)-VLOOKUP($A6,main!$A$3:$I$56,6,FALSE),0)</f>
        <v>0</v>
      </c>
      <c r="Z6">
        <f>IF((gamma!Z6),VLOOKUP(Z$1,main!$A$3:$I$56,5,FALSE)-VLOOKUP($A6,main!$A$3:$I$56,6,FALSE),0)</f>
        <v>0</v>
      </c>
      <c r="AA6">
        <f>IF((gamma!AA6),VLOOKUP(AA$1,main!$A$3:$I$56,5,FALSE)-VLOOKUP($A6,main!$A$3:$I$56,6,FALSE),0)</f>
        <v>25</v>
      </c>
      <c r="AB6">
        <f>IF((gamma!AB6),VLOOKUP(AB$1,main!$A$3:$I$56,5,FALSE)-VLOOKUP($A6,main!$A$3:$I$56,6,FALSE),0)</f>
        <v>85</v>
      </c>
      <c r="AC6">
        <f>IF((gamma!AC6),VLOOKUP(AC$1,main!$A$3:$I$56,5,FALSE)-VLOOKUP($A6,main!$A$3:$I$56,6,FALSE),0)</f>
        <v>0</v>
      </c>
      <c r="AD6">
        <f>IF((gamma!AD6),VLOOKUP(AD$1,main!$A$3:$I$56,5,FALSE)-VLOOKUP($A6,main!$A$3:$I$56,6,FALSE),0)</f>
        <v>0</v>
      </c>
      <c r="AE6">
        <f>IF((gamma!AE6),VLOOKUP(AE$1,main!$A$3:$I$56,5,FALSE)-VLOOKUP($A6,main!$A$3:$I$56,6,FALSE),0)</f>
        <v>0</v>
      </c>
      <c r="AF6">
        <f>IF((gamma!AF6),VLOOKUP(AF$1,main!$A$3:$I$56,5,FALSE)-VLOOKUP($A6,main!$A$3:$I$56,6,FALSE),0)</f>
        <v>0</v>
      </c>
      <c r="AG6">
        <f>IF((gamma!AG6),VLOOKUP(AG$1,main!$A$3:$I$56,5,FALSE)-VLOOKUP($A6,main!$A$3:$I$56,6,FALSE),0)</f>
        <v>0</v>
      </c>
      <c r="AH6">
        <f>IF((gamma!AH6),VLOOKUP(AH$1,main!$A$3:$I$56,5,FALSE)-VLOOKUP($A6,main!$A$3:$I$56,6,FALSE),0)</f>
        <v>0</v>
      </c>
      <c r="AI6">
        <f>IF((gamma!AI6),VLOOKUP(AI$1,main!$A$3:$I$56,5,FALSE)-VLOOKUP($A6,main!$A$3:$I$56,6,FALSE),0)</f>
        <v>0</v>
      </c>
      <c r="AJ6">
        <f>IF((gamma!AJ6),VLOOKUP(AJ$1,main!$A$3:$I$56,5,FALSE)-VLOOKUP($A6,main!$A$3:$I$56,6,FALSE),0)</f>
        <v>0</v>
      </c>
      <c r="AK6">
        <f>IF((gamma!AK6),VLOOKUP(AK$1,main!$A$3:$I$56,5,FALSE)-VLOOKUP($A6,main!$A$3:$I$56,6,FALSE),0)</f>
        <v>0</v>
      </c>
      <c r="AL6">
        <f>IF((gamma!AL6),VLOOKUP(AL$1,main!$A$3:$I$56,5,FALSE)-VLOOKUP($A6,main!$A$3:$I$56,6,FALSE),0)</f>
        <v>0</v>
      </c>
      <c r="AM6">
        <f>IF((gamma!AM6),VLOOKUP(AM$1,main!$A$3:$I$56,5,FALSE)-VLOOKUP($A6,main!$A$3:$I$56,6,FALSE),0)</f>
        <v>0</v>
      </c>
      <c r="AN6">
        <f>IF((gamma!AN6),VLOOKUP(AN$1,main!$A$3:$I$56,5,FALSE)-VLOOKUP($A6,main!$A$3:$I$56,6,FALSE),0)</f>
        <v>0</v>
      </c>
      <c r="AO6">
        <f>IF((gamma!AO6),VLOOKUP(AO$1,main!$A$3:$I$56,5,FALSE)-VLOOKUP($A6,main!$A$3:$I$56,6,FALSE),0)</f>
        <v>0</v>
      </c>
      <c r="AP6">
        <f>IF((gamma!AP6),VLOOKUP(AP$1,main!$A$3:$I$56,5,FALSE)-VLOOKUP($A6,main!$A$3:$I$56,6,FALSE),0)</f>
        <v>0</v>
      </c>
      <c r="AQ6">
        <f>IF((gamma!AQ6),VLOOKUP(AQ$1,main!$A$3:$I$56,5,FALSE)-VLOOKUP($A6,main!$A$3:$I$56,6,FALSE),0)</f>
        <v>0</v>
      </c>
      <c r="AR6">
        <f>IF((gamma!AR6),VLOOKUP(AR$1,main!$A$3:$I$56,5,FALSE)-VLOOKUP($A6,main!$A$3:$I$56,6,FALSE),0)</f>
        <v>0</v>
      </c>
      <c r="AS6">
        <f>IF((gamma!AS6),VLOOKUP(AS$1,main!$A$3:$I$56,5,FALSE)-VLOOKUP($A6,main!$A$3:$I$56,6,FALSE),0)</f>
        <v>0</v>
      </c>
      <c r="AT6">
        <f>IF((gamma!AT6),VLOOKUP(AT$1,main!$A$3:$I$56,5,FALSE)-VLOOKUP($A6,main!$A$3:$I$56,6,FALSE),0)</f>
        <v>0</v>
      </c>
      <c r="AU6">
        <f>IF((gamma!AU6),VLOOKUP(AU$1,main!$A$3:$I$56,5,FALSE)-VLOOKUP($A6,main!$A$3:$I$56,6,FALSE),0)</f>
        <v>0</v>
      </c>
      <c r="AV6">
        <f>IF((gamma!AV6),VLOOKUP(AV$1,main!$A$3:$I$56,5,FALSE)-VLOOKUP($A6,main!$A$3:$I$56,6,FALSE),0)</f>
        <v>0</v>
      </c>
      <c r="AW6">
        <f>IF((gamma!AW6),VLOOKUP(AW$1,main!$A$3:$I$56,5,FALSE)-VLOOKUP($A6,main!$A$3:$I$56,6,FALSE),0)</f>
        <v>0</v>
      </c>
      <c r="AX6">
        <f>IF((gamma!AX6),VLOOKUP(AX$1,main!$A$3:$I$56,5,FALSE)-VLOOKUP($A6,main!$A$3:$I$56,6,FALSE),0)</f>
        <v>0</v>
      </c>
      <c r="AY6">
        <f>IF((gamma!AY6),VLOOKUP(AY$1,main!$A$3:$I$56,5,FALSE)-VLOOKUP($A6,main!$A$3:$I$56,6,FALSE),0)</f>
        <v>145</v>
      </c>
      <c r="AZ6">
        <f>IF((gamma!AZ6),VLOOKUP(AZ$1,main!$A$3:$I$56,5,FALSE)-VLOOKUP($A6,main!$A$3:$I$56,6,FALSE),0)</f>
        <v>0</v>
      </c>
      <c r="BA6">
        <f>IF((gamma!BA6),VLOOKUP(BA$1,main!$A$3:$I$56,5,FALSE)-VLOOKUP($A6,main!$A$3:$I$56,6,FALSE),0)</f>
        <v>0</v>
      </c>
      <c r="BB6">
        <f>IF((gamma!BB6),VLOOKUP(BB$1,main!$A$3:$I$56,5,FALSE)-VLOOKUP($A6,main!$A$3:$I$56,6,FALSE),0)</f>
        <v>0</v>
      </c>
      <c r="BC6">
        <f>IF((gamma!BC6),VLOOKUP(BC$1,main!$A$3:$I$56,5,FALSE)-VLOOKUP($A6,main!$A$3:$I$56,6,FALSE),0)</f>
        <v>0</v>
      </c>
      <c r="BD6">
        <f>IF((gamma!BD6),VLOOKUP(BD$1,main!$A$3:$I$56,5,FALSE)-VLOOKUP($A6,main!$A$3:$I$56,6,FALSE),0)</f>
        <v>0</v>
      </c>
    </row>
    <row r="7" spans="1:56" x14ac:dyDescent="0.25">
      <c r="A7">
        <f t="shared" si="2"/>
        <v>5</v>
      </c>
      <c r="B7">
        <v>0</v>
      </c>
      <c r="C7">
        <f>IF((gamma!C7),VLOOKUP(C$1,main!$A$3:$I$56,5,FALSE)-VLOOKUP($A7,main!$A$3:$I$56,6,FALSE),0)</f>
        <v>0</v>
      </c>
      <c r="D7">
        <f>IF((gamma!D7),VLOOKUP(D$1,main!$A$3:$I$56,5,FALSE)-VLOOKUP($A7,main!$A$3:$I$56,6,FALSE),0)</f>
        <v>0</v>
      </c>
      <c r="E7">
        <f>IF((gamma!E7),VLOOKUP(E$1,main!$A$3:$I$56,5,FALSE)-VLOOKUP($A7,main!$A$3:$I$56,6,FALSE),0)</f>
        <v>0</v>
      </c>
      <c r="F7">
        <f>IF((gamma!F7),VLOOKUP(F$1,main!$A$3:$I$56,5,FALSE)-VLOOKUP($A7,main!$A$3:$I$56,6,FALSE),0)</f>
        <v>0</v>
      </c>
      <c r="G7">
        <f>IF((gamma!G7),VLOOKUP(G$1,main!$A$3:$I$56,5,FALSE)-VLOOKUP($A7,main!$A$3:$I$56,6,FALSE),0)</f>
        <v>0</v>
      </c>
      <c r="H7">
        <f>IF((gamma!H7),VLOOKUP(H$1,main!$A$3:$I$56,5,FALSE)-VLOOKUP($A7,main!$A$3:$I$56,6,FALSE),0)</f>
        <v>0</v>
      </c>
      <c r="I7">
        <f>IF((gamma!I7),VLOOKUP(I$1,main!$A$3:$I$56,5,FALSE)-VLOOKUP($A7,main!$A$3:$I$56,6,FALSE),0)</f>
        <v>0</v>
      </c>
      <c r="J7">
        <f>IF((gamma!J7),VLOOKUP(J$1,main!$A$3:$I$56,5,FALSE)-VLOOKUP($A7,main!$A$3:$I$56,6,FALSE),0)</f>
        <v>75</v>
      </c>
      <c r="K7">
        <f>IF((gamma!K7),VLOOKUP(K$1,main!$A$3:$I$56,5,FALSE)-VLOOKUP($A7,main!$A$3:$I$56,6,FALSE),0)</f>
        <v>0</v>
      </c>
      <c r="L7">
        <f>IF((gamma!L7),VLOOKUP(L$1,main!$A$3:$I$56,5,FALSE)-VLOOKUP($A7,main!$A$3:$I$56,6,FALSE),0)</f>
        <v>0</v>
      </c>
      <c r="M7">
        <f>IF((gamma!M7),VLOOKUP(M$1,main!$A$3:$I$56,5,FALSE)-VLOOKUP($A7,main!$A$3:$I$56,6,FALSE),0)</f>
        <v>0</v>
      </c>
      <c r="N7">
        <f>IF((gamma!N7),VLOOKUP(N$1,main!$A$3:$I$56,5,FALSE)-VLOOKUP($A7,main!$A$3:$I$56,6,FALSE),0)</f>
        <v>40</v>
      </c>
      <c r="O7">
        <f>IF((gamma!O7),VLOOKUP(O$1,main!$A$3:$I$56,5,FALSE)-VLOOKUP($A7,main!$A$3:$I$56,6,FALSE),0)</f>
        <v>100</v>
      </c>
      <c r="P7">
        <f>IF((gamma!P7),VLOOKUP(P$1,main!$A$3:$I$56,5,FALSE)-VLOOKUP($A7,main!$A$3:$I$56,6,FALSE),0)</f>
        <v>0</v>
      </c>
      <c r="Q7">
        <f>IF((gamma!Q7),VLOOKUP(Q$1,main!$A$3:$I$56,5,FALSE)-VLOOKUP($A7,main!$A$3:$I$56,6,FALSE),0)</f>
        <v>0</v>
      </c>
      <c r="R7">
        <f>IF((gamma!R7),VLOOKUP(R$1,main!$A$3:$I$56,5,FALSE)-VLOOKUP($A7,main!$A$3:$I$56,6,FALSE),0)</f>
        <v>0</v>
      </c>
      <c r="S7">
        <f>IF((gamma!S7),VLOOKUP(S$1,main!$A$3:$I$56,5,FALSE)-VLOOKUP($A7,main!$A$3:$I$56,6,FALSE),0)</f>
        <v>0</v>
      </c>
      <c r="T7">
        <f>IF((gamma!T7),VLOOKUP(T$1,main!$A$3:$I$56,5,FALSE)-VLOOKUP($A7,main!$A$3:$I$56,6,FALSE),0)</f>
        <v>0</v>
      </c>
      <c r="U7">
        <f>IF((gamma!U7),VLOOKUP(U$1,main!$A$3:$I$56,5,FALSE)-VLOOKUP($A7,main!$A$3:$I$56,6,FALSE),0)</f>
        <v>0</v>
      </c>
      <c r="V7">
        <f>IF((gamma!V7),VLOOKUP(V$1,main!$A$3:$I$56,5,FALSE)-VLOOKUP($A7,main!$A$3:$I$56,6,FALSE),0)</f>
        <v>0</v>
      </c>
      <c r="W7">
        <f>IF((gamma!W7),VLOOKUP(W$1,main!$A$3:$I$56,5,FALSE)-VLOOKUP($A7,main!$A$3:$I$56,6,FALSE),0)</f>
        <v>0</v>
      </c>
      <c r="X7">
        <f>IF((gamma!X7),VLOOKUP(X$1,main!$A$3:$I$56,5,FALSE)-VLOOKUP($A7,main!$A$3:$I$56,6,FALSE),0)</f>
        <v>0</v>
      </c>
      <c r="Y7">
        <f>IF((gamma!Y7),VLOOKUP(Y$1,main!$A$3:$I$56,5,FALSE)-VLOOKUP($A7,main!$A$3:$I$56,6,FALSE),0)</f>
        <v>0</v>
      </c>
      <c r="Z7">
        <f>IF((gamma!Z7),VLOOKUP(Z$1,main!$A$3:$I$56,5,FALSE)-VLOOKUP($A7,main!$A$3:$I$56,6,FALSE),0)</f>
        <v>0</v>
      </c>
      <c r="AA7">
        <f>IF((gamma!AA7),VLOOKUP(AA$1,main!$A$3:$I$56,5,FALSE)-VLOOKUP($A7,main!$A$3:$I$56,6,FALSE),0)</f>
        <v>0</v>
      </c>
      <c r="AB7">
        <f>IF((gamma!AB7),VLOOKUP(AB$1,main!$A$3:$I$56,5,FALSE)-VLOOKUP($A7,main!$A$3:$I$56,6,FALSE),0)</f>
        <v>25</v>
      </c>
      <c r="AC7">
        <f>IF((gamma!AC7),VLOOKUP(AC$1,main!$A$3:$I$56,5,FALSE)-VLOOKUP($A7,main!$A$3:$I$56,6,FALSE),0)</f>
        <v>0</v>
      </c>
      <c r="AD7">
        <f>IF((gamma!AD7),VLOOKUP(AD$1,main!$A$3:$I$56,5,FALSE)-VLOOKUP($A7,main!$A$3:$I$56,6,FALSE),0)</f>
        <v>0</v>
      </c>
      <c r="AE7">
        <f>IF((gamma!AE7),VLOOKUP(AE$1,main!$A$3:$I$56,5,FALSE)-VLOOKUP($A7,main!$A$3:$I$56,6,FALSE),0)</f>
        <v>0</v>
      </c>
      <c r="AF7">
        <f>IF((gamma!AF7),VLOOKUP(AF$1,main!$A$3:$I$56,5,FALSE)-VLOOKUP($A7,main!$A$3:$I$56,6,FALSE),0)</f>
        <v>0</v>
      </c>
      <c r="AG7">
        <f>IF((gamma!AG7),VLOOKUP(AG$1,main!$A$3:$I$56,5,FALSE)-VLOOKUP($A7,main!$A$3:$I$56,6,FALSE),0)</f>
        <v>0</v>
      </c>
      <c r="AH7">
        <f>IF((gamma!AH7),VLOOKUP(AH$1,main!$A$3:$I$56,5,FALSE)-VLOOKUP($A7,main!$A$3:$I$56,6,FALSE),0)</f>
        <v>0</v>
      </c>
      <c r="AI7">
        <f>IF((gamma!AI7),VLOOKUP(AI$1,main!$A$3:$I$56,5,FALSE)-VLOOKUP($A7,main!$A$3:$I$56,6,FALSE),0)</f>
        <v>0</v>
      </c>
      <c r="AJ7">
        <f>IF((gamma!AJ7),VLOOKUP(AJ$1,main!$A$3:$I$56,5,FALSE)-VLOOKUP($A7,main!$A$3:$I$56,6,FALSE),0)</f>
        <v>0</v>
      </c>
      <c r="AK7">
        <f>IF((gamma!AK7),VLOOKUP(AK$1,main!$A$3:$I$56,5,FALSE)-VLOOKUP($A7,main!$A$3:$I$56,6,FALSE),0)</f>
        <v>0</v>
      </c>
      <c r="AL7">
        <f>IF((gamma!AL7),VLOOKUP(AL$1,main!$A$3:$I$56,5,FALSE)-VLOOKUP($A7,main!$A$3:$I$56,6,FALSE),0)</f>
        <v>0</v>
      </c>
      <c r="AM7">
        <f>IF((gamma!AM7),VLOOKUP(AM$1,main!$A$3:$I$56,5,FALSE)-VLOOKUP($A7,main!$A$3:$I$56,6,FALSE),0)</f>
        <v>0</v>
      </c>
      <c r="AN7">
        <f>IF((gamma!AN7),VLOOKUP(AN$1,main!$A$3:$I$56,5,FALSE)-VLOOKUP($A7,main!$A$3:$I$56,6,FALSE),0)</f>
        <v>0</v>
      </c>
      <c r="AO7">
        <f>IF((gamma!AO7),VLOOKUP(AO$1,main!$A$3:$I$56,5,FALSE)-VLOOKUP($A7,main!$A$3:$I$56,6,FALSE),0)</f>
        <v>0</v>
      </c>
      <c r="AP7">
        <f>IF((gamma!AP7),VLOOKUP(AP$1,main!$A$3:$I$56,5,FALSE)-VLOOKUP($A7,main!$A$3:$I$56,6,FALSE),0)</f>
        <v>0</v>
      </c>
      <c r="AQ7">
        <f>IF((gamma!AQ7),VLOOKUP(AQ$1,main!$A$3:$I$56,5,FALSE)-VLOOKUP($A7,main!$A$3:$I$56,6,FALSE),0)</f>
        <v>0</v>
      </c>
      <c r="AR7">
        <f>IF((gamma!AR7),VLOOKUP(AR$1,main!$A$3:$I$56,5,FALSE)-VLOOKUP($A7,main!$A$3:$I$56,6,FALSE),0)</f>
        <v>0</v>
      </c>
      <c r="AS7">
        <f>IF((gamma!AS7),VLOOKUP(AS$1,main!$A$3:$I$56,5,FALSE)-VLOOKUP($A7,main!$A$3:$I$56,6,FALSE),0)</f>
        <v>0</v>
      </c>
      <c r="AT7">
        <f>IF((gamma!AT7),VLOOKUP(AT$1,main!$A$3:$I$56,5,FALSE)-VLOOKUP($A7,main!$A$3:$I$56,6,FALSE),0)</f>
        <v>0</v>
      </c>
      <c r="AU7">
        <f>IF((gamma!AU7),VLOOKUP(AU$1,main!$A$3:$I$56,5,FALSE)-VLOOKUP($A7,main!$A$3:$I$56,6,FALSE),0)</f>
        <v>0</v>
      </c>
      <c r="AV7">
        <f>IF((gamma!AV7),VLOOKUP(AV$1,main!$A$3:$I$56,5,FALSE)-VLOOKUP($A7,main!$A$3:$I$56,6,FALSE),0)</f>
        <v>0</v>
      </c>
      <c r="AW7">
        <f>IF((gamma!AW7),VLOOKUP(AW$1,main!$A$3:$I$56,5,FALSE)-VLOOKUP($A7,main!$A$3:$I$56,6,FALSE),0)</f>
        <v>0</v>
      </c>
      <c r="AX7">
        <f>IF((gamma!AX7),VLOOKUP(AX$1,main!$A$3:$I$56,5,FALSE)-VLOOKUP($A7,main!$A$3:$I$56,6,FALSE),0)</f>
        <v>0</v>
      </c>
      <c r="AY7">
        <f>IF((gamma!AY7),VLOOKUP(AY$1,main!$A$3:$I$56,5,FALSE)-VLOOKUP($A7,main!$A$3:$I$56,6,FALSE),0)</f>
        <v>85</v>
      </c>
      <c r="AZ7">
        <f>IF((gamma!AZ7),VLOOKUP(AZ$1,main!$A$3:$I$56,5,FALSE)-VLOOKUP($A7,main!$A$3:$I$56,6,FALSE),0)</f>
        <v>0</v>
      </c>
      <c r="BA7">
        <f>IF((gamma!BA7),VLOOKUP(BA$1,main!$A$3:$I$56,5,FALSE)-VLOOKUP($A7,main!$A$3:$I$56,6,FALSE),0)</f>
        <v>0</v>
      </c>
      <c r="BB7">
        <f>IF((gamma!BB7),VLOOKUP(BB$1,main!$A$3:$I$56,5,FALSE)-VLOOKUP($A7,main!$A$3:$I$56,6,FALSE),0)</f>
        <v>0</v>
      </c>
      <c r="BC7">
        <f>IF((gamma!BC7),VLOOKUP(BC$1,main!$A$3:$I$56,5,FALSE)-VLOOKUP($A7,main!$A$3:$I$56,6,FALSE),0)</f>
        <v>0</v>
      </c>
      <c r="BD7">
        <f>IF((gamma!BD7),VLOOKUP(BD$1,main!$A$3:$I$56,5,FALSE)-VLOOKUP($A7,main!$A$3:$I$56,6,FALSE),0)</f>
        <v>0</v>
      </c>
    </row>
    <row r="8" spans="1:56" x14ac:dyDescent="0.25">
      <c r="A8">
        <f t="shared" si="2"/>
        <v>6</v>
      </c>
      <c r="B8">
        <v>0</v>
      </c>
      <c r="C8">
        <f>IF((gamma!C8),VLOOKUP(C$1,main!$A$3:$I$56,5,FALSE)-VLOOKUP($A8,main!$A$3:$I$56,6,FALSE),0)</f>
        <v>0</v>
      </c>
      <c r="D8">
        <f>IF((gamma!D8),VLOOKUP(D$1,main!$A$3:$I$56,5,FALSE)-VLOOKUP($A8,main!$A$3:$I$56,6,FALSE),0)</f>
        <v>0</v>
      </c>
      <c r="E8">
        <f>IF((gamma!E8),VLOOKUP(E$1,main!$A$3:$I$56,5,FALSE)-VLOOKUP($A8,main!$A$3:$I$56,6,FALSE),0)</f>
        <v>0</v>
      </c>
      <c r="F8">
        <f>IF((gamma!F8),VLOOKUP(F$1,main!$A$3:$I$56,5,FALSE)-VLOOKUP($A8,main!$A$3:$I$56,6,FALSE),0)</f>
        <v>0</v>
      </c>
      <c r="G8">
        <f>IF((gamma!G8),VLOOKUP(G$1,main!$A$3:$I$56,5,FALSE)-VLOOKUP($A8,main!$A$3:$I$56,6,FALSE),0)</f>
        <v>0</v>
      </c>
      <c r="H8">
        <f>IF((gamma!H8),VLOOKUP(H$1,main!$A$3:$I$56,5,FALSE)-VLOOKUP($A8,main!$A$3:$I$56,6,FALSE),0)</f>
        <v>0</v>
      </c>
      <c r="I8">
        <f>IF((gamma!I8),VLOOKUP(I$1,main!$A$3:$I$56,5,FALSE)-VLOOKUP($A8,main!$A$3:$I$56,6,FALSE),0)</f>
        <v>0</v>
      </c>
      <c r="J8">
        <f>IF((gamma!J8),VLOOKUP(J$1,main!$A$3:$I$56,5,FALSE)-VLOOKUP($A8,main!$A$3:$I$56,6,FALSE),0)</f>
        <v>0</v>
      </c>
      <c r="K8">
        <f>IF((gamma!K8),VLOOKUP(K$1,main!$A$3:$I$56,5,FALSE)-VLOOKUP($A8,main!$A$3:$I$56,6,FALSE),0)</f>
        <v>0</v>
      </c>
      <c r="L8">
        <f>IF((gamma!L8),VLOOKUP(L$1,main!$A$3:$I$56,5,FALSE)-VLOOKUP($A8,main!$A$3:$I$56,6,FALSE),0)</f>
        <v>0</v>
      </c>
      <c r="M8">
        <f>IF((gamma!M8),VLOOKUP(M$1,main!$A$3:$I$56,5,FALSE)-VLOOKUP($A8,main!$A$3:$I$56,6,FALSE),0)</f>
        <v>0</v>
      </c>
      <c r="N8">
        <f>IF((gamma!N8),VLOOKUP(N$1,main!$A$3:$I$56,5,FALSE)-VLOOKUP($A8,main!$A$3:$I$56,6,FALSE),0)</f>
        <v>0</v>
      </c>
      <c r="O8">
        <f>IF((gamma!O8),VLOOKUP(O$1,main!$A$3:$I$56,5,FALSE)-VLOOKUP($A8,main!$A$3:$I$56,6,FALSE),0)</f>
        <v>40</v>
      </c>
      <c r="P8">
        <f>IF((gamma!P8),VLOOKUP(P$1,main!$A$3:$I$56,5,FALSE)-VLOOKUP($A8,main!$A$3:$I$56,6,FALSE),0)</f>
        <v>0</v>
      </c>
      <c r="Q8">
        <f>IF((gamma!Q8),VLOOKUP(Q$1,main!$A$3:$I$56,5,FALSE)-VLOOKUP($A8,main!$A$3:$I$56,6,FALSE),0)</f>
        <v>0</v>
      </c>
      <c r="R8">
        <f>IF((gamma!R8),VLOOKUP(R$1,main!$A$3:$I$56,5,FALSE)-VLOOKUP($A8,main!$A$3:$I$56,6,FALSE),0)</f>
        <v>0</v>
      </c>
      <c r="S8">
        <f>IF((gamma!S8),VLOOKUP(S$1,main!$A$3:$I$56,5,FALSE)-VLOOKUP($A8,main!$A$3:$I$56,6,FALSE),0)</f>
        <v>0</v>
      </c>
      <c r="T8">
        <f>IF((gamma!T8),VLOOKUP(T$1,main!$A$3:$I$56,5,FALSE)-VLOOKUP($A8,main!$A$3:$I$56,6,FALSE),0)</f>
        <v>0</v>
      </c>
      <c r="U8">
        <f>IF((gamma!U8),VLOOKUP(U$1,main!$A$3:$I$56,5,FALSE)-VLOOKUP($A8,main!$A$3:$I$56,6,FALSE),0)</f>
        <v>0</v>
      </c>
      <c r="V8">
        <f>IF((gamma!V8),VLOOKUP(V$1,main!$A$3:$I$56,5,FALSE)-VLOOKUP($A8,main!$A$3:$I$56,6,FALSE),0)</f>
        <v>0</v>
      </c>
      <c r="W8">
        <f>IF((gamma!W8),VLOOKUP(W$1,main!$A$3:$I$56,5,FALSE)-VLOOKUP($A8,main!$A$3:$I$56,6,FALSE),0)</f>
        <v>0</v>
      </c>
      <c r="X8">
        <f>IF((gamma!X8),VLOOKUP(X$1,main!$A$3:$I$56,5,FALSE)-VLOOKUP($A8,main!$A$3:$I$56,6,FALSE),0)</f>
        <v>0</v>
      </c>
      <c r="Y8">
        <f>IF((gamma!Y8),VLOOKUP(Y$1,main!$A$3:$I$56,5,FALSE)-VLOOKUP($A8,main!$A$3:$I$56,6,FALSE),0)</f>
        <v>0</v>
      </c>
      <c r="Z8">
        <f>IF((gamma!Z8),VLOOKUP(Z$1,main!$A$3:$I$56,5,FALSE)-VLOOKUP($A8,main!$A$3:$I$56,6,FALSE),0)</f>
        <v>0</v>
      </c>
      <c r="AA8">
        <f>IF((gamma!AA8),VLOOKUP(AA$1,main!$A$3:$I$56,5,FALSE)-VLOOKUP($A8,main!$A$3:$I$56,6,FALSE),0)</f>
        <v>0</v>
      </c>
      <c r="AB8">
        <f>IF((gamma!AB8),VLOOKUP(AB$1,main!$A$3:$I$56,5,FALSE)-VLOOKUP($A8,main!$A$3:$I$56,6,FALSE),0)</f>
        <v>0</v>
      </c>
      <c r="AC8">
        <f>IF((gamma!AC8),VLOOKUP(AC$1,main!$A$3:$I$56,5,FALSE)-VLOOKUP($A8,main!$A$3:$I$56,6,FALSE),0)</f>
        <v>0</v>
      </c>
      <c r="AD8">
        <f>IF((gamma!AD8),VLOOKUP(AD$1,main!$A$3:$I$56,5,FALSE)-VLOOKUP($A8,main!$A$3:$I$56,6,FALSE),0)</f>
        <v>0</v>
      </c>
      <c r="AE8">
        <f>IF((gamma!AE8),VLOOKUP(AE$1,main!$A$3:$I$56,5,FALSE)-VLOOKUP($A8,main!$A$3:$I$56,6,FALSE),0)</f>
        <v>0</v>
      </c>
      <c r="AF8">
        <f>IF((gamma!AF8),VLOOKUP(AF$1,main!$A$3:$I$56,5,FALSE)-VLOOKUP($A8,main!$A$3:$I$56,6,FALSE),0)</f>
        <v>0</v>
      </c>
      <c r="AG8">
        <f>IF((gamma!AG8),VLOOKUP(AG$1,main!$A$3:$I$56,5,FALSE)-VLOOKUP($A8,main!$A$3:$I$56,6,FALSE),0)</f>
        <v>0</v>
      </c>
      <c r="AH8">
        <f>IF((gamma!AH8),VLOOKUP(AH$1,main!$A$3:$I$56,5,FALSE)-VLOOKUP($A8,main!$A$3:$I$56,6,FALSE),0)</f>
        <v>0</v>
      </c>
      <c r="AI8">
        <f>IF((gamma!AI8),VLOOKUP(AI$1,main!$A$3:$I$56,5,FALSE)-VLOOKUP($A8,main!$A$3:$I$56,6,FALSE),0)</f>
        <v>0</v>
      </c>
      <c r="AJ8">
        <f>IF((gamma!AJ8),VLOOKUP(AJ$1,main!$A$3:$I$56,5,FALSE)-VLOOKUP($A8,main!$A$3:$I$56,6,FALSE),0)</f>
        <v>0</v>
      </c>
      <c r="AK8">
        <f>IF((gamma!AK8),VLOOKUP(AK$1,main!$A$3:$I$56,5,FALSE)-VLOOKUP($A8,main!$A$3:$I$56,6,FALSE),0)</f>
        <v>0</v>
      </c>
      <c r="AL8">
        <f>IF((gamma!AL8),VLOOKUP(AL$1,main!$A$3:$I$56,5,FALSE)-VLOOKUP($A8,main!$A$3:$I$56,6,FALSE),0)</f>
        <v>0</v>
      </c>
      <c r="AM8">
        <f>IF((gamma!AM8),VLOOKUP(AM$1,main!$A$3:$I$56,5,FALSE)-VLOOKUP($A8,main!$A$3:$I$56,6,FALSE),0)</f>
        <v>0</v>
      </c>
      <c r="AN8">
        <f>IF((gamma!AN8),VLOOKUP(AN$1,main!$A$3:$I$56,5,FALSE)-VLOOKUP($A8,main!$A$3:$I$56,6,FALSE),0)</f>
        <v>0</v>
      </c>
      <c r="AO8">
        <f>IF((gamma!AO8),VLOOKUP(AO$1,main!$A$3:$I$56,5,FALSE)-VLOOKUP($A8,main!$A$3:$I$56,6,FALSE),0)</f>
        <v>0</v>
      </c>
      <c r="AP8">
        <f>IF((gamma!AP8),VLOOKUP(AP$1,main!$A$3:$I$56,5,FALSE)-VLOOKUP($A8,main!$A$3:$I$56,6,FALSE),0)</f>
        <v>0</v>
      </c>
      <c r="AQ8">
        <f>IF((gamma!AQ8),VLOOKUP(AQ$1,main!$A$3:$I$56,5,FALSE)-VLOOKUP($A8,main!$A$3:$I$56,6,FALSE),0)</f>
        <v>0</v>
      </c>
      <c r="AR8">
        <f>IF((gamma!AR8),VLOOKUP(AR$1,main!$A$3:$I$56,5,FALSE)-VLOOKUP($A8,main!$A$3:$I$56,6,FALSE),0)</f>
        <v>0</v>
      </c>
      <c r="AS8">
        <f>IF((gamma!AS8),VLOOKUP(AS$1,main!$A$3:$I$56,5,FALSE)-VLOOKUP($A8,main!$A$3:$I$56,6,FALSE),0)</f>
        <v>0</v>
      </c>
      <c r="AT8">
        <f>IF((gamma!AT8),VLOOKUP(AT$1,main!$A$3:$I$56,5,FALSE)-VLOOKUP($A8,main!$A$3:$I$56,6,FALSE),0)</f>
        <v>0</v>
      </c>
      <c r="AU8">
        <f>IF((gamma!AU8),VLOOKUP(AU$1,main!$A$3:$I$56,5,FALSE)-VLOOKUP($A8,main!$A$3:$I$56,6,FALSE),0)</f>
        <v>0</v>
      </c>
      <c r="AV8">
        <f>IF((gamma!AV8),VLOOKUP(AV$1,main!$A$3:$I$56,5,FALSE)-VLOOKUP($A8,main!$A$3:$I$56,6,FALSE),0)</f>
        <v>0</v>
      </c>
      <c r="AW8">
        <f>IF((gamma!AW8),VLOOKUP(AW$1,main!$A$3:$I$56,5,FALSE)-VLOOKUP($A8,main!$A$3:$I$56,6,FALSE),0)</f>
        <v>0</v>
      </c>
      <c r="AX8">
        <f>IF((gamma!AX8),VLOOKUP(AX$1,main!$A$3:$I$56,5,FALSE)-VLOOKUP($A8,main!$A$3:$I$56,6,FALSE),0)</f>
        <v>0</v>
      </c>
      <c r="AY8">
        <f>IF((gamma!AY8),VLOOKUP(AY$1,main!$A$3:$I$56,5,FALSE)-VLOOKUP($A8,main!$A$3:$I$56,6,FALSE),0)</f>
        <v>0</v>
      </c>
      <c r="AZ8">
        <f>IF((gamma!AZ8),VLOOKUP(AZ$1,main!$A$3:$I$56,5,FALSE)-VLOOKUP($A8,main!$A$3:$I$56,6,FALSE),0)</f>
        <v>0</v>
      </c>
      <c r="BA8">
        <f>IF((gamma!BA8),VLOOKUP(BA$1,main!$A$3:$I$56,5,FALSE)-VLOOKUP($A8,main!$A$3:$I$56,6,FALSE),0)</f>
        <v>0</v>
      </c>
      <c r="BB8">
        <f>IF((gamma!BB8),VLOOKUP(BB$1,main!$A$3:$I$56,5,FALSE)-VLOOKUP($A8,main!$A$3:$I$56,6,FALSE),0)</f>
        <v>0</v>
      </c>
      <c r="BC8">
        <f>IF((gamma!BC8),VLOOKUP(BC$1,main!$A$3:$I$56,5,FALSE)-VLOOKUP($A8,main!$A$3:$I$56,6,FALSE),0)</f>
        <v>0</v>
      </c>
      <c r="BD8">
        <f>IF((gamma!BD8),VLOOKUP(BD$1,main!$A$3:$I$56,5,FALSE)-VLOOKUP($A8,main!$A$3:$I$56,6,FALSE),0)</f>
        <v>0</v>
      </c>
    </row>
    <row r="9" spans="1:56" x14ac:dyDescent="0.25">
      <c r="A9">
        <f t="shared" si="2"/>
        <v>7</v>
      </c>
      <c r="B9">
        <v>0</v>
      </c>
      <c r="C9">
        <f>IF((gamma!C9),VLOOKUP(C$1,main!$A$3:$I$56,5,FALSE)-VLOOKUP($A9,main!$A$3:$I$56,6,FALSE),0)</f>
        <v>0</v>
      </c>
      <c r="D9">
        <f>IF((gamma!D9),VLOOKUP(D$1,main!$A$3:$I$56,5,FALSE)-VLOOKUP($A9,main!$A$3:$I$56,6,FALSE),0)</f>
        <v>0</v>
      </c>
      <c r="E9">
        <f>IF((gamma!E9),VLOOKUP(E$1,main!$A$3:$I$56,5,FALSE)-VLOOKUP($A9,main!$A$3:$I$56,6,FALSE),0)</f>
        <v>0</v>
      </c>
      <c r="F9">
        <f>IF((gamma!F9),VLOOKUP(F$1,main!$A$3:$I$56,5,FALSE)-VLOOKUP($A9,main!$A$3:$I$56,6,FALSE),0)</f>
        <v>0</v>
      </c>
      <c r="G9">
        <f>IF((gamma!G9),VLOOKUP(G$1,main!$A$3:$I$56,5,FALSE)-VLOOKUP($A9,main!$A$3:$I$56,6,FALSE),0)</f>
        <v>0</v>
      </c>
      <c r="H9">
        <f>IF((gamma!H9),VLOOKUP(H$1,main!$A$3:$I$56,5,FALSE)-VLOOKUP($A9,main!$A$3:$I$56,6,FALSE),0)</f>
        <v>0</v>
      </c>
      <c r="I9">
        <f>IF((gamma!I9),VLOOKUP(I$1,main!$A$3:$I$56,5,FALSE)-VLOOKUP($A9,main!$A$3:$I$56,6,FALSE),0)</f>
        <v>0</v>
      </c>
      <c r="J9">
        <f>IF((gamma!J9),VLOOKUP(J$1,main!$A$3:$I$56,5,FALSE)-VLOOKUP($A9,main!$A$3:$I$56,6,FALSE),0)</f>
        <v>0</v>
      </c>
      <c r="K9">
        <f>IF((gamma!K9),VLOOKUP(K$1,main!$A$3:$I$56,5,FALSE)-VLOOKUP($A9,main!$A$3:$I$56,6,FALSE),0)</f>
        <v>0</v>
      </c>
      <c r="L9">
        <f>IF((gamma!L9),VLOOKUP(L$1,main!$A$3:$I$56,5,FALSE)-VLOOKUP($A9,main!$A$3:$I$56,6,FALSE),0)</f>
        <v>0</v>
      </c>
      <c r="M9">
        <f>IF((gamma!M9),VLOOKUP(M$1,main!$A$3:$I$56,5,FALSE)-VLOOKUP($A9,main!$A$3:$I$56,6,FALSE),0)</f>
        <v>0</v>
      </c>
      <c r="N9">
        <f>IF((gamma!N9),VLOOKUP(N$1,main!$A$3:$I$56,5,FALSE)-VLOOKUP($A9,main!$A$3:$I$56,6,FALSE),0)</f>
        <v>0</v>
      </c>
      <c r="O9">
        <f>IF((gamma!O9),VLOOKUP(O$1,main!$A$3:$I$56,5,FALSE)-VLOOKUP($A9,main!$A$3:$I$56,6,FALSE),0)</f>
        <v>0</v>
      </c>
      <c r="P9">
        <f>IF((gamma!P9),VLOOKUP(P$1,main!$A$3:$I$56,5,FALSE)-VLOOKUP($A9,main!$A$3:$I$56,6,FALSE),0)</f>
        <v>0</v>
      </c>
      <c r="Q9">
        <f>IF((gamma!Q9),VLOOKUP(Q$1,main!$A$3:$I$56,5,FALSE)-VLOOKUP($A9,main!$A$3:$I$56,6,FALSE),0)</f>
        <v>0</v>
      </c>
      <c r="R9">
        <f>IF((gamma!R9),VLOOKUP(R$1,main!$A$3:$I$56,5,FALSE)-VLOOKUP($A9,main!$A$3:$I$56,6,FALSE),0)</f>
        <v>0</v>
      </c>
      <c r="S9">
        <f>IF((gamma!S9),VLOOKUP(S$1,main!$A$3:$I$56,5,FALSE)-VLOOKUP($A9,main!$A$3:$I$56,6,FALSE),0)</f>
        <v>0</v>
      </c>
      <c r="T9">
        <f>IF((gamma!T9),VLOOKUP(T$1,main!$A$3:$I$56,5,FALSE)-VLOOKUP($A9,main!$A$3:$I$56,6,FALSE),0)</f>
        <v>0</v>
      </c>
      <c r="U9">
        <f>IF((gamma!U9),VLOOKUP(U$1,main!$A$3:$I$56,5,FALSE)-VLOOKUP($A9,main!$A$3:$I$56,6,FALSE),0)</f>
        <v>0</v>
      </c>
      <c r="V9">
        <f>IF((gamma!V9),VLOOKUP(V$1,main!$A$3:$I$56,5,FALSE)-VLOOKUP($A9,main!$A$3:$I$56,6,FALSE),0)</f>
        <v>0</v>
      </c>
      <c r="W9">
        <f>IF((gamma!W9),VLOOKUP(W$1,main!$A$3:$I$56,5,FALSE)-VLOOKUP($A9,main!$A$3:$I$56,6,FALSE),0)</f>
        <v>0</v>
      </c>
      <c r="X9">
        <f>IF((gamma!X9),VLOOKUP(X$1,main!$A$3:$I$56,5,FALSE)-VLOOKUP($A9,main!$A$3:$I$56,6,FALSE),0)</f>
        <v>0</v>
      </c>
      <c r="Y9">
        <f>IF((gamma!Y9),VLOOKUP(Y$1,main!$A$3:$I$56,5,FALSE)-VLOOKUP($A9,main!$A$3:$I$56,6,FALSE),0)</f>
        <v>0</v>
      </c>
      <c r="Z9">
        <f>IF((gamma!Z9),VLOOKUP(Z$1,main!$A$3:$I$56,5,FALSE)-VLOOKUP($A9,main!$A$3:$I$56,6,FALSE),0)</f>
        <v>0</v>
      </c>
      <c r="AA9">
        <f>IF((gamma!AA9),VLOOKUP(AA$1,main!$A$3:$I$56,5,FALSE)-VLOOKUP($A9,main!$A$3:$I$56,6,FALSE),0)</f>
        <v>0</v>
      </c>
      <c r="AB9">
        <f>IF((gamma!AB9),VLOOKUP(AB$1,main!$A$3:$I$56,5,FALSE)-VLOOKUP($A9,main!$A$3:$I$56,6,FALSE),0)</f>
        <v>0</v>
      </c>
      <c r="AC9">
        <f>IF((gamma!AC9),VLOOKUP(AC$1,main!$A$3:$I$56,5,FALSE)-VLOOKUP($A9,main!$A$3:$I$56,6,FALSE),0)</f>
        <v>0</v>
      </c>
      <c r="AD9">
        <f>IF((gamma!AD9),VLOOKUP(AD$1,main!$A$3:$I$56,5,FALSE)-VLOOKUP($A9,main!$A$3:$I$56,6,FALSE),0)</f>
        <v>0</v>
      </c>
      <c r="AE9">
        <f>IF((gamma!AE9),VLOOKUP(AE$1,main!$A$3:$I$56,5,FALSE)-VLOOKUP($A9,main!$A$3:$I$56,6,FALSE),0)</f>
        <v>0</v>
      </c>
      <c r="AF9">
        <f>IF((gamma!AF9),VLOOKUP(AF$1,main!$A$3:$I$56,5,FALSE)-VLOOKUP($A9,main!$A$3:$I$56,6,FALSE),0)</f>
        <v>0</v>
      </c>
      <c r="AG9">
        <f>IF((gamma!AG9),VLOOKUP(AG$1,main!$A$3:$I$56,5,FALSE)-VLOOKUP($A9,main!$A$3:$I$56,6,FALSE),0)</f>
        <v>0</v>
      </c>
      <c r="AH9">
        <f>IF((gamma!AH9),VLOOKUP(AH$1,main!$A$3:$I$56,5,FALSE)-VLOOKUP($A9,main!$A$3:$I$56,6,FALSE),0)</f>
        <v>0</v>
      </c>
      <c r="AI9">
        <f>IF((gamma!AI9),VLOOKUP(AI$1,main!$A$3:$I$56,5,FALSE)-VLOOKUP($A9,main!$A$3:$I$56,6,FALSE),0)</f>
        <v>0</v>
      </c>
      <c r="AJ9">
        <f>IF((gamma!AJ9),VLOOKUP(AJ$1,main!$A$3:$I$56,5,FALSE)-VLOOKUP($A9,main!$A$3:$I$56,6,FALSE),0)</f>
        <v>0</v>
      </c>
      <c r="AK9">
        <f>IF((gamma!AK9),VLOOKUP(AK$1,main!$A$3:$I$56,5,FALSE)-VLOOKUP($A9,main!$A$3:$I$56,6,FALSE),0)</f>
        <v>0</v>
      </c>
      <c r="AL9">
        <f>IF((gamma!AL9),VLOOKUP(AL$1,main!$A$3:$I$56,5,FALSE)-VLOOKUP($A9,main!$A$3:$I$56,6,FALSE),0)</f>
        <v>0</v>
      </c>
      <c r="AM9">
        <f>IF((gamma!AM9),VLOOKUP(AM$1,main!$A$3:$I$56,5,FALSE)-VLOOKUP($A9,main!$A$3:$I$56,6,FALSE),0)</f>
        <v>0</v>
      </c>
      <c r="AN9">
        <f>IF((gamma!AN9),VLOOKUP(AN$1,main!$A$3:$I$56,5,FALSE)-VLOOKUP($A9,main!$A$3:$I$56,6,FALSE),0)</f>
        <v>0</v>
      </c>
      <c r="AO9">
        <f>IF((gamma!AO9),VLOOKUP(AO$1,main!$A$3:$I$56,5,FALSE)-VLOOKUP($A9,main!$A$3:$I$56,6,FALSE),0)</f>
        <v>0</v>
      </c>
      <c r="AP9">
        <f>IF((gamma!AP9),VLOOKUP(AP$1,main!$A$3:$I$56,5,FALSE)-VLOOKUP($A9,main!$A$3:$I$56,6,FALSE),0)</f>
        <v>0</v>
      </c>
      <c r="AQ9">
        <f>IF((gamma!AQ9),VLOOKUP(AQ$1,main!$A$3:$I$56,5,FALSE)-VLOOKUP($A9,main!$A$3:$I$56,6,FALSE),0)</f>
        <v>0</v>
      </c>
      <c r="AR9">
        <f>IF((gamma!AR9),VLOOKUP(AR$1,main!$A$3:$I$56,5,FALSE)-VLOOKUP($A9,main!$A$3:$I$56,6,FALSE),0)</f>
        <v>0</v>
      </c>
      <c r="AS9">
        <f>IF((gamma!AS9),VLOOKUP(AS$1,main!$A$3:$I$56,5,FALSE)-VLOOKUP($A9,main!$A$3:$I$56,6,FALSE),0)</f>
        <v>0</v>
      </c>
      <c r="AT9">
        <f>IF((gamma!AT9),VLOOKUP(AT$1,main!$A$3:$I$56,5,FALSE)-VLOOKUP($A9,main!$A$3:$I$56,6,FALSE),0)</f>
        <v>0</v>
      </c>
      <c r="AU9">
        <f>IF((gamma!AU9),VLOOKUP(AU$1,main!$A$3:$I$56,5,FALSE)-VLOOKUP($A9,main!$A$3:$I$56,6,FALSE),0)</f>
        <v>0</v>
      </c>
      <c r="AV9">
        <f>IF((gamma!AV9),VLOOKUP(AV$1,main!$A$3:$I$56,5,FALSE)-VLOOKUP($A9,main!$A$3:$I$56,6,FALSE),0)</f>
        <v>0</v>
      </c>
      <c r="AW9">
        <f>IF((gamma!AW9),VLOOKUP(AW$1,main!$A$3:$I$56,5,FALSE)-VLOOKUP($A9,main!$A$3:$I$56,6,FALSE),0)</f>
        <v>0</v>
      </c>
      <c r="AX9">
        <f>IF((gamma!AX9),VLOOKUP(AX$1,main!$A$3:$I$56,5,FALSE)-VLOOKUP($A9,main!$A$3:$I$56,6,FALSE),0)</f>
        <v>0</v>
      </c>
      <c r="AY9">
        <f>IF((gamma!AY9),VLOOKUP(AY$1,main!$A$3:$I$56,5,FALSE)-VLOOKUP($A9,main!$A$3:$I$56,6,FALSE),0)</f>
        <v>0</v>
      </c>
      <c r="AZ9">
        <f>IF((gamma!AZ9),VLOOKUP(AZ$1,main!$A$3:$I$56,5,FALSE)-VLOOKUP($A9,main!$A$3:$I$56,6,FALSE),0)</f>
        <v>0</v>
      </c>
      <c r="BA9">
        <f>IF((gamma!BA9),VLOOKUP(BA$1,main!$A$3:$I$56,5,FALSE)-VLOOKUP($A9,main!$A$3:$I$56,6,FALSE),0)</f>
        <v>0</v>
      </c>
      <c r="BB9">
        <f>IF((gamma!BB9),VLOOKUP(BB$1,main!$A$3:$I$56,5,FALSE)-VLOOKUP($A9,main!$A$3:$I$56,6,FALSE),0)</f>
        <v>0</v>
      </c>
      <c r="BC9">
        <f>IF((gamma!BC9),VLOOKUP(BC$1,main!$A$3:$I$56,5,FALSE)-VLOOKUP($A9,main!$A$3:$I$56,6,FALSE),0)</f>
        <v>0</v>
      </c>
      <c r="BD9">
        <f>IF((gamma!BD9),VLOOKUP(BD$1,main!$A$3:$I$56,5,FALSE)-VLOOKUP($A9,main!$A$3:$I$56,6,FALSE),0)</f>
        <v>0</v>
      </c>
    </row>
    <row r="10" spans="1:56" x14ac:dyDescent="0.25">
      <c r="A10">
        <f t="shared" si="2"/>
        <v>8</v>
      </c>
      <c r="B10">
        <v>0</v>
      </c>
      <c r="C10">
        <f>IF((gamma!C10),VLOOKUP(C$1,main!$A$3:$I$56,5,FALSE)-VLOOKUP($A10,main!$A$3:$I$56,6,FALSE),0)</f>
        <v>0</v>
      </c>
      <c r="D10">
        <f>IF((gamma!D10),VLOOKUP(D$1,main!$A$3:$I$56,5,FALSE)-VLOOKUP($A10,main!$A$3:$I$56,6,FALSE),0)</f>
        <v>0</v>
      </c>
      <c r="E10">
        <f>IF((gamma!E10),VLOOKUP(E$1,main!$A$3:$I$56,5,FALSE)-VLOOKUP($A10,main!$A$3:$I$56,6,FALSE),0)</f>
        <v>0</v>
      </c>
      <c r="F10">
        <f>IF((gamma!F10),VLOOKUP(F$1,main!$A$3:$I$56,5,FALSE)-VLOOKUP($A10,main!$A$3:$I$56,6,FALSE),0)</f>
        <v>0</v>
      </c>
      <c r="G10">
        <f>IF((gamma!G10),VLOOKUP(G$1,main!$A$3:$I$56,5,FALSE)-VLOOKUP($A10,main!$A$3:$I$56,6,FALSE),0)</f>
        <v>0</v>
      </c>
      <c r="H10">
        <f>IF((gamma!H10),VLOOKUP(H$1,main!$A$3:$I$56,5,FALSE)-VLOOKUP($A10,main!$A$3:$I$56,6,FALSE),0)</f>
        <v>0</v>
      </c>
      <c r="I10">
        <f>IF((gamma!I10),VLOOKUP(I$1,main!$A$3:$I$56,5,FALSE)-VLOOKUP($A10,main!$A$3:$I$56,6,FALSE),0)</f>
        <v>0</v>
      </c>
      <c r="J10">
        <f>IF((gamma!J10),VLOOKUP(J$1,main!$A$3:$I$56,5,FALSE)-VLOOKUP($A10,main!$A$3:$I$56,6,FALSE),0)</f>
        <v>0</v>
      </c>
      <c r="K10">
        <f>IF((gamma!K10),VLOOKUP(K$1,main!$A$3:$I$56,5,FALSE)-VLOOKUP($A10,main!$A$3:$I$56,6,FALSE),0)</f>
        <v>0</v>
      </c>
      <c r="L10">
        <f>IF((gamma!L10),VLOOKUP(L$1,main!$A$3:$I$56,5,FALSE)-VLOOKUP($A10,main!$A$3:$I$56,6,FALSE),0)</f>
        <v>0</v>
      </c>
      <c r="M10">
        <f>IF((gamma!M10),VLOOKUP(M$1,main!$A$3:$I$56,5,FALSE)-VLOOKUP($A10,main!$A$3:$I$56,6,FALSE),0)</f>
        <v>0</v>
      </c>
      <c r="N10">
        <f>IF((gamma!N10),VLOOKUP(N$1,main!$A$3:$I$56,5,FALSE)-VLOOKUP($A10,main!$A$3:$I$56,6,FALSE),0)</f>
        <v>0</v>
      </c>
      <c r="O10">
        <f>IF((gamma!O10),VLOOKUP(O$1,main!$A$3:$I$56,5,FALSE)-VLOOKUP($A10,main!$A$3:$I$56,6,FALSE),0)</f>
        <v>0</v>
      </c>
      <c r="P10">
        <f>IF((gamma!P10),VLOOKUP(P$1,main!$A$3:$I$56,5,FALSE)-VLOOKUP($A10,main!$A$3:$I$56,6,FALSE),0)</f>
        <v>0</v>
      </c>
      <c r="Q10">
        <f>IF((gamma!Q10),VLOOKUP(Q$1,main!$A$3:$I$56,5,FALSE)-VLOOKUP($A10,main!$A$3:$I$56,6,FALSE),0)</f>
        <v>0</v>
      </c>
      <c r="R10">
        <f>IF((gamma!R10),VLOOKUP(R$1,main!$A$3:$I$56,5,FALSE)-VLOOKUP($A10,main!$A$3:$I$56,6,FALSE),0)</f>
        <v>0</v>
      </c>
      <c r="S10">
        <f>IF((gamma!S10),VLOOKUP(S$1,main!$A$3:$I$56,5,FALSE)-VLOOKUP($A10,main!$A$3:$I$56,6,FALSE),0)</f>
        <v>0</v>
      </c>
      <c r="T10">
        <f>IF((gamma!T10),VLOOKUP(T$1,main!$A$3:$I$56,5,FALSE)-VLOOKUP($A10,main!$A$3:$I$56,6,FALSE),0)</f>
        <v>0</v>
      </c>
      <c r="U10">
        <f>IF((gamma!U10),VLOOKUP(U$1,main!$A$3:$I$56,5,FALSE)-VLOOKUP($A10,main!$A$3:$I$56,6,FALSE),0)</f>
        <v>0</v>
      </c>
      <c r="V10">
        <f>IF((gamma!V10),VLOOKUP(V$1,main!$A$3:$I$56,5,FALSE)-VLOOKUP($A10,main!$A$3:$I$56,6,FALSE),0)</f>
        <v>0</v>
      </c>
      <c r="W10">
        <f>IF((gamma!W10),VLOOKUP(W$1,main!$A$3:$I$56,5,FALSE)-VLOOKUP($A10,main!$A$3:$I$56,6,FALSE),0)</f>
        <v>0</v>
      </c>
      <c r="X10">
        <f>IF((gamma!X10),VLOOKUP(X$1,main!$A$3:$I$56,5,FALSE)-VLOOKUP($A10,main!$A$3:$I$56,6,FALSE),0)</f>
        <v>0</v>
      </c>
      <c r="Y10">
        <f>IF((gamma!Y10),VLOOKUP(Y$1,main!$A$3:$I$56,5,FALSE)-VLOOKUP($A10,main!$A$3:$I$56,6,FALSE),0)</f>
        <v>0</v>
      </c>
      <c r="Z10">
        <f>IF((gamma!Z10),VLOOKUP(Z$1,main!$A$3:$I$56,5,FALSE)-VLOOKUP($A10,main!$A$3:$I$56,6,FALSE),0)</f>
        <v>0</v>
      </c>
      <c r="AA10">
        <f>IF((gamma!AA10),VLOOKUP(AA$1,main!$A$3:$I$56,5,FALSE)-VLOOKUP($A10,main!$A$3:$I$56,6,FALSE),0)</f>
        <v>0</v>
      </c>
      <c r="AB10">
        <f>IF((gamma!AB10),VLOOKUP(AB$1,main!$A$3:$I$56,5,FALSE)-VLOOKUP($A10,main!$A$3:$I$56,6,FALSE),0)</f>
        <v>0</v>
      </c>
      <c r="AC10">
        <f>IF((gamma!AC10),VLOOKUP(AC$1,main!$A$3:$I$56,5,FALSE)-VLOOKUP($A10,main!$A$3:$I$56,6,FALSE),0)</f>
        <v>0</v>
      </c>
      <c r="AD10">
        <f>IF((gamma!AD10),VLOOKUP(AD$1,main!$A$3:$I$56,5,FALSE)-VLOOKUP($A10,main!$A$3:$I$56,6,FALSE),0)</f>
        <v>0</v>
      </c>
      <c r="AE10">
        <f>IF((gamma!AE10),VLOOKUP(AE$1,main!$A$3:$I$56,5,FALSE)-VLOOKUP($A10,main!$A$3:$I$56,6,FALSE),0)</f>
        <v>0</v>
      </c>
      <c r="AF10">
        <f>IF((gamma!AF10),VLOOKUP(AF$1,main!$A$3:$I$56,5,FALSE)-VLOOKUP($A10,main!$A$3:$I$56,6,FALSE),0)</f>
        <v>0</v>
      </c>
      <c r="AG10">
        <f>IF((gamma!AG10),VLOOKUP(AG$1,main!$A$3:$I$56,5,FALSE)-VLOOKUP($A10,main!$A$3:$I$56,6,FALSE),0)</f>
        <v>0</v>
      </c>
      <c r="AH10">
        <f>IF((gamma!AH10),VLOOKUP(AH$1,main!$A$3:$I$56,5,FALSE)-VLOOKUP($A10,main!$A$3:$I$56,6,FALSE),0)</f>
        <v>0</v>
      </c>
      <c r="AI10">
        <f>IF((gamma!AI10),VLOOKUP(AI$1,main!$A$3:$I$56,5,FALSE)-VLOOKUP($A10,main!$A$3:$I$56,6,FALSE),0)</f>
        <v>0</v>
      </c>
      <c r="AJ10">
        <f>IF((gamma!AJ10),VLOOKUP(AJ$1,main!$A$3:$I$56,5,FALSE)-VLOOKUP($A10,main!$A$3:$I$56,6,FALSE),0)</f>
        <v>0</v>
      </c>
      <c r="AK10">
        <f>IF((gamma!AK10),VLOOKUP(AK$1,main!$A$3:$I$56,5,FALSE)-VLOOKUP($A10,main!$A$3:$I$56,6,FALSE),0)</f>
        <v>0</v>
      </c>
      <c r="AL10">
        <f>IF((gamma!AL10),VLOOKUP(AL$1,main!$A$3:$I$56,5,FALSE)-VLOOKUP($A10,main!$A$3:$I$56,6,FALSE),0)</f>
        <v>0</v>
      </c>
      <c r="AM10">
        <f>IF((gamma!AM10),VLOOKUP(AM$1,main!$A$3:$I$56,5,FALSE)-VLOOKUP($A10,main!$A$3:$I$56,6,FALSE),0)</f>
        <v>0</v>
      </c>
      <c r="AN10">
        <f>IF((gamma!AN10),VLOOKUP(AN$1,main!$A$3:$I$56,5,FALSE)-VLOOKUP($A10,main!$A$3:$I$56,6,FALSE),0)</f>
        <v>0</v>
      </c>
      <c r="AO10">
        <f>IF((gamma!AO10),VLOOKUP(AO$1,main!$A$3:$I$56,5,FALSE)-VLOOKUP($A10,main!$A$3:$I$56,6,FALSE),0)</f>
        <v>0</v>
      </c>
      <c r="AP10">
        <f>IF((gamma!AP10),VLOOKUP(AP$1,main!$A$3:$I$56,5,FALSE)-VLOOKUP($A10,main!$A$3:$I$56,6,FALSE),0)</f>
        <v>0</v>
      </c>
      <c r="AQ10">
        <f>IF((gamma!AQ10),VLOOKUP(AQ$1,main!$A$3:$I$56,5,FALSE)-VLOOKUP($A10,main!$A$3:$I$56,6,FALSE),0)</f>
        <v>0</v>
      </c>
      <c r="AR10">
        <f>IF((gamma!AR10),VLOOKUP(AR$1,main!$A$3:$I$56,5,FALSE)-VLOOKUP($A10,main!$A$3:$I$56,6,FALSE),0)</f>
        <v>0</v>
      </c>
      <c r="AS10">
        <f>IF((gamma!AS10),VLOOKUP(AS$1,main!$A$3:$I$56,5,FALSE)-VLOOKUP($A10,main!$A$3:$I$56,6,FALSE),0)</f>
        <v>0</v>
      </c>
      <c r="AT10">
        <f>IF((gamma!AT10),VLOOKUP(AT$1,main!$A$3:$I$56,5,FALSE)-VLOOKUP($A10,main!$A$3:$I$56,6,FALSE),0)</f>
        <v>0</v>
      </c>
      <c r="AU10">
        <f>IF((gamma!AU10),VLOOKUP(AU$1,main!$A$3:$I$56,5,FALSE)-VLOOKUP($A10,main!$A$3:$I$56,6,FALSE),0)</f>
        <v>0</v>
      </c>
      <c r="AV10">
        <f>IF((gamma!AV10),VLOOKUP(AV$1,main!$A$3:$I$56,5,FALSE)-VLOOKUP($A10,main!$A$3:$I$56,6,FALSE),0)</f>
        <v>0</v>
      </c>
      <c r="AW10">
        <f>IF((gamma!AW10),VLOOKUP(AW$1,main!$A$3:$I$56,5,FALSE)-VLOOKUP($A10,main!$A$3:$I$56,6,FALSE),0)</f>
        <v>0</v>
      </c>
      <c r="AX10">
        <f>IF((gamma!AX10),VLOOKUP(AX$1,main!$A$3:$I$56,5,FALSE)-VLOOKUP($A10,main!$A$3:$I$56,6,FALSE),0)</f>
        <v>0</v>
      </c>
      <c r="AY10">
        <f>IF((gamma!AY10),VLOOKUP(AY$1,main!$A$3:$I$56,5,FALSE)-VLOOKUP($A10,main!$A$3:$I$56,6,FALSE),0)</f>
        <v>0</v>
      </c>
      <c r="AZ10">
        <f>IF((gamma!AZ10),VLOOKUP(AZ$1,main!$A$3:$I$56,5,FALSE)-VLOOKUP($A10,main!$A$3:$I$56,6,FALSE),0)</f>
        <v>0</v>
      </c>
      <c r="BA10">
        <f>IF((gamma!BA10),VLOOKUP(BA$1,main!$A$3:$I$56,5,FALSE)-VLOOKUP($A10,main!$A$3:$I$56,6,FALSE),0)</f>
        <v>0</v>
      </c>
      <c r="BB10">
        <f>IF((gamma!BB10),VLOOKUP(BB$1,main!$A$3:$I$56,5,FALSE)-VLOOKUP($A10,main!$A$3:$I$56,6,FALSE),0)</f>
        <v>0</v>
      </c>
      <c r="BC10">
        <f>IF((gamma!BC10),VLOOKUP(BC$1,main!$A$3:$I$56,5,FALSE)-VLOOKUP($A10,main!$A$3:$I$56,6,FALSE),0)</f>
        <v>0</v>
      </c>
      <c r="BD10">
        <f>IF((gamma!BD10),VLOOKUP(BD$1,main!$A$3:$I$56,5,FALSE)-VLOOKUP($A10,main!$A$3:$I$56,6,FALSE),0)</f>
        <v>0</v>
      </c>
    </row>
    <row r="11" spans="1:56" x14ac:dyDescent="0.25">
      <c r="A11">
        <f t="shared" si="2"/>
        <v>9</v>
      </c>
      <c r="B11">
        <v>0</v>
      </c>
      <c r="C11">
        <f>IF((gamma!C11),VLOOKUP(C$1,main!$A$3:$I$56,5,FALSE)-VLOOKUP($A11,main!$A$3:$I$56,6,FALSE),0)</f>
        <v>0</v>
      </c>
      <c r="D11">
        <f>IF((gamma!D11),VLOOKUP(D$1,main!$A$3:$I$56,5,FALSE)-VLOOKUP($A11,main!$A$3:$I$56,6,FALSE),0)</f>
        <v>45</v>
      </c>
      <c r="E11">
        <f>IF((gamma!E11),VLOOKUP(E$1,main!$A$3:$I$56,5,FALSE)-VLOOKUP($A11,main!$A$3:$I$56,6,FALSE),0)</f>
        <v>135</v>
      </c>
      <c r="F11">
        <f>IF((gamma!F11),VLOOKUP(F$1,main!$A$3:$I$56,5,FALSE)-VLOOKUP($A11,main!$A$3:$I$56,6,FALSE),0)</f>
        <v>225</v>
      </c>
      <c r="G11">
        <f>IF((gamma!G11),VLOOKUP(G$1,main!$A$3:$I$56,5,FALSE)-VLOOKUP($A11,main!$A$3:$I$56,6,FALSE),0)</f>
        <v>285</v>
      </c>
      <c r="H11">
        <f>IF((gamma!H11),VLOOKUP(H$1,main!$A$3:$I$56,5,FALSE)-VLOOKUP($A11,main!$A$3:$I$56,6,FALSE),0)</f>
        <v>345</v>
      </c>
      <c r="I11">
        <f>IF((gamma!I11),VLOOKUP(I$1,main!$A$3:$I$56,5,FALSE)-VLOOKUP($A11,main!$A$3:$I$56,6,FALSE),0)</f>
        <v>405</v>
      </c>
      <c r="J11">
        <f>IF((gamma!J11),VLOOKUP(J$1,main!$A$3:$I$56,5,FALSE)-VLOOKUP($A11,main!$A$3:$I$56,6,FALSE),0)</f>
        <v>495</v>
      </c>
      <c r="K11">
        <f>IF((gamma!K11),VLOOKUP(K$1,main!$A$3:$I$56,5,FALSE)-VLOOKUP($A11,main!$A$3:$I$56,6,FALSE),0)</f>
        <v>0</v>
      </c>
      <c r="L11">
        <f>IF((gamma!L11),VLOOKUP(L$1,main!$A$3:$I$56,5,FALSE)-VLOOKUP($A11,main!$A$3:$I$56,6,FALSE),0)</f>
        <v>0</v>
      </c>
      <c r="M11">
        <f>IF((gamma!M11),VLOOKUP(M$1,main!$A$3:$I$56,5,FALSE)-VLOOKUP($A11,main!$A$3:$I$56,6,FALSE),0)</f>
        <v>100</v>
      </c>
      <c r="N11">
        <f>IF((gamma!N11),VLOOKUP(N$1,main!$A$3:$I$56,5,FALSE)-VLOOKUP($A11,main!$A$3:$I$56,6,FALSE),0)</f>
        <v>460</v>
      </c>
      <c r="O11">
        <f>IF((gamma!O11),VLOOKUP(O$1,main!$A$3:$I$56,5,FALSE)-VLOOKUP($A11,main!$A$3:$I$56,6,FALSE),0)</f>
        <v>520</v>
      </c>
      <c r="P11">
        <f>IF((gamma!P11),VLOOKUP(P$1,main!$A$3:$I$56,5,FALSE)-VLOOKUP($A11,main!$A$3:$I$56,6,FALSE),0)</f>
        <v>0</v>
      </c>
      <c r="Q11">
        <f>IF((gamma!Q11),VLOOKUP(Q$1,main!$A$3:$I$56,5,FALSE)-VLOOKUP($A11,main!$A$3:$I$56,6,FALSE),0)</f>
        <v>0</v>
      </c>
      <c r="R11">
        <f>IF((gamma!R11),VLOOKUP(R$1,main!$A$3:$I$56,5,FALSE)-VLOOKUP($A11,main!$A$3:$I$56,6,FALSE),0)</f>
        <v>95</v>
      </c>
      <c r="S11">
        <f>IF((gamma!S11),VLOOKUP(S$1,main!$A$3:$I$56,5,FALSE)-VLOOKUP($A11,main!$A$3:$I$56,6,FALSE),0)</f>
        <v>275</v>
      </c>
      <c r="T11">
        <f>IF((gamma!T11),VLOOKUP(T$1,main!$A$3:$I$56,5,FALSE)-VLOOKUP($A11,main!$A$3:$I$56,6,FALSE),0)</f>
        <v>425</v>
      </c>
      <c r="U11">
        <f>IF((gamma!U11),VLOOKUP(U$1,main!$A$3:$I$56,5,FALSE)-VLOOKUP($A11,main!$A$3:$I$56,6,FALSE),0)</f>
        <v>0</v>
      </c>
      <c r="V11">
        <f>IF((gamma!V11),VLOOKUP(V$1,main!$A$3:$I$56,5,FALSE)-VLOOKUP($A11,main!$A$3:$I$56,6,FALSE),0)</f>
        <v>0</v>
      </c>
      <c r="W11">
        <f>IF((gamma!W11),VLOOKUP(W$1,main!$A$3:$I$56,5,FALSE)-VLOOKUP($A11,main!$A$3:$I$56,6,FALSE),0)</f>
        <v>0</v>
      </c>
      <c r="X11">
        <f>IF((gamma!X11),VLOOKUP(X$1,main!$A$3:$I$56,5,FALSE)-VLOOKUP($A11,main!$A$3:$I$56,6,FALSE),0)</f>
        <v>115</v>
      </c>
      <c r="Y11">
        <f>IF((gamma!Y11),VLOOKUP(Y$1,main!$A$3:$I$56,5,FALSE)-VLOOKUP($A11,main!$A$3:$I$56,6,FALSE),0)</f>
        <v>205</v>
      </c>
      <c r="Z11">
        <f>IF((gamma!Z11),VLOOKUP(Z$1,main!$A$3:$I$56,5,FALSE)-VLOOKUP($A11,main!$A$3:$I$56,6,FALSE),0)</f>
        <v>295</v>
      </c>
      <c r="AA11">
        <f>IF((gamma!AA11),VLOOKUP(AA$1,main!$A$3:$I$56,5,FALSE)-VLOOKUP($A11,main!$A$3:$I$56,6,FALSE),0)</f>
        <v>385</v>
      </c>
      <c r="AB11">
        <f>IF((gamma!AB11),VLOOKUP(AB$1,main!$A$3:$I$56,5,FALSE)-VLOOKUP($A11,main!$A$3:$I$56,6,FALSE),0)</f>
        <v>445</v>
      </c>
      <c r="AC11">
        <f>IF((gamma!AC11),VLOOKUP(AC$1,main!$A$3:$I$56,5,FALSE)-VLOOKUP($A11,main!$A$3:$I$56,6,FALSE),0)</f>
        <v>0</v>
      </c>
      <c r="AD11">
        <f>IF((gamma!AD11),VLOOKUP(AD$1,main!$A$3:$I$56,5,FALSE)-VLOOKUP($A11,main!$A$3:$I$56,6,FALSE),0)</f>
        <v>0</v>
      </c>
      <c r="AE11">
        <f>IF((gamma!AE11),VLOOKUP(AE$1,main!$A$3:$I$56,5,FALSE)-VLOOKUP($A11,main!$A$3:$I$56,6,FALSE),0)</f>
        <v>105</v>
      </c>
      <c r="AF11">
        <f>IF((gamma!AF11),VLOOKUP(AF$1,main!$A$3:$I$56,5,FALSE)-VLOOKUP($A11,main!$A$3:$I$56,6,FALSE),0)</f>
        <v>255</v>
      </c>
      <c r="AG11">
        <f>IF((gamma!AG11),VLOOKUP(AG$1,main!$A$3:$I$56,5,FALSE)-VLOOKUP($A11,main!$A$3:$I$56,6,FALSE),0)</f>
        <v>0</v>
      </c>
      <c r="AH11">
        <f>IF((gamma!AH11),VLOOKUP(AH$1,main!$A$3:$I$56,5,FALSE)-VLOOKUP($A11,main!$A$3:$I$56,6,FALSE),0)</f>
        <v>45</v>
      </c>
      <c r="AI11">
        <f>IF((gamma!AI11),VLOOKUP(AI$1,main!$A$3:$I$56,5,FALSE)-VLOOKUP($A11,main!$A$3:$I$56,6,FALSE),0)</f>
        <v>165</v>
      </c>
      <c r="AJ11">
        <f>IF((gamma!AJ11),VLOOKUP(AJ$1,main!$A$3:$I$56,5,FALSE)-VLOOKUP($A11,main!$A$3:$I$56,6,FALSE),0)</f>
        <v>225</v>
      </c>
      <c r="AK11">
        <f>IF((gamma!AK11),VLOOKUP(AK$1,main!$A$3:$I$56,5,FALSE)-VLOOKUP($A11,main!$A$3:$I$56,6,FALSE),0)</f>
        <v>345</v>
      </c>
      <c r="AL11">
        <f>IF((gamma!AL11),VLOOKUP(AL$1,main!$A$3:$I$56,5,FALSE)-VLOOKUP($A11,main!$A$3:$I$56,6,FALSE),0)</f>
        <v>0</v>
      </c>
      <c r="AM11">
        <f>IF((gamma!AM11),VLOOKUP(AM$1,main!$A$3:$I$56,5,FALSE)-VLOOKUP($A11,main!$A$3:$I$56,6,FALSE),0)</f>
        <v>0</v>
      </c>
      <c r="AN11">
        <f>IF((gamma!AN11),VLOOKUP(AN$1,main!$A$3:$I$56,5,FALSE)-VLOOKUP($A11,main!$A$3:$I$56,6,FALSE),0)</f>
        <v>205</v>
      </c>
      <c r="AO11">
        <f>IF((gamma!AO11),VLOOKUP(AO$1,main!$A$3:$I$56,5,FALSE)-VLOOKUP($A11,main!$A$3:$I$56,6,FALSE),0)</f>
        <v>255</v>
      </c>
      <c r="AP11">
        <f>IF((gamma!AP11),VLOOKUP(AP$1,main!$A$3:$I$56,5,FALSE)-VLOOKUP($A11,main!$A$3:$I$56,6,FALSE),0)</f>
        <v>0</v>
      </c>
      <c r="AQ11">
        <f>IF((gamma!AQ11),VLOOKUP(AQ$1,main!$A$3:$I$56,5,FALSE)-VLOOKUP($A11,main!$A$3:$I$56,6,FALSE),0)</f>
        <v>0</v>
      </c>
      <c r="AR11">
        <f>IF((gamma!AR11),VLOOKUP(AR$1,main!$A$3:$I$56,5,FALSE)-VLOOKUP($A11,main!$A$3:$I$56,6,FALSE),0)</f>
        <v>0</v>
      </c>
      <c r="AS11">
        <f>IF((gamma!AS11),VLOOKUP(AS$1,main!$A$3:$I$56,5,FALSE)-VLOOKUP($A11,main!$A$3:$I$56,6,FALSE),0)</f>
        <v>70</v>
      </c>
      <c r="AT11">
        <f>IF((gamma!AT11),VLOOKUP(AT$1,main!$A$3:$I$56,5,FALSE)-VLOOKUP($A11,main!$A$3:$I$56,6,FALSE),0)</f>
        <v>155</v>
      </c>
      <c r="AU11">
        <f>IF((gamma!AU11),VLOOKUP(AU$1,main!$A$3:$I$56,5,FALSE)-VLOOKUP($A11,main!$A$3:$I$56,6,FALSE),0)</f>
        <v>0</v>
      </c>
      <c r="AV11">
        <f>IF((gamma!AV11),VLOOKUP(AV$1,main!$A$3:$I$56,5,FALSE)-VLOOKUP($A11,main!$A$3:$I$56,6,FALSE),0)</f>
        <v>55</v>
      </c>
      <c r="AW11">
        <f>IF((gamma!AW11),VLOOKUP(AW$1,main!$A$3:$I$56,5,FALSE)-VLOOKUP($A11,main!$A$3:$I$56,6,FALSE),0)</f>
        <v>105</v>
      </c>
      <c r="AX11">
        <f>IF((gamma!AX11),VLOOKUP(AX$1,main!$A$3:$I$56,5,FALSE)-VLOOKUP($A11,main!$A$3:$I$56,6,FALSE),0)</f>
        <v>305</v>
      </c>
      <c r="AY11">
        <f>IF((gamma!AY11),VLOOKUP(AY$1,main!$A$3:$I$56,5,FALSE)-VLOOKUP($A11,main!$A$3:$I$56,6,FALSE),0)</f>
        <v>505</v>
      </c>
      <c r="AZ11">
        <f>IF((gamma!AZ11),VLOOKUP(AZ$1,main!$A$3:$I$56,5,FALSE)-VLOOKUP($A11,main!$A$3:$I$56,6,FALSE),0)</f>
        <v>0</v>
      </c>
      <c r="BA11">
        <f>IF((gamma!BA11),VLOOKUP(BA$1,main!$A$3:$I$56,5,FALSE)-VLOOKUP($A11,main!$A$3:$I$56,6,FALSE),0)</f>
        <v>70</v>
      </c>
      <c r="BB11">
        <f>IF((gamma!BB11),VLOOKUP(BB$1,main!$A$3:$I$56,5,FALSE)-VLOOKUP($A11,main!$A$3:$I$56,6,FALSE),0)</f>
        <v>85</v>
      </c>
      <c r="BC11">
        <f>IF((gamma!BC11),VLOOKUP(BC$1,main!$A$3:$I$56,5,FALSE)-VLOOKUP($A11,main!$A$3:$I$56,6,FALSE),0)</f>
        <v>270</v>
      </c>
      <c r="BD11">
        <f>IF((gamma!BD11),VLOOKUP(BD$1,main!$A$3:$I$56,5,FALSE)-VLOOKUP($A11,main!$A$3:$I$56,6,FALSE),0)</f>
        <v>280</v>
      </c>
    </row>
    <row r="12" spans="1:56" x14ac:dyDescent="0.25">
      <c r="A12">
        <f t="shared" si="2"/>
        <v>10</v>
      </c>
      <c r="B12">
        <v>0</v>
      </c>
      <c r="C12">
        <f>IF((gamma!C12),VLOOKUP(C$1,main!$A$3:$I$56,5,FALSE)-VLOOKUP($A12,main!$A$3:$I$56,6,FALSE),0)</f>
        <v>0</v>
      </c>
      <c r="D12">
        <f>IF((gamma!D12),VLOOKUP(D$1,main!$A$3:$I$56,5,FALSE)-VLOOKUP($A12,main!$A$3:$I$56,6,FALSE),0)</f>
        <v>0</v>
      </c>
      <c r="E12">
        <f>IF((gamma!E12),VLOOKUP(E$1,main!$A$3:$I$56,5,FALSE)-VLOOKUP($A12,main!$A$3:$I$56,6,FALSE),0)</f>
        <v>0</v>
      </c>
      <c r="F12">
        <f>IF((gamma!F12),VLOOKUP(F$1,main!$A$3:$I$56,5,FALSE)-VLOOKUP($A12,main!$A$3:$I$56,6,FALSE),0)</f>
        <v>105</v>
      </c>
      <c r="G12">
        <f>IF((gamma!G12),VLOOKUP(G$1,main!$A$3:$I$56,5,FALSE)-VLOOKUP($A12,main!$A$3:$I$56,6,FALSE),0)</f>
        <v>165</v>
      </c>
      <c r="H12">
        <f>IF((gamma!H12),VLOOKUP(H$1,main!$A$3:$I$56,5,FALSE)-VLOOKUP($A12,main!$A$3:$I$56,6,FALSE),0)</f>
        <v>225</v>
      </c>
      <c r="I12">
        <f>IF((gamma!I12),VLOOKUP(I$1,main!$A$3:$I$56,5,FALSE)-VLOOKUP($A12,main!$A$3:$I$56,6,FALSE),0)</f>
        <v>285</v>
      </c>
      <c r="J12">
        <f>IF((gamma!J12),VLOOKUP(J$1,main!$A$3:$I$56,5,FALSE)-VLOOKUP($A12,main!$A$3:$I$56,6,FALSE),0)</f>
        <v>375</v>
      </c>
      <c r="K12">
        <f>IF((gamma!K12),VLOOKUP(K$1,main!$A$3:$I$56,5,FALSE)-VLOOKUP($A12,main!$A$3:$I$56,6,FALSE),0)</f>
        <v>0</v>
      </c>
      <c r="L12">
        <f>IF((gamma!L12),VLOOKUP(L$1,main!$A$3:$I$56,5,FALSE)-VLOOKUP($A12,main!$A$3:$I$56,6,FALSE),0)</f>
        <v>0</v>
      </c>
      <c r="M12">
        <f>IF((gamma!M12),VLOOKUP(M$1,main!$A$3:$I$56,5,FALSE)-VLOOKUP($A12,main!$A$3:$I$56,6,FALSE),0)</f>
        <v>0</v>
      </c>
      <c r="N12">
        <f>IF((gamma!N12),VLOOKUP(N$1,main!$A$3:$I$56,5,FALSE)-VLOOKUP($A12,main!$A$3:$I$56,6,FALSE),0)</f>
        <v>340</v>
      </c>
      <c r="O12">
        <f>IF((gamma!O12),VLOOKUP(O$1,main!$A$3:$I$56,5,FALSE)-VLOOKUP($A12,main!$A$3:$I$56,6,FALSE),0)</f>
        <v>400</v>
      </c>
      <c r="P12">
        <f>IF((gamma!P12),VLOOKUP(P$1,main!$A$3:$I$56,5,FALSE)-VLOOKUP($A12,main!$A$3:$I$56,6,FALSE),0)</f>
        <v>0</v>
      </c>
      <c r="Q12">
        <f>IF((gamma!Q12),VLOOKUP(Q$1,main!$A$3:$I$56,5,FALSE)-VLOOKUP($A12,main!$A$3:$I$56,6,FALSE),0)</f>
        <v>0</v>
      </c>
      <c r="R12">
        <f>IF((gamma!R12),VLOOKUP(R$1,main!$A$3:$I$56,5,FALSE)-VLOOKUP($A12,main!$A$3:$I$56,6,FALSE),0)</f>
        <v>0</v>
      </c>
      <c r="S12">
        <f>IF((gamma!S12),VLOOKUP(S$1,main!$A$3:$I$56,5,FALSE)-VLOOKUP($A12,main!$A$3:$I$56,6,FALSE),0)</f>
        <v>155</v>
      </c>
      <c r="T12">
        <f>IF((gamma!T12),VLOOKUP(T$1,main!$A$3:$I$56,5,FALSE)-VLOOKUP($A12,main!$A$3:$I$56,6,FALSE),0)</f>
        <v>305</v>
      </c>
      <c r="U12">
        <f>IF((gamma!U12),VLOOKUP(U$1,main!$A$3:$I$56,5,FALSE)-VLOOKUP($A12,main!$A$3:$I$56,6,FALSE),0)</f>
        <v>0</v>
      </c>
      <c r="V12">
        <f>IF((gamma!V12),VLOOKUP(V$1,main!$A$3:$I$56,5,FALSE)-VLOOKUP($A12,main!$A$3:$I$56,6,FALSE),0)</f>
        <v>0</v>
      </c>
      <c r="W12">
        <f>IF((gamma!W12),VLOOKUP(W$1,main!$A$3:$I$56,5,FALSE)-VLOOKUP($A12,main!$A$3:$I$56,6,FALSE),0)</f>
        <v>0</v>
      </c>
      <c r="X12">
        <f>IF((gamma!X12),VLOOKUP(X$1,main!$A$3:$I$56,5,FALSE)-VLOOKUP($A12,main!$A$3:$I$56,6,FALSE),0)</f>
        <v>0</v>
      </c>
      <c r="Y12">
        <f>IF((gamma!Y12),VLOOKUP(Y$1,main!$A$3:$I$56,5,FALSE)-VLOOKUP($A12,main!$A$3:$I$56,6,FALSE),0)</f>
        <v>85</v>
      </c>
      <c r="Z12">
        <f>IF((gamma!Z12),VLOOKUP(Z$1,main!$A$3:$I$56,5,FALSE)-VLOOKUP($A12,main!$A$3:$I$56,6,FALSE),0)</f>
        <v>175</v>
      </c>
      <c r="AA12">
        <f>IF((gamma!AA12),VLOOKUP(AA$1,main!$A$3:$I$56,5,FALSE)-VLOOKUP($A12,main!$A$3:$I$56,6,FALSE),0)</f>
        <v>265</v>
      </c>
      <c r="AB12">
        <f>IF((gamma!AB12),VLOOKUP(AB$1,main!$A$3:$I$56,5,FALSE)-VLOOKUP($A12,main!$A$3:$I$56,6,FALSE),0)</f>
        <v>325</v>
      </c>
      <c r="AC12">
        <f>IF((gamma!AC12),VLOOKUP(AC$1,main!$A$3:$I$56,5,FALSE)-VLOOKUP($A12,main!$A$3:$I$56,6,FALSE),0)</f>
        <v>0</v>
      </c>
      <c r="AD12">
        <f>IF((gamma!AD12),VLOOKUP(AD$1,main!$A$3:$I$56,5,FALSE)-VLOOKUP($A12,main!$A$3:$I$56,6,FALSE),0)</f>
        <v>0</v>
      </c>
      <c r="AE12">
        <f>IF((gamma!AE12),VLOOKUP(AE$1,main!$A$3:$I$56,5,FALSE)-VLOOKUP($A12,main!$A$3:$I$56,6,FALSE),0)</f>
        <v>0</v>
      </c>
      <c r="AF12">
        <f>IF((gamma!AF12),VLOOKUP(AF$1,main!$A$3:$I$56,5,FALSE)-VLOOKUP($A12,main!$A$3:$I$56,6,FALSE),0)</f>
        <v>135</v>
      </c>
      <c r="AG12">
        <f>IF((gamma!AG12),VLOOKUP(AG$1,main!$A$3:$I$56,5,FALSE)-VLOOKUP($A12,main!$A$3:$I$56,6,FALSE),0)</f>
        <v>0</v>
      </c>
      <c r="AH12">
        <f>IF((gamma!AH12),VLOOKUP(AH$1,main!$A$3:$I$56,5,FALSE)-VLOOKUP($A12,main!$A$3:$I$56,6,FALSE),0)</f>
        <v>0</v>
      </c>
      <c r="AI12">
        <f>IF((gamma!AI12),VLOOKUP(AI$1,main!$A$3:$I$56,5,FALSE)-VLOOKUP($A12,main!$A$3:$I$56,6,FALSE),0)</f>
        <v>45</v>
      </c>
      <c r="AJ12">
        <f>IF((gamma!AJ12),VLOOKUP(AJ$1,main!$A$3:$I$56,5,FALSE)-VLOOKUP($A12,main!$A$3:$I$56,6,FALSE),0)</f>
        <v>105</v>
      </c>
      <c r="AK12">
        <f>IF((gamma!AK12),VLOOKUP(AK$1,main!$A$3:$I$56,5,FALSE)-VLOOKUP($A12,main!$A$3:$I$56,6,FALSE),0)</f>
        <v>225</v>
      </c>
      <c r="AL12">
        <f>IF((gamma!AL12),VLOOKUP(AL$1,main!$A$3:$I$56,5,FALSE)-VLOOKUP($A12,main!$A$3:$I$56,6,FALSE),0)</f>
        <v>0</v>
      </c>
      <c r="AM12">
        <f>IF((gamma!AM12),VLOOKUP(AM$1,main!$A$3:$I$56,5,FALSE)-VLOOKUP($A12,main!$A$3:$I$56,6,FALSE),0)</f>
        <v>0</v>
      </c>
      <c r="AN12">
        <f>IF((gamma!AN12),VLOOKUP(AN$1,main!$A$3:$I$56,5,FALSE)-VLOOKUP($A12,main!$A$3:$I$56,6,FALSE),0)</f>
        <v>85</v>
      </c>
      <c r="AO12">
        <f>IF((gamma!AO12),VLOOKUP(AO$1,main!$A$3:$I$56,5,FALSE)-VLOOKUP($A12,main!$A$3:$I$56,6,FALSE),0)</f>
        <v>135</v>
      </c>
      <c r="AP12">
        <f>IF((gamma!AP12),VLOOKUP(AP$1,main!$A$3:$I$56,5,FALSE)-VLOOKUP($A12,main!$A$3:$I$56,6,FALSE),0)</f>
        <v>0</v>
      </c>
      <c r="AQ12">
        <f>IF((gamma!AQ12),VLOOKUP(AQ$1,main!$A$3:$I$56,5,FALSE)-VLOOKUP($A12,main!$A$3:$I$56,6,FALSE),0)</f>
        <v>0</v>
      </c>
      <c r="AR12">
        <f>IF((gamma!AR12),VLOOKUP(AR$1,main!$A$3:$I$56,5,FALSE)-VLOOKUP($A12,main!$A$3:$I$56,6,FALSE),0)</f>
        <v>0</v>
      </c>
      <c r="AS12">
        <f>IF((gamma!AS12),VLOOKUP(AS$1,main!$A$3:$I$56,5,FALSE)-VLOOKUP($A12,main!$A$3:$I$56,6,FALSE),0)</f>
        <v>0</v>
      </c>
      <c r="AT12">
        <f>IF((gamma!AT12),VLOOKUP(AT$1,main!$A$3:$I$56,5,FALSE)-VLOOKUP($A12,main!$A$3:$I$56,6,FALSE),0)</f>
        <v>35</v>
      </c>
      <c r="AU12">
        <f>IF((gamma!AU12),VLOOKUP(AU$1,main!$A$3:$I$56,5,FALSE)-VLOOKUP($A12,main!$A$3:$I$56,6,FALSE),0)</f>
        <v>0</v>
      </c>
      <c r="AV12">
        <f>IF((gamma!AV12),VLOOKUP(AV$1,main!$A$3:$I$56,5,FALSE)-VLOOKUP($A12,main!$A$3:$I$56,6,FALSE),0)</f>
        <v>0</v>
      </c>
      <c r="AW12">
        <f>IF((gamma!AW12),VLOOKUP(AW$1,main!$A$3:$I$56,5,FALSE)-VLOOKUP($A12,main!$A$3:$I$56,6,FALSE),0)</f>
        <v>0</v>
      </c>
      <c r="AX12">
        <f>IF((gamma!AX12),VLOOKUP(AX$1,main!$A$3:$I$56,5,FALSE)-VLOOKUP($A12,main!$A$3:$I$56,6,FALSE),0)</f>
        <v>185</v>
      </c>
      <c r="AY12">
        <f>IF((gamma!AY12),VLOOKUP(AY$1,main!$A$3:$I$56,5,FALSE)-VLOOKUP($A12,main!$A$3:$I$56,6,FALSE),0)</f>
        <v>385</v>
      </c>
      <c r="AZ12">
        <f>IF((gamma!AZ12),VLOOKUP(AZ$1,main!$A$3:$I$56,5,FALSE)-VLOOKUP($A12,main!$A$3:$I$56,6,FALSE),0)</f>
        <v>0</v>
      </c>
      <c r="BA12">
        <f>IF((gamma!BA12),VLOOKUP(BA$1,main!$A$3:$I$56,5,FALSE)-VLOOKUP($A12,main!$A$3:$I$56,6,FALSE),0)</f>
        <v>0</v>
      </c>
      <c r="BB12">
        <f>IF((gamma!BB12),VLOOKUP(BB$1,main!$A$3:$I$56,5,FALSE)-VLOOKUP($A12,main!$A$3:$I$56,6,FALSE),0)</f>
        <v>0</v>
      </c>
      <c r="BC12">
        <f>IF((gamma!BC12),VLOOKUP(BC$1,main!$A$3:$I$56,5,FALSE)-VLOOKUP($A12,main!$A$3:$I$56,6,FALSE),0)</f>
        <v>150</v>
      </c>
      <c r="BD12">
        <f>IF((gamma!BD12),VLOOKUP(BD$1,main!$A$3:$I$56,5,FALSE)-VLOOKUP($A12,main!$A$3:$I$56,6,FALSE),0)</f>
        <v>160</v>
      </c>
    </row>
    <row r="13" spans="1:56" x14ac:dyDescent="0.25">
      <c r="A13">
        <f t="shared" si="2"/>
        <v>11</v>
      </c>
      <c r="B13">
        <v>0</v>
      </c>
      <c r="C13">
        <f>IF((gamma!C13),VLOOKUP(C$1,main!$A$3:$I$56,5,FALSE)-VLOOKUP($A13,main!$A$3:$I$56,6,FALSE),0)</f>
        <v>0</v>
      </c>
      <c r="D13">
        <f>IF((gamma!D13),VLOOKUP(D$1,main!$A$3:$I$56,5,FALSE)-VLOOKUP($A13,main!$A$3:$I$56,6,FALSE),0)</f>
        <v>0</v>
      </c>
      <c r="E13">
        <f>IF((gamma!E13),VLOOKUP(E$1,main!$A$3:$I$56,5,FALSE)-VLOOKUP($A13,main!$A$3:$I$56,6,FALSE),0)</f>
        <v>0</v>
      </c>
      <c r="F13">
        <f>IF((gamma!F13),VLOOKUP(F$1,main!$A$3:$I$56,5,FALSE)-VLOOKUP($A13,main!$A$3:$I$56,6,FALSE),0)</f>
        <v>0</v>
      </c>
      <c r="G13">
        <f>IF((gamma!G13),VLOOKUP(G$1,main!$A$3:$I$56,5,FALSE)-VLOOKUP($A13,main!$A$3:$I$56,6,FALSE),0)</f>
        <v>45</v>
      </c>
      <c r="H13">
        <f>IF((gamma!H13),VLOOKUP(H$1,main!$A$3:$I$56,5,FALSE)-VLOOKUP($A13,main!$A$3:$I$56,6,FALSE),0)</f>
        <v>105</v>
      </c>
      <c r="I13">
        <f>IF((gamma!I13),VLOOKUP(I$1,main!$A$3:$I$56,5,FALSE)-VLOOKUP($A13,main!$A$3:$I$56,6,FALSE),0)</f>
        <v>165</v>
      </c>
      <c r="J13">
        <f>IF((gamma!J13),VLOOKUP(J$1,main!$A$3:$I$56,5,FALSE)-VLOOKUP($A13,main!$A$3:$I$56,6,FALSE),0)</f>
        <v>255</v>
      </c>
      <c r="K13">
        <f>IF((gamma!K13),VLOOKUP(K$1,main!$A$3:$I$56,5,FALSE)-VLOOKUP($A13,main!$A$3:$I$56,6,FALSE),0)</f>
        <v>0</v>
      </c>
      <c r="L13">
        <f>IF((gamma!L13),VLOOKUP(L$1,main!$A$3:$I$56,5,FALSE)-VLOOKUP($A13,main!$A$3:$I$56,6,FALSE),0)</f>
        <v>0</v>
      </c>
      <c r="M13">
        <f>IF((gamma!M13),VLOOKUP(M$1,main!$A$3:$I$56,5,FALSE)-VLOOKUP($A13,main!$A$3:$I$56,6,FALSE),0)</f>
        <v>0</v>
      </c>
      <c r="N13">
        <f>IF((gamma!N13),VLOOKUP(N$1,main!$A$3:$I$56,5,FALSE)-VLOOKUP($A13,main!$A$3:$I$56,6,FALSE),0)</f>
        <v>220</v>
      </c>
      <c r="O13">
        <f>IF((gamma!O13),VLOOKUP(O$1,main!$A$3:$I$56,5,FALSE)-VLOOKUP($A13,main!$A$3:$I$56,6,FALSE),0)</f>
        <v>280</v>
      </c>
      <c r="P13">
        <f>IF((gamma!P13),VLOOKUP(P$1,main!$A$3:$I$56,5,FALSE)-VLOOKUP($A13,main!$A$3:$I$56,6,FALSE),0)</f>
        <v>0</v>
      </c>
      <c r="Q13">
        <f>IF((gamma!Q13),VLOOKUP(Q$1,main!$A$3:$I$56,5,FALSE)-VLOOKUP($A13,main!$A$3:$I$56,6,FALSE),0)</f>
        <v>0</v>
      </c>
      <c r="R13">
        <f>IF((gamma!R13),VLOOKUP(R$1,main!$A$3:$I$56,5,FALSE)-VLOOKUP($A13,main!$A$3:$I$56,6,FALSE),0)</f>
        <v>0</v>
      </c>
      <c r="S13">
        <f>IF((gamma!S13),VLOOKUP(S$1,main!$A$3:$I$56,5,FALSE)-VLOOKUP($A13,main!$A$3:$I$56,6,FALSE),0)</f>
        <v>0</v>
      </c>
      <c r="T13">
        <f>IF((gamma!T13),VLOOKUP(T$1,main!$A$3:$I$56,5,FALSE)-VLOOKUP($A13,main!$A$3:$I$56,6,FALSE),0)</f>
        <v>185</v>
      </c>
      <c r="U13">
        <f>IF((gamma!U13),VLOOKUP(U$1,main!$A$3:$I$56,5,FALSE)-VLOOKUP($A13,main!$A$3:$I$56,6,FALSE),0)</f>
        <v>0</v>
      </c>
      <c r="V13">
        <f>IF((gamma!V13),VLOOKUP(V$1,main!$A$3:$I$56,5,FALSE)-VLOOKUP($A13,main!$A$3:$I$56,6,FALSE),0)</f>
        <v>0</v>
      </c>
      <c r="W13">
        <f>IF((gamma!W13),VLOOKUP(W$1,main!$A$3:$I$56,5,FALSE)-VLOOKUP($A13,main!$A$3:$I$56,6,FALSE),0)</f>
        <v>0</v>
      </c>
      <c r="X13">
        <f>IF((gamma!X13),VLOOKUP(X$1,main!$A$3:$I$56,5,FALSE)-VLOOKUP($A13,main!$A$3:$I$56,6,FALSE),0)</f>
        <v>0</v>
      </c>
      <c r="Y13">
        <f>IF((gamma!Y13),VLOOKUP(Y$1,main!$A$3:$I$56,5,FALSE)-VLOOKUP($A13,main!$A$3:$I$56,6,FALSE),0)</f>
        <v>0</v>
      </c>
      <c r="Z13">
        <f>IF((gamma!Z13),VLOOKUP(Z$1,main!$A$3:$I$56,5,FALSE)-VLOOKUP($A13,main!$A$3:$I$56,6,FALSE),0)</f>
        <v>55</v>
      </c>
      <c r="AA13">
        <f>IF((gamma!AA13),VLOOKUP(AA$1,main!$A$3:$I$56,5,FALSE)-VLOOKUP($A13,main!$A$3:$I$56,6,FALSE),0)</f>
        <v>145</v>
      </c>
      <c r="AB13">
        <f>IF((gamma!AB13),VLOOKUP(AB$1,main!$A$3:$I$56,5,FALSE)-VLOOKUP($A13,main!$A$3:$I$56,6,FALSE),0)</f>
        <v>205</v>
      </c>
      <c r="AC13">
        <f>IF((gamma!AC13),VLOOKUP(AC$1,main!$A$3:$I$56,5,FALSE)-VLOOKUP($A13,main!$A$3:$I$56,6,FALSE),0)</f>
        <v>0</v>
      </c>
      <c r="AD13">
        <f>IF((gamma!AD13),VLOOKUP(AD$1,main!$A$3:$I$56,5,FALSE)-VLOOKUP($A13,main!$A$3:$I$56,6,FALSE),0)</f>
        <v>0</v>
      </c>
      <c r="AE13">
        <f>IF((gamma!AE13),VLOOKUP(AE$1,main!$A$3:$I$56,5,FALSE)-VLOOKUP($A13,main!$A$3:$I$56,6,FALSE),0)</f>
        <v>0</v>
      </c>
      <c r="AF13">
        <f>IF((gamma!AF13),VLOOKUP(AF$1,main!$A$3:$I$56,5,FALSE)-VLOOKUP($A13,main!$A$3:$I$56,6,FALSE),0)</f>
        <v>0</v>
      </c>
      <c r="AG13">
        <f>IF((gamma!AG13),VLOOKUP(AG$1,main!$A$3:$I$56,5,FALSE)-VLOOKUP($A13,main!$A$3:$I$56,6,FALSE),0)</f>
        <v>0</v>
      </c>
      <c r="AH13">
        <f>IF((gamma!AH13),VLOOKUP(AH$1,main!$A$3:$I$56,5,FALSE)-VLOOKUP($A13,main!$A$3:$I$56,6,FALSE),0)</f>
        <v>0</v>
      </c>
      <c r="AI13">
        <f>IF((gamma!AI13),VLOOKUP(AI$1,main!$A$3:$I$56,5,FALSE)-VLOOKUP($A13,main!$A$3:$I$56,6,FALSE),0)</f>
        <v>0</v>
      </c>
      <c r="AJ13">
        <f>IF((gamma!AJ13),VLOOKUP(AJ$1,main!$A$3:$I$56,5,FALSE)-VLOOKUP($A13,main!$A$3:$I$56,6,FALSE),0)</f>
        <v>0</v>
      </c>
      <c r="AK13">
        <f>IF((gamma!AK13),VLOOKUP(AK$1,main!$A$3:$I$56,5,FALSE)-VLOOKUP($A13,main!$A$3:$I$56,6,FALSE),0)</f>
        <v>105</v>
      </c>
      <c r="AL13">
        <f>IF((gamma!AL13),VLOOKUP(AL$1,main!$A$3:$I$56,5,FALSE)-VLOOKUP($A13,main!$A$3:$I$56,6,FALSE),0)</f>
        <v>0</v>
      </c>
      <c r="AM13">
        <f>IF((gamma!AM13),VLOOKUP(AM$1,main!$A$3:$I$56,5,FALSE)-VLOOKUP($A13,main!$A$3:$I$56,6,FALSE),0)</f>
        <v>0</v>
      </c>
      <c r="AN13">
        <f>IF((gamma!AN13),VLOOKUP(AN$1,main!$A$3:$I$56,5,FALSE)-VLOOKUP($A13,main!$A$3:$I$56,6,FALSE),0)</f>
        <v>0</v>
      </c>
      <c r="AO13">
        <f>IF((gamma!AO13),VLOOKUP(AO$1,main!$A$3:$I$56,5,FALSE)-VLOOKUP($A13,main!$A$3:$I$56,6,FALSE),0)</f>
        <v>15</v>
      </c>
      <c r="AP13">
        <f>IF((gamma!AP13),VLOOKUP(AP$1,main!$A$3:$I$56,5,FALSE)-VLOOKUP($A13,main!$A$3:$I$56,6,FALSE),0)</f>
        <v>0</v>
      </c>
      <c r="AQ13">
        <f>IF((gamma!AQ13),VLOOKUP(AQ$1,main!$A$3:$I$56,5,FALSE)-VLOOKUP($A13,main!$A$3:$I$56,6,FALSE),0)</f>
        <v>0</v>
      </c>
      <c r="AR13">
        <f>IF((gamma!AR13),VLOOKUP(AR$1,main!$A$3:$I$56,5,FALSE)-VLOOKUP($A13,main!$A$3:$I$56,6,FALSE),0)</f>
        <v>0</v>
      </c>
      <c r="AS13">
        <f>IF((gamma!AS13),VLOOKUP(AS$1,main!$A$3:$I$56,5,FALSE)-VLOOKUP($A13,main!$A$3:$I$56,6,FALSE),0)</f>
        <v>0</v>
      </c>
      <c r="AT13">
        <f>IF((gamma!AT13),VLOOKUP(AT$1,main!$A$3:$I$56,5,FALSE)-VLOOKUP($A13,main!$A$3:$I$56,6,FALSE),0)</f>
        <v>0</v>
      </c>
      <c r="AU13">
        <f>IF((gamma!AU13),VLOOKUP(AU$1,main!$A$3:$I$56,5,FALSE)-VLOOKUP($A13,main!$A$3:$I$56,6,FALSE),0)</f>
        <v>0</v>
      </c>
      <c r="AV13">
        <f>IF((gamma!AV13),VLOOKUP(AV$1,main!$A$3:$I$56,5,FALSE)-VLOOKUP($A13,main!$A$3:$I$56,6,FALSE),0)</f>
        <v>0</v>
      </c>
      <c r="AW13">
        <f>IF((gamma!AW13),VLOOKUP(AW$1,main!$A$3:$I$56,5,FALSE)-VLOOKUP($A13,main!$A$3:$I$56,6,FALSE),0)</f>
        <v>0</v>
      </c>
      <c r="AX13">
        <f>IF((gamma!AX13),VLOOKUP(AX$1,main!$A$3:$I$56,5,FALSE)-VLOOKUP($A13,main!$A$3:$I$56,6,FALSE),0)</f>
        <v>65</v>
      </c>
      <c r="AY13">
        <f>IF((gamma!AY13),VLOOKUP(AY$1,main!$A$3:$I$56,5,FALSE)-VLOOKUP($A13,main!$A$3:$I$56,6,FALSE),0)</f>
        <v>265</v>
      </c>
      <c r="AZ13">
        <f>IF((gamma!AZ13),VLOOKUP(AZ$1,main!$A$3:$I$56,5,FALSE)-VLOOKUP($A13,main!$A$3:$I$56,6,FALSE),0)</f>
        <v>0</v>
      </c>
      <c r="BA13">
        <f>IF((gamma!BA13),VLOOKUP(BA$1,main!$A$3:$I$56,5,FALSE)-VLOOKUP($A13,main!$A$3:$I$56,6,FALSE),0)</f>
        <v>0</v>
      </c>
      <c r="BB13">
        <f>IF((gamma!BB13),VLOOKUP(BB$1,main!$A$3:$I$56,5,FALSE)-VLOOKUP($A13,main!$A$3:$I$56,6,FALSE),0)</f>
        <v>0</v>
      </c>
      <c r="BC13">
        <f>IF((gamma!BC13),VLOOKUP(BC$1,main!$A$3:$I$56,5,FALSE)-VLOOKUP($A13,main!$A$3:$I$56,6,FALSE),0)</f>
        <v>0</v>
      </c>
      <c r="BD13">
        <f>IF((gamma!BD13),VLOOKUP(BD$1,main!$A$3:$I$56,5,FALSE)-VLOOKUP($A13,main!$A$3:$I$56,6,FALSE),0)</f>
        <v>0</v>
      </c>
    </row>
    <row r="14" spans="1:56" x14ac:dyDescent="0.25">
      <c r="A14">
        <f t="shared" si="2"/>
        <v>12</v>
      </c>
      <c r="B14">
        <v>0</v>
      </c>
      <c r="C14">
        <f>IF((gamma!C14),VLOOKUP(C$1,main!$A$3:$I$56,5,FALSE)-VLOOKUP($A14,main!$A$3:$I$56,6,FALSE),0)</f>
        <v>0</v>
      </c>
      <c r="D14">
        <f>IF((gamma!D14),VLOOKUP(D$1,main!$A$3:$I$56,5,FALSE)-VLOOKUP($A14,main!$A$3:$I$56,6,FALSE),0)</f>
        <v>0</v>
      </c>
      <c r="E14">
        <f>IF((gamma!E14),VLOOKUP(E$1,main!$A$3:$I$56,5,FALSE)-VLOOKUP($A14,main!$A$3:$I$56,6,FALSE),0)</f>
        <v>0</v>
      </c>
      <c r="F14">
        <f>IF((gamma!F14),VLOOKUP(F$1,main!$A$3:$I$56,5,FALSE)-VLOOKUP($A14,main!$A$3:$I$56,6,FALSE),0)</f>
        <v>0</v>
      </c>
      <c r="G14">
        <f>IF((gamma!G14),VLOOKUP(G$1,main!$A$3:$I$56,5,FALSE)-VLOOKUP($A14,main!$A$3:$I$56,6,FALSE),0)</f>
        <v>0</v>
      </c>
      <c r="H14">
        <f>IF((gamma!H14),VLOOKUP(H$1,main!$A$3:$I$56,5,FALSE)-VLOOKUP($A14,main!$A$3:$I$56,6,FALSE),0)</f>
        <v>0</v>
      </c>
      <c r="I14">
        <f>IF((gamma!I14),VLOOKUP(I$1,main!$A$3:$I$56,5,FALSE)-VLOOKUP($A14,main!$A$3:$I$56,6,FALSE),0)</f>
        <v>0</v>
      </c>
      <c r="J14">
        <f>IF((gamma!J14),VLOOKUP(J$1,main!$A$3:$I$56,5,FALSE)-VLOOKUP($A14,main!$A$3:$I$56,6,FALSE),0)</f>
        <v>0</v>
      </c>
      <c r="K14">
        <f>IF((gamma!K14),VLOOKUP(K$1,main!$A$3:$I$56,5,FALSE)-VLOOKUP($A14,main!$A$3:$I$56,6,FALSE),0)</f>
        <v>0</v>
      </c>
      <c r="L14">
        <f>IF((gamma!L14),VLOOKUP(L$1,main!$A$3:$I$56,5,FALSE)-VLOOKUP($A14,main!$A$3:$I$56,6,FALSE),0)</f>
        <v>0</v>
      </c>
      <c r="M14">
        <f>IF((gamma!M14),VLOOKUP(M$1,main!$A$3:$I$56,5,FALSE)-VLOOKUP($A14,main!$A$3:$I$56,6,FALSE),0)</f>
        <v>0</v>
      </c>
      <c r="N14">
        <f>IF((gamma!N14),VLOOKUP(N$1,main!$A$3:$I$56,5,FALSE)-VLOOKUP($A14,main!$A$3:$I$56,6,FALSE),0)</f>
        <v>0</v>
      </c>
      <c r="O14">
        <f>IF((gamma!O14),VLOOKUP(O$1,main!$A$3:$I$56,5,FALSE)-VLOOKUP($A14,main!$A$3:$I$56,6,FALSE),0)</f>
        <v>0</v>
      </c>
      <c r="P14">
        <f>IF((gamma!P14),VLOOKUP(P$1,main!$A$3:$I$56,5,FALSE)-VLOOKUP($A14,main!$A$3:$I$56,6,FALSE),0)</f>
        <v>0</v>
      </c>
      <c r="Q14">
        <f>IF((gamma!Q14),VLOOKUP(Q$1,main!$A$3:$I$56,5,FALSE)-VLOOKUP($A14,main!$A$3:$I$56,6,FALSE),0)</f>
        <v>0</v>
      </c>
      <c r="R14">
        <f>IF((gamma!R14),VLOOKUP(R$1,main!$A$3:$I$56,5,FALSE)-VLOOKUP($A14,main!$A$3:$I$56,6,FALSE),0)</f>
        <v>0</v>
      </c>
      <c r="S14">
        <f>IF((gamma!S14),VLOOKUP(S$1,main!$A$3:$I$56,5,FALSE)-VLOOKUP($A14,main!$A$3:$I$56,6,FALSE),0)</f>
        <v>0</v>
      </c>
      <c r="T14">
        <f>IF((gamma!T14),VLOOKUP(T$1,main!$A$3:$I$56,5,FALSE)-VLOOKUP($A14,main!$A$3:$I$56,6,FALSE),0)</f>
        <v>0</v>
      </c>
      <c r="U14">
        <f>IF((gamma!U14),VLOOKUP(U$1,main!$A$3:$I$56,5,FALSE)-VLOOKUP($A14,main!$A$3:$I$56,6,FALSE),0)</f>
        <v>0</v>
      </c>
      <c r="V14">
        <f>IF((gamma!V14),VLOOKUP(V$1,main!$A$3:$I$56,5,FALSE)-VLOOKUP($A14,main!$A$3:$I$56,6,FALSE),0)</f>
        <v>0</v>
      </c>
      <c r="W14">
        <f>IF((gamma!W14),VLOOKUP(W$1,main!$A$3:$I$56,5,FALSE)-VLOOKUP($A14,main!$A$3:$I$56,6,FALSE),0)</f>
        <v>0</v>
      </c>
      <c r="X14">
        <f>IF((gamma!X14),VLOOKUP(X$1,main!$A$3:$I$56,5,FALSE)-VLOOKUP($A14,main!$A$3:$I$56,6,FALSE),0)</f>
        <v>0</v>
      </c>
      <c r="Y14">
        <f>IF((gamma!Y14),VLOOKUP(Y$1,main!$A$3:$I$56,5,FALSE)-VLOOKUP($A14,main!$A$3:$I$56,6,FALSE),0)</f>
        <v>0</v>
      </c>
      <c r="Z14">
        <f>IF((gamma!Z14),VLOOKUP(Z$1,main!$A$3:$I$56,5,FALSE)-VLOOKUP($A14,main!$A$3:$I$56,6,FALSE),0)</f>
        <v>0</v>
      </c>
      <c r="AA14">
        <f>IF((gamma!AA14),VLOOKUP(AA$1,main!$A$3:$I$56,5,FALSE)-VLOOKUP($A14,main!$A$3:$I$56,6,FALSE),0)</f>
        <v>0</v>
      </c>
      <c r="AB14">
        <f>IF((gamma!AB14),VLOOKUP(AB$1,main!$A$3:$I$56,5,FALSE)-VLOOKUP($A14,main!$A$3:$I$56,6,FALSE),0)</f>
        <v>0</v>
      </c>
      <c r="AC14">
        <f>IF((gamma!AC14),VLOOKUP(AC$1,main!$A$3:$I$56,5,FALSE)-VLOOKUP($A14,main!$A$3:$I$56,6,FALSE),0)</f>
        <v>0</v>
      </c>
      <c r="AD14">
        <f>IF((gamma!AD14),VLOOKUP(AD$1,main!$A$3:$I$56,5,FALSE)-VLOOKUP($A14,main!$A$3:$I$56,6,FALSE),0)</f>
        <v>0</v>
      </c>
      <c r="AE14">
        <f>IF((gamma!AE14),VLOOKUP(AE$1,main!$A$3:$I$56,5,FALSE)-VLOOKUP($A14,main!$A$3:$I$56,6,FALSE),0)</f>
        <v>0</v>
      </c>
      <c r="AF14">
        <f>IF((gamma!AF14),VLOOKUP(AF$1,main!$A$3:$I$56,5,FALSE)-VLOOKUP($A14,main!$A$3:$I$56,6,FALSE),0)</f>
        <v>0</v>
      </c>
      <c r="AG14">
        <f>IF((gamma!AG14),VLOOKUP(AG$1,main!$A$3:$I$56,5,FALSE)-VLOOKUP($A14,main!$A$3:$I$56,6,FALSE),0)</f>
        <v>0</v>
      </c>
      <c r="AH14">
        <f>IF((gamma!AH14),VLOOKUP(AH$1,main!$A$3:$I$56,5,FALSE)-VLOOKUP($A14,main!$A$3:$I$56,6,FALSE),0)</f>
        <v>0</v>
      </c>
      <c r="AI14">
        <f>IF((gamma!AI14),VLOOKUP(AI$1,main!$A$3:$I$56,5,FALSE)-VLOOKUP($A14,main!$A$3:$I$56,6,FALSE),0)</f>
        <v>0</v>
      </c>
      <c r="AJ14">
        <f>IF((gamma!AJ14),VLOOKUP(AJ$1,main!$A$3:$I$56,5,FALSE)-VLOOKUP($A14,main!$A$3:$I$56,6,FALSE),0)</f>
        <v>0</v>
      </c>
      <c r="AK14">
        <f>IF((gamma!AK14),VLOOKUP(AK$1,main!$A$3:$I$56,5,FALSE)-VLOOKUP($A14,main!$A$3:$I$56,6,FALSE),0)</f>
        <v>0</v>
      </c>
      <c r="AL14">
        <f>IF((gamma!AL14),VLOOKUP(AL$1,main!$A$3:$I$56,5,FALSE)-VLOOKUP($A14,main!$A$3:$I$56,6,FALSE),0)</f>
        <v>0</v>
      </c>
      <c r="AM14">
        <f>IF((gamma!AM14),VLOOKUP(AM$1,main!$A$3:$I$56,5,FALSE)-VLOOKUP($A14,main!$A$3:$I$56,6,FALSE),0)</f>
        <v>0</v>
      </c>
      <c r="AN14">
        <f>IF((gamma!AN14),VLOOKUP(AN$1,main!$A$3:$I$56,5,FALSE)-VLOOKUP($A14,main!$A$3:$I$56,6,FALSE),0)</f>
        <v>0</v>
      </c>
      <c r="AO14">
        <f>IF((gamma!AO14),VLOOKUP(AO$1,main!$A$3:$I$56,5,FALSE)-VLOOKUP($A14,main!$A$3:$I$56,6,FALSE),0)</f>
        <v>0</v>
      </c>
      <c r="AP14">
        <f>IF((gamma!AP14),VLOOKUP(AP$1,main!$A$3:$I$56,5,FALSE)-VLOOKUP($A14,main!$A$3:$I$56,6,FALSE),0)</f>
        <v>0</v>
      </c>
      <c r="AQ14">
        <f>IF((gamma!AQ14),VLOOKUP(AQ$1,main!$A$3:$I$56,5,FALSE)-VLOOKUP($A14,main!$A$3:$I$56,6,FALSE),0)</f>
        <v>0</v>
      </c>
      <c r="AR14">
        <f>IF((gamma!AR14),VLOOKUP(AR$1,main!$A$3:$I$56,5,FALSE)-VLOOKUP($A14,main!$A$3:$I$56,6,FALSE),0)</f>
        <v>0</v>
      </c>
      <c r="AS14">
        <f>IF((gamma!AS14),VLOOKUP(AS$1,main!$A$3:$I$56,5,FALSE)-VLOOKUP($A14,main!$A$3:$I$56,6,FALSE),0)</f>
        <v>0</v>
      </c>
      <c r="AT14">
        <f>IF((gamma!AT14),VLOOKUP(AT$1,main!$A$3:$I$56,5,FALSE)-VLOOKUP($A14,main!$A$3:$I$56,6,FALSE),0)</f>
        <v>0</v>
      </c>
      <c r="AU14">
        <f>IF((gamma!AU14),VLOOKUP(AU$1,main!$A$3:$I$56,5,FALSE)-VLOOKUP($A14,main!$A$3:$I$56,6,FALSE),0)</f>
        <v>0</v>
      </c>
      <c r="AV14">
        <f>IF((gamma!AV14),VLOOKUP(AV$1,main!$A$3:$I$56,5,FALSE)-VLOOKUP($A14,main!$A$3:$I$56,6,FALSE),0)</f>
        <v>0</v>
      </c>
      <c r="AW14">
        <f>IF((gamma!AW14),VLOOKUP(AW$1,main!$A$3:$I$56,5,FALSE)-VLOOKUP($A14,main!$A$3:$I$56,6,FALSE),0)</f>
        <v>0</v>
      </c>
      <c r="AX14">
        <f>IF((gamma!AX14),VLOOKUP(AX$1,main!$A$3:$I$56,5,FALSE)-VLOOKUP($A14,main!$A$3:$I$56,6,FALSE),0)</f>
        <v>0</v>
      </c>
      <c r="AY14">
        <f>IF((gamma!AY14),VLOOKUP(AY$1,main!$A$3:$I$56,5,FALSE)-VLOOKUP($A14,main!$A$3:$I$56,6,FALSE),0)</f>
        <v>0</v>
      </c>
      <c r="AZ14">
        <f>IF((gamma!AZ14),VLOOKUP(AZ$1,main!$A$3:$I$56,5,FALSE)-VLOOKUP($A14,main!$A$3:$I$56,6,FALSE),0)</f>
        <v>0</v>
      </c>
      <c r="BA14">
        <f>IF((gamma!BA14),VLOOKUP(BA$1,main!$A$3:$I$56,5,FALSE)-VLOOKUP($A14,main!$A$3:$I$56,6,FALSE),0)</f>
        <v>0</v>
      </c>
      <c r="BB14">
        <f>IF((gamma!BB14),VLOOKUP(BB$1,main!$A$3:$I$56,5,FALSE)-VLOOKUP($A14,main!$A$3:$I$56,6,FALSE),0)</f>
        <v>0</v>
      </c>
      <c r="BC14">
        <f>IF((gamma!BC14),VLOOKUP(BC$1,main!$A$3:$I$56,5,FALSE)-VLOOKUP($A14,main!$A$3:$I$56,6,FALSE),0)</f>
        <v>0</v>
      </c>
      <c r="BD14">
        <f>IF((gamma!BD14),VLOOKUP(BD$1,main!$A$3:$I$56,5,FALSE)-VLOOKUP($A14,main!$A$3:$I$56,6,FALSE),0)</f>
        <v>0</v>
      </c>
    </row>
    <row r="15" spans="1:56" x14ac:dyDescent="0.25">
      <c r="A15">
        <f t="shared" si="2"/>
        <v>13</v>
      </c>
      <c r="B15">
        <v>0</v>
      </c>
      <c r="C15">
        <f>IF((gamma!C15),VLOOKUP(C$1,main!$A$3:$I$56,5,FALSE)-VLOOKUP($A15,main!$A$3:$I$56,6,FALSE),0)</f>
        <v>0</v>
      </c>
      <c r="D15">
        <f>IF((gamma!D15),VLOOKUP(D$1,main!$A$3:$I$56,5,FALSE)-VLOOKUP($A15,main!$A$3:$I$56,6,FALSE),0)</f>
        <v>0</v>
      </c>
      <c r="E15">
        <f>IF((gamma!E15),VLOOKUP(E$1,main!$A$3:$I$56,5,FALSE)-VLOOKUP($A15,main!$A$3:$I$56,6,FALSE),0)</f>
        <v>0</v>
      </c>
      <c r="F15">
        <f>IF((gamma!F15),VLOOKUP(F$1,main!$A$3:$I$56,5,FALSE)-VLOOKUP($A15,main!$A$3:$I$56,6,FALSE),0)</f>
        <v>0</v>
      </c>
      <c r="G15">
        <f>IF((gamma!G15),VLOOKUP(G$1,main!$A$3:$I$56,5,FALSE)-VLOOKUP($A15,main!$A$3:$I$56,6,FALSE),0)</f>
        <v>0</v>
      </c>
      <c r="H15">
        <f>IF((gamma!H15),VLOOKUP(H$1,main!$A$3:$I$56,5,FALSE)-VLOOKUP($A15,main!$A$3:$I$56,6,FALSE),0)</f>
        <v>0</v>
      </c>
      <c r="I15">
        <f>IF((gamma!I15),VLOOKUP(I$1,main!$A$3:$I$56,5,FALSE)-VLOOKUP($A15,main!$A$3:$I$56,6,FALSE),0)</f>
        <v>0</v>
      </c>
      <c r="J15">
        <f>IF((gamma!J15),VLOOKUP(J$1,main!$A$3:$I$56,5,FALSE)-VLOOKUP($A15,main!$A$3:$I$56,6,FALSE),0)</f>
        <v>0</v>
      </c>
      <c r="K15">
        <f>IF((gamma!K15),VLOOKUP(K$1,main!$A$3:$I$56,5,FALSE)-VLOOKUP($A15,main!$A$3:$I$56,6,FALSE),0)</f>
        <v>0</v>
      </c>
      <c r="L15">
        <f>IF((gamma!L15),VLOOKUP(L$1,main!$A$3:$I$56,5,FALSE)-VLOOKUP($A15,main!$A$3:$I$56,6,FALSE),0)</f>
        <v>0</v>
      </c>
      <c r="M15">
        <f>IF((gamma!M15),VLOOKUP(M$1,main!$A$3:$I$56,5,FALSE)-VLOOKUP($A15,main!$A$3:$I$56,6,FALSE),0)</f>
        <v>0</v>
      </c>
      <c r="N15">
        <f>IF((gamma!N15),VLOOKUP(N$1,main!$A$3:$I$56,5,FALSE)-VLOOKUP($A15,main!$A$3:$I$56,6,FALSE),0)</f>
        <v>0</v>
      </c>
      <c r="O15">
        <f>IF((gamma!O15),VLOOKUP(O$1,main!$A$3:$I$56,5,FALSE)-VLOOKUP($A15,main!$A$3:$I$56,6,FALSE),0)</f>
        <v>0</v>
      </c>
      <c r="P15">
        <f>IF((gamma!P15),VLOOKUP(P$1,main!$A$3:$I$56,5,FALSE)-VLOOKUP($A15,main!$A$3:$I$56,6,FALSE),0)</f>
        <v>0</v>
      </c>
      <c r="Q15">
        <f>IF((gamma!Q15),VLOOKUP(Q$1,main!$A$3:$I$56,5,FALSE)-VLOOKUP($A15,main!$A$3:$I$56,6,FALSE),0)</f>
        <v>0</v>
      </c>
      <c r="R15">
        <f>IF((gamma!R15),VLOOKUP(R$1,main!$A$3:$I$56,5,FALSE)-VLOOKUP($A15,main!$A$3:$I$56,6,FALSE),0)</f>
        <v>0</v>
      </c>
      <c r="S15">
        <f>IF((gamma!S15),VLOOKUP(S$1,main!$A$3:$I$56,5,FALSE)-VLOOKUP($A15,main!$A$3:$I$56,6,FALSE),0)</f>
        <v>0</v>
      </c>
      <c r="T15">
        <f>IF((gamma!T15),VLOOKUP(T$1,main!$A$3:$I$56,5,FALSE)-VLOOKUP($A15,main!$A$3:$I$56,6,FALSE),0)</f>
        <v>0</v>
      </c>
      <c r="U15">
        <f>IF((gamma!U15),VLOOKUP(U$1,main!$A$3:$I$56,5,FALSE)-VLOOKUP($A15,main!$A$3:$I$56,6,FALSE),0)</f>
        <v>0</v>
      </c>
      <c r="V15">
        <f>IF((gamma!V15),VLOOKUP(V$1,main!$A$3:$I$56,5,FALSE)-VLOOKUP($A15,main!$A$3:$I$56,6,FALSE),0)</f>
        <v>0</v>
      </c>
      <c r="W15">
        <f>IF((gamma!W15),VLOOKUP(W$1,main!$A$3:$I$56,5,FALSE)-VLOOKUP($A15,main!$A$3:$I$56,6,FALSE),0)</f>
        <v>0</v>
      </c>
      <c r="X15">
        <f>IF((gamma!X15),VLOOKUP(X$1,main!$A$3:$I$56,5,FALSE)-VLOOKUP($A15,main!$A$3:$I$56,6,FALSE),0)</f>
        <v>0</v>
      </c>
      <c r="Y15">
        <f>IF((gamma!Y15),VLOOKUP(Y$1,main!$A$3:$I$56,5,FALSE)-VLOOKUP($A15,main!$A$3:$I$56,6,FALSE),0)</f>
        <v>0</v>
      </c>
      <c r="Z15">
        <f>IF((gamma!Z15),VLOOKUP(Z$1,main!$A$3:$I$56,5,FALSE)-VLOOKUP($A15,main!$A$3:$I$56,6,FALSE),0)</f>
        <v>0</v>
      </c>
      <c r="AA15">
        <f>IF((gamma!AA15),VLOOKUP(AA$1,main!$A$3:$I$56,5,FALSE)-VLOOKUP($A15,main!$A$3:$I$56,6,FALSE),0)</f>
        <v>0</v>
      </c>
      <c r="AB15">
        <f>IF((gamma!AB15),VLOOKUP(AB$1,main!$A$3:$I$56,5,FALSE)-VLOOKUP($A15,main!$A$3:$I$56,6,FALSE),0)</f>
        <v>0</v>
      </c>
      <c r="AC15">
        <f>IF((gamma!AC15),VLOOKUP(AC$1,main!$A$3:$I$56,5,FALSE)-VLOOKUP($A15,main!$A$3:$I$56,6,FALSE),0)</f>
        <v>0</v>
      </c>
      <c r="AD15">
        <f>IF((gamma!AD15),VLOOKUP(AD$1,main!$A$3:$I$56,5,FALSE)-VLOOKUP($A15,main!$A$3:$I$56,6,FALSE),0)</f>
        <v>0</v>
      </c>
      <c r="AE15">
        <f>IF((gamma!AE15),VLOOKUP(AE$1,main!$A$3:$I$56,5,FALSE)-VLOOKUP($A15,main!$A$3:$I$56,6,FALSE),0)</f>
        <v>0</v>
      </c>
      <c r="AF15">
        <f>IF((gamma!AF15),VLOOKUP(AF$1,main!$A$3:$I$56,5,FALSE)-VLOOKUP($A15,main!$A$3:$I$56,6,FALSE),0)</f>
        <v>0</v>
      </c>
      <c r="AG15">
        <f>IF((gamma!AG15),VLOOKUP(AG$1,main!$A$3:$I$56,5,FALSE)-VLOOKUP($A15,main!$A$3:$I$56,6,FALSE),0)</f>
        <v>0</v>
      </c>
      <c r="AH15">
        <f>IF((gamma!AH15),VLOOKUP(AH$1,main!$A$3:$I$56,5,FALSE)-VLOOKUP($A15,main!$A$3:$I$56,6,FALSE),0)</f>
        <v>0</v>
      </c>
      <c r="AI15">
        <f>IF((gamma!AI15),VLOOKUP(AI$1,main!$A$3:$I$56,5,FALSE)-VLOOKUP($A15,main!$A$3:$I$56,6,FALSE),0)</f>
        <v>0</v>
      </c>
      <c r="AJ15">
        <f>IF((gamma!AJ15),VLOOKUP(AJ$1,main!$A$3:$I$56,5,FALSE)-VLOOKUP($A15,main!$A$3:$I$56,6,FALSE),0)</f>
        <v>0</v>
      </c>
      <c r="AK15">
        <f>IF((gamma!AK15),VLOOKUP(AK$1,main!$A$3:$I$56,5,FALSE)-VLOOKUP($A15,main!$A$3:$I$56,6,FALSE),0)</f>
        <v>0</v>
      </c>
      <c r="AL15">
        <f>IF((gamma!AL15),VLOOKUP(AL$1,main!$A$3:$I$56,5,FALSE)-VLOOKUP($A15,main!$A$3:$I$56,6,FALSE),0)</f>
        <v>0</v>
      </c>
      <c r="AM15">
        <f>IF((gamma!AM15),VLOOKUP(AM$1,main!$A$3:$I$56,5,FALSE)-VLOOKUP($A15,main!$A$3:$I$56,6,FALSE),0)</f>
        <v>0</v>
      </c>
      <c r="AN15">
        <f>IF((gamma!AN15),VLOOKUP(AN$1,main!$A$3:$I$56,5,FALSE)-VLOOKUP($A15,main!$A$3:$I$56,6,FALSE),0)</f>
        <v>0</v>
      </c>
      <c r="AO15">
        <f>IF((gamma!AO15),VLOOKUP(AO$1,main!$A$3:$I$56,5,FALSE)-VLOOKUP($A15,main!$A$3:$I$56,6,FALSE),0)</f>
        <v>0</v>
      </c>
      <c r="AP15">
        <f>IF((gamma!AP15),VLOOKUP(AP$1,main!$A$3:$I$56,5,FALSE)-VLOOKUP($A15,main!$A$3:$I$56,6,FALSE),0)</f>
        <v>0</v>
      </c>
      <c r="AQ15">
        <f>IF((gamma!AQ15),VLOOKUP(AQ$1,main!$A$3:$I$56,5,FALSE)-VLOOKUP($A15,main!$A$3:$I$56,6,FALSE),0)</f>
        <v>0</v>
      </c>
      <c r="AR15">
        <f>IF((gamma!AR15),VLOOKUP(AR$1,main!$A$3:$I$56,5,FALSE)-VLOOKUP($A15,main!$A$3:$I$56,6,FALSE),0)</f>
        <v>0</v>
      </c>
      <c r="AS15">
        <f>IF((gamma!AS15),VLOOKUP(AS$1,main!$A$3:$I$56,5,FALSE)-VLOOKUP($A15,main!$A$3:$I$56,6,FALSE),0)</f>
        <v>0</v>
      </c>
      <c r="AT15">
        <f>IF((gamma!AT15),VLOOKUP(AT$1,main!$A$3:$I$56,5,FALSE)-VLOOKUP($A15,main!$A$3:$I$56,6,FALSE),0)</f>
        <v>0</v>
      </c>
      <c r="AU15">
        <f>IF((gamma!AU15),VLOOKUP(AU$1,main!$A$3:$I$56,5,FALSE)-VLOOKUP($A15,main!$A$3:$I$56,6,FALSE),0)</f>
        <v>0</v>
      </c>
      <c r="AV15">
        <f>IF((gamma!AV15),VLOOKUP(AV$1,main!$A$3:$I$56,5,FALSE)-VLOOKUP($A15,main!$A$3:$I$56,6,FALSE),0)</f>
        <v>0</v>
      </c>
      <c r="AW15">
        <f>IF((gamma!AW15),VLOOKUP(AW$1,main!$A$3:$I$56,5,FALSE)-VLOOKUP($A15,main!$A$3:$I$56,6,FALSE),0)</f>
        <v>0</v>
      </c>
      <c r="AX15">
        <f>IF((gamma!AX15),VLOOKUP(AX$1,main!$A$3:$I$56,5,FALSE)-VLOOKUP($A15,main!$A$3:$I$56,6,FALSE),0)</f>
        <v>0</v>
      </c>
      <c r="AY15">
        <f>IF((gamma!AY15),VLOOKUP(AY$1,main!$A$3:$I$56,5,FALSE)-VLOOKUP($A15,main!$A$3:$I$56,6,FALSE),0)</f>
        <v>0</v>
      </c>
      <c r="AZ15">
        <f>IF((gamma!AZ15),VLOOKUP(AZ$1,main!$A$3:$I$56,5,FALSE)-VLOOKUP($A15,main!$A$3:$I$56,6,FALSE),0)</f>
        <v>0</v>
      </c>
      <c r="BA15">
        <f>IF((gamma!BA15),VLOOKUP(BA$1,main!$A$3:$I$56,5,FALSE)-VLOOKUP($A15,main!$A$3:$I$56,6,FALSE),0)</f>
        <v>0</v>
      </c>
      <c r="BB15">
        <f>IF((gamma!BB15),VLOOKUP(BB$1,main!$A$3:$I$56,5,FALSE)-VLOOKUP($A15,main!$A$3:$I$56,6,FALSE),0)</f>
        <v>0</v>
      </c>
      <c r="BC15">
        <f>IF((gamma!BC15),VLOOKUP(BC$1,main!$A$3:$I$56,5,FALSE)-VLOOKUP($A15,main!$A$3:$I$56,6,FALSE),0)</f>
        <v>0</v>
      </c>
      <c r="BD15">
        <f>IF((gamma!BD15),VLOOKUP(BD$1,main!$A$3:$I$56,5,FALSE)-VLOOKUP($A15,main!$A$3:$I$56,6,FALSE),0)</f>
        <v>0</v>
      </c>
    </row>
    <row r="16" spans="1:56" x14ac:dyDescent="0.25">
      <c r="A16">
        <f t="shared" si="2"/>
        <v>14</v>
      </c>
      <c r="B16">
        <v>0</v>
      </c>
      <c r="C16">
        <f>IF((gamma!C16),VLOOKUP(C$1,main!$A$3:$I$56,5,FALSE)-VLOOKUP($A16,main!$A$3:$I$56,6,FALSE),0)</f>
        <v>0</v>
      </c>
      <c r="D16">
        <f>IF((gamma!D16),VLOOKUP(D$1,main!$A$3:$I$56,5,FALSE)-VLOOKUP($A16,main!$A$3:$I$56,6,FALSE),0)</f>
        <v>0</v>
      </c>
      <c r="E16">
        <f>IF((gamma!E16),VLOOKUP(E$1,main!$A$3:$I$56,5,FALSE)-VLOOKUP($A16,main!$A$3:$I$56,6,FALSE),0)</f>
        <v>130</v>
      </c>
      <c r="F16">
        <f>IF((gamma!F16),VLOOKUP(F$1,main!$A$3:$I$56,5,FALSE)-VLOOKUP($A16,main!$A$3:$I$56,6,FALSE),0)</f>
        <v>220</v>
      </c>
      <c r="G16">
        <f>IF((gamma!G16),VLOOKUP(G$1,main!$A$3:$I$56,5,FALSE)-VLOOKUP($A16,main!$A$3:$I$56,6,FALSE),0)</f>
        <v>280</v>
      </c>
      <c r="H16">
        <f>IF((gamma!H16),VLOOKUP(H$1,main!$A$3:$I$56,5,FALSE)-VLOOKUP($A16,main!$A$3:$I$56,6,FALSE),0)</f>
        <v>340</v>
      </c>
      <c r="I16">
        <f>IF((gamma!I16),VLOOKUP(I$1,main!$A$3:$I$56,5,FALSE)-VLOOKUP($A16,main!$A$3:$I$56,6,FALSE),0)</f>
        <v>400</v>
      </c>
      <c r="J16">
        <f>IF((gamma!J16),VLOOKUP(J$1,main!$A$3:$I$56,5,FALSE)-VLOOKUP($A16,main!$A$3:$I$56,6,FALSE),0)</f>
        <v>490</v>
      </c>
      <c r="K16">
        <f>IF((gamma!K16),VLOOKUP(K$1,main!$A$3:$I$56,5,FALSE)-VLOOKUP($A16,main!$A$3:$I$56,6,FALSE),0)</f>
        <v>0</v>
      </c>
      <c r="L16">
        <f>IF((gamma!L16),VLOOKUP(L$1,main!$A$3:$I$56,5,FALSE)-VLOOKUP($A16,main!$A$3:$I$56,6,FALSE),0)</f>
        <v>0</v>
      </c>
      <c r="M16">
        <f>IF((gamma!M16),VLOOKUP(M$1,main!$A$3:$I$56,5,FALSE)-VLOOKUP($A16,main!$A$3:$I$56,6,FALSE),0)</f>
        <v>95</v>
      </c>
      <c r="N16">
        <f>IF((gamma!N16),VLOOKUP(N$1,main!$A$3:$I$56,5,FALSE)-VLOOKUP($A16,main!$A$3:$I$56,6,FALSE),0)</f>
        <v>455</v>
      </c>
      <c r="O16">
        <f>IF((gamma!O16),VLOOKUP(O$1,main!$A$3:$I$56,5,FALSE)-VLOOKUP($A16,main!$A$3:$I$56,6,FALSE),0)</f>
        <v>515</v>
      </c>
      <c r="P16">
        <f>IF((gamma!P16),VLOOKUP(P$1,main!$A$3:$I$56,5,FALSE)-VLOOKUP($A16,main!$A$3:$I$56,6,FALSE),0)</f>
        <v>0</v>
      </c>
      <c r="Q16">
        <f>IF((gamma!Q16),VLOOKUP(Q$1,main!$A$3:$I$56,5,FALSE)-VLOOKUP($A16,main!$A$3:$I$56,6,FALSE),0)</f>
        <v>0</v>
      </c>
      <c r="R16">
        <f>IF((gamma!R16),VLOOKUP(R$1,main!$A$3:$I$56,5,FALSE)-VLOOKUP($A16,main!$A$3:$I$56,6,FALSE),0)</f>
        <v>90</v>
      </c>
      <c r="S16">
        <f>IF((gamma!S16),VLOOKUP(S$1,main!$A$3:$I$56,5,FALSE)-VLOOKUP($A16,main!$A$3:$I$56,6,FALSE),0)</f>
        <v>270</v>
      </c>
      <c r="T16">
        <f>IF((gamma!T16),VLOOKUP(T$1,main!$A$3:$I$56,5,FALSE)-VLOOKUP($A16,main!$A$3:$I$56,6,FALSE),0)</f>
        <v>420</v>
      </c>
      <c r="U16">
        <f>IF((gamma!U16),VLOOKUP(U$1,main!$A$3:$I$56,5,FALSE)-VLOOKUP($A16,main!$A$3:$I$56,6,FALSE),0)</f>
        <v>0</v>
      </c>
      <c r="V16">
        <f>IF((gamma!V16),VLOOKUP(V$1,main!$A$3:$I$56,5,FALSE)-VLOOKUP($A16,main!$A$3:$I$56,6,FALSE),0)</f>
        <v>0</v>
      </c>
      <c r="W16">
        <f>IF((gamma!W16),VLOOKUP(W$1,main!$A$3:$I$56,5,FALSE)-VLOOKUP($A16,main!$A$3:$I$56,6,FALSE),0)</f>
        <v>0</v>
      </c>
      <c r="X16">
        <f>IF((gamma!X16),VLOOKUP(X$1,main!$A$3:$I$56,5,FALSE)-VLOOKUP($A16,main!$A$3:$I$56,6,FALSE),0)</f>
        <v>110</v>
      </c>
      <c r="Y16">
        <f>IF((gamma!Y16),VLOOKUP(Y$1,main!$A$3:$I$56,5,FALSE)-VLOOKUP($A16,main!$A$3:$I$56,6,FALSE),0)</f>
        <v>200</v>
      </c>
      <c r="Z16">
        <f>IF((gamma!Z16),VLOOKUP(Z$1,main!$A$3:$I$56,5,FALSE)-VLOOKUP($A16,main!$A$3:$I$56,6,FALSE),0)</f>
        <v>290</v>
      </c>
      <c r="AA16">
        <f>IF((gamma!AA16),VLOOKUP(AA$1,main!$A$3:$I$56,5,FALSE)-VLOOKUP($A16,main!$A$3:$I$56,6,FALSE),0)</f>
        <v>380</v>
      </c>
      <c r="AB16">
        <f>IF((gamma!AB16),VLOOKUP(AB$1,main!$A$3:$I$56,5,FALSE)-VLOOKUP($A16,main!$A$3:$I$56,6,FALSE),0)</f>
        <v>440</v>
      </c>
      <c r="AC16">
        <f>IF((gamma!AC16),VLOOKUP(AC$1,main!$A$3:$I$56,5,FALSE)-VLOOKUP($A16,main!$A$3:$I$56,6,FALSE),0)</f>
        <v>0</v>
      </c>
      <c r="AD16">
        <f>IF((gamma!AD16),VLOOKUP(AD$1,main!$A$3:$I$56,5,FALSE)-VLOOKUP($A16,main!$A$3:$I$56,6,FALSE),0)</f>
        <v>0</v>
      </c>
      <c r="AE16">
        <f>IF((gamma!AE16),VLOOKUP(AE$1,main!$A$3:$I$56,5,FALSE)-VLOOKUP($A16,main!$A$3:$I$56,6,FALSE),0)</f>
        <v>100</v>
      </c>
      <c r="AF16">
        <f>IF((gamma!AF16),VLOOKUP(AF$1,main!$A$3:$I$56,5,FALSE)-VLOOKUP($A16,main!$A$3:$I$56,6,FALSE),0)</f>
        <v>250</v>
      </c>
      <c r="AG16">
        <f>IF((gamma!AG16),VLOOKUP(AG$1,main!$A$3:$I$56,5,FALSE)-VLOOKUP($A16,main!$A$3:$I$56,6,FALSE),0)</f>
        <v>0</v>
      </c>
      <c r="AH16">
        <f>IF((gamma!AH16),VLOOKUP(AH$1,main!$A$3:$I$56,5,FALSE)-VLOOKUP($A16,main!$A$3:$I$56,6,FALSE),0)</f>
        <v>0</v>
      </c>
      <c r="AI16">
        <f>IF((gamma!AI16),VLOOKUP(AI$1,main!$A$3:$I$56,5,FALSE)-VLOOKUP($A16,main!$A$3:$I$56,6,FALSE),0)</f>
        <v>160</v>
      </c>
      <c r="AJ16">
        <f>IF((gamma!AJ16),VLOOKUP(AJ$1,main!$A$3:$I$56,5,FALSE)-VLOOKUP($A16,main!$A$3:$I$56,6,FALSE),0)</f>
        <v>220</v>
      </c>
      <c r="AK16">
        <f>IF((gamma!AK16),VLOOKUP(AK$1,main!$A$3:$I$56,5,FALSE)-VLOOKUP($A16,main!$A$3:$I$56,6,FALSE),0)</f>
        <v>340</v>
      </c>
      <c r="AL16">
        <f>IF((gamma!AL16),VLOOKUP(AL$1,main!$A$3:$I$56,5,FALSE)-VLOOKUP($A16,main!$A$3:$I$56,6,FALSE),0)</f>
        <v>0</v>
      </c>
      <c r="AM16">
        <f>IF((gamma!AM16),VLOOKUP(AM$1,main!$A$3:$I$56,5,FALSE)-VLOOKUP($A16,main!$A$3:$I$56,6,FALSE),0)</f>
        <v>0</v>
      </c>
      <c r="AN16">
        <f>IF((gamma!AN16),VLOOKUP(AN$1,main!$A$3:$I$56,5,FALSE)-VLOOKUP($A16,main!$A$3:$I$56,6,FALSE),0)</f>
        <v>200</v>
      </c>
      <c r="AO16">
        <f>IF((gamma!AO16),VLOOKUP(AO$1,main!$A$3:$I$56,5,FALSE)-VLOOKUP($A16,main!$A$3:$I$56,6,FALSE),0)</f>
        <v>250</v>
      </c>
      <c r="AP16">
        <f>IF((gamma!AP16),VLOOKUP(AP$1,main!$A$3:$I$56,5,FALSE)-VLOOKUP($A16,main!$A$3:$I$56,6,FALSE),0)</f>
        <v>0</v>
      </c>
      <c r="AQ16">
        <f>IF((gamma!AQ16),VLOOKUP(AQ$1,main!$A$3:$I$56,5,FALSE)-VLOOKUP($A16,main!$A$3:$I$56,6,FALSE),0)</f>
        <v>0</v>
      </c>
      <c r="AR16">
        <f>IF((gamma!AR16),VLOOKUP(AR$1,main!$A$3:$I$56,5,FALSE)-VLOOKUP($A16,main!$A$3:$I$56,6,FALSE),0)</f>
        <v>0</v>
      </c>
      <c r="AS16">
        <f>IF((gamma!AS16),VLOOKUP(AS$1,main!$A$3:$I$56,5,FALSE)-VLOOKUP($A16,main!$A$3:$I$56,6,FALSE),0)</f>
        <v>65</v>
      </c>
      <c r="AT16">
        <f>IF((gamma!AT16),VLOOKUP(AT$1,main!$A$3:$I$56,5,FALSE)-VLOOKUP($A16,main!$A$3:$I$56,6,FALSE),0)</f>
        <v>150</v>
      </c>
      <c r="AU16">
        <f>IF((gamma!AU16),VLOOKUP(AU$1,main!$A$3:$I$56,5,FALSE)-VLOOKUP($A16,main!$A$3:$I$56,6,FALSE),0)</f>
        <v>20</v>
      </c>
      <c r="AV16">
        <f>IF((gamma!AV16),VLOOKUP(AV$1,main!$A$3:$I$56,5,FALSE)-VLOOKUP($A16,main!$A$3:$I$56,6,FALSE),0)</f>
        <v>50</v>
      </c>
      <c r="AW16">
        <f>IF((gamma!AW16),VLOOKUP(AW$1,main!$A$3:$I$56,5,FALSE)-VLOOKUP($A16,main!$A$3:$I$56,6,FALSE),0)</f>
        <v>100</v>
      </c>
      <c r="AX16">
        <f>IF((gamma!AX16),VLOOKUP(AX$1,main!$A$3:$I$56,5,FALSE)-VLOOKUP($A16,main!$A$3:$I$56,6,FALSE),0)</f>
        <v>300</v>
      </c>
      <c r="AY16">
        <f>IF((gamma!AY16),VLOOKUP(AY$1,main!$A$3:$I$56,5,FALSE)-VLOOKUP($A16,main!$A$3:$I$56,6,FALSE),0)</f>
        <v>500</v>
      </c>
      <c r="AZ16">
        <f>IF((gamma!AZ16),VLOOKUP(AZ$1,main!$A$3:$I$56,5,FALSE)-VLOOKUP($A16,main!$A$3:$I$56,6,FALSE),0)</f>
        <v>0</v>
      </c>
      <c r="BA16">
        <f>IF((gamma!BA16),VLOOKUP(BA$1,main!$A$3:$I$56,5,FALSE)-VLOOKUP($A16,main!$A$3:$I$56,6,FALSE),0)</f>
        <v>65</v>
      </c>
      <c r="BB16">
        <f>IF((gamma!BB16),VLOOKUP(BB$1,main!$A$3:$I$56,5,FALSE)-VLOOKUP($A16,main!$A$3:$I$56,6,FALSE),0)</f>
        <v>80</v>
      </c>
      <c r="BC16">
        <f>IF((gamma!BC16),VLOOKUP(BC$1,main!$A$3:$I$56,5,FALSE)-VLOOKUP($A16,main!$A$3:$I$56,6,FALSE),0)</f>
        <v>265</v>
      </c>
      <c r="BD16">
        <f>IF((gamma!BD16),VLOOKUP(BD$1,main!$A$3:$I$56,5,FALSE)-VLOOKUP($A16,main!$A$3:$I$56,6,FALSE),0)</f>
        <v>275</v>
      </c>
    </row>
    <row r="17" spans="1:56" x14ac:dyDescent="0.25">
      <c r="A17">
        <f t="shared" si="2"/>
        <v>15</v>
      </c>
      <c r="B17">
        <v>0</v>
      </c>
      <c r="C17">
        <f>IF((gamma!C17),VLOOKUP(C$1,main!$A$3:$I$56,5,FALSE)-VLOOKUP($A17,main!$A$3:$I$56,6,FALSE),0)</f>
        <v>0</v>
      </c>
      <c r="D17">
        <f>IF((gamma!D17),VLOOKUP(D$1,main!$A$3:$I$56,5,FALSE)-VLOOKUP($A17,main!$A$3:$I$56,6,FALSE),0)</f>
        <v>0</v>
      </c>
      <c r="E17">
        <f>IF((gamma!E17),VLOOKUP(E$1,main!$A$3:$I$56,5,FALSE)-VLOOKUP($A17,main!$A$3:$I$56,6,FALSE),0)</f>
        <v>60</v>
      </c>
      <c r="F17">
        <f>IF((gamma!F17),VLOOKUP(F$1,main!$A$3:$I$56,5,FALSE)-VLOOKUP($A17,main!$A$3:$I$56,6,FALSE),0)</f>
        <v>150</v>
      </c>
      <c r="G17">
        <f>IF((gamma!G17),VLOOKUP(G$1,main!$A$3:$I$56,5,FALSE)-VLOOKUP($A17,main!$A$3:$I$56,6,FALSE),0)</f>
        <v>210</v>
      </c>
      <c r="H17">
        <f>IF((gamma!H17),VLOOKUP(H$1,main!$A$3:$I$56,5,FALSE)-VLOOKUP($A17,main!$A$3:$I$56,6,FALSE),0)</f>
        <v>270</v>
      </c>
      <c r="I17">
        <f>IF((gamma!I17),VLOOKUP(I$1,main!$A$3:$I$56,5,FALSE)-VLOOKUP($A17,main!$A$3:$I$56,6,FALSE),0)</f>
        <v>330</v>
      </c>
      <c r="J17">
        <f>IF((gamma!J17),VLOOKUP(J$1,main!$A$3:$I$56,5,FALSE)-VLOOKUP($A17,main!$A$3:$I$56,6,FALSE),0)</f>
        <v>420</v>
      </c>
      <c r="K17">
        <f>IF((gamma!K17),VLOOKUP(K$1,main!$A$3:$I$56,5,FALSE)-VLOOKUP($A17,main!$A$3:$I$56,6,FALSE),0)</f>
        <v>0</v>
      </c>
      <c r="L17">
        <f>IF((gamma!L17),VLOOKUP(L$1,main!$A$3:$I$56,5,FALSE)-VLOOKUP($A17,main!$A$3:$I$56,6,FALSE),0)</f>
        <v>0</v>
      </c>
      <c r="M17">
        <f>IF((gamma!M17),VLOOKUP(M$1,main!$A$3:$I$56,5,FALSE)-VLOOKUP($A17,main!$A$3:$I$56,6,FALSE),0)</f>
        <v>0</v>
      </c>
      <c r="N17">
        <f>IF((gamma!N17),VLOOKUP(N$1,main!$A$3:$I$56,5,FALSE)-VLOOKUP($A17,main!$A$3:$I$56,6,FALSE),0)</f>
        <v>385</v>
      </c>
      <c r="O17">
        <f>IF((gamma!O17),VLOOKUP(O$1,main!$A$3:$I$56,5,FALSE)-VLOOKUP($A17,main!$A$3:$I$56,6,FALSE),0)</f>
        <v>445</v>
      </c>
      <c r="P17">
        <f>IF((gamma!P17),VLOOKUP(P$1,main!$A$3:$I$56,5,FALSE)-VLOOKUP($A17,main!$A$3:$I$56,6,FALSE),0)</f>
        <v>0</v>
      </c>
      <c r="Q17">
        <f>IF((gamma!Q17),VLOOKUP(Q$1,main!$A$3:$I$56,5,FALSE)-VLOOKUP($A17,main!$A$3:$I$56,6,FALSE),0)</f>
        <v>0</v>
      </c>
      <c r="R17">
        <f>IF((gamma!R17),VLOOKUP(R$1,main!$A$3:$I$56,5,FALSE)-VLOOKUP($A17,main!$A$3:$I$56,6,FALSE),0)</f>
        <v>0</v>
      </c>
      <c r="S17">
        <f>IF((gamma!S17),VLOOKUP(S$1,main!$A$3:$I$56,5,FALSE)-VLOOKUP($A17,main!$A$3:$I$56,6,FALSE),0)</f>
        <v>200</v>
      </c>
      <c r="T17">
        <f>IF((gamma!T17),VLOOKUP(T$1,main!$A$3:$I$56,5,FALSE)-VLOOKUP($A17,main!$A$3:$I$56,6,FALSE),0)</f>
        <v>350</v>
      </c>
      <c r="U17">
        <f>IF((gamma!U17),VLOOKUP(U$1,main!$A$3:$I$56,5,FALSE)-VLOOKUP($A17,main!$A$3:$I$56,6,FALSE),0)</f>
        <v>0</v>
      </c>
      <c r="V17">
        <f>IF((gamma!V17),VLOOKUP(V$1,main!$A$3:$I$56,5,FALSE)-VLOOKUP($A17,main!$A$3:$I$56,6,FALSE),0)</f>
        <v>0</v>
      </c>
      <c r="W17">
        <f>IF((gamma!W17),VLOOKUP(W$1,main!$A$3:$I$56,5,FALSE)-VLOOKUP($A17,main!$A$3:$I$56,6,FALSE),0)</f>
        <v>0</v>
      </c>
      <c r="X17">
        <f>IF((gamma!X17),VLOOKUP(X$1,main!$A$3:$I$56,5,FALSE)-VLOOKUP($A17,main!$A$3:$I$56,6,FALSE),0)</f>
        <v>0</v>
      </c>
      <c r="Y17">
        <f>IF((gamma!Y17),VLOOKUP(Y$1,main!$A$3:$I$56,5,FALSE)-VLOOKUP($A17,main!$A$3:$I$56,6,FALSE),0)</f>
        <v>130</v>
      </c>
      <c r="Z17">
        <f>IF((gamma!Z17),VLOOKUP(Z$1,main!$A$3:$I$56,5,FALSE)-VLOOKUP($A17,main!$A$3:$I$56,6,FALSE),0)</f>
        <v>220</v>
      </c>
      <c r="AA17">
        <f>IF((gamma!AA17),VLOOKUP(AA$1,main!$A$3:$I$56,5,FALSE)-VLOOKUP($A17,main!$A$3:$I$56,6,FALSE),0)</f>
        <v>310</v>
      </c>
      <c r="AB17">
        <f>IF((gamma!AB17),VLOOKUP(AB$1,main!$A$3:$I$56,5,FALSE)-VLOOKUP($A17,main!$A$3:$I$56,6,FALSE),0)</f>
        <v>370</v>
      </c>
      <c r="AC17">
        <f>IF((gamma!AC17),VLOOKUP(AC$1,main!$A$3:$I$56,5,FALSE)-VLOOKUP($A17,main!$A$3:$I$56,6,FALSE),0)</f>
        <v>0</v>
      </c>
      <c r="AD17">
        <f>IF((gamma!AD17),VLOOKUP(AD$1,main!$A$3:$I$56,5,FALSE)-VLOOKUP($A17,main!$A$3:$I$56,6,FALSE),0)</f>
        <v>0</v>
      </c>
      <c r="AE17">
        <f>IF((gamma!AE17),VLOOKUP(AE$1,main!$A$3:$I$56,5,FALSE)-VLOOKUP($A17,main!$A$3:$I$56,6,FALSE),0)</f>
        <v>0</v>
      </c>
      <c r="AF17">
        <f>IF((gamma!AF17),VLOOKUP(AF$1,main!$A$3:$I$56,5,FALSE)-VLOOKUP($A17,main!$A$3:$I$56,6,FALSE),0)</f>
        <v>180</v>
      </c>
      <c r="AG17">
        <f>IF((gamma!AG17),VLOOKUP(AG$1,main!$A$3:$I$56,5,FALSE)-VLOOKUP($A17,main!$A$3:$I$56,6,FALSE),0)</f>
        <v>0</v>
      </c>
      <c r="AH17">
        <f>IF((gamma!AH17),VLOOKUP(AH$1,main!$A$3:$I$56,5,FALSE)-VLOOKUP($A17,main!$A$3:$I$56,6,FALSE),0)</f>
        <v>0</v>
      </c>
      <c r="AI17">
        <f>IF((gamma!AI17),VLOOKUP(AI$1,main!$A$3:$I$56,5,FALSE)-VLOOKUP($A17,main!$A$3:$I$56,6,FALSE),0)</f>
        <v>90</v>
      </c>
      <c r="AJ17">
        <f>IF((gamma!AJ17),VLOOKUP(AJ$1,main!$A$3:$I$56,5,FALSE)-VLOOKUP($A17,main!$A$3:$I$56,6,FALSE),0)</f>
        <v>150</v>
      </c>
      <c r="AK17">
        <f>IF((gamma!AK17),VLOOKUP(AK$1,main!$A$3:$I$56,5,FALSE)-VLOOKUP($A17,main!$A$3:$I$56,6,FALSE),0)</f>
        <v>270</v>
      </c>
      <c r="AL17">
        <f>IF((gamma!AL17),VLOOKUP(AL$1,main!$A$3:$I$56,5,FALSE)-VLOOKUP($A17,main!$A$3:$I$56,6,FALSE),0)</f>
        <v>0</v>
      </c>
      <c r="AM17">
        <f>IF((gamma!AM17),VLOOKUP(AM$1,main!$A$3:$I$56,5,FALSE)-VLOOKUP($A17,main!$A$3:$I$56,6,FALSE),0)</f>
        <v>0</v>
      </c>
      <c r="AN17">
        <f>IF((gamma!AN17),VLOOKUP(AN$1,main!$A$3:$I$56,5,FALSE)-VLOOKUP($A17,main!$A$3:$I$56,6,FALSE),0)</f>
        <v>130</v>
      </c>
      <c r="AO17">
        <f>IF((gamma!AO17),VLOOKUP(AO$1,main!$A$3:$I$56,5,FALSE)-VLOOKUP($A17,main!$A$3:$I$56,6,FALSE),0)</f>
        <v>180</v>
      </c>
      <c r="AP17">
        <f>IF((gamma!AP17),VLOOKUP(AP$1,main!$A$3:$I$56,5,FALSE)-VLOOKUP($A17,main!$A$3:$I$56,6,FALSE),0)</f>
        <v>0</v>
      </c>
      <c r="AQ17">
        <f>IF((gamma!AQ17),VLOOKUP(AQ$1,main!$A$3:$I$56,5,FALSE)-VLOOKUP($A17,main!$A$3:$I$56,6,FALSE),0)</f>
        <v>0</v>
      </c>
      <c r="AR17">
        <f>IF((gamma!AR17),VLOOKUP(AR$1,main!$A$3:$I$56,5,FALSE)-VLOOKUP($A17,main!$A$3:$I$56,6,FALSE),0)</f>
        <v>0</v>
      </c>
      <c r="AS17">
        <f>IF((gamma!AS17),VLOOKUP(AS$1,main!$A$3:$I$56,5,FALSE)-VLOOKUP($A17,main!$A$3:$I$56,6,FALSE),0)</f>
        <v>0</v>
      </c>
      <c r="AT17">
        <f>IF((gamma!AT17),VLOOKUP(AT$1,main!$A$3:$I$56,5,FALSE)-VLOOKUP($A17,main!$A$3:$I$56,6,FALSE),0)</f>
        <v>80</v>
      </c>
      <c r="AU17">
        <f>IF((gamma!AU17),VLOOKUP(AU$1,main!$A$3:$I$56,5,FALSE)-VLOOKUP($A17,main!$A$3:$I$56,6,FALSE),0)</f>
        <v>0</v>
      </c>
      <c r="AV17">
        <f>IF((gamma!AV17),VLOOKUP(AV$1,main!$A$3:$I$56,5,FALSE)-VLOOKUP($A17,main!$A$3:$I$56,6,FALSE),0)</f>
        <v>0</v>
      </c>
      <c r="AW17">
        <f>IF((gamma!AW17),VLOOKUP(AW$1,main!$A$3:$I$56,5,FALSE)-VLOOKUP($A17,main!$A$3:$I$56,6,FALSE),0)</f>
        <v>30</v>
      </c>
      <c r="AX17">
        <f>IF((gamma!AX17),VLOOKUP(AX$1,main!$A$3:$I$56,5,FALSE)-VLOOKUP($A17,main!$A$3:$I$56,6,FALSE),0)</f>
        <v>230</v>
      </c>
      <c r="AY17">
        <f>IF((gamma!AY17),VLOOKUP(AY$1,main!$A$3:$I$56,5,FALSE)-VLOOKUP($A17,main!$A$3:$I$56,6,FALSE),0)</f>
        <v>430</v>
      </c>
      <c r="AZ17">
        <f>IF((gamma!AZ17),VLOOKUP(AZ$1,main!$A$3:$I$56,5,FALSE)-VLOOKUP($A17,main!$A$3:$I$56,6,FALSE),0)</f>
        <v>0</v>
      </c>
      <c r="BA17">
        <f>IF((gamma!BA17),VLOOKUP(BA$1,main!$A$3:$I$56,5,FALSE)-VLOOKUP($A17,main!$A$3:$I$56,6,FALSE),0)</f>
        <v>0</v>
      </c>
      <c r="BB17">
        <f>IF((gamma!BB17),VLOOKUP(BB$1,main!$A$3:$I$56,5,FALSE)-VLOOKUP($A17,main!$A$3:$I$56,6,FALSE),0)</f>
        <v>0</v>
      </c>
      <c r="BC17">
        <f>IF((gamma!BC17),VLOOKUP(BC$1,main!$A$3:$I$56,5,FALSE)-VLOOKUP($A17,main!$A$3:$I$56,6,FALSE),0)</f>
        <v>195</v>
      </c>
      <c r="BD17">
        <f>IF((gamma!BD17),VLOOKUP(BD$1,main!$A$3:$I$56,5,FALSE)-VLOOKUP($A17,main!$A$3:$I$56,6,FALSE),0)</f>
        <v>205</v>
      </c>
    </row>
    <row r="18" spans="1:56" x14ac:dyDescent="0.25">
      <c r="A18">
        <f t="shared" si="2"/>
        <v>16</v>
      </c>
      <c r="B18">
        <v>0</v>
      </c>
      <c r="C18">
        <f>IF((gamma!C18),VLOOKUP(C$1,main!$A$3:$I$56,5,FALSE)-VLOOKUP($A18,main!$A$3:$I$56,6,FALSE),0)</f>
        <v>0</v>
      </c>
      <c r="D18">
        <f>IF((gamma!D18),VLOOKUP(D$1,main!$A$3:$I$56,5,FALSE)-VLOOKUP($A18,main!$A$3:$I$56,6,FALSE),0)</f>
        <v>0</v>
      </c>
      <c r="E18">
        <f>IF((gamma!E18),VLOOKUP(E$1,main!$A$3:$I$56,5,FALSE)-VLOOKUP($A18,main!$A$3:$I$56,6,FALSE),0)</f>
        <v>0</v>
      </c>
      <c r="F18">
        <f>IF((gamma!F18),VLOOKUP(F$1,main!$A$3:$I$56,5,FALSE)-VLOOKUP($A18,main!$A$3:$I$56,6,FALSE),0)</f>
        <v>0</v>
      </c>
      <c r="G18">
        <f>IF((gamma!G18),VLOOKUP(G$1,main!$A$3:$I$56,5,FALSE)-VLOOKUP($A18,main!$A$3:$I$56,6,FALSE),0)</f>
        <v>55</v>
      </c>
      <c r="H18">
        <f>IF((gamma!H18),VLOOKUP(H$1,main!$A$3:$I$56,5,FALSE)-VLOOKUP($A18,main!$A$3:$I$56,6,FALSE),0)</f>
        <v>115</v>
      </c>
      <c r="I18">
        <f>IF((gamma!I18),VLOOKUP(I$1,main!$A$3:$I$56,5,FALSE)-VLOOKUP($A18,main!$A$3:$I$56,6,FALSE),0)</f>
        <v>175</v>
      </c>
      <c r="J18">
        <f>IF((gamma!J18),VLOOKUP(J$1,main!$A$3:$I$56,5,FALSE)-VLOOKUP($A18,main!$A$3:$I$56,6,FALSE),0)</f>
        <v>265</v>
      </c>
      <c r="K18">
        <f>IF((gamma!K18),VLOOKUP(K$1,main!$A$3:$I$56,5,FALSE)-VLOOKUP($A18,main!$A$3:$I$56,6,FALSE),0)</f>
        <v>0</v>
      </c>
      <c r="L18">
        <f>IF((gamma!L18),VLOOKUP(L$1,main!$A$3:$I$56,5,FALSE)-VLOOKUP($A18,main!$A$3:$I$56,6,FALSE),0)</f>
        <v>0</v>
      </c>
      <c r="M18">
        <f>IF((gamma!M18),VLOOKUP(M$1,main!$A$3:$I$56,5,FALSE)-VLOOKUP($A18,main!$A$3:$I$56,6,FALSE),0)</f>
        <v>0</v>
      </c>
      <c r="N18">
        <f>IF((gamma!N18),VLOOKUP(N$1,main!$A$3:$I$56,5,FALSE)-VLOOKUP($A18,main!$A$3:$I$56,6,FALSE),0)</f>
        <v>230</v>
      </c>
      <c r="O18">
        <f>IF((gamma!O18),VLOOKUP(O$1,main!$A$3:$I$56,5,FALSE)-VLOOKUP($A18,main!$A$3:$I$56,6,FALSE),0)</f>
        <v>290</v>
      </c>
      <c r="P18">
        <f>IF((gamma!P18),VLOOKUP(P$1,main!$A$3:$I$56,5,FALSE)-VLOOKUP($A18,main!$A$3:$I$56,6,FALSE),0)</f>
        <v>0</v>
      </c>
      <c r="Q18">
        <f>IF((gamma!Q18),VLOOKUP(Q$1,main!$A$3:$I$56,5,FALSE)-VLOOKUP($A18,main!$A$3:$I$56,6,FALSE),0)</f>
        <v>0</v>
      </c>
      <c r="R18">
        <f>IF((gamma!R18),VLOOKUP(R$1,main!$A$3:$I$56,5,FALSE)-VLOOKUP($A18,main!$A$3:$I$56,6,FALSE),0)</f>
        <v>0</v>
      </c>
      <c r="S18">
        <f>IF((gamma!S18),VLOOKUP(S$1,main!$A$3:$I$56,5,FALSE)-VLOOKUP($A18,main!$A$3:$I$56,6,FALSE),0)</f>
        <v>0</v>
      </c>
      <c r="T18">
        <f>IF((gamma!T18),VLOOKUP(T$1,main!$A$3:$I$56,5,FALSE)-VLOOKUP($A18,main!$A$3:$I$56,6,FALSE),0)</f>
        <v>195</v>
      </c>
      <c r="U18">
        <f>IF((gamma!U18),VLOOKUP(U$1,main!$A$3:$I$56,5,FALSE)-VLOOKUP($A18,main!$A$3:$I$56,6,FALSE),0)</f>
        <v>0</v>
      </c>
      <c r="V18">
        <f>IF((gamma!V18),VLOOKUP(V$1,main!$A$3:$I$56,5,FALSE)-VLOOKUP($A18,main!$A$3:$I$56,6,FALSE),0)</f>
        <v>0</v>
      </c>
      <c r="W18">
        <f>IF((gamma!W18),VLOOKUP(W$1,main!$A$3:$I$56,5,FALSE)-VLOOKUP($A18,main!$A$3:$I$56,6,FALSE),0)</f>
        <v>0</v>
      </c>
      <c r="X18">
        <f>IF((gamma!X18),VLOOKUP(X$1,main!$A$3:$I$56,5,FALSE)-VLOOKUP($A18,main!$A$3:$I$56,6,FALSE),0)</f>
        <v>0</v>
      </c>
      <c r="Y18">
        <f>IF((gamma!Y18),VLOOKUP(Y$1,main!$A$3:$I$56,5,FALSE)-VLOOKUP($A18,main!$A$3:$I$56,6,FALSE),0)</f>
        <v>0</v>
      </c>
      <c r="Z18">
        <f>IF((gamma!Z18),VLOOKUP(Z$1,main!$A$3:$I$56,5,FALSE)-VLOOKUP($A18,main!$A$3:$I$56,6,FALSE),0)</f>
        <v>65</v>
      </c>
      <c r="AA18">
        <f>IF((gamma!AA18),VLOOKUP(AA$1,main!$A$3:$I$56,5,FALSE)-VLOOKUP($A18,main!$A$3:$I$56,6,FALSE),0)</f>
        <v>155</v>
      </c>
      <c r="AB18">
        <f>IF((gamma!AB18),VLOOKUP(AB$1,main!$A$3:$I$56,5,FALSE)-VLOOKUP($A18,main!$A$3:$I$56,6,FALSE),0)</f>
        <v>215</v>
      </c>
      <c r="AC18">
        <f>IF((gamma!AC18),VLOOKUP(AC$1,main!$A$3:$I$56,5,FALSE)-VLOOKUP($A18,main!$A$3:$I$56,6,FALSE),0)</f>
        <v>0</v>
      </c>
      <c r="AD18">
        <f>IF((gamma!AD18),VLOOKUP(AD$1,main!$A$3:$I$56,5,FALSE)-VLOOKUP($A18,main!$A$3:$I$56,6,FALSE),0)</f>
        <v>0</v>
      </c>
      <c r="AE18">
        <f>IF((gamma!AE18),VLOOKUP(AE$1,main!$A$3:$I$56,5,FALSE)-VLOOKUP($A18,main!$A$3:$I$56,6,FALSE),0)</f>
        <v>0</v>
      </c>
      <c r="AF18">
        <f>IF((gamma!AF18),VLOOKUP(AF$1,main!$A$3:$I$56,5,FALSE)-VLOOKUP($A18,main!$A$3:$I$56,6,FALSE),0)</f>
        <v>0</v>
      </c>
      <c r="AG18">
        <f>IF((gamma!AG18),VLOOKUP(AG$1,main!$A$3:$I$56,5,FALSE)-VLOOKUP($A18,main!$A$3:$I$56,6,FALSE),0)</f>
        <v>0</v>
      </c>
      <c r="AH18">
        <f>IF((gamma!AH18),VLOOKUP(AH$1,main!$A$3:$I$56,5,FALSE)-VLOOKUP($A18,main!$A$3:$I$56,6,FALSE),0)</f>
        <v>0</v>
      </c>
      <c r="AI18">
        <f>IF((gamma!AI18),VLOOKUP(AI$1,main!$A$3:$I$56,5,FALSE)-VLOOKUP($A18,main!$A$3:$I$56,6,FALSE),0)</f>
        <v>0</v>
      </c>
      <c r="AJ18">
        <f>IF((gamma!AJ18),VLOOKUP(AJ$1,main!$A$3:$I$56,5,FALSE)-VLOOKUP($A18,main!$A$3:$I$56,6,FALSE),0)</f>
        <v>0</v>
      </c>
      <c r="AK18">
        <f>IF((gamma!AK18),VLOOKUP(AK$1,main!$A$3:$I$56,5,FALSE)-VLOOKUP($A18,main!$A$3:$I$56,6,FALSE),0)</f>
        <v>115</v>
      </c>
      <c r="AL18">
        <f>IF((gamma!AL18),VLOOKUP(AL$1,main!$A$3:$I$56,5,FALSE)-VLOOKUP($A18,main!$A$3:$I$56,6,FALSE),0)</f>
        <v>0</v>
      </c>
      <c r="AM18">
        <f>IF((gamma!AM18),VLOOKUP(AM$1,main!$A$3:$I$56,5,FALSE)-VLOOKUP($A18,main!$A$3:$I$56,6,FALSE),0)</f>
        <v>0</v>
      </c>
      <c r="AN18">
        <f>IF((gamma!AN18),VLOOKUP(AN$1,main!$A$3:$I$56,5,FALSE)-VLOOKUP($A18,main!$A$3:$I$56,6,FALSE),0)</f>
        <v>0</v>
      </c>
      <c r="AO18">
        <f>IF((gamma!AO18),VLOOKUP(AO$1,main!$A$3:$I$56,5,FALSE)-VLOOKUP($A18,main!$A$3:$I$56,6,FALSE),0)</f>
        <v>0</v>
      </c>
      <c r="AP18">
        <f>IF((gamma!AP18),VLOOKUP(AP$1,main!$A$3:$I$56,5,FALSE)-VLOOKUP($A18,main!$A$3:$I$56,6,FALSE),0)</f>
        <v>0</v>
      </c>
      <c r="AQ18">
        <f>IF((gamma!AQ18),VLOOKUP(AQ$1,main!$A$3:$I$56,5,FALSE)-VLOOKUP($A18,main!$A$3:$I$56,6,FALSE),0)</f>
        <v>0</v>
      </c>
      <c r="AR18">
        <f>IF((gamma!AR18),VLOOKUP(AR$1,main!$A$3:$I$56,5,FALSE)-VLOOKUP($A18,main!$A$3:$I$56,6,FALSE),0)</f>
        <v>0</v>
      </c>
      <c r="AS18">
        <f>IF((gamma!AS18),VLOOKUP(AS$1,main!$A$3:$I$56,5,FALSE)-VLOOKUP($A18,main!$A$3:$I$56,6,FALSE),0)</f>
        <v>0</v>
      </c>
      <c r="AT18">
        <f>IF((gamma!AT18),VLOOKUP(AT$1,main!$A$3:$I$56,5,FALSE)-VLOOKUP($A18,main!$A$3:$I$56,6,FALSE),0)</f>
        <v>0</v>
      </c>
      <c r="AU18">
        <f>IF((gamma!AU18),VLOOKUP(AU$1,main!$A$3:$I$56,5,FALSE)-VLOOKUP($A18,main!$A$3:$I$56,6,FALSE),0)</f>
        <v>0</v>
      </c>
      <c r="AV18">
        <f>IF((gamma!AV18),VLOOKUP(AV$1,main!$A$3:$I$56,5,FALSE)-VLOOKUP($A18,main!$A$3:$I$56,6,FALSE),0)</f>
        <v>0</v>
      </c>
      <c r="AW18">
        <f>IF((gamma!AW18),VLOOKUP(AW$1,main!$A$3:$I$56,5,FALSE)-VLOOKUP($A18,main!$A$3:$I$56,6,FALSE),0)</f>
        <v>0</v>
      </c>
      <c r="AX18">
        <f>IF((gamma!AX18),VLOOKUP(AX$1,main!$A$3:$I$56,5,FALSE)-VLOOKUP($A18,main!$A$3:$I$56,6,FALSE),0)</f>
        <v>75</v>
      </c>
      <c r="AY18">
        <f>IF((gamma!AY18),VLOOKUP(AY$1,main!$A$3:$I$56,5,FALSE)-VLOOKUP($A18,main!$A$3:$I$56,6,FALSE),0)</f>
        <v>275</v>
      </c>
      <c r="AZ18">
        <f>IF((gamma!AZ18),VLOOKUP(AZ$1,main!$A$3:$I$56,5,FALSE)-VLOOKUP($A18,main!$A$3:$I$56,6,FALSE),0)</f>
        <v>0</v>
      </c>
      <c r="BA18">
        <f>IF((gamma!BA18),VLOOKUP(BA$1,main!$A$3:$I$56,5,FALSE)-VLOOKUP($A18,main!$A$3:$I$56,6,FALSE),0)</f>
        <v>0</v>
      </c>
      <c r="BB18">
        <f>IF((gamma!BB18),VLOOKUP(BB$1,main!$A$3:$I$56,5,FALSE)-VLOOKUP($A18,main!$A$3:$I$56,6,FALSE),0)</f>
        <v>0</v>
      </c>
      <c r="BC18">
        <f>IF((gamma!BC18),VLOOKUP(BC$1,main!$A$3:$I$56,5,FALSE)-VLOOKUP($A18,main!$A$3:$I$56,6,FALSE),0)</f>
        <v>40</v>
      </c>
      <c r="BD18">
        <f>IF((gamma!BD18),VLOOKUP(BD$1,main!$A$3:$I$56,5,FALSE)-VLOOKUP($A18,main!$A$3:$I$56,6,FALSE),0)</f>
        <v>50</v>
      </c>
    </row>
    <row r="19" spans="1:56" x14ac:dyDescent="0.25">
      <c r="A19">
        <f t="shared" si="2"/>
        <v>17</v>
      </c>
      <c r="B19">
        <v>0</v>
      </c>
      <c r="C19">
        <f>IF((gamma!C19),VLOOKUP(C$1,main!$A$3:$I$56,5,FALSE)-VLOOKUP($A19,main!$A$3:$I$56,6,FALSE),0)</f>
        <v>0</v>
      </c>
      <c r="D19">
        <f>IF((gamma!D19),VLOOKUP(D$1,main!$A$3:$I$56,5,FALSE)-VLOOKUP($A19,main!$A$3:$I$56,6,FALSE),0)</f>
        <v>0</v>
      </c>
      <c r="E19">
        <f>IF((gamma!E19),VLOOKUP(E$1,main!$A$3:$I$56,5,FALSE)-VLOOKUP($A19,main!$A$3:$I$56,6,FALSE),0)</f>
        <v>0</v>
      </c>
      <c r="F19">
        <f>IF((gamma!F19),VLOOKUP(F$1,main!$A$3:$I$56,5,FALSE)-VLOOKUP($A19,main!$A$3:$I$56,6,FALSE),0)</f>
        <v>0</v>
      </c>
      <c r="G19">
        <f>IF((gamma!G19),VLOOKUP(G$1,main!$A$3:$I$56,5,FALSE)-VLOOKUP($A19,main!$A$3:$I$56,6,FALSE),0)</f>
        <v>0</v>
      </c>
      <c r="H19">
        <f>IF((gamma!H19),VLOOKUP(H$1,main!$A$3:$I$56,5,FALSE)-VLOOKUP($A19,main!$A$3:$I$56,6,FALSE),0)</f>
        <v>0</v>
      </c>
      <c r="I19">
        <f>IF((gamma!I19),VLOOKUP(I$1,main!$A$3:$I$56,5,FALSE)-VLOOKUP($A19,main!$A$3:$I$56,6,FALSE),0)</f>
        <v>0</v>
      </c>
      <c r="J19">
        <f>IF((gamma!J19),VLOOKUP(J$1,main!$A$3:$I$56,5,FALSE)-VLOOKUP($A19,main!$A$3:$I$56,6,FALSE),0)</f>
        <v>80</v>
      </c>
      <c r="K19">
        <f>IF((gamma!K19),VLOOKUP(K$1,main!$A$3:$I$56,5,FALSE)-VLOOKUP($A19,main!$A$3:$I$56,6,FALSE),0)</f>
        <v>0</v>
      </c>
      <c r="L19">
        <f>IF((gamma!L19),VLOOKUP(L$1,main!$A$3:$I$56,5,FALSE)-VLOOKUP($A19,main!$A$3:$I$56,6,FALSE),0)</f>
        <v>0</v>
      </c>
      <c r="M19">
        <f>IF((gamma!M19),VLOOKUP(M$1,main!$A$3:$I$56,5,FALSE)-VLOOKUP($A19,main!$A$3:$I$56,6,FALSE),0)</f>
        <v>0</v>
      </c>
      <c r="N19">
        <f>IF((gamma!N19),VLOOKUP(N$1,main!$A$3:$I$56,5,FALSE)-VLOOKUP($A19,main!$A$3:$I$56,6,FALSE),0)</f>
        <v>0</v>
      </c>
      <c r="O19">
        <f>IF((gamma!O19),VLOOKUP(O$1,main!$A$3:$I$56,5,FALSE)-VLOOKUP($A19,main!$A$3:$I$56,6,FALSE),0)</f>
        <v>105</v>
      </c>
      <c r="P19">
        <f>IF((gamma!P19),VLOOKUP(P$1,main!$A$3:$I$56,5,FALSE)-VLOOKUP($A19,main!$A$3:$I$56,6,FALSE),0)</f>
        <v>0</v>
      </c>
      <c r="Q19">
        <f>IF((gamma!Q19),VLOOKUP(Q$1,main!$A$3:$I$56,5,FALSE)-VLOOKUP($A19,main!$A$3:$I$56,6,FALSE),0)</f>
        <v>0</v>
      </c>
      <c r="R19">
        <f>IF((gamma!R19),VLOOKUP(R$1,main!$A$3:$I$56,5,FALSE)-VLOOKUP($A19,main!$A$3:$I$56,6,FALSE),0)</f>
        <v>0</v>
      </c>
      <c r="S19">
        <f>IF((gamma!S19),VLOOKUP(S$1,main!$A$3:$I$56,5,FALSE)-VLOOKUP($A19,main!$A$3:$I$56,6,FALSE),0)</f>
        <v>0</v>
      </c>
      <c r="T19">
        <f>IF((gamma!T19),VLOOKUP(T$1,main!$A$3:$I$56,5,FALSE)-VLOOKUP($A19,main!$A$3:$I$56,6,FALSE),0)</f>
        <v>0</v>
      </c>
      <c r="U19">
        <f>IF((gamma!U19),VLOOKUP(U$1,main!$A$3:$I$56,5,FALSE)-VLOOKUP($A19,main!$A$3:$I$56,6,FALSE),0)</f>
        <v>0</v>
      </c>
      <c r="V19">
        <f>IF((gamma!V19),VLOOKUP(V$1,main!$A$3:$I$56,5,FALSE)-VLOOKUP($A19,main!$A$3:$I$56,6,FALSE),0)</f>
        <v>0</v>
      </c>
      <c r="W19">
        <f>IF((gamma!W19),VLOOKUP(W$1,main!$A$3:$I$56,5,FALSE)-VLOOKUP($A19,main!$A$3:$I$56,6,FALSE),0)</f>
        <v>0</v>
      </c>
      <c r="X19">
        <f>IF((gamma!X19),VLOOKUP(X$1,main!$A$3:$I$56,5,FALSE)-VLOOKUP($A19,main!$A$3:$I$56,6,FALSE),0)</f>
        <v>0</v>
      </c>
      <c r="Y19">
        <f>IF((gamma!Y19),VLOOKUP(Y$1,main!$A$3:$I$56,5,FALSE)-VLOOKUP($A19,main!$A$3:$I$56,6,FALSE),0)</f>
        <v>0</v>
      </c>
      <c r="Z19">
        <f>IF((gamma!Z19),VLOOKUP(Z$1,main!$A$3:$I$56,5,FALSE)-VLOOKUP($A19,main!$A$3:$I$56,6,FALSE),0)</f>
        <v>0</v>
      </c>
      <c r="AA19">
        <f>IF((gamma!AA19),VLOOKUP(AA$1,main!$A$3:$I$56,5,FALSE)-VLOOKUP($A19,main!$A$3:$I$56,6,FALSE),0)</f>
        <v>0</v>
      </c>
      <c r="AB19">
        <f>IF((gamma!AB19),VLOOKUP(AB$1,main!$A$3:$I$56,5,FALSE)-VLOOKUP($A19,main!$A$3:$I$56,6,FALSE),0)</f>
        <v>0</v>
      </c>
      <c r="AC19">
        <f>IF((gamma!AC19),VLOOKUP(AC$1,main!$A$3:$I$56,5,FALSE)-VLOOKUP($A19,main!$A$3:$I$56,6,FALSE),0)</f>
        <v>0</v>
      </c>
      <c r="AD19">
        <f>IF((gamma!AD19),VLOOKUP(AD$1,main!$A$3:$I$56,5,FALSE)-VLOOKUP($A19,main!$A$3:$I$56,6,FALSE),0)</f>
        <v>0</v>
      </c>
      <c r="AE19">
        <f>IF((gamma!AE19),VLOOKUP(AE$1,main!$A$3:$I$56,5,FALSE)-VLOOKUP($A19,main!$A$3:$I$56,6,FALSE),0)</f>
        <v>0</v>
      </c>
      <c r="AF19">
        <f>IF((gamma!AF19),VLOOKUP(AF$1,main!$A$3:$I$56,5,FALSE)-VLOOKUP($A19,main!$A$3:$I$56,6,FALSE),0)</f>
        <v>0</v>
      </c>
      <c r="AG19">
        <f>IF((gamma!AG19),VLOOKUP(AG$1,main!$A$3:$I$56,5,FALSE)-VLOOKUP($A19,main!$A$3:$I$56,6,FALSE),0)</f>
        <v>0</v>
      </c>
      <c r="AH19">
        <f>IF((gamma!AH19),VLOOKUP(AH$1,main!$A$3:$I$56,5,FALSE)-VLOOKUP($A19,main!$A$3:$I$56,6,FALSE),0)</f>
        <v>0</v>
      </c>
      <c r="AI19">
        <f>IF((gamma!AI19),VLOOKUP(AI$1,main!$A$3:$I$56,5,FALSE)-VLOOKUP($A19,main!$A$3:$I$56,6,FALSE),0)</f>
        <v>0</v>
      </c>
      <c r="AJ19">
        <f>IF((gamma!AJ19),VLOOKUP(AJ$1,main!$A$3:$I$56,5,FALSE)-VLOOKUP($A19,main!$A$3:$I$56,6,FALSE),0)</f>
        <v>0</v>
      </c>
      <c r="AK19">
        <f>IF((gamma!AK19),VLOOKUP(AK$1,main!$A$3:$I$56,5,FALSE)-VLOOKUP($A19,main!$A$3:$I$56,6,FALSE),0)</f>
        <v>0</v>
      </c>
      <c r="AL19">
        <f>IF((gamma!AL19),VLOOKUP(AL$1,main!$A$3:$I$56,5,FALSE)-VLOOKUP($A19,main!$A$3:$I$56,6,FALSE),0)</f>
        <v>0</v>
      </c>
      <c r="AM19">
        <f>IF((gamma!AM19),VLOOKUP(AM$1,main!$A$3:$I$56,5,FALSE)-VLOOKUP($A19,main!$A$3:$I$56,6,FALSE),0)</f>
        <v>0</v>
      </c>
      <c r="AN19">
        <f>IF((gamma!AN19),VLOOKUP(AN$1,main!$A$3:$I$56,5,FALSE)-VLOOKUP($A19,main!$A$3:$I$56,6,FALSE),0)</f>
        <v>0</v>
      </c>
      <c r="AO19">
        <f>IF((gamma!AO19),VLOOKUP(AO$1,main!$A$3:$I$56,5,FALSE)-VLOOKUP($A19,main!$A$3:$I$56,6,FALSE),0)</f>
        <v>0</v>
      </c>
      <c r="AP19">
        <f>IF((gamma!AP19),VLOOKUP(AP$1,main!$A$3:$I$56,5,FALSE)-VLOOKUP($A19,main!$A$3:$I$56,6,FALSE),0)</f>
        <v>0</v>
      </c>
      <c r="AQ19">
        <f>IF((gamma!AQ19),VLOOKUP(AQ$1,main!$A$3:$I$56,5,FALSE)-VLOOKUP($A19,main!$A$3:$I$56,6,FALSE),0)</f>
        <v>0</v>
      </c>
      <c r="AR19">
        <f>IF((gamma!AR19),VLOOKUP(AR$1,main!$A$3:$I$56,5,FALSE)-VLOOKUP($A19,main!$A$3:$I$56,6,FALSE),0)</f>
        <v>0</v>
      </c>
      <c r="AS19">
        <f>IF((gamma!AS19),VLOOKUP(AS$1,main!$A$3:$I$56,5,FALSE)-VLOOKUP($A19,main!$A$3:$I$56,6,FALSE),0)</f>
        <v>0</v>
      </c>
      <c r="AT19">
        <f>IF((gamma!AT19),VLOOKUP(AT$1,main!$A$3:$I$56,5,FALSE)-VLOOKUP($A19,main!$A$3:$I$56,6,FALSE),0)</f>
        <v>0</v>
      </c>
      <c r="AU19">
        <f>IF((gamma!AU19),VLOOKUP(AU$1,main!$A$3:$I$56,5,FALSE)-VLOOKUP($A19,main!$A$3:$I$56,6,FALSE),0)</f>
        <v>0</v>
      </c>
      <c r="AV19">
        <f>IF((gamma!AV19),VLOOKUP(AV$1,main!$A$3:$I$56,5,FALSE)-VLOOKUP($A19,main!$A$3:$I$56,6,FALSE),0)</f>
        <v>0</v>
      </c>
      <c r="AW19">
        <f>IF((gamma!AW19),VLOOKUP(AW$1,main!$A$3:$I$56,5,FALSE)-VLOOKUP($A19,main!$A$3:$I$56,6,FALSE),0)</f>
        <v>0</v>
      </c>
      <c r="AX19">
        <f>IF((gamma!AX19),VLOOKUP(AX$1,main!$A$3:$I$56,5,FALSE)-VLOOKUP($A19,main!$A$3:$I$56,6,FALSE),0)</f>
        <v>0</v>
      </c>
      <c r="AY19">
        <f>IF((gamma!AY19),VLOOKUP(AY$1,main!$A$3:$I$56,5,FALSE)-VLOOKUP($A19,main!$A$3:$I$56,6,FALSE),0)</f>
        <v>90</v>
      </c>
      <c r="AZ19">
        <f>IF((gamma!AZ19),VLOOKUP(AZ$1,main!$A$3:$I$56,5,FALSE)-VLOOKUP($A19,main!$A$3:$I$56,6,FALSE),0)</f>
        <v>0</v>
      </c>
      <c r="BA19">
        <f>IF((gamma!BA19),VLOOKUP(BA$1,main!$A$3:$I$56,5,FALSE)-VLOOKUP($A19,main!$A$3:$I$56,6,FALSE),0)</f>
        <v>0</v>
      </c>
      <c r="BB19">
        <f>IF((gamma!BB19),VLOOKUP(BB$1,main!$A$3:$I$56,5,FALSE)-VLOOKUP($A19,main!$A$3:$I$56,6,FALSE),0)</f>
        <v>0</v>
      </c>
      <c r="BC19">
        <f>IF((gamma!BC19),VLOOKUP(BC$1,main!$A$3:$I$56,5,FALSE)-VLOOKUP($A19,main!$A$3:$I$56,6,FALSE),0)</f>
        <v>0</v>
      </c>
      <c r="BD19">
        <f>IF((gamma!BD19),VLOOKUP(BD$1,main!$A$3:$I$56,5,FALSE)-VLOOKUP($A19,main!$A$3:$I$56,6,FALSE),0)</f>
        <v>0</v>
      </c>
    </row>
    <row r="20" spans="1:56" x14ac:dyDescent="0.25">
      <c r="A20">
        <f t="shared" si="2"/>
        <v>18</v>
      </c>
      <c r="B20">
        <v>0</v>
      </c>
      <c r="C20">
        <f>IF((gamma!C20),VLOOKUP(C$1,main!$A$3:$I$56,5,FALSE)-VLOOKUP($A20,main!$A$3:$I$56,6,FALSE),0)</f>
        <v>0</v>
      </c>
      <c r="D20">
        <f>IF((gamma!D20),VLOOKUP(D$1,main!$A$3:$I$56,5,FALSE)-VLOOKUP($A20,main!$A$3:$I$56,6,FALSE),0)</f>
        <v>0</v>
      </c>
      <c r="E20">
        <f>IF((gamma!E20),VLOOKUP(E$1,main!$A$3:$I$56,5,FALSE)-VLOOKUP($A20,main!$A$3:$I$56,6,FALSE),0)</f>
        <v>0</v>
      </c>
      <c r="F20">
        <f>IF((gamma!F20),VLOOKUP(F$1,main!$A$3:$I$56,5,FALSE)-VLOOKUP($A20,main!$A$3:$I$56,6,FALSE),0)</f>
        <v>0</v>
      </c>
      <c r="G20">
        <f>IF((gamma!G20),VLOOKUP(G$1,main!$A$3:$I$56,5,FALSE)-VLOOKUP($A20,main!$A$3:$I$56,6,FALSE),0)</f>
        <v>0</v>
      </c>
      <c r="H20">
        <f>IF((gamma!H20),VLOOKUP(H$1,main!$A$3:$I$56,5,FALSE)-VLOOKUP($A20,main!$A$3:$I$56,6,FALSE),0)</f>
        <v>0</v>
      </c>
      <c r="I20">
        <f>IF((gamma!I20),VLOOKUP(I$1,main!$A$3:$I$56,5,FALSE)-VLOOKUP($A20,main!$A$3:$I$56,6,FALSE),0)</f>
        <v>0</v>
      </c>
      <c r="J20">
        <f>IF((gamma!J20),VLOOKUP(J$1,main!$A$3:$I$56,5,FALSE)-VLOOKUP($A20,main!$A$3:$I$56,6,FALSE),0)</f>
        <v>0</v>
      </c>
      <c r="K20">
        <f>IF((gamma!K20),VLOOKUP(K$1,main!$A$3:$I$56,5,FALSE)-VLOOKUP($A20,main!$A$3:$I$56,6,FALSE),0)</f>
        <v>0</v>
      </c>
      <c r="L20">
        <f>IF((gamma!L20),VLOOKUP(L$1,main!$A$3:$I$56,5,FALSE)-VLOOKUP($A20,main!$A$3:$I$56,6,FALSE),0)</f>
        <v>0</v>
      </c>
      <c r="M20">
        <f>IF((gamma!M20),VLOOKUP(M$1,main!$A$3:$I$56,5,FALSE)-VLOOKUP($A20,main!$A$3:$I$56,6,FALSE),0)</f>
        <v>0</v>
      </c>
      <c r="N20">
        <f>IF((gamma!N20),VLOOKUP(N$1,main!$A$3:$I$56,5,FALSE)-VLOOKUP($A20,main!$A$3:$I$56,6,FALSE),0)</f>
        <v>0</v>
      </c>
      <c r="O20">
        <f>IF((gamma!O20),VLOOKUP(O$1,main!$A$3:$I$56,5,FALSE)-VLOOKUP($A20,main!$A$3:$I$56,6,FALSE),0)</f>
        <v>0</v>
      </c>
      <c r="P20">
        <f>IF((gamma!P20),VLOOKUP(P$1,main!$A$3:$I$56,5,FALSE)-VLOOKUP($A20,main!$A$3:$I$56,6,FALSE),0)</f>
        <v>0</v>
      </c>
      <c r="Q20">
        <f>IF((gamma!Q20),VLOOKUP(Q$1,main!$A$3:$I$56,5,FALSE)-VLOOKUP($A20,main!$A$3:$I$56,6,FALSE),0)</f>
        <v>0</v>
      </c>
      <c r="R20">
        <f>IF((gamma!R20),VLOOKUP(R$1,main!$A$3:$I$56,5,FALSE)-VLOOKUP($A20,main!$A$3:$I$56,6,FALSE),0)</f>
        <v>0</v>
      </c>
      <c r="S20">
        <f>IF((gamma!S20),VLOOKUP(S$1,main!$A$3:$I$56,5,FALSE)-VLOOKUP($A20,main!$A$3:$I$56,6,FALSE),0)</f>
        <v>0</v>
      </c>
      <c r="T20">
        <f>IF((gamma!T20),VLOOKUP(T$1,main!$A$3:$I$56,5,FALSE)-VLOOKUP($A20,main!$A$3:$I$56,6,FALSE),0)</f>
        <v>0</v>
      </c>
      <c r="U20">
        <f>IF((gamma!U20),VLOOKUP(U$1,main!$A$3:$I$56,5,FALSE)-VLOOKUP($A20,main!$A$3:$I$56,6,FALSE),0)</f>
        <v>0</v>
      </c>
      <c r="V20">
        <f>IF((gamma!V20),VLOOKUP(V$1,main!$A$3:$I$56,5,FALSE)-VLOOKUP($A20,main!$A$3:$I$56,6,FALSE),0)</f>
        <v>0</v>
      </c>
      <c r="W20">
        <f>IF((gamma!W20),VLOOKUP(W$1,main!$A$3:$I$56,5,FALSE)-VLOOKUP($A20,main!$A$3:$I$56,6,FALSE),0)</f>
        <v>0</v>
      </c>
      <c r="X20">
        <f>IF((gamma!X20),VLOOKUP(X$1,main!$A$3:$I$56,5,FALSE)-VLOOKUP($A20,main!$A$3:$I$56,6,FALSE),0)</f>
        <v>0</v>
      </c>
      <c r="Y20">
        <f>IF((gamma!Y20),VLOOKUP(Y$1,main!$A$3:$I$56,5,FALSE)-VLOOKUP($A20,main!$A$3:$I$56,6,FALSE),0)</f>
        <v>0</v>
      </c>
      <c r="Z20">
        <f>IF((gamma!Z20),VLOOKUP(Z$1,main!$A$3:$I$56,5,FALSE)-VLOOKUP($A20,main!$A$3:$I$56,6,FALSE),0)</f>
        <v>0</v>
      </c>
      <c r="AA20">
        <f>IF((gamma!AA20),VLOOKUP(AA$1,main!$A$3:$I$56,5,FALSE)-VLOOKUP($A20,main!$A$3:$I$56,6,FALSE),0)</f>
        <v>0</v>
      </c>
      <c r="AB20">
        <f>IF((gamma!AB20),VLOOKUP(AB$1,main!$A$3:$I$56,5,FALSE)-VLOOKUP($A20,main!$A$3:$I$56,6,FALSE),0)</f>
        <v>0</v>
      </c>
      <c r="AC20">
        <f>IF((gamma!AC20),VLOOKUP(AC$1,main!$A$3:$I$56,5,FALSE)-VLOOKUP($A20,main!$A$3:$I$56,6,FALSE),0)</f>
        <v>0</v>
      </c>
      <c r="AD20">
        <f>IF((gamma!AD20),VLOOKUP(AD$1,main!$A$3:$I$56,5,FALSE)-VLOOKUP($A20,main!$A$3:$I$56,6,FALSE),0)</f>
        <v>0</v>
      </c>
      <c r="AE20">
        <f>IF((gamma!AE20),VLOOKUP(AE$1,main!$A$3:$I$56,5,FALSE)-VLOOKUP($A20,main!$A$3:$I$56,6,FALSE),0)</f>
        <v>0</v>
      </c>
      <c r="AF20">
        <f>IF((gamma!AF20),VLOOKUP(AF$1,main!$A$3:$I$56,5,FALSE)-VLOOKUP($A20,main!$A$3:$I$56,6,FALSE),0)</f>
        <v>0</v>
      </c>
      <c r="AG20">
        <f>IF((gamma!AG20),VLOOKUP(AG$1,main!$A$3:$I$56,5,FALSE)-VLOOKUP($A20,main!$A$3:$I$56,6,FALSE),0)</f>
        <v>0</v>
      </c>
      <c r="AH20">
        <f>IF((gamma!AH20),VLOOKUP(AH$1,main!$A$3:$I$56,5,FALSE)-VLOOKUP($A20,main!$A$3:$I$56,6,FALSE),0)</f>
        <v>0</v>
      </c>
      <c r="AI20">
        <f>IF((gamma!AI20),VLOOKUP(AI$1,main!$A$3:$I$56,5,FALSE)-VLOOKUP($A20,main!$A$3:$I$56,6,FALSE),0)</f>
        <v>0</v>
      </c>
      <c r="AJ20">
        <f>IF((gamma!AJ20),VLOOKUP(AJ$1,main!$A$3:$I$56,5,FALSE)-VLOOKUP($A20,main!$A$3:$I$56,6,FALSE),0)</f>
        <v>0</v>
      </c>
      <c r="AK20">
        <f>IF((gamma!AK20),VLOOKUP(AK$1,main!$A$3:$I$56,5,FALSE)-VLOOKUP($A20,main!$A$3:$I$56,6,FALSE),0)</f>
        <v>0</v>
      </c>
      <c r="AL20">
        <f>IF((gamma!AL20),VLOOKUP(AL$1,main!$A$3:$I$56,5,FALSE)-VLOOKUP($A20,main!$A$3:$I$56,6,FALSE),0)</f>
        <v>0</v>
      </c>
      <c r="AM20">
        <f>IF((gamma!AM20),VLOOKUP(AM$1,main!$A$3:$I$56,5,FALSE)-VLOOKUP($A20,main!$A$3:$I$56,6,FALSE),0)</f>
        <v>0</v>
      </c>
      <c r="AN20">
        <f>IF((gamma!AN20),VLOOKUP(AN$1,main!$A$3:$I$56,5,FALSE)-VLOOKUP($A20,main!$A$3:$I$56,6,FALSE),0)</f>
        <v>0</v>
      </c>
      <c r="AO20">
        <f>IF((gamma!AO20),VLOOKUP(AO$1,main!$A$3:$I$56,5,FALSE)-VLOOKUP($A20,main!$A$3:$I$56,6,FALSE),0)</f>
        <v>0</v>
      </c>
      <c r="AP20">
        <f>IF((gamma!AP20),VLOOKUP(AP$1,main!$A$3:$I$56,5,FALSE)-VLOOKUP($A20,main!$A$3:$I$56,6,FALSE),0)</f>
        <v>0</v>
      </c>
      <c r="AQ20">
        <f>IF((gamma!AQ20),VLOOKUP(AQ$1,main!$A$3:$I$56,5,FALSE)-VLOOKUP($A20,main!$A$3:$I$56,6,FALSE),0)</f>
        <v>0</v>
      </c>
      <c r="AR20">
        <f>IF((gamma!AR20),VLOOKUP(AR$1,main!$A$3:$I$56,5,FALSE)-VLOOKUP($A20,main!$A$3:$I$56,6,FALSE),0)</f>
        <v>0</v>
      </c>
      <c r="AS20">
        <f>IF((gamma!AS20),VLOOKUP(AS$1,main!$A$3:$I$56,5,FALSE)-VLOOKUP($A20,main!$A$3:$I$56,6,FALSE),0)</f>
        <v>0</v>
      </c>
      <c r="AT20">
        <f>IF((gamma!AT20),VLOOKUP(AT$1,main!$A$3:$I$56,5,FALSE)-VLOOKUP($A20,main!$A$3:$I$56,6,FALSE),0)</f>
        <v>0</v>
      </c>
      <c r="AU20">
        <f>IF((gamma!AU20),VLOOKUP(AU$1,main!$A$3:$I$56,5,FALSE)-VLOOKUP($A20,main!$A$3:$I$56,6,FALSE),0)</f>
        <v>0</v>
      </c>
      <c r="AV20">
        <f>IF((gamma!AV20),VLOOKUP(AV$1,main!$A$3:$I$56,5,FALSE)-VLOOKUP($A20,main!$A$3:$I$56,6,FALSE),0)</f>
        <v>0</v>
      </c>
      <c r="AW20">
        <f>IF((gamma!AW20),VLOOKUP(AW$1,main!$A$3:$I$56,5,FALSE)-VLOOKUP($A20,main!$A$3:$I$56,6,FALSE),0)</f>
        <v>0</v>
      </c>
      <c r="AX20">
        <f>IF((gamma!AX20),VLOOKUP(AX$1,main!$A$3:$I$56,5,FALSE)-VLOOKUP($A20,main!$A$3:$I$56,6,FALSE),0)</f>
        <v>0</v>
      </c>
      <c r="AY20">
        <f>IF((gamma!AY20),VLOOKUP(AY$1,main!$A$3:$I$56,5,FALSE)-VLOOKUP($A20,main!$A$3:$I$56,6,FALSE),0)</f>
        <v>0</v>
      </c>
      <c r="AZ20">
        <f>IF((gamma!AZ20),VLOOKUP(AZ$1,main!$A$3:$I$56,5,FALSE)-VLOOKUP($A20,main!$A$3:$I$56,6,FALSE),0)</f>
        <v>0</v>
      </c>
      <c r="BA20">
        <f>IF((gamma!BA20),VLOOKUP(BA$1,main!$A$3:$I$56,5,FALSE)-VLOOKUP($A20,main!$A$3:$I$56,6,FALSE),0)</f>
        <v>0</v>
      </c>
      <c r="BB20">
        <f>IF((gamma!BB20),VLOOKUP(BB$1,main!$A$3:$I$56,5,FALSE)-VLOOKUP($A20,main!$A$3:$I$56,6,FALSE),0)</f>
        <v>0</v>
      </c>
      <c r="BC20">
        <f>IF((gamma!BC20),VLOOKUP(BC$1,main!$A$3:$I$56,5,FALSE)-VLOOKUP($A20,main!$A$3:$I$56,6,FALSE),0)</f>
        <v>0</v>
      </c>
      <c r="BD20">
        <f>IF((gamma!BD20),VLOOKUP(BD$1,main!$A$3:$I$56,5,FALSE)-VLOOKUP($A20,main!$A$3:$I$56,6,FALSE),0)</f>
        <v>0</v>
      </c>
    </row>
    <row r="21" spans="1:56" x14ac:dyDescent="0.25">
      <c r="A21">
        <f t="shared" si="2"/>
        <v>19</v>
      </c>
      <c r="B21">
        <v>0</v>
      </c>
      <c r="C21">
        <f>IF((gamma!C21),VLOOKUP(C$1,main!$A$3:$I$56,5,FALSE)-VLOOKUP($A21,main!$A$3:$I$56,6,FALSE),0)</f>
        <v>0</v>
      </c>
      <c r="D21">
        <f>IF((gamma!D21),VLOOKUP(D$1,main!$A$3:$I$56,5,FALSE)-VLOOKUP($A21,main!$A$3:$I$56,6,FALSE),0)</f>
        <v>65</v>
      </c>
      <c r="E21">
        <f>IF((gamma!E21),VLOOKUP(E$1,main!$A$3:$I$56,5,FALSE)-VLOOKUP($A21,main!$A$3:$I$56,6,FALSE),0)</f>
        <v>155</v>
      </c>
      <c r="F21">
        <f>IF((gamma!F21),VLOOKUP(F$1,main!$A$3:$I$56,5,FALSE)-VLOOKUP($A21,main!$A$3:$I$56,6,FALSE),0)</f>
        <v>245</v>
      </c>
      <c r="G21">
        <f>IF((gamma!G21),VLOOKUP(G$1,main!$A$3:$I$56,5,FALSE)-VLOOKUP($A21,main!$A$3:$I$56,6,FALSE),0)</f>
        <v>305</v>
      </c>
      <c r="H21">
        <f>IF((gamma!H21),VLOOKUP(H$1,main!$A$3:$I$56,5,FALSE)-VLOOKUP($A21,main!$A$3:$I$56,6,FALSE),0)</f>
        <v>365</v>
      </c>
      <c r="I21">
        <f>IF((gamma!I21),VLOOKUP(I$1,main!$A$3:$I$56,5,FALSE)-VLOOKUP($A21,main!$A$3:$I$56,6,FALSE),0)</f>
        <v>425</v>
      </c>
      <c r="J21">
        <f>IF((gamma!J21),VLOOKUP(J$1,main!$A$3:$I$56,5,FALSE)-VLOOKUP($A21,main!$A$3:$I$56,6,FALSE),0)</f>
        <v>515</v>
      </c>
      <c r="K21">
        <f>IF((gamma!K21),VLOOKUP(K$1,main!$A$3:$I$56,5,FALSE)-VLOOKUP($A21,main!$A$3:$I$56,6,FALSE),0)</f>
        <v>0</v>
      </c>
      <c r="L21">
        <f>IF((gamma!L21),VLOOKUP(L$1,main!$A$3:$I$56,5,FALSE)-VLOOKUP($A21,main!$A$3:$I$56,6,FALSE),0)</f>
        <v>0</v>
      </c>
      <c r="M21">
        <f>IF((gamma!M21),VLOOKUP(M$1,main!$A$3:$I$56,5,FALSE)-VLOOKUP($A21,main!$A$3:$I$56,6,FALSE),0)</f>
        <v>120</v>
      </c>
      <c r="N21">
        <f>IF((gamma!N21),VLOOKUP(N$1,main!$A$3:$I$56,5,FALSE)-VLOOKUP($A21,main!$A$3:$I$56,6,FALSE),0)</f>
        <v>480</v>
      </c>
      <c r="O21">
        <f>IF((gamma!O21),VLOOKUP(O$1,main!$A$3:$I$56,5,FALSE)-VLOOKUP($A21,main!$A$3:$I$56,6,FALSE),0)</f>
        <v>540</v>
      </c>
      <c r="P21">
        <f>IF((gamma!P21),VLOOKUP(P$1,main!$A$3:$I$56,5,FALSE)-VLOOKUP($A21,main!$A$3:$I$56,6,FALSE),0)</f>
        <v>0</v>
      </c>
      <c r="Q21">
        <f>IF((gamma!Q21),VLOOKUP(Q$1,main!$A$3:$I$56,5,FALSE)-VLOOKUP($A21,main!$A$3:$I$56,6,FALSE),0)</f>
        <v>0</v>
      </c>
      <c r="R21">
        <f>IF((gamma!R21),VLOOKUP(R$1,main!$A$3:$I$56,5,FALSE)-VLOOKUP($A21,main!$A$3:$I$56,6,FALSE),0)</f>
        <v>115</v>
      </c>
      <c r="S21">
        <f>IF((gamma!S21),VLOOKUP(S$1,main!$A$3:$I$56,5,FALSE)-VLOOKUP($A21,main!$A$3:$I$56,6,FALSE),0)</f>
        <v>295</v>
      </c>
      <c r="T21">
        <f>IF((gamma!T21),VLOOKUP(T$1,main!$A$3:$I$56,5,FALSE)-VLOOKUP($A21,main!$A$3:$I$56,6,FALSE),0)</f>
        <v>445</v>
      </c>
      <c r="U21">
        <f>IF((gamma!U21),VLOOKUP(U$1,main!$A$3:$I$56,5,FALSE)-VLOOKUP($A21,main!$A$3:$I$56,6,FALSE),0)</f>
        <v>0</v>
      </c>
      <c r="V21">
        <f>IF((gamma!V21),VLOOKUP(V$1,main!$A$3:$I$56,5,FALSE)-VLOOKUP($A21,main!$A$3:$I$56,6,FALSE),0)</f>
        <v>0</v>
      </c>
      <c r="W21">
        <f>IF((gamma!W21),VLOOKUP(W$1,main!$A$3:$I$56,5,FALSE)-VLOOKUP($A21,main!$A$3:$I$56,6,FALSE),0)</f>
        <v>45</v>
      </c>
      <c r="X21">
        <f>IF((gamma!X21),VLOOKUP(X$1,main!$A$3:$I$56,5,FALSE)-VLOOKUP($A21,main!$A$3:$I$56,6,FALSE),0)</f>
        <v>135</v>
      </c>
      <c r="Y21">
        <f>IF((gamma!Y21),VLOOKUP(Y$1,main!$A$3:$I$56,5,FALSE)-VLOOKUP($A21,main!$A$3:$I$56,6,FALSE),0)</f>
        <v>225</v>
      </c>
      <c r="Z21">
        <f>IF((gamma!Z21),VLOOKUP(Z$1,main!$A$3:$I$56,5,FALSE)-VLOOKUP($A21,main!$A$3:$I$56,6,FALSE),0)</f>
        <v>315</v>
      </c>
      <c r="AA21">
        <f>IF((gamma!AA21),VLOOKUP(AA$1,main!$A$3:$I$56,5,FALSE)-VLOOKUP($A21,main!$A$3:$I$56,6,FALSE),0)</f>
        <v>405</v>
      </c>
      <c r="AB21">
        <f>IF((gamma!AB21),VLOOKUP(AB$1,main!$A$3:$I$56,5,FALSE)-VLOOKUP($A21,main!$A$3:$I$56,6,FALSE),0)</f>
        <v>465</v>
      </c>
      <c r="AC21">
        <f>IF((gamma!AC21),VLOOKUP(AC$1,main!$A$3:$I$56,5,FALSE)-VLOOKUP($A21,main!$A$3:$I$56,6,FALSE),0)</f>
        <v>0</v>
      </c>
      <c r="AD21">
        <f>IF((gamma!AD21),VLOOKUP(AD$1,main!$A$3:$I$56,5,FALSE)-VLOOKUP($A21,main!$A$3:$I$56,6,FALSE),0)</f>
        <v>0</v>
      </c>
      <c r="AE21">
        <f>IF((gamma!AE21),VLOOKUP(AE$1,main!$A$3:$I$56,5,FALSE)-VLOOKUP($A21,main!$A$3:$I$56,6,FALSE),0)</f>
        <v>125</v>
      </c>
      <c r="AF21">
        <f>IF((gamma!AF21),VLOOKUP(AF$1,main!$A$3:$I$56,5,FALSE)-VLOOKUP($A21,main!$A$3:$I$56,6,FALSE),0)</f>
        <v>275</v>
      </c>
      <c r="AG21">
        <f>IF((gamma!AG21),VLOOKUP(AG$1,main!$A$3:$I$56,5,FALSE)-VLOOKUP($A21,main!$A$3:$I$56,6,FALSE),0)</f>
        <v>0</v>
      </c>
      <c r="AH21">
        <f>IF((gamma!AH21),VLOOKUP(AH$1,main!$A$3:$I$56,5,FALSE)-VLOOKUP($A21,main!$A$3:$I$56,6,FALSE),0)</f>
        <v>65</v>
      </c>
      <c r="AI21">
        <f>IF((gamma!AI21),VLOOKUP(AI$1,main!$A$3:$I$56,5,FALSE)-VLOOKUP($A21,main!$A$3:$I$56,6,FALSE),0)</f>
        <v>185</v>
      </c>
      <c r="AJ21">
        <f>IF((gamma!AJ21),VLOOKUP(AJ$1,main!$A$3:$I$56,5,FALSE)-VLOOKUP($A21,main!$A$3:$I$56,6,FALSE),0)</f>
        <v>245</v>
      </c>
      <c r="AK21">
        <f>IF((gamma!AK21),VLOOKUP(AK$1,main!$A$3:$I$56,5,FALSE)-VLOOKUP($A21,main!$A$3:$I$56,6,FALSE),0)</f>
        <v>365</v>
      </c>
      <c r="AL21">
        <f>IF((gamma!AL21),VLOOKUP(AL$1,main!$A$3:$I$56,5,FALSE)-VLOOKUP($A21,main!$A$3:$I$56,6,FALSE),0)</f>
        <v>0</v>
      </c>
      <c r="AM21">
        <f>IF((gamma!AM21),VLOOKUP(AM$1,main!$A$3:$I$56,5,FALSE)-VLOOKUP($A21,main!$A$3:$I$56,6,FALSE),0)</f>
        <v>0</v>
      </c>
      <c r="AN21">
        <f>IF((gamma!AN21),VLOOKUP(AN$1,main!$A$3:$I$56,5,FALSE)-VLOOKUP($A21,main!$A$3:$I$56,6,FALSE),0)</f>
        <v>225</v>
      </c>
      <c r="AO21">
        <f>IF((gamma!AO21),VLOOKUP(AO$1,main!$A$3:$I$56,5,FALSE)-VLOOKUP($A21,main!$A$3:$I$56,6,FALSE),0)</f>
        <v>275</v>
      </c>
      <c r="AP21">
        <f>IF((gamma!AP21),VLOOKUP(AP$1,main!$A$3:$I$56,5,FALSE)-VLOOKUP($A21,main!$A$3:$I$56,6,FALSE),0)</f>
        <v>0</v>
      </c>
      <c r="AQ21">
        <f>IF((gamma!AQ21),VLOOKUP(AQ$1,main!$A$3:$I$56,5,FALSE)-VLOOKUP($A21,main!$A$3:$I$56,6,FALSE),0)</f>
        <v>0</v>
      </c>
      <c r="AR21">
        <f>IF((gamma!AR21),VLOOKUP(AR$1,main!$A$3:$I$56,5,FALSE)-VLOOKUP($A21,main!$A$3:$I$56,6,FALSE),0)</f>
        <v>0</v>
      </c>
      <c r="AS21">
        <f>IF((gamma!AS21),VLOOKUP(AS$1,main!$A$3:$I$56,5,FALSE)-VLOOKUP($A21,main!$A$3:$I$56,6,FALSE),0)</f>
        <v>90</v>
      </c>
      <c r="AT21">
        <f>IF((gamma!AT21),VLOOKUP(AT$1,main!$A$3:$I$56,5,FALSE)-VLOOKUP($A21,main!$A$3:$I$56,6,FALSE),0)</f>
        <v>175</v>
      </c>
      <c r="AU21">
        <f>IF((gamma!AU21),VLOOKUP(AU$1,main!$A$3:$I$56,5,FALSE)-VLOOKUP($A21,main!$A$3:$I$56,6,FALSE),0)</f>
        <v>0</v>
      </c>
      <c r="AV21">
        <f>IF((gamma!AV21),VLOOKUP(AV$1,main!$A$3:$I$56,5,FALSE)-VLOOKUP($A21,main!$A$3:$I$56,6,FALSE),0)</f>
        <v>75</v>
      </c>
      <c r="AW21">
        <f>IF((gamma!AW21),VLOOKUP(AW$1,main!$A$3:$I$56,5,FALSE)-VLOOKUP($A21,main!$A$3:$I$56,6,FALSE),0)</f>
        <v>125</v>
      </c>
      <c r="AX21">
        <f>IF((gamma!AX21),VLOOKUP(AX$1,main!$A$3:$I$56,5,FALSE)-VLOOKUP($A21,main!$A$3:$I$56,6,FALSE),0)</f>
        <v>325</v>
      </c>
      <c r="AY21">
        <f>IF((gamma!AY21),VLOOKUP(AY$1,main!$A$3:$I$56,5,FALSE)-VLOOKUP($A21,main!$A$3:$I$56,6,FALSE),0)</f>
        <v>525</v>
      </c>
      <c r="AZ21">
        <f>IF((gamma!AZ21),VLOOKUP(AZ$1,main!$A$3:$I$56,5,FALSE)-VLOOKUP($A21,main!$A$3:$I$56,6,FALSE),0)</f>
        <v>0</v>
      </c>
      <c r="BA21">
        <f>IF((gamma!BA21),VLOOKUP(BA$1,main!$A$3:$I$56,5,FALSE)-VLOOKUP($A21,main!$A$3:$I$56,6,FALSE),0)</f>
        <v>90</v>
      </c>
      <c r="BB21">
        <f>IF((gamma!BB21),VLOOKUP(BB$1,main!$A$3:$I$56,5,FALSE)-VLOOKUP($A21,main!$A$3:$I$56,6,FALSE),0)</f>
        <v>105</v>
      </c>
      <c r="BC21">
        <f>IF((gamma!BC21),VLOOKUP(BC$1,main!$A$3:$I$56,5,FALSE)-VLOOKUP($A21,main!$A$3:$I$56,6,FALSE),0)</f>
        <v>290</v>
      </c>
      <c r="BD21">
        <f>IF((gamma!BD21),VLOOKUP(BD$1,main!$A$3:$I$56,5,FALSE)-VLOOKUP($A21,main!$A$3:$I$56,6,FALSE),0)</f>
        <v>300</v>
      </c>
    </row>
    <row r="22" spans="1:56" x14ac:dyDescent="0.25">
      <c r="A22">
        <f t="shared" si="2"/>
        <v>20</v>
      </c>
      <c r="B22">
        <v>0</v>
      </c>
      <c r="C22">
        <f>IF((gamma!C22),VLOOKUP(C$1,main!$A$3:$I$56,5,FALSE)-VLOOKUP($A22,main!$A$3:$I$56,6,FALSE),0)</f>
        <v>0</v>
      </c>
      <c r="D22">
        <f>IF((gamma!D22),VLOOKUP(D$1,main!$A$3:$I$56,5,FALSE)-VLOOKUP($A22,main!$A$3:$I$56,6,FALSE),0)</f>
        <v>0</v>
      </c>
      <c r="E22">
        <f>IF((gamma!E22),VLOOKUP(E$1,main!$A$3:$I$56,5,FALSE)-VLOOKUP($A22,main!$A$3:$I$56,6,FALSE),0)</f>
        <v>65</v>
      </c>
      <c r="F22">
        <f>IF((gamma!F22),VLOOKUP(F$1,main!$A$3:$I$56,5,FALSE)-VLOOKUP($A22,main!$A$3:$I$56,6,FALSE),0)</f>
        <v>155</v>
      </c>
      <c r="G22">
        <f>IF((gamma!G22),VLOOKUP(G$1,main!$A$3:$I$56,5,FALSE)-VLOOKUP($A22,main!$A$3:$I$56,6,FALSE),0)</f>
        <v>215</v>
      </c>
      <c r="H22">
        <f>IF((gamma!H22),VLOOKUP(H$1,main!$A$3:$I$56,5,FALSE)-VLOOKUP($A22,main!$A$3:$I$56,6,FALSE),0)</f>
        <v>275</v>
      </c>
      <c r="I22">
        <f>IF((gamma!I22),VLOOKUP(I$1,main!$A$3:$I$56,5,FALSE)-VLOOKUP($A22,main!$A$3:$I$56,6,FALSE),0)</f>
        <v>335</v>
      </c>
      <c r="J22">
        <f>IF((gamma!J22),VLOOKUP(J$1,main!$A$3:$I$56,5,FALSE)-VLOOKUP($A22,main!$A$3:$I$56,6,FALSE),0)</f>
        <v>425</v>
      </c>
      <c r="K22">
        <f>IF((gamma!K22),VLOOKUP(K$1,main!$A$3:$I$56,5,FALSE)-VLOOKUP($A22,main!$A$3:$I$56,6,FALSE),0)</f>
        <v>0</v>
      </c>
      <c r="L22">
        <f>IF((gamma!L22),VLOOKUP(L$1,main!$A$3:$I$56,5,FALSE)-VLOOKUP($A22,main!$A$3:$I$56,6,FALSE),0)</f>
        <v>0</v>
      </c>
      <c r="M22">
        <f>IF((gamma!M22),VLOOKUP(M$1,main!$A$3:$I$56,5,FALSE)-VLOOKUP($A22,main!$A$3:$I$56,6,FALSE),0)</f>
        <v>30</v>
      </c>
      <c r="N22">
        <f>IF((gamma!N22),VLOOKUP(N$1,main!$A$3:$I$56,5,FALSE)-VLOOKUP($A22,main!$A$3:$I$56,6,FALSE),0)</f>
        <v>390</v>
      </c>
      <c r="O22">
        <f>IF((gamma!O22),VLOOKUP(O$1,main!$A$3:$I$56,5,FALSE)-VLOOKUP($A22,main!$A$3:$I$56,6,FALSE),0)</f>
        <v>450</v>
      </c>
      <c r="P22">
        <f>IF((gamma!P22),VLOOKUP(P$1,main!$A$3:$I$56,5,FALSE)-VLOOKUP($A22,main!$A$3:$I$56,6,FALSE),0)</f>
        <v>0</v>
      </c>
      <c r="Q22">
        <f>IF((gamma!Q22),VLOOKUP(Q$1,main!$A$3:$I$56,5,FALSE)-VLOOKUP($A22,main!$A$3:$I$56,6,FALSE),0)</f>
        <v>0</v>
      </c>
      <c r="R22">
        <f>IF((gamma!R22),VLOOKUP(R$1,main!$A$3:$I$56,5,FALSE)-VLOOKUP($A22,main!$A$3:$I$56,6,FALSE),0)</f>
        <v>25</v>
      </c>
      <c r="S22">
        <f>IF((gamma!S22),VLOOKUP(S$1,main!$A$3:$I$56,5,FALSE)-VLOOKUP($A22,main!$A$3:$I$56,6,FALSE),0)</f>
        <v>205</v>
      </c>
      <c r="T22">
        <f>IF((gamma!T22),VLOOKUP(T$1,main!$A$3:$I$56,5,FALSE)-VLOOKUP($A22,main!$A$3:$I$56,6,FALSE),0)</f>
        <v>355</v>
      </c>
      <c r="U22">
        <f>IF((gamma!U22),VLOOKUP(U$1,main!$A$3:$I$56,5,FALSE)-VLOOKUP($A22,main!$A$3:$I$56,6,FALSE),0)</f>
        <v>0</v>
      </c>
      <c r="V22">
        <f>IF((gamma!V22),VLOOKUP(V$1,main!$A$3:$I$56,5,FALSE)-VLOOKUP($A22,main!$A$3:$I$56,6,FALSE),0)</f>
        <v>0</v>
      </c>
      <c r="W22">
        <f>IF((gamma!W22),VLOOKUP(W$1,main!$A$3:$I$56,5,FALSE)-VLOOKUP($A22,main!$A$3:$I$56,6,FALSE),0)</f>
        <v>0</v>
      </c>
      <c r="X22">
        <f>IF((gamma!X22),VLOOKUP(X$1,main!$A$3:$I$56,5,FALSE)-VLOOKUP($A22,main!$A$3:$I$56,6,FALSE),0)</f>
        <v>45</v>
      </c>
      <c r="Y22">
        <f>IF((gamma!Y22),VLOOKUP(Y$1,main!$A$3:$I$56,5,FALSE)-VLOOKUP($A22,main!$A$3:$I$56,6,FALSE),0)</f>
        <v>135</v>
      </c>
      <c r="Z22">
        <f>IF((gamma!Z22),VLOOKUP(Z$1,main!$A$3:$I$56,5,FALSE)-VLOOKUP($A22,main!$A$3:$I$56,6,FALSE),0)</f>
        <v>225</v>
      </c>
      <c r="AA22">
        <f>IF((gamma!AA22),VLOOKUP(AA$1,main!$A$3:$I$56,5,FALSE)-VLOOKUP($A22,main!$A$3:$I$56,6,FALSE),0)</f>
        <v>315</v>
      </c>
      <c r="AB22">
        <f>IF((gamma!AB22),VLOOKUP(AB$1,main!$A$3:$I$56,5,FALSE)-VLOOKUP($A22,main!$A$3:$I$56,6,FALSE),0)</f>
        <v>375</v>
      </c>
      <c r="AC22">
        <f>IF((gamma!AC22),VLOOKUP(AC$1,main!$A$3:$I$56,5,FALSE)-VLOOKUP($A22,main!$A$3:$I$56,6,FALSE),0)</f>
        <v>0</v>
      </c>
      <c r="AD22">
        <f>IF((gamma!AD22),VLOOKUP(AD$1,main!$A$3:$I$56,5,FALSE)-VLOOKUP($A22,main!$A$3:$I$56,6,FALSE),0)</f>
        <v>0</v>
      </c>
      <c r="AE22">
        <f>IF((gamma!AE22),VLOOKUP(AE$1,main!$A$3:$I$56,5,FALSE)-VLOOKUP($A22,main!$A$3:$I$56,6,FALSE),0)</f>
        <v>0</v>
      </c>
      <c r="AF22">
        <f>IF((gamma!AF22),VLOOKUP(AF$1,main!$A$3:$I$56,5,FALSE)-VLOOKUP($A22,main!$A$3:$I$56,6,FALSE),0)</f>
        <v>185</v>
      </c>
      <c r="AG22">
        <f>IF((gamma!AG22),VLOOKUP(AG$1,main!$A$3:$I$56,5,FALSE)-VLOOKUP($A22,main!$A$3:$I$56,6,FALSE),0)</f>
        <v>0</v>
      </c>
      <c r="AH22">
        <f>IF((gamma!AH22),VLOOKUP(AH$1,main!$A$3:$I$56,5,FALSE)-VLOOKUP($A22,main!$A$3:$I$56,6,FALSE),0)</f>
        <v>0</v>
      </c>
      <c r="AI22">
        <f>IF((gamma!AI22),VLOOKUP(AI$1,main!$A$3:$I$56,5,FALSE)-VLOOKUP($A22,main!$A$3:$I$56,6,FALSE),0)</f>
        <v>95</v>
      </c>
      <c r="AJ22">
        <f>IF((gamma!AJ22),VLOOKUP(AJ$1,main!$A$3:$I$56,5,FALSE)-VLOOKUP($A22,main!$A$3:$I$56,6,FALSE),0)</f>
        <v>155</v>
      </c>
      <c r="AK22">
        <f>IF((gamma!AK22),VLOOKUP(AK$1,main!$A$3:$I$56,5,FALSE)-VLOOKUP($A22,main!$A$3:$I$56,6,FALSE),0)</f>
        <v>275</v>
      </c>
      <c r="AL22">
        <f>IF((gamma!AL22),VLOOKUP(AL$1,main!$A$3:$I$56,5,FALSE)-VLOOKUP($A22,main!$A$3:$I$56,6,FALSE),0)</f>
        <v>0</v>
      </c>
      <c r="AM22">
        <f>IF((gamma!AM22),VLOOKUP(AM$1,main!$A$3:$I$56,5,FALSE)-VLOOKUP($A22,main!$A$3:$I$56,6,FALSE),0)</f>
        <v>0</v>
      </c>
      <c r="AN22">
        <f>IF((gamma!AN22),VLOOKUP(AN$1,main!$A$3:$I$56,5,FALSE)-VLOOKUP($A22,main!$A$3:$I$56,6,FALSE),0)</f>
        <v>135</v>
      </c>
      <c r="AO22">
        <f>IF((gamma!AO22),VLOOKUP(AO$1,main!$A$3:$I$56,5,FALSE)-VLOOKUP($A22,main!$A$3:$I$56,6,FALSE),0)</f>
        <v>185</v>
      </c>
      <c r="AP22">
        <f>IF((gamma!AP22),VLOOKUP(AP$1,main!$A$3:$I$56,5,FALSE)-VLOOKUP($A22,main!$A$3:$I$56,6,FALSE),0)</f>
        <v>0</v>
      </c>
      <c r="AQ22">
        <f>IF((gamma!AQ22),VLOOKUP(AQ$1,main!$A$3:$I$56,5,FALSE)-VLOOKUP($A22,main!$A$3:$I$56,6,FALSE),0)</f>
        <v>0</v>
      </c>
      <c r="AR22">
        <f>IF((gamma!AR22),VLOOKUP(AR$1,main!$A$3:$I$56,5,FALSE)-VLOOKUP($A22,main!$A$3:$I$56,6,FALSE),0)</f>
        <v>0</v>
      </c>
      <c r="AS22">
        <f>IF((gamma!AS22),VLOOKUP(AS$1,main!$A$3:$I$56,5,FALSE)-VLOOKUP($A22,main!$A$3:$I$56,6,FALSE),0)</f>
        <v>0</v>
      </c>
      <c r="AT22">
        <f>IF((gamma!AT22),VLOOKUP(AT$1,main!$A$3:$I$56,5,FALSE)-VLOOKUP($A22,main!$A$3:$I$56,6,FALSE),0)</f>
        <v>85</v>
      </c>
      <c r="AU22">
        <f>IF((gamma!AU22),VLOOKUP(AU$1,main!$A$3:$I$56,5,FALSE)-VLOOKUP($A22,main!$A$3:$I$56,6,FALSE),0)</f>
        <v>0</v>
      </c>
      <c r="AV22">
        <f>IF((gamma!AV22),VLOOKUP(AV$1,main!$A$3:$I$56,5,FALSE)-VLOOKUP($A22,main!$A$3:$I$56,6,FALSE),0)</f>
        <v>0</v>
      </c>
      <c r="AW22">
        <f>IF((gamma!AW22),VLOOKUP(AW$1,main!$A$3:$I$56,5,FALSE)-VLOOKUP($A22,main!$A$3:$I$56,6,FALSE),0)</f>
        <v>0</v>
      </c>
      <c r="AX22">
        <f>IF((gamma!AX22),VLOOKUP(AX$1,main!$A$3:$I$56,5,FALSE)-VLOOKUP($A22,main!$A$3:$I$56,6,FALSE),0)</f>
        <v>235</v>
      </c>
      <c r="AY22">
        <f>IF((gamma!AY22),VLOOKUP(AY$1,main!$A$3:$I$56,5,FALSE)-VLOOKUP($A22,main!$A$3:$I$56,6,FALSE),0)</f>
        <v>435</v>
      </c>
      <c r="AZ22">
        <f>IF((gamma!AZ22),VLOOKUP(AZ$1,main!$A$3:$I$56,5,FALSE)-VLOOKUP($A22,main!$A$3:$I$56,6,FALSE),0)</f>
        <v>0</v>
      </c>
      <c r="BA22">
        <f>IF((gamma!BA22),VLOOKUP(BA$1,main!$A$3:$I$56,5,FALSE)-VLOOKUP($A22,main!$A$3:$I$56,6,FALSE),0)</f>
        <v>0</v>
      </c>
      <c r="BB22">
        <f>IF((gamma!BB22),VLOOKUP(BB$1,main!$A$3:$I$56,5,FALSE)-VLOOKUP($A22,main!$A$3:$I$56,6,FALSE),0)</f>
        <v>0</v>
      </c>
      <c r="BC22">
        <f>IF((gamma!BC22),VLOOKUP(BC$1,main!$A$3:$I$56,5,FALSE)-VLOOKUP($A22,main!$A$3:$I$56,6,FALSE),0)</f>
        <v>200</v>
      </c>
      <c r="BD22">
        <f>IF((gamma!BD22),VLOOKUP(BD$1,main!$A$3:$I$56,5,FALSE)-VLOOKUP($A22,main!$A$3:$I$56,6,FALSE),0)</f>
        <v>210</v>
      </c>
    </row>
    <row r="23" spans="1:56" x14ac:dyDescent="0.25">
      <c r="A23">
        <f t="shared" si="2"/>
        <v>21</v>
      </c>
      <c r="B23">
        <v>0</v>
      </c>
      <c r="C23">
        <f>IF((gamma!C23),VLOOKUP(C$1,main!$A$3:$I$56,5,FALSE)-VLOOKUP($A23,main!$A$3:$I$56,6,FALSE),0)</f>
        <v>0</v>
      </c>
      <c r="D23">
        <f>IF((gamma!D23),VLOOKUP(D$1,main!$A$3:$I$56,5,FALSE)-VLOOKUP($A23,main!$A$3:$I$56,6,FALSE),0)</f>
        <v>0</v>
      </c>
      <c r="E23">
        <f>IF((gamma!E23),VLOOKUP(E$1,main!$A$3:$I$56,5,FALSE)-VLOOKUP($A23,main!$A$3:$I$56,6,FALSE),0)</f>
        <v>0</v>
      </c>
      <c r="F23">
        <f>IF((gamma!F23),VLOOKUP(F$1,main!$A$3:$I$56,5,FALSE)-VLOOKUP($A23,main!$A$3:$I$56,6,FALSE),0)</f>
        <v>65</v>
      </c>
      <c r="G23">
        <f>IF((gamma!G23),VLOOKUP(G$1,main!$A$3:$I$56,5,FALSE)-VLOOKUP($A23,main!$A$3:$I$56,6,FALSE),0)</f>
        <v>125</v>
      </c>
      <c r="H23">
        <f>IF((gamma!H23),VLOOKUP(H$1,main!$A$3:$I$56,5,FALSE)-VLOOKUP($A23,main!$A$3:$I$56,6,FALSE),0)</f>
        <v>185</v>
      </c>
      <c r="I23">
        <f>IF((gamma!I23),VLOOKUP(I$1,main!$A$3:$I$56,5,FALSE)-VLOOKUP($A23,main!$A$3:$I$56,6,FALSE),0)</f>
        <v>245</v>
      </c>
      <c r="J23">
        <f>IF((gamma!J23),VLOOKUP(J$1,main!$A$3:$I$56,5,FALSE)-VLOOKUP($A23,main!$A$3:$I$56,6,FALSE),0)</f>
        <v>335</v>
      </c>
      <c r="K23">
        <f>IF((gamma!K23),VLOOKUP(K$1,main!$A$3:$I$56,5,FALSE)-VLOOKUP($A23,main!$A$3:$I$56,6,FALSE),0)</f>
        <v>0</v>
      </c>
      <c r="L23">
        <f>IF((gamma!L23),VLOOKUP(L$1,main!$A$3:$I$56,5,FALSE)-VLOOKUP($A23,main!$A$3:$I$56,6,FALSE),0)</f>
        <v>0</v>
      </c>
      <c r="M23">
        <f>IF((gamma!M23),VLOOKUP(M$1,main!$A$3:$I$56,5,FALSE)-VLOOKUP($A23,main!$A$3:$I$56,6,FALSE),0)</f>
        <v>0</v>
      </c>
      <c r="N23">
        <f>IF((gamma!N23),VLOOKUP(N$1,main!$A$3:$I$56,5,FALSE)-VLOOKUP($A23,main!$A$3:$I$56,6,FALSE),0)</f>
        <v>300</v>
      </c>
      <c r="O23">
        <f>IF((gamma!O23),VLOOKUP(O$1,main!$A$3:$I$56,5,FALSE)-VLOOKUP($A23,main!$A$3:$I$56,6,FALSE),0)</f>
        <v>360</v>
      </c>
      <c r="P23">
        <f>IF((gamma!P23),VLOOKUP(P$1,main!$A$3:$I$56,5,FALSE)-VLOOKUP($A23,main!$A$3:$I$56,6,FALSE),0)</f>
        <v>0</v>
      </c>
      <c r="Q23">
        <f>IF((gamma!Q23),VLOOKUP(Q$1,main!$A$3:$I$56,5,FALSE)-VLOOKUP($A23,main!$A$3:$I$56,6,FALSE),0)</f>
        <v>0</v>
      </c>
      <c r="R23">
        <f>IF((gamma!R23),VLOOKUP(R$1,main!$A$3:$I$56,5,FALSE)-VLOOKUP($A23,main!$A$3:$I$56,6,FALSE),0)</f>
        <v>0</v>
      </c>
      <c r="S23">
        <f>IF((gamma!S23),VLOOKUP(S$1,main!$A$3:$I$56,5,FALSE)-VLOOKUP($A23,main!$A$3:$I$56,6,FALSE),0)</f>
        <v>115</v>
      </c>
      <c r="T23">
        <f>IF((gamma!T23),VLOOKUP(T$1,main!$A$3:$I$56,5,FALSE)-VLOOKUP($A23,main!$A$3:$I$56,6,FALSE),0)</f>
        <v>265</v>
      </c>
      <c r="U23">
        <f>IF((gamma!U23),VLOOKUP(U$1,main!$A$3:$I$56,5,FALSE)-VLOOKUP($A23,main!$A$3:$I$56,6,FALSE),0)</f>
        <v>0</v>
      </c>
      <c r="V23">
        <f>IF((gamma!V23),VLOOKUP(V$1,main!$A$3:$I$56,5,FALSE)-VLOOKUP($A23,main!$A$3:$I$56,6,FALSE),0)</f>
        <v>0</v>
      </c>
      <c r="W23">
        <f>IF((gamma!W23),VLOOKUP(W$1,main!$A$3:$I$56,5,FALSE)-VLOOKUP($A23,main!$A$3:$I$56,6,FALSE),0)</f>
        <v>0</v>
      </c>
      <c r="X23">
        <f>IF((gamma!X23),VLOOKUP(X$1,main!$A$3:$I$56,5,FALSE)-VLOOKUP($A23,main!$A$3:$I$56,6,FALSE),0)</f>
        <v>0</v>
      </c>
      <c r="Y23">
        <f>IF((gamma!Y23),VLOOKUP(Y$1,main!$A$3:$I$56,5,FALSE)-VLOOKUP($A23,main!$A$3:$I$56,6,FALSE),0)</f>
        <v>45</v>
      </c>
      <c r="Z23">
        <f>IF((gamma!Z23),VLOOKUP(Z$1,main!$A$3:$I$56,5,FALSE)-VLOOKUP($A23,main!$A$3:$I$56,6,FALSE),0)</f>
        <v>135</v>
      </c>
      <c r="AA23">
        <f>IF((gamma!AA23),VLOOKUP(AA$1,main!$A$3:$I$56,5,FALSE)-VLOOKUP($A23,main!$A$3:$I$56,6,FALSE),0)</f>
        <v>225</v>
      </c>
      <c r="AB23">
        <f>IF((gamma!AB23),VLOOKUP(AB$1,main!$A$3:$I$56,5,FALSE)-VLOOKUP($A23,main!$A$3:$I$56,6,FALSE),0)</f>
        <v>285</v>
      </c>
      <c r="AC23">
        <f>IF((gamma!AC23),VLOOKUP(AC$1,main!$A$3:$I$56,5,FALSE)-VLOOKUP($A23,main!$A$3:$I$56,6,FALSE),0)</f>
        <v>0</v>
      </c>
      <c r="AD23">
        <f>IF((gamma!AD23),VLOOKUP(AD$1,main!$A$3:$I$56,5,FALSE)-VLOOKUP($A23,main!$A$3:$I$56,6,FALSE),0)</f>
        <v>0</v>
      </c>
      <c r="AE23">
        <f>IF((gamma!AE23),VLOOKUP(AE$1,main!$A$3:$I$56,5,FALSE)-VLOOKUP($A23,main!$A$3:$I$56,6,FALSE),0)</f>
        <v>0</v>
      </c>
      <c r="AF23">
        <f>IF((gamma!AF23),VLOOKUP(AF$1,main!$A$3:$I$56,5,FALSE)-VLOOKUP($A23,main!$A$3:$I$56,6,FALSE),0)</f>
        <v>95</v>
      </c>
      <c r="AG23">
        <f>IF((gamma!AG23),VLOOKUP(AG$1,main!$A$3:$I$56,5,FALSE)-VLOOKUP($A23,main!$A$3:$I$56,6,FALSE),0)</f>
        <v>0</v>
      </c>
      <c r="AH23">
        <f>IF((gamma!AH23),VLOOKUP(AH$1,main!$A$3:$I$56,5,FALSE)-VLOOKUP($A23,main!$A$3:$I$56,6,FALSE),0)</f>
        <v>0</v>
      </c>
      <c r="AI23">
        <f>IF((gamma!AI23),VLOOKUP(AI$1,main!$A$3:$I$56,5,FALSE)-VLOOKUP($A23,main!$A$3:$I$56,6,FALSE),0)</f>
        <v>0</v>
      </c>
      <c r="AJ23">
        <f>IF((gamma!AJ23),VLOOKUP(AJ$1,main!$A$3:$I$56,5,FALSE)-VLOOKUP($A23,main!$A$3:$I$56,6,FALSE),0)</f>
        <v>65</v>
      </c>
      <c r="AK23">
        <f>IF((gamma!AK23),VLOOKUP(AK$1,main!$A$3:$I$56,5,FALSE)-VLOOKUP($A23,main!$A$3:$I$56,6,FALSE),0)</f>
        <v>185</v>
      </c>
      <c r="AL23">
        <f>IF((gamma!AL23),VLOOKUP(AL$1,main!$A$3:$I$56,5,FALSE)-VLOOKUP($A23,main!$A$3:$I$56,6,FALSE),0)</f>
        <v>0</v>
      </c>
      <c r="AM23">
        <f>IF((gamma!AM23),VLOOKUP(AM$1,main!$A$3:$I$56,5,FALSE)-VLOOKUP($A23,main!$A$3:$I$56,6,FALSE),0)</f>
        <v>0</v>
      </c>
      <c r="AN23">
        <f>IF((gamma!AN23),VLOOKUP(AN$1,main!$A$3:$I$56,5,FALSE)-VLOOKUP($A23,main!$A$3:$I$56,6,FALSE),0)</f>
        <v>45</v>
      </c>
      <c r="AO23">
        <f>IF((gamma!AO23),VLOOKUP(AO$1,main!$A$3:$I$56,5,FALSE)-VLOOKUP($A23,main!$A$3:$I$56,6,FALSE),0)</f>
        <v>95</v>
      </c>
      <c r="AP23">
        <f>IF((gamma!AP23),VLOOKUP(AP$1,main!$A$3:$I$56,5,FALSE)-VLOOKUP($A23,main!$A$3:$I$56,6,FALSE),0)</f>
        <v>0</v>
      </c>
      <c r="AQ23">
        <f>IF((gamma!AQ23),VLOOKUP(AQ$1,main!$A$3:$I$56,5,FALSE)-VLOOKUP($A23,main!$A$3:$I$56,6,FALSE),0)</f>
        <v>0</v>
      </c>
      <c r="AR23">
        <f>IF((gamma!AR23),VLOOKUP(AR$1,main!$A$3:$I$56,5,FALSE)-VLOOKUP($A23,main!$A$3:$I$56,6,FALSE),0)</f>
        <v>0</v>
      </c>
      <c r="AS23">
        <f>IF((gamma!AS23),VLOOKUP(AS$1,main!$A$3:$I$56,5,FALSE)-VLOOKUP($A23,main!$A$3:$I$56,6,FALSE),0)</f>
        <v>0</v>
      </c>
      <c r="AT23">
        <f>IF((gamma!AT23),VLOOKUP(AT$1,main!$A$3:$I$56,5,FALSE)-VLOOKUP($A23,main!$A$3:$I$56,6,FALSE),0)</f>
        <v>0</v>
      </c>
      <c r="AU23">
        <f>IF((gamma!AU23),VLOOKUP(AU$1,main!$A$3:$I$56,5,FALSE)-VLOOKUP($A23,main!$A$3:$I$56,6,FALSE),0)</f>
        <v>0</v>
      </c>
      <c r="AV23">
        <f>IF((gamma!AV23),VLOOKUP(AV$1,main!$A$3:$I$56,5,FALSE)-VLOOKUP($A23,main!$A$3:$I$56,6,FALSE),0)</f>
        <v>0</v>
      </c>
      <c r="AW23">
        <f>IF((gamma!AW23),VLOOKUP(AW$1,main!$A$3:$I$56,5,FALSE)-VLOOKUP($A23,main!$A$3:$I$56,6,FALSE),0)</f>
        <v>0</v>
      </c>
      <c r="AX23">
        <f>IF((gamma!AX23),VLOOKUP(AX$1,main!$A$3:$I$56,5,FALSE)-VLOOKUP($A23,main!$A$3:$I$56,6,FALSE),0)</f>
        <v>145</v>
      </c>
      <c r="AY23">
        <f>IF((gamma!AY23),VLOOKUP(AY$1,main!$A$3:$I$56,5,FALSE)-VLOOKUP($A23,main!$A$3:$I$56,6,FALSE),0)</f>
        <v>345</v>
      </c>
      <c r="AZ23">
        <f>IF((gamma!AZ23),VLOOKUP(AZ$1,main!$A$3:$I$56,5,FALSE)-VLOOKUP($A23,main!$A$3:$I$56,6,FALSE),0)</f>
        <v>0</v>
      </c>
      <c r="BA23">
        <f>IF((gamma!BA23),VLOOKUP(BA$1,main!$A$3:$I$56,5,FALSE)-VLOOKUP($A23,main!$A$3:$I$56,6,FALSE),0)</f>
        <v>0</v>
      </c>
      <c r="BB23">
        <f>IF((gamma!BB23),VLOOKUP(BB$1,main!$A$3:$I$56,5,FALSE)-VLOOKUP($A23,main!$A$3:$I$56,6,FALSE),0)</f>
        <v>0</v>
      </c>
      <c r="BC23">
        <f>IF((gamma!BC23),VLOOKUP(BC$1,main!$A$3:$I$56,5,FALSE)-VLOOKUP($A23,main!$A$3:$I$56,6,FALSE),0)</f>
        <v>110</v>
      </c>
      <c r="BD23">
        <f>IF((gamma!BD23),VLOOKUP(BD$1,main!$A$3:$I$56,5,FALSE)-VLOOKUP($A23,main!$A$3:$I$56,6,FALSE),0)</f>
        <v>120</v>
      </c>
    </row>
    <row r="24" spans="1:56" x14ac:dyDescent="0.25">
      <c r="A24">
        <f t="shared" si="2"/>
        <v>22</v>
      </c>
      <c r="B24">
        <v>0</v>
      </c>
      <c r="C24">
        <f>IF((gamma!C24),VLOOKUP(C$1,main!$A$3:$I$56,5,FALSE)-VLOOKUP($A24,main!$A$3:$I$56,6,FALSE),0)</f>
        <v>0</v>
      </c>
      <c r="D24">
        <f>IF((gamma!D24),VLOOKUP(D$1,main!$A$3:$I$56,5,FALSE)-VLOOKUP($A24,main!$A$3:$I$56,6,FALSE),0)</f>
        <v>0</v>
      </c>
      <c r="E24">
        <f>IF((gamma!E24),VLOOKUP(E$1,main!$A$3:$I$56,5,FALSE)-VLOOKUP($A24,main!$A$3:$I$56,6,FALSE),0)</f>
        <v>0</v>
      </c>
      <c r="F24">
        <f>IF((gamma!F24),VLOOKUP(F$1,main!$A$3:$I$56,5,FALSE)-VLOOKUP($A24,main!$A$3:$I$56,6,FALSE),0)</f>
        <v>0</v>
      </c>
      <c r="G24">
        <f>IF((gamma!G24),VLOOKUP(G$1,main!$A$3:$I$56,5,FALSE)-VLOOKUP($A24,main!$A$3:$I$56,6,FALSE),0)</f>
        <v>35</v>
      </c>
      <c r="H24">
        <f>IF((gamma!H24),VLOOKUP(H$1,main!$A$3:$I$56,5,FALSE)-VLOOKUP($A24,main!$A$3:$I$56,6,FALSE),0)</f>
        <v>95</v>
      </c>
      <c r="I24">
        <f>IF((gamma!I24),VLOOKUP(I$1,main!$A$3:$I$56,5,FALSE)-VLOOKUP($A24,main!$A$3:$I$56,6,FALSE),0)</f>
        <v>155</v>
      </c>
      <c r="J24">
        <f>IF((gamma!J24),VLOOKUP(J$1,main!$A$3:$I$56,5,FALSE)-VLOOKUP($A24,main!$A$3:$I$56,6,FALSE),0)</f>
        <v>245</v>
      </c>
      <c r="K24">
        <f>IF((gamma!K24),VLOOKUP(K$1,main!$A$3:$I$56,5,FALSE)-VLOOKUP($A24,main!$A$3:$I$56,6,FALSE),0)</f>
        <v>0</v>
      </c>
      <c r="L24">
        <f>IF((gamma!L24),VLOOKUP(L$1,main!$A$3:$I$56,5,FALSE)-VLOOKUP($A24,main!$A$3:$I$56,6,FALSE),0)</f>
        <v>0</v>
      </c>
      <c r="M24">
        <f>IF((gamma!M24),VLOOKUP(M$1,main!$A$3:$I$56,5,FALSE)-VLOOKUP($A24,main!$A$3:$I$56,6,FALSE),0)</f>
        <v>0</v>
      </c>
      <c r="N24">
        <f>IF((gamma!N24),VLOOKUP(N$1,main!$A$3:$I$56,5,FALSE)-VLOOKUP($A24,main!$A$3:$I$56,6,FALSE),0)</f>
        <v>210</v>
      </c>
      <c r="O24">
        <f>IF((gamma!O24),VLOOKUP(O$1,main!$A$3:$I$56,5,FALSE)-VLOOKUP($A24,main!$A$3:$I$56,6,FALSE),0)</f>
        <v>270</v>
      </c>
      <c r="P24">
        <f>IF((gamma!P24),VLOOKUP(P$1,main!$A$3:$I$56,5,FALSE)-VLOOKUP($A24,main!$A$3:$I$56,6,FALSE),0)</f>
        <v>0</v>
      </c>
      <c r="Q24">
        <f>IF((gamma!Q24),VLOOKUP(Q$1,main!$A$3:$I$56,5,FALSE)-VLOOKUP($A24,main!$A$3:$I$56,6,FALSE),0)</f>
        <v>0</v>
      </c>
      <c r="R24">
        <f>IF((gamma!R24),VLOOKUP(R$1,main!$A$3:$I$56,5,FALSE)-VLOOKUP($A24,main!$A$3:$I$56,6,FALSE),0)</f>
        <v>0</v>
      </c>
      <c r="S24">
        <f>IF((gamma!S24),VLOOKUP(S$1,main!$A$3:$I$56,5,FALSE)-VLOOKUP($A24,main!$A$3:$I$56,6,FALSE),0)</f>
        <v>25</v>
      </c>
      <c r="T24">
        <f>IF((gamma!T24),VLOOKUP(T$1,main!$A$3:$I$56,5,FALSE)-VLOOKUP($A24,main!$A$3:$I$56,6,FALSE),0)</f>
        <v>175</v>
      </c>
      <c r="U24">
        <f>IF((gamma!U24),VLOOKUP(U$1,main!$A$3:$I$56,5,FALSE)-VLOOKUP($A24,main!$A$3:$I$56,6,FALSE),0)</f>
        <v>0</v>
      </c>
      <c r="V24">
        <f>IF((gamma!V24),VLOOKUP(V$1,main!$A$3:$I$56,5,FALSE)-VLOOKUP($A24,main!$A$3:$I$56,6,FALSE),0)</f>
        <v>0</v>
      </c>
      <c r="W24">
        <f>IF((gamma!W24),VLOOKUP(W$1,main!$A$3:$I$56,5,FALSE)-VLOOKUP($A24,main!$A$3:$I$56,6,FALSE),0)</f>
        <v>0</v>
      </c>
      <c r="X24">
        <f>IF((gamma!X24),VLOOKUP(X$1,main!$A$3:$I$56,5,FALSE)-VLOOKUP($A24,main!$A$3:$I$56,6,FALSE),0)</f>
        <v>0</v>
      </c>
      <c r="Y24">
        <f>IF((gamma!Y24),VLOOKUP(Y$1,main!$A$3:$I$56,5,FALSE)-VLOOKUP($A24,main!$A$3:$I$56,6,FALSE),0)</f>
        <v>0</v>
      </c>
      <c r="Z24">
        <f>IF((gamma!Z24),VLOOKUP(Z$1,main!$A$3:$I$56,5,FALSE)-VLOOKUP($A24,main!$A$3:$I$56,6,FALSE),0)</f>
        <v>45</v>
      </c>
      <c r="AA24">
        <f>IF((gamma!AA24),VLOOKUP(AA$1,main!$A$3:$I$56,5,FALSE)-VLOOKUP($A24,main!$A$3:$I$56,6,FALSE),0)</f>
        <v>135</v>
      </c>
      <c r="AB24">
        <f>IF((gamma!AB24),VLOOKUP(AB$1,main!$A$3:$I$56,5,FALSE)-VLOOKUP($A24,main!$A$3:$I$56,6,FALSE),0)</f>
        <v>195</v>
      </c>
      <c r="AC24">
        <f>IF((gamma!AC24),VLOOKUP(AC$1,main!$A$3:$I$56,5,FALSE)-VLOOKUP($A24,main!$A$3:$I$56,6,FALSE),0)</f>
        <v>0</v>
      </c>
      <c r="AD24">
        <f>IF((gamma!AD24),VLOOKUP(AD$1,main!$A$3:$I$56,5,FALSE)-VLOOKUP($A24,main!$A$3:$I$56,6,FALSE),0)</f>
        <v>0</v>
      </c>
      <c r="AE24">
        <f>IF((gamma!AE24),VLOOKUP(AE$1,main!$A$3:$I$56,5,FALSE)-VLOOKUP($A24,main!$A$3:$I$56,6,FALSE),0)</f>
        <v>0</v>
      </c>
      <c r="AF24">
        <f>IF((gamma!AF24),VLOOKUP(AF$1,main!$A$3:$I$56,5,FALSE)-VLOOKUP($A24,main!$A$3:$I$56,6,FALSE),0)</f>
        <v>0</v>
      </c>
      <c r="AG24">
        <f>IF((gamma!AG24),VLOOKUP(AG$1,main!$A$3:$I$56,5,FALSE)-VLOOKUP($A24,main!$A$3:$I$56,6,FALSE),0)</f>
        <v>0</v>
      </c>
      <c r="AH24">
        <f>IF((gamma!AH24),VLOOKUP(AH$1,main!$A$3:$I$56,5,FALSE)-VLOOKUP($A24,main!$A$3:$I$56,6,FALSE),0)</f>
        <v>0</v>
      </c>
      <c r="AI24">
        <f>IF((gamma!AI24),VLOOKUP(AI$1,main!$A$3:$I$56,5,FALSE)-VLOOKUP($A24,main!$A$3:$I$56,6,FALSE),0)</f>
        <v>0</v>
      </c>
      <c r="AJ24">
        <f>IF((gamma!AJ24),VLOOKUP(AJ$1,main!$A$3:$I$56,5,FALSE)-VLOOKUP($A24,main!$A$3:$I$56,6,FALSE),0)</f>
        <v>0</v>
      </c>
      <c r="AK24">
        <f>IF((gamma!AK24),VLOOKUP(AK$1,main!$A$3:$I$56,5,FALSE)-VLOOKUP($A24,main!$A$3:$I$56,6,FALSE),0)</f>
        <v>95</v>
      </c>
      <c r="AL24">
        <f>IF((gamma!AL24),VLOOKUP(AL$1,main!$A$3:$I$56,5,FALSE)-VLOOKUP($A24,main!$A$3:$I$56,6,FALSE),0)</f>
        <v>0</v>
      </c>
      <c r="AM24">
        <f>IF((gamma!AM24),VLOOKUP(AM$1,main!$A$3:$I$56,5,FALSE)-VLOOKUP($A24,main!$A$3:$I$56,6,FALSE),0)</f>
        <v>0</v>
      </c>
      <c r="AN24">
        <f>IF((gamma!AN24),VLOOKUP(AN$1,main!$A$3:$I$56,5,FALSE)-VLOOKUP($A24,main!$A$3:$I$56,6,FALSE),0)</f>
        <v>0</v>
      </c>
      <c r="AO24">
        <f>IF((gamma!AO24),VLOOKUP(AO$1,main!$A$3:$I$56,5,FALSE)-VLOOKUP($A24,main!$A$3:$I$56,6,FALSE),0)</f>
        <v>0</v>
      </c>
      <c r="AP24">
        <f>IF((gamma!AP24),VLOOKUP(AP$1,main!$A$3:$I$56,5,FALSE)-VLOOKUP($A24,main!$A$3:$I$56,6,FALSE),0)</f>
        <v>0</v>
      </c>
      <c r="AQ24">
        <f>IF((gamma!AQ24),VLOOKUP(AQ$1,main!$A$3:$I$56,5,FALSE)-VLOOKUP($A24,main!$A$3:$I$56,6,FALSE),0)</f>
        <v>0</v>
      </c>
      <c r="AR24">
        <f>IF((gamma!AR24),VLOOKUP(AR$1,main!$A$3:$I$56,5,FALSE)-VLOOKUP($A24,main!$A$3:$I$56,6,FALSE),0)</f>
        <v>0</v>
      </c>
      <c r="AS24">
        <f>IF((gamma!AS24),VLOOKUP(AS$1,main!$A$3:$I$56,5,FALSE)-VLOOKUP($A24,main!$A$3:$I$56,6,FALSE),0)</f>
        <v>0</v>
      </c>
      <c r="AT24">
        <f>IF((gamma!AT24),VLOOKUP(AT$1,main!$A$3:$I$56,5,FALSE)-VLOOKUP($A24,main!$A$3:$I$56,6,FALSE),0)</f>
        <v>0</v>
      </c>
      <c r="AU24">
        <f>IF((gamma!AU24),VLOOKUP(AU$1,main!$A$3:$I$56,5,FALSE)-VLOOKUP($A24,main!$A$3:$I$56,6,FALSE),0)</f>
        <v>0</v>
      </c>
      <c r="AV24">
        <f>IF((gamma!AV24),VLOOKUP(AV$1,main!$A$3:$I$56,5,FALSE)-VLOOKUP($A24,main!$A$3:$I$56,6,FALSE),0)</f>
        <v>0</v>
      </c>
      <c r="AW24">
        <f>IF((gamma!AW24),VLOOKUP(AW$1,main!$A$3:$I$56,5,FALSE)-VLOOKUP($A24,main!$A$3:$I$56,6,FALSE),0)</f>
        <v>0</v>
      </c>
      <c r="AX24">
        <f>IF((gamma!AX24),VLOOKUP(AX$1,main!$A$3:$I$56,5,FALSE)-VLOOKUP($A24,main!$A$3:$I$56,6,FALSE),0)</f>
        <v>55</v>
      </c>
      <c r="AY24">
        <f>IF((gamma!AY24),VLOOKUP(AY$1,main!$A$3:$I$56,5,FALSE)-VLOOKUP($A24,main!$A$3:$I$56,6,FALSE),0)</f>
        <v>255</v>
      </c>
      <c r="AZ24">
        <f>IF((gamma!AZ24),VLOOKUP(AZ$1,main!$A$3:$I$56,5,FALSE)-VLOOKUP($A24,main!$A$3:$I$56,6,FALSE),0)</f>
        <v>0</v>
      </c>
      <c r="BA24">
        <f>IF((gamma!BA24),VLOOKUP(BA$1,main!$A$3:$I$56,5,FALSE)-VLOOKUP($A24,main!$A$3:$I$56,6,FALSE),0)</f>
        <v>0</v>
      </c>
      <c r="BB24">
        <f>IF((gamma!BB24),VLOOKUP(BB$1,main!$A$3:$I$56,5,FALSE)-VLOOKUP($A24,main!$A$3:$I$56,6,FALSE),0)</f>
        <v>0</v>
      </c>
      <c r="BC24">
        <f>IF((gamma!BC24),VLOOKUP(BC$1,main!$A$3:$I$56,5,FALSE)-VLOOKUP($A24,main!$A$3:$I$56,6,FALSE),0)</f>
        <v>0</v>
      </c>
      <c r="BD24">
        <f>IF((gamma!BD24),VLOOKUP(BD$1,main!$A$3:$I$56,5,FALSE)-VLOOKUP($A24,main!$A$3:$I$56,6,FALSE),0)</f>
        <v>0</v>
      </c>
    </row>
    <row r="25" spans="1:56" x14ac:dyDescent="0.25">
      <c r="A25">
        <f t="shared" si="2"/>
        <v>23</v>
      </c>
      <c r="B25">
        <v>0</v>
      </c>
      <c r="C25">
        <f>IF((gamma!C25),VLOOKUP(C$1,main!$A$3:$I$56,5,FALSE)-VLOOKUP($A25,main!$A$3:$I$56,6,FALSE),0)</f>
        <v>0</v>
      </c>
      <c r="D25">
        <f>IF((gamma!D25),VLOOKUP(D$1,main!$A$3:$I$56,5,FALSE)-VLOOKUP($A25,main!$A$3:$I$56,6,FALSE),0)</f>
        <v>0</v>
      </c>
      <c r="E25">
        <f>IF((gamma!E25),VLOOKUP(E$1,main!$A$3:$I$56,5,FALSE)-VLOOKUP($A25,main!$A$3:$I$56,6,FALSE),0)</f>
        <v>0</v>
      </c>
      <c r="F25">
        <f>IF((gamma!F25),VLOOKUP(F$1,main!$A$3:$I$56,5,FALSE)-VLOOKUP($A25,main!$A$3:$I$56,6,FALSE),0)</f>
        <v>0</v>
      </c>
      <c r="G25">
        <f>IF((gamma!G25),VLOOKUP(G$1,main!$A$3:$I$56,5,FALSE)-VLOOKUP($A25,main!$A$3:$I$56,6,FALSE),0)</f>
        <v>0</v>
      </c>
      <c r="H25">
        <f>IF((gamma!H25),VLOOKUP(H$1,main!$A$3:$I$56,5,FALSE)-VLOOKUP($A25,main!$A$3:$I$56,6,FALSE),0)</f>
        <v>0</v>
      </c>
      <c r="I25">
        <f>IF((gamma!I25),VLOOKUP(I$1,main!$A$3:$I$56,5,FALSE)-VLOOKUP($A25,main!$A$3:$I$56,6,FALSE),0)</f>
        <v>65</v>
      </c>
      <c r="J25">
        <f>IF((gamma!J25),VLOOKUP(J$1,main!$A$3:$I$56,5,FALSE)-VLOOKUP($A25,main!$A$3:$I$56,6,FALSE),0)</f>
        <v>155</v>
      </c>
      <c r="K25">
        <f>IF((gamma!K25),VLOOKUP(K$1,main!$A$3:$I$56,5,FALSE)-VLOOKUP($A25,main!$A$3:$I$56,6,FALSE),0)</f>
        <v>0</v>
      </c>
      <c r="L25">
        <f>IF((gamma!L25),VLOOKUP(L$1,main!$A$3:$I$56,5,FALSE)-VLOOKUP($A25,main!$A$3:$I$56,6,FALSE),0)</f>
        <v>0</v>
      </c>
      <c r="M25">
        <f>IF((gamma!M25),VLOOKUP(M$1,main!$A$3:$I$56,5,FALSE)-VLOOKUP($A25,main!$A$3:$I$56,6,FALSE),0)</f>
        <v>0</v>
      </c>
      <c r="N25">
        <f>IF((gamma!N25),VLOOKUP(N$1,main!$A$3:$I$56,5,FALSE)-VLOOKUP($A25,main!$A$3:$I$56,6,FALSE),0)</f>
        <v>120</v>
      </c>
      <c r="O25">
        <f>IF((gamma!O25),VLOOKUP(O$1,main!$A$3:$I$56,5,FALSE)-VLOOKUP($A25,main!$A$3:$I$56,6,FALSE),0)</f>
        <v>180</v>
      </c>
      <c r="P25">
        <f>IF((gamma!P25),VLOOKUP(P$1,main!$A$3:$I$56,5,FALSE)-VLOOKUP($A25,main!$A$3:$I$56,6,FALSE),0)</f>
        <v>0</v>
      </c>
      <c r="Q25">
        <f>IF((gamma!Q25),VLOOKUP(Q$1,main!$A$3:$I$56,5,FALSE)-VLOOKUP($A25,main!$A$3:$I$56,6,FALSE),0)</f>
        <v>0</v>
      </c>
      <c r="R25">
        <f>IF((gamma!R25),VLOOKUP(R$1,main!$A$3:$I$56,5,FALSE)-VLOOKUP($A25,main!$A$3:$I$56,6,FALSE),0)</f>
        <v>0</v>
      </c>
      <c r="S25">
        <f>IF((gamma!S25),VLOOKUP(S$1,main!$A$3:$I$56,5,FALSE)-VLOOKUP($A25,main!$A$3:$I$56,6,FALSE),0)</f>
        <v>0</v>
      </c>
      <c r="T25">
        <f>IF((gamma!T25),VLOOKUP(T$1,main!$A$3:$I$56,5,FALSE)-VLOOKUP($A25,main!$A$3:$I$56,6,FALSE),0)</f>
        <v>85</v>
      </c>
      <c r="U25">
        <f>IF((gamma!U25),VLOOKUP(U$1,main!$A$3:$I$56,5,FALSE)-VLOOKUP($A25,main!$A$3:$I$56,6,FALSE),0)</f>
        <v>0</v>
      </c>
      <c r="V25">
        <f>IF((gamma!V25),VLOOKUP(V$1,main!$A$3:$I$56,5,FALSE)-VLOOKUP($A25,main!$A$3:$I$56,6,FALSE),0)</f>
        <v>0</v>
      </c>
      <c r="W25">
        <f>IF((gamma!W25),VLOOKUP(W$1,main!$A$3:$I$56,5,FALSE)-VLOOKUP($A25,main!$A$3:$I$56,6,FALSE),0)</f>
        <v>0</v>
      </c>
      <c r="X25">
        <f>IF((gamma!X25),VLOOKUP(X$1,main!$A$3:$I$56,5,FALSE)-VLOOKUP($A25,main!$A$3:$I$56,6,FALSE),0)</f>
        <v>0</v>
      </c>
      <c r="Y25">
        <f>IF((gamma!Y25),VLOOKUP(Y$1,main!$A$3:$I$56,5,FALSE)-VLOOKUP($A25,main!$A$3:$I$56,6,FALSE),0)</f>
        <v>0</v>
      </c>
      <c r="Z25">
        <f>IF((gamma!Z25),VLOOKUP(Z$1,main!$A$3:$I$56,5,FALSE)-VLOOKUP($A25,main!$A$3:$I$56,6,FALSE),0)</f>
        <v>0</v>
      </c>
      <c r="AA25">
        <f>IF((gamma!AA25),VLOOKUP(AA$1,main!$A$3:$I$56,5,FALSE)-VLOOKUP($A25,main!$A$3:$I$56,6,FALSE),0)</f>
        <v>45</v>
      </c>
      <c r="AB25">
        <f>IF((gamma!AB25),VLOOKUP(AB$1,main!$A$3:$I$56,5,FALSE)-VLOOKUP($A25,main!$A$3:$I$56,6,FALSE),0)</f>
        <v>105</v>
      </c>
      <c r="AC25">
        <f>IF((gamma!AC25),VLOOKUP(AC$1,main!$A$3:$I$56,5,FALSE)-VLOOKUP($A25,main!$A$3:$I$56,6,FALSE),0)</f>
        <v>0</v>
      </c>
      <c r="AD25">
        <f>IF((gamma!AD25),VLOOKUP(AD$1,main!$A$3:$I$56,5,FALSE)-VLOOKUP($A25,main!$A$3:$I$56,6,FALSE),0)</f>
        <v>0</v>
      </c>
      <c r="AE25">
        <f>IF((gamma!AE25),VLOOKUP(AE$1,main!$A$3:$I$56,5,FALSE)-VLOOKUP($A25,main!$A$3:$I$56,6,FALSE),0)</f>
        <v>0</v>
      </c>
      <c r="AF25">
        <f>IF((gamma!AF25),VLOOKUP(AF$1,main!$A$3:$I$56,5,FALSE)-VLOOKUP($A25,main!$A$3:$I$56,6,FALSE),0)</f>
        <v>0</v>
      </c>
      <c r="AG25">
        <f>IF((gamma!AG25),VLOOKUP(AG$1,main!$A$3:$I$56,5,FALSE)-VLOOKUP($A25,main!$A$3:$I$56,6,FALSE),0)</f>
        <v>0</v>
      </c>
      <c r="AH25">
        <f>IF((gamma!AH25),VLOOKUP(AH$1,main!$A$3:$I$56,5,FALSE)-VLOOKUP($A25,main!$A$3:$I$56,6,FALSE),0)</f>
        <v>0</v>
      </c>
      <c r="AI25">
        <f>IF((gamma!AI25),VLOOKUP(AI$1,main!$A$3:$I$56,5,FALSE)-VLOOKUP($A25,main!$A$3:$I$56,6,FALSE),0)</f>
        <v>0</v>
      </c>
      <c r="AJ25">
        <f>IF((gamma!AJ25),VLOOKUP(AJ$1,main!$A$3:$I$56,5,FALSE)-VLOOKUP($A25,main!$A$3:$I$56,6,FALSE),0)</f>
        <v>0</v>
      </c>
      <c r="AK25">
        <f>IF((gamma!AK25),VLOOKUP(AK$1,main!$A$3:$I$56,5,FALSE)-VLOOKUP($A25,main!$A$3:$I$56,6,FALSE),0)</f>
        <v>0</v>
      </c>
      <c r="AL25">
        <f>IF((gamma!AL25),VLOOKUP(AL$1,main!$A$3:$I$56,5,FALSE)-VLOOKUP($A25,main!$A$3:$I$56,6,FALSE),0)</f>
        <v>0</v>
      </c>
      <c r="AM25">
        <f>IF((gamma!AM25),VLOOKUP(AM$1,main!$A$3:$I$56,5,FALSE)-VLOOKUP($A25,main!$A$3:$I$56,6,FALSE),0)</f>
        <v>0</v>
      </c>
      <c r="AN25">
        <f>IF((gamma!AN25),VLOOKUP(AN$1,main!$A$3:$I$56,5,FALSE)-VLOOKUP($A25,main!$A$3:$I$56,6,FALSE),0)</f>
        <v>0</v>
      </c>
      <c r="AO25">
        <f>IF((gamma!AO25),VLOOKUP(AO$1,main!$A$3:$I$56,5,FALSE)-VLOOKUP($A25,main!$A$3:$I$56,6,FALSE),0)</f>
        <v>0</v>
      </c>
      <c r="AP25">
        <f>IF((gamma!AP25),VLOOKUP(AP$1,main!$A$3:$I$56,5,FALSE)-VLOOKUP($A25,main!$A$3:$I$56,6,FALSE),0)</f>
        <v>0</v>
      </c>
      <c r="AQ25">
        <f>IF((gamma!AQ25),VLOOKUP(AQ$1,main!$A$3:$I$56,5,FALSE)-VLOOKUP($A25,main!$A$3:$I$56,6,FALSE),0)</f>
        <v>0</v>
      </c>
      <c r="AR25">
        <f>IF((gamma!AR25),VLOOKUP(AR$1,main!$A$3:$I$56,5,FALSE)-VLOOKUP($A25,main!$A$3:$I$56,6,FALSE),0)</f>
        <v>0</v>
      </c>
      <c r="AS25">
        <f>IF((gamma!AS25),VLOOKUP(AS$1,main!$A$3:$I$56,5,FALSE)-VLOOKUP($A25,main!$A$3:$I$56,6,FALSE),0)</f>
        <v>0</v>
      </c>
      <c r="AT25">
        <f>IF((gamma!AT25),VLOOKUP(AT$1,main!$A$3:$I$56,5,FALSE)-VLOOKUP($A25,main!$A$3:$I$56,6,FALSE),0)</f>
        <v>0</v>
      </c>
      <c r="AU25">
        <f>IF((gamma!AU25),VLOOKUP(AU$1,main!$A$3:$I$56,5,FALSE)-VLOOKUP($A25,main!$A$3:$I$56,6,FALSE),0)</f>
        <v>0</v>
      </c>
      <c r="AV25">
        <f>IF((gamma!AV25),VLOOKUP(AV$1,main!$A$3:$I$56,5,FALSE)-VLOOKUP($A25,main!$A$3:$I$56,6,FALSE),0)</f>
        <v>0</v>
      </c>
      <c r="AW25">
        <f>IF((gamma!AW25),VLOOKUP(AW$1,main!$A$3:$I$56,5,FALSE)-VLOOKUP($A25,main!$A$3:$I$56,6,FALSE),0)</f>
        <v>0</v>
      </c>
      <c r="AX25">
        <f>IF((gamma!AX25),VLOOKUP(AX$1,main!$A$3:$I$56,5,FALSE)-VLOOKUP($A25,main!$A$3:$I$56,6,FALSE),0)</f>
        <v>0</v>
      </c>
      <c r="AY25">
        <f>IF((gamma!AY25),VLOOKUP(AY$1,main!$A$3:$I$56,5,FALSE)-VLOOKUP($A25,main!$A$3:$I$56,6,FALSE),0)</f>
        <v>165</v>
      </c>
      <c r="AZ25">
        <f>IF((gamma!AZ25),VLOOKUP(AZ$1,main!$A$3:$I$56,5,FALSE)-VLOOKUP($A25,main!$A$3:$I$56,6,FALSE),0)</f>
        <v>0</v>
      </c>
      <c r="BA25">
        <f>IF((gamma!BA25),VLOOKUP(BA$1,main!$A$3:$I$56,5,FALSE)-VLOOKUP($A25,main!$A$3:$I$56,6,FALSE),0)</f>
        <v>0</v>
      </c>
      <c r="BB25">
        <f>IF((gamma!BB25),VLOOKUP(BB$1,main!$A$3:$I$56,5,FALSE)-VLOOKUP($A25,main!$A$3:$I$56,6,FALSE),0)</f>
        <v>0</v>
      </c>
      <c r="BC25">
        <f>IF((gamma!BC25),VLOOKUP(BC$1,main!$A$3:$I$56,5,FALSE)-VLOOKUP($A25,main!$A$3:$I$56,6,FALSE),0)</f>
        <v>0</v>
      </c>
      <c r="BD25">
        <f>IF((gamma!BD25),VLOOKUP(BD$1,main!$A$3:$I$56,5,FALSE)-VLOOKUP($A25,main!$A$3:$I$56,6,FALSE),0)</f>
        <v>0</v>
      </c>
    </row>
    <row r="26" spans="1:56" x14ac:dyDescent="0.25">
      <c r="A26">
        <f t="shared" si="2"/>
        <v>24</v>
      </c>
      <c r="B26">
        <v>0</v>
      </c>
      <c r="C26">
        <f>IF((gamma!C26),VLOOKUP(C$1,main!$A$3:$I$56,5,FALSE)-VLOOKUP($A26,main!$A$3:$I$56,6,FALSE),0)</f>
        <v>0</v>
      </c>
      <c r="D26">
        <f>IF((gamma!D26),VLOOKUP(D$1,main!$A$3:$I$56,5,FALSE)-VLOOKUP($A26,main!$A$3:$I$56,6,FALSE),0)</f>
        <v>0</v>
      </c>
      <c r="E26">
        <f>IF((gamma!E26),VLOOKUP(E$1,main!$A$3:$I$56,5,FALSE)-VLOOKUP($A26,main!$A$3:$I$56,6,FALSE),0)</f>
        <v>0</v>
      </c>
      <c r="F26">
        <f>IF((gamma!F26),VLOOKUP(F$1,main!$A$3:$I$56,5,FALSE)-VLOOKUP($A26,main!$A$3:$I$56,6,FALSE),0)</f>
        <v>0</v>
      </c>
      <c r="G26">
        <f>IF((gamma!G26),VLOOKUP(G$1,main!$A$3:$I$56,5,FALSE)-VLOOKUP($A26,main!$A$3:$I$56,6,FALSE),0)</f>
        <v>0</v>
      </c>
      <c r="H26">
        <f>IF((gamma!H26),VLOOKUP(H$1,main!$A$3:$I$56,5,FALSE)-VLOOKUP($A26,main!$A$3:$I$56,6,FALSE),0)</f>
        <v>0</v>
      </c>
      <c r="I26">
        <f>IF((gamma!I26),VLOOKUP(I$1,main!$A$3:$I$56,5,FALSE)-VLOOKUP($A26,main!$A$3:$I$56,6,FALSE),0)</f>
        <v>0</v>
      </c>
      <c r="J26">
        <f>IF((gamma!J26),VLOOKUP(J$1,main!$A$3:$I$56,5,FALSE)-VLOOKUP($A26,main!$A$3:$I$56,6,FALSE),0)</f>
        <v>65</v>
      </c>
      <c r="K26">
        <f>IF((gamma!K26),VLOOKUP(K$1,main!$A$3:$I$56,5,FALSE)-VLOOKUP($A26,main!$A$3:$I$56,6,FALSE),0)</f>
        <v>0</v>
      </c>
      <c r="L26">
        <f>IF((gamma!L26),VLOOKUP(L$1,main!$A$3:$I$56,5,FALSE)-VLOOKUP($A26,main!$A$3:$I$56,6,FALSE),0)</f>
        <v>0</v>
      </c>
      <c r="M26">
        <f>IF((gamma!M26),VLOOKUP(M$1,main!$A$3:$I$56,5,FALSE)-VLOOKUP($A26,main!$A$3:$I$56,6,FALSE),0)</f>
        <v>0</v>
      </c>
      <c r="N26">
        <f>IF((gamma!N26),VLOOKUP(N$1,main!$A$3:$I$56,5,FALSE)-VLOOKUP($A26,main!$A$3:$I$56,6,FALSE),0)</f>
        <v>30</v>
      </c>
      <c r="O26">
        <f>IF((gamma!O26),VLOOKUP(O$1,main!$A$3:$I$56,5,FALSE)-VLOOKUP($A26,main!$A$3:$I$56,6,FALSE),0)</f>
        <v>90</v>
      </c>
      <c r="P26">
        <f>IF((gamma!P26),VLOOKUP(P$1,main!$A$3:$I$56,5,FALSE)-VLOOKUP($A26,main!$A$3:$I$56,6,FALSE),0)</f>
        <v>0</v>
      </c>
      <c r="Q26">
        <f>IF((gamma!Q26),VLOOKUP(Q$1,main!$A$3:$I$56,5,FALSE)-VLOOKUP($A26,main!$A$3:$I$56,6,FALSE),0)</f>
        <v>0</v>
      </c>
      <c r="R26">
        <f>IF((gamma!R26),VLOOKUP(R$1,main!$A$3:$I$56,5,FALSE)-VLOOKUP($A26,main!$A$3:$I$56,6,FALSE),0)</f>
        <v>0</v>
      </c>
      <c r="S26">
        <f>IF((gamma!S26),VLOOKUP(S$1,main!$A$3:$I$56,5,FALSE)-VLOOKUP($A26,main!$A$3:$I$56,6,FALSE),0)</f>
        <v>0</v>
      </c>
      <c r="T26">
        <f>IF((gamma!T26),VLOOKUP(T$1,main!$A$3:$I$56,5,FALSE)-VLOOKUP($A26,main!$A$3:$I$56,6,FALSE),0)</f>
        <v>0</v>
      </c>
      <c r="U26">
        <f>IF((gamma!U26),VLOOKUP(U$1,main!$A$3:$I$56,5,FALSE)-VLOOKUP($A26,main!$A$3:$I$56,6,FALSE),0)</f>
        <v>0</v>
      </c>
      <c r="V26">
        <f>IF((gamma!V26),VLOOKUP(V$1,main!$A$3:$I$56,5,FALSE)-VLOOKUP($A26,main!$A$3:$I$56,6,FALSE),0)</f>
        <v>0</v>
      </c>
      <c r="W26">
        <f>IF((gamma!W26),VLOOKUP(W$1,main!$A$3:$I$56,5,FALSE)-VLOOKUP($A26,main!$A$3:$I$56,6,FALSE),0)</f>
        <v>0</v>
      </c>
      <c r="X26">
        <f>IF((gamma!X26),VLOOKUP(X$1,main!$A$3:$I$56,5,FALSE)-VLOOKUP($A26,main!$A$3:$I$56,6,FALSE),0)</f>
        <v>0</v>
      </c>
      <c r="Y26">
        <f>IF((gamma!Y26),VLOOKUP(Y$1,main!$A$3:$I$56,5,FALSE)-VLOOKUP($A26,main!$A$3:$I$56,6,FALSE),0)</f>
        <v>0</v>
      </c>
      <c r="Z26">
        <f>IF((gamma!Z26),VLOOKUP(Z$1,main!$A$3:$I$56,5,FALSE)-VLOOKUP($A26,main!$A$3:$I$56,6,FALSE),0)</f>
        <v>0</v>
      </c>
      <c r="AA26">
        <f>IF((gamma!AA26),VLOOKUP(AA$1,main!$A$3:$I$56,5,FALSE)-VLOOKUP($A26,main!$A$3:$I$56,6,FALSE),0)</f>
        <v>0</v>
      </c>
      <c r="AB26">
        <f>IF((gamma!AB26),VLOOKUP(AB$1,main!$A$3:$I$56,5,FALSE)-VLOOKUP($A26,main!$A$3:$I$56,6,FALSE),0)</f>
        <v>0</v>
      </c>
      <c r="AC26">
        <f>IF((gamma!AC26),VLOOKUP(AC$1,main!$A$3:$I$56,5,FALSE)-VLOOKUP($A26,main!$A$3:$I$56,6,FALSE),0)</f>
        <v>0</v>
      </c>
      <c r="AD26">
        <f>IF((gamma!AD26),VLOOKUP(AD$1,main!$A$3:$I$56,5,FALSE)-VLOOKUP($A26,main!$A$3:$I$56,6,FALSE),0)</f>
        <v>0</v>
      </c>
      <c r="AE26">
        <f>IF((gamma!AE26),VLOOKUP(AE$1,main!$A$3:$I$56,5,FALSE)-VLOOKUP($A26,main!$A$3:$I$56,6,FALSE),0)</f>
        <v>0</v>
      </c>
      <c r="AF26">
        <f>IF((gamma!AF26),VLOOKUP(AF$1,main!$A$3:$I$56,5,FALSE)-VLOOKUP($A26,main!$A$3:$I$56,6,FALSE),0)</f>
        <v>0</v>
      </c>
      <c r="AG26">
        <f>IF((gamma!AG26),VLOOKUP(AG$1,main!$A$3:$I$56,5,FALSE)-VLOOKUP($A26,main!$A$3:$I$56,6,FALSE),0)</f>
        <v>0</v>
      </c>
      <c r="AH26">
        <f>IF((gamma!AH26),VLOOKUP(AH$1,main!$A$3:$I$56,5,FALSE)-VLOOKUP($A26,main!$A$3:$I$56,6,FALSE),0)</f>
        <v>0</v>
      </c>
      <c r="AI26">
        <f>IF((gamma!AI26),VLOOKUP(AI$1,main!$A$3:$I$56,5,FALSE)-VLOOKUP($A26,main!$A$3:$I$56,6,FALSE),0)</f>
        <v>0</v>
      </c>
      <c r="AJ26">
        <f>IF((gamma!AJ26),VLOOKUP(AJ$1,main!$A$3:$I$56,5,FALSE)-VLOOKUP($A26,main!$A$3:$I$56,6,FALSE),0)</f>
        <v>0</v>
      </c>
      <c r="AK26">
        <f>IF((gamma!AK26),VLOOKUP(AK$1,main!$A$3:$I$56,5,FALSE)-VLOOKUP($A26,main!$A$3:$I$56,6,FALSE),0)</f>
        <v>0</v>
      </c>
      <c r="AL26">
        <f>IF((gamma!AL26),VLOOKUP(AL$1,main!$A$3:$I$56,5,FALSE)-VLOOKUP($A26,main!$A$3:$I$56,6,FALSE),0)</f>
        <v>0</v>
      </c>
      <c r="AM26">
        <f>IF((gamma!AM26),VLOOKUP(AM$1,main!$A$3:$I$56,5,FALSE)-VLOOKUP($A26,main!$A$3:$I$56,6,FALSE),0)</f>
        <v>0</v>
      </c>
      <c r="AN26">
        <f>IF((gamma!AN26),VLOOKUP(AN$1,main!$A$3:$I$56,5,FALSE)-VLOOKUP($A26,main!$A$3:$I$56,6,FALSE),0)</f>
        <v>0</v>
      </c>
      <c r="AO26">
        <f>IF((gamma!AO26),VLOOKUP(AO$1,main!$A$3:$I$56,5,FALSE)-VLOOKUP($A26,main!$A$3:$I$56,6,FALSE),0)</f>
        <v>0</v>
      </c>
      <c r="AP26">
        <f>IF((gamma!AP26),VLOOKUP(AP$1,main!$A$3:$I$56,5,FALSE)-VLOOKUP($A26,main!$A$3:$I$56,6,FALSE),0)</f>
        <v>0</v>
      </c>
      <c r="AQ26">
        <f>IF((gamma!AQ26),VLOOKUP(AQ$1,main!$A$3:$I$56,5,FALSE)-VLOOKUP($A26,main!$A$3:$I$56,6,FALSE),0)</f>
        <v>0</v>
      </c>
      <c r="AR26">
        <f>IF((gamma!AR26),VLOOKUP(AR$1,main!$A$3:$I$56,5,FALSE)-VLOOKUP($A26,main!$A$3:$I$56,6,FALSE),0)</f>
        <v>0</v>
      </c>
      <c r="AS26">
        <f>IF((gamma!AS26),VLOOKUP(AS$1,main!$A$3:$I$56,5,FALSE)-VLOOKUP($A26,main!$A$3:$I$56,6,FALSE),0)</f>
        <v>0</v>
      </c>
      <c r="AT26">
        <f>IF((gamma!AT26),VLOOKUP(AT$1,main!$A$3:$I$56,5,FALSE)-VLOOKUP($A26,main!$A$3:$I$56,6,FALSE),0)</f>
        <v>0</v>
      </c>
      <c r="AU26">
        <f>IF((gamma!AU26),VLOOKUP(AU$1,main!$A$3:$I$56,5,FALSE)-VLOOKUP($A26,main!$A$3:$I$56,6,FALSE),0)</f>
        <v>0</v>
      </c>
      <c r="AV26">
        <f>IF((gamma!AV26),VLOOKUP(AV$1,main!$A$3:$I$56,5,FALSE)-VLOOKUP($A26,main!$A$3:$I$56,6,FALSE),0)</f>
        <v>0</v>
      </c>
      <c r="AW26">
        <f>IF((gamma!AW26),VLOOKUP(AW$1,main!$A$3:$I$56,5,FALSE)-VLOOKUP($A26,main!$A$3:$I$56,6,FALSE),0)</f>
        <v>0</v>
      </c>
      <c r="AX26">
        <f>IF((gamma!AX26),VLOOKUP(AX$1,main!$A$3:$I$56,5,FALSE)-VLOOKUP($A26,main!$A$3:$I$56,6,FALSE),0)</f>
        <v>0</v>
      </c>
      <c r="AY26">
        <f>IF((gamma!AY26),VLOOKUP(AY$1,main!$A$3:$I$56,5,FALSE)-VLOOKUP($A26,main!$A$3:$I$56,6,FALSE),0)</f>
        <v>75</v>
      </c>
      <c r="AZ26">
        <f>IF((gamma!AZ26),VLOOKUP(AZ$1,main!$A$3:$I$56,5,FALSE)-VLOOKUP($A26,main!$A$3:$I$56,6,FALSE),0)</f>
        <v>0</v>
      </c>
      <c r="BA26">
        <f>IF((gamma!BA26),VLOOKUP(BA$1,main!$A$3:$I$56,5,FALSE)-VLOOKUP($A26,main!$A$3:$I$56,6,FALSE),0)</f>
        <v>0</v>
      </c>
      <c r="BB26">
        <f>IF((gamma!BB26),VLOOKUP(BB$1,main!$A$3:$I$56,5,FALSE)-VLOOKUP($A26,main!$A$3:$I$56,6,FALSE),0)</f>
        <v>0</v>
      </c>
      <c r="BC26">
        <f>IF((gamma!BC26),VLOOKUP(BC$1,main!$A$3:$I$56,5,FALSE)-VLOOKUP($A26,main!$A$3:$I$56,6,FALSE),0)</f>
        <v>0</v>
      </c>
      <c r="BD26">
        <f>IF((gamma!BD26),VLOOKUP(BD$1,main!$A$3:$I$56,5,FALSE)-VLOOKUP($A26,main!$A$3:$I$56,6,FALSE),0)</f>
        <v>0</v>
      </c>
    </row>
    <row r="27" spans="1:56" x14ac:dyDescent="0.25">
      <c r="A27">
        <f t="shared" si="2"/>
        <v>25</v>
      </c>
      <c r="B27">
        <v>0</v>
      </c>
      <c r="C27">
        <f>IF((gamma!C27),VLOOKUP(C$1,main!$A$3:$I$56,5,FALSE)-VLOOKUP($A27,main!$A$3:$I$56,6,FALSE),0)</f>
        <v>0</v>
      </c>
      <c r="D27">
        <f>IF((gamma!D27),VLOOKUP(D$1,main!$A$3:$I$56,5,FALSE)-VLOOKUP($A27,main!$A$3:$I$56,6,FALSE),0)</f>
        <v>0</v>
      </c>
      <c r="E27">
        <f>IF((gamma!E27),VLOOKUP(E$1,main!$A$3:$I$56,5,FALSE)-VLOOKUP($A27,main!$A$3:$I$56,6,FALSE),0)</f>
        <v>0</v>
      </c>
      <c r="F27">
        <f>IF((gamma!F27),VLOOKUP(F$1,main!$A$3:$I$56,5,FALSE)-VLOOKUP($A27,main!$A$3:$I$56,6,FALSE),0)</f>
        <v>0</v>
      </c>
      <c r="G27">
        <f>IF((gamma!G27),VLOOKUP(G$1,main!$A$3:$I$56,5,FALSE)-VLOOKUP($A27,main!$A$3:$I$56,6,FALSE),0)</f>
        <v>0</v>
      </c>
      <c r="H27">
        <f>IF((gamma!H27),VLOOKUP(H$1,main!$A$3:$I$56,5,FALSE)-VLOOKUP($A27,main!$A$3:$I$56,6,FALSE),0)</f>
        <v>0</v>
      </c>
      <c r="I27">
        <f>IF((gamma!I27),VLOOKUP(I$1,main!$A$3:$I$56,5,FALSE)-VLOOKUP($A27,main!$A$3:$I$56,6,FALSE),0)</f>
        <v>0</v>
      </c>
      <c r="J27">
        <f>IF((gamma!J27),VLOOKUP(J$1,main!$A$3:$I$56,5,FALSE)-VLOOKUP($A27,main!$A$3:$I$56,6,FALSE),0)</f>
        <v>0</v>
      </c>
      <c r="K27">
        <f>IF((gamma!K27),VLOOKUP(K$1,main!$A$3:$I$56,5,FALSE)-VLOOKUP($A27,main!$A$3:$I$56,6,FALSE),0)</f>
        <v>0</v>
      </c>
      <c r="L27">
        <f>IF((gamma!L27),VLOOKUP(L$1,main!$A$3:$I$56,5,FALSE)-VLOOKUP($A27,main!$A$3:$I$56,6,FALSE),0)</f>
        <v>0</v>
      </c>
      <c r="M27">
        <f>IF((gamma!M27),VLOOKUP(M$1,main!$A$3:$I$56,5,FALSE)-VLOOKUP($A27,main!$A$3:$I$56,6,FALSE),0)</f>
        <v>0</v>
      </c>
      <c r="N27">
        <f>IF((gamma!N27),VLOOKUP(N$1,main!$A$3:$I$56,5,FALSE)-VLOOKUP($A27,main!$A$3:$I$56,6,FALSE),0)</f>
        <v>0</v>
      </c>
      <c r="O27">
        <f>IF((gamma!O27),VLOOKUP(O$1,main!$A$3:$I$56,5,FALSE)-VLOOKUP($A27,main!$A$3:$I$56,6,FALSE),0)</f>
        <v>0</v>
      </c>
      <c r="P27">
        <f>IF((gamma!P27),VLOOKUP(P$1,main!$A$3:$I$56,5,FALSE)-VLOOKUP($A27,main!$A$3:$I$56,6,FALSE),0)</f>
        <v>0</v>
      </c>
      <c r="Q27">
        <f>IF((gamma!Q27),VLOOKUP(Q$1,main!$A$3:$I$56,5,FALSE)-VLOOKUP($A27,main!$A$3:$I$56,6,FALSE),0)</f>
        <v>0</v>
      </c>
      <c r="R27">
        <f>IF((gamma!R27),VLOOKUP(R$1,main!$A$3:$I$56,5,FALSE)-VLOOKUP($A27,main!$A$3:$I$56,6,FALSE),0)</f>
        <v>0</v>
      </c>
      <c r="S27">
        <f>IF((gamma!S27),VLOOKUP(S$1,main!$A$3:$I$56,5,FALSE)-VLOOKUP($A27,main!$A$3:$I$56,6,FALSE),0)</f>
        <v>0</v>
      </c>
      <c r="T27">
        <f>IF((gamma!T27),VLOOKUP(T$1,main!$A$3:$I$56,5,FALSE)-VLOOKUP($A27,main!$A$3:$I$56,6,FALSE),0)</f>
        <v>0</v>
      </c>
      <c r="U27">
        <f>IF((gamma!U27),VLOOKUP(U$1,main!$A$3:$I$56,5,FALSE)-VLOOKUP($A27,main!$A$3:$I$56,6,FALSE),0)</f>
        <v>0</v>
      </c>
      <c r="V27">
        <f>IF((gamma!V27),VLOOKUP(V$1,main!$A$3:$I$56,5,FALSE)-VLOOKUP($A27,main!$A$3:$I$56,6,FALSE),0)</f>
        <v>0</v>
      </c>
      <c r="W27">
        <f>IF((gamma!W27),VLOOKUP(W$1,main!$A$3:$I$56,5,FALSE)-VLOOKUP($A27,main!$A$3:$I$56,6,FALSE),0)</f>
        <v>0</v>
      </c>
      <c r="X27">
        <f>IF((gamma!X27),VLOOKUP(X$1,main!$A$3:$I$56,5,FALSE)-VLOOKUP($A27,main!$A$3:$I$56,6,FALSE),0)</f>
        <v>0</v>
      </c>
      <c r="Y27">
        <f>IF((gamma!Y27),VLOOKUP(Y$1,main!$A$3:$I$56,5,FALSE)-VLOOKUP($A27,main!$A$3:$I$56,6,FALSE),0)</f>
        <v>0</v>
      </c>
      <c r="Z27">
        <f>IF((gamma!Z27),VLOOKUP(Z$1,main!$A$3:$I$56,5,FALSE)-VLOOKUP($A27,main!$A$3:$I$56,6,FALSE),0)</f>
        <v>0</v>
      </c>
      <c r="AA27">
        <f>IF((gamma!AA27),VLOOKUP(AA$1,main!$A$3:$I$56,5,FALSE)-VLOOKUP($A27,main!$A$3:$I$56,6,FALSE),0)</f>
        <v>0</v>
      </c>
      <c r="AB27">
        <f>IF((gamma!AB27),VLOOKUP(AB$1,main!$A$3:$I$56,5,FALSE)-VLOOKUP($A27,main!$A$3:$I$56,6,FALSE),0)</f>
        <v>0</v>
      </c>
      <c r="AC27">
        <f>IF((gamma!AC27),VLOOKUP(AC$1,main!$A$3:$I$56,5,FALSE)-VLOOKUP($A27,main!$A$3:$I$56,6,FALSE),0)</f>
        <v>0</v>
      </c>
      <c r="AD27">
        <f>IF((gamma!AD27),VLOOKUP(AD$1,main!$A$3:$I$56,5,FALSE)-VLOOKUP($A27,main!$A$3:$I$56,6,FALSE),0)</f>
        <v>0</v>
      </c>
      <c r="AE27">
        <f>IF((gamma!AE27),VLOOKUP(AE$1,main!$A$3:$I$56,5,FALSE)-VLOOKUP($A27,main!$A$3:$I$56,6,FALSE),0)</f>
        <v>0</v>
      </c>
      <c r="AF27">
        <f>IF((gamma!AF27),VLOOKUP(AF$1,main!$A$3:$I$56,5,FALSE)-VLOOKUP($A27,main!$A$3:$I$56,6,FALSE),0)</f>
        <v>0</v>
      </c>
      <c r="AG27">
        <f>IF((gamma!AG27),VLOOKUP(AG$1,main!$A$3:$I$56,5,FALSE)-VLOOKUP($A27,main!$A$3:$I$56,6,FALSE),0)</f>
        <v>0</v>
      </c>
      <c r="AH27">
        <f>IF((gamma!AH27),VLOOKUP(AH$1,main!$A$3:$I$56,5,FALSE)-VLOOKUP($A27,main!$A$3:$I$56,6,FALSE),0)</f>
        <v>0</v>
      </c>
      <c r="AI27">
        <f>IF((gamma!AI27),VLOOKUP(AI$1,main!$A$3:$I$56,5,FALSE)-VLOOKUP($A27,main!$A$3:$I$56,6,FALSE),0)</f>
        <v>0</v>
      </c>
      <c r="AJ27">
        <f>IF((gamma!AJ27),VLOOKUP(AJ$1,main!$A$3:$I$56,5,FALSE)-VLOOKUP($A27,main!$A$3:$I$56,6,FALSE),0)</f>
        <v>0</v>
      </c>
      <c r="AK27">
        <f>IF((gamma!AK27),VLOOKUP(AK$1,main!$A$3:$I$56,5,FALSE)-VLOOKUP($A27,main!$A$3:$I$56,6,FALSE),0)</f>
        <v>0</v>
      </c>
      <c r="AL27">
        <f>IF((gamma!AL27),VLOOKUP(AL$1,main!$A$3:$I$56,5,FALSE)-VLOOKUP($A27,main!$A$3:$I$56,6,FALSE),0)</f>
        <v>0</v>
      </c>
      <c r="AM27">
        <f>IF((gamma!AM27),VLOOKUP(AM$1,main!$A$3:$I$56,5,FALSE)-VLOOKUP($A27,main!$A$3:$I$56,6,FALSE),0)</f>
        <v>0</v>
      </c>
      <c r="AN27">
        <f>IF((gamma!AN27),VLOOKUP(AN$1,main!$A$3:$I$56,5,FALSE)-VLOOKUP($A27,main!$A$3:$I$56,6,FALSE),0)</f>
        <v>0</v>
      </c>
      <c r="AO27">
        <f>IF((gamma!AO27),VLOOKUP(AO$1,main!$A$3:$I$56,5,FALSE)-VLOOKUP($A27,main!$A$3:$I$56,6,FALSE),0)</f>
        <v>0</v>
      </c>
      <c r="AP27">
        <f>IF((gamma!AP27),VLOOKUP(AP$1,main!$A$3:$I$56,5,FALSE)-VLOOKUP($A27,main!$A$3:$I$56,6,FALSE),0)</f>
        <v>0</v>
      </c>
      <c r="AQ27">
        <f>IF((gamma!AQ27),VLOOKUP(AQ$1,main!$A$3:$I$56,5,FALSE)-VLOOKUP($A27,main!$A$3:$I$56,6,FALSE),0)</f>
        <v>0</v>
      </c>
      <c r="AR27">
        <f>IF((gamma!AR27),VLOOKUP(AR$1,main!$A$3:$I$56,5,FALSE)-VLOOKUP($A27,main!$A$3:$I$56,6,FALSE),0)</f>
        <v>0</v>
      </c>
      <c r="AS27">
        <f>IF((gamma!AS27),VLOOKUP(AS$1,main!$A$3:$I$56,5,FALSE)-VLOOKUP($A27,main!$A$3:$I$56,6,FALSE),0)</f>
        <v>0</v>
      </c>
      <c r="AT27">
        <f>IF((gamma!AT27),VLOOKUP(AT$1,main!$A$3:$I$56,5,FALSE)-VLOOKUP($A27,main!$A$3:$I$56,6,FALSE),0)</f>
        <v>0</v>
      </c>
      <c r="AU27">
        <f>IF((gamma!AU27),VLOOKUP(AU$1,main!$A$3:$I$56,5,FALSE)-VLOOKUP($A27,main!$A$3:$I$56,6,FALSE),0)</f>
        <v>0</v>
      </c>
      <c r="AV27">
        <f>IF((gamma!AV27),VLOOKUP(AV$1,main!$A$3:$I$56,5,FALSE)-VLOOKUP($A27,main!$A$3:$I$56,6,FALSE),0)</f>
        <v>0</v>
      </c>
      <c r="AW27">
        <f>IF((gamma!AW27),VLOOKUP(AW$1,main!$A$3:$I$56,5,FALSE)-VLOOKUP($A27,main!$A$3:$I$56,6,FALSE),0)</f>
        <v>0</v>
      </c>
      <c r="AX27">
        <f>IF((gamma!AX27),VLOOKUP(AX$1,main!$A$3:$I$56,5,FALSE)-VLOOKUP($A27,main!$A$3:$I$56,6,FALSE),0)</f>
        <v>0</v>
      </c>
      <c r="AY27">
        <f>IF((gamma!AY27),VLOOKUP(AY$1,main!$A$3:$I$56,5,FALSE)-VLOOKUP($A27,main!$A$3:$I$56,6,FALSE),0)</f>
        <v>0</v>
      </c>
      <c r="AZ27">
        <f>IF((gamma!AZ27),VLOOKUP(AZ$1,main!$A$3:$I$56,5,FALSE)-VLOOKUP($A27,main!$A$3:$I$56,6,FALSE),0)</f>
        <v>0</v>
      </c>
      <c r="BA27">
        <f>IF((gamma!BA27),VLOOKUP(BA$1,main!$A$3:$I$56,5,FALSE)-VLOOKUP($A27,main!$A$3:$I$56,6,FALSE),0)</f>
        <v>0</v>
      </c>
      <c r="BB27">
        <f>IF((gamma!BB27),VLOOKUP(BB$1,main!$A$3:$I$56,5,FALSE)-VLOOKUP($A27,main!$A$3:$I$56,6,FALSE),0)</f>
        <v>0</v>
      </c>
      <c r="BC27">
        <f>IF((gamma!BC27),VLOOKUP(BC$1,main!$A$3:$I$56,5,FALSE)-VLOOKUP($A27,main!$A$3:$I$56,6,FALSE),0)</f>
        <v>0</v>
      </c>
      <c r="BD27">
        <f>IF((gamma!BD27),VLOOKUP(BD$1,main!$A$3:$I$56,5,FALSE)-VLOOKUP($A27,main!$A$3:$I$56,6,FALSE),0)</f>
        <v>0</v>
      </c>
    </row>
    <row r="28" spans="1:56" x14ac:dyDescent="0.25">
      <c r="A28">
        <f t="shared" si="2"/>
        <v>26</v>
      </c>
      <c r="B28">
        <v>0</v>
      </c>
      <c r="C28">
        <f>IF((gamma!C28),VLOOKUP(C$1,main!$A$3:$I$56,5,FALSE)-VLOOKUP($A28,main!$A$3:$I$56,6,FALSE),0)</f>
        <v>0</v>
      </c>
      <c r="D28">
        <f>IF((gamma!D28),VLOOKUP(D$1,main!$A$3:$I$56,5,FALSE)-VLOOKUP($A28,main!$A$3:$I$56,6,FALSE),0)</f>
        <v>0</v>
      </c>
      <c r="E28">
        <f>IF((gamma!E28),VLOOKUP(E$1,main!$A$3:$I$56,5,FALSE)-VLOOKUP($A28,main!$A$3:$I$56,6,FALSE),0)</f>
        <v>0</v>
      </c>
      <c r="F28">
        <f>IF((gamma!F28),VLOOKUP(F$1,main!$A$3:$I$56,5,FALSE)-VLOOKUP($A28,main!$A$3:$I$56,6,FALSE),0)</f>
        <v>0</v>
      </c>
      <c r="G28">
        <f>IF((gamma!G28),VLOOKUP(G$1,main!$A$3:$I$56,5,FALSE)-VLOOKUP($A28,main!$A$3:$I$56,6,FALSE),0)</f>
        <v>0</v>
      </c>
      <c r="H28">
        <f>IF((gamma!H28),VLOOKUP(H$1,main!$A$3:$I$56,5,FALSE)-VLOOKUP($A28,main!$A$3:$I$56,6,FALSE),0)</f>
        <v>0</v>
      </c>
      <c r="I28">
        <f>IF((gamma!I28),VLOOKUP(I$1,main!$A$3:$I$56,5,FALSE)-VLOOKUP($A28,main!$A$3:$I$56,6,FALSE),0)</f>
        <v>0</v>
      </c>
      <c r="J28">
        <f>IF((gamma!J28),VLOOKUP(J$1,main!$A$3:$I$56,5,FALSE)-VLOOKUP($A28,main!$A$3:$I$56,6,FALSE),0)</f>
        <v>0</v>
      </c>
      <c r="K28">
        <f>IF((gamma!K28),VLOOKUP(K$1,main!$A$3:$I$56,5,FALSE)-VLOOKUP($A28,main!$A$3:$I$56,6,FALSE),0)</f>
        <v>0</v>
      </c>
      <c r="L28">
        <f>IF((gamma!L28),VLOOKUP(L$1,main!$A$3:$I$56,5,FALSE)-VLOOKUP($A28,main!$A$3:$I$56,6,FALSE),0)</f>
        <v>0</v>
      </c>
      <c r="M28">
        <f>IF((gamma!M28),VLOOKUP(M$1,main!$A$3:$I$56,5,FALSE)-VLOOKUP($A28,main!$A$3:$I$56,6,FALSE),0)</f>
        <v>0</v>
      </c>
      <c r="N28">
        <f>IF((gamma!N28),VLOOKUP(N$1,main!$A$3:$I$56,5,FALSE)-VLOOKUP($A28,main!$A$3:$I$56,6,FALSE),0)</f>
        <v>0</v>
      </c>
      <c r="O28">
        <f>IF((gamma!O28),VLOOKUP(O$1,main!$A$3:$I$56,5,FALSE)-VLOOKUP($A28,main!$A$3:$I$56,6,FALSE),0)</f>
        <v>0</v>
      </c>
      <c r="P28">
        <f>IF((gamma!P28),VLOOKUP(P$1,main!$A$3:$I$56,5,FALSE)-VLOOKUP($A28,main!$A$3:$I$56,6,FALSE),0)</f>
        <v>0</v>
      </c>
      <c r="Q28">
        <f>IF((gamma!Q28),VLOOKUP(Q$1,main!$A$3:$I$56,5,FALSE)-VLOOKUP($A28,main!$A$3:$I$56,6,FALSE),0)</f>
        <v>0</v>
      </c>
      <c r="R28">
        <f>IF((gamma!R28),VLOOKUP(R$1,main!$A$3:$I$56,5,FALSE)-VLOOKUP($A28,main!$A$3:$I$56,6,FALSE),0)</f>
        <v>0</v>
      </c>
      <c r="S28">
        <f>IF((gamma!S28),VLOOKUP(S$1,main!$A$3:$I$56,5,FALSE)-VLOOKUP($A28,main!$A$3:$I$56,6,FALSE),0)</f>
        <v>0</v>
      </c>
      <c r="T28">
        <f>IF((gamma!T28),VLOOKUP(T$1,main!$A$3:$I$56,5,FALSE)-VLOOKUP($A28,main!$A$3:$I$56,6,FALSE),0)</f>
        <v>0</v>
      </c>
      <c r="U28">
        <f>IF((gamma!U28),VLOOKUP(U$1,main!$A$3:$I$56,5,FALSE)-VLOOKUP($A28,main!$A$3:$I$56,6,FALSE),0)</f>
        <v>0</v>
      </c>
      <c r="V28">
        <f>IF((gamma!V28),VLOOKUP(V$1,main!$A$3:$I$56,5,FALSE)-VLOOKUP($A28,main!$A$3:$I$56,6,FALSE),0)</f>
        <v>0</v>
      </c>
      <c r="W28">
        <f>IF((gamma!W28),VLOOKUP(W$1,main!$A$3:$I$56,5,FALSE)-VLOOKUP($A28,main!$A$3:$I$56,6,FALSE),0)</f>
        <v>0</v>
      </c>
      <c r="X28">
        <f>IF((gamma!X28),VLOOKUP(X$1,main!$A$3:$I$56,5,FALSE)-VLOOKUP($A28,main!$A$3:$I$56,6,FALSE),0)</f>
        <v>0</v>
      </c>
      <c r="Y28">
        <f>IF((gamma!Y28),VLOOKUP(Y$1,main!$A$3:$I$56,5,FALSE)-VLOOKUP($A28,main!$A$3:$I$56,6,FALSE),0)</f>
        <v>0</v>
      </c>
      <c r="Z28">
        <f>IF((gamma!Z28),VLOOKUP(Z$1,main!$A$3:$I$56,5,FALSE)-VLOOKUP($A28,main!$A$3:$I$56,6,FALSE),0)</f>
        <v>0</v>
      </c>
      <c r="AA28">
        <f>IF((gamma!AA28),VLOOKUP(AA$1,main!$A$3:$I$56,5,FALSE)-VLOOKUP($A28,main!$A$3:$I$56,6,FALSE),0)</f>
        <v>0</v>
      </c>
      <c r="AB28">
        <f>IF((gamma!AB28),VLOOKUP(AB$1,main!$A$3:$I$56,5,FALSE)-VLOOKUP($A28,main!$A$3:$I$56,6,FALSE),0)</f>
        <v>0</v>
      </c>
      <c r="AC28">
        <f>IF((gamma!AC28),VLOOKUP(AC$1,main!$A$3:$I$56,5,FALSE)-VLOOKUP($A28,main!$A$3:$I$56,6,FALSE),0)</f>
        <v>0</v>
      </c>
      <c r="AD28">
        <f>IF((gamma!AD28),VLOOKUP(AD$1,main!$A$3:$I$56,5,FALSE)-VLOOKUP($A28,main!$A$3:$I$56,6,FALSE),0)</f>
        <v>0</v>
      </c>
      <c r="AE28">
        <f>IF((gamma!AE28),VLOOKUP(AE$1,main!$A$3:$I$56,5,FALSE)-VLOOKUP($A28,main!$A$3:$I$56,6,FALSE),0)</f>
        <v>0</v>
      </c>
      <c r="AF28">
        <f>IF((gamma!AF28),VLOOKUP(AF$1,main!$A$3:$I$56,5,FALSE)-VLOOKUP($A28,main!$A$3:$I$56,6,FALSE),0)</f>
        <v>0</v>
      </c>
      <c r="AG28">
        <f>IF((gamma!AG28),VLOOKUP(AG$1,main!$A$3:$I$56,5,FALSE)-VLOOKUP($A28,main!$A$3:$I$56,6,FALSE),0)</f>
        <v>0</v>
      </c>
      <c r="AH28">
        <f>IF((gamma!AH28),VLOOKUP(AH$1,main!$A$3:$I$56,5,FALSE)-VLOOKUP($A28,main!$A$3:$I$56,6,FALSE),0)</f>
        <v>0</v>
      </c>
      <c r="AI28">
        <f>IF((gamma!AI28),VLOOKUP(AI$1,main!$A$3:$I$56,5,FALSE)-VLOOKUP($A28,main!$A$3:$I$56,6,FALSE),0)</f>
        <v>0</v>
      </c>
      <c r="AJ28">
        <f>IF((gamma!AJ28),VLOOKUP(AJ$1,main!$A$3:$I$56,5,FALSE)-VLOOKUP($A28,main!$A$3:$I$56,6,FALSE),0)</f>
        <v>0</v>
      </c>
      <c r="AK28">
        <f>IF((gamma!AK28),VLOOKUP(AK$1,main!$A$3:$I$56,5,FALSE)-VLOOKUP($A28,main!$A$3:$I$56,6,FALSE),0)</f>
        <v>0</v>
      </c>
      <c r="AL28">
        <f>IF((gamma!AL28),VLOOKUP(AL$1,main!$A$3:$I$56,5,FALSE)-VLOOKUP($A28,main!$A$3:$I$56,6,FALSE),0)</f>
        <v>0</v>
      </c>
      <c r="AM28">
        <f>IF((gamma!AM28),VLOOKUP(AM$1,main!$A$3:$I$56,5,FALSE)-VLOOKUP($A28,main!$A$3:$I$56,6,FALSE),0)</f>
        <v>0</v>
      </c>
      <c r="AN28">
        <f>IF((gamma!AN28),VLOOKUP(AN$1,main!$A$3:$I$56,5,FALSE)-VLOOKUP($A28,main!$A$3:$I$56,6,FALSE),0)</f>
        <v>0</v>
      </c>
      <c r="AO28">
        <f>IF((gamma!AO28),VLOOKUP(AO$1,main!$A$3:$I$56,5,FALSE)-VLOOKUP($A28,main!$A$3:$I$56,6,FALSE),0)</f>
        <v>0</v>
      </c>
      <c r="AP28">
        <f>IF((gamma!AP28),VLOOKUP(AP$1,main!$A$3:$I$56,5,FALSE)-VLOOKUP($A28,main!$A$3:$I$56,6,FALSE),0)</f>
        <v>0</v>
      </c>
      <c r="AQ28">
        <f>IF((gamma!AQ28),VLOOKUP(AQ$1,main!$A$3:$I$56,5,FALSE)-VLOOKUP($A28,main!$A$3:$I$56,6,FALSE),0)</f>
        <v>0</v>
      </c>
      <c r="AR28">
        <f>IF((gamma!AR28),VLOOKUP(AR$1,main!$A$3:$I$56,5,FALSE)-VLOOKUP($A28,main!$A$3:$I$56,6,FALSE),0)</f>
        <v>0</v>
      </c>
      <c r="AS28">
        <f>IF((gamma!AS28),VLOOKUP(AS$1,main!$A$3:$I$56,5,FALSE)-VLOOKUP($A28,main!$A$3:$I$56,6,FALSE),0)</f>
        <v>0</v>
      </c>
      <c r="AT28">
        <f>IF((gamma!AT28),VLOOKUP(AT$1,main!$A$3:$I$56,5,FALSE)-VLOOKUP($A28,main!$A$3:$I$56,6,FALSE),0)</f>
        <v>0</v>
      </c>
      <c r="AU28">
        <f>IF((gamma!AU28),VLOOKUP(AU$1,main!$A$3:$I$56,5,FALSE)-VLOOKUP($A28,main!$A$3:$I$56,6,FALSE),0)</f>
        <v>0</v>
      </c>
      <c r="AV28">
        <f>IF((gamma!AV28),VLOOKUP(AV$1,main!$A$3:$I$56,5,FALSE)-VLOOKUP($A28,main!$A$3:$I$56,6,FALSE),0)</f>
        <v>0</v>
      </c>
      <c r="AW28">
        <f>IF((gamma!AW28),VLOOKUP(AW$1,main!$A$3:$I$56,5,FALSE)-VLOOKUP($A28,main!$A$3:$I$56,6,FALSE),0)</f>
        <v>0</v>
      </c>
      <c r="AX28">
        <f>IF((gamma!AX28),VLOOKUP(AX$1,main!$A$3:$I$56,5,FALSE)-VLOOKUP($A28,main!$A$3:$I$56,6,FALSE),0)</f>
        <v>0</v>
      </c>
      <c r="AY28">
        <f>IF((gamma!AY28),VLOOKUP(AY$1,main!$A$3:$I$56,5,FALSE)-VLOOKUP($A28,main!$A$3:$I$56,6,FALSE),0)</f>
        <v>0</v>
      </c>
      <c r="AZ28">
        <f>IF((gamma!AZ28),VLOOKUP(AZ$1,main!$A$3:$I$56,5,FALSE)-VLOOKUP($A28,main!$A$3:$I$56,6,FALSE),0)</f>
        <v>0</v>
      </c>
      <c r="BA28">
        <f>IF((gamma!BA28),VLOOKUP(BA$1,main!$A$3:$I$56,5,FALSE)-VLOOKUP($A28,main!$A$3:$I$56,6,FALSE),0)</f>
        <v>0</v>
      </c>
      <c r="BB28">
        <f>IF((gamma!BB28),VLOOKUP(BB$1,main!$A$3:$I$56,5,FALSE)-VLOOKUP($A28,main!$A$3:$I$56,6,FALSE),0)</f>
        <v>0</v>
      </c>
      <c r="BC28">
        <f>IF((gamma!BC28),VLOOKUP(BC$1,main!$A$3:$I$56,5,FALSE)-VLOOKUP($A28,main!$A$3:$I$56,6,FALSE),0)</f>
        <v>0</v>
      </c>
      <c r="BD28">
        <f>IF((gamma!BD28),VLOOKUP(BD$1,main!$A$3:$I$56,5,FALSE)-VLOOKUP($A28,main!$A$3:$I$56,6,FALSE),0)</f>
        <v>0</v>
      </c>
    </row>
    <row r="29" spans="1:56" x14ac:dyDescent="0.25">
      <c r="A29">
        <f t="shared" si="2"/>
        <v>27</v>
      </c>
      <c r="B29">
        <v>0</v>
      </c>
      <c r="C29">
        <f>IF((gamma!C29),VLOOKUP(C$1,main!$A$3:$I$56,5,FALSE)-VLOOKUP($A29,main!$A$3:$I$56,6,FALSE),0)</f>
        <v>140</v>
      </c>
      <c r="D29">
        <f>IF((gamma!D29),VLOOKUP(D$1,main!$A$3:$I$56,5,FALSE)-VLOOKUP($A29,main!$A$3:$I$56,6,FALSE),0)</f>
        <v>320</v>
      </c>
      <c r="E29">
        <f>IF((gamma!E29),VLOOKUP(E$1,main!$A$3:$I$56,5,FALSE)-VLOOKUP($A29,main!$A$3:$I$56,6,FALSE),0)</f>
        <v>410</v>
      </c>
      <c r="F29">
        <f>IF((gamma!F29),VLOOKUP(F$1,main!$A$3:$I$56,5,FALSE)-VLOOKUP($A29,main!$A$3:$I$56,6,FALSE),0)</f>
        <v>500</v>
      </c>
      <c r="G29">
        <f>IF((gamma!G29),VLOOKUP(G$1,main!$A$3:$I$56,5,FALSE)-VLOOKUP($A29,main!$A$3:$I$56,6,FALSE),0)</f>
        <v>560</v>
      </c>
      <c r="H29">
        <f>IF((gamma!H29),VLOOKUP(H$1,main!$A$3:$I$56,5,FALSE)-VLOOKUP($A29,main!$A$3:$I$56,6,FALSE),0)</f>
        <v>620</v>
      </c>
      <c r="I29">
        <f>IF((gamma!I29),VLOOKUP(I$1,main!$A$3:$I$56,5,FALSE)-VLOOKUP($A29,main!$A$3:$I$56,6,FALSE),0)</f>
        <v>680</v>
      </c>
      <c r="J29">
        <f>IF((gamma!J29),VLOOKUP(J$1,main!$A$3:$I$56,5,FALSE)-VLOOKUP($A29,main!$A$3:$I$56,6,FALSE),0)</f>
        <v>770</v>
      </c>
      <c r="K29">
        <f>IF((gamma!K29),VLOOKUP(K$1,main!$A$3:$I$56,5,FALSE)-VLOOKUP($A29,main!$A$3:$I$56,6,FALSE),0)</f>
        <v>135</v>
      </c>
      <c r="L29">
        <f>IF((gamma!L29),VLOOKUP(L$1,main!$A$3:$I$56,5,FALSE)-VLOOKUP($A29,main!$A$3:$I$56,6,FALSE),0)</f>
        <v>255</v>
      </c>
      <c r="M29">
        <f>IF((gamma!M29),VLOOKUP(M$1,main!$A$3:$I$56,5,FALSE)-VLOOKUP($A29,main!$A$3:$I$56,6,FALSE),0)</f>
        <v>375</v>
      </c>
      <c r="N29">
        <f>IF((gamma!N29),VLOOKUP(N$1,main!$A$3:$I$56,5,FALSE)-VLOOKUP($A29,main!$A$3:$I$56,6,FALSE),0)</f>
        <v>735</v>
      </c>
      <c r="O29">
        <f>IF((gamma!O29),VLOOKUP(O$1,main!$A$3:$I$56,5,FALSE)-VLOOKUP($A29,main!$A$3:$I$56,6,FALSE),0)</f>
        <v>795</v>
      </c>
      <c r="P29">
        <f>IF((gamma!P29),VLOOKUP(P$1,main!$A$3:$I$56,5,FALSE)-VLOOKUP($A29,main!$A$3:$I$56,6,FALSE),0)</f>
        <v>140</v>
      </c>
      <c r="Q29">
        <f>IF((gamma!Q29),VLOOKUP(Q$1,main!$A$3:$I$56,5,FALSE)-VLOOKUP($A29,main!$A$3:$I$56,6,FALSE),0)</f>
        <v>210</v>
      </c>
      <c r="R29">
        <f>IF((gamma!R29),VLOOKUP(R$1,main!$A$3:$I$56,5,FALSE)-VLOOKUP($A29,main!$A$3:$I$56,6,FALSE),0)</f>
        <v>370</v>
      </c>
      <c r="S29">
        <f>IF((gamma!S29),VLOOKUP(S$1,main!$A$3:$I$56,5,FALSE)-VLOOKUP($A29,main!$A$3:$I$56,6,FALSE),0)</f>
        <v>550</v>
      </c>
      <c r="T29">
        <f>IF((gamma!T29),VLOOKUP(T$1,main!$A$3:$I$56,5,FALSE)-VLOOKUP($A29,main!$A$3:$I$56,6,FALSE),0)</f>
        <v>700</v>
      </c>
      <c r="U29">
        <f>IF((gamma!U29),VLOOKUP(U$1,main!$A$3:$I$56,5,FALSE)-VLOOKUP($A29,main!$A$3:$I$56,6,FALSE),0)</f>
        <v>120</v>
      </c>
      <c r="V29">
        <f>IF((gamma!V29),VLOOKUP(V$1,main!$A$3:$I$56,5,FALSE)-VLOOKUP($A29,main!$A$3:$I$56,6,FALSE),0)</f>
        <v>210</v>
      </c>
      <c r="W29">
        <f>IF((gamma!W29),VLOOKUP(W$1,main!$A$3:$I$56,5,FALSE)-VLOOKUP($A29,main!$A$3:$I$56,6,FALSE),0)</f>
        <v>300</v>
      </c>
      <c r="X29">
        <f>IF((gamma!X29),VLOOKUP(X$1,main!$A$3:$I$56,5,FALSE)-VLOOKUP($A29,main!$A$3:$I$56,6,FALSE),0)</f>
        <v>390</v>
      </c>
      <c r="Y29">
        <f>IF((gamma!Y29),VLOOKUP(Y$1,main!$A$3:$I$56,5,FALSE)-VLOOKUP($A29,main!$A$3:$I$56,6,FALSE),0)</f>
        <v>480</v>
      </c>
      <c r="Z29">
        <f>IF((gamma!Z29),VLOOKUP(Z$1,main!$A$3:$I$56,5,FALSE)-VLOOKUP($A29,main!$A$3:$I$56,6,FALSE),0)</f>
        <v>570</v>
      </c>
      <c r="AA29">
        <f>IF((gamma!AA29),VLOOKUP(AA$1,main!$A$3:$I$56,5,FALSE)-VLOOKUP($A29,main!$A$3:$I$56,6,FALSE),0)</f>
        <v>660</v>
      </c>
      <c r="AB29">
        <f>IF((gamma!AB29),VLOOKUP(AB$1,main!$A$3:$I$56,5,FALSE)-VLOOKUP($A29,main!$A$3:$I$56,6,FALSE),0)</f>
        <v>720</v>
      </c>
      <c r="AC29">
        <f>IF((gamma!AC29),VLOOKUP(AC$1,main!$A$3:$I$56,5,FALSE)-VLOOKUP($A29,main!$A$3:$I$56,6,FALSE),0)</f>
        <v>0</v>
      </c>
      <c r="AD29">
        <f>IF((gamma!AD29),VLOOKUP(AD$1,main!$A$3:$I$56,5,FALSE)-VLOOKUP($A29,main!$A$3:$I$56,6,FALSE),0)</f>
        <v>175</v>
      </c>
      <c r="AE29">
        <f>IF((gamma!AE29),VLOOKUP(AE$1,main!$A$3:$I$56,5,FALSE)-VLOOKUP($A29,main!$A$3:$I$56,6,FALSE),0)</f>
        <v>380</v>
      </c>
      <c r="AF29">
        <f>IF((gamma!AF29),VLOOKUP(AF$1,main!$A$3:$I$56,5,FALSE)-VLOOKUP($A29,main!$A$3:$I$56,6,FALSE),0)</f>
        <v>530</v>
      </c>
      <c r="AG29">
        <f>IF((gamma!AG29),VLOOKUP(AG$1,main!$A$3:$I$56,5,FALSE)-VLOOKUP($A29,main!$A$3:$I$56,6,FALSE),0)</f>
        <v>150</v>
      </c>
      <c r="AH29">
        <f>IF((gamma!AH29),VLOOKUP(AH$1,main!$A$3:$I$56,5,FALSE)-VLOOKUP($A29,main!$A$3:$I$56,6,FALSE),0)</f>
        <v>320</v>
      </c>
      <c r="AI29">
        <f>IF((gamma!AI29),VLOOKUP(AI$1,main!$A$3:$I$56,5,FALSE)-VLOOKUP($A29,main!$A$3:$I$56,6,FALSE),0)</f>
        <v>440</v>
      </c>
      <c r="AJ29">
        <f>IF((gamma!AJ29),VLOOKUP(AJ$1,main!$A$3:$I$56,5,FALSE)-VLOOKUP($A29,main!$A$3:$I$56,6,FALSE),0)</f>
        <v>500</v>
      </c>
      <c r="AK29">
        <f>IF((gamma!AK29),VLOOKUP(AK$1,main!$A$3:$I$56,5,FALSE)-VLOOKUP($A29,main!$A$3:$I$56,6,FALSE),0)</f>
        <v>620</v>
      </c>
      <c r="AL29">
        <f>IF((gamma!AL29),VLOOKUP(AL$1,main!$A$3:$I$56,5,FALSE)-VLOOKUP($A29,main!$A$3:$I$56,6,FALSE),0)</f>
        <v>120</v>
      </c>
      <c r="AM29">
        <f>IF((gamma!AM29),VLOOKUP(AM$1,main!$A$3:$I$56,5,FALSE)-VLOOKUP($A29,main!$A$3:$I$56,6,FALSE),0)</f>
        <v>225</v>
      </c>
      <c r="AN29">
        <f>IF((gamma!AN29),VLOOKUP(AN$1,main!$A$3:$I$56,5,FALSE)-VLOOKUP($A29,main!$A$3:$I$56,6,FALSE),0)</f>
        <v>480</v>
      </c>
      <c r="AO29">
        <f>IF((gamma!AO29),VLOOKUP(AO$1,main!$A$3:$I$56,5,FALSE)-VLOOKUP($A29,main!$A$3:$I$56,6,FALSE),0)</f>
        <v>530</v>
      </c>
      <c r="AP29">
        <f>IF((gamma!AP29),VLOOKUP(AP$1,main!$A$3:$I$56,5,FALSE)-VLOOKUP($A29,main!$A$3:$I$56,6,FALSE),0)</f>
        <v>0</v>
      </c>
      <c r="AQ29">
        <f>IF((gamma!AQ29),VLOOKUP(AQ$1,main!$A$3:$I$56,5,FALSE)-VLOOKUP($A29,main!$A$3:$I$56,6,FALSE),0)</f>
        <v>130</v>
      </c>
      <c r="AR29">
        <f>IF((gamma!AR29),VLOOKUP(AR$1,main!$A$3:$I$56,5,FALSE)-VLOOKUP($A29,main!$A$3:$I$56,6,FALSE),0)</f>
        <v>180</v>
      </c>
      <c r="AS29">
        <f>IF((gamma!AS29),VLOOKUP(AS$1,main!$A$3:$I$56,5,FALSE)-VLOOKUP($A29,main!$A$3:$I$56,6,FALSE),0)</f>
        <v>345</v>
      </c>
      <c r="AT29">
        <f>IF((gamma!AT29),VLOOKUP(AT$1,main!$A$3:$I$56,5,FALSE)-VLOOKUP($A29,main!$A$3:$I$56,6,FALSE),0)</f>
        <v>430</v>
      </c>
      <c r="AU29">
        <f>IF((gamma!AU29),VLOOKUP(AU$1,main!$A$3:$I$56,5,FALSE)-VLOOKUP($A29,main!$A$3:$I$56,6,FALSE),0)</f>
        <v>300</v>
      </c>
      <c r="AV29">
        <f>IF((gamma!AV29),VLOOKUP(AV$1,main!$A$3:$I$56,5,FALSE)-VLOOKUP($A29,main!$A$3:$I$56,6,FALSE),0)</f>
        <v>330</v>
      </c>
      <c r="AW29">
        <f>IF((gamma!AW29),VLOOKUP(AW$1,main!$A$3:$I$56,5,FALSE)-VLOOKUP($A29,main!$A$3:$I$56,6,FALSE),0)</f>
        <v>380</v>
      </c>
      <c r="AX29">
        <f>IF((gamma!AX29),VLOOKUP(AX$1,main!$A$3:$I$56,5,FALSE)-VLOOKUP($A29,main!$A$3:$I$56,6,FALSE),0)</f>
        <v>580</v>
      </c>
      <c r="AY29">
        <f>IF((gamma!AY29),VLOOKUP(AY$1,main!$A$3:$I$56,5,FALSE)-VLOOKUP($A29,main!$A$3:$I$56,6,FALSE),0)</f>
        <v>780</v>
      </c>
      <c r="AZ29">
        <f>IF((gamma!AZ29),VLOOKUP(AZ$1,main!$A$3:$I$56,5,FALSE)-VLOOKUP($A29,main!$A$3:$I$56,6,FALSE),0)</f>
        <v>180</v>
      </c>
      <c r="BA29">
        <f>IF((gamma!BA29),VLOOKUP(BA$1,main!$A$3:$I$56,5,FALSE)-VLOOKUP($A29,main!$A$3:$I$56,6,FALSE),0)</f>
        <v>345</v>
      </c>
      <c r="BB29">
        <f>IF((gamma!BB29),VLOOKUP(BB$1,main!$A$3:$I$56,5,FALSE)-VLOOKUP($A29,main!$A$3:$I$56,6,FALSE),0)</f>
        <v>360</v>
      </c>
      <c r="BC29">
        <f>IF((gamma!BC29),VLOOKUP(BC$1,main!$A$3:$I$56,5,FALSE)-VLOOKUP($A29,main!$A$3:$I$56,6,FALSE),0)</f>
        <v>545</v>
      </c>
      <c r="BD29">
        <f>IF((gamma!BD29),VLOOKUP(BD$1,main!$A$3:$I$56,5,FALSE)-VLOOKUP($A29,main!$A$3:$I$56,6,FALSE),0)</f>
        <v>555</v>
      </c>
    </row>
    <row r="30" spans="1:56" x14ac:dyDescent="0.25">
      <c r="A30">
        <f t="shared" si="2"/>
        <v>28</v>
      </c>
      <c r="B30">
        <v>0</v>
      </c>
      <c r="C30">
        <f>IF((gamma!C30),VLOOKUP(C$1,main!$A$3:$I$56,5,FALSE)-VLOOKUP($A30,main!$A$3:$I$56,6,FALSE),0)</f>
        <v>0</v>
      </c>
      <c r="D30">
        <f>IF((gamma!D30),VLOOKUP(D$1,main!$A$3:$I$56,5,FALSE)-VLOOKUP($A30,main!$A$3:$I$56,6,FALSE),0)</f>
        <v>0</v>
      </c>
      <c r="E30">
        <f>IF((gamma!E30),VLOOKUP(E$1,main!$A$3:$I$56,5,FALSE)-VLOOKUP($A30,main!$A$3:$I$56,6,FALSE),0)</f>
        <v>95</v>
      </c>
      <c r="F30">
        <f>IF((gamma!F30),VLOOKUP(F$1,main!$A$3:$I$56,5,FALSE)-VLOOKUP($A30,main!$A$3:$I$56,6,FALSE),0)</f>
        <v>185</v>
      </c>
      <c r="G30">
        <f>IF((gamma!G30),VLOOKUP(G$1,main!$A$3:$I$56,5,FALSE)-VLOOKUP($A30,main!$A$3:$I$56,6,FALSE),0)</f>
        <v>245</v>
      </c>
      <c r="H30">
        <f>IF((gamma!H30),VLOOKUP(H$1,main!$A$3:$I$56,5,FALSE)-VLOOKUP($A30,main!$A$3:$I$56,6,FALSE),0)</f>
        <v>305</v>
      </c>
      <c r="I30">
        <f>IF((gamma!I30),VLOOKUP(I$1,main!$A$3:$I$56,5,FALSE)-VLOOKUP($A30,main!$A$3:$I$56,6,FALSE),0)</f>
        <v>365</v>
      </c>
      <c r="J30">
        <f>IF((gamma!J30),VLOOKUP(J$1,main!$A$3:$I$56,5,FALSE)-VLOOKUP($A30,main!$A$3:$I$56,6,FALSE),0)</f>
        <v>455</v>
      </c>
      <c r="K30">
        <f>IF((gamma!K30),VLOOKUP(K$1,main!$A$3:$I$56,5,FALSE)-VLOOKUP($A30,main!$A$3:$I$56,6,FALSE),0)</f>
        <v>0</v>
      </c>
      <c r="L30">
        <f>IF((gamma!L30),VLOOKUP(L$1,main!$A$3:$I$56,5,FALSE)-VLOOKUP($A30,main!$A$3:$I$56,6,FALSE),0)</f>
        <v>0</v>
      </c>
      <c r="M30">
        <f>IF((gamma!M30),VLOOKUP(M$1,main!$A$3:$I$56,5,FALSE)-VLOOKUP($A30,main!$A$3:$I$56,6,FALSE),0)</f>
        <v>60</v>
      </c>
      <c r="N30">
        <f>IF((gamma!N30),VLOOKUP(N$1,main!$A$3:$I$56,5,FALSE)-VLOOKUP($A30,main!$A$3:$I$56,6,FALSE),0)</f>
        <v>420</v>
      </c>
      <c r="O30">
        <f>IF((gamma!O30),VLOOKUP(O$1,main!$A$3:$I$56,5,FALSE)-VLOOKUP($A30,main!$A$3:$I$56,6,FALSE),0)</f>
        <v>480</v>
      </c>
      <c r="P30">
        <f>IF((gamma!P30),VLOOKUP(P$1,main!$A$3:$I$56,5,FALSE)-VLOOKUP($A30,main!$A$3:$I$56,6,FALSE),0)</f>
        <v>0</v>
      </c>
      <c r="Q30">
        <f>IF((gamma!Q30),VLOOKUP(Q$1,main!$A$3:$I$56,5,FALSE)-VLOOKUP($A30,main!$A$3:$I$56,6,FALSE),0)</f>
        <v>0</v>
      </c>
      <c r="R30">
        <f>IF((gamma!R30),VLOOKUP(R$1,main!$A$3:$I$56,5,FALSE)-VLOOKUP($A30,main!$A$3:$I$56,6,FALSE),0)</f>
        <v>55</v>
      </c>
      <c r="S30">
        <f>IF((gamma!S30),VLOOKUP(S$1,main!$A$3:$I$56,5,FALSE)-VLOOKUP($A30,main!$A$3:$I$56,6,FALSE),0)</f>
        <v>235</v>
      </c>
      <c r="T30">
        <f>IF((gamma!T30),VLOOKUP(T$1,main!$A$3:$I$56,5,FALSE)-VLOOKUP($A30,main!$A$3:$I$56,6,FALSE),0)</f>
        <v>385</v>
      </c>
      <c r="U30">
        <f>IF((gamma!U30),VLOOKUP(U$1,main!$A$3:$I$56,5,FALSE)-VLOOKUP($A30,main!$A$3:$I$56,6,FALSE),0)</f>
        <v>0</v>
      </c>
      <c r="V30">
        <f>IF((gamma!V30),VLOOKUP(V$1,main!$A$3:$I$56,5,FALSE)-VLOOKUP($A30,main!$A$3:$I$56,6,FALSE),0)</f>
        <v>0</v>
      </c>
      <c r="W30">
        <f>IF((gamma!W30),VLOOKUP(W$1,main!$A$3:$I$56,5,FALSE)-VLOOKUP($A30,main!$A$3:$I$56,6,FALSE),0)</f>
        <v>0</v>
      </c>
      <c r="X30">
        <f>IF((gamma!X30),VLOOKUP(X$1,main!$A$3:$I$56,5,FALSE)-VLOOKUP($A30,main!$A$3:$I$56,6,FALSE),0)</f>
        <v>75</v>
      </c>
      <c r="Y30">
        <f>IF((gamma!Y30),VLOOKUP(Y$1,main!$A$3:$I$56,5,FALSE)-VLOOKUP($A30,main!$A$3:$I$56,6,FALSE),0)</f>
        <v>165</v>
      </c>
      <c r="Z30">
        <f>IF((gamma!Z30),VLOOKUP(Z$1,main!$A$3:$I$56,5,FALSE)-VLOOKUP($A30,main!$A$3:$I$56,6,FALSE),0)</f>
        <v>255</v>
      </c>
      <c r="AA30">
        <f>IF((gamma!AA30),VLOOKUP(AA$1,main!$A$3:$I$56,5,FALSE)-VLOOKUP($A30,main!$A$3:$I$56,6,FALSE),0)</f>
        <v>345</v>
      </c>
      <c r="AB30">
        <f>IF((gamma!AB30),VLOOKUP(AB$1,main!$A$3:$I$56,5,FALSE)-VLOOKUP($A30,main!$A$3:$I$56,6,FALSE),0)</f>
        <v>405</v>
      </c>
      <c r="AC30">
        <f>IF((gamma!AC30),VLOOKUP(AC$1,main!$A$3:$I$56,5,FALSE)-VLOOKUP($A30,main!$A$3:$I$56,6,FALSE),0)</f>
        <v>0</v>
      </c>
      <c r="AD30">
        <f>IF((gamma!AD30),VLOOKUP(AD$1,main!$A$3:$I$56,5,FALSE)-VLOOKUP($A30,main!$A$3:$I$56,6,FALSE),0)</f>
        <v>0</v>
      </c>
      <c r="AE30">
        <f>IF((gamma!AE30),VLOOKUP(AE$1,main!$A$3:$I$56,5,FALSE)-VLOOKUP($A30,main!$A$3:$I$56,6,FALSE),0)</f>
        <v>65</v>
      </c>
      <c r="AF30">
        <f>IF((gamma!AF30),VLOOKUP(AF$1,main!$A$3:$I$56,5,FALSE)-VLOOKUP($A30,main!$A$3:$I$56,6,FALSE),0)</f>
        <v>215</v>
      </c>
      <c r="AG30">
        <f>IF((gamma!AG30),VLOOKUP(AG$1,main!$A$3:$I$56,5,FALSE)-VLOOKUP($A30,main!$A$3:$I$56,6,FALSE),0)</f>
        <v>0</v>
      </c>
      <c r="AH30">
        <f>IF((gamma!AH30),VLOOKUP(AH$1,main!$A$3:$I$56,5,FALSE)-VLOOKUP($A30,main!$A$3:$I$56,6,FALSE),0)</f>
        <v>0</v>
      </c>
      <c r="AI30">
        <f>IF((gamma!AI30),VLOOKUP(AI$1,main!$A$3:$I$56,5,FALSE)-VLOOKUP($A30,main!$A$3:$I$56,6,FALSE),0)</f>
        <v>125</v>
      </c>
      <c r="AJ30">
        <f>IF((gamma!AJ30),VLOOKUP(AJ$1,main!$A$3:$I$56,5,FALSE)-VLOOKUP($A30,main!$A$3:$I$56,6,FALSE),0)</f>
        <v>185</v>
      </c>
      <c r="AK30">
        <f>IF((gamma!AK30),VLOOKUP(AK$1,main!$A$3:$I$56,5,FALSE)-VLOOKUP($A30,main!$A$3:$I$56,6,FALSE),0)</f>
        <v>305</v>
      </c>
      <c r="AL30">
        <f>IF((gamma!AL30),VLOOKUP(AL$1,main!$A$3:$I$56,5,FALSE)-VLOOKUP($A30,main!$A$3:$I$56,6,FALSE),0)</f>
        <v>0</v>
      </c>
      <c r="AM30">
        <f>IF((gamma!AM30),VLOOKUP(AM$1,main!$A$3:$I$56,5,FALSE)-VLOOKUP($A30,main!$A$3:$I$56,6,FALSE),0)</f>
        <v>0</v>
      </c>
      <c r="AN30">
        <f>IF((gamma!AN30),VLOOKUP(AN$1,main!$A$3:$I$56,5,FALSE)-VLOOKUP($A30,main!$A$3:$I$56,6,FALSE),0)</f>
        <v>165</v>
      </c>
      <c r="AO30">
        <f>IF((gamma!AO30),VLOOKUP(AO$1,main!$A$3:$I$56,5,FALSE)-VLOOKUP($A30,main!$A$3:$I$56,6,FALSE),0)</f>
        <v>215</v>
      </c>
      <c r="AP30">
        <f>IF((gamma!AP30),VLOOKUP(AP$1,main!$A$3:$I$56,5,FALSE)-VLOOKUP($A30,main!$A$3:$I$56,6,FALSE),0)</f>
        <v>0</v>
      </c>
      <c r="AQ30">
        <f>IF((gamma!AQ30),VLOOKUP(AQ$1,main!$A$3:$I$56,5,FALSE)-VLOOKUP($A30,main!$A$3:$I$56,6,FALSE),0)</f>
        <v>0</v>
      </c>
      <c r="AR30">
        <f>IF((gamma!AR30),VLOOKUP(AR$1,main!$A$3:$I$56,5,FALSE)-VLOOKUP($A30,main!$A$3:$I$56,6,FALSE),0)</f>
        <v>0</v>
      </c>
      <c r="AS30">
        <f>IF((gamma!AS30),VLOOKUP(AS$1,main!$A$3:$I$56,5,FALSE)-VLOOKUP($A30,main!$A$3:$I$56,6,FALSE),0)</f>
        <v>30</v>
      </c>
      <c r="AT30">
        <f>IF((gamma!AT30),VLOOKUP(AT$1,main!$A$3:$I$56,5,FALSE)-VLOOKUP($A30,main!$A$3:$I$56,6,FALSE),0)</f>
        <v>115</v>
      </c>
      <c r="AU30">
        <f>IF((gamma!AU30),VLOOKUP(AU$1,main!$A$3:$I$56,5,FALSE)-VLOOKUP($A30,main!$A$3:$I$56,6,FALSE),0)</f>
        <v>0</v>
      </c>
      <c r="AV30">
        <f>IF((gamma!AV30),VLOOKUP(AV$1,main!$A$3:$I$56,5,FALSE)-VLOOKUP($A30,main!$A$3:$I$56,6,FALSE),0)</f>
        <v>0</v>
      </c>
      <c r="AW30">
        <f>IF((gamma!AW30),VLOOKUP(AW$1,main!$A$3:$I$56,5,FALSE)-VLOOKUP($A30,main!$A$3:$I$56,6,FALSE),0)</f>
        <v>65</v>
      </c>
      <c r="AX30">
        <f>IF((gamma!AX30),VLOOKUP(AX$1,main!$A$3:$I$56,5,FALSE)-VLOOKUP($A30,main!$A$3:$I$56,6,FALSE),0)</f>
        <v>265</v>
      </c>
      <c r="AY30">
        <f>IF((gamma!AY30),VLOOKUP(AY$1,main!$A$3:$I$56,5,FALSE)-VLOOKUP($A30,main!$A$3:$I$56,6,FALSE),0)</f>
        <v>465</v>
      </c>
      <c r="AZ30">
        <f>IF((gamma!AZ30),VLOOKUP(AZ$1,main!$A$3:$I$56,5,FALSE)-VLOOKUP($A30,main!$A$3:$I$56,6,FALSE),0)</f>
        <v>0</v>
      </c>
      <c r="BA30">
        <f>IF((gamma!BA30),VLOOKUP(BA$1,main!$A$3:$I$56,5,FALSE)-VLOOKUP($A30,main!$A$3:$I$56,6,FALSE),0)</f>
        <v>0</v>
      </c>
      <c r="BB30">
        <f>IF((gamma!BB30),VLOOKUP(BB$1,main!$A$3:$I$56,5,FALSE)-VLOOKUP($A30,main!$A$3:$I$56,6,FALSE),0)</f>
        <v>0</v>
      </c>
      <c r="BC30">
        <f>IF((gamma!BC30),VLOOKUP(BC$1,main!$A$3:$I$56,5,FALSE)-VLOOKUP($A30,main!$A$3:$I$56,6,FALSE),0)</f>
        <v>230</v>
      </c>
      <c r="BD30">
        <f>IF((gamma!BD30),VLOOKUP(BD$1,main!$A$3:$I$56,5,FALSE)-VLOOKUP($A30,main!$A$3:$I$56,6,FALSE),0)</f>
        <v>240</v>
      </c>
    </row>
    <row r="31" spans="1:56" x14ac:dyDescent="0.25">
      <c r="A31">
        <f t="shared" si="2"/>
        <v>29</v>
      </c>
      <c r="B31">
        <v>0</v>
      </c>
      <c r="C31">
        <f>IF((gamma!C31),VLOOKUP(C$1,main!$A$3:$I$56,5,FALSE)-VLOOKUP($A31,main!$A$3:$I$56,6,FALSE),0)</f>
        <v>0</v>
      </c>
      <c r="D31">
        <f>IF((gamma!D31),VLOOKUP(D$1,main!$A$3:$I$56,5,FALSE)-VLOOKUP($A31,main!$A$3:$I$56,6,FALSE),0)</f>
        <v>0</v>
      </c>
      <c r="E31">
        <f>IF((gamma!E31),VLOOKUP(E$1,main!$A$3:$I$56,5,FALSE)-VLOOKUP($A31,main!$A$3:$I$56,6,FALSE),0)</f>
        <v>0</v>
      </c>
      <c r="F31">
        <f>IF((gamma!F31),VLOOKUP(F$1,main!$A$3:$I$56,5,FALSE)-VLOOKUP($A31,main!$A$3:$I$56,6,FALSE),0)</f>
        <v>0</v>
      </c>
      <c r="G31">
        <f>IF((gamma!G31),VLOOKUP(G$1,main!$A$3:$I$56,5,FALSE)-VLOOKUP($A31,main!$A$3:$I$56,6,FALSE),0)</f>
        <v>60</v>
      </c>
      <c r="H31">
        <f>IF((gamma!H31),VLOOKUP(H$1,main!$A$3:$I$56,5,FALSE)-VLOOKUP($A31,main!$A$3:$I$56,6,FALSE),0)</f>
        <v>120</v>
      </c>
      <c r="I31">
        <f>IF((gamma!I31),VLOOKUP(I$1,main!$A$3:$I$56,5,FALSE)-VLOOKUP($A31,main!$A$3:$I$56,6,FALSE),0)</f>
        <v>180</v>
      </c>
      <c r="J31">
        <f>IF((gamma!J31),VLOOKUP(J$1,main!$A$3:$I$56,5,FALSE)-VLOOKUP($A31,main!$A$3:$I$56,6,FALSE),0)</f>
        <v>270</v>
      </c>
      <c r="K31">
        <f>IF((gamma!K31),VLOOKUP(K$1,main!$A$3:$I$56,5,FALSE)-VLOOKUP($A31,main!$A$3:$I$56,6,FALSE),0)</f>
        <v>0</v>
      </c>
      <c r="L31">
        <f>IF((gamma!L31),VLOOKUP(L$1,main!$A$3:$I$56,5,FALSE)-VLOOKUP($A31,main!$A$3:$I$56,6,FALSE),0)</f>
        <v>0</v>
      </c>
      <c r="M31">
        <f>IF((gamma!M31),VLOOKUP(M$1,main!$A$3:$I$56,5,FALSE)-VLOOKUP($A31,main!$A$3:$I$56,6,FALSE),0)</f>
        <v>0</v>
      </c>
      <c r="N31">
        <f>IF((gamma!N31),VLOOKUP(N$1,main!$A$3:$I$56,5,FALSE)-VLOOKUP($A31,main!$A$3:$I$56,6,FALSE),0)</f>
        <v>235</v>
      </c>
      <c r="O31">
        <f>IF((gamma!O31),VLOOKUP(O$1,main!$A$3:$I$56,5,FALSE)-VLOOKUP($A31,main!$A$3:$I$56,6,FALSE),0)</f>
        <v>295</v>
      </c>
      <c r="P31">
        <f>IF((gamma!P31),VLOOKUP(P$1,main!$A$3:$I$56,5,FALSE)-VLOOKUP($A31,main!$A$3:$I$56,6,FALSE),0)</f>
        <v>0</v>
      </c>
      <c r="Q31">
        <f>IF((gamma!Q31),VLOOKUP(Q$1,main!$A$3:$I$56,5,FALSE)-VLOOKUP($A31,main!$A$3:$I$56,6,FALSE),0)</f>
        <v>0</v>
      </c>
      <c r="R31">
        <f>IF((gamma!R31),VLOOKUP(R$1,main!$A$3:$I$56,5,FALSE)-VLOOKUP($A31,main!$A$3:$I$56,6,FALSE),0)</f>
        <v>0</v>
      </c>
      <c r="S31">
        <f>IF((gamma!S31),VLOOKUP(S$1,main!$A$3:$I$56,5,FALSE)-VLOOKUP($A31,main!$A$3:$I$56,6,FALSE),0)</f>
        <v>50</v>
      </c>
      <c r="T31">
        <f>IF((gamma!T31),VLOOKUP(T$1,main!$A$3:$I$56,5,FALSE)-VLOOKUP($A31,main!$A$3:$I$56,6,FALSE),0)</f>
        <v>200</v>
      </c>
      <c r="U31">
        <f>IF((gamma!U31),VLOOKUP(U$1,main!$A$3:$I$56,5,FALSE)-VLOOKUP($A31,main!$A$3:$I$56,6,FALSE),0)</f>
        <v>0</v>
      </c>
      <c r="V31">
        <f>IF((gamma!V31),VLOOKUP(V$1,main!$A$3:$I$56,5,FALSE)-VLOOKUP($A31,main!$A$3:$I$56,6,FALSE),0)</f>
        <v>0</v>
      </c>
      <c r="W31">
        <f>IF((gamma!W31),VLOOKUP(W$1,main!$A$3:$I$56,5,FALSE)-VLOOKUP($A31,main!$A$3:$I$56,6,FALSE),0)</f>
        <v>0</v>
      </c>
      <c r="X31">
        <f>IF((gamma!X31),VLOOKUP(X$1,main!$A$3:$I$56,5,FALSE)-VLOOKUP($A31,main!$A$3:$I$56,6,FALSE),0)</f>
        <v>0</v>
      </c>
      <c r="Y31">
        <f>IF((gamma!Y31),VLOOKUP(Y$1,main!$A$3:$I$56,5,FALSE)-VLOOKUP($A31,main!$A$3:$I$56,6,FALSE),0)</f>
        <v>0</v>
      </c>
      <c r="Z31">
        <f>IF((gamma!Z31),VLOOKUP(Z$1,main!$A$3:$I$56,5,FALSE)-VLOOKUP($A31,main!$A$3:$I$56,6,FALSE),0)</f>
        <v>70</v>
      </c>
      <c r="AA31">
        <f>IF((gamma!AA31),VLOOKUP(AA$1,main!$A$3:$I$56,5,FALSE)-VLOOKUP($A31,main!$A$3:$I$56,6,FALSE),0)</f>
        <v>160</v>
      </c>
      <c r="AB31">
        <f>IF((gamma!AB31),VLOOKUP(AB$1,main!$A$3:$I$56,5,FALSE)-VLOOKUP($A31,main!$A$3:$I$56,6,FALSE),0)</f>
        <v>220</v>
      </c>
      <c r="AC31">
        <f>IF((gamma!AC31),VLOOKUP(AC$1,main!$A$3:$I$56,5,FALSE)-VLOOKUP($A31,main!$A$3:$I$56,6,FALSE),0)</f>
        <v>0</v>
      </c>
      <c r="AD31">
        <f>IF((gamma!AD31),VLOOKUP(AD$1,main!$A$3:$I$56,5,FALSE)-VLOOKUP($A31,main!$A$3:$I$56,6,FALSE),0)</f>
        <v>0</v>
      </c>
      <c r="AE31">
        <f>IF((gamma!AE31),VLOOKUP(AE$1,main!$A$3:$I$56,5,FALSE)-VLOOKUP($A31,main!$A$3:$I$56,6,FALSE),0)</f>
        <v>0</v>
      </c>
      <c r="AF31">
        <f>IF((gamma!AF31),VLOOKUP(AF$1,main!$A$3:$I$56,5,FALSE)-VLOOKUP($A31,main!$A$3:$I$56,6,FALSE),0)</f>
        <v>0</v>
      </c>
      <c r="AG31">
        <f>IF((gamma!AG31),VLOOKUP(AG$1,main!$A$3:$I$56,5,FALSE)-VLOOKUP($A31,main!$A$3:$I$56,6,FALSE),0)</f>
        <v>0</v>
      </c>
      <c r="AH31">
        <f>IF((gamma!AH31),VLOOKUP(AH$1,main!$A$3:$I$56,5,FALSE)-VLOOKUP($A31,main!$A$3:$I$56,6,FALSE),0)</f>
        <v>0</v>
      </c>
      <c r="AI31">
        <f>IF((gamma!AI31),VLOOKUP(AI$1,main!$A$3:$I$56,5,FALSE)-VLOOKUP($A31,main!$A$3:$I$56,6,FALSE),0)</f>
        <v>0</v>
      </c>
      <c r="AJ31">
        <f>IF((gamma!AJ31),VLOOKUP(AJ$1,main!$A$3:$I$56,5,FALSE)-VLOOKUP($A31,main!$A$3:$I$56,6,FALSE),0)</f>
        <v>0</v>
      </c>
      <c r="AK31">
        <f>IF((gamma!AK31),VLOOKUP(AK$1,main!$A$3:$I$56,5,FALSE)-VLOOKUP($A31,main!$A$3:$I$56,6,FALSE),0)</f>
        <v>120</v>
      </c>
      <c r="AL31">
        <f>IF((gamma!AL31),VLOOKUP(AL$1,main!$A$3:$I$56,5,FALSE)-VLOOKUP($A31,main!$A$3:$I$56,6,FALSE),0)</f>
        <v>0</v>
      </c>
      <c r="AM31">
        <f>IF((gamma!AM31),VLOOKUP(AM$1,main!$A$3:$I$56,5,FALSE)-VLOOKUP($A31,main!$A$3:$I$56,6,FALSE),0)</f>
        <v>0</v>
      </c>
      <c r="AN31">
        <f>IF((gamma!AN31),VLOOKUP(AN$1,main!$A$3:$I$56,5,FALSE)-VLOOKUP($A31,main!$A$3:$I$56,6,FALSE),0)</f>
        <v>0</v>
      </c>
      <c r="AO31">
        <f>IF((gamma!AO31),VLOOKUP(AO$1,main!$A$3:$I$56,5,FALSE)-VLOOKUP($A31,main!$A$3:$I$56,6,FALSE),0)</f>
        <v>30</v>
      </c>
      <c r="AP31">
        <f>IF((gamma!AP31),VLOOKUP(AP$1,main!$A$3:$I$56,5,FALSE)-VLOOKUP($A31,main!$A$3:$I$56,6,FALSE),0)</f>
        <v>0</v>
      </c>
      <c r="AQ31">
        <f>IF((gamma!AQ31),VLOOKUP(AQ$1,main!$A$3:$I$56,5,FALSE)-VLOOKUP($A31,main!$A$3:$I$56,6,FALSE),0)</f>
        <v>0</v>
      </c>
      <c r="AR31">
        <f>IF((gamma!AR31),VLOOKUP(AR$1,main!$A$3:$I$56,5,FALSE)-VLOOKUP($A31,main!$A$3:$I$56,6,FALSE),0)</f>
        <v>0</v>
      </c>
      <c r="AS31">
        <f>IF((gamma!AS31),VLOOKUP(AS$1,main!$A$3:$I$56,5,FALSE)-VLOOKUP($A31,main!$A$3:$I$56,6,FALSE),0)</f>
        <v>0</v>
      </c>
      <c r="AT31">
        <f>IF((gamma!AT31),VLOOKUP(AT$1,main!$A$3:$I$56,5,FALSE)-VLOOKUP($A31,main!$A$3:$I$56,6,FALSE),0)</f>
        <v>0</v>
      </c>
      <c r="AU31">
        <f>IF((gamma!AU31),VLOOKUP(AU$1,main!$A$3:$I$56,5,FALSE)-VLOOKUP($A31,main!$A$3:$I$56,6,FALSE),0)</f>
        <v>0</v>
      </c>
      <c r="AV31">
        <f>IF((gamma!AV31),VLOOKUP(AV$1,main!$A$3:$I$56,5,FALSE)-VLOOKUP($A31,main!$A$3:$I$56,6,FALSE),0)</f>
        <v>0</v>
      </c>
      <c r="AW31">
        <f>IF((gamma!AW31),VLOOKUP(AW$1,main!$A$3:$I$56,5,FALSE)-VLOOKUP($A31,main!$A$3:$I$56,6,FALSE),0)</f>
        <v>0</v>
      </c>
      <c r="AX31">
        <f>IF((gamma!AX31),VLOOKUP(AX$1,main!$A$3:$I$56,5,FALSE)-VLOOKUP($A31,main!$A$3:$I$56,6,FALSE),0)</f>
        <v>80</v>
      </c>
      <c r="AY31">
        <f>IF((gamma!AY31),VLOOKUP(AY$1,main!$A$3:$I$56,5,FALSE)-VLOOKUP($A31,main!$A$3:$I$56,6,FALSE),0)</f>
        <v>280</v>
      </c>
      <c r="AZ31">
        <f>IF((gamma!AZ31),VLOOKUP(AZ$1,main!$A$3:$I$56,5,FALSE)-VLOOKUP($A31,main!$A$3:$I$56,6,FALSE),0)</f>
        <v>0</v>
      </c>
      <c r="BA31">
        <f>IF((gamma!BA31),VLOOKUP(BA$1,main!$A$3:$I$56,5,FALSE)-VLOOKUP($A31,main!$A$3:$I$56,6,FALSE),0)</f>
        <v>0</v>
      </c>
      <c r="BB31">
        <f>IF((gamma!BB31),VLOOKUP(BB$1,main!$A$3:$I$56,5,FALSE)-VLOOKUP($A31,main!$A$3:$I$56,6,FALSE),0)</f>
        <v>0</v>
      </c>
      <c r="BC31">
        <f>IF((gamma!BC31),VLOOKUP(BC$1,main!$A$3:$I$56,5,FALSE)-VLOOKUP($A31,main!$A$3:$I$56,6,FALSE),0)</f>
        <v>0</v>
      </c>
      <c r="BD31">
        <f>IF((gamma!BD31),VLOOKUP(BD$1,main!$A$3:$I$56,5,FALSE)-VLOOKUP($A31,main!$A$3:$I$56,6,FALSE),0)</f>
        <v>55</v>
      </c>
    </row>
    <row r="32" spans="1:56" x14ac:dyDescent="0.25">
      <c r="A32">
        <f t="shared" si="2"/>
        <v>30</v>
      </c>
      <c r="B32">
        <v>0</v>
      </c>
      <c r="C32">
        <f>IF((gamma!C32),VLOOKUP(C$1,main!$A$3:$I$56,5,FALSE)-VLOOKUP($A32,main!$A$3:$I$56,6,FALSE),0)</f>
        <v>0</v>
      </c>
      <c r="D32">
        <f>IF((gamma!D32),VLOOKUP(D$1,main!$A$3:$I$56,5,FALSE)-VLOOKUP($A32,main!$A$3:$I$56,6,FALSE),0)</f>
        <v>0</v>
      </c>
      <c r="E32">
        <f>IF((gamma!E32),VLOOKUP(E$1,main!$A$3:$I$56,5,FALSE)-VLOOKUP($A32,main!$A$3:$I$56,6,FALSE),0)</f>
        <v>0</v>
      </c>
      <c r="F32">
        <f>IF((gamma!F32),VLOOKUP(F$1,main!$A$3:$I$56,5,FALSE)-VLOOKUP($A32,main!$A$3:$I$56,6,FALSE),0)</f>
        <v>0</v>
      </c>
      <c r="G32">
        <f>IF((gamma!G32),VLOOKUP(G$1,main!$A$3:$I$56,5,FALSE)-VLOOKUP($A32,main!$A$3:$I$56,6,FALSE),0)</f>
        <v>0</v>
      </c>
      <c r="H32">
        <f>IF((gamma!H32),VLOOKUP(H$1,main!$A$3:$I$56,5,FALSE)-VLOOKUP($A32,main!$A$3:$I$56,6,FALSE),0)</f>
        <v>0</v>
      </c>
      <c r="I32">
        <f>IF((gamma!I32),VLOOKUP(I$1,main!$A$3:$I$56,5,FALSE)-VLOOKUP($A32,main!$A$3:$I$56,6,FALSE),0)</f>
        <v>0</v>
      </c>
      <c r="J32">
        <f>IF((gamma!J32),VLOOKUP(J$1,main!$A$3:$I$56,5,FALSE)-VLOOKUP($A32,main!$A$3:$I$56,6,FALSE),0)</f>
        <v>60</v>
      </c>
      <c r="K32">
        <f>IF((gamma!K32),VLOOKUP(K$1,main!$A$3:$I$56,5,FALSE)-VLOOKUP($A32,main!$A$3:$I$56,6,FALSE),0)</f>
        <v>0</v>
      </c>
      <c r="L32">
        <f>IF((gamma!L32),VLOOKUP(L$1,main!$A$3:$I$56,5,FALSE)-VLOOKUP($A32,main!$A$3:$I$56,6,FALSE),0)</f>
        <v>0</v>
      </c>
      <c r="M32">
        <f>IF((gamma!M32),VLOOKUP(M$1,main!$A$3:$I$56,5,FALSE)-VLOOKUP($A32,main!$A$3:$I$56,6,FALSE),0)</f>
        <v>0</v>
      </c>
      <c r="N32">
        <f>IF((gamma!N32),VLOOKUP(N$1,main!$A$3:$I$56,5,FALSE)-VLOOKUP($A32,main!$A$3:$I$56,6,FALSE),0)</f>
        <v>0</v>
      </c>
      <c r="O32">
        <f>IF((gamma!O32),VLOOKUP(O$1,main!$A$3:$I$56,5,FALSE)-VLOOKUP($A32,main!$A$3:$I$56,6,FALSE),0)</f>
        <v>85</v>
      </c>
      <c r="P32">
        <f>IF((gamma!P32),VLOOKUP(P$1,main!$A$3:$I$56,5,FALSE)-VLOOKUP($A32,main!$A$3:$I$56,6,FALSE),0)</f>
        <v>0</v>
      </c>
      <c r="Q32">
        <f>IF((gamma!Q32),VLOOKUP(Q$1,main!$A$3:$I$56,5,FALSE)-VLOOKUP($A32,main!$A$3:$I$56,6,FALSE),0)</f>
        <v>0</v>
      </c>
      <c r="R32">
        <f>IF((gamma!R32),VLOOKUP(R$1,main!$A$3:$I$56,5,FALSE)-VLOOKUP($A32,main!$A$3:$I$56,6,FALSE),0)</f>
        <v>0</v>
      </c>
      <c r="S32">
        <f>IF((gamma!S32),VLOOKUP(S$1,main!$A$3:$I$56,5,FALSE)-VLOOKUP($A32,main!$A$3:$I$56,6,FALSE),0)</f>
        <v>0</v>
      </c>
      <c r="T32">
        <f>IF((gamma!T32),VLOOKUP(T$1,main!$A$3:$I$56,5,FALSE)-VLOOKUP($A32,main!$A$3:$I$56,6,FALSE),0)</f>
        <v>0</v>
      </c>
      <c r="U32">
        <f>IF((gamma!U32),VLOOKUP(U$1,main!$A$3:$I$56,5,FALSE)-VLOOKUP($A32,main!$A$3:$I$56,6,FALSE),0)</f>
        <v>0</v>
      </c>
      <c r="V32">
        <f>IF((gamma!V32),VLOOKUP(V$1,main!$A$3:$I$56,5,FALSE)-VLOOKUP($A32,main!$A$3:$I$56,6,FALSE),0)</f>
        <v>0</v>
      </c>
      <c r="W32">
        <f>IF((gamma!W32),VLOOKUP(W$1,main!$A$3:$I$56,5,FALSE)-VLOOKUP($A32,main!$A$3:$I$56,6,FALSE),0)</f>
        <v>0</v>
      </c>
      <c r="X32">
        <f>IF((gamma!X32),VLOOKUP(X$1,main!$A$3:$I$56,5,FALSE)-VLOOKUP($A32,main!$A$3:$I$56,6,FALSE),0)</f>
        <v>0</v>
      </c>
      <c r="Y32">
        <f>IF((gamma!Y32),VLOOKUP(Y$1,main!$A$3:$I$56,5,FALSE)-VLOOKUP($A32,main!$A$3:$I$56,6,FALSE),0)</f>
        <v>0</v>
      </c>
      <c r="Z32">
        <f>IF((gamma!Z32),VLOOKUP(Z$1,main!$A$3:$I$56,5,FALSE)-VLOOKUP($A32,main!$A$3:$I$56,6,FALSE),0)</f>
        <v>0</v>
      </c>
      <c r="AA32">
        <f>IF((gamma!AA32),VLOOKUP(AA$1,main!$A$3:$I$56,5,FALSE)-VLOOKUP($A32,main!$A$3:$I$56,6,FALSE),0)</f>
        <v>0</v>
      </c>
      <c r="AB32">
        <f>IF((gamma!AB32),VLOOKUP(AB$1,main!$A$3:$I$56,5,FALSE)-VLOOKUP($A32,main!$A$3:$I$56,6,FALSE),0)</f>
        <v>0</v>
      </c>
      <c r="AC32">
        <f>IF((gamma!AC32),VLOOKUP(AC$1,main!$A$3:$I$56,5,FALSE)-VLOOKUP($A32,main!$A$3:$I$56,6,FALSE),0)</f>
        <v>0</v>
      </c>
      <c r="AD32">
        <f>IF((gamma!AD32),VLOOKUP(AD$1,main!$A$3:$I$56,5,FALSE)-VLOOKUP($A32,main!$A$3:$I$56,6,FALSE),0)</f>
        <v>0</v>
      </c>
      <c r="AE32">
        <f>IF((gamma!AE32),VLOOKUP(AE$1,main!$A$3:$I$56,5,FALSE)-VLOOKUP($A32,main!$A$3:$I$56,6,FALSE),0)</f>
        <v>0</v>
      </c>
      <c r="AF32">
        <f>IF((gamma!AF32),VLOOKUP(AF$1,main!$A$3:$I$56,5,FALSE)-VLOOKUP($A32,main!$A$3:$I$56,6,FALSE),0)</f>
        <v>0</v>
      </c>
      <c r="AG32">
        <f>IF((gamma!AG32),VLOOKUP(AG$1,main!$A$3:$I$56,5,FALSE)-VLOOKUP($A32,main!$A$3:$I$56,6,FALSE),0)</f>
        <v>0</v>
      </c>
      <c r="AH32">
        <f>IF((gamma!AH32),VLOOKUP(AH$1,main!$A$3:$I$56,5,FALSE)-VLOOKUP($A32,main!$A$3:$I$56,6,FALSE),0)</f>
        <v>0</v>
      </c>
      <c r="AI32">
        <f>IF((gamma!AI32),VLOOKUP(AI$1,main!$A$3:$I$56,5,FALSE)-VLOOKUP($A32,main!$A$3:$I$56,6,FALSE),0)</f>
        <v>0</v>
      </c>
      <c r="AJ32">
        <f>IF((gamma!AJ32),VLOOKUP(AJ$1,main!$A$3:$I$56,5,FALSE)-VLOOKUP($A32,main!$A$3:$I$56,6,FALSE),0)</f>
        <v>0</v>
      </c>
      <c r="AK32">
        <f>IF((gamma!AK32),VLOOKUP(AK$1,main!$A$3:$I$56,5,FALSE)-VLOOKUP($A32,main!$A$3:$I$56,6,FALSE),0)</f>
        <v>0</v>
      </c>
      <c r="AL32">
        <f>IF((gamma!AL32),VLOOKUP(AL$1,main!$A$3:$I$56,5,FALSE)-VLOOKUP($A32,main!$A$3:$I$56,6,FALSE),0)</f>
        <v>0</v>
      </c>
      <c r="AM32">
        <f>IF((gamma!AM32),VLOOKUP(AM$1,main!$A$3:$I$56,5,FALSE)-VLOOKUP($A32,main!$A$3:$I$56,6,FALSE),0)</f>
        <v>0</v>
      </c>
      <c r="AN32">
        <f>IF((gamma!AN32),VLOOKUP(AN$1,main!$A$3:$I$56,5,FALSE)-VLOOKUP($A32,main!$A$3:$I$56,6,FALSE),0)</f>
        <v>0</v>
      </c>
      <c r="AO32">
        <f>IF((gamma!AO32),VLOOKUP(AO$1,main!$A$3:$I$56,5,FALSE)-VLOOKUP($A32,main!$A$3:$I$56,6,FALSE),0)</f>
        <v>0</v>
      </c>
      <c r="AP32">
        <f>IF((gamma!AP32),VLOOKUP(AP$1,main!$A$3:$I$56,5,FALSE)-VLOOKUP($A32,main!$A$3:$I$56,6,FALSE),0)</f>
        <v>0</v>
      </c>
      <c r="AQ32">
        <f>IF((gamma!AQ32),VLOOKUP(AQ$1,main!$A$3:$I$56,5,FALSE)-VLOOKUP($A32,main!$A$3:$I$56,6,FALSE),0)</f>
        <v>0</v>
      </c>
      <c r="AR32">
        <f>IF((gamma!AR32),VLOOKUP(AR$1,main!$A$3:$I$56,5,FALSE)-VLOOKUP($A32,main!$A$3:$I$56,6,FALSE),0)</f>
        <v>0</v>
      </c>
      <c r="AS32">
        <f>IF((gamma!AS32),VLOOKUP(AS$1,main!$A$3:$I$56,5,FALSE)-VLOOKUP($A32,main!$A$3:$I$56,6,FALSE),0)</f>
        <v>0</v>
      </c>
      <c r="AT32">
        <f>IF((gamma!AT32),VLOOKUP(AT$1,main!$A$3:$I$56,5,FALSE)-VLOOKUP($A32,main!$A$3:$I$56,6,FALSE),0)</f>
        <v>0</v>
      </c>
      <c r="AU32">
        <f>IF((gamma!AU32),VLOOKUP(AU$1,main!$A$3:$I$56,5,FALSE)-VLOOKUP($A32,main!$A$3:$I$56,6,FALSE),0)</f>
        <v>0</v>
      </c>
      <c r="AV32">
        <f>IF((gamma!AV32),VLOOKUP(AV$1,main!$A$3:$I$56,5,FALSE)-VLOOKUP($A32,main!$A$3:$I$56,6,FALSE),0)</f>
        <v>0</v>
      </c>
      <c r="AW32">
        <f>IF((gamma!AW32),VLOOKUP(AW$1,main!$A$3:$I$56,5,FALSE)-VLOOKUP($A32,main!$A$3:$I$56,6,FALSE),0)</f>
        <v>0</v>
      </c>
      <c r="AX32">
        <f>IF((gamma!AX32),VLOOKUP(AX$1,main!$A$3:$I$56,5,FALSE)-VLOOKUP($A32,main!$A$3:$I$56,6,FALSE),0)</f>
        <v>0</v>
      </c>
      <c r="AY32">
        <f>IF((gamma!AY32),VLOOKUP(AY$1,main!$A$3:$I$56,5,FALSE)-VLOOKUP($A32,main!$A$3:$I$56,6,FALSE),0)</f>
        <v>70</v>
      </c>
      <c r="AZ32">
        <f>IF((gamma!AZ32),VLOOKUP(AZ$1,main!$A$3:$I$56,5,FALSE)-VLOOKUP($A32,main!$A$3:$I$56,6,FALSE),0)</f>
        <v>0</v>
      </c>
      <c r="BA32">
        <f>IF((gamma!BA32),VLOOKUP(BA$1,main!$A$3:$I$56,5,FALSE)-VLOOKUP($A32,main!$A$3:$I$56,6,FALSE),0)</f>
        <v>0</v>
      </c>
      <c r="BB32">
        <f>IF((gamma!BB32),VLOOKUP(BB$1,main!$A$3:$I$56,5,FALSE)-VLOOKUP($A32,main!$A$3:$I$56,6,FALSE),0)</f>
        <v>0</v>
      </c>
      <c r="BC32">
        <f>IF((gamma!BC32),VLOOKUP(BC$1,main!$A$3:$I$56,5,FALSE)-VLOOKUP($A32,main!$A$3:$I$56,6,FALSE),0)</f>
        <v>0</v>
      </c>
      <c r="BD32">
        <f>IF((gamma!BD32),VLOOKUP(BD$1,main!$A$3:$I$56,5,FALSE)-VLOOKUP($A32,main!$A$3:$I$56,6,FALSE),0)</f>
        <v>0</v>
      </c>
    </row>
    <row r="33" spans="1:56" x14ac:dyDescent="0.25">
      <c r="A33">
        <f t="shared" si="2"/>
        <v>31</v>
      </c>
      <c r="B33">
        <v>0</v>
      </c>
      <c r="C33">
        <f>IF((gamma!C33),VLOOKUP(C$1,main!$A$3:$I$56,5,FALSE)-VLOOKUP($A33,main!$A$3:$I$56,6,FALSE),0)</f>
        <v>0</v>
      </c>
      <c r="D33">
        <f>IF((gamma!D33),VLOOKUP(D$1,main!$A$3:$I$56,5,FALSE)-VLOOKUP($A33,main!$A$3:$I$56,6,FALSE),0)</f>
        <v>30</v>
      </c>
      <c r="E33">
        <f>IF((gamma!E33),VLOOKUP(E$1,main!$A$3:$I$56,5,FALSE)-VLOOKUP($A33,main!$A$3:$I$56,6,FALSE),0)</f>
        <v>120</v>
      </c>
      <c r="F33">
        <f>IF((gamma!F33),VLOOKUP(F$1,main!$A$3:$I$56,5,FALSE)-VLOOKUP($A33,main!$A$3:$I$56,6,FALSE),0)</f>
        <v>210</v>
      </c>
      <c r="G33">
        <f>IF((gamma!G33),VLOOKUP(G$1,main!$A$3:$I$56,5,FALSE)-VLOOKUP($A33,main!$A$3:$I$56,6,FALSE),0)</f>
        <v>270</v>
      </c>
      <c r="H33">
        <f>IF((gamma!H33),VLOOKUP(H$1,main!$A$3:$I$56,5,FALSE)-VLOOKUP($A33,main!$A$3:$I$56,6,FALSE),0)</f>
        <v>330</v>
      </c>
      <c r="I33">
        <f>IF((gamma!I33),VLOOKUP(I$1,main!$A$3:$I$56,5,FALSE)-VLOOKUP($A33,main!$A$3:$I$56,6,FALSE),0)</f>
        <v>390</v>
      </c>
      <c r="J33">
        <f>IF((gamma!J33),VLOOKUP(J$1,main!$A$3:$I$56,5,FALSE)-VLOOKUP($A33,main!$A$3:$I$56,6,FALSE),0)</f>
        <v>480</v>
      </c>
      <c r="K33">
        <f>IF((gamma!K33),VLOOKUP(K$1,main!$A$3:$I$56,5,FALSE)-VLOOKUP($A33,main!$A$3:$I$56,6,FALSE),0)</f>
        <v>0</v>
      </c>
      <c r="L33">
        <f>IF((gamma!L33),VLOOKUP(L$1,main!$A$3:$I$56,5,FALSE)-VLOOKUP($A33,main!$A$3:$I$56,6,FALSE),0)</f>
        <v>0</v>
      </c>
      <c r="M33">
        <f>IF((gamma!M33),VLOOKUP(M$1,main!$A$3:$I$56,5,FALSE)-VLOOKUP($A33,main!$A$3:$I$56,6,FALSE),0)</f>
        <v>85</v>
      </c>
      <c r="N33">
        <f>IF((gamma!N33),VLOOKUP(N$1,main!$A$3:$I$56,5,FALSE)-VLOOKUP($A33,main!$A$3:$I$56,6,FALSE),0)</f>
        <v>445</v>
      </c>
      <c r="O33">
        <f>IF((gamma!O33),VLOOKUP(O$1,main!$A$3:$I$56,5,FALSE)-VLOOKUP($A33,main!$A$3:$I$56,6,FALSE),0)</f>
        <v>505</v>
      </c>
      <c r="P33">
        <f>IF((gamma!P33),VLOOKUP(P$1,main!$A$3:$I$56,5,FALSE)-VLOOKUP($A33,main!$A$3:$I$56,6,FALSE),0)</f>
        <v>0</v>
      </c>
      <c r="Q33">
        <f>IF((gamma!Q33),VLOOKUP(Q$1,main!$A$3:$I$56,5,FALSE)-VLOOKUP($A33,main!$A$3:$I$56,6,FALSE),0)</f>
        <v>0</v>
      </c>
      <c r="R33">
        <f>IF((gamma!R33),VLOOKUP(R$1,main!$A$3:$I$56,5,FALSE)-VLOOKUP($A33,main!$A$3:$I$56,6,FALSE),0)</f>
        <v>80</v>
      </c>
      <c r="S33">
        <f>IF((gamma!S33),VLOOKUP(S$1,main!$A$3:$I$56,5,FALSE)-VLOOKUP($A33,main!$A$3:$I$56,6,FALSE),0)</f>
        <v>260</v>
      </c>
      <c r="T33">
        <f>IF((gamma!T33),VLOOKUP(T$1,main!$A$3:$I$56,5,FALSE)-VLOOKUP($A33,main!$A$3:$I$56,6,FALSE),0)</f>
        <v>410</v>
      </c>
      <c r="U33">
        <f>IF((gamma!U33),VLOOKUP(U$1,main!$A$3:$I$56,5,FALSE)-VLOOKUP($A33,main!$A$3:$I$56,6,FALSE),0)</f>
        <v>0</v>
      </c>
      <c r="V33">
        <f>IF((gamma!V33),VLOOKUP(V$1,main!$A$3:$I$56,5,FALSE)-VLOOKUP($A33,main!$A$3:$I$56,6,FALSE),0)</f>
        <v>0</v>
      </c>
      <c r="W33">
        <f>IF((gamma!W33),VLOOKUP(W$1,main!$A$3:$I$56,5,FALSE)-VLOOKUP($A33,main!$A$3:$I$56,6,FALSE),0)</f>
        <v>0</v>
      </c>
      <c r="X33">
        <f>IF((gamma!X33),VLOOKUP(X$1,main!$A$3:$I$56,5,FALSE)-VLOOKUP($A33,main!$A$3:$I$56,6,FALSE),0)</f>
        <v>100</v>
      </c>
      <c r="Y33">
        <f>IF((gamma!Y33),VLOOKUP(Y$1,main!$A$3:$I$56,5,FALSE)-VLOOKUP($A33,main!$A$3:$I$56,6,FALSE),0)</f>
        <v>190</v>
      </c>
      <c r="Z33">
        <f>IF((gamma!Z33),VLOOKUP(Z$1,main!$A$3:$I$56,5,FALSE)-VLOOKUP($A33,main!$A$3:$I$56,6,FALSE),0)</f>
        <v>280</v>
      </c>
      <c r="AA33">
        <f>IF((gamma!AA33),VLOOKUP(AA$1,main!$A$3:$I$56,5,FALSE)-VLOOKUP($A33,main!$A$3:$I$56,6,FALSE),0)</f>
        <v>370</v>
      </c>
      <c r="AB33">
        <f>IF((gamma!AB33),VLOOKUP(AB$1,main!$A$3:$I$56,5,FALSE)-VLOOKUP($A33,main!$A$3:$I$56,6,FALSE),0)</f>
        <v>430</v>
      </c>
      <c r="AC33">
        <f>IF((gamma!AC33),VLOOKUP(AC$1,main!$A$3:$I$56,5,FALSE)-VLOOKUP($A33,main!$A$3:$I$56,6,FALSE),0)</f>
        <v>0</v>
      </c>
      <c r="AD33">
        <f>IF((gamma!AD33),VLOOKUP(AD$1,main!$A$3:$I$56,5,FALSE)-VLOOKUP($A33,main!$A$3:$I$56,6,FALSE),0)</f>
        <v>0</v>
      </c>
      <c r="AE33">
        <f>IF((gamma!AE33),VLOOKUP(AE$1,main!$A$3:$I$56,5,FALSE)-VLOOKUP($A33,main!$A$3:$I$56,6,FALSE),0)</f>
        <v>90</v>
      </c>
      <c r="AF33">
        <f>IF((gamma!AF33),VLOOKUP(AF$1,main!$A$3:$I$56,5,FALSE)-VLOOKUP($A33,main!$A$3:$I$56,6,FALSE),0)</f>
        <v>240</v>
      </c>
      <c r="AG33">
        <f>IF((gamma!AG33),VLOOKUP(AG$1,main!$A$3:$I$56,5,FALSE)-VLOOKUP($A33,main!$A$3:$I$56,6,FALSE),0)</f>
        <v>0</v>
      </c>
      <c r="AH33">
        <f>IF((gamma!AH33),VLOOKUP(AH$1,main!$A$3:$I$56,5,FALSE)-VLOOKUP($A33,main!$A$3:$I$56,6,FALSE),0)</f>
        <v>0</v>
      </c>
      <c r="AI33">
        <f>IF((gamma!AI33),VLOOKUP(AI$1,main!$A$3:$I$56,5,FALSE)-VLOOKUP($A33,main!$A$3:$I$56,6,FALSE),0)</f>
        <v>150</v>
      </c>
      <c r="AJ33">
        <f>IF((gamma!AJ33),VLOOKUP(AJ$1,main!$A$3:$I$56,5,FALSE)-VLOOKUP($A33,main!$A$3:$I$56,6,FALSE),0)</f>
        <v>210</v>
      </c>
      <c r="AK33">
        <f>IF((gamma!AK33),VLOOKUP(AK$1,main!$A$3:$I$56,5,FALSE)-VLOOKUP($A33,main!$A$3:$I$56,6,FALSE),0)</f>
        <v>330</v>
      </c>
      <c r="AL33">
        <f>IF((gamma!AL33),VLOOKUP(AL$1,main!$A$3:$I$56,5,FALSE)-VLOOKUP($A33,main!$A$3:$I$56,6,FALSE),0)</f>
        <v>0</v>
      </c>
      <c r="AM33">
        <f>IF((gamma!AM33),VLOOKUP(AM$1,main!$A$3:$I$56,5,FALSE)-VLOOKUP($A33,main!$A$3:$I$56,6,FALSE),0)</f>
        <v>0</v>
      </c>
      <c r="AN33">
        <f>IF((gamma!AN33),VLOOKUP(AN$1,main!$A$3:$I$56,5,FALSE)-VLOOKUP($A33,main!$A$3:$I$56,6,FALSE),0)</f>
        <v>190</v>
      </c>
      <c r="AO33">
        <f>IF((gamma!AO33),VLOOKUP(AO$1,main!$A$3:$I$56,5,FALSE)-VLOOKUP($A33,main!$A$3:$I$56,6,FALSE),0)</f>
        <v>240</v>
      </c>
      <c r="AP33">
        <f>IF((gamma!AP33),VLOOKUP(AP$1,main!$A$3:$I$56,5,FALSE)-VLOOKUP($A33,main!$A$3:$I$56,6,FALSE),0)</f>
        <v>0</v>
      </c>
      <c r="AQ33">
        <f>IF((gamma!AQ33),VLOOKUP(AQ$1,main!$A$3:$I$56,5,FALSE)-VLOOKUP($A33,main!$A$3:$I$56,6,FALSE),0)</f>
        <v>0</v>
      </c>
      <c r="AR33">
        <f>IF((gamma!AR33),VLOOKUP(AR$1,main!$A$3:$I$56,5,FALSE)-VLOOKUP($A33,main!$A$3:$I$56,6,FALSE),0)</f>
        <v>0</v>
      </c>
      <c r="AS33">
        <f>IF((gamma!AS33),VLOOKUP(AS$1,main!$A$3:$I$56,5,FALSE)-VLOOKUP($A33,main!$A$3:$I$56,6,FALSE),0)</f>
        <v>55</v>
      </c>
      <c r="AT33">
        <f>IF((gamma!AT33),VLOOKUP(AT$1,main!$A$3:$I$56,5,FALSE)-VLOOKUP($A33,main!$A$3:$I$56,6,FALSE),0)</f>
        <v>140</v>
      </c>
      <c r="AU33">
        <f>IF((gamma!AU33),VLOOKUP(AU$1,main!$A$3:$I$56,5,FALSE)-VLOOKUP($A33,main!$A$3:$I$56,6,FALSE),0)</f>
        <v>0</v>
      </c>
      <c r="AV33">
        <f>IF((gamma!AV33),VLOOKUP(AV$1,main!$A$3:$I$56,5,FALSE)-VLOOKUP($A33,main!$A$3:$I$56,6,FALSE),0)</f>
        <v>0</v>
      </c>
      <c r="AW33">
        <f>IF((gamma!AW33),VLOOKUP(AW$1,main!$A$3:$I$56,5,FALSE)-VLOOKUP($A33,main!$A$3:$I$56,6,FALSE),0)</f>
        <v>90</v>
      </c>
      <c r="AX33">
        <f>IF((gamma!AX33),VLOOKUP(AX$1,main!$A$3:$I$56,5,FALSE)-VLOOKUP($A33,main!$A$3:$I$56,6,FALSE),0)</f>
        <v>290</v>
      </c>
      <c r="AY33">
        <f>IF((gamma!AY33),VLOOKUP(AY$1,main!$A$3:$I$56,5,FALSE)-VLOOKUP($A33,main!$A$3:$I$56,6,FALSE),0)</f>
        <v>490</v>
      </c>
      <c r="AZ33">
        <f>IF((gamma!AZ33),VLOOKUP(AZ$1,main!$A$3:$I$56,5,FALSE)-VLOOKUP($A33,main!$A$3:$I$56,6,FALSE),0)</f>
        <v>0</v>
      </c>
      <c r="BA33">
        <f>IF((gamma!BA33),VLOOKUP(BA$1,main!$A$3:$I$56,5,FALSE)-VLOOKUP($A33,main!$A$3:$I$56,6,FALSE),0)</f>
        <v>55</v>
      </c>
      <c r="BB33">
        <f>IF((gamma!BB33),VLOOKUP(BB$1,main!$A$3:$I$56,5,FALSE)-VLOOKUP($A33,main!$A$3:$I$56,6,FALSE),0)</f>
        <v>70</v>
      </c>
      <c r="BC33">
        <f>IF((gamma!BC33),VLOOKUP(BC$1,main!$A$3:$I$56,5,FALSE)-VLOOKUP($A33,main!$A$3:$I$56,6,FALSE),0)</f>
        <v>255</v>
      </c>
      <c r="BD33">
        <f>IF((gamma!BD33),VLOOKUP(BD$1,main!$A$3:$I$56,5,FALSE)-VLOOKUP($A33,main!$A$3:$I$56,6,FALSE),0)</f>
        <v>265</v>
      </c>
    </row>
    <row r="34" spans="1:56" x14ac:dyDescent="0.25">
      <c r="A34">
        <f t="shared" si="2"/>
        <v>32</v>
      </c>
      <c r="B34">
        <v>0</v>
      </c>
      <c r="C34">
        <f>IF((gamma!C34),VLOOKUP(C$1,main!$A$3:$I$56,5,FALSE)-VLOOKUP($A34,main!$A$3:$I$56,6,FALSE),0)</f>
        <v>0</v>
      </c>
      <c r="D34">
        <f>IF((gamma!D34),VLOOKUP(D$1,main!$A$3:$I$56,5,FALSE)-VLOOKUP($A34,main!$A$3:$I$56,6,FALSE),0)</f>
        <v>0</v>
      </c>
      <c r="E34">
        <f>IF((gamma!E34),VLOOKUP(E$1,main!$A$3:$I$56,5,FALSE)-VLOOKUP($A34,main!$A$3:$I$56,6,FALSE),0)</f>
        <v>0</v>
      </c>
      <c r="F34">
        <f>IF((gamma!F34),VLOOKUP(F$1,main!$A$3:$I$56,5,FALSE)-VLOOKUP($A34,main!$A$3:$I$56,6,FALSE),0)</f>
        <v>40</v>
      </c>
      <c r="G34">
        <f>IF((gamma!G34),VLOOKUP(G$1,main!$A$3:$I$56,5,FALSE)-VLOOKUP($A34,main!$A$3:$I$56,6,FALSE),0)</f>
        <v>100</v>
      </c>
      <c r="H34">
        <f>IF((gamma!H34),VLOOKUP(H$1,main!$A$3:$I$56,5,FALSE)-VLOOKUP($A34,main!$A$3:$I$56,6,FALSE),0)</f>
        <v>160</v>
      </c>
      <c r="I34">
        <f>IF((gamma!I34),VLOOKUP(I$1,main!$A$3:$I$56,5,FALSE)-VLOOKUP($A34,main!$A$3:$I$56,6,FALSE),0)</f>
        <v>220</v>
      </c>
      <c r="J34">
        <f>IF((gamma!J34),VLOOKUP(J$1,main!$A$3:$I$56,5,FALSE)-VLOOKUP($A34,main!$A$3:$I$56,6,FALSE),0)</f>
        <v>310</v>
      </c>
      <c r="K34">
        <f>IF((gamma!K34),VLOOKUP(K$1,main!$A$3:$I$56,5,FALSE)-VLOOKUP($A34,main!$A$3:$I$56,6,FALSE),0)</f>
        <v>0</v>
      </c>
      <c r="L34">
        <f>IF((gamma!L34),VLOOKUP(L$1,main!$A$3:$I$56,5,FALSE)-VLOOKUP($A34,main!$A$3:$I$56,6,FALSE),0)</f>
        <v>0</v>
      </c>
      <c r="M34">
        <f>IF((gamma!M34),VLOOKUP(M$1,main!$A$3:$I$56,5,FALSE)-VLOOKUP($A34,main!$A$3:$I$56,6,FALSE),0)</f>
        <v>0</v>
      </c>
      <c r="N34">
        <f>IF((gamma!N34),VLOOKUP(N$1,main!$A$3:$I$56,5,FALSE)-VLOOKUP($A34,main!$A$3:$I$56,6,FALSE),0)</f>
        <v>275</v>
      </c>
      <c r="O34">
        <f>IF((gamma!O34),VLOOKUP(O$1,main!$A$3:$I$56,5,FALSE)-VLOOKUP($A34,main!$A$3:$I$56,6,FALSE),0)</f>
        <v>335</v>
      </c>
      <c r="P34">
        <f>IF((gamma!P34),VLOOKUP(P$1,main!$A$3:$I$56,5,FALSE)-VLOOKUP($A34,main!$A$3:$I$56,6,FALSE),0)</f>
        <v>0</v>
      </c>
      <c r="Q34">
        <f>IF((gamma!Q34),VLOOKUP(Q$1,main!$A$3:$I$56,5,FALSE)-VLOOKUP($A34,main!$A$3:$I$56,6,FALSE),0)</f>
        <v>0</v>
      </c>
      <c r="R34">
        <f>IF((gamma!R34),VLOOKUP(R$1,main!$A$3:$I$56,5,FALSE)-VLOOKUP($A34,main!$A$3:$I$56,6,FALSE),0)</f>
        <v>0</v>
      </c>
      <c r="S34">
        <f>IF((gamma!S34),VLOOKUP(S$1,main!$A$3:$I$56,5,FALSE)-VLOOKUP($A34,main!$A$3:$I$56,6,FALSE),0)</f>
        <v>90</v>
      </c>
      <c r="T34">
        <f>IF((gamma!T34),VLOOKUP(T$1,main!$A$3:$I$56,5,FALSE)-VLOOKUP($A34,main!$A$3:$I$56,6,FALSE),0)</f>
        <v>240</v>
      </c>
      <c r="U34">
        <f>IF((gamma!U34),VLOOKUP(U$1,main!$A$3:$I$56,5,FALSE)-VLOOKUP($A34,main!$A$3:$I$56,6,FALSE),0)</f>
        <v>0</v>
      </c>
      <c r="V34">
        <f>IF((gamma!V34),VLOOKUP(V$1,main!$A$3:$I$56,5,FALSE)-VLOOKUP($A34,main!$A$3:$I$56,6,FALSE),0)</f>
        <v>0</v>
      </c>
      <c r="W34">
        <f>IF((gamma!W34),VLOOKUP(W$1,main!$A$3:$I$56,5,FALSE)-VLOOKUP($A34,main!$A$3:$I$56,6,FALSE),0)</f>
        <v>0</v>
      </c>
      <c r="X34">
        <f>IF((gamma!X34),VLOOKUP(X$1,main!$A$3:$I$56,5,FALSE)-VLOOKUP($A34,main!$A$3:$I$56,6,FALSE),0)</f>
        <v>0</v>
      </c>
      <c r="Y34">
        <f>IF((gamma!Y34),VLOOKUP(Y$1,main!$A$3:$I$56,5,FALSE)-VLOOKUP($A34,main!$A$3:$I$56,6,FALSE),0)</f>
        <v>0</v>
      </c>
      <c r="Z34">
        <f>IF((gamma!Z34),VLOOKUP(Z$1,main!$A$3:$I$56,5,FALSE)-VLOOKUP($A34,main!$A$3:$I$56,6,FALSE),0)</f>
        <v>110</v>
      </c>
      <c r="AA34">
        <f>IF((gamma!AA34),VLOOKUP(AA$1,main!$A$3:$I$56,5,FALSE)-VLOOKUP($A34,main!$A$3:$I$56,6,FALSE),0)</f>
        <v>200</v>
      </c>
      <c r="AB34">
        <f>IF((gamma!AB34),VLOOKUP(AB$1,main!$A$3:$I$56,5,FALSE)-VLOOKUP($A34,main!$A$3:$I$56,6,FALSE),0)</f>
        <v>260</v>
      </c>
      <c r="AC34">
        <f>IF((gamma!AC34),VLOOKUP(AC$1,main!$A$3:$I$56,5,FALSE)-VLOOKUP($A34,main!$A$3:$I$56,6,FALSE),0)</f>
        <v>0</v>
      </c>
      <c r="AD34">
        <f>IF((gamma!AD34),VLOOKUP(AD$1,main!$A$3:$I$56,5,FALSE)-VLOOKUP($A34,main!$A$3:$I$56,6,FALSE),0)</f>
        <v>0</v>
      </c>
      <c r="AE34">
        <f>IF((gamma!AE34),VLOOKUP(AE$1,main!$A$3:$I$56,5,FALSE)-VLOOKUP($A34,main!$A$3:$I$56,6,FALSE),0)</f>
        <v>0</v>
      </c>
      <c r="AF34">
        <f>IF((gamma!AF34),VLOOKUP(AF$1,main!$A$3:$I$56,5,FALSE)-VLOOKUP($A34,main!$A$3:$I$56,6,FALSE),0)</f>
        <v>70</v>
      </c>
      <c r="AG34">
        <f>IF((gamma!AG34),VLOOKUP(AG$1,main!$A$3:$I$56,5,FALSE)-VLOOKUP($A34,main!$A$3:$I$56,6,FALSE),0)</f>
        <v>0</v>
      </c>
      <c r="AH34">
        <f>IF((gamma!AH34),VLOOKUP(AH$1,main!$A$3:$I$56,5,FALSE)-VLOOKUP($A34,main!$A$3:$I$56,6,FALSE),0)</f>
        <v>0</v>
      </c>
      <c r="AI34">
        <f>IF((gamma!AI34),VLOOKUP(AI$1,main!$A$3:$I$56,5,FALSE)-VLOOKUP($A34,main!$A$3:$I$56,6,FALSE),0)</f>
        <v>0</v>
      </c>
      <c r="AJ34">
        <f>IF((gamma!AJ34),VLOOKUP(AJ$1,main!$A$3:$I$56,5,FALSE)-VLOOKUP($A34,main!$A$3:$I$56,6,FALSE),0)</f>
        <v>0</v>
      </c>
      <c r="AK34">
        <f>IF((gamma!AK34),VLOOKUP(AK$1,main!$A$3:$I$56,5,FALSE)-VLOOKUP($A34,main!$A$3:$I$56,6,FALSE),0)</f>
        <v>160</v>
      </c>
      <c r="AL34">
        <f>IF((gamma!AL34),VLOOKUP(AL$1,main!$A$3:$I$56,5,FALSE)-VLOOKUP($A34,main!$A$3:$I$56,6,FALSE),0)</f>
        <v>0</v>
      </c>
      <c r="AM34">
        <f>IF((gamma!AM34),VLOOKUP(AM$1,main!$A$3:$I$56,5,FALSE)-VLOOKUP($A34,main!$A$3:$I$56,6,FALSE),0)</f>
        <v>0</v>
      </c>
      <c r="AN34">
        <f>IF((gamma!AN34),VLOOKUP(AN$1,main!$A$3:$I$56,5,FALSE)-VLOOKUP($A34,main!$A$3:$I$56,6,FALSE),0)</f>
        <v>0</v>
      </c>
      <c r="AO34">
        <f>IF((gamma!AO34),VLOOKUP(AO$1,main!$A$3:$I$56,5,FALSE)-VLOOKUP($A34,main!$A$3:$I$56,6,FALSE),0)</f>
        <v>70</v>
      </c>
      <c r="AP34">
        <f>IF((gamma!AP34),VLOOKUP(AP$1,main!$A$3:$I$56,5,FALSE)-VLOOKUP($A34,main!$A$3:$I$56,6,FALSE),0)</f>
        <v>0</v>
      </c>
      <c r="AQ34">
        <f>IF((gamma!AQ34),VLOOKUP(AQ$1,main!$A$3:$I$56,5,FALSE)-VLOOKUP($A34,main!$A$3:$I$56,6,FALSE),0)</f>
        <v>0</v>
      </c>
      <c r="AR34">
        <f>IF((gamma!AR34),VLOOKUP(AR$1,main!$A$3:$I$56,5,FALSE)-VLOOKUP($A34,main!$A$3:$I$56,6,FALSE),0)</f>
        <v>0</v>
      </c>
      <c r="AS34">
        <f>IF((gamma!AS34),VLOOKUP(AS$1,main!$A$3:$I$56,5,FALSE)-VLOOKUP($A34,main!$A$3:$I$56,6,FALSE),0)</f>
        <v>0</v>
      </c>
      <c r="AT34">
        <f>IF((gamma!AT34),VLOOKUP(AT$1,main!$A$3:$I$56,5,FALSE)-VLOOKUP($A34,main!$A$3:$I$56,6,FALSE),0)</f>
        <v>0</v>
      </c>
      <c r="AU34">
        <f>IF((gamma!AU34),VLOOKUP(AU$1,main!$A$3:$I$56,5,FALSE)-VLOOKUP($A34,main!$A$3:$I$56,6,FALSE),0)</f>
        <v>0</v>
      </c>
      <c r="AV34">
        <f>IF((gamma!AV34),VLOOKUP(AV$1,main!$A$3:$I$56,5,FALSE)-VLOOKUP($A34,main!$A$3:$I$56,6,FALSE),0)</f>
        <v>0</v>
      </c>
      <c r="AW34">
        <f>IF((gamma!AW34),VLOOKUP(AW$1,main!$A$3:$I$56,5,FALSE)-VLOOKUP($A34,main!$A$3:$I$56,6,FALSE),0)</f>
        <v>0</v>
      </c>
      <c r="AX34">
        <f>IF((gamma!AX34),VLOOKUP(AX$1,main!$A$3:$I$56,5,FALSE)-VLOOKUP($A34,main!$A$3:$I$56,6,FALSE),0)</f>
        <v>120</v>
      </c>
      <c r="AY34">
        <f>IF((gamma!AY34),VLOOKUP(AY$1,main!$A$3:$I$56,5,FALSE)-VLOOKUP($A34,main!$A$3:$I$56,6,FALSE),0)</f>
        <v>320</v>
      </c>
      <c r="AZ34">
        <f>IF((gamma!AZ34),VLOOKUP(AZ$1,main!$A$3:$I$56,5,FALSE)-VLOOKUP($A34,main!$A$3:$I$56,6,FALSE),0)</f>
        <v>0</v>
      </c>
      <c r="BA34">
        <f>IF((gamma!BA34),VLOOKUP(BA$1,main!$A$3:$I$56,5,FALSE)-VLOOKUP($A34,main!$A$3:$I$56,6,FALSE),0)</f>
        <v>0</v>
      </c>
      <c r="BB34">
        <f>IF((gamma!BB34),VLOOKUP(BB$1,main!$A$3:$I$56,5,FALSE)-VLOOKUP($A34,main!$A$3:$I$56,6,FALSE),0)</f>
        <v>0</v>
      </c>
      <c r="BC34">
        <f>IF((gamma!BC34),VLOOKUP(BC$1,main!$A$3:$I$56,5,FALSE)-VLOOKUP($A34,main!$A$3:$I$56,6,FALSE),0)</f>
        <v>85</v>
      </c>
      <c r="BD34">
        <f>IF((gamma!BD34),VLOOKUP(BD$1,main!$A$3:$I$56,5,FALSE)-VLOOKUP($A34,main!$A$3:$I$56,6,FALSE),0)</f>
        <v>95</v>
      </c>
    </row>
    <row r="35" spans="1:56" x14ac:dyDescent="0.25">
      <c r="A35">
        <f t="shared" si="2"/>
        <v>33</v>
      </c>
      <c r="B35">
        <v>0</v>
      </c>
      <c r="C35">
        <f>IF((gamma!C35),VLOOKUP(C$1,main!$A$3:$I$56,5,FALSE)-VLOOKUP($A35,main!$A$3:$I$56,6,FALSE),0)</f>
        <v>0</v>
      </c>
      <c r="D35">
        <f>IF((gamma!D35),VLOOKUP(D$1,main!$A$3:$I$56,5,FALSE)-VLOOKUP($A35,main!$A$3:$I$56,6,FALSE),0)</f>
        <v>0</v>
      </c>
      <c r="E35">
        <f>IF((gamma!E35),VLOOKUP(E$1,main!$A$3:$I$56,5,FALSE)-VLOOKUP($A35,main!$A$3:$I$56,6,FALSE),0)</f>
        <v>0</v>
      </c>
      <c r="F35">
        <f>IF((gamma!F35),VLOOKUP(F$1,main!$A$3:$I$56,5,FALSE)-VLOOKUP($A35,main!$A$3:$I$56,6,FALSE),0)</f>
        <v>0</v>
      </c>
      <c r="G35">
        <f>IF((gamma!G35),VLOOKUP(G$1,main!$A$3:$I$56,5,FALSE)-VLOOKUP($A35,main!$A$3:$I$56,6,FALSE),0)</f>
        <v>0</v>
      </c>
      <c r="H35">
        <f>IF((gamma!H35),VLOOKUP(H$1,main!$A$3:$I$56,5,FALSE)-VLOOKUP($A35,main!$A$3:$I$56,6,FALSE),0)</f>
        <v>40</v>
      </c>
      <c r="I35">
        <f>IF((gamma!I35),VLOOKUP(I$1,main!$A$3:$I$56,5,FALSE)-VLOOKUP($A35,main!$A$3:$I$56,6,FALSE),0)</f>
        <v>100</v>
      </c>
      <c r="J35">
        <f>IF((gamma!J35),VLOOKUP(J$1,main!$A$3:$I$56,5,FALSE)-VLOOKUP($A35,main!$A$3:$I$56,6,FALSE),0)</f>
        <v>190</v>
      </c>
      <c r="K35">
        <f>IF((gamma!K35),VLOOKUP(K$1,main!$A$3:$I$56,5,FALSE)-VLOOKUP($A35,main!$A$3:$I$56,6,FALSE),0)</f>
        <v>0</v>
      </c>
      <c r="L35">
        <f>IF((gamma!L35),VLOOKUP(L$1,main!$A$3:$I$56,5,FALSE)-VLOOKUP($A35,main!$A$3:$I$56,6,FALSE),0)</f>
        <v>0</v>
      </c>
      <c r="M35">
        <f>IF((gamma!M35),VLOOKUP(M$1,main!$A$3:$I$56,5,FALSE)-VLOOKUP($A35,main!$A$3:$I$56,6,FALSE),0)</f>
        <v>0</v>
      </c>
      <c r="N35">
        <f>IF((gamma!N35),VLOOKUP(N$1,main!$A$3:$I$56,5,FALSE)-VLOOKUP($A35,main!$A$3:$I$56,6,FALSE),0)</f>
        <v>155</v>
      </c>
      <c r="O35">
        <f>IF((gamma!O35),VLOOKUP(O$1,main!$A$3:$I$56,5,FALSE)-VLOOKUP($A35,main!$A$3:$I$56,6,FALSE),0)</f>
        <v>215</v>
      </c>
      <c r="P35">
        <f>IF((gamma!P35),VLOOKUP(P$1,main!$A$3:$I$56,5,FALSE)-VLOOKUP($A35,main!$A$3:$I$56,6,FALSE),0)</f>
        <v>0</v>
      </c>
      <c r="Q35">
        <f>IF((gamma!Q35),VLOOKUP(Q$1,main!$A$3:$I$56,5,FALSE)-VLOOKUP($A35,main!$A$3:$I$56,6,FALSE),0)</f>
        <v>0</v>
      </c>
      <c r="R35">
        <f>IF((gamma!R35),VLOOKUP(R$1,main!$A$3:$I$56,5,FALSE)-VLOOKUP($A35,main!$A$3:$I$56,6,FALSE),0)</f>
        <v>0</v>
      </c>
      <c r="S35">
        <f>IF((gamma!S35),VLOOKUP(S$1,main!$A$3:$I$56,5,FALSE)-VLOOKUP($A35,main!$A$3:$I$56,6,FALSE),0)</f>
        <v>0</v>
      </c>
      <c r="T35">
        <f>IF((gamma!T35),VLOOKUP(T$1,main!$A$3:$I$56,5,FALSE)-VLOOKUP($A35,main!$A$3:$I$56,6,FALSE),0)</f>
        <v>120</v>
      </c>
      <c r="U35">
        <f>IF((gamma!U35),VLOOKUP(U$1,main!$A$3:$I$56,5,FALSE)-VLOOKUP($A35,main!$A$3:$I$56,6,FALSE),0)</f>
        <v>0</v>
      </c>
      <c r="V35">
        <f>IF((gamma!V35),VLOOKUP(V$1,main!$A$3:$I$56,5,FALSE)-VLOOKUP($A35,main!$A$3:$I$56,6,FALSE),0)</f>
        <v>0</v>
      </c>
      <c r="W35">
        <f>IF((gamma!W35),VLOOKUP(W$1,main!$A$3:$I$56,5,FALSE)-VLOOKUP($A35,main!$A$3:$I$56,6,FALSE),0)</f>
        <v>0</v>
      </c>
      <c r="X35">
        <f>IF((gamma!X35),VLOOKUP(X$1,main!$A$3:$I$56,5,FALSE)-VLOOKUP($A35,main!$A$3:$I$56,6,FALSE),0)</f>
        <v>0</v>
      </c>
      <c r="Y35">
        <f>IF((gamma!Y35),VLOOKUP(Y$1,main!$A$3:$I$56,5,FALSE)-VLOOKUP($A35,main!$A$3:$I$56,6,FALSE),0)</f>
        <v>0</v>
      </c>
      <c r="Z35">
        <f>IF((gamma!Z35),VLOOKUP(Z$1,main!$A$3:$I$56,5,FALSE)-VLOOKUP($A35,main!$A$3:$I$56,6,FALSE),0)</f>
        <v>0</v>
      </c>
      <c r="AA35">
        <f>IF((gamma!AA35),VLOOKUP(AA$1,main!$A$3:$I$56,5,FALSE)-VLOOKUP($A35,main!$A$3:$I$56,6,FALSE),0)</f>
        <v>80</v>
      </c>
      <c r="AB35">
        <f>IF((gamma!AB35),VLOOKUP(AB$1,main!$A$3:$I$56,5,FALSE)-VLOOKUP($A35,main!$A$3:$I$56,6,FALSE),0)</f>
        <v>140</v>
      </c>
      <c r="AC35">
        <f>IF((gamma!AC35),VLOOKUP(AC$1,main!$A$3:$I$56,5,FALSE)-VLOOKUP($A35,main!$A$3:$I$56,6,FALSE),0)</f>
        <v>0</v>
      </c>
      <c r="AD35">
        <f>IF((gamma!AD35),VLOOKUP(AD$1,main!$A$3:$I$56,5,FALSE)-VLOOKUP($A35,main!$A$3:$I$56,6,FALSE),0)</f>
        <v>0</v>
      </c>
      <c r="AE35">
        <f>IF((gamma!AE35),VLOOKUP(AE$1,main!$A$3:$I$56,5,FALSE)-VLOOKUP($A35,main!$A$3:$I$56,6,FALSE),0)</f>
        <v>0</v>
      </c>
      <c r="AF35">
        <f>IF((gamma!AF35),VLOOKUP(AF$1,main!$A$3:$I$56,5,FALSE)-VLOOKUP($A35,main!$A$3:$I$56,6,FALSE),0)</f>
        <v>0</v>
      </c>
      <c r="AG35">
        <f>IF((gamma!AG35),VLOOKUP(AG$1,main!$A$3:$I$56,5,FALSE)-VLOOKUP($A35,main!$A$3:$I$56,6,FALSE),0)</f>
        <v>0</v>
      </c>
      <c r="AH35">
        <f>IF((gamma!AH35),VLOOKUP(AH$1,main!$A$3:$I$56,5,FALSE)-VLOOKUP($A35,main!$A$3:$I$56,6,FALSE),0)</f>
        <v>0</v>
      </c>
      <c r="AI35">
        <f>IF((gamma!AI35),VLOOKUP(AI$1,main!$A$3:$I$56,5,FALSE)-VLOOKUP($A35,main!$A$3:$I$56,6,FALSE),0)</f>
        <v>0</v>
      </c>
      <c r="AJ35">
        <f>IF((gamma!AJ35),VLOOKUP(AJ$1,main!$A$3:$I$56,5,FALSE)-VLOOKUP($A35,main!$A$3:$I$56,6,FALSE),0)</f>
        <v>0</v>
      </c>
      <c r="AK35">
        <f>IF((gamma!AK35),VLOOKUP(AK$1,main!$A$3:$I$56,5,FALSE)-VLOOKUP($A35,main!$A$3:$I$56,6,FALSE),0)</f>
        <v>0</v>
      </c>
      <c r="AL35">
        <f>IF((gamma!AL35),VLOOKUP(AL$1,main!$A$3:$I$56,5,FALSE)-VLOOKUP($A35,main!$A$3:$I$56,6,FALSE),0)</f>
        <v>0</v>
      </c>
      <c r="AM35">
        <f>IF((gamma!AM35),VLOOKUP(AM$1,main!$A$3:$I$56,5,FALSE)-VLOOKUP($A35,main!$A$3:$I$56,6,FALSE),0)</f>
        <v>0</v>
      </c>
      <c r="AN35">
        <f>IF((gamma!AN35),VLOOKUP(AN$1,main!$A$3:$I$56,5,FALSE)-VLOOKUP($A35,main!$A$3:$I$56,6,FALSE),0)</f>
        <v>0</v>
      </c>
      <c r="AO35">
        <f>IF((gamma!AO35),VLOOKUP(AO$1,main!$A$3:$I$56,5,FALSE)-VLOOKUP($A35,main!$A$3:$I$56,6,FALSE),0)</f>
        <v>0</v>
      </c>
      <c r="AP35">
        <f>IF((gamma!AP35),VLOOKUP(AP$1,main!$A$3:$I$56,5,FALSE)-VLOOKUP($A35,main!$A$3:$I$56,6,FALSE),0)</f>
        <v>0</v>
      </c>
      <c r="AQ35">
        <f>IF((gamma!AQ35),VLOOKUP(AQ$1,main!$A$3:$I$56,5,FALSE)-VLOOKUP($A35,main!$A$3:$I$56,6,FALSE),0)</f>
        <v>0</v>
      </c>
      <c r="AR35">
        <f>IF((gamma!AR35),VLOOKUP(AR$1,main!$A$3:$I$56,5,FALSE)-VLOOKUP($A35,main!$A$3:$I$56,6,FALSE),0)</f>
        <v>0</v>
      </c>
      <c r="AS35">
        <f>IF((gamma!AS35),VLOOKUP(AS$1,main!$A$3:$I$56,5,FALSE)-VLOOKUP($A35,main!$A$3:$I$56,6,FALSE),0)</f>
        <v>0</v>
      </c>
      <c r="AT35">
        <f>IF((gamma!AT35),VLOOKUP(AT$1,main!$A$3:$I$56,5,FALSE)-VLOOKUP($A35,main!$A$3:$I$56,6,FALSE),0)</f>
        <v>0</v>
      </c>
      <c r="AU35">
        <f>IF((gamma!AU35),VLOOKUP(AU$1,main!$A$3:$I$56,5,FALSE)-VLOOKUP($A35,main!$A$3:$I$56,6,FALSE),0)</f>
        <v>0</v>
      </c>
      <c r="AV35">
        <f>IF((gamma!AV35),VLOOKUP(AV$1,main!$A$3:$I$56,5,FALSE)-VLOOKUP($A35,main!$A$3:$I$56,6,FALSE),0)</f>
        <v>0</v>
      </c>
      <c r="AW35">
        <f>IF((gamma!AW35),VLOOKUP(AW$1,main!$A$3:$I$56,5,FALSE)-VLOOKUP($A35,main!$A$3:$I$56,6,FALSE),0)</f>
        <v>0</v>
      </c>
      <c r="AX35">
        <f>IF((gamma!AX35),VLOOKUP(AX$1,main!$A$3:$I$56,5,FALSE)-VLOOKUP($A35,main!$A$3:$I$56,6,FALSE),0)</f>
        <v>0</v>
      </c>
      <c r="AY35">
        <f>IF((gamma!AY35),VLOOKUP(AY$1,main!$A$3:$I$56,5,FALSE)-VLOOKUP($A35,main!$A$3:$I$56,6,FALSE),0)</f>
        <v>200</v>
      </c>
      <c r="AZ35">
        <f>IF((gamma!AZ35),VLOOKUP(AZ$1,main!$A$3:$I$56,5,FALSE)-VLOOKUP($A35,main!$A$3:$I$56,6,FALSE),0)</f>
        <v>0</v>
      </c>
      <c r="BA35">
        <f>IF((gamma!BA35),VLOOKUP(BA$1,main!$A$3:$I$56,5,FALSE)-VLOOKUP($A35,main!$A$3:$I$56,6,FALSE),0)</f>
        <v>0</v>
      </c>
      <c r="BB35">
        <f>IF((gamma!BB35),VLOOKUP(BB$1,main!$A$3:$I$56,5,FALSE)-VLOOKUP($A35,main!$A$3:$I$56,6,FALSE),0)</f>
        <v>0</v>
      </c>
      <c r="BC35">
        <f>IF((gamma!BC35),VLOOKUP(BC$1,main!$A$3:$I$56,5,FALSE)-VLOOKUP($A35,main!$A$3:$I$56,6,FALSE),0)</f>
        <v>0</v>
      </c>
      <c r="BD35">
        <f>IF((gamma!BD35),VLOOKUP(BD$1,main!$A$3:$I$56,5,FALSE)-VLOOKUP($A35,main!$A$3:$I$56,6,FALSE),0)</f>
        <v>0</v>
      </c>
    </row>
    <row r="36" spans="1:56" x14ac:dyDescent="0.25">
      <c r="A36">
        <f t="shared" si="2"/>
        <v>34</v>
      </c>
      <c r="B36">
        <v>0</v>
      </c>
      <c r="C36">
        <f>IF((gamma!C36),VLOOKUP(C$1,main!$A$3:$I$56,5,FALSE)-VLOOKUP($A36,main!$A$3:$I$56,6,FALSE),0)</f>
        <v>0</v>
      </c>
      <c r="D36">
        <f>IF((gamma!D36),VLOOKUP(D$1,main!$A$3:$I$56,5,FALSE)-VLOOKUP($A36,main!$A$3:$I$56,6,FALSE),0)</f>
        <v>0</v>
      </c>
      <c r="E36">
        <f>IF((gamma!E36),VLOOKUP(E$1,main!$A$3:$I$56,5,FALSE)-VLOOKUP($A36,main!$A$3:$I$56,6,FALSE),0)</f>
        <v>0</v>
      </c>
      <c r="F36">
        <f>IF((gamma!F36),VLOOKUP(F$1,main!$A$3:$I$56,5,FALSE)-VLOOKUP($A36,main!$A$3:$I$56,6,FALSE),0)</f>
        <v>0</v>
      </c>
      <c r="G36">
        <f>IF((gamma!G36),VLOOKUP(G$1,main!$A$3:$I$56,5,FALSE)-VLOOKUP($A36,main!$A$3:$I$56,6,FALSE),0)</f>
        <v>0</v>
      </c>
      <c r="H36">
        <f>IF((gamma!H36),VLOOKUP(H$1,main!$A$3:$I$56,5,FALSE)-VLOOKUP($A36,main!$A$3:$I$56,6,FALSE),0)</f>
        <v>0</v>
      </c>
      <c r="I36">
        <f>IF((gamma!I36),VLOOKUP(I$1,main!$A$3:$I$56,5,FALSE)-VLOOKUP($A36,main!$A$3:$I$56,6,FALSE),0)</f>
        <v>40</v>
      </c>
      <c r="J36">
        <f>IF((gamma!J36),VLOOKUP(J$1,main!$A$3:$I$56,5,FALSE)-VLOOKUP($A36,main!$A$3:$I$56,6,FALSE),0)</f>
        <v>130</v>
      </c>
      <c r="K36">
        <f>IF((gamma!K36),VLOOKUP(K$1,main!$A$3:$I$56,5,FALSE)-VLOOKUP($A36,main!$A$3:$I$56,6,FALSE),0)</f>
        <v>0</v>
      </c>
      <c r="L36">
        <f>IF((gamma!L36),VLOOKUP(L$1,main!$A$3:$I$56,5,FALSE)-VLOOKUP($A36,main!$A$3:$I$56,6,FALSE),0)</f>
        <v>0</v>
      </c>
      <c r="M36">
        <f>IF((gamma!M36),VLOOKUP(M$1,main!$A$3:$I$56,5,FALSE)-VLOOKUP($A36,main!$A$3:$I$56,6,FALSE),0)</f>
        <v>0</v>
      </c>
      <c r="N36">
        <f>IF((gamma!N36),VLOOKUP(N$1,main!$A$3:$I$56,5,FALSE)-VLOOKUP($A36,main!$A$3:$I$56,6,FALSE),0)</f>
        <v>95</v>
      </c>
      <c r="O36">
        <f>IF((gamma!O36),VLOOKUP(O$1,main!$A$3:$I$56,5,FALSE)-VLOOKUP($A36,main!$A$3:$I$56,6,FALSE),0)</f>
        <v>155</v>
      </c>
      <c r="P36">
        <f>IF((gamma!P36),VLOOKUP(P$1,main!$A$3:$I$56,5,FALSE)-VLOOKUP($A36,main!$A$3:$I$56,6,FALSE),0)</f>
        <v>0</v>
      </c>
      <c r="Q36">
        <f>IF((gamma!Q36),VLOOKUP(Q$1,main!$A$3:$I$56,5,FALSE)-VLOOKUP($A36,main!$A$3:$I$56,6,FALSE),0)</f>
        <v>0</v>
      </c>
      <c r="R36">
        <f>IF((gamma!R36),VLOOKUP(R$1,main!$A$3:$I$56,5,FALSE)-VLOOKUP($A36,main!$A$3:$I$56,6,FALSE),0)</f>
        <v>0</v>
      </c>
      <c r="S36">
        <f>IF((gamma!S36),VLOOKUP(S$1,main!$A$3:$I$56,5,FALSE)-VLOOKUP($A36,main!$A$3:$I$56,6,FALSE),0)</f>
        <v>0</v>
      </c>
      <c r="T36">
        <f>IF((gamma!T36),VLOOKUP(T$1,main!$A$3:$I$56,5,FALSE)-VLOOKUP($A36,main!$A$3:$I$56,6,FALSE),0)</f>
        <v>60</v>
      </c>
      <c r="U36">
        <f>IF((gamma!U36),VLOOKUP(U$1,main!$A$3:$I$56,5,FALSE)-VLOOKUP($A36,main!$A$3:$I$56,6,FALSE),0)</f>
        <v>0</v>
      </c>
      <c r="V36">
        <f>IF((gamma!V36),VLOOKUP(V$1,main!$A$3:$I$56,5,FALSE)-VLOOKUP($A36,main!$A$3:$I$56,6,FALSE),0)</f>
        <v>0</v>
      </c>
      <c r="W36">
        <f>IF((gamma!W36),VLOOKUP(W$1,main!$A$3:$I$56,5,FALSE)-VLOOKUP($A36,main!$A$3:$I$56,6,FALSE),0)</f>
        <v>0</v>
      </c>
      <c r="X36">
        <f>IF((gamma!X36),VLOOKUP(X$1,main!$A$3:$I$56,5,FALSE)-VLOOKUP($A36,main!$A$3:$I$56,6,FALSE),0)</f>
        <v>0</v>
      </c>
      <c r="Y36">
        <f>IF((gamma!Y36),VLOOKUP(Y$1,main!$A$3:$I$56,5,FALSE)-VLOOKUP($A36,main!$A$3:$I$56,6,FALSE),0)</f>
        <v>0</v>
      </c>
      <c r="Z36">
        <f>IF((gamma!Z36),VLOOKUP(Z$1,main!$A$3:$I$56,5,FALSE)-VLOOKUP($A36,main!$A$3:$I$56,6,FALSE),0)</f>
        <v>0</v>
      </c>
      <c r="AA36">
        <f>IF((gamma!AA36),VLOOKUP(AA$1,main!$A$3:$I$56,5,FALSE)-VLOOKUP($A36,main!$A$3:$I$56,6,FALSE),0)</f>
        <v>0</v>
      </c>
      <c r="AB36">
        <f>IF((gamma!AB36),VLOOKUP(AB$1,main!$A$3:$I$56,5,FALSE)-VLOOKUP($A36,main!$A$3:$I$56,6,FALSE),0)</f>
        <v>80</v>
      </c>
      <c r="AC36">
        <f>IF((gamma!AC36),VLOOKUP(AC$1,main!$A$3:$I$56,5,FALSE)-VLOOKUP($A36,main!$A$3:$I$56,6,FALSE),0)</f>
        <v>0</v>
      </c>
      <c r="AD36">
        <f>IF((gamma!AD36),VLOOKUP(AD$1,main!$A$3:$I$56,5,FALSE)-VLOOKUP($A36,main!$A$3:$I$56,6,FALSE),0)</f>
        <v>0</v>
      </c>
      <c r="AE36">
        <f>IF((gamma!AE36),VLOOKUP(AE$1,main!$A$3:$I$56,5,FALSE)-VLOOKUP($A36,main!$A$3:$I$56,6,FALSE),0)</f>
        <v>0</v>
      </c>
      <c r="AF36">
        <f>IF((gamma!AF36),VLOOKUP(AF$1,main!$A$3:$I$56,5,FALSE)-VLOOKUP($A36,main!$A$3:$I$56,6,FALSE),0)</f>
        <v>0</v>
      </c>
      <c r="AG36">
        <f>IF((gamma!AG36),VLOOKUP(AG$1,main!$A$3:$I$56,5,FALSE)-VLOOKUP($A36,main!$A$3:$I$56,6,FALSE),0)</f>
        <v>0</v>
      </c>
      <c r="AH36">
        <f>IF((gamma!AH36),VLOOKUP(AH$1,main!$A$3:$I$56,5,FALSE)-VLOOKUP($A36,main!$A$3:$I$56,6,FALSE),0)</f>
        <v>0</v>
      </c>
      <c r="AI36">
        <f>IF((gamma!AI36),VLOOKUP(AI$1,main!$A$3:$I$56,5,FALSE)-VLOOKUP($A36,main!$A$3:$I$56,6,FALSE),0)</f>
        <v>0</v>
      </c>
      <c r="AJ36">
        <f>IF((gamma!AJ36),VLOOKUP(AJ$1,main!$A$3:$I$56,5,FALSE)-VLOOKUP($A36,main!$A$3:$I$56,6,FALSE),0)</f>
        <v>0</v>
      </c>
      <c r="AK36">
        <f>IF((gamma!AK36),VLOOKUP(AK$1,main!$A$3:$I$56,5,FALSE)-VLOOKUP($A36,main!$A$3:$I$56,6,FALSE),0)</f>
        <v>0</v>
      </c>
      <c r="AL36">
        <f>IF((gamma!AL36),VLOOKUP(AL$1,main!$A$3:$I$56,5,FALSE)-VLOOKUP($A36,main!$A$3:$I$56,6,FALSE),0)</f>
        <v>0</v>
      </c>
      <c r="AM36">
        <f>IF((gamma!AM36),VLOOKUP(AM$1,main!$A$3:$I$56,5,FALSE)-VLOOKUP($A36,main!$A$3:$I$56,6,FALSE),0)</f>
        <v>0</v>
      </c>
      <c r="AN36">
        <f>IF((gamma!AN36),VLOOKUP(AN$1,main!$A$3:$I$56,5,FALSE)-VLOOKUP($A36,main!$A$3:$I$56,6,FALSE),0)</f>
        <v>0</v>
      </c>
      <c r="AO36">
        <f>IF((gamma!AO36),VLOOKUP(AO$1,main!$A$3:$I$56,5,FALSE)-VLOOKUP($A36,main!$A$3:$I$56,6,FALSE),0)</f>
        <v>0</v>
      </c>
      <c r="AP36">
        <f>IF((gamma!AP36),VLOOKUP(AP$1,main!$A$3:$I$56,5,FALSE)-VLOOKUP($A36,main!$A$3:$I$56,6,FALSE),0)</f>
        <v>0</v>
      </c>
      <c r="AQ36">
        <f>IF((gamma!AQ36),VLOOKUP(AQ$1,main!$A$3:$I$56,5,FALSE)-VLOOKUP($A36,main!$A$3:$I$56,6,FALSE),0)</f>
        <v>0</v>
      </c>
      <c r="AR36">
        <f>IF((gamma!AR36),VLOOKUP(AR$1,main!$A$3:$I$56,5,FALSE)-VLOOKUP($A36,main!$A$3:$I$56,6,FALSE),0)</f>
        <v>0</v>
      </c>
      <c r="AS36">
        <f>IF((gamma!AS36),VLOOKUP(AS$1,main!$A$3:$I$56,5,FALSE)-VLOOKUP($A36,main!$A$3:$I$56,6,FALSE),0)</f>
        <v>0</v>
      </c>
      <c r="AT36">
        <f>IF((gamma!AT36),VLOOKUP(AT$1,main!$A$3:$I$56,5,FALSE)-VLOOKUP($A36,main!$A$3:$I$56,6,FALSE),0)</f>
        <v>0</v>
      </c>
      <c r="AU36">
        <f>IF((gamma!AU36),VLOOKUP(AU$1,main!$A$3:$I$56,5,FALSE)-VLOOKUP($A36,main!$A$3:$I$56,6,FALSE),0)</f>
        <v>0</v>
      </c>
      <c r="AV36">
        <f>IF((gamma!AV36),VLOOKUP(AV$1,main!$A$3:$I$56,5,FALSE)-VLOOKUP($A36,main!$A$3:$I$56,6,FALSE),0)</f>
        <v>0</v>
      </c>
      <c r="AW36">
        <f>IF((gamma!AW36),VLOOKUP(AW$1,main!$A$3:$I$56,5,FALSE)-VLOOKUP($A36,main!$A$3:$I$56,6,FALSE),0)</f>
        <v>0</v>
      </c>
      <c r="AX36">
        <f>IF((gamma!AX36),VLOOKUP(AX$1,main!$A$3:$I$56,5,FALSE)-VLOOKUP($A36,main!$A$3:$I$56,6,FALSE),0)</f>
        <v>0</v>
      </c>
      <c r="AY36">
        <f>IF((gamma!AY36),VLOOKUP(AY$1,main!$A$3:$I$56,5,FALSE)-VLOOKUP($A36,main!$A$3:$I$56,6,FALSE),0)</f>
        <v>140</v>
      </c>
      <c r="AZ36">
        <f>IF((gamma!AZ36),VLOOKUP(AZ$1,main!$A$3:$I$56,5,FALSE)-VLOOKUP($A36,main!$A$3:$I$56,6,FALSE),0)</f>
        <v>0</v>
      </c>
      <c r="BA36">
        <f>IF((gamma!BA36),VLOOKUP(BA$1,main!$A$3:$I$56,5,FALSE)-VLOOKUP($A36,main!$A$3:$I$56,6,FALSE),0)</f>
        <v>0</v>
      </c>
      <c r="BB36">
        <f>IF((gamma!BB36),VLOOKUP(BB$1,main!$A$3:$I$56,5,FALSE)-VLOOKUP($A36,main!$A$3:$I$56,6,FALSE),0)</f>
        <v>0</v>
      </c>
      <c r="BC36">
        <f>IF((gamma!BC36),VLOOKUP(BC$1,main!$A$3:$I$56,5,FALSE)-VLOOKUP($A36,main!$A$3:$I$56,6,FALSE),0)</f>
        <v>0</v>
      </c>
      <c r="BD36">
        <f>IF((gamma!BD36),VLOOKUP(BD$1,main!$A$3:$I$56,5,FALSE)-VLOOKUP($A36,main!$A$3:$I$56,6,FALSE),0)</f>
        <v>0</v>
      </c>
    </row>
    <row r="37" spans="1:56" x14ac:dyDescent="0.25">
      <c r="A37">
        <f t="shared" si="2"/>
        <v>35</v>
      </c>
      <c r="B37">
        <v>0</v>
      </c>
      <c r="C37">
        <f>IF((gamma!C37),VLOOKUP(C$1,main!$A$3:$I$56,5,FALSE)-VLOOKUP($A37,main!$A$3:$I$56,6,FALSE),0)</f>
        <v>0</v>
      </c>
      <c r="D37">
        <f>IF((gamma!D37),VLOOKUP(D$1,main!$A$3:$I$56,5,FALSE)-VLOOKUP($A37,main!$A$3:$I$56,6,FALSE),0)</f>
        <v>0</v>
      </c>
      <c r="E37">
        <f>IF((gamma!E37),VLOOKUP(E$1,main!$A$3:$I$56,5,FALSE)-VLOOKUP($A37,main!$A$3:$I$56,6,FALSE),0)</f>
        <v>0</v>
      </c>
      <c r="F37">
        <f>IF((gamma!F37),VLOOKUP(F$1,main!$A$3:$I$56,5,FALSE)-VLOOKUP($A37,main!$A$3:$I$56,6,FALSE),0)</f>
        <v>0</v>
      </c>
      <c r="G37">
        <f>IF((gamma!G37),VLOOKUP(G$1,main!$A$3:$I$56,5,FALSE)-VLOOKUP($A37,main!$A$3:$I$56,6,FALSE),0)</f>
        <v>0</v>
      </c>
      <c r="H37">
        <f>IF((gamma!H37),VLOOKUP(H$1,main!$A$3:$I$56,5,FALSE)-VLOOKUP($A37,main!$A$3:$I$56,6,FALSE),0)</f>
        <v>0</v>
      </c>
      <c r="I37">
        <f>IF((gamma!I37),VLOOKUP(I$1,main!$A$3:$I$56,5,FALSE)-VLOOKUP($A37,main!$A$3:$I$56,6,FALSE),0)</f>
        <v>0</v>
      </c>
      <c r="J37">
        <f>IF((gamma!J37),VLOOKUP(J$1,main!$A$3:$I$56,5,FALSE)-VLOOKUP($A37,main!$A$3:$I$56,6,FALSE),0)</f>
        <v>0</v>
      </c>
      <c r="K37">
        <f>IF((gamma!K37),VLOOKUP(K$1,main!$A$3:$I$56,5,FALSE)-VLOOKUP($A37,main!$A$3:$I$56,6,FALSE),0)</f>
        <v>0</v>
      </c>
      <c r="L37">
        <f>IF((gamma!L37),VLOOKUP(L$1,main!$A$3:$I$56,5,FALSE)-VLOOKUP($A37,main!$A$3:$I$56,6,FALSE),0)</f>
        <v>0</v>
      </c>
      <c r="M37">
        <f>IF((gamma!M37),VLOOKUP(M$1,main!$A$3:$I$56,5,FALSE)-VLOOKUP($A37,main!$A$3:$I$56,6,FALSE),0)</f>
        <v>0</v>
      </c>
      <c r="N37">
        <f>IF((gamma!N37),VLOOKUP(N$1,main!$A$3:$I$56,5,FALSE)-VLOOKUP($A37,main!$A$3:$I$56,6,FALSE),0)</f>
        <v>0</v>
      </c>
      <c r="O37">
        <f>IF((gamma!O37),VLOOKUP(O$1,main!$A$3:$I$56,5,FALSE)-VLOOKUP($A37,main!$A$3:$I$56,6,FALSE),0)</f>
        <v>35</v>
      </c>
      <c r="P37">
        <f>IF((gamma!P37),VLOOKUP(P$1,main!$A$3:$I$56,5,FALSE)-VLOOKUP($A37,main!$A$3:$I$56,6,FALSE),0)</f>
        <v>0</v>
      </c>
      <c r="Q37">
        <f>IF((gamma!Q37),VLOOKUP(Q$1,main!$A$3:$I$56,5,FALSE)-VLOOKUP($A37,main!$A$3:$I$56,6,FALSE),0)</f>
        <v>0</v>
      </c>
      <c r="R37">
        <f>IF((gamma!R37),VLOOKUP(R$1,main!$A$3:$I$56,5,FALSE)-VLOOKUP($A37,main!$A$3:$I$56,6,FALSE),0)</f>
        <v>0</v>
      </c>
      <c r="S37">
        <f>IF((gamma!S37),VLOOKUP(S$1,main!$A$3:$I$56,5,FALSE)-VLOOKUP($A37,main!$A$3:$I$56,6,FALSE),0)</f>
        <v>0</v>
      </c>
      <c r="T37">
        <f>IF((gamma!T37),VLOOKUP(T$1,main!$A$3:$I$56,5,FALSE)-VLOOKUP($A37,main!$A$3:$I$56,6,FALSE),0)</f>
        <v>0</v>
      </c>
      <c r="U37">
        <f>IF((gamma!U37),VLOOKUP(U$1,main!$A$3:$I$56,5,FALSE)-VLOOKUP($A37,main!$A$3:$I$56,6,FALSE),0)</f>
        <v>0</v>
      </c>
      <c r="V37">
        <f>IF((gamma!V37),VLOOKUP(V$1,main!$A$3:$I$56,5,FALSE)-VLOOKUP($A37,main!$A$3:$I$56,6,FALSE),0)</f>
        <v>0</v>
      </c>
      <c r="W37">
        <f>IF((gamma!W37),VLOOKUP(W$1,main!$A$3:$I$56,5,FALSE)-VLOOKUP($A37,main!$A$3:$I$56,6,FALSE),0)</f>
        <v>0</v>
      </c>
      <c r="X37">
        <f>IF((gamma!X37),VLOOKUP(X$1,main!$A$3:$I$56,5,FALSE)-VLOOKUP($A37,main!$A$3:$I$56,6,FALSE),0)</f>
        <v>0</v>
      </c>
      <c r="Y37">
        <f>IF((gamma!Y37),VLOOKUP(Y$1,main!$A$3:$I$56,5,FALSE)-VLOOKUP($A37,main!$A$3:$I$56,6,FALSE),0)</f>
        <v>0</v>
      </c>
      <c r="Z37">
        <f>IF((gamma!Z37),VLOOKUP(Z$1,main!$A$3:$I$56,5,FALSE)-VLOOKUP($A37,main!$A$3:$I$56,6,FALSE),0)</f>
        <v>0</v>
      </c>
      <c r="AA37">
        <f>IF((gamma!AA37),VLOOKUP(AA$1,main!$A$3:$I$56,5,FALSE)-VLOOKUP($A37,main!$A$3:$I$56,6,FALSE),0)</f>
        <v>0</v>
      </c>
      <c r="AB37">
        <f>IF((gamma!AB37),VLOOKUP(AB$1,main!$A$3:$I$56,5,FALSE)-VLOOKUP($A37,main!$A$3:$I$56,6,FALSE),0)</f>
        <v>0</v>
      </c>
      <c r="AC37">
        <f>IF((gamma!AC37),VLOOKUP(AC$1,main!$A$3:$I$56,5,FALSE)-VLOOKUP($A37,main!$A$3:$I$56,6,FALSE),0)</f>
        <v>0</v>
      </c>
      <c r="AD37">
        <f>IF((gamma!AD37),VLOOKUP(AD$1,main!$A$3:$I$56,5,FALSE)-VLOOKUP($A37,main!$A$3:$I$56,6,FALSE),0)</f>
        <v>0</v>
      </c>
      <c r="AE37">
        <f>IF((gamma!AE37),VLOOKUP(AE$1,main!$A$3:$I$56,5,FALSE)-VLOOKUP($A37,main!$A$3:$I$56,6,FALSE),0)</f>
        <v>0</v>
      </c>
      <c r="AF37">
        <f>IF((gamma!AF37),VLOOKUP(AF$1,main!$A$3:$I$56,5,FALSE)-VLOOKUP($A37,main!$A$3:$I$56,6,FALSE),0)</f>
        <v>0</v>
      </c>
      <c r="AG37">
        <f>IF((gamma!AG37),VLOOKUP(AG$1,main!$A$3:$I$56,5,FALSE)-VLOOKUP($A37,main!$A$3:$I$56,6,FALSE),0)</f>
        <v>0</v>
      </c>
      <c r="AH37">
        <f>IF((gamma!AH37),VLOOKUP(AH$1,main!$A$3:$I$56,5,FALSE)-VLOOKUP($A37,main!$A$3:$I$56,6,FALSE),0)</f>
        <v>0</v>
      </c>
      <c r="AI37">
        <f>IF((gamma!AI37),VLOOKUP(AI$1,main!$A$3:$I$56,5,FALSE)-VLOOKUP($A37,main!$A$3:$I$56,6,FALSE),0)</f>
        <v>0</v>
      </c>
      <c r="AJ37">
        <f>IF((gamma!AJ37),VLOOKUP(AJ$1,main!$A$3:$I$56,5,FALSE)-VLOOKUP($A37,main!$A$3:$I$56,6,FALSE),0)</f>
        <v>0</v>
      </c>
      <c r="AK37">
        <f>IF((gamma!AK37),VLOOKUP(AK$1,main!$A$3:$I$56,5,FALSE)-VLOOKUP($A37,main!$A$3:$I$56,6,FALSE),0)</f>
        <v>0</v>
      </c>
      <c r="AL37">
        <f>IF((gamma!AL37),VLOOKUP(AL$1,main!$A$3:$I$56,5,FALSE)-VLOOKUP($A37,main!$A$3:$I$56,6,FALSE),0)</f>
        <v>0</v>
      </c>
      <c r="AM37">
        <f>IF((gamma!AM37),VLOOKUP(AM$1,main!$A$3:$I$56,5,FALSE)-VLOOKUP($A37,main!$A$3:$I$56,6,FALSE),0)</f>
        <v>0</v>
      </c>
      <c r="AN37">
        <f>IF((gamma!AN37),VLOOKUP(AN$1,main!$A$3:$I$56,5,FALSE)-VLOOKUP($A37,main!$A$3:$I$56,6,FALSE),0)</f>
        <v>0</v>
      </c>
      <c r="AO37">
        <f>IF((gamma!AO37),VLOOKUP(AO$1,main!$A$3:$I$56,5,FALSE)-VLOOKUP($A37,main!$A$3:$I$56,6,FALSE),0)</f>
        <v>0</v>
      </c>
      <c r="AP37">
        <f>IF((gamma!AP37),VLOOKUP(AP$1,main!$A$3:$I$56,5,FALSE)-VLOOKUP($A37,main!$A$3:$I$56,6,FALSE),0)</f>
        <v>0</v>
      </c>
      <c r="AQ37">
        <f>IF((gamma!AQ37),VLOOKUP(AQ$1,main!$A$3:$I$56,5,FALSE)-VLOOKUP($A37,main!$A$3:$I$56,6,FALSE),0)</f>
        <v>0</v>
      </c>
      <c r="AR37">
        <f>IF((gamma!AR37),VLOOKUP(AR$1,main!$A$3:$I$56,5,FALSE)-VLOOKUP($A37,main!$A$3:$I$56,6,FALSE),0)</f>
        <v>0</v>
      </c>
      <c r="AS37">
        <f>IF((gamma!AS37),VLOOKUP(AS$1,main!$A$3:$I$56,5,FALSE)-VLOOKUP($A37,main!$A$3:$I$56,6,FALSE),0)</f>
        <v>0</v>
      </c>
      <c r="AT37">
        <f>IF((gamma!AT37),VLOOKUP(AT$1,main!$A$3:$I$56,5,FALSE)-VLOOKUP($A37,main!$A$3:$I$56,6,FALSE),0)</f>
        <v>0</v>
      </c>
      <c r="AU37">
        <f>IF((gamma!AU37),VLOOKUP(AU$1,main!$A$3:$I$56,5,FALSE)-VLOOKUP($A37,main!$A$3:$I$56,6,FALSE),0)</f>
        <v>0</v>
      </c>
      <c r="AV37">
        <f>IF((gamma!AV37),VLOOKUP(AV$1,main!$A$3:$I$56,5,FALSE)-VLOOKUP($A37,main!$A$3:$I$56,6,FALSE),0)</f>
        <v>0</v>
      </c>
      <c r="AW37">
        <f>IF((gamma!AW37),VLOOKUP(AW$1,main!$A$3:$I$56,5,FALSE)-VLOOKUP($A37,main!$A$3:$I$56,6,FALSE),0)</f>
        <v>0</v>
      </c>
      <c r="AX37">
        <f>IF((gamma!AX37),VLOOKUP(AX$1,main!$A$3:$I$56,5,FALSE)-VLOOKUP($A37,main!$A$3:$I$56,6,FALSE),0)</f>
        <v>0</v>
      </c>
      <c r="AY37">
        <f>IF((gamma!AY37),VLOOKUP(AY$1,main!$A$3:$I$56,5,FALSE)-VLOOKUP($A37,main!$A$3:$I$56,6,FALSE),0)</f>
        <v>0</v>
      </c>
      <c r="AZ37">
        <f>IF((gamma!AZ37),VLOOKUP(AZ$1,main!$A$3:$I$56,5,FALSE)-VLOOKUP($A37,main!$A$3:$I$56,6,FALSE),0)</f>
        <v>0</v>
      </c>
      <c r="BA37">
        <f>IF((gamma!BA37),VLOOKUP(BA$1,main!$A$3:$I$56,5,FALSE)-VLOOKUP($A37,main!$A$3:$I$56,6,FALSE),0)</f>
        <v>0</v>
      </c>
      <c r="BB37">
        <f>IF((gamma!BB37),VLOOKUP(BB$1,main!$A$3:$I$56,5,FALSE)-VLOOKUP($A37,main!$A$3:$I$56,6,FALSE),0)</f>
        <v>0</v>
      </c>
      <c r="BC37">
        <f>IF((gamma!BC37),VLOOKUP(BC$1,main!$A$3:$I$56,5,FALSE)-VLOOKUP($A37,main!$A$3:$I$56,6,FALSE),0)</f>
        <v>0</v>
      </c>
      <c r="BD37">
        <f>IF((gamma!BD37),VLOOKUP(BD$1,main!$A$3:$I$56,5,FALSE)-VLOOKUP($A37,main!$A$3:$I$56,6,FALSE),0)</f>
        <v>0</v>
      </c>
    </row>
    <row r="38" spans="1:56" x14ac:dyDescent="0.25">
      <c r="A38">
        <f t="shared" si="2"/>
        <v>36</v>
      </c>
      <c r="B38">
        <v>0</v>
      </c>
      <c r="C38">
        <f>IF((gamma!C38),VLOOKUP(C$1,main!$A$3:$I$56,5,FALSE)-VLOOKUP($A38,main!$A$3:$I$56,6,FALSE),0)</f>
        <v>0</v>
      </c>
      <c r="D38">
        <f>IF((gamma!D38),VLOOKUP(D$1,main!$A$3:$I$56,5,FALSE)-VLOOKUP($A38,main!$A$3:$I$56,6,FALSE),0)</f>
        <v>60</v>
      </c>
      <c r="E38">
        <f>IF((gamma!E38),VLOOKUP(E$1,main!$A$3:$I$56,5,FALSE)-VLOOKUP($A38,main!$A$3:$I$56,6,FALSE),0)</f>
        <v>150</v>
      </c>
      <c r="F38">
        <f>IF((gamma!F38),VLOOKUP(F$1,main!$A$3:$I$56,5,FALSE)-VLOOKUP($A38,main!$A$3:$I$56,6,FALSE),0)</f>
        <v>240</v>
      </c>
      <c r="G38">
        <f>IF((gamma!G38),VLOOKUP(G$1,main!$A$3:$I$56,5,FALSE)-VLOOKUP($A38,main!$A$3:$I$56,6,FALSE),0)</f>
        <v>300</v>
      </c>
      <c r="H38">
        <f>IF((gamma!H38),VLOOKUP(H$1,main!$A$3:$I$56,5,FALSE)-VLOOKUP($A38,main!$A$3:$I$56,6,FALSE),0)</f>
        <v>360</v>
      </c>
      <c r="I38">
        <f>IF((gamma!I38),VLOOKUP(I$1,main!$A$3:$I$56,5,FALSE)-VLOOKUP($A38,main!$A$3:$I$56,6,FALSE),0)</f>
        <v>420</v>
      </c>
      <c r="J38">
        <f>IF((gamma!J38),VLOOKUP(J$1,main!$A$3:$I$56,5,FALSE)-VLOOKUP($A38,main!$A$3:$I$56,6,FALSE),0)</f>
        <v>510</v>
      </c>
      <c r="K38">
        <f>IF((gamma!K38),VLOOKUP(K$1,main!$A$3:$I$56,5,FALSE)-VLOOKUP($A38,main!$A$3:$I$56,6,FALSE),0)</f>
        <v>0</v>
      </c>
      <c r="L38">
        <f>IF((gamma!L38),VLOOKUP(L$1,main!$A$3:$I$56,5,FALSE)-VLOOKUP($A38,main!$A$3:$I$56,6,FALSE),0)</f>
        <v>0</v>
      </c>
      <c r="M38">
        <f>IF((gamma!M38),VLOOKUP(M$1,main!$A$3:$I$56,5,FALSE)-VLOOKUP($A38,main!$A$3:$I$56,6,FALSE),0)</f>
        <v>115</v>
      </c>
      <c r="N38">
        <f>IF((gamma!N38),VLOOKUP(N$1,main!$A$3:$I$56,5,FALSE)-VLOOKUP($A38,main!$A$3:$I$56,6,FALSE),0)</f>
        <v>475</v>
      </c>
      <c r="O38">
        <f>IF((gamma!O38),VLOOKUP(O$1,main!$A$3:$I$56,5,FALSE)-VLOOKUP($A38,main!$A$3:$I$56,6,FALSE),0)</f>
        <v>535</v>
      </c>
      <c r="P38">
        <f>IF((gamma!P38),VLOOKUP(P$1,main!$A$3:$I$56,5,FALSE)-VLOOKUP($A38,main!$A$3:$I$56,6,FALSE),0)</f>
        <v>0</v>
      </c>
      <c r="Q38">
        <f>IF((gamma!Q38),VLOOKUP(Q$1,main!$A$3:$I$56,5,FALSE)-VLOOKUP($A38,main!$A$3:$I$56,6,FALSE),0)</f>
        <v>0</v>
      </c>
      <c r="R38">
        <f>IF((gamma!R38),VLOOKUP(R$1,main!$A$3:$I$56,5,FALSE)-VLOOKUP($A38,main!$A$3:$I$56,6,FALSE),0)</f>
        <v>110</v>
      </c>
      <c r="S38">
        <f>IF((gamma!S38),VLOOKUP(S$1,main!$A$3:$I$56,5,FALSE)-VLOOKUP($A38,main!$A$3:$I$56,6,FALSE),0)</f>
        <v>290</v>
      </c>
      <c r="T38">
        <f>IF((gamma!T38),VLOOKUP(T$1,main!$A$3:$I$56,5,FALSE)-VLOOKUP($A38,main!$A$3:$I$56,6,FALSE),0)</f>
        <v>440</v>
      </c>
      <c r="U38">
        <f>IF((gamma!U38),VLOOKUP(U$1,main!$A$3:$I$56,5,FALSE)-VLOOKUP($A38,main!$A$3:$I$56,6,FALSE),0)</f>
        <v>0</v>
      </c>
      <c r="V38">
        <f>IF((gamma!V38),VLOOKUP(V$1,main!$A$3:$I$56,5,FALSE)-VLOOKUP($A38,main!$A$3:$I$56,6,FALSE),0)</f>
        <v>0</v>
      </c>
      <c r="W38">
        <f>IF((gamma!W38),VLOOKUP(W$1,main!$A$3:$I$56,5,FALSE)-VLOOKUP($A38,main!$A$3:$I$56,6,FALSE),0)</f>
        <v>40</v>
      </c>
      <c r="X38">
        <f>IF((gamma!X38),VLOOKUP(X$1,main!$A$3:$I$56,5,FALSE)-VLOOKUP($A38,main!$A$3:$I$56,6,FALSE),0)</f>
        <v>130</v>
      </c>
      <c r="Y38">
        <f>IF((gamma!Y38),VLOOKUP(Y$1,main!$A$3:$I$56,5,FALSE)-VLOOKUP($A38,main!$A$3:$I$56,6,FALSE),0)</f>
        <v>220</v>
      </c>
      <c r="Z38">
        <f>IF((gamma!Z38),VLOOKUP(Z$1,main!$A$3:$I$56,5,FALSE)-VLOOKUP($A38,main!$A$3:$I$56,6,FALSE),0)</f>
        <v>310</v>
      </c>
      <c r="AA38">
        <f>IF((gamma!AA38),VLOOKUP(AA$1,main!$A$3:$I$56,5,FALSE)-VLOOKUP($A38,main!$A$3:$I$56,6,FALSE),0)</f>
        <v>400</v>
      </c>
      <c r="AB38">
        <f>IF((gamma!AB38),VLOOKUP(AB$1,main!$A$3:$I$56,5,FALSE)-VLOOKUP($A38,main!$A$3:$I$56,6,FALSE),0)</f>
        <v>460</v>
      </c>
      <c r="AC38">
        <f>IF((gamma!AC38),VLOOKUP(AC$1,main!$A$3:$I$56,5,FALSE)-VLOOKUP($A38,main!$A$3:$I$56,6,FALSE),0)</f>
        <v>0</v>
      </c>
      <c r="AD38">
        <f>IF((gamma!AD38),VLOOKUP(AD$1,main!$A$3:$I$56,5,FALSE)-VLOOKUP($A38,main!$A$3:$I$56,6,FALSE),0)</f>
        <v>0</v>
      </c>
      <c r="AE38">
        <f>IF((gamma!AE38),VLOOKUP(AE$1,main!$A$3:$I$56,5,FALSE)-VLOOKUP($A38,main!$A$3:$I$56,6,FALSE),0)</f>
        <v>120</v>
      </c>
      <c r="AF38">
        <f>IF((gamma!AF38),VLOOKUP(AF$1,main!$A$3:$I$56,5,FALSE)-VLOOKUP($A38,main!$A$3:$I$56,6,FALSE),0)</f>
        <v>270</v>
      </c>
      <c r="AG38">
        <f>IF((gamma!AG38),VLOOKUP(AG$1,main!$A$3:$I$56,5,FALSE)-VLOOKUP($A38,main!$A$3:$I$56,6,FALSE),0)</f>
        <v>0</v>
      </c>
      <c r="AH38">
        <f>IF((gamma!AH38),VLOOKUP(AH$1,main!$A$3:$I$56,5,FALSE)-VLOOKUP($A38,main!$A$3:$I$56,6,FALSE),0)</f>
        <v>60</v>
      </c>
      <c r="AI38">
        <f>IF((gamma!AI38),VLOOKUP(AI$1,main!$A$3:$I$56,5,FALSE)-VLOOKUP($A38,main!$A$3:$I$56,6,FALSE),0)</f>
        <v>180</v>
      </c>
      <c r="AJ38">
        <f>IF((gamma!AJ38),VLOOKUP(AJ$1,main!$A$3:$I$56,5,FALSE)-VLOOKUP($A38,main!$A$3:$I$56,6,FALSE),0)</f>
        <v>240</v>
      </c>
      <c r="AK38">
        <f>IF((gamma!AK38),VLOOKUP(AK$1,main!$A$3:$I$56,5,FALSE)-VLOOKUP($A38,main!$A$3:$I$56,6,FALSE),0)</f>
        <v>360</v>
      </c>
      <c r="AL38">
        <f>IF((gamma!AL38),VLOOKUP(AL$1,main!$A$3:$I$56,5,FALSE)-VLOOKUP($A38,main!$A$3:$I$56,6,FALSE),0)</f>
        <v>0</v>
      </c>
      <c r="AM38">
        <f>IF((gamma!AM38),VLOOKUP(AM$1,main!$A$3:$I$56,5,FALSE)-VLOOKUP($A38,main!$A$3:$I$56,6,FALSE),0)</f>
        <v>0</v>
      </c>
      <c r="AN38">
        <f>IF((gamma!AN38),VLOOKUP(AN$1,main!$A$3:$I$56,5,FALSE)-VLOOKUP($A38,main!$A$3:$I$56,6,FALSE),0)</f>
        <v>220</v>
      </c>
      <c r="AO38">
        <f>IF((gamma!AO38),VLOOKUP(AO$1,main!$A$3:$I$56,5,FALSE)-VLOOKUP($A38,main!$A$3:$I$56,6,FALSE),0)</f>
        <v>270</v>
      </c>
      <c r="AP38">
        <f>IF((gamma!AP38),VLOOKUP(AP$1,main!$A$3:$I$56,5,FALSE)-VLOOKUP($A38,main!$A$3:$I$56,6,FALSE),0)</f>
        <v>0</v>
      </c>
      <c r="AQ38">
        <f>IF((gamma!AQ38),VLOOKUP(AQ$1,main!$A$3:$I$56,5,FALSE)-VLOOKUP($A38,main!$A$3:$I$56,6,FALSE),0)</f>
        <v>0</v>
      </c>
      <c r="AR38">
        <f>IF((gamma!AR38),VLOOKUP(AR$1,main!$A$3:$I$56,5,FALSE)-VLOOKUP($A38,main!$A$3:$I$56,6,FALSE),0)</f>
        <v>0</v>
      </c>
      <c r="AS38">
        <f>IF((gamma!AS38),VLOOKUP(AS$1,main!$A$3:$I$56,5,FALSE)-VLOOKUP($A38,main!$A$3:$I$56,6,FALSE),0)</f>
        <v>85</v>
      </c>
      <c r="AT38">
        <f>IF((gamma!AT38),VLOOKUP(AT$1,main!$A$3:$I$56,5,FALSE)-VLOOKUP($A38,main!$A$3:$I$56,6,FALSE),0)</f>
        <v>170</v>
      </c>
      <c r="AU38">
        <f>IF((gamma!AU38),VLOOKUP(AU$1,main!$A$3:$I$56,5,FALSE)-VLOOKUP($A38,main!$A$3:$I$56,6,FALSE),0)</f>
        <v>0</v>
      </c>
      <c r="AV38">
        <f>IF((gamma!AV38),VLOOKUP(AV$1,main!$A$3:$I$56,5,FALSE)-VLOOKUP($A38,main!$A$3:$I$56,6,FALSE),0)</f>
        <v>70</v>
      </c>
      <c r="AW38">
        <f>IF((gamma!AW38),VLOOKUP(AW$1,main!$A$3:$I$56,5,FALSE)-VLOOKUP($A38,main!$A$3:$I$56,6,FALSE),0)</f>
        <v>120</v>
      </c>
      <c r="AX38">
        <f>IF((gamma!AX38),VLOOKUP(AX$1,main!$A$3:$I$56,5,FALSE)-VLOOKUP($A38,main!$A$3:$I$56,6,FALSE),0)</f>
        <v>320</v>
      </c>
      <c r="AY38">
        <f>IF((gamma!AY38),VLOOKUP(AY$1,main!$A$3:$I$56,5,FALSE)-VLOOKUP($A38,main!$A$3:$I$56,6,FALSE),0)</f>
        <v>520</v>
      </c>
      <c r="AZ38">
        <f>IF((gamma!AZ38),VLOOKUP(AZ$1,main!$A$3:$I$56,5,FALSE)-VLOOKUP($A38,main!$A$3:$I$56,6,FALSE),0)</f>
        <v>0</v>
      </c>
      <c r="BA38">
        <f>IF((gamma!BA38),VLOOKUP(BA$1,main!$A$3:$I$56,5,FALSE)-VLOOKUP($A38,main!$A$3:$I$56,6,FALSE),0)</f>
        <v>85</v>
      </c>
      <c r="BB38">
        <f>IF((gamma!BB38),VLOOKUP(BB$1,main!$A$3:$I$56,5,FALSE)-VLOOKUP($A38,main!$A$3:$I$56,6,FALSE),0)</f>
        <v>100</v>
      </c>
      <c r="BC38">
        <f>IF((gamma!BC38),VLOOKUP(BC$1,main!$A$3:$I$56,5,FALSE)-VLOOKUP($A38,main!$A$3:$I$56,6,FALSE),0)</f>
        <v>285</v>
      </c>
      <c r="BD38">
        <f>IF((gamma!BD38),VLOOKUP(BD$1,main!$A$3:$I$56,5,FALSE)-VLOOKUP($A38,main!$A$3:$I$56,6,FALSE),0)</f>
        <v>295</v>
      </c>
    </row>
    <row r="39" spans="1:56" x14ac:dyDescent="0.25">
      <c r="A39">
        <f t="shared" si="2"/>
        <v>37</v>
      </c>
      <c r="B39">
        <v>0</v>
      </c>
      <c r="C39">
        <f>IF((gamma!C39),VLOOKUP(C$1,main!$A$3:$I$56,5,FALSE)-VLOOKUP($A39,main!$A$3:$I$56,6,FALSE),0)</f>
        <v>0</v>
      </c>
      <c r="D39">
        <f>IF((gamma!D39),VLOOKUP(D$1,main!$A$3:$I$56,5,FALSE)-VLOOKUP($A39,main!$A$3:$I$56,6,FALSE),0)</f>
        <v>0</v>
      </c>
      <c r="E39">
        <f>IF((gamma!E39),VLOOKUP(E$1,main!$A$3:$I$56,5,FALSE)-VLOOKUP($A39,main!$A$3:$I$56,6,FALSE),0)</f>
        <v>45</v>
      </c>
      <c r="F39">
        <f>IF((gamma!F39),VLOOKUP(F$1,main!$A$3:$I$56,5,FALSE)-VLOOKUP($A39,main!$A$3:$I$56,6,FALSE),0)</f>
        <v>135</v>
      </c>
      <c r="G39">
        <f>IF((gamma!G39),VLOOKUP(G$1,main!$A$3:$I$56,5,FALSE)-VLOOKUP($A39,main!$A$3:$I$56,6,FALSE),0)</f>
        <v>195</v>
      </c>
      <c r="H39">
        <f>IF((gamma!H39),VLOOKUP(H$1,main!$A$3:$I$56,5,FALSE)-VLOOKUP($A39,main!$A$3:$I$56,6,FALSE),0)</f>
        <v>255</v>
      </c>
      <c r="I39">
        <f>IF((gamma!I39),VLOOKUP(I$1,main!$A$3:$I$56,5,FALSE)-VLOOKUP($A39,main!$A$3:$I$56,6,FALSE),0)</f>
        <v>315</v>
      </c>
      <c r="J39">
        <f>IF((gamma!J39),VLOOKUP(J$1,main!$A$3:$I$56,5,FALSE)-VLOOKUP($A39,main!$A$3:$I$56,6,FALSE),0)</f>
        <v>405</v>
      </c>
      <c r="K39">
        <f>IF((gamma!K39),VLOOKUP(K$1,main!$A$3:$I$56,5,FALSE)-VLOOKUP($A39,main!$A$3:$I$56,6,FALSE),0)</f>
        <v>0</v>
      </c>
      <c r="L39">
        <f>IF((gamma!L39),VLOOKUP(L$1,main!$A$3:$I$56,5,FALSE)-VLOOKUP($A39,main!$A$3:$I$56,6,FALSE),0)</f>
        <v>0</v>
      </c>
      <c r="M39">
        <f>IF((gamma!M39),VLOOKUP(M$1,main!$A$3:$I$56,5,FALSE)-VLOOKUP($A39,main!$A$3:$I$56,6,FALSE),0)</f>
        <v>0</v>
      </c>
      <c r="N39">
        <f>IF((gamma!N39),VLOOKUP(N$1,main!$A$3:$I$56,5,FALSE)-VLOOKUP($A39,main!$A$3:$I$56,6,FALSE),0)</f>
        <v>370</v>
      </c>
      <c r="O39">
        <f>IF((gamma!O39),VLOOKUP(O$1,main!$A$3:$I$56,5,FALSE)-VLOOKUP($A39,main!$A$3:$I$56,6,FALSE),0)</f>
        <v>430</v>
      </c>
      <c r="P39">
        <f>IF((gamma!P39),VLOOKUP(P$1,main!$A$3:$I$56,5,FALSE)-VLOOKUP($A39,main!$A$3:$I$56,6,FALSE),0)</f>
        <v>0</v>
      </c>
      <c r="Q39">
        <f>IF((gamma!Q39),VLOOKUP(Q$1,main!$A$3:$I$56,5,FALSE)-VLOOKUP($A39,main!$A$3:$I$56,6,FALSE),0)</f>
        <v>0</v>
      </c>
      <c r="R39">
        <f>IF((gamma!R39),VLOOKUP(R$1,main!$A$3:$I$56,5,FALSE)-VLOOKUP($A39,main!$A$3:$I$56,6,FALSE),0)</f>
        <v>0</v>
      </c>
      <c r="S39">
        <f>IF((gamma!S39),VLOOKUP(S$1,main!$A$3:$I$56,5,FALSE)-VLOOKUP($A39,main!$A$3:$I$56,6,FALSE),0)</f>
        <v>185</v>
      </c>
      <c r="T39">
        <f>IF((gamma!T39),VLOOKUP(T$1,main!$A$3:$I$56,5,FALSE)-VLOOKUP($A39,main!$A$3:$I$56,6,FALSE),0)</f>
        <v>335</v>
      </c>
      <c r="U39">
        <f>IF((gamma!U39),VLOOKUP(U$1,main!$A$3:$I$56,5,FALSE)-VLOOKUP($A39,main!$A$3:$I$56,6,FALSE),0)</f>
        <v>0</v>
      </c>
      <c r="V39">
        <f>IF((gamma!V39),VLOOKUP(V$1,main!$A$3:$I$56,5,FALSE)-VLOOKUP($A39,main!$A$3:$I$56,6,FALSE),0)</f>
        <v>0</v>
      </c>
      <c r="W39">
        <f>IF((gamma!W39),VLOOKUP(W$1,main!$A$3:$I$56,5,FALSE)-VLOOKUP($A39,main!$A$3:$I$56,6,FALSE),0)</f>
        <v>0</v>
      </c>
      <c r="X39">
        <f>IF((gamma!X39),VLOOKUP(X$1,main!$A$3:$I$56,5,FALSE)-VLOOKUP($A39,main!$A$3:$I$56,6,FALSE),0)</f>
        <v>25</v>
      </c>
      <c r="Y39">
        <f>IF((gamma!Y39),VLOOKUP(Y$1,main!$A$3:$I$56,5,FALSE)-VLOOKUP($A39,main!$A$3:$I$56,6,FALSE),0)</f>
        <v>115</v>
      </c>
      <c r="Z39">
        <f>IF((gamma!Z39),VLOOKUP(Z$1,main!$A$3:$I$56,5,FALSE)-VLOOKUP($A39,main!$A$3:$I$56,6,FALSE),0)</f>
        <v>205</v>
      </c>
      <c r="AA39">
        <f>IF((gamma!AA39),VLOOKUP(AA$1,main!$A$3:$I$56,5,FALSE)-VLOOKUP($A39,main!$A$3:$I$56,6,FALSE),0)</f>
        <v>295</v>
      </c>
      <c r="AB39">
        <f>IF((gamma!AB39),VLOOKUP(AB$1,main!$A$3:$I$56,5,FALSE)-VLOOKUP($A39,main!$A$3:$I$56,6,FALSE),0)</f>
        <v>355</v>
      </c>
      <c r="AC39">
        <f>IF((gamma!AC39),VLOOKUP(AC$1,main!$A$3:$I$56,5,FALSE)-VLOOKUP($A39,main!$A$3:$I$56,6,FALSE),0)</f>
        <v>0</v>
      </c>
      <c r="AD39">
        <f>IF((gamma!AD39),VLOOKUP(AD$1,main!$A$3:$I$56,5,FALSE)-VLOOKUP($A39,main!$A$3:$I$56,6,FALSE),0)</f>
        <v>0</v>
      </c>
      <c r="AE39">
        <f>IF((gamma!AE39),VLOOKUP(AE$1,main!$A$3:$I$56,5,FALSE)-VLOOKUP($A39,main!$A$3:$I$56,6,FALSE),0)</f>
        <v>15</v>
      </c>
      <c r="AF39">
        <f>IF((gamma!AF39),VLOOKUP(AF$1,main!$A$3:$I$56,5,FALSE)-VLOOKUP($A39,main!$A$3:$I$56,6,FALSE),0)</f>
        <v>165</v>
      </c>
      <c r="AG39">
        <f>IF((gamma!AG39),VLOOKUP(AG$1,main!$A$3:$I$56,5,FALSE)-VLOOKUP($A39,main!$A$3:$I$56,6,FALSE),0)</f>
        <v>0</v>
      </c>
      <c r="AH39">
        <f>IF((gamma!AH39),VLOOKUP(AH$1,main!$A$3:$I$56,5,FALSE)-VLOOKUP($A39,main!$A$3:$I$56,6,FALSE),0)</f>
        <v>0</v>
      </c>
      <c r="AI39">
        <f>IF((gamma!AI39),VLOOKUP(AI$1,main!$A$3:$I$56,5,FALSE)-VLOOKUP($A39,main!$A$3:$I$56,6,FALSE),0)</f>
        <v>75</v>
      </c>
      <c r="AJ39">
        <f>IF((gamma!AJ39),VLOOKUP(AJ$1,main!$A$3:$I$56,5,FALSE)-VLOOKUP($A39,main!$A$3:$I$56,6,FALSE),0)</f>
        <v>135</v>
      </c>
      <c r="AK39">
        <f>IF((gamma!AK39),VLOOKUP(AK$1,main!$A$3:$I$56,5,FALSE)-VLOOKUP($A39,main!$A$3:$I$56,6,FALSE),0)</f>
        <v>255</v>
      </c>
      <c r="AL39">
        <f>IF((gamma!AL39),VLOOKUP(AL$1,main!$A$3:$I$56,5,FALSE)-VLOOKUP($A39,main!$A$3:$I$56,6,FALSE),0)</f>
        <v>0</v>
      </c>
      <c r="AM39">
        <f>IF((gamma!AM39),VLOOKUP(AM$1,main!$A$3:$I$56,5,FALSE)-VLOOKUP($A39,main!$A$3:$I$56,6,FALSE),0)</f>
        <v>0</v>
      </c>
      <c r="AN39">
        <f>IF((gamma!AN39),VLOOKUP(AN$1,main!$A$3:$I$56,5,FALSE)-VLOOKUP($A39,main!$A$3:$I$56,6,FALSE),0)</f>
        <v>115</v>
      </c>
      <c r="AO39">
        <f>IF((gamma!AO39),VLOOKUP(AO$1,main!$A$3:$I$56,5,FALSE)-VLOOKUP($A39,main!$A$3:$I$56,6,FALSE),0)</f>
        <v>165</v>
      </c>
      <c r="AP39">
        <f>IF((gamma!AP39),VLOOKUP(AP$1,main!$A$3:$I$56,5,FALSE)-VLOOKUP($A39,main!$A$3:$I$56,6,FALSE),0)</f>
        <v>0</v>
      </c>
      <c r="AQ39">
        <f>IF((gamma!AQ39),VLOOKUP(AQ$1,main!$A$3:$I$56,5,FALSE)-VLOOKUP($A39,main!$A$3:$I$56,6,FALSE),0)</f>
        <v>0</v>
      </c>
      <c r="AR39">
        <f>IF((gamma!AR39),VLOOKUP(AR$1,main!$A$3:$I$56,5,FALSE)-VLOOKUP($A39,main!$A$3:$I$56,6,FALSE),0)</f>
        <v>0</v>
      </c>
      <c r="AS39">
        <f>IF((gamma!AS39),VLOOKUP(AS$1,main!$A$3:$I$56,5,FALSE)-VLOOKUP($A39,main!$A$3:$I$56,6,FALSE),0)</f>
        <v>0</v>
      </c>
      <c r="AT39">
        <f>IF((gamma!AT39),VLOOKUP(AT$1,main!$A$3:$I$56,5,FALSE)-VLOOKUP($A39,main!$A$3:$I$56,6,FALSE),0)</f>
        <v>65</v>
      </c>
      <c r="AU39">
        <f>IF((gamma!AU39),VLOOKUP(AU$1,main!$A$3:$I$56,5,FALSE)-VLOOKUP($A39,main!$A$3:$I$56,6,FALSE),0)</f>
        <v>0</v>
      </c>
      <c r="AV39">
        <f>IF((gamma!AV39),VLOOKUP(AV$1,main!$A$3:$I$56,5,FALSE)-VLOOKUP($A39,main!$A$3:$I$56,6,FALSE),0)</f>
        <v>0</v>
      </c>
      <c r="AW39">
        <f>IF((gamma!AW39),VLOOKUP(AW$1,main!$A$3:$I$56,5,FALSE)-VLOOKUP($A39,main!$A$3:$I$56,6,FALSE),0)</f>
        <v>0</v>
      </c>
      <c r="AX39">
        <f>IF((gamma!AX39),VLOOKUP(AX$1,main!$A$3:$I$56,5,FALSE)-VLOOKUP($A39,main!$A$3:$I$56,6,FALSE),0)</f>
        <v>215</v>
      </c>
      <c r="AY39">
        <f>IF((gamma!AY39),VLOOKUP(AY$1,main!$A$3:$I$56,5,FALSE)-VLOOKUP($A39,main!$A$3:$I$56,6,FALSE),0)</f>
        <v>415</v>
      </c>
      <c r="AZ39">
        <f>IF((gamma!AZ39),VLOOKUP(AZ$1,main!$A$3:$I$56,5,FALSE)-VLOOKUP($A39,main!$A$3:$I$56,6,FALSE),0)</f>
        <v>0</v>
      </c>
      <c r="BA39">
        <f>IF((gamma!BA39),VLOOKUP(BA$1,main!$A$3:$I$56,5,FALSE)-VLOOKUP($A39,main!$A$3:$I$56,6,FALSE),0)</f>
        <v>0</v>
      </c>
      <c r="BB39">
        <f>IF((gamma!BB39),VLOOKUP(BB$1,main!$A$3:$I$56,5,FALSE)-VLOOKUP($A39,main!$A$3:$I$56,6,FALSE),0)</f>
        <v>0</v>
      </c>
      <c r="BC39">
        <f>IF((gamma!BC39),VLOOKUP(BC$1,main!$A$3:$I$56,5,FALSE)-VLOOKUP($A39,main!$A$3:$I$56,6,FALSE),0)</f>
        <v>180</v>
      </c>
      <c r="BD39">
        <f>IF((gamma!BD39),VLOOKUP(BD$1,main!$A$3:$I$56,5,FALSE)-VLOOKUP($A39,main!$A$3:$I$56,6,FALSE),0)</f>
        <v>190</v>
      </c>
    </row>
    <row r="40" spans="1:56" x14ac:dyDescent="0.25">
      <c r="A40">
        <f t="shared" si="2"/>
        <v>38</v>
      </c>
      <c r="B40">
        <v>0</v>
      </c>
      <c r="C40">
        <f>IF((gamma!C40),VLOOKUP(C$1,main!$A$3:$I$56,5,FALSE)-VLOOKUP($A40,main!$A$3:$I$56,6,FALSE),0)</f>
        <v>0</v>
      </c>
      <c r="D40">
        <f>IF((gamma!D40),VLOOKUP(D$1,main!$A$3:$I$56,5,FALSE)-VLOOKUP($A40,main!$A$3:$I$56,6,FALSE),0)</f>
        <v>0</v>
      </c>
      <c r="E40">
        <f>IF((gamma!E40),VLOOKUP(E$1,main!$A$3:$I$56,5,FALSE)-VLOOKUP($A40,main!$A$3:$I$56,6,FALSE),0)</f>
        <v>0</v>
      </c>
      <c r="F40">
        <f>IF((gamma!F40),VLOOKUP(F$1,main!$A$3:$I$56,5,FALSE)-VLOOKUP($A40,main!$A$3:$I$56,6,FALSE),0)</f>
        <v>0</v>
      </c>
      <c r="G40">
        <f>IF((gamma!G40),VLOOKUP(G$1,main!$A$3:$I$56,5,FALSE)-VLOOKUP($A40,main!$A$3:$I$56,6,FALSE),0)</f>
        <v>0</v>
      </c>
      <c r="H40">
        <f>IF((gamma!H40),VLOOKUP(H$1,main!$A$3:$I$56,5,FALSE)-VLOOKUP($A40,main!$A$3:$I$56,6,FALSE),0)</f>
        <v>0</v>
      </c>
      <c r="I40">
        <f>IF((gamma!I40),VLOOKUP(I$1,main!$A$3:$I$56,5,FALSE)-VLOOKUP($A40,main!$A$3:$I$56,6,FALSE),0)</f>
        <v>80</v>
      </c>
      <c r="J40">
        <f>IF((gamma!J40),VLOOKUP(J$1,main!$A$3:$I$56,5,FALSE)-VLOOKUP($A40,main!$A$3:$I$56,6,FALSE),0)</f>
        <v>170</v>
      </c>
      <c r="K40">
        <f>IF((gamma!K40),VLOOKUP(K$1,main!$A$3:$I$56,5,FALSE)-VLOOKUP($A40,main!$A$3:$I$56,6,FALSE),0)</f>
        <v>0</v>
      </c>
      <c r="L40">
        <f>IF((gamma!L40),VLOOKUP(L$1,main!$A$3:$I$56,5,FALSE)-VLOOKUP($A40,main!$A$3:$I$56,6,FALSE),0)</f>
        <v>0</v>
      </c>
      <c r="M40">
        <f>IF((gamma!M40),VLOOKUP(M$1,main!$A$3:$I$56,5,FALSE)-VLOOKUP($A40,main!$A$3:$I$56,6,FALSE),0)</f>
        <v>0</v>
      </c>
      <c r="N40">
        <f>IF((gamma!N40),VLOOKUP(N$1,main!$A$3:$I$56,5,FALSE)-VLOOKUP($A40,main!$A$3:$I$56,6,FALSE),0)</f>
        <v>135</v>
      </c>
      <c r="O40">
        <f>IF((gamma!O40),VLOOKUP(O$1,main!$A$3:$I$56,5,FALSE)-VLOOKUP($A40,main!$A$3:$I$56,6,FALSE),0)</f>
        <v>195</v>
      </c>
      <c r="P40">
        <f>IF((gamma!P40),VLOOKUP(P$1,main!$A$3:$I$56,5,FALSE)-VLOOKUP($A40,main!$A$3:$I$56,6,FALSE),0)</f>
        <v>0</v>
      </c>
      <c r="Q40">
        <f>IF((gamma!Q40),VLOOKUP(Q$1,main!$A$3:$I$56,5,FALSE)-VLOOKUP($A40,main!$A$3:$I$56,6,FALSE),0)</f>
        <v>0</v>
      </c>
      <c r="R40">
        <f>IF((gamma!R40),VLOOKUP(R$1,main!$A$3:$I$56,5,FALSE)-VLOOKUP($A40,main!$A$3:$I$56,6,FALSE),0)</f>
        <v>0</v>
      </c>
      <c r="S40">
        <f>IF((gamma!S40),VLOOKUP(S$1,main!$A$3:$I$56,5,FALSE)-VLOOKUP($A40,main!$A$3:$I$56,6,FALSE),0)</f>
        <v>0</v>
      </c>
      <c r="T40">
        <f>IF((gamma!T40),VLOOKUP(T$1,main!$A$3:$I$56,5,FALSE)-VLOOKUP($A40,main!$A$3:$I$56,6,FALSE),0)</f>
        <v>100</v>
      </c>
      <c r="U40">
        <f>IF((gamma!U40),VLOOKUP(U$1,main!$A$3:$I$56,5,FALSE)-VLOOKUP($A40,main!$A$3:$I$56,6,FALSE),0)</f>
        <v>0</v>
      </c>
      <c r="V40">
        <f>IF((gamma!V40),VLOOKUP(V$1,main!$A$3:$I$56,5,FALSE)-VLOOKUP($A40,main!$A$3:$I$56,6,FALSE),0)</f>
        <v>0</v>
      </c>
      <c r="W40">
        <f>IF((gamma!W40),VLOOKUP(W$1,main!$A$3:$I$56,5,FALSE)-VLOOKUP($A40,main!$A$3:$I$56,6,FALSE),0)</f>
        <v>0</v>
      </c>
      <c r="X40">
        <f>IF((gamma!X40),VLOOKUP(X$1,main!$A$3:$I$56,5,FALSE)-VLOOKUP($A40,main!$A$3:$I$56,6,FALSE),0)</f>
        <v>0</v>
      </c>
      <c r="Y40">
        <f>IF((gamma!Y40),VLOOKUP(Y$1,main!$A$3:$I$56,5,FALSE)-VLOOKUP($A40,main!$A$3:$I$56,6,FALSE),0)</f>
        <v>0</v>
      </c>
      <c r="Z40">
        <f>IF((gamma!Z40),VLOOKUP(Z$1,main!$A$3:$I$56,5,FALSE)-VLOOKUP($A40,main!$A$3:$I$56,6,FALSE),0)</f>
        <v>0</v>
      </c>
      <c r="AA40">
        <f>IF((gamma!AA40),VLOOKUP(AA$1,main!$A$3:$I$56,5,FALSE)-VLOOKUP($A40,main!$A$3:$I$56,6,FALSE),0)</f>
        <v>60</v>
      </c>
      <c r="AB40">
        <f>IF((gamma!AB40),VLOOKUP(AB$1,main!$A$3:$I$56,5,FALSE)-VLOOKUP($A40,main!$A$3:$I$56,6,FALSE),0)</f>
        <v>120</v>
      </c>
      <c r="AC40">
        <f>IF((gamma!AC40),VLOOKUP(AC$1,main!$A$3:$I$56,5,FALSE)-VLOOKUP($A40,main!$A$3:$I$56,6,FALSE),0)</f>
        <v>0</v>
      </c>
      <c r="AD40">
        <f>IF((gamma!AD40),VLOOKUP(AD$1,main!$A$3:$I$56,5,FALSE)-VLOOKUP($A40,main!$A$3:$I$56,6,FALSE),0)</f>
        <v>0</v>
      </c>
      <c r="AE40">
        <f>IF((gamma!AE40),VLOOKUP(AE$1,main!$A$3:$I$56,5,FALSE)-VLOOKUP($A40,main!$A$3:$I$56,6,FALSE),0)</f>
        <v>0</v>
      </c>
      <c r="AF40">
        <f>IF((gamma!AF40),VLOOKUP(AF$1,main!$A$3:$I$56,5,FALSE)-VLOOKUP($A40,main!$A$3:$I$56,6,FALSE),0)</f>
        <v>0</v>
      </c>
      <c r="AG40">
        <f>IF((gamma!AG40),VLOOKUP(AG$1,main!$A$3:$I$56,5,FALSE)-VLOOKUP($A40,main!$A$3:$I$56,6,FALSE),0)</f>
        <v>0</v>
      </c>
      <c r="AH40">
        <f>IF((gamma!AH40),VLOOKUP(AH$1,main!$A$3:$I$56,5,FALSE)-VLOOKUP($A40,main!$A$3:$I$56,6,FALSE),0)</f>
        <v>0</v>
      </c>
      <c r="AI40">
        <f>IF((gamma!AI40),VLOOKUP(AI$1,main!$A$3:$I$56,5,FALSE)-VLOOKUP($A40,main!$A$3:$I$56,6,FALSE),0)</f>
        <v>0</v>
      </c>
      <c r="AJ40">
        <f>IF((gamma!AJ40),VLOOKUP(AJ$1,main!$A$3:$I$56,5,FALSE)-VLOOKUP($A40,main!$A$3:$I$56,6,FALSE),0)</f>
        <v>0</v>
      </c>
      <c r="AK40">
        <f>IF((gamma!AK40),VLOOKUP(AK$1,main!$A$3:$I$56,5,FALSE)-VLOOKUP($A40,main!$A$3:$I$56,6,FALSE),0)</f>
        <v>0</v>
      </c>
      <c r="AL40">
        <f>IF((gamma!AL40),VLOOKUP(AL$1,main!$A$3:$I$56,5,FALSE)-VLOOKUP($A40,main!$A$3:$I$56,6,FALSE),0)</f>
        <v>0</v>
      </c>
      <c r="AM40">
        <f>IF((gamma!AM40),VLOOKUP(AM$1,main!$A$3:$I$56,5,FALSE)-VLOOKUP($A40,main!$A$3:$I$56,6,FALSE),0)</f>
        <v>0</v>
      </c>
      <c r="AN40">
        <f>IF((gamma!AN40),VLOOKUP(AN$1,main!$A$3:$I$56,5,FALSE)-VLOOKUP($A40,main!$A$3:$I$56,6,FALSE),0)</f>
        <v>0</v>
      </c>
      <c r="AO40">
        <f>IF((gamma!AO40),VLOOKUP(AO$1,main!$A$3:$I$56,5,FALSE)-VLOOKUP($A40,main!$A$3:$I$56,6,FALSE),0)</f>
        <v>0</v>
      </c>
      <c r="AP40">
        <f>IF((gamma!AP40),VLOOKUP(AP$1,main!$A$3:$I$56,5,FALSE)-VLOOKUP($A40,main!$A$3:$I$56,6,FALSE),0)</f>
        <v>0</v>
      </c>
      <c r="AQ40">
        <f>IF((gamma!AQ40),VLOOKUP(AQ$1,main!$A$3:$I$56,5,FALSE)-VLOOKUP($A40,main!$A$3:$I$56,6,FALSE),0)</f>
        <v>0</v>
      </c>
      <c r="AR40">
        <f>IF((gamma!AR40),VLOOKUP(AR$1,main!$A$3:$I$56,5,FALSE)-VLOOKUP($A40,main!$A$3:$I$56,6,FALSE),0)</f>
        <v>0</v>
      </c>
      <c r="AS40">
        <f>IF((gamma!AS40),VLOOKUP(AS$1,main!$A$3:$I$56,5,FALSE)-VLOOKUP($A40,main!$A$3:$I$56,6,FALSE),0)</f>
        <v>0</v>
      </c>
      <c r="AT40">
        <f>IF((gamma!AT40),VLOOKUP(AT$1,main!$A$3:$I$56,5,FALSE)-VLOOKUP($A40,main!$A$3:$I$56,6,FALSE),0)</f>
        <v>0</v>
      </c>
      <c r="AU40">
        <f>IF((gamma!AU40),VLOOKUP(AU$1,main!$A$3:$I$56,5,FALSE)-VLOOKUP($A40,main!$A$3:$I$56,6,FALSE),0)</f>
        <v>0</v>
      </c>
      <c r="AV40">
        <f>IF((gamma!AV40),VLOOKUP(AV$1,main!$A$3:$I$56,5,FALSE)-VLOOKUP($A40,main!$A$3:$I$56,6,FALSE),0)</f>
        <v>0</v>
      </c>
      <c r="AW40">
        <f>IF((gamma!AW40),VLOOKUP(AW$1,main!$A$3:$I$56,5,FALSE)-VLOOKUP($A40,main!$A$3:$I$56,6,FALSE),0)</f>
        <v>0</v>
      </c>
      <c r="AX40">
        <f>IF((gamma!AX40),VLOOKUP(AX$1,main!$A$3:$I$56,5,FALSE)-VLOOKUP($A40,main!$A$3:$I$56,6,FALSE),0)</f>
        <v>0</v>
      </c>
      <c r="AY40">
        <f>IF((gamma!AY40),VLOOKUP(AY$1,main!$A$3:$I$56,5,FALSE)-VLOOKUP($A40,main!$A$3:$I$56,6,FALSE),0)</f>
        <v>180</v>
      </c>
      <c r="AZ40">
        <f>IF((gamma!AZ40),VLOOKUP(AZ$1,main!$A$3:$I$56,5,FALSE)-VLOOKUP($A40,main!$A$3:$I$56,6,FALSE),0)</f>
        <v>0</v>
      </c>
      <c r="BA40">
        <f>IF((gamma!BA40),VLOOKUP(BA$1,main!$A$3:$I$56,5,FALSE)-VLOOKUP($A40,main!$A$3:$I$56,6,FALSE),0)</f>
        <v>0</v>
      </c>
      <c r="BB40">
        <f>IF((gamma!BB40),VLOOKUP(BB$1,main!$A$3:$I$56,5,FALSE)-VLOOKUP($A40,main!$A$3:$I$56,6,FALSE),0)</f>
        <v>0</v>
      </c>
      <c r="BC40">
        <f>IF((gamma!BC40),VLOOKUP(BC$1,main!$A$3:$I$56,5,FALSE)-VLOOKUP($A40,main!$A$3:$I$56,6,FALSE),0)</f>
        <v>0</v>
      </c>
      <c r="BD40">
        <f>IF((gamma!BD40),VLOOKUP(BD$1,main!$A$3:$I$56,5,FALSE)-VLOOKUP($A40,main!$A$3:$I$56,6,FALSE),0)</f>
        <v>0</v>
      </c>
    </row>
    <row r="41" spans="1:56" x14ac:dyDescent="0.25">
      <c r="A41">
        <f t="shared" si="2"/>
        <v>39</v>
      </c>
      <c r="B41">
        <v>0</v>
      </c>
      <c r="C41">
        <f>IF((gamma!C41),VLOOKUP(C$1,main!$A$3:$I$56,5,FALSE)-VLOOKUP($A41,main!$A$3:$I$56,6,FALSE),0)</f>
        <v>0</v>
      </c>
      <c r="D41">
        <f>IF((gamma!D41),VLOOKUP(D$1,main!$A$3:$I$56,5,FALSE)-VLOOKUP($A41,main!$A$3:$I$56,6,FALSE),0)</f>
        <v>0</v>
      </c>
      <c r="E41">
        <f>IF((gamma!E41),VLOOKUP(E$1,main!$A$3:$I$56,5,FALSE)-VLOOKUP($A41,main!$A$3:$I$56,6,FALSE),0)</f>
        <v>0</v>
      </c>
      <c r="F41">
        <f>IF((gamma!F41),VLOOKUP(F$1,main!$A$3:$I$56,5,FALSE)-VLOOKUP($A41,main!$A$3:$I$56,6,FALSE),0)</f>
        <v>0</v>
      </c>
      <c r="G41">
        <f>IF((gamma!G41),VLOOKUP(G$1,main!$A$3:$I$56,5,FALSE)-VLOOKUP($A41,main!$A$3:$I$56,6,FALSE),0)</f>
        <v>0</v>
      </c>
      <c r="H41">
        <f>IF((gamma!H41),VLOOKUP(H$1,main!$A$3:$I$56,5,FALSE)-VLOOKUP($A41,main!$A$3:$I$56,6,FALSE),0)</f>
        <v>0</v>
      </c>
      <c r="I41">
        <f>IF((gamma!I41),VLOOKUP(I$1,main!$A$3:$I$56,5,FALSE)-VLOOKUP($A41,main!$A$3:$I$56,6,FALSE),0)</f>
        <v>0</v>
      </c>
      <c r="J41">
        <f>IF((gamma!J41),VLOOKUP(J$1,main!$A$3:$I$56,5,FALSE)-VLOOKUP($A41,main!$A$3:$I$56,6,FALSE),0)</f>
        <v>110</v>
      </c>
      <c r="K41">
        <f>IF((gamma!K41),VLOOKUP(K$1,main!$A$3:$I$56,5,FALSE)-VLOOKUP($A41,main!$A$3:$I$56,6,FALSE),0)</f>
        <v>0</v>
      </c>
      <c r="L41">
        <f>IF((gamma!L41),VLOOKUP(L$1,main!$A$3:$I$56,5,FALSE)-VLOOKUP($A41,main!$A$3:$I$56,6,FALSE),0)</f>
        <v>0</v>
      </c>
      <c r="M41">
        <f>IF((gamma!M41),VLOOKUP(M$1,main!$A$3:$I$56,5,FALSE)-VLOOKUP($A41,main!$A$3:$I$56,6,FALSE),0)</f>
        <v>0</v>
      </c>
      <c r="N41">
        <f>IF((gamma!N41),VLOOKUP(N$1,main!$A$3:$I$56,5,FALSE)-VLOOKUP($A41,main!$A$3:$I$56,6,FALSE),0)</f>
        <v>75</v>
      </c>
      <c r="O41">
        <f>IF((gamma!O41),VLOOKUP(O$1,main!$A$3:$I$56,5,FALSE)-VLOOKUP($A41,main!$A$3:$I$56,6,FALSE),0)</f>
        <v>135</v>
      </c>
      <c r="P41">
        <f>IF((gamma!P41),VLOOKUP(P$1,main!$A$3:$I$56,5,FALSE)-VLOOKUP($A41,main!$A$3:$I$56,6,FALSE),0)</f>
        <v>0</v>
      </c>
      <c r="Q41">
        <f>IF((gamma!Q41),VLOOKUP(Q$1,main!$A$3:$I$56,5,FALSE)-VLOOKUP($A41,main!$A$3:$I$56,6,FALSE),0)</f>
        <v>0</v>
      </c>
      <c r="R41">
        <f>IF((gamma!R41),VLOOKUP(R$1,main!$A$3:$I$56,5,FALSE)-VLOOKUP($A41,main!$A$3:$I$56,6,FALSE),0)</f>
        <v>0</v>
      </c>
      <c r="S41">
        <f>IF((gamma!S41),VLOOKUP(S$1,main!$A$3:$I$56,5,FALSE)-VLOOKUP($A41,main!$A$3:$I$56,6,FALSE),0)</f>
        <v>0</v>
      </c>
      <c r="T41">
        <f>IF((gamma!T41),VLOOKUP(T$1,main!$A$3:$I$56,5,FALSE)-VLOOKUP($A41,main!$A$3:$I$56,6,FALSE),0)</f>
        <v>40</v>
      </c>
      <c r="U41">
        <f>IF((gamma!U41),VLOOKUP(U$1,main!$A$3:$I$56,5,FALSE)-VLOOKUP($A41,main!$A$3:$I$56,6,FALSE),0)</f>
        <v>0</v>
      </c>
      <c r="V41">
        <f>IF((gamma!V41),VLOOKUP(V$1,main!$A$3:$I$56,5,FALSE)-VLOOKUP($A41,main!$A$3:$I$56,6,FALSE),0)</f>
        <v>0</v>
      </c>
      <c r="W41">
        <f>IF((gamma!W41),VLOOKUP(W$1,main!$A$3:$I$56,5,FALSE)-VLOOKUP($A41,main!$A$3:$I$56,6,FALSE),0)</f>
        <v>0</v>
      </c>
      <c r="X41">
        <f>IF((gamma!X41),VLOOKUP(X$1,main!$A$3:$I$56,5,FALSE)-VLOOKUP($A41,main!$A$3:$I$56,6,FALSE),0)</f>
        <v>0</v>
      </c>
      <c r="Y41">
        <f>IF((gamma!Y41),VLOOKUP(Y$1,main!$A$3:$I$56,5,FALSE)-VLOOKUP($A41,main!$A$3:$I$56,6,FALSE),0)</f>
        <v>0</v>
      </c>
      <c r="Z41">
        <f>IF((gamma!Z41),VLOOKUP(Z$1,main!$A$3:$I$56,5,FALSE)-VLOOKUP($A41,main!$A$3:$I$56,6,FALSE),0)</f>
        <v>0</v>
      </c>
      <c r="AA41">
        <f>IF((gamma!AA41),VLOOKUP(AA$1,main!$A$3:$I$56,5,FALSE)-VLOOKUP($A41,main!$A$3:$I$56,6,FALSE),0)</f>
        <v>0</v>
      </c>
      <c r="AB41">
        <f>IF((gamma!AB41),VLOOKUP(AB$1,main!$A$3:$I$56,5,FALSE)-VLOOKUP($A41,main!$A$3:$I$56,6,FALSE),0)</f>
        <v>60</v>
      </c>
      <c r="AC41">
        <f>IF((gamma!AC41),VLOOKUP(AC$1,main!$A$3:$I$56,5,FALSE)-VLOOKUP($A41,main!$A$3:$I$56,6,FALSE),0)</f>
        <v>0</v>
      </c>
      <c r="AD41">
        <f>IF((gamma!AD41),VLOOKUP(AD$1,main!$A$3:$I$56,5,FALSE)-VLOOKUP($A41,main!$A$3:$I$56,6,FALSE),0)</f>
        <v>0</v>
      </c>
      <c r="AE41">
        <f>IF((gamma!AE41),VLOOKUP(AE$1,main!$A$3:$I$56,5,FALSE)-VLOOKUP($A41,main!$A$3:$I$56,6,FALSE),0)</f>
        <v>0</v>
      </c>
      <c r="AF41">
        <f>IF((gamma!AF41),VLOOKUP(AF$1,main!$A$3:$I$56,5,FALSE)-VLOOKUP($A41,main!$A$3:$I$56,6,FALSE),0)</f>
        <v>0</v>
      </c>
      <c r="AG41">
        <f>IF((gamma!AG41),VLOOKUP(AG$1,main!$A$3:$I$56,5,FALSE)-VLOOKUP($A41,main!$A$3:$I$56,6,FALSE),0)</f>
        <v>0</v>
      </c>
      <c r="AH41">
        <f>IF((gamma!AH41),VLOOKUP(AH$1,main!$A$3:$I$56,5,FALSE)-VLOOKUP($A41,main!$A$3:$I$56,6,FALSE),0)</f>
        <v>0</v>
      </c>
      <c r="AI41">
        <f>IF((gamma!AI41),VLOOKUP(AI$1,main!$A$3:$I$56,5,FALSE)-VLOOKUP($A41,main!$A$3:$I$56,6,FALSE),0)</f>
        <v>0</v>
      </c>
      <c r="AJ41">
        <f>IF((gamma!AJ41),VLOOKUP(AJ$1,main!$A$3:$I$56,5,FALSE)-VLOOKUP($A41,main!$A$3:$I$56,6,FALSE),0)</f>
        <v>0</v>
      </c>
      <c r="AK41">
        <f>IF((gamma!AK41),VLOOKUP(AK$1,main!$A$3:$I$56,5,FALSE)-VLOOKUP($A41,main!$A$3:$I$56,6,FALSE),0)</f>
        <v>0</v>
      </c>
      <c r="AL41">
        <f>IF((gamma!AL41),VLOOKUP(AL$1,main!$A$3:$I$56,5,FALSE)-VLOOKUP($A41,main!$A$3:$I$56,6,FALSE),0)</f>
        <v>0</v>
      </c>
      <c r="AM41">
        <f>IF((gamma!AM41),VLOOKUP(AM$1,main!$A$3:$I$56,5,FALSE)-VLOOKUP($A41,main!$A$3:$I$56,6,FALSE),0)</f>
        <v>0</v>
      </c>
      <c r="AN41">
        <f>IF((gamma!AN41),VLOOKUP(AN$1,main!$A$3:$I$56,5,FALSE)-VLOOKUP($A41,main!$A$3:$I$56,6,FALSE),0)</f>
        <v>0</v>
      </c>
      <c r="AO41">
        <f>IF((gamma!AO41),VLOOKUP(AO$1,main!$A$3:$I$56,5,FALSE)-VLOOKUP($A41,main!$A$3:$I$56,6,FALSE),0)</f>
        <v>0</v>
      </c>
      <c r="AP41">
        <f>IF((gamma!AP41),VLOOKUP(AP$1,main!$A$3:$I$56,5,FALSE)-VLOOKUP($A41,main!$A$3:$I$56,6,FALSE),0)</f>
        <v>0</v>
      </c>
      <c r="AQ41">
        <f>IF((gamma!AQ41),VLOOKUP(AQ$1,main!$A$3:$I$56,5,FALSE)-VLOOKUP($A41,main!$A$3:$I$56,6,FALSE),0)</f>
        <v>0</v>
      </c>
      <c r="AR41">
        <f>IF((gamma!AR41),VLOOKUP(AR$1,main!$A$3:$I$56,5,FALSE)-VLOOKUP($A41,main!$A$3:$I$56,6,FALSE),0)</f>
        <v>0</v>
      </c>
      <c r="AS41">
        <f>IF((gamma!AS41),VLOOKUP(AS$1,main!$A$3:$I$56,5,FALSE)-VLOOKUP($A41,main!$A$3:$I$56,6,FALSE),0)</f>
        <v>0</v>
      </c>
      <c r="AT41">
        <f>IF((gamma!AT41),VLOOKUP(AT$1,main!$A$3:$I$56,5,FALSE)-VLOOKUP($A41,main!$A$3:$I$56,6,FALSE),0)</f>
        <v>0</v>
      </c>
      <c r="AU41">
        <f>IF((gamma!AU41),VLOOKUP(AU$1,main!$A$3:$I$56,5,FALSE)-VLOOKUP($A41,main!$A$3:$I$56,6,FALSE),0)</f>
        <v>0</v>
      </c>
      <c r="AV41">
        <f>IF((gamma!AV41),VLOOKUP(AV$1,main!$A$3:$I$56,5,FALSE)-VLOOKUP($A41,main!$A$3:$I$56,6,FALSE),0)</f>
        <v>0</v>
      </c>
      <c r="AW41">
        <f>IF((gamma!AW41),VLOOKUP(AW$1,main!$A$3:$I$56,5,FALSE)-VLOOKUP($A41,main!$A$3:$I$56,6,FALSE),0)</f>
        <v>0</v>
      </c>
      <c r="AX41">
        <f>IF((gamma!AX41),VLOOKUP(AX$1,main!$A$3:$I$56,5,FALSE)-VLOOKUP($A41,main!$A$3:$I$56,6,FALSE),0)</f>
        <v>0</v>
      </c>
      <c r="AY41">
        <f>IF((gamma!AY41),VLOOKUP(AY$1,main!$A$3:$I$56,5,FALSE)-VLOOKUP($A41,main!$A$3:$I$56,6,FALSE),0)</f>
        <v>120</v>
      </c>
      <c r="AZ41">
        <f>IF((gamma!AZ41),VLOOKUP(AZ$1,main!$A$3:$I$56,5,FALSE)-VLOOKUP($A41,main!$A$3:$I$56,6,FALSE),0)</f>
        <v>0</v>
      </c>
      <c r="BA41">
        <f>IF((gamma!BA41),VLOOKUP(BA$1,main!$A$3:$I$56,5,FALSE)-VLOOKUP($A41,main!$A$3:$I$56,6,FALSE),0)</f>
        <v>0</v>
      </c>
      <c r="BB41">
        <f>IF((gamma!BB41),VLOOKUP(BB$1,main!$A$3:$I$56,5,FALSE)-VLOOKUP($A41,main!$A$3:$I$56,6,FALSE),0)</f>
        <v>0</v>
      </c>
      <c r="BC41">
        <f>IF((gamma!BC41),VLOOKUP(BC$1,main!$A$3:$I$56,5,FALSE)-VLOOKUP($A41,main!$A$3:$I$56,6,FALSE),0)</f>
        <v>0</v>
      </c>
      <c r="BD41">
        <f>IF((gamma!BD41),VLOOKUP(BD$1,main!$A$3:$I$56,5,FALSE)-VLOOKUP($A41,main!$A$3:$I$56,6,FALSE),0)</f>
        <v>0</v>
      </c>
    </row>
    <row r="42" spans="1:56" x14ac:dyDescent="0.25">
      <c r="A42">
        <f t="shared" si="2"/>
        <v>40</v>
      </c>
      <c r="B42">
        <v>0</v>
      </c>
      <c r="C42">
        <f>IF((gamma!C42),VLOOKUP(C$1,main!$A$3:$I$56,5,FALSE)-VLOOKUP($A42,main!$A$3:$I$56,6,FALSE),0)</f>
        <v>0</v>
      </c>
      <c r="D42">
        <f>IF((gamma!D42),VLOOKUP(D$1,main!$A$3:$I$56,5,FALSE)-VLOOKUP($A42,main!$A$3:$I$56,6,FALSE),0)</f>
        <v>155</v>
      </c>
      <c r="E42">
        <f>IF((gamma!E42),VLOOKUP(E$1,main!$A$3:$I$56,5,FALSE)-VLOOKUP($A42,main!$A$3:$I$56,6,FALSE),0)</f>
        <v>245</v>
      </c>
      <c r="F42">
        <f>IF((gamma!F42),VLOOKUP(F$1,main!$A$3:$I$56,5,FALSE)-VLOOKUP($A42,main!$A$3:$I$56,6,FALSE),0)</f>
        <v>335</v>
      </c>
      <c r="G42">
        <f>IF((gamma!G42),VLOOKUP(G$1,main!$A$3:$I$56,5,FALSE)-VLOOKUP($A42,main!$A$3:$I$56,6,FALSE),0)</f>
        <v>395</v>
      </c>
      <c r="H42">
        <f>IF((gamma!H42),VLOOKUP(H$1,main!$A$3:$I$56,5,FALSE)-VLOOKUP($A42,main!$A$3:$I$56,6,FALSE),0)</f>
        <v>455</v>
      </c>
      <c r="I42">
        <f>IF((gamma!I42),VLOOKUP(I$1,main!$A$3:$I$56,5,FALSE)-VLOOKUP($A42,main!$A$3:$I$56,6,FALSE),0)</f>
        <v>515</v>
      </c>
      <c r="J42">
        <f>IF((gamma!J42),VLOOKUP(J$1,main!$A$3:$I$56,5,FALSE)-VLOOKUP($A42,main!$A$3:$I$56,6,FALSE),0)</f>
        <v>605</v>
      </c>
      <c r="K42">
        <f>IF((gamma!K42),VLOOKUP(K$1,main!$A$3:$I$56,5,FALSE)-VLOOKUP($A42,main!$A$3:$I$56,6,FALSE),0)</f>
        <v>0</v>
      </c>
      <c r="L42">
        <f>IF((gamma!L42),VLOOKUP(L$1,main!$A$3:$I$56,5,FALSE)-VLOOKUP($A42,main!$A$3:$I$56,6,FALSE),0)</f>
        <v>90</v>
      </c>
      <c r="M42">
        <f>IF((gamma!M42),VLOOKUP(M$1,main!$A$3:$I$56,5,FALSE)-VLOOKUP($A42,main!$A$3:$I$56,6,FALSE),0)</f>
        <v>210</v>
      </c>
      <c r="N42">
        <f>IF((gamma!N42),VLOOKUP(N$1,main!$A$3:$I$56,5,FALSE)-VLOOKUP($A42,main!$A$3:$I$56,6,FALSE),0)</f>
        <v>570</v>
      </c>
      <c r="O42">
        <f>IF((gamma!O42),VLOOKUP(O$1,main!$A$3:$I$56,5,FALSE)-VLOOKUP($A42,main!$A$3:$I$56,6,FALSE),0)</f>
        <v>630</v>
      </c>
      <c r="P42">
        <f>IF((gamma!P42),VLOOKUP(P$1,main!$A$3:$I$56,5,FALSE)-VLOOKUP($A42,main!$A$3:$I$56,6,FALSE),0)</f>
        <v>0</v>
      </c>
      <c r="Q42">
        <f>IF((gamma!Q42),VLOOKUP(Q$1,main!$A$3:$I$56,5,FALSE)-VLOOKUP($A42,main!$A$3:$I$56,6,FALSE),0)</f>
        <v>0</v>
      </c>
      <c r="R42">
        <f>IF((gamma!R42),VLOOKUP(R$1,main!$A$3:$I$56,5,FALSE)-VLOOKUP($A42,main!$A$3:$I$56,6,FALSE),0)</f>
        <v>205</v>
      </c>
      <c r="S42">
        <f>IF((gamma!S42),VLOOKUP(S$1,main!$A$3:$I$56,5,FALSE)-VLOOKUP($A42,main!$A$3:$I$56,6,FALSE),0)</f>
        <v>385</v>
      </c>
      <c r="T42">
        <f>IF((gamma!T42),VLOOKUP(T$1,main!$A$3:$I$56,5,FALSE)-VLOOKUP($A42,main!$A$3:$I$56,6,FALSE),0)</f>
        <v>535</v>
      </c>
      <c r="U42">
        <f>IF((gamma!U42),VLOOKUP(U$1,main!$A$3:$I$56,5,FALSE)-VLOOKUP($A42,main!$A$3:$I$56,6,FALSE),0)</f>
        <v>0</v>
      </c>
      <c r="V42">
        <f>IF((gamma!V42),VLOOKUP(V$1,main!$A$3:$I$56,5,FALSE)-VLOOKUP($A42,main!$A$3:$I$56,6,FALSE),0)</f>
        <v>0</v>
      </c>
      <c r="W42">
        <f>IF((gamma!W42),VLOOKUP(W$1,main!$A$3:$I$56,5,FALSE)-VLOOKUP($A42,main!$A$3:$I$56,6,FALSE),0)</f>
        <v>135</v>
      </c>
      <c r="X42">
        <f>IF((gamma!X42),VLOOKUP(X$1,main!$A$3:$I$56,5,FALSE)-VLOOKUP($A42,main!$A$3:$I$56,6,FALSE),0)</f>
        <v>225</v>
      </c>
      <c r="Y42">
        <f>IF((gamma!Y42),VLOOKUP(Y$1,main!$A$3:$I$56,5,FALSE)-VLOOKUP($A42,main!$A$3:$I$56,6,FALSE),0)</f>
        <v>315</v>
      </c>
      <c r="Z42">
        <f>IF((gamma!Z42),VLOOKUP(Z$1,main!$A$3:$I$56,5,FALSE)-VLOOKUP($A42,main!$A$3:$I$56,6,FALSE),0)</f>
        <v>405</v>
      </c>
      <c r="AA42">
        <f>IF((gamma!AA42),VLOOKUP(AA$1,main!$A$3:$I$56,5,FALSE)-VLOOKUP($A42,main!$A$3:$I$56,6,FALSE),0)</f>
        <v>495</v>
      </c>
      <c r="AB42">
        <f>IF((gamma!AB42),VLOOKUP(AB$1,main!$A$3:$I$56,5,FALSE)-VLOOKUP($A42,main!$A$3:$I$56,6,FALSE),0)</f>
        <v>555</v>
      </c>
      <c r="AC42">
        <f>IF((gamma!AC42),VLOOKUP(AC$1,main!$A$3:$I$56,5,FALSE)-VLOOKUP($A42,main!$A$3:$I$56,6,FALSE),0)</f>
        <v>0</v>
      </c>
      <c r="AD42">
        <f>IF((gamma!AD42),VLOOKUP(AD$1,main!$A$3:$I$56,5,FALSE)-VLOOKUP($A42,main!$A$3:$I$56,6,FALSE),0)</f>
        <v>0</v>
      </c>
      <c r="AE42">
        <f>IF((gamma!AE42),VLOOKUP(AE$1,main!$A$3:$I$56,5,FALSE)-VLOOKUP($A42,main!$A$3:$I$56,6,FALSE),0)</f>
        <v>215</v>
      </c>
      <c r="AF42">
        <f>IF((gamma!AF42),VLOOKUP(AF$1,main!$A$3:$I$56,5,FALSE)-VLOOKUP($A42,main!$A$3:$I$56,6,FALSE),0)</f>
        <v>365</v>
      </c>
      <c r="AG42">
        <f>IF((gamma!AG42),VLOOKUP(AG$1,main!$A$3:$I$56,5,FALSE)-VLOOKUP($A42,main!$A$3:$I$56,6,FALSE),0)</f>
        <v>0</v>
      </c>
      <c r="AH42">
        <f>IF((gamma!AH42),VLOOKUP(AH$1,main!$A$3:$I$56,5,FALSE)-VLOOKUP($A42,main!$A$3:$I$56,6,FALSE),0)</f>
        <v>155</v>
      </c>
      <c r="AI42">
        <f>IF((gamma!AI42),VLOOKUP(AI$1,main!$A$3:$I$56,5,FALSE)-VLOOKUP($A42,main!$A$3:$I$56,6,FALSE),0)</f>
        <v>275</v>
      </c>
      <c r="AJ42">
        <f>IF((gamma!AJ42),VLOOKUP(AJ$1,main!$A$3:$I$56,5,FALSE)-VLOOKUP($A42,main!$A$3:$I$56,6,FALSE),0)</f>
        <v>335</v>
      </c>
      <c r="AK42">
        <f>IF((gamma!AK42),VLOOKUP(AK$1,main!$A$3:$I$56,5,FALSE)-VLOOKUP($A42,main!$A$3:$I$56,6,FALSE),0)</f>
        <v>455</v>
      </c>
      <c r="AL42">
        <f>IF((gamma!AL42),VLOOKUP(AL$1,main!$A$3:$I$56,5,FALSE)-VLOOKUP($A42,main!$A$3:$I$56,6,FALSE),0)</f>
        <v>0</v>
      </c>
      <c r="AM42">
        <f>IF((gamma!AM42),VLOOKUP(AM$1,main!$A$3:$I$56,5,FALSE)-VLOOKUP($A42,main!$A$3:$I$56,6,FALSE),0)</f>
        <v>60</v>
      </c>
      <c r="AN42">
        <f>IF((gamma!AN42),VLOOKUP(AN$1,main!$A$3:$I$56,5,FALSE)-VLOOKUP($A42,main!$A$3:$I$56,6,FALSE),0)</f>
        <v>315</v>
      </c>
      <c r="AO42">
        <f>IF((gamma!AO42),VLOOKUP(AO$1,main!$A$3:$I$56,5,FALSE)-VLOOKUP($A42,main!$A$3:$I$56,6,FALSE),0)</f>
        <v>365</v>
      </c>
      <c r="AP42">
        <f>IF((gamma!AP42),VLOOKUP(AP$1,main!$A$3:$I$56,5,FALSE)-VLOOKUP($A42,main!$A$3:$I$56,6,FALSE),0)</f>
        <v>0</v>
      </c>
      <c r="AQ42">
        <f>IF((gamma!AQ42),VLOOKUP(AQ$1,main!$A$3:$I$56,5,FALSE)-VLOOKUP($A42,main!$A$3:$I$56,6,FALSE),0)</f>
        <v>0</v>
      </c>
      <c r="AR42">
        <f>IF((gamma!AR42),VLOOKUP(AR$1,main!$A$3:$I$56,5,FALSE)-VLOOKUP($A42,main!$A$3:$I$56,6,FALSE),0)</f>
        <v>0</v>
      </c>
      <c r="AS42">
        <f>IF((gamma!AS42),VLOOKUP(AS$1,main!$A$3:$I$56,5,FALSE)-VLOOKUP($A42,main!$A$3:$I$56,6,FALSE),0)</f>
        <v>180</v>
      </c>
      <c r="AT42">
        <f>IF((gamma!AT42),VLOOKUP(AT$1,main!$A$3:$I$56,5,FALSE)-VLOOKUP($A42,main!$A$3:$I$56,6,FALSE),0)</f>
        <v>265</v>
      </c>
      <c r="AU42">
        <f>IF((gamma!AU42),VLOOKUP(AU$1,main!$A$3:$I$56,5,FALSE)-VLOOKUP($A42,main!$A$3:$I$56,6,FALSE),0)</f>
        <v>135</v>
      </c>
      <c r="AV42">
        <f>IF((gamma!AV42),VLOOKUP(AV$1,main!$A$3:$I$56,5,FALSE)-VLOOKUP($A42,main!$A$3:$I$56,6,FALSE),0)</f>
        <v>165</v>
      </c>
      <c r="AW42">
        <f>IF((gamma!AW42),VLOOKUP(AW$1,main!$A$3:$I$56,5,FALSE)-VLOOKUP($A42,main!$A$3:$I$56,6,FALSE),0)</f>
        <v>215</v>
      </c>
      <c r="AX42">
        <f>IF((gamma!AX42),VLOOKUP(AX$1,main!$A$3:$I$56,5,FALSE)-VLOOKUP($A42,main!$A$3:$I$56,6,FALSE),0)</f>
        <v>415</v>
      </c>
      <c r="AY42">
        <f>IF((gamma!AY42),VLOOKUP(AY$1,main!$A$3:$I$56,5,FALSE)-VLOOKUP($A42,main!$A$3:$I$56,6,FALSE),0)</f>
        <v>615</v>
      </c>
      <c r="AZ42">
        <f>IF((gamma!AZ42),VLOOKUP(AZ$1,main!$A$3:$I$56,5,FALSE)-VLOOKUP($A42,main!$A$3:$I$56,6,FALSE),0)</f>
        <v>15</v>
      </c>
      <c r="BA42">
        <f>IF((gamma!BA42),VLOOKUP(BA$1,main!$A$3:$I$56,5,FALSE)-VLOOKUP($A42,main!$A$3:$I$56,6,FALSE),0)</f>
        <v>180</v>
      </c>
      <c r="BB42">
        <f>IF((gamma!BB42),VLOOKUP(BB$1,main!$A$3:$I$56,5,FALSE)-VLOOKUP($A42,main!$A$3:$I$56,6,FALSE),0)</f>
        <v>195</v>
      </c>
      <c r="BC42">
        <f>IF((gamma!BC42),VLOOKUP(BC$1,main!$A$3:$I$56,5,FALSE)-VLOOKUP($A42,main!$A$3:$I$56,6,FALSE),0)</f>
        <v>380</v>
      </c>
      <c r="BD42">
        <f>IF((gamma!BD42),VLOOKUP(BD$1,main!$A$3:$I$56,5,FALSE)-VLOOKUP($A42,main!$A$3:$I$56,6,FALSE),0)</f>
        <v>390</v>
      </c>
    </row>
    <row r="43" spans="1:56" x14ac:dyDescent="0.25">
      <c r="A43">
        <f t="shared" si="2"/>
        <v>41</v>
      </c>
      <c r="B43">
        <v>0</v>
      </c>
      <c r="C43">
        <f>IF((gamma!C43),VLOOKUP(C$1,main!$A$3:$I$56,5,FALSE)-VLOOKUP($A43,main!$A$3:$I$56,6,FALSE),0)</f>
        <v>0</v>
      </c>
      <c r="D43">
        <f>IF((gamma!D43),VLOOKUP(D$1,main!$A$3:$I$56,5,FALSE)-VLOOKUP($A43,main!$A$3:$I$56,6,FALSE),0)</f>
        <v>55</v>
      </c>
      <c r="E43">
        <f>IF((gamma!E43),VLOOKUP(E$1,main!$A$3:$I$56,5,FALSE)-VLOOKUP($A43,main!$A$3:$I$56,6,FALSE),0)</f>
        <v>145</v>
      </c>
      <c r="F43">
        <f>IF((gamma!F43),VLOOKUP(F$1,main!$A$3:$I$56,5,FALSE)-VLOOKUP($A43,main!$A$3:$I$56,6,FALSE),0)</f>
        <v>235</v>
      </c>
      <c r="G43">
        <f>IF((gamma!G43),VLOOKUP(G$1,main!$A$3:$I$56,5,FALSE)-VLOOKUP($A43,main!$A$3:$I$56,6,FALSE),0)</f>
        <v>295</v>
      </c>
      <c r="H43">
        <f>IF((gamma!H43),VLOOKUP(H$1,main!$A$3:$I$56,5,FALSE)-VLOOKUP($A43,main!$A$3:$I$56,6,FALSE),0)</f>
        <v>355</v>
      </c>
      <c r="I43">
        <f>IF((gamma!I43),VLOOKUP(I$1,main!$A$3:$I$56,5,FALSE)-VLOOKUP($A43,main!$A$3:$I$56,6,FALSE),0)</f>
        <v>415</v>
      </c>
      <c r="J43">
        <f>IF((gamma!J43),VLOOKUP(J$1,main!$A$3:$I$56,5,FALSE)-VLOOKUP($A43,main!$A$3:$I$56,6,FALSE),0)</f>
        <v>505</v>
      </c>
      <c r="K43">
        <f>IF((gamma!K43),VLOOKUP(K$1,main!$A$3:$I$56,5,FALSE)-VLOOKUP($A43,main!$A$3:$I$56,6,FALSE),0)</f>
        <v>0</v>
      </c>
      <c r="L43">
        <f>IF((gamma!L43),VLOOKUP(L$1,main!$A$3:$I$56,5,FALSE)-VLOOKUP($A43,main!$A$3:$I$56,6,FALSE),0)</f>
        <v>0</v>
      </c>
      <c r="M43">
        <f>IF((gamma!M43),VLOOKUP(M$1,main!$A$3:$I$56,5,FALSE)-VLOOKUP($A43,main!$A$3:$I$56,6,FALSE),0)</f>
        <v>110</v>
      </c>
      <c r="N43">
        <f>IF((gamma!N43),VLOOKUP(N$1,main!$A$3:$I$56,5,FALSE)-VLOOKUP($A43,main!$A$3:$I$56,6,FALSE),0)</f>
        <v>470</v>
      </c>
      <c r="O43">
        <f>IF((gamma!O43),VLOOKUP(O$1,main!$A$3:$I$56,5,FALSE)-VLOOKUP($A43,main!$A$3:$I$56,6,FALSE),0)</f>
        <v>530</v>
      </c>
      <c r="P43">
        <f>IF((gamma!P43),VLOOKUP(P$1,main!$A$3:$I$56,5,FALSE)-VLOOKUP($A43,main!$A$3:$I$56,6,FALSE),0)</f>
        <v>0</v>
      </c>
      <c r="Q43">
        <f>IF((gamma!Q43),VLOOKUP(Q$1,main!$A$3:$I$56,5,FALSE)-VLOOKUP($A43,main!$A$3:$I$56,6,FALSE),0)</f>
        <v>0</v>
      </c>
      <c r="R43">
        <f>IF((gamma!R43),VLOOKUP(R$1,main!$A$3:$I$56,5,FALSE)-VLOOKUP($A43,main!$A$3:$I$56,6,FALSE),0)</f>
        <v>105</v>
      </c>
      <c r="S43">
        <f>IF((gamma!S43),VLOOKUP(S$1,main!$A$3:$I$56,5,FALSE)-VLOOKUP($A43,main!$A$3:$I$56,6,FALSE),0)</f>
        <v>285</v>
      </c>
      <c r="T43">
        <f>IF((gamma!T43),VLOOKUP(T$1,main!$A$3:$I$56,5,FALSE)-VLOOKUP($A43,main!$A$3:$I$56,6,FALSE),0)</f>
        <v>435</v>
      </c>
      <c r="U43">
        <f>IF((gamma!U43),VLOOKUP(U$1,main!$A$3:$I$56,5,FALSE)-VLOOKUP($A43,main!$A$3:$I$56,6,FALSE),0)</f>
        <v>0</v>
      </c>
      <c r="V43">
        <f>IF((gamma!V43),VLOOKUP(V$1,main!$A$3:$I$56,5,FALSE)-VLOOKUP($A43,main!$A$3:$I$56,6,FALSE),0)</f>
        <v>0</v>
      </c>
      <c r="W43">
        <f>IF((gamma!W43),VLOOKUP(W$1,main!$A$3:$I$56,5,FALSE)-VLOOKUP($A43,main!$A$3:$I$56,6,FALSE),0)</f>
        <v>0</v>
      </c>
      <c r="X43">
        <f>IF((gamma!X43),VLOOKUP(X$1,main!$A$3:$I$56,5,FALSE)-VLOOKUP($A43,main!$A$3:$I$56,6,FALSE),0)</f>
        <v>125</v>
      </c>
      <c r="Y43">
        <f>IF((gamma!Y43),VLOOKUP(Y$1,main!$A$3:$I$56,5,FALSE)-VLOOKUP($A43,main!$A$3:$I$56,6,FALSE),0)</f>
        <v>215</v>
      </c>
      <c r="Z43">
        <f>IF((gamma!Z43),VLOOKUP(Z$1,main!$A$3:$I$56,5,FALSE)-VLOOKUP($A43,main!$A$3:$I$56,6,FALSE),0)</f>
        <v>305</v>
      </c>
      <c r="AA43">
        <f>IF((gamma!AA43),VLOOKUP(AA$1,main!$A$3:$I$56,5,FALSE)-VLOOKUP($A43,main!$A$3:$I$56,6,FALSE),0)</f>
        <v>395</v>
      </c>
      <c r="AB43">
        <f>IF((gamma!AB43),VLOOKUP(AB$1,main!$A$3:$I$56,5,FALSE)-VLOOKUP($A43,main!$A$3:$I$56,6,FALSE),0)</f>
        <v>455</v>
      </c>
      <c r="AC43">
        <f>IF((gamma!AC43),VLOOKUP(AC$1,main!$A$3:$I$56,5,FALSE)-VLOOKUP($A43,main!$A$3:$I$56,6,FALSE),0)</f>
        <v>0</v>
      </c>
      <c r="AD43">
        <f>IF((gamma!AD43),VLOOKUP(AD$1,main!$A$3:$I$56,5,FALSE)-VLOOKUP($A43,main!$A$3:$I$56,6,FALSE),0)</f>
        <v>0</v>
      </c>
      <c r="AE43">
        <f>IF((gamma!AE43),VLOOKUP(AE$1,main!$A$3:$I$56,5,FALSE)-VLOOKUP($A43,main!$A$3:$I$56,6,FALSE),0)</f>
        <v>115</v>
      </c>
      <c r="AF43">
        <f>IF((gamma!AF43),VLOOKUP(AF$1,main!$A$3:$I$56,5,FALSE)-VLOOKUP($A43,main!$A$3:$I$56,6,FALSE),0)</f>
        <v>265</v>
      </c>
      <c r="AG43">
        <f>IF((gamma!AG43),VLOOKUP(AG$1,main!$A$3:$I$56,5,FALSE)-VLOOKUP($A43,main!$A$3:$I$56,6,FALSE),0)</f>
        <v>0</v>
      </c>
      <c r="AH43">
        <f>IF((gamma!AH43),VLOOKUP(AH$1,main!$A$3:$I$56,5,FALSE)-VLOOKUP($A43,main!$A$3:$I$56,6,FALSE),0)</f>
        <v>55</v>
      </c>
      <c r="AI43">
        <f>IF((gamma!AI43),VLOOKUP(AI$1,main!$A$3:$I$56,5,FALSE)-VLOOKUP($A43,main!$A$3:$I$56,6,FALSE),0)</f>
        <v>175</v>
      </c>
      <c r="AJ43">
        <f>IF((gamma!AJ43),VLOOKUP(AJ$1,main!$A$3:$I$56,5,FALSE)-VLOOKUP($A43,main!$A$3:$I$56,6,FALSE),0)</f>
        <v>235</v>
      </c>
      <c r="AK43">
        <f>IF((gamma!AK43),VLOOKUP(AK$1,main!$A$3:$I$56,5,FALSE)-VLOOKUP($A43,main!$A$3:$I$56,6,FALSE),0)</f>
        <v>355</v>
      </c>
      <c r="AL43">
        <f>IF((gamma!AL43),VLOOKUP(AL$1,main!$A$3:$I$56,5,FALSE)-VLOOKUP($A43,main!$A$3:$I$56,6,FALSE),0)</f>
        <v>0</v>
      </c>
      <c r="AM43">
        <f>IF((gamma!AM43),VLOOKUP(AM$1,main!$A$3:$I$56,5,FALSE)-VLOOKUP($A43,main!$A$3:$I$56,6,FALSE),0)</f>
        <v>0</v>
      </c>
      <c r="AN43">
        <f>IF((gamma!AN43),VLOOKUP(AN$1,main!$A$3:$I$56,5,FALSE)-VLOOKUP($A43,main!$A$3:$I$56,6,FALSE),0)</f>
        <v>215</v>
      </c>
      <c r="AO43">
        <f>IF((gamma!AO43),VLOOKUP(AO$1,main!$A$3:$I$56,5,FALSE)-VLOOKUP($A43,main!$A$3:$I$56,6,FALSE),0)</f>
        <v>265</v>
      </c>
      <c r="AP43">
        <f>IF((gamma!AP43),VLOOKUP(AP$1,main!$A$3:$I$56,5,FALSE)-VLOOKUP($A43,main!$A$3:$I$56,6,FALSE),0)</f>
        <v>0</v>
      </c>
      <c r="AQ43">
        <f>IF((gamma!AQ43),VLOOKUP(AQ$1,main!$A$3:$I$56,5,FALSE)-VLOOKUP($A43,main!$A$3:$I$56,6,FALSE),0)</f>
        <v>0</v>
      </c>
      <c r="AR43">
        <f>IF((gamma!AR43),VLOOKUP(AR$1,main!$A$3:$I$56,5,FALSE)-VLOOKUP($A43,main!$A$3:$I$56,6,FALSE),0)</f>
        <v>0</v>
      </c>
      <c r="AS43">
        <f>IF((gamma!AS43),VLOOKUP(AS$1,main!$A$3:$I$56,5,FALSE)-VLOOKUP($A43,main!$A$3:$I$56,6,FALSE),0)</f>
        <v>80</v>
      </c>
      <c r="AT43">
        <f>IF((gamma!AT43),VLOOKUP(AT$1,main!$A$3:$I$56,5,FALSE)-VLOOKUP($A43,main!$A$3:$I$56,6,FALSE),0)</f>
        <v>165</v>
      </c>
      <c r="AU43">
        <f>IF((gamma!AU43),VLOOKUP(AU$1,main!$A$3:$I$56,5,FALSE)-VLOOKUP($A43,main!$A$3:$I$56,6,FALSE),0)</f>
        <v>35</v>
      </c>
      <c r="AV43">
        <f>IF((gamma!AV43),VLOOKUP(AV$1,main!$A$3:$I$56,5,FALSE)-VLOOKUP($A43,main!$A$3:$I$56,6,FALSE),0)</f>
        <v>65</v>
      </c>
      <c r="AW43">
        <f>IF((gamma!AW43),VLOOKUP(AW$1,main!$A$3:$I$56,5,FALSE)-VLOOKUP($A43,main!$A$3:$I$56,6,FALSE),0)</f>
        <v>115</v>
      </c>
      <c r="AX43">
        <f>IF((gamma!AX43),VLOOKUP(AX$1,main!$A$3:$I$56,5,FALSE)-VLOOKUP($A43,main!$A$3:$I$56,6,FALSE),0)</f>
        <v>315</v>
      </c>
      <c r="AY43">
        <f>IF((gamma!AY43),VLOOKUP(AY$1,main!$A$3:$I$56,5,FALSE)-VLOOKUP($A43,main!$A$3:$I$56,6,FALSE),0)</f>
        <v>515</v>
      </c>
      <c r="AZ43">
        <f>IF((gamma!AZ43),VLOOKUP(AZ$1,main!$A$3:$I$56,5,FALSE)-VLOOKUP($A43,main!$A$3:$I$56,6,FALSE),0)</f>
        <v>0</v>
      </c>
      <c r="BA43">
        <f>IF((gamma!BA43),VLOOKUP(BA$1,main!$A$3:$I$56,5,FALSE)-VLOOKUP($A43,main!$A$3:$I$56,6,FALSE),0)</f>
        <v>80</v>
      </c>
      <c r="BB43">
        <f>IF((gamma!BB43),VLOOKUP(BB$1,main!$A$3:$I$56,5,FALSE)-VLOOKUP($A43,main!$A$3:$I$56,6,FALSE),0)</f>
        <v>95</v>
      </c>
      <c r="BC43">
        <f>IF((gamma!BC43),VLOOKUP(BC$1,main!$A$3:$I$56,5,FALSE)-VLOOKUP($A43,main!$A$3:$I$56,6,FALSE),0)</f>
        <v>280</v>
      </c>
      <c r="BD43">
        <f>IF((gamma!BD43),VLOOKUP(BD$1,main!$A$3:$I$56,5,FALSE)-VLOOKUP($A43,main!$A$3:$I$56,6,FALSE),0)</f>
        <v>290</v>
      </c>
    </row>
    <row r="44" spans="1:56" x14ac:dyDescent="0.25">
      <c r="A44">
        <f t="shared" si="2"/>
        <v>42</v>
      </c>
      <c r="B44">
        <v>0</v>
      </c>
      <c r="C44">
        <f>IF((gamma!C44),VLOOKUP(C$1,main!$A$3:$I$56,5,FALSE)-VLOOKUP($A44,main!$A$3:$I$56,6,FALSE),0)</f>
        <v>0</v>
      </c>
      <c r="D44">
        <f>IF((gamma!D44),VLOOKUP(D$1,main!$A$3:$I$56,5,FALSE)-VLOOKUP($A44,main!$A$3:$I$56,6,FALSE),0)</f>
        <v>0</v>
      </c>
      <c r="E44">
        <f>IF((gamma!E44),VLOOKUP(E$1,main!$A$3:$I$56,5,FALSE)-VLOOKUP($A44,main!$A$3:$I$56,6,FALSE),0)</f>
        <v>95</v>
      </c>
      <c r="F44">
        <f>IF((gamma!F44),VLOOKUP(F$1,main!$A$3:$I$56,5,FALSE)-VLOOKUP($A44,main!$A$3:$I$56,6,FALSE),0)</f>
        <v>185</v>
      </c>
      <c r="G44">
        <f>IF((gamma!G44),VLOOKUP(G$1,main!$A$3:$I$56,5,FALSE)-VLOOKUP($A44,main!$A$3:$I$56,6,FALSE),0)</f>
        <v>245</v>
      </c>
      <c r="H44">
        <f>IF((gamma!H44),VLOOKUP(H$1,main!$A$3:$I$56,5,FALSE)-VLOOKUP($A44,main!$A$3:$I$56,6,FALSE),0)</f>
        <v>305</v>
      </c>
      <c r="I44">
        <f>IF((gamma!I44),VLOOKUP(I$1,main!$A$3:$I$56,5,FALSE)-VLOOKUP($A44,main!$A$3:$I$56,6,FALSE),0)</f>
        <v>365</v>
      </c>
      <c r="J44">
        <f>IF((gamma!J44),VLOOKUP(J$1,main!$A$3:$I$56,5,FALSE)-VLOOKUP($A44,main!$A$3:$I$56,6,FALSE),0)</f>
        <v>455</v>
      </c>
      <c r="K44">
        <f>IF((gamma!K44),VLOOKUP(K$1,main!$A$3:$I$56,5,FALSE)-VLOOKUP($A44,main!$A$3:$I$56,6,FALSE),0)</f>
        <v>0</v>
      </c>
      <c r="L44">
        <f>IF((gamma!L44),VLOOKUP(L$1,main!$A$3:$I$56,5,FALSE)-VLOOKUP($A44,main!$A$3:$I$56,6,FALSE),0)</f>
        <v>0</v>
      </c>
      <c r="M44">
        <f>IF((gamma!M44),VLOOKUP(M$1,main!$A$3:$I$56,5,FALSE)-VLOOKUP($A44,main!$A$3:$I$56,6,FALSE),0)</f>
        <v>60</v>
      </c>
      <c r="N44">
        <f>IF((gamma!N44),VLOOKUP(N$1,main!$A$3:$I$56,5,FALSE)-VLOOKUP($A44,main!$A$3:$I$56,6,FALSE),0)</f>
        <v>420</v>
      </c>
      <c r="O44">
        <f>IF((gamma!O44),VLOOKUP(O$1,main!$A$3:$I$56,5,FALSE)-VLOOKUP($A44,main!$A$3:$I$56,6,FALSE),0)</f>
        <v>480</v>
      </c>
      <c r="P44">
        <f>IF((gamma!P44),VLOOKUP(P$1,main!$A$3:$I$56,5,FALSE)-VLOOKUP($A44,main!$A$3:$I$56,6,FALSE),0)</f>
        <v>0</v>
      </c>
      <c r="Q44">
        <f>IF((gamma!Q44),VLOOKUP(Q$1,main!$A$3:$I$56,5,FALSE)-VLOOKUP($A44,main!$A$3:$I$56,6,FALSE),0)</f>
        <v>0</v>
      </c>
      <c r="R44">
        <f>IF((gamma!R44),VLOOKUP(R$1,main!$A$3:$I$56,5,FALSE)-VLOOKUP($A44,main!$A$3:$I$56,6,FALSE),0)</f>
        <v>55</v>
      </c>
      <c r="S44">
        <f>IF((gamma!S44),VLOOKUP(S$1,main!$A$3:$I$56,5,FALSE)-VLOOKUP($A44,main!$A$3:$I$56,6,FALSE),0)</f>
        <v>235</v>
      </c>
      <c r="T44">
        <f>IF((gamma!T44),VLOOKUP(T$1,main!$A$3:$I$56,5,FALSE)-VLOOKUP($A44,main!$A$3:$I$56,6,FALSE),0)</f>
        <v>385</v>
      </c>
      <c r="U44">
        <f>IF((gamma!U44),VLOOKUP(U$1,main!$A$3:$I$56,5,FALSE)-VLOOKUP($A44,main!$A$3:$I$56,6,FALSE),0)</f>
        <v>0</v>
      </c>
      <c r="V44">
        <f>IF((gamma!V44),VLOOKUP(V$1,main!$A$3:$I$56,5,FALSE)-VLOOKUP($A44,main!$A$3:$I$56,6,FALSE),0)</f>
        <v>0</v>
      </c>
      <c r="W44">
        <f>IF((gamma!W44),VLOOKUP(W$1,main!$A$3:$I$56,5,FALSE)-VLOOKUP($A44,main!$A$3:$I$56,6,FALSE),0)</f>
        <v>0</v>
      </c>
      <c r="X44">
        <f>IF((gamma!X44),VLOOKUP(X$1,main!$A$3:$I$56,5,FALSE)-VLOOKUP($A44,main!$A$3:$I$56,6,FALSE),0)</f>
        <v>75</v>
      </c>
      <c r="Y44">
        <f>IF((gamma!Y44),VLOOKUP(Y$1,main!$A$3:$I$56,5,FALSE)-VLOOKUP($A44,main!$A$3:$I$56,6,FALSE),0)</f>
        <v>165</v>
      </c>
      <c r="Z44">
        <f>IF((gamma!Z44),VLOOKUP(Z$1,main!$A$3:$I$56,5,FALSE)-VLOOKUP($A44,main!$A$3:$I$56,6,FALSE),0)</f>
        <v>255</v>
      </c>
      <c r="AA44">
        <f>IF((gamma!AA44),VLOOKUP(AA$1,main!$A$3:$I$56,5,FALSE)-VLOOKUP($A44,main!$A$3:$I$56,6,FALSE),0)</f>
        <v>345</v>
      </c>
      <c r="AB44">
        <f>IF((gamma!AB44),VLOOKUP(AB$1,main!$A$3:$I$56,5,FALSE)-VLOOKUP($A44,main!$A$3:$I$56,6,FALSE),0)</f>
        <v>405</v>
      </c>
      <c r="AC44">
        <f>IF((gamma!AC44),VLOOKUP(AC$1,main!$A$3:$I$56,5,FALSE)-VLOOKUP($A44,main!$A$3:$I$56,6,FALSE),0)</f>
        <v>0</v>
      </c>
      <c r="AD44">
        <f>IF((gamma!AD44),VLOOKUP(AD$1,main!$A$3:$I$56,5,FALSE)-VLOOKUP($A44,main!$A$3:$I$56,6,FALSE),0)</f>
        <v>0</v>
      </c>
      <c r="AE44">
        <f>IF((gamma!AE44),VLOOKUP(AE$1,main!$A$3:$I$56,5,FALSE)-VLOOKUP($A44,main!$A$3:$I$56,6,FALSE),0)</f>
        <v>65</v>
      </c>
      <c r="AF44">
        <f>IF((gamma!AF44),VLOOKUP(AF$1,main!$A$3:$I$56,5,FALSE)-VLOOKUP($A44,main!$A$3:$I$56,6,FALSE),0)</f>
        <v>215</v>
      </c>
      <c r="AG44">
        <f>IF((gamma!AG44),VLOOKUP(AG$1,main!$A$3:$I$56,5,FALSE)-VLOOKUP($A44,main!$A$3:$I$56,6,FALSE),0)</f>
        <v>0</v>
      </c>
      <c r="AH44">
        <f>IF((gamma!AH44),VLOOKUP(AH$1,main!$A$3:$I$56,5,FALSE)-VLOOKUP($A44,main!$A$3:$I$56,6,FALSE),0)</f>
        <v>0</v>
      </c>
      <c r="AI44">
        <f>IF((gamma!AI44),VLOOKUP(AI$1,main!$A$3:$I$56,5,FALSE)-VLOOKUP($A44,main!$A$3:$I$56,6,FALSE),0)</f>
        <v>125</v>
      </c>
      <c r="AJ44">
        <f>IF((gamma!AJ44),VLOOKUP(AJ$1,main!$A$3:$I$56,5,FALSE)-VLOOKUP($A44,main!$A$3:$I$56,6,FALSE),0)</f>
        <v>185</v>
      </c>
      <c r="AK44">
        <f>IF((gamma!AK44),VLOOKUP(AK$1,main!$A$3:$I$56,5,FALSE)-VLOOKUP($A44,main!$A$3:$I$56,6,FALSE),0)</f>
        <v>305</v>
      </c>
      <c r="AL44">
        <f>IF((gamma!AL44),VLOOKUP(AL$1,main!$A$3:$I$56,5,FALSE)-VLOOKUP($A44,main!$A$3:$I$56,6,FALSE),0)</f>
        <v>0</v>
      </c>
      <c r="AM44">
        <f>IF((gamma!AM44),VLOOKUP(AM$1,main!$A$3:$I$56,5,FALSE)-VLOOKUP($A44,main!$A$3:$I$56,6,FALSE),0)</f>
        <v>0</v>
      </c>
      <c r="AN44">
        <f>IF((gamma!AN44),VLOOKUP(AN$1,main!$A$3:$I$56,5,FALSE)-VLOOKUP($A44,main!$A$3:$I$56,6,FALSE),0)</f>
        <v>165</v>
      </c>
      <c r="AO44">
        <f>IF((gamma!AO44),VLOOKUP(AO$1,main!$A$3:$I$56,5,FALSE)-VLOOKUP($A44,main!$A$3:$I$56,6,FALSE),0)</f>
        <v>215</v>
      </c>
      <c r="AP44">
        <f>IF((gamma!AP44),VLOOKUP(AP$1,main!$A$3:$I$56,5,FALSE)-VLOOKUP($A44,main!$A$3:$I$56,6,FALSE),0)</f>
        <v>0</v>
      </c>
      <c r="AQ44">
        <f>IF((gamma!AQ44),VLOOKUP(AQ$1,main!$A$3:$I$56,5,FALSE)-VLOOKUP($A44,main!$A$3:$I$56,6,FALSE),0)</f>
        <v>0</v>
      </c>
      <c r="AR44">
        <f>IF((gamma!AR44),VLOOKUP(AR$1,main!$A$3:$I$56,5,FALSE)-VLOOKUP($A44,main!$A$3:$I$56,6,FALSE),0)</f>
        <v>0</v>
      </c>
      <c r="AS44">
        <f>IF((gamma!AS44),VLOOKUP(AS$1,main!$A$3:$I$56,5,FALSE)-VLOOKUP($A44,main!$A$3:$I$56,6,FALSE),0)</f>
        <v>0</v>
      </c>
      <c r="AT44">
        <f>IF((gamma!AT44),VLOOKUP(AT$1,main!$A$3:$I$56,5,FALSE)-VLOOKUP($A44,main!$A$3:$I$56,6,FALSE),0)</f>
        <v>115</v>
      </c>
      <c r="AU44">
        <f>IF((gamma!AU44),VLOOKUP(AU$1,main!$A$3:$I$56,5,FALSE)-VLOOKUP($A44,main!$A$3:$I$56,6,FALSE),0)</f>
        <v>0</v>
      </c>
      <c r="AV44">
        <f>IF((gamma!AV44),VLOOKUP(AV$1,main!$A$3:$I$56,5,FALSE)-VLOOKUP($A44,main!$A$3:$I$56,6,FALSE),0)</f>
        <v>15</v>
      </c>
      <c r="AW44">
        <f>IF((gamma!AW44),VLOOKUP(AW$1,main!$A$3:$I$56,5,FALSE)-VLOOKUP($A44,main!$A$3:$I$56,6,FALSE),0)</f>
        <v>65</v>
      </c>
      <c r="AX44">
        <f>IF((gamma!AX44),VLOOKUP(AX$1,main!$A$3:$I$56,5,FALSE)-VLOOKUP($A44,main!$A$3:$I$56,6,FALSE),0)</f>
        <v>265</v>
      </c>
      <c r="AY44">
        <f>IF((gamma!AY44),VLOOKUP(AY$1,main!$A$3:$I$56,5,FALSE)-VLOOKUP($A44,main!$A$3:$I$56,6,FALSE),0)</f>
        <v>465</v>
      </c>
      <c r="AZ44">
        <f>IF((gamma!AZ44),VLOOKUP(AZ$1,main!$A$3:$I$56,5,FALSE)-VLOOKUP($A44,main!$A$3:$I$56,6,FALSE),0)</f>
        <v>0</v>
      </c>
      <c r="BA44">
        <f>IF((gamma!BA44),VLOOKUP(BA$1,main!$A$3:$I$56,5,FALSE)-VLOOKUP($A44,main!$A$3:$I$56,6,FALSE),0)</f>
        <v>30</v>
      </c>
      <c r="BB44">
        <f>IF((gamma!BB44),VLOOKUP(BB$1,main!$A$3:$I$56,5,FALSE)-VLOOKUP($A44,main!$A$3:$I$56,6,FALSE),0)</f>
        <v>45</v>
      </c>
      <c r="BC44">
        <f>IF((gamma!BC44),VLOOKUP(BC$1,main!$A$3:$I$56,5,FALSE)-VLOOKUP($A44,main!$A$3:$I$56,6,FALSE),0)</f>
        <v>230</v>
      </c>
      <c r="BD44">
        <f>IF((gamma!BD44),VLOOKUP(BD$1,main!$A$3:$I$56,5,FALSE)-VLOOKUP($A44,main!$A$3:$I$56,6,FALSE),0)</f>
        <v>240</v>
      </c>
    </row>
    <row r="45" spans="1:56" x14ac:dyDescent="0.25">
      <c r="A45">
        <f t="shared" si="2"/>
        <v>43</v>
      </c>
      <c r="B45">
        <v>0</v>
      </c>
      <c r="C45">
        <f>IF((gamma!C45),VLOOKUP(C$1,main!$A$3:$I$56,5,FALSE)-VLOOKUP($A45,main!$A$3:$I$56,6,FALSE),0)</f>
        <v>0</v>
      </c>
      <c r="D45">
        <f>IF((gamma!D45),VLOOKUP(D$1,main!$A$3:$I$56,5,FALSE)-VLOOKUP($A45,main!$A$3:$I$56,6,FALSE),0)</f>
        <v>0</v>
      </c>
      <c r="E45">
        <f>IF((gamma!E45),VLOOKUP(E$1,main!$A$3:$I$56,5,FALSE)-VLOOKUP($A45,main!$A$3:$I$56,6,FALSE),0)</f>
        <v>0</v>
      </c>
      <c r="F45">
        <f>IF((gamma!F45),VLOOKUP(F$1,main!$A$3:$I$56,5,FALSE)-VLOOKUP($A45,main!$A$3:$I$56,6,FALSE),0)</f>
        <v>0</v>
      </c>
      <c r="G45">
        <f>IF((gamma!G45),VLOOKUP(G$1,main!$A$3:$I$56,5,FALSE)-VLOOKUP($A45,main!$A$3:$I$56,6,FALSE),0)</f>
        <v>80</v>
      </c>
      <c r="H45">
        <f>IF((gamma!H45),VLOOKUP(H$1,main!$A$3:$I$56,5,FALSE)-VLOOKUP($A45,main!$A$3:$I$56,6,FALSE),0)</f>
        <v>140</v>
      </c>
      <c r="I45">
        <f>IF((gamma!I45),VLOOKUP(I$1,main!$A$3:$I$56,5,FALSE)-VLOOKUP($A45,main!$A$3:$I$56,6,FALSE),0)</f>
        <v>200</v>
      </c>
      <c r="J45">
        <f>IF((gamma!J45),VLOOKUP(J$1,main!$A$3:$I$56,5,FALSE)-VLOOKUP($A45,main!$A$3:$I$56,6,FALSE),0)</f>
        <v>290</v>
      </c>
      <c r="K45">
        <f>IF((gamma!K45),VLOOKUP(K$1,main!$A$3:$I$56,5,FALSE)-VLOOKUP($A45,main!$A$3:$I$56,6,FALSE),0)</f>
        <v>0</v>
      </c>
      <c r="L45">
        <f>IF((gamma!L45),VLOOKUP(L$1,main!$A$3:$I$56,5,FALSE)-VLOOKUP($A45,main!$A$3:$I$56,6,FALSE),0)</f>
        <v>0</v>
      </c>
      <c r="M45">
        <f>IF((gamma!M45),VLOOKUP(M$1,main!$A$3:$I$56,5,FALSE)-VLOOKUP($A45,main!$A$3:$I$56,6,FALSE),0)</f>
        <v>0</v>
      </c>
      <c r="N45">
        <f>IF((gamma!N45),VLOOKUP(N$1,main!$A$3:$I$56,5,FALSE)-VLOOKUP($A45,main!$A$3:$I$56,6,FALSE),0)</f>
        <v>255</v>
      </c>
      <c r="O45">
        <f>IF((gamma!O45),VLOOKUP(O$1,main!$A$3:$I$56,5,FALSE)-VLOOKUP($A45,main!$A$3:$I$56,6,FALSE),0)</f>
        <v>315</v>
      </c>
      <c r="P45">
        <f>IF((gamma!P45),VLOOKUP(P$1,main!$A$3:$I$56,5,FALSE)-VLOOKUP($A45,main!$A$3:$I$56,6,FALSE),0)</f>
        <v>0</v>
      </c>
      <c r="Q45">
        <f>IF((gamma!Q45),VLOOKUP(Q$1,main!$A$3:$I$56,5,FALSE)-VLOOKUP($A45,main!$A$3:$I$56,6,FALSE),0)</f>
        <v>0</v>
      </c>
      <c r="R45">
        <f>IF((gamma!R45),VLOOKUP(R$1,main!$A$3:$I$56,5,FALSE)-VLOOKUP($A45,main!$A$3:$I$56,6,FALSE),0)</f>
        <v>0</v>
      </c>
      <c r="S45">
        <f>IF((gamma!S45),VLOOKUP(S$1,main!$A$3:$I$56,5,FALSE)-VLOOKUP($A45,main!$A$3:$I$56,6,FALSE),0)</f>
        <v>70</v>
      </c>
      <c r="T45">
        <f>IF((gamma!T45),VLOOKUP(T$1,main!$A$3:$I$56,5,FALSE)-VLOOKUP($A45,main!$A$3:$I$56,6,FALSE),0)</f>
        <v>220</v>
      </c>
      <c r="U45">
        <f>IF((gamma!U45),VLOOKUP(U$1,main!$A$3:$I$56,5,FALSE)-VLOOKUP($A45,main!$A$3:$I$56,6,FALSE),0)</f>
        <v>0</v>
      </c>
      <c r="V45">
        <f>IF((gamma!V45),VLOOKUP(V$1,main!$A$3:$I$56,5,FALSE)-VLOOKUP($A45,main!$A$3:$I$56,6,FALSE),0)</f>
        <v>0</v>
      </c>
      <c r="W45">
        <f>IF((gamma!W45),VLOOKUP(W$1,main!$A$3:$I$56,5,FALSE)-VLOOKUP($A45,main!$A$3:$I$56,6,FALSE),0)</f>
        <v>0</v>
      </c>
      <c r="X45">
        <f>IF((gamma!X45),VLOOKUP(X$1,main!$A$3:$I$56,5,FALSE)-VLOOKUP($A45,main!$A$3:$I$56,6,FALSE),0)</f>
        <v>0</v>
      </c>
      <c r="Y45">
        <f>IF((gamma!Y45),VLOOKUP(Y$1,main!$A$3:$I$56,5,FALSE)-VLOOKUP($A45,main!$A$3:$I$56,6,FALSE),0)</f>
        <v>0</v>
      </c>
      <c r="Z45">
        <f>IF((gamma!Z45),VLOOKUP(Z$1,main!$A$3:$I$56,5,FALSE)-VLOOKUP($A45,main!$A$3:$I$56,6,FALSE),0)</f>
        <v>90</v>
      </c>
      <c r="AA45">
        <f>IF((gamma!AA45),VLOOKUP(AA$1,main!$A$3:$I$56,5,FALSE)-VLOOKUP($A45,main!$A$3:$I$56,6,FALSE),0)</f>
        <v>180</v>
      </c>
      <c r="AB45">
        <f>IF((gamma!AB45),VLOOKUP(AB$1,main!$A$3:$I$56,5,FALSE)-VLOOKUP($A45,main!$A$3:$I$56,6,FALSE),0)</f>
        <v>240</v>
      </c>
      <c r="AC45">
        <f>IF((gamma!AC45),VLOOKUP(AC$1,main!$A$3:$I$56,5,FALSE)-VLOOKUP($A45,main!$A$3:$I$56,6,FALSE),0)</f>
        <v>0</v>
      </c>
      <c r="AD45">
        <f>IF((gamma!AD45),VLOOKUP(AD$1,main!$A$3:$I$56,5,FALSE)-VLOOKUP($A45,main!$A$3:$I$56,6,FALSE),0)</f>
        <v>0</v>
      </c>
      <c r="AE45">
        <f>IF((gamma!AE45),VLOOKUP(AE$1,main!$A$3:$I$56,5,FALSE)-VLOOKUP($A45,main!$A$3:$I$56,6,FALSE),0)</f>
        <v>0</v>
      </c>
      <c r="AF45">
        <f>IF((gamma!AF45),VLOOKUP(AF$1,main!$A$3:$I$56,5,FALSE)-VLOOKUP($A45,main!$A$3:$I$56,6,FALSE),0)</f>
        <v>0</v>
      </c>
      <c r="AG45">
        <f>IF((gamma!AG45),VLOOKUP(AG$1,main!$A$3:$I$56,5,FALSE)-VLOOKUP($A45,main!$A$3:$I$56,6,FALSE),0)</f>
        <v>0</v>
      </c>
      <c r="AH45">
        <f>IF((gamma!AH45),VLOOKUP(AH$1,main!$A$3:$I$56,5,FALSE)-VLOOKUP($A45,main!$A$3:$I$56,6,FALSE),0)</f>
        <v>0</v>
      </c>
      <c r="AI45">
        <f>IF((gamma!AI45),VLOOKUP(AI$1,main!$A$3:$I$56,5,FALSE)-VLOOKUP($A45,main!$A$3:$I$56,6,FALSE),0)</f>
        <v>0</v>
      </c>
      <c r="AJ45">
        <f>IF((gamma!AJ45),VLOOKUP(AJ$1,main!$A$3:$I$56,5,FALSE)-VLOOKUP($A45,main!$A$3:$I$56,6,FALSE),0)</f>
        <v>0</v>
      </c>
      <c r="AK45">
        <f>IF((gamma!AK45),VLOOKUP(AK$1,main!$A$3:$I$56,5,FALSE)-VLOOKUP($A45,main!$A$3:$I$56,6,FALSE),0)</f>
        <v>140</v>
      </c>
      <c r="AL45">
        <f>IF((gamma!AL45),VLOOKUP(AL$1,main!$A$3:$I$56,5,FALSE)-VLOOKUP($A45,main!$A$3:$I$56,6,FALSE),0)</f>
        <v>0</v>
      </c>
      <c r="AM45">
        <f>IF((gamma!AM45),VLOOKUP(AM$1,main!$A$3:$I$56,5,FALSE)-VLOOKUP($A45,main!$A$3:$I$56,6,FALSE),0)</f>
        <v>0</v>
      </c>
      <c r="AN45">
        <f>IF((gamma!AN45),VLOOKUP(AN$1,main!$A$3:$I$56,5,FALSE)-VLOOKUP($A45,main!$A$3:$I$56,6,FALSE),0)</f>
        <v>0</v>
      </c>
      <c r="AO45">
        <f>IF((gamma!AO45),VLOOKUP(AO$1,main!$A$3:$I$56,5,FALSE)-VLOOKUP($A45,main!$A$3:$I$56,6,FALSE),0)</f>
        <v>50</v>
      </c>
      <c r="AP45">
        <f>IF((gamma!AP45),VLOOKUP(AP$1,main!$A$3:$I$56,5,FALSE)-VLOOKUP($A45,main!$A$3:$I$56,6,FALSE),0)</f>
        <v>0</v>
      </c>
      <c r="AQ45">
        <f>IF((gamma!AQ45),VLOOKUP(AQ$1,main!$A$3:$I$56,5,FALSE)-VLOOKUP($A45,main!$A$3:$I$56,6,FALSE),0)</f>
        <v>0</v>
      </c>
      <c r="AR45">
        <f>IF((gamma!AR45),VLOOKUP(AR$1,main!$A$3:$I$56,5,FALSE)-VLOOKUP($A45,main!$A$3:$I$56,6,FALSE),0)</f>
        <v>0</v>
      </c>
      <c r="AS45">
        <f>IF((gamma!AS45),VLOOKUP(AS$1,main!$A$3:$I$56,5,FALSE)-VLOOKUP($A45,main!$A$3:$I$56,6,FALSE),0)</f>
        <v>0</v>
      </c>
      <c r="AT45">
        <f>IF((gamma!AT45),VLOOKUP(AT$1,main!$A$3:$I$56,5,FALSE)-VLOOKUP($A45,main!$A$3:$I$56,6,FALSE),0)</f>
        <v>0</v>
      </c>
      <c r="AU45">
        <f>IF((gamma!AU45),VLOOKUP(AU$1,main!$A$3:$I$56,5,FALSE)-VLOOKUP($A45,main!$A$3:$I$56,6,FALSE),0)</f>
        <v>0</v>
      </c>
      <c r="AV45">
        <f>IF((gamma!AV45),VLOOKUP(AV$1,main!$A$3:$I$56,5,FALSE)-VLOOKUP($A45,main!$A$3:$I$56,6,FALSE),0)</f>
        <v>0</v>
      </c>
      <c r="AW45">
        <f>IF((gamma!AW45),VLOOKUP(AW$1,main!$A$3:$I$56,5,FALSE)-VLOOKUP($A45,main!$A$3:$I$56,6,FALSE),0)</f>
        <v>0</v>
      </c>
      <c r="AX45">
        <f>IF((gamma!AX45),VLOOKUP(AX$1,main!$A$3:$I$56,5,FALSE)-VLOOKUP($A45,main!$A$3:$I$56,6,FALSE),0)</f>
        <v>100</v>
      </c>
      <c r="AY45">
        <f>IF((gamma!AY45),VLOOKUP(AY$1,main!$A$3:$I$56,5,FALSE)-VLOOKUP($A45,main!$A$3:$I$56,6,FALSE),0)</f>
        <v>300</v>
      </c>
      <c r="AZ45">
        <f>IF((gamma!AZ45),VLOOKUP(AZ$1,main!$A$3:$I$56,5,FALSE)-VLOOKUP($A45,main!$A$3:$I$56,6,FALSE),0)</f>
        <v>0</v>
      </c>
      <c r="BA45">
        <f>IF((gamma!BA45),VLOOKUP(BA$1,main!$A$3:$I$56,5,FALSE)-VLOOKUP($A45,main!$A$3:$I$56,6,FALSE),0)</f>
        <v>0</v>
      </c>
      <c r="BB45">
        <f>IF((gamma!BB45),VLOOKUP(BB$1,main!$A$3:$I$56,5,FALSE)-VLOOKUP($A45,main!$A$3:$I$56,6,FALSE),0)</f>
        <v>0</v>
      </c>
      <c r="BC45">
        <f>IF((gamma!BC45),VLOOKUP(BC$1,main!$A$3:$I$56,5,FALSE)-VLOOKUP($A45,main!$A$3:$I$56,6,FALSE),0)</f>
        <v>65</v>
      </c>
      <c r="BD45">
        <f>IF((gamma!BD45),VLOOKUP(BD$1,main!$A$3:$I$56,5,FALSE)-VLOOKUP($A45,main!$A$3:$I$56,6,FALSE),0)</f>
        <v>75</v>
      </c>
    </row>
    <row r="46" spans="1:56" x14ac:dyDescent="0.25">
      <c r="A46">
        <f t="shared" si="2"/>
        <v>44</v>
      </c>
      <c r="B46">
        <v>0</v>
      </c>
      <c r="C46">
        <f>IF((gamma!C46),VLOOKUP(C$1,main!$A$3:$I$56,5,FALSE)-VLOOKUP($A46,main!$A$3:$I$56,6,FALSE),0)</f>
        <v>0</v>
      </c>
      <c r="D46">
        <f>IF((gamma!D46),VLOOKUP(D$1,main!$A$3:$I$56,5,FALSE)-VLOOKUP($A46,main!$A$3:$I$56,6,FALSE),0)</f>
        <v>0</v>
      </c>
      <c r="E46">
        <f>IF((gamma!E46),VLOOKUP(E$1,main!$A$3:$I$56,5,FALSE)-VLOOKUP($A46,main!$A$3:$I$56,6,FALSE),0)</f>
        <v>0</v>
      </c>
      <c r="F46">
        <f>IF((gamma!F46),VLOOKUP(F$1,main!$A$3:$I$56,5,FALSE)-VLOOKUP($A46,main!$A$3:$I$56,6,FALSE),0)</f>
        <v>0</v>
      </c>
      <c r="G46">
        <f>IF((gamma!G46),VLOOKUP(G$1,main!$A$3:$I$56,5,FALSE)-VLOOKUP($A46,main!$A$3:$I$56,6,FALSE),0)</f>
        <v>0</v>
      </c>
      <c r="H46">
        <f>IF((gamma!H46),VLOOKUP(H$1,main!$A$3:$I$56,5,FALSE)-VLOOKUP($A46,main!$A$3:$I$56,6,FALSE),0)</f>
        <v>70</v>
      </c>
      <c r="I46">
        <f>IF((gamma!I46),VLOOKUP(I$1,main!$A$3:$I$56,5,FALSE)-VLOOKUP($A46,main!$A$3:$I$56,6,FALSE),0)</f>
        <v>130</v>
      </c>
      <c r="J46">
        <f>IF((gamma!J46),VLOOKUP(J$1,main!$A$3:$I$56,5,FALSE)-VLOOKUP($A46,main!$A$3:$I$56,6,FALSE),0)</f>
        <v>220</v>
      </c>
      <c r="K46">
        <f>IF((gamma!K46),VLOOKUP(K$1,main!$A$3:$I$56,5,FALSE)-VLOOKUP($A46,main!$A$3:$I$56,6,FALSE),0)</f>
        <v>0</v>
      </c>
      <c r="L46">
        <f>IF((gamma!L46),VLOOKUP(L$1,main!$A$3:$I$56,5,FALSE)-VLOOKUP($A46,main!$A$3:$I$56,6,FALSE),0)</f>
        <v>0</v>
      </c>
      <c r="M46">
        <f>IF((gamma!M46),VLOOKUP(M$1,main!$A$3:$I$56,5,FALSE)-VLOOKUP($A46,main!$A$3:$I$56,6,FALSE),0)</f>
        <v>0</v>
      </c>
      <c r="N46">
        <f>IF((gamma!N46),VLOOKUP(N$1,main!$A$3:$I$56,5,FALSE)-VLOOKUP($A46,main!$A$3:$I$56,6,FALSE),0)</f>
        <v>185</v>
      </c>
      <c r="O46">
        <f>IF((gamma!O46),VLOOKUP(O$1,main!$A$3:$I$56,5,FALSE)-VLOOKUP($A46,main!$A$3:$I$56,6,FALSE),0)</f>
        <v>245</v>
      </c>
      <c r="P46">
        <f>IF((gamma!P46),VLOOKUP(P$1,main!$A$3:$I$56,5,FALSE)-VLOOKUP($A46,main!$A$3:$I$56,6,FALSE),0)</f>
        <v>0</v>
      </c>
      <c r="Q46">
        <f>IF((gamma!Q46),VLOOKUP(Q$1,main!$A$3:$I$56,5,FALSE)-VLOOKUP($A46,main!$A$3:$I$56,6,FALSE),0)</f>
        <v>0</v>
      </c>
      <c r="R46">
        <f>IF((gamma!R46),VLOOKUP(R$1,main!$A$3:$I$56,5,FALSE)-VLOOKUP($A46,main!$A$3:$I$56,6,FALSE),0)</f>
        <v>0</v>
      </c>
      <c r="S46">
        <f>IF((gamma!S46),VLOOKUP(S$1,main!$A$3:$I$56,5,FALSE)-VLOOKUP($A46,main!$A$3:$I$56,6,FALSE),0)</f>
        <v>0</v>
      </c>
      <c r="T46">
        <f>IF((gamma!T46),VLOOKUP(T$1,main!$A$3:$I$56,5,FALSE)-VLOOKUP($A46,main!$A$3:$I$56,6,FALSE),0)</f>
        <v>150</v>
      </c>
      <c r="U46">
        <f>IF((gamma!U46),VLOOKUP(U$1,main!$A$3:$I$56,5,FALSE)-VLOOKUP($A46,main!$A$3:$I$56,6,FALSE),0)</f>
        <v>0</v>
      </c>
      <c r="V46">
        <f>IF((gamma!V46),VLOOKUP(V$1,main!$A$3:$I$56,5,FALSE)-VLOOKUP($A46,main!$A$3:$I$56,6,FALSE),0)</f>
        <v>0</v>
      </c>
      <c r="W46">
        <f>IF((gamma!W46),VLOOKUP(W$1,main!$A$3:$I$56,5,FALSE)-VLOOKUP($A46,main!$A$3:$I$56,6,FALSE),0)</f>
        <v>0</v>
      </c>
      <c r="X46">
        <f>IF((gamma!X46),VLOOKUP(X$1,main!$A$3:$I$56,5,FALSE)-VLOOKUP($A46,main!$A$3:$I$56,6,FALSE),0)</f>
        <v>0</v>
      </c>
      <c r="Y46">
        <f>IF((gamma!Y46),VLOOKUP(Y$1,main!$A$3:$I$56,5,FALSE)-VLOOKUP($A46,main!$A$3:$I$56,6,FALSE),0)</f>
        <v>0</v>
      </c>
      <c r="Z46">
        <f>IF((gamma!Z46),VLOOKUP(Z$1,main!$A$3:$I$56,5,FALSE)-VLOOKUP($A46,main!$A$3:$I$56,6,FALSE),0)</f>
        <v>0</v>
      </c>
      <c r="AA46">
        <f>IF((gamma!AA46),VLOOKUP(AA$1,main!$A$3:$I$56,5,FALSE)-VLOOKUP($A46,main!$A$3:$I$56,6,FALSE),0)</f>
        <v>110</v>
      </c>
      <c r="AB46">
        <f>IF((gamma!AB46),VLOOKUP(AB$1,main!$A$3:$I$56,5,FALSE)-VLOOKUP($A46,main!$A$3:$I$56,6,FALSE),0)</f>
        <v>170</v>
      </c>
      <c r="AC46">
        <f>IF((gamma!AC46),VLOOKUP(AC$1,main!$A$3:$I$56,5,FALSE)-VLOOKUP($A46,main!$A$3:$I$56,6,FALSE),0)</f>
        <v>0</v>
      </c>
      <c r="AD46">
        <f>IF((gamma!AD46),VLOOKUP(AD$1,main!$A$3:$I$56,5,FALSE)-VLOOKUP($A46,main!$A$3:$I$56,6,FALSE),0)</f>
        <v>0</v>
      </c>
      <c r="AE46">
        <f>IF((gamma!AE46),VLOOKUP(AE$1,main!$A$3:$I$56,5,FALSE)-VLOOKUP($A46,main!$A$3:$I$56,6,FALSE),0)</f>
        <v>0</v>
      </c>
      <c r="AF46">
        <f>IF((gamma!AF46),VLOOKUP(AF$1,main!$A$3:$I$56,5,FALSE)-VLOOKUP($A46,main!$A$3:$I$56,6,FALSE),0)</f>
        <v>0</v>
      </c>
      <c r="AG46">
        <f>IF((gamma!AG46),VLOOKUP(AG$1,main!$A$3:$I$56,5,FALSE)-VLOOKUP($A46,main!$A$3:$I$56,6,FALSE),0)</f>
        <v>0</v>
      </c>
      <c r="AH46">
        <f>IF((gamma!AH46),VLOOKUP(AH$1,main!$A$3:$I$56,5,FALSE)-VLOOKUP($A46,main!$A$3:$I$56,6,FALSE),0)</f>
        <v>0</v>
      </c>
      <c r="AI46">
        <f>IF((gamma!AI46),VLOOKUP(AI$1,main!$A$3:$I$56,5,FALSE)-VLOOKUP($A46,main!$A$3:$I$56,6,FALSE),0)</f>
        <v>0</v>
      </c>
      <c r="AJ46">
        <f>IF((gamma!AJ46),VLOOKUP(AJ$1,main!$A$3:$I$56,5,FALSE)-VLOOKUP($A46,main!$A$3:$I$56,6,FALSE),0)</f>
        <v>0</v>
      </c>
      <c r="AK46">
        <f>IF((gamma!AK46),VLOOKUP(AK$1,main!$A$3:$I$56,5,FALSE)-VLOOKUP($A46,main!$A$3:$I$56,6,FALSE),0)</f>
        <v>70</v>
      </c>
      <c r="AL46">
        <f>IF((gamma!AL46),VLOOKUP(AL$1,main!$A$3:$I$56,5,FALSE)-VLOOKUP($A46,main!$A$3:$I$56,6,FALSE),0)</f>
        <v>0</v>
      </c>
      <c r="AM46">
        <f>IF((gamma!AM46),VLOOKUP(AM$1,main!$A$3:$I$56,5,FALSE)-VLOOKUP($A46,main!$A$3:$I$56,6,FALSE),0)</f>
        <v>0</v>
      </c>
      <c r="AN46">
        <f>IF((gamma!AN46),VLOOKUP(AN$1,main!$A$3:$I$56,5,FALSE)-VLOOKUP($A46,main!$A$3:$I$56,6,FALSE),0)</f>
        <v>0</v>
      </c>
      <c r="AO46">
        <f>IF((gamma!AO46),VLOOKUP(AO$1,main!$A$3:$I$56,5,FALSE)-VLOOKUP($A46,main!$A$3:$I$56,6,FALSE),0)</f>
        <v>0</v>
      </c>
      <c r="AP46">
        <f>IF((gamma!AP46),VLOOKUP(AP$1,main!$A$3:$I$56,5,FALSE)-VLOOKUP($A46,main!$A$3:$I$56,6,FALSE),0)</f>
        <v>0</v>
      </c>
      <c r="AQ46">
        <f>IF((gamma!AQ46),VLOOKUP(AQ$1,main!$A$3:$I$56,5,FALSE)-VLOOKUP($A46,main!$A$3:$I$56,6,FALSE),0)</f>
        <v>0</v>
      </c>
      <c r="AR46">
        <f>IF((gamma!AR46),VLOOKUP(AR$1,main!$A$3:$I$56,5,FALSE)-VLOOKUP($A46,main!$A$3:$I$56,6,FALSE),0)</f>
        <v>0</v>
      </c>
      <c r="AS46">
        <f>IF((gamma!AS46),VLOOKUP(AS$1,main!$A$3:$I$56,5,FALSE)-VLOOKUP($A46,main!$A$3:$I$56,6,FALSE),0)</f>
        <v>0</v>
      </c>
      <c r="AT46">
        <f>IF((gamma!AT46),VLOOKUP(AT$1,main!$A$3:$I$56,5,FALSE)-VLOOKUP($A46,main!$A$3:$I$56,6,FALSE),0)</f>
        <v>0</v>
      </c>
      <c r="AU46">
        <f>IF((gamma!AU46),VLOOKUP(AU$1,main!$A$3:$I$56,5,FALSE)-VLOOKUP($A46,main!$A$3:$I$56,6,FALSE),0)</f>
        <v>0</v>
      </c>
      <c r="AV46">
        <f>IF((gamma!AV46),VLOOKUP(AV$1,main!$A$3:$I$56,5,FALSE)-VLOOKUP($A46,main!$A$3:$I$56,6,FALSE),0)</f>
        <v>0</v>
      </c>
      <c r="AW46">
        <f>IF((gamma!AW46),VLOOKUP(AW$1,main!$A$3:$I$56,5,FALSE)-VLOOKUP($A46,main!$A$3:$I$56,6,FALSE),0)</f>
        <v>0</v>
      </c>
      <c r="AX46">
        <f>IF((gamma!AX46),VLOOKUP(AX$1,main!$A$3:$I$56,5,FALSE)-VLOOKUP($A46,main!$A$3:$I$56,6,FALSE),0)</f>
        <v>30</v>
      </c>
      <c r="AY46">
        <f>IF((gamma!AY46),VLOOKUP(AY$1,main!$A$3:$I$56,5,FALSE)-VLOOKUP($A46,main!$A$3:$I$56,6,FALSE),0)</f>
        <v>230</v>
      </c>
      <c r="AZ46">
        <f>IF((gamma!AZ46),VLOOKUP(AZ$1,main!$A$3:$I$56,5,FALSE)-VLOOKUP($A46,main!$A$3:$I$56,6,FALSE),0)</f>
        <v>0</v>
      </c>
      <c r="BA46">
        <f>IF((gamma!BA46),VLOOKUP(BA$1,main!$A$3:$I$56,5,FALSE)-VLOOKUP($A46,main!$A$3:$I$56,6,FALSE),0)</f>
        <v>0</v>
      </c>
      <c r="BB46">
        <f>IF((gamma!BB46),VLOOKUP(BB$1,main!$A$3:$I$56,5,FALSE)-VLOOKUP($A46,main!$A$3:$I$56,6,FALSE),0)</f>
        <v>0</v>
      </c>
      <c r="BC46">
        <f>IF((gamma!BC46),VLOOKUP(BC$1,main!$A$3:$I$56,5,FALSE)-VLOOKUP($A46,main!$A$3:$I$56,6,FALSE),0)</f>
        <v>0</v>
      </c>
      <c r="BD46">
        <f>IF((gamma!BD46),VLOOKUP(BD$1,main!$A$3:$I$56,5,FALSE)-VLOOKUP($A46,main!$A$3:$I$56,6,FALSE),0)</f>
        <v>0</v>
      </c>
    </row>
    <row r="47" spans="1:56" x14ac:dyDescent="0.25">
      <c r="A47">
        <f t="shared" si="2"/>
        <v>45</v>
      </c>
      <c r="B47">
        <v>0</v>
      </c>
      <c r="C47">
        <f>IF((gamma!C47),VLOOKUP(C$1,main!$A$3:$I$56,5,FALSE)-VLOOKUP($A47,main!$A$3:$I$56,6,FALSE),0)</f>
        <v>0</v>
      </c>
      <c r="D47">
        <f>IF((gamma!D47),VLOOKUP(D$1,main!$A$3:$I$56,5,FALSE)-VLOOKUP($A47,main!$A$3:$I$56,6,FALSE),0)</f>
        <v>0</v>
      </c>
      <c r="E47">
        <f>IF((gamma!E47),VLOOKUP(E$1,main!$A$3:$I$56,5,FALSE)-VLOOKUP($A47,main!$A$3:$I$56,6,FALSE),0)</f>
        <v>0</v>
      </c>
      <c r="F47">
        <f>IF((gamma!F47),VLOOKUP(F$1,main!$A$3:$I$56,5,FALSE)-VLOOKUP($A47,main!$A$3:$I$56,6,FALSE),0)</f>
        <v>60</v>
      </c>
      <c r="G47">
        <f>IF((gamma!G47),VLOOKUP(G$1,main!$A$3:$I$56,5,FALSE)-VLOOKUP($A47,main!$A$3:$I$56,6,FALSE),0)</f>
        <v>120</v>
      </c>
      <c r="H47">
        <f>IF((gamma!H47),VLOOKUP(H$1,main!$A$3:$I$56,5,FALSE)-VLOOKUP($A47,main!$A$3:$I$56,6,FALSE),0)</f>
        <v>180</v>
      </c>
      <c r="I47">
        <f>IF((gamma!I47),VLOOKUP(I$1,main!$A$3:$I$56,5,FALSE)-VLOOKUP($A47,main!$A$3:$I$56,6,FALSE),0)</f>
        <v>240</v>
      </c>
      <c r="J47">
        <f>IF((gamma!J47),VLOOKUP(J$1,main!$A$3:$I$56,5,FALSE)-VLOOKUP($A47,main!$A$3:$I$56,6,FALSE),0)</f>
        <v>330</v>
      </c>
      <c r="K47">
        <f>IF((gamma!K47),VLOOKUP(K$1,main!$A$3:$I$56,5,FALSE)-VLOOKUP($A47,main!$A$3:$I$56,6,FALSE),0)</f>
        <v>0</v>
      </c>
      <c r="L47">
        <f>IF((gamma!L47),VLOOKUP(L$1,main!$A$3:$I$56,5,FALSE)-VLOOKUP($A47,main!$A$3:$I$56,6,FALSE),0)</f>
        <v>0</v>
      </c>
      <c r="M47">
        <f>IF((gamma!M47),VLOOKUP(M$1,main!$A$3:$I$56,5,FALSE)-VLOOKUP($A47,main!$A$3:$I$56,6,FALSE),0)</f>
        <v>0</v>
      </c>
      <c r="N47">
        <f>IF((gamma!N47),VLOOKUP(N$1,main!$A$3:$I$56,5,FALSE)-VLOOKUP($A47,main!$A$3:$I$56,6,FALSE),0)</f>
        <v>295</v>
      </c>
      <c r="O47">
        <f>IF((gamma!O47),VLOOKUP(O$1,main!$A$3:$I$56,5,FALSE)-VLOOKUP($A47,main!$A$3:$I$56,6,FALSE),0)</f>
        <v>355</v>
      </c>
      <c r="P47">
        <f>IF((gamma!P47),VLOOKUP(P$1,main!$A$3:$I$56,5,FALSE)-VLOOKUP($A47,main!$A$3:$I$56,6,FALSE),0)</f>
        <v>0</v>
      </c>
      <c r="Q47">
        <f>IF((gamma!Q47),VLOOKUP(Q$1,main!$A$3:$I$56,5,FALSE)-VLOOKUP($A47,main!$A$3:$I$56,6,FALSE),0)</f>
        <v>0</v>
      </c>
      <c r="R47">
        <f>IF((gamma!R47),VLOOKUP(R$1,main!$A$3:$I$56,5,FALSE)-VLOOKUP($A47,main!$A$3:$I$56,6,FALSE),0)</f>
        <v>0</v>
      </c>
      <c r="S47">
        <f>IF((gamma!S47),VLOOKUP(S$1,main!$A$3:$I$56,5,FALSE)-VLOOKUP($A47,main!$A$3:$I$56,6,FALSE),0)</f>
        <v>110</v>
      </c>
      <c r="T47">
        <f>IF((gamma!T47),VLOOKUP(T$1,main!$A$3:$I$56,5,FALSE)-VLOOKUP($A47,main!$A$3:$I$56,6,FALSE),0)</f>
        <v>260</v>
      </c>
      <c r="U47">
        <f>IF((gamma!U47),VLOOKUP(U$1,main!$A$3:$I$56,5,FALSE)-VLOOKUP($A47,main!$A$3:$I$56,6,FALSE),0)</f>
        <v>0</v>
      </c>
      <c r="V47">
        <f>IF((gamma!V47),VLOOKUP(V$1,main!$A$3:$I$56,5,FALSE)-VLOOKUP($A47,main!$A$3:$I$56,6,FALSE),0)</f>
        <v>0</v>
      </c>
      <c r="W47">
        <f>IF((gamma!W47),VLOOKUP(W$1,main!$A$3:$I$56,5,FALSE)-VLOOKUP($A47,main!$A$3:$I$56,6,FALSE),0)</f>
        <v>0</v>
      </c>
      <c r="X47">
        <f>IF((gamma!X47),VLOOKUP(X$1,main!$A$3:$I$56,5,FALSE)-VLOOKUP($A47,main!$A$3:$I$56,6,FALSE),0)</f>
        <v>0</v>
      </c>
      <c r="Y47">
        <f>IF((gamma!Y47),VLOOKUP(Y$1,main!$A$3:$I$56,5,FALSE)-VLOOKUP($A47,main!$A$3:$I$56,6,FALSE),0)</f>
        <v>40</v>
      </c>
      <c r="Z47">
        <f>IF((gamma!Z47),VLOOKUP(Z$1,main!$A$3:$I$56,5,FALSE)-VLOOKUP($A47,main!$A$3:$I$56,6,FALSE),0)</f>
        <v>130</v>
      </c>
      <c r="AA47">
        <f>IF((gamma!AA47),VLOOKUP(AA$1,main!$A$3:$I$56,5,FALSE)-VLOOKUP($A47,main!$A$3:$I$56,6,FALSE),0)</f>
        <v>220</v>
      </c>
      <c r="AB47">
        <f>IF((gamma!AB47),VLOOKUP(AB$1,main!$A$3:$I$56,5,FALSE)-VLOOKUP($A47,main!$A$3:$I$56,6,FALSE),0)</f>
        <v>280</v>
      </c>
      <c r="AC47">
        <f>IF((gamma!AC47),VLOOKUP(AC$1,main!$A$3:$I$56,5,FALSE)-VLOOKUP($A47,main!$A$3:$I$56,6,FALSE),0)</f>
        <v>0</v>
      </c>
      <c r="AD47">
        <f>IF((gamma!AD47),VLOOKUP(AD$1,main!$A$3:$I$56,5,FALSE)-VLOOKUP($A47,main!$A$3:$I$56,6,FALSE),0)</f>
        <v>0</v>
      </c>
      <c r="AE47">
        <f>IF((gamma!AE47),VLOOKUP(AE$1,main!$A$3:$I$56,5,FALSE)-VLOOKUP($A47,main!$A$3:$I$56,6,FALSE),0)</f>
        <v>0</v>
      </c>
      <c r="AF47">
        <f>IF((gamma!AF47),VLOOKUP(AF$1,main!$A$3:$I$56,5,FALSE)-VLOOKUP($A47,main!$A$3:$I$56,6,FALSE),0)</f>
        <v>90</v>
      </c>
      <c r="AG47">
        <f>IF((gamma!AG47),VLOOKUP(AG$1,main!$A$3:$I$56,5,FALSE)-VLOOKUP($A47,main!$A$3:$I$56,6,FALSE),0)</f>
        <v>0</v>
      </c>
      <c r="AH47">
        <f>IF((gamma!AH47),VLOOKUP(AH$1,main!$A$3:$I$56,5,FALSE)-VLOOKUP($A47,main!$A$3:$I$56,6,FALSE),0)</f>
        <v>0</v>
      </c>
      <c r="AI47">
        <f>IF((gamma!AI47),VLOOKUP(AI$1,main!$A$3:$I$56,5,FALSE)-VLOOKUP($A47,main!$A$3:$I$56,6,FALSE),0)</f>
        <v>0</v>
      </c>
      <c r="AJ47">
        <f>IF((gamma!AJ47),VLOOKUP(AJ$1,main!$A$3:$I$56,5,FALSE)-VLOOKUP($A47,main!$A$3:$I$56,6,FALSE),0)</f>
        <v>60</v>
      </c>
      <c r="AK47">
        <f>IF((gamma!AK47),VLOOKUP(AK$1,main!$A$3:$I$56,5,FALSE)-VLOOKUP($A47,main!$A$3:$I$56,6,FALSE),0)</f>
        <v>180</v>
      </c>
      <c r="AL47">
        <f>IF((gamma!AL47),VLOOKUP(AL$1,main!$A$3:$I$56,5,FALSE)-VLOOKUP($A47,main!$A$3:$I$56,6,FALSE),0)</f>
        <v>0</v>
      </c>
      <c r="AM47">
        <f>IF((gamma!AM47),VLOOKUP(AM$1,main!$A$3:$I$56,5,FALSE)-VLOOKUP($A47,main!$A$3:$I$56,6,FALSE),0)</f>
        <v>0</v>
      </c>
      <c r="AN47">
        <f>IF((gamma!AN47),VLOOKUP(AN$1,main!$A$3:$I$56,5,FALSE)-VLOOKUP($A47,main!$A$3:$I$56,6,FALSE),0)</f>
        <v>0</v>
      </c>
      <c r="AO47">
        <f>IF((gamma!AO47),VLOOKUP(AO$1,main!$A$3:$I$56,5,FALSE)-VLOOKUP($A47,main!$A$3:$I$56,6,FALSE),0)</f>
        <v>90</v>
      </c>
      <c r="AP47">
        <f>IF((gamma!AP47),VLOOKUP(AP$1,main!$A$3:$I$56,5,FALSE)-VLOOKUP($A47,main!$A$3:$I$56,6,FALSE),0)</f>
        <v>0</v>
      </c>
      <c r="AQ47">
        <f>IF((gamma!AQ47),VLOOKUP(AQ$1,main!$A$3:$I$56,5,FALSE)-VLOOKUP($A47,main!$A$3:$I$56,6,FALSE),0)</f>
        <v>0</v>
      </c>
      <c r="AR47">
        <f>IF((gamma!AR47),VLOOKUP(AR$1,main!$A$3:$I$56,5,FALSE)-VLOOKUP($A47,main!$A$3:$I$56,6,FALSE),0)</f>
        <v>0</v>
      </c>
      <c r="AS47">
        <f>IF((gamma!AS47),VLOOKUP(AS$1,main!$A$3:$I$56,5,FALSE)-VLOOKUP($A47,main!$A$3:$I$56,6,FALSE),0)</f>
        <v>0</v>
      </c>
      <c r="AT47">
        <f>IF((gamma!AT47),VLOOKUP(AT$1,main!$A$3:$I$56,5,FALSE)-VLOOKUP($A47,main!$A$3:$I$56,6,FALSE),0)</f>
        <v>0</v>
      </c>
      <c r="AU47">
        <f>IF((gamma!AU47),VLOOKUP(AU$1,main!$A$3:$I$56,5,FALSE)-VLOOKUP($A47,main!$A$3:$I$56,6,FALSE),0)</f>
        <v>0</v>
      </c>
      <c r="AV47">
        <f>IF((gamma!AV47),VLOOKUP(AV$1,main!$A$3:$I$56,5,FALSE)-VLOOKUP($A47,main!$A$3:$I$56,6,FALSE),0)</f>
        <v>0</v>
      </c>
      <c r="AW47">
        <f>IF((gamma!AW47),VLOOKUP(AW$1,main!$A$3:$I$56,5,FALSE)-VLOOKUP($A47,main!$A$3:$I$56,6,FALSE),0)</f>
        <v>0</v>
      </c>
      <c r="AX47">
        <f>IF((gamma!AX47),VLOOKUP(AX$1,main!$A$3:$I$56,5,FALSE)-VLOOKUP($A47,main!$A$3:$I$56,6,FALSE),0)</f>
        <v>140</v>
      </c>
      <c r="AY47">
        <f>IF((gamma!AY47),VLOOKUP(AY$1,main!$A$3:$I$56,5,FALSE)-VLOOKUP($A47,main!$A$3:$I$56,6,FALSE),0)</f>
        <v>340</v>
      </c>
      <c r="AZ47">
        <f>IF((gamma!AZ47),VLOOKUP(AZ$1,main!$A$3:$I$56,5,FALSE)-VLOOKUP($A47,main!$A$3:$I$56,6,FALSE),0)</f>
        <v>0</v>
      </c>
      <c r="BA47">
        <f>IF((gamma!BA47),VLOOKUP(BA$1,main!$A$3:$I$56,5,FALSE)-VLOOKUP($A47,main!$A$3:$I$56,6,FALSE),0)</f>
        <v>0</v>
      </c>
      <c r="BB47">
        <f>IF((gamma!BB47),VLOOKUP(BB$1,main!$A$3:$I$56,5,FALSE)-VLOOKUP($A47,main!$A$3:$I$56,6,FALSE),0)</f>
        <v>0</v>
      </c>
      <c r="BC47">
        <f>IF((gamma!BC47),VLOOKUP(BC$1,main!$A$3:$I$56,5,FALSE)-VLOOKUP($A47,main!$A$3:$I$56,6,FALSE),0)</f>
        <v>105</v>
      </c>
      <c r="BD47">
        <f>IF((gamma!BD47),VLOOKUP(BD$1,main!$A$3:$I$56,5,FALSE)-VLOOKUP($A47,main!$A$3:$I$56,6,FALSE),0)</f>
        <v>115</v>
      </c>
    </row>
    <row r="48" spans="1:56" x14ac:dyDescent="0.25">
      <c r="A48">
        <f t="shared" si="2"/>
        <v>46</v>
      </c>
      <c r="B48">
        <v>0</v>
      </c>
      <c r="C48">
        <f>IF((gamma!C48),VLOOKUP(C$1,main!$A$3:$I$56,5,FALSE)-VLOOKUP($A48,main!$A$3:$I$56,6,FALSE),0)</f>
        <v>0</v>
      </c>
      <c r="D48">
        <f>IF((gamma!D48),VLOOKUP(D$1,main!$A$3:$I$56,5,FALSE)-VLOOKUP($A48,main!$A$3:$I$56,6,FALSE),0)</f>
        <v>0</v>
      </c>
      <c r="E48">
        <f>IF((gamma!E48),VLOOKUP(E$1,main!$A$3:$I$56,5,FALSE)-VLOOKUP($A48,main!$A$3:$I$56,6,FALSE),0)</f>
        <v>0</v>
      </c>
      <c r="F48">
        <f>IF((gamma!F48),VLOOKUP(F$1,main!$A$3:$I$56,5,FALSE)-VLOOKUP($A48,main!$A$3:$I$56,6,FALSE),0)</f>
        <v>35</v>
      </c>
      <c r="G48">
        <f>IF((gamma!G48),VLOOKUP(G$1,main!$A$3:$I$56,5,FALSE)-VLOOKUP($A48,main!$A$3:$I$56,6,FALSE),0)</f>
        <v>95</v>
      </c>
      <c r="H48">
        <f>IF((gamma!H48),VLOOKUP(H$1,main!$A$3:$I$56,5,FALSE)-VLOOKUP($A48,main!$A$3:$I$56,6,FALSE),0)</f>
        <v>155</v>
      </c>
      <c r="I48">
        <f>IF((gamma!I48),VLOOKUP(I$1,main!$A$3:$I$56,5,FALSE)-VLOOKUP($A48,main!$A$3:$I$56,6,FALSE),0)</f>
        <v>215</v>
      </c>
      <c r="J48">
        <f>IF((gamma!J48),VLOOKUP(J$1,main!$A$3:$I$56,5,FALSE)-VLOOKUP($A48,main!$A$3:$I$56,6,FALSE),0)</f>
        <v>305</v>
      </c>
      <c r="K48">
        <f>IF((gamma!K48),VLOOKUP(K$1,main!$A$3:$I$56,5,FALSE)-VLOOKUP($A48,main!$A$3:$I$56,6,FALSE),0)</f>
        <v>0</v>
      </c>
      <c r="L48">
        <f>IF((gamma!L48),VLOOKUP(L$1,main!$A$3:$I$56,5,FALSE)-VLOOKUP($A48,main!$A$3:$I$56,6,FALSE),0)</f>
        <v>0</v>
      </c>
      <c r="M48">
        <f>IF((gamma!M48),VLOOKUP(M$1,main!$A$3:$I$56,5,FALSE)-VLOOKUP($A48,main!$A$3:$I$56,6,FALSE),0)</f>
        <v>0</v>
      </c>
      <c r="N48">
        <f>IF((gamma!N48),VLOOKUP(N$1,main!$A$3:$I$56,5,FALSE)-VLOOKUP($A48,main!$A$3:$I$56,6,FALSE),0)</f>
        <v>270</v>
      </c>
      <c r="O48">
        <f>IF((gamma!O48),VLOOKUP(O$1,main!$A$3:$I$56,5,FALSE)-VLOOKUP($A48,main!$A$3:$I$56,6,FALSE),0)</f>
        <v>330</v>
      </c>
      <c r="P48">
        <f>IF((gamma!P48),VLOOKUP(P$1,main!$A$3:$I$56,5,FALSE)-VLOOKUP($A48,main!$A$3:$I$56,6,FALSE),0)</f>
        <v>0</v>
      </c>
      <c r="Q48">
        <f>IF((gamma!Q48),VLOOKUP(Q$1,main!$A$3:$I$56,5,FALSE)-VLOOKUP($A48,main!$A$3:$I$56,6,FALSE),0)</f>
        <v>0</v>
      </c>
      <c r="R48">
        <f>IF((gamma!R48),VLOOKUP(R$1,main!$A$3:$I$56,5,FALSE)-VLOOKUP($A48,main!$A$3:$I$56,6,FALSE),0)</f>
        <v>0</v>
      </c>
      <c r="S48">
        <f>IF((gamma!S48),VLOOKUP(S$1,main!$A$3:$I$56,5,FALSE)-VLOOKUP($A48,main!$A$3:$I$56,6,FALSE),0)</f>
        <v>85</v>
      </c>
      <c r="T48">
        <f>IF((gamma!T48),VLOOKUP(T$1,main!$A$3:$I$56,5,FALSE)-VLOOKUP($A48,main!$A$3:$I$56,6,FALSE),0)</f>
        <v>235</v>
      </c>
      <c r="U48">
        <f>IF((gamma!U48),VLOOKUP(U$1,main!$A$3:$I$56,5,FALSE)-VLOOKUP($A48,main!$A$3:$I$56,6,FALSE),0)</f>
        <v>0</v>
      </c>
      <c r="V48">
        <f>IF((gamma!V48),VLOOKUP(V$1,main!$A$3:$I$56,5,FALSE)-VLOOKUP($A48,main!$A$3:$I$56,6,FALSE),0)</f>
        <v>0</v>
      </c>
      <c r="W48">
        <f>IF((gamma!W48),VLOOKUP(W$1,main!$A$3:$I$56,5,FALSE)-VLOOKUP($A48,main!$A$3:$I$56,6,FALSE),0)</f>
        <v>0</v>
      </c>
      <c r="X48">
        <f>IF((gamma!X48),VLOOKUP(X$1,main!$A$3:$I$56,5,FALSE)-VLOOKUP($A48,main!$A$3:$I$56,6,FALSE),0)</f>
        <v>0</v>
      </c>
      <c r="Y48">
        <f>IF((gamma!Y48),VLOOKUP(Y$1,main!$A$3:$I$56,5,FALSE)-VLOOKUP($A48,main!$A$3:$I$56,6,FALSE),0)</f>
        <v>0</v>
      </c>
      <c r="Z48">
        <f>IF((gamma!Z48),VLOOKUP(Z$1,main!$A$3:$I$56,5,FALSE)-VLOOKUP($A48,main!$A$3:$I$56,6,FALSE),0)</f>
        <v>105</v>
      </c>
      <c r="AA48">
        <f>IF((gamma!AA48),VLOOKUP(AA$1,main!$A$3:$I$56,5,FALSE)-VLOOKUP($A48,main!$A$3:$I$56,6,FALSE),0)</f>
        <v>195</v>
      </c>
      <c r="AB48">
        <f>IF((gamma!AB48),VLOOKUP(AB$1,main!$A$3:$I$56,5,FALSE)-VLOOKUP($A48,main!$A$3:$I$56,6,FALSE),0)</f>
        <v>255</v>
      </c>
      <c r="AC48">
        <f>IF((gamma!AC48),VLOOKUP(AC$1,main!$A$3:$I$56,5,FALSE)-VLOOKUP($A48,main!$A$3:$I$56,6,FALSE),0)</f>
        <v>0</v>
      </c>
      <c r="AD48">
        <f>IF((gamma!AD48),VLOOKUP(AD$1,main!$A$3:$I$56,5,FALSE)-VLOOKUP($A48,main!$A$3:$I$56,6,FALSE),0)</f>
        <v>0</v>
      </c>
      <c r="AE48">
        <f>IF((gamma!AE48),VLOOKUP(AE$1,main!$A$3:$I$56,5,FALSE)-VLOOKUP($A48,main!$A$3:$I$56,6,FALSE),0)</f>
        <v>0</v>
      </c>
      <c r="AF48">
        <f>IF((gamma!AF48),VLOOKUP(AF$1,main!$A$3:$I$56,5,FALSE)-VLOOKUP($A48,main!$A$3:$I$56,6,FALSE),0)</f>
        <v>65</v>
      </c>
      <c r="AG48">
        <f>IF((gamma!AG48),VLOOKUP(AG$1,main!$A$3:$I$56,5,FALSE)-VLOOKUP($A48,main!$A$3:$I$56,6,FALSE),0)</f>
        <v>0</v>
      </c>
      <c r="AH48">
        <f>IF((gamma!AH48),VLOOKUP(AH$1,main!$A$3:$I$56,5,FALSE)-VLOOKUP($A48,main!$A$3:$I$56,6,FALSE),0)</f>
        <v>0</v>
      </c>
      <c r="AI48">
        <f>IF((gamma!AI48),VLOOKUP(AI$1,main!$A$3:$I$56,5,FALSE)-VLOOKUP($A48,main!$A$3:$I$56,6,FALSE),0)</f>
        <v>0</v>
      </c>
      <c r="AJ48">
        <f>IF((gamma!AJ48),VLOOKUP(AJ$1,main!$A$3:$I$56,5,FALSE)-VLOOKUP($A48,main!$A$3:$I$56,6,FALSE),0)</f>
        <v>0</v>
      </c>
      <c r="AK48">
        <f>IF((gamma!AK48),VLOOKUP(AK$1,main!$A$3:$I$56,5,FALSE)-VLOOKUP($A48,main!$A$3:$I$56,6,FALSE),0)</f>
        <v>155</v>
      </c>
      <c r="AL48">
        <f>IF((gamma!AL48),VLOOKUP(AL$1,main!$A$3:$I$56,5,FALSE)-VLOOKUP($A48,main!$A$3:$I$56,6,FALSE),0)</f>
        <v>0</v>
      </c>
      <c r="AM48">
        <f>IF((gamma!AM48),VLOOKUP(AM$1,main!$A$3:$I$56,5,FALSE)-VLOOKUP($A48,main!$A$3:$I$56,6,FALSE),0)</f>
        <v>0</v>
      </c>
      <c r="AN48">
        <f>IF((gamma!AN48),VLOOKUP(AN$1,main!$A$3:$I$56,5,FALSE)-VLOOKUP($A48,main!$A$3:$I$56,6,FALSE),0)</f>
        <v>0</v>
      </c>
      <c r="AO48">
        <f>IF((gamma!AO48),VLOOKUP(AO$1,main!$A$3:$I$56,5,FALSE)-VLOOKUP($A48,main!$A$3:$I$56,6,FALSE),0)</f>
        <v>65</v>
      </c>
      <c r="AP48">
        <f>IF((gamma!AP48),VLOOKUP(AP$1,main!$A$3:$I$56,5,FALSE)-VLOOKUP($A48,main!$A$3:$I$56,6,FALSE),0)</f>
        <v>0</v>
      </c>
      <c r="AQ48">
        <f>IF((gamma!AQ48),VLOOKUP(AQ$1,main!$A$3:$I$56,5,FALSE)-VLOOKUP($A48,main!$A$3:$I$56,6,FALSE),0)</f>
        <v>0</v>
      </c>
      <c r="AR48">
        <f>IF((gamma!AR48),VLOOKUP(AR$1,main!$A$3:$I$56,5,FALSE)-VLOOKUP($A48,main!$A$3:$I$56,6,FALSE),0)</f>
        <v>0</v>
      </c>
      <c r="AS48">
        <f>IF((gamma!AS48),VLOOKUP(AS$1,main!$A$3:$I$56,5,FALSE)-VLOOKUP($A48,main!$A$3:$I$56,6,FALSE),0)</f>
        <v>0</v>
      </c>
      <c r="AT48">
        <f>IF((gamma!AT48),VLOOKUP(AT$1,main!$A$3:$I$56,5,FALSE)-VLOOKUP($A48,main!$A$3:$I$56,6,FALSE),0)</f>
        <v>0</v>
      </c>
      <c r="AU48">
        <f>IF((gamma!AU48),VLOOKUP(AU$1,main!$A$3:$I$56,5,FALSE)-VLOOKUP($A48,main!$A$3:$I$56,6,FALSE),0)</f>
        <v>0</v>
      </c>
      <c r="AV48">
        <f>IF((gamma!AV48),VLOOKUP(AV$1,main!$A$3:$I$56,5,FALSE)-VLOOKUP($A48,main!$A$3:$I$56,6,FALSE),0)</f>
        <v>0</v>
      </c>
      <c r="AW48">
        <f>IF((gamma!AW48),VLOOKUP(AW$1,main!$A$3:$I$56,5,FALSE)-VLOOKUP($A48,main!$A$3:$I$56,6,FALSE),0)</f>
        <v>0</v>
      </c>
      <c r="AX48">
        <f>IF((gamma!AX48),VLOOKUP(AX$1,main!$A$3:$I$56,5,FALSE)-VLOOKUP($A48,main!$A$3:$I$56,6,FALSE),0)</f>
        <v>115</v>
      </c>
      <c r="AY48">
        <f>IF((gamma!AY48),VLOOKUP(AY$1,main!$A$3:$I$56,5,FALSE)-VLOOKUP($A48,main!$A$3:$I$56,6,FALSE),0)</f>
        <v>315</v>
      </c>
      <c r="AZ48">
        <f>IF((gamma!AZ48),VLOOKUP(AZ$1,main!$A$3:$I$56,5,FALSE)-VLOOKUP($A48,main!$A$3:$I$56,6,FALSE),0)</f>
        <v>0</v>
      </c>
      <c r="BA48">
        <f>IF((gamma!BA48),VLOOKUP(BA$1,main!$A$3:$I$56,5,FALSE)-VLOOKUP($A48,main!$A$3:$I$56,6,FALSE),0)</f>
        <v>0</v>
      </c>
      <c r="BB48">
        <f>IF((gamma!BB48),VLOOKUP(BB$1,main!$A$3:$I$56,5,FALSE)-VLOOKUP($A48,main!$A$3:$I$56,6,FALSE),0)</f>
        <v>0</v>
      </c>
      <c r="BC48">
        <f>IF((gamma!BC48),VLOOKUP(BC$1,main!$A$3:$I$56,5,FALSE)-VLOOKUP($A48,main!$A$3:$I$56,6,FALSE),0)</f>
        <v>80</v>
      </c>
      <c r="BD48">
        <f>IF((gamma!BD48),VLOOKUP(BD$1,main!$A$3:$I$56,5,FALSE)-VLOOKUP($A48,main!$A$3:$I$56,6,FALSE),0)</f>
        <v>90</v>
      </c>
    </row>
    <row r="49" spans="1:56" x14ac:dyDescent="0.25">
      <c r="A49">
        <f t="shared" si="2"/>
        <v>47</v>
      </c>
      <c r="B49">
        <v>0</v>
      </c>
      <c r="C49">
        <f>IF((gamma!C49),VLOOKUP(C$1,main!$A$3:$I$56,5,FALSE)-VLOOKUP($A49,main!$A$3:$I$56,6,FALSE),0)</f>
        <v>0</v>
      </c>
      <c r="D49">
        <f>IF((gamma!D49),VLOOKUP(D$1,main!$A$3:$I$56,5,FALSE)-VLOOKUP($A49,main!$A$3:$I$56,6,FALSE),0)</f>
        <v>0</v>
      </c>
      <c r="E49">
        <f>IF((gamma!E49),VLOOKUP(E$1,main!$A$3:$I$56,5,FALSE)-VLOOKUP($A49,main!$A$3:$I$56,6,FALSE),0)</f>
        <v>0</v>
      </c>
      <c r="F49">
        <f>IF((gamma!F49),VLOOKUP(F$1,main!$A$3:$I$56,5,FALSE)-VLOOKUP($A49,main!$A$3:$I$56,6,FALSE),0)</f>
        <v>0</v>
      </c>
      <c r="G49">
        <f>IF((gamma!G49),VLOOKUP(G$1,main!$A$3:$I$56,5,FALSE)-VLOOKUP($A49,main!$A$3:$I$56,6,FALSE),0)</f>
        <v>40</v>
      </c>
      <c r="H49">
        <f>IF((gamma!H49),VLOOKUP(H$1,main!$A$3:$I$56,5,FALSE)-VLOOKUP($A49,main!$A$3:$I$56,6,FALSE),0)</f>
        <v>100</v>
      </c>
      <c r="I49">
        <f>IF((gamma!I49),VLOOKUP(I$1,main!$A$3:$I$56,5,FALSE)-VLOOKUP($A49,main!$A$3:$I$56,6,FALSE),0)</f>
        <v>160</v>
      </c>
      <c r="J49">
        <f>IF((gamma!J49),VLOOKUP(J$1,main!$A$3:$I$56,5,FALSE)-VLOOKUP($A49,main!$A$3:$I$56,6,FALSE),0)</f>
        <v>250</v>
      </c>
      <c r="K49">
        <f>IF((gamma!K49),VLOOKUP(K$1,main!$A$3:$I$56,5,FALSE)-VLOOKUP($A49,main!$A$3:$I$56,6,FALSE),0)</f>
        <v>0</v>
      </c>
      <c r="L49">
        <f>IF((gamma!L49),VLOOKUP(L$1,main!$A$3:$I$56,5,FALSE)-VLOOKUP($A49,main!$A$3:$I$56,6,FALSE),0)</f>
        <v>0</v>
      </c>
      <c r="M49">
        <f>IF((gamma!M49),VLOOKUP(M$1,main!$A$3:$I$56,5,FALSE)-VLOOKUP($A49,main!$A$3:$I$56,6,FALSE),0)</f>
        <v>0</v>
      </c>
      <c r="N49">
        <f>IF((gamma!N49),VLOOKUP(N$1,main!$A$3:$I$56,5,FALSE)-VLOOKUP($A49,main!$A$3:$I$56,6,FALSE),0)</f>
        <v>215</v>
      </c>
      <c r="O49">
        <f>IF((gamma!O49),VLOOKUP(O$1,main!$A$3:$I$56,5,FALSE)-VLOOKUP($A49,main!$A$3:$I$56,6,FALSE),0)</f>
        <v>275</v>
      </c>
      <c r="P49">
        <f>IF((gamma!P49),VLOOKUP(P$1,main!$A$3:$I$56,5,FALSE)-VLOOKUP($A49,main!$A$3:$I$56,6,FALSE),0)</f>
        <v>0</v>
      </c>
      <c r="Q49">
        <f>IF((gamma!Q49),VLOOKUP(Q$1,main!$A$3:$I$56,5,FALSE)-VLOOKUP($A49,main!$A$3:$I$56,6,FALSE),0)</f>
        <v>0</v>
      </c>
      <c r="R49">
        <f>IF((gamma!R49),VLOOKUP(R$1,main!$A$3:$I$56,5,FALSE)-VLOOKUP($A49,main!$A$3:$I$56,6,FALSE),0)</f>
        <v>0</v>
      </c>
      <c r="S49">
        <f>IF((gamma!S49),VLOOKUP(S$1,main!$A$3:$I$56,5,FALSE)-VLOOKUP($A49,main!$A$3:$I$56,6,FALSE),0)</f>
        <v>30</v>
      </c>
      <c r="T49">
        <f>IF((gamma!T49),VLOOKUP(T$1,main!$A$3:$I$56,5,FALSE)-VLOOKUP($A49,main!$A$3:$I$56,6,FALSE),0)</f>
        <v>180</v>
      </c>
      <c r="U49">
        <f>IF((gamma!U49),VLOOKUP(U$1,main!$A$3:$I$56,5,FALSE)-VLOOKUP($A49,main!$A$3:$I$56,6,FALSE),0)</f>
        <v>0</v>
      </c>
      <c r="V49">
        <f>IF((gamma!V49),VLOOKUP(V$1,main!$A$3:$I$56,5,FALSE)-VLOOKUP($A49,main!$A$3:$I$56,6,FALSE),0)</f>
        <v>0</v>
      </c>
      <c r="W49">
        <f>IF((gamma!W49),VLOOKUP(W$1,main!$A$3:$I$56,5,FALSE)-VLOOKUP($A49,main!$A$3:$I$56,6,FALSE),0)</f>
        <v>0</v>
      </c>
      <c r="X49">
        <f>IF((gamma!X49),VLOOKUP(X$1,main!$A$3:$I$56,5,FALSE)-VLOOKUP($A49,main!$A$3:$I$56,6,FALSE),0)</f>
        <v>0</v>
      </c>
      <c r="Y49">
        <f>IF((gamma!Y49),VLOOKUP(Y$1,main!$A$3:$I$56,5,FALSE)-VLOOKUP($A49,main!$A$3:$I$56,6,FALSE),0)</f>
        <v>0</v>
      </c>
      <c r="Z49">
        <f>IF((gamma!Z49),VLOOKUP(Z$1,main!$A$3:$I$56,5,FALSE)-VLOOKUP($A49,main!$A$3:$I$56,6,FALSE),0)</f>
        <v>50</v>
      </c>
      <c r="AA49">
        <f>IF((gamma!AA49),VLOOKUP(AA$1,main!$A$3:$I$56,5,FALSE)-VLOOKUP($A49,main!$A$3:$I$56,6,FALSE),0)</f>
        <v>140</v>
      </c>
      <c r="AB49">
        <f>IF((gamma!AB49),VLOOKUP(AB$1,main!$A$3:$I$56,5,FALSE)-VLOOKUP($A49,main!$A$3:$I$56,6,FALSE),0)</f>
        <v>200</v>
      </c>
      <c r="AC49">
        <f>IF((gamma!AC49),VLOOKUP(AC$1,main!$A$3:$I$56,5,FALSE)-VLOOKUP($A49,main!$A$3:$I$56,6,FALSE),0)</f>
        <v>0</v>
      </c>
      <c r="AD49">
        <f>IF((gamma!AD49),VLOOKUP(AD$1,main!$A$3:$I$56,5,FALSE)-VLOOKUP($A49,main!$A$3:$I$56,6,FALSE),0)</f>
        <v>0</v>
      </c>
      <c r="AE49">
        <f>IF((gamma!AE49),VLOOKUP(AE$1,main!$A$3:$I$56,5,FALSE)-VLOOKUP($A49,main!$A$3:$I$56,6,FALSE),0)</f>
        <v>0</v>
      </c>
      <c r="AF49">
        <f>IF((gamma!AF49),VLOOKUP(AF$1,main!$A$3:$I$56,5,FALSE)-VLOOKUP($A49,main!$A$3:$I$56,6,FALSE),0)</f>
        <v>0</v>
      </c>
      <c r="AG49">
        <f>IF((gamma!AG49),VLOOKUP(AG$1,main!$A$3:$I$56,5,FALSE)-VLOOKUP($A49,main!$A$3:$I$56,6,FALSE),0)</f>
        <v>0</v>
      </c>
      <c r="AH49">
        <f>IF((gamma!AH49),VLOOKUP(AH$1,main!$A$3:$I$56,5,FALSE)-VLOOKUP($A49,main!$A$3:$I$56,6,FALSE),0)</f>
        <v>0</v>
      </c>
      <c r="AI49">
        <f>IF((gamma!AI49),VLOOKUP(AI$1,main!$A$3:$I$56,5,FALSE)-VLOOKUP($A49,main!$A$3:$I$56,6,FALSE),0)</f>
        <v>0</v>
      </c>
      <c r="AJ49">
        <f>IF((gamma!AJ49),VLOOKUP(AJ$1,main!$A$3:$I$56,5,FALSE)-VLOOKUP($A49,main!$A$3:$I$56,6,FALSE),0)</f>
        <v>0</v>
      </c>
      <c r="AK49">
        <f>IF((gamma!AK49),VLOOKUP(AK$1,main!$A$3:$I$56,5,FALSE)-VLOOKUP($A49,main!$A$3:$I$56,6,FALSE),0)</f>
        <v>100</v>
      </c>
      <c r="AL49">
        <f>IF((gamma!AL49),VLOOKUP(AL$1,main!$A$3:$I$56,5,FALSE)-VLOOKUP($A49,main!$A$3:$I$56,6,FALSE),0)</f>
        <v>0</v>
      </c>
      <c r="AM49">
        <f>IF((gamma!AM49),VLOOKUP(AM$1,main!$A$3:$I$56,5,FALSE)-VLOOKUP($A49,main!$A$3:$I$56,6,FALSE),0)</f>
        <v>0</v>
      </c>
      <c r="AN49">
        <f>IF((gamma!AN49),VLOOKUP(AN$1,main!$A$3:$I$56,5,FALSE)-VLOOKUP($A49,main!$A$3:$I$56,6,FALSE),0)</f>
        <v>0</v>
      </c>
      <c r="AO49">
        <f>IF((gamma!AO49),VLOOKUP(AO$1,main!$A$3:$I$56,5,FALSE)-VLOOKUP($A49,main!$A$3:$I$56,6,FALSE),0)</f>
        <v>0</v>
      </c>
      <c r="AP49">
        <f>IF((gamma!AP49),VLOOKUP(AP$1,main!$A$3:$I$56,5,FALSE)-VLOOKUP($A49,main!$A$3:$I$56,6,FALSE),0)</f>
        <v>0</v>
      </c>
      <c r="AQ49">
        <f>IF((gamma!AQ49),VLOOKUP(AQ$1,main!$A$3:$I$56,5,FALSE)-VLOOKUP($A49,main!$A$3:$I$56,6,FALSE),0)</f>
        <v>0</v>
      </c>
      <c r="AR49">
        <f>IF((gamma!AR49),VLOOKUP(AR$1,main!$A$3:$I$56,5,FALSE)-VLOOKUP($A49,main!$A$3:$I$56,6,FALSE),0)</f>
        <v>0</v>
      </c>
      <c r="AS49">
        <f>IF((gamma!AS49),VLOOKUP(AS$1,main!$A$3:$I$56,5,FALSE)-VLOOKUP($A49,main!$A$3:$I$56,6,FALSE),0)</f>
        <v>0</v>
      </c>
      <c r="AT49">
        <f>IF((gamma!AT49),VLOOKUP(AT$1,main!$A$3:$I$56,5,FALSE)-VLOOKUP($A49,main!$A$3:$I$56,6,FALSE),0)</f>
        <v>0</v>
      </c>
      <c r="AU49">
        <f>IF((gamma!AU49),VLOOKUP(AU$1,main!$A$3:$I$56,5,FALSE)-VLOOKUP($A49,main!$A$3:$I$56,6,FALSE),0)</f>
        <v>0</v>
      </c>
      <c r="AV49">
        <f>IF((gamma!AV49),VLOOKUP(AV$1,main!$A$3:$I$56,5,FALSE)-VLOOKUP($A49,main!$A$3:$I$56,6,FALSE),0)</f>
        <v>0</v>
      </c>
      <c r="AW49">
        <f>IF((gamma!AW49),VLOOKUP(AW$1,main!$A$3:$I$56,5,FALSE)-VLOOKUP($A49,main!$A$3:$I$56,6,FALSE),0)</f>
        <v>0</v>
      </c>
      <c r="AX49">
        <f>IF((gamma!AX49),VLOOKUP(AX$1,main!$A$3:$I$56,5,FALSE)-VLOOKUP($A49,main!$A$3:$I$56,6,FALSE),0)</f>
        <v>60</v>
      </c>
      <c r="AY49">
        <f>IF((gamma!AY49),VLOOKUP(AY$1,main!$A$3:$I$56,5,FALSE)-VLOOKUP($A49,main!$A$3:$I$56,6,FALSE),0)</f>
        <v>260</v>
      </c>
      <c r="AZ49">
        <f>IF((gamma!AZ49),VLOOKUP(AZ$1,main!$A$3:$I$56,5,FALSE)-VLOOKUP($A49,main!$A$3:$I$56,6,FALSE),0)</f>
        <v>0</v>
      </c>
      <c r="BA49">
        <f>IF((gamma!BA49),VLOOKUP(BA$1,main!$A$3:$I$56,5,FALSE)-VLOOKUP($A49,main!$A$3:$I$56,6,FALSE),0)</f>
        <v>0</v>
      </c>
      <c r="BB49">
        <f>IF((gamma!BB49),VLOOKUP(BB$1,main!$A$3:$I$56,5,FALSE)-VLOOKUP($A49,main!$A$3:$I$56,6,FALSE),0)</f>
        <v>0</v>
      </c>
      <c r="BC49">
        <f>IF((gamma!BC49),VLOOKUP(BC$1,main!$A$3:$I$56,5,FALSE)-VLOOKUP($A49,main!$A$3:$I$56,6,FALSE),0)</f>
        <v>0</v>
      </c>
      <c r="BD49">
        <f>IF((gamma!BD49),VLOOKUP(BD$1,main!$A$3:$I$56,5,FALSE)-VLOOKUP($A49,main!$A$3:$I$56,6,FALSE),0)</f>
        <v>0</v>
      </c>
    </row>
    <row r="50" spans="1:56" x14ac:dyDescent="0.25">
      <c r="A50">
        <f t="shared" si="2"/>
        <v>48</v>
      </c>
      <c r="B50">
        <v>0</v>
      </c>
      <c r="C50">
        <f>IF((gamma!C50),VLOOKUP(C$1,main!$A$3:$I$56,5,FALSE)-VLOOKUP($A50,main!$A$3:$I$56,6,FALSE),0)</f>
        <v>0</v>
      </c>
      <c r="D50">
        <f>IF((gamma!D50),VLOOKUP(D$1,main!$A$3:$I$56,5,FALSE)-VLOOKUP($A50,main!$A$3:$I$56,6,FALSE),0)</f>
        <v>0</v>
      </c>
      <c r="E50">
        <f>IF((gamma!E50),VLOOKUP(E$1,main!$A$3:$I$56,5,FALSE)-VLOOKUP($A50,main!$A$3:$I$56,6,FALSE),0)</f>
        <v>0</v>
      </c>
      <c r="F50">
        <f>IF((gamma!F50),VLOOKUP(F$1,main!$A$3:$I$56,5,FALSE)-VLOOKUP($A50,main!$A$3:$I$56,6,FALSE),0)</f>
        <v>0</v>
      </c>
      <c r="G50">
        <f>IF((gamma!G50),VLOOKUP(G$1,main!$A$3:$I$56,5,FALSE)-VLOOKUP($A50,main!$A$3:$I$56,6,FALSE),0)</f>
        <v>0</v>
      </c>
      <c r="H50">
        <f>IF((gamma!H50),VLOOKUP(H$1,main!$A$3:$I$56,5,FALSE)-VLOOKUP($A50,main!$A$3:$I$56,6,FALSE),0)</f>
        <v>0</v>
      </c>
      <c r="I50">
        <f>IF((gamma!I50),VLOOKUP(I$1,main!$A$3:$I$56,5,FALSE)-VLOOKUP($A50,main!$A$3:$I$56,6,FALSE),0)</f>
        <v>0</v>
      </c>
      <c r="J50">
        <f>IF((gamma!J50),VLOOKUP(J$1,main!$A$3:$I$56,5,FALSE)-VLOOKUP($A50,main!$A$3:$I$56,6,FALSE),0)</f>
        <v>50</v>
      </c>
      <c r="K50">
        <f>IF((gamma!K50),VLOOKUP(K$1,main!$A$3:$I$56,5,FALSE)-VLOOKUP($A50,main!$A$3:$I$56,6,FALSE),0)</f>
        <v>0</v>
      </c>
      <c r="L50">
        <f>IF((gamma!L50),VLOOKUP(L$1,main!$A$3:$I$56,5,FALSE)-VLOOKUP($A50,main!$A$3:$I$56,6,FALSE),0)</f>
        <v>0</v>
      </c>
      <c r="M50">
        <f>IF((gamma!M50),VLOOKUP(M$1,main!$A$3:$I$56,5,FALSE)-VLOOKUP($A50,main!$A$3:$I$56,6,FALSE),0)</f>
        <v>0</v>
      </c>
      <c r="N50">
        <f>IF((gamma!N50),VLOOKUP(N$1,main!$A$3:$I$56,5,FALSE)-VLOOKUP($A50,main!$A$3:$I$56,6,FALSE),0)</f>
        <v>15</v>
      </c>
      <c r="O50">
        <f>IF((gamma!O50),VLOOKUP(O$1,main!$A$3:$I$56,5,FALSE)-VLOOKUP($A50,main!$A$3:$I$56,6,FALSE),0)</f>
        <v>75</v>
      </c>
      <c r="P50">
        <f>IF((gamma!P50),VLOOKUP(P$1,main!$A$3:$I$56,5,FALSE)-VLOOKUP($A50,main!$A$3:$I$56,6,FALSE),0)</f>
        <v>0</v>
      </c>
      <c r="Q50">
        <f>IF((gamma!Q50),VLOOKUP(Q$1,main!$A$3:$I$56,5,FALSE)-VLOOKUP($A50,main!$A$3:$I$56,6,FALSE),0)</f>
        <v>0</v>
      </c>
      <c r="R50">
        <f>IF((gamma!R50),VLOOKUP(R$1,main!$A$3:$I$56,5,FALSE)-VLOOKUP($A50,main!$A$3:$I$56,6,FALSE),0)</f>
        <v>0</v>
      </c>
      <c r="S50">
        <f>IF((gamma!S50),VLOOKUP(S$1,main!$A$3:$I$56,5,FALSE)-VLOOKUP($A50,main!$A$3:$I$56,6,FALSE),0)</f>
        <v>0</v>
      </c>
      <c r="T50">
        <f>IF((gamma!T50),VLOOKUP(T$1,main!$A$3:$I$56,5,FALSE)-VLOOKUP($A50,main!$A$3:$I$56,6,FALSE),0)</f>
        <v>0</v>
      </c>
      <c r="U50">
        <f>IF((gamma!U50),VLOOKUP(U$1,main!$A$3:$I$56,5,FALSE)-VLOOKUP($A50,main!$A$3:$I$56,6,FALSE),0)</f>
        <v>0</v>
      </c>
      <c r="V50">
        <f>IF((gamma!V50),VLOOKUP(V$1,main!$A$3:$I$56,5,FALSE)-VLOOKUP($A50,main!$A$3:$I$56,6,FALSE),0)</f>
        <v>0</v>
      </c>
      <c r="W50">
        <f>IF((gamma!W50),VLOOKUP(W$1,main!$A$3:$I$56,5,FALSE)-VLOOKUP($A50,main!$A$3:$I$56,6,FALSE),0)</f>
        <v>0</v>
      </c>
      <c r="X50">
        <f>IF((gamma!X50),VLOOKUP(X$1,main!$A$3:$I$56,5,FALSE)-VLOOKUP($A50,main!$A$3:$I$56,6,FALSE),0)</f>
        <v>0</v>
      </c>
      <c r="Y50">
        <f>IF((gamma!Y50),VLOOKUP(Y$1,main!$A$3:$I$56,5,FALSE)-VLOOKUP($A50,main!$A$3:$I$56,6,FALSE),0)</f>
        <v>0</v>
      </c>
      <c r="Z50">
        <f>IF((gamma!Z50),VLOOKUP(Z$1,main!$A$3:$I$56,5,FALSE)-VLOOKUP($A50,main!$A$3:$I$56,6,FALSE),0)</f>
        <v>0</v>
      </c>
      <c r="AA50">
        <f>IF((gamma!AA50),VLOOKUP(AA$1,main!$A$3:$I$56,5,FALSE)-VLOOKUP($A50,main!$A$3:$I$56,6,FALSE),0)</f>
        <v>0</v>
      </c>
      <c r="AB50">
        <f>IF((gamma!AB50),VLOOKUP(AB$1,main!$A$3:$I$56,5,FALSE)-VLOOKUP($A50,main!$A$3:$I$56,6,FALSE),0)</f>
        <v>0</v>
      </c>
      <c r="AC50">
        <f>IF((gamma!AC50),VLOOKUP(AC$1,main!$A$3:$I$56,5,FALSE)-VLOOKUP($A50,main!$A$3:$I$56,6,FALSE),0)</f>
        <v>0</v>
      </c>
      <c r="AD50">
        <f>IF((gamma!AD50),VLOOKUP(AD$1,main!$A$3:$I$56,5,FALSE)-VLOOKUP($A50,main!$A$3:$I$56,6,FALSE),0)</f>
        <v>0</v>
      </c>
      <c r="AE50">
        <f>IF((gamma!AE50),VLOOKUP(AE$1,main!$A$3:$I$56,5,FALSE)-VLOOKUP($A50,main!$A$3:$I$56,6,FALSE),0)</f>
        <v>0</v>
      </c>
      <c r="AF50">
        <f>IF((gamma!AF50),VLOOKUP(AF$1,main!$A$3:$I$56,5,FALSE)-VLOOKUP($A50,main!$A$3:$I$56,6,FALSE),0)</f>
        <v>0</v>
      </c>
      <c r="AG50">
        <f>IF((gamma!AG50),VLOOKUP(AG$1,main!$A$3:$I$56,5,FALSE)-VLOOKUP($A50,main!$A$3:$I$56,6,FALSE),0)</f>
        <v>0</v>
      </c>
      <c r="AH50">
        <f>IF((gamma!AH50),VLOOKUP(AH$1,main!$A$3:$I$56,5,FALSE)-VLOOKUP($A50,main!$A$3:$I$56,6,FALSE),0)</f>
        <v>0</v>
      </c>
      <c r="AI50">
        <f>IF((gamma!AI50),VLOOKUP(AI$1,main!$A$3:$I$56,5,FALSE)-VLOOKUP($A50,main!$A$3:$I$56,6,FALSE),0)</f>
        <v>0</v>
      </c>
      <c r="AJ50">
        <f>IF((gamma!AJ50),VLOOKUP(AJ$1,main!$A$3:$I$56,5,FALSE)-VLOOKUP($A50,main!$A$3:$I$56,6,FALSE),0)</f>
        <v>0</v>
      </c>
      <c r="AK50">
        <f>IF((gamma!AK50),VLOOKUP(AK$1,main!$A$3:$I$56,5,FALSE)-VLOOKUP($A50,main!$A$3:$I$56,6,FALSE),0)</f>
        <v>0</v>
      </c>
      <c r="AL50">
        <f>IF((gamma!AL50),VLOOKUP(AL$1,main!$A$3:$I$56,5,FALSE)-VLOOKUP($A50,main!$A$3:$I$56,6,FALSE),0)</f>
        <v>0</v>
      </c>
      <c r="AM50">
        <f>IF((gamma!AM50),VLOOKUP(AM$1,main!$A$3:$I$56,5,FALSE)-VLOOKUP($A50,main!$A$3:$I$56,6,FALSE),0)</f>
        <v>0</v>
      </c>
      <c r="AN50">
        <f>IF((gamma!AN50),VLOOKUP(AN$1,main!$A$3:$I$56,5,FALSE)-VLOOKUP($A50,main!$A$3:$I$56,6,FALSE),0)</f>
        <v>0</v>
      </c>
      <c r="AO50">
        <f>IF((gamma!AO50),VLOOKUP(AO$1,main!$A$3:$I$56,5,FALSE)-VLOOKUP($A50,main!$A$3:$I$56,6,FALSE),0)</f>
        <v>0</v>
      </c>
      <c r="AP50">
        <f>IF((gamma!AP50),VLOOKUP(AP$1,main!$A$3:$I$56,5,FALSE)-VLOOKUP($A50,main!$A$3:$I$56,6,FALSE),0)</f>
        <v>0</v>
      </c>
      <c r="AQ50">
        <f>IF((gamma!AQ50),VLOOKUP(AQ$1,main!$A$3:$I$56,5,FALSE)-VLOOKUP($A50,main!$A$3:$I$56,6,FALSE),0)</f>
        <v>0</v>
      </c>
      <c r="AR50">
        <f>IF((gamma!AR50),VLOOKUP(AR$1,main!$A$3:$I$56,5,FALSE)-VLOOKUP($A50,main!$A$3:$I$56,6,FALSE),0)</f>
        <v>0</v>
      </c>
      <c r="AS50">
        <f>IF((gamma!AS50),VLOOKUP(AS$1,main!$A$3:$I$56,5,FALSE)-VLOOKUP($A50,main!$A$3:$I$56,6,FALSE),0)</f>
        <v>0</v>
      </c>
      <c r="AT50">
        <f>IF((gamma!AT50),VLOOKUP(AT$1,main!$A$3:$I$56,5,FALSE)-VLOOKUP($A50,main!$A$3:$I$56,6,FALSE),0)</f>
        <v>0</v>
      </c>
      <c r="AU50">
        <f>IF((gamma!AU50),VLOOKUP(AU$1,main!$A$3:$I$56,5,FALSE)-VLOOKUP($A50,main!$A$3:$I$56,6,FALSE),0)</f>
        <v>0</v>
      </c>
      <c r="AV50">
        <f>IF((gamma!AV50),VLOOKUP(AV$1,main!$A$3:$I$56,5,FALSE)-VLOOKUP($A50,main!$A$3:$I$56,6,FALSE),0)</f>
        <v>0</v>
      </c>
      <c r="AW50">
        <f>IF((gamma!AW50),VLOOKUP(AW$1,main!$A$3:$I$56,5,FALSE)-VLOOKUP($A50,main!$A$3:$I$56,6,FALSE),0)</f>
        <v>0</v>
      </c>
      <c r="AX50">
        <f>IF((gamma!AX50),VLOOKUP(AX$1,main!$A$3:$I$56,5,FALSE)-VLOOKUP($A50,main!$A$3:$I$56,6,FALSE),0)</f>
        <v>0</v>
      </c>
      <c r="AY50">
        <f>IF((gamma!AY50),VLOOKUP(AY$1,main!$A$3:$I$56,5,FALSE)-VLOOKUP($A50,main!$A$3:$I$56,6,FALSE),0)</f>
        <v>60</v>
      </c>
      <c r="AZ50">
        <f>IF((gamma!AZ50),VLOOKUP(AZ$1,main!$A$3:$I$56,5,FALSE)-VLOOKUP($A50,main!$A$3:$I$56,6,FALSE),0)</f>
        <v>0</v>
      </c>
      <c r="BA50">
        <f>IF((gamma!BA50),VLOOKUP(BA$1,main!$A$3:$I$56,5,FALSE)-VLOOKUP($A50,main!$A$3:$I$56,6,FALSE),0)</f>
        <v>0</v>
      </c>
      <c r="BB50">
        <f>IF((gamma!BB50),VLOOKUP(BB$1,main!$A$3:$I$56,5,FALSE)-VLOOKUP($A50,main!$A$3:$I$56,6,FALSE),0)</f>
        <v>0</v>
      </c>
      <c r="BC50">
        <f>IF((gamma!BC50),VLOOKUP(BC$1,main!$A$3:$I$56,5,FALSE)-VLOOKUP($A50,main!$A$3:$I$56,6,FALSE),0)</f>
        <v>0</v>
      </c>
      <c r="BD50">
        <f>IF((gamma!BD50),VLOOKUP(BD$1,main!$A$3:$I$56,5,FALSE)-VLOOKUP($A50,main!$A$3:$I$56,6,FALSE),0)</f>
        <v>0</v>
      </c>
    </row>
    <row r="51" spans="1:56" x14ac:dyDescent="0.25">
      <c r="A51">
        <f t="shared" si="2"/>
        <v>49</v>
      </c>
      <c r="B51">
        <v>0</v>
      </c>
      <c r="C51">
        <f>IF((gamma!C51),VLOOKUP(C$1,main!$A$3:$I$56,5,FALSE)-VLOOKUP($A51,main!$A$3:$I$56,6,FALSE),0)</f>
        <v>0</v>
      </c>
      <c r="D51">
        <f>IF((gamma!D51),VLOOKUP(D$1,main!$A$3:$I$56,5,FALSE)-VLOOKUP($A51,main!$A$3:$I$56,6,FALSE),0)</f>
        <v>0</v>
      </c>
      <c r="E51">
        <f>IF((gamma!E51),VLOOKUP(E$1,main!$A$3:$I$56,5,FALSE)-VLOOKUP($A51,main!$A$3:$I$56,6,FALSE),0)</f>
        <v>0</v>
      </c>
      <c r="F51">
        <f>IF((gamma!F51),VLOOKUP(F$1,main!$A$3:$I$56,5,FALSE)-VLOOKUP($A51,main!$A$3:$I$56,6,FALSE),0)</f>
        <v>0</v>
      </c>
      <c r="G51">
        <f>IF((gamma!G51),VLOOKUP(G$1,main!$A$3:$I$56,5,FALSE)-VLOOKUP($A51,main!$A$3:$I$56,6,FALSE),0)</f>
        <v>0</v>
      </c>
      <c r="H51">
        <f>IF((gamma!H51),VLOOKUP(H$1,main!$A$3:$I$56,5,FALSE)-VLOOKUP($A51,main!$A$3:$I$56,6,FALSE),0)</f>
        <v>0</v>
      </c>
      <c r="I51">
        <f>IF((gamma!I51),VLOOKUP(I$1,main!$A$3:$I$56,5,FALSE)-VLOOKUP($A51,main!$A$3:$I$56,6,FALSE),0)</f>
        <v>0</v>
      </c>
      <c r="J51">
        <f>IF((gamma!J51),VLOOKUP(J$1,main!$A$3:$I$56,5,FALSE)-VLOOKUP($A51,main!$A$3:$I$56,6,FALSE),0)</f>
        <v>0</v>
      </c>
      <c r="K51">
        <f>IF((gamma!K51),VLOOKUP(K$1,main!$A$3:$I$56,5,FALSE)-VLOOKUP($A51,main!$A$3:$I$56,6,FALSE),0)</f>
        <v>0</v>
      </c>
      <c r="L51">
        <f>IF((gamma!L51),VLOOKUP(L$1,main!$A$3:$I$56,5,FALSE)-VLOOKUP($A51,main!$A$3:$I$56,6,FALSE),0)</f>
        <v>0</v>
      </c>
      <c r="M51">
        <f>IF((gamma!M51),VLOOKUP(M$1,main!$A$3:$I$56,5,FALSE)-VLOOKUP($A51,main!$A$3:$I$56,6,FALSE),0)</f>
        <v>0</v>
      </c>
      <c r="N51">
        <f>IF((gamma!N51),VLOOKUP(N$1,main!$A$3:$I$56,5,FALSE)-VLOOKUP($A51,main!$A$3:$I$56,6,FALSE),0)</f>
        <v>0</v>
      </c>
      <c r="O51">
        <f>IF((gamma!O51),VLOOKUP(O$1,main!$A$3:$I$56,5,FALSE)-VLOOKUP($A51,main!$A$3:$I$56,6,FALSE),0)</f>
        <v>0</v>
      </c>
      <c r="P51">
        <f>IF((gamma!P51),VLOOKUP(P$1,main!$A$3:$I$56,5,FALSE)-VLOOKUP($A51,main!$A$3:$I$56,6,FALSE),0)</f>
        <v>0</v>
      </c>
      <c r="Q51">
        <f>IF((gamma!Q51),VLOOKUP(Q$1,main!$A$3:$I$56,5,FALSE)-VLOOKUP($A51,main!$A$3:$I$56,6,FALSE),0)</f>
        <v>0</v>
      </c>
      <c r="R51">
        <f>IF((gamma!R51),VLOOKUP(R$1,main!$A$3:$I$56,5,FALSE)-VLOOKUP($A51,main!$A$3:$I$56,6,FALSE),0)</f>
        <v>0</v>
      </c>
      <c r="S51">
        <f>IF((gamma!S51),VLOOKUP(S$1,main!$A$3:$I$56,5,FALSE)-VLOOKUP($A51,main!$A$3:$I$56,6,FALSE),0)</f>
        <v>0</v>
      </c>
      <c r="T51">
        <f>IF((gamma!T51),VLOOKUP(T$1,main!$A$3:$I$56,5,FALSE)-VLOOKUP($A51,main!$A$3:$I$56,6,FALSE),0)</f>
        <v>0</v>
      </c>
      <c r="U51">
        <f>IF((gamma!U51),VLOOKUP(U$1,main!$A$3:$I$56,5,FALSE)-VLOOKUP($A51,main!$A$3:$I$56,6,FALSE),0)</f>
        <v>0</v>
      </c>
      <c r="V51">
        <f>IF((gamma!V51),VLOOKUP(V$1,main!$A$3:$I$56,5,FALSE)-VLOOKUP($A51,main!$A$3:$I$56,6,FALSE),0)</f>
        <v>0</v>
      </c>
      <c r="W51">
        <f>IF((gamma!W51),VLOOKUP(W$1,main!$A$3:$I$56,5,FALSE)-VLOOKUP($A51,main!$A$3:$I$56,6,FALSE),0)</f>
        <v>0</v>
      </c>
      <c r="X51">
        <f>IF((gamma!X51),VLOOKUP(X$1,main!$A$3:$I$56,5,FALSE)-VLOOKUP($A51,main!$A$3:$I$56,6,FALSE),0)</f>
        <v>0</v>
      </c>
      <c r="Y51">
        <f>IF((gamma!Y51),VLOOKUP(Y$1,main!$A$3:$I$56,5,FALSE)-VLOOKUP($A51,main!$A$3:$I$56,6,FALSE),0)</f>
        <v>0</v>
      </c>
      <c r="Z51">
        <f>IF((gamma!Z51),VLOOKUP(Z$1,main!$A$3:$I$56,5,FALSE)-VLOOKUP($A51,main!$A$3:$I$56,6,FALSE),0)</f>
        <v>0</v>
      </c>
      <c r="AA51">
        <f>IF((gamma!AA51),VLOOKUP(AA$1,main!$A$3:$I$56,5,FALSE)-VLOOKUP($A51,main!$A$3:$I$56,6,FALSE),0)</f>
        <v>0</v>
      </c>
      <c r="AB51">
        <f>IF((gamma!AB51),VLOOKUP(AB$1,main!$A$3:$I$56,5,FALSE)-VLOOKUP($A51,main!$A$3:$I$56,6,FALSE),0)</f>
        <v>0</v>
      </c>
      <c r="AC51">
        <f>IF((gamma!AC51),VLOOKUP(AC$1,main!$A$3:$I$56,5,FALSE)-VLOOKUP($A51,main!$A$3:$I$56,6,FALSE),0)</f>
        <v>0</v>
      </c>
      <c r="AD51">
        <f>IF((gamma!AD51),VLOOKUP(AD$1,main!$A$3:$I$56,5,FALSE)-VLOOKUP($A51,main!$A$3:$I$56,6,FALSE),0)</f>
        <v>0</v>
      </c>
      <c r="AE51">
        <f>IF((gamma!AE51),VLOOKUP(AE$1,main!$A$3:$I$56,5,FALSE)-VLOOKUP($A51,main!$A$3:$I$56,6,FALSE),0)</f>
        <v>0</v>
      </c>
      <c r="AF51">
        <f>IF((gamma!AF51),VLOOKUP(AF$1,main!$A$3:$I$56,5,FALSE)-VLOOKUP($A51,main!$A$3:$I$56,6,FALSE),0)</f>
        <v>0</v>
      </c>
      <c r="AG51">
        <f>IF((gamma!AG51),VLOOKUP(AG$1,main!$A$3:$I$56,5,FALSE)-VLOOKUP($A51,main!$A$3:$I$56,6,FALSE),0)</f>
        <v>0</v>
      </c>
      <c r="AH51">
        <f>IF((gamma!AH51),VLOOKUP(AH$1,main!$A$3:$I$56,5,FALSE)-VLOOKUP($A51,main!$A$3:$I$56,6,FALSE),0)</f>
        <v>0</v>
      </c>
      <c r="AI51">
        <f>IF((gamma!AI51),VLOOKUP(AI$1,main!$A$3:$I$56,5,FALSE)-VLOOKUP($A51,main!$A$3:$I$56,6,FALSE),0)</f>
        <v>0</v>
      </c>
      <c r="AJ51">
        <f>IF((gamma!AJ51),VLOOKUP(AJ$1,main!$A$3:$I$56,5,FALSE)-VLOOKUP($A51,main!$A$3:$I$56,6,FALSE),0)</f>
        <v>0</v>
      </c>
      <c r="AK51">
        <f>IF((gamma!AK51),VLOOKUP(AK$1,main!$A$3:$I$56,5,FALSE)-VLOOKUP($A51,main!$A$3:$I$56,6,FALSE),0)</f>
        <v>0</v>
      </c>
      <c r="AL51">
        <f>IF((gamma!AL51),VLOOKUP(AL$1,main!$A$3:$I$56,5,FALSE)-VLOOKUP($A51,main!$A$3:$I$56,6,FALSE),0)</f>
        <v>0</v>
      </c>
      <c r="AM51">
        <f>IF((gamma!AM51),VLOOKUP(AM$1,main!$A$3:$I$56,5,FALSE)-VLOOKUP($A51,main!$A$3:$I$56,6,FALSE),0)</f>
        <v>0</v>
      </c>
      <c r="AN51">
        <f>IF((gamma!AN51),VLOOKUP(AN$1,main!$A$3:$I$56,5,FALSE)-VLOOKUP($A51,main!$A$3:$I$56,6,FALSE),0)</f>
        <v>0</v>
      </c>
      <c r="AO51">
        <f>IF((gamma!AO51),VLOOKUP(AO$1,main!$A$3:$I$56,5,FALSE)-VLOOKUP($A51,main!$A$3:$I$56,6,FALSE),0)</f>
        <v>0</v>
      </c>
      <c r="AP51">
        <f>IF((gamma!AP51),VLOOKUP(AP$1,main!$A$3:$I$56,5,FALSE)-VLOOKUP($A51,main!$A$3:$I$56,6,FALSE),0)</f>
        <v>0</v>
      </c>
      <c r="AQ51">
        <f>IF((gamma!AQ51),VLOOKUP(AQ$1,main!$A$3:$I$56,5,FALSE)-VLOOKUP($A51,main!$A$3:$I$56,6,FALSE),0)</f>
        <v>0</v>
      </c>
      <c r="AR51">
        <f>IF((gamma!AR51),VLOOKUP(AR$1,main!$A$3:$I$56,5,FALSE)-VLOOKUP($A51,main!$A$3:$I$56,6,FALSE),0)</f>
        <v>0</v>
      </c>
      <c r="AS51">
        <f>IF((gamma!AS51),VLOOKUP(AS$1,main!$A$3:$I$56,5,FALSE)-VLOOKUP($A51,main!$A$3:$I$56,6,FALSE),0)</f>
        <v>0</v>
      </c>
      <c r="AT51">
        <f>IF((gamma!AT51),VLOOKUP(AT$1,main!$A$3:$I$56,5,FALSE)-VLOOKUP($A51,main!$A$3:$I$56,6,FALSE),0)</f>
        <v>0</v>
      </c>
      <c r="AU51">
        <f>IF((gamma!AU51),VLOOKUP(AU$1,main!$A$3:$I$56,5,FALSE)-VLOOKUP($A51,main!$A$3:$I$56,6,FALSE),0)</f>
        <v>0</v>
      </c>
      <c r="AV51">
        <f>IF((gamma!AV51),VLOOKUP(AV$1,main!$A$3:$I$56,5,FALSE)-VLOOKUP($A51,main!$A$3:$I$56,6,FALSE),0)</f>
        <v>0</v>
      </c>
      <c r="AW51">
        <f>IF((gamma!AW51),VLOOKUP(AW$1,main!$A$3:$I$56,5,FALSE)-VLOOKUP($A51,main!$A$3:$I$56,6,FALSE),0)</f>
        <v>0</v>
      </c>
      <c r="AX51">
        <f>IF((gamma!AX51),VLOOKUP(AX$1,main!$A$3:$I$56,5,FALSE)-VLOOKUP($A51,main!$A$3:$I$56,6,FALSE),0)</f>
        <v>0</v>
      </c>
      <c r="AY51">
        <f>IF((gamma!AY51),VLOOKUP(AY$1,main!$A$3:$I$56,5,FALSE)-VLOOKUP($A51,main!$A$3:$I$56,6,FALSE),0)</f>
        <v>0</v>
      </c>
      <c r="AZ51">
        <f>IF((gamma!AZ51),VLOOKUP(AZ$1,main!$A$3:$I$56,5,FALSE)-VLOOKUP($A51,main!$A$3:$I$56,6,FALSE),0)</f>
        <v>0</v>
      </c>
      <c r="BA51">
        <f>IF((gamma!BA51),VLOOKUP(BA$1,main!$A$3:$I$56,5,FALSE)-VLOOKUP($A51,main!$A$3:$I$56,6,FALSE),0)</f>
        <v>0</v>
      </c>
      <c r="BB51">
        <f>IF((gamma!BB51),VLOOKUP(BB$1,main!$A$3:$I$56,5,FALSE)-VLOOKUP($A51,main!$A$3:$I$56,6,FALSE),0)</f>
        <v>0</v>
      </c>
      <c r="BC51">
        <f>IF((gamma!BC51),VLOOKUP(BC$1,main!$A$3:$I$56,5,FALSE)-VLOOKUP($A51,main!$A$3:$I$56,6,FALSE),0)</f>
        <v>0</v>
      </c>
      <c r="BD51">
        <f>IF((gamma!BD51),VLOOKUP(BD$1,main!$A$3:$I$56,5,FALSE)-VLOOKUP($A51,main!$A$3:$I$56,6,FALSE),0)</f>
        <v>0</v>
      </c>
    </row>
    <row r="52" spans="1:56" x14ac:dyDescent="0.25">
      <c r="A52">
        <f t="shared" si="2"/>
        <v>50</v>
      </c>
      <c r="B52">
        <v>0</v>
      </c>
      <c r="C52">
        <f>IF((gamma!C52),VLOOKUP(C$1,main!$A$3:$I$56,5,FALSE)-VLOOKUP($A52,main!$A$3:$I$56,6,FALSE),0)</f>
        <v>0</v>
      </c>
      <c r="D52">
        <f>IF((gamma!D52),VLOOKUP(D$1,main!$A$3:$I$56,5,FALSE)-VLOOKUP($A52,main!$A$3:$I$56,6,FALSE),0)</f>
        <v>0</v>
      </c>
      <c r="E52">
        <f>IF((gamma!E52),VLOOKUP(E$1,main!$A$3:$I$56,5,FALSE)-VLOOKUP($A52,main!$A$3:$I$56,6,FALSE),0)</f>
        <v>90</v>
      </c>
      <c r="F52">
        <f>IF((gamma!F52),VLOOKUP(F$1,main!$A$3:$I$56,5,FALSE)-VLOOKUP($A52,main!$A$3:$I$56,6,FALSE),0)</f>
        <v>180</v>
      </c>
      <c r="G52">
        <f>IF((gamma!G52),VLOOKUP(G$1,main!$A$3:$I$56,5,FALSE)-VLOOKUP($A52,main!$A$3:$I$56,6,FALSE),0)</f>
        <v>240</v>
      </c>
      <c r="H52">
        <f>IF((gamma!H52),VLOOKUP(H$1,main!$A$3:$I$56,5,FALSE)-VLOOKUP($A52,main!$A$3:$I$56,6,FALSE),0)</f>
        <v>300</v>
      </c>
      <c r="I52">
        <f>IF((gamma!I52),VLOOKUP(I$1,main!$A$3:$I$56,5,FALSE)-VLOOKUP($A52,main!$A$3:$I$56,6,FALSE),0)</f>
        <v>360</v>
      </c>
      <c r="J52">
        <f>IF((gamma!J52),VLOOKUP(J$1,main!$A$3:$I$56,5,FALSE)-VLOOKUP($A52,main!$A$3:$I$56,6,FALSE),0)</f>
        <v>450</v>
      </c>
      <c r="K52">
        <f>IF((gamma!K52),VLOOKUP(K$1,main!$A$3:$I$56,5,FALSE)-VLOOKUP($A52,main!$A$3:$I$56,6,FALSE),0)</f>
        <v>0</v>
      </c>
      <c r="L52">
        <f>IF((gamma!L52),VLOOKUP(L$1,main!$A$3:$I$56,5,FALSE)-VLOOKUP($A52,main!$A$3:$I$56,6,FALSE),0)</f>
        <v>0</v>
      </c>
      <c r="M52">
        <f>IF((gamma!M52),VLOOKUP(M$1,main!$A$3:$I$56,5,FALSE)-VLOOKUP($A52,main!$A$3:$I$56,6,FALSE),0)</f>
        <v>55</v>
      </c>
      <c r="N52">
        <f>IF((gamma!N52),VLOOKUP(N$1,main!$A$3:$I$56,5,FALSE)-VLOOKUP($A52,main!$A$3:$I$56,6,FALSE),0)</f>
        <v>415</v>
      </c>
      <c r="O52">
        <f>IF((gamma!O52),VLOOKUP(O$1,main!$A$3:$I$56,5,FALSE)-VLOOKUP($A52,main!$A$3:$I$56,6,FALSE),0)</f>
        <v>475</v>
      </c>
      <c r="P52">
        <f>IF((gamma!P52),VLOOKUP(P$1,main!$A$3:$I$56,5,FALSE)-VLOOKUP($A52,main!$A$3:$I$56,6,FALSE),0)</f>
        <v>0</v>
      </c>
      <c r="Q52">
        <f>IF((gamma!Q52),VLOOKUP(Q$1,main!$A$3:$I$56,5,FALSE)-VLOOKUP($A52,main!$A$3:$I$56,6,FALSE),0)</f>
        <v>0</v>
      </c>
      <c r="R52">
        <f>IF((gamma!R52),VLOOKUP(R$1,main!$A$3:$I$56,5,FALSE)-VLOOKUP($A52,main!$A$3:$I$56,6,FALSE),0)</f>
        <v>50</v>
      </c>
      <c r="S52">
        <f>IF((gamma!S52),VLOOKUP(S$1,main!$A$3:$I$56,5,FALSE)-VLOOKUP($A52,main!$A$3:$I$56,6,FALSE),0)</f>
        <v>230</v>
      </c>
      <c r="T52">
        <f>IF((gamma!T52),VLOOKUP(T$1,main!$A$3:$I$56,5,FALSE)-VLOOKUP($A52,main!$A$3:$I$56,6,FALSE),0)</f>
        <v>380</v>
      </c>
      <c r="U52">
        <f>IF((gamma!U52),VLOOKUP(U$1,main!$A$3:$I$56,5,FALSE)-VLOOKUP($A52,main!$A$3:$I$56,6,FALSE),0)</f>
        <v>0</v>
      </c>
      <c r="V52">
        <f>IF((gamma!V52),VLOOKUP(V$1,main!$A$3:$I$56,5,FALSE)-VLOOKUP($A52,main!$A$3:$I$56,6,FALSE),0)</f>
        <v>0</v>
      </c>
      <c r="W52">
        <f>IF((gamma!W52),VLOOKUP(W$1,main!$A$3:$I$56,5,FALSE)-VLOOKUP($A52,main!$A$3:$I$56,6,FALSE),0)</f>
        <v>0</v>
      </c>
      <c r="X52">
        <f>IF((gamma!X52),VLOOKUP(X$1,main!$A$3:$I$56,5,FALSE)-VLOOKUP($A52,main!$A$3:$I$56,6,FALSE),0)</f>
        <v>70</v>
      </c>
      <c r="Y52">
        <f>IF((gamma!Y52),VLOOKUP(Y$1,main!$A$3:$I$56,5,FALSE)-VLOOKUP($A52,main!$A$3:$I$56,6,FALSE),0)</f>
        <v>160</v>
      </c>
      <c r="Z52">
        <f>IF((gamma!Z52),VLOOKUP(Z$1,main!$A$3:$I$56,5,FALSE)-VLOOKUP($A52,main!$A$3:$I$56,6,FALSE),0)</f>
        <v>250</v>
      </c>
      <c r="AA52">
        <f>IF((gamma!AA52),VLOOKUP(AA$1,main!$A$3:$I$56,5,FALSE)-VLOOKUP($A52,main!$A$3:$I$56,6,FALSE),0)</f>
        <v>340</v>
      </c>
      <c r="AB52">
        <f>IF((gamma!AB52),VLOOKUP(AB$1,main!$A$3:$I$56,5,FALSE)-VLOOKUP($A52,main!$A$3:$I$56,6,FALSE),0)</f>
        <v>400</v>
      </c>
      <c r="AC52">
        <f>IF((gamma!AC52),VLOOKUP(AC$1,main!$A$3:$I$56,5,FALSE)-VLOOKUP($A52,main!$A$3:$I$56,6,FALSE),0)</f>
        <v>0</v>
      </c>
      <c r="AD52">
        <f>IF((gamma!AD52),VLOOKUP(AD$1,main!$A$3:$I$56,5,FALSE)-VLOOKUP($A52,main!$A$3:$I$56,6,FALSE),0)</f>
        <v>0</v>
      </c>
      <c r="AE52">
        <f>IF((gamma!AE52),VLOOKUP(AE$1,main!$A$3:$I$56,5,FALSE)-VLOOKUP($A52,main!$A$3:$I$56,6,FALSE),0)</f>
        <v>60</v>
      </c>
      <c r="AF52">
        <f>IF((gamma!AF52),VLOOKUP(AF$1,main!$A$3:$I$56,5,FALSE)-VLOOKUP($A52,main!$A$3:$I$56,6,FALSE),0)</f>
        <v>210</v>
      </c>
      <c r="AG52">
        <f>IF((gamma!AG52),VLOOKUP(AG$1,main!$A$3:$I$56,5,FALSE)-VLOOKUP($A52,main!$A$3:$I$56,6,FALSE),0)</f>
        <v>0</v>
      </c>
      <c r="AH52">
        <f>IF((gamma!AH52),VLOOKUP(AH$1,main!$A$3:$I$56,5,FALSE)-VLOOKUP($A52,main!$A$3:$I$56,6,FALSE),0)</f>
        <v>0</v>
      </c>
      <c r="AI52">
        <f>IF((gamma!AI52),VLOOKUP(AI$1,main!$A$3:$I$56,5,FALSE)-VLOOKUP($A52,main!$A$3:$I$56,6,FALSE),0)</f>
        <v>120</v>
      </c>
      <c r="AJ52">
        <f>IF((gamma!AJ52),VLOOKUP(AJ$1,main!$A$3:$I$56,5,FALSE)-VLOOKUP($A52,main!$A$3:$I$56,6,FALSE),0)</f>
        <v>180</v>
      </c>
      <c r="AK52">
        <f>IF((gamma!AK52),VLOOKUP(AK$1,main!$A$3:$I$56,5,FALSE)-VLOOKUP($A52,main!$A$3:$I$56,6,FALSE),0)</f>
        <v>300</v>
      </c>
      <c r="AL52">
        <f>IF((gamma!AL52),VLOOKUP(AL$1,main!$A$3:$I$56,5,FALSE)-VLOOKUP($A52,main!$A$3:$I$56,6,FALSE),0)</f>
        <v>0</v>
      </c>
      <c r="AM52">
        <f>IF((gamma!AM52),VLOOKUP(AM$1,main!$A$3:$I$56,5,FALSE)-VLOOKUP($A52,main!$A$3:$I$56,6,FALSE),0)</f>
        <v>0</v>
      </c>
      <c r="AN52">
        <f>IF((gamma!AN52),VLOOKUP(AN$1,main!$A$3:$I$56,5,FALSE)-VLOOKUP($A52,main!$A$3:$I$56,6,FALSE),0)</f>
        <v>160</v>
      </c>
      <c r="AO52">
        <f>IF((gamma!AO52),VLOOKUP(AO$1,main!$A$3:$I$56,5,FALSE)-VLOOKUP($A52,main!$A$3:$I$56,6,FALSE),0)</f>
        <v>210</v>
      </c>
      <c r="AP52">
        <f>IF((gamma!AP52),VLOOKUP(AP$1,main!$A$3:$I$56,5,FALSE)-VLOOKUP($A52,main!$A$3:$I$56,6,FALSE),0)</f>
        <v>0</v>
      </c>
      <c r="AQ52">
        <f>IF((gamma!AQ52),VLOOKUP(AQ$1,main!$A$3:$I$56,5,FALSE)-VLOOKUP($A52,main!$A$3:$I$56,6,FALSE),0)</f>
        <v>0</v>
      </c>
      <c r="AR52">
        <f>IF((gamma!AR52),VLOOKUP(AR$1,main!$A$3:$I$56,5,FALSE)-VLOOKUP($A52,main!$A$3:$I$56,6,FALSE),0)</f>
        <v>0</v>
      </c>
      <c r="AS52">
        <f>IF((gamma!AS52),VLOOKUP(AS$1,main!$A$3:$I$56,5,FALSE)-VLOOKUP($A52,main!$A$3:$I$56,6,FALSE),0)</f>
        <v>25</v>
      </c>
      <c r="AT52">
        <f>IF((gamma!AT52),VLOOKUP(AT$1,main!$A$3:$I$56,5,FALSE)-VLOOKUP($A52,main!$A$3:$I$56,6,FALSE),0)</f>
        <v>110</v>
      </c>
      <c r="AU52">
        <f>IF((gamma!AU52),VLOOKUP(AU$1,main!$A$3:$I$56,5,FALSE)-VLOOKUP($A52,main!$A$3:$I$56,6,FALSE),0)</f>
        <v>0</v>
      </c>
      <c r="AV52">
        <f>IF((gamma!AV52),VLOOKUP(AV$1,main!$A$3:$I$56,5,FALSE)-VLOOKUP($A52,main!$A$3:$I$56,6,FALSE),0)</f>
        <v>0</v>
      </c>
      <c r="AW52">
        <f>IF((gamma!AW52),VLOOKUP(AW$1,main!$A$3:$I$56,5,FALSE)-VLOOKUP($A52,main!$A$3:$I$56,6,FALSE),0)</f>
        <v>60</v>
      </c>
      <c r="AX52">
        <f>IF((gamma!AX52),VLOOKUP(AX$1,main!$A$3:$I$56,5,FALSE)-VLOOKUP($A52,main!$A$3:$I$56,6,FALSE),0)</f>
        <v>260</v>
      </c>
      <c r="AY52">
        <f>IF((gamma!AY52),VLOOKUP(AY$1,main!$A$3:$I$56,5,FALSE)-VLOOKUP($A52,main!$A$3:$I$56,6,FALSE),0)</f>
        <v>460</v>
      </c>
      <c r="AZ52">
        <f>IF((gamma!AZ52),VLOOKUP(AZ$1,main!$A$3:$I$56,5,FALSE)-VLOOKUP($A52,main!$A$3:$I$56,6,FALSE),0)</f>
        <v>0</v>
      </c>
      <c r="BA52">
        <f>IF((gamma!BA52),VLOOKUP(BA$1,main!$A$3:$I$56,5,FALSE)-VLOOKUP($A52,main!$A$3:$I$56,6,FALSE),0)</f>
        <v>0</v>
      </c>
      <c r="BB52">
        <f>IF((gamma!BB52),VLOOKUP(BB$1,main!$A$3:$I$56,5,FALSE)-VLOOKUP($A52,main!$A$3:$I$56,6,FALSE),0)</f>
        <v>0</v>
      </c>
      <c r="BC52">
        <f>IF((gamma!BC52),VLOOKUP(BC$1,main!$A$3:$I$56,5,FALSE)-VLOOKUP($A52,main!$A$3:$I$56,6,FALSE),0)</f>
        <v>225</v>
      </c>
      <c r="BD52">
        <f>IF((gamma!BD52),VLOOKUP(BD$1,main!$A$3:$I$56,5,FALSE)-VLOOKUP($A52,main!$A$3:$I$56,6,FALSE),0)</f>
        <v>235</v>
      </c>
    </row>
    <row r="53" spans="1:56" x14ac:dyDescent="0.25">
      <c r="A53">
        <f t="shared" si="2"/>
        <v>51</v>
      </c>
      <c r="B53">
        <v>0</v>
      </c>
      <c r="C53">
        <f>IF((gamma!C53),VLOOKUP(C$1,main!$A$3:$I$56,5,FALSE)-VLOOKUP($A53,main!$A$3:$I$56,6,FALSE),0)</f>
        <v>0</v>
      </c>
      <c r="D53">
        <f>IF((gamma!D53),VLOOKUP(D$1,main!$A$3:$I$56,5,FALSE)-VLOOKUP($A53,main!$A$3:$I$56,6,FALSE),0)</f>
        <v>0</v>
      </c>
      <c r="E53">
        <f>IF((gamma!E53),VLOOKUP(E$1,main!$A$3:$I$56,5,FALSE)-VLOOKUP($A53,main!$A$3:$I$56,6,FALSE),0)</f>
        <v>0</v>
      </c>
      <c r="F53">
        <f>IF((gamma!F53),VLOOKUP(F$1,main!$A$3:$I$56,5,FALSE)-VLOOKUP($A53,main!$A$3:$I$56,6,FALSE),0)</f>
        <v>0</v>
      </c>
      <c r="G53">
        <f>IF((gamma!G53),VLOOKUP(G$1,main!$A$3:$I$56,5,FALSE)-VLOOKUP($A53,main!$A$3:$I$56,6,FALSE),0)</f>
        <v>95</v>
      </c>
      <c r="H53">
        <f>IF((gamma!H53),VLOOKUP(H$1,main!$A$3:$I$56,5,FALSE)-VLOOKUP($A53,main!$A$3:$I$56,6,FALSE),0)</f>
        <v>155</v>
      </c>
      <c r="I53">
        <f>IF((gamma!I53),VLOOKUP(I$1,main!$A$3:$I$56,5,FALSE)-VLOOKUP($A53,main!$A$3:$I$56,6,FALSE),0)</f>
        <v>215</v>
      </c>
      <c r="J53">
        <f>IF((gamma!J53),VLOOKUP(J$1,main!$A$3:$I$56,5,FALSE)-VLOOKUP($A53,main!$A$3:$I$56,6,FALSE),0)</f>
        <v>305</v>
      </c>
      <c r="K53">
        <f>IF((gamma!K53),VLOOKUP(K$1,main!$A$3:$I$56,5,FALSE)-VLOOKUP($A53,main!$A$3:$I$56,6,FALSE),0)</f>
        <v>0</v>
      </c>
      <c r="L53">
        <f>IF((gamma!L53),VLOOKUP(L$1,main!$A$3:$I$56,5,FALSE)-VLOOKUP($A53,main!$A$3:$I$56,6,FALSE),0)</f>
        <v>0</v>
      </c>
      <c r="M53">
        <f>IF((gamma!M53),VLOOKUP(M$1,main!$A$3:$I$56,5,FALSE)-VLOOKUP($A53,main!$A$3:$I$56,6,FALSE),0)</f>
        <v>0</v>
      </c>
      <c r="N53">
        <f>IF((gamma!N53),VLOOKUP(N$1,main!$A$3:$I$56,5,FALSE)-VLOOKUP($A53,main!$A$3:$I$56,6,FALSE),0)</f>
        <v>270</v>
      </c>
      <c r="O53">
        <f>IF((gamma!O53),VLOOKUP(O$1,main!$A$3:$I$56,5,FALSE)-VLOOKUP($A53,main!$A$3:$I$56,6,FALSE),0)</f>
        <v>330</v>
      </c>
      <c r="P53">
        <f>IF((gamma!P53),VLOOKUP(P$1,main!$A$3:$I$56,5,FALSE)-VLOOKUP($A53,main!$A$3:$I$56,6,FALSE),0)</f>
        <v>0</v>
      </c>
      <c r="Q53">
        <f>IF((gamma!Q53),VLOOKUP(Q$1,main!$A$3:$I$56,5,FALSE)-VLOOKUP($A53,main!$A$3:$I$56,6,FALSE),0)</f>
        <v>0</v>
      </c>
      <c r="R53">
        <f>IF((gamma!R53),VLOOKUP(R$1,main!$A$3:$I$56,5,FALSE)-VLOOKUP($A53,main!$A$3:$I$56,6,FALSE),0)</f>
        <v>0</v>
      </c>
      <c r="S53">
        <f>IF((gamma!S53),VLOOKUP(S$1,main!$A$3:$I$56,5,FALSE)-VLOOKUP($A53,main!$A$3:$I$56,6,FALSE),0)</f>
        <v>85</v>
      </c>
      <c r="T53">
        <f>IF((gamma!T53),VLOOKUP(T$1,main!$A$3:$I$56,5,FALSE)-VLOOKUP($A53,main!$A$3:$I$56,6,FALSE),0)</f>
        <v>235</v>
      </c>
      <c r="U53">
        <f>IF((gamma!U53),VLOOKUP(U$1,main!$A$3:$I$56,5,FALSE)-VLOOKUP($A53,main!$A$3:$I$56,6,FALSE),0)</f>
        <v>0</v>
      </c>
      <c r="V53">
        <f>IF((gamma!V53),VLOOKUP(V$1,main!$A$3:$I$56,5,FALSE)-VLOOKUP($A53,main!$A$3:$I$56,6,FALSE),0)</f>
        <v>0</v>
      </c>
      <c r="W53">
        <f>IF((gamma!W53),VLOOKUP(W$1,main!$A$3:$I$56,5,FALSE)-VLOOKUP($A53,main!$A$3:$I$56,6,FALSE),0)</f>
        <v>0</v>
      </c>
      <c r="X53">
        <f>IF((gamma!X53),VLOOKUP(X$1,main!$A$3:$I$56,5,FALSE)-VLOOKUP($A53,main!$A$3:$I$56,6,FALSE),0)</f>
        <v>0</v>
      </c>
      <c r="Y53">
        <f>IF((gamma!Y53),VLOOKUP(Y$1,main!$A$3:$I$56,5,FALSE)-VLOOKUP($A53,main!$A$3:$I$56,6,FALSE),0)</f>
        <v>0</v>
      </c>
      <c r="Z53">
        <f>IF((gamma!Z53),VLOOKUP(Z$1,main!$A$3:$I$56,5,FALSE)-VLOOKUP($A53,main!$A$3:$I$56,6,FALSE),0)</f>
        <v>105</v>
      </c>
      <c r="AA53">
        <f>IF((gamma!AA53),VLOOKUP(AA$1,main!$A$3:$I$56,5,FALSE)-VLOOKUP($A53,main!$A$3:$I$56,6,FALSE),0)</f>
        <v>195</v>
      </c>
      <c r="AB53">
        <f>IF((gamma!AB53),VLOOKUP(AB$1,main!$A$3:$I$56,5,FALSE)-VLOOKUP($A53,main!$A$3:$I$56,6,FALSE),0)</f>
        <v>255</v>
      </c>
      <c r="AC53">
        <f>IF((gamma!AC53),VLOOKUP(AC$1,main!$A$3:$I$56,5,FALSE)-VLOOKUP($A53,main!$A$3:$I$56,6,FALSE),0)</f>
        <v>0</v>
      </c>
      <c r="AD53">
        <f>IF((gamma!AD53),VLOOKUP(AD$1,main!$A$3:$I$56,5,FALSE)-VLOOKUP($A53,main!$A$3:$I$56,6,FALSE),0)</f>
        <v>0</v>
      </c>
      <c r="AE53">
        <f>IF((gamma!AE53),VLOOKUP(AE$1,main!$A$3:$I$56,5,FALSE)-VLOOKUP($A53,main!$A$3:$I$56,6,FALSE),0)</f>
        <v>0</v>
      </c>
      <c r="AF53">
        <f>IF((gamma!AF53),VLOOKUP(AF$1,main!$A$3:$I$56,5,FALSE)-VLOOKUP($A53,main!$A$3:$I$56,6,FALSE),0)</f>
        <v>65</v>
      </c>
      <c r="AG53">
        <f>IF((gamma!AG53),VLOOKUP(AG$1,main!$A$3:$I$56,5,FALSE)-VLOOKUP($A53,main!$A$3:$I$56,6,FALSE),0)</f>
        <v>0</v>
      </c>
      <c r="AH53">
        <f>IF((gamma!AH53),VLOOKUP(AH$1,main!$A$3:$I$56,5,FALSE)-VLOOKUP($A53,main!$A$3:$I$56,6,FALSE),0)</f>
        <v>0</v>
      </c>
      <c r="AI53">
        <f>IF((gamma!AI53),VLOOKUP(AI$1,main!$A$3:$I$56,5,FALSE)-VLOOKUP($A53,main!$A$3:$I$56,6,FALSE),0)</f>
        <v>0</v>
      </c>
      <c r="AJ53">
        <f>IF((gamma!AJ53),VLOOKUP(AJ$1,main!$A$3:$I$56,5,FALSE)-VLOOKUP($A53,main!$A$3:$I$56,6,FALSE),0)</f>
        <v>35</v>
      </c>
      <c r="AK53">
        <f>IF((gamma!AK53),VLOOKUP(AK$1,main!$A$3:$I$56,5,FALSE)-VLOOKUP($A53,main!$A$3:$I$56,6,FALSE),0)</f>
        <v>155</v>
      </c>
      <c r="AL53">
        <f>IF((gamma!AL53),VLOOKUP(AL$1,main!$A$3:$I$56,5,FALSE)-VLOOKUP($A53,main!$A$3:$I$56,6,FALSE),0)</f>
        <v>0</v>
      </c>
      <c r="AM53">
        <f>IF((gamma!AM53),VLOOKUP(AM$1,main!$A$3:$I$56,5,FALSE)-VLOOKUP($A53,main!$A$3:$I$56,6,FALSE),0)</f>
        <v>0</v>
      </c>
      <c r="AN53">
        <f>IF((gamma!AN53),VLOOKUP(AN$1,main!$A$3:$I$56,5,FALSE)-VLOOKUP($A53,main!$A$3:$I$56,6,FALSE),0)</f>
        <v>15</v>
      </c>
      <c r="AO53">
        <f>IF((gamma!AO53),VLOOKUP(AO$1,main!$A$3:$I$56,5,FALSE)-VLOOKUP($A53,main!$A$3:$I$56,6,FALSE),0)</f>
        <v>65</v>
      </c>
      <c r="AP53">
        <f>IF((gamma!AP53),VLOOKUP(AP$1,main!$A$3:$I$56,5,FALSE)-VLOOKUP($A53,main!$A$3:$I$56,6,FALSE),0)</f>
        <v>0</v>
      </c>
      <c r="AQ53">
        <f>IF((gamma!AQ53),VLOOKUP(AQ$1,main!$A$3:$I$56,5,FALSE)-VLOOKUP($A53,main!$A$3:$I$56,6,FALSE),0)</f>
        <v>0</v>
      </c>
      <c r="AR53">
        <f>IF((gamma!AR53),VLOOKUP(AR$1,main!$A$3:$I$56,5,FALSE)-VLOOKUP($A53,main!$A$3:$I$56,6,FALSE),0)</f>
        <v>0</v>
      </c>
      <c r="AS53">
        <f>IF((gamma!AS53),VLOOKUP(AS$1,main!$A$3:$I$56,5,FALSE)-VLOOKUP($A53,main!$A$3:$I$56,6,FALSE),0)</f>
        <v>0</v>
      </c>
      <c r="AT53">
        <f>IF((gamma!AT53),VLOOKUP(AT$1,main!$A$3:$I$56,5,FALSE)-VLOOKUP($A53,main!$A$3:$I$56,6,FALSE),0)</f>
        <v>0</v>
      </c>
      <c r="AU53">
        <f>IF((gamma!AU53),VLOOKUP(AU$1,main!$A$3:$I$56,5,FALSE)-VLOOKUP($A53,main!$A$3:$I$56,6,FALSE),0)</f>
        <v>0</v>
      </c>
      <c r="AV53">
        <f>IF((gamma!AV53),VLOOKUP(AV$1,main!$A$3:$I$56,5,FALSE)-VLOOKUP($A53,main!$A$3:$I$56,6,FALSE),0)</f>
        <v>0</v>
      </c>
      <c r="AW53">
        <f>IF((gamma!AW53),VLOOKUP(AW$1,main!$A$3:$I$56,5,FALSE)-VLOOKUP($A53,main!$A$3:$I$56,6,FALSE),0)</f>
        <v>0</v>
      </c>
      <c r="AX53">
        <f>IF((gamma!AX53),VLOOKUP(AX$1,main!$A$3:$I$56,5,FALSE)-VLOOKUP($A53,main!$A$3:$I$56,6,FALSE),0)</f>
        <v>115</v>
      </c>
      <c r="AY53">
        <f>IF((gamma!AY53),VLOOKUP(AY$1,main!$A$3:$I$56,5,FALSE)-VLOOKUP($A53,main!$A$3:$I$56,6,FALSE),0)</f>
        <v>315</v>
      </c>
      <c r="AZ53">
        <f>IF((gamma!AZ53),VLOOKUP(AZ$1,main!$A$3:$I$56,5,FALSE)-VLOOKUP($A53,main!$A$3:$I$56,6,FALSE),0)</f>
        <v>0</v>
      </c>
      <c r="BA53">
        <f>IF((gamma!BA53),VLOOKUP(BA$1,main!$A$3:$I$56,5,FALSE)-VLOOKUP($A53,main!$A$3:$I$56,6,FALSE),0)</f>
        <v>0</v>
      </c>
      <c r="BB53">
        <f>IF((gamma!BB53),VLOOKUP(BB$1,main!$A$3:$I$56,5,FALSE)-VLOOKUP($A53,main!$A$3:$I$56,6,FALSE),0)</f>
        <v>0</v>
      </c>
      <c r="BC53">
        <f>IF((gamma!BC53),VLOOKUP(BC$1,main!$A$3:$I$56,5,FALSE)-VLOOKUP($A53,main!$A$3:$I$56,6,FALSE),0)</f>
        <v>80</v>
      </c>
      <c r="BD53">
        <f>IF((gamma!BD53),VLOOKUP(BD$1,main!$A$3:$I$56,5,FALSE)-VLOOKUP($A53,main!$A$3:$I$56,6,FALSE),0)</f>
        <v>90</v>
      </c>
    </row>
    <row r="54" spans="1:56" x14ac:dyDescent="0.25">
      <c r="A54">
        <f t="shared" si="2"/>
        <v>52</v>
      </c>
      <c r="B54">
        <v>0</v>
      </c>
      <c r="C54">
        <f>IF((gamma!C54),VLOOKUP(C$1,main!$A$3:$I$56,5,FALSE)-VLOOKUP($A54,main!$A$3:$I$56,6,FALSE),0)</f>
        <v>0</v>
      </c>
      <c r="D54">
        <f>IF((gamma!D54),VLOOKUP(D$1,main!$A$3:$I$56,5,FALSE)-VLOOKUP($A54,main!$A$3:$I$56,6,FALSE),0)</f>
        <v>0</v>
      </c>
      <c r="E54">
        <f>IF((gamma!E54),VLOOKUP(E$1,main!$A$3:$I$56,5,FALSE)-VLOOKUP($A54,main!$A$3:$I$56,6,FALSE),0)</f>
        <v>0</v>
      </c>
      <c r="F54">
        <f>IF((gamma!F54),VLOOKUP(F$1,main!$A$3:$I$56,5,FALSE)-VLOOKUP($A54,main!$A$3:$I$56,6,FALSE),0)</f>
        <v>0</v>
      </c>
      <c r="G54">
        <f>IF((gamma!G54),VLOOKUP(G$1,main!$A$3:$I$56,5,FALSE)-VLOOKUP($A54,main!$A$3:$I$56,6,FALSE),0)</f>
        <v>80</v>
      </c>
      <c r="H54">
        <f>IF((gamma!H54),VLOOKUP(H$1,main!$A$3:$I$56,5,FALSE)-VLOOKUP($A54,main!$A$3:$I$56,6,FALSE),0)</f>
        <v>140</v>
      </c>
      <c r="I54">
        <f>IF((gamma!I54),VLOOKUP(I$1,main!$A$3:$I$56,5,FALSE)-VLOOKUP($A54,main!$A$3:$I$56,6,FALSE),0)</f>
        <v>200</v>
      </c>
      <c r="J54">
        <f>IF((gamma!J54),VLOOKUP(J$1,main!$A$3:$I$56,5,FALSE)-VLOOKUP($A54,main!$A$3:$I$56,6,FALSE),0)</f>
        <v>290</v>
      </c>
      <c r="K54">
        <f>IF((gamma!K54),VLOOKUP(K$1,main!$A$3:$I$56,5,FALSE)-VLOOKUP($A54,main!$A$3:$I$56,6,FALSE),0)</f>
        <v>0</v>
      </c>
      <c r="L54">
        <f>IF((gamma!L54),VLOOKUP(L$1,main!$A$3:$I$56,5,FALSE)-VLOOKUP($A54,main!$A$3:$I$56,6,FALSE),0)</f>
        <v>0</v>
      </c>
      <c r="M54">
        <f>IF((gamma!M54),VLOOKUP(M$1,main!$A$3:$I$56,5,FALSE)-VLOOKUP($A54,main!$A$3:$I$56,6,FALSE),0)</f>
        <v>0</v>
      </c>
      <c r="N54">
        <f>IF((gamma!N54),VLOOKUP(N$1,main!$A$3:$I$56,5,FALSE)-VLOOKUP($A54,main!$A$3:$I$56,6,FALSE),0)</f>
        <v>255</v>
      </c>
      <c r="O54">
        <f>IF((gamma!O54),VLOOKUP(O$1,main!$A$3:$I$56,5,FALSE)-VLOOKUP($A54,main!$A$3:$I$56,6,FALSE),0)</f>
        <v>315</v>
      </c>
      <c r="P54">
        <f>IF((gamma!P54),VLOOKUP(P$1,main!$A$3:$I$56,5,FALSE)-VLOOKUP($A54,main!$A$3:$I$56,6,FALSE),0)</f>
        <v>0</v>
      </c>
      <c r="Q54">
        <f>IF((gamma!Q54),VLOOKUP(Q$1,main!$A$3:$I$56,5,FALSE)-VLOOKUP($A54,main!$A$3:$I$56,6,FALSE),0)</f>
        <v>0</v>
      </c>
      <c r="R54">
        <f>IF((gamma!R54),VLOOKUP(R$1,main!$A$3:$I$56,5,FALSE)-VLOOKUP($A54,main!$A$3:$I$56,6,FALSE),0)</f>
        <v>0</v>
      </c>
      <c r="S54">
        <f>IF((gamma!S54),VLOOKUP(S$1,main!$A$3:$I$56,5,FALSE)-VLOOKUP($A54,main!$A$3:$I$56,6,FALSE),0)</f>
        <v>70</v>
      </c>
      <c r="T54">
        <f>IF((gamma!T54),VLOOKUP(T$1,main!$A$3:$I$56,5,FALSE)-VLOOKUP($A54,main!$A$3:$I$56,6,FALSE),0)</f>
        <v>220</v>
      </c>
      <c r="U54">
        <f>IF((gamma!U54),VLOOKUP(U$1,main!$A$3:$I$56,5,FALSE)-VLOOKUP($A54,main!$A$3:$I$56,6,FALSE),0)</f>
        <v>0</v>
      </c>
      <c r="V54">
        <f>IF((gamma!V54),VLOOKUP(V$1,main!$A$3:$I$56,5,FALSE)-VLOOKUP($A54,main!$A$3:$I$56,6,FALSE),0)</f>
        <v>0</v>
      </c>
      <c r="W54">
        <f>IF((gamma!W54),VLOOKUP(W$1,main!$A$3:$I$56,5,FALSE)-VLOOKUP($A54,main!$A$3:$I$56,6,FALSE),0)</f>
        <v>0</v>
      </c>
      <c r="X54">
        <f>IF((gamma!X54),VLOOKUP(X$1,main!$A$3:$I$56,5,FALSE)-VLOOKUP($A54,main!$A$3:$I$56,6,FALSE),0)</f>
        <v>0</v>
      </c>
      <c r="Y54">
        <f>IF((gamma!Y54),VLOOKUP(Y$1,main!$A$3:$I$56,5,FALSE)-VLOOKUP($A54,main!$A$3:$I$56,6,FALSE),0)</f>
        <v>0</v>
      </c>
      <c r="Z54">
        <f>IF((gamma!Z54),VLOOKUP(Z$1,main!$A$3:$I$56,5,FALSE)-VLOOKUP($A54,main!$A$3:$I$56,6,FALSE),0)</f>
        <v>90</v>
      </c>
      <c r="AA54">
        <f>IF((gamma!AA54),VLOOKUP(AA$1,main!$A$3:$I$56,5,FALSE)-VLOOKUP($A54,main!$A$3:$I$56,6,FALSE),0)</f>
        <v>180</v>
      </c>
      <c r="AB54">
        <f>IF((gamma!AB54),VLOOKUP(AB$1,main!$A$3:$I$56,5,FALSE)-VLOOKUP($A54,main!$A$3:$I$56,6,FALSE),0)</f>
        <v>240</v>
      </c>
      <c r="AC54">
        <f>IF((gamma!AC54),VLOOKUP(AC$1,main!$A$3:$I$56,5,FALSE)-VLOOKUP($A54,main!$A$3:$I$56,6,FALSE),0)</f>
        <v>0</v>
      </c>
      <c r="AD54">
        <f>IF((gamma!AD54),VLOOKUP(AD$1,main!$A$3:$I$56,5,FALSE)-VLOOKUP($A54,main!$A$3:$I$56,6,FALSE),0)</f>
        <v>0</v>
      </c>
      <c r="AE54">
        <f>IF((gamma!AE54),VLOOKUP(AE$1,main!$A$3:$I$56,5,FALSE)-VLOOKUP($A54,main!$A$3:$I$56,6,FALSE),0)</f>
        <v>0</v>
      </c>
      <c r="AF54">
        <f>IF((gamma!AF54),VLOOKUP(AF$1,main!$A$3:$I$56,5,FALSE)-VLOOKUP($A54,main!$A$3:$I$56,6,FALSE),0)</f>
        <v>50</v>
      </c>
      <c r="AG54">
        <f>IF((gamma!AG54),VLOOKUP(AG$1,main!$A$3:$I$56,5,FALSE)-VLOOKUP($A54,main!$A$3:$I$56,6,FALSE),0)</f>
        <v>0</v>
      </c>
      <c r="AH54">
        <f>IF((gamma!AH54),VLOOKUP(AH$1,main!$A$3:$I$56,5,FALSE)-VLOOKUP($A54,main!$A$3:$I$56,6,FALSE),0)</f>
        <v>0</v>
      </c>
      <c r="AI54">
        <f>IF((gamma!AI54),VLOOKUP(AI$1,main!$A$3:$I$56,5,FALSE)-VLOOKUP($A54,main!$A$3:$I$56,6,FALSE),0)</f>
        <v>0</v>
      </c>
      <c r="AJ54">
        <f>IF((gamma!AJ54),VLOOKUP(AJ$1,main!$A$3:$I$56,5,FALSE)-VLOOKUP($A54,main!$A$3:$I$56,6,FALSE),0)</f>
        <v>20</v>
      </c>
      <c r="AK54">
        <f>IF((gamma!AK54),VLOOKUP(AK$1,main!$A$3:$I$56,5,FALSE)-VLOOKUP($A54,main!$A$3:$I$56,6,FALSE),0)</f>
        <v>140</v>
      </c>
      <c r="AL54">
        <f>IF((gamma!AL54),VLOOKUP(AL$1,main!$A$3:$I$56,5,FALSE)-VLOOKUP($A54,main!$A$3:$I$56,6,FALSE),0)</f>
        <v>0</v>
      </c>
      <c r="AM54">
        <f>IF((gamma!AM54),VLOOKUP(AM$1,main!$A$3:$I$56,5,FALSE)-VLOOKUP($A54,main!$A$3:$I$56,6,FALSE),0)</f>
        <v>0</v>
      </c>
      <c r="AN54">
        <f>IF((gamma!AN54),VLOOKUP(AN$1,main!$A$3:$I$56,5,FALSE)-VLOOKUP($A54,main!$A$3:$I$56,6,FALSE),0)</f>
        <v>0</v>
      </c>
      <c r="AO54">
        <f>IF((gamma!AO54),VLOOKUP(AO$1,main!$A$3:$I$56,5,FALSE)-VLOOKUP($A54,main!$A$3:$I$56,6,FALSE),0)</f>
        <v>50</v>
      </c>
      <c r="AP54">
        <f>IF((gamma!AP54),VLOOKUP(AP$1,main!$A$3:$I$56,5,FALSE)-VLOOKUP($A54,main!$A$3:$I$56,6,FALSE),0)</f>
        <v>0</v>
      </c>
      <c r="AQ54">
        <f>IF((gamma!AQ54),VLOOKUP(AQ$1,main!$A$3:$I$56,5,FALSE)-VLOOKUP($A54,main!$A$3:$I$56,6,FALSE),0)</f>
        <v>0</v>
      </c>
      <c r="AR54">
        <f>IF((gamma!AR54),VLOOKUP(AR$1,main!$A$3:$I$56,5,FALSE)-VLOOKUP($A54,main!$A$3:$I$56,6,FALSE),0)</f>
        <v>0</v>
      </c>
      <c r="AS54">
        <f>IF((gamma!AS54),VLOOKUP(AS$1,main!$A$3:$I$56,5,FALSE)-VLOOKUP($A54,main!$A$3:$I$56,6,FALSE),0)</f>
        <v>0</v>
      </c>
      <c r="AT54">
        <f>IF((gamma!AT54),VLOOKUP(AT$1,main!$A$3:$I$56,5,FALSE)-VLOOKUP($A54,main!$A$3:$I$56,6,FALSE),0)</f>
        <v>0</v>
      </c>
      <c r="AU54">
        <f>IF((gamma!AU54),VLOOKUP(AU$1,main!$A$3:$I$56,5,FALSE)-VLOOKUP($A54,main!$A$3:$I$56,6,FALSE),0)</f>
        <v>0</v>
      </c>
      <c r="AV54">
        <f>IF((gamma!AV54),VLOOKUP(AV$1,main!$A$3:$I$56,5,FALSE)-VLOOKUP($A54,main!$A$3:$I$56,6,FALSE),0)</f>
        <v>0</v>
      </c>
      <c r="AW54">
        <f>IF((gamma!AW54),VLOOKUP(AW$1,main!$A$3:$I$56,5,FALSE)-VLOOKUP($A54,main!$A$3:$I$56,6,FALSE),0)</f>
        <v>0</v>
      </c>
      <c r="AX54">
        <f>IF((gamma!AX54),VLOOKUP(AX$1,main!$A$3:$I$56,5,FALSE)-VLOOKUP($A54,main!$A$3:$I$56,6,FALSE),0)</f>
        <v>100</v>
      </c>
      <c r="AY54">
        <f>IF((gamma!AY54),VLOOKUP(AY$1,main!$A$3:$I$56,5,FALSE)-VLOOKUP($A54,main!$A$3:$I$56,6,FALSE),0)</f>
        <v>300</v>
      </c>
      <c r="AZ54">
        <f>IF((gamma!AZ54),VLOOKUP(AZ$1,main!$A$3:$I$56,5,FALSE)-VLOOKUP($A54,main!$A$3:$I$56,6,FALSE),0)</f>
        <v>0</v>
      </c>
      <c r="BA54">
        <f>IF((gamma!BA54),VLOOKUP(BA$1,main!$A$3:$I$56,5,FALSE)-VLOOKUP($A54,main!$A$3:$I$56,6,FALSE),0)</f>
        <v>0</v>
      </c>
      <c r="BB54">
        <f>IF((gamma!BB54),VLOOKUP(BB$1,main!$A$3:$I$56,5,FALSE)-VLOOKUP($A54,main!$A$3:$I$56,6,FALSE),0)</f>
        <v>0</v>
      </c>
      <c r="BC54">
        <f>IF((gamma!BC54),VLOOKUP(BC$1,main!$A$3:$I$56,5,FALSE)-VLOOKUP($A54,main!$A$3:$I$56,6,FALSE),0)</f>
        <v>65</v>
      </c>
      <c r="BD54">
        <f>IF((gamma!BD54),VLOOKUP(BD$1,main!$A$3:$I$56,5,FALSE)-VLOOKUP($A54,main!$A$3:$I$56,6,FALSE),0)</f>
        <v>75</v>
      </c>
    </row>
    <row r="55" spans="1:56" x14ac:dyDescent="0.25">
      <c r="A55">
        <f t="shared" si="2"/>
        <v>53</v>
      </c>
      <c r="B55">
        <v>0</v>
      </c>
      <c r="C55">
        <f>IF((gamma!C55),VLOOKUP(C$1,main!$A$3:$I$56,5,FALSE)-VLOOKUP($A55,main!$A$3:$I$56,6,FALSE),0)</f>
        <v>0</v>
      </c>
      <c r="D55">
        <f>IF((gamma!D55),VLOOKUP(D$1,main!$A$3:$I$56,5,FALSE)-VLOOKUP($A55,main!$A$3:$I$56,6,FALSE),0)</f>
        <v>0</v>
      </c>
      <c r="E55">
        <f>IF((gamma!E55),VLOOKUP(E$1,main!$A$3:$I$56,5,FALSE)-VLOOKUP($A55,main!$A$3:$I$56,6,FALSE),0)</f>
        <v>0</v>
      </c>
      <c r="F55">
        <f>IF((gamma!F55),VLOOKUP(F$1,main!$A$3:$I$56,5,FALSE)-VLOOKUP($A55,main!$A$3:$I$56,6,FALSE),0)</f>
        <v>0</v>
      </c>
      <c r="G55">
        <f>IF((gamma!G55),VLOOKUP(G$1,main!$A$3:$I$56,5,FALSE)-VLOOKUP($A55,main!$A$3:$I$56,6,FALSE),0)</f>
        <v>0</v>
      </c>
      <c r="H55">
        <f>IF((gamma!H55),VLOOKUP(H$1,main!$A$3:$I$56,5,FALSE)-VLOOKUP($A55,main!$A$3:$I$56,6,FALSE),0)</f>
        <v>0</v>
      </c>
      <c r="I55">
        <f>IF((gamma!I55),VLOOKUP(I$1,main!$A$3:$I$56,5,FALSE)-VLOOKUP($A55,main!$A$3:$I$56,6,FALSE),0)</f>
        <v>0</v>
      </c>
      <c r="J55">
        <f>IF((gamma!J55),VLOOKUP(J$1,main!$A$3:$I$56,5,FALSE)-VLOOKUP($A55,main!$A$3:$I$56,6,FALSE),0)</f>
        <v>90</v>
      </c>
      <c r="K55">
        <f>IF((gamma!K55),VLOOKUP(K$1,main!$A$3:$I$56,5,FALSE)-VLOOKUP($A55,main!$A$3:$I$56,6,FALSE),0)</f>
        <v>0</v>
      </c>
      <c r="L55">
        <f>IF((gamma!L55),VLOOKUP(L$1,main!$A$3:$I$56,5,FALSE)-VLOOKUP($A55,main!$A$3:$I$56,6,FALSE),0)</f>
        <v>0</v>
      </c>
      <c r="M55">
        <f>IF((gamma!M55),VLOOKUP(M$1,main!$A$3:$I$56,5,FALSE)-VLOOKUP($A55,main!$A$3:$I$56,6,FALSE),0)</f>
        <v>0</v>
      </c>
      <c r="N55">
        <f>IF((gamma!N55),VLOOKUP(N$1,main!$A$3:$I$56,5,FALSE)-VLOOKUP($A55,main!$A$3:$I$56,6,FALSE),0)</f>
        <v>55</v>
      </c>
      <c r="O55">
        <f>IF((gamma!O55),VLOOKUP(O$1,main!$A$3:$I$56,5,FALSE)-VLOOKUP($A55,main!$A$3:$I$56,6,FALSE),0)</f>
        <v>115</v>
      </c>
      <c r="P55">
        <f>IF((gamma!P55),VLOOKUP(P$1,main!$A$3:$I$56,5,FALSE)-VLOOKUP($A55,main!$A$3:$I$56,6,FALSE),0)</f>
        <v>0</v>
      </c>
      <c r="Q55">
        <f>IF((gamma!Q55),VLOOKUP(Q$1,main!$A$3:$I$56,5,FALSE)-VLOOKUP($A55,main!$A$3:$I$56,6,FALSE),0)</f>
        <v>0</v>
      </c>
      <c r="R55">
        <f>IF((gamma!R55),VLOOKUP(R$1,main!$A$3:$I$56,5,FALSE)-VLOOKUP($A55,main!$A$3:$I$56,6,FALSE),0)</f>
        <v>0</v>
      </c>
      <c r="S55">
        <f>IF((gamma!S55),VLOOKUP(S$1,main!$A$3:$I$56,5,FALSE)-VLOOKUP($A55,main!$A$3:$I$56,6,FALSE),0)</f>
        <v>0</v>
      </c>
      <c r="T55">
        <f>IF((gamma!T55),VLOOKUP(T$1,main!$A$3:$I$56,5,FALSE)-VLOOKUP($A55,main!$A$3:$I$56,6,FALSE),0)</f>
        <v>0</v>
      </c>
      <c r="U55">
        <f>IF((gamma!U55),VLOOKUP(U$1,main!$A$3:$I$56,5,FALSE)-VLOOKUP($A55,main!$A$3:$I$56,6,FALSE),0)</f>
        <v>0</v>
      </c>
      <c r="V55">
        <f>IF((gamma!V55),VLOOKUP(V$1,main!$A$3:$I$56,5,FALSE)-VLOOKUP($A55,main!$A$3:$I$56,6,FALSE),0)</f>
        <v>0</v>
      </c>
      <c r="W55">
        <f>IF((gamma!W55),VLOOKUP(W$1,main!$A$3:$I$56,5,FALSE)-VLOOKUP($A55,main!$A$3:$I$56,6,FALSE),0)</f>
        <v>0</v>
      </c>
      <c r="X55">
        <f>IF((gamma!X55),VLOOKUP(X$1,main!$A$3:$I$56,5,FALSE)-VLOOKUP($A55,main!$A$3:$I$56,6,FALSE),0)</f>
        <v>0</v>
      </c>
      <c r="Y55">
        <f>IF((gamma!Y55),VLOOKUP(Y$1,main!$A$3:$I$56,5,FALSE)-VLOOKUP($A55,main!$A$3:$I$56,6,FALSE),0)</f>
        <v>0</v>
      </c>
      <c r="Z55">
        <f>IF((gamma!Z55),VLOOKUP(Z$1,main!$A$3:$I$56,5,FALSE)-VLOOKUP($A55,main!$A$3:$I$56,6,FALSE),0)</f>
        <v>0</v>
      </c>
      <c r="AA55">
        <f>IF((gamma!AA55),VLOOKUP(AA$1,main!$A$3:$I$56,5,FALSE)-VLOOKUP($A55,main!$A$3:$I$56,6,FALSE),0)</f>
        <v>0</v>
      </c>
      <c r="AB55">
        <f>IF((gamma!AB55),VLOOKUP(AB$1,main!$A$3:$I$56,5,FALSE)-VLOOKUP($A55,main!$A$3:$I$56,6,FALSE),0)</f>
        <v>0</v>
      </c>
      <c r="AC55">
        <f>IF((gamma!AC55),VLOOKUP(AC$1,main!$A$3:$I$56,5,FALSE)-VLOOKUP($A55,main!$A$3:$I$56,6,FALSE),0)</f>
        <v>0</v>
      </c>
      <c r="AD55">
        <f>IF((gamma!AD55),VLOOKUP(AD$1,main!$A$3:$I$56,5,FALSE)-VLOOKUP($A55,main!$A$3:$I$56,6,FALSE),0)</f>
        <v>0</v>
      </c>
      <c r="AE55">
        <f>IF((gamma!AE55),VLOOKUP(AE$1,main!$A$3:$I$56,5,FALSE)-VLOOKUP($A55,main!$A$3:$I$56,6,FALSE),0)</f>
        <v>0</v>
      </c>
      <c r="AF55">
        <f>IF((gamma!AF55),VLOOKUP(AF$1,main!$A$3:$I$56,5,FALSE)-VLOOKUP($A55,main!$A$3:$I$56,6,FALSE),0)</f>
        <v>0</v>
      </c>
      <c r="AG55">
        <f>IF((gamma!AG55),VLOOKUP(AG$1,main!$A$3:$I$56,5,FALSE)-VLOOKUP($A55,main!$A$3:$I$56,6,FALSE),0)</f>
        <v>0</v>
      </c>
      <c r="AH55">
        <f>IF((gamma!AH55),VLOOKUP(AH$1,main!$A$3:$I$56,5,FALSE)-VLOOKUP($A55,main!$A$3:$I$56,6,FALSE),0)</f>
        <v>0</v>
      </c>
      <c r="AI55">
        <f>IF((gamma!AI55),VLOOKUP(AI$1,main!$A$3:$I$56,5,FALSE)-VLOOKUP($A55,main!$A$3:$I$56,6,FALSE),0)</f>
        <v>0</v>
      </c>
      <c r="AJ55">
        <f>IF((gamma!AJ55),VLOOKUP(AJ$1,main!$A$3:$I$56,5,FALSE)-VLOOKUP($A55,main!$A$3:$I$56,6,FALSE),0)</f>
        <v>0</v>
      </c>
      <c r="AK55">
        <f>IF((gamma!AK55),VLOOKUP(AK$1,main!$A$3:$I$56,5,FALSE)-VLOOKUP($A55,main!$A$3:$I$56,6,FALSE),0)</f>
        <v>0</v>
      </c>
      <c r="AL55">
        <f>IF((gamma!AL55),VLOOKUP(AL$1,main!$A$3:$I$56,5,FALSE)-VLOOKUP($A55,main!$A$3:$I$56,6,FALSE),0)</f>
        <v>0</v>
      </c>
      <c r="AM55">
        <f>IF((gamma!AM55),VLOOKUP(AM$1,main!$A$3:$I$56,5,FALSE)-VLOOKUP($A55,main!$A$3:$I$56,6,FALSE),0)</f>
        <v>0</v>
      </c>
      <c r="AN55">
        <f>IF((gamma!AN55),VLOOKUP(AN$1,main!$A$3:$I$56,5,FALSE)-VLOOKUP($A55,main!$A$3:$I$56,6,FALSE),0)</f>
        <v>0</v>
      </c>
      <c r="AO55">
        <f>IF((gamma!AO55),VLOOKUP(AO$1,main!$A$3:$I$56,5,FALSE)-VLOOKUP($A55,main!$A$3:$I$56,6,FALSE),0)</f>
        <v>0</v>
      </c>
      <c r="AP55">
        <f>IF((gamma!AP55),VLOOKUP(AP$1,main!$A$3:$I$56,5,FALSE)-VLOOKUP($A55,main!$A$3:$I$56,6,FALSE),0)</f>
        <v>0</v>
      </c>
      <c r="AQ55">
        <f>IF((gamma!AQ55),VLOOKUP(AQ$1,main!$A$3:$I$56,5,FALSE)-VLOOKUP($A55,main!$A$3:$I$56,6,FALSE),0)</f>
        <v>0</v>
      </c>
      <c r="AR55">
        <f>IF((gamma!AR55),VLOOKUP(AR$1,main!$A$3:$I$56,5,FALSE)-VLOOKUP($A55,main!$A$3:$I$56,6,FALSE),0)</f>
        <v>0</v>
      </c>
      <c r="AS55">
        <f>IF((gamma!AS55),VLOOKUP(AS$1,main!$A$3:$I$56,5,FALSE)-VLOOKUP($A55,main!$A$3:$I$56,6,FALSE),0)</f>
        <v>0</v>
      </c>
      <c r="AT55">
        <f>IF((gamma!AT55),VLOOKUP(AT$1,main!$A$3:$I$56,5,FALSE)-VLOOKUP($A55,main!$A$3:$I$56,6,FALSE),0)</f>
        <v>0</v>
      </c>
      <c r="AU55">
        <f>IF((gamma!AU55),VLOOKUP(AU$1,main!$A$3:$I$56,5,FALSE)-VLOOKUP($A55,main!$A$3:$I$56,6,FALSE),0)</f>
        <v>0</v>
      </c>
      <c r="AV55">
        <f>IF((gamma!AV55),VLOOKUP(AV$1,main!$A$3:$I$56,5,FALSE)-VLOOKUP($A55,main!$A$3:$I$56,6,FALSE),0)</f>
        <v>0</v>
      </c>
      <c r="AW55">
        <f>IF((gamma!AW55),VLOOKUP(AW$1,main!$A$3:$I$56,5,FALSE)-VLOOKUP($A55,main!$A$3:$I$56,6,FALSE),0)</f>
        <v>0</v>
      </c>
      <c r="AX55">
        <f>IF((gamma!AX55),VLOOKUP(AX$1,main!$A$3:$I$56,5,FALSE)-VLOOKUP($A55,main!$A$3:$I$56,6,FALSE),0)</f>
        <v>0</v>
      </c>
      <c r="AY55">
        <f>IF((gamma!AY55),VLOOKUP(AY$1,main!$A$3:$I$56,5,FALSE)-VLOOKUP($A55,main!$A$3:$I$56,6,FALSE),0)</f>
        <v>100</v>
      </c>
      <c r="AZ55">
        <f>IF((gamma!AZ55),VLOOKUP(AZ$1,main!$A$3:$I$56,5,FALSE)-VLOOKUP($A55,main!$A$3:$I$56,6,FALSE),0)</f>
        <v>0</v>
      </c>
      <c r="BA55">
        <f>IF((gamma!BA55),VLOOKUP(BA$1,main!$A$3:$I$56,5,FALSE)-VLOOKUP($A55,main!$A$3:$I$56,6,FALSE),0)</f>
        <v>0</v>
      </c>
      <c r="BB55">
        <f>IF((gamma!BB55),VLOOKUP(BB$1,main!$A$3:$I$56,5,FALSE)-VLOOKUP($A55,main!$A$3:$I$56,6,FALSE),0)</f>
        <v>0</v>
      </c>
      <c r="BC55">
        <f>IF((gamma!BC55),VLOOKUP(BC$1,main!$A$3:$I$56,5,FALSE)-VLOOKUP($A55,main!$A$3:$I$56,6,FALSE),0)</f>
        <v>0</v>
      </c>
      <c r="BD55">
        <f>IF((gamma!BD55),VLOOKUP(BD$1,main!$A$3:$I$56,5,FALSE)-VLOOKUP($A55,main!$A$3:$I$56,6,FALSE),0)</f>
        <v>0</v>
      </c>
    </row>
    <row r="56" spans="1:56" x14ac:dyDescent="0.25">
      <c r="A56">
        <f t="shared" si="2"/>
        <v>54</v>
      </c>
      <c r="B56">
        <v>0</v>
      </c>
      <c r="C56">
        <f>IF((gamma!C56),VLOOKUP(C$1,main!$A$3:$I$56,5,FALSE)-VLOOKUP($A56,main!$A$3:$I$56,6,FALSE),0)</f>
        <v>0</v>
      </c>
      <c r="D56">
        <f>IF((gamma!D56),VLOOKUP(D$1,main!$A$3:$I$56,5,FALSE)-VLOOKUP($A56,main!$A$3:$I$56,6,FALSE),0)</f>
        <v>0</v>
      </c>
      <c r="E56">
        <f>IF((gamma!E56),VLOOKUP(E$1,main!$A$3:$I$56,5,FALSE)-VLOOKUP($A56,main!$A$3:$I$56,6,FALSE),0)</f>
        <v>0</v>
      </c>
      <c r="F56">
        <f>IF((gamma!F56),VLOOKUP(F$1,main!$A$3:$I$56,5,FALSE)-VLOOKUP($A56,main!$A$3:$I$56,6,FALSE),0)</f>
        <v>0</v>
      </c>
      <c r="G56">
        <f>IF((gamma!G56),VLOOKUP(G$1,main!$A$3:$I$56,5,FALSE)-VLOOKUP($A56,main!$A$3:$I$56,6,FALSE),0)</f>
        <v>0</v>
      </c>
      <c r="H56">
        <f>IF((gamma!H56),VLOOKUP(H$1,main!$A$3:$I$56,5,FALSE)-VLOOKUP($A56,main!$A$3:$I$56,6,FALSE),0)</f>
        <v>0</v>
      </c>
      <c r="I56">
        <f>IF((gamma!I56),VLOOKUP(I$1,main!$A$3:$I$56,5,FALSE)-VLOOKUP($A56,main!$A$3:$I$56,6,FALSE),0)</f>
        <v>0</v>
      </c>
      <c r="J56">
        <f>IF((gamma!J56),VLOOKUP(J$1,main!$A$3:$I$56,5,FALSE)-VLOOKUP($A56,main!$A$3:$I$56,6,FALSE),0)</f>
        <v>80</v>
      </c>
      <c r="K56">
        <f>IF((gamma!K56),VLOOKUP(K$1,main!$A$3:$I$56,5,FALSE)-VLOOKUP($A56,main!$A$3:$I$56,6,FALSE),0)</f>
        <v>0</v>
      </c>
      <c r="L56">
        <f>IF((gamma!L56),VLOOKUP(L$1,main!$A$3:$I$56,5,FALSE)-VLOOKUP($A56,main!$A$3:$I$56,6,FALSE),0)</f>
        <v>0</v>
      </c>
      <c r="M56">
        <f>IF((gamma!M56),VLOOKUP(M$1,main!$A$3:$I$56,5,FALSE)-VLOOKUP($A56,main!$A$3:$I$56,6,FALSE),0)</f>
        <v>0</v>
      </c>
      <c r="N56">
        <f>IF((gamma!N56),VLOOKUP(N$1,main!$A$3:$I$56,5,FALSE)-VLOOKUP($A56,main!$A$3:$I$56,6,FALSE),0)</f>
        <v>45</v>
      </c>
      <c r="O56">
        <f>IF((gamma!O56),VLOOKUP(O$1,main!$A$3:$I$56,5,FALSE)-VLOOKUP($A56,main!$A$3:$I$56,6,FALSE),0)</f>
        <v>105</v>
      </c>
      <c r="P56">
        <f>IF((gamma!P56),VLOOKUP(P$1,main!$A$3:$I$56,5,FALSE)-VLOOKUP($A56,main!$A$3:$I$56,6,FALSE),0)</f>
        <v>0</v>
      </c>
      <c r="Q56">
        <f>IF((gamma!Q56),VLOOKUP(Q$1,main!$A$3:$I$56,5,FALSE)-VLOOKUP($A56,main!$A$3:$I$56,6,FALSE),0)</f>
        <v>0</v>
      </c>
      <c r="R56">
        <f>IF((gamma!R56),VLOOKUP(R$1,main!$A$3:$I$56,5,FALSE)-VLOOKUP($A56,main!$A$3:$I$56,6,FALSE),0)</f>
        <v>0</v>
      </c>
      <c r="S56">
        <f>IF((gamma!S56),VLOOKUP(S$1,main!$A$3:$I$56,5,FALSE)-VLOOKUP($A56,main!$A$3:$I$56,6,FALSE),0)</f>
        <v>0</v>
      </c>
      <c r="T56">
        <f>IF((gamma!T56),VLOOKUP(T$1,main!$A$3:$I$56,5,FALSE)-VLOOKUP($A56,main!$A$3:$I$56,6,FALSE),0)</f>
        <v>0</v>
      </c>
      <c r="U56">
        <f>IF((gamma!U56),VLOOKUP(U$1,main!$A$3:$I$56,5,FALSE)-VLOOKUP($A56,main!$A$3:$I$56,6,FALSE),0)</f>
        <v>0</v>
      </c>
      <c r="V56">
        <f>IF((gamma!V56),VLOOKUP(V$1,main!$A$3:$I$56,5,FALSE)-VLOOKUP($A56,main!$A$3:$I$56,6,FALSE),0)</f>
        <v>0</v>
      </c>
      <c r="W56">
        <f>IF((gamma!W56),VLOOKUP(W$1,main!$A$3:$I$56,5,FALSE)-VLOOKUP($A56,main!$A$3:$I$56,6,FALSE),0)</f>
        <v>0</v>
      </c>
      <c r="X56">
        <f>IF((gamma!X56),VLOOKUP(X$1,main!$A$3:$I$56,5,FALSE)-VLOOKUP($A56,main!$A$3:$I$56,6,FALSE),0)</f>
        <v>0</v>
      </c>
      <c r="Y56">
        <f>IF((gamma!Y56),VLOOKUP(Y$1,main!$A$3:$I$56,5,FALSE)-VLOOKUP($A56,main!$A$3:$I$56,6,FALSE),0)</f>
        <v>0</v>
      </c>
      <c r="Z56">
        <f>IF((gamma!Z56),VLOOKUP(Z$1,main!$A$3:$I$56,5,FALSE)-VLOOKUP($A56,main!$A$3:$I$56,6,FALSE),0)</f>
        <v>0</v>
      </c>
      <c r="AA56">
        <f>IF((gamma!AA56),VLOOKUP(AA$1,main!$A$3:$I$56,5,FALSE)-VLOOKUP($A56,main!$A$3:$I$56,6,FALSE),0)</f>
        <v>0</v>
      </c>
      <c r="AB56">
        <f>IF((gamma!AB56),VLOOKUP(AB$1,main!$A$3:$I$56,5,FALSE)-VLOOKUP($A56,main!$A$3:$I$56,6,FALSE),0)</f>
        <v>0</v>
      </c>
      <c r="AC56">
        <f>IF((gamma!AC56),VLOOKUP(AC$1,main!$A$3:$I$56,5,FALSE)-VLOOKUP($A56,main!$A$3:$I$56,6,FALSE),0)</f>
        <v>0</v>
      </c>
      <c r="AD56">
        <f>IF((gamma!AD56),VLOOKUP(AD$1,main!$A$3:$I$56,5,FALSE)-VLOOKUP($A56,main!$A$3:$I$56,6,FALSE),0)</f>
        <v>0</v>
      </c>
      <c r="AE56">
        <f>IF((gamma!AE56),VLOOKUP(AE$1,main!$A$3:$I$56,5,FALSE)-VLOOKUP($A56,main!$A$3:$I$56,6,FALSE),0)</f>
        <v>0</v>
      </c>
      <c r="AF56">
        <f>IF((gamma!AF56),VLOOKUP(AF$1,main!$A$3:$I$56,5,FALSE)-VLOOKUP($A56,main!$A$3:$I$56,6,FALSE),0)</f>
        <v>0</v>
      </c>
      <c r="AG56">
        <f>IF((gamma!AG56),VLOOKUP(AG$1,main!$A$3:$I$56,5,FALSE)-VLOOKUP($A56,main!$A$3:$I$56,6,FALSE),0)</f>
        <v>0</v>
      </c>
      <c r="AH56">
        <f>IF((gamma!AH56),VLOOKUP(AH$1,main!$A$3:$I$56,5,FALSE)-VLOOKUP($A56,main!$A$3:$I$56,6,FALSE),0)</f>
        <v>0</v>
      </c>
      <c r="AI56">
        <f>IF((gamma!AI56),VLOOKUP(AI$1,main!$A$3:$I$56,5,FALSE)-VLOOKUP($A56,main!$A$3:$I$56,6,FALSE),0)</f>
        <v>0</v>
      </c>
      <c r="AJ56">
        <f>IF((gamma!AJ56),VLOOKUP(AJ$1,main!$A$3:$I$56,5,FALSE)-VLOOKUP($A56,main!$A$3:$I$56,6,FALSE),0)</f>
        <v>0</v>
      </c>
      <c r="AK56">
        <f>IF((gamma!AK56),VLOOKUP(AK$1,main!$A$3:$I$56,5,FALSE)-VLOOKUP($A56,main!$A$3:$I$56,6,FALSE),0)</f>
        <v>0</v>
      </c>
      <c r="AL56">
        <f>IF((gamma!AL56),VLOOKUP(AL$1,main!$A$3:$I$56,5,FALSE)-VLOOKUP($A56,main!$A$3:$I$56,6,FALSE),0)</f>
        <v>0</v>
      </c>
      <c r="AM56">
        <f>IF((gamma!AM56),VLOOKUP(AM$1,main!$A$3:$I$56,5,FALSE)-VLOOKUP($A56,main!$A$3:$I$56,6,FALSE),0)</f>
        <v>0</v>
      </c>
      <c r="AN56">
        <f>IF((gamma!AN56),VLOOKUP(AN$1,main!$A$3:$I$56,5,FALSE)-VLOOKUP($A56,main!$A$3:$I$56,6,FALSE),0)</f>
        <v>0</v>
      </c>
      <c r="AO56">
        <f>IF((gamma!AO56),VLOOKUP(AO$1,main!$A$3:$I$56,5,FALSE)-VLOOKUP($A56,main!$A$3:$I$56,6,FALSE),0)</f>
        <v>0</v>
      </c>
      <c r="AP56">
        <f>IF((gamma!AP56),VLOOKUP(AP$1,main!$A$3:$I$56,5,FALSE)-VLOOKUP($A56,main!$A$3:$I$56,6,FALSE),0)</f>
        <v>0</v>
      </c>
      <c r="AQ56">
        <f>IF((gamma!AQ56),VLOOKUP(AQ$1,main!$A$3:$I$56,5,FALSE)-VLOOKUP($A56,main!$A$3:$I$56,6,FALSE),0)</f>
        <v>0</v>
      </c>
      <c r="AR56">
        <f>IF((gamma!AR56),VLOOKUP(AR$1,main!$A$3:$I$56,5,FALSE)-VLOOKUP($A56,main!$A$3:$I$56,6,FALSE),0)</f>
        <v>0</v>
      </c>
      <c r="AS56">
        <f>IF((gamma!AS56),VLOOKUP(AS$1,main!$A$3:$I$56,5,FALSE)-VLOOKUP($A56,main!$A$3:$I$56,6,FALSE),0)</f>
        <v>0</v>
      </c>
      <c r="AT56">
        <f>IF((gamma!AT56),VLOOKUP(AT$1,main!$A$3:$I$56,5,FALSE)-VLOOKUP($A56,main!$A$3:$I$56,6,FALSE),0)</f>
        <v>0</v>
      </c>
      <c r="AU56">
        <f>IF((gamma!AU56),VLOOKUP(AU$1,main!$A$3:$I$56,5,FALSE)-VLOOKUP($A56,main!$A$3:$I$56,6,FALSE),0)</f>
        <v>0</v>
      </c>
      <c r="AV56">
        <f>IF((gamma!AV56),VLOOKUP(AV$1,main!$A$3:$I$56,5,FALSE)-VLOOKUP($A56,main!$A$3:$I$56,6,FALSE),0)</f>
        <v>0</v>
      </c>
      <c r="AW56">
        <f>IF((gamma!AW56),VLOOKUP(AW$1,main!$A$3:$I$56,5,FALSE)-VLOOKUP($A56,main!$A$3:$I$56,6,FALSE),0)</f>
        <v>0</v>
      </c>
      <c r="AX56">
        <f>IF((gamma!AX56),VLOOKUP(AX$1,main!$A$3:$I$56,5,FALSE)-VLOOKUP($A56,main!$A$3:$I$56,6,FALSE),0)</f>
        <v>0</v>
      </c>
      <c r="AY56">
        <f>IF((gamma!AY56),VLOOKUP(AY$1,main!$A$3:$I$56,5,FALSE)-VLOOKUP($A56,main!$A$3:$I$56,6,FALSE),0)</f>
        <v>90</v>
      </c>
      <c r="AZ56">
        <f>IF((gamma!AZ56),VLOOKUP(AZ$1,main!$A$3:$I$56,5,FALSE)-VLOOKUP($A56,main!$A$3:$I$56,6,FALSE),0)</f>
        <v>0</v>
      </c>
      <c r="BA56">
        <f>IF((gamma!BA56),VLOOKUP(BA$1,main!$A$3:$I$56,5,FALSE)-VLOOKUP($A56,main!$A$3:$I$56,6,FALSE),0)</f>
        <v>0</v>
      </c>
      <c r="BB56">
        <f>IF((gamma!BB56),VLOOKUP(BB$1,main!$A$3:$I$56,5,FALSE)-VLOOKUP($A56,main!$A$3:$I$56,6,FALSE),0)</f>
        <v>0</v>
      </c>
      <c r="BC56">
        <f>IF((gamma!BC56),VLOOKUP(BC$1,main!$A$3:$I$56,5,FALSE)-VLOOKUP($A56,main!$A$3:$I$56,6,FALSE),0)</f>
        <v>0</v>
      </c>
      <c r="BD56">
        <f>IF((gamma!BD56),VLOOKUP(BD$1,main!$A$3:$I$56,5,FALSE)-VLOOKUP($A56,main!$A$3:$I$56,6,FALSE),0)</f>
        <v>0</v>
      </c>
    </row>
    <row r="57" spans="1: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>
        <f>A57+1</f>
        <v>1</v>
      </c>
      <c r="B58">
        <v>0</v>
      </c>
      <c r="C58">
        <f>IF((phi!C3),VLOOKUP(C$1,main!$A$3:$I$56,5,FALSE)-VLOOKUP($A58,main!$A$3:$I$56,6,FALSE)+main!$D$57,0)</f>
        <v>0</v>
      </c>
      <c r="D58">
        <f>IF((phi!D3),VLOOKUP(D$1,main!$A$3:$I$56,5,FALSE)-VLOOKUP($A58,main!$A$3:$I$56,6,FALSE)+main!$D$57,0)</f>
        <v>0</v>
      </c>
      <c r="E58">
        <f>IF((phi!E3),VLOOKUP(E$1,main!$A$3:$I$56,5,FALSE)-VLOOKUP($A58,main!$A$3:$I$56,6,FALSE)+main!$D$57,0)</f>
        <v>185</v>
      </c>
      <c r="F58">
        <f>IF((phi!F3),VLOOKUP(F$1,main!$A$3:$I$56,5,FALSE)-VLOOKUP($A58,main!$A$3:$I$56,6,FALSE)+main!$D$57,0)</f>
        <v>275</v>
      </c>
      <c r="G58">
        <f>IF((phi!G3),VLOOKUP(G$1,main!$A$3:$I$56,5,FALSE)-VLOOKUP($A58,main!$A$3:$I$56,6,FALSE)+main!$D$57,0)</f>
        <v>335</v>
      </c>
      <c r="H58">
        <f>IF((phi!H3),VLOOKUP(H$1,main!$A$3:$I$56,5,FALSE)-VLOOKUP($A58,main!$A$3:$I$56,6,FALSE)+main!$D$57,0)</f>
        <v>395</v>
      </c>
      <c r="I58">
        <f>IF((phi!I3),VLOOKUP(I$1,main!$A$3:$I$56,5,FALSE)-VLOOKUP($A58,main!$A$3:$I$56,6,FALSE)+main!$D$57,0)</f>
        <v>455</v>
      </c>
      <c r="J58">
        <f>IF((phi!J3),VLOOKUP(J$1,main!$A$3:$I$56,5,FALSE)-VLOOKUP($A58,main!$A$3:$I$56,6,FALSE)+main!$D$57,0)</f>
        <v>545</v>
      </c>
      <c r="K58">
        <f>IF((phi!K3),VLOOKUP(K$1,main!$A$3:$I$56,5,FALSE)-VLOOKUP($A58,main!$A$3:$I$56,6,FALSE)+main!$D$57,0)</f>
        <v>0</v>
      </c>
      <c r="L58">
        <f>IF((phi!L3),VLOOKUP(L$1,main!$A$3:$I$56,5,FALSE)-VLOOKUP($A58,main!$A$3:$I$56,6,FALSE)+main!$D$57,0)</f>
        <v>0</v>
      </c>
      <c r="M58">
        <f>IF((phi!M3),VLOOKUP(M$1,main!$A$3:$I$56,5,FALSE)-VLOOKUP($A58,main!$A$3:$I$56,6,FALSE)+main!$D$57,0)</f>
        <v>150</v>
      </c>
      <c r="N58">
        <f>IF((phi!N3),VLOOKUP(N$1,main!$A$3:$I$56,5,FALSE)-VLOOKUP($A58,main!$A$3:$I$56,6,FALSE)+main!$D$57,0)</f>
        <v>510</v>
      </c>
      <c r="O58">
        <f>IF((phi!O3),VLOOKUP(O$1,main!$A$3:$I$56,5,FALSE)-VLOOKUP($A58,main!$A$3:$I$56,6,FALSE)+main!$D$57,0)</f>
        <v>570</v>
      </c>
      <c r="P58">
        <f>IF((phi!P3),VLOOKUP(P$1,main!$A$3:$I$56,5,FALSE)-VLOOKUP($A58,main!$A$3:$I$56,6,FALSE)+main!$D$57,0)</f>
        <v>0</v>
      </c>
      <c r="Q58">
        <f>IF((phi!Q3),VLOOKUP(Q$1,main!$A$3:$I$56,5,FALSE)-VLOOKUP($A58,main!$A$3:$I$56,6,FALSE)+main!$D$57,0)</f>
        <v>0</v>
      </c>
      <c r="R58">
        <f>IF((phi!R3),VLOOKUP(R$1,main!$A$3:$I$56,5,FALSE)-VLOOKUP($A58,main!$A$3:$I$56,6,FALSE)+main!$D$57,0)</f>
        <v>145</v>
      </c>
      <c r="S58">
        <f>IF((phi!S3),VLOOKUP(S$1,main!$A$3:$I$56,5,FALSE)-VLOOKUP($A58,main!$A$3:$I$56,6,FALSE)+main!$D$57,0)</f>
        <v>325</v>
      </c>
      <c r="T58">
        <f>IF((phi!T3),VLOOKUP(T$1,main!$A$3:$I$56,5,FALSE)-VLOOKUP($A58,main!$A$3:$I$56,6,FALSE)+main!$D$57,0)</f>
        <v>475</v>
      </c>
      <c r="U58">
        <f>IF((phi!U3),VLOOKUP(U$1,main!$A$3:$I$56,5,FALSE)-VLOOKUP($A58,main!$A$3:$I$56,6,FALSE)+main!$D$57,0)</f>
        <v>0</v>
      </c>
      <c r="V58">
        <f>IF((phi!V3),VLOOKUP(V$1,main!$A$3:$I$56,5,FALSE)-VLOOKUP($A58,main!$A$3:$I$56,6,FALSE)+main!$D$57,0)</f>
        <v>0</v>
      </c>
      <c r="W58">
        <f>IF((phi!W3),VLOOKUP(W$1,main!$A$3:$I$56,5,FALSE)-VLOOKUP($A58,main!$A$3:$I$56,6,FALSE)+main!$D$57,0)</f>
        <v>0</v>
      </c>
      <c r="X58">
        <f>IF((phi!X3),VLOOKUP(X$1,main!$A$3:$I$56,5,FALSE)-VLOOKUP($A58,main!$A$3:$I$56,6,FALSE)+main!$D$57,0)</f>
        <v>165</v>
      </c>
      <c r="Y58">
        <f>IF((phi!Y3),VLOOKUP(Y$1,main!$A$3:$I$56,5,FALSE)-VLOOKUP($A58,main!$A$3:$I$56,6,FALSE)+main!$D$57,0)</f>
        <v>255</v>
      </c>
      <c r="Z58">
        <f>IF((phi!Z3),VLOOKUP(Z$1,main!$A$3:$I$56,5,FALSE)-VLOOKUP($A58,main!$A$3:$I$56,6,FALSE)+main!$D$57,0)</f>
        <v>345</v>
      </c>
      <c r="AA58">
        <f>IF((phi!AA3),VLOOKUP(AA$1,main!$A$3:$I$56,5,FALSE)-VLOOKUP($A58,main!$A$3:$I$56,6,FALSE)+main!$D$57,0)</f>
        <v>435</v>
      </c>
      <c r="AB58">
        <f>IF((phi!AB3),VLOOKUP(AB$1,main!$A$3:$I$56,5,FALSE)-VLOOKUP($A58,main!$A$3:$I$56,6,FALSE)+main!$D$57,0)</f>
        <v>495</v>
      </c>
      <c r="AC58">
        <f>IF((phi!AC3),VLOOKUP(AC$1,main!$A$3:$I$56,5,FALSE)-VLOOKUP($A58,main!$A$3:$I$56,6,FALSE)+main!$D$57,0)</f>
        <v>0</v>
      </c>
      <c r="AD58">
        <f>IF((phi!AD3),VLOOKUP(AD$1,main!$A$3:$I$56,5,FALSE)-VLOOKUP($A58,main!$A$3:$I$56,6,FALSE)+main!$D$57,0)</f>
        <v>0</v>
      </c>
      <c r="AE58">
        <f>IF((phi!AE3),VLOOKUP(AE$1,main!$A$3:$I$56,5,FALSE)-VLOOKUP($A58,main!$A$3:$I$56,6,FALSE)+main!$D$57,0)</f>
        <v>155</v>
      </c>
      <c r="AF58">
        <f>IF((phi!AF3),VLOOKUP(AF$1,main!$A$3:$I$56,5,FALSE)-VLOOKUP($A58,main!$A$3:$I$56,6,FALSE)+main!$D$57,0)</f>
        <v>305</v>
      </c>
      <c r="AG58">
        <f>IF((phi!AG3),VLOOKUP(AG$1,main!$A$3:$I$56,5,FALSE)-VLOOKUP($A58,main!$A$3:$I$56,6,FALSE)+main!$D$57,0)</f>
        <v>0</v>
      </c>
      <c r="AH58">
        <f>IF((phi!AH3),VLOOKUP(AH$1,main!$A$3:$I$56,5,FALSE)-VLOOKUP($A58,main!$A$3:$I$56,6,FALSE)+main!$D$57,0)</f>
        <v>0</v>
      </c>
      <c r="AI58">
        <f>IF((phi!AI3),VLOOKUP(AI$1,main!$A$3:$I$56,5,FALSE)-VLOOKUP($A58,main!$A$3:$I$56,6,FALSE)+main!$D$57,0)</f>
        <v>215</v>
      </c>
      <c r="AJ58">
        <f>IF((phi!AJ3),VLOOKUP(AJ$1,main!$A$3:$I$56,5,FALSE)-VLOOKUP($A58,main!$A$3:$I$56,6,FALSE)+main!$D$57,0)</f>
        <v>275</v>
      </c>
      <c r="AK58">
        <f>IF((phi!AK3),VLOOKUP(AK$1,main!$A$3:$I$56,5,FALSE)-VLOOKUP($A58,main!$A$3:$I$56,6,FALSE)+main!$D$57,0)</f>
        <v>395</v>
      </c>
      <c r="AL58">
        <f>IF((phi!AL3),VLOOKUP(AL$1,main!$A$3:$I$56,5,FALSE)-VLOOKUP($A58,main!$A$3:$I$56,6,FALSE)+main!$D$57,0)</f>
        <v>0</v>
      </c>
      <c r="AM58">
        <f>IF((phi!AM3),VLOOKUP(AM$1,main!$A$3:$I$56,5,FALSE)-VLOOKUP($A58,main!$A$3:$I$56,6,FALSE)+main!$D$57,0)</f>
        <v>0</v>
      </c>
      <c r="AN58">
        <f>IF((phi!AN3),VLOOKUP(AN$1,main!$A$3:$I$56,5,FALSE)-VLOOKUP($A58,main!$A$3:$I$56,6,FALSE)+main!$D$57,0)</f>
        <v>255</v>
      </c>
      <c r="AO58">
        <f>IF((phi!AO3),VLOOKUP(AO$1,main!$A$3:$I$56,5,FALSE)-VLOOKUP($A58,main!$A$3:$I$56,6,FALSE)+main!$D$57,0)</f>
        <v>305</v>
      </c>
      <c r="AP58">
        <f>IF((phi!AP3),VLOOKUP(AP$1,main!$A$3:$I$56,5,FALSE)-VLOOKUP($A58,main!$A$3:$I$56,6,FALSE)+main!$D$57,0)</f>
        <v>0</v>
      </c>
      <c r="AQ58">
        <f>IF((phi!AQ3),VLOOKUP(AQ$1,main!$A$3:$I$56,5,FALSE)-VLOOKUP($A58,main!$A$3:$I$56,6,FALSE)+main!$D$57,0)</f>
        <v>0</v>
      </c>
      <c r="AR58">
        <f>IF((phi!AR3),VLOOKUP(AR$1,main!$A$3:$I$56,5,FALSE)-VLOOKUP($A58,main!$A$3:$I$56,6,FALSE)+main!$D$57,0)</f>
        <v>0</v>
      </c>
      <c r="AS58">
        <f>IF((phi!AS3),VLOOKUP(AS$1,main!$A$3:$I$56,5,FALSE)-VLOOKUP($A58,main!$A$3:$I$56,6,FALSE)+main!$D$57,0)</f>
        <v>0</v>
      </c>
      <c r="AT58">
        <f>IF((phi!AT3),VLOOKUP(AT$1,main!$A$3:$I$56,5,FALSE)-VLOOKUP($A58,main!$A$3:$I$56,6,FALSE)+main!$D$57,0)</f>
        <v>205</v>
      </c>
      <c r="AU58">
        <f>IF((phi!AU3),VLOOKUP(AU$1,main!$A$3:$I$56,5,FALSE)-VLOOKUP($A58,main!$A$3:$I$56,6,FALSE)+main!$D$57,0)</f>
        <v>0</v>
      </c>
      <c r="AV58">
        <f>IF((phi!AV3),VLOOKUP(AV$1,main!$A$3:$I$56,5,FALSE)-VLOOKUP($A58,main!$A$3:$I$56,6,FALSE)+main!$D$57,0)</f>
        <v>0</v>
      </c>
      <c r="AW58">
        <f>IF((phi!AW3),VLOOKUP(AW$1,main!$A$3:$I$56,5,FALSE)-VLOOKUP($A58,main!$A$3:$I$56,6,FALSE)+main!$D$57,0)</f>
        <v>155</v>
      </c>
      <c r="AX58">
        <f>IF((phi!AX3),VLOOKUP(AX$1,main!$A$3:$I$56,5,FALSE)-VLOOKUP($A58,main!$A$3:$I$56,6,FALSE)+main!$D$57,0)</f>
        <v>355</v>
      </c>
      <c r="AY58">
        <f>IF((phi!AY3),VLOOKUP(AY$1,main!$A$3:$I$56,5,FALSE)-VLOOKUP($A58,main!$A$3:$I$56,6,FALSE)+main!$D$57,0)</f>
        <v>555</v>
      </c>
      <c r="AZ58">
        <f>IF((phi!AZ3),VLOOKUP(AZ$1,main!$A$3:$I$56,5,FALSE)-VLOOKUP($A58,main!$A$3:$I$56,6,FALSE)+main!$D$57,0)</f>
        <v>0</v>
      </c>
      <c r="BA58">
        <f>IF((phi!BA3),VLOOKUP(BA$1,main!$A$3:$I$56,5,FALSE)-VLOOKUP($A58,main!$A$3:$I$56,6,FALSE)+main!$D$57,0)</f>
        <v>0</v>
      </c>
      <c r="BB58">
        <f>IF((phi!BB3),VLOOKUP(BB$1,main!$A$3:$I$56,5,FALSE)-VLOOKUP($A58,main!$A$3:$I$56,6,FALSE)+main!$D$57,0)</f>
        <v>135</v>
      </c>
      <c r="BC58">
        <f>IF((phi!BC3),VLOOKUP(BC$1,main!$A$3:$I$56,5,FALSE)-VLOOKUP($A58,main!$A$3:$I$56,6,FALSE)+main!$D$57,0)</f>
        <v>320</v>
      </c>
      <c r="BD58">
        <f>IF((phi!BD3),VLOOKUP(BD$1,main!$A$3:$I$56,5,FALSE)-VLOOKUP($A58,main!$A$3:$I$56,6,FALSE)+main!$D$57,0)</f>
        <v>330</v>
      </c>
    </row>
    <row r="59" spans="1:56" x14ac:dyDescent="0.25">
      <c r="A59">
        <f t="shared" ref="A59:A111" si="3">A58+1</f>
        <v>2</v>
      </c>
      <c r="B59">
        <v>0</v>
      </c>
      <c r="C59">
        <f>IF((phi!C4),VLOOKUP(C$1,main!$A$3:$I$56,5,FALSE)-VLOOKUP($A59,main!$A$3:$I$56,6,FALSE)+main!$D$57,0)</f>
        <v>0</v>
      </c>
      <c r="D59">
        <f>IF((phi!D4),VLOOKUP(D$1,main!$A$3:$I$56,5,FALSE)-VLOOKUP($A59,main!$A$3:$I$56,6,FALSE)+main!$D$57,0)</f>
        <v>0</v>
      </c>
      <c r="E59">
        <f>IF((phi!E4),VLOOKUP(E$1,main!$A$3:$I$56,5,FALSE)-VLOOKUP($A59,main!$A$3:$I$56,6,FALSE)+main!$D$57,0)</f>
        <v>0</v>
      </c>
      <c r="F59">
        <f>IF((phi!F4),VLOOKUP(F$1,main!$A$3:$I$56,5,FALSE)-VLOOKUP($A59,main!$A$3:$I$56,6,FALSE)+main!$D$57,0)</f>
        <v>0</v>
      </c>
      <c r="G59">
        <f>IF((phi!G4),VLOOKUP(G$1,main!$A$3:$I$56,5,FALSE)-VLOOKUP($A59,main!$A$3:$I$56,6,FALSE)+main!$D$57,0)</f>
        <v>155</v>
      </c>
      <c r="H59">
        <f>IF((phi!H4),VLOOKUP(H$1,main!$A$3:$I$56,5,FALSE)-VLOOKUP($A59,main!$A$3:$I$56,6,FALSE)+main!$D$57,0)</f>
        <v>215</v>
      </c>
      <c r="I59">
        <f>IF((phi!I4),VLOOKUP(I$1,main!$A$3:$I$56,5,FALSE)-VLOOKUP($A59,main!$A$3:$I$56,6,FALSE)+main!$D$57,0)</f>
        <v>275</v>
      </c>
      <c r="J59">
        <f>IF((phi!J4),VLOOKUP(J$1,main!$A$3:$I$56,5,FALSE)-VLOOKUP($A59,main!$A$3:$I$56,6,FALSE)+main!$D$57,0)</f>
        <v>365</v>
      </c>
      <c r="K59">
        <f>IF((phi!K4),VLOOKUP(K$1,main!$A$3:$I$56,5,FALSE)-VLOOKUP($A59,main!$A$3:$I$56,6,FALSE)+main!$D$57,0)</f>
        <v>0</v>
      </c>
      <c r="L59">
        <f>IF((phi!L4),VLOOKUP(L$1,main!$A$3:$I$56,5,FALSE)-VLOOKUP($A59,main!$A$3:$I$56,6,FALSE)+main!$D$57,0)</f>
        <v>0</v>
      </c>
      <c r="M59">
        <f>IF((phi!M4),VLOOKUP(M$1,main!$A$3:$I$56,5,FALSE)-VLOOKUP($A59,main!$A$3:$I$56,6,FALSE)+main!$D$57,0)</f>
        <v>0</v>
      </c>
      <c r="N59">
        <f>IF((phi!N4),VLOOKUP(N$1,main!$A$3:$I$56,5,FALSE)-VLOOKUP($A59,main!$A$3:$I$56,6,FALSE)+main!$D$57,0)</f>
        <v>330</v>
      </c>
      <c r="O59">
        <f>IF((phi!O4),VLOOKUP(O$1,main!$A$3:$I$56,5,FALSE)-VLOOKUP($A59,main!$A$3:$I$56,6,FALSE)+main!$D$57,0)</f>
        <v>390</v>
      </c>
      <c r="P59">
        <f>IF((phi!P4),VLOOKUP(P$1,main!$A$3:$I$56,5,FALSE)-VLOOKUP($A59,main!$A$3:$I$56,6,FALSE)+main!$D$57,0)</f>
        <v>0</v>
      </c>
      <c r="Q59">
        <f>IF((phi!Q4),VLOOKUP(Q$1,main!$A$3:$I$56,5,FALSE)-VLOOKUP($A59,main!$A$3:$I$56,6,FALSE)+main!$D$57,0)</f>
        <v>0</v>
      </c>
      <c r="R59">
        <f>IF((phi!R4),VLOOKUP(R$1,main!$A$3:$I$56,5,FALSE)-VLOOKUP($A59,main!$A$3:$I$56,6,FALSE)+main!$D$57,0)</f>
        <v>0</v>
      </c>
      <c r="S59">
        <f>IF((phi!S4),VLOOKUP(S$1,main!$A$3:$I$56,5,FALSE)-VLOOKUP($A59,main!$A$3:$I$56,6,FALSE)+main!$D$57,0)</f>
        <v>145</v>
      </c>
      <c r="T59">
        <f>IF((phi!T4),VLOOKUP(T$1,main!$A$3:$I$56,5,FALSE)-VLOOKUP($A59,main!$A$3:$I$56,6,FALSE)+main!$D$57,0)</f>
        <v>295</v>
      </c>
      <c r="U59">
        <f>IF((phi!U4),VLOOKUP(U$1,main!$A$3:$I$56,5,FALSE)-VLOOKUP($A59,main!$A$3:$I$56,6,FALSE)+main!$D$57,0)</f>
        <v>0</v>
      </c>
      <c r="V59">
        <f>IF((phi!V4),VLOOKUP(V$1,main!$A$3:$I$56,5,FALSE)-VLOOKUP($A59,main!$A$3:$I$56,6,FALSE)+main!$D$57,0)</f>
        <v>0</v>
      </c>
      <c r="W59">
        <f>IF((phi!W4),VLOOKUP(W$1,main!$A$3:$I$56,5,FALSE)-VLOOKUP($A59,main!$A$3:$I$56,6,FALSE)+main!$D$57,0)</f>
        <v>0</v>
      </c>
      <c r="X59">
        <f>IF((phi!X4),VLOOKUP(X$1,main!$A$3:$I$56,5,FALSE)-VLOOKUP($A59,main!$A$3:$I$56,6,FALSE)+main!$D$57,0)</f>
        <v>0</v>
      </c>
      <c r="Y59">
        <f>IF((phi!Y4),VLOOKUP(Y$1,main!$A$3:$I$56,5,FALSE)-VLOOKUP($A59,main!$A$3:$I$56,6,FALSE)+main!$D$57,0)</f>
        <v>0</v>
      </c>
      <c r="Z59">
        <f>IF((phi!Z4),VLOOKUP(Z$1,main!$A$3:$I$56,5,FALSE)-VLOOKUP($A59,main!$A$3:$I$56,6,FALSE)+main!$D$57,0)</f>
        <v>165</v>
      </c>
      <c r="AA59">
        <f>IF((phi!AA4),VLOOKUP(AA$1,main!$A$3:$I$56,5,FALSE)-VLOOKUP($A59,main!$A$3:$I$56,6,FALSE)+main!$D$57,0)</f>
        <v>255</v>
      </c>
      <c r="AB59">
        <f>IF((phi!AB4),VLOOKUP(AB$1,main!$A$3:$I$56,5,FALSE)-VLOOKUP($A59,main!$A$3:$I$56,6,FALSE)+main!$D$57,0)</f>
        <v>315</v>
      </c>
      <c r="AC59">
        <f>IF((phi!AC4),VLOOKUP(AC$1,main!$A$3:$I$56,5,FALSE)-VLOOKUP($A59,main!$A$3:$I$56,6,FALSE)+main!$D$57,0)</f>
        <v>0</v>
      </c>
      <c r="AD59">
        <f>IF((phi!AD4),VLOOKUP(AD$1,main!$A$3:$I$56,5,FALSE)-VLOOKUP($A59,main!$A$3:$I$56,6,FALSE)+main!$D$57,0)</f>
        <v>0</v>
      </c>
      <c r="AE59">
        <f>IF((phi!AE4),VLOOKUP(AE$1,main!$A$3:$I$56,5,FALSE)-VLOOKUP($A59,main!$A$3:$I$56,6,FALSE)+main!$D$57,0)</f>
        <v>0</v>
      </c>
      <c r="AF59">
        <f>IF((phi!AF4),VLOOKUP(AF$1,main!$A$3:$I$56,5,FALSE)-VLOOKUP($A59,main!$A$3:$I$56,6,FALSE)+main!$D$57,0)</f>
        <v>0</v>
      </c>
      <c r="AG59">
        <f>IF((phi!AG4),VLOOKUP(AG$1,main!$A$3:$I$56,5,FALSE)-VLOOKUP($A59,main!$A$3:$I$56,6,FALSE)+main!$D$57,0)</f>
        <v>0</v>
      </c>
      <c r="AH59">
        <f>IF((phi!AH4),VLOOKUP(AH$1,main!$A$3:$I$56,5,FALSE)-VLOOKUP($A59,main!$A$3:$I$56,6,FALSE)+main!$D$57,0)</f>
        <v>0</v>
      </c>
      <c r="AI59">
        <f>IF((phi!AI4),VLOOKUP(AI$1,main!$A$3:$I$56,5,FALSE)-VLOOKUP($A59,main!$A$3:$I$56,6,FALSE)+main!$D$57,0)</f>
        <v>0</v>
      </c>
      <c r="AJ59">
        <f>IF((phi!AJ4),VLOOKUP(AJ$1,main!$A$3:$I$56,5,FALSE)-VLOOKUP($A59,main!$A$3:$I$56,6,FALSE)+main!$D$57,0)</f>
        <v>0</v>
      </c>
      <c r="AK59">
        <f>IF((phi!AK4),VLOOKUP(AK$1,main!$A$3:$I$56,5,FALSE)-VLOOKUP($A59,main!$A$3:$I$56,6,FALSE)+main!$D$57,0)</f>
        <v>215</v>
      </c>
      <c r="AL59">
        <f>IF((phi!AL4),VLOOKUP(AL$1,main!$A$3:$I$56,5,FALSE)-VLOOKUP($A59,main!$A$3:$I$56,6,FALSE)+main!$D$57,0)</f>
        <v>0</v>
      </c>
      <c r="AM59">
        <f>IF((phi!AM4),VLOOKUP(AM$1,main!$A$3:$I$56,5,FALSE)-VLOOKUP($A59,main!$A$3:$I$56,6,FALSE)+main!$D$57,0)</f>
        <v>0</v>
      </c>
      <c r="AN59">
        <f>IF((phi!AN4),VLOOKUP(AN$1,main!$A$3:$I$56,5,FALSE)-VLOOKUP($A59,main!$A$3:$I$56,6,FALSE)+main!$D$57,0)</f>
        <v>0</v>
      </c>
      <c r="AO59">
        <f>IF((phi!AO4),VLOOKUP(AO$1,main!$A$3:$I$56,5,FALSE)-VLOOKUP($A59,main!$A$3:$I$56,6,FALSE)+main!$D$57,0)</f>
        <v>0</v>
      </c>
      <c r="AP59">
        <f>IF((phi!AP4),VLOOKUP(AP$1,main!$A$3:$I$56,5,FALSE)-VLOOKUP($A59,main!$A$3:$I$56,6,FALSE)+main!$D$57,0)</f>
        <v>0</v>
      </c>
      <c r="AQ59">
        <f>IF((phi!AQ4),VLOOKUP(AQ$1,main!$A$3:$I$56,5,FALSE)-VLOOKUP($A59,main!$A$3:$I$56,6,FALSE)+main!$D$57,0)</f>
        <v>0</v>
      </c>
      <c r="AR59">
        <f>IF((phi!AR4),VLOOKUP(AR$1,main!$A$3:$I$56,5,FALSE)-VLOOKUP($A59,main!$A$3:$I$56,6,FALSE)+main!$D$57,0)</f>
        <v>0</v>
      </c>
      <c r="AS59">
        <f>IF((phi!AS4),VLOOKUP(AS$1,main!$A$3:$I$56,5,FALSE)-VLOOKUP($A59,main!$A$3:$I$56,6,FALSE)+main!$D$57,0)</f>
        <v>0</v>
      </c>
      <c r="AT59">
        <f>IF((phi!AT4),VLOOKUP(AT$1,main!$A$3:$I$56,5,FALSE)-VLOOKUP($A59,main!$A$3:$I$56,6,FALSE)+main!$D$57,0)</f>
        <v>0</v>
      </c>
      <c r="AU59">
        <f>IF((phi!AU4),VLOOKUP(AU$1,main!$A$3:$I$56,5,FALSE)-VLOOKUP($A59,main!$A$3:$I$56,6,FALSE)+main!$D$57,0)</f>
        <v>0</v>
      </c>
      <c r="AV59">
        <f>IF((phi!AV4),VLOOKUP(AV$1,main!$A$3:$I$56,5,FALSE)-VLOOKUP($A59,main!$A$3:$I$56,6,FALSE)+main!$D$57,0)</f>
        <v>0</v>
      </c>
      <c r="AW59">
        <f>IF((phi!AW4),VLOOKUP(AW$1,main!$A$3:$I$56,5,FALSE)-VLOOKUP($A59,main!$A$3:$I$56,6,FALSE)+main!$D$57,0)</f>
        <v>0</v>
      </c>
      <c r="AX59">
        <f>IF((phi!AX4),VLOOKUP(AX$1,main!$A$3:$I$56,5,FALSE)-VLOOKUP($A59,main!$A$3:$I$56,6,FALSE)+main!$D$57,0)</f>
        <v>175</v>
      </c>
      <c r="AY59">
        <f>IF((phi!AY4),VLOOKUP(AY$1,main!$A$3:$I$56,5,FALSE)-VLOOKUP($A59,main!$A$3:$I$56,6,FALSE)+main!$D$57,0)</f>
        <v>375</v>
      </c>
      <c r="AZ59">
        <f>IF((phi!AZ4),VLOOKUP(AZ$1,main!$A$3:$I$56,5,FALSE)-VLOOKUP($A59,main!$A$3:$I$56,6,FALSE)+main!$D$57,0)</f>
        <v>0</v>
      </c>
      <c r="BA59">
        <f>IF((phi!BA4),VLOOKUP(BA$1,main!$A$3:$I$56,5,FALSE)-VLOOKUP($A59,main!$A$3:$I$56,6,FALSE)+main!$D$57,0)</f>
        <v>0</v>
      </c>
      <c r="BB59">
        <f>IF((phi!BB4),VLOOKUP(BB$1,main!$A$3:$I$56,5,FALSE)-VLOOKUP($A59,main!$A$3:$I$56,6,FALSE)+main!$D$57,0)</f>
        <v>0</v>
      </c>
      <c r="BC59">
        <f>IF((phi!BC4),VLOOKUP(BC$1,main!$A$3:$I$56,5,FALSE)-VLOOKUP($A59,main!$A$3:$I$56,6,FALSE)+main!$D$57,0)</f>
        <v>140</v>
      </c>
      <c r="BD59">
        <f>IF((phi!BD4),VLOOKUP(BD$1,main!$A$3:$I$56,5,FALSE)-VLOOKUP($A59,main!$A$3:$I$56,6,FALSE)+main!$D$57,0)</f>
        <v>150</v>
      </c>
    </row>
    <row r="60" spans="1:56" x14ac:dyDescent="0.25">
      <c r="A60">
        <f t="shared" si="3"/>
        <v>3</v>
      </c>
      <c r="B60">
        <v>0</v>
      </c>
      <c r="C60">
        <f>IF((phi!C5),VLOOKUP(C$1,main!$A$3:$I$56,5,FALSE)-VLOOKUP($A60,main!$A$3:$I$56,6,FALSE)+main!$D$57,0)</f>
        <v>0</v>
      </c>
      <c r="D60">
        <f>IF((phi!D5),VLOOKUP(D$1,main!$A$3:$I$56,5,FALSE)-VLOOKUP($A60,main!$A$3:$I$56,6,FALSE)+main!$D$57,0)</f>
        <v>0</v>
      </c>
      <c r="E60">
        <f>IF((phi!E5),VLOOKUP(E$1,main!$A$3:$I$56,5,FALSE)-VLOOKUP($A60,main!$A$3:$I$56,6,FALSE)+main!$D$57,0)</f>
        <v>0</v>
      </c>
      <c r="F60">
        <f>IF((phi!F5),VLOOKUP(F$1,main!$A$3:$I$56,5,FALSE)-VLOOKUP($A60,main!$A$3:$I$56,6,FALSE)+main!$D$57,0)</f>
        <v>0</v>
      </c>
      <c r="G60">
        <f>IF((phi!G5),VLOOKUP(G$1,main!$A$3:$I$56,5,FALSE)-VLOOKUP($A60,main!$A$3:$I$56,6,FALSE)+main!$D$57,0)</f>
        <v>0</v>
      </c>
      <c r="H60">
        <f>IF((phi!H5),VLOOKUP(H$1,main!$A$3:$I$56,5,FALSE)-VLOOKUP($A60,main!$A$3:$I$56,6,FALSE)+main!$D$57,0)</f>
        <v>0</v>
      </c>
      <c r="I60">
        <f>IF((phi!I5),VLOOKUP(I$1,main!$A$3:$I$56,5,FALSE)-VLOOKUP($A60,main!$A$3:$I$56,6,FALSE)+main!$D$57,0)</f>
        <v>185</v>
      </c>
      <c r="J60">
        <f>IF((phi!J5),VLOOKUP(J$1,main!$A$3:$I$56,5,FALSE)-VLOOKUP($A60,main!$A$3:$I$56,6,FALSE)+main!$D$57,0)</f>
        <v>275</v>
      </c>
      <c r="K60">
        <f>IF((phi!K5),VLOOKUP(K$1,main!$A$3:$I$56,5,FALSE)-VLOOKUP($A60,main!$A$3:$I$56,6,FALSE)+main!$D$57,0)</f>
        <v>0</v>
      </c>
      <c r="L60">
        <f>IF((phi!L5),VLOOKUP(L$1,main!$A$3:$I$56,5,FALSE)-VLOOKUP($A60,main!$A$3:$I$56,6,FALSE)+main!$D$57,0)</f>
        <v>0</v>
      </c>
      <c r="M60">
        <f>IF((phi!M5),VLOOKUP(M$1,main!$A$3:$I$56,5,FALSE)-VLOOKUP($A60,main!$A$3:$I$56,6,FALSE)+main!$D$57,0)</f>
        <v>0</v>
      </c>
      <c r="N60">
        <f>IF((phi!N5),VLOOKUP(N$1,main!$A$3:$I$56,5,FALSE)-VLOOKUP($A60,main!$A$3:$I$56,6,FALSE)+main!$D$57,0)</f>
        <v>240</v>
      </c>
      <c r="O60">
        <f>IF((phi!O5),VLOOKUP(O$1,main!$A$3:$I$56,5,FALSE)-VLOOKUP($A60,main!$A$3:$I$56,6,FALSE)+main!$D$57,0)</f>
        <v>300</v>
      </c>
      <c r="P60">
        <f>IF((phi!P5),VLOOKUP(P$1,main!$A$3:$I$56,5,FALSE)-VLOOKUP($A60,main!$A$3:$I$56,6,FALSE)+main!$D$57,0)</f>
        <v>0</v>
      </c>
      <c r="Q60">
        <f>IF((phi!Q5),VLOOKUP(Q$1,main!$A$3:$I$56,5,FALSE)-VLOOKUP($A60,main!$A$3:$I$56,6,FALSE)+main!$D$57,0)</f>
        <v>0</v>
      </c>
      <c r="R60">
        <f>IF((phi!R5),VLOOKUP(R$1,main!$A$3:$I$56,5,FALSE)-VLOOKUP($A60,main!$A$3:$I$56,6,FALSE)+main!$D$57,0)</f>
        <v>0</v>
      </c>
      <c r="S60">
        <f>IF((phi!S5),VLOOKUP(S$1,main!$A$3:$I$56,5,FALSE)-VLOOKUP($A60,main!$A$3:$I$56,6,FALSE)+main!$D$57,0)</f>
        <v>0</v>
      </c>
      <c r="T60">
        <f>IF((phi!T5),VLOOKUP(T$1,main!$A$3:$I$56,5,FALSE)-VLOOKUP($A60,main!$A$3:$I$56,6,FALSE)+main!$D$57,0)</f>
        <v>205</v>
      </c>
      <c r="U60">
        <f>IF((phi!U5),VLOOKUP(U$1,main!$A$3:$I$56,5,FALSE)-VLOOKUP($A60,main!$A$3:$I$56,6,FALSE)+main!$D$57,0)</f>
        <v>0</v>
      </c>
      <c r="V60">
        <f>IF((phi!V5),VLOOKUP(V$1,main!$A$3:$I$56,5,FALSE)-VLOOKUP($A60,main!$A$3:$I$56,6,FALSE)+main!$D$57,0)</f>
        <v>0</v>
      </c>
      <c r="W60">
        <f>IF((phi!W5),VLOOKUP(W$1,main!$A$3:$I$56,5,FALSE)-VLOOKUP($A60,main!$A$3:$I$56,6,FALSE)+main!$D$57,0)</f>
        <v>0</v>
      </c>
      <c r="X60">
        <f>IF((phi!X5),VLOOKUP(X$1,main!$A$3:$I$56,5,FALSE)-VLOOKUP($A60,main!$A$3:$I$56,6,FALSE)+main!$D$57,0)</f>
        <v>0</v>
      </c>
      <c r="Y60">
        <f>IF((phi!Y5),VLOOKUP(Y$1,main!$A$3:$I$56,5,FALSE)-VLOOKUP($A60,main!$A$3:$I$56,6,FALSE)+main!$D$57,0)</f>
        <v>0</v>
      </c>
      <c r="Z60">
        <f>IF((phi!Z5),VLOOKUP(Z$1,main!$A$3:$I$56,5,FALSE)-VLOOKUP($A60,main!$A$3:$I$56,6,FALSE)+main!$D$57,0)</f>
        <v>0</v>
      </c>
      <c r="AA60">
        <f>IF((phi!AA5),VLOOKUP(AA$1,main!$A$3:$I$56,5,FALSE)-VLOOKUP($A60,main!$A$3:$I$56,6,FALSE)+main!$D$57,0)</f>
        <v>165</v>
      </c>
      <c r="AB60">
        <f>IF((phi!AB5),VLOOKUP(AB$1,main!$A$3:$I$56,5,FALSE)-VLOOKUP($A60,main!$A$3:$I$56,6,FALSE)+main!$D$57,0)</f>
        <v>225</v>
      </c>
      <c r="AC60">
        <f>IF((phi!AC5),VLOOKUP(AC$1,main!$A$3:$I$56,5,FALSE)-VLOOKUP($A60,main!$A$3:$I$56,6,FALSE)+main!$D$57,0)</f>
        <v>0</v>
      </c>
      <c r="AD60">
        <f>IF((phi!AD5),VLOOKUP(AD$1,main!$A$3:$I$56,5,FALSE)-VLOOKUP($A60,main!$A$3:$I$56,6,FALSE)+main!$D$57,0)</f>
        <v>0</v>
      </c>
      <c r="AE60">
        <f>IF((phi!AE5),VLOOKUP(AE$1,main!$A$3:$I$56,5,FALSE)-VLOOKUP($A60,main!$A$3:$I$56,6,FALSE)+main!$D$57,0)</f>
        <v>0</v>
      </c>
      <c r="AF60">
        <f>IF((phi!AF5),VLOOKUP(AF$1,main!$A$3:$I$56,5,FALSE)-VLOOKUP($A60,main!$A$3:$I$56,6,FALSE)+main!$D$57,0)</f>
        <v>0</v>
      </c>
      <c r="AG60">
        <f>IF((phi!AG5),VLOOKUP(AG$1,main!$A$3:$I$56,5,FALSE)-VLOOKUP($A60,main!$A$3:$I$56,6,FALSE)+main!$D$57,0)</f>
        <v>0</v>
      </c>
      <c r="AH60">
        <f>IF((phi!AH5),VLOOKUP(AH$1,main!$A$3:$I$56,5,FALSE)-VLOOKUP($A60,main!$A$3:$I$56,6,FALSE)+main!$D$57,0)</f>
        <v>0</v>
      </c>
      <c r="AI60">
        <f>IF((phi!AI5),VLOOKUP(AI$1,main!$A$3:$I$56,5,FALSE)-VLOOKUP($A60,main!$A$3:$I$56,6,FALSE)+main!$D$57,0)</f>
        <v>0</v>
      </c>
      <c r="AJ60">
        <f>IF((phi!AJ5),VLOOKUP(AJ$1,main!$A$3:$I$56,5,FALSE)-VLOOKUP($A60,main!$A$3:$I$56,6,FALSE)+main!$D$57,0)</f>
        <v>0</v>
      </c>
      <c r="AK60">
        <f>IF((phi!AK5),VLOOKUP(AK$1,main!$A$3:$I$56,5,FALSE)-VLOOKUP($A60,main!$A$3:$I$56,6,FALSE)+main!$D$57,0)</f>
        <v>0</v>
      </c>
      <c r="AL60">
        <f>IF((phi!AL5),VLOOKUP(AL$1,main!$A$3:$I$56,5,FALSE)-VLOOKUP($A60,main!$A$3:$I$56,6,FALSE)+main!$D$57,0)</f>
        <v>0</v>
      </c>
      <c r="AM60">
        <f>IF((phi!AM5),VLOOKUP(AM$1,main!$A$3:$I$56,5,FALSE)-VLOOKUP($A60,main!$A$3:$I$56,6,FALSE)+main!$D$57,0)</f>
        <v>0</v>
      </c>
      <c r="AN60">
        <f>IF((phi!AN5),VLOOKUP(AN$1,main!$A$3:$I$56,5,FALSE)-VLOOKUP($A60,main!$A$3:$I$56,6,FALSE)+main!$D$57,0)</f>
        <v>0</v>
      </c>
      <c r="AO60">
        <f>IF((phi!AO5),VLOOKUP(AO$1,main!$A$3:$I$56,5,FALSE)-VLOOKUP($A60,main!$A$3:$I$56,6,FALSE)+main!$D$57,0)</f>
        <v>0</v>
      </c>
      <c r="AP60">
        <f>IF((phi!AP5),VLOOKUP(AP$1,main!$A$3:$I$56,5,FALSE)-VLOOKUP($A60,main!$A$3:$I$56,6,FALSE)+main!$D$57,0)</f>
        <v>0</v>
      </c>
      <c r="AQ60">
        <f>IF((phi!AQ5),VLOOKUP(AQ$1,main!$A$3:$I$56,5,FALSE)-VLOOKUP($A60,main!$A$3:$I$56,6,FALSE)+main!$D$57,0)</f>
        <v>0</v>
      </c>
      <c r="AR60">
        <f>IF((phi!AR5),VLOOKUP(AR$1,main!$A$3:$I$56,5,FALSE)-VLOOKUP($A60,main!$A$3:$I$56,6,FALSE)+main!$D$57,0)</f>
        <v>0</v>
      </c>
      <c r="AS60">
        <f>IF((phi!AS5),VLOOKUP(AS$1,main!$A$3:$I$56,5,FALSE)-VLOOKUP($A60,main!$A$3:$I$56,6,FALSE)+main!$D$57,0)</f>
        <v>0</v>
      </c>
      <c r="AT60">
        <f>IF((phi!AT5),VLOOKUP(AT$1,main!$A$3:$I$56,5,FALSE)-VLOOKUP($A60,main!$A$3:$I$56,6,FALSE)+main!$D$57,0)</f>
        <v>0</v>
      </c>
      <c r="AU60">
        <f>IF((phi!AU5),VLOOKUP(AU$1,main!$A$3:$I$56,5,FALSE)-VLOOKUP($A60,main!$A$3:$I$56,6,FALSE)+main!$D$57,0)</f>
        <v>0</v>
      </c>
      <c r="AV60">
        <f>IF((phi!AV5),VLOOKUP(AV$1,main!$A$3:$I$56,5,FALSE)-VLOOKUP($A60,main!$A$3:$I$56,6,FALSE)+main!$D$57,0)</f>
        <v>0</v>
      </c>
      <c r="AW60">
        <f>IF((phi!AW5),VLOOKUP(AW$1,main!$A$3:$I$56,5,FALSE)-VLOOKUP($A60,main!$A$3:$I$56,6,FALSE)+main!$D$57,0)</f>
        <v>0</v>
      </c>
      <c r="AX60">
        <f>IF((phi!AX5),VLOOKUP(AX$1,main!$A$3:$I$56,5,FALSE)-VLOOKUP($A60,main!$A$3:$I$56,6,FALSE)+main!$D$57,0)</f>
        <v>0</v>
      </c>
      <c r="AY60">
        <f>IF((phi!AY5),VLOOKUP(AY$1,main!$A$3:$I$56,5,FALSE)-VLOOKUP($A60,main!$A$3:$I$56,6,FALSE)+main!$D$57,0)</f>
        <v>285</v>
      </c>
      <c r="AZ60">
        <f>IF((phi!AZ5),VLOOKUP(AZ$1,main!$A$3:$I$56,5,FALSE)-VLOOKUP($A60,main!$A$3:$I$56,6,FALSE)+main!$D$57,0)</f>
        <v>0</v>
      </c>
      <c r="BA60">
        <f>IF((phi!BA5),VLOOKUP(BA$1,main!$A$3:$I$56,5,FALSE)-VLOOKUP($A60,main!$A$3:$I$56,6,FALSE)+main!$D$57,0)</f>
        <v>0</v>
      </c>
      <c r="BB60">
        <f>IF((phi!BB5),VLOOKUP(BB$1,main!$A$3:$I$56,5,FALSE)-VLOOKUP($A60,main!$A$3:$I$56,6,FALSE)+main!$D$57,0)</f>
        <v>0</v>
      </c>
      <c r="BC60">
        <f>IF((phi!BC5),VLOOKUP(BC$1,main!$A$3:$I$56,5,FALSE)-VLOOKUP($A60,main!$A$3:$I$56,6,FALSE)+main!$D$57,0)</f>
        <v>0</v>
      </c>
      <c r="BD60">
        <f>IF((phi!BD5),VLOOKUP(BD$1,main!$A$3:$I$56,5,FALSE)-VLOOKUP($A60,main!$A$3:$I$56,6,FALSE)+main!$D$57,0)</f>
        <v>0</v>
      </c>
    </row>
    <row r="61" spans="1:56" x14ac:dyDescent="0.25">
      <c r="A61">
        <f t="shared" si="3"/>
        <v>4</v>
      </c>
      <c r="B61">
        <v>0</v>
      </c>
      <c r="C61">
        <f>IF((phi!C6),VLOOKUP(C$1,main!$A$3:$I$56,5,FALSE)-VLOOKUP($A61,main!$A$3:$I$56,6,FALSE)+main!$D$57,0)</f>
        <v>0</v>
      </c>
      <c r="D61">
        <f>IF((phi!D6),VLOOKUP(D$1,main!$A$3:$I$56,5,FALSE)-VLOOKUP($A61,main!$A$3:$I$56,6,FALSE)+main!$D$57,0)</f>
        <v>0</v>
      </c>
      <c r="E61">
        <f>IF((phi!E6),VLOOKUP(E$1,main!$A$3:$I$56,5,FALSE)-VLOOKUP($A61,main!$A$3:$I$56,6,FALSE)+main!$D$57,0)</f>
        <v>0</v>
      </c>
      <c r="F61">
        <f>IF((phi!F6),VLOOKUP(F$1,main!$A$3:$I$56,5,FALSE)-VLOOKUP($A61,main!$A$3:$I$56,6,FALSE)+main!$D$57,0)</f>
        <v>0</v>
      </c>
      <c r="G61">
        <f>IF((phi!G6),VLOOKUP(G$1,main!$A$3:$I$56,5,FALSE)-VLOOKUP($A61,main!$A$3:$I$56,6,FALSE)+main!$D$57,0)</f>
        <v>0</v>
      </c>
      <c r="H61">
        <f>IF((phi!H6),VLOOKUP(H$1,main!$A$3:$I$56,5,FALSE)-VLOOKUP($A61,main!$A$3:$I$56,6,FALSE)+main!$D$57,0)</f>
        <v>0</v>
      </c>
      <c r="I61">
        <f>IF((phi!I6),VLOOKUP(I$1,main!$A$3:$I$56,5,FALSE)-VLOOKUP($A61,main!$A$3:$I$56,6,FALSE)+main!$D$57,0)</f>
        <v>0</v>
      </c>
      <c r="J61">
        <f>IF((phi!J6),VLOOKUP(J$1,main!$A$3:$I$56,5,FALSE)-VLOOKUP($A61,main!$A$3:$I$56,6,FALSE)+main!$D$57,0)</f>
        <v>185</v>
      </c>
      <c r="K61">
        <f>IF((phi!K6),VLOOKUP(K$1,main!$A$3:$I$56,5,FALSE)-VLOOKUP($A61,main!$A$3:$I$56,6,FALSE)+main!$D$57,0)</f>
        <v>0</v>
      </c>
      <c r="L61">
        <f>IF((phi!L6),VLOOKUP(L$1,main!$A$3:$I$56,5,FALSE)-VLOOKUP($A61,main!$A$3:$I$56,6,FALSE)+main!$D$57,0)</f>
        <v>0</v>
      </c>
      <c r="M61">
        <f>IF((phi!M6),VLOOKUP(M$1,main!$A$3:$I$56,5,FALSE)-VLOOKUP($A61,main!$A$3:$I$56,6,FALSE)+main!$D$57,0)</f>
        <v>0</v>
      </c>
      <c r="N61">
        <f>IF((phi!N6),VLOOKUP(N$1,main!$A$3:$I$56,5,FALSE)-VLOOKUP($A61,main!$A$3:$I$56,6,FALSE)+main!$D$57,0)</f>
        <v>150</v>
      </c>
      <c r="O61">
        <f>IF((phi!O6),VLOOKUP(O$1,main!$A$3:$I$56,5,FALSE)-VLOOKUP($A61,main!$A$3:$I$56,6,FALSE)+main!$D$57,0)</f>
        <v>210</v>
      </c>
      <c r="P61">
        <f>IF((phi!P6),VLOOKUP(P$1,main!$A$3:$I$56,5,FALSE)-VLOOKUP($A61,main!$A$3:$I$56,6,FALSE)+main!$D$57,0)</f>
        <v>0</v>
      </c>
      <c r="Q61">
        <f>IF((phi!Q6),VLOOKUP(Q$1,main!$A$3:$I$56,5,FALSE)-VLOOKUP($A61,main!$A$3:$I$56,6,FALSE)+main!$D$57,0)</f>
        <v>0</v>
      </c>
      <c r="R61">
        <f>IF((phi!R6),VLOOKUP(R$1,main!$A$3:$I$56,5,FALSE)-VLOOKUP($A61,main!$A$3:$I$56,6,FALSE)+main!$D$57,0)</f>
        <v>0</v>
      </c>
      <c r="S61">
        <f>IF((phi!S6),VLOOKUP(S$1,main!$A$3:$I$56,5,FALSE)-VLOOKUP($A61,main!$A$3:$I$56,6,FALSE)+main!$D$57,0)</f>
        <v>0</v>
      </c>
      <c r="T61">
        <f>IF((phi!T6),VLOOKUP(T$1,main!$A$3:$I$56,5,FALSE)-VLOOKUP($A61,main!$A$3:$I$56,6,FALSE)+main!$D$57,0)</f>
        <v>0</v>
      </c>
      <c r="U61">
        <f>IF((phi!U6),VLOOKUP(U$1,main!$A$3:$I$56,5,FALSE)-VLOOKUP($A61,main!$A$3:$I$56,6,FALSE)+main!$D$57,0)</f>
        <v>0</v>
      </c>
      <c r="V61">
        <f>IF((phi!V6),VLOOKUP(V$1,main!$A$3:$I$56,5,FALSE)-VLOOKUP($A61,main!$A$3:$I$56,6,FALSE)+main!$D$57,0)</f>
        <v>0</v>
      </c>
      <c r="W61">
        <f>IF((phi!W6),VLOOKUP(W$1,main!$A$3:$I$56,5,FALSE)-VLOOKUP($A61,main!$A$3:$I$56,6,FALSE)+main!$D$57,0)</f>
        <v>0</v>
      </c>
      <c r="X61">
        <f>IF((phi!X6),VLOOKUP(X$1,main!$A$3:$I$56,5,FALSE)-VLOOKUP($A61,main!$A$3:$I$56,6,FALSE)+main!$D$57,0)</f>
        <v>0</v>
      </c>
      <c r="Y61">
        <f>IF((phi!Y6),VLOOKUP(Y$1,main!$A$3:$I$56,5,FALSE)-VLOOKUP($A61,main!$A$3:$I$56,6,FALSE)+main!$D$57,0)</f>
        <v>0</v>
      </c>
      <c r="Z61">
        <f>IF((phi!Z6),VLOOKUP(Z$1,main!$A$3:$I$56,5,FALSE)-VLOOKUP($A61,main!$A$3:$I$56,6,FALSE)+main!$D$57,0)</f>
        <v>0</v>
      </c>
      <c r="AA61">
        <f>IF((phi!AA6),VLOOKUP(AA$1,main!$A$3:$I$56,5,FALSE)-VLOOKUP($A61,main!$A$3:$I$56,6,FALSE)+main!$D$57,0)</f>
        <v>0</v>
      </c>
      <c r="AB61">
        <f>IF((phi!AB6),VLOOKUP(AB$1,main!$A$3:$I$56,5,FALSE)-VLOOKUP($A61,main!$A$3:$I$56,6,FALSE)+main!$D$57,0)</f>
        <v>135</v>
      </c>
      <c r="AC61">
        <f>IF((phi!AC6),VLOOKUP(AC$1,main!$A$3:$I$56,5,FALSE)-VLOOKUP($A61,main!$A$3:$I$56,6,FALSE)+main!$D$57,0)</f>
        <v>0</v>
      </c>
      <c r="AD61">
        <f>IF((phi!AD6),VLOOKUP(AD$1,main!$A$3:$I$56,5,FALSE)-VLOOKUP($A61,main!$A$3:$I$56,6,FALSE)+main!$D$57,0)</f>
        <v>0</v>
      </c>
      <c r="AE61">
        <f>IF((phi!AE6),VLOOKUP(AE$1,main!$A$3:$I$56,5,FALSE)-VLOOKUP($A61,main!$A$3:$I$56,6,FALSE)+main!$D$57,0)</f>
        <v>0</v>
      </c>
      <c r="AF61">
        <f>IF((phi!AF6),VLOOKUP(AF$1,main!$A$3:$I$56,5,FALSE)-VLOOKUP($A61,main!$A$3:$I$56,6,FALSE)+main!$D$57,0)</f>
        <v>0</v>
      </c>
      <c r="AG61">
        <f>IF((phi!AG6),VLOOKUP(AG$1,main!$A$3:$I$56,5,FALSE)-VLOOKUP($A61,main!$A$3:$I$56,6,FALSE)+main!$D$57,0)</f>
        <v>0</v>
      </c>
      <c r="AH61">
        <f>IF((phi!AH6),VLOOKUP(AH$1,main!$A$3:$I$56,5,FALSE)-VLOOKUP($A61,main!$A$3:$I$56,6,FALSE)+main!$D$57,0)</f>
        <v>0</v>
      </c>
      <c r="AI61">
        <f>IF((phi!AI6),VLOOKUP(AI$1,main!$A$3:$I$56,5,FALSE)-VLOOKUP($A61,main!$A$3:$I$56,6,FALSE)+main!$D$57,0)</f>
        <v>0</v>
      </c>
      <c r="AJ61">
        <f>IF((phi!AJ6),VLOOKUP(AJ$1,main!$A$3:$I$56,5,FALSE)-VLOOKUP($A61,main!$A$3:$I$56,6,FALSE)+main!$D$57,0)</f>
        <v>0</v>
      </c>
      <c r="AK61">
        <f>IF((phi!AK6),VLOOKUP(AK$1,main!$A$3:$I$56,5,FALSE)-VLOOKUP($A61,main!$A$3:$I$56,6,FALSE)+main!$D$57,0)</f>
        <v>0</v>
      </c>
      <c r="AL61">
        <f>IF((phi!AL6),VLOOKUP(AL$1,main!$A$3:$I$56,5,FALSE)-VLOOKUP($A61,main!$A$3:$I$56,6,FALSE)+main!$D$57,0)</f>
        <v>0</v>
      </c>
      <c r="AM61">
        <f>IF((phi!AM6),VLOOKUP(AM$1,main!$A$3:$I$56,5,FALSE)-VLOOKUP($A61,main!$A$3:$I$56,6,FALSE)+main!$D$57,0)</f>
        <v>0</v>
      </c>
      <c r="AN61">
        <f>IF((phi!AN6),VLOOKUP(AN$1,main!$A$3:$I$56,5,FALSE)-VLOOKUP($A61,main!$A$3:$I$56,6,FALSE)+main!$D$57,0)</f>
        <v>0</v>
      </c>
      <c r="AO61">
        <f>IF((phi!AO6),VLOOKUP(AO$1,main!$A$3:$I$56,5,FALSE)-VLOOKUP($A61,main!$A$3:$I$56,6,FALSE)+main!$D$57,0)</f>
        <v>0</v>
      </c>
      <c r="AP61">
        <f>IF((phi!AP6),VLOOKUP(AP$1,main!$A$3:$I$56,5,FALSE)-VLOOKUP($A61,main!$A$3:$I$56,6,FALSE)+main!$D$57,0)</f>
        <v>0</v>
      </c>
      <c r="AQ61">
        <f>IF((phi!AQ6),VLOOKUP(AQ$1,main!$A$3:$I$56,5,FALSE)-VLOOKUP($A61,main!$A$3:$I$56,6,FALSE)+main!$D$57,0)</f>
        <v>0</v>
      </c>
      <c r="AR61">
        <f>IF((phi!AR6),VLOOKUP(AR$1,main!$A$3:$I$56,5,FALSE)-VLOOKUP($A61,main!$A$3:$I$56,6,FALSE)+main!$D$57,0)</f>
        <v>0</v>
      </c>
      <c r="AS61">
        <f>IF((phi!AS6),VLOOKUP(AS$1,main!$A$3:$I$56,5,FALSE)-VLOOKUP($A61,main!$A$3:$I$56,6,FALSE)+main!$D$57,0)</f>
        <v>0</v>
      </c>
      <c r="AT61">
        <f>IF((phi!AT6),VLOOKUP(AT$1,main!$A$3:$I$56,5,FALSE)-VLOOKUP($A61,main!$A$3:$I$56,6,FALSE)+main!$D$57,0)</f>
        <v>0</v>
      </c>
      <c r="AU61">
        <f>IF((phi!AU6),VLOOKUP(AU$1,main!$A$3:$I$56,5,FALSE)-VLOOKUP($A61,main!$A$3:$I$56,6,FALSE)+main!$D$57,0)</f>
        <v>0</v>
      </c>
      <c r="AV61">
        <f>IF((phi!AV6),VLOOKUP(AV$1,main!$A$3:$I$56,5,FALSE)-VLOOKUP($A61,main!$A$3:$I$56,6,FALSE)+main!$D$57,0)</f>
        <v>0</v>
      </c>
      <c r="AW61">
        <f>IF((phi!AW6),VLOOKUP(AW$1,main!$A$3:$I$56,5,FALSE)-VLOOKUP($A61,main!$A$3:$I$56,6,FALSE)+main!$D$57,0)</f>
        <v>0</v>
      </c>
      <c r="AX61">
        <f>IF((phi!AX6),VLOOKUP(AX$1,main!$A$3:$I$56,5,FALSE)-VLOOKUP($A61,main!$A$3:$I$56,6,FALSE)+main!$D$57,0)</f>
        <v>0</v>
      </c>
      <c r="AY61">
        <f>IF((phi!AY6),VLOOKUP(AY$1,main!$A$3:$I$56,5,FALSE)-VLOOKUP($A61,main!$A$3:$I$56,6,FALSE)+main!$D$57,0)</f>
        <v>195</v>
      </c>
      <c r="AZ61">
        <f>IF((phi!AZ6),VLOOKUP(AZ$1,main!$A$3:$I$56,5,FALSE)-VLOOKUP($A61,main!$A$3:$I$56,6,FALSE)+main!$D$57,0)</f>
        <v>0</v>
      </c>
      <c r="BA61">
        <f>IF((phi!BA6),VLOOKUP(BA$1,main!$A$3:$I$56,5,FALSE)-VLOOKUP($A61,main!$A$3:$I$56,6,FALSE)+main!$D$57,0)</f>
        <v>0</v>
      </c>
      <c r="BB61">
        <f>IF((phi!BB6),VLOOKUP(BB$1,main!$A$3:$I$56,5,FALSE)-VLOOKUP($A61,main!$A$3:$I$56,6,FALSE)+main!$D$57,0)</f>
        <v>0</v>
      </c>
      <c r="BC61">
        <f>IF((phi!BC6),VLOOKUP(BC$1,main!$A$3:$I$56,5,FALSE)-VLOOKUP($A61,main!$A$3:$I$56,6,FALSE)+main!$D$57,0)</f>
        <v>0</v>
      </c>
      <c r="BD61">
        <f>IF((phi!BD6),VLOOKUP(BD$1,main!$A$3:$I$56,5,FALSE)-VLOOKUP($A61,main!$A$3:$I$56,6,FALSE)+main!$D$57,0)</f>
        <v>0</v>
      </c>
    </row>
    <row r="62" spans="1:56" x14ac:dyDescent="0.25">
      <c r="A62">
        <f t="shared" si="3"/>
        <v>5</v>
      </c>
      <c r="B62">
        <v>0</v>
      </c>
      <c r="C62">
        <f>IF((phi!C7),VLOOKUP(C$1,main!$A$3:$I$56,5,FALSE)-VLOOKUP($A62,main!$A$3:$I$56,6,FALSE)+main!$D$57,0)</f>
        <v>0</v>
      </c>
      <c r="D62">
        <f>IF((phi!D7),VLOOKUP(D$1,main!$A$3:$I$56,5,FALSE)-VLOOKUP($A62,main!$A$3:$I$56,6,FALSE)+main!$D$57,0)</f>
        <v>0</v>
      </c>
      <c r="E62">
        <f>IF((phi!E7),VLOOKUP(E$1,main!$A$3:$I$56,5,FALSE)-VLOOKUP($A62,main!$A$3:$I$56,6,FALSE)+main!$D$57,0)</f>
        <v>0</v>
      </c>
      <c r="F62">
        <f>IF((phi!F7),VLOOKUP(F$1,main!$A$3:$I$56,5,FALSE)-VLOOKUP($A62,main!$A$3:$I$56,6,FALSE)+main!$D$57,0)</f>
        <v>0</v>
      </c>
      <c r="G62">
        <f>IF((phi!G7),VLOOKUP(G$1,main!$A$3:$I$56,5,FALSE)-VLOOKUP($A62,main!$A$3:$I$56,6,FALSE)+main!$D$57,0)</f>
        <v>0</v>
      </c>
      <c r="H62">
        <f>IF((phi!H7),VLOOKUP(H$1,main!$A$3:$I$56,5,FALSE)-VLOOKUP($A62,main!$A$3:$I$56,6,FALSE)+main!$D$57,0)</f>
        <v>0</v>
      </c>
      <c r="I62">
        <f>IF((phi!I7),VLOOKUP(I$1,main!$A$3:$I$56,5,FALSE)-VLOOKUP($A62,main!$A$3:$I$56,6,FALSE)+main!$D$57,0)</f>
        <v>0</v>
      </c>
      <c r="J62">
        <f>IF((phi!J7),VLOOKUP(J$1,main!$A$3:$I$56,5,FALSE)-VLOOKUP($A62,main!$A$3:$I$56,6,FALSE)+main!$D$57,0)</f>
        <v>0</v>
      </c>
      <c r="K62">
        <f>IF((phi!K7),VLOOKUP(K$1,main!$A$3:$I$56,5,FALSE)-VLOOKUP($A62,main!$A$3:$I$56,6,FALSE)+main!$D$57,0)</f>
        <v>0</v>
      </c>
      <c r="L62">
        <f>IF((phi!L7),VLOOKUP(L$1,main!$A$3:$I$56,5,FALSE)-VLOOKUP($A62,main!$A$3:$I$56,6,FALSE)+main!$D$57,0)</f>
        <v>0</v>
      </c>
      <c r="M62">
        <f>IF((phi!M7),VLOOKUP(M$1,main!$A$3:$I$56,5,FALSE)-VLOOKUP($A62,main!$A$3:$I$56,6,FALSE)+main!$D$57,0)</f>
        <v>0</v>
      </c>
      <c r="N62">
        <f>IF((phi!N7),VLOOKUP(N$1,main!$A$3:$I$56,5,FALSE)-VLOOKUP($A62,main!$A$3:$I$56,6,FALSE)+main!$D$57,0)</f>
        <v>0</v>
      </c>
      <c r="O62">
        <f>IF((phi!O7),VLOOKUP(O$1,main!$A$3:$I$56,5,FALSE)-VLOOKUP($A62,main!$A$3:$I$56,6,FALSE)+main!$D$57,0)</f>
        <v>150</v>
      </c>
      <c r="P62">
        <f>IF((phi!P7),VLOOKUP(P$1,main!$A$3:$I$56,5,FALSE)-VLOOKUP($A62,main!$A$3:$I$56,6,FALSE)+main!$D$57,0)</f>
        <v>0</v>
      </c>
      <c r="Q62">
        <f>IF((phi!Q7),VLOOKUP(Q$1,main!$A$3:$I$56,5,FALSE)-VLOOKUP($A62,main!$A$3:$I$56,6,FALSE)+main!$D$57,0)</f>
        <v>0</v>
      </c>
      <c r="R62">
        <f>IF((phi!R7),VLOOKUP(R$1,main!$A$3:$I$56,5,FALSE)-VLOOKUP($A62,main!$A$3:$I$56,6,FALSE)+main!$D$57,0)</f>
        <v>0</v>
      </c>
      <c r="S62">
        <f>IF((phi!S7),VLOOKUP(S$1,main!$A$3:$I$56,5,FALSE)-VLOOKUP($A62,main!$A$3:$I$56,6,FALSE)+main!$D$57,0)</f>
        <v>0</v>
      </c>
      <c r="T62">
        <f>IF((phi!T7),VLOOKUP(T$1,main!$A$3:$I$56,5,FALSE)-VLOOKUP($A62,main!$A$3:$I$56,6,FALSE)+main!$D$57,0)</f>
        <v>0</v>
      </c>
      <c r="U62">
        <f>IF((phi!U7),VLOOKUP(U$1,main!$A$3:$I$56,5,FALSE)-VLOOKUP($A62,main!$A$3:$I$56,6,FALSE)+main!$D$57,0)</f>
        <v>0</v>
      </c>
      <c r="V62">
        <f>IF((phi!V7),VLOOKUP(V$1,main!$A$3:$I$56,5,FALSE)-VLOOKUP($A62,main!$A$3:$I$56,6,FALSE)+main!$D$57,0)</f>
        <v>0</v>
      </c>
      <c r="W62">
        <f>IF((phi!W7),VLOOKUP(W$1,main!$A$3:$I$56,5,FALSE)-VLOOKUP($A62,main!$A$3:$I$56,6,FALSE)+main!$D$57,0)</f>
        <v>0</v>
      </c>
      <c r="X62">
        <f>IF((phi!X7),VLOOKUP(X$1,main!$A$3:$I$56,5,FALSE)-VLOOKUP($A62,main!$A$3:$I$56,6,FALSE)+main!$D$57,0)</f>
        <v>0</v>
      </c>
      <c r="Y62">
        <f>IF((phi!Y7),VLOOKUP(Y$1,main!$A$3:$I$56,5,FALSE)-VLOOKUP($A62,main!$A$3:$I$56,6,FALSE)+main!$D$57,0)</f>
        <v>0</v>
      </c>
      <c r="Z62">
        <f>IF((phi!Z7),VLOOKUP(Z$1,main!$A$3:$I$56,5,FALSE)-VLOOKUP($A62,main!$A$3:$I$56,6,FALSE)+main!$D$57,0)</f>
        <v>0</v>
      </c>
      <c r="AA62">
        <f>IF((phi!AA7),VLOOKUP(AA$1,main!$A$3:$I$56,5,FALSE)-VLOOKUP($A62,main!$A$3:$I$56,6,FALSE)+main!$D$57,0)</f>
        <v>0</v>
      </c>
      <c r="AB62">
        <f>IF((phi!AB7),VLOOKUP(AB$1,main!$A$3:$I$56,5,FALSE)-VLOOKUP($A62,main!$A$3:$I$56,6,FALSE)+main!$D$57,0)</f>
        <v>0</v>
      </c>
      <c r="AC62">
        <f>IF((phi!AC7),VLOOKUP(AC$1,main!$A$3:$I$56,5,FALSE)-VLOOKUP($A62,main!$A$3:$I$56,6,FALSE)+main!$D$57,0)</f>
        <v>0</v>
      </c>
      <c r="AD62">
        <f>IF((phi!AD7),VLOOKUP(AD$1,main!$A$3:$I$56,5,FALSE)-VLOOKUP($A62,main!$A$3:$I$56,6,FALSE)+main!$D$57,0)</f>
        <v>0</v>
      </c>
      <c r="AE62">
        <f>IF((phi!AE7),VLOOKUP(AE$1,main!$A$3:$I$56,5,FALSE)-VLOOKUP($A62,main!$A$3:$I$56,6,FALSE)+main!$D$57,0)</f>
        <v>0</v>
      </c>
      <c r="AF62">
        <f>IF((phi!AF7),VLOOKUP(AF$1,main!$A$3:$I$56,5,FALSE)-VLOOKUP($A62,main!$A$3:$I$56,6,FALSE)+main!$D$57,0)</f>
        <v>0</v>
      </c>
      <c r="AG62">
        <f>IF((phi!AG7),VLOOKUP(AG$1,main!$A$3:$I$56,5,FALSE)-VLOOKUP($A62,main!$A$3:$I$56,6,FALSE)+main!$D$57,0)</f>
        <v>0</v>
      </c>
      <c r="AH62">
        <f>IF((phi!AH7),VLOOKUP(AH$1,main!$A$3:$I$56,5,FALSE)-VLOOKUP($A62,main!$A$3:$I$56,6,FALSE)+main!$D$57,0)</f>
        <v>0</v>
      </c>
      <c r="AI62">
        <f>IF((phi!AI7),VLOOKUP(AI$1,main!$A$3:$I$56,5,FALSE)-VLOOKUP($A62,main!$A$3:$I$56,6,FALSE)+main!$D$57,0)</f>
        <v>0</v>
      </c>
      <c r="AJ62">
        <f>IF((phi!AJ7),VLOOKUP(AJ$1,main!$A$3:$I$56,5,FALSE)-VLOOKUP($A62,main!$A$3:$I$56,6,FALSE)+main!$D$57,0)</f>
        <v>0</v>
      </c>
      <c r="AK62">
        <f>IF((phi!AK7),VLOOKUP(AK$1,main!$A$3:$I$56,5,FALSE)-VLOOKUP($A62,main!$A$3:$I$56,6,FALSE)+main!$D$57,0)</f>
        <v>0</v>
      </c>
      <c r="AL62">
        <f>IF((phi!AL7),VLOOKUP(AL$1,main!$A$3:$I$56,5,FALSE)-VLOOKUP($A62,main!$A$3:$I$56,6,FALSE)+main!$D$57,0)</f>
        <v>0</v>
      </c>
      <c r="AM62">
        <f>IF((phi!AM7),VLOOKUP(AM$1,main!$A$3:$I$56,5,FALSE)-VLOOKUP($A62,main!$A$3:$I$56,6,FALSE)+main!$D$57,0)</f>
        <v>0</v>
      </c>
      <c r="AN62">
        <f>IF((phi!AN7),VLOOKUP(AN$1,main!$A$3:$I$56,5,FALSE)-VLOOKUP($A62,main!$A$3:$I$56,6,FALSE)+main!$D$57,0)</f>
        <v>0</v>
      </c>
      <c r="AO62">
        <f>IF((phi!AO7),VLOOKUP(AO$1,main!$A$3:$I$56,5,FALSE)-VLOOKUP($A62,main!$A$3:$I$56,6,FALSE)+main!$D$57,0)</f>
        <v>0</v>
      </c>
      <c r="AP62">
        <f>IF((phi!AP7),VLOOKUP(AP$1,main!$A$3:$I$56,5,FALSE)-VLOOKUP($A62,main!$A$3:$I$56,6,FALSE)+main!$D$57,0)</f>
        <v>0</v>
      </c>
      <c r="AQ62">
        <f>IF((phi!AQ7),VLOOKUP(AQ$1,main!$A$3:$I$56,5,FALSE)-VLOOKUP($A62,main!$A$3:$I$56,6,FALSE)+main!$D$57,0)</f>
        <v>0</v>
      </c>
      <c r="AR62">
        <f>IF((phi!AR7),VLOOKUP(AR$1,main!$A$3:$I$56,5,FALSE)-VLOOKUP($A62,main!$A$3:$I$56,6,FALSE)+main!$D$57,0)</f>
        <v>0</v>
      </c>
      <c r="AS62">
        <f>IF((phi!AS7),VLOOKUP(AS$1,main!$A$3:$I$56,5,FALSE)-VLOOKUP($A62,main!$A$3:$I$56,6,FALSE)+main!$D$57,0)</f>
        <v>0</v>
      </c>
      <c r="AT62">
        <f>IF((phi!AT7),VLOOKUP(AT$1,main!$A$3:$I$56,5,FALSE)-VLOOKUP($A62,main!$A$3:$I$56,6,FALSE)+main!$D$57,0)</f>
        <v>0</v>
      </c>
      <c r="AU62">
        <f>IF((phi!AU7),VLOOKUP(AU$1,main!$A$3:$I$56,5,FALSE)-VLOOKUP($A62,main!$A$3:$I$56,6,FALSE)+main!$D$57,0)</f>
        <v>0</v>
      </c>
      <c r="AV62">
        <f>IF((phi!AV7),VLOOKUP(AV$1,main!$A$3:$I$56,5,FALSE)-VLOOKUP($A62,main!$A$3:$I$56,6,FALSE)+main!$D$57,0)</f>
        <v>0</v>
      </c>
      <c r="AW62">
        <f>IF((phi!AW7),VLOOKUP(AW$1,main!$A$3:$I$56,5,FALSE)-VLOOKUP($A62,main!$A$3:$I$56,6,FALSE)+main!$D$57,0)</f>
        <v>0</v>
      </c>
      <c r="AX62">
        <f>IF((phi!AX7),VLOOKUP(AX$1,main!$A$3:$I$56,5,FALSE)-VLOOKUP($A62,main!$A$3:$I$56,6,FALSE)+main!$D$57,0)</f>
        <v>0</v>
      </c>
      <c r="AY62">
        <f>IF((phi!AY7),VLOOKUP(AY$1,main!$A$3:$I$56,5,FALSE)-VLOOKUP($A62,main!$A$3:$I$56,6,FALSE)+main!$D$57,0)</f>
        <v>135</v>
      </c>
      <c r="AZ62">
        <f>IF((phi!AZ7),VLOOKUP(AZ$1,main!$A$3:$I$56,5,FALSE)-VLOOKUP($A62,main!$A$3:$I$56,6,FALSE)+main!$D$57,0)</f>
        <v>0</v>
      </c>
      <c r="BA62">
        <f>IF((phi!BA7),VLOOKUP(BA$1,main!$A$3:$I$56,5,FALSE)-VLOOKUP($A62,main!$A$3:$I$56,6,FALSE)+main!$D$57,0)</f>
        <v>0</v>
      </c>
      <c r="BB62">
        <f>IF((phi!BB7),VLOOKUP(BB$1,main!$A$3:$I$56,5,FALSE)-VLOOKUP($A62,main!$A$3:$I$56,6,FALSE)+main!$D$57,0)</f>
        <v>0</v>
      </c>
      <c r="BC62">
        <f>IF((phi!BC7),VLOOKUP(BC$1,main!$A$3:$I$56,5,FALSE)-VLOOKUP($A62,main!$A$3:$I$56,6,FALSE)+main!$D$57,0)</f>
        <v>0</v>
      </c>
      <c r="BD62">
        <f>IF((phi!BD7),VLOOKUP(BD$1,main!$A$3:$I$56,5,FALSE)-VLOOKUP($A62,main!$A$3:$I$56,6,FALSE)+main!$D$57,0)</f>
        <v>0</v>
      </c>
    </row>
    <row r="63" spans="1:56" x14ac:dyDescent="0.25">
      <c r="A63">
        <f t="shared" si="3"/>
        <v>6</v>
      </c>
      <c r="B63">
        <v>0</v>
      </c>
      <c r="C63">
        <f>IF((phi!C8),VLOOKUP(C$1,main!$A$3:$I$56,5,FALSE)-VLOOKUP($A63,main!$A$3:$I$56,6,FALSE)+main!$D$57,0)</f>
        <v>0</v>
      </c>
      <c r="D63">
        <f>IF((phi!D8),VLOOKUP(D$1,main!$A$3:$I$56,5,FALSE)-VLOOKUP($A63,main!$A$3:$I$56,6,FALSE)+main!$D$57,0)</f>
        <v>0</v>
      </c>
      <c r="E63">
        <f>IF((phi!E8),VLOOKUP(E$1,main!$A$3:$I$56,5,FALSE)-VLOOKUP($A63,main!$A$3:$I$56,6,FALSE)+main!$D$57,0)</f>
        <v>0</v>
      </c>
      <c r="F63">
        <f>IF((phi!F8),VLOOKUP(F$1,main!$A$3:$I$56,5,FALSE)-VLOOKUP($A63,main!$A$3:$I$56,6,FALSE)+main!$D$57,0)</f>
        <v>0</v>
      </c>
      <c r="G63">
        <f>IF((phi!G8),VLOOKUP(G$1,main!$A$3:$I$56,5,FALSE)-VLOOKUP($A63,main!$A$3:$I$56,6,FALSE)+main!$D$57,0)</f>
        <v>0</v>
      </c>
      <c r="H63">
        <f>IF((phi!H8),VLOOKUP(H$1,main!$A$3:$I$56,5,FALSE)-VLOOKUP($A63,main!$A$3:$I$56,6,FALSE)+main!$D$57,0)</f>
        <v>0</v>
      </c>
      <c r="I63">
        <f>IF((phi!I8),VLOOKUP(I$1,main!$A$3:$I$56,5,FALSE)-VLOOKUP($A63,main!$A$3:$I$56,6,FALSE)+main!$D$57,0)</f>
        <v>0</v>
      </c>
      <c r="J63">
        <f>IF((phi!J8),VLOOKUP(J$1,main!$A$3:$I$56,5,FALSE)-VLOOKUP($A63,main!$A$3:$I$56,6,FALSE)+main!$D$57,0)</f>
        <v>0</v>
      </c>
      <c r="K63">
        <f>IF((phi!K8),VLOOKUP(K$1,main!$A$3:$I$56,5,FALSE)-VLOOKUP($A63,main!$A$3:$I$56,6,FALSE)+main!$D$57,0)</f>
        <v>0</v>
      </c>
      <c r="L63">
        <f>IF((phi!L8),VLOOKUP(L$1,main!$A$3:$I$56,5,FALSE)-VLOOKUP($A63,main!$A$3:$I$56,6,FALSE)+main!$D$57,0)</f>
        <v>0</v>
      </c>
      <c r="M63">
        <f>IF((phi!M8),VLOOKUP(M$1,main!$A$3:$I$56,5,FALSE)-VLOOKUP($A63,main!$A$3:$I$56,6,FALSE)+main!$D$57,0)</f>
        <v>0</v>
      </c>
      <c r="N63">
        <f>IF((phi!N8),VLOOKUP(N$1,main!$A$3:$I$56,5,FALSE)-VLOOKUP($A63,main!$A$3:$I$56,6,FALSE)+main!$D$57,0)</f>
        <v>0</v>
      </c>
      <c r="O63">
        <f>IF((phi!O8),VLOOKUP(O$1,main!$A$3:$I$56,5,FALSE)-VLOOKUP($A63,main!$A$3:$I$56,6,FALSE)+main!$D$57,0)</f>
        <v>0</v>
      </c>
      <c r="P63">
        <f>IF((phi!P8),VLOOKUP(P$1,main!$A$3:$I$56,5,FALSE)-VLOOKUP($A63,main!$A$3:$I$56,6,FALSE)+main!$D$57,0)</f>
        <v>0</v>
      </c>
      <c r="Q63">
        <f>IF((phi!Q8),VLOOKUP(Q$1,main!$A$3:$I$56,5,FALSE)-VLOOKUP($A63,main!$A$3:$I$56,6,FALSE)+main!$D$57,0)</f>
        <v>0</v>
      </c>
      <c r="R63">
        <f>IF((phi!R8),VLOOKUP(R$1,main!$A$3:$I$56,5,FALSE)-VLOOKUP($A63,main!$A$3:$I$56,6,FALSE)+main!$D$57,0)</f>
        <v>0</v>
      </c>
      <c r="S63">
        <f>IF((phi!S8),VLOOKUP(S$1,main!$A$3:$I$56,5,FALSE)-VLOOKUP($A63,main!$A$3:$I$56,6,FALSE)+main!$D$57,0)</f>
        <v>0</v>
      </c>
      <c r="T63">
        <f>IF((phi!T8),VLOOKUP(T$1,main!$A$3:$I$56,5,FALSE)-VLOOKUP($A63,main!$A$3:$I$56,6,FALSE)+main!$D$57,0)</f>
        <v>0</v>
      </c>
      <c r="U63">
        <f>IF((phi!U8),VLOOKUP(U$1,main!$A$3:$I$56,5,FALSE)-VLOOKUP($A63,main!$A$3:$I$56,6,FALSE)+main!$D$57,0)</f>
        <v>0</v>
      </c>
      <c r="V63">
        <f>IF((phi!V8),VLOOKUP(V$1,main!$A$3:$I$56,5,FALSE)-VLOOKUP($A63,main!$A$3:$I$56,6,FALSE)+main!$D$57,0)</f>
        <v>0</v>
      </c>
      <c r="W63">
        <f>IF((phi!W8),VLOOKUP(W$1,main!$A$3:$I$56,5,FALSE)-VLOOKUP($A63,main!$A$3:$I$56,6,FALSE)+main!$D$57,0)</f>
        <v>0</v>
      </c>
      <c r="X63">
        <f>IF((phi!X8),VLOOKUP(X$1,main!$A$3:$I$56,5,FALSE)-VLOOKUP($A63,main!$A$3:$I$56,6,FALSE)+main!$D$57,0)</f>
        <v>0</v>
      </c>
      <c r="Y63">
        <f>IF((phi!Y8),VLOOKUP(Y$1,main!$A$3:$I$56,5,FALSE)-VLOOKUP($A63,main!$A$3:$I$56,6,FALSE)+main!$D$57,0)</f>
        <v>0</v>
      </c>
      <c r="Z63">
        <f>IF((phi!Z8),VLOOKUP(Z$1,main!$A$3:$I$56,5,FALSE)-VLOOKUP($A63,main!$A$3:$I$56,6,FALSE)+main!$D$57,0)</f>
        <v>0</v>
      </c>
      <c r="AA63">
        <f>IF((phi!AA8),VLOOKUP(AA$1,main!$A$3:$I$56,5,FALSE)-VLOOKUP($A63,main!$A$3:$I$56,6,FALSE)+main!$D$57,0)</f>
        <v>0</v>
      </c>
      <c r="AB63">
        <f>IF((phi!AB8),VLOOKUP(AB$1,main!$A$3:$I$56,5,FALSE)-VLOOKUP($A63,main!$A$3:$I$56,6,FALSE)+main!$D$57,0)</f>
        <v>0</v>
      </c>
      <c r="AC63">
        <f>IF((phi!AC8),VLOOKUP(AC$1,main!$A$3:$I$56,5,FALSE)-VLOOKUP($A63,main!$A$3:$I$56,6,FALSE)+main!$D$57,0)</f>
        <v>0</v>
      </c>
      <c r="AD63">
        <f>IF((phi!AD8),VLOOKUP(AD$1,main!$A$3:$I$56,5,FALSE)-VLOOKUP($A63,main!$A$3:$I$56,6,FALSE)+main!$D$57,0)</f>
        <v>0</v>
      </c>
      <c r="AE63">
        <f>IF((phi!AE8),VLOOKUP(AE$1,main!$A$3:$I$56,5,FALSE)-VLOOKUP($A63,main!$A$3:$I$56,6,FALSE)+main!$D$57,0)</f>
        <v>0</v>
      </c>
      <c r="AF63">
        <f>IF((phi!AF8),VLOOKUP(AF$1,main!$A$3:$I$56,5,FALSE)-VLOOKUP($A63,main!$A$3:$I$56,6,FALSE)+main!$D$57,0)</f>
        <v>0</v>
      </c>
      <c r="AG63">
        <f>IF((phi!AG8),VLOOKUP(AG$1,main!$A$3:$I$56,5,FALSE)-VLOOKUP($A63,main!$A$3:$I$56,6,FALSE)+main!$D$57,0)</f>
        <v>0</v>
      </c>
      <c r="AH63">
        <f>IF((phi!AH8),VLOOKUP(AH$1,main!$A$3:$I$56,5,FALSE)-VLOOKUP($A63,main!$A$3:$I$56,6,FALSE)+main!$D$57,0)</f>
        <v>0</v>
      </c>
      <c r="AI63">
        <f>IF((phi!AI8),VLOOKUP(AI$1,main!$A$3:$I$56,5,FALSE)-VLOOKUP($A63,main!$A$3:$I$56,6,FALSE)+main!$D$57,0)</f>
        <v>0</v>
      </c>
      <c r="AJ63">
        <f>IF((phi!AJ8),VLOOKUP(AJ$1,main!$A$3:$I$56,5,FALSE)-VLOOKUP($A63,main!$A$3:$I$56,6,FALSE)+main!$D$57,0)</f>
        <v>0</v>
      </c>
      <c r="AK63">
        <f>IF((phi!AK8),VLOOKUP(AK$1,main!$A$3:$I$56,5,FALSE)-VLOOKUP($A63,main!$A$3:$I$56,6,FALSE)+main!$D$57,0)</f>
        <v>0</v>
      </c>
      <c r="AL63">
        <f>IF((phi!AL8),VLOOKUP(AL$1,main!$A$3:$I$56,5,FALSE)-VLOOKUP($A63,main!$A$3:$I$56,6,FALSE)+main!$D$57,0)</f>
        <v>0</v>
      </c>
      <c r="AM63">
        <f>IF((phi!AM8),VLOOKUP(AM$1,main!$A$3:$I$56,5,FALSE)-VLOOKUP($A63,main!$A$3:$I$56,6,FALSE)+main!$D$57,0)</f>
        <v>0</v>
      </c>
      <c r="AN63">
        <f>IF((phi!AN8),VLOOKUP(AN$1,main!$A$3:$I$56,5,FALSE)-VLOOKUP($A63,main!$A$3:$I$56,6,FALSE)+main!$D$57,0)</f>
        <v>0</v>
      </c>
      <c r="AO63">
        <f>IF((phi!AO8),VLOOKUP(AO$1,main!$A$3:$I$56,5,FALSE)-VLOOKUP($A63,main!$A$3:$I$56,6,FALSE)+main!$D$57,0)</f>
        <v>0</v>
      </c>
      <c r="AP63">
        <f>IF((phi!AP8),VLOOKUP(AP$1,main!$A$3:$I$56,5,FALSE)-VLOOKUP($A63,main!$A$3:$I$56,6,FALSE)+main!$D$57,0)</f>
        <v>0</v>
      </c>
      <c r="AQ63">
        <f>IF((phi!AQ8),VLOOKUP(AQ$1,main!$A$3:$I$56,5,FALSE)-VLOOKUP($A63,main!$A$3:$I$56,6,FALSE)+main!$D$57,0)</f>
        <v>0</v>
      </c>
      <c r="AR63">
        <f>IF((phi!AR8),VLOOKUP(AR$1,main!$A$3:$I$56,5,FALSE)-VLOOKUP($A63,main!$A$3:$I$56,6,FALSE)+main!$D$57,0)</f>
        <v>0</v>
      </c>
      <c r="AS63">
        <f>IF((phi!AS8),VLOOKUP(AS$1,main!$A$3:$I$56,5,FALSE)-VLOOKUP($A63,main!$A$3:$I$56,6,FALSE)+main!$D$57,0)</f>
        <v>0</v>
      </c>
      <c r="AT63">
        <f>IF((phi!AT8),VLOOKUP(AT$1,main!$A$3:$I$56,5,FALSE)-VLOOKUP($A63,main!$A$3:$I$56,6,FALSE)+main!$D$57,0)</f>
        <v>0</v>
      </c>
      <c r="AU63">
        <f>IF((phi!AU8),VLOOKUP(AU$1,main!$A$3:$I$56,5,FALSE)-VLOOKUP($A63,main!$A$3:$I$56,6,FALSE)+main!$D$57,0)</f>
        <v>0</v>
      </c>
      <c r="AV63">
        <f>IF((phi!AV8),VLOOKUP(AV$1,main!$A$3:$I$56,5,FALSE)-VLOOKUP($A63,main!$A$3:$I$56,6,FALSE)+main!$D$57,0)</f>
        <v>0</v>
      </c>
      <c r="AW63">
        <f>IF((phi!AW8),VLOOKUP(AW$1,main!$A$3:$I$56,5,FALSE)-VLOOKUP($A63,main!$A$3:$I$56,6,FALSE)+main!$D$57,0)</f>
        <v>0</v>
      </c>
      <c r="AX63">
        <f>IF((phi!AX8),VLOOKUP(AX$1,main!$A$3:$I$56,5,FALSE)-VLOOKUP($A63,main!$A$3:$I$56,6,FALSE)+main!$D$57,0)</f>
        <v>0</v>
      </c>
      <c r="AY63">
        <f>IF((phi!AY8),VLOOKUP(AY$1,main!$A$3:$I$56,5,FALSE)-VLOOKUP($A63,main!$A$3:$I$56,6,FALSE)+main!$D$57,0)</f>
        <v>0</v>
      </c>
      <c r="AZ63">
        <f>IF((phi!AZ8),VLOOKUP(AZ$1,main!$A$3:$I$56,5,FALSE)-VLOOKUP($A63,main!$A$3:$I$56,6,FALSE)+main!$D$57,0)</f>
        <v>0</v>
      </c>
      <c r="BA63">
        <f>IF((phi!BA8),VLOOKUP(BA$1,main!$A$3:$I$56,5,FALSE)-VLOOKUP($A63,main!$A$3:$I$56,6,FALSE)+main!$D$57,0)</f>
        <v>0</v>
      </c>
      <c r="BB63">
        <f>IF((phi!BB8),VLOOKUP(BB$1,main!$A$3:$I$56,5,FALSE)-VLOOKUP($A63,main!$A$3:$I$56,6,FALSE)+main!$D$57,0)</f>
        <v>0</v>
      </c>
      <c r="BC63">
        <f>IF((phi!BC8),VLOOKUP(BC$1,main!$A$3:$I$56,5,FALSE)-VLOOKUP($A63,main!$A$3:$I$56,6,FALSE)+main!$D$57,0)</f>
        <v>0</v>
      </c>
      <c r="BD63">
        <f>IF((phi!BD8),VLOOKUP(BD$1,main!$A$3:$I$56,5,FALSE)-VLOOKUP($A63,main!$A$3:$I$56,6,FALSE)+main!$D$57,0)</f>
        <v>0</v>
      </c>
    </row>
    <row r="64" spans="1:56" x14ac:dyDescent="0.25">
      <c r="A64">
        <f t="shared" si="3"/>
        <v>7</v>
      </c>
      <c r="B64">
        <v>0</v>
      </c>
      <c r="C64">
        <f>IF((phi!C9),VLOOKUP(C$1,main!$A$3:$I$56,5,FALSE)-VLOOKUP($A64,main!$A$3:$I$56,6,FALSE)+main!$D$57,0)</f>
        <v>0</v>
      </c>
      <c r="D64">
        <f>IF((phi!D9),VLOOKUP(D$1,main!$A$3:$I$56,5,FALSE)-VLOOKUP($A64,main!$A$3:$I$56,6,FALSE)+main!$D$57,0)</f>
        <v>0</v>
      </c>
      <c r="E64">
        <f>IF((phi!E9),VLOOKUP(E$1,main!$A$3:$I$56,5,FALSE)-VLOOKUP($A64,main!$A$3:$I$56,6,FALSE)+main!$D$57,0)</f>
        <v>0</v>
      </c>
      <c r="F64">
        <f>IF((phi!F9),VLOOKUP(F$1,main!$A$3:$I$56,5,FALSE)-VLOOKUP($A64,main!$A$3:$I$56,6,FALSE)+main!$D$57,0)</f>
        <v>0</v>
      </c>
      <c r="G64">
        <f>IF((phi!G9),VLOOKUP(G$1,main!$A$3:$I$56,5,FALSE)-VLOOKUP($A64,main!$A$3:$I$56,6,FALSE)+main!$D$57,0)</f>
        <v>0</v>
      </c>
      <c r="H64">
        <f>IF((phi!H9),VLOOKUP(H$1,main!$A$3:$I$56,5,FALSE)-VLOOKUP($A64,main!$A$3:$I$56,6,FALSE)+main!$D$57,0)</f>
        <v>0</v>
      </c>
      <c r="I64">
        <f>IF((phi!I9),VLOOKUP(I$1,main!$A$3:$I$56,5,FALSE)-VLOOKUP($A64,main!$A$3:$I$56,6,FALSE)+main!$D$57,0)</f>
        <v>0</v>
      </c>
      <c r="J64">
        <f>IF((phi!J9),VLOOKUP(J$1,main!$A$3:$I$56,5,FALSE)-VLOOKUP($A64,main!$A$3:$I$56,6,FALSE)+main!$D$57,0)</f>
        <v>0</v>
      </c>
      <c r="K64">
        <f>IF((phi!K9),VLOOKUP(K$1,main!$A$3:$I$56,5,FALSE)-VLOOKUP($A64,main!$A$3:$I$56,6,FALSE)+main!$D$57,0)</f>
        <v>0</v>
      </c>
      <c r="L64">
        <f>IF((phi!L9),VLOOKUP(L$1,main!$A$3:$I$56,5,FALSE)-VLOOKUP($A64,main!$A$3:$I$56,6,FALSE)+main!$D$57,0)</f>
        <v>0</v>
      </c>
      <c r="M64">
        <f>IF((phi!M9),VLOOKUP(M$1,main!$A$3:$I$56,5,FALSE)-VLOOKUP($A64,main!$A$3:$I$56,6,FALSE)+main!$D$57,0)</f>
        <v>0</v>
      </c>
      <c r="N64">
        <f>IF((phi!N9),VLOOKUP(N$1,main!$A$3:$I$56,5,FALSE)-VLOOKUP($A64,main!$A$3:$I$56,6,FALSE)+main!$D$57,0)</f>
        <v>0</v>
      </c>
      <c r="O64">
        <f>IF((phi!O9),VLOOKUP(O$1,main!$A$3:$I$56,5,FALSE)-VLOOKUP($A64,main!$A$3:$I$56,6,FALSE)+main!$D$57,0)</f>
        <v>0</v>
      </c>
      <c r="P64">
        <f>IF((phi!P9),VLOOKUP(P$1,main!$A$3:$I$56,5,FALSE)-VLOOKUP($A64,main!$A$3:$I$56,6,FALSE)+main!$D$57,0)</f>
        <v>0</v>
      </c>
      <c r="Q64">
        <f>IF((phi!Q9),VLOOKUP(Q$1,main!$A$3:$I$56,5,FALSE)-VLOOKUP($A64,main!$A$3:$I$56,6,FALSE)+main!$D$57,0)</f>
        <v>0</v>
      </c>
      <c r="R64">
        <f>IF((phi!R9),VLOOKUP(R$1,main!$A$3:$I$56,5,FALSE)-VLOOKUP($A64,main!$A$3:$I$56,6,FALSE)+main!$D$57,0)</f>
        <v>0</v>
      </c>
      <c r="S64">
        <f>IF((phi!S9),VLOOKUP(S$1,main!$A$3:$I$56,5,FALSE)-VLOOKUP($A64,main!$A$3:$I$56,6,FALSE)+main!$D$57,0)</f>
        <v>0</v>
      </c>
      <c r="T64">
        <f>IF((phi!T9),VLOOKUP(T$1,main!$A$3:$I$56,5,FALSE)-VLOOKUP($A64,main!$A$3:$I$56,6,FALSE)+main!$D$57,0)</f>
        <v>0</v>
      </c>
      <c r="U64">
        <f>IF((phi!U9),VLOOKUP(U$1,main!$A$3:$I$56,5,FALSE)-VLOOKUP($A64,main!$A$3:$I$56,6,FALSE)+main!$D$57,0)</f>
        <v>0</v>
      </c>
      <c r="V64">
        <f>IF((phi!V9),VLOOKUP(V$1,main!$A$3:$I$56,5,FALSE)-VLOOKUP($A64,main!$A$3:$I$56,6,FALSE)+main!$D$57,0)</f>
        <v>0</v>
      </c>
      <c r="W64">
        <f>IF((phi!W9),VLOOKUP(W$1,main!$A$3:$I$56,5,FALSE)-VLOOKUP($A64,main!$A$3:$I$56,6,FALSE)+main!$D$57,0)</f>
        <v>0</v>
      </c>
      <c r="X64">
        <f>IF((phi!X9),VLOOKUP(X$1,main!$A$3:$I$56,5,FALSE)-VLOOKUP($A64,main!$A$3:$I$56,6,FALSE)+main!$D$57,0)</f>
        <v>0</v>
      </c>
      <c r="Y64">
        <f>IF((phi!Y9),VLOOKUP(Y$1,main!$A$3:$I$56,5,FALSE)-VLOOKUP($A64,main!$A$3:$I$56,6,FALSE)+main!$D$57,0)</f>
        <v>0</v>
      </c>
      <c r="Z64">
        <f>IF((phi!Z9),VLOOKUP(Z$1,main!$A$3:$I$56,5,FALSE)-VLOOKUP($A64,main!$A$3:$I$56,6,FALSE)+main!$D$57,0)</f>
        <v>0</v>
      </c>
      <c r="AA64">
        <f>IF((phi!AA9),VLOOKUP(AA$1,main!$A$3:$I$56,5,FALSE)-VLOOKUP($A64,main!$A$3:$I$56,6,FALSE)+main!$D$57,0)</f>
        <v>0</v>
      </c>
      <c r="AB64">
        <f>IF((phi!AB9),VLOOKUP(AB$1,main!$A$3:$I$56,5,FALSE)-VLOOKUP($A64,main!$A$3:$I$56,6,FALSE)+main!$D$57,0)</f>
        <v>0</v>
      </c>
      <c r="AC64">
        <f>IF((phi!AC9),VLOOKUP(AC$1,main!$A$3:$I$56,5,FALSE)-VLOOKUP($A64,main!$A$3:$I$56,6,FALSE)+main!$D$57,0)</f>
        <v>0</v>
      </c>
      <c r="AD64">
        <f>IF((phi!AD9),VLOOKUP(AD$1,main!$A$3:$I$56,5,FALSE)-VLOOKUP($A64,main!$A$3:$I$56,6,FALSE)+main!$D$57,0)</f>
        <v>0</v>
      </c>
      <c r="AE64">
        <f>IF((phi!AE9),VLOOKUP(AE$1,main!$A$3:$I$56,5,FALSE)-VLOOKUP($A64,main!$A$3:$I$56,6,FALSE)+main!$D$57,0)</f>
        <v>0</v>
      </c>
      <c r="AF64">
        <f>IF((phi!AF9),VLOOKUP(AF$1,main!$A$3:$I$56,5,FALSE)-VLOOKUP($A64,main!$A$3:$I$56,6,FALSE)+main!$D$57,0)</f>
        <v>0</v>
      </c>
      <c r="AG64">
        <f>IF((phi!AG9),VLOOKUP(AG$1,main!$A$3:$I$56,5,FALSE)-VLOOKUP($A64,main!$A$3:$I$56,6,FALSE)+main!$D$57,0)</f>
        <v>0</v>
      </c>
      <c r="AH64">
        <f>IF((phi!AH9),VLOOKUP(AH$1,main!$A$3:$I$56,5,FALSE)-VLOOKUP($A64,main!$A$3:$I$56,6,FALSE)+main!$D$57,0)</f>
        <v>0</v>
      </c>
      <c r="AI64">
        <f>IF((phi!AI9),VLOOKUP(AI$1,main!$A$3:$I$56,5,FALSE)-VLOOKUP($A64,main!$A$3:$I$56,6,FALSE)+main!$D$57,0)</f>
        <v>0</v>
      </c>
      <c r="AJ64">
        <f>IF((phi!AJ9),VLOOKUP(AJ$1,main!$A$3:$I$56,5,FALSE)-VLOOKUP($A64,main!$A$3:$I$56,6,FALSE)+main!$D$57,0)</f>
        <v>0</v>
      </c>
      <c r="AK64">
        <f>IF((phi!AK9),VLOOKUP(AK$1,main!$A$3:$I$56,5,FALSE)-VLOOKUP($A64,main!$A$3:$I$56,6,FALSE)+main!$D$57,0)</f>
        <v>0</v>
      </c>
      <c r="AL64">
        <f>IF((phi!AL9),VLOOKUP(AL$1,main!$A$3:$I$56,5,FALSE)-VLOOKUP($A64,main!$A$3:$I$56,6,FALSE)+main!$D$57,0)</f>
        <v>0</v>
      </c>
      <c r="AM64">
        <f>IF((phi!AM9),VLOOKUP(AM$1,main!$A$3:$I$56,5,FALSE)-VLOOKUP($A64,main!$A$3:$I$56,6,FALSE)+main!$D$57,0)</f>
        <v>0</v>
      </c>
      <c r="AN64">
        <f>IF((phi!AN9),VLOOKUP(AN$1,main!$A$3:$I$56,5,FALSE)-VLOOKUP($A64,main!$A$3:$I$56,6,FALSE)+main!$D$57,0)</f>
        <v>0</v>
      </c>
      <c r="AO64">
        <f>IF((phi!AO9),VLOOKUP(AO$1,main!$A$3:$I$56,5,FALSE)-VLOOKUP($A64,main!$A$3:$I$56,6,FALSE)+main!$D$57,0)</f>
        <v>0</v>
      </c>
      <c r="AP64">
        <f>IF((phi!AP9),VLOOKUP(AP$1,main!$A$3:$I$56,5,FALSE)-VLOOKUP($A64,main!$A$3:$I$56,6,FALSE)+main!$D$57,0)</f>
        <v>0</v>
      </c>
      <c r="AQ64">
        <f>IF((phi!AQ9),VLOOKUP(AQ$1,main!$A$3:$I$56,5,FALSE)-VLOOKUP($A64,main!$A$3:$I$56,6,FALSE)+main!$D$57,0)</f>
        <v>0</v>
      </c>
      <c r="AR64">
        <f>IF((phi!AR9),VLOOKUP(AR$1,main!$A$3:$I$56,5,FALSE)-VLOOKUP($A64,main!$A$3:$I$56,6,FALSE)+main!$D$57,0)</f>
        <v>0</v>
      </c>
      <c r="AS64">
        <f>IF((phi!AS9),VLOOKUP(AS$1,main!$A$3:$I$56,5,FALSE)-VLOOKUP($A64,main!$A$3:$I$56,6,FALSE)+main!$D$57,0)</f>
        <v>0</v>
      </c>
      <c r="AT64">
        <f>IF((phi!AT9),VLOOKUP(AT$1,main!$A$3:$I$56,5,FALSE)-VLOOKUP($A64,main!$A$3:$I$56,6,FALSE)+main!$D$57,0)</f>
        <v>0</v>
      </c>
      <c r="AU64">
        <f>IF((phi!AU9),VLOOKUP(AU$1,main!$A$3:$I$56,5,FALSE)-VLOOKUP($A64,main!$A$3:$I$56,6,FALSE)+main!$D$57,0)</f>
        <v>0</v>
      </c>
      <c r="AV64">
        <f>IF((phi!AV9),VLOOKUP(AV$1,main!$A$3:$I$56,5,FALSE)-VLOOKUP($A64,main!$A$3:$I$56,6,FALSE)+main!$D$57,0)</f>
        <v>0</v>
      </c>
      <c r="AW64">
        <f>IF((phi!AW9),VLOOKUP(AW$1,main!$A$3:$I$56,5,FALSE)-VLOOKUP($A64,main!$A$3:$I$56,6,FALSE)+main!$D$57,0)</f>
        <v>0</v>
      </c>
      <c r="AX64">
        <f>IF((phi!AX9),VLOOKUP(AX$1,main!$A$3:$I$56,5,FALSE)-VLOOKUP($A64,main!$A$3:$I$56,6,FALSE)+main!$D$57,0)</f>
        <v>0</v>
      </c>
      <c r="AY64">
        <f>IF((phi!AY9),VLOOKUP(AY$1,main!$A$3:$I$56,5,FALSE)-VLOOKUP($A64,main!$A$3:$I$56,6,FALSE)+main!$D$57,0)</f>
        <v>0</v>
      </c>
      <c r="AZ64">
        <f>IF((phi!AZ9),VLOOKUP(AZ$1,main!$A$3:$I$56,5,FALSE)-VLOOKUP($A64,main!$A$3:$I$56,6,FALSE)+main!$D$57,0)</f>
        <v>0</v>
      </c>
      <c r="BA64">
        <f>IF((phi!BA9),VLOOKUP(BA$1,main!$A$3:$I$56,5,FALSE)-VLOOKUP($A64,main!$A$3:$I$56,6,FALSE)+main!$D$57,0)</f>
        <v>0</v>
      </c>
      <c r="BB64">
        <f>IF((phi!BB9),VLOOKUP(BB$1,main!$A$3:$I$56,5,FALSE)-VLOOKUP($A64,main!$A$3:$I$56,6,FALSE)+main!$D$57,0)</f>
        <v>0</v>
      </c>
      <c r="BC64">
        <f>IF((phi!BC9),VLOOKUP(BC$1,main!$A$3:$I$56,5,FALSE)-VLOOKUP($A64,main!$A$3:$I$56,6,FALSE)+main!$D$57,0)</f>
        <v>0</v>
      </c>
      <c r="BD64">
        <f>IF((phi!BD9),VLOOKUP(BD$1,main!$A$3:$I$56,5,FALSE)-VLOOKUP($A64,main!$A$3:$I$56,6,FALSE)+main!$D$57,0)</f>
        <v>0</v>
      </c>
    </row>
    <row r="65" spans="1:56" x14ac:dyDescent="0.25">
      <c r="A65">
        <f t="shared" si="3"/>
        <v>8</v>
      </c>
      <c r="B65">
        <v>0</v>
      </c>
      <c r="C65">
        <f>IF((phi!C10),VLOOKUP(C$1,main!$A$3:$I$56,5,FALSE)-VLOOKUP($A65,main!$A$3:$I$56,6,FALSE)+main!$D$57,0)</f>
        <v>0</v>
      </c>
      <c r="D65">
        <f>IF((phi!D10),VLOOKUP(D$1,main!$A$3:$I$56,5,FALSE)-VLOOKUP($A65,main!$A$3:$I$56,6,FALSE)+main!$D$57,0)</f>
        <v>0</v>
      </c>
      <c r="E65">
        <f>IF((phi!E10),VLOOKUP(E$1,main!$A$3:$I$56,5,FALSE)-VLOOKUP($A65,main!$A$3:$I$56,6,FALSE)+main!$D$57,0)</f>
        <v>0</v>
      </c>
      <c r="F65">
        <f>IF((phi!F10),VLOOKUP(F$1,main!$A$3:$I$56,5,FALSE)-VLOOKUP($A65,main!$A$3:$I$56,6,FALSE)+main!$D$57,0)</f>
        <v>0</v>
      </c>
      <c r="G65">
        <f>IF((phi!G10),VLOOKUP(G$1,main!$A$3:$I$56,5,FALSE)-VLOOKUP($A65,main!$A$3:$I$56,6,FALSE)+main!$D$57,0)</f>
        <v>0</v>
      </c>
      <c r="H65">
        <f>IF((phi!H10),VLOOKUP(H$1,main!$A$3:$I$56,5,FALSE)-VLOOKUP($A65,main!$A$3:$I$56,6,FALSE)+main!$D$57,0)</f>
        <v>0</v>
      </c>
      <c r="I65">
        <f>IF((phi!I10),VLOOKUP(I$1,main!$A$3:$I$56,5,FALSE)-VLOOKUP($A65,main!$A$3:$I$56,6,FALSE)+main!$D$57,0)</f>
        <v>0</v>
      </c>
      <c r="J65">
        <f>IF((phi!J10),VLOOKUP(J$1,main!$A$3:$I$56,5,FALSE)-VLOOKUP($A65,main!$A$3:$I$56,6,FALSE)+main!$D$57,0)</f>
        <v>0</v>
      </c>
      <c r="K65">
        <f>IF((phi!K10),VLOOKUP(K$1,main!$A$3:$I$56,5,FALSE)-VLOOKUP($A65,main!$A$3:$I$56,6,FALSE)+main!$D$57,0)</f>
        <v>0</v>
      </c>
      <c r="L65">
        <f>IF((phi!L10),VLOOKUP(L$1,main!$A$3:$I$56,5,FALSE)-VLOOKUP($A65,main!$A$3:$I$56,6,FALSE)+main!$D$57,0)</f>
        <v>0</v>
      </c>
      <c r="M65">
        <f>IF((phi!M10),VLOOKUP(M$1,main!$A$3:$I$56,5,FALSE)-VLOOKUP($A65,main!$A$3:$I$56,6,FALSE)+main!$D$57,0)</f>
        <v>0</v>
      </c>
      <c r="N65">
        <f>IF((phi!N10),VLOOKUP(N$1,main!$A$3:$I$56,5,FALSE)-VLOOKUP($A65,main!$A$3:$I$56,6,FALSE)+main!$D$57,0)</f>
        <v>0</v>
      </c>
      <c r="O65">
        <f>IF((phi!O10),VLOOKUP(O$1,main!$A$3:$I$56,5,FALSE)-VLOOKUP($A65,main!$A$3:$I$56,6,FALSE)+main!$D$57,0)</f>
        <v>0</v>
      </c>
      <c r="P65">
        <f>IF((phi!P10),VLOOKUP(P$1,main!$A$3:$I$56,5,FALSE)-VLOOKUP($A65,main!$A$3:$I$56,6,FALSE)+main!$D$57,0)</f>
        <v>0</v>
      </c>
      <c r="Q65">
        <f>IF((phi!Q10),VLOOKUP(Q$1,main!$A$3:$I$56,5,FALSE)-VLOOKUP($A65,main!$A$3:$I$56,6,FALSE)+main!$D$57,0)</f>
        <v>0</v>
      </c>
      <c r="R65">
        <f>IF((phi!R10),VLOOKUP(R$1,main!$A$3:$I$56,5,FALSE)-VLOOKUP($A65,main!$A$3:$I$56,6,FALSE)+main!$D$57,0)</f>
        <v>0</v>
      </c>
      <c r="S65">
        <f>IF((phi!S10),VLOOKUP(S$1,main!$A$3:$I$56,5,FALSE)-VLOOKUP($A65,main!$A$3:$I$56,6,FALSE)+main!$D$57,0)</f>
        <v>0</v>
      </c>
      <c r="T65">
        <f>IF((phi!T10),VLOOKUP(T$1,main!$A$3:$I$56,5,FALSE)-VLOOKUP($A65,main!$A$3:$I$56,6,FALSE)+main!$D$57,0)</f>
        <v>0</v>
      </c>
      <c r="U65">
        <f>IF((phi!U10),VLOOKUP(U$1,main!$A$3:$I$56,5,FALSE)-VLOOKUP($A65,main!$A$3:$I$56,6,FALSE)+main!$D$57,0)</f>
        <v>0</v>
      </c>
      <c r="V65">
        <f>IF((phi!V10),VLOOKUP(V$1,main!$A$3:$I$56,5,FALSE)-VLOOKUP($A65,main!$A$3:$I$56,6,FALSE)+main!$D$57,0)</f>
        <v>0</v>
      </c>
      <c r="W65">
        <f>IF((phi!W10),VLOOKUP(W$1,main!$A$3:$I$56,5,FALSE)-VLOOKUP($A65,main!$A$3:$I$56,6,FALSE)+main!$D$57,0)</f>
        <v>0</v>
      </c>
      <c r="X65">
        <f>IF((phi!X10),VLOOKUP(X$1,main!$A$3:$I$56,5,FALSE)-VLOOKUP($A65,main!$A$3:$I$56,6,FALSE)+main!$D$57,0)</f>
        <v>0</v>
      </c>
      <c r="Y65">
        <f>IF((phi!Y10),VLOOKUP(Y$1,main!$A$3:$I$56,5,FALSE)-VLOOKUP($A65,main!$A$3:$I$56,6,FALSE)+main!$D$57,0)</f>
        <v>0</v>
      </c>
      <c r="Z65">
        <f>IF((phi!Z10),VLOOKUP(Z$1,main!$A$3:$I$56,5,FALSE)-VLOOKUP($A65,main!$A$3:$I$56,6,FALSE)+main!$D$57,0)</f>
        <v>0</v>
      </c>
      <c r="AA65">
        <f>IF((phi!AA10),VLOOKUP(AA$1,main!$A$3:$I$56,5,FALSE)-VLOOKUP($A65,main!$A$3:$I$56,6,FALSE)+main!$D$57,0)</f>
        <v>0</v>
      </c>
      <c r="AB65">
        <f>IF((phi!AB10),VLOOKUP(AB$1,main!$A$3:$I$56,5,FALSE)-VLOOKUP($A65,main!$A$3:$I$56,6,FALSE)+main!$D$57,0)</f>
        <v>0</v>
      </c>
      <c r="AC65">
        <f>IF((phi!AC10),VLOOKUP(AC$1,main!$A$3:$I$56,5,FALSE)-VLOOKUP($A65,main!$A$3:$I$56,6,FALSE)+main!$D$57,0)</f>
        <v>0</v>
      </c>
      <c r="AD65">
        <f>IF((phi!AD10),VLOOKUP(AD$1,main!$A$3:$I$56,5,FALSE)-VLOOKUP($A65,main!$A$3:$I$56,6,FALSE)+main!$D$57,0)</f>
        <v>0</v>
      </c>
      <c r="AE65">
        <f>IF((phi!AE10),VLOOKUP(AE$1,main!$A$3:$I$56,5,FALSE)-VLOOKUP($A65,main!$A$3:$I$56,6,FALSE)+main!$D$57,0)</f>
        <v>0</v>
      </c>
      <c r="AF65">
        <f>IF((phi!AF10),VLOOKUP(AF$1,main!$A$3:$I$56,5,FALSE)-VLOOKUP($A65,main!$A$3:$I$56,6,FALSE)+main!$D$57,0)</f>
        <v>0</v>
      </c>
      <c r="AG65">
        <f>IF((phi!AG10),VLOOKUP(AG$1,main!$A$3:$I$56,5,FALSE)-VLOOKUP($A65,main!$A$3:$I$56,6,FALSE)+main!$D$57,0)</f>
        <v>0</v>
      </c>
      <c r="AH65">
        <f>IF((phi!AH10),VLOOKUP(AH$1,main!$A$3:$I$56,5,FALSE)-VLOOKUP($A65,main!$A$3:$I$56,6,FALSE)+main!$D$57,0)</f>
        <v>0</v>
      </c>
      <c r="AI65">
        <f>IF((phi!AI10),VLOOKUP(AI$1,main!$A$3:$I$56,5,FALSE)-VLOOKUP($A65,main!$A$3:$I$56,6,FALSE)+main!$D$57,0)</f>
        <v>0</v>
      </c>
      <c r="AJ65">
        <f>IF((phi!AJ10),VLOOKUP(AJ$1,main!$A$3:$I$56,5,FALSE)-VLOOKUP($A65,main!$A$3:$I$56,6,FALSE)+main!$D$57,0)</f>
        <v>0</v>
      </c>
      <c r="AK65">
        <f>IF((phi!AK10),VLOOKUP(AK$1,main!$A$3:$I$56,5,FALSE)-VLOOKUP($A65,main!$A$3:$I$56,6,FALSE)+main!$D$57,0)</f>
        <v>0</v>
      </c>
      <c r="AL65">
        <f>IF((phi!AL10),VLOOKUP(AL$1,main!$A$3:$I$56,5,FALSE)-VLOOKUP($A65,main!$A$3:$I$56,6,FALSE)+main!$D$57,0)</f>
        <v>0</v>
      </c>
      <c r="AM65">
        <f>IF((phi!AM10),VLOOKUP(AM$1,main!$A$3:$I$56,5,FALSE)-VLOOKUP($A65,main!$A$3:$I$56,6,FALSE)+main!$D$57,0)</f>
        <v>0</v>
      </c>
      <c r="AN65">
        <f>IF((phi!AN10),VLOOKUP(AN$1,main!$A$3:$I$56,5,FALSE)-VLOOKUP($A65,main!$A$3:$I$56,6,FALSE)+main!$D$57,0)</f>
        <v>0</v>
      </c>
      <c r="AO65">
        <f>IF((phi!AO10),VLOOKUP(AO$1,main!$A$3:$I$56,5,FALSE)-VLOOKUP($A65,main!$A$3:$I$56,6,FALSE)+main!$D$57,0)</f>
        <v>0</v>
      </c>
      <c r="AP65">
        <f>IF((phi!AP10),VLOOKUP(AP$1,main!$A$3:$I$56,5,FALSE)-VLOOKUP($A65,main!$A$3:$I$56,6,FALSE)+main!$D$57,0)</f>
        <v>0</v>
      </c>
      <c r="AQ65">
        <f>IF((phi!AQ10),VLOOKUP(AQ$1,main!$A$3:$I$56,5,FALSE)-VLOOKUP($A65,main!$A$3:$I$56,6,FALSE)+main!$D$57,0)</f>
        <v>0</v>
      </c>
      <c r="AR65">
        <f>IF((phi!AR10),VLOOKUP(AR$1,main!$A$3:$I$56,5,FALSE)-VLOOKUP($A65,main!$A$3:$I$56,6,FALSE)+main!$D$57,0)</f>
        <v>0</v>
      </c>
      <c r="AS65">
        <f>IF((phi!AS10),VLOOKUP(AS$1,main!$A$3:$I$56,5,FALSE)-VLOOKUP($A65,main!$A$3:$I$56,6,FALSE)+main!$D$57,0)</f>
        <v>0</v>
      </c>
      <c r="AT65">
        <f>IF((phi!AT10),VLOOKUP(AT$1,main!$A$3:$I$56,5,FALSE)-VLOOKUP($A65,main!$A$3:$I$56,6,FALSE)+main!$D$57,0)</f>
        <v>0</v>
      </c>
      <c r="AU65">
        <f>IF((phi!AU10),VLOOKUP(AU$1,main!$A$3:$I$56,5,FALSE)-VLOOKUP($A65,main!$A$3:$I$56,6,FALSE)+main!$D$57,0)</f>
        <v>0</v>
      </c>
      <c r="AV65">
        <f>IF((phi!AV10),VLOOKUP(AV$1,main!$A$3:$I$56,5,FALSE)-VLOOKUP($A65,main!$A$3:$I$56,6,FALSE)+main!$D$57,0)</f>
        <v>0</v>
      </c>
      <c r="AW65">
        <f>IF((phi!AW10),VLOOKUP(AW$1,main!$A$3:$I$56,5,FALSE)-VLOOKUP($A65,main!$A$3:$I$56,6,FALSE)+main!$D$57,0)</f>
        <v>0</v>
      </c>
      <c r="AX65">
        <f>IF((phi!AX10),VLOOKUP(AX$1,main!$A$3:$I$56,5,FALSE)-VLOOKUP($A65,main!$A$3:$I$56,6,FALSE)+main!$D$57,0)</f>
        <v>0</v>
      </c>
      <c r="AY65">
        <f>IF((phi!AY10),VLOOKUP(AY$1,main!$A$3:$I$56,5,FALSE)-VLOOKUP($A65,main!$A$3:$I$56,6,FALSE)+main!$D$57,0)</f>
        <v>0</v>
      </c>
      <c r="AZ65">
        <f>IF((phi!AZ10),VLOOKUP(AZ$1,main!$A$3:$I$56,5,FALSE)-VLOOKUP($A65,main!$A$3:$I$56,6,FALSE)+main!$D$57,0)</f>
        <v>0</v>
      </c>
      <c r="BA65">
        <f>IF((phi!BA10),VLOOKUP(BA$1,main!$A$3:$I$56,5,FALSE)-VLOOKUP($A65,main!$A$3:$I$56,6,FALSE)+main!$D$57,0)</f>
        <v>0</v>
      </c>
      <c r="BB65">
        <f>IF((phi!BB10),VLOOKUP(BB$1,main!$A$3:$I$56,5,FALSE)-VLOOKUP($A65,main!$A$3:$I$56,6,FALSE)+main!$D$57,0)</f>
        <v>0</v>
      </c>
      <c r="BC65">
        <f>IF((phi!BC10),VLOOKUP(BC$1,main!$A$3:$I$56,5,FALSE)-VLOOKUP($A65,main!$A$3:$I$56,6,FALSE)+main!$D$57,0)</f>
        <v>0</v>
      </c>
      <c r="BD65">
        <f>IF((phi!BD10),VLOOKUP(BD$1,main!$A$3:$I$56,5,FALSE)-VLOOKUP($A65,main!$A$3:$I$56,6,FALSE)+main!$D$57,0)</f>
        <v>0</v>
      </c>
    </row>
    <row r="66" spans="1:56" x14ac:dyDescent="0.25">
      <c r="A66">
        <f t="shared" si="3"/>
        <v>9</v>
      </c>
      <c r="B66">
        <v>0</v>
      </c>
      <c r="C66">
        <f>IF((phi!C11),VLOOKUP(C$1,main!$A$3:$I$56,5,FALSE)-VLOOKUP($A66,main!$A$3:$I$56,6,FALSE)+main!$D$57,0)</f>
        <v>0</v>
      </c>
      <c r="D66">
        <f>IF((phi!D11),VLOOKUP(D$1,main!$A$3:$I$56,5,FALSE)-VLOOKUP($A66,main!$A$3:$I$56,6,FALSE)+main!$D$57,0)</f>
        <v>0</v>
      </c>
      <c r="E66">
        <f>IF((phi!E11),VLOOKUP(E$1,main!$A$3:$I$56,5,FALSE)-VLOOKUP($A66,main!$A$3:$I$56,6,FALSE)+main!$D$57,0)</f>
        <v>185</v>
      </c>
      <c r="F66">
        <f>IF((phi!F11),VLOOKUP(F$1,main!$A$3:$I$56,5,FALSE)-VLOOKUP($A66,main!$A$3:$I$56,6,FALSE)+main!$D$57,0)</f>
        <v>275</v>
      </c>
      <c r="G66">
        <f>IF((phi!G11),VLOOKUP(G$1,main!$A$3:$I$56,5,FALSE)-VLOOKUP($A66,main!$A$3:$I$56,6,FALSE)+main!$D$57,0)</f>
        <v>335</v>
      </c>
      <c r="H66">
        <f>IF((phi!H11),VLOOKUP(H$1,main!$A$3:$I$56,5,FALSE)-VLOOKUP($A66,main!$A$3:$I$56,6,FALSE)+main!$D$57,0)</f>
        <v>395</v>
      </c>
      <c r="I66">
        <f>IF((phi!I11),VLOOKUP(I$1,main!$A$3:$I$56,5,FALSE)-VLOOKUP($A66,main!$A$3:$I$56,6,FALSE)+main!$D$57,0)</f>
        <v>455</v>
      </c>
      <c r="J66">
        <f>IF((phi!J11),VLOOKUP(J$1,main!$A$3:$I$56,5,FALSE)-VLOOKUP($A66,main!$A$3:$I$56,6,FALSE)+main!$D$57,0)</f>
        <v>545</v>
      </c>
      <c r="K66">
        <f>IF((phi!K11),VLOOKUP(K$1,main!$A$3:$I$56,5,FALSE)-VLOOKUP($A66,main!$A$3:$I$56,6,FALSE)+main!$D$57,0)</f>
        <v>0</v>
      </c>
      <c r="L66">
        <f>IF((phi!L11),VLOOKUP(L$1,main!$A$3:$I$56,5,FALSE)-VLOOKUP($A66,main!$A$3:$I$56,6,FALSE)+main!$D$57,0)</f>
        <v>0</v>
      </c>
      <c r="M66">
        <f>IF((phi!M11),VLOOKUP(M$1,main!$A$3:$I$56,5,FALSE)-VLOOKUP($A66,main!$A$3:$I$56,6,FALSE)+main!$D$57,0)</f>
        <v>150</v>
      </c>
      <c r="N66">
        <f>IF((phi!N11),VLOOKUP(N$1,main!$A$3:$I$56,5,FALSE)-VLOOKUP($A66,main!$A$3:$I$56,6,FALSE)+main!$D$57,0)</f>
        <v>510</v>
      </c>
      <c r="O66">
        <f>IF((phi!O11),VLOOKUP(O$1,main!$A$3:$I$56,5,FALSE)-VLOOKUP($A66,main!$A$3:$I$56,6,FALSE)+main!$D$57,0)</f>
        <v>570</v>
      </c>
      <c r="P66">
        <f>IF((phi!P11),VLOOKUP(P$1,main!$A$3:$I$56,5,FALSE)-VLOOKUP($A66,main!$A$3:$I$56,6,FALSE)+main!$D$57,0)</f>
        <v>0</v>
      </c>
      <c r="Q66">
        <f>IF((phi!Q11),VLOOKUP(Q$1,main!$A$3:$I$56,5,FALSE)-VLOOKUP($A66,main!$A$3:$I$56,6,FALSE)+main!$D$57,0)</f>
        <v>0</v>
      </c>
      <c r="R66">
        <f>IF((phi!R11),VLOOKUP(R$1,main!$A$3:$I$56,5,FALSE)-VLOOKUP($A66,main!$A$3:$I$56,6,FALSE)+main!$D$57,0)</f>
        <v>145</v>
      </c>
      <c r="S66">
        <f>IF((phi!S11),VLOOKUP(S$1,main!$A$3:$I$56,5,FALSE)-VLOOKUP($A66,main!$A$3:$I$56,6,FALSE)+main!$D$57,0)</f>
        <v>325</v>
      </c>
      <c r="T66">
        <f>IF((phi!T11),VLOOKUP(T$1,main!$A$3:$I$56,5,FALSE)-VLOOKUP($A66,main!$A$3:$I$56,6,FALSE)+main!$D$57,0)</f>
        <v>475</v>
      </c>
      <c r="U66">
        <f>IF((phi!U11),VLOOKUP(U$1,main!$A$3:$I$56,5,FALSE)-VLOOKUP($A66,main!$A$3:$I$56,6,FALSE)+main!$D$57,0)</f>
        <v>0</v>
      </c>
      <c r="V66">
        <f>IF((phi!V11),VLOOKUP(V$1,main!$A$3:$I$56,5,FALSE)-VLOOKUP($A66,main!$A$3:$I$56,6,FALSE)+main!$D$57,0)</f>
        <v>0</v>
      </c>
      <c r="W66">
        <f>IF((phi!W11),VLOOKUP(W$1,main!$A$3:$I$56,5,FALSE)-VLOOKUP($A66,main!$A$3:$I$56,6,FALSE)+main!$D$57,0)</f>
        <v>0</v>
      </c>
      <c r="X66">
        <f>IF((phi!X11),VLOOKUP(X$1,main!$A$3:$I$56,5,FALSE)-VLOOKUP($A66,main!$A$3:$I$56,6,FALSE)+main!$D$57,0)</f>
        <v>165</v>
      </c>
      <c r="Y66">
        <f>IF((phi!Y11),VLOOKUP(Y$1,main!$A$3:$I$56,5,FALSE)-VLOOKUP($A66,main!$A$3:$I$56,6,FALSE)+main!$D$57,0)</f>
        <v>255</v>
      </c>
      <c r="Z66">
        <f>IF((phi!Z11),VLOOKUP(Z$1,main!$A$3:$I$56,5,FALSE)-VLOOKUP($A66,main!$A$3:$I$56,6,FALSE)+main!$D$57,0)</f>
        <v>345</v>
      </c>
      <c r="AA66">
        <f>IF((phi!AA11),VLOOKUP(AA$1,main!$A$3:$I$56,5,FALSE)-VLOOKUP($A66,main!$A$3:$I$56,6,FALSE)+main!$D$57,0)</f>
        <v>435</v>
      </c>
      <c r="AB66">
        <f>IF((phi!AB11),VLOOKUP(AB$1,main!$A$3:$I$56,5,FALSE)-VLOOKUP($A66,main!$A$3:$I$56,6,FALSE)+main!$D$57,0)</f>
        <v>495</v>
      </c>
      <c r="AC66">
        <f>IF((phi!AC11),VLOOKUP(AC$1,main!$A$3:$I$56,5,FALSE)-VLOOKUP($A66,main!$A$3:$I$56,6,FALSE)+main!$D$57,0)</f>
        <v>0</v>
      </c>
      <c r="AD66">
        <f>IF((phi!AD11),VLOOKUP(AD$1,main!$A$3:$I$56,5,FALSE)-VLOOKUP($A66,main!$A$3:$I$56,6,FALSE)+main!$D$57,0)</f>
        <v>0</v>
      </c>
      <c r="AE66">
        <f>IF((phi!AE11),VLOOKUP(AE$1,main!$A$3:$I$56,5,FALSE)-VLOOKUP($A66,main!$A$3:$I$56,6,FALSE)+main!$D$57,0)</f>
        <v>155</v>
      </c>
      <c r="AF66">
        <f>IF((phi!AF11),VLOOKUP(AF$1,main!$A$3:$I$56,5,FALSE)-VLOOKUP($A66,main!$A$3:$I$56,6,FALSE)+main!$D$57,0)</f>
        <v>305</v>
      </c>
      <c r="AG66">
        <f>IF((phi!AG11),VLOOKUP(AG$1,main!$A$3:$I$56,5,FALSE)-VLOOKUP($A66,main!$A$3:$I$56,6,FALSE)+main!$D$57,0)</f>
        <v>0</v>
      </c>
      <c r="AH66">
        <f>IF((phi!AH11),VLOOKUP(AH$1,main!$A$3:$I$56,5,FALSE)-VLOOKUP($A66,main!$A$3:$I$56,6,FALSE)+main!$D$57,0)</f>
        <v>0</v>
      </c>
      <c r="AI66">
        <f>IF((phi!AI11),VLOOKUP(AI$1,main!$A$3:$I$56,5,FALSE)-VLOOKUP($A66,main!$A$3:$I$56,6,FALSE)+main!$D$57,0)</f>
        <v>215</v>
      </c>
      <c r="AJ66">
        <f>IF((phi!AJ11),VLOOKUP(AJ$1,main!$A$3:$I$56,5,FALSE)-VLOOKUP($A66,main!$A$3:$I$56,6,FALSE)+main!$D$57,0)</f>
        <v>275</v>
      </c>
      <c r="AK66">
        <f>IF((phi!AK11),VLOOKUP(AK$1,main!$A$3:$I$56,5,FALSE)-VLOOKUP($A66,main!$A$3:$I$56,6,FALSE)+main!$D$57,0)</f>
        <v>395</v>
      </c>
      <c r="AL66">
        <f>IF((phi!AL11),VLOOKUP(AL$1,main!$A$3:$I$56,5,FALSE)-VLOOKUP($A66,main!$A$3:$I$56,6,FALSE)+main!$D$57,0)</f>
        <v>0</v>
      </c>
      <c r="AM66">
        <f>IF((phi!AM11),VLOOKUP(AM$1,main!$A$3:$I$56,5,FALSE)-VLOOKUP($A66,main!$A$3:$I$56,6,FALSE)+main!$D$57,0)</f>
        <v>0</v>
      </c>
      <c r="AN66">
        <f>IF((phi!AN11),VLOOKUP(AN$1,main!$A$3:$I$56,5,FALSE)-VLOOKUP($A66,main!$A$3:$I$56,6,FALSE)+main!$D$57,0)</f>
        <v>255</v>
      </c>
      <c r="AO66">
        <f>IF((phi!AO11),VLOOKUP(AO$1,main!$A$3:$I$56,5,FALSE)-VLOOKUP($A66,main!$A$3:$I$56,6,FALSE)+main!$D$57,0)</f>
        <v>305</v>
      </c>
      <c r="AP66">
        <f>IF((phi!AP11),VLOOKUP(AP$1,main!$A$3:$I$56,5,FALSE)-VLOOKUP($A66,main!$A$3:$I$56,6,FALSE)+main!$D$57,0)</f>
        <v>0</v>
      </c>
      <c r="AQ66">
        <f>IF((phi!AQ11),VLOOKUP(AQ$1,main!$A$3:$I$56,5,FALSE)-VLOOKUP($A66,main!$A$3:$I$56,6,FALSE)+main!$D$57,0)</f>
        <v>0</v>
      </c>
      <c r="AR66">
        <f>IF((phi!AR11),VLOOKUP(AR$1,main!$A$3:$I$56,5,FALSE)-VLOOKUP($A66,main!$A$3:$I$56,6,FALSE)+main!$D$57,0)</f>
        <v>0</v>
      </c>
      <c r="AS66">
        <f>IF((phi!AS11),VLOOKUP(AS$1,main!$A$3:$I$56,5,FALSE)-VLOOKUP($A66,main!$A$3:$I$56,6,FALSE)+main!$D$57,0)</f>
        <v>0</v>
      </c>
      <c r="AT66">
        <f>IF((phi!AT11),VLOOKUP(AT$1,main!$A$3:$I$56,5,FALSE)-VLOOKUP($A66,main!$A$3:$I$56,6,FALSE)+main!$D$57,0)</f>
        <v>205</v>
      </c>
      <c r="AU66">
        <f>IF((phi!AU11),VLOOKUP(AU$1,main!$A$3:$I$56,5,FALSE)-VLOOKUP($A66,main!$A$3:$I$56,6,FALSE)+main!$D$57,0)</f>
        <v>0</v>
      </c>
      <c r="AV66">
        <f>IF((phi!AV11),VLOOKUP(AV$1,main!$A$3:$I$56,5,FALSE)-VLOOKUP($A66,main!$A$3:$I$56,6,FALSE)+main!$D$57,0)</f>
        <v>0</v>
      </c>
      <c r="AW66">
        <f>IF((phi!AW11),VLOOKUP(AW$1,main!$A$3:$I$56,5,FALSE)-VLOOKUP($A66,main!$A$3:$I$56,6,FALSE)+main!$D$57,0)</f>
        <v>155</v>
      </c>
      <c r="AX66">
        <f>IF((phi!AX11),VLOOKUP(AX$1,main!$A$3:$I$56,5,FALSE)-VLOOKUP($A66,main!$A$3:$I$56,6,FALSE)+main!$D$57,0)</f>
        <v>355</v>
      </c>
      <c r="AY66">
        <f>IF((phi!AY11),VLOOKUP(AY$1,main!$A$3:$I$56,5,FALSE)-VLOOKUP($A66,main!$A$3:$I$56,6,FALSE)+main!$D$57,0)</f>
        <v>555</v>
      </c>
      <c r="AZ66">
        <f>IF((phi!AZ11),VLOOKUP(AZ$1,main!$A$3:$I$56,5,FALSE)-VLOOKUP($A66,main!$A$3:$I$56,6,FALSE)+main!$D$57,0)</f>
        <v>0</v>
      </c>
      <c r="BA66">
        <f>IF((phi!BA11),VLOOKUP(BA$1,main!$A$3:$I$56,5,FALSE)-VLOOKUP($A66,main!$A$3:$I$56,6,FALSE)+main!$D$57,0)</f>
        <v>0</v>
      </c>
      <c r="BB66">
        <f>IF((phi!BB11),VLOOKUP(BB$1,main!$A$3:$I$56,5,FALSE)-VLOOKUP($A66,main!$A$3:$I$56,6,FALSE)+main!$D$57,0)</f>
        <v>135</v>
      </c>
      <c r="BC66">
        <f>IF((phi!BC11),VLOOKUP(BC$1,main!$A$3:$I$56,5,FALSE)-VLOOKUP($A66,main!$A$3:$I$56,6,FALSE)+main!$D$57,0)</f>
        <v>320</v>
      </c>
      <c r="BD66">
        <f>IF((phi!BD11),VLOOKUP(BD$1,main!$A$3:$I$56,5,FALSE)-VLOOKUP($A66,main!$A$3:$I$56,6,FALSE)+main!$D$57,0)</f>
        <v>330</v>
      </c>
    </row>
    <row r="67" spans="1:56" x14ac:dyDescent="0.25">
      <c r="A67">
        <f t="shared" si="3"/>
        <v>10</v>
      </c>
      <c r="B67">
        <v>0</v>
      </c>
      <c r="C67">
        <f>IF((phi!C12),VLOOKUP(C$1,main!$A$3:$I$56,5,FALSE)-VLOOKUP($A67,main!$A$3:$I$56,6,FALSE)+main!$D$57,0)</f>
        <v>0</v>
      </c>
      <c r="D67">
        <f>IF((phi!D12),VLOOKUP(D$1,main!$A$3:$I$56,5,FALSE)-VLOOKUP($A67,main!$A$3:$I$56,6,FALSE)+main!$D$57,0)</f>
        <v>0</v>
      </c>
      <c r="E67">
        <f>IF((phi!E12),VLOOKUP(E$1,main!$A$3:$I$56,5,FALSE)-VLOOKUP($A67,main!$A$3:$I$56,6,FALSE)+main!$D$57,0)</f>
        <v>0</v>
      </c>
      <c r="F67">
        <f>IF((phi!F12),VLOOKUP(F$1,main!$A$3:$I$56,5,FALSE)-VLOOKUP($A67,main!$A$3:$I$56,6,FALSE)+main!$D$57,0)</f>
        <v>155</v>
      </c>
      <c r="G67">
        <f>IF((phi!G12),VLOOKUP(G$1,main!$A$3:$I$56,5,FALSE)-VLOOKUP($A67,main!$A$3:$I$56,6,FALSE)+main!$D$57,0)</f>
        <v>215</v>
      </c>
      <c r="H67">
        <f>IF((phi!H12),VLOOKUP(H$1,main!$A$3:$I$56,5,FALSE)-VLOOKUP($A67,main!$A$3:$I$56,6,FALSE)+main!$D$57,0)</f>
        <v>275</v>
      </c>
      <c r="I67">
        <f>IF((phi!I12),VLOOKUP(I$1,main!$A$3:$I$56,5,FALSE)-VLOOKUP($A67,main!$A$3:$I$56,6,FALSE)+main!$D$57,0)</f>
        <v>335</v>
      </c>
      <c r="J67">
        <f>IF((phi!J12),VLOOKUP(J$1,main!$A$3:$I$56,5,FALSE)-VLOOKUP($A67,main!$A$3:$I$56,6,FALSE)+main!$D$57,0)</f>
        <v>425</v>
      </c>
      <c r="K67">
        <f>IF((phi!K12),VLOOKUP(K$1,main!$A$3:$I$56,5,FALSE)-VLOOKUP($A67,main!$A$3:$I$56,6,FALSE)+main!$D$57,0)</f>
        <v>0</v>
      </c>
      <c r="L67">
        <f>IF((phi!L12),VLOOKUP(L$1,main!$A$3:$I$56,5,FALSE)-VLOOKUP($A67,main!$A$3:$I$56,6,FALSE)+main!$D$57,0)</f>
        <v>0</v>
      </c>
      <c r="M67">
        <f>IF((phi!M12),VLOOKUP(M$1,main!$A$3:$I$56,5,FALSE)-VLOOKUP($A67,main!$A$3:$I$56,6,FALSE)+main!$D$57,0)</f>
        <v>0</v>
      </c>
      <c r="N67">
        <f>IF((phi!N12),VLOOKUP(N$1,main!$A$3:$I$56,5,FALSE)-VLOOKUP($A67,main!$A$3:$I$56,6,FALSE)+main!$D$57,0)</f>
        <v>390</v>
      </c>
      <c r="O67">
        <f>IF((phi!O12),VLOOKUP(O$1,main!$A$3:$I$56,5,FALSE)-VLOOKUP($A67,main!$A$3:$I$56,6,FALSE)+main!$D$57,0)</f>
        <v>450</v>
      </c>
      <c r="P67">
        <f>IF((phi!P12),VLOOKUP(P$1,main!$A$3:$I$56,5,FALSE)-VLOOKUP($A67,main!$A$3:$I$56,6,FALSE)+main!$D$57,0)</f>
        <v>0</v>
      </c>
      <c r="Q67">
        <f>IF((phi!Q12),VLOOKUP(Q$1,main!$A$3:$I$56,5,FALSE)-VLOOKUP($A67,main!$A$3:$I$56,6,FALSE)+main!$D$57,0)</f>
        <v>0</v>
      </c>
      <c r="R67">
        <f>IF((phi!R12),VLOOKUP(R$1,main!$A$3:$I$56,5,FALSE)-VLOOKUP($A67,main!$A$3:$I$56,6,FALSE)+main!$D$57,0)</f>
        <v>0</v>
      </c>
      <c r="S67">
        <f>IF((phi!S12),VLOOKUP(S$1,main!$A$3:$I$56,5,FALSE)-VLOOKUP($A67,main!$A$3:$I$56,6,FALSE)+main!$D$57,0)</f>
        <v>205</v>
      </c>
      <c r="T67">
        <f>IF((phi!T12),VLOOKUP(T$1,main!$A$3:$I$56,5,FALSE)-VLOOKUP($A67,main!$A$3:$I$56,6,FALSE)+main!$D$57,0)</f>
        <v>355</v>
      </c>
      <c r="U67">
        <f>IF((phi!U12),VLOOKUP(U$1,main!$A$3:$I$56,5,FALSE)-VLOOKUP($A67,main!$A$3:$I$56,6,FALSE)+main!$D$57,0)</f>
        <v>0</v>
      </c>
      <c r="V67">
        <f>IF((phi!V12),VLOOKUP(V$1,main!$A$3:$I$56,5,FALSE)-VLOOKUP($A67,main!$A$3:$I$56,6,FALSE)+main!$D$57,0)</f>
        <v>0</v>
      </c>
      <c r="W67">
        <f>IF((phi!W12),VLOOKUP(W$1,main!$A$3:$I$56,5,FALSE)-VLOOKUP($A67,main!$A$3:$I$56,6,FALSE)+main!$D$57,0)</f>
        <v>0</v>
      </c>
      <c r="X67">
        <f>IF((phi!X12),VLOOKUP(X$1,main!$A$3:$I$56,5,FALSE)-VLOOKUP($A67,main!$A$3:$I$56,6,FALSE)+main!$D$57,0)</f>
        <v>0</v>
      </c>
      <c r="Y67">
        <f>IF((phi!Y12),VLOOKUP(Y$1,main!$A$3:$I$56,5,FALSE)-VLOOKUP($A67,main!$A$3:$I$56,6,FALSE)+main!$D$57,0)</f>
        <v>135</v>
      </c>
      <c r="Z67">
        <f>IF((phi!Z12),VLOOKUP(Z$1,main!$A$3:$I$56,5,FALSE)-VLOOKUP($A67,main!$A$3:$I$56,6,FALSE)+main!$D$57,0)</f>
        <v>225</v>
      </c>
      <c r="AA67">
        <f>IF((phi!AA12),VLOOKUP(AA$1,main!$A$3:$I$56,5,FALSE)-VLOOKUP($A67,main!$A$3:$I$56,6,FALSE)+main!$D$57,0)</f>
        <v>315</v>
      </c>
      <c r="AB67">
        <f>IF((phi!AB12),VLOOKUP(AB$1,main!$A$3:$I$56,5,FALSE)-VLOOKUP($A67,main!$A$3:$I$56,6,FALSE)+main!$D$57,0)</f>
        <v>375</v>
      </c>
      <c r="AC67">
        <f>IF((phi!AC12),VLOOKUP(AC$1,main!$A$3:$I$56,5,FALSE)-VLOOKUP($A67,main!$A$3:$I$56,6,FALSE)+main!$D$57,0)</f>
        <v>0</v>
      </c>
      <c r="AD67">
        <f>IF((phi!AD12),VLOOKUP(AD$1,main!$A$3:$I$56,5,FALSE)-VLOOKUP($A67,main!$A$3:$I$56,6,FALSE)+main!$D$57,0)</f>
        <v>0</v>
      </c>
      <c r="AE67">
        <f>IF((phi!AE12),VLOOKUP(AE$1,main!$A$3:$I$56,5,FALSE)-VLOOKUP($A67,main!$A$3:$I$56,6,FALSE)+main!$D$57,0)</f>
        <v>0</v>
      </c>
      <c r="AF67">
        <f>IF((phi!AF12),VLOOKUP(AF$1,main!$A$3:$I$56,5,FALSE)-VLOOKUP($A67,main!$A$3:$I$56,6,FALSE)+main!$D$57,0)</f>
        <v>185</v>
      </c>
      <c r="AG67">
        <f>IF((phi!AG12),VLOOKUP(AG$1,main!$A$3:$I$56,5,FALSE)-VLOOKUP($A67,main!$A$3:$I$56,6,FALSE)+main!$D$57,0)</f>
        <v>0</v>
      </c>
      <c r="AH67">
        <f>IF((phi!AH12),VLOOKUP(AH$1,main!$A$3:$I$56,5,FALSE)-VLOOKUP($A67,main!$A$3:$I$56,6,FALSE)+main!$D$57,0)</f>
        <v>0</v>
      </c>
      <c r="AI67">
        <f>IF((phi!AI12),VLOOKUP(AI$1,main!$A$3:$I$56,5,FALSE)-VLOOKUP($A67,main!$A$3:$I$56,6,FALSE)+main!$D$57,0)</f>
        <v>0</v>
      </c>
      <c r="AJ67">
        <f>IF((phi!AJ12),VLOOKUP(AJ$1,main!$A$3:$I$56,5,FALSE)-VLOOKUP($A67,main!$A$3:$I$56,6,FALSE)+main!$D$57,0)</f>
        <v>155</v>
      </c>
      <c r="AK67">
        <f>IF((phi!AK12),VLOOKUP(AK$1,main!$A$3:$I$56,5,FALSE)-VLOOKUP($A67,main!$A$3:$I$56,6,FALSE)+main!$D$57,0)</f>
        <v>275</v>
      </c>
      <c r="AL67">
        <f>IF((phi!AL12),VLOOKUP(AL$1,main!$A$3:$I$56,5,FALSE)-VLOOKUP($A67,main!$A$3:$I$56,6,FALSE)+main!$D$57,0)</f>
        <v>0</v>
      </c>
      <c r="AM67">
        <f>IF((phi!AM12),VLOOKUP(AM$1,main!$A$3:$I$56,5,FALSE)-VLOOKUP($A67,main!$A$3:$I$56,6,FALSE)+main!$D$57,0)</f>
        <v>0</v>
      </c>
      <c r="AN67">
        <f>IF((phi!AN12),VLOOKUP(AN$1,main!$A$3:$I$56,5,FALSE)-VLOOKUP($A67,main!$A$3:$I$56,6,FALSE)+main!$D$57,0)</f>
        <v>135</v>
      </c>
      <c r="AO67">
        <f>IF((phi!AO12),VLOOKUP(AO$1,main!$A$3:$I$56,5,FALSE)-VLOOKUP($A67,main!$A$3:$I$56,6,FALSE)+main!$D$57,0)</f>
        <v>185</v>
      </c>
      <c r="AP67">
        <f>IF((phi!AP12),VLOOKUP(AP$1,main!$A$3:$I$56,5,FALSE)-VLOOKUP($A67,main!$A$3:$I$56,6,FALSE)+main!$D$57,0)</f>
        <v>0</v>
      </c>
      <c r="AQ67">
        <f>IF((phi!AQ12),VLOOKUP(AQ$1,main!$A$3:$I$56,5,FALSE)-VLOOKUP($A67,main!$A$3:$I$56,6,FALSE)+main!$D$57,0)</f>
        <v>0</v>
      </c>
      <c r="AR67">
        <f>IF((phi!AR12),VLOOKUP(AR$1,main!$A$3:$I$56,5,FALSE)-VLOOKUP($A67,main!$A$3:$I$56,6,FALSE)+main!$D$57,0)</f>
        <v>0</v>
      </c>
      <c r="AS67">
        <f>IF((phi!AS12),VLOOKUP(AS$1,main!$A$3:$I$56,5,FALSE)-VLOOKUP($A67,main!$A$3:$I$56,6,FALSE)+main!$D$57,0)</f>
        <v>0</v>
      </c>
      <c r="AT67">
        <f>IF((phi!AT12),VLOOKUP(AT$1,main!$A$3:$I$56,5,FALSE)-VLOOKUP($A67,main!$A$3:$I$56,6,FALSE)+main!$D$57,0)</f>
        <v>0</v>
      </c>
      <c r="AU67">
        <f>IF((phi!AU12),VLOOKUP(AU$1,main!$A$3:$I$56,5,FALSE)-VLOOKUP($A67,main!$A$3:$I$56,6,FALSE)+main!$D$57,0)</f>
        <v>0</v>
      </c>
      <c r="AV67">
        <f>IF((phi!AV12),VLOOKUP(AV$1,main!$A$3:$I$56,5,FALSE)-VLOOKUP($A67,main!$A$3:$I$56,6,FALSE)+main!$D$57,0)</f>
        <v>0</v>
      </c>
      <c r="AW67">
        <f>IF((phi!AW12),VLOOKUP(AW$1,main!$A$3:$I$56,5,FALSE)-VLOOKUP($A67,main!$A$3:$I$56,6,FALSE)+main!$D$57,0)</f>
        <v>0</v>
      </c>
      <c r="AX67">
        <f>IF((phi!AX12),VLOOKUP(AX$1,main!$A$3:$I$56,5,FALSE)-VLOOKUP($A67,main!$A$3:$I$56,6,FALSE)+main!$D$57,0)</f>
        <v>235</v>
      </c>
      <c r="AY67">
        <f>IF((phi!AY12),VLOOKUP(AY$1,main!$A$3:$I$56,5,FALSE)-VLOOKUP($A67,main!$A$3:$I$56,6,FALSE)+main!$D$57,0)</f>
        <v>435</v>
      </c>
      <c r="AZ67">
        <f>IF((phi!AZ12),VLOOKUP(AZ$1,main!$A$3:$I$56,5,FALSE)-VLOOKUP($A67,main!$A$3:$I$56,6,FALSE)+main!$D$57,0)</f>
        <v>0</v>
      </c>
      <c r="BA67">
        <f>IF((phi!BA12),VLOOKUP(BA$1,main!$A$3:$I$56,5,FALSE)-VLOOKUP($A67,main!$A$3:$I$56,6,FALSE)+main!$D$57,0)</f>
        <v>0</v>
      </c>
      <c r="BB67">
        <f>IF((phi!BB12),VLOOKUP(BB$1,main!$A$3:$I$56,5,FALSE)-VLOOKUP($A67,main!$A$3:$I$56,6,FALSE)+main!$D$57,0)</f>
        <v>0</v>
      </c>
      <c r="BC67">
        <f>IF((phi!BC12),VLOOKUP(BC$1,main!$A$3:$I$56,5,FALSE)-VLOOKUP($A67,main!$A$3:$I$56,6,FALSE)+main!$D$57,0)</f>
        <v>200</v>
      </c>
      <c r="BD67">
        <f>IF((phi!BD12),VLOOKUP(BD$1,main!$A$3:$I$56,5,FALSE)-VLOOKUP($A67,main!$A$3:$I$56,6,FALSE)+main!$D$57,0)</f>
        <v>210</v>
      </c>
    </row>
    <row r="68" spans="1:56" x14ac:dyDescent="0.25">
      <c r="A68">
        <f t="shared" si="3"/>
        <v>11</v>
      </c>
      <c r="B68">
        <v>0</v>
      </c>
      <c r="C68">
        <f>IF((phi!C13),VLOOKUP(C$1,main!$A$3:$I$56,5,FALSE)-VLOOKUP($A68,main!$A$3:$I$56,6,FALSE)+main!$D$57,0)</f>
        <v>0</v>
      </c>
      <c r="D68">
        <f>IF((phi!D13),VLOOKUP(D$1,main!$A$3:$I$56,5,FALSE)-VLOOKUP($A68,main!$A$3:$I$56,6,FALSE)+main!$D$57,0)</f>
        <v>0</v>
      </c>
      <c r="E68">
        <f>IF((phi!E13),VLOOKUP(E$1,main!$A$3:$I$56,5,FALSE)-VLOOKUP($A68,main!$A$3:$I$56,6,FALSE)+main!$D$57,0)</f>
        <v>0</v>
      </c>
      <c r="F68">
        <f>IF((phi!F13),VLOOKUP(F$1,main!$A$3:$I$56,5,FALSE)-VLOOKUP($A68,main!$A$3:$I$56,6,FALSE)+main!$D$57,0)</f>
        <v>0</v>
      </c>
      <c r="G68">
        <f>IF((phi!G13),VLOOKUP(G$1,main!$A$3:$I$56,5,FALSE)-VLOOKUP($A68,main!$A$3:$I$56,6,FALSE)+main!$D$57,0)</f>
        <v>0</v>
      </c>
      <c r="H68">
        <f>IF((phi!H13),VLOOKUP(H$1,main!$A$3:$I$56,5,FALSE)-VLOOKUP($A68,main!$A$3:$I$56,6,FALSE)+main!$D$57,0)</f>
        <v>155</v>
      </c>
      <c r="I68">
        <f>IF((phi!I13),VLOOKUP(I$1,main!$A$3:$I$56,5,FALSE)-VLOOKUP($A68,main!$A$3:$I$56,6,FALSE)+main!$D$57,0)</f>
        <v>215</v>
      </c>
      <c r="J68">
        <f>IF((phi!J13),VLOOKUP(J$1,main!$A$3:$I$56,5,FALSE)-VLOOKUP($A68,main!$A$3:$I$56,6,FALSE)+main!$D$57,0)</f>
        <v>305</v>
      </c>
      <c r="K68">
        <f>IF((phi!K13),VLOOKUP(K$1,main!$A$3:$I$56,5,FALSE)-VLOOKUP($A68,main!$A$3:$I$56,6,FALSE)+main!$D$57,0)</f>
        <v>0</v>
      </c>
      <c r="L68">
        <f>IF((phi!L13),VLOOKUP(L$1,main!$A$3:$I$56,5,FALSE)-VLOOKUP($A68,main!$A$3:$I$56,6,FALSE)+main!$D$57,0)</f>
        <v>0</v>
      </c>
      <c r="M68">
        <f>IF((phi!M13),VLOOKUP(M$1,main!$A$3:$I$56,5,FALSE)-VLOOKUP($A68,main!$A$3:$I$56,6,FALSE)+main!$D$57,0)</f>
        <v>0</v>
      </c>
      <c r="N68">
        <f>IF((phi!N13),VLOOKUP(N$1,main!$A$3:$I$56,5,FALSE)-VLOOKUP($A68,main!$A$3:$I$56,6,FALSE)+main!$D$57,0)</f>
        <v>270</v>
      </c>
      <c r="O68">
        <f>IF((phi!O13),VLOOKUP(O$1,main!$A$3:$I$56,5,FALSE)-VLOOKUP($A68,main!$A$3:$I$56,6,FALSE)+main!$D$57,0)</f>
        <v>330</v>
      </c>
      <c r="P68">
        <f>IF((phi!P13),VLOOKUP(P$1,main!$A$3:$I$56,5,FALSE)-VLOOKUP($A68,main!$A$3:$I$56,6,FALSE)+main!$D$57,0)</f>
        <v>0</v>
      </c>
      <c r="Q68">
        <f>IF((phi!Q13),VLOOKUP(Q$1,main!$A$3:$I$56,5,FALSE)-VLOOKUP($A68,main!$A$3:$I$56,6,FALSE)+main!$D$57,0)</f>
        <v>0</v>
      </c>
      <c r="R68">
        <f>IF((phi!R13),VLOOKUP(R$1,main!$A$3:$I$56,5,FALSE)-VLOOKUP($A68,main!$A$3:$I$56,6,FALSE)+main!$D$57,0)</f>
        <v>0</v>
      </c>
      <c r="S68">
        <f>IF((phi!S13),VLOOKUP(S$1,main!$A$3:$I$56,5,FALSE)-VLOOKUP($A68,main!$A$3:$I$56,6,FALSE)+main!$D$57,0)</f>
        <v>0</v>
      </c>
      <c r="T68">
        <f>IF((phi!T13),VLOOKUP(T$1,main!$A$3:$I$56,5,FALSE)-VLOOKUP($A68,main!$A$3:$I$56,6,FALSE)+main!$D$57,0)</f>
        <v>235</v>
      </c>
      <c r="U68">
        <f>IF((phi!U13),VLOOKUP(U$1,main!$A$3:$I$56,5,FALSE)-VLOOKUP($A68,main!$A$3:$I$56,6,FALSE)+main!$D$57,0)</f>
        <v>0</v>
      </c>
      <c r="V68">
        <f>IF((phi!V13),VLOOKUP(V$1,main!$A$3:$I$56,5,FALSE)-VLOOKUP($A68,main!$A$3:$I$56,6,FALSE)+main!$D$57,0)</f>
        <v>0</v>
      </c>
      <c r="W68">
        <f>IF((phi!W13),VLOOKUP(W$1,main!$A$3:$I$56,5,FALSE)-VLOOKUP($A68,main!$A$3:$I$56,6,FALSE)+main!$D$57,0)</f>
        <v>0</v>
      </c>
      <c r="X68">
        <f>IF((phi!X13),VLOOKUP(X$1,main!$A$3:$I$56,5,FALSE)-VLOOKUP($A68,main!$A$3:$I$56,6,FALSE)+main!$D$57,0)</f>
        <v>0</v>
      </c>
      <c r="Y68">
        <f>IF((phi!Y13),VLOOKUP(Y$1,main!$A$3:$I$56,5,FALSE)-VLOOKUP($A68,main!$A$3:$I$56,6,FALSE)+main!$D$57,0)</f>
        <v>0</v>
      </c>
      <c r="Z68">
        <f>IF((phi!Z13),VLOOKUP(Z$1,main!$A$3:$I$56,5,FALSE)-VLOOKUP($A68,main!$A$3:$I$56,6,FALSE)+main!$D$57,0)</f>
        <v>0</v>
      </c>
      <c r="AA68">
        <f>IF((phi!AA13),VLOOKUP(AA$1,main!$A$3:$I$56,5,FALSE)-VLOOKUP($A68,main!$A$3:$I$56,6,FALSE)+main!$D$57,0)</f>
        <v>195</v>
      </c>
      <c r="AB68">
        <f>IF((phi!AB13),VLOOKUP(AB$1,main!$A$3:$I$56,5,FALSE)-VLOOKUP($A68,main!$A$3:$I$56,6,FALSE)+main!$D$57,0)</f>
        <v>255</v>
      </c>
      <c r="AC68">
        <f>IF((phi!AC13),VLOOKUP(AC$1,main!$A$3:$I$56,5,FALSE)-VLOOKUP($A68,main!$A$3:$I$56,6,FALSE)+main!$D$57,0)</f>
        <v>0</v>
      </c>
      <c r="AD68">
        <f>IF((phi!AD13),VLOOKUP(AD$1,main!$A$3:$I$56,5,FALSE)-VLOOKUP($A68,main!$A$3:$I$56,6,FALSE)+main!$D$57,0)</f>
        <v>0</v>
      </c>
      <c r="AE68">
        <f>IF((phi!AE13),VLOOKUP(AE$1,main!$A$3:$I$56,5,FALSE)-VLOOKUP($A68,main!$A$3:$I$56,6,FALSE)+main!$D$57,0)</f>
        <v>0</v>
      </c>
      <c r="AF68">
        <f>IF((phi!AF13),VLOOKUP(AF$1,main!$A$3:$I$56,5,FALSE)-VLOOKUP($A68,main!$A$3:$I$56,6,FALSE)+main!$D$57,0)</f>
        <v>0</v>
      </c>
      <c r="AG68">
        <f>IF((phi!AG13),VLOOKUP(AG$1,main!$A$3:$I$56,5,FALSE)-VLOOKUP($A68,main!$A$3:$I$56,6,FALSE)+main!$D$57,0)</f>
        <v>0</v>
      </c>
      <c r="AH68">
        <f>IF((phi!AH13),VLOOKUP(AH$1,main!$A$3:$I$56,5,FALSE)-VLOOKUP($A68,main!$A$3:$I$56,6,FALSE)+main!$D$57,0)</f>
        <v>0</v>
      </c>
      <c r="AI68">
        <f>IF((phi!AI13),VLOOKUP(AI$1,main!$A$3:$I$56,5,FALSE)-VLOOKUP($A68,main!$A$3:$I$56,6,FALSE)+main!$D$57,0)</f>
        <v>0</v>
      </c>
      <c r="AJ68">
        <f>IF((phi!AJ13),VLOOKUP(AJ$1,main!$A$3:$I$56,5,FALSE)-VLOOKUP($A68,main!$A$3:$I$56,6,FALSE)+main!$D$57,0)</f>
        <v>0</v>
      </c>
      <c r="AK68">
        <f>IF((phi!AK13),VLOOKUP(AK$1,main!$A$3:$I$56,5,FALSE)-VLOOKUP($A68,main!$A$3:$I$56,6,FALSE)+main!$D$57,0)</f>
        <v>155</v>
      </c>
      <c r="AL68">
        <f>IF((phi!AL13),VLOOKUP(AL$1,main!$A$3:$I$56,5,FALSE)-VLOOKUP($A68,main!$A$3:$I$56,6,FALSE)+main!$D$57,0)</f>
        <v>0</v>
      </c>
      <c r="AM68">
        <f>IF((phi!AM13),VLOOKUP(AM$1,main!$A$3:$I$56,5,FALSE)-VLOOKUP($A68,main!$A$3:$I$56,6,FALSE)+main!$D$57,0)</f>
        <v>0</v>
      </c>
      <c r="AN68">
        <f>IF((phi!AN13),VLOOKUP(AN$1,main!$A$3:$I$56,5,FALSE)-VLOOKUP($A68,main!$A$3:$I$56,6,FALSE)+main!$D$57,0)</f>
        <v>0</v>
      </c>
      <c r="AO68">
        <f>IF((phi!AO13),VLOOKUP(AO$1,main!$A$3:$I$56,5,FALSE)-VLOOKUP($A68,main!$A$3:$I$56,6,FALSE)+main!$D$57,0)</f>
        <v>0</v>
      </c>
      <c r="AP68">
        <f>IF((phi!AP13),VLOOKUP(AP$1,main!$A$3:$I$56,5,FALSE)-VLOOKUP($A68,main!$A$3:$I$56,6,FALSE)+main!$D$57,0)</f>
        <v>0</v>
      </c>
      <c r="AQ68">
        <f>IF((phi!AQ13),VLOOKUP(AQ$1,main!$A$3:$I$56,5,FALSE)-VLOOKUP($A68,main!$A$3:$I$56,6,FALSE)+main!$D$57,0)</f>
        <v>0</v>
      </c>
      <c r="AR68">
        <f>IF((phi!AR13),VLOOKUP(AR$1,main!$A$3:$I$56,5,FALSE)-VLOOKUP($A68,main!$A$3:$I$56,6,FALSE)+main!$D$57,0)</f>
        <v>0</v>
      </c>
      <c r="AS68">
        <f>IF((phi!AS13),VLOOKUP(AS$1,main!$A$3:$I$56,5,FALSE)-VLOOKUP($A68,main!$A$3:$I$56,6,FALSE)+main!$D$57,0)</f>
        <v>0</v>
      </c>
      <c r="AT68">
        <f>IF((phi!AT13),VLOOKUP(AT$1,main!$A$3:$I$56,5,FALSE)-VLOOKUP($A68,main!$A$3:$I$56,6,FALSE)+main!$D$57,0)</f>
        <v>0</v>
      </c>
      <c r="AU68">
        <f>IF((phi!AU13),VLOOKUP(AU$1,main!$A$3:$I$56,5,FALSE)-VLOOKUP($A68,main!$A$3:$I$56,6,FALSE)+main!$D$57,0)</f>
        <v>0</v>
      </c>
      <c r="AV68">
        <f>IF((phi!AV13),VLOOKUP(AV$1,main!$A$3:$I$56,5,FALSE)-VLOOKUP($A68,main!$A$3:$I$56,6,FALSE)+main!$D$57,0)</f>
        <v>0</v>
      </c>
      <c r="AW68">
        <f>IF((phi!AW13),VLOOKUP(AW$1,main!$A$3:$I$56,5,FALSE)-VLOOKUP($A68,main!$A$3:$I$56,6,FALSE)+main!$D$57,0)</f>
        <v>0</v>
      </c>
      <c r="AX68">
        <f>IF((phi!AX13),VLOOKUP(AX$1,main!$A$3:$I$56,5,FALSE)-VLOOKUP($A68,main!$A$3:$I$56,6,FALSE)+main!$D$57,0)</f>
        <v>0</v>
      </c>
      <c r="AY68">
        <f>IF((phi!AY13),VLOOKUP(AY$1,main!$A$3:$I$56,5,FALSE)-VLOOKUP($A68,main!$A$3:$I$56,6,FALSE)+main!$D$57,0)</f>
        <v>315</v>
      </c>
      <c r="AZ68">
        <f>IF((phi!AZ13),VLOOKUP(AZ$1,main!$A$3:$I$56,5,FALSE)-VLOOKUP($A68,main!$A$3:$I$56,6,FALSE)+main!$D$57,0)</f>
        <v>0</v>
      </c>
      <c r="BA68">
        <f>IF((phi!BA13),VLOOKUP(BA$1,main!$A$3:$I$56,5,FALSE)-VLOOKUP($A68,main!$A$3:$I$56,6,FALSE)+main!$D$57,0)</f>
        <v>0</v>
      </c>
      <c r="BB68">
        <f>IF((phi!BB13),VLOOKUP(BB$1,main!$A$3:$I$56,5,FALSE)-VLOOKUP($A68,main!$A$3:$I$56,6,FALSE)+main!$D$57,0)</f>
        <v>0</v>
      </c>
      <c r="BC68">
        <f>IF((phi!BC13),VLOOKUP(BC$1,main!$A$3:$I$56,5,FALSE)-VLOOKUP($A68,main!$A$3:$I$56,6,FALSE)+main!$D$57,0)</f>
        <v>0</v>
      </c>
      <c r="BD68">
        <f>IF((phi!BD13),VLOOKUP(BD$1,main!$A$3:$I$56,5,FALSE)-VLOOKUP($A68,main!$A$3:$I$56,6,FALSE)+main!$D$57,0)</f>
        <v>0</v>
      </c>
    </row>
    <row r="69" spans="1:56" x14ac:dyDescent="0.25">
      <c r="A69">
        <f t="shared" si="3"/>
        <v>12</v>
      </c>
      <c r="B69">
        <v>0</v>
      </c>
      <c r="C69">
        <f>IF((phi!C14),VLOOKUP(C$1,main!$A$3:$I$56,5,FALSE)-VLOOKUP($A69,main!$A$3:$I$56,6,FALSE)+main!$D$57,0)</f>
        <v>0</v>
      </c>
      <c r="D69">
        <f>IF((phi!D14),VLOOKUP(D$1,main!$A$3:$I$56,5,FALSE)-VLOOKUP($A69,main!$A$3:$I$56,6,FALSE)+main!$D$57,0)</f>
        <v>0</v>
      </c>
      <c r="E69">
        <f>IF((phi!E14),VLOOKUP(E$1,main!$A$3:$I$56,5,FALSE)-VLOOKUP($A69,main!$A$3:$I$56,6,FALSE)+main!$D$57,0)</f>
        <v>0</v>
      </c>
      <c r="F69">
        <f>IF((phi!F14),VLOOKUP(F$1,main!$A$3:$I$56,5,FALSE)-VLOOKUP($A69,main!$A$3:$I$56,6,FALSE)+main!$D$57,0)</f>
        <v>0</v>
      </c>
      <c r="G69">
        <f>IF((phi!G14),VLOOKUP(G$1,main!$A$3:$I$56,5,FALSE)-VLOOKUP($A69,main!$A$3:$I$56,6,FALSE)+main!$D$57,0)</f>
        <v>0</v>
      </c>
      <c r="H69">
        <f>IF((phi!H14),VLOOKUP(H$1,main!$A$3:$I$56,5,FALSE)-VLOOKUP($A69,main!$A$3:$I$56,6,FALSE)+main!$D$57,0)</f>
        <v>0</v>
      </c>
      <c r="I69">
        <f>IF((phi!I14),VLOOKUP(I$1,main!$A$3:$I$56,5,FALSE)-VLOOKUP($A69,main!$A$3:$I$56,6,FALSE)+main!$D$57,0)</f>
        <v>0</v>
      </c>
      <c r="J69">
        <f>IF((phi!J14),VLOOKUP(J$1,main!$A$3:$I$56,5,FALSE)-VLOOKUP($A69,main!$A$3:$I$56,6,FALSE)+main!$D$57,0)</f>
        <v>0</v>
      </c>
      <c r="K69">
        <f>IF((phi!K14),VLOOKUP(K$1,main!$A$3:$I$56,5,FALSE)-VLOOKUP($A69,main!$A$3:$I$56,6,FALSE)+main!$D$57,0)</f>
        <v>0</v>
      </c>
      <c r="L69">
        <f>IF((phi!L14),VLOOKUP(L$1,main!$A$3:$I$56,5,FALSE)-VLOOKUP($A69,main!$A$3:$I$56,6,FALSE)+main!$D$57,0)</f>
        <v>0</v>
      </c>
      <c r="M69">
        <f>IF((phi!M14),VLOOKUP(M$1,main!$A$3:$I$56,5,FALSE)-VLOOKUP($A69,main!$A$3:$I$56,6,FALSE)+main!$D$57,0)</f>
        <v>0</v>
      </c>
      <c r="N69">
        <f>IF((phi!N14),VLOOKUP(N$1,main!$A$3:$I$56,5,FALSE)-VLOOKUP($A69,main!$A$3:$I$56,6,FALSE)+main!$D$57,0)</f>
        <v>0</v>
      </c>
      <c r="O69">
        <f>IF((phi!O14),VLOOKUP(O$1,main!$A$3:$I$56,5,FALSE)-VLOOKUP($A69,main!$A$3:$I$56,6,FALSE)+main!$D$57,0)</f>
        <v>0</v>
      </c>
      <c r="P69">
        <f>IF((phi!P14),VLOOKUP(P$1,main!$A$3:$I$56,5,FALSE)-VLOOKUP($A69,main!$A$3:$I$56,6,FALSE)+main!$D$57,0)</f>
        <v>0</v>
      </c>
      <c r="Q69">
        <f>IF((phi!Q14),VLOOKUP(Q$1,main!$A$3:$I$56,5,FALSE)-VLOOKUP($A69,main!$A$3:$I$56,6,FALSE)+main!$D$57,0)</f>
        <v>0</v>
      </c>
      <c r="R69">
        <f>IF((phi!R14),VLOOKUP(R$1,main!$A$3:$I$56,5,FALSE)-VLOOKUP($A69,main!$A$3:$I$56,6,FALSE)+main!$D$57,0)</f>
        <v>0</v>
      </c>
      <c r="S69">
        <f>IF((phi!S14),VLOOKUP(S$1,main!$A$3:$I$56,5,FALSE)-VLOOKUP($A69,main!$A$3:$I$56,6,FALSE)+main!$D$57,0)</f>
        <v>0</v>
      </c>
      <c r="T69">
        <f>IF((phi!T14),VLOOKUP(T$1,main!$A$3:$I$56,5,FALSE)-VLOOKUP($A69,main!$A$3:$I$56,6,FALSE)+main!$D$57,0)</f>
        <v>0</v>
      </c>
      <c r="U69">
        <f>IF((phi!U14),VLOOKUP(U$1,main!$A$3:$I$56,5,FALSE)-VLOOKUP($A69,main!$A$3:$I$56,6,FALSE)+main!$D$57,0)</f>
        <v>0</v>
      </c>
      <c r="V69">
        <f>IF((phi!V14),VLOOKUP(V$1,main!$A$3:$I$56,5,FALSE)-VLOOKUP($A69,main!$A$3:$I$56,6,FALSE)+main!$D$57,0)</f>
        <v>0</v>
      </c>
      <c r="W69">
        <f>IF((phi!W14),VLOOKUP(W$1,main!$A$3:$I$56,5,FALSE)-VLOOKUP($A69,main!$A$3:$I$56,6,FALSE)+main!$D$57,0)</f>
        <v>0</v>
      </c>
      <c r="X69">
        <f>IF((phi!X14),VLOOKUP(X$1,main!$A$3:$I$56,5,FALSE)-VLOOKUP($A69,main!$A$3:$I$56,6,FALSE)+main!$D$57,0)</f>
        <v>0</v>
      </c>
      <c r="Y69">
        <f>IF((phi!Y14),VLOOKUP(Y$1,main!$A$3:$I$56,5,FALSE)-VLOOKUP($A69,main!$A$3:$I$56,6,FALSE)+main!$D$57,0)</f>
        <v>0</v>
      </c>
      <c r="Z69">
        <f>IF((phi!Z14),VLOOKUP(Z$1,main!$A$3:$I$56,5,FALSE)-VLOOKUP($A69,main!$A$3:$I$56,6,FALSE)+main!$D$57,0)</f>
        <v>0</v>
      </c>
      <c r="AA69">
        <f>IF((phi!AA14),VLOOKUP(AA$1,main!$A$3:$I$56,5,FALSE)-VLOOKUP($A69,main!$A$3:$I$56,6,FALSE)+main!$D$57,0)</f>
        <v>0</v>
      </c>
      <c r="AB69">
        <f>IF((phi!AB14),VLOOKUP(AB$1,main!$A$3:$I$56,5,FALSE)-VLOOKUP($A69,main!$A$3:$I$56,6,FALSE)+main!$D$57,0)</f>
        <v>0</v>
      </c>
      <c r="AC69">
        <f>IF((phi!AC14),VLOOKUP(AC$1,main!$A$3:$I$56,5,FALSE)-VLOOKUP($A69,main!$A$3:$I$56,6,FALSE)+main!$D$57,0)</f>
        <v>0</v>
      </c>
      <c r="AD69">
        <f>IF((phi!AD14),VLOOKUP(AD$1,main!$A$3:$I$56,5,FALSE)-VLOOKUP($A69,main!$A$3:$I$56,6,FALSE)+main!$D$57,0)</f>
        <v>0</v>
      </c>
      <c r="AE69">
        <f>IF((phi!AE14),VLOOKUP(AE$1,main!$A$3:$I$56,5,FALSE)-VLOOKUP($A69,main!$A$3:$I$56,6,FALSE)+main!$D$57,0)</f>
        <v>0</v>
      </c>
      <c r="AF69">
        <f>IF((phi!AF14),VLOOKUP(AF$1,main!$A$3:$I$56,5,FALSE)-VLOOKUP($A69,main!$A$3:$I$56,6,FALSE)+main!$D$57,0)</f>
        <v>0</v>
      </c>
      <c r="AG69">
        <f>IF((phi!AG14),VLOOKUP(AG$1,main!$A$3:$I$56,5,FALSE)-VLOOKUP($A69,main!$A$3:$I$56,6,FALSE)+main!$D$57,0)</f>
        <v>0</v>
      </c>
      <c r="AH69">
        <f>IF((phi!AH14),VLOOKUP(AH$1,main!$A$3:$I$56,5,FALSE)-VLOOKUP($A69,main!$A$3:$I$56,6,FALSE)+main!$D$57,0)</f>
        <v>0</v>
      </c>
      <c r="AI69">
        <f>IF((phi!AI14),VLOOKUP(AI$1,main!$A$3:$I$56,5,FALSE)-VLOOKUP($A69,main!$A$3:$I$56,6,FALSE)+main!$D$57,0)</f>
        <v>0</v>
      </c>
      <c r="AJ69">
        <f>IF((phi!AJ14),VLOOKUP(AJ$1,main!$A$3:$I$56,5,FALSE)-VLOOKUP($A69,main!$A$3:$I$56,6,FALSE)+main!$D$57,0)</f>
        <v>0</v>
      </c>
      <c r="AK69">
        <f>IF((phi!AK14),VLOOKUP(AK$1,main!$A$3:$I$56,5,FALSE)-VLOOKUP($A69,main!$A$3:$I$56,6,FALSE)+main!$D$57,0)</f>
        <v>0</v>
      </c>
      <c r="AL69">
        <f>IF((phi!AL14),VLOOKUP(AL$1,main!$A$3:$I$56,5,FALSE)-VLOOKUP($A69,main!$A$3:$I$56,6,FALSE)+main!$D$57,0)</f>
        <v>0</v>
      </c>
      <c r="AM69">
        <f>IF((phi!AM14),VLOOKUP(AM$1,main!$A$3:$I$56,5,FALSE)-VLOOKUP($A69,main!$A$3:$I$56,6,FALSE)+main!$D$57,0)</f>
        <v>0</v>
      </c>
      <c r="AN69">
        <f>IF((phi!AN14),VLOOKUP(AN$1,main!$A$3:$I$56,5,FALSE)-VLOOKUP($A69,main!$A$3:$I$56,6,FALSE)+main!$D$57,0)</f>
        <v>0</v>
      </c>
      <c r="AO69">
        <f>IF((phi!AO14),VLOOKUP(AO$1,main!$A$3:$I$56,5,FALSE)-VLOOKUP($A69,main!$A$3:$I$56,6,FALSE)+main!$D$57,0)</f>
        <v>0</v>
      </c>
      <c r="AP69">
        <f>IF((phi!AP14),VLOOKUP(AP$1,main!$A$3:$I$56,5,FALSE)-VLOOKUP($A69,main!$A$3:$I$56,6,FALSE)+main!$D$57,0)</f>
        <v>0</v>
      </c>
      <c r="AQ69">
        <f>IF((phi!AQ14),VLOOKUP(AQ$1,main!$A$3:$I$56,5,FALSE)-VLOOKUP($A69,main!$A$3:$I$56,6,FALSE)+main!$D$57,0)</f>
        <v>0</v>
      </c>
      <c r="AR69">
        <f>IF((phi!AR14),VLOOKUP(AR$1,main!$A$3:$I$56,5,FALSE)-VLOOKUP($A69,main!$A$3:$I$56,6,FALSE)+main!$D$57,0)</f>
        <v>0</v>
      </c>
      <c r="AS69">
        <f>IF((phi!AS14),VLOOKUP(AS$1,main!$A$3:$I$56,5,FALSE)-VLOOKUP($A69,main!$A$3:$I$56,6,FALSE)+main!$D$57,0)</f>
        <v>0</v>
      </c>
      <c r="AT69">
        <f>IF((phi!AT14),VLOOKUP(AT$1,main!$A$3:$I$56,5,FALSE)-VLOOKUP($A69,main!$A$3:$I$56,6,FALSE)+main!$D$57,0)</f>
        <v>0</v>
      </c>
      <c r="AU69">
        <f>IF((phi!AU14),VLOOKUP(AU$1,main!$A$3:$I$56,5,FALSE)-VLOOKUP($A69,main!$A$3:$I$56,6,FALSE)+main!$D$57,0)</f>
        <v>0</v>
      </c>
      <c r="AV69">
        <f>IF((phi!AV14),VLOOKUP(AV$1,main!$A$3:$I$56,5,FALSE)-VLOOKUP($A69,main!$A$3:$I$56,6,FALSE)+main!$D$57,0)</f>
        <v>0</v>
      </c>
      <c r="AW69">
        <f>IF((phi!AW14),VLOOKUP(AW$1,main!$A$3:$I$56,5,FALSE)-VLOOKUP($A69,main!$A$3:$I$56,6,FALSE)+main!$D$57,0)</f>
        <v>0</v>
      </c>
      <c r="AX69">
        <f>IF((phi!AX14),VLOOKUP(AX$1,main!$A$3:$I$56,5,FALSE)-VLOOKUP($A69,main!$A$3:$I$56,6,FALSE)+main!$D$57,0)</f>
        <v>0</v>
      </c>
      <c r="AY69">
        <f>IF((phi!AY14),VLOOKUP(AY$1,main!$A$3:$I$56,5,FALSE)-VLOOKUP($A69,main!$A$3:$I$56,6,FALSE)+main!$D$57,0)</f>
        <v>0</v>
      </c>
      <c r="AZ69">
        <f>IF((phi!AZ14),VLOOKUP(AZ$1,main!$A$3:$I$56,5,FALSE)-VLOOKUP($A69,main!$A$3:$I$56,6,FALSE)+main!$D$57,0)</f>
        <v>0</v>
      </c>
      <c r="BA69">
        <f>IF((phi!BA14),VLOOKUP(BA$1,main!$A$3:$I$56,5,FALSE)-VLOOKUP($A69,main!$A$3:$I$56,6,FALSE)+main!$D$57,0)</f>
        <v>0</v>
      </c>
      <c r="BB69">
        <f>IF((phi!BB14),VLOOKUP(BB$1,main!$A$3:$I$56,5,FALSE)-VLOOKUP($A69,main!$A$3:$I$56,6,FALSE)+main!$D$57,0)</f>
        <v>0</v>
      </c>
      <c r="BC69">
        <f>IF((phi!BC14),VLOOKUP(BC$1,main!$A$3:$I$56,5,FALSE)-VLOOKUP($A69,main!$A$3:$I$56,6,FALSE)+main!$D$57,0)</f>
        <v>0</v>
      </c>
      <c r="BD69">
        <f>IF((phi!BD14),VLOOKUP(BD$1,main!$A$3:$I$56,5,FALSE)-VLOOKUP($A69,main!$A$3:$I$56,6,FALSE)+main!$D$57,0)</f>
        <v>0</v>
      </c>
    </row>
    <row r="70" spans="1:56" x14ac:dyDescent="0.25">
      <c r="A70">
        <f t="shared" si="3"/>
        <v>13</v>
      </c>
      <c r="B70">
        <v>0</v>
      </c>
      <c r="C70">
        <f>IF((phi!C15),VLOOKUP(C$1,main!$A$3:$I$56,5,FALSE)-VLOOKUP($A70,main!$A$3:$I$56,6,FALSE)+main!$D$57,0)</f>
        <v>0</v>
      </c>
      <c r="D70">
        <f>IF((phi!D15),VLOOKUP(D$1,main!$A$3:$I$56,5,FALSE)-VLOOKUP($A70,main!$A$3:$I$56,6,FALSE)+main!$D$57,0)</f>
        <v>0</v>
      </c>
      <c r="E70">
        <f>IF((phi!E15),VLOOKUP(E$1,main!$A$3:$I$56,5,FALSE)-VLOOKUP($A70,main!$A$3:$I$56,6,FALSE)+main!$D$57,0)</f>
        <v>0</v>
      </c>
      <c r="F70">
        <f>IF((phi!F15),VLOOKUP(F$1,main!$A$3:$I$56,5,FALSE)-VLOOKUP($A70,main!$A$3:$I$56,6,FALSE)+main!$D$57,0)</f>
        <v>0</v>
      </c>
      <c r="G70">
        <f>IF((phi!G15),VLOOKUP(G$1,main!$A$3:$I$56,5,FALSE)-VLOOKUP($A70,main!$A$3:$I$56,6,FALSE)+main!$D$57,0)</f>
        <v>0</v>
      </c>
      <c r="H70">
        <f>IF((phi!H15),VLOOKUP(H$1,main!$A$3:$I$56,5,FALSE)-VLOOKUP($A70,main!$A$3:$I$56,6,FALSE)+main!$D$57,0)</f>
        <v>0</v>
      </c>
      <c r="I70">
        <f>IF((phi!I15),VLOOKUP(I$1,main!$A$3:$I$56,5,FALSE)-VLOOKUP($A70,main!$A$3:$I$56,6,FALSE)+main!$D$57,0)</f>
        <v>0</v>
      </c>
      <c r="J70">
        <f>IF((phi!J15),VLOOKUP(J$1,main!$A$3:$I$56,5,FALSE)-VLOOKUP($A70,main!$A$3:$I$56,6,FALSE)+main!$D$57,0)</f>
        <v>0</v>
      </c>
      <c r="K70">
        <f>IF((phi!K15),VLOOKUP(K$1,main!$A$3:$I$56,5,FALSE)-VLOOKUP($A70,main!$A$3:$I$56,6,FALSE)+main!$D$57,0)</f>
        <v>0</v>
      </c>
      <c r="L70">
        <f>IF((phi!L15),VLOOKUP(L$1,main!$A$3:$I$56,5,FALSE)-VLOOKUP($A70,main!$A$3:$I$56,6,FALSE)+main!$D$57,0)</f>
        <v>0</v>
      </c>
      <c r="M70">
        <f>IF((phi!M15),VLOOKUP(M$1,main!$A$3:$I$56,5,FALSE)-VLOOKUP($A70,main!$A$3:$I$56,6,FALSE)+main!$D$57,0)</f>
        <v>0</v>
      </c>
      <c r="N70">
        <f>IF((phi!N15),VLOOKUP(N$1,main!$A$3:$I$56,5,FALSE)-VLOOKUP($A70,main!$A$3:$I$56,6,FALSE)+main!$D$57,0)</f>
        <v>0</v>
      </c>
      <c r="O70">
        <f>IF((phi!O15),VLOOKUP(O$1,main!$A$3:$I$56,5,FALSE)-VLOOKUP($A70,main!$A$3:$I$56,6,FALSE)+main!$D$57,0)</f>
        <v>0</v>
      </c>
      <c r="P70">
        <f>IF((phi!P15),VLOOKUP(P$1,main!$A$3:$I$56,5,FALSE)-VLOOKUP($A70,main!$A$3:$I$56,6,FALSE)+main!$D$57,0)</f>
        <v>0</v>
      </c>
      <c r="Q70">
        <f>IF((phi!Q15),VLOOKUP(Q$1,main!$A$3:$I$56,5,FALSE)-VLOOKUP($A70,main!$A$3:$I$56,6,FALSE)+main!$D$57,0)</f>
        <v>0</v>
      </c>
      <c r="R70">
        <f>IF((phi!R15),VLOOKUP(R$1,main!$A$3:$I$56,5,FALSE)-VLOOKUP($A70,main!$A$3:$I$56,6,FALSE)+main!$D$57,0)</f>
        <v>0</v>
      </c>
      <c r="S70">
        <f>IF((phi!S15),VLOOKUP(S$1,main!$A$3:$I$56,5,FALSE)-VLOOKUP($A70,main!$A$3:$I$56,6,FALSE)+main!$D$57,0)</f>
        <v>0</v>
      </c>
      <c r="T70">
        <f>IF((phi!T15),VLOOKUP(T$1,main!$A$3:$I$56,5,FALSE)-VLOOKUP($A70,main!$A$3:$I$56,6,FALSE)+main!$D$57,0)</f>
        <v>0</v>
      </c>
      <c r="U70">
        <f>IF((phi!U15),VLOOKUP(U$1,main!$A$3:$I$56,5,FALSE)-VLOOKUP($A70,main!$A$3:$I$56,6,FALSE)+main!$D$57,0)</f>
        <v>0</v>
      </c>
      <c r="V70">
        <f>IF((phi!V15),VLOOKUP(V$1,main!$A$3:$I$56,5,FALSE)-VLOOKUP($A70,main!$A$3:$I$56,6,FALSE)+main!$D$57,0)</f>
        <v>0</v>
      </c>
      <c r="W70">
        <f>IF((phi!W15),VLOOKUP(W$1,main!$A$3:$I$56,5,FALSE)-VLOOKUP($A70,main!$A$3:$I$56,6,FALSE)+main!$D$57,0)</f>
        <v>0</v>
      </c>
      <c r="X70">
        <f>IF((phi!X15),VLOOKUP(X$1,main!$A$3:$I$56,5,FALSE)-VLOOKUP($A70,main!$A$3:$I$56,6,FALSE)+main!$D$57,0)</f>
        <v>0</v>
      </c>
      <c r="Y70">
        <f>IF((phi!Y15),VLOOKUP(Y$1,main!$A$3:$I$56,5,FALSE)-VLOOKUP($A70,main!$A$3:$I$56,6,FALSE)+main!$D$57,0)</f>
        <v>0</v>
      </c>
      <c r="Z70">
        <f>IF((phi!Z15),VLOOKUP(Z$1,main!$A$3:$I$56,5,FALSE)-VLOOKUP($A70,main!$A$3:$I$56,6,FALSE)+main!$D$57,0)</f>
        <v>0</v>
      </c>
      <c r="AA70">
        <f>IF((phi!AA15),VLOOKUP(AA$1,main!$A$3:$I$56,5,FALSE)-VLOOKUP($A70,main!$A$3:$I$56,6,FALSE)+main!$D$57,0)</f>
        <v>0</v>
      </c>
      <c r="AB70">
        <f>IF((phi!AB15),VLOOKUP(AB$1,main!$A$3:$I$56,5,FALSE)-VLOOKUP($A70,main!$A$3:$I$56,6,FALSE)+main!$D$57,0)</f>
        <v>0</v>
      </c>
      <c r="AC70">
        <f>IF((phi!AC15),VLOOKUP(AC$1,main!$A$3:$I$56,5,FALSE)-VLOOKUP($A70,main!$A$3:$I$56,6,FALSE)+main!$D$57,0)</f>
        <v>0</v>
      </c>
      <c r="AD70">
        <f>IF((phi!AD15),VLOOKUP(AD$1,main!$A$3:$I$56,5,FALSE)-VLOOKUP($A70,main!$A$3:$I$56,6,FALSE)+main!$D$57,0)</f>
        <v>0</v>
      </c>
      <c r="AE70">
        <f>IF((phi!AE15),VLOOKUP(AE$1,main!$A$3:$I$56,5,FALSE)-VLOOKUP($A70,main!$A$3:$I$56,6,FALSE)+main!$D$57,0)</f>
        <v>0</v>
      </c>
      <c r="AF70">
        <f>IF((phi!AF15),VLOOKUP(AF$1,main!$A$3:$I$56,5,FALSE)-VLOOKUP($A70,main!$A$3:$I$56,6,FALSE)+main!$D$57,0)</f>
        <v>0</v>
      </c>
      <c r="AG70">
        <f>IF((phi!AG15),VLOOKUP(AG$1,main!$A$3:$I$56,5,FALSE)-VLOOKUP($A70,main!$A$3:$I$56,6,FALSE)+main!$D$57,0)</f>
        <v>0</v>
      </c>
      <c r="AH70">
        <f>IF((phi!AH15),VLOOKUP(AH$1,main!$A$3:$I$56,5,FALSE)-VLOOKUP($A70,main!$A$3:$I$56,6,FALSE)+main!$D$57,0)</f>
        <v>0</v>
      </c>
      <c r="AI70">
        <f>IF((phi!AI15),VLOOKUP(AI$1,main!$A$3:$I$56,5,FALSE)-VLOOKUP($A70,main!$A$3:$I$56,6,FALSE)+main!$D$57,0)</f>
        <v>0</v>
      </c>
      <c r="AJ70">
        <f>IF((phi!AJ15),VLOOKUP(AJ$1,main!$A$3:$I$56,5,FALSE)-VLOOKUP($A70,main!$A$3:$I$56,6,FALSE)+main!$D$57,0)</f>
        <v>0</v>
      </c>
      <c r="AK70">
        <f>IF((phi!AK15),VLOOKUP(AK$1,main!$A$3:$I$56,5,FALSE)-VLOOKUP($A70,main!$A$3:$I$56,6,FALSE)+main!$D$57,0)</f>
        <v>0</v>
      </c>
      <c r="AL70">
        <f>IF((phi!AL15),VLOOKUP(AL$1,main!$A$3:$I$56,5,FALSE)-VLOOKUP($A70,main!$A$3:$I$56,6,FALSE)+main!$D$57,0)</f>
        <v>0</v>
      </c>
      <c r="AM70">
        <f>IF((phi!AM15),VLOOKUP(AM$1,main!$A$3:$I$56,5,FALSE)-VLOOKUP($A70,main!$A$3:$I$56,6,FALSE)+main!$D$57,0)</f>
        <v>0</v>
      </c>
      <c r="AN70">
        <f>IF((phi!AN15),VLOOKUP(AN$1,main!$A$3:$I$56,5,FALSE)-VLOOKUP($A70,main!$A$3:$I$56,6,FALSE)+main!$D$57,0)</f>
        <v>0</v>
      </c>
      <c r="AO70">
        <f>IF((phi!AO15),VLOOKUP(AO$1,main!$A$3:$I$56,5,FALSE)-VLOOKUP($A70,main!$A$3:$I$56,6,FALSE)+main!$D$57,0)</f>
        <v>0</v>
      </c>
      <c r="AP70">
        <f>IF((phi!AP15),VLOOKUP(AP$1,main!$A$3:$I$56,5,FALSE)-VLOOKUP($A70,main!$A$3:$I$56,6,FALSE)+main!$D$57,0)</f>
        <v>0</v>
      </c>
      <c r="AQ70">
        <f>IF((phi!AQ15),VLOOKUP(AQ$1,main!$A$3:$I$56,5,FALSE)-VLOOKUP($A70,main!$A$3:$I$56,6,FALSE)+main!$D$57,0)</f>
        <v>0</v>
      </c>
      <c r="AR70">
        <f>IF((phi!AR15),VLOOKUP(AR$1,main!$A$3:$I$56,5,FALSE)-VLOOKUP($A70,main!$A$3:$I$56,6,FALSE)+main!$D$57,0)</f>
        <v>0</v>
      </c>
      <c r="AS70">
        <f>IF((phi!AS15),VLOOKUP(AS$1,main!$A$3:$I$56,5,FALSE)-VLOOKUP($A70,main!$A$3:$I$56,6,FALSE)+main!$D$57,0)</f>
        <v>0</v>
      </c>
      <c r="AT70">
        <f>IF((phi!AT15),VLOOKUP(AT$1,main!$A$3:$I$56,5,FALSE)-VLOOKUP($A70,main!$A$3:$I$56,6,FALSE)+main!$D$57,0)</f>
        <v>0</v>
      </c>
      <c r="AU70">
        <f>IF((phi!AU15),VLOOKUP(AU$1,main!$A$3:$I$56,5,FALSE)-VLOOKUP($A70,main!$A$3:$I$56,6,FALSE)+main!$D$57,0)</f>
        <v>0</v>
      </c>
      <c r="AV70">
        <f>IF((phi!AV15),VLOOKUP(AV$1,main!$A$3:$I$56,5,FALSE)-VLOOKUP($A70,main!$A$3:$I$56,6,FALSE)+main!$D$57,0)</f>
        <v>0</v>
      </c>
      <c r="AW70">
        <f>IF((phi!AW15),VLOOKUP(AW$1,main!$A$3:$I$56,5,FALSE)-VLOOKUP($A70,main!$A$3:$I$56,6,FALSE)+main!$D$57,0)</f>
        <v>0</v>
      </c>
      <c r="AX70">
        <f>IF((phi!AX15),VLOOKUP(AX$1,main!$A$3:$I$56,5,FALSE)-VLOOKUP($A70,main!$A$3:$I$56,6,FALSE)+main!$D$57,0)</f>
        <v>0</v>
      </c>
      <c r="AY70">
        <f>IF((phi!AY15),VLOOKUP(AY$1,main!$A$3:$I$56,5,FALSE)-VLOOKUP($A70,main!$A$3:$I$56,6,FALSE)+main!$D$57,0)</f>
        <v>0</v>
      </c>
      <c r="AZ70">
        <f>IF((phi!AZ15),VLOOKUP(AZ$1,main!$A$3:$I$56,5,FALSE)-VLOOKUP($A70,main!$A$3:$I$56,6,FALSE)+main!$D$57,0)</f>
        <v>0</v>
      </c>
      <c r="BA70">
        <f>IF((phi!BA15),VLOOKUP(BA$1,main!$A$3:$I$56,5,FALSE)-VLOOKUP($A70,main!$A$3:$I$56,6,FALSE)+main!$D$57,0)</f>
        <v>0</v>
      </c>
      <c r="BB70">
        <f>IF((phi!BB15),VLOOKUP(BB$1,main!$A$3:$I$56,5,FALSE)-VLOOKUP($A70,main!$A$3:$I$56,6,FALSE)+main!$D$57,0)</f>
        <v>0</v>
      </c>
      <c r="BC70">
        <f>IF((phi!BC15),VLOOKUP(BC$1,main!$A$3:$I$56,5,FALSE)-VLOOKUP($A70,main!$A$3:$I$56,6,FALSE)+main!$D$57,0)</f>
        <v>0</v>
      </c>
      <c r="BD70">
        <f>IF((phi!BD15),VLOOKUP(BD$1,main!$A$3:$I$56,5,FALSE)-VLOOKUP($A70,main!$A$3:$I$56,6,FALSE)+main!$D$57,0)</f>
        <v>0</v>
      </c>
    </row>
    <row r="71" spans="1:56" x14ac:dyDescent="0.25">
      <c r="A71">
        <f t="shared" si="3"/>
        <v>14</v>
      </c>
      <c r="B71">
        <v>0</v>
      </c>
      <c r="C71">
        <f>IF((phi!C16),VLOOKUP(C$1,main!$A$3:$I$56,5,FALSE)-VLOOKUP($A71,main!$A$3:$I$56,6,FALSE)+main!$D$57,0)</f>
        <v>0</v>
      </c>
      <c r="D71">
        <f>IF((phi!D16),VLOOKUP(D$1,main!$A$3:$I$56,5,FALSE)-VLOOKUP($A71,main!$A$3:$I$56,6,FALSE)+main!$D$57,0)</f>
        <v>0</v>
      </c>
      <c r="E71">
        <f>IF((phi!E16),VLOOKUP(E$1,main!$A$3:$I$56,5,FALSE)-VLOOKUP($A71,main!$A$3:$I$56,6,FALSE)+main!$D$57,0)</f>
        <v>180</v>
      </c>
      <c r="F71">
        <f>IF((phi!F16),VLOOKUP(F$1,main!$A$3:$I$56,5,FALSE)-VLOOKUP($A71,main!$A$3:$I$56,6,FALSE)+main!$D$57,0)</f>
        <v>270</v>
      </c>
      <c r="G71">
        <f>IF((phi!G16),VLOOKUP(G$1,main!$A$3:$I$56,5,FALSE)-VLOOKUP($A71,main!$A$3:$I$56,6,FALSE)+main!$D$57,0)</f>
        <v>330</v>
      </c>
      <c r="H71">
        <f>IF((phi!H16),VLOOKUP(H$1,main!$A$3:$I$56,5,FALSE)-VLOOKUP($A71,main!$A$3:$I$56,6,FALSE)+main!$D$57,0)</f>
        <v>390</v>
      </c>
      <c r="I71">
        <f>IF((phi!I16),VLOOKUP(I$1,main!$A$3:$I$56,5,FALSE)-VLOOKUP($A71,main!$A$3:$I$56,6,FALSE)+main!$D$57,0)</f>
        <v>450</v>
      </c>
      <c r="J71">
        <f>IF((phi!J16),VLOOKUP(J$1,main!$A$3:$I$56,5,FALSE)-VLOOKUP($A71,main!$A$3:$I$56,6,FALSE)+main!$D$57,0)</f>
        <v>540</v>
      </c>
      <c r="K71">
        <f>IF((phi!K16),VLOOKUP(K$1,main!$A$3:$I$56,5,FALSE)-VLOOKUP($A71,main!$A$3:$I$56,6,FALSE)+main!$D$57,0)</f>
        <v>0</v>
      </c>
      <c r="L71">
        <f>IF((phi!L16),VLOOKUP(L$1,main!$A$3:$I$56,5,FALSE)-VLOOKUP($A71,main!$A$3:$I$56,6,FALSE)+main!$D$57,0)</f>
        <v>0</v>
      </c>
      <c r="M71">
        <f>IF((phi!M16),VLOOKUP(M$1,main!$A$3:$I$56,5,FALSE)-VLOOKUP($A71,main!$A$3:$I$56,6,FALSE)+main!$D$57,0)</f>
        <v>145</v>
      </c>
      <c r="N71">
        <f>IF((phi!N16),VLOOKUP(N$1,main!$A$3:$I$56,5,FALSE)-VLOOKUP($A71,main!$A$3:$I$56,6,FALSE)+main!$D$57,0)</f>
        <v>505</v>
      </c>
      <c r="O71">
        <f>IF((phi!O16),VLOOKUP(O$1,main!$A$3:$I$56,5,FALSE)-VLOOKUP($A71,main!$A$3:$I$56,6,FALSE)+main!$D$57,0)</f>
        <v>565</v>
      </c>
      <c r="P71">
        <f>IF((phi!P16),VLOOKUP(P$1,main!$A$3:$I$56,5,FALSE)-VLOOKUP($A71,main!$A$3:$I$56,6,FALSE)+main!$D$57,0)</f>
        <v>0</v>
      </c>
      <c r="Q71">
        <f>IF((phi!Q16),VLOOKUP(Q$1,main!$A$3:$I$56,5,FALSE)-VLOOKUP($A71,main!$A$3:$I$56,6,FALSE)+main!$D$57,0)</f>
        <v>0</v>
      </c>
      <c r="R71">
        <f>IF((phi!R16),VLOOKUP(R$1,main!$A$3:$I$56,5,FALSE)-VLOOKUP($A71,main!$A$3:$I$56,6,FALSE)+main!$D$57,0)</f>
        <v>140</v>
      </c>
      <c r="S71">
        <f>IF((phi!S16),VLOOKUP(S$1,main!$A$3:$I$56,5,FALSE)-VLOOKUP($A71,main!$A$3:$I$56,6,FALSE)+main!$D$57,0)</f>
        <v>320</v>
      </c>
      <c r="T71">
        <f>IF((phi!T16),VLOOKUP(T$1,main!$A$3:$I$56,5,FALSE)-VLOOKUP($A71,main!$A$3:$I$56,6,FALSE)+main!$D$57,0)</f>
        <v>470</v>
      </c>
      <c r="U71">
        <f>IF((phi!U16),VLOOKUP(U$1,main!$A$3:$I$56,5,FALSE)-VLOOKUP($A71,main!$A$3:$I$56,6,FALSE)+main!$D$57,0)</f>
        <v>0</v>
      </c>
      <c r="V71">
        <f>IF((phi!V16),VLOOKUP(V$1,main!$A$3:$I$56,5,FALSE)-VLOOKUP($A71,main!$A$3:$I$56,6,FALSE)+main!$D$57,0)</f>
        <v>0</v>
      </c>
      <c r="W71">
        <f>IF((phi!W16),VLOOKUP(W$1,main!$A$3:$I$56,5,FALSE)-VLOOKUP($A71,main!$A$3:$I$56,6,FALSE)+main!$D$57,0)</f>
        <v>0</v>
      </c>
      <c r="X71">
        <f>IF((phi!X16),VLOOKUP(X$1,main!$A$3:$I$56,5,FALSE)-VLOOKUP($A71,main!$A$3:$I$56,6,FALSE)+main!$D$57,0)</f>
        <v>160</v>
      </c>
      <c r="Y71">
        <f>IF((phi!Y16),VLOOKUP(Y$1,main!$A$3:$I$56,5,FALSE)-VLOOKUP($A71,main!$A$3:$I$56,6,FALSE)+main!$D$57,0)</f>
        <v>250</v>
      </c>
      <c r="Z71">
        <f>IF((phi!Z16),VLOOKUP(Z$1,main!$A$3:$I$56,5,FALSE)-VLOOKUP($A71,main!$A$3:$I$56,6,FALSE)+main!$D$57,0)</f>
        <v>340</v>
      </c>
      <c r="AA71">
        <f>IF((phi!AA16),VLOOKUP(AA$1,main!$A$3:$I$56,5,FALSE)-VLOOKUP($A71,main!$A$3:$I$56,6,FALSE)+main!$D$57,0)</f>
        <v>430</v>
      </c>
      <c r="AB71">
        <f>IF((phi!AB16),VLOOKUP(AB$1,main!$A$3:$I$56,5,FALSE)-VLOOKUP($A71,main!$A$3:$I$56,6,FALSE)+main!$D$57,0)</f>
        <v>490</v>
      </c>
      <c r="AC71">
        <f>IF((phi!AC16),VLOOKUP(AC$1,main!$A$3:$I$56,5,FALSE)-VLOOKUP($A71,main!$A$3:$I$56,6,FALSE)+main!$D$57,0)</f>
        <v>0</v>
      </c>
      <c r="AD71">
        <f>IF((phi!AD16),VLOOKUP(AD$1,main!$A$3:$I$56,5,FALSE)-VLOOKUP($A71,main!$A$3:$I$56,6,FALSE)+main!$D$57,0)</f>
        <v>0</v>
      </c>
      <c r="AE71">
        <f>IF((phi!AE16),VLOOKUP(AE$1,main!$A$3:$I$56,5,FALSE)-VLOOKUP($A71,main!$A$3:$I$56,6,FALSE)+main!$D$57,0)</f>
        <v>150</v>
      </c>
      <c r="AF71">
        <f>IF((phi!AF16),VLOOKUP(AF$1,main!$A$3:$I$56,5,FALSE)-VLOOKUP($A71,main!$A$3:$I$56,6,FALSE)+main!$D$57,0)</f>
        <v>300</v>
      </c>
      <c r="AG71">
        <f>IF((phi!AG16),VLOOKUP(AG$1,main!$A$3:$I$56,5,FALSE)-VLOOKUP($A71,main!$A$3:$I$56,6,FALSE)+main!$D$57,0)</f>
        <v>0</v>
      </c>
      <c r="AH71">
        <f>IF((phi!AH16),VLOOKUP(AH$1,main!$A$3:$I$56,5,FALSE)-VLOOKUP($A71,main!$A$3:$I$56,6,FALSE)+main!$D$57,0)</f>
        <v>0</v>
      </c>
      <c r="AI71">
        <f>IF((phi!AI16),VLOOKUP(AI$1,main!$A$3:$I$56,5,FALSE)-VLOOKUP($A71,main!$A$3:$I$56,6,FALSE)+main!$D$57,0)</f>
        <v>210</v>
      </c>
      <c r="AJ71">
        <f>IF((phi!AJ16),VLOOKUP(AJ$1,main!$A$3:$I$56,5,FALSE)-VLOOKUP($A71,main!$A$3:$I$56,6,FALSE)+main!$D$57,0)</f>
        <v>270</v>
      </c>
      <c r="AK71">
        <f>IF((phi!AK16),VLOOKUP(AK$1,main!$A$3:$I$56,5,FALSE)-VLOOKUP($A71,main!$A$3:$I$56,6,FALSE)+main!$D$57,0)</f>
        <v>390</v>
      </c>
      <c r="AL71">
        <f>IF((phi!AL16),VLOOKUP(AL$1,main!$A$3:$I$56,5,FALSE)-VLOOKUP($A71,main!$A$3:$I$56,6,FALSE)+main!$D$57,0)</f>
        <v>0</v>
      </c>
      <c r="AM71">
        <f>IF((phi!AM16),VLOOKUP(AM$1,main!$A$3:$I$56,5,FALSE)-VLOOKUP($A71,main!$A$3:$I$56,6,FALSE)+main!$D$57,0)</f>
        <v>0</v>
      </c>
      <c r="AN71">
        <f>IF((phi!AN16),VLOOKUP(AN$1,main!$A$3:$I$56,5,FALSE)-VLOOKUP($A71,main!$A$3:$I$56,6,FALSE)+main!$D$57,0)</f>
        <v>250</v>
      </c>
      <c r="AO71">
        <f>IF((phi!AO16),VLOOKUP(AO$1,main!$A$3:$I$56,5,FALSE)-VLOOKUP($A71,main!$A$3:$I$56,6,FALSE)+main!$D$57,0)</f>
        <v>300</v>
      </c>
      <c r="AP71">
        <f>IF((phi!AP16),VLOOKUP(AP$1,main!$A$3:$I$56,5,FALSE)-VLOOKUP($A71,main!$A$3:$I$56,6,FALSE)+main!$D$57,0)</f>
        <v>0</v>
      </c>
      <c r="AQ71">
        <f>IF((phi!AQ16),VLOOKUP(AQ$1,main!$A$3:$I$56,5,FALSE)-VLOOKUP($A71,main!$A$3:$I$56,6,FALSE)+main!$D$57,0)</f>
        <v>0</v>
      </c>
      <c r="AR71">
        <f>IF((phi!AR16),VLOOKUP(AR$1,main!$A$3:$I$56,5,FALSE)-VLOOKUP($A71,main!$A$3:$I$56,6,FALSE)+main!$D$57,0)</f>
        <v>0</v>
      </c>
      <c r="AS71">
        <f>IF((phi!AS16),VLOOKUP(AS$1,main!$A$3:$I$56,5,FALSE)-VLOOKUP($A71,main!$A$3:$I$56,6,FALSE)+main!$D$57,0)</f>
        <v>0</v>
      </c>
      <c r="AT71">
        <f>IF((phi!AT16),VLOOKUP(AT$1,main!$A$3:$I$56,5,FALSE)-VLOOKUP($A71,main!$A$3:$I$56,6,FALSE)+main!$D$57,0)</f>
        <v>200</v>
      </c>
      <c r="AU71">
        <f>IF((phi!AU16),VLOOKUP(AU$1,main!$A$3:$I$56,5,FALSE)-VLOOKUP($A71,main!$A$3:$I$56,6,FALSE)+main!$D$57,0)</f>
        <v>0</v>
      </c>
      <c r="AV71">
        <f>IF((phi!AV16),VLOOKUP(AV$1,main!$A$3:$I$56,5,FALSE)-VLOOKUP($A71,main!$A$3:$I$56,6,FALSE)+main!$D$57,0)</f>
        <v>0</v>
      </c>
      <c r="AW71">
        <f>IF((phi!AW16),VLOOKUP(AW$1,main!$A$3:$I$56,5,FALSE)-VLOOKUP($A71,main!$A$3:$I$56,6,FALSE)+main!$D$57,0)</f>
        <v>150</v>
      </c>
      <c r="AX71">
        <f>IF((phi!AX16),VLOOKUP(AX$1,main!$A$3:$I$56,5,FALSE)-VLOOKUP($A71,main!$A$3:$I$56,6,FALSE)+main!$D$57,0)</f>
        <v>350</v>
      </c>
      <c r="AY71">
        <f>IF((phi!AY16),VLOOKUP(AY$1,main!$A$3:$I$56,5,FALSE)-VLOOKUP($A71,main!$A$3:$I$56,6,FALSE)+main!$D$57,0)</f>
        <v>550</v>
      </c>
      <c r="AZ71">
        <f>IF((phi!AZ16),VLOOKUP(AZ$1,main!$A$3:$I$56,5,FALSE)-VLOOKUP($A71,main!$A$3:$I$56,6,FALSE)+main!$D$57,0)</f>
        <v>0</v>
      </c>
      <c r="BA71">
        <f>IF((phi!BA16),VLOOKUP(BA$1,main!$A$3:$I$56,5,FALSE)-VLOOKUP($A71,main!$A$3:$I$56,6,FALSE)+main!$D$57,0)</f>
        <v>0</v>
      </c>
      <c r="BB71">
        <f>IF((phi!BB16),VLOOKUP(BB$1,main!$A$3:$I$56,5,FALSE)-VLOOKUP($A71,main!$A$3:$I$56,6,FALSE)+main!$D$57,0)</f>
        <v>130</v>
      </c>
      <c r="BC71">
        <f>IF((phi!BC16),VLOOKUP(BC$1,main!$A$3:$I$56,5,FALSE)-VLOOKUP($A71,main!$A$3:$I$56,6,FALSE)+main!$D$57,0)</f>
        <v>315</v>
      </c>
      <c r="BD71">
        <f>IF((phi!BD16),VLOOKUP(BD$1,main!$A$3:$I$56,5,FALSE)-VLOOKUP($A71,main!$A$3:$I$56,6,FALSE)+main!$D$57,0)</f>
        <v>325</v>
      </c>
    </row>
    <row r="72" spans="1:56" x14ac:dyDescent="0.25">
      <c r="A72">
        <f t="shared" si="3"/>
        <v>15</v>
      </c>
      <c r="B72">
        <v>0</v>
      </c>
      <c r="C72">
        <f>IF((phi!C17),VLOOKUP(C$1,main!$A$3:$I$56,5,FALSE)-VLOOKUP($A72,main!$A$3:$I$56,6,FALSE)+main!$D$57,0)</f>
        <v>0</v>
      </c>
      <c r="D72">
        <f>IF((phi!D17),VLOOKUP(D$1,main!$A$3:$I$56,5,FALSE)-VLOOKUP($A72,main!$A$3:$I$56,6,FALSE)+main!$D$57,0)</f>
        <v>0</v>
      </c>
      <c r="E72">
        <f>IF((phi!E17),VLOOKUP(E$1,main!$A$3:$I$56,5,FALSE)-VLOOKUP($A72,main!$A$3:$I$56,6,FALSE)+main!$D$57,0)</f>
        <v>0</v>
      </c>
      <c r="F72">
        <f>IF((phi!F17),VLOOKUP(F$1,main!$A$3:$I$56,5,FALSE)-VLOOKUP($A72,main!$A$3:$I$56,6,FALSE)+main!$D$57,0)</f>
        <v>200</v>
      </c>
      <c r="G72">
        <f>IF((phi!G17),VLOOKUP(G$1,main!$A$3:$I$56,5,FALSE)-VLOOKUP($A72,main!$A$3:$I$56,6,FALSE)+main!$D$57,0)</f>
        <v>260</v>
      </c>
      <c r="H72">
        <f>IF((phi!H17),VLOOKUP(H$1,main!$A$3:$I$56,5,FALSE)-VLOOKUP($A72,main!$A$3:$I$56,6,FALSE)+main!$D$57,0)</f>
        <v>320</v>
      </c>
      <c r="I72">
        <f>IF((phi!I17),VLOOKUP(I$1,main!$A$3:$I$56,5,FALSE)-VLOOKUP($A72,main!$A$3:$I$56,6,FALSE)+main!$D$57,0)</f>
        <v>380</v>
      </c>
      <c r="J72">
        <f>IF((phi!J17),VLOOKUP(J$1,main!$A$3:$I$56,5,FALSE)-VLOOKUP($A72,main!$A$3:$I$56,6,FALSE)+main!$D$57,0)</f>
        <v>470</v>
      </c>
      <c r="K72">
        <f>IF((phi!K17),VLOOKUP(K$1,main!$A$3:$I$56,5,FALSE)-VLOOKUP($A72,main!$A$3:$I$56,6,FALSE)+main!$D$57,0)</f>
        <v>0</v>
      </c>
      <c r="L72">
        <f>IF((phi!L17),VLOOKUP(L$1,main!$A$3:$I$56,5,FALSE)-VLOOKUP($A72,main!$A$3:$I$56,6,FALSE)+main!$D$57,0)</f>
        <v>0</v>
      </c>
      <c r="M72">
        <f>IF((phi!M17),VLOOKUP(M$1,main!$A$3:$I$56,5,FALSE)-VLOOKUP($A72,main!$A$3:$I$56,6,FALSE)+main!$D$57,0)</f>
        <v>0</v>
      </c>
      <c r="N72">
        <f>IF((phi!N17),VLOOKUP(N$1,main!$A$3:$I$56,5,FALSE)-VLOOKUP($A72,main!$A$3:$I$56,6,FALSE)+main!$D$57,0)</f>
        <v>435</v>
      </c>
      <c r="O72">
        <f>IF((phi!O17),VLOOKUP(O$1,main!$A$3:$I$56,5,FALSE)-VLOOKUP($A72,main!$A$3:$I$56,6,FALSE)+main!$D$57,0)</f>
        <v>495</v>
      </c>
      <c r="P72">
        <f>IF((phi!P17),VLOOKUP(P$1,main!$A$3:$I$56,5,FALSE)-VLOOKUP($A72,main!$A$3:$I$56,6,FALSE)+main!$D$57,0)</f>
        <v>0</v>
      </c>
      <c r="Q72">
        <f>IF((phi!Q17),VLOOKUP(Q$1,main!$A$3:$I$56,5,FALSE)-VLOOKUP($A72,main!$A$3:$I$56,6,FALSE)+main!$D$57,0)</f>
        <v>0</v>
      </c>
      <c r="R72">
        <f>IF((phi!R17),VLOOKUP(R$1,main!$A$3:$I$56,5,FALSE)-VLOOKUP($A72,main!$A$3:$I$56,6,FALSE)+main!$D$57,0)</f>
        <v>0</v>
      </c>
      <c r="S72">
        <f>IF((phi!S17),VLOOKUP(S$1,main!$A$3:$I$56,5,FALSE)-VLOOKUP($A72,main!$A$3:$I$56,6,FALSE)+main!$D$57,0)</f>
        <v>250</v>
      </c>
      <c r="T72">
        <f>IF((phi!T17),VLOOKUP(T$1,main!$A$3:$I$56,5,FALSE)-VLOOKUP($A72,main!$A$3:$I$56,6,FALSE)+main!$D$57,0)</f>
        <v>400</v>
      </c>
      <c r="U72">
        <f>IF((phi!U17),VLOOKUP(U$1,main!$A$3:$I$56,5,FALSE)-VLOOKUP($A72,main!$A$3:$I$56,6,FALSE)+main!$D$57,0)</f>
        <v>0</v>
      </c>
      <c r="V72">
        <f>IF((phi!V17),VLOOKUP(V$1,main!$A$3:$I$56,5,FALSE)-VLOOKUP($A72,main!$A$3:$I$56,6,FALSE)+main!$D$57,0)</f>
        <v>0</v>
      </c>
      <c r="W72">
        <f>IF((phi!W17),VLOOKUP(W$1,main!$A$3:$I$56,5,FALSE)-VLOOKUP($A72,main!$A$3:$I$56,6,FALSE)+main!$D$57,0)</f>
        <v>0</v>
      </c>
      <c r="X72">
        <f>IF((phi!X17),VLOOKUP(X$1,main!$A$3:$I$56,5,FALSE)-VLOOKUP($A72,main!$A$3:$I$56,6,FALSE)+main!$D$57,0)</f>
        <v>0</v>
      </c>
      <c r="Y72">
        <f>IF((phi!Y17),VLOOKUP(Y$1,main!$A$3:$I$56,5,FALSE)-VLOOKUP($A72,main!$A$3:$I$56,6,FALSE)+main!$D$57,0)</f>
        <v>180</v>
      </c>
      <c r="Z72">
        <f>IF((phi!Z17),VLOOKUP(Z$1,main!$A$3:$I$56,5,FALSE)-VLOOKUP($A72,main!$A$3:$I$56,6,FALSE)+main!$D$57,0)</f>
        <v>270</v>
      </c>
      <c r="AA72">
        <f>IF((phi!AA17),VLOOKUP(AA$1,main!$A$3:$I$56,5,FALSE)-VLOOKUP($A72,main!$A$3:$I$56,6,FALSE)+main!$D$57,0)</f>
        <v>360</v>
      </c>
      <c r="AB72">
        <f>IF((phi!AB17),VLOOKUP(AB$1,main!$A$3:$I$56,5,FALSE)-VLOOKUP($A72,main!$A$3:$I$56,6,FALSE)+main!$D$57,0)</f>
        <v>420</v>
      </c>
      <c r="AC72">
        <f>IF((phi!AC17),VLOOKUP(AC$1,main!$A$3:$I$56,5,FALSE)-VLOOKUP($A72,main!$A$3:$I$56,6,FALSE)+main!$D$57,0)</f>
        <v>0</v>
      </c>
      <c r="AD72">
        <f>IF((phi!AD17),VLOOKUP(AD$1,main!$A$3:$I$56,5,FALSE)-VLOOKUP($A72,main!$A$3:$I$56,6,FALSE)+main!$D$57,0)</f>
        <v>0</v>
      </c>
      <c r="AE72">
        <f>IF((phi!AE17),VLOOKUP(AE$1,main!$A$3:$I$56,5,FALSE)-VLOOKUP($A72,main!$A$3:$I$56,6,FALSE)+main!$D$57,0)</f>
        <v>0</v>
      </c>
      <c r="AF72">
        <f>IF((phi!AF17),VLOOKUP(AF$1,main!$A$3:$I$56,5,FALSE)-VLOOKUP($A72,main!$A$3:$I$56,6,FALSE)+main!$D$57,0)</f>
        <v>230</v>
      </c>
      <c r="AG72">
        <f>IF((phi!AG17),VLOOKUP(AG$1,main!$A$3:$I$56,5,FALSE)-VLOOKUP($A72,main!$A$3:$I$56,6,FALSE)+main!$D$57,0)</f>
        <v>0</v>
      </c>
      <c r="AH72">
        <f>IF((phi!AH17),VLOOKUP(AH$1,main!$A$3:$I$56,5,FALSE)-VLOOKUP($A72,main!$A$3:$I$56,6,FALSE)+main!$D$57,0)</f>
        <v>0</v>
      </c>
      <c r="AI72">
        <f>IF((phi!AI17),VLOOKUP(AI$1,main!$A$3:$I$56,5,FALSE)-VLOOKUP($A72,main!$A$3:$I$56,6,FALSE)+main!$D$57,0)</f>
        <v>140</v>
      </c>
      <c r="AJ72">
        <f>IF((phi!AJ17),VLOOKUP(AJ$1,main!$A$3:$I$56,5,FALSE)-VLOOKUP($A72,main!$A$3:$I$56,6,FALSE)+main!$D$57,0)</f>
        <v>200</v>
      </c>
      <c r="AK72">
        <f>IF((phi!AK17),VLOOKUP(AK$1,main!$A$3:$I$56,5,FALSE)-VLOOKUP($A72,main!$A$3:$I$56,6,FALSE)+main!$D$57,0)</f>
        <v>320</v>
      </c>
      <c r="AL72">
        <f>IF((phi!AL17),VLOOKUP(AL$1,main!$A$3:$I$56,5,FALSE)-VLOOKUP($A72,main!$A$3:$I$56,6,FALSE)+main!$D$57,0)</f>
        <v>0</v>
      </c>
      <c r="AM72">
        <f>IF((phi!AM17),VLOOKUP(AM$1,main!$A$3:$I$56,5,FALSE)-VLOOKUP($A72,main!$A$3:$I$56,6,FALSE)+main!$D$57,0)</f>
        <v>0</v>
      </c>
      <c r="AN72">
        <f>IF((phi!AN17),VLOOKUP(AN$1,main!$A$3:$I$56,5,FALSE)-VLOOKUP($A72,main!$A$3:$I$56,6,FALSE)+main!$D$57,0)</f>
        <v>180</v>
      </c>
      <c r="AO72">
        <f>IF((phi!AO17),VLOOKUP(AO$1,main!$A$3:$I$56,5,FALSE)-VLOOKUP($A72,main!$A$3:$I$56,6,FALSE)+main!$D$57,0)</f>
        <v>230</v>
      </c>
      <c r="AP72">
        <f>IF((phi!AP17),VLOOKUP(AP$1,main!$A$3:$I$56,5,FALSE)-VLOOKUP($A72,main!$A$3:$I$56,6,FALSE)+main!$D$57,0)</f>
        <v>0</v>
      </c>
      <c r="AQ72">
        <f>IF((phi!AQ17),VLOOKUP(AQ$1,main!$A$3:$I$56,5,FALSE)-VLOOKUP($A72,main!$A$3:$I$56,6,FALSE)+main!$D$57,0)</f>
        <v>0</v>
      </c>
      <c r="AR72">
        <f>IF((phi!AR17),VLOOKUP(AR$1,main!$A$3:$I$56,5,FALSE)-VLOOKUP($A72,main!$A$3:$I$56,6,FALSE)+main!$D$57,0)</f>
        <v>0</v>
      </c>
      <c r="AS72">
        <f>IF((phi!AS17),VLOOKUP(AS$1,main!$A$3:$I$56,5,FALSE)-VLOOKUP($A72,main!$A$3:$I$56,6,FALSE)+main!$D$57,0)</f>
        <v>0</v>
      </c>
      <c r="AT72">
        <f>IF((phi!AT17),VLOOKUP(AT$1,main!$A$3:$I$56,5,FALSE)-VLOOKUP($A72,main!$A$3:$I$56,6,FALSE)+main!$D$57,0)</f>
        <v>130</v>
      </c>
      <c r="AU72">
        <f>IF((phi!AU17),VLOOKUP(AU$1,main!$A$3:$I$56,5,FALSE)-VLOOKUP($A72,main!$A$3:$I$56,6,FALSE)+main!$D$57,0)</f>
        <v>0</v>
      </c>
      <c r="AV72">
        <f>IF((phi!AV17),VLOOKUP(AV$1,main!$A$3:$I$56,5,FALSE)-VLOOKUP($A72,main!$A$3:$I$56,6,FALSE)+main!$D$57,0)</f>
        <v>0</v>
      </c>
      <c r="AW72">
        <f>IF((phi!AW17),VLOOKUP(AW$1,main!$A$3:$I$56,5,FALSE)-VLOOKUP($A72,main!$A$3:$I$56,6,FALSE)+main!$D$57,0)</f>
        <v>0</v>
      </c>
      <c r="AX72">
        <f>IF((phi!AX17),VLOOKUP(AX$1,main!$A$3:$I$56,5,FALSE)-VLOOKUP($A72,main!$A$3:$I$56,6,FALSE)+main!$D$57,0)</f>
        <v>280</v>
      </c>
      <c r="AY72">
        <f>IF((phi!AY17),VLOOKUP(AY$1,main!$A$3:$I$56,5,FALSE)-VLOOKUP($A72,main!$A$3:$I$56,6,FALSE)+main!$D$57,0)</f>
        <v>480</v>
      </c>
      <c r="AZ72">
        <f>IF((phi!AZ17),VLOOKUP(AZ$1,main!$A$3:$I$56,5,FALSE)-VLOOKUP($A72,main!$A$3:$I$56,6,FALSE)+main!$D$57,0)</f>
        <v>0</v>
      </c>
      <c r="BA72">
        <f>IF((phi!BA17),VLOOKUP(BA$1,main!$A$3:$I$56,5,FALSE)-VLOOKUP($A72,main!$A$3:$I$56,6,FALSE)+main!$D$57,0)</f>
        <v>0</v>
      </c>
      <c r="BB72">
        <f>IF((phi!BB17),VLOOKUP(BB$1,main!$A$3:$I$56,5,FALSE)-VLOOKUP($A72,main!$A$3:$I$56,6,FALSE)+main!$D$57,0)</f>
        <v>0</v>
      </c>
      <c r="BC72">
        <f>IF((phi!BC17),VLOOKUP(BC$1,main!$A$3:$I$56,5,FALSE)-VLOOKUP($A72,main!$A$3:$I$56,6,FALSE)+main!$D$57,0)</f>
        <v>245</v>
      </c>
      <c r="BD72">
        <f>IF((phi!BD17),VLOOKUP(BD$1,main!$A$3:$I$56,5,FALSE)-VLOOKUP($A72,main!$A$3:$I$56,6,FALSE)+main!$D$57,0)</f>
        <v>255</v>
      </c>
    </row>
    <row r="73" spans="1:56" x14ac:dyDescent="0.25">
      <c r="A73">
        <f t="shared" si="3"/>
        <v>16</v>
      </c>
      <c r="B73">
        <v>0</v>
      </c>
      <c r="C73">
        <f>IF((phi!C18),VLOOKUP(C$1,main!$A$3:$I$56,5,FALSE)-VLOOKUP($A73,main!$A$3:$I$56,6,FALSE)+main!$D$57,0)</f>
        <v>0</v>
      </c>
      <c r="D73">
        <f>IF((phi!D18),VLOOKUP(D$1,main!$A$3:$I$56,5,FALSE)-VLOOKUP($A73,main!$A$3:$I$56,6,FALSE)+main!$D$57,0)</f>
        <v>0</v>
      </c>
      <c r="E73">
        <f>IF((phi!E18),VLOOKUP(E$1,main!$A$3:$I$56,5,FALSE)-VLOOKUP($A73,main!$A$3:$I$56,6,FALSE)+main!$D$57,0)</f>
        <v>0</v>
      </c>
      <c r="F73">
        <f>IF((phi!F18),VLOOKUP(F$1,main!$A$3:$I$56,5,FALSE)-VLOOKUP($A73,main!$A$3:$I$56,6,FALSE)+main!$D$57,0)</f>
        <v>0</v>
      </c>
      <c r="G73">
        <f>IF((phi!G18),VLOOKUP(G$1,main!$A$3:$I$56,5,FALSE)-VLOOKUP($A73,main!$A$3:$I$56,6,FALSE)+main!$D$57,0)</f>
        <v>0</v>
      </c>
      <c r="H73">
        <f>IF((phi!H18),VLOOKUP(H$1,main!$A$3:$I$56,5,FALSE)-VLOOKUP($A73,main!$A$3:$I$56,6,FALSE)+main!$D$57,0)</f>
        <v>165</v>
      </c>
      <c r="I73">
        <f>IF((phi!I18),VLOOKUP(I$1,main!$A$3:$I$56,5,FALSE)-VLOOKUP($A73,main!$A$3:$I$56,6,FALSE)+main!$D$57,0)</f>
        <v>225</v>
      </c>
      <c r="J73">
        <f>IF((phi!J18),VLOOKUP(J$1,main!$A$3:$I$56,5,FALSE)-VLOOKUP($A73,main!$A$3:$I$56,6,FALSE)+main!$D$57,0)</f>
        <v>315</v>
      </c>
      <c r="K73">
        <f>IF((phi!K18),VLOOKUP(K$1,main!$A$3:$I$56,5,FALSE)-VLOOKUP($A73,main!$A$3:$I$56,6,FALSE)+main!$D$57,0)</f>
        <v>0</v>
      </c>
      <c r="L73">
        <f>IF((phi!L18),VLOOKUP(L$1,main!$A$3:$I$56,5,FALSE)-VLOOKUP($A73,main!$A$3:$I$56,6,FALSE)+main!$D$57,0)</f>
        <v>0</v>
      </c>
      <c r="M73">
        <f>IF((phi!M18),VLOOKUP(M$1,main!$A$3:$I$56,5,FALSE)-VLOOKUP($A73,main!$A$3:$I$56,6,FALSE)+main!$D$57,0)</f>
        <v>0</v>
      </c>
      <c r="N73">
        <f>IF((phi!N18),VLOOKUP(N$1,main!$A$3:$I$56,5,FALSE)-VLOOKUP($A73,main!$A$3:$I$56,6,FALSE)+main!$D$57,0)</f>
        <v>280</v>
      </c>
      <c r="O73">
        <f>IF((phi!O18),VLOOKUP(O$1,main!$A$3:$I$56,5,FALSE)-VLOOKUP($A73,main!$A$3:$I$56,6,FALSE)+main!$D$57,0)</f>
        <v>340</v>
      </c>
      <c r="P73">
        <f>IF((phi!P18),VLOOKUP(P$1,main!$A$3:$I$56,5,FALSE)-VLOOKUP($A73,main!$A$3:$I$56,6,FALSE)+main!$D$57,0)</f>
        <v>0</v>
      </c>
      <c r="Q73">
        <f>IF((phi!Q18),VLOOKUP(Q$1,main!$A$3:$I$56,5,FALSE)-VLOOKUP($A73,main!$A$3:$I$56,6,FALSE)+main!$D$57,0)</f>
        <v>0</v>
      </c>
      <c r="R73">
        <f>IF((phi!R18),VLOOKUP(R$1,main!$A$3:$I$56,5,FALSE)-VLOOKUP($A73,main!$A$3:$I$56,6,FALSE)+main!$D$57,0)</f>
        <v>0</v>
      </c>
      <c r="S73">
        <f>IF((phi!S18),VLOOKUP(S$1,main!$A$3:$I$56,5,FALSE)-VLOOKUP($A73,main!$A$3:$I$56,6,FALSE)+main!$D$57,0)</f>
        <v>0</v>
      </c>
      <c r="T73">
        <f>IF((phi!T18),VLOOKUP(T$1,main!$A$3:$I$56,5,FALSE)-VLOOKUP($A73,main!$A$3:$I$56,6,FALSE)+main!$D$57,0)</f>
        <v>245</v>
      </c>
      <c r="U73">
        <f>IF((phi!U18),VLOOKUP(U$1,main!$A$3:$I$56,5,FALSE)-VLOOKUP($A73,main!$A$3:$I$56,6,FALSE)+main!$D$57,0)</f>
        <v>0</v>
      </c>
      <c r="V73">
        <f>IF((phi!V18),VLOOKUP(V$1,main!$A$3:$I$56,5,FALSE)-VLOOKUP($A73,main!$A$3:$I$56,6,FALSE)+main!$D$57,0)</f>
        <v>0</v>
      </c>
      <c r="W73">
        <f>IF((phi!W18),VLOOKUP(W$1,main!$A$3:$I$56,5,FALSE)-VLOOKUP($A73,main!$A$3:$I$56,6,FALSE)+main!$D$57,0)</f>
        <v>0</v>
      </c>
      <c r="X73">
        <f>IF((phi!X18),VLOOKUP(X$1,main!$A$3:$I$56,5,FALSE)-VLOOKUP($A73,main!$A$3:$I$56,6,FALSE)+main!$D$57,0)</f>
        <v>0</v>
      </c>
      <c r="Y73">
        <f>IF((phi!Y18),VLOOKUP(Y$1,main!$A$3:$I$56,5,FALSE)-VLOOKUP($A73,main!$A$3:$I$56,6,FALSE)+main!$D$57,0)</f>
        <v>0</v>
      </c>
      <c r="Z73">
        <f>IF((phi!Z18),VLOOKUP(Z$1,main!$A$3:$I$56,5,FALSE)-VLOOKUP($A73,main!$A$3:$I$56,6,FALSE)+main!$D$57,0)</f>
        <v>0</v>
      </c>
      <c r="AA73">
        <f>IF((phi!AA18),VLOOKUP(AA$1,main!$A$3:$I$56,5,FALSE)-VLOOKUP($A73,main!$A$3:$I$56,6,FALSE)+main!$D$57,0)</f>
        <v>205</v>
      </c>
      <c r="AB73">
        <f>IF((phi!AB18),VLOOKUP(AB$1,main!$A$3:$I$56,5,FALSE)-VLOOKUP($A73,main!$A$3:$I$56,6,FALSE)+main!$D$57,0)</f>
        <v>265</v>
      </c>
      <c r="AC73">
        <f>IF((phi!AC18),VLOOKUP(AC$1,main!$A$3:$I$56,5,FALSE)-VLOOKUP($A73,main!$A$3:$I$56,6,FALSE)+main!$D$57,0)</f>
        <v>0</v>
      </c>
      <c r="AD73">
        <f>IF((phi!AD18),VLOOKUP(AD$1,main!$A$3:$I$56,5,FALSE)-VLOOKUP($A73,main!$A$3:$I$56,6,FALSE)+main!$D$57,0)</f>
        <v>0</v>
      </c>
      <c r="AE73">
        <f>IF((phi!AE18),VLOOKUP(AE$1,main!$A$3:$I$56,5,FALSE)-VLOOKUP($A73,main!$A$3:$I$56,6,FALSE)+main!$D$57,0)</f>
        <v>0</v>
      </c>
      <c r="AF73">
        <f>IF((phi!AF18),VLOOKUP(AF$1,main!$A$3:$I$56,5,FALSE)-VLOOKUP($A73,main!$A$3:$I$56,6,FALSE)+main!$D$57,0)</f>
        <v>0</v>
      </c>
      <c r="AG73">
        <f>IF((phi!AG18),VLOOKUP(AG$1,main!$A$3:$I$56,5,FALSE)-VLOOKUP($A73,main!$A$3:$I$56,6,FALSE)+main!$D$57,0)</f>
        <v>0</v>
      </c>
      <c r="AH73">
        <f>IF((phi!AH18),VLOOKUP(AH$1,main!$A$3:$I$56,5,FALSE)-VLOOKUP($A73,main!$A$3:$I$56,6,FALSE)+main!$D$57,0)</f>
        <v>0</v>
      </c>
      <c r="AI73">
        <f>IF((phi!AI18),VLOOKUP(AI$1,main!$A$3:$I$56,5,FALSE)-VLOOKUP($A73,main!$A$3:$I$56,6,FALSE)+main!$D$57,0)</f>
        <v>0</v>
      </c>
      <c r="AJ73">
        <f>IF((phi!AJ18),VLOOKUP(AJ$1,main!$A$3:$I$56,5,FALSE)-VLOOKUP($A73,main!$A$3:$I$56,6,FALSE)+main!$D$57,0)</f>
        <v>0</v>
      </c>
      <c r="AK73">
        <f>IF((phi!AK18),VLOOKUP(AK$1,main!$A$3:$I$56,5,FALSE)-VLOOKUP($A73,main!$A$3:$I$56,6,FALSE)+main!$D$57,0)</f>
        <v>165</v>
      </c>
      <c r="AL73">
        <f>IF((phi!AL18),VLOOKUP(AL$1,main!$A$3:$I$56,5,FALSE)-VLOOKUP($A73,main!$A$3:$I$56,6,FALSE)+main!$D$57,0)</f>
        <v>0</v>
      </c>
      <c r="AM73">
        <f>IF((phi!AM18),VLOOKUP(AM$1,main!$A$3:$I$56,5,FALSE)-VLOOKUP($A73,main!$A$3:$I$56,6,FALSE)+main!$D$57,0)</f>
        <v>0</v>
      </c>
      <c r="AN73">
        <f>IF((phi!AN18),VLOOKUP(AN$1,main!$A$3:$I$56,5,FALSE)-VLOOKUP($A73,main!$A$3:$I$56,6,FALSE)+main!$D$57,0)</f>
        <v>0</v>
      </c>
      <c r="AO73">
        <f>IF((phi!AO18),VLOOKUP(AO$1,main!$A$3:$I$56,5,FALSE)-VLOOKUP($A73,main!$A$3:$I$56,6,FALSE)+main!$D$57,0)</f>
        <v>0</v>
      </c>
      <c r="AP73">
        <f>IF((phi!AP18),VLOOKUP(AP$1,main!$A$3:$I$56,5,FALSE)-VLOOKUP($A73,main!$A$3:$I$56,6,FALSE)+main!$D$57,0)</f>
        <v>0</v>
      </c>
      <c r="AQ73">
        <f>IF((phi!AQ18),VLOOKUP(AQ$1,main!$A$3:$I$56,5,FALSE)-VLOOKUP($A73,main!$A$3:$I$56,6,FALSE)+main!$D$57,0)</f>
        <v>0</v>
      </c>
      <c r="AR73">
        <f>IF((phi!AR18),VLOOKUP(AR$1,main!$A$3:$I$56,5,FALSE)-VLOOKUP($A73,main!$A$3:$I$56,6,FALSE)+main!$D$57,0)</f>
        <v>0</v>
      </c>
      <c r="AS73">
        <f>IF((phi!AS18),VLOOKUP(AS$1,main!$A$3:$I$56,5,FALSE)-VLOOKUP($A73,main!$A$3:$I$56,6,FALSE)+main!$D$57,0)</f>
        <v>0</v>
      </c>
      <c r="AT73">
        <f>IF((phi!AT18),VLOOKUP(AT$1,main!$A$3:$I$56,5,FALSE)-VLOOKUP($A73,main!$A$3:$I$56,6,FALSE)+main!$D$57,0)</f>
        <v>0</v>
      </c>
      <c r="AU73">
        <f>IF((phi!AU18),VLOOKUP(AU$1,main!$A$3:$I$56,5,FALSE)-VLOOKUP($A73,main!$A$3:$I$56,6,FALSE)+main!$D$57,0)</f>
        <v>0</v>
      </c>
      <c r="AV73">
        <f>IF((phi!AV18),VLOOKUP(AV$1,main!$A$3:$I$56,5,FALSE)-VLOOKUP($A73,main!$A$3:$I$56,6,FALSE)+main!$D$57,0)</f>
        <v>0</v>
      </c>
      <c r="AW73">
        <f>IF((phi!AW18),VLOOKUP(AW$1,main!$A$3:$I$56,5,FALSE)-VLOOKUP($A73,main!$A$3:$I$56,6,FALSE)+main!$D$57,0)</f>
        <v>0</v>
      </c>
      <c r="AX73">
        <f>IF((phi!AX18),VLOOKUP(AX$1,main!$A$3:$I$56,5,FALSE)-VLOOKUP($A73,main!$A$3:$I$56,6,FALSE)+main!$D$57,0)</f>
        <v>0</v>
      </c>
      <c r="AY73">
        <f>IF((phi!AY18),VLOOKUP(AY$1,main!$A$3:$I$56,5,FALSE)-VLOOKUP($A73,main!$A$3:$I$56,6,FALSE)+main!$D$57,0)</f>
        <v>325</v>
      </c>
      <c r="AZ73">
        <f>IF((phi!AZ18),VLOOKUP(AZ$1,main!$A$3:$I$56,5,FALSE)-VLOOKUP($A73,main!$A$3:$I$56,6,FALSE)+main!$D$57,0)</f>
        <v>0</v>
      </c>
      <c r="BA73">
        <f>IF((phi!BA18),VLOOKUP(BA$1,main!$A$3:$I$56,5,FALSE)-VLOOKUP($A73,main!$A$3:$I$56,6,FALSE)+main!$D$57,0)</f>
        <v>0</v>
      </c>
      <c r="BB73">
        <f>IF((phi!BB18),VLOOKUP(BB$1,main!$A$3:$I$56,5,FALSE)-VLOOKUP($A73,main!$A$3:$I$56,6,FALSE)+main!$D$57,0)</f>
        <v>0</v>
      </c>
      <c r="BC73">
        <f>IF((phi!BC18),VLOOKUP(BC$1,main!$A$3:$I$56,5,FALSE)-VLOOKUP($A73,main!$A$3:$I$56,6,FALSE)+main!$D$57,0)</f>
        <v>0</v>
      </c>
      <c r="BD73">
        <f>IF((phi!BD18),VLOOKUP(BD$1,main!$A$3:$I$56,5,FALSE)-VLOOKUP($A73,main!$A$3:$I$56,6,FALSE)+main!$D$57,0)</f>
        <v>0</v>
      </c>
    </row>
    <row r="74" spans="1:56" x14ac:dyDescent="0.25">
      <c r="A74">
        <f t="shared" si="3"/>
        <v>17</v>
      </c>
      <c r="B74">
        <v>0</v>
      </c>
      <c r="C74">
        <f>IF((phi!C19),VLOOKUP(C$1,main!$A$3:$I$56,5,FALSE)-VLOOKUP($A74,main!$A$3:$I$56,6,FALSE)+main!$D$57,0)</f>
        <v>0</v>
      </c>
      <c r="D74">
        <f>IF((phi!D19),VLOOKUP(D$1,main!$A$3:$I$56,5,FALSE)-VLOOKUP($A74,main!$A$3:$I$56,6,FALSE)+main!$D$57,0)</f>
        <v>0</v>
      </c>
      <c r="E74">
        <f>IF((phi!E19),VLOOKUP(E$1,main!$A$3:$I$56,5,FALSE)-VLOOKUP($A74,main!$A$3:$I$56,6,FALSE)+main!$D$57,0)</f>
        <v>0</v>
      </c>
      <c r="F74">
        <f>IF((phi!F19),VLOOKUP(F$1,main!$A$3:$I$56,5,FALSE)-VLOOKUP($A74,main!$A$3:$I$56,6,FALSE)+main!$D$57,0)</f>
        <v>0</v>
      </c>
      <c r="G74">
        <f>IF((phi!G19),VLOOKUP(G$1,main!$A$3:$I$56,5,FALSE)-VLOOKUP($A74,main!$A$3:$I$56,6,FALSE)+main!$D$57,0)</f>
        <v>0</v>
      </c>
      <c r="H74">
        <f>IF((phi!H19),VLOOKUP(H$1,main!$A$3:$I$56,5,FALSE)-VLOOKUP($A74,main!$A$3:$I$56,6,FALSE)+main!$D$57,0)</f>
        <v>0</v>
      </c>
      <c r="I74">
        <f>IF((phi!I19),VLOOKUP(I$1,main!$A$3:$I$56,5,FALSE)-VLOOKUP($A74,main!$A$3:$I$56,6,FALSE)+main!$D$57,0)</f>
        <v>0</v>
      </c>
      <c r="J74">
        <f>IF((phi!J19),VLOOKUP(J$1,main!$A$3:$I$56,5,FALSE)-VLOOKUP($A74,main!$A$3:$I$56,6,FALSE)+main!$D$57,0)</f>
        <v>130</v>
      </c>
      <c r="K74">
        <f>IF((phi!K19),VLOOKUP(K$1,main!$A$3:$I$56,5,FALSE)-VLOOKUP($A74,main!$A$3:$I$56,6,FALSE)+main!$D$57,0)</f>
        <v>0</v>
      </c>
      <c r="L74">
        <f>IF((phi!L19),VLOOKUP(L$1,main!$A$3:$I$56,5,FALSE)-VLOOKUP($A74,main!$A$3:$I$56,6,FALSE)+main!$D$57,0)</f>
        <v>0</v>
      </c>
      <c r="M74">
        <f>IF((phi!M19),VLOOKUP(M$1,main!$A$3:$I$56,5,FALSE)-VLOOKUP($A74,main!$A$3:$I$56,6,FALSE)+main!$D$57,0)</f>
        <v>0</v>
      </c>
      <c r="N74">
        <f>IF((phi!N19),VLOOKUP(N$1,main!$A$3:$I$56,5,FALSE)-VLOOKUP($A74,main!$A$3:$I$56,6,FALSE)+main!$D$57,0)</f>
        <v>0</v>
      </c>
      <c r="O74">
        <f>IF((phi!O19),VLOOKUP(O$1,main!$A$3:$I$56,5,FALSE)-VLOOKUP($A74,main!$A$3:$I$56,6,FALSE)+main!$D$57,0)</f>
        <v>155</v>
      </c>
      <c r="P74">
        <f>IF((phi!P19),VLOOKUP(P$1,main!$A$3:$I$56,5,FALSE)-VLOOKUP($A74,main!$A$3:$I$56,6,FALSE)+main!$D$57,0)</f>
        <v>0</v>
      </c>
      <c r="Q74">
        <f>IF((phi!Q19),VLOOKUP(Q$1,main!$A$3:$I$56,5,FALSE)-VLOOKUP($A74,main!$A$3:$I$56,6,FALSE)+main!$D$57,0)</f>
        <v>0</v>
      </c>
      <c r="R74">
        <f>IF((phi!R19),VLOOKUP(R$1,main!$A$3:$I$56,5,FALSE)-VLOOKUP($A74,main!$A$3:$I$56,6,FALSE)+main!$D$57,0)</f>
        <v>0</v>
      </c>
      <c r="S74">
        <f>IF((phi!S19),VLOOKUP(S$1,main!$A$3:$I$56,5,FALSE)-VLOOKUP($A74,main!$A$3:$I$56,6,FALSE)+main!$D$57,0)</f>
        <v>0</v>
      </c>
      <c r="T74">
        <f>IF((phi!T19),VLOOKUP(T$1,main!$A$3:$I$56,5,FALSE)-VLOOKUP($A74,main!$A$3:$I$56,6,FALSE)+main!$D$57,0)</f>
        <v>0</v>
      </c>
      <c r="U74">
        <f>IF((phi!U19),VLOOKUP(U$1,main!$A$3:$I$56,5,FALSE)-VLOOKUP($A74,main!$A$3:$I$56,6,FALSE)+main!$D$57,0)</f>
        <v>0</v>
      </c>
      <c r="V74">
        <f>IF((phi!V19),VLOOKUP(V$1,main!$A$3:$I$56,5,FALSE)-VLOOKUP($A74,main!$A$3:$I$56,6,FALSE)+main!$D$57,0)</f>
        <v>0</v>
      </c>
      <c r="W74">
        <f>IF((phi!W19),VLOOKUP(W$1,main!$A$3:$I$56,5,FALSE)-VLOOKUP($A74,main!$A$3:$I$56,6,FALSE)+main!$D$57,0)</f>
        <v>0</v>
      </c>
      <c r="X74">
        <f>IF((phi!X19),VLOOKUP(X$1,main!$A$3:$I$56,5,FALSE)-VLOOKUP($A74,main!$A$3:$I$56,6,FALSE)+main!$D$57,0)</f>
        <v>0</v>
      </c>
      <c r="Y74">
        <f>IF((phi!Y19),VLOOKUP(Y$1,main!$A$3:$I$56,5,FALSE)-VLOOKUP($A74,main!$A$3:$I$56,6,FALSE)+main!$D$57,0)</f>
        <v>0</v>
      </c>
      <c r="Z74">
        <f>IF((phi!Z19),VLOOKUP(Z$1,main!$A$3:$I$56,5,FALSE)-VLOOKUP($A74,main!$A$3:$I$56,6,FALSE)+main!$D$57,0)</f>
        <v>0</v>
      </c>
      <c r="AA74">
        <f>IF((phi!AA19),VLOOKUP(AA$1,main!$A$3:$I$56,5,FALSE)-VLOOKUP($A74,main!$A$3:$I$56,6,FALSE)+main!$D$57,0)</f>
        <v>0</v>
      </c>
      <c r="AB74">
        <f>IF((phi!AB19),VLOOKUP(AB$1,main!$A$3:$I$56,5,FALSE)-VLOOKUP($A74,main!$A$3:$I$56,6,FALSE)+main!$D$57,0)</f>
        <v>0</v>
      </c>
      <c r="AC74">
        <f>IF((phi!AC19),VLOOKUP(AC$1,main!$A$3:$I$56,5,FALSE)-VLOOKUP($A74,main!$A$3:$I$56,6,FALSE)+main!$D$57,0)</f>
        <v>0</v>
      </c>
      <c r="AD74">
        <f>IF((phi!AD19),VLOOKUP(AD$1,main!$A$3:$I$56,5,FALSE)-VLOOKUP($A74,main!$A$3:$I$56,6,FALSE)+main!$D$57,0)</f>
        <v>0</v>
      </c>
      <c r="AE74">
        <f>IF((phi!AE19),VLOOKUP(AE$1,main!$A$3:$I$56,5,FALSE)-VLOOKUP($A74,main!$A$3:$I$56,6,FALSE)+main!$D$57,0)</f>
        <v>0</v>
      </c>
      <c r="AF74">
        <f>IF((phi!AF19),VLOOKUP(AF$1,main!$A$3:$I$56,5,FALSE)-VLOOKUP($A74,main!$A$3:$I$56,6,FALSE)+main!$D$57,0)</f>
        <v>0</v>
      </c>
      <c r="AG74">
        <f>IF((phi!AG19),VLOOKUP(AG$1,main!$A$3:$I$56,5,FALSE)-VLOOKUP($A74,main!$A$3:$I$56,6,FALSE)+main!$D$57,0)</f>
        <v>0</v>
      </c>
      <c r="AH74">
        <f>IF((phi!AH19),VLOOKUP(AH$1,main!$A$3:$I$56,5,FALSE)-VLOOKUP($A74,main!$A$3:$I$56,6,FALSE)+main!$D$57,0)</f>
        <v>0</v>
      </c>
      <c r="AI74">
        <f>IF((phi!AI19),VLOOKUP(AI$1,main!$A$3:$I$56,5,FALSE)-VLOOKUP($A74,main!$A$3:$I$56,6,FALSE)+main!$D$57,0)</f>
        <v>0</v>
      </c>
      <c r="AJ74">
        <f>IF((phi!AJ19),VLOOKUP(AJ$1,main!$A$3:$I$56,5,FALSE)-VLOOKUP($A74,main!$A$3:$I$56,6,FALSE)+main!$D$57,0)</f>
        <v>0</v>
      </c>
      <c r="AK74">
        <f>IF((phi!AK19),VLOOKUP(AK$1,main!$A$3:$I$56,5,FALSE)-VLOOKUP($A74,main!$A$3:$I$56,6,FALSE)+main!$D$57,0)</f>
        <v>0</v>
      </c>
      <c r="AL74">
        <f>IF((phi!AL19),VLOOKUP(AL$1,main!$A$3:$I$56,5,FALSE)-VLOOKUP($A74,main!$A$3:$I$56,6,FALSE)+main!$D$57,0)</f>
        <v>0</v>
      </c>
      <c r="AM74">
        <f>IF((phi!AM19),VLOOKUP(AM$1,main!$A$3:$I$56,5,FALSE)-VLOOKUP($A74,main!$A$3:$I$56,6,FALSE)+main!$D$57,0)</f>
        <v>0</v>
      </c>
      <c r="AN74">
        <f>IF((phi!AN19),VLOOKUP(AN$1,main!$A$3:$I$56,5,FALSE)-VLOOKUP($A74,main!$A$3:$I$56,6,FALSE)+main!$D$57,0)</f>
        <v>0</v>
      </c>
      <c r="AO74">
        <f>IF((phi!AO19),VLOOKUP(AO$1,main!$A$3:$I$56,5,FALSE)-VLOOKUP($A74,main!$A$3:$I$56,6,FALSE)+main!$D$57,0)</f>
        <v>0</v>
      </c>
      <c r="AP74">
        <f>IF((phi!AP19),VLOOKUP(AP$1,main!$A$3:$I$56,5,FALSE)-VLOOKUP($A74,main!$A$3:$I$56,6,FALSE)+main!$D$57,0)</f>
        <v>0</v>
      </c>
      <c r="AQ74">
        <f>IF((phi!AQ19),VLOOKUP(AQ$1,main!$A$3:$I$56,5,FALSE)-VLOOKUP($A74,main!$A$3:$I$56,6,FALSE)+main!$D$57,0)</f>
        <v>0</v>
      </c>
      <c r="AR74">
        <f>IF((phi!AR19),VLOOKUP(AR$1,main!$A$3:$I$56,5,FALSE)-VLOOKUP($A74,main!$A$3:$I$56,6,FALSE)+main!$D$57,0)</f>
        <v>0</v>
      </c>
      <c r="AS74">
        <f>IF((phi!AS19),VLOOKUP(AS$1,main!$A$3:$I$56,5,FALSE)-VLOOKUP($A74,main!$A$3:$I$56,6,FALSE)+main!$D$57,0)</f>
        <v>0</v>
      </c>
      <c r="AT74">
        <f>IF((phi!AT19),VLOOKUP(AT$1,main!$A$3:$I$56,5,FALSE)-VLOOKUP($A74,main!$A$3:$I$56,6,FALSE)+main!$D$57,0)</f>
        <v>0</v>
      </c>
      <c r="AU74">
        <f>IF((phi!AU19),VLOOKUP(AU$1,main!$A$3:$I$56,5,FALSE)-VLOOKUP($A74,main!$A$3:$I$56,6,FALSE)+main!$D$57,0)</f>
        <v>0</v>
      </c>
      <c r="AV74">
        <f>IF((phi!AV19),VLOOKUP(AV$1,main!$A$3:$I$56,5,FALSE)-VLOOKUP($A74,main!$A$3:$I$56,6,FALSE)+main!$D$57,0)</f>
        <v>0</v>
      </c>
      <c r="AW74">
        <f>IF((phi!AW19),VLOOKUP(AW$1,main!$A$3:$I$56,5,FALSE)-VLOOKUP($A74,main!$A$3:$I$56,6,FALSE)+main!$D$57,0)</f>
        <v>0</v>
      </c>
      <c r="AX74">
        <f>IF((phi!AX19),VLOOKUP(AX$1,main!$A$3:$I$56,5,FALSE)-VLOOKUP($A74,main!$A$3:$I$56,6,FALSE)+main!$D$57,0)</f>
        <v>0</v>
      </c>
      <c r="AY74">
        <f>IF((phi!AY19),VLOOKUP(AY$1,main!$A$3:$I$56,5,FALSE)-VLOOKUP($A74,main!$A$3:$I$56,6,FALSE)+main!$D$57,0)</f>
        <v>140</v>
      </c>
      <c r="AZ74">
        <f>IF((phi!AZ19),VLOOKUP(AZ$1,main!$A$3:$I$56,5,FALSE)-VLOOKUP($A74,main!$A$3:$I$56,6,FALSE)+main!$D$57,0)</f>
        <v>0</v>
      </c>
      <c r="BA74">
        <f>IF((phi!BA19),VLOOKUP(BA$1,main!$A$3:$I$56,5,FALSE)-VLOOKUP($A74,main!$A$3:$I$56,6,FALSE)+main!$D$57,0)</f>
        <v>0</v>
      </c>
      <c r="BB74">
        <f>IF((phi!BB19),VLOOKUP(BB$1,main!$A$3:$I$56,5,FALSE)-VLOOKUP($A74,main!$A$3:$I$56,6,FALSE)+main!$D$57,0)</f>
        <v>0</v>
      </c>
      <c r="BC74">
        <f>IF((phi!BC19),VLOOKUP(BC$1,main!$A$3:$I$56,5,FALSE)-VLOOKUP($A74,main!$A$3:$I$56,6,FALSE)+main!$D$57,0)</f>
        <v>0</v>
      </c>
      <c r="BD74">
        <f>IF((phi!BD19),VLOOKUP(BD$1,main!$A$3:$I$56,5,FALSE)-VLOOKUP($A74,main!$A$3:$I$56,6,FALSE)+main!$D$57,0)</f>
        <v>0</v>
      </c>
    </row>
    <row r="75" spans="1:56" x14ac:dyDescent="0.25">
      <c r="A75">
        <f t="shared" si="3"/>
        <v>18</v>
      </c>
      <c r="B75">
        <v>0</v>
      </c>
      <c r="C75">
        <f>IF((phi!C20),VLOOKUP(C$1,main!$A$3:$I$56,5,FALSE)-VLOOKUP($A75,main!$A$3:$I$56,6,FALSE)+main!$D$57,0)</f>
        <v>0</v>
      </c>
      <c r="D75">
        <f>IF((phi!D20),VLOOKUP(D$1,main!$A$3:$I$56,5,FALSE)-VLOOKUP($A75,main!$A$3:$I$56,6,FALSE)+main!$D$57,0)</f>
        <v>0</v>
      </c>
      <c r="E75">
        <f>IF((phi!E20),VLOOKUP(E$1,main!$A$3:$I$56,5,FALSE)-VLOOKUP($A75,main!$A$3:$I$56,6,FALSE)+main!$D$57,0)</f>
        <v>0</v>
      </c>
      <c r="F75">
        <f>IF((phi!F20),VLOOKUP(F$1,main!$A$3:$I$56,5,FALSE)-VLOOKUP($A75,main!$A$3:$I$56,6,FALSE)+main!$D$57,0)</f>
        <v>0</v>
      </c>
      <c r="G75">
        <f>IF((phi!G20),VLOOKUP(G$1,main!$A$3:$I$56,5,FALSE)-VLOOKUP($A75,main!$A$3:$I$56,6,FALSE)+main!$D$57,0)</f>
        <v>0</v>
      </c>
      <c r="H75">
        <f>IF((phi!H20),VLOOKUP(H$1,main!$A$3:$I$56,5,FALSE)-VLOOKUP($A75,main!$A$3:$I$56,6,FALSE)+main!$D$57,0)</f>
        <v>0</v>
      </c>
      <c r="I75">
        <f>IF((phi!I20),VLOOKUP(I$1,main!$A$3:$I$56,5,FALSE)-VLOOKUP($A75,main!$A$3:$I$56,6,FALSE)+main!$D$57,0)</f>
        <v>0</v>
      </c>
      <c r="J75">
        <f>IF((phi!J20),VLOOKUP(J$1,main!$A$3:$I$56,5,FALSE)-VLOOKUP($A75,main!$A$3:$I$56,6,FALSE)+main!$D$57,0)</f>
        <v>0</v>
      </c>
      <c r="K75">
        <f>IF((phi!K20),VLOOKUP(K$1,main!$A$3:$I$56,5,FALSE)-VLOOKUP($A75,main!$A$3:$I$56,6,FALSE)+main!$D$57,0)</f>
        <v>0</v>
      </c>
      <c r="L75">
        <f>IF((phi!L20),VLOOKUP(L$1,main!$A$3:$I$56,5,FALSE)-VLOOKUP($A75,main!$A$3:$I$56,6,FALSE)+main!$D$57,0)</f>
        <v>0</v>
      </c>
      <c r="M75">
        <f>IF((phi!M20),VLOOKUP(M$1,main!$A$3:$I$56,5,FALSE)-VLOOKUP($A75,main!$A$3:$I$56,6,FALSE)+main!$D$57,0)</f>
        <v>0</v>
      </c>
      <c r="N75">
        <f>IF((phi!N20),VLOOKUP(N$1,main!$A$3:$I$56,5,FALSE)-VLOOKUP($A75,main!$A$3:$I$56,6,FALSE)+main!$D$57,0)</f>
        <v>0</v>
      </c>
      <c r="O75">
        <f>IF((phi!O20),VLOOKUP(O$1,main!$A$3:$I$56,5,FALSE)-VLOOKUP($A75,main!$A$3:$I$56,6,FALSE)+main!$D$57,0)</f>
        <v>0</v>
      </c>
      <c r="P75">
        <f>IF((phi!P20),VLOOKUP(P$1,main!$A$3:$I$56,5,FALSE)-VLOOKUP($A75,main!$A$3:$I$56,6,FALSE)+main!$D$57,0)</f>
        <v>0</v>
      </c>
      <c r="Q75">
        <f>IF((phi!Q20),VLOOKUP(Q$1,main!$A$3:$I$56,5,FALSE)-VLOOKUP($A75,main!$A$3:$I$56,6,FALSE)+main!$D$57,0)</f>
        <v>0</v>
      </c>
      <c r="R75">
        <f>IF((phi!R20),VLOOKUP(R$1,main!$A$3:$I$56,5,FALSE)-VLOOKUP($A75,main!$A$3:$I$56,6,FALSE)+main!$D$57,0)</f>
        <v>0</v>
      </c>
      <c r="S75">
        <f>IF((phi!S20),VLOOKUP(S$1,main!$A$3:$I$56,5,FALSE)-VLOOKUP($A75,main!$A$3:$I$56,6,FALSE)+main!$D$57,0)</f>
        <v>0</v>
      </c>
      <c r="T75">
        <f>IF((phi!T20),VLOOKUP(T$1,main!$A$3:$I$56,5,FALSE)-VLOOKUP($A75,main!$A$3:$I$56,6,FALSE)+main!$D$57,0)</f>
        <v>0</v>
      </c>
      <c r="U75">
        <f>IF((phi!U20),VLOOKUP(U$1,main!$A$3:$I$56,5,FALSE)-VLOOKUP($A75,main!$A$3:$I$56,6,FALSE)+main!$D$57,0)</f>
        <v>0</v>
      </c>
      <c r="V75">
        <f>IF((phi!V20),VLOOKUP(V$1,main!$A$3:$I$56,5,FALSE)-VLOOKUP($A75,main!$A$3:$I$56,6,FALSE)+main!$D$57,0)</f>
        <v>0</v>
      </c>
      <c r="W75">
        <f>IF((phi!W20),VLOOKUP(W$1,main!$A$3:$I$56,5,FALSE)-VLOOKUP($A75,main!$A$3:$I$56,6,FALSE)+main!$D$57,0)</f>
        <v>0</v>
      </c>
      <c r="X75">
        <f>IF((phi!X20),VLOOKUP(X$1,main!$A$3:$I$56,5,FALSE)-VLOOKUP($A75,main!$A$3:$I$56,6,FALSE)+main!$D$57,0)</f>
        <v>0</v>
      </c>
      <c r="Y75">
        <f>IF((phi!Y20),VLOOKUP(Y$1,main!$A$3:$I$56,5,FALSE)-VLOOKUP($A75,main!$A$3:$I$56,6,FALSE)+main!$D$57,0)</f>
        <v>0</v>
      </c>
      <c r="Z75">
        <f>IF((phi!Z20),VLOOKUP(Z$1,main!$A$3:$I$56,5,FALSE)-VLOOKUP($A75,main!$A$3:$I$56,6,FALSE)+main!$D$57,0)</f>
        <v>0</v>
      </c>
      <c r="AA75">
        <f>IF((phi!AA20),VLOOKUP(AA$1,main!$A$3:$I$56,5,FALSE)-VLOOKUP($A75,main!$A$3:$I$56,6,FALSE)+main!$D$57,0)</f>
        <v>0</v>
      </c>
      <c r="AB75">
        <f>IF((phi!AB20),VLOOKUP(AB$1,main!$A$3:$I$56,5,FALSE)-VLOOKUP($A75,main!$A$3:$I$56,6,FALSE)+main!$D$57,0)</f>
        <v>0</v>
      </c>
      <c r="AC75">
        <f>IF((phi!AC20),VLOOKUP(AC$1,main!$A$3:$I$56,5,FALSE)-VLOOKUP($A75,main!$A$3:$I$56,6,FALSE)+main!$D$57,0)</f>
        <v>0</v>
      </c>
      <c r="AD75">
        <f>IF((phi!AD20),VLOOKUP(AD$1,main!$A$3:$I$56,5,FALSE)-VLOOKUP($A75,main!$A$3:$I$56,6,FALSE)+main!$D$57,0)</f>
        <v>0</v>
      </c>
      <c r="AE75">
        <f>IF((phi!AE20),VLOOKUP(AE$1,main!$A$3:$I$56,5,FALSE)-VLOOKUP($A75,main!$A$3:$I$56,6,FALSE)+main!$D$57,0)</f>
        <v>0</v>
      </c>
      <c r="AF75">
        <f>IF((phi!AF20),VLOOKUP(AF$1,main!$A$3:$I$56,5,FALSE)-VLOOKUP($A75,main!$A$3:$I$56,6,FALSE)+main!$D$57,0)</f>
        <v>0</v>
      </c>
      <c r="AG75">
        <f>IF((phi!AG20),VLOOKUP(AG$1,main!$A$3:$I$56,5,FALSE)-VLOOKUP($A75,main!$A$3:$I$56,6,FALSE)+main!$D$57,0)</f>
        <v>0</v>
      </c>
      <c r="AH75">
        <f>IF((phi!AH20),VLOOKUP(AH$1,main!$A$3:$I$56,5,FALSE)-VLOOKUP($A75,main!$A$3:$I$56,6,FALSE)+main!$D$57,0)</f>
        <v>0</v>
      </c>
      <c r="AI75">
        <f>IF((phi!AI20),VLOOKUP(AI$1,main!$A$3:$I$56,5,FALSE)-VLOOKUP($A75,main!$A$3:$I$56,6,FALSE)+main!$D$57,0)</f>
        <v>0</v>
      </c>
      <c r="AJ75">
        <f>IF((phi!AJ20),VLOOKUP(AJ$1,main!$A$3:$I$56,5,FALSE)-VLOOKUP($A75,main!$A$3:$I$56,6,FALSE)+main!$D$57,0)</f>
        <v>0</v>
      </c>
      <c r="AK75">
        <f>IF((phi!AK20),VLOOKUP(AK$1,main!$A$3:$I$56,5,FALSE)-VLOOKUP($A75,main!$A$3:$I$56,6,FALSE)+main!$D$57,0)</f>
        <v>0</v>
      </c>
      <c r="AL75">
        <f>IF((phi!AL20),VLOOKUP(AL$1,main!$A$3:$I$56,5,FALSE)-VLOOKUP($A75,main!$A$3:$I$56,6,FALSE)+main!$D$57,0)</f>
        <v>0</v>
      </c>
      <c r="AM75">
        <f>IF((phi!AM20),VLOOKUP(AM$1,main!$A$3:$I$56,5,FALSE)-VLOOKUP($A75,main!$A$3:$I$56,6,FALSE)+main!$D$57,0)</f>
        <v>0</v>
      </c>
      <c r="AN75">
        <f>IF((phi!AN20),VLOOKUP(AN$1,main!$A$3:$I$56,5,FALSE)-VLOOKUP($A75,main!$A$3:$I$56,6,FALSE)+main!$D$57,0)</f>
        <v>0</v>
      </c>
      <c r="AO75">
        <f>IF((phi!AO20),VLOOKUP(AO$1,main!$A$3:$I$56,5,FALSE)-VLOOKUP($A75,main!$A$3:$I$56,6,FALSE)+main!$D$57,0)</f>
        <v>0</v>
      </c>
      <c r="AP75">
        <f>IF((phi!AP20),VLOOKUP(AP$1,main!$A$3:$I$56,5,FALSE)-VLOOKUP($A75,main!$A$3:$I$56,6,FALSE)+main!$D$57,0)</f>
        <v>0</v>
      </c>
      <c r="AQ75">
        <f>IF((phi!AQ20),VLOOKUP(AQ$1,main!$A$3:$I$56,5,FALSE)-VLOOKUP($A75,main!$A$3:$I$56,6,FALSE)+main!$D$57,0)</f>
        <v>0</v>
      </c>
      <c r="AR75">
        <f>IF((phi!AR20),VLOOKUP(AR$1,main!$A$3:$I$56,5,FALSE)-VLOOKUP($A75,main!$A$3:$I$56,6,FALSE)+main!$D$57,0)</f>
        <v>0</v>
      </c>
      <c r="AS75">
        <f>IF((phi!AS20),VLOOKUP(AS$1,main!$A$3:$I$56,5,FALSE)-VLOOKUP($A75,main!$A$3:$I$56,6,FALSE)+main!$D$57,0)</f>
        <v>0</v>
      </c>
      <c r="AT75">
        <f>IF((phi!AT20),VLOOKUP(AT$1,main!$A$3:$I$56,5,FALSE)-VLOOKUP($A75,main!$A$3:$I$56,6,FALSE)+main!$D$57,0)</f>
        <v>0</v>
      </c>
      <c r="AU75">
        <f>IF((phi!AU20),VLOOKUP(AU$1,main!$A$3:$I$56,5,FALSE)-VLOOKUP($A75,main!$A$3:$I$56,6,FALSE)+main!$D$57,0)</f>
        <v>0</v>
      </c>
      <c r="AV75">
        <f>IF((phi!AV20),VLOOKUP(AV$1,main!$A$3:$I$56,5,FALSE)-VLOOKUP($A75,main!$A$3:$I$56,6,FALSE)+main!$D$57,0)</f>
        <v>0</v>
      </c>
      <c r="AW75">
        <f>IF((phi!AW20),VLOOKUP(AW$1,main!$A$3:$I$56,5,FALSE)-VLOOKUP($A75,main!$A$3:$I$56,6,FALSE)+main!$D$57,0)</f>
        <v>0</v>
      </c>
      <c r="AX75">
        <f>IF((phi!AX20),VLOOKUP(AX$1,main!$A$3:$I$56,5,FALSE)-VLOOKUP($A75,main!$A$3:$I$56,6,FALSE)+main!$D$57,0)</f>
        <v>0</v>
      </c>
      <c r="AY75">
        <f>IF((phi!AY20),VLOOKUP(AY$1,main!$A$3:$I$56,5,FALSE)-VLOOKUP($A75,main!$A$3:$I$56,6,FALSE)+main!$D$57,0)</f>
        <v>0</v>
      </c>
      <c r="AZ75">
        <f>IF((phi!AZ20),VLOOKUP(AZ$1,main!$A$3:$I$56,5,FALSE)-VLOOKUP($A75,main!$A$3:$I$56,6,FALSE)+main!$D$57,0)</f>
        <v>0</v>
      </c>
      <c r="BA75">
        <f>IF((phi!BA20),VLOOKUP(BA$1,main!$A$3:$I$56,5,FALSE)-VLOOKUP($A75,main!$A$3:$I$56,6,FALSE)+main!$D$57,0)</f>
        <v>0</v>
      </c>
      <c r="BB75">
        <f>IF((phi!BB20),VLOOKUP(BB$1,main!$A$3:$I$56,5,FALSE)-VLOOKUP($A75,main!$A$3:$I$56,6,FALSE)+main!$D$57,0)</f>
        <v>0</v>
      </c>
      <c r="BC75">
        <f>IF((phi!BC20),VLOOKUP(BC$1,main!$A$3:$I$56,5,FALSE)-VLOOKUP($A75,main!$A$3:$I$56,6,FALSE)+main!$D$57,0)</f>
        <v>0</v>
      </c>
      <c r="BD75">
        <f>IF((phi!BD20),VLOOKUP(BD$1,main!$A$3:$I$56,5,FALSE)-VLOOKUP($A75,main!$A$3:$I$56,6,FALSE)+main!$D$57,0)</f>
        <v>0</v>
      </c>
    </row>
    <row r="76" spans="1:56" x14ac:dyDescent="0.25">
      <c r="A76">
        <f t="shared" si="3"/>
        <v>19</v>
      </c>
      <c r="B76">
        <v>0</v>
      </c>
      <c r="C76">
        <f>IF((phi!C21),VLOOKUP(C$1,main!$A$3:$I$56,5,FALSE)-VLOOKUP($A76,main!$A$3:$I$56,6,FALSE)+main!$D$57,0)</f>
        <v>0</v>
      </c>
      <c r="D76">
        <f>IF((phi!D21),VLOOKUP(D$1,main!$A$3:$I$56,5,FALSE)-VLOOKUP($A76,main!$A$3:$I$56,6,FALSE)+main!$D$57,0)</f>
        <v>0</v>
      </c>
      <c r="E76">
        <f>IF((phi!E21),VLOOKUP(E$1,main!$A$3:$I$56,5,FALSE)-VLOOKUP($A76,main!$A$3:$I$56,6,FALSE)+main!$D$57,0)</f>
        <v>205</v>
      </c>
      <c r="F76">
        <f>IF((phi!F21),VLOOKUP(F$1,main!$A$3:$I$56,5,FALSE)-VLOOKUP($A76,main!$A$3:$I$56,6,FALSE)+main!$D$57,0)</f>
        <v>295</v>
      </c>
      <c r="G76">
        <f>IF((phi!G21),VLOOKUP(G$1,main!$A$3:$I$56,5,FALSE)-VLOOKUP($A76,main!$A$3:$I$56,6,FALSE)+main!$D$57,0)</f>
        <v>355</v>
      </c>
      <c r="H76">
        <f>IF((phi!H21),VLOOKUP(H$1,main!$A$3:$I$56,5,FALSE)-VLOOKUP($A76,main!$A$3:$I$56,6,FALSE)+main!$D$57,0)</f>
        <v>415</v>
      </c>
      <c r="I76">
        <f>IF((phi!I21),VLOOKUP(I$1,main!$A$3:$I$56,5,FALSE)-VLOOKUP($A76,main!$A$3:$I$56,6,FALSE)+main!$D$57,0)</f>
        <v>475</v>
      </c>
      <c r="J76">
        <f>IF((phi!J21),VLOOKUP(J$1,main!$A$3:$I$56,5,FALSE)-VLOOKUP($A76,main!$A$3:$I$56,6,FALSE)+main!$D$57,0)</f>
        <v>565</v>
      </c>
      <c r="K76">
        <f>IF((phi!K21),VLOOKUP(K$1,main!$A$3:$I$56,5,FALSE)-VLOOKUP($A76,main!$A$3:$I$56,6,FALSE)+main!$D$57,0)</f>
        <v>0</v>
      </c>
      <c r="L76">
        <f>IF((phi!L21),VLOOKUP(L$1,main!$A$3:$I$56,5,FALSE)-VLOOKUP($A76,main!$A$3:$I$56,6,FALSE)+main!$D$57,0)</f>
        <v>0</v>
      </c>
      <c r="M76">
        <f>IF((phi!M21),VLOOKUP(M$1,main!$A$3:$I$56,5,FALSE)-VLOOKUP($A76,main!$A$3:$I$56,6,FALSE)+main!$D$57,0)</f>
        <v>170</v>
      </c>
      <c r="N76">
        <f>IF((phi!N21),VLOOKUP(N$1,main!$A$3:$I$56,5,FALSE)-VLOOKUP($A76,main!$A$3:$I$56,6,FALSE)+main!$D$57,0)</f>
        <v>530</v>
      </c>
      <c r="O76">
        <f>IF((phi!O21),VLOOKUP(O$1,main!$A$3:$I$56,5,FALSE)-VLOOKUP($A76,main!$A$3:$I$56,6,FALSE)+main!$D$57,0)</f>
        <v>590</v>
      </c>
      <c r="P76">
        <f>IF((phi!P21),VLOOKUP(P$1,main!$A$3:$I$56,5,FALSE)-VLOOKUP($A76,main!$A$3:$I$56,6,FALSE)+main!$D$57,0)</f>
        <v>0</v>
      </c>
      <c r="Q76">
        <f>IF((phi!Q21),VLOOKUP(Q$1,main!$A$3:$I$56,5,FALSE)-VLOOKUP($A76,main!$A$3:$I$56,6,FALSE)+main!$D$57,0)</f>
        <v>0</v>
      </c>
      <c r="R76">
        <f>IF((phi!R21),VLOOKUP(R$1,main!$A$3:$I$56,5,FALSE)-VLOOKUP($A76,main!$A$3:$I$56,6,FALSE)+main!$D$57,0)</f>
        <v>165</v>
      </c>
      <c r="S76">
        <f>IF((phi!S21),VLOOKUP(S$1,main!$A$3:$I$56,5,FALSE)-VLOOKUP($A76,main!$A$3:$I$56,6,FALSE)+main!$D$57,0)</f>
        <v>345</v>
      </c>
      <c r="T76">
        <f>IF((phi!T21),VLOOKUP(T$1,main!$A$3:$I$56,5,FALSE)-VLOOKUP($A76,main!$A$3:$I$56,6,FALSE)+main!$D$57,0)</f>
        <v>495</v>
      </c>
      <c r="U76">
        <f>IF((phi!U21),VLOOKUP(U$1,main!$A$3:$I$56,5,FALSE)-VLOOKUP($A76,main!$A$3:$I$56,6,FALSE)+main!$D$57,0)</f>
        <v>0</v>
      </c>
      <c r="V76">
        <f>IF((phi!V21),VLOOKUP(V$1,main!$A$3:$I$56,5,FALSE)-VLOOKUP($A76,main!$A$3:$I$56,6,FALSE)+main!$D$57,0)</f>
        <v>0</v>
      </c>
      <c r="W76">
        <f>IF((phi!W21),VLOOKUP(W$1,main!$A$3:$I$56,5,FALSE)-VLOOKUP($A76,main!$A$3:$I$56,6,FALSE)+main!$D$57,0)</f>
        <v>0</v>
      </c>
      <c r="X76">
        <f>IF((phi!X21),VLOOKUP(X$1,main!$A$3:$I$56,5,FALSE)-VLOOKUP($A76,main!$A$3:$I$56,6,FALSE)+main!$D$57,0)</f>
        <v>185</v>
      </c>
      <c r="Y76">
        <f>IF((phi!Y21),VLOOKUP(Y$1,main!$A$3:$I$56,5,FALSE)-VLOOKUP($A76,main!$A$3:$I$56,6,FALSE)+main!$D$57,0)</f>
        <v>275</v>
      </c>
      <c r="Z76">
        <f>IF((phi!Z21),VLOOKUP(Z$1,main!$A$3:$I$56,5,FALSE)-VLOOKUP($A76,main!$A$3:$I$56,6,FALSE)+main!$D$57,0)</f>
        <v>365</v>
      </c>
      <c r="AA76">
        <f>IF((phi!AA21),VLOOKUP(AA$1,main!$A$3:$I$56,5,FALSE)-VLOOKUP($A76,main!$A$3:$I$56,6,FALSE)+main!$D$57,0)</f>
        <v>455</v>
      </c>
      <c r="AB76">
        <f>IF((phi!AB21),VLOOKUP(AB$1,main!$A$3:$I$56,5,FALSE)-VLOOKUP($A76,main!$A$3:$I$56,6,FALSE)+main!$D$57,0)</f>
        <v>515</v>
      </c>
      <c r="AC76">
        <f>IF((phi!AC21),VLOOKUP(AC$1,main!$A$3:$I$56,5,FALSE)-VLOOKUP($A76,main!$A$3:$I$56,6,FALSE)+main!$D$57,0)</f>
        <v>0</v>
      </c>
      <c r="AD76">
        <f>IF((phi!AD21),VLOOKUP(AD$1,main!$A$3:$I$56,5,FALSE)-VLOOKUP($A76,main!$A$3:$I$56,6,FALSE)+main!$D$57,0)</f>
        <v>0</v>
      </c>
      <c r="AE76">
        <f>IF((phi!AE21),VLOOKUP(AE$1,main!$A$3:$I$56,5,FALSE)-VLOOKUP($A76,main!$A$3:$I$56,6,FALSE)+main!$D$57,0)</f>
        <v>175</v>
      </c>
      <c r="AF76">
        <f>IF((phi!AF21),VLOOKUP(AF$1,main!$A$3:$I$56,5,FALSE)-VLOOKUP($A76,main!$A$3:$I$56,6,FALSE)+main!$D$57,0)</f>
        <v>325</v>
      </c>
      <c r="AG76">
        <f>IF((phi!AG21),VLOOKUP(AG$1,main!$A$3:$I$56,5,FALSE)-VLOOKUP($A76,main!$A$3:$I$56,6,FALSE)+main!$D$57,0)</f>
        <v>0</v>
      </c>
      <c r="AH76">
        <f>IF((phi!AH21),VLOOKUP(AH$1,main!$A$3:$I$56,5,FALSE)-VLOOKUP($A76,main!$A$3:$I$56,6,FALSE)+main!$D$57,0)</f>
        <v>0</v>
      </c>
      <c r="AI76">
        <f>IF((phi!AI21),VLOOKUP(AI$1,main!$A$3:$I$56,5,FALSE)-VLOOKUP($A76,main!$A$3:$I$56,6,FALSE)+main!$D$57,0)</f>
        <v>235</v>
      </c>
      <c r="AJ76">
        <f>IF((phi!AJ21),VLOOKUP(AJ$1,main!$A$3:$I$56,5,FALSE)-VLOOKUP($A76,main!$A$3:$I$56,6,FALSE)+main!$D$57,0)</f>
        <v>295</v>
      </c>
      <c r="AK76">
        <f>IF((phi!AK21),VLOOKUP(AK$1,main!$A$3:$I$56,5,FALSE)-VLOOKUP($A76,main!$A$3:$I$56,6,FALSE)+main!$D$57,0)</f>
        <v>415</v>
      </c>
      <c r="AL76">
        <f>IF((phi!AL21),VLOOKUP(AL$1,main!$A$3:$I$56,5,FALSE)-VLOOKUP($A76,main!$A$3:$I$56,6,FALSE)+main!$D$57,0)</f>
        <v>0</v>
      </c>
      <c r="AM76">
        <f>IF((phi!AM21),VLOOKUP(AM$1,main!$A$3:$I$56,5,FALSE)-VLOOKUP($A76,main!$A$3:$I$56,6,FALSE)+main!$D$57,0)</f>
        <v>0</v>
      </c>
      <c r="AN76">
        <f>IF((phi!AN21),VLOOKUP(AN$1,main!$A$3:$I$56,5,FALSE)-VLOOKUP($A76,main!$A$3:$I$56,6,FALSE)+main!$D$57,0)</f>
        <v>275</v>
      </c>
      <c r="AO76">
        <f>IF((phi!AO21),VLOOKUP(AO$1,main!$A$3:$I$56,5,FALSE)-VLOOKUP($A76,main!$A$3:$I$56,6,FALSE)+main!$D$57,0)</f>
        <v>325</v>
      </c>
      <c r="AP76">
        <f>IF((phi!AP21),VLOOKUP(AP$1,main!$A$3:$I$56,5,FALSE)-VLOOKUP($A76,main!$A$3:$I$56,6,FALSE)+main!$D$57,0)</f>
        <v>0</v>
      </c>
      <c r="AQ76">
        <f>IF((phi!AQ21),VLOOKUP(AQ$1,main!$A$3:$I$56,5,FALSE)-VLOOKUP($A76,main!$A$3:$I$56,6,FALSE)+main!$D$57,0)</f>
        <v>0</v>
      </c>
      <c r="AR76">
        <f>IF((phi!AR21),VLOOKUP(AR$1,main!$A$3:$I$56,5,FALSE)-VLOOKUP($A76,main!$A$3:$I$56,6,FALSE)+main!$D$57,0)</f>
        <v>0</v>
      </c>
      <c r="AS76">
        <f>IF((phi!AS21),VLOOKUP(AS$1,main!$A$3:$I$56,5,FALSE)-VLOOKUP($A76,main!$A$3:$I$56,6,FALSE)+main!$D$57,0)</f>
        <v>140</v>
      </c>
      <c r="AT76">
        <f>IF((phi!AT21),VLOOKUP(AT$1,main!$A$3:$I$56,5,FALSE)-VLOOKUP($A76,main!$A$3:$I$56,6,FALSE)+main!$D$57,0)</f>
        <v>225</v>
      </c>
      <c r="AU76">
        <f>IF((phi!AU21),VLOOKUP(AU$1,main!$A$3:$I$56,5,FALSE)-VLOOKUP($A76,main!$A$3:$I$56,6,FALSE)+main!$D$57,0)</f>
        <v>0</v>
      </c>
      <c r="AV76">
        <f>IF((phi!AV21),VLOOKUP(AV$1,main!$A$3:$I$56,5,FALSE)-VLOOKUP($A76,main!$A$3:$I$56,6,FALSE)+main!$D$57,0)</f>
        <v>0</v>
      </c>
      <c r="AW76">
        <f>IF((phi!AW21),VLOOKUP(AW$1,main!$A$3:$I$56,5,FALSE)-VLOOKUP($A76,main!$A$3:$I$56,6,FALSE)+main!$D$57,0)</f>
        <v>175</v>
      </c>
      <c r="AX76">
        <f>IF((phi!AX21),VLOOKUP(AX$1,main!$A$3:$I$56,5,FALSE)-VLOOKUP($A76,main!$A$3:$I$56,6,FALSE)+main!$D$57,0)</f>
        <v>375</v>
      </c>
      <c r="AY76">
        <f>IF((phi!AY21),VLOOKUP(AY$1,main!$A$3:$I$56,5,FALSE)-VLOOKUP($A76,main!$A$3:$I$56,6,FALSE)+main!$D$57,0)</f>
        <v>575</v>
      </c>
      <c r="AZ76">
        <f>IF((phi!AZ21),VLOOKUP(AZ$1,main!$A$3:$I$56,5,FALSE)-VLOOKUP($A76,main!$A$3:$I$56,6,FALSE)+main!$D$57,0)</f>
        <v>0</v>
      </c>
      <c r="BA76">
        <f>IF((phi!BA21),VLOOKUP(BA$1,main!$A$3:$I$56,5,FALSE)-VLOOKUP($A76,main!$A$3:$I$56,6,FALSE)+main!$D$57,0)</f>
        <v>140</v>
      </c>
      <c r="BB76">
        <f>IF((phi!BB21),VLOOKUP(BB$1,main!$A$3:$I$56,5,FALSE)-VLOOKUP($A76,main!$A$3:$I$56,6,FALSE)+main!$D$57,0)</f>
        <v>155</v>
      </c>
      <c r="BC76">
        <f>IF((phi!BC21),VLOOKUP(BC$1,main!$A$3:$I$56,5,FALSE)-VLOOKUP($A76,main!$A$3:$I$56,6,FALSE)+main!$D$57,0)</f>
        <v>340</v>
      </c>
      <c r="BD76">
        <f>IF((phi!BD21),VLOOKUP(BD$1,main!$A$3:$I$56,5,FALSE)-VLOOKUP($A76,main!$A$3:$I$56,6,FALSE)+main!$D$57,0)</f>
        <v>350</v>
      </c>
    </row>
    <row r="77" spans="1:56" x14ac:dyDescent="0.25">
      <c r="A77">
        <f t="shared" si="3"/>
        <v>20</v>
      </c>
      <c r="B77">
        <v>0</v>
      </c>
      <c r="C77">
        <f>IF((phi!C22),VLOOKUP(C$1,main!$A$3:$I$56,5,FALSE)-VLOOKUP($A77,main!$A$3:$I$56,6,FALSE)+main!$D$57,0)</f>
        <v>0</v>
      </c>
      <c r="D77">
        <f>IF((phi!D22),VLOOKUP(D$1,main!$A$3:$I$56,5,FALSE)-VLOOKUP($A77,main!$A$3:$I$56,6,FALSE)+main!$D$57,0)</f>
        <v>0</v>
      </c>
      <c r="E77">
        <f>IF((phi!E22),VLOOKUP(E$1,main!$A$3:$I$56,5,FALSE)-VLOOKUP($A77,main!$A$3:$I$56,6,FALSE)+main!$D$57,0)</f>
        <v>0</v>
      </c>
      <c r="F77">
        <f>IF((phi!F22),VLOOKUP(F$1,main!$A$3:$I$56,5,FALSE)-VLOOKUP($A77,main!$A$3:$I$56,6,FALSE)+main!$D$57,0)</f>
        <v>205</v>
      </c>
      <c r="G77">
        <f>IF((phi!G22),VLOOKUP(G$1,main!$A$3:$I$56,5,FALSE)-VLOOKUP($A77,main!$A$3:$I$56,6,FALSE)+main!$D$57,0)</f>
        <v>265</v>
      </c>
      <c r="H77">
        <f>IF((phi!H22),VLOOKUP(H$1,main!$A$3:$I$56,5,FALSE)-VLOOKUP($A77,main!$A$3:$I$56,6,FALSE)+main!$D$57,0)</f>
        <v>325</v>
      </c>
      <c r="I77">
        <f>IF((phi!I22),VLOOKUP(I$1,main!$A$3:$I$56,5,FALSE)-VLOOKUP($A77,main!$A$3:$I$56,6,FALSE)+main!$D$57,0)</f>
        <v>385</v>
      </c>
      <c r="J77">
        <f>IF((phi!J22),VLOOKUP(J$1,main!$A$3:$I$56,5,FALSE)-VLOOKUP($A77,main!$A$3:$I$56,6,FALSE)+main!$D$57,0)</f>
        <v>475</v>
      </c>
      <c r="K77">
        <f>IF((phi!K22),VLOOKUP(K$1,main!$A$3:$I$56,5,FALSE)-VLOOKUP($A77,main!$A$3:$I$56,6,FALSE)+main!$D$57,0)</f>
        <v>0</v>
      </c>
      <c r="L77">
        <f>IF((phi!L22),VLOOKUP(L$1,main!$A$3:$I$56,5,FALSE)-VLOOKUP($A77,main!$A$3:$I$56,6,FALSE)+main!$D$57,0)</f>
        <v>0</v>
      </c>
      <c r="M77">
        <f>IF((phi!M22),VLOOKUP(M$1,main!$A$3:$I$56,5,FALSE)-VLOOKUP($A77,main!$A$3:$I$56,6,FALSE)+main!$D$57,0)</f>
        <v>0</v>
      </c>
      <c r="N77">
        <f>IF((phi!N22),VLOOKUP(N$1,main!$A$3:$I$56,5,FALSE)-VLOOKUP($A77,main!$A$3:$I$56,6,FALSE)+main!$D$57,0)</f>
        <v>440</v>
      </c>
      <c r="O77">
        <f>IF((phi!O22),VLOOKUP(O$1,main!$A$3:$I$56,5,FALSE)-VLOOKUP($A77,main!$A$3:$I$56,6,FALSE)+main!$D$57,0)</f>
        <v>500</v>
      </c>
      <c r="P77">
        <f>IF((phi!P22),VLOOKUP(P$1,main!$A$3:$I$56,5,FALSE)-VLOOKUP($A77,main!$A$3:$I$56,6,FALSE)+main!$D$57,0)</f>
        <v>0</v>
      </c>
      <c r="Q77">
        <f>IF((phi!Q22),VLOOKUP(Q$1,main!$A$3:$I$56,5,FALSE)-VLOOKUP($A77,main!$A$3:$I$56,6,FALSE)+main!$D$57,0)</f>
        <v>0</v>
      </c>
      <c r="R77">
        <f>IF((phi!R22),VLOOKUP(R$1,main!$A$3:$I$56,5,FALSE)-VLOOKUP($A77,main!$A$3:$I$56,6,FALSE)+main!$D$57,0)</f>
        <v>0</v>
      </c>
      <c r="S77">
        <f>IF((phi!S22),VLOOKUP(S$1,main!$A$3:$I$56,5,FALSE)-VLOOKUP($A77,main!$A$3:$I$56,6,FALSE)+main!$D$57,0)</f>
        <v>255</v>
      </c>
      <c r="T77">
        <f>IF((phi!T22),VLOOKUP(T$1,main!$A$3:$I$56,5,FALSE)-VLOOKUP($A77,main!$A$3:$I$56,6,FALSE)+main!$D$57,0)</f>
        <v>405</v>
      </c>
      <c r="U77">
        <f>IF((phi!U22),VLOOKUP(U$1,main!$A$3:$I$56,5,FALSE)-VLOOKUP($A77,main!$A$3:$I$56,6,FALSE)+main!$D$57,0)</f>
        <v>0</v>
      </c>
      <c r="V77">
        <f>IF((phi!V22),VLOOKUP(V$1,main!$A$3:$I$56,5,FALSE)-VLOOKUP($A77,main!$A$3:$I$56,6,FALSE)+main!$D$57,0)</f>
        <v>0</v>
      </c>
      <c r="W77">
        <f>IF((phi!W22),VLOOKUP(W$1,main!$A$3:$I$56,5,FALSE)-VLOOKUP($A77,main!$A$3:$I$56,6,FALSE)+main!$D$57,0)</f>
        <v>0</v>
      </c>
      <c r="X77">
        <f>IF((phi!X22),VLOOKUP(X$1,main!$A$3:$I$56,5,FALSE)-VLOOKUP($A77,main!$A$3:$I$56,6,FALSE)+main!$D$57,0)</f>
        <v>0</v>
      </c>
      <c r="Y77">
        <f>IF((phi!Y22),VLOOKUP(Y$1,main!$A$3:$I$56,5,FALSE)-VLOOKUP($A77,main!$A$3:$I$56,6,FALSE)+main!$D$57,0)</f>
        <v>185</v>
      </c>
      <c r="Z77">
        <f>IF((phi!Z22),VLOOKUP(Z$1,main!$A$3:$I$56,5,FALSE)-VLOOKUP($A77,main!$A$3:$I$56,6,FALSE)+main!$D$57,0)</f>
        <v>275</v>
      </c>
      <c r="AA77">
        <f>IF((phi!AA22),VLOOKUP(AA$1,main!$A$3:$I$56,5,FALSE)-VLOOKUP($A77,main!$A$3:$I$56,6,FALSE)+main!$D$57,0)</f>
        <v>365</v>
      </c>
      <c r="AB77">
        <f>IF((phi!AB22),VLOOKUP(AB$1,main!$A$3:$I$56,5,FALSE)-VLOOKUP($A77,main!$A$3:$I$56,6,FALSE)+main!$D$57,0)</f>
        <v>425</v>
      </c>
      <c r="AC77">
        <f>IF((phi!AC22),VLOOKUP(AC$1,main!$A$3:$I$56,5,FALSE)-VLOOKUP($A77,main!$A$3:$I$56,6,FALSE)+main!$D$57,0)</f>
        <v>0</v>
      </c>
      <c r="AD77">
        <f>IF((phi!AD22),VLOOKUP(AD$1,main!$A$3:$I$56,5,FALSE)-VLOOKUP($A77,main!$A$3:$I$56,6,FALSE)+main!$D$57,0)</f>
        <v>0</v>
      </c>
      <c r="AE77">
        <f>IF((phi!AE22),VLOOKUP(AE$1,main!$A$3:$I$56,5,FALSE)-VLOOKUP($A77,main!$A$3:$I$56,6,FALSE)+main!$D$57,0)</f>
        <v>0</v>
      </c>
      <c r="AF77">
        <f>IF((phi!AF22),VLOOKUP(AF$1,main!$A$3:$I$56,5,FALSE)-VLOOKUP($A77,main!$A$3:$I$56,6,FALSE)+main!$D$57,0)</f>
        <v>235</v>
      </c>
      <c r="AG77">
        <f>IF((phi!AG22),VLOOKUP(AG$1,main!$A$3:$I$56,5,FALSE)-VLOOKUP($A77,main!$A$3:$I$56,6,FALSE)+main!$D$57,0)</f>
        <v>0</v>
      </c>
      <c r="AH77">
        <f>IF((phi!AH22),VLOOKUP(AH$1,main!$A$3:$I$56,5,FALSE)-VLOOKUP($A77,main!$A$3:$I$56,6,FALSE)+main!$D$57,0)</f>
        <v>0</v>
      </c>
      <c r="AI77">
        <f>IF((phi!AI22),VLOOKUP(AI$1,main!$A$3:$I$56,5,FALSE)-VLOOKUP($A77,main!$A$3:$I$56,6,FALSE)+main!$D$57,0)</f>
        <v>145</v>
      </c>
      <c r="AJ77">
        <f>IF((phi!AJ22),VLOOKUP(AJ$1,main!$A$3:$I$56,5,FALSE)-VLOOKUP($A77,main!$A$3:$I$56,6,FALSE)+main!$D$57,0)</f>
        <v>205</v>
      </c>
      <c r="AK77">
        <f>IF((phi!AK22),VLOOKUP(AK$1,main!$A$3:$I$56,5,FALSE)-VLOOKUP($A77,main!$A$3:$I$56,6,FALSE)+main!$D$57,0)</f>
        <v>325</v>
      </c>
      <c r="AL77">
        <f>IF((phi!AL22),VLOOKUP(AL$1,main!$A$3:$I$56,5,FALSE)-VLOOKUP($A77,main!$A$3:$I$56,6,FALSE)+main!$D$57,0)</f>
        <v>0</v>
      </c>
      <c r="AM77">
        <f>IF((phi!AM22),VLOOKUP(AM$1,main!$A$3:$I$56,5,FALSE)-VLOOKUP($A77,main!$A$3:$I$56,6,FALSE)+main!$D$57,0)</f>
        <v>0</v>
      </c>
      <c r="AN77">
        <f>IF((phi!AN22),VLOOKUP(AN$1,main!$A$3:$I$56,5,FALSE)-VLOOKUP($A77,main!$A$3:$I$56,6,FALSE)+main!$D$57,0)</f>
        <v>185</v>
      </c>
      <c r="AO77">
        <f>IF((phi!AO22),VLOOKUP(AO$1,main!$A$3:$I$56,5,FALSE)-VLOOKUP($A77,main!$A$3:$I$56,6,FALSE)+main!$D$57,0)</f>
        <v>235</v>
      </c>
      <c r="AP77">
        <f>IF((phi!AP22),VLOOKUP(AP$1,main!$A$3:$I$56,5,FALSE)-VLOOKUP($A77,main!$A$3:$I$56,6,FALSE)+main!$D$57,0)</f>
        <v>0</v>
      </c>
      <c r="AQ77">
        <f>IF((phi!AQ22),VLOOKUP(AQ$1,main!$A$3:$I$56,5,FALSE)-VLOOKUP($A77,main!$A$3:$I$56,6,FALSE)+main!$D$57,0)</f>
        <v>0</v>
      </c>
      <c r="AR77">
        <f>IF((phi!AR22),VLOOKUP(AR$1,main!$A$3:$I$56,5,FALSE)-VLOOKUP($A77,main!$A$3:$I$56,6,FALSE)+main!$D$57,0)</f>
        <v>0</v>
      </c>
      <c r="AS77">
        <f>IF((phi!AS22),VLOOKUP(AS$1,main!$A$3:$I$56,5,FALSE)-VLOOKUP($A77,main!$A$3:$I$56,6,FALSE)+main!$D$57,0)</f>
        <v>0</v>
      </c>
      <c r="AT77">
        <f>IF((phi!AT22),VLOOKUP(AT$1,main!$A$3:$I$56,5,FALSE)-VLOOKUP($A77,main!$A$3:$I$56,6,FALSE)+main!$D$57,0)</f>
        <v>135</v>
      </c>
      <c r="AU77">
        <f>IF((phi!AU22),VLOOKUP(AU$1,main!$A$3:$I$56,5,FALSE)-VLOOKUP($A77,main!$A$3:$I$56,6,FALSE)+main!$D$57,0)</f>
        <v>0</v>
      </c>
      <c r="AV77">
        <f>IF((phi!AV22),VLOOKUP(AV$1,main!$A$3:$I$56,5,FALSE)-VLOOKUP($A77,main!$A$3:$I$56,6,FALSE)+main!$D$57,0)</f>
        <v>0</v>
      </c>
      <c r="AW77">
        <f>IF((phi!AW22),VLOOKUP(AW$1,main!$A$3:$I$56,5,FALSE)-VLOOKUP($A77,main!$A$3:$I$56,6,FALSE)+main!$D$57,0)</f>
        <v>0</v>
      </c>
      <c r="AX77">
        <f>IF((phi!AX22),VLOOKUP(AX$1,main!$A$3:$I$56,5,FALSE)-VLOOKUP($A77,main!$A$3:$I$56,6,FALSE)+main!$D$57,0)</f>
        <v>285</v>
      </c>
      <c r="AY77">
        <f>IF((phi!AY22),VLOOKUP(AY$1,main!$A$3:$I$56,5,FALSE)-VLOOKUP($A77,main!$A$3:$I$56,6,FALSE)+main!$D$57,0)</f>
        <v>485</v>
      </c>
      <c r="AZ77">
        <f>IF((phi!AZ22),VLOOKUP(AZ$1,main!$A$3:$I$56,5,FALSE)-VLOOKUP($A77,main!$A$3:$I$56,6,FALSE)+main!$D$57,0)</f>
        <v>0</v>
      </c>
      <c r="BA77">
        <f>IF((phi!BA22),VLOOKUP(BA$1,main!$A$3:$I$56,5,FALSE)-VLOOKUP($A77,main!$A$3:$I$56,6,FALSE)+main!$D$57,0)</f>
        <v>0</v>
      </c>
      <c r="BB77">
        <f>IF((phi!BB22),VLOOKUP(BB$1,main!$A$3:$I$56,5,FALSE)-VLOOKUP($A77,main!$A$3:$I$56,6,FALSE)+main!$D$57,0)</f>
        <v>0</v>
      </c>
      <c r="BC77">
        <f>IF((phi!BC22),VLOOKUP(BC$1,main!$A$3:$I$56,5,FALSE)-VLOOKUP($A77,main!$A$3:$I$56,6,FALSE)+main!$D$57,0)</f>
        <v>250</v>
      </c>
      <c r="BD77">
        <f>IF((phi!BD22),VLOOKUP(BD$1,main!$A$3:$I$56,5,FALSE)-VLOOKUP($A77,main!$A$3:$I$56,6,FALSE)+main!$D$57,0)</f>
        <v>260</v>
      </c>
    </row>
    <row r="78" spans="1:56" x14ac:dyDescent="0.25">
      <c r="A78">
        <f t="shared" si="3"/>
        <v>21</v>
      </c>
      <c r="B78">
        <v>0</v>
      </c>
      <c r="C78">
        <f>IF((phi!C23),VLOOKUP(C$1,main!$A$3:$I$56,5,FALSE)-VLOOKUP($A78,main!$A$3:$I$56,6,FALSE)+main!$D$57,0)</f>
        <v>0</v>
      </c>
      <c r="D78">
        <f>IF((phi!D23),VLOOKUP(D$1,main!$A$3:$I$56,5,FALSE)-VLOOKUP($A78,main!$A$3:$I$56,6,FALSE)+main!$D$57,0)</f>
        <v>0</v>
      </c>
      <c r="E78">
        <f>IF((phi!E23),VLOOKUP(E$1,main!$A$3:$I$56,5,FALSE)-VLOOKUP($A78,main!$A$3:$I$56,6,FALSE)+main!$D$57,0)</f>
        <v>0</v>
      </c>
      <c r="F78">
        <f>IF((phi!F23),VLOOKUP(F$1,main!$A$3:$I$56,5,FALSE)-VLOOKUP($A78,main!$A$3:$I$56,6,FALSE)+main!$D$57,0)</f>
        <v>0</v>
      </c>
      <c r="G78">
        <f>IF((phi!G23),VLOOKUP(G$1,main!$A$3:$I$56,5,FALSE)-VLOOKUP($A78,main!$A$3:$I$56,6,FALSE)+main!$D$57,0)</f>
        <v>175</v>
      </c>
      <c r="H78">
        <f>IF((phi!H23),VLOOKUP(H$1,main!$A$3:$I$56,5,FALSE)-VLOOKUP($A78,main!$A$3:$I$56,6,FALSE)+main!$D$57,0)</f>
        <v>235</v>
      </c>
      <c r="I78">
        <f>IF((phi!I23),VLOOKUP(I$1,main!$A$3:$I$56,5,FALSE)-VLOOKUP($A78,main!$A$3:$I$56,6,FALSE)+main!$D$57,0)</f>
        <v>295</v>
      </c>
      <c r="J78">
        <f>IF((phi!J23),VLOOKUP(J$1,main!$A$3:$I$56,5,FALSE)-VLOOKUP($A78,main!$A$3:$I$56,6,FALSE)+main!$D$57,0)</f>
        <v>385</v>
      </c>
      <c r="K78">
        <f>IF((phi!K23),VLOOKUP(K$1,main!$A$3:$I$56,5,FALSE)-VLOOKUP($A78,main!$A$3:$I$56,6,FALSE)+main!$D$57,0)</f>
        <v>0</v>
      </c>
      <c r="L78">
        <f>IF((phi!L23),VLOOKUP(L$1,main!$A$3:$I$56,5,FALSE)-VLOOKUP($A78,main!$A$3:$I$56,6,FALSE)+main!$D$57,0)</f>
        <v>0</v>
      </c>
      <c r="M78">
        <f>IF((phi!M23),VLOOKUP(M$1,main!$A$3:$I$56,5,FALSE)-VLOOKUP($A78,main!$A$3:$I$56,6,FALSE)+main!$D$57,0)</f>
        <v>0</v>
      </c>
      <c r="N78">
        <f>IF((phi!N23),VLOOKUP(N$1,main!$A$3:$I$56,5,FALSE)-VLOOKUP($A78,main!$A$3:$I$56,6,FALSE)+main!$D$57,0)</f>
        <v>350</v>
      </c>
      <c r="O78">
        <f>IF((phi!O23),VLOOKUP(O$1,main!$A$3:$I$56,5,FALSE)-VLOOKUP($A78,main!$A$3:$I$56,6,FALSE)+main!$D$57,0)</f>
        <v>410</v>
      </c>
      <c r="P78">
        <f>IF((phi!P23),VLOOKUP(P$1,main!$A$3:$I$56,5,FALSE)-VLOOKUP($A78,main!$A$3:$I$56,6,FALSE)+main!$D$57,0)</f>
        <v>0</v>
      </c>
      <c r="Q78">
        <f>IF((phi!Q23),VLOOKUP(Q$1,main!$A$3:$I$56,5,FALSE)-VLOOKUP($A78,main!$A$3:$I$56,6,FALSE)+main!$D$57,0)</f>
        <v>0</v>
      </c>
      <c r="R78">
        <f>IF((phi!R23),VLOOKUP(R$1,main!$A$3:$I$56,5,FALSE)-VLOOKUP($A78,main!$A$3:$I$56,6,FALSE)+main!$D$57,0)</f>
        <v>0</v>
      </c>
      <c r="S78">
        <f>IF((phi!S23),VLOOKUP(S$1,main!$A$3:$I$56,5,FALSE)-VLOOKUP($A78,main!$A$3:$I$56,6,FALSE)+main!$D$57,0)</f>
        <v>165</v>
      </c>
      <c r="T78">
        <f>IF((phi!T23),VLOOKUP(T$1,main!$A$3:$I$56,5,FALSE)-VLOOKUP($A78,main!$A$3:$I$56,6,FALSE)+main!$D$57,0)</f>
        <v>315</v>
      </c>
      <c r="U78">
        <f>IF((phi!U23),VLOOKUP(U$1,main!$A$3:$I$56,5,FALSE)-VLOOKUP($A78,main!$A$3:$I$56,6,FALSE)+main!$D$57,0)</f>
        <v>0</v>
      </c>
      <c r="V78">
        <f>IF((phi!V23),VLOOKUP(V$1,main!$A$3:$I$56,5,FALSE)-VLOOKUP($A78,main!$A$3:$I$56,6,FALSE)+main!$D$57,0)</f>
        <v>0</v>
      </c>
      <c r="W78">
        <f>IF((phi!W23),VLOOKUP(W$1,main!$A$3:$I$56,5,FALSE)-VLOOKUP($A78,main!$A$3:$I$56,6,FALSE)+main!$D$57,0)</f>
        <v>0</v>
      </c>
      <c r="X78">
        <f>IF((phi!X23),VLOOKUP(X$1,main!$A$3:$I$56,5,FALSE)-VLOOKUP($A78,main!$A$3:$I$56,6,FALSE)+main!$D$57,0)</f>
        <v>0</v>
      </c>
      <c r="Y78">
        <f>IF((phi!Y23),VLOOKUP(Y$1,main!$A$3:$I$56,5,FALSE)-VLOOKUP($A78,main!$A$3:$I$56,6,FALSE)+main!$D$57,0)</f>
        <v>0</v>
      </c>
      <c r="Z78">
        <f>IF((phi!Z23),VLOOKUP(Z$1,main!$A$3:$I$56,5,FALSE)-VLOOKUP($A78,main!$A$3:$I$56,6,FALSE)+main!$D$57,0)</f>
        <v>185</v>
      </c>
      <c r="AA78">
        <f>IF((phi!AA23),VLOOKUP(AA$1,main!$A$3:$I$56,5,FALSE)-VLOOKUP($A78,main!$A$3:$I$56,6,FALSE)+main!$D$57,0)</f>
        <v>275</v>
      </c>
      <c r="AB78">
        <f>IF((phi!AB23),VLOOKUP(AB$1,main!$A$3:$I$56,5,FALSE)-VLOOKUP($A78,main!$A$3:$I$56,6,FALSE)+main!$D$57,0)</f>
        <v>335</v>
      </c>
      <c r="AC78">
        <f>IF((phi!AC23),VLOOKUP(AC$1,main!$A$3:$I$56,5,FALSE)-VLOOKUP($A78,main!$A$3:$I$56,6,FALSE)+main!$D$57,0)</f>
        <v>0</v>
      </c>
      <c r="AD78">
        <f>IF((phi!AD23),VLOOKUP(AD$1,main!$A$3:$I$56,5,FALSE)-VLOOKUP($A78,main!$A$3:$I$56,6,FALSE)+main!$D$57,0)</f>
        <v>0</v>
      </c>
      <c r="AE78">
        <f>IF((phi!AE23),VLOOKUP(AE$1,main!$A$3:$I$56,5,FALSE)-VLOOKUP($A78,main!$A$3:$I$56,6,FALSE)+main!$D$57,0)</f>
        <v>0</v>
      </c>
      <c r="AF78">
        <f>IF((phi!AF23),VLOOKUP(AF$1,main!$A$3:$I$56,5,FALSE)-VLOOKUP($A78,main!$A$3:$I$56,6,FALSE)+main!$D$57,0)</f>
        <v>145</v>
      </c>
      <c r="AG78">
        <f>IF((phi!AG23),VLOOKUP(AG$1,main!$A$3:$I$56,5,FALSE)-VLOOKUP($A78,main!$A$3:$I$56,6,FALSE)+main!$D$57,0)</f>
        <v>0</v>
      </c>
      <c r="AH78">
        <f>IF((phi!AH23),VLOOKUP(AH$1,main!$A$3:$I$56,5,FALSE)-VLOOKUP($A78,main!$A$3:$I$56,6,FALSE)+main!$D$57,0)</f>
        <v>0</v>
      </c>
      <c r="AI78">
        <f>IF((phi!AI23),VLOOKUP(AI$1,main!$A$3:$I$56,5,FALSE)-VLOOKUP($A78,main!$A$3:$I$56,6,FALSE)+main!$D$57,0)</f>
        <v>0</v>
      </c>
      <c r="AJ78">
        <f>IF((phi!AJ23),VLOOKUP(AJ$1,main!$A$3:$I$56,5,FALSE)-VLOOKUP($A78,main!$A$3:$I$56,6,FALSE)+main!$D$57,0)</f>
        <v>0</v>
      </c>
      <c r="AK78">
        <f>IF((phi!AK23),VLOOKUP(AK$1,main!$A$3:$I$56,5,FALSE)-VLOOKUP($A78,main!$A$3:$I$56,6,FALSE)+main!$D$57,0)</f>
        <v>235</v>
      </c>
      <c r="AL78">
        <f>IF((phi!AL23),VLOOKUP(AL$1,main!$A$3:$I$56,5,FALSE)-VLOOKUP($A78,main!$A$3:$I$56,6,FALSE)+main!$D$57,0)</f>
        <v>0</v>
      </c>
      <c r="AM78">
        <f>IF((phi!AM23),VLOOKUP(AM$1,main!$A$3:$I$56,5,FALSE)-VLOOKUP($A78,main!$A$3:$I$56,6,FALSE)+main!$D$57,0)</f>
        <v>0</v>
      </c>
      <c r="AN78">
        <f>IF((phi!AN23),VLOOKUP(AN$1,main!$A$3:$I$56,5,FALSE)-VLOOKUP($A78,main!$A$3:$I$56,6,FALSE)+main!$D$57,0)</f>
        <v>0</v>
      </c>
      <c r="AO78">
        <f>IF((phi!AO23),VLOOKUP(AO$1,main!$A$3:$I$56,5,FALSE)-VLOOKUP($A78,main!$A$3:$I$56,6,FALSE)+main!$D$57,0)</f>
        <v>145</v>
      </c>
      <c r="AP78">
        <f>IF((phi!AP23),VLOOKUP(AP$1,main!$A$3:$I$56,5,FALSE)-VLOOKUP($A78,main!$A$3:$I$56,6,FALSE)+main!$D$57,0)</f>
        <v>0</v>
      </c>
      <c r="AQ78">
        <f>IF((phi!AQ23),VLOOKUP(AQ$1,main!$A$3:$I$56,5,FALSE)-VLOOKUP($A78,main!$A$3:$I$56,6,FALSE)+main!$D$57,0)</f>
        <v>0</v>
      </c>
      <c r="AR78">
        <f>IF((phi!AR23),VLOOKUP(AR$1,main!$A$3:$I$56,5,FALSE)-VLOOKUP($A78,main!$A$3:$I$56,6,FALSE)+main!$D$57,0)</f>
        <v>0</v>
      </c>
      <c r="AS78">
        <f>IF((phi!AS23),VLOOKUP(AS$1,main!$A$3:$I$56,5,FALSE)-VLOOKUP($A78,main!$A$3:$I$56,6,FALSE)+main!$D$57,0)</f>
        <v>0</v>
      </c>
      <c r="AT78">
        <f>IF((phi!AT23),VLOOKUP(AT$1,main!$A$3:$I$56,5,FALSE)-VLOOKUP($A78,main!$A$3:$I$56,6,FALSE)+main!$D$57,0)</f>
        <v>0</v>
      </c>
      <c r="AU78">
        <f>IF((phi!AU23),VLOOKUP(AU$1,main!$A$3:$I$56,5,FALSE)-VLOOKUP($A78,main!$A$3:$I$56,6,FALSE)+main!$D$57,0)</f>
        <v>0</v>
      </c>
      <c r="AV78">
        <f>IF((phi!AV23),VLOOKUP(AV$1,main!$A$3:$I$56,5,FALSE)-VLOOKUP($A78,main!$A$3:$I$56,6,FALSE)+main!$D$57,0)</f>
        <v>0</v>
      </c>
      <c r="AW78">
        <f>IF((phi!AW23),VLOOKUP(AW$1,main!$A$3:$I$56,5,FALSE)-VLOOKUP($A78,main!$A$3:$I$56,6,FALSE)+main!$D$57,0)</f>
        <v>0</v>
      </c>
      <c r="AX78">
        <f>IF((phi!AX23),VLOOKUP(AX$1,main!$A$3:$I$56,5,FALSE)-VLOOKUP($A78,main!$A$3:$I$56,6,FALSE)+main!$D$57,0)</f>
        <v>195</v>
      </c>
      <c r="AY78">
        <f>IF((phi!AY23),VLOOKUP(AY$1,main!$A$3:$I$56,5,FALSE)-VLOOKUP($A78,main!$A$3:$I$56,6,FALSE)+main!$D$57,0)</f>
        <v>395</v>
      </c>
      <c r="AZ78">
        <f>IF((phi!AZ23),VLOOKUP(AZ$1,main!$A$3:$I$56,5,FALSE)-VLOOKUP($A78,main!$A$3:$I$56,6,FALSE)+main!$D$57,0)</f>
        <v>0</v>
      </c>
      <c r="BA78">
        <f>IF((phi!BA23),VLOOKUP(BA$1,main!$A$3:$I$56,5,FALSE)-VLOOKUP($A78,main!$A$3:$I$56,6,FALSE)+main!$D$57,0)</f>
        <v>0</v>
      </c>
      <c r="BB78">
        <f>IF((phi!BB23),VLOOKUP(BB$1,main!$A$3:$I$56,5,FALSE)-VLOOKUP($A78,main!$A$3:$I$56,6,FALSE)+main!$D$57,0)</f>
        <v>0</v>
      </c>
      <c r="BC78">
        <f>IF((phi!BC23),VLOOKUP(BC$1,main!$A$3:$I$56,5,FALSE)-VLOOKUP($A78,main!$A$3:$I$56,6,FALSE)+main!$D$57,0)</f>
        <v>160</v>
      </c>
      <c r="BD78">
        <f>IF((phi!BD23),VLOOKUP(BD$1,main!$A$3:$I$56,5,FALSE)-VLOOKUP($A78,main!$A$3:$I$56,6,FALSE)+main!$D$57,0)</f>
        <v>170</v>
      </c>
    </row>
    <row r="79" spans="1:56" x14ac:dyDescent="0.25">
      <c r="A79">
        <f t="shared" si="3"/>
        <v>22</v>
      </c>
      <c r="B79">
        <v>0</v>
      </c>
      <c r="C79">
        <f>IF((phi!C24),VLOOKUP(C$1,main!$A$3:$I$56,5,FALSE)-VLOOKUP($A79,main!$A$3:$I$56,6,FALSE)+main!$D$57,0)</f>
        <v>0</v>
      </c>
      <c r="D79">
        <f>IF((phi!D24),VLOOKUP(D$1,main!$A$3:$I$56,5,FALSE)-VLOOKUP($A79,main!$A$3:$I$56,6,FALSE)+main!$D$57,0)</f>
        <v>0</v>
      </c>
      <c r="E79">
        <f>IF((phi!E24),VLOOKUP(E$1,main!$A$3:$I$56,5,FALSE)-VLOOKUP($A79,main!$A$3:$I$56,6,FALSE)+main!$D$57,0)</f>
        <v>0</v>
      </c>
      <c r="F79">
        <f>IF((phi!F24),VLOOKUP(F$1,main!$A$3:$I$56,5,FALSE)-VLOOKUP($A79,main!$A$3:$I$56,6,FALSE)+main!$D$57,0)</f>
        <v>0</v>
      </c>
      <c r="G79">
        <f>IF((phi!G24),VLOOKUP(G$1,main!$A$3:$I$56,5,FALSE)-VLOOKUP($A79,main!$A$3:$I$56,6,FALSE)+main!$D$57,0)</f>
        <v>0</v>
      </c>
      <c r="H79">
        <f>IF((phi!H24),VLOOKUP(H$1,main!$A$3:$I$56,5,FALSE)-VLOOKUP($A79,main!$A$3:$I$56,6,FALSE)+main!$D$57,0)</f>
        <v>145</v>
      </c>
      <c r="I79">
        <f>IF((phi!I24),VLOOKUP(I$1,main!$A$3:$I$56,5,FALSE)-VLOOKUP($A79,main!$A$3:$I$56,6,FALSE)+main!$D$57,0)</f>
        <v>205</v>
      </c>
      <c r="J79">
        <f>IF((phi!J24),VLOOKUP(J$1,main!$A$3:$I$56,5,FALSE)-VLOOKUP($A79,main!$A$3:$I$56,6,FALSE)+main!$D$57,0)</f>
        <v>295</v>
      </c>
      <c r="K79">
        <f>IF((phi!K24),VLOOKUP(K$1,main!$A$3:$I$56,5,FALSE)-VLOOKUP($A79,main!$A$3:$I$56,6,FALSE)+main!$D$57,0)</f>
        <v>0</v>
      </c>
      <c r="L79">
        <f>IF((phi!L24),VLOOKUP(L$1,main!$A$3:$I$56,5,FALSE)-VLOOKUP($A79,main!$A$3:$I$56,6,FALSE)+main!$D$57,0)</f>
        <v>0</v>
      </c>
      <c r="M79">
        <f>IF((phi!M24),VLOOKUP(M$1,main!$A$3:$I$56,5,FALSE)-VLOOKUP($A79,main!$A$3:$I$56,6,FALSE)+main!$D$57,0)</f>
        <v>0</v>
      </c>
      <c r="N79">
        <f>IF((phi!N24),VLOOKUP(N$1,main!$A$3:$I$56,5,FALSE)-VLOOKUP($A79,main!$A$3:$I$56,6,FALSE)+main!$D$57,0)</f>
        <v>260</v>
      </c>
      <c r="O79">
        <f>IF((phi!O24),VLOOKUP(O$1,main!$A$3:$I$56,5,FALSE)-VLOOKUP($A79,main!$A$3:$I$56,6,FALSE)+main!$D$57,0)</f>
        <v>320</v>
      </c>
      <c r="P79">
        <f>IF((phi!P24),VLOOKUP(P$1,main!$A$3:$I$56,5,FALSE)-VLOOKUP($A79,main!$A$3:$I$56,6,FALSE)+main!$D$57,0)</f>
        <v>0</v>
      </c>
      <c r="Q79">
        <f>IF((phi!Q24),VLOOKUP(Q$1,main!$A$3:$I$56,5,FALSE)-VLOOKUP($A79,main!$A$3:$I$56,6,FALSE)+main!$D$57,0)</f>
        <v>0</v>
      </c>
      <c r="R79">
        <f>IF((phi!R24),VLOOKUP(R$1,main!$A$3:$I$56,5,FALSE)-VLOOKUP($A79,main!$A$3:$I$56,6,FALSE)+main!$D$57,0)</f>
        <v>0</v>
      </c>
      <c r="S79">
        <f>IF((phi!S24),VLOOKUP(S$1,main!$A$3:$I$56,5,FALSE)-VLOOKUP($A79,main!$A$3:$I$56,6,FALSE)+main!$D$57,0)</f>
        <v>0</v>
      </c>
      <c r="T79">
        <f>IF((phi!T24),VLOOKUP(T$1,main!$A$3:$I$56,5,FALSE)-VLOOKUP($A79,main!$A$3:$I$56,6,FALSE)+main!$D$57,0)</f>
        <v>225</v>
      </c>
      <c r="U79">
        <f>IF((phi!U24),VLOOKUP(U$1,main!$A$3:$I$56,5,FALSE)-VLOOKUP($A79,main!$A$3:$I$56,6,FALSE)+main!$D$57,0)</f>
        <v>0</v>
      </c>
      <c r="V79">
        <f>IF((phi!V24),VLOOKUP(V$1,main!$A$3:$I$56,5,FALSE)-VLOOKUP($A79,main!$A$3:$I$56,6,FALSE)+main!$D$57,0)</f>
        <v>0</v>
      </c>
      <c r="W79">
        <f>IF((phi!W24),VLOOKUP(W$1,main!$A$3:$I$56,5,FALSE)-VLOOKUP($A79,main!$A$3:$I$56,6,FALSE)+main!$D$57,0)</f>
        <v>0</v>
      </c>
      <c r="X79">
        <f>IF((phi!X24),VLOOKUP(X$1,main!$A$3:$I$56,5,FALSE)-VLOOKUP($A79,main!$A$3:$I$56,6,FALSE)+main!$D$57,0)</f>
        <v>0</v>
      </c>
      <c r="Y79">
        <f>IF((phi!Y24),VLOOKUP(Y$1,main!$A$3:$I$56,5,FALSE)-VLOOKUP($A79,main!$A$3:$I$56,6,FALSE)+main!$D$57,0)</f>
        <v>0</v>
      </c>
      <c r="Z79">
        <f>IF((phi!Z24),VLOOKUP(Z$1,main!$A$3:$I$56,5,FALSE)-VLOOKUP($A79,main!$A$3:$I$56,6,FALSE)+main!$D$57,0)</f>
        <v>0</v>
      </c>
      <c r="AA79">
        <f>IF((phi!AA24),VLOOKUP(AA$1,main!$A$3:$I$56,5,FALSE)-VLOOKUP($A79,main!$A$3:$I$56,6,FALSE)+main!$D$57,0)</f>
        <v>185</v>
      </c>
      <c r="AB79">
        <f>IF((phi!AB24),VLOOKUP(AB$1,main!$A$3:$I$56,5,FALSE)-VLOOKUP($A79,main!$A$3:$I$56,6,FALSE)+main!$D$57,0)</f>
        <v>245</v>
      </c>
      <c r="AC79">
        <f>IF((phi!AC24),VLOOKUP(AC$1,main!$A$3:$I$56,5,FALSE)-VLOOKUP($A79,main!$A$3:$I$56,6,FALSE)+main!$D$57,0)</f>
        <v>0</v>
      </c>
      <c r="AD79">
        <f>IF((phi!AD24),VLOOKUP(AD$1,main!$A$3:$I$56,5,FALSE)-VLOOKUP($A79,main!$A$3:$I$56,6,FALSE)+main!$D$57,0)</f>
        <v>0</v>
      </c>
      <c r="AE79">
        <f>IF((phi!AE24),VLOOKUP(AE$1,main!$A$3:$I$56,5,FALSE)-VLOOKUP($A79,main!$A$3:$I$56,6,FALSE)+main!$D$57,0)</f>
        <v>0</v>
      </c>
      <c r="AF79">
        <f>IF((phi!AF24),VLOOKUP(AF$1,main!$A$3:$I$56,5,FALSE)-VLOOKUP($A79,main!$A$3:$I$56,6,FALSE)+main!$D$57,0)</f>
        <v>0</v>
      </c>
      <c r="AG79">
        <f>IF((phi!AG24),VLOOKUP(AG$1,main!$A$3:$I$56,5,FALSE)-VLOOKUP($A79,main!$A$3:$I$56,6,FALSE)+main!$D$57,0)</f>
        <v>0</v>
      </c>
      <c r="AH79">
        <f>IF((phi!AH24),VLOOKUP(AH$1,main!$A$3:$I$56,5,FALSE)-VLOOKUP($A79,main!$A$3:$I$56,6,FALSE)+main!$D$57,0)</f>
        <v>0</v>
      </c>
      <c r="AI79">
        <f>IF((phi!AI24),VLOOKUP(AI$1,main!$A$3:$I$56,5,FALSE)-VLOOKUP($A79,main!$A$3:$I$56,6,FALSE)+main!$D$57,0)</f>
        <v>0</v>
      </c>
      <c r="AJ79">
        <f>IF((phi!AJ24),VLOOKUP(AJ$1,main!$A$3:$I$56,5,FALSE)-VLOOKUP($A79,main!$A$3:$I$56,6,FALSE)+main!$D$57,0)</f>
        <v>0</v>
      </c>
      <c r="AK79">
        <f>IF((phi!AK24),VLOOKUP(AK$1,main!$A$3:$I$56,5,FALSE)-VLOOKUP($A79,main!$A$3:$I$56,6,FALSE)+main!$D$57,0)</f>
        <v>145</v>
      </c>
      <c r="AL79">
        <f>IF((phi!AL24),VLOOKUP(AL$1,main!$A$3:$I$56,5,FALSE)-VLOOKUP($A79,main!$A$3:$I$56,6,FALSE)+main!$D$57,0)</f>
        <v>0</v>
      </c>
      <c r="AM79">
        <f>IF((phi!AM24),VLOOKUP(AM$1,main!$A$3:$I$56,5,FALSE)-VLOOKUP($A79,main!$A$3:$I$56,6,FALSE)+main!$D$57,0)</f>
        <v>0</v>
      </c>
      <c r="AN79">
        <f>IF((phi!AN24),VLOOKUP(AN$1,main!$A$3:$I$56,5,FALSE)-VLOOKUP($A79,main!$A$3:$I$56,6,FALSE)+main!$D$57,0)</f>
        <v>0</v>
      </c>
      <c r="AO79">
        <f>IF((phi!AO24),VLOOKUP(AO$1,main!$A$3:$I$56,5,FALSE)-VLOOKUP($A79,main!$A$3:$I$56,6,FALSE)+main!$D$57,0)</f>
        <v>0</v>
      </c>
      <c r="AP79">
        <f>IF((phi!AP24),VLOOKUP(AP$1,main!$A$3:$I$56,5,FALSE)-VLOOKUP($A79,main!$A$3:$I$56,6,FALSE)+main!$D$57,0)</f>
        <v>0</v>
      </c>
      <c r="AQ79">
        <f>IF((phi!AQ24),VLOOKUP(AQ$1,main!$A$3:$I$56,5,FALSE)-VLOOKUP($A79,main!$A$3:$I$56,6,FALSE)+main!$D$57,0)</f>
        <v>0</v>
      </c>
      <c r="AR79">
        <f>IF((phi!AR24),VLOOKUP(AR$1,main!$A$3:$I$56,5,FALSE)-VLOOKUP($A79,main!$A$3:$I$56,6,FALSE)+main!$D$57,0)</f>
        <v>0</v>
      </c>
      <c r="AS79">
        <f>IF((phi!AS24),VLOOKUP(AS$1,main!$A$3:$I$56,5,FALSE)-VLOOKUP($A79,main!$A$3:$I$56,6,FALSE)+main!$D$57,0)</f>
        <v>0</v>
      </c>
      <c r="AT79">
        <f>IF((phi!AT24),VLOOKUP(AT$1,main!$A$3:$I$56,5,FALSE)-VLOOKUP($A79,main!$A$3:$I$56,6,FALSE)+main!$D$57,0)</f>
        <v>0</v>
      </c>
      <c r="AU79">
        <f>IF((phi!AU24),VLOOKUP(AU$1,main!$A$3:$I$56,5,FALSE)-VLOOKUP($A79,main!$A$3:$I$56,6,FALSE)+main!$D$57,0)</f>
        <v>0</v>
      </c>
      <c r="AV79">
        <f>IF((phi!AV24),VLOOKUP(AV$1,main!$A$3:$I$56,5,FALSE)-VLOOKUP($A79,main!$A$3:$I$56,6,FALSE)+main!$D$57,0)</f>
        <v>0</v>
      </c>
      <c r="AW79">
        <f>IF((phi!AW24),VLOOKUP(AW$1,main!$A$3:$I$56,5,FALSE)-VLOOKUP($A79,main!$A$3:$I$56,6,FALSE)+main!$D$57,0)</f>
        <v>0</v>
      </c>
      <c r="AX79">
        <f>IF((phi!AX24),VLOOKUP(AX$1,main!$A$3:$I$56,5,FALSE)-VLOOKUP($A79,main!$A$3:$I$56,6,FALSE)+main!$D$57,0)</f>
        <v>0</v>
      </c>
      <c r="AY79">
        <f>IF((phi!AY24),VLOOKUP(AY$1,main!$A$3:$I$56,5,FALSE)-VLOOKUP($A79,main!$A$3:$I$56,6,FALSE)+main!$D$57,0)</f>
        <v>305</v>
      </c>
      <c r="AZ79">
        <f>IF((phi!AZ24),VLOOKUP(AZ$1,main!$A$3:$I$56,5,FALSE)-VLOOKUP($A79,main!$A$3:$I$56,6,FALSE)+main!$D$57,0)</f>
        <v>0</v>
      </c>
      <c r="BA79">
        <f>IF((phi!BA24),VLOOKUP(BA$1,main!$A$3:$I$56,5,FALSE)-VLOOKUP($A79,main!$A$3:$I$56,6,FALSE)+main!$D$57,0)</f>
        <v>0</v>
      </c>
      <c r="BB79">
        <f>IF((phi!BB24),VLOOKUP(BB$1,main!$A$3:$I$56,5,FALSE)-VLOOKUP($A79,main!$A$3:$I$56,6,FALSE)+main!$D$57,0)</f>
        <v>0</v>
      </c>
      <c r="BC79">
        <f>IF((phi!BC24),VLOOKUP(BC$1,main!$A$3:$I$56,5,FALSE)-VLOOKUP($A79,main!$A$3:$I$56,6,FALSE)+main!$D$57,0)</f>
        <v>0</v>
      </c>
      <c r="BD79">
        <f>IF((phi!BD24),VLOOKUP(BD$1,main!$A$3:$I$56,5,FALSE)-VLOOKUP($A79,main!$A$3:$I$56,6,FALSE)+main!$D$57,0)</f>
        <v>0</v>
      </c>
    </row>
    <row r="80" spans="1:56" x14ac:dyDescent="0.25">
      <c r="A80">
        <f t="shared" si="3"/>
        <v>23</v>
      </c>
      <c r="B80">
        <v>0</v>
      </c>
      <c r="C80">
        <f>IF((phi!C25),VLOOKUP(C$1,main!$A$3:$I$56,5,FALSE)-VLOOKUP($A80,main!$A$3:$I$56,6,FALSE)+main!$D$57,0)</f>
        <v>0</v>
      </c>
      <c r="D80">
        <f>IF((phi!D25),VLOOKUP(D$1,main!$A$3:$I$56,5,FALSE)-VLOOKUP($A80,main!$A$3:$I$56,6,FALSE)+main!$D$57,0)</f>
        <v>0</v>
      </c>
      <c r="E80">
        <f>IF((phi!E25),VLOOKUP(E$1,main!$A$3:$I$56,5,FALSE)-VLOOKUP($A80,main!$A$3:$I$56,6,FALSE)+main!$D$57,0)</f>
        <v>0</v>
      </c>
      <c r="F80">
        <f>IF((phi!F25),VLOOKUP(F$1,main!$A$3:$I$56,5,FALSE)-VLOOKUP($A80,main!$A$3:$I$56,6,FALSE)+main!$D$57,0)</f>
        <v>0</v>
      </c>
      <c r="G80">
        <f>IF((phi!G25),VLOOKUP(G$1,main!$A$3:$I$56,5,FALSE)-VLOOKUP($A80,main!$A$3:$I$56,6,FALSE)+main!$D$57,0)</f>
        <v>0</v>
      </c>
      <c r="H80">
        <f>IF((phi!H25),VLOOKUP(H$1,main!$A$3:$I$56,5,FALSE)-VLOOKUP($A80,main!$A$3:$I$56,6,FALSE)+main!$D$57,0)</f>
        <v>0</v>
      </c>
      <c r="I80">
        <f>IF((phi!I25),VLOOKUP(I$1,main!$A$3:$I$56,5,FALSE)-VLOOKUP($A80,main!$A$3:$I$56,6,FALSE)+main!$D$57,0)</f>
        <v>0</v>
      </c>
      <c r="J80">
        <f>IF((phi!J25),VLOOKUP(J$1,main!$A$3:$I$56,5,FALSE)-VLOOKUP($A80,main!$A$3:$I$56,6,FALSE)+main!$D$57,0)</f>
        <v>205</v>
      </c>
      <c r="K80">
        <f>IF((phi!K25),VLOOKUP(K$1,main!$A$3:$I$56,5,FALSE)-VLOOKUP($A80,main!$A$3:$I$56,6,FALSE)+main!$D$57,0)</f>
        <v>0</v>
      </c>
      <c r="L80">
        <f>IF((phi!L25),VLOOKUP(L$1,main!$A$3:$I$56,5,FALSE)-VLOOKUP($A80,main!$A$3:$I$56,6,FALSE)+main!$D$57,0)</f>
        <v>0</v>
      </c>
      <c r="M80">
        <f>IF((phi!M25),VLOOKUP(M$1,main!$A$3:$I$56,5,FALSE)-VLOOKUP($A80,main!$A$3:$I$56,6,FALSE)+main!$D$57,0)</f>
        <v>0</v>
      </c>
      <c r="N80">
        <f>IF((phi!N25),VLOOKUP(N$1,main!$A$3:$I$56,5,FALSE)-VLOOKUP($A80,main!$A$3:$I$56,6,FALSE)+main!$D$57,0)</f>
        <v>170</v>
      </c>
      <c r="O80">
        <f>IF((phi!O25),VLOOKUP(O$1,main!$A$3:$I$56,5,FALSE)-VLOOKUP($A80,main!$A$3:$I$56,6,FALSE)+main!$D$57,0)</f>
        <v>230</v>
      </c>
      <c r="P80">
        <f>IF((phi!P25),VLOOKUP(P$1,main!$A$3:$I$56,5,FALSE)-VLOOKUP($A80,main!$A$3:$I$56,6,FALSE)+main!$D$57,0)</f>
        <v>0</v>
      </c>
      <c r="Q80">
        <f>IF((phi!Q25),VLOOKUP(Q$1,main!$A$3:$I$56,5,FALSE)-VLOOKUP($A80,main!$A$3:$I$56,6,FALSE)+main!$D$57,0)</f>
        <v>0</v>
      </c>
      <c r="R80">
        <f>IF((phi!R25),VLOOKUP(R$1,main!$A$3:$I$56,5,FALSE)-VLOOKUP($A80,main!$A$3:$I$56,6,FALSE)+main!$D$57,0)</f>
        <v>0</v>
      </c>
      <c r="S80">
        <f>IF((phi!S25),VLOOKUP(S$1,main!$A$3:$I$56,5,FALSE)-VLOOKUP($A80,main!$A$3:$I$56,6,FALSE)+main!$D$57,0)</f>
        <v>0</v>
      </c>
      <c r="T80">
        <f>IF((phi!T25),VLOOKUP(T$1,main!$A$3:$I$56,5,FALSE)-VLOOKUP($A80,main!$A$3:$I$56,6,FALSE)+main!$D$57,0)</f>
        <v>135</v>
      </c>
      <c r="U80">
        <f>IF((phi!U25),VLOOKUP(U$1,main!$A$3:$I$56,5,FALSE)-VLOOKUP($A80,main!$A$3:$I$56,6,FALSE)+main!$D$57,0)</f>
        <v>0</v>
      </c>
      <c r="V80">
        <f>IF((phi!V25),VLOOKUP(V$1,main!$A$3:$I$56,5,FALSE)-VLOOKUP($A80,main!$A$3:$I$56,6,FALSE)+main!$D$57,0)</f>
        <v>0</v>
      </c>
      <c r="W80">
        <f>IF((phi!W25),VLOOKUP(W$1,main!$A$3:$I$56,5,FALSE)-VLOOKUP($A80,main!$A$3:$I$56,6,FALSE)+main!$D$57,0)</f>
        <v>0</v>
      </c>
      <c r="X80">
        <f>IF((phi!X25),VLOOKUP(X$1,main!$A$3:$I$56,5,FALSE)-VLOOKUP($A80,main!$A$3:$I$56,6,FALSE)+main!$D$57,0)</f>
        <v>0</v>
      </c>
      <c r="Y80">
        <f>IF((phi!Y25),VLOOKUP(Y$1,main!$A$3:$I$56,5,FALSE)-VLOOKUP($A80,main!$A$3:$I$56,6,FALSE)+main!$D$57,0)</f>
        <v>0</v>
      </c>
      <c r="Z80">
        <f>IF((phi!Z25),VLOOKUP(Z$1,main!$A$3:$I$56,5,FALSE)-VLOOKUP($A80,main!$A$3:$I$56,6,FALSE)+main!$D$57,0)</f>
        <v>0</v>
      </c>
      <c r="AA80">
        <f>IF((phi!AA25),VLOOKUP(AA$1,main!$A$3:$I$56,5,FALSE)-VLOOKUP($A80,main!$A$3:$I$56,6,FALSE)+main!$D$57,0)</f>
        <v>0</v>
      </c>
      <c r="AB80">
        <f>IF((phi!AB25),VLOOKUP(AB$1,main!$A$3:$I$56,5,FALSE)-VLOOKUP($A80,main!$A$3:$I$56,6,FALSE)+main!$D$57,0)</f>
        <v>155</v>
      </c>
      <c r="AC80">
        <f>IF((phi!AC25),VLOOKUP(AC$1,main!$A$3:$I$56,5,FALSE)-VLOOKUP($A80,main!$A$3:$I$56,6,FALSE)+main!$D$57,0)</f>
        <v>0</v>
      </c>
      <c r="AD80">
        <f>IF((phi!AD25),VLOOKUP(AD$1,main!$A$3:$I$56,5,FALSE)-VLOOKUP($A80,main!$A$3:$I$56,6,FALSE)+main!$D$57,0)</f>
        <v>0</v>
      </c>
      <c r="AE80">
        <f>IF((phi!AE25),VLOOKUP(AE$1,main!$A$3:$I$56,5,FALSE)-VLOOKUP($A80,main!$A$3:$I$56,6,FALSE)+main!$D$57,0)</f>
        <v>0</v>
      </c>
      <c r="AF80">
        <f>IF((phi!AF25),VLOOKUP(AF$1,main!$A$3:$I$56,5,FALSE)-VLOOKUP($A80,main!$A$3:$I$56,6,FALSE)+main!$D$57,0)</f>
        <v>0</v>
      </c>
      <c r="AG80">
        <f>IF((phi!AG25),VLOOKUP(AG$1,main!$A$3:$I$56,5,FALSE)-VLOOKUP($A80,main!$A$3:$I$56,6,FALSE)+main!$D$57,0)</f>
        <v>0</v>
      </c>
      <c r="AH80">
        <f>IF((phi!AH25),VLOOKUP(AH$1,main!$A$3:$I$56,5,FALSE)-VLOOKUP($A80,main!$A$3:$I$56,6,FALSE)+main!$D$57,0)</f>
        <v>0</v>
      </c>
      <c r="AI80">
        <f>IF((phi!AI25),VLOOKUP(AI$1,main!$A$3:$I$56,5,FALSE)-VLOOKUP($A80,main!$A$3:$I$56,6,FALSE)+main!$D$57,0)</f>
        <v>0</v>
      </c>
      <c r="AJ80">
        <f>IF((phi!AJ25),VLOOKUP(AJ$1,main!$A$3:$I$56,5,FALSE)-VLOOKUP($A80,main!$A$3:$I$56,6,FALSE)+main!$D$57,0)</f>
        <v>0</v>
      </c>
      <c r="AK80">
        <f>IF((phi!AK25),VLOOKUP(AK$1,main!$A$3:$I$56,5,FALSE)-VLOOKUP($A80,main!$A$3:$I$56,6,FALSE)+main!$D$57,0)</f>
        <v>0</v>
      </c>
      <c r="AL80">
        <f>IF((phi!AL25),VLOOKUP(AL$1,main!$A$3:$I$56,5,FALSE)-VLOOKUP($A80,main!$A$3:$I$56,6,FALSE)+main!$D$57,0)</f>
        <v>0</v>
      </c>
      <c r="AM80">
        <f>IF((phi!AM25),VLOOKUP(AM$1,main!$A$3:$I$56,5,FALSE)-VLOOKUP($A80,main!$A$3:$I$56,6,FALSE)+main!$D$57,0)</f>
        <v>0</v>
      </c>
      <c r="AN80">
        <f>IF((phi!AN25),VLOOKUP(AN$1,main!$A$3:$I$56,5,FALSE)-VLOOKUP($A80,main!$A$3:$I$56,6,FALSE)+main!$D$57,0)</f>
        <v>0</v>
      </c>
      <c r="AO80">
        <f>IF((phi!AO25),VLOOKUP(AO$1,main!$A$3:$I$56,5,FALSE)-VLOOKUP($A80,main!$A$3:$I$56,6,FALSE)+main!$D$57,0)</f>
        <v>0</v>
      </c>
      <c r="AP80">
        <f>IF((phi!AP25),VLOOKUP(AP$1,main!$A$3:$I$56,5,FALSE)-VLOOKUP($A80,main!$A$3:$I$56,6,FALSE)+main!$D$57,0)</f>
        <v>0</v>
      </c>
      <c r="AQ80">
        <f>IF((phi!AQ25),VLOOKUP(AQ$1,main!$A$3:$I$56,5,FALSE)-VLOOKUP($A80,main!$A$3:$I$56,6,FALSE)+main!$D$57,0)</f>
        <v>0</v>
      </c>
      <c r="AR80">
        <f>IF((phi!AR25),VLOOKUP(AR$1,main!$A$3:$I$56,5,FALSE)-VLOOKUP($A80,main!$A$3:$I$56,6,FALSE)+main!$D$57,0)</f>
        <v>0</v>
      </c>
      <c r="AS80">
        <f>IF((phi!AS25),VLOOKUP(AS$1,main!$A$3:$I$56,5,FALSE)-VLOOKUP($A80,main!$A$3:$I$56,6,FALSE)+main!$D$57,0)</f>
        <v>0</v>
      </c>
      <c r="AT80">
        <f>IF((phi!AT25),VLOOKUP(AT$1,main!$A$3:$I$56,5,FALSE)-VLOOKUP($A80,main!$A$3:$I$56,6,FALSE)+main!$D$57,0)</f>
        <v>0</v>
      </c>
      <c r="AU80">
        <f>IF((phi!AU25),VLOOKUP(AU$1,main!$A$3:$I$56,5,FALSE)-VLOOKUP($A80,main!$A$3:$I$56,6,FALSE)+main!$D$57,0)</f>
        <v>0</v>
      </c>
      <c r="AV80">
        <f>IF((phi!AV25),VLOOKUP(AV$1,main!$A$3:$I$56,5,FALSE)-VLOOKUP($A80,main!$A$3:$I$56,6,FALSE)+main!$D$57,0)</f>
        <v>0</v>
      </c>
      <c r="AW80">
        <f>IF((phi!AW25),VLOOKUP(AW$1,main!$A$3:$I$56,5,FALSE)-VLOOKUP($A80,main!$A$3:$I$56,6,FALSE)+main!$D$57,0)</f>
        <v>0</v>
      </c>
      <c r="AX80">
        <f>IF((phi!AX25),VLOOKUP(AX$1,main!$A$3:$I$56,5,FALSE)-VLOOKUP($A80,main!$A$3:$I$56,6,FALSE)+main!$D$57,0)</f>
        <v>0</v>
      </c>
      <c r="AY80">
        <f>IF((phi!AY25),VLOOKUP(AY$1,main!$A$3:$I$56,5,FALSE)-VLOOKUP($A80,main!$A$3:$I$56,6,FALSE)+main!$D$57,0)</f>
        <v>215</v>
      </c>
      <c r="AZ80">
        <f>IF((phi!AZ25),VLOOKUP(AZ$1,main!$A$3:$I$56,5,FALSE)-VLOOKUP($A80,main!$A$3:$I$56,6,FALSE)+main!$D$57,0)</f>
        <v>0</v>
      </c>
      <c r="BA80">
        <f>IF((phi!BA25),VLOOKUP(BA$1,main!$A$3:$I$56,5,FALSE)-VLOOKUP($A80,main!$A$3:$I$56,6,FALSE)+main!$D$57,0)</f>
        <v>0</v>
      </c>
      <c r="BB80">
        <f>IF((phi!BB25),VLOOKUP(BB$1,main!$A$3:$I$56,5,FALSE)-VLOOKUP($A80,main!$A$3:$I$56,6,FALSE)+main!$D$57,0)</f>
        <v>0</v>
      </c>
      <c r="BC80">
        <f>IF((phi!BC25),VLOOKUP(BC$1,main!$A$3:$I$56,5,FALSE)-VLOOKUP($A80,main!$A$3:$I$56,6,FALSE)+main!$D$57,0)</f>
        <v>0</v>
      </c>
      <c r="BD80">
        <f>IF((phi!BD25),VLOOKUP(BD$1,main!$A$3:$I$56,5,FALSE)-VLOOKUP($A80,main!$A$3:$I$56,6,FALSE)+main!$D$57,0)</f>
        <v>0</v>
      </c>
    </row>
    <row r="81" spans="1:56" x14ac:dyDescent="0.25">
      <c r="A81">
        <f t="shared" si="3"/>
        <v>24</v>
      </c>
      <c r="B81">
        <v>0</v>
      </c>
      <c r="C81">
        <f>IF((phi!C26),VLOOKUP(C$1,main!$A$3:$I$56,5,FALSE)-VLOOKUP($A81,main!$A$3:$I$56,6,FALSE)+main!$D$57,0)</f>
        <v>0</v>
      </c>
      <c r="D81">
        <f>IF((phi!D26),VLOOKUP(D$1,main!$A$3:$I$56,5,FALSE)-VLOOKUP($A81,main!$A$3:$I$56,6,FALSE)+main!$D$57,0)</f>
        <v>0</v>
      </c>
      <c r="E81">
        <f>IF((phi!E26),VLOOKUP(E$1,main!$A$3:$I$56,5,FALSE)-VLOOKUP($A81,main!$A$3:$I$56,6,FALSE)+main!$D$57,0)</f>
        <v>0</v>
      </c>
      <c r="F81">
        <f>IF((phi!F26),VLOOKUP(F$1,main!$A$3:$I$56,5,FALSE)-VLOOKUP($A81,main!$A$3:$I$56,6,FALSE)+main!$D$57,0)</f>
        <v>0</v>
      </c>
      <c r="G81">
        <f>IF((phi!G26),VLOOKUP(G$1,main!$A$3:$I$56,5,FALSE)-VLOOKUP($A81,main!$A$3:$I$56,6,FALSE)+main!$D$57,0)</f>
        <v>0</v>
      </c>
      <c r="H81">
        <f>IF((phi!H26),VLOOKUP(H$1,main!$A$3:$I$56,5,FALSE)-VLOOKUP($A81,main!$A$3:$I$56,6,FALSE)+main!$D$57,0)</f>
        <v>0</v>
      </c>
      <c r="I81">
        <f>IF((phi!I26),VLOOKUP(I$1,main!$A$3:$I$56,5,FALSE)-VLOOKUP($A81,main!$A$3:$I$56,6,FALSE)+main!$D$57,0)</f>
        <v>0</v>
      </c>
      <c r="J81">
        <f>IF((phi!J26),VLOOKUP(J$1,main!$A$3:$I$56,5,FALSE)-VLOOKUP($A81,main!$A$3:$I$56,6,FALSE)+main!$D$57,0)</f>
        <v>0</v>
      </c>
      <c r="K81">
        <f>IF((phi!K26),VLOOKUP(K$1,main!$A$3:$I$56,5,FALSE)-VLOOKUP($A81,main!$A$3:$I$56,6,FALSE)+main!$D$57,0)</f>
        <v>0</v>
      </c>
      <c r="L81">
        <f>IF((phi!L26),VLOOKUP(L$1,main!$A$3:$I$56,5,FALSE)-VLOOKUP($A81,main!$A$3:$I$56,6,FALSE)+main!$D$57,0)</f>
        <v>0</v>
      </c>
      <c r="M81">
        <f>IF((phi!M26),VLOOKUP(M$1,main!$A$3:$I$56,5,FALSE)-VLOOKUP($A81,main!$A$3:$I$56,6,FALSE)+main!$D$57,0)</f>
        <v>0</v>
      </c>
      <c r="N81">
        <f>IF((phi!N26),VLOOKUP(N$1,main!$A$3:$I$56,5,FALSE)-VLOOKUP($A81,main!$A$3:$I$56,6,FALSE)+main!$D$57,0)</f>
        <v>0</v>
      </c>
      <c r="O81">
        <f>IF((phi!O26),VLOOKUP(O$1,main!$A$3:$I$56,5,FALSE)-VLOOKUP($A81,main!$A$3:$I$56,6,FALSE)+main!$D$57,0)</f>
        <v>140</v>
      </c>
      <c r="P81">
        <f>IF((phi!P26),VLOOKUP(P$1,main!$A$3:$I$56,5,FALSE)-VLOOKUP($A81,main!$A$3:$I$56,6,FALSE)+main!$D$57,0)</f>
        <v>0</v>
      </c>
      <c r="Q81">
        <f>IF((phi!Q26),VLOOKUP(Q$1,main!$A$3:$I$56,5,FALSE)-VLOOKUP($A81,main!$A$3:$I$56,6,FALSE)+main!$D$57,0)</f>
        <v>0</v>
      </c>
      <c r="R81">
        <f>IF((phi!R26),VLOOKUP(R$1,main!$A$3:$I$56,5,FALSE)-VLOOKUP($A81,main!$A$3:$I$56,6,FALSE)+main!$D$57,0)</f>
        <v>0</v>
      </c>
      <c r="S81">
        <f>IF((phi!S26),VLOOKUP(S$1,main!$A$3:$I$56,5,FALSE)-VLOOKUP($A81,main!$A$3:$I$56,6,FALSE)+main!$D$57,0)</f>
        <v>0</v>
      </c>
      <c r="T81">
        <f>IF((phi!T26),VLOOKUP(T$1,main!$A$3:$I$56,5,FALSE)-VLOOKUP($A81,main!$A$3:$I$56,6,FALSE)+main!$D$57,0)</f>
        <v>0</v>
      </c>
      <c r="U81">
        <f>IF((phi!U26),VLOOKUP(U$1,main!$A$3:$I$56,5,FALSE)-VLOOKUP($A81,main!$A$3:$I$56,6,FALSE)+main!$D$57,0)</f>
        <v>0</v>
      </c>
      <c r="V81">
        <f>IF((phi!V26),VLOOKUP(V$1,main!$A$3:$I$56,5,FALSE)-VLOOKUP($A81,main!$A$3:$I$56,6,FALSE)+main!$D$57,0)</f>
        <v>0</v>
      </c>
      <c r="W81">
        <f>IF((phi!W26),VLOOKUP(W$1,main!$A$3:$I$56,5,FALSE)-VLOOKUP($A81,main!$A$3:$I$56,6,FALSE)+main!$D$57,0)</f>
        <v>0</v>
      </c>
      <c r="X81">
        <f>IF((phi!X26),VLOOKUP(X$1,main!$A$3:$I$56,5,FALSE)-VLOOKUP($A81,main!$A$3:$I$56,6,FALSE)+main!$D$57,0)</f>
        <v>0</v>
      </c>
      <c r="Y81">
        <f>IF((phi!Y26),VLOOKUP(Y$1,main!$A$3:$I$56,5,FALSE)-VLOOKUP($A81,main!$A$3:$I$56,6,FALSE)+main!$D$57,0)</f>
        <v>0</v>
      </c>
      <c r="Z81">
        <f>IF((phi!Z26),VLOOKUP(Z$1,main!$A$3:$I$56,5,FALSE)-VLOOKUP($A81,main!$A$3:$I$56,6,FALSE)+main!$D$57,0)</f>
        <v>0</v>
      </c>
      <c r="AA81">
        <f>IF((phi!AA26),VLOOKUP(AA$1,main!$A$3:$I$56,5,FALSE)-VLOOKUP($A81,main!$A$3:$I$56,6,FALSE)+main!$D$57,0)</f>
        <v>0</v>
      </c>
      <c r="AB81">
        <f>IF((phi!AB26),VLOOKUP(AB$1,main!$A$3:$I$56,5,FALSE)-VLOOKUP($A81,main!$A$3:$I$56,6,FALSE)+main!$D$57,0)</f>
        <v>0</v>
      </c>
      <c r="AC81">
        <f>IF((phi!AC26),VLOOKUP(AC$1,main!$A$3:$I$56,5,FALSE)-VLOOKUP($A81,main!$A$3:$I$56,6,FALSE)+main!$D$57,0)</f>
        <v>0</v>
      </c>
      <c r="AD81">
        <f>IF((phi!AD26),VLOOKUP(AD$1,main!$A$3:$I$56,5,FALSE)-VLOOKUP($A81,main!$A$3:$I$56,6,FALSE)+main!$D$57,0)</f>
        <v>0</v>
      </c>
      <c r="AE81">
        <f>IF((phi!AE26),VLOOKUP(AE$1,main!$A$3:$I$56,5,FALSE)-VLOOKUP($A81,main!$A$3:$I$56,6,FALSE)+main!$D$57,0)</f>
        <v>0</v>
      </c>
      <c r="AF81">
        <f>IF((phi!AF26),VLOOKUP(AF$1,main!$A$3:$I$56,5,FALSE)-VLOOKUP($A81,main!$A$3:$I$56,6,FALSE)+main!$D$57,0)</f>
        <v>0</v>
      </c>
      <c r="AG81">
        <f>IF((phi!AG26),VLOOKUP(AG$1,main!$A$3:$I$56,5,FALSE)-VLOOKUP($A81,main!$A$3:$I$56,6,FALSE)+main!$D$57,0)</f>
        <v>0</v>
      </c>
      <c r="AH81">
        <f>IF((phi!AH26),VLOOKUP(AH$1,main!$A$3:$I$56,5,FALSE)-VLOOKUP($A81,main!$A$3:$I$56,6,FALSE)+main!$D$57,0)</f>
        <v>0</v>
      </c>
      <c r="AI81">
        <f>IF((phi!AI26),VLOOKUP(AI$1,main!$A$3:$I$56,5,FALSE)-VLOOKUP($A81,main!$A$3:$I$56,6,FALSE)+main!$D$57,0)</f>
        <v>0</v>
      </c>
      <c r="AJ81">
        <f>IF((phi!AJ26),VLOOKUP(AJ$1,main!$A$3:$I$56,5,FALSE)-VLOOKUP($A81,main!$A$3:$I$56,6,FALSE)+main!$D$57,0)</f>
        <v>0</v>
      </c>
      <c r="AK81">
        <f>IF((phi!AK26),VLOOKUP(AK$1,main!$A$3:$I$56,5,FALSE)-VLOOKUP($A81,main!$A$3:$I$56,6,FALSE)+main!$D$57,0)</f>
        <v>0</v>
      </c>
      <c r="AL81">
        <f>IF((phi!AL26),VLOOKUP(AL$1,main!$A$3:$I$56,5,FALSE)-VLOOKUP($A81,main!$A$3:$I$56,6,FALSE)+main!$D$57,0)</f>
        <v>0</v>
      </c>
      <c r="AM81">
        <f>IF((phi!AM26),VLOOKUP(AM$1,main!$A$3:$I$56,5,FALSE)-VLOOKUP($A81,main!$A$3:$I$56,6,FALSE)+main!$D$57,0)</f>
        <v>0</v>
      </c>
      <c r="AN81">
        <f>IF((phi!AN26),VLOOKUP(AN$1,main!$A$3:$I$56,5,FALSE)-VLOOKUP($A81,main!$A$3:$I$56,6,FALSE)+main!$D$57,0)</f>
        <v>0</v>
      </c>
      <c r="AO81">
        <f>IF((phi!AO26),VLOOKUP(AO$1,main!$A$3:$I$56,5,FALSE)-VLOOKUP($A81,main!$A$3:$I$56,6,FALSE)+main!$D$57,0)</f>
        <v>0</v>
      </c>
      <c r="AP81">
        <f>IF((phi!AP26),VLOOKUP(AP$1,main!$A$3:$I$56,5,FALSE)-VLOOKUP($A81,main!$A$3:$I$56,6,FALSE)+main!$D$57,0)</f>
        <v>0</v>
      </c>
      <c r="AQ81">
        <f>IF((phi!AQ26),VLOOKUP(AQ$1,main!$A$3:$I$56,5,FALSE)-VLOOKUP($A81,main!$A$3:$I$56,6,FALSE)+main!$D$57,0)</f>
        <v>0</v>
      </c>
      <c r="AR81">
        <f>IF((phi!AR26),VLOOKUP(AR$1,main!$A$3:$I$56,5,FALSE)-VLOOKUP($A81,main!$A$3:$I$56,6,FALSE)+main!$D$57,0)</f>
        <v>0</v>
      </c>
      <c r="AS81">
        <f>IF((phi!AS26),VLOOKUP(AS$1,main!$A$3:$I$56,5,FALSE)-VLOOKUP($A81,main!$A$3:$I$56,6,FALSE)+main!$D$57,0)</f>
        <v>0</v>
      </c>
      <c r="AT81">
        <f>IF((phi!AT26),VLOOKUP(AT$1,main!$A$3:$I$56,5,FALSE)-VLOOKUP($A81,main!$A$3:$I$56,6,FALSE)+main!$D$57,0)</f>
        <v>0</v>
      </c>
      <c r="AU81">
        <f>IF((phi!AU26),VLOOKUP(AU$1,main!$A$3:$I$56,5,FALSE)-VLOOKUP($A81,main!$A$3:$I$56,6,FALSE)+main!$D$57,0)</f>
        <v>0</v>
      </c>
      <c r="AV81">
        <f>IF((phi!AV26),VLOOKUP(AV$1,main!$A$3:$I$56,5,FALSE)-VLOOKUP($A81,main!$A$3:$I$56,6,FALSE)+main!$D$57,0)</f>
        <v>0</v>
      </c>
      <c r="AW81">
        <f>IF((phi!AW26),VLOOKUP(AW$1,main!$A$3:$I$56,5,FALSE)-VLOOKUP($A81,main!$A$3:$I$56,6,FALSE)+main!$D$57,0)</f>
        <v>0</v>
      </c>
      <c r="AX81">
        <f>IF((phi!AX26),VLOOKUP(AX$1,main!$A$3:$I$56,5,FALSE)-VLOOKUP($A81,main!$A$3:$I$56,6,FALSE)+main!$D$57,0)</f>
        <v>0</v>
      </c>
      <c r="AY81">
        <f>IF((phi!AY26),VLOOKUP(AY$1,main!$A$3:$I$56,5,FALSE)-VLOOKUP($A81,main!$A$3:$I$56,6,FALSE)+main!$D$57,0)</f>
        <v>0</v>
      </c>
      <c r="AZ81">
        <f>IF((phi!AZ26),VLOOKUP(AZ$1,main!$A$3:$I$56,5,FALSE)-VLOOKUP($A81,main!$A$3:$I$56,6,FALSE)+main!$D$57,0)</f>
        <v>0</v>
      </c>
      <c r="BA81">
        <f>IF((phi!BA26),VLOOKUP(BA$1,main!$A$3:$I$56,5,FALSE)-VLOOKUP($A81,main!$A$3:$I$56,6,FALSE)+main!$D$57,0)</f>
        <v>0</v>
      </c>
      <c r="BB81">
        <f>IF((phi!BB26),VLOOKUP(BB$1,main!$A$3:$I$56,5,FALSE)-VLOOKUP($A81,main!$A$3:$I$56,6,FALSE)+main!$D$57,0)</f>
        <v>0</v>
      </c>
      <c r="BC81">
        <f>IF((phi!BC26),VLOOKUP(BC$1,main!$A$3:$I$56,5,FALSE)-VLOOKUP($A81,main!$A$3:$I$56,6,FALSE)+main!$D$57,0)</f>
        <v>0</v>
      </c>
      <c r="BD81">
        <f>IF((phi!BD26),VLOOKUP(BD$1,main!$A$3:$I$56,5,FALSE)-VLOOKUP($A81,main!$A$3:$I$56,6,FALSE)+main!$D$57,0)</f>
        <v>0</v>
      </c>
    </row>
    <row r="82" spans="1:56" x14ac:dyDescent="0.25">
      <c r="A82">
        <f t="shared" si="3"/>
        <v>25</v>
      </c>
      <c r="B82">
        <v>0</v>
      </c>
      <c r="C82">
        <f>IF((phi!C27),VLOOKUP(C$1,main!$A$3:$I$56,5,FALSE)-VLOOKUP($A82,main!$A$3:$I$56,6,FALSE)+main!$D$57,0)</f>
        <v>0</v>
      </c>
      <c r="D82">
        <f>IF((phi!D27),VLOOKUP(D$1,main!$A$3:$I$56,5,FALSE)-VLOOKUP($A82,main!$A$3:$I$56,6,FALSE)+main!$D$57,0)</f>
        <v>0</v>
      </c>
      <c r="E82">
        <f>IF((phi!E27),VLOOKUP(E$1,main!$A$3:$I$56,5,FALSE)-VLOOKUP($A82,main!$A$3:$I$56,6,FALSE)+main!$D$57,0)</f>
        <v>0</v>
      </c>
      <c r="F82">
        <f>IF((phi!F27),VLOOKUP(F$1,main!$A$3:$I$56,5,FALSE)-VLOOKUP($A82,main!$A$3:$I$56,6,FALSE)+main!$D$57,0)</f>
        <v>0</v>
      </c>
      <c r="G82">
        <f>IF((phi!G27),VLOOKUP(G$1,main!$A$3:$I$56,5,FALSE)-VLOOKUP($A82,main!$A$3:$I$56,6,FALSE)+main!$D$57,0)</f>
        <v>0</v>
      </c>
      <c r="H82">
        <f>IF((phi!H27),VLOOKUP(H$1,main!$A$3:$I$56,5,FALSE)-VLOOKUP($A82,main!$A$3:$I$56,6,FALSE)+main!$D$57,0)</f>
        <v>0</v>
      </c>
      <c r="I82">
        <f>IF((phi!I27),VLOOKUP(I$1,main!$A$3:$I$56,5,FALSE)-VLOOKUP($A82,main!$A$3:$I$56,6,FALSE)+main!$D$57,0)</f>
        <v>0</v>
      </c>
      <c r="J82">
        <f>IF((phi!J27),VLOOKUP(J$1,main!$A$3:$I$56,5,FALSE)-VLOOKUP($A82,main!$A$3:$I$56,6,FALSE)+main!$D$57,0)</f>
        <v>0</v>
      </c>
      <c r="K82">
        <f>IF((phi!K27),VLOOKUP(K$1,main!$A$3:$I$56,5,FALSE)-VLOOKUP($A82,main!$A$3:$I$56,6,FALSE)+main!$D$57,0)</f>
        <v>0</v>
      </c>
      <c r="L82">
        <f>IF((phi!L27),VLOOKUP(L$1,main!$A$3:$I$56,5,FALSE)-VLOOKUP($A82,main!$A$3:$I$56,6,FALSE)+main!$D$57,0)</f>
        <v>0</v>
      </c>
      <c r="M82">
        <f>IF((phi!M27),VLOOKUP(M$1,main!$A$3:$I$56,5,FALSE)-VLOOKUP($A82,main!$A$3:$I$56,6,FALSE)+main!$D$57,0)</f>
        <v>0</v>
      </c>
      <c r="N82">
        <f>IF((phi!N27),VLOOKUP(N$1,main!$A$3:$I$56,5,FALSE)-VLOOKUP($A82,main!$A$3:$I$56,6,FALSE)+main!$D$57,0)</f>
        <v>0</v>
      </c>
      <c r="O82">
        <f>IF((phi!O27),VLOOKUP(O$1,main!$A$3:$I$56,5,FALSE)-VLOOKUP($A82,main!$A$3:$I$56,6,FALSE)+main!$D$57,0)</f>
        <v>0</v>
      </c>
      <c r="P82">
        <f>IF((phi!P27),VLOOKUP(P$1,main!$A$3:$I$56,5,FALSE)-VLOOKUP($A82,main!$A$3:$I$56,6,FALSE)+main!$D$57,0)</f>
        <v>0</v>
      </c>
      <c r="Q82">
        <f>IF((phi!Q27),VLOOKUP(Q$1,main!$A$3:$I$56,5,FALSE)-VLOOKUP($A82,main!$A$3:$I$56,6,FALSE)+main!$D$57,0)</f>
        <v>0</v>
      </c>
      <c r="R82">
        <f>IF((phi!R27),VLOOKUP(R$1,main!$A$3:$I$56,5,FALSE)-VLOOKUP($A82,main!$A$3:$I$56,6,FALSE)+main!$D$57,0)</f>
        <v>0</v>
      </c>
      <c r="S82">
        <f>IF((phi!S27),VLOOKUP(S$1,main!$A$3:$I$56,5,FALSE)-VLOOKUP($A82,main!$A$3:$I$56,6,FALSE)+main!$D$57,0)</f>
        <v>0</v>
      </c>
      <c r="T82">
        <f>IF((phi!T27),VLOOKUP(T$1,main!$A$3:$I$56,5,FALSE)-VLOOKUP($A82,main!$A$3:$I$56,6,FALSE)+main!$D$57,0)</f>
        <v>0</v>
      </c>
      <c r="U82">
        <f>IF((phi!U27),VLOOKUP(U$1,main!$A$3:$I$56,5,FALSE)-VLOOKUP($A82,main!$A$3:$I$56,6,FALSE)+main!$D$57,0)</f>
        <v>0</v>
      </c>
      <c r="V82">
        <f>IF((phi!V27),VLOOKUP(V$1,main!$A$3:$I$56,5,FALSE)-VLOOKUP($A82,main!$A$3:$I$56,6,FALSE)+main!$D$57,0)</f>
        <v>0</v>
      </c>
      <c r="W82">
        <f>IF((phi!W27),VLOOKUP(W$1,main!$A$3:$I$56,5,FALSE)-VLOOKUP($A82,main!$A$3:$I$56,6,FALSE)+main!$D$57,0)</f>
        <v>0</v>
      </c>
      <c r="X82">
        <f>IF((phi!X27),VLOOKUP(X$1,main!$A$3:$I$56,5,FALSE)-VLOOKUP($A82,main!$A$3:$I$56,6,FALSE)+main!$D$57,0)</f>
        <v>0</v>
      </c>
      <c r="Y82">
        <f>IF((phi!Y27),VLOOKUP(Y$1,main!$A$3:$I$56,5,FALSE)-VLOOKUP($A82,main!$A$3:$I$56,6,FALSE)+main!$D$57,0)</f>
        <v>0</v>
      </c>
      <c r="Z82">
        <f>IF((phi!Z27),VLOOKUP(Z$1,main!$A$3:$I$56,5,FALSE)-VLOOKUP($A82,main!$A$3:$I$56,6,FALSE)+main!$D$57,0)</f>
        <v>0</v>
      </c>
      <c r="AA82">
        <f>IF((phi!AA27),VLOOKUP(AA$1,main!$A$3:$I$56,5,FALSE)-VLOOKUP($A82,main!$A$3:$I$56,6,FALSE)+main!$D$57,0)</f>
        <v>0</v>
      </c>
      <c r="AB82">
        <f>IF((phi!AB27),VLOOKUP(AB$1,main!$A$3:$I$56,5,FALSE)-VLOOKUP($A82,main!$A$3:$I$56,6,FALSE)+main!$D$57,0)</f>
        <v>0</v>
      </c>
      <c r="AC82">
        <f>IF((phi!AC27),VLOOKUP(AC$1,main!$A$3:$I$56,5,FALSE)-VLOOKUP($A82,main!$A$3:$I$56,6,FALSE)+main!$D$57,0)</f>
        <v>0</v>
      </c>
      <c r="AD82">
        <f>IF((phi!AD27),VLOOKUP(AD$1,main!$A$3:$I$56,5,FALSE)-VLOOKUP($A82,main!$A$3:$I$56,6,FALSE)+main!$D$57,0)</f>
        <v>0</v>
      </c>
      <c r="AE82">
        <f>IF((phi!AE27),VLOOKUP(AE$1,main!$A$3:$I$56,5,FALSE)-VLOOKUP($A82,main!$A$3:$I$56,6,FALSE)+main!$D$57,0)</f>
        <v>0</v>
      </c>
      <c r="AF82">
        <f>IF((phi!AF27),VLOOKUP(AF$1,main!$A$3:$I$56,5,FALSE)-VLOOKUP($A82,main!$A$3:$I$56,6,FALSE)+main!$D$57,0)</f>
        <v>0</v>
      </c>
      <c r="AG82">
        <f>IF((phi!AG27),VLOOKUP(AG$1,main!$A$3:$I$56,5,FALSE)-VLOOKUP($A82,main!$A$3:$I$56,6,FALSE)+main!$D$57,0)</f>
        <v>0</v>
      </c>
      <c r="AH82">
        <f>IF((phi!AH27),VLOOKUP(AH$1,main!$A$3:$I$56,5,FALSE)-VLOOKUP($A82,main!$A$3:$I$56,6,FALSE)+main!$D$57,0)</f>
        <v>0</v>
      </c>
      <c r="AI82">
        <f>IF((phi!AI27),VLOOKUP(AI$1,main!$A$3:$I$56,5,FALSE)-VLOOKUP($A82,main!$A$3:$I$56,6,FALSE)+main!$D$57,0)</f>
        <v>0</v>
      </c>
      <c r="AJ82">
        <f>IF((phi!AJ27),VLOOKUP(AJ$1,main!$A$3:$I$56,5,FALSE)-VLOOKUP($A82,main!$A$3:$I$56,6,FALSE)+main!$D$57,0)</f>
        <v>0</v>
      </c>
      <c r="AK82">
        <f>IF((phi!AK27),VLOOKUP(AK$1,main!$A$3:$I$56,5,FALSE)-VLOOKUP($A82,main!$A$3:$I$56,6,FALSE)+main!$D$57,0)</f>
        <v>0</v>
      </c>
      <c r="AL82">
        <f>IF((phi!AL27),VLOOKUP(AL$1,main!$A$3:$I$56,5,FALSE)-VLOOKUP($A82,main!$A$3:$I$56,6,FALSE)+main!$D$57,0)</f>
        <v>0</v>
      </c>
      <c r="AM82">
        <f>IF((phi!AM27),VLOOKUP(AM$1,main!$A$3:$I$56,5,FALSE)-VLOOKUP($A82,main!$A$3:$I$56,6,FALSE)+main!$D$57,0)</f>
        <v>0</v>
      </c>
      <c r="AN82">
        <f>IF((phi!AN27),VLOOKUP(AN$1,main!$A$3:$I$56,5,FALSE)-VLOOKUP($A82,main!$A$3:$I$56,6,FALSE)+main!$D$57,0)</f>
        <v>0</v>
      </c>
      <c r="AO82">
        <f>IF((phi!AO27),VLOOKUP(AO$1,main!$A$3:$I$56,5,FALSE)-VLOOKUP($A82,main!$A$3:$I$56,6,FALSE)+main!$D$57,0)</f>
        <v>0</v>
      </c>
      <c r="AP82">
        <f>IF((phi!AP27),VLOOKUP(AP$1,main!$A$3:$I$56,5,FALSE)-VLOOKUP($A82,main!$A$3:$I$56,6,FALSE)+main!$D$57,0)</f>
        <v>0</v>
      </c>
      <c r="AQ82">
        <f>IF((phi!AQ27),VLOOKUP(AQ$1,main!$A$3:$I$56,5,FALSE)-VLOOKUP($A82,main!$A$3:$I$56,6,FALSE)+main!$D$57,0)</f>
        <v>0</v>
      </c>
      <c r="AR82">
        <f>IF((phi!AR27),VLOOKUP(AR$1,main!$A$3:$I$56,5,FALSE)-VLOOKUP($A82,main!$A$3:$I$56,6,FALSE)+main!$D$57,0)</f>
        <v>0</v>
      </c>
      <c r="AS82">
        <f>IF((phi!AS27),VLOOKUP(AS$1,main!$A$3:$I$56,5,FALSE)-VLOOKUP($A82,main!$A$3:$I$56,6,FALSE)+main!$D$57,0)</f>
        <v>0</v>
      </c>
      <c r="AT82">
        <f>IF((phi!AT27),VLOOKUP(AT$1,main!$A$3:$I$56,5,FALSE)-VLOOKUP($A82,main!$A$3:$I$56,6,FALSE)+main!$D$57,0)</f>
        <v>0</v>
      </c>
      <c r="AU82">
        <f>IF((phi!AU27),VLOOKUP(AU$1,main!$A$3:$I$56,5,FALSE)-VLOOKUP($A82,main!$A$3:$I$56,6,FALSE)+main!$D$57,0)</f>
        <v>0</v>
      </c>
      <c r="AV82">
        <f>IF((phi!AV27),VLOOKUP(AV$1,main!$A$3:$I$56,5,FALSE)-VLOOKUP($A82,main!$A$3:$I$56,6,FALSE)+main!$D$57,0)</f>
        <v>0</v>
      </c>
      <c r="AW82">
        <f>IF((phi!AW27),VLOOKUP(AW$1,main!$A$3:$I$56,5,FALSE)-VLOOKUP($A82,main!$A$3:$I$56,6,FALSE)+main!$D$57,0)</f>
        <v>0</v>
      </c>
      <c r="AX82">
        <f>IF((phi!AX27),VLOOKUP(AX$1,main!$A$3:$I$56,5,FALSE)-VLOOKUP($A82,main!$A$3:$I$56,6,FALSE)+main!$D$57,0)</f>
        <v>0</v>
      </c>
      <c r="AY82">
        <f>IF((phi!AY27),VLOOKUP(AY$1,main!$A$3:$I$56,5,FALSE)-VLOOKUP($A82,main!$A$3:$I$56,6,FALSE)+main!$D$57,0)</f>
        <v>0</v>
      </c>
      <c r="AZ82">
        <f>IF((phi!AZ27),VLOOKUP(AZ$1,main!$A$3:$I$56,5,FALSE)-VLOOKUP($A82,main!$A$3:$I$56,6,FALSE)+main!$D$57,0)</f>
        <v>0</v>
      </c>
      <c r="BA82">
        <f>IF((phi!BA27),VLOOKUP(BA$1,main!$A$3:$I$56,5,FALSE)-VLOOKUP($A82,main!$A$3:$I$56,6,FALSE)+main!$D$57,0)</f>
        <v>0</v>
      </c>
      <c r="BB82">
        <f>IF((phi!BB27),VLOOKUP(BB$1,main!$A$3:$I$56,5,FALSE)-VLOOKUP($A82,main!$A$3:$I$56,6,FALSE)+main!$D$57,0)</f>
        <v>0</v>
      </c>
      <c r="BC82">
        <f>IF((phi!BC27),VLOOKUP(BC$1,main!$A$3:$I$56,5,FALSE)-VLOOKUP($A82,main!$A$3:$I$56,6,FALSE)+main!$D$57,0)</f>
        <v>0</v>
      </c>
      <c r="BD82">
        <f>IF((phi!BD27),VLOOKUP(BD$1,main!$A$3:$I$56,5,FALSE)-VLOOKUP($A82,main!$A$3:$I$56,6,FALSE)+main!$D$57,0)</f>
        <v>0</v>
      </c>
    </row>
    <row r="83" spans="1:56" x14ac:dyDescent="0.25">
      <c r="A83">
        <f t="shared" si="3"/>
        <v>26</v>
      </c>
      <c r="B83">
        <v>0</v>
      </c>
      <c r="C83">
        <f>IF((phi!C28),VLOOKUP(C$1,main!$A$3:$I$56,5,FALSE)-VLOOKUP($A83,main!$A$3:$I$56,6,FALSE)+main!$D$57,0)</f>
        <v>0</v>
      </c>
      <c r="D83">
        <f>IF((phi!D28),VLOOKUP(D$1,main!$A$3:$I$56,5,FALSE)-VLOOKUP($A83,main!$A$3:$I$56,6,FALSE)+main!$D$57,0)</f>
        <v>0</v>
      </c>
      <c r="E83">
        <f>IF((phi!E28),VLOOKUP(E$1,main!$A$3:$I$56,5,FALSE)-VLOOKUP($A83,main!$A$3:$I$56,6,FALSE)+main!$D$57,0)</f>
        <v>0</v>
      </c>
      <c r="F83">
        <f>IF((phi!F28),VLOOKUP(F$1,main!$A$3:$I$56,5,FALSE)-VLOOKUP($A83,main!$A$3:$I$56,6,FALSE)+main!$D$57,0)</f>
        <v>0</v>
      </c>
      <c r="G83">
        <f>IF((phi!G28),VLOOKUP(G$1,main!$A$3:$I$56,5,FALSE)-VLOOKUP($A83,main!$A$3:$I$56,6,FALSE)+main!$D$57,0)</f>
        <v>0</v>
      </c>
      <c r="H83">
        <f>IF((phi!H28),VLOOKUP(H$1,main!$A$3:$I$56,5,FALSE)-VLOOKUP($A83,main!$A$3:$I$56,6,FALSE)+main!$D$57,0)</f>
        <v>0</v>
      </c>
      <c r="I83">
        <f>IF((phi!I28),VLOOKUP(I$1,main!$A$3:$I$56,5,FALSE)-VLOOKUP($A83,main!$A$3:$I$56,6,FALSE)+main!$D$57,0)</f>
        <v>0</v>
      </c>
      <c r="J83">
        <f>IF((phi!J28),VLOOKUP(J$1,main!$A$3:$I$56,5,FALSE)-VLOOKUP($A83,main!$A$3:$I$56,6,FALSE)+main!$D$57,0)</f>
        <v>0</v>
      </c>
      <c r="K83">
        <f>IF((phi!K28),VLOOKUP(K$1,main!$A$3:$I$56,5,FALSE)-VLOOKUP($A83,main!$A$3:$I$56,6,FALSE)+main!$D$57,0)</f>
        <v>0</v>
      </c>
      <c r="L83">
        <f>IF((phi!L28),VLOOKUP(L$1,main!$A$3:$I$56,5,FALSE)-VLOOKUP($A83,main!$A$3:$I$56,6,FALSE)+main!$D$57,0)</f>
        <v>0</v>
      </c>
      <c r="M83">
        <f>IF((phi!M28),VLOOKUP(M$1,main!$A$3:$I$56,5,FALSE)-VLOOKUP($A83,main!$A$3:$I$56,6,FALSE)+main!$D$57,0)</f>
        <v>0</v>
      </c>
      <c r="N83">
        <f>IF((phi!N28),VLOOKUP(N$1,main!$A$3:$I$56,5,FALSE)-VLOOKUP($A83,main!$A$3:$I$56,6,FALSE)+main!$D$57,0)</f>
        <v>0</v>
      </c>
      <c r="O83">
        <f>IF((phi!O28),VLOOKUP(O$1,main!$A$3:$I$56,5,FALSE)-VLOOKUP($A83,main!$A$3:$I$56,6,FALSE)+main!$D$57,0)</f>
        <v>0</v>
      </c>
      <c r="P83">
        <f>IF((phi!P28),VLOOKUP(P$1,main!$A$3:$I$56,5,FALSE)-VLOOKUP($A83,main!$A$3:$I$56,6,FALSE)+main!$D$57,0)</f>
        <v>0</v>
      </c>
      <c r="Q83">
        <f>IF((phi!Q28),VLOOKUP(Q$1,main!$A$3:$I$56,5,FALSE)-VLOOKUP($A83,main!$A$3:$I$56,6,FALSE)+main!$D$57,0)</f>
        <v>0</v>
      </c>
      <c r="R83">
        <f>IF((phi!R28),VLOOKUP(R$1,main!$A$3:$I$56,5,FALSE)-VLOOKUP($A83,main!$A$3:$I$56,6,FALSE)+main!$D$57,0)</f>
        <v>0</v>
      </c>
      <c r="S83">
        <f>IF((phi!S28),VLOOKUP(S$1,main!$A$3:$I$56,5,FALSE)-VLOOKUP($A83,main!$A$3:$I$56,6,FALSE)+main!$D$57,0)</f>
        <v>0</v>
      </c>
      <c r="T83">
        <f>IF((phi!T28),VLOOKUP(T$1,main!$A$3:$I$56,5,FALSE)-VLOOKUP($A83,main!$A$3:$I$56,6,FALSE)+main!$D$57,0)</f>
        <v>0</v>
      </c>
      <c r="U83">
        <f>IF((phi!U28),VLOOKUP(U$1,main!$A$3:$I$56,5,FALSE)-VLOOKUP($A83,main!$A$3:$I$56,6,FALSE)+main!$D$57,0)</f>
        <v>0</v>
      </c>
      <c r="V83">
        <f>IF((phi!V28),VLOOKUP(V$1,main!$A$3:$I$56,5,FALSE)-VLOOKUP($A83,main!$A$3:$I$56,6,FALSE)+main!$D$57,0)</f>
        <v>0</v>
      </c>
      <c r="W83">
        <f>IF((phi!W28),VLOOKUP(W$1,main!$A$3:$I$56,5,FALSE)-VLOOKUP($A83,main!$A$3:$I$56,6,FALSE)+main!$D$57,0)</f>
        <v>0</v>
      </c>
      <c r="X83">
        <f>IF((phi!X28),VLOOKUP(X$1,main!$A$3:$I$56,5,FALSE)-VLOOKUP($A83,main!$A$3:$I$56,6,FALSE)+main!$D$57,0)</f>
        <v>0</v>
      </c>
      <c r="Y83">
        <f>IF((phi!Y28),VLOOKUP(Y$1,main!$A$3:$I$56,5,FALSE)-VLOOKUP($A83,main!$A$3:$I$56,6,FALSE)+main!$D$57,0)</f>
        <v>0</v>
      </c>
      <c r="Z83">
        <f>IF((phi!Z28),VLOOKUP(Z$1,main!$A$3:$I$56,5,FALSE)-VLOOKUP($A83,main!$A$3:$I$56,6,FALSE)+main!$D$57,0)</f>
        <v>0</v>
      </c>
      <c r="AA83">
        <f>IF((phi!AA28),VLOOKUP(AA$1,main!$A$3:$I$56,5,FALSE)-VLOOKUP($A83,main!$A$3:$I$56,6,FALSE)+main!$D$57,0)</f>
        <v>0</v>
      </c>
      <c r="AB83">
        <f>IF((phi!AB28),VLOOKUP(AB$1,main!$A$3:$I$56,5,FALSE)-VLOOKUP($A83,main!$A$3:$I$56,6,FALSE)+main!$D$57,0)</f>
        <v>0</v>
      </c>
      <c r="AC83">
        <f>IF((phi!AC28),VLOOKUP(AC$1,main!$A$3:$I$56,5,FALSE)-VLOOKUP($A83,main!$A$3:$I$56,6,FALSE)+main!$D$57,0)</f>
        <v>0</v>
      </c>
      <c r="AD83">
        <f>IF((phi!AD28),VLOOKUP(AD$1,main!$A$3:$I$56,5,FALSE)-VLOOKUP($A83,main!$A$3:$I$56,6,FALSE)+main!$D$57,0)</f>
        <v>0</v>
      </c>
      <c r="AE83">
        <f>IF((phi!AE28),VLOOKUP(AE$1,main!$A$3:$I$56,5,FALSE)-VLOOKUP($A83,main!$A$3:$I$56,6,FALSE)+main!$D$57,0)</f>
        <v>0</v>
      </c>
      <c r="AF83">
        <f>IF((phi!AF28),VLOOKUP(AF$1,main!$A$3:$I$56,5,FALSE)-VLOOKUP($A83,main!$A$3:$I$56,6,FALSE)+main!$D$57,0)</f>
        <v>0</v>
      </c>
      <c r="AG83">
        <f>IF((phi!AG28),VLOOKUP(AG$1,main!$A$3:$I$56,5,FALSE)-VLOOKUP($A83,main!$A$3:$I$56,6,FALSE)+main!$D$57,0)</f>
        <v>0</v>
      </c>
      <c r="AH83">
        <f>IF((phi!AH28),VLOOKUP(AH$1,main!$A$3:$I$56,5,FALSE)-VLOOKUP($A83,main!$A$3:$I$56,6,FALSE)+main!$D$57,0)</f>
        <v>0</v>
      </c>
      <c r="AI83">
        <f>IF((phi!AI28),VLOOKUP(AI$1,main!$A$3:$I$56,5,FALSE)-VLOOKUP($A83,main!$A$3:$I$56,6,FALSE)+main!$D$57,0)</f>
        <v>0</v>
      </c>
      <c r="AJ83">
        <f>IF((phi!AJ28),VLOOKUP(AJ$1,main!$A$3:$I$56,5,FALSE)-VLOOKUP($A83,main!$A$3:$I$56,6,FALSE)+main!$D$57,0)</f>
        <v>0</v>
      </c>
      <c r="AK83">
        <f>IF((phi!AK28),VLOOKUP(AK$1,main!$A$3:$I$56,5,FALSE)-VLOOKUP($A83,main!$A$3:$I$56,6,FALSE)+main!$D$57,0)</f>
        <v>0</v>
      </c>
      <c r="AL83">
        <f>IF((phi!AL28),VLOOKUP(AL$1,main!$A$3:$I$56,5,FALSE)-VLOOKUP($A83,main!$A$3:$I$56,6,FALSE)+main!$D$57,0)</f>
        <v>0</v>
      </c>
      <c r="AM83">
        <f>IF((phi!AM28),VLOOKUP(AM$1,main!$A$3:$I$56,5,FALSE)-VLOOKUP($A83,main!$A$3:$I$56,6,FALSE)+main!$D$57,0)</f>
        <v>0</v>
      </c>
      <c r="AN83">
        <f>IF((phi!AN28),VLOOKUP(AN$1,main!$A$3:$I$56,5,FALSE)-VLOOKUP($A83,main!$A$3:$I$56,6,FALSE)+main!$D$57,0)</f>
        <v>0</v>
      </c>
      <c r="AO83">
        <f>IF((phi!AO28),VLOOKUP(AO$1,main!$A$3:$I$56,5,FALSE)-VLOOKUP($A83,main!$A$3:$I$56,6,FALSE)+main!$D$57,0)</f>
        <v>0</v>
      </c>
      <c r="AP83">
        <f>IF((phi!AP28),VLOOKUP(AP$1,main!$A$3:$I$56,5,FALSE)-VLOOKUP($A83,main!$A$3:$I$56,6,FALSE)+main!$D$57,0)</f>
        <v>0</v>
      </c>
      <c r="AQ83">
        <f>IF((phi!AQ28),VLOOKUP(AQ$1,main!$A$3:$I$56,5,FALSE)-VLOOKUP($A83,main!$A$3:$I$56,6,FALSE)+main!$D$57,0)</f>
        <v>0</v>
      </c>
      <c r="AR83">
        <f>IF((phi!AR28),VLOOKUP(AR$1,main!$A$3:$I$56,5,FALSE)-VLOOKUP($A83,main!$A$3:$I$56,6,FALSE)+main!$D$57,0)</f>
        <v>0</v>
      </c>
      <c r="AS83">
        <f>IF((phi!AS28),VLOOKUP(AS$1,main!$A$3:$I$56,5,FALSE)-VLOOKUP($A83,main!$A$3:$I$56,6,FALSE)+main!$D$57,0)</f>
        <v>0</v>
      </c>
      <c r="AT83">
        <f>IF((phi!AT28),VLOOKUP(AT$1,main!$A$3:$I$56,5,FALSE)-VLOOKUP($A83,main!$A$3:$I$56,6,FALSE)+main!$D$57,0)</f>
        <v>0</v>
      </c>
      <c r="AU83">
        <f>IF((phi!AU28),VLOOKUP(AU$1,main!$A$3:$I$56,5,FALSE)-VLOOKUP($A83,main!$A$3:$I$56,6,FALSE)+main!$D$57,0)</f>
        <v>0</v>
      </c>
      <c r="AV83">
        <f>IF((phi!AV28),VLOOKUP(AV$1,main!$A$3:$I$56,5,FALSE)-VLOOKUP($A83,main!$A$3:$I$56,6,FALSE)+main!$D$57,0)</f>
        <v>0</v>
      </c>
      <c r="AW83">
        <f>IF((phi!AW28),VLOOKUP(AW$1,main!$A$3:$I$56,5,FALSE)-VLOOKUP($A83,main!$A$3:$I$56,6,FALSE)+main!$D$57,0)</f>
        <v>0</v>
      </c>
      <c r="AX83">
        <f>IF((phi!AX28),VLOOKUP(AX$1,main!$A$3:$I$56,5,FALSE)-VLOOKUP($A83,main!$A$3:$I$56,6,FALSE)+main!$D$57,0)</f>
        <v>0</v>
      </c>
      <c r="AY83">
        <f>IF((phi!AY28),VLOOKUP(AY$1,main!$A$3:$I$56,5,FALSE)-VLOOKUP($A83,main!$A$3:$I$56,6,FALSE)+main!$D$57,0)</f>
        <v>0</v>
      </c>
      <c r="AZ83">
        <f>IF((phi!AZ28),VLOOKUP(AZ$1,main!$A$3:$I$56,5,FALSE)-VLOOKUP($A83,main!$A$3:$I$56,6,FALSE)+main!$D$57,0)</f>
        <v>0</v>
      </c>
      <c r="BA83">
        <f>IF((phi!BA28),VLOOKUP(BA$1,main!$A$3:$I$56,5,FALSE)-VLOOKUP($A83,main!$A$3:$I$56,6,FALSE)+main!$D$57,0)</f>
        <v>0</v>
      </c>
      <c r="BB83">
        <f>IF((phi!BB28),VLOOKUP(BB$1,main!$A$3:$I$56,5,FALSE)-VLOOKUP($A83,main!$A$3:$I$56,6,FALSE)+main!$D$57,0)</f>
        <v>0</v>
      </c>
      <c r="BC83">
        <f>IF((phi!BC28),VLOOKUP(BC$1,main!$A$3:$I$56,5,FALSE)-VLOOKUP($A83,main!$A$3:$I$56,6,FALSE)+main!$D$57,0)</f>
        <v>0</v>
      </c>
      <c r="BD83">
        <f>IF((phi!BD28),VLOOKUP(BD$1,main!$A$3:$I$56,5,FALSE)-VLOOKUP($A83,main!$A$3:$I$56,6,FALSE)+main!$D$57,0)</f>
        <v>0</v>
      </c>
    </row>
    <row r="84" spans="1:56" x14ac:dyDescent="0.25">
      <c r="A84">
        <f t="shared" si="3"/>
        <v>27</v>
      </c>
      <c r="B84">
        <v>0</v>
      </c>
      <c r="C84">
        <f>IF((phi!C29),VLOOKUP(C$1,main!$A$3:$I$56,5,FALSE)-VLOOKUP($A84,main!$A$3:$I$56,6,FALSE)+main!$D$57,0)</f>
        <v>190</v>
      </c>
      <c r="D84">
        <f>IF((phi!D29),VLOOKUP(D$1,main!$A$3:$I$56,5,FALSE)-VLOOKUP($A84,main!$A$3:$I$56,6,FALSE)+main!$D$57,0)</f>
        <v>370</v>
      </c>
      <c r="E84">
        <f>IF((phi!E29),VLOOKUP(E$1,main!$A$3:$I$56,5,FALSE)-VLOOKUP($A84,main!$A$3:$I$56,6,FALSE)+main!$D$57,0)</f>
        <v>460</v>
      </c>
      <c r="F84">
        <f>IF((phi!F29),VLOOKUP(F$1,main!$A$3:$I$56,5,FALSE)-VLOOKUP($A84,main!$A$3:$I$56,6,FALSE)+main!$D$57,0)</f>
        <v>550</v>
      </c>
      <c r="G84">
        <f>IF((phi!G29),VLOOKUP(G$1,main!$A$3:$I$56,5,FALSE)-VLOOKUP($A84,main!$A$3:$I$56,6,FALSE)+main!$D$57,0)</f>
        <v>610</v>
      </c>
      <c r="H84">
        <f>IF((phi!H29),VLOOKUP(H$1,main!$A$3:$I$56,5,FALSE)-VLOOKUP($A84,main!$A$3:$I$56,6,FALSE)+main!$D$57,0)</f>
        <v>670</v>
      </c>
      <c r="I84">
        <f>IF((phi!I29),VLOOKUP(I$1,main!$A$3:$I$56,5,FALSE)-VLOOKUP($A84,main!$A$3:$I$56,6,FALSE)+main!$D$57,0)</f>
        <v>730</v>
      </c>
      <c r="J84">
        <f>IF((phi!J29),VLOOKUP(J$1,main!$A$3:$I$56,5,FALSE)-VLOOKUP($A84,main!$A$3:$I$56,6,FALSE)+main!$D$57,0)</f>
        <v>820</v>
      </c>
      <c r="K84">
        <f>IF((phi!K29),VLOOKUP(K$1,main!$A$3:$I$56,5,FALSE)-VLOOKUP($A84,main!$A$3:$I$56,6,FALSE)+main!$D$57,0)</f>
        <v>185</v>
      </c>
      <c r="L84">
        <f>IF((phi!L29),VLOOKUP(L$1,main!$A$3:$I$56,5,FALSE)-VLOOKUP($A84,main!$A$3:$I$56,6,FALSE)+main!$D$57,0)</f>
        <v>305</v>
      </c>
      <c r="M84">
        <f>IF((phi!M29),VLOOKUP(M$1,main!$A$3:$I$56,5,FALSE)-VLOOKUP($A84,main!$A$3:$I$56,6,FALSE)+main!$D$57,0)</f>
        <v>425</v>
      </c>
      <c r="N84">
        <f>IF((phi!N29),VLOOKUP(N$1,main!$A$3:$I$56,5,FALSE)-VLOOKUP($A84,main!$A$3:$I$56,6,FALSE)+main!$D$57,0)</f>
        <v>785</v>
      </c>
      <c r="O84">
        <f>IF((phi!O29),VLOOKUP(O$1,main!$A$3:$I$56,5,FALSE)-VLOOKUP($A84,main!$A$3:$I$56,6,FALSE)+main!$D$57,0)</f>
        <v>845</v>
      </c>
      <c r="P84">
        <f>IF((phi!P29),VLOOKUP(P$1,main!$A$3:$I$56,5,FALSE)-VLOOKUP($A84,main!$A$3:$I$56,6,FALSE)+main!$D$57,0)</f>
        <v>190</v>
      </c>
      <c r="Q84">
        <f>IF((phi!Q29),VLOOKUP(Q$1,main!$A$3:$I$56,5,FALSE)-VLOOKUP($A84,main!$A$3:$I$56,6,FALSE)+main!$D$57,0)</f>
        <v>260</v>
      </c>
      <c r="R84">
        <f>IF((phi!R29),VLOOKUP(R$1,main!$A$3:$I$56,5,FALSE)-VLOOKUP($A84,main!$A$3:$I$56,6,FALSE)+main!$D$57,0)</f>
        <v>420</v>
      </c>
      <c r="S84">
        <f>IF((phi!S29),VLOOKUP(S$1,main!$A$3:$I$56,5,FALSE)-VLOOKUP($A84,main!$A$3:$I$56,6,FALSE)+main!$D$57,0)</f>
        <v>600</v>
      </c>
      <c r="T84">
        <f>IF((phi!T29),VLOOKUP(T$1,main!$A$3:$I$56,5,FALSE)-VLOOKUP($A84,main!$A$3:$I$56,6,FALSE)+main!$D$57,0)</f>
        <v>750</v>
      </c>
      <c r="U84">
        <f>IF((phi!U29),VLOOKUP(U$1,main!$A$3:$I$56,5,FALSE)-VLOOKUP($A84,main!$A$3:$I$56,6,FALSE)+main!$D$57,0)</f>
        <v>170</v>
      </c>
      <c r="V84">
        <f>IF((phi!V29),VLOOKUP(V$1,main!$A$3:$I$56,5,FALSE)-VLOOKUP($A84,main!$A$3:$I$56,6,FALSE)+main!$D$57,0)</f>
        <v>260</v>
      </c>
      <c r="W84">
        <f>IF((phi!W29),VLOOKUP(W$1,main!$A$3:$I$56,5,FALSE)-VLOOKUP($A84,main!$A$3:$I$56,6,FALSE)+main!$D$57,0)</f>
        <v>350</v>
      </c>
      <c r="X84">
        <f>IF((phi!X29),VLOOKUP(X$1,main!$A$3:$I$56,5,FALSE)-VLOOKUP($A84,main!$A$3:$I$56,6,FALSE)+main!$D$57,0)</f>
        <v>440</v>
      </c>
      <c r="Y84">
        <f>IF((phi!Y29),VLOOKUP(Y$1,main!$A$3:$I$56,5,FALSE)-VLOOKUP($A84,main!$A$3:$I$56,6,FALSE)+main!$D$57,0)</f>
        <v>530</v>
      </c>
      <c r="Z84">
        <f>IF((phi!Z29),VLOOKUP(Z$1,main!$A$3:$I$56,5,FALSE)-VLOOKUP($A84,main!$A$3:$I$56,6,FALSE)+main!$D$57,0)</f>
        <v>620</v>
      </c>
      <c r="AA84">
        <f>IF((phi!AA29),VLOOKUP(AA$1,main!$A$3:$I$56,5,FALSE)-VLOOKUP($A84,main!$A$3:$I$56,6,FALSE)+main!$D$57,0)</f>
        <v>710</v>
      </c>
      <c r="AB84">
        <f>IF((phi!AB29),VLOOKUP(AB$1,main!$A$3:$I$56,5,FALSE)-VLOOKUP($A84,main!$A$3:$I$56,6,FALSE)+main!$D$57,0)</f>
        <v>770</v>
      </c>
      <c r="AC84">
        <f>IF((phi!AC29),VLOOKUP(AC$1,main!$A$3:$I$56,5,FALSE)-VLOOKUP($A84,main!$A$3:$I$56,6,FALSE)+main!$D$57,0)</f>
        <v>0</v>
      </c>
      <c r="AD84">
        <f>IF((phi!AD29),VLOOKUP(AD$1,main!$A$3:$I$56,5,FALSE)-VLOOKUP($A84,main!$A$3:$I$56,6,FALSE)+main!$D$57,0)</f>
        <v>225</v>
      </c>
      <c r="AE84">
        <f>IF((phi!AE29),VLOOKUP(AE$1,main!$A$3:$I$56,5,FALSE)-VLOOKUP($A84,main!$A$3:$I$56,6,FALSE)+main!$D$57,0)</f>
        <v>430</v>
      </c>
      <c r="AF84">
        <f>IF((phi!AF29),VLOOKUP(AF$1,main!$A$3:$I$56,5,FALSE)-VLOOKUP($A84,main!$A$3:$I$56,6,FALSE)+main!$D$57,0)</f>
        <v>580</v>
      </c>
      <c r="AG84">
        <f>IF((phi!AG29),VLOOKUP(AG$1,main!$A$3:$I$56,5,FALSE)-VLOOKUP($A84,main!$A$3:$I$56,6,FALSE)+main!$D$57,0)</f>
        <v>200</v>
      </c>
      <c r="AH84">
        <f>IF((phi!AH29),VLOOKUP(AH$1,main!$A$3:$I$56,5,FALSE)-VLOOKUP($A84,main!$A$3:$I$56,6,FALSE)+main!$D$57,0)</f>
        <v>370</v>
      </c>
      <c r="AI84">
        <f>IF((phi!AI29),VLOOKUP(AI$1,main!$A$3:$I$56,5,FALSE)-VLOOKUP($A84,main!$A$3:$I$56,6,FALSE)+main!$D$57,0)</f>
        <v>490</v>
      </c>
      <c r="AJ84">
        <f>IF((phi!AJ29),VLOOKUP(AJ$1,main!$A$3:$I$56,5,FALSE)-VLOOKUP($A84,main!$A$3:$I$56,6,FALSE)+main!$D$57,0)</f>
        <v>550</v>
      </c>
      <c r="AK84">
        <f>IF((phi!AK29),VLOOKUP(AK$1,main!$A$3:$I$56,5,FALSE)-VLOOKUP($A84,main!$A$3:$I$56,6,FALSE)+main!$D$57,0)</f>
        <v>670</v>
      </c>
      <c r="AL84">
        <f>IF((phi!AL29),VLOOKUP(AL$1,main!$A$3:$I$56,5,FALSE)-VLOOKUP($A84,main!$A$3:$I$56,6,FALSE)+main!$D$57,0)</f>
        <v>170</v>
      </c>
      <c r="AM84">
        <f>IF((phi!AM29),VLOOKUP(AM$1,main!$A$3:$I$56,5,FALSE)-VLOOKUP($A84,main!$A$3:$I$56,6,FALSE)+main!$D$57,0)</f>
        <v>275</v>
      </c>
      <c r="AN84">
        <f>IF((phi!AN29),VLOOKUP(AN$1,main!$A$3:$I$56,5,FALSE)-VLOOKUP($A84,main!$A$3:$I$56,6,FALSE)+main!$D$57,0)</f>
        <v>530</v>
      </c>
      <c r="AO84">
        <f>IF((phi!AO29),VLOOKUP(AO$1,main!$A$3:$I$56,5,FALSE)-VLOOKUP($A84,main!$A$3:$I$56,6,FALSE)+main!$D$57,0)</f>
        <v>580</v>
      </c>
      <c r="AP84">
        <f>IF((phi!AP29),VLOOKUP(AP$1,main!$A$3:$I$56,5,FALSE)-VLOOKUP($A84,main!$A$3:$I$56,6,FALSE)+main!$D$57,0)</f>
        <v>0</v>
      </c>
      <c r="AQ84">
        <f>IF((phi!AQ29),VLOOKUP(AQ$1,main!$A$3:$I$56,5,FALSE)-VLOOKUP($A84,main!$A$3:$I$56,6,FALSE)+main!$D$57,0)</f>
        <v>180</v>
      </c>
      <c r="AR84">
        <f>IF((phi!AR29),VLOOKUP(AR$1,main!$A$3:$I$56,5,FALSE)-VLOOKUP($A84,main!$A$3:$I$56,6,FALSE)+main!$D$57,0)</f>
        <v>230</v>
      </c>
      <c r="AS84">
        <f>IF((phi!AS29),VLOOKUP(AS$1,main!$A$3:$I$56,5,FALSE)-VLOOKUP($A84,main!$A$3:$I$56,6,FALSE)+main!$D$57,0)</f>
        <v>395</v>
      </c>
      <c r="AT84">
        <f>IF((phi!AT29),VLOOKUP(AT$1,main!$A$3:$I$56,5,FALSE)-VLOOKUP($A84,main!$A$3:$I$56,6,FALSE)+main!$D$57,0)</f>
        <v>480</v>
      </c>
      <c r="AU84">
        <f>IF((phi!AU29),VLOOKUP(AU$1,main!$A$3:$I$56,5,FALSE)-VLOOKUP($A84,main!$A$3:$I$56,6,FALSE)+main!$D$57,0)</f>
        <v>350</v>
      </c>
      <c r="AV84">
        <f>IF((phi!AV29),VLOOKUP(AV$1,main!$A$3:$I$56,5,FALSE)-VLOOKUP($A84,main!$A$3:$I$56,6,FALSE)+main!$D$57,0)</f>
        <v>380</v>
      </c>
      <c r="AW84">
        <f>IF((phi!AW29),VLOOKUP(AW$1,main!$A$3:$I$56,5,FALSE)-VLOOKUP($A84,main!$A$3:$I$56,6,FALSE)+main!$D$57,0)</f>
        <v>430</v>
      </c>
      <c r="AX84">
        <f>IF((phi!AX29),VLOOKUP(AX$1,main!$A$3:$I$56,5,FALSE)-VLOOKUP($A84,main!$A$3:$I$56,6,FALSE)+main!$D$57,0)</f>
        <v>630</v>
      </c>
      <c r="AY84">
        <f>IF((phi!AY29),VLOOKUP(AY$1,main!$A$3:$I$56,5,FALSE)-VLOOKUP($A84,main!$A$3:$I$56,6,FALSE)+main!$D$57,0)</f>
        <v>830</v>
      </c>
      <c r="AZ84">
        <f>IF((phi!AZ29),VLOOKUP(AZ$1,main!$A$3:$I$56,5,FALSE)-VLOOKUP($A84,main!$A$3:$I$56,6,FALSE)+main!$D$57,0)</f>
        <v>230</v>
      </c>
      <c r="BA84">
        <f>IF((phi!BA29),VLOOKUP(BA$1,main!$A$3:$I$56,5,FALSE)-VLOOKUP($A84,main!$A$3:$I$56,6,FALSE)+main!$D$57,0)</f>
        <v>395</v>
      </c>
      <c r="BB84">
        <f>IF((phi!BB29),VLOOKUP(BB$1,main!$A$3:$I$56,5,FALSE)-VLOOKUP($A84,main!$A$3:$I$56,6,FALSE)+main!$D$57,0)</f>
        <v>410</v>
      </c>
      <c r="BC84">
        <f>IF((phi!BC29),VLOOKUP(BC$1,main!$A$3:$I$56,5,FALSE)-VLOOKUP($A84,main!$A$3:$I$56,6,FALSE)+main!$D$57,0)</f>
        <v>595</v>
      </c>
      <c r="BD84">
        <f>IF((phi!BD29),VLOOKUP(BD$1,main!$A$3:$I$56,5,FALSE)-VLOOKUP($A84,main!$A$3:$I$56,6,FALSE)+main!$D$57,0)</f>
        <v>605</v>
      </c>
    </row>
    <row r="85" spans="1:56" x14ac:dyDescent="0.25">
      <c r="A85">
        <f t="shared" si="3"/>
        <v>28</v>
      </c>
      <c r="B85">
        <v>0</v>
      </c>
      <c r="C85">
        <f>IF((phi!C30),VLOOKUP(C$1,main!$A$3:$I$56,5,FALSE)-VLOOKUP($A85,main!$A$3:$I$56,6,FALSE)+main!$D$57,0)</f>
        <v>0</v>
      </c>
      <c r="D85">
        <f>IF((phi!D30),VLOOKUP(D$1,main!$A$3:$I$56,5,FALSE)-VLOOKUP($A85,main!$A$3:$I$56,6,FALSE)+main!$D$57,0)</f>
        <v>0</v>
      </c>
      <c r="E85">
        <f>IF((phi!E30),VLOOKUP(E$1,main!$A$3:$I$56,5,FALSE)-VLOOKUP($A85,main!$A$3:$I$56,6,FALSE)+main!$D$57,0)</f>
        <v>145</v>
      </c>
      <c r="F85">
        <f>IF((phi!F30),VLOOKUP(F$1,main!$A$3:$I$56,5,FALSE)-VLOOKUP($A85,main!$A$3:$I$56,6,FALSE)+main!$D$57,0)</f>
        <v>235</v>
      </c>
      <c r="G85">
        <f>IF((phi!G30),VLOOKUP(G$1,main!$A$3:$I$56,5,FALSE)-VLOOKUP($A85,main!$A$3:$I$56,6,FALSE)+main!$D$57,0)</f>
        <v>295</v>
      </c>
      <c r="H85">
        <f>IF((phi!H30),VLOOKUP(H$1,main!$A$3:$I$56,5,FALSE)-VLOOKUP($A85,main!$A$3:$I$56,6,FALSE)+main!$D$57,0)</f>
        <v>355</v>
      </c>
      <c r="I85">
        <f>IF((phi!I30),VLOOKUP(I$1,main!$A$3:$I$56,5,FALSE)-VLOOKUP($A85,main!$A$3:$I$56,6,FALSE)+main!$D$57,0)</f>
        <v>415</v>
      </c>
      <c r="J85">
        <f>IF((phi!J30),VLOOKUP(J$1,main!$A$3:$I$56,5,FALSE)-VLOOKUP($A85,main!$A$3:$I$56,6,FALSE)+main!$D$57,0)</f>
        <v>505</v>
      </c>
      <c r="K85">
        <f>IF((phi!K30),VLOOKUP(K$1,main!$A$3:$I$56,5,FALSE)-VLOOKUP($A85,main!$A$3:$I$56,6,FALSE)+main!$D$57,0)</f>
        <v>0</v>
      </c>
      <c r="L85">
        <f>IF((phi!L30),VLOOKUP(L$1,main!$A$3:$I$56,5,FALSE)-VLOOKUP($A85,main!$A$3:$I$56,6,FALSE)+main!$D$57,0)</f>
        <v>0</v>
      </c>
      <c r="M85">
        <f>IF((phi!M30),VLOOKUP(M$1,main!$A$3:$I$56,5,FALSE)-VLOOKUP($A85,main!$A$3:$I$56,6,FALSE)+main!$D$57,0)</f>
        <v>0</v>
      </c>
      <c r="N85">
        <f>IF((phi!N30),VLOOKUP(N$1,main!$A$3:$I$56,5,FALSE)-VLOOKUP($A85,main!$A$3:$I$56,6,FALSE)+main!$D$57,0)</f>
        <v>470</v>
      </c>
      <c r="O85">
        <f>IF((phi!O30),VLOOKUP(O$1,main!$A$3:$I$56,5,FALSE)-VLOOKUP($A85,main!$A$3:$I$56,6,FALSE)+main!$D$57,0)</f>
        <v>530</v>
      </c>
      <c r="P85">
        <f>IF((phi!P30),VLOOKUP(P$1,main!$A$3:$I$56,5,FALSE)-VLOOKUP($A85,main!$A$3:$I$56,6,FALSE)+main!$D$57,0)</f>
        <v>0</v>
      </c>
      <c r="Q85">
        <f>IF((phi!Q30),VLOOKUP(Q$1,main!$A$3:$I$56,5,FALSE)-VLOOKUP($A85,main!$A$3:$I$56,6,FALSE)+main!$D$57,0)</f>
        <v>0</v>
      </c>
      <c r="R85">
        <f>IF((phi!R30),VLOOKUP(R$1,main!$A$3:$I$56,5,FALSE)-VLOOKUP($A85,main!$A$3:$I$56,6,FALSE)+main!$D$57,0)</f>
        <v>0</v>
      </c>
      <c r="S85">
        <f>IF((phi!S30),VLOOKUP(S$1,main!$A$3:$I$56,5,FALSE)-VLOOKUP($A85,main!$A$3:$I$56,6,FALSE)+main!$D$57,0)</f>
        <v>285</v>
      </c>
      <c r="T85">
        <f>IF((phi!T30),VLOOKUP(T$1,main!$A$3:$I$56,5,FALSE)-VLOOKUP($A85,main!$A$3:$I$56,6,FALSE)+main!$D$57,0)</f>
        <v>435</v>
      </c>
      <c r="U85">
        <f>IF((phi!U30),VLOOKUP(U$1,main!$A$3:$I$56,5,FALSE)-VLOOKUP($A85,main!$A$3:$I$56,6,FALSE)+main!$D$57,0)</f>
        <v>0</v>
      </c>
      <c r="V85">
        <f>IF((phi!V30),VLOOKUP(V$1,main!$A$3:$I$56,5,FALSE)-VLOOKUP($A85,main!$A$3:$I$56,6,FALSE)+main!$D$57,0)</f>
        <v>0</v>
      </c>
      <c r="W85">
        <f>IF((phi!W30),VLOOKUP(W$1,main!$A$3:$I$56,5,FALSE)-VLOOKUP($A85,main!$A$3:$I$56,6,FALSE)+main!$D$57,0)</f>
        <v>0</v>
      </c>
      <c r="X85">
        <f>IF((phi!X30),VLOOKUP(X$1,main!$A$3:$I$56,5,FALSE)-VLOOKUP($A85,main!$A$3:$I$56,6,FALSE)+main!$D$57,0)</f>
        <v>0</v>
      </c>
      <c r="Y85">
        <f>IF((phi!Y30),VLOOKUP(Y$1,main!$A$3:$I$56,5,FALSE)-VLOOKUP($A85,main!$A$3:$I$56,6,FALSE)+main!$D$57,0)</f>
        <v>215</v>
      </c>
      <c r="Z85">
        <f>IF((phi!Z30),VLOOKUP(Z$1,main!$A$3:$I$56,5,FALSE)-VLOOKUP($A85,main!$A$3:$I$56,6,FALSE)+main!$D$57,0)</f>
        <v>305</v>
      </c>
      <c r="AA85">
        <f>IF((phi!AA30),VLOOKUP(AA$1,main!$A$3:$I$56,5,FALSE)-VLOOKUP($A85,main!$A$3:$I$56,6,FALSE)+main!$D$57,0)</f>
        <v>395</v>
      </c>
      <c r="AB85">
        <f>IF((phi!AB30),VLOOKUP(AB$1,main!$A$3:$I$56,5,FALSE)-VLOOKUP($A85,main!$A$3:$I$56,6,FALSE)+main!$D$57,0)</f>
        <v>455</v>
      </c>
      <c r="AC85">
        <f>IF((phi!AC30),VLOOKUP(AC$1,main!$A$3:$I$56,5,FALSE)-VLOOKUP($A85,main!$A$3:$I$56,6,FALSE)+main!$D$57,0)</f>
        <v>0</v>
      </c>
      <c r="AD85">
        <f>IF((phi!AD30),VLOOKUP(AD$1,main!$A$3:$I$56,5,FALSE)-VLOOKUP($A85,main!$A$3:$I$56,6,FALSE)+main!$D$57,0)</f>
        <v>0</v>
      </c>
      <c r="AE85">
        <f>IF((phi!AE30),VLOOKUP(AE$1,main!$A$3:$I$56,5,FALSE)-VLOOKUP($A85,main!$A$3:$I$56,6,FALSE)+main!$D$57,0)</f>
        <v>0</v>
      </c>
      <c r="AF85">
        <f>IF((phi!AF30),VLOOKUP(AF$1,main!$A$3:$I$56,5,FALSE)-VLOOKUP($A85,main!$A$3:$I$56,6,FALSE)+main!$D$57,0)</f>
        <v>265</v>
      </c>
      <c r="AG85">
        <f>IF((phi!AG30),VLOOKUP(AG$1,main!$A$3:$I$56,5,FALSE)-VLOOKUP($A85,main!$A$3:$I$56,6,FALSE)+main!$D$57,0)</f>
        <v>0</v>
      </c>
      <c r="AH85">
        <f>IF((phi!AH30),VLOOKUP(AH$1,main!$A$3:$I$56,5,FALSE)-VLOOKUP($A85,main!$A$3:$I$56,6,FALSE)+main!$D$57,0)</f>
        <v>0</v>
      </c>
      <c r="AI85">
        <f>IF((phi!AI30),VLOOKUP(AI$1,main!$A$3:$I$56,5,FALSE)-VLOOKUP($A85,main!$A$3:$I$56,6,FALSE)+main!$D$57,0)</f>
        <v>175</v>
      </c>
      <c r="AJ85">
        <f>IF((phi!AJ30),VLOOKUP(AJ$1,main!$A$3:$I$56,5,FALSE)-VLOOKUP($A85,main!$A$3:$I$56,6,FALSE)+main!$D$57,0)</f>
        <v>235</v>
      </c>
      <c r="AK85">
        <f>IF((phi!AK30),VLOOKUP(AK$1,main!$A$3:$I$56,5,FALSE)-VLOOKUP($A85,main!$A$3:$I$56,6,FALSE)+main!$D$57,0)</f>
        <v>355</v>
      </c>
      <c r="AL85">
        <f>IF((phi!AL30),VLOOKUP(AL$1,main!$A$3:$I$56,5,FALSE)-VLOOKUP($A85,main!$A$3:$I$56,6,FALSE)+main!$D$57,0)</f>
        <v>0</v>
      </c>
      <c r="AM85">
        <f>IF((phi!AM30),VLOOKUP(AM$1,main!$A$3:$I$56,5,FALSE)-VLOOKUP($A85,main!$A$3:$I$56,6,FALSE)+main!$D$57,0)</f>
        <v>0</v>
      </c>
      <c r="AN85">
        <f>IF((phi!AN30),VLOOKUP(AN$1,main!$A$3:$I$56,5,FALSE)-VLOOKUP($A85,main!$A$3:$I$56,6,FALSE)+main!$D$57,0)</f>
        <v>215</v>
      </c>
      <c r="AO85">
        <f>IF((phi!AO30),VLOOKUP(AO$1,main!$A$3:$I$56,5,FALSE)-VLOOKUP($A85,main!$A$3:$I$56,6,FALSE)+main!$D$57,0)</f>
        <v>265</v>
      </c>
      <c r="AP85">
        <f>IF((phi!AP30),VLOOKUP(AP$1,main!$A$3:$I$56,5,FALSE)-VLOOKUP($A85,main!$A$3:$I$56,6,FALSE)+main!$D$57,0)</f>
        <v>0</v>
      </c>
      <c r="AQ85">
        <f>IF((phi!AQ30),VLOOKUP(AQ$1,main!$A$3:$I$56,5,FALSE)-VLOOKUP($A85,main!$A$3:$I$56,6,FALSE)+main!$D$57,0)</f>
        <v>0</v>
      </c>
      <c r="AR85">
        <f>IF((phi!AR30),VLOOKUP(AR$1,main!$A$3:$I$56,5,FALSE)-VLOOKUP($A85,main!$A$3:$I$56,6,FALSE)+main!$D$57,0)</f>
        <v>0</v>
      </c>
      <c r="AS85">
        <f>IF((phi!AS30),VLOOKUP(AS$1,main!$A$3:$I$56,5,FALSE)-VLOOKUP($A85,main!$A$3:$I$56,6,FALSE)+main!$D$57,0)</f>
        <v>0</v>
      </c>
      <c r="AT85">
        <f>IF((phi!AT30),VLOOKUP(AT$1,main!$A$3:$I$56,5,FALSE)-VLOOKUP($A85,main!$A$3:$I$56,6,FALSE)+main!$D$57,0)</f>
        <v>165</v>
      </c>
      <c r="AU85">
        <f>IF((phi!AU30),VLOOKUP(AU$1,main!$A$3:$I$56,5,FALSE)-VLOOKUP($A85,main!$A$3:$I$56,6,FALSE)+main!$D$57,0)</f>
        <v>0</v>
      </c>
      <c r="AV85">
        <f>IF((phi!AV30),VLOOKUP(AV$1,main!$A$3:$I$56,5,FALSE)-VLOOKUP($A85,main!$A$3:$I$56,6,FALSE)+main!$D$57,0)</f>
        <v>0</v>
      </c>
      <c r="AW85">
        <f>IF((phi!AW30),VLOOKUP(AW$1,main!$A$3:$I$56,5,FALSE)-VLOOKUP($A85,main!$A$3:$I$56,6,FALSE)+main!$D$57,0)</f>
        <v>0</v>
      </c>
      <c r="AX85">
        <f>IF((phi!AX30),VLOOKUP(AX$1,main!$A$3:$I$56,5,FALSE)-VLOOKUP($A85,main!$A$3:$I$56,6,FALSE)+main!$D$57,0)</f>
        <v>315</v>
      </c>
      <c r="AY85">
        <f>IF((phi!AY30),VLOOKUP(AY$1,main!$A$3:$I$56,5,FALSE)-VLOOKUP($A85,main!$A$3:$I$56,6,FALSE)+main!$D$57,0)</f>
        <v>515</v>
      </c>
      <c r="AZ85">
        <f>IF((phi!AZ30),VLOOKUP(AZ$1,main!$A$3:$I$56,5,FALSE)-VLOOKUP($A85,main!$A$3:$I$56,6,FALSE)+main!$D$57,0)</f>
        <v>0</v>
      </c>
      <c r="BA85">
        <f>IF((phi!BA30),VLOOKUP(BA$1,main!$A$3:$I$56,5,FALSE)-VLOOKUP($A85,main!$A$3:$I$56,6,FALSE)+main!$D$57,0)</f>
        <v>0</v>
      </c>
      <c r="BB85">
        <f>IF((phi!BB30),VLOOKUP(BB$1,main!$A$3:$I$56,5,FALSE)-VLOOKUP($A85,main!$A$3:$I$56,6,FALSE)+main!$D$57,0)</f>
        <v>0</v>
      </c>
      <c r="BC85">
        <f>IF((phi!BC30),VLOOKUP(BC$1,main!$A$3:$I$56,5,FALSE)-VLOOKUP($A85,main!$A$3:$I$56,6,FALSE)+main!$D$57,0)</f>
        <v>280</v>
      </c>
      <c r="BD85">
        <f>IF((phi!BD30),VLOOKUP(BD$1,main!$A$3:$I$56,5,FALSE)-VLOOKUP($A85,main!$A$3:$I$56,6,FALSE)+main!$D$57,0)</f>
        <v>290</v>
      </c>
    </row>
    <row r="86" spans="1:56" x14ac:dyDescent="0.25">
      <c r="A86">
        <f t="shared" si="3"/>
        <v>29</v>
      </c>
      <c r="B86">
        <v>0</v>
      </c>
      <c r="C86">
        <f>IF((phi!C31),VLOOKUP(C$1,main!$A$3:$I$56,5,FALSE)-VLOOKUP($A86,main!$A$3:$I$56,6,FALSE)+main!$D$57,0)</f>
        <v>0</v>
      </c>
      <c r="D86">
        <f>IF((phi!D31),VLOOKUP(D$1,main!$A$3:$I$56,5,FALSE)-VLOOKUP($A86,main!$A$3:$I$56,6,FALSE)+main!$D$57,0)</f>
        <v>0</v>
      </c>
      <c r="E86">
        <f>IF((phi!E31),VLOOKUP(E$1,main!$A$3:$I$56,5,FALSE)-VLOOKUP($A86,main!$A$3:$I$56,6,FALSE)+main!$D$57,0)</f>
        <v>0</v>
      </c>
      <c r="F86">
        <f>IF((phi!F31),VLOOKUP(F$1,main!$A$3:$I$56,5,FALSE)-VLOOKUP($A86,main!$A$3:$I$56,6,FALSE)+main!$D$57,0)</f>
        <v>0</v>
      </c>
      <c r="G86">
        <f>IF((phi!G31),VLOOKUP(G$1,main!$A$3:$I$56,5,FALSE)-VLOOKUP($A86,main!$A$3:$I$56,6,FALSE)+main!$D$57,0)</f>
        <v>0</v>
      </c>
      <c r="H86">
        <f>IF((phi!H31),VLOOKUP(H$1,main!$A$3:$I$56,5,FALSE)-VLOOKUP($A86,main!$A$3:$I$56,6,FALSE)+main!$D$57,0)</f>
        <v>170</v>
      </c>
      <c r="I86">
        <f>IF((phi!I31),VLOOKUP(I$1,main!$A$3:$I$56,5,FALSE)-VLOOKUP($A86,main!$A$3:$I$56,6,FALSE)+main!$D$57,0)</f>
        <v>230</v>
      </c>
      <c r="J86">
        <f>IF((phi!J31),VLOOKUP(J$1,main!$A$3:$I$56,5,FALSE)-VLOOKUP($A86,main!$A$3:$I$56,6,FALSE)+main!$D$57,0)</f>
        <v>320</v>
      </c>
      <c r="K86">
        <f>IF((phi!K31),VLOOKUP(K$1,main!$A$3:$I$56,5,FALSE)-VLOOKUP($A86,main!$A$3:$I$56,6,FALSE)+main!$D$57,0)</f>
        <v>0</v>
      </c>
      <c r="L86">
        <f>IF((phi!L31),VLOOKUP(L$1,main!$A$3:$I$56,5,FALSE)-VLOOKUP($A86,main!$A$3:$I$56,6,FALSE)+main!$D$57,0)</f>
        <v>0</v>
      </c>
      <c r="M86">
        <f>IF((phi!M31),VLOOKUP(M$1,main!$A$3:$I$56,5,FALSE)-VLOOKUP($A86,main!$A$3:$I$56,6,FALSE)+main!$D$57,0)</f>
        <v>0</v>
      </c>
      <c r="N86">
        <f>IF((phi!N31),VLOOKUP(N$1,main!$A$3:$I$56,5,FALSE)-VLOOKUP($A86,main!$A$3:$I$56,6,FALSE)+main!$D$57,0)</f>
        <v>285</v>
      </c>
      <c r="O86">
        <f>IF((phi!O31),VLOOKUP(O$1,main!$A$3:$I$56,5,FALSE)-VLOOKUP($A86,main!$A$3:$I$56,6,FALSE)+main!$D$57,0)</f>
        <v>345</v>
      </c>
      <c r="P86">
        <f>IF((phi!P31),VLOOKUP(P$1,main!$A$3:$I$56,5,FALSE)-VLOOKUP($A86,main!$A$3:$I$56,6,FALSE)+main!$D$57,0)</f>
        <v>0</v>
      </c>
      <c r="Q86">
        <f>IF((phi!Q31),VLOOKUP(Q$1,main!$A$3:$I$56,5,FALSE)-VLOOKUP($A86,main!$A$3:$I$56,6,FALSE)+main!$D$57,0)</f>
        <v>0</v>
      </c>
      <c r="R86">
        <f>IF((phi!R31),VLOOKUP(R$1,main!$A$3:$I$56,5,FALSE)-VLOOKUP($A86,main!$A$3:$I$56,6,FALSE)+main!$D$57,0)</f>
        <v>0</v>
      </c>
      <c r="S86">
        <f>IF((phi!S31),VLOOKUP(S$1,main!$A$3:$I$56,5,FALSE)-VLOOKUP($A86,main!$A$3:$I$56,6,FALSE)+main!$D$57,0)</f>
        <v>0</v>
      </c>
      <c r="T86">
        <f>IF((phi!T31),VLOOKUP(T$1,main!$A$3:$I$56,5,FALSE)-VLOOKUP($A86,main!$A$3:$I$56,6,FALSE)+main!$D$57,0)</f>
        <v>250</v>
      </c>
      <c r="U86">
        <f>IF((phi!U31),VLOOKUP(U$1,main!$A$3:$I$56,5,FALSE)-VLOOKUP($A86,main!$A$3:$I$56,6,FALSE)+main!$D$57,0)</f>
        <v>0</v>
      </c>
      <c r="V86">
        <f>IF((phi!V31),VLOOKUP(V$1,main!$A$3:$I$56,5,FALSE)-VLOOKUP($A86,main!$A$3:$I$56,6,FALSE)+main!$D$57,0)</f>
        <v>0</v>
      </c>
      <c r="W86">
        <f>IF((phi!W31),VLOOKUP(W$1,main!$A$3:$I$56,5,FALSE)-VLOOKUP($A86,main!$A$3:$I$56,6,FALSE)+main!$D$57,0)</f>
        <v>0</v>
      </c>
      <c r="X86">
        <f>IF((phi!X31),VLOOKUP(X$1,main!$A$3:$I$56,5,FALSE)-VLOOKUP($A86,main!$A$3:$I$56,6,FALSE)+main!$D$57,0)</f>
        <v>0</v>
      </c>
      <c r="Y86">
        <f>IF((phi!Y31),VLOOKUP(Y$1,main!$A$3:$I$56,5,FALSE)-VLOOKUP($A86,main!$A$3:$I$56,6,FALSE)+main!$D$57,0)</f>
        <v>0</v>
      </c>
      <c r="Z86">
        <f>IF((phi!Z31),VLOOKUP(Z$1,main!$A$3:$I$56,5,FALSE)-VLOOKUP($A86,main!$A$3:$I$56,6,FALSE)+main!$D$57,0)</f>
        <v>0</v>
      </c>
      <c r="AA86">
        <f>IF((phi!AA31),VLOOKUP(AA$1,main!$A$3:$I$56,5,FALSE)-VLOOKUP($A86,main!$A$3:$I$56,6,FALSE)+main!$D$57,0)</f>
        <v>210</v>
      </c>
      <c r="AB86">
        <f>IF((phi!AB31),VLOOKUP(AB$1,main!$A$3:$I$56,5,FALSE)-VLOOKUP($A86,main!$A$3:$I$56,6,FALSE)+main!$D$57,0)</f>
        <v>270</v>
      </c>
      <c r="AC86">
        <f>IF((phi!AC31),VLOOKUP(AC$1,main!$A$3:$I$56,5,FALSE)-VLOOKUP($A86,main!$A$3:$I$56,6,FALSE)+main!$D$57,0)</f>
        <v>0</v>
      </c>
      <c r="AD86">
        <f>IF((phi!AD31),VLOOKUP(AD$1,main!$A$3:$I$56,5,FALSE)-VLOOKUP($A86,main!$A$3:$I$56,6,FALSE)+main!$D$57,0)</f>
        <v>0</v>
      </c>
      <c r="AE86">
        <f>IF((phi!AE31),VLOOKUP(AE$1,main!$A$3:$I$56,5,FALSE)-VLOOKUP($A86,main!$A$3:$I$56,6,FALSE)+main!$D$57,0)</f>
        <v>0</v>
      </c>
      <c r="AF86">
        <f>IF((phi!AF31),VLOOKUP(AF$1,main!$A$3:$I$56,5,FALSE)-VLOOKUP($A86,main!$A$3:$I$56,6,FALSE)+main!$D$57,0)</f>
        <v>0</v>
      </c>
      <c r="AG86">
        <f>IF((phi!AG31),VLOOKUP(AG$1,main!$A$3:$I$56,5,FALSE)-VLOOKUP($A86,main!$A$3:$I$56,6,FALSE)+main!$D$57,0)</f>
        <v>0</v>
      </c>
      <c r="AH86">
        <f>IF((phi!AH31),VLOOKUP(AH$1,main!$A$3:$I$56,5,FALSE)-VLOOKUP($A86,main!$A$3:$I$56,6,FALSE)+main!$D$57,0)</f>
        <v>0</v>
      </c>
      <c r="AI86">
        <f>IF((phi!AI31),VLOOKUP(AI$1,main!$A$3:$I$56,5,FALSE)-VLOOKUP($A86,main!$A$3:$I$56,6,FALSE)+main!$D$57,0)</f>
        <v>0</v>
      </c>
      <c r="AJ86">
        <f>IF((phi!AJ31),VLOOKUP(AJ$1,main!$A$3:$I$56,5,FALSE)-VLOOKUP($A86,main!$A$3:$I$56,6,FALSE)+main!$D$57,0)</f>
        <v>0</v>
      </c>
      <c r="AK86">
        <f>IF((phi!AK31),VLOOKUP(AK$1,main!$A$3:$I$56,5,FALSE)-VLOOKUP($A86,main!$A$3:$I$56,6,FALSE)+main!$D$57,0)</f>
        <v>170</v>
      </c>
      <c r="AL86">
        <f>IF((phi!AL31),VLOOKUP(AL$1,main!$A$3:$I$56,5,FALSE)-VLOOKUP($A86,main!$A$3:$I$56,6,FALSE)+main!$D$57,0)</f>
        <v>0</v>
      </c>
      <c r="AM86">
        <f>IF((phi!AM31),VLOOKUP(AM$1,main!$A$3:$I$56,5,FALSE)-VLOOKUP($A86,main!$A$3:$I$56,6,FALSE)+main!$D$57,0)</f>
        <v>0</v>
      </c>
      <c r="AN86">
        <f>IF((phi!AN31),VLOOKUP(AN$1,main!$A$3:$I$56,5,FALSE)-VLOOKUP($A86,main!$A$3:$I$56,6,FALSE)+main!$D$57,0)</f>
        <v>0</v>
      </c>
      <c r="AO86">
        <f>IF((phi!AO31),VLOOKUP(AO$1,main!$A$3:$I$56,5,FALSE)-VLOOKUP($A86,main!$A$3:$I$56,6,FALSE)+main!$D$57,0)</f>
        <v>0</v>
      </c>
      <c r="AP86">
        <f>IF((phi!AP31),VLOOKUP(AP$1,main!$A$3:$I$56,5,FALSE)-VLOOKUP($A86,main!$A$3:$I$56,6,FALSE)+main!$D$57,0)</f>
        <v>0</v>
      </c>
      <c r="AQ86">
        <f>IF((phi!AQ31),VLOOKUP(AQ$1,main!$A$3:$I$56,5,FALSE)-VLOOKUP($A86,main!$A$3:$I$56,6,FALSE)+main!$D$57,0)</f>
        <v>0</v>
      </c>
      <c r="AR86">
        <f>IF((phi!AR31),VLOOKUP(AR$1,main!$A$3:$I$56,5,FALSE)-VLOOKUP($A86,main!$A$3:$I$56,6,FALSE)+main!$D$57,0)</f>
        <v>0</v>
      </c>
      <c r="AS86">
        <f>IF((phi!AS31),VLOOKUP(AS$1,main!$A$3:$I$56,5,FALSE)-VLOOKUP($A86,main!$A$3:$I$56,6,FALSE)+main!$D$57,0)</f>
        <v>0</v>
      </c>
      <c r="AT86">
        <f>IF((phi!AT31),VLOOKUP(AT$1,main!$A$3:$I$56,5,FALSE)-VLOOKUP($A86,main!$A$3:$I$56,6,FALSE)+main!$D$57,0)</f>
        <v>0</v>
      </c>
      <c r="AU86">
        <f>IF((phi!AU31),VLOOKUP(AU$1,main!$A$3:$I$56,5,FALSE)-VLOOKUP($A86,main!$A$3:$I$56,6,FALSE)+main!$D$57,0)</f>
        <v>0</v>
      </c>
      <c r="AV86">
        <f>IF((phi!AV31),VLOOKUP(AV$1,main!$A$3:$I$56,5,FALSE)-VLOOKUP($A86,main!$A$3:$I$56,6,FALSE)+main!$D$57,0)</f>
        <v>0</v>
      </c>
      <c r="AW86">
        <f>IF((phi!AW31),VLOOKUP(AW$1,main!$A$3:$I$56,5,FALSE)-VLOOKUP($A86,main!$A$3:$I$56,6,FALSE)+main!$D$57,0)</f>
        <v>0</v>
      </c>
      <c r="AX86">
        <f>IF((phi!AX31),VLOOKUP(AX$1,main!$A$3:$I$56,5,FALSE)-VLOOKUP($A86,main!$A$3:$I$56,6,FALSE)+main!$D$57,0)</f>
        <v>130</v>
      </c>
      <c r="AY86">
        <f>IF((phi!AY31),VLOOKUP(AY$1,main!$A$3:$I$56,5,FALSE)-VLOOKUP($A86,main!$A$3:$I$56,6,FALSE)+main!$D$57,0)</f>
        <v>330</v>
      </c>
      <c r="AZ86">
        <f>IF((phi!AZ31),VLOOKUP(AZ$1,main!$A$3:$I$56,5,FALSE)-VLOOKUP($A86,main!$A$3:$I$56,6,FALSE)+main!$D$57,0)</f>
        <v>0</v>
      </c>
      <c r="BA86">
        <f>IF((phi!BA31),VLOOKUP(BA$1,main!$A$3:$I$56,5,FALSE)-VLOOKUP($A86,main!$A$3:$I$56,6,FALSE)+main!$D$57,0)</f>
        <v>0</v>
      </c>
      <c r="BB86">
        <f>IF((phi!BB31),VLOOKUP(BB$1,main!$A$3:$I$56,5,FALSE)-VLOOKUP($A86,main!$A$3:$I$56,6,FALSE)+main!$D$57,0)</f>
        <v>0</v>
      </c>
      <c r="BC86">
        <f>IF((phi!BC31),VLOOKUP(BC$1,main!$A$3:$I$56,5,FALSE)-VLOOKUP($A86,main!$A$3:$I$56,6,FALSE)+main!$D$57,0)</f>
        <v>0</v>
      </c>
      <c r="BD86">
        <f>IF((phi!BD31),VLOOKUP(BD$1,main!$A$3:$I$56,5,FALSE)-VLOOKUP($A86,main!$A$3:$I$56,6,FALSE)+main!$D$57,0)</f>
        <v>0</v>
      </c>
    </row>
    <row r="87" spans="1:56" x14ac:dyDescent="0.25">
      <c r="A87">
        <f t="shared" si="3"/>
        <v>30</v>
      </c>
      <c r="B87">
        <v>0</v>
      </c>
      <c r="C87">
        <f>IF((phi!C32),VLOOKUP(C$1,main!$A$3:$I$56,5,FALSE)-VLOOKUP($A87,main!$A$3:$I$56,6,FALSE)+main!$D$57,0)</f>
        <v>0</v>
      </c>
      <c r="D87">
        <f>IF((phi!D32),VLOOKUP(D$1,main!$A$3:$I$56,5,FALSE)-VLOOKUP($A87,main!$A$3:$I$56,6,FALSE)+main!$D$57,0)</f>
        <v>0</v>
      </c>
      <c r="E87">
        <f>IF((phi!E32),VLOOKUP(E$1,main!$A$3:$I$56,5,FALSE)-VLOOKUP($A87,main!$A$3:$I$56,6,FALSE)+main!$D$57,0)</f>
        <v>0</v>
      </c>
      <c r="F87">
        <f>IF((phi!F32),VLOOKUP(F$1,main!$A$3:$I$56,5,FALSE)-VLOOKUP($A87,main!$A$3:$I$56,6,FALSE)+main!$D$57,0)</f>
        <v>0</v>
      </c>
      <c r="G87">
        <f>IF((phi!G32),VLOOKUP(G$1,main!$A$3:$I$56,5,FALSE)-VLOOKUP($A87,main!$A$3:$I$56,6,FALSE)+main!$D$57,0)</f>
        <v>0</v>
      </c>
      <c r="H87">
        <f>IF((phi!H32),VLOOKUP(H$1,main!$A$3:$I$56,5,FALSE)-VLOOKUP($A87,main!$A$3:$I$56,6,FALSE)+main!$D$57,0)</f>
        <v>0</v>
      </c>
      <c r="I87">
        <f>IF((phi!I32),VLOOKUP(I$1,main!$A$3:$I$56,5,FALSE)-VLOOKUP($A87,main!$A$3:$I$56,6,FALSE)+main!$D$57,0)</f>
        <v>0</v>
      </c>
      <c r="J87">
        <f>IF((phi!J32),VLOOKUP(J$1,main!$A$3:$I$56,5,FALSE)-VLOOKUP($A87,main!$A$3:$I$56,6,FALSE)+main!$D$57,0)</f>
        <v>0</v>
      </c>
      <c r="K87">
        <f>IF((phi!K32),VLOOKUP(K$1,main!$A$3:$I$56,5,FALSE)-VLOOKUP($A87,main!$A$3:$I$56,6,FALSE)+main!$D$57,0)</f>
        <v>0</v>
      </c>
      <c r="L87">
        <f>IF((phi!L32),VLOOKUP(L$1,main!$A$3:$I$56,5,FALSE)-VLOOKUP($A87,main!$A$3:$I$56,6,FALSE)+main!$D$57,0)</f>
        <v>0</v>
      </c>
      <c r="M87">
        <f>IF((phi!M32),VLOOKUP(M$1,main!$A$3:$I$56,5,FALSE)-VLOOKUP($A87,main!$A$3:$I$56,6,FALSE)+main!$D$57,0)</f>
        <v>0</v>
      </c>
      <c r="N87">
        <f>IF((phi!N32),VLOOKUP(N$1,main!$A$3:$I$56,5,FALSE)-VLOOKUP($A87,main!$A$3:$I$56,6,FALSE)+main!$D$57,0)</f>
        <v>0</v>
      </c>
      <c r="O87">
        <f>IF((phi!O32),VLOOKUP(O$1,main!$A$3:$I$56,5,FALSE)-VLOOKUP($A87,main!$A$3:$I$56,6,FALSE)+main!$D$57,0)</f>
        <v>135</v>
      </c>
      <c r="P87">
        <f>IF((phi!P32),VLOOKUP(P$1,main!$A$3:$I$56,5,FALSE)-VLOOKUP($A87,main!$A$3:$I$56,6,FALSE)+main!$D$57,0)</f>
        <v>0</v>
      </c>
      <c r="Q87">
        <f>IF((phi!Q32),VLOOKUP(Q$1,main!$A$3:$I$56,5,FALSE)-VLOOKUP($A87,main!$A$3:$I$56,6,FALSE)+main!$D$57,0)</f>
        <v>0</v>
      </c>
      <c r="R87">
        <f>IF((phi!R32),VLOOKUP(R$1,main!$A$3:$I$56,5,FALSE)-VLOOKUP($A87,main!$A$3:$I$56,6,FALSE)+main!$D$57,0)</f>
        <v>0</v>
      </c>
      <c r="S87">
        <f>IF((phi!S32),VLOOKUP(S$1,main!$A$3:$I$56,5,FALSE)-VLOOKUP($A87,main!$A$3:$I$56,6,FALSE)+main!$D$57,0)</f>
        <v>0</v>
      </c>
      <c r="T87">
        <f>IF((phi!T32),VLOOKUP(T$1,main!$A$3:$I$56,5,FALSE)-VLOOKUP($A87,main!$A$3:$I$56,6,FALSE)+main!$D$57,0)</f>
        <v>0</v>
      </c>
      <c r="U87">
        <f>IF((phi!U32),VLOOKUP(U$1,main!$A$3:$I$56,5,FALSE)-VLOOKUP($A87,main!$A$3:$I$56,6,FALSE)+main!$D$57,0)</f>
        <v>0</v>
      </c>
      <c r="V87">
        <f>IF((phi!V32),VLOOKUP(V$1,main!$A$3:$I$56,5,FALSE)-VLOOKUP($A87,main!$A$3:$I$56,6,FALSE)+main!$D$57,0)</f>
        <v>0</v>
      </c>
      <c r="W87">
        <f>IF((phi!W32),VLOOKUP(W$1,main!$A$3:$I$56,5,FALSE)-VLOOKUP($A87,main!$A$3:$I$56,6,FALSE)+main!$D$57,0)</f>
        <v>0</v>
      </c>
      <c r="X87">
        <f>IF((phi!X32),VLOOKUP(X$1,main!$A$3:$I$56,5,FALSE)-VLOOKUP($A87,main!$A$3:$I$56,6,FALSE)+main!$D$57,0)</f>
        <v>0</v>
      </c>
      <c r="Y87">
        <f>IF((phi!Y32),VLOOKUP(Y$1,main!$A$3:$I$56,5,FALSE)-VLOOKUP($A87,main!$A$3:$I$56,6,FALSE)+main!$D$57,0)</f>
        <v>0</v>
      </c>
      <c r="Z87">
        <f>IF((phi!Z32),VLOOKUP(Z$1,main!$A$3:$I$56,5,FALSE)-VLOOKUP($A87,main!$A$3:$I$56,6,FALSE)+main!$D$57,0)</f>
        <v>0</v>
      </c>
      <c r="AA87">
        <f>IF((phi!AA32),VLOOKUP(AA$1,main!$A$3:$I$56,5,FALSE)-VLOOKUP($A87,main!$A$3:$I$56,6,FALSE)+main!$D$57,0)</f>
        <v>0</v>
      </c>
      <c r="AB87">
        <f>IF((phi!AB32),VLOOKUP(AB$1,main!$A$3:$I$56,5,FALSE)-VLOOKUP($A87,main!$A$3:$I$56,6,FALSE)+main!$D$57,0)</f>
        <v>0</v>
      </c>
      <c r="AC87">
        <f>IF((phi!AC32),VLOOKUP(AC$1,main!$A$3:$I$56,5,FALSE)-VLOOKUP($A87,main!$A$3:$I$56,6,FALSE)+main!$D$57,0)</f>
        <v>0</v>
      </c>
      <c r="AD87">
        <f>IF((phi!AD32),VLOOKUP(AD$1,main!$A$3:$I$56,5,FALSE)-VLOOKUP($A87,main!$A$3:$I$56,6,FALSE)+main!$D$57,0)</f>
        <v>0</v>
      </c>
      <c r="AE87">
        <f>IF((phi!AE32),VLOOKUP(AE$1,main!$A$3:$I$56,5,FALSE)-VLOOKUP($A87,main!$A$3:$I$56,6,FALSE)+main!$D$57,0)</f>
        <v>0</v>
      </c>
      <c r="AF87">
        <f>IF((phi!AF32),VLOOKUP(AF$1,main!$A$3:$I$56,5,FALSE)-VLOOKUP($A87,main!$A$3:$I$56,6,FALSE)+main!$D$57,0)</f>
        <v>0</v>
      </c>
      <c r="AG87">
        <f>IF((phi!AG32),VLOOKUP(AG$1,main!$A$3:$I$56,5,FALSE)-VLOOKUP($A87,main!$A$3:$I$56,6,FALSE)+main!$D$57,0)</f>
        <v>0</v>
      </c>
      <c r="AH87">
        <f>IF((phi!AH32),VLOOKUP(AH$1,main!$A$3:$I$56,5,FALSE)-VLOOKUP($A87,main!$A$3:$I$56,6,FALSE)+main!$D$57,0)</f>
        <v>0</v>
      </c>
      <c r="AI87">
        <f>IF((phi!AI32),VLOOKUP(AI$1,main!$A$3:$I$56,5,FALSE)-VLOOKUP($A87,main!$A$3:$I$56,6,FALSE)+main!$D$57,0)</f>
        <v>0</v>
      </c>
      <c r="AJ87">
        <f>IF((phi!AJ32),VLOOKUP(AJ$1,main!$A$3:$I$56,5,FALSE)-VLOOKUP($A87,main!$A$3:$I$56,6,FALSE)+main!$D$57,0)</f>
        <v>0</v>
      </c>
      <c r="AK87">
        <f>IF((phi!AK32),VLOOKUP(AK$1,main!$A$3:$I$56,5,FALSE)-VLOOKUP($A87,main!$A$3:$I$56,6,FALSE)+main!$D$57,0)</f>
        <v>0</v>
      </c>
      <c r="AL87">
        <f>IF((phi!AL32),VLOOKUP(AL$1,main!$A$3:$I$56,5,FALSE)-VLOOKUP($A87,main!$A$3:$I$56,6,FALSE)+main!$D$57,0)</f>
        <v>0</v>
      </c>
      <c r="AM87">
        <f>IF((phi!AM32),VLOOKUP(AM$1,main!$A$3:$I$56,5,FALSE)-VLOOKUP($A87,main!$A$3:$I$56,6,FALSE)+main!$D$57,0)</f>
        <v>0</v>
      </c>
      <c r="AN87">
        <f>IF((phi!AN32),VLOOKUP(AN$1,main!$A$3:$I$56,5,FALSE)-VLOOKUP($A87,main!$A$3:$I$56,6,FALSE)+main!$D$57,0)</f>
        <v>0</v>
      </c>
      <c r="AO87">
        <f>IF((phi!AO32),VLOOKUP(AO$1,main!$A$3:$I$56,5,FALSE)-VLOOKUP($A87,main!$A$3:$I$56,6,FALSE)+main!$D$57,0)</f>
        <v>0</v>
      </c>
      <c r="AP87">
        <f>IF((phi!AP32),VLOOKUP(AP$1,main!$A$3:$I$56,5,FALSE)-VLOOKUP($A87,main!$A$3:$I$56,6,FALSE)+main!$D$57,0)</f>
        <v>0</v>
      </c>
      <c r="AQ87">
        <f>IF((phi!AQ32),VLOOKUP(AQ$1,main!$A$3:$I$56,5,FALSE)-VLOOKUP($A87,main!$A$3:$I$56,6,FALSE)+main!$D$57,0)</f>
        <v>0</v>
      </c>
      <c r="AR87">
        <f>IF((phi!AR32),VLOOKUP(AR$1,main!$A$3:$I$56,5,FALSE)-VLOOKUP($A87,main!$A$3:$I$56,6,FALSE)+main!$D$57,0)</f>
        <v>0</v>
      </c>
      <c r="AS87">
        <f>IF((phi!AS32),VLOOKUP(AS$1,main!$A$3:$I$56,5,FALSE)-VLOOKUP($A87,main!$A$3:$I$56,6,FALSE)+main!$D$57,0)</f>
        <v>0</v>
      </c>
      <c r="AT87">
        <f>IF((phi!AT32),VLOOKUP(AT$1,main!$A$3:$I$56,5,FALSE)-VLOOKUP($A87,main!$A$3:$I$56,6,FALSE)+main!$D$57,0)</f>
        <v>0</v>
      </c>
      <c r="AU87">
        <f>IF((phi!AU32),VLOOKUP(AU$1,main!$A$3:$I$56,5,FALSE)-VLOOKUP($A87,main!$A$3:$I$56,6,FALSE)+main!$D$57,0)</f>
        <v>0</v>
      </c>
      <c r="AV87">
        <f>IF((phi!AV32),VLOOKUP(AV$1,main!$A$3:$I$56,5,FALSE)-VLOOKUP($A87,main!$A$3:$I$56,6,FALSE)+main!$D$57,0)</f>
        <v>0</v>
      </c>
      <c r="AW87">
        <f>IF((phi!AW32),VLOOKUP(AW$1,main!$A$3:$I$56,5,FALSE)-VLOOKUP($A87,main!$A$3:$I$56,6,FALSE)+main!$D$57,0)</f>
        <v>0</v>
      </c>
      <c r="AX87">
        <f>IF((phi!AX32),VLOOKUP(AX$1,main!$A$3:$I$56,5,FALSE)-VLOOKUP($A87,main!$A$3:$I$56,6,FALSE)+main!$D$57,0)</f>
        <v>0</v>
      </c>
      <c r="AY87">
        <f>IF((phi!AY32),VLOOKUP(AY$1,main!$A$3:$I$56,5,FALSE)-VLOOKUP($A87,main!$A$3:$I$56,6,FALSE)+main!$D$57,0)</f>
        <v>0</v>
      </c>
      <c r="AZ87">
        <f>IF((phi!AZ32),VLOOKUP(AZ$1,main!$A$3:$I$56,5,FALSE)-VLOOKUP($A87,main!$A$3:$I$56,6,FALSE)+main!$D$57,0)</f>
        <v>0</v>
      </c>
      <c r="BA87">
        <f>IF((phi!BA32),VLOOKUP(BA$1,main!$A$3:$I$56,5,FALSE)-VLOOKUP($A87,main!$A$3:$I$56,6,FALSE)+main!$D$57,0)</f>
        <v>0</v>
      </c>
      <c r="BB87">
        <f>IF((phi!BB32),VLOOKUP(BB$1,main!$A$3:$I$56,5,FALSE)-VLOOKUP($A87,main!$A$3:$I$56,6,FALSE)+main!$D$57,0)</f>
        <v>0</v>
      </c>
      <c r="BC87">
        <f>IF((phi!BC32),VLOOKUP(BC$1,main!$A$3:$I$56,5,FALSE)-VLOOKUP($A87,main!$A$3:$I$56,6,FALSE)+main!$D$57,0)</f>
        <v>0</v>
      </c>
      <c r="BD87">
        <f>IF((phi!BD32),VLOOKUP(BD$1,main!$A$3:$I$56,5,FALSE)-VLOOKUP($A87,main!$A$3:$I$56,6,FALSE)+main!$D$57,0)</f>
        <v>0</v>
      </c>
    </row>
    <row r="88" spans="1:56" x14ac:dyDescent="0.25">
      <c r="A88">
        <f t="shared" si="3"/>
        <v>31</v>
      </c>
      <c r="B88">
        <v>0</v>
      </c>
      <c r="C88">
        <f>IF((phi!C33),VLOOKUP(C$1,main!$A$3:$I$56,5,FALSE)-VLOOKUP($A88,main!$A$3:$I$56,6,FALSE)+main!$D$57,0)</f>
        <v>0</v>
      </c>
      <c r="D88">
        <f>IF((phi!D33),VLOOKUP(D$1,main!$A$3:$I$56,5,FALSE)-VLOOKUP($A88,main!$A$3:$I$56,6,FALSE)+main!$D$57,0)</f>
        <v>0</v>
      </c>
      <c r="E88">
        <f>IF((phi!E33),VLOOKUP(E$1,main!$A$3:$I$56,5,FALSE)-VLOOKUP($A88,main!$A$3:$I$56,6,FALSE)+main!$D$57,0)</f>
        <v>170</v>
      </c>
      <c r="F88">
        <f>IF((phi!F33),VLOOKUP(F$1,main!$A$3:$I$56,5,FALSE)-VLOOKUP($A88,main!$A$3:$I$56,6,FALSE)+main!$D$57,0)</f>
        <v>260</v>
      </c>
      <c r="G88">
        <f>IF((phi!G33),VLOOKUP(G$1,main!$A$3:$I$56,5,FALSE)-VLOOKUP($A88,main!$A$3:$I$56,6,FALSE)+main!$D$57,0)</f>
        <v>320</v>
      </c>
      <c r="H88">
        <f>IF((phi!H33),VLOOKUP(H$1,main!$A$3:$I$56,5,FALSE)-VLOOKUP($A88,main!$A$3:$I$56,6,FALSE)+main!$D$57,0)</f>
        <v>380</v>
      </c>
      <c r="I88">
        <f>IF((phi!I33),VLOOKUP(I$1,main!$A$3:$I$56,5,FALSE)-VLOOKUP($A88,main!$A$3:$I$56,6,FALSE)+main!$D$57,0)</f>
        <v>440</v>
      </c>
      <c r="J88">
        <f>IF((phi!J33),VLOOKUP(J$1,main!$A$3:$I$56,5,FALSE)-VLOOKUP($A88,main!$A$3:$I$56,6,FALSE)+main!$D$57,0)</f>
        <v>530</v>
      </c>
      <c r="K88">
        <f>IF((phi!K33),VLOOKUP(K$1,main!$A$3:$I$56,5,FALSE)-VLOOKUP($A88,main!$A$3:$I$56,6,FALSE)+main!$D$57,0)</f>
        <v>0</v>
      </c>
      <c r="L88">
        <f>IF((phi!L33),VLOOKUP(L$1,main!$A$3:$I$56,5,FALSE)-VLOOKUP($A88,main!$A$3:$I$56,6,FALSE)+main!$D$57,0)</f>
        <v>0</v>
      </c>
      <c r="M88">
        <f>IF((phi!M33),VLOOKUP(M$1,main!$A$3:$I$56,5,FALSE)-VLOOKUP($A88,main!$A$3:$I$56,6,FALSE)+main!$D$57,0)</f>
        <v>135</v>
      </c>
      <c r="N88">
        <f>IF((phi!N33),VLOOKUP(N$1,main!$A$3:$I$56,5,FALSE)-VLOOKUP($A88,main!$A$3:$I$56,6,FALSE)+main!$D$57,0)</f>
        <v>495</v>
      </c>
      <c r="O88">
        <f>IF((phi!O33),VLOOKUP(O$1,main!$A$3:$I$56,5,FALSE)-VLOOKUP($A88,main!$A$3:$I$56,6,FALSE)+main!$D$57,0)</f>
        <v>555</v>
      </c>
      <c r="P88">
        <f>IF((phi!P33),VLOOKUP(P$1,main!$A$3:$I$56,5,FALSE)-VLOOKUP($A88,main!$A$3:$I$56,6,FALSE)+main!$D$57,0)</f>
        <v>0</v>
      </c>
      <c r="Q88">
        <f>IF((phi!Q33),VLOOKUP(Q$1,main!$A$3:$I$56,5,FALSE)-VLOOKUP($A88,main!$A$3:$I$56,6,FALSE)+main!$D$57,0)</f>
        <v>0</v>
      </c>
      <c r="R88">
        <f>IF((phi!R33),VLOOKUP(R$1,main!$A$3:$I$56,5,FALSE)-VLOOKUP($A88,main!$A$3:$I$56,6,FALSE)+main!$D$57,0)</f>
        <v>130</v>
      </c>
      <c r="S88">
        <f>IF((phi!S33),VLOOKUP(S$1,main!$A$3:$I$56,5,FALSE)-VLOOKUP($A88,main!$A$3:$I$56,6,FALSE)+main!$D$57,0)</f>
        <v>310</v>
      </c>
      <c r="T88">
        <f>IF((phi!T33),VLOOKUP(T$1,main!$A$3:$I$56,5,FALSE)-VLOOKUP($A88,main!$A$3:$I$56,6,FALSE)+main!$D$57,0)</f>
        <v>460</v>
      </c>
      <c r="U88">
        <f>IF((phi!U33),VLOOKUP(U$1,main!$A$3:$I$56,5,FALSE)-VLOOKUP($A88,main!$A$3:$I$56,6,FALSE)+main!$D$57,0)</f>
        <v>0</v>
      </c>
      <c r="V88">
        <f>IF((phi!V33),VLOOKUP(V$1,main!$A$3:$I$56,5,FALSE)-VLOOKUP($A88,main!$A$3:$I$56,6,FALSE)+main!$D$57,0)</f>
        <v>0</v>
      </c>
      <c r="W88">
        <f>IF((phi!W33),VLOOKUP(W$1,main!$A$3:$I$56,5,FALSE)-VLOOKUP($A88,main!$A$3:$I$56,6,FALSE)+main!$D$57,0)</f>
        <v>0</v>
      </c>
      <c r="X88">
        <f>IF((phi!X33),VLOOKUP(X$1,main!$A$3:$I$56,5,FALSE)-VLOOKUP($A88,main!$A$3:$I$56,6,FALSE)+main!$D$57,0)</f>
        <v>150</v>
      </c>
      <c r="Y88">
        <f>IF((phi!Y33),VLOOKUP(Y$1,main!$A$3:$I$56,5,FALSE)-VLOOKUP($A88,main!$A$3:$I$56,6,FALSE)+main!$D$57,0)</f>
        <v>240</v>
      </c>
      <c r="Z88">
        <f>IF((phi!Z33),VLOOKUP(Z$1,main!$A$3:$I$56,5,FALSE)-VLOOKUP($A88,main!$A$3:$I$56,6,FALSE)+main!$D$57,0)</f>
        <v>330</v>
      </c>
      <c r="AA88">
        <f>IF((phi!AA33),VLOOKUP(AA$1,main!$A$3:$I$56,5,FALSE)-VLOOKUP($A88,main!$A$3:$I$56,6,FALSE)+main!$D$57,0)</f>
        <v>420</v>
      </c>
      <c r="AB88">
        <f>IF((phi!AB33),VLOOKUP(AB$1,main!$A$3:$I$56,5,FALSE)-VLOOKUP($A88,main!$A$3:$I$56,6,FALSE)+main!$D$57,0)</f>
        <v>480</v>
      </c>
      <c r="AC88">
        <f>IF((phi!AC33),VLOOKUP(AC$1,main!$A$3:$I$56,5,FALSE)-VLOOKUP($A88,main!$A$3:$I$56,6,FALSE)+main!$D$57,0)</f>
        <v>0</v>
      </c>
      <c r="AD88">
        <f>IF((phi!AD33),VLOOKUP(AD$1,main!$A$3:$I$56,5,FALSE)-VLOOKUP($A88,main!$A$3:$I$56,6,FALSE)+main!$D$57,0)</f>
        <v>0</v>
      </c>
      <c r="AE88">
        <f>IF((phi!AE33),VLOOKUP(AE$1,main!$A$3:$I$56,5,FALSE)-VLOOKUP($A88,main!$A$3:$I$56,6,FALSE)+main!$D$57,0)</f>
        <v>140</v>
      </c>
      <c r="AF88">
        <f>IF((phi!AF33),VLOOKUP(AF$1,main!$A$3:$I$56,5,FALSE)-VLOOKUP($A88,main!$A$3:$I$56,6,FALSE)+main!$D$57,0)</f>
        <v>290</v>
      </c>
      <c r="AG88">
        <f>IF((phi!AG33),VLOOKUP(AG$1,main!$A$3:$I$56,5,FALSE)-VLOOKUP($A88,main!$A$3:$I$56,6,FALSE)+main!$D$57,0)</f>
        <v>0</v>
      </c>
      <c r="AH88">
        <f>IF((phi!AH33),VLOOKUP(AH$1,main!$A$3:$I$56,5,FALSE)-VLOOKUP($A88,main!$A$3:$I$56,6,FALSE)+main!$D$57,0)</f>
        <v>0</v>
      </c>
      <c r="AI88">
        <f>IF((phi!AI33),VLOOKUP(AI$1,main!$A$3:$I$56,5,FALSE)-VLOOKUP($A88,main!$A$3:$I$56,6,FALSE)+main!$D$57,0)</f>
        <v>200</v>
      </c>
      <c r="AJ88">
        <f>IF((phi!AJ33),VLOOKUP(AJ$1,main!$A$3:$I$56,5,FALSE)-VLOOKUP($A88,main!$A$3:$I$56,6,FALSE)+main!$D$57,0)</f>
        <v>260</v>
      </c>
      <c r="AK88">
        <f>IF((phi!AK33),VLOOKUP(AK$1,main!$A$3:$I$56,5,FALSE)-VLOOKUP($A88,main!$A$3:$I$56,6,FALSE)+main!$D$57,0)</f>
        <v>380</v>
      </c>
      <c r="AL88">
        <f>IF((phi!AL33),VLOOKUP(AL$1,main!$A$3:$I$56,5,FALSE)-VLOOKUP($A88,main!$A$3:$I$56,6,FALSE)+main!$D$57,0)</f>
        <v>0</v>
      </c>
      <c r="AM88">
        <f>IF((phi!AM33),VLOOKUP(AM$1,main!$A$3:$I$56,5,FALSE)-VLOOKUP($A88,main!$A$3:$I$56,6,FALSE)+main!$D$57,0)</f>
        <v>0</v>
      </c>
      <c r="AN88">
        <f>IF((phi!AN33),VLOOKUP(AN$1,main!$A$3:$I$56,5,FALSE)-VLOOKUP($A88,main!$A$3:$I$56,6,FALSE)+main!$D$57,0)</f>
        <v>240</v>
      </c>
      <c r="AO88">
        <f>IF((phi!AO33),VLOOKUP(AO$1,main!$A$3:$I$56,5,FALSE)-VLOOKUP($A88,main!$A$3:$I$56,6,FALSE)+main!$D$57,0)</f>
        <v>290</v>
      </c>
      <c r="AP88">
        <f>IF((phi!AP33),VLOOKUP(AP$1,main!$A$3:$I$56,5,FALSE)-VLOOKUP($A88,main!$A$3:$I$56,6,FALSE)+main!$D$57,0)</f>
        <v>0</v>
      </c>
      <c r="AQ88">
        <f>IF((phi!AQ33),VLOOKUP(AQ$1,main!$A$3:$I$56,5,FALSE)-VLOOKUP($A88,main!$A$3:$I$56,6,FALSE)+main!$D$57,0)</f>
        <v>0</v>
      </c>
      <c r="AR88">
        <f>IF((phi!AR33),VLOOKUP(AR$1,main!$A$3:$I$56,5,FALSE)-VLOOKUP($A88,main!$A$3:$I$56,6,FALSE)+main!$D$57,0)</f>
        <v>0</v>
      </c>
      <c r="AS88">
        <f>IF((phi!AS33),VLOOKUP(AS$1,main!$A$3:$I$56,5,FALSE)-VLOOKUP($A88,main!$A$3:$I$56,6,FALSE)+main!$D$57,0)</f>
        <v>0</v>
      </c>
      <c r="AT88">
        <f>IF((phi!AT33),VLOOKUP(AT$1,main!$A$3:$I$56,5,FALSE)-VLOOKUP($A88,main!$A$3:$I$56,6,FALSE)+main!$D$57,0)</f>
        <v>190</v>
      </c>
      <c r="AU88">
        <f>IF((phi!AU33),VLOOKUP(AU$1,main!$A$3:$I$56,5,FALSE)-VLOOKUP($A88,main!$A$3:$I$56,6,FALSE)+main!$D$57,0)</f>
        <v>0</v>
      </c>
      <c r="AV88">
        <f>IF((phi!AV33),VLOOKUP(AV$1,main!$A$3:$I$56,5,FALSE)-VLOOKUP($A88,main!$A$3:$I$56,6,FALSE)+main!$D$57,0)</f>
        <v>0</v>
      </c>
      <c r="AW88">
        <f>IF((phi!AW33),VLOOKUP(AW$1,main!$A$3:$I$56,5,FALSE)-VLOOKUP($A88,main!$A$3:$I$56,6,FALSE)+main!$D$57,0)</f>
        <v>140</v>
      </c>
      <c r="AX88">
        <f>IF((phi!AX33),VLOOKUP(AX$1,main!$A$3:$I$56,5,FALSE)-VLOOKUP($A88,main!$A$3:$I$56,6,FALSE)+main!$D$57,0)</f>
        <v>340</v>
      </c>
      <c r="AY88">
        <f>IF((phi!AY33),VLOOKUP(AY$1,main!$A$3:$I$56,5,FALSE)-VLOOKUP($A88,main!$A$3:$I$56,6,FALSE)+main!$D$57,0)</f>
        <v>540</v>
      </c>
      <c r="AZ88">
        <f>IF((phi!AZ33),VLOOKUP(AZ$1,main!$A$3:$I$56,5,FALSE)-VLOOKUP($A88,main!$A$3:$I$56,6,FALSE)+main!$D$57,0)</f>
        <v>0</v>
      </c>
      <c r="BA88">
        <f>IF((phi!BA33),VLOOKUP(BA$1,main!$A$3:$I$56,5,FALSE)-VLOOKUP($A88,main!$A$3:$I$56,6,FALSE)+main!$D$57,0)</f>
        <v>0</v>
      </c>
      <c r="BB88">
        <f>IF((phi!BB33),VLOOKUP(BB$1,main!$A$3:$I$56,5,FALSE)-VLOOKUP($A88,main!$A$3:$I$56,6,FALSE)+main!$D$57,0)</f>
        <v>0</v>
      </c>
      <c r="BC88">
        <f>IF((phi!BC33),VLOOKUP(BC$1,main!$A$3:$I$56,5,FALSE)-VLOOKUP($A88,main!$A$3:$I$56,6,FALSE)+main!$D$57,0)</f>
        <v>305</v>
      </c>
      <c r="BD88">
        <f>IF((phi!BD33),VLOOKUP(BD$1,main!$A$3:$I$56,5,FALSE)-VLOOKUP($A88,main!$A$3:$I$56,6,FALSE)+main!$D$57,0)</f>
        <v>315</v>
      </c>
    </row>
    <row r="89" spans="1:56" x14ac:dyDescent="0.25">
      <c r="A89">
        <f t="shared" si="3"/>
        <v>32</v>
      </c>
      <c r="B89">
        <v>0</v>
      </c>
      <c r="C89">
        <f>IF((phi!C34),VLOOKUP(C$1,main!$A$3:$I$56,5,FALSE)-VLOOKUP($A89,main!$A$3:$I$56,6,FALSE)+main!$D$57,0)</f>
        <v>0</v>
      </c>
      <c r="D89">
        <f>IF((phi!D34),VLOOKUP(D$1,main!$A$3:$I$56,5,FALSE)-VLOOKUP($A89,main!$A$3:$I$56,6,FALSE)+main!$D$57,0)</f>
        <v>0</v>
      </c>
      <c r="E89">
        <f>IF((phi!E34),VLOOKUP(E$1,main!$A$3:$I$56,5,FALSE)-VLOOKUP($A89,main!$A$3:$I$56,6,FALSE)+main!$D$57,0)</f>
        <v>0</v>
      </c>
      <c r="F89">
        <f>IF((phi!F34),VLOOKUP(F$1,main!$A$3:$I$56,5,FALSE)-VLOOKUP($A89,main!$A$3:$I$56,6,FALSE)+main!$D$57,0)</f>
        <v>0</v>
      </c>
      <c r="G89">
        <f>IF((phi!G34),VLOOKUP(G$1,main!$A$3:$I$56,5,FALSE)-VLOOKUP($A89,main!$A$3:$I$56,6,FALSE)+main!$D$57,0)</f>
        <v>150</v>
      </c>
      <c r="H89">
        <f>IF((phi!H34),VLOOKUP(H$1,main!$A$3:$I$56,5,FALSE)-VLOOKUP($A89,main!$A$3:$I$56,6,FALSE)+main!$D$57,0)</f>
        <v>210</v>
      </c>
      <c r="I89">
        <f>IF((phi!I34),VLOOKUP(I$1,main!$A$3:$I$56,5,FALSE)-VLOOKUP($A89,main!$A$3:$I$56,6,FALSE)+main!$D$57,0)</f>
        <v>270</v>
      </c>
      <c r="J89">
        <f>IF((phi!J34),VLOOKUP(J$1,main!$A$3:$I$56,5,FALSE)-VLOOKUP($A89,main!$A$3:$I$56,6,FALSE)+main!$D$57,0)</f>
        <v>360</v>
      </c>
      <c r="K89">
        <f>IF((phi!K34),VLOOKUP(K$1,main!$A$3:$I$56,5,FALSE)-VLOOKUP($A89,main!$A$3:$I$56,6,FALSE)+main!$D$57,0)</f>
        <v>0</v>
      </c>
      <c r="L89">
        <f>IF((phi!L34),VLOOKUP(L$1,main!$A$3:$I$56,5,FALSE)-VLOOKUP($A89,main!$A$3:$I$56,6,FALSE)+main!$D$57,0)</f>
        <v>0</v>
      </c>
      <c r="M89">
        <f>IF((phi!M34),VLOOKUP(M$1,main!$A$3:$I$56,5,FALSE)-VLOOKUP($A89,main!$A$3:$I$56,6,FALSE)+main!$D$57,0)</f>
        <v>0</v>
      </c>
      <c r="N89">
        <f>IF((phi!N34),VLOOKUP(N$1,main!$A$3:$I$56,5,FALSE)-VLOOKUP($A89,main!$A$3:$I$56,6,FALSE)+main!$D$57,0)</f>
        <v>325</v>
      </c>
      <c r="O89">
        <f>IF((phi!O34),VLOOKUP(O$1,main!$A$3:$I$56,5,FALSE)-VLOOKUP($A89,main!$A$3:$I$56,6,FALSE)+main!$D$57,0)</f>
        <v>385</v>
      </c>
      <c r="P89">
        <f>IF((phi!P34),VLOOKUP(P$1,main!$A$3:$I$56,5,FALSE)-VLOOKUP($A89,main!$A$3:$I$56,6,FALSE)+main!$D$57,0)</f>
        <v>0</v>
      </c>
      <c r="Q89">
        <f>IF((phi!Q34),VLOOKUP(Q$1,main!$A$3:$I$56,5,FALSE)-VLOOKUP($A89,main!$A$3:$I$56,6,FALSE)+main!$D$57,0)</f>
        <v>0</v>
      </c>
      <c r="R89">
        <f>IF((phi!R34),VLOOKUP(R$1,main!$A$3:$I$56,5,FALSE)-VLOOKUP($A89,main!$A$3:$I$56,6,FALSE)+main!$D$57,0)</f>
        <v>0</v>
      </c>
      <c r="S89">
        <f>IF((phi!S34),VLOOKUP(S$1,main!$A$3:$I$56,5,FALSE)-VLOOKUP($A89,main!$A$3:$I$56,6,FALSE)+main!$D$57,0)</f>
        <v>140</v>
      </c>
      <c r="T89">
        <f>IF((phi!T34),VLOOKUP(T$1,main!$A$3:$I$56,5,FALSE)-VLOOKUP($A89,main!$A$3:$I$56,6,FALSE)+main!$D$57,0)</f>
        <v>290</v>
      </c>
      <c r="U89">
        <f>IF((phi!U34),VLOOKUP(U$1,main!$A$3:$I$56,5,FALSE)-VLOOKUP($A89,main!$A$3:$I$56,6,FALSE)+main!$D$57,0)</f>
        <v>0</v>
      </c>
      <c r="V89">
        <f>IF((phi!V34),VLOOKUP(V$1,main!$A$3:$I$56,5,FALSE)-VLOOKUP($A89,main!$A$3:$I$56,6,FALSE)+main!$D$57,0)</f>
        <v>0</v>
      </c>
      <c r="W89">
        <f>IF((phi!W34),VLOOKUP(W$1,main!$A$3:$I$56,5,FALSE)-VLOOKUP($A89,main!$A$3:$I$56,6,FALSE)+main!$D$57,0)</f>
        <v>0</v>
      </c>
      <c r="X89">
        <f>IF((phi!X34),VLOOKUP(X$1,main!$A$3:$I$56,5,FALSE)-VLOOKUP($A89,main!$A$3:$I$56,6,FALSE)+main!$D$57,0)</f>
        <v>0</v>
      </c>
      <c r="Y89">
        <f>IF((phi!Y34),VLOOKUP(Y$1,main!$A$3:$I$56,5,FALSE)-VLOOKUP($A89,main!$A$3:$I$56,6,FALSE)+main!$D$57,0)</f>
        <v>0</v>
      </c>
      <c r="Z89">
        <f>IF((phi!Z34),VLOOKUP(Z$1,main!$A$3:$I$56,5,FALSE)-VLOOKUP($A89,main!$A$3:$I$56,6,FALSE)+main!$D$57,0)</f>
        <v>160</v>
      </c>
      <c r="AA89">
        <f>IF((phi!AA34),VLOOKUP(AA$1,main!$A$3:$I$56,5,FALSE)-VLOOKUP($A89,main!$A$3:$I$56,6,FALSE)+main!$D$57,0)</f>
        <v>250</v>
      </c>
      <c r="AB89">
        <f>IF((phi!AB34),VLOOKUP(AB$1,main!$A$3:$I$56,5,FALSE)-VLOOKUP($A89,main!$A$3:$I$56,6,FALSE)+main!$D$57,0)</f>
        <v>310</v>
      </c>
      <c r="AC89">
        <f>IF((phi!AC34),VLOOKUP(AC$1,main!$A$3:$I$56,5,FALSE)-VLOOKUP($A89,main!$A$3:$I$56,6,FALSE)+main!$D$57,0)</f>
        <v>0</v>
      </c>
      <c r="AD89">
        <f>IF((phi!AD34),VLOOKUP(AD$1,main!$A$3:$I$56,5,FALSE)-VLOOKUP($A89,main!$A$3:$I$56,6,FALSE)+main!$D$57,0)</f>
        <v>0</v>
      </c>
      <c r="AE89">
        <f>IF((phi!AE34),VLOOKUP(AE$1,main!$A$3:$I$56,5,FALSE)-VLOOKUP($A89,main!$A$3:$I$56,6,FALSE)+main!$D$57,0)</f>
        <v>0</v>
      </c>
      <c r="AF89">
        <f>IF((phi!AF34),VLOOKUP(AF$1,main!$A$3:$I$56,5,FALSE)-VLOOKUP($A89,main!$A$3:$I$56,6,FALSE)+main!$D$57,0)</f>
        <v>0</v>
      </c>
      <c r="AG89">
        <f>IF((phi!AG34),VLOOKUP(AG$1,main!$A$3:$I$56,5,FALSE)-VLOOKUP($A89,main!$A$3:$I$56,6,FALSE)+main!$D$57,0)</f>
        <v>0</v>
      </c>
      <c r="AH89">
        <f>IF((phi!AH34),VLOOKUP(AH$1,main!$A$3:$I$56,5,FALSE)-VLOOKUP($A89,main!$A$3:$I$56,6,FALSE)+main!$D$57,0)</f>
        <v>0</v>
      </c>
      <c r="AI89">
        <f>IF((phi!AI34),VLOOKUP(AI$1,main!$A$3:$I$56,5,FALSE)-VLOOKUP($A89,main!$A$3:$I$56,6,FALSE)+main!$D$57,0)</f>
        <v>0</v>
      </c>
      <c r="AJ89">
        <f>IF((phi!AJ34),VLOOKUP(AJ$1,main!$A$3:$I$56,5,FALSE)-VLOOKUP($A89,main!$A$3:$I$56,6,FALSE)+main!$D$57,0)</f>
        <v>0</v>
      </c>
      <c r="AK89">
        <f>IF((phi!AK34),VLOOKUP(AK$1,main!$A$3:$I$56,5,FALSE)-VLOOKUP($A89,main!$A$3:$I$56,6,FALSE)+main!$D$57,0)</f>
        <v>210</v>
      </c>
      <c r="AL89">
        <f>IF((phi!AL34),VLOOKUP(AL$1,main!$A$3:$I$56,5,FALSE)-VLOOKUP($A89,main!$A$3:$I$56,6,FALSE)+main!$D$57,0)</f>
        <v>0</v>
      </c>
      <c r="AM89">
        <f>IF((phi!AM34),VLOOKUP(AM$1,main!$A$3:$I$56,5,FALSE)-VLOOKUP($A89,main!$A$3:$I$56,6,FALSE)+main!$D$57,0)</f>
        <v>0</v>
      </c>
      <c r="AN89">
        <f>IF((phi!AN34),VLOOKUP(AN$1,main!$A$3:$I$56,5,FALSE)-VLOOKUP($A89,main!$A$3:$I$56,6,FALSE)+main!$D$57,0)</f>
        <v>0</v>
      </c>
      <c r="AO89">
        <f>IF((phi!AO34),VLOOKUP(AO$1,main!$A$3:$I$56,5,FALSE)-VLOOKUP($A89,main!$A$3:$I$56,6,FALSE)+main!$D$57,0)</f>
        <v>0</v>
      </c>
      <c r="AP89">
        <f>IF((phi!AP34),VLOOKUP(AP$1,main!$A$3:$I$56,5,FALSE)-VLOOKUP($A89,main!$A$3:$I$56,6,FALSE)+main!$D$57,0)</f>
        <v>0</v>
      </c>
      <c r="AQ89">
        <f>IF((phi!AQ34),VLOOKUP(AQ$1,main!$A$3:$I$56,5,FALSE)-VLOOKUP($A89,main!$A$3:$I$56,6,FALSE)+main!$D$57,0)</f>
        <v>0</v>
      </c>
      <c r="AR89">
        <f>IF((phi!AR34),VLOOKUP(AR$1,main!$A$3:$I$56,5,FALSE)-VLOOKUP($A89,main!$A$3:$I$56,6,FALSE)+main!$D$57,0)</f>
        <v>0</v>
      </c>
      <c r="AS89">
        <f>IF((phi!AS34),VLOOKUP(AS$1,main!$A$3:$I$56,5,FALSE)-VLOOKUP($A89,main!$A$3:$I$56,6,FALSE)+main!$D$57,0)</f>
        <v>0</v>
      </c>
      <c r="AT89">
        <f>IF((phi!AT34),VLOOKUP(AT$1,main!$A$3:$I$56,5,FALSE)-VLOOKUP($A89,main!$A$3:$I$56,6,FALSE)+main!$D$57,0)</f>
        <v>0</v>
      </c>
      <c r="AU89">
        <f>IF((phi!AU34),VLOOKUP(AU$1,main!$A$3:$I$56,5,FALSE)-VLOOKUP($A89,main!$A$3:$I$56,6,FALSE)+main!$D$57,0)</f>
        <v>0</v>
      </c>
      <c r="AV89">
        <f>IF((phi!AV34),VLOOKUP(AV$1,main!$A$3:$I$56,5,FALSE)-VLOOKUP($A89,main!$A$3:$I$56,6,FALSE)+main!$D$57,0)</f>
        <v>0</v>
      </c>
      <c r="AW89">
        <f>IF((phi!AW34),VLOOKUP(AW$1,main!$A$3:$I$56,5,FALSE)-VLOOKUP($A89,main!$A$3:$I$56,6,FALSE)+main!$D$57,0)</f>
        <v>0</v>
      </c>
      <c r="AX89">
        <f>IF((phi!AX34),VLOOKUP(AX$1,main!$A$3:$I$56,5,FALSE)-VLOOKUP($A89,main!$A$3:$I$56,6,FALSE)+main!$D$57,0)</f>
        <v>170</v>
      </c>
      <c r="AY89">
        <f>IF((phi!AY34),VLOOKUP(AY$1,main!$A$3:$I$56,5,FALSE)-VLOOKUP($A89,main!$A$3:$I$56,6,FALSE)+main!$D$57,0)</f>
        <v>370</v>
      </c>
      <c r="AZ89">
        <f>IF((phi!AZ34),VLOOKUP(AZ$1,main!$A$3:$I$56,5,FALSE)-VLOOKUP($A89,main!$A$3:$I$56,6,FALSE)+main!$D$57,0)</f>
        <v>0</v>
      </c>
      <c r="BA89">
        <f>IF((phi!BA34),VLOOKUP(BA$1,main!$A$3:$I$56,5,FALSE)-VLOOKUP($A89,main!$A$3:$I$56,6,FALSE)+main!$D$57,0)</f>
        <v>0</v>
      </c>
      <c r="BB89">
        <f>IF((phi!BB34),VLOOKUP(BB$1,main!$A$3:$I$56,5,FALSE)-VLOOKUP($A89,main!$A$3:$I$56,6,FALSE)+main!$D$57,0)</f>
        <v>0</v>
      </c>
      <c r="BC89">
        <f>IF((phi!BC34),VLOOKUP(BC$1,main!$A$3:$I$56,5,FALSE)-VLOOKUP($A89,main!$A$3:$I$56,6,FALSE)+main!$D$57,0)</f>
        <v>135</v>
      </c>
      <c r="BD89">
        <f>IF((phi!BD34),VLOOKUP(BD$1,main!$A$3:$I$56,5,FALSE)-VLOOKUP($A89,main!$A$3:$I$56,6,FALSE)+main!$D$57,0)</f>
        <v>145</v>
      </c>
    </row>
    <row r="90" spans="1:56" x14ac:dyDescent="0.25">
      <c r="A90">
        <f t="shared" si="3"/>
        <v>33</v>
      </c>
      <c r="B90">
        <v>0</v>
      </c>
      <c r="C90">
        <f>IF((phi!C35),VLOOKUP(C$1,main!$A$3:$I$56,5,FALSE)-VLOOKUP($A90,main!$A$3:$I$56,6,FALSE)+main!$D$57,0)</f>
        <v>0</v>
      </c>
      <c r="D90">
        <f>IF((phi!D35),VLOOKUP(D$1,main!$A$3:$I$56,5,FALSE)-VLOOKUP($A90,main!$A$3:$I$56,6,FALSE)+main!$D$57,0)</f>
        <v>0</v>
      </c>
      <c r="E90">
        <f>IF((phi!E35),VLOOKUP(E$1,main!$A$3:$I$56,5,FALSE)-VLOOKUP($A90,main!$A$3:$I$56,6,FALSE)+main!$D$57,0)</f>
        <v>0</v>
      </c>
      <c r="F90">
        <f>IF((phi!F35),VLOOKUP(F$1,main!$A$3:$I$56,5,FALSE)-VLOOKUP($A90,main!$A$3:$I$56,6,FALSE)+main!$D$57,0)</f>
        <v>0</v>
      </c>
      <c r="G90">
        <f>IF((phi!G35),VLOOKUP(G$1,main!$A$3:$I$56,5,FALSE)-VLOOKUP($A90,main!$A$3:$I$56,6,FALSE)+main!$D$57,0)</f>
        <v>0</v>
      </c>
      <c r="H90">
        <f>IF((phi!H35),VLOOKUP(H$1,main!$A$3:$I$56,5,FALSE)-VLOOKUP($A90,main!$A$3:$I$56,6,FALSE)+main!$D$57,0)</f>
        <v>0</v>
      </c>
      <c r="I90">
        <f>IF((phi!I35),VLOOKUP(I$1,main!$A$3:$I$56,5,FALSE)-VLOOKUP($A90,main!$A$3:$I$56,6,FALSE)+main!$D$57,0)</f>
        <v>150</v>
      </c>
      <c r="J90">
        <f>IF((phi!J35),VLOOKUP(J$1,main!$A$3:$I$56,5,FALSE)-VLOOKUP($A90,main!$A$3:$I$56,6,FALSE)+main!$D$57,0)</f>
        <v>240</v>
      </c>
      <c r="K90">
        <f>IF((phi!K35),VLOOKUP(K$1,main!$A$3:$I$56,5,FALSE)-VLOOKUP($A90,main!$A$3:$I$56,6,FALSE)+main!$D$57,0)</f>
        <v>0</v>
      </c>
      <c r="L90">
        <f>IF((phi!L35),VLOOKUP(L$1,main!$A$3:$I$56,5,FALSE)-VLOOKUP($A90,main!$A$3:$I$56,6,FALSE)+main!$D$57,0)</f>
        <v>0</v>
      </c>
      <c r="M90">
        <f>IF((phi!M35),VLOOKUP(M$1,main!$A$3:$I$56,5,FALSE)-VLOOKUP($A90,main!$A$3:$I$56,6,FALSE)+main!$D$57,0)</f>
        <v>0</v>
      </c>
      <c r="N90">
        <f>IF((phi!N35),VLOOKUP(N$1,main!$A$3:$I$56,5,FALSE)-VLOOKUP($A90,main!$A$3:$I$56,6,FALSE)+main!$D$57,0)</f>
        <v>205</v>
      </c>
      <c r="O90">
        <f>IF((phi!O35),VLOOKUP(O$1,main!$A$3:$I$56,5,FALSE)-VLOOKUP($A90,main!$A$3:$I$56,6,FALSE)+main!$D$57,0)</f>
        <v>265</v>
      </c>
      <c r="P90">
        <f>IF((phi!P35),VLOOKUP(P$1,main!$A$3:$I$56,5,FALSE)-VLOOKUP($A90,main!$A$3:$I$56,6,FALSE)+main!$D$57,0)</f>
        <v>0</v>
      </c>
      <c r="Q90">
        <f>IF((phi!Q35),VLOOKUP(Q$1,main!$A$3:$I$56,5,FALSE)-VLOOKUP($A90,main!$A$3:$I$56,6,FALSE)+main!$D$57,0)</f>
        <v>0</v>
      </c>
      <c r="R90">
        <f>IF((phi!R35),VLOOKUP(R$1,main!$A$3:$I$56,5,FALSE)-VLOOKUP($A90,main!$A$3:$I$56,6,FALSE)+main!$D$57,0)</f>
        <v>0</v>
      </c>
      <c r="S90">
        <f>IF((phi!S35),VLOOKUP(S$1,main!$A$3:$I$56,5,FALSE)-VLOOKUP($A90,main!$A$3:$I$56,6,FALSE)+main!$D$57,0)</f>
        <v>0</v>
      </c>
      <c r="T90">
        <f>IF((phi!T35),VLOOKUP(T$1,main!$A$3:$I$56,5,FALSE)-VLOOKUP($A90,main!$A$3:$I$56,6,FALSE)+main!$D$57,0)</f>
        <v>170</v>
      </c>
      <c r="U90">
        <f>IF((phi!U35),VLOOKUP(U$1,main!$A$3:$I$56,5,FALSE)-VLOOKUP($A90,main!$A$3:$I$56,6,FALSE)+main!$D$57,0)</f>
        <v>0</v>
      </c>
      <c r="V90">
        <f>IF((phi!V35),VLOOKUP(V$1,main!$A$3:$I$56,5,FALSE)-VLOOKUP($A90,main!$A$3:$I$56,6,FALSE)+main!$D$57,0)</f>
        <v>0</v>
      </c>
      <c r="W90">
        <f>IF((phi!W35),VLOOKUP(W$1,main!$A$3:$I$56,5,FALSE)-VLOOKUP($A90,main!$A$3:$I$56,6,FALSE)+main!$D$57,0)</f>
        <v>0</v>
      </c>
      <c r="X90">
        <f>IF((phi!X35),VLOOKUP(X$1,main!$A$3:$I$56,5,FALSE)-VLOOKUP($A90,main!$A$3:$I$56,6,FALSE)+main!$D$57,0)</f>
        <v>0</v>
      </c>
      <c r="Y90">
        <f>IF((phi!Y35),VLOOKUP(Y$1,main!$A$3:$I$56,5,FALSE)-VLOOKUP($A90,main!$A$3:$I$56,6,FALSE)+main!$D$57,0)</f>
        <v>0</v>
      </c>
      <c r="Z90">
        <f>IF((phi!Z35),VLOOKUP(Z$1,main!$A$3:$I$56,5,FALSE)-VLOOKUP($A90,main!$A$3:$I$56,6,FALSE)+main!$D$57,0)</f>
        <v>0</v>
      </c>
      <c r="AA90">
        <f>IF((phi!AA35),VLOOKUP(AA$1,main!$A$3:$I$56,5,FALSE)-VLOOKUP($A90,main!$A$3:$I$56,6,FALSE)+main!$D$57,0)</f>
        <v>130</v>
      </c>
      <c r="AB90">
        <f>IF((phi!AB35),VLOOKUP(AB$1,main!$A$3:$I$56,5,FALSE)-VLOOKUP($A90,main!$A$3:$I$56,6,FALSE)+main!$D$57,0)</f>
        <v>190</v>
      </c>
      <c r="AC90">
        <f>IF((phi!AC35),VLOOKUP(AC$1,main!$A$3:$I$56,5,FALSE)-VLOOKUP($A90,main!$A$3:$I$56,6,FALSE)+main!$D$57,0)</f>
        <v>0</v>
      </c>
      <c r="AD90">
        <f>IF((phi!AD35),VLOOKUP(AD$1,main!$A$3:$I$56,5,FALSE)-VLOOKUP($A90,main!$A$3:$I$56,6,FALSE)+main!$D$57,0)</f>
        <v>0</v>
      </c>
      <c r="AE90">
        <f>IF((phi!AE35),VLOOKUP(AE$1,main!$A$3:$I$56,5,FALSE)-VLOOKUP($A90,main!$A$3:$I$56,6,FALSE)+main!$D$57,0)</f>
        <v>0</v>
      </c>
      <c r="AF90">
        <f>IF((phi!AF35),VLOOKUP(AF$1,main!$A$3:$I$56,5,FALSE)-VLOOKUP($A90,main!$A$3:$I$56,6,FALSE)+main!$D$57,0)</f>
        <v>0</v>
      </c>
      <c r="AG90">
        <f>IF((phi!AG35),VLOOKUP(AG$1,main!$A$3:$I$56,5,FALSE)-VLOOKUP($A90,main!$A$3:$I$56,6,FALSE)+main!$D$57,0)</f>
        <v>0</v>
      </c>
      <c r="AH90">
        <f>IF((phi!AH35),VLOOKUP(AH$1,main!$A$3:$I$56,5,FALSE)-VLOOKUP($A90,main!$A$3:$I$56,6,FALSE)+main!$D$57,0)</f>
        <v>0</v>
      </c>
      <c r="AI90">
        <f>IF((phi!AI35),VLOOKUP(AI$1,main!$A$3:$I$56,5,FALSE)-VLOOKUP($A90,main!$A$3:$I$56,6,FALSE)+main!$D$57,0)</f>
        <v>0</v>
      </c>
      <c r="AJ90">
        <f>IF((phi!AJ35),VLOOKUP(AJ$1,main!$A$3:$I$56,5,FALSE)-VLOOKUP($A90,main!$A$3:$I$56,6,FALSE)+main!$D$57,0)</f>
        <v>0</v>
      </c>
      <c r="AK90">
        <f>IF((phi!AK35),VLOOKUP(AK$1,main!$A$3:$I$56,5,FALSE)-VLOOKUP($A90,main!$A$3:$I$56,6,FALSE)+main!$D$57,0)</f>
        <v>0</v>
      </c>
      <c r="AL90">
        <f>IF((phi!AL35),VLOOKUP(AL$1,main!$A$3:$I$56,5,FALSE)-VLOOKUP($A90,main!$A$3:$I$56,6,FALSE)+main!$D$57,0)</f>
        <v>0</v>
      </c>
      <c r="AM90">
        <f>IF((phi!AM35),VLOOKUP(AM$1,main!$A$3:$I$56,5,FALSE)-VLOOKUP($A90,main!$A$3:$I$56,6,FALSE)+main!$D$57,0)</f>
        <v>0</v>
      </c>
      <c r="AN90">
        <f>IF((phi!AN35),VLOOKUP(AN$1,main!$A$3:$I$56,5,FALSE)-VLOOKUP($A90,main!$A$3:$I$56,6,FALSE)+main!$D$57,0)</f>
        <v>0</v>
      </c>
      <c r="AO90">
        <f>IF((phi!AO35),VLOOKUP(AO$1,main!$A$3:$I$56,5,FALSE)-VLOOKUP($A90,main!$A$3:$I$56,6,FALSE)+main!$D$57,0)</f>
        <v>0</v>
      </c>
      <c r="AP90">
        <f>IF((phi!AP35),VLOOKUP(AP$1,main!$A$3:$I$56,5,FALSE)-VLOOKUP($A90,main!$A$3:$I$56,6,FALSE)+main!$D$57,0)</f>
        <v>0</v>
      </c>
      <c r="AQ90">
        <f>IF((phi!AQ35),VLOOKUP(AQ$1,main!$A$3:$I$56,5,FALSE)-VLOOKUP($A90,main!$A$3:$I$56,6,FALSE)+main!$D$57,0)</f>
        <v>0</v>
      </c>
      <c r="AR90">
        <f>IF((phi!AR35),VLOOKUP(AR$1,main!$A$3:$I$56,5,FALSE)-VLOOKUP($A90,main!$A$3:$I$56,6,FALSE)+main!$D$57,0)</f>
        <v>0</v>
      </c>
      <c r="AS90">
        <f>IF((phi!AS35),VLOOKUP(AS$1,main!$A$3:$I$56,5,FALSE)-VLOOKUP($A90,main!$A$3:$I$56,6,FALSE)+main!$D$57,0)</f>
        <v>0</v>
      </c>
      <c r="AT90">
        <f>IF((phi!AT35),VLOOKUP(AT$1,main!$A$3:$I$56,5,FALSE)-VLOOKUP($A90,main!$A$3:$I$56,6,FALSE)+main!$D$57,0)</f>
        <v>0</v>
      </c>
      <c r="AU90">
        <f>IF((phi!AU35),VLOOKUP(AU$1,main!$A$3:$I$56,5,FALSE)-VLOOKUP($A90,main!$A$3:$I$56,6,FALSE)+main!$D$57,0)</f>
        <v>0</v>
      </c>
      <c r="AV90">
        <f>IF((phi!AV35),VLOOKUP(AV$1,main!$A$3:$I$56,5,FALSE)-VLOOKUP($A90,main!$A$3:$I$56,6,FALSE)+main!$D$57,0)</f>
        <v>0</v>
      </c>
      <c r="AW90">
        <f>IF((phi!AW35),VLOOKUP(AW$1,main!$A$3:$I$56,5,FALSE)-VLOOKUP($A90,main!$A$3:$I$56,6,FALSE)+main!$D$57,0)</f>
        <v>0</v>
      </c>
      <c r="AX90">
        <f>IF((phi!AX35),VLOOKUP(AX$1,main!$A$3:$I$56,5,FALSE)-VLOOKUP($A90,main!$A$3:$I$56,6,FALSE)+main!$D$57,0)</f>
        <v>0</v>
      </c>
      <c r="AY90">
        <f>IF((phi!AY35),VLOOKUP(AY$1,main!$A$3:$I$56,5,FALSE)-VLOOKUP($A90,main!$A$3:$I$56,6,FALSE)+main!$D$57,0)</f>
        <v>250</v>
      </c>
      <c r="AZ90">
        <f>IF((phi!AZ35),VLOOKUP(AZ$1,main!$A$3:$I$56,5,FALSE)-VLOOKUP($A90,main!$A$3:$I$56,6,FALSE)+main!$D$57,0)</f>
        <v>0</v>
      </c>
      <c r="BA90">
        <f>IF((phi!BA35),VLOOKUP(BA$1,main!$A$3:$I$56,5,FALSE)-VLOOKUP($A90,main!$A$3:$I$56,6,FALSE)+main!$D$57,0)</f>
        <v>0</v>
      </c>
      <c r="BB90">
        <f>IF((phi!BB35),VLOOKUP(BB$1,main!$A$3:$I$56,5,FALSE)-VLOOKUP($A90,main!$A$3:$I$56,6,FALSE)+main!$D$57,0)</f>
        <v>0</v>
      </c>
      <c r="BC90">
        <f>IF((phi!BC35),VLOOKUP(BC$1,main!$A$3:$I$56,5,FALSE)-VLOOKUP($A90,main!$A$3:$I$56,6,FALSE)+main!$D$57,0)</f>
        <v>0</v>
      </c>
      <c r="BD90">
        <f>IF((phi!BD35),VLOOKUP(BD$1,main!$A$3:$I$56,5,FALSE)-VLOOKUP($A90,main!$A$3:$I$56,6,FALSE)+main!$D$57,0)</f>
        <v>0</v>
      </c>
    </row>
    <row r="91" spans="1:56" x14ac:dyDescent="0.25">
      <c r="A91">
        <f t="shared" si="3"/>
        <v>34</v>
      </c>
      <c r="B91">
        <v>0</v>
      </c>
      <c r="C91">
        <f>IF((phi!C36),VLOOKUP(C$1,main!$A$3:$I$56,5,FALSE)-VLOOKUP($A91,main!$A$3:$I$56,6,FALSE)+main!$D$57,0)</f>
        <v>0</v>
      </c>
      <c r="D91">
        <f>IF((phi!D36),VLOOKUP(D$1,main!$A$3:$I$56,5,FALSE)-VLOOKUP($A91,main!$A$3:$I$56,6,FALSE)+main!$D$57,0)</f>
        <v>0</v>
      </c>
      <c r="E91">
        <f>IF((phi!E36),VLOOKUP(E$1,main!$A$3:$I$56,5,FALSE)-VLOOKUP($A91,main!$A$3:$I$56,6,FALSE)+main!$D$57,0)</f>
        <v>0</v>
      </c>
      <c r="F91">
        <f>IF((phi!F36),VLOOKUP(F$1,main!$A$3:$I$56,5,FALSE)-VLOOKUP($A91,main!$A$3:$I$56,6,FALSE)+main!$D$57,0)</f>
        <v>0</v>
      </c>
      <c r="G91">
        <f>IF((phi!G36),VLOOKUP(G$1,main!$A$3:$I$56,5,FALSE)-VLOOKUP($A91,main!$A$3:$I$56,6,FALSE)+main!$D$57,0)</f>
        <v>0</v>
      </c>
      <c r="H91">
        <f>IF((phi!H36),VLOOKUP(H$1,main!$A$3:$I$56,5,FALSE)-VLOOKUP($A91,main!$A$3:$I$56,6,FALSE)+main!$D$57,0)</f>
        <v>0</v>
      </c>
      <c r="I91">
        <f>IF((phi!I36),VLOOKUP(I$1,main!$A$3:$I$56,5,FALSE)-VLOOKUP($A91,main!$A$3:$I$56,6,FALSE)+main!$D$57,0)</f>
        <v>0</v>
      </c>
      <c r="J91">
        <f>IF((phi!J36),VLOOKUP(J$1,main!$A$3:$I$56,5,FALSE)-VLOOKUP($A91,main!$A$3:$I$56,6,FALSE)+main!$D$57,0)</f>
        <v>180</v>
      </c>
      <c r="K91">
        <f>IF((phi!K36),VLOOKUP(K$1,main!$A$3:$I$56,5,FALSE)-VLOOKUP($A91,main!$A$3:$I$56,6,FALSE)+main!$D$57,0)</f>
        <v>0</v>
      </c>
      <c r="L91">
        <f>IF((phi!L36),VLOOKUP(L$1,main!$A$3:$I$56,5,FALSE)-VLOOKUP($A91,main!$A$3:$I$56,6,FALSE)+main!$D$57,0)</f>
        <v>0</v>
      </c>
      <c r="M91">
        <f>IF((phi!M36),VLOOKUP(M$1,main!$A$3:$I$56,5,FALSE)-VLOOKUP($A91,main!$A$3:$I$56,6,FALSE)+main!$D$57,0)</f>
        <v>0</v>
      </c>
      <c r="N91">
        <f>IF((phi!N36),VLOOKUP(N$1,main!$A$3:$I$56,5,FALSE)-VLOOKUP($A91,main!$A$3:$I$56,6,FALSE)+main!$D$57,0)</f>
        <v>145</v>
      </c>
      <c r="O91">
        <f>IF((phi!O36),VLOOKUP(O$1,main!$A$3:$I$56,5,FALSE)-VLOOKUP($A91,main!$A$3:$I$56,6,FALSE)+main!$D$57,0)</f>
        <v>205</v>
      </c>
      <c r="P91">
        <f>IF((phi!P36),VLOOKUP(P$1,main!$A$3:$I$56,5,FALSE)-VLOOKUP($A91,main!$A$3:$I$56,6,FALSE)+main!$D$57,0)</f>
        <v>0</v>
      </c>
      <c r="Q91">
        <f>IF((phi!Q36),VLOOKUP(Q$1,main!$A$3:$I$56,5,FALSE)-VLOOKUP($A91,main!$A$3:$I$56,6,FALSE)+main!$D$57,0)</f>
        <v>0</v>
      </c>
      <c r="R91">
        <f>IF((phi!R36),VLOOKUP(R$1,main!$A$3:$I$56,5,FALSE)-VLOOKUP($A91,main!$A$3:$I$56,6,FALSE)+main!$D$57,0)</f>
        <v>0</v>
      </c>
      <c r="S91">
        <f>IF((phi!S36),VLOOKUP(S$1,main!$A$3:$I$56,5,FALSE)-VLOOKUP($A91,main!$A$3:$I$56,6,FALSE)+main!$D$57,0)</f>
        <v>0</v>
      </c>
      <c r="T91">
        <f>IF((phi!T36),VLOOKUP(T$1,main!$A$3:$I$56,5,FALSE)-VLOOKUP($A91,main!$A$3:$I$56,6,FALSE)+main!$D$57,0)</f>
        <v>0</v>
      </c>
      <c r="U91">
        <f>IF((phi!U36),VLOOKUP(U$1,main!$A$3:$I$56,5,FALSE)-VLOOKUP($A91,main!$A$3:$I$56,6,FALSE)+main!$D$57,0)</f>
        <v>0</v>
      </c>
      <c r="V91">
        <f>IF((phi!V36),VLOOKUP(V$1,main!$A$3:$I$56,5,FALSE)-VLOOKUP($A91,main!$A$3:$I$56,6,FALSE)+main!$D$57,0)</f>
        <v>0</v>
      </c>
      <c r="W91">
        <f>IF((phi!W36),VLOOKUP(W$1,main!$A$3:$I$56,5,FALSE)-VLOOKUP($A91,main!$A$3:$I$56,6,FALSE)+main!$D$57,0)</f>
        <v>0</v>
      </c>
      <c r="X91">
        <f>IF((phi!X36),VLOOKUP(X$1,main!$A$3:$I$56,5,FALSE)-VLOOKUP($A91,main!$A$3:$I$56,6,FALSE)+main!$D$57,0)</f>
        <v>0</v>
      </c>
      <c r="Y91">
        <f>IF((phi!Y36),VLOOKUP(Y$1,main!$A$3:$I$56,5,FALSE)-VLOOKUP($A91,main!$A$3:$I$56,6,FALSE)+main!$D$57,0)</f>
        <v>0</v>
      </c>
      <c r="Z91">
        <f>IF((phi!Z36),VLOOKUP(Z$1,main!$A$3:$I$56,5,FALSE)-VLOOKUP($A91,main!$A$3:$I$56,6,FALSE)+main!$D$57,0)</f>
        <v>0</v>
      </c>
      <c r="AA91">
        <f>IF((phi!AA36),VLOOKUP(AA$1,main!$A$3:$I$56,5,FALSE)-VLOOKUP($A91,main!$A$3:$I$56,6,FALSE)+main!$D$57,0)</f>
        <v>0</v>
      </c>
      <c r="AB91">
        <f>IF((phi!AB36),VLOOKUP(AB$1,main!$A$3:$I$56,5,FALSE)-VLOOKUP($A91,main!$A$3:$I$56,6,FALSE)+main!$D$57,0)</f>
        <v>130</v>
      </c>
      <c r="AC91">
        <f>IF((phi!AC36),VLOOKUP(AC$1,main!$A$3:$I$56,5,FALSE)-VLOOKUP($A91,main!$A$3:$I$56,6,FALSE)+main!$D$57,0)</f>
        <v>0</v>
      </c>
      <c r="AD91">
        <f>IF((phi!AD36),VLOOKUP(AD$1,main!$A$3:$I$56,5,FALSE)-VLOOKUP($A91,main!$A$3:$I$56,6,FALSE)+main!$D$57,0)</f>
        <v>0</v>
      </c>
      <c r="AE91">
        <f>IF((phi!AE36),VLOOKUP(AE$1,main!$A$3:$I$56,5,FALSE)-VLOOKUP($A91,main!$A$3:$I$56,6,FALSE)+main!$D$57,0)</f>
        <v>0</v>
      </c>
      <c r="AF91">
        <f>IF((phi!AF36),VLOOKUP(AF$1,main!$A$3:$I$56,5,FALSE)-VLOOKUP($A91,main!$A$3:$I$56,6,FALSE)+main!$D$57,0)</f>
        <v>0</v>
      </c>
      <c r="AG91">
        <f>IF((phi!AG36),VLOOKUP(AG$1,main!$A$3:$I$56,5,FALSE)-VLOOKUP($A91,main!$A$3:$I$56,6,FALSE)+main!$D$57,0)</f>
        <v>0</v>
      </c>
      <c r="AH91">
        <f>IF((phi!AH36),VLOOKUP(AH$1,main!$A$3:$I$56,5,FALSE)-VLOOKUP($A91,main!$A$3:$I$56,6,FALSE)+main!$D$57,0)</f>
        <v>0</v>
      </c>
      <c r="AI91">
        <f>IF((phi!AI36),VLOOKUP(AI$1,main!$A$3:$I$56,5,FALSE)-VLOOKUP($A91,main!$A$3:$I$56,6,FALSE)+main!$D$57,0)</f>
        <v>0</v>
      </c>
      <c r="AJ91">
        <f>IF((phi!AJ36),VLOOKUP(AJ$1,main!$A$3:$I$56,5,FALSE)-VLOOKUP($A91,main!$A$3:$I$56,6,FALSE)+main!$D$57,0)</f>
        <v>0</v>
      </c>
      <c r="AK91">
        <f>IF((phi!AK36),VLOOKUP(AK$1,main!$A$3:$I$56,5,FALSE)-VLOOKUP($A91,main!$A$3:$I$56,6,FALSE)+main!$D$57,0)</f>
        <v>0</v>
      </c>
      <c r="AL91">
        <f>IF((phi!AL36),VLOOKUP(AL$1,main!$A$3:$I$56,5,FALSE)-VLOOKUP($A91,main!$A$3:$I$56,6,FALSE)+main!$D$57,0)</f>
        <v>0</v>
      </c>
      <c r="AM91">
        <f>IF((phi!AM36),VLOOKUP(AM$1,main!$A$3:$I$56,5,FALSE)-VLOOKUP($A91,main!$A$3:$I$56,6,FALSE)+main!$D$57,0)</f>
        <v>0</v>
      </c>
      <c r="AN91">
        <f>IF((phi!AN36),VLOOKUP(AN$1,main!$A$3:$I$56,5,FALSE)-VLOOKUP($A91,main!$A$3:$I$56,6,FALSE)+main!$D$57,0)</f>
        <v>0</v>
      </c>
      <c r="AO91">
        <f>IF((phi!AO36),VLOOKUP(AO$1,main!$A$3:$I$56,5,FALSE)-VLOOKUP($A91,main!$A$3:$I$56,6,FALSE)+main!$D$57,0)</f>
        <v>0</v>
      </c>
      <c r="AP91">
        <f>IF((phi!AP36),VLOOKUP(AP$1,main!$A$3:$I$56,5,FALSE)-VLOOKUP($A91,main!$A$3:$I$56,6,FALSE)+main!$D$57,0)</f>
        <v>0</v>
      </c>
      <c r="AQ91">
        <f>IF((phi!AQ36),VLOOKUP(AQ$1,main!$A$3:$I$56,5,FALSE)-VLOOKUP($A91,main!$A$3:$I$56,6,FALSE)+main!$D$57,0)</f>
        <v>0</v>
      </c>
      <c r="AR91">
        <f>IF((phi!AR36),VLOOKUP(AR$1,main!$A$3:$I$56,5,FALSE)-VLOOKUP($A91,main!$A$3:$I$56,6,FALSE)+main!$D$57,0)</f>
        <v>0</v>
      </c>
      <c r="AS91">
        <f>IF((phi!AS36),VLOOKUP(AS$1,main!$A$3:$I$56,5,FALSE)-VLOOKUP($A91,main!$A$3:$I$56,6,FALSE)+main!$D$57,0)</f>
        <v>0</v>
      </c>
      <c r="AT91">
        <f>IF((phi!AT36),VLOOKUP(AT$1,main!$A$3:$I$56,5,FALSE)-VLOOKUP($A91,main!$A$3:$I$56,6,FALSE)+main!$D$57,0)</f>
        <v>0</v>
      </c>
      <c r="AU91">
        <f>IF((phi!AU36),VLOOKUP(AU$1,main!$A$3:$I$56,5,FALSE)-VLOOKUP($A91,main!$A$3:$I$56,6,FALSE)+main!$D$57,0)</f>
        <v>0</v>
      </c>
      <c r="AV91">
        <f>IF((phi!AV36),VLOOKUP(AV$1,main!$A$3:$I$56,5,FALSE)-VLOOKUP($A91,main!$A$3:$I$56,6,FALSE)+main!$D$57,0)</f>
        <v>0</v>
      </c>
      <c r="AW91">
        <f>IF((phi!AW36),VLOOKUP(AW$1,main!$A$3:$I$56,5,FALSE)-VLOOKUP($A91,main!$A$3:$I$56,6,FALSE)+main!$D$57,0)</f>
        <v>0</v>
      </c>
      <c r="AX91">
        <f>IF((phi!AX36),VLOOKUP(AX$1,main!$A$3:$I$56,5,FALSE)-VLOOKUP($A91,main!$A$3:$I$56,6,FALSE)+main!$D$57,0)</f>
        <v>0</v>
      </c>
      <c r="AY91">
        <f>IF((phi!AY36),VLOOKUP(AY$1,main!$A$3:$I$56,5,FALSE)-VLOOKUP($A91,main!$A$3:$I$56,6,FALSE)+main!$D$57,0)</f>
        <v>190</v>
      </c>
      <c r="AZ91">
        <f>IF((phi!AZ36),VLOOKUP(AZ$1,main!$A$3:$I$56,5,FALSE)-VLOOKUP($A91,main!$A$3:$I$56,6,FALSE)+main!$D$57,0)</f>
        <v>0</v>
      </c>
      <c r="BA91">
        <f>IF((phi!BA36),VLOOKUP(BA$1,main!$A$3:$I$56,5,FALSE)-VLOOKUP($A91,main!$A$3:$I$56,6,FALSE)+main!$D$57,0)</f>
        <v>0</v>
      </c>
      <c r="BB91">
        <f>IF((phi!BB36),VLOOKUP(BB$1,main!$A$3:$I$56,5,FALSE)-VLOOKUP($A91,main!$A$3:$I$56,6,FALSE)+main!$D$57,0)</f>
        <v>0</v>
      </c>
      <c r="BC91">
        <f>IF((phi!BC36),VLOOKUP(BC$1,main!$A$3:$I$56,5,FALSE)-VLOOKUP($A91,main!$A$3:$I$56,6,FALSE)+main!$D$57,0)</f>
        <v>0</v>
      </c>
      <c r="BD91">
        <f>IF((phi!BD36),VLOOKUP(BD$1,main!$A$3:$I$56,5,FALSE)-VLOOKUP($A91,main!$A$3:$I$56,6,FALSE)+main!$D$57,0)</f>
        <v>0</v>
      </c>
    </row>
    <row r="92" spans="1:56" x14ac:dyDescent="0.25">
      <c r="A92">
        <f t="shared" si="3"/>
        <v>35</v>
      </c>
      <c r="B92">
        <v>0</v>
      </c>
      <c r="C92">
        <f>IF((phi!C37),VLOOKUP(C$1,main!$A$3:$I$56,5,FALSE)-VLOOKUP($A92,main!$A$3:$I$56,6,FALSE)+main!$D$57,0)</f>
        <v>0</v>
      </c>
      <c r="D92">
        <f>IF((phi!D37),VLOOKUP(D$1,main!$A$3:$I$56,5,FALSE)-VLOOKUP($A92,main!$A$3:$I$56,6,FALSE)+main!$D$57,0)</f>
        <v>0</v>
      </c>
      <c r="E92">
        <f>IF((phi!E37),VLOOKUP(E$1,main!$A$3:$I$56,5,FALSE)-VLOOKUP($A92,main!$A$3:$I$56,6,FALSE)+main!$D$57,0)</f>
        <v>0</v>
      </c>
      <c r="F92">
        <f>IF((phi!F37),VLOOKUP(F$1,main!$A$3:$I$56,5,FALSE)-VLOOKUP($A92,main!$A$3:$I$56,6,FALSE)+main!$D$57,0)</f>
        <v>0</v>
      </c>
      <c r="G92">
        <f>IF((phi!G37),VLOOKUP(G$1,main!$A$3:$I$56,5,FALSE)-VLOOKUP($A92,main!$A$3:$I$56,6,FALSE)+main!$D$57,0)</f>
        <v>0</v>
      </c>
      <c r="H92">
        <f>IF((phi!H37),VLOOKUP(H$1,main!$A$3:$I$56,5,FALSE)-VLOOKUP($A92,main!$A$3:$I$56,6,FALSE)+main!$D$57,0)</f>
        <v>0</v>
      </c>
      <c r="I92">
        <f>IF((phi!I37),VLOOKUP(I$1,main!$A$3:$I$56,5,FALSE)-VLOOKUP($A92,main!$A$3:$I$56,6,FALSE)+main!$D$57,0)</f>
        <v>0</v>
      </c>
      <c r="J92">
        <f>IF((phi!J37),VLOOKUP(J$1,main!$A$3:$I$56,5,FALSE)-VLOOKUP($A92,main!$A$3:$I$56,6,FALSE)+main!$D$57,0)</f>
        <v>0</v>
      </c>
      <c r="K92">
        <f>IF((phi!K37),VLOOKUP(K$1,main!$A$3:$I$56,5,FALSE)-VLOOKUP($A92,main!$A$3:$I$56,6,FALSE)+main!$D$57,0)</f>
        <v>0</v>
      </c>
      <c r="L92">
        <f>IF((phi!L37),VLOOKUP(L$1,main!$A$3:$I$56,5,FALSE)-VLOOKUP($A92,main!$A$3:$I$56,6,FALSE)+main!$D$57,0)</f>
        <v>0</v>
      </c>
      <c r="M92">
        <f>IF((phi!M37),VLOOKUP(M$1,main!$A$3:$I$56,5,FALSE)-VLOOKUP($A92,main!$A$3:$I$56,6,FALSE)+main!$D$57,0)</f>
        <v>0</v>
      </c>
      <c r="N92">
        <f>IF((phi!N37),VLOOKUP(N$1,main!$A$3:$I$56,5,FALSE)-VLOOKUP($A92,main!$A$3:$I$56,6,FALSE)+main!$D$57,0)</f>
        <v>0</v>
      </c>
      <c r="O92">
        <f>IF((phi!O37),VLOOKUP(O$1,main!$A$3:$I$56,5,FALSE)-VLOOKUP($A92,main!$A$3:$I$56,6,FALSE)+main!$D$57,0)</f>
        <v>0</v>
      </c>
      <c r="P92">
        <f>IF((phi!P37),VLOOKUP(P$1,main!$A$3:$I$56,5,FALSE)-VLOOKUP($A92,main!$A$3:$I$56,6,FALSE)+main!$D$57,0)</f>
        <v>0</v>
      </c>
      <c r="Q92">
        <f>IF((phi!Q37),VLOOKUP(Q$1,main!$A$3:$I$56,5,FALSE)-VLOOKUP($A92,main!$A$3:$I$56,6,FALSE)+main!$D$57,0)</f>
        <v>0</v>
      </c>
      <c r="R92">
        <f>IF((phi!R37),VLOOKUP(R$1,main!$A$3:$I$56,5,FALSE)-VLOOKUP($A92,main!$A$3:$I$56,6,FALSE)+main!$D$57,0)</f>
        <v>0</v>
      </c>
      <c r="S92">
        <f>IF((phi!S37),VLOOKUP(S$1,main!$A$3:$I$56,5,FALSE)-VLOOKUP($A92,main!$A$3:$I$56,6,FALSE)+main!$D$57,0)</f>
        <v>0</v>
      </c>
      <c r="T92">
        <f>IF((phi!T37),VLOOKUP(T$1,main!$A$3:$I$56,5,FALSE)-VLOOKUP($A92,main!$A$3:$I$56,6,FALSE)+main!$D$57,0)</f>
        <v>0</v>
      </c>
      <c r="U92">
        <f>IF((phi!U37),VLOOKUP(U$1,main!$A$3:$I$56,5,FALSE)-VLOOKUP($A92,main!$A$3:$I$56,6,FALSE)+main!$D$57,0)</f>
        <v>0</v>
      </c>
      <c r="V92">
        <f>IF((phi!V37),VLOOKUP(V$1,main!$A$3:$I$56,5,FALSE)-VLOOKUP($A92,main!$A$3:$I$56,6,FALSE)+main!$D$57,0)</f>
        <v>0</v>
      </c>
      <c r="W92">
        <f>IF((phi!W37),VLOOKUP(W$1,main!$A$3:$I$56,5,FALSE)-VLOOKUP($A92,main!$A$3:$I$56,6,FALSE)+main!$D$57,0)</f>
        <v>0</v>
      </c>
      <c r="X92">
        <f>IF((phi!X37),VLOOKUP(X$1,main!$A$3:$I$56,5,FALSE)-VLOOKUP($A92,main!$A$3:$I$56,6,FALSE)+main!$D$57,0)</f>
        <v>0</v>
      </c>
      <c r="Y92">
        <f>IF((phi!Y37),VLOOKUP(Y$1,main!$A$3:$I$56,5,FALSE)-VLOOKUP($A92,main!$A$3:$I$56,6,FALSE)+main!$D$57,0)</f>
        <v>0</v>
      </c>
      <c r="Z92">
        <f>IF((phi!Z37),VLOOKUP(Z$1,main!$A$3:$I$56,5,FALSE)-VLOOKUP($A92,main!$A$3:$I$56,6,FALSE)+main!$D$57,0)</f>
        <v>0</v>
      </c>
      <c r="AA92">
        <f>IF((phi!AA37),VLOOKUP(AA$1,main!$A$3:$I$56,5,FALSE)-VLOOKUP($A92,main!$A$3:$I$56,6,FALSE)+main!$D$57,0)</f>
        <v>0</v>
      </c>
      <c r="AB92">
        <f>IF((phi!AB37),VLOOKUP(AB$1,main!$A$3:$I$56,5,FALSE)-VLOOKUP($A92,main!$A$3:$I$56,6,FALSE)+main!$D$57,0)</f>
        <v>0</v>
      </c>
      <c r="AC92">
        <f>IF((phi!AC37),VLOOKUP(AC$1,main!$A$3:$I$56,5,FALSE)-VLOOKUP($A92,main!$A$3:$I$56,6,FALSE)+main!$D$57,0)</f>
        <v>0</v>
      </c>
      <c r="AD92">
        <f>IF((phi!AD37),VLOOKUP(AD$1,main!$A$3:$I$56,5,FALSE)-VLOOKUP($A92,main!$A$3:$I$56,6,FALSE)+main!$D$57,0)</f>
        <v>0</v>
      </c>
      <c r="AE92">
        <f>IF((phi!AE37),VLOOKUP(AE$1,main!$A$3:$I$56,5,FALSE)-VLOOKUP($A92,main!$A$3:$I$56,6,FALSE)+main!$D$57,0)</f>
        <v>0</v>
      </c>
      <c r="AF92">
        <f>IF((phi!AF37),VLOOKUP(AF$1,main!$A$3:$I$56,5,FALSE)-VLOOKUP($A92,main!$A$3:$I$56,6,FALSE)+main!$D$57,0)</f>
        <v>0</v>
      </c>
      <c r="AG92">
        <f>IF((phi!AG37),VLOOKUP(AG$1,main!$A$3:$I$56,5,FALSE)-VLOOKUP($A92,main!$A$3:$I$56,6,FALSE)+main!$D$57,0)</f>
        <v>0</v>
      </c>
      <c r="AH92">
        <f>IF((phi!AH37),VLOOKUP(AH$1,main!$A$3:$I$56,5,FALSE)-VLOOKUP($A92,main!$A$3:$I$56,6,FALSE)+main!$D$57,0)</f>
        <v>0</v>
      </c>
      <c r="AI92">
        <f>IF((phi!AI37),VLOOKUP(AI$1,main!$A$3:$I$56,5,FALSE)-VLOOKUP($A92,main!$A$3:$I$56,6,FALSE)+main!$D$57,0)</f>
        <v>0</v>
      </c>
      <c r="AJ92">
        <f>IF((phi!AJ37),VLOOKUP(AJ$1,main!$A$3:$I$56,5,FALSE)-VLOOKUP($A92,main!$A$3:$I$56,6,FALSE)+main!$D$57,0)</f>
        <v>0</v>
      </c>
      <c r="AK92">
        <f>IF((phi!AK37),VLOOKUP(AK$1,main!$A$3:$I$56,5,FALSE)-VLOOKUP($A92,main!$A$3:$I$56,6,FALSE)+main!$D$57,0)</f>
        <v>0</v>
      </c>
      <c r="AL92">
        <f>IF((phi!AL37),VLOOKUP(AL$1,main!$A$3:$I$56,5,FALSE)-VLOOKUP($A92,main!$A$3:$I$56,6,FALSE)+main!$D$57,0)</f>
        <v>0</v>
      </c>
      <c r="AM92">
        <f>IF((phi!AM37),VLOOKUP(AM$1,main!$A$3:$I$56,5,FALSE)-VLOOKUP($A92,main!$A$3:$I$56,6,FALSE)+main!$D$57,0)</f>
        <v>0</v>
      </c>
      <c r="AN92">
        <f>IF((phi!AN37),VLOOKUP(AN$1,main!$A$3:$I$56,5,FALSE)-VLOOKUP($A92,main!$A$3:$I$56,6,FALSE)+main!$D$57,0)</f>
        <v>0</v>
      </c>
      <c r="AO92">
        <f>IF((phi!AO37),VLOOKUP(AO$1,main!$A$3:$I$56,5,FALSE)-VLOOKUP($A92,main!$A$3:$I$56,6,FALSE)+main!$D$57,0)</f>
        <v>0</v>
      </c>
      <c r="AP92">
        <f>IF((phi!AP37),VLOOKUP(AP$1,main!$A$3:$I$56,5,FALSE)-VLOOKUP($A92,main!$A$3:$I$56,6,FALSE)+main!$D$57,0)</f>
        <v>0</v>
      </c>
      <c r="AQ92">
        <f>IF((phi!AQ37),VLOOKUP(AQ$1,main!$A$3:$I$56,5,FALSE)-VLOOKUP($A92,main!$A$3:$I$56,6,FALSE)+main!$D$57,0)</f>
        <v>0</v>
      </c>
      <c r="AR92">
        <f>IF((phi!AR37),VLOOKUP(AR$1,main!$A$3:$I$56,5,FALSE)-VLOOKUP($A92,main!$A$3:$I$56,6,FALSE)+main!$D$57,0)</f>
        <v>0</v>
      </c>
      <c r="AS92">
        <f>IF((phi!AS37),VLOOKUP(AS$1,main!$A$3:$I$56,5,FALSE)-VLOOKUP($A92,main!$A$3:$I$56,6,FALSE)+main!$D$57,0)</f>
        <v>0</v>
      </c>
      <c r="AT92">
        <f>IF((phi!AT37),VLOOKUP(AT$1,main!$A$3:$I$56,5,FALSE)-VLOOKUP($A92,main!$A$3:$I$56,6,FALSE)+main!$D$57,0)</f>
        <v>0</v>
      </c>
      <c r="AU92">
        <f>IF((phi!AU37),VLOOKUP(AU$1,main!$A$3:$I$56,5,FALSE)-VLOOKUP($A92,main!$A$3:$I$56,6,FALSE)+main!$D$57,0)</f>
        <v>0</v>
      </c>
      <c r="AV92">
        <f>IF((phi!AV37),VLOOKUP(AV$1,main!$A$3:$I$56,5,FALSE)-VLOOKUP($A92,main!$A$3:$I$56,6,FALSE)+main!$D$57,0)</f>
        <v>0</v>
      </c>
      <c r="AW92">
        <f>IF((phi!AW37),VLOOKUP(AW$1,main!$A$3:$I$56,5,FALSE)-VLOOKUP($A92,main!$A$3:$I$56,6,FALSE)+main!$D$57,0)</f>
        <v>0</v>
      </c>
      <c r="AX92">
        <f>IF((phi!AX37),VLOOKUP(AX$1,main!$A$3:$I$56,5,FALSE)-VLOOKUP($A92,main!$A$3:$I$56,6,FALSE)+main!$D$57,0)</f>
        <v>0</v>
      </c>
      <c r="AY92">
        <f>IF((phi!AY37),VLOOKUP(AY$1,main!$A$3:$I$56,5,FALSE)-VLOOKUP($A92,main!$A$3:$I$56,6,FALSE)+main!$D$57,0)</f>
        <v>0</v>
      </c>
      <c r="AZ92">
        <f>IF((phi!AZ37),VLOOKUP(AZ$1,main!$A$3:$I$56,5,FALSE)-VLOOKUP($A92,main!$A$3:$I$56,6,FALSE)+main!$D$57,0)</f>
        <v>0</v>
      </c>
      <c r="BA92">
        <f>IF((phi!BA37),VLOOKUP(BA$1,main!$A$3:$I$56,5,FALSE)-VLOOKUP($A92,main!$A$3:$I$56,6,FALSE)+main!$D$57,0)</f>
        <v>0</v>
      </c>
      <c r="BB92">
        <f>IF((phi!BB37),VLOOKUP(BB$1,main!$A$3:$I$56,5,FALSE)-VLOOKUP($A92,main!$A$3:$I$56,6,FALSE)+main!$D$57,0)</f>
        <v>0</v>
      </c>
      <c r="BC92">
        <f>IF((phi!BC37),VLOOKUP(BC$1,main!$A$3:$I$56,5,FALSE)-VLOOKUP($A92,main!$A$3:$I$56,6,FALSE)+main!$D$57,0)</f>
        <v>0</v>
      </c>
      <c r="BD92">
        <f>IF((phi!BD37),VLOOKUP(BD$1,main!$A$3:$I$56,5,FALSE)-VLOOKUP($A92,main!$A$3:$I$56,6,FALSE)+main!$D$57,0)</f>
        <v>0</v>
      </c>
    </row>
    <row r="93" spans="1:56" x14ac:dyDescent="0.25">
      <c r="A93">
        <f t="shared" si="3"/>
        <v>36</v>
      </c>
      <c r="B93">
        <v>0</v>
      </c>
      <c r="C93">
        <f>IF((phi!C38),VLOOKUP(C$1,main!$A$3:$I$56,5,FALSE)-VLOOKUP($A93,main!$A$3:$I$56,6,FALSE)+main!$D$57,0)</f>
        <v>0</v>
      </c>
      <c r="D93">
        <f>IF((phi!D38),VLOOKUP(D$1,main!$A$3:$I$56,5,FALSE)-VLOOKUP($A93,main!$A$3:$I$56,6,FALSE)+main!$D$57,0)</f>
        <v>0</v>
      </c>
      <c r="E93">
        <f>IF((phi!E38),VLOOKUP(E$1,main!$A$3:$I$56,5,FALSE)-VLOOKUP($A93,main!$A$3:$I$56,6,FALSE)+main!$D$57,0)</f>
        <v>200</v>
      </c>
      <c r="F93">
        <f>IF((phi!F38),VLOOKUP(F$1,main!$A$3:$I$56,5,FALSE)-VLOOKUP($A93,main!$A$3:$I$56,6,FALSE)+main!$D$57,0)</f>
        <v>290</v>
      </c>
      <c r="G93">
        <f>IF((phi!G38),VLOOKUP(G$1,main!$A$3:$I$56,5,FALSE)-VLOOKUP($A93,main!$A$3:$I$56,6,FALSE)+main!$D$57,0)</f>
        <v>350</v>
      </c>
      <c r="H93">
        <f>IF((phi!H38),VLOOKUP(H$1,main!$A$3:$I$56,5,FALSE)-VLOOKUP($A93,main!$A$3:$I$56,6,FALSE)+main!$D$57,0)</f>
        <v>410</v>
      </c>
      <c r="I93">
        <f>IF((phi!I38),VLOOKUP(I$1,main!$A$3:$I$56,5,FALSE)-VLOOKUP($A93,main!$A$3:$I$56,6,FALSE)+main!$D$57,0)</f>
        <v>470</v>
      </c>
      <c r="J93">
        <f>IF((phi!J38),VLOOKUP(J$1,main!$A$3:$I$56,5,FALSE)-VLOOKUP($A93,main!$A$3:$I$56,6,FALSE)+main!$D$57,0)</f>
        <v>560</v>
      </c>
      <c r="K93">
        <f>IF((phi!K38),VLOOKUP(K$1,main!$A$3:$I$56,5,FALSE)-VLOOKUP($A93,main!$A$3:$I$56,6,FALSE)+main!$D$57,0)</f>
        <v>0</v>
      </c>
      <c r="L93">
        <f>IF((phi!L38),VLOOKUP(L$1,main!$A$3:$I$56,5,FALSE)-VLOOKUP($A93,main!$A$3:$I$56,6,FALSE)+main!$D$57,0)</f>
        <v>0</v>
      </c>
      <c r="M93">
        <f>IF((phi!M38),VLOOKUP(M$1,main!$A$3:$I$56,5,FALSE)-VLOOKUP($A93,main!$A$3:$I$56,6,FALSE)+main!$D$57,0)</f>
        <v>165</v>
      </c>
      <c r="N93">
        <f>IF((phi!N38),VLOOKUP(N$1,main!$A$3:$I$56,5,FALSE)-VLOOKUP($A93,main!$A$3:$I$56,6,FALSE)+main!$D$57,0)</f>
        <v>525</v>
      </c>
      <c r="O93">
        <f>IF((phi!O38),VLOOKUP(O$1,main!$A$3:$I$56,5,FALSE)-VLOOKUP($A93,main!$A$3:$I$56,6,FALSE)+main!$D$57,0)</f>
        <v>585</v>
      </c>
      <c r="P93">
        <f>IF((phi!P38),VLOOKUP(P$1,main!$A$3:$I$56,5,FALSE)-VLOOKUP($A93,main!$A$3:$I$56,6,FALSE)+main!$D$57,0)</f>
        <v>0</v>
      </c>
      <c r="Q93">
        <f>IF((phi!Q38),VLOOKUP(Q$1,main!$A$3:$I$56,5,FALSE)-VLOOKUP($A93,main!$A$3:$I$56,6,FALSE)+main!$D$57,0)</f>
        <v>0</v>
      </c>
      <c r="R93">
        <f>IF((phi!R38),VLOOKUP(R$1,main!$A$3:$I$56,5,FALSE)-VLOOKUP($A93,main!$A$3:$I$56,6,FALSE)+main!$D$57,0)</f>
        <v>160</v>
      </c>
      <c r="S93">
        <f>IF((phi!S38),VLOOKUP(S$1,main!$A$3:$I$56,5,FALSE)-VLOOKUP($A93,main!$A$3:$I$56,6,FALSE)+main!$D$57,0)</f>
        <v>340</v>
      </c>
      <c r="T93">
        <f>IF((phi!T38),VLOOKUP(T$1,main!$A$3:$I$56,5,FALSE)-VLOOKUP($A93,main!$A$3:$I$56,6,FALSE)+main!$D$57,0)</f>
        <v>490</v>
      </c>
      <c r="U93">
        <f>IF((phi!U38),VLOOKUP(U$1,main!$A$3:$I$56,5,FALSE)-VLOOKUP($A93,main!$A$3:$I$56,6,FALSE)+main!$D$57,0)</f>
        <v>0</v>
      </c>
      <c r="V93">
        <f>IF((phi!V38),VLOOKUP(V$1,main!$A$3:$I$56,5,FALSE)-VLOOKUP($A93,main!$A$3:$I$56,6,FALSE)+main!$D$57,0)</f>
        <v>0</v>
      </c>
      <c r="W93">
        <f>IF((phi!W38),VLOOKUP(W$1,main!$A$3:$I$56,5,FALSE)-VLOOKUP($A93,main!$A$3:$I$56,6,FALSE)+main!$D$57,0)</f>
        <v>0</v>
      </c>
      <c r="X93">
        <f>IF((phi!X38),VLOOKUP(X$1,main!$A$3:$I$56,5,FALSE)-VLOOKUP($A93,main!$A$3:$I$56,6,FALSE)+main!$D$57,0)</f>
        <v>180</v>
      </c>
      <c r="Y93">
        <f>IF((phi!Y38),VLOOKUP(Y$1,main!$A$3:$I$56,5,FALSE)-VLOOKUP($A93,main!$A$3:$I$56,6,FALSE)+main!$D$57,0)</f>
        <v>270</v>
      </c>
      <c r="Z93">
        <f>IF((phi!Z38),VLOOKUP(Z$1,main!$A$3:$I$56,5,FALSE)-VLOOKUP($A93,main!$A$3:$I$56,6,FALSE)+main!$D$57,0)</f>
        <v>360</v>
      </c>
      <c r="AA93">
        <f>IF((phi!AA38),VLOOKUP(AA$1,main!$A$3:$I$56,5,FALSE)-VLOOKUP($A93,main!$A$3:$I$56,6,FALSE)+main!$D$57,0)</f>
        <v>450</v>
      </c>
      <c r="AB93">
        <f>IF((phi!AB38),VLOOKUP(AB$1,main!$A$3:$I$56,5,FALSE)-VLOOKUP($A93,main!$A$3:$I$56,6,FALSE)+main!$D$57,0)</f>
        <v>510</v>
      </c>
      <c r="AC93">
        <f>IF((phi!AC38),VLOOKUP(AC$1,main!$A$3:$I$56,5,FALSE)-VLOOKUP($A93,main!$A$3:$I$56,6,FALSE)+main!$D$57,0)</f>
        <v>0</v>
      </c>
      <c r="AD93">
        <f>IF((phi!AD38),VLOOKUP(AD$1,main!$A$3:$I$56,5,FALSE)-VLOOKUP($A93,main!$A$3:$I$56,6,FALSE)+main!$D$57,0)</f>
        <v>0</v>
      </c>
      <c r="AE93">
        <f>IF((phi!AE38),VLOOKUP(AE$1,main!$A$3:$I$56,5,FALSE)-VLOOKUP($A93,main!$A$3:$I$56,6,FALSE)+main!$D$57,0)</f>
        <v>170</v>
      </c>
      <c r="AF93">
        <f>IF((phi!AF38),VLOOKUP(AF$1,main!$A$3:$I$56,5,FALSE)-VLOOKUP($A93,main!$A$3:$I$56,6,FALSE)+main!$D$57,0)</f>
        <v>320</v>
      </c>
      <c r="AG93">
        <f>IF((phi!AG38),VLOOKUP(AG$1,main!$A$3:$I$56,5,FALSE)-VLOOKUP($A93,main!$A$3:$I$56,6,FALSE)+main!$D$57,0)</f>
        <v>0</v>
      </c>
      <c r="AH93">
        <f>IF((phi!AH38),VLOOKUP(AH$1,main!$A$3:$I$56,5,FALSE)-VLOOKUP($A93,main!$A$3:$I$56,6,FALSE)+main!$D$57,0)</f>
        <v>0</v>
      </c>
      <c r="AI93">
        <f>IF((phi!AI38),VLOOKUP(AI$1,main!$A$3:$I$56,5,FALSE)-VLOOKUP($A93,main!$A$3:$I$56,6,FALSE)+main!$D$57,0)</f>
        <v>230</v>
      </c>
      <c r="AJ93">
        <f>IF((phi!AJ38),VLOOKUP(AJ$1,main!$A$3:$I$56,5,FALSE)-VLOOKUP($A93,main!$A$3:$I$56,6,FALSE)+main!$D$57,0)</f>
        <v>290</v>
      </c>
      <c r="AK93">
        <f>IF((phi!AK38),VLOOKUP(AK$1,main!$A$3:$I$56,5,FALSE)-VLOOKUP($A93,main!$A$3:$I$56,6,FALSE)+main!$D$57,0)</f>
        <v>410</v>
      </c>
      <c r="AL93">
        <f>IF((phi!AL38),VLOOKUP(AL$1,main!$A$3:$I$56,5,FALSE)-VLOOKUP($A93,main!$A$3:$I$56,6,FALSE)+main!$D$57,0)</f>
        <v>0</v>
      </c>
      <c r="AM93">
        <f>IF((phi!AM38),VLOOKUP(AM$1,main!$A$3:$I$56,5,FALSE)-VLOOKUP($A93,main!$A$3:$I$56,6,FALSE)+main!$D$57,0)</f>
        <v>0</v>
      </c>
      <c r="AN93">
        <f>IF((phi!AN38),VLOOKUP(AN$1,main!$A$3:$I$56,5,FALSE)-VLOOKUP($A93,main!$A$3:$I$56,6,FALSE)+main!$D$57,0)</f>
        <v>270</v>
      </c>
      <c r="AO93">
        <f>IF((phi!AO38),VLOOKUP(AO$1,main!$A$3:$I$56,5,FALSE)-VLOOKUP($A93,main!$A$3:$I$56,6,FALSE)+main!$D$57,0)</f>
        <v>320</v>
      </c>
      <c r="AP93">
        <f>IF((phi!AP38),VLOOKUP(AP$1,main!$A$3:$I$56,5,FALSE)-VLOOKUP($A93,main!$A$3:$I$56,6,FALSE)+main!$D$57,0)</f>
        <v>0</v>
      </c>
      <c r="AQ93">
        <f>IF((phi!AQ38),VLOOKUP(AQ$1,main!$A$3:$I$56,5,FALSE)-VLOOKUP($A93,main!$A$3:$I$56,6,FALSE)+main!$D$57,0)</f>
        <v>0</v>
      </c>
      <c r="AR93">
        <f>IF((phi!AR38),VLOOKUP(AR$1,main!$A$3:$I$56,5,FALSE)-VLOOKUP($A93,main!$A$3:$I$56,6,FALSE)+main!$D$57,0)</f>
        <v>0</v>
      </c>
      <c r="AS93">
        <f>IF((phi!AS38),VLOOKUP(AS$1,main!$A$3:$I$56,5,FALSE)-VLOOKUP($A93,main!$A$3:$I$56,6,FALSE)+main!$D$57,0)</f>
        <v>135</v>
      </c>
      <c r="AT93">
        <f>IF((phi!AT38),VLOOKUP(AT$1,main!$A$3:$I$56,5,FALSE)-VLOOKUP($A93,main!$A$3:$I$56,6,FALSE)+main!$D$57,0)</f>
        <v>220</v>
      </c>
      <c r="AU93">
        <f>IF((phi!AU38),VLOOKUP(AU$1,main!$A$3:$I$56,5,FALSE)-VLOOKUP($A93,main!$A$3:$I$56,6,FALSE)+main!$D$57,0)</f>
        <v>0</v>
      </c>
      <c r="AV93">
        <f>IF((phi!AV38),VLOOKUP(AV$1,main!$A$3:$I$56,5,FALSE)-VLOOKUP($A93,main!$A$3:$I$56,6,FALSE)+main!$D$57,0)</f>
        <v>0</v>
      </c>
      <c r="AW93">
        <f>IF((phi!AW38),VLOOKUP(AW$1,main!$A$3:$I$56,5,FALSE)-VLOOKUP($A93,main!$A$3:$I$56,6,FALSE)+main!$D$57,0)</f>
        <v>170</v>
      </c>
      <c r="AX93">
        <f>IF((phi!AX38),VLOOKUP(AX$1,main!$A$3:$I$56,5,FALSE)-VLOOKUP($A93,main!$A$3:$I$56,6,FALSE)+main!$D$57,0)</f>
        <v>370</v>
      </c>
      <c r="AY93">
        <f>IF((phi!AY38),VLOOKUP(AY$1,main!$A$3:$I$56,5,FALSE)-VLOOKUP($A93,main!$A$3:$I$56,6,FALSE)+main!$D$57,0)</f>
        <v>570</v>
      </c>
      <c r="AZ93">
        <f>IF((phi!AZ38),VLOOKUP(AZ$1,main!$A$3:$I$56,5,FALSE)-VLOOKUP($A93,main!$A$3:$I$56,6,FALSE)+main!$D$57,0)</f>
        <v>0</v>
      </c>
      <c r="BA93">
        <f>IF((phi!BA38),VLOOKUP(BA$1,main!$A$3:$I$56,5,FALSE)-VLOOKUP($A93,main!$A$3:$I$56,6,FALSE)+main!$D$57,0)</f>
        <v>135</v>
      </c>
      <c r="BB93">
        <f>IF((phi!BB38),VLOOKUP(BB$1,main!$A$3:$I$56,5,FALSE)-VLOOKUP($A93,main!$A$3:$I$56,6,FALSE)+main!$D$57,0)</f>
        <v>150</v>
      </c>
      <c r="BC93">
        <f>IF((phi!BC38),VLOOKUP(BC$1,main!$A$3:$I$56,5,FALSE)-VLOOKUP($A93,main!$A$3:$I$56,6,FALSE)+main!$D$57,0)</f>
        <v>335</v>
      </c>
      <c r="BD93">
        <f>IF((phi!BD38),VLOOKUP(BD$1,main!$A$3:$I$56,5,FALSE)-VLOOKUP($A93,main!$A$3:$I$56,6,FALSE)+main!$D$57,0)</f>
        <v>345</v>
      </c>
    </row>
    <row r="94" spans="1:56" x14ac:dyDescent="0.25">
      <c r="A94">
        <f t="shared" si="3"/>
        <v>37</v>
      </c>
      <c r="B94">
        <v>0</v>
      </c>
      <c r="C94">
        <f>IF((phi!C39),VLOOKUP(C$1,main!$A$3:$I$56,5,FALSE)-VLOOKUP($A94,main!$A$3:$I$56,6,FALSE)+main!$D$57,0)</f>
        <v>0</v>
      </c>
      <c r="D94">
        <f>IF((phi!D39),VLOOKUP(D$1,main!$A$3:$I$56,5,FALSE)-VLOOKUP($A94,main!$A$3:$I$56,6,FALSE)+main!$D$57,0)</f>
        <v>0</v>
      </c>
      <c r="E94">
        <f>IF((phi!E39),VLOOKUP(E$1,main!$A$3:$I$56,5,FALSE)-VLOOKUP($A94,main!$A$3:$I$56,6,FALSE)+main!$D$57,0)</f>
        <v>0</v>
      </c>
      <c r="F94">
        <f>IF((phi!F39),VLOOKUP(F$1,main!$A$3:$I$56,5,FALSE)-VLOOKUP($A94,main!$A$3:$I$56,6,FALSE)+main!$D$57,0)</f>
        <v>185</v>
      </c>
      <c r="G94">
        <f>IF((phi!G39),VLOOKUP(G$1,main!$A$3:$I$56,5,FALSE)-VLOOKUP($A94,main!$A$3:$I$56,6,FALSE)+main!$D$57,0)</f>
        <v>245</v>
      </c>
      <c r="H94">
        <f>IF((phi!H39),VLOOKUP(H$1,main!$A$3:$I$56,5,FALSE)-VLOOKUP($A94,main!$A$3:$I$56,6,FALSE)+main!$D$57,0)</f>
        <v>305</v>
      </c>
      <c r="I94">
        <f>IF((phi!I39),VLOOKUP(I$1,main!$A$3:$I$56,5,FALSE)-VLOOKUP($A94,main!$A$3:$I$56,6,FALSE)+main!$D$57,0)</f>
        <v>365</v>
      </c>
      <c r="J94">
        <f>IF((phi!J39),VLOOKUP(J$1,main!$A$3:$I$56,5,FALSE)-VLOOKUP($A94,main!$A$3:$I$56,6,FALSE)+main!$D$57,0)</f>
        <v>455</v>
      </c>
      <c r="K94">
        <f>IF((phi!K39),VLOOKUP(K$1,main!$A$3:$I$56,5,FALSE)-VLOOKUP($A94,main!$A$3:$I$56,6,FALSE)+main!$D$57,0)</f>
        <v>0</v>
      </c>
      <c r="L94">
        <f>IF((phi!L39),VLOOKUP(L$1,main!$A$3:$I$56,5,FALSE)-VLOOKUP($A94,main!$A$3:$I$56,6,FALSE)+main!$D$57,0)</f>
        <v>0</v>
      </c>
      <c r="M94">
        <f>IF((phi!M39),VLOOKUP(M$1,main!$A$3:$I$56,5,FALSE)-VLOOKUP($A94,main!$A$3:$I$56,6,FALSE)+main!$D$57,0)</f>
        <v>0</v>
      </c>
      <c r="N94">
        <f>IF((phi!N39),VLOOKUP(N$1,main!$A$3:$I$56,5,FALSE)-VLOOKUP($A94,main!$A$3:$I$56,6,FALSE)+main!$D$57,0)</f>
        <v>420</v>
      </c>
      <c r="O94">
        <f>IF((phi!O39),VLOOKUP(O$1,main!$A$3:$I$56,5,FALSE)-VLOOKUP($A94,main!$A$3:$I$56,6,FALSE)+main!$D$57,0)</f>
        <v>480</v>
      </c>
      <c r="P94">
        <f>IF((phi!P39),VLOOKUP(P$1,main!$A$3:$I$56,5,FALSE)-VLOOKUP($A94,main!$A$3:$I$56,6,FALSE)+main!$D$57,0)</f>
        <v>0</v>
      </c>
      <c r="Q94">
        <f>IF((phi!Q39),VLOOKUP(Q$1,main!$A$3:$I$56,5,FALSE)-VLOOKUP($A94,main!$A$3:$I$56,6,FALSE)+main!$D$57,0)</f>
        <v>0</v>
      </c>
      <c r="R94">
        <f>IF((phi!R39),VLOOKUP(R$1,main!$A$3:$I$56,5,FALSE)-VLOOKUP($A94,main!$A$3:$I$56,6,FALSE)+main!$D$57,0)</f>
        <v>0</v>
      </c>
      <c r="S94">
        <f>IF((phi!S39),VLOOKUP(S$1,main!$A$3:$I$56,5,FALSE)-VLOOKUP($A94,main!$A$3:$I$56,6,FALSE)+main!$D$57,0)</f>
        <v>235</v>
      </c>
      <c r="T94">
        <f>IF((phi!T39),VLOOKUP(T$1,main!$A$3:$I$56,5,FALSE)-VLOOKUP($A94,main!$A$3:$I$56,6,FALSE)+main!$D$57,0)</f>
        <v>385</v>
      </c>
      <c r="U94">
        <f>IF((phi!U39),VLOOKUP(U$1,main!$A$3:$I$56,5,FALSE)-VLOOKUP($A94,main!$A$3:$I$56,6,FALSE)+main!$D$57,0)</f>
        <v>0</v>
      </c>
      <c r="V94">
        <f>IF((phi!V39),VLOOKUP(V$1,main!$A$3:$I$56,5,FALSE)-VLOOKUP($A94,main!$A$3:$I$56,6,FALSE)+main!$D$57,0)</f>
        <v>0</v>
      </c>
      <c r="W94">
        <f>IF((phi!W39),VLOOKUP(W$1,main!$A$3:$I$56,5,FALSE)-VLOOKUP($A94,main!$A$3:$I$56,6,FALSE)+main!$D$57,0)</f>
        <v>0</v>
      </c>
      <c r="X94">
        <f>IF((phi!X39),VLOOKUP(X$1,main!$A$3:$I$56,5,FALSE)-VLOOKUP($A94,main!$A$3:$I$56,6,FALSE)+main!$D$57,0)</f>
        <v>0</v>
      </c>
      <c r="Y94">
        <f>IF((phi!Y39),VLOOKUP(Y$1,main!$A$3:$I$56,5,FALSE)-VLOOKUP($A94,main!$A$3:$I$56,6,FALSE)+main!$D$57,0)</f>
        <v>165</v>
      </c>
      <c r="Z94">
        <f>IF((phi!Z39),VLOOKUP(Z$1,main!$A$3:$I$56,5,FALSE)-VLOOKUP($A94,main!$A$3:$I$56,6,FALSE)+main!$D$57,0)</f>
        <v>255</v>
      </c>
      <c r="AA94">
        <f>IF((phi!AA39),VLOOKUP(AA$1,main!$A$3:$I$56,5,FALSE)-VLOOKUP($A94,main!$A$3:$I$56,6,FALSE)+main!$D$57,0)</f>
        <v>345</v>
      </c>
      <c r="AB94">
        <f>IF((phi!AB39),VLOOKUP(AB$1,main!$A$3:$I$56,5,FALSE)-VLOOKUP($A94,main!$A$3:$I$56,6,FALSE)+main!$D$57,0)</f>
        <v>405</v>
      </c>
      <c r="AC94">
        <f>IF((phi!AC39),VLOOKUP(AC$1,main!$A$3:$I$56,5,FALSE)-VLOOKUP($A94,main!$A$3:$I$56,6,FALSE)+main!$D$57,0)</f>
        <v>0</v>
      </c>
      <c r="AD94">
        <f>IF((phi!AD39),VLOOKUP(AD$1,main!$A$3:$I$56,5,FALSE)-VLOOKUP($A94,main!$A$3:$I$56,6,FALSE)+main!$D$57,0)</f>
        <v>0</v>
      </c>
      <c r="AE94">
        <f>IF((phi!AE39),VLOOKUP(AE$1,main!$A$3:$I$56,5,FALSE)-VLOOKUP($A94,main!$A$3:$I$56,6,FALSE)+main!$D$57,0)</f>
        <v>0</v>
      </c>
      <c r="AF94">
        <f>IF((phi!AF39),VLOOKUP(AF$1,main!$A$3:$I$56,5,FALSE)-VLOOKUP($A94,main!$A$3:$I$56,6,FALSE)+main!$D$57,0)</f>
        <v>215</v>
      </c>
      <c r="AG94">
        <f>IF((phi!AG39),VLOOKUP(AG$1,main!$A$3:$I$56,5,FALSE)-VLOOKUP($A94,main!$A$3:$I$56,6,FALSE)+main!$D$57,0)</f>
        <v>0</v>
      </c>
      <c r="AH94">
        <f>IF((phi!AH39),VLOOKUP(AH$1,main!$A$3:$I$56,5,FALSE)-VLOOKUP($A94,main!$A$3:$I$56,6,FALSE)+main!$D$57,0)</f>
        <v>0</v>
      </c>
      <c r="AI94">
        <f>IF((phi!AI39),VLOOKUP(AI$1,main!$A$3:$I$56,5,FALSE)-VLOOKUP($A94,main!$A$3:$I$56,6,FALSE)+main!$D$57,0)</f>
        <v>0</v>
      </c>
      <c r="AJ94">
        <f>IF((phi!AJ39),VLOOKUP(AJ$1,main!$A$3:$I$56,5,FALSE)-VLOOKUP($A94,main!$A$3:$I$56,6,FALSE)+main!$D$57,0)</f>
        <v>185</v>
      </c>
      <c r="AK94">
        <f>IF((phi!AK39),VLOOKUP(AK$1,main!$A$3:$I$56,5,FALSE)-VLOOKUP($A94,main!$A$3:$I$56,6,FALSE)+main!$D$57,0)</f>
        <v>305</v>
      </c>
      <c r="AL94">
        <f>IF((phi!AL39),VLOOKUP(AL$1,main!$A$3:$I$56,5,FALSE)-VLOOKUP($A94,main!$A$3:$I$56,6,FALSE)+main!$D$57,0)</f>
        <v>0</v>
      </c>
      <c r="AM94">
        <f>IF((phi!AM39),VLOOKUP(AM$1,main!$A$3:$I$56,5,FALSE)-VLOOKUP($A94,main!$A$3:$I$56,6,FALSE)+main!$D$57,0)</f>
        <v>0</v>
      </c>
      <c r="AN94">
        <f>IF((phi!AN39),VLOOKUP(AN$1,main!$A$3:$I$56,5,FALSE)-VLOOKUP($A94,main!$A$3:$I$56,6,FALSE)+main!$D$57,0)</f>
        <v>165</v>
      </c>
      <c r="AO94">
        <f>IF((phi!AO39),VLOOKUP(AO$1,main!$A$3:$I$56,5,FALSE)-VLOOKUP($A94,main!$A$3:$I$56,6,FALSE)+main!$D$57,0)</f>
        <v>215</v>
      </c>
      <c r="AP94">
        <f>IF((phi!AP39),VLOOKUP(AP$1,main!$A$3:$I$56,5,FALSE)-VLOOKUP($A94,main!$A$3:$I$56,6,FALSE)+main!$D$57,0)</f>
        <v>0</v>
      </c>
      <c r="AQ94">
        <f>IF((phi!AQ39),VLOOKUP(AQ$1,main!$A$3:$I$56,5,FALSE)-VLOOKUP($A94,main!$A$3:$I$56,6,FALSE)+main!$D$57,0)</f>
        <v>0</v>
      </c>
      <c r="AR94">
        <f>IF((phi!AR39),VLOOKUP(AR$1,main!$A$3:$I$56,5,FALSE)-VLOOKUP($A94,main!$A$3:$I$56,6,FALSE)+main!$D$57,0)</f>
        <v>0</v>
      </c>
      <c r="AS94">
        <f>IF((phi!AS39),VLOOKUP(AS$1,main!$A$3:$I$56,5,FALSE)-VLOOKUP($A94,main!$A$3:$I$56,6,FALSE)+main!$D$57,0)</f>
        <v>0</v>
      </c>
      <c r="AT94">
        <f>IF((phi!AT39),VLOOKUP(AT$1,main!$A$3:$I$56,5,FALSE)-VLOOKUP($A94,main!$A$3:$I$56,6,FALSE)+main!$D$57,0)</f>
        <v>0</v>
      </c>
      <c r="AU94">
        <f>IF((phi!AU39),VLOOKUP(AU$1,main!$A$3:$I$56,5,FALSE)-VLOOKUP($A94,main!$A$3:$I$56,6,FALSE)+main!$D$57,0)</f>
        <v>0</v>
      </c>
      <c r="AV94">
        <f>IF((phi!AV39),VLOOKUP(AV$1,main!$A$3:$I$56,5,FALSE)-VLOOKUP($A94,main!$A$3:$I$56,6,FALSE)+main!$D$57,0)</f>
        <v>0</v>
      </c>
      <c r="AW94">
        <f>IF((phi!AW39),VLOOKUP(AW$1,main!$A$3:$I$56,5,FALSE)-VLOOKUP($A94,main!$A$3:$I$56,6,FALSE)+main!$D$57,0)</f>
        <v>0</v>
      </c>
      <c r="AX94">
        <f>IF((phi!AX39),VLOOKUP(AX$1,main!$A$3:$I$56,5,FALSE)-VLOOKUP($A94,main!$A$3:$I$56,6,FALSE)+main!$D$57,0)</f>
        <v>265</v>
      </c>
      <c r="AY94">
        <f>IF((phi!AY39),VLOOKUP(AY$1,main!$A$3:$I$56,5,FALSE)-VLOOKUP($A94,main!$A$3:$I$56,6,FALSE)+main!$D$57,0)</f>
        <v>465</v>
      </c>
      <c r="AZ94">
        <f>IF((phi!AZ39),VLOOKUP(AZ$1,main!$A$3:$I$56,5,FALSE)-VLOOKUP($A94,main!$A$3:$I$56,6,FALSE)+main!$D$57,0)</f>
        <v>0</v>
      </c>
      <c r="BA94">
        <f>IF((phi!BA39),VLOOKUP(BA$1,main!$A$3:$I$56,5,FALSE)-VLOOKUP($A94,main!$A$3:$I$56,6,FALSE)+main!$D$57,0)</f>
        <v>0</v>
      </c>
      <c r="BB94">
        <f>IF((phi!BB39),VLOOKUP(BB$1,main!$A$3:$I$56,5,FALSE)-VLOOKUP($A94,main!$A$3:$I$56,6,FALSE)+main!$D$57,0)</f>
        <v>0</v>
      </c>
      <c r="BC94">
        <f>IF((phi!BC39),VLOOKUP(BC$1,main!$A$3:$I$56,5,FALSE)-VLOOKUP($A94,main!$A$3:$I$56,6,FALSE)+main!$D$57,0)</f>
        <v>230</v>
      </c>
      <c r="BD94">
        <f>IF((phi!BD39),VLOOKUP(BD$1,main!$A$3:$I$56,5,FALSE)-VLOOKUP($A94,main!$A$3:$I$56,6,FALSE)+main!$D$57,0)</f>
        <v>240</v>
      </c>
    </row>
    <row r="95" spans="1:56" x14ac:dyDescent="0.25">
      <c r="A95">
        <f t="shared" si="3"/>
        <v>38</v>
      </c>
      <c r="B95">
        <v>0</v>
      </c>
      <c r="C95">
        <f>IF((phi!C40),VLOOKUP(C$1,main!$A$3:$I$56,5,FALSE)-VLOOKUP($A95,main!$A$3:$I$56,6,FALSE)+main!$D$57,0)</f>
        <v>0</v>
      </c>
      <c r="D95">
        <f>IF((phi!D40),VLOOKUP(D$1,main!$A$3:$I$56,5,FALSE)-VLOOKUP($A95,main!$A$3:$I$56,6,FALSE)+main!$D$57,0)</f>
        <v>0</v>
      </c>
      <c r="E95">
        <f>IF((phi!E40),VLOOKUP(E$1,main!$A$3:$I$56,5,FALSE)-VLOOKUP($A95,main!$A$3:$I$56,6,FALSE)+main!$D$57,0)</f>
        <v>0</v>
      </c>
      <c r="F95">
        <f>IF((phi!F40),VLOOKUP(F$1,main!$A$3:$I$56,5,FALSE)-VLOOKUP($A95,main!$A$3:$I$56,6,FALSE)+main!$D$57,0)</f>
        <v>0</v>
      </c>
      <c r="G95">
        <f>IF((phi!G40),VLOOKUP(G$1,main!$A$3:$I$56,5,FALSE)-VLOOKUP($A95,main!$A$3:$I$56,6,FALSE)+main!$D$57,0)</f>
        <v>0</v>
      </c>
      <c r="H95">
        <f>IF((phi!H40),VLOOKUP(H$1,main!$A$3:$I$56,5,FALSE)-VLOOKUP($A95,main!$A$3:$I$56,6,FALSE)+main!$D$57,0)</f>
        <v>0</v>
      </c>
      <c r="I95">
        <f>IF((phi!I40),VLOOKUP(I$1,main!$A$3:$I$56,5,FALSE)-VLOOKUP($A95,main!$A$3:$I$56,6,FALSE)+main!$D$57,0)</f>
        <v>130</v>
      </c>
      <c r="J95">
        <f>IF((phi!J40),VLOOKUP(J$1,main!$A$3:$I$56,5,FALSE)-VLOOKUP($A95,main!$A$3:$I$56,6,FALSE)+main!$D$57,0)</f>
        <v>220</v>
      </c>
      <c r="K95">
        <f>IF((phi!K40),VLOOKUP(K$1,main!$A$3:$I$56,5,FALSE)-VLOOKUP($A95,main!$A$3:$I$56,6,FALSE)+main!$D$57,0)</f>
        <v>0</v>
      </c>
      <c r="L95">
        <f>IF((phi!L40),VLOOKUP(L$1,main!$A$3:$I$56,5,FALSE)-VLOOKUP($A95,main!$A$3:$I$56,6,FALSE)+main!$D$57,0)</f>
        <v>0</v>
      </c>
      <c r="M95">
        <f>IF((phi!M40),VLOOKUP(M$1,main!$A$3:$I$56,5,FALSE)-VLOOKUP($A95,main!$A$3:$I$56,6,FALSE)+main!$D$57,0)</f>
        <v>0</v>
      </c>
      <c r="N95">
        <f>IF((phi!N40),VLOOKUP(N$1,main!$A$3:$I$56,5,FALSE)-VLOOKUP($A95,main!$A$3:$I$56,6,FALSE)+main!$D$57,0)</f>
        <v>185</v>
      </c>
      <c r="O95">
        <f>IF((phi!O40),VLOOKUP(O$1,main!$A$3:$I$56,5,FALSE)-VLOOKUP($A95,main!$A$3:$I$56,6,FALSE)+main!$D$57,0)</f>
        <v>245</v>
      </c>
      <c r="P95">
        <f>IF((phi!P40),VLOOKUP(P$1,main!$A$3:$I$56,5,FALSE)-VLOOKUP($A95,main!$A$3:$I$56,6,FALSE)+main!$D$57,0)</f>
        <v>0</v>
      </c>
      <c r="Q95">
        <f>IF((phi!Q40),VLOOKUP(Q$1,main!$A$3:$I$56,5,FALSE)-VLOOKUP($A95,main!$A$3:$I$56,6,FALSE)+main!$D$57,0)</f>
        <v>0</v>
      </c>
      <c r="R95">
        <f>IF((phi!R40),VLOOKUP(R$1,main!$A$3:$I$56,5,FALSE)-VLOOKUP($A95,main!$A$3:$I$56,6,FALSE)+main!$D$57,0)</f>
        <v>0</v>
      </c>
      <c r="S95">
        <f>IF((phi!S40),VLOOKUP(S$1,main!$A$3:$I$56,5,FALSE)-VLOOKUP($A95,main!$A$3:$I$56,6,FALSE)+main!$D$57,0)</f>
        <v>0</v>
      </c>
      <c r="T95">
        <f>IF((phi!T40),VLOOKUP(T$1,main!$A$3:$I$56,5,FALSE)-VLOOKUP($A95,main!$A$3:$I$56,6,FALSE)+main!$D$57,0)</f>
        <v>150</v>
      </c>
      <c r="U95">
        <f>IF((phi!U40),VLOOKUP(U$1,main!$A$3:$I$56,5,FALSE)-VLOOKUP($A95,main!$A$3:$I$56,6,FALSE)+main!$D$57,0)</f>
        <v>0</v>
      </c>
      <c r="V95">
        <f>IF((phi!V40),VLOOKUP(V$1,main!$A$3:$I$56,5,FALSE)-VLOOKUP($A95,main!$A$3:$I$56,6,FALSE)+main!$D$57,0)</f>
        <v>0</v>
      </c>
      <c r="W95">
        <f>IF((phi!W40),VLOOKUP(W$1,main!$A$3:$I$56,5,FALSE)-VLOOKUP($A95,main!$A$3:$I$56,6,FALSE)+main!$D$57,0)</f>
        <v>0</v>
      </c>
      <c r="X95">
        <f>IF((phi!X40),VLOOKUP(X$1,main!$A$3:$I$56,5,FALSE)-VLOOKUP($A95,main!$A$3:$I$56,6,FALSE)+main!$D$57,0)</f>
        <v>0</v>
      </c>
      <c r="Y95">
        <f>IF((phi!Y40),VLOOKUP(Y$1,main!$A$3:$I$56,5,FALSE)-VLOOKUP($A95,main!$A$3:$I$56,6,FALSE)+main!$D$57,0)</f>
        <v>0</v>
      </c>
      <c r="Z95">
        <f>IF((phi!Z40),VLOOKUP(Z$1,main!$A$3:$I$56,5,FALSE)-VLOOKUP($A95,main!$A$3:$I$56,6,FALSE)+main!$D$57,0)</f>
        <v>0</v>
      </c>
      <c r="AA95">
        <f>IF((phi!AA40),VLOOKUP(AA$1,main!$A$3:$I$56,5,FALSE)-VLOOKUP($A95,main!$A$3:$I$56,6,FALSE)+main!$D$57,0)</f>
        <v>0</v>
      </c>
      <c r="AB95">
        <f>IF((phi!AB40),VLOOKUP(AB$1,main!$A$3:$I$56,5,FALSE)-VLOOKUP($A95,main!$A$3:$I$56,6,FALSE)+main!$D$57,0)</f>
        <v>170</v>
      </c>
      <c r="AC95">
        <f>IF((phi!AC40),VLOOKUP(AC$1,main!$A$3:$I$56,5,FALSE)-VLOOKUP($A95,main!$A$3:$I$56,6,FALSE)+main!$D$57,0)</f>
        <v>0</v>
      </c>
      <c r="AD95">
        <f>IF((phi!AD40),VLOOKUP(AD$1,main!$A$3:$I$56,5,FALSE)-VLOOKUP($A95,main!$A$3:$I$56,6,FALSE)+main!$D$57,0)</f>
        <v>0</v>
      </c>
      <c r="AE95">
        <f>IF((phi!AE40),VLOOKUP(AE$1,main!$A$3:$I$56,5,FALSE)-VLOOKUP($A95,main!$A$3:$I$56,6,FALSE)+main!$D$57,0)</f>
        <v>0</v>
      </c>
      <c r="AF95">
        <f>IF((phi!AF40),VLOOKUP(AF$1,main!$A$3:$I$56,5,FALSE)-VLOOKUP($A95,main!$A$3:$I$56,6,FALSE)+main!$D$57,0)</f>
        <v>0</v>
      </c>
      <c r="AG95">
        <f>IF((phi!AG40),VLOOKUP(AG$1,main!$A$3:$I$56,5,FALSE)-VLOOKUP($A95,main!$A$3:$I$56,6,FALSE)+main!$D$57,0)</f>
        <v>0</v>
      </c>
      <c r="AH95">
        <f>IF((phi!AH40),VLOOKUP(AH$1,main!$A$3:$I$56,5,FALSE)-VLOOKUP($A95,main!$A$3:$I$56,6,FALSE)+main!$D$57,0)</f>
        <v>0</v>
      </c>
      <c r="AI95">
        <f>IF((phi!AI40),VLOOKUP(AI$1,main!$A$3:$I$56,5,FALSE)-VLOOKUP($A95,main!$A$3:$I$56,6,FALSE)+main!$D$57,0)</f>
        <v>0</v>
      </c>
      <c r="AJ95">
        <f>IF((phi!AJ40),VLOOKUP(AJ$1,main!$A$3:$I$56,5,FALSE)-VLOOKUP($A95,main!$A$3:$I$56,6,FALSE)+main!$D$57,0)</f>
        <v>0</v>
      </c>
      <c r="AK95">
        <f>IF((phi!AK40),VLOOKUP(AK$1,main!$A$3:$I$56,5,FALSE)-VLOOKUP($A95,main!$A$3:$I$56,6,FALSE)+main!$D$57,0)</f>
        <v>0</v>
      </c>
      <c r="AL95">
        <f>IF((phi!AL40),VLOOKUP(AL$1,main!$A$3:$I$56,5,FALSE)-VLOOKUP($A95,main!$A$3:$I$56,6,FALSE)+main!$D$57,0)</f>
        <v>0</v>
      </c>
      <c r="AM95">
        <f>IF((phi!AM40),VLOOKUP(AM$1,main!$A$3:$I$56,5,FALSE)-VLOOKUP($A95,main!$A$3:$I$56,6,FALSE)+main!$D$57,0)</f>
        <v>0</v>
      </c>
      <c r="AN95">
        <f>IF((phi!AN40),VLOOKUP(AN$1,main!$A$3:$I$56,5,FALSE)-VLOOKUP($A95,main!$A$3:$I$56,6,FALSE)+main!$D$57,0)</f>
        <v>0</v>
      </c>
      <c r="AO95">
        <f>IF((phi!AO40),VLOOKUP(AO$1,main!$A$3:$I$56,5,FALSE)-VLOOKUP($A95,main!$A$3:$I$56,6,FALSE)+main!$D$57,0)</f>
        <v>0</v>
      </c>
      <c r="AP95">
        <f>IF((phi!AP40),VLOOKUP(AP$1,main!$A$3:$I$56,5,FALSE)-VLOOKUP($A95,main!$A$3:$I$56,6,FALSE)+main!$D$57,0)</f>
        <v>0</v>
      </c>
      <c r="AQ95">
        <f>IF((phi!AQ40),VLOOKUP(AQ$1,main!$A$3:$I$56,5,FALSE)-VLOOKUP($A95,main!$A$3:$I$56,6,FALSE)+main!$D$57,0)</f>
        <v>0</v>
      </c>
      <c r="AR95">
        <f>IF((phi!AR40),VLOOKUP(AR$1,main!$A$3:$I$56,5,FALSE)-VLOOKUP($A95,main!$A$3:$I$56,6,FALSE)+main!$D$57,0)</f>
        <v>0</v>
      </c>
      <c r="AS95">
        <f>IF((phi!AS40),VLOOKUP(AS$1,main!$A$3:$I$56,5,FALSE)-VLOOKUP($A95,main!$A$3:$I$56,6,FALSE)+main!$D$57,0)</f>
        <v>0</v>
      </c>
      <c r="AT95">
        <f>IF((phi!AT40),VLOOKUP(AT$1,main!$A$3:$I$56,5,FALSE)-VLOOKUP($A95,main!$A$3:$I$56,6,FALSE)+main!$D$57,0)</f>
        <v>0</v>
      </c>
      <c r="AU95">
        <f>IF((phi!AU40),VLOOKUP(AU$1,main!$A$3:$I$56,5,FALSE)-VLOOKUP($A95,main!$A$3:$I$56,6,FALSE)+main!$D$57,0)</f>
        <v>0</v>
      </c>
      <c r="AV95">
        <f>IF((phi!AV40),VLOOKUP(AV$1,main!$A$3:$I$56,5,FALSE)-VLOOKUP($A95,main!$A$3:$I$56,6,FALSE)+main!$D$57,0)</f>
        <v>0</v>
      </c>
      <c r="AW95">
        <f>IF((phi!AW40),VLOOKUP(AW$1,main!$A$3:$I$56,5,FALSE)-VLOOKUP($A95,main!$A$3:$I$56,6,FALSE)+main!$D$57,0)</f>
        <v>0</v>
      </c>
      <c r="AX95">
        <f>IF((phi!AX40),VLOOKUP(AX$1,main!$A$3:$I$56,5,FALSE)-VLOOKUP($A95,main!$A$3:$I$56,6,FALSE)+main!$D$57,0)</f>
        <v>0</v>
      </c>
      <c r="AY95">
        <f>IF((phi!AY40),VLOOKUP(AY$1,main!$A$3:$I$56,5,FALSE)-VLOOKUP($A95,main!$A$3:$I$56,6,FALSE)+main!$D$57,0)</f>
        <v>230</v>
      </c>
      <c r="AZ95">
        <f>IF((phi!AZ40),VLOOKUP(AZ$1,main!$A$3:$I$56,5,FALSE)-VLOOKUP($A95,main!$A$3:$I$56,6,FALSE)+main!$D$57,0)</f>
        <v>0</v>
      </c>
      <c r="BA95">
        <f>IF((phi!BA40),VLOOKUP(BA$1,main!$A$3:$I$56,5,FALSE)-VLOOKUP($A95,main!$A$3:$I$56,6,FALSE)+main!$D$57,0)</f>
        <v>0</v>
      </c>
      <c r="BB95">
        <f>IF((phi!BB40),VLOOKUP(BB$1,main!$A$3:$I$56,5,FALSE)-VLOOKUP($A95,main!$A$3:$I$56,6,FALSE)+main!$D$57,0)</f>
        <v>0</v>
      </c>
      <c r="BC95">
        <f>IF((phi!BC40),VLOOKUP(BC$1,main!$A$3:$I$56,5,FALSE)-VLOOKUP($A95,main!$A$3:$I$56,6,FALSE)+main!$D$57,0)</f>
        <v>0</v>
      </c>
      <c r="BD95">
        <f>IF((phi!BD40),VLOOKUP(BD$1,main!$A$3:$I$56,5,FALSE)-VLOOKUP($A95,main!$A$3:$I$56,6,FALSE)+main!$D$57,0)</f>
        <v>0</v>
      </c>
    </row>
    <row r="96" spans="1:56" x14ac:dyDescent="0.25">
      <c r="A96">
        <f t="shared" si="3"/>
        <v>39</v>
      </c>
      <c r="B96">
        <v>0</v>
      </c>
      <c r="C96">
        <f>IF((phi!C41),VLOOKUP(C$1,main!$A$3:$I$56,5,FALSE)-VLOOKUP($A96,main!$A$3:$I$56,6,FALSE)+main!$D$57,0)</f>
        <v>0</v>
      </c>
      <c r="D96">
        <f>IF((phi!D41),VLOOKUP(D$1,main!$A$3:$I$56,5,FALSE)-VLOOKUP($A96,main!$A$3:$I$56,6,FALSE)+main!$D$57,0)</f>
        <v>0</v>
      </c>
      <c r="E96">
        <f>IF((phi!E41),VLOOKUP(E$1,main!$A$3:$I$56,5,FALSE)-VLOOKUP($A96,main!$A$3:$I$56,6,FALSE)+main!$D$57,0)</f>
        <v>0</v>
      </c>
      <c r="F96">
        <f>IF((phi!F41),VLOOKUP(F$1,main!$A$3:$I$56,5,FALSE)-VLOOKUP($A96,main!$A$3:$I$56,6,FALSE)+main!$D$57,0)</f>
        <v>0</v>
      </c>
      <c r="G96">
        <f>IF((phi!G41),VLOOKUP(G$1,main!$A$3:$I$56,5,FALSE)-VLOOKUP($A96,main!$A$3:$I$56,6,FALSE)+main!$D$57,0)</f>
        <v>0</v>
      </c>
      <c r="H96">
        <f>IF((phi!H41),VLOOKUP(H$1,main!$A$3:$I$56,5,FALSE)-VLOOKUP($A96,main!$A$3:$I$56,6,FALSE)+main!$D$57,0)</f>
        <v>0</v>
      </c>
      <c r="I96">
        <f>IF((phi!I41),VLOOKUP(I$1,main!$A$3:$I$56,5,FALSE)-VLOOKUP($A96,main!$A$3:$I$56,6,FALSE)+main!$D$57,0)</f>
        <v>0</v>
      </c>
      <c r="J96">
        <f>IF((phi!J41),VLOOKUP(J$1,main!$A$3:$I$56,5,FALSE)-VLOOKUP($A96,main!$A$3:$I$56,6,FALSE)+main!$D$57,0)</f>
        <v>160</v>
      </c>
      <c r="K96">
        <f>IF((phi!K41),VLOOKUP(K$1,main!$A$3:$I$56,5,FALSE)-VLOOKUP($A96,main!$A$3:$I$56,6,FALSE)+main!$D$57,0)</f>
        <v>0</v>
      </c>
      <c r="L96">
        <f>IF((phi!L41),VLOOKUP(L$1,main!$A$3:$I$56,5,FALSE)-VLOOKUP($A96,main!$A$3:$I$56,6,FALSE)+main!$D$57,0)</f>
        <v>0</v>
      </c>
      <c r="M96">
        <f>IF((phi!M41),VLOOKUP(M$1,main!$A$3:$I$56,5,FALSE)-VLOOKUP($A96,main!$A$3:$I$56,6,FALSE)+main!$D$57,0)</f>
        <v>0</v>
      </c>
      <c r="N96">
        <f>IF((phi!N41),VLOOKUP(N$1,main!$A$3:$I$56,5,FALSE)-VLOOKUP($A96,main!$A$3:$I$56,6,FALSE)+main!$D$57,0)</f>
        <v>0</v>
      </c>
      <c r="O96">
        <f>IF((phi!O41),VLOOKUP(O$1,main!$A$3:$I$56,5,FALSE)-VLOOKUP($A96,main!$A$3:$I$56,6,FALSE)+main!$D$57,0)</f>
        <v>185</v>
      </c>
      <c r="P96">
        <f>IF((phi!P41),VLOOKUP(P$1,main!$A$3:$I$56,5,FALSE)-VLOOKUP($A96,main!$A$3:$I$56,6,FALSE)+main!$D$57,0)</f>
        <v>0</v>
      </c>
      <c r="Q96">
        <f>IF((phi!Q41),VLOOKUP(Q$1,main!$A$3:$I$56,5,FALSE)-VLOOKUP($A96,main!$A$3:$I$56,6,FALSE)+main!$D$57,0)</f>
        <v>0</v>
      </c>
      <c r="R96">
        <f>IF((phi!R41),VLOOKUP(R$1,main!$A$3:$I$56,5,FALSE)-VLOOKUP($A96,main!$A$3:$I$56,6,FALSE)+main!$D$57,0)</f>
        <v>0</v>
      </c>
      <c r="S96">
        <f>IF((phi!S41),VLOOKUP(S$1,main!$A$3:$I$56,5,FALSE)-VLOOKUP($A96,main!$A$3:$I$56,6,FALSE)+main!$D$57,0)</f>
        <v>0</v>
      </c>
      <c r="T96">
        <f>IF((phi!T41),VLOOKUP(T$1,main!$A$3:$I$56,5,FALSE)-VLOOKUP($A96,main!$A$3:$I$56,6,FALSE)+main!$D$57,0)</f>
        <v>0</v>
      </c>
      <c r="U96">
        <f>IF((phi!U41),VLOOKUP(U$1,main!$A$3:$I$56,5,FALSE)-VLOOKUP($A96,main!$A$3:$I$56,6,FALSE)+main!$D$57,0)</f>
        <v>0</v>
      </c>
      <c r="V96">
        <f>IF((phi!V41),VLOOKUP(V$1,main!$A$3:$I$56,5,FALSE)-VLOOKUP($A96,main!$A$3:$I$56,6,FALSE)+main!$D$57,0)</f>
        <v>0</v>
      </c>
      <c r="W96">
        <f>IF((phi!W41),VLOOKUP(W$1,main!$A$3:$I$56,5,FALSE)-VLOOKUP($A96,main!$A$3:$I$56,6,FALSE)+main!$D$57,0)</f>
        <v>0</v>
      </c>
      <c r="X96">
        <f>IF((phi!X41),VLOOKUP(X$1,main!$A$3:$I$56,5,FALSE)-VLOOKUP($A96,main!$A$3:$I$56,6,FALSE)+main!$D$57,0)</f>
        <v>0</v>
      </c>
      <c r="Y96">
        <f>IF((phi!Y41),VLOOKUP(Y$1,main!$A$3:$I$56,5,FALSE)-VLOOKUP($A96,main!$A$3:$I$56,6,FALSE)+main!$D$57,0)</f>
        <v>0</v>
      </c>
      <c r="Z96">
        <f>IF((phi!Z41),VLOOKUP(Z$1,main!$A$3:$I$56,5,FALSE)-VLOOKUP($A96,main!$A$3:$I$56,6,FALSE)+main!$D$57,0)</f>
        <v>0</v>
      </c>
      <c r="AA96">
        <f>IF((phi!AA41),VLOOKUP(AA$1,main!$A$3:$I$56,5,FALSE)-VLOOKUP($A96,main!$A$3:$I$56,6,FALSE)+main!$D$57,0)</f>
        <v>0</v>
      </c>
      <c r="AB96">
        <f>IF((phi!AB41),VLOOKUP(AB$1,main!$A$3:$I$56,5,FALSE)-VLOOKUP($A96,main!$A$3:$I$56,6,FALSE)+main!$D$57,0)</f>
        <v>0</v>
      </c>
      <c r="AC96">
        <f>IF((phi!AC41),VLOOKUP(AC$1,main!$A$3:$I$56,5,FALSE)-VLOOKUP($A96,main!$A$3:$I$56,6,FALSE)+main!$D$57,0)</f>
        <v>0</v>
      </c>
      <c r="AD96">
        <f>IF((phi!AD41),VLOOKUP(AD$1,main!$A$3:$I$56,5,FALSE)-VLOOKUP($A96,main!$A$3:$I$56,6,FALSE)+main!$D$57,0)</f>
        <v>0</v>
      </c>
      <c r="AE96">
        <f>IF((phi!AE41),VLOOKUP(AE$1,main!$A$3:$I$56,5,FALSE)-VLOOKUP($A96,main!$A$3:$I$56,6,FALSE)+main!$D$57,0)</f>
        <v>0</v>
      </c>
      <c r="AF96">
        <f>IF((phi!AF41),VLOOKUP(AF$1,main!$A$3:$I$56,5,FALSE)-VLOOKUP($A96,main!$A$3:$I$56,6,FALSE)+main!$D$57,0)</f>
        <v>0</v>
      </c>
      <c r="AG96">
        <f>IF((phi!AG41),VLOOKUP(AG$1,main!$A$3:$I$56,5,FALSE)-VLOOKUP($A96,main!$A$3:$I$56,6,FALSE)+main!$D$57,0)</f>
        <v>0</v>
      </c>
      <c r="AH96">
        <f>IF((phi!AH41),VLOOKUP(AH$1,main!$A$3:$I$56,5,FALSE)-VLOOKUP($A96,main!$A$3:$I$56,6,FALSE)+main!$D$57,0)</f>
        <v>0</v>
      </c>
      <c r="AI96">
        <f>IF((phi!AI41),VLOOKUP(AI$1,main!$A$3:$I$56,5,FALSE)-VLOOKUP($A96,main!$A$3:$I$56,6,FALSE)+main!$D$57,0)</f>
        <v>0</v>
      </c>
      <c r="AJ96">
        <f>IF((phi!AJ41),VLOOKUP(AJ$1,main!$A$3:$I$56,5,FALSE)-VLOOKUP($A96,main!$A$3:$I$56,6,FALSE)+main!$D$57,0)</f>
        <v>0</v>
      </c>
      <c r="AK96">
        <f>IF((phi!AK41),VLOOKUP(AK$1,main!$A$3:$I$56,5,FALSE)-VLOOKUP($A96,main!$A$3:$I$56,6,FALSE)+main!$D$57,0)</f>
        <v>0</v>
      </c>
      <c r="AL96">
        <f>IF((phi!AL41),VLOOKUP(AL$1,main!$A$3:$I$56,5,FALSE)-VLOOKUP($A96,main!$A$3:$I$56,6,FALSE)+main!$D$57,0)</f>
        <v>0</v>
      </c>
      <c r="AM96">
        <f>IF((phi!AM41),VLOOKUP(AM$1,main!$A$3:$I$56,5,FALSE)-VLOOKUP($A96,main!$A$3:$I$56,6,FALSE)+main!$D$57,0)</f>
        <v>0</v>
      </c>
      <c r="AN96">
        <f>IF((phi!AN41),VLOOKUP(AN$1,main!$A$3:$I$56,5,FALSE)-VLOOKUP($A96,main!$A$3:$I$56,6,FALSE)+main!$D$57,0)</f>
        <v>0</v>
      </c>
      <c r="AO96">
        <f>IF((phi!AO41),VLOOKUP(AO$1,main!$A$3:$I$56,5,FALSE)-VLOOKUP($A96,main!$A$3:$I$56,6,FALSE)+main!$D$57,0)</f>
        <v>0</v>
      </c>
      <c r="AP96">
        <f>IF((phi!AP41),VLOOKUP(AP$1,main!$A$3:$I$56,5,FALSE)-VLOOKUP($A96,main!$A$3:$I$56,6,FALSE)+main!$D$57,0)</f>
        <v>0</v>
      </c>
      <c r="AQ96">
        <f>IF((phi!AQ41),VLOOKUP(AQ$1,main!$A$3:$I$56,5,FALSE)-VLOOKUP($A96,main!$A$3:$I$56,6,FALSE)+main!$D$57,0)</f>
        <v>0</v>
      </c>
      <c r="AR96">
        <f>IF((phi!AR41),VLOOKUP(AR$1,main!$A$3:$I$56,5,FALSE)-VLOOKUP($A96,main!$A$3:$I$56,6,FALSE)+main!$D$57,0)</f>
        <v>0</v>
      </c>
      <c r="AS96">
        <f>IF((phi!AS41),VLOOKUP(AS$1,main!$A$3:$I$56,5,FALSE)-VLOOKUP($A96,main!$A$3:$I$56,6,FALSE)+main!$D$57,0)</f>
        <v>0</v>
      </c>
      <c r="AT96">
        <f>IF((phi!AT41),VLOOKUP(AT$1,main!$A$3:$I$56,5,FALSE)-VLOOKUP($A96,main!$A$3:$I$56,6,FALSE)+main!$D$57,0)</f>
        <v>0</v>
      </c>
      <c r="AU96">
        <f>IF((phi!AU41),VLOOKUP(AU$1,main!$A$3:$I$56,5,FALSE)-VLOOKUP($A96,main!$A$3:$I$56,6,FALSE)+main!$D$57,0)</f>
        <v>0</v>
      </c>
      <c r="AV96">
        <f>IF((phi!AV41),VLOOKUP(AV$1,main!$A$3:$I$56,5,FALSE)-VLOOKUP($A96,main!$A$3:$I$56,6,FALSE)+main!$D$57,0)</f>
        <v>0</v>
      </c>
      <c r="AW96">
        <f>IF((phi!AW41),VLOOKUP(AW$1,main!$A$3:$I$56,5,FALSE)-VLOOKUP($A96,main!$A$3:$I$56,6,FALSE)+main!$D$57,0)</f>
        <v>0</v>
      </c>
      <c r="AX96">
        <f>IF((phi!AX41),VLOOKUP(AX$1,main!$A$3:$I$56,5,FALSE)-VLOOKUP($A96,main!$A$3:$I$56,6,FALSE)+main!$D$57,0)</f>
        <v>0</v>
      </c>
      <c r="AY96">
        <f>IF((phi!AY41),VLOOKUP(AY$1,main!$A$3:$I$56,5,FALSE)-VLOOKUP($A96,main!$A$3:$I$56,6,FALSE)+main!$D$57,0)</f>
        <v>170</v>
      </c>
      <c r="AZ96">
        <f>IF((phi!AZ41),VLOOKUP(AZ$1,main!$A$3:$I$56,5,FALSE)-VLOOKUP($A96,main!$A$3:$I$56,6,FALSE)+main!$D$57,0)</f>
        <v>0</v>
      </c>
      <c r="BA96">
        <f>IF((phi!BA41),VLOOKUP(BA$1,main!$A$3:$I$56,5,FALSE)-VLOOKUP($A96,main!$A$3:$I$56,6,FALSE)+main!$D$57,0)</f>
        <v>0</v>
      </c>
      <c r="BB96">
        <f>IF((phi!BB41),VLOOKUP(BB$1,main!$A$3:$I$56,5,FALSE)-VLOOKUP($A96,main!$A$3:$I$56,6,FALSE)+main!$D$57,0)</f>
        <v>0</v>
      </c>
      <c r="BC96">
        <f>IF((phi!BC41),VLOOKUP(BC$1,main!$A$3:$I$56,5,FALSE)-VLOOKUP($A96,main!$A$3:$I$56,6,FALSE)+main!$D$57,0)</f>
        <v>0</v>
      </c>
      <c r="BD96">
        <f>IF((phi!BD41),VLOOKUP(BD$1,main!$A$3:$I$56,5,FALSE)-VLOOKUP($A96,main!$A$3:$I$56,6,FALSE)+main!$D$57,0)</f>
        <v>0</v>
      </c>
    </row>
    <row r="97" spans="1:56" x14ac:dyDescent="0.25">
      <c r="A97">
        <f t="shared" si="3"/>
        <v>40</v>
      </c>
      <c r="B97">
        <v>0</v>
      </c>
      <c r="C97">
        <f>IF((phi!C42),VLOOKUP(C$1,main!$A$3:$I$56,5,FALSE)-VLOOKUP($A97,main!$A$3:$I$56,6,FALSE)+main!$D$57,0)</f>
        <v>0</v>
      </c>
      <c r="D97">
        <f>IF((phi!D42),VLOOKUP(D$1,main!$A$3:$I$56,5,FALSE)-VLOOKUP($A97,main!$A$3:$I$56,6,FALSE)+main!$D$57,0)</f>
        <v>205</v>
      </c>
      <c r="E97">
        <f>IF((phi!E42),VLOOKUP(E$1,main!$A$3:$I$56,5,FALSE)-VLOOKUP($A97,main!$A$3:$I$56,6,FALSE)+main!$D$57,0)</f>
        <v>295</v>
      </c>
      <c r="F97">
        <f>IF((phi!F42),VLOOKUP(F$1,main!$A$3:$I$56,5,FALSE)-VLOOKUP($A97,main!$A$3:$I$56,6,FALSE)+main!$D$57,0)</f>
        <v>385</v>
      </c>
      <c r="G97">
        <f>IF((phi!G42),VLOOKUP(G$1,main!$A$3:$I$56,5,FALSE)-VLOOKUP($A97,main!$A$3:$I$56,6,FALSE)+main!$D$57,0)</f>
        <v>445</v>
      </c>
      <c r="H97">
        <f>IF((phi!H42),VLOOKUP(H$1,main!$A$3:$I$56,5,FALSE)-VLOOKUP($A97,main!$A$3:$I$56,6,FALSE)+main!$D$57,0)</f>
        <v>505</v>
      </c>
      <c r="I97">
        <f>IF((phi!I42),VLOOKUP(I$1,main!$A$3:$I$56,5,FALSE)-VLOOKUP($A97,main!$A$3:$I$56,6,FALSE)+main!$D$57,0)</f>
        <v>565</v>
      </c>
      <c r="J97">
        <f>IF((phi!J42),VLOOKUP(J$1,main!$A$3:$I$56,5,FALSE)-VLOOKUP($A97,main!$A$3:$I$56,6,FALSE)+main!$D$57,0)</f>
        <v>655</v>
      </c>
      <c r="K97">
        <f>IF((phi!K42),VLOOKUP(K$1,main!$A$3:$I$56,5,FALSE)-VLOOKUP($A97,main!$A$3:$I$56,6,FALSE)+main!$D$57,0)</f>
        <v>0</v>
      </c>
      <c r="L97">
        <f>IF((phi!L42),VLOOKUP(L$1,main!$A$3:$I$56,5,FALSE)-VLOOKUP($A97,main!$A$3:$I$56,6,FALSE)+main!$D$57,0)</f>
        <v>140</v>
      </c>
      <c r="M97">
        <f>IF((phi!M42),VLOOKUP(M$1,main!$A$3:$I$56,5,FALSE)-VLOOKUP($A97,main!$A$3:$I$56,6,FALSE)+main!$D$57,0)</f>
        <v>260</v>
      </c>
      <c r="N97">
        <f>IF((phi!N42),VLOOKUP(N$1,main!$A$3:$I$56,5,FALSE)-VLOOKUP($A97,main!$A$3:$I$56,6,FALSE)+main!$D$57,0)</f>
        <v>620</v>
      </c>
      <c r="O97">
        <f>IF((phi!O42),VLOOKUP(O$1,main!$A$3:$I$56,5,FALSE)-VLOOKUP($A97,main!$A$3:$I$56,6,FALSE)+main!$D$57,0)</f>
        <v>680</v>
      </c>
      <c r="P97">
        <f>IF((phi!P42),VLOOKUP(P$1,main!$A$3:$I$56,5,FALSE)-VLOOKUP($A97,main!$A$3:$I$56,6,FALSE)+main!$D$57,0)</f>
        <v>0</v>
      </c>
      <c r="Q97">
        <f>IF((phi!Q42),VLOOKUP(Q$1,main!$A$3:$I$56,5,FALSE)-VLOOKUP($A97,main!$A$3:$I$56,6,FALSE)+main!$D$57,0)</f>
        <v>0</v>
      </c>
      <c r="R97">
        <f>IF((phi!R42),VLOOKUP(R$1,main!$A$3:$I$56,5,FALSE)-VLOOKUP($A97,main!$A$3:$I$56,6,FALSE)+main!$D$57,0)</f>
        <v>255</v>
      </c>
      <c r="S97">
        <f>IF((phi!S42),VLOOKUP(S$1,main!$A$3:$I$56,5,FALSE)-VLOOKUP($A97,main!$A$3:$I$56,6,FALSE)+main!$D$57,0)</f>
        <v>435</v>
      </c>
      <c r="T97">
        <f>IF((phi!T42),VLOOKUP(T$1,main!$A$3:$I$56,5,FALSE)-VLOOKUP($A97,main!$A$3:$I$56,6,FALSE)+main!$D$57,0)</f>
        <v>585</v>
      </c>
      <c r="U97">
        <f>IF((phi!U42),VLOOKUP(U$1,main!$A$3:$I$56,5,FALSE)-VLOOKUP($A97,main!$A$3:$I$56,6,FALSE)+main!$D$57,0)</f>
        <v>0</v>
      </c>
      <c r="V97">
        <f>IF((phi!V42),VLOOKUP(V$1,main!$A$3:$I$56,5,FALSE)-VLOOKUP($A97,main!$A$3:$I$56,6,FALSE)+main!$D$57,0)</f>
        <v>0</v>
      </c>
      <c r="W97">
        <f>IF((phi!W42),VLOOKUP(W$1,main!$A$3:$I$56,5,FALSE)-VLOOKUP($A97,main!$A$3:$I$56,6,FALSE)+main!$D$57,0)</f>
        <v>185</v>
      </c>
      <c r="X97">
        <f>IF((phi!X42),VLOOKUP(X$1,main!$A$3:$I$56,5,FALSE)-VLOOKUP($A97,main!$A$3:$I$56,6,FALSE)+main!$D$57,0)</f>
        <v>275</v>
      </c>
      <c r="Y97">
        <f>IF((phi!Y42),VLOOKUP(Y$1,main!$A$3:$I$56,5,FALSE)-VLOOKUP($A97,main!$A$3:$I$56,6,FALSE)+main!$D$57,0)</f>
        <v>365</v>
      </c>
      <c r="Z97">
        <f>IF((phi!Z42),VLOOKUP(Z$1,main!$A$3:$I$56,5,FALSE)-VLOOKUP($A97,main!$A$3:$I$56,6,FALSE)+main!$D$57,0)</f>
        <v>455</v>
      </c>
      <c r="AA97">
        <f>IF((phi!AA42),VLOOKUP(AA$1,main!$A$3:$I$56,5,FALSE)-VLOOKUP($A97,main!$A$3:$I$56,6,FALSE)+main!$D$57,0)</f>
        <v>545</v>
      </c>
      <c r="AB97">
        <f>IF((phi!AB42),VLOOKUP(AB$1,main!$A$3:$I$56,5,FALSE)-VLOOKUP($A97,main!$A$3:$I$56,6,FALSE)+main!$D$57,0)</f>
        <v>605</v>
      </c>
      <c r="AC97">
        <f>IF((phi!AC42),VLOOKUP(AC$1,main!$A$3:$I$56,5,FALSE)-VLOOKUP($A97,main!$A$3:$I$56,6,FALSE)+main!$D$57,0)</f>
        <v>0</v>
      </c>
      <c r="AD97">
        <f>IF((phi!AD42),VLOOKUP(AD$1,main!$A$3:$I$56,5,FALSE)-VLOOKUP($A97,main!$A$3:$I$56,6,FALSE)+main!$D$57,0)</f>
        <v>0</v>
      </c>
      <c r="AE97">
        <f>IF((phi!AE42),VLOOKUP(AE$1,main!$A$3:$I$56,5,FALSE)-VLOOKUP($A97,main!$A$3:$I$56,6,FALSE)+main!$D$57,0)</f>
        <v>265</v>
      </c>
      <c r="AF97">
        <f>IF((phi!AF42),VLOOKUP(AF$1,main!$A$3:$I$56,5,FALSE)-VLOOKUP($A97,main!$A$3:$I$56,6,FALSE)+main!$D$57,0)</f>
        <v>415</v>
      </c>
      <c r="AG97">
        <f>IF((phi!AG42),VLOOKUP(AG$1,main!$A$3:$I$56,5,FALSE)-VLOOKUP($A97,main!$A$3:$I$56,6,FALSE)+main!$D$57,0)</f>
        <v>0</v>
      </c>
      <c r="AH97">
        <f>IF((phi!AH42),VLOOKUP(AH$1,main!$A$3:$I$56,5,FALSE)-VLOOKUP($A97,main!$A$3:$I$56,6,FALSE)+main!$D$57,0)</f>
        <v>205</v>
      </c>
      <c r="AI97">
        <f>IF((phi!AI42),VLOOKUP(AI$1,main!$A$3:$I$56,5,FALSE)-VLOOKUP($A97,main!$A$3:$I$56,6,FALSE)+main!$D$57,0)</f>
        <v>325</v>
      </c>
      <c r="AJ97">
        <f>IF((phi!AJ42),VLOOKUP(AJ$1,main!$A$3:$I$56,5,FALSE)-VLOOKUP($A97,main!$A$3:$I$56,6,FALSE)+main!$D$57,0)</f>
        <v>385</v>
      </c>
      <c r="AK97">
        <f>IF((phi!AK42),VLOOKUP(AK$1,main!$A$3:$I$56,5,FALSE)-VLOOKUP($A97,main!$A$3:$I$56,6,FALSE)+main!$D$57,0)</f>
        <v>505</v>
      </c>
      <c r="AL97">
        <f>IF((phi!AL42),VLOOKUP(AL$1,main!$A$3:$I$56,5,FALSE)-VLOOKUP($A97,main!$A$3:$I$56,6,FALSE)+main!$D$57,0)</f>
        <v>0</v>
      </c>
      <c r="AM97">
        <f>IF((phi!AM42),VLOOKUP(AM$1,main!$A$3:$I$56,5,FALSE)-VLOOKUP($A97,main!$A$3:$I$56,6,FALSE)+main!$D$57,0)</f>
        <v>0</v>
      </c>
      <c r="AN97">
        <f>IF((phi!AN42),VLOOKUP(AN$1,main!$A$3:$I$56,5,FALSE)-VLOOKUP($A97,main!$A$3:$I$56,6,FALSE)+main!$D$57,0)</f>
        <v>365</v>
      </c>
      <c r="AO97">
        <f>IF((phi!AO42),VLOOKUP(AO$1,main!$A$3:$I$56,5,FALSE)-VLOOKUP($A97,main!$A$3:$I$56,6,FALSE)+main!$D$57,0)</f>
        <v>415</v>
      </c>
      <c r="AP97">
        <f>IF((phi!AP42),VLOOKUP(AP$1,main!$A$3:$I$56,5,FALSE)-VLOOKUP($A97,main!$A$3:$I$56,6,FALSE)+main!$D$57,0)</f>
        <v>0</v>
      </c>
      <c r="AQ97">
        <f>IF((phi!AQ42),VLOOKUP(AQ$1,main!$A$3:$I$56,5,FALSE)-VLOOKUP($A97,main!$A$3:$I$56,6,FALSE)+main!$D$57,0)</f>
        <v>0</v>
      </c>
      <c r="AR97">
        <f>IF((phi!AR42),VLOOKUP(AR$1,main!$A$3:$I$56,5,FALSE)-VLOOKUP($A97,main!$A$3:$I$56,6,FALSE)+main!$D$57,0)</f>
        <v>0</v>
      </c>
      <c r="AS97">
        <f>IF((phi!AS42),VLOOKUP(AS$1,main!$A$3:$I$56,5,FALSE)-VLOOKUP($A97,main!$A$3:$I$56,6,FALSE)+main!$D$57,0)</f>
        <v>230</v>
      </c>
      <c r="AT97">
        <f>IF((phi!AT42),VLOOKUP(AT$1,main!$A$3:$I$56,5,FALSE)-VLOOKUP($A97,main!$A$3:$I$56,6,FALSE)+main!$D$57,0)</f>
        <v>315</v>
      </c>
      <c r="AU97">
        <f>IF((phi!AU42),VLOOKUP(AU$1,main!$A$3:$I$56,5,FALSE)-VLOOKUP($A97,main!$A$3:$I$56,6,FALSE)+main!$D$57,0)</f>
        <v>185</v>
      </c>
      <c r="AV97">
        <f>IF((phi!AV42),VLOOKUP(AV$1,main!$A$3:$I$56,5,FALSE)-VLOOKUP($A97,main!$A$3:$I$56,6,FALSE)+main!$D$57,0)</f>
        <v>215</v>
      </c>
      <c r="AW97">
        <f>IF((phi!AW42),VLOOKUP(AW$1,main!$A$3:$I$56,5,FALSE)-VLOOKUP($A97,main!$A$3:$I$56,6,FALSE)+main!$D$57,0)</f>
        <v>265</v>
      </c>
      <c r="AX97">
        <f>IF((phi!AX42),VLOOKUP(AX$1,main!$A$3:$I$56,5,FALSE)-VLOOKUP($A97,main!$A$3:$I$56,6,FALSE)+main!$D$57,0)</f>
        <v>465</v>
      </c>
      <c r="AY97">
        <f>IF((phi!AY42),VLOOKUP(AY$1,main!$A$3:$I$56,5,FALSE)-VLOOKUP($A97,main!$A$3:$I$56,6,FALSE)+main!$D$57,0)</f>
        <v>665</v>
      </c>
      <c r="AZ97">
        <f>IF((phi!AZ42),VLOOKUP(AZ$1,main!$A$3:$I$56,5,FALSE)-VLOOKUP($A97,main!$A$3:$I$56,6,FALSE)+main!$D$57,0)</f>
        <v>0</v>
      </c>
      <c r="BA97">
        <f>IF((phi!BA42),VLOOKUP(BA$1,main!$A$3:$I$56,5,FALSE)-VLOOKUP($A97,main!$A$3:$I$56,6,FALSE)+main!$D$57,0)</f>
        <v>230</v>
      </c>
      <c r="BB97">
        <f>IF((phi!BB42),VLOOKUP(BB$1,main!$A$3:$I$56,5,FALSE)-VLOOKUP($A97,main!$A$3:$I$56,6,FALSE)+main!$D$57,0)</f>
        <v>245</v>
      </c>
      <c r="BC97">
        <f>IF((phi!BC42),VLOOKUP(BC$1,main!$A$3:$I$56,5,FALSE)-VLOOKUP($A97,main!$A$3:$I$56,6,FALSE)+main!$D$57,0)</f>
        <v>430</v>
      </c>
      <c r="BD97">
        <f>IF((phi!BD42),VLOOKUP(BD$1,main!$A$3:$I$56,5,FALSE)-VLOOKUP($A97,main!$A$3:$I$56,6,FALSE)+main!$D$57,0)</f>
        <v>440</v>
      </c>
    </row>
    <row r="98" spans="1:56" x14ac:dyDescent="0.25">
      <c r="A98">
        <f t="shared" si="3"/>
        <v>41</v>
      </c>
      <c r="B98">
        <v>0</v>
      </c>
      <c r="C98">
        <f>IF((phi!C43),VLOOKUP(C$1,main!$A$3:$I$56,5,FALSE)-VLOOKUP($A98,main!$A$3:$I$56,6,FALSE)+main!$D$57,0)</f>
        <v>0</v>
      </c>
      <c r="D98">
        <f>IF((phi!D43),VLOOKUP(D$1,main!$A$3:$I$56,5,FALSE)-VLOOKUP($A98,main!$A$3:$I$56,6,FALSE)+main!$D$57,0)</f>
        <v>0</v>
      </c>
      <c r="E98">
        <f>IF((phi!E43),VLOOKUP(E$1,main!$A$3:$I$56,5,FALSE)-VLOOKUP($A98,main!$A$3:$I$56,6,FALSE)+main!$D$57,0)</f>
        <v>195</v>
      </c>
      <c r="F98">
        <f>IF((phi!F43),VLOOKUP(F$1,main!$A$3:$I$56,5,FALSE)-VLOOKUP($A98,main!$A$3:$I$56,6,FALSE)+main!$D$57,0)</f>
        <v>285</v>
      </c>
      <c r="G98">
        <f>IF((phi!G43),VLOOKUP(G$1,main!$A$3:$I$56,5,FALSE)-VLOOKUP($A98,main!$A$3:$I$56,6,FALSE)+main!$D$57,0)</f>
        <v>345</v>
      </c>
      <c r="H98">
        <f>IF((phi!H43),VLOOKUP(H$1,main!$A$3:$I$56,5,FALSE)-VLOOKUP($A98,main!$A$3:$I$56,6,FALSE)+main!$D$57,0)</f>
        <v>405</v>
      </c>
      <c r="I98">
        <f>IF((phi!I43),VLOOKUP(I$1,main!$A$3:$I$56,5,FALSE)-VLOOKUP($A98,main!$A$3:$I$56,6,FALSE)+main!$D$57,0)</f>
        <v>465</v>
      </c>
      <c r="J98">
        <f>IF((phi!J43),VLOOKUP(J$1,main!$A$3:$I$56,5,FALSE)-VLOOKUP($A98,main!$A$3:$I$56,6,FALSE)+main!$D$57,0)</f>
        <v>555</v>
      </c>
      <c r="K98">
        <f>IF((phi!K43),VLOOKUP(K$1,main!$A$3:$I$56,5,FALSE)-VLOOKUP($A98,main!$A$3:$I$56,6,FALSE)+main!$D$57,0)</f>
        <v>0</v>
      </c>
      <c r="L98">
        <f>IF((phi!L43),VLOOKUP(L$1,main!$A$3:$I$56,5,FALSE)-VLOOKUP($A98,main!$A$3:$I$56,6,FALSE)+main!$D$57,0)</f>
        <v>0</v>
      </c>
      <c r="M98">
        <f>IF((phi!M43),VLOOKUP(M$1,main!$A$3:$I$56,5,FALSE)-VLOOKUP($A98,main!$A$3:$I$56,6,FALSE)+main!$D$57,0)</f>
        <v>160</v>
      </c>
      <c r="N98">
        <f>IF((phi!N43),VLOOKUP(N$1,main!$A$3:$I$56,5,FALSE)-VLOOKUP($A98,main!$A$3:$I$56,6,FALSE)+main!$D$57,0)</f>
        <v>520</v>
      </c>
      <c r="O98">
        <f>IF((phi!O43),VLOOKUP(O$1,main!$A$3:$I$56,5,FALSE)-VLOOKUP($A98,main!$A$3:$I$56,6,FALSE)+main!$D$57,0)</f>
        <v>580</v>
      </c>
      <c r="P98">
        <f>IF((phi!P43),VLOOKUP(P$1,main!$A$3:$I$56,5,FALSE)-VLOOKUP($A98,main!$A$3:$I$56,6,FALSE)+main!$D$57,0)</f>
        <v>0</v>
      </c>
      <c r="Q98">
        <f>IF((phi!Q43),VLOOKUP(Q$1,main!$A$3:$I$56,5,FALSE)-VLOOKUP($A98,main!$A$3:$I$56,6,FALSE)+main!$D$57,0)</f>
        <v>0</v>
      </c>
      <c r="R98">
        <f>IF((phi!R43),VLOOKUP(R$1,main!$A$3:$I$56,5,FALSE)-VLOOKUP($A98,main!$A$3:$I$56,6,FALSE)+main!$D$57,0)</f>
        <v>155</v>
      </c>
      <c r="S98">
        <f>IF((phi!S43),VLOOKUP(S$1,main!$A$3:$I$56,5,FALSE)-VLOOKUP($A98,main!$A$3:$I$56,6,FALSE)+main!$D$57,0)</f>
        <v>335</v>
      </c>
      <c r="T98">
        <f>IF((phi!T43),VLOOKUP(T$1,main!$A$3:$I$56,5,FALSE)-VLOOKUP($A98,main!$A$3:$I$56,6,FALSE)+main!$D$57,0)</f>
        <v>485</v>
      </c>
      <c r="U98">
        <f>IF((phi!U43),VLOOKUP(U$1,main!$A$3:$I$56,5,FALSE)-VLOOKUP($A98,main!$A$3:$I$56,6,FALSE)+main!$D$57,0)</f>
        <v>0</v>
      </c>
      <c r="V98">
        <f>IF((phi!V43),VLOOKUP(V$1,main!$A$3:$I$56,5,FALSE)-VLOOKUP($A98,main!$A$3:$I$56,6,FALSE)+main!$D$57,0)</f>
        <v>0</v>
      </c>
      <c r="W98">
        <f>IF((phi!W43),VLOOKUP(W$1,main!$A$3:$I$56,5,FALSE)-VLOOKUP($A98,main!$A$3:$I$56,6,FALSE)+main!$D$57,0)</f>
        <v>0</v>
      </c>
      <c r="X98">
        <f>IF((phi!X43),VLOOKUP(X$1,main!$A$3:$I$56,5,FALSE)-VLOOKUP($A98,main!$A$3:$I$56,6,FALSE)+main!$D$57,0)</f>
        <v>175</v>
      </c>
      <c r="Y98">
        <f>IF((phi!Y43),VLOOKUP(Y$1,main!$A$3:$I$56,5,FALSE)-VLOOKUP($A98,main!$A$3:$I$56,6,FALSE)+main!$D$57,0)</f>
        <v>265</v>
      </c>
      <c r="Z98">
        <f>IF((phi!Z43),VLOOKUP(Z$1,main!$A$3:$I$56,5,FALSE)-VLOOKUP($A98,main!$A$3:$I$56,6,FALSE)+main!$D$57,0)</f>
        <v>355</v>
      </c>
      <c r="AA98">
        <f>IF((phi!AA43),VLOOKUP(AA$1,main!$A$3:$I$56,5,FALSE)-VLOOKUP($A98,main!$A$3:$I$56,6,FALSE)+main!$D$57,0)</f>
        <v>445</v>
      </c>
      <c r="AB98">
        <f>IF((phi!AB43),VLOOKUP(AB$1,main!$A$3:$I$56,5,FALSE)-VLOOKUP($A98,main!$A$3:$I$56,6,FALSE)+main!$D$57,0)</f>
        <v>505</v>
      </c>
      <c r="AC98">
        <f>IF((phi!AC43),VLOOKUP(AC$1,main!$A$3:$I$56,5,FALSE)-VLOOKUP($A98,main!$A$3:$I$56,6,FALSE)+main!$D$57,0)</f>
        <v>0</v>
      </c>
      <c r="AD98">
        <f>IF((phi!AD43),VLOOKUP(AD$1,main!$A$3:$I$56,5,FALSE)-VLOOKUP($A98,main!$A$3:$I$56,6,FALSE)+main!$D$57,0)</f>
        <v>0</v>
      </c>
      <c r="AE98">
        <f>IF((phi!AE43),VLOOKUP(AE$1,main!$A$3:$I$56,5,FALSE)-VLOOKUP($A98,main!$A$3:$I$56,6,FALSE)+main!$D$57,0)</f>
        <v>165</v>
      </c>
      <c r="AF98">
        <f>IF((phi!AF43),VLOOKUP(AF$1,main!$A$3:$I$56,5,FALSE)-VLOOKUP($A98,main!$A$3:$I$56,6,FALSE)+main!$D$57,0)</f>
        <v>315</v>
      </c>
      <c r="AG98">
        <f>IF((phi!AG43),VLOOKUP(AG$1,main!$A$3:$I$56,5,FALSE)-VLOOKUP($A98,main!$A$3:$I$56,6,FALSE)+main!$D$57,0)</f>
        <v>0</v>
      </c>
      <c r="AH98">
        <f>IF((phi!AH43),VLOOKUP(AH$1,main!$A$3:$I$56,5,FALSE)-VLOOKUP($A98,main!$A$3:$I$56,6,FALSE)+main!$D$57,0)</f>
        <v>0</v>
      </c>
      <c r="AI98">
        <f>IF((phi!AI43),VLOOKUP(AI$1,main!$A$3:$I$56,5,FALSE)-VLOOKUP($A98,main!$A$3:$I$56,6,FALSE)+main!$D$57,0)</f>
        <v>225</v>
      </c>
      <c r="AJ98">
        <f>IF((phi!AJ43),VLOOKUP(AJ$1,main!$A$3:$I$56,5,FALSE)-VLOOKUP($A98,main!$A$3:$I$56,6,FALSE)+main!$D$57,0)</f>
        <v>285</v>
      </c>
      <c r="AK98">
        <f>IF((phi!AK43),VLOOKUP(AK$1,main!$A$3:$I$56,5,FALSE)-VLOOKUP($A98,main!$A$3:$I$56,6,FALSE)+main!$D$57,0)</f>
        <v>405</v>
      </c>
      <c r="AL98">
        <f>IF((phi!AL43),VLOOKUP(AL$1,main!$A$3:$I$56,5,FALSE)-VLOOKUP($A98,main!$A$3:$I$56,6,FALSE)+main!$D$57,0)</f>
        <v>0</v>
      </c>
      <c r="AM98">
        <f>IF((phi!AM43),VLOOKUP(AM$1,main!$A$3:$I$56,5,FALSE)-VLOOKUP($A98,main!$A$3:$I$56,6,FALSE)+main!$D$57,0)</f>
        <v>0</v>
      </c>
      <c r="AN98">
        <f>IF((phi!AN43),VLOOKUP(AN$1,main!$A$3:$I$56,5,FALSE)-VLOOKUP($A98,main!$A$3:$I$56,6,FALSE)+main!$D$57,0)</f>
        <v>265</v>
      </c>
      <c r="AO98">
        <f>IF((phi!AO43),VLOOKUP(AO$1,main!$A$3:$I$56,5,FALSE)-VLOOKUP($A98,main!$A$3:$I$56,6,FALSE)+main!$D$57,0)</f>
        <v>315</v>
      </c>
      <c r="AP98">
        <f>IF((phi!AP43),VLOOKUP(AP$1,main!$A$3:$I$56,5,FALSE)-VLOOKUP($A98,main!$A$3:$I$56,6,FALSE)+main!$D$57,0)</f>
        <v>0</v>
      </c>
      <c r="AQ98">
        <f>IF((phi!AQ43),VLOOKUP(AQ$1,main!$A$3:$I$56,5,FALSE)-VLOOKUP($A98,main!$A$3:$I$56,6,FALSE)+main!$D$57,0)</f>
        <v>0</v>
      </c>
      <c r="AR98">
        <f>IF((phi!AR43),VLOOKUP(AR$1,main!$A$3:$I$56,5,FALSE)-VLOOKUP($A98,main!$A$3:$I$56,6,FALSE)+main!$D$57,0)</f>
        <v>0</v>
      </c>
      <c r="AS98">
        <f>IF((phi!AS43),VLOOKUP(AS$1,main!$A$3:$I$56,5,FALSE)-VLOOKUP($A98,main!$A$3:$I$56,6,FALSE)+main!$D$57,0)</f>
        <v>130</v>
      </c>
      <c r="AT98">
        <f>IF((phi!AT43),VLOOKUP(AT$1,main!$A$3:$I$56,5,FALSE)-VLOOKUP($A98,main!$A$3:$I$56,6,FALSE)+main!$D$57,0)</f>
        <v>215</v>
      </c>
      <c r="AU98">
        <f>IF((phi!AU43),VLOOKUP(AU$1,main!$A$3:$I$56,5,FALSE)-VLOOKUP($A98,main!$A$3:$I$56,6,FALSE)+main!$D$57,0)</f>
        <v>0</v>
      </c>
      <c r="AV98">
        <f>IF((phi!AV43),VLOOKUP(AV$1,main!$A$3:$I$56,5,FALSE)-VLOOKUP($A98,main!$A$3:$I$56,6,FALSE)+main!$D$57,0)</f>
        <v>0</v>
      </c>
      <c r="AW98">
        <f>IF((phi!AW43),VLOOKUP(AW$1,main!$A$3:$I$56,5,FALSE)-VLOOKUP($A98,main!$A$3:$I$56,6,FALSE)+main!$D$57,0)</f>
        <v>165</v>
      </c>
      <c r="AX98">
        <f>IF((phi!AX43),VLOOKUP(AX$1,main!$A$3:$I$56,5,FALSE)-VLOOKUP($A98,main!$A$3:$I$56,6,FALSE)+main!$D$57,0)</f>
        <v>365</v>
      </c>
      <c r="AY98">
        <f>IF((phi!AY43),VLOOKUP(AY$1,main!$A$3:$I$56,5,FALSE)-VLOOKUP($A98,main!$A$3:$I$56,6,FALSE)+main!$D$57,0)</f>
        <v>565</v>
      </c>
      <c r="AZ98">
        <f>IF((phi!AZ43),VLOOKUP(AZ$1,main!$A$3:$I$56,5,FALSE)-VLOOKUP($A98,main!$A$3:$I$56,6,FALSE)+main!$D$57,0)</f>
        <v>0</v>
      </c>
      <c r="BA98">
        <f>IF((phi!BA43),VLOOKUP(BA$1,main!$A$3:$I$56,5,FALSE)-VLOOKUP($A98,main!$A$3:$I$56,6,FALSE)+main!$D$57,0)</f>
        <v>130</v>
      </c>
      <c r="BB98">
        <f>IF((phi!BB43),VLOOKUP(BB$1,main!$A$3:$I$56,5,FALSE)-VLOOKUP($A98,main!$A$3:$I$56,6,FALSE)+main!$D$57,0)</f>
        <v>145</v>
      </c>
      <c r="BC98">
        <f>IF((phi!BC43),VLOOKUP(BC$1,main!$A$3:$I$56,5,FALSE)-VLOOKUP($A98,main!$A$3:$I$56,6,FALSE)+main!$D$57,0)</f>
        <v>330</v>
      </c>
      <c r="BD98">
        <f>IF((phi!BD43),VLOOKUP(BD$1,main!$A$3:$I$56,5,FALSE)-VLOOKUP($A98,main!$A$3:$I$56,6,FALSE)+main!$D$57,0)</f>
        <v>340</v>
      </c>
    </row>
    <row r="99" spans="1:56" x14ac:dyDescent="0.25">
      <c r="A99">
        <f t="shared" si="3"/>
        <v>42</v>
      </c>
      <c r="B99">
        <v>0</v>
      </c>
      <c r="C99">
        <f>IF((phi!C44),VLOOKUP(C$1,main!$A$3:$I$56,5,FALSE)-VLOOKUP($A99,main!$A$3:$I$56,6,FALSE)+main!$D$57,0)</f>
        <v>0</v>
      </c>
      <c r="D99">
        <f>IF((phi!D44),VLOOKUP(D$1,main!$A$3:$I$56,5,FALSE)-VLOOKUP($A99,main!$A$3:$I$56,6,FALSE)+main!$D$57,0)</f>
        <v>0</v>
      </c>
      <c r="E99">
        <f>IF((phi!E44),VLOOKUP(E$1,main!$A$3:$I$56,5,FALSE)-VLOOKUP($A99,main!$A$3:$I$56,6,FALSE)+main!$D$57,0)</f>
        <v>145</v>
      </c>
      <c r="F99">
        <f>IF((phi!F44),VLOOKUP(F$1,main!$A$3:$I$56,5,FALSE)-VLOOKUP($A99,main!$A$3:$I$56,6,FALSE)+main!$D$57,0)</f>
        <v>235</v>
      </c>
      <c r="G99">
        <f>IF((phi!G44),VLOOKUP(G$1,main!$A$3:$I$56,5,FALSE)-VLOOKUP($A99,main!$A$3:$I$56,6,FALSE)+main!$D$57,0)</f>
        <v>295</v>
      </c>
      <c r="H99">
        <f>IF((phi!H44),VLOOKUP(H$1,main!$A$3:$I$56,5,FALSE)-VLOOKUP($A99,main!$A$3:$I$56,6,FALSE)+main!$D$57,0)</f>
        <v>355</v>
      </c>
      <c r="I99">
        <f>IF((phi!I44),VLOOKUP(I$1,main!$A$3:$I$56,5,FALSE)-VLOOKUP($A99,main!$A$3:$I$56,6,FALSE)+main!$D$57,0)</f>
        <v>415</v>
      </c>
      <c r="J99">
        <f>IF((phi!J44),VLOOKUP(J$1,main!$A$3:$I$56,5,FALSE)-VLOOKUP($A99,main!$A$3:$I$56,6,FALSE)+main!$D$57,0)</f>
        <v>505</v>
      </c>
      <c r="K99">
        <f>IF((phi!K44),VLOOKUP(K$1,main!$A$3:$I$56,5,FALSE)-VLOOKUP($A99,main!$A$3:$I$56,6,FALSE)+main!$D$57,0)</f>
        <v>0</v>
      </c>
      <c r="L99">
        <f>IF((phi!L44),VLOOKUP(L$1,main!$A$3:$I$56,5,FALSE)-VLOOKUP($A99,main!$A$3:$I$56,6,FALSE)+main!$D$57,0)</f>
        <v>0</v>
      </c>
      <c r="M99">
        <f>IF((phi!M44),VLOOKUP(M$1,main!$A$3:$I$56,5,FALSE)-VLOOKUP($A99,main!$A$3:$I$56,6,FALSE)+main!$D$57,0)</f>
        <v>0</v>
      </c>
      <c r="N99">
        <f>IF((phi!N44),VLOOKUP(N$1,main!$A$3:$I$56,5,FALSE)-VLOOKUP($A99,main!$A$3:$I$56,6,FALSE)+main!$D$57,0)</f>
        <v>470</v>
      </c>
      <c r="O99">
        <f>IF((phi!O44),VLOOKUP(O$1,main!$A$3:$I$56,5,FALSE)-VLOOKUP($A99,main!$A$3:$I$56,6,FALSE)+main!$D$57,0)</f>
        <v>530</v>
      </c>
      <c r="P99">
        <f>IF((phi!P44),VLOOKUP(P$1,main!$A$3:$I$56,5,FALSE)-VLOOKUP($A99,main!$A$3:$I$56,6,FALSE)+main!$D$57,0)</f>
        <v>0</v>
      </c>
      <c r="Q99">
        <f>IF((phi!Q44),VLOOKUP(Q$1,main!$A$3:$I$56,5,FALSE)-VLOOKUP($A99,main!$A$3:$I$56,6,FALSE)+main!$D$57,0)</f>
        <v>0</v>
      </c>
      <c r="R99">
        <f>IF((phi!R44),VLOOKUP(R$1,main!$A$3:$I$56,5,FALSE)-VLOOKUP($A99,main!$A$3:$I$56,6,FALSE)+main!$D$57,0)</f>
        <v>0</v>
      </c>
      <c r="S99">
        <f>IF((phi!S44),VLOOKUP(S$1,main!$A$3:$I$56,5,FALSE)-VLOOKUP($A99,main!$A$3:$I$56,6,FALSE)+main!$D$57,0)</f>
        <v>285</v>
      </c>
      <c r="T99">
        <f>IF((phi!T44),VLOOKUP(T$1,main!$A$3:$I$56,5,FALSE)-VLOOKUP($A99,main!$A$3:$I$56,6,FALSE)+main!$D$57,0)</f>
        <v>435</v>
      </c>
      <c r="U99">
        <f>IF((phi!U44),VLOOKUP(U$1,main!$A$3:$I$56,5,FALSE)-VLOOKUP($A99,main!$A$3:$I$56,6,FALSE)+main!$D$57,0)</f>
        <v>0</v>
      </c>
      <c r="V99">
        <f>IF((phi!V44),VLOOKUP(V$1,main!$A$3:$I$56,5,FALSE)-VLOOKUP($A99,main!$A$3:$I$56,6,FALSE)+main!$D$57,0)</f>
        <v>0</v>
      </c>
      <c r="W99">
        <f>IF((phi!W44),VLOOKUP(W$1,main!$A$3:$I$56,5,FALSE)-VLOOKUP($A99,main!$A$3:$I$56,6,FALSE)+main!$D$57,0)</f>
        <v>0</v>
      </c>
      <c r="X99">
        <f>IF((phi!X44),VLOOKUP(X$1,main!$A$3:$I$56,5,FALSE)-VLOOKUP($A99,main!$A$3:$I$56,6,FALSE)+main!$D$57,0)</f>
        <v>0</v>
      </c>
      <c r="Y99">
        <f>IF((phi!Y44),VLOOKUP(Y$1,main!$A$3:$I$56,5,FALSE)-VLOOKUP($A99,main!$A$3:$I$56,6,FALSE)+main!$D$57,0)</f>
        <v>215</v>
      </c>
      <c r="Z99">
        <f>IF((phi!Z44),VLOOKUP(Z$1,main!$A$3:$I$56,5,FALSE)-VLOOKUP($A99,main!$A$3:$I$56,6,FALSE)+main!$D$57,0)</f>
        <v>305</v>
      </c>
      <c r="AA99">
        <f>IF((phi!AA44),VLOOKUP(AA$1,main!$A$3:$I$56,5,FALSE)-VLOOKUP($A99,main!$A$3:$I$56,6,FALSE)+main!$D$57,0)</f>
        <v>395</v>
      </c>
      <c r="AB99">
        <f>IF((phi!AB44),VLOOKUP(AB$1,main!$A$3:$I$56,5,FALSE)-VLOOKUP($A99,main!$A$3:$I$56,6,FALSE)+main!$D$57,0)</f>
        <v>455</v>
      </c>
      <c r="AC99">
        <f>IF((phi!AC44),VLOOKUP(AC$1,main!$A$3:$I$56,5,FALSE)-VLOOKUP($A99,main!$A$3:$I$56,6,FALSE)+main!$D$57,0)</f>
        <v>0</v>
      </c>
      <c r="AD99">
        <f>IF((phi!AD44),VLOOKUP(AD$1,main!$A$3:$I$56,5,FALSE)-VLOOKUP($A99,main!$A$3:$I$56,6,FALSE)+main!$D$57,0)</f>
        <v>0</v>
      </c>
      <c r="AE99">
        <f>IF((phi!AE44),VLOOKUP(AE$1,main!$A$3:$I$56,5,FALSE)-VLOOKUP($A99,main!$A$3:$I$56,6,FALSE)+main!$D$57,0)</f>
        <v>0</v>
      </c>
      <c r="AF99">
        <f>IF((phi!AF44),VLOOKUP(AF$1,main!$A$3:$I$56,5,FALSE)-VLOOKUP($A99,main!$A$3:$I$56,6,FALSE)+main!$D$57,0)</f>
        <v>265</v>
      </c>
      <c r="AG99">
        <f>IF((phi!AG44),VLOOKUP(AG$1,main!$A$3:$I$56,5,FALSE)-VLOOKUP($A99,main!$A$3:$I$56,6,FALSE)+main!$D$57,0)</f>
        <v>0</v>
      </c>
      <c r="AH99">
        <f>IF((phi!AH44),VLOOKUP(AH$1,main!$A$3:$I$56,5,FALSE)-VLOOKUP($A99,main!$A$3:$I$56,6,FALSE)+main!$D$57,0)</f>
        <v>0</v>
      </c>
      <c r="AI99">
        <f>IF((phi!AI44),VLOOKUP(AI$1,main!$A$3:$I$56,5,FALSE)-VLOOKUP($A99,main!$A$3:$I$56,6,FALSE)+main!$D$57,0)</f>
        <v>175</v>
      </c>
      <c r="AJ99">
        <f>IF((phi!AJ44),VLOOKUP(AJ$1,main!$A$3:$I$56,5,FALSE)-VLOOKUP($A99,main!$A$3:$I$56,6,FALSE)+main!$D$57,0)</f>
        <v>235</v>
      </c>
      <c r="AK99">
        <f>IF((phi!AK44),VLOOKUP(AK$1,main!$A$3:$I$56,5,FALSE)-VLOOKUP($A99,main!$A$3:$I$56,6,FALSE)+main!$D$57,0)</f>
        <v>355</v>
      </c>
      <c r="AL99">
        <f>IF((phi!AL44),VLOOKUP(AL$1,main!$A$3:$I$56,5,FALSE)-VLOOKUP($A99,main!$A$3:$I$56,6,FALSE)+main!$D$57,0)</f>
        <v>0</v>
      </c>
      <c r="AM99">
        <f>IF((phi!AM44),VLOOKUP(AM$1,main!$A$3:$I$56,5,FALSE)-VLOOKUP($A99,main!$A$3:$I$56,6,FALSE)+main!$D$57,0)</f>
        <v>0</v>
      </c>
      <c r="AN99">
        <f>IF((phi!AN44),VLOOKUP(AN$1,main!$A$3:$I$56,5,FALSE)-VLOOKUP($A99,main!$A$3:$I$56,6,FALSE)+main!$D$57,0)</f>
        <v>215</v>
      </c>
      <c r="AO99">
        <f>IF((phi!AO44),VLOOKUP(AO$1,main!$A$3:$I$56,5,FALSE)-VLOOKUP($A99,main!$A$3:$I$56,6,FALSE)+main!$D$57,0)</f>
        <v>265</v>
      </c>
      <c r="AP99">
        <f>IF((phi!AP44),VLOOKUP(AP$1,main!$A$3:$I$56,5,FALSE)-VLOOKUP($A99,main!$A$3:$I$56,6,FALSE)+main!$D$57,0)</f>
        <v>0</v>
      </c>
      <c r="AQ99">
        <f>IF((phi!AQ44),VLOOKUP(AQ$1,main!$A$3:$I$56,5,FALSE)-VLOOKUP($A99,main!$A$3:$I$56,6,FALSE)+main!$D$57,0)</f>
        <v>0</v>
      </c>
      <c r="AR99">
        <f>IF((phi!AR44),VLOOKUP(AR$1,main!$A$3:$I$56,5,FALSE)-VLOOKUP($A99,main!$A$3:$I$56,6,FALSE)+main!$D$57,0)</f>
        <v>0</v>
      </c>
      <c r="AS99">
        <f>IF((phi!AS44),VLOOKUP(AS$1,main!$A$3:$I$56,5,FALSE)-VLOOKUP($A99,main!$A$3:$I$56,6,FALSE)+main!$D$57,0)</f>
        <v>0</v>
      </c>
      <c r="AT99">
        <f>IF((phi!AT44),VLOOKUP(AT$1,main!$A$3:$I$56,5,FALSE)-VLOOKUP($A99,main!$A$3:$I$56,6,FALSE)+main!$D$57,0)</f>
        <v>165</v>
      </c>
      <c r="AU99">
        <f>IF((phi!AU44),VLOOKUP(AU$1,main!$A$3:$I$56,5,FALSE)-VLOOKUP($A99,main!$A$3:$I$56,6,FALSE)+main!$D$57,0)</f>
        <v>0</v>
      </c>
      <c r="AV99">
        <f>IF((phi!AV44),VLOOKUP(AV$1,main!$A$3:$I$56,5,FALSE)-VLOOKUP($A99,main!$A$3:$I$56,6,FALSE)+main!$D$57,0)</f>
        <v>0</v>
      </c>
      <c r="AW99">
        <f>IF((phi!AW44),VLOOKUP(AW$1,main!$A$3:$I$56,5,FALSE)-VLOOKUP($A99,main!$A$3:$I$56,6,FALSE)+main!$D$57,0)</f>
        <v>0</v>
      </c>
      <c r="AX99">
        <f>IF((phi!AX44),VLOOKUP(AX$1,main!$A$3:$I$56,5,FALSE)-VLOOKUP($A99,main!$A$3:$I$56,6,FALSE)+main!$D$57,0)</f>
        <v>315</v>
      </c>
      <c r="AY99">
        <f>IF((phi!AY44),VLOOKUP(AY$1,main!$A$3:$I$56,5,FALSE)-VLOOKUP($A99,main!$A$3:$I$56,6,FALSE)+main!$D$57,0)</f>
        <v>515</v>
      </c>
      <c r="AZ99">
        <f>IF((phi!AZ44),VLOOKUP(AZ$1,main!$A$3:$I$56,5,FALSE)-VLOOKUP($A99,main!$A$3:$I$56,6,FALSE)+main!$D$57,0)</f>
        <v>0</v>
      </c>
      <c r="BA99">
        <f>IF((phi!BA44),VLOOKUP(BA$1,main!$A$3:$I$56,5,FALSE)-VLOOKUP($A99,main!$A$3:$I$56,6,FALSE)+main!$D$57,0)</f>
        <v>0</v>
      </c>
      <c r="BB99">
        <f>IF((phi!BB44),VLOOKUP(BB$1,main!$A$3:$I$56,5,FALSE)-VLOOKUP($A99,main!$A$3:$I$56,6,FALSE)+main!$D$57,0)</f>
        <v>0</v>
      </c>
      <c r="BC99">
        <f>IF((phi!BC44),VLOOKUP(BC$1,main!$A$3:$I$56,5,FALSE)-VLOOKUP($A99,main!$A$3:$I$56,6,FALSE)+main!$D$57,0)</f>
        <v>280</v>
      </c>
      <c r="BD99">
        <f>IF((phi!BD44),VLOOKUP(BD$1,main!$A$3:$I$56,5,FALSE)-VLOOKUP($A99,main!$A$3:$I$56,6,FALSE)+main!$D$57,0)</f>
        <v>290</v>
      </c>
    </row>
    <row r="100" spans="1:56" x14ac:dyDescent="0.25">
      <c r="A100">
        <f t="shared" si="3"/>
        <v>43</v>
      </c>
      <c r="B100">
        <v>0</v>
      </c>
      <c r="C100">
        <f>IF((phi!C45),VLOOKUP(C$1,main!$A$3:$I$56,5,FALSE)-VLOOKUP($A100,main!$A$3:$I$56,6,FALSE)+main!$D$57,0)</f>
        <v>0</v>
      </c>
      <c r="D100">
        <f>IF((phi!D45),VLOOKUP(D$1,main!$A$3:$I$56,5,FALSE)-VLOOKUP($A100,main!$A$3:$I$56,6,FALSE)+main!$D$57,0)</f>
        <v>0</v>
      </c>
      <c r="E100">
        <f>IF((phi!E45),VLOOKUP(E$1,main!$A$3:$I$56,5,FALSE)-VLOOKUP($A100,main!$A$3:$I$56,6,FALSE)+main!$D$57,0)</f>
        <v>0</v>
      </c>
      <c r="F100">
        <f>IF((phi!F45),VLOOKUP(F$1,main!$A$3:$I$56,5,FALSE)-VLOOKUP($A100,main!$A$3:$I$56,6,FALSE)+main!$D$57,0)</f>
        <v>0</v>
      </c>
      <c r="G100">
        <f>IF((phi!G45),VLOOKUP(G$1,main!$A$3:$I$56,5,FALSE)-VLOOKUP($A100,main!$A$3:$I$56,6,FALSE)+main!$D$57,0)</f>
        <v>130</v>
      </c>
      <c r="H100">
        <f>IF((phi!H45),VLOOKUP(H$1,main!$A$3:$I$56,5,FALSE)-VLOOKUP($A100,main!$A$3:$I$56,6,FALSE)+main!$D$57,0)</f>
        <v>190</v>
      </c>
      <c r="I100">
        <f>IF((phi!I45),VLOOKUP(I$1,main!$A$3:$I$56,5,FALSE)-VLOOKUP($A100,main!$A$3:$I$56,6,FALSE)+main!$D$57,0)</f>
        <v>250</v>
      </c>
      <c r="J100">
        <f>IF((phi!J45),VLOOKUP(J$1,main!$A$3:$I$56,5,FALSE)-VLOOKUP($A100,main!$A$3:$I$56,6,FALSE)+main!$D$57,0)</f>
        <v>340</v>
      </c>
      <c r="K100">
        <f>IF((phi!K45),VLOOKUP(K$1,main!$A$3:$I$56,5,FALSE)-VLOOKUP($A100,main!$A$3:$I$56,6,FALSE)+main!$D$57,0)</f>
        <v>0</v>
      </c>
      <c r="L100">
        <f>IF((phi!L45),VLOOKUP(L$1,main!$A$3:$I$56,5,FALSE)-VLOOKUP($A100,main!$A$3:$I$56,6,FALSE)+main!$D$57,0)</f>
        <v>0</v>
      </c>
      <c r="M100">
        <f>IF((phi!M45),VLOOKUP(M$1,main!$A$3:$I$56,5,FALSE)-VLOOKUP($A100,main!$A$3:$I$56,6,FALSE)+main!$D$57,0)</f>
        <v>0</v>
      </c>
      <c r="N100">
        <f>IF((phi!N45),VLOOKUP(N$1,main!$A$3:$I$56,5,FALSE)-VLOOKUP($A100,main!$A$3:$I$56,6,FALSE)+main!$D$57,0)</f>
        <v>305</v>
      </c>
      <c r="O100">
        <f>IF((phi!O45),VLOOKUP(O$1,main!$A$3:$I$56,5,FALSE)-VLOOKUP($A100,main!$A$3:$I$56,6,FALSE)+main!$D$57,0)</f>
        <v>365</v>
      </c>
      <c r="P100">
        <f>IF((phi!P45),VLOOKUP(P$1,main!$A$3:$I$56,5,FALSE)-VLOOKUP($A100,main!$A$3:$I$56,6,FALSE)+main!$D$57,0)</f>
        <v>0</v>
      </c>
      <c r="Q100">
        <f>IF((phi!Q45),VLOOKUP(Q$1,main!$A$3:$I$56,5,FALSE)-VLOOKUP($A100,main!$A$3:$I$56,6,FALSE)+main!$D$57,0)</f>
        <v>0</v>
      </c>
      <c r="R100">
        <f>IF((phi!R45),VLOOKUP(R$1,main!$A$3:$I$56,5,FALSE)-VLOOKUP($A100,main!$A$3:$I$56,6,FALSE)+main!$D$57,0)</f>
        <v>0</v>
      </c>
      <c r="S100">
        <f>IF((phi!S45),VLOOKUP(S$1,main!$A$3:$I$56,5,FALSE)-VLOOKUP($A100,main!$A$3:$I$56,6,FALSE)+main!$D$57,0)</f>
        <v>0</v>
      </c>
      <c r="T100">
        <f>IF((phi!T45),VLOOKUP(T$1,main!$A$3:$I$56,5,FALSE)-VLOOKUP($A100,main!$A$3:$I$56,6,FALSE)+main!$D$57,0)</f>
        <v>270</v>
      </c>
      <c r="U100">
        <f>IF((phi!U45),VLOOKUP(U$1,main!$A$3:$I$56,5,FALSE)-VLOOKUP($A100,main!$A$3:$I$56,6,FALSE)+main!$D$57,0)</f>
        <v>0</v>
      </c>
      <c r="V100">
        <f>IF((phi!V45),VLOOKUP(V$1,main!$A$3:$I$56,5,FALSE)-VLOOKUP($A100,main!$A$3:$I$56,6,FALSE)+main!$D$57,0)</f>
        <v>0</v>
      </c>
      <c r="W100">
        <f>IF((phi!W45),VLOOKUP(W$1,main!$A$3:$I$56,5,FALSE)-VLOOKUP($A100,main!$A$3:$I$56,6,FALSE)+main!$D$57,0)</f>
        <v>0</v>
      </c>
      <c r="X100">
        <f>IF((phi!X45),VLOOKUP(X$1,main!$A$3:$I$56,5,FALSE)-VLOOKUP($A100,main!$A$3:$I$56,6,FALSE)+main!$D$57,0)</f>
        <v>0</v>
      </c>
      <c r="Y100">
        <f>IF((phi!Y45),VLOOKUP(Y$1,main!$A$3:$I$56,5,FALSE)-VLOOKUP($A100,main!$A$3:$I$56,6,FALSE)+main!$D$57,0)</f>
        <v>0</v>
      </c>
      <c r="Z100">
        <f>IF((phi!Z45),VLOOKUP(Z$1,main!$A$3:$I$56,5,FALSE)-VLOOKUP($A100,main!$A$3:$I$56,6,FALSE)+main!$D$57,0)</f>
        <v>140</v>
      </c>
      <c r="AA100">
        <f>IF((phi!AA45),VLOOKUP(AA$1,main!$A$3:$I$56,5,FALSE)-VLOOKUP($A100,main!$A$3:$I$56,6,FALSE)+main!$D$57,0)</f>
        <v>230</v>
      </c>
      <c r="AB100">
        <f>IF((phi!AB45),VLOOKUP(AB$1,main!$A$3:$I$56,5,FALSE)-VLOOKUP($A100,main!$A$3:$I$56,6,FALSE)+main!$D$57,0)</f>
        <v>290</v>
      </c>
      <c r="AC100">
        <f>IF((phi!AC45),VLOOKUP(AC$1,main!$A$3:$I$56,5,FALSE)-VLOOKUP($A100,main!$A$3:$I$56,6,FALSE)+main!$D$57,0)</f>
        <v>0</v>
      </c>
      <c r="AD100">
        <f>IF((phi!AD45),VLOOKUP(AD$1,main!$A$3:$I$56,5,FALSE)-VLOOKUP($A100,main!$A$3:$I$56,6,FALSE)+main!$D$57,0)</f>
        <v>0</v>
      </c>
      <c r="AE100">
        <f>IF((phi!AE45),VLOOKUP(AE$1,main!$A$3:$I$56,5,FALSE)-VLOOKUP($A100,main!$A$3:$I$56,6,FALSE)+main!$D$57,0)</f>
        <v>0</v>
      </c>
      <c r="AF100">
        <f>IF((phi!AF45),VLOOKUP(AF$1,main!$A$3:$I$56,5,FALSE)-VLOOKUP($A100,main!$A$3:$I$56,6,FALSE)+main!$D$57,0)</f>
        <v>0</v>
      </c>
      <c r="AG100">
        <f>IF((phi!AG45),VLOOKUP(AG$1,main!$A$3:$I$56,5,FALSE)-VLOOKUP($A100,main!$A$3:$I$56,6,FALSE)+main!$D$57,0)</f>
        <v>0</v>
      </c>
      <c r="AH100">
        <f>IF((phi!AH45),VLOOKUP(AH$1,main!$A$3:$I$56,5,FALSE)-VLOOKUP($A100,main!$A$3:$I$56,6,FALSE)+main!$D$57,0)</f>
        <v>0</v>
      </c>
      <c r="AI100">
        <f>IF((phi!AI45),VLOOKUP(AI$1,main!$A$3:$I$56,5,FALSE)-VLOOKUP($A100,main!$A$3:$I$56,6,FALSE)+main!$D$57,0)</f>
        <v>0</v>
      </c>
      <c r="AJ100">
        <f>IF((phi!AJ45),VLOOKUP(AJ$1,main!$A$3:$I$56,5,FALSE)-VLOOKUP($A100,main!$A$3:$I$56,6,FALSE)+main!$D$57,0)</f>
        <v>0</v>
      </c>
      <c r="AK100">
        <f>IF((phi!AK45),VLOOKUP(AK$1,main!$A$3:$I$56,5,FALSE)-VLOOKUP($A100,main!$A$3:$I$56,6,FALSE)+main!$D$57,0)</f>
        <v>190</v>
      </c>
      <c r="AL100">
        <f>IF((phi!AL45),VLOOKUP(AL$1,main!$A$3:$I$56,5,FALSE)-VLOOKUP($A100,main!$A$3:$I$56,6,FALSE)+main!$D$57,0)</f>
        <v>0</v>
      </c>
      <c r="AM100">
        <f>IF((phi!AM45),VLOOKUP(AM$1,main!$A$3:$I$56,5,FALSE)-VLOOKUP($A100,main!$A$3:$I$56,6,FALSE)+main!$D$57,0)</f>
        <v>0</v>
      </c>
      <c r="AN100">
        <f>IF((phi!AN45),VLOOKUP(AN$1,main!$A$3:$I$56,5,FALSE)-VLOOKUP($A100,main!$A$3:$I$56,6,FALSE)+main!$D$57,0)</f>
        <v>0</v>
      </c>
      <c r="AO100">
        <f>IF((phi!AO45),VLOOKUP(AO$1,main!$A$3:$I$56,5,FALSE)-VLOOKUP($A100,main!$A$3:$I$56,6,FALSE)+main!$D$57,0)</f>
        <v>0</v>
      </c>
      <c r="AP100">
        <f>IF((phi!AP45),VLOOKUP(AP$1,main!$A$3:$I$56,5,FALSE)-VLOOKUP($A100,main!$A$3:$I$56,6,FALSE)+main!$D$57,0)</f>
        <v>0</v>
      </c>
      <c r="AQ100">
        <f>IF((phi!AQ45),VLOOKUP(AQ$1,main!$A$3:$I$56,5,FALSE)-VLOOKUP($A100,main!$A$3:$I$56,6,FALSE)+main!$D$57,0)</f>
        <v>0</v>
      </c>
      <c r="AR100">
        <f>IF((phi!AR45),VLOOKUP(AR$1,main!$A$3:$I$56,5,FALSE)-VLOOKUP($A100,main!$A$3:$I$56,6,FALSE)+main!$D$57,0)</f>
        <v>0</v>
      </c>
      <c r="AS100">
        <f>IF((phi!AS45),VLOOKUP(AS$1,main!$A$3:$I$56,5,FALSE)-VLOOKUP($A100,main!$A$3:$I$56,6,FALSE)+main!$D$57,0)</f>
        <v>0</v>
      </c>
      <c r="AT100">
        <f>IF((phi!AT45),VLOOKUP(AT$1,main!$A$3:$I$56,5,FALSE)-VLOOKUP($A100,main!$A$3:$I$56,6,FALSE)+main!$D$57,0)</f>
        <v>0</v>
      </c>
      <c r="AU100">
        <f>IF((phi!AU45),VLOOKUP(AU$1,main!$A$3:$I$56,5,FALSE)-VLOOKUP($A100,main!$A$3:$I$56,6,FALSE)+main!$D$57,0)</f>
        <v>0</v>
      </c>
      <c r="AV100">
        <f>IF((phi!AV45),VLOOKUP(AV$1,main!$A$3:$I$56,5,FALSE)-VLOOKUP($A100,main!$A$3:$I$56,6,FALSE)+main!$D$57,0)</f>
        <v>0</v>
      </c>
      <c r="AW100">
        <f>IF((phi!AW45),VLOOKUP(AW$1,main!$A$3:$I$56,5,FALSE)-VLOOKUP($A100,main!$A$3:$I$56,6,FALSE)+main!$D$57,0)</f>
        <v>0</v>
      </c>
      <c r="AX100">
        <f>IF((phi!AX45),VLOOKUP(AX$1,main!$A$3:$I$56,5,FALSE)-VLOOKUP($A100,main!$A$3:$I$56,6,FALSE)+main!$D$57,0)</f>
        <v>150</v>
      </c>
      <c r="AY100">
        <f>IF((phi!AY45),VLOOKUP(AY$1,main!$A$3:$I$56,5,FALSE)-VLOOKUP($A100,main!$A$3:$I$56,6,FALSE)+main!$D$57,0)</f>
        <v>350</v>
      </c>
      <c r="AZ100">
        <f>IF((phi!AZ45),VLOOKUP(AZ$1,main!$A$3:$I$56,5,FALSE)-VLOOKUP($A100,main!$A$3:$I$56,6,FALSE)+main!$D$57,0)</f>
        <v>0</v>
      </c>
      <c r="BA100">
        <f>IF((phi!BA45),VLOOKUP(BA$1,main!$A$3:$I$56,5,FALSE)-VLOOKUP($A100,main!$A$3:$I$56,6,FALSE)+main!$D$57,0)</f>
        <v>0</v>
      </c>
      <c r="BB100">
        <f>IF((phi!BB45),VLOOKUP(BB$1,main!$A$3:$I$56,5,FALSE)-VLOOKUP($A100,main!$A$3:$I$56,6,FALSE)+main!$D$57,0)</f>
        <v>0</v>
      </c>
      <c r="BC100">
        <f>IF((phi!BC45),VLOOKUP(BC$1,main!$A$3:$I$56,5,FALSE)-VLOOKUP($A100,main!$A$3:$I$56,6,FALSE)+main!$D$57,0)</f>
        <v>0</v>
      </c>
      <c r="BD100">
        <f>IF((phi!BD45),VLOOKUP(BD$1,main!$A$3:$I$56,5,FALSE)-VLOOKUP($A100,main!$A$3:$I$56,6,FALSE)+main!$D$57,0)</f>
        <v>0</v>
      </c>
    </row>
    <row r="101" spans="1:56" x14ac:dyDescent="0.25">
      <c r="A101">
        <f t="shared" si="3"/>
        <v>44</v>
      </c>
      <c r="B101">
        <v>0</v>
      </c>
      <c r="C101">
        <f>IF((phi!C46),VLOOKUP(C$1,main!$A$3:$I$56,5,FALSE)-VLOOKUP($A101,main!$A$3:$I$56,6,FALSE)+main!$D$57,0)</f>
        <v>0</v>
      </c>
      <c r="D101">
        <f>IF((phi!D46),VLOOKUP(D$1,main!$A$3:$I$56,5,FALSE)-VLOOKUP($A101,main!$A$3:$I$56,6,FALSE)+main!$D$57,0)</f>
        <v>0</v>
      </c>
      <c r="E101">
        <f>IF((phi!E46),VLOOKUP(E$1,main!$A$3:$I$56,5,FALSE)-VLOOKUP($A101,main!$A$3:$I$56,6,FALSE)+main!$D$57,0)</f>
        <v>0</v>
      </c>
      <c r="F101">
        <f>IF((phi!F46),VLOOKUP(F$1,main!$A$3:$I$56,5,FALSE)-VLOOKUP($A101,main!$A$3:$I$56,6,FALSE)+main!$D$57,0)</f>
        <v>0</v>
      </c>
      <c r="G101">
        <f>IF((phi!G46),VLOOKUP(G$1,main!$A$3:$I$56,5,FALSE)-VLOOKUP($A101,main!$A$3:$I$56,6,FALSE)+main!$D$57,0)</f>
        <v>0</v>
      </c>
      <c r="H101">
        <f>IF((phi!H46),VLOOKUP(H$1,main!$A$3:$I$56,5,FALSE)-VLOOKUP($A101,main!$A$3:$I$56,6,FALSE)+main!$D$57,0)</f>
        <v>0</v>
      </c>
      <c r="I101">
        <f>IF((phi!I46),VLOOKUP(I$1,main!$A$3:$I$56,5,FALSE)-VLOOKUP($A101,main!$A$3:$I$56,6,FALSE)+main!$D$57,0)</f>
        <v>180</v>
      </c>
      <c r="J101">
        <f>IF((phi!J46),VLOOKUP(J$1,main!$A$3:$I$56,5,FALSE)-VLOOKUP($A101,main!$A$3:$I$56,6,FALSE)+main!$D$57,0)</f>
        <v>270</v>
      </c>
      <c r="K101">
        <f>IF((phi!K46),VLOOKUP(K$1,main!$A$3:$I$56,5,FALSE)-VLOOKUP($A101,main!$A$3:$I$56,6,FALSE)+main!$D$57,0)</f>
        <v>0</v>
      </c>
      <c r="L101">
        <f>IF((phi!L46),VLOOKUP(L$1,main!$A$3:$I$56,5,FALSE)-VLOOKUP($A101,main!$A$3:$I$56,6,FALSE)+main!$D$57,0)</f>
        <v>0</v>
      </c>
      <c r="M101">
        <f>IF((phi!M46),VLOOKUP(M$1,main!$A$3:$I$56,5,FALSE)-VLOOKUP($A101,main!$A$3:$I$56,6,FALSE)+main!$D$57,0)</f>
        <v>0</v>
      </c>
      <c r="N101">
        <f>IF((phi!N46),VLOOKUP(N$1,main!$A$3:$I$56,5,FALSE)-VLOOKUP($A101,main!$A$3:$I$56,6,FALSE)+main!$D$57,0)</f>
        <v>235</v>
      </c>
      <c r="O101">
        <f>IF((phi!O46),VLOOKUP(O$1,main!$A$3:$I$56,5,FALSE)-VLOOKUP($A101,main!$A$3:$I$56,6,FALSE)+main!$D$57,0)</f>
        <v>295</v>
      </c>
      <c r="P101">
        <f>IF((phi!P46),VLOOKUP(P$1,main!$A$3:$I$56,5,FALSE)-VLOOKUP($A101,main!$A$3:$I$56,6,FALSE)+main!$D$57,0)</f>
        <v>0</v>
      </c>
      <c r="Q101">
        <f>IF((phi!Q46),VLOOKUP(Q$1,main!$A$3:$I$56,5,FALSE)-VLOOKUP($A101,main!$A$3:$I$56,6,FALSE)+main!$D$57,0)</f>
        <v>0</v>
      </c>
      <c r="R101">
        <f>IF((phi!R46),VLOOKUP(R$1,main!$A$3:$I$56,5,FALSE)-VLOOKUP($A101,main!$A$3:$I$56,6,FALSE)+main!$D$57,0)</f>
        <v>0</v>
      </c>
      <c r="S101">
        <f>IF((phi!S46),VLOOKUP(S$1,main!$A$3:$I$56,5,FALSE)-VLOOKUP($A101,main!$A$3:$I$56,6,FALSE)+main!$D$57,0)</f>
        <v>0</v>
      </c>
      <c r="T101">
        <f>IF((phi!T46),VLOOKUP(T$1,main!$A$3:$I$56,5,FALSE)-VLOOKUP($A101,main!$A$3:$I$56,6,FALSE)+main!$D$57,0)</f>
        <v>200</v>
      </c>
      <c r="U101">
        <f>IF((phi!U46),VLOOKUP(U$1,main!$A$3:$I$56,5,FALSE)-VLOOKUP($A101,main!$A$3:$I$56,6,FALSE)+main!$D$57,0)</f>
        <v>0</v>
      </c>
      <c r="V101">
        <f>IF((phi!V46),VLOOKUP(V$1,main!$A$3:$I$56,5,FALSE)-VLOOKUP($A101,main!$A$3:$I$56,6,FALSE)+main!$D$57,0)</f>
        <v>0</v>
      </c>
      <c r="W101">
        <f>IF((phi!W46),VLOOKUP(W$1,main!$A$3:$I$56,5,FALSE)-VLOOKUP($A101,main!$A$3:$I$56,6,FALSE)+main!$D$57,0)</f>
        <v>0</v>
      </c>
      <c r="X101">
        <f>IF((phi!X46),VLOOKUP(X$1,main!$A$3:$I$56,5,FALSE)-VLOOKUP($A101,main!$A$3:$I$56,6,FALSE)+main!$D$57,0)</f>
        <v>0</v>
      </c>
      <c r="Y101">
        <f>IF((phi!Y46),VLOOKUP(Y$1,main!$A$3:$I$56,5,FALSE)-VLOOKUP($A101,main!$A$3:$I$56,6,FALSE)+main!$D$57,0)</f>
        <v>0</v>
      </c>
      <c r="Z101">
        <f>IF((phi!Z46),VLOOKUP(Z$1,main!$A$3:$I$56,5,FALSE)-VLOOKUP($A101,main!$A$3:$I$56,6,FALSE)+main!$D$57,0)</f>
        <v>0</v>
      </c>
      <c r="AA101">
        <f>IF((phi!AA46),VLOOKUP(AA$1,main!$A$3:$I$56,5,FALSE)-VLOOKUP($A101,main!$A$3:$I$56,6,FALSE)+main!$D$57,0)</f>
        <v>160</v>
      </c>
      <c r="AB101">
        <f>IF((phi!AB46),VLOOKUP(AB$1,main!$A$3:$I$56,5,FALSE)-VLOOKUP($A101,main!$A$3:$I$56,6,FALSE)+main!$D$57,0)</f>
        <v>220</v>
      </c>
      <c r="AC101">
        <f>IF((phi!AC46),VLOOKUP(AC$1,main!$A$3:$I$56,5,FALSE)-VLOOKUP($A101,main!$A$3:$I$56,6,FALSE)+main!$D$57,0)</f>
        <v>0</v>
      </c>
      <c r="AD101">
        <f>IF((phi!AD46),VLOOKUP(AD$1,main!$A$3:$I$56,5,FALSE)-VLOOKUP($A101,main!$A$3:$I$56,6,FALSE)+main!$D$57,0)</f>
        <v>0</v>
      </c>
      <c r="AE101">
        <f>IF((phi!AE46),VLOOKUP(AE$1,main!$A$3:$I$56,5,FALSE)-VLOOKUP($A101,main!$A$3:$I$56,6,FALSE)+main!$D$57,0)</f>
        <v>0</v>
      </c>
      <c r="AF101">
        <f>IF((phi!AF46),VLOOKUP(AF$1,main!$A$3:$I$56,5,FALSE)-VLOOKUP($A101,main!$A$3:$I$56,6,FALSE)+main!$D$57,0)</f>
        <v>0</v>
      </c>
      <c r="AG101">
        <f>IF((phi!AG46),VLOOKUP(AG$1,main!$A$3:$I$56,5,FALSE)-VLOOKUP($A101,main!$A$3:$I$56,6,FALSE)+main!$D$57,0)</f>
        <v>0</v>
      </c>
      <c r="AH101">
        <f>IF((phi!AH46),VLOOKUP(AH$1,main!$A$3:$I$56,5,FALSE)-VLOOKUP($A101,main!$A$3:$I$56,6,FALSE)+main!$D$57,0)</f>
        <v>0</v>
      </c>
      <c r="AI101">
        <f>IF((phi!AI46),VLOOKUP(AI$1,main!$A$3:$I$56,5,FALSE)-VLOOKUP($A101,main!$A$3:$I$56,6,FALSE)+main!$D$57,0)</f>
        <v>0</v>
      </c>
      <c r="AJ101">
        <f>IF((phi!AJ46),VLOOKUP(AJ$1,main!$A$3:$I$56,5,FALSE)-VLOOKUP($A101,main!$A$3:$I$56,6,FALSE)+main!$D$57,0)</f>
        <v>0</v>
      </c>
      <c r="AK101">
        <f>IF((phi!AK46),VLOOKUP(AK$1,main!$A$3:$I$56,5,FALSE)-VLOOKUP($A101,main!$A$3:$I$56,6,FALSE)+main!$D$57,0)</f>
        <v>0</v>
      </c>
      <c r="AL101">
        <f>IF((phi!AL46),VLOOKUP(AL$1,main!$A$3:$I$56,5,FALSE)-VLOOKUP($A101,main!$A$3:$I$56,6,FALSE)+main!$D$57,0)</f>
        <v>0</v>
      </c>
      <c r="AM101">
        <f>IF((phi!AM46),VLOOKUP(AM$1,main!$A$3:$I$56,5,FALSE)-VLOOKUP($A101,main!$A$3:$I$56,6,FALSE)+main!$D$57,0)</f>
        <v>0</v>
      </c>
      <c r="AN101">
        <f>IF((phi!AN46),VLOOKUP(AN$1,main!$A$3:$I$56,5,FALSE)-VLOOKUP($A101,main!$A$3:$I$56,6,FALSE)+main!$D$57,0)</f>
        <v>0</v>
      </c>
      <c r="AO101">
        <f>IF((phi!AO46),VLOOKUP(AO$1,main!$A$3:$I$56,5,FALSE)-VLOOKUP($A101,main!$A$3:$I$56,6,FALSE)+main!$D$57,0)</f>
        <v>0</v>
      </c>
      <c r="AP101">
        <f>IF((phi!AP46),VLOOKUP(AP$1,main!$A$3:$I$56,5,FALSE)-VLOOKUP($A101,main!$A$3:$I$56,6,FALSE)+main!$D$57,0)</f>
        <v>0</v>
      </c>
      <c r="AQ101">
        <f>IF((phi!AQ46),VLOOKUP(AQ$1,main!$A$3:$I$56,5,FALSE)-VLOOKUP($A101,main!$A$3:$I$56,6,FALSE)+main!$D$57,0)</f>
        <v>0</v>
      </c>
      <c r="AR101">
        <f>IF((phi!AR46),VLOOKUP(AR$1,main!$A$3:$I$56,5,FALSE)-VLOOKUP($A101,main!$A$3:$I$56,6,FALSE)+main!$D$57,0)</f>
        <v>0</v>
      </c>
      <c r="AS101">
        <f>IF((phi!AS46),VLOOKUP(AS$1,main!$A$3:$I$56,5,FALSE)-VLOOKUP($A101,main!$A$3:$I$56,6,FALSE)+main!$D$57,0)</f>
        <v>0</v>
      </c>
      <c r="AT101">
        <f>IF((phi!AT46),VLOOKUP(AT$1,main!$A$3:$I$56,5,FALSE)-VLOOKUP($A101,main!$A$3:$I$56,6,FALSE)+main!$D$57,0)</f>
        <v>0</v>
      </c>
      <c r="AU101">
        <f>IF((phi!AU46),VLOOKUP(AU$1,main!$A$3:$I$56,5,FALSE)-VLOOKUP($A101,main!$A$3:$I$56,6,FALSE)+main!$D$57,0)</f>
        <v>0</v>
      </c>
      <c r="AV101">
        <f>IF((phi!AV46),VLOOKUP(AV$1,main!$A$3:$I$56,5,FALSE)-VLOOKUP($A101,main!$A$3:$I$56,6,FALSE)+main!$D$57,0)</f>
        <v>0</v>
      </c>
      <c r="AW101">
        <f>IF((phi!AW46),VLOOKUP(AW$1,main!$A$3:$I$56,5,FALSE)-VLOOKUP($A101,main!$A$3:$I$56,6,FALSE)+main!$D$57,0)</f>
        <v>0</v>
      </c>
      <c r="AX101">
        <f>IF((phi!AX46),VLOOKUP(AX$1,main!$A$3:$I$56,5,FALSE)-VLOOKUP($A101,main!$A$3:$I$56,6,FALSE)+main!$D$57,0)</f>
        <v>0</v>
      </c>
      <c r="AY101">
        <f>IF((phi!AY46),VLOOKUP(AY$1,main!$A$3:$I$56,5,FALSE)-VLOOKUP($A101,main!$A$3:$I$56,6,FALSE)+main!$D$57,0)</f>
        <v>280</v>
      </c>
      <c r="AZ101">
        <f>IF((phi!AZ46),VLOOKUP(AZ$1,main!$A$3:$I$56,5,FALSE)-VLOOKUP($A101,main!$A$3:$I$56,6,FALSE)+main!$D$57,0)</f>
        <v>0</v>
      </c>
      <c r="BA101">
        <f>IF((phi!BA46),VLOOKUP(BA$1,main!$A$3:$I$56,5,FALSE)-VLOOKUP($A101,main!$A$3:$I$56,6,FALSE)+main!$D$57,0)</f>
        <v>0</v>
      </c>
      <c r="BB101">
        <f>IF((phi!BB46),VLOOKUP(BB$1,main!$A$3:$I$56,5,FALSE)-VLOOKUP($A101,main!$A$3:$I$56,6,FALSE)+main!$D$57,0)</f>
        <v>0</v>
      </c>
      <c r="BC101">
        <f>IF((phi!BC46),VLOOKUP(BC$1,main!$A$3:$I$56,5,FALSE)-VLOOKUP($A101,main!$A$3:$I$56,6,FALSE)+main!$D$57,0)</f>
        <v>0</v>
      </c>
      <c r="BD101">
        <f>IF((phi!BD46),VLOOKUP(BD$1,main!$A$3:$I$56,5,FALSE)-VLOOKUP($A101,main!$A$3:$I$56,6,FALSE)+main!$D$57,0)</f>
        <v>0</v>
      </c>
    </row>
    <row r="102" spans="1:56" x14ac:dyDescent="0.25">
      <c r="A102">
        <f t="shared" si="3"/>
        <v>45</v>
      </c>
      <c r="B102">
        <v>0</v>
      </c>
      <c r="C102">
        <f>IF((phi!C47),VLOOKUP(C$1,main!$A$3:$I$56,5,FALSE)-VLOOKUP($A102,main!$A$3:$I$56,6,FALSE)+main!$D$57,0)</f>
        <v>0</v>
      </c>
      <c r="D102">
        <f>IF((phi!D47),VLOOKUP(D$1,main!$A$3:$I$56,5,FALSE)-VLOOKUP($A102,main!$A$3:$I$56,6,FALSE)+main!$D$57,0)</f>
        <v>0</v>
      </c>
      <c r="E102">
        <f>IF((phi!E47),VLOOKUP(E$1,main!$A$3:$I$56,5,FALSE)-VLOOKUP($A102,main!$A$3:$I$56,6,FALSE)+main!$D$57,0)</f>
        <v>0</v>
      </c>
      <c r="F102">
        <f>IF((phi!F47),VLOOKUP(F$1,main!$A$3:$I$56,5,FALSE)-VLOOKUP($A102,main!$A$3:$I$56,6,FALSE)+main!$D$57,0)</f>
        <v>0</v>
      </c>
      <c r="G102">
        <f>IF((phi!G47),VLOOKUP(G$1,main!$A$3:$I$56,5,FALSE)-VLOOKUP($A102,main!$A$3:$I$56,6,FALSE)+main!$D$57,0)</f>
        <v>170</v>
      </c>
      <c r="H102">
        <f>IF((phi!H47),VLOOKUP(H$1,main!$A$3:$I$56,5,FALSE)-VLOOKUP($A102,main!$A$3:$I$56,6,FALSE)+main!$D$57,0)</f>
        <v>230</v>
      </c>
      <c r="I102">
        <f>IF((phi!I47),VLOOKUP(I$1,main!$A$3:$I$56,5,FALSE)-VLOOKUP($A102,main!$A$3:$I$56,6,FALSE)+main!$D$57,0)</f>
        <v>290</v>
      </c>
      <c r="J102">
        <f>IF((phi!J47),VLOOKUP(J$1,main!$A$3:$I$56,5,FALSE)-VLOOKUP($A102,main!$A$3:$I$56,6,FALSE)+main!$D$57,0)</f>
        <v>380</v>
      </c>
      <c r="K102">
        <f>IF((phi!K47),VLOOKUP(K$1,main!$A$3:$I$56,5,FALSE)-VLOOKUP($A102,main!$A$3:$I$56,6,FALSE)+main!$D$57,0)</f>
        <v>0</v>
      </c>
      <c r="L102">
        <f>IF((phi!L47),VLOOKUP(L$1,main!$A$3:$I$56,5,FALSE)-VLOOKUP($A102,main!$A$3:$I$56,6,FALSE)+main!$D$57,0)</f>
        <v>0</v>
      </c>
      <c r="M102">
        <f>IF((phi!M47),VLOOKUP(M$1,main!$A$3:$I$56,5,FALSE)-VLOOKUP($A102,main!$A$3:$I$56,6,FALSE)+main!$D$57,0)</f>
        <v>0</v>
      </c>
      <c r="N102">
        <f>IF((phi!N47),VLOOKUP(N$1,main!$A$3:$I$56,5,FALSE)-VLOOKUP($A102,main!$A$3:$I$56,6,FALSE)+main!$D$57,0)</f>
        <v>345</v>
      </c>
      <c r="O102">
        <f>IF((phi!O47),VLOOKUP(O$1,main!$A$3:$I$56,5,FALSE)-VLOOKUP($A102,main!$A$3:$I$56,6,FALSE)+main!$D$57,0)</f>
        <v>405</v>
      </c>
      <c r="P102">
        <f>IF((phi!P47),VLOOKUP(P$1,main!$A$3:$I$56,5,FALSE)-VLOOKUP($A102,main!$A$3:$I$56,6,FALSE)+main!$D$57,0)</f>
        <v>0</v>
      </c>
      <c r="Q102">
        <f>IF((phi!Q47),VLOOKUP(Q$1,main!$A$3:$I$56,5,FALSE)-VLOOKUP($A102,main!$A$3:$I$56,6,FALSE)+main!$D$57,0)</f>
        <v>0</v>
      </c>
      <c r="R102">
        <f>IF((phi!R47),VLOOKUP(R$1,main!$A$3:$I$56,5,FALSE)-VLOOKUP($A102,main!$A$3:$I$56,6,FALSE)+main!$D$57,0)</f>
        <v>0</v>
      </c>
      <c r="S102">
        <f>IF((phi!S47),VLOOKUP(S$1,main!$A$3:$I$56,5,FALSE)-VLOOKUP($A102,main!$A$3:$I$56,6,FALSE)+main!$D$57,0)</f>
        <v>160</v>
      </c>
      <c r="T102">
        <f>IF((phi!T47),VLOOKUP(T$1,main!$A$3:$I$56,5,FALSE)-VLOOKUP($A102,main!$A$3:$I$56,6,FALSE)+main!$D$57,0)</f>
        <v>310</v>
      </c>
      <c r="U102">
        <f>IF((phi!U47),VLOOKUP(U$1,main!$A$3:$I$56,5,FALSE)-VLOOKUP($A102,main!$A$3:$I$56,6,FALSE)+main!$D$57,0)</f>
        <v>0</v>
      </c>
      <c r="V102">
        <f>IF((phi!V47),VLOOKUP(V$1,main!$A$3:$I$56,5,FALSE)-VLOOKUP($A102,main!$A$3:$I$56,6,FALSE)+main!$D$57,0)</f>
        <v>0</v>
      </c>
      <c r="W102">
        <f>IF((phi!W47),VLOOKUP(W$1,main!$A$3:$I$56,5,FALSE)-VLOOKUP($A102,main!$A$3:$I$56,6,FALSE)+main!$D$57,0)</f>
        <v>0</v>
      </c>
      <c r="X102">
        <f>IF((phi!X47),VLOOKUP(X$1,main!$A$3:$I$56,5,FALSE)-VLOOKUP($A102,main!$A$3:$I$56,6,FALSE)+main!$D$57,0)</f>
        <v>0</v>
      </c>
      <c r="Y102">
        <f>IF((phi!Y47),VLOOKUP(Y$1,main!$A$3:$I$56,5,FALSE)-VLOOKUP($A102,main!$A$3:$I$56,6,FALSE)+main!$D$57,0)</f>
        <v>0</v>
      </c>
      <c r="Z102">
        <f>IF((phi!Z47),VLOOKUP(Z$1,main!$A$3:$I$56,5,FALSE)-VLOOKUP($A102,main!$A$3:$I$56,6,FALSE)+main!$D$57,0)</f>
        <v>180</v>
      </c>
      <c r="AA102">
        <f>IF((phi!AA47),VLOOKUP(AA$1,main!$A$3:$I$56,5,FALSE)-VLOOKUP($A102,main!$A$3:$I$56,6,FALSE)+main!$D$57,0)</f>
        <v>270</v>
      </c>
      <c r="AB102">
        <f>IF((phi!AB47),VLOOKUP(AB$1,main!$A$3:$I$56,5,FALSE)-VLOOKUP($A102,main!$A$3:$I$56,6,FALSE)+main!$D$57,0)</f>
        <v>330</v>
      </c>
      <c r="AC102">
        <f>IF((phi!AC47),VLOOKUP(AC$1,main!$A$3:$I$56,5,FALSE)-VLOOKUP($A102,main!$A$3:$I$56,6,FALSE)+main!$D$57,0)</f>
        <v>0</v>
      </c>
      <c r="AD102">
        <f>IF((phi!AD47),VLOOKUP(AD$1,main!$A$3:$I$56,5,FALSE)-VLOOKUP($A102,main!$A$3:$I$56,6,FALSE)+main!$D$57,0)</f>
        <v>0</v>
      </c>
      <c r="AE102">
        <f>IF((phi!AE47),VLOOKUP(AE$1,main!$A$3:$I$56,5,FALSE)-VLOOKUP($A102,main!$A$3:$I$56,6,FALSE)+main!$D$57,0)</f>
        <v>0</v>
      </c>
      <c r="AF102">
        <f>IF((phi!AF47),VLOOKUP(AF$1,main!$A$3:$I$56,5,FALSE)-VLOOKUP($A102,main!$A$3:$I$56,6,FALSE)+main!$D$57,0)</f>
        <v>140</v>
      </c>
      <c r="AG102">
        <f>IF((phi!AG47),VLOOKUP(AG$1,main!$A$3:$I$56,5,FALSE)-VLOOKUP($A102,main!$A$3:$I$56,6,FALSE)+main!$D$57,0)</f>
        <v>0</v>
      </c>
      <c r="AH102">
        <f>IF((phi!AH47),VLOOKUP(AH$1,main!$A$3:$I$56,5,FALSE)-VLOOKUP($A102,main!$A$3:$I$56,6,FALSE)+main!$D$57,0)</f>
        <v>0</v>
      </c>
      <c r="AI102">
        <f>IF((phi!AI47),VLOOKUP(AI$1,main!$A$3:$I$56,5,FALSE)-VLOOKUP($A102,main!$A$3:$I$56,6,FALSE)+main!$D$57,0)</f>
        <v>0</v>
      </c>
      <c r="AJ102">
        <f>IF((phi!AJ47),VLOOKUP(AJ$1,main!$A$3:$I$56,5,FALSE)-VLOOKUP($A102,main!$A$3:$I$56,6,FALSE)+main!$D$57,0)</f>
        <v>0</v>
      </c>
      <c r="AK102">
        <f>IF((phi!AK47),VLOOKUP(AK$1,main!$A$3:$I$56,5,FALSE)-VLOOKUP($A102,main!$A$3:$I$56,6,FALSE)+main!$D$57,0)</f>
        <v>230</v>
      </c>
      <c r="AL102">
        <f>IF((phi!AL47),VLOOKUP(AL$1,main!$A$3:$I$56,5,FALSE)-VLOOKUP($A102,main!$A$3:$I$56,6,FALSE)+main!$D$57,0)</f>
        <v>0</v>
      </c>
      <c r="AM102">
        <f>IF((phi!AM47),VLOOKUP(AM$1,main!$A$3:$I$56,5,FALSE)-VLOOKUP($A102,main!$A$3:$I$56,6,FALSE)+main!$D$57,0)</f>
        <v>0</v>
      </c>
      <c r="AN102">
        <f>IF((phi!AN47),VLOOKUP(AN$1,main!$A$3:$I$56,5,FALSE)-VLOOKUP($A102,main!$A$3:$I$56,6,FALSE)+main!$D$57,0)</f>
        <v>0</v>
      </c>
      <c r="AO102">
        <f>IF((phi!AO47),VLOOKUP(AO$1,main!$A$3:$I$56,5,FALSE)-VLOOKUP($A102,main!$A$3:$I$56,6,FALSE)+main!$D$57,0)</f>
        <v>140</v>
      </c>
      <c r="AP102">
        <f>IF((phi!AP47),VLOOKUP(AP$1,main!$A$3:$I$56,5,FALSE)-VLOOKUP($A102,main!$A$3:$I$56,6,FALSE)+main!$D$57,0)</f>
        <v>0</v>
      </c>
      <c r="AQ102">
        <f>IF((phi!AQ47),VLOOKUP(AQ$1,main!$A$3:$I$56,5,FALSE)-VLOOKUP($A102,main!$A$3:$I$56,6,FALSE)+main!$D$57,0)</f>
        <v>0</v>
      </c>
      <c r="AR102">
        <f>IF((phi!AR47),VLOOKUP(AR$1,main!$A$3:$I$56,5,FALSE)-VLOOKUP($A102,main!$A$3:$I$56,6,FALSE)+main!$D$57,0)</f>
        <v>0</v>
      </c>
      <c r="AS102">
        <f>IF((phi!AS47),VLOOKUP(AS$1,main!$A$3:$I$56,5,FALSE)-VLOOKUP($A102,main!$A$3:$I$56,6,FALSE)+main!$D$57,0)</f>
        <v>0</v>
      </c>
      <c r="AT102">
        <f>IF((phi!AT47),VLOOKUP(AT$1,main!$A$3:$I$56,5,FALSE)-VLOOKUP($A102,main!$A$3:$I$56,6,FALSE)+main!$D$57,0)</f>
        <v>0</v>
      </c>
      <c r="AU102">
        <f>IF((phi!AU47),VLOOKUP(AU$1,main!$A$3:$I$56,5,FALSE)-VLOOKUP($A102,main!$A$3:$I$56,6,FALSE)+main!$D$57,0)</f>
        <v>0</v>
      </c>
      <c r="AV102">
        <f>IF((phi!AV47),VLOOKUP(AV$1,main!$A$3:$I$56,5,FALSE)-VLOOKUP($A102,main!$A$3:$I$56,6,FALSE)+main!$D$57,0)</f>
        <v>0</v>
      </c>
      <c r="AW102">
        <f>IF((phi!AW47),VLOOKUP(AW$1,main!$A$3:$I$56,5,FALSE)-VLOOKUP($A102,main!$A$3:$I$56,6,FALSE)+main!$D$57,0)</f>
        <v>0</v>
      </c>
      <c r="AX102">
        <f>IF((phi!AX47),VLOOKUP(AX$1,main!$A$3:$I$56,5,FALSE)-VLOOKUP($A102,main!$A$3:$I$56,6,FALSE)+main!$D$57,0)</f>
        <v>190</v>
      </c>
      <c r="AY102">
        <f>IF((phi!AY47),VLOOKUP(AY$1,main!$A$3:$I$56,5,FALSE)-VLOOKUP($A102,main!$A$3:$I$56,6,FALSE)+main!$D$57,0)</f>
        <v>390</v>
      </c>
      <c r="AZ102">
        <f>IF((phi!AZ47),VLOOKUP(AZ$1,main!$A$3:$I$56,5,FALSE)-VLOOKUP($A102,main!$A$3:$I$56,6,FALSE)+main!$D$57,0)</f>
        <v>0</v>
      </c>
      <c r="BA102">
        <f>IF((phi!BA47),VLOOKUP(BA$1,main!$A$3:$I$56,5,FALSE)-VLOOKUP($A102,main!$A$3:$I$56,6,FALSE)+main!$D$57,0)</f>
        <v>0</v>
      </c>
      <c r="BB102">
        <f>IF((phi!BB47),VLOOKUP(BB$1,main!$A$3:$I$56,5,FALSE)-VLOOKUP($A102,main!$A$3:$I$56,6,FALSE)+main!$D$57,0)</f>
        <v>0</v>
      </c>
      <c r="BC102">
        <f>IF((phi!BC47),VLOOKUP(BC$1,main!$A$3:$I$56,5,FALSE)-VLOOKUP($A102,main!$A$3:$I$56,6,FALSE)+main!$D$57,0)</f>
        <v>155</v>
      </c>
      <c r="BD102">
        <f>IF((phi!BD47),VLOOKUP(BD$1,main!$A$3:$I$56,5,FALSE)-VLOOKUP($A102,main!$A$3:$I$56,6,FALSE)+main!$D$57,0)</f>
        <v>165</v>
      </c>
    </row>
    <row r="103" spans="1:56" x14ac:dyDescent="0.25">
      <c r="A103">
        <f t="shared" si="3"/>
        <v>46</v>
      </c>
      <c r="B103">
        <v>0</v>
      </c>
      <c r="C103">
        <f>IF((phi!C48),VLOOKUP(C$1,main!$A$3:$I$56,5,FALSE)-VLOOKUP($A103,main!$A$3:$I$56,6,FALSE)+main!$D$57,0)</f>
        <v>0</v>
      </c>
      <c r="D103">
        <f>IF((phi!D48),VLOOKUP(D$1,main!$A$3:$I$56,5,FALSE)-VLOOKUP($A103,main!$A$3:$I$56,6,FALSE)+main!$D$57,0)</f>
        <v>0</v>
      </c>
      <c r="E103">
        <f>IF((phi!E48),VLOOKUP(E$1,main!$A$3:$I$56,5,FALSE)-VLOOKUP($A103,main!$A$3:$I$56,6,FALSE)+main!$D$57,0)</f>
        <v>0</v>
      </c>
      <c r="F103">
        <f>IF((phi!F48),VLOOKUP(F$1,main!$A$3:$I$56,5,FALSE)-VLOOKUP($A103,main!$A$3:$I$56,6,FALSE)+main!$D$57,0)</f>
        <v>0</v>
      </c>
      <c r="G103">
        <f>IF((phi!G48),VLOOKUP(G$1,main!$A$3:$I$56,5,FALSE)-VLOOKUP($A103,main!$A$3:$I$56,6,FALSE)+main!$D$57,0)</f>
        <v>145</v>
      </c>
      <c r="H103">
        <f>IF((phi!H48),VLOOKUP(H$1,main!$A$3:$I$56,5,FALSE)-VLOOKUP($A103,main!$A$3:$I$56,6,FALSE)+main!$D$57,0)</f>
        <v>205</v>
      </c>
      <c r="I103">
        <f>IF((phi!I48),VLOOKUP(I$1,main!$A$3:$I$56,5,FALSE)-VLOOKUP($A103,main!$A$3:$I$56,6,FALSE)+main!$D$57,0)</f>
        <v>265</v>
      </c>
      <c r="J103">
        <f>IF((phi!J48),VLOOKUP(J$1,main!$A$3:$I$56,5,FALSE)-VLOOKUP($A103,main!$A$3:$I$56,6,FALSE)+main!$D$57,0)</f>
        <v>355</v>
      </c>
      <c r="K103">
        <f>IF((phi!K48),VLOOKUP(K$1,main!$A$3:$I$56,5,FALSE)-VLOOKUP($A103,main!$A$3:$I$56,6,FALSE)+main!$D$57,0)</f>
        <v>0</v>
      </c>
      <c r="L103">
        <f>IF((phi!L48),VLOOKUP(L$1,main!$A$3:$I$56,5,FALSE)-VLOOKUP($A103,main!$A$3:$I$56,6,FALSE)+main!$D$57,0)</f>
        <v>0</v>
      </c>
      <c r="M103">
        <f>IF((phi!M48),VLOOKUP(M$1,main!$A$3:$I$56,5,FALSE)-VLOOKUP($A103,main!$A$3:$I$56,6,FALSE)+main!$D$57,0)</f>
        <v>0</v>
      </c>
      <c r="N103">
        <f>IF((phi!N48),VLOOKUP(N$1,main!$A$3:$I$56,5,FALSE)-VLOOKUP($A103,main!$A$3:$I$56,6,FALSE)+main!$D$57,0)</f>
        <v>320</v>
      </c>
      <c r="O103">
        <f>IF((phi!O48),VLOOKUP(O$1,main!$A$3:$I$56,5,FALSE)-VLOOKUP($A103,main!$A$3:$I$56,6,FALSE)+main!$D$57,0)</f>
        <v>380</v>
      </c>
      <c r="P103">
        <f>IF((phi!P48),VLOOKUP(P$1,main!$A$3:$I$56,5,FALSE)-VLOOKUP($A103,main!$A$3:$I$56,6,FALSE)+main!$D$57,0)</f>
        <v>0</v>
      </c>
      <c r="Q103">
        <f>IF((phi!Q48),VLOOKUP(Q$1,main!$A$3:$I$56,5,FALSE)-VLOOKUP($A103,main!$A$3:$I$56,6,FALSE)+main!$D$57,0)</f>
        <v>0</v>
      </c>
      <c r="R103">
        <f>IF((phi!R48),VLOOKUP(R$1,main!$A$3:$I$56,5,FALSE)-VLOOKUP($A103,main!$A$3:$I$56,6,FALSE)+main!$D$57,0)</f>
        <v>0</v>
      </c>
      <c r="S103">
        <f>IF((phi!S48),VLOOKUP(S$1,main!$A$3:$I$56,5,FALSE)-VLOOKUP($A103,main!$A$3:$I$56,6,FALSE)+main!$D$57,0)</f>
        <v>135</v>
      </c>
      <c r="T103">
        <f>IF((phi!T48),VLOOKUP(T$1,main!$A$3:$I$56,5,FALSE)-VLOOKUP($A103,main!$A$3:$I$56,6,FALSE)+main!$D$57,0)</f>
        <v>285</v>
      </c>
      <c r="U103">
        <f>IF((phi!U48),VLOOKUP(U$1,main!$A$3:$I$56,5,FALSE)-VLOOKUP($A103,main!$A$3:$I$56,6,FALSE)+main!$D$57,0)</f>
        <v>0</v>
      </c>
      <c r="V103">
        <f>IF((phi!V48),VLOOKUP(V$1,main!$A$3:$I$56,5,FALSE)-VLOOKUP($A103,main!$A$3:$I$56,6,FALSE)+main!$D$57,0)</f>
        <v>0</v>
      </c>
      <c r="W103">
        <f>IF((phi!W48),VLOOKUP(W$1,main!$A$3:$I$56,5,FALSE)-VLOOKUP($A103,main!$A$3:$I$56,6,FALSE)+main!$D$57,0)</f>
        <v>0</v>
      </c>
      <c r="X103">
        <f>IF((phi!X48),VLOOKUP(X$1,main!$A$3:$I$56,5,FALSE)-VLOOKUP($A103,main!$A$3:$I$56,6,FALSE)+main!$D$57,0)</f>
        <v>0</v>
      </c>
      <c r="Y103">
        <f>IF((phi!Y48),VLOOKUP(Y$1,main!$A$3:$I$56,5,FALSE)-VLOOKUP($A103,main!$A$3:$I$56,6,FALSE)+main!$D$57,0)</f>
        <v>0</v>
      </c>
      <c r="Z103">
        <f>IF((phi!Z48),VLOOKUP(Z$1,main!$A$3:$I$56,5,FALSE)-VLOOKUP($A103,main!$A$3:$I$56,6,FALSE)+main!$D$57,0)</f>
        <v>155</v>
      </c>
      <c r="AA103">
        <f>IF((phi!AA48),VLOOKUP(AA$1,main!$A$3:$I$56,5,FALSE)-VLOOKUP($A103,main!$A$3:$I$56,6,FALSE)+main!$D$57,0)</f>
        <v>245</v>
      </c>
      <c r="AB103">
        <f>IF((phi!AB48),VLOOKUP(AB$1,main!$A$3:$I$56,5,FALSE)-VLOOKUP($A103,main!$A$3:$I$56,6,FALSE)+main!$D$57,0)</f>
        <v>305</v>
      </c>
      <c r="AC103">
        <f>IF((phi!AC48),VLOOKUP(AC$1,main!$A$3:$I$56,5,FALSE)-VLOOKUP($A103,main!$A$3:$I$56,6,FALSE)+main!$D$57,0)</f>
        <v>0</v>
      </c>
      <c r="AD103">
        <f>IF((phi!AD48),VLOOKUP(AD$1,main!$A$3:$I$56,5,FALSE)-VLOOKUP($A103,main!$A$3:$I$56,6,FALSE)+main!$D$57,0)</f>
        <v>0</v>
      </c>
      <c r="AE103">
        <f>IF((phi!AE48),VLOOKUP(AE$1,main!$A$3:$I$56,5,FALSE)-VLOOKUP($A103,main!$A$3:$I$56,6,FALSE)+main!$D$57,0)</f>
        <v>0</v>
      </c>
      <c r="AF103">
        <f>IF((phi!AF48),VLOOKUP(AF$1,main!$A$3:$I$56,5,FALSE)-VLOOKUP($A103,main!$A$3:$I$56,6,FALSE)+main!$D$57,0)</f>
        <v>0</v>
      </c>
      <c r="AG103">
        <f>IF((phi!AG48),VLOOKUP(AG$1,main!$A$3:$I$56,5,FALSE)-VLOOKUP($A103,main!$A$3:$I$56,6,FALSE)+main!$D$57,0)</f>
        <v>0</v>
      </c>
      <c r="AH103">
        <f>IF((phi!AH48),VLOOKUP(AH$1,main!$A$3:$I$56,5,FALSE)-VLOOKUP($A103,main!$A$3:$I$56,6,FALSE)+main!$D$57,0)</f>
        <v>0</v>
      </c>
      <c r="AI103">
        <f>IF((phi!AI48),VLOOKUP(AI$1,main!$A$3:$I$56,5,FALSE)-VLOOKUP($A103,main!$A$3:$I$56,6,FALSE)+main!$D$57,0)</f>
        <v>0</v>
      </c>
      <c r="AJ103">
        <f>IF((phi!AJ48),VLOOKUP(AJ$1,main!$A$3:$I$56,5,FALSE)-VLOOKUP($A103,main!$A$3:$I$56,6,FALSE)+main!$D$57,0)</f>
        <v>0</v>
      </c>
      <c r="AK103">
        <f>IF((phi!AK48),VLOOKUP(AK$1,main!$A$3:$I$56,5,FALSE)-VLOOKUP($A103,main!$A$3:$I$56,6,FALSE)+main!$D$57,0)</f>
        <v>205</v>
      </c>
      <c r="AL103">
        <f>IF((phi!AL48),VLOOKUP(AL$1,main!$A$3:$I$56,5,FALSE)-VLOOKUP($A103,main!$A$3:$I$56,6,FALSE)+main!$D$57,0)</f>
        <v>0</v>
      </c>
      <c r="AM103">
        <f>IF((phi!AM48),VLOOKUP(AM$1,main!$A$3:$I$56,5,FALSE)-VLOOKUP($A103,main!$A$3:$I$56,6,FALSE)+main!$D$57,0)</f>
        <v>0</v>
      </c>
      <c r="AN103">
        <f>IF((phi!AN48),VLOOKUP(AN$1,main!$A$3:$I$56,5,FALSE)-VLOOKUP($A103,main!$A$3:$I$56,6,FALSE)+main!$D$57,0)</f>
        <v>0</v>
      </c>
      <c r="AO103">
        <f>IF((phi!AO48),VLOOKUP(AO$1,main!$A$3:$I$56,5,FALSE)-VLOOKUP($A103,main!$A$3:$I$56,6,FALSE)+main!$D$57,0)</f>
        <v>0</v>
      </c>
      <c r="AP103">
        <f>IF((phi!AP48),VLOOKUP(AP$1,main!$A$3:$I$56,5,FALSE)-VLOOKUP($A103,main!$A$3:$I$56,6,FALSE)+main!$D$57,0)</f>
        <v>0</v>
      </c>
      <c r="AQ103">
        <f>IF((phi!AQ48),VLOOKUP(AQ$1,main!$A$3:$I$56,5,FALSE)-VLOOKUP($A103,main!$A$3:$I$56,6,FALSE)+main!$D$57,0)</f>
        <v>0</v>
      </c>
      <c r="AR103">
        <f>IF((phi!AR48),VLOOKUP(AR$1,main!$A$3:$I$56,5,FALSE)-VLOOKUP($A103,main!$A$3:$I$56,6,FALSE)+main!$D$57,0)</f>
        <v>0</v>
      </c>
      <c r="AS103">
        <f>IF((phi!AS48),VLOOKUP(AS$1,main!$A$3:$I$56,5,FALSE)-VLOOKUP($A103,main!$A$3:$I$56,6,FALSE)+main!$D$57,0)</f>
        <v>0</v>
      </c>
      <c r="AT103">
        <f>IF((phi!AT48),VLOOKUP(AT$1,main!$A$3:$I$56,5,FALSE)-VLOOKUP($A103,main!$A$3:$I$56,6,FALSE)+main!$D$57,0)</f>
        <v>0</v>
      </c>
      <c r="AU103">
        <f>IF((phi!AU48),VLOOKUP(AU$1,main!$A$3:$I$56,5,FALSE)-VLOOKUP($A103,main!$A$3:$I$56,6,FALSE)+main!$D$57,0)</f>
        <v>0</v>
      </c>
      <c r="AV103">
        <f>IF((phi!AV48),VLOOKUP(AV$1,main!$A$3:$I$56,5,FALSE)-VLOOKUP($A103,main!$A$3:$I$56,6,FALSE)+main!$D$57,0)</f>
        <v>0</v>
      </c>
      <c r="AW103">
        <f>IF((phi!AW48),VLOOKUP(AW$1,main!$A$3:$I$56,5,FALSE)-VLOOKUP($A103,main!$A$3:$I$56,6,FALSE)+main!$D$57,0)</f>
        <v>0</v>
      </c>
      <c r="AX103">
        <f>IF((phi!AX48),VLOOKUP(AX$1,main!$A$3:$I$56,5,FALSE)-VLOOKUP($A103,main!$A$3:$I$56,6,FALSE)+main!$D$57,0)</f>
        <v>165</v>
      </c>
      <c r="AY103">
        <f>IF((phi!AY48),VLOOKUP(AY$1,main!$A$3:$I$56,5,FALSE)-VLOOKUP($A103,main!$A$3:$I$56,6,FALSE)+main!$D$57,0)</f>
        <v>365</v>
      </c>
      <c r="AZ103">
        <f>IF((phi!AZ48),VLOOKUP(AZ$1,main!$A$3:$I$56,5,FALSE)-VLOOKUP($A103,main!$A$3:$I$56,6,FALSE)+main!$D$57,0)</f>
        <v>0</v>
      </c>
      <c r="BA103">
        <f>IF((phi!BA48),VLOOKUP(BA$1,main!$A$3:$I$56,5,FALSE)-VLOOKUP($A103,main!$A$3:$I$56,6,FALSE)+main!$D$57,0)</f>
        <v>0</v>
      </c>
      <c r="BB103">
        <f>IF((phi!BB48),VLOOKUP(BB$1,main!$A$3:$I$56,5,FALSE)-VLOOKUP($A103,main!$A$3:$I$56,6,FALSE)+main!$D$57,0)</f>
        <v>0</v>
      </c>
      <c r="BC103">
        <f>IF((phi!BC48),VLOOKUP(BC$1,main!$A$3:$I$56,5,FALSE)-VLOOKUP($A103,main!$A$3:$I$56,6,FALSE)+main!$D$57,0)</f>
        <v>130</v>
      </c>
      <c r="BD103">
        <f>IF((phi!BD48),VLOOKUP(BD$1,main!$A$3:$I$56,5,FALSE)-VLOOKUP($A103,main!$A$3:$I$56,6,FALSE)+main!$D$57,0)</f>
        <v>140</v>
      </c>
    </row>
    <row r="104" spans="1:56" x14ac:dyDescent="0.25">
      <c r="A104">
        <f t="shared" si="3"/>
        <v>47</v>
      </c>
      <c r="B104">
        <v>0</v>
      </c>
      <c r="C104">
        <f>IF((phi!C49),VLOOKUP(C$1,main!$A$3:$I$56,5,FALSE)-VLOOKUP($A104,main!$A$3:$I$56,6,FALSE)+main!$D$57,0)</f>
        <v>0</v>
      </c>
      <c r="D104">
        <f>IF((phi!D49),VLOOKUP(D$1,main!$A$3:$I$56,5,FALSE)-VLOOKUP($A104,main!$A$3:$I$56,6,FALSE)+main!$D$57,0)</f>
        <v>0</v>
      </c>
      <c r="E104">
        <f>IF((phi!E49),VLOOKUP(E$1,main!$A$3:$I$56,5,FALSE)-VLOOKUP($A104,main!$A$3:$I$56,6,FALSE)+main!$D$57,0)</f>
        <v>0</v>
      </c>
      <c r="F104">
        <f>IF((phi!F49),VLOOKUP(F$1,main!$A$3:$I$56,5,FALSE)-VLOOKUP($A104,main!$A$3:$I$56,6,FALSE)+main!$D$57,0)</f>
        <v>0</v>
      </c>
      <c r="G104">
        <f>IF((phi!G49),VLOOKUP(G$1,main!$A$3:$I$56,5,FALSE)-VLOOKUP($A104,main!$A$3:$I$56,6,FALSE)+main!$D$57,0)</f>
        <v>0</v>
      </c>
      <c r="H104">
        <f>IF((phi!H49),VLOOKUP(H$1,main!$A$3:$I$56,5,FALSE)-VLOOKUP($A104,main!$A$3:$I$56,6,FALSE)+main!$D$57,0)</f>
        <v>150</v>
      </c>
      <c r="I104">
        <f>IF((phi!I49),VLOOKUP(I$1,main!$A$3:$I$56,5,FALSE)-VLOOKUP($A104,main!$A$3:$I$56,6,FALSE)+main!$D$57,0)</f>
        <v>210</v>
      </c>
      <c r="J104">
        <f>IF((phi!J49),VLOOKUP(J$1,main!$A$3:$I$56,5,FALSE)-VLOOKUP($A104,main!$A$3:$I$56,6,FALSE)+main!$D$57,0)</f>
        <v>300</v>
      </c>
      <c r="K104">
        <f>IF((phi!K49),VLOOKUP(K$1,main!$A$3:$I$56,5,FALSE)-VLOOKUP($A104,main!$A$3:$I$56,6,FALSE)+main!$D$57,0)</f>
        <v>0</v>
      </c>
      <c r="L104">
        <f>IF((phi!L49),VLOOKUP(L$1,main!$A$3:$I$56,5,FALSE)-VLOOKUP($A104,main!$A$3:$I$56,6,FALSE)+main!$D$57,0)</f>
        <v>0</v>
      </c>
      <c r="M104">
        <f>IF((phi!M49),VLOOKUP(M$1,main!$A$3:$I$56,5,FALSE)-VLOOKUP($A104,main!$A$3:$I$56,6,FALSE)+main!$D$57,0)</f>
        <v>0</v>
      </c>
      <c r="N104">
        <f>IF((phi!N49),VLOOKUP(N$1,main!$A$3:$I$56,5,FALSE)-VLOOKUP($A104,main!$A$3:$I$56,6,FALSE)+main!$D$57,0)</f>
        <v>265</v>
      </c>
      <c r="O104">
        <f>IF((phi!O49),VLOOKUP(O$1,main!$A$3:$I$56,5,FALSE)-VLOOKUP($A104,main!$A$3:$I$56,6,FALSE)+main!$D$57,0)</f>
        <v>325</v>
      </c>
      <c r="P104">
        <f>IF((phi!P49),VLOOKUP(P$1,main!$A$3:$I$56,5,FALSE)-VLOOKUP($A104,main!$A$3:$I$56,6,FALSE)+main!$D$57,0)</f>
        <v>0</v>
      </c>
      <c r="Q104">
        <f>IF((phi!Q49),VLOOKUP(Q$1,main!$A$3:$I$56,5,FALSE)-VLOOKUP($A104,main!$A$3:$I$56,6,FALSE)+main!$D$57,0)</f>
        <v>0</v>
      </c>
      <c r="R104">
        <f>IF((phi!R49),VLOOKUP(R$1,main!$A$3:$I$56,5,FALSE)-VLOOKUP($A104,main!$A$3:$I$56,6,FALSE)+main!$D$57,0)</f>
        <v>0</v>
      </c>
      <c r="S104">
        <f>IF((phi!S49),VLOOKUP(S$1,main!$A$3:$I$56,5,FALSE)-VLOOKUP($A104,main!$A$3:$I$56,6,FALSE)+main!$D$57,0)</f>
        <v>0</v>
      </c>
      <c r="T104">
        <f>IF((phi!T49),VLOOKUP(T$1,main!$A$3:$I$56,5,FALSE)-VLOOKUP($A104,main!$A$3:$I$56,6,FALSE)+main!$D$57,0)</f>
        <v>230</v>
      </c>
      <c r="U104">
        <f>IF((phi!U49),VLOOKUP(U$1,main!$A$3:$I$56,5,FALSE)-VLOOKUP($A104,main!$A$3:$I$56,6,FALSE)+main!$D$57,0)</f>
        <v>0</v>
      </c>
      <c r="V104">
        <f>IF((phi!V49),VLOOKUP(V$1,main!$A$3:$I$56,5,FALSE)-VLOOKUP($A104,main!$A$3:$I$56,6,FALSE)+main!$D$57,0)</f>
        <v>0</v>
      </c>
      <c r="W104">
        <f>IF((phi!W49),VLOOKUP(W$1,main!$A$3:$I$56,5,FALSE)-VLOOKUP($A104,main!$A$3:$I$56,6,FALSE)+main!$D$57,0)</f>
        <v>0</v>
      </c>
      <c r="X104">
        <f>IF((phi!X49),VLOOKUP(X$1,main!$A$3:$I$56,5,FALSE)-VLOOKUP($A104,main!$A$3:$I$56,6,FALSE)+main!$D$57,0)</f>
        <v>0</v>
      </c>
      <c r="Y104">
        <f>IF((phi!Y49),VLOOKUP(Y$1,main!$A$3:$I$56,5,FALSE)-VLOOKUP($A104,main!$A$3:$I$56,6,FALSE)+main!$D$57,0)</f>
        <v>0</v>
      </c>
      <c r="Z104">
        <f>IF((phi!Z49),VLOOKUP(Z$1,main!$A$3:$I$56,5,FALSE)-VLOOKUP($A104,main!$A$3:$I$56,6,FALSE)+main!$D$57,0)</f>
        <v>0</v>
      </c>
      <c r="AA104">
        <f>IF((phi!AA49),VLOOKUP(AA$1,main!$A$3:$I$56,5,FALSE)-VLOOKUP($A104,main!$A$3:$I$56,6,FALSE)+main!$D$57,0)</f>
        <v>190</v>
      </c>
      <c r="AB104">
        <f>IF((phi!AB49),VLOOKUP(AB$1,main!$A$3:$I$56,5,FALSE)-VLOOKUP($A104,main!$A$3:$I$56,6,FALSE)+main!$D$57,0)</f>
        <v>250</v>
      </c>
      <c r="AC104">
        <f>IF((phi!AC49),VLOOKUP(AC$1,main!$A$3:$I$56,5,FALSE)-VLOOKUP($A104,main!$A$3:$I$56,6,FALSE)+main!$D$57,0)</f>
        <v>0</v>
      </c>
      <c r="AD104">
        <f>IF((phi!AD49),VLOOKUP(AD$1,main!$A$3:$I$56,5,FALSE)-VLOOKUP($A104,main!$A$3:$I$56,6,FALSE)+main!$D$57,0)</f>
        <v>0</v>
      </c>
      <c r="AE104">
        <f>IF((phi!AE49),VLOOKUP(AE$1,main!$A$3:$I$56,5,FALSE)-VLOOKUP($A104,main!$A$3:$I$56,6,FALSE)+main!$D$57,0)</f>
        <v>0</v>
      </c>
      <c r="AF104">
        <f>IF((phi!AF49),VLOOKUP(AF$1,main!$A$3:$I$56,5,FALSE)-VLOOKUP($A104,main!$A$3:$I$56,6,FALSE)+main!$D$57,0)</f>
        <v>0</v>
      </c>
      <c r="AG104">
        <f>IF((phi!AG49),VLOOKUP(AG$1,main!$A$3:$I$56,5,FALSE)-VLOOKUP($A104,main!$A$3:$I$56,6,FALSE)+main!$D$57,0)</f>
        <v>0</v>
      </c>
      <c r="AH104">
        <f>IF((phi!AH49),VLOOKUP(AH$1,main!$A$3:$I$56,5,FALSE)-VLOOKUP($A104,main!$A$3:$I$56,6,FALSE)+main!$D$57,0)</f>
        <v>0</v>
      </c>
      <c r="AI104">
        <f>IF((phi!AI49),VLOOKUP(AI$1,main!$A$3:$I$56,5,FALSE)-VLOOKUP($A104,main!$A$3:$I$56,6,FALSE)+main!$D$57,0)</f>
        <v>0</v>
      </c>
      <c r="AJ104">
        <f>IF((phi!AJ49),VLOOKUP(AJ$1,main!$A$3:$I$56,5,FALSE)-VLOOKUP($A104,main!$A$3:$I$56,6,FALSE)+main!$D$57,0)</f>
        <v>0</v>
      </c>
      <c r="AK104">
        <f>IF((phi!AK49),VLOOKUP(AK$1,main!$A$3:$I$56,5,FALSE)-VLOOKUP($A104,main!$A$3:$I$56,6,FALSE)+main!$D$57,0)</f>
        <v>150</v>
      </c>
      <c r="AL104">
        <f>IF((phi!AL49),VLOOKUP(AL$1,main!$A$3:$I$56,5,FALSE)-VLOOKUP($A104,main!$A$3:$I$56,6,FALSE)+main!$D$57,0)</f>
        <v>0</v>
      </c>
      <c r="AM104">
        <f>IF((phi!AM49),VLOOKUP(AM$1,main!$A$3:$I$56,5,FALSE)-VLOOKUP($A104,main!$A$3:$I$56,6,FALSE)+main!$D$57,0)</f>
        <v>0</v>
      </c>
      <c r="AN104">
        <f>IF((phi!AN49),VLOOKUP(AN$1,main!$A$3:$I$56,5,FALSE)-VLOOKUP($A104,main!$A$3:$I$56,6,FALSE)+main!$D$57,0)</f>
        <v>0</v>
      </c>
      <c r="AO104">
        <f>IF((phi!AO49),VLOOKUP(AO$1,main!$A$3:$I$56,5,FALSE)-VLOOKUP($A104,main!$A$3:$I$56,6,FALSE)+main!$D$57,0)</f>
        <v>0</v>
      </c>
      <c r="AP104">
        <f>IF((phi!AP49),VLOOKUP(AP$1,main!$A$3:$I$56,5,FALSE)-VLOOKUP($A104,main!$A$3:$I$56,6,FALSE)+main!$D$57,0)</f>
        <v>0</v>
      </c>
      <c r="AQ104">
        <f>IF((phi!AQ49),VLOOKUP(AQ$1,main!$A$3:$I$56,5,FALSE)-VLOOKUP($A104,main!$A$3:$I$56,6,FALSE)+main!$D$57,0)</f>
        <v>0</v>
      </c>
      <c r="AR104">
        <f>IF((phi!AR49),VLOOKUP(AR$1,main!$A$3:$I$56,5,FALSE)-VLOOKUP($A104,main!$A$3:$I$56,6,FALSE)+main!$D$57,0)</f>
        <v>0</v>
      </c>
      <c r="AS104">
        <f>IF((phi!AS49),VLOOKUP(AS$1,main!$A$3:$I$56,5,FALSE)-VLOOKUP($A104,main!$A$3:$I$56,6,FALSE)+main!$D$57,0)</f>
        <v>0</v>
      </c>
      <c r="AT104">
        <f>IF((phi!AT49),VLOOKUP(AT$1,main!$A$3:$I$56,5,FALSE)-VLOOKUP($A104,main!$A$3:$I$56,6,FALSE)+main!$D$57,0)</f>
        <v>0</v>
      </c>
      <c r="AU104">
        <f>IF((phi!AU49),VLOOKUP(AU$1,main!$A$3:$I$56,5,FALSE)-VLOOKUP($A104,main!$A$3:$I$56,6,FALSE)+main!$D$57,0)</f>
        <v>0</v>
      </c>
      <c r="AV104">
        <f>IF((phi!AV49),VLOOKUP(AV$1,main!$A$3:$I$56,5,FALSE)-VLOOKUP($A104,main!$A$3:$I$56,6,FALSE)+main!$D$57,0)</f>
        <v>0</v>
      </c>
      <c r="AW104">
        <f>IF((phi!AW49),VLOOKUP(AW$1,main!$A$3:$I$56,5,FALSE)-VLOOKUP($A104,main!$A$3:$I$56,6,FALSE)+main!$D$57,0)</f>
        <v>0</v>
      </c>
      <c r="AX104">
        <f>IF((phi!AX49),VLOOKUP(AX$1,main!$A$3:$I$56,5,FALSE)-VLOOKUP($A104,main!$A$3:$I$56,6,FALSE)+main!$D$57,0)</f>
        <v>0</v>
      </c>
      <c r="AY104">
        <f>IF((phi!AY49),VLOOKUP(AY$1,main!$A$3:$I$56,5,FALSE)-VLOOKUP($A104,main!$A$3:$I$56,6,FALSE)+main!$D$57,0)</f>
        <v>310</v>
      </c>
      <c r="AZ104">
        <f>IF((phi!AZ49),VLOOKUP(AZ$1,main!$A$3:$I$56,5,FALSE)-VLOOKUP($A104,main!$A$3:$I$56,6,FALSE)+main!$D$57,0)</f>
        <v>0</v>
      </c>
      <c r="BA104">
        <f>IF((phi!BA49),VLOOKUP(BA$1,main!$A$3:$I$56,5,FALSE)-VLOOKUP($A104,main!$A$3:$I$56,6,FALSE)+main!$D$57,0)</f>
        <v>0</v>
      </c>
      <c r="BB104">
        <f>IF((phi!BB49),VLOOKUP(BB$1,main!$A$3:$I$56,5,FALSE)-VLOOKUP($A104,main!$A$3:$I$56,6,FALSE)+main!$D$57,0)</f>
        <v>0</v>
      </c>
      <c r="BC104">
        <f>IF((phi!BC49),VLOOKUP(BC$1,main!$A$3:$I$56,5,FALSE)-VLOOKUP($A104,main!$A$3:$I$56,6,FALSE)+main!$D$57,0)</f>
        <v>0</v>
      </c>
      <c r="BD104">
        <f>IF((phi!BD49),VLOOKUP(BD$1,main!$A$3:$I$56,5,FALSE)-VLOOKUP($A104,main!$A$3:$I$56,6,FALSE)+main!$D$57,0)</f>
        <v>0</v>
      </c>
    </row>
    <row r="105" spans="1:56" x14ac:dyDescent="0.25">
      <c r="A105">
        <f t="shared" si="3"/>
        <v>48</v>
      </c>
      <c r="B105">
        <v>0</v>
      </c>
      <c r="C105">
        <f>IF((phi!C50),VLOOKUP(C$1,main!$A$3:$I$56,5,FALSE)-VLOOKUP($A105,main!$A$3:$I$56,6,FALSE)+main!$D$57,0)</f>
        <v>0</v>
      </c>
      <c r="D105">
        <f>IF((phi!D50),VLOOKUP(D$1,main!$A$3:$I$56,5,FALSE)-VLOOKUP($A105,main!$A$3:$I$56,6,FALSE)+main!$D$57,0)</f>
        <v>0</v>
      </c>
      <c r="E105">
        <f>IF((phi!E50),VLOOKUP(E$1,main!$A$3:$I$56,5,FALSE)-VLOOKUP($A105,main!$A$3:$I$56,6,FALSE)+main!$D$57,0)</f>
        <v>0</v>
      </c>
      <c r="F105">
        <f>IF((phi!F50),VLOOKUP(F$1,main!$A$3:$I$56,5,FALSE)-VLOOKUP($A105,main!$A$3:$I$56,6,FALSE)+main!$D$57,0)</f>
        <v>0</v>
      </c>
      <c r="G105">
        <f>IF((phi!G50),VLOOKUP(G$1,main!$A$3:$I$56,5,FALSE)-VLOOKUP($A105,main!$A$3:$I$56,6,FALSE)+main!$D$57,0)</f>
        <v>0</v>
      </c>
      <c r="H105">
        <f>IF((phi!H50),VLOOKUP(H$1,main!$A$3:$I$56,5,FALSE)-VLOOKUP($A105,main!$A$3:$I$56,6,FALSE)+main!$D$57,0)</f>
        <v>0</v>
      </c>
      <c r="I105">
        <f>IF((phi!I50),VLOOKUP(I$1,main!$A$3:$I$56,5,FALSE)-VLOOKUP($A105,main!$A$3:$I$56,6,FALSE)+main!$D$57,0)</f>
        <v>0</v>
      </c>
      <c r="J105">
        <f>IF((phi!J50),VLOOKUP(J$1,main!$A$3:$I$56,5,FALSE)-VLOOKUP($A105,main!$A$3:$I$56,6,FALSE)+main!$D$57,0)</f>
        <v>0</v>
      </c>
      <c r="K105">
        <f>IF((phi!K50),VLOOKUP(K$1,main!$A$3:$I$56,5,FALSE)-VLOOKUP($A105,main!$A$3:$I$56,6,FALSE)+main!$D$57,0)</f>
        <v>0</v>
      </c>
      <c r="L105">
        <f>IF((phi!L50),VLOOKUP(L$1,main!$A$3:$I$56,5,FALSE)-VLOOKUP($A105,main!$A$3:$I$56,6,FALSE)+main!$D$57,0)</f>
        <v>0</v>
      </c>
      <c r="M105">
        <f>IF((phi!M50),VLOOKUP(M$1,main!$A$3:$I$56,5,FALSE)-VLOOKUP($A105,main!$A$3:$I$56,6,FALSE)+main!$D$57,0)</f>
        <v>0</v>
      </c>
      <c r="N105">
        <f>IF((phi!N50),VLOOKUP(N$1,main!$A$3:$I$56,5,FALSE)-VLOOKUP($A105,main!$A$3:$I$56,6,FALSE)+main!$D$57,0)</f>
        <v>0</v>
      </c>
      <c r="O105">
        <f>IF((phi!O50),VLOOKUP(O$1,main!$A$3:$I$56,5,FALSE)-VLOOKUP($A105,main!$A$3:$I$56,6,FALSE)+main!$D$57,0)</f>
        <v>0</v>
      </c>
      <c r="P105">
        <f>IF((phi!P50),VLOOKUP(P$1,main!$A$3:$I$56,5,FALSE)-VLOOKUP($A105,main!$A$3:$I$56,6,FALSE)+main!$D$57,0)</f>
        <v>0</v>
      </c>
      <c r="Q105">
        <f>IF((phi!Q50),VLOOKUP(Q$1,main!$A$3:$I$56,5,FALSE)-VLOOKUP($A105,main!$A$3:$I$56,6,FALSE)+main!$D$57,0)</f>
        <v>0</v>
      </c>
      <c r="R105">
        <f>IF((phi!R50),VLOOKUP(R$1,main!$A$3:$I$56,5,FALSE)-VLOOKUP($A105,main!$A$3:$I$56,6,FALSE)+main!$D$57,0)</f>
        <v>0</v>
      </c>
      <c r="S105">
        <f>IF((phi!S50),VLOOKUP(S$1,main!$A$3:$I$56,5,FALSE)-VLOOKUP($A105,main!$A$3:$I$56,6,FALSE)+main!$D$57,0)</f>
        <v>0</v>
      </c>
      <c r="T105">
        <f>IF((phi!T50),VLOOKUP(T$1,main!$A$3:$I$56,5,FALSE)-VLOOKUP($A105,main!$A$3:$I$56,6,FALSE)+main!$D$57,0)</f>
        <v>0</v>
      </c>
      <c r="U105">
        <f>IF((phi!U50),VLOOKUP(U$1,main!$A$3:$I$56,5,FALSE)-VLOOKUP($A105,main!$A$3:$I$56,6,FALSE)+main!$D$57,0)</f>
        <v>0</v>
      </c>
      <c r="V105">
        <f>IF((phi!V50),VLOOKUP(V$1,main!$A$3:$I$56,5,FALSE)-VLOOKUP($A105,main!$A$3:$I$56,6,FALSE)+main!$D$57,0)</f>
        <v>0</v>
      </c>
      <c r="W105">
        <f>IF((phi!W50),VLOOKUP(W$1,main!$A$3:$I$56,5,FALSE)-VLOOKUP($A105,main!$A$3:$I$56,6,FALSE)+main!$D$57,0)</f>
        <v>0</v>
      </c>
      <c r="X105">
        <f>IF((phi!X50),VLOOKUP(X$1,main!$A$3:$I$56,5,FALSE)-VLOOKUP($A105,main!$A$3:$I$56,6,FALSE)+main!$D$57,0)</f>
        <v>0</v>
      </c>
      <c r="Y105">
        <f>IF((phi!Y50),VLOOKUP(Y$1,main!$A$3:$I$56,5,FALSE)-VLOOKUP($A105,main!$A$3:$I$56,6,FALSE)+main!$D$57,0)</f>
        <v>0</v>
      </c>
      <c r="Z105">
        <f>IF((phi!Z50),VLOOKUP(Z$1,main!$A$3:$I$56,5,FALSE)-VLOOKUP($A105,main!$A$3:$I$56,6,FALSE)+main!$D$57,0)</f>
        <v>0</v>
      </c>
      <c r="AA105">
        <f>IF((phi!AA50),VLOOKUP(AA$1,main!$A$3:$I$56,5,FALSE)-VLOOKUP($A105,main!$A$3:$I$56,6,FALSE)+main!$D$57,0)</f>
        <v>0</v>
      </c>
      <c r="AB105">
        <f>IF((phi!AB50),VLOOKUP(AB$1,main!$A$3:$I$56,5,FALSE)-VLOOKUP($A105,main!$A$3:$I$56,6,FALSE)+main!$D$57,0)</f>
        <v>0</v>
      </c>
      <c r="AC105">
        <f>IF((phi!AC50),VLOOKUP(AC$1,main!$A$3:$I$56,5,FALSE)-VLOOKUP($A105,main!$A$3:$I$56,6,FALSE)+main!$D$57,0)</f>
        <v>0</v>
      </c>
      <c r="AD105">
        <f>IF((phi!AD50),VLOOKUP(AD$1,main!$A$3:$I$56,5,FALSE)-VLOOKUP($A105,main!$A$3:$I$56,6,FALSE)+main!$D$57,0)</f>
        <v>0</v>
      </c>
      <c r="AE105">
        <f>IF((phi!AE50),VLOOKUP(AE$1,main!$A$3:$I$56,5,FALSE)-VLOOKUP($A105,main!$A$3:$I$56,6,FALSE)+main!$D$57,0)</f>
        <v>0</v>
      </c>
      <c r="AF105">
        <f>IF((phi!AF50),VLOOKUP(AF$1,main!$A$3:$I$56,5,FALSE)-VLOOKUP($A105,main!$A$3:$I$56,6,FALSE)+main!$D$57,0)</f>
        <v>0</v>
      </c>
      <c r="AG105">
        <f>IF((phi!AG50),VLOOKUP(AG$1,main!$A$3:$I$56,5,FALSE)-VLOOKUP($A105,main!$A$3:$I$56,6,FALSE)+main!$D$57,0)</f>
        <v>0</v>
      </c>
      <c r="AH105">
        <f>IF((phi!AH50),VLOOKUP(AH$1,main!$A$3:$I$56,5,FALSE)-VLOOKUP($A105,main!$A$3:$I$56,6,FALSE)+main!$D$57,0)</f>
        <v>0</v>
      </c>
      <c r="AI105">
        <f>IF((phi!AI50),VLOOKUP(AI$1,main!$A$3:$I$56,5,FALSE)-VLOOKUP($A105,main!$A$3:$I$56,6,FALSE)+main!$D$57,0)</f>
        <v>0</v>
      </c>
      <c r="AJ105">
        <f>IF((phi!AJ50),VLOOKUP(AJ$1,main!$A$3:$I$56,5,FALSE)-VLOOKUP($A105,main!$A$3:$I$56,6,FALSE)+main!$D$57,0)</f>
        <v>0</v>
      </c>
      <c r="AK105">
        <f>IF((phi!AK50),VLOOKUP(AK$1,main!$A$3:$I$56,5,FALSE)-VLOOKUP($A105,main!$A$3:$I$56,6,FALSE)+main!$D$57,0)</f>
        <v>0</v>
      </c>
      <c r="AL105">
        <f>IF((phi!AL50),VLOOKUP(AL$1,main!$A$3:$I$56,5,FALSE)-VLOOKUP($A105,main!$A$3:$I$56,6,FALSE)+main!$D$57,0)</f>
        <v>0</v>
      </c>
      <c r="AM105">
        <f>IF((phi!AM50),VLOOKUP(AM$1,main!$A$3:$I$56,5,FALSE)-VLOOKUP($A105,main!$A$3:$I$56,6,FALSE)+main!$D$57,0)</f>
        <v>0</v>
      </c>
      <c r="AN105">
        <f>IF((phi!AN50),VLOOKUP(AN$1,main!$A$3:$I$56,5,FALSE)-VLOOKUP($A105,main!$A$3:$I$56,6,FALSE)+main!$D$57,0)</f>
        <v>0</v>
      </c>
      <c r="AO105">
        <f>IF((phi!AO50),VLOOKUP(AO$1,main!$A$3:$I$56,5,FALSE)-VLOOKUP($A105,main!$A$3:$I$56,6,FALSE)+main!$D$57,0)</f>
        <v>0</v>
      </c>
      <c r="AP105">
        <f>IF((phi!AP50),VLOOKUP(AP$1,main!$A$3:$I$56,5,FALSE)-VLOOKUP($A105,main!$A$3:$I$56,6,FALSE)+main!$D$57,0)</f>
        <v>0</v>
      </c>
      <c r="AQ105">
        <f>IF((phi!AQ50),VLOOKUP(AQ$1,main!$A$3:$I$56,5,FALSE)-VLOOKUP($A105,main!$A$3:$I$56,6,FALSE)+main!$D$57,0)</f>
        <v>0</v>
      </c>
      <c r="AR105">
        <f>IF((phi!AR50),VLOOKUP(AR$1,main!$A$3:$I$56,5,FALSE)-VLOOKUP($A105,main!$A$3:$I$56,6,FALSE)+main!$D$57,0)</f>
        <v>0</v>
      </c>
      <c r="AS105">
        <f>IF((phi!AS50),VLOOKUP(AS$1,main!$A$3:$I$56,5,FALSE)-VLOOKUP($A105,main!$A$3:$I$56,6,FALSE)+main!$D$57,0)</f>
        <v>0</v>
      </c>
      <c r="AT105">
        <f>IF((phi!AT50),VLOOKUP(AT$1,main!$A$3:$I$56,5,FALSE)-VLOOKUP($A105,main!$A$3:$I$56,6,FALSE)+main!$D$57,0)</f>
        <v>0</v>
      </c>
      <c r="AU105">
        <f>IF((phi!AU50),VLOOKUP(AU$1,main!$A$3:$I$56,5,FALSE)-VLOOKUP($A105,main!$A$3:$I$56,6,FALSE)+main!$D$57,0)</f>
        <v>0</v>
      </c>
      <c r="AV105">
        <f>IF((phi!AV50),VLOOKUP(AV$1,main!$A$3:$I$56,5,FALSE)-VLOOKUP($A105,main!$A$3:$I$56,6,FALSE)+main!$D$57,0)</f>
        <v>0</v>
      </c>
      <c r="AW105">
        <f>IF((phi!AW50),VLOOKUP(AW$1,main!$A$3:$I$56,5,FALSE)-VLOOKUP($A105,main!$A$3:$I$56,6,FALSE)+main!$D$57,0)</f>
        <v>0</v>
      </c>
      <c r="AX105">
        <f>IF((phi!AX50),VLOOKUP(AX$1,main!$A$3:$I$56,5,FALSE)-VLOOKUP($A105,main!$A$3:$I$56,6,FALSE)+main!$D$57,0)</f>
        <v>0</v>
      </c>
      <c r="AY105">
        <f>IF((phi!AY50),VLOOKUP(AY$1,main!$A$3:$I$56,5,FALSE)-VLOOKUP($A105,main!$A$3:$I$56,6,FALSE)+main!$D$57,0)</f>
        <v>0</v>
      </c>
      <c r="AZ105">
        <f>IF((phi!AZ50),VLOOKUP(AZ$1,main!$A$3:$I$56,5,FALSE)-VLOOKUP($A105,main!$A$3:$I$56,6,FALSE)+main!$D$57,0)</f>
        <v>0</v>
      </c>
      <c r="BA105">
        <f>IF((phi!BA50),VLOOKUP(BA$1,main!$A$3:$I$56,5,FALSE)-VLOOKUP($A105,main!$A$3:$I$56,6,FALSE)+main!$D$57,0)</f>
        <v>0</v>
      </c>
      <c r="BB105">
        <f>IF((phi!BB50),VLOOKUP(BB$1,main!$A$3:$I$56,5,FALSE)-VLOOKUP($A105,main!$A$3:$I$56,6,FALSE)+main!$D$57,0)</f>
        <v>0</v>
      </c>
      <c r="BC105">
        <f>IF((phi!BC50),VLOOKUP(BC$1,main!$A$3:$I$56,5,FALSE)-VLOOKUP($A105,main!$A$3:$I$56,6,FALSE)+main!$D$57,0)</f>
        <v>0</v>
      </c>
      <c r="BD105">
        <f>IF((phi!BD50),VLOOKUP(BD$1,main!$A$3:$I$56,5,FALSE)-VLOOKUP($A105,main!$A$3:$I$56,6,FALSE)+main!$D$57,0)</f>
        <v>0</v>
      </c>
    </row>
    <row r="106" spans="1:56" x14ac:dyDescent="0.25">
      <c r="A106">
        <f t="shared" si="3"/>
        <v>49</v>
      </c>
      <c r="B106">
        <v>0</v>
      </c>
      <c r="C106">
        <f>IF((phi!C51),VLOOKUP(C$1,main!$A$3:$I$56,5,FALSE)-VLOOKUP($A106,main!$A$3:$I$56,6,FALSE)+main!$D$57,0)</f>
        <v>0</v>
      </c>
      <c r="D106">
        <f>IF((phi!D51),VLOOKUP(D$1,main!$A$3:$I$56,5,FALSE)-VLOOKUP($A106,main!$A$3:$I$56,6,FALSE)+main!$D$57,0)</f>
        <v>0</v>
      </c>
      <c r="E106">
        <f>IF((phi!E51),VLOOKUP(E$1,main!$A$3:$I$56,5,FALSE)-VLOOKUP($A106,main!$A$3:$I$56,6,FALSE)+main!$D$57,0)</f>
        <v>0</v>
      </c>
      <c r="F106">
        <f>IF((phi!F51),VLOOKUP(F$1,main!$A$3:$I$56,5,FALSE)-VLOOKUP($A106,main!$A$3:$I$56,6,FALSE)+main!$D$57,0)</f>
        <v>0</v>
      </c>
      <c r="G106">
        <f>IF((phi!G51),VLOOKUP(G$1,main!$A$3:$I$56,5,FALSE)-VLOOKUP($A106,main!$A$3:$I$56,6,FALSE)+main!$D$57,0)</f>
        <v>0</v>
      </c>
      <c r="H106">
        <f>IF((phi!H51),VLOOKUP(H$1,main!$A$3:$I$56,5,FALSE)-VLOOKUP($A106,main!$A$3:$I$56,6,FALSE)+main!$D$57,0)</f>
        <v>0</v>
      </c>
      <c r="I106">
        <f>IF((phi!I51),VLOOKUP(I$1,main!$A$3:$I$56,5,FALSE)-VLOOKUP($A106,main!$A$3:$I$56,6,FALSE)+main!$D$57,0)</f>
        <v>0</v>
      </c>
      <c r="J106">
        <f>IF((phi!J51),VLOOKUP(J$1,main!$A$3:$I$56,5,FALSE)-VLOOKUP($A106,main!$A$3:$I$56,6,FALSE)+main!$D$57,0)</f>
        <v>0</v>
      </c>
      <c r="K106">
        <f>IF((phi!K51),VLOOKUP(K$1,main!$A$3:$I$56,5,FALSE)-VLOOKUP($A106,main!$A$3:$I$56,6,FALSE)+main!$D$57,0)</f>
        <v>0</v>
      </c>
      <c r="L106">
        <f>IF((phi!L51),VLOOKUP(L$1,main!$A$3:$I$56,5,FALSE)-VLOOKUP($A106,main!$A$3:$I$56,6,FALSE)+main!$D$57,0)</f>
        <v>0</v>
      </c>
      <c r="M106">
        <f>IF((phi!M51),VLOOKUP(M$1,main!$A$3:$I$56,5,FALSE)-VLOOKUP($A106,main!$A$3:$I$56,6,FALSE)+main!$D$57,0)</f>
        <v>0</v>
      </c>
      <c r="N106">
        <f>IF((phi!N51),VLOOKUP(N$1,main!$A$3:$I$56,5,FALSE)-VLOOKUP($A106,main!$A$3:$I$56,6,FALSE)+main!$D$57,0)</f>
        <v>0</v>
      </c>
      <c r="O106">
        <f>IF((phi!O51),VLOOKUP(O$1,main!$A$3:$I$56,5,FALSE)-VLOOKUP($A106,main!$A$3:$I$56,6,FALSE)+main!$D$57,0)</f>
        <v>0</v>
      </c>
      <c r="P106">
        <f>IF((phi!P51),VLOOKUP(P$1,main!$A$3:$I$56,5,FALSE)-VLOOKUP($A106,main!$A$3:$I$56,6,FALSE)+main!$D$57,0)</f>
        <v>0</v>
      </c>
      <c r="Q106">
        <f>IF((phi!Q51),VLOOKUP(Q$1,main!$A$3:$I$56,5,FALSE)-VLOOKUP($A106,main!$A$3:$I$56,6,FALSE)+main!$D$57,0)</f>
        <v>0</v>
      </c>
      <c r="R106">
        <f>IF((phi!R51),VLOOKUP(R$1,main!$A$3:$I$56,5,FALSE)-VLOOKUP($A106,main!$A$3:$I$56,6,FALSE)+main!$D$57,0)</f>
        <v>0</v>
      </c>
      <c r="S106">
        <f>IF((phi!S51),VLOOKUP(S$1,main!$A$3:$I$56,5,FALSE)-VLOOKUP($A106,main!$A$3:$I$56,6,FALSE)+main!$D$57,0)</f>
        <v>0</v>
      </c>
      <c r="T106">
        <f>IF((phi!T51),VLOOKUP(T$1,main!$A$3:$I$56,5,FALSE)-VLOOKUP($A106,main!$A$3:$I$56,6,FALSE)+main!$D$57,0)</f>
        <v>0</v>
      </c>
      <c r="U106">
        <f>IF((phi!U51),VLOOKUP(U$1,main!$A$3:$I$56,5,FALSE)-VLOOKUP($A106,main!$A$3:$I$56,6,FALSE)+main!$D$57,0)</f>
        <v>0</v>
      </c>
      <c r="V106">
        <f>IF((phi!V51),VLOOKUP(V$1,main!$A$3:$I$56,5,FALSE)-VLOOKUP($A106,main!$A$3:$I$56,6,FALSE)+main!$D$57,0)</f>
        <v>0</v>
      </c>
      <c r="W106">
        <f>IF((phi!W51),VLOOKUP(W$1,main!$A$3:$I$56,5,FALSE)-VLOOKUP($A106,main!$A$3:$I$56,6,FALSE)+main!$D$57,0)</f>
        <v>0</v>
      </c>
      <c r="X106">
        <f>IF((phi!X51),VLOOKUP(X$1,main!$A$3:$I$56,5,FALSE)-VLOOKUP($A106,main!$A$3:$I$56,6,FALSE)+main!$D$57,0)</f>
        <v>0</v>
      </c>
      <c r="Y106">
        <f>IF((phi!Y51),VLOOKUP(Y$1,main!$A$3:$I$56,5,FALSE)-VLOOKUP($A106,main!$A$3:$I$56,6,FALSE)+main!$D$57,0)</f>
        <v>0</v>
      </c>
      <c r="Z106">
        <f>IF((phi!Z51),VLOOKUP(Z$1,main!$A$3:$I$56,5,FALSE)-VLOOKUP($A106,main!$A$3:$I$56,6,FALSE)+main!$D$57,0)</f>
        <v>0</v>
      </c>
      <c r="AA106">
        <f>IF((phi!AA51),VLOOKUP(AA$1,main!$A$3:$I$56,5,FALSE)-VLOOKUP($A106,main!$A$3:$I$56,6,FALSE)+main!$D$57,0)</f>
        <v>0</v>
      </c>
      <c r="AB106">
        <f>IF((phi!AB51),VLOOKUP(AB$1,main!$A$3:$I$56,5,FALSE)-VLOOKUP($A106,main!$A$3:$I$56,6,FALSE)+main!$D$57,0)</f>
        <v>0</v>
      </c>
      <c r="AC106">
        <f>IF((phi!AC51),VLOOKUP(AC$1,main!$A$3:$I$56,5,FALSE)-VLOOKUP($A106,main!$A$3:$I$56,6,FALSE)+main!$D$57,0)</f>
        <v>0</v>
      </c>
      <c r="AD106">
        <f>IF((phi!AD51),VLOOKUP(AD$1,main!$A$3:$I$56,5,FALSE)-VLOOKUP($A106,main!$A$3:$I$56,6,FALSE)+main!$D$57,0)</f>
        <v>0</v>
      </c>
      <c r="AE106">
        <f>IF((phi!AE51),VLOOKUP(AE$1,main!$A$3:$I$56,5,FALSE)-VLOOKUP($A106,main!$A$3:$I$56,6,FALSE)+main!$D$57,0)</f>
        <v>0</v>
      </c>
      <c r="AF106">
        <f>IF((phi!AF51),VLOOKUP(AF$1,main!$A$3:$I$56,5,FALSE)-VLOOKUP($A106,main!$A$3:$I$56,6,FALSE)+main!$D$57,0)</f>
        <v>0</v>
      </c>
      <c r="AG106">
        <f>IF((phi!AG51),VLOOKUP(AG$1,main!$A$3:$I$56,5,FALSE)-VLOOKUP($A106,main!$A$3:$I$56,6,FALSE)+main!$D$57,0)</f>
        <v>0</v>
      </c>
      <c r="AH106">
        <f>IF((phi!AH51),VLOOKUP(AH$1,main!$A$3:$I$56,5,FALSE)-VLOOKUP($A106,main!$A$3:$I$56,6,FALSE)+main!$D$57,0)</f>
        <v>0</v>
      </c>
      <c r="AI106">
        <f>IF((phi!AI51),VLOOKUP(AI$1,main!$A$3:$I$56,5,FALSE)-VLOOKUP($A106,main!$A$3:$I$56,6,FALSE)+main!$D$57,0)</f>
        <v>0</v>
      </c>
      <c r="AJ106">
        <f>IF((phi!AJ51),VLOOKUP(AJ$1,main!$A$3:$I$56,5,FALSE)-VLOOKUP($A106,main!$A$3:$I$56,6,FALSE)+main!$D$57,0)</f>
        <v>0</v>
      </c>
      <c r="AK106">
        <f>IF((phi!AK51),VLOOKUP(AK$1,main!$A$3:$I$56,5,FALSE)-VLOOKUP($A106,main!$A$3:$I$56,6,FALSE)+main!$D$57,0)</f>
        <v>0</v>
      </c>
      <c r="AL106">
        <f>IF((phi!AL51),VLOOKUP(AL$1,main!$A$3:$I$56,5,FALSE)-VLOOKUP($A106,main!$A$3:$I$56,6,FALSE)+main!$D$57,0)</f>
        <v>0</v>
      </c>
      <c r="AM106">
        <f>IF((phi!AM51),VLOOKUP(AM$1,main!$A$3:$I$56,5,FALSE)-VLOOKUP($A106,main!$A$3:$I$56,6,FALSE)+main!$D$57,0)</f>
        <v>0</v>
      </c>
      <c r="AN106">
        <f>IF((phi!AN51),VLOOKUP(AN$1,main!$A$3:$I$56,5,FALSE)-VLOOKUP($A106,main!$A$3:$I$56,6,FALSE)+main!$D$57,0)</f>
        <v>0</v>
      </c>
      <c r="AO106">
        <f>IF((phi!AO51),VLOOKUP(AO$1,main!$A$3:$I$56,5,FALSE)-VLOOKUP($A106,main!$A$3:$I$56,6,FALSE)+main!$D$57,0)</f>
        <v>0</v>
      </c>
      <c r="AP106">
        <f>IF((phi!AP51),VLOOKUP(AP$1,main!$A$3:$I$56,5,FALSE)-VLOOKUP($A106,main!$A$3:$I$56,6,FALSE)+main!$D$57,0)</f>
        <v>0</v>
      </c>
      <c r="AQ106">
        <f>IF((phi!AQ51),VLOOKUP(AQ$1,main!$A$3:$I$56,5,FALSE)-VLOOKUP($A106,main!$A$3:$I$56,6,FALSE)+main!$D$57,0)</f>
        <v>0</v>
      </c>
      <c r="AR106">
        <f>IF((phi!AR51),VLOOKUP(AR$1,main!$A$3:$I$56,5,FALSE)-VLOOKUP($A106,main!$A$3:$I$56,6,FALSE)+main!$D$57,0)</f>
        <v>0</v>
      </c>
      <c r="AS106">
        <f>IF((phi!AS51),VLOOKUP(AS$1,main!$A$3:$I$56,5,FALSE)-VLOOKUP($A106,main!$A$3:$I$56,6,FALSE)+main!$D$57,0)</f>
        <v>0</v>
      </c>
      <c r="AT106">
        <f>IF((phi!AT51),VLOOKUP(AT$1,main!$A$3:$I$56,5,FALSE)-VLOOKUP($A106,main!$A$3:$I$56,6,FALSE)+main!$D$57,0)</f>
        <v>0</v>
      </c>
      <c r="AU106">
        <f>IF((phi!AU51),VLOOKUP(AU$1,main!$A$3:$I$56,5,FALSE)-VLOOKUP($A106,main!$A$3:$I$56,6,FALSE)+main!$D$57,0)</f>
        <v>0</v>
      </c>
      <c r="AV106">
        <f>IF((phi!AV51),VLOOKUP(AV$1,main!$A$3:$I$56,5,FALSE)-VLOOKUP($A106,main!$A$3:$I$56,6,FALSE)+main!$D$57,0)</f>
        <v>0</v>
      </c>
      <c r="AW106">
        <f>IF((phi!AW51),VLOOKUP(AW$1,main!$A$3:$I$56,5,FALSE)-VLOOKUP($A106,main!$A$3:$I$56,6,FALSE)+main!$D$57,0)</f>
        <v>0</v>
      </c>
      <c r="AX106">
        <f>IF((phi!AX51),VLOOKUP(AX$1,main!$A$3:$I$56,5,FALSE)-VLOOKUP($A106,main!$A$3:$I$56,6,FALSE)+main!$D$57,0)</f>
        <v>0</v>
      </c>
      <c r="AY106">
        <f>IF((phi!AY51),VLOOKUP(AY$1,main!$A$3:$I$56,5,FALSE)-VLOOKUP($A106,main!$A$3:$I$56,6,FALSE)+main!$D$57,0)</f>
        <v>0</v>
      </c>
      <c r="AZ106">
        <f>IF((phi!AZ51),VLOOKUP(AZ$1,main!$A$3:$I$56,5,FALSE)-VLOOKUP($A106,main!$A$3:$I$56,6,FALSE)+main!$D$57,0)</f>
        <v>0</v>
      </c>
      <c r="BA106">
        <f>IF((phi!BA51),VLOOKUP(BA$1,main!$A$3:$I$56,5,FALSE)-VLOOKUP($A106,main!$A$3:$I$56,6,FALSE)+main!$D$57,0)</f>
        <v>0</v>
      </c>
      <c r="BB106">
        <f>IF((phi!BB51),VLOOKUP(BB$1,main!$A$3:$I$56,5,FALSE)-VLOOKUP($A106,main!$A$3:$I$56,6,FALSE)+main!$D$57,0)</f>
        <v>0</v>
      </c>
      <c r="BC106">
        <f>IF((phi!BC51),VLOOKUP(BC$1,main!$A$3:$I$56,5,FALSE)-VLOOKUP($A106,main!$A$3:$I$56,6,FALSE)+main!$D$57,0)</f>
        <v>0</v>
      </c>
      <c r="BD106">
        <f>IF((phi!BD51),VLOOKUP(BD$1,main!$A$3:$I$56,5,FALSE)-VLOOKUP($A106,main!$A$3:$I$56,6,FALSE)+main!$D$57,0)</f>
        <v>0</v>
      </c>
    </row>
    <row r="107" spans="1:56" x14ac:dyDescent="0.25">
      <c r="A107">
        <f t="shared" si="3"/>
        <v>50</v>
      </c>
      <c r="B107">
        <v>0</v>
      </c>
      <c r="C107">
        <f>IF((phi!C52),VLOOKUP(C$1,main!$A$3:$I$56,5,FALSE)-VLOOKUP($A107,main!$A$3:$I$56,6,FALSE)+main!$D$57,0)</f>
        <v>0</v>
      </c>
      <c r="D107">
        <f>IF((phi!D52),VLOOKUP(D$1,main!$A$3:$I$56,5,FALSE)-VLOOKUP($A107,main!$A$3:$I$56,6,FALSE)+main!$D$57,0)</f>
        <v>0</v>
      </c>
      <c r="E107">
        <f>IF((phi!E52),VLOOKUP(E$1,main!$A$3:$I$56,5,FALSE)-VLOOKUP($A107,main!$A$3:$I$56,6,FALSE)+main!$D$57,0)</f>
        <v>140</v>
      </c>
      <c r="F107">
        <f>IF((phi!F52),VLOOKUP(F$1,main!$A$3:$I$56,5,FALSE)-VLOOKUP($A107,main!$A$3:$I$56,6,FALSE)+main!$D$57,0)</f>
        <v>230</v>
      </c>
      <c r="G107">
        <f>IF((phi!G52),VLOOKUP(G$1,main!$A$3:$I$56,5,FALSE)-VLOOKUP($A107,main!$A$3:$I$56,6,FALSE)+main!$D$57,0)</f>
        <v>290</v>
      </c>
      <c r="H107">
        <f>IF((phi!H52),VLOOKUP(H$1,main!$A$3:$I$56,5,FALSE)-VLOOKUP($A107,main!$A$3:$I$56,6,FALSE)+main!$D$57,0)</f>
        <v>350</v>
      </c>
      <c r="I107">
        <f>IF((phi!I52),VLOOKUP(I$1,main!$A$3:$I$56,5,FALSE)-VLOOKUP($A107,main!$A$3:$I$56,6,FALSE)+main!$D$57,0)</f>
        <v>410</v>
      </c>
      <c r="J107">
        <f>IF((phi!J52),VLOOKUP(J$1,main!$A$3:$I$56,5,FALSE)-VLOOKUP($A107,main!$A$3:$I$56,6,FALSE)+main!$D$57,0)</f>
        <v>500</v>
      </c>
      <c r="K107">
        <f>IF((phi!K52),VLOOKUP(K$1,main!$A$3:$I$56,5,FALSE)-VLOOKUP($A107,main!$A$3:$I$56,6,FALSE)+main!$D$57,0)</f>
        <v>0</v>
      </c>
      <c r="L107">
        <f>IF((phi!L52),VLOOKUP(L$1,main!$A$3:$I$56,5,FALSE)-VLOOKUP($A107,main!$A$3:$I$56,6,FALSE)+main!$D$57,0)</f>
        <v>0</v>
      </c>
      <c r="M107">
        <f>IF((phi!M52),VLOOKUP(M$1,main!$A$3:$I$56,5,FALSE)-VLOOKUP($A107,main!$A$3:$I$56,6,FALSE)+main!$D$57,0)</f>
        <v>0</v>
      </c>
      <c r="N107">
        <f>IF((phi!N52),VLOOKUP(N$1,main!$A$3:$I$56,5,FALSE)-VLOOKUP($A107,main!$A$3:$I$56,6,FALSE)+main!$D$57,0)</f>
        <v>465</v>
      </c>
      <c r="O107">
        <f>IF((phi!O52),VLOOKUP(O$1,main!$A$3:$I$56,5,FALSE)-VLOOKUP($A107,main!$A$3:$I$56,6,FALSE)+main!$D$57,0)</f>
        <v>525</v>
      </c>
      <c r="P107">
        <f>IF((phi!P52),VLOOKUP(P$1,main!$A$3:$I$56,5,FALSE)-VLOOKUP($A107,main!$A$3:$I$56,6,FALSE)+main!$D$57,0)</f>
        <v>0</v>
      </c>
      <c r="Q107">
        <f>IF((phi!Q52),VLOOKUP(Q$1,main!$A$3:$I$56,5,FALSE)-VLOOKUP($A107,main!$A$3:$I$56,6,FALSE)+main!$D$57,0)</f>
        <v>0</v>
      </c>
      <c r="R107">
        <f>IF((phi!R52),VLOOKUP(R$1,main!$A$3:$I$56,5,FALSE)-VLOOKUP($A107,main!$A$3:$I$56,6,FALSE)+main!$D$57,0)</f>
        <v>0</v>
      </c>
      <c r="S107">
        <f>IF((phi!S52),VLOOKUP(S$1,main!$A$3:$I$56,5,FALSE)-VLOOKUP($A107,main!$A$3:$I$56,6,FALSE)+main!$D$57,0)</f>
        <v>280</v>
      </c>
      <c r="T107">
        <f>IF((phi!T52),VLOOKUP(T$1,main!$A$3:$I$56,5,FALSE)-VLOOKUP($A107,main!$A$3:$I$56,6,FALSE)+main!$D$57,0)</f>
        <v>430</v>
      </c>
      <c r="U107">
        <f>IF((phi!U52),VLOOKUP(U$1,main!$A$3:$I$56,5,FALSE)-VLOOKUP($A107,main!$A$3:$I$56,6,FALSE)+main!$D$57,0)</f>
        <v>0</v>
      </c>
      <c r="V107">
        <f>IF((phi!V52),VLOOKUP(V$1,main!$A$3:$I$56,5,FALSE)-VLOOKUP($A107,main!$A$3:$I$56,6,FALSE)+main!$D$57,0)</f>
        <v>0</v>
      </c>
      <c r="W107">
        <f>IF((phi!W52),VLOOKUP(W$1,main!$A$3:$I$56,5,FALSE)-VLOOKUP($A107,main!$A$3:$I$56,6,FALSE)+main!$D$57,0)</f>
        <v>0</v>
      </c>
      <c r="X107">
        <f>IF((phi!X52),VLOOKUP(X$1,main!$A$3:$I$56,5,FALSE)-VLOOKUP($A107,main!$A$3:$I$56,6,FALSE)+main!$D$57,0)</f>
        <v>0</v>
      </c>
      <c r="Y107">
        <f>IF((phi!Y52),VLOOKUP(Y$1,main!$A$3:$I$56,5,FALSE)-VLOOKUP($A107,main!$A$3:$I$56,6,FALSE)+main!$D$57,0)</f>
        <v>210</v>
      </c>
      <c r="Z107">
        <f>IF((phi!Z52),VLOOKUP(Z$1,main!$A$3:$I$56,5,FALSE)-VLOOKUP($A107,main!$A$3:$I$56,6,FALSE)+main!$D$57,0)</f>
        <v>300</v>
      </c>
      <c r="AA107">
        <f>IF((phi!AA52),VLOOKUP(AA$1,main!$A$3:$I$56,5,FALSE)-VLOOKUP($A107,main!$A$3:$I$56,6,FALSE)+main!$D$57,0)</f>
        <v>390</v>
      </c>
      <c r="AB107">
        <f>IF((phi!AB52),VLOOKUP(AB$1,main!$A$3:$I$56,5,FALSE)-VLOOKUP($A107,main!$A$3:$I$56,6,FALSE)+main!$D$57,0)</f>
        <v>450</v>
      </c>
      <c r="AC107">
        <f>IF((phi!AC52),VLOOKUP(AC$1,main!$A$3:$I$56,5,FALSE)-VLOOKUP($A107,main!$A$3:$I$56,6,FALSE)+main!$D$57,0)</f>
        <v>0</v>
      </c>
      <c r="AD107">
        <f>IF((phi!AD52),VLOOKUP(AD$1,main!$A$3:$I$56,5,FALSE)-VLOOKUP($A107,main!$A$3:$I$56,6,FALSE)+main!$D$57,0)</f>
        <v>0</v>
      </c>
      <c r="AE107">
        <f>IF((phi!AE52),VLOOKUP(AE$1,main!$A$3:$I$56,5,FALSE)-VLOOKUP($A107,main!$A$3:$I$56,6,FALSE)+main!$D$57,0)</f>
        <v>0</v>
      </c>
      <c r="AF107">
        <f>IF((phi!AF52),VLOOKUP(AF$1,main!$A$3:$I$56,5,FALSE)-VLOOKUP($A107,main!$A$3:$I$56,6,FALSE)+main!$D$57,0)</f>
        <v>260</v>
      </c>
      <c r="AG107">
        <f>IF((phi!AG52),VLOOKUP(AG$1,main!$A$3:$I$56,5,FALSE)-VLOOKUP($A107,main!$A$3:$I$56,6,FALSE)+main!$D$57,0)</f>
        <v>0</v>
      </c>
      <c r="AH107">
        <f>IF((phi!AH52),VLOOKUP(AH$1,main!$A$3:$I$56,5,FALSE)-VLOOKUP($A107,main!$A$3:$I$56,6,FALSE)+main!$D$57,0)</f>
        <v>0</v>
      </c>
      <c r="AI107">
        <f>IF((phi!AI52),VLOOKUP(AI$1,main!$A$3:$I$56,5,FALSE)-VLOOKUP($A107,main!$A$3:$I$56,6,FALSE)+main!$D$57,0)</f>
        <v>170</v>
      </c>
      <c r="AJ107">
        <f>IF((phi!AJ52),VLOOKUP(AJ$1,main!$A$3:$I$56,5,FALSE)-VLOOKUP($A107,main!$A$3:$I$56,6,FALSE)+main!$D$57,0)</f>
        <v>230</v>
      </c>
      <c r="AK107">
        <f>IF((phi!AK52),VLOOKUP(AK$1,main!$A$3:$I$56,5,FALSE)-VLOOKUP($A107,main!$A$3:$I$56,6,FALSE)+main!$D$57,0)</f>
        <v>350</v>
      </c>
      <c r="AL107">
        <f>IF((phi!AL52),VLOOKUP(AL$1,main!$A$3:$I$56,5,FALSE)-VLOOKUP($A107,main!$A$3:$I$56,6,FALSE)+main!$D$57,0)</f>
        <v>0</v>
      </c>
      <c r="AM107">
        <f>IF((phi!AM52),VLOOKUP(AM$1,main!$A$3:$I$56,5,FALSE)-VLOOKUP($A107,main!$A$3:$I$56,6,FALSE)+main!$D$57,0)</f>
        <v>0</v>
      </c>
      <c r="AN107">
        <f>IF((phi!AN52),VLOOKUP(AN$1,main!$A$3:$I$56,5,FALSE)-VLOOKUP($A107,main!$A$3:$I$56,6,FALSE)+main!$D$57,0)</f>
        <v>210</v>
      </c>
      <c r="AO107">
        <f>IF((phi!AO52),VLOOKUP(AO$1,main!$A$3:$I$56,5,FALSE)-VLOOKUP($A107,main!$A$3:$I$56,6,FALSE)+main!$D$57,0)</f>
        <v>260</v>
      </c>
      <c r="AP107">
        <f>IF((phi!AP52),VLOOKUP(AP$1,main!$A$3:$I$56,5,FALSE)-VLOOKUP($A107,main!$A$3:$I$56,6,FALSE)+main!$D$57,0)</f>
        <v>0</v>
      </c>
      <c r="AQ107">
        <f>IF((phi!AQ52),VLOOKUP(AQ$1,main!$A$3:$I$56,5,FALSE)-VLOOKUP($A107,main!$A$3:$I$56,6,FALSE)+main!$D$57,0)</f>
        <v>0</v>
      </c>
      <c r="AR107">
        <f>IF((phi!AR52),VLOOKUP(AR$1,main!$A$3:$I$56,5,FALSE)-VLOOKUP($A107,main!$A$3:$I$56,6,FALSE)+main!$D$57,0)</f>
        <v>0</v>
      </c>
      <c r="AS107">
        <f>IF((phi!AS52),VLOOKUP(AS$1,main!$A$3:$I$56,5,FALSE)-VLOOKUP($A107,main!$A$3:$I$56,6,FALSE)+main!$D$57,0)</f>
        <v>0</v>
      </c>
      <c r="AT107">
        <f>IF((phi!AT52),VLOOKUP(AT$1,main!$A$3:$I$56,5,FALSE)-VLOOKUP($A107,main!$A$3:$I$56,6,FALSE)+main!$D$57,0)</f>
        <v>160</v>
      </c>
      <c r="AU107">
        <f>IF((phi!AU52),VLOOKUP(AU$1,main!$A$3:$I$56,5,FALSE)-VLOOKUP($A107,main!$A$3:$I$56,6,FALSE)+main!$D$57,0)</f>
        <v>0</v>
      </c>
      <c r="AV107">
        <f>IF((phi!AV52),VLOOKUP(AV$1,main!$A$3:$I$56,5,FALSE)-VLOOKUP($A107,main!$A$3:$I$56,6,FALSE)+main!$D$57,0)</f>
        <v>0</v>
      </c>
      <c r="AW107">
        <f>IF((phi!AW52),VLOOKUP(AW$1,main!$A$3:$I$56,5,FALSE)-VLOOKUP($A107,main!$A$3:$I$56,6,FALSE)+main!$D$57,0)</f>
        <v>0</v>
      </c>
      <c r="AX107">
        <f>IF((phi!AX52),VLOOKUP(AX$1,main!$A$3:$I$56,5,FALSE)-VLOOKUP($A107,main!$A$3:$I$56,6,FALSE)+main!$D$57,0)</f>
        <v>310</v>
      </c>
      <c r="AY107">
        <f>IF((phi!AY52),VLOOKUP(AY$1,main!$A$3:$I$56,5,FALSE)-VLOOKUP($A107,main!$A$3:$I$56,6,FALSE)+main!$D$57,0)</f>
        <v>510</v>
      </c>
      <c r="AZ107">
        <f>IF((phi!AZ52),VLOOKUP(AZ$1,main!$A$3:$I$56,5,FALSE)-VLOOKUP($A107,main!$A$3:$I$56,6,FALSE)+main!$D$57,0)</f>
        <v>0</v>
      </c>
      <c r="BA107">
        <f>IF((phi!BA52),VLOOKUP(BA$1,main!$A$3:$I$56,5,FALSE)-VLOOKUP($A107,main!$A$3:$I$56,6,FALSE)+main!$D$57,0)</f>
        <v>0</v>
      </c>
      <c r="BB107">
        <f>IF((phi!BB52),VLOOKUP(BB$1,main!$A$3:$I$56,5,FALSE)-VLOOKUP($A107,main!$A$3:$I$56,6,FALSE)+main!$D$57,0)</f>
        <v>0</v>
      </c>
      <c r="BC107">
        <f>IF((phi!BC52),VLOOKUP(BC$1,main!$A$3:$I$56,5,FALSE)-VLOOKUP($A107,main!$A$3:$I$56,6,FALSE)+main!$D$57,0)</f>
        <v>275</v>
      </c>
      <c r="BD107">
        <f>IF((phi!BD52),VLOOKUP(BD$1,main!$A$3:$I$56,5,FALSE)-VLOOKUP($A107,main!$A$3:$I$56,6,FALSE)+main!$D$57,0)</f>
        <v>285</v>
      </c>
    </row>
    <row r="108" spans="1:56" x14ac:dyDescent="0.25">
      <c r="A108">
        <f t="shared" si="3"/>
        <v>51</v>
      </c>
      <c r="B108">
        <v>0</v>
      </c>
      <c r="C108">
        <f>IF((phi!C53),VLOOKUP(C$1,main!$A$3:$I$56,5,FALSE)-VLOOKUP($A108,main!$A$3:$I$56,6,FALSE)+main!$D$57,0)</f>
        <v>0</v>
      </c>
      <c r="D108">
        <f>IF((phi!D53),VLOOKUP(D$1,main!$A$3:$I$56,5,FALSE)-VLOOKUP($A108,main!$A$3:$I$56,6,FALSE)+main!$D$57,0)</f>
        <v>0</v>
      </c>
      <c r="E108">
        <f>IF((phi!E53),VLOOKUP(E$1,main!$A$3:$I$56,5,FALSE)-VLOOKUP($A108,main!$A$3:$I$56,6,FALSE)+main!$D$57,0)</f>
        <v>0</v>
      </c>
      <c r="F108">
        <f>IF((phi!F53),VLOOKUP(F$1,main!$A$3:$I$56,5,FALSE)-VLOOKUP($A108,main!$A$3:$I$56,6,FALSE)+main!$D$57,0)</f>
        <v>0</v>
      </c>
      <c r="G108">
        <f>IF((phi!G53),VLOOKUP(G$1,main!$A$3:$I$56,5,FALSE)-VLOOKUP($A108,main!$A$3:$I$56,6,FALSE)+main!$D$57,0)</f>
        <v>145</v>
      </c>
      <c r="H108">
        <f>IF((phi!H53),VLOOKUP(H$1,main!$A$3:$I$56,5,FALSE)-VLOOKUP($A108,main!$A$3:$I$56,6,FALSE)+main!$D$57,0)</f>
        <v>205</v>
      </c>
      <c r="I108">
        <f>IF((phi!I53),VLOOKUP(I$1,main!$A$3:$I$56,5,FALSE)-VLOOKUP($A108,main!$A$3:$I$56,6,FALSE)+main!$D$57,0)</f>
        <v>265</v>
      </c>
      <c r="J108">
        <f>IF((phi!J53),VLOOKUP(J$1,main!$A$3:$I$56,5,FALSE)-VLOOKUP($A108,main!$A$3:$I$56,6,FALSE)+main!$D$57,0)</f>
        <v>355</v>
      </c>
      <c r="K108">
        <f>IF((phi!K53),VLOOKUP(K$1,main!$A$3:$I$56,5,FALSE)-VLOOKUP($A108,main!$A$3:$I$56,6,FALSE)+main!$D$57,0)</f>
        <v>0</v>
      </c>
      <c r="L108">
        <f>IF((phi!L53),VLOOKUP(L$1,main!$A$3:$I$56,5,FALSE)-VLOOKUP($A108,main!$A$3:$I$56,6,FALSE)+main!$D$57,0)</f>
        <v>0</v>
      </c>
      <c r="M108">
        <f>IF((phi!M53),VLOOKUP(M$1,main!$A$3:$I$56,5,FALSE)-VLOOKUP($A108,main!$A$3:$I$56,6,FALSE)+main!$D$57,0)</f>
        <v>0</v>
      </c>
      <c r="N108">
        <f>IF((phi!N53),VLOOKUP(N$1,main!$A$3:$I$56,5,FALSE)-VLOOKUP($A108,main!$A$3:$I$56,6,FALSE)+main!$D$57,0)</f>
        <v>320</v>
      </c>
      <c r="O108">
        <f>IF((phi!O53),VLOOKUP(O$1,main!$A$3:$I$56,5,FALSE)-VLOOKUP($A108,main!$A$3:$I$56,6,FALSE)+main!$D$57,0)</f>
        <v>380</v>
      </c>
      <c r="P108">
        <f>IF((phi!P53),VLOOKUP(P$1,main!$A$3:$I$56,5,FALSE)-VLOOKUP($A108,main!$A$3:$I$56,6,FALSE)+main!$D$57,0)</f>
        <v>0</v>
      </c>
      <c r="Q108">
        <f>IF((phi!Q53),VLOOKUP(Q$1,main!$A$3:$I$56,5,FALSE)-VLOOKUP($A108,main!$A$3:$I$56,6,FALSE)+main!$D$57,0)</f>
        <v>0</v>
      </c>
      <c r="R108">
        <f>IF((phi!R53),VLOOKUP(R$1,main!$A$3:$I$56,5,FALSE)-VLOOKUP($A108,main!$A$3:$I$56,6,FALSE)+main!$D$57,0)</f>
        <v>0</v>
      </c>
      <c r="S108">
        <f>IF((phi!S53),VLOOKUP(S$1,main!$A$3:$I$56,5,FALSE)-VLOOKUP($A108,main!$A$3:$I$56,6,FALSE)+main!$D$57,0)</f>
        <v>135</v>
      </c>
      <c r="T108">
        <f>IF((phi!T53),VLOOKUP(T$1,main!$A$3:$I$56,5,FALSE)-VLOOKUP($A108,main!$A$3:$I$56,6,FALSE)+main!$D$57,0)</f>
        <v>285</v>
      </c>
      <c r="U108">
        <f>IF((phi!U53),VLOOKUP(U$1,main!$A$3:$I$56,5,FALSE)-VLOOKUP($A108,main!$A$3:$I$56,6,FALSE)+main!$D$57,0)</f>
        <v>0</v>
      </c>
      <c r="V108">
        <f>IF((phi!V53),VLOOKUP(V$1,main!$A$3:$I$56,5,FALSE)-VLOOKUP($A108,main!$A$3:$I$56,6,FALSE)+main!$D$57,0)</f>
        <v>0</v>
      </c>
      <c r="W108">
        <f>IF((phi!W53),VLOOKUP(W$1,main!$A$3:$I$56,5,FALSE)-VLOOKUP($A108,main!$A$3:$I$56,6,FALSE)+main!$D$57,0)</f>
        <v>0</v>
      </c>
      <c r="X108">
        <f>IF((phi!X53),VLOOKUP(X$1,main!$A$3:$I$56,5,FALSE)-VLOOKUP($A108,main!$A$3:$I$56,6,FALSE)+main!$D$57,0)</f>
        <v>0</v>
      </c>
      <c r="Y108">
        <f>IF((phi!Y53),VLOOKUP(Y$1,main!$A$3:$I$56,5,FALSE)-VLOOKUP($A108,main!$A$3:$I$56,6,FALSE)+main!$D$57,0)</f>
        <v>0</v>
      </c>
      <c r="Z108">
        <f>IF((phi!Z53),VLOOKUP(Z$1,main!$A$3:$I$56,5,FALSE)-VLOOKUP($A108,main!$A$3:$I$56,6,FALSE)+main!$D$57,0)</f>
        <v>155</v>
      </c>
      <c r="AA108">
        <f>IF((phi!AA53),VLOOKUP(AA$1,main!$A$3:$I$56,5,FALSE)-VLOOKUP($A108,main!$A$3:$I$56,6,FALSE)+main!$D$57,0)</f>
        <v>245</v>
      </c>
      <c r="AB108">
        <f>IF((phi!AB53),VLOOKUP(AB$1,main!$A$3:$I$56,5,FALSE)-VLOOKUP($A108,main!$A$3:$I$56,6,FALSE)+main!$D$57,0)</f>
        <v>305</v>
      </c>
      <c r="AC108">
        <f>IF((phi!AC53),VLOOKUP(AC$1,main!$A$3:$I$56,5,FALSE)-VLOOKUP($A108,main!$A$3:$I$56,6,FALSE)+main!$D$57,0)</f>
        <v>0</v>
      </c>
      <c r="AD108">
        <f>IF((phi!AD53),VLOOKUP(AD$1,main!$A$3:$I$56,5,FALSE)-VLOOKUP($A108,main!$A$3:$I$56,6,FALSE)+main!$D$57,0)</f>
        <v>0</v>
      </c>
      <c r="AE108">
        <f>IF((phi!AE53),VLOOKUP(AE$1,main!$A$3:$I$56,5,FALSE)-VLOOKUP($A108,main!$A$3:$I$56,6,FALSE)+main!$D$57,0)</f>
        <v>0</v>
      </c>
      <c r="AF108">
        <f>IF((phi!AF53),VLOOKUP(AF$1,main!$A$3:$I$56,5,FALSE)-VLOOKUP($A108,main!$A$3:$I$56,6,FALSE)+main!$D$57,0)</f>
        <v>0</v>
      </c>
      <c r="AG108">
        <f>IF((phi!AG53),VLOOKUP(AG$1,main!$A$3:$I$56,5,FALSE)-VLOOKUP($A108,main!$A$3:$I$56,6,FALSE)+main!$D$57,0)</f>
        <v>0</v>
      </c>
      <c r="AH108">
        <f>IF((phi!AH53),VLOOKUP(AH$1,main!$A$3:$I$56,5,FALSE)-VLOOKUP($A108,main!$A$3:$I$56,6,FALSE)+main!$D$57,0)</f>
        <v>0</v>
      </c>
      <c r="AI108">
        <f>IF((phi!AI53),VLOOKUP(AI$1,main!$A$3:$I$56,5,FALSE)-VLOOKUP($A108,main!$A$3:$I$56,6,FALSE)+main!$D$57,0)</f>
        <v>0</v>
      </c>
      <c r="AJ108">
        <f>IF((phi!AJ53),VLOOKUP(AJ$1,main!$A$3:$I$56,5,FALSE)-VLOOKUP($A108,main!$A$3:$I$56,6,FALSE)+main!$D$57,0)</f>
        <v>0</v>
      </c>
      <c r="AK108">
        <f>IF((phi!AK53),VLOOKUP(AK$1,main!$A$3:$I$56,5,FALSE)-VLOOKUP($A108,main!$A$3:$I$56,6,FALSE)+main!$D$57,0)</f>
        <v>205</v>
      </c>
      <c r="AL108">
        <f>IF((phi!AL53),VLOOKUP(AL$1,main!$A$3:$I$56,5,FALSE)-VLOOKUP($A108,main!$A$3:$I$56,6,FALSE)+main!$D$57,0)</f>
        <v>0</v>
      </c>
      <c r="AM108">
        <f>IF((phi!AM53),VLOOKUP(AM$1,main!$A$3:$I$56,5,FALSE)-VLOOKUP($A108,main!$A$3:$I$56,6,FALSE)+main!$D$57,0)</f>
        <v>0</v>
      </c>
      <c r="AN108">
        <f>IF((phi!AN53),VLOOKUP(AN$1,main!$A$3:$I$56,5,FALSE)-VLOOKUP($A108,main!$A$3:$I$56,6,FALSE)+main!$D$57,0)</f>
        <v>0</v>
      </c>
      <c r="AO108">
        <f>IF((phi!AO53),VLOOKUP(AO$1,main!$A$3:$I$56,5,FALSE)-VLOOKUP($A108,main!$A$3:$I$56,6,FALSE)+main!$D$57,0)</f>
        <v>0</v>
      </c>
      <c r="AP108">
        <f>IF((phi!AP53),VLOOKUP(AP$1,main!$A$3:$I$56,5,FALSE)-VLOOKUP($A108,main!$A$3:$I$56,6,FALSE)+main!$D$57,0)</f>
        <v>0</v>
      </c>
      <c r="AQ108">
        <f>IF((phi!AQ53),VLOOKUP(AQ$1,main!$A$3:$I$56,5,FALSE)-VLOOKUP($A108,main!$A$3:$I$56,6,FALSE)+main!$D$57,0)</f>
        <v>0</v>
      </c>
      <c r="AR108">
        <f>IF((phi!AR53),VLOOKUP(AR$1,main!$A$3:$I$56,5,FALSE)-VLOOKUP($A108,main!$A$3:$I$56,6,FALSE)+main!$D$57,0)</f>
        <v>0</v>
      </c>
      <c r="AS108">
        <f>IF((phi!AS53),VLOOKUP(AS$1,main!$A$3:$I$56,5,FALSE)-VLOOKUP($A108,main!$A$3:$I$56,6,FALSE)+main!$D$57,0)</f>
        <v>0</v>
      </c>
      <c r="AT108">
        <f>IF((phi!AT53),VLOOKUP(AT$1,main!$A$3:$I$56,5,FALSE)-VLOOKUP($A108,main!$A$3:$I$56,6,FALSE)+main!$D$57,0)</f>
        <v>0</v>
      </c>
      <c r="AU108">
        <f>IF((phi!AU53),VLOOKUP(AU$1,main!$A$3:$I$56,5,FALSE)-VLOOKUP($A108,main!$A$3:$I$56,6,FALSE)+main!$D$57,0)</f>
        <v>0</v>
      </c>
      <c r="AV108">
        <f>IF((phi!AV53),VLOOKUP(AV$1,main!$A$3:$I$56,5,FALSE)-VLOOKUP($A108,main!$A$3:$I$56,6,FALSE)+main!$D$57,0)</f>
        <v>0</v>
      </c>
      <c r="AW108">
        <f>IF((phi!AW53),VLOOKUP(AW$1,main!$A$3:$I$56,5,FALSE)-VLOOKUP($A108,main!$A$3:$I$56,6,FALSE)+main!$D$57,0)</f>
        <v>0</v>
      </c>
      <c r="AX108">
        <f>IF((phi!AX53),VLOOKUP(AX$1,main!$A$3:$I$56,5,FALSE)-VLOOKUP($A108,main!$A$3:$I$56,6,FALSE)+main!$D$57,0)</f>
        <v>165</v>
      </c>
      <c r="AY108">
        <f>IF((phi!AY53),VLOOKUP(AY$1,main!$A$3:$I$56,5,FALSE)-VLOOKUP($A108,main!$A$3:$I$56,6,FALSE)+main!$D$57,0)</f>
        <v>365</v>
      </c>
      <c r="AZ108">
        <f>IF((phi!AZ53),VLOOKUP(AZ$1,main!$A$3:$I$56,5,FALSE)-VLOOKUP($A108,main!$A$3:$I$56,6,FALSE)+main!$D$57,0)</f>
        <v>0</v>
      </c>
      <c r="BA108">
        <f>IF((phi!BA53),VLOOKUP(BA$1,main!$A$3:$I$56,5,FALSE)-VLOOKUP($A108,main!$A$3:$I$56,6,FALSE)+main!$D$57,0)</f>
        <v>0</v>
      </c>
      <c r="BB108">
        <f>IF((phi!BB53),VLOOKUP(BB$1,main!$A$3:$I$56,5,FALSE)-VLOOKUP($A108,main!$A$3:$I$56,6,FALSE)+main!$D$57,0)</f>
        <v>0</v>
      </c>
      <c r="BC108">
        <f>IF((phi!BC53),VLOOKUP(BC$1,main!$A$3:$I$56,5,FALSE)-VLOOKUP($A108,main!$A$3:$I$56,6,FALSE)+main!$D$57,0)</f>
        <v>130</v>
      </c>
      <c r="BD108">
        <f>IF((phi!BD53),VLOOKUP(BD$1,main!$A$3:$I$56,5,FALSE)-VLOOKUP($A108,main!$A$3:$I$56,6,FALSE)+main!$D$57,0)</f>
        <v>140</v>
      </c>
    </row>
    <row r="109" spans="1:56" x14ac:dyDescent="0.25">
      <c r="A109">
        <f t="shared" si="3"/>
        <v>52</v>
      </c>
      <c r="B109">
        <v>0</v>
      </c>
      <c r="C109">
        <f>IF((phi!C54),VLOOKUP(C$1,main!$A$3:$I$56,5,FALSE)-VLOOKUP($A109,main!$A$3:$I$56,6,FALSE)+main!$D$57,0)</f>
        <v>0</v>
      </c>
      <c r="D109">
        <f>IF((phi!D54),VLOOKUP(D$1,main!$A$3:$I$56,5,FALSE)-VLOOKUP($A109,main!$A$3:$I$56,6,FALSE)+main!$D$57,0)</f>
        <v>0</v>
      </c>
      <c r="E109">
        <f>IF((phi!E54),VLOOKUP(E$1,main!$A$3:$I$56,5,FALSE)-VLOOKUP($A109,main!$A$3:$I$56,6,FALSE)+main!$D$57,0)</f>
        <v>0</v>
      </c>
      <c r="F109">
        <f>IF((phi!F54),VLOOKUP(F$1,main!$A$3:$I$56,5,FALSE)-VLOOKUP($A109,main!$A$3:$I$56,6,FALSE)+main!$D$57,0)</f>
        <v>0</v>
      </c>
      <c r="G109">
        <f>IF((phi!G54),VLOOKUP(G$1,main!$A$3:$I$56,5,FALSE)-VLOOKUP($A109,main!$A$3:$I$56,6,FALSE)+main!$D$57,0)</f>
        <v>130</v>
      </c>
      <c r="H109">
        <f>IF((phi!H54),VLOOKUP(H$1,main!$A$3:$I$56,5,FALSE)-VLOOKUP($A109,main!$A$3:$I$56,6,FALSE)+main!$D$57,0)</f>
        <v>190</v>
      </c>
      <c r="I109">
        <f>IF((phi!I54),VLOOKUP(I$1,main!$A$3:$I$56,5,FALSE)-VLOOKUP($A109,main!$A$3:$I$56,6,FALSE)+main!$D$57,0)</f>
        <v>250</v>
      </c>
      <c r="J109">
        <f>IF((phi!J54),VLOOKUP(J$1,main!$A$3:$I$56,5,FALSE)-VLOOKUP($A109,main!$A$3:$I$56,6,FALSE)+main!$D$57,0)</f>
        <v>340</v>
      </c>
      <c r="K109">
        <f>IF((phi!K54),VLOOKUP(K$1,main!$A$3:$I$56,5,FALSE)-VLOOKUP($A109,main!$A$3:$I$56,6,FALSE)+main!$D$57,0)</f>
        <v>0</v>
      </c>
      <c r="L109">
        <f>IF((phi!L54),VLOOKUP(L$1,main!$A$3:$I$56,5,FALSE)-VLOOKUP($A109,main!$A$3:$I$56,6,FALSE)+main!$D$57,0)</f>
        <v>0</v>
      </c>
      <c r="M109">
        <f>IF((phi!M54),VLOOKUP(M$1,main!$A$3:$I$56,5,FALSE)-VLOOKUP($A109,main!$A$3:$I$56,6,FALSE)+main!$D$57,0)</f>
        <v>0</v>
      </c>
      <c r="N109">
        <f>IF((phi!N54),VLOOKUP(N$1,main!$A$3:$I$56,5,FALSE)-VLOOKUP($A109,main!$A$3:$I$56,6,FALSE)+main!$D$57,0)</f>
        <v>305</v>
      </c>
      <c r="O109">
        <f>IF((phi!O54),VLOOKUP(O$1,main!$A$3:$I$56,5,FALSE)-VLOOKUP($A109,main!$A$3:$I$56,6,FALSE)+main!$D$57,0)</f>
        <v>365</v>
      </c>
      <c r="P109">
        <f>IF((phi!P54),VLOOKUP(P$1,main!$A$3:$I$56,5,FALSE)-VLOOKUP($A109,main!$A$3:$I$56,6,FALSE)+main!$D$57,0)</f>
        <v>0</v>
      </c>
      <c r="Q109">
        <f>IF((phi!Q54),VLOOKUP(Q$1,main!$A$3:$I$56,5,FALSE)-VLOOKUP($A109,main!$A$3:$I$56,6,FALSE)+main!$D$57,0)</f>
        <v>0</v>
      </c>
      <c r="R109">
        <f>IF((phi!R54),VLOOKUP(R$1,main!$A$3:$I$56,5,FALSE)-VLOOKUP($A109,main!$A$3:$I$56,6,FALSE)+main!$D$57,0)</f>
        <v>0</v>
      </c>
      <c r="S109">
        <f>IF((phi!S54),VLOOKUP(S$1,main!$A$3:$I$56,5,FALSE)-VLOOKUP($A109,main!$A$3:$I$56,6,FALSE)+main!$D$57,0)</f>
        <v>0</v>
      </c>
      <c r="T109">
        <f>IF((phi!T54),VLOOKUP(T$1,main!$A$3:$I$56,5,FALSE)-VLOOKUP($A109,main!$A$3:$I$56,6,FALSE)+main!$D$57,0)</f>
        <v>270</v>
      </c>
      <c r="U109">
        <f>IF((phi!U54),VLOOKUP(U$1,main!$A$3:$I$56,5,FALSE)-VLOOKUP($A109,main!$A$3:$I$56,6,FALSE)+main!$D$57,0)</f>
        <v>0</v>
      </c>
      <c r="V109">
        <f>IF((phi!V54),VLOOKUP(V$1,main!$A$3:$I$56,5,FALSE)-VLOOKUP($A109,main!$A$3:$I$56,6,FALSE)+main!$D$57,0)</f>
        <v>0</v>
      </c>
      <c r="W109">
        <f>IF((phi!W54),VLOOKUP(W$1,main!$A$3:$I$56,5,FALSE)-VLOOKUP($A109,main!$A$3:$I$56,6,FALSE)+main!$D$57,0)</f>
        <v>0</v>
      </c>
      <c r="X109">
        <f>IF((phi!X54),VLOOKUP(X$1,main!$A$3:$I$56,5,FALSE)-VLOOKUP($A109,main!$A$3:$I$56,6,FALSE)+main!$D$57,0)</f>
        <v>0</v>
      </c>
      <c r="Y109">
        <f>IF((phi!Y54),VLOOKUP(Y$1,main!$A$3:$I$56,5,FALSE)-VLOOKUP($A109,main!$A$3:$I$56,6,FALSE)+main!$D$57,0)</f>
        <v>0</v>
      </c>
      <c r="Z109">
        <f>IF((phi!Z54),VLOOKUP(Z$1,main!$A$3:$I$56,5,FALSE)-VLOOKUP($A109,main!$A$3:$I$56,6,FALSE)+main!$D$57,0)</f>
        <v>140</v>
      </c>
      <c r="AA109">
        <f>IF((phi!AA54),VLOOKUP(AA$1,main!$A$3:$I$56,5,FALSE)-VLOOKUP($A109,main!$A$3:$I$56,6,FALSE)+main!$D$57,0)</f>
        <v>230</v>
      </c>
      <c r="AB109">
        <f>IF((phi!AB54),VLOOKUP(AB$1,main!$A$3:$I$56,5,FALSE)-VLOOKUP($A109,main!$A$3:$I$56,6,FALSE)+main!$D$57,0)</f>
        <v>290</v>
      </c>
      <c r="AC109">
        <f>IF((phi!AC54),VLOOKUP(AC$1,main!$A$3:$I$56,5,FALSE)-VLOOKUP($A109,main!$A$3:$I$56,6,FALSE)+main!$D$57,0)</f>
        <v>0</v>
      </c>
      <c r="AD109">
        <f>IF((phi!AD54),VLOOKUP(AD$1,main!$A$3:$I$56,5,FALSE)-VLOOKUP($A109,main!$A$3:$I$56,6,FALSE)+main!$D$57,0)</f>
        <v>0</v>
      </c>
      <c r="AE109">
        <f>IF((phi!AE54),VLOOKUP(AE$1,main!$A$3:$I$56,5,FALSE)-VLOOKUP($A109,main!$A$3:$I$56,6,FALSE)+main!$D$57,0)</f>
        <v>0</v>
      </c>
      <c r="AF109">
        <f>IF((phi!AF54),VLOOKUP(AF$1,main!$A$3:$I$56,5,FALSE)-VLOOKUP($A109,main!$A$3:$I$56,6,FALSE)+main!$D$57,0)</f>
        <v>0</v>
      </c>
      <c r="AG109">
        <f>IF((phi!AG54),VLOOKUP(AG$1,main!$A$3:$I$56,5,FALSE)-VLOOKUP($A109,main!$A$3:$I$56,6,FALSE)+main!$D$57,0)</f>
        <v>0</v>
      </c>
      <c r="AH109">
        <f>IF((phi!AH54),VLOOKUP(AH$1,main!$A$3:$I$56,5,FALSE)-VLOOKUP($A109,main!$A$3:$I$56,6,FALSE)+main!$D$57,0)</f>
        <v>0</v>
      </c>
      <c r="AI109">
        <f>IF((phi!AI54),VLOOKUP(AI$1,main!$A$3:$I$56,5,FALSE)-VLOOKUP($A109,main!$A$3:$I$56,6,FALSE)+main!$D$57,0)</f>
        <v>0</v>
      </c>
      <c r="AJ109">
        <f>IF((phi!AJ54),VLOOKUP(AJ$1,main!$A$3:$I$56,5,FALSE)-VLOOKUP($A109,main!$A$3:$I$56,6,FALSE)+main!$D$57,0)</f>
        <v>0</v>
      </c>
      <c r="AK109">
        <f>IF((phi!AK54),VLOOKUP(AK$1,main!$A$3:$I$56,5,FALSE)-VLOOKUP($A109,main!$A$3:$I$56,6,FALSE)+main!$D$57,0)</f>
        <v>190</v>
      </c>
      <c r="AL109">
        <f>IF((phi!AL54),VLOOKUP(AL$1,main!$A$3:$I$56,5,FALSE)-VLOOKUP($A109,main!$A$3:$I$56,6,FALSE)+main!$D$57,0)</f>
        <v>0</v>
      </c>
      <c r="AM109">
        <f>IF((phi!AM54),VLOOKUP(AM$1,main!$A$3:$I$56,5,FALSE)-VLOOKUP($A109,main!$A$3:$I$56,6,FALSE)+main!$D$57,0)</f>
        <v>0</v>
      </c>
      <c r="AN109">
        <f>IF((phi!AN54),VLOOKUP(AN$1,main!$A$3:$I$56,5,FALSE)-VLOOKUP($A109,main!$A$3:$I$56,6,FALSE)+main!$D$57,0)</f>
        <v>0</v>
      </c>
      <c r="AO109">
        <f>IF((phi!AO54),VLOOKUP(AO$1,main!$A$3:$I$56,5,FALSE)-VLOOKUP($A109,main!$A$3:$I$56,6,FALSE)+main!$D$57,0)</f>
        <v>0</v>
      </c>
      <c r="AP109">
        <f>IF((phi!AP54),VLOOKUP(AP$1,main!$A$3:$I$56,5,FALSE)-VLOOKUP($A109,main!$A$3:$I$56,6,FALSE)+main!$D$57,0)</f>
        <v>0</v>
      </c>
      <c r="AQ109">
        <f>IF((phi!AQ54),VLOOKUP(AQ$1,main!$A$3:$I$56,5,FALSE)-VLOOKUP($A109,main!$A$3:$I$56,6,FALSE)+main!$D$57,0)</f>
        <v>0</v>
      </c>
      <c r="AR109">
        <f>IF((phi!AR54),VLOOKUP(AR$1,main!$A$3:$I$56,5,FALSE)-VLOOKUP($A109,main!$A$3:$I$56,6,FALSE)+main!$D$57,0)</f>
        <v>0</v>
      </c>
      <c r="AS109">
        <f>IF((phi!AS54),VLOOKUP(AS$1,main!$A$3:$I$56,5,FALSE)-VLOOKUP($A109,main!$A$3:$I$56,6,FALSE)+main!$D$57,0)</f>
        <v>0</v>
      </c>
      <c r="AT109">
        <f>IF((phi!AT54),VLOOKUP(AT$1,main!$A$3:$I$56,5,FALSE)-VLOOKUP($A109,main!$A$3:$I$56,6,FALSE)+main!$D$57,0)</f>
        <v>0</v>
      </c>
      <c r="AU109">
        <f>IF((phi!AU54),VLOOKUP(AU$1,main!$A$3:$I$56,5,FALSE)-VLOOKUP($A109,main!$A$3:$I$56,6,FALSE)+main!$D$57,0)</f>
        <v>0</v>
      </c>
      <c r="AV109">
        <f>IF((phi!AV54),VLOOKUP(AV$1,main!$A$3:$I$56,5,FALSE)-VLOOKUP($A109,main!$A$3:$I$56,6,FALSE)+main!$D$57,0)</f>
        <v>0</v>
      </c>
      <c r="AW109">
        <f>IF((phi!AW54),VLOOKUP(AW$1,main!$A$3:$I$56,5,FALSE)-VLOOKUP($A109,main!$A$3:$I$56,6,FALSE)+main!$D$57,0)</f>
        <v>0</v>
      </c>
      <c r="AX109">
        <f>IF((phi!AX54),VLOOKUP(AX$1,main!$A$3:$I$56,5,FALSE)-VLOOKUP($A109,main!$A$3:$I$56,6,FALSE)+main!$D$57,0)</f>
        <v>150</v>
      </c>
      <c r="AY109">
        <f>IF((phi!AY54),VLOOKUP(AY$1,main!$A$3:$I$56,5,FALSE)-VLOOKUP($A109,main!$A$3:$I$56,6,FALSE)+main!$D$57,0)</f>
        <v>350</v>
      </c>
      <c r="AZ109">
        <f>IF((phi!AZ54),VLOOKUP(AZ$1,main!$A$3:$I$56,5,FALSE)-VLOOKUP($A109,main!$A$3:$I$56,6,FALSE)+main!$D$57,0)</f>
        <v>0</v>
      </c>
      <c r="BA109">
        <f>IF((phi!BA54),VLOOKUP(BA$1,main!$A$3:$I$56,5,FALSE)-VLOOKUP($A109,main!$A$3:$I$56,6,FALSE)+main!$D$57,0)</f>
        <v>0</v>
      </c>
      <c r="BB109">
        <f>IF((phi!BB54),VLOOKUP(BB$1,main!$A$3:$I$56,5,FALSE)-VLOOKUP($A109,main!$A$3:$I$56,6,FALSE)+main!$D$57,0)</f>
        <v>0</v>
      </c>
      <c r="BC109">
        <f>IF((phi!BC54),VLOOKUP(BC$1,main!$A$3:$I$56,5,FALSE)-VLOOKUP($A109,main!$A$3:$I$56,6,FALSE)+main!$D$57,0)</f>
        <v>0</v>
      </c>
      <c r="BD109">
        <f>IF((phi!BD54),VLOOKUP(BD$1,main!$A$3:$I$56,5,FALSE)-VLOOKUP($A109,main!$A$3:$I$56,6,FALSE)+main!$D$57,0)</f>
        <v>0</v>
      </c>
    </row>
    <row r="110" spans="1:56" x14ac:dyDescent="0.25">
      <c r="A110">
        <f t="shared" si="3"/>
        <v>53</v>
      </c>
      <c r="B110">
        <v>0</v>
      </c>
      <c r="C110">
        <f>IF((phi!C55),VLOOKUP(C$1,main!$A$3:$I$56,5,FALSE)-VLOOKUP($A110,main!$A$3:$I$56,6,FALSE)+main!$D$57,0)</f>
        <v>0</v>
      </c>
      <c r="D110">
        <f>IF((phi!D55),VLOOKUP(D$1,main!$A$3:$I$56,5,FALSE)-VLOOKUP($A110,main!$A$3:$I$56,6,FALSE)+main!$D$57,0)</f>
        <v>0</v>
      </c>
      <c r="E110">
        <f>IF((phi!E55),VLOOKUP(E$1,main!$A$3:$I$56,5,FALSE)-VLOOKUP($A110,main!$A$3:$I$56,6,FALSE)+main!$D$57,0)</f>
        <v>0</v>
      </c>
      <c r="F110">
        <f>IF((phi!F55),VLOOKUP(F$1,main!$A$3:$I$56,5,FALSE)-VLOOKUP($A110,main!$A$3:$I$56,6,FALSE)+main!$D$57,0)</f>
        <v>0</v>
      </c>
      <c r="G110">
        <f>IF((phi!G55),VLOOKUP(G$1,main!$A$3:$I$56,5,FALSE)-VLOOKUP($A110,main!$A$3:$I$56,6,FALSE)+main!$D$57,0)</f>
        <v>0</v>
      </c>
      <c r="H110">
        <f>IF((phi!H55),VLOOKUP(H$1,main!$A$3:$I$56,5,FALSE)-VLOOKUP($A110,main!$A$3:$I$56,6,FALSE)+main!$D$57,0)</f>
        <v>0</v>
      </c>
      <c r="I110">
        <f>IF((phi!I55),VLOOKUP(I$1,main!$A$3:$I$56,5,FALSE)-VLOOKUP($A110,main!$A$3:$I$56,6,FALSE)+main!$D$57,0)</f>
        <v>0</v>
      </c>
      <c r="J110">
        <f>IF((phi!J55),VLOOKUP(J$1,main!$A$3:$I$56,5,FALSE)-VLOOKUP($A110,main!$A$3:$I$56,6,FALSE)+main!$D$57,0)</f>
        <v>140</v>
      </c>
      <c r="K110">
        <f>IF((phi!K55),VLOOKUP(K$1,main!$A$3:$I$56,5,FALSE)-VLOOKUP($A110,main!$A$3:$I$56,6,FALSE)+main!$D$57,0)</f>
        <v>0</v>
      </c>
      <c r="L110">
        <f>IF((phi!L55),VLOOKUP(L$1,main!$A$3:$I$56,5,FALSE)-VLOOKUP($A110,main!$A$3:$I$56,6,FALSE)+main!$D$57,0)</f>
        <v>0</v>
      </c>
      <c r="M110">
        <f>IF((phi!M55),VLOOKUP(M$1,main!$A$3:$I$56,5,FALSE)-VLOOKUP($A110,main!$A$3:$I$56,6,FALSE)+main!$D$57,0)</f>
        <v>0</v>
      </c>
      <c r="N110">
        <f>IF((phi!N55),VLOOKUP(N$1,main!$A$3:$I$56,5,FALSE)-VLOOKUP($A110,main!$A$3:$I$56,6,FALSE)+main!$D$57,0)</f>
        <v>0</v>
      </c>
      <c r="O110">
        <f>IF((phi!O55),VLOOKUP(O$1,main!$A$3:$I$56,5,FALSE)-VLOOKUP($A110,main!$A$3:$I$56,6,FALSE)+main!$D$57,0)</f>
        <v>165</v>
      </c>
      <c r="P110">
        <f>IF((phi!P55),VLOOKUP(P$1,main!$A$3:$I$56,5,FALSE)-VLOOKUP($A110,main!$A$3:$I$56,6,FALSE)+main!$D$57,0)</f>
        <v>0</v>
      </c>
      <c r="Q110">
        <f>IF((phi!Q55),VLOOKUP(Q$1,main!$A$3:$I$56,5,FALSE)-VLOOKUP($A110,main!$A$3:$I$56,6,FALSE)+main!$D$57,0)</f>
        <v>0</v>
      </c>
      <c r="R110">
        <f>IF((phi!R55),VLOOKUP(R$1,main!$A$3:$I$56,5,FALSE)-VLOOKUP($A110,main!$A$3:$I$56,6,FALSE)+main!$D$57,0)</f>
        <v>0</v>
      </c>
      <c r="S110">
        <f>IF((phi!S55),VLOOKUP(S$1,main!$A$3:$I$56,5,FALSE)-VLOOKUP($A110,main!$A$3:$I$56,6,FALSE)+main!$D$57,0)</f>
        <v>0</v>
      </c>
      <c r="T110">
        <f>IF((phi!T55),VLOOKUP(T$1,main!$A$3:$I$56,5,FALSE)-VLOOKUP($A110,main!$A$3:$I$56,6,FALSE)+main!$D$57,0)</f>
        <v>0</v>
      </c>
      <c r="U110">
        <f>IF((phi!U55),VLOOKUP(U$1,main!$A$3:$I$56,5,FALSE)-VLOOKUP($A110,main!$A$3:$I$56,6,FALSE)+main!$D$57,0)</f>
        <v>0</v>
      </c>
      <c r="V110">
        <f>IF((phi!V55),VLOOKUP(V$1,main!$A$3:$I$56,5,FALSE)-VLOOKUP($A110,main!$A$3:$I$56,6,FALSE)+main!$D$57,0)</f>
        <v>0</v>
      </c>
      <c r="W110">
        <f>IF((phi!W55),VLOOKUP(W$1,main!$A$3:$I$56,5,FALSE)-VLOOKUP($A110,main!$A$3:$I$56,6,FALSE)+main!$D$57,0)</f>
        <v>0</v>
      </c>
      <c r="X110">
        <f>IF((phi!X55),VLOOKUP(X$1,main!$A$3:$I$56,5,FALSE)-VLOOKUP($A110,main!$A$3:$I$56,6,FALSE)+main!$D$57,0)</f>
        <v>0</v>
      </c>
      <c r="Y110">
        <f>IF((phi!Y55),VLOOKUP(Y$1,main!$A$3:$I$56,5,FALSE)-VLOOKUP($A110,main!$A$3:$I$56,6,FALSE)+main!$D$57,0)</f>
        <v>0</v>
      </c>
      <c r="Z110">
        <f>IF((phi!Z55),VLOOKUP(Z$1,main!$A$3:$I$56,5,FALSE)-VLOOKUP($A110,main!$A$3:$I$56,6,FALSE)+main!$D$57,0)</f>
        <v>0</v>
      </c>
      <c r="AA110">
        <f>IF((phi!AA55),VLOOKUP(AA$1,main!$A$3:$I$56,5,FALSE)-VLOOKUP($A110,main!$A$3:$I$56,6,FALSE)+main!$D$57,0)</f>
        <v>0</v>
      </c>
      <c r="AB110">
        <f>IF((phi!AB55),VLOOKUP(AB$1,main!$A$3:$I$56,5,FALSE)-VLOOKUP($A110,main!$A$3:$I$56,6,FALSE)+main!$D$57,0)</f>
        <v>0</v>
      </c>
      <c r="AC110">
        <f>IF((phi!AC55),VLOOKUP(AC$1,main!$A$3:$I$56,5,FALSE)-VLOOKUP($A110,main!$A$3:$I$56,6,FALSE)+main!$D$57,0)</f>
        <v>0</v>
      </c>
      <c r="AD110">
        <f>IF((phi!AD55),VLOOKUP(AD$1,main!$A$3:$I$56,5,FALSE)-VLOOKUP($A110,main!$A$3:$I$56,6,FALSE)+main!$D$57,0)</f>
        <v>0</v>
      </c>
      <c r="AE110">
        <f>IF((phi!AE55),VLOOKUP(AE$1,main!$A$3:$I$56,5,FALSE)-VLOOKUP($A110,main!$A$3:$I$56,6,FALSE)+main!$D$57,0)</f>
        <v>0</v>
      </c>
      <c r="AF110">
        <f>IF((phi!AF55),VLOOKUP(AF$1,main!$A$3:$I$56,5,FALSE)-VLOOKUP($A110,main!$A$3:$I$56,6,FALSE)+main!$D$57,0)</f>
        <v>0</v>
      </c>
      <c r="AG110">
        <f>IF((phi!AG55),VLOOKUP(AG$1,main!$A$3:$I$56,5,FALSE)-VLOOKUP($A110,main!$A$3:$I$56,6,FALSE)+main!$D$57,0)</f>
        <v>0</v>
      </c>
      <c r="AH110">
        <f>IF((phi!AH55),VLOOKUP(AH$1,main!$A$3:$I$56,5,FALSE)-VLOOKUP($A110,main!$A$3:$I$56,6,FALSE)+main!$D$57,0)</f>
        <v>0</v>
      </c>
      <c r="AI110">
        <f>IF((phi!AI55),VLOOKUP(AI$1,main!$A$3:$I$56,5,FALSE)-VLOOKUP($A110,main!$A$3:$I$56,6,FALSE)+main!$D$57,0)</f>
        <v>0</v>
      </c>
      <c r="AJ110">
        <f>IF((phi!AJ55),VLOOKUP(AJ$1,main!$A$3:$I$56,5,FALSE)-VLOOKUP($A110,main!$A$3:$I$56,6,FALSE)+main!$D$57,0)</f>
        <v>0</v>
      </c>
      <c r="AK110">
        <f>IF((phi!AK55),VLOOKUP(AK$1,main!$A$3:$I$56,5,FALSE)-VLOOKUP($A110,main!$A$3:$I$56,6,FALSE)+main!$D$57,0)</f>
        <v>0</v>
      </c>
      <c r="AL110">
        <f>IF((phi!AL55),VLOOKUP(AL$1,main!$A$3:$I$56,5,FALSE)-VLOOKUP($A110,main!$A$3:$I$56,6,FALSE)+main!$D$57,0)</f>
        <v>0</v>
      </c>
      <c r="AM110">
        <f>IF((phi!AM55),VLOOKUP(AM$1,main!$A$3:$I$56,5,FALSE)-VLOOKUP($A110,main!$A$3:$I$56,6,FALSE)+main!$D$57,0)</f>
        <v>0</v>
      </c>
      <c r="AN110">
        <f>IF((phi!AN55),VLOOKUP(AN$1,main!$A$3:$I$56,5,FALSE)-VLOOKUP($A110,main!$A$3:$I$56,6,FALSE)+main!$D$57,0)</f>
        <v>0</v>
      </c>
      <c r="AO110">
        <f>IF((phi!AO55),VLOOKUP(AO$1,main!$A$3:$I$56,5,FALSE)-VLOOKUP($A110,main!$A$3:$I$56,6,FALSE)+main!$D$57,0)</f>
        <v>0</v>
      </c>
      <c r="AP110">
        <f>IF((phi!AP55),VLOOKUP(AP$1,main!$A$3:$I$56,5,FALSE)-VLOOKUP($A110,main!$A$3:$I$56,6,FALSE)+main!$D$57,0)</f>
        <v>0</v>
      </c>
      <c r="AQ110">
        <f>IF((phi!AQ55),VLOOKUP(AQ$1,main!$A$3:$I$56,5,FALSE)-VLOOKUP($A110,main!$A$3:$I$56,6,FALSE)+main!$D$57,0)</f>
        <v>0</v>
      </c>
      <c r="AR110">
        <f>IF((phi!AR55),VLOOKUP(AR$1,main!$A$3:$I$56,5,FALSE)-VLOOKUP($A110,main!$A$3:$I$56,6,FALSE)+main!$D$57,0)</f>
        <v>0</v>
      </c>
      <c r="AS110">
        <f>IF((phi!AS55),VLOOKUP(AS$1,main!$A$3:$I$56,5,FALSE)-VLOOKUP($A110,main!$A$3:$I$56,6,FALSE)+main!$D$57,0)</f>
        <v>0</v>
      </c>
      <c r="AT110">
        <f>IF((phi!AT55),VLOOKUP(AT$1,main!$A$3:$I$56,5,FALSE)-VLOOKUP($A110,main!$A$3:$I$56,6,FALSE)+main!$D$57,0)</f>
        <v>0</v>
      </c>
      <c r="AU110">
        <f>IF((phi!AU55),VLOOKUP(AU$1,main!$A$3:$I$56,5,FALSE)-VLOOKUP($A110,main!$A$3:$I$56,6,FALSE)+main!$D$57,0)</f>
        <v>0</v>
      </c>
      <c r="AV110">
        <f>IF((phi!AV55),VLOOKUP(AV$1,main!$A$3:$I$56,5,FALSE)-VLOOKUP($A110,main!$A$3:$I$56,6,FALSE)+main!$D$57,0)</f>
        <v>0</v>
      </c>
      <c r="AW110">
        <f>IF((phi!AW55),VLOOKUP(AW$1,main!$A$3:$I$56,5,FALSE)-VLOOKUP($A110,main!$A$3:$I$56,6,FALSE)+main!$D$57,0)</f>
        <v>0</v>
      </c>
      <c r="AX110">
        <f>IF((phi!AX55),VLOOKUP(AX$1,main!$A$3:$I$56,5,FALSE)-VLOOKUP($A110,main!$A$3:$I$56,6,FALSE)+main!$D$57,0)</f>
        <v>0</v>
      </c>
      <c r="AY110">
        <f>IF((phi!AY55),VLOOKUP(AY$1,main!$A$3:$I$56,5,FALSE)-VLOOKUP($A110,main!$A$3:$I$56,6,FALSE)+main!$D$57,0)</f>
        <v>150</v>
      </c>
      <c r="AZ110">
        <f>IF((phi!AZ55),VLOOKUP(AZ$1,main!$A$3:$I$56,5,FALSE)-VLOOKUP($A110,main!$A$3:$I$56,6,FALSE)+main!$D$57,0)</f>
        <v>0</v>
      </c>
      <c r="BA110">
        <f>IF((phi!BA55),VLOOKUP(BA$1,main!$A$3:$I$56,5,FALSE)-VLOOKUP($A110,main!$A$3:$I$56,6,FALSE)+main!$D$57,0)</f>
        <v>0</v>
      </c>
      <c r="BB110">
        <f>IF((phi!BB55),VLOOKUP(BB$1,main!$A$3:$I$56,5,FALSE)-VLOOKUP($A110,main!$A$3:$I$56,6,FALSE)+main!$D$57,0)</f>
        <v>0</v>
      </c>
      <c r="BC110">
        <f>IF((phi!BC55),VLOOKUP(BC$1,main!$A$3:$I$56,5,FALSE)-VLOOKUP($A110,main!$A$3:$I$56,6,FALSE)+main!$D$57,0)</f>
        <v>0</v>
      </c>
      <c r="BD110">
        <f>IF((phi!BD55),VLOOKUP(BD$1,main!$A$3:$I$56,5,FALSE)-VLOOKUP($A110,main!$A$3:$I$56,6,FALSE)+main!$D$57,0)</f>
        <v>0</v>
      </c>
    </row>
    <row r="111" spans="1:56" x14ac:dyDescent="0.25">
      <c r="A111">
        <f t="shared" si="3"/>
        <v>54</v>
      </c>
      <c r="B111">
        <v>0</v>
      </c>
      <c r="C111">
        <f>IF((phi!C56),VLOOKUP(C$1,main!$A$3:$I$56,5,FALSE)-VLOOKUP($A111,main!$A$3:$I$56,6,FALSE)+main!$D$57,0)</f>
        <v>0</v>
      </c>
      <c r="D111">
        <f>IF((phi!D56),VLOOKUP(D$1,main!$A$3:$I$56,5,FALSE)-VLOOKUP($A111,main!$A$3:$I$56,6,FALSE)+main!$D$57,0)</f>
        <v>0</v>
      </c>
      <c r="E111">
        <f>IF((phi!E56),VLOOKUP(E$1,main!$A$3:$I$56,5,FALSE)-VLOOKUP($A111,main!$A$3:$I$56,6,FALSE)+main!$D$57,0)</f>
        <v>0</v>
      </c>
      <c r="F111">
        <f>IF((phi!F56),VLOOKUP(F$1,main!$A$3:$I$56,5,FALSE)-VLOOKUP($A111,main!$A$3:$I$56,6,FALSE)+main!$D$57,0)</f>
        <v>0</v>
      </c>
      <c r="G111">
        <f>IF((phi!G56),VLOOKUP(G$1,main!$A$3:$I$56,5,FALSE)-VLOOKUP($A111,main!$A$3:$I$56,6,FALSE)+main!$D$57,0)</f>
        <v>0</v>
      </c>
      <c r="H111">
        <f>IF((phi!H56),VLOOKUP(H$1,main!$A$3:$I$56,5,FALSE)-VLOOKUP($A111,main!$A$3:$I$56,6,FALSE)+main!$D$57,0)</f>
        <v>0</v>
      </c>
      <c r="I111">
        <f>IF((phi!I56),VLOOKUP(I$1,main!$A$3:$I$56,5,FALSE)-VLOOKUP($A111,main!$A$3:$I$56,6,FALSE)+main!$D$57,0)</f>
        <v>0</v>
      </c>
      <c r="J111">
        <f>IF((phi!J56),VLOOKUP(J$1,main!$A$3:$I$56,5,FALSE)-VLOOKUP($A111,main!$A$3:$I$56,6,FALSE)+main!$D$57,0)</f>
        <v>130</v>
      </c>
      <c r="K111">
        <f>IF((phi!K56),VLOOKUP(K$1,main!$A$3:$I$56,5,FALSE)-VLOOKUP($A111,main!$A$3:$I$56,6,FALSE)+main!$D$57,0)</f>
        <v>0</v>
      </c>
      <c r="L111">
        <f>IF((phi!L56),VLOOKUP(L$1,main!$A$3:$I$56,5,FALSE)-VLOOKUP($A111,main!$A$3:$I$56,6,FALSE)+main!$D$57,0)</f>
        <v>0</v>
      </c>
      <c r="M111">
        <f>IF((phi!M56),VLOOKUP(M$1,main!$A$3:$I$56,5,FALSE)-VLOOKUP($A111,main!$A$3:$I$56,6,FALSE)+main!$D$57,0)</f>
        <v>0</v>
      </c>
      <c r="N111">
        <f>IF((phi!N56),VLOOKUP(N$1,main!$A$3:$I$56,5,FALSE)-VLOOKUP($A111,main!$A$3:$I$56,6,FALSE)+main!$D$57,0)</f>
        <v>0</v>
      </c>
      <c r="O111">
        <f>IF((phi!O56),VLOOKUP(O$1,main!$A$3:$I$56,5,FALSE)-VLOOKUP($A111,main!$A$3:$I$56,6,FALSE)+main!$D$57,0)</f>
        <v>155</v>
      </c>
      <c r="P111">
        <f>IF((phi!P56),VLOOKUP(P$1,main!$A$3:$I$56,5,FALSE)-VLOOKUP($A111,main!$A$3:$I$56,6,FALSE)+main!$D$57,0)</f>
        <v>0</v>
      </c>
      <c r="Q111">
        <f>IF((phi!Q56),VLOOKUP(Q$1,main!$A$3:$I$56,5,FALSE)-VLOOKUP($A111,main!$A$3:$I$56,6,FALSE)+main!$D$57,0)</f>
        <v>0</v>
      </c>
      <c r="R111">
        <f>IF((phi!R56),VLOOKUP(R$1,main!$A$3:$I$56,5,FALSE)-VLOOKUP($A111,main!$A$3:$I$56,6,FALSE)+main!$D$57,0)</f>
        <v>0</v>
      </c>
      <c r="S111">
        <f>IF((phi!S56),VLOOKUP(S$1,main!$A$3:$I$56,5,FALSE)-VLOOKUP($A111,main!$A$3:$I$56,6,FALSE)+main!$D$57,0)</f>
        <v>0</v>
      </c>
      <c r="T111">
        <f>IF((phi!T56),VLOOKUP(T$1,main!$A$3:$I$56,5,FALSE)-VLOOKUP($A111,main!$A$3:$I$56,6,FALSE)+main!$D$57,0)</f>
        <v>0</v>
      </c>
      <c r="U111">
        <f>IF((phi!U56),VLOOKUP(U$1,main!$A$3:$I$56,5,FALSE)-VLOOKUP($A111,main!$A$3:$I$56,6,FALSE)+main!$D$57,0)</f>
        <v>0</v>
      </c>
      <c r="V111">
        <f>IF((phi!V56),VLOOKUP(V$1,main!$A$3:$I$56,5,FALSE)-VLOOKUP($A111,main!$A$3:$I$56,6,FALSE)+main!$D$57,0)</f>
        <v>0</v>
      </c>
      <c r="W111">
        <f>IF((phi!W56),VLOOKUP(W$1,main!$A$3:$I$56,5,FALSE)-VLOOKUP($A111,main!$A$3:$I$56,6,FALSE)+main!$D$57,0)</f>
        <v>0</v>
      </c>
      <c r="X111">
        <f>IF((phi!X56),VLOOKUP(X$1,main!$A$3:$I$56,5,FALSE)-VLOOKUP($A111,main!$A$3:$I$56,6,FALSE)+main!$D$57,0)</f>
        <v>0</v>
      </c>
      <c r="Y111">
        <f>IF((phi!Y56),VLOOKUP(Y$1,main!$A$3:$I$56,5,FALSE)-VLOOKUP($A111,main!$A$3:$I$56,6,FALSE)+main!$D$57,0)</f>
        <v>0</v>
      </c>
      <c r="Z111">
        <f>IF((phi!Z56),VLOOKUP(Z$1,main!$A$3:$I$56,5,FALSE)-VLOOKUP($A111,main!$A$3:$I$56,6,FALSE)+main!$D$57,0)</f>
        <v>0</v>
      </c>
      <c r="AA111">
        <f>IF((phi!AA56),VLOOKUP(AA$1,main!$A$3:$I$56,5,FALSE)-VLOOKUP($A111,main!$A$3:$I$56,6,FALSE)+main!$D$57,0)</f>
        <v>0</v>
      </c>
      <c r="AB111">
        <f>IF((phi!AB56),VLOOKUP(AB$1,main!$A$3:$I$56,5,FALSE)-VLOOKUP($A111,main!$A$3:$I$56,6,FALSE)+main!$D$57,0)</f>
        <v>0</v>
      </c>
      <c r="AC111">
        <f>IF((phi!AC56),VLOOKUP(AC$1,main!$A$3:$I$56,5,FALSE)-VLOOKUP($A111,main!$A$3:$I$56,6,FALSE)+main!$D$57,0)</f>
        <v>0</v>
      </c>
      <c r="AD111">
        <f>IF((phi!AD56),VLOOKUP(AD$1,main!$A$3:$I$56,5,FALSE)-VLOOKUP($A111,main!$A$3:$I$56,6,FALSE)+main!$D$57,0)</f>
        <v>0</v>
      </c>
      <c r="AE111">
        <f>IF((phi!AE56),VLOOKUP(AE$1,main!$A$3:$I$56,5,FALSE)-VLOOKUP($A111,main!$A$3:$I$56,6,FALSE)+main!$D$57,0)</f>
        <v>0</v>
      </c>
      <c r="AF111">
        <f>IF((phi!AF56),VLOOKUP(AF$1,main!$A$3:$I$56,5,FALSE)-VLOOKUP($A111,main!$A$3:$I$56,6,FALSE)+main!$D$57,0)</f>
        <v>0</v>
      </c>
      <c r="AG111">
        <f>IF((phi!AG56),VLOOKUP(AG$1,main!$A$3:$I$56,5,FALSE)-VLOOKUP($A111,main!$A$3:$I$56,6,FALSE)+main!$D$57,0)</f>
        <v>0</v>
      </c>
      <c r="AH111">
        <f>IF((phi!AH56),VLOOKUP(AH$1,main!$A$3:$I$56,5,FALSE)-VLOOKUP($A111,main!$A$3:$I$56,6,FALSE)+main!$D$57,0)</f>
        <v>0</v>
      </c>
      <c r="AI111">
        <f>IF((phi!AI56),VLOOKUP(AI$1,main!$A$3:$I$56,5,FALSE)-VLOOKUP($A111,main!$A$3:$I$56,6,FALSE)+main!$D$57,0)</f>
        <v>0</v>
      </c>
      <c r="AJ111">
        <f>IF((phi!AJ56),VLOOKUP(AJ$1,main!$A$3:$I$56,5,FALSE)-VLOOKUP($A111,main!$A$3:$I$56,6,FALSE)+main!$D$57,0)</f>
        <v>0</v>
      </c>
      <c r="AK111">
        <f>IF((phi!AK56),VLOOKUP(AK$1,main!$A$3:$I$56,5,FALSE)-VLOOKUP($A111,main!$A$3:$I$56,6,FALSE)+main!$D$57,0)</f>
        <v>0</v>
      </c>
      <c r="AL111">
        <f>IF((phi!AL56),VLOOKUP(AL$1,main!$A$3:$I$56,5,FALSE)-VLOOKUP($A111,main!$A$3:$I$56,6,FALSE)+main!$D$57,0)</f>
        <v>0</v>
      </c>
      <c r="AM111">
        <f>IF((phi!AM56),VLOOKUP(AM$1,main!$A$3:$I$56,5,FALSE)-VLOOKUP($A111,main!$A$3:$I$56,6,FALSE)+main!$D$57,0)</f>
        <v>0</v>
      </c>
      <c r="AN111">
        <f>IF((phi!AN56),VLOOKUP(AN$1,main!$A$3:$I$56,5,FALSE)-VLOOKUP($A111,main!$A$3:$I$56,6,FALSE)+main!$D$57,0)</f>
        <v>0</v>
      </c>
      <c r="AO111">
        <f>IF((phi!AO56),VLOOKUP(AO$1,main!$A$3:$I$56,5,FALSE)-VLOOKUP($A111,main!$A$3:$I$56,6,FALSE)+main!$D$57,0)</f>
        <v>0</v>
      </c>
      <c r="AP111">
        <f>IF((phi!AP56),VLOOKUP(AP$1,main!$A$3:$I$56,5,FALSE)-VLOOKUP($A111,main!$A$3:$I$56,6,FALSE)+main!$D$57,0)</f>
        <v>0</v>
      </c>
      <c r="AQ111">
        <f>IF((phi!AQ56),VLOOKUP(AQ$1,main!$A$3:$I$56,5,FALSE)-VLOOKUP($A111,main!$A$3:$I$56,6,FALSE)+main!$D$57,0)</f>
        <v>0</v>
      </c>
      <c r="AR111">
        <f>IF((phi!AR56),VLOOKUP(AR$1,main!$A$3:$I$56,5,FALSE)-VLOOKUP($A111,main!$A$3:$I$56,6,FALSE)+main!$D$57,0)</f>
        <v>0</v>
      </c>
      <c r="AS111">
        <f>IF((phi!AS56),VLOOKUP(AS$1,main!$A$3:$I$56,5,FALSE)-VLOOKUP($A111,main!$A$3:$I$56,6,FALSE)+main!$D$57,0)</f>
        <v>0</v>
      </c>
      <c r="AT111">
        <f>IF((phi!AT56),VLOOKUP(AT$1,main!$A$3:$I$56,5,FALSE)-VLOOKUP($A111,main!$A$3:$I$56,6,FALSE)+main!$D$57,0)</f>
        <v>0</v>
      </c>
      <c r="AU111">
        <f>IF((phi!AU56),VLOOKUP(AU$1,main!$A$3:$I$56,5,FALSE)-VLOOKUP($A111,main!$A$3:$I$56,6,FALSE)+main!$D$57,0)</f>
        <v>0</v>
      </c>
      <c r="AV111">
        <f>IF((phi!AV56),VLOOKUP(AV$1,main!$A$3:$I$56,5,FALSE)-VLOOKUP($A111,main!$A$3:$I$56,6,FALSE)+main!$D$57,0)</f>
        <v>0</v>
      </c>
      <c r="AW111">
        <f>IF((phi!AW56),VLOOKUP(AW$1,main!$A$3:$I$56,5,FALSE)-VLOOKUP($A111,main!$A$3:$I$56,6,FALSE)+main!$D$57,0)</f>
        <v>0</v>
      </c>
      <c r="AX111">
        <f>IF((phi!AX56),VLOOKUP(AX$1,main!$A$3:$I$56,5,FALSE)-VLOOKUP($A111,main!$A$3:$I$56,6,FALSE)+main!$D$57,0)</f>
        <v>0</v>
      </c>
      <c r="AY111">
        <f>IF((phi!AY56),VLOOKUP(AY$1,main!$A$3:$I$56,5,FALSE)-VLOOKUP($A111,main!$A$3:$I$56,6,FALSE)+main!$D$57,0)</f>
        <v>140</v>
      </c>
      <c r="AZ111">
        <f>IF((phi!AZ56),VLOOKUP(AZ$1,main!$A$3:$I$56,5,FALSE)-VLOOKUP($A111,main!$A$3:$I$56,6,FALSE)+main!$D$57,0)</f>
        <v>0</v>
      </c>
      <c r="BA111">
        <f>IF((phi!BA56),VLOOKUP(BA$1,main!$A$3:$I$56,5,FALSE)-VLOOKUP($A111,main!$A$3:$I$56,6,FALSE)+main!$D$57,0)</f>
        <v>0</v>
      </c>
      <c r="BB111">
        <f>IF((phi!BB56),VLOOKUP(BB$1,main!$A$3:$I$56,5,FALSE)-VLOOKUP($A111,main!$A$3:$I$56,6,FALSE)+main!$D$57,0)</f>
        <v>0</v>
      </c>
      <c r="BC111">
        <f>IF((phi!BC56),VLOOKUP(BC$1,main!$A$3:$I$56,5,FALSE)-VLOOKUP($A111,main!$A$3:$I$56,6,FALSE)+main!$D$57,0)</f>
        <v>0</v>
      </c>
      <c r="BD111">
        <f>IF((phi!BD56),VLOOKUP(BD$1,main!$A$3:$I$56,5,FALSE)-VLOOKUP($A111,main!$A$3:$I$56,6,FALSE)+main!$D$57,0)</f>
        <v>0</v>
      </c>
    </row>
    <row r="112" spans="1: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>
        <f>A112+1</f>
        <v>1</v>
      </c>
      <c r="B113">
        <v>0</v>
      </c>
      <c r="C113">
        <f>IF((phi!C58),VLOOKUP(C$1,main!$A$3:$I$56,5,FALSE)-VLOOKUP($A113,main!$A$3:$I$56,6,FALSE)+main!$D$58,0)</f>
        <v>0</v>
      </c>
      <c r="D113">
        <f>IF((phi!D58),VLOOKUP(D$1,main!$A$3:$I$56,5,FALSE)-VLOOKUP($A113,main!$A$3:$I$56,6,FALSE)+main!$D$58,0)</f>
        <v>0</v>
      </c>
      <c r="E113">
        <f>IF((phi!E58),VLOOKUP(E$1,main!$A$3:$I$56,5,FALSE)-VLOOKUP($A113,main!$A$3:$I$56,6,FALSE)+main!$D$58,0)</f>
        <v>185</v>
      </c>
      <c r="F113">
        <f>IF((phi!F58),VLOOKUP(F$1,main!$A$3:$I$56,5,FALSE)-VLOOKUP($A113,main!$A$3:$I$56,6,FALSE)+main!$D$58,0)</f>
        <v>275</v>
      </c>
      <c r="G113">
        <f>IF((phi!G58),VLOOKUP(G$1,main!$A$3:$I$56,5,FALSE)-VLOOKUP($A113,main!$A$3:$I$56,6,FALSE)+main!$D$58,0)</f>
        <v>335</v>
      </c>
      <c r="H113">
        <f>IF((phi!H58),VLOOKUP(H$1,main!$A$3:$I$56,5,FALSE)-VLOOKUP($A113,main!$A$3:$I$56,6,FALSE)+main!$D$58,0)</f>
        <v>395</v>
      </c>
      <c r="I113">
        <f>IF((phi!I58),VLOOKUP(I$1,main!$A$3:$I$56,5,FALSE)-VLOOKUP($A113,main!$A$3:$I$56,6,FALSE)+main!$D$58,0)</f>
        <v>455</v>
      </c>
      <c r="J113">
        <f>IF((phi!J58),VLOOKUP(J$1,main!$A$3:$I$56,5,FALSE)-VLOOKUP($A113,main!$A$3:$I$56,6,FALSE)+main!$D$58,0)</f>
        <v>545</v>
      </c>
      <c r="K113">
        <f>IF((phi!K58),VLOOKUP(K$1,main!$A$3:$I$56,5,FALSE)-VLOOKUP($A113,main!$A$3:$I$56,6,FALSE)+main!$D$58,0)</f>
        <v>0</v>
      </c>
      <c r="L113">
        <f>IF((phi!L58),VLOOKUP(L$1,main!$A$3:$I$56,5,FALSE)-VLOOKUP($A113,main!$A$3:$I$56,6,FALSE)+main!$D$58,0)</f>
        <v>0</v>
      </c>
      <c r="M113">
        <f>IF((phi!M58),VLOOKUP(M$1,main!$A$3:$I$56,5,FALSE)-VLOOKUP($A113,main!$A$3:$I$56,6,FALSE)+main!$D$58,0)</f>
        <v>150</v>
      </c>
      <c r="N113">
        <f>IF((phi!N58),VLOOKUP(N$1,main!$A$3:$I$56,5,FALSE)-VLOOKUP($A113,main!$A$3:$I$56,6,FALSE)+main!$D$58,0)</f>
        <v>510</v>
      </c>
      <c r="O113">
        <f>IF((phi!O58),VLOOKUP(O$1,main!$A$3:$I$56,5,FALSE)-VLOOKUP($A113,main!$A$3:$I$56,6,FALSE)+main!$D$58,0)</f>
        <v>570</v>
      </c>
      <c r="P113">
        <f>IF((phi!P58),VLOOKUP(P$1,main!$A$3:$I$56,5,FALSE)-VLOOKUP($A113,main!$A$3:$I$56,6,FALSE)+main!$D$58,0)</f>
        <v>0</v>
      </c>
      <c r="Q113">
        <f>IF((phi!Q58),VLOOKUP(Q$1,main!$A$3:$I$56,5,FALSE)-VLOOKUP($A113,main!$A$3:$I$56,6,FALSE)+main!$D$58,0)</f>
        <v>0</v>
      </c>
      <c r="R113">
        <f>IF((phi!R58),VLOOKUP(R$1,main!$A$3:$I$56,5,FALSE)-VLOOKUP($A113,main!$A$3:$I$56,6,FALSE)+main!$D$58,0)</f>
        <v>145</v>
      </c>
      <c r="S113">
        <f>IF((phi!S58),VLOOKUP(S$1,main!$A$3:$I$56,5,FALSE)-VLOOKUP($A113,main!$A$3:$I$56,6,FALSE)+main!$D$58,0)</f>
        <v>325</v>
      </c>
      <c r="T113">
        <f>IF((phi!T58),VLOOKUP(T$1,main!$A$3:$I$56,5,FALSE)-VLOOKUP($A113,main!$A$3:$I$56,6,FALSE)+main!$D$58,0)</f>
        <v>475</v>
      </c>
      <c r="U113">
        <f>IF((phi!U58),VLOOKUP(U$1,main!$A$3:$I$56,5,FALSE)-VLOOKUP($A113,main!$A$3:$I$56,6,FALSE)+main!$D$58,0)</f>
        <v>0</v>
      </c>
      <c r="V113">
        <f>IF((phi!V58),VLOOKUP(V$1,main!$A$3:$I$56,5,FALSE)-VLOOKUP($A113,main!$A$3:$I$56,6,FALSE)+main!$D$58,0)</f>
        <v>0</v>
      </c>
      <c r="W113">
        <f>IF((phi!W58),VLOOKUP(W$1,main!$A$3:$I$56,5,FALSE)-VLOOKUP($A113,main!$A$3:$I$56,6,FALSE)+main!$D$58,0)</f>
        <v>0</v>
      </c>
      <c r="X113">
        <f>IF((phi!X58),VLOOKUP(X$1,main!$A$3:$I$56,5,FALSE)-VLOOKUP($A113,main!$A$3:$I$56,6,FALSE)+main!$D$58,0)</f>
        <v>0</v>
      </c>
      <c r="Y113">
        <f>IF((phi!Y58),VLOOKUP(Y$1,main!$A$3:$I$56,5,FALSE)-VLOOKUP($A113,main!$A$3:$I$56,6,FALSE)+main!$D$58,0)</f>
        <v>255</v>
      </c>
      <c r="Z113">
        <f>IF((phi!Z58),VLOOKUP(Z$1,main!$A$3:$I$56,5,FALSE)-VLOOKUP($A113,main!$A$3:$I$56,6,FALSE)+main!$D$58,0)</f>
        <v>345</v>
      </c>
      <c r="AA113">
        <f>IF((phi!AA58),VLOOKUP(AA$1,main!$A$3:$I$56,5,FALSE)-VLOOKUP($A113,main!$A$3:$I$56,6,FALSE)+main!$D$58,0)</f>
        <v>435</v>
      </c>
      <c r="AB113">
        <f>IF((phi!AB58),VLOOKUP(AB$1,main!$A$3:$I$56,5,FALSE)-VLOOKUP($A113,main!$A$3:$I$56,6,FALSE)+main!$D$58,0)</f>
        <v>495</v>
      </c>
      <c r="AC113">
        <f>IF((phi!AC58),VLOOKUP(AC$1,main!$A$3:$I$56,5,FALSE)-VLOOKUP($A113,main!$A$3:$I$56,6,FALSE)+main!$D$58,0)</f>
        <v>0</v>
      </c>
      <c r="AD113">
        <f>IF((phi!AD58),VLOOKUP(AD$1,main!$A$3:$I$56,5,FALSE)-VLOOKUP($A113,main!$A$3:$I$56,6,FALSE)+main!$D$58,0)</f>
        <v>0</v>
      </c>
      <c r="AE113">
        <f>IF((phi!AE58),VLOOKUP(AE$1,main!$A$3:$I$56,5,FALSE)-VLOOKUP($A113,main!$A$3:$I$56,6,FALSE)+main!$D$58,0)</f>
        <v>0</v>
      </c>
      <c r="AF113">
        <f>IF((phi!AF58),VLOOKUP(AF$1,main!$A$3:$I$56,5,FALSE)-VLOOKUP($A113,main!$A$3:$I$56,6,FALSE)+main!$D$58,0)</f>
        <v>305</v>
      </c>
      <c r="AG113">
        <f>IF((phi!AG58),VLOOKUP(AG$1,main!$A$3:$I$56,5,FALSE)-VLOOKUP($A113,main!$A$3:$I$56,6,FALSE)+main!$D$58,0)</f>
        <v>0</v>
      </c>
      <c r="AH113">
        <f>IF((phi!AH58),VLOOKUP(AH$1,main!$A$3:$I$56,5,FALSE)-VLOOKUP($A113,main!$A$3:$I$56,6,FALSE)+main!$D$58,0)</f>
        <v>0</v>
      </c>
      <c r="AI113">
        <f>IF((phi!AI58),VLOOKUP(AI$1,main!$A$3:$I$56,5,FALSE)-VLOOKUP($A113,main!$A$3:$I$56,6,FALSE)+main!$D$58,0)</f>
        <v>0</v>
      </c>
      <c r="AJ113">
        <f>IF((phi!AJ58),VLOOKUP(AJ$1,main!$A$3:$I$56,5,FALSE)-VLOOKUP($A113,main!$A$3:$I$56,6,FALSE)+main!$D$58,0)</f>
        <v>275</v>
      </c>
      <c r="AK113">
        <f>IF((phi!AK58),VLOOKUP(AK$1,main!$A$3:$I$56,5,FALSE)-VLOOKUP($A113,main!$A$3:$I$56,6,FALSE)+main!$D$58,0)</f>
        <v>395</v>
      </c>
      <c r="AL113">
        <f>IF((phi!AL58),VLOOKUP(AL$1,main!$A$3:$I$56,5,FALSE)-VLOOKUP($A113,main!$A$3:$I$56,6,FALSE)+main!$D$58,0)</f>
        <v>0</v>
      </c>
      <c r="AM113">
        <f>IF((phi!AM58),VLOOKUP(AM$1,main!$A$3:$I$56,5,FALSE)-VLOOKUP($A113,main!$A$3:$I$56,6,FALSE)+main!$D$58,0)</f>
        <v>0</v>
      </c>
      <c r="AN113">
        <f>IF((phi!AN58),VLOOKUP(AN$1,main!$A$3:$I$56,5,FALSE)-VLOOKUP($A113,main!$A$3:$I$56,6,FALSE)+main!$D$58,0)</f>
        <v>255</v>
      </c>
      <c r="AO113">
        <f>IF((phi!AO58),VLOOKUP(AO$1,main!$A$3:$I$56,5,FALSE)-VLOOKUP($A113,main!$A$3:$I$56,6,FALSE)+main!$D$58,0)</f>
        <v>305</v>
      </c>
      <c r="AP113">
        <f>IF((phi!AP58),VLOOKUP(AP$1,main!$A$3:$I$56,5,FALSE)-VLOOKUP($A113,main!$A$3:$I$56,6,FALSE)+main!$D$58,0)</f>
        <v>0</v>
      </c>
      <c r="AQ113">
        <f>IF((phi!AQ58),VLOOKUP(AQ$1,main!$A$3:$I$56,5,FALSE)-VLOOKUP($A113,main!$A$3:$I$56,6,FALSE)+main!$D$58,0)</f>
        <v>0</v>
      </c>
      <c r="AR113">
        <f>IF((phi!AR58),VLOOKUP(AR$1,main!$A$3:$I$56,5,FALSE)-VLOOKUP($A113,main!$A$3:$I$56,6,FALSE)+main!$D$58,0)</f>
        <v>0</v>
      </c>
      <c r="AS113">
        <f>IF((phi!AS58),VLOOKUP(AS$1,main!$A$3:$I$56,5,FALSE)-VLOOKUP($A113,main!$A$3:$I$56,6,FALSE)+main!$D$58,0)</f>
        <v>0</v>
      </c>
      <c r="AT113">
        <f>IF((phi!AT58),VLOOKUP(AT$1,main!$A$3:$I$56,5,FALSE)-VLOOKUP($A113,main!$A$3:$I$56,6,FALSE)+main!$D$58,0)</f>
        <v>0</v>
      </c>
      <c r="AU113">
        <f>IF((phi!AU58),VLOOKUP(AU$1,main!$A$3:$I$56,5,FALSE)-VLOOKUP($A113,main!$A$3:$I$56,6,FALSE)+main!$D$58,0)</f>
        <v>0</v>
      </c>
      <c r="AV113">
        <f>IF((phi!AV58),VLOOKUP(AV$1,main!$A$3:$I$56,5,FALSE)-VLOOKUP($A113,main!$A$3:$I$56,6,FALSE)+main!$D$58,0)</f>
        <v>0</v>
      </c>
      <c r="AW113">
        <f>IF((phi!AW58),VLOOKUP(AW$1,main!$A$3:$I$56,5,FALSE)-VLOOKUP($A113,main!$A$3:$I$56,6,FALSE)+main!$D$58,0)</f>
        <v>0</v>
      </c>
      <c r="AX113">
        <f>IF((phi!AX58),VLOOKUP(AX$1,main!$A$3:$I$56,5,FALSE)-VLOOKUP($A113,main!$A$3:$I$56,6,FALSE)+main!$D$58,0)</f>
        <v>355</v>
      </c>
      <c r="AY113">
        <f>IF((phi!AY58),VLOOKUP(AY$1,main!$A$3:$I$56,5,FALSE)-VLOOKUP($A113,main!$A$3:$I$56,6,FALSE)+main!$D$58,0)</f>
        <v>555</v>
      </c>
      <c r="AZ113">
        <f>IF((phi!AZ58),VLOOKUP(AZ$1,main!$A$3:$I$56,5,FALSE)-VLOOKUP($A113,main!$A$3:$I$56,6,FALSE)+main!$D$58,0)</f>
        <v>0</v>
      </c>
      <c r="BA113">
        <f>IF((phi!BA58),VLOOKUP(BA$1,main!$A$3:$I$56,5,FALSE)-VLOOKUP($A113,main!$A$3:$I$56,6,FALSE)+main!$D$58,0)</f>
        <v>0</v>
      </c>
      <c r="BB113">
        <f>IF((phi!BB58),VLOOKUP(BB$1,main!$A$3:$I$56,5,FALSE)-VLOOKUP($A113,main!$A$3:$I$56,6,FALSE)+main!$D$58,0)</f>
        <v>0</v>
      </c>
      <c r="BC113">
        <f>IF((phi!BC58),VLOOKUP(BC$1,main!$A$3:$I$56,5,FALSE)-VLOOKUP($A113,main!$A$3:$I$56,6,FALSE)+main!$D$58,0)</f>
        <v>320</v>
      </c>
      <c r="BD113">
        <f>IF((phi!BD58),VLOOKUP(BD$1,main!$A$3:$I$56,5,FALSE)-VLOOKUP($A113,main!$A$3:$I$56,6,FALSE)+main!$D$58,0)</f>
        <v>330</v>
      </c>
    </row>
    <row r="114" spans="1:56" x14ac:dyDescent="0.25">
      <c r="A114">
        <f t="shared" ref="A114:A166" si="4">A113+1</f>
        <v>2</v>
      </c>
      <c r="B114">
        <v>0</v>
      </c>
      <c r="C114">
        <f>IF((phi!C59),VLOOKUP(C$1,main!$A$3:$I$56,5,FALSE)-VLOOKUP($A114,main!$A$3:$I$56,6,FALSE)+main!$D$58,0)</f>
        <v>0</v>
      </c>
      <c r="D114">
        <f>IF((phi!D59),VLOOKUP(D$1,main!$A$3:$I$56,5,FALSE)-VLOOKUP($A114,main!$A$3:$I$56,6,FALSE)+main!$D$58,0)</f>
        <v>0</v>
      </c>
      <c r="E114">
        <f>IF((phi!E59),VLOOKUP(E$1,main!$A$3:$I$56,5,FALSE)-VLOOKUP($A114,main!$A$3:$I$56,6,FALSE)+main!$D$58,0)</f>
        <v>0</v>
      </c>
      <c r="F114">
        <f>IF((phi!F59),VLOOKUP(F$1,main!$A$3:$I$56,5,FALSE)-VLOOKUP($A114,main!$A$3:$I$56,6,FALSE)+main!$D$58,0)</f>
        <v>0</v>
      </c>
      <c r="G114">
        <f>IF((phi!G59),VLOOKUP(G$1,main!$A$3:$I$56,5,FALSE)-VLOOKUP($A114,main!$A$3:$I$56,6,FALSE)+main!$D$58,0)</f>
        <v>155</v>
      </c>
      <c r="H114">
        <f>IF((phi!H59),VLOOKUP(H$1,main!$A$3:$I$56,5,FALSE)-VLOOKUP($A114,main!$A$3:$I$56,6,FALSE)+main!$D$58,0)</f>
        <v>215</v>
      </c>
      <c r="I114">
        <f>IF((phi!I59),VLOOKUP(I$1,main!$A$3:$I$56,5,FALSE)-VLOOKUP($A114,main!$A$3:$I$56,6,FALSE)+main!$D$58,0)</f>
        <v>275</v>
      </c>
      <c r="J114">
        <f>IF((phi!J59),VLOOKUP(J$1,main!$A$3:$I$56,5,FALSE)-VLOOKUP($A114,main!$A$3:$I$56,6,FALSE)+main!$D$58,0)</f>
        <v>365</v>
      </c>
      <c r="K114">
        <f>IF((phi!K59),VLOOKUP(K$1,main!$A$3:$I$56,5,FALSE)-VLOOKUP($A114,main!$A$3:$I$56,6,FALSE)+main!$D$58,0)</f>
        <v>0</v>
      </c>
      <c r="L114">
        <f>IF((phi!L59),VLOOKUP(L$1,main!$A$3:$I$56,5,FALSE)-VLOOKUP($A114,main!$A$3:$I$56,6,FALSE)+main!$D$58,0)</f>
        <v>0</v>
      </c>
      <c r="M114">
        <f>IF((phi!M59),VLOOKUP(M$1,main!$A$3:$I$56,5,FALSE)-VLOOKUP($A114,main!$A$3:$I$56,6,FALSE)+main!$D$58,0)</f>
        <v>0</v>
      </c>
      <c r="N114">
        <f>IF((phi!N59),VLOOKUP(N$1,main!$A$3:$I$56,5,FALSE)-VLOOKUP($A114,main!$A$3:$I$56,6,FALSE)+main!$D$58,0)</f>
        <v>330</v>
      </c>
      <c r="O114">
        <f>IF((phi!O59),VLOOKUP(O$1,main!$A$3:$I$56,5,FALSE)-VLOOKUP($A114,main!$A$3:$I$56,6,FALSE)+main!$D$58,0)</f>
        <v>390</v>
      </c>
      <c r="P114">
        <f>IF((phi!P59),VLOOKUP(P$1,main!$A$3:$I$56,5,FALSE)-VLOOKUP($A114,main!$A$3:$I$56,6,FALSE)+main!$D$58,0)</f>
        <v>0</v>
      </c>
      <c r="Q114">
        <f>IF((phi!Q59),VLOOKUP(Q$1,main!$A$3:$I$56,5,FALSE)-VLOOKUP($A114,main!$A$3:$I$56,6,FALSE)+main!$D$58,0)</f>
        <v>0</v>
      </c>
      <c r="R114">
        <f>IF((phi!R59),VLOOKUP(R$1,main!$A$3:$I$56,5,FALSE)-VLOOKUP($A114,main!$A$3:$I$56,6,FALSE)+main!$D$58,0)</f>
        <v>0</v>
      </c>
      <c r="S114">
        <f>IF((phi!S59),VLOOKUP(S$1,main!$A$3:$I$56,5,FALSE)-VLOOKUP($A114,main!$A$3:$I$56,6,FALSE)+main!$D$58,0)</f>
        <v>145</v>
      </c>
      <c r="T114">
        <f>IF((phi!T59),VLOOKUP(T$1,main!$A$3:$I$56,5,FALSE)-VLOOKUP($A114,main!$A$3:$I$56,6,FALSE)+main!$D$58,0)</f>
        <v>295</v>
      </c>
      <c r="U114">
        <f>IF((phi!U59),VLOOKUP(U$1,main!$A$3:$I$56,5,FALSE)-VLOOKUP($A114,main!$A$3:$I$56,6,FALSE)+main!$D$58,0)</f>
        <v>0</v>
      </c>
      <c r="V114">
        <f>IF((phi!V59),VLOOKUP(V$1,main!$A$3:$I$56,5,FALSE)-VLOOKUP($A114,main!$A$3:$I$56,6,FALSE)+main!$D$58,0)</f>
        <v>0</v>
      </c>
      <c r="W114">
        <f>IF((phi!W59),VLOOKUP(W$1,main!$A$3:$I$56,5,FALSE)-VLOOKUP($A114,main!$A$3:$I$56,6,FALSE)+main!$D$58,0)</f>
        <v>0</v>
      </c>
      <c r="X114">
        <f>IF((phi!X59),VLOOKUP(X$1,main!$A$3:$I$56,5,FALSE)-VLOOKUP($A114,main!$A$3:$I$56,6,FALSE)+main!$D$58,0)</f>
        <v>0</v>
      </c>
      <c r="Y114">
        <f>IF((phi!Y59),VLOOKUP(Y$1,main!$A$3:$I$56,5,FALSE)-VLOOKUP($A114,main!$A$3:$I$56,6,FALSE)+main!$D$58,0)</f>
        <v>0</v>
      </c>
      <c r="Z114">
        <f>IF((phi!Z59),VLOOKUP(Z$1,main!$A$3:$I$56,5,FALSE)-VLOOKUP($A114,main!$A$3:$I$56,6,FALSE)+main!$D$58,0)</f>
        <v>0</v>
      </c>
      <c r="AA114">
        <f>IF((phi!AA59),VLOOKUP(AA$1,main!$A$3:$I$56,5,FALSE)-VLOOKUP($A114,main!$A$3:$I$56,6,FALSE)+main!$D$58,0)</f>
        <v>255</v>
      </c>
      <c r="AB114">
        <f>IF((phi!AB59),VLOOKUP(AB$1,main!$A$3:$I$56,5,FALSE)-VLOOKUP($A114,main!$A$3:$I$56,6,FALSE)+main!$D$58,0)</f>
        <v>315</v>
      </c>
      <c r="AC114">
        <f>IF((phi!AC59),VLOOKUP(AC$1,main!$A$3:$I$56,5,FALSE)-VLOOKUP($A114,main!$A$3:$I$56,6,FALSE)+main!$D$58,0)</f>
        <v>0</v>
      </c>
      <c r="AD114">
        <f>IF((phi!AD59),VLOOKUP(AD$1,main!$A$3:$I$56,5,FALSE)-VLOOKUP($A114,main!$A$3:$I$56,6,FALSE)+main!$D$58,0)</f>
        <v>0</v>
      </c>
      <c r="AE114">
        <f>IF((phi!AE59),VLOOKUP(AE$1,main!$A$3:$I$56,5,FALSE)-VLOOKUP($A114,main!$A$3:$I$56,6,FALSE)+main!$D$58,0)</f>
        <v>0</v>
      </c>
      <c r="AF114">
        <f>IF((phi!AF59),VLOOKUP(AF$1,main!$A$3:$I$56,5,FALSE)-VLOOKUP($A114,main!$A$3:$I$56,6,FALSE)+main!$D$58,0)</f>
        <v>0</v>
      </c>
      <c r="AG114">
        <f>IF((phi!AG59),VLOOKUP(AG$1,main!$A$3:$I$56,5,FALSE)-VLOOKUP($A114,main!$A$3:$I$56,6,FALSE)+main!$D$58,0)</f>
        <v>0</v>
      </c>
      <c r="AH114">
        <f>IF((phi!AH59),VLOOKUP(AH$1,main!$A$3:$I$56,5,FALSE)-VLOOKUP($A114,main!$A$3:$I$56,6,FALSE)+main!$D$58,0)</f>
        <v>0</v>
      </c>
      <c r="AI114">
        <f>IF((phi!AI59),VLOOKUP(AI$1,main!$A$3:$I$56,5,FALSE)-VLOOKUP($A114,main!$A$3:$I$56,6,FALSE)+main!$D$58,0)</f>
        <v>0</v>
      </c>
      <c r="AJ114">
        <f>IF((phi!AJ59),VLOOKUP(AJ$1,main!$A$3:$I$56,5,FALSE)-VLOOKUP($A114,main!$A$3:$I$56,6,FALSE)+main!$D$58,0)</f>
        <v>0</v>
      </c>
      <c r="AK114">
        <f>IF((phi!AK59),VLOOKUP(AK$1,main!$A$3:$I$56,5,FALSE)-VLOOKUP($A114,main!$A$3:$I$56,6,FALSE)+main!$D$58,0)</f>
        <v>0</v>
      </c>
      <c r="AL114">
        <f>IF((phi!AL59),VLOOKUP(AL$1,main!$A$3:$I$56,5,FALSE)-VLOOKUP($A114,main!$A$3:$I$56,6,FALSE)+main!$D$58,0)</f>
        <v>0</v>
      </c>
      <c r="AM114">
        <f>IF((phi!AM59),VLOOKUP(AM$1,main!$A$3:$I$56,5,FALSE)-VLOOKUP($A114,main!$A$3:$I$56,6,FALSE)+main!$D$58,0)</f>
        <v>0</v>
      </c>
      <c r="AN114">
        <f>IF((phi!AN59),VLOOKUP(AN$1,main!$A$3:$I$56,5,FALSE)-VLOOKUP($A114,main!$A$3:$I$56,6,FALSE)+main!$D$58,0)</f>
        <v>0</v>
      </c>
      <c r="AO114">
        <f>IF((phi!AO59),VLOOKUP(AO$1,main!$A$3:$I$56,5,FALSE)-VLOOKUP($A114,main!$A$3:$I$56,6,FALSE)+main!$D$58,0)</f>
        <v>0</v>
      </c>
      <c r="AP114">
        <f>IF((phi!AP59),VLOOKUP(AP$1,main!$A$3:$I$56,5,FALSE)-VLOOKUP($A114,main!$A$3:$I$56,6,FALSE)+main!$D$58,0)</f>
        <v>0</v>
      </c>
      <c r="AQ114">
        <f>IF((phi!AQ59),VLOOKUP(AQ$1,main!$A$3:$I$56,5,FALSE)-VLOOKUP($A114,main!$A$3:$I$56,6,FALSE)+main!$D$58,0)</f>
        <v>0</v>
      </c>
      <c r="AR114">
        <f>IF((phi!AR59),VLOOKUP(AR$1,main!$A$3:$I$56,5,FALSE)-VLOOKUP($A114,main!$A$3:$I$56,6,FALSE)+main!$D$58,0)</f>
        <v>0</v>
      </c>
      <c r="AS114">
        <f>IF((phi!AS59),VLOOKUP(AS$1,main!$A$3:$I$56,5,FALSE)-VLOOKUP($A114,main!$A$3:$I$56,6,FALSE)+main!$D$58,0)</f>
        <v>0</v>
      </c>
      <c r="AT114">
        <f>IF((phi!AT59),VLOOKUP(AT$1,main!$A$3:$I$56,5,FALSE)-VLOOKUP($A114,main!$A$3:$I$56,6,FALSE)+main!$D$58,0)</f>
        <v>0</v>
      </c>
      <c r="AU114">
        <f>IF((phi!AU59),VLOOKUP(AU$1,main!$A$3:$I$56,5,FALSE)-VLOOKUP($A114,main!$A$3:$I$56,6,FALSE)+main!$D$58,0)</f>
        <v>0</v>
      </c>
      <c r="AV114">
        <f>IF((phi!AV59),VLOOKUP(AV$1,main!$A$3:$I$56,5,FALSE)-VLOOKUP($A114,main!$A$3:$I$56,6,FALSE)+main!$D$58,0)</f>
        <v>0</v>
      </c>
      <c r="AW114">
        <f>IF((phi!AW59),VLOOKUP(AW$1,main!$A$3:$I$56,5,FALSE)-VLOOKUP($A114,main!$A$3:$I$56,6,FALSE)+main!$D$58,0)</f>
        <v>0</v>
      </c>
      <c r="AX114">
        <f>IF((phi!AX59),VLOOKUP(AX$1,main!$A$3:$I$56,5,FALSE)-VLOOKUP($A114,main!$A$3:$I$56,6,FALSE)+main!$D$58,0)</f>
        <v>0</v>
      </c>
      <c r="AY114">
        <f>IF((phi!AY59),VLOOKUP(AY$1,main!$A$3:$I$56,5,FALSE)-VLOOKUP($A114,main!$A$3:$I$56,6,FALSE)+main!$D$58,0)</f>
        <v>375</v>
      </c>
      <c r="AZ114">
        <f>IF((phi!AZ59),VLOOKUP(AZ$1,main!$A$3:$I$56,5,FALSE)-VLOOKUP($A114,main!$A$3:$I$56,6,FALSE)+main!$D$58,0)</f>
        <v>0</v>
      </c>
      <c r="BA114">
        <f>IF((phi!BA59),VLOOKUP(BA$1,main!$A$3:$I$56,5,FALSE)-VLOOKUP($A114,main!$A$3:$I$56,6,FALSE)+main!$D$58,0)</f>
        <v>0</v>
      </c>
      <c r="BB114">
        <f>IF((phi!BB59),VLOOKUP(BB$1,main!$A$3:$I$56,5,FALSE)-VLOOKUP($A114,main!$A$3:$I$56,6,FALSE)+main!$D$58,0)</f>
        <v>0</v>
      </c>
      <c r="BC114">
        <f>IF((phi!BC59),VLOOKUP(BC$1,main!$A$3:$I$56,5,FALSE)-VLOOKUP($A114,main!$A$3:$I$56,6,FALSE)+main!$D$58,0)</f>
        <v>0</v>
      </c>
      <c r="BD114">
        <f>IF((phi!BD59),VLOOKUP(BD$1,main!$A$3:$I$56,5,FALSE)-VLOOKUP($A114,main!$A$3:$I$56,6,FALSE)+main!$D$58,0)</f>
        <v>0</v>
      </c>
    </row>
    <row r="115" spans="1:56" x14ac:dyDescent="0.25">
      <c r="A115">
        <f t="shared" si="4"/>
        <v>3</v>
      </c>
      <c r="B115">
        <v>0</v>
      </c>
      <c r="C115">
        <f>IF((phi!C60),VLOOKUP(C$1,main!$A$3:$I$56,5,FALSE)-VLOOKUP($A115,main!$A$3:$I$56,6,FALSE)+main!$D$58,0)</f>
        <v>0</v>
      </c>
      <c r="D115">
        <f>IF((phi!D60),VLOOKUP(D$1,main!$A$3:$I$56,5,FALSE)-VLOOKUP($A115,main!$A$3:$I$56,6,FALSE)+main!$D$58,0)</f>
        <v>0</v>
      </c>
      <c r="E115">
        <f>IF((phi!E60),VLOOKUP(E$1,main!$A$3:$I$56,5,FALSE)-VLOOKUP($A115,main!$A$3:$I$56,6,FALSE)+main!$D$58,0)</f>
        <v>0</v>
      </c>
      <c r="F115">
        <f>IF((phi!F60),VLOOKUP(F$1,main!$A$3:$I$56,5,FALSE)-VLOOKUP($A115,main!$A$3:$I$56,6,FALSE)+main!$D$58,0)</f>
        <v>0</v>
      </c>
      <c r="G115">
        <f>IF((phi!G60),VLOOKUP(G$1,main!$A$3:$I$56,5,FALSE)-VLOOKUP($A115,main!$A$3:$I$56,6,FALSE)+main!$D$58,0)</f>
        <v>0</v>
      </c>
      <c r="H115">
        <f>IF((phi!H60),VLOOKUP(H$1,main!$A$3:$I$56,5,FALSE)-VLOOKUP($A115,main!$A$3:$I$56,6,FALSE)+main!$D$58,0)</f>
        <v>125</v>
      </c>
      <c r="I115">
        <f>IF((phi!I60),VLOOKUP(I$1,main!$A$3:$I$56,5,FALSE)-VLOOKUP($A115,main!$A$3:$I$56,6,FALSE)+main!$D$58,0)</f>
        <v>185</v>
      </c>
      <c r="J115">
        <f>IF((phi!J60),VLOOKUP(J$1,main!$A$3:$I$56,5,FALSE)-VLOOKUP($A115,main!$A$3:$I$56,6,FALSE)+main!$D$58,0)</f>
        <v>275</v>
      </c>
      <c r="K115">
        <f>IF((phi!K60),VLOOKUP(K$1,main!$A$3:$I$56,5,FALSE)-VLOOKUP($A115,main!$A$3:$I$56,6,FALSE)+main!$D$58,0)</f>
        <v>0</v>
      </c>
      <c r="L115">
        <f>IF((phi!L60),VLOOKUP(L$1,main!$A$3:$I$56,5,FALSE)-VLOOKUP($A115,main!$A$3:$I$56,6,FALSE)+main!$D$58,0)</f>
        <v>0</v>
      </c>
      <c r="M115">
        <f>IF((phi!M60),VLOOKUP(M$1,main!$A$3:$I$56,5,FALSE)-VLOOKUP($A115,main!$A$3:$I$56,6,FALSE)+main!$D$58,0)</f>
        <v>0</v>
      </c>
      <c r="N115">
        <f>IF((phi!N60),VLOOKUP(N$1,main!$A$3:$I$56,5,FALSE)-VLOOKUP($A115,main!$A$3:$I$56,6,FALSE)+main!$D$58,0)</f>
        <v>240</v>
      </c>
      <c r="O115">
        <f>IF((phi!O60),VLOOKUP(O$1,main!$A$3:$I$56,5,FALSE)-VLOOKUP($A115,main!$A$3:$I$56,6,FALSE)+main!$D$58,0)</f>
        <v>300</v>
      </c>
      <c r="P115">
        <f>IF((phi!P60),VLOOKUP(P$1,main!$A$3:$I$56,5,FALSE)-VLOOKUP($A115,main!$A$3:$I$56,6,FALSE)+main!$D$58,0)</f>
        <v>0</v>
      </c>
      <c r="Q115">
        <f>IF((phi!Q60),VLOOKUP(Q$1,main!$A$3:$I$56,5,FALSE)-VLOOKUP($A115,main!$A$3:$I$56,6,FALSE)+main!$D$58,0)</f>
        <v>0</v>
      </c>
      <c r="R115">
        <f>IF((phi!R60),VLOOKUP(R$1,main!$A$3:$I$56,5,FALSE)-VLOOKUP($A115,main!$A$3:$I$56,6,FALSE)+main!$D$58,0)</f>
        <v>0</v>
      </c>
      <c r="S115">
        <f>IF((phi!S60),VLOOKUP(S$1,main!$A$3:$I$56,5,FALSE)-VLOOKUP($A115,main!$A$3:$I$56,6,FALSE)+main!$D$58,0)</f>
        <v>0</v>
      </c>
      <c r="T115">
        <f>IF((phi!T60),VLOOKUP(T$1,main!$A$3:$I$56,5,FALSE)-VLOOKUP($A115,main!$A$3:$I$56,6,FALSE)+main!$D$58,0)</f>
        <v>205</v>
      </c>
      <c r="U115">
        <f>IF((phi!U60),VLOOKUP(U$1,main!$A$3:$I$56,5,FALSE)-VLOOKUP($A115,main!$A$3:$I$56,6,FALSE)+main!$D$58,0)</f>
        <v>0</v>
      </c>
      <c r="V115">
        <f>IF((phi!V60),VLOOKUP(V$1,main!$A$3:$I$56,5,FALSE)-VLOOKUP($A115,main!$A$3:$I$56,6,FALSE)+main!$D$58,0)</f>
        <v>0</v>
      </c>
      <c r="W115">
        <f>IF((phi!W60),VLOOKUP(W$1,main!$A$3:$I$56,5,FALSE)-VLOOKUP($A115,main!$A$3:$I$56,6,FALSE)+main!$D$58,0)</f>
        <v>0</v>
      </c>
      <c r="X115">
        <f>IF((phi!X60),VLOOKUP(X$1,main!$A$3:$I$56,5,FALSE)-VLOOKUP($A115,main!$A$3:$I$56,6,FALSE)+main!$D$58,0)</f>
        <v>0</v>
      </c>
      <c r="Y115">
        <f>IF((phi!Y60),VLOOKUP(Y$1,main!$A$3:$I$56,5,FALSE)-VLOOKUP($A115,main!$A$3:$I$56,6,FALSE)+main!$D$58,0)</f>
        <v>0</v>
      </c>
      <c r="Z115">
        <f>IF((phi!Z60),VLOOKUP(Z$1,main!$A$3:$I$56,5,FALSE)-VLOOKUP($A115,main!$A$3:$I$56,6,FALSE)+main!$D$58,0)</f>
        <v>0</v>
      </c>
      <c r="AA115">
        <f>IF((phi!AA60),VLOOKUP(AA$1,main!$A$3:$I$56,5,FALSE)-VLOOKUP($A115,main!$A$3:$I$56,6,FALSE)+main!$D$58,0)</f>
        <v>0</v>
      </c>
      <c r="AB115">
        <f>IF((phi!AB60),VLOOKUP(AB$1,main!$A$3:$I$56,5,FALSE)-VLOOKUP($A115,main!$A$3:$I$56,6,FALSE)+main!$D$58,0)</f>
        <v>0</v>
      </c>
      <c r="AC115">
        <f>IF((phi!AC60),VLOOKUP(AC$1,main!$A$3:$I$56,5,FALSE)-VLOOKUP($A115,main!$A$3:$I$56,6,FALSE)+main!$D$58,0)</f>
        <v>0</v>
      </c>
      <c r="AD115">
        <f>IF((phi!AD60),VLOOKUP(AD$1,main!$A$3:$I$56,5,FALSE)-VLOOKUP($A115,main!$A$3:$I$56,6,FALSE)+main!$D$58,0)</f>
        <v>0</v>
      </c>
      <c r="AE115">
        <f>IF((phi!AE60),VLOOKUP(AE$1,main!$A$3:$I$56,5,FALSE)-VLOOKUP($A115,main!$A$3:$I$56,6,FALSE)+main!$D$58,0)</f>
        <v>0</v>
      </c>
      <c r="AF115">
        <f>IF((phi!AF60),VLOOKUP(AF$1,main!$A$3:$I$56,5,FALSE)-VLOOKUP($A115,main!$A$3:$I$56,6,FALSE)+main!$D$58,0)</f>
        <v>0</v>
      </c>
      <c r="AG115">
        <f>IF((phi!AG60),VLOOKUP(AG$1,main!$A$3:$I$56,5,FALSE)-VLOOKUP($A115,main!$A$3:$I$56,6,FALSE)+main!$D$58,0)</f>
        <v>0</v>
      </c>
      <c r="AH115">
        <f>IF((phi!AH60),VLOOKUP(AH$1,main!$A$3:$I$56,5,FALSE)-VLOOKUP($A115,main!$A$3:$I$56,6,FALSE)+main!$D$58,0)</f>
        <v>0</v>
      </c>
      <c r="AI115">
        <f>IF((phi!AI60),VLOOKUP(AI$1,main!$A$3:$I$56,5,FALSE)-VLOOKUP($A115,main!$A$3:$I$56,6,FALSE)+main!$D$58,0)</f>
        <v>0</v>
      </c>
      <c r="AJ115">
        <f>IF((phi!AJ60),VLOOKUP(AJ$1,main!$A$3:$I$56,5,FALSE)-VLOOKUP($A115,main!$A$3:$I$56,6,FALSE)+main!$D$58,0)</f>
        <v>0</v>
      </c>
      <c r="AK115">
        <f>IF((phi!AK60),VLOOKUP(AK$1,main!$A$3:$I$56,5,FALSE)-VLOOKUP($A115,main!$A$3:$I$56,6,FALSE)+main!$D$58,0)</f>
        <v>0</v>
      </c>
      <c r="AL115">
        <f>IF((phi!AL60),VLOOKUP(AL$1,main!$A$3:$I$56,5,FALSE)-VLOOKUP($A115,main!$A$3:$I$56,6,FALSE)+main!$D$58,0)</f>
        <v>0</v>
      </c>
      <c r="AM115">
        <f>IF((phi!AM60),VLOOKUP(AM$1,main!$A$3:$I$56,5,FALSE)-VLOOKUP($A115,main!$A$3:$I$56,6,FALSE)+main!$D$58,0)</f>
        <v>0</v>
      </c>
      <c r="AN115">
        <f>IF((phi!AN60),VLOOKUP(AN$1,main!$A$3:$I$56,5,FALSE)-VLOOKUP($A115,main!$A$3:$I$56,6,FALSE)+main!$D$58,0)</f>
        <v>0</v>
      </c>
      <c r="AO115">
        <f>IF((phi!AO60),VLOOKUP(AO$1,main!$A$3:$I$56,5,FALSE)-VLOOKUP($A115,main!$A$3:$I$56,6,FALSE)+main!$D$58,0)</f>
        <v>0</v>
      </c>
      <c r="AP115">
        <f>IF((phi!AP60),VLOOKUP(AP$1,main!$A$3:$I$56,5,FALSE)-VLOOKUP($A115,main!$A$3:$I$56,6,FALSE)+main!$D$58,0)</f>
        <v>0</v>
      </c>
      <c r="AQ115">
        <f>IF((phi!AQ60),VLOOKUP(AQ$1,main!$A$3:$I$56,5,FALSE)-VLOOKUP($A115,main!$A$3:$I$56,6,FALSE)+main!$D$58,0)</f>
        <v>0</v>
      </c>
      <c r="AR115">
        <f>IF((phi!AR60),VLOOKUP(AR$1,main!$A$3:$I$56,5,FALSE)-VLOOKUP($A115,main!$A$3:$I$56,6,FALSE)+main!$D$58,0)</f>
        <v>0</v>
      </c>
      <c r="AS115">
        <f>IF((phi!AS60),VLOOKUP(AS$1,main!$A$3:$I$56,5,FALSE)-VLOOKUP($A115,main!$A$3:$I$56,6,FALSE)+main!$D$58,0)</f>
        <v>0</v>
      </c>
      <c r="AT115">
        <f>IF((phi!AT60),VLOOKUP(AT$1,main!$A$3:$I$56,5,FALSE)-VLOOKUP($A115,main!$A$3:$I$56,6,FALSE)+main!$D$58,0)</f>
        <v>0</v>
      </c>
      <c r="AU115">
        <f>IF((phi!AU60),VLOOKUP(AU$1,main!$A$3:$I$56,5,FALSE)-VLOOKUP($A115,main!$A$3:$I$56,6,FALSE)+main!$D$58,0)</f>
        <v>0</v>
      </c>
      <c r="AV115">
        <f>IF((phi!AV60),VLOOKUP(AV$1,main!$A$3:$I$56,5,FALSE)-VLOOKUP($A115,main!$A$3:$I$56,6,FALSE)+main!$D$58,0)</f>
        <v>0</v>
      </c>
      <c r="AW115">
        <f>IF((phi!AW60),VLOOKUP(AW$1,main!$A$3:$I$56,5,FALSE)-VLOOKUP($A115,main!$A$3:$I$56,6,FALSE)+main!$D$58,0)</f>
        <v>0</v>
      </c>
      <c r="AX115">
        <f>IF((phi!AX60),VLOOKUP(AX$1,main!$A$3:$I$56,5,FALSE)-VLOOKUP($A115,main!$A$3:$I$56,6,FALSE)+main!$D$58,0)</f>
        <v>0</v>
      </c>
      <c r="AY115">
        <f>IF((phi!AY60),VLOOKUP(AY$1,main!$A$3:$I$56,5,FALSE)-VLOOKUP($A115,main!$A$3:$I$56,6,FALSE)+main!$D$58,0)</f>
        <v>0</v>
      </c>
      <c r="AZ115">
        <f>IF((phi!AZ60),VLOOKUP(AZ$1,main!$A$3:$I$56,5,FALSE)-VLOOKUP($A115,main!$A$3:$I$56,6,FALSE)+main!$D$58,0)</f>
        <v>0</v>
      </c>
      <c r="BA115">
        <f>IF((phi!BA60),VLOOKUP(BA$1,main!$A$3:$I$56,5,FALSE)-VLOOKUP($A115,main!$A$3:$I$56,6,FALSE)+main!$D$58,0)</f>
        <v>0</v>
      </c>
      <c r="BB115">
        <f>IF((phi!BB60),VLOOKUP(BB$1,main!$A$3:$I$56,5,FALSE)-VLOOKUP($A115,main!$A$3:$I$56,6,FALSE)+main!$D$58,0)</f>
        <v>0</v>
      </c>
      <c r="BC115">
        <f>IF((phi!BC60),VLOOKUP(BC$1,main!$A$3:$I$56,5,FALSE)-VLOOKUP($A115,main!$A$3:$I$56,6,FALSE)+main!$D$58,0)</f>
        <v>0</v>
      </c>
      <c r="BD115">
        <f>IF((phi!BD60),VLOOKUP(BD$1,main!$A$3:$I$56,5,FALSE)-VLOOKUP($A115,main!$A$3:$I$56,6,FALSE)+main!$D$58,0)</f>
        <v>0</v>
      </c>
    </row>
    <row r="116" spans="1:56" x14ac:dyDescent="0.25">
      <c r="A116">
        <f t="shared" si="4"/>
        <v>4</v>
      </c>
      <c r="B116">
        <v>0</v>
      </c>
      <c r="C116">
        <f>IF((phi!C61),VLOOKUP(C$1,main!$A$3:$I$56,5,FALSE)-VLOOKUP($A116,main!$A$3:$I$56,6,FALSE)+main!$D$58,0)</f>
        <v>0</v>
      </c>
      <c r="D116">
        <f>IF((phi!D61),VLOOKUP(D$1,main!$A$3:$I$56,5,FALSE)-VLOOKUP($A116,main!$A$3:$I$56,6,FALSE)+main!$D$58,0)</f>
        <v>0</v>
      </c>
      <c r="E116">
        <f>IF((phi!E61),VLOOKUP(E$1,main!$A$3:$I$56,5,FALSE)-VLOOKUP($A116,main!$A$3:$I$56,6,FALSE)+main!$D$58,0)</f>
        <v>0</v>
      </c>
      <c r="F116">
        <f>IF((phi!F61),VLOOKUP(F$1,main!$A$3:$I$56,5,FALSE)-VLOOKUP($A116,main!$A$3:$I$56,6,FALSE)+main!$D$58,0)</f>
        <v>0</v>
      </c>
      <c r="G116">
        <f>IF((phi!G61),VLOOKUP(G$1,main!$A$3:$I$56,5,FALSE)-VLOOKUP($A116,main!$A$3:$I$56,6,FALSE)+main!$D$58,0)</f>
        <v>0</v>
      </c>
      <c r="H116">
        <f>IF((phi!H61),VLOOKUP(H$1,main!$A$3:$I$56,5,FALSE)-VLOOKUP($A116,main!$A$3:$I$56,6,FALSE)+main!$D$58,0)</f>
        <v>0</v>
      </c>
      <c r="I116">
        <f>IF((phi!I61),VLOOKUP(I$1,main!$A$3:$I$56,5,FALSE)-VLOOKUP($A116,main!$A$3:$I$56,6,FALSE)+main!$D$58,0)</f>
        <v>0</v>
      </c>
      <c r="J116">
        <f>IF((phi!J61),VLOOKUP(J$1,main!$A$3:$I$56,5,FALSE)-VLOOKUP($A116,main!$A$3:$I$56,6,FALSE)+main!$D$58,0)</f>
        <v>185</v>
      </c>
      <c r="K116">
        <f>IF((phi!K61),VLOOKUP(K$1,main!$A$3:$I$56,5,FALSE)-VLOOKUP($A116,main!$A$3:$I$56,6,FALSE)+main!$D$58,0)</f>
        <v>0</v>
      </c>
      <c r="L116">
        <f>IF((phi!L61),VLOOKUP(L$1,main!$A$3:$I$56,5,FALSE)-VLOOKUP($A116,main!$A$3:$I$56,6,FALSE)+main!$D$58,0)</f>
        <v>0</v>
      </c>
      <c r="M116">
        <f>IF((phi!M61),VLOOKUP(M$1,main!$A$3:$I$56,5,FALSE)-VLOOKUP($A116,main!$A$3:$I$56,6,FALSE)+main!$D$58,0)</f>
        <v>0</v>
      </c>
      <c r="N116">
        <f>IF((phi!N61),VLOOKUP(N$1,main!$A$3:$I$56,5,FALSE)-VLOOKUP($A116,main!$A$3:$I$56,6,FALSE)+main!$D$58,0)</f>
        <v>150</v>
      </c>
      <c r="O116">
        <f>IF((phi!O61),VLOOKUP(O$1,main!$A$3:$I$56,5,FALSE)-VLOOKUP($A116,main!$A$3:$I$56,6,FALSE)+main!$D$58,0)</f>
        <v>210</v>
      </c>
      <c r="P116">
        <f>IF((phi!P61),VLOOKUP(P$1,main!$A$3:$I$56,5,FALSE)-VLOOKUP($A116,main!$A$3:$I$56,6,FALSE)+main!$D$58,0)</f>
        <v>0</v>
      </c>
      <c r="Q116">
        <f>IF((phi!Q61),VLOOKUP(Q$1,main!$A$3:$I$56,5,FALSE)-VLOOKUP($A116,main!$A$3:$I$56,6,FALSE)+main!$D$58,0)</f>
        <v>0</v>
      </c>
      <c r="R116">
        <f>IF((phi!R61),VLOOKUP(R$1,main!$A$3:$I$56,5,FALSE)-VLOOKUP($A116,main!$A$3:$I$56,6,FALSE)+main!$D$58,0)</f>
        <v>0</v>
      </c>
      <c r="S116">
        <f>IF((phi!S61),VLOOKUP(S$1,main!$A$3:$I$56,5,FALSE)-VLOOKUP($A116,main!$A$3:$I$56,6,FALSE)+main!$D$58,0)</f>
        <v>0</v>
      </c>
      <c r="T116">
        <f>IF((phi!T61),VLOOKUP(T$1,main!$A$3:$I$56,5,FALSE)-VLOOKUP($A116,main!$A$3:$I$56,6,FALSE)+main!$D$58,0)</f>
        <v>115</v>
      </c>
      <c r="U116">
        <f>IF((phi!U61),VLOOKUP(U$1,main!$A$3:$I$56,5,FALSE)-VLOOKUP($A116,main!$A$3:$I$56,6,FALSE)+main!$D$58,0)</f>
        <v>0</v>
      </c>
      <c r="V116">
        <f>IF((phi!V61),VLOOKUP(V$1,main!$A$3:$I$56,5,FALSE)-VLOOKUP($A116,main!$A$3:$I$56,6,FALSE)+main!$D$58,0)</f>
        <v>0</v>
      </c>
      <c r="W116">
        <f>IF((phi!W61),VLOOKUP(W$1,main!$A$3:$I$56,5,FALSE)-VLOOKUP($A116,main!$A$3:$I$56,6,FALSE)+main!$D$58,0)</f>
        <v>0</v>
      </c>
      <c r="X116">
        <f>IF((phi!X61),VLOOKUP(X$1,main!$A$3:$I$56,5,FALSE)-VLOOKUP($A116,main!$A$3:$I$56,6,FALSE)+main!$D$58,0)</f>
        <v>0</v>
      </c>
      <c r="Y116">
        <f>IF((phi!Y61),VLOOKUP(Y$1,main!$A$3:$I$56,5,FALSE)-VLOOKUP($A116,main!$A$3:$I$56,6,FALSE)+main!$D$58,0)</f>
        <v>0</v>
      </c>
      <c r="Z116">
        <f>IF((phi!Z61),VLOOKUP(Z$1,main!$A$3:$I$56,5,FALSE)-VLOOKUP($A116,main!$A$3:$I$56,6,FALSE)+main!$D$58,0)</f>
        <v>0</v>
      </c>
      <c r="AA116">
        <f>IF((phi!AA61),VLOOKUP(AA$1,main!$A$3:$I$56,5,FALSE)-VLOOKUP($A116,main!$A$3:$I$56,6,FALSE)+main!$D$58,0)</f>
        <v>0</v>
      </c>
      <c r="AB116">
        <f>IF((phi!AB61),VLOOKUP(AB$1,main!$A$3:$I$56,5,FALSE)-VLOOKUP($A116,main!$A$3:$I$56,6,FALSE)+main!$D$58,0)</f>
        <v>0</v>
      </c>
      <c r="AC116">
        <f>IF((phi!AC61),VLOOKUP(AC$1,main!$A$3:$I$56,5,FALSE)-VLOOKUP($A116,main!$A$3:$I$56,6,FALSE)+main!$D$58,0)</f>
        <v>0</v>
      </c>
      <c r="AD116">
        <f>IF((phi!AD61),VLOOKUP(AD$1,main!$A$3:$I$56,5,FALSE)-VLOOKUP($A116,main!$A$3:$I$56,6,FALSE)+main!$D$58,0)</f>
        <v>0</v>
      </c>
      <c r="AE116">
        <f>IF((phi!AE61),VLOOKUP(AE$1,main!$A$3:$I$56,5,FALSE)-VLOOKUP($A116,main!$A$3:$I$56,6,FALSE)+main!$D$58,0)</f>
        <v>0</v>
      </c>
      <c r="AF116">
        <f>IF((phi!AF61),VLOOKUP(AF$1,main!$A$3:$I$56,5,FALSE)-VLOOKUP($A116,main!$A$3:$I$56,6,FALSE)+main!$D$58,0)</f>
        <v>0</v>
      </c>
      <c r="AG116">
        <f>IF((phi!AG61),VLOOKUP(AG$1,main!$A$3:$I$56,5,FALSE)-VLOOKUP($A116,main!$A$3:$I$56,6,FALSE)+main!$D$58,0)</f>
        <v>0</v>
      </c>
      <c r="AH116">
        <f>IF((phi!AH61),VLOOKUP(AH$1,main!$A$3:$I$56,5,FALSE)-VLOOKUP($A116,main!$A$3:$I$56,6,FALSE)+main!$D$58,0)</f>
        <v>0</v>
      </c>
      <c r="AI116">
        <f>IF((phi!AI61),VLOOKUP(AI$1,main!$A$3:$I$56,5,FALSE)-VLOOKUP($A116,main!$A$3:$I$56,6,FALSE)+main!$D$58,0)</f>
        <v>0</v>
      </c>
      <c r="AJ116">
        <f>IF((phi!AJ61),VLOOKUP(AJ$1,main!$A$3:$I$56,5,FALSE)-VLOOKUP($A116,main!$A$3:$I$56,6,FALSE)+main!$D$58,0)</f>
        <v>0</v>
      </c>
      <c r="AK116">
        <f>IF((phi!AK61),VLOOKUP(AK$1,main!$A$3:$I$56,5,FALSE)-VLOOKUP($A116,main!$A$3:$I$56,6,FALSE)+main!$D$58,0)</f>
        <v>0</v>
      </c>
      <c r="AL116">
        <f>IF((phi!AL61),VLOOKUP(AL$1,main!$A$3:$I$56,5,FALSE)-VLOOKUP($A116,main!$A$3:$I$56,6,FALSE)+main!$D$58,0)</f>
        <v>0</v>
      </c>
      <c r="AM116">
        <f>IF((phi!AM61),VLOOKUP(AM$1,main!$A$3:$I$56,5,FALSE)-VLOOKUP($A116,main!$A$3:$I$56,6,FALSE)+main!$D$58,0)</f>
        <v>0</v>
      </c>
      <c r="AN116">
        <f>IF((phi!AN61),VLOOKUP(AN$1,main!$A$3:$I$56,5,FALSE)-VLOOKUP($A116,main!$A$3:$I$56,6,FALSE)+main!$D$58,0)</f>
        <v>0</v>
      </c>
      <c r="AO116">
        <f>IF((phi!AO61),VLOOKUP(AO$1,main!$A$3:$I$56,5,FALSE)-VLOOKUP($A116,main!$A$3:$I$56,6,FALSE)+main!$D$58,0)</f>
        <v>0</v>
      </c>
      <c r="AP116">
        <f>IF((phi!AP61),VLOOKUP(AP$1,main!$A$3:$I$56,5,FALSE)-VLOOKUP($A116,main!$A$3:$I$56,6,FALSE)+main!$D$58,0)</f>
        <v>0</v>
      </c>
      <c r="AQ116">
        <f>IF((phi!AQ61),VLOOKUP(AQ$1,main!$A$3:$I$56,5,FALSE)-VLOOKUP($A116,main!$A$3:$I$56,6,FALSE)+main!$D$58,0)</f>
        <v>0</v>
      </c>
      <c r="AR116">
        <f>IF((phi!AR61),VLOOKUP(AR$1,main!$A$3:$I$56,5,FALSE)-VLOOKUP($A116,main!$A$3:$I$56,6,FALSE)+main!$D$58,0)</f>
        <v>0</v>
      </c>
      <c r="AS116">
        <f>IF((phi!AS61),VLOOKUP(AS$1,main!$A$3:$I$56,5,FALSE)-VLOOKUP($A116,main!$A$3:$I$56,6,FALSE)+main!$D$58,0)</f>
        <v>0</v>
      </c>
      <c r="AT116">
        <f>IF((phi!AT61),VLOOKUP(AT$1,main!$A$3:$I$56,5,FALSE)-VLOOKUP($A116,main!$A$3:$I$56,6,FALSE)+main!$D$58,0)</f>
        <v>0</v>
      </c>
      <c r="AU116">
        <f>IF((phi!AU61),VLOOKUP(AU$1,main!$A$3:$I$56,5,FALSE)-VLOOKUP($A116,main!$A$3:$I$56,6,FALSE)+main!$D$58,0)</f>
        <v>0</v>
      </c>
      <c r="AV116">
        <f>IF((phi!AV61),VLOOKUP(AV$1,main!$A$3:$I$56,5,FALSE)-VLOOKUP($A116,main!$A$3:$I$56,6,FALSE)+main!$D$58,0)</f>
        <v>0</v>
      </c>
      <c r="AW116">
        <f>IF((phi!AW61),VLOOKUP(AW$1,main!$A$3:$I$56,5,FALSE)-VLOOKUP($A116,main!$A$3:$I$56,6,FALSE)+main!$D$58,0)</f>
        <v>0</v>
      </c>
      <c r="AX116">
        <f>IF((phi!AX61),VLOOKUP(AX$1,main!$A$3:$I$56,5,FALSE)-VLOOKUP($A116,main!$A$3:$I$56,6,FALSE)+main!$D$58,0)</f>
        <v>0</v>
      </c>
      <c r="AY116">
        <f>IF((phi!AY61),VLOOKUP(AY$1,main!$A$3:$I$56,5,FALSE)-VLOOKUP($A116,main!$A$3:$I$56,6,FALSE)+main!$D$58,0)</f>
        <v>0</v>
      </c>
      <c r="AZ116">
        <f>IF((phi!AZ61),VLOOKUP(AZ$1,main!$A$3:$I$56,5,FALSE)-VLOOKUP($A116,main!$A$3:$I$56,6,FALSE)+main!$D$58,0)</f>
        <v>0</v>
      </c>
      <c r="BA116">
        <f>IF((phi!BA61),VLOOKUP(BA$1,main!$A$3:$I$56,5,FALSE)-VLOOKUP($A116,main!$A$3:$I$56,6,FALSE)+main!$D$58,0)</f>
        <v>0</v>
      </c>
      <c r="BB116">
        <f>IF((phi!BB61),VLOOKUP(BB$1,main!$A$3:$I$56,5,FALSE)-VLOOKUP($A116,main!$A$3:$I$56,6,FALSE)+main!$D$58,0)</f>
        <v>0</v>
      </c>
      <c r="BC116">
        <f>IF((phi!BC61),VLOOKUP(BC$1,main!$A$3:$I$56,5,FALSE)-VLOOKUP($A116,main!$A$3:$I$56,6,FALSE)+main!$D$58,0)</f>
        <v>0</v>
      </c>
      <c r="BD116">
        <f>IF((phi!BD61),VLOOKUP(BD$1,main!$A$3:$I$56,5,FALSE)-VLOOKUP($A116,main!$A$3:$I$56,6,FALSE)+main!$D$58,0)</f>
        <v>0</v>
      </c>
    </row>
    <row r="117" spans="1:56" x14ac:dyDescent="0.25">
      <c r="A117">
        <f t="shared" si="4"/>
        <v>5</v>
      </c>
      <c r="B117">
        <v>0</v>
      </c>
      <c r="C117">
        <f>IF((phi!C62),VLOOKUP(C$1,main!$A$3:$I$56,5,FALSE)-VLOOKUP($A117,main!$A$3:$I$56,6,FALSE)+main!$D$58,0)</f>
        <v>0</v>
      </c>
      <c r="D117">
        <f>IF((phi!D62),VLOOKUP(D$1,main!$A$3:$I$56,5,FALSE)-VLOOKUP($A117,main!$A$3:$I$56,6,FALSE)+main!$D$58,0)</f>
        <v>0</v>
      </c>
      <c r="E117">
        <f>IF((phi!E62),VLOOKUP(E$1,main!$A$3:$I$56,5,FALSE)-VLOOKUP($A117,main!$A$3:$I$56,6,FALSE)+main!$D$58,0)</f>
        <v>0</v>
      </c>
      <c r="F117">
        <f>IF((phi!F62),VLOOKUP(F$1,main!$A$3:$I$56,5,FALSE)-VLOOKUP($A117,main!$A$3:$I$56,6,FALSE)+main!$D$58,0)</f>
        <v>0</v>
      </c>
      <c r="G117">
        <f>IF((phi!G62),VLOOKUP(G$1,main!$A$3:$I$56,5,FALSE)-VLOOKUP($A117,main!$A$3:$I$56,6,FALSE)+main!$D$58,0)</f>
        <v>0</v>
      </c>
      <c r="H117">
        <f>IF((phi!H62),VLOOKUP(H$1,main!$A$3:$I$56,5,FALSE)-VLOOKUP($A117,main!$A$3:$I$56,6,FALSE)+main!$D$58,0)</f>
        <v>0</v>
      </c>
      <c r="I117">
        <f>IF((phi!I62),VLOOKUP(I$1,main!$A$3:$I$56,5,FALSE)-VLOOKUP($A117,main!$A$3:$I$56,6,FALSE)+main!$D$58,0)</f>
        <v>0</v>
      </c>
      <c r="J117">
        <f>IF((phi!J62),VLOOKUP(J$1,main!$A$3:$I$56,5,FALSE)-VLOOKUP($A117,main!$A$3:$I$56,6,FALSE)+main!$D$58,0)</f>
        <v>125</v>
      </c>
      <c r="K117">
        <f>IF((phi!K62),VLOOKUP(K$1,main!$A$3:$I$56,5,FALSE)-VLOOKUP($A117,main!$A$3:$I$56,6,FALSE)+main!$D$58,0)</f>
        <v>0</v>
      </c>
      <c r="L117">
        <f>IF((phi!L62),VLOOKUP(L$1,main!$A$3:$I$56,5,FALSE)-VLOOKUP($A117,main!$A$3:$I$56,6,FALSE)+main!$D$58,0)</f>
        <v>0</v>
      </c>
      <c r="M117">
        <f>IF((phi!M62),VLOOKUP(M$1,main!$A$3:$I$56,5,FALSE)-VLOOKUP($A117,main!$A$3:$I$56,6,FALSE)+main!$D$58,0)</f>
        <v>0</v>
      </c>
      <c r="N117">
        <f>IF((phi!N62),VLOOKUP(N$1,main!$A$3:$I$56,5,FALSE)-VLOOKUP($A117,main!$A$3:$I$56,6,FALSE)+main!$D$58,0)</f>
        <v>0</v>
      </c>
      <c r="O117">
        <f>IF((phi!O62),VLOOKUP(O$1,main!$A$3:$I$56,5,FALSE)-VLOOKUP($A117,main!$A$3:$I$56,6,FALSE)+main!$D$58,0)</f>
        <v>150</v>
      </c>
      <c r="P117">
        <f>IF((phi!P62),VLOOKUP(P$1,main!$A$3:$I$56,5,FALSE)-VLOOKUP($A117,main!$A$3:$I$56,6,FALSE)+main!$D$58,0)</f>
        <v>0</v>
      </c>
      <c r="Q117">
        <f>IF((phi!Q62),VLOOKUP(Q$1,main!$A$3:$I$56,5,FALSE)-VLOOKUP($A117,main!$A$3:$I$56,6,FALSE)+main!$D$58,0)</f>
        <v>0</v>
      </c>
      <c r="R117">
        <f>IF((phi!R62),VLOOKUP(R$1,main!$A$3:$I$56,5,FALSE)-VLOOKUP($A117,main!$A$3:$I$56,6,FALSE)+main!$D$58,0)</f>
        <v>0</v>
      </c>
      <c r="S117">
        <f>IF((phi!S62),VLOOKUP(S$1,main!$A$3:$I$56,5,FALSE)-VLOOKUP($A117,main!$A$3:$I$56,6,FALSE)+main!$D$58,0)</f>
        <v>0</v>
      </c>
      <c r="T117">
        <f>IF((phi!T62),VLOOKUP(T$1,main!$A$3:$I$56,5,FALSE)-VLOOKUP($A117,main!$A$3:$I$56,6,FALSE)+main!$D$58,0)</f>
        <v>0</v>
      </c>
      <c r="U117">
        <f>IF((phi!U62),VLOOKUP(U$1,main!$A$3:$I$56,5,FALSE)-VLOOKUP($A117,main!$A$3:$I$56,6,FALSE)+main!$D$58,0)</f>
        <v>0</v>
      </c>
      <c r="V117">
        <f>IF((phi!V62),VLOOKUP(V$1,main!$A$3:$I$56,5,FALSE)-VLOOKUP($A117,main!$A$3:$I$56,6,FALSE)+main!$D$58,0)</f>
        <v>0</v>
      </c>
      <c r="W117">
        <f>IF((phi!W62),VLOOKUP(W$1,main!$A$3:$I$56,5,FALSE)-VLOOKUP($A117,main!$A$3:$I$56,6,FALSE)+main!$D$58,0)</f>
        <v>0</v>
      </c>
      <c r="X117">
        <f>IF((phi!X62),VLOOKUP(X$1,main!$A$3:$I$56,5,FALSE)-VLOOKUP($A117,main!$A$3:$I$56,6,FALSE)+main!$D$58,0)</f>
        <v>0</v>
      </c>
      <c r="Y117">
        <f>IF((phi!Y62),VLOOKUP(Y$1,main!$A$3:$I$56,5,FALSE)-VLOOKUP($A117,main!$A$3:$I$56,6,FALSE)+main!$D$58,0)</f>
        <v>0</v>
      </c>
      <c r="Z117">
        <f>IF((phi!Z62),VLOOKUP(Z$1,main!$A$3:$I$56,5,FALSE)-VLOOKUP($A117,main!$A$3:$I$56,6,FALSE)+main!$D$58,0)</f>
        <v>0</v>
      </c>
      <c r="AA117">
        <f>IF((phi!AA62),VLOOKUP(AA$1,main!$A$3:$I$56,5,FALSE)-VLOOKUP($A117,main!$A$3:$I$56,6,FALSE)+main!$D$58,0)</f>
        <v>0</v>
      </c>
      <c r="AB117">
        <f>IF((phi!AB62),VLOOKUP(AB$1,main!$A$3:$I$56,5,FALSE)-VLOOKUP($A117,main!$A$3:$I$56,6,FALSE)+main!$D$58,0)</f>
        <v>0</v>
      </c>
      <c r="AC117">
        <f>IF((phi!AC62),VLOOKUP(AC$1,main!$A$3:$I$56,5,FALSE)-VLOOKUP($A117,main!$A$3:$I$56,6,FALSE)+main!$D$58,0)</f>
        <v>0</v>
      </c>
      <c r="AD117">
        <f>IF((phi!AD62),VLOOKUP(AD$1,main!$A$3:$I$56,5,FALSE)-VLOOKUP($A117,main!$A$3:$I$56,6,FALSE)+main!$D$58,0)</f>
        <v>0</v>
      </c>
      <c r="AE117">
        <f>IF((phi!AE62),VLOOKUP(AE$1,main!$A$3:$I$56,5,FALSE)-VLOOKUP($A117,main!$A$3:$I$56,6,FALSE)+main!$D$58,0)</f>
        <v>0</v>
      </c>
      <c r="AF117">
        <f>IF((phi!AF62),VLOOKUP(AF$1,main!$A$3:$I$56,5,FALSE)-VLOOKUP($A117,main!$A$3:$I$56,6,FALSE)+main!$D$58,0)</f>
        <v>0</v>
      </c>
      <c r="AG117">
        <f>IF((phi!AG62),VLOOKUP(AG$1,main!$A$3:$I$56,5,FALSE)-VLOOKUP($A117,main!$A$3:$I$56,6,FALSE)+main!$D$58,0)</f>
        <v>0</v>
      </c>
      <c r="AH117">
        <f>IF((phi!AH62),VLOOKUP(AH$1,main!$A$3:$I$56,5,FALSE)-VLOOKUP($A117,main!$A$3:$I$56,6,FALSE)+main!$D$58,0)</f>
        <v>0</v>
      </c>
      <c r="AI117">
        <f>IF((phi!AI62),VLOOKUP(AI$1,main!$A$3:$I$56,5,FALSE)-VLOOKUP($A117,main!$A$3:$I$56,6,FALSE)+main!$D$58,0)</f>
        <v>0</v>
      </c>
      <c r="AJ117">
        <f>IF((phi!AJ62),VLOOKUP(AJ$1,main!$A$3:$I$56,5,FALSE)-VLOOKUP($A117,main!$A$3:$I$56,6,FALSE)+main!$D$58,0)</f>
        <v>0</v>
      </c>
      <c r="AK117">
        <f>IF((phi!AK62),VLOOKUP(AK$1,main!$A$3:$I$56,5,FALSE)-VLOOKUP($A117,main!$A$3:$I$56,6,FALSE)+main!$D$58,0)</f>
        <v>0</v>
      </c>
      <c r="AL117">
        <f>IF((phi!AL62),VLOOKUP(AL$1,main!$A$3:$I$56,5,FALSE)-VLOOKUP($A117,main!$A$3:$I$56,6,FALSE)+main!$D$58,0)</f>
        <v>0</v>
      </c>
      <c r="AM117">
        <f>IF((phi!AM62),VLOOKUP(AM$1,main!$A$3:$I$56,5,FALSE)-VLOOKUP($A117,main!$A$3:$I$56,6,FALSE)+main!$D$58,0)</f>
        <v>0</v>
      </c>
      <c r="AN117">
        <f>IF((phi!AN62),VLOOKUP(AN$1,main!$A$3:$I$56,5,FALSE)-VLOOKUP($A117,main!$A$3:$I$56,6,FALSE)+main!$D$58,0)</f>
        <v>0</v>
      </c>
      <c r="AO117">
        <f>IF((phi!AO62),VLOOKUP(AO$1,main!$A$3:$I$56,5,FALSE)-VLOOKUP($A117,main!$A$3:$I$56,6,FALSE)+main!$D$58,0)</f>
        <v>0</v>
      </c>
      <c r="AP117">
        <f>IF((phi!AP62),VLOOKUP(AP$1,main!$A$3:$I$56,5,FALSE)-VLOOKUP($A117,main!$A$3:$I$56,6,FALSE)+main!$D$58,0)</f>
        <v>0</v>
      </c>
      <c r="AQ117">
        <f>IF((phi!AQ62),VLOOKUP(AQ$1,main!$A$3:$I$56,5,FALSE)-VLOOKUP($A117,main!$A$3:$I$56,6,FALSE)+main!$D$58,0)</f>
        <v>0</v>
      </c>
      <c r="AR117">
        <f>IF((phi!AR62),VLOOKUP(AR$1,main!$A$3:$I$56,5,FALSE)-VLOOKUP($A117,main!$A$3:$I$56,6,FALSE)+main!$D$58,0)</f>
        <v>0</v>
      </c>
      <c r="AS117">
        <f>IF((phi!AS62),VLOOKUP(AS$1,main!$A$3:$I$56,5,FALSE)-VLOOKUP($A117,main!$A$3:$I$56,6,FALSE)+main!$D$58,0)</f>
        <v>0</v>
      </c>
      <c r="AT117">
        <f>IF((phi!AT62),VLOOKUP(AT$1,main!$A$3:$I$56,5,FALSE)-VLOOKUP($A117,main!$A$3:$I$56,6,FALSE)+main!$D$58,0)</f>
        <v>0</v>
      </c>
      <c r="AU117">
        <f>IF((phi!AU62),VLOOKUP(AU$1,main!$A$3:$I$56,5,FALSE)-VLOOKUP($A117,main!$A$3:$I$56,6,FALSE)+main!$D$58,0)</f>
        <v>0</v>
      </c>
      <c r="AV117">
        <f>IF((phi!AV62),VLOOKUP(AV$1,main!$A$3:$I$56,5,FALSE)-VLOOKUP($A117,main!$A$3:$I$56,6,FALSE)+main!$D$58,0)</f>
        <v>0</v>
      </c>
      <c r="AW117">
        <f>IF((phi!AW62),VLOOKUP(AW$1,main!$A$3:$I$56,5,FALSE)-VLOOKUP($A117,main!$A$3:$I$56,6,FALSE)+main!$D$58,0)</f>
        <v>0</v>
      </c>
      <c r="AX117">
        <f>IF((phi!AX62),VLOOKUP(AX$1,main!$A$3:$I$56,5,FALSE)-VLOOKUP($A117,main!$A$3:$I$56,6,FALSE)+main!$D$58,0)</f>
        <v>0</v>
      </c>
      <c r="AY117">
        <f>IF((phi!AY62),VLOOKUP(AY$1,main!$A$3:$I$56,5,FALSE)-VLOOKUP($A117,main!$A$3:$I$56,6,FALSE)+main!$D$58,0)</f>
        <v>0</v>
      </c>
      <c r="AZ117">
        <f>IF((phi!AZ62),VLOOKUP(AZ$1,main!$A$3:$I$56,5,FALSE)-VLOOKUP($A117,main!$A$3:$I$56,6,FALSE)+main!$D$58,0)</f>
        <v>0</v>
      </c>
      <c r="BA117">
        <f>IF((phi!BA62),VLOOKUP(BA$1,main!$A$3:$I$56,5,FALSE)-VLOOKUP($A117,main!$A$3:$I$56,6,FALSE)+main!$D$58,0)</f>
        <v>0</v>
      </c>
      <c r="BB117">
        <f>IF((phi!BB62),VLOOKUP(BB$1,main!$A$3:$I$56,5,FALSE)-VLOOKUP($A117,main!$A$3:$I$56,6,FALSE)+main!$D$58,0)</f>
        <v>0</v>
      </c>
      <c r="BC117">
        <f>IF((phi!BC62),VLOOKUP(BC$1,main!$A$3:$I$56,5,FALSE)-VLOOKUP($A117,main!$A$3:$I$56,6,FALSE)+main!$D$58,0)</f>
        <v>0</v>
      </c>
      <c r="BD117">
        <f>IF((phi!BD62),VLOOKUP(BD$1,main!$A$3:$I$56,5,FALSE)-VLOOKUP($A117,main!$A$3:$I$56,6,FALSE)+main!$D$58,0)</f>
        <v>0</v>
      </c>
    </row>
    <row r="118" spans="1:56" x14ac:dyDescent="0.25">
      <c r="A118">
        <f t="shared" si="4"/>
        <v>6</v>
      </c>
      <c r="B118">
        <v>0</v>
      </c>
      <c r="C118">
        <f>IF((phi!C63),VLOOKUP(C$1,main!$A$3:$I$56,5,FALSE)-VLOOKUP($A118,main!$A$3:$I$56,6,FALSE)+main!$D$58,0)</f>
        <v>0</v>
      </c>
      <c r="D118">
        <f>IF((phi!D63),VLOOKUP(D$1,main!$A$3:$I$56,5,FALSE)-VLOOKUP($A118,main!$A$3:$I$56,6,FALSE)+main!$D$58,0)</f>
        <v>0</v>
      </c>
      <c r="E118">
        <f>IF((phi!E63),VLOOKUP(E$1,main!$A$3:$I$56,5,FALSE)-VLOOKUP($A118,main!$A$3:$I$56,6,FALSE)+main!$D$58,0)</f>
        <v>0</v>
      </c>
      <c r="F118">
        <f>IF((phi!F63),VLOOKUP(F$1,main!$A$3:$I$56,5,FALSE)-VLOOKUP($A118,main!$A$3:$I$56,6,FALSE)+main!$D$58,0)</f>
        <v>0</v>
      </c>
      <c r="G118">
        <f>IF((phi!G63),VLOOKUP(G$1,main!$A$3:$I$56,5,FALSE)-VLOOKUP($A118,main!$A$3:$I$56,6,FALSE)+main!$D$58,0)</f>
        <v>0</v>
      </c>
      <c r="H118">
        <f>IF((phi!H63),VLOOKUP(H$1,main!$A$3:$I$56,5,FALSE)-VLOOKUP($A118,main!$A$3:$I$56,6,FALSE)+main!$D$58,0)</f>
        <v>0</v>
      </c>
      <c r="I118">
        <f>IF((phi!I63),VLOOKUP(I$1,main!$A$3:$I$56,5,FALSE)-VLOOKUP($A118,main!$A$3:$I$56,6,FALSE)+main!$D$58,0)</f>
        <v>0</v>
      </c>
      <c r="J118">
        <f>IF((phi!J63),VLOOKUP(J$1,main!$A$3:$I$56,5,FALSE)-VLOOKUP($A118,main!$A$3:$I$56,6,FALSE)+main!$D$58,0)</f>
        <v>0</v>
      </c>
      <c r="K118">
        <f>IF((phi!K63),VLOOKUP(K$1,main!$A$3:$I$56,5,FALSE)-VLOOKUP($A118,main!$A$3:$I$56,6,FALSE)+main!$D$58,0)</f>
        <v>0</v>
      </c>
      <c r="L118">
        <f>IF((phi!L63),VLOOKUP(L$1,main!$A$3:$I$56,5,FALSE)-VLOOKUP($A118,main!$A$3:$I$56,6,FALSE)+main!$D$58,0)</f>
        <v>0</v>
      </c>
      <c r="M118">
        <f>IF((phi!M63),VLOOKUP(M$1,main!$A$3:$I$56,5,FALSE)-VLOOKUP($A118,main!$A$3:$I$56,6,FALSE)+main!$D$58,0)</f>
        <v>0</v>
      </c>
      <c r="N118">
        <f>IF((phi!N63),VLOOKUP(N$1,main!$A$3:$I$56,5,FALSE)-VLOOKUP($A118,main!$A$3:$I$56,6,FALSE)+main!$D$58,0)</f>
        <v>0</v>
      </c>
      <c r="O118">
        <f>IF((phi!O63),VLOOKUP(O$1,main!$A$3:$I$56,5,FALSE)-VLOOKUP($A118,main!$A$3:$I$56,6,FALSE)+main!$D$58,0)</f>
        <v>0</v>
      </c>
      <c r="P118">
        <f>IF((phi!P63),VLOOKUP(P$1,main!$A$3:$I$56,5,FALSE)-VLOOKUP($A118,main!$A$3:$I$56,6,FALSE)+main!$D$58,0)</f>
        <v>0</v>
      </c>
      <c r="Q118">
        <f>IF((phi!Q63),VLOOKUP(Q$1,main!$A$3:$I$56,5,FALSE)-VLOOKUP($A118,main!$A$3:$I$56,6,FALSE)+main!$D$58,0)</f>
        <v>0</v>
      </c>
      <c r="R118">
        <f>IF((phi!R63),VLOOKUP(R$1,main!$A$3:$I$56,5,FALSE)-VLOOKUP($A118,main!$A$3:$I$56,6,FALSE)+main!$D$58,0)</f>
        <v>0</v>
      </c>
      <c r="S118">
        <f>IF((phi!S63),VLOOKUP(S$1,main!$A$3:$I$56,5,FALSE)-VLOOKUP($A118,main!$A$3:$I$56,6,FALSE)+main!$D$58,0)</f>
        <v>0</v>
      </c>
      <c r="T118">
        <f>IF((phi!T63),VLOOKUP(T$1,main!$A$3:$I$56,5,FALSE)-VLOOKUP($A118,main!$A$3:$I$56,6,FALSE)+main!$D$58,0)</f>
        <v>0</v>
      </c>
      <c r="U118">
        <f>IF((phi!U63),VLOOKUP(U$1,main!$A$3:$I$56,5,FALSE)-VLOOKUP($A118,main!$A$3:$I$56,6,FALSE)+main!$D$58,0)</f>
        <v>0</v>
      </c>
      <c r="V118">
        <f>IF((phi!V63),VLOOKUP(V$1,main!$A$3:$I$56,5,FALSE)-VLOOKUP($A118,main!$A$3:$I$56,6,FALSE)+main!$D$58,0)</f>
        <v>0</v>
      </c>
      <c r="W118">
        <f>IF((phi!W63),VLOOKUP(W$1,main!$A$3:$I$56,5,FALSE)-VLOOKUP($A118,main!$A$3:$I$56,6,FALSE)+main!$D$58,0)</f>
        <v>0</v>
      </c>
      <c r="X118">
        <f>IF((phi!X63),VLOOKUP(X$1,main!$A$3:$I$56,5,FALSE)-VLOOKUP($A118,main!$A$3:$I$56,6,FALSE)+main!$D$58,0)</f>
        <v>0</v>
      </c>
      <c r="Y118">
        <f>IF((phi!Y63),VLOOKUP(Y$1,main!$A$3:$I$56,5,FALSE)-VLOOKUP($A118,main!$A$3:$I$56,6,FALSE)+main!$D$58,0)</f>
        <v>0</v>
      </c>
      <c r="Z118">
        <f>IF((phi!Z63),VLOOKUP(Z$1,main!$A$3:$I$56,5,FALSE)-VLOOKUP($A118,main!$A$3:$I$56,6,FALSE)+main!$D$58,0)</f>
        <v>0</v>
      </c>
      <c r="AA118">
        <f>IF((phi!AA63),VLOOKUP(AA$1,main!$A$3:$I$56,5,FALSE)-VLOOKUP($A118,main!$A$3:$I$56,6,FALSE)+main!$D$58,0)</f>
        <v>0</v>
      </c>
      <c r="AB118">
        <f>IF((phi!AB63),VLOOKUP(AB$1,main!$A$3:$I$56,5,FALSE)-VLOOKUP($A118,main!$A$3:$I$56,6,FALSE)+main!$D$58,0)</f>
        <v>0</v>
      </c>
      <c r="AC118">
        <f>IF((phi!AC63),VLOOKUP(AC$1,main!$A$3:$I$56,5,FALSE)-VLOOKUP($A118,main!$A$3:$I$56,6,FALSE)+main!$D$58,0)</f>
        <v>0</v>
      </c>
      <c r="AD118">
        <f>IF((phi!AD63),VLOOKUP(AD$1,main!$A$3:$I$56,5,FALSE)-VLOOKUP($A118,main!$A$3:$I$56,6,FALSE)+main!$D$58,0)</f>
        <v>0</v>
      </c>
      <c r="AE118">
        <f>IF((phi!AE63),VLOOKUP(AE$1,main!$A$3:$I$56,5,FALSE)-VLOOKUP($A118,main!$A$3:$I$56,6,FALSE)+main!$D$58,0)</f>
        <v>0</v>
      </c>
      <c r="AF118">
        <f>IF((phi!AF63),VLOOKUP(AF$1,main!$A$3:$I$56,5,FALSE)-VLOOKUP($A118,main!$A$3:$I$56,6,FALSE)+main!$D$58,0)</f>
        <v>0</v>
      </c>
      <c r="AG118">
        <f>IF((phi!AG63),VLOOKUP(AG$1,main!$A$3:$I$56,5,FALSE)-VLOOKUP($A118,main!$A$3:$I$56,6,FALSE)+main!$D$58,0)</f>
        <v>0</v>
      </c>
      <c r="AH118">
        <f>IF((phi!AH63),VLOOKUP(AH$1,main!$A$3:$I$56,5,FALSE)-VLOOKUP($A118,main!$A$3:$I$56,6,FALSE)+main!$D$58,0)</f>
        <v>0</v>
      </c>
      <c r="AI118">
        <f>IF((phi!AI63),VLOOKUP(AI$1,main!$A$3:$I$56,5,FALSE)-VLOOKUP($A118,main!$A$3:$I$56,6,FALSE)+main!$D$58,0)</f>
        <v>0</v>
      </c>
      <c r="AJ118">
        <f>IF((phi!AJ63),VLOOKUP(AJ$1,main!$A$3:$I$56,5,FALSE)-VLOOKUP($A118,main!$A$3:$I$56,6,FALSE)+main!$D$58,0)</f>
        <v>0</v>
      </c>
      <c r="AK118">
        <f>IF((phi!AK63),VLOOKUP(AK$1,main!$A$3:$I$56,5,FALSE)-VLOOKUP($A118,main!$A$3:$I$56,6,FALSE)+main!$D$58,0)</f>
        <v>0</v>
      </c>
      <c r="AL118">
        <f>IF((phi!AL63),VLOOKUP(AL$1,main!$A$3:$I$56,5,FALSE)-VLOOKUP($A118,main!$A$3:$I$56,6,FALSE)+main!$D$58,0)</f>
        <v>0</v>
      </c>
      <c r="AM118">
        <f>IF((phi!AM63),VLOOKUP(AM$1,main!$A$3:$I$56,5,FALSE)-VLOOKUP($A118,main!$A$3:$I$56,6,FALSE)+main!$D$58,0)</f>
        <v>0</v>
      </c>
      <c r="AN118">
        <f>IF((phi!AN63),VLOOKUP(AN$1,main!$A$3:$I$56,5,FALSE)-VLOOKUP($A118,main!$A$3:$I$56,6,FALSE)+main!$D$58,0)</f>
        <v>0</v>
      </c>
      <c r="AO118">
        <f>IF((phi!AO63),VLOOKUP(AO$1,main!$A$3:$I$56,5,FALSE)-VLOOKUP($A118,main!$A$3:$I$56,6,FALSE)+main!$D$58,0)</f>
        <v>0</v>
      </c>
      <c r="AP118">
        <f>IF((phi!AP63),VLOOKUP(AP$1,main!$A$3:$I$56,5,FALSE)-VLOOKUP($A118,main!$A$3:$I$56,6,FALSE)+main!$D$58,0)</f>
        <v>0</v>
      </c>
      <c r="AQ118">
        <f>IF((phi!AQ63),VLOOKUP(AQ$1,main!$A$3:$I$56,5,FALSE)-VLOOKUP($A118,main!$A$3:$I$56,6,FALSE)+main!$D$58,0)</f>
        <v>0</v>
      </c>
      <c r="AR118">
        <f>IF((phi!AR63),VLOOKUP(AR$1,main!$A$3:$I$56,5,FALSE)-VLOOKUP($A118,main!$A$3:$I$56,6,FALSE)+main!$D$58,0)</f>
        <v>0</v>
      </c>
      <c r="AS118">
        <f>IF((phi!AS63),VLOOKUP(AS$1,main!$A$3:$I$56,5,FALSE)-VLOOKUP($A118,main!$A$3:$I$56,6,FALSE)+main!$D$58,0)</f>
        <v>0</v>
      </c>
      <c r="AT118">
        <f>IF((phi!AT63),VLOOKUP(AT$1,main!$A$3:$I$56,5,FALSE)-VLOOKUP($A118,main!$A$3:$I$56,6,FALSE)+main!$D$58,0)</f>
        <v>0</v>
      </c>
      <c r="AU118">
        <f>IF((phi!AU63),VLOOKUP(AU$1,main!$A$3:$I$56,5,FALSE)-VLOOKUP($A118,main!$A$3:$I$56,6,FALSE)+main!$D$58,0)</f>
        <v>0</v>
      </c>
      <c r="AV118">
        <f>IF((phi!AV63),VLOOKUP(AV$1,main!$A$3:$I$56,5,FALSE)-VLOOKUP($A118,main!$A$3:$I$56,6,FALSE)+main!$D$58,0)</f>
        <v>0</v>
      </c>
      <c r="AW118">
        <f>IF((phi!AW63),VLOOKUP(AW$1,main!$A$3:$I$56,5,FALSE)-VLOOKUP($A118,main!$A$3:$I$56,6,FALSE)+main!$D$58,0)</f>
        <v>0</v>
      </c>
      <c r="AX118">
        <f>IF((phi!AX63),VLOOKUP(AX$1,main!$A$3:$I$56,5,FALSE)-VLOOKUP($A118,main!$A$3:$I$56,6,FALSE)+main!$D$58,0)</f>
        <v>0</v>
      </c>
      <c r="AY118">
        <f>IF((phi!AY63),VLOOKUP(AY$1,main!$A$3:$I$56,5,FALSE)-VLOOKUP($A118,main!$A$3:$I$56,6,FALSE)+main!$D$58,0)</f>
        <v>0</v>
      </c>
      <c r="AZ118">
        <f>IF((phi!AZ63),VLOOKUP(AZ$1,main!$A$3:$I$56,5,FALSE)-VLOOKUP($A118,main!$A$3:$I$56,6,FALSE)+main!$D$58,0)</f>
        <v>0</v>
      </c>
      <c r="BA118">
        <f>IF((phi!BA63),VLOOKUP(BA$1,main!$A$3:$I$56,5,FALSE)-VLOOKUP($A118,main!$A$3:$I$56,6,FALSE)+main!$D$58,0)</f>
        <v>0</v>
      </c>
      <c r="BB118">
        <f>IF((phi!BB63),VLOOKUP(BB$1,main!$A$3:$I$56,5,FALSE)-VLOOKUP($A118,main!$A$3:$I$56,6,FALSE)+main!$D$58,0)</f>
        <v>0</v>
      </c>
      <c r="BC118">
        <f>IF((phi!BC63),VLOOKUP(BC$1,main!$A$3:$I$56,5,FALSE)-VLOOKUP($A118,main!$A$3:$I$56,6,FALSE)+main!$D$58,0)</f>
        <v>0</v>
      </c>
      <c r="BD118">
        <f>IF((phi!BD63),VLOOKUP(BD$1,main!$A$3:$I$56,5,FALSE)-VLOOKUP($A118,main!$A$3:$I$56,6,FALSE)+main!$D$58,0)</f>
        <v>0</v>
      </c>
    </row>
    <row r="119" spans="1:56" x14ac:dyDescent="0.25">
      <c r="A119">
        <f t="shared" si="4"/>
        <v>7</v>
      </c>
      <c r="B119">
        <v>0</v>
      </c>
      <c r="C119">
        <f>IF((phi!C64),VLOOKUP(C$1,main!$A$3:$I$56,5,FALSE)-VLOOKUP($A119,main!$A$3:$I$56,6,FALSE)+main!$D$58,0)</f>
        <v>0</v>
      </c>
      <c r="D119">
        <f>IF((phi!D64),VLOOKUP(D$1,main!$A$3:$I$56,5,FALSE)-VLOOKUP($A119,main!$A$3:$I$56,6,FALSE)+main!$D$58,0)</f>
        <v>0</v>
      </c>
      <c r="E119">
        <f>IF((phi!E64),VLOOKUP(E$1,main!$A$3:$I$56,5,FALSE)-VLOOKUP($A119,main!$A$3:$I$56,6,FALSE)+main!$D$58,0)</f>
        <v>0</v>
      </c>
      <c r="F119">
        <f>IF((phi!F64),VLOOKUP(F$1,main!$A$3:$I$56,5,FALSE)-VLOOKUP($A119,main!$A$3:$I$56,6,FALSE)+main!$D$58,0)</f>
        <v>0</v>
      </c>
      <c r="G119">
        <f>IF((phi!G64),VLOOKUP(G$1,main!$A$3:$I$56,5,FALSE)-VLOOKUP($A119,main!$A$3:$I$56,6,FALSE)+main!$D$58,0)</f>
        <v>0</v>
      </c>
      <c r="H119">
        <f>IF((phi!H64),VLOOKUP(H$1,main!$A$3:$I$56,5,FALSE)-VLOOKUP($A119,main!$A$3:$I$56,6,FALSE)+main!$D$58,0)</f>
        <v>0</v>
      </c>
      <c r="I119">
        <f>IF((phi!I64),VLOOKUP(I$1,main!$A$3:$I$56,5,FALSE)-VLOOKUP($A119,main!$A$3:$I$56,6,FALSE)+main!$D$58,0)</f>
        <v>0</v>
      </c>
      <c r="J119">
        <f>IF((phi!J64),VLOOKUP(J$1,main!$A$3:$I$56,5,FALSE)-VLOOKUP($A119,main!$A$3:$I$56,6,FALSE)+main!$D$58,0)</f>
        <v>0</v>
      </c>
      <c r="K119">
        <f>IF((phi!K64),VLOOKUP(K$1,main!$A$3:$I$56,5,FALSE)-VLOOKUP($A119,main!$A$3:$I$56,6,FALSE)+main!$D$58,0)</f>
        <v>0</v>
      </c>
      <c r="L119">
        <f>IF((phi!L64),VLOOKUP(L$1,main!$A$3:$I$56,5,FALSE)-VLOOKUP($A119,main!$A$3:$I$56,6,FALSE)+main!$D$58,0)</f>
        <v>0</v>
      </c>
      <c r="M119">
        <f>IF((phi!M64),VLOOKUP(M$1,main!$A$3:$I$56,5,FALSE)-VLOOKUP($A119,main!$A$3:$I$56,6,FALSE)+main!$D$58,0)</f>
        <v>0</v>
      </c>
      <c r="N119">
        <f>IF((phi!N64),VLOOKUP(N$1,main!$A$3:$I$56,5,FALSE)-VLOOKUP($A119,main!$A$3:$I$56,6,FALSE)+main!$D$58,0)</f>
        <v>0</v>
      </c>
      <c r="O119">
        <f>IF((phi!O64),VLOOKUP(O$1,main!$A$3:$I$56,5,FALSE)-VLOOKUP($A119,main!$A$3:$I$56,6,FALSE)+main!$D$58,0)</f>
        <v>0</v>
      </c>
      <c r="P119">
        <f>IF((phi!P64),VLOOKUP(P$1,main!$A$3:$I$56,5,FALSE)-VLOOKUP($A119,main!$A$3:$I$56,6,FALSE)+main!$D$58,0)</f>
        <v>0</v>
      </c>
      <c r="Q119">
        <f>IF((phi!Q64),VLOOKUP(Q$1,main!$A$3:$I$56,5,FALSE)-VLOOKUP($A119,main!$A$3:$I$56,6,FALSE)+main!$D$58,0)</f>
        <v>0</v>
      </c>
      <c r="R119">
        <f>IF((phi!R64),VLOOKUP(R$1,main!$A$3:$I$56,5,FALSE)-VLOOKUP($A119,main!$A$3:$I$56,6,FALSE)+main!$D$58,0)</f>
        <v>0</v>
      </c>
      <c r="S119">
        <f>IF((phi!S64),VLOOKUP(S$1,main!$A$3:$I$56,5,FALSE)-VLOOKUP($A119,main!$A$3:$I$56,6,FALSE)+main!$D$58,0)</f>
        <v>0</v>
      </c>
      <c r="T119">
        <f>IF((phi!T64),VLOOKUP(T$1,main!$A$3:$I$56,5,FALSE)-VLOOKUP($A119,main!$A$3:$I$56,6,FALSE)+main!$D$58,0)</f>
        <v>0</v>
      </c>
      <c r="U119">
        <f>IF((phi!U64),VLOOKUP(U$1,main!$A$3:$I$56,5,FALSE)-VLOOKUP($A119,main!$A$3:$I$56,6,FALSE)+main!$D$58,0)</f>
        <v>0</v>
      </c>
      <c r="V119">
        <f>IF((phi!V64),VLOOKUP(V$1,main!$A$3:$I$56,5,FALSE)-VLOOKUP($A119,main!$A$3:$I$56,6,FALSE)+main!$D$58,0)</f>
        <v>0</v>
      </c>
      <c r="W119">
        <f>IF((phi!W64),VLOOKUP(W$1,main!$A$3:$I$56,5,FALSE)-VLOOKUP($A119,main!$A$3:$I$56,6,FALSE)+main!$D$58,0)</f>
        <v>0</v>
      </c>
      <c r="X119">
        <f>IF((phi!X64),VLOOKUP(X$1,main!$A$3:$I$56,5,FALSE)-VLOOKUP($A119,main!$A$3:$I$56,6,FALSE)+main!$D$58,0)</f>
        <v>0</v>
      </c>
      <c r="Y119">
        <f>IF((phi!Y64),VLOOKUP(Y$1,main!$A$3:$I$56,5,FALSE)-VLOOKUP($A119,main!$A$3:$I$56,6,FALSE)+main!$D$58,0)</f>
        <v>0</v>
      </c>
      <c r="Z119">
        <f>IF((phi!Z64),VLOOKUP(Z$1,main!$A$3:$I$56,5,FALSE)-VLOOKUP($A119,main!$A$3:$I$56,6,FALSE)+main!$D$58,0)</f>
        <v>0</v>
      </c>
      <c r="AA119">
        <f>IF((phi!AA64),VLOOKUP(AA$1,main!$A$3:$I$56,5,FALSE)-VLOOKUP($A119,main!$A$3:$I$56,6,FALSE)+main!$D$58,0)</f>
        <v>0</v>
      </c>
      <c r="AB119">
        <f>IF((phi!AB64),VLOOKUP(AB$1,main!$A$3:$I$56,5,FALSE)-VLOOKUP($A119,main!$A$3:$I$56,6,FALSE)+main!$D$58,0)</f>
        <v>0</v>
      </c>
      <c r="AC119">
        <f>IF((phi!AC64),VLOOKUP(AC$1,main!$A$3:$I$56,5,FALSE)-VLOOKUP($A119,main!$A$3:$I$56,6,FALSE)+main!$D$58,0)</f>
        <v>0</v>
      </c>
      <c r="AD119">
        <f>IF((phi!AD64),VLOOKUP(AD$1,main!$A$3:$I$56,5,FALSE)-VLOOKUP($A119,main!$A$3:$I$56,6,FALSE)+main!$D$58,0)</f>
        <v>0</v>
      </c>
      <c r="AE119">
        <f>IF((phi!AE64),VLOOKUP(AE$1,main!$A$3:$I$56,5,FALSE)-VLOOKUP($A119,main!$A$3:$I$56,6,FALSE)+main!$D$58,0)</f>
        <v>0</v>
      </c>
      <c r="AF119">
        <f>IF((phi!AF64),VLOOKUP(AF$1,main!$A$3:$I$56,5,FALSE)-VLOOKUP($A119,main!$A$3:$I$56,6,FALSE)+main!$D$58,0)</f>
        <v>0</v>
      </c>
      <c r="AG119">
        <f>IF((phi!AG64),VLOOKUP(AG$1,main!$A$3:$I$56,5,FALSE)-VLOOKUP($A119,main!$A$3:$I$56,6,FALSE)+main!$D$58,0)</f>
        <v>0</v>
      </c>
      <c r="AH119">
        <f>IF((phi!AH64),VLOOKUP(AH$1,main!$A$3:$I$56,5,FALSE)-VLOOKUP($A119,main!$A$3:$I$56,6,FALSE)+main!$D$58,0)</f>
        <v>0</v>
      </c>
      <c r="AI119">
        <f>IF((phi!AI64),VLOOKUP(AI$1,main!$A$3:$I$56,5,FALSE)-VLOOKUP($A119,main!$A$3:$I$56,6,FALSE)+main!$D$58,0)</f>
        <v>0</v>
      </c>
      <c r="AJ119">
        <f>IF((phi!AJ64),VLOOKUP(AJ$1,main!$A$3:$I$56,5,FALSE)-VLOOKUP($A119,main!$A$3:$I$56,6,FALSE)+main!$D$58,0)</f>
        <v>0</v>
      </c>
      <c r="AK119">
        <f>IF((phi!AK64),VLOOKUP(AK$1,main!$A$3:$I$56,5,FALSE)-VLOOKUP($A119,main!$A$3:$I$56,6,FALSE)+main!$D$58,0)</f>
        <v>0</v>
      </c>
      <c r="AL119">
        <f>IF((phi!AL64),VLOOKUP(AL$1,main!$A$3:$I$56,5,FALSE)-VLOOKUP($A119,main!$A$3:$I$56,6,FALSE)+main!$D$58,0)</f>
        <v>0</v>
      </c>
      <c r="AM119">
        <f>IF((phi!AM64),VLOOKUP(AM$1,main!$A$3:$I$56,5,FALSE)-VLOOKUP($A119,main!$A$3:$I$56,6,FALSE)+main!$D$58,0)</f>
        <v>0</v>
      </c>
      <c r="AN119">
        <f>IF((phi!AN64),VLOOKUP(AN$1,main!$A$3:$I$56,5,FALSE)-VLOOKUP($A119,main!$A$3:$I$56,6,FALSE)+main!$D$58,0)</f>
        <v>0</v>
      </c>
      <c r="AO119">
        <f>IF((phi!AO64),VLOOKUP(AO$1,main!$A$3:$I$56,5,FALSE)-VLOOKUP($A119,main!$A$3:$I$56,6,FALSE)+main!$D$58,0)</f>
        <v>0</v>
      </c>
      <c r="AP119">
        <f>IF((phi!AP64),VLOOKUP(AP$1,main!$A$3:$I$56,5,FALSE)-VLOOKUP($A119,main!$A$3:$I$56,6,FALSE)+main!$D$58,0)</f>
        <v>0</v>
      </c>
      <c r="AQ119">
        <f>IF((phi!AQ64),VLOOKUP(AQ$1,main!$A$3:$I$56,5,FALSE)-VLOOKUP($A119,main!$A$3:$I$56,6,FALSE)+main!$D$58,0)</f>
        <v>0</v>
      </c>
      <c r="AR119">
        <f>IF((phi!AR64),VLOOKUP(AR$1,main!$A$3:$I$56,5,FALSE)-VLOOKUP($A119,main!$A$3:$I$56,6,FALSE)+main!$D$58,0)</f>
        <v>0</v>
      </c>
      <c r="AS119">
        <f>IF((phi!AS64),VLOOKUP(AS$1,main!$A$3:$I$56,5,FALSE)-VLOOKUP($A119,main!$A$3:$I$56,6,FALSE)+main!$D$58,0)</f>
        <v>0</v>
      </c>
      <c r="AT119">
        <f>IF((phi!AT64),VLOOKUP(AT$1,main!$A$3:$I$56,5,FALSE)-VLOOKUP($A119,main!$A$3:$I$56,6,FALSE)+main!$D$58,0)</f>
        <v>0</v>
      </c>
      <c r="AU119">
        <f>IF((phi!AU64),VLOOKUP(AU$1,main!$A$3:$I$56,5,FALSE)-VLOOKUP($A119,main!$A$3:$I$56,6,FALSE)+main!$D$58,0)</f>
        <v>0</v>
      </c>
      <c r="AV119">
        <f>IF((phi!AV64),VLOOKUP(AV$1,main!$A$3:$I$56,5,FALSE)-VLOOKUP($A119,main!$A$3:$I$56,6,FALSE)+main!$D$58,0)</f>
        <v>0</v>
      </c>
      <c r="AW119">
        <f>IF((phi!AW64),VLOOKUP(AW$1,main!$A$3:$I$56,5,FALSE)-VLOOKUP($A119,main!$A$3:$I$56,6,FALSE)+main!$D$58,0)</f>
        <v>0</v>
      </c>
      <c r="AX119">
        <f>IF((phi!AX64),VLOOKUP(AX$1,main!$A$3:$I$56,5,FALSE)-VLOOKUP($A119,main!$A$3:$I$56,6,FALSE)+main!$D$58,0)</f>
        <v>0</v>
      </c>
      <c r="AY119">
        <f>IF((phi!AY64),VLOOKUP(AY$1,main!$A$3:$I$56,5,FALSE)-VLOOKUP($A119,main!$A$3:$I$56,6,FALSE)+main!$D$58,0)</f>
        <v>0</v>
      </c>
      <c r="AZ119">
        <f>IF((phi!AZ64),VLOOKUP(AZ$1,main!$A$3:$I$56,5,FALSE)-VLOOKUP($A119,main!$A$3:$I$56,6,FALSE)+main!$D$58,0)</f>
        <v>0</v>
      </c>
      <c r="BA119">
        <f>IF((phi!BA64),VLOOKUP(BA$1,main!$A$3:$I$56,5,FALSE)-VLOOKUP($A119,main!$A$3:$I$56,6,FALSE)+main!$D$58,0)</f>
        <v>0</v>
      </c>
      <c r="BB119">
        <f>IF((phi!BB64),VLOOKUP(BB$1,main!$A$3:$I$56,5,FALSE)-VLOOKUP($A119,main!$A$3:$I$56,6,FALSE)+main!$D$58,0)</f>
        <v>0</v>
      </c>
      <c r="BC119">
        <f>IF((phi!BC64),VLOOKUP(BC$1,main!$A$3:$I$56,5,FALSE)-VLOOKUP($A119,main!$A$3:$I$56,6,FALSE)+main!$D$58,0)</f>
        <v>0</v>
      </c>
      <c r="BD119">
        <f>IF((phi!BD64),VLOOKUP(BD$1,main!$A$3:$I$56,5,FALSE)-VLOOKUP($A119,main!$A$3:$I$56,6,FALSE)+main!$D$58,0)</f>
        <v>0</v>
      </c>
    </row>
    <row r="120" spans="1:56" x14ac:dyDescent="0.25">
      <c r="A120">
        <f t="shared" si="4"/>
        <v>8</v>
      </c>
      <c r="B120">
        <v>0</v>
      </c>
      <c r="C120">
        <f>IF((phi!C65),VLOOKUP(C$1,main!$A$3:$I$56,5,FALSE)-VLOOKUP($A120,main!$A$3:$I$56,6,FALSE)+main!$D$58,0)</f>
        <v>0</v>
      </c>
      <c r="D120">
        <f>IF((phi!D65),VLOOKUP(D$1,main!$A$3:$I$56,5,FALSE)-VLOOKUP($A120,main!$A$3:$I$56,6,FALSE)+main!$D$58,0)</f>
        <v>0</v>
      </c>
      <c r="E120">
        <f>IF((phi!E65),VLOOKUP(E$1,main!$A$3:$I$56,5,FALSE)-VLOOKUP($A120,main!$A$3:$I$56,6,FALSE)+main!$D$58,0)</f>
        <v>0</v>
      </c>
      <c r="F120">
        <f>IF((phi!F65),VLOOKUP(F$1,main!$A$3:$I$56,5,FALSE)-VLOOKUP($A120,main!$A$3:$I$56,6,FALSE)+main!$D$58,0)</f>
        <v>0</v>
      </c>
      <c r="G120">
        <f>IF((phi!G65),VLOOKUP(G$1,main!$A$3:$I$56,5,FALSE)-VLOOKUP($A120,main!$A$3:$I$56,6,FALSE)+main!$D$58,0)</f>
        <v>0</v>
      </c>
      <c r="H120">
        <f>IF((phi!H65),VLOOKUP(H$1,main!$A$3:$I$56,5,FALSE)-VLOOKUP($A120,main!$A$3:$I$56,6,FALSE)+main!$D$58,0)</f>
        <v>0</v>
      </c>
      <c r="I120">
        <f>IF((phi!I65),VLOOKUP(I$1,main!$A$3:$I$56,5,FALSE)-VLOOKUP($A120,main!$A$3:$I$56,6,FALSE)+main!$D$58,0)</f>
        <v>0</v>
      </c>
      <c r="J120">
        <f>IF((phi!J65),VLOOKUP(J$1,main!$A$3:$I$56,5,FALSE)-VLOOKUP($A120,main!$A$3:$I$56,6,FALSE)+main!$D$58,0)</f>
        <v>0</v>
      </c>
      <c r="K120">
        <f>IF((phi!K65),VLOOKUP(K$1,main!$A$3:$I$56,5,FALSE)-VLOOKUP($A120,main!$A$3:$I$56,6,FALSE)+main!$D$58,0)</f>
        <v>0</v>
      </c>
      <c r="L120">
        <f>IF((phi!L65),VLOOKUP(L$1,main!$A$3:$I$56,5,FALSE)-VLOOKUP($A120,main!$A$3:$I$56,6,FALSE)+main!$D$58,0)</f>
        <v>0</v>
      </c>
      <c r="M120">
        <f>IF((phi!M65),VLOOKUP(M$1,main!$A$3:$I$56,5,FALSE)-VLOOKUP($A120,main!$A$3:$I$56,6,FALSE)+main!$D$58,0)</f>
        <v>0</v>
      </c>
      <c r="N120">
        <f>IF((phi!N65),VLOOKUP(N$1,main!$A$3:$I$56,5,FALSE)-VLOOKUP($A120,main!$A$3:$I$56,6,FALSE)+main!$D$58,0)</f>
        <v>0</v>
      </c>
      <c r="O120">
        <f>IF((phi!O65),VLOOKUP(O$1,main!$A$3:$I$56,5,FALSE)-VLOOKUP($A120,main!$A$3:$I$56,6,FALSE)+main!$D$58,0)</f>
        <v>0</v>
      </c>
      <c r="P120">
        <f>IF((phi!P65),VLOOKUP(P$1,main!$A$3:$I$56,5,FALSE)-VLOOKUP($A120,main!$A$3:$I$56,6,FALSE)+main!$D$58,0)</f>
        <v>0</v>
      </c>
      <c r="Q120">
        <f>IF((phi!Q65),VLOOKUP(Q$1,main!$A$3:$I$56,5,FALSE)-VLOOKUP($A120,main!$A$3:$I$56,6,FALSE)+main!$D$58,0)</f>
        <v>0</v>
      </c>
      <c r="R120">
        <f>IF((phi!R65),VLOOKUP(R$1,main!$A$3:$I$56,5,FALSE)-VLOOKUP($A120,main!$A$3:$I$56,6,FALSE)+main!$D$58,0)</f>
        <v>0</v>
      </c>
      <c r="S120">
        <f>IF((phi!S65),VLOOKUP(S$1,main!$A$3:$I$56,5,FALSE)-VLOOKUP($A120,main!$A$3:$I$56,6,FALSE)+main!$D$58,0)</f>
        <v>0</v>
      </c>
      <c r="T120">
        <f>IF((phi!T65),VLOOKUP(T$1,main!$A$3:$I$56,5,FALSE)-VLOOKUP($A120,main!$A$3:$I$56,6,FALSE)+main!$D$58,0)</f>
        <v>0</v>
      </c>
      <c r="U120">
        <f>IF((phi!U65),VLOOKUP(U$1,main!$A$3:$I$56,5,FALSE)-VLOOKUP($A120,main!$A$3:$I$56,6,FALSE)+main!$D$58,0)</f>
        <v>0</v>
      </c>
      <c r="V120">
        <f>IF((phi!V65),VLOOKUP(V$1,main!$A$3:$I$56,5,FALSE)-VLOOKUP($A120,main!$A$3:$I$56,6,FALSE)+main!$D$58,0)</f>
        <v>0</v>
      </c>
      <c r="W120">
        <f>IF((phi!W65),VLOOKUP(W$1,main!$A$3:$I$56,5,FALSE)-VLOOKUP($A120,main!$A$3:$I$56,6,FALSE)+main!$D$58,0)</f>
        <v>0</v>
      </c>
      <c r="X120">
        <f>IF((phi!X65),VLOOKUP(X$1,main!$A$3:$I$56,5,FALSE)-VLOOKUP($A120,main!$A$3:$I$56,6,FALSE)+main!$D$58,0)</f>
        <v>0</v>
      </c>
      <c r="Y120">
        <f>IF((phi!Y65),VLOOKUP(Y$1,main!$A$3:$I$56,5,FALSE)-VLOOKUP($A120,main!$A$3:$I$56,6,FALSE)+main!$D$58,0)</f>
        <v>0</v>
      </c>
      <c r="Z120">
        <f>IF((phi!Z65),VLOOKUP(Z$1,main!$A$3:$I$56,5,FALSE)-VLOOKUP($A120,main!$A$3:$I$56,6,FALSE)+main!$D$58,0)</f>
        <v>0</v>
      </c>
      <c r="AA120">
        <f>IF((phi!AA65),VLOOKUP(AA$1,main!$A$3:$I$56,5,FALSE)-VLOOKUP($A120,main!$A$3:$I$56,6,FALSE)+main!$D$58,0)</f>
        <v>0</v>
      </c>
      <c r="AB120">
        <f>IF((phi!AB65),VLOOKUP(AB$1,main!$A$3:$I$56,5,FALSE)-VLOOKUP($A120,main!$A$3:$I$56,6,FALSE)+main!$D$58,0)</f>
        <v>0</v>
      </c>
      <c r="AC120">
        <f>IF((phi!AC65),VLOOKUP(AC$1,main!$A$3:$I$56,5,FALSE)-VLOOKUP($A120,main!$A$3:$I$56,6,FALSE)+main!$D$58,0)</f>
        <v>0</v>
      </c>
      <c r="AD120">
        <f>IF((phi!AD65),VLOOKUP(AD$1,main!$A$3:$I$56,5,FALSE)-VLOOKUP($A120,main!$A$3:$I$56,6,FALSE)+main!$D$58,0)</f>
        <v>0</v>
      </c>
      <c r="AE120">
        <f>IF((phi!AE65),VLOOKUP(AE$1,main!$A$3:$I$56,5,FALSE)-VLOOKUP($A120,main!$A$3:$I$56,6,FALSE)+main!$D$58,0)</f>
        <v>0</v>
      </c>
      <c r="AF120">
        <f>IF((phi!AF65),VLOOKUP(AF$1,main!$A$3:$I$56,5,FALSE)-VLOOKUP($A120,main!$A$3:$I$56,6,FALSE)+main!$D$58,0)</f>
        <v>0</v>
      </c>
      <c r="AG120">
        <f>IF((phi!AG65),VLOOKUP(AG$1,main!$A$3:$I$56,5,FALSE)-VLOOKUP($A120,main!$A$3:$I$56,6,FALSE)+main!$D$58,0)</f>
        <v>0</v>
      </c>
      <c r="AH120">
        <f>IF((phi!AH65),VLOOKUP(AH$1,main!$A$3:$I$56,5,FALSE)-VLOOKUP($A120,main!$A$3:$I$56,6,FALSE)+main!$D$58,0)</f>
        <v>0</v>
      </c>
      <c r="AI120">
        <f>IF((phi!AI65),VLOOKUP(AI$1,main!$A$3:$I$56,5,FALSE)-VLOOKUP($A120,main!$A$3:$I$56,6,FALSE)+main!$D$58,0)</f>
        <v>0</v>
      </c>
      <c r="AJ120">
        <f>IF((phi!AJ65),VLOOKUP(AJ$1,main!$A$3:$I$56,5,FALSE)-VLOOKUP($A120,main!$A$3:$I$56,6,FALSE)+main!$D$58,0)</f>
        <v>0</v>
      </c>
      <c r="AK120">
        <f>IF((phi!AK65),VLOOKUP(AK$1,main!$A$3:$I$56,5,FALSE)-VLOOKUP($A120,main!$A$3:$I$56,6,FALSE)+main!$D$58,0)</f>
        <v>0</v>
      </c>
      <c r="AL120">
        <f>IF((phi!AL65),VLOOKUP(AL$1,main!$A$3:$I$56,5,FALSE)-VLOOKUP($A120,main!$A$3:$I$56,6,FALSE)+main!$D$58,0)</f>
        <v>0</v>
      </c>
      <c r="AM120">
        <f>IF((phi!AM65),VLOOKUP(AM$1,main!$A$3:$I$56,5,FALSE)-VLOOKUP($A120,main!$A$3:$I$56,6,FALSE)+main!$D$58,0)</f>
        <v>0</v>
      </c>
      <c r="AN120">
        <f>IF((phi!AN65),VLOOKUP(AN$1,main!$A$3:$I$56,5,FALSE)-VLOOKUP($A120,main!$A$3:$I$56,6,FALSE)+main!$D$58,0)</f>
        <v>0</v>
      </c>
      <c r="AO120">
        <f>IF((phi!AO65),VLOOKUP(AO$1,main!$A$3:$I$56,5,FALSE)-VLOOKUP($A120,main!$A$3:$I$56,6,FALSE)+main!$D$58,0)</f>
        <v>0</v>
      </c>
      <c r="AP120">
        <f>IF((phi!AP65),VLOOKUP(AP$1,main!$A$3:$I$56,5,FALSE)-VLOOKUP($A120,main!$A$3:$I$56,6,FALSE)+main!$D$58,0)</f>
        <v>0</v>
      </c>
      <c r="AQ120">
        <f>IF((phi!AQ65),VLOOKUP(AQ$1,main!$A$3:$I$56,5,FALSE)-VLOOKUP($A120,main!$A$3:$I$56,6,FALSE)+main!$D$58,0)</f>
        <v>0</v>
      </c>
      <c r="AR120">
        <f>IF((phi!AR65),VLOOKUP(AR$1,main!$A$3:$I$56,5,FALSE)-VLOOKUP($A120,main!$A$3:$I$56,6,FALSE)+main!$D$58,0)</f>
        <v>0</v>
      </c>
      <c r="AS120">
        <f>IF((phi!AS65),VLOOKUP(AS$1,main!$A$3:$I$56,5,FALSE)-VLOOKUP($A120,main!$A$3:$I$56,6,FALSE)+main!$D$58,0)</f>
        <v>0</v>
      </c>
      <c r="AT120">
        <f>IF((phi!AT65),VLOOKUP(AT$1,main!$A$3:$I$56,5,FALSE)-VLOOKUP($A120,main!$A$3:$I$56,6,FALSE)+main!$D$58,0)</f>
        <v>0</v>
      </c>
      <c r="AU120">
        <f>IF((phi!AU65),VLOOKUP(AU$1,main!$A$3:$I$56,5,FALSE)-VLOOKUP($A120,main!$A$3:$I$56,6,FALSE)+main!$D$58,0)</f>
        <v>0</v>
      </c>
      <c r="AV120">
        <f>IF((phi!AV65),VLOOKUP(AV$1,main!$A$3:$I$56,5,FALSE)-VLOOKUP($A120,main!$A$3:$I$56,6,FALSE)+main!$D$58,0)</f>
        <v>0</v>
      </c>
      <c r="AW120">
        <f>IF((phi!AW65),VLOOKUP(AW$1,main!$A$3:$I$56,5,FALSE)-VLOOKUP($A120,main!$A$3:$I$56,6,FALSE)+main!$D$58,0)</f>
        <v>0</v>
      </c>
      <c r="AX120">
        <f>IF((phi!AX65),VLOOKUP(AX$1,main!$A$3:$I$56,5,FALSE)-VLOOKUP($A120,main!$A$3:$I$56,6,FALSE)+main!$D$58,0)</f>
        <v>0</v>
      </c>
      <c r="AY120">
        <f>IF((phi!AY65),VLOOKUP(AY$1,main!$A$3:$I$56,5,FALSE)-VLOOKUP($A120,main!$A$3:$I$56,6,FALSE)+main!$D$58,0)</f>
        <v>0</v>
      </c>
      <c r="AZ120">
        <f>IF((phi!AZ65),VLOOKUP(AZ$1,main!$A$3:$I$56,5,FALSE)-VLOOKUP($A120,main!$A$3:$I$56,6,FALSE)+main!$D$58,0)</f>
        <v>0</v>
      </c>
      <c r="BA120">
        <f>IF((phi!BA65),VLOOKUP(BA$1,main!$A$3:$I$56,5,FALSE)-VLOOKUP($A120,main!$A$3:$I$56,6,FALSE)+main!$D$58,0)</f>
        <v>0</v>
      </c>
      <c r="BB120">
        <f>IF((phi!BB65),VLOOKUP(BB$1,main!$A$3:$I$56,5,FALSE)-VLOOKUP($A120,main!$A$3:$I$56,6,FALSE)+main!$D$58,0)</f>
        <v>0</v>
      </c>
      <c r="BC120">
        <f>IF((phi!BC65),VLOOKUP(BC$1,main!$A$3:$I$56,5,FALSE)-VLOOKUP($A120,main!$A$3:$I$56,6,FALSE)+main!$D$58,0)</f>
        <v>0</v>
      </c>
      <c r="BD120">
        <f>IF((phi!BD65),VLOOKUP(BD$1,main!$A$3:$I$56,5,FALSE)-VLOOKUP($A120,main!$A$3:$I$56,6,FALSE)+main!$D$58,0)</f>
        <v>0</v>
      </c>
    </row>
    <row r="121" spans="1:56" x14ac:dyDescent="0.25">
      <c r="A121">
        <f t="shared" si="4"/>
        <v>9</v>
      </c>
      <c r="B121">
        <v>0</v>
      </c>
      <c r="C121">
        <f>IF((phi!C66),VLOOKUP(C$1,main!$A$3:$I$56,5,FALSE)-VLOOKUP($A121,main!$A$3:$I$56,6,FALSE)+main!$D$58,0)</f>
        <v>0</v>
      </c>
      <c r="D121">
        <f>IF((phi!D66),VLOOKUP(D$1,main!$A$3:$I$56,5,FALSE)-VLOOKUP($A121,main!$A$3:$I$56,6,FALSE)+main!$D$58,0)</f>
        <v>0</v>
      </c>
      <c r="E121">
        <f>IF((phi!E66),VLOOKUP(E$1,main!$A$3:$I$56,5,FALSE)-VLOOKUP($A121,main!$A$3:$I$56,6,FALSE)+main!$D$58,0)</f>
        <v>185</v>
      </c>
      <c r="F121">
        <f>IF((phi!F66),VLOOKUP(F$1,main!$A$3:$I$56,5,FALSE)-VLOOKUP($A121,main!$A$3:$I$56,6,FALSE)+main!$D$58,0)</f>
        <v>275</v>
      </c>
      <c r="G121">
        <f>IF((phi!G66),VLOOKUP(G$1,main!$A$3:$I$56,5,FALSE)-VLOOKUP($A121,main!$A$3:$I$56,6,FALSE)+main!$D$58,0)</f>
        <v>335</v>
      </c>
      <c r="H121">
        <f>IF((phi!H66),VLOOKUP(H$1,main!$A$3:$I$56,5,FALSE)-VLOOKUP($A121,main!$A$3:$I$56,6,FALSE)+main!$D$58,0)</f>
        <v>395</v>
      </c>
      <c r="I121">
        <f>IF((phi!I66),VLOOKUP(I$1,main!$A$3:$I$56,5,FALSE)-VLOOKUP($A121,main!$A$3:$I$56,6,FALSE)+main!$D$58,0)</f>
        <v>455</v>
      </c>
      <c r="J121">
        <f>IF((phi!J66),VLOOKUP(J$1,main!$A$3:$I$56,5,FALSE)-VLOOKUP($A121,main!$A$3:$I$56,6,FALSE)+main!$D$58,0)</f>
        <v>545</v>
      </c>
      <c r="K121">
        <f>IF((phi!K66),VLOOKUP(K$1,main!$A$3:$I$56,5,FALSE)-VLOOKUP($A121,main!$A$3:$I$56,6,FALSE)+main!$D$58,0)</f>
        <v>0</v>
      </c>
      <c r="L121">
        <f>IF((phi!L66),VLOOKUP(L$1,main!$A$3:$I$56,5,FALSE)-VLOOKUP($A121,main!$A$3:$I$56,6,FALSE)+main!$D$58,0)</f>
        <v>0</v>
      </c>
      <c r="M121">
        <f>IF((phi!M66),VLOOKUP(M$1,main!$A$3:$I$56,5,FALSE)-VLOOKUP($A121,main!$A$3:$I$56,6,FALSE)+main!$D$58,0)</f>
        <v>150</v>
      </c>
      <c r="N121">
        <f>IF((phi!N66),VLOOKUP(N$1,main!$A$3:$I$56,5,FALSE)-VLOOKUP($A121,main!$A$3:$I$56,6,FALSE)+main!$D$58,0)</f>
        <v>510</v>
      </c>
      <c r="O121">
        <f>IF((phi!O66),VLOOKUP(O$1,main!$A$3:$I$56,5,FALSE)-VLOOKUP($A121,main!$A$3:$I$56,6,FALSE)+main!$D$58,0)</f>
        <v>570</v>
      </c>
      <c r="P121">
        <f>IF((phi!P66),VLOOKUP(P$1,main!$A$3:$I$56,5,FALSE)-VLOOKUP($A121,main!$A$3:$I$56,6,FALSE)+main!$D$58,0)</f>
        <v>0</v>
      </c>
      <c r="Q121">
        <f>IF((phi!Q66),VLOOKUP(Q$1,main!$A$3:$I$56,5,FALSE)-VLOOKUP($A121,main!$A$3:$I$56,6,FALSE)+main!$D$58,0)</f>
        <v>0</v>
      </c>
      <c r="R121">
        <f>IF((phi!R66),VLOOKUP(R$1,main!$A$3:$I$56,5,FALSE)-VLOOKUP($A121,main!$A$3:$I$56,6,FALSE)+main!$D$58,0)</f>
        <v>145</v>
      </c>
      <c r="S121">
        <f>IF((phi!S66),VLOOKUP(S$1,main!$A$3:$I$56,5,FALSE)-VLOOKUP($A121,main!$A$3:$I$56,6,FALSE)+main!$D$58,0)</f>
        <v>325</v>
      </c>
      <c r="T121">
        <f>IF((phi!T66),VLOOKUP(T$1,main!$A$3:$I$56,5,FALSE)-VLOOKUP($A121,main!$A$3:$I$56,6,FALSE)+main!$D$58,0)</f>
        <v>475</v>
      </c>
      <c r="U121">
        <f>IF((phi!U66),VLOOKUP(U$1,main!$A$3:$I$56,5,FALSE)-VLOOKUP($A121,main!$A$3:$I$56,6,FALSE)+main!$D$58,0)</f>
        <v>0</v>
      </c>
      <c r="V121">
        <f>IF((phi!V66),VLOOKUP(V$1,main!$A$3:$I$56,5,FALSE)-VLOOKUP($A121,main!$A$3:$I$56,6,FALSE)+main!$D$58,0)</f>
        <v>0</v>
      </c>
      <c r="W121">
        <f>IF((phi!W66),VLOOKUP(W$1,main!$A$3:$I$56,5,FALSE)-VLOOKUP($A121,main!$A$3:$I$56,6,FALSE)+main!$D$58,0)</f>
        <v>0</v>
      </c>
      <c r="X121">
        <f>IF((phi!X66),VLOOKUP(X$1,main!$A$3:$I$56,5,FALSE)-VLOOKUP($A121,main!$A$3:$I$56,6,FALSE)+main!$D$58,0)</f>
        <v>0</v>
      </c>
      <c r="Y121">
        <f>IF((phi!Y66),VLOOKUP(Y$1,main!$A$3:$I$56,5,FALSE)-VLOOKUP($A121,main!$A$3:$I$56,6,FALSE)+main!$D$58,0)</f>
        <v>255</v>
      </c>
      <c r="Z121">
        <f>IF((phi!Z66),VLOOKUP(Z$1,main!$A$3:$I$56,5,FALSE)-VLOOKUP($A121,main!$A$3:$I$56,6,FALSE)+main!$D$58,0)</f>
        <v>345</v>
      </c>
      <c r="AA121">
        <f>IF((phi!AA66),VLOOKUP(AA$1,main!$A$3:$I$56,5,FALSE)-VLOOKUP($A121,main!$A$3:$I$56,6,FALSE)+main!$D$58,0)</f>
        <v>435</v>
      </c>
      <c r="AB121">
        <f>IF((phi!AB66),VLOOKUP(AB$1,main!$A$3:$I$56,5,FALSE)-VLOOKUP($A121,main!$A$3:$I$56,6,FALSE)+main!$D$58,0)</f>
        <v>495</v>
      </c>
      <c r="AC121">
        <f>IF((phi!AC66),VLOOKUP(AC$1,main!$A$3:$I$56,5,FALSE)-VLOOKUP($A121,main!$A$3:$I$56,6,FALSE)+main!$D$58,0)</f>
        <v>0</v>
      </c>
      <c r="AD121">
        <f>IF((phi!AD66),VLOOKUP(AD$1,main!$A$3:$I$56,5,FALSE)-VLOOKUP($A121,main!$A$3:$I$56,6,FALSE)+main!$D$58,0)</f>
        <v>0</v>
      </c>
      <c r="AE121">
        <f>IF((phi!AE66),VLOOKUP(AE$1,main!$A$3:$I$56,5,FALSE)-VLOOKUP($A121,main!$A$3:$I$56,6,FALSE)+main!$D$58,0)</f>
        <v>0</v>
      </c>
      <c r="AF121">
        <f>IF((phi!AF66),VLOOKUP(AF$1,main!$A$3:$I$56,5,FALSE)-VLOOKUP($A121,main!$A$3:$I$56,6,FALSE)+main!$D$58,0)</f>
        <v>305</v>
      </c>
      <c r="AG121">
        <f>IF((phi!AG66),VLOOKUP(AG$1,main!$A$3:$I$56,5,FALSE)-VLOOKUP($A121,main!$A$3:$I$56,6,FALSE)+main!$D$58,0)</f>
        <v>0</v>
      </c>
      <c r="AH121">
        <f>IF((phi!AH66),VLOOKUP(AH$1,main!$A$3:$I$56,5,FALSE)-VLOOKUP($A121,main!$A$3:$I$56,6,FALSE)+main!$D$58,0)</f>
        <v>0</v>
      </c>
      <c r="AI121">
        <f>IF((phi!AI66),VLOOKUP(AI$1,main!$A$3:$I$56,5,FALSE)-VLOOKUP($A121,main!$A$3:$I$56,6,FALSE)+main!$D$58,0)</f>
        <v>0</v>
      </c>
      <c r="AJ121">
        <f>IF((phi!AJ66),VLOOKUP(AJ$1,main!$A$3:$I$56,5,FALSE)-VLOOKUP($A121,main!$A$3:$I$56,6,FALSE)+main!$D$58,0)</f>
        <v>275</v>
      </c>
      <c r="AK121">
        <f>IF((phi!AK66),VLOOKUP(AK$1,main!$A$3:$I$56,5,FALSE)-VLOOKUP($A121,main!$A$3:$I$56,6,FALSE)+main!$D$58,0)</f>
        <v>395</v>
      </c>
      <c r="AL121">
        <f>IF((phi!AL66),VLOOKUP(AL$1,main!$A$3:$I$56,5,FALSE)-VLOOKUP($A121,main!$A$3:$I$56,6,FALSE)+main!$D$58,0)</f>
        <v>0</v>
      </c>
      <c r="AM121">
        <f>IF((phi!AM66),VLOOKUP(AM$1,main!$A$3:$I$56,5,FALSE)-VLOOKUP($A121,main!$A$3:$I$56,6,FALSE)+main!$D$58,0)</f>
        <v>0</v>
      </c>
      <c r="AN121">
        <f>IF((phi!AN66),VLOOKUP(AN$1,main!$A$3:$I$56,5,FALSE)-VLOOKUP($A121,main!$A$3:$I$56,6,FALSE)+main!$D$58,0)</f>
        <v>255</v>
      </c>
      <c r="AO121">
        <f>IF((phi!AO66),VLOOKUP(AO$1,main!$A$3:$I$56,5,FALSE)-VLOOKUP($A121,main!$A$3:$I$56,6,FALSE)+main!$D$58,0)</f>
        <v>305</v>
      </c>
      <c r="AP121">
        <f>IF((phi!AP66),VLOOKUP(AP$1,main!$A$3:$I$56,5,FALSE)-VLOOKUP($A121,main!$A$3:$I$56,6,FALSE)+main!$D$58,0)</f>
        <v>0</v>
      </c>
      <c r="AQ121">
        <f>IF((phi!AQ66),VLOOKUP(AQ$1,main!$A$3:$I$56,5,FALSE)-VLOOKUP($A121,main!$A$3:$I$56,6,FALSE)+main!$D$58,0)</f>
        <v>0</v>
      </c>
      <c r="AR121">
        <f>IF((phi!AR66),VLOOKUP(AR$1,main!$A$3:$I$56,5,FALSE)-VLOOKUP($A121,main!$A$3:$I$56,6,FALSE)+main!$D$58,0)</f>
        <v>0</v>
      </c>
      <c r="AS121">
        <f>IF((phi!AS66),VLOOKUP(AS$1,main!$A$3:$I$56,5,FALSE)-VLOOKUP($A121,main!$A$3:$I$56,6,FALSE)+main!$D$58,0)</f>
        <v>0</v>
      </c>
      <c r="AT121">
        <f>IF((phi!AT66),VLOOKUP(AT$1,main!$A$3:$I$56,5,FALSE)-VLOOKUP($A121,main!$A$3:$I$56,6,FALSE)+main!$D$58,0)</f>
        <v>0</v>
      </c>
      <c r="AU121">
        <f>IF((phi!AU66),VLOOKUP(AU$1,main!$A$3:$I$56,5,FALSE)-VLOOKUP($A121,main!$A$3:$I$56,6,FALSE)+main!$D$58,0)</f>
        <v>0</v>
      </c>
      <c r="AV121">
        <f>IF((phi!AV66),VLOOKUP(AV$1,main!$A$3:$I$56,5,FALSE)-VLOOKUP($A121,main!$A$3:$I$56,6,FALSE)+main!$D$58,0)</f>
        <v>0</v>
      </c>
      <c r="AW121">
        <f>IF((phi!AW66),VLOOKUP(AW$1,main!$A$3:$I$56,5,FALSE)-VLOOKUP($A121,main!$A$3:$I$56,6,FALSE)+main!$D$58,0)</f>
        <v>0</v>
      </c>
      <c r="AX121">
        <f>IF((phi!AX66),VLOOKUP(AX$1,main!$A$3:$I$56,5,FALSE)-VLOOKUP($A121,main!$A$3:$I$56,6,FALSE)+main!$D$58,0)</f>
        <v>355</v>
      </c>
      <c r="AY121">
        <f>IF((phi!AY66),VLOOKUP(AY$1,main!$A$3:$I$56,5,FALSE)-VLOOKUP($A121,main!$A$3:$I$56,6,FALSE)+main!$D$58,0)</f>
        <v>555</v>
      </c>
      <c r="AZ121">
        <f>IF((phi!AZ66),VLOOKUP(AZ$1,main!$A$3:$I$56,5,FALSE)-VLOOKUP($A121,main!$A$3:$I$56,6,FALSE)+main!$D$58,0)</f>
        <v>0</v>
      </c>
      <c r="BA121">
        <f>IF((phi!BA66),VLOOKUP(BA$1,main!$A$3:$I$56,5,FALSE)-VLOOKUP($A121,main!$A$3:$I$56,6,FALSE)+main!$D$58,0)</f>
        <v>0</v>
      </c>
      <c r="BB121">
        <f>IF((phi!BB66),VLOOKUP(BB$1,main!$A$3:$I$56,5,FALSE)-VLOOKUP($A121,main!$A$3:$I$56,6,FALSE)+main!$D$58,0)</f>
        <v>0</v>
      </c>
      <c r="BC121">
        <f>IF((phi!BC66),VLOOKUP(BC$1,main!$A$3:$I$56,5,FALSE)-VLOOKUP($A121,main!$A$3:$I$56,6,FALSE)+main!$D$58,0)</f>
        <v>320</v>
      </c>
      <c r="BD121">
        <f>IF((phi!BD66),VLOOKUP(BD$1,main!$A$3:$I$56,5,FALSE)-VLOOKUP($A121,main!$A$3:$I$56,6,FALSE)+main!$D$58,0)</f>
        <v>330</v>
      </c>
    </row>
    <row r="122" spans="1:56" x14ac:dyDescent="0.25">
      <c r="A122">
        <f t="shared" si="4"/>
        <v>10</v>
      </c>
      <c r="B122">
        <v>0</v>
      </c>
      <c r="C122">
        <f>IF((phi!C67),VLOOKUP(C$1,main!$A$3:$I$56,5,FALSE)-VLOOKUP($A122,main!$A$3:$I$56,6,FALSE)+main!$D$58,0)</f>
        <v>0</v>
      </c>
      <c r="D122">
        <f>IF((phi!D67),VLOOKUP(D$1,main!$A$3:$I$56,5,FALSE)-VLOOKUP($A122,main!$A$3:$I$56,6,FALSE)+main!$D$58,0)</f>
        <v>0</v>
      </c>
      <c r="E122">
        <f>IF((phi!E67),VLOOKUP(E$1,main!$A$3:$I$56,5,FALSE)-VLOOKUP($A122,main!$A$3:$I$56,6,FALSE)+main!$D$58,0)</f>
        <v>0</v>
      </c>
      <c r="F122">
        <f>IF((phi!F67),VLOOKUP(F$1,main!$A$3:$I$56,5,FALSE)-VLOOKUP($A122,main!$A$3:$I$56,6,FALSE)+main!$D$58,0)</f>
        <v>155</v>
      </c>
      <c r="G122">
        <f>IF((phi!G67),VLOOKUP(G$1,main!$A$3:$I$56,5,FALSE)-VLOOKUP($A122,main!$A$3:$I$56,6,FALSE)+main!$D$58,0)</f>
        <v>215</v>
      </c>
      <c r="H122">
        <f>IF((phi!H67),VLOOKUP(H$1,main!$A$3:$I$56,5,FALSE)-VLOOKUP($A122,main!$A$3:$I$56,6,FALSE)+main!$D$58,0)</f>
        <v>275</v>
      </c>
      <c r="I122">
        <f>IF((phi!I67),VLOOKUP(I$1,main!$A$3:$I$56,5,FALSE)-VLOOKUP($A122,main!$A$3:$I$56,6,FALSE)+main!$D$58,0)</f>
        <v>335</v>
      </c>
      <c r="J122">
        <f>IF((phi!J67),VLOOKUP(J$1,main!$A$3:$I$56,5,FALSE)-VLOOKUP($A122,main!$A$3:$I$56,6,FALSE)+main!$D$58,0)</f>
        <v>425</v>
      </c>
      <c r="K122">
        <f>IF((phi!K67),VLOOKUP(K$1,main!$A$3:$I$56,5,FALSE)-VLOOKUP($A122,main!$A$3:$I$56,6,FALSE)+main!$D$58,0)</f>
        <v>0</v>
      </c>
      <c r="L122">
        <f>IF((phi!L67),VLOOKUP(L$1,main!$A$3:$I$56,5,FALSE)-VLOOKUP($A122,main!$A$3:$I$56,6,FALSE)+main!$D$58,0)</f>
        <v>0</v>
      </c>
      <c r="M122">
        <f>IF((phi!M67),VLOOKUP(M$1,main!$A$3:$I$56,5,FALSE)-VLOOKUP($A122,main!$A$3:$I$56,6,FALSE)+main!$D$58,0)</f>
        <v>0</v>
      </c>
      <c r="N122">
        <f>IF((phi!N67),VLOOKUP(N$1,main!$A$3:$I$56,5,FALSE)-VLOOKUP($A122,main!$A$3:$I$56,6,FALSE)+main!$D$58,0)</f>
        <v>390</v>
      </c>
      <c r="O122">
        <f>IF((phi!O67),VLOOKUP(O$1,main!$A$3:$I$56,5,FALSE)-VLOOKUP($A122,main!$A$3:$I$56,6,FALSE)+main!$D$58,0)</f>
        <v>450</v>
      </c>
      <c r="P122">
        <f>IF((phi!P67),VLOOKUP(P$1,main!$A$3:$I$56,5,FALSE)-VLOOKUP($A122,main!$A$3:$I$56,6,FALSE)+main!$D$58,0)</f>
        <v>0</v>
      </c>
      <c r="Q122">
        <f>IF((phi!Q67),VLOOKUP(Q$1,main!$A$3:$I$56,5,FALSE)-VLOOKUP($A122,main!$A$3:$I$56,6,FALSE)+main!$D$58,0)</f>
        <v>0</v>
      </c>
      <c r="R122">
        <f>IF((phi!R67),VLOOKUP(R$1,main!$A$3:$I$56,5,FALSE)-VLOOKUP($A122,main!$A$3:$I$56,6,FALSE)+main!$D$58,0)</f>
        <v>0</v>
      </c>
      <c r="S122">
        <f>IF((phi!S67),VLOOKUP(S$1,main!$A$3:$I$56,5,FALSE)-VLOOKUP($A122,main!$A$3:$I$56,6,FALSE)+main!$D$58,0)</f>
        <v>205</v>
      </c>
      <c r="T122">
        <f>IF((phi!T67),VLOOKUP(T$1,main!$A$3:$I$56,5,FALSE)-VLOOKUP($A122,main!$A$3:$I$56,6,FALSE)+main!$D$58,0)</f>
        <v>355</v>
      </c>
      <c r="U122">
        <f>IF((phi!U67),VLOOKUP(U$1,main!$A$3:$I$56,5,FALSE)-VLOOKUP($A122,main!$A$3:$I$56,6,FALSE)+main!$D$58,0)</f>
        <v>0</v>
      </c>
      <c r="V122">
        <f>IF((phi!V67),VLOOKUP(V$1,main!$A$3:$I$56,5,FALSE)-VLOOKUP($A122,main!$A$3:$I$56,6,FALSE)+main!$D$58,0)</f>
        <v>0</v>
      </c>
      <c r="W122">
        <f>IF((phi!W67),VLOOKUP(W$1,main!$A$3:$I$56,5,FALSE)-VLOOKUP($A122,main!$A$3:$I$56,6,FALSE)+main!$D$58,0)</f>
        <v>0</v>
      </c>
      <c r="X122">
        <f>IF((phi!X67),VLOOKUP(X$1,main!$A$3:$I$56,5,FALSE)-VLOOKUP($A122,main!$A$3:$I$56,6,FALSE)+main!$D$58,0)</f>
        <v>0</v>
      </c>
      <c r="Y122">
        <f>IF((phi!Y67),VLOOKUP(Y$1,main!$A$3:$I$56,5,FALSE)-VLOOKUP($A122,main!$A$3:$I$56,6,FALSE)+main!$D$58,0)</f>
        <v>0</v>
      </c>
      <c r="Z122">
        <f>IF((phi!Z67),VLOOKUP(Z$1,main!$A$3:$I$56,5,FALSE)-VLOOKUP($A122,main!$A$3:$I$56,6,FALSE)+main!$D$58,0)</f>
        <v>0</v>
      </c>
      <c r="AA122">
        <f>IF((phi!AA67),VLOOKUP(AA$1,main!$A$3:$I$56,5,FALSE)-VLOOKUP($A122,main!$A$3:$I$56,6,FALSE)+main!$D$58,0)</f>
        <v>315</v>
      </c>
      <c r="AB122">
        <f>IF((phi!AB67),VLOOKUP(AB$1,main!$A$3:$I$56,5,FALSE)-VLOOKUP($A122,main!$A$3:$I$56,6,FALSE)+main!$D$58,0)</f>
        <v>375</v>
      </c>
      <c r="AC122">
        <f>IF((phi!AC67),VLOOKUP(AC$1,main!$A$3:$I$56,5,FALSE)-VLOOKUP($A122,main!$A$3:$I$56,6,FALSE)+main!$D$58,0)</f>
        <v>0</v>
      </c>
      <c r="AD122">
        <f>IF((phi!AD67),VLOOKUP(AD$1,main!$A$3:$I$56,5,FALSE)-VLOOKUP($A122,main!$A$3:$I$56,6,FALSE)+main!$D$58,0)</f>
        <v>0</v>
      </c>
      <c r="AE122">
        <f>IF((phi!AE67),VLOOKUP(AE$1,main!$A$3:$I$56,5,FALSE)-VLOOKUP($A122,main!$A$3:$I$56,6,FALSE)+main!$D$58,0)</f>
        <v>0</v>
      </c>
      <c r="AF122">
        <f>IF((phi!AF67),VLOOKUP(AF$1,main!$A$3:$I$56,5,FALSE)-VLOOKUP($A122,main!$A$3:$I$56,6,FALSE)+main!$D$58,0)</f>
        <v>0</v>
      </c>
      <c r="AG122">
        <f>IF((phi!AG67),VLOOKUP(AG$1,main!$A$3:$I$56,5,FALSE)-VLOOKUP($A122,main!$A$3:$I$56,6,FALSE)+main!$D$58,0)</f>
        <v>0</v>
      </c>
      <c r="AH122">
        <f>IF((phi!AH67),VLOOKUP(AH$1,main!$A$3:$I$56,5,FALSE)-VLOOKUP($A122,main!$A$3:$I$56,6,FALSE)+main!$D$58,0)</f>
        <v>0</v>
      </c>
      <c r="AI122">
        <f>IF((phi!AI67),VLOOKUP(AI$1,main!$A$3:$I$56,5,FALSE)-VLOOKUP($A122,main!$A$3:$I$56,6,FALSE)+main!$D$58,0)</f>
        <v>0</v>
      </c>
      <c r="AJ122">
        <f>IF((phi!AJ67),VLOOKUP(AJ$1,main!$A$3:$I$56,5,FALSE)-VLOOKUP($A122,main!$A$3:$I$56,6,FALSE)+main!$D$58,0)</f>
        <v>0</v>
      </c>
      <c r="AK122">
        <f>IF((phi!AK67),VLOOKUP(AK$1,main!$A$3:$I$56,5,FALSE)-VLOOKUP($A122,main!$A$3:$I$56,6,FALSE)+main!$D$58,0)</f>
        <v>275</v>
      </c>
      <c r="AL122">
        <f>IF((phi!AL67),VLOOKUP(AL$1,main!$A$3:$I$56,5,FALSE)-VLOOKUP($A122,main!$A$3:$I$56,6,FALSE)+main!$D$58,0)</f>
        <v>0</v>
      </c>
      <c r="AM122">
        <f>IF((phi!AM67),VLOOKUP(AM$1,main!$A$3:$I$56,5,FALSE)-VLOOKUP($A122,main!$A$3:$I$56,6,FALSE)+main!$D$58,0)</f>
        <v>0</v>
      </c>
      <c r="AN122">
        <f>IF((phi!AN67),VLOOKUP(AN$1,main!$A$3:$I$56,5,FALSE)-VLOOKUP($A122,main!$A$3:$I$56,6,FALSE)+main!$D$58,0)</f>
        <v>0</v>
      </c>
      <c r="AO122">
        <f>IF((phi!AO67),VLOOKUP(AO$1,main!$A$3:$I$56,5,FALSE)-VLOOKUP($A122,main!$A$3:$I$56,6,FALSE)+main!$D$58,0)</f>
        <v>0</v>
      </c>
      <c r="AP122">
        <f>IF((phi!AP67),VLOOKUP(AP$1,main!$A$3:$I$56,5,FALSE)-VLOOKUP($A122,main!$A$3:$I$56,6,FALSE)+main!$D$58,0)</f>
        <v>0</v>
      </c>
      <c r="AQ122">
        <f>IF((phi!AQ67),VLOOKUP(AQ$1,main!$A$3:$I$56,5,FALSE)-VLOOKUP($A122,main!$A$3:$I$56,6,FALSE)+main!$D$58,0)</f>
        <v>0</v>
      </c>
      <c r="AR122">
        <f>IF((phi!AR67),VLOOKUP(AR$1,main!$A$3:$I$56,5,FALSE)-VLOOKUP($A122,main!$A$3:$I$56,6,FALSE)+main!$D$58,0)</f>
        <v>0</v>
      </c>
      <c r="AS122">
        <f>IF((phi!AS67),VLOOKUP(AS$1,main!$A$3:$I$56,5,FALSE)-VLOOKUP($A122,main!$A$3:$I$56,6,FALSE)+main!$D$58,0)</f>
        <v>0</v>
      </c>
      <c r="AT122">
        <f>IF((phi!AT67),VLOOKUP(AT$1,main!$A$3:$I$56,5,FALSE)-VLOOKUP($A122,main!$A$3:$I$56,6,FALSE)+main!$D$58,0)</f>
        <v>0</v>
      </c>
      <c r="AU122">
        <f>IF((phi!AU67),VLOOKUP(AU$1,main!$A$3:$I$56,5,FALSE)-VLOOKUP($A122,main!$A$3:$I$56,6,FALSE)+main!$D$58,0)</f>
        <v>0</v>
      </c>
      <c r="AV122">
        <f>IF((phi!AV67),VLOOKUP(AV$1,main!$A$3:$I$56,5,FALSE)-VLOOKUP($A122,main!$A$3:$I$56,6,FALSE)+main!$D$58,0)</f>
        <v>0</v>
      </c>
      <c r="AW122">
        <f>IF((phi!AW67),VLOOKUP(AW$1,main!$A$3:$I$56,5,FALSE)-VLOOKUP($A122,main!$A$3:$I$56,6,FALSE)+main!$D$58,0)</f>
        <v>0</v>
      </c>
      <c r="AX122">
        <f>IF((phi!AX67),VLOOKUP(AX$1,main!$A$3:$I$56,5,FALSE)-VLOOKUP($A122,main!$A$3:$I$56,6,FALSE)+main!$D$58,0)</f>
        <v>0</v>
      </c>
      <c r="AY122">
        <f>IF((phi!AY67),VLOOKUP(AY$1,main!$A$3:$I$56,5,FALSE)-VLOOKUP($A122,main!$A$3:$I$56,6,FALSE)+main!$D$58,0)</f>
        <v>435</v>
      </c>
      <c r="AZ122">
        <f>IF((phi!AZ67),VLOOKUP(AZ$1,main!$A$3:$I$56,5,FALSE)-VLOOKUP($A122,main!$A$3:$I$56,6,FALSE)+main!$D$58,0)</f>
        <v>0</v>
      </c>
      <c r="BA122">
        <f>IF((phi!BA67),VLOOKUP(BA$1,main!$A$3:$I$56,5,FALSE)-VLOOKUP($A122,main!$A$3:$I$56,6,FALSE)+main!$D$58,0)</f>
        <v>0</v>
      </c>
      <c r="BB122">
        <f>IF((phi!BB67),VLOOKUP(BB$1,main!$A$3:$I$56,5,FALSE)-VLOOKUP($A122,main!$A$3:$I$56,6,FALSE)+main!$D$58,0)</f>
        <v>0</v>
      </c>
      <c r="BC122">
        <f>IF((phi!BC67),VLOOKUP(BC$1,main!$A$3:$I$56,5,FALSE)-VLOOKUP($A122,main!$A$3:$I$56,6,FALSE)+main!$D$58,0)</f>
        <v>0</v>
      </c>
      <c r="BD122">
        <f>IF((phi!BD67),VLOOKUP(BD$1,main!$A$3:$I$56,5,FALSE)-VLOOKUP($A122,main!$A$3:$I$56,6,FALSE)+main!$D$58,0)</f>
        <v>0</v>
      </c>
    </row>
    <row r="123" spans="1:56" x14ac:dyDescent="0.25">
      <c r="A123">
        <f t="shared" si="4"/>
        <v>11</v>
      </c>
      <c r="B123">
        <v>0</v>
      </c>
      <c r="C123">
        <f>IF((phi!C68),VLOOKUP(C$1,main!$A$3:$I$56,5,FALSE)-VLOOKUP($A123,main!$A$3:$I$56,6,FALSE)+main!$D$58,0)</f>
        <v>0</v>
      </c>
      <c r="D123">
        <f>IF((phi!D68),VLOOKUP(D$1,main!$A$3:$I$56,5,FALSE)-VLOOKUP($A123,main!$A$3:$I$56,6,FALSE)+main!$D$58,0)</f>
        <v>0</v>
      </c>
      <c r="E123">
        <f>IF((phi!E68),VLOOKUP(E$1,main!$A$3:$I$56,5,FALSE)-VLOOKUP($A123,main!$A$3:$I$56,6,FALSE)+main!$D$58,0)</f>
        <v>0</v>
      </c>
      <c r="F123">
        <f>IF((phi!F68),VLOOKUP(F$1,main!$A$3:$I$56,5,FALSE)-VLOOKUP($A123,main!$A$3:$I$56,6,FALSE)+main!$D$58,0)</f>
        <v>0</v>
      </c>
      <c r="G123">
        <f>IF((phi!G68),VLOOKUP(G$1,main!$A$3:$I$56,5,FALSE)-VLOOKUP($A123,main!$A$3:$I$56,6,FALSE)+main!$D$58,0)</f>
        <v>0</v>
      </c>
      <c r="H123">
        <f>IF((phi!H68),VLOOKUP(H$1,main!$A$3:$I$56,5,FALSE)-VLOOKUP($A123,main!$A$3:$I$56,6,FALSE)+main!$D$58,0)</f>
        <v>155</v>
      </c>
      <c r="I123">
        <f>IF((phi!I68),VLOOKUP(I$1,main!$A$3:$I$56,5,FALSE)-VLOOKUP($A123,main!$A$3:$I$56,6,FALSE)+main!$D$58,0)</f>
        <v>215</v>
      </c>
      <c r="J123">
        <f>IF((phi!J68),VLOOKUP(J$1,main!$A$3:$I$56,5,FALSE)-VLOOKUP($A123,main!$A$3:$I$56,6,FALSE)+main!$D$58,0)</f>
        <v>305</v>
      </c>
      <c r="K123">
        <f>IF((phi!K68),VLOOKUP(K$1,main!$A$3:$I$56,5,FALSE)-VLOOKUP($A123,main!$A$3:$I$56,6,FALSE)+main!$D$58,0)</f>
        <v>0</v>
      </c>
      <c r="L123">
        <f>IF((phi!L68),VLOOKUP(L$1,main!$A$3:$I$56,5,FALSE)-VLOOKUP($A123,main!$A$3:$I$56,6,FALSE)+main!$D$58,0)</f>
        <v>0</v>
      </c>
      <c r="M123">
        <f>IF((phi!M68),VLOOKUP(M$1,main!$A$3:$I$56,5,FALSE)-VLOOKUP($A123,main!$A$3:$I$56,6,FALSE)+main!$D$58,0)</f>
        <v>0</v>
      </c>
      <c r="N123">
        <f>IF((phi!N68),VLOOKUP(N$1,main!$A$3:$I$56,5,FALSE)-VLOOKUP($A123,main!$A$3:$I$56,6,FALSE)+main!$D$58,0)</f>
        <v>270</v>
      </c>
      <c r="O123">
        <f>IF((phi!O68),VLOOKUP(O$1,main!$A$3:$I$56,5,FALSE)-VLOOKUP($A123,main!$A$3:$I$56,6,FALSE)+main!$D$58,0)</f>
        <v>330</v>
      </c>
      <c r="P123">
        <f>IF((phi!P68),VLOOKUP(P$1,main!$A$3:$I$56,5,FALSE)-VLOOKUP($A123,main!$A$3:$I$56,6,FALSE)+main!$D$58,0)</f>
        <v>0</v>
      </c>
      <c r="Q123">
        <f>IF((phi!Q68),VLOOKUP(Q$1,main!$A$3:$I$56,5,FALSE)-VLOOKUP($A123,main!$A$3:$I$56,6,FALSE)+main!$D$58,0)</f>
        <v>0</v>
      </c>
      <c r="R123">
        <f>IF((phi!R68),VLOOKUP(R$1,main!$A$3:$I$56,5,FALSE)-VLOOKUP($A123,main!$A$3:$I$56,6,FALSE)+main!$D$58,0)</f>
        <v>0</v>
      </c>
      <c r="S123">
        <f>IF((phi!S68),VLOOKUP(S$1,main!$A$3:$I$56,5,FALSE)-VLOOKUP($A123,main!$A$3:$I$56,6,FALSE)+main!$D$58,0)</f>
        <v>0</v>
      </c>
      <c r="T123">
        <f>IF((phi!T68),VLOOKUP(T$1,main!$A$3:$I$56,5,FALSE)-VLOOKUP($A123,main!$A$3:$I$56,6,FALSE)+main!$D$58,0)</f>
        <v>235</v>
      </c>
      <c r="U123">
        <f>IF((phi!U68),VLOOKUP(U$1,main!$A$3:$I$56,5,FALSE)-VLOOKUP($A123,main!$A$3:$I$56,6,FALSE)+main!$D$58,0)</f>
        <v>0</v>
      </c>
      <c r="V123">
        <f>IF((phi!V68),VLOOKUP(V$1,main!$A$3:$I$56,5,FALSE)-VLOOKUP($A123,main!$A$3:$I$56,6,FALSE)+main!$D$58,0)</f>
        <v>0</v>
      </c>
      <c r="W123">
        <f>IF((phi!W68),VLOOKUP(W$1,main!$A$3:$I$56,5,FALSE)-VLOOKUP($A123,main!$A$3:$I$56,6,FALSE)+main!$D$58,0)</f>
        <v>0</v>
      </c>
      <c r="X123">
        <f>IF((phi!X68),VLOOKUP(X$1,main!$A$3:$I$56,5,FALSE)-VLOOKUP($A123,main!$A$3:$I$56,6,FALSE)+main!$D$58,0)</f>
        <v>0</v>
      </c>
      <c r="Y123">
        <f>IF((phi!Y68),VLOOKUP(Y$1,main!$A$3:$I$56,5,FALSE)-VLOOKUP($A123,main!$A$3:$I$56,6,FALSE)+main!$D$58,0)</f>
        <v>0</v>
      </c>
      <c r="Z123">
        <f>IF((phi!Z68),VLOOKUP(Z$1,main!$A$3:$I$56,5,FALSE)-VLOOKUP($A123,main!$A$3:$I$56,6,FALSE)+main!$D$58,0)</f>
        <v>0</v>
      </c>
      <c r="AA123">
        <f>IF((phi!AA68),VLOOKUP(AA$1,main!$A$3:$I$56,5,FALSE)-VLOOKUP($A123,main!$A$3:$I$56,6,FALSE)+main!$D$58,0)</f>
        <v>0</v>
      </c>
      <c r="AB123">
        <f>IF((phi!AB68),VLOOKUP(AB$1,main!$A$3:$I$56,5,FALSE)-VLOOKUP($A123,main!$A$3:$I$56,6,FALSE)+main!$D$58,0)</f>
        <v>255</v>
      </c>
      <c r="AC123">
        <f>IF((phi!AC68),VLOOKUP(AC$1,main!$A$3:$I$56,5,FALSE)-VLOOKUP($A123,main!$A$3:$I$56,6,FALSE)+main!$D$58,0)</f>
        <v>0</v>
      </c>
      <c r="AD123">
        <f>IF((phi!AD68),VLOOKUP(AD$1,main!$A$3:$I$56,5,FALSE)-VLOOKUP($A123,main!$A$3:$I$56,6,FALSE)+main!$D$58,0)</f>
        <v>0</v>
      </c>
      <c r="AE123">
        <f>IF((phi!AE68),VLOOKUP(AE$1,main!$A$3:$I$56,5,FALSE)-VLOOKUP($A123,main!$A$3:$I$56,6,FALSE)+main!$D$58,0)</f>
        <v>0</v>
      </c>
      <c r="AF123">
        <f>IF((phi!AF68),VLOOKUP(AF$1,main!$A$3:$I$56,5,FALSE)-VLOOKUP($A123,main!$A$3:$I$56,6,FALSE)+main!$D$58,0)</f>
        <v>0</v>
      </c>
      <c r="AG123">
        <f>IF((phi!AG68),VLOOKUP(AG$1,main!$A$3:$I$56,5,FALSE)-VLOOKUP($A123,main!$A$3:$I$56,6,FALSE)+main!$D$58,0)</f>
        <v>0</v>
      </c>
      <c r="AH123">
        <f>IF((phi!AH68),VLOOKUP(AH$1,main!$A$3:$I$56,5,FALSE)-VLOOKUP($A123,main!$A$3:$I$56,6,FALSE)+main!$D$58,0)</f>
        <v>0</v>
      </c>
      <c r="AI123">
        <f>IF((phi!AI68),VLOOKUP(AI$1,main!$A$3:$I$56,5,FALSE)-VLOOKUP($A123,main!$A$3:$I$56,6,FALSE)+main!$D$58,0)</f>
        <v>0</v>
      </c>
      <c r="AJ123">
        <f>IF((phi!AJ68),VLOOKUP(AJ$1,main!$A$3:$I$56,5,FALSE)-VLOOKUP($A123,main!$A$3:$I$56,6,FALSE)+main!$D$58,0)</f>
        <v>0</v>
      </c>
      <c r="AK123">
        <f>IF((phi!AK68),VLOOKUP(AK$1,main!$A$3:$I$56,5,FALSE)-VLOOKUP($A123,main!$A$3:$I$56,6,FALSE)+main!$D$58,0)</f>
        <v>0</v>
      </c>
      <c r="AL123">
        <f>IF((phi!AL68),VLOOKUP(AL$1,main!$A$3:$I$56,5,FALSE)-VLOOKUP($A123,main!$A$3:$I$56,6,FALSE)+main!$D$58,0)</f>
        <v>0</v>
      </c>
      <c r="AM123">
        <f>IF((phi!AM68),VLOOKUP(AM$1,main!$A$3:$I$56,5,FALSE)-VLOOKUP($A123,main!$A$3:$I$56,6,FALSE)+main!$D$58,0)</f>
        <v>0</v>
      </c>
      <c r="AN123">
        <f>IF((phi!AN68),VLOOKUP(AN$1,main!$A$3:$I$56,5,FALSE)-VLOOKUP($A123,main!$A$3:$I$56,6,FALSE)+main!$D$58,0)</f>
        <v>0</v>
      </c>
      <c r="AO123">
        <f>IF((phi!AO68),VLOOKUP(AO$1,main!$A$3:$I$56,5,FALSE)-VLOOKUP($A123,main!$A$3:$I$56,6,FALSE)+main!$D$58,0)</f>
        <v>0</v>
      </c>
      <c r="AP123">
        <f>IF((phi!AP68),VLOOKUP(AP$1,main!$A$3:$I$56,5,FALSE)-VLOOKUP($A123,main!$A$3:$I$56,6,FALSE)+main!$D$58,0)</f>
        <v>0</v>
      </c>
      <c r="AQ123">
        <f>IF((phi!AQ68),VLOOKUP(AQ$1,main!$A$3:$I$56,5,FALSE)-VLOOKUP($A123,main!$A$3:$I$56,6,FALSE)+main!$D$58,0)</f>
        <v>0</v>
      </c>
      <c r="AR123">
        <f>IF((phi!AR68),VLOOKUP(AR$1,main!$A$3:$I$56,5,FALSE)-VLOOKUP($A123,main!$A$3:$I$56,6,FALSE)+main!$D$58,0)</f>
        <v>0</v>
      </c>
      <c r="AS123">
        <f>IF((phi!AS68),VLOOKUP(AS$1,main!$A$3:$I$56,5,FALSE)-VLOOKUP($A123,main!$A$3:$I$56,6,FALSE)+main!$D$58,0)</f>
        <v>0</v>
      </c>
      <c r="AT123">
        <f>IF((phi!AT68),VLOOKUP(AT$1,main!$A$3:$I$56,5,FALSE)-VLOOKUP($A123,main!$A$3:$I$56,6,FALSE)+main!$D$58,0)</f>
        <v>0</v>
      </c>
      <c r="AU123">
        <f>IF((phi!AU68),VLOOKUP(AU$1,main!$A$3:$I$56,5,FALSE)-VLOOKUP($A123,main!$A$3:$I$56,6,FALSE)+main!$D$58,0)</f>
        <v>0</v>
      </c>
      <c r="AV123">
        <f>IF((phi!AV68),VLOOKUP(AV$1,main!$A$3:$I$56,5,FALSE)-VLOOKUP($A123,main!$A$3:$I$56,6,FALSE)+main!$D$58,0)</f>
        <v>0</v>
      </c>
      <c r="AW123">
        <f>IF((phi!AW68),VLOOKUP(AW$1,main!$A$3:$I$56,5,FALSE)-VLOOKUP($A123,main!$A$3:$I$56,6,FALSE)+main!$D$58,0)</f>
        <v>0</v>
      </c>
      <c r="AX123">
        <f>IF((phi!AX68),VLOOKUP(AX$1,main!$A$3:$I$56,5,FALSE)-VLOOKUP($A123,main!$A$3:$I$56,6,FALSE)+main!$D$58,0)</f>
        <v>0</v>
      </c>
      <c r="AY123">
        <f>IF((phi!AY68),VLOOKUP(AY$1,main!$A$3:$I$56,5,FALSE)-VLOOKUP($A123,main!$A$3:$I$56,6,FALSE)+main!$D$58,0)</f>
        <v>0</v>
      </c>
      <c r="AZ123">
        <f>IF((phi!AZ68),VLOOKUP(AZ$1,main!$A$3:$I$56,5,FALSE)-VLOOKUP($A123,main!$A$3:$I$56,6,FALSE)+main!$D$58,0)</f>
        <v>0</v>
      </c>
      <c r="BA123">
        <f>IF((phi!BA68),VLOOKUP(BA$1,main!$A$3:$I$56,5,FALSE)-VLOOKUP($A123,main!$A$3:$I$56,6,FALSE)+main!$D$58,0)</f>
        <v>0</v>
      </c>
      <c r="BB123">
        <f>IF((phi!BB68),VLOOKUP(BB$1,main!$A$3:$I$56,5,FALSE)-VLOOKUP($A123,main!$A$3:$I$56,6,FALSE)+main!$D$58,0)</f>
        <v>0</v>
      </c>
      <c r="BC123">
        <f>IF((phi!BC68),VLOOKUP(BC$1,main!$A$3:$I$56,5,FALSE)-VLOOKUP($A123,main!$A$3:$I$56,6,FALSE)+main!$D$58,0)</f>
        <v>0</v>
      </c>
      <c r="BD123">
        <f>IF((phi!BD68),VLOOKUP(BD$1,main!$A$3:$I$56,5,FALSE)-VLOOKUP($A123,main!$A$3:$I$56,6,FALSE)+main!$D$58,0)</f>
        <v>0</v>
      </c>
    </row>
    <row r="124" spans="1:56" x14ac:dyDescent="0.25">
      <c r="A124">
        <f t="shared" si="4"/>
        <v>12</v>
      </c>
      <c r="B124">
        <v>0</v>
      </c>
      <c r="C124">
        <f>IF((phi!C69),VLOOKUP(C$1,main!$A$3:$I$56,5,FALSE)-VLOOKUP($A124,main!$A$3:$I$56,6,FALSE)+main!$D$58,0)</f>
        <v>0</v>
      </c>
      <c r="D124">
        <f>IF((phi!D69),VLOOKUP(D$1,main!$A$3:$I$56,5,FALSE)-VLOOKUP($A124,main!$A$3:$I$56,6,FALSE)+main!$D$58,0)</f>
        <v>0</v>
      </c>
      <c r="E124">
        <f>IF((phi!E69),VLOOKUP(E$1,main!$A$3:$I$56,5,FALSE)-VLOOKUP($A124,main!$A$3:$I$56,6,FALSE)+main!$D$58,0)</f>
        <v>0</v>
      </c>
      <c r="F124">
        <f>IF((phi!F69),VLOOKUP(F$1,main!$A$3:$I$56,5,FALSE)-VLOOKUP($A124,main!$A$3:$I$56,6,FALSE)+main!$D$58,0)</f>
        <v>0</v>
      </c>
      <c r="G124">
        <f>IF((phi!G69),VLOOKUP(G$1,main!$A$3:$I$56,5,FALSE)-VLOOKUP($A124,main!$A$3:$I$56,6,FALSE)+main!$D$58,0)</f>
        <v>0</v>
      </c>
      <c r="H124">
        <f>IF((phi!H69),VLOOKUP(H$1,main!$A$3:$I$56,5,FALSE)-VLOOKUP($A124,main!$A$3:$I$56,6,FALSE)+main!$D$58,0)</f>
        <v>0</v>
      </c>
      <c r="I124">
        <f>IF((phi!I69),VLOOKUP(I$1,main!$A$3:$I$56,5,FALSE)-VLOOKUP($A124,main!$A$3:$I$56,6,FALSE)+main!$D$58,0)</f>
        <v>0</v>
      </c>
      <c r="J124">
        <f>IF((phi!J69),VLOOKUP(J$1,main!$A$3:$I$56,5,FALSE)-VLOOKUP($A124,main!$A$3:$I$56,6,FALSE)+main!$D$58,0)</f>
        <v>0</v>
      </c>
      <c r="K124">
        <f>IF((phi!K69),VLOOKUP(K$1,main!$A$3:$I$56,5,FALSE)-VLOOKUP($A124,main!$A$3:$I$56,6,FALSE)+main!$D$58,0)</f>
        <v>0</v>
      </c>
      <c r="L124">
        <f>IF((phi!L69),VLOOKUP(L$1,main!$A$3:$I$56,5,FALSE)-VLOOKUP($A124,main!$A$3:$I$56,6,FALSE)+main!$D$58,0)</f>
        <v>0</v>
      </c>
      <c r="M124">
        <f>IF((phi!M69),VLOOKUP(M$1,main!$A$3:$I$56,5,FALSE)-VLOOKUP($A124,main!$A$3:$I$56,6,FALSE)+main!$D$58,0)</f>
        <v>0</v>
      </c>
      <c r="N124">
        <f>IF((phi!N69),VLOOKUP(N$1,main!$A$3:$I$56,5,FALSE)-VLOOKUP($A124,main!$A$3:$I$56,6,FALSE)+main!$D$58,0)</f>
        <v>0</v>
      </c>
      <c r="O124">
        <f>IF((phi!O69),VLOOKUP(O$1,main!$A$3:$I$56,5,FALSE)-VLOOKUP($A124,main!$A$3:$I$56,6,FALSE)+main!$D$58,0)</f>
        <v>0</v>
      </c>
      <c r="P124">
        <f>IF((phi!P69),VLOOKUP(P$1,main!$A$3:$I$56,5,FALSE)-VLOOKUP($A124,main!$A$3:$I$56,6,FALSE)+main!$D$58,0)</f>
        <v>0</v>
      </c>
      <c r="Q124">
        <f>IF((phi!Q69),VLOOKUP(Q$1,main!$A$3:$I$56,5,FALSE)-VLOOKUP($A124,main!$A$3:$I$56,6,FALSE)+main!$D$58,0)</f>
        <v>0</v>
      </c>
      <c r="R124">
        <f>IF((phi!R69),VLOOKUP(R$1,main!$A$3:$I$56,5,FALSE)-VLOOKUP($A124,main!$A$3:$I$56,6,FALSE)+main!$D$58,0)</f>
        <v>0</v>
      </c>
      <c r="S124">
        <f>IF((phi!S69),VLOOKUP(S$1,main!$A$3:$I$56,5,FALSE)-VLOOKUP($A124,main!$A$3:$I$56,6,FALSE)+main!$D$58,0)</f>
        <v>0</v>
      </c>
      <c r="T124">
        <f>IF((phi!T69),VLOOKUP(T$1,main!$A$3:$I$56,5,FALSE)-VLOOKUP($A124,main!$A$3:$I$56,6,FALSE)+main!$D$58,0)</f>
        <v>0</v>
      </c>
      <c r="U124">
        <f>IF((phi!U69),VLOOKUP(U$1,main!$A$3:$I$56,5,FALSE)-VLOOKUP($A124,main!$A$3:$I$56,6,FALSE)+main!$D$58,0)</f>
        <v>0</v>
      </c>
      <c r="V124">
        <f>IF((phi!V69),VLOOKUP(V$1,main!$A$3:$I$56,5,FALSE)-VLOOKUP($A124,main!$A$3:$I$56,6,FALSE)+main!$D$58,0)</f>
        <v>0</v>
      </c>
      <c r="W124">
        <f>IF((phi!W69),VLOOKUP(W$1,main!$A$3:$I$56,5,FALSE)-VLOOKUP($A124,main!$A$3:$I$56,6,FALSE)+main!$D$58,0)</f>
        <v>0</v>
      </c>
      <c r="X124">
        <f>IF((phi!X69),VLOOKUP(X$1,main!$A$3:$I$56,5,FALSE)-VLOOKUP($A124,main!$A$3:$I$56,6,FALSE)+main!$D$58,0)</f>
        <v>0</v>
      </c>
      <c r="Y124">
        <f>IF((phi!Y69),VLOOKUP(Y$1,main!$A$3:$I$56,5,FALSE)-VLOOKUP($A124,main!$A$3:$I$56,6,FALSE)+main!$D$58,0)</f>
        <v>0</v>
      </c>
      <c r="Z124">
        <f>IF((phi!Z69),VLOOKUP(Z$1,main!$A$3:$I$56,5,FALSE)-VLOOKUP($A124,main!$A$3:$I$56,6,FALSE)+main!$D$58,0)</f>
        <v>0</v>
      </c>
      <c r="AA124">
        <f>IF((phi!AA69),VLOOKUP(AA$1,main!$A$3:$I$56,5,FALSE)-VLOOKUP($A124,main!$A$3:$I$56,6,FALSE)+main!$D$58,0)</f>
        <v>0</v>
      </c>
      <c r="AB124">
        <f>IF((phi!AB69),VLOOKUP(AB$1,main!$A$3:$I$56,5,FALSE)-VLOOKUP($A124,main!$A$3:$I$56,6,FALSE)+main!$D$58,0)</f>
        <v>0</v>
      </c>
      <c r="AC124">
        <f>IF((phi!AC69),VLOOKUP(AC$1,main!$A$3:$I$56,5,FALSE)-VLOOKUP($A124,main!$A$3:$I$56,6,FALSE)+main!$D$58,0)</f>
        <v>0</v>
      </c>
      <c r="AD124">
        <f>IF((phi!AD69),VLOOKUP(AD$1,main!$A$3:$I$56,5,FALSE)-VLOOKUP($A124,main!$A$3:$I$56,6,FALSE)+main!$D$58,0)</f>
        <v>0</v>
      </c>
      <c r="AE124">
        <f>IF((phi!AE69),VLOOKUP(AE$1,main!$A$3:$I$56,5,FALSE)-VLOOKUP($A124,main!$A$3:$I$56,6,FALSE)+main!$D$58,0)</f>
        <v>0</v>
      </c>
      <c r="AF124">
        <f>IF((phi!AF69),VLOOKUP(AF$1,main!$A$3:$I$56,5,FALSE)-VLOOKUP($A124,main!$A$3:$I$56,6,FALSE)+main!$D$58,0)</f>
        <v>0</v>
      </c>
      <c r="AG124">
        <f>IF((phi!AG69),VLOOKUP(AG$1,main!$A$3:$I$56,5,FALSE)-VLOOKUP($A124,main!$A$3:$I$56,6,FALSE)+main!$D$58,0)</f>
        <v>0</v>
      </c>
      <c r="AH124">
        <f>IF((phi!AH69),VLOOKUP(AH$1,main!$A$3:$I$56,5,FALSE)-VLOOKUP($A124,main!$A$3:$I$56,6,FALSE)+main!$D$58,0)</f>
        <v>0</v>
      </c>
      <c r="AI124">
        <f>IF((phi!AI69),VLOOKUP(AI$1,main!$A$3:$I$56,5,FALSE)-VLOOKUP($A124,main!$A$3:$I$56,6,FALSE)+main!$D$58,0)</f>
        <v>0</v>
      </c>
      <c r="AJ124">
        <f>IF((phi!AJ69),VLOOKUP(AJ$1,main!$A$3:$I$56,5,FALSE)-VLOOKUP($A124,main!$A$3:$I$56,6,FALSE)+main!$D$58,0)</f>
        <v>0</v>
      </c>
      <c r="AK124">
        <f>IF((phi!AK69),VLOOKUP(AK$1,main!$A$3:$I$56,5,FALSE)-VLOOKUP($A124,main!$A$3:$I$56,6,FALSE)+main!$D$58,0)</f>
        <v>0</v>
      </c>
      <c r="AL124">
        <f>IF((phi!AL69),VLOOKUP(AL$1,main!$A$3:$I$56,5,FALSE)-VLOOKUP($A124,main!$A$3:$I$56,6,FALSE)+main!$D$58,0)</f>
        <v>0</v>
      </c>
      <c r="AM124">
        <f>IF((phi!AM69),VLOOKUP(AM$1,main!$A$3:$I$56,5,FALSE)-VLOOKUP($A124,main!$A$3:$I$56,6,FALSE)+main!$D$58,0)</f>
        <v>0</v>
      </c>
      <c r="AN124">
        <f>IF((phi!AN69),VLOOKUP(AN$1,main!$A$3:$I$56,5,FALSE)-VLOOKUP($A124,main!$A$3:$I$56,6,FALSE)+main!$D$58,0)</f>
        <v>0</v>
      </c>
      <c r="AO124">
        <f>IF((phi!AO69),VLOOKUP(AO$1,main!$A$3:$I$56,5,FALSE)-VLOOKUP($A124,main!$A$3:$I$56,6,FALSE)+main!$D$58,0)</f>
        <v>0</v>
      </c>
      <c r="AP124">
        <f>IF((phi!AP69),VLOOKUP(AP$1,main!$A$3:$I$56,5,FALSE)-VLOOKUP($A124,main!$A$3:$I$56,6,FALSE)+main!$D$58,0)</f>
        <v>0</v>
      </c>
      <c r="AQ124">
        <f>IF((phi!AQ69),VLOOKUP(AQ$1,main!$A$3:$I$56,5,FALSE)-VLOOKUP($A124,main!$A$3:$I$56,6,FALSE)+main!$D$58,0)</f>
        <v>0</v>
      </c>
      <c r="AR124">
        <f>IF((phi!AR69),VLOOKUP(AR$1,main!$A$3:$I$56,5,FALSE)-VLOOKUP($A124,main!$A$3:$I$56,6,FALSE)+main!$D$58,0)</f>
        <v>0</v>
      </c>
      <c r="AS124">
        <f>IF((phi!AS69),VLOOKUP(AS$1,main!$A$3:$I$56,5,FALSE)-VLOOKUP($A124,main!$A$3:$I$56,6,FALSE)+main!$D$58,0)</f>
        <v>0</v>
      </c>
      <c r="AT124">
        <f>IF((phi!AT69),VLOOKUP(AT$1,main!$A$3:$I$56,5,FALSE)-VLOOKUP($A124,main!$A$3:$I$56,6,FALSE)+main!$D$58,0)</f>
        <v>0</v>
      </c>
      <c r="AU124">
        <f>IF((phi!AU69),VLOOKUP(AU$1,main!$A$3:$I$56,5,FALSE)-VLOOKUP($A124,main!$A$3:$I$56,6,FALSE)+main!$D$58,0)</f>
        <v>0</v>
      </c>
      <c r="AV124">
        <f>IF((phi!AV69),VLOOKUP(AV$1,main!$A$3:$I$56,5,FALSE)-VLOOKUP($A124,main!$A$3:$I$56,6,FALSE)+main!$D$58,0)</f>
        <v>0</v>
      </c>
      <c r="AW124">
        <f>IF((phi!AW69),VLOOKUP(AW$1,main!$A$3:$I$56,5,FALSE)-VLOOKUP($A124,main!$A$3:$I$56,6,FALSE)+main!$D$58,0)</f>
        <v>0</v>
      </c>
      <c r="AX124">
        <f>IF((phi!AX69),VLOOKUP(AX$1,main!$A$3:$I$56,5,FALSE)-VLOOKUP($A124,main!$A$3:$I$56,6,FALSE)+main!$D$58,0)</f>
        <v>0</v>
      </c>
      <c r="AY124">
        <f>IF((phi!AY69),VLOOKUP(AY$1,main!$A$3:$I$56,5,FALSE)-VLOOKUP($A124,main!$A$3:$I$56,6,FALSE)+main!$D$58,0)</f>
        <v>0</v>
      </c>
      <c r="AZ124">
        <f>IF((phi!AZ69),VLOOKUP(AZ$1,main!$A$3:$I$56,5,FALSE)-VLOOKUP($A124,main!$A$3:$I$56,6,FALSE)+main!$D$58,0)</f>
        <v>0</v>
      </c>
      <c r="BA124">
        <f>IF((phi!BA69),VLOOKUP(BA$1,main!$A$3:$I$56,5,FALSE)-VLOOKUP($A124,main!$A$3:$I$56,6,FALSE)+main!$D$58,0)</f>
        <v>0</v>
      </c>
      <c r="BB124">
        <f>IF((phi!BB69),VLOOKUP(BB$1,main!$A$3:$I$56,5,FALSE)-VLOOKUP($A124,main!$A$3:$I$56,6,FALSE)+main!$D$58,0)</f>
        <v>0</v>
      </c>
      <c r="BC124">
        <f>IF((phi!BC69),VLOOKUP(BC$1,main!$A$3:$I$56,5,FALSE)-VLOOKUP($A124,main!$A$3:$I$56,6,FALSE)+main!$D$58,0)</f>
        <v>0</v>
      </c>
      <c r="BD124">
        <f>IF((phi!BD69),VLOOKUP(BD$1,main!$A$3:$I$56,5,FALSE)-VLOOKUP($A124,main!$A$3:$I$56,6,FALSE)+main!$D$58,0)</f>
        <v>0</v>
      </c>
    </row>
    <row r="125" spans="1:56" x14ac:dyDescent="0.25">
      <c r="A125">
        <f t="shared" si="4"/>
        <v>13</v>
      </c>
      <c r="B125">
        <v>0</v>
      </c>
      <c r="C125">
        <f>IF((phi!C70),VLOOKUP(C$1,main!$A$3:$I$56,5,FALSE)-VLOOKUP($A125,main!$A$3:$I$56,6,FALSE)+main!$D$58,0)</f>
        <v>0</v>
      </c>
      <c r="D125">
        <f>IF((phi!D70),VLOOKUP(D$1,main!$A$3:$I$56,5,FALSE)-VLOOKUP($A125,main!$A$3:$I$56,6,FALSE)+main!$D$58,0)</f>
        <v>0</v>
      </c>
      <c r="E125">
        <f>IF((phi!E70),VLOOKUP(E$1,main!$A$3:$I$56,5,FALSE)-VLOOKUP($A125,main!$A$3:$I$56,6,FALSE)+main!$D$58,0)</f>
        <v>0</v>
      </c>
      <c r="F125">
        <f>IF((phi!F70),VLOOKUP(F$1,main!$A$3:$I$56,5,FALSE)-VLOOKUP($A125,main!$A$3:$I$56,6,FALSE)+main!$D$58,0)</f>
        <v>0</v>
      </c>
      <c r="G125">
        <f>IF((phi!G70),VLOOKUP(G$1,main!$A$3:$I$56,5,FALSE)-VLOOKUP($A125,main!$A$3:$I$56,6,FALSE)+main!$D$58,0)</f>
        <v>0</v>
      </c>
      <c r="H125">
        <f>IF((phi!H70),VLOOKUP(H$1,main!$A$3:$I$56,5,FALSE)-VLOOKUP($A125,main!$A$3:$I$56,6,FALSE)+main!$D$58,0)</f>
        <v>0</v>
      </c>
      <c r="I125">
        <f>IF((phi!I70),VLOOKUP(I$1,main!$A$3:$I$56,5,FALSE)-VLOOKUP($A125,main!$A$3:$I$56,6,FALSE)+main!$D$58,0)</f>
        <v>0</v>
      </c>
      <c r="J125">
        <f>IF((phi!J70),VLOOKUP(J$1,main!$A$3:$I$56,5,FALSE)-VLOOKUP($A125,main!$A$3:$I$56,6,FALSE)+main!$D$58,0)</f>
        <v>0</v>
      </c>
      <c r="K125">
        <f>IF((phi!K70),VLOOKUP(K$1,main!$A$3:$I$56,5,FALSE)-VLOOKUP($A125,main!$A$3:$I$56,6,FALSE)+main!$D$58,0)</f>
        <v>0</v>
      </c>
      <c r="L125">
        <f>IF((phi!L70),VLOOKUP(L$1,main!$A$3:$I$56,5,FALSE)-VLOOKUP($A125,main!$A$3:$I$56,6,FALSE)+main!$D$58,0)</f>
        <v>0</v>
      </c>
      <c r="M125">
        <f>IF((phi!M70),VLOOKUP(M$1,main!$A$3:$I$56,5,FALSE)-VLOOKUP($A125,main!$A$3:$I$56,6,FALSE)+main!$D$58,0)</f>
        <v>0</v>
      </c>
      <c r="N125">
        <f>IF((phi!N70),VLOOKUP(N$1,main!$A$3:$I$56,5,FALSE)-VLOOKUP($A125,main!$A$3:$I$56,6,FALSE)+main!$D$58,0)</f>
        <v>0</v>
      </c>
      <c r="O125">
        <f>IF((phi!O70),VLOOKUP(O$1,main!$A$3:$I$56,5,FALSE)-VLOOKUP($A125,main!$A$3:$I$56,6,FALSE)+main!$D$58,0)</f>
        <v>0</v>
      </c>
      <c r="P125">
        <f>IF((phi!P70),VLOOKUP(P$1,main!$A$3:$I$56,5,FALSE)-VLOOKUP($A125,main!$A$3:$I$56,6,FALSE)+main!$D$58,0)</f>
        <v>0</v>
      </c>
      <c r="Q125">
        <f>IF((phi!Q70),VLOOKUP(Q$1,main!$A$3:$I$56,5,FALSE)-VLOOKUP($A125,main!$A$3:$I$56,6,FALSE)+main!$D$58,0)</f>
        <v>0</v>
      </c>
      <c r="R125">
        <f>IF((phi!R70),VLOOKUP(R$1,main!$A$3:$I$56,5,FALSE)-VLOOKUP($A125,main!$A$3:$I$56,6,FALSE)+main!$D$58,0)</f>
        <v>0</v>
      </c>
      <c r="S125">
        <f>IF((phi!S70),VLOOKUP(S$1,main!$A$3:$I$56,5,FALSE)-VLOOKUP($A125,main!$A$3:$I$56,6,FALSE)+main!$D$58,0)</f>
        <v>0</v>
      </c>
      <c r="T125">
        <f>IF((phi!T70),VLOOKUP(T$1,main!$A$3:$I$56,5,FALSE)-VLOOKUP($A125,main!$A$3:$I$56,6,FALSE)+main!$D$58,0)</f>
        <v>0</v>
      </c>
      <c r="U125">
        <f>IF((phi!U70),VLOOKUP(U$1,main!$A$3:$I$56,5,FALSE)-VLOOKUP($A125,main!$A$3:$I$56,6,FALSE)+main!$D$58,0)</f>
        <v>0</v>
      </c>
      <c r="V125">
        <f>IF((phi!V70),VLOOKUP(V$1,main!$A$3:$I$56,5,FALSE)-VLOOKUP($A125,main!$A$3:$I$56,6,FALSE)+main!$D$58,0)</f>
        <v>0</v>
      </c>
      <c r="W125">
        <f>IF((phi!W70),VLOOKUP(W$1,main!$A$3:$I$56,5,FALSE)-VLOOKUP($A125,main!$A$3:$I$56,6,FALSE)+main!$D$58,0)</f>
        <v>0</v>
      </c>
      <c r="X125">
        <f>IF((phi!X70),VLOOKUP(X$1,main!$A$3:$I$56,5,FALSE)-VLOOKUP($A125,main!$A$3:$I$56,6,FALSE)+main!$D$58,0)</f>
        <v>0</v>
      </c>
      <c r="Y125">
        <f>IF((phi!Y70),VLOOKUP(Y$1,main!$A$3:$I$56,5,FALSE)-VLOOKUP($A125,main!$A$3:$I$56,6,FALSE)+main!$D$58,0)</f>
        <v>0</v>
      </c>
      <c r="Z125">
        <f>IF((phi!Z70),VLOOKUP(Z$1,main!$A$3:$I$56,5,FALSE)-VLOOKUP($A125,main!$A$3:$I$56,6,FALSE)+main!$D$58,0)</f>
        <v>0</v>
      </c>
      <c r="AA125">
        <f>IF((phi!AA70),VLOOKUP(AA$1,main!$A$3:$I$56,5,FALSE)-VLOOKUP($A125,main!$A$3:$I$56,6,FALSE)+main!$D$58,0)</f>
        <v>0</v>
      </c>
      <c r="AB125">
        <f>IF((phi!AB70),VLOOKUP(AB$1,main!$A$3:$I$56,5,FALSE)-VLOOKUP($A125,main!$A$3:$I$56,6,FALSE)+main!$D$58,0)</f>
        <v>0</v>
      </c>
      <c r="AC125">
        <f>IF((phi!AC70),VLOOKUP(AC$1,main!$A$3:$I$56,5,FALSE)-VLOOKUP($A125,main!$A$3:$I$56,6,FALSE)+main!$D$58,0)</f>
        <v>0</v>
      </c>
      <c r="AD125">
        <f>IF((phi!AD70),VLOOKUP(AD$1,main!$A$3:$I$56,5,FALSE)-VLOOKUP($A125,main!$A$3:$I$56,6,FALSE)+main!$D$58,0)</f>
        <v>0</v>
      </c>
      <c r="AE125">
        <f>IF((phi!AE70),VLOOKUP(AE$1,main!$A$3:$I$56,5,FALSE)-VLOOKUP($A125,main!$A$3:$I$56,6,FALSE)+main!$D$58,0)</f>
        <v>0</v>
      </c>
      <c r="AF125">
        <f>IF((phi!AF70),VLOOKUP(AF$1,main!$A$3:$I$56,5,FALSE)-VLOOKUP($A125,main!$A$3:$I$56,6,FALSE)+main!$D$58,0)</f>
        <v>0</v>
      </c>
      <c r="AG125">
        <f>IF((phi!AG70),VLOOKUP(AG$1,main!$A$3:$I$56,5,FALSE)-VLOOKUP($A125,main!$A$3:$I$56,6,FALSE)+main!$D$58,0)</f>
        <v>0</v>
      </c>
      <c r="AH125">
        <f>IF((phi!AH70),VLOOKUP(AH$1,main!$A$3:$I$56,5,FALSE)-VLOOKUP($A125,main!$A$3:$I$56,6,FALSE)+main!$D$58,0)</f>
        <v>0</v>
      </c>
      <c r="AI125">
        <f>IF((phi!AI70),VLOOKUP(AI$1,main!$A$3:$I$56,5,FALSE)-VLOOKUP($A125,main!$A$3:$I$56,6,FALSE)+main!$D$58,0)</f>
        <v>0</v>
      </c>
      <c r="AJ125">
        <f>IF((phi!AJ70),VLOOKUP(AJ$1,main!$A$3:$I$56,5,FALSE)-VLOOKUP($A125,main!$A$3:$I$56,6,FALSE)+main!$D$58,0)</f>
        <v>0</v>
      </c>
      <c r="AK125">
        <f>IF((phi!AK70),VLOOKUP(AK$1,main!$A$3:$I$56,5,FALSE)-VLOOKUP($A125,main!$A$3:$I$56,6,FALSE)+main!$D$58,0)</f>
        <v>0</v>
      </c>
      <c r="AL125">
        <f>IF((phi!AL70),VLOOKUP(AL$1,main!$A$3:$I$56,5,FALSE)-VLOOKUP($A125,main!$A$3:$I$56,6,FALSE)+main!$D$58,0)</f>
        <v>0</v>
      </c>
      <c r="AM125">
        <f>IF((phi!AM70),VLOOKUP(AM$1,main!$A$3:$I$56,5,FALSE)-VLOOKUP($A125,main!$A$3:$I$56,6,FALSE)+main!$D$58,0)</f>
        <v>0</v>
      </c>
      <c r="AN125">
        <f>IF((phi!AN70),VLOOKUP(AN$1,main!$A$3:$I$56,5,FALSE)-VLOOKUP($A125,main!$A$3:$I$56,6,FALSE)+main!$D$58,0)</f>
        <v>0</v>
      </c>
      <c r="AO125">
        <f>IF((phi!AO70),VLOOKUP(AO$1,main!$A$3:$I$56,5,FALSE)-VLOOKUP($A125,main!$A$3:$I$56,6,FALSE)+main!$D$58,0)</f>
        <v>0</v>
      </c>
      <c r="AP125">
        <f>IF((phi!AP70),VLOOKUP(AP$1,main!$A$3:$I$56,5,FALSE)-VLOOKUP($A125,main!$A$3:$I$56,6,FALSE)+main!$D$58,0)</f>
        <v>0</v>
      </c>
      <c r="AQ125">
        <f>IF((phi!AQ70),VLOOKUP(AQ$1,main!$A$3:$I$56,5,FALSE)-VLOOKUP($A125,main!$A$3:$I$56,6,FALSE)+main!$D$58,0)</f>
        <v>0</v>
      </c>
      <c r="AR125">
        <f>IF((phi!AR70),VLOOKUP(AR$1,main!$A$3:$I$56,5,FALSE)-VLOOKUP($A125,main!$A$3:$I$56,6,FALSE)+main!$D$58,0)</f>
        <v>0</v>
      </c>
      <c r="AS125">
        <f>IF((phi!AS70),VLOOKUP(AS$1,main!$A$3:$I$56,5,FALSE)-VLOOKUP($A125,main!$A$3:$I$56,6,FALSE)+main!$D$58,0)</f>
        <v>0</v>
      </c>
      <c r="AT125">
        <f>IF((phi!AT70),VLOOKUP(AT$1,main!$A$3:$I$56,5,FALSE)-VLOOKUP($A125,main!$A$3:$I$56,6,FALSE)+main!$D$58,0)</f>
        <v>0</v>
      </c>
      <c r="AU125">
        <f>IF((phi!AU70),VLOOKUP(AU$1,main!$A$3:$I$56,5,FALSE)-VLOOKUP($A125,main!$A$3:$I$56,6,FALSE)+main!$D$58,0)</f>
        <v>0</v>
      </c>
      <c r="AV125">
        <f>IF((phi!AV70),VLOOKUP(AV$1,main!$A$3:$I$56,5,FALSE)-VLOOKUP($A125,main!$A$3:$I$56,6,FALSE)+main!$D$58,0)</f>
        <v>0</v>
      </c>
      <c r="AW125">
        <f>IF((phi!AW70),VLOOKUP(AW$1,main!$A$3:$I$56,5,FALSE)-VLOOKUP($A125,main!$A$3:$I$56,6,FALSE)+main!$D$58,0)</f>
        <v>0</v>
      </c>
      <c r="AX125">
        <f>IF((phi!AX70),VLOOKUP(AX$1,main!$A$3:$I$56,5,FALSE)-VLOOKUP($A125,main!$A$3:$I$56,6,FALSE)+main!$D$58,0)</f>
        <v>0</v>
      </c>
      <c r="AY125">
        <f>IF((phi!AY70),VLOOKUP(AY$1,main!$A$3:$I$56,5,FALSE)-VLOOKUP($A125,main!$A$3:$I$56,6,FALSE)+main!$D$58,0)</f>
        <v>0</v>
      </c>
      <c r="AZ125">
        <f>IF((phi!AZ70),VLOOKUP(AZ$1,main!$A$3:$I$56,5,FALSE)-VLOOKUP($A125,main!$A$3:$I$56,6,FALSE)+main!$D$58,0)</f>
        <v>0</v>
      </c>
      <c r="BA125">
        <f>IF((phi!BA70),VLOOKUP(BA$1,main!$A$3:$I$56,5,FALSE)-VLOOKUP($A125,main!$A$3:$I$56,6,FALSE)+main!$D$58,0)</f>
        <v>0</v>
      </c>
      <c r="BB125">
        <f>IF((phi!BB70),VLOOKUP(BB$1,main!$A$3:$I$56,5,FALSE)-VLOOKUP($A125,main!$A$3:$I$56,6,FALSE)+main!$D$58,0)</f>
        <v>0</v>
      </c>
      <c r="BC125">
        <f>IF((phi!BC70),VLOOKUP(BC$1,main!$A$3:$I$56,5,FALSE)-VLOOKUP($A125,main!$A$3:$I$56,6,FALSE)+main!$D$58,0)</f>
        <v>0</v>
      </c>
      <c r="BD125">
        <f>IF((phi!BD70),VLOOKUP(BD$1,main!$A$3:$I$56,5,FALSE)-VLOOKUP($A125,main!$A$3:$I$56,6,FALSE)+main!$D$58,0)</f>
        <v>0</v>
      </c>
    </row>
    <row r="126" spans="1:56" x14ac:dyDescent="0.25">
      <c r="A126">
        <f t="shared" si="4"/>
        <v>14</v>
      </c>
      <c r="B126">
        <v>0</v>
      </c>
      <c r="C126">
        <f>IF((phi!C71),VLOOKUP(C$1,main!$A$3:$I$56,5,FALSE)-VLOOKUP($A126,main!$A$3:$I$56,6,FALSE)+main!$D$58,0)</f>
        <v>0</v>
      </c>
      <c r="D126">
        <f>IF((phi!D71),VLOOKUP(D$1,main!$A$3:$I$56,5,FALSE)-VLOOKUP($A126,main!$A$3:$I$56,6,FALSE)+main!$D$58,0)</f>
        <v>0</v>
      </c>
      <c r="E126">
        <f>IF((phi!E71),VLOOKUP(E$1,main!$A$3:$I$56,5,FALSE)-VLOOKUP($A126,main!$A$3:$I$56,6,FALSE)+main!$D$58,0)</f>
        <v>180</v>
      </c>
      <c r="F126">
        <f>IF((phi!F71),VLOOKUP(F$1,main!$A$3:$I$56,5,FALSE)-VLOOKUP($A126,main!$A$3:$I$56,6,FALSE)+main!$D$58,0)</f>
        <v>270</v>
      </c>
      <c r="G126">
        <f>IF((phi!G71),VLOOKUP(G$1,main!$A$3:$I$56,5,FALSE)-VLOOKUP($A126,main!$A$3:$I$56,6,FALSE)+main!$D$58,0)</f>
        <v>330</v>
      </c>
      <c r="H126">
        <f>IF((phi!H71),VLOOKUP(H$1,main!$A$3:$I$56,5,FALSE)-VLOOKUP($A126,main!$A$3:$I$56,6,FALSE)+main!$D$58,0)</f>
        <v>390</v>
      </c>
      <c r="I126">
        <f>IF((phi!I71),VLOOKUP(I$1,main!$A$3:$I$56,5,FALSE)-VLOOKUP($A126,main!$A$3:$I$56,6,FALSE)+main!$D$58,0)</f>
        <v>450</v>
      </c>
      <c r="J126">
        <f>IF((phi!J71),VLOOKUP(J$1,main!$A$3:$I$56,5,FALSE)-VLOOKUP($A126,main!$A$3:$I$56,6,FALSE)+main!$D$58,0)</f>
        <v>540</v>
      </c>
      <c r="K126">
        <f>IF((phi!K71),VLOOKUP(K$1,main!$A$3:$I$56,5,FALSE)-VLOOKUP($A126,main!$A$3:$I$56,6,FALSE)+main!$D$58,0)</f>
        <v>0</v>
      </c>
      <c r="L126">
        <f>IF((phi!L71),VLOOKUP(L$1,main!$A$3:$I$56,5,FALSE)-VLOOKUP($A126,main!$A$3:$I$56,6,FALSE)+main!$D$58,0)</f>
        <v>0</v>
      </c>
      <c r="M126">
        <f>IF((phi!M71),VLOOKUP(M$1,main!$A$3:$I$56,5,FALSE)-VLOOKUP($A126,main!$A$3:$I$56,6,FALSE)+main!$D$58,0)</f>
        <v>145</v>
      </c>
      <c r="N126">
        <f>IF((phi!N71),VLOOKUP(N$1,main!$A$3:$I$56,5,FALSE)-VLOOKUP($A126,main!$A$3:$I$56,6,FALSE)+main!$D$58,0)</f>
        <v>505</v>
      </c>
      <c r="O126">
        <f>IF((phi!O71),VLOOKUP(O$1,main!$A$3:$I$56,5,FALSE)-VLOOKUP($A126,main!$A$3:$I$56,6,FALSE)+main!$D$58,0)</f>
        <v>565</v>
      </c>
      <c r="P126">
        <f>IF((phi!P71),VLOOKUP(P$1,main!$A$3:$I$56,5,FALSE)-VLOOKUP($A126,main!$A$3:$I$56,6,FALSE)+main!$D$58,0)</f>
        <v>0</v>
      </c>
      <c r="Q126">
        <f>IF((phi!Q71),VLOOKUP(Q$1,main!$A$3:$I$56,5,FALSE)-VLOOKUP($A126,main!$A$3:$I$56,6,FALSE)+main!$D$58,0)</f>
        <v>0</v>
      </c>
      <c r="R126">
        <f>IF((phi!R71),VLOOKUP(R$1,main!$A$3:$I$56,5,FALSE)-VLOOKUP($A126,main!$A$3:$I$56,6,FALSE)+main!$D$58,0)</f>
        <v>140</v>
      </c>
      <c r="S126">
        <f>IF((phi!S71),VLOOKUP(S$1,main!$A$3:$I$56,5,FALSE)-VLOOKUP($A126,main!$A$3:$I$56,6,FALSE)+main!$D$58,0)</f>
        <v>320</v>
      </c>
      <c r="T126">
        <f>IF((phi!T71),VLOOKUP(T$1,main!$A$3:$I$56,5,FALSE)-VLOOKUP($A126,main!$A$3:$I$56,6,FALSE)+main!$D$58,0)</f>
        <v>470</v>
      </c>
      <c r="U126">
        <f>IF((phi!U71),VLOOKUP(U$1,main!$A$3:$I$56,5,FALSE)-VLOOKUP($A126,main!$A$3:$I$56,6,FALSE)+main!$D$58,0)</f>
        <v>0</v>
      </c>
      <c r="V126">
        <f>IF((phi!V71),VLOOKUP(V$1,main!$A$3:$I$56,5,FALSE)-VLOOKUP($A126,main!$A$3:$I$56,6,FALSE)+main!$D$58,0)</f>
        <v>0</v>
      </c>
      <c r="W126">
        <f>IF((phi!W71),VLOOKUP(W$1,main!$A$3:$I$56,5,FALSE)-VLOOKUP($A126,main!$A$3:$I$56,6,FALSE)+main!$D$58,0)</f>
        <v>0</v>
      </c>
      <c r="X126">
        <f>IF((phi!X71),VLOOKUP(X$1,main!$A$3:$I$56,5,FALSE)-VLOOKUP($A126,main!$A$3:$I$56,6,FALSE)+main!$D$58,0)</f>
        <v>0</v>
      </c>
      <c r="Y126">
        <f>IF((phi!Y71),VLOOKUP(Y$1,main!$A$3:$I$56,5,FALSE)-VLOOKUP($A126,main!$A$3:$I$56,6,FALSE)+main!$D$58,0)</f>
        <v>250</v>
      </c>
      <c r="Z126">
        <f>IF((phi!Z71),VLOOKUP(Z$1,main!$A$3:$I$56,5,FALSE)-VLOOKUP($A126,main!$A$3:$I$56,6,FALSE)+main!$D$58,0)</f>
        <v>340</v>
      </c>
      <c r="AA126">
        <f>IF((phi!AA71),VLOOKUP(AA$1,main!$A$3:$I$56,5,FALSE)-VLOOKUP($A126,main!$A$3:$I$56,6,FALSE)+main!$D$58,0)</f>
        <v>430</v>
      </c>
      <c r="AB126">
        <f>IF((phi!AB71),VLOOKUP(AB$1,main!$A$3:$I$56,5,FALSE)-VLOOKUP($A126,main!$A$3:$I$56,6,FALSE)+main!$D$58,0)</f>
        <v>490</v>
      </c>
      <c r="AC126">
        <f>IF((phi!AC71),VLOOKUP(AC$1,main!$A$3:$I$56,5,FALSE)-VLOOKUP($A126,main!$A$3:$I$56,6,FALSE)+main!$D$58,0)</f>
        <v>0</v>
      </c>
      <c r="AD126">
        <f>IF((phi!AD71),VLOOKUP(AD$1,main!$A$3:$I$56,5,FALSE)-VLOOKUP($A126,main!$A$3:$I$56,6,FALSE)+main!$D$58,0)</f>
        <v>0</v>
      </c>
      <c r="AE126">
        <f>IF((phi!AE71),VLOOKUP(AE$1,main!$A$3:$I$56,5,FALSE)-VLOOKUP($A126,main!$A$3:$I$56,6,FALSE)+main!$D$58,0)</f>
        <v>0</v>
      </c>
      <c r="AF126">
        <f>IF((phi!AF71),VLOOKUP(AF$1,main!$A$3:$I$56,5,FALSE)-VLOOKUP($A126,main!$A$3:$I$56,6,FALSE)+main!$D$58,0)</f>
        <v>300</v>
      </c>
      <c r="AG126">
        <f>IF((phi!AG71),VLOOKUP(AG$1,main!$A$3:$I$56,5,FALSE)-VLOOKUP($A126,main!$A$3:$I$56,6,FALSE)+main!$D$58,0)</f>
        <v>0</v>
      </c>
      <c r="AH126">
        <f>IF((phi!AH71),VLOOKUP(AH$1,main!$A$3:$I$56,5,FALSE)-VLOOKUP($A126,main!$A$3:$I$56,6,FALSE)+main!$D$58,0)</f>
        <v>0</v>
      </c>
      <c r="AI126">
        <f>IF((phi!AI71),VLOOKUP(AI$1,main!$A$3:$I$56,5,FALSE)-VLOOKUP($A126,main!$A$3:$I$56,6,FALSE)+main!$D$58,0)</f>
        <v>0</v>
      </c>
      <c r="AJ126">
        <f>IF((phi!AJ71),VLOOKUP(AJ$1,main!$A$3:$I$56,5,FALSE)-VLOOKUP($A126,main!$A$3:$I$56,6,FALSE)+main!$D$58,0)</f>
        <v>270</v>
      </c>
      <c r="AK126">
        <f>IF((phi!AK71),VLOOKUP(AK$1,main!$A$3:$I$56,5,FALSE)-VLOOKUP($A126,main!$A$3:$I$56,6,FALSE)+main!$D$58,0)</f>
        <v>390</v>
      </c>
      <c r="AL126">
        <f>IF((phi!AL71),VLOOKUP(AL$1,main!$A$3:$I$56,5,FALSE)-VLOOKUP($A126,main!$A$3:$I$56,6,FALSE)+main!$D$58,0)</f>
        <v>0</v>
      </c>
      <c r="AM126">
        <f>IF((phi!AM71),VLOOKUP(AM$1,main!$A$3:$I$56,5,FALSE)-VLOOKUP($A126,main!$A$3:$I$56,6,FALSE)+main!$D$58,0)</f>
        <v>0</v>
      </c>
      <c r="AN126">
        <f>IF((phi!AN71),VLOOKUP(AN$1,main!$A$3:$I$56,5,FALSE)-VLOOKUP($A126,main!$A$3:$I$56,6,FALSE)+main!$D$58,0)</f>
        <v>250</v>
      </c>
      <c r="AO126">
        <f>IF((phi!AO71),VLOOKUP(AO$1,main!$A$3:$I$56,5,FALSE)-VLOOKUP($A126,main!$A$3:$I$56,6,FALSE)+main!$D$58,0)</f>
        <v>300</v>
      </c>
      <c r="AP126">
        <f>IF((phi!AP71),VLOOKUP(AP$1,main!$A$3:$I$56,5,FALSE)-VLOOKUP($A126,main!$A$3:$I$56,6,FALSE)+main!$D$58,0)</f>
        <v>0</v>
      </c>
      <c r="AQ126">
        <f>IF((phi!AQ71),VLOOKUP(AQ$1,main!$A$3:$I$56,5,FALSE)-VLOOKUP($A126,main!$A$3:$I$56,6,FALSE)+main!$D$58,0)</f>
        <v>0</v>
      </c>
      <c r="AR126">
        <f>IF((phi!AR71),VLOOKUP(AR$1,main!$A$3:$I$56,5,FALSE)-VLOOKUP($A126,main!$A$3:$I$56,6,FALSE)+main!$D$58,0)</f>
        <v>0</v>
      </c>
      <c r="AS126">
        <f>IF((phi!AS71),VLOOKUP(AS$1,main!$A$3:$I$56,5,FALSE)-VLOOKUP($A126,main!$A$3:$I$56,6,FALSE)+main!$D$58,0)</f>
        <v>0</v>
      </c>
      <c r="AT126">
        <f>IF((phi!AT71),VLOOKUP(AT$1,main!$A$3:$I$56,5,FALSE)-VLOOKUP($A126,main!$A$3:$I$56,6,FALSE)+main!$D$58,0)</f>
        <v>0</v>
      </c>
      <c r="AU126">
        <f>IF((phi!AU71),VLOOKUP(AU$1,main!$A$3:$I$56,5,FALSE)-VLOOKUP($A126,main!$A$3:$I$56,6,FALSE)+main!$D$58,0)</f>
        <v>0</v>
      </c>
      <c r="AV126">
        <f>IF((phi!AV71),VLOOKUP(AV$1,main!$A$3:$I$56,5,FALSE)-VLOOKUP($A126,main!$A$3:$I$56,6,FALSE)+main!$D$58,0)</f>
        <v>0</v>
      </c>
      <c r="AW126">
        <f>IF((phi!AW71),VLOOKUP(AW$1,main!$A$3:$I$56,5,FALSE)-VLOOKUP($A126,main!$A$3:$I$56,6,FALSE)+main!$D$58,0)</f>
        <v>0</v>
      </c>
      <c r="AX126">
        <f>IF((phi!AX71),VLOOKUP(AX$1,main!$A$3:$I$56,5,FALSE)-VLOOKUP($A126,main!$A$3:$I$56,6,FALSE)+main!$D$58,0)</f>
        <v>350</v>
      </c>
      <c r="AY126">
        <f>IF((phi!AY71),VLOOKUP(AY$1,main!$A$3:$I$56,5,FALSE)-VLOOKUP($A126,main!$A$3:$I$56,6,FALSE)+main!$D$58,0)</f>
        <v>550</v>
      </c>
      <c r="AZ126">
        <f>IF((phi!AZ71),VLOOKUP(AZ$1,main!$A$3:$I$56,5,FALSE)-VLOOKUP($A126,main!$A$3:$I$56,6,FALSE)+main!$D$58,0)</f>
        <v>0</v>
      </c>
      <c r="BA126">
        <f>IF((phi!BA71),VLOOKUP(BA$1,main!$A$3:$I$56,5,FALSE)-VLOOKUP($A126,main!$A$3:$I$56,6,FALSE)+main!$D$58,0)</f>
        <v>0</v>
      </c>
      <c r="BB126">
        <f>IF((phi!BB71),VLOOKUP(BB$1,main!$A$3:$I$56,5,FALSE)-VLOOKUP($A126,main!$A$3:$I$56,6,FALSE)+main!$D$58,0)</f>
        <v>0</v>
      </c>
      <c r="BC126">
        <f>IF((phi!BC71),VLOOKUP(BC$1,main!$A$3:$I$56,5,FALSE)-VLOOKUP($A126,main!$A$3:$I$56,6,FALSE)+main!$D$58,0)</f>
        <v>0</v>
      </c>
      <c r="BD126">
        <f>IF((phi!BD71),VLOOKUP(BD$1,main!$A$3:$I$56,5,FALSE)-VLOOKUP($A126,main!$A$3:$I$56,6,FALSE)+main!$D$58,0)</f>
        <v>325</v>
      </c>
    </row>
    <row r="127" spans="1:56" x14ac:dyDescent="0.25">
      <c r="A127">
        <f t="shared" si="4"/>
        <v>15</v>
      </c>
      <c r="B127">
        <v>0</v>
      </c>
      <c r="C127">
        <f>IF((phi!C72),VLOOKUP(C$1,main!$A$3:$I$56,5,FALSE)-VLOOKUP($A127,main!$A$3:$I$56,6,FALSE)+main!$D$58,0)</f>
        <v>0</v>
      </c>
      <c r="D127">
        <f>IF((phi!D72),VLOOKUP(D$1,main!$A$3:$I$56,5,FALSE)-VLOOKUP($A127,main!$A$3:$I$56,6,FALSE)+main!$D$58,0)</f>
        <v>0</v>
      </c>
      <c r="E127">
        <f>IF((phi!E72),VLOOKUP(E$1,main!$A$3:$I$56,5,FALSE)-VLOOKUP($A127,main!$A$3:$I$56,6,FALSE)+main!$D$58,0)</f>
        <v>110</v>
      </c>
      <c r="F127">
        <f>IF((phi!F72),VLOOKUP(F$1,main!$A$3:$I$56,5,FALSE)-VLOOKUP($A127,main!$A$3:$I$56,6,FALSE)+main!$D$58,0)</f>
        <v>200</v>
      </c>
      <c r="G127">
        <f>IF((phi!G72),VLOOKUP(G$1,main!$A$3:$I$56,5,FALSE)-VLOOKUP($A127,main!$A$3:$I$56,6,FALSE)+main!$D$58,0)</f>
        <v>260</v>
      </c>
      <c r="H127">
        <f>IF((phi!H72),VLOOKUP(H$1,main!$A$3:$I$56,5,FALSE)-VLOOKUP($A127,main!$A$3:$I$56,6,FALSE)+main!$D$58,0)</f>
        <v>320</v>
      </c>
      <c r="I127">
        <f>IF((phi!I72),VLOOKUP(I$1,main!$A$3:$I$56,5,FALSE)-VLOOKUP($A127,main!$A$3:$I$56,6,FALSE)+main!$D$58,0)</f>
        <v>380</v>
      </c>
      <c r="J127">
        <f>IF((phi!J72),VLOOKUP(J$1,main!$A$3:$I$56,5,FALSE)-VLOOKUP($A127,main!$A$3:$I$56,6,FALSE)+main!$D$58,0)</f>
        <v>470</v>
      </c>
      <c r="K127">
        <f>IF((phi!K72),VLOOKUP(K$1,main!$A$3:$I$56,5,FALSE)-VLOOKUP($A127,main!$A$3:$I$56,6,FALSE)+main!$D$58,0)</f>
        <v>0</v>
      </c>
      <c r="L127">
        <f>IF((phi!L72),VLOOKUP(L$1,main!$A$3:$I$56,5,FALSE)-VLOOKUP($A127,main!$A$3:$I$56,6,FALSE)+main!$D$58,0)</f>
        <v>0</v>
      </c>
      <c r="M127">
        <f>IF((phi!M72),VLOOKUP(M$1,main!$A$3:$I$56,5,FALSE)-VLOOKUP($A127,main!$A$3:$I$56,6,FALSE)+main!$D$58,0)</f>
        <v>0</v>
      </c>
      <c r="N127">
        <f>IF((phi!N72),VLOOKUP(N$1,main!$A$3:$I$56,5,FALSE)-VLOOKUP($A127,main!$A$3:$I$56,6,FALSE)+main!$D$58,0)</f>
        <v>435</v>
      </c>
      <c r="O127">
        <f>IF((phi!O72),VLOOKUP(O$1,main!$A$3:$I$56,5,FALSE)-VLOOKUP($A127,main!$A$3:$I$56,6,FALSE)+main!$D$58,0)</f>
        <v>495</v>
      </c>
      <c r="P127">
        <f>IF((phi!P72),VLOOKUP(P$1,main!$A$3:$I$56,5,FALSE)-VLOOKUP($A127,main!$A$3:$I$56,6,FALSE)+main!$D$58,0)</f>
        <v>0</v>
      </c>
      <c r="Q127">
        <f>IF((phi!Q72),VLOOKUP(Q$1,main!$A$3:$I$56,5,FALSE)-VLOOKUP($A127,main!$A$3:$I$56,6,FALSE)+main!$D$58,0)</f>
        <v>0</v>
      </c>
      <c r="R127">
        <f>IF((phi!R72),VLOOKUP(R$1,main!$A$3:$I$56,5,FALSE)-VLOOKUP($A127,main!$A$3:$I$56,6,FALSE)+main!$D$58,0)</f>
        <v>0</v>
      </c>
      <c r="S127">
        <f>IF((phi!S72),VLOOKUP(S$1,main!$A$3:$I$56,5,FALSE)-VLOOKUP($A127,main!$A$3:$I$56,6,FALSE)+main!$D$58,0)</f>
        <v>250</v>
      </c>
      <c r="T127">
        <f>IF((phi!T72),VLOOKUP(T$1,main!$A$3:$I$56,5,FALSE)-VLOOKUP($A127,main!$A$3:$I$56,6,FALSE)+main!$D$58,0)</f>
        <v>400</v>
      </c>
      <c r="U127">
        <f>IF((phi!U72),VLOOKUP(U$1,main!$A$3:$I$56,5,FALSE)-VLOOKUP($A127,main!$A$3:$I$56,6,FALSE)+main!$D$58,0)</f>
        <v>0</v>
      </c>
      <c r="V127">
        <f>IF((phi!V72),VLOOKUP(V$1,main!$A$3:$I$56,5,FALSE)-VLOOKUP($A127,main!$A$3:$I$56,6,FALSE)+main!$D$58,0)</f>
        <v>0</v>
      </c>
      <c r="W127">
        <f>IF((phi!W72),VLOOKUP(W$1,main!$A$3:$I$56,5,FALSE)-VLOOKUP($A127,main!$A$3:$I$56,6,FALSE)+main!$D$58,0)</f>
        <v>0</v>
      </c>
      <c r="X127">
        <f>IF((phi!X72),VLOOKUP(X$1,main!$A$3:$I$56,5,FALSE)-VLOOKUP($A127,main!$A$3:$I$56,6,FALSE)+main!$D$58,0)</f>
        <v>0</v>
      </c>
      <c r="Y127">
        <f>IF((phi!Y72),VLOOKUP(Y$1,main!$A$3:$I$56,5,FALSE)-VLOOKUP($A127,main!$A$3:$I$56,6,FALSE)+main!$D$58,0)</f>
        <v>0</v>
      </c>
      <c r="Z127">
        <f>IF((phi!Z72),VLOOKUP(Z$1,main!$A$3:$I$56,5,FALSE)-VLOOKUP($A127,main!$A$3:$I$56,6,FALSE)+main!$D$58,0)</f>
        <v>270</v>
      </c>
      <c r="AA127">
        <f>IF((phi!AA72),VLOOKUP(AA$1,main!$A$3:$I$56,5,FALSE)-VLOOKUP($A127,main!$A$3:$I$56,6,FALSE)+main!$D$58,0)</f>
        <v>360</v>
      </c>
      <c r="AB127">
        <f>IF((phi!AB72),VLOOKUP(AB$1,main!$A$3:$I$56,5,FALSE)-VLOOKUP($A127,main!$A$3:$I$56,6,FALSE)+main!$D$58,0)</f>
        <v>420</v>
      </c>
      <c r="AC127">
        <f>IF((phi!AC72),VLOOKUP(AC$1,main!$A$3:$I$56,5,FALSE)-VLOOKUP($A127,main!$A$3:$I$56,6,FALSE)+main!$D$58,0)</f>
        <v>0</v>
      </c>
      <c r="AD127">
        <f>IF((phi!AD72),VLOOKUP(AD$1,main!$A$3:$I$56,5,FALSE)-VLOOKUP($A127,main!$A$3:$I$56,6,FALSE)+main!$D$58,0)</f>
        <v>0</v>
      </c>
      <c r="AE127">
        <f>IF((phi!AE72),VLOOKUP(AE$1,main!$A$3:$I$56,5,FALSE)-VLOOKUP($A127,main!$A$3:$I$56,6,FALSE)+main!$D$58,0)</f>
        <v>0</v>
      </c>
      <c r="AF127">
        <f>IF((phi!AF72),VLOOKUP(AF$1,main!$A$3:$I$56,5,FALSE)-VLOOKUP($A127,main!$A$3:$I$56,6,FALSE)+main!$D$58,0)</f>
        <v>0</v>
      </c>
      <c r="AG127">
        <f>IF((phi!AG72),VLOOKUP(AG$1,main!$A$3:$I$56,5,FALSE)-VLOOKUP($A127,main!$A$3:$I$56,6,FALSE)+main!$D$58,0)</f>
        <v>0</v>
      </c>
      <c r="AH127">
        <f>IF((phi!AH72),VLOOKUP(AH$1,main!$A$3:$I$56,5,FALSE)-VLOOKUP($A127,main!$A$3:$I$56,6,FALSE)+main!$D$58,0)</f>
        <v>0</v>
      </c>
      <c r="AI127">
        <f>IF((phi!AI72),VLOOKUP(AI$1,main!$A$3:$I$56,5,FALSE)-VLOOKUP($A127,main!$A$3:$I$56,6,FALSE)+main!$D$58,0)</f>
        <v>0</v>
      </c>
      <c r="AJ127">
        <f>IF((phi!AJ72),VLOOKUP(AJ$1,main!$A$3:$I$56,5,FALSE)-VLOOKUP($A127,main!$A$3:$I$56,6,FALSE)+main!$D$58,0)</f>
        <v>0</v>
      </c>
      <c r="AK127">
        <f>IF((phi!AK72),VLOOKUP(AK$1,main!$A$3:$I$56,5,FALSE)-VLOOKUP($A127,main!$A$3:$I$56,6,FALSE)+main!$D$58,0)</f>
        <v>320</v>
      </c>
      <c r="AL127">
        <f>IF((phi!AL72),VLOOKUP(AL$1,main!$A$3:$I$56,5,FALSE)-VLOOKUP($A127,main!$A$3:$I$56,6,FALSE)+main!$D$58,0)</f>
        <v>0</v>
      </c>
      <c r="AM127">
        <f>IF((phi!AM72),VLOOKUP(AM$1,main!$A$3:$I$56,5,FALSE)-VLOOKUP($A127,main!$A$3:$I$56,6,FALSE)+main!$D$58,0)</f>
        <v>0</v>
      </c>
      <c r="AN127">
        <f>IF((phi!AN72),VLOOKUP(AN$1,main!$A$3:$I$56,5,FALSE)-VLOOKUP($A127,main!$A$3:$I$56,6,FALSE)+main!$D$58,0)</f>
        <v>0</v>
      </c>
      <c r="AO127">
        <f>IF((phi!AO72),VLOOKUP(AO$1,main!$A$3:$I$56,5,FALSE)-VLOOKUP($A127,main!$A$3:$I$56,6,FALSE)+main!$D$58,0)</f>
        <v>0</v>
      </c>
      <c r="AP127">
        <f>IF((phi!AP72),VLOOKUP(AP$1,main!$A$3:$I$56,5,FALSE)-VLOOKUP($A127,main!$A$3:$I$56,6,FALSE)+main!$D$58,0)</f>
        <v>0</v>
      </c>
      <c r="AQ127">
        <f>IF((phi!AQ72),VLOOKUP(AQ$1,main!$A$3:$I$56,5,FALSE)-VLOOKUP($A127,main!$A$3:$I$56,6,FALSE)+main!$D$58,0)</f>
        <v>0</v>
      </c>
      <c r="AR127">
        <f>IF((phi!AR72),VLOOKUP(AR$1,main!$A$3:$I$56,5,FALSE)-VLOOKUP($A127,main!$A$3:$I$56,6,FALSE)+main!$D$58,0)</f>
        <v>0</v>
      </c>
      <c r="AS127">
        <f>IF((phi!AS72),VLOOKUP(AS$1,main!$A$3:$I$56,5,FALSE)-VLOOKUP($A127,main!$A$3:$I$56,6,FALSE)+main!$D$58,0)</f>
        <v>0</v>
      </c>
      <c r="AT127">
        <f>IF((phi!AT72),VLOOKUP(AT$1,main!$A$3:$I$56,5,FALSE)-VLOOKUP($A127,main!$A$3:$I$56,6,FALSE)+main!$D$58,0)</f>
        <v>0</v>
      </c>
      <c r="AU127">
        <f>IF((phi!AU72),VLOOKUP(AU$1,main!$A$3:$I$56,5,FALSE)-VLOOKUP($A127,main!$A$3:$I$56,6,FALSE)+main!$D$58,0)</f>
        <v>0</v>
      </c>
      <c r="AV127">
        <f>IF((phi!AV72),VLOOKUP(AV$1,main!$A$3:$I$56,5,FALSE)-VLOOKUP($A127,main!$A$3:$I$56,6,FALSE)+main!$D$58,0)</f>
        <v>0</v>
      </c>
      <c r="AW127">
        <f>IF((phi!AW72),VLOOKUP(AW$1,main!$A$3:$I$56,5,FALSE)-VLOOKUP($A127,main!$A$3:$I$56,6,FALSE)+main!$D$58,0)</f>
        <v>0</v>
      </c>
      <c r="AX127">
        <f>IF((phi!AX72),VLOOKUP(AX$1,main!$A$3:$I$56,5,FALSE)-VLOOKUP($A127,main!$A$3:$I$56,6,FALSE)+main!$D$58,0)</f>
        <v>0</v>
      </c>
      <c r="AY127">
        <f>IF((phi!AY72),VLOOKUP(AY$1,main!$A$3:$I$56,5,FALSE)-VLOOKUP($A127,main!$A$3:$I$56,6,FALSE)+main!$D$58,0)</f>
        <v>480</v>
      </c>
      <c r="AZ127">
        <f>IF((phi!AZ72),VLOOKUP(AZ$1,main!$A$3:$I$56,5,FALSE)-VLOOKUP($A127,main!$A$3:$I$56,6,FALSE)+main!$D$58,0)</f>
        <v>0</v>
      </c>
      <c r="BA127">
        <f>IF((phi!BA72),VLOOKUP(BA$1,main!$A$3:$I$56,5,FALSE)-VLOOKUP($A127,main!$A$3:$I$56,6,FALSE)+main!$D$58,0)</f>
        <v>0</v>
      </c>
      <c r="BB127">
        <f>IF((phi!BB72),VLOOKUP(BB$1,main!$A$3:$I$56,5,FALSE)-VLOOKUP($A127,main!$A$3:$I$56,6,FALSE)+main!$D$58,0)</f>
        <v>0</v>
      </c>
      <c r="BC127">
        <f>IF((phi!BC72),VLOOKUP(BC$1,main!$A$3:$I$56,5,FALSE)-VLOOKUP($A127,main!$A$3:$I$56,6,FALSE)+main!$D$58,0)</f>
        <v>0</v>
      </c>
      <c r="BD127">
        <f>IF((phi!BD72),VLOOKUP(BD$1,main!$A$3:$I$56,5,FALSE)-VLOOKUP($A127,main!$A$3:$I$56,6,FALSE)+main!$D$58,0)</f>
        <v>0</v>
      </c>
    </row>
    <row r="128" spans="1:56" x14ac:dyDescent="0.25">
      <c r="A128">
        <f t="shared" si="4"/>
        <v>16</v>
      </c>
      <c r="B128">
        <v>0</v>
      </c>
      <c r="C128">
        <f>IF((phi!C73),VLOOKUP(C$1,main!$A$3:$I$56,5,FALSE)-VLOOKUP($A128,main!$A$3:$I$56,6,FALSE)+main!$D$58,0)</f>
        <v>0</v>
      </c>
      <c r="D128">
        <f>IF((phi!D73),VLOOKUP(D$1,main!$A$3:$I$56,5,FALSE)-VLOOKUP($A128,main!$A$3:$I$56,6,FALSE)+main!$D$58,0)</f>
        <v>0</v>
      </c>
      <c r="E128">
        <f>IF((phi!E73),VLOOKUP(E$1,main!$A$3:$I$56,5,FALSE)-VLOOKUP($A128,main!$A$3:$I$56,6,FALSE)+main!$D$58,0)</f>
        <v>0</v>
      </c>
      <c r="F128">
        <f>IF((phi!F73),VLOOKUP(F$1,main!$A$3:$I$56,5,FALSE)-VLOOKUP($A128,main!$A$3:$I$56,6,FALSE)+main!$D$58,0)</f>
        <v>0</v>
      </c>
      <c r="G128">
        <f>IF((phi!G73),VLOOKUP(G$1,main!$A$3:$I$56,5,FALSE)-VLOOKUP($A128,main!$A$3:$I$56,6,FALSE)+main!$D$58,0)</f>
        <v>0</v>
      </c>
      <c r="H128">
        <f>IF((phi!H73),VLOOKUP(H$1,main!$A$3:$I$56,5,FALSE)-VLOOKUP($A128,main!$A$3:$I$56,6,FALSE)+main!$D$58,0)</f>
        <v>165</v>
      </c>
      <c r="I128">
        <f>IF((phi!I73),VLOOKUP(I$1,main!$A$3:$I$56,5,FALSE)-VLOOKUP($A128,main!$A$3:$I$56,6,FALSE)+main!$D$58,0)</f>
        <v>225</v>
      </c>
      <c r="J128">
        <f>IF((phi!J73),VLOOKUP(J$1,main!$A$3:$I$56,5,FALSE)-VLOOKUP($A128,main!$A$3:$I$56,6,FALSE)+main!$D$58,0)</f>
        <v>315</v>
      </c>
      <c r="K128">
        <f>IF((phi!K73),VLOOKUP(K$1,main!$A$3:$I$56,5,FALSE)-VLOOKUP($A128,main!$A$3:$I$56,6,FALSE)+main!$D$58,0)</f>
        <v>0</v>
      </c>
      <c r="L128">
        <f>IF((phi!L73),VLOOKUP(L$1,main!$A$3:$I$56,5,FALSE)-VLOOKUP($A128,main!$A$3:$I$56,6,FALSE)+main!$D$58,0)</f>
        <v>0</v>
      </c>
      <c r="M128">
        <f>IF((phi!M73),VLOOKUP(M$1,main!$A$3:$I$56,5,FALSE)-VLOOKUP($A128,main!$A$3:$I$56,6,FALSE)+main!$D$58,0)</f>
        <v>0</v>
      </c>
      <c r="N128">
        <f>IF((phi!N73),VLOOKUP(N$1,main!$A$3:$I$56,5,FALSE)-VLOOKUP($A128,main!$A$3:$I$56,6,FALSE)+main!$D$58,0)</f>
        <v>280</v>
      </c>
      <c r="O128">
        <f>IF((phi!O73),VLOOKUP(O$1,main!$A$3:$I$56,5,FALSE)-VLOOKUP($A128,main!$A$3:$I$56,6,FALSE)+main!$D$58,0)</f>
        <v>340</v>
      </c>
      <c r="P128">
        <f>IF((phi!P73),VLOOKUP(P$1,main!$A$3:$I$56,5,FALSE)-VLOOKUP($A128,main!$A$3:$I$56,6,FALSE)+main!$D$58,0)</f>
        <v>0</v>
      </c>
      <c r="Q128">
        <f>IF((phi!Q73),VLOOKUP(Q$1,main!$A$3:$I$56,5,FALSE)-VLOOKUP($A128,main!$A$3:$I$56,6,FALSE)+main!$D$58,0)</f>
        <v>0</v>
      </c>
      <c r="R128">
        <f>IF((phi!R73),VLOOKUP(R$1,main!$A$3:$I$56,5,FALSE)-VLOOKUP($A128,main!$A$3:$I$56,6,FALSE)+main!$D$58,0)</f>
        <v>0</v>
      </c>
      <c r="S128">
        <f>IF((phi!S73),VLOOKUP(S$1,main!$A$3:$I$56,5,FALSE)-VLOOKUP($A128,main!$A$3:$I$56,6,FALSE)+main!$D$58,0)</f>
        <v>0</v>
      </c>
      <c r="T128">
        <f>IF((phi!T73),VLOOKUP(T$1,main!$A$3:$I$56,5,FALSE)-VLOOKUP($A128,main!$A$3:$I$56,6,FALSE)+main!$D$58,0)</f>
        <v>245</v>
      </c>
      <c r="U128">
        <f>IF((phi!U73),VLOOKUP(U$1,main!$A$3:$I$56,5,FALSE)-VLOOKUP($A128,main!$A$3:$I$56,6,FALSE)+main!$D$58,0)</f>
        <v>0</v>
      </c>
      <c r="V128">
        <f>IF((phi!V73),VLOOKUP(V$1,main!$A$3:$I$56,5,FALSE)-VLOOKUP($A128,main!$A$3:$I$56,6,FALSE)+main!$D$58,0)</f>
        <v>0</v>
      </c>
      <c r="W128">
        <f>IF((phi!W73),VLOOKUP(W$1,main!$A$3:$I$56,5,FALSE)-VLOOKUP($A128,main!$A$3:$I$56,6,FALSE)+main!$D$58,0)</f>
        <v>0</v>
      </c>
      <c r="X128">
        <f>IF((phi!X73),VLOOKUP(X$1,main!$A$3:$I$56,5,FALSE)-VLOOKUP($A128,main!$A$3:$I$56,6,FALSE)+main!$D$58,0)</f>
        <v>0</v>
      </c>
      <c r="Y128">
        <f>IF((phi!Y73),VLOOKUP(Y$1,main!$A$3:$I$56,5,FALSE)-VLOOKUP($A128,main!$A$3:$I$56,6,FALSE)+main!$D$58,0)</f>
        <v>0</v>
      </c>
      <c r="Z128">
        <f>IF((phi!Z73),VLOOKUP(Z$1,main!$A$3:$I$56,5,FALSE)-VLOOKUP($A128,main!$A$3:$I$56,6,FALSE)+main!$D$58,0)</f>
        <v>0</v>
      </c>
      <c r="AA128">
        <f>IF((phi!AA73),VLOOKUP(AA$1,main!$A$3:$I$56,5,FALSE)-VLOOKUP($A128,main!$A$3:$I$56,6,FALSE)+main!$D$58,0)</f>
        <v>0</v>
      </c>
      <c r="AB128">
        <f>IF((phi!AB73),VLOOKUP(AB$1,main!$A$3:$I$56,5,FALSE)-VLOOKUP($A128,main!$A$3:$I$56,6,FALSE)+main!$D$58,0)</f>
        <v>265</v>
      </c>
      <c r="AC128">
        <f>IF((phi!AC73),VLOOKUP(AC$1,main!$A$3:$I$56,5,FALSE)-VLOOKUP($A128,main!$A$3:$I$56,6,FALSE)+main!$D$58,0)</f>
        <v>0</v>
      </c>
      <c r="AD128">
        <f>IF((phi!AD73),VLOOKUP(AD$1,main!$A$3:$I$56,5,FALSE)-VLOOKUP($A128,main!$A$3:$I$56,6,FALSE)+main!$D$58,0)</f>
        <v>0</v>
      </c>
      <c r="AE128">
        <f>IF((phi!AE73),VLOOKUP(AE$1,main!$A$3:$I$56,5,FALSE)-VLOOKUP($A128,main!$A$3:$I$56,6,FALSE)+main!$D$58,0)</f>
        <v>0</v>
      </c>
      <c r="AF128">
        <f>IF((phi!AF73),VLOOKUP(AF$1,main!$A$3:$I$56,5,FALSE)-VLOOKUP($A128,main!$A$3:$I$56,6,FALSE)+main!$D$58,0)</f>
        <v>0</v>
      </c>
      <c r="AG128">
        <f>IF((phi!AG73),VLOOKUP(AG$1,main!$A$3:$I$56,5,FALSE)-VLOOKUP($A128,main!$A$3:$I$56,6,FALSE)+main!$D$58,0)</f>
        <v>0</v>
      </c>
      <c r="AH128">
        <f>IF((phi!AH73),VLOOKUP(AH$1,main!$A$3:$I$56,5,FALSE)-VLOOKUP($A128,main!$A$3:$I$56,6,FALSE)+main!$D$58,0)</f>
        <v>0</v>
      </c>
      <c r="AI128">
        <f>IF((phi!AI73),VLOOKUP(AI$1,main!$A$3:$I$56,5,FALSE)-VLOOKUP($A128,main!$A$3:$I$56,6,FALSE)+main!$D$58,0)</f>
        <v>0</v>
      </c>
      <c r="AJ128">
        <f>IF((phi!AJ73),VLOOKUP(AJ$1,main!$A$3:$I$56,5,FALSE)-VLOOKUP($A128,main!$A$3:$I$56,6,FALSE)+main!$D$58,0)</f>
        <v>0</v>
      </c>
      <c r="AK128">
        <f>IF((phi!AK73),VLOOKUP(AK$1,main!$A$3:$I$56,5,FALSE)-VLOOKUP($A128,main!$A$3:$I$56,6,FALSE)+main!$D$58,0)</f>
        <v>0</v>
      </c>
      <c r="AL128">
        <f>IF((phi!AL73),VLOOKUP(AL$1,main!$A$3:$I$56,5,FALSE)-VLOOKUP($A128,main!$A$3:$I$56,6,FALSE)+main!$D$58,0)</f>
        <v>0</v>
      </c>
      <c r="AM128">
        <f>IF((phi!AM73),VLOOKUP(AM$1,main!$A$3:$I$56,5,FALSE)-VLOOKUP($A128,main!$A$3:$I$56,6,FALSE)+main!$D$58,0)</f>
        <v>0</v>
      </c>
      <c r="AN128">
        <f>IF((phi!AN73),VLOOKUP(AN$1,main!$A$3:$I$56,5,FALSE)-VLOOKUP($A128,main!$A$3:$I$56,6,FALSE)+main!$D$58,0)</f>
        <v>0</v>
      </c>
      <c r="AO128">
        <f>IF((phi!AO73),VLOOKUP(AO$1,main!$A$3:$I$56,5,FALSE)-VLOOKUP($A128,main!$A$3:$I$56,6,FALSE)+main!$D$58,0)</f>
        <v>0</v>
      </c>
      <c r="AP128">
        <f>IF((phi!AP73),VLOOKUP(AP$1,main!$A$3:$I$56,5,FALSE)-VLOOKUP($A128,main!$A$3:$I$56,6,FALSE)+main!$D$58,0)</f>
        <v>0</v>
      </c>
      <c r="AQ128">
        <f>IF((phi!AQ73),VLOOKUP(AQ$1,main!$A$3:$I$56,5,FALSE)-VLOOKUP($A128,main!$A$3:$I$56,6,FALSE)+main!$D$58,0)</f>
        <v>0</v>
      </c>
      <c r="AR128">
        <f>IF((phi!AR73),VLOOKUP(AR$1,main!$A$3:$I$56,5,FALSE)-VLOOKUP($A128,main!$A$3:$I$56,6,FALSE)+main!$D$58,0)</f>
        <v>0</v>
      </c>
      <c r="AS128">
        <f>IF((phi!AS73),VLOOKUP(AS$1,main!$A$3:$I$56,5,FALSE)-VLOOKUP($A128,main!$A$3:$I$56,6,FALSE)+main!$D$58,0)</f>
        <v>0</v>
      </c>
      <c r="AT128">
        <f>IF((phi!AT73),VLOOKUP(AT$1,main!$A$3:$I$56,5,FALSE)-VLOOKUP($A128,main!$A$3:$I$56,6,FALSE)+main!$D$58,0)</f>
        <v>0</v>
      </c>
      <c r="AU128">
        <f>IF((phi!AU73),VLOOKUP(AU$1,main!$A$3:$I$56,5,FALSE)-VLOOKUP($A128,main!$A$3:$I$56,6,FALSE)+main!$D$58,0)</f>
        <v>0</v>
      </c>
      <c r="AV128">
        <f>IF((phi!AV73),VLOOKUP(AV$1,main!$A$3:$I$56,5,FALSE)-VLOOKUP($A128,main!$A$3:$I$56,6,FALSE)+main!$D$58,0)</f>
        <v>0</v>
      </c>
      <c r="AW128">
        <f>IF((phi!AW73),VLOOKUP(AW$1,main!$A$3:$I$56,5,FALSE)-VLOOKUP($A128,main!$A$3:$I$56,6,FALSE)+main!$D$58,0)</f>
        <v>0</v>
      </c>
      <c r="AX128">
        <f>IF((phi!AX73),VLOOKUP(AX$1,main!$A$3:$I$56,5,FALSE)-VLOOKUP($A128,main!$A$3:$I$56,6,FALSE)+main!$D$58,0)</f>
        <v>0</v>
      </c>
      <c r="AY128">
        <f>IF((phi!AY73),VLOOKUP(AY$1,main!$A$3:$I$56,5,FALSE)-VLOOKUP($A128,main!$A$3:$I$56,6,FALSE)+main!$D$58,0)</f>
        <v>325</v>
      </c>
      <c r="AZ128">
        <f>IF((phi!AZ73),VLOOKUP(AZ$1,main!$A$3:$I$56,5,FALSE)-VLOOKUP($A128,main!$A$3:$I$56,6,FALSE)+main!$D$58,0)</f>
        <v>0</v>
      </c>
      <c r="BA128">
        <f>IF((phi!BA73),VLOOKUP(BA$1,main!$A$3:$I$56,5,FALSE)-VLOOKUP($A128,main!$A$3:$I$56,6,FALSE)+main!$D$58,0)</f>
        <v>0</v>
      </c>
      <c r="BB128">
        <f>IF((phi!BB73),VLOOKUP(BB$1,main!$A$3:$I$56,5,FALSE)-VLOOKUP($A128,main!$A$3:$I$56,6,FALSE)+main!$D$58,0)</f>
        <v>0</v>
      </c>
      <c r="BC128">
        <f>IF((phi!BC73),VLOOKUP(BC$1,main!$A$3:$I$56,5,FALSE)-VLOOKUP($A128,main!$A$3:$I$56,6,FALSE)+main!$D$58,0)</f>
        <v>0</v>
      </c>
      <c r="BD128">
        <f>IF((phi!BD73),VLOOKUP(BD$1,main!$A$3:$I$56,5,FALSE)-VLOOKUP($A128,main!$A$3:$I$56,6,FALSE)+main!$D$58,0)</f>
        <v>0</v>
      </c>
    </row>
    <row r="129" spans="1:56" x14ac:dyDescent="0.25">
      <c r="A129">
        <f t="shared" si="4"/>
        <v>17</v>
      </c>
      <c r="B129">
        <v>0</v>
      </c>
      <c r="C129">
        <f>IF((phi!C74),VLOOKUP(C$1,main!$A$3:$I$56,5,FALSE)-VLOOKUP($A129,main!$A$3:$I$56,6,FALSE)+main!$D$58,0)</f>
        <v>0</v>
      </c>
      <c r="D129">
        <f>IF((phi!D74),VLOOKUP(D$1,main!$A$3:$I$56,5,FALSE)-VLOOKUP($A129,main!$A$3:$I$56,6,FALSE)+main!$D$58,0)</f>
        <v>0</v>
      </c>
      <c r="E129">
        <f>IF((phi!E74),VLOOKUP(E$1,main!$A$3:$I$56,5,FALSE)-VLOOKUP($A129,main!$A$3:$I$56,6,FALSE)+main!$D$58,0)</f>
        <v>0</v>
      </c>
      <c r="F129">
        <f>IF((phi!F74),VLOOKUP(F$1,main!$A$3:$I$56,5,FALSE)-VLOOKUP($A129,main!$A$3:$I$56,6,FALSE)+main!$D$58,0)</f>
        <v>0</v>
      </c>
      <c r="G129">
        <f>IF((phi!G74),VLOOKUP(G$1,main!$A$3:$I$56,5,FALSE)-VLOOKUP($A129,main!$A$3:$I$56,6,FALSE)+main!$D$58,0)</f>
        <v>0</v>
      </c>
      <c r="H129">
        <f>IF((phi!H74),VLOOKUP(H$1,main!$A$3:$I$56,5,FALSE)-VLOOKUP($A129,main!$A$3:$I$56,6,FALSE)+main!$D$58,0)</f>
        <v>0</v>
      </c>
      <c r="I129">
        <f>IF((phi!I74),VLOOKUP(I$1,main!$A$3:$I$56,5,FALSE)-VLOOKUP($A129,main!$A$3:$I$56,6,FALSE)+main!$D$58,0)</f>
        <v>0</v>
      </c>
      <c r="J129">
        <f>IF((phi!J74),VLOOKUP(J$1,main!$A$3:$I$56,5,FALSE)-VLOOKUP($A129,main!$A$3:$I$56,6,FALSE)+main!$D$58,0)</f>
        <v>130</v>
      </c>
      <c r="K129">
        <f>IF((phi!K74),VLOOKUP(K$1,main!$A$3:$I$56,5,FALSE)-VLOOKUP($A129,main!$A$3:$I$56,6,FALSE)+main!$D$58,0)</f>
        <v>0</v>
      </c>
      <c r="L129">
        <f>IF((phi!L74),VLOOKUP(L$1,main!$A$3:$I$56,5,FALSE)-VLOOKUP($A129,main!$A$3:$I$56,6,FALSE)+main!$D$58,0)</f>
        <v>0</v>
      </c>
      <c r="M129">
        <f>IF((phi!M74),VLOOKUP(M$1,main!$A$3:$I$56,5,FALSE)-VLOOKUP($A129,main!$A$3:$I$56,6,FALSE)+main!$D$58,0)</f>
        <v>0</v>
      </c>
      <c r="N129">
        <f>IF((phi!N74),VLOOKUP(N$1,main!$A$3:$I$56,5,FALSE)-VLOOKUP($A129,main!$A$3:$I$56,6,FALSE)+main!$D$58,0)</f>
        <v>0</v>
      </c>
      <c r="O129">
        <f>IF((phi!O74),VLOOKUP(O$1,main!$A$3:$I$56,5,FALSE)-VLOOKUP($A129,main!$A$3:$I$56,6,FALSE)+main!$D$58,0)</f>
        <v>155</v>
      </c>
      <c r="P129">
        <f>IF((phi!P74),VLOOKUP(P$1,main!$A$3:$I$56,5,FALSE)-VLOOKUP($A129,main!$A$3:$I$56,6,FALSE)+main!$D$58,0)</f>
        <v>0</v>
      </c>
      <c r="Q129">
        <f>IF((phi!Q74),VLOOKUP(Q$1,main!$A$3:$I$56,5,FALSE)-VLOOKUP($A129,main!$A$3:$I$56,6,FALSE)+main!$D$58,0)</f>
        <v>0</v>
      </c>
      <c r="R129">
        <f>IF((phi!R74),VLOOKUP(R$1,main!$A$3:$I$56,5,FALSE)-VLOOKUP($A129,main!$A$3:$I$56,6,FALSE)+main!$D$58,0)</f>
        <v>0</v>
      </c>
      <c r="S129">
        <f>IF((phi!S74),VLOOKUP(S$1,main!$A$3:$I$56,5,FALSE)-VLOOKUP($A129,main!$A$3:$I$56,6,FALSE)+main!$D$58,0)</f>
        <v>0</v>
      </c>
      <c r="T129">
        <f>IF((phi!T74),VLOOKUP(T$1,main!$A$3:$I$56,5,FALSE)-VLOOKUP($A129,main!$A$3:$I$56,6,FALSE)+main!$D$58,0)</f>
        <v>0</v>
      </c>
      <c r="U129">
        <f>IF((phi!U74),VLOOKUP(U$1,main!$A$3:$I$56,5,FALSE)-VLOOKUP($A129,main!$A$3:$I$56,6,FALSE)+main!$D$58,0)</f>
        <v>0</v>
      </c>
      <c r="V129">
        <f>IF((phi!V74),VLOOKUP(V$1,main!$A$3:$I$56,5,FALSE)-VLOOKUP($A129,main!$A$3:$I$56,6,FALSE)+main!$D$58,0)</f>
        <v>0</v>
      </c>
      <c r="W129">
        <f>IF((phi!W74),VLOOKUP(W$1,main!$A$3:$I$56,5,FALSE)-VLOOKUP($A129,main!$A$3:$I$56,6,FALSE)+main!$D$58,0)</f>
        <v>0</v>
      </c>
      <c r="X129">
        <f>IF((phi!X74),VLOOKUP(X$1,main!$A$3:$I$56,5,FALSE)-VLOOKUP($A129,main!$A$3:$I$56,6,FALSE)+main!$D$58,0)</f>
        <v>0</v>
      </c>
      <c r="Y129">
        <f>IF((phi!Y74),VLOOKUP(Y$1,main!$A$3:$I$56,5,FALSE)-VLOOKUP($A129,main!$A$3:$I$56,6,FALSE)+main!$D$58,0)</f>
        <v>0</v>
      </c>
      <c r="Z129">
        <f>IF((phi!Z74),VLOOKUP(Z$1,main!$A$3:$I$56,5,FALSE)-VLOOKUP($A129,main!$A$3:$I$56,6,FALSE)+main!$D$58,0)</f>
        <v>0</v>
      </c>
      <c r="AA129">
        <f>IF((phi!AA74),VLOOKUP(AA$1,main!$A$3:$I$56,5,FALSE)-VLOOKUP($A129,main!$A$3:$I$56,6,FALSE)+main!$D$58,0)</f>
        <v>0</v>
      </c>
      <c r="AB129">
        <f>IF((phi!AB74),VLOOKUP(AB$1,main!$A$3:$I$56,5,FALSE)-VLOOKUP($A129,main!$A$3:$I$56,6,FALSE)+main!$D$58,0)</f>
        <v>0</v>
      </c>
      <c r="AC129">
        <f>IF((phi!AC74),VLOOKUP(AC$1,main!$A$3:$I$56,5,FALSE)-VLOOKUP($A129,main!$A$3:$I$56,6,FALSE)+main!$D$58,0)</f>
        <v>0</v>
      </c>
      <c r="AD129">
        <f>IF((phi!AD74),VLOOKUP(AD$1,main!$A$3:$I$56,5,FALSE)-VLOOKUP($A129,main!$A$3:$I$56,6,FALSE)+main!$D$58,0)</f>
        <v>0</v>
      </c>
      <c r="AE129">
        <f>IF((phi!AE74),VLOOKUP(AE$1,main!$A$3:$I$56,5,FALSE)-VLOOKUP($A129,main!$A$3:$I$56,6,FALSE)+main!$D$58,0)</f>
        <v>0</v>
      </c>
      <c r="AF129">
        <f>IF((phi!AF74),VLOOKUP(AF$1,main!$A$3:$I$56,5,FALSE)-VLOOKUP($A129,main!$A$3:$I$56,6,FALSE)+main!$D$58,0)</f>
        <v>0</v>
      </c>
      <c r="AG129">
        <f>IF((phi!AG74),VLOOKUP(AG$1,main!$A$3:$I$56,5,FALSE)-VLOOKUP($A129,main!$A$3:$I$56,6,FALSE)+main!$D$58,0)</f>
        <v>0</v>
      </c>
      <c r="AH129">
        <f>IF((phi!AH74),VLOOKUP(AH$1,main!$A$3:$I$56,5,FALSE)-VLOOKUP($A129,main!$A$3:$I$56,6,FALSE)+main!$D$58,0)</f>
        <v>0</v>
      </c>
      <c r="AI129">
        <f>IF((phi!AI74),VLOOKUP(AI$1,main!$A$3:$I$56,5,FALSE)-VLOOKUP($A129,main!$A$3:$I$56,6,FALSE)+main!$D$58,0)</f>
        <v>0</v>
      </c>
      <c r="AJ129">
        <f>IF((phi!AJ74),VLOOKUP(AJ$1,main!$A$3:$I$56,5,FALSE)-VLOOKUP($A129,main!$A$3:$I$56,6,FALSE)+main!$D$58,0)</f>
        <v>0</v>
      </c>
      <c r="AK129">
        <f>IF((phi!AK74),VLOOKUP(AK$1,main!$A$3:$I$56,5,FALSE)-VLOOKUP($A129,main!$A$3:$I$56,6,FALSE)+main!$D$58,0)</f>
        <v>0</v>
      </c>
      <c r="AL129">
        <f>IF((phi!AL74),VLOOKUP(AL$1,main!$A$3:$I$56,5,FALSE)-VLOOKUP($A129,main!$A$3:$I$56,6,FALSE)+main!$D$58,0)</f>
        <v>0</v>
      </c>
      <c r="AM129">
        <f>IF((phi!AM74),VLOOKUP(AM$1,main!$A$3:$I$56,5,FALSE)-VLOOKUP($A129,main!$A$3:$I$56,6,FALSE)+main!$D$58,0)</f>
        <v>0</v>
      </c>
      <c r="AN129">
        <f>IF((phi!AN74),VLOOKUP(AN$1,main!$A$3:$I$56,5,FALSE)-VLOOKUP($A129,main!$A$3:$I$56,6,FALSE)+main!$D$58,0)</f>
        <v>0</v>
      </c>
      <c r="AO129">
        <f>IF((phi!AO74),VLOOKUP(AO$1,main!$A$3:$I$56,5,FALSE)-VLOOKUP($A129,main!$A$3:$I$56,6,FALSE)+main!$D$58,0)</f>
        <v>0</v>
      </c>
      <c r="AP129">
        <f>IF((phi!AP74),VLOOKUP(AP$1,main!$A$3:$I$56,5,FALSE)-VLOOKUP($A129,main!$A$3:$I$56,6,FALSE)+main!$D$58,0)</f>
        <v>0</v>
      </c>
      <c r="AQ129">
        <f>IF((phi!AQ74),VLOOKUP(AQ$1,main!$A$3:$I$56,5,FALSE)-VLOOKUP($A129,main!$A$3:$I$56,6,FALSE)+main!$D$58,0)</f>
        <v>0</v>
      </c>
      <c r="AR129">
        <f>IF((phi!AR74),VLOOKUP(AR$1,main!$A$3:$I$56,5,FALSE)-VLOOKUP($A129,main!$A$3:$I$56,6,FALSE)+main!$D$58,0)</f>
        <v>0</v>
      </c>
      <c r="AS129">
        <f>IF((phi!AS74),VLOOKUP(AS$1,main!$A$3:$I$56,5,FALSE)-VLOOKUP($A129,main!$A$3:$I$56,6,FALSE)+main!$D$58,0)</f>
        <v>0</v>
      </c>
      <c r="AT129">
        <f>IF((phi!AT74),VLOOKUP(AT$1,main!$A$3:$I$56,5,FALSE)-VLOOKUP($A129,main!$A$3:$I$56,6,FALSE)+main!$D$58,0)</f>
        <v>0</v>
      </c>
      <c r="AU129">
        <f>IF((phi!AU74),VLOOKUP(AU$1,main!$A$3:$I$56,5,FALSE)-VLOOKUP($A129,main!$A$3:$I$56,6,FALSE)+main!$D$58,0)</f>
        <v>0</v>
      </c>
      <c r="AV129">
        <f>IF((phi!AV74),VLOOKUP(AV$1,main!$A$3:$I$56,5,FALSE)-VLOOKUP($A129,main!$A$3:$I$56,6,FALSE)+main!$D$58,0)</f>
        <v>0</v>
      </c>
      <c r="AW129">
        <f>IF((phi!AW74),VLOOKUP(AW$1,main!$A$3:$I$56,5,FALSE)-VLOOKUP($A129,main!$A$3:$I$56,6,FALSE)+main!$D$58,0)</f>
        <v>0</v>
      </c>
      <c r="AX129">
        <f>IF((phi!AX74),VLOOKUP(AX$1,main!$A$3:$I$56,5,FALSE)-VLOOKUP($A129,main!$A$3:$I$56,6,FALSE)+main!$D$58,0)</f>
        <v>0</v>
      </c>
      <c r="AY129">
        <f>IF((phi!AY74),VLOOKUP(AY$1,main!$A$3:$I$56,5,FALSE)-VLOOKUP($A129,main!$A$3:$I$56,6,FALSE)+main!$D$58,0)</f>
        <v>0</v>
      </c>
      <c r="AZ129">
        <f>IF((phi!AZ74),VLOOKUP(AZ$1,main!$A$3:$I$56,5,FALSE)-VLOOKUP($A129,main!$A$3:$I$56,6,FALSE)+main!$D$58,0)</f>
        <v>0</v>
      </c>
      <c r="BA129">
        <f>IF((phi!BA74),VLOOKUP(BA$1,main!$A$3:$I$56,5,FALSE)-VLOOKUP($A129,main!$A$3:$I$56,6,FALSE)+main!$D$58,0)</f>
        <v>0</v>
      </c>
      <c r="BB129">
        <f>IF((phi!BB74),VLOOKUP(BB$1,main!$A$3:$I$56,5,FALSE)-VLOOKUP($A129,main!$A$3:$I$56,6,FALSE)+main!$D$58,0)</f>
        <v>0</v>
      </c>
      <c r="BC129">
        <f>IF((phi!BC74),VLOOKUP(BC$1,main!$A$3:$I$56,5,FALSE)-VLOOKUP($A129,main!$A$3:$I$56,6,FALSE)+main!$D$58,0)</f>
        <v>0</v>
      </c>
      <c r="BD129">
        <f>IF((phi!BD74),VLOOKUP(BD$1,main!$A$3:$I$56,5,FALSE)-VLOOKUP($A129,main!$A$3:$I$56,6,FALSE)+main!$D$58,0)</f>
        <v>0</v>
      </c>
    </row>
    <row r="130" spans="1:56" x14ac:dyDescent="0.25">
      <c r="A130">
        <f t="shared" si="4"/>
        <v>18</v>
      </c>
      <c r="B130">
        <v>0</v>
      </c>
      <c r="C130">
        <f>IF((phi!C75),VLOOKUP(C$1,main!$A$3:$I$56,5,FALSE)-VLOOKUP($A130,main!$A$3:$I$56,6,FALSE)+main!$D$58,0)</f>
        <v>0</v>
      </c>
      <c r="D130">
        <f>IF((phi!D75),VLOOKUP(D$1,main!$A$3:$I$56,5,FALSE)-VLOOKUP($A130,main!$A$3:$I$56,6,FALSE)+main!$D$58,0)</f>
        <v>0</v>
      </c>
      <c r="E130">
        <f>IF((phi!E75),VLOOKUP(E$1,main!$A$3:$I$56,5,FALSE)-VLOOKUP($A130,main!$A$3:$I$56,6,FALSE)+main!$D$58,0)</f>
        <v>0</v>
      </c>
      <c r="F130">
        <f>IF((phi!F75),VLOOKUP(F$1,main!$A$3:$I$56,5,FALSE)-VLOOKUP($A130,main!$A$3:$I$56,6,FALSE)+main!$D$58,0)</f>
        <v>0</v>
      </c>
      <c r="G130">
        <f>IF((phi!G75),VLOOKUP(G$1,main!$A$3:$I$56,5,FALSE)-VLOOKUP($A130,main!$A$3:$I$56,6,FALSE)+main!$D$58,0)</f>
        <v>0</v>
      </c>
      <c r="H130">
        <f>IF((phi!H75),VLOOKUP(H$1,main!$A$3:$I$56,5,FALSE)-VLOOKUP($A130,main!$A$3:$I$56,6,FALSE)+main!$D$58,0)</f>
        <v>0</v>
      </c>
      <c r="I130">
        <f>IF((phi!I75),VLOOKUP(I$1,main!$A$3:$I$56,5,FALSE)-VLOOKUP($A130,main!$A$3:$I$56,6,FALSE)+main!$D$58,0)</f>
        <v>0</v>
      </c>
      <c r="J130">
        <f>IF((phi!J75),VLOOKUP(J$1,main!$A$3:$I$56,5,FALSE)-VLOOKUP($A130,main!$A$3:$I$56,6,FALSE)+main!$D$58,0)</f>
        <v>0</v>
      </c>
      <c r="K130">
        <f>IF((phi!K75),VLOOKUP(K$1,main!$A$3:$I$56,5,FALSE)-VLOOKUP($A130,main!$A$3:$I$56,6,FALSE)+main!$D$58,0)</f>
        <v>0</v>
      </c>
      <c r="L130">
        <f>IF((phi!L75),VLOOKUP(L$1,main!$A$3:$I$56,5,FALSE)-VLOOKUP($A130,main!$A$3:$I$56,6,FALSE)+main!$D$58,0)</f>
        <v>0</v>
      </c>
      <c r="M130">
        <f>IF((phi!M75),VLOOKUP(M$1,main!$A$3:$I$56,5,FALSE)-VLOOKUP($A130,main!$A$3:$I$56,6,FALSE)+main!$D$58,0)</f>
        <v>0</v>
      </c>
      <c r="N130">
        <f>IF((phi!N75),VLOOKUP(N$1,main!$A$3:$I$56,5,FALSE)-VLOOKUP($A130,main!$A$3:$I$56,6,FALSE)+main!$D$58,0)</f>
        <v>0</v>
      </c>
      <c r="O130">
        <f>IF((phi!O75),VLOOKUP(O$1,main!$A$3:$I$56,5,FALSE)-VLOOKUP($A130,main!$A$3:$I$56,6,FALSE)+main!$D$58,0)</f>
        <v>0</v>
      </c>
      <c r="P130">
        <f>IF((phi!P75),VLOOKUP(P$1,main!$A$3:$I$56,5,FALSE)-VLOOKUP($A130,main!$A$3:$I$56,6,FALSE)+main!$D$58,0)</f>
        <v>0</v>
      </c>
      <c r="Q130">
        <f>IF((phi!Q75),VLOOKUP(Q$1,main!$A$3:$I$56,5,FALSE)-VLOOKUP($A130,main!$A$3:$I$56,6,FALSE)+main!$D$58,0)</f>
        <v>0</v>
      </c>
      <c r="R130">
        <f>IF((phi!R75),VLOOKUP(R$1,main!$A$3:$I$56,5,FALSE)-VLOOKUP($A130,main!$A$3:$I$56,6,FALSE)+main!$D$58,0)</f>
        <v>0</v>
      </c>
      <c r="S130">
        <f>IF((phi!S75),VLOOKUP(S$1,main!$A$3:$I$56,5,FALSE)-VLOOKUP($A130,main!$A$3:$I$56,6,FALSE)+main!$D$58,0)</f>
        <v>0</v>
      </c>
      <c r="T130">
        <f>IF((phi!T75),VLOOKUP(T$1,main!$A$3:$I$56,5,FALSE)-VLOOKUP($A130,main!$A$3:$I$56,6,FALSE)+main!$D$58,0)</f>
        <v>0</v>
      </c>
      <c r="U130">
        <f>IF((phi!U75),VLOOKUP(U$1,main!$A$3:$I$56,5,FALSE)-VLOOKUP($A130,main!$A$3:$I$56,6,FALSE)+main!$D$58,0)</f>
        <v>0</v>
      </c>
      <c r="V130">
        <f>IF((phi!V75),VLOOKUP(V$1,main!$A$3:$I$56,5,FALSE)-VLOOKUP($A130,main!$A$3:$I$56,6,FALSE)+main!$D$58,0)</f>
        <v>0</v>
      </c>
      <c r="W130">
        <f>IF((phi!W75),VLOOKUP(W$1,main!$A$3:$I$56,5,FALSE)-VLOOKUP($A130,main!$A$3:$I$56,6,FALSE)+main!$D$58,0)</f>
        <v>0</v>
      </c>
      <c r="X130">
        <f>IF((phi!X75),VLOOKUP(X$1,main!$A$3:$I$56,5,FALSE)-VLOOKUP($A130,main!$A$3:$I$56,6,FALSE)+main!$D$58,0)</f>
        <v>0</v>
      </c>
      <c r="Y130">
        <f>IF((phi!Y75),VLOOKUP(Y$1,main!$A$3:$I$56,5,FALSE)-VLOOKUP($A130,main!$A$3:$I$56,6,FALSE)+main!$D$58,0)</f>
        <v>0</v>
      </c>
      <c r="Z130">
        <f>IF((phi!Z75),VLOOKUP(Z$1,main!$A$3:$I$56,5,FALSE)-VLOOKUP($A130,main!$A$3:$I$56,6,FALSE)+main!$D$58,0)</f>
        <v>0</v>
      </c>
      <c r="AA130">
        <f>IF((phi!AA75),VLOOKUP(AA$1,main!$A$3:$I$56,5,FALSE)-VLOOKUP($A130,main!$A$3:$I$56,6,FALSE)+main!$D$58,0)</f>
        <v>0</v>
      </c>
      <c r="AB130">
        <f>IF((phi!AB75),VLOOKUP(AB$1,main!$A$3:$I$56,5,FALSE)-VLOOKUP($A130,main!$A$3:$I$56,6,FALSE)+main!$D$58,0)</f>
        <v>0</v>
      </c>
      <c r="AC130">
        <f>IF((phi!AC75),VLOOKUP(AC$1,main!$A$3:$I$56,5,FALSE)-VLOOKUP($A130,main!$A$3:$I$56,6,FALSE)+main!$D$58,0)</f>
        <v>0</v>
      </c>
      <c r="AD130">
        <f>IF((phi!AD75),VLOOKUP(AD$1,main!$A$3:$I$56,5,FALSE)-VLOOKUP($A130,main!$A$3:$I$56,6,FALSE)+main!$D$58,0)</f>
        <v>0</v>
      </c>
      <c r="AE130">
        <f>IF((phi!AE75),VLOOKUP(AE$1,main!$A$3:$I$56,5,FALSE)-VLOOKUP($A130,main!$A$3:$I$56,6,FALSE)+main!$D$58,0)</f>
        <v>0</v>
      </c>
      <c r="AF130">
        <f>IF((phi!AF75),VLOOKUP(AF$1,main!$A$3:$I$56,5,FALSE)-VLOOKUP($A130,main!$A$3:$I$56,6,FALSE)+main!$D$58,0)</f>
        <v>0</v>
      </c>
      <c r="AG130">
        <f>IF((phi!AG75),VLOOKUP(AG$1,main!$A$3:$I$56,5,FALSE)-VLOOKUP($A130,main!$A$3:$I$56,6,FALSE)+main!$D$58,0)</f>
        <v>0</v>
      </c>
      <c r="AH130">
        <f>IF((phi!AH75),VLOOKUP(AH$1,main!$A$3:$I$56,5,FALSE)-VLOOKUP($A130,main!$A$3:$I$56,6,FALSE)+main!$D$58,0)</f>
        <v>0</v>
      </c>
      <c r="AI130">
        <f>IF((phi!AI75),VLOOKUP(AI$1,main!$A$3:$I$56,5,FALSE)-VLOOKUP($A130,main!$A$3:$I$56,6,FALSE)+main!$D$58,0)</f>
        <v>0</v>
      </c>
      <c r="AJ130">
        <f>IF((phi!AJ75),VLOOKUP(AJ$1,main!$A$3:$I$56,5,FALSE)-VLOOKUP($A130,main!$A$3:$I$56,6,FALSE)+main!$D$58,0)</f>
        <v>0</v>
      </c>
      <c r="AK130">
        <f>IF((phi!AK75),VLOOKUP(AK$1,main!$A$3:$I$56,5,FALSE)-VLOOKUP($A130,main!$A$3:$I$56,6,FALSE)+main!$D$58,0)</f>
        <v>0</v>
      </c>
      <c r="AL130">
        <f>IF((phi!AL75),VLOOKUP(AL$1,main!$A$3:$I$56,5,FALSE)-VLOOKUP($A130,main!$A$3:$I$56,6,FALSE)+main!$D$58,0)</f>
        <v>0</v>
      </c>
      <c r="AM130">
        <f>IF((phi!AM75),VLOOKUP(AM$1,main!$A$3:$I$56,5,FALSE)-VLOOKUP($A130,main!$A$3:$I$56,6,FALSE)+main!$D$58,0)</f>
        <v>0</v>
      </c>
      <c r="AN130">
        <f>IF((phi!AN75),VLOOKUP(AN$1,main!$A$3:$I$56,5,FALSE)-VLOOKUP($A130,main!$A$3:$I$56,6,FALSE)+main!$D$58,0)</f>
        <v>0</v>
      </c>
      <c r="AO130">
        <f>IF((phi!AO75),VLOOKUP(AO$1,main!$A$3:$I$56,5,FALSE)-VLOOKUP($A130,main!$A$3:$I$56,6,FALSE)+main!$D$58,0)</f>
        <v>0</v>
      </c>
      <c r="AP130">
        <f>IF((phi!AP75),VLOOKUP(AP$1,main!$A$3:$I$56,5,FALSE)-VLOOKUP($A130,main!$A$3:$I$56,6,FALSE)+main!$D$58,0)</f>
        <v>0</v>
      </c>
      <c r="AQ130">
        <f>IF((phi!AQ75),VLOOKUP(AQ$1,main!$A$3:$I$56,5,FALSE)-VLOOKUP($A130,main!$A$3:$I$56,6,FALSE)+main!$D$58,0)</f>
        <v>0</v>
      </c>
      <c r="AR130">
        <f>IF((phi!AR75),VLOOKUP(AR$1,main!$A$3:$I$56,5,FALSE)-VLOOKUP($A130,main!$A$3:$I$56,6,FALSE)+main!$D$58,0)</f>
        <v>0</v>
      </c>
      <c r="AS130">
        <f>IF((phi!AS75),VLOOKUP(AS$1,main!$A$3:$I$56,5,FALSE)-VLOOKUP($A130,main!$A$3:$I$56,6,FALSE)+main!$D$58,0)</f>
        <v>0</v>
      </c>
      <c r="AT130">
        <f>IF((phi!AT75),VLOOKUP(AT$1,main!$A$3:$I$56,5,FALSE)-VLOOKUP($A130,main!$A$3:$I$56,6,FALSE)+main!$D$58,0)</f>
        <v>0</v>
      </c>
      <c r="AU130">
        <f>IF((phi!AU75),VLOOKUP(AU$1,main!$A$3:$I$56,5,FALSE)-VLOOKUP($A130,main!$A$3:$I$56,6,FALSE)+main!$D$58,0)</f>
        <v>0</v>
      </c>
      <c r="AV130">
        <f>IF((phi!AV75),VLOOKUP(AV$1,main!$A$3:$I$56,5,FALSE)-VLOOKUP($A130,main!$A$3:$I$56,6,FALSE)+main!$D$58,0)</f>
        <v>0</v>
      </c>
      <c r="AW130">
        <f>IF((phi!AW75),VLOOKUP(AW$1,main!$A$3:$I$56,5,FALSE)-VLOOKUP($A130,main!$A$3:$I$56,6,FALSE)+main!$D$58,0)</f>
        <v>0</v>
      </c>
      <c r="AX130">
        <f>IF((phi!AX75),VLOOKUP(AX$1,main!$A$3:$I$56,5,FALSE)-VLOOKUP($A130,main!$A$3:$I$56,6,FALSE)+main!$D$58,0)</f>
        <v>0</v>
      </c>
      <c r="AY130">
        <f>IF((phi!AY75),VLOOKUP(AY$1,main!$A$3:$I$56,5,FALSE)-VLOOKUP($A130,main!$A$3:$I$56,6,FALSE)+main!$D$58,0)</f>
        <v>0</v>
      </c>
      <c r="AZ130">
        <f>IF((phi!AZ75),VLOOKUP(AZ$1,main!$A$3:$I$56,5,FALSE)-VLOOKUP($A130,main!$A$3:$I$56,6,FALSE)+main!$D$58,0)</f>
        <v>0</v>
      </c>
      <c r="BA130">
        <f>IF((phi!BA75),VLOOKUP(BA$1,main!$A$3:$I$56,5,FALSE)-VLOOKUP($A130,main!$A$3:$I$56,6,FALSE)+main!$D$58,0)</f>
        <v>0</v>
      </c>
      <c r="BB130">
        <f>IF((phi!BB75),VLOOKUP(BB$1,main!$A$3:$I$56,5,FALSE)-VLOOKUP($A130,main!$A$3:$I$56,6,FALSE)+main!$D$58,0)</f>
        <v>0</v>
      </c>
      <c r="BC130">
        <f>IF((phi!BC75),VLOOKUP(BC$1,main!$A$3:$I$56,5,FALSE)-VLOOKUP($A130,main!$A$3:$I$56,6,FALSE)+main!$D$58,0)</f>
        <v>0</v>
      </c>
      <c r="BD130">
        <f>IF((phi!BD75),VLOOKUP(BD$1,main!$A$3:$I$56,5,FALSE)-VLOOKUP($A130,main!$A$3:$I$56,6,FALSE)+main!$D$58,0)</f>
        <v>0</v>
      </c>
    </row>
    <row r="131" spans="1:56" x14ac:dyDescent="0.25">
      <c r="A131">
        <f t="shared" si="4"/>
        <v>19</v>
      </c>
      <c r="B131">
        <v>0</v>
      </c>
      <c r="C131">
        <f>IF((phi!C76),VLOOKUP(C$1,main!$A$3:$I$56,5,FALSE)-VLOOKUP($A131,main!$A$3:$I$56,6,FALSE)+main!$D$58,0)</f>
        <v>0</v>
      </c>
      <c r="D131">
        <f>IF((phi!D76),VLOOKUP(D$1,main!$A$3:$I$56,5,FALSE)-VLOOKUP($A131,main!$A$3:$I$56,6,FALSE)+main!$D$58,0)</f>
        <v>115</v>
      </c>
      <c r="E131">
        <f>IF((phi!E76),VLOOKUP(E$1,main!$A$3:$I$56,5,FALSE)-VLOOKUP($A131,main!$A$3:$I$56,6,FALSE)+main!$D$58,0)</f>
        <v>205</v>
      </c>
      <c r="F131">
        <f>IF((phi!F76),VLOOKUP(F$1,main!$A$3:$I$56,5,FALSE)-VLOOKUP($A131,main!$A$3:$I$56,6,FALSE)+main!$D$58,0)</f>
        <v>295</v>
      </c>
      <c r="G131">
        <f>IF((phi!G76),VLOOKUP(G$1,main!$A$3:$I$56,5,FALSE)-VLOOKUP($A131,main!$A$3:$I$56,6,FALSE)+main!$D$58,0)</f>
        <v>355</v>
      </c>
      <c r="H131">
        <f>IF((phi!H76),VLOOKUP(H$1,main!$A$3:$I$56,5,FALSE)-VLOOKUP($A131,main!$A$3:$I$56,6,FALSE)+main!$D$58,0)</f>
        <v>415</v>
      </c>
      <c r="I131">
        <f>IF((phi!I76),VLOOKUP(I$1,main!$A$3:$I$56,5,FALSE)-VLOOKUP($A131,main!$A$3:$I$56,6,FALSE)+main!$D$58,0)</f>
        <v>475</v>
      </c>
      <c r="J131">
        <f>IF((phi!J76),VLOOKUP(J$1,main!$A$3:$I$56,5,FALSE)-VLOOKUP($A131,main!$A$3:$I$56,6,FALSE)+main!$D$58,0)</f>
        <v>565</v>
      </c>
      <c r="K131">
        <f>IF((phi!K76),VLOOKUP(K$1,main!$A$3:$I$56,5,FALSE)-VLOOKUP($A131,main!$A$3:$I$56,6,FALSE)+main!$D$58,0)</f>
        <v>0</v>
      </c>
      <c r="L131">
        <f>IF((phi!L76),VLOOKUP(L$1,main!$A$3:$I$56,5,FALSE)-VLOOKUP($A131,main!$A$3:$I$56,6,FALSE)+main!$D$58,0)</f>
        <v>0</v>
      </c>
      <c r="M131">
        <f>IF((phi!M76),VLOOKUP(M$1,main!$A$3:$I$56,5,FALSE)-VLOOKUP($A131,main!$A$3:$I$56,6,FALSE)+main!$D$58,0)</f>
        <v>170</v>
      </c>
      <c r="N131">
        <f>IF((phi!N76),VLOOKUP(N$1,main!$A$3:$I$56,5,FALSE)-VLOOKUP($A131,main!$A$3:$I$56,6,FALSE)+main!$D$58,0)</f>
        <v>530</v>
      </c>
      <c r="O131">
        <f>IF((phi!O76),VLOOKUP(O$1,main!$A$3:$I$56,5,FALSE)-VLOOKUP($A131,main!$A$3:$I$56,6,FALSE)+main!$D$58,0)</f>
        <v>590</v>
      </c>
      <c r="P131">
        <f>IF((phi!P76),VLOOKUP(P$1,main!$A$3:$I$56,5,FALSE)-VLOOKUP($A131,main!$A$3:$I$56,6,FALSE)+main!$D$58,0)</f>
        <v>0</v>
      </c>
      <c r="Q131">
        <f>IF((phi!Q76),VLOOKUP(Q$1,main!$A$3:$I$56,5,FALSE)-VLOOKUP($A131,main!$A$3:$I$56,6,FALSE)+main!$D$58,0)</f>
        <v>0</v>
      </c>
      <c r="R131">
        <f>IF((phi!R76),VLOOKUP(R$1,main!$A$3:$I$56,5,FALSE)-VLOOKUP($A131,main!$A$3:$I$56,6,FALSE)+main!$D$58,0)</f>
        <v>165</v>
      </c>
      <c r="S131">
        <f>IF((phi!S76),VLOOKUP(S$1,main!$A$3:$I$56,5,FALSE)-VLOOKUP($A131,main!$A$3:$I$56,6,FALSE)+main!$D$58,0)</f>
        <v>345</v>
      </c>
      <c r="T131">
        <f>IF((phi!T76),VLOOKUP(T$1,main!$A$3:$I$56,5,FALSE)-VLOOKUP($A131,main!$A$3:$I$56,6,FALSE)+main!$D$58,0)</f>
        <v>495</v>
      </c>
      <c r="U131">
        <f>IF((phi!U76),VLOOKUP(U$1,main!$A$3:$I$56,5,FALSE)-VLOOKUP($A131,main!$A$3:$I$56,6,FALSE)+main!$D$58,0)</f>
        <v>0</v>
      </c>
      <c r="V131">
        <f>IF((phi!V76),VLOOKUP(V$1,main!$A$3:$I$56,5,FALSE)-VLOOKUP($A131,main!$A$3:$I$56,6,FALSE)+main!$D$58,0)</f>
        <v>0</v>
      </c>
      <c r="W131">
        <f>IF((phi!W76),VLOOKUP(W$1,main!$A$3:$I$56,5,FALSE)-VLOOKUP($A131,main!$A$3:$I$56,6,FALSE)+main!$D$58,0)</f>
        <v>0</v>
      </c>
      <c r="X131">
        <f>IF((phi!X76),VLOOKUP(X$1,main!$A$3:$I$56,5,FALSE)-VLOOKUP($A131,main!$A$3:$I$56,6,FALSE)+main!$D$58,0)</f>
        <v>0</v>
      </c>
      <c r="Y131">
        <f>IF((phi!Y76),VLOOKUP(Y$1,main!$A$3:$I$56,5,FALSE)-VLOOKUP($A131,main!$A$3:$I$56,6,FALSE)+main!$D$58,0)</f>
        <v>275</v>
      </c>
      <c r="Z131">
        <f>IF((phi!Z76),VLOOKUP(Z$1,main!$A$3:$I$56,5,FALSE)-VLOOKUP($A131,main!$A$3:$I$56,6,FALSE)+main!$D$58,0)</f>
        <v>365</v>
      </c>
      <c r="AA131">
        <f>IF((phi!AA76),VLOOKUP(AA$1,main!$A$3:$I$56,5,FALSE)-VLOOKUP($A131,main!$A$3:$I$56,6,FALSE)+main!$D$58,0)</f>
        <v>455</v>
      </c>
      <c r="AB131">
        <f>IF((phi!AB76),VLOOKUP(AB$1,main!$A$3:$I$56,5,FALSE)-VLOOKUP($A131,main!$A$3:$I$56,6,FALSE)+main!$D$58,0)</f>
        <v>515</v>
      </c>
      <c r="AC131">
        <f>IF((phi!AC76),VLOOKUP(AC$1,main!$A$3:$I$56,5,FALSE)-VLOOKUP($A131,main!$A$3:$I$56,6,FALSE)+main!$D$58,0)</f>
        <v>0</v>
      </c>
      <c r="AD131">
        <f>IF((phi!AD76),VLOOKUP(AD$1,main!$A$3:$I$56,5,FALSE)-VLOOKUP($A131,main!$A$3:$I$56,6,FALSE)+main!$D$58,0)</f>
        <v>0</v>
      </c>
      <c r="AE131">
        <f>IF((phi!AE76),VLOOKUP(AE$1,main!$A$3:$I$56,5,FALSE)-VLOOKUP($A131,main!$A$3:$I$56,6,FALSE)+main!$D$58,0)</f>
        <v>0</v>
      </c>
      <c r="AF131">
        <f>IF((phi!AF76),VLOOKUP(AF$1,main!$A$3:$I$56,5,FALSE)-VLOOKUP($A131,main!$A$3:$I$56,6,FALSE)+main!$D$58,0)</f>
        <v>325</v>
      </c>
      <c r="AG131">
        <f>IF((phi!AG76),VLOOKUP(AG$1,main!$A$3:$I$56,5,FALSE)-VLOOKUP($A131,main!$A$3:$I$56,6,FALSE)+main!$D$58,0)</f>
        <v>0</v>
      </c>
      <c r="AH131">
        <f>IF((phi!AH76),VLOOKUP(AH$1,main!$A$3:$I$56,5,FALSE)-VLOOKUP($A131,main!$A$3:$I$56,6,FALSE)+main!$D$58,0)</f>
        <v>0</v>
      </c>
      <c r="AI131">
        <f>IF((phi!AI76),VLOOKUP(AI$1,main!$A$3:$I$56,5,FALSE)-VLOOKUP($A131,main!$A$3:$I$56,6,FALSE)+main!$D$58,0)</f>
        <v>0</v>
      </c>
      <c r="AJ131">
        <f>IF((phi!AJ76),VLOOKUP(AJ$1,main!$A$3:$I$56,5,FALSE)-VLOOKUP($A131,main!$A$3:$I$56,6,FALSE)+main!$D$58,0)</f>
        <v>295</v>
      </c>
      <c r="AK131">
        <f>IF((phi!AK76),VLOOKUP(AK$1,main!$A$3:$I$56,5,FALSE)-VLOOKUP($A131,main!$A$3:$I$56,6,FALSE)+main!$D$58,0)</f>
        <v>415</v>
      </c>
      <c r="AL131">
        <f>IF((phi!AL76),VLOOKUP(AL$1,main!$A$3:$I$56,5,FALSE)-VLOOKUP($A131,main!$A$3:$I$56,6,FALSE)+main!$D$58,0)</f>
        <v>0</v>
      </c>
      <c r="AM131">
        <f>IF((phi!AM76),VLOOKUP(AM$1,main!$A$3:$I$56,5,FALSE)-VLOOKUP($A131,main!$A$3:$I$56,6,FALSE)+main!$D$58,0)</f>
        <v>0</v>
      </c>
      <c r="AN131">
        <f>IF((phi!AN76),VLOOKUP(AN$1,main!$A$3:$I$56,5,FALSE)-VLOOKUP($A131,main!$A$3:$I$56,6,FALSE)+main!$D$58,0)</f>
        <v>275</v>
      </c>
      <c r="AO131">
        <f>IF((phi!AO76),VLOOKUP(AO$1,main!$A$3:$I$56,5,FALSE)-VLOOKUP($A131,main!$A$3:$I$56,6,FALSE)+main!$D$58,0)</f>
        <v>325</v>
      </c>
      <c r="AP131">
        <f>IF((phi!AP76),VLOOKUP(AP$1,main!$A$3:$I$56,5,FALSE)-VLOOKUP($A131,main!$A$3:$I$56,6,FALSE)+main!$D$58,0)</f>
        <v>0</v>
      </c>
      <c r="AQ131">
        <f>IF((phi!AQ76),VLOOKUP(AQ$1,main!$A$3:$I$56,5,FALSE)-VLOOKUP($A131,main!$A$3:$I$56,6,FALSE)+main!$D$58,0)</f>
        <v>0</v>
      </c>
      <c r="AR131">
        <f>IF((phi!AR76),VLOOKUP(AR$1,main!$A$3:$I$56,5,FALSE)-VLOOKUP($A131,main!$A$3:$I$56,6,FALSE)+main!$D$58,0)</f>
        <v>0</v>
      </c>
      <c r="AS131">
        <f>IF((phi!AS76),VLOOKUP(AS$1,main!$A$3:$I$56,5,FALSE)-VLOOKUP($A131,main!$A$3:$I$56,6,FALSE)+main!$D$58,0)</f>
        <v>0</v>
      </c>
      <c r="AT131">
        <f>IF((phi!AT76),VLOOKUP(AT$1,main!$A$3:$I$56,5,FALSE)-VLOOKUP($A131,main!$A$3:$I$56,6,FALSE)+main!$D$58,0)</f>
        <v>0</v>
      </c>
      <c r="AU131">
        <f>IF((phi!AU76),VLOOKUP(AU$1,main!$A$3:$I$56,5,FALSE)-VLOOKUP($A131,main!$A$3:$I$56,6,FALSE)+main!$D$58,0)</f>
        <v>0</v>
      </c>
      <c r="AV131">
        <f>IF((phi!AV76),VLOOKUP(AV$1,main!$A$3:$I$56,5,FALSE)-VLOOKUP($A131,main!$A$3:$I$56,6,FALSE)+main!$D$58,0)</f>
        <v>0</v>
      </c>
      <c r="AW131">
        <f>IF((phi!AW76),VLOOKUP(AW$1,main!$A$3:$I$56,5,FALSE)-VLOOKUP($A131,main!$A$3:$I$56,6,FALSE)+main!$D$58,0)</f>
        <v>0</v>
      </c>
      <c r="AX131">
        <f>IF((phi!AX76),VLOOKUP(AX$1,main!$A$3:$I$56,5,FALSE)-VLOOKUP($A131,main!$A$3:$I$56,6,FALSE)+main!$D$58,0)</f>
        <v>375</v>
      </c>
      <c r="AY131">
        <f>IF((phi!AY76),VLOOKUP(AY$1,main!$A$3:$I$56,5,FALSE)-VLOOKUP($A131,main!$A$3:$I$56,6,FALSE)+main!$D$58,0)</f>
        <v>575</v>
      </c>
      <c r="AZ131">
        <f>IF((phi!AZ76),VLOOKUP(AZ$1,main!$A$3:$I$56,5,FALSE)-VLOOKUP($A131,main!$A$3:$I$56,6,FALSE)+main!$D$58,0)</f>
        <v>0</v>
      </c>
      <c r="BA131">
        <f>IF((phi!BA76),VLOOKUP(BA$1,main!$A$3:$I$56,5,FALSE)-VLOOKUP($A131,main!$A$3:$I$56,6,FALSE)+main!$D$58,0)</f>
        <v>0</v>
      </c>
      <c r="BB131">
        <f>IF((phi!BB76),VLOOKUP(BB$1,main!$A$3:$I$56,5,FALSE)-VLOOKUP($A131,main!$A$3:$I$56,6,FALSE)+main!$D$58,0)</f>
        <v>0</v>
      </c>
      <c r="BC131">
        <f>IF((phi!BC76),VLOOKUP(BC$1,main!$A$3:$I$56,5,FALSE)-VLOOKUP($A131,main!$A$3:$I$56,6,FALSE)+main!$D$58,0)</f>
        <v>340</v>
      </c>
      <c r="BD131">
        <f>IF((phi!BD76),VLOOKUP(BD$1,main!$A$3:$I$56,5,FALSE)-VLOOKUP($A131,main!$A$3:$I$56,6,FALSE)+main!$D$58,0)</f>
        <v>350</v>
      </c>
    </row>
    <row r="132" spans="1:56" x14ac:dyDescent="0.25">
      <c r="A132">
        <f t="shared" si="4"/>
        <v>20</v>
      </c>
      <c r="B132">
        <v>0</v>
      </c>
      <c r="C132">
        <f>IF((phi!C77),VLOOKUP(C$1,main!$A$3:$I$56,5,FALSE)-VLOOKUP($A132,main!$A$3:$I$56,6,FALSE)+main!$D$58,0)</f>
        <v>0</v>
      </c>
      <c r="D132">
        <f>IF((phi!D77),VLOOKUP(D$1,main!$A$3:$I$56,5,FALSE)-VLOOKUP($A132,main!$A$3:$I$56,6,FALSE)+main!$D$58,0)</f>
        <v>0</v>
      </c>
      <c r="E132">
        <f>IF((phi!E77),VLOOKUP(E$1,main!$A$3:$I$56,5,FALSE)-VLOOKUP($A132,main!$A$3:$I$56,6,FALSE)+main!$D$58,0)</f>
        <v>115</v>
      </c>
      <c r="F132">
        <f>IF((phi!F77),VLOOKUP(F$1,main!$A$3:$I$56,5,FALSE)-VLOOKUP($A132,main!$A$3:$I$56,6,FALSE)+main!$D$58,0)</f>
        <v>205</v>
      </c>
      <c r="G132">
        <f>IF((phi!G77),VLOOKUP(G$1,main!$A$3:$I$56,5,FALSE)-VLOOKUP($A132,main!$A$3:$I$56,6,FALSE)+main!$D$58,0)</f>
        <v>265</v>
      </c>
      <c r="H132">
        <f>IF((phi!H77),VLOOKUP(H$1,main!$A$3:$I$56,5,FALSE)-VLOOKUP($A132,main!$A$3:$I$56,6,FALSE)+main!$D$58,0)</f>
        <v>325</v>
      </c>
      <c r="I132">
        <f>IF((phi!I77),VLOOKUP(I$1,main!$A$3:$I$56,5,FALSE)-VLOOKUP($A132,main!$A$3:$I$56,6,FALSE)+main!$D$58,0)</f>
        <v>385</v>
      </c>
      <c r="J132">
        <f>IF((phi!J77),VLOOKUP(J$1,main!$A$3:$I$56,5,FALSE)-VLOOKUP($A132,main!$A$3:$I$56,6,FALSE)+main!$D$58,0)</f>
        <v>475</v>
      </c>
      <c r="K132">
        <f>IF((phi!K77),VLOOKUP(K$1,main!$A$3:$I$56,5,FALSE)-VLOOKUP($A132,main!$A$3:$I$56,6,FALSE)+main!$D$58,0)</f>
        <v>0</v>
      </c>
      <c r="L132">
        <f>IF((phi!L77),VLOOKUP(L$1,main!$A$3:$I$56,5,FALSE)-VLOOKUP($A132,main!$A$3:$I$56,6,FALSE)+main!$D$58,0)</f>
        <v>0</v>
      </c>
      <c r="M132">
        <f>IF((phi!M77),VLOOKUP(M$1,main!$A$3:$I$56,5,FALSE)-VLOOKUP($A132,main!$A$3:$I$56,6,FALSE)+main!$D$58,0)</f>
        <v>0</v>
      </c>
      <c r="N132">
        <f>IF((phi!N77),VLOOKUP(N$1,main!$A$3:$I$56,5,FALSE)-VLOOKUP($A132,main!$A$3:$I$56,6,FALSE)+main!$D$58,0)</f>
        <v>440</v>
      </c>
      <c r="O132">
        <f>IF((phi!O77),VLOOKUP(O$1,main!$A$3:$I$56,5,FALSE)-VLOOKUP($A132,main!$A$3:$I$56,6,FALSE)+main!$D$58,0)</f>
        <v>500</v>
      </c>
      <c r="P132">
        <f>IF((phi!P77),VLOOKUP(P$1,main!$A$3:$I$56,5,FALSE)-VLOOKUP($A132,main!$A$3:$I$56,6,FALSE)+main!$D$58,0)</f>
        <v>0</v>
      </c>
      <c r="Q132">
        <f>IF((phi!Q77),VLOOKUP(Q$1,main!$A$3:$I$56,5,FALSE)-VLOOKUP($A132,main!$A$3:$I$56,6,FALSE)+main!$D$58,0)</f>
        <v>0</v>
      </c>
      <c r="R132">
        <f>IF((phi!R77),VLOOKUP(R$1,main!$A$3:$I$56,5,FALSE)-VLOOKUP($A132,main!$A$3:$I$56,6,FALSE)+main!$D$58,0)</f>
        <v>0</v>
      </c>
      <c r="S132">
        <f>IF((phi!S77),VLOOKUP(S$1,main!$A$3:$I$56,5,FALSE)-VLOOKUP($A132,main!$A$3:$I$56,6,FALSE)+main!$D$58,0)</f>
        <v>255</v>
      </c>
      <c r="T132">
        <f>IF((phi!T77),VLOOKUP(T$1,main!$A$3:$I$56,5,FALSE)-VLOOKUP($A132,main!$A$3:$I$56,6,FALSE)+main!$D$58,0)</f>
        <v>405</v>
      </c>
      <c r="U132">
        <f>IF((phi!U77),VLOOKUP(U$1,main!$A$3:$I$56,5,FALSE)-VLOOKUP($A132,main!$A$3:$I$56,6,FALSE)+main!$D$58,0)</f>
        <v>0</v>
      </c>
      <c r="V132">
        <f>IF((phi!V77),VLOOKUP(V$1,main!$A$3:$I$56,5,FALSE)-VLOOKUP($A132,main!$A$3:$I$56,6,FALSE)+main!$D$58,0)</f>
        <v>0</v>
      </c>
      <c r="W132">
        <f>IF((phi!W77),VLOOKUP(W$1,main!$A$3:$I$56,5,FALSE)-VLOOKUP($A132,main!$A$3:$I$56,6,FALSE)+main!$D$58,0)</f>
        <v>0</v>
      </c>
      <c r="X132">
        <f>IF((phi!X77),VLOOKUP(X$1,main!$A$3:$I$56,5,FALSE)-VLOOKUP($A132,main!$A$3:$I$56,6,FALSE)+main!$D$58,0)</f>
        <v>0</v>
      </c>
      <c r="Y132">
        <f>IF((phi!Y77),VLOOKUP(Y$1,main!$A$3:$I$56,5,FALSE)-VLOOKUP($A132,main!$A$3:$I$56,6,FALSE)+main!$D$58,0)</f>
        <v>0</v>
      </c>
      <c r="Z132">
        <f>IF((phi!Z77),VLOOKUP(Z$1,main!$A$3:$I$56,5,FALSE)-VLOOKUP($A132,main!$A$3:$I$56,6,FALSE)+main!$D$58,0)</f>
        <v>275</v>
      </c>
      <c r="AA132">
        <f>IF((phi!AA77),VLOOKUP(AA$1,main!$A$3:$I$56,5,FALSE)-VLOOKUP($A132,main!$A$3:$I$56,6,FALSE)+main!$D$58,0)</f>
        <v>365</v>
      </c>
      <c r="AB132">
        <f>IF((phi!AB77),VLOOKUP(AB$1,main!$A$3:$I$56,5,FALSE)-VLOOKUP($A132,main!$A$3:$I$56,6,FALSE)+main!$D$58,0)</f>
        <v>425</v>
      </c>
      <c r="AC132">
        <f>IF((phi!AC77),VLOOKUP(AC$1,main!$A$3:$I$56,5,FALSE)-VLOOKUP($A132,main!$A$3:$I$56,6,FALSE)+main!$D$58,0)</f>
        <v>0</v>
      </c>
      <c r="AD132">
        <f>IF((phi!AD77),VLOOKUP(AD$1,main!$A$3:$I$56,5,FALSE)-VLOOKUP($A132,main!$A$3:$I$56,6,FALSE)+main!$D$58,0)</f>
        <v>0</v>
      </c>
      <c r="AE132">
        <f>IF((phi!AE77),VLOOKUP(AE$1,main!$A$3:$I$56,5,FALSE)-VLOOKUP($A132,main!$A$3:$I$56,6,FALSE)+main!$D$58,0)</f>
        <v>0</v>
      </c>
      <c r="AF132">
        <f>IF((phi!AF77),VLOOKUP(AF$1,main!$A$3:$I$56,5,FALSE)-VLOOKUP($A132,main!$A$3:$I$56,6,FALSE)+main!$D$58,0)</f>
        <v>0</v>
      </c>
      <c r="AG132">
        <f>IF((phi!AG77),VLOOKUP(AG$1,main!$A$3:$I$56,5,FALSE)-VLOOKUP($A132,main!$A$3:$I$56,6,FALSE)+main!$D$58,0)</f>
        <v>0</v>
      </c>
      <c r="AH132">
        <f>IF((phi!AH77),VLOOKUP(AH$1,main!$A$3:$I$56,5,FALSE)-VLOOKUP($A132,main!$A$3:$I$56,6,FALSE)+main!$D$58,0)</f>
        <v>0</v>
      </c>
      <c r="AI132">
        <f>IF((phi!AI77),VLOOKUP(AI$1,main!$A$3:$I$56,5,FALSE)-VLOOKUP($A132,main!$A$3:$I$56,6,FALSE)+main!$D$58,0)</f>
        <v>0</v>
      </c>
      <c r="AJ132">
        <f>IF((phi!AJ77),VLOOKUP(AJ$1,main!$A$3:$I$56,5,FALSE)-VLOOKUP($A132,main!$A$3:$I$56,6,FALSE)+main!$D$58,0)</f>
        <v>0</v>
      </c>
      <c r="AK132">
        <f>IF((phi!AK77),VLOOKUP(AK$1,main!$A$3:$I$56,5,FALSE)-VLOOKUP($A132,main!$A$3:$I$56,6,FALSE)+main!$D$58,0)</f>
        <v>325</v>
      </c>
      <c r="AL132">
        <f>IF((phi!AL77),VLOOKUP(AL$1,main!$A$3:$I$56,5,FALSE)-VLOOKUP($A132,main!$A$3:$I$56,6,FALSE)+main!$D$58,0)</f>
        <v>0</v>
      </c>
      <c r="AM132">
        <f>IF((phi!AM77),VLOOKUP(AM$1,main!$A$3:$I$56,5,FALSE)-VLOOKUP($A132,main!$A$3:$I$56,6,FALSE)+main!$D$58,0)</f>
        <v>0</v>
      </c>
      <c r="AN132">
        <f>IF((phi!AN77),VLOOKUP(AN$1,main!$A$3:$I$56,5,FALSE)-VLOOKUP($A132,main!$A$3:$I$56,6,FALSE)+main!$D$58,0)</f>
        <v>0</v>
      </c>
      <c r="AO132">
        <f>IF((phi!AO77),VLOOKUP(AO$1,main!$A$3:$I$56,5,FALSE)-VLOOKUP($A132,main!$A$3:$I$56,6,FALSE)+main!$D$58,0)</f>
        <v>0</v>
      </c>
      <c r="AP132">
        <f>IF((phi!AP77),VLOOKUP(AP$1,main!$A$3:$I$56,5,FALSE)-VLOOKUP($A132,main!$A$3:$I$56,6,FALSE)+main!$D$58,0)</f>
        <v>0</v>
      </c>
      <c r="AQ132">
        <f>IF((phi!AQ77),VLOOKUP(AQ$1,main!$A$3:$I$56,5,FALSE)-VLOOKUP($A132,main!$A$3:$I$56,6,FALSE)+main!$D$58,0)</f>
        <v>0</v>
      </c>
      <c r="AR132">
        <f>IF((phi!AR77),VLOOKUP(AR$1,main!$A$3:$I$56,5,FALSE)-VLOOKUP($A132,main!$A$3:$I$56,6,FALSE)+main!$D$58,0)</f>
        <v>0</v>
      </c>
      <c r="AS132">
        <f>IF((phi!AS77),VLOOKUP(AS$1,main!$A$3:$I$56,5,FALSE)-VLOOKUP($A132,main!$A$3:$I$56,6,FALSE)+main!$D$58,0)</f>
        <v>0</v>
      </c>
      <c r="AT132">
        <f>IF((phi!AT77),VLOOKUP(AT$1,main!$A$3:$I$56,5,FALSE)-VLOOKUP($A132,main!$A$3:$I$56,6,FALSE)+main!$D$58,0)</f>
        <v>0</v>
      </c>
      <c r="AU132">
        <f>IF((phi!AU77),VLOOKUP(AU$1,main!$A$3:$I$56,5,FALSE)-VLOOKUP($A132,main!$A$3:$I$56,6,FALSE)+main!$D$58,0)</f>
        <v>0</v>
      </c>
      <c r="AV132">
        <f>IF((phi!AV77),VLOOKUP(AV$1,main!$A$3:$I$56,5,FALSE)-VLOOKUP($A132,main!$A$3:$I$56,6,FALSE)+main!$D$58,0)</f>
        <v>0</v>
      </c>
      <c r="AW132">
        <f>IF((phi!AW77),VLOOKUP(AW$1,main!$A$3:$I$56,5,FALSE)-VLOOKUP($A132,main!$A$3:$I$56,6,FALSE)+main!$D$58,0)</f>
        <v>0</v>
      </c>
      <c r="AX132">
        <f>IF((phi!AX77),VLOOKUP(AX$1,main!$A$3:$I$56,5,FALSE)-VLOOKUP($A132,main!$A$3:$I$56,6,FALSE)+main!$D$58,0)</f>
        <v>0</v>
      </c>
      <c r="AY132">
        <f>IF((phi!AY77),VLOOKUP(AY$1,main!$A$3:$I$56,5,FALSE)-VLOOKUP($A132,main!$A$3:$I$56,6,FALSE)+main!$D$58,0)</f>
        <v>485</v>
      </c>
      <c r="AZ132">
        <f>IF((phi!AZ77),VLOOKUP(AZ$1,main!$A$3:$I$56,5,FALSE)-VLOOKUP($A132,main!$A$3:$I$56,6,FALSE)+main!$D$58,0)</f>
        <v>0</v>
      </c>
      <c r="BA132">
        <f>IF((phi!BA77),VLOOKUP(BA$1,main!$A$3:$I$56,5,FALSE)-VLOOKUP($A132,main!$A$3:$I$56,6,FALSE)+main!$D$58,0)</f>
        <v>0</v>
      </c>
      <c r="BB132">
        <f>IF((phi!BB77),VLOOKUP(BB$1,main!$A$3:$I$56,5,FALSE)-VLOOKUP($A132,main!$A$3:$I$56,6,FALSE)+main!$D$58,0)</f>
        <v>0</v>
      </c>
      <c r="BC132">
        <f>IF((phi!BC77),VLOOKUP(BC$1,main!$A$3:$I$56,5,FALSE)-VLOOKUP($A132,main!$A$3:$I$56,6,FALSE)+main!$D$58,0)</f>
        <v>0</v>
      </c>
      <c r="BD132">
        <f>IF((phi!BD77),VLOOKUP(BD$1,main!$A$3:$I$56,5,FALSE)-VLOOKUP($A132,main!$A$3:$I$56,6,FALSE)+main!$D$58,0)</f>
        <v>0</v>
      </c>
    </row>
    <row r="133" spans="1:56" x14ac:dyDescent="0.25">
      <c r="A133">
        <f t="shared" si="4"/>
        <v>21</v>
      </c>
      <c r="B133">
        <v>0</v>
      </c>
      <c r="C133">
        <f>IF((phi!C78),VLOOKUP(C$1,main!$A$3:$I$56,5,FALSE)-VLOOKUP($A133,main!$A$3:$I$56,6,FALSE)+main!$D$58,0)</f>
        <v>0</v>
      </c>
      <c r="D133">
        <f>IF((phi!D78),VLOOKUP(D$1,main!$A$3:$I$56,5,FALSE)-VLOOKUP($A133,main!$A$3:$I$56,6,FALSE)+main!$D$58,0)</f>
        <v>0</v>
      </c>
      <c r="E133">
        <f>IF((phi!E78),VLOOKUP(E$1,main!$A$3:$I$56,5,FALSE)-VLOOKUP($A133,main!$A$3:$I$56,6,FALSE)+main!$D$58,0)</f>
        <v>0</v>
      </c>
      <c r="F133">
        <f>IF((phi!F78),VLOOKUP(F$1,main!$A$3:$I$56,5,FALSE)-VLOOKUP($A133,main!$A$3:$I$56,6,FALSE)+main!$D$58,0)</f>
        <v>115</v>
      </c>
      <c r="G133">
        <f>IF((phi!G78),VLOOKUP(G$1,main!$A$3:$I$56,5,FALSE)-VLOOKUP($A133,main!$A$3:$I$56,6,FALSE)+main!$D$58,0)</f>
        <v>175</v>
      </c>
      <c r="H133">
        <f>IF((phi!H78),VLOOKUP(H$1,main!$A$3:$I$56,5,FALSE)-VLOOKUP($A133,main!$A$3:$I$56,6,FALSE)+main!$D$58,0)</f>
        <v>235</v>
      </c>
      <c r="I133">
        <f>IF((phi!I78),VLOOKUP(I$1,main!$A$3:$I$56,5,FALSE)-VLOOKUP($A133,main!$A$3:$I$56,6,FALSE)+main!$D$58,0)</f>
        <v>295</v>
      </c>
      <c r="J133">
        <f>IF((phi!J78),VLOOKUP(J$1,main!$A$3:$I$56,5,FALSE)-VLOOKUP($A133,main!$A$3:$I$56,6,FALSE)+main!$D$58,0)</f>
        <v>385</v>
      </c>
      <c r="K133">
        <f>IF((phi!K78),VLOOKUP(K$1,main!$A$3:$I$56,5,FALSE)-VLOOKUP($A133,main!$A$3:$I$56,6,FALSE)+main!$D$58,0)</f>
        <v>0</v>
      </c>
      <c r="L133">
        <f>IF((phi!L78),VLOOKUP(L$1,main!$A$3:$I$56,5,FALSE)-VLOOKUP($A133,main!$A$3:$I$56,6,FALSE)+main!$D$58,0)</f>
        <v>0</v>
      </c>
      <c r="M133">
        <f>IF((phi!M78),VLOOKUP(M$1,main!$A$3:$I$56,5,FALSE)-VLOOKUP($A133,main!$A$3:$I$56,6,FALSE)+main!$D$58,0)</f>
        <v>0</v>
      </c>
      <c r="N133">
        <f>IF((phi!N78),VLOOKUP(N$1,main!$A$3:$I$56,5,FALSE)-VLOOKUP($A133,main!$A$3:$I$56,6,FALSE)+main!$D$58,0)</f>
        <v>350</v>
      </c>
      <c r="O133">
        <f>IF((phi!O78),VLOOKUP(O$1,main!$A$3:$I$56,5,FALSE)-VLOOKUP($A133,main!$A$3:$I$56,6,FALSE)+main!$D$58,0)</f>
        <v>410</v>
      </c>
      <c r="P133">
        <f>IF((phi!P78),VLOOKUP(P$1,main!$A$3:$I$56,5,FALSE)-VLOOKUP($A133,main!$A$3:$I$56,6,FALSE)+main!$D$58,0)</f>
        <v>0</v>
      </c>
      <c r="Q133">
        <f>IF((phi!Q78),VLOOKUP(Q$1,main!$A$3:$I$56,5,FALSE)-VLOOKUP($A133,main!$A$3:$I$56,6,FALSE)+main!$D$58,0)</f>
        <v>0</v>
      </c>
      <c r="R133">
        <f>IF((phi!R78),VLOOKUP(R$1,main!$A$3:$I$56,5,FALSE)-VLOOKUP($A133,main!$A$3:$I$56,6,FALSE)+main!$D$58,0)</f>
        <v>0</v>
      </c>
      <c r="S133">
        <f>IF((phi!S78),VLOOKUP(S$1,main!$A$3:$I$56,5,FALSE)-VLOOKUP($A133,main!$A$3:$I$56,6,FALSE)+main!$D$58,0)</f>
        <v>165</v>
      </c>
      <c r="T133">
        <f>IF((phi!T78),VLOOKUP(T$1,main!$A$3:$I$56,5,FALSE)-VLOOKUP($A133,main!$A$3:$I$56,6,FALSE)+main!$D$58,0)</f>
        <v>315</v>
      </c>
      <c r="U133">
        <f>IF((phi!U78),VLOOKUP(U$1,main!$A$3:$I$56,5,FALSE)-VLOOKUP($A133,main!$A$3:$I$56,6,FALSE)+main!$D$58,0)</f>
        <v>0</v>
      </c>
      <c r="V133">
        <f>IF((phi!V78),VLOOKUP(V$1,main!$A$3:$I$56,5,FALSE)-VLOOKUP($A133,main!$A$3:$I$56,6,FALSE)+main!$D$58,0)</f>
        <v>0</v>
      </c>
      <c r="W133">
        <f>IF((phi!W78),VLOOKUP(W$1,main!$A$3:$I$56,5,FALSE)-VLOOKUP($A133,main!$A$3:$I$56,6,FALSE)+main!$D$58,0)</f>
        <v>0</v>
      </c>
      <c r="X133">
        <f>IF((phi!X78),VLOOKUP(X$1,main!$A$3:$I$56,5,FALSE)-VLOOKUP($A133,main!$A$3:$I$56,6,FALSE)+main!$D$58,0)</f>
        <v>0</v>
      </c>
      <c r="Y133">
        <f>IF((phi!Y78),VLOOKUP(Y$1,main!$A$3:$I$56,5,FALSE)-VLOOKUP($A133,main!$A$3:$I$56,6,FALSE)+main!$D$58,0)</f>
        <v>0</v>
      </c>
      <c r="Z133">
        <f>IF((phi!Z78),VLOOKUP(Z$1,main!$A$3:$I$56,5,FALSE)-VLOOKUP($A133,main!$A$3:$I$56,6,FALSE)+main!$D$58,0)</f>
        <v>0</v>
      </c>
      <c r="AA133">
        <f>IF((phi!AA78),VLOOKUP(AA$1,main!$A$3:$I$56,5,FALSE)-VLOOKUP($A133,main!$A$3:$I$56,6,FALSE)+main!$D$58,0)</f>
        <v>275</v>
      </c>
      <c r="AB133">
        <f>IF((phi!AB78),VLOOKUP(AB$1,main!$A$3:$I$56,5,FALSE)-VLOOKUP($A133,main!$A$3:$I$56,6,FALSE)+main!$D$58,0)</f>
        <v>335</v>
      </c>
      <c r="AC133">
        <f>IF((phi!AC78),VLOOKUP(AC$1,main!$A$3:$I$56,5,FALSE)-VLOOKUP($A133,main!$A$3:$I$56,6,FALSE)+main!$D$58,0)</f>
        <v>0</v>
      </c>
      <c r="AD133">
        <f>IF((phi!AD78),VLOOKUP(AD$1,main!$A$3:$I$56,5,FALSE)-VLOOKUP($A133,main!$A$3:$I$56,6,FALSE)+main!$D$58,0)</f>
        <v>0</v>
      </c>
      <c r="AE133">
        <f>IF((phi!AE78),VLOOKUP(AE$1,main!$A$3:$I$56,5,FALSE)-VLOOKUP($A133,main!$A$3:$I$56,6,FALSE)+main!$D$58,0)</f>
        <v>0</v>
      </c>
      <c r="AF133">
        <f>IF((phi!AF78),VLOOKUP(AF$1,main!$A$3:$I$56,5,FALSE)-VLOOKUP($A133,main!$A$3:$I$56,6,FALSE)+main!$D$58,0)</f>
        <v>0</v>
      </c>
      <c r="AG133">
        <f>IF((phi!AG78),VLOOKUP(AG$1,main!$A$3:$I$56,5,FALSE)-VLOOKUP($A133,main!$A$3:$I$56,6,FALSE)+main!$D$58,0)</f>
        <v>0</v>
      </c>
      <c r="AH133">
        <f>IF((phi!AH78),VLOOKUP(AH$1,main!$A$3:$I$56,5,FALSE)-VLOOKUP($A133,main!$A$3:$I$56,6,FALSE)+main!$D$58,0)</f>
        <v>0</v>
      </c>
      <c r="AI133">
        <f>IF((phi!AI78),VLOOKUP(AI$1,main!$A$3:$I$56,5,FALSE)-VLOOKUP($A133,main!$A$3:$I$56,6,FALSE)+main!$D$58,0)</f>
        <v>0</v>
      </c>
      <c r="AJ133">
        <f>IF((phi!AJ78),VLOOKUP(AJ$1,main!$A$3:$I$56,5,FALSE)-VLOOKUP($A133,main!$A$3:$I$56,6,FALSE)+main!$D$58,0)</f>
        <v>0</v>
      </c>
      <c r="AK133">
        <f>IF((phi!AK78),VLOOKUP(AK$1,main!$A$3:$I$56,5,FALSE)-VLOOKUP($A133,main!$A$3:$I$56,6,FALSE)+main!$D$58,0)</f>
        <v>0</v>
      </c>
      <c r="AL133">
        <f>IF((phi!AL78),VLOOKUP(AL$1,main!$A$3:$I$56,5,FALSE)-VLOOKUP($A133,main!$A$3:$I$56,6,FALSE)+main!$D$58,0)</f>
        <v>0</v>
      </c>
      <c r="AM133">
        <f>IF((phi!AM78),VLOOKUP(AM$1,main!$A$3:$I$56,5,FALSE)-VLOOKUP($A133,main!$A$3:$I$56,6,FALSE)+main!$D$58,0)</f>
        <v>0</v>
      </c>
      <c r="AN133">
        <f>IF((phi!AN78),VLOOKUP(AN$1,main!$A$3:$I$56,5,FALSE)-VLOOKUP($A133,main!$A$3:$I$56,6,FALSE)+main!$D$58,0)</f>
        <v>0</v>
      </c>
      <c r="AO133">
        <f>IF((phi!AO78),VLOOKUP(AO$1,main!$A$3:$I$56,5,FALSE)-VLOOKUP($A133,main!$A$3:$I$56,6,FALSE)+main!$D$58,0)</f>
        <v>0</v>
      </c>
      <c r="AP133">
        <f>IF((phi!AP78),VLOOKUP(AP$1,main!$A$3:$I$56,5,FALSE)-VLOOKUP($A133,main!$A$3:$I$56,6,FALSE)+main!$D$58,0)</f>
        <v>0</v>
      </c>
      <c r="AQ133">
        <f>IF((phi!AQ78),VLOOKUP(AQ$1,main!$A$3:$I$56,5,FALSE)-VLOOKUP($A133,main!$A$3:$I$56,6,FALSE)+main!$D$58,0)</f>
        <v>0</v>
      </c>
      <c r="AR133">
        <f>IF((phi!AR78),VLOOKUP(AR$1,main!$A$3:$I$56,5,FALSE)-VLOOKUP($A133,main!$A$3:$I$56,6,FALSE)+main!$D$58,0)</f>
        <v>0</v>
      </c>
      <c r="AS133">
        <f>IF((phi!AS78),VLOOKUP(AS$1,main!$A$3:$I$56,5,FALSE)-VLOOKUP($A133,main!$A$3:$I$56,6,FALSE)+main!$D$58,0)</f>
        <v>0</v>
      </c>
      <c r="AT133">
        <f>IF((phi!AT78),VLOOKUP(AT$1,main!$A$3:$I$56,5,FALSE)-VLOOKUP($A133,main!$A$3:$I$56,6,FALSE)+main!$D$58,0)</f>
        <v>0</v>
      </c>
      <c r="AU133">
        <f>IF((phi!AU78),VLOOKUP(AU$1,main!$A$3:$I$56,5,FALSE)-VLOOKUP($A133,main!$A$3:$I$56,6,FALSE)+main!$D$58,0)</f>
        <v>0</v>
      </c>
      <c r="AV133">
        <f>IF((phi!AV78),VLOOKUP(AV$1,main!$A$3:$I$56,5,FALSE)-VLOOKUP($A133,main!$A$3:$I$56,6,FALSE)+main!$D$58,0)</f>
        <v>0</v>
      </c>
      <c r="AW133">
        <f>IF((phi!AW78),VLOOKUP(AW$1,main!$A$3:$I$56,5,FALSE)-VLOOKUP($A133,main!$A$3:$I$56,6,FALSE)+main!$D$58,0)</f>
        <v>0</v>
      </c>
      <c r="AX133">
        <f>IF((phi!AX78),VLOOKUP(AX$1,main!$A$3:$I$56,5,FALSE)-VLOOKUP($A133,main!$A$3:$I$56,6,FALSE)+main!$D$58,0)</f>
        <v>0</v>
      </c>
      <c r="AY133">
        <f>IF((phi!AY78),VLOOKUP(AY$1,main!$A$3:$I$56,5,FALSE)-VLOOKUP($A133,main!$A$3:$I$56,6,FALSE)+main!$D$58,0)</f>
        <v>395</v>
      </c>
      <c r="AZ133">
        <f>IF((phi!AZ78),VLOOKUP(AZ$1,main!$A$3:$I$56,5,FALSE)-VLOOKUP($A133,main!$A$3:$I$56,6,FALSE)+main!$D$58,0)</f>
        <v>0</v>
      </c>
      <c r="BA133">
        <f>IF((phi!BA78),VLOOKUP(BA$1,main!$A$3:$I$56,5,FALSE)-VLOOKUP($A133,main!$A$3:$I$56,6,FALSE)+main!$D$58,0)</f>
        <v>0</v>
      </c>
      <c r="BB133">
        <f>IF((phi!BB78),VLOOKUP(BB$1,main!$A$3:$I$56,5,FALSE)-VLOOKUP($A133,main!$A$3:$I$56,6,FALSE)+main!$D$58,0)</f>
        <v>0</v>
      </c>
      <c r="BC133">
        <f>IF((phi!BC78),VLOOKUP(BC$1,main!$A$3:$I$56,5,FALSE)-VLOOKUP($A133,main!$A$3:$I$56,6,FALSE)+main!$D$58,0)</f>
        <v>0</v>
      </c>
      <c r="BD133">
        <f>IF((phi!BD78),VLOOKUP(BD$1,main!$A$3:$I$56,5,FALSE)-VLOOKUP($A133,main!$A$3:$I$56,6,FALSE)+main!$D$58,0)</f>
        <v>0</v>
      </c>
    </row>
    <row r="134" spans="1:56" x14ac:dyDescent="0.25">
      <c r="A134">
        <f t="shared" si="4"/>
        <v>22</v>
      </c>
      <c r="B134">
        <v>0</v>
      </c>
      <c r="C134">
        <f>IF((phi!C79),VLOOKUP(C$1,main!$A$3:$I$56,5,FALSE)-VLOOKUP($A134,main!$A$3:$I$56,6,FALSE)+main!$D$58,0)</f>
        <v>0</v>
      </c>
      <c r="D134">
        <f>IF((phi!D79),VLOOKUP(D$1,main!$A$3:$I$56,5,FALSE)-VLOOKUP($A134,main!$A$3:$I$56,6,FALSE)+main!$D$58,0)</f>
        <v>0</v>
      </c>
      <c r="E134">
        <f>IF((phi!E79),VLOOKUP(E$1,main!$A$3:$I$56,5,FALSE)-VLOOKUP($A134,main!$A$3:$I$56,6,FALSE)+main!$D$58,0)</f>
        <v>0</v>
      </c>
      <c r="F134">
        <f>IF((phi!F79),VLOOKUP(F$1,main!$A$3:$I$56,5,FALSE)-VLOOKUP($A134,main!$A$3:$I$56,6,FALSE)+main!$D$58,0)</f>
        <v>0</v>
      </c>
      <c r="G134">
        <f>IF((phi!G79),VLOOKUP(G$1,main!$A$3:$I$56,5,FALSE)-VLOOKUP($A134,main!$A$3:$I$56,6,FALSE)+main!$D$58,0)</f>
        <v>0</v>
      </c>
      <c r="H134">
        <f>IF((phi!H79),VLOOKUP(H$1,main!$A$3:$I$56,5,FALSE)-VLOOKUP($A134,main!$A$3:$I$56,6,FALSE)+main!$D$58,0)</f>
        <v>145</v>
      </c>
      <c r="I134">
        <f>IF((phi!I79),VLOOKUP(I$1,main!$A$3:$I$56,5,FALSE)-VLOOKUP($A134,main!$A$3:$I$56,6,FALSE)+main!$D$58,0)</f>
        <v>205</v>
      </c>
      <c r="J134">
        <f>IF((phi!J79),VLOOKUP(J$1,main!$A$3:$I$56,5,FALSE)-VLOOKUP($A134,main!$A$3:$I$56,6,FALSE)+main!$D$58,0)</f>
        <v>295</v>
      </c>
      <c r="K134">
        <f>IF((phi!K79),VLOOKUP(K$1,main!$A$3:$I$56,5,FALSE)-VLOOKUP($A134,main!$A$3:$I$56,6,FALSE)+main!$D$58,0)</f>
        <v>0</v>
      </c>
      <c r="L134">
        <f>IF((phi!L79),VLOOKUP(L$1,main!$A$3:$I$56,5,FALSE)-VLOOKUP($A134,main!$A$3:$I$56,6,FALSE)+main!$D$58,0)</f>
        <v>0</v>
      </c>
      <c r="M134">
        <f>IF((phi!M79),VLOOKUP(M$1,main!$A$3:$I$56,5,FALSE)-VLOOKUP($A134,main!$A$3:$I$56,6,FALSE)+main!$D$58,0)</f>
        <v>0</v>
      </c>
      <c r="N134">
        <f>IF((phi!N79),VLOOKUP(N$1,main!$A$3:$I$56,5,FALSE)-VLOOKUP($A134,main!$A$3:$I$56,6,FALSE)+main!$D$58,0)</f>
        <v>260</v>
      </c>
      <c r="O134">
        <f>IF((phi!O79),VLOOKUP(O$1,main!$A$3:$I$56,5,FALSE)-VLOOKUP($A134,main!$A$3:$I$56,6,FALSE)+main!$D$58,0)</f>
        <v>320</v>
      </c>
      <c r="P134">
        <f>IF((phi!P79),VLOOKUP(P$1,main!$A$3:$I$56,5,FALSE)-VLOOKUP($A134,main!$A$3:$I$56,6,FALSE)+main!$D$58,0)</f>
        <v>0</v>
      </c>
      <c r="Q134">
        <f>IF((phi!Q79),VLOOKUP(Q$1,main!$A$3:$I$56,5,FALSE)-VLOOKUP($A134,main!$A$3:$I$56,6,FALSE)+main!$D$58,0)</f>
        <v>0</v>
      </c>
      <c r="R134">
        <f>IF((phi!R79),VLOOKUP(R$1,main!$A$3:$I$56,5,FALSE)-VLOOKUP($A134,main!$A$3:$I$56,6,FALSE)+main!$D$58,0)</f>
        <v>0</v>
      </c>
      <c r="S134">
        <f>IF((phi!S79),VLOOKUP(S$1,main!$A$3:$I$56,5,FALSE)-VLOOKUP($A134,main!$A$3:$I$56,6,FALSE)+main!$D$58,0)</f>
        <v>0</v>
      </c>
      <c r="T134">
        <f>IF((phi!T79),VLOOKUP(T$1,main!$A$3:$I$56,5,FALSE)-VLOOKUP($A134,main!$A$3:$I$56,6,FALSE)+main!$D$58,0)</f>
        <v>225</v>
      </c>
      <c r="U134">
        <f>IF((phi!U79),VLOOKUP(U$1,main!$A$3:$I$56,5,FALSE)-VLOOKUP($A134,main!$A$3:$I$56,6,FALSE)+main!$D$58,0)</f>
        <v>0</v>
      </c>
      <c r="V134">
        <f>IF((phi!V79),VLOOKUP(V$1,main!$A$3:$I$56,5,FALSE)-VLOOKUP($A134,main!$A$3:$I$56,6,FALSE)+main!$D$58,0)</f>
        <v>0</v>
      </c>
      <c r="W134">
        <f>IF((phi!W79),VLOOKUP(W$1,main!$A$3:$I$56,5,FALSE)-VLOOKUP($A134,main!$A$3:$I$56,6,FALSE)+main!$D$58,0)</f>
        <v>0</v>
      </c>
      <c r="X134">
        <f>IF((phi!X79),VLOOKUP(X$1,main!$A$3:$I$56,5,FALSE)-VLOOKUP($A134,main!$A$3:$I$56,6,FALSE)+main!$D$58,0)</f>
        <v>0</v>
      </c>
      <c r="Y134">
        <f>IF((phi!Y79),VLOOKUP(Y$1,main!$A$3:$I$56,5,FALSE)-VLOOKUP($A134,main!$A$3:$I$56,6,FALSE)+main!$D$58,0)</f>
        <v>0</v>
      </c>
      <c r="Z134">
        <f>IF((phi!Z79),VLOOKUP(Z$1,main!$A$3:$I$56,5,FALSE)-VLOOKUP($A134,main!$A$3:$I$56,6,FALSE)+main!$D$58,0)</f>
        <v>0</v>
      </c>
      <c r="AA134">
        <f>IF((phi!AA79),VLOOKUP(AA$1,main!$A$3:$I$56,5,FALSE)-VLOOKUP($A134,main!$A$3:$I$56,6,FALSE)+main!$D$58,0)</f>
        <v>0</v>
      </c>
      <c r="AB134">
        <f>IF((phi!AB79),VLOOKUP(AB$1,main!$A$3:$I$56,5,FALSE)-VLOOKUP($A134,main!$A$3:$I$56,6,FALSE)+main!$D$58,0)</f>
        <v>245</v>
      </c>
      <c r="AC134">
        <f>IF((phi!AC79),VLOOKUP(AC$1,main!$A$3:$I$56,5,FALSE)-VLOOKUP($A134,main!$A$3:$I$56,6,FALSE)+main!$D$58,0)</f>
        <v>0</v>
      </c>
      <c r="AD134">
        <f>IF((phi!AD79),VLOOKUP(AD$1,main!$A$3:$I$56,5,FALSE)-VLOOKUP($A134,main!$A$3:$I$56,6,FALSE)+main!$D$58,0)</f>
        <v>0</v>
      </c>
      <c r="AE134">
        <f>IF((phi!AE79),VLOOKUP(AE$1,main!$A$3:$I$56,5,FALSE)-VLOOKUP($A134,main!$A$3:$I$56,6,FALSE)+main!$D$58,0)</f>
        <v>0</v>
      </c>
      <c r="AF134">
        <f>IF((phi!AF79),VLOOKUP(AF$1,main!$A$3:$I$56,5,FALSE)-VLOOKUP($A134,main!$A$3:$I$56,6,FALSE)+main!$D$58,0)</f>
        <v>0</v>
      </c>
      <c r="AG134">
        <f>IF((phi!AG79),VLOOKUP(AG$1,main!$A$3:$I$56,5,FALSE)-VLOOKUP($A134,main!$A$3:$I$56,6,FALSE)+main!$D$58,0)</f>
        <v>0</v>
      </c>
      <c r="AH134">
        <f>IF((phi!AH79),VLOOKUP(AH$1,main!$A$3:$I$56,5,FALSE)-VLOOKUP($A134,main!$A$3:$I$56,6,FALSE)+main!$D$58,0)</f>
        <v>0</v>
      </c>
      <c r="AI134">
        <f>IF((phi!AI79),VLOOKUP(AI$1,main!$A$3:$I$56,5,FALSE)-VLOOKUP($A134,main!$A$3:$I$56,6,FALSE)+main!$D$58,0)</f>
        <v>0</v>
      </c>
      <c r="AJ134">
        <f>IF((phi!AJ79),VLOOKUP(AJ$1,main!$A$3:$I$56,5,FALSE)-VLOOKUP($A134,main!$A$3:$I$56,6,FALSE)+main!$D$58,0)</f>
        <v>0</v>
      </c>
      <c r="AK134">
        <f>IF((phi!AK79),VLOOKUP(AK$1,main!$A$3:$I$56,5,FALSE)-VLOOKUP($A134,main!$A$3:$I$56,6,FALSE)+main!$D$58,0)</f>
        <v>0</v>
      </c>
      <c r="AL134">
        <f>IF((phi!AL79),VLOOKUP(AL$1,main!$A$3:$I$56,5,FALSE)-VLOOKUP($A134,main!$A$3:$I$56,6,FALSE)+main!$D$58,0)</f>
        <v>0</v>
      </c>
      <c r="AM134">
        <f>IF((phi!AM79),VLOOKUP(AM$1,main!$A$3:$I$56,5,FALSE)-VLOOKUP($A134,main!$A$3:$I$56,6,FALSE)+main!$D$58,0)</f>
        <v>0</v>
      </c>
      <c r="AN134">
        <f>IF((phi!AN79),VLOOKUP(AN$1,main!$A$3:$I$56,5,FALSE)-VLOOKUP($A134,main!$A$3:$I$56,6,FALSE)+main!$D$58,0)</f>
        <v>0</v>
      </c>
      <c r="AO134">
        <f>IF((phi!AO79),VLOOKUP(AO$1,main!$A$3:$I$56,5,FALSE)-VLOOKUP($A134,main!$A$3:$I$56,6,FALSE)+main!$D$58,0)</f>
        <v>0</v>
      </c>
      <c r="AP134">
        <f>IF((phi!AP79),VLOOKUP(AP$1,main!$A$3:$I$56,5,FALSE)-VLOOKUP($A134,main!$A$3:$I$56,6,FALSE)+main!$D$58,0)</f>
        <v>0</v>
      </c>
      <c r="AQ134">
        <f>IF((phi!AQ79),VLOOKUP(AQ$1,main!$A$3:$I$56,5,FALSE)-VLOOKUP($A134,main!$A$3:$I$56,6,FALSE)+main!$D$58,0)</f>
        <v>0</v>
      </c>
      <c r="AR134">
        <f>IF((phi!AR79),VLOOKUP(AR$1,main!$A$3:$I$56,5,FALSE)-VLOOKUP($A134,main!$A$3:$I$56,6,FALSE)+main!$D$58,0)</f>
        <v>0</v>
      </c>
      <c r="AS134">
        <f>IF((phi!AS79),VLOOKUP(AS$1,main!$A$3:$I$56,5,FALSE)-VLOOKUP($A134,main!$A$3:$I$56,6,FALSE)+main!$D$58,0)</f>
        <v>0</v>
      </c>
      <c r="AT134">
        <f>IF((phi!AT79),VLOOKUP(AT$1,main!$A$3:$I$56,5,FALSE)-VLOOKUP($A134,main!$A$3:$I$56,6,FALSE)+main!$D$58,0)</f>
        <v>0</v>
      </c>
      <c r="AU134">
        <f>IF((phi!AU79),VLOOKUP(AU$1,main!$A$3:$I$56,5,FALSE)-VLOOKUP($A134,main!$A$3:$I$56,6,FALSE)+main!$D$58,0)</f>
        <v>0</v>
      </c>
      <c r="AV134">
        <f>IF((phi!AV79),VLOOKUP(AV$1,main!$A$3:$I$56,5,FALSE)-VLOOKUP($A134,main!$A$3:$I$56,6,FALSE)+main!$D$58,0)</f>
        <v>0</v>
      </c>
      <c r="AW134">
        <f>IF((phi!AW79),VLOOKUP(AW$1,main!$A$3:$I$56,5,FALSE)-VLOOKUP($A134,main!$A$3:$I$56,6,FALSE)+main!$D$58,0)</f>
        <v>0</v>
      </c>
      <c r="AX134">
        <f>IF((phi!AX79),VLOOKUP(AX$1,main!$A$3:$I$56,5,FALSE)-VLOOKUP($A134,main!$A$3:$I$56,6,FALSE)+main!$D$58,0)</f>
        <v>0</v>
      </c>
      <c r="AY134">
        <f>IF((phi!AY79),VLOOKUP(AY$1,main!$A$3:$I$56,5,FALSE)-VLOOKUP($A134,main!$A$3:$I$56,6,FALSE)+main!$D$58,0)</f>
        <v>0</v>
      </c>
      <c r="AZ134">
        <f>IF((phi!AZ79),VLOOKUP(AZ$1,main!$A$3:$I$56,5,FALSE)-VLOOKUP($A134,main!$A$3:$I$56,6,FALSE)+main!$D$58,0)</f>
        <v>0</v>
      </c>
      <c r="BA134">
        <f>IF((phi!BA79),VLOOKUP(BA$1,main!$A$3:$I$56,5,FALSE)-VLOOKUP($A134,main!$A$3:$I$56,6,FALSE)+main!$D$58,0)</f>
        <v>0</v>
      </c>
      <c r="BB134">
        <f>IF((phi!BB79),VLOOKUP(BB$1,main!$A$3:$I$56,5,FALSE)-VLOOKUP($A134,main!$A$3:$I$56,6,FALSE)+main!$D$58,0)</f>
        <v>0</v>
      </c>
      <c r="BC134">
        <f>IF((phi!BC79),VLOOKUP(BC$1,main!$A$3:$I$56,5,FALSE)-VLOOKUP($A134,main!$A$3:$I$56,6,FALSE)+main!$D$58,0)</f>
        <v>0</v>
      </c>
      <c r="BD134">
        <f>IF((phi!BD79),VLOOKUP(BD$1,main!$A$3:$I$56,5,FALSE)-VLOOKUP($A134,main!$A$3:$I$56,6,FALSE)+main!$D$58,0)</f>
        <v>0</v>
      </c>
    </row>
    <row r="135" spans="1:56" x14ac:dyDescent="0.25">
      <c r="A135">
        <f t="shared" si="4"/>
        <v>23</v>
      </c>
      <c r="B135">
        <v>0</v>
      </c>
      <c r="C135">
        <f>IF((phi!C80),VLOOKUP(C$1,main!$A$3:$I$56,5,FALSE)-VLOOKUP($A135,main!$A$3:$I$56,6,FALSE)+main!$D$58,0)</f>
        <v>0</v>
      </c>
      <c r="D135">
        <f>IF((phi!D80),VLOOKUP(D$1,main!$A$3:$I$56,5,FALSE)-VLOOKUP($A135,main!$A$3:$I$56,6,FALSE)+main!$D$58,0)</f>
        <v>0</v>
      </c>
      <c r="E135">
        <f>IF((phi!E80),VLOOKUP(E$1,main!$A$3:$I$56,5,FALSE)-VLOOKUP($A135,main!$A$3:$I$56,6,FALSE)+main!$D$58,0)</f>
        <v>0</v>
      </c>
      <c r="F135">
        <f>IF((phi!F80),VLOOKUP(F$1,main!$A$3:$I$56,5,FALSE)-VLOOKUP($A135,main!$A$3:$I$56,6,FALSE)+main!$D$58,0)</f>
        <v>0</v>
      </c>
      <c r="G135">
        <f>IF((phi!G80),VLOOKUP(G$1,main!$A$3:$I$56,5,FALSE)-VLOOKUP($A135,main!$A$3:$I$56,6,FALSE)+main!$D$58,0)</f>
        <v>0</v>
      </c>
      <c r="H135">
        <f>IF((phi!H80),VLOOKUP(H$1,main!$A$3:$I$56,5,FALSE)-VLOOKUP($A135,main!$A$3:$I$56,6,FALSE)+main!$D$58,0)</f>
        <v>0</v>
      </c>
      <c r="I135">
        <f>IF((phi!I80),VLOOKUP(I$1,main!$A$3:$I$56,5,FALSE)-VLOOKUP($A135,main!$A$3:$I$56,6,FALSE)+main!$D$58,0)</f>
        <v>115</v>
      </c>
      <c r="J135">
        <f>IF((phi!J80),VLOOKUP(J$1,main!$A$3:$I$56,5,FALSE)-VLOOKUP($A135,main!$A$3:$I$56,6,FALSE)+main!$D$58,0)</f>
        <v>205</v>
      </c>
      <c r="K135">
        <f>IF((phi!K80),VLOOKUP(K$1,main!$A$3:$I$56,5,FALSE)-VLOOKUP($A135,main!$A$3:$I$56,6,FALSE)+main!$D$58,0)</f>
        <v>0</v>
      </c>
      <c r="L135">
        <f>IF((phi!L80),VLOOKUP(L$1,main!$A$3:$I$56,5,FALSE)-VLOOKUP($A135,main!$A$3:$I$56,6,FALSE)+main!$D$58,0)</f>
        <v>0</v>
      </c>
      <c r="M135">
        <f>IF((phi!M80),VLOOKUP(M$1,main!$A$3:$I$56,5,FALSE)-VLOOKUP($A135,main!$A$3:$I$56,6,FALSE)+main!$D$58,0)</f>
        <v>0</v>
      </c>
      <c r="N135">
        <f>IF((phi!N80),VLOOKUP(N$1,main!$A$3:$I$56,5,FALSE)-VLOOKUP($A135,main!$A$3:$I$56,6,FALSE)+main!$D$58,0)</f>
        <v>170</v>
      </c>
      <c r="O135">
        <f>IF((phi!O80),VLOOKUP(O$1,main!$A$3:$I$56,5,FALSE)-VLOOKUP($A135,main!$A$3:$I$56,6,FALSE)+main!$D$58,0)</f>
        <v>230</v>
      </c>
      <c r="P135">
        <f>IF((phi!P80),VLOOKUP(P$1,main!$A$3:$I$56,5,FALSE)-VLOOKUP($A135,main!$A$3:$I$56,6,FALSE)+main!$D$58,0)</f>
        <v>0</v>
      </c>
      <c r="Q135">
        <f>IF((phi!Q80),VLOOKUP(Q$1,main!$A$3:$I$56,5,FALSE)-VLOOKUP($A135,main!$A$3:$I$56,6,FALSE)+main!$D$58,0)</f>
        <v>0</v>
      </c>
      <c r="R135">
        <f>IF((phi!R80),VLOOKUP(R$1,main!$A$3:$I$56,5,FALSE)-VLOOKUP($A135,main!$A$3:$I$56,6,FALSE)+main!$D$58,0)</f>
        <v>0</v>
      </c>
      <c r="S135">
        <f>IF((phi!S80),VLOOKUP(S$1,main!$A$3:$I$56,5,FALSE)-VLOOKUP($A135,main!$A$3:$I$56,6,FALSE)+main!$D$58,0)</f>
        <v>0</v>
      </c>
      <c r="T135">
        <f>IF((phi!T80),VLOOKUP(T$1,main!$A$3:$I$56,5,FALSE)-VLOOKUP($A135,main!$A$3:$I$56,6,FALSE)+main!$D$58,0)</f>
        <v>135</v>
      </c>
      <c r="U135">
        <f>IF((phi!U80),VLOOKUP(U$1,main!$A$3:$I$56,5,FALSE)-VLOOKUP($A135,main!$A$3:$I$56,6,FALSE)+main!$D$58,0)</f>
        <v>0</v>
      </c>
      <c r="V135">
        <f>IF((phi!V80),VLOOKUP(V$1,main!$A$3:$I$56,5,FALSE)-VLOOKUP($A135,main!$A$3:$I$56,6,FALSE)+main!$D$58,0)</f>
        <v>0</v>
      </c>
      <c r="W135">
        <f>IF((phi!W80),VLOOKUP(W$1,main!$A$3:$I$56,5,FALSE)-VLOOKUP($A135,main!$A$3:$I$56,6,FALSE)+main!$D$58,0)</f>
        <v>0</v>
      </c>
      <c r="X135">
        <f>IF((phi!X80),VLOOKUP(X$1,main!$A$3:$I$56,5,FALSE)-VLOOKUP($A135,main!$A$3:$I$56,6,FALSE)+main!$D$58,0)</f>
        <v>0</v>
      </c>
      <c r="Y135">
        <f>IF((phi!Y80),VLOOKUP(Y$1,main!$A$3:$I$56,5,FALSE)-VLOOKUP($A135,main!$A$3:$I$56,6,FALSE)+main!$D$58,0)</f>
        <v>0</v>
      </c>
      <c r="Z135">
        <f>IF((phi!Z80),VLOOKUP(Z$1,main!$A$3:$I$56,5,FALSE)-VLOOKUP($A135,main!$A$3:$I$56,6,FALSE)+main!$D$58,0)</f>
        <v>0</v>
      </c>
      <c r="AA135">
        <f>IF((phi!AA80),VLOOKUP(AA$1,main!$A$3:$I$56,5,FALSE)-VLOOKUP($A135,main!$A$3:$I$56,6,FALSE)+main!$D$58,0)</f>
        <v>0</v>
      </c>
      <c r="AB135">
        <f>IF((phi!AB80),VLOOKUP(AB$1,main!$A$3:$I$56,5,FALSE)-VLOOKUP($A135,main!$A$3:$I$56,6,FALSE)+main!$D$58,0)</f>
        <v>0</v>
      </c>
      <c r="AC135">
        <f>IF((phi!AC80),VLOOKUP(AC$1,main!$A$3:$I$56,5,FALSE)-VLOOKUP($A135,main!$A$3:$I$56,6,FALSE)+main!$D$58,0)</f>
        <v>0</v>
      </c>
      <c r="AD135">
        <f>IF((phi!AD80),VLOOKUP(AD$1,main!$A$3:$I$56,5,FALSE)-VLOOKUP($A135,main!$A$3:$I$56,6,FALSE)+main!$D$58,0)</f>
        <v>0</v>
      </c>
      <c r="AE135">
        <f>IF((phi!AE80),VLOOKUP(AE$1,main!$A$3:$I$56,5,FALSE)-VLOOKUP($A135,main!$A$3:$I$56,6,FALSE)+main!$D$58,0)</f>
        <v>0</v>
      </c>
      <c r="AF135">
        <f>IF((phi!AF80),VLOOKUP(AF$1,main!$A$3:$I$56,5,FALSE)-VLOOKUP($A135,main!$A$3:$I$56,6,FALSE)+main!$D$58,0)</f>
        <v>0</v>
      </c>
      <c r="AG135">
        <f>IF((phi!AG80),VLOOKUP(AG$1,main!$A$3:$I$56,5,FALSE)-VLOOKUP($A135,main!$A$3:$I$56,6,FALSE)+main!$D$58,0)</f>
        <v>0</v>
      </c>
      <c r="AH135">
        <f>IF((phi!AH80),VLOOKUP(AH$1,main!$A$3:$I$56,5,FALSE)-VLOOKUP($A135,main!$A$3:$I$56,6,FALSE)+main!$D$58,0)</f>
        <v>0</v>
      </c>
      <c r="AI135">
        <f>IF((phi!AI80),VLOOKUP(AI$1,main!$A$3:$I$56,5,FALSE)-VLOOKUP($A135,main!$A$3:$I$56,6,FALSE)+main!$D$58,0)</f>
        <v>0</v>
      </c>
      <c r="AJ135">
        <f>IF((phi!AJ80),VLOOKUP(AJ$1,main!$A$3:$I$56,5,FALSE)-VLOOKUP($A135,main!$A$3:$I$56,6,FALSE)+main!$D$58,0)</f>
        <v>0</v>
      </c>
      <c r="AK135">
        <f>IF((phi!AK80),VLOOKUP(AK$1,main!$A$3:$I$56,5,FALSE)-VLOOKUP($A135,main!$A$3:$I$56,6,FALSE)+main!$D$58,0)</f>
        <v>0</v>
      </c>
      <c r="AL135">
        <f>IF((phi!AL80),VLOOKUP(AL$1,main!$A$3:$I$56,5,FALSE)-VLOOKUP($A135,main!$A$3:$I$56,6,FALSE)+main!$D$58,0)</f>
        <v>0</v>
      </c>
      <c r="AM135">
        <f>IF((phi!AM80),VLOOKUP(AM$1,main!$A$3:$I$56,5,FALSE)-VLOOKUP($A135,main!$A$3:$I$56,6,FALSE)+main!$D$58,0)</f>
        <v>0</v>
      </c>
      <c r="AN135">
        <f>IF((phi!AN80),VLOOKUP(AN$1,main!$A$3:$I$56,5,FALSE)-VLOOKUP($A135,main!$A$3:$I$56,6,FALSE)+main!$D$58,0)</f>
        <v>0</v>
      </c>
      <c r="AO135">
        <f>IF((phi!AO80),VLOOKUP(AO$1,main!$A$3:$I$56,5,FALSE)-VLOOKUP($A135,main!$A$3:$I$56,6,FALSE)+main!$D$58,0)</f>
        <v>0</v>
      </c>
      <c r="AP135">
        <f>IF((phi!AP80),VLOOKUP(AP$1,main!$A$3:$I$56,5,FALSE)-VLOOKUP($A135,main!$A$3:$I$56,6,FALSE)+main!$D$58,0)</f>
        <v>0</v>
      </c>
      <c r="AQ135">
        <f>IF((phi!AQ80),VLOOKUP(AQ$1,main!$A$3:$I$56,5,FALSE)-VLOOKUP($A135,main!$A$3:$I$56,6,FALSE)+main!$D$58,0)</f>
        <v>0</v>
      </c>
      <c r="AR135">
        <f>IF((phi!AR80),VLOOKUP(AR$1,main!$A$3:$I$56,5,FALSE)-VLOOKUP($A135,main!$A$3:$I$56,6,FALSE)+main!$D$58,0)</f>
        <v>0</v>
      </c>
      <c r="AS135">
        <f>IF((phi!AS80),VLOOKUP(AS$1,main!$A$3:$I$56,5,FALSE)-VLOOKUP($A135,main!$A$3:$I$56,6,FALSE)+main!$D$58,0)</f>
        <v>0</v>
      </c>
      <c r="AT135">
        <f>IF((phi!AT80),VLOOKUP(AT$1,main!$A$3:$I$56,5,FALSE)-VLOOKUP($A135,main!$A$3:$I$56,6,FALSE)+main!$D$58,0)</f>
        <v>0</v>
      </c>
      <c r="AU135">
        <f>IF((phi!AU80),VLOOKUP(AU$1,main!$A$3:$I$56,5,FALSE)-VLOOKUP($A135,main!$A$3:$I$56,6,FALSE)+main!$D$58,0)</f>
        <v>0</v>
      </c>
      <c r="AV135">
        <f>IF((phi!AV80),VLOOKUP(AV$1,main!$A$3:$I$56,5,FALSE)-VLOOKUP($A135,main!$A$3:$I$56,6,FALSE)+main!$D$58,0)</f>
        <v>0</v>
      </c>
      <c r="AW135">
        <f>IF((phi!AW80),VLOOKUP(AW$1,main!$A$3:$I$56,5,FALSE)-VLOOKUP($A135,main!$A$3:$I$56,6,FALSE)+main!$D$58,0)</f>
        <v>0</v>
      </c>
      <c r="AX135">
        <f>IF((phi!AX80),VLOOKUP(AX$1,main!$A$3:$I$56,5,FALSE)-VLOOKUP($A135,main!$A$3:$I$56,6,FALSE)+main!$D$58,0)</f>
        <v>0</v>
      </c>
      <c r="AY135">
        <f>IF((phi!AY80),VLOOKUP(AY$1,main!$A$3:$I$56,5,FALSE)-VLOOKUP($A135,main!$A$3:$I$56,6,FALSE)+main!$D$58,0)</f>
        <v>0</v>
      </c>
      <c r="AZ135">
        <f>IF((phi!AZ80),VLOOKUP(AZ$1,main!$A$3:$I$56,5,FALSE)-VLOOKUP($A135,main!$A$3:$I$56,6,FALSE)+main!$D$58,0)</f>
        <v>0</v>
      </c>
      <c r="BA135">
        <f>IF((phi!BA80),VLOOKUP(BA$1,main!$A$3:$I$56,5,FALSE)-VLOOKUP($A135,main!$A$3:$I$56,6,FALSE)+main!$D$58,0)</f>
        <v>0</v>
      </c>
      <c r="BB135">
        <f>IF((phi!BB80),VLOOKUP(BB$1,main!$A$3:$I$56,5,FALSE)-VLOOKUP($A135,main!$A$3:$I$56,6,FALSE)+main!$D$58,0)</f>
        <v>0</v>
      </c>
      <c r="BC135">
        <f>IF((phi!BC80),VLOOKUP(BC$1,main!$A$3:$I$56,5,FALSE)-VLOOKUP($A135,main!$A$3:$I$56,6,FALSE)+main!$D$58,0)</f>
        <v>0</v>
      </c>
      <c r="BD135">
        <f>IF((phi!BD80),VLOOKUP(BD$1,main!$A$3:$I$56,5,FALSE)-VLOOKUP($A135,main!$A$3:$I$56,6,FALSE)+main!$D$58,0)</f>
        <v>0</v>
      </c>
    </row>
    <row r="136" spans="1:56" x14ac:dyDescent="0.25">
      <c r="A136">
        <f t="shared" si="4"/>
        <v>24</v>
      </c>
      <c r="B136">
        <v>0</v>
      </c>
      <c r="C136">
        <f>IF((phi!C81),VLOOKUP(C$1,main!$A$3:$I$56,5,FALSE)-VLOOKUP($A136,main!$A$3:$I$56,6,FALSE)+main!$D$58,0)</f>
        <v>0</v>
      </c>
      <c r="D136">
        <f>IF((phi!D81),VLOOKUP(D$1,main!$A$3:$I$56,5,FALSE)-VLOOKUP($A136,main!$A$3:$I$56,6,FALSE)+main!$D$58,0)</f>
        <v>0</v>
      </c>
      <c r="E136">
        <f>IF((phi!E81),VLOOKUP(E$1,main!$A$3:$I$56,5,FALSE)-VLOOKUP($A136,main!$A$3:$I$56,6,FALSE)+main!$D$58,0)</f>
        <v>0</v>
      </c>
      <c r="F136">
        <f>IF((phi!F81),VLOOKUP(F$1,main!$A$3:$I$56,5,FALSE)-VLOOKUP($A136,main!$A$3:$I$56,6,FALSE)+main!$D$58,0)</f>
        <v>0</v>
      </c>
      <c r="G136">
        <f>IF((phi!G81),VLOOKUP(G$1,main!$A$3:$I$56,5,FALSE)-VLOOKUP($A136,main!$A$3:$I$56,6,FALSE)+main!$D$58,0)</f>
        <v>0</v>
      </c>
      <c r="H136">
        <f>IF((phi!H81),VLOOKUP(H$1,main!$A$3:$I$56,5,FALSE)-VLOOKUP($A136,main!$A$3:$I$56,6,FALSE)+main!$D$58,0)</f>
        <v>0</v>
      </c>
      <c r="I136">
        <f>IF((phi!I81),VLOOKUP(I$1,main!$A$3:$I$56,5,FALSE)-VLOOKUP($A136,main!$A$3:$I$56,6,FALSE)+main!$D$58,0)</f>
        <v>0</v>
      </c>
      <c r="J136">
        <f>IF((phi!J81),VLOOKUP(J$1,main!$A$3:$I$56,5,FALSE)-VLOOKUP($A136,main!$A$3:$I$56,6,FALSE)+main!$D$58,0)</f>
        <v>115</v>
      </c>
      <c r="K136">
        <f>IF((phi!K81),VLOOKUP(K$1,main!$A$3:$I$56,5,FALSE)-VLOOKUP($A136,main!$A$3:$I$56,6,FALSE)+main!$D$58,0)</f>
        <v>0</v>
      </c>
      <c r="L136">
        <f>IF((phi!L81),VLOOKUP(L$1,main!$A$3:$I$56,5,FALSE)-VLOOKUP($A136,main!$A$3:$I$56,6,FALSE)+main!$D$58,0)</f>
        <v>0</v>
      </c>
      <c r="M136">
        <f>IF((phi!M81),VLOOKUP(M$1,main!$A$3:$I$56,5,FALSE)-VLOOKUP($A136,main!$A$3:$I$56,6,FALSE)+main!$D$58,0)</f>
        <v>0</v>
      </c>
      <c r="N136">
        <f>IF((phi!N81),VLOOKUP(N$1,main!$A$3:$I$56,5,FALSE)-VLOOKUP($A136,main!$A$3:$I$56,6,FALSE)+main!$D$58,0)</f>
        <v>0</v>
      </c>
      <c r="O136">
        <f>IF((phi!O81),VLOOKUP(O$1,main!$A$3:$I$56,5,FALSE)-VLOOKUP($A136,main!$A$3:$I$56,6,FALSE)+main!$D$58,0)</f>
        <v>140</v>
      </c>
      <c r="P136">
        <f>IF((phi!P81),VLOOKUP(P$1,main!$A$3:$I$56,5,FALSE)-VLOOKUP($A136,main!$A$3:$I$56,6,FALSE)+main!$D$58,0)</f>
        <v>0</v>
      </c>
      <c r="Q136">
        <f>IF((phi!Q81),VLOOKUP(Q$1,main!$A$3:$I$56,5,FALSE)-VLOOKUP($A136,main!$A$3:$I$56,6,FALSE)+main!$D$58,0)</f>
        <v>0</v>
      </c>
      <c r="R136">
        <f>IF((phi!R81),VLOOKUP(R$1,main!$A$3:$I$56,5,FALSE)-VLOOKUP($A136,main!$A$3:$I$56,6,FALSE)+main!$D$58,0)</f>
        <v>0</v>
      </c>
      <c r="S136">
        <f>IF((phi!S81),VLOOKUP(S$1,main!$A$3:$I$56,5,FALSE)-VLOOKUP($A136,main!$A$3:$I$56,6,FALSE)+main!$D$58,0)</f>
        <v>0</v>
      </c>
      <c r="T136">
        <f>IF((phi!T81),VLOOKUP(T$1,main!$A$3:$I$56,5,FALSE)-VLOOKUP($A136,main!$A$3:$I$56,6,FALSE)+main!$D$58,0)</f>
        <v>0</v>
      </c>
      <c r="U136">
        <f>IF((phi!U81),VLOOKUP(U$1,main!$A$3:$I$56,5,FALSE)-VLOOKUP($A136,main!$A$3:$I$56,6,FALSE)+main!$D$58,0)</f>
        <v>0</v>
      </c>
      <c r="V136">
        <f>IF((phi!V81),VLOOKUP(V$1,main!$A$3:$I$56,5,FALSE)-VLOOKUP($A136,main!$A$3:$I$56,6,FALSE)+main!$D$58,0)</f>
        <v>0</v>
      </c>
      <c r="W136">
        <f>IF((phi!W81),VLOOKUP(W$1,main!$A$3:$I$56,5,FALSE)-VLOOKUP($A136,main!$A$3:$I$56,6,FALSE)+main!$D$58,0)</f>
        <v>0</v>
      </c>
      <c r="X136">
        <f>IF((phi!X81),VLOOKUP(X$1,main!$A$3:$I$56,5,FALSE)-VLOOKUP($A136,main!$A$3:$I$56,6,FALSE)+main!$D$58,0)</f>
        <v>0</v>
      </c>
      <c r="Y136">
        <f>IF((phi!Y81),VLOOKUP(Y$1,main!$A$3:$I$56,5,FALSE)-VLOOKUP($A136,main!$A$3:$I$56,6,FALSE)+main!$D$58,0)</f>
        <v>0</v>
      </c>
      <c r="Z136">
        <f>IF((phi!Z81),VLOOKUP(Z$1,main!$A$3:$I$56,5,FALSE)-VLOOKUP($A136,main!$A$3:$I$56,6,FALSE)+main!$D$58,0)</f>
        <v>0</v>
      </c>
      <c r="AA136">
        <f>IF((phi!AA81),VLOOKUP(AA$1,main!$A$3:$I$56,5,FALSE)-VLOOKUP($A136,main!$A$3:$I$56,6,FALSE)+main!$D$58,0)</f>
        <v>0</v>
      </c>
      <c r="AB136">
        <f>IF((phi!AB81),VLOOKUP(AB$1,main!$A$3:$I$56,5,FALSE)-VLOOKUP($A136,main!$A$3:$I$56,6,FALSE)+main!$D$58,0)</f>
        <v>0</v>
      </c>
      <c r="AC136">
        <f>IF((phi!AC81),VLOOKUP(AC$1,main!$A$3:$I$56,5,FALSE)-VLOOKUP($A136,main!$A$3:$I$56,6,FALSE)+main!$D$58,0)</f>
        <v>0</v>
      </c>
      <c r="AD136">
        <f>IF((phi!AD81),VLOOKUP(AD$1,main!$A$3:$I$56,5,FALSE)-VLOOKUP($A136,main!$A$3:$I$56,6,FALSE)+main!$D$58,0)</f>
        <v>0</v>
      </c>
      <c r="AE136">
        <f>IF((phi!AE81),VLOOKUP(AE$1,main!$A$3:$I$56,5,FALSE)-VLOOKUP($A136,main!$A$3:$I$56,6,FALSE)+main!$D$58,0)</f>
        <v>0</v>
      </c>
      <c r="AF136">
        <f>IF((phi!AF81),VLOOKUP(AF$1,main!$A$3:$I$56,5,FALSE)-VLOOKUP($A136,main!$A$3:$I$56,6,FALSE)+main!$D$58,0)</f>
        <v>0</v>
      </c>
      <c r="AG136">
        <f>IF((phi!AG81),VLOOKUP(AG$1,main!$A$3:$I$56,5,FALSE)-VLOOKUP($A136,main!$A$3:$I$56,6,FALSE)+main!$D$58,0)</f>
        <v>0</v>
      </c>
      <c r="AH136">
        <f>IF((phi!AH81),VLOOKUP(AH$1,main!$A$3:$I$56,5,FALSE)-VLOOKUP($A136,main!$A$3:$I$56,6,FALSE)+main!$D$58,0)</f>
        <v>0</v>
      </c>
      <c r="AI136">
        <f>IF((phi!AI81),VLOOKUP(AI$1,main!$A$3:$I$56,5,FALSE)-VLOOKUP($A136,main!$A$3:$I$56,6,FALSE)+main!$D$58,0)</f>
        <v>0</v>
      </c>
      <c r="AJ136">
        <f>IF((phi!AJ81),VLOOKUP(AJ$1,main!$A$3:$I$56,5,FALSE)-VLOOKUP($A136,main!$A$3:$I$56,6,FALSE)+main!$D$58,0)</f>
        <v>0</v>
      </c>
      <c r="AK136">
        <f>IF((phi!AK81),VLOOKUP(AK$1,main!$A$3:$I$56,5,FALSE)-VLOOKUP($A136,main!$A$3:$I$56,6,FALSE)+main!$D$58,0)</f>
        <v>0</v>
      </c>
      <c r="AL136">
        <f>IF((phi!AL81),VLOOKUP(AL$1,main!$A$3:$I$56,5,FALSE)-VLOOKUP($A136,main!$A$3:$I$56,6,FALSE)+main!$D$58,0)</f>
        <v>0</v>
      </c>
      <c r="AM136">
        <f>IF((phi!AM81),VLOOKUP(AM$1,main!$A$3:$I$56,5,FALSE)-VLOOKUP($A136,main!$A$3:$I$56,6,FALSE)+main!$D$58,0)</f>
        <v>0</v>
      </c>
      <c r="AN136">
        <f>IF((phi!AN81),VLOOKUP(AN$1,main!$A$3:$I$56,5,FALSE)-VLOOKUP($A136,main!$A$3:$I$56,6,FALSE)+main!$D$58,0)</f>
        <v>0</v>
      </c>
      <c r="AO136">
        <f>IF((phi!AO81),VLOOKUP(AO$1,main!$A$3:$I$56,5,FALSE)-VLOOKUP($A136,main!$A$3:$I$56,6,FALSE)+main!$D$58,0)</f>
        <v>0</v>
      </c>
      <c r="AP136">
        <f>IF((phi!AP81),VLOOKUP(AP$1,main!$A$3:$I$56,5,FALSE)-VLOOKUP($A136,main!$A$3:$I$56,6,FALSE)+main!$D$58,0)</f>
        <v>0</v>
      </c>
      <c r="AQ136">
        <f>IF((phi!AQ81),VLOOKUP(AQ$1,main!$A$3:$I$56,5,FALSE)-VLOOKUP($A136,main!$A$3:$I$56,6,FALSE)+main!$D$58,0)</f>
        <v>0</v>
      </c>
      <c r="AR136">
        <f>IF((phi!AR81),VLOOKUP(AR$1,main!$A$3:$I$56,5,FALSE)-VLOOKUP($A136,main!$A$3:$I$56,6,FALSE)+main!$D$58,0)</f>
        <v>0</v>
      </c>
      <c r="AS136">
        <f>IF((phi!AS81),VLOOKUP(AS$1,main!$A$3:$I$56,5,FALSE)-VLOOKUP($A136,main!$A$3:$I$56,6,FALSE)+main!$D$58,0)</f>
        <v>0</v>
      </c>
      <c r="AT136">
        <f>IF((phi!AT81),VLOOKUP(AT$1,main!$A$3:$I$56,5,FALSE)-VLOOKUP($A136,main!$A$3:$I$56,6,FALSE)+main!$D$58,0)</f>
        <v>0</v>
      </c>
      <c r="AU136">
        <f>IF((phi!AU81),VLOOKUP(AU$1,main!$A$3:$I$56,5,FALSE)-VLOOKUP($A136,main!$A$3:$I$56,6,FALSE)+main!$D$58,0)</f>
        <v>0</v>
      </c>
      <c r="AV136">
        <f>IF((phi!AV81),VLOOKUP(AV$1,main!$A$3:$I$56,5,FALSE)-VLOOKUP($A136,main!$A$3:$I$56,6,FALSE)+main!$D$58,0)</f>
        <v>0</v>
      </c>
      <c r="AW136">
        <f>IF((phi!AW81),VLOOKUP(AW$1,main!$A$3:$I$56,5,FALSE)-VLOOKUP($A136,main!$A$3:$I$56,6,FALSE)+main!$D$58,0)</f>
        <v>0</v>
      </c>
      <c r="AX136">
        <f>IF((phi!AX81),VLOOKUP(AX$1,main!$A$3:$I$56,5,FALSE)-VLOOKUP($A136,main!$A$3:$I$56,6,FALSE)+main!$D$58,0)</f>
        <v>0</v>
      </c>
      <c r="AY136">
        <f>IF((phi!AY81),VLOOKUP(AY$1,main!$A$3:$I$56,5,FALSE)-VLOOKUP($A136,main!$A$3:$I$56,6,FALSE)+main!$D$58,0)</f>
        <v>0</v>
      </c>
      <c r="AZ136">
        <f>IF((phi!AZ81),VLOOKUP(AZ$1,main!$A$3:$I$56,5,FALSE)-VLOOKUP($A136,main!$A$3:$I$56,6,FALSE)+main!$D$58,0)</f>
        <v>0</v>
      </c>
      <c r="BA136">
        <f>IF((phi!BA81),VLOOKUP(BA$1,main!$A$3:$I$56,5,FALSE)-VLOOKUP($A136,main!$A$3:$I$56,6,FALSE)+main!$D$58,0)</f>
        <v>0</v>
      </c>
      <c r="BB136">
        <f>IF((phi!BB81),VLOOKUP(BB$1,main!$A$3:$I$56,5,FALSE)-VLOOKUP($A136,main!$A$3:$I$56,6,FALSE)+main!$D$58,0)</f>
        <v>0</v>
      </c>
      <c r="BC136">
        <f>IF((phi!BC81),VLOOKUP(BC$1,main!$A$3:$I$56,5,FALSE)-VLOOKUP($A136,main!$A$3:$I$56,6,FALSE)+main!$D$58,0)</f>
        <v>0</v>
      </c>
      <c r="BD136">
        <f>IF((phi!BD81),VLOOKUP(BD$1,main!$A$3:$I$56,5,FALSE)-VLOOKUP($A136,main!$A$3:$I$56,6,FALSE)+main!$D$58,0)</f>
        <v>0</v>
      </c>
    </row>
    <row r="137" spans="1:56" x14ac:dyDescent="0.25">
      <c r="A137">
        <f t="shared" si="4"/>
        <v>25</v>
      </c>
      <c r="B137">
        <v>0</v>
      </c>
      <c r="C137">
        <f>IF((phi!C82),VLOOKUP(C$1,main!$A$3:$I$56,5,FALSE)-VLOOKUP($A137,main!$A$3:$I$56,6,FALSE)+main!$D$58,0)</f>
        <v>0</v>
      </c>
      <c r="D137">
        <f>IF((phi!D82),VLOOKUP(D$1,main!$A$3:$I$56,5,FALSE)-VLOOKUP($A137,main!$A$3:$I$56,6,FALSE)+main!$D$58,0)</f>
        <v>0</v>
      </c>
      <c r="E137">
        <f>IF((phi!E82),VLOOKUP(E$1,main!$A$3:$I$56,5,FALSE)-VLOOKUP($A137,main!$A$3:$I$56,6,FALSE)+main!$D$58,0)</f>
        <v>0</v>
      </c>
      <c r="F137">
        <f>IF((phi!F82),VLOOKUP(F$1,main!$A$3:$I$56,5,FALSE)-VLOOKUP($A137,main!$A$3:$I$56,6,FALSE)+main!$D$58,0)</f>
        <v>0</v>
      </c>
      <c r="G137">
        <f>IF((phi!G82),VLOOKUP(G$1,main!$A$3:$I$56,5,FALSE)-VLOOKUP($A137,main!$A$3:$I$56,6,FALSE)+main!$D$58,0)</f>
        <v>0</v>
      </c>
      <c r="H137">
        <f>IF((phi!H82),VLOOKUP(H$1,main!$A$3:$I$56,5,FALSE)-VLOOKUP($A137,main!$A$3:$I$56,6,FALSE)+main!$D$58,0)</f>
        <v>0</v>
      </c>
      <c r="I137">
        <f>IF((phi!I82),VLOOKUP(I$1,main!$A$3:$I$56,5,FALSE)-VLOOKUP($A137,main!$A$3:$I$56,6,FALSE)+main!$D$58,0)</f>
        <v>0</v>
      </c>
      <c r="J137">
        <f>IF((phi!J82),VLOOKUP(J$1,main!$A$3:$I$56,5,FALSE)-VLOOKUP($A137,main!$A$3:$I$56,6,FALSE)+main!$D$58,0)</f>
        <v>0</v>
      </c>
      <c r="K137">
        <f>IF((phi!K82),VLOOKUP(K$1,main!$A$3:$I$56,5,FALSE)-VLOOKUP($A137,main!$A$3:$I$56,6,FALSE)+main!$D$58,0)</f>
        <v>0</v>
      </c>
      <c r="L137">
        <f>IF((phi!L82),VLOOKUP(L$1,main!$A$3:$I$56,5,FALSE)-VLOOKUP($A137,main!$A$3:$I$56,6,FALSE)+main!$D$58,0)</f>
        <v>0</v>
      </c>
      <c r="M137">
        <f>IF((phi!M82),VLOOKUP(M$1,main!$A$3:$I$56,5,FALSE)-VLOOKUP($A137,main!$A$3:$I$56,6,FALSE)+main!$D$58,0)</f>
        <v>0</v>
      </c>
      <c r="N137">
        <f>IF((phi!N82),VLOOKUP(N$1,main!$A$3:$I$56,5,FALSE)-VLOOKUP($A137,main!$A$3:$I$56,6,FALSE)+main!$D$58,0)</f>
        <v>0</v>
      </c>
      <c r="O137">
        <f>IF((phi!O82),VLOOKUP(O$1,main!$A$3:$I$56,5,FALSE)-VLOOKUP($A137,main!$A$3:$I$56,6,FALSE)+main!$D$58,0)</f>
        <v>0</v>
      </c>
      <c r="P137">
        <f>IF((phi!P82),VLOOKUP(P$1,main!$A$3:$I$56,5,FALSE)-VLOOKUP($A137,main!$A$3:$I$56,6,FALSE)+main!$D$58,0)</f>
        <v>0</v>
      </c>
      <c r="Q137">
        <f>IF((phi!Q82),VLOOKUP(Q$1,main!$A$3:$I$56,5,FALSE)-VLOOKUP($A137,main!$A$3:$I$56,6,FALSE)+main!$D$58,0)</f>
        <v>0</v>
      </c>
      <c r="R137">
        <f>IF((phi!R82),VLOOKUP(R$1,main!$A$3:$I$56,5,FALSE)-VLOOKUP($A137,main!$A$3:$I$56,6,FALSE)+main!$D$58,0)</f>
        <v>0</v>
      </c>
      <c r="S137">
        <f>IF((phi!S82),VLOOKUP(S$1,main!$A$3:$I$56,5,FALSE)-VLOOKUP($A137,main!$A$3:$I$56,6,FALSE)+main!$D$58,0)</f>
        <v>0</v>
      </c>
      <c r="T137">
        <f>IF((phi!T82),VLOOKUP(T$1,main!$A$3:$I$56,5,FALSE)-VLOOKUP($A137,main!$A$3:$I$56,6,FALSE)+main!$D$58,0)</f>
        <v>0</v>
      </c>
      <c r="U137">
        <f>IF((phi!U82),VLOOKUP(U$1,main!$A$3:$I$56,5,FALSE)-VLOOKUP($A137,main!$A$3:$I$56,6,FALSE)+main!$D$58,0)</f>
        <v>0</v>
      </c>
      <c r="V137">
        <f>IF((phi!V82),VLOOKUP(V$1,main!$A$3:$I$56,5,FALSE)-VLOOKUP($A137,main!$A$3:$I$56,6,FALSE)+main!$D$58,0)</f>
        <v>0</v>
      </c>
      <c r="W137">
        <f>IF((phi!W82),VLOOKUP(W$1,main!$A$3:$I$56,5,FALSE)-VLOOKUP($A137,main!$A$3:$I$56,6,FALSE)+main!$D$58,0)</f>
        <v>0</v>
      </c>
      <c r="X137">
        <f>IF((phi!X82),VLOOKUP(X$1,main!$A$3:$I$56,5,FALSE)-VLOOKUP($A137,main!$A$3:$I$56,6,FALSE)+main!$D$58,0)</f>
        <v>0</v>
      </c>
      <c r="Y137">
        <f>IF((phi!Y82),VLOOKUP(Y$1,main!$A$3:$I$56,5,FALSE)-VLOOKUP($A137,main!$A$3:$I$56,6,FALSE)+main!$D$58,0)</f>
        <v>0</v>
      </c>
      <c r="Z137">
        <f>IF((phi!Z82),VLOOKUP(Z$1,main!$A$3:$I$56,5,FALSE)-VLOOKUP($A137,main!$A$3:$I$56,6,FALSE)+main!$D$58,0)</f>
        <v>0</v>
      </c>
      <c r="AA137">
        <f>IF((phi!AA82),VLOOKUP(AA$1,main!$A$3:$I$56,5,FALSE)-VLOOKUP($A137,main!$A$3:$I$56,6,FALSE)+main!$D$58,0)</f>
        <v>0</v>
      </c>
      <c r="AB137">
        <f>IF((phi!AB82),VLOOKUP(AB$1,main!$A$3:$I$56,5,FALSE)-VLOOKUP($A137,main!$A$3:$I$56,6,FALSE)+main!$D$58,0)</f>
        <v>0</v>
      </c>
      <c r="AC137">
        <f>IF((phi!AC82),VLOOKUP(AC$1,main!$A$3:$I$56,5,FALSE)-VLOOKUP($A137,main!$A$3:$I$56,6,FALSE)+main!$D$58,0)</f>
        <v>0</v>
      </c>
      <c r="AD137">
        <f>IF((phi!AD82),VLOOKUP(AD$1,main!$A$3:$I$56,5,FALSE)-VLOOKUP($A137,main!$A$3:$I$56,6,FALSE)+main!$D$58,0)</f>
        <v>0</v>
      </c>
      <c r="AE137">
        <f>IF((phi!AE82),VLOOKUP(AE$1,main!$A$3:$I$56,5,FALSE)-VLOOKUP($A137,main!$A$3:$I$56,6,FALSE)+main!$D$58,0)</f>
        <v>0</v>
      </c>
      <c r="AF137">
        <f>IF((phi!AF82),VLOOKUP(AF$1,main!$A$3:$I$56,5,FALSE)-VLOOKUP($A137,main!$A$3:$I$56,6,FALSE)+main!$D$58,0)</f>
        <v>0</v>
      </c>
      <c r="AG137">
        <f>IF((phi!AG82),VLOOKUP(AG$1,main!$A$3:$I$56,5,FALSE)-VLOOKUP($A137,main!$A$3:$I$56,6,FALSE)+main!$D$58,0)</f>
        <v>0</v>
      </c>
      <c r="AH137">
        <f>IF((phi!AH82),VLOOKUP(AH$1,main!$A$3:$I$56,5,FALSE)-VLOOKUP($A137,main!$A$3:$I$56,6,FALSE)+main!$D$58,0)</f>
        <v>0</v>
      </c>
      <c r="AI137">
        <f>IF((phi!AI82),VLOOKUP(AI$1,main!$A$3:$I$56,5,FALSE)-VLOOKUP($A137,main!$A$3:$I$56,6,FALSE)+main!$D$58,0)</f>
        <v>0</v>
      </c>
      <c r="AJ137">
        <f>IF((phi!AJ82),VLOOKUP(AJ$1,main!$A$3:$I$56,5,FALSE)-VLOOKUP($A137,main!$A$3:$I$56,6,FALSE)+main!$D$58,0)</f>
        <v>0</v>
      </c>
      <c r="AK137">
        <f>IF((phi!AK82),VLOOKUP(AK$1,main!$A$3:$I$56,5,FALSE)-VLOOKUP($A137,main!$A$3:$I$56,6,FALSE)+main!$D$58,0)</f>
        <v>0</v>
      </c>
      <c r="AL137">
        <f>IF((phi!AL82),VLOOKUP(AL$1,main!$A$3:$I$56,5,FALSE)-VLOOKUP($A137,main!$A$3:$I$56,6,FALSE)+main!$D$58,0)</f>
        <v>0</v>
      </c>
      <c r="AM137">
        <f>IF((phi!AM82),VLOOKUP(AM$1,main!$A$3:$I$56,5,FALSE)-VLOOKUP($A137,main!$A$3:$I$56,6,FALSE)+main!$D$58,0)</f>
        <v>0</v>
      </c>
      <c r="AN137">
        <f>IF((phi!AN82),VLOOKUP(AN$1,main!$A$3:$I$56,5,FALSE)-VLOOKUP($A137,main!$A$3:$I$56,6,FALSE)+main!$D$58,0)</f>
        <v>0</v>
      </c>
      <c r="AO137">
        <f>IF((phi!AO82),VLOOKUP(AO$1,main!$A$3:$I$56,5,FALSE)-VLOOKUP($A137,main!$A$3:$I$56,6,FALSE)+main!$D$58,0)</f>
        <v>0</v>
      </c>
      <c r="AP137">
        <f>IF((phi!AP82),VLOOKUP(AP$1,main!$A$3:$I$56,5,FALSE)-VLOOKUP($A137,main!$A$3:$I$56,6,FALSE)+main!$D$58,0)</f>
        <v>0</v>
      </c>
      <c r="AQ137">
        <f>IF((phi!AQ82),VLOOKUP(AQ$1,main!$A$3:$I$56,5,FALSE)-VLOOKUP($A137,main!$A$3:$I$56,6,FALSE)+main!$D$58,0)</f>
        <v>0</v>
      </c>
      <c r="AR137">
        <f>IF((phi!AR82),VLOOKUP(AR$1,main!$A$3:$I$56,5,FALSE)-VLOOKUP($A137,main!$A$3:$I$56,6,FALSE)+main!$D$58,0)</f>
        <v>0</v>
      </c>
      <c r="AS137">
        <f>IF((phi!AS82),VLOOKUP(AS$1,main!$A$3:$I$56,5,FALSE)-VLOOKUP($A137,main!$A$3:$I$56,6,FALSE)+main!$D$58,0)</f>
        <v>0</v>
      </c>
      <c r="AT137">
        <f>IF((phi!AT82),VLOOKUP(AT$1,main!$A$3:$I$56,5,FALSE)-VLOOKUP($A137,main!$A$3:$I$56,6,FALSE)+main!$D$58,0)</f>
        <v>0</v>
      </c>
      <c r="AU137">
        <f>IF((phi!AU82),VLOOKUP(AU$1,main!$A$3:$I$56,5,FALSE)-VLOOKUP($A137,main!$A$3:$I$56,6,FALSE)+main!$D$58,0)</f>
        <v>0</v>
      </c>
      <c r="AV137">
        <f>IF((phi!AV82),VLOOKUP(AV$1,main!$A$3:$I$56,5,FALSE)-VLOOKUP($A137,main!$A$3:$I$56,6,FALSE)+main!$D$58,0)</f>
        <v>0</v>
      </c>
      <c r="AW137">
        <f>IF((phi!AW82),VLOOKUP(AW$1,main!$A$3:$I$56,5,FALSE)-VLOOKUP($A137,main!$A$3:$I$56,6,FALSE)+main!$D$58,0)</f>
        <v>0</v>
      </c>
      <c r="AX137">
        <f>IF((phi!AX82),VLOOKUP(AX$1,main!$A$3:$I$56,5,FALSE)-VLOOKUP($A137,main!$A$3:$I$56,6,FALSE)+main!$D$58,0)</f>
        <v>0</v>
      </c>
      <c r="AY137">
        <f>IF((phi!AY82),VLOOKUP(AY$1,main!$A$3:$I$56,5,FALSE)-VLOOKUP($A137,main!$A$3:$I$56,6,FALSE)+main!$D$58,0)</f>
        <v>0</v>
      </c>
      <c r="AZ137">
        <f>IF((phi!AZ82),VLOOKUP(AZ$1,main!$A$3:$I$56,5,FALSE)-VLOOKUP($A137,main!$A$3:$I$56,6,FALSE)+main!$D$58,0)</f>
        <v>0</v>
      </c>
      <c r="BA137">
        <f>IF((phi!BA82),VLOOKUP(BA$1,main!$A$3:$I$56,5,FALSE)-VLOOKUP($A137,main!$A$3:$I$56,6,FALSE)+main!$D$58,0)</f>
        <v>0</v>
      </c>
      <c r="BB137">
        <f>IF((phi!BB82),VLOOKUP(BB$1,main!$A$3:$I$56,5,FALSE)-VLOOKUP($A137,main!$A$3:$I$56,6,FALSE)+main!$D$58,0)</f>
        <v>0</v>
      </c>
      <c r="BC137">
        <f>IF((phi!BC82),VLOOKUP(BC$1,main!$A$3:$I$56,5,FALSE)-VLOOKUP($A137,main!$A$3:$I$56,6,FALSE)+main!$D$58,0)</f>
        <v>0</v>
      </c>
      <c r="BD137">
        <f>IF((phi!BD82),VLOOKUP(BD$1,main!$A$3:$I$56,5,FALSE)-VLOOKUP($A137,main!$A$3:$I$56,6,FALSE)+main!$D$58,0)</f>
        <v>0</v>
      </c>
    </row>
    <row r="138" spans="1:56" x14ac:dyDescent="0.25">
      <c r="A138">
        <f t="shared" si="4"/>
        <v>26</v>
      </c>
      <c r="B138">
        <v>0</v>
      </c>
      <c r="C138">
        <f>IF((phi!C83),VLOOKUP(C$1,main!$A$3:$I$56,5,FALSE)-VLOOKUP($A138,main!$A$3:$I$56,6,FALSE)+main!$D$58,0)</f>
        <v>0</v>
      </c>
      <c r="D138">
        <f>IF((phi!D83),VLOOKUP(D$1,main!$A$3:$I$56,5,FALSE)-VLOOKUP($A138,main!$A$3:$I$56,6,FALSE)+main!$D$58,0)</f>
        <v>0</v>
      </c>
      <c r="E138">
        <f>IF((phi!E83),VLOOKUP(E$1,main!$A$3:$I$56,5,FALSE)-VLOOKUP($A138,main!$A$3:$I$56,6,FALSE)+main!$D$58,0)</f>
        <v>0</v>
      </c>
      <c r="F138">
        <f>IF((phi!F83),VLOOKUP(F$1,main!$A$3:$I$56,5,FALSE)-VLOOKUP($A138,main!$A$3:$I$56,6,FALSE)+main!$D$58,0)</f>
        <v>0</v>
      </c>
      <c r="G138">
        <f>IF((phi!G83),VLOOKUP(G$1,main!$A$3:$I$56,5,FALSE)-VLOOKUP($A138,main!$A$3:$I$56,6,FALSE)+main!$D$58,0)</f>
        <v>0</v>
      </c>
      <c r="H138">
        <f>IF((phi!H83),VLOOKUP(H$1,main!$A$3:$I$56,5,FALSE)-VLOOKUP($A138,main!$A$3:$I$56,6,FALSE)+main!$D$58,0)</f>
        <v>0</v>
      </c>
      <c r="I138">
        <f>IF((phi!I83),VLOOKUP(I$1,main!$A$3:$I$56,5,FALSE)-VLOOKUP($A138,main!$A$3:$I$56,6,FALSE)+main!$D$58,0)</f>
        <v>0</v>
      </c>
      <c r="J138">
        <f>IF((phi!J83),VLOOKUP(J$1,main!$A$3:$I$56,5,FALSE)-VLOOKUP($A138,main!$A$3:$I$56,6,FALSE)+main!$D$58,0)</f>
        <v>0</v>
      </c>
      <c r="K138">
        <f>IF((phi!K83),VLOOKUP(K$1,main!$A$3:$I$56,5,FALSE)-VLOOKUP($A138,main!$A$3:$I$56,6,FALSE)+main!$D$58,0)</f>
        <v>0</v>
      </c>
      <c r="L138">
        <f>IF((phi!L83),VLOOKUP(L$1,main!$A$3:$I$56,5,FALSE)-VLOOKUP($A138,main!$A$3:$I$56,6,FALSE)+main!$D$58,0)</f>
        <v>0</v>
      </c>
      <c r="M138">
        <f>IF((phi!M83),VLOOKUP(M$1,main!$A$3:$I$56,5,FALSE)-VLOOKUP($A138,main!$A$3:$I$56,6,FALSE)+main!$D$58,0)</f>
        <v>0</v>
      </c>
      <c r="N138">
        <f>IF((phi!N83),VLOOKUP(N$1,main!$A$3:$I$56,5,FALSE)-VLOOKUP($A138,main!$A$3:$I$56,6,FALSE)+main!$D$58,0)</f>
        <v>0</v>
      </c>
      <c r="O138">
        <f>IF((phi!O83),VLOOKUP(O$1,main!$A$3:$I$56,5,FALSE)-VLOOKUP($A138,main!$A$3:$I$56,6,FALSE)+main!$D$58,0)</f>
        <v>0</v>
      </c>
      <c r="P138">
        <f>IF((phi!P83),VLOOKUP(P$1,main!$A$3:$I$56,5,FALSE)-VLOOKUP($A138,main!$A$3:$I$56,6,FALSE)+main!$D$58,0)</f>
        <v>0</v>
      </c>
      <c r="Q138">
        <f>IF((phi!Q83),VLOOKUP(Q$1,main!$A$3:$I$56,5,FALSE)-VLOOKUP($A138,main!$A$3:$I$56,6,FALSE)+main!$D$58,0)</f>
        <v>0</v>
      </c>
      <c r="R138">
        <f>IF((phi!R83),VLOOKUP(R$1,main!$A$3:$I$56,5,FALSE)-VLOOKUP($A138,main!$A$3:$I$56,6,FALSE)+main!$D$58,0)</f>
        <v>0</v>
      </c>
      <c r="S138">
        <f>IF((phi!S83),VLOOKUP(S$1,main!$A$3:$I$56,5,FALSE)-VLOOKUP($A138,main!$A$3:$I$56,6,FALSE)+main!$D$58,0)</f>
        <v>0</v>
      </c>
      <c r="T138">
        <f>IF((phi!T83),VLOOKUP(T$1,main!$A$3:$I$56,5,FALSE)-VLOOKUP($A138,main!$A$3:$I$56,6,FALSE)+main!$D$58,0)</f>
        <v>0</v>
      </c>
      <c r="U138">
        <f>IF((phi!U83),VLOOKUP(U$1,main!$A$3:$I$56,5,FALSE)-VLOOKUP($A138,main!$A$3:$I$56,6,FALSE)+main!$D$58,0)</f>
        <v>0</v>
      </c>
      <c r="V138">
        <f>IF((phi!V83),VLOOKUP(V$1,main!$A$3:$I$56,5,FALSE)-VLOOKUP($A138,main!$A$3:$I$56,6,FALSE)+main!$D$58,0)</f>
        <v>0</v>
      </c>
      <c r="W138">
        <f>IF((phi!W83),VLOOKUP(W$1,main!$A$3:$I$56,5,FALSE)-VLOOKUP($A138,main!$A$3:$I$56,6,FALSE)+main!$D$58,0)</f>
        <v>0</v>
      </c>
      <c r="X138">
        <f>IF((phi!X83),VLOOKUP(X$1,main!$A$3:$I$56,5,FALSE)-VLOOKUP($A138,main!$A$3:$I$56,6,FALSE)+main!$D$58,0)</f>
        <v>0</v>
      </c>
      <c r="Y138">
        <f>IF((phi!Y83),VLOOKUP(Y$1,main!$A$3:$I$56,5,FALSE)-VLOOKUP($A138,main!$A$3:$I$56,6,FALSE)+main!$D$58,0)</f>
        <v>0</v>
      </c>
      <c r="Z138">
        <f>IF((phi!Z83),VLOOKUP(Z$1,main!$A$3:$I$56,5,FALSE)-VLOOKUP($A138,main!$A$3:$I$56,6,FALSE)+main!$D$58,0)</f>
        <v>0</v>
      </c>
      <c r="AA138">
        <f>IF((phi!AA83),VLOOKUP(AA$1,main!$A$3:$I$56,5,FALSE)-VLOOKUP($A138,main!$A$3:$I$56,6,FALSE)+main!$D$58,0)</f>
        <v>0</v>
      </c>
      <c r="AB138">
        <f>IF((phi!AB83),VLOOKUP(AB$1,main!$A$3:$I$56,5,FALSE)-VLOOKUP($A138,main!$A$3:$I$56,6,FALSE)+main!$D$58,0)</f>
        <v>0</v>
      </c>
      <c r="AC138">
        <f>IF((phi!AC83),VLOOKUP(AC$1,main!$A$3:$I$56,5,FALSE)-VLOOKUP($A138,main!$A$3:$I$56,6,FALSE)+main!$D$58,0)</f>
        <v>0</v>
      </c>
      <c r="AD138">
        <f>IF((phi!AD83),VLOOKUP(AD$1,main!$A$3:$I$56,5,FALSE)-VLOOKUP($A138,main!$A$3:$I$56,6,FALSE)+main!$D$58,0)</f>
        <v>0</v>
      </c>
      <c r="AE138">
        <f>IF((phi!AE83),VLOOKUP(AE$1,main!$A$3:$I$56,5,FALSE)-VLOOKUP($A138,main!$A$3:$I$56,6,FALSE)+main!$D$58,0)</f>
        <v>0</v>
      </c>
      <c r="AF138">
        <f>IF((phi!AF83),VLOOKUP(AF$1,main!$A$3:$I$56,5,FALSE)-VLOOKUP($A138,main!$A$3:$I$56,6,FALSE)+main!$D$58,0)</f>
        <v>0</v>
      </c>
      <c r="AG138">
        <f>IF((phi!AG83),VLOOKUP(AG$1,main!$A$3:$I$56,5,FALSE)-VLOOKUP($A138,main!$A$3:$I$56,6,FALSE)+main!$D$58,0)</f>
        <v>0</v>
      </c>
      <c r="AH138">
        <f>IF((phi!AH83),VLOOKUP(AH$1,main!$A$3:$I$56,5,FALSE)-VLOOKUP($A138,main!$A$3:$I$56,6,FALSE)+main!$D$58,0)</f>
        <v>0</v>
      </c>
      <c r="AI138">
        <f>IF((phi!AI83),VLOOKUP(AI$1,main!$A$3:$I$56,5,FALSE)-VLOOKUP($A138,main!$A$3:$I$56,6,FALSE)+main!$D$58,0)</f>
        <v>0</v>
      </c>
      <c r="AJ138">
        <f>IF((phi!AJ83),VLOOKUP(AJ$1,main!$A$3:$I$56,5,FALSE)-VLOOKUP($A138,main!$A$3:$I$56,6,FALSE)+main!$D$58,0)</f>
        <v>0</v>
      </c>
      <c r="AK138">
        <f>IF((phi!AK83),VLOOKUP(AK$1,main!$A$3:$I$56,5,FALSE)-VLOOKUP($A138,main!$A$3:$I$56,6,FALSE)+main!$D$58,0)</f>
        <v>0</v>
      </c>
      <c r="AL138">
        <f>IF((phi!AL83),VLOOKUP(AL$1,main!$A$3:$I$56,5,FALSE)-VLOOKUP($A138,main!$A$3:$I$56,6,FALSE)+main!$D$58,0)</f>
        <v>0</v>
      </c>
      <c r="AM138">
        <f>IF((phi!AM83),VLOOKUP(AM$1,main!$A$3:$I$56,5,FALSE)-VLOOKUP($A138,main!$A$3:$I$56,6,FALSE)+main!$D$58,0)</f>
        <v>0</v>
      </c>
      <c r="AN138">
        <f>IF((phi!AN83),VLOOKUP(AN$1,main!$A$3:$I$56,5,FALSE)-VLOOKUP($A138,main!$A$3:$I$56,6,FALSE)+main!$D$58,0)</f>
        <v>0</v>
      </c>
      <c r="AO138">
        <f>IF((phi!AO83),VLOOKUP(AO$1,main!$A$3:$I$56,5,FALSE)-VLOOKUP($A138,main!$A$3:$I$56,6,FALSE)+main!$D$58,0)</f>
        <v>0</v>
      </c>
      <c r="AP138">
        <f>IF((phi!AP83),VLOOKUP(AP$1,main!$A$3:$I$56,5,FALSE)-VLOOKUP($A138,main!$A$3:$I$56,6,FALSE)+main!$D$58,0)</f>
        <v>0</v>
      </c>
      <c r="AQ138">
        <f>IF((phi!AQ83),VLOOKUP(AQ$1,main!$A$3:$I$56,5,FALSE)-VLOOKUP($A138,main!$A$3:$I$56,6,FALSE)+main!$D$58,0)</f>
        <v>0</v>
      </c>
      <c r="AR138">
        <f>IF((phi!AR83),VLOOKUP(AR$1,main!$A$3:$I$56,5,FALSE)-VLOOKUP($A138,main!$A$3:$I$56,6,FALSE)+main!$D$58,0)</f>
        <v>0</v>
      </c>
      <c r="AS138">
        <f>IF((phi!AS83),VLOOKUP(AS$1,main!$A$3:$I$56,5,FALSE)-VLOOKUP($A138,main!$A$3:$I$56,6,FALSE)+main!$D$58,0)</f>
        <v>0</v>
      </c>
      <c r="AT138">
        <f>IF((phi!AT83),VLOOKUP(AT$1,main!$A$3:$I$56,5,FALSE)-VLOOKUP($A138,main!$A$3:$I$56,6,FALSE)+main!$D$58,0)</f>
        <v>0</v>
      </c>
      <c r="AU138">
        <f>IF((phi!AU83),VLOOKUP(AU$1,main!$A$3:$I$56,5,FALSE)-VLOOKUP($A138,main!$A$3:$I$56,6,FALSE)+main!$D$58,0)</f>
        <v>0</v>
      </c>
      <c r="AV138">
        <f>IF((phi!AV83),VLOOKUP(AV$1,main!$A$3:$I$56,5,FALSE)-VLOOKUP($A138,main!$A$3:$I$56,6,FALSE)+main!$D$58,0)</f>
        <v>0</v>
      </c>
      <c r="AW138">
        <f>IF((phi!AW83),VLOOKUP(AW$1,main!$A$3:$I$56,5,FALSE)-VLOOKUP($A138,main!$A$3:$I$56,6,FALSE)+main!$D$58,0)</f>
        <v>0</v>
      </c>
      <c r="AX138">
        <f>IF((phi!AX83),VLOOKUP(AX$1,main!$A$3:$I$56,5,FALSE)-VLOOKUP($A138,main!$A$3:$I$56,6,FALSE)+main!$D$58,0)</f>
        <v>0</v>
      </c>
      <c r="AY138">
        <f>IF((phi!AY83),VLOOKUP(AY$1,main!$A$3:$I$56,5,FALSE)-VLOOKUP($A138,main!$A$3:$I$56,6,FALSE)+main!$D$58,0)</f>
        <v>0</v>
      </c>
      <c r="AZ138">
        <f>IF((phi!AZ83),VLOOKUP(AZ$1,main!$A$3:$I$56,5,FALSE)-VLOOKUP($A138,main!$A$3:$I$56,6,FALSE)+main!$D$58,0)</f>
        <v>0</v>
      </c>
      <c r="BA138">
        <f>IF((phi!BA83),VLOOKUP(BA$1,main!$A$3:$I$56,5,FALSE)-VLOOKUP($A138,main!$A$3:$I$56,6,FALSE)+main!$D$58,0)</f>
        <v>0</v>
      </c>
      <c r="BB138">
        <f>IF((phi!BB83),VLOOKUP(BB$1,main!$A$3:$I$56,5,FALSE)-VLOOKUP($A138,main!$A$3:$I$56,6,FALSE)+main!$D$58,0)</f>
        <v>0</v>
      </c>
      <c r="BC138">
        <f>IF((phi!BC83),VLOOKUP(BC$1,main!$A$3:$I$56,5,FALSE)-VLOOKUP($A138,main!$A$3:$I$56,6,FALSE)+main!$D$58,0)</f>
        <v>0</v>
      </c>
      <c r="BD138">
        <f>IF((phi!BD83),VLOOKUP(BD$1,main!$A$3:$I$56,5,FALSE)-VLOOKUP($A138,main!$A$3:$I$56,6,FALSE)+main!$D$58,0)</f>
        <v>0</v>
      </c>
    </row>
    <row r="139" spans="1:56" x14ac:dyDescent="0.25">
      <c r="A139">
        <f t="shared" si="4"/>
        <v>27</v>
      </c>
      <c r="B139">
        <v>0</v>
      </c>
      <c r="C139">
        <f>IF((phi!C84),VLOOKUP(C$1,main!$A$3:$I$56,5,FALSE)-VLOOKUP($A139,main!$A$3:$I$56,6,FALSE)+main!$D$58,0)</f>
        <v>190</v>
      </c>
      <c r="D139">
        <f>IF((phi!D84),VLOOKUP(D$1,main!$A$3:$I$56,5,FALSE)-VLOOKUP($A139,main!$A$3:$I$56,6,FALSE)+main!$D$58,0)</f>
        <v>370</v>
      </c>
      <c r="E139">
        <f>IF((phi!E84),VLOOKUP(E$1,main!$A$3:$I$56,5,FALSE)-VLOOKUP($A139,main!$A$3:$I$56,6,FALSE)+main!$D$58,0)</f>
        <v>460</v>
      </c>
      <c r="F139">
        <f>IF((phi!F84),VLOOKUP(F$1,main!$A$3:$I$56,5,FALSE)-VLOOKUP($A139,main!$A$3:$I$56,6,FALSE)+main!$D$58,0)</f>
        <v>550</v>
      </c>
      <c r="G139">
        <f>IF((phi!G84),VLOOKUP(G$1,main!$A$3:$I$56,5,FALSE)-VLOOKUP($A139,main!$A$3:$I$56,6,FALSE)+main!$D$58,0)</f>
        <v>610</v>
      </c>
      <c r="H139">
        <f>IF((phi!H84),VLOOKUP(H$1,main!$A$3:$I$56,5,FALSE)-VLOOKUP($A139,main!$A$3:$I$56,6,FALSE)+main!$D$58,0)</f>
        <v>670</v>
      </c>
      <c r="I139">
        <f>IF((phi!I84),VLOOKUP(I$1,main!$A$3:$I$56,5,FALSE)-VLOOKUP($A139,main!$A$3:$I$56,6,FALSE)+main!$D$58,0)</f>
        <v>730</v>
      </c>
      <c r="J139">
        <f>IF((phi!J84),VLOOKUP(J$1,main!$A$3:$I$56,5,FALSE)-VLOOKUP($A139,main!$A$3:$I$56,6,FALSE)+main!$D$58,0)</f>
        <v>820</v>
      </c>
      <c r="K139">
        <f>IF((phi!K84),VLOOKUP(K$1,main!$A$3:$I$56,5,FALSE)-VLOOKUP($A139,main!$A$3:$I$56,6,FALSE)+main!$D$58,0)</f>
        <v>185</v>
      </c>
      <c r="L139">
        <f>IF((phi!L84),VLOOKUP(L$1,main!$A$3:$I$56,5,FALSE)-VLOOKUP($A139,main!$A$3:$I$56,6,FALSE)+main!$D$58,0)</f>
        <v>305</v>
      </c>
      <c r="M139">
        <f>IF((phi!M84),VLOOKUP(M$1,main!$A$3:$I$56,5,FALSE)-VLOOKUP($A139,main!$A$3:$I$56,6,FALSE)+main!$D$58,0)</f>
        <v>425</v>
      </c>
      <c r="N139">
        <f>IF((phi!N84),VLOOKUP(N$1,main!$A$3:$I$56,5,FALSE)-VLOOKUP($A139,main!$A$3:$I$56,6,FALSE)+main!$D$58,0)</f>
        <v>785</v>
      </c>
      <c r="O139">
        <f>IF((phi!O84),VLOOKUP(O$1,main!$A$3:$I$56,5,FALSE)-VLOOKUP($A139,main!$A$3:$I$56,6,FALSE)+main!$D$58,0)</f>
        <v>845</v>
      </c>
      <c r="P139">
        <f>IF((phi!P84),VLOOKUP(P$1,main!$A$3:$I$56,5,FALSE)-VLOOKUP($A139,main!$A$3:$I$56,6,FALSE)+main!$D$58,0)</f>
        <v>190</v>
      </c>
      <c r="Q139">
        <f>IF((phi!Q84),VLOOKUP(Q$1,main!$A$3:$I$56,5,FALSE)-VLOOKUP($A139,main!$A$3:$I$56,6,FALSE)+main!$D$58,0)</f>
        <v>260</v>
      </c>
      <c r="R139">
        <f>IF((phi!R84),VLOOKUP(R$1,main!$A$3:$I$56,5,FALSE)-VLOOKUP($A139,main!$A$3:$I$56,6,FALSE)+main!$D$58,0)</f>
        <v>420</v>
      </c>
      <c r="S139">
        <f>IF((phi!S84),VLOOKUP(S$1,main!$A$3:$I$56,5,FALSE)-VLOOKUP($A139,main!$A$3:$I$56,6,FALSE)+main!$D$58,0)</f>
        <v>600</v>
      </c>
      <c r="T139">
        <f>IF((phi!T84),VLOOKUP(T$1,main!$A$3:$I$56,5,FALSE)-VLOOKUP($A139,main!$A$3:$I$56,6,FALSE)+main!$D$58,0)</f>
        <v>750</v>
      </c>
      <c r="U139">
        <f>IF((phi!U84),VLOOKUP(U$1,main!$A$3:$I$56,5,FALSE)-VLOOKUP($A139,main!$A$3:$I$56,6,FALSE)+main!$D$58,0)</f>
        <v>0</v>
      </c>
      <c r="V139">
        <f>IF((phi!V84),VLOOKUP(V$1,main!$A$3:$I$56,5,FALSE)-VLOOKUP($A139,main!$A$3:$I$56,6,FALSE)+main!$D$58,0)</f>
        <v>260</v>
      </c>
      <c r="W139">
        <f>IF((phi!W84),VLOOKUP(W$1,main!$A$3:$I$56,5,FALSE)-VLOOKUP($A139,main!$A$3:$I$56,6,FALSE)+main!$D$58,0)</f>
        <v>350</v>
      </c>
      <c r="X139">
        <f>IF((phi!X84),VLOOKUP(X$1,main!$A$3:$I$56,5,FALSE)-VLOOKUP($A139,main!$A$3:$I$56,6,FALSE)+main!$D$58,0)</f>
        <v>440</v>
      </c>
      <c r="Y139">
        <f>IF((phi!Y84),VLOOKUP(Y$1,main!$A$3:$I$56,5,FALSE)-VLOOKUP($A139,main!$A$3:$I$56,6,FALSE)+main!$D$58,0)</f>
        <v>530</v>
      </c>
      <c r="Z139">
        <f>IF((phi!Z84),VLOOKUP(Z$1,main!$A$3:$I$56,5,FALSE)-VLOOKUP($A139,main!$A$3:$I$56,6,FALSE)+main!$D$58,0)</f>
        <v>620</v>
      </c>
      <c r="AA139">
        <f>IF((phi!AA84),VLOOKUP(AA$1,main!$A$3:$I$56,5,FALSE)-VLOOKUP($A139,main!$A$3:$I$56,6,FALSE)+main!$D$58,0)</f>
        <v>710</v>
      </c>
      <c r="AB139">
        <f>IF((phi!AB84),VLOOKUP(AB$1,main!$A$3:$I$56,5,FALSE)-VLOOKUP($A139,main!$A$3:$I$56,6,FALSE)+main!$D$58,0)</f>
        <v>770</v>
      </c>
      <c r="AC139">
        <f>IF((phi!AC84),VLOOKUP(AC$1,main!$A$3:$I$56,5,FALSE)-VLOOKUP($A139,main!$A$3:$I$56,6,FALSE)+main!$D$58,0)</f>
        <v>0</v>
      </c>
      <c r="AD139">
        <f>IF((phi!AD84),VLOOKUP(AD$1,main!$A$3:$I$56,5,FALSE)-VLOOKUP($A139,main!$A$3:$I$56,6,FALSE)+main!$D$58,0)</f>
        <v>0</v>
      </c>
      <c r="AE139">
        <f>IF((phi!AE84),VLOOKUP(AE$1,main!$A$3:$I$56,5,FALSE)-VLOOKUP($A139,main!$A$3:$I$56,6,FALSE)+main!$D$58,0)</f>
        <v>430</v>
      </c>
      <c r="AF139">
        <f>IF((phi!AF84),VLOOKUP(AF$1,main!$A$3:$I$56,5,FALSE)-VLOOKUP($A139,main!$A$3:$I$56,6,FALSE)+main!$D$58,0)</f>
        <v>580</v>
      </c>
      <c r="AG139">
        <f>IF((phi!AG84),VLOOKUP(AG$1,main!$A$3:$I$56,5,FALSE)-VLOOKUP($A139,main!$A$3:$I$56,6,FALSE)+main!$D$58,0)</f>
        <v>0</v>
      </c>
      <c r="AH139">
        <f>IF((phi!AH84),VLOOKUP(AH$1,main!$A$3:$I$56,5,FALSE)-VLOOKUP($A139,main!$A$3:$I$56,6,FALSE)+main!$D$58,0)</f>
        <v>370</v>
      </c>
      <c r="AI139">
        <f>IF((phi!AI84),VLOOKUP(AI$1,main!$A$3:$I$56,5,FALSE)-VLOOKUP($A139,main!$A$3:$I$56,6,FALSE)+main!$D$58,0)</f>
        <v>490</v>
      </c>
      <c r="AJ139">
        <f>IF((phi!AJ84),VLOOKUP(AJ$1,main!$A$3:$I$56,5,FALSE)-VLOOKUP($A139,main!$A$3:$I$56,6,FALSE)+main!$D$58,0)</f>
        <v>550</v>
      </c>
      <c r="AK139">
        <f>IF((phi!AK84),VLOOKUP(AK$1,main!$A$3:$I$56,5,FALSE)-VLOOKUP($A139,main!$A$3:$I$56,6,FALSE)+main!$D$58,0)</f>
        <v>670</v>
      </c>
      <c r="AL139">
        <f>IF((phi!AL84),VLOOKUP(AL$1,main!$A$3:$I$56,5,FALSE)-VLOOKUP($A139,main!$A$3:$I$56,6,FALSE)+main!$D$58,0)</f>
        <v>0</v>
      </c>
      <c r="AM139">
        <f>IF((phi!AM84),VLOOKUP(AM$1,main!$A$3:$I$56,5,FALSE)-VLOOKUP($A139,main!$A$3:$I$56,6,FALSE)+main!$D$58,0)</f>
        <v>275</v>
      </c>
      <c r="AN139">
        <f>IF((phi!AN84),VLOOKUP(AN$1,main!$A$3:$I$56,5,FALSE)-VLOOKUP($A139,main!$A$3:$I$56,6,FALSE)+main!$D$58,0)</f>
        <v>530</v>
      </c>
      <c r="AO139">
        <f>IF((phi!AO84),VLOOKUP(AO$1,main!$A$3:$I$56,5,FALSE)-VLOOKUP($A139,main!$A$3:$I$56,6,FALSE)+main!$D$58,0)</f>
        <v>580</v>
      </c>
      <c r="AP139">
        <f>IF((phi!AP84),VLOOKUP(AP$1,main!$A$3:$I$56,5,FALSE)-VLOOKUP($A139,main!$A$3:$I$56,6,FALSE)+main!$D$58,0)</f>
        <v>0</v>
      </c>
      <c r="AQ139">
        <f>IF((phi!AQ84),VLOOKUP(AQ$1,main!$A$3:$I$56,5,FALSE)-VLOOKUP($A139,main!$A$3:$I$56,6,FALSE)+main!$D$58,0)</f>
        <v>0</v>
      </c>
      <c r="AR139">
        <f>IF((phi!AR84),VLOOKUP(AR$1,main!$A$3:$I$56,5,FALSE)-VLOOKUP($A139,main!$A$3:$I$56,6,FALSE)+main!$D$58,0)</f>
        <v>0</v>
      </c>
      <c r="AS139">
        <f>IF((phi!AS84),VLOOKUP(AS$1,main!$A$3:$I$56,5,FALSE)-VLOOKUP($A139,main!$A$3:$I$56,6,FALSE)+main!$D$58,0)</f>
        <v>395</v>
      </c>
      <c r="AT139">
        <f>IF((phi!AT84),VLOOKUP(AT$1,main!$A$3:$I$56,5,FALSE)-VLOOKUP($A139,main!$A$3:$I$56,6,FALSE)+main!$D$58,0)</f>
        <v>480</v>
      </c>
      <c r="AU139">
        <f>IF((phi!AU84),VLOOKUP(AU$1,main!$A$3:$I$56,5,FALSE)-VLOOKUP($A139,main!$A$3:$I$56,6,FALSE)+main!$D$58,0)</f>
        <v>350</v>
      </c>
      <c r="AV139">
        <f>IF((phi!AV84),VLOOKUP(AV$1,main!$A$3:$I$56,5,FALSE)-VLOOKUP($A139,main!$A$3:$I$56,6,FALSE)+main!$D$58,0)</f>
        <v>380</v>
      </c>
      <c r="AW139">
        <f>IF((phi!AW84),VLOOKUP(AW$1,main!$A$3:$I$56,5,FALSE)-VLOOKUP($A139,main!$A$3:$I$56,6,FALSE)+main!$D$58,0)</f>
        <v>430</v>
      </c>
      <c r="AX139">
        <f>IF((phi!AX84),VLOOKUP(AX$1,main!$A$3:$I$56,5,FALSE)-VLOOKUP($A139,main!$A$3:$I$56,6,FALSE)+main!$D$58,0)</f>
        <v>630</v>
      </c>
      <c r="AY139">
        <f>IF((phi!AY84),VLOOKUP(AY$1,main!$A$3:$I$56,5,FALSE)-VLOOKUP($A139,main!$A$3:$I$56,6,FALSE)+main!$D$58,0)</f>
        <v>830</v>
      </c>
      <c r="AZ139">
        <f>IF((phi!AZ84),VLOOKUP(AZ$1,main!$A$3:$I$56,5,FALSE)-VLOOKUP($A139,main!$A$3:$I$56,6,FALSE)+main!$D$58,0)</f>
        <v>0</v>
      </c>
      <c r="BA139">
        <f>IF((phi!BA84),VLOOKUP(BA$1,main!$A$3:$I$56,5,FALSE)-VLOOKUP($A139,main!$A$3:$I$56,6,FALSE)+main!$D$58,0)</f>
        <v>395</v>
      </c>
      <c r="BB139">
        <f>IF((phi!BB84),VLOOKUP(BB$1,main!$A$3:$I$56,5,FALSE)-VLOOKUP($A139,main!$A$3:$I$56,6,FALSE)+main!$D$58,0)</f>
        <v>410</v>
      </c>
      <c r="BC139">
        <f>IF((phi!BC84),VLOOKUP(BC$1,main!$A$3:$I$56,5,FALSE)-VLOOKUP($A139,main!$A$3:$I$56,6,FALSE)+main!$D$58,0)</f>
        <v>595</v>
      </c>
      <c r="BD139">
        <f>IF((phi!BD84),VLOOKUP(BD$1,main!$A$3:$I$56,5,FALSE)-VLOOKUP($A139,main!$A$3:$I$56,6,FALSE)+main!$D$58,0)</f>
        <v>605</v>
      </c>
    </row>
    <row r="140" spans="1:56" x14ac:dyDescent="0.25">
      <c r="A140">
        <f t="shared" si="4"/>
        <v>28</v>
      </c>
      <c r="B140">
        <v>0</v>
      </c>
      <c r="C140">
        <f>IF((phi!C85),VLOOKUP(C$1,main!$A$3:$I$56,5,FALSE)-VLOOKUP($A140,main!$A$3:$I$56,6,FALSE)+main!$D$58,0)</f>
        <v>0</v>
      </c>
      <c r="D140">
        <f>IF((phi!D85),VLOOKUP(D$1,main!$A$3:$I$56,5,FALSE)-VLOOKUP($A140,main!$A$3:$I$56,6,FALSE)+main!$D$58,0)</f>
        <v>0</v>
      </c>
      <c r="E140">
        <f>IF((phi!E85),VLOOKUP(E$1,main!$A$3:$I$56,5,FALSE)-VLOOKUP($A140,main!$A$3:$I$56,6,FALSE)+main!$D$58,0)</f>
        <v>145</v>
      </c>
      <c r="F140">
        <f>IF((phi!F85),VLOOKUP(F$1,main!$A$3:$I$56,5,FALSE)-VLOOKUP($A140,main!$A$3:$I$56,6,FALSE)+main!$D$58,0)</f>
        <v>235</v>
      </c>
      <c r="G140">
        <f>IF((phi!G85),VLOOKUP(G$1,main!$A$3:$I$56,5,FALSE)-VLOOKUP($A140,main!$A$3:$I$56,6,FALSE)+main!$D$58,0)</f>
        <v>295</v>
      </c>
      <c r="H140">
        <f>IF((phi!H85),VLOOKUP(H$1,main!$A$3:$I$56,5,FALSE)-VLOOKUP($A140,main!$A$3:$I$56,6,FALSE)+main!$D$58,0)</f>
        <v>355</v>
      </c>
      <c r="I140">
        <f>IF((phi!I85),VLOOKUP(I$1,main!$A$3:$I$56,5,FALSE)-VLOOKUP($A140,main!$A$3:$I$56,6,FALSE)+main!$D$58,0)</f>
        <v>415</v>
      </c>
      <c r="J140">
        <f>IF((phi!J85),VLOOKUP(J$1,main!$A$3:$I$56,5,FALSE)-VLOOKUP($A140,main!$A$3:$I$56,6,FALSE)+main!$D$58,0)</f>
        <v>505</v>
      </c>
      <c r="K140">
        <f>IF((phi!K85),VLOOKUP(K$1,main!$A$3:$I$56,5,FALSE)-VLOOKUP($A140,main!$A$3:$I$56,6,FALSE)+main!$D$58,0)</f>
        <v>0</v>
      </c>
      <c r="L140">
        <f>IF((phi!L85),VLOOKUP(L$1,main!$A$3:$I$56,5,FALSE)-VLOOKUP($A140,main!$A$3:$I$56,6,FALSE)+main!$D$58,0)</f>
        <v>0</v>
      </c>
      <c r="M140">
        <f>IF((phi!M85),VLOOKUP(M$1,main!$A$3:$I$56,5,FALSE)-VLOOKUP($A140,main!$A$3:$I$56,6,FALSE)+main!$D$58,0)</f>
        <v>110</v>
      </c>
      <c r="N140">
        <f>IF((phi!N85),VLOOKUP(N$1,main!$A$3:$I$56,5,FALSE)-VLOOKUP($A140,main!$A$3:$I$56,6,FALSE)+main!$D$58,0)</f>
        <v>470</v>
      </c>
      <c r="O140">
        <f>IF((phi!O85),VLOOKUP(O$1,main!$A$3:$I$56,5,FALSE)-VLOOKUP($A140,main!$A$3:$I$56,6,FALSE)+main!$D$58,0)</f>
        <v>530</v>
      </c>
      <c r="P140">
        <f>IF((phi!P85),VLOOKUP(P$1,main!$A$3:$I$56,5,FALSE)-VLOOKUP($A140,main!$A$3:$I$56,6,FALSE)+main!$D$58,0)</f>
        <v>0</v>
      </c>
      <c r="Q140">
        <f>IF((phi!Q85),VLOOKUP(Q$1,main!$A$3:$I$56,5,FALSE)-VLOOKUP($A140,main!$A$3:$I$56,6,FALSE)+main!$D$58,0)</f>
        <v>0</v>
      </c>
      <c r="R140">
        <f>IF((phi!R85),VLOOKUP(R$1,main!$A$3:$I$56,5,FALSE)-VLOOKUP($A140,main!$A$3:$I$56,6,FALSE)+main!$D$58,0)</f>
        <v>0</v>
      </c>
      <c r="S140">
        <f>IF((phi!S85),VLOOKUP(S$1,main!$A$3:$I$56,5,FALSE)-VLOOKUP($A140,main!$A$3:$I$56,6,FALSE)+main!$D$58,0)</f>
        <v>285</v>
      </c>
      <c r="T140">
        <f>IF((phi!T85),VLOOKUP(T$1,main!$A$3:$I$56,5,FALSE)-VLOOKUP($A140,main!$A$3:$I$56,6,FALSE)+main!$D$58,0)</f>
        <v>435</v>
      </c>
      <c r="U140">
        <f>IF((phi!U85),VLOOKUP(U$1,main!$A$3:$I$56,5,FALSE)-VLOOKUP($A140,main!$A$3:$I$56,6,FALSE)+main!$D$58,0)</f>
        <v>0</v>
      </c>
      <c r="V140">
        <f>IF((phi!V85),VLOOKUP(V$1,main!$A$3:$I$56,5,FALSE)-VLOOKUP($A140,main!$A$3:$I$56,6,FALSE)+main!$D$58,0)</f>
        <v>0</v>
      </c>
      <c r="W140">
        <f>IF((phi!W85),VLOOKUP(W$1,main!$A$3:$I$56,5,FALSE)-VLOOKUP($A140,main!$A$3:$I$56,6,FALSE)+main!$D$58,0)</f>
        <v>0</v>
      </c>
      <c r="X140">
        <f>IF((phi!X85),VLOOKUP(X$1,main!$A$3:$I$56,5,FALSE)-VLOOKUP($A140,main!$A$3:$I$56,6,FALSE)+main!$D$58,0)</f>
        <v>0</v>
      </c>
      <c r="Y140">
        <f>IF((phi!Y85),VLOOKUP(Y$1,main!$A$3:$I$56,5,FALSE)-VLOOKUP($A140,main!$A$3:$I$56,6,FALSE)+main!$D$58,0)</f>
        <v>0</v>
      </c>
      <c r="Z140">
        <f>IF((phi!Z85),VLOOKUP(Z$1,main!$A$3:$I$56,5,FALSE)-VLOOKUP($A140,main!$A$3:$I$56,6,FALSE)+main!$D$58,0)</f>
        <v>305</v>
      </c>
      <c r="AA140">
        <f>IF((phi!AA85),VLOOKUP(AA$1,main!$A$3:$I$56,5,FALSE)-VLOOKUP($A140,main!$A$3:$I$56,6,FALSE)+main!$D$58,0)</f>
        <v>395</v>
      </c>
      <c r="AB140">
        <f>IF((phi!AB85),VLOOKUP(AB$1,main!$A$3:$I$56,5,FALSE)-VLOOKUP($A140,main!$A$3:$I$56,6,FALSE)+main!$D$58,0)</f>
        <v>455</v>
      </c>
      <c r="AC140">
        <f>IF((phi!AC85),VLOOKUP(AC$1,main!$A$3:$I$56,5,FALSE)-VLOOKUP($A140,main!$A$3:$I$56,6,FALSE)+main!$D$58,0)</f>
        <v>0</v>
      </c>
      <c r="AD140">
        <f>IF((phi!AD85),VLOOKUP(AD$1,main!$A$3:$I$56,5,FALSE)-VLOOKUP($A140,main!$A$3:$I$56,6,FALSE)+main!$D$58,0)</f>
        <v>0</v>
      </c>
      <c r="AE140">
        <f>IF((phi!AE85),VLOOKUP(AE$1,main!$A$3:$I$56,5,FALSE)-VLOOKUP($A140,main!$A$3:$I$56,6,FALSE)+main!$D$58,0)</f>
        <v>0</v>
      </c>
      <c r="AF140">
        <f>IF((phi!AF85),VLOOKUP(AF$1,main!$A$3:$I$56,5,FALSE)-VLOOKUP($A140,main!$A$3:$I$56,6,FALSE)+main!$D$58,0)</f>
        <v>265</v>
      </c>
      <c r="AG140">
        <f>IF((phi!AG85),VLOOKUP(AG$1,main!$A$3:$I$56,5,FALSE)-VLOOKUP($A140,main!$A$3:$I$56,6,FALSE)+main!$D$58,0)</f>
        <v>0</v>
      </c>
      <c r="AH140">
        <f>IF((phi!AH85),VLOOKUP(AH$1,main!$A$3:$I$56,5,FALSE)-VLOOKUP($A140,main!$A$3:$I$56,6,FALSE)+main!$D$58,0)</f>
        <v>0</v>
      </c>
      <c r="AI140">
        <f>IF((phi!AI85),VLOOKUP(AI$1,main!$A$3:$I$56,5,FALSE)-VLOOKUP($A140,main!$A$3:$I$56,6,FALSE)+main!$D$58,0)</f>
        <v>0</v>
      </c>
      <c r="AJ140">
        <f>IF((phi!AJ85),VLOOKUP(AJ$1,main!$A$3:$I$56,5,FALSE)-VLOOKUP($A140,main!$A$3:$I$56,6,FALSE)+main!$D$58,0)</f>
        <v>0</v>
      </c>
      <c r="AK140">
        <f>IF((phi!AK85),VLOOKUP(AK$1,main!$A$3:$I$56,5,FALSE)-VLOOKUP($A140,main!$A$3:$I$56,6,FALSE)+main!$D$58,0)</f>
        <v>355</v>
      </c>
      <c r="AL140">
        <f>IF((phi!AL85),VLOOKUP(AL$1,main!$A$3:$I$56,5,FALSE)-VLOOKUP($A140,main!$A$3:$I$56,6,FALSE)+main!$D$58,0)</f>
        <v>0</v>
      </c>
      <c r="AM140">
        <f>IF((phi!AM85),VLOOKUP(AM$1,main!$A$3:$I$56,5,FALSE)-VLOOKUP($A140,main!$A$3:$I$56,6,FALSE)+main!$D$58,0)</f>
        <v>0</v>
      </c>
      <c r="AN140">
        <f>IF((phi!AN85),VLOOKUP(AN$1,main!$A$3:$I$56,5,FALSE)-VLOOKUP($A140,main!$A$3:$I$56,6,FALSE)+main!$D$58,0)</f>
        <v>0</v>
      </c>
      <c r="AO140">
        <f>IF((phi!AO85),VLOOKUP(AO$1,main!$A$3:$I$56,5,FALSE)-VLOOKUP($A140,main!$A$3:$I$56,6,FALSE)+main!$D$58,0)</f>
        <v>265</v>
      </c>
      <c r="AP140">
        <f>IF((phi!AP85),VLOOKUP(AP$1,main!$A$3:$I$56,5,FALSE)-VLOOKUP($A140,main!$A$3:$I$56,6,FALSE)+main!$D$58,0)</f>
        <v>0</v>
      </c>
      <c r="AQ140">
        <f>IF((phi!AQ85),VLOOKUP(AQ$1,main!$A$3:$I$56,5,FALSE)-VLOOKUP($A140,main!$A$3:$I$56,6,FALSE)+main!$D$58,0)</f>
        <v>0</v>
      </c>
      <c r="AR140">
        <f>IF((phi!AR85),VLOOKUP(AR$1,main!$A$3:$I$56,5,FALSE)-VLOOKUP($A140,main!$A$3:$I$56,6,FALSE)+main!$D$58,0)</f>
        <v>0</v>
      </c>
      <c r="AS140">
        <f>IF((phi!AS85),VLOOKUP(AS$1,main!$A$3:$I$56,5,FALSE)-VLOOKUP($A140,main!$A$3:$I$56,6,FALSE)+main!$D$58,0)</f>
        <v>0</v>
      </c>
      <c r="AT140">
        <f>IF((phi!AT85),VLOOKUP(AT$1,main!$A$3:$I$56,5,FALSE)-VLOOKUP($A140,main!$A$3:$I$56,6,FALSE)+main!$D$58,0)</f>
        <v>0</v>
      </c>
      <c r="AU140">
        <f>IF((phi!AU85),VLOOKUP(AU$1,main!$A$3:$I$56,5,FALSE)-VLOOKUP($A140,main!$A$3:$I$56,6,FALSE)+main!$D$58,0)</f>
        <v>0</v>
      </c>
      <c r="AV140">
        <f>IF((phi!AV85),VLOOKUP(AV$1,main!$A$3:$I$56,5,FALSE)-VLOOKUP($A140,main!$A$3:$I$56,6,FALSE)+main!$D$58,0)</f>
        <v>0</v>
      </c>
      <c r="AW140">
        <f>IF((phi!AW85),VLOOKUP(AW$1,main!$A$3:$I$56,5,FALSE)-VLOOKUP($A140,main!$A$3:$I$56,6,FALSE)+main!$D$58,0)</f>
        <v>0</v>
      </c>
      <c r="AX140">
        <f>IF((phi!AX85),VLOOKUP(AX$1,main!$A$3:$I$56,5,FALSE)-VLOOKUP($A140,main!$A$3:$I$56,6,FALSE)+main!$D$58,0)</f>
        <v>0</v>
      </c>
      <c r="AY140">
        <f>IF((phi!AY85),VLOOKUP(AY$1,main!$A$3:$I$56,5,FALSE)-VLOOKUP($A140,main!$A$3:$I$56,6,FALSE)+main!$D$58,0)</f>
        <v>515</v>
      </c>
      <c r="AZ140">
        <f>IF((phi!AZ85),VLOOKUP(AZ$1,main!$A$3:$I$56,5,FALSE)-VLOOKUP($A140,main!$A$3:$I$56,6,FALSE)+main!$D$58,0)</f>
        <v>0</v>
      </c>
      <c r="BA140">
        <f>IF((phi!BA85),VLOOKUP(BA$1,main!$A$3:$I$56,5,FALSE)-VLOOKUP($A140,main!$A$3:$I$56,6,FALSE)+main!$D$58,0)</f>
        <v>0</v>
      </c>
      <c r="BB140">
        <f>IF((phi!BB85),VLOOKUP(BB$1,main!$A$3:$I$56,5,FALSE)-VLOOKUP($A140,main!$A$3:$I$56,6,FALSE)+main!$D$58,0)</f>
        <v>0</v>
      </c>
      <c r="BC140">
        <f>IF((phi!BC85),VLOOKUP(BC$1,main!$A$3:$I$56,5,FALSE)-VLOOKUP($A140,main!$A$3:$I$56,6,FALSE)+main!$D$58,0)</f>
        <v>0</v>
      </c>
      <c r="BD140">
        <f>IF((phi!BD85),VLOOKUP(BD$1,main!$A$3:$I$56,5,FALSE)-VLOOKUP($A140,main!$A$3:$I$56,6,FALSE)+main!$D$58,0)</f>
        <v>0</v>
      </c>
    </row>
    <row r="141" spans="1:56" x14ac:dyDescent="0.25">
      <c r="A141">
        <f t="shared" si="4"/>
        <v>29</v>
      </c>
      <c r="B141">
        <v>0</v>
      </c>
      <c r="C141">
        <f>IF((phi!C86),VLOOKUP(C$1,main!$A$3:$I$56,5,FALSE)-VLOOKUP($A141,main!$A$3:$I$56,6,FALSE)+main!$D$58,0)</f>
        <v>0</v>
      </c>
      <c r="D141">
        <f>IF((phi!D86),VLOOKUP(D$1,main!$A$3:$I$56,5,FALSE)-VLOOKUP($A141,main!$A$3:$I$56,6,FALSE)+main!$D$58,0)</f>
        <v>0</v>
      </c>
      <c r="E141">
        <f>IF((phi!E86),VLOOKUP(E$1,main!$A$3:$I$56,5,FALSE)-VLOOKUP($A141,main!$A$3:$I$56,6,FALSE)+main!$D$58,0)</f>
        <v>0</v>
      </c>
      <c r="F141">
        <f>IF((phi!F86),VLOOKUP(F$1,main!$A$3:$I$56,5,FALSE)-VLOOKUP($A141,main!$A$3:$I$56,6,FALSE)+main!$D$58,0)</f>
        <v>0</v>
      </c>
      <c r="G141">
        <f>IF((phi!G86),VLOOKUP(G$1,main!$A$3:$I$56,5,FALSE)-VLOOKUP($A141,main!$A$3:$I$56,6,FALSE)+main!$D$58,0)</f>
        <v>110</v>
      </c>
      <c r="H141">
        <f>IF((phi!H86),VLOOKUP(H$1,main!$A$3:$I$56,5,FALSE)-VLOOKUP($A141,main!$A$3:$I$56,6,FALSE)+main!$D$58,0)</f>
        <v>170</v>
      </c>
      <c r="I141">
        <f>IF((phi!I86),VLOOKUP(I$1,main!$A$3:$I$56,5,FALSE)-VLOOKUP($A141,main!$A$3:$I$56,6,FALSE)+main!$D$58,0)</f>
        <v>230</v>
      </c>
      <c r="J141">
        <f>IF((phi!J86),VLOOKUP(J$1,main!$A$3:$I$56,5,FALSE)-VLOOKUP($A141,main!$A$3:$I$56,6,FALSE)+main!$D$58,0)</f>
        <v>320</v>
      </c>
      <c r="K141">
        <f>IF((phi!K86),VLOOKUP(K$1,main!$A$3:$I$56,5,FALSE)-VLOOKUP($A141,main!$A$3:$I$56,6,FALSE)+main!$D$58,0)</f>
        <v>0</v>
      </c>
      <c r="L141">
        <f>IF((phi!L86),VLOOKUP(L$1,main!$A$3:$I$56,5,FALSE)-VLOOKUP($A141,main!$A$3:$I$56,6,FALSE)+main!$D$58,0)</f>
        <v>0</v>
      </c>
      <c r="M141">
        <f>IF((phi!M86),VLOOKUP(M$1,main!$A$3:$I$56,5,FALSE)-VLOOKUP($A141,main!$A$3:$I$56,6,FALSE)+main!$D$58,0)</f>
        <v>0</v>
      </c>
      <c r="N141">
        <f>IF((phi!N86),VLOOKUP(N$1,main!$A$3:$I$56,5,FALSE)-VLOOKUP($A141,main!$A$3:$I$56,6,FALSE)+main!$D$58,0)</f>
        <v>285</v>
      </c>
      <c r="O141">
        <f>IF((phi!O86),VLOOKUP(O$1,main!$A$3:$I$56,5,FALSE)-VLOOKUP($A141,main!$A$3:$I$56,6,FALSE)+main!$D$58,0)</f>
        <v>345</v>
      </c>
      <c r="P141">
        <f>IF((phi!P86),VLOOKUP(P$1,main!$A$3:$I$56,5,FALSE)-VLOOKUP($A141,main!$A$3:$I$56,6,FALSE)+main!$D$58,0)</f>
        <v>0</v>
      </c>
      <c r="Q141">
        <f>IF((phi!Q86),VLOOKUP(Q$1,main!$A$3:$I$56,5,FALSE)-VLOOKUP($A141,main!$A$3:$I$56,6,FALSE)+main!$D$58,0)</f>
        <v>0</v>
      </c>
      <c r="R141">
        <f>IF((phi!R86),VLOOKUP(R$1,main!$A$3:$I$56,5,FALSE)-VLOOKUP($A141,main!$A$3:$I$56,6,FALSE)+main!$D$58,0)</f>
        <v>0</v>
      </c>
      <c r="S141">
        <f>IF((phi!S86),VLOOKUP(S$1,main!$A$3:$I$56,5,FALSE)-VLOOKUP($A141,main!$A$3:$I$56,6,FALSE)+main!$D$58,0)</f>
        <v>0</v>
      </c>
      <c r="T141">
        <f>IF((phi!T86),VLOOKUP(T$1,main!$A$3:$I$56,5,FALSE)-VLOOKUP($A141,main!$A$3:$I$56,6,FALSE)+main!$D$58,0)</f>
        <v>250</v>
      </c>
      <c r="U141">
        <f>IF((phi!U86),VLOOKUP(U$1,main!$A$3:$I$56,5,FALSE)-VLOOKUP($A141,main!$A$3:$I$56,6,FALSE)+main!$D$58,0)</f>
        <v>0</v>
      </c>
      <c r="V141">
        <f>IF((phi!V86),VLOOKUP(V$1,main!$A$3:$I$56,5,FALSE)-VLOOKUP($A141,main!$A$3:$I$56,6,FALSE)+main!$D$58,0)</f>
        <v>0</v>
      </c>
      <c r="W141">
        <f>IF((phi!W86),VLOOKUP(W$1,main!$A$3:$I$56,5,FALSE)-VLOOKUP($A141,main!$A$3:$I$56,6,FALSE)+main!$D$58,0)</f>
        <v>0</v>
      </c>
      <c r="X141">
        <f>IF((phi!X86),VLOOKUP(X$1,main!$A$3:$I$56,5,FALSE)-VLOOKUP($A141,main!$A$3:$I$56,6,FALSE)+main!$D$58,0)</f>
        <v>0</v>
      </c>
      <c r="Y141">
        <f>IF((phi!Y86),VLOOKUP(Y$1,main!$A$3:$I$56,5,FALSE)-VLOOKUP($A141,main!$A$3:$I$56,6,FALSE)+main!$D$58,0)</f>
        <v>0</v>
      </c>
      <c r="Z141">
        <f>IF((phi!Z86),VLOOKUP(Z$1,main!$A$3:$I$56,5,FALSE)-VLOOKUP($A141,main!$A$3:$I$56,6,FALSE)+main!$D$58,0)</f>
        <v>0</v>
      </c>
      <c r="AA141">
        <f>IF((phi!AA86),VLOOKUP(AA$1,main!$A$3:$I$56,5,FALSE)-VLOOKUP($A141,main!$A$3:$I$56,6,FALSE)+main!$D$58,0)</f>
        <v>0</v>
      </c>
      <c r="AB141">
        <f>IF((phi!AB86),VLOOKUP(AB$1,main!$A$3:$I$56,5,FALSE)-VLOOKUP($A141,main!$A$3:$I$56,6,FALSE)+main!$D$58,0)</f>
        <v>270</v>
      </c>
      <c r="AC141">
        <f>IF((phi!AC86),VLOOKUP(AC$1,main!$A$3:$I$56,5,FALSE)-VLOOKUP($A141,main!$A$3:$I$56,6,FALSE)+main!$D$58,0)</f>
        <v>0</v>
      </c>
      <c r="AD141">
        <f>IF((phi!AD86),VLOOKUP(AD$1,main!$A$3:$I$56,5,FALSE)-VLOOKUP($A141,main!$A$3:$I$56,6,FALSE)+main!$D$58,0)</f>
        <v>0</v>
      </c>
      <c r="AE141">
        <f>IF((phi!AE86),VLOOKUP(AE$1,main!$A$3:$I$56,5,FALSE)-VLOOKUP($A141,main!$A$3:$I$56,6,FALSE)+main!$D$58,0)</f>
        <v>0</v>
      </c>
      <c r="AF141">
        <f>IF((phi!AF86),VLOOKUP(AF$1,main!$A$3:$I$56,5,FALSE)-VLOOKUP($A141,main!$A$3:$I$56,6,FALSE)+main!$D$58,0)</f>
        <v>0</v>
      </c>
      <c r="AG141">
        <f>IF((phi!AG86),VLOOKUP(AG$1,main!$A$3:$I$56,5,FALSE)-VLOOKUP($A141,main!$A$3:$I$56,6,FALSE)+main!$D$58,0)</f>
        <v>0</v>
      </c>
      <c r="AH141">
        <f>IF((phi!AH86),VLOOKUP(AH$1,main!$A$3:$I$56,5,FALSE)-VLOOKUP($A141,main!$A$3:$I$56,6,FALSE)+main!$D$58,0)</f>
        <v>0</v>
      </c>
      <c r="AI141">
        <f>IF((phi!AI86),VLOOKUP(AI$1,main!$A$3:$I$56,5,FALSE)-VLOOKUP($A141,main!$A$3:$I$56,6,FALSE)+main!$D$58,0)</f>
        <v>0</v>
      </c>
      <c r="AJ141">
        <f>IF((phi!AJ86),VLOOKUP(AJ$1,main!$A$3:$I$56,5,FALSE)-VLOOKUP($A141,main!$A$3:$I$56,6,FALSE)+main!$D$58,0)</f>
        <v>0</v>
      </c>
      <c r="AK141">
        <f>IF((phi!AK86),VLOOKUP(AK$1,main!$A$3:$I$56,5,FALSE)-VLOOKUP($A141,main!$A$3:$I$56,6,FALSE)+main!$D$58,0)</f>
        <v>0</v>
      </c>
      <c r="AL141">
        <f>IF((phi!AL86),VLOOKUP(AL$1,main!$A$3:$I$56,5,FALSE)-VLOOKUP($A141,main!$A$3:$I$56,6,FALSE)+main!$D$58,0)</f>
        <v>0</v>
      </c>
      <c r="AM141">
        <f>IF((phi!AM86),VLOOKUP(AM$1,main!$A$3:$I$56,5,FALSE)-VLOOKUP($A141,main!$A$3:$I$56,6,FALSE)+main!$D$58,0)</f>
        <v>0</v>
      </c>
      <c r="AN141">
        <f>IF((phi!AN86),VLOOKUP(AN$1,main!$A$3:$I$56,5,FALSE)-VLOOKUP($A141,main!$A$3:$I$56,6,FALSE)+main!$D$58,0)</f>
        <v>0</v>
      </c>
      <c r="AO141">
        <f>IF((phi!AO86),VLOOKUP(AO$1,main!$A$3:$I$56,5,FALSE)-VLOOKUP($A141,main!$A$3:$I$56,6,FALSE)+main!$D$58,0)</f>
        <v>0</v>
      </c>
      <c r="AP141">
        <f>IF((phi!AP86),VLOOKUP(AP$1,main!$A$3:$I$56,5,FALSE)-VLOOKUP($A141,main!$A$3:$I$56,6,FALSE)+main!$D$58,0)</f>
        <v>0</v>
      </c>
      <c r="AQ141">
        <f>IF((phi!AQ86),VLOOKUP(AQ$1,main!$A$3:$I$56,5,FALSE)-VLOOKUP($A141,main!$A$3:$I$56,6,FALSE)+main!$D$58,0)</f>
        <v>0</v>
      </c>
      <c r="AR141">
        <f>IF((phi!AR86),VLOOKUP(AR$1,main!$A$3:$I$56,5,FALSE)-VLOOKUP($A141,main!$A$3:$I$56,6,FALSE)+main!$D$58,0)</f>
        <v>0</v>
      </c>
      <c r="AS141">
        <f>IF((phi!AS86),VLOOKUP(AS$1,main!$A$3:$I$56,5,FALSE)-VLOOKUP($A141,main!$A$3:$I$56,6,FALSE)+main!$D$58,0)</f>
        <v>0</v>
      </c>
      <c r="AT141">
        <f>IF((phi!AT86),VLOOKUP(AT$1,main!$A$3:$I$56,5,FALSE)-VLOOKUP($A141,main!$A$3:$I$56,6,FALSE)+main!$D$58,0)</f>
        <v>0</v>
      </c>
      <c r="AU141">
        <f>IF((phi!AU86),VLOOKUP(AU$1,main!$A$3:$I$56,5,FALSE)-VLOOKUP($A141,main!$A$3:$I$56,6,FALSE)+main!$D$58,0)</f>
        <v>0</v>
      </c>
      <c r="AV141">
        <f>IF((phi!AV86),VLOOKUP(AV$1,main!$A$3:$I$56,5,FALSE)-VLOOKUP($A141,main!$A$3:$I$56,6,FALSE)+main!$D$58,0)</f>
        <v>0</v>
      </c>
      <c r="AW141">
        <f>IF((phi!AW86),VLOOKUP(AW$1,main!$A$3:$I$56,5,FALSE)-VLOOKUP($A141,main!$A$3:$I$56,6,FALSE)+main!$D$58,0)</f>
        <v>0</v>
      </c>
      <c r="AX141">
        <f>IF((phi!AX86),VLOOKUP(AX$1,main!$A$3:$I$56,5,FALSE)-VLOOKUP($A141,main!$A$3:$I$56,6,FALSE)+main!$D$58,0)</f>
        <v>0</v>
      </c>
      <c r="AY141">
        <f>IF((phi!AY86),VLOOKUP(AY$1,main!$A$3:$I$56,5,FALSE)-VLOOKUP($A141,main!$A$3:$I$56,6,FALSE)+main!$D$58,0)</f>
        <v>330</v>
      </c>
      <c r="AZ141">
        <f>IF((phi!AZ86),VLOOKUP(AZ$1,main!$A$3:$I$56,5,FALSE)-VLOOKUP($A141,main!$A$3:$I$56,6,FALSE)+main!$D$58,0)</f>
        <v>0</v>
      </c>
      <c r="BA141">
        <f>IF((phi!BA86),VLOOKUP(BA$1,main!$A$3:$I$56,5,FALSE)-VLOOKUP($A141,main!$A$3:$I$56,6,FALSE)+main!$D$58,0)</f>
        <v>0</v>
      </c>
      <c r="BB141">
        <f>IF((phi!BB86),VLOOKUP(BB$1,main!$A$3:$I$56,5,FALSE)-VLOOKUP($A141,main!$A$3:$I$56,6,FALSE)+main!$D$58,0)</f>
        <v>0</v>
      </c>
      <c r="BC141">
        <f>IF((phi!BC86),VLOOKUP(BC$1,main!$A$3:$I$56,5,FALSE)-VLOOKUP($A141,main!$A$3:$I$56,6,FALSE)+main!$D$58,0)</f>
        <v>0</v>
      </c>
      <c r="BD141">
        <f>IF((phi!BD86),VLOOKUP(BD$1,main!$A$3:$I$56,5,FALSE)-VLOOKUP($A141,main!$A$3:$I$56,6,FALSE)+main!$D$58,0)</f>
        <v>0</v>
      </c>
    </row>
    <row r="142" spans="1:56" x14ac:dyDescent="0.25">
      <c r="A142">
        <f t="shared" si="4"/>
        <v>30</v>
      </c>
      <c r="B142">
        <v>0</v>
      </c>
      <c r="C142">
        <f>IF((phi!C87),VLOOKUP(C$1,main!$A$3:$I$56,5,FALSE)-VLOOKUP($A142,main!$A$3:$I$56,6,FALSE)+main!$D$58,0)</f>
        <v>0</v>
      </c>
      <c r="D142">
        <f>IF((phi!D87),VLOOKUP(D$1,main!$A$3:$I$56,5,FALSE)-VLOOKUP($A142,main!$A$3:$I$56,6,FALSE)+main!$D$58,0)</f>
        <v>0</v>
      </c>
      <c r="E142">
        <f>IF((phi!E87),VLOOKUP(E$1,main!$A$3:$I$56,5,FALSE)-VLOOKUP($A142,main!$A$3:$I$56,6,FALSE)+main!$D$58,0)</f>
        <v>0</v>
      </c>
      <c r="F142">
        <f>IF((phi!F87),VLOOKUP(F$1,main!$A$3:$I$56,5,FALSE)-VLOOKUP($A142,main!$A$3:$I$56,6,FALSE)+main!$D$58,0)</f>
        <v>0</v>
      </c>
      <c r="G142">
        <f>IF((phi!G87),VLOOKUP(G$1,main!$A$3:$I$56,5,FALSE)-VLOOKUP($A142,main!$A$3:$I$56,6,FALSE)+main!$D$58,0)</f>
        <v>0</v>
      </c>
      <c r="H142">
        <f>IF((phi!H87),VLOOKUP(H$1,main!$A$3:$I$56,5,FALSE)-VLOOKUP($A142,main!$A$3:$I$56,6,FALSE)+main!$D$58,0)</f>
        <v>0</v>
      </c>
      <c r="I142">
        <f>IF((phi!I87),VLOOKUP(I$1,main!$A$3:$I$56,5,FALSE)-VLOOKUP($A142,main!$A$3:$I$56,6,FALSE)+main!$D$58,0)</f>
        <v>0</v>
      </c>
      <c r="J142">
        <f>IF((phi!J87),VLOOKUP(J$1,main!$A$3:$I$56,5,FALSE)-VLOOKUP($A142,main!$A$3:$I$56,6,FALSE)+main!$D$58,0)</f>
        <v>110</v>
      </c>
      <c r="K142">
        <f>IF((phi!K87),VLOOKUP(K$1,main!$A$3:$I$56,5,FALSE)-VLOOKUP($A142,main!$A$3:$I$56,6,FALSE)+main!$D$58,0)</f>
        <v>0</v>
      </c>
      <c r="L142">
        <f>IF((phi!L87),VLOOKUP(L$1,main!$A$3:$I$56,5,FALSE)-VLOOKUP($A142,main!$A$3:$I$56,6,FALSE)+main!$D$58,0)</f>
        <v>0</v>
      </c>
      <c r="M142">
        <f>IF((phi!M87),VLOOKUP(M$1,main!$A$3:$I$56,5,FALSE)-VLOOKUP($A142,main!$A$3:$I$56,6,FALSE)+main!$D$58,0)</f>
        <v>0</v>
      </c>
      <c r="N142">
        <f>IF((phi!N87),VLOOKUP(N$1,main!$A$3:$I$56,5,FALSE)-VLOOKUP($A142,main!$A$3:$I$56,6,FALSE)+main!$D$58,0)</f>
        <v>0</v>
      </c>
      <c r="O142">
        <f>IF((phi!O87),VLOOKUP(O$1,main!$A$3:$I$56,5,FALSE)-VLOOKUP($A142,main!$A$3:$I$56,6,FALSE)+main!$D$58,0)</f>
        <v>135</v>
      </c>
      <c r="P142">
        <f>IF((phi!P87),VLOOKUP(P$1,main!$A$3:$I$56,5,FALSE)-VLOOKUP($A142,main!$A$3:$I$56,6,FALSE)+main!$D$58,0)</f>
        <v>0</v>
      </c>
      <c r="Q142">
        <f>IF((phi!Q87),VLOOKUP(Q$1,main!$A$3:$I$56,5,FALSE)-VLOOKUP($A142,main!$A$3:$I$56,6,FALSE)+main!$D$58,0)</f>
        <v>0</v>
      </c>
      <c r="R142">
        <f>IF((phi!R87),VLOOKUP(R$1,main!$A$3:$I$56,5,FALSE)-VLOOKUP($A142,main!$A$3:$I$56,6,FALSE)+main!$D$58,0)</f>
        <v>0</v>
      </c>
      <c r="S142">
        <f>IF((phi!S87),VLOOKUP(S$1,main!$A$3:$I$56,5,FALSE)-VLOOKUP($A142,main!$A$3:$I$56,6,FALSE)+main!$D$58,0)</f>
        <v>0</v>
      </c>
      <c r="T142">
        <f>IF((phi!T87),VLOOKUP(T$1,main!$A$3:$I$56,5,FALSE)-VLOOKUP($A142,main!$A$3:$I$56,6,FALSE)+main!$D$58,0)</f>
        <v>0</v>
      </c>
      <c r="U142">
        <f>IF((phi!U87),VLOOKUP(U$1,main!$A$3:$I$56,5,FALSE)-VLOOKUP($A142,main!$A$3:$I$56,6,FALSE)+main!$D$58,0)</f>
        <v>0</v>
      </c>
      <c r="V142">
        <f>IF((phi!V87),VLOOKUP(V$1,main!$A$3:$I$56,5,FALSE)-VLOOKUP($A142,main!$A$3:$I$56,6,FALSE)+main!$D$58,0)</f>
        <v>0</v>
      </c>
      <c r="W142">
        <f>IF((phi!W87),VLOOKUP(W$1,main!$A$3:$I$56,5,FALSE)-VLOOKUP($A142,main!$A$3:$I$56,6,FALSE)+main!$D$58,0)</f>
        <v>0</v>
      </c>
      <c r="X142">
        <f>IF((phi!X87),VLOOKUP(X$1,main!$A$3:$I$56,5,FALSE)-VLOOKUP($A142,main!$A$3:$I$56,6,FALSE)+main!$D$58,0)</f>
        <v>0</v>
      </c>
      <c r="Y142">
        <f>IF((phi!Y87),VLOOKUP(Y$1,main!$A$3:$I$56,5,FALSE)-VLOOKUP($A142,main!$A$3:$I$56,6,FALSE)+main!$D$58,0)</f>
        <v>0</v>
      </c>
      <c r="Z142">
        <f>IF((phi!Z87),VLOOKUP(Z$1,main!$A$3:$I$56,5,FALSE)-VLOOKUP($A142,main!$A$3:$I$56,6,FALSE)+main!$D$58,0)</f>
        <v>0</v>
      </c>
      <c r="AA142">
        <f>IF((phi!AA87),VLOOKUP(AA$1,main!$A$3:$I$56,5,FALSE)-VLOOKUP($A142,main!$A$3:$I$56,6,FALSE)+main!$D$58,0)</f>
        <v>0</v>
      </c>
      <c r="AB142">
        <f>IF((phi!AB87),VLOOKUP(AB$1,main!$A$3:$I$56,5,FALSE)-VLOOKUP($A142,main!$A$3:$I$56,6,FALSE)+main!$D$58,0)</f>
        <v>0</v>
      </c>
      <c r="AC142">
        <f>IF((phi!AC87),VLOOKUP(AC$1,main!$A$3:$I$56,5,FALSE)-VLOOKUP($A142,main!$A$3:$I$56,6,FALSE)+main!$D$58,0)</f>
        <v>0</v>
      </c>
      <c r="AD142">
        <f>IF((phi!AD87),VLOOKUP(AD$1,main!$A$3:$I$56,5,FALSE)-VLOOKUP($A142,main!$A$3:$I$56,6,FALSE)+main!$D$58,0)</f>
        <v>0</v>
      </c>
      <c r="AE142">
        <f>IF((phi!AE87),VLOOKUP(AE$1,main!$A$3:$I$56,5,FALSE)-VLOOKUP($A142,main!$A$3:$I$56,6,FALSE)+main!$D$58,0)</f>
        <v>0</v>
      </c>
      <c r="AF142">
        <f>IF((phi!AF87),VLOOKUP(AF$1,main!$A$3:$I$56,5,FALSE)-VLOOKUP($A142,main!$A$3:$I$56,6,FALSE)+main!$D$58,0)</f>
        <v>0</v>
      </c>
      <c r="AG142">
        <f>IF((phi!AG87),VLOOKUP(AG$1,main!$A$3:$I$56,5,FALSE)-VLOOKUP($A142,main!$A$3:$I$56,6,FALSE)+main!$D$58,0)</f>
        <v>0</v>
      </c>
      <c r="AH142">
        <f>IF((phi!AH87),VLOOKUP(AH$1,main!$A$3:$I$56,5,FALSE)-VLOOKUP($A142,main!$A$3:$I$56,6,FALSE)+main!$D$58,0)</f>
        <v>0</v>
      </c>
      <c r="AI142">
        <f>IF((phi!AI87),VLOOKUP(AI$1,main!$A$3:$I$56,5,FALSE)-VLOOKUP($A142,main!$A$3:$I$56,6,FALSE)+main!$D$58,0)</f>
        <v>0</v>
      </c>
      <c r="AJ142">
        <f>IF((phi!AJ87),VLOOKUP(AJ$1,main!$A$3:$I$56,5,FALSE)-VLOOKUP($A142,main!$A$3:$I$56,6,FALSE)+main!$D$58,0)</f>
        <v>0</v>
      </c>
      <c r="AK142">
        <f>IF((phi!AK87),VLOOKUP(AK$1,main!$A$3:$I$56,5,FALSE)-VLOOKUP($A142,main!$A$3:$I$56,6,FALSE)+main!$D$58,0)</f>
        <v>0</v>
      </c>
      <c r="AL142">
        <f>IF((phi!AL87),VLOOKUP(AL$1,main!$A$3:$I$56,5,FALSE)-VLOOKUP($A142,main!$A$3:$I$56,6,FALSE)+main!$D$58,0)</f>
        <v>0</v>
      </c>
      <c r="AM142">
        <f>IF((phi!AM87),VLOOKUP(AM$1,main!$A$3:$I$56,5,FALSE)-VLOOKUP($A142,main!$A$3:$I$56,6,FALSE)+main!$D$58,0)</f>
        <v>0</v>
      </c>
      <c r="AN142">
        <f>IF((phi!AN87),VLOOKUP(AN$1,main!$A$3:$I$56,5,FALSE)-VLOOKUP($A142,main!$A$3:$I$56,6,FALSE)+main!$D$58,0)</f>
        <v>0</v>
      </c>
      <c r="AO142">
        <f>IF((phi!AO87),VLOOKUP(AO$1,main!$A$3:$I$56,5,FALSE)-VLOOKUP($A142,main!$A$3:$I$56,6,FALSE)+main!$D$58,0)</f>
        <v>0</v>
      </c>
      <c r="AP142">
        <f>IF((phi!AP87),VLOOKUP(AP$1,main!$A$3:$I$56,5,FALSE)-VLOOKUP($A142,main!$A$3:$I$56,6,FALSE)+main!$D$58,0)</f>
        <v>0</v>
      </c>
      <c r="AQ142">
        <f>IF((phi!AQ87),VLOOKUP(AQ$1,main!$A$3:$I$56,5,FALSE)-VLOOKUP($A142,main!$A$3:$I$56,6,FALSE)+main!$D$58,0)</f>
        <v>0</v>
      </c>
      <c r="AR142">
        <f>IF((phi!AR87),VLOOKUP(AR$1,main!$A$3:$I$56,5,FALSE)-VLOOKUP($A142,main!$A$3:$I$56,6,FALSE)+main!$D$58,0)</f>
        <v>0</v>
      </c>
      <c r="AS142">
        <f>IF((phi!AS87),VLOOKUP(AS$1,main!$A$3:$I$56,5,FALSE)-VLOOKUP($A142,main!$A$3:$I$56,6,FALSE)+main!$D$58,0)</f>
        <v>0</v>
      </c>
      <c r="AT142">
        <f>IF((phi!AT87),VLOOKUP(AT$1,main!$A$3:$I$56,5,FALSE)-VLOOKUP($A142,main!$A$3:$I$56,6,FALSE)+main!$D$58,0)</f>
        <v>0</v>
      </c>
      <c r="AU142">
        <f>IF((phi!AU87),VLOOKUP(AU$1,main!$A$3:$I$56,5,FALSE)-VLOOKUP($A142,main!$A$3:$I$56,6,FALSE)+main!$D$58,0)</f>
        <v>0</v>
      </c>
      <c r="AV142">
        <f>IF((phi!AV87),VLOOKUP(AV$1,main!$A$3:$I$56,5,FALSE)-VLOOKUP($A142,main!$A$3:$I$56,6,FALSE)+main!$D$58,0)</f>
        <v>0</v>
      </c>
      <c r="AW142">
        <f>IF((phi!AW87),VLOOKUP(AW$1,main!$A$3:$I$56,5,FALSE)-VLOOKUP($A142,main!$A$3:$I$56,6,FALSE)+main!$D$58,0)</f>
        <v>0</v>
      </c>
      <c r="AX142">
        <f>IF((phi!AX87),VLOOKUP(AX$1,main!$A$3:$I$56,5,FALSE)-VLOOKUP($A142,main!$A$3:$I$56,6,FALSE)+main!$D$58,0)</f>
        <v>0</v>
      </c>
      <c r="AY142">
        <f>IF((phi!AY87),VLOOKUP(AY$1,main!$A$3:$I$56,5,FALSE)-VLOOKUP($A142,main!$A$3:$I$56,6,FALSE)+main!$D$58,0)</f>
        <v>0</v>
      </c>
      <c r="AZ142">
        <f>IF((phi!AZ87),VLOOKUP(AZ$1,main!$A$3:$I$56,5,FALSE)-VLOOKUP($A142,main!$A$3:$I$56,6,FALSE)+main!$D$58,0)</f>
        <v>0</v>
      </c>
      <c r="BA142">
        <f>IF((phi!BA87),VLOOKUP(BA$1,main!$A$3:$I$56,5,FALSE)-VLOOKUP($A142,main!$A$3:$I$56,6,FALSE)+main!$D$58,0)</f>
        <v>0</v>
      </c>
      <c r="BB142">
        <f>IF((phi!BB87),VLOOKUP(BB$1,main!$A$3:$I$56,5,FALSE)-VLOOKUP($A142,main!$A$3:$I$56,6,FALSE)+main!$D$58,0)</f>
        <v>0</v>
      </c>
      <c r="BC142">
        <f>IF((phi!BC87),VLOOKUP(BC$1,main!$A$3:$I$56,5,FALSE)-VLOOKUP($A142,main!$A$3:$I$56,6,FALSE)+main!$D$58,0)</f>
        <v>0</v>
      </c>
      <c r="BD142">
        <f>IF((phi!BD87),VLOOKUP(BD$1,main!$A$3:$I$56,5,FALSE)-VLOOKUP($A142,main!$A$3:$I$56,6,FALSE)+main!$D$58,0)</f>
        <v>0</v>
      </c>
    </row>
    <row r="143" spans="1:56" x14ac:dyDescent="0.25">
      <c r="A143">
        <f t="shared" si="4"/>
        <v>31</v>
      </c>
      <c r="B143">
        <v>0</v>
      </c>
      <c r="C143">
        <f>IF((phi!C88),VLOOKUP(C$1,main!$A$3:$I$56,5,FALSE)-VLOOKUP($A143,main!$A$3:$I$56,6,FALSE)+main!$D$58,0)</f>
        <v>0</v>
      </c>
      <c r="D143">
        <f>IF((phi!D88),VLOOKUP(D$1,main!$A$3:$I$56,5,FALSE)-VLOOKUP($A143,main!$A$3:$I$56,6,FALSE)+main!$D$58,0)</f>
        <v>0</v>
      </c>
      <c r="E143">
        <f>IF((phi!E88),VLOOKUP(E$1,main!$A$3:$I$56,5,FALSE)-VLOOKUP($A143,main!$A$3:$I$56,6,FALSE)+main!$D$58,0)</f>
        <v>170</v>
      </c>
      <c r="F143">
        <f>IF((phi!F88),VLOOKUP(F$1,main!$A$3:$I$56,5,FALSE)-VLOOKUP($A143,main!$A$3:$I$56,6,FALSE)+main!$D$58,0)</f>
        <v>260</v>
      </c>
      <c r="G143">
        <f>IF((phi!G88),VLOOKUP(G$1,main!$A$3:$I$56,5,FALSE)-VLOOKUP($A143,main!$A$3:$I$56,6,FALSE)+main!$D$58,0)</f>
        <v>320</v>
      </c>
      <c r="H143">
        <f>IF((phi!H88),VLOOKUP(H$1,main!$A$3:$I$56,5,FALSE)-VLOOKUP($A143,main!$A$3:$I$56,6,FALSE)+main!$D$58,0)</f>
        <v>380</v>
      </c>
      <c r="I143">
        <f>IF((phi!I88),VLOOKUP(I$1,main!$A$3:$I$56,5,FALSE)-VLOOKUP($A143,main!$A$3:$I$56,6,FALSE)+main!$D$58,0)</f>
        <v>440</v>
      </c>
      <c r="J143">
        <f>IF((phi!J88),VLOOKUP(J$1,main!$A$3:$I$56,5,FALSE)-VLOOKUP($A143,main!$A$3:$I$56,6,FALSE)+main!$D$58,0)</f>
        <v>530</v>
      </c>
      <c r="K143">
        <f>IF((phi!K88),VLOOKUP(K$1,main!$A$3:$I$56,5,FALSE)-VLOOKUP($A143,main!$A$3:$I$56,6,FALSE)+main!$D$58,0)</f>
        <v>0</v>
      </c>
      <c r="L143">
        <f>IF((phi!L88),VLOOKUP(L$1,main!$A$3:$I$56,5,FALSE)-VLOOKUP($A143,main!$A$3:$I$56,6,FALSE)+main!$D$58,0)</f>
        <v>0</v>
      </c>
      <c r="M143">
        <f>IF((phi!M88),VLOOKUP(M$1,main!$A$3:$I$56,5,FALSE)-VLOOKUP($A143,main!$A$3:$I$56,6,FALSE)+main!$D$58,0)</f>
        <v>135</v>
      </c>
      <c r="N143">
        <f>IF((phi!N88),VLOOKUP(N$1,main!$A$3:$I$56,5,FALSE)-VLOOKUP($A143,main!$A$3:$I$56,6,FALSE)+main!$D$58,0)</f>
        <v>495</v>
      </c>
      <c r="O143">
        <f>IF((phi!O88),VLOOKUP(O$1,main!$A$3:$I$56,5,FALSE)-VLOOKUP($A143,main!$A$3:$I$56,6,FALSE)+main!$D$58,0)</f>
        <v>555</v>
      </c>
      <c r="P143">
        <f>IF((phi!P88),VLOOKUP(P$1,main!$A$3:$I$56,5,FALSE)-VLOOKUP($A143,main!$A$3:$I$56,6,FALSE)+main!$D$58,0)</f>
        <v>0</v>
      </c>
      <c r="Q143">
        <f>IF((phi!Q88),VLOOKUP(Q$1,main!$A$3:$I$56,5,FALSE)-VLOOKUP($A143,main!$A$3:$I$56,6,FALSE)+main!$D$58,0)</f>
        <v>0</v>
      </c>
      <c r="R143">
        <f>IF((phi!R88),VLOOKUP(R$1,main!$A$3:$I$56,5,FALSE)-VLOOKUP($A143,main!$A$3:$I$56,6,FALSE)+main!$D$58,0)</f>
        <v>130</v>
      </c>
      <c r="S143">
        <f>IF((phi!S88),VLOOKUP(S$1,main!$A$3:$I$56,5,FALSE)-VLOOKUP($A143,main!$A$3:$I$56,6,FALSE)+main!$D$58,0)</f>
        <v>310</v>
      </c>
      <c r="T143">
        <f>IF((phi!T88),VLOOKUP(T$1,main!$A$3:$I$56,5,FALSE)-VLOOKUP($A143,main!$A$3:$I$56,6,FALSE)+main!$D$58,0)</f>
        <v>460</v>
      </c>
      <c r="U143">
        <f>IF((phi!U88),VLOOKUP(U$1,main!$A$3:$I$56,5,FALSE)-VLOOKUP($A143,main!$A$3:$I$56,6,FALSE)+main!$D$58,0)</f>
        <v>0</v>
      </c>
      <c r="V143">
        <f>IF((phi!V88),VLOOKUP(V$1,main!$A$3:$I$56,5,FALSE)-VLOOKUP($A143,main!$A$3:$I$56,6,FALSE)+main!$D$58,0)</f>
        <v>0</v>
      </c>
      <c r="W143">
        <f>IF((phi!W88),VLOOKUP(W$1,main!$A$3:$I$56,5,FALSE)-VLOOKUP($A143,main!$A$3:$I$56,6,FALSE)+main!$D$58,0)</f>
        <v>0</v>
      </c>
      <c r="X143">
        <f>IF((phi!X88),VLOOKUP(X$1,main!$A$3:$I$56,5,FALSE)-VLOOKUP($A143,main!$A$3:$I$56,6,FALSE)+main!$D$58,0)</f>
        <v>0</v>
      </c>
      <c r="Y143">
        <f>IF((phi!Y88),VLOOKUP(Y$1,main!$A$3:$I$56,5,FALSE)-VLOOKUP($A143,main!$A$3:$I$56,6,FALSE)+main!$D$58,0)</f>
        <v>0</v>
      </c>
      <c r="Z143">
        <f>IF((phi!Z88),VLOOKUP(Z$1,main!$A$3:$I$56,5,FALSE)-VLOOKUP($A143,main!$A$3:$I$56,6,FALSE)+main!$D$58,0)</f>
        <v>330</v>
      </c>
      <c r="AA143">
        <f>IF((phi!AA88),VLOOKUP(AA$1,main!$A$3:$I$56,5,FALSE)-VLOOKUP($A143,main!$A$3:$I$56,6,FALSE)+main!$D$58,0)</f>
        <v>420</v>
      </c>
      <c r="AB143">
        <f>IF((phi!AB88),VLOOKUP(AB$1,main!$A$3:$I$56,5,FALSE)-VLOOKUP($A143,main!$A$3:$I$56,6,FALSE)+main!$D$58,0)</f>
        <v>480</v>
      </c>
      <c r="AC143">
        <f>IF((phi!AC88),VLOOKUP(AC$1,main!$A$3:$I$56,5,FALSE)-VLOOKUP($A143,main!$A$3:$I$56,6,FALSE)+main!$D$58,0)</f>
        <v>0</v>
      </c>
      <c r="AD143">
        <f>IF((phi!AD88),VLOOKUP(AD$1,main!$A$3:$I$56,5,FALSE)-VLOOKUP($A143,main!$A$3:$I$56,6,FALSE)+main!$D$58,0)</f>
        <v>0</v>
      </c>
      <c r="AE143">
        <f>IF((phi!AE88),VLOOKUP(AE$1,main!$A$3:$I$56,5,FALSE)-VLOOKUP($A143,main!$A$3:$I$56,6,FALSE)+main!$D$58,0)</f>
        <v>0</v>
      </c>
      <c r="AF143">
        <f>IF((phi!AF88),VLOOKUP(AF$1,main!$A$3:$I$56,5,FALSE)-VLOOKUP($A143,main!$A$3:$I$56,6,FALSE)+main!$D$58,0)</f>
        <v>290</v>
      </c>
      <c r="AG143">
        <f>IF((phi!AG88),VLOOKUP(AG$1,main!$A$3:$I$56,5,FALSE)-VLOOKUP($A143,main!$A$3:$I$56,6,FALSE)+main!$D$58,0)</f>
        <v>0</v>
      </c>
      <c r="AH143">
        <f>IF((phi!AH88),VLOOKUP(AH$1,main!$A$3:$I$56,5,FALSE)-VLOOKUP($A143,main!$A$3:$I$56,6,FALSE)+main!$D$58,0)</f>
        <v>0</v>
      </c>
      <c r="AI143">
        <f>IF((phi!AI88),VLOOKUP(AI$1,main!$A$3:$I$56,5,FALSE)-VLOOKUP($A143,main!$A$3:$I$56,6,FALSE)+main!$D$58,0)</f>
        <v>0</v>
      </c>
      <c r="AJ143">
        <f>IF((phi!AJ88),VLOOKUP(AJ$1,main!$A$3:$I$56,5,FALSE)-VLOOKUP($A143,main!$A$3:$I$56,6,FALSE)+main!$D$58,0)</f>
        <v>260</v>
      </c>
      <c r="AK143">
        <f>IF((phi!AK88),VLOOKUP(AK$1,main!$A$3:$I$56,5,FALSE)-VLOOKUP($A143,main!$A$3:$I$56,6,FALSE)+main!$D$58,0)</f>
        <v>380</v>
      </c>
      <c r="AL143">
        <f>IF((phi!AL88),VLOOKUP(AL$1,main!$A$3:$I$56,5,FALSE)-VLOOKUP($A143,main!$A$3:$I$56,6,FALSE)+main!$D$58,0)</f>
        <v>0</v>
      </c>
      <c r="AM143">
        <f>IF((phi!AM88),VLOOKUP(AM$1,main!$A$3:$I$56,5,FALSE)-VLOOKUP($A143,main!$A$3:$I$56,6,FALSE)+main!$D$58,0)</f>
        <v>0</v>
      </c>
      <c r="AN143">
        <f>IF((phi!AN88),VLOOKUP(AN$1,main!$A$3:$I$56,5,FALSE)-VLOOKUP($A143,main!$A$3:$I$56,6,FALSE)+main!$D$58,0)</f>
        <v>0</v>
      </c>
      <c r="AO143">
        <f>IF((phi!AO88),VLOOKUP(AO$1,main!$A$3:$I$56,5,FALSE)-VLOOKUP($A143,main!$A$3:$I$56,6,FALSE)+main!$D$58,0)</f>
        <v>290</v>
      </c>
      <c r="AP143">
        <f>IF((phi!AP88),VLOOKUP(AP$1,main!$A$3:$I$56,5,FALSE)-VLOOKUP($A143,main!$A$3:$I$56,6,FALSE)+main!$D$58,0)</f>
        <v>0</v>
      </c>
      <c r="AQ143">
        <f>IF((phi!AQ88),VLOOKUP(AQ$1,main!$A$3:$I$56,5,FALSE)-VLOOKUP($A143,main!$A$3:$I$56,6,FALSE)+main!$D$58,0)</f>
        <v>0</v>
      </c>
      <c r="AR143">
        <f>IF((phi!AR88),VLOOKUP(AR$1,main!$A$3:$I$56,5,FALSE)-VLOOKUP($A143,main!$A$3:$I$56,6,FALSE)+main!$D$58,0)</f>
        <v>0</v>
      </c>
      <c r="AS143">
        <f>IF((phi!AS88),VLOOKUP(AS$1,main!$A$3:$I$56,5,FALSE)-VLOOKUP($A143,main!$A$3:$I$56,6,FALSE)+main!$D$58,0)</f>
        <v>0</v>
      </c>
      <c r="AT143">
        <f>IF((phi!AT88),VLOOKUP(AT$1,main!$A$3:$I$56,5,FALSE)-VLOOKUP($A143,main!$A$3:$I$56,6,FALSE)+main!$D$58,0)</f>
        <v>0</v>
      </c>
      <c r="AU143">
        <f>IF((phi!AU88),VLOOKUP(AU$1,main!$A$3:$I$56,5,FALSE)-VLOOKUP($A143,main!$A$3:$I$56,6,FALSE)+main!$D$58,0)</f>
        <v>0</v>
      </c>
      <c r="AV143">
        <f>IF((phi!AV88),VLOOKUP(AV$1,main!$A$3:$I$56,5,FALSE)-VLOOKUP($A143,main!$A$3:$I$56,6,FALSE)+main!$D$58,0)</f>
        <v>0</v>
      </c>
      <c r="AW143">
        <f>IF((phi!AW88),VLOOKUP(AW$1,main!$A$3:$I$56,5,FALSE)-VLOOKUP($A143,main!$A$3:$I$56,6,FALSE)+main!$D$58,0)</f>
        <v>0</v>
      </c>
      <c r="AX143">
        <f>IF((phi!AX88),VLOOKUP(AX$1,main!$A$3:$I$56,5,FALSE)-VLOOKUP($A143,main!$A$3:$I$56,6,FALSE)+main!$D$58,0)</f>
        <v>340</v>
      </c>
      <c r="AY143">
        <f>IF((phi!AY88),VLOOKUP(AY$1,main!$A$3:$I$56,5,FALSE)-VLOOKUP($A143,main!$A$3:$I$56,6,FALSE)+main!$D$58,0)</f>
        <v>540</v>
      </c>
      <c r="AZ143">
        <f>IF((phi!AZ88),VLOOKUP(AZ$1,main!$A$3:$I$56,5,FALSE)-VLOOKUP($A143,main!$A$3:$I$56,6,FALSE)+main!$D$58,0)</f>
        <v>0</v>
      </c>
      <c r="BA143">
        <f>IF((phi!BA88),VLOOKUP(BA$1,main!$A$3:$I$56,5,FALSE)-VLOOKUP($A143,main!$A$3:$I$56,6,FALSE)+main!$D$58,0)</f>
        <v>0</v>
      </c>
      <c r="BB143">
        <f>IF((phi!BB88),VLOOKUP(BB$1,main!$A$3:$I$56,5,FALSE)-VLOOKUP($A143,main!$A$3:$I$56,6,FALSE)+main!$D$58,0)</f>
        <v>0</v>
      </c>
      <c r="BC143">
        <f>IF((phi!BC88),VLOOKUP(BC$1,main!$A$3:$I$56,5,FALSE)-VLOOKUP($A143,main!$A$3:$I$56,6,FALSE)+main!$D$58,0)</f>
        <v>0</v>
      </c>
      <c r="BD143">
        <f>IF((phi!BD88),VLOOKUP(BD$1,main!$A$3:$I$56,5,FALSE)-VLOOKUP($A143,main!$A$3:$I$56,6,FALSE)+main!$D$58,0)</f>
        <v>0</v>
      </c>
    </row>
    <row r="144" spans="1:56" x14ac:dyDescent="0.25">
      <c r="A144">
        <f t="shared" si="4"/>
        <v>32</v>
      </c>
      <c r="B144">
        <v>0</v>
      </c>
      <c r="C144">
        <f>IF((phi!C89),VLOOKUP(C$1,main!$A$3:$I$56,5,FALSE)-VLOOKUP($A144,main!$A$3:$I$56,6,FALSE)+main!$D$58,0)</f>
        <v>0</v>
      </c>
      <c r="D144">
        <f>IF((phi!D89),VLOOKUP(D$1,main!$A$3:$I$56,5,FALSE)-VLOOKUP($A144,main!$A$3:$I$56,6,FALSE)+main!$D$58,0)</f>
        <v>0</v>
      </c>
      <c r="E144">
        <f>IF((phi!E89),VLOOKUP(E$1,main!$A$3:$I$56,5,FALSE)-VLOOKUP($A144,main!$A$3:$I$56,6,FALSE)+main!$D$58,0)</f>
        <v>0</v>
      </c>
      <c r="F144">
        <f>IF((phi!F89),VLOOKUP(F$1,main!$A$3:$I$56,5,FALSE)-VLOOKUP($A144,main!$A$3:$I$56,6,FALSE)+main!$D$58,0)</f>
        <v>0</v>
      </c>
      <c r="G144">
        <f>IF((phi!G89),VLOOKUP(G$1,main!$A$3:$I$56,5,FALSE)-VLOOKUP($A144,main!$A$3:$I$56,6,FALSE)+main!$D$58,0)</f>
        <v>150</v>
      </c>
      <c r="H144">
        <f>IF((phi!H89),VLOOKUP(H$1,main!$A$3:$I$56,5,FALSE)-VLOOKUP($A144,main!$A$3:$I$56,6,FALSE)+main!$D$58,0)</f>
        <v>210</v>
      </c>
      <c r="I144">
        <f>IF((phi!I89),VLOOKUP(I$1,main!$A$3:$I$56,5,FALSE)-VLOOKUP($A144,main!$A$3:$I$56,6,FALSE)+main!$D$58,0)</f>
        <v>270</v>
      </c>
      <c r="J144">
        <f>IF((phi!J89),VLOOKUP(J$1,main!$A$3:$I$56,5,FALSE)-VLOOKUP($A144,main!$A$3:$I$56,6,FALSE)+main!$D$58,0)</f>
        <v>360</v>
      </c>
      <c r="K144">
        <f>IF((phi!K89),VLOOKUP(K$1,main!$A$3:$I$56,5,FALSE)-VLOOKUP($A144,main!$A$3:$I$56,6,FALSE)+main!$D$58,0)</f>
        <v>0</v>
      </c>
      <c r="L144">
        <f>IF((phi!L89),VLOOKUP(L$1,main!$A$3:$I$56,5,FALSE)-VLOOKUP($A144,main!$A$3:$I$56,6,FALSE)+main!$D$58,0)</f>
        <v>0</v>
      </c>
      <c r="M144">
        <f>IF((phi!M89),VLOOKUP(M$1,main!$A$3:$I$56,5,FALSE)-VLOOKUP($A144,main!$A$3:$I$56,6,FALSE)+main!$D$58,0)</f>
        <v>0</v>
      </c>
      <c r="N144">
        <f>IF((phi!N89),VLOOKUP(N$1,main!$A$3:$I$56,5,FALSE)-VLOOKUP($A144,main!$A$3:$I$56,6,FALSE)+main!$D$58,0)</f>
        <v>325</v>
      </c>
      <c r="O144">
        <f>IF((phi!O89),VLOOKUP(O$1,main!$A$3:$I$56,5,FALSE)-VLOOKUP($A144,main!$A$3:$I$56,6,FALSE)+main!$D$58,0)</f>
        <v>385</v>
      </c>
      <c r="P144">
        <f>IF((phi!P89),VLOOKUP(P$1,main!$A$3:$I$56,5,FALSE)-VLOOKUP($A144,main!$A$3:$I$56,6,FALSE)+main!$D$58,0)</f>
        <v>0</v>
      </c>
      <c r="Q144">
        <f>IF((phi!Q89),VLOOKUP(Q$1,main!$A$3:$I$56,5,FALSE)-VLOOKUP($A144,main!$A$3:$I$56,6,FALSE)+main!$D$58,0)</f>
        <v>0</v>
      </c>
      <c r="R144">
        <f>IF((phi!R89),VLOOKUP(R$1,main!$A$3:$I$56,5,FALSE)-VLOOKUP($A144,main!$A$3:$I$56,6,FALSE)+main!$D$58,0)</f>
        <v>0</v>
      </c>
      <c r="S144">
        <f>IF((phi!S89),VLOOKUP(S$1,main!$A$3:$I$56,5,FALSE)-VLOOKUP($A144,main!$A$3:$I$56,6,FALSE)+main!$D$58,0)</f>
        <v>140</v>
      </c>
      <c r="T144">
        <f>IF((phi!T89),VLOOKUP(T$1,main!$A$3:$I$56,5,FALSE)-VLOOKUP($A144,main!$A$3:$I$56,6,FALSE)+main!$D$58,0)</f>
        <v>290</v>
      </c>
      <c r="U144">
        <f>IF((phi!U89),VLOOKUP(U$1,main!$A$3:$I$56,5,FALSE)-VLOOKUP($A144,main!$A$3:$I$56,6,FALSE)+main!$D$58,0)</f>
        <v>0</v>
      </c>
      <c r="V144">
        <f>IF((phi!V89),VLOOKUP(V$1,main!$A$3:$I$56,5,FALSE)-VLOOKUP($A144,main!$A$3:$I$56,6,FALSE)+main!$D$58,0)</f>
        <v>0</v>
      </c>
      <c r="W144">
        <f>IF((phi!W89),VLOOKUP(W$1,main!$A$3:$I$56,5,FALSE)-VLOOKUP($A144,main!$A$3:$I$56,6,FALSE)+main!$D$58,0)</f>
        <v>0</v>
      </c>
      <c r="X144">
        <f>IF((phi!X89),VLOOKUP(X$1,main!$A$3:$I$56,5,FALSE)-VLOOKUP($A144,main!$A$3:$I$56,6,FALSE)+main!$D$58,0)</f>
        <v>0</v>
      </c>
      <c r="Y144">
        <f>IF((phi!Y89),VLOOKUP(Y$1,main!$A$3:$I$56,5,FALSE)-VLOOKUP($A144,main!$A$3:$I$56,6,FALSE)+main!$D$58,0)</f>
        <v>0</v>
      </c>
      <c r="Z144">
        <f>IF((phi!Z89),VLOOKUP(Z$1,main!$A$3:$I$56,5,FALSE)-VLOOKUP($A144,main!$A$3:$I$56,6,FALSE)+main!$D$58,0)</f>
        <v>0</v>
      </c>
      <c r="AA144">
        <f>IF((phi!AA89),VLOOKUP(AA$1,main!$A$3:$I$56,5,FALSE)-VLOOKUP($A144,main!$A$3:$I$56,6,FALSE)+main!$D$58,0)</f>
        <v>250</v>
      </c>
      <c r="AB144">
        <f>IF((phi!AB89),VLOOKUP(AB$1,main!$A$3:$I$56,5,FALSE)-VLOOKUP($A144,main!$A$3:$I$56,6,FALSE)+main!$D$58,0)</f>
        <v>310</v>
      </c>
      <c r="AC144">
        <f>IF((phi!AC89),VLOOKUP(AC$1,main!$A$3:$I$56,5,FALSE)-VLOOKUP($A144,main!$A$3:$I$56,6,FALSE)+main!$D$58,0)</f>
        <v>0</v>
      </c>
      <c r="AD144">
        <f>IF((phi!AD89),VLOOKUP(AD$1,main!$A$3:$I$56,5,FALSE)-VLOOKUP($A144,main!$A$3:$I$56,6,FALSE)+main!$D$58,0)</f>
        <v>0</v>
      </c>
      <c r="AE144">
        <f>IF((phi!AE89),VLOOKUP(AE$1,main!$A$3:$I$56,5,FALSE)-VLOOKUP($A144,main!$A$3:$I$56,6,FALSE)+main!$D$58,0)</f>
        <v>0</v>
      </c>
      <c r="AF144">
        <f>IF((phi!AF89),VLOOKUP(AF$1,main!$A$3:$I$56,5,FALSE)-VLOOKUP($A144,main!$A$3:$I$56,6,FALSE)+main!$D$58,0)</f>
        <v>0</v>
      </c>
      <c r="AG144">
        <f>IF((phi!AG89),VLOOKUP(AG$1,main!$A$3:$I$56,5,FALSE)-VLOOKUP($A144,main!$A$3:$I$56,6,FALSE)+main!$D$58,0)</f>
        <v>0</v>
      </c>
      <c r="AH144">
        <f>IF((phi!AH89),VLOOKUP(AH$1,main!$A$3:$I$56,5,FALSE)-VLOOKUP($A144,main!$A$3:$I$56,6,FALSE)+main!$D$58,0)</f>
        <v>0</v>
      </c>
      <c r="AI144">
        <f>IF((phi!AI89),VLOOKUP(AI$1,main!$A$3:$I$56,5,FALSE)-VLOOKUP($A144,main!$A$3:$I$56,6,FALSE)+main!$D$58,0)</f>
        <v>0</v>
      </c>
      <c r="AJ144">
        <f>IF((phi!AJ89),VLOOKUP(AJ$1,main!$A$3:$I$56,5,FALSE)-VLOOKUP($A144,main!$A$3:$I$56,6,FALSE)+main!$D$58,0)</f>
        <v>0</v>
      </c>
      <c r="AK144">
        <f>IF((phi!AK89),VLOOKUP(AK$1,main!$A$3:$I$56,5,FALSE)-VLOOKUP($A144,main!$A$3:$I$56,6,FALSE)+main!$D$58,0)</f>
        <v>0</v>
      </c>
      <c r="AL144">
        <f>IF((phi!AL89),VLOOKUP(AL$1,main!$A$3:$I$56,5,FALSE)-VLOOKUP($A144,main!$A$3:$I$56,6,FALSE)+main!$D$58,0)</f>
        <v>0</v>
      </c>
      <c r="AM144">
        <f>IF((phi!AM89),VLOOKUP(AM$1,main!$A$3:$I$56,5,FALSE)-VLOOKUP($A144,main!$A$3:$I$56,6,FALSE)+main!$D$58,0)</f>
        <v>0</v>
      </c>
      <c r="AN144">
        <f>IF((phi!AN89),VLOOKUP(AN$1,main!$A$3:$I$56,5,FALSE)-VLOOKUP($A144,main!$A$3:$I$56,6,FALSE)+main!$D$58,0)</f>
        <v>0</v>
      </c>
      <c r="AO144">
        <f>IF((phi!AO89),VLOOKUP(AO$1,main!$A$3:$I$56,5,FALSE)-VLOOKUP($A144,main!$A$3:$I$56,6,FALSE)+main!$D$58,0)</f>
        <v>0</v>
      </c>
      <c r="AP144">
        <f>IF((phi!AP89),VLOOKUP(AP$1,main!$A$3:$I$56,5,FALSE)-VLOOKUP($A144,main!$A$3:$I$56,6,FALSE)+main!$D$58,0)</f>
        <v>0</v>
      </c>
      <c r="AQ144">
        <f>IF((phi!AQ89),VLOOKUP(AQ$1,main!$A$3:$I$56,5,FALSE)-VLOOKUP($A144,main!$A$3:$I$56,6,FALSE)+main!$D$58,0)</f>
        <v>0</v>
      </c>
      <c r="AR144">
        <f>IF((phi!AR89),VLOOKUP(AR$1,main!$A$3:$I$56,5,FALSE)-VLOOKUP($A144,main!$A$3:$I$56,6,FALSE)+main!$D$58,0)</f>
        <v>0</v>
      </c>
      <c r="AS144">
        <f>IF((phi!AS89),VLOOKUP(AS$1,main!$A$3:$I$56,5,FALSE)-VLOOKUP($A144,main!$A$3:$I$56,6,FALSE)+main!$D$58,0)</f>
        <v>0</v>
      </c>
      <c r="AT144">
        <f>IF((phi!AT89),VLOOKUP(AT$1,main!$A$3:$I$56,5,FALSE)-VLOOKUP($A144,main!$A$3:$I$56,6,FALSE)+main!$D$58,0)</f>
        <v>0</v>
      </c>
      <c r="AU144">
        <f>IF((phi!AU89),VLOOKUP(AU$1,main!$A$3:$I$56,5,FALSE)-VLOOKUP($A144,main!$A$3:$I$56,6,FALSE)+main!$D$58,0)</f>
        <v>0</v>
      </c>
      <c r="AV144">
        <f>IF((phi!AV89),VLOOKUP(AV$1,main!$A$3:$I$56,5,FALSE)-VLOOKUP($A144,main!$A$3:$I$56,6,FALSE)+main!$D$58,0)</f>
        <v>0</v>
      </c>
      <c r="AW144">
        <f>IF((phi!AW89),VLOOKUP(AW$1,main!$A$3:$I$56,5,FALSE)-VLOOKUP($A144,main!$A$3:$I$56,6,FALSE)+main!$D$58,0)</f>
        <v>0</v>
      </c>
      <c r="AX144">
        <f>IF((phi!AX89),VLOOKUP(AX$1,main!$A$3:$I$56,5,FALSE)-VLOOKUP($A144,main!$A$3:$I$56,6,FALSE)+main!$D$58,0)</f>
        <v>0</v>
      </c>
      <c r="AY144">
        <f>IF((phi!AY89),VLOOKUP(AY$1,main!$A$3:$I$56,5,FALSE)-VLOOKUP($A144,main!$A$3:$I$56,6,FALSE)+main!$D$58,0)</f>
        <v>370</v>
      </c>
      <c r="AZ144">
        <f>IF((phi!AZ89),VLOOKUP(AZ$1,main!$A$3:$I$56,5,FALSE)-VLOOKUP($A144,main!$A$3:$I$56,6,FALSE)+main!$D$58,0)</f>
        <v>0</v>
      </c>
      <c r="BA144">
        <f>IF((phi!BA89),VLOOKUP(BA$1,main!$A$3:$I$56,5,FALSE)-VLOOKUP($A144,main!$A$3:$I$56,6,FALSE)+main!$D$58,0)</f>
        <v>0</v>
      </c>
      <c r="BB144">
        <f>IF((phi!BB89),VLOOKUP(BB$1,main!$A$3:$I$56,5,FALSE)-VLOOKUP($A144,main!$A$3:$I$56,6,FALSE)+main!$D$58,0)</f>
        <v>0</v>
      </c>
      <c r="BC144">
        <f>IF((phi!BC89),VLOOKUP(BC$1,main!$A$3:$I$56,5,FALSE)-VLOOKUP($A144,main!$A$3:$I$56,6,FALSE)+main!$D$58,0)</f>
        <v>0</v>
      </c>
      <c r="BD144">
        <f>IF((phi!BD89),VLOOKUP(BD$1,main!$A$3:$I$56,5,FALSE)-VLOOKUP($A144,main!$A$3:$I$56,6,FALSE)+main!$D$58,0)</f>
        <v>0</v>
      </c>
    </row>
    <row r="145" spans="1:56" x14ac:dyDescent="0.25">
      <c r="A145">
        <f t="shared" si="4"/>
        <v>33</v>
      </c>
      <c r="B145">
        <v>0</v>
      </c>
      <c r="C145">
        <f>IF((phi!C90),VLOOKUP(C$1,main!$A$3:$I$56,5,FALSE)-VLOOKUP($A145,main!$A$3:$I$56,6,FALSE)+main!$D$58,0)</f>
        <v>0</v>
      </c>
      <c r="D145">
        <f>IF((phi!D90),VLOOKUP(D$1,main!$A$3:$I$56,5,FALSE)-VLOOKUP($A145,main!$A$3:$I$56,6,FALSE)+main!$D$58,0)</f>
        <v>0</v>
      </c>
      <c r="E145">
        <f>IF((phi!E90),VLOOKUP(E$1,main!$A$3:$I$56,5,FALSE)-VLOOKUP($A145,main!$A$3:$I$56,6,FALSE)+main!$D$58,0)</f>
        <v>0</v>
      </c>
      <c r="F145">
        <f>IF((phi!F90),VLOOKUP(F$1,main!$A$3:$I$56,5,FALSE)-VLOOKUP($A145,main!$A$3:$I$56,6,FALSE)+main!$D$58,0)</f>
        <v>0</v>
      </c>
      <c r="G145">
        <f>IF((phi!G90),VLOOKUP(G$1,main!$A$3:$I$56,5,FALSE)-VLOOKUP($A145,main!$A$3:$I$56,6,FALSE)+main!$D$58,0)</f>
        <v>0</v>
      </c>
      <c r="H145">
        <f>IF((phi!H90),VLOOKUP(H$1,main!$A$3:$I$56,5,FALSE)-VLOOKUP($A145,main!$A$3:$I$56,6,FALSE)+main!$D$58,0)</f>
        <v>0</v>
      </c>
      <c r="I145">
        <f>IF((phi!I90),VLOOKUP(I$1,main!$A$3:$I$56,5,FALSE)-VLOOKUP($A145,main!$A$3:$I$56,6,FALSE)+main!$D$58,0)</f>
        <v>150</v>
      </c>
      <c r="J145">
        <f>IF((phi!J90),VLOOKUP(J$1,main!$A$3:$I$56,5,FALSE)-VLOOKUP($A145,main!$A$3:$I$56,6,FALSE)+main!$D$58,0)</f>
        <v>240</v>
      </c>
      <c r="K145">
        <f>IF((phi!K90),VLOOKUP(K$1,main!$A$3:$I$56,5,FALSE)-VLOOKUP($A145,main!$A$3:$I$56,6,FALSE)+main!$D$58,0)</f>
        <v>0</v>
      </c>
      <c r="L145">
        <f>IF((phi!L90),VLOOKUP(L$1,main!$A$3:$I$56,5,FALSE)-VLOOKUP($A145,main!$A$3:$I$56,6,FALSE)+main!$D$58,0)</f>
        <v>0</v>
      </c>
      <c r="M145">
        <f>IF((phi!M90),VLOOKUP(M$1,main!$A$3:$I$56,5,FALSE)-VLOOKUP($A145,main!$A$3:$I$56,6,FALSE)+main!$D$58,0)</f>
        <v>0</v>
      </c>
      <c r="N145">
        <f>IF((phi!N90),VLOOKUP(N$1,main!$A$3:$I$56,5,FALSE)-VLOOKUP($A145,main!$A$3:$I$56,6,FALSE)+main!$D$58,0)</f>
        <v>205</v>
      </c>
      <c r="O145">
        <f>IF((phi!O90),VLOOKUP(O$1,main!$A$3:$I$56,5,FALSE)-VLOOKUP($A145,main!$A$3:$I$56,6,FALSE)+main!$D$58,0)</f>
        <v>265</v>
      </c>
      <c r="P145">
        <f>IF((phi!P90),VLOOKUP(P$1,main!$A$3:$I$56,5,FALSE)-VLOOKUP($A145,main!$A$3:$I$56,6,FALSE)+main!$D$58,0)</f>
        <v>0</v>
      </c>
      <c r="Q145">
        <f>IF((phi!Q90),VLOOKUP(Q$1,main!$A$3:$I$56,5,FALSE)-VLOOKUP($A145,main!$A$3:$I$56,6,FALSE)+main!$D$58,0)</f>
        <v>0</v>
      </c>
      <c r="R145">
        <f>IF((phi!R90),VLOOKUP(R$1,main!$A$3:$I$56,5,FALSE)-VLOOKUP($A145,main!$A$3:$I$56,6,FALSE)+main!$D$58,0)</f>
        <v>0</v>
      </c>
      <c r="S145">
        <f>IF((phi!S90),VLOOKUP(S$1,main!$A$3:$I$56,5,FALSE)-VLOOKUP($A145,main!$A$3:$I$56,6,FALSE)+main!$D$58,0)</f>
        <v>0</v>
      </c>
      <c r="T145">
        <f>IF((phi!T90),VLOOKUP(T$1,main!$A$3:$I$56,5,FALSE)-VLOOKUP($A145,main!$A$3:$I$56,6,FALSE)+main!$D$58,0)</f>
        <v>170</v>
      </c>
      <c r="U145">
        <f>IF((phi!U90),VLOOKUP(U$1,main!$A$3:$I$56,5,FALSE)-VLOOKUP($A145,main!$A$3:$I$56,6,FALSE)+main!$D$58,0)</f>
        <v>0</v>
      </c>
      <c r="V145">
        <f>IF((phi!V90),VLOOKUP(V$1,main!$A$3:$I$56,5,FALSE)-VLOOKUP($A145,main!$A$3:$I$56,6,FALSE)+main!$D$58,0)</f>
        <v>0</v>
      </c>
      <c r="W145">
        <f>IF((phi!W90),VLOOKUP(W$1,main!$A$3:$I$56,5,FALSE)-VLOOKUP($A145,main!$A$3:$I$56,6,FALSE)+main!$D$58,0)</f>
        <v>0</v>
      </c>
      <c r="X145">
        <f>IF((phi!X90),VLOOKUP(X$1,main!$A$3:$I$56,5,FALSE)-VLOOKUP($A145,main!$A$3:$I$56,6,FALSE)+main!$D$58,0)</f>
        <v>0</v>
      </c>
      <c r="Y145">
        <f>IF((phi!Y90),VLOOKUP(Y$1,main!$A$3:$I$56,5,FALSE)-VLOOKUP($A145,main!$A$3:$I$56,6,FALSE)+main!$D$58,0)</f>
        <v>0</v>
      </c>
      <c r="Z145">
        <f>IF((phi!Z90),VLOOKUP(Z$1,main!$A$3:$I$56,5,FALSE)-VLOOKUP($A145,main!$A$3:$I$56,6,FALSE)+main!$D$58,0)</f>
        <v>0</v>
      </c>
      <c r="AA145">
        <f>IF((phi!AA90),VLOOKUP(AA$1,main!$A$3:$I$56,5,FALSE)-VLOOKUP($A145,main!$A$3:$I$56,6,FALSE)+main!$D$58,0)</f>
        <v>0</v>
      </c>
      <c r="AB145">
        <f>IF((phi!AB90),VLOOKUP(AB$1,main!$A$3:$I$56,5,FALSE)-VLOOKUP($A145,main!$A$3:$I$56,6,FALSE)+main!$D$58,0)</f>
        <v>0</v>
      </c>
      <c r="AC145">
        <f>IF((phi!AC90),VLOOKUP(AC$1,main!$A$3:$I$56,5,FALSE)-VLOOKUP($A145,main!$A$3:$I$56,6,FALSE)+main!$D$58,0)</f>
        <v>0</v>
      </c>
      <c r="AD145">
        <f>IF((phi!AD90),VLOOKUP(AD$1,main!$A$3:$I$56,5,FALSE)-VLOOKUP($A145,main!$A$3:$I$56,6,FALSE)+main!$D$58,0)</f>
        <v>0</v>
      </c>
      <c r="AE145">
        <f>IF((phi!AE90),VLOOKUP(AE$1,main!$A$3:$I$56,5,FALSE)-VLOOKUP($A145,main!$A$3:$I$56,6,FALSE)+main!$D$58,0)</f>
        <v>0</v>
      </c>
      <c r="AF145">
        <f>IF((phi!AF90),VLOOKUP(AF$1,main!$A$3:$I$56,5,FALSE)-VLOOKUP($A145,main!$A$3:$I$56,6,FALSE)+main!$D$58,0)</f>
        <v>0</v>
      </c>
      <c r="AG145">
        <f>IF((phi!AG90),VLOOKUP(AG$1,main!$A$3:$I$56,5,FALSE)-VLOOKUP($A145,main!$A$3:$I$56,6,FALSE)+main!$D$58,0)</f>
        <v>0</v>
      </c>
      <c r="AH145">
        <f>IF((phi!AH90),VLOOKUP(AH$1,main!$A$3:$I$56,5,FALSE)-VLOOKUP($A145,main!$A$3:$I$56,6,FALSE)+main!$D$58,0)</f>
        <v>0</v>
      </c>
      <c r="AI145">
        <f>IF((phi!AI90),VLOOKUP(AI$1,main!$A$3:$I$56,5,FALSE)-VLOOKUP($A145,main!$A$3:$I$56,6,FALSE)+main!$D$58,0)</f>
        <v>0</v>
      </c>
      <c r="AJ145">
        <f>IF((phi!AJ90),VLOOKUP(AJ$1,main!$A$3:$I$56,5,FALSE)-VLOOKUP($A145,main!$A$3:$I$56,6,FALSE)+main!$D$58,0)</f>
        <v>0</v>
      </c>
      <c r="AK145">
        <f>IF((phi!AK90),VLOOKUP(AK$1,main!$A$3:$I$56,5,FALSE)-VLOOKUP($A145,main!$A$3:$I$56,6,FALSE)+main!$D$58,0)</f>
        <v>0</v>
      </c>
      <c r="AL145">
        <f>IF((phi!AL90),VLOOKUP(AL$1,main!$A$3:$I$56,5,FALSE)-VLOOKUP($A145,main!$A$3:$I$56,6,FALSE)+main!$D$58,0)</f>
        <v>0</v>
      </c>
      <c r="AM145">
        <f>IF((phi!AM90),VLOOKUP(AM$1,main!$A$3:$I$56,5,FALSE)-VLOOKUP($A145,main!$A$3:$I$56,6,FALSE)+main!$D$58,0)</f>
        <v>0</v>
      </c>
      <c r="AN145">
        <f>IF((phi!AN90),VLOOKUP(AN$1,main!$A$3:$I$56,5,FALSE)-VLOOKUP($A145,main!$A$3:$I$56,6,FALSE)+main!$D$58,0)</f>
        <v>0</v>
      </c>
      <c r="AO145">
        <f>IF((phi!AO90),VLOOKUP(AO$1,main!$A$3:$I$56,5,FALSE)-VLOOKUP($A145,main!$A$3:$I$56,6,FALSE)+main!$D$58,0)</f>
        <v>0</v>
      </c>
      <c r="AP145">
        <f>IF((phi!AP90),VLOOKUP(AP$1,main!$A$3:$I$56,5,FALSE)-VLOOKUP($A145,main!$A$3:$I$56,6,FALSE)+main!$D$58,0)</f>
        <v>0</v>
      </c>
      <c r="AQ145">
        <f>IF((phi!AQ90),VLOOKUP(AQ$1,main!$A$3:$I$56,5,FALSE)-VLOOKUP($A145,main!$A$3:$I$56,6,FALSE)+main!$D$58,0)</f>
        <v>0</v>
      </c>
      <c r="AR145">
        <f>IF((phi!AR90),VLOOKUP(AR$1,main!$A$3:$I$56,5,FALSE)-VLOOKUP($A145,main!$A$3:$I$56,6,FALSE)+main!$D$58,0)</f>
        <v>0</v>
      </c>
      <c r="AS145">
        <f>IF((phi!AS90),VLOOKUP(AS$1,main!$A$3:$I$56,5,FALSE)-VLOOKUP($A145,main!$A$3:$I$56,6,FALSE)+main!$D$58,0)</f>
        <v>0</v>
      </c>
      <c r="AT145">
        <f>IF((phi!AT90),VLOOKUP(AT$1,main!$A$3:$I$56,5,FALSE)-VLOOKUP($A145,main!$A$3:$I$56,6,FALSE)+main!$D$58,0)</f>
        <v>0</v>
      </c>
      <c r="AU145">
        <f>IF((phi!AU90),VLOOKUP(AU$1,main!$A$3:$I$56,5,FALSE)-VLOOKUP($A145,main!$A$3:$I$56,6,FALSE)+main!$D$58,0)</f>
        <v>0</v>
      </c>
      <c r="AV145">
        <f>IF((phi!AV90),VLOOKUP(AV$1,main!$A$3:$I$56,5,FALSE)-VLOOKUP($A145,main!$A$3:$I$56,6,FALSE)+main!$D$58,0)</f>
        <v>0</v>
      </c>
      <c r="AW145">
        <f>IF((phi!AW90),VLOOKUP(AW$1,main!$A$3:$I$56,5,FALSE)-VLOOKUP($A145,main!$A$3:$I$56,6,FALSE)+main!$D$58,0)</f>
        <v>0</v>
      </c>
      <c r="AX145">
        <f>IF((phi!AX90),VLOOKUP(AX$1,main!$A$3:$I$56,5,FALSE)-VLOOKUP($A145,main!$A$3:$I$56,6,FALSE)+main!$D$58,0)</f>
        <v>0</v>
      </c>
      <c r="AY145">
        <f>IF((phi!AY90),VLOOKUP(AY$1,main!$A$3:$I$56,5,FALSE)-VLOOKUP($A145,main!$A$3:$I$56,6,FALSE)+main!$D$58,0)</f>
        <v>0</v>
      </c>
      <c r="AZ145">
        <f>IF((phi!AZ90),VLOOKUP(AZ$1,main!$A$3:$I$56,5,FALSE)-VLOOKUP($A145,main!$A$3:$I$56,6,FALSE)+main!$D$58,0)</f>
        <v>0</v>
      </c>
      <c r="BA145">
        <f>IF((phi!BA90),VLOOKUP(BA$1,main!$A$3:$I$56,5,FALSE)-VLOOKUP($A145,main!$A$3:$I$56,6,FALSE)+main!$D$58,0)</f>
        <v>0</v>
      </c>
      <c r="BB145">
        <f>IF((phi!BB90),VLOOKUP(BB$1,main!$A$3:$I$56,5,FALSE)-VLOOKUP($A145,main!$A$3:$I$56,6,FALSE)+main!$D$58,0)</f>
        <v>0</v>
      </c>
      <c r="BC145">
        <f>IF((phi!BC90),VLOOKUP(BC$1,main!$A$3:$I$56,5,FALSE)-VLOOKUP($A145,main!$A$3:$I$56,6,FALSE)+main!$D$58,0)</f>
        <v>0</v>
      </c>
      <c r="BD145">
        <f>IF((phi!BD90),VLOOKUP(BD$1,main!$A$3:$I$56,5,FALSE)-VLOOKUP($A145,main!$A$3:$I$56,6,FALSE)+main!$D$58,0)</f>
        <v>0</v>
      </c>
    </row>
    <row r="146" spans="1:56" x14ac:dyDescent="0.25">
      <c r="A146">
        <f t="shared" si="4"/>
        <v>34</v>
      </c>
      <c r="B146">
        <v>0</v>
      </c>
      <c r="C146">
        <f>IF((phi!C91),VLOOKUP(C$1,main!$A$3:$I$56,5,FALSE)-VLOOKUP($A146,main!$A$3:$I$56,6,FALSE)+main!$D$58,0)</f>
        <v>0</v>
      </c>
      <c r="D146">
        <f>IF((phi!D91),VLOOKUP(D$1,main!$A$3:$I$56,5,FALSE)-VLOOKUP($A146,main!$A$3:$I$56,6,FALSE)+main!$D$58,0)</f>
        <v>0</v>
      </c>
      <c r="E146">
        <f>IF((phi!E91),VLOOKUP(E$1,main!$A$3:$I$56,5,FALSE)-VLOOKUP($A146,main!$A$3:$I$56,6,FALSE)+main!$D$58,0)</f>
        <v>0</v>
      </c>
      <c r="F146">
        <f>IF((phi!F91),VLOOKUP(F$1,main!$A$3:$I$56,5,FALSE)-VLOOKUP($A146,main!$A$3:$I$56,6,FALSE)+main!$D$58,0)</f>
        <v>0</v>
      </c>
      <c r="G146">
        <f>IF((phi!G91),VLOOKUP(G$1,main!$A$3:$I$56,5,FALSE)-VLOOKUP($A146,main!$A$3:$I$56,6,FALSE)+main!$D$58,0)</f>
        <v>0</v>
      </c>
      <c r="H146">
        <f>IF((phi!H91),VLOOKUP(H$1,main!$A$3:$I$56,5,FALSE)-VLOOKUP($A146,main!$A$3:$I$56,6,FALSE)+main!$D$58,0)</f>
        <v>0</v>
      </c>
      <c r="I146">
        <f>IF((phi!I91),VLOOKUP(I$1,main!$A$3:$I$56,5,FALSE)-VLOOKUP($A146,main!$A$3:$I$56,6,FALSE)+main!$D$58,0)</f>
        <v>0</v>
      </c>
      <c r="J146">
        <f>IF((phi!J91),VLOOKUP(J$1,main!$A$3:$I$56,5,FALSE)-VLOOKUP($A146,main!$A$3:$I$56,6,FALSE)+main!$D$58,0)</f>
        <v>180</v>
      </c>
      <c r="K146">
        <f>IF((phi!K91),VLOOKUP(K$1,main!$A$3:$I$56,5,FALSE)-VLOOKUP($A146,main!$A$3:$I$56,6,FALSE)+main!$D$58,0)</f>
        <v>0</v>
      </c>
      <c r="L146">
        <f>IF((phi!L91),VLOOKUP(L$1,main!$A$3:$I$56,5,FALSE)-VLOOKUP($A146,main!$A$3:$I$56,6,FALSE)+main!$D$58,0)</f>
        <v>0</v>
      </c>
      <c r="M146">
        <f>IF((phi!M91),VLOOKUP(M$1,main!$A$3:$I$56,5,FALSE)-VLOOKUP($A146,main!$A$3:$I$56,6,FALSE)+main!$D$58,0)</f>
        <v>0</v>
      </c>
      <c r="N146">
        <f>IF((phi!N91),VLOOKUP(N$1,main!$A$3:$I$56,5,FALSE)-VLOOKUP($A146,main!$A$3:$I$56,6,FALSE)+main!$D$58,0)</f>
        <v>145</v>
      </c>
      <c r="O146">
        <f>IF((phi!O91),VLOOKUP(O$1,main!$A$3:$I$56,5,FALSE)-VLOOKUP($A146,main!$A$3:$I$56,6,FALSE)+main!$D$58,0)</f>
        <v>205</v>
      </c>
      <c r="P146">
        <f>IF((phi!P91),VLOOKUP(P$1,main!$A$3:$I$56,5,FALSE)-VLOOKUP($A146,main!$A$3:$I$56,6,FALSE)+main!$D$58,0)</f>
        <v>0</v>
      </c>
      <c r="Q146">
        <f>IF((phi!Q91),VLOOKUP(Q$1,main!$A$3:$I$56,5,FALSE)-VLOOKUP($A146,main!$A$3:$I$56,6,FALSE)+main!$D$58,0)</f>
        <v>0</v>
      </c>
      <c r="R146">
        <f>IF((phi!R91),VLOOKUP(R$1,main!$A$3:$I$56,5,FALSE)-VLOOKUP($A146,main!$A$3:$I$56,6,FALSE)+main!$D$58,0)</f>
        <v>0</v>
      </c>
      <c r="S146">
        <f>IF((phi!S91),VLOOKUP(S$1,main!$A$3:$I$56,5,FALSE)-VLOOKUP($A146,main!$A$3:$I$56,6,FALSE)+main!$D$58,0)</f>
        <v>0</v>
      </c>
      <c r="T146">
        <f>IF((phi!T91),VLOOKUP(T$1,main!$A$3:$I$56,5,FALSE)-VLOOKUP($A146,main!$A$3:$I$56,6,FALSE)+main!$D$58,0)</f>
        <v>110</v>
      </c>
      <c r="U146">
        <f>IF((phi!U91),VLOOKUP(U$1,main!$A$3:$I$56,5,FALSE)-VLOOKUP($A146,main!$A$3:$I$56,6,FALSE)+main!$D$58,0)</f>
        <v>0</v>
      </c>
      <c r="V146">
        <f>IF((phi!V91),VLOOKUP(V$1,main!$A$3:$I$56,5,FALSE)-VLOOKUP($A146,main!$A$3:$I$56,6,FALSE)+main!$D$58,0)</f>
        <v>0</v>
      </c>
      <c r="W146">
        <f>IF((phi!W91),VLOOKUP(W$1,main!$A$3:$I$56,5,FALSE)-VLOOKUP($A146,main!$A$3:$I$56,6,FALSE)+main!$D$58,0)</f>
        <v>0</v>
      </c>
      <c r="X146">
        <f>IF((phi!X91),VLOOKUP(X$1,main!$A$3:$I$56,5,FALSE)-VLOOKUP($A146,main!$A$3:$I$56,6,FALSE)+main!$D$58,0)</f>
        <v>0</v>
      </c>
      <c r="Y146">
        <f>IF((phi!Y91),VLOOKUP(Y$1,main!$A$3:$I$56,5,FALSE)-VLOOKUP($A146,main!$A$3:$I$56,6,FALSE)+main!$D$58,0)</f>
        <v>0</v>
      </c>
      <c r="Z146">
        <f>IF((phi!Z91),VLOOKUP(Z$1,main!$A$3:$I$56,5,FALSE)-VLOOKUP($A146,main!$A$3:$I$56,6,FALSE)+main!$D$58,0)</f>
        <v>0</v>
      </c>
      <c r="AA146">
        <f>IF((phi!AA91),VLOOKUP(AA$1,main!$A$3:$I$56,5,FALSE)-VLOOKUP($A146,main!$A$3:$I$56,6,FALSE)+main!$D$58,0)</f>
        <v>0</v>
      </c>
      <c r="AB146">
        <f>IF((phi!AB91),VLOOKUP(AB$1,main!$A$3:$I$56,5,FALSE)-VLOOKUP($A146,main!$A$3:$I$56,6,FALSE)+main!$D$58,0)</f>
        <v>0</v>
      </c>
      <c r="AC146">
        <f>IF((phi!AC91),VLOOKUP(AC$1,main!$A$3:$I$56,5,FALSE)-VLOOKUP($A146,main!$A$3:$I$56,6,FALSE)+main!$D$58,0)</f>
        <v>0</v>
      </c>
      <c r="AD146">
        <f>IF((phi!AD91),VLOOKUP(AD$1,main!$A$3:$I$56,5,FALSE)-VLOOKUP($A146,main!$A$3:$I$56,6,FALSE)+main!$D$58,0)</f>
        <v>0</v>
      </c>
      <c r="AE146">
        <f>IF((phi!AE91),VLOOKUP(AE$1,main!$A$3:$I$56,5,FALSE)-VLOOKUP($A146,main!$A$3:$I$56,6,FALSE)+main!$D$58,0)</f>
        <v>0</v>
      </c>
      <c r="AF146">
        <f>IF((phi!AF91),VLOOKUP(AF$1,main!$A$3:$I$56,5,FALSE)-VLOOKUP($A146,main!$A$3:$I$56,6,FALSE)+main!$D$58,0)</f>
        <v>0</v>
      </c>
      <c r="AG146">
        <f>IF((phi!AG91),VLOOKUP(AG$1,main!$A$3:$I$56,5,FALSE)-VLOOKUP($A146,main!$A$3:$I$56,6,FALSE)+main!$D$58,0)</f>
        <v>0</v>
      </c>
      <c r="AH146">
        <f>IF((phi!AH91),VLOOKUP(AH$1,main!$A$3:$I$56,5,FALSE)-VLOOKUP($A146,main!$A$3:$I$56,6,FALSE)+main!$D$58,0)</f>
        <v>0</v>
      </c>
      <c r="AI146">
        <f>IF((phi!AI91),VLOOKUP(AI$1,main!$A$3:$I$56,5,FALSE)-VLOOKUP($A146,main!$A$3:$I$56,6,FALSE)+main!$D$58,0)</f>
        <v>0</v>
      </c>
      <c r="AJ146">
        <f>IF((phi!AJ91),VLOOKUP(AJ$1,main!$A$3:$I$56,5,FALSE)-VLOOKUP($A146,main!$A$3:$I$56,6,FALSE)+main!$D$58,0)</f>
        <v>0</v>
      </c>
      <c r="AK146">
        <f>IF((phi!AK91),VLOOKUP(AK$1,main!$A$3:$I$56,5,FALSE)-VLOOKUP($A146,main!$A$3:$I$56,6,FALSE)+main!$D$58,0)</f>
        <v>0</v>
      </c>
      <c r="AL146">
        <f>IF((phi!AL91),VLOOKUP(AL$1,main!$A$3:$I$56,5,FALSE)-VLOOKUP($A146,main!$A$3:$I$56,6,FALSE)+main!$D$58,0)</f>
        <v>0</v>
      </c>
      <c r="AM146">
        <f>IF((phi!AM91),VLOOKUP(AM$1,main!$A$3:$I$56,5,FALSE)-VLOOKUP($A146,main!$A$3:$I$56,6,FALSE)+main!$D$58,0)</f>
        <v>0</v>
      </c>
      <c r="AN146">
        <f>IF((phi!AN91),VLOOKUP(AN$1,main!$A$3:$I$56,5,FALSE)-VLOOKUP($A146,main!$A$3:$I$56,6,FALSE)+main!$D$58,0)</f>
        <v>0</v>
      </c>
      <c r="AO146">
        <f>IF((phi!AO91),VLOOKUP(AO$1,main!$A$3:$I$56,5,FALSE)-VLOOKUP($A146,main!$A$3:$I$56,6,FALSE)+main!$D$58,0)</f>
        <v>0</v>
      </c>
      <c r="AP146">
        <f>IF((phi!AP91),VLOOKUP(AP$1,main!$A$3:$I$56,5,FALSE)-VLOOKUP($A146,main!$A$3:$I$56,6,FALSE)+main!$D$58,0)</f>
        <v>0</v>
      </c>
      <c r="AQ146">
        <f>IF((phi!AQ91),VLOOKUP(AQ$1,main!$A$3:$I$56,5,FALSE)-VLOOKUP($A146,main!$A$3:$I$56,6,FALSE)+main!$D$58,0)</f>
        <v>0</v>
      </c>
      <c r="AR146">
        <f>IF((phi!AR91),VLOOKUP(AR$1,main!$A$3:$I$56,5,FALSE)-VLOOKUP($A146,main!$A$3:$I$56,6,FALSE)+main!$D$58,0)</f>
        <v>0</v>
      </c>
      <c r="AS146">
        <f>IF((phi!AS91),VLOOKUP(AS$1,main!$A$3:$I$56,5,FALSE)-VLOOKUP($A146,main!$A$3:$I$56,6,FALSE)+main!$D$58,0)</f>
        <v>0</v>
      </c>
      <c r="AT146">
        <f>IF((phi!AT91),VLOOKUP(AT$1,main!$A$3:$I$56,5,FALSE)-VLOOKUP($A146,main!$A$3:$I$56,6,FALSE)+main!$D$58,0)</f>
        <v>0</v>
      </c>
      <c r="AU146">
        <f>IF((phi!AU91),VLOOKUP(AU$1,main!$A$3:$I$56,5,FALSE)-VLOOKUP($A146,main!$A$3:$I$56,6,FALSE)+main!$D$58,0)</f>
        <v>0</v>
      </c>
      <c r="AV146">
        <f>IF((phi!AV91),VLOOKUP(AV$1,main!$A$3:$I$56,5,FALSE)-VLOOKUP($A146,main!$A$3:$I$56,6,FALSE)+main!$D$58,0)</f>
        <v>0</v>
      </c>
      <c r="AW146">
        <f>IF((phi!AW91),VLOOKUP(AW$1,main!$A$3:$I$56,5,FALSE)-VLOOKUP($A146,main!$A$3:$I$56,6,FALSE)+main!$D$58,0)</f>
        <v>0</v>
      </c>
      <c r="AX146">
        <f>IF((phi!AX91),VLOOKUP(AX$1,main!$A$3:$I$56,5,FALSE)-VLOOKUP($A146,main!$A$3:$I$56,6,FALSE)+main!$D$58,0)</f>
        <v>0</v>
      </c>
      <c r="AY146">
        <f>IF((phi!AY91),VLOOKUP(AY$1,main!$A$3:$I$56,5,FALSE)-VLOOKUP($A146,main!$A$3:$I$56,6,FALSE)+main!$D$58,0)</f>
        <v>0</v>
      </c>
      <c r="AZ146">
        <f>IF((phi!AZ91),VLOOKUP(AZ$1,main!$A$3:$I$56,5,FALSE)-VLOOKUP($A146,main!$A$3:$I$56,6,FALSE)+main!$D$58,0)</f>
        <v>0</v>
      </c>
      <c r="BA146">
        <f>IF((phi!BA91),VLOOKUP(BA$1,main!$A$3:$I$56,5,FALSE)-VLOOKUP($A146,main!$A$3:$I$56,6,FALSE)+main!$D$58,0)</f>
        <v>0</v>
      </c>
      <c r="BB146">
        <f>IF((phi!BB91),VLOOKUP(BB$1,main!$A$3:$I$56,5,FALSE)-VLOOKUP($A146,main!$A$3:$I$56,6,FALSE)+main!$D$58,0)</f>
        <v>0</v>
      </c>
      <c r="BC146">
        <f>IF((phi!BC91),VLOOKUP(BC$1,main!$A$3:$I$56,5,FALSE)-VLOOKUP($A146,main!$A$3:$I$56,6,FALSE)+main!$D$58,0)</f>
        <v>0</v>
      </c>
      <c r="BD146">
        <f>IF((phi!BD91),VLOOKUP(BD$1,main!$A$3:$I$56,5,FALSE)-VLOOKUP($A146,main!$A$3:$I$56,6,FALSE)+main!$D$58,0)</f>
        <v>0</v>
      </c>
    </row>
    <row r="147" spans="1:56" x14ac:dyDescent="0.25">
      <c r="A147">
        <f t="shared" si="4"/>
        <v>35</v>
      </c>
      <c r="B147">
        <v>0</v>
      </c>
      <c r="C147">
        <f>IF((phi!C92),VLOOKUP(C$1,main!$A$3:$I$56,5,FALSE)-VLOOKUP($A147,main!$A$3:$I$56,6,FALSE)+main!$D$58,0)</f>
        <v>0</v>
      </c>
      <c r="D147">
        <f>IF((phi!D92),VLOOKUP(D$1,main!$A$3:$I$56,5,FALSE)-VLOOKUP($A147,main!$A$3:$I$56,6,FALSE)+main!$D$58,0)</f>
        <v>0</v>
      </c>
      <c r="E147">
        <f>IF((phi!E92),VLOOKUP(E$1,main!$A$3:$I$56,5,FALSE)-VLOOKUP($A147,main!$A$3:$I$56,6,FALSE)+main!$D$58,0)</f>
        <v>0</v>
      </c>
      <c r="F147">
        <f>IF((phi!F92),VLOOKUP(F$1,main!$A$3:$I$56,5,FALSE)-VLOOKUP($A147,main!$A$3:$I$56,6,FALSE)+main!$D$58,0)</f>
        <v>0</v>
      </c>
      <c r="G147">
        <f>IF((phi!G92),VLOOKUP(G$1,main!$A$3:$I$56,5,FALSE)-VLOOKUP($A147,main!$A$3:$I$56,6,FALSE)+main!$D$58,0)</f>
        <v>0</v>
      </c>
      <c r="H147">
        <f>IF((phi!H92),VLOOKUP(H$1,main!$A$3:$I$56,5,FALSE)-VLOOKUP($A147,main!$A$3:$I$56,6,FALSE)+main!$D$58,0)</f>
        <v>0</v>
      </c>
      <c r="I147">
        <f>IF((phi!I92),VLOOKUP(I$1,main!$A$3:$I$56,5,FALSE)-VLOOKUP($A147,main!$A$3:$I$56,6,FALSE)+main!$D$58,0)</f>
        <v>0</v>
      </c>
      <c r="J147">
        <f>IF((phi!J92),VLOOKUP(J$1,main!$A$3:$I$56,5,FALSE)-VLOOKUP($A147,main!$A$3:$I$56,6,FALSE)+main!$D$58,0)</f>
        <v>0</v>
      </c>
      <c r="K147">
        <f>IF((phi!K92),VLOOKUP(K$1,main!$A$3:$I$56,5,FALSE)-VLOOKUP($A147,main!$A$3:$I$56,6,FALSE)+main!$D$58,0)</f>
        <v>0</v>
      </c>
      <c r="L147">
        <f>IF((phi!L92),VLOOKUP(L$1,main!$A$3:$I$56,5,FALSE)-VLOOKUP($A147,main!$A$3:$I$56,6,FALSE)+main!$D$58,0)</f>
        <v>0</v>
      </c>
      <c r="M147">
        <f>IF((phi!M92),VLOOKUP(M$1,main!$A$3:$I$56,5,FALSE)-VLOOKUP($A147,main!$A$3:$I$56,6,FALSE)+main!$D$58,0)</f>
        <v>0</v>
      </c>
      <c r="N147">
        <f>IF((phi!N92),VLOOKUP(N$1,main!$A$3:$I$56,5,FALSE)-VLOOKUP($A147,main!$A$3:$I$56,6,FALSE)+main!$D$58,0)</f>
        <v>0</v>
      </c>
      <c r="O147">
        <f>IF((phi!O92),VLOOKUP(O$1,main!$A$3:$I$56,5,FALSE)-VLOOKUP($A147,main!$A$3:$I$56,6,FALSE)+main!$D$58,0)</f>
        <v>0</v>
      </c>
      <c r="P147">
        <f>IF((phi!P92),VLOOKUP(P$1,main!$A$3:$I$56,5,FALSE)-VLOOKUP($A147,main!$A$3:$I$56,6,FALSE)+main!$D$58,0)</f>
        <v>0</v>
      </c>
      <c r="Q147">
        <f>IF((phi!Q92),VLOOKUP(Q$1,main!$A$3:$I$56,5,FALSE)-VLOOKUP($A147,main!$A$3:$I$56,6,FALSE)+main!$D$58,0)</f>
        <v>0</v>
      </c>
      <c r="R147">
        <f>IF((phi!R92),VLOOKUP(R$1,main!$A$3:$I$56,5,FALSE)-VLOOKUP($A147,main!$A$3:$I$56,6,FALSE)+main!$D$58,0)</f>
        <v>0</v>
      </c>
      <c r="S147">
        <f>IF((phi!S92),VLOOKUP(S$1,main!$A$3:$I$56,5,FALSE)-VLOOKUP($A147,main!$A$3:$I$56,6,FALSE)+main!$D$58,0)</f>
        <v>0</v>
      </c>
      <c r="T147">
        <f>IF((phi!T92),VLOOKUP(T$1,main!$A$3:$I$56,5,FALSE)-VLOOKUP($A147,main!$A$3:$I$56,6,FALSE)+main!$D$58,0)</f>
        <v>0</v>
      </c>
      <c r="U147">
        <f>IF((phi!U92),VLOOKUP(U$1,main!$A$3:$I$56,5,FALSE)-VLOOKUP($A147,main!$A$3:$I$56,6,FALSE)+main!$D$58,0)</f>
        <v>0</v>
      </c>
      <c r="V147">
        <f>IF((phi!V92),VLOOKUP(V$1,main!$A$3:$I$56,5,FALSE)-VLOOKUP($A147,main!$A$3:$I$56,6,FALSE)+main!$D$58,0)</f>
        <v>0</v>
      </c>
      <c r="W147">
        <f>IF((phi!W92),VLOOKUP(W$1,main!$A$3:$I$56,5,FALSE)-VLOOKUP($A147,main!$A$3:$I$56,6,FALSE)+main!$D$58,0)</f>
        <v>0</v>
      </c>
      <c r="X147">
        <f>IF((phi!X92),VLOOKUP(X$1,main!$A$3:$I$56,5,FALSE)-VLOOKUP($A147,main!$A$3:$I$56,6,FALSE)+main!$D$58,0)</f>
        <v>0</v>
      </c>
      <c r="Y147">
        <f>IF((phi!Y92),VLOOKUP(Y$1,main!$A$3:$I$56,5,FALSE)-VLOOKUP($A147,main!$A$3:$I$56,6,FALSE)+main!$D$58,0)</f>
        <v>0</v>
      </c>
      <c r="Z147">
        <f>IF((phi!Z92),VLOOKUP(Z$1,main!$A$3:$I$56,5,FALSE)-VLOOKUP($A147,main!$A$3:$I$56,6,FALSE)+main!$D$58,0)</f>
        <v>0</v>
      </c>
      <c r="AA147">
        <f>IF((phi!AA92),VLOOKUP(AA$1,main!$A$3:$I$56,5,FALSE)-VLOOKUP($A147,main!$A$3:$I$56,6,FALSE)+main!$D$58,0)</f>
        <v>0</v>
      </c>
      <c r="AB147">
        <f>IF((phi!AB92),VLOOKUP(AB$1,main!$A$3:$I$56,5,FALSE)-VLOOKUP($A147,main!$A$3:$I$56,6,FALSE)+main!$D$58,0)</f>
        <v>0</v>
      </c>
      <c r="AC147">
        <f>IF((phi!AC92),VLOOKUP(AC$1,main!$A$3:$I$56,5,FALSE)-VLOOKUP($A147,main!$A$3:$I$56,6,FALSE)+main!$D$58,0)</f>
        <v>0</v>
      </c>
      <c r="AD147">
        <f>IF((phi!AD92),VLOOKUP(AD$1,main!$A$3:$I$56,5,FALSE)-VLOOKUP($A147,main!$A$3:$I$56,6,FALSE)+main!$D$58,0)</f>
        <v>0</v>
      </c>
      <c r="AE147">
        <f>IF((phi!AE92),VLOOKUP(AE$1,main!$A$3:$I$56,5,FALSE)-VLOOKUP($A147,main!$A$3:$I$56,6,FALSE)+main!$D$58,0)</f>
        <v>0</v>
      </c>
      <c r="AF147">
        <f>IF((phi!AF92),VLOOKUP(AF$1,main!$A$3:$I$56,5,FALSE)-VLOOKUP($A147,main!$A$3:$I$56,6,FALSE)+main!$D$58,0)</f>
        <v>0</v>
      </c>
      <c r="AG147">
        <f>IF((phi!AG92),VLOOKUP(AG$1,main!$A$3:$I$56,5,FALSE)-VLOOKUP($A147,main!$A$3:$I$56,6,FALSE)+main!$D$58,0)</f>
        <v>0</v>
      </c>
      <c r="AH147">
        <f>IF((phi!AH92),VLOOKUP(AH$1,main!$A$3:$I$56,5,FALSE)-VLOOKUP($A147,main!$A$3:$I$56,6,FALSE)+main!$D$58,0)</f>
        <v>0</v>
      </c>
      <c r="AI147">
        <f>IF((phi!AI92),VLOOKUP(AI$1,main!$A$3:$I$56,5,FALSE)-VLOOKUP($A147,main!$A$3:$I$56,6,FALSE)+main!$D$58,0)</f>
        <v>0</v>
      </c>
      <c r="AJ147">
        <f>IF((phi!AJ92),VLOOKUP(AJ$1,main!$A$3:$I$56,5,FALSE)-VLOOKUP($A147,main!$A$3:$I$56,6,FALSE)+main!$D$58,0)</f>
        <v>0</v>
      </c>
      <c r="AK147">
        <f>IF((phi!AK92),VLOOKUP(AK$1,main!$A$3:$I$56,5,FALSE)-VLOOKUP($A147,main!$A$3:$I$56,6,FALSE)+main!$D$58,0)</f>
        <v>0</v>
      </c>
      <c r="AL147">
        <f>IF((phi!AL92),VLOOKUP(AL$1,main!$A$3:$I$56,5,FALSE)-VLOOKUP($A147,main!$A$3:$I$56,6,FALSE)+main!$D$58,0)</f>
        <v>0</v>
      </c>
      <c r="AM147">
        <f>IF((phi!AM92),VLOOKUP(AM$1,main!$A$3:$I$56,5,FALSE)-VLOOKUP($A147,main!$A$3:$I$56,6,FALSE)+main!$D$58,0)</f>
        <v>0</v>
      </c>
      <c r="AN147">
        <f>IF((phi!AN92),VLOOKUP(AN$1,main!$A$3:$I$56,5,FALSE)-VLOOKUP($A147,main!$A$3:$I$56,6,FALSE)+main!$D$58,0)</f>
        <v>0</v>
      </c>
      <c r="AO147">
        <f>IF((phi!AO92),VLOOKUP(AO$1,main!$A$3:$I$56,5,FALSE)-VLOOKUP($A147,main!$A$3:$I$56,6,FALSE)+main!$D$58,0)</f>
        <v>0</v>
      </c>
      <c r="AP147">
        <f>IF((phi!AP92),VLOOKUP(AP$1,main!$A$3:$I$56,5,FALSE)-VLOOKUP($A147,main!$A$3:$I$56,6,FALSE)+main!$D$58,0)</f>
        <v>0</v>
      </c>
      <c r="AQ147">
        <f>IF((phi!AQ92),VLOOKUP(AQ$1,main!$A$3:$I$56,5,FALSE)-VLOOKUP($A147,main!$A$3:$I$56,6,FALSE)+main!$D$58,0)</f>
        <v>0</v>
      </c>
      <c r="AR147">
        <f>IF((phi!AR92),VLOOKUP(AR$1,main!$A$3:$I$56,5,FALSE)-VLOOKUP($A147,main!$A$3:$I$56,6,FALSE)+main!$D$58,0)</f>
        <v>0</v>
      </c>
      <c r="AS147">
        <f>IF((phi!AS92),VLOOKUP(AS$1,main!$A$3:$I$56,5,FALSE)-VLOOKUP($A147,main!$A$3:$I$56,6,FALSE)+main!$D$58,0)</f>
        <v>0</v>
      </c>
      <c r="AT147">
        <f>IF((phi!AT92),VLOOKUP(AT$1,main!$A$3:$I$56,5,FALSE)-VLOOKUP($A147,main!$A$3:$I$56,6,FALSE)+main!$D$58,0)</f>
        <v>0</v>
      </c>
      <c r="AU147">
        <f>IF((phi!AU92),VLOOKUP(AU$1,main!$A$3:$I$56,5,FALSE)-VLOOKUP($A147,main!$A$3:$I$56,6,FALSE)+main!$D$58,0)</f>
        <v>0</v>
      </c>
      <c r="AV147">
        <f>IF((phi!AV92),VLOOKUP(AV$1,main!$A$3:$I$56,5,FALSE)-VLOOKUP($A147,main!$A$3:$I$56,6,FALSE)+main!$D$58,0)</f>
        <v>0</v>
      </c>
      <c r="AW147">
        <f>IF((phi!AW92),VLOOKUP(AW$1,main!$A$3:$I$56,5,FALSE)-VLOOKUP($A147,main!$A$3:$I$56,6,FALSE)+main!$D$58,0)</f>
        <v>0</v>
      </c>
      <c r="AX147">
        <f>IF((phi!AX92),VLOOKUP(AX$1,main!$A$3:$I$56,5,FALSE)-VLOOKUP($A147,main!$A$3:$I$56,6,FALSE)+main!$D$58,0)</f>
        <v>0</v>
      </c>
      <c r="AY147">
        <f>IF((phi!AY92),VLOOKUP(AY$1,main!$A$3:$I$56,5,FALSE)-VLOOKUP($A147,main!$A$3:$I$56,6,FALSE)+main!$D$58,0)</f>
        <v>0</v>
      </c>
      <c r="AZ147">
        <f>IF((phi!AZ92),VLOOKUP(AZ$1,main!$A$3:$I$56,5,FALSE)-VLOOKUP($A147,main!$A$3:$I$56,6,FALSE)+main!$D$58,0)</f>
        <v>0</v>
      </c>
      <c r="BA147">
        <f>IF((phi!BA92),VLOOKUP(BA$1,main!$A$3:$I$56,5,FALSE)-VLOOKUP($A147,main!$A$3:$I$56,6,FALSE)+main!$D$58,0)</f>
        <v>0</v>
      </c>
      <c r="BB147">
        <f>IF((phi!BB92),VLOOKUP(BB$1,main!$A$3:$I$56,5,FALSE)-VLOOKUP($A147,main!$A$3:$I$56,6,FALSE)+main!$D$58,0)</f>
        <v>0</v>
      </c>
      <c r="BC147">
        <f>IF((phi!BC92),VLOOKUP(BC$1,main!$A$3:$I$56,5,FALSE)-VLOOKUP($A147,main!$A$3:$I$56,6,FALSE)+main!$D$58,0)</f>
        <v>0</v>
      </c>
      <c r="BD147">
        <f>IF((phi!BD92),VLOOKUP(BD$1,main!$A$3:$I$56,5,FALSE)-VLOOKUP($A147,main!$A$3:$I$56,6,FALSE)+main!$D$58,0)</f>
        <v>0</v>
      </c>
    </row>
    <row r="148" spans="1:56" x14ac:dyDescent="0.25">
      <c r="A148">
        <f t="shared" si="4"/>
        <v>36</v>
      </c>
      <c r="B148">
        <v>0</v>
      </c>
      <c r="C148">
        <f>IF((phi!C93),VLOOKUP(C$1,main!$A$3:$I$56,5,FALSE)-VLOOKUP($A148,main!$A$3:$I$56,6,FALSE)+main!$D$58,0)</f>
        <v>0</v>
      </c>
      <c r="D148">
        <f>IF((phi!D93),VLOOKUP(D$1,main!$A$3:$I$56,5,FALSE)-VLOOKUP($A148,main!$A$3:$I$56,6,FALSE)+main!$D$58,0)</f>
        <v>110</v>
      </c>
      <c r="E148">
        <f>IF((phi!E93),VLOOKUP(E$1,main!$A$3:$I$56,5,FALSE)-VLOOKUP($A148,main!$A$3:$I$56,6,FALSE)+main!$D$58,0)</f>
        <v>200</v>
      </c>
      <c r="F148">
        <f>IF((phi!F93),VLOOKUP(F$1,main!$A$3:$I$56,5,FALSE)-VLOOKUP($A148,main!$A$3:$I$56,6,FALSE)+main!$D$58,0)</f>
        <v>290</v>
      </c>
      <c r="G148">
        <f>IF((phi!G93),VLOOKUP(G$1,main!$A$3:$I$56,5,FALSE)-VLOOKUP($A148,main!$A$3:$I$56,6,FALSE)+main!$D$58,0)</f>
        <v>350</v>
      </c>
      <c r="H148">
        <f>IF((phi!H93),VLOOKUP(H$1,main!$A$3:$I$56,5,FALSE)-VLOOKUP($A148,main!$A$3:$I$56,6,FALSE)+main!$D$58,0)</f>
        <v>410</v>
      </c>
      <c r="I148">
        <f>IF((phi!I93),VLOOKUP(I$1,main!$A$3:$I$56,5,FALSE)-VLOOKUP($A148,main!$A$3:$I$56,6,FALSE)+main!$D$58,0)</f>
        <v>470</v>
      </c>
      <c r="J148">
        <f>IF((phi!J93),VLOOKUP(J$1,main!$A$3:$I$56,5,FALSE)-VLOOKUP($A148,main!$A$3:$I$56,6,FALSE)+main!$D$58,0)</f>
        <v>560</v>
      </c>
      <c r="K148">
        <f>IF((phi!K93),VLOOKUP(K$1,main!$A$3:$I$56,5,FALSE)-VLOOKUP($A148,main!$A$3:$I$56,6,FALSE)+main!$D$58,0)</f>
        <v>0</v>
      </c>
      <c r="L148">
        <f>IF((phi!L93),VLOOKUP(L$1,main!$A$3:$I$56,5,FALSE)-VLOOKUP($A148,main!$A$3:$I$56,6,FALSE)+main!$D$58,0)</f>
        <v>0</v>
      </c>
      <c r="M148">
        <f>IF((phi!M93),VLOOKUP(M$1,main!$A$3:$I$56,5,FALSE)-VLOOKUP($A148,main!$A$3:$I$56,6,FALSE)+main!$D$58,0)</f>
        <v>165</v>
      </c>
      <c r="N148">
        <f>IF((phi!N93),VLOOKUP(N$1,main!$A$3:$I$56,5,FALSE)-VLOOKUP($A148,main!$A$3:$I$56,6,FALSE)+main!$D$58,0)</f>
        <v>525</v>
      </c>
      <c r="O148">
        <f>IF((phi!O93),VLOOKUP(O$1,main!$A$3:$I$56,5,FALSE)-VLOOKUP($A148,main!$A$3:$I$56,6,FALSE)+main!$D$58,0)</f>
        <v>585</v>
      </c>
      <c r="P148">
        <f>IF((phi!P93),VLOOKUP(P$1,main!$A$3:$I$56,5,FALSE)-VLOOKUP($A148,main!$A$3:$I$56,6,FALSE)+main!$D$58,0)</f>
        <v>0</v>
      </c>
      <c r="Q148">
        <f>IF((phi!Q93),VLOOKUP(Q$1,main!$A$3:$I$56,5,FALSE)-VLOOKUP($A148,main!$A$3:$I$56,6,FALSE)+main!$D$58,0)</f>
        <v>0</v>
      </c>
      <c r="R148">
        <f>IF((phi!R93),VLOOKUP(R$1,main!$A$3:$I$56,5,FALSE)-VLOOKUP($A148,main!$A$3:$I$56,6,FALSE)+main!$D$58,0)</f>
        <v>160</v>
      </c>
      <c r="S148">
        <f>IF((phi!S93),VLOOKUP(S$1,main!$A$3:$I$56,5,FALSE)-VLOOKUP($A148,main!$A$3:$I$56,6,FALSE)+main!$D$58,0)</f>
        <v>340</v>
      </c>
      <c r="T148">
        <f>IF((phi!T93),VLOOKUP(T$1,main!$A$3:$I$56,5,FALSE)-VLOOKUP($A148,main!$A$3:$I$56,6,FALSE)+main!$D$58,0)</f>
        <v>490</v>
      </c>
      <c r="U148">
        <f>IF((phi!U93),VLOOKUP(U$1,main!$A$3:$I$56,5,FALSE)-VLOOKUP($A148,main!$A$3:$I$56,6,FALSE)+main!$D$58,0)</f>
        <v>0</v>
      </c>
      <c r="V148">
        <f>IF((phi!V93),VLOOKUP(V$1,main!$A$3:$I$56,5,FALSE)-VLOOKUP($A148,main!$A$3:$I$56,6,FALSE)+main!$D$58,0)</f>
        <v>0</v>
      </c>
      <c r="W148">
        <f>IF((phi!W93),VLOOKUP(W$1,main!$A$3:$I$56,5,FALSE)-VLOOKUP($A148,main!$A$3:$I$56,6,FALSE)+main!$D$58,0)</f>
        <v>0</v>
      </c>
      <c r="X148">
        <f>IF((phi!X93),VLOOKUP(X$1,main!$A$3:$I$56,5,FALSE)-VLOOKUP($A148,main!$A$3:$I$56,6,FALSE)+main!$D$58,0)</f>
        <v>0</v>
      </c>
      <c r="Y148">
        <f>IF((phi!Y93),VLOOKUP(Y$1,main!$A$3:$I$56,5,FALSE)-VLOOKUP($A148,main!$A$3:$I$56,6,FALSE)+main!$D$58,0)</f>
        <v>270</v>
      </c>
      <c r="Z148">
        <f>IF((phi!Z93),VLOOKUP(Z$1,main!$A$3:$I$56,5,FALSE)-VLOOKUP($A148,main!$A$3:$I$56,6,FALSE)+main!$D$58,0)</f>
        <v>360</v>
      </c>
      <c r="AA148">
        <f>IF((phi!AA93),VLOOKUP(AA$1,main!$A$3:$I$56,5,FALSE)-VLOOKUP($A148,main!$A$3:$I$56,6,FALSE)+main!$D$58,0)</f>
        <v>450</v>
      </c>
      <c r="AB148">
        <f>IF((phi!AB93),VLOOKUP(AB$1,main!$A$3:$I$56,5,FALSE)-VLOOKUP($A148,main!$A$3:$I$56,6,FALSE)+main!$D$58,0)</f>
        <v>510</v>
      </c>
      <c r="AC148">
        <f>IF((phi!AC93),VLOOKUP(AC$1,main!$A$3:$I$56,5,FALSE)-VLOOKUP($A148,main!$A$3:$I$56,6,FALSE)+main!$D$58,0)</f>
        <v>0</v>
      </c>
      <c r="AD148">
        <f>IF((phi!AD93),VLOOKUP(AD$1,main!$A$3:$I$56,5,FALSE)-VLOOKUP($A148,main!$A$3:$I$56,6,FALSE)+main!$D$58,0)</f>
        <v>0</v>
      </c>
      <c r="AE148">
        <f>IF((phi!AE93),VLOOKUP(AE$1,main!$A$3:$I$56,5,FALSE)-VLOOKUP($A148,main!$A$3:$I$56,6,FALSE)+main!$D$58,0)</f>
        <v>0</v>
      </c>
      <c r="AF148">
        <f>IF((phi!AF93),VLOOKUP(AF$1,main!$A$3:$I$56,5,FALSE)-VLOOKUP($A148,main!$A$3:$I$56,6,FALSE)+main!$D$58,0)</f>
        <v>320</v>
      </c>
      <c r="AG148">
        <f>IF((phi!AG93),VLOOKUP(AG$1,main!$A$3:$I$56,5,FALSE)-VLOOKUP($A148,main!$A$3:$I$56,6,FALSE)+main!$D$58,0)</f>
        <v>0</v>
      </c>
      <c r="AH148">
        <f>IF((phi!AH93),VLOOKUP(AH$1,main!$A$3:$I$56,5,FALSE)-VLOOKUP($A148,main!$A$3:$I$56,6,FALSE)+main!$D$58,0)</f>
        <v>0</v>
      </c>
      <c r="AI148">
        <f>IF((phi!AI93),VLOOKUP(AI$1,main!$A$3:$I$56,5,FALSE)-VLOOKUP($A148,main!$A$3:$I$56,6,FALSE)+main!$D$58,0)</f>
        <v>0</v>
      </c>
      <c r="AJ148">
        <f>IF((phi!AJ93),VLOOKUP(AJ$1,main!$A$3:$I$56,5,FALSE)-VLOOKUP($A148,main!$A$3:$I$56,6,FALSE)+main!$D$58,0)</f>
        <v>290</v>
      </c>
      <c r="AK148">
        <f>IF((phi!AK93),VLOOKUP(AK$1,main!$A$3:$I$56,5,FALSE)-VLOOKUP($A148,main!$A$3:$I$56,6,FALSE)+main!$D$58,0)</f>
        <v>410</v>
      </c>
      <c r="AL148">
        <f>IF((phi!AL93),VLOOKUP(AL$1,main!$A$3:$I$56,5,FALSE)-VLOOKUP($A148,main!$A$3:$I$56,6,FALSE)+main!$D$58,0)</f>
        <v>0</v>
      </c>
      <c r="AM148">
        <f>IF((phi!AM93),VLOOKUP(AM$1,main!$A$3:$I$56,5,FALSE)-VLOOKUP($A148,main!$A$3:$I$56,6,FALSE)+main!$D$58,0)</f>
        <v>0</v>
      </c>
      <c r="AN148">
        <f>IF((phi!AN93),VLOOKUP(AN$1,main!$A$3:$I$56,5,FALSE)-VLOOKUP($A148,main!$A$3:$I$56,6,FALSE)+main!$D$58,0)</f>
        <v>270</v>
      </c>
      <c r="AO148">
        <f>IF((phi!AO93),VLOOKUP(AO$1,main!$A$3:$I$56,5,FALSE)-VLOOKUP($A148,main!$A$3:$I$56,6,FALSE)+main!$D$58,0)</f>
        <v>320</v>
      </c>
      <c r="AP148">
        <f>IF((phi!AP93),VLOOKUP(AP$1,main!$A$3:$I$56,5,FALSE)-VLOOKUP($A148,main!$A$3:$I$56,6,FALSE)+main!$D$58,0)</f>
        <v>0</v>
      </c>
      <c r="AQ148">
        <f>IF((phi!AQ93),VLOOKUP(AQ$1,main!$A$3:$I$56,5,FALSE)-VLOOKUP($A148,main!$A$3:$I$56,6,FALSE)+main!$D$58,0)</f>
        <v>0</v>
      </c>
      <c r="AR148">
        <f>IF((phi!AR93),VLOOKUP(AR$1,main!$A$3:$I$56,5,FALSE)-VLOOKUP($A148,main!$A$3:$I$56,6,FALSE)+main!$D$58,0)</f>
        <v>0</v>
      </c>
      <c r="AS148">
        <f>IF((phi!AS93),VLOOKUP(AS$1,main!$A$3:$I$56,5,FALSE)-VLOOKUP($A148,main!$A$3:$I$56,6,FALSE)+main!$D$58,0)</f>
        <v>0</v>
      </c>
      <c r="AT148">
        <f>IF((phi!AT93),VLOOKUP(AT$1,main!$A$3:$I$56,5,FALSE)-VLOOKUP($A148,main!$A$3:$I$56,6,FALSE)+main!$D$58,0)</f>
        <v>0</v>
      </c>
      <c r="AU148">
        <f>IF((phi!AU93),VLOOKUP(AU$1,main!$A$3:$I$56,5,FALSE)-VLOOKUP($A148,main!$A$3:$I$56,6,FALSE)+main!$D$58,0)</f>
        <v>0</v>
      </c>
      <c r="AV148">
        <f>IF((phi!AV93),VLOOKUP(AV$1,main!$A$3:$I$56,5,FALSE)-VLOOKUP($A148,main!$A$3:$I$56,6,FALSE)+main!$D$58,0)</f>
        <v>0</v>
      </c>
      <c r="AW148">
        <f>IF((phi!AW93),VLOOKUP(AW$1,main!$A$3:$I$56,5,FALSE)-VLOOKUP($A148,main!$A$3:$I$56,6,FALSE)+main!$D$58,0)</f>
        <v>0</v>
      </c>
      <c r="AX148">
        <f>IF((phi!AX93),VLOOKUP(AX$1,main!$A$3:$I$56,5,FALSE)-VLOOKUP($A148,main!$A$3:$I$56,6,FALSE)+main!$D$58,0)</f>
        <v>370</v>
      </c>
      <c r="AY148">
        <f>IF((phi!AY93),VLOOKUP(AY$1,main!$A$3:$I$56,5,FALSE)-VLOOKUP($A148,main!$A$3:$I$56,6,FALSE)+main!$D$58,0)</f>
        <v>570</v>
      </c>
      <c r="AZ148">
        <f>IF((phi!AZ93),VLOOKUP(AZ$1,main!$A$3:$I$56,5,FALSE)-VLOOKUP($A148,main!$A$3:$I$56,6,FALSE)+main!$D$58,0)</f>
        <v>0</v>
      </c>
      <c r="BA148">
        <f>IF((phi!BA93),VLOOKUP(BA$1,main!$A$3:$I$56,5,FALSE)-VLOOKUP($A148,main!$A$3:$I$56,6,FALSE)+main!$D$58,0)</f>
        <v>0</v>
      </c>
      <c r="BB148">
        <f>IF((phi!BB93),VLOOKUP(BB$1,main!$A$3:$I$56,5,FALSE)-VLOOKUP($A148,main!$A$3:$I$56,6,FALSE)+main!$D$58,0)</f>
        <v>0</v>
      </c>
      <c r="BC148">
        <f>IF((phi!BC93),VLOOKUP(BC$1,main!$A$3:$I$56,5,FALSE)-VLOOKUP($A148,main!$A$3:$I$56,6,FALSE)+main!$D$58,0)</f>
        <v>335</v>
      </c>
      <c r="BD148">
        <f>IF((phi!BD93),VLOOKUP(BD$1,main!$A$3:$I$56,5,FALSE)-VLOOKUP($A148,main!$A$3:$I$56,6,FALSE)+main!$D$58,0)</f>
        <v>345</v>
      </c>
    </row>
    <row r="149" spans="1:56" x14ac:dyDescent="0.25">
      <c r="A149">
        <f t="shared" si="4"/>
        <v>37</v>
      </c>
      <c r="B149">
        <v>0</v>
      </c>
      <c r="C149">
        <f>IF((phi!C94),VLOOKUP(C$1,main!$A$3:$I$56,5,FALSE)-VLOOKUP($A149,main!$A$3:$I$56,6,FALSE)+main!$D$58,0)</f>
        <v>0</v>
      </c>
      <c r="D149">
        <f>IF((phi!D94),VLOOKUP(D$1,main!$A$3:$I$56,5,FALSE)-VLOOKUP($A149,main!$A$3:$I$56,6,FALSE)+main!$D$58,0)</f>
        <v>0</v>
      </c>
      <c r="E149">
        <f>IF((phi!E94),VLOOKUP(E$1,main!$A$3:$I$56,5,FALSE)-VLOOKUP($A149,main!$A$3:$I$56,6,FALSE)+main!$D$58,0)</f>
        <v>0</v>
      </c>
      <c r="F149">
        <f>IF((phi!F94),VLOOKUP(F$1,main!$A$3:$I$56,5,FALSE)-VLOOKUP($A149,main!$A$3:$I$56,6,FALSE)+main!$D$58,0)</f>
        <v>185</v>
      </c>
      <c r="G149">
        <f>IF((phi!G94),VLOOKUP(G$1,main!$A$3:$I$56,5,FALSE)-VLOOKUP($A149,main!$A$3:$I$56,6,FALSE)+main!$D$58,0)</f>
        <v>245</v>
      </c>
      <c r="H149">
        <f>IF((phi!H94),VLOOKUP(H$1,main!$A$3:$I$56,5,FALSE)-VLOOKUP($A149,main!$A$3:$I$56,6,FALSE)+main!$D$58,0)</f>
        <v>305</v>
      </c>
      <c r="I149">
        <f>IF((phi!I94),VLOOKUP(I$1,main!$A$3:$I$56,5,FALSE)-VLOOKUP($A149,main!$A$3:$I$56,6,FALSE)+main!$D$58,0)</f>
        <v>365</v>
      </c>
      <c r="J149">
        <f>IF((phi!J94),VLOOKUP(J$1,main!$A$3:$I$56,5,FALSE)-VLOOKUP($A149,main!$A$3:$I$56,6,FALSE)+main!$D$58,0)</f>
        <v>455</v>
      </c>
      <c r="K149">
        <f>IF((phi!K94),VLOOKUP(K$1,main!$A$3:$I$56,5,FALSE)-VLOOKUP($A149,main!$A$3:$I$56,6,FALSE)+main!$D$58,0)</f>
        <v>0</v>
      </c>
      <c r="L149">
        <f>IF((phi!L94),VLOOKUP(L$1,main!$A$3:$I$56,5,FALSE)-VLOOKUP($A149,main!$A$3:$I$56,6,FALSE)+main!$D$58,0)</f>
        <v>0</v>
      </c>
      <c r="M149">
        <f>IF((phi!M94),VLOOKUP(M$1,main!$A$3:$I$56,5,FALSE)-VLOOKUP($A149,main!$A$3:$I$56,6,FALSE)+main!$D$58,0)</f>
        <v>0</v>
      </c>
      <c r="N149">
        <f>IF((phi!N94),VLOOKUP(N$1,main!$A$3:$I$56,5,FALSE)-VLOOKUP($A149,main!$A$3:$I$56,6,FALSE)+main!$D$58,0)</f>
        <v>420</v>
      </c>
      <c r="O149">
        <f>IF((phi!O94),VLOOKUP(O$1,main!$A$3:$I$56,5,FALSE)-VLOOKUP($A149,main!$A$3:$I$56,6,FALSE)+main!$D$58,0)</f>
        <v>480</v>
      </c>
      <c r="P149">
        <f>IF((phi!P94),VLOOKUP(P$1,main!$A$3:$I$56,5,FALSE)-VLOOKUP($A149,main!$A$3:$I$56,6,FALSE)+main!$D$58,0)</f>
        <v>0</v>
      </c>
      <c r="Q149">
        <f>IF((phi!Q94),VLOOKUP(Q$1,main!$A$3:$I$56,5,FALSE)-VLOOKUP($A149,main!$A$3:$I$56,6,FALSE)+main!$D$58,0)</f>
        <v>0</v>
      </c>
      <c r="R149">
        <f>IF((phi!R94),VLOOKUP(R$1,main!$A$3:$I$56,5,FALSE)-VLOOKUP($A149,main!$A$3:$I$56,6,FALSE)+main!$D$58,0)</f>
        <v>0</v>
      </c>
      <c r="S149">
        <f>IF((phi!S94),VLOOKUP(S$1,main!$A$3:$I$56,5,FALSE)-VLOOKUP($A149,main!$A$3:$I$56,6,FALSE)+main!$D$58,0)</f>
        <v>235</v>
      </c>
      <c r="T149">
        <f>IF((phi!T94),VLOOKUP(T$1,main!$A$3:$I$56,5,FALSE)-VLOOKUP($A149,main!$A$3:$I$56,6,FALSE)+main!$D$58,0)</f>
        <v>385</v>
      </c>
      <c r="U149">
        <f>IF((phi!U94),VLOOKUP(U$1,main!$A$3:$I$56,5,FALSE)-VLOOKUP($A149,main!$A$3:$I$56,6,FALSE)+main!$D$58,0)</f>
        <v>0</v>
      </c>
      <c r="V149">
        <f>IF((phi!V94),VLOOKUP(V$1,main!$A$3:$I$56,5,FALSE)-VLOOKUP($A149,main!$A$3:$I$56,6,FALSE)+main!$D$58,0)</f>
        <v>0</v>
      </c>
      <c r="W149">
        <f>IF((phi!W94),VLOOKUP(W$1,main!$A$3:$I$56,5,FALSE)-VLOOKUP($A149,main!$A$3:$I$56,6,FALSE)+main!$D$58,0)</f>
        <v>0</v>
      </c>
      <c r="X149">
        <f>IF((phi!X94),VLOOKUP(X$1,main!$A$3:$I$56,5,FALSE)-VLOOKUP($A149,main!$A$3:$I$56,6,FALSE)+main!$D$58,0)</f>
        <v>0</v>
      </c>
      <c r="Y149">
        <f>IF((phi!Y94),VLOOKUP(Y$1,main!$A$3:$I$56,5,FALSE)-VLOOKUP($A149,main!$A$3:$I$56,6,FALSE)+main!$D$58,0)</f>
        <v>0</v>
      </c>
      <c r="Z149">
        <f>IF((phi!Z94),VLOOKUP(Z$1,main!$A$3:$I$56,5,FALSE)-VLOOKUP($A149,main!$A$3:$I$56,6,FALSE)+main!$D$58,0)</f>
        <v>255</v>
      </c>
      <c r="AA149">
        <f>IF((phi!AA94),VLOOKUP(AA$1,main!$A$3:$I$56,5,FALSE)-VLOOKUP($A149,main!$A$3:$I$56,6,FALSE)+main!$D$58,0)</f>
        <v>345</v>
      </c>
      <c r="AB149">
        <f>IF((phi!AB94),VLOOKUP(AB$1,main!$A$3:$I$56,5,FALSE)-VLOOKUP($A149,main!$A$3:$I$56,6,FALSE)+main!$D$58,0)</f>
        <v>405</v>
      </c>
      <c r="AC149">
        <f>IF((phi!AC94),VLOOKUP(AC$1,main!$A$3:$I$56,5,FALSE)-VLOOKUP($A149,main!$A$3:$I$56,6,FALSE)+main!$D$58,0)</f>
        <v>0</v>
      </c>
      <c r="AD149">
        <f>IF((phi!AD94),VLOOKUP(AD$1,main!$A$3:$I$56,5,FALSE)-VLOOKUP($A149,main!$A$3:$I$56,6,FALSE)+main!$D$58,0)</f>
        <v>0</v>
      </c>
      <c r="AE149">
        <f>IF((phi!AE94),VLOOKUP(AE$1,main!$A$3:$I$56,5,FALSE)-VLOOKUP($A149,main!$A$3:$I$56,6,FALSE)+main!$D$58,0)</f>
        <v>0</v>
      </c>
      <c r="AF149">
        <f>IF((phi!AF94),VLOOKUP(AF$1,main!$A$3:$I$56,5,FALSE)-VLOOKUP($A149,main!$A$3:$I$56,6,FALSE)+main!$D$58,0)</f>
        <v>0</v>
      </c>
      <c r="AG149">
        <f>IF((phi!AG94),VLOOKUP(AG$1,main!$A$3:$I$56,5,FALSE)-VLOOKUP($A149,main!$A$3:$I$56,6,FALSE)+main!$D$58,0)</f>
        <v>0</v>
      </c>
      <c r="AH149">
        <f>IF((phi!AH94),VLOOKUP(AH$1,main!$A$3:$I$56,5,FALSE)-VLOOKUP($A149,main!$A$3:$I$56,6,FALSE)+main!$D$58,0)</f>
        <v>0</v>
      </c>
      <c r="AI149">
        <f>IF((phi!AI94),VLOOKUP(AI$1,main!$A$3:$I$56,5,FALSE)-VLOOKUP($A149,main!$A$3:$I$56,6,FALSE)+main!$D$58,0)</f>
        <v>0</v>
      </c>
      <c r="AJ149">
        <f>IF((phi!AJ94),VLOOKUP(AJ$1,main!$A$3:$I$56,5,FALSE)-VLOOKUP($A149,main!$A$3:$I$56,6,FALSE)+main!$D$58,0)</f>
        <v>0</v>
      </c>
      <c r="AK149">
        <f>IF((phi!AK94),VLOOKUP(AK$1,main!$A$3:$I$56,5,FALSE)-VLOOKUP($A149,main!$A$3:$I$56,6,FALSE)+main!$D$58,0)</f>
        <v>305</v>
      </c>
      <c r="AL149">
        <f>IF((phi!AL94),VLOOKUP(AL$1,main!$A$3:$I$56,5,FALSE)-VLOOKUP($A149,main!$A$3:$I$56,6,FALSE)+main!$D$58,0)</f>
        <v>0</v>
      </c>
      <c r="AM149">
        <f>IF((phi!AM94),VLOOKUP(AM$1,main!$A$3:$I$56,5,FALSE)-VLOOKUP($A149,main!$A$3:$I$56,6,FALSE)+main!$D$58,0)</f>
        <v>0</v>
      </c>
      <c r="AN149">
        <f>IF((phi!AN94),VLOOKUP(AN$1,main!$A$3:$I$56,5,FALSE)-VLOOKUP($A149,main!$A$3:$I$56,6,FALSE)+main!$D$58,0)</f>
        <v>0</v>
      </c>
      <c r="AO149">
        <f>IF((phi!AO94),VLOOKUP(AO$1,main!$A$3:$I$56,5,FALSE)-VLOOKUP($A149,main!$A$3:$I$56,6,FALSE)+main!$D$58,0)</f>
        <v>0</v>
      </c>
      <c r="AP149">
        <f>IF((phi!AP94),VLOOKUP(AP$1,main!$A$3:$I$56,5,FALSE)-VLOOKUP($A149,main!$A$3:$I$56,6,FALSE)+main!$D$58,0)</f>
        <v>0</v>
      </c>
      <c r="AQ149">
        <f>IF((phi!AQ94),VLOOKUP(AQ$1,main!$A$3:$I$56,5,FALSE)-VLOOKUP($A149,main!$A$3:$I$56,6,FALSE)+main!$D$58,0)</f>
        <v>0</v>
      </c>
      <c r="AR149">
        <f>IF((phi!AR94),VLOOKUP(AR$1,main!$A$3:$I$56,5,FALSE)-VLOOKUP($A149,main!$A$3:$I$56,6,FALSE)+main!$D$58,0)</f>
        <v>0</v>
      </c>
      <c r="AS149">
        <f>IF((phi!AS94),VLOOKUP(AS$1,main!$A$3:$I$56,5,FALSE)-VLOOKUP($A149,main!$A$3:$I$56,6,FALSE)+main!$D$58,0)</f>
        <v>0</v>
      </c>
      <c r="AT149">
        <f>IF((phi!AT94),VLOOKUP(AT$1,main!$A$3:$I$56,5,FALSE)-VLOOKUP($A149,main!$A$3:$I$56,6,FALSE)+main!$D$58,0)</f>
        <v>0</v>
      </c>
      <c r="AU149">
        <f>IF((phi!AU94),VLOOKUP(AU$1,main!$A$3:$I$56,5,FALSE)-VLOOKUP($A149,main!$A$3:$I$56,6,FALSE)+main!$D$58,0)</f>
        <v>0</v>
      </c>
      <c r="AV149">
        <f>IF((phi!AV94),VLOOKUP(AV$1,main!$A$3:$I$56,5,FALSE)-VLOOKUP($A149,main!$A$3:$I$56,6,FALSE)+main!$D$58,0)</f>
        <v>0</v>
      </c>
      <c r="AW149">
        <f>IF((phi!AW94),VLOOKUP(AW$1,main!$A$3:$I$56,5,FALSE)-VLOOKUP($A149,main!$A$3:$I$56,6,FALSE)+main!$D$58,0)</f>
        <v>0</v>
      </c>
      <c r="AX149">
        <f>IF((phi!AX94),VLOOKUP(AX$1,main!$A$3:$I$56,5,FALSE)-VLOOKUP($A149,main!$A$3:$I$56,6,FALSE)+main!$D$58,0)</f>
        <v>0</v>
      </c>
      <c r="AY149">
        <f>IF((phi!AY94),VLOOKUP(AY$1,main!$A$3:$I$56,5,FALSE)-VLOOKUP($A149,main!$A$3:$I$56,6,FALSE)+main!$D$58,0)</f>
        <v>465</v>
      </c>
      <c r="AZ149">
        <f>IF((phi!AZ94),VLOOKUP(AZ$1,main!$A$3:$I$56,5,FALSE)-VLOOKUP($A149,main!$A$3:$I$56,6,FALSE)+main!$D$58,0)</f>
        <v>0</v>
      </c>
      <c r="BA149">
        <f>IF((phi!BA94),VLOOKUP(BA$1,main!$A$3:$I$56,5,FALSE)-VLOOKUP($A149,main!$A$3:$I$56,6,FALSE)+main!$D$58,0)</f>
        <v>0</v>
      </c>
      <c r="BB149">
        <f>IF((phi!BB94),VLOOKUP(BB$1,main!$A$3:$I$56,5,FALSE)-VLOOKUP($A149,main!$A$3:$I$56,6,FALSE)+main!$D$58,0)</f>
        <v>0</v>
      </c>
      <c r="BC149">
        <f>IF((phi!BC94),VLOOKUP(BC$1,main!$A$3:$I$56,5,FALSE)-VLOOKUP($A149,main!$A$3:$I$56,6,FALSE)+main!$D$58,0)</f>
        <v>0</v>
      </c>
      <c r="BD149">
        <f>IF((phi!BD94),VLOOKUP(BD$1,main!$A$3:$I$56,5,FALSE)-VLOOKUP($A149,main!$A$3:$I$56,6,FALSE)+main!$D$58,0)</f>
        <v>0</v>
      </c>
    </row>
    <row r="150" spans="1:56" x14ac:dyDescent="0.25">
      <c r="A150">
        <f t="shared" si="4"/>
        <v>38</v>
      </c>
      <c r="B150">
        <v>0</v>
      </c>
      <c r="C150">
        <f>IF((phi!C95),VLOOKUP(C$1,main!$A$3:$I$56,5,FALSE)-VLOOKUP($A150,main!$A$3:$I$56,6,FALSE)+main!$D$58,0)</f>
        <v>0</v>
      </c>
      <c r="D150">
        <f>IF((phi!D95),VLOOKUP(D$1,main!$A$3:$I$56,5,FALSE)-VLOOKUP($A150,main!$A$3:$I$56,6,FALSE)+main!$D$58,0)</f>
        <v>0</v>
      </c>
      <c r="E150">
        <f>IF((phi!E95),VLOOKUP(E$1,main!$A$3:$I$56,5,FALSE)-VLOOKUP($A150,main!$A$3:$I$56,6,FALSE)+main!$D$58,0)</f>
        <v>0</v>
      </c>
      <c r="F150">
        <f>IF((phi!F95),VLOOKUP(F$1,main!$A$3:$I$56,5,FALSE)-VLOOKUP($A150,main!$A$3:$I$56,6,FALSE)+main!$D$58,0)</f>
        <v>0</v>
      </c>
      <c r="G150">
        <f>IF((phi!G95),VLOOKUP(G$1,main!$A$3:$I$56,5,FALSE)-VLOOKUP($A150,main!$A$3:$I$56,6,FALSE)+main!$D$58,0)</f>
        <v>0</v>
      </c>
      <c r="H150">
        <f>IF((phi!H95),VLOOKUP(H$1,main!$A$3:$I$56,5,FALSE)-VLOOKUP($A150,main!$A$3:$I$56,6,FALSE)+main!$D$58,0)</f>
        <v>0</v>
      </c>
      <c r="I150">
        <f>IF((phi!I95),VLOOKUP(I$1,main!$A$3:$I$56,5,FALSE)-VLOOKUP($A150,main!$A$3:$I$56,6,FALSE)+main!$D$58,0)</f>
        <v>130</v>
      </c>
      <c r="J150">
        <f>IF((phi!J95),VLOOKUP(J$1,main!$A$3:$I$56,5,FALSE)-VLOOKUP($A150,main!$A$3:$I$56,6,FALSE)+main!$D$58,0)</f>
        <v>220</v>
      </c>
      <c r="K150">
        <f>IF((phi!K95),VLOOKUP(K$1,main!$A$3:$I$56,5,FALSE)-VLOOKUP($A150,main!$A$3:$I$56,6,FALSE)+main!$D$58,0)</f>
        <v>0</v>
      </c>
      <c r="L150">
        <f>IF((phi!L95),VLOOKUP(L$1,main!$A$3:$I$56,5,FALSE)-VLOOKUP($A150,main!$A$3:$I$56,6,FALSE)+main!$D$58,0)</f>
        <v>0</v>
      </c>
      <c r="M150">
        <f>IF((phi!M95),VLOOKUP(M$1,main!$A$3:$I$56,5,FALSE)-VLOOKUP($A150,main!$A$3:$I$56,6,FALSE)+main!$D$58,0)</f>
        <v>0</v>
      </c>
      <c r="N150">
        <f>IF((phi!N95),VLOOKUP(N$1,main!$A$3:$I$56,5,FALSE)-VLOOKUP($A150,main!$A$3:$I$56,6,FALSE)+main!$D$58,0)</f>
        <v>185</v>
      </c>
      <c r="O150">
        <f>IF((phi!O95),VLOOKUP(O$1,main!$A$3:$I$56,5,FALSE)-VLOOKUP($A150,main!$A$3:$I$56,6,FALSE)+main!$D$58,0)</f>
        <v>245</v>
      </c>
      <c r="P150">
        <f>IF((phi!P95),VLOOKUP(P$1,main!$A$3:$I$56,5,FALSE)-VLOOKUP($A150,main!$A$3:$I$56,6,FALSE)+main!$D$58,0)</f>
        <v>0</v>
      </c>
      <c r="Q150">
        <f>IF((phi!Q95),VLOOKUP(Q$1,main!$A$3:$I$56,5,FALSE)-VLOOKUP($A150,main!$A$3:$I$56,6,FALSE)+main!$D$58,0)</f>
        <v>0</v>
      </c>
      <c r="R150">
        <f>IF((phi!R95),VLOOKUP(R$1,main!$A$3:$I$56,5,FALSE)-VLOOKUP($A150,main!$A$3:$I$56,6,FALSE)+main!$D$58,0)</f>
        <v>0</v>
      </c>
      <c r="S150">
        <f>IF((phi!S95),VLOOKUP(S$1,main!$A$3:$I$56,5,FALSE)-VLOOKUP($A150,main!$A$3:$I$56,6,FALSE)+main!$D$58,0)</f>
        <v>0</v>
      </c>
      <c r="T150">
        <f>IF((phi!T95),VLOOKUP(T$1,main!$A$3:$I$56,5,FALSE)-VLOOKUP($A150,main!$A$3:$I$56,6,FALSE)+main!$D$58,0)</f>
        <v>150</v>
      </c>
      <c r="U150">
        <f>IF((phi!U95),VLOOKUP(U$1,main!$A$3:$I$56,5,FALSE)-VLOOKUP($A150,main!$A$3:$I$56,6,FALSE)+main!$D$58,0)</f>
        <v>0</v>
      </c>
      <c r="V150">
        <f>IF((phi!V95),VLOOKUP(V$1,main!$A$3:$I$56,5,FALSE)-VLOOKUP($A150,main!$A$3:$I$56,6,FALSE)+main!$D$58,0)</f>
        <v>0</v>
      </c>
      <c r="W150">
        <f>IF((phi!W95),VLOOKUP(W$1,main!$A$3:$I$56,5,FALSE)-VLOOKUP($A150,main!$A$3:$I$56,6,FALSE)+main!$D$58,0)</f>
        <v>0</v>
      </c>
      <c r="X150">
        <f>IF((phi!X95),VLOOKUP(X$1,main!$A$3:$I$56,5,FALSE)-VLOOKUP($A150,main!$A$3:$I$56,6,FALSE)+main!$D$58,0)</f>
        <v>0</v>
      </c>
      <c r="Y150">
        <f>IF((phi!Y95),VLOOKUP(Y$1,main!$A$3:$I$56,5,FALSE)-VLOOKUP($A150,main!$A$3:$I$56,6,FALSE)+main!$D$58,0)</f>
        <v>0</v>
      </c>
      <c r="Z150">
        <f>IF((phi!Z95),VLOOKUP(Z$1,main!$A$3:$I$56,5,FALSE)-VLOOKUP($A150,main!$A$3:$I$56,6,FALSE)+main!$D$58,0)</f>
        <v>0</v>
      </c>
      <c r="AA150">
        <f>IF((phi!AA95),VLOOKUP(AA$1,main!$A$3:$I$56,5,FALSE)-VLOOKUP($A150,main!$A$3:$I$56,6,FALSE)+main!$D$58,0)</f>
        <v>0</v>
      </c>
      <c r="AB150">
        <f>IF((phi!AB95),VLOOKUP(AB$1,main!$A$3:$I$56,5,FALSE)-VLOOKUP($A150,main!$A$3:$I$56,6,FALSE)+main!$D$58,0)</f>
        <v>0</v>
      </c>
      <c r="AC150">
        <f>IF((phi!AC95),VLOOKUP(AC$1,main!$A$3:$I$56,5,FALSE)-VLOOKUP($A150,main!$A$3:$I$56,6,FALSE)+main!$D$58,0)</f>
        <v>0</v>
      </c>
      <c r="AD150">
        <f>IF((phi!AD95),VLOOKUP(AD$1,main!$A$3:$I$56,5,FALSE)-VLOOKUP($A150,main!$A$3:$I$56,6,FALSE)+main!$D$58,0)</f>
        <v>0</v>
      </c>
      <c r="AE150">
        <f>IF((phi!AE95),VLOOKUP(AE$1,main!$A$3:$I$56,5,FALSE)-VLOOKUP($A150,main!$A$3:$I$56,6,FALSE)+main!$D$58,0)</f>
        <v>0</v>
      </c>
      <c r="AF150">
        <f>IF((phi!AF95),VLOOKUP(AF$1,main!$A$3:$I$56,5,FALSE)-VLOOKUP($A150,main!$A$3:$I$56,6,FALSE)+main!$D$58,0)</f>
        <v>0</v>
      </c>
      <c r="AG150">
        <f>IF((phi!AG95),VLOOKUP(AG$1,main!$A$3:$I$56,5,FALSE)-VLOOKUP($A150,main!$A$3:$I$56,6,FALSE)+main!$D$58,0)</f>
        <v>0</v>
      </c>
      <c r="AH150">
        <f>IF((phi!AH95),VLOOKUP(AH$1,main!$A$3:$I$56,5,FALSE)-VLOOKUP($A150,main!$A$3:$I$56,6,FALSE)+main!$D$58,0)</f>
        <v>0</v>
      </c>
      <c r="AI150">
        <f>IF((phi!AI95),VLOOKUP(AI$1,main!$A$3:$I$56,5,FALSE)-VLOOKUP($A150,main!$A$3:$I$56,6,FALSE)+main!$D$58,0)</f>
        <v>0</v>
      </c>
      <c r="AJ150">
        <f>IF((phi!AJ95),VLOOKUP(AJ$1,main!$A$3:$I$56,5,FALSE)-VLOOKUP($A150,main!$A$3:$I$56,6,FALSE)+main!$D$58,0)</f>
        <v>0</v>
      </c>
      <c r="AK150">
        <f>IF((phi!AK95),VLOOKUP(AK$1,main!$A$3:$I$56,5,FALSE)-VLOOKUP($A150,main!$A$3:$I$56,6,FALSE)+main!$D$58,0)</f>
        <v>0</v>
      </c>
      <c r="AL150">
        <f>IF((phi!AL95),VLOOKUP(AL$1,main!$A$3:$I$56,5,FALSE)-VLOOKUP($A150,main!$A$3:$I$56,6,FALSE)+main!$D$58,0)</f>
        <v>0</v>
      </c>
      <c r="AM150">
        <f>IF((phi!AM95),VLOOKUP(AM$1,main!$A$3:$I$56,5,FALSE)-VLOOKUP($A150,main!$A$3:$I$56,6,FALSE)+main!$D$58,0)</f>
        <v>0</v>
      </c>
      <c r="AN150">
        <f>IF((phi!AN95),VLOOKUP(AN$1,main!$A$3:$I$56,5,FALSE)-VLOOKUP($A150,main!$A$3:$I$56,6,FALSE)+main!$D$58,0)</f>
        <v>0</v>
      </c>
      <c r="AO150">
        <f>IF((phi!AO95),VLOOKUP(AO$1,main!$A$3:$I$56,5,FALSE)-VLOOKUP($A150,main!$A$3:$I$56,6,FALSE)+main!$D$58,0)</f>
        <v>0</v>
      </c>
      <c r="AP150">
        <f>IF((phi!AP95),VLOOKUP(AP$1,main!$A$3:$I$56,5,FALSE)-VLOOKUP($A150,main!$A$3:$I$56,6,FALSE)+main!$D$58,0)</f>
        <v>0</v>
      </c>
      <c r="AQ150">
        <f>IF((phi!AQ95),VLOOKUP(AQ$1,main!$A$3:$I$56,5,FALSE)-VLOOKUP($A150,main!$A$3:$I$56,6,FALSE)+main!$D$58,0)</f>
        <v>0</v>
      </c>
      <c r="AR150">
        <f>IF((phi!AR95),VLOOKUP(AR$1,main!$A$3:$I$56,5,FALSE)-VLOOKUP($A150,main!$A$3:$I$56,6,FALSE)+main!$D$58,0)</f>
        <v>0</v>
      </c>
      <c r="AS150">
        <f>IF((phi!AS95),VLOOKUP(AS$1,main!$A$3:$I$56,5,FALSE)-VLOOKUP($A150,main!$A$3:$I$56,6,FALSE)+main!$D$58,0)</f>
        <v>0</v>
      </c>
      <c r="AT150">
        <f>IF((phi!AT95),VLOOKUP(AT$1,main!$A$3:$I$56,5,FALSE)-VLOOKUP($A150,main!$A$3:$I$56,6,FALSE)+main!$D$58,0)</f>
        <v>0</v>
      </c>
      <c r="AU150">
        <f>IF((phi!AU95),VLOOKUP(AU$1,main!$A$3:$I$56,5,FALSE)-VLOOKUP($A150,main!$A$3:$I$56,6,FALSE)+main!$D$58,0)</f>
        <v>0</v>
      </c>
      <c r="AV150">
        <f>IF((phi!AV95),VLOOKUP(AV$1,main!$A$3:$I$56,5,FALSE)-VLOOKUP($A150,main!$A$3:$I$56,6,FALSE)+main!$D$58,0)</f>
        <v>0</v>
      </c>
      <c r="AW150">
        <f>IF((phi!AW95),VLOOKUP(AW$1,main!$A$3:$I$56,5,FALSE)-VLOOKUP($A150,main!$A$3:$I$56,6,FALSE)+main!$D$58,0)</f>
        <v>0</v>
      </c>
      <c r="AX150">
        <f>IF((phi!AX95),VLOOKUP(AX$1,main!$A$3:$I$56,5,FALSE)-VLOOKUP($A150,main!$A$3:$I$56,6,FALSE)+main!$D$58,0)</f>
        <v>0</v>
      </c>
      <c r="AY150">
        <f>IF((phi!AY95),VLOOKUP(AY$1,main!$A$3:$I$56,5,FALSE)-VLOOKUP($A150,main!$A$3:$I$56,6,FALSE)+main!$D$58,0)</f>
        <v>0</v>
      </c>
      <c r="AZ150">
        <f>IF((phi!AZ95),VLOOKUP(AZ$1,main!$A$3:$I$56,5,FALSE)-VLOOKUP($A150,main!$A$3:$I$56,6,FALSE)+main!$D$58,0)</f>
        <v>0</v>
      </c>
      <c r="BA150">
        <f>IF((phi!BA95),VLOOKUP(BA$1,main!$A$3:$I$56,5,FALSE)-VLOOKUP($A150,main!$A$3:$I$56,6,FALSE)+main!$D$58,0)</f>
        <v>0</v>
      </c>
      <c r="BB150">
        <f>IF((phi!BB95),VLOOKUP(BB$1,main!$A$3:$I$56,5,FALSE)-VLOOKUP($A150,main!$A$3:$I$56,6,FALSE)+main!$D$58,0)</f>
        <v>0</v>
      </c>
      <c r="BC150">
        <f>IF((phi!BC95),VLOOKUP(BC$1,main!$A$3:$I$56,5,FALSE)-VLOOKUP($A150,main!$A$3:$I$56,6,FALSE)+main!$D$58,0)</f>
        <v>0</v>
      </c>
      <c r="BD150">
        <f>IF((phi!BD95),VLOOKUP(BD$1,main!$A$3:$I$56,5,FALSE)-VLOOKUP($A150,main!$A$3:$I$56,6,FALSE)+main!$D$58,0)</f>
        <v>0</v>
      </c>
    </row>
    <row r="151" spans="1:56" x14ac:dyDescent="0.25">
      <c r="A151">
        <f t="shared" si="4"/>
        <v>39</v>
      </c>
      <c r="B151">
        <v>0</v>
      </c>
      <c r="C151">
        <f>IF((phi!C96),VLOOKUP(C$1,main!$A$3:$I$56,5,FALSE)-VLOOKUP($A151,main!$A$3:$I$56,6,FALSE)+main!$D$58,0)</f>
        <v>0</v>
      </c>
      <c r="D151">
        <f>IF((phi!D96),VLOOKUP(D$1,main!$A$3:$I$56,5,FALSE)-VLOOKUP($A151,main!$A$3:$I$56,6,FALSE)+main!$D$58,0)</f>
        <v>0</v>
      </c>
      <c r="E151">
        <f>IF((phi!E96),VLOOKUP(E$1,main!$A$3:$I$56,5,FALSE)-VLOOKUP($A151,main!$A$3:$I$56,6,FALSE)+main!$D$58,0)</f>
        <v>0</v>
      </c>
      <c r="F151">
        <f>IF((phi!F96),VLOOKUP(F$1,main!$A$3:$I$56,5,FALSE)-VLOOKUP($A151,main!$A$3:$I$56,6,FALSE)+main!$D$58,0)</f>
        <v>0</v>
      </c>
      <c r="G151">
        <f>IF((phi!G96),VLOOKUP(G$1,main!$A$3:$I$56,5,FALSE)-VLOOKUP($A151,main!$A$3:$I$56,6,FALSE)+main!$D$58,0)</f>
        <v>0</v>
      </c>
      <c r="H151">
        <f>IF((phi!H96),VLOOKUP(H$1,main!$A$3:$I$56,5,FALSE)-VLOOKUP($A151,main!$A$3:$I$56,6,FALSE)+main!$D$58,0)</f>
        <v>0</v>
      </c>
      <c r="I151">
        <f>IF((phi!I96),VLOOKUP(I$1,main!$A$3:$I$56,5,FALSE)-VLOOKUP($A151,main!$A$3:$I$56,6,FALSE)+main!$D$58,0)</f>
        <v>0</v>
      </c>
      <c r="J151">
        <f>IF((phi!J96),VLOOKUP(J$1,main!$A$3:$I$56,5,FALSE)-VLOOKUP($A151,main!$A$3:$I$56,6,FALSE)+main!$D$58,0)</f>
        <v>160</v>
      </c>
      <c r="K151">
        <f>IF((phi!K96),VLOOKUP(K$1,main!$A$3:$I$56,5,FALSE)-VLOOKUP($A151,main!$A$3:$I$56,6,FALSE)+main!$D$58,0)</f>
        <v>0</v>
      </c>
      <c r="L151">
        <f>IF((phi!L96),VLOOKUP(L$1,main!$A$3:$I$56,5,FALSE)-VLOOKUP($A151,main!$A$3:$I$56,6,FALSE)+main!$D$58,0)</f>
        <v>0</v>
      </c>
      <c r="M151">
        <f>IF((phi!M96),VLOOKUP(M$1,main!$A$3:$I$56,5,FALSE)-VLOOKUP($A151,main!$A$3:$I$56,6,FALSE)+main!$D$58,0)</f>
        <v>0</v>
      </c>
      <c r="N151">
        <f>IF((phi!N96),VLOOKUP(N$1,main!$A$3:$I$56,5,FALSE)-VLOOKUP($A151,main!$A$3:$I$56,6,FALSE)+main!$D$58,0)</f>
        <v>125</v>
      </c>
      <c r="O151">
        <f>IF((phi!O96),VLOOKUP(O$1,main!$A$3:$I$56,5,FALSE)-VLOOKUP($A151,main!$A$3:$I$56,6,FALSE)+main!$D$58,0)</f>
        <v>185</v>
      </c>
      <c r="P151">
        <f>IF((phi!P96),VLOOKUP(P$1,main!$A$3:$I$56,5,FALSE)-VLOOKUP($A151,main!$A$3:$I$56,6,FALSE)+main!$D$58,0)</f>
        <v>0</v>
      </c>
      <c r="Q151">
        <f>IF((phi!Q96),VLOOKUP(Q$1,main!$A$3:$I$56,5,FALSE)-VLOOKUP($A151,main!$A$3:$I$56,6,FALSE)+main!$D$58,0)</f>
        <v>0</v>
      </c>
      <c r="R151">
        <f>IF((phi!R96),VLOOKUP(R$1,main!$A$3:$I$56,5,FALSE)-VLOOKUP($A151,main!$A$3:$I$56,6,FALSE)+main!$D$58,0)</f>
        <v>0</v>
      </c>
      <c r="S151">
        <f>IF((phi!S96),VLOOKUP(S$1,main!$A$3:$I$56,5,FALSE)-VLOOKUP($A151,main!$A$3:$I$56,6,FALSE)+main!$D$58,0)</f>
        <v>0</v>
      </c>
      <c r="T151">
        <f>IF((phi!T96),VLOOKUP(T$1,main!$A$3:$I$56,5,FALSE)-VLOOKUP($A151,main!$A$3:$I$56,6,FALSE)+main!$D$58,0)</f>
        <v>0</v>
      </c>
      <c r="U151">
        <f>IF((phi!U96),VLOOKUP(U$1,main!$A$3:$I$56,5,FALSE)-VLOOKUP($A151,main!$A$3:$I$56,6,FALSE)+main!$D$58,0)</f>
        <v>0</v>
      </c>
      <c r="V151">
        <f>IF((phi!V96),VLOOKUP(V$1,main!$A$3:$I$56,5,FALSE)-VLOOKUP($A151,main!$A$3:$I$56,6,FALSE)+main!$D$58,0)</f>
        <v>0</v>
      </c>
      <c r="W151">
        <f>IF((phi!W96),VLOOKUP(W$1,main!$A$3:$I$56,5,FALSE)-VLOOKUP($A151,main!$A$3:$I$56,6,FALSE)+main!$D$58,0)</f>
        <v>0</v>
      </c>
      <c r="X151">
        <f>IF((phi!X96),VLOOKUP(X$1,main!$A$3:$I$56,5,FALSE)-VLOOKUP($A151,main!$A$3:$I$56,6,FALSE)+main!$D$58,0)</f>
        <v>0</v>
      </c>
      <c r="Y151">
        <f>IF((phi!Y96),VLOOKUP(Y$1,main!$A$3:$I$56,5,FALSE)-VLOOKUP($A151,main!$A$3:$I$56,6,FALSE)+main!$D$58,0)</f>
        <v>0</v>
      </c>
      <c r="Z151">
        <f>IF((phi!Z96),VLOOKUP(Z$1,main!$A$3:$I$56,5,FALSE)-VLOOKUP($A151,main!$A$3:$I$56,6,FALSE)+main!$D$58,0)</f>
        <v>0</v>
      </c>
      <c r="AA151">
        <f>IF((phi!AA96),VLOOKUP(AA$1,main!$A$3:$I$56,5,FALSE)-VLOOKUP($A151,main!$A$3:$I$56,6,FALSE)+main!$D$58,0)</f>
        <v>0</v>
      </c>
      <c r="AB151">
        <f>IF((phi!AB96),VLOOKUP(AB$1,main!$A$3:$I$56,5,FALSE)-VLOOKUP($A151,main!$A$3:$I$56,6,FALSE)+main!$D$58,0)</f>
        <v>0</v>
      </c>
      <c r="AC151">
        <f>IF((phi!AC96),VLOOKUP(AC$1,main!$A$3:$I$56,5,FALSE)-VLOOKUP($A151,main!$A$3:$I$56,6,FALSE)+main!$D$58,0)</f>
        <v>0</v>
      </c>
      <c r="AD151">
        <f>IF((phi!AD96),VLOOKUP(AD$1,main!$A$3:$I$56,5,FALSE)-VLOOKUP($A151,main!$A$3:$I$56,6,FALSE)+main!$D$58,0)</f>
        <v>0</v>
      </c>
      <c r="AE151">
        <f>IF((phi!AE96),VLOOKUP(AE$1,main!$A$3:$I$56,5,FALSE)-VLOOKUP($A151,main!$A$3:$I$56,6,FALSE)+main!$D$58,0)</f>
        <v>0</v>
      </c>
      <c r="AF151">
        <f>IF((phi!AF96),VLOOKUP(AF$1,main!$A$3:$I$56,5,FALSE)-VLOOKUP($A151,main!$A$3:$I$56,6,FALSE)+main!$D$58,0)</f>
        <v>0</v>
      </c>
      <c r="AG151">
        <f>IF((phi!AG96),VLOOKUP(AG$1,main!$A$3:$I$56,5,FALSE)-VLOOKUP($A151,main!$A$3:$I$56,6,FALSE)+main!$D$58,0)</f>
        <v>0</v>
      </c>
      <c r="AH151">
        <f>IF((phi!AH96),VLOOKUP(AH$1,main!$A$3:$I$56,5,FALSE)-VLOOKUP($A151,main!$A$3:$I$56,6,FALSE)+main!$D$58,0)</f>
        <v>0</v>
      </c>
      <c r="AI151">
        <f>IF((phi!AI96),VLOOKUP(AI$1,main!$A$3:$I$56,5,FALSE)-VLOOKUP($A151,main!$A$3:$I$56,6,FALSE)+main!$D$58,0)</f>
        <v>0</v>
      </c>
      <c r="AJ151">
        <f>IF((phi!AJ96),VLOOKUP(AJ$1,main!$A$3:$I$56,5,FALSE)-VLOOKUP($A151,main!$A$3:$I$56,6,FALSE)+main!$D$58,0)</f>
        <v>0</v>
      </c>
      <c r="AK151">
        <f>IF((phi!AK96),VLOOKUP(AK$1,main!$A$3:$I$56,5,FALSE)-VLOOKUP($A151,main!$A$3:$I$56,6,FALSE)+main!$D$58,0)</f>
        <v>0</v>
      </c>
      <c r="AL151">
        <f>IF((phi!AL96),VLOOKUP(AL$1,main!$A$3:$I$56,5,FALSE)-VLOOKUP($A151,main!$A$3:$I$56,6,FALSE)+main!$D$58,0)</f>
        <v>0</v>
      </c>
      <c r="AM151">
        <f>IF((phi!AM96),VLOOKUP(AM$1,main!$A$3:$I$56,5,FALSE)-VLOOKUP($A151,main!$A$3:$I$56,6,FALSE)+main!$D$58,0)</f>
        <v>0</v>
      </c>
      <c r="AN151">
        <f>IF((phi!AN96),VLOOKUP(AN$1,main!$A$3:$I$56,5,FALSE)-VLOOKUP($A151,main!$A$3:$I$56,6,FALSE)+main!$D$58,0)</f>
        <v>0</v>
      </c>
      <c r="AO151">
        <f>IF((phi!AO96),VLOOKUP(AO$1,main!$A$3:$I$56,5,FALSE)-VLOOKUP($A151,main!$A$3:$I$56,6,FALSE)+main!$D$58,0)</f>
        <v>0</v>
      </c>
      <c r="AP151">
        <f>IF((phi!AP96),VLOOKUP(AP$1,main!$A$3:$I$56,5,FALSE)-VLOOKUP($A151,main!$A$3:$I$56,6,FALSE)+main!$D$58,0)</f>
        <v>0</v>
      </c>
      <c r="AQ151">
        <f>IF((phi!AQ96),VLOOKUP(AQ$1,main!$A$3:$I$56,5,FALSE)-VLOOKUP($A151,main!$A$3:$I$56,6,FALSE)+main!$D$58,0)</f>
        <v>0</v>
      </c>
      <c r="AR151">
        <f>IF((phi!AR96),VLOOKUP(AR$1,main!$A$3:$I$56,5,FALSE)-VLOOKUP($A151,main!$A$3:$I$56,6,FALSE)+main!$D$58,0)</f>
        <v>0</v>
      </c>
      <c r="AS151">
        <f>IF((phi!AS96),VLOOKUP(AS$1,main!$A$3:$I$56,5,FALSE)-VLOOKUP($A151,main!$A$3:$I$56,6,FALSE)+main!$D$58,0)</f>
        <v>0</v>
      </c>
      <c r="AT151">
        <f>IF((phi!AT96),VLOOKUP(AT$1,main!$A$3:$I$56,5,FALSE)-VLOOKUP($A151,main!$A$3:$I$56,6,FALSE)+main!$D$58,0)</f>
        <v>0</v>
      </c>
      <c r="AU151">
        <f>IF((phi!AU96),VLOOKUP(AU$1,main!$A$3:$I$56,5,FALSE)-VLOOKUP($A151,main!$A$3:$I$56,6,FALSE)+main!$D$58,0)</f>
        <v>0</v>
      </c>
      <c r="AV151">
        <f>IF((phi!AV96),VLOOKUP(AV$1,main!$A$3:$I$56,5,FALSE)-VLOOKUP($A151,main!$A$3:$I$56,6,FALSE)+main!$D$58,0)</f>
        <v>0</v>
      </c>
      <c r="AW151">
        <f>IF((phi!AW96),VLOOKUP(AW$1,main!$A$3:$I$56,5,FALSE)-VLOOKUP($A151,main!$A$3:$I$56,6,FALSE)+main!$D$58,0)</f>
        <v>0</v>
      </c>
      <c r="AX151">
        <f>IF((phi!AX96),VLOOKUP(AX$1,main!$A$3:$I$56,5,FALSE)-VLOOKUP($A151,main!$A$3:$I$56,6,FALSE)+main!$D$58,0)</f>
        <v>0</v>
      </c>
      <c r="AY151">
        <f>IF((phi!AY96),VLOOKUP(AY$1,main!$A$3:$I$56,5,FALSE)-VLOOKUP($A151,main!$A$3:$I$56,6,FALSE)+main!$D$58,0)</f>
        <v>0</v>
      </c>
      <c r="AZ151">
        <f>IF((phi!AZ96),VLOOKUP(AZ$1,main!$A$3:$I$56,5,FALSE)-VLOOKUP($A151,main!$A$3:$I$56,6,FALSE)+main!$D$58,0)</f>
        <v>0</v>
      </c>
      <c r="BA151">
        <f>IF((phi!BA96),VLOOKUP(BA$1,main!$A$3:$I$56,5,FALSE)-VLOOKUP($A151,main!$A$3:$I$56,6,FALSE)+main!$D$58,0)</f>
        <v>0</v>
      </c>
      <c r="BB151">
        <f>IF((phi!BB96),VLOOKUP(BB$1,main!$A$3:$I$56,5,FALSE)-VLOOKUP($A151,main!$A$3:$I$56,6,FALSE)+main!$D$58,0)</f>
        <v>0</v>
      </c>
      <c r="BC151">
        <f>IF((phi!BC96),VLOOKUP(BC$1,main!$A$3:$I$56,5,FALSE)-VLOOKUP($A151,main!$A$3:$I$56,6,FALSE)+main!$D$58,0)</f>
        <v>0</v>
      </c>
      <c r="BD151">
        <f>IF((phi!BD96),VLOOKUP(BD$1,main!$A$3:$I$56,5,FALSE)-VLOOKUP($A151,main!$A$3:$I$56,6,FALSE)+main!$D$58,0)</f>
        <v>0</v>
      </c>
    </row>
    <row r="152" spans="1:56" x14ac:dyDescent="0.25">
      <c r="A152">
        <f t="shared" si="4"/>
        <v>40</v>
      </c>
      <c r="B152">
        <v>0</v>
      </c>
      <c r="C152">
        <f>IF((phi!C97),VLOOKUP(C$1,main!$A$3:$I$56,5,FALSE)-VLOOKUP($A152,main!$A$3:$I$56,6,FALSE)+main!$D$58,0)</f>
        <v>0</v>
      </c>
      <c r="D152">
        <f>IF((phi!D97),VLOOKUP(D$1,main!$A$3:$I$56,5,FALSE)-VLOOKUP($A152,main!$A$3:$I$56,6,FALSE)+main!$D$58,0)</f>
        <v>205</v>
      </c>
      <c r="E152">
        <f>IF((phi!E97),VLOOKUP(E$1,main!$A$3:$I$56,5,FALSE)-VLOOKUP($A152,main!$A$3:$I$56,6,FALSE)+main!$D$58,0)</f>
        <v>295</v>
      </c>
      <c r="F152">
        <f>IF((phi!F97),VLOOKUP(F$1,main!$A$3:$I$56,5,FALSE)-VLOOKUP($A152,main!$A$3:$I$56,6,FALSE)+main!$D$58,0)</f>
        <v>385</v>
      </c>
      <c r="G152">
        <f>IF((phi!G97),VLOOKUP(G$1,main!$A$3:$I$56,5,FALSE)-VLOOKUP($A152,main!$A$3:$I$56,6,FALSE)+main!$D$58,0)</f>
        <v>445</v>
      </c>
      <c r="H152">
        <f>IF((phi!H97),VLOOKUP(H$1,main!$A$3:$I$56,5,FALSE)-VLOOKUP($A152,main!$A$3:$I$56,6,FALSE)+main!$D$58,0)</f>
        <v>505</v>
      </c>
      <c r="I152">
        <f>IF((phi!I97),VLOOKUP(I$1,main!$A$3:$I$56,5,FALSE)-VLOOKUP($A152,main!$A$3:$I$56,6,FALSE)+main!$D$58,0)</f>
        <v>565</v>
      </c>
      <c r="J152">
        <f>IF((phi!J97),VLOOKUP(J$1,main!$A$3:$I$56,5,FALSE)-VLOOKUP($A152,main!$A$3:$I$56,6,FALSE)+main!$D$58,0)</f>
        <v>655</v>
      </c>
      <c r="K152">
        <f>IF((phi!K97),VLOOKUP(K$1,main!$A$3:$I$56,5,FALSE)-VLOOKUP($A152,main!$A$3:$I$56,6,FALSE)+main!$D$58,0)</f>
        <v>0</v>
      </c>
      <c r="L152">
        <f>IF((phi!L97),VLOOKUP(L$1,main!$A$3:$I$56,5,FALSE)-VLOOKUP($A152,main!$A$3:$I$56,6,FALSE)+main!$D$58,0)</f>
        <v>140</v>
      </c>
      <c r="M152">
        <f>IF((phi!M97),VLOOKUP(M$1,main!$A$3:$I$56,5,FALSE)-VLOOKUP($A152,main!$A$3:$I$56,6,FALSE)+main!$D$58,0)</f>
        <v>260</v>
      </c>
      <c r="N152">
        <f>IF((phi!N97),VLOOKUP(N$1,main!$A$3:$I$56,5,FALSE)-VLOOKUP($A152,main!$A$3:$I$56,6,FALSE)+main!$D$58,0)</f>
        <v>620</v>
      </c>
      <c r="O152">
        <f>IF((phi!O97),VLOOKUP(O$1,main!$A$3:$I$56,5,FALSE)-VLOOKUP($A152,main!$A$3:$I$56,6,FALSE)+main!$D$58,0)</f>
        <v>680</v>
      </c>
      <c r="P152">
        <f>IF((phi!P97),VLOOKUP(P$1,main!$A$3:$I$56,5,FALSE)-VLOOKUP($A152,main!$A$3:$I$56,6,FALSE)+main!$D$58,0)</f>
        <v>0</v>
      </c>
      <c r="Q152">
        <f>IF((phi!Q97),VLOOKUP(Q$1,main!$A$3:$I$56,5,FALSE)-VLOOKUP($A152,main!$A$3:$I$56,6,FALSE)+main!$D$58,0)</f>
        <v>0</v>
      </c>
      <c r="R152">
        <f>IF((phi!R97),VLOOKUP(R$1,main!$A$3:$I$56,5,FALSE)-VLOOKUP($A152,main!$A$3:$I$56,6,FALSE)+main!$D$58,0)</f>
        <v>255</v>
      </c>
      <c r="S152">
        <f>IF((phi!S97),VLOOKUP(S$1,main!$A$3:$I$56,5,FALSE)-VLOOKUP($A152,main!$A$3:$I$56,6,FALSE)+main!$D$58,0)</f>
        <v>435</v>
      </c>
      <c r="T152">
        <f>IF((phi!T97),VLOOKUP(T$1,main!$A$3:$I$56,5,FALSE)-VLOOKUP($A152,main!$A$3:$I$56,6,FALSE)+main!$D$58,0)</f>
        <v>585</v>
      </c>
      <c r="U152">
        <f>IF((phi!U97),VLOOKUP(U$1,main!$A$3:$I$56,5,FALSE)-VLOOKUP($A152,main!$A$3:$I$56,6,FALSE)+main!$D$58,0)</f>
        <v>0</v>
      </c>
      <c r="V152">
        <f>IF((phi!V97),VLOOKUP(V$1,main!$A$3:$I$56,5,FALSE)-VLOOKUP($A152,main!$A$3:$I$56,6,FALSE)+main!$D$58,0)</f>
        <v>0</v>
      </c>
      <c r="W152">
        <f>IF((phi!W97),VLOOKUP(W$1,main!$A$3:$I$56,5,FALSE)-VLOOKUP($A152,main!$A$3:$I$56,6,FALSE)+main!$D$58,0)</f>
        <v>0</v>
      </c>
      <c r="X152">
        <f>IF((phi!X97),VLOOKUP(X$1,main!$A$3:$I$56,5,FALSE)-VLOOKUP($A152,main!$A$3:$I$56,6,FALSE)+main!$D$58,0)</f>
        <v>275</v>
      </c>
      <c r="Y152">
        <f>IF((phi!Y97),VLOOKUP(Y$1,main!$A$3:$I$56,5,FALSE)-VLOOKUP($A152,main!$A$3:$I$56,6,FALSE)+main!$D$58,0)</f>
        <v>365</v>
      </c>
      <c r="Z152">
        <f>IF((phi!Z97),VLOOKUP(Z$1,main!$A$3:$I$56,5,FALSE)-VLOOKUP($A152,main!$A$3:$I$56,6,FALSE)+main!$D$58,0)</f>
        <v>455</v>
      </c>
      <c r="AA152">
        <f>IF((phi!AA97),VLOOKUP(AA$1,main!$A$3:$I$56,5,FALSE)-VLOOKUP($A152,main!$A$3:$I$56,6,FALSE)+main!$D$58,0)</f>
        <v>545</v>
      </c>
      <c r="AB152">
        <f>IF((phi!AB97),VLOOKUP(AB$1,main!$A$3:$I$56,5,FALSE)-VLOOKUP($A152,main!$A$3:$I$56,6,FALSE)+main!$D$58,0)</f>
        <v>605</v>
      </c>
      <c r="AC152">
        <f>IF((phi!AC97),VLOOKUP(AC$1,main!$A$3:$I$56,5,FALSE)-VLOOKUP($A152,main!$A$3:$I$56,6,FALSE)+main!$D$58,0)</f>
        <v>0</v>
      </c>
      <c r="AD152">
        <f>IF((phi!AD97),VLOOKUP(AD$1,main!$A$3:$I$56,5,FALSE)-VLOOKUP($A152,main!$A$3:$I$56,6,FALSE)+main!$D$58,0)</f>
        <v>0</v>
      </c>
      <c r="AE152">
        <f>IF((phi!AE97),VLOOKUP(AE$1,main!$A$3:$I$56,5,FALSE)-VLOOKUP($A152,main!$A$3:$I$56,6,FALSE)+main!$D$58,0)</f>
        <v>265</v>
      </c>
      <c r="AF152">
        <f>IF((phi!AF97),VLOOKUP(AF$1,main!$A$3:$I$56,5,FALSE)-VLOOKUP($A152,main!$A$3:$I$56,6,FALSE)+main!$D$58,0)</f>
        <v>415</v>
      </c>
      <c r="AG152">
        <f>IF((phi!AG97),VLOOKUP(AG$1,main!$A$3:$I$56,5,FALSE)-VLOOKUP($A152,main!$A$3:$I$56,6,FALSE)+main!$D$58,0)</f>
        <v>0</v>
      </c>
      <c r="AH152">
        <f>IF((phi!AH97),VLOOKUP(AH$1,main!$A$3:$I$56,5,FALSE)-VLOOKUP($A152,main!$A$3:$I$56,6,FALSE)+main!$D$58,0)</f>
        <v>0</v>
      </c>
      <c r="AI152">
        <f>IF((phi!AI97),VLOOKUP(AI$1,main!$A$3:$I$56,5,FALSE)-VLOOKUP($A152,main!$A$3:$I$56,6,FALSE)+main!$D$58,0)</f>
        <v>325</v>
      </c>
      <c r="AJ152">
        <f>IF((phi!AJ97),VLOOKUP(AJ$1,main!$A$3:$I$56,5,FALSE)-VLOOKUP($A152,main!$A$3:$I$56,6,FALSE)+main!$D$58,0)</f>
        <v>385</v>
      </c>
      <c r="AK152">
        <f>IF((phi!AK97),VLOOKUP(AK$1,main!$A$3:$I$56,5,FALSE)-VLOOKUP($A152,main!$A$3:$I$56,6,FALSE)+main!$D$58,0)</f>
        <v>505</v>
      </c>
      <c r="AL152">
        <f>IF((phi!AL97),VLOOKUP(AL$1,main!$A$3:$I$56,5,FALSE)-VLOOKUP($A152,main!$A$3:$I$56,6,FALSE)+main!$D$58,0)</f>
        <v>0</v>
      </c>
      <c r="AM152">
        <f>IF((phi!AM97),VLOOKUP(AM$1,main!$A$3:$I$56,5,FALSE)-VLOOKUP($A152,main!$A$3:$I$56,6,FALSE)+main!$D$58,0)</f>
        <v>0</v>
      </c>
      <c r="AN152">
        <f>IF((phi!AN97),VLOOKUP(AN$1,main!$A$3:$I$56,5,FALSE)-VLOOKUP($A152,main!$A$3:$I$56,6,FALSE)+main!$D$58,0)</f>
        <v>365</v>
      </c>
      <c r="AO152">
        <f>IF((phi!AO97),VLOOKUP(AO$1,main!$A$3:$I$56,5,FALSE)-VLOOKUP($A152,main!$A$3:$I$56,6,FALSE)+main!$D$58,0)</f>
        <v>415</v>
      </c>
      <c r="AP152">
        <f>IF((phi!AP97),VLOOKUP(AP$1,main!$A$3:$I$56,5,FALSE)-VLOOKUP($A152,main!$A$3:$I$56,6,FALSE)+main!$D$58,0)</f>
        <v>0</v>
      </c>
      <c r="AQ152">
        <f>IF((phi!AQ97),VLOOKUP(AQ$1,main!$A$3:$I$56,5,FALSE)-VLOOKUP($A152,main!$A$3:$I$56,6,FALSE)+main!$D$58,0)</f>
        <v>0</v>
      </c>
      <c r="AR152">
        <f>IF((phi!AR97),VLOOKUP(AR$1,main!$A$3:$I$56,5,FALSE)-VLOOKUP($A152,main!$A$3:$I$56,6,FALSE)+main!$D$58,0)</f>
        <v>0</v>
      </c>
      <c r="AS152">
        <f>IF((phi!AS97),VLOOKUP(AS$1,main!$A$3:$I$56,5,FALSE)-VLOOKUP($A152,main!$A$3:$I$56,6,FALSE)+main!$D$58,0)</f>
        <v>0</v>
      </c>
      <c r="AT152">
        <f>IF((phi!AT97),VLOOKUP(AT$1,main!$A$3:$I$56,5,FALSE)-VLOOKUP($A152,main!$A$3:$I$56,6,FALSE)+main!$D$58,0)</f>
        <v>315</v>
      </c>
      <c r="AU152">
        <f>IF((phi!AU97),VLOOKUP(AU$1,main!$A$3:$I$56,5,FALSE)-VLOOKUP($A152,main!$A$3:$I$56,6,FALSE)+main!$D$58,0)</f>
        <v>0</v>
      </c>
      <c r="AV152">
        <f>IF((phi!AV97),VLOOKUP(AV$1,main!$A$3:$I$56,5,FALSE)-VLOOKUP($A152,main!$A$3:$I$56,6,FALSE)+main!$D$58,0)</f>
        <v>0</v>
      </c>
      <c r="AW152">
        <f>IF((phi!AW97),VLOOKUP(AW$1,main!$A$3:$I$56,5,FALSE)-VLOOKUP($A152,main!$A$3:$I$56,6,FALSE)+main!$D$58,0)</f>
        <v>0</v>
      </c>
      <c r="AX152">
        <f>IF((phi!AX97),VLOOKUP(AX$1,main!$A$3:$I$56,5,FALSE)-VLOOKUP($A152,main!$A$3:$I$56,6,FALSE)+main!$D$58,0)</f>
        <v>465</v>
      </c>
      <c r="AY152">
        <f>IF((phi!AY97),VLOOKUP(AY$1,main!$A$3:$I$56,5,FALSE)-VLOOKUP($A152,main!$A$3:$I$56,6,FALSE)+main!$D$58,0)</f>
        <v>665</v>
      </c>
      <c r="AZ152">
        <f>IF((phi!AZ97),VLOOKUP(AZ$1,main!$A$3:$I$56,5,FALSE)-VLOOKUP($A152,main!$A$3:$I$56,6,FALSE)+main!$D$58,0)</f>
        <v>0</v>
      </c>
      <c r="BA152">
        <f>IF((phi!BA97),VLOOKUP(BA$1,main!$A$3:$I$56,5,FALSE)-VLOOKUP($A152,main!$A$3:$I$56,6,FALSE)+main!$D$58,0)</f>
        <v>0</v>
      </c>
      <c r="BB152">
        <f>IF((phi!BB97),VLOOKUP(BB$1,main!$A$3:$I$56,5,FALSE)-VLOOKUP($A152,main!$A$3:$I$56,6,FALSE)+main!$D$58,0)</f>
        <v>0</v>
      </c>
      <c r="BC152">
        <f>IF((phi!BC97),VLOOKUP(BC$1,main!$A$3:$I$56,5,FALSE)-VLOOKUP($A152,main!$A$3:$I$56,6,FALSE)+main!$D$58,0)</f>
        <v>430</v>
      </c>
      <c r="BD152">
        <f>IF((phi!BD97),VLOOKUP(BD$1,main!$A$3:$I$56,5,FALSE)-VLOOKUP($A152,main!$A$3:$I$56,6,FALSE)+main!$D$58,0)</f>
        <v>440</v>
      </c>
    </row>
    <row r="153" spans="1:56" x14ac:dyDescent="0.25">
      <c r="A153">
        <f t="shared" si="4"/>
        <v>41</v>
      </c>
      <c r="B153">
        <v>0</v>
      </c>
      <c r="C153">
        <f>IF((phi!C98),VLOOKUP(C$1,main!$A$3:$I$56,5,FALSE)-VLOOKUP($A153,main!$A$3:$I$56,6,FALSE)+main!$D$58,0)</f>
        <v>0</v>
      </c>
      <c r="D153">
        <f>IF((phi!D98),VLOOKUP(D$1,main!$A$3:$I$56,5,FALSE)-VLOOKUP($A153,main!$A$3:$I$56,6,FALSE)+main!$D$58,0)</f>
        <v>0</v>
      </c>
      <c r="E153">
        <f>IF((phi!E98),VLOOKUP(E$1,main!$A$3:$I$56,5,FALSE)-VLOOKUP($A153,main!$A$3:$I$56,6,FALSE)+main!$D$58,0)</f>
        <v>195</v>
      </c>
      <c r="F153">
        <f>IF((phi!F98),VLOOKUP(F$1,main!$A$3:$I$56,5,FALSE)-VLOOKUP($A153,main!$A$3:$I$56,6,FALSE)+main!$D$58,0)</f>
        <v>285</v>
      </c>
      <c r="G153">
        <f>IF((phi!G98),VLOOKUP(G$1,main!$A$3:$I$56,5,FALSE)-VLOOKUP($A153,main!$A$3:$I$56,6,FALSE)+main!$D$58,0)</f>
        <v>345</v>
      </c>
      <c r="H153">
        <f>IF((phi!H98),VLOOKUP(H$1,main!$A$3:$I$56,5,FALSE)-VLOOKUP($A153,main!$A$3:$I$56,6,FALSE)+main!$D$58,0)</f>
        <v>405</v>
      </c>
      <c r="I153">
        <f>IF((phi!I98),VLOOKUP(I$1,main!$A$3:$I$56,5,FALSE)-VLOOKUP($A153,main!$A$3:$I$56,6,FALSE)+main!$D$58,0)</f>
        <v>465</v>
      </c>
      <c r="J153">
        <f>IF((phi!J98),VLOOKUP(J$1,main!$A$3:$I$56,5,FALSE)-VLOOKUP($A153,main!$A$3:$I$56,6,FALSE)+main!$D$58,0)</f>
        <v>555</v>
      </c>
      <c r="K153">
        <f>IF((phi!K98),VLOOKUP(K$1,main!$A$3:$I$56,5,FALSE)-VLOOKUP($A153,main!$A$3:$I$56,6,FALSE)+main!$D$58,0)</f>
        <v>0</v>
      </c>
      <c r="L153">
        <f>IF((phi!L98),VLOOKUP(L$1,main!$A$3:$I$56,5,FALSE)-VLOOKUP($A153,main!$A$3:$I$56,6,FALSE)+main!$D$58,0)</f>
        <v>0</v>
      </c>
      <c r="M153">
        <f>IF((phi!M98),VLOOKUP(M$1,main!$A$3:$I$56,5,FALSE)-VLOOKUP($A153,main!$A$3:$I$56,6,FALSE)+main!$D$58,0)</f>
        <v>160</v>
      </c>
      <c r="N153">
        <f>IF((phi!N98),VLOOKUP(N$1,main!$A$3:$I$56,5,FALSE)-VLOOKUP($A153,main!$A$3:$I$56,6,FALSE)+main!$D$58,0)</f>
        <v>520</v>
      </c>
      <c r="O153">
        <f>IF((phi!O98),VLOOKUP(O$1,main!$A$3:$I$56,5,FALSE)-VLOOKUP($A153,main!$A$3:$I$56,6,FALSE)+main!$D$58,0)</f>
        <v>580</v>
      </c>
      <c r="P153">
        <f>IF((phi!P98),VLOOKUP(P$1,main!$A$3:$I$56,5,FALSE)-VLOOKUP($A153,main!$A$3:$I$56,6,FALSE)+main!$D$58,0)</f>
        <v>0</v>
      </c>
      <c r="Q153">
        <f>IF((phi!Q98),VLOOKUP(Q$1,main!$A$3:$I$56,5,FALSE)-VLOOKUP($A153,main!$A$3:$I$56,6,FALSE)+main!$D$58,0)</f>
        <v>0</v>
      </c>
      <c r="R153">
        <f>IF((phi!R98),VLOOKUP(R$1,main!$A$3:$I$56,5,FALSE)-VLOOKUP($A153,main!$A$3:$I$56,6,FALSE)+main!$D$58,0)</f>
        <v>155</v>
      </c>
      <c r="S153">
        <f>IF((phi!S98),VLOOKUP(S$1,main!$A$3:$I$56,5,FALSE)-VLOOKUP($A153,main!$A$3:$I$56,6,FALSE)+main!$D$58,0)</f>
        <v>335</v>
      </c>
      <c r="T153">
        <f>IF((phi!T98),VLOOKUP(T$1,main!$A$3:$I$56,5,FALSE)-VLOOKUP($A153,main!$A$3:$I$56,6,FALSE)+main!$D$58,0)</f>
        <v>485</v>
      </c>
      <c r="U153">
        <f>IF((phi!U98),VLOOKUP(U$1,main!$A$3:$I$56,5,FALSE)-VLOOKUP($A153,main!$A$3:$I$56,6,FALSE)+main!$D$58,0)</f>
        <v>0</v>
      </c>
      <c r="V153">
        <f>IF((phi!V98),VLOOKUP(V$1,main!$A$3:$I$56,5,FALSE)-VLOOKUP($A153,main!$A$3:$I$56,6,FALSE)+main!$D$58,0)</f>
        <v>0</v>
      </c>
      <c r="W153">
        <f>IF((phi!W98),VLOOKUP(W$1,main!$A$3:$I$56,5,FALSE)-VLOOKUP($A153,main!$A$3:$I$56,6,FALSE)+main!$D$58,0)</f>
        <v>0</v>
      </c>
      <c r="X153">
        <f>IF((phi!X98),VLOOKUP(X$1,main!$A$3:$I$56,5,FALSE)-VLOOKUP($A153,main!$A$3:$I$56,6,FALSE)+main!$D$58,0)</f>
        <v>0</v>
      </c>
      <c r="Y153">
        <f>IF((phi!Y98),VLOOKUP(Y$1,main!$A$3:$I$56,5,FALSE)-VLOOKUP($A153,main!$A$3:$I$56,6,FALSE)+main!$D$58,0)</f>
        <v>265</v>
      </c>
      <c r="Z153">
        <f>IF((phi!Z98),VLOOKUP(Z$1,main!$A$3:$I$56,5,FALSE)-VLOOKUP($A153,main!$A$3:$I$56,6,FALSE)+main!$D$58,0)</f>
        <v>355</v>
      </c>
      <c r="AA153">
        <f>IF((phi!AA98),VLOOKUP(AA$1,main!$A$3:$I$56,5,FALSE)-VLOOKUP($A153,main!$A$3:$I$56,6,FALSE)+main!$D$58,0)</f>
        <v>445</v>
      </c>
      <c r="AB153">
        <f>IF((phi!AB98),VLOOKUP(AB$1,main!$A$3:$I$56,5,FALSE)-VLOOKUP($A153,main!$A$3:$I$56,6,FALSE)+main!$D$58,0)</f>
        <v>505</v>
      </c>
      <c r="AC153">
        <f>IF((phi!AC98),VLOOKUP(AC$1,main!$A$3:$I$56,5,FALSE)-VLOOKUP($A153,main!$A$3:$I$56,6,FALSE)+main!$D$58,0)</f>
        <v>0</v>
      </c>
      <c r="AD153">
        <f>IF((phi!AD98),VLOOKUP(AD$1,main!$A$3:$I$56,5,FALSE)-VLOOKUP($A153,main!$A$3:$I$56,6,FALSE)+main!$D$58,0)</f>
        <v>0</v>
      </c>
      <c r="AE153">
        <f>IF((phi!AE98),VLOOKUP(AE$1,main!$A$3:$I$56,5,FALSE)-VLOOKUP($A153,main!$A$3:$I$56,6,FALSE)+main!$D$58,0)</f>
        <v>0</v>
      </c>
      <c r="AF153">
        <f>IF((phi!AF98),VLOOKUP(AF$1,main!$A$3:$I$56,5,FALSE)-VLOOKUP($A153,main!$A$3:$I$56,6,FALSE)+main!$D$58,0)</f>
        <v>315</v>
      </c>
      <c r="AG153">
        <f>IF((phi!AG98),VLOOKUP(AG$1,main!$A$3:$I$56,5,FALSE)-VLOOKUP($A153,main!$A$3:$I$56,6,FALSE)+main!$D$58,0)</f>
        <v>0</v>
      </c>
      <c r="AH153">
        <f>IF((phi!AH98),VLOOKUP(AH$1,main!$A$3:$I$56,5,FALSE)-VLOOKUP($A153,main!$A$3:$I$56,6,FALSE)+main!$D$58,0)</f>
        <v>0</v>
      </c>
      <c r="AI153">
        <f>IF((phi!AI98),VLOOKUP(AI$1,main!$A$3:$I$56,5,FALSE)-VLOOKUP($A153,main!$A$3:$I$56,6,FALSE)+main!$D$58,0)</f>
        <v>0</v>
      </c>
      <c r="AJ153">
        <f>IF((phi!AJ98),VLOOKUP(AJ$1,main!$A$3:$I$56,5,FALSE)-VLOOKUP($A153,main!$A$3:$I$56,6,FALSE)+main!$D$58,0)</f>
        <v>285</v>
      </c>
      <c r="AK153">
        <f>IF((phi!AK98),VLOOKUP(AK$1,main!$A$3:$I$56,5,FALSE)-VLOOKUP($A153,main!$A$3:$I$56,6,FALSE)+main!$D$58,0)</f>
        <v>405</v>
      </c>
      <c r="AL153">
        <f>IF((phi!AL98),VLOOKUP(AL$1,main!$A$3:$I$56,5,FALSE)-VLOOKUP($A153,main!$A$3:$I$56,6,FALSE)+main!$D$58,0)</f>
        <v>0</v>
      </c>
      <c r="AM153">
        <f>IF((phi!AM98),VLOOKUP(AM$1,main!$A$3:$I$56,5,FALSE)-VLOOKUP($A153,main!$A$3:$I$56,6,FALSE)+main!$D$58,0)</f>
        <v>0</v>
      </c>
      <c r="AN153">
        <f>IF((phi!AN98),VLOOKUP(AN$1,main!$A$3:$I$56,5,FALSE)-VLOOKUP($A153,main!$A$3:$I$56,6,FALSE)+main!$D$58,0)</f>
        <v>265</v>
      </c>
      <c r="AO153">
        <f>IF((phi!AO98),VLOOKUP(AO$1,main!$A$3:$I$56,5,FALSE)-VLOOKUP($A153,main!$A$3:$I$56,6,FALSE)+main!$D$58,0)</f>
        <v>315</v>
      </c>
      <c r="AP153">
        <f>IF((phi!AP98),VLOOKUP(AP$1,main!$A$3:$I$56,5,FALSE)-VLOOKUP($A153,main!$A$3:$I$56,6,FALSE)+main!$D$58,0)</f>
        <v>0</v>
      </c>
      <c r="AQ153">
        <f>IF((phi!AQ98),VLOOKUP(AQ$1,main!$A$3:$I$56,5,FALSE)-VLOOKUP($A153,main!$A$3:$I$56,6,FALSE)+main!$D$58,0)</f>
        <v>0</v>
      </c>
      <c r="AR153">
        <f>IF((phi!AR98),VLOOKUP(AR$1,main!$A$3:$I$56,5,FALSE)-VLOOKUP($A153,main!$A$3:$I$56,6,FALSE)+main!$D$58,0)</f>
        <v>0</v>
      </c>
      <c r="AS153">
        <f>IF((phi!AS98),VLOOKUP(AS$1,main!$A$3:$I$56,5,FALSE)-VLOOKUP($A153,main!$A$3:$I$56,6,FALSE)+main!$D$58,0)</f>
        <v>0</v>
      </c>
      <c r="AT153">
        <f>IF((phi!AT98),VLOOKUP(AT$1,main!$A$3:$I$56,5,FALSE)-VLOOKUP($A153,main!$A$3:$I$56,6,FALSE)+main!$D$58,0)</f>
        <v>0</v>
      </c>
      <c r="AU153">
        <f>IF((phi!AU98),VLOOKUP(AU$1,main!$A$3:$I$56,5,FALSE)-VLOOKUP($A153,main!$A$3:$I$56,6,FALSE)+main!$D$58,0)</f>
        <v>0</v>
      </c>
      <c r="AV153">
        <f>IF((phi!AV98),VLOOKUP(AV$1,main!$A$3:$I$56,5,FALSE)-VLOOKUP($A153,main!$A$3:$I$56,6,FALSE)+main!$D$58,0)</f>
        <v>0</v>
      </c>
      <c r="AW153">
        <f>IF((phi!AW98),VLOOKUP(AW$1,main!$A$3:$I$56,5,FALSE)-VLOOKUP($A153,main!$A$3:$I$56,6,FALSE)+main!$D$58,0)</f>
        <v>0</v>
      </c>
      <c r="AX153">
        <f>IF((phi!AX98),VLOOKUP(AX$1,main!$A$3:$I$56,5,FALSE)-VLOOKUP($A153,main!$A$3:$I$56,6,FALSE)+main!$D$58,0)</f>
        <v>365</v>
      </c>
      <c r="AY153">
        <f>IF((phi!AY98),VLOOKUP(AY$1,main!$A$3:$I$56,5,FALSE)-VLOOKUP($A153,main!$A$3:$I$56,6,FALSE)+main!$D$58,0)</f>
        <v>565</v>
      </c>
      <c r="AZ153">
        <f>IF((phi!AZ98),VLOOKUP(AZ$1,main!$A$3:$I$56,5,FALSE)-VLOOKUP($A153,main!$A$3:$I$56,6,FALSE)+main!$D$58,0)</f>
        <v>0</v>
      </c>
      <c r="BA153">
        <f>IF((phi!BA98),VLOOKUP(BA$1,main!$A$3:$I$56,5,FALSE)-VLOOKUP($A153,main!$A$3:$I$56,6,FALSE)+main!$D$58,0)</f>
        <v>0</v>
      </c>
      <c r="BB153">
        <f>IF((phi!BB98),VLOOKUP(BB$1,main!$A$3:$I$56,5,FALSE)-VLOOKUP($A153,main!$A$3:$I$56,6,FALSE)+main!$D$58,0)</f>
        <v>0</v>
      </c>
      <c r="BC153">
        <f>IF((phi!BC98),VLOOKUP(BC$1,main!$A$3:$I$56,5,FALSE)-VLOOKUP($A153,main!$A$3:$I$56,6,FALSE)+main!$D$58,0)</f>
        <v>330</v>
      </c>
      <c r="BD153">
        <f>IF((phi!BD98),VLOOKUP(BD$1,main!$A$3:$I$56,5,FALSE)-VLOOKUP($A153,main!$A$3:$I$56,6,FALSE)+main!$D$58,0)</f>
        <v>340</v>
      </c>
    </row>
    <row r="154" spans="1:56" x14ac:dyDescent="0.25">
      <c r="A154">
        <f t="shared" si="4"/>
        <v>42</v>
      </c>
      <c r="B154">
        <v>0</v>
      </c>
      <c r="C154">
        <f>IF((phi!C99),VLOOKUP(C$1,main!$A$3:$I$56,5,FALSE)-VLOOKUP($A154,main!$A$3:$I$56,6,FALSE)+main!$D$58,0)</f>
        <v>0</v>
      </c>
      <c r="D154">
        <f>IF((phi!D99),VLOOKUP(D$1,main!$A$3:$I$56,5,FALSE)-VLOOKUP($A154,main!$A$3:$I$56,6,FALSE)+main!$D$58,0)</f>
        <v>0</v>
      </c>
      <c r="E154">
        <f>IF((phi!E99),VLOOKUP(E$1,main!$A$3:$I$56,5,FALSE)-VLOOKUP($A154,main!$A$3:$I$56,6,FALSE)+main!$D$58,0)</f>
        <v>145</v>
      </c>
      <c r="F154">
        <f>IF((phi!F99),VLOOKUP(F$1,main!$A$3:$I$56,5,FALSE)-VLOOKUP($A154,main!$A$3:$I$56,6,FALSE)+main!$D$58,0)</f>
        <v>235</v>
      </c>
      <c r="G154">
        <f>IF((phi!G99),VLOOKUP(G$1,main!$A$3:$I$56,5,FALSE)-VLOOKUP($A154,main!$A$3:$I$56,6,FALSE)+main!$D$58,0)</f>
        <v>295</v>
      </c>
      <c r="H154">
        <f>IF((phi!H99),VLOOKUP(H$1,main!$A$3:$I$56,5,FALSE)-VLOOKUP($A154,main!$A$3:$I$56,6,FALSE)+main!$D$58,0)</f>
        <v>355</v>
      </c>
      <c r="I154">
        <f>IF((phi!I99),VLOOKUP(I$1,main!$A$3:$I$56,5,FALSE)-VLOOKUP($A154,main!$A$3:$I$56,6,FALSE)+main!$D$58,0)</f>
        <v>415</v>
      </c>
      <c r="J154">
        <f>IF((phi!J99),VLOOKUP(J$1,main!$A$3:$I$56,5,FALSE)-VLOOKUP($A154,main!$A$3:$I$56,6,FALSE)+main!$D$58,0)</f>
        <v>505</v>
      </c>
      <c r="K154">
        <f>IF((phi!K99),VLOOKUP(K$1,main!$A$3:$I$56,5,FALSE)-VLOOKUP($A154,main!$A$3:$I$56,6,FALSE)+main!$D$58,0)</f>
        <v>0</v>
      </c>
      <c r="L154">
        <f>IF((phi!L99),VLOOKUP(L$1,main!$A$3:$I$56,5,FALSE)-VLOOKUP($A154,main!$A$3:$I$56,6,FALSE)+main!$D$58,0)</f>
        <v>0</v>
      </c>
      <c r="M154">
        <f>IF((phi!M99),VLOOKUP(M$1,main!$A$3:$I$56,5,FALSE)-VLOOKUP($A154,main!$A$3:$I$56,6,FALSE)+main!$D$58,0)</f>
        <v>110</v>
      </c>
      <c r="N154">
        <f>IF((phi!N99),VLOOKUP(N$1,main!$A$3:$I$56,5,FALSE)-VLOOKUP($A154,main!$A$3:$I$56,6,FALSE)+main!$D$58,0)</f>
        <v>470</v>
      </c>
      <c r="O154">
        <f>IF((phi!O99),VLOOKUP(O$1,main!$A$3:$I$56,5,FALSE)-VLOOKUP($A154,main!$A$3:$I$56,6,FALSE)+main!$D$58,0)</f>
        <v>530</v>
      </c>
      <c r="P154">
        <f>IF((phi!P99),VLOOKUP(P$1,main!$A$3:$I$56,5,FALSE)-VLOOKUP($A154,main!$A$3:$I$56,6,FALSE)+main!$D$58,0)</f>
        <v>0</v>
      </c>
      <c r="Q154">
        <f>IF((phi!Q99),VLOOKUP(Q$1,main!$A$3:$I$56,5,FALSE)-VLOOKUP($A154,main!$A$3:$I$56,6,FALSE)+main!$D$58,0)</f>
        <v>0</v>
      </c>
      <c r="R154">
        <f>IF((phi!R99),VLOOKUP(R$1,main!$A$3:$I$56,5,FALSE)-VLOOKUP($A154,main!$A$3:$I$56,6,FALSE)+main!$D$58,0)</f>
        <v>0</v>
      </c>
      <c r="S154">
        <f>IF((phi!S99),VLOOKUP(S$1,main!$A$3:$I$56,5,FALSE)-VLOOKUP($A154,main!$A$3:$I$56,6,FALSE)+main!$D$58,0)</f>
        <v>285</v>
      </c>
      <c r="T154">
        <f>IF((phi!T99),VLOOKUP(T$1,main!$A$3:$I$56,5,FALSE)-VLOOKUP($A154,main!$A$3:$I$56,6,FALSE)+main!$D$58,0)</f>
        <v>435</v>
      </c>
      <c r="U154">
        <f>IF((phi!U99),VLOOKUP(U$1,main!$A$3:$I$56,5,FALSE)-VLOOKUP($A154,main!$A$3:$I$56,6,FALSE)+main!$D$58,0)</f>
        <v>0</v>
      </c>
      <c r="V154">
        <f>IF((phi!V99),VLOOKUP(V$1,main!$A$3:$I$56,5,FALSE)-VLOOKUP($A154,main!$A$3:$I$56,6,FALSE)+main!$D$58,0)</f>
        <v>0</v>
      </c>
      <c r="W154">
        <f>IF((phi!W99),VLOOKUP(W$1,main!$A$3:$I$56,5,FALSE)-VLOOKUP($A154,main!$A$3:$I$56,6,FALSE)+main!$D$58,0)</f>
        <v>0</v>
      </c>
      <c r="X154">
        <f>IF((phi!X99),VLOOKUP(X$1,main!$A$3:$I$56,5,FALSE)-VLOOKUP($A154,main!$A$3:$I$56,6,FALSE)+main!$D$58,0)</f>
        <v>0</v>
      </c>
      <c r="Y154">
        <f>IF((phi!Y99),VLOOKUP(Y$1,main!$A$3:$I$56,5,FALSE)-VLOOKUP($A154,main!$A$3:$I$56,6,FALSE)+main!$D$58,0)</f>
        <v>0</v>
      </c>
      <c r="Z154">
        <f>IF((phi!Z99),VLOOKUP(Z$1,main!$A$3:$I$56,5,FALSE)-VLOOKUP($A154,main!$A$3:$I$56,6,FALSE)+main!$D$58,0)</f>
        <v>305</v>
      </c>
      <c r="AA154">
        <f>IF((phi!AA99),VLOOKUP(AA$1,main!$A$3:$I$56,5,FALSE)-VLOOKUP($A154,main!$A$3:$I$56,6,FALSE)+main!$D$58,0)</f>
        <v>395</v>
      </c>
      <c r="AB154">
        <f>IF((phi!AB99),VLOOKUP(AB$1,main!$A$3:$I$56,5,FALSE)-VLOOKUP($A154,main!$A$3:$I$56,6,FALSE)+main!$D$58,0)</f>
        <v>455</v>
      </c>
      <c r="AC154">
        <f>IF((phi!AC99),VLOOKUP(AC$1,main!$A$3:$I$56,5,FALSE)-VLOOKUP($A154,main!$A$3:$I$56,6,FALSE)+main!$D$58,0)</f>
        <v>0</v>
      </c>
      <c r="AD154">
        <f>IF((phi!AD99),VLOOKUP(AD$1,main!$A$3:$I$56,5,FALSE)-VLOOKUP($A154,main!$A$3:$I$56,6,FALSE)+main!$D$58,0)</f>
        <v>0</v>
      </c>
      <c r="AE154">
        <f>IF((phi!AE99),VLOOKUP(AE$1,main!$A$3:$I$56,5,FALSE)-VLOOKUP($A154,main!$A$3:$I$56,6,FALSE)+main!$D$58,0)</f>
        <v>0</v>
      </c>
      <c r="AF154">
        <f>IF((phi!AF99),VLOOKUP(AF$1,main!$A$3:$I$56,5,FALSE)-VLOOKUP($A154,main!$A$3:$I$56,6,FALSE)+main!$D$58,0)</f>
        <v>265</v>
      </c>
      <c r="AG154">
        <f>IF((phi!AG99),VLOOKUP(AG$1,main!$A$3:$I$56,5,FALSE)-VLOOKUP($A154,main!$A$3:$I$56,6,FALSE)+main!$D$58,0)</f>
        <v>0</v>
      </c>
      <c r="AH154">
        <f>IF((phi!AH99),VLOOKUP(AH$1,main!$A$3:$I$56,5,FALSE)-VLOOKUP($A154,main!$A$3:$I$56,6,FALSE)+main!$D$58,0)</f>
        <v>0</v>
      </c>
      <c r="AI154">
        <f>IF((phi!AI99),VLOOKUP(AI$1,main!$A$3:$I$56,5,FALSE)-VLOOKUP($A154,main!$A$3:$I$56,6,FALSE)+main!$D$58,0)</f>
        <v>0</v>
      </c>
      <c r="AJ154">
        <f>IF((phi!AJ99),VLOOKUP(AJ$1,main!$A$3:$I$56,5,FALSE)-VLOOKUP($A154,main!$A$3:$I$56,6,FALSE)+main!$D$58,0)</f>
        <v>0</v>
      </c>
      <c r="AK154">
        <f>IF((phi!AK99),VLOOKUP(AK$1,main!$A$3:$I$56,5,FALSE)-VLOOKUP($A154,main!$A$3:$I$56,6,FALSE)+main!$D$58,0)</f>
        <v>355</v>
      </c>
      <c r="AL154">
        <f>IF((phi!AL99),VLOOKUP(AL$1,main!$A$3:$I$56,5,FALSE)-VLOOKUP($A154,main!$A$3:$I$56,6,FALSE)+main!$D$58,0)</f>
        <v>0</v>
      </c>
      <c r="AM154">
        <f>IF((phi!AM99),VLOOKUP(AM$1,main!$A$3:$I$56,5,FALSE)-VLOOKUP($A154,main!$A$3:$I$56,6,FALSE)+main!$D$58,0)</f>
        <v>0</v>
      </c>
      <c r="AN154">
        <f>IF((phi!AN99),VLOOKUP(AN$1,main!$A$3:$I$56,5,FALSE)-VLOOKUP($A154,main!$A$3:$I$56,6,FALSE)+main!$D$58,0)</f>
        <v>0</v>
      </c>
      <c r="AO154">
        <f>IF((phi!AO99),VLOOKUP(AO$1,main!$A$3:$I$56,5,FALSE)-VLOOKUP($A154,main!$A$3:$I$56,6,FALSE)+main!$D$58,0)</f>
        <v>265</v>
      </c>
      <c r="AP154">
        <f>IF((phi!AP99),VLOOKUP(AP$1,main!$A$3:$I$56,5,FALSE)-VLOOKUP($A154,main!$A$3:$I$56,6,FALSE)+main!$D$58,0)</f>
        <v>0</v>
      </c>
      <c r="AQ154">
        <f>IF((phi!AQ99),VLOOKUP(AQ$1,main!$A$3:$I$56,5,FALSE)-VLOOKUP($A154,main!$A$3:$I$56,6,FALSE)+main!$D$58,0)</f>
        <v>0</v>
      </c>
      <c r="AR154">
        <f>IF((phi!AR99),VLOOKUP(AR$1,main!$A$3:$I$56,5,FALSE)-VLOOKUP($A154,main!$A$3:$I$56,6,FALSE)+main!$D$58,0)</f>
        <v>0</v>
      </c>
      <c r="AS154">
        <f>IF((phi!AS99),VLOOKUP(AS$1,main!$A$3:$I$56,5,FALSE)-VLOOKUP($A154,main!$A$3:$I$56,6,FALSE)+main!$D$58,0)</f>
        <v>0</v>
      </c>
      <c r="AT154">
        <f>IF((phi!AT99),VLOOKUP(AT$1,main!$A$3:$I$56,5,FALSE)-VLOOKUP($A154,main!$A$3:$I$56,6,FALSE)+main!$D$58,0)</f>
        <v>0</v>
      </c>
      <c r="AU154">
        <f>IF((phi!AU99),VLOOKUP(AU$1,main!$A$3:$I$56,5,FALSE)-VLOOKUP($A154,main!$A$3:$I$56,6,FALSE)+main!$D$58,0)</f>
        <v>0</v>
      </c>
      <c r="AV154">
        <f>IF((phi!AV99),VLOOKUP(AV$1,main!$A$3:$I$56,5,FALSE)-VLOOKUP($A154,main!$A$3:$I$56,6,FALSE)+main!$D$58,0)</f>
        <v>0</v>
      </c>
      <c r="AW154">
        <f>IF((phi!AW99),VLOOKUP(AW$1,main!$A$3:$I$56,5,FALSE)-VLOOKUP($A154,main!$A$3:$I$56,6,FALSE)+main!$D$58,0)</f>
        <v>0</v>
      </c>
      <c r="AX154">
        <f>IF((phi!AX99),VLOOKUP(AX$1,main!$A$3:$I$56,5,FALSE)-VLOOKUP($A154,main!$A$3:$I$56,6,FALSE)+main!$D$58,0)</f>
        <v>0</v>
      </c>
      <c r="AY154">
        <f>IF((phi!AY99),VLOOKUP(AY$1,main!$A$3:$I$56,5,FALSE)-VLOOKUP($A154,main!$A$3:$I$56,6,FALSE)+main!$D$58,0)</f>
        <v>515</v>
      </c>
      <c r="AZ154">
        <f>IF((phi!AZ99),VLOOKUP(AZ$1,main!$A$3:$I$56,5,FALSE)-VLOOKUP($A154,main!$A$3:$I$56,6,FALSE)+main!$D$58,0)</f>
        <v>0</v>
      </c>
      <c r="BA154">
        <f>IF((phi!BA99),VLOOKUP(BA$1,main!$A$3:$I$56,5,FALSE)-VLOOKUP($A154,main!$A$3:$I$56,6,FALSE)+main!$D$58,0)</f>
        <v>0</v>
      </c>
      <c r="BB154">
        <f>IF((phi!BB99),VLOOKUP(BB$1,main!$A$3:$I$56,5,FALSE)-VLOOKUP($A154,main!$A$3:$I$56,6,FALSE)+main!$D$58,0)</f>
        <v>0</v>
      </c>
      <c r="BC154">
        <f>IF((phi!BC99),VLOOKUP(BC$1,main!$A$3:$I$56,5,FALSE)-VLOOKUP($A154,main!$A$3:$I$56,6,FALSE)+main!$D$58,0)</f>
        <v>0</v>
      </c>
      <c r="BD154">
        <f>IF((phi!BD99),VLOOKUP(BD$1,main!$A$3:$I$56,5,FALSE)-VLOOKUP($A154,main!$A$3:$I$56,6,FALSE)+main!$D$58,0)</f>
        <v>0</v>
      </c>
    </row>
    <row r="155" spans="1:56" x14ac:dyDescent="0.25">
      <c r="A155">
        <f t="shared" si="4"/>
        <v>43</v>
      </c>
      <c r="B155">
        <v>0</v>
      </c>
      <c r="C155">
        <f>IF((phi!C100),VLOOKUP(C$1,main!$A$3:$I$56,5,FALSE)-VLOOKUP($A155,main!$A$3:$I$56,6,FALSE)+main!$D$58,0)</f>
        <v>0</v>
      </c>
      <c r="D155">
        <f>IF((phi!D100),VLOOKUP(D$1,main!$A$3:$I$56,5,FALSE)-VLOOKUP($A155,main!$A$3:$I$56,6,FALSE)+main!$D$58,0)</f>
        <v>0</v>
      </c>
      <c r="E155">
        <f>IF((phi!E100),VLOOKUP(E$1,main!$A$3:$I$56,5,FALSE)-VLOOKUP($A155,main!$A$3:$I$56,6,FALSE)+main!$D$58,0)</f>
        <v>0</v>
      </c>
      <c r="F155">
        <f>IF((phi!F100),VLOOKUP(F$1,main!$A$3:$I$56,5,FALSE)-VLOOKUP($A155,main!$A$3:$I$56,6,FALSE)+main!$D$58,0)</f>
        <v>0</v>
      </c>
      <c r="G155">
        <f>IF((phi!G100),VLOOKUP(G$1,main!$A$3:$I$56,5,FALSE)-VLOOKUP($A155,main!$A$3:$I$56,6,FALSE)+main!$D$58,0)</f>
        <v>130</v>
      </c>
      <c r="H155">
        <f>IF((phi!H100),VLOOKUP(H$1,main!$A$3:$I$56,5,FALSE)-VLOOKUP($A155,main!$A$3:$I$56,6,FALSE)+main!$D$58,0)</f>
        <v>190</v>
      </c>
      <c r="I155">
        <f>IF((phi!I100),VLOOKUP(I$1,main!$A$3:$I$56,5,FALSE)-VLOOKUP($A155,main!$A$3:$I$56,6,FALSE)+main!$D$58,0)</f>
        <v>250</v>
      </c>
      <c r="J155">
        <f>IF((phi!J100),VLOOKUP(J$1,main!$A$3:$I$56,5,FALSE)-VLOOKUP($A155,main!$A$3:$I$56,6,FALSE)+main!$D$58,0)</f>
        <v>340</v>
      </c>
      <c r="K155">
        <f>IF((phi!K100),VLOOKUP(K$1,main!$A$3:$I$56,5,FALSE)-VLOOKUP($A155,main!$A$3:$I$56,6,FALSE)+main!$D$58,0)</f>
        <v>0</v>
      </c>
      <c r="L155">
        <f>IF((phi!L100),VLOOKUP(L$1,main!$A$3:$I$56,5,FALSE)-VLOOKUP($A155,main!$A$3:$I$56,6,FALSE)+main!$D$58,0)</f>
        <v>0</v>
      </c>
      <c r="M155">
        <f>IF((phi!M100),VLOOKUP(M$1,main!$A$3:$I$56,5,FALSE)-VLOOKUP($A155,main!$A$3:$I$56,6,FALSE)+main!$D$58,0)</f>
        <v>0</v>
      </c>
      <c r="N155">
        <f>IF((phi!N100),VLOOKUP(N$1,main!$A$3:$I$56,5,FALSE)-VLOOKUP($A155,main!$A$3:$I$56,6,FALSE)+main!$D$58,0)</f>
        <v>305</v>
      </c>
      <c r="O155">
        <f>IF((phi!O100),VLOOKUP(O$1,main!$A$3:$I$56,5,FALSE)-VLOOKUP($A155,main!$A$3:$I$56,6,FALSE)+main!$D$58,0)</f>
        <v>365</v>
      </c>
      <c r="P155">
        <f>IF((phi!P100),VLOOKUP(P$1,main!$A$3:$I$56,5,FALSE)-VLOOKUP($A155,main!$A$3:$I$56,6,FALSE)+main!$D$58,0)</f>
        <v>0</v>
      </c>
      <c r="Q155">
        <f>IF((phi!Q100),VLOOKUP(Q$1,main!$A$3:$I$56,5,FALSE)-VLOOKUP($A155,main!$A$3:$I$56,6,FALSE)+main!$D$58,0)</f>
        <v>0</v>
      </c>
      <c r="R155">
        <f>IF((phi!R100),VLOOKUP(R$1,main!$A$3:$I$56,5,FALSE)-VLOOKUP($A155,main!$A$3:$I$56,6,FALSE)+main!$D$58,0)</f>
        <v>0</v>
      </c>
      <c r="S155">
        <f>IF((phi!S100),VLOOKUP(S$1,main!$A$3:$I$56,5,FALSE)-VLOOKUP($A155,main!$A$3:$I$56,6,FALSE)+main!$D$58,0)</f>
        <v>120</v>
      </c>
      <c r="T155">
        <f>IF((phi!T100),VLOOKUP(T$1,main!$A$3:$I$56,5,FALSE)-VLOOKUP($A155,main!$A$3:$I$56,6,FALSE)+main!$D$58,0)</f>
        <v>270</v>
      </c>
      <c r="U155">
        <f>IF((phi!U100),VLOOKUP(U$1,main!$A$3:$I$56,5,FALSE)-VLOOKUP($A155,main!$A$3:$I$56,6,FALSE)+main!$D$58,0)</f>
        <v>0</v>
      </c>
      <c r="V155">
        <f>IF((phi!V100),VLOOKUP(V$1,main!$A$3:$I$56,5,FALSE)-VLOOKUP($A155,main!$A$3:$I$56,6,FALSE)+main!$D$58,0)</f>
        <v>0</v>
      </c>
      <c r="W155">
        <f>IF((phi!W100),VLOOKUP(W$1,main!$A$3:$I$56,5,FALSE)-VLOOKUP($A155,main!$A$3:$I$56,6,FALSE)+main!$D$58,0)</f>
        <v>0</v>
      </c>
      <c r="X155">
        <f>IF((phi!X100),VLOOKUP(X$1,main!$A$3:$I$56,5,FALSE)-VLOOKUP($A155,main!$A$3:$I$56,6,FALSE)+main!$D$58,0)</f>
        <v>0</v>
      </c>
      <c r="Y155">
        <f>IF((phi!Y100),VLOOKUP(Y$1,main!$A$3:$I$56,5,FALSE)-VLOOKUP($A155,main!$A$3:$I$56,6,FALSE)+main!$D$58,0)</f>
        <v>0</v>
      </c>
      <c r="Z155">
        <f>IF((phi!Z100),VLOOKUP(Z$1,main!$A$3:$I$56,5,FALSE)-VLOOKUP($A155,main!$A$3:$I$56,6,FALSE)+main!$D$58,0)</f>
        <v>0</v>
      </c>
      <c r="AA155">
        <f>IF((phi!AA100),VLOOKUP(AA$1,main!$A$3:$I$56,5,FALSE)-VLOOKUP($A155,main!$A$3:$I$56,6,FALSE)+main!$D$58,0)</f>
        <v>0</v>
      </c>
      <c r="AB155">
        <f>IF((phi!AB100),VLOOKUP(AB$1,main!$A$3:$I$56,5,FALSE)-VLOOKUP($A155,main!$A$3:$I$56,6,FALSE)+main!$D$58,0)</f>
        <v>290</v>
      </c>
      <c r="AC155">
        <f>IF((phi!AC100),VLOOKUP(AC$1,main!$A$3:$I$56,5,FALSE)-VLOOKUP($A155,main!$A$3:$I$56,6,FALSE)+main!$D$58,0)</f>
        <v>0</v>
      </c>
      <c r="AD155">
        <f>IF((phi!AD100),VLOOKUP(AD$1,main!$A$3:$I$56,5,FALSE)-VLOOKUP($A155,main!$A$3:$I$56,6,FALSE)+main!$D$58,0)</f>
        <v>0</v>
      </c>
      <c r="AE155">
        <f>IF((phi!AE100),VLOOKUP(AE$1,main!$A$3:$I$56,5,FALSE)-VLOOKUP($A155,main!$A$3:$I$56,6,FALSE)+main!$D$58,0)</f>
        <v>0</v>
      </c>
      <c r="AF155">
        <f>IF((phi!AF100),VLOOKUP(AF$1,main!$A$3:$I$56,5,FALSE)-VLOOKUP($A155,main!$A$3:$I$56,6,FALSE)+main!$D$58,0)</f>
        <v>0</v>
      </c>
      <c r="AG155">
        <f>IF((phi!AG100),VLOOKUP(AG$1,main!$A$3:$I$56,5,FALSE)-VLOOKUP($A155,main!$A$3:$I$56,6,FALSE)+main!$D$58,0)</f>
        <v>0</v>
      </c>
      <c r="AH155">
        <f>IF((phi!AH100),VLOOKUP(AH$1,main!$A$3:$I$56,5,FALSE)-VLOOKUP($A155,main!$A$3:$I$56,6,FALSE)+main!$D$58,0)</f>
        <v>0</v>
      </c>
      <c r="AI155">
        <f>IF((phi!AI100),VLOOKUP(AI$1,main!$A$3:$I$56,5,FALSE)-VLOOKUP($A155,main!$A$3:$I$56,6,FALSE)+main!$D$58,0)</f>
        <v>0</v>
      </c>
      <c r="AJ155">
        <f>IF((phi!AJ100),VLOOKUP(AJ$1,main!$A$3:$I$56,5,FALSE)-VLOOKUP($A155,main!$A$3:$I$56,6,FALSE)+main!$D$58,0)</f>
        <v>0</v>
      </c>
      <c r="AK155">
        <f>IF((phi!AK100),VLOOKUP(AK$1,main!$A$3:$I$56,5,FALSE)-VLOOKUP($A155,main!$A$3:$I$56,6,FALSE)+main!$D$58,0)</f>
        <v>0</v>
      </c>
      <c r="AL155">
        <f>IF((phi!AL100),VLOOKUP(AL$1,main!$A$3:$I$56,5,FALSE)-VLOOKUP($A155,main!$A$3:$I$56,6,FALSE)+main!$D$58,0)</f>
        <v>0</v>
      </c>
      <c r="AM155">
        <f>IF((phi!AM100),VLOOKUP(AM$1,main!$A$3:$I$56,5,FALSE)-VLOOKUP($A155,main!$A$3:$I$56,6,FALSE)+main!$D$58,0)</f>
        <v>0</v>
      </c>
      <c r="AN155">
        <f>IF((phi!AN100),VLOOKUP(AN$1,main!$A$3:$I$56,5,FALSE)-VLOOKUP($A155,main!$A$3:$I$56,6,FALSE)+main!$D$58,0)</f>
        <v>0</v>
      </c>
      <c r="AO155">
        <f>IF((phi!AO100),VLOOKUP(AO$1,main!$A$3:$I$56,5,FALSE)-VLOOKUP($A155,main!$A$3:$I$56,6,FALSE)+main!$D$58,0)</f>
        <v>0</v>
      </c>
      <c r="AP155">
        <f>IF((phi!AP100),VLOOKUP(AP$1,main!$A$3:$I$56,5,FALSE)-VLOOKUP($A155,main!$A$3:$I$56,6,FALSE)+main!$D$58,0)</f>
        <v>0</v>
      </c>
      <c r="AQ155">
        <f>IF((phi!AQ100),VLOOKUP(AQ$1,main!$A$3:$I$56,5,FALSE)-VLOOKUP($A155,main!$A$3:$I$56,6,FALSE)+main!$D$58,0)</f>
        <v>0</v>
      </c>
      <c r="AR155">
        <f>IF((phi!AR100),VLOOKUP(AR$1,main!$A$3:$I$56,5,FALSE)-VLOOKUP($A155,main!$A$3:$I$56,6,FALSE)+main!$D$58,0)</f>
        <v>0</v>
      </c>
      <c r="AS155">
        <f>IF((phi!AS100),VLOOKUP(AS$1,main!$A$3:$I$56,5,FALSE)-VLOOKUP($A155,main!$A$3:$I$56,6,FALSE)+main!$D$58,0)</f>
        <v>0</v>
      </c>
      <c r="AT155">
        <f>IF((phi!AT100),VLOOKUP(AT$1,main!$A$3:$I$56,5,FALSE)-VLOOKUP($A155,main!$A$3:$I$56,6,FALSE)+main!$D$58,0)</f>
        <v>0</v>
      </c>
      <c r="AU155">
        <f>IF((phi!AU100),VLOOKUP(AU$1,main!$A$3:$I$56,5,FALSE)-VLOOKUP($A155,main!$A$3:$I$56,6,FALSE)+main!$D$58,0)</f>
        <v>0</v>
      </c>
      <c r="AV155">
        <f>IF((phi!AV100),VLOOKUP(AV$1,main!$A$3:$I$56,5,FALSE)-VLOOKUP($A155,main!$A$3:$I$56,6,FALSE)+main!$D$58,0)</f>
        <v>0</v>
      </c>
      <c r="AW155">
        <f>IF((phi!AW100),VLOOKUP(AW$1,main!$A$3:$I$56,5,FALSE)-VLOOKUP($A155,main!$A$3:$I$56,6,FALSE)+main!$D$58,0)</f>
        <v>0</v>
      </c>
      <c r="AX155">
        <f>IF((phi!AX100),VLOOKUP(AX$1,main!$A$3:$I$56,5,FALSE)-VLOOKUP($A155,main!$A$3:$I$56,6,FALSE)+main!$D$58,0)</f>
        <v>0</v>
      </c>
      <c r="AY155">
        <f>IF((phi!AY100),VLOOKUP(AY$1,main!$A$3:$I$56,5,FALSE)-VLOOKUP($A155,main!$A$3:$I$56,6,FALSE)+main!$D$58,0)</f>
        <v>350</v>
      </c>
      <c r="AZ155">
        <f>IF((phi!AZ100),VLOOKUP(AZ$1,main!$A$3:$I$56,5,FALSE)-VLOOKUP($A155,main!$A$3:$I$56,6,FALSE)+main!$D$58,0)</f>
        <v>0</v>
      </c>
      <c r="BA155">
        <f>IF((phi!BA100),VLOOKUP(BA$1,main!$A$3:$I$56,5,FALSE)-VLOOKUP($A155,main!$A$3:$I$56,6,FALSE)+main!$D$58,0)</f>
        <v>0</v>
      </c>
      <c r="BB155">
        <f>IF((phi!BB100),VLOOKUP(BB$1,main!$A$3:$I$56,5,FALSE)-VLOOKUP($A155,main!$A$3:$I$56,6,FALSE)+main!$D$58,0)</f>
        <v>0</v>
      </c>
      <c r="BC155">
        <f>IF((phi!BC100),VLOOKUP(BC$1,main!$A$3:$I$56,5,FALSE)-VLOOKUP($A155,main!$A$3:$I$56,6,FALSE)+main!$D$58,0)</f>
        <v>0</v>
      </c>
      <c r="BD155">
        <f>IF((phi!BD100),VLOOKUP(BD$1,main!$A$3:$I$56,5,FALSE)-VLOOKUP($A155,main!$A$3:$I$56,6,FALSE)+main!$D$58,0)</f>
        <v>0</v>
      </c>
    </row>
    <row r="156" spans="1:56" x14ac:dyDescent="0.25">
      <c r="A156">
        <f t="shared" si="4"/>
        <v>44</v>
      </c>
      <c r="B156">
        <v>0</v>
      </c>
      <c r="C156">
        <f>IF((phi!C101),VLOOKUP(C$1,main!$A$3:$I$56,5,FALSE)-VLOOKUP($A156,main!$A$3:$I$56,6,FALSE)+main!$D$58,0)</f>
        <v>0</v>
      </c>
      <c r="D156">
        <f>IF((phi!D101),VLOOKUP(D$1,main!$A$3:$I$56,5,FALSE)-VLOOKUP($A156,main!$A$3:$I$56,6,FALSE)+main!$D$58,0)</f>
        <v>0</v>
      </c>
      <c r="E156">
        <f>IF((phi!E101),VLOOKUP(E$1,main!$A$3:$I$56,5,FALSE)-VLOOKUP($A156,main!$A$3:$I$56,6,FALSE)+main!$D$58,0)</f>
        <v>0</v>
      </c>
      <c r="F156">
        <f>IF((phi!F101),VLOOKUP(F$1,main!$A$3:$I$56,5,FALSE)-VLOOKUP($A156,main!$A$3:$I$56,6,FALSE)+main!$D$58,0)</f>
        <v>0</v>
      </c>
      <c r="G156">
        <f>IF((phi!G101),VLOOKUP(G$1,main!$A$3:$I$56,5,FALSE)-VLOOKUP($A156,main!$A$3:$I$56,6,FALSE)+main!$D$58,0)</f>
        <v>0</v>
      </c>
      <c r="H156">
        <f>IF((phi!H101),VLOOKUP(H$1,main!$A$3:$I$56,5,FALSE)-VLOOKUP($A156,main!$A$3:$I$56,6,FALSE)+main!$D$58,0)</f>
        <v>120</v>
      </c>
      <c r="I156">
        <f>IF((phi!I101),VLOOKUP(I$1,main!$A$3:$I$56,5,FALSE)-VLOOKUP($A156,main!$A$3:$I$56,6,FALSE)+main!$D$58,0)</f>
        <v>180</v>
      </c>
      <c r="J156">
        <f>IF((phi!J101),VLOOKUP(J$1,main!$A$3:$I$56,5,FALSE)-VLOOKUP($A156,main!$A$3:$I$56,6,FALSE)+main!$D$58,0)</f>
        <v>270</v>
      </c>
      <c r="K156">
        <f>IF((phi!K101),VLOOKUP(K$1,main!$A$3:$I$56,5,FALSE)-VLOOKUP($A156,main!$A$3:$I$56,6,FALSE)+main!$D$58,0)</f>
        <v>0</v>
      </c>
      <c r="L156">
        <f>IF((phi!L101),VLOOKUP(L$1,main!$A$3:$I$56,5,FALSE)-VLOOKUP($A156,main!$A$3:$I$56,6,FALSE)+main!$D$58,0)</f>
        <v>0</v>
      </c>
      <c r="M156">
        <f>IF((phi!M101),VLOOKUP(M$1,main!$A$3:$I$56,5,FALSE)-VLOOKUP($A156,main!$A$3:$I$56,6,FALSE)+main!$D$58,0)</f>
        <v>0</v>
      </c>
      <c r="N156">
        <f>IF((phi!N101),VLOOKUP(N$1,main!$A$3:$I$56,5,FALSE)-VLOOKUP($A156,main!$A$3:$I$56,6,FALSE)+main!$D$58,0)</f>
        <v>235</v>
      </c>
      <c r="O156">
        <f>IF((phi!O101),VLOOKUP(O$1,main!$A$3:$I$56,5,FALSE)-VLOOKUP($A156,main!$A$3:$I$56,6,FALSE)+main!$D$58,0)</f>
        <v>295</v>
      </c>
      <c r="P156">
        <f>IF((phi!P101),VLOOKUP(P$1,main!$A$3:$I$56,5,FALSE)-VLOOKUP($A156,main!$A$3:$I$56,6,FALSE)+main!$D$58,0)</f>
        <v>0</v>
      </c>
      <c r="Q156">
        <f>IF((phi!Q101),VLOOKUP(Q$1,main!$A$3:$I$56,5,FALSE)-VLOOKUP($A156,main!$A$3:$I$56,6,FALSE)+main!$D$58,0)</f>
        <v>0</v>
      </c>
      <c r="R156">
        <f>IF((phi!R101),VLOOKUP(R$1,main!$A$3:$I$56,5,FALSE)-VLOOKUP($A156,main!$A$3:$I$56,6,FALSE)+main!$D$58,0)</f>
        <v>0</v>
      </c>
      <c r="S156">
        <f>IF((phi!S101),VLOOKUP(S$1,main!$A$3:$I$56,5,FALSE)-VLOOKUP($A156,main!$A$3:$I$56,6,FALSE)+main!$D$58,0)</f>
        <v>0</v>
      </c>
      <c r="T156">
        <f>IF((phi!T101),VLOOKUP(T$1,main!$A$3:$I$56,5,FALSE)-VLOOKUP($A156,main!$A$3:$I$56,6,FALSE)+main!$D$58,0)</f>
        <v>200</v>
      </c>
      <c r="U156">
        <f>IF((phi!U101),VLOOKUP(U$1,main!$A$3:$I$56,5,FALSE)-VLOOKUP($A156,main!$A$3:$I$56,6,FALSE)+main!$D$58,0)</f>
        <v>0</v>
      </c>
      <c r="V156">
        <f>IF((phi!V101),VLOOKUP(V$1,main!$A$3:$I$56,5,FALSE)-VLOOKUP($A156,main!$A$3:$I$56,6,FALSE)+main!$D$58,0)</f>
        <v>0</v>
      </c>
      <c r="W156">
        <f>IF((phi!W101),VLOOKUP(W$1,main!$A$3:$I$56,5,FALSE)-VLOOKUP($A156,main!$A$3:$I$56,6,FALSE)+main!$D$58,0)</f>
        <v>0</v>
      </c>
      <c r="X156">
        <f>IF((phi!X101),VLOOKUP(X$1,main!$A$3:$I$56,5,FALSE)-VLOOKUP($A156,main!$A$3:$I$56,6,FALSE)+main!$D$58,0)</f>
        <v>0</v>
      </c>
      <c r="Y156">
        <f>IF((phi!Y101),VLOOKUP(Y$1,main!$A$3:$I$56,5,FALSE)-VLOOKUP($A156,main!$A$3:$I$56,6,FALSE)+main!$D$58,0)</f>
        <v>0</v>
      </c>
      <c r="Z156">
        <f>IF((phi!Z101),VLOOKUP(Z$1,main!$A$3:$I$56,5,FALSE)-VLOOKUP($A156,main!$A$3:$I$56,6,FALSE)+main!$D$58,0)</f>
        <v>0</v>
      </c>
      <c r="AA156">
        <f>IF((phi!AA101),VLOOKUP(AA$1,main!$A$3:$I$56,5,FALSE)-VLOOKUP($A156,main!$A$3:$I$56,6,FALSE)+main!$D$58,0)</f>
        <v>0</v>
      </c>
      <c r="AB156">
        <f>IF((phi!AB101),VLOOKUP(AB$1,main!$A$3:$I$56,5,FALSE)-VLOOKUP($A156,main!$A$3:$I$56,6,FALSE)+main!$D$58,0)</f>
        <v>0</v>
      </c>
      <c r="AC156">
        <f>IF((phi!AC101),VLOOKUP(AC$1,main!$A$3:$I$56,5,FALSE)-VLOOKUP($A156,main!$A$3:$I$56,6,FALSE)+main!$D$58,0)</f>
        <v>0</v>
      </c>
      <c r="AD156">
        <f>IF((phi!AD101),VLOOKUP(AD$1,main!$A$3:$I$56,5,FALSE)-VLOOKUP($A156,main!$A$3:$I$56,6,FALSE)+main!$D$58,0)</f>
        <v>0</v>
      </c>
      <c r="AE156">
        <f>IF((phi!AE101),VLOOKUP(AE$1,main!$A$3:$I$56,5,FALSE)-VLOOKUP($A156,main!$A$3:$I$56,6,FALSE)+main!$D$58,0)</f>
        <v>0</v>
      </c>
      <c r="AF156">
        <f>IF((phi!AF101),VLOOKUP(AF$1,main!$A$3:$I$56,5,FALSE)-VLOOKUP($A156,main!$A$3:$I$56,6,FALSE)+main!$D$58,0)</f>
        <v>0</v>
      </c>
      <c r="AG156">
        <f>IF((phi!AG101),VLOOKUP(AG$1,main!$A$3:$I$56,5,FALSE)-VLOOKUP($A156,main!$A$3:$I$56,6,FALSE)+main!$D$58,0)</f>
        <v>0</v>
      </c>
      <c r="AH156">
        <f>IF((phi!AH101),VLOOKUP(AH$1,main!$A$3:$I$56,5,FALSE)-VLOOKUP($A156,main!$A$3:$I$56,6,FALSE)+main!$D$58,0)</f>
        <v>0</v>
      </c>
      <c r="AI156">
        <f>IF((phi!AI101),VLOOKUP(AI$1,main!$A$3:$I$56,5,FALSE)-VLOOKUP($A156,main!$A$3:$I$56,6,FALSE)+main!$D$58,0)</f>
        <v>0</v>
      </c>
      <c r="AJ156">
        <f>IF((phi!AJ101),VLOOKUP(AJ$1,main!$A$3:$I$56,5,FALSE)-VLOOKUP($A156,main!$A$3:$I$56,6,FALSE)+main!$D$58,0)</f>
        <v>0</v>
      </c>
      <c r="AK156">
        <f>IF((phi!AK101),VLOOKUP(AK$1,main!$A$3:$I$56,5,FALSE)-VLOOKUP($A156,main!$A$3:$I$56,6,FALSE)+main!$D$58,0)</f>
        <v>0</v>
      </c>
      <c r="AL156">
        <f>IF((phi!AL101),VLOOKUP(AL$1,main!$A$3:$I$56,5,FALSE)-VLOOKUP($A156,main!$A$3:$I$56,6,FALSE)+main!$D$58,0)</f>
        <v>0</v>
      </c>
      <c r="AM156">
        <f>IF((phi!AM101),VLOOKUP(AM$1,main!$A$3:$I$56,5,FALSE)-VLOOKUP($A156,main!$A$3:$I$56,6,FALSE)+main!$D$58,0)</f>
        <v>0</v>
      </c>
      <c r="AN156">
        <f>IF((phi!AN101),VLOOKUP(AN$1,main!$A$3:$I$56,5,FALSE)-VLOOKUP($A156,main!$A$3:$I$56,6,FALSE)+main!$D$58,0)</f>
        <v>0</v>
      </c>
      <c r="AO156">
        <f>IF((phi!AO101),VLOOKUP(AO$1,main!$A$3:$I$56,5,FALSE)-VLOOKUP($A156,main!$A$3:$I$56,6,FALSE)+main!$D$58,0)</f>
        <v>0</v>
      </c>
      <c r="AP156">
        <f>IF((phi!AP101),VLOOKUP(AP$1,main!$A$3:$I$56,5,FALSE)-VLOOKUP($A156,main!$A$3:$I$56,6,FALSE)+main!$D$58,0)</f>
        <v>0</v>
      </c>
      <c r="AQ156">
        <f>IF((phi!AQ101),VLOOKUP(AQ$1,main!$A$3:$I$56,5,FALSE)-VLOOKUP($A156,main!$A$3:$I$56,6,FALSE)+main!$D$58,0)</f>
        <v>0</v>
      </c>
      <c r="AR156">
        <f>IF((phi!AR101),VLOOKUP(AR$1,main!$A$3:$I$56,5,FALSE)-VLOOKUP($A156,main!$A$3:$I$56,6,FALSE)+main!$D$58,0)</f>
        <v>0</v>
      </c>
      <c r="AS156">
        <f>IF((phi!AS101),VLOOKUP(AS$1,main!$A$3:$I$56,5,FALSE)-VLOOKUP($A156,main!$A$3:$I$56,6,FALSE)+main!$D$58,0)</f>
        <v>0</v>
      </c>
      <c r="AT156">
        <f>IF((phi!AT101),VLOOKUP(AT$1,main!$A$3:$I$56,5,FALSE)-VLOOKUP($A156,main!$A$3:$I$56,6,FALSE)+main!$D$58,0)</f>
        <v>0</v>
      </c>
      <c r="AU156">
        <f>IF((phi!AU101),VLOOKUP(AU$1,main!$A$3:$I$56,5,FALSE)-VLOOKUP($A156,main!$A$3:$I$56,6,FALSE)+main!$D$58,0)</f>
        <v>0</v>
      </c>
      <c r="AV156">
        <f>IF((phi!AV101),VLOOKUP(AV$1,main!$A$3:$I$56,5,FALSE)-VLOOKUP($A156,main!$A$3:$I$56,6,FALSE)+main!$D$58,0)</f>
        <v>0</v>
      </c>
      <c r="AW156">
        <f>IF((phi!AW101),VLOOKUP(AW$1,main!$A$3:$I$56,5,FALSE)-VLOOKUP($A156,main!$A$3:$I$56,6,FALSE)+main!$D$58,0)</f>
        <v>0</v>
      </c>
      <c r="AX156">
        <f>IF((phi!AX101),VLOOKUP(AX$1,main!$A$3:$I$56,5,FALSE)-VLOOKUP($A156,main!$A$3:$I$56,6,FALSE)+main!$D$58,0)</f>
        <v>0</v>
      </c>
      <c r="AY156">
        <f>IF((phi!AY101),VLOOKUP(AY$1,main!$A$3:$I$56,5,FALSE)-VLOOKUP($A156,main!$A$3:$I$56,6,FALSE)+main!$D$58,0)</f>
        <v>0</v>
      </c>
      <c r="AZ156">
        <f>IF((phi!AZ101),VLOOKUP(AZ$1,main!$A$3:$I$56,5,FALSE)-VLOOKUP($A156,main!$A$3:$I$56,6,FALSE)+main!$D$58,0)</f>
        <v>0</v>
      </c>
      <c r="BA156">
        <f>IF((phi!BA101),VLOOKUP(BA$1,main!$A$3:$I$56,5,FALSE)-VLOOKUP($A156,main!$A$3:$I$56,6,FALSE)+main!$D$58,0)</f>
        <v>0</v>
      </c>
      <c r="BB156">
        <f>IF((phi!BB101),VLOOKUP(BB$1,main!$A$3:$I$56,5,FALSE)-VLOOKUP($A156,main!$A$3:$I$56,6,FALSE)+main!$D$58,0)</f>
        <v>0</v>
      </c>
      <c r="BC156">
        <f>IF((phi!BC101),VLOOKUP(BC$1,main!$A$3:$I$56,5,FALSE)-VLOOKUP($A156,main!$A$3:$I$56,6,FALSE)+main!$D$58,0)</f>
        <v>0</v>
      </c>
      <c r="BD156">
        <f>IF((phi!BD101),VLOOKUP(BD$1,main!$A$3:$I$56,5,FALSE)-VLOOKUP($A156,main!$A$3:$I$56,6,FALSE)+main!$D$58,0)</f>
        <v>0</v>
      </c>
    </row>
    <row r="157" spans="1:56" x14ac:dyDescent="0.25">
      <c r="A157">
        <f t="shared" si="4"/>
        <v>45</v>
      </c>
      <c r="B157">
        <v>0</v>
      </c>
      <c r="C157">
        <f>IF((phi!C102),VLOOKUP(C$1,main!$A$3:$I$56,5,FALSE)-VLOOKUP($A157,main!$A$3:$I$56,6,FALSE)+main!$D$58,0)</f>
        <v>0</v>
      </c>
      <c r="D157">
        <f>IF((phi!D102),VLOOKUP(D$1,main!$A$3:$I$56,5,FALSE)-VLOOKUP($A157,main!$A$3:$I$56,6,FALSE)+main!$D$58,0)</f>
        <v>0</v>
      </c>
      <c r="E157">
        <f>IF((phi!E102),VLOOKUP(E$1,main!$A$3:$I$56,5,FALSE)-VLOOKUP($A157,main!$A$3:$I$56,6,FALSE)+main!$D$58,0)</f>
        <v>0</v>
      </c>
      <c r="F157">
        <f>IF((phi!F102),VLOOKUP(F$1,main!$A$3:$I$56,5,FALSE)-VLOOKUP($A157,main!$A$3:$I$56,6,FALSE)+main!$D$58,0)</f>
        <v>110</v>
      </c>
      <c r="G157">
        <f>IF((phi!G102),VLOOKUP(G$1,main!$A$3:$I$56,5,FALSE)-VLOOKUP($A157,main!$A$3:$I$56,6,FALSE)+main!$D$58,0)</f>
        <v>170</v>
      </c>
      <c r="H157">
        <f>IF((phi!H102),VLOOKUP(H$1,main!$A$3:$I$56,5,FALSE)-VLOOKUP($A157,main!$A$3:$I$56,6,FALSE)+main!$D$58,0)</f>
        <v>230</v>
      </c>
      <c r="I157">
        <f>IF((phi!I102),VLOOKUP(I$1,main!$A$3:$I$56,5,FALSE)-VLOOKUP($A157,main!$A$3:$I$56,6,FALSE)+main!$D$58,0)</f>
        <v>290</v>
      </c>
      <c r="J157">
        <f>IF((phi!J102),VLOOKUP(J$1,main!$A$3:$I$56,5,FALSE)-VLOOKUP($A157,main!$A$3:$I$56,6,FALSE)+main!$D$58,0)</f>
        <v>380</v>
      </c>
      <c r="K157">
        <f>IF((phi!K102),VLOOKUP(K$1,main!$A$3:$I$56,5,FALSE)-VLOOKUP($A157,main!$A$3:$I$56,6,FALSE)+main!$D$58,0)</f>
        <v>0</v>
      </c>
      <c r="L157">
        <f>IF((phi!L102),VLOOKUP(L$1,main!$A$3:$I$56,5,FALSE)-VLOOKUP($A157,main!$A$3:$I$56,6,FALSE)+main!$D$58,0)</f>
        <v>0</v>
      </c>
      <c r="M157">
        <f>IF((phi!M102),VLOOKUP(M$1,main!$A$3:$I$56,5,FALSE)-VLOOKUP($A157,main!$A$3:$I$56,6,FALSE)+main!$D$58,0)</f>
        <v>0</v>
      </c>
      <c r="N157">
        <f>IF((phi!N102),VLOOKUP(N$1,main!$A$3:$I$56,5,FALSE)-VLOOKUP($A157,main!$A$3:$I$56,6,FALSE)+main!$D$58,0)</f>
        <v>345</v>
      </c>
      <c r="O157">
        <f>IF((phi!O102),VLOOKUP(O$1,main!$A$3:$I$56,5,FALSE)-VLOOKUP($A157,main!$A$3:$I$56,6,FALSE)+main!$D$58,0)</f>
        <v>405</v>
      </c>
      <c r="P157">
        <f>IF((phi!P102),VLOOKUP(P$1,main!$A$3:$I$56,5,FALSE)-VLOOKUP($A157,main!$A$3:$I$56,6,FALSE)+main!$D$58,0)</f>
        <v>0</v>
      </c>
      <c r="Q157">
        <f>IF((phi!Q102),VLOOKUP(Q$1,main!$A$3:$I$56,5,FALSE)-VLOOKUP($A157,main!$A$3:$I$56,6,FALSE)+main!$D$58,0)</f>
        <v>0</v>
      </c>
      <c r="R157">
        <f>IF((phi!R102),VLOOKUP(R$1,main!$A$3:$I$56,5,FALSE)-VLOOKUP($A157,main!$A$3:$I$56,6,FALSE)+main!$D$58,0)</f>
        <v>0</v>
      </c>
      <c r="S157">
        <f>IF((phi!S102),VLOOKUP(S$1,main!$A$3:$I$56,5,FALSE)-VLOOKUP($A157,main!$A$3:$I$56,6,FALSE)+main!$D$58,0)</f>
        <v>160</v>
      </c>
      <c r="T157">
        <f>IF((phi!T102),VLOOKUP(T$1,main!$A$3:$I$56,5,FALSE)-VLOOKUP($A157,main!$A$3:$I$56,6,FALSE)+main!$D$58,0)</f>
        <v>310</v>
      </c>
      <c r="U157">
        <f>IF((phi!U102),VLOOKUP(U$1,main!$A$3:$I$56,5,FALSE)-VLOOKUP($A157,main!$A$3:$I$56,6,FALSE)+main!$D$58,0)</f>
        <v>0</v>
      </c>
      <c r="V157">
        <f>IF((phi!V102),VLOOKUP(V$1,main!$A$3:$I$56,5,FALSE)-VLOOKUP($A157,main!$A$3:$I$56,6,FALSE)+main!$D$58,0)</f>
        <v>0</v>
      </c>
      <c r="W157">
        <f>IF((phi!W102),VLOOKUP(W$1,main!$A$3:$I$56,5,FALSE)-VLOOKUP($A157,main!$A$3:$I$56,6,FALSE)+main!$D$58,0)</f>
        <v>0</v>
      </c>
      <c r="X157">
        <f>IF((phi!X102),VLOOKUP(X$1,main!$A$3:$I$56,5,FALSE)-VLOOKUP($A157,main!$A$3:$I$56,6,FALSE)+main!$D$58,0)</f>
        <v>0</v>
      </c>
      <c r="Y157">
        <f>IF((phi!Y102),VLOOKUP(Y$1,main!$A$3:$I$56,5,FALSE)-VLOOKUP($A157,main!$A$3:$I$56,6,FALSE)+main!$D$58,0)</f>
        <v>0</v>
      </c>
      <c r="Z157">
        <f>IF((phi!Z102),VLOOKUP(Z$1,main!$A$3:$I$56,5,FALSE)-VLOOKUP($A157,main!$A$3:$I$56,6,FALSE)+main!$D$58,0)</f>
        <v>0</v>
      </c>
      <c r="AA157">
        <f>IF((phi!AA102),VLOOKUP(AA$1,main!$A$3:$I$56,5,FALSE)-VLOOKUP($A157,main!$A$3:$I$56,6,FALSE)+main!$D$58,0)</f>
        <v>270</v>
      </c>
      <c r="AB157">
        <f>IF((phi!AB102),VLOOKUP(AB$1,main!$A$3:$I$56,5,FALSE)-VLOOKUP($A157,main!$A$3:$I$56,6,FALSE)+main!$D$58,0)</f>
        <v>330</v>
      </c>
      <c r="AC157">
        <f>IF((phi!AC102),VLOOKUP(AC$1,main!$A$3:$I$56,5,FALSE)-VLOOKUP($A157,main!$A$3:$I$56,6,FALSE)+main!$D$58,0)</f>
        <v>0</v>
      </c>
      <c r="AD157">
        <f>IF((phi!AD102),VLOOKUP(AD$1,main!$A$3:$I$56,5,FALSE)-VLOOKUP($A157,main!$A$3:$I$56,6,FALSE)+main!$D$58,0)</f>
        <v>0</v>
      </c>
      <c r="AE157">
        <f>IF((phi!AE102),VLOOKUP(AE$1,main!$A$3:$I$56,5,FALSE)-VLOOKUP($A157,main!$A$3:$I$56,6,FALSE)+main!$D$58,0)</f>
        <v>0</v>
      </c>
      <c r="AF157">
        <f>IF((phi!AF102),VLOOKUP(AF$1,main!$A$3:$I$56,5,FALSE)-VLOOKUP($A157,main!$A$3:$I$56,6,FALSE)+main!$D$58,0)</f>
        <v>0</v>
      </c>
      <c r="AG157">
        <f>IF((phi!AG102),VLOOKUP(AG$1,main!$A$3:$I$56,5,FALSE)-VLOOKUP($A157,main!$A$3:$I$56,6,FALSE)+main!$D$58,0)</f>
        <v>0</v>
      </c>
      <c r="AH157">
        <f>IF((phi!AH102),VLOOKUP(AH$1,main!$A$3:$I$56,5,FALSE)-VLOOKUP($A157,main!$A$3:$I$56,6,FALSE)+main!$D$58,0)</f>
        <v>0</v>
      </c>
      <c r="AI157">
        <f>IF((phi!AI102),VLOOKUP(AI$1,main!$A$3:$I$56,5,FALSE)-VLOOKUP($A157,main!$A$3:$I$56,6,FALSE)+main!$D$58,0)</f>
        <v>0</v>
      </c>
      <c r="AJ157">
        <f>IF((phi!AJ102),VLOOKUP(AJ$1,main!$A$3:$I$56,5,FALSE)-VLOOKUP($A157,main!$A$3:$I$56,6,FALSE)+main!$D$58,0)</f>
        <v>0</v>
      </c>
      <c r="AK157">
        <f>IF((phi!AK102),VLOOKUP(AK$1,main!$A$3:$I$56,5,FALSE)-VLOOKUP($A157,main!$A$3:$I$56,6,FALSE)+main!$D$58,0)</f>
        <v>0</v>
      </c>
      <c r="AL157">
        <f>IF((phi!AL102),VLOOKUP(AL$1,main!$A$3:$I$56,5,FALSE)-VLOOKUP($A157,main!$A$3:$I$56,6,FALSE)+main!$D$58,0)</f>
        <v>0</v>
      </c>
      <c r="AM157">
        <f>IF((phi!AM102),VLOOKUP(AM$1,main!$A$3:$I$56,5,FALSE)-VLOOKUP($A157,main!$A$3:$I$56,6,FALSE)+main!$D$58,0)</f>
        <v>0</v>
      </c>
      <c r="AN157">
        <f>IF((phi!AN102),VLOOKUP(AN$1,main!$A$3:$I$56,5,FALSE)-VLOOKUP($A157,main!$A$3:$I$56,6,FALSE)+main!$D$58,0)</f>
        <v>0</v>
      </c>
      <c r="AO157">
        <f>IF((phi!AO102),VLOOKUP(AO$1,main!$A$3:$I$56,5,FALSE)-VLOOKUP($A157,main!$A$3:$I$56,6,FALSE)+main!$D$58,0)</f>
        <v>0</v>
      </c>
      <c r="AP157">
        <f>IF((phi!AP102),VLOOKUP(AP$1,main!$A$3:$I$56,5,FALSE)-VLOOKUP($A157,main!$A$3:$I$56,6,FALSE)+main!$D$58,0)</f>
        <v>0</v>
      </c>
      <c r="AQ157">
        <f>IF((phi!AQ102),VLOOKUP(AQ$1,main!$A$3:$I$56,5,FALSE)-VLOOKUP($A157,main!$A$3:$I$56,6,FALSE)+main!$D$58,0)</f>
        <v>0</v>
      </c>
      <c r="AR157">
        <f>IF((phi!AR102),VLOOKUP(AR$1,main!$A$3:$I$56,5,FALSE)-VLOOKUP($A157,main!$A$3:$I$56,6,FALSE)+main!$D$58,0)</f>
        <v>0</v>
      </c>
      <c r="AS157">
        <f>IF((phi!AS102),VLOOKUP(AS$1,main!$A$3:$I$56,5,FALSE)-VLOOKUP($A157,main!$A$3:$I$56,6,FALSE)+main!$D$58,0)</f>
        <v>0</v>
      </c>
      <c r="AT157">
        <f>IF((phi!AT102),VLOOKUP(AT$1,main!$A$3:$I$56,5,FALSE)-VLOOKUP($A157,main!$A$3:$I$56,6,FALSE)+main!$D$58,0)</f>
        <v>0</v>
      </c>
      <c r="AU157">
        <f>IF((phi!AU102),VLOOKUP(AU$1,main!$A$3:$I$56,5,FALSE)-VLOOKUP($A157,main!$A$3:$I$56,6,FALSE)+main!$D$58,0)</f>
        <v>0</v>
      </c>
      <c r="AV157">
        <f>IF((phi!AV102),VLOOKUP(AV$1,main!$A$3:$I$56,5,FALSE)-VLOOKUP($A157,main!$A$3:$I$56,6,FALSE)+main!$D$58,0)</f>
        <v>0</v>
      </c>
      <c r="AW157">
        <f>IF((phi!AW102),VLOOKUP(AW$1,main!$A$3:$I$56,5,FALSE)-VLOOKUP($A157,main!$A$3:$I$56,6,FALSE)+main!$D$58,0)</f>
        <v>0</v>
      </c>
      <c r="AX157">
        <f>IF((phi!AX102),VLOOKUP(AX$1,main!$A$3:$I$56,5,FALSE)-VLOOKUP($A157,main!$A$3:$I$56,6,FALSE)+main!$D$58,0)</f>
        <v>0</v>
      </c>
      <c r="AY157">
        <f>IF((phi!AY102),VLOOKUP(AY$1,main!$A$3:$I$56,5,FALSE)-VLOOKUP($A157,main!$A$3:$I$56,6,FALSE)+main!$D$58,0)</f>
        <v>390</v>
      </c>
      <c r="AZ157">
        <f>IF((phi!AZ102),VLOOKUP(AZ$1,main!$A$3:$I$56,5,FALSE)-VLOOKUP($A157,main!$A$3:$I$56,6,FALSE)+main!$D$58,0)</f>
        <v>0</v>
      </c>
      <c r="BA157">
        <f>IF((phi!BA102),VLOOKUP(BA$1,main!$A$3:$I$56,5,FALSE)-VLOOKUP($A157,main!$A$3:$I$56,6,FALSE)+main!$D$58,0)</f>
        <v>0</v>
      </c>
      <c r="BB157">
        <f>IF((phi!BB102),VLOOKUP(BB$1,main!$A$3:$I$56,5,FALSE)-VLOOKUP($A157,main!$A$3:$I$56,6,FALSE)+main!$D$58,0)</f>
        <v>0</v>
      </c>
      <c r="BC157">
        <f>IF((phi!BC102),VLOOKUP(BC$1,main!$A$3:$I$56,5,FALSE)-VLOOKUP($A157,main!$A$3:$I$56,6,FALSE)+main!$D$58,0)</f>
        <v>0</v>
      </c>
      <c r="BD157">
        <f>IF((phi!BD102),VLOOKUP(BD$1,main!$A$3:$I$56,5,FALSE)-VLOOKUP($A157,main!$A$3:$I$56,6,FALSE)+main!$D$58,0)</f>
        <v>0</v>
      </c>
    </row>
    <row r="158" spans="1:56" x14ac:dyDescent="0.25">
      <c r="A158">
        <f t="shared" si="4"/>
        <v>46</v>
      </c>
      <c r="B158">
        <v>0</v>
      </c>
      <c r="C158">
        <f>IF((phi!C103),VLOOKUP(C$1,main!$A$3:$I$56,5,FALSE)-VLOOKUP($A158,main!$A$3:$I$56,6,FALSE)+main!$D$58,0)</f>
        <v>0</v>
      </c>
      <c r="D158">
        <f>IF((phi!D103),VLOOKUP(D$1,main!$A$3:$I$56,5,FALSE)-VLOOKUP($A158,main!$A$3:$I$56,6,FALSE)+main!$D$58,0)</f>
        <v>0</v>
      </c>
      <c r="E158">
        <f>IF((phi!E103),VLOOKUP(E$1,main!$A$3:$I$56,5,FALSE)-VLOOKUP($A158,main!$A$3:$I$56,6,FALSE)+main!$D$58,0)</f>
        <v>0</v>
      </c>
      <c r="F158">
        <f>IF((phi!F103),VLOOKUP(F$1,main!$A$3:$I$56,5,FALSE)-VLOOKUP($A158,main!$A$3:$I$56,6,FALSE)+main!$D$58,0)</f>
        <v>0</v>
      </c>
      <c r="G158">
        <f>IF((phi!G103),VLOOKUP(G$1,main!$A$3:$I$56,5,FALSE)-VLOOKUP($A158,main!$A$3:$I$56,6,FALSE)+main!$D$58,0)</f>
        <v>145</v>
      </c>
      <c r="H158">
        <f>IF((phi!H103),VLOOKUP(H$1,main!$A$3:$I$56,5,FALSE)-VLOOKUP($A158,main!$A$3:$I$56,6,FALSE)+main!$D$58,0)</f>
        <v>205</v>
      </c>
      <c r="I158">
        <f>IF((phi!I103),VLOOKUP(I$1,main!$A$3:$I$56,5,FALSE)-VLOOKUP($A158,main!$A$3:$I$56,6,FALSE)+main!$D$58,0)</f>
        <v>265</v>
      </c>
      <c r="J158">
        <f>IF((phi!J103),VLOOKUP(J$1,main!$A$3:$I$56,5,FALSE)-VLOOKUP($A158,main!$A$3:$I$56,6,FALSE)+main!$D$58,0)</f>
        <v>355</v>
      </c>
      <c r="K158">
        <f>IF((phi!K103),VLOOKUP(K$1,main!$A$3:$I$56,5,FALSE)-VLOOKUP($A158,main!$A$3:$I$56,6,FALSE)+main!$D$58,0)</f>
        <v>0</v>
      </c>
      <c r="L158">
        <f>IF((phi!L103),VLOOKUP(L$1,main!$A$3:$I$56,5,FALSE)-VLOOKUP($A158,main!$A$3:$I$56,6,FALSE)+main!$D$58,0)</f>
        <v>0</v>
      </c>
      <c r="M158">
        <f>IF((phi!M103),VLOOKUP(M$1,main!$A$3:$I$56,5,FALSE)-VLOOKUP($A158,main!$A$3:$I$56,6,FALSE)+main!$D$58,0)</f>
        <v>0</v>
      </c>
      <c r="N158">
        <f>IF((phi!N103),VLOOKUP(N$1,main!$A$3:$I$56,5,FALSE)-VLOOKUP($A158,main!$A$3:$I$56,6,FALSE)+main!$D$58,0)</f>
        <v>320</v>
      </c>
      <c r="O158">
        <f>IF((phi!O103),VLOOKUP(O$1,main!$A$3:$I$56,5,FALSE)-VLOOKUP($A158,main!$A$3:$I$56,6,FALSE)+main!$D$58,0)</f>
        <v>380</v>
      </c>
      <c r="P158">
        <f>IF((phi!P103),VLOOKUP(P$1,main!$A$3:$I$56,5,FALSE)-VLOOKUP($A158,main!$A$3:$I$56,6,FALSE)+main!$D$58,0)</f>
        <v>0</v>
      </c>
      <c r="Q158">
        <f>IF((phi!Q103),VLOOKUP(Q$1,main!$A$3:$I$56,5,FALSE)-VLOOKUP($A158,main!$A$3:$I$56,6,FALSE)+main!$D$58,0)</f>
        <v>0</v>
      </c>
      <c r="R158">
        <f>IF((phi!R103),VLOOKUP(R$1,main!$A$3:$I$56,5,FALSE)-VLOOKUP($A158,main!$A$3:$I$56,6,FALSE)+main!$D$58,0)</f>
        <v>0</v>
      </c>
      <c r="S158">
        <f>IF((phi!S103),VLOOKUP(S$1,main!$A$3:$I$56,5,FALSE)-VLOOKUP($A158,main!$A$3:$I$56,6,FALSE)+main!$D$58,0)</f>
        <v>135</v>
      </c>
      <c r="T158">
        <f>IF((phi!T103),VLOOKUP(T$1,main!$A$3:$I$56,5,FALSE)-VLOOKUP($A158,main!$A$3:$I$56,6,FALSE)+main!$D$58,0)</f>
        <v>285</v>
      </c>
      <c r="U158">
        <f>IF((phi!U103),VLOOKUP(U$1,main!$A$3:$I$56,5,FALSE)-VLOOKUP($A158,main!$A$3:$I$56,6,FALSE)+main!$D$58,0)</f>
        <v>0</v>
      </c>
      <c r="V158">
        <f>IF((phi!V103),VLOOKUP(V$1,main!$A$3:$I$56,5,FALSE)-VLOOKUP($A158,main!$A$3:$I$56,6,FALSE)+main!$D$58,0)</f>
        <v>0</v>
      </c>
      <c r="W158">
        <f>IF((phi!W103),VLOOKUP(W$1,main!$A$3:$I$56,5,FALSE)-VLOOKUP($A158,main!$A$3:$I$56,6,FALSE)+main!$D$58,0)</f>
        <v>0</v>
      </c>
      <c r="X158">
        <f>IF((phi!X103),VLOOKUP(X$1,main!$A$3:$I$56,5,FALSE)-VLOOKUP($A158,main!$A$3:$I$56,6,FALSE)+main!$D$58,0)</f>
        <v>0</v>
      </c>
      <c r="Y158">
        <f>IF((phi!Y103),VLOOKUP(Y$1,main!$A$3:$I$56,5,FALSE)-VLOOKUP($A158,main!$A$3:$I$56,6,FALSE)+main!$D$58,0)</f>
        <v>0</v>
      </c>
      <c r="Z158">
        <f>IF((phi!Z103),VLOOKUP(Z$1,main!$A$3:$I$56,5,FALSE)-VLOOKUP($A158,main!$A$3:$I$56,6,FALSE)+main!$D$58,0)</f>
        <v>0</v>
      </c>
      <c r="AA158">
        <f>IF((phi!AA103),VLOOKUP(AA$1,main!$A$3:$I$56,5,FALSE)-VLOOKUP($A158,main!$A$3:$I$56,6,FALSE)+main!$D$58,0)</f>
        <v>245</v>
      </c>
      <c r="AB158">
        <f>IF((phi!AB103),VLOOKUP(AB$1,main!$A$3:$I$56,5,FALSE)-VLOOKUP($A158,main!$A$3:$I$56,6,FALSE)+main!$D$58,0)</f>
        <v>305</v>
      </c>
      <c r="AC158">
        <f>IF((phi!AC103),VLOOKUP(AC$1,main!$A$3:$I$56,5,FALSE)-VLOOKUP($A158,main!$A$3:$I$56,6,FALSE)+main!$D$58,0)</f>
        <v>0</v>
      </c>
      <c r="AD158">
        <f>IF((phi!AD103),VLOOKUP(AD$1,main!$A$3:$I$56,5,FALSE)-VLOOKUP($A158,main!$A$3:$I$56,6,FALSE)+main!$D$58,0)</f>
        <v>0</v>
      </c>
      <c r="AE158">
        <f>IF((phi!AE103),VLOOKUP(AE$1,main!$A$3:$I$56,5,FALSE)-VLOOKUP($A158,main!$A$3:$I$56,6,FALSE)+main!$D$58,0)</f>
        <v>0</v>
      </c>
      <c r="AF158">
        <f>IF((phi!AF103),VLOOKUP(AF$1,main!$A$3:$I$56,5,FALSE)-VLOOKUP($A158,main!$A$3:$I$56,6,FALSE)+main!$D$58,0)</f>
        <v>0</v>
      </c>
      <c r="AG158">
        <f>IF((phi!AG103),VLOOKUP(AG$1,main!$A$3:$I$56,5,FALSE)-VLOOKUP($A158,main!$A$3:$I$56,6,FALSE)+main!$D$58,0)</f>
        <v>0</v>
      </c>
      <c r="AH158">
        <f>IF((phi!AH103),VLOOKUP(AH$1,main!$A$3:$I$56,5,FALSE)-VLOOKUP($A158,main!$A$3:$I$56,6,FALSE)+main!$D$58,0)</f>
        <v>0</v>
      </c>
      <c r="AI158">
        <f>IF((phi!AI103),VLOOKUP(AI$1,main!$A$3:$I$56,5,FALSE)-VLOOKUP($A158,main!$A$3:$I$56,6,FALSE)+main!$D$58,0)</f>
        <v>0</v>
      </c>
      <c r="AJ158">
        <f>IF((phi!AJ103),VLOOKUP(AJ$1,main!$A$3:$I$56,5,FALSE)-VLOOKUP($A158,main!$A$3:$I$56,6,FALSE)+main!$D$58,0)</f>
        <v>0</v>
      </c>
      <c r="AK158">
        <f>IF((phi!AK103),VLOOKUP(AK$1,main!$A$3:$I$56,5,FALSE)-VLOOKUP($A158,main!$A$3:$I$56,6,FALSE)+main!$D$58,0)</f>
        <v>0</v>
      </c>
      <c r="AL158">
        <f>IF((phi!AL103),VLOOKUP(AL$1,main!$A$3:$I$56,5,FALSE)-VLOOKUP($A158,main!$A$3:$I$56,6,FALSE)+main!$D$58,0)</f>
        <v>0</v>
      </c>
      <c r="AM158">
        <f>IF((phi!AM103),VLOOKUP(AM$1,main!$A$3:$I$56,5,FALSE)-VLOOKUP($A158,main!$A$3:$I$56,6,FALSE)+main!$D$58,0)</f>
        <v>0</v>
      </c>
      <c r="AN158">
        <f>IF((phi!AN103),VLOOKUP(AN$1,main!$A$3:$I$56,5,FALSE)-VLOOKUP($A158,main!$A$3:$I$56,6,FALSE)+main!$D$58,0)</f>
        <v>0</v>
      </c>
      <c r="AO158">
        <f>IF((phi!AO103),VLOOKUP(AO$1,main!$A$3:$I$56,5,FALSE)-VLOOKUP($A158,main!$A$3:$I$56,6,FALSE)+main!$D$58,0)</f>
        <v>0</v>
      </c>
      <c r="AP158">
        <f>IF((phi!AP103),VLOOKUP(AP$1,main!$A$3:$I$56,5,FALSE)-VLOOKUP($A158,main!$A$3:$I$56,6,FALSE)+main!$D$58,0)</f>
        <v>0</v>
      </c>
      <c r="AQ158">
        <f>IF((phi!AQ103),VLOOKUP(AQ$1,main!$A$3:$I$56,5,FALSE)-VLOOKUP($A158,main!$A$3:$I$56,6,FALSE)+main!$D$58,0)</f>
        <v>0</v>
      </c>
      <c r="AR158">
        <f>IF((phi!AR103),VLOOKUP(AR$1,main!$A$3:$I$56,5,FALSE)-VLOOKUP($A158,main!$A$3:$I$56,6,FALSE)+main!$D$58,0)</f>
        <v>0</v>
      </c>
      <c r="AS158">
        <f>IF((phi!AS103),VLOOKUP(AS$1,main!$A$3:$I$56,5,FALSE)-VLOOKUP($A158,main!$A$3:$I$56,6,FALSE)+main!$D$58,0)</f>
        <v>0</v>
      </c>
      <c r="AT158">
        <f>IF((phi!AT103),VLOOKUP(AT$1,main!$A$3:$I$56,5,FALSE)-VLOOKUP($A158,main!$A$3:$I$56,6,FALSE)+main!$D$58,0)</f>
        <v>0</v>
      </c>
      <c r="AU158">
        <f>IF((phi!AU103),VLOOKUP(AU$1,main!$A$3:$I$56,5,FALSE)-VLOOKUP($A158,main!$A$3:$I$56,6,FALSE)+main!$D$58,0)</f>
        <v>0</v>
      </c>
      <c r="AV158">
        <f>IF((phi!AV103),VLOOKUP(AV$1,main!$A$3:$I$56,5,FALSE)-VLOOKUP($A158,main!$A$3:$I$56,6,FALSE)+main!$D$58,0)</f>
        <v>0</v>
      </c>
      <c r="AW158">
        <f>IF((phi!AW103),VLOOKUP(AW$1,main!$A$3:$I$56,5,FALSE)-VLOOKUP($A158,main!$A$3:$I$56,6,FALSE)+main!$D$58,0)</f>
        <v>0</v>
      </c>
      <c r="AX158">
        <f>IF((phi!AX103),VLOOKUP(AX$1,main!$A$3:$I$56,5,FALSE)-VLOOKUP($A158,main!$A$3:$I$56,6,FALSE)+main!$D$58,0)</f>
        <v>0</v>
      </c>
      <c r="AY158">
        <f>IF((phi!AY103),VLOOKUP(AY$1,main!$A$3:$I$56,5,FALSE)-VLOOKUP($A158,main!$A$3:$I$56,6,FALSE)+main!$D$58,0)</f>
        <v>365</v>
      </c>
      <c r="AZ158">
        <f>IF((phi!AZ103),VLOOKUP(AZ$1,main!$A$3:$I$56,5,FALSE)-VLOOKUP($A158,main!$A$3:$I$56,6,FALSE)+main!$D$58,0)</f>
        <v>0</v>
      </c>
      <c r="BA158">
        <f>IF((phi!BA103),VLOOKUP(BA$1,main!$A$3:$I$56,5,FALSE)-VLOOKUP($A158,main!$A$3:$I$56,6,FALSE)+main!$D$58,0)</f>
        <v>0</v>
      </c>
      <c r="BB158">
        <f>IF((phi!BB103),VLOOKUP(BB$1,main!$A$3:$I$56,5,FALSE)-VLOOKUP($A158,main!$A$3:$I$56,6,FALSE)+main!$D$58,0)</f>
        <v>0</v>
      </c>
      <c r="BC158">
        <f>IF((phi!BC103),VLOOKUP(BC$1,main!$A$3:$I$56,5,FALSE)-VLOOKUP($A158,main!$A$3:$I$56,6,FALSE)+main!$D$58,0)</f>
        <v>0</v>
      </c>
      <c r="BD158">
        <f>IF((phi!BD103),VLOOKUP(BD$1,main!$A$3:$I$56,5,FALSE)-VLOOKUP($A158,main!$A$3:$I$56,6,FALSE)+main!$D$58,0)</f>
        <v>0</v>
      </c>
    </row>
    <row r="159" spans="1:56" x14ac:dyDescent="0.25">
      <c r="A159">
        <f t="shared" si="4"/>
        <v>47</v>
      </c>
      <c r="B159">
        <v>0</v>
      </c>
      <c r="C159">
        <f>IF((phi!C104),VLOOKUP(C$1,main!$A$3:$I$56,5,FALSE)-VLOOKUP($A159,main!$A$3:$I$56,6,FALSE)+main!$D$58,0)</f>
        <v>0</v>
      </c>
      <c r="D159">
        <f>IF((phi!D104),VLOOKUP(D$1,main!$A$3:$I$56,5,FALSE)-VLOOKUP($A159,main!$A$3:$I$56,6,FALSE)+main!$D$58,0)</f>
        <v>0</v>
      </c>
      <c r="E159">
        <f>IF((phi!E104),VLOOKUP(E$1,main!$A$3:$I$56,5,FALSE)-VLOOKUP($A159,main!$A$3:$I$56,6,FALSE)+main!$D$58,0)</f>
        <v>0</v>
      </c>
      <c r="F159">
        <f>IF((phi!F104),VLOOKUP(F$1,main!$A$3:$I$56,5,FALSE)-VLOOKUP($A159,main!$A$3:$I$56,6,FALSE)+main!$D$58,0)</f>
        <v>0</v>
      </c>
      <c r="G159">
        <f>IF((phi!G104),VLOOKUP(G$1,main!$A$3:$I$56,5,FALSE)-VLOOKUP($A159,main!$A$3:$I$56,6,FALSE)+main!$D$58,0)</f>
        <v>0</v>
      </c>
      <c r="H159">
        <f>IF((phi!H104),VLOOKUP(H$1,main!$A$3:$I$56,5,FALSE)-VLOOKUP($A159,main!$A$3:$I$56,6,FALSE)+main!$D$58,0)</f>
        <v>150</v>
      </c>
      <c r="I159">
        <f>IF((phi!I104),VLOOKUP(I$1,main!$A$3:$I$56,5,FALSE)-VLOOKUP($A159,main!$A$3:$I$56,6,FALSE)+main!$D$58,0)</f>
        <v>210</v>
      </c>
      <c r="J159">
        <f>IF((phi!J104),VLOOKUP(J$1,main!$A$3:$I$56,5,FALSE)-VLOOKUP($A159,main!$A$3:$I$56,6,FALSE)+main!$D$58,0)</f>
        <v>300</v>
      </c>
      <c r="K159">
        <f>IF((phi!K104),VLOOKUP(K$1,main!$A$3:$I$56,5,FALSE)-VLOOKUP($A159,main!$A$3:$I$56,6,FALSE)+main!$D$58,0)</f>
        <v>0</v>
      </c>
      <c r="L159">
        <f>IF((phi!L104),VLOOKUP(L$1,main!$A$3:$I$56,5,FALSE)-VLOOKUP($A159,main!$A$3:$I$56,6,FALSE)+main!$D$58,0)</f>
        <v>0</v>
      </c>
      <c r="M159">
        <f>IF((phi!M104),VLOOKUP(M$1,main!$A$3:$I$56,5,FALSE)-VLOOKUP($A159,main!$A$3:$I$56,6,FALSE)+main!$D$58,0)</f>
        <v>0</v>
      </c>
      <c r="N159">
        <f>IF((phi!N104),VLOOKUP(N$1,main!$A$3:$I$56,5,FALSE)-VLOOKUP($A159,main!$A$3:$I$56,6,FALSE)+main!$D$58,0)</f>
        <v>265</v>
      </c>
      <c r="O159">
        <f>IF((phi!O104),VLOOKUP(O$1,main!$A$3:$I$56,5,FALSE)-VLOOKUP($A159,main!$A$3:$I$56,6,FALSE)+main!$D$58,0)</f>
        <v>325</v>
      </c>
      <c r="P159">
        <f>IF((phi!P104),VLOOKUP(P$1,main!$A$3:$I$56,5,FALSE)-VLOOKUP($A159,main!$A$3:$I$56,6,FALSE)+main!$D$58,0)</f>
        <v>0</v>
      </c>
      <c r="Q159">
        <f>IF((phi!Q104),VLOOKUP(Q$1,main!$A$3:$I$56,5,FALSE)-VLOOKUP($A159,main!$A$3:$I$56,6,FALSE)+main!$D$58,0)</f>
        <v>0</v>
      </c>
      <c r="R159">
        <f>IF((phi!R104),VLOOKUP(R$1,main!$A$3:$I$56,5,FALSE)-VLOOKUP($A159,main!$A$3:$I$56,6,FALSE)+main!$D$58,0)</f>
        <v>0</v>
      </c>
      <c r="S159">
        <f>IF((phi!S104),VLOOKUP(S$1,main!$A$3:$I$56,5,FALSE)-VLOOKUP($A159,main!$A$3:$I$56,6,FALSE)+main!$D$58,0)</f>
        <v>0</v>
      </c>
      <c r="T159">
        <f>IF((phi!T104),VLOOKUP(T$1,main!$A$3:$I$56,5,FALSE)-VLOOKUP($A159,main!$A$3:$I$56,6,FALSE)+main!$D$58,0)</f>
        <v>230</v>
      </c>
      <c r="U159">
        <f>IF((phi!U104),VLOOKUP(U$1,main!$A$3:$I$56,5,FALSE)-VLOOKUP($A159,main!$A$3:$I$56,6,FALSE)+main!$D$58,0)</f>
        <v>0</v>
      </c>
      <c r="V159">
        <f>IF((phi!V104),VLOOKUP(V$1,main!$A$3:$I$56,5,FALSE)-VLOOKUP($A159,main!$A$3:$I$56,6,FALSE)+main!$D$58,0)</f>
        <v>0</v>
      </c>
      <c r="W159">
        <f>IF((phi!W104),VLOOKUP(W$1,main!$A$3:$I$56,5,FALSE)-VLOOKUP($A159,main!$A$3:$I$56,6,FALSE)+main!$D$58,0)</f>
        <v>0</v>
      </c>
      <c r="X159">
        <f>IF((phi!X104),VLOOKUP(X$1,main!$A$3:$I$56,5,FALSE)-VLOOKUP($A159,main!$A$3:$I$56,6,FALSE)+main!$D$58,0)</f>
        <v>0</v>
      </c>
      <c r="Y159">
        <f>IF((phi!Y104),VLOOKUP(Y$1,main!$A$3:$I$56,5,FALSE)-VLOOKUP($A159,main!$A$3:$I$56,6,FALSE)+main!$D$58,0)</f>
        <v>0</v>
      </c>
      <c r="Z159">
        <f>IF((phi!Z104),VLOOKUP(Z$1,main!$A$3:$I$56,5,FALSE)-VLOOKUP($A159,main!$A$3:$I$56,6,FALSE)+main!$D$58,0)</f>
        <v>0</v>
      </c>
      <c r="AA159">
        <f>IF((phi!AA104),VLOOKUP(AA$1,main!$A$3:$I$56,5,FALSE)-VLOOKUP($A159,main!$A$3:$I$56,6,FALSE)+main!$D$58,0)</f>
        <v>0</v>
      </c>
      <c r="AB159">
        <f>IF((phi!AB104),VLOOKUP(AB$1,main!$A$3:$I$56,5,FALSE)-VLOOKUP($A159,main!$A$3:$I$56,6,FALSE)+main!$D$58,0)</f>
        <v>250</v>
      </c>
      <c r="AC159">
        <f>IF((phi!AC104),VLOOKUP(AC$1,main!$A$3:$I$56,5,FALSE)-VLOOKUP($A159,main!$A$3:$I$56,6,FALSE)+main!$D$58,0)</f>
        <v>0</v>
      </c>
      <c r="AD159">
        <f>IF((phi!AD104),VLOOKUP(AD$1,main!$A$3:$I$56,5,FALSE)-VLOOKUP($A159,main!$A$3:$I$56,6,FALSE)+main!$D$58,0)</f>
        <v>0</v>
      </c>
      <c r="AE159">
        <f>IF((phi!AE104),VLOOKUP(AE$1,main!$A$3:$I$56,5,FALSE)-VLOOKUP($A159,main!$A$3:$I$56,6,FALSE)+main!$D$58,0)</f>
        <v>0</v>
      </c>
      <c r="AF159">
        <f>IF((phi!AF104),VLOOKUP(AF$1,main!$A$3:$I$56,5,FALSE)-VLOOKUP($A159,main!$A$3:$I$56,6,FALSE)+main!$D$58,0)</f>
        <v>0</v>
      </c>
      <c r="AG159">
        <f>IF((phi!AG104),VLOOKUP(AG$1,main!$A$3:$I$56,5,FALSE)-VLOOKUP($A159,main!$A$3:$I$56,6,FALSE)+main!$D$58,0)</f>
        <v>0</v>
      </c>
      <c r="AH159">
        <f>IF((phi!AH104),VLOOKUP(AH$1,main!$A$3:$I$56,5,FALSE)-VLOOKUP($A159,main!$A$3:$I$56,6,FALSE)+main!$D$58,0)</f>
        <v>0</v>
      </c>
      <c r="AI159">
        <f>IF((phi!AI104),VLOOKUP(AI$1,main!$A$3:$I$56,5,FALSE)-VLOOKUP($A159,main!$A$3:$I$56,6,FALSE)+main!$D$58,0)</f>
        <v>0</v>
      </c>
      <c r="AJ159">
        <f>IF((phi!AJ104),VLOOKUP(AJ$1,main!$A$3:$I$56,5,FALSE)-VLOOKUP($A159,main!$A$3:$I$56,6,FALSE)+main!$D$58,0)</f>
        <v>0</v>
      </c>
      <c r="AK159">
        <f>IF((phi!AK104),VLOOKUP(AK$1,main!$A$3:$I$56,5,FALSE)-VLOOKUP($A159,main!$A$3:$I$56,6,FALSE)+main!$D$58,0)</f>
        <v>0</v>
      </c>
      <c r="AL159">
        <f>IF((phi!AL104),VLOOKUP(AL$1,main!$A$3:$I$56,5,FALSE)-VLOOKUP($A159,main!$A$3:$I$56,6,FALSE)+main!$D$58,0)</f>
        <v>0</v>
      </c>
      <c r="AM159">
        <f>IF((phi!AM104),VLOOKUP(AM$1,main!$A$3:$I$56,5,FALSE)-VLOOKUP($A159,main!$A$3:$I$56,6,FALSE)+main!$D$58,0)</f>
        <v>0</v>
      </c>
      <c r="AN159">
        <f>IF((phi!AN104),VLOOKUP(AN$1,main!$A$3:$I$56,5,FALSE)-VLOOKUP($A159,main!$A$3:$I$56,6,FALSE)+main!$D$58,0)</f>
        <v>0</v>
      </c>
      <c r="AO159">
        <f>IF((phi!AO104),VLOOKUP(AO$1,main!$A$3:$I$56,5,FALSE)-VLOOKUP($A159,main!$A$3:$I$56,6,FALSE)+main!$D$58,0)</f>
        <v>0</v>
      </c>
      <c r="AP159">
        <f>IF((phi!AP104),VLOOKUP(AP$1,main!$A$3:$I$56,5,FALSE)-VLOOKUP($A159,main!$A$3:$I$56,6,FALSE)+main!$D$58,0)</f>
        <v>0</v>
      </c>
      <c r="AQ159">
        <f>IF((phi!AQ104),VLOOKUP(AQ$1,main!$A$3:$I$56,5,FALSE)-VLOOKUP($A159,main!$A$3:$I$56,6,FALSE)+main!$D$58,0)</f>
        <v>0</v>
      </c>
      <c r="AR159">
        <f>IF((phi!AR104),VLOOKUP(AR$1,main!$A$3:$I$56,5,FALSE)-VLOOKUP($A159,main!$A$3:$I$56,6,FALSE)+main!$D$58,0)</f>
        <v>0</v>
      </c>
      <c r="AS159">
        <f>IF((phi!AS104),VLOOKUP(AS$1,main!$A$3:$I$56,5,FALSE)-VLOOKUP($A159,main!$A$3:$I$56,6,FALSE)+main!$D$58,0)</f>
        <v>0</v>
      </c>
      <c r="AT159">
        <f>IF((phi!AT104),VLOOKUP(AT$1,main!$A$3:$I$56,5,FALSE)-VLOOKUP($A159,main!$A$3:$I$56,6,FALSE)+main!$D$58,0)</f>
        <v>0</v>
      </c>
      <c r="AU159">
        <f>IF((phi!AU104),VLOOKUP(AU$1,main!$A$3:$I$56,5,FALSE)-VLOOKUP($A159,main!$A$3:$I$56,6,FALSE)+main!$D$58,0)</f>
        <v>0</v>
      </c>
      <c r="AV159">
        <f>IF((phi!AV104),VLOOKUP(AV$1,main!$A$3:$I$56,5,FALSE)-VLOOKUP($A159,main!$A$3:$I$56,6,FALSE)+main!$D$58,0)</f>
        <v>0</v>
      </c>
      <c r="AW159">
        <f>IF((phi!AW104),VLOOKUP(AW$1,main!$A$3:$I$56,5,FALSE)-VLOOKUP($A159,main!$A$3:$I$56,6,FALSE)+main!$D$58,0)</f>
        <v>0</v>
      </c>
      <c r="AX159">
        <f>IF((phi!AX104),VLOOKUP(AX$1,main!$A$3:$I$56,5,FALSE)-VLOOKUP($A159,main!$A$3:$I$56,6,FALSE)+main!$D$58,0)</f>
        <v>0</v>
      </c>
      <c r="AY159">
        <f>IF((phi!AY104),VLOOKUP(AY$1,main!$A$3:$I$56,5,FALSE)-VLOOKUP($A159,main!$A$3:$I$56,6,FALSE)+main!$D$58,0)</f>
        <v>0</v>
      </c>
      <c r="AZ159">
        <f>IF((phi!AZ104),VLOOKUP(AZ$1,main!$A$3:$I$56,5,FALSE)-VLOOKUP($A159,main!$A$3:$I$56,6,FALSE)+main!$D$58,0)</f>
        <v>0</v>
      </c>
      <c r="BA159">
        <f>IF((phi!BA104),VLOOKUP(BA$1,main!$A$3:$I$56,5,FALSE)-VLOOKUP($A159,main!$A$3:$I$56,6,FALSE)+main!$D$58,0)</f>
        <v>0</v>
      </c>
      <c r="BB159">
        <f>IF((phi!BB104),VLOOKUP(BB$1,main!$A$3:$I$56,5,FALSE)-VLOOKUP($A159,main!$A$3:$I$56,6,FALSE)+main!$D$58,0)</f>
        <v>0</v>
      </c>
      <c r="BC159">
        <f>IF((phi!BC104),VLOOKUP(BC$1,main!$A$3:$I$56,5,FALSE)-VLOOKUP($A159,main!$A$3:$I$56,6,FALSE)+main!$D$58,0)</f>
        <v>0</v>
      </c>
      <c r="BD159">
        <f>IF((phi!BD104),VLOOKUP(BD$1,main!$A$3:$I$56,5,FALSE)-VLOOKUP($A159,main!$A$3:$I$56,6,FALSE)+main!$D$58,0)</f>
        <v>0</v>
      </c>
    </row>
    <row r="160" spans="1:56" x14ac:dyDescent="0.25">
      <c r="A160">
        <f t="shared" si="4"/>
        <v>48</v>
      </c>
      <c r="B160">
        <v>0</v>
      </c>
      <c r="C160">
        <f>IF((phi!C105),VLOOKUP(C$1,main!$A$3:$I$56,5,FALSE)-VLOOKUP($A160,main!$A$3:$I$56,6,FALSE)+main!$D$58,0)</f>
        <v>0</v>
      </c>
      <c r="D160">
        <f>IF((phi!D105),VLOOKUP(D$1,main!$A$3:$I$56,5,FALSE)-VLOOKUP($A160,main!$A$3:$I$56,6,FALSE)+main!$D$58,0)</f>
        <v>0</v>
      </c>
      <c r="E160">
        <f>IF((phi!E105),VLOOKUP(E$1,main!$A$3:$I$56,5,FALSE)-VLOOKUP($A160,main!$A$3:$I$56,6,FALSE)+main!$D$58,0)</f>
        <v>0</v>
      </c>
      <c r="F160">
        <f>IF((phi!F105),VLOOKUP(F$1,main!$A$3:$I$56,5,FALSE)-VLOOKUP($A160,main!$A$3:$I$56,6,FALSE)+main!$D$58,0)</f>
        <v>0</v>
      </c>
      <c r="G160">
        <f>IF((phi!G105),VLOOKUP(G$1,main!$A$3:$I$56,5,FALSE)-VLOOKUP($A160,main!$A$3:$I$56,6,FALSE)+main!$D$58,0)</f>
        <v>0</v>
      </c>
      <c r="H160">
        <f>IF((phi!H105),VLOOKUP(H$1,main!$A$3:$I$56,5,FALSE)-VLOOKUP($A160,main!$A$3:$I$56,6,FALSE)+main!$D$58,0)</f>
        <v>0</v>
      </c>
      <c r="I160">
        <f>IF((phi!I105),VLOOKUP(I$1,main!$A$3:$I$56,5,FALSE)-VLOOKUP($A160,main!$A$3:$I$56,6,FALSE)+main!$D$58,0)</f>
        <v>0</v>
      </c>
      <c r="J160">
        <f>IF((phi!J105),VLOOKUP(J$1,main!$A$3:$I$56,5,FALSE)-VLOOKUP($A160,main!$A$3:$I$56,6,FALSE)+main!$D$58,0)</f>
        <v>0</v>
      </c>
      <c r="K160">
        <f>IF((phi!K105),VLOOKUP(K$1,main!$A$3:$I$56,5,FALSE)-VLOOKUP($A160,main!$A$3:$I$56,6,FALSE)+main!$D$58,0)</f>
        <v>0</v>
      </c>
      <c r="L160">
        <f>IF((phi!L105),VLOOKUP(L$1,main!$A$3:$I$56,5,FALSE)-VLOOKUP($A160,main!$A$3:$I$56,6,FALSE)+main!$D$58,0)</f>
        <v>0</v>
      </c>
      <c r="M160">
        <f>IF((phi!M105),VLOOKUP(M$1,main!$A$3:$I$56,5,FALSE)-VLOOKUP($A160,main!$A$3:$I$56,6,FALSE)+main!$D$58,0)</f>
        <v>0</v>
      </c>
      <c r="N160">
        <f>IF((phi!N105),VLOOKUP(N$1,main!$A$3:$I$56,5,FALSE)-VLOOKUP($A160,main!$A$3:$I$56,6,FALSE)+main!$D$58,0)</f>
        <v>0</v>
      </c>
      <c r="O160">
        <f>IF((phi!O105),VLOOKUP(O$1,main!$A$3:$I$56,5,FALSE)-VLOOKUP($A160,main!$A$3:$I$56,6,FALSE)+main!$D$58,0)</f>
        <v>125</v>
      </c>
      <c r="P160">
        <f>IF((phi!P105),VLOOKUP(P$1,main!$A$3:$I$56,5,FALSE)-VLOOKUP($A160,main!$A$3:$I$56,6,FALSE)+main!$D$58,0)</f>
        <v>0</v>
      </c>
      <c r="Q160">
        <f>IF((phi!Q105),VLOOKUP(Q$1,main!$A$3:$I$56,5,FALSE)-VLOOKUP($A160,main!$A$3:$I$56,6,FALSE)+main!$D$58,0)</f>
        <v>0</v>
      </c>
      <c r="R160">
        <f>IF((phi!R105),VLOOKUP(R$1,main!$A$3:$I$56,5,FALSE)-VLOOKUP($A160,main!$A$3:$I$56,6,FALSE)+main!$D$58,0)</f>
        <v>0</v>
      </c>
      <c r="S160">
        <f>IF((phi!S105),VLOOKUP(S$1,main!$A$3:$I$56,5,FALSE)-VLOOKUP($A160,main!$A$3:$I$56,6,FALSE)+main!$D$58,0)</f>
        <v>0</v>
      </c>
      <c r="T160">
        <f>IF((phi!T105),VLOOKUP(T$1,main!$A$3:$I$56,5,FALSE)-VLOOKUP($A160,main!$A$3:$I$56,6,FALSE)+main!$D$58,0)</f>
        <v>0</v>
      </c>
      <c r="U160">
        <f>IF((phi!U105),VLOOKUP(U$1,main!$A$3:$I$56,5,FALSE)-VLOOKUP($A160,main!$A$3:$I$56,6,FALSE)+main!$D$58,0)</f>
        <v>0</v>
      </c>
      <c r="V160">
        <f>IF((phi!V105),VLOOKUP(V$1,main!$A$3:$I$56,5,FALSE)-VLOOKUP($A160,main!$A$3:$I$56,6,FALSE)+main!$D$58,0)</f>
        <v>0</v>
      </c>
      <c r="W160">
        <f>IF((phi!W105),VLOOKUP(W$1,main!$A$3:$I$56,5,FALSE)-VLOOKUP($A160,main!$A$3:$I$56,6,FALSE)+main!$D$58,0)</f>
        <v>0</v>
      </c>
      <c r="X160">
        <f>IF((phi!X105),VLOOKUP(X$1,main!$A$3:$I$56,5,FALSE)-VLOOKUP($A160,main!$A$3:$I$56,6,FALSE)+main!$D$58,0)</f>
        <v>0</v>
      </c>
      <c r="Y160">
        <f>IF((phi!Y105),VLOOKUP(Y$1,main!$A$3:$I$56,5,FALSE)-VLOOKUP($A160,main!$A$3:$I$56,6,FALSE)+main!$D$58,0)</f>
        <v>0</v>
      </c>
      <c r="Z160">
        <f>IF((phi!Z105),VLOOKUP(Z$1,main!$A$3:$I$56,5,FALSE)-VLOOKUP($A160,main!$A$3:$I$56,6,FALSE)+main!$D$58,0)</f>
        <v>0</v>
      </c>
      <c r="AA160">
        <f>IF((phi!AA105),VLOOKUP(AA$1,main!$A$3:$I$56,5,FALSE)-VLOOKUP($A160,main!$A$3:$I$56,6,FALSE)+main!$D$58,0)</f>
        <v>0</v>
      </c>
      <c r="AB160">
        <f>IF((phi!AB105),VLOOKUP(AB$1,main!$A$3:$I$56,5,FALSE)-VLOOKUP($A160,main!$A$3:$I$56,6,FALSE)+main!$D$58,0)</f>
        <v>0</v>
      </c>
      <c r="AC160">
        <f>IF((phi!AC105),VLOOKUP(AC$1,main!$A$3:$I$56,5,FALSE)-VLOOKUP($A160,main!$A$3:$I$56,6,FALSE)+main!$D$58,0)</f>
        <v>0</v>
      </c>
      <c r="AD160">
        <f>IF((phi!AD105),VLOOKUP(AD$1,main!$A$3:$I$56,5,FALSE)-VLOOKUP($A160,main!$A$3:$I$56,6,FALSE)+main!$D$58,0)</f>
        <v>0</v>
      </c>
      <c r="AE160">
        <f>IF((phi!AE105),VLOOKUP(AE$1,main!$A$3:$I$56,5,FALSE)-VLOOKUP($A160,main!$A$3:$I$56,6,FALSE)+main!$D$58,0)</f>
        <v>0</v>
      </c>
      <c r="AF160">
        <f>IF((phi!AF105),VLOOKUP(AF$1,main!$A$3:$I$56,5,FALSE)-VLOOKUP($A160,main!$A$3:$I$56,6,FALSE)+main!$D$58,0)</f>
        <v>0</v>
      </c>
      <c r="AG160">
        <f>IF((phi!AG105),VLOOKUP(AG$1,main!$A$3:$I$56,5,FALSE)-VLOOKUP($A160,main!$A$3:$I$56,6,FALSE)+main!$D$58,0)</f>
        <v>0</v>
      </c>
      <c r="AH160">
        <f>IF((phi!AH105),VLOOKUP(AH$1,main!$A$3:$I$56,5,FALSE)-VLOOKUP($A160,main!$A$3:$I$56,6,FALSE)+main!$D$58,0)</f>
        <v>0</v>
      </c>
      <c r="AI160">
        <f>IF((phi!AI105),VLOOKUP(AI$1,main!$A$3:$I$56,5,FALSE)-VLOOKUP($A160,main!$A$3:$I$56,6,FALSE)+main!$D$58,0)</f>
        <v>0</v>
      </c>
      <c r="AJ160">
        <f>IF((phi!AJ105),VLOOKUP(AJ$1,main!$A$3:$I$56,5,FALSE)-VLOOKUP($A160,main!$A$3:$I$56,6,FALSE)+main!$D$58,0)</f>
        <v>0</v>
      </c>
      <c r="AK160">
        <f>IF((phi!AK105),VLOOKUP(AK$1,main!$A$3:$I$56,5,FALSE)-VLOOKUP($A160,main!$A$3:$I$56,6,FALSE)+main!$D$58,0)</f>
        <v>0</v>
      </c>
      <c r="AL160">
        <f>IF((phi!AL105),VLOOKUP(AL$1,main!$A$3:$I$56,5,FALSE)-VLOOKUP($A160,main!$A$3:$I$56,6,FALSE)+main!$D$58,0)</f>
        <v>0</v>
      </c>
      <c r="AM160">
        <f>IF((phi!AM105),VLOOKUP(AM$1,main!$A$3:$I$56,5,FALSE)-VLOOKUP($A160,main!$A$3:$I$56,6,FALSE)+main!$D$58,0)</f>
        <v>0</v>
      </c>
      <c r="AN160">
        <f>IF((phi!AN105),VLOOKUP(AN$1,main!$A$3:$I$56,5,FALSE)-VLOOKUP($A160,main!$A$3:$I$56,6,FALSE)+main!$D$58,0)</f>
        <v>0</v>
      </c>
      <c r="AO160">
        <f>IF((phi!AO105),VLOOKUP(AO$1,main!$A$3:$I$56,5,FALSE)-VLOOKUP($A160,main!$A$3:$I$56,6,FALSE)+main!$D$58,0)</f>
        <v>0</v>
      </c>
      <c r="AP160">
        <f>IF((phi!AP105),VLOOKUP(AP$1,main!$A$3:$I$56,5,FALSE)-VLOOKUP($A160,main!$A$3:$I$56,6,FALSE)+main!$D$58,0)</f>
        <v>0</v>
      </c>
      <c r="AQ160">
        <f>IF((phi!AQ105),VLOOKUP(AQ$1,main!$A$3:$I$56,5,FALSE)-VLOOKUP($A160,main!$A$3:$I$56,6,FALSE)+main!$D$58,0)</f>
        <v>0</v>
      </c>
      <c r="AR160">
        <f>IF((phi!AR105),VLOOKUP(AR$1,main!$A$3:$I$56,5,FALSE)-VLOOKUP($A160,main!$A$3:$I$56,6,FALSE)+main!$D$58,0)</f>
        <v>0</v>
      </c>
      <c r="AS160">
        <f>IF((phi!AS105),VLOOKUP(AS$1,main!$A$3:$I$56,5,FALSE)-VLOOKUP($A160,main!$A$3:$I$56,6,FALSE)+main!$D$58,0)</f>
        <v>0</v>
      </c>
      <c r="AT160">
        <f>IF((phi!AT105),VLOOKUP(AT$1,main!$A$3:$I$56,5,FALSE)-VLOOKUP($A160,main!$A$3:$I$56,6,FALSE)+main!$D$58,0)</f>
        <v>0</v>
      </c>
      <c r="AU160">
        <f>IF((phi!AU105),VLOOKUP(AU$1,main!$A$3:$I$56,5,FALSE)-VLOOKUP($A160,main!$A$3:$I$56,6,FALSE)+main!$D$58,0)</f>
        <v>0</v>
      </c>
      <c r="AV160">
        <f>IF((phi!AV105),VLOOKUP(AV$1,main!$A$3:$I$56,5,FALSE)-VLOOKUP($A160,main!$A$3:$I$56,6,FALSE)+main!$D$58,0)</f>
        <v>0</v>
      </c>
      <c r="AW160">
        <f>IF((phi!AW105),VLOOKUP(AW$1,main!$A$3:$I$56,5,FALSE)-VLOOKUP($A160,main!$A$3:$I$56,6,FALSE)+main!$D$58,0)</f>
        <v>0</v>
      </c>
      <c r="AX160">
        <f>IF((phi!AX105),VLOOKUP(AX$1,main!$A$3:$I$56,5,FALSE)-VLOOKUP($A160,main!$A$3:$I$56,6,FALSE)+main!$D$58,0)</f>
        <v>0</v>
      </c>
      <c r="AY160">
        <f>IF((phi!AY105),VLOOKUP(AY$1,main!$A$3:$I$56,5,FALSE)-VLOOKUP($A160,main!$A$3:$I$56,6,FALSE)+main!$D$58,0)</f>
        <v>0</v>
      </c>
      <c r="AZ160">
        <f>IF((phi!AZ105),VLOOKUP(AZ$1,main!$A$3:$I$56,5,FALSE)-VLOOKUP($A160,main!$A$3:$I$56,6,FALSE)+main!$D$58,0)</f>
        <v>0</v>
      </c>
      <c r="BA160">
        <f>IF((phi!BA105),VLOOKUP(BA$1,main!$A$3:$I$56,5,FALSE)-VLOOKUP($A160,main!$A$3:$I$56,6,FALSE)+main!$D$58,0)</f>
        <v>0</v>
      </c>
      <c r="BB160">
        <f>IF((phi!BB105),VLOOKUP(BB$1,main!$A$3:$I$56,5,FALSE)-VLOOKUP($A160,main!$A$3:$I$56,6,FALSE)+main!$D$58,0)</f>
        <v>0</v>
      </c>
      <c r="BC160">
        <f>IF((phi!BC105),VLOOKUP(BC$1,main!$A$3:$I$56,5,FALSE)-VLOOKUP($A160,main!$A$3:$I$56,6,FALSE)+main!$D$58,0)</f>
        <v>0</v>
      </c>
      <c r="BD160">
        <f>IF((phi!BD105),VLOOKUP(BD$1,main!$A$3:$I$56,5,FALSE)-VLOOKUP($A160,main!$A$3:$I$56,6,FALSE)+main!$D$58,0)</f>
        <v>0</v>
      </c>
    </row>
    <row r="161" spans="1:56" x14ac:dyDescent="0.25">
      <c r="A161">
        <f t="shared" si="4"/>
        <v>49</v>
      </c>
      <c r="B161">
        <v>0</v>
      </c>
      <c r="C161">
        <f>IF((phi!C106),VLOOKUP(C$1,main!$A$3:$I$56,5,FALSE)-VLOOKUP($A161,main!$A$3:$I$56,6,FALSE)+main!$D$58,0)</f>
        <v>0</v>
      </c>
      <c r="D161">
        <f>IF((phi!D106),VLOOKUP(D$1,main!$A$3:$I$56,5,FALSE)-VLOOKUP($A161,main!$A$3:$I$56,6,FALSE)+main!$D$58,0)</f>
        <v>0</v>
      </c>
      <c r="E161">
        <f>IF((phi!E106),VLOOKUP(E$1,main!$A$3:$I$56,5,FALSE)-VLOOKUP($A161,main!$A$3:$I$56,6,FALSE)+main!$D$58,0)</f>
        <v>0</v>
      </c>
      <c r="F161">
        <f>IF((phi!F106),VLOOKUP(F$1,main!$A$3:$I$56,5,FALSE)-VLOOKUP($A161,main!$A$3:$I$56,6,FALSE)+main!$D$58,0)</f>
        <v>0</v>
      </c>
      <c r="G161">
        <f>IF((phi!G106),VLOOKUP(G$1,main!$A$3:$I$56,5,FALSE)-VLOOKUP($A161,main!$A$3:$I$56,6,FALSE)+main!$D$58,0)</f>
        <v>0</v>
      </c>
      <c r="H161">
        <f>IF((phi!H106),VLOOKUP(H$1,main!$A$3:$I$56,5,FALSE)-VLOOKUP($A161,main!$A$3:$I$56,6,FALSE)+main!$D$58,0)</f>
        <v>0</v>
      </c>
      <c r="I161">
        <f>IF((phi!I106),VLOOKUP(I$1,main!$A$3:$I$56,5,FALSE)-VLOOKUP($A161,main!$A$3:$I$56,6,FALSE)+main!$D$58,0)</f>
        <v>0</v>
      </c>
      <c r="J161">
        <f>IF((phi!J106),VLOOKUP(J$1,main!$A$3:$I$56,5,FALSE)-VLOOKUP($A161,main!$A$3:$I$56,6,FALSE)+main!$D$58,0)</f>
        <v>0</v>
      </c>
      <c r="K161">
        <f>IF((phi!K106),VLOOKUP(K$1,main!$A$3:$I$56,5,FALSE)-VLOOKUP($A161,main!$A$3:$I$56,6,FALSE)+main!$D$58,0)</f>
        <v>0</v>
      </c>
      <c r="L161">
        <f>IF((phi!L106),VLOOKUP(L$1,main!$A$3:$I$56,5,FALSE)-VLOOKUP($A161,main!$A$3:$I$56,6,FALSE)+main!$D$58,0)</f>
        <v>0</v>
      </c>
      <c r="M161">
        <f>IF((phi!M106),VLOOKUP(M$1,main!$A$3:$I$56,5,FALSE)-VLOOKUP($A161,main!$A$3:$I$56,6,FALSE)+main!$D$58,0)</f>
        <v>0</v>
      </c>
      <c r="N161">
        <f>IF((phi!N106),VLOOKUP(N$1,main!$A$3:$I$56,5,FALSE)-VLOOKUP($A161,main!$A$3:$I$56,6,FALSE)+main!$D$58,0)</f>
        <v>0</v>
      </c>
      <c r="O161">
        <f>IF((phi!O106),VLOOKUP(O$1,main!$A$3:$I$56,5,FALSE)-VLOOKUP($A161,main!$A$3:$I$56,6,FALSE)+main!$D$58,0)</f>
        <v>0</v>
      </c>
      <c r="P161">
        <f>IF((phi!P106),VLOOKUP(P$1,main!$A$3:$I$56,5,FALSE)-VLOOKUP($A161,main!$A$3:$I$56,6,FALSE)+main!$D$58,0)</f>
        <v>0</v>
      </c>
      <c r="Q161">
        <f>IF((phi!Q106),VLOOKUP(Q$1,main!$A$3:$I$56,5,FALSE)-VLOOKUP($A161,main!$A$3:$I$56,6,FALSE)+main!$D$58,0)</f>
        <v>0</v>
      </c>
      <c r="R161">
        <f>IF((phi!R106),VLOOKUP(R$1,main!$A$3:$I$56,5,FALSE)-VLOOKUP($A161,main!$A$3:$I$56,6,FALSE)+main!$D$58,0)</f>
        <v>0</v>
      </c>
      <c r="S161">
        <f>IF((phi!S106),VLOOKUP(S$1,main!$A$3:$I$56,5,FALSE)-VLOOKUP($A161,main!$A$3:$I$56,6,FALSE)+main!$D$58,0)</f>
        <v>0</v>
      </c>
      <c r="T161">
        <f>IF((phi!T106),VLOOKUP(T$1,main!$A$3:$I$56,5,FALSE)-VLOOKUP($A161,main!$A$3:$I$56,6,FALSE)+main!$D$58,0)</f>
        <v>0</v>
      </c>
      <c r="U161">
        <f>IF((phi!U106),VLOOKUP(U$1,main!$A$3:$I$56,5,FALSE)-VLOOKUP($A161,main!$A$3:$I$56,6,FALSE)+main!$D$58,0)</f>
        <v>0</v>
      </c>
      <c r="V161">
        <f>IF((phi!V106),VLOOKUP(V$1,main!$A$3:$I$56,5,FALSE)-VLOOKUP($A161,main!$A$3:$I$56,6,FALSE)+main!$D$58,0)</f>
        <v>0</v>
      </c>
      <c r="W161">
        <f>IF((phi!W106),VLOOKUP(W$1,main!$A$3:$I$56,5,FALSE)-VLOOKUP($A161,main!$A$3:$I$56,6,FALSE)+main!$D$58,0)</f>
        <v>0</v>
      </c>
      <c r="X161">
        <f>IF((phi!X106),VLOOKUP(X$1,main!$A$3:$I$56,5,FALSE)-VLOOKUP($A161,main!$A$3:$I$56,6,FALSE)+main!$D$58,0)</f>
        <v>0</v>
      </c>
      <c r="Y161">
        <f>IF((phi!Y106),VLOOKUP(Y$1,main!$A$3:$I$56,5,FALSE)-VLOOKUP($A161,main!$A$3:$I$56,6,FALSE)+main!$D$58,0)</f>
        <v>0</v>
      </c>
      <c r="Z161">
        <f>IF((phi!Z106),VLOOKUP(Z$1,main!$A$3:$I$56,5,FALSE)-VLOOKUP($A161,main!$A$3:$I$56,6,FALSE)+main!$D$58,0)</f>
        <v>0</v>
      </c>
      <c r="AA161">
        <f>IF((phi!AA106),VLOOKUP(AA$1,main!$A$3:$I$56,5,FALSE)-VLOOKUP($A161,main!$A$3:$I$56,6,FALSE)+main!$D$58,0)</f>
        <v>0</v>
      </c>
      <c r="AB161">
        <f>IF((phi!AB106),VLOOKUP(AB$1,main!$A$3:$I$56,5,FALSE)-VLOOKUP($A161,main!$A$3:$I$56,6,FALSE)+main!$D$58,0)</f>
        <v>0</v>
      </c>
      <c r="AC161">
        <f>IF((phi!AC106),VLOOKUP(AC$1,main!$A$3:$I$56,5,FALSE)-VLOOKUP($A161,main!$A$3:$I$56,6,FALSE)+main!$D$58,0)</f>
        <v>0</v>
      </c>
      <c r="AD161">
        <f>IF((phi!AD106),VLOOKUP(AD$1,main!$A$3:$I$56,5,FALSE)-VLOOKUP($A161,main!$A$3:$I$56,6,FALSE)+main!$D$58,0)</f>
        <v>0</v>
      </c>
      <c r="AE161">
        <f>IF((phi!AE106),VLOOKUP(AE$1,main!$A$3:$I$56,5,FALSE)-VLOOKUP($A161,main!$A$3:$I$56,6,FALSE)+main!$D$58,0)</f>
        <v>0</v>
      </c>
      <c r="AF161">
        <f>IF((phi!AF106),VLOOKUP(AF$1,main!$A$3:$I$56,5,FALSE)-VLOOKUP($A161,main!$A$3:$I$56,6,FALSE)+main!$D$58,0)</f>
        <v>0</v>
      </c>
      <c r="AG161">
        <f>IF((phi!AG106),VLOOKUP(AG$1,main!$A$3:$I$56,5,FALSE)-VLOOKUP($A161,main!$A$3:$I$56,6,FALSE)+main!$D$58,0)</f>
        <v>0</v>
      </c>
      <c r="AH161">
        <f>IF((phi!AH106),VLOOKUP(AH$1,main!$A$3:$I$56,5,FALSE)-VLOOKUP($A161,main!$A$3:$I$56,6,FALSE)+main!$D$58,0)</f>
        <v>0</v>
      </c>
      <c r="AI161">
        <f>IF((phi!AI106),VLOOKUP(AI$1,main!$A$3:$I$56,5,FALSE)-VLOOKUP($A161,main!$A$3:$I$56,6,FALSE)+main!$D$58,0)</f>
        <v>0</v>
      </c>
      <c r="AJ161">
        <f>IF((phi!AJ106),VLOOKUP(AJ$1,main!$A$3:$I$56,5,FALSE)-VLOOKUP($A161,main!$A$3:$I$56,6,FALSE)+main!$D$58,0)</f>
        <v>0</v>
      </c>
      <c r="AK161">
        <f>IF((phi!AK106),VLOOKUP(AK$1,main!$A$3:$I$56,5,FALSE)-VLOOKUP($A161,main!$A$3:$I$56,6,FALSE)+main!$D$58,0)</f>
        <v>0</v>
      </c>
      <c r="AL161">
        <f>IF((phi!AL106),VLOOKUP(AL$1,main!$A$3:$I$56,5,FALSE)-VLOOKUP($A161,main!$A$3:$I$56,6,FALSE)+main!$D$58,0)</f>
        <v>0</v>
      </c>
      <c r="AM161">
        <f>IF((phi!AM106),VLOOKUP(AM$1,main!$A$3:$I$56,5,FALSE)-VLOOKUP($A161,main!$A$3:$I$56,6,FALSE)+main!$D$58,0)</f>
        <v>0</v>
      </c>
      <c r="AN161">
        <f>IF((phi!AN106),VLOOKUP(AN$1,main!$A$3:$I$56,5,FALSE)-VLOOKUP($A161,main!$A$3:$I$56,6,FALSE)+main!$D$58,0)</f>
        <v>0</v>
      </c>
      <c r="AO161">
        <f>IF((phi!AO106),VLOOKUP(AO$1,main!$A$3:$I$56,5,FALSE)-VLOOKUP($A161,main!$A$3:$I$56,6,FALSE)+main!$D$58,0)</f>
        <v>0</v>
      </c>
      <c r="AP161">
        <f>IF((phi!AP106),VLOOKUP(AP$1,main!$A$3:$I$56,5,FALSE)-VLOOKUP($A161,main!$A$3:$I$56,6,FALSE)+main!$D$58,0)</f>
        <v>0</v>
      </c>
      <c r="AQ161">
        <f>IF((phi!AQ106),VLOOKUP(AQ$1,main!$A$3:$I$56,5,FALSE)-VLOOKUP($A161,main!$A$3:$I$56,6,FALSE)+main!$D$58,0)</f>
        <v>0</v>
      </c>
      <c r="AR161">
        <f>IF((phi!AR106),VLOOKUP(AR$1,main!$A$3:$I$56,5,FALSE)-VLOOKUP($A161,main!$A$3:$I$56,6,FALSE)+main!$D$58,0)</f>
        <v>0</v>
      </c>
      <c r="AS161">
        <f>IF((phi!AS106),VLOOKUP(AS$1,main!$A$3:$I$56,5,FALSE)-VLOOKUP($A161,main!$A$3:$I$56,6,FALSE)+main!$D$58,0)</f>
        <v>0</v>
      </c>
      <c r="AT161">
        <f>IF((phi!AT106),VLOOKUP(AT$1,main!$A$3:$I$56,5,FALSE)-VLOOKUP($A161,main!$A$3:$I$56,6,FALSE)+main!$D$58,0)</f>
        <v>0</v>
      </c>
      <c r="AU161">
        <f>IF((phi!AU106),VLOOKUP(AU$1,main!$A$3:$I$56,5,FALSE)-VLOOKUP($A161,main!$A$3:$I$56,6,FALSE)+main!$D$58,0)</f>
        <v>0</v>
      </c>
      <c r="AV161">
        <f>IF((phi!AV106),VLOOKUP(AV$1,main!$A$3:$I$56,5,FALSE)-VLOOKUP($A161,main!$A$3:$I$56,6,FALSE)+main!$D$58,0)</f>
        <v>0</v>
      </c>
      <c r="AW161">
        <f>IF((phi!AW106),VLOOKUP(AW$1,main!$A$3:$I$56,5,FALSE)-VLOOKUP($A161,main!$A$3:$I$56,6,FALSE)+main!$D$58,0)</f>
        <v>0</v>
      </c>
      <c r="AX161">
        <f>IF((phi!AX106),VLOOKUP(AX$1,main!$A$3:$I$56,5,FALSE)-VLOOKUP($A161,main!$A$3:$I$56,6,FALSE)+main!$D$58,0)</f>
        <v>0</v>
      </c>
      <c r="AY161">
        <f>IF((phi!AY106),VLOOKUP(AY$1,main!$A$3:$I$56,5,FALSE)-VLOOKUP($A161,main!$A$3:$I$56,6,FALSE)+main!$D$58,0)</f>
        <v>0</v>
      </c>
      <c r="AZ161">
        <f>IF((phi!AZ106),VLOOKUP(AZ$1,main!$A$3:$I$56,5,FALSE)-VLOOKUP($A161,main!$A$3:$I$56,6,FALSE)+main!$D$58,0)</f>
        <v>0</v>
      </c>
      <c r="BA161">
        <f>IF((phi!BA106),VLOOKUP(BA$1,main!$A$3:$I$56,5,FALSE)-VLOOKUP($A161,main!$A$3:$I$56,6,FALSE)+main!$D$58,0)</f>
        <v>0</v>
      </c>
      <c r="BB161">
        <f>IF((phi!BB106),VLOOKUP(BB$1,main!$A$3:$I$56,5,FALSE)-VLOOKUP($A161,main!$A$3:$I$56,6,FALSE)+main!$D$58,0)</f>
        <v>0</v>
      </c>
      <c r="BC161">
        <f>IF((phi!BC106),VLOOKUP(BC$1,main!$A$3:$I$56,5,FALSE)-VLOOKUP($A161,main!$A$3:$I$56,6,FALSE)+main!$D$58,0)</f>
        <v>0</v>
      </c>
      <c r="BD161">
        <f>IF((phi!BD106),VLOOKUP(BD$1,main!$A$3:$I$56,5,FALSE)-VLOOKUP($A161,main!$A$3:$I$56,6,FALSE)+main!$D$58,0)</f>
        <v>0</v>
      </c>
    </row>
    <row r="162" spans="1:56" x14ac:dyDescent="0.25">
      <c r="A162">
        <f t="shared" si="4"/>
        <v>50</v>
      </c>
      <c r="B162">
        <v>0</v>
      </c>
      <c r="C162">
        <f>IF((phi!C107),VLOOKUP(C$1,main!$A$3:$I$56,5,FALSE)-VLOOKUP($A162,main!$A$3:$I$56,6,FALSE)+main!$D$58,0)</f>
        <v>0</v>
      </c>
      <c r="D162">
        <f>IF((phi!D107),VLOOKUP(D$1,main!$A$3:$I$56,5,FALSE)-VLOOKUP($A162,main!$A$3:$I$56,6,FALSE)+main!$D$58,0)</f>
        <v>0</v>
      </c>
      <c r="E162">
        <f>IF((phi!E107),VLOOKUP(E$1,main!$A$3:$I$56,5,FALSE)-VLOOKUP($A162,main!$A$3:$I$56,6,FALSE)+main!$D$58,0)</f>
        <v>140</v>
      </c>
      <c r="F162">
        <f>IF((phi!F107),VLOOKUP(F$1,main!$A$3:$I$56,5,FALSE)-VLOOKUP($A162,main!$A$3:$I$56,6,FALSE)+main!$D$58,0)</f>
        <v>230</v>
      </c>
      <c r="G162">
        <f>IF((phi!G107),VLOOKUP(G$1,main!$A$3:$I$56,5,FALSE)-VLOOKUP($A162,main!$A$3:$I$56,6,FALSE)+main!$D$58,0)</f>
        <v>290</v>
      </c>
      <c r="H162">
        <f>IF((phi!H107),VLOOKUP(H$1,main!$A$3:$I$56,5,FALSE)-VLOOKUP($A162,main!$A$3:$I$56,6,FALSE)+main!$D$58,0)</f>
        <v>350</v>
      </c>
      <c r="I162">
        <f>IF((phi!I107),VLOOKUP(I$1,main!$A$3:$I$56,5,FALSE)-VLOOKUP($A162,main!$A$3:$I$56,6,FALSE)+main!$D$58,0)</f>
        <v>410</v>
      </c>
      <c r="J162">
        <f>IF((phi!J107),VLOOKUP(J$1,main!$A$3:$I$56,5,FALSE)-VLOOKUP($A162,main!$A$3:$I$56,6,FALSE)+main!$D$58,0)</f>
        <v>500</v>
      </c>
      <c r="K162">
        <f>IF((phi!K107),VLOOKUP(K$1,main!$A$3:$I$56,5,FALSE)-VLOOKUP($A162,main!$A$3:$I$56,6,FALSE)+main!$D$58,0)</f>
        <v>0</v>
      </c>
      <c r="L162">
        <f>IF((phi!L107),VLOOKUP(L$1,main!$A$3:$I$56,5,FALSE)-VLOOKUP($A162,main!$A$3:$I$56,6,FALSE)+main!$D$58,0)</f>
        <v>0</v>
      </c>
      <c r="M162">
        <f>IF((phi!M107),VLOOKUP(M$1,main!$A$3:$I$56,5,FALSE)-VLOOKUP($A162,main!$A$3:$I$56,6,FALSE)+main!$D$58,0)</f>
        <v>0</v>
      </c>
      <c r="N162">
        <f>IF((phi!N107),VLOOKUP(N$1,main!$A$3:$I$56,5,FALSE)-VLOOKUP($A162,main!$A$3:$I$56,6,FALSE)+main!$D$58,0)</f>
        <v>465</v>
      </c>
      <c r="O162">
        <f>IF((phi!O107),VLOOKUP(O$1,main!$A$3:$I$56,5,FALSE)-VLOOKUP($A162,main!$A$3:$I$56,6,FALSE)+main!$D$58,0)</f>
        <v>525</v>
      </c>
      <c r="P162">
        <f>IF((phi!P107),VLOOKUP(P$1,main!$A$3:$I$56,5,FALSE)-VLOOKUP($A162,main!$A$3:$I$56,6,FALSE)+main!$D$58,0)</f>
        <v>0</v>
      </c>
      <c r="Q162">
        <f>IF((phi!Q107),VLOOKUP(Q$1,main!$A$3:$I$56,5,FALSE)-VLOOKUP($A162,main!$A$3:$I$56,6,FALSE)+main!$D$58,0)</f>
        <v>0</v>
      </c>
      <c r="R162">
        <f>IF((phi!R107),VLOOKUP(R$1,main!$A$3:$I$56,5,FALSE)-VLOOKUP($A162,main!$A$3:$I$56,6,FALSE)+main!$D$58,0)</f>
        <v>0</v>
      </c>
      <c r="S162">
        <f>IF((phi!S107),VLOOKUP(S$1,main!$A$3:$I$56,5,FALSE)-VLOOKUP($A162,main!$A$3:$I$56,6,FALSE)+main!$D$58,0)</f>
        <v>280</v>
      </c>
      <c r="T162">
        <f>IF((phi!T107),VLOOKUP(T$1,main!$A$3:$I$56,5,FALSE)-VLOOKUP($A162,main!$A$3:$I$56,6,FALSE)+main!$D$58,0)</f>
        <v>430</v>
      </c>
      <c r="U162">
        <f>IF((phi!U107),VLOOKUP(U$1,main!$A$3:$I$56,5,FALSE)-VLOOKUP($A162,main!$A$3:$I$56,6,FALSE)+main!$D$58,0)</f>
        <v>0</v>
      </c>
      <c r="V162">
        <f>IF((phi!V107),VLOOKUP(V$1,main!$A$3:$I$56,5,FALSE)-VLOOKUP($A162,main!$A$3:$I$56,6,FALSE)+main!$D$58,0)</f>
        <v>0</v>
      </c>
      <c r="W162">
        <f>IF((phi!W107),VLOOKUP(W$1,main!$A$3:$I$56,5,FALSE)-VLOOKUP($A162,main!$A$3:$I$56,6,FALSE)+main!$D$58,0)</f>
        <v>0</v>
      </c>
      <c r="X162">
        <f>IF((phi!X107),VLOOKUP(X$1,main!$A$3:$I$56,5,FALSE)-VLOOKUP($A162,main!$A$3:$I$56,6,FALSE)+main!$D$58,0)</f>
        <v>0</v>
      </c>
      <c r="Y162">
        <f>IF((phi!Y107),VLOOKUP(Y$1,main!$A$3:$I$56,5,FALSE)-VLOOKUP($A162,main!$A$3:$I$56,6,FALSE)+main!$D$58,0)</f>
        <v>0</v>
      </c>
      <c r="Z162">
        <f>IF((phi!Z107),VLOOKUP(Z$1,main!$A$3:$I$56,5,FALSE)-VLOOKUP($A162,main!$A$3:$I$56,6,FALSE)+main!$D$58,0)</f>
        <v>300</v>
      </c>
      <c r="AA162">
        <f>IF((phi!AA107),VLOOKUP(AA$1,main!$A$3:$I$56,5,FALSE)-VLOOKUP($A162,main!$A$3:$I$56,6,FALSE)+main!$D$58,0)</f>
        <v>390</v>
      </c>
      <c r="AB162">
        <f>IF((phi!AB107),VLOOKUP(AB$1,main!$A$3:$I$56,5,FALSE)-VLOOKUP($A162,main!$A$3:$I$56,6,FALSE)+main!$D$58,0)</f>
        <v>450</v>
      </c>
      <c r="AC162">
        <f>IF((phi!AC107),VLOOKUP(AC$1,main!$A$3:$I$56,5,FALSE)-VLOOKUP($A162,main!$A$3:$I$56,6,FALSE)+main!$D$58,0)</f>
        <v>0</v>
      </c>
      <c r="AD162">
        <f>IF((phi!AD107),VLOOKUP(AD$1,main!$A$3:$I$56,5,FALSE)-VLOOKUP($A162,main!$A$3:$I$56,6,FALSE)+main!$D$58,0)</f>
        <v>0</v>
      </c>
      <c r="AE162">
        <f>IF((phi!AE107),VLOOKUP(AE$1,main!$A$3:$I$56,5,FALSE)-VLOOKUP($A162,main!$A$3:$I$56,6,FALSE)+main!$D$58,0)</f>
        <v>0</v>
      </c>
      <c r="AF162">
        <f>IF((phi!AF107),VLOOKUP(AF$1,main!$A$3:$I$56,5,FALSE)-VLOOKUP($A162,main!$A$3:$I$56,6,FALSE)+main!$D$58,0)</f>
        <v>260</v>
      </c>
      <c r="AG162">
        <f>IF((phi!AG107),VLOOKUP(AG$1,main!$A$3:$I$56,5,FALSE)-VLOOKUP($A162,main!$A$3:$I$56,6,FALSE)+main!$D$58,0)</f>
        <v>0</v>
      </c>
      <c r="AH162">
        <f>IF((phi!AH107),VLOOKUP(AH$1,main!$A$3:$I$56,5,FALSE)-VLOOKUP($A162,main!$A$3:$I$56,6,FALSE)+main!$D$58,0)</f>
        <v>0</v>
      </c>
      <c r="AI162">
        <f>IF((phi!AI107),VLOOKUP(AI$1,main!$A$3:$I$56,5,FALSE)-VLOOKUP($A162,main!$A$3:$I$56,6,FALSE)+main!$D$58,0)</f>
        <v>0</v>
      </c>
      <c r="AJ162">
        <f>IF((phi!AJ107),VLOOKUP(AJ$1,main!$A$3:$I$56,5,FALSE)-VLOOKUP($A162,main!$A$3:$I$56,6,FALSE)+main!$D$58,0)</f>
        <v>0</v>
      </c>
      <c r="AK162">
        <f>IF((phi!AK107),VLOOKUP(AK$1,main!$A$3:$I$56,5,FALSE)-VLOOKUP($A162,main!$A$3:$I$56,6,FALSE)+main!$D$58,0)</f>
        <v>350</v>
      </c>
      <c r="AL162">
        <f>IF((phi!AL107),VLOOKUP(AL$1,main!$A$3:$I$56,5,FALSE)-VLOOKUP($A162,main!$A$3:$I$56,6,FALSE)+main!$D$58,0)</f>
        <v>0</v>
      </c>
      <c r="AM162">
        <f>IF((phi!AM107),VLOOKUP(AM$1,main!$A$3:$I$56,5,FALSE)-VLOOKUP($A162,main!$A$3:$I$56,6,FALSE)+main!$D$58,0)</f>
        <v>0</v>
      </c>
      <c r="AN162">
        <f>IF((phi!AN107),VLOOKUP(AN$1,main!$A$3:$I$56,5,FALSE)-VLOOKUP($A162,main!$A$3:$I$56,6,FALSE)+main!$D$58,0)</f>
        <v>0</v>
      </c>
      <c r="AO162">
        <f>IF((phi!AO107),VLOOKUP(AO$1,main!$A$3:$I$56,5,FALSE)-VLOOKUP($A162,main!$A$3:$I$56,6,FALSE)+main!$D$58,0)</f>
        <v>260</v>
      </c>
      <c r="AP162">
        <f>IF((phi!AP107),VLOOKUP(AP$1,main!$A$3:$I$56,5,FALSE)-VLOOKUP($A162,main!$A$3:$I$56,6,FALSE)+main!$D$58,0)</f>
        <v>0</v>
      </c>
      <c r="AQ162">
        <f>IF((phi!AQ107),VLOOKUP(AQ$1,main!$A$3:$I$56,5,FALSE)-VLOOKUP($A162,main!$A$3:$I$56,6,FALSE)+main!$D$58,0)</f>
        <v>0</v>
      </c>
      <c r="AR162">
        <f>IF((phi!AR107),VLOOKUP(AR$1,main!$A$3:$I$56,5,FALSE)-VLOOKUP($A162,main!$A$3:$I$56,6,FALSE)+main!$D$58,0)</f>
        <v>0</v>
      </c>
      <c r="AS162">
        <f>IF((phi!AS107),VLOOKUP(AS$1,main!$A$3:$I$56,5,FALSE)-VLOOKUP($A162,main!$A$3:$I$56,6,FALSE)+main!$D$58,0)</f>
        <v>0</v>
      </c>
      <c r="AT162">
        <f>IF((phi!AT107),VLOOKUP(AT$1,main!$A$3:$I$56,5,FALSE)-VLOOKUP($A162,main!$A$3:$I$56,6,FALSE)+main!$D$58,0)</f>
        <v>0</v>
      </c>
      <c r="AU162">
        <f>IF((phi!AU107),VLOOKUP(AU$1,main!$A$3:$I$56,5,FALSE)-VLOOKUP($A162,main!$A$3:$I$56,6,FALSE)+main!$D$58,0)</f>
        <v>0</v>
      </c>
      <c r="AV162">
        <f>IF((phi!AV107),VLOOKUP(AV$1,main!$A$3:$I$56,5,FALSE)-VLOOKUP($A162,main!$A$3:$I$56,6,FALSE)+main!$D$58,0)</f>
        <v>0</v>
      </c>
      <c r="AW162">
        <f>IF((phi!AW107),VLOOKUP(AW$1,main!$A$3:$I$56,5,FALSE)-VLOOKUP($A162,main!$A$3:$I$56,6,FALSE)+main!$D$58,0)</f>
        <v>0</v>
      </c>
      <c r="AX162">
        <f>IF((phi!AX107),VLOOKUP(AX$1,main!$A$3:$I$56,5,FALSE)-VLOOKUP($A162,main!$A$3:$I$56,6,FALSE)+main!$D$58,0)</f>
        <v>0</v>
      </c>
      <c r="AY162">
        <f>IF((phi!AY107),VLOOKUP(AY$1,main!$A$3:$I$56,5,FALSE)-VLOOKUP($A162,main!$A$3:$I$56,6,FALSE)+main!$D$58,0)</f>
        <v>510</v>
      </c>
      <c r="AZ162">
        <f>IF((phi!AZ107),VLOOKUP(AZ$1,main!$A$3:$I$56,5,FALSE)-VLOOKUP($A162,main!$A$3:$I$56,6,FALSE)+main!$D$58,0)</f>
        <v>0</v>
      </c>
      <c r="BA162">
        <f>IF((phi!BA107),VLOOKUP(BA$1,main!$A$3:$I$56,5,FALSE)-VLOOKUP($A162,main!$A$3:$I$56,6,FALSE)+main!$D$58,0)</f>
        <v>0</v>
      </c>
      <c r="BB162">
        <f>IF((phi!BB107),VLOOKUP(BB$1,main!$A$3:$I$56,5,FALSE)-VLOOKUP($A162,main!$A$3:$I$56,6,FALSE)+main!$D$58,0)</f>
        <v>0</v>
      </c>
      <c r="BC162">
        <f>IF((phi!BC107),VLOOKUP(BC$1,main!$A$3:$I$56,5,FALSE)-VLOOKUP($A162,main!$A$3:$I$56,6,FALSE)+main!$D$58,0)</f>
        <v>0</v>
      </c>
      <c r="BD162">
        <f>IF((phi!BD107),VLOOKUP(BD$1,main!$A$3:$I$56,5,FALSE)-VLOOKUP($A162,main!$A$3:$I$56,6,FALSE)+main!$D$58,0)</f>
        <v>0</v>
      </c>
    </row>
    <row r="163" spans="1:56" x14ac:dyDescent="0.25">
      <c r="A163">
        <f t="shared" si="4"/>
        <v>51</v>
      </c>
      <c r="B163">
        <v>0</v>
      </c>
      <c r="C163">
        <f>IF((phi!C108),VLOOKUP(C$1,main!$A$3:$I$56,5,FALSE)-VLOOKUP($A163,main!$A$3:$I$56,6,FALSE)+main!$D$58,0)</f>
        <v>0</v>
      </c>
      <c r="D163">
        <f>IF((phi!D108),VLOOKUP(D$1,main!$A$3:$I$56,5,FALSE)-VLOOKUP($A163,main!$A$3:$I$56,6,FALSE)+main!$D$58,0)</f>
        <v>0</v>
      </c>
      <c r="E163">
        <f>IF((phi!E108),VLOOKUP(E$1,main!$A$3:$I$56,5,FALSE)-VLOOKUP($A163,main!$A$3:$I$56,6,FALSE)+main!$D$58,0)</f>
        <v>0</v>
      </c>
      <c r="F163">
        <f>IF((phi!F108),VLOOKUP(F$1,main!$A$3:$I$56,5,FALSE)-VLOOKUP($A163,main!$A$3:$I$56,6,FALSE)+main!$D$58,0)</f>
        <v>0</v>
      </c>
      <c r="G163">
        <f>IF((phi!G108),VLOOKUP(G$1,main!$A$3:$I$56,5,FALSE)-VLOOKUP($A163,main!$A$3:$I$56,6,FALSE)+main!$D$58,0)</f>
        <v>145</v>
      </c>
      <c r="H163">
        <f>IF((phi!H108),VLOOKUP(H$1,main!$A$3:$I$56,5,FALSE)-VLOOKUP($A163,main!$A$3:$I$56,6,FALSE)+main!$D$58,0)</f>
        <v>205</v>
      </c>
      <c r="I163">
        <f>IF((phi!I108),VLOOKUP(I$1,main!$A$3:$I$56,5,FALSE)-VLOOKUP($A163,main!$A$3:$I$56,6,FALSE)+main!$D$58,0)</f>
        <v>265</v>
      </c>
      <c r="J163">
        <f>IF((phi!J108),VLOOKUP(J$1,main!$A$3:$I$56,5,FALSE)-VLOOKUP($A163,main!$A$3:$I$56,6,FALSE)+main!$D$58,0)</f>
        <v>355</v>
      </c>
      <c r="K163">
        <f>IF((phi!K108),VLOOKUP(K$1,main!$A$3:$I$56,5,FALSE)-VLOOKUP($A163,main!$A$3:$I$56,6,FALSE)+main!$D$58,0)</f>
        <v>0</v>
      </c>
      <c r="L163">
        <f>IF((phi!L108),VLOOKUP(L$1,main!$A$3:$I$56,5,FALSE)-VLOOKUP($A163,main!$A$3:$I$56,6,FALSE)+main!$D$58,0)</f>
        <v>0</v>
      </c>
      <c r="M163">
        <f>IF((phi!M108),VLOOKUP(M$1,main!$A$3:$I$56,5,FALSE)-VLOOKUP($A163,main!$A$3:$I$56,6,FALSE)+main!$D$58,0)</f>
        <v>0</v>
      </c>
      <c r="N163">
        <f>IF((phi!N108),VLOOKUP(N$1,main!$A$3:$I$56,5,FALSE)-VLOOKUP($A163,main!$A$3:$I$56,6,FALSE)+main!$D$58,0)</f>
        <v>320</v>
      </c>
      <c r="O163">
        <f>IF((phi!O108),VLOOKUP(O$1,main!$A$3:$I$56,5,FALSE)-VLOOKUP($A163,main!$A$3:$I$56,6,FALSE)+main!$D$58,0)</f>
        <v>380</v>
      </c>
      <c r="P163">
        <f>IF((phi!P108),VLOOKUP(P$1,main!$A$3:$I$56,5,FALSE)-VLOOKUP($A163,main!$A$3:$I$56,6,FALSE)+main!$D$58,0)</f>
        <v>0</v>
      </c>
      <c r="Q163">
        <f>IF((phi!Q108),VLOOKUP(Q$1,main!$A$3:$I$56,5,FALSE)-VLOOKUP($A163,main!$A$3:$I$56,6,FALSE)+main!$D$58,0)</f>
        <v>0</v>
      </c>
      <c r="R163">
        <f>IF((phi!R108),VLOOKUP(R$1,main!$A$3:$I$56,5,FALSE)-VLOOKUP($A163,main!$A$3:$I$56,6,FALSE)+main!$D$58,0)</f>
        <v>0</v>
      </c>
      <c r="S163">
        <f>IF((phi!S108),VLOOKUP(S$1,main!$A$3:$I$56,5,FALSE)-VLOOKUP($A163,main!$A$3:$I$56,6,FALSE)+main!$D$58,0)</f>
        <v>135</v>
      </c>
      <c r="T163">
        <f>IF((phi!T108),VLOOKUP(T$1,main!$A$3:$I$56,5,FALSE)-VLOOKUP($A163,main!$A$3:$I$56,6,FALSE)+main!$D$58,0)</f>
        <v>285</v>
      </c>
      <c r="U163">
        <f>IF((phi!U108),VLOOKUP(U$1,main!$A$3:$I$56,5,FALSE)-VLOOKUP($A163,main!$A$3:$I$56,6,FALSE)+main!$D$58,0)</f>
        <v>0</v>
      </c>
      <c r="V163">
        <f>IF((phi!V108),VLOOKUP(V$1,main!$A$3:$I$56,5,FALSE)-VLOOKUP($A163,main!$A$3:$I$56,6,FALSE)+main!$D$58,0)</f>
        <v>0</v>
      </c>
      <c r="W163">
        <f>IF((phi!W108),VLOOKUP(W$1,main!$A$3:$I$56,5,FALSE)-VLOOKUP($A163,main!$A$3:$I$56,6,FALSE)+main!$D$58,0)</f>
        <v>0</v>
      </c>
      <c r="X163">
        <f>IF((phi!X108),VLOOKUP(X$1,main!$A$3:$I$56,5,FALSE)-VLOOKUP($A163,main!$A$3:$I$56,6,FALSE)+main!$D$58,0)</f>
        <v>0</v>
      </c>
      <c r="Y163">
        <f>IF((phi!Y108),VLOOKUP(Y$1,main!$A$3:$I$56,5,FALSE)-VLOOKUP($A163,main!$A$3:$I$56,6,FALSE)+main!$D$58,0)</f>
        <v>0</v>
      </c>
      <c r="Z163">
        <f>IF((phi!Z108),VLOOKUP(Z$1,main!$A$3:$I$56,5,FALSE)-VLOOKUP($A163,main!$A$3:$I$56,6,FALSE)+main!$D$58,0)</f>
        <v>0</v>
      </c>
      <c r="AA163">
        <f>IF((phi!AA108),VLOOKUP(AA$1,main!$A$3:$I$56,5,FALSE)-VLOOKUP($A163,main!$A$3:$I$56,6,FALSE)+main!$D$58,0)</f>
        <v>245</v>
      </c>
      <c r="AB163">
        <f>IF((phi!AB108),VLOOKUP(AB$1,main!$A$3:$I$56,5,FALSE)-VLOOKUP($A163,main!$A$3:$I$56,6,FALSE)+main!$D$58,0)</f>
        <v>305</v>
      </c>
      <c r="AC163">
        <f>IF((phi!AC108),VLOOKUP(AC$1,main!$A$3:$I$56,5,FALSE)-VLOOKUP($A163,main!$A$3:$I$56,6,FALSE)+main!$D$58,0)</f>
        <v>0</v>
      </c>
      <c r="AD163">
        <f>IF((phi!AD108),VLOOKUP(AD$1,main!$A$3:$I$56,5,FALSE)-VLOOKUP($A163,main!$A$3:$I$56,6,FALSE)+main!$D$58,0)</f>
        <v>0</v>
      </c>
      <c r="AE163">
        <f>IF((phi!AE108),VLOOKUP(AE$1,main!$A$3:$I$56,5,FALSE)-VLOOKUP($A163,main!$A$3:$I$56,6,FALSE)+main!$D$58,0)</f>
        <v>0</v>
      </c>
      <c r="AF163">
        <f>IF((phi!AF108),VLOOKUP(AF$1,main!$A$3:$I$56,5,FALSE)-VLOOKUP($A163,main!$A$3:$I$56,6,FALSE)+main!$D$58,0)</f>
        <v>0</v>
      </c>
      <c r="AG163">
        <f>IF((phi!AG108),VLOOKUP(AG$1,main!$A$3:$I$56,5,FALSE)-VLOOKUP($A163,main!$A$3:$I$56,6,FALSE)+main!$D$58,0)</f>
        <v>0</v>
      </c>
      <c r="AH163">
        <f>IF((phi!AH108),VLOOKUP(AH$1,main!$A$3:$I$56,5,FALSE)-VLOOKUP($A163,main!$A$3:$I$56,6,FALSE)+main!$D$58,0)</f>
        <v>0</v>
      </c>
      <c r="AI163">
        <f>IF((phi!AI108),VLOOKUP(AI$1,main!$A$3:$I$56,5,FALSE)-VLOOKUP($A163,main!$A$3:$I$56,6,FALSE)+main!$D$58,0)</f>
        <v>0</v>
      </c>
      <c r="AJ163">
        <f>IF((phi!AJ108),VLOOKUP(AJ$1,main!$A$3:$I$56,5,FALSE)-VLOOKUP($A163,main!$A$3:$I$56,6,FALSE)+main!$D$58,0)</f>
        <v>0</v>
      </c>
      <c r="AK163">
        <f>IF((phi!AK108),VLOOKUP(AK$1,main!$A$3:$I$56,5,FALSE)-VLOOKUP($A163,main!$A$3:$I$56,6,FALSE)+main!$D$58,0)</f>
        <v>0</v>
      </c>
      <c r="AL163">
        <f>IF((phi!AL108),VLOOKUP(AL$1,main!$A$3:$I$56,5,FALSE)-VLOOKUP($A163,main!$A$3:$I$56,6,FALSE)+main!$D$58,0)</f>
        <v>0</v>
      </c>
      <c r="AM163">
        <f>IF((phi!AM108),VLOOKUP(AM$1,main!$A$3:$I$56,5,FALSE)-VLOOKUP($A163,main!$A$3:$I$56,6,FALSE)+main!$D$58,0)</f>
        <v>0</v>
      </c>
      <c r="AN163">
        <f>IF((phi!AN108),VLOOKUP(AN$1,main!$A$3:$I$56,5,FALSE)-VLOOKUP($A163,main!$A$3:$I$56,6,FALSE)+main!$D$58,0)</f>
        <v>0</v>
      </c>
      <c r="AO163">
        <f>IF((phi!AO108),VLOOKUP(AO$1,main!$A$3:$I$56,5,FALSE)-VLOOKUP($A163,main!$A$3:$I$56,6,FALSE)+main!$D$58,0)</f>
        <v>0</v>
      </c>
      <c r="AP163">
        <f>IF((phi!AP108),VLOOKUP(AP$1,main!$A$3:$I$56,5,FALSE)-VLOOKUP($A163,main!$A$3:$I$56,6,FALSE)+main!$D$58,0)</f>
        <v>0</v>
      </c>
      <c r="AQ163">
        <f>IF((phi!AQ108),VLOOKUP(AQ$1,main!$A$3:$I$56,5,FALSE)-VLOOKUP($A163,main!$A$3:$I$56,6,FALSE)+main!$D$58,0)</f>
        <v>0</v>
      </c>
      <c r="AR163">
        <f>IF((phi!AR108),VLOOKUP(AR$1,main!$A$3:$I$56,5,FALSE)-VLOOKUP($A163,main!$A$3:$I$56,6,FALSE)+main!$D$58,0)</f>
        <v>0</v>
      </c>
      <c r="AS163">
        <f>IF((phi!AS108),VLOOKUP(AS$1,main!$A$3:$I$56,5,FALSE)-VLOOKUP($A163,main!$A$3:$I$56,6,FALSE)+main!$D$58,0)</f>
        <v>0</v>
      </c>
      <c r="AT163">
        <f>IF((phi!AT108),VLOOKUP(AT$1,main!$A$3:$I$56,5,FALSE)-VLOOKUP($A163,main!$A$3:$I$56,6,FALSE)+main!$D$58,0)</f>
        <v>0</v>
      </c>
      <c r="AU163">
        <f>IF((phi!AU108),VLOOKUP(AU$1,main!$A$3:$I$56,5,FALSE)-VLOOKUP($A163,main!$A$3:$I$56,6,FALSE)+main!$D$58,0)</f>
        <v>0</v>
      </c>
      <c r="AV163">
        <f>IF((phi!AV108),VLOOKUP(AV$1,main!$A$3:$I$56,5,FALSE)-VLOOKUP($A163,main!$A$3:$I$56,6,FALSE)+main!$D$58,0)</f>
        <v>0</v>
      </c>
      <c r="AW163">
        <f>IF((phi!AW108),VLOOKUP(AW$1,main!$A$3:$I$56,5,FALSE)-VLOOKUP($A163,main!$A$3:$I$56,6,FALSE)+main!$D$58,0)</f>
        <v>0</v>
      </c>
      <c r="AX163">
        <f>IF((phi!AX108),VLOOKUP(AX$1,main!$A$3:$I$56,5,FALSE)-VLOOKUP($A163,main!$A$3:$I$56,6,FALSE)+main!$D$58,0)</f>
        <v>0</v>
      </c>
      <c r="AY163">
        <f>IF((phi!AY108),VLOOKUP(AY$1,main!$A$3:$I$56,5,FALSE)-VLOOKUP($A163,main!$A$3:$I$56,6,FALSE)+main!$D$58,0)</f>
        <v>365</v>
      </c>
      <c r="AZ163">
        <f>IF((phi!AZ108),VLOOKUP(AZ$1,main!$A$3:$I$56,5,FALSE)-VLOOKUP($A163,main!$A$3:$I$56,6,FALSE)+main!$D$58,0)</f>
        <v>0</v>
      </c>
      <c r="BA163">
        <f>IF((phi!BA108),VLOOKUP(BA$1,main!$A$3:$I$56,5,FALSE)-VLOOKUP($A163,main!$A$3:$I$56,6,FALSE)+main!$D$58,0)</f>
        <v>0</v>
      </c>
      <c r="BB163">
        <f>IF((phi!BB108),VLOOKUP(BB$1,main!$A$3:$I$56,5,FALSE)-VLOOKUP($A163,main!$A$3:$I$56,6,FALSE)+main!$D$58,0)</f>
        <v>0</v>
      </c>
      <c r="BC163">
        <f>IF((phi!BC108),VLOOKUP(BC$1,main!$A$3:$I$56,5,FALSE)-VLOOKUP($A163,main!$A$3:$I$56,6,FALSE)+main!$D$58,0)</f>
        <v>0</v>
      </c>
      <c r="BD163">
        <f>IF((phi!BD108),VLOOKUP(BD$1,main!$A$3:$I$56,5,FALSE)-VLOOKUP($A163,main!$A$3:$I$56,6,FALSE)+main!$D$58,0)</f>
        <v>0</v>
      </c>
    </row>
    <row r="164" spans="1:56" x14ac:dyDescent="0.25">
      <c r="A164">
        <f t="shared" si="4"/>
        <v>52</v>
      </c>
      <c r="B164">
        <v>0</v>
      </c>
      <c r="C164">
        <f>IF((phi!C109),VLOOKUP(C$1,main!$A$3:$I$56,5,FALSE)-VLOOKUP($A164,main!$A$3:$I$56,6,FALSE)+main!$D$58,0)</f>
        <v>0</v>
      </c>
      <c r="D164">
        <f>IF((phi!D109),VLOOKUP(D$1,main!$A$3:$I$56,5,FALSE)-VLOOKUP($A164,main!$A$3:$I$56,6,FALSE)+main!$D$58,0)</f>
        <v>0</v>
      </c>
      <c r="E164">
        <f>IF((phi!E109),VLOOKUP(E$1,main!$A$3:$I$56,5,FALSE)-VLOOKUP($A164,main!$A$3:$I$56,6,FALSE)+main!$D$58,0)</f>
        <v>0</v>
      </c>
      <c r="F164">
        <f>IF((phi!F109),VLOOKUP(F$1,main!$A$3:$I$56,5,FALSE)-VLOOKUP($A164,main!$A$3:$I$56,6,FALSE)+main!$D$58,0)</f>
        <v>0</v>
      </c>
      <c r="G164">
        <f>IF((phi!G109),VLOOKUP(G$1,main!$A$3:$I$56,5,FALSE)-VLOOKUP($A164,main!$A$3:$I$56,6,FALSE)+main!$D$58,0)</f>
        <v>130</v>
      </c>
      <c r="H164">
        <f>IF((phi!H109),VLOOKUP(H$1,main!$A$3:$I$56,5,FALSE)-VLOOKUP($A164,main!$A$3:$I$56,6,FALSE)+main!$D$58,0)</f>
        <v>190</v>
      </c>
      <c r="I164">
        <f>IF((phi!I109),VLOOKUP(I$1,main!$A$3:$I$56,5,FALSE)-VLOOKUP($A164,main!$A$3:$I$56,6,FALSE)+main!$D$58,0)</f>
        <v>250</v>
      </c>
      <c r="J164">
        <f>IF((phi!J109),VLOOKUP(J$1,main!$A$3:$I$56,5,FALSE)-VLOOKUP($A164,main!$A$3:$I$56,6,FALSE)+main!$D$58,0)</f>
        <v>340</v>
      </c>
      <c r="K164">
        <f>IF((phi!K109),VLOOKUP(K$1,main!$A$3:$I$56,5,FALSE)-VLOOKUP($A164,main!$A$3:$I$56,6,FALSE)+main!$D$58,0)</f>
        <v>0</v>
      </c>
      <c r="L164">
        <f>IF((phi!L109),VLOOKUP(L$1,main!$A$3:$I$56,5,FALSE)-VLOOKUP($A164,main!$A$3:$I$56,6,FALSE)+main!$D$58,0)</f>
        <v>0</v>
      </c>
      <c r="M164">
        <f>IF((phi!M109),VLOOKUP(M$1,main!$A$3:$I$56,5,FALSE)-VLOOKUP($A164,main!$A$3:$I$56,6,FALSE)+main!$D$58,0)</f>
        <v>0</v>
      </c>
      <c r="N164">
        <f>IF((phi!N109),VLOOKUP(N$1,main!$A$3:$I$56,5,FALSE)-VLOOKUP($A164,main!$A$3:$I$56,6,FALSE)+main!$D$58,0)</f>
        <v>305</v>
      </c>
      <c r="O164">
        <f>IF((phi!O109),VLOOKUP(O$1,main!$A$3:$I$56,5,FALSE)-VLOOKUP($A164,main!$A$3:$I$56,6,FALSE)+main!$D$58,0)</f>
        <v>365</v>
      </c>
      <c r="P164">
        <f>IF((phi!P109),VLOOKUP(P$1,main!$A$3:$I$56,5,FALSE)-VLOOKUP($A164,main!$A$3:$I$56,6,FALSE)+main!$D$58,0)</f>
        <v>0</v>
      </c>
      <c r="Q164">
        <f>IF((phi!Q109),VLOOKUP(Q$1,main!$A$3:$I$56,5,FALSE)-VLOOKUP($A164,main!$A$3:$I$56,6,FALSE)+main!$D$58,0)</f>
        <v>0</v>
      </c>
      <c r="R164">
        <f>IF((phi!R109),VLOOKUP(R$1,main!$A$3:$I$56,5,FALSE)-VLOOKUP($A164,main!$A$3:$I$56,6,FALSE)+main!$D$58,0)</f>
        <v>0</v>
      </c>
      <c r="S164">
        <f>IF((phi!S109),VLOOKUP(S$1,main!$A$3:$I$56,5,FALSE)-VLOOKUP($A164,main!$A$3:$I$56,6,FALSE)+main!$D$58,0)</f>
        <v>120</v>
      </c>
      <c r="T164">
        <f>IF((phi!T109),VLOOKUP(T$1,main!$A$3:$I$56,5,FALSE)-VLOOKUP($A164,main!$A$3:$I$56,6,FALSE)+main!$D$58,0)</f>
        <v>270</v>
      </c>
      <c r="U164">
        <f>IF((phi!U109),VLOOKUP(U$1,main!$A$3:$I$56,5,FALSE)-VLOOKUP($A164,main!$A$3:$I$56,6,FALSE)+main!$D$58,0)</f>
        <v>0</v>
      </c>
      <c r="V164">
        <f>IF((phi!V109),VLOOKUP(V$1,main!$A$3:$I$56,5,FALSE)-VLOOKUP($A164,main!$A$3:$I$56,6,FALSE)+main!$D$58,0)</f>
        <v>0</v>
      </c>
      <c r="W164">
        <f>IF((phi!W109),VLOOKUP(W$1,main!$A$3:$I$56,5,FALSE)-VLOOKUP($A164,main!$A$3:$I$56,6,FALSE)+main!$D$58,0)</f>
        <v>0</v>
      </c>
      <c r="X164">
        <f>IF((phi!X109),VLOOKUP(X$1,main!$A$3:$I$56,5,FALSE)-VLOOKUP($A164,main!$A$3:$I$56,6,FALSE)+main!$D$58,0)</f>
        <v>0</v>
      </c>
      <c r="Y164">
        <f>IF((phi!Y109),VLOOKUP(Y$1,main!$A$3:$I$56,5,FALSE)-VLOOKUP($A164,main!$A$3:$I$56,6,FALSE)+main!$D$58,0)</f>
        <v>0</v>
      </c>
      <c r="Z164">
        <f>IF((phi!Z109),VLOOKUP(Z$1,main!$A$3:$I$56,5,FALSE)-VLOOKUP($A164,main!$A$3:$I$56,6,FALSE)+main!$D$58,0)</f>
        <v>0</v>
      </c>
      <c r="AA164">
        <f>IF((phi!AA109),VLOOKUP(AA$1,main!$A$3:$I$56,5,FALSE)-VLOOKUP($A164,main!$A$3:$I$56,6,FALSE)+main!$D$58,0)</f>
        <v>0</v>
      </c>
      <c r="AB164">
        <f>IF((phi!AB109),VLOOKUP(AB$1,main!$A$3:$I$56,5,FALSE)-VLOOKUP($A164,main!$A$3:$I$56,6,FALSE)+main!$D$58,0)</f>
        <v>290</v>
      </c>
      <c r="AC164">
        <f>IF((phi!AC109),VLOOKUP(AC$1,main!$A$3:$I$56,5,FALSE)-VLOOKUP($A164,main!$A$3:$I$56,6,FALSE)+main!$D$58,0)</f>
        <v>0</v>
      </c>
      <c r="AD164">
        <f>IF((phi!AD109),VLOOKUP(AD$1,main!$A$3:$I$56,5,FALSE)-VLOOKUP($A164,main!$A$3:$I$56,6,FALSE)+main!$D$58,0)</f>
        <v>0</v>
      </c>
      <c r="AE164">
        <f>IF((phi!AE109),VLOOKUP(AE$1,main!$A$3:$I$56,5,FALSE)-VLOOKUP($A164,main!$A$3:$I$56,6,FALSE)+main!$D$58,0)</f>
        <v>0</v>
      </c>
      <c r="AF164">
        <f>IF((phi!AF109),VLOOKUP(AF$1,main!$A$3:$I$56,5,FALSE)-VLOOKUP($A164,main!$A$3:$I$56,6,FALSE)+main!$D$58,0)</f>
        <v>0</v>
      </c>
      <c r="AG164">
        <f>IF((phi!AG109),VLOOKUP(AG$1,main!$A$3:$I$56,5,FALSE)-VLOOKUP($A164,main!$A$3:$I$56,6,FALSE)+main!$D$58,0)</f>
        <v>0</v>
      </c>
      <c r="AH164">
        <f>IF((phi!AH109),VLOOKUP(AH$1,main!$A$3:$I$56,5,FALSE)-VLOOKUP($A164,main!$A$3:$I$56,6,FALSE)+main!$D$58,0)</f>
        <v>0</v>
      </c>
      <c r="AI164">
        <f>IF((phi!AI109),VLOOKUP(AI$1,main!$A$3:$I$56,5,FALSE)-VLOOKUP($A164,main!$A$3:$I$56,6,FALSE)+main!$D$58,0)</f>
        <v>0</v>
      </c>
      <c r="AJ164">
        <f>IF((phi!AJ109),VLOOKUP(AJ$1,main!$A$3:$I$56,5,FALSE)-VLOOKUP($A164,main!$A$3:$I$56,6,FALSE)+main!$D$58,0)</f>
        <v>0</v>
      </c>
      <c r="AK164">
        <f>IF((phi!AK109),VLOOKUP(AK$1,main!$A$3:$I$56,5,FALSE)-VLOOKUP($A164,main!$A$3:$I$56,6,FALSE)+main!$D$58,0)</f>
        <v>0</v>
      </c>
      <c r="AL164">
        <f>IF((phi!AL109),VLOOKUP(AL$1,main!$A$3:$I$56,5,FALSE)-VLOOKUP($A164,main!$A$3:$I$56,6,FALSE)+main!$D$58,0)</f>
        <v>0</v>
      </c>
      <c r="AM164">
        <f>IF((phi!AM109),VLOOKUP(AM$1,main!$A$3:$I$56,5,FALSE)-VLOOKUP($A164,main!$A$3:$I$56,6,FALSE)+main!$D$58,0)</f>
        <v>0</v>
      </c>
      <c r="AN164">
        <f>IF((phi!AN109),VLOOKUP(AN$1,main!$A$3:$I$56,5,FALSE)-VLOOKUP($A164,main!$A$3:$I$56,6,FALSE)+main!$D$58,0)</f>
        <v>0</v>
      </c>
      <c r="AO164">
        <f>IF((phi!AO109),VLOOKUP(AO$1,main!$A$3:$I$56,5,FALSE)-VLOOKUP($A164,main!$A$3:$I$56,6,FALSE)+main!$D$58,0)</f>
        <v>0</v>
      </c>
      <c r="AP164">
        <f>IF((phi!AP109),VLOOKUP(AP$1,main!$A$3:$I$56,5,FALSE)-VLOOKUP($A164,main!$A$3:$I$56,6,FALSE)+main!$D$58,0)</f>
        <v>0</v>
      </c>
      <c r="AQ164">
        <f>IF((phi!AQ109),VLOOKUP(AQ$1,main!$A$3:$I$56,5,FALSE)-VLOOKUP($A164,main!$A$3:$I$56,6,FALSE)+main!$D$58,0)</f>
        <v>0</v>
      </c>
      <c r="AR164">
        <f>IF((phi!AR109),VLOOKUP(AR$1,main!$A$3:$I$56,5,FALSE)-VLOOKUP($A164,main!$A$3:$I$56,6,FALSE)+main!$D$58,0)</f>
        <v>0</v>
      </c>
      <c r="AS164">
        <f>IF((phi!AS109),VLOOKUP(AS$1,main!$A$3:$I$56,5,FALSE)-VLOOKUP($A164,main!$A$3:$I$56,6,FALSE)+main!$D$58,0)</f>
        <v>0</v>
      </c>
      <c r="AT164">
        <f>IF((phi!AT109),VLOOKUP(AT$1,main!$A$3:$I$56,5,FALSE)-VLOOKUP($A164,main!$A$3:$I$56,6,FALSE)+main!$D$58,0)</f>
        <v>0</v>
      </c>
      <c r="AU164">
        <f>IF((phi!AU109),VLOOKUP(AU$1,main!$A$3:$I$56,5,FALSE)-VLOOKUP($A164,main!$A$3:$I$56,6,FALSE)+main!$D$58,0)</f>
        <v>0</v>
      </c>
      <c r="AV164">
        <f>IF((phi!AV109),VLOOKUP(AV$1,main!$A$3:$I$56,5,FALSE)-VLOOKUP($A164,main!$A$3:$I$56,6,FALSE)+main!$D$58,0)</f>
        <v>0</v>
      </c>
      <c r="AW164">
        <f>IF((phi!AW109),VLOOKUP(AW$1,main!$A$3:$I$56,5,FALSE)-VLOOKUP($A164,main!$A$3:$I$56,6,FALSE)+main!$D$58,0)</f>
        <v>0</v>
      </c>
      <c r="AX164">
        <f>IF((phi!AX109),VLOOKUP(AX$1,main!$A$3:$I$56,5,FALSE)-VLOOKUP($A164,main!$A$3:$I$56,6,FALSE)+main!$D$58,0)</f>
        <v>0</v>
      </c>
      <c r="AY164">
        <f>IF((phi!AY109),VLOOKUP(AY$1,main!$A$3:$I$56,5,FALSE)-VLOOKUP($A164,main!$A$3:$I$56,6,FALSE)+main!$D$58,0)</f>
        <v>350</v>
      </c>
      <c r="AZ164">
        <f>IF((phi!AZ109),VLOOKUP(AZ$1,main!$A$3:$I$56,5,FALSE)-VLOOKUP($A164,main!$A$3:$I$56,6,FALSE)+main!$D$58,0)</f>
        <v>0</v>
      </c>
      <c r="BA164">
        <f>IF((phi!BA109),VLOOKUP(BA$1,main!$A$3:$I$56,5,FALSE)-VLOOKUP($A164,main!$A$3:$I$56,6,FALSE)+main!$D$58,0)</f>
        <v>0</v>
      </c>
      <c r="BB164">
        <f>IF((phi!BB109),VLOOKUP(BB$1,main!$A$3:$I$56,5,FALSE)-VLOOKUP($A164,main!$A$3:$I$56,6,FALSE)+main!$D$58,0)</f>
        <v>0</v>
      </c>
      <c r="BC164">
        <f>IF((phi!BC109),VLOOKUP(BC$1,main!$A$3:$I$56,5,FALSE)-VLOOKUP($A164,main!$A$3:$I$56,6,FALSE)+main!$D$58,0)</f>
        <v>0</v>
      </c>
      <c r="BD164">
        <f>IF((phi!BD109),VLOOKUP(BD$1,main!$A$3:$I$56,5,FALSE)-VLOOKUP($A164,main!$A$3:$I$56,6,FALSE)+main!$D$58,0)</f>
        <v>0</v>
      </c>
    </row>
    <row r="165" spans="1:56" x14ac:dyDescent="0.25">
      <c r="A165">
        <f t="shared" si="4"/>
        <v>53</v>
      </c>
      <c r="B165">
        <v>0</v>
      </c>
      <c r="C165">
        <f>IF((phi!C110),VLOOKUP(C$1,main!$A$3:$I$56,5,FALSE)-VLOOKUP($A165,main!$A$3:$I$56,6,FALSE)+main!$D$58,0)</f>
        <v>0</v>
      </c>
      <c r="D165">
        <f>IF((phi!D110),VLOOKUP(D$1,main!$A$3:$I$56,5,FALSE)-VLOOKUP($A165,main!$A$3:$I$56,6,FALSE)+main!$D$58,0)</f>
        <v>0</v>
      </c>
      <c r="E165">
        <f>IF((phi!E110),VLOOKUP(E$1,main!$A$3:$I$56,5,FALSE)-VLOOKUP($A165,main!$A$3:$I$56,6,FALSE)+main!$D$58,0)</f>
        <v>0</v>
      </c>
      <c r="F165">
        <f>IF((phi!F110),VLOOKUP(F$1,main!$A$3:$I$56,5,FALSE)-VLOOKUP($A165,main!$A$3:$I$56,6,FALSE)+main!$D$58,0)</f>
        <v>0</v>
      </c>
      <c r="G165">
        <f>IF((phi!G110),VLOOKUP(G$1,main!$A$3:$I$56,5,FALSE)-VLOOKUP($A165,main!$A$3:$I$56,6,FALSE)+main!$D$58,0)</f>
        <v>0</v>
      </c>
      <c r="H165">
        <f>IF((phi!H110),VLOOKUP(H$1,main!$A$3:$I$56,5,FALSE)-VLOOKUP($A165,main!$A$3:$I$56,6,FALSE)+main!$D$58,0)</f>
        <v>0</v>
      </c>
      <c r="I165">
        <f>IF((phi!I110),VLOOKUP(I$1,main!$A$3:$I$56,5,FALSE)-VLOOKUP($A165,main!$A$3:$I$56,6,FALSE)+main!$D$58,0)</f>
        <v>0</v>
      </c>
      <c r="J165">
        <f>IF((phi!J110),VLOOKUP(J$1,main!$A$3:$I$56,5,FALSE)-VLOOKUP($A165,main!$A$3:$I$56,6,FALSE)+main!$D$58,0)</f>
        <v>140</v>
      </c>
      <c r="K165">
        <f>IF((phi!K110),VLOOKUP(K$1,main!$A$3:$I$56,5,FALSE)-VLOOKUP($A165,main!$A$3:$I$56,6,FALSE)+main!$D$58,0)</f>
        <v>0</v>
      </c>
      <c r="L165">
        <f>IF((phi!L110),VLOOKUP(L$1,main!$A$3:$I$56,5,FALSE)-VLOOKUP($A165,main!$A$3:$I$56,6,FALSE)+main!$D$58,0)</f>
        <v>0</v>
      </c>
      <c r="M165">
        <f>IF((phi!M110),VLOOKUP(M$1,main!$A$3:$I$56,5,FALSE)-VLOOKUP($A165,main!$A$3:$I$56,6,FALSE)+main!$D$58,0)</f>
        <v>0</v>
      </c>
      <c r="N165">
        <f>IF((phi!N110),VLOOKUP(N$1,main!$A$3:$I$56,5,FALSE)-VLOOKUP($A165,main!$A$3:$I$56,6,FALSE)+main!$D$58,0)</f>
        <v>0</v>
      </c>
      <c r="O165">
        <f>IF((phi!O110),VLOOKUP(O$1,main!$A$3:$I$56,5,FALSE)-VLOOKUP($A165,main!$A$3:$I$56,6,FALSE)+main!$D$58,0)</f>
        <v>165</v>
      </c>
      <c r="P165">
        <f>IF((phi!P110),VLOOKUP(P$1,main!$A$3:$I$56,5,FALSE)-VLOOKUP($A165,main!$A$3:$I$56,6,FALSE)+main!$D$58,0)</f>
        <v>0</v>
      </c>
      <c r="Q165">
        <f>IF((phi!Q110),VLOOKUP(Q$1,main!$A$3:$I$56,5,FALSE)-VLOOKUP($A165,main!$A$3:$I$56,6,FALSE)+main!$D$58,0)</f>
        <v>0</v>
      </c>
      <c r="R165">
        <f>IF((phi!R110),VLOOKUP(R$1,main!$A$3:$I$56,5,FALSE)-VLOOKUP($A165,main!$A$3:$I$56,6,FALSE)+main!$D$58,0)</f>
        <v>0</v>
      </c>
      <c r="S165">
        <f>IF((phi!S110),VLOOKUP(S$1,main!$A$3:$I$56,5,FALSE)-VLOOKUP($A165,main!$A$3:$I$56,6,FALSE)+main!$D$58,0)</f>
        <v>0</v>
      </c>
      <c r="T165">
        <f>IF((phi!T110),VLOOKUP(T$1,main!$A$3:$I$56,5,FALSE)-VLOOKUP($A165,main!$A$3:$I$56,6,FALSE)+main!$D$58,0)</f>
        <v>0</v>
      </c>
      <c r="U165">
        <f>IF((phi!U110),VLOOKUP(U$1,main!$A$3:$I$56,5,FALSE)-VLOOKUP($A165,main!$A$3:$I$56,6,FALSE)+main!$D$58,0)</f>
        <v>0</v>
      </c>
      <c r="V165">
        <f>IF((phi!V110),VLOOKUP(V$1,main!$A$3:$I$56,5,FALSE)-VLOOKUP($A165,main!$A$3:$I$56,6,FALSE)+main!$D$58,0)</f>
        <v>0</v>
      </c>
      <c r="W165">
        <f>IF((phi!W110),VLOOKUP(W$1,main!$A$3:$I$56,5,FALSE)-VLOOKUP($A165,main!$A$3:$I$56,6,FALSE)+main!$D$58,0)</f>
        <v>0</v>
      </c>
      <c r="X165">
        <f>IF((phi!X110),VLOOKUP(X$1,main!$A$3:$I$56,5,FALSE)-VLOOKUP($A165,main!$A$3:$I$56,6,FALSE)+main!$D$58,0)</f>
        <v>0</v>
      </c>
      <c r="Y165">
        <f>IF((phi!Y110),VLOOKUP(Y$1,main!$A$3:$I$56,5,FALSE)-VLOOKUP($A165,main!$A$3:$I$56,6,FALSE)+main!$D$58,0)</f>
        <v>0</v>
      </c>
      <c r="Z165">
        <f>IF((phi!Z110),VLOOKUP(Z$1,main!$A$3:$I$56,5,FALSE)-VLOOKUP($A165,main!$A$3:$I$56,6,FALSE)+main!$D$58,0)</f>
        <v>0</v>
      </c>
      <c r="AA165">
        <f>IF((phi!AA110),VLOOKUP(AA$1,main!$A$3:$I$56,5,FALSE)-VLOOKUP($A165,main!$A$3:$I$56,6,FALSE)+main!$D$58,0)</f>
        <v>0</v>
      </c>
      <c r="AB165">
        <f>IF((phi!AB110),VLOOKUP(AB$1,main!$A$3:$I$56,5,FALSE)-VLOOKUP($A165,main!$A$3:$I$56,6,FALSE)+main!$D$58,0)</f>
        <v>0</v>
      </c>
      <c r="AC165">
        <f>IF((phi!AC110),VLOOKUP(AC$1,main!$A$3:$I$56,5,FALSE)-VLOOKUP($A165,main!$A$3:$I$56,6,FALSE)+main!$D$58,0)</f>
        <v>0</v>
      </c>
      <c r="AD165">
        <f>IF((phi!AD110),VLOOKUP(AD$1,main!$A$3:$I$56,5,FALSE)-VLOOKUP($A165,main!$A$3:$I$56,6,FALSE)+main!$D$58,0)</f>
        <v>0</v>
      </c>
      <c r="AE165">
        <f>IF((phi!AE110),VLOOKUP(AE$1,main!$A$3:$I$56,5,FALSE)-VLOOKUP($A165,main!$A$3:$I$56,6,FALSE)+main!$D$58,0)</f>
        <v>0</v>
      </c>
      <c r="AF165">
        <f>IF((phi!AF110),VLOOKUP(AF$1,main!$A$3:$I$56,5,FALSE)-VLOOKUP($A165,main!$A$3:$I$56,6,FALSE)+main!$D$58,0)</f>
        <v>0</v>
      </c>
      <c r="AG165">
        <f>IF((phi!AG110),VLOOKUP(AG$1,main!$A$3:$I$56,5,FALSE)-VLOOKUP($A165,main!$A$3:$I$56,6,FALSE)+main!$D$58,0)</f>
        <v>0</v>
      </c>
      <c r="AH165">
        <f>IF((phi!AH110),VLOOKUP(AH$1,main!$A$3:$I$56,5,FALSE)-VLOOKUP($A165,main!$A$3:$I$56,6,FALSE)+main!$D$58,0)</f>
        <v>0</v>
      </c>
      <c r="AI165">
        <f>IF((phi!AI110),VLOOKUP(AI$1,main!$A$3:$I$56,5,FALSE)-VLOOKUP($A165,main!$A$3:$I$56,6,FALSE)+main!$D$58,0)</f>
        <v>0</v>
      </c>
      <c r="AJ165">
        <f>IF((phi!AJ110),VLOOKUP(AJ$1,main!$A$3:$I$56,5,FALSE)-VLOOKUP($A165,main!$A$3:$I$56,6,FALSE)+main!$D$58,0)</f>
        <v>0</v>
      </c>
      <c r="AK165">
        <f>IF((phi!AK110),VLOOKUP(AK$1,main!$A$3:$I$56,5,FALSE)-VLOOKUP($A165,main!$A$3:$I$56,6,FALSE)+main!$D$58,0)</f>
        <v>0</v>
      </c>
      <c r="AL165">
        <f>IF((phi!AL110),VLOOKUP(AL$1,main!$A$3:$I$56,5,FALSE)-VLOOKUP($A165,main!$A$3:$I$56,6,FALSE)+main!$D$58,0)</f>
        <v>0</v>
      </c>
      <c r="AM165">
        <f>IF((phi!AM110),VLOOKUP(AM$1,main!$A$3:$I$56,5,FALSE)-VLOOKUP($A165,main!$A$3:$I$56,6,FALSE)+main!$D$58,0)</f>
        <v>0</v>
      </c>
      <c r="AN165">
        <f>IF((phi!AN110),VLOOKUP(AN$1,main!$A$3:$I$56,5,FALSE)-VLOOKUP($A165,main!$A$3:$I$56,6,FALSE)+main!$D$58,0)</f>
        <v>0</v>
      </c>
      <c r="AO165">
        <f>IF((phi!AO110),VLOOKUP(AO$1,main!$A$3:$I$56,5,FALSE)-VLOOKUP($A165,main!$A$3:$I$56,6,FALSE)+main!$D$58,0)</f>
        <v>0</v>
      </c>
      <c r="AP165">
        <f>IF((phi!AP110),VLOOKUP(AP$1,main!$A$3:$I$56,5,FALSE)-VLOOKUP($A165,main!$A$3:$I$56,6,FALSE)+main!$D$58,0)</f>
        <v>0</v>
      </c>
      <c r="AQ165">
        <f>IF((phi!AQ110),VLOOKUP(AQ$1,main!$A$3:$I$56,5,FALSE)-VLOOKUP($A165,main!$A$3:$I$56,6,FALSE)+main!$D$58,0)</f>
        <v>0</v>
      </c>
      <c r="AR165">
        <f>IF((phi!AR110),VLOOKUP(AR$1,main!$A$3:$I$56,5,FALSE)-VLOOKUP($A165,main!$A$3:$I$56,6,FALSE)+main!$D$58,0)</f>
        <v>0</v>
      </c>
      <c r="AS165">
        <f>IF((phi!AS110),VLOOKUP(AS$1,main!$A$3:$I$56,5,FALSE)-VLOOKUP($A165,main!$A$3:$I$56,6,FALSE)+main!$D$58,0)</f>
        <v>0</v>
      </c>
      <c r="AT165">
        <f>IF((phi!AT110),VLOOKUP(AT$1,main!$A$3:$I$56,5,FALSE)-VLOOKUP($A165,main!$A$3:$I$56,6,FALSE)+main!$D$58,0)</f>
        <v>0</v>
      </c>
      <c r="AU165">
        <f>IF((phi!AU110),VLOOKUP(AU$1,main!$A$3:$I$56,5,FALSE)-VLOOKUP($A165,main!$A$3:$I$56,6,FALSE)+main!$D$58,0)</f>
        <v>0</v>
      </c>
      <c r="AV165">
        <f>IF((phi!AV110),VLOOKUP(AV$1,main!$A$3:$I$56,5,FALSE)-VLOOKUP($A165,main!$A$3:$I$56,6,FALSE)+main!$D$58,0)</f>
        <v>0</v>
      </c>
      <c r="AW165">
        <f>IF((phi!AW110),VLOOKUP(AW$1,main!$A$3:$I$56,5,FALSE)-VLOOKUP($A165,main!$A$3:$I$56,6,FALSE)+main!$D$58,0)</f>
        <v>0</v>
      </c>
      <c r="AX165">
        <f>IF((phi!AX110),VLOOKUP(AX$1,main!$A$3:$I$56,5,FALSE)-VLOOKUP($A165,main!$A$3:$I$56,6,FALSE)+main!$D$58,0)</f>
        <v>0</v>
      </c>
      <c r="AY165">
        <f>IF((phi!AY110),VLOOKUP(AY$1,main!$A$3:$I$56,5,FALSE)-VLOOKUP($A165,main!$A$3:$I$56,6,FALSE)+main!$D$58,0)</f>
        <v>0</v>
      </c>
      <c r="AZ165">
        <f>IF((phi!AZ110),VLOOKUP(AZ$1,main!$A$3:$I$56,5,FALSE)-VLOOKUP($A165,main!$A$3:$I$56,6,FALSE)+main!$D$58,0)</f>
        <v>0</v>
      </c>
      <c r="BA165">
        <f>IF((phi!BA110),VLOOKUP(BA$1,main!$A$3:$I$56,5,FALSE)-VLOOKUP($A165,main!$A$3:$I$56,6,FALSE)+main!$D$58,0)</f>
        <v>0</v>
      </c>
      <c r="BB165">
        <f>IF((phi!BB110),VLOOKUP(BB$1,main!$A$3:$I$56,5,FALSE)-VLOOKUP($A165,main!$A$3:$I$56,6,FALSE)+main!$D$58,0)</f>
        <v>0</v>
      </c>
      <c r="BC165">
        <f>IF((phi!BC110),VLOOKUP(BC$1,main!$A$3:$I$56,5,FALSE)-VLOOKUP($A165,main!$A$3:$I$56,6,FALSE)+main!$D$58,0)</f>
        <v>0</v>
      </c>
      <c r="BD165">
        <f>IF((phi!BD110),VLOOKUP(BD$1,main!$A$3:$I$56,5,FALSE)-VLOOKUP($A165,main!$A$3:$I$56,6,FALSE)+main!$D$58,0)</f>
        <v>0</v>
      </c>
    </row>
    <row r="166" spans="1:56" x14ac:dyDescent="0.25">
      <c r="A166">
        <f t="shared" si="4"/>
        <v>54</v>
      </c>
      <c r="B166">
        <v>0</v>
      </c>
      <c r="C166">
        <f>IF((phi!C111),VLOOKUP(C$1,main!$A$3:$I$56,5,FALSE)-VLOOKUP($A166,main!$A$3:$I$56,6,FALSE)+main!$D$58,0)</f>
        <v>0</v>
      </c>
      <c r="D166">
        <f>IF((phi!D111),VLOOKUP(D$1,main!$A$3:$I$56,5,FALSE)-VLOOKUP($A166,main!$A$3:$I$56,6,FALSE)+main!$D$58,0)</f>
        <v>0</v>
      </c>
      <c r="E166">
        <f>IF((phi!E111),VLOOKUP(E$1,main!$A$3:$I$56,5,FALSE)-VLOOKUP($A166,main!$A$3:$I$56,6,FALSE)+main!$D$58,0)</f>
        <v>0</v>
      </c>
      <c r="F166">
        <f>IF((phi!F111),VLOOKUP(F$1,main!$A$3:$I$56,5,FALSE)-VLOOKUP($A166,main!$A$3:$I$56,6,FALSE)+main!$D$58,0)</f>
        <v>0</v>
      </c>
      <c r="G166">
        <f>IF((phi!G111),VLOOKUP(G$1,main!$A$3:$I$56,5,FALSE)-VLOOKUP($A166,main!$A$3:$I$56,6,FALSE)+main!$D$58,0)</f>
        <v>0</v>
      </c>
      <c r="H166">
        <f>IF((phi!H111),VLOOKUP(H$1,main!$A$3:$I$56,5,FALSE)-VLOOKUP($A166,main!$A$3:$I$56,6,FALSE)+main!$D$58,0)</f>
        <v>0</v>
      </c>
      <c r="I166">
        <f>IF((phi!I111),VLOOKUP(I$1,main!$A$3:$I$56,5,FALSE)-VLOOKUP($A166,main!$A$3:$I$56,6,FALSE)+main!$D$58,0)</f>
        <v>0</v>
      </c>
      <c r="J166">
        <f>IF((phi!J111),VLOOKUP(J$1,main!$A$3:$I$56,5,FALSE)-VLOOKUP($A166,main!$A$3:$I$56,6,FALSE)+main!$D$58,0)</f>
        <v>130</v>
      </c>
      <c r="K166">
        <f>IF((phi!K111),VLOOKUP(K$1,main!$A$3:$I$56,5,FALSE)-VLOOKUP($A166,main!$A$3:$I$56,6,FALSE)+main!$D$58,0)</f>
        <v>0</v>
      </c>
      <c r="L166">
        <f>IF((phi!L111),VLOOKUP(L$1,main!$A$3:$I$56,5,FALSE)-VLOOKUP($A166,main!$A$3:$I$56,6,FALSE)+main!$D$58,0)</f>
        <v>0</v>
      </c>
      <c r="M166">
        <f>IF((phi!M111),VLOOKUP(M$1,main!$A$3:$I$56,5,FALSE)-VLOOKUP($A166,main!$A$3:$I$56,6,FALSE)+main!$D$58,0)</f>
        <v>0</v>
      </c>
      <c r="N166">
        <f>IF((phi!N111),VLOOKUP(N$1,main!$A$3:$I$56,5,FALSE)-VLOOKUP($A166,main!$A$3:$I$56,6,FALSE)+main!$D$58,0)</f>
        <v>0</v>
      </c>
      <c r="O166">
        <f>IF((phi!O111),VLOOKUP(O$1,main!$A$3:$I$56,5,FALSE)-VLOOKUP($A166,main!$A$3:$I$56,6,FALSE)+main!$D$58,0)</f>
        <v>155</v>
      </c>
      <c r="P166">
        <f>IF((phi!P111),VLOOKUP(P$1,main!$A$3:$I$56,5,FALSE)-VLOOKUP($A166,main!$A$3:$I$56,6,FALSE)+main!$D$58,0)</f>
        <v>0</v>
      </c>
      <c r="Q166">
        <f>IF((phi!Q111),VLOOKUP(Q$1,main!$A$3:$I$56,5,FALSE)-VLOOKUP($A166,main!$A$3:$I$56,6,FALSE)+main!$D$58,0)</f>
        <v>0</v>
      </c>
      <c r="R166">
        <f>IF((phi!R111),VLOOKUP(R$1,main!$A$3:$I$56,5,FALSE)-VLOOKUP($A166,main!$A$3:$I$56,6,FALSE)+main!$D$58,0)</f>
        <v>0</v>
      </c>
      <c r="S166">
        <f>IF((phi!S111),VLOOKUP(S$1,main!$A$3:$I$56,5,FALSE)-VLOOKUP($A166,main!$A$3:$I$56,6,FALSE)+main!$D$58,0)</f>
        <v>0</v>
      </c>
      <c r="T166">
        <f>IF((phi!T111),VLOOKUP(T$1,main!$A$3:$I$56,5,FALSE)-VLOOKUP($A166,main!$A$3:$I$56,6,FALSE)+main!$D$58,0)</f>
        <v>0</v>
      </c>
      <c r="U166">
        <f>IF((phi!U111),VLOOKUP(U$1,main!$A$3:$I$56,5,FALSE)-VLOOKUP($A166,main!$A$3:$I$56,6,FALSE)+main!$D$58,0)</f>
        <v>0</v>
      </c>
      <c r="V166">
        <f>IF((phi!V111),VLOOKUP(V$1,main!$A$3:$I$56,5,FALSE)-VLOOKUP($A166,main!$A$3:$I$56,6,FALSE)+main!$D$58,0)</f>
        <v>0</v>
      </c>
      <c r="W166">
        <f>IF((phi!W111),VLOOKUP(W$1,main!$A$3:$I$56,5,FALSE)-VLOOKUP($A166,main!$A$3:$I$56,6,FALSE)+main!$D$58,0)</f>
        <v>0</v>
      </c>
      <c r="X166">
        <f>IF((phi!X111),VLOOKUP(X$1,main!$A$3:$I$56,5,FALSE)-VLOOKUP($A166,main!$A$3:$I$56,6,FALSE)+main!$D$58,0)</f>
        <v>0</v>
      </c>
      <c r="Y166">
        <f>IF((phi!Y111),VLOOKUP(Y$1,main!$A$3:$I$56,5,FALSE)-VLOOKUP($A166,main!$A$3:$I$56,6,FALSE)+main!$D$58,0)</f>
        <v>0</v>
      </c>
      <c r="Z166">
        <f>IF((phi!Z111),VLOOKUP(Z$1,main!$A$3:$I$56,5,FALSE)-VLOOKUP($A166,main!$A$3:$I$56,6,FALSE)+main!$D$58,0)</f>
        <v>0</v>
      </c>
      <c r="AA166">
        <f>IF((phi!AA111),VLOOKUP(AA$1,main!$A$3:$I$56,5,FALSE)-VLOOKUP($A166,main!$A$3:$I$56,6,FALSE)+main!$D$58,0)</f>
        <v>0</v>
      </c>
      <c r="AB166">
        <f>IF((phi!AB111),VLOOKUP(AB$1,main!$A$3:$I$56,5,FALSE)-VLOOKUP($A166,main!$A$3:$I$56,6,FALSE)+main!$D$58,0)</f>
        <v>0</v>
      </c>
      <c r="AC166">
        <f>IF((phi!AC111),VLOOKUP(AC$1,main!$A$3:$I$56,5,FALSE)-VLOOKUP($A166,main!$A$3:$I$56,6,FALSE)+main!$D$58,0)</f>
        <v>0</v>
      </c>
      <c r="AD166">
        <f>IF((phi!AD111),VLOOKUP(AD$1,main!$A$3:$I$56,5,FALSE)-VLOOKUP($A166,main!$A$3:$I$56,6,FALSE)+main!$D$58,0)</f>
        <v>0</v>
      </c>
      <c r="AE166">
        <f>IF((phi!AE111),VLOOKUP(AE$1,main!$A$3:$I$56,5,FALSE)-VLOOKUP($A166,main!$A$3:$I$56,6,FALSE)+main!$D$58,0)</f>
        <v>0</v>
      </c>
      <c r="AF166">
        <f>IF((phi!AF111),VLOOKUP(AF$1,main!$A$3:$I$56,5,FALSE)-VLOOKUP($A166,main!$A$3:$I$56,6,FALSE)+main!$D$58,0)</f>
        <v>0</v>
      </c>
      <c r="AG166">
        <f>IF((phi!AG111),VLOOKUP(AG$1,main!$A$3:$I$56,5,FALSE)-VLOOKUP($A166,main!$A$3:$I$56,6,FALSE)+main!$D$58,0)</f>
        <v>0</v>
      </c>
      <c r="AH166">
        <f>IF((phi!AH111),VLOOKUP(AH$1,main!$A$3:$I$56,5,FALSE)-VLOOKUP($A166,main!$A$3:$I$56,6,FALSE)+main!$D$58,0)</f>
        <v>0</v>
      </c>
      <c r="AI166">
        <f>IF((phi!AI111),VLOOKUP(AI$1,main!$A$3:$I$56,5,FALSE)-VLOOKUP($A166,main!$A$3:$I$56,6,FALSE)+main!$D$58,0)</f>
        <v>0</v>
      </c>
      <c r="AJ166">
        <f>IF((phi!AJ111),VLOOKUP(AJ$1,main!$A$3:$I$56,5,FALSE)-VLOOKUP($A166,main!$A$3:$I$56,6,FALSE)+main!$D$58,0)</f>
        <v>0</v>
      </c>
      <c r="AK166">
        <f>IF((phi!AK111),VLOOKUP(AK$1,main!$A$3:$I$56,5,FALSE)-VLOOKUP($A166,main!$A$3:$I$56,6,FALSE)+main!$D$58,0)</f>
        <v>0</v>
      </c>
      <c r="AL166">
        <f>IF((phi!AL111),VLOOKUP(AL$1,main!$A$3:$I$56,5,FALSE)-VLOOKUP($A166,main!$A$3:$I$56,6,FALSE)+main!$D$58,0)</f>
        <v>0</v>
      </c>
      <c r="AM166">
        <f>IF((phi!AM111),VLOOKUP(AM$1,main!$A$3:$I$56,5,FALSE)-VLOOKUP($A166,main!$A$3:$I$56,6,FALSE)+main!$D$58,0)</f>
        <v>0</v>
      </c>
      <c r="AN166">
        <f>IF((phi!AN111),VLOOKUP(AN$1,main!$A$3:$I$56,5,FALSE)-VLOOKUP($A166,main!$A$3:$I$56,6,FALSE)+main!$D$58,0)</f>
        <v>0</v>
      </c>
      <c r="AO166">
        <f>IF((phi!AO111),VLOOKUP(AO$1,main!$A$3:$I$56,5,FALSE)-VLOOKUP($A166,main!$A$3:$I$56,6,FALSE)+main!$D$58,0)</f>
        <v>0</v>
      </c>
      <c r="AP166">
        <f>IF((phi!AP111),VLOOKUP(AP$1,main!$A$3:$I$56,5,FALSE)-VLOOKUP($A166,main!$A$3:$I$56,6,FALSE)+main!$D$58,0)</f>
        <v>0</v>
      </c>
      <c r="AQ166">
        <f>IF((phi!AQ111),VLOOKUP(AQ$1,main!$A$3:$I$56,5,FALSE)-VLOOKUP($A166,main!$A$3:$I$56,6,FALSE)+main!$D$58,0)</f>
        <v>0</v>
      </c>
      <c r="AR166">
        <f>IF((phi!AR111),VLOOKUP(AR$1,main!$A$3:$I$56,5,FALSE)-VLOOKUP($A166,main!$A$3:$I$56,6,FALSE)+main!$D$58,0)</f>
        <v>0</v>
      </c>
      <c r="AS166">
        <f>IF((phi!AS111),VLOOKUP(AS$1,main!$A$3:$I$56,5,FALSE)-VLOOKUP($A166,main!$A$3:$I$56,6,FALSE)+main!$D$58,0)</f>
        <v>0</v>
      </c>
      <c r="AT166">
        <f>IF((phi!AT111),VLOOKUP(AT$1,main!$A$3:$I$56,5,FALSE)-VLOOKUP($A166,main!$A$3:$I$56,6,FALSE)+main!$D$58,0)</f>
        <v>0</v>
      </c>
      <c r="AU166">
        <f>IF((phi!AU111),VLOOKUP(AU$1,main!$A$3:$I$56,5,FALSE)-VLOOKUP($A166,main!$A$3:$I$56,6,FALSE)+main!$D$58,0)</f>
        <v>0</v>
      </c>
      <c r="AV166">
        <f>IF((phi!AV111),VLOOKUP(AV$1,main!$A$3:$I$56,5,FALSE)-VLOOKUP($A166,main!$A$3:$I$56,6,FALSE)+main!$D$58,0)</f>
        <v>0</v>
      </c>
      <c r="AW166">
        <f>IF((phi!AW111),VLOOKUP(AW$1,main!$A$3:$I$56,5,FALSE)-VLOOKUP($A166,main!$A$3:$I$56,6,FALSE)+main!$D$58,0)</f>
        <v>0</v>
      </c>
      <c r="AX166">
        <f>IF((phi!AX111),VLOOKUP(AX$1,main!$A$3:$I$56,5,FALSE)-VLOOKUP($A166,main!$A$3:$I$56,6,FALSE)+main!$D$58,0)</f>
        <v>0</v>
      </c>
      <c r="AY166">
        <f>IF((phi!AY111),VLOOKUP(AY$1,main!$A$3:$I$56,5,FALSE)-VLOOKUP($A166,main!$A$3:$I$56,6,FALSE)+main!$D$58,0)</f>
        <v>0</v>
      </c>
      <c r="AZ166">
        <f>IF((phi!AZ111),VLOOKUP(AZ$1,main!$A$3:$I$56,5,FALSE)-VLOOKUP($A166,main!$A$3:$I$56,6,FALSE)+main!$D$58,0)</f>
        <v>0</v>
      </c>
      <c r="BA166">
        <f>IF((phi!BA111),VLOOKUP(BA$1,main!$A$3:$I$56,5,FALSE)-VLOOKUP($A166,main!$A$3:$I$56,6,FALSE)+main!$D$58,0)</f>
        <v>0</v>
      </c>
      <c r="BB166">
        <f>IF((phi!BB111),VLOOKUP(BB$1,main!$A$3:$I$56,5,FALSE)-VLOOKUP($A166,main!$A$3:$I$56,6,FALSE)+main!$D$58,0)</f>
        <v>0</v>
      </c>
      <c r="BC166">
        <f>IF((phi!BC111),VLOOKUP(BC$1,main!$A$3:$I$56,5,FALSE)-VLOOKUP($A166,main!$A$3:$I$56,6,FALSE)+main!$D$58,0)</f>
        <v>0</v>
      </c>
      <c r="BD166">
        <f>IF((phi!BD111),VLOOKUP(BD$1,main!$A$3:$I$56,5,FALSE)-VLOOKUP($A166,main!$A$3:$I$56,6,FALSE)+main!$D$58,0)</f>
        <v>0</v>
      </c>
    </row>
    <row r="167" spans="1: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25">
      <c r="A168">
        <f>A167+1</f>
        <v>1</v>
      </c>
      <c r="B168">
        <v>0</v>
      </c>
      <c r="C168">
        <f>IF((phi!C113),VLOOKUP(C$1,main!$A$3:$I$56,5,FALSE)-VLOOKUP($A168,main!$A$3:$I$56,6,FALSE)+main!$D$59,0)</f>
        <v>0</v>
      </c>
      <c r="D168">
        <f>IF((phi!D113),VLOOKUP(D$1,main!$A$3:$I$56,5,FALSE)-VLOOKUP($A168,main!$A$3:$I$56,6,FALSE)+main!$D$59,0)</f>
        <v>0</v>
      </c>
      <c r="E168">
        <f>IF((phi!E113),VLOOKUP(E$1,main!$A$3:$I$56,5,FALSE)-VLOOKUP($A168,main!$A$3:$I$56,6,FALSE)+main!$D$59,0)</f>
        <v>0</v>
      </c>
      <c r="F168">
        <f>IF((phi!F113),VLOOKUP(F$1,main!$A$3:$I$56,5,FALSE)-VLOOKUP($A168,main!$A$3:$I$56,6,FALSE)+main!$D$59,0)</f>
        <v>275</v>
      </c>
      <c r="G168">
        <f>IF((phi!G113),VLOOKUP(G$1,main!$A$3:$I$56,5,FALSE)-VLOOKUP($A168,main!$A$3:$I$56,6,FALSE)+main!$D$59,0)</f>
        <v>335</v>
      </c>
      <c r="H168">
        <f>IF((phi!H113),VLOOKUP(H$1,main!$A$3:$I$56,5,FALSE)-VLOOKUP($A168,main!$A$3:$I$56,6,FALSE)+main!$D$59,0)</f>
        <v>395</v>
      </c>
      <c r="I168">
        <f>IF((phi!I113),VLOOKUP(I$1,main!$A$3:$I$56,5,FALSE)-VLOOKUP($A168,main!$A$3:$I$56,6,FALSE)+main!$D$59,0)</f>
        <v>455</v>
      </c>
      <c r="J168">
        <f>IF((phi!J113),VLOOKUP(J$1,main!$A$3:$I$56,5,FALSE)-VLOOKUP($A168,main!$A$3:$I$56,6,FALSE)+main!$D$59,0)</f>
        <v>545</v>
      </c>
      <c r="K168">
        <f>IF((phi!K113),VLOOKUP(K$1,main!$A$3:$I$56,5,FALSE)-VLOOKUP($A168,main!$A$3:$I$56,6,FALSE)+main!$D$59,0)</f>
        <v>0</v>
      </c>
      <c r="L168">
        <f>IF((phi!L113),VLOOKUP(L$1,main!$A$3:$I$56,5,FALSE)-VLOOKUP($A168,main!$A$3:$I$56,6,FALSE)+main!$D$59,0)</f>
        <v>0</v>
      </c>
      <c r="M168">
        <f>IF((phi!M113),VLOOKUP(M$1,main!$A$3:$I$56,5,FALSE)-VLOOKUP($A168,main!$A$3:$I$56,6,FALSE)+main!$D$59,0)</f>
        <v>0</v>
      </c>
      <c r="N168">
        <f>IF((phi!N113),VLOOKUP(N$1,main!$A$3:$I$56,5,FALSE)-VLOOKUP($A168,main!$A$3:$I$56,6,FALSE)+main!$D$59,0)</f>
        <v>510</v>
      </c>
      <c r="O168">
        <f>IF((phi!O113),VLOOKUP(O$1,main!$A$3:$I$56,5,FALSE)-VLOOKUP($A168,main!$A$3:$I$56,6,FALSE)+main!$D$59,0)</f>
        <v>570</v>
      </c>
      <c r="P168">
        <f>IF((phi!P113),VLOOKUP(P$1,main!$A$3:$I$56,5,FALSE)-VLOOKUP($A168,main!$A$3:$I$56,6,FALSE)+main!$D$59,0)</f>
        <v>0</v>
      </c>
      <c r="Q168">
        <f>IF((phi!Q113),VLOOKUP(Q$1,main!$A$3:$I$56,5,FALSE)-VLOOKUP($A168,main!$A$3:$I$56,6,FALSE)+main!$D$59,0)</f>
        <v>0</v>
      </c>
      <c r="R168">
        <f>IF((phi!R113),VLOOKUP(R$1,main!$A$3:$I$56,5,FALSE)-VLOOKUP($A168,main!$A$3:$I$56,6,FALSE)+main!$D$59,0)</f>
        <v>0</v>
      </c>
      <c r="S168">
        <f>IF((phi!S113),VLOOKUP(S$1,main!$A$3:$I$56,5,FALSE)-VLOOKUP($A168,main!$A$3:$I$56,6,FALSE)+main!$D$59,0)</f>
        <v>325</v>
      </c>
      <c r="T168">
        <f>IF((phi!T113),VLOOKUP(T$1,main!$A$3:$I$56,5,FALSE)-VLOOKUP($A168,main!$A$3:$I$56,6,FALSE)+main!$D$59,0)</f>
        <v>475</v>
      </c>
      <c r="U168">
        <f>IF((phi!U113),VLOOKUP(U$1,main!$A$3:$I$56,5,FALSE)-VLOOKUP($A168,main!$A$3:$I$56,6,FALSE)+main!$D$59,0)</f>
        <v>0</v>
      </c>
      <c r="V168">
        <f>IF((phi!V113),VLOOKUP(V$1,main!$A$3:$I$56,5,FALSE)-VLOOKUP($A168,main!$A$3:$I$56,6,FALSE)+main!$D$59,0)</f>
        <v>0</v>
      </c>
      <c r="W168">
        <f>IF((phi!W113),VLOOKUP(W$1,main!$A$3:$I$56,5,FALSE)-VLOOKUP($A168,main!$A$3:$I$56,6,FALSE)+main!$D$59,0)</f>
        <v>0</v>
      </c>
      <c r="X168">
        <f>IF((phi!X113),VLOOKUP(X$1,main!$A$3:$I$56,5,FALSE)-VLOOKUP($A168,main!$A$3:$I$56,6,FALSE)+main!$D$59,0)</f>
        <v>165</v>
      </c>
      <c r="Y168">
        <f>IF((phi!Y113),VLOOKUP(Y$1,main!$A$3:$I$56,5,FALSE)-VLOOKUP($A168,main!$A$3:$I$56,6,FALSE)+main!$D$59,0)</f>
        <v>255</v>
      </c>
      <c r="Z168">
        <f>IF((phi!Z113),VLOOKUP(Z$1,main!$A$3:$I$56,5,FALSE)-VLOOKUP($A168,main!$A$3:$I$56,6,FALSE)+main!$D$59,0)</f>
        <v>345</v>
      </c>
      <c r="AA168">
        <f>IF((phi!AA113),VLOOKUP(AA$1,main!$A$3:$I$56,5,FALSE)-VLOOKUP($A168,main!$A$3:$I$56,6,FALSE)+main!$D$59,0)</f>
        <v>435</v>
      </c>
      <c r="AB168">
        <f>IF((phi!AB113),VLOOKUP(AB$1,main!$A$3:$I$56,5,FALSE)-VLOOKUP($A168,main!$A$3:$I$56,6,FALSE)+main!$D$59,0)</f>
        <v>495</v>
      </c>
      <c r="AC168">
        <f>IF((phi!AC113),VLOOKUP(AC$1,main!$A$3:$I$56,5,FALSE)-VLOOKUP($A168,main!$A$3:$I$56,6,FALSE)+main!$D$59,0)</f>
        <v>0</v>
      </c>
      <c r="AD168">
        <f>IF((phi!AD113),VLOOKUP(AD$1,main!$A$3:$I$56,5,FALSE)-VLOOKUP($A168,main!$A$3:$I$56,6,FALSE)+main!$D$59,0)</f>
        <v>0</v>
      </c>
      <c r="AE168">
        <f>IF((phi!AE113),VLOOKUP(AE$1,main!$A$3:$I$56,5,FALSE)-VLOOKUP($A168,main!$A$3:$I$56,6,FALSE)+main!$D$59,0)</f>
        <v>155</v>
      </c>
      <c r="AF168">
        <f>IF((phi!AF113),VLOOKUP(AF$1,main!$A$3:$I$56,5,FALSE)-VLOOKUP($A168,main!$A$3:$I$56,6,FALSE)+main!$D$59,0)</f>
        <v>305</v>
      </c>
      <c r="AG168">
        <f>IF((phi!AG113),VLOOKUP(AG$1,main!$A$3:$I$56,5,FALSE)-VLOOKUP($A168,main!$A$3:$I$56,6,FALSE)+main!$D$59,0)</f>
        <v>0</v>
      </c>
      <c r="AH168">
        <f>IF((phi!AH113),VLOOKUP(AH$1,main!$A$3:$I$56,5,FALSE)-VLOOKUP($A168,main!$A$3:$I$56,6,FALSE)+main!$D$59,0)</f>
        <v>0</v>
      </c>
      <c r="AI168">
        <f>IF((phi!AI113),VLOOKUP(AI$1,main!$A$3:$I$56,5,FALSE)-VLOOKUP($A168,main!$A$3:$I$56,6,FALSE)+main!$D$59,0)</f>
        <v>0</v>
      </c>
      <c r="AJ168">
        <f>IF((phi!AJ113),VLOOKUP(AJ$1,main!$A$3:$I$56,5,FALSE)-VLOOKUP($A168,main!$A$3:$I$56,6,FALSE)+main!$D$59,0)</f>
        <v>275</v>
      </c>
      <c r="AK168">
        <f>IF((phi!AK113),VLOOKUP(AK$1,main!$A$3:$I$56,5,FALSE)-VLOOKUP($A168,main!$A$3:$I$56,6,FALSE)+main!$D$59,0)</f>
        <v>395</v>
      </c>
      <c r="AL168">
        <f>IF((phi!AL113),VLOOKUP(AL$1,main!$A$3:$I$56,5,FALSE)-VLOOKUP($A168,main!$A$3:$I$56,6,FALSE)+main!$D$59,0)</f>
        <v>0</v>
      </c>
      <c r="AM168">
        <f>IF((phi!AM113),VLOOKUP(AM$1,main!$A$3:$I$56,5,FALSE)-VLOOKUP($A168,main!$A$3:$I$56,6,FALSE)+main!$D$59,0)</f>
        <v>0</v>
      </c>
      <c r="AN168">
        <f>IF((phi!AN113),VLOOKUP(AN$1,main!$A$3:$I$56,5,FALSE)-VLOOKUP($A168,main!$A$3:$I$56,6,FALSE)+main!$D$59,0)</f>
        <v>255</v>
      </c>
      <c r="AO168">
        <f>IF((phi!AO113),VLOOKUP(AO$1,main!$A$3:$I$56,5,FALSE)-VLOOKUP($A168,main!$A$3:$I$56,6,FALSE)+main!$D$59,0)</f>
        <v>305</v>
      </c>
      <c r="AP168">
        <f>IF((phi!AP113),VLOOKUP(AP$1,main!$A$3:$I$56,5,FALSE)-VLOOKUP($A168,main!$A$3:$I$56,6,FALSE)+main!$D$59,0)</f>
        <v>0</v>
      </c>
      <c r="AQ168">
        <f>IF((phi!AQ113),VLOOKUP(AQ$1,main!$A$3:$I$56,5,FALSE)-VLOOKUP($A168,main!$A$3:$I$56,6,FALSE)+main!$D$59,0)</f>
        <v>0</v>
      </c>
      <c r="AR168">
        <f>IF((phi!AR113),VLOOKUP(AR$1,main!$A$3:$I$56,5,FALSE)-VLOOKUP($A168,main!$A$3:$I$56,6,FALSE)+main!$D$59,0)</f>
        <v>0</v>
      </c>
      <c r="AS168">
        <f>IF((phi!AS113),VLOOKUP(AS$1,main!$A$3:$I$56,5,FALSE)-VLOOKUP($A168,main!$A$3:$I$56,6,FALSE)+main!$D$59,0)</f>
        <v>0</v>
      </c>
      <c r="AT168">
        <f>IF((phi!AT113),VLOOKUP(AT$1,main!$A$3:$I$56,5,FALSE)-VLOOKUP($A168,main!$A$3:$I$56,6,FALSE)+main!$D$59,0)</f>
        <v>0</v>
      </c>
      <c r="AU168">
        <f>IF((phi!AU113),VLOOKUP(AU$1,main!$A$3:$I$56,5,FALSE)-VLOOKUP($A168,main!$A$3:$I$56,6,FALSE)+main!$D$59,0)</f>
        <v>0</v>
      </c>
      <c r="AV168">
        <f>IF((phi!AV113),VLOOKUP(AV$1,main!$A$3:$I$56,5,FALSE)-VLOOKUP($A168,main!$A$3:$I$56,6,FALSE)+main!$D$59,0)</f>
        <v>0</v>
      </c>
      <c r="AW168">
        <f>IF((phi!AW113),VLOOKUP(AW$1,main!$A$3:$I$56,5,FALSE)-VLOOKUP($A168,main!$A$3:$I$56,6,FALSE)+main!$D$59,0)</f>
        <v>0</v>
      </c>
      <c r="AX168">
        <f>IF((phi!AX113),VLOOKUP(AX$1,main!$A$3:$I$56,5,FALSE)-VLOOKUP($A168,main!$A$3:$I$56,6,FALSE)+main!$D$59,0)</f>
        <v>355</v>
      </c>
      <c r="AY168">
        <f>IF((phi!AY113),VLOOKUP(AY$1,main!$A$3:$I$56,5,FALSE)-VLOOKUP($A168,main!$A$3:$I$56,6,FALSE)+main!$D$59,0)</f>
        <v>555</v>
      </c>
      <c r="AZ168">
        <f>IF((phi!AZ113),VLOOKUP(AZ$1,main!$A$3:$I$56,5,FALSE)-VLOOKUP($A168,main!$A$3:$I$56,6,FALSE)+main!$D$59,0)</f>
        <v>0</v>
      </c>
      <c r="BA168">
        <f>IF((phi!BA113),VLOOKUP(BA$1,main!$A$3:$I$56,5,FALSE)-VLOOKUP($A168,main!$A$3:$I$56,6,FALSE)+main!$D$59,0)</f>
        <v>0</v>
      </c>
      <c r="BB168">
        <f>IF((phi!BB113),VLOOKUP(BB$1,main!$A$3:$I$56,5,FALSE)-VLOOKUP($A168,main!$A$3:$I$56,6,FALSE)+main!$D$59,0)</f>
        <v>0</v>
      </c>
      <c r="BC168">
        <f>IF((phi!BC113),VLOOKUP(BC$1,main!$A$3:$I$56,5,FALSE)-VLOOKUP($A168,main!$A$3:$I$56,6,FALSE)+main!$D$59,0)</f>
        <v>320</v>
      </c>
      <c r="BD168">
        <f>IF((phi!BD113),VLOOKUP(BD$1,main!$A$3:$I$56,5,FALSE)-VLOOKUP($A168,main!$A$3:$I$56,6,FALSE)+main!$D$59,0)</f>
        <v>330</v>
      </c>
    </row>
    <row r="169" spans="1:56" x14ac:dyDescent="0.25">
      <c r="A169">
        <f t="shared" ref="A169:A221" si="5">A168+1</f>
        <v>2</v>
      </c>
      <c r="B169">
        <v>0</v>
      </c>
      <c r="C169">
        <f>IF((phi!C114),VLOOKUP(C$1,main!$A$3:$I$56,5,FALSE)-VLOOKUP($A169,main!$A$3:$I$56,6,FALSE)+main!$D$59,0)</f>
        <v>0</v>
      </c>
      <c r="D169">
        <f>IF((phi!D114),VLOOKUP(D$1,main!$A$3:$I$56,5,FALSE)-VLOOKUP($A169,main!$A$3:$I$56,6,FALSE)+main!$D$59,0)</f>
        <v>0</v>
      </c>
      <c r="E169">
        <f>IF((phi!E114),VLOOKUP(E$1,main!$A$3:$I$56,5,FALSE)-VLOOKUP($A169,main!$A$3:$I$56,6,FALSE)+main!$D$59,0)</f>
        <v>0</v>
      </c>
      <c r="F169">
        <f>IF((phi!F114),VLOOKUP(F$1,main!$A$3:$I$56,5,FALSE)-VLOOKUP($A169,main!$A$3:$I$56,6,FALSE)+main!$D$59,0)</f>
        <v>0</v>
      </c>
      <c r="G169">
        <f>IF((phi!G114),VLOOKUP(G$1,main!$A$3:$I$56,5,FALSE)-VLOOKUP($A169,main!$A$3:$I$56,6,FALSE)+main!$D$59,0)</f>
        <v>0</v>
      </c>
      <c r="H169">
        <f>IF((phi!H114),VLOOKUP(H$1,main!$A$3:$I$56,5,FALSE)-VLOOKUP($A169,main!$A$3:$I$56,6,FALSE)+main!$D$59,0)</f>
        <v>0</v>
      </c>
      <c r="I169">
        <f>IF((phi!I114),VLOOKUP(I$1,main!$A$3:$I$56,5,FALSE)-VLOOKUP($A169,main!$A$3:$I$56,6,FALSE)+main!$D$59,0)</f>
        <v>275</v>
      </c>
      <c r="J169">
        <f>IF((phi!J114),VLOOKUP(J$1,main!$A$3:$I$56,5,FALSE)-VLOOKUP($A169,main!$A$3:$I$56,6,FALSE)+main!$D$59,0)</f>
        <v>365</v>
      </c>
      <c r="K169">
        <f>IF((phi!K114),VLOOKUP(K$1,main!$A$3:$I$56,5,FALSE)-VLOOKUP($A169,main!$A$3:$I$56,6,FALSE)+main!$D$59,0)</f>
        <v>0</v>
      </c>
      <c r="L169">
        <f>IF((phi!L114),VLOOKUP(L$1,main!$A$3:$I$56,5,FALSE)-VLOOKUP($A169,main!$A$3:$I$56,6,FALSE)+main!$D$59,0)</f>
        <v>0</v>
      </c>
      <c r="M169">
        <f>IF((phi!M114),VLOOKUP(M$1,main!$A$3:$I$56,5,FALSE)-VLOOKUP($A169,main!$A$3:$I$56,6,FALSE)+main!$D$59,0)</f>
        <v>0</v>
      </c>
      <c r="N169">
        <f>IF((phi!N114),VLOOKUP(N$1,main!$A$3:$I$56,5,FALSE)-VLOOKUP($A169,main!$A$3:$I$56,6,FALSE)+main!$D$59,0)</f>
        <v>330</v>
      </c>
      <c r="O169">
        <f>IF((phi!O114),VLOOKUP(O$1,main!$A$3:$I$56,5,FALSE)-VLOOKUP($A169,main!$A$3:$I$56,6,FALSE)+main!$D$59,0)</f>
        <v>390</v>
      </c>
      <c r="P169">
        <f>IF((phi!P114),VLOOKUP(P$1,main!$A$3:$I$56,5,FALSE)-VLOOKUP($A169,main!$A$3:$I$56,6,FALSE)+main!$D$59,0)</f>
        <v>0</v>
      </c>
      <c r="Q169">
        <f>IF((phi!Q114),VLOOKUP(Q$1,main!$A$3:$I$56,5,FALSE)-VLOOKUP($A169,main!$A$3:$I$56,6,FALSE)+main!$D$59,0)</f>
        <v>0</v>
      </c>
      <c r="R169">
        <f>IF((phi!R114),VLOOKUP(R$1,main!$A$3:$I$56,5,FALSE)-VLOOKUP($A169,main!$A$3:$I$56,6,FALSE)+main!$D$59,0)</f>
        <v>0</v>
      </c>
      <c r="S169">
        <f>IF((phi!S114),VLOOKUP(S$1,main!$A$3:$I$56,5,FALSE)-VLOOKUP($A169,main!$A$3:$I$56,6,FALSE)+main!$D$59,0)</f>
        <v>0</v>
      </c>
      <c r="T169">
        <f>IF((phi!T114),VLOOKUP(T$1,main!$A$3:$I$56,5,FALSE)-VLOOKUP($A169,main!$A$3:$I$56,6,FALSE)+main!$D$59,0)</f>
        <v>295</v>
      </c>
      <c r="U169">
        <f>IF((phi!U114),VLOOKUP(U$1,main!$A$3:$I$56,5,FALSE)-VLOOKUP($A169,main!$A$3:$I$56,6,FALSE)+main!$D$59,0)</f>
        <v>0</v>
      </c>
      <c r="V169">
        <f>IF((phi!V114),VLOOKUP(V$1,main!$A$3:$I$56,5,FALSE)-VLOOKUP($A169,main!$A$3:$I$56,6,FALSE)+main!$D$59,0)</f>
        <v>0</v>
      </c>
      <c r="W169">
        <f>IF((phi!W114),VLOOKUP(W$1,main!$A$3:$I$56,5,FALSE)-VLOOKUP($A169,main!$A$3:$I$56,6,FALSE)+main!$D$59,0)</f>
        <v>0</v>
      </c>
      <c r="X169">
        <f>IF((phi!X114),VLOOKUP(X$1,main!$A$3:$I$56,5,FALSE)-VLOOKUP($A169,main!$A$3:$I$56,6,FALSE)+main!$D$59,0)</f>
        <v>0</v>
      </c>
      <c r="Y169">
        <f>IF((phi!Y114),VLOOKUP(Y$1,main!$A$3:$I$56,5,FALSE)-VLOOKUP($A169,main!$A$3:$I$56,6,FALSE)+main!$D$59,0)</f>
        <v>0</v>
      </c>
      <c r="Z169">
        <f>IF((phi!Z114),VLOOKUP(Z$1,main!$A$3:$I$56,5,FALSE)-VLOOKUP($A169,main!$A$3:$I$56,6,FALSE)+main!$D$59,0)</f>
        <v>165</v>
      </c>
      <c r="AA169">
        <f>IF((phi!AA114),VLOOKUP(AA$1,main!$A$3:$I$56,5,FALSE)-VLOOKUP($A169,main!$A$3:$I$56,6,FALSE)+main!$D$59,0)</f>
        <v>255</v>
      </c>
      <c r="AB169">
        <f>IF((phi!AB114),VLOOKUP(AB$1,main!$A$3:$I$56,5,FALSE)-VLOOKUP($A169,main!$A$3:$I$56,6,FALSE)+main!$D$59,0)</f>
        <v>315</v>
      </c>
      <c r="AC169">
        <f>IF((phi!AC114),VLOOKUP(AC$1,main!$A$3:$I$56,5,FALSE)-VLOOKUP($A169,main!$A$3:$I$56,6,FALSE)+main!$D$59,0)</f>
        <v>0</v>
      </c>
      <c r="AD169">
        <f>IF((phi!AD114),VLOOKUP(AD$1,main!$A$3:$I$56,5,FALSE)-VLOOKUP($A169,main!$A$3:$I$56,6,FALSE)+main!$D$59,0)</f>
        <v>0</v>
      </c>
      <c r="AE169">
        <f>IF((phi!AE114),VLOOKUP(AE$1,main!$A$3:$I$56,5,FALSE)-VLOOKUP($A169,main!$A$3:$I$56,6,FALSE)+main!$D$59,0)</f>
        <v>0</v>
      </c>
      <c r="AF169">
        <f>IF((phi!AF114),VLOOKUP(AF$1,main!$A$3:$I$56,5,FALSE)-VLOOKUP($A169,main!$A$3:$I$56,6,FALSE)+main!$D$59,0)</f>
        <v>125</v>
      </c>
      <c r="AG169">
        <f>IF((phi!AG114),VLOOKUP(AG$1,main!$A$3:$I$56,5,FALSE)-VLOOKUP($A169,main!$A$3:$I$56,6,FALSE)+main!$D$59,0)</f>
        <v>0</v>
      </c>
      <c r="AH169">
        <f>IF((phi!AH114),VLOOKUP(AH$1,main!$A$3:$I$56,5,FALSE)-VLOOKUP($A169,main!$A$3:$I$56,6,FALSE)+main!$D$59,0)</f>
        <v>0</v>
      </c>
      <c r="AI169">
        <f>IF((phi!AI114),VLOOKUP(AI$1,main!$A$3:$I$56,5,FALSE)-VLOOKUP($A169,main!$A$3:$I$56,6,FALSE)+main!$D$59,0)</f>
        <v>0</v>
      </c>
      <c r="AJ169">
        <f>IF((phi!AJ114),VLOOKUP(AJ$1,main!$A$3:$I$56,5,FALSE)-VLOOKUP($A169,main!$A$3:$I$56,6,FALSE)+main!$D$59,0)</f>
        <v>0</v>
      </c>
      <c r="AK169">
        <f>IF((phi!AK114),VLOOKUP(AK$1,main!$A$3:$I$56,5,FALSE)-VLOOKUP($A169,main!$A$3:$I$56,6,FALSE)+main!$D$59,0)</f>
        <v>0</v>
      </c>
      <c r="AL169">
        <f>IF((phi!AL114),VLOOKUP(AL$1,main!$A$3:$I$56,5,FALSE)-VLOOKUP($A169,main!$A$3:$I$56,6,FALSE)+main!$D$59,0)</f>
        <v>0</v>
      </c>
      <c r="AM169">
        <f>IF((phi!AM114),VLOOKUP(AM$1,main!$A$3:$I$56,5,FALSE)-VLOOKUP($A169,main!$A$3:$I$56,6,FALSE)+main!$D$59,0)</f>
        <v>0</v>
      </c>
      <c r="AN169">
        <f>IF((phi!AN114),VLOOKUP(AN$1,main!$A$3:$I$56,5,FALSE)-VLOOKUP($A169,main!$A$3:$I$56,6,FALSE)+main!$D$59,0)</f>
        <v>0</v>
      </c>
      <c r="AO169">
        <f>IF((phi!AO114),VLOOKUP(AO$1,main!$A$3:$I$56,5,FALSE)-VLOOKUP($A169,main!$A$3:$I$56,6,FALSE)+main!$D$59,0)</f>
        <v>0</v>
      </c>
      <c r="AP169">
        <f>IF((phi!AP114),VLOOKUP(AP$1,main!$A$3:$I$56,5,FALSE)-VLOOKUP($A169,main!$A$3:$I$56,6,FALSE)+main!$D$59,0)</f>
        <v>0</v>
      </c>
      <c r="AQ169">
        <f>IF((phi!AQ114),VLOOKUP(AQ$1,main!$A$3:$I$56,5,FALSE)-VLOOKUP($A169,main!$A$3:$I$56,6,FALSE)+main!$D$59,0)</f>
        <v>0</v>
      </c>
      <c r="AR169">
        <f>IF((phi!AR114),VLOOKUP(AR$1,main!$A$3:$I$56,5,FALSE)-VLOOKUP($A169,main!$A$3:$I$56,6,FALSE)+main!$D$59,0)</f>
        <v>0</v>
      </c>
      <c r="AS169">
        <f>IF((phi!AS114),VLOOKUP(AS$1,main!$A$3:$I$56,5,FALSE)-VLOOKUP($A169,main!$A$3:$I$56,6,FALSE)+main!$D$59,0)</f>
        <v>0</v>
      </c>
      <c r="AT169">
        <f>IF((phi!AT114),VLOOKUP(AT$1,main!$A$3:$I$56,5,FALSE)-VLOOKUP($A169,main!$A$3:$I$56,6,FALSE)+main!$D$59,0)</f>
        <v>0</v>
      </c>
      <c r="AU169">
        <f>IF((phi!AU114),VLOOKUP(AU$1,main!$A$3:$I$56,5,FALSE)-VLOOKUP($A169,main!$A$3:$I$56,6,FALSE)+main!$D$59,0)</f>
        <v>0</v>
      </c>
      <c r="AV169">
        <f>IF((phi!AV114),VLOOKUP(AV$1,main!$A$3:$I$56,5,FALSE)-VLOOKUP($A169,main!$A$3:$I$56,6,FALSE)+main!$D$59,0)</f>
        <v>0</v>
      </c>
      <c r="AW169">
        <f>IF((phi!AW114),VLOOKUP(AW$1,main!$A$3:$I$56,5,FALSE)-VLOOKUP($A169,main!$A$3:$I$56,6,FALSE)+main!$D$59,0)</f>
        <v>0</v>
      </c>
      <c r="AX169">
        <f>IF((phi!AX114),VLOOKUP(AX$1,main!$A$3:$I$56,5,FALSE)-VLOOKUP($A169,main!$A$3:$I$56,6,FALSE)+main!$D$59,0)</f>
        <v>0</v>
      </c>
      <c r="AY169">
        <f>IF((phi!AY114),VLOOKUP(AY$1,main!$A$3:$I$56,5,FALSE)-VLOOKUP($A169,main!$A$3:$I$56,6,FALSE)+main!$D$59,0)</f>
        <v>375</v>
      </c>
      <c r="AZ169">
        <f>IF((phi!AZ114),VLOOKUP(AZ$1,main!$A$3:$I$56,5,FALSE)-VLOOKUP($A169,main!$A$3:$I$56,6,FALSE)+main!$D$59,0)</f>
        <v>0</v>
      </c>
      <c r="BA169">
        <f>IF((phi!BA114),VLOOKUP(BA$1,main!$A$3:$I$56,5,FALSE)-VLOOKUP($A169,main!$A$3:$I$56,6,FALSE)+main!$D$59,0)</f>
        <v>0</v>
      </c>
      <c r="BB169">
        <f>IF((phi!BB114),VLOOKUP(BB$1,main!$A$3:$I$56,5,FALSE)-VLOOKUP($A169,main!$A$3:$I$56,6,FALSE)+main!$D$59,0)</f>
        <v>0</v>
      </c>
      <c r="BC169">
        <f>IF((phi!BC114),VLOOKUP(BC$1,main!$A$3:$I$56,5,FALSE)-VLOOKUP($A169,main!$A$3:$I$56,6,FALSE)+main!$D$59,0)</f>
        <v>0</v>
      </c>
      <c r="BD169">
        <f>IF((phi!BD114),VLOOKUP(BD$1,main!$A$3:$I$56,5,FALSE)-VLOOKUP($A169,main!$A$3:$I$56,6,FALSE)+main!$D$59,0)</f>
        <v>0</v>
      </c>
    </row>
    <row r="170" spans="1:56" x14ac:dyDescent="0.25">
      <c r="A170">
        <f t="shared" si="5"/>
        <v>3</v>
      </c>
      <c r="B170">
        <v>0</v>
      </c>
      <c r="C170">
        <f>IF((phi!C115),VLOOKUP(C$1,main!$A$3:$I$56,5,FALSE)-VLOOKUP($A170,main!$A$3:$I$56,6,FALSE)+main!$D$59,0)</f>
        <v>0</v>
      </c>
      <c r="D170">
        <f>IF((phi!D115),VLOOKUP(D$1,main!$A$3:$I$56,5,FALSE)-VLOOKUP($A170,main!$A$3:$I$56,6,FALSE)+main!$D$59,0)</f>
        <v>0</v>
      </c>
      <c r="E170">
        <f>IF((phi!E115),VLOOKUP(E$1,main!$A$3:$I$56,5,FALSE)-VLOOKUP($A170,main!$A$3:$I$56,6,FALSE)+main!$D$59,0)</f>
        <v>0</v>
      </c>
      <c r="F170">
        <f>IF((phi!F115),VLOOKUP(F$1,main!$A$3:$I$56,5,FALSE)-VLOOKUP($A170,main!$A$3:$I$56,6,FALSE)+main!$D$59,0)</f>
        <v>0</v>
      </c>
      <c r="G170">
        <f>IF((phi!G115),VLOOKUP(G$1,main!$A$3:$I$56,5,FALSE)-VLOOKUP($A170,main!$A$3:$I$56,6,FALSE)+main!$D$59,0)</f>
        <v>0</v>
      </c>
      <c r="H170">
        <f>IF((phi!H115),VLOOKUP(H$1,main!$A$3:$I$56,5,FALSE)-VLOOKUP($A170,main!$A$3:$I$56,6,FALSE)+main!$D$59,0)</f>
        <v>0</v>
      </c>
      <c r="I170">
        <f>IF((phi!I115),VLOOKUP(I$1,main!$A$3:$I$56,5,FALSE)-VLOOKUP($A170,main!$A$3:$I$56,6,FALSE)+main!$D$59,0)</f>
        <v>0</v>
      </c>
      <c r="J170">
        <f>IF((phi!J115),VLOOKUP(J$1,main!$A$3:$I$56,5,FALSE)-VLOOKUP($A170,main!$A$3:$I$56,6,FALSE)+main!$D$59,0)</f>
        <v>275</v>
      </c>
      <c r="K170">
        <f>IF((phi!K115),VLOOKUP(K$1,main!$A$3:$I$56,5,FALSE)-VLOOKUP($A170,main!$A$3:$I$56,6,FALSE)+main!$D$59,0)</f>
        <v>0</v>
      </c>
      <c r="L170">
        <f>IF((phi!L115),VLOOKUP(L$1,main!$A$3:$I$56,5,FALSE)-VLOOKUP($A170,main!$A$3:$I$56,6,FALSE)+main!$D$59,0)</f>
        <v>0</v>
      </c>
      <c r="M170">
        <f>IF((phi!M115),VLOOKUP(M$1,main!$A$3:$I$56,5,FALSE)-VLOOKUP($A170,main!$A$3:$I$56,6,FALSE)+main!$D$59,0)</f>
        <v>0</v>
      </c>
      <c r="N170">
        <f>IF((phi!N115),VLOOKUP(N$1,main!$A$3:$I$56,5,FALSE)-VLOOKUP($A170,main!$A$3:$I$56,6,FALSE)+main!$D$59,0)</f>
        <v>0</v>
      </c>
      <c r="O170">
        <f>IF((phi!O115),VLOOKUP(O$1,main!$A$3:$I$56,5,FALSE)-VLOOKUP($A170,main!$A$3:$I$56,6,FALSE)+main!$D$59,0)</f>
        <v>300</v>
      </c>
      <c r="P170">
        <f>IF((phi!P115),VLOOKUP(P$1,main!$A$3:$I$56,5,FALSE)-VLOOKUP($A170,main!$A$3:$I$56,6,FALSE)+main!$D$59,0)</f>
        <v>0</v>
      </c>
      <c r="Q170">
        <f>IF((phi!Q115),VLOOKUP(Q$1,main!$A$3:$I$56,5,FALSE)-VLOOKUP($A170,main!$A$3:$I$56,6,FALSE)+main!$D$59,0)</f>
        <v>0</v>
      </c>
      <c r="R170">
        <f>IF((phi!R115),VLOOKUP(R$1,main!$A$3:$I$56,5,FALSE)-VLOOKUP($A170,main!$A$3:$I$56,6,FALSE)+main!$D$59,0)</f>
        <v>0</v>
      </c>
      <c r="S170">
        <f>IF((phi!S115),VLOOKUP(S$1,main!$A$3:$I$56,5,FALSE)-VLOOKUP($A170,main!$A$3:$I$56,6,FALSE)+main!$D$59,0)</f>
        <v>0</v>
      </c>
      <c r="T170">
        <f>IF((phi!T115),VLOOKUP(T$1,main!$A$3:$I$56,5,FALSE)-VLOOKUP($A170,main!$A$3:$I$56,6,FALSE)+main!$D$59,0)</f>
        <v>0</v>
      </c>
      <c r="U170">
        <f>IF((phi!U115),VLOOKUP(U$1,main!$A$3:$I$56,5,FALSE)-VLOOKUP($A170,main!$A$3:$I$56,6,FALSE)+main!$D$59,0)</f>
        <v>0</v>
      </c>
      <c r="V170">
        <f>IF((phi!V115),VLOOKUP(V$1,main!$A$3:$I$56,5,FALSE)-VLOOKUP($A170,main!$A$3:$I$56,6,FALSE)+main!$D$59,0)</f>
        <v>0</v>
      </c>
      <c r="W170">
        <f>IF((phi!W115),VLOOKUP(W$1,main!$A$3:$I$56,5,FALSE)-VLOOKUP($A170,main!$A$3:$I$56,6,FALSE)+main!$D$59,0)</f>
        <v>0</v>
      </c>
      <c r="X170">
        <f>IF((phi!X115),VLOOKUP(X$1,main!$A$3:$I$56,5,FALSE)-VLOOKUP($A170,main!$A$3:$I$56,6,FALSE)+main!$D$59,0)</f>
        <v>0</v>
      </c>
      <c r="Y170">
        <f>IF((phi!Y115),VLOOKUP(Y$1,main!$A$3:$I$56,5,FALSE)-VLOOKUP($A170,main!$A$3:$I$56,6,FALSE)+main!$D$59,0)</f>
        <v>0</v>
      </c>
      <c r="Z170">
        <f>IF((phi!Z115),VLOOKUP(Z$1,main!$A$3:$I$56,5,FALSE)-VLOOKUP($A170,main!$A$3:$I$56,6,FALSE)+main!$D$59,0)</f>
        <v>0</v>
      </c>
      <c r="AA170">
        <f>IF((phi!AA115),VLOOKUP(AA$1,main!$A$3:$I$56,5,FALSE)-VLOOKUP($A170,main!$A$3:$I$56,6,FALSE)+main!$D$59,0)</f>
        <v>165</v>
      </c>
      <c r="AB170">
        <f>IF((phi!AB115),VLOOKUP(AB$1,main!$A$3:$I$56,5,FALSE)-VLOOKUP($A170,main!$A$3:$I$56,6,FALSE)+main!$D$59,0)</f>
        <v>225</v>
      </c>
      <c r="AC170">
        <f>IF((phi!AC115),VLOOKUP(AC$1,main!$A$3:$I$56,5,FALSE)-VLOOKUP($A170,main!$A$3:$I$56,6,FALSE)+main!$D$59,0)</f>
        <v>0</v>
      </c>
      <c r="AD170">
        <f>IF((phi!AD115),VLOOKUP(AD$1,main!$A$3:$I$56,5,FALSE)-VLOOKUP($A170,main!$A$3:$I$56,6,FALSE)+main!$D$59,0)</f>
        <v>0</v>
      </c>
      <c r="AE170">
        <f>IF((phi!AE115),VLOOKUP(AE$1,main!$A$3:$I$56,5,FALSE)-VLOOKUP($A170,main!$A$3:$I$56,6,FALSE)+main!$D$59,0)</f>
        <v>0</v>
      </c>
      <c r="AF170">
        <f>IF((phi!AF115),VLOOKUP(AF$1,main!$A$3:$I$56,5,FALSE)-VLOOKUP($A170,main!$A$3:$I$56,6,FALSE)+main!$D$59,0)</f>
        <v>0</v>
      </c>
      <c r="AG170">
        <f>IF((phi!AG115),VLOOKUP(AG$1,main!$A$3:$I$56,5,FALSE)-VLOOKUP($A170,main!$A$3:$I$56,6,FALSE)+main!$D$59,0)</f>
        <v>0</v>
      </c>
      <c r="AH170">
        <f>IF((phi!AH115),VLOOKUP(AH$1,main!$A$3:$I$56,5,FALSE)-VLOOKUP($A170,main!$A$3:$I$56,6,FALSE)+main!$D$59,0)</f>
        <v>0</v>
      </c>
      <c r="AI170">
        <f>IF((phi!AI115),VLOOKUP(AI$1,main!$A$3:$I$56,5,FALSE)-VLOOKUP($A170,main!$A$3:$I$56,6,FALSE)+main!$D$59,0)</f>
        <v>0</v>
      </c>
      <c r="AJ170">
        <f>IF((phi!AJ115),VLOOKUP(AJ$1,main!$A$3:$I$56,5,FALSE)-VLOOKUP($A170,main!$A$3:$I$56,6,FALSE)+main!$D$59,0)</f>
        <v>0</v>
      </c>
      <c r="AK170">
        <f>IF((phi!AK115),VLOOKUP(AK$1,main!$A$3:$I$56,5,FALSE)-VLOOKUP($A170,main!$A$3:$I$56,6,FALSE)+main!$D$59,0)</f>
        <v>0</v>
      </c>
      <c r="AL170">
        <f>IF((phi!AL115),VLOOKUP(AL$1,main!$A$3:$I$56,5,FALSE)-VLOOKUP($A170,main!$A$3:$I$56,6,FALSE)+main!$D$59,0)</f>
        <v>0</v>
      </c>
      <c r="AM170">
        <f>IF((phi!AM115),VLOOKUP(AM$1,main!$A$3:$I$56,5,FALSE)-VLOOKUP($A170,main!$A$3:$I$56,6,FALSE)+main!$D$59,0)</f>
        <v>0</v>
      </c>
      <c r="AN170">
        <f>IF((phi!AN115),VLOOKUP(AN$1,main!$A$3:$I$56,5,FALSE)-VLOOKUP($A170,main!$A$3:$I$56,6,FALSE)+main!$D$59,0)</f>
        <v>0</v>
      </c>
      <c r="AO170">
        <f>IF((phi!AO115),VLOOKUP(AO$1,main!$A$3:$I$56,5,FALSE)-VLOOKUP($A170,main!$A$3:$I$56,6,FALSE)+main!$D$59,0)</f>
        <v>0</v>
      </c>
      <c r="AP170">
        <f>IF((phi!AP115),VLOOKUP(AP$1,main!$A$3:$I$56,5,FALSE)-VLOOKUP($A170,main!$A$3:$I$56,6,FALSE)+main!$D$59,0)</f>
        <v>0</v>
      </c>
      <c r="AQ170">
        <f>IF((phi!AQ115),VLOOKUP(AQ$1,main!$A$3:$I$56,5,FALSE)-VLOOKUP($A170,main!$A$3:$I$56,6,FALSE)+main!$D$59,0)</f>
        <v>0</v>
      </c>
      <c r="AR170">
        <f>IF((phi!AR115),VLOOKUP(AR$1,main!$A$3:$I$56,5,FALSE)-VLOOKUP($A170,main!$A$3:$I$56,6,FALSE)+main!$D$59,0)</f>
        <v>0</v>
      </c>
      <c r="AS170">
        <f>IF((phi!AS115),VLOOKUP(AS$1,main!$A$3:$I$56,5,FALSE)-VLOOKUP($A170,main!$A$3:$I$56,6,FALSE)+main!$D$59,0)</f>
        <v>0</v>
      </c>
      <c r="AT170">
        <f>IF((phi!AT115),VLOOKUP(AT$1,main!$A$3:$I$56,5,FALSE)-VLOOKUP($A170,main!$A$3:$I$56,6,FALSE)+main!$D$59,0)</f>
        <v>0</v>
      </c>
      <c r="AU170">
        <f>IF((phi!AU115),VLOOKUP(AU$1,main!$A$3:$I$56,5,FALSE)-VLOOKUP($A170,main!$A$3:$I$56,6,FALSE)+main!$D$59,0)</f>
        <v>0</v>
      </c>
      <c r="AV170">
        <f>IF((phi!AV115),VLOOKUP(AV$1,main!$A$3:$I$56,5,FALSE)-VLOOKUP($A170,main!$A$3:$I$56,6,FALSE)+main!$D$59,0)</f>
        <v>0</v>
      </c>
      <c r="AW170">
        <f>IF((phi!AW115),VLOOKUP(AW$1,main!$A$3:$I$56,5,FALSE)-VLOOKUP($A170,main!$A$3:$I$56,6,FALSE)+main!$D$59,0)</f>
        <v>0</v>
      </c>
      <c r="AX170">
        <f>IF((phi!AX115),VLOOKUP(AX$1,main!$A$3:$I$56,5,FALSE)-VLOOKUP($A170,main!$A$3:$I$56,6,FALSE)+main!$D$59,0)</f>
        <v>0</v>
      </c>
      <c r="AY170">
        <f>IF((phi!AY115),VLOOKUP(AY$1,main!$A$3:$I$56,5,FALSE)-VLOOKUP($A170,main!$A$3:$I$56,6,FALSE)+main!$D$59,0)</f>
        <v>285</v>
      </c>
      <c r="AZ170">
        <f>IF((phi!AZ115),VLOOKUP(AZ$1,main!$A$3:$I$56,5,FALSE)-VLOOKUP($A170,main!$A$3:$I$56,6,FALSE)+main!$D$59,0)</f>
        <v>0</v>
      </c>
      <c r="BA170">
        <f>IF((phi!BA115),VLOOKUP(BA$1,main!$A$3:$I$56,5,FALSE)-VLOOKUP($A170,main!$A$3:$I$56,6,FALSE)+main!$D$59,0)</f>
        <v>0</v>
      </c>
      <c r="BB170">
        <f>IF((phi!BB115),VLOOKUP(BB$1,main!$A$3:$I$56,5,FALSE)-VLOOKUP($A170,main!$A$3:$I$56,6,FALSE)+main!$D$59,0)</f>
        <v>0</v>
      </c>
      <c r="BC170">
        <f>IF((phi!BC115),VLOOKUP(BC$1,main!$A$3:$I$56,5,FALSE)-VLOOKUP($A170,main!$A$3:$I$56,6,FALSE)+main!$D$59,0)</f>
        <v>0</v>
      </c>
      <c r="BD170">
        <f>IF((phi!BD115),VLOOKUP(BD$1,main!$A$3:$I$56,5,FALSE)-VLOOKUP($A170,main!$A$3:$I$56,6,FALSE)+main!$D$59,0)</f>
        <v>0</v>
      </c>
    </row>
    <row r="171" spans="1:56" x14ac:dyDescent="0.25">
      <c r="A171">
        <f t="shared" si="5"/>
        <v>4</v>
      </c>
      <c r="B171">
        <v>0</v>
      </c>
      <c r="C171">
        <f>IF((phi!C116),VLOOKUP(C$1,main!$A$3:$I$56,5,FALSE)-VLOOKUP($A171,main!$A$3:$I$56,6,FALSE)+main!$D$59,0)</f>
        <v>0</v>
      </c>
      <c r="D171">
        <f>IF((phi!D116),VLOOKUP(D$1,main!$A$3:$I$56,5,FALSE)-VLOOKUP($A171,main!$A$3:$I$56,6,FALSE)+main!$D$59,0)</f>
        <v>0</v>
      </c>
      <c r="E171">
        <f>IF((phi!E116),VLOOKUP(E$1,main!$A$3:$I$56,5,FALSE)-VLOOKUP($A171,main!$A$3:$I$56,6,FALSE)+main!$D$59,0)</f>
        <v>0</v>
      </c>
      <c r="F171">
        <f>IF((phi!F116),VLOOKUP(F$1,main!$A$3:$I$56,5,FALSE)-VLOOKUP($A171,main!$A$3:$I$56,6,FALSE)+main!$D$59,0)</f>
        <v>0</v>
      </c>
      <c r="G171">
        <f>IF((phi!G116),VLOOKUP(G$1,main!$A$3:$I$56,5,FALSE)-VLOOKUP($A171,main!$A$3:$I$56,6,FALSE)+main!$D$59,0)</f>
        <v>0</v>
      </c>
      <c r="H171">
        <f>IF((phi!H116),VLOOKUP(H$1,main!$A$3:$I$56,5,FALSE)-VLOOKUP($A171,main!$A$3:$I$56,6,FALSE)+main!$D$59,0)</f>
        <v>0</v>
      </c>
      <c r="I171">
        <f>IF((phi!I116),VLOOKUP(I$1,main!$A$3:$I$56,5,FALSE)-VLOOKUP($A171,main!$A$3:$I$56,6,FALSE)+main!$D$59,0)</f>
        <v>0</v>
      </c>
      <c r="J171">
        <f>IF((phi!J116),VLOOKUP(J$1,main!$A$3:$I$56,5,FALSE)-VLOOKUP($A171,main!$A$3:$I$56,6,FALSE)+main!$D$59,0)</f>
        <v>0</v>
      </c>
      <c r="K171">
        <f>IF((phi!K116),VLOOKUP(K$1,main!$A$3:$I$56,5,FALSE)-VLOOKUP($A171,main!$A$3:$I$56,6,FALSE)+main!$D$59,0)</f>
        <v>0</v>
      </c>
      <c r="L171">
        <f>IF((phi!L116),VLOOKUP(L$1,main!$A$3:$I$56,5,FALSE)-VLOOKUP($A171,main!$A$3:$I$56,6,FALSE)+main!$D$59,0)</f>
        <v>0</v>
      </c>
      <c r="M171">
        <f>IF((phi!M116),VLOOKUP(M$1,main!$A$3:$I$56,5,FALSE)-VLOOKUP($A171,main!$A$3:$I$56,6,FALSE)+main!$D$59,0)</f>
        <v>0</v>
      </c>
      <c r="N171">
        <f>IF((phi!N116),VLOOKUP(N$1,main!$A$3:$I$56,5,FALSE)-VLOOKUP($A171,main!$A$3:$I$56,6,FALSE)+main!$D$59,0)</f>
        <v>0</v>
      </c>
      <c r="O171">
        <f>IF((phi!O116),VLOOKUP(O$1,main!$A$3:$I$56,5,FALSE)-VLOOKUP($A171,main!$A$3:$I$56,6,FALSE)+main!$D$59,0)</f>
        <v>0</v>
      </c>
      <c r="P171">
        <f>IF((phi!P116),VLOOKUP(P$1,main!$A$3:$I$56,5,FALSE)-VLOOKUP($A171,main!$A$3:$I$56,6,FALSE)+main!$D$59,0)</f>
        <v>0</v>
      </c>
      <c r="Q171">
        <f>IF((phi!Q116),VLOOKUP(Q$1,main!$A$3:$I$56,5,FALSE)-VLOOKUP($A171,main!$A$3:$I$56,6,FALSE)+main!$D$59,0)</f>
        <v>0</v>
      </c>
      <c r="R171">
        <f>IF((phi!R116),VLOOKUP(R$1,main!$A$3:$I$56,5,FALSE)-VLOOKUP($A171,main!$A$3:$I$56,6,FALSE)+main!$D$59,0)</f>
        <v>0</v>
      </c>
      <c r="S171">
        <f>IF((phi!S116),VLOOKUP(S$1,main!$A$3:$I$56,5,FALSE)-VLOOKUP($A171,main!$A$3:$I$56,6,FALSE)+main!$D$59,0)</f>
        <v>0</v>
      </c>
      <c r="T171">
        <f>IF((phi!T116),VLOOKUP(T$1,main!$A$3:$I$56,5,FALSE)-VLOOKUP($A171,main!$A$3:$I$56,6,FALSE)+main!$D$59,0)</f>
        <v>0</v>
      </c>
      <c r="U171">
        <f>IF((phi!U116),VLOOKUP(U$1,main!$A$3:$I$56,5,FALSE)-VLOOKUP($A171,main!$A$3:$I$56,6,FALSE)+main!$D$59,0)</f>
        <v>0</v>
      </c>
      <c r="V171">
        <f>IF((phi!V116),VLOOKUP(V$1,main!$A$3:$I$56,5,FALSE)-VLOOKUP($A171,main!$A$3:$I$56,6,FALSE)+main!$D$59,0)</f>
        <v>0</v>
      </c>
      <c r="W171">
        <f>IF((phi!W116),VLOOKUP(W$1,main!$A$3:$I$56,5,FALSE)-VLOOKUP($A171,main!$A$3:$I$56,6,FALSE)+main!$D$59,0)</f>
        <v>0</v>
      </c>
      <c r="X171">
        <f>IF((phi!X116),VLOOKUP(X$1,main!$A$3:$I$56,5,FALSE)-VLOOKUP($A171,main!$A$3:$I$56,6,FALSE)+main!$D$59,0)</f>
        <v>0</v>
      </c>
      <c r="Y171">
        <f>IF((phi!Y116),VLOOKUP(Y$1,main!$A$3:$I$56,5,FALSE)-VLOOKUP($A171,main!$A$3:$I$56,6,FALSE)+main!$D$59,0)</f>
        <v>0</v>
      </c>
      <c r="Z171">
        <f>IF((phi!Z116),VLOOKUP(Z$1,main!$A$3:$I$56,5,FALSE)-VLOOKUP($A171,main!$A$3:$I$56,6,FALSE)+main!$D$59,0)</f>
        <v>0</v>
      </c>
      <c r="AA171">
        <f>IF((phi!AA116),VLOOKUP(AA$1,main!$A$3:$I$56,5,FALSE)-VLOOKUP($A171,main!$A$3:$I$56,6,FALSE)+main!$D$59,0)</f>
        <v>0</v>
      </c>
      <c r="AB171">
        <f>IF((phi!AB116),VLOOKUP(AB$1,main!$A$3:$I$56,5,FALSE)-VLOOKUP($A171,main!$A$3:$I$56,6,FALSE)+main!$D$59,0)</f>
        <v>135</v>
      </c>
      <c r="AC171">
        <f>IF((phi!AC116),VLOOKUP(AC$1,main!$A$3:$I$56,5,FALSE)-VLOOKUP($A171,main!$A$3:$I$56,6,FALSE)+main!$D$59,0)</f>
        <v>0</v>
      </c>
      <c r="AD171">
        <f>IF((phi!AD116),VLOOKUP(AD$1,main!$A$3:$I$56,5,FALSE)-VLOOKUP($A171,main!$A$3:$I$56,6,FALSE)+main!$D$59,0)</f>
        <v>0</v>
      </c>
      <c r="AE171">
        <f>IF((phi!AE116),VLOOKUP(AE$1,main!$A$3:$I$56,5,FALSE)-VLOOKUP($A171,main!$A$3:$I$56,6,FALSE)+main!$D$59,0)</f>
        <v>0</v>
      </c>
      <c r="AF171">
        <f>IF((phi!AF116),VLOOKUP(AF$1,main!$A$3:$I$56,5,FALSE)-VLOOKUP($A171,main!$A$3:$I$56,6,FALSE)+main!$D$59,0)</f>
        <v>0</v>
      </c>
      <c r="AG171">
        <f>IF((phi!AG116),VLOOKUP(AG$1,main!$A$3:$I$56,5,FALSE)-VLOOKUP($A171,main!$A$3:$I$56,6,FALSE)+main!$D$59,0)</f>
        <v>0</v>
      </c>
      <c r="AH171">
        <f>IF((phi!AH116),VLOOKUP(AH$1,main!$A$3:$I$56,5,FALSE)-VLOOKUP($A171,main!$A$3:$I$56,6,FALSE)+main!$D$59,0)</f>
        <v>0</v>
      </c>
      <c r="AI171">
        <f>IF((phi!AI116),VLOOKUP(AI$1,main!$A$3:$I$56,5,FALSE)-VLOOKUP($A171,main!$A$3:$I$56,6,FALSE)+main!$D$59,0)</f>
        <v>0</v>
      </c>
      <c r="AJ171">
        <f>IF((phi!AJ116),VLOOKUP(AJ$1,main!$A$3:$I$56,5,FALSE)-VLOOKUP($A171,main!$A$3:$I$56,6,FALSE)+main!$D$59,0)</f>
        <v>0</v>
      </c>
      <c r="AK171">
        <f>IF((phi!AK116),VLOOKUP(AK$1,main!$A$3:$I$56,5,FALSE)-VLOOKUP($A171,main!$A$3:$I$56,6,FALSE)+main!$D$59,0)</f>
        <v>0</v>
      </c>
      <c r="AL171">
        <f>IF((phi!AL116),VLOOKUP(AL$1,main!$A$3:$I$56,5,FALSE)-VLOOKUP($A171,main!$A$3:$I$56,6,FALSE)+main!$D$59,0)</f>
        <v>0</v>
      </c>
      <c r="AM171">
        <f>IF((phi!AM116),VLOOKUP(AM$1,main!$A$3:$I$56,5,FALSE)-VLOOKUP($A171,main!$A$3:$I$56,6,FALSE)+main!$D$59,0)</f>
        <v>0</v>
      </c>
      <c r="AN171">
        <f>IF((phi!AN116),VLOOKUP(AN$1,main!$A$3:$I$56,5,FALSE)-VLOOKUP($A171,main!$A$3:$I$56,6,FALSE)+main!$D$59,0)</f>
        <v>0</v>
      </c>
      <c r="AO171">
        <f>IF((phi!AO116),VLOOKUP(AO$1,main!$A$3:$I$56,5,FALSE)-VLOOKUP($A171,main!$A$3:$I$56,6,FALSE)+main!$D$59,0)</f>
        <v>0</v>
      </c>
      <c r="AP171">
        <f>IF((phi!AP116),VLOOKUP(AP$1,main!$A$3:$I$56,5,FALSE)-VLOOKUP($A171,main!$A$3:$I$56,6,FALSE)+main!$D$59,0)</f>
        <v>0</v>
      </c>
      <c r="AQ171">
        <f>IF((phi!AQ116),VLOOKUP(AQ$1,main!$A$3:$I$56,5,FALSE)-VLOOKUP($A171,main!$A$3:$I$56,6,FALSE)+main!$D$59,0)</f>
        <v>0</v>
      </c>
      <c r="AR171">
        <f>IF((phi!AR116),VLOOKUP(AR$1,main!$A$3:$I$56,5,FALSE)-VLOOKUP($A171,main!$A$3:$I$56,6,FALSE)+main!$D$59,0)</f>
        <v>0</v>
      </c>
      <c r="AS171">
        <f>IF((phi!AS116),VLOOKUP(AS$1,main!$A$3:$I$56,5,FALSE)-VLOOKUP($A171,main!$A$3:$I$56,6,FALSE)+main!$D$59,0)</f>
        <v>0</v>
      </c>
      <c r="AT171">
        <f>IF((phi!AT116),VLOOKUP(AT$1,main!$A$3:$I$56,5,FALSE)-VLOOKUP($A171,main!$A$3:$I$56,6,FALSE)+main!$D$59,0)</f>
        <v>0</v>
      </c>
      <c r="AU171">
        <f>IF((phi!AU116),VLOOKUP(AU$1,main!$A$3:$I$56,5,FALSE)-VLOOKUP($A171,main!$A$3:$I$56,6,FALSE)+main!$D$59,0)</f>
        <v>0</v>
      </c>
      <c r="AV171">
        <f>IF((phi!AV116),VLOOKUP(AV$1,main!$A$3:$I$56,5,FALSE)-VLOOKUP($A171,main!$A$3:$I$56,6,FALSE)+main!$D$59,0)</f>
        <v>0</v>
      </c>
      <c r="AW171">
        <f>IF((phi!AW116),VLOOKUP(AW$1,main!$A$3:$I$56,5,FALSE)-VLOOKUP($A171,main!$A$3:$I$56,6,FALSE)+main!$D$59,0)</f>
        <v>0</v>
      </c>
      <c r="AX171">
        <f>IF((phi!AX116),VLOOKUP(AX$1,main!$A$3:$I$56,5,FALSE)-VLOOKUP($A171,main!$A$3:$I$56,6,FALSE)+main!$D$59,0)</f>
        <v>0</v>
      </c>
      <c r="AY171">
        <f>IF((phi!AY116),VLOOKUP(AY$1,main!$A$3:$I$56,5,FALSE)-VLOOKUP($A171,main!$A$3:$I$56,6,FALSE)+main!$D$59,0)</f>
        <v>0</v>
      </c>
      <c r="AZ171">
        <f>IF((phi!AZ116),VLOOKUP(AZ$1,main!$A$3:$I$56,5,FALSE)-VLOOKUP($A171,main!$A$3:$I$56,6,FALSE)+main!$D$59,0)</f>
        <v>0</v>
      </c>
      <c r="BA171">
        <f>IF((phi!BA116),VLOOKUP(BA$1,main!$A$3:$I$56,5,FALSE)-VLOOKUP($A171,main!$A$3:$I$56,6,FALSE)+main!$D$59,0)</f>
        <v>0</v>
      </c>
      <c r="BB171">
        <f>IF((phi!BB116),VLOOKUP(BB$1,main!$A$3:$I$56,5,FALSE)-VLOOKUP($A171,main!$A$3:$I$56,6,FALSE)+main!$D$59,0)</f>
        <v>0</v>
      </c>
      <c r="BC171">
        <f>IF((phi!BC116),VLOOKUP(BC$1,main!$A$3:$I$56,5,FALSE)-VLOOKUP($A171,main!$A$3:$I$56,6,FALSE)+main!$D$59,0)</f>
        <v>0</v>
      </c>
      <c r="BD171">
        <f>IF((phi!BD116),VLOOKUP(BD$1,main!$A$3:$I$56,5,FALSE)-VLOOKUP($A171,main!$A$3:$I$56,6,FALSE)+main!$D$59,0)</f>
        <v>0</v>
      </c>
    </row>
    <row r="172" spans="1:56" x14ac:dyDescent="0.25">
      <c r="A172">
        <f t="shared" si="5"/>
        <v>5</v>
      </c>
      <c r="B172">
        <v>0</v>
      </c>
      <c r="C172">
        <f>IF((phi!C117),VLOOKUP(C$1,main!$A$3:$I$56,5,FALSE)-VLOOKUP($A172,main!$A$3:$I$56,6,FALSE)+main!$D$59,0)</f>
        <v>0</v>
      </c>
      <c r="D172">
        <f>IF((phi!D117),VLOOKUP(D$1,main!$A$3:$I$56,5,FALSE)-VLOOKUP($A172,main!$A$3:$I$56,6,FALSE)+main!$D$59,0)</f>
        <v>0</v>
      </c>
      <c r="E172">
        <f>IF((phi!E117),VLOOKUP(E$1,main!$A$3:$I$56,5,FALSE)-VLOOKUP($A172,main!$A$3:$I$56,6,FALSE)+main!$D$59,0)</f>
        <v>0</v>
      </c>
      <c r="F172">
        <f>IF((phi!F117),VLOOKUP(F$1,main!$A$3:$I$56,5,FALSE)-VLOOKUP($A172,main!$A$3:$I$56,6,FALSE)+main!$D$59,0)</f>
        <v>0</v>
      </c>
      <c r="G172">
        <f>IF((phi!G117),VLOOKUP(G$1,main!$A$3:$I$56,5,FALSE)-VLOOKUP($A172,main!$A$3:$I$56,6,FALSE)+main!$D$59,0)</f>
        <v>0</v>
      </c>
      <c r="H172">
        <f>IF((phi!H117),VLOOKUP(H$1,main!$A$3:$I$56,5,FALSE)-VLOOKUP($A172,main!$A$3:$I$56,6,FALSE)+main!$D$59,0)</f>
        <v>0</v>
      </c>
      <c r="I172">
        <f>IF((phi!I117),VLOOKUP(I$1,main!$A$3:$I$56,5,FALSE)-VLOOKUP($A172,main!$A$3:$I$56,6,FALSE)+main!$D$59,0)</f>
        <v>0</v>
      </c>
      <c r="J172">
        <f>IF((phi!J117),VLOOKUP(J$1,main!$A$3:$I$56,5,FALSE)-VLOOKUP($A172,main!$A$3:$I$56,6,FALSE)+main!$D$59,0)</f>
        <v>0</v>
      </c>
      <c r="K172">
        <f>IF((phi!K117),VLOOKUP(K$1,main!$A$3:$I$56,5,FALSE)-VLOOKUP($A172,main!$A$3:$I$56,6,FALSE)+main!$D$59,0)</f>
        <v>0</v>
      </c>
      <c r="L172">
        <f>IF((phi!L117),VLOOKUP(L$1,main!$A$3:$I$56,5,FALSE)-VLOOKUP($A172,main!$A$3:$I$56,6,FALSE)+main!$D$59,0)</f>
        <v>0</v>
      </c>
      <c r="M172">
        <f>IF((phi!M117),VLOOKUP(M$1,main!$A$3:$I$56,5,FALSE)-VLOOKUP($A172,main!$A$3:$I$56,6,FALSE)+main!$D$59,0)</f>
        <v>0</v>
      </c>
      <c r="N172">
        <f>IF((phi!N117),VLOOKUP(N$1,main!$A$3:$I$56,5,FALSE)-VLOOKUP($A172,main!$A$3:$I$56,6,FALSE)+main!$D$59,0)</f>
        <v>0</v>
      </c>
      <c r="O172">
        <f>IF((phi!O117),VLOOKUP(O$1,main!$A$3:$I$56,5,FALSE)-VLOOKUP($A172,main!$A$3:$I$56,6,FALSE)+main!$D$59,0)</f>
        <v>0</v>
      </c>
      <c r="P172">
        <f>IF((phi!P117),VLOOKUP(P$1,main!$A$3:$I$56,5,FALSE)-VLOOKUP($A172,main!$A$3:$I$56,6,FALSE)+main!$D$59,0)</f>
        <v>0</v>
      </c>
      <c r="Q172">
        <f>IF((phi!Q117),VLOOKUP(Q$1,main!$A$3:$I$56,5,FALSE)-VLOOKUP($A172,main!$A$3:$I$56,6,FALSE)+main!$D$59,0)</f>
        <v>0</v>
      </c>
      <c r="R172">
        <f>IF((phi!R117),VLOOKUP(R$1,main!$A$3:$I$56,5,FALSE)-VLOOKUP($A172,main!$A$3:$I$56,6,FALSE)+main!$D$59,0)</f>
        <v>0</v>
      </c>
      <c r="S172">
        <f>IF((phi!S117),VLOOKUP(S$1,main!$A$3:$I$56,5,FALSE)-VLOOKUP($A172,main!$A$3:$I$56,6,FALSE)+main!$D$59,0)</f>
        <v>0</v>
      </c>
      <c r="T172">
        <f>IF((phi!T117),VLOOKUP(T$1,main!$A$3:$I$56,5,FALSE)-VLOOKUP($A172,main!$A$3:$I$56,6,FALSE)+main!$D$59,0)</f>
        <v>0</v>
      </c>
      <c r="U172">
        <f>IF((phi!U117),VLOOKUP(U$1,main!$A$3:$I$56,5,FALSE)-VLOOKUP($A172,main!$A$3:$I$56,6,FALSE)+main!$D$59,0)</f>
        <v>0</v>
      </c>
      <c r="V172">
        <f>IF((phi!V117),VLOOKUP(V$1,main!$A$3:$I$56,5,FALSE)-VLOOKUP($A172,main!$A$3:$I$56,6,FALSE)+main!$D$59,0)</f>
        <v>0</v>
      </c>
      <c r="W172">
        <f>IF((phi!W117),VLOOKUP(W$1,main!$A$3:$I$56,5,FALSE)-VLOOKUP($A172,main!$A$3:$I$56,6,FALSE)+main!$D$59,0)</f>
        <v>0</v>
      </c>
      <c r="X172">
        <f>IF((phi!X117),VLOOKUP(X$1,main!$A$3:$I$56,5,FALSE)-VLOOKUP($A172,main!$A$3:$I$56,6,FALSE)+main!$D$59,0)</f>
        <v>0</v>
      </c>
      <c r="Y172">
        <f>IF((phi!Y117),VLOOKUP(Y$1,main!$A$3:$I$56,5,FALSE)-VLOOKUP($A172,main!$A$3:$I$56,6,FALSE)+main!$D$59,0)</f>
        <v>0</v>
      </c>
      <c r="Z172">
        <f>IF((phi!Z117),VLOOKUP(Z$1,main!$A$3:$I$56,5,FALSE)-VLOOKUP($A172,main!$A$3:$I$56,6,FALSE)+main!$D$59,0)</f>
        <v>0</v>
      </c>
      <c r="AA172">
        <f>IF((phi!AA117),VLOOKUP(AA$1,main!$A$3:$I$56,5,FALSE)-VLOOKUP($A172,main!$A$3:$I$56,6,FALSE)+main!$D$59,0)</f>
        <v>0</v>
      </c>
      <c r="AB172">
        <f>IF((phi!AB117),VLOOKUP(AB$1,main!$A$3:$I$56,5,FALSE)-VLOOKUP($A172,main!$A$3:$I$56,6,FALSE)+main!$D$59,0)</f>
        <v>0</v>
      </c>
      <c r="AC172">
        <f>IF((phi!AC117),VLOOKUP(AC$1,main!$A$3:$I$56,5,FALSE)-VLOOKUP($A172,main!$A$3:$I$56,6,FALSE)+main!$D$59,0)</f>
        <v>0</v>
      </c>
      <c r="AD172">
        <f>IF((phi!AD117),VLOOKUP(AD$1,main!$A$3:$I$56,5,FALSE)-VLOOKUP($A172,main!$A$3:$I$56,6,FALSE)+main!$D$59,0)</f>
        <v>0</v>
      </c>
      <c r="AE172">
        <f>IF((phi!AE117),VLOOKUP(AE$1,main!$A$3:$I$56,5,FALSE)-VLOOKUP($A172,main!$A$3:$I$56,6,FALSE)+main!$D$59,0)</f>
        <v>0</v>
      </c>
      <c r="AF172">
        <f>IF((phi!AF117),VLOOKUP(AF$1,main!$A$3:$I$56,5,FALSE)-VLOOKUP($A172,main!$A$3:$I$56,6,FALSE)+main!$D$59,0)</f>
        <v>0</v>
      </c>
      <c r="AG172">
        <f>IF((phi!AG117),VLOOKUP(AG$1,main!$A$3:$I$56,5,FALSE)-VLOOKUP($A172,main!$A$3:$I$56,6,FALSE)+main!$D$59,0)</f>
        <v>0</v>
      </c>
      <c r="AH172">
        <f>IF((phi!AH117),VLOOKUP(AH$1,main!$A$3:$I$56,5,FALSE)-VLOOKUP($A172,main!$A$3:$I$56,6,FALSE)+main!$D$59,0)</f>
        <v>0</v>
      </c>
      <c r="AI172">
        <f>IF((phi!AI117),VLOOKUP(AI$1,main!$A$3:$I$56,5,FALSE)-VLOOKUP($A172,main!$A$3:$I$56,6,FALSE)+main!$D$59,0)</f>
        <v>0</v>
      </c>
      <c r="AJ172">
        <f>IF((phi!AJ117),VLOOKUP(AJ$1,main!$A$3:$I$56,5,FALSE)-VLOOKUP($A172,main!$A$3:$I$56,6,FALSE)+main!$D$59,0)</f>
        <v>0</v>
      </c>
      <c r="AK172">
        <f>IF((phi!AK117),VLOOKUP(AK$1,main!$A$3:$I$56,5,FALSE)-VLOOKUP($A172,main!$A$3:$I$56,6,FALSE)+main!$D$59,0)</f>
        <v>0</v>
      </c>
      <c r="AL172">
        <f>IF((phi!AL117),VLOOKUP(AL$1,main!$A$3:$I$56,5,FALSE)-VLOOKUP($A172,main!$A$3:$I$56,6,FALSE)+main!$D$59,0)</f>
        <v>0</v>
      </c>
      <c r="AM172">
        <f>IF((phi!AM117),VLOOKUP(AM$1,main!$A$3:$I$56,5,FALSE)-VLOOKUP($A172,main!$A$3:$I$56,6,FALSE)+main!$D$59,0)</f>
        <v>0</v>
      </c>
      <c r="AN172">
        <f>IF((phi!AN117),VLOOKUP(AN$1,main!$A$3:$I$56,5,FALSE)-VLOOKUP($A172,main!$A$3:$I$56,6,FALSE)+main!$D$59,0)</f>
        <v>0</v>
      </c>
      <c r="AO172">
        <f>IF((phi!AO117),VLOOKUP(AO$1,main!$A$3:$I$56,5,FALSE)-VLOOKUP($A172,main!$A$3:$I$56,6,FALSE)+main!$D$59,0)</f>
        <v>0</v>
      </c>
      <c r="AP172">
        <f>IF((phi!AP117),VLOOKUP(AP$1,main!$A$3:$I$56,5,FALSE)-VLOOKUP($A172,main!$A$3:$I$56,6,FALSE)+main!$D$59,0)</f>
        <v>0</v>
      </c>
      <c r="AQ172">
        <f>IF((phi!AQ117),VLOOKUP(AQ$1,main!$A$3:$I$56,5,FALSE)-VLOOKUP($A172,main!$A$3:$I$56,6,FALSE)+main!$D$59,0)</f>
        <v>0</v>
      </c>
      <c r="AR172">
        <f>IF((phi!AR117),VLOOKUP(AR$1,main!$A$3:$I$56,5,FALSE)-VLOOKUP($A172,main!$A$3:$I$56,6,FALSE)+main!$D$59,0)</f>
        <v>0</v>
      </c>
      <c r="AS172">
        <f>IF((phi!AS117),VLOOKUP(AS$1,main!$A$3:$I$56,5,FALSE)-VLOOKUP($A172,main!$A$3:$I$56,6,FALSE)+main!$D$59,0)</f>
        <v>0</v>
      </c>
      <c r="AT172">
        <f>IF((phi!AT117),VLOOKUP(AT$1,main!$A$3:$I$56,5,FALSE)-VLOOKUP($A172,main!$A$3:$I$56,6,FALSE)+main!$D$59,0)</f>
        <v>0</v>
      </c>
      <c r="AU172">
        <f>IF((phi!AU117),VLOOKUP(AU$1,main!$A$3:$I$56,5,FALSE)-VLOOKUP($A172,main!$A$3:$I$56,6,FALSE)+main!$D$59,0)</f>
        <v>0</v>
      </c>
      <c r="AV172">
        <f>IF((phi!AV117),VLOOKUP(AV$1,main!$A$3:$I$56,5,FALSE)-VLOOKUP($A172,main!$A$3:$I$56,6,FALSE)+main!$D$59,0)</f>
        <v>0</v>
      </c>
      <c r="AW172">
        <f>IF((phi!AW117),VLOOKUP(AW$1,main!$A$3:$I$56,5,FALSE)-VLOOKUP($A172,main!$A$3:$I$56,6,FALSE)+main!$D$59,0)</f>
        <v>0</v>
      </c>
      <c r="AX172">
        <f>IF((phi!AX117),VLOOKUP(AX$1,main!$A$3:$I$56,5,FALSE)-VLOOKUP($A172,main!$A$3:$I$56,6,FALSE)+main!$D$59,0)</f>
        <v>0</v>
      </c>
      <c r="AY172">
        <f>IF((phi!AY117),VLOOKUP(AY$1,main!$A$3:$I$56,5,FALSE)-VLOOKUP($A172,main!$A$3:$I$56,6,FALSE)+main!$D$59,0)</f>
        <v>0</v>
      </c>
      <c r="AZ172">
        <f>IF((phi!AZ117),VLOOKUP(AZ$1,main!$A$3:$I$56,5,FALSE)-VLOOKUP($A172,main!$A$3:$I$56,6,FALSE)+main!$D$59,0)</f>
        <v>0</v>
      </c>
      <c r="BA172">
        <f>IF((phi!BA117),VLOOKUP(BA$1,main!$A$3:$I$56,5,FALSE)-VLOOKUP($A172,main!$A$3:$I$56,6,FALSE)+main!$D$59,0)</f>
        <v>0</v>
      </c>
      <c r="BB172">
        <f>IF((phi!BB117),VLOOKUP(BB$1,main!$A$3:$I$56,5,FALSE)-VLOOKUP($A172,main!$A$3:$I$56,6,FALSE)+main!$D$59,0)</f>
        <v>0</v>
      </c>
      <c r="BC172">
        <f>IF((phi!BC117),VLOOKUP(BC$1,main!$A$3:$I$56,5,FALSE)-VLOOKUP($A172,main!$A$3:$I$56,6,FALSE)+main!$D$59,0)</f>
        <v>0</v>
      </c>
      <c r="BD172">
        <f>IF((phi!BD117),VLOOKUP(BD$1,main!$A$3:$I$56,5,FALSE)-VLOOKUP($A172,main!$A$3:$I$56,6,FALSE)+main!$D$59,0)</f>
        <v>0</v>
      </c>
    </row>
    <row r="173" spans="1:56" x14ac:dyDescent="0.25">
      <c r="A173">
        <f t="shared" si="5"/>
        <v>6</v>
      </c>
      <c r="B173">
        <v>0</v>
      </c>
      <c r="C173">
        <f>IF((phi!C118),VLOOKUP(C$1,main!$A$3:$I$56,5,FALSE)-VLOOKUP($A173,main!$A$3:$I$56,6,FALSE)+main!$D$59,0)</f>
        <v>0</v>
      </c>
      <c r="D173">
        <f>IF((phi!D118),VLOOKUP(D$1,main!$A$3:$I$56,5,FALSE)-VLOOKUP($A173,main!$A$3:$I$56,6,FALSE)+main!$D$59,0)</f>
        <v>0</v>
      </c>
      <c r="E173">
        <f>IF((phi!E118),VLOOKUP(E$1,main!$A$3:$I$56,5,FALSE)-VLOOKUP($A173,main!$A$3:$I$56,6,FALSE)+main!$D$59,0)</f>
        <v>0</v>
      </c>
      <c r="F173">
        <f>IF((phi!F118),VLOOKUP(F$1,main!$A$3:$I$56,5,FALSE)-VLOOKUP($A173,main!$A$3:$I$56,6,FALSE)+main!$D$59,0)</f>
        <v>0</v>
      </c>
      <c r="G173">
        <f>IF((phi!G118),VLOOKUP(G$1,main!$A$3:$I$56,5,FALSE)-VLOOKUP($A173,main!$A$3:$I$56,6,FALSE)+main!$D$59,0)</f>
        <v>0</v>
      </c>
      <c r="H173">
        <f>IF((phi!H118),VLOOKUP(H$1,main!$A$3:$I$56,5,FALSE)-VLOOKUP($A173,main!$A$3:$I$56,6,FALSE)+main!$D$59,0)</f>
        <v>0</v>
      </c>
      <c r="I173">
        <f>IF((phi!I118),VLOOKUP(I$1,main!$A$3:$I$56,5,FALSE)-VLOOKUP($A173,main!$A$3:$I$56,6,FALSE)+main!$D$59,0)</f>
        <v>0</v>
      </c>
      <c r="J173">
        <f>IF((phi!J118),VLOOKUP(J$1,main!$A$3:$I$56,5,FALSE)-VLOOKUP($A173,main!$A$3:$I$56,6,FALSE)+main!$D$59,0)</f>
        <v>0</v>
      </c>
      <c r="K173">
        <f>IF((phi!K118),VLOOKUP(K$1,main!$A$3:$I$56,5,FALSE)-VLOOKUP($A173,main!$A$3:$I$56,6,FALSE)+main!$D$59,0)</f>
        <v>0</v>
      </c>
      <c r="L173">
        <f>IF((phi!L118),VLOOKUP(L$1,main!$A$3:$I$56,5,FALSE)-VLOOKUP($A173,main!$A$3:$I$56,6,FALSE)+main!$D$59,0)</f>
        <v>0</v>
      </c>
      <c r="M173">
        <f>IF((phi!M118),VLOOKUP(M$1,main!$A$3:$I$56,5,FALSE)-VLOOKUP($A173,main!$A$3:$I$56,6,FALSE)+main!$D$59,0)</f>
        <v>0</v>
      </c>
      <c r="N173">
        <f>IF((phi!N118),VLOOKUP(N$1,main!$A$3:$I$56,5,FALSE)-VLOOKUP($A173,main!$A$3:$I$56,6,FALSE)+main!$D$59,0)</f>
        <v>0</v>
      </c>
      <c r="O173">
        <f>IF((phi!O118),VLOOKUP(O$1,main!$A$3:$I$56,5,FALSE)-VLOOKUP($A173,main!$A$3:$I$56,6,FALSE)+main!$D$59,0)</f>
        <v>0</v>
      </c>
      <c r="P173">
        <f>IF((phi!P118),VLOOKUP(P$1,main!$A$3:$I$56,5,FALSE)-VLOOKUP($A173,main!$A$3:$I$56,6,FALSE)+main!$D$59,0)</f>
        <v>0</v>
      </c>
      <c r="Q173">
        <f>IF((phi!Q118),VLOOKUP(Q$1,main!$A$3:$I$56,5,FALSE)-VLOOKUP($A173,main!$A$3:$I$56,6,FALSE)+main!$D$59,0)</f>
        <v>0</v>
      </c>
      <c r="R173">
        <f>IF((phi!R118),VLOOKUP(R$1,main!$A$3:$I$56,5,FALSE)-VLOOKUP($A173,main!$A$3:$I$56,6,FALSE)+main!$D$59,0)</f>
        <v>0</v>
      </c>
      <c r="S173">
        <f>IF((phi!S118),VLOOKUP(S$1,main!$A$3:$I$56,5,FALSE)-VLOOKUP($A173,main!$A$3:$I$56,6,FALSE)+main!$D$59,0)</f>
        <v>0</v>
      </c>
      <c r="T173">
        <f>IF((phi!T118),VLOOKUP(T$1,main!$A$3:$I$56,5,FALSE)-VLOOKUP($A173,main!$A$3:$I$56,6,FALSE)+main!$D$59,0)</f>
        <v>0</v>
      </c>
      <c r="U173">
        <f>IF((phi!U118),VLOOKUP(U$1,main!$A$3:$I$56,5,FALSE)-VLOOKUP($A173,main!$A$3:$I$56,6,FALSE)+main!$D$59,0)</f>
        <v>0</v>
      </c>
      <c r="V173">
        <f>IF((phi!V118),VLOOKUP(V$1,main!$A$3:$I$56,5,FALSE)-VLOOKUP($A173,main!$A$3:$I$56,6,FALSE)+main!$D$59,0)</f>
        <v>0</v>
      </c>
      <c r="W173">
        <f>IF((phi!W118),VLOOKUP(W$1,main!$A$3:$I$56,5,FALSE)-VLOOKUP($A173,main!$A$3:$I$56,6,FALSE)+main!$D$59,0)</f>
        <v>0</v>
      </c>
      <c r="X173">
        <f>IF((phi!X118),VLOOKUP(X$1,main!$A$3:$I$56,5,FALSE)-VLOOKUP($A173,main!$A$3:$I$56,6,FALSE)+main!$D$59,0)</f>
        <v>0</v>
      </c>
      <c r="Y173">
        <f>IF((phi!Y118),VLOOKUP(Y$1,main!$A$3:$I$56,5,FALSE)-VLOOKUP($A173,main!$A$3:$I$56,6,FALSE)+main!$D$59,0)</f>
        <v>0</v>
      </c>
      <c r="Z173">
        <f>IF((phi!Z118),VLOOKUP(Z$1,main!$A$3:$I$56,5,FALSE)-VLOOKUP($A173,main!$A$3:$I$56,6,FALSE)+main!$D$59,0)</f>
        <v>0</v>
      </c>
      <c r="AA173">
        <f>IF((phi!AA118),VLOOKUP(AA$1,main!$A$3:$I$56,5,FALSE)-VLOOKUP($A173,main!$A$3:$I$56,6,FALSE)+main!$D$59,0)</f>
        <v>0</v>
      </c>
      <c r="AB173">
        <f>IF((phi!AB118),VLOOKUP(AB$1,main!$A$3:$I$56,5,FALSE)-VLOOKUP($A173,main!$A$3:$I$56,6,FALSE)+main!$D$59,0)</f>
        <v>0</v>
      </c>
      <c r="AC173">
        <f>IF((phi!AC118),VLOOKUP(AC$1,main!$A$3:$I$56,5,FALSE)-VLOOKUP($A173,main!$A$3:$I$56,6,FALSE)+main!$D$59,0)</f>
        <v>0</v>
      </c>
      <c r="AD173">
        <f>IF((phi!AD118),VLOOKUP(AD$1,main!$A$3:$I$56,5,FALSE)-VLOOKUP($A173,main!$A$3:$I$56,6,FALSE)+main!$D$59,0)</f>
        <v>0</v>
      </c>
      <c r="AE173">
        <f>IF((phi!AE118),VLOOKUP(AE$1,main!$A$3:$I$56,5,FALSE)-VLOOKUP($A173,main!$A$3:$I$56,6,FALSE)+main!$D$59,0)</f>
        <v>0</v>
      </c>
      <c r="AF173">
        <f>IF((phi!AF118),VLOOKUP(AF$1,main!$A$3:$I$56,5,FALSE)-VLOOKUP($A173,main!$A$3:$I$56,6,FALSE)+main!$D$59,0)</f>
        <v>0</v>
      </c>
      <c r="AG173">
        <f>IF((phi!AG118),VLOOKUP(AG$1,main!$A$3:$I$56,5,FALSE)-VLOOKUP($A173,main!$A$3:$I$56,6,FALSE)+main!$D$59,0)</f>
        <v>0</v>
      </c>
      <c r="AH173">
        <f>IF((phi!AH118),VLOOKUP(AH$1,main!$A$3:$I$56,5,FALSE)-VLOOKUP($A173,main!$A$3:$I$56,6,FALSE)+main!$D$59,0)</f>
        <v>0</v>
      </c>
      <c r="AI173">
        <f>IF((phi!AI118),VLOOKUP(AI$1,main!$A$3:$I$56,5,FALSE)-VLOOKUP($A173,main!$A$3:$I$56,6,FALSE)+main!$D$59,0)</f>
        <v>0</v>
      </c>
      <c r="AJ173">
        <f>IF((phi!AJ118),VLOOKUP(AJ$1,main!$A$3:$I$56,5,FALSE)-VLOOKUP($A173,main!$A$3:$I$56,6,FALSE)+main!$D$59,0)</f>
        <v>0</v>
      </c>
      <c r="AK173">
        <f>IF((phi!AK118),VLOOKUP(AK$1,main!$A$3:$I$56,5,FALSE)-VLOOKUP($A173,main!$A$3:$I$56,6,FALSE)+main!$D$59,0)</f>
        <v>0</v>
      </c>
      <c r="AL173">
        <f>IF((phi!AL118),VLOOKUP(AL$1,main!$A$3:$I$56,5,FALSE)-VLOOKUP($A173,main!$A$3:$I$56,6,FALSE)+main!$D$59,0)</f>
        <v>0</v>
      </c>
      <c r="AM173">
        <f>IF((phi!AM118),VLOOKUP(AM$1,main!$A$3:$I$56,5,FALSE)-VLOOKUP($A173,main!$A$3:$I$56,6,FALSE)+main!$D$59,0)</f>
        <v>0</v>
      </c>
      <c r="AN173">
        <f>IF((phi!AN118),VLOOKUP(AN$1,main!$A$3:$I$56,5,FALSE)-VLOOKUP($A173,main!$A$3:$I$56,6,FALSE)+main!$D$59,0)</f>
        <v>0</v>
      </c>
      <c r="AO173">
        <f>IF((phi!AO118),VLOOKUP(AO$1,main!$A$3:$I$56,5,FALSE)-VLOOKUP($A173,main!$A$3:$I$56,6,FALSE)+main!$D$59,0)</f>
        <v>0</v>
      </c>
      <c r="AP173">
        <f>IF((phi!AP118),VLOOKUP(AP$1,main!$A$3:$I$56,5,FALSE)-VLOOKUP($A173,main!$A$3:$I$56,6,FALSE)+main!$D$59,0)</f>
        <v>0</v>
      </c>
      <c r="AQ173">
        <f>IF((phi!AQ118),VLOOKUP(AQ$1,main!$A$3:$I$56,5,FALSE)-VLOOKUP($A173,main!$A$3:$I$56,6,FALSE)+main!$D$59,0)</f>
        <v>0</v>
      </c>
      <c r="AR173">
        <f>IF((phi!AR118),VLOOKUP(AR$1,main!$A$3:$I$56,5,FALSE)-VLOOKUP($A173,main!$A$3:$I$56,6,FALSE)+main!$D$59,0)</f>
        <v>0</v>
      </c>
      <c r="AS173">
        <f>IF((phi!AS118),VLOOKUP(AS$1,main!$A$3:$I$56,5,FALSE)-VLOOKUP($A173,main!$A$3:$I$56,6,FALSE)+main!$D$59,0)</f>
        <v>0</v>
      </c>
      <c r="AT173">
        <f>IF((phi!AT118),VLOOKUP(AT$1,main!$A$3:$I$56,5,FALSE)-VLOOKUP($A173,main!$A$3:$I$56,6,FALSE)+main!$D$59,0)</f>
        <v>0</v>
      </c>
      <c r="AU173">
        <f>IF((phi!AU118),VLOOKUP(AU$1,main!$A$3:$I$56,5,FALSE)-VLOOKUP($A173,main!$A$3:$I$56,6,FALSE)+main!$D$59,0)</f>
        <v>0</v>
      </c>
      <c r="AV173">
        <f>IF((phi!AV118),VLOOKUP(AV$1,main!$A$3:$I$56,5,FALSE)-VLOOKUP($A173,main!$A$3:$I$56,6,FALSE)+main!$D$59,0)</f>
        <v>0</v>
      </c>
      <c r="AW173">
        <f>IF((phi!AW118),VLOOKUP(AW$1,main!$A$3:$I$56,5,FALSE)-VLOOKUP($A173,main!$A$3:$I$56,6,FALSE)+main!$D$59,0)</f>
        <v>0</v>
      </c>
      <c r="AX173">
        <f>IF((phi!AX118),VLOOKUP(AX$1,main!$A$3:$I$56,5,FALSE)-VLOOKUP($A173,main!$A$3:$I$56,6,FALSE)+main!$D$59,0)</f>
        <v>0</v>
      </c>
      <c r="AY173">
        <f>IF((phi!AY118),VLOOKUP(AY$1,main!$A$3:$I$56,5,FALSE)-VLOOKUP($A173,main!$A$3:$I$56,6,FALSE)+main!$D$59,0)</f>
        <v>0</v>
      </c>
      <c r="AZ173">
        <f>IF((phi!AZ118),VLOOKUP(AZ$1,main!$A$3:$I$56,5,FALSE)-VLOOKUP($A173,main!$A$3:$I$56,6,FALSE)+main!$D$59,0)</f>
        <v>0</v>
      </c>
      <c r="BA173">
        <f>IF((phi!BA118),VLOOKUP(BA$1,main!$A$3:$I$56,5,FALSE)-VLOOKUP($A173,main!$A$3:$I$56,6,FALSE)+main!$D$59,0)</f>
        <v>0</v>
      </c>
      <c r="BB173">
        <f>IF((phi!BB118),VLOOKUP(BB$1,main!$A$3:$I$56,5,FALSE)-VLOOKUP($A173,main!$A$3:$I$56,6,FALSE)+main!$D$59,0)</f>
        <v>0</v>
      </c>
      <c r="BC173">
        <f>IF((phi!BC118),VLOOKUP(BC$1,main!$A$3:$I$56,5,FALSE)-VLOOKUP($A173,main!$A$3:$I$56,6,FALSE)+main!$D$59,0)</f>
        <v>0</v>
      </c>
      <c r="BD173">
        <f>IF((phi!BD118),VLOOKUP(BD$1,main!$A$3:$I$56,5,FALSE)-VLOOKUP($A173,main!$A$3:$I$56,6,FALSE)+main!$D$59,0)</f>
        <v>0</v>
      </c>
    </row>
    <row r="174" spans="1:56" x14ac:dyDescent="0.25">
      <c r="A174">
        <f t="shared" si="5"/>
        <v>7</v>
      </c>
      <c r="B174">
        <v>0</v>
      </c>
      <c r="C174">
        <f>IF((phi!C119),VLOOKUP(C$1,main!$A$3:$I$56,5,FALSE)-VLOOKUP($A174,main!$A$3:$I$56,6,FALSE)+main!$D$59,0)</f>
        <v>0</v>
      </c>
      <c r="D174">
        <f>IF((phi!D119),VLOOKUP(D$1,main!$A$3:$I$56,5,FALSE)-VLOOKUP($A174,main!$A$3:$I$56,6,FALSE)+main!$D$59,0)</f>
        <v>0</v>
      </c>
      <c r="E174">
        <f>IF((phi!E119),VLOOKUP(E$1,main!$A$3:$I$56,5,FALSE)-VLOOKUP($A174,main!$A$3:$I$56,6,FALSE)+main!$D$59,0)</f>
        <v>0</v>
      </c>
      <c r="F174">
        <f>IF((phi!F119),VLOOKUP(F$1,main!$A$3:$I$56,5,FALSE)-VLOOKUP($A174,main!$A$3:$I$56,6,FALSE)+main!$D$59,0)</f>
        <v>0</v>
      </c>
      <c r="G174">
        <f>IF((phi!G119),VLOOKUP(G$1,main!$A$3:$I$56,5,FALSE)-VLOOKUP($A174,main!$A$3:$I$56,6,FALSE)+main!$D$59,0)</f>
        <v>0</v>
      </c>
      <c r="H174">
        <f>IF((phi!H119),VLOOKUP(H$1,main!$A$3:$I$56,5,FALSE)-VLOOKUP($A174,main!$A$3:$I$56,6,FALSE)+main!$D$59,0)</f>
        <v>0</v>
      </c>
      <c r="I174">
        <f>IF((phi!I119),VLOOKUP(I$1,main!$A$3:$I$56,5,FALSE)-VLOOKUP($A174,main!$A$3:$I$56,6,FALSE)+main!$D$59,0)</f>
        <v>0</v>
      </c>
      <c r="J174">
        <f>IF((phi!J119),VLOOKUP(J$1,main!$A$3:$I$56,5,FALSE)-VLOOKUP($A174,main!$A$3:$I$56,6,FALSE)+main!$D$59,0)</f>
        <v>0</v>
      </c>
      <c r="K174">
        <f>IF((phi!K119),VLOOKUP(K$1,main!$A$3:$I$56,5,FALSE)-VLOOKUP($A174,main!$A$3:$I$56,6,FALSE)+main!$D$59,0)</f>
        <v>0</v>
      </c>
      <c r="L174">
        <f>IF((phi!L119),VLOOKUP(L$1,main!$A$3:$I$56,5,FALSE)-VLOOKUP($A174,main!$A$3:$I$56,6,FALSE)+main!$D$59,0)</f>
        <v>0</v>
      </c>
      <c r="M174">
        <f>IF((phi!M119),VLOOKUP(M$1,main!$A$3:$I$56,5,FALSE)-VLOOKUP($A174,main!$A$3:$I$56,6,FALSE)+main!$D$59,0)</f>
        <v>0</v>
      </c>
      <c r="N174">
        <f>IF((phi!N119),VLOOKUP(N$1,main!$A$3:$I$56,5,FALSE)-VLOOKUP($A174,main!$A$3:$I$56,6,FALSE)+main!$D$59,0)</f>
        <v>0</v>
      </c>
      <c r="O174">
        <f>IF((phi!O119),VLOOKUP(O$1,main!$A$3:$I$56,5,FALSE)-VLOOKUP($A174,main!$A$3:$I$56,6,FALSE)+main!$D$59,0)</f>
        <v>0</v>
      </c>
      <c r="P174">
        <f>IF((phi!P119),VLOOKUP(P$1,main!$A$3:$I$56,5,FALSE)-VLOOKUP($A174,main!$A$3:$I$56,6,FALSE)+main!$D$59,0)</f>
        <v>0</v>
      </c>
      <c r="Q174">
        <f>IF((phi!Q119),VLOOKUP(Q$1,main!$A$3:$I$56,5,FALSE)-VLOOKUP($A174,main!$A$3:$I$56,6,FALSE)+main!$D$59,0)</f>
        <v>0</v>
      </c>
      <c r="R174">
        <f>IF((phi!R119),VLOOKUP(R$1,main!$A$3:$I$56,5,FALSE)-VLOOKUP($A174,main!$A$3:$I$56,6,FALSE)+main!$D$59,0)</f>
        <v>0</v>
      </c>
      <c r="S174">
        <f>IF((phi!S119),VLOOKUP(S$1,main!$A$3:$I$56,5,FALSE)-VLOOKUP($A174,main!$A$3:$I$56,6,FALSE)+main!$D$59,0)</f>
        <v>0</v>
      </c>
      <c r="T174">
        <f>IF((phi!T119),VLOOKUP(T$1,main!$A$3:$I$56,5,FALSE)-VLOOKUP($A174,main!$A$3:$I$56,6,FALSE)+main!$D$59,0)</f>
        <v>0</v>
      </c>
      <c r="U174">
        <f>IF((phi!U119),VLOOKUP(U$1,main!$A$3:$I$56,5,FALSE)-VLOOKUP($A174,main!$A$3:$I$56,6,FALSE)+main!$D$59,0)</f>
        <v>0</v>
      </c>
      <c r="V174">
        <f>IF((phi!V119),VLOOKUP(V$1,main!$A$3:$I$56,5,FALSE)-VLOOKUP($A174,main!$A$3:$I$56,6,FALSE)+main!$D$59,0)</f>
        <v>0</v>
      </c>
      <c r="W174">
        <f>IF((phi!W119),VLOOKUP(W$1,main!$A$3:$I$56,5,FALSE)-VLOOKUP($A174,main!$A$3:$I$56,6,FALSE)+main!$D$59,0)</f>
        <v>0</v>
      </c>
      <c r="X174">
        <f>IF((phi!X119),VLOOKUP(X$1,main!$A$3:$I$56,5,FALSE)-VLOOKUP($A174,main!$A$3:$I$56,6,FALSE)+main!$D$59,0)</f>
        <v>0</v>
      </c>
      <c r="Y174">
        <f>IF((phi!Y119),VLOOKUP(Y$1,main!$A$3:$I$56,5,FALSE)-VLOOKUP($A174,main!$A$3:$I$56,6,FALSE)+main!$D$59,0)</f>
        <v>0</v>
      </c>
      <c r="Z174">
        <f>IF((phi!Z119),VLOOKUP(Z$1,main!$A$3:$I$56,5,FALSE)-VLOOKUP($A174,main!$A$3:$I$56,6,FALSE)+main!$D$59,0)</f>
        <v>0</v>
      </c>
      <c r="AA174">
        <f>IF((phi!AA119),VLOOKUP(AA$1,main!$A$3:$I$56,5,FALSE)-VLOOKUP($A174,main!$A$3:$I$56,6,FALSE)+main!$D$59,0)</f>
        <v>0</v>
      </c>
      <c r="AB174">
        <f>IF((phi!AB119),VLOOKUP(AB$1,main!$A$3:$I$56,5,FALSE)-VLOOKUP($A174,main!$A$3:$I$56,6,FALSE)+main!$D$59,0)</f>
        <v>0</v>
      </c>
      <c r="AC174">
        <f>IF((phi!AC119),VLOOKUP(AC$1,main!$A$3:$I$56,5,FALSE)-VLOOKUP($A174,main!$A$3:$I$56,6,FALSE)+main!$D$59,0)</f>
        <v>0</v>
      </c>
      <c r="AD174">
        <f>IF((phi!AD119),VLOOKUP(AD$1,main!$A$3:$I$56,5,FALSE)-VLOOKUP($A174,main!$A$3:$I$56,6,FALSE)+main!$D$59,0)</f>
        <v>0</v>
      </c>
      <c r="AE174">
        <f>IF((phi!AE119),VLOOKUP(AE$1,main!$A$3:$I$56,5,FALSE)-VLOOKUP($A174,main!$A$3:$I$56,6,FALSE)+main!$D$59,0)</f>
        <v>0</v>
      </c>
      <c r="AF174">
        <f>IF((phi!AF119),VLOOKUP(AF$1,main!$A$3:$I$56,5,FALSE)-VLOOKUP($A174,main!$A$3:$I$56,6,FALSE)+main!$D$59,0)</f>
        <v>0</v>
      </c>
      <c r="AG174">
        <f>IF((phi!AG119),VLOOKUP(AG$1,main!$A$3:$I$56,5,FALSE)-VLOOKUP($A174,main!$A$3:$I$56,6,FALSE)+main!$D$59,0)</f>
        <v>0</v>
      </c>
      <c r="AH174">
        <f>IF((phi!AH119),VLOOKUP(AH$1,main!$A$3:$I$56,5,FALSE)-VLOOKUP($A174,main!$A$3:$I$56,6,FALSE)+main!$D$59,0)</f>
        <v>0</v>
      </c>
      <c r="AI174">
        <f>IF((phi!AI119),VLOOKUP(AI$1,main!$A$3:$I$56,5,FALSE)-VLOOKUP($A174,main!$A$3:$I$56,6,FALSE)+main!$D$59,0)</f>
        <v>0</v>
      </c>
      <c r="AJ174">
        <f>IF((phi!AJ119),VLOOKUP(AJ$1,main!$A$3:$I$56,5,FALSE)-VLOOKUP($A174,main!$A$3:$I$56,6,FALSE)+main!$D$59,0)</f>
        <v>0</v>
      </c>
      <c r="AK174">
        <f>IF((phi!AK119),VLOOKUP(AK$1,main!$A$3:$I$56,5,FALSE)-VLOOKUP($A174,main!$A$3:$I$56,6,FALSE)+main!$D$59,0)</f>
        <v>0</v>
      </c>
      <c r="AL174">
        <f>IF((phi!AL119),VLOOKUP(AL$1,main!$A$3:$I$56,5,FALSE)-VLOOKUP($A174,main!$A$3:$I$56,6,FALSE)+main!$D$59,0)</f>
        <v>0</v>
      </c>
      <c r="AM174">
        <f>IF((phi!AM119),VLOOKUP(AM$1,main!$A$3:$I$56,5,FALSE)-VLOOKUP($A174,main!$A$3:$I$56,6,FALSE)+main!$D$59,0)</f>
        <v>0</v>
      </c>
      <c r="AN174">
        <f>IF((phi!AN119),VLOOKUP(AN$1,main!$A$3:$I$56,5,FALSE)-VLOOKUP($A174,main!$A$3:$I$56,6,FALSE)+main!$D$59,0)</f>
        <v>0</v>
      </c>
      <c r="AO174">
        <f>IF((phi!AO119),VLOOKUP(AO$1,main!$A$3:$I$56,5,FALSE)-VLOOKUP($A174,main!$A$3:$I$56,6,FALSE)+main!$D$59,0)</f>
        <v>0</v>
      </c>
      <c r="AP174">
        <f>IF((phi!AP119),VLOOKUP(AP$1,main!$A$3:$I$56,5,FALSE)-VLOOKUP($A174,main!$A$3:$I$56,6,FALSE)+main!$D$59,0)</f>
        <v>0</v>
      </c>
      <c r="AQ174">
        <f>IF((phi!AQ119),VLOOKUP(AQ$1,main!$A$3:$I$56,5,FALSE)-VLOOKUP($A174,main!$A$3:$I$56,6,FALSE)+main!$D$59,0)</f>
        <v>0</v>
      </c>
      <c r="AR174">
        <f>IF((phi!AR119),VLOOKUP(AR$1,main!$A$3:$I$56,5,FALSE)-VLOOKUP($A174,main!$A$3:$I$56,6,FALSE)+main!$D$59,0)</f>
        <v>0</v>
      </c>
      <c r="AS174">
        <f>IF((phi!AS119),VLOOKUP(AS$1,main!$A$3:$I$56,5,FALSE)-VLOOKUP($A174,main!$A$3:$I$56,6,FALSE)+main!$D$59,0)</f>
        <v>0</v>
      </c>
      <c r="AT174">
        <f>IF((phi!AT119),VLOOKUP(AT$1,main!$A$3:$I$56,5,FALSE)-VLOOKUP($A174,main!$A$3:$I$56,6,FALSE)+main!$D$59,0)</f>
        <v>0</v>
      </c>
      <c r="AU174">
        <f>IF((phi!AU119),VLOOKUP(AU$1,main!$A$3:$I$56,5,FALSE)-VLOOKUP($A174,main!$A$3:$I$56,6,FALSE)+main!$D$59,0)</f>
        <v>0</v>
      </c>
      <c r="AV174">
        <f>IF((phi!AV119),VLOOKUP(AV$1,main!$A$3:$I$56,5,FALSE)-VLOOKUP($A174,main!$A$3:$I$56,6,FALSE)+main!$D$59,0)</f>
        <v>0</v>
      </c>
      <c r="AW174">
        <f>IF((phi!AW119),VLOOKUP(AW$1,main!$A$3:$I$56,5,FALSE)-VLOOKUP($A174,main!$A$3:$I$56,6,FALSE)+main!$D$59,0)</f>
        <v>0</v>
      </c>
      <c r="AX174">
        <f>IF((phi!AX119),VLOOKUP(AX$1,main!$A$3:$I$56,5,FALSE)-VLOOKUP($A174,main!$A$3:$I$56,6,FALSE)+main!$D$59,0)</f>
        <v>0</v>
      </c>
      <c r="AY174">
        <f>IF((phi!AY119),VLOOKUP(AY$1,main!$A$3:$I$56,5,FALSE)-VLOOKUP($A174,main!$A$3:$I$56,6,FALSE)+main!$D$59,0)</f>
        <v>0</v>
      </c>
      <c r="AZ174">
        <f>IF((phi!AZ119),VLOOKUP(AZ$1,main!$A$3:$I$56,5,FALSE)-VLOOKUP($A174,main!$A$3:$I$56,6,FALSE)+main!$D$59,0)</f>
        <v>0</v>
      </c>
      <c r="BA174">
        <f>IF((phi!BA119),VLOOKUP(BA$1,main!$A$3:$I$56,5,FALSE)-VLOOKUP($A174,main!$A$3:$I$56,6,FALSE)+main!$D$59,0)</f>
        <v>0</v>
      </c>
      <c r="BB174">
        <f>IF((phi!BB119),VLOOKUP(BB$1,main!$A$3:$I$56,5,FALSE)-VLOOKUP($A174,main!$A$3:$I$56,6,FALSE)+main!$D$59,0)</f>
        <v>0</v>
      </c>
      <c r="BC174">
        <f>IF((phi!BC119),VLOOKUP(BC$1,main!$A$3:$I$56,5,FALSE)-VLOOKUP($A174,main!$A$3:$I$56,6,FALSE)+main!$D$59,0)</f>
        <v>0</v>
      </c>
      <c r="BD174">
        <f>IF((phi!BD119),VLOOKUP(BD$1,main!$A$3:$I$56,5,FALSE)-VLOOKUP($A174,main!$A$3:$I$56,6,FALSE)+main!$D$59,0)</f>
        <v>0</v>
      </c>
    </row>
    <row r="175" spans="1:56" x14ac:dyDescent="0.25">
      <c r="A175">
        <f t="shared" si="5"/>
        <v>8</v>
      </c>
      <c r="B175">
        <v>0</v>
      </c>
      <c r="C175">
        <f>IF((phi!C120),VLOOKUP(C$1,main!$A$3:$I$56,5,FALSE)-VLOOKUP($A175,main!$A$3:$I$56,6,FALSE)+main!$D$59,0)</f>
        <v>0</v>
      </c>
      <c r="D175">
        <f>IF((phi!D120),VLOOKUP(D$1,main!$A$3:$I$56,5,FALSE)-VLOOKUP($A175,main!$A$3:$I$56,6,FALSE)+main!$D$59,0)</f>
        <v>0</v>
      </c>
      <c r="E175">
        <f>IF((phi!E120),VLOOKUP(E$1,main!$A$3:$I$56,5,FALSE)-VLOOKUP($A175,main!$A$3:$I$56,6,FALSE)+main!$D$59,0)</f>
        <v>0</v>
      </c>
      <c r="F175">
        <f>IF((phi!F120),VLOOKUP(F$1,main!$A$3:$I$56,5,FALSE)-VLOOKUP($A175,main!$A$3:$I$56,6,FALSE)+main!$D$59,0)</f>
        <v>0</v>
      </c>
      <c r="G175">
        <f>IF((phi!G120),VLOOKUP(G$1,main!$A$3:$I$56,5,FALSE)-VLOOKUP($A175,main!$A$3:$I$56,6,FALSE)+main!$D$59,0)</f>
        <v>0</v>
      </c>
      <c r="H175">
        <f>IF((phi!H120),VLOOKUP(H$1,main!$A$3:$I$56,5,FALSE)-VLOOKUP($A175,main!$A$3:$I$56,6,FALSE)+main!$D$59,0)</f>
        <v>0</v>
      </c>
      <c r="I175">
        <f>IF((phi!I120),VLOOKUP(I$1,main!$A$3:$I$56,5,FALSE)-VLOOKUP($A175,main!$A$3:$I$56,6,FALSE)+main!$D$59,0)</f>
        <v>0</v>
      </c>
      <c r="J175">
        <f>IF((phi!J120),VLOOKUP(J$1,main!$A$3:$I$56,5,FALSE)-VLOOKUP($A175,main!$A$3:$I$56,6,FALSE)+main!$D$59,0)</f>
        <v>0</v>
      </c>
      <c r="K175">
        <f>IF((phi!K120),VLOOKUP(K$1,main!$A$3:$I$56,5,FALSE)-VLOOKUP($A175,main!$A$3:$I$56,6,FALSE)+main!$D$59,0)</f>
        <v>0</v>
      </c>
      <c r="L175">
        <f>IF((phi!L120),VLOOKUP(L$1,main!$A$3:$I$56,5,FALSE)-VLOOKUP($A175,main!$A$3:$I$56,6,FALSE)+main!$D$59,0)</f>
        <v>0</v>
      </c>
      <c r="M175">
        <f>IF((phi!M120),VLOOKUP(M$1,main!$A$3:$I$56,5,FALSE)-VLOOKUP($A175,main!$A$3:$I$56,6,FALSE)+main!$D$59,0)</f>
        <v>0</v>
      </c>
      <c r="N175">
        <f>IF((phi!N120),VLOOKUP(N$1,main!$A$3:$I$56,5,FALSE)-VLOOKUP($A175,main!$A$3:$I$56,6,FALSE)+main!$D$59,0)</f>
        <v>0</v>
      </c>
      <c r="O175">
        <f>IF((phi!O120),VLOOKUP(O$1,main!$A$3:$I$56,5,FALSE)-VLOOKUP($A175,main!$A$3:$I$56,6,FALSE)+main!$D$59,0)</f>
        <v>0</v>
      </c>
      <c r="P175">
        <f>IF((phi!P120),VLOOKUP(P$1,main!$A$3:$I$56,5,FALSE)-VLOOKUP($A175,main!$A$3:$I$56,6,FALSE)+main!$D$59,0)</f>
        <v>0</v>
      </c>
      <c r="Q175">
        <f>IF((phi!Q120),VLOOKUP(Q$1,main!$A$3:$I$56,5,FALSE)-VLOOKUP($A175,main!$A$3:$I$56,6,FALSE)+main!$D$59,0)</f>
        <v>0</v>
      </c>
      <c r="R175">
        <f>IF((phi!R120),VLOOKUP(R$1,main!$A$3:$I$56,5,FALSE)-VLOOKUP($A175,main!$A$3:$I$56,6,FALSE)+main!$D$59,0)</f>
        <v>0</v>
      </c>
      <c r="S175">
        <f>IF((phi!S120),VLOOKUP(S$1,main!$A$3:$I$56,5,FALSE)-VLOOKUP($A175,main!$A$3:$I$56,6,FALSE)+main!$D$59,0)</f>
        <v>0</v>
      </c>
      <c r="T175">
        <f>IF((phi!T120),VLOOKUP(T$1,main!$A$3:$I$56,5,FALSE)-VLOOKUP($A175,main!$A$3:$I$56,6,FALSE)+main!$D$59,0)</f>
        <v>0</v>
      </c>
      <c r="U175">
        <f>IF((phi!U120),VLOOKUP(U$1,main!$A$3:$I$56,5,FALSE)-VLOOKUP($A175,main!$A$3:$I$56,6,FALSE)+main!$D$59,0)</f>
        <v>0</v>
      </c>
      <c r="V175">
        <f>IF((phi!V120),VLOOKUP(V$1,main!$A$3:$I$56,5,FALSE)-VLOOKUP($A175,main!$A$3:$I$56,6,FALSE)+main!$D$59,0)</f>
        <v>0</v>
      </c>
      <c r="W175">
        <f>IF((phi!W120),VLOOKUP(W$1,main!$A$3:$I$56,5,FALSE)-VLOOKUP($A175,main!$A$3:$I$56,6,FALSE)+main!$D$59,0)</f>
        <v>0</v>
      </c>
      <c r="X175">
        <f>IF((phi!X120),VLOOKUP(X$1,main!$A$3:$I$56,5,FALSE)-VLOOKUP($A175,main!$A$3:$I$56,6,FALSE)+main!$D$59,0)</f>
        <v>0</v>
      </c>
      <c r="Y175">
        <f>IF((phi!Y120),VLOOKUP(Y$1,main!$A$3:$I$56,5,FALSE)-VLOOKUP($A175,main!$A$3:$I$56,6,FALSE)+main!$D$59,0)</f>
        <v>0</v>
      </c>
      <c r="Z175">
        <f>IF((phi!Z120),VLOOKUP(Z$1,main!$A$3:$I$56,5,FALSE)-VLOOKUP($A175,main!$A$3:$I$56,6,FALSE)+main!$D$59,0)</f>
        <v>0</v>
      </c>
      <c r="AA175">
        <f>IF((phi!AA120),VLOOKUP(AA$1,main!$A$3:$I$56,5,FALSE)-VLOOKUP($A175,main!$A$3:$I$56,6,FALSE)+main!$D$59,0)</f>
        <v>0</v>
      </c>
      <c r="AB175">
        <f>IF((phi!AB120),VLOOKUP(AB$1,main!$A$3:$I$56,5,FALSE)-VLOOKUP($A175,main!$A$3:$I$56,6,FALSE)+main!$D$59,0)</f>
        <v>0</v>
      </c>
      <c r="AC175">
        <f>IF((phi!AC120),VLOOKUP(AC$1,main!$A$3:$I$56,5,FALSE)-VLOOKUP($A175,main!$A$3:$I$56,6,FALSE)+main!$D$59,0)</f>
        <v>0</v>
      </c>
      <c r="AD175">
        <f>IF((phi!AD120),VLOOKUP(AD$1,main!$A$3:$I$56,5,FALSE)-VLOOKUP($A175,main!$A$3:$I$56,6,FALSE)+main!$D$59,0)</f>
        <v>0</v>
      </c>
      <c r="AE175">
        <f>IF((phi!AE120),VLOOKUP(AE$1,main!$A$3:$I$56,5,FALSE)-VLOOKUP($A175,main!$A$3:$I$56,6,FALSE)+main!$D$59,0)</f>
        <v>0</v>
      </c>
      <c r="AF175">
        <f>IF((phi!AF120),VLOOKUP(AF$1,main!$A$3:$I$56,5,FALSE)-VLOOKUP($A175,main!$A$3:$I$56,6,FALSE)+main!$D$59,0)</f>
        <v>0</v>
      </c>
      <c r="AG175">
        <f>IF((phi!AG120),VLOOKUP(AG$1,main!$A$3:$I$56,5,FALSE)-VLOOKUP($A175,main!$A$3:$I$56,6,FALSE)+main!$D$59,0)</f>
        <v>0</v>
      </c>
      <c r="AH175">
        <f>IF((phi!AH120),VLOOKUP(AH$1,main!$A$3:$I$56,5,FALSE)-VLOOKUP($A175,main!$A$3:$I$56,6,FALSE)+main!$D$59,0)</f>
        <v>0</v>
      </c>
      <c r="AI175">
        <f>IF((phi!AI120),VLOOKUP(AI$1,main!$A$3:$I$56,5,FALSE)-VLOOKUP($A175,main!$A$3:$I$56,6,FALSE)+main!$D$59,0)</f>
        <v>0</v>
      </c>
      <c r="AJ175">
        <f>IF((phi!AJ120),VLOOKUP(AJ$1,main!$A$3:$I$56,5,FALSE)-VLOOKUP($A175,main!$A$3:$I$56,6,FALSE)+main!$D$59,0)</f>
        <v>0</v>
      </c>
      <c r="AK175">
        <f>IF((phi!AK120),VLOOKUP(AK$1,main!$A$3:$I$56,5,FALSE)-VLOOKUP($A175,main!$A$3:$I$56,6,FALSE)+main!$D$59,0)</f>
        <v>0</v>
      </c>
      <c r="AL175">
        <f>IF((phi!AL120),VLOOKUP(AL$1,main!$A$3:$I$56,5,FALSE)-VLOOKUP($A175,main!$A$3:$I$56,6,FALSE)+main!$D$59,0)</f>
        <v>0</v>
      </c>
      <c r="AM175">
        <f>IF((phi!AM120),VLOOKUP(AM$1,main!$A$3:$I$56,5,FALSE)-VLOOKUP($A175,main!$A$3:$I$56,6,FALSE)+main!$D$59,0)</f>
        <v>0</v>
      </c>
      <c r="AN175">
        <f>IF((phi!AN120),VLOOKUP(AN$1,main!$A$3:$I$56,5,FALSE)-VLOOKUP($A175,main!$A$3:$I$56,6,FALSE)+main!$D$59,0)</f>
        <v>0</v>
      </c>
      <c r="AO175">
        <f>IF((phi!AO120),VLOOKUP(AO$1,main!$A$3:$I$56,5,FALSE)-VLOOKUP($A175,main!$A$3:$I$56,6,FALSE)+main!$D$59,0)</f>
        <v>0</v>
      </c>
      <c r="AP175">
        <f>IF((phi!AP120),VLOOKUP(AP$1,main!$A$3:$I$56,5,FALSE)-VLOOKUP($A175,main!$A$3:$I$56,6,FALSE)+main!$D$59,0)</f>
        <v>0</v>
      </c>
      <c r="AQ175">
        <f>IF((phi!AQ120),VLOOKUP(AQ$1,main!$A$3:$I$56,5,FALSE)-VLOOKUP($A175,main!$A$3:$I$56,6,FALSE)+main!$D$59,0)</f>
        <v>0</v>
      </c>
      <c r="AR175">
        <f>IF((phi!AR120),VLOOKUP(AR$1,main!$A$3:$I$56,5,FALSE)-VLOOKUP($A175,main!$A$3:$I$56,6,FALSE)+main!$D$59,0)</f>
        <v>0</v>
      </c>
      <c r="AS175">
        <f>IF((phi!AS120),VLOOKUP(AS$1,main!$A$3:$I$56,5,FALSE)-VLOOKUP($A175,main!$A$3:$I$56,6,FALSE)+main!$D$59,0)</f>
        <v>0</v>
      </c>
      <c r="AT175">
        <f>IF((phi!AT120),VLOOKUP(AT$1,main!$A$3:$I$56,5,FALSE)-VLOOKUP($A175,main!$A$3:$I$56,6,FALSE)+main!$D$59,0)</f>
        <v>0</v>
      </c>
      <c r="AU175">
        <f>IF((phi!AU120),VLOOKUP(AU$1,main!$A$3:$I$56,5,FALSE)-VLOOKUP($A175,main!$A$3:$I$56,6,FALSE)+main!$D$59,0)</f>
        <v>0</v>
      </c>
      <c r="AV175">
        <f>IF((phi!AV120),VLOOKUP(AV$1,main!$A$3:$I$56,5,FALSE)-VLOOKUP($A175,main!$A$3:$I$56,6,FALSE)+main!$D$59,0)</f>
        <v>0</v>
      </c>
      <c r="AW175">
        <f>IF((phi!AW120),VLOOKUP(AW$1,main!$A$3:$I$56,5,FALSE)-VLOOKUP($A175,main!$A$3:$I$56,6,FALSE)+main!$D$59,0)</f>
        <v>0</v>
      </c>
      <c r="AX175">
        <f>IF((phi!AX120),VLOOKUP(AX$1,main!$A$3:$I$56,5,FALSE)-VLOOKUP($A175,main!$A$3:$I$56,6,FALSE)+main!$D$59,0)</f>
        <v>0</v>
      </c>
      <c r="AY175">
        <f>IF((phi!AY120),VLOOKUP(AY$1,main!$A$3:$I$56,5,FALSE)-VLOOKUP($A175,main!$A$3:$I$56,6,FALSE)+main!$D$59,0)</f>
        <v>0</v>
      </c>
      <c r="AZ175">
        <f>IF((phi!AZ120),VLOOKUP(AZ$1,main!$A$3:$I$56,5,FALSE)-VLOOKUP($A175,main!$A$3:$I$56,6,FALSE)+main!$D$59,0)</f>
        <v>0</v>
      </c>
      <c r="BA175">
        <f>IF((phi!BA120),VLOOKUP(BA$1,main!$A$3:$I$56,5,FALSE)-VLOOKUP($A175,main!$A$3:$I$56,6,FALSE)+main!$D$59,0)</f>
        <v>0</v>
      </c>
      <c r="BB175">
        <f>IF((phi!BB120),VLOOKUP(BB$1,main!$A$3:$I$56,5,FALSE)-VLOOKUP($A175,main!$A$3:$I$56,6,FALSE)+main!$D$59,0)</f>
        <v>0</v>
      </c>
      <c r="BC175">
        <f>IF((phi!BC120),VLOOKUP(BC$1,main!$A$3:$I$56,5,FALSE)-VLOOKUP($A175,main!$A$3:$I$56,6,FALSE)+main!$D$59,0)</f>
        <v>0</v>
      </c>
      <c r="BD175">
        <f>IF((phi!BD120),VLOOKUP(BD$1,main!$A$3:$I$56,5,FALSE)-VLOOKUP($A175,main!$A$3:$I$56,6,FALSE)+main!$D$59,0)</f>
        <v>0</v>
      </c>
    </row>
    <row r="176" spans="1:56" x14ac:dyDescent="0.25">
      <c r="A176">
        <f t="shared" si="5"/>
        <v>9</v>
      </c>
      <c r="B176">
        <v>0</v>
      </c>
      <c r="C176">
        <f>IF((phi!C121),VLOOKUP(C$1,main!$A$3:$I$56,5,FALSE)-VLOOKUP($A176,main!$A$3:$I$56,6,FALSE)+main!$D$59,0)</f>
        <v>0</v>
      </c>
      <c r="D176">
        <f>IF((phi!D121),VLOOKUP(D$1,main!$A$3:$I$56,5,FALSE)-VLOOKUP($A176,main!$A$3:$I$56,6,FALSE)+main!$D$59,0)</f>
        <v>0</v>
      </c>
      <c r="E176">
        <f>IF((phi!E121),VLOOKUP(E$1,main!$A$3:$I$56,5,FALSE)-VLOOKUP($A176,main!$A$3:$I$56,6,FALSE)+main!$D$59,0)</f>
        <v>0</v>
      </c>
      <c r="F176">
        <f>IF((phi!F121),VLOOKUP(F$1,main!$A$3:$I$56,5,FALSE)-VLOOKUP($A176,main!$A$3:$I$56,6,FALSE)+main!$D$59,0)</f>
        <v>275</v>
      </c>
      <c r="G176">
        <f>IF((phi!G121),VLOOKUP(G$1,main!$A$3:$I$56,5,FALSE)-VLOOKUP($A176,main!$A$3:$I$56,6,FALSE)+main!$D$59,0)</f>
        <v>335</v>
      </c>
      <c r="H176">
        <f>IF((phi!H121),VLOOKUP(H$1,main!$A$3:$I$56,5,FALSE)-VLOOKUP($A176,main!$A$3:$I$56,6,FALSE)+main!$D$59,0)</f>
        <v>395</v>
      </c>
      <c r="I176">
        <f>IF((phi!I121),VLOOKUP(I$1,main!$A$3:$I$56,5,FALSE)-VLOOKUP($A176,main!$A$3:$I$56,6,FALSE)+main!$D$59,0)</f>
        <v>455</v>
      </c>
      <c r="J176">
        <f>IF((phi!J121),VLOOKUP(J$1,main!$A$3:$I$56,5,FALSE)-VLOOKUP($A176,main!$A$3:$I$56,6,FALSE)+main!$D$59,0)</f>
        <v>545</v>
      </c>
      <c r="K176">
        <f>IF((phi!K121),VLOOKUP(K$1,main!$A$3:$I$56,5,FALSE)-VLOOKUP($A176,main!$A$3:$I$56,6,FALSE)+main!$D$59,0)</f>
        <v>0</v>
      </c>
      <c r="L176">
        <f>IF((phi!L121),VLOOKUP(L$1,main!$A$3:$I$56,5,FALSE)-VLOOKUP($A176,main!$A$3:$I$56,6,FALSE)+main!$D$59,0)</f>
        <v>0</v>
      </c>
      <c r="M176">
        <f>IF((phi!M121),VLOOKUP(M$1,main!$A$3:$I$56,5,FALSE)-VLOOKUP($A176,main!$A$3:$I$56,6,FALSE)+main!$D$59,0)</f>
        <v>0</v>
      </c>
      <c r="N176">
        <f>IF((phi!N121),VLOOKUP(N$1,main!$A$3:$I$56,5,FALSE)-VLOOKUP($A176,main!$A$3:$I$56,6,FALSE)+main!$D$59,0)</f>
        <v>510</v>
      </c>
      <c r="O176">
        <f>IF((phi!O121),VLOOKUP(O$1,main!$A$3:$I$56,5,FALSE)-VLOOKUP($A176,main!$A$3:$I$56,6,FALSE)+main!$D$59,0)</f>
        <v>570</v>
      </c>
      <c r="P176">
        <f>IF((phi!P121),VLOOKUP(P$1,main!$A$3:$I$56,5,FALSE)-VLOOKUP($A176,main!$A$3:$I$56,6,FALSE)+main!$D$59,0)</f>
        <v>0</v>
      </c>
      <c r="Q176">
        <f>IF((phi!Q121),VLOOKUP(Q$1,main!$A$3:$I$56,5,FALSE)-VLOOKUP($A176,main!$A$3:$I$56,6,FALSE)+main!$D$59,0)</f>
        <v>0</v>
      </c>
      <c r="R176">
        <f>IF((phi!R121),VLOOKUP(R$1,main!$A$3:$I$56,5,FALSE)-VLOOKUP($A176,main!$A$3:$I$56,6,FALSE)+main!$D$59,0)</f>
        <v>0</v>
      </c>
      <c r="S176">
        <f>IF((phi!S121),VLOOKUP(S$1,main!$A$3:$I$56,5,FALSE)-VLOOKUP($A176,main!$A$3:$I$56,6,FALSE)+main!$D$59,0)</f>
        <v>325</v>
      </c>
      <c r="T176">
        <f>IF((phi!T121),VLOOKUP(T$1,main!$A$3:$I$56,5,FALSE)-VLOOKUP($A176,main!$A$3:$I$56,6,FALSE)+main!$D$59,0)</f>
        <v>475</v>
      </c>
      <c r="U176">
        <f>IF((phi!U121),VLOOKUP(U$1,main!$A$3:$I$56,5,FALSE)-VLOOKUP($A176,main!$A$3:$I$56,6,FALSE)+main!$D$59,0)</f>
        <v>0</v>
      </c>
      <c r="V176">
        <f>IF((phi!V121),VLOOKUP(V$1,main!$A$3:$I$56,5,FALSE)-VLOOKUP($A176,main!$A$3:$I$56,6,FALSE)+main!$D$59,0)</f>
        <v>0</v>
      </c>
      <c r="W176">
        <f>IF((phi!W121),VLOOKUP(W$1,main!$A$3:$I$56,5,FALSE)-VLOOKUP($A176,main!$A$3:$I$56,6,FALSE)+main!$D$59,0)</f>
        <v>0</v>
      </c>
      <c r="X176">
        <f>IF((phi!X121),VLOOKUP(X$1,main!$A$3:$I$56,5,FALSE)-VLOOKUP($A176,main!$A$3:$I$56,6,FALSE)+main!$D$59,0)</f>
        <v>165</v>
      </c>
      <c r="Y176">
        <f>IF((phi!Y121),VLOOKUP(Y$1,main!$A$3:$I$56,5,FALSE)-VLOOKUP($A176,main!$A$3:$I$56,6,FALSE)+main!$D$59,0)</f>
        <v>255</v>
      </c>
      <c r="Z176">
        <f>IF((phi!Z121),VLOOKUP(Z$1,main!$A$3:$I$56,5,FALSE)-VLOOKUP($A176,main!$A$3:$I$56,6,FALSE)+main!$D$59,0)</f>
        <v>345</v>
      </c>
      <c r="AA176">
        <f>IF((phi!AA121),VLOOKUP(AA$1,main!$A$3:$I$56,5,FALSE)-VLOOKUP($A176,main!$A$3:$I$56,6,FALSE)+main!$D$59,0)</f>
        <v>435</v>
      </c>
      <c r="AB176">
        <f>IF((phi!AB121),VLOOKUP(AB$1,main!$A$3:$I$56,5,FALSE)-VLOOKUP($A176,main!$A$3:$I$56,6,FALSE)+main!$D$59,0)</f>
        <v>495</v>
      </c>
      <c r="AC176">
        <f>IF((phi!AC121),VLOOKUP(AC$1,main!$A$3:$I$56,5,FALSE)-VLOOKUP($A176,main!$A$3:$I$56,6,FALSE)+main!$D$59,0)</f>
        <v>0</v>
      </c>
      <c r="AD176">
        <f>IF((phi!AD121),VLOOKUP(AD$1,main!$A$3:$I$56,5,FALSE)-VLOOKUP($A176,main!$A$3:$I$56,6,FALSE)+main!$D$59,0)</f>
        <v>0</v>
      </c>
      <c r="AE176">
        <f>IF((phi!AE121),VLOOKUP(AE$1,main!$A$3:$I$56,5,FALSE)-VLOOKUP($A176,main!$A$3:$I$56,6,FALSE)+main!$D$59,0)</f>
        <v>155</v>
      </c>
      <c r="AF176">
        <f>IF((phi!AF121),VLOOKUP(AF$1,main!$A$3:$I$56,5,FALSE)-VLOOKUP($A176,main!$A$3:$I$56,6,FALSE)+main!$D$59,0)</f>
        <v>305</v>
      </c>
      <c r="AG176">
        <f>IF((phi!AG121),VLOOKUP(AG$1,main!$A$3:$I$56,5,FALSE)-VLOOKUP($A176,main!$A$3:$I$56,6,FALSE)+main!$D$59,0)</f>
        <v>0</v>
      </c>
      <c r="AH176">
        <f>IF((phi!AH121),VLOOKUP(AH$1,main!$A$3:$I$56,5,FALSE)-VLOOKUP($A176,main!$A$3:$I$56,6,FALSE)+main!$D$59,0)</f>
        <v>0</v>
      </c>
      <c r="AI176">
        <f>IF((phi!AI121),VLOOKUP(AI$1,main!$A$3:$I$56,5,FALSE)-VLOOKUP($A176,main!$A$3:$I$56,6,FALSE)+main!$D$59,0)</f>
        <v>0</v>
      </c>
      <c r="AJ176">
        <f>IF((phi!AJ121),VLOOKUP(AJ$1,main!$A$3:$I$56,5,FALSE)-VLOOKUP($A176,main!$A$3:$I$56,6,FALSE)+main!$D$59,0)</f>
        <v>275</v>
      </c>
      <c r="AK176">
        <f>IF((phi!AK121),VLOOKUP(AK$1,main!$A$3:$I$56,5,FALSE)-VLOOKUP($A176,main!$A$3:$I$56,6,FALSE)+main!$D$59,0)</f>
        <v>395</v>
      </c>
      <c r="AL176">
        <f>IF((phi!AL121),VLOOKUP(AL$1,main!$A$3:$I$56,5,FALSE)-VLOOKUP($A176,main!$A$3:$I$56,6,FALSE)+main!$D$59,0)</f>
        <v>0</v>
      </c>
      <c r="AM176">
        <f>IF((phi!AM121),VLOOKUP(AM$1,main!$A$3:$I$56,5,FALSE)-VLOOKUP($A176,main!$A$3:$I$56,6,FALSE)+main!$D$59,0)</f>
        <v>0</v>
      </c>
      <c r="AN176">
        <f>IF((phi!AN121),VLOOKUP(AN$1,main!$A$3:$I$56,5,FALSE)-VLOOKUP($A176,main!$A$3:$I$56,6,FALSE)+main!$D$59,0)</f>
        <v>255</v>
      </c>
      <c r="AO176">
        <f>IF((phi!AO121),VLOOKUP(AO$1,main!$A$3:$I$56,5,FALSE)-VLOOKUP($A176,main!$A$3:$I$56,6,FALSE)+main!$D$59,0)</f>
        <v>305</v>
      </c>
      <c r="AP176">
        <f>IF((phi!AP121),VLOOKUP(AP$1,main!$A$3:$I$56,5,FALSE)-VLOOKUP($A176,main!$A$3:$I$56,6,FALSE)+main!$D$59,0)</f>
        <v>0</v>
      </c>
      <c r="AQ176">
        <f>IF((phi!AQ121),VLOOKUP(AQ$1,main!$A$3:$I$56,5,FALSE)-VLOOKUP($A176,main!$A$3:$I$56,6,FALSE)+main!$D$59,0)</f>
        <v>0</v>
      </c>
      <c r="AR176">
        <f>IF((phi!AR121),VLOOKUP(AR$1,main!$A$3:$I$56,5,FALSE)-VLOOKUP($A176,main!$A$3:$I$56,6,FALSE)+main!$D$59,0)</f>
        <v>0</v>
      </c>
      <c r="AS176">
        <f>IF((phi!AS121),VLOOKUP(AS$1,main!$A$3:$I$56,5,FALSE)-VLOOKUP($A176,main!$A$3:$I$56,6,FALSE)+main!$D$59,0)</f>
        <v>0</v>
      </c>
      <c r="AT176">
        <f>IF((phi!AT121),VLOOKUP(AT$1,main!$A$3:$I$56,5,FALSE)-VLOOKUP($A176,main!$A$3:$I$56,6,FALSE)+main!$D$59,0)</f>
        <v>0</v>
      </c>
      <c r="AU176">
        <f>IF((phi!AU121),VLOOKUP(AU$1,main!$A$3:$I$56,5,FALSE)-VLOOKUP($A176,main!$A$3:$I$56,6,FALSE)+main!$D$59,0)</f>
        <v>0</v>
      </c>
      <c r="AV176">
        <f>IF((phi!AV121),VLOOKUP(AV$1,main!$A$3:$I$56,5,FALSE)-VLOOKUP($A176,main!$A$3:$I$56,6,FALSE)+main!$D$59,0)</f>
        <v>0</v>
      </c>
      <c r="AW176">
        <f>IF((phi!AW121),VLOOKUP(AW$1,main!$A$3:$I$56,5,FALSE)-VLOOKUP($A176,main!$A$3:$I$56,6,FALSE)+main!$D$59,0)</f>
        <v>0</v>
      </c>
      <c r="AX176">
        <f>IF((phi!AX121),VLOOKUP(AX$1,main!$A$3:$I$56,5,FALSE)-VLOOKUP($A176,main!$A$3:$I$56,6,FALSE)+main!$D$59,0)</f>
        <v>355</v>
      </c>
      <c r="AY176">
        <f>IF((phi!AY121),VLOOKUP(AY$1,main!$A$3:$I$56,5,FALSE)-VLOOKUP($A176,main!$A$3:$I$56,6,FALSE)+main!$D$59,0)</f>
        <v>555</v>
      </c>
      <c r="AZ176">
        <f>IF((phi!AZ121),VLOOKUP(AZ$1,main!$A$3:$I$56,5,FALSE)-VLOOKUP($A176,main!$A$3:$I$56,6,FALSE)+main!$D$59,0)</f>
        <v>0</v>
      </c>
      <c r="BA176">
        <f>IF((phi!BA121),VLOOKUP(BA$1,main!$A$3:$I$56,5,FALSE)-VLOOKUP($A176,main!$A$3:$I$56,6,FALSE)+main!$D$59,0)</f>
        <v>0</v>
      </c>
      <c r="BB176">
        <f>IF((phi!BB121),VLOOKUP(BB$1,main!$A$3:$I$56,5,FALSE)-VLOOKUP($A176,main!$A$3:$I$56,6,FALSE)+main!$D$59,0)</f>
        <v>0</v>
      </c>
      <c r="BC176">
        <f>IF((phi!BC121),VLOOKUP(BC$1,main!$A$3:$I$56,5,FALSE)-VLOOKUP($A176,main!$A$3:$I$56,6,FALSE)+main!$D$59,0)</f>
        <v>320</v>
      </c>
      <c r="BD176">
        <f>IF((phi!BD121),VLOOKUP(BD$1,main!$A$3:$I$56,5,FALSE)-VLOOKUP($A176,main!$A$3:$I$56,6,FALSE)+main!$D$59,0)</f>
        <v>330</v>
      </c>
    </row>
    <row r="177" spans="1:56" x14ac:dyDescent="0.25">
      <c r="A177">
        <f t="shared" si="5"/>
        <v>10</v>
      </c>
      <c r="B177">
        <v>0</v>
      </c>
      <c r="C177">
        <f>IF((phi!C122),VLOOKUP(C$1,main!$A$3:$I$56,5,FALSE)-VLOOKUP($A177,main!$A$3:$I$56,6,FALSE)+main!$D$59,0)</f>
        <v>0</v>
      </c>
      <c r="D177">
        <f>IF((phi!D122),VLOOKUP(D$1,main!$A$3:$I$56,5,FALSE)-VLOOKUP($A177,main!$A$3:$I$56,6,FALSE)+main!$D$59,0)</f>
        <v>0</v>
      </c>
      <c r="E177">
        <f>IF((phi!E122),VLOOKUP(E$1,main!$A$3:$I$56,5,FALSE)-VLOOKUP($A177,main!$A$3:$I$56,6,FALSE)+main!$D$59,0)</f>
        <v>0</v>
      </c>
      <c r="F177">
        <f>IF((phi!F122),VLOOKUP(F$1,main!$A$3:$I$56,5,FALSE)-VLOOKUP($A177,main!$A$3:$I$56,6,FALSE)+main!$D$59,0)</f>
        <v>0</v>
      </c>
      <c r="G177">
        <f>IF((phi!G122),VLOOKUP(G$1,main!$A$3:$I$56,5,FALSE)-VLOOKUP($A177,main!$A$3:$I$56,6,FALSE)+main!$D$59,0)</f>
        <v>0</v>
      </c>
      <c r="H177">
        <f>IF((phi!H122),VLOOKUP(H$1,main!$A$3:$I$56,5,FALSE)-VLOOKUP($A177,main!$A$3:$I$56,6,FALSE)+main!$D$59,0)</f>
        <v>275</v>
      </c>
      <c r="I177">
        <f>IF((phi!I122),VLOOKUP(I$1,main!$A$3:$I$56,5,FALSE)-VLOOKUP($A177,main!$A$3:$I$56,6,FALSE)+main!$D$59,0)</f>
        <v>335</v>
      </c>
      <c r="J177">
        <f>IF((phi!J122),VLOOKUP(J$1,main!$A$3:$I$56,5,FALSE)-VLOOKUP($A177,main!$A$3:$I$56,6,FALSE)+main!$D$59,0)</f>
        <v>425</v>
      </c>
      <c r="K177">
        <f>IF((phi!K122),VLOOKUP(K$1,main!$A$3:$I$56,5,FALSE)-VLOOKUP($A177,main!$A$3:$I$56,6,FALSE)+main!$D$59,0)</f>
        <v>0</v>
      </c>
      <c r="L177">
        <f>IF((phi!L122),VLOOKUP(L$1,main!$A$3:$I$56,5,FALSE)-VLOOKUP($A177,main!$A$3:$I$56,6,FALSE)+main!$D$59,0)</f>
        <v>0</v>
      </c>
      <c r="M177">
        <f>IF((phi!M122),VLOOKUP(M$1,main!$A$3:$I$56,5,FALSE)-VLOOKUP($A177,main!$A$3:$I$56,6,FALSE)+main!$D$59,0)</f>
        <v>0</v>
      </c>
      <c r="N177">
        <f>IF((phi!N122),VLOOKUP(N$1,main!$A$3:$I$56,5,FALSE)-VLOOKUP($A177,main!$A$3:$I$56,6,FALSE)+main!$D$59,0)</f>
        <v>390</v>
      </c>
      <c r="O177">
        <f>IF((phi!O122),VLOOKUP(O$1,main!$A$3:$I$56,5,FALSE)-VLOOKUP($A177,main!$A$3:$I$56,6,FALSE)+main!$D$59,0)</f>
        <v>450</v>
      </c>
      <c r="P177">
        <f>IF((phi!P122),VLOOKUP(P$1,main!$A$3:$I$56,5,FALSE)-VLOOKUP($A177,main!$A$3:$I$56,6,FALSE)+main!$D$59,0)</f>
        <v>0</v>
      </c>
      <c r="Q177">
        <f>IF((phi!Q122),VLOOKUP(Q$1,main!$A$3:$I$56,5,FALSE)-VLOOKUP($A177,main!$A$3:$I$56,6,FALSE)+main!$D$59,0)</f>
        <v>0</v>
      </c>
      <c r="R177">
        <f>IF((phi!R122),VLOOKUP(R$1,main!$A$3:$I$56,5,FALSE)-VLOOKUP($A177,main!$A$3:$I$56,6,FALSE)+main!$D$59,0)</f>
        <v>0</v>
      </c>
      <c r="S177">
        <f>IF((phi!S122),VLOOKUP(S$1,main!$A$3:$I$56,5,FALSE)-VLOOKUP($A177,main!$A$3:$I$56,6,FALSE)+main!$D$59,0)</f>
        <v>0</v>
      </c>
      <c r="T177">
        <f>IF((phi!T122),VLOOKUP(T$1,main!$A$3:$I$56,5,FALSE)-VLOOKUP($A177,main!$A$3:$I$56,6,FALSE)+main!$D$59,0)</f>
        <v>355</v>
      </c>
      <c r="U177">
        <f>IF((phi!U122),VLOOKUP(U$1,main!$A$3:$I$56,5,FALSE)-VLOOKUP($A177,main!$A$3:$I$56,6,FALSE)+main!$D$59,0)</f>
        <v>0</v>
      </c>
      <c r="V177">
        <f>IF((phi!V122),VLOOKUP(V$1,main!$A$3:$I$56,5,FALSE)-VLOOKUP($A177,main!$A$3:$I$56,6,FALSE)+main!$D$59,0)</f>
        <v>0</v>
      </c>
      <c r="W177">
        <f>IF((phi!W122),VLOOKUP(W$1,main!$A$3:$I$56,5,FALSE)-VLOOKUP($A177,main!$A$3:$I$56,6,FALSE)+main!$D$59,0)</f>
        <v>0</v>
      </c>
      <c r="X177">
        <f>IF((phi!X122),VLOOKUP(X$1,main!$A$3:$I$56,5,FALSE)-VLOOKUP($A177,main!$A$3:$I$56,6,FALSE)+main!$D$59,0)</f>
        <v>0</v>
      </c>
      <c r="Y177">
        <f>IF((phi!Y122),VLOOKUP(Y$1,main!$A$3:$I$56,5,FALSE)-VLOOKUP($A177,main!$A$3:$I$56,6,FALSE)+main!$D$59,0)</f>
        <v>135</v>
      </c>
      <c r="Z177">
        <f>IF((phi!Z122),VLOOKUP(Z$1,main!$A$3:$I$56,5,FALSE)-VLOOKUP($A177,main!$A$3:$I$56,6,FALSE)+main!$D$59,0)</f>
        <v>225</v>
      </c>
      <c r="AA177">
        <f>IF((phi!AA122),VLOOKUP(AA$1,main!$A$3:$I$56,5,FALSE)-VLOOKUP($A177,main!$A$3:$I$56,6,FALSE)+main!$D$59,0)</f>
        <v>315</v>
      </c>
      <c r="AB177">
        <f>IF((phi!AB122),VLOOKUP(AB$1,main!$A$3:$I$56,5,FALSE)-VLOOKUP($A177,main!$A$3:$I$56,6,FALSE)+main!$D$59,0)</f>
        <v>375</v>
      </c>
      <c r="AC177">
        <f>IF((phi!AC122),VLOOKUP(AC$1,main!$A$3:$I$56,5,FALSE)-VLOOKUP($A177,main!$A$3:$I$56,6,FALSE)+main!$D$59,0)</f>
        <v>0</v>
      </c>
      <c r="AD177">
        <f>IF((phi!AD122),VLOOKUP(AD$1,main!$A$3:$I$56,5,FALSE)-VLOOKUP($A177,main!$A$3:$I$56,6,FALSE)+main!$D$59,0)</f>
        <v>0</v>
      </c>
      <c r="AE177">
        <f>IF((phi!AE122),VLOOKUP(AE$1,main!$A$3:$I$56,5,FALSE)-VLOOKUP($A177,main!$A$3:$I$56,6,FALSE)+main!$D$59,0)</f>
        <v>0</v>
      </c>
      <c r="AF177">
        <f>IF((phi!AF122),VLOOKUP(AF$1,main!$A$3:$I$56,5,FALSE)-VLOOKUP($A177,main!$A$3:$I$56,6,FALSE)+main!$D$59,0)</f>
        <v>185</v>
      </c>
      <c r="AG177">
        <f>IF((phi!AG122),VLOOKUP(AG$1,main!$A$3:$I$56,5,FALSE)-VLOOKUP($A177,main!$A$3:$I$56,6,FALSE)+main!$D$59,0)</f>
        <v>0</v>
      </c>
      <c r="AH177">
        <f>IF((phi!AH122),VLOOKUP(AH$1,main!$A$3:$I$56,5,FALSE)-VLOOKUP($A177,main!$A$3:$I$56,6,FALSE)+main!$D$59,0)</f>
        <v>0</v>
      </c>
      <c r="AI177">
        <f>IF((phi!AI122),VLOOKUP(AI$1,main!$A$3:$I$56,5,FALSE)-VLOOKUP($A177,main!$A$3:$I$56,6,FALSE)+main!$D$59,0)</f>
        <v>0</v>
      </c>
      <c r="AJ177">
        <f>IF((phi!AJ122),VLOOKUP(AJ$1,main!$A$3:$I$56,5,FALSE)-VLOOKUP($A177,main!$A$3:$I$56,6,FALSE)+main!$D$59,0)</f>
        <v>0</v>
      </c>
      <c r="AK177">
        <f>IF((phi!AK122),VLOOKUP(AK$1,main!$A$3:$I$56,5,FALSE)-VLOOKUP($A177,main!$A$3:$I$56,6,FALSE)+main!$D$59,0)</f>
        <v>275</v>
      </c>
      <c r="AL177">
        <f>IF((phi!AL122),VLOOKUP(AL$1,main!$A$3:$I$56,5,FALSE)-VLOOKUP($A177,main!$A$3:$I$56,6,FALSE)+main!$D$59,0)</f>
        <v>0</v>
      </c>
      <c r="AM177">
        <f>IF((phi!AM122),VLOOKUP(AM$1,main!$A$3:$I$56,5,FALSE)-VLOOKUP($A177,main!$A$3:$I$56,6,FALSE)+main!$D$59,0)</f>
        <v>0</v>
      </c>
      <c r="AN177">
        <f>IF((phi!AN122),VLOOKUP(AN$1,main!$A$3:$I$56,5,FALSE)-VLOOKUP($A177,main!$A$3:$I$56,6,FALSE)+main!$D$59,0)</f>
        <v>0</v>
      </c>
      <c r="AO177">
        <f>IF((phi!AO122),VLOOKUP(AO$1,main!$A$3:$I$56,5,FALSE)-VLOOKUP($A177,main!$A$3:$I$56,6,FALSE)+main!$D$59,0)</f>
        <v>0</v>
      </c>
      <c r="AP177">
        <f>IF((phi!AP122),VLOOKUP(AP$1,main!$A$3:$I$56,5,FALSE)-VLOOKUP($A177,main!$A$3:$I$56,6,FALSE)+main!$D$59,0)</f>
        <v>0</v>
      </c>
      <c r="AQ177">
        <f>IF((phi!AQ122),VLOOKUP(AQ$1,main!$A$3:$I$56,5,FALSE)-VLOOKUP($A177,main!$A$3:$I$56,6,FALSE)+main!$D$59,0)</f>
        <v>0</v>
      </c>
      <c r="AR177">
        <f>IF((phi!AR122),VLOOKUP(AR$1,main!$A$3:$I$56,5,FALSE)-VLOOKUP($A177,main!$A$3:$I$56,6,FALSE)+main!$D$59,0)</f>
        <v>0</v>
      </c>
      <c r="AS177">
        <f>IF((phi!AS122),VLOOKUP(AS$1,main!$A$3:$I$56,5,FALSE)-VLOOKUP($A177,main!$A$3:$I$56,6,FALSE)+main!$D$59,0)</f>
        <v>0</v>
      </c>
      <c r="AT177">
        <f>IF((phi!AT122),VLOOKUP(AT$1,main!$A$3:$I$56,5,FALSE)-VLOOKUP($A177,main!$A$3:$I$56,6,FALSE)+main!$D$59,0)</f>
        <v>0</v>
      </c>
      <c r="AU177">
        <f>IF((phi!AU122),VLOOKUP(AU$1,main!$A$3:$I$56,5,FALSE)-VLOOKUP($A177,main!$A$3:$I$56,6,FALSE)+main!$D$59,0)</f>
        <v>0</v>
      </c>
      <c r="AV177">
        <f>IF((phi!AV122),VLOOKUP(AV$1,main!$A$3:$I$56,5,FALSE)-VLOOKUP($A177,main!$A$3:$I$56,6,FALSE)+main!$D$59,0)</f>
        <v>0</v>
      </c>
      <c r="AW177">
        <f>IF((phi!AW122),VLOOKUP(AW$1,main!$A$3:$I$56,5,FALSE)-VLOOKUP($A177,main!$A$3:$I$56,6,FALSE)+main!$D$59,0)</f>
        <v>0</v>
      </c>
      <c r="AX177">
        <f>IF((phi!AX122),VLOOKUP(AX$1,main!$A$3:$I$56,5,FALSE)-VLOOKUP($A177,main!$A$3:$I$56,6,FALSE)+main!$D$59,0)</f>
        <v>0</v>
      </c>
      <c r="AY177">
        <f>IF((phi!AY122),VLOOKUP(AY$1,main!$A$3:$I$56,5,FALSE)-VLOOKUP($A177,main!$A$3:$I$56,6,FALSE)+main!$D$59,0)</f>
        <v>435</v>
      </c>
      <c r="AZ177">
        <f>IF((phi!AZ122),VLOOKUP(AZ$1,main!$A$3:$I$56,5,FALSE)-VLOOKUP($A177,main!$A$3:$I$56,6,FALSE)+main!$D$59,0)</f>
        <v>0</v>
      </c>
      <c r="BA177">
        <f>IF((phi!BA122),VLOOKUP(BA$1,main!$A$3:$I$56,5,FALSE)-VLOOKUP($A177,main!$A$3:$I$56,6,FALSE)+main!$D$59,0)</f>
        <v>0</v>
      </c>
      <c r="BB177">
        <f>IF((phi!BB122),VLOOKUP(BB$1,main!$A$3:$I$56,5,FALSE)-VLOOKUP($A177,main!$A$3:$I$56,6,FALSE)+main!$D$59,0)</f>
        <v>0</v>
      </c>
      <c r="BC177">
        <f>IF((phi!BC122),VLOOKUP(BC$1,main!$A$3:$I$56,5,FALSE)-VLOOKUP($A177,main!$A$3:$I$56,6,FALSE)+main!$D$59,0)</f>
        <v>0</v>
      </c>
      <c r="BD177">
        <f>IF((phi!BD122),VLOOKUP(BD$1,main!$A$3:$I$56,5,FALSE)-VLOOKUP($A177,main!$A$3:$I$56,6,FALSE)+main!$D$59,0)</f>
        <v>0</v>
      </c>
    </row>
    <row r="178" spans="1:56" x14ac:dyDescent="0.25">
      <c r="A178">
        <f t="shared" si="5"/>
        <v>11</v>
      </c>
      <c r="B178">
        <v>0</v>
      </c>
      <c r="C178">
        <f>IF((phi!C123),VLOOKUP(C$1,main!$A$3:$I$56,5,FALSE)-VLOOKUP($A178,main!$A$3:$I$56,6,FALSE)+main!$D$59,0)</f>
        <v>0</v>
      </c>
      <c r="D178">
        <f>IF((phi!D123),VLOOKUP(D$1,main!$A$3:$I$56,5,FALSE)-VLOOKUP($A178,main!$A$3:$I$56,6,FALSE)+main!$D$59,0)</f>
        <v>0</v>
      </c>
      <c r="E178">
        <f>IF((phi!E123),VLOOKUP(E$1,main!$A$3:$I$56,5,FALSE)-VLOOKUP($A178,main!$A$3:$I$56,6,FALSE)+main!$D$59,0)</f>
        <v>0</v>
      </c>
      <c r="F178">
        <f>IF((phi!F123),VLOOKUP(F$1,main!$A$3:$I$56,5,FALSE)-VLOOKUP($A178,main!$A$3:$I$56,6,FALSE)+main!$D$59,0)</f>
        <v>0</v>
      </c>
      <c r="G178">
        <f>IF((phi!G123),VLOOKUP(G$1,main!$A$3:$I$56,5,FALSE)-VLOOKUP($A178,main!$A$3:$I$56,6,FALSE)+main!$D$59,0)</f>
        <v>0</v>
      </c>
      <c r="H178">
        <f>IF((phi!H123),VLOOKUP(H$1,main!$A$3:$I$56,5,FALSE)-VLOOKUP($A178,main!$A$3:$I$56,6,FALSE)+main!$D$59,0)</f>
        <v>0</v>
      </c>
      <c r="I178">
        <f>IF((phi!I123),VLOOKUP(I$1,main!$A$3:$I$56,5,FALSE)-VLOOKUP($A178,main!$A$3:$I$56,6,FALSE)+main!$D$59,0)</f>
        <v>0</v>
      </c>
      <c r="J178">
        <f>IF((phi!J123),VLOOKUP(J$1,main!$A$3:$I$56,5,FALSE)-VLOOKUP($A178,main!$A$3:$I$56,6,FALSE)+main!$D$59,0)</f>
        <v>305</v>
      </c>
      <c r="K178">
        <f>IF((phi!K123),VLOOKUP(K$1,main!$A$3:$I$56,5,FALSE)-VLOOKUP($A178,main!$A$3:$I$56,6,FALSE)+main!$D$59,0)</f>
        <v>0</v>
      </c>
      <c r="L178">
        <f>IF((phi!L123),VLOOKUP(L$1,main!$A$3:$I$56,5,FALSE)-VLOOKUP($A178,main!$A$3:$I$56,6,FALSE)+main!$D$59,0)</f>
        <v>0</v>
      </c>
      <c r="M178">
        <f>IF((phi!M123),VLOOKUP(M$1,main!$A$3:$I$56,5,FALSE)-VLOOKUP($A178,main!$A$3:$I$56,6,FALSE)+main!$D$59,0)</f>
        <v>0</v>
      </c>
      <c r="N178">
        <f>IF((phi!N123),VLOOKUP(N$1,main!$A$3:$I$56,5,FALSE)-VLOOKUP($A178,main!$A$3:$I$56,6,FALSE)+main!$D$59,0)</f>
        <v>270</v>
      </c>
      <c r="O178">
        <f>IF((phi!O123),VLOOKUP(O$1,main!$A$3:$I$56,5,FALSE)-VLOOKUP($A178,main!$A$3:$I$56,6,FALSE)+main!$D$59,0)</f>
        <v>330</v>
      </c>
      <c r="P178">
        <f>IF((phi!P123),VLOOKUP(P$1,main!$A$3:$I$56,5,FALSE)-VLOOKUP($A178,main!$A$3:$I$56,6,FALSE)+main!$D$59,0)</f>
        <v>0</v>
      </c>
      <c r="Q178">
        <f>IF((phi!Q123),VLOOKUP(Q$1,main!$A$3:$I$56,5,FALSE)-VLOOKUP($A178,main!$A$3:$I$56,6,FALSE)+main!$D$59,0)</f>
        <v>0</v>
      </c>
      <c r="R178">
        <f>IF((phi!R123),VLOOKUP(R$1,main!$A$3:$I$56,5,FALSE)-VLOOKUP($A178,main!$A$3:$I$56,6,FALSE)+main!$D$59,0)</f>
        <v>0</v>
      </c>
      <c r="S178">
        <f>IF((phi!S123),VLOOKUP(S$1,main!$A$3:$I$56,5,FALSE)-VLOOKUP($A178,main!$A$3:$I$56,6,FALSE)+main!$D$59,0)</f>
        <v>0</v>
      </c>
      <c r="T178">
        <f>IF((phi!T123),VLOOKUP(T$1,main!$A$3:$I$56,5,FALSE)-VLOOKUP($A178,main!$A$3:$I$56,6,FALSE)+main!$D$59,0)</f>
        <v>0</v>
      </c>
      <c r="U178">
        <f>IF((phi!U123),VLOOKUP(U$1,main!$A$3:$I$56,5,FALSE)-VLOOKUP($A178,main!$A$3:$I$56,6,FALSE)+main!$D$59,0)</f>
        <v>0</v>
      </c>
      <c r="V178">
        <f>IF((phi!V123),VLOOKUP(V$1,main!$A$3:$I$56,5,FALSE)-VLOOKUP($A178,main!$A$3:$I$56,6,FALSE)+main!$D$59,0)</f>
        <v>0</v>
      </c>
      <c r="W178">
        <f>IF((phi!W123),VLOOKUP(W$1,main!$A$3:$I$56,5,FALSE)-VLOOKUP($A178,main!$A$3:$I$56,6,FALSE)+main!$D$59,0)</f>
        <v>0</v>
      </c>
      <c r="X178">
        <f>IF((phi!X123),VLOOKUP(X$1,main!$A$3:$I$56,5,FALSE)-VLOOKUP($A178,main!$A$3:$I$56,6,FALSE)+main!$D$59,0)</f>
        <v>0</v>
      </c>
      <c r="Y178">
        <f>IF((phi!Y123),VLOOKUP(Y$1,main!$A$3:$I$56,5,FALSE)-VLOOKUP($A178,main!$A$3:$I$56,6,FALSE)+main!$D$59,0)</f>
        <v>0</v>
      </c>
      <c r="Z178">
        <f>IF((phi!Z123),VLOOKUP(Z$1,main!$A$3:$I$56,5,FALSE)-VLOOKUP($A178,main!$A$3:$I$56,6,FALSE)+main!$D$59,0)</f>
        <v>0</v>
      </c>
      <c r="AA178">
        <f>IF((phi!AA123),VLOOKUP(AA$1,main!$A$3:$I$56,5,FALSE)-VLOOKUP($A178,main!$A$3:$I$56,6,FALSE)+main!$D$59,0)</f>
        <v>195</v>
      </c>
      <c r="AB178">
        <f>IF((phi!AB123),VLOOKUP(AB$1,main!$A$3:$I$56,5,FALSE)-VLOOKUP($A178,main!$A$3:$I$56,6,FALSE)+main!$D$59,0)</f>
        <v>255</v>
      </c>
      <c r="AC178">
        <f>IF((phi!AC123),VLOOKUP(AC$1,main!$A$3:$I$56,5,FALSE)-VLOOKUP($A178,main!$A$3:$I$56,6,FALSE)+main!$D$59,0)</f>
        <v>0</v>
      </c>
      <c r="AD178">
        <f>IF((phi!AD123),VLOOKUP(AD$1,main!$A$3:$I$56,5,FALSE)-VLOOKUP($A178,main!$A$3:$I$56,6,FALSE)+main!$D$59,0)</f>
        <v>0</v>
      </c>
      <c r="AE178">
        <f>IF((phi!AE123),VLOOKUP(AE$1,main!$A$3:$I$56,5,FALSE)-VLOOKUP($A178,main!$A$3:$I$56,6,FALSE)+main!$D$59,0)</f>
        <v>0</v>
      </c>
      <c r="AF178">
        <f>IF((phi!AF123),VLOOKUP(AF$1,main!$A$3:$I$56,5,FALSE)-VLOOKUP($A178,main!$A$3:$I$56,6,FALSE)+main!$D$59,0)</f>
        <v>0</v>
      </c>
      <c r="AG178">
        <f>IF((phi!AG123),VLOOKUP(AG$1,main!$A$3:$I$56,5,FALSE)-VLOOKUP($A178,main!$A$3:$I$56,6,FALSE)+main!$D$59,0)</f>
        <v>0</v>
      </c>
      <c r="AH178">
        <f>IF((phi!AH123),VLOOKUP(AH$1,main!$A$3:$I$56,5,FALSE)-VLOOKUP($A178,main!$A$3:$I$56,6,FALSE)+main!$D$59,0)</f>
        <v>0</v>
      </c>
      <c r="AI178">
        <f>IF((phi!AI123),VLOOKUP(AI$1,main!$A$3:$I$56,5,FALSE)-VLOOKUP($A178,main!$A$3:$I$56,6,FALSE)+main!$D$59,0)</f>
        <v>0</v>
      </c>
      <c r="AJ178">
        <f>IF((phi!AJ123),VLOOKUP(AJ$1,main!$A$3:$I$56,5,FALSE)-VLOOKUP($A178,main!$A$3:$I$56,6,FALSE)+main!$D$59,0)</f>
        <v>0</v>
      </c>
      <c r="AK178">
        <f>IF((phi!AK123),VLOOKUP(AK$1,main!$A$3:$I$56,5,FALSE)-VLOOKUP($A178,main!$A$3:$I$56,6,FALSE)+main!$D$59,0)</f>
        <v>0</v>
      </c>
      <c r="AL178">
        <f>IF((phi!AL123),VLOOKUP(AL$1,main!$A$3:$I$56,5,FALSE)-VLOOKUP($A178,main!$A$3:$I$56,6,FALSE)+main!$D$59,0)</f>
        <v>0</v>
      </c>
      <c r="AM178">
        <f>IF((phi!AM123),VLOOKUP(AM$1,main!$A$3:$I$56,5,FALSE)-VLOOKUP($A178,main!$A$3:$I$56,6,FALSE)+main!$D$59,0)</f>
        <v>0</v>
      </c>
      <c r="AN178">
        <f>IF((phi!AN123),VLOOKUP(AN$1,main!$A$3:$I$56,5,FALSE)-VLOOKUP($A178,main!$A$3:$I$56,6,FALSE)+main!$D$59,0)</f>
        <v>0</v>
      </c>
      <c r="AO178">
        <f>IF((phi!AO123),VLOOKUP(AO$1,main!$A$3:$I$56,5,FALSE)-VLOOKUP($A178,main!$A$3:$I$56,6,FALSE)+main!$D$59,0)</f>
        <v>0</v>
      </c>
      <c r="AP178">
        <f>IF((phi!AP123),VLOOKUP(AP$1,main!$A$3:$I$56,5,FALSE)-VLOOKUP($A178,main!$A$3:$I$56,6,FALSE)+main!$D$59,0)</f>
        <v>0</v>
      </c>
      <c r="AQ178">
        <f>IF((phi!AQ123),VLOOKUP(AQ$1,main!$A$3:$I$56,5,FALSE)-VLOOKUP($A178,main!$A$3:$I$56,6,FALSE)+main!$D$59,0)</f>
        <v>0</v>
      </c>
      <c r="AR178">
        <f>IF((phi!AR123),VLOOKUP(AR$1,main!$A$3:$I$56,5,FALSE)-VLOOKUP($A178,main!$A$3:$I$56,6,FALSE)+main!$D$59,0)</f>
        <v>0</v>
      </c>
      <c r="AS178">
        <f>IF((phi!AS123),VLOOKUP(AS$1,main!$A$3:$I$56,5,FALSE)-VLOOKUP($A178,main!$A$3:$I$56,6,FALSE)+main!$D$59,0)</f>
        <v>0</v>
      </c>
      <c r="AT178">
        <f>IF((phi!AT123),VLOOKUP(AT$1,main!$A$3:$I$56,5,FALSE)-VLOOKUP($A178,main!$A$3:$I$56,6,FALSE)+main!$D$59,0)</f>
        <v>0</v>
      </c>
      <c r="AU178">
        <f>IF((phi!AU123),VLOOKUP(AU$1,main!$A$3:$I$56,5,FALSE)-VLOOKUP($A178,main!$A$3:$I$56,6,FALSE)+main!$D$59,0)</f>
        <v>0</v>
      </c>
      <c r="AV178">
        <f>IF((phi!AV123),VLOOKUP(AV$1,main!$A$3:$I$56,5,FALSE)-VLOOKUP($A178,main!$A$3:$I$56,6,FALSE)+main!$D$59,0)</f>
        <v>0</v>
      </c>
      <c r="AW178">
        <f>IF((phi!AW123),VLOOKUP(AW$1,main!$A$3:$I$56,5,FALSE)-VLOOKUP($A178,main!$A$3:$I$56,6,FALSE)+main!$D$59,0)</f>
        <v>0</v>
      </c>
      <c r="AX178">
        <f>IF((phi!AX123),VLOOKUP(AX$1,main!$A$3:$I$56,5,FALSE)-VLOOKUP($A178,main!$A$3:$I$56,6,FALSE)+main!$D$59,0)</f>
        <v>0</v>
      </c>
      <c r="AY178">
        <f>IF((phi!AY123),VLOOKUP(AY$1,main!$A$3:$I$56,5,FALSE)-VLOOKUP($A178,main!$A$3:$I$56,6,FALSE)+main!$D$59,0)</f>
        <v>315</v>
      </c>
      <c r="AZ178">
        <f>IF((phi!AZ123),VLOOKUP(AZ$1,main!$A$3:$I$56,5,FALSE)-VLOOKUP($A178,main!$A$3:$I$56,6,FALSE)+main!$D$59,0)</f>
        <v>0</v>
      </c>
      <c r="BA178">
        <f>IF((phi!BA123),VLOOKUP(BA$1,main!$A$3:$I$56,5,FALSE)-VLOOKUP($A178,main!$A$3:$I$56,6,FALSE)+main!$D$59,0)</f>
        <v>0</v>
      </c>
      <c r="BB178">
        <f>IF((phi!BB123),VLOOKUP(BB$1,main!$A$3:$I$56,5,FALSE)-VLOOKUP($A178,main!$A$3:$I$56,6,FALSE)+main!$D$59,0)</f>
        <v>0</v>
      </c>
      <c r="BC178">
        <f>IF((phi!BC123),VLOOKUP(BC$1,main!$A$3:$I$56,5,FALSE)-VLOOKUP($A178,main!$A$3:$I$56,6,FALSE)+main!$D$59,0)</f>
        <v>0</v>
      </c>
      <c r="BD178">
        <f>IF((phi!BD123),VLOOKUP(BD$1,main!$A$3:$I$56,5,FALSE)-VLOOKUP($A178,main!$A$3:$I$56,6,FALSE)+main!$D$59,0)</f>
        <v>0</v>
      </c>
    </row>
    <row r="179" spans="1:56" x14ac:dyDescent="0.25">
      <c r="A179">
        <f t="shared" si="5"/>
        <v>12</v>
      </c>
      <c r="B179">
        <v>0</v>
      </c>
      <c r="C179">
        <f>IF((phi!C124),VLOOKUP(C$1,main!$A$3:$I$56,5,FALSE)-VLOOKUP($A179,main!$A$3:$I$56,6,FALSE)+main!$D$59,0)</f>
        <v>0</v>
      </c>
      <c r="D179">
        <f>IF((phi!D124),VLOOKUP(D$1,main!$A$3:$I$56,5,FALSE)-VLOOKUP($A179,main!$A$3:$I$56,6,FALSE)+main!$D$59,0)</f>
        <v>0</v>
      </c>
      <c r="E179">
        <f>IF((phi!E124),VLOOKUP(E$1,main!$A$3:$I$56,5,FALSE)-VLOOKUP($A179,main!$A$3:$I$56,6,FALSE)+main!$D$59,0)</f>
        <v>0</v>
      </c>
      <c r="F179">
        <f>IF((phi!F124),VLOOKUP(F$1,main!$A$3:$I$56,5,FALSE)-VLOOKUP($A179,main!$A$3:$I$56,6,FALSE)+main!$D$59,0)</f>
        <v>0</v>
      </c>
      <c r="G179">
        <f>IF((phi!G124),VLOOKUP(G$1,main!$A$3:$I$56,5,FALSE)-VLOOKUP($A179,main!$A$3:$I$56,6,FALSE)+main!$D$59,0)</f>
        <v>0</v>
      </c>
      <c r="H179">
        <f>IF((phi!H124),VLOOKUP(H$1,main!$A$3:$I$56,5,FALSE)-VLOOKUP($A179,main!$A$3:$I$56,6,FALSE)+main!$D$59,0)</f>
        <v>0</v>
      </c>
      <c r="I179">
        <f>IF((phi!I124),VLOOKUP(I$1,main!$A$3:$I$56,5,FALSE)-VLOOKUP($A179,main!$A$3:$I$56,6,FALSE)+main!$D$59,0)</f>
        <v>0</v>
      </c>
      <c r="J179">
        <f>IF((phi!J124),VLOOKUP(J$1,main!$A$3:$I$56,5,FALSE)-VLOOKUP($A179,main!$A$3:$I$56,6,FALSE)+main!$D$59,0)</f>
        <v>0</v>
      </c>
      <c r="K179">
        <f>IF((phi!K124),VLOOKUP(K$1,main!$A$3:$I$56,5,FALSE)-VLOOKUP($A179,main!$A$3:$I$56,6,FALSE)+main!$D$59,0)</f>
        <v>0</v>
      </c>
      <c r="L179">
        <f>IF((phi!L124),VLOOKUP(L$1,main!$A$3:$I$56,5,FALSE)-VLOOKUP($A179,main!$A$3:$I$56,6,FALSE)+main!$D$59,0)</f>
        <v>0</v>
      </c>
      <c r="M179">
        <f>IF((phi!M124),VLOOKUP(M$1,main!$A$3:$I$56,5,FALSE)-VLOOKUP($A179,main!$A$3:$I$56,6,FALSE)+main!$D$59,0)</f>
        <v>0</v>
      </c>
      <c r="N179">
        <f>IF((phi!N124),VLOOKUP(N$1,main!$A$3:$I$56,5,FALSE)-VLOOKUP($A179,main!$A$3:$I$56,6,FALSE)+main!$D$59,0)</f>
        <v>0</v>
      </c>
      <c r="O179">
        <f>IF((phi!O124),VLOOKUP(O$1,main!$A$3:$I$56,5,FALSE)-VLOOKUP($A179,main!$A$3:$I$56,6,FALSE)+main!$D$59,0)</f>
        <v>0</v>
      </c>
      <c r="P179">
        <f>IF((phi!P124),VLOOKUP(P$1,main!$A$3:$I$56,5,FALSE)-VLOOKUP($A179,main!$A$3:$I$56,6,FALSE)+main!$D$59,0)</f>
        <v>0</v>
      </c>
      <c r="Q179">
        <f>IF((phi!Q124),VLOOKUP(Q$1,main!$A$3:$I$56,5,FALSE)-VLOOKUP($A179,main!$A$3:$I$56,6,FALSE)+main!$D$59,0)</f>
        <v>0</v>
      </c>
      <c r="R179">
        <f>IF((phi!R124),VLOOKUP(R$1,main!$A$3:$I$56,5,FALSE)-VLOOKUP($A179,main!$A$3:$I$56,6,FALSE)+main!$D$59,0)</f>
        <v>0</v>
      </c>
      <c r="S179">
        <f>IF((phi!S124),VLOOKUP(S$1,main!$A$3:$I$56,5,FALSE)-VLOOKUP($A179,main!$A$3:$I$56,6,FALSE)+main!$D$59,0)</f>
        <v>0</v>
      </c>
      <c r="T179">
        <f>IF((phi!T124),VLOOKUP(T$1,main!$A$3:$I$56,5,FALSE)-VLOOKUP($A179,main!$A$3:$I$56,6,FALSE)+main!$D$59,0)</f>
        <v>0</v>
      </c>
      <c r="U179">
        <f>IF((phi!U124),VLOOKUP(U$1,main!$A$3:$I$56,5,FALSE)-VLOOKUP($A179,main!$A$3:$I$56,6,FALSE)+main!$D$59,0)</f>
        <v>0</v>
      </c>
      <c r="V179">
        <f>IF((phi!V124),VLOOKUP(V$1,main!$A$3:$I$56,5,FALSE)-VLOOKUP($A179,main!$A$3:$I$56,6,FALSE)+main!$D$59,0)</f>
        <v>0</v>
      </c>
      <c r="W179">
        <f>IF((phi!W124),VLOOKUP(W$1,main!$A$3:$I$56,5,FALSE)-VLOOKUP($A179,main!$A$3:$I$56,6,FALSE)+main!$D$59,0)</f>
        <v>0</v>
      </c>
      <c r="X179">
        <f>IF((phi!X124),VLOOKUP(X$1,main!$A$3:$I$56,5,FALSE)-VLOOKUP($A179,main!$A$3:$I$56,6,FALSE)+main!$D$59,0)</f>
        <v>0</v>
      </c>
      <c r="Y179">
        <f>IF((phi!Y124),VLOOKUP(Y$1,main!$A$3:$I$56,5,FALSE)-VLOOKUP($A179,main!$A$3:$I$56,6,FALSE)+main!$D$59,0)</f>
        <v>0</v>
      </c>
      <c r="Z179">
        <f>IF((phi!Z124),VLOOKUP(Z$1,main!$A$3:$I$56,5,FALSE)-VLOOKUP($A179,main!$A$3:$I$56,6,FALSE)+main!$D$59,0)</f>
        <v>0</v>
      </c>
      <c r="AA179">
        <f>IF((phi!AA124),VLOOKUP(AA$1,main!$A$3:$I$56,5,FALSE)-VLOOKUP($A179,main!$A$3:$I$56,6,FALSE)+main!$D$59,0)</f>
        <v>0</v>
      </c>
      <c r="AB179">
        <f>IF((phi!AB124),VLOOKUP(AB$1,main!$A$3:$I$56,5,FALSE)-VLOOKUP($A179,main!$A$3:$I$56,6,FALSE)+main!$D$59,0)</f>
        <v>0</v>
      </c>
      <c r="AC179">
        <f>IF((phi!AC124),VLOOKUP(AC$1,main!$A$3:$I$56,5,FALSE)-VLOOKUP($A179,main!$A$3:$I$56,6,FALSE)+main!$D$59,0)</f>
        <v>0</v>
      </c>
      <c r="AD179">
        <f>IF((phi!AD124),VLOOKUP(AD$1,main!$A$3:$I$56,5,FALSE)-VLOOKUP($A179,main!$A$3:$I$56,6,FALSE)+main!$D$59,0)</f>
        <v>0</v>
      </c>
      <c r="AE179">
        <f>IF((phi!AE124),VLOOKUP(AE$1,main!$A$3:$I$56,5,FALSE)-VLOOKUP($A179,main!$A$3:$I$56,6,FALSE)+main!$D$59,0)</f>
        <v>0</v>
      </c>
      <c r="AF179">
        <f>IF((phi!AF124),VLOOKUP(AF$1,main!$A$3:$I$56,5,FALSE)-VLOOKUP($A179,main!$A$3:$I$56,6,FALSE)+main!$D$59,0)</f>
        <v>0</v>
      </c>
      <c r="AG179">
        <f>IF((phi!AG124),VLOOKUP(AG$1,main!$A$3:$I$56,5,FALSE)-VLOOKUP($A179,main!$A$3:$I$56,6,FALSE)+main!$D$59,0)</f>
        <v>0</v>
      </c>
      <c r="AH179">
        <f>IF((phi!AH124),VLOOKUP(AH$1,main!$A$3:$I$56,5,FALSE)-VLOOKUP($A179,main!$A$3:$I$56,6,FALSE)+main!$D$59,0)</f>
        <v>0</v>
      </c>
      <c r="AI179">
        <f>IF((phi!AI124),VLOOKUP(AI$1,main!$A$3:$I$56,5,FALSE)-VLOOKUP($A179,main!$A$3:$I$56,6,FALSE)+main!$D$59,0)</f>
        <v>0</v>
      </c>
      <c r="AJ179">
        <f>IF((phi!AJ124),VLOOKUP(AJ$1,main!$A$3:$I$56,5,FALSE)-VLOOKUP($A179,main!$A$3:$I$56,6,FALSE)+main!$D$59,0)</f>
        <v>0</v>
      </c>
      <c r="AK179">
        <f>IF((phi!AK124),VLOOKUP(AK$1,main!$A$3:$I$56,5,FALSE)-VLOOKUP($A179,main!$A$3:$I$56,6,FALSE)+main!$D$59,0)</f>
        <v>0</v>
      </c>
      <c r="AL179">
        <f>IF((phi!AL124),VLOOKUP(AL$1,main!$A$3:$I$56,5,FALSE)-VLOOKUP($A179,main!$A$3:$I$56,6,FALSE)+main!$D$59,0)</f>
        <v>0</v>
      </c>
      <c r="AM179">
        <f>IF((phi!AM124),VLOOKUP(AM$1,main!$A$3:$I$56,5,FALSE)-VLOOKUP($A179,main!$A$3:$I$56,6,FALSE)+main!$D$59,0)</f>
        <v>0</v>
      </c>
      <c r="AN179">
        <f>IF((phi!AN124),VLOOKUP(AN$1,main!$A$3:$I$56,5,FALSE)-VLOOKUP($A179,main!$A$3:$I$56,6,FALSE)+main!$D$59,0)</f>
        <v>0</v>
      </c>
      <c r="AO179">
        <f>IF((phi!AO124),VLOOKUP(AO$1,main!$A$3:$I$56,5,FALSE)-VLOOKUP($A179,main!$A$3:$I$56,6,FALSE)+main!$D$59,0)</f>
        <v>0</v>
      </c>
      <c r="AP179">
        <f>IF((phi!AP124),VLOOKUP(AP$1,main!$A$3:$I$56,5,FALSE)-VLOOKUP($A179,main!$A$3:$I$56,6,FALSE)+main!$D$59,0)</f>
        <v>0</v>
      </c>
      <c r="AQ179">
        <f>IF((phi!AQ124),VLOOKUP(AQ$1,main!$A$3:$I$56,5,FALSE)-VLOOKUP($A179,main!$A$3:$I$56,6,FALSE)+main!$D$59,0)</f>
        <v>0</v>
      </c>
      <c r="AR179">
        <f>IF((phi!AR124),VLOOKUP(AR$1,main!$A$3:$I$56,5,FALSE)-VLOOKUP($A179,main!$A$3:$I$56,6,FALSE)+main!$D$59,0)</f>
        <v>0</v>
      </c>
      <c r="AS179">
        <f>IF((phi!AS124),VLOOKUP(AS$1,main!$A$3:$I$56,5,FALSE)-VLOOKUP($A179,main!$A$3:$I$56,6,FALSE)+main!$D$59,0)</f>
        <v>0</v>
      </c>
      <c r="AT179">
        <f>IF((phi!AT124),VLOOKUP(AT$1,main!$A$3:$I$56,5,FALSE)-VLOOKUP($A179,main!$A$3:$I$56,6,FALSE)+main!$D$59,0)</f>
        <v>0</v>
      </c>
      <c r="AU179">
        <f>IF((phi!AU124),VLOOKUP(AU$1,main!$A$3:$I$56,5,FALSE)-VLOOKUP($A179,main!$A$3:$I$56,6,FALSE)+main!$D$59,0)</f>
        <v>0</v>
      </c>
      <c r="AV179">
        <f>IF((phi!AV124),VLOOKUP(AV$1,main!$A$3:$I$56,5,FALSE)-VLOOKUP($A179,main!$A$3:$I$56,6,FALSE)+main!$D$59,0)</f>
        <v>0</v>
      </c>
      <c r="AW179">
        <f>IF((phi!AW124),VLOOKUP(AW$1,main!$A$3:$I$56,5,FALSE)-VLOOKUP($A179,main!$A$3:$I$56,6,FALSE)+main!$D$59,0)</f>
        <v>0</v>
      </c>
      <c r="AX179">
        <f>IF((phi!AX124),VLOOKUP(AX$1,main!$A$3:$I$56,5,FALSE)-VLOOKUP($A179,main!$A$3:$I$56,6,FALSE)+main!$D$59,0)</f>
        <v>0</v>
      </c>
      <c r="AY179">
        <f>IF((phi!AY124),VLOOKUP(AY$1,main!$A$3:$I$56,5,FALSE)-VLOOKUP($A179,main!$A$3:$I$56,6,FALSE)+main!$D$59,0)</f>
        <v>0</v>
      </c>
      <c r="AZ179">
        <f>IF((phi!AZ124),VLOOKUP(AZ$1,main!$A$3:$I$56,5,FALSE)-VLOOKUP($A179,main!$A$3:$I$56,6,FALSE)+main!$D$59,0)</f>
        <v>0</v>
      </c>
      <c r="BA179">
        <f>IF((phi!BA124),VLOOKUP(BA$1,main!$A$3:$I$56,5,FALSE)-VLOOKUP($A179,main!$A$3:$I$56,6,FALSE)+main!$D$59,0)</f>
        <v>0</v>
      </c>
      <c r="BB179">
        <f>IF((phi!BB124),VLOOKUP(BB$1,main!$A$3:$I$56,5,FALSE)-VLOOKUP($A179,main!$A$3:$I$56,6,FALSE)+main!$D$59,0)</f>
        <v>0</v>
      </c>
      <c r="BC179">
        <f>IF((phi!BC124),VLOOKUP(BC$1,main!$A$3:$I$56,5,FALSE)-VLOOKUP($A179,main!$A$3:$I$56,6,FALSE)+main!$D$59,0)</f>
        <v>0</v>
      </c>
      <c r="BD179">
        <f>IF((phi!BD124),VLOOKUP(BD$1,main!$A$3:$I$56,5,FALSE)-VLOOKUP($A179,main!$A$3:$I$56,6,FALSE)+main!$D$59,0)</f>
        <v>0</v>
      </c>
    </row>
    <row r="180" spans="1:56" x14ac:dyDescent="0.25">
      <c r="A180">
        <f t="shared" si="5"/>
        <v>13</v>
      </c>
      <c r="B180">
        <v>0</v>
      </c>
      <c r="C180">
        <f>IF((phi!C125),VLOOKUP(C$1,main!$A$3:$I$56,5,FALSE)-VLOOKUP($A180,main!$A$3:$I$56,6,FALSE)+main!$D$59,0)</f>
        <v>0</v>
      </c>
      <c r="D180">
        <f>IF((phi!D125),VLOOKUP(D$1,main!$A$3:$I$56,5,FALSE)-VLOOKUP($A180,main!$A$3:$I$56,6,FALSE)+main!$D$59,0)</f>
        <v>0</v>
      </c>
      <c r="E180">
        <f>IF((phi!E125),VLOOKUP(E$1,main!$A$3:$I$56,5,FALSE)-VLOOKUP($A180,main!$A$3:$I$56,6,FALSE)+main!$D$59,0)</f>
        <v>0</v>
      </c>
      <c r="F180">
        <f>IF((phi!F125),VLOOKUP(F$1,main!$A$3:$I$56,5,FALSE)-VLOOKUP($A180,main!$A$3:$I$56,6,FALSE)+main!$D$59,0)</f>
        <v>0</v>
      </c>
      <c r="G180">
        <f>IF((phi!G125),VLOOKUP(G$1,main!$A$3:$I$56,5,FALSE)-VLOOKUP($A180,main!$A$3:$I$56,6,FALSE)+main!$D$59,0)</f>
        <v>0</v>
      </c>
      <c r="H180">
        <f>IF((phi!H125),VLOOKUP(H$1,main!$A$3:$I$56,5,FALSE)-VLOOKUP($A180,main!$A$3:$I$56,6,FALSE)+main!$D$59,0)</f>
        <v>0</v>
      </c>
      <c r="I180">
        <f>IF((phi!I125),VLOOKUP(I$1,main!$A$3:$I$56,5,FALSE)-VLOOKUP($A180,main!$A$3:$I$56,6,FALSE)+main!$D$59,0)</f>
        <v>0</v>
      </c>
      <c r="J180">
        <f>IF((phi!J125),VLOOKUP(J$1,main!$A$3:$I$56,5,FALSE)-VLOOKUP($A180,main!$A$3:$I$56,6,FALSE)+main!$D$59,0)</f>
        <v>0</v>
      </c>
      <c r="K180">
        <f>IF((phi!K125),VLOOKUP(K$1,main!$A$3:$I$56,5,FALSE)-VLOOKUP($A180,main!$A$3:$I$56,6,FALSE)+main!$D$59,0)</f>
        <v>0</v>
      </c>
      <c r="L180">
        <f>IF((phi!L125),VLOOKUP(L$1,main!$A$3:$I$56,5,FALSE)-VLOOKUP($A180,main!$A$3:$I$56,6,FALSE)+main!$D$59,0)</f>
        <v>0</v>
      </c>
      <c r="M180">
        <f>IF((phi!M125),VLOOKUP(M$1,main!$A$3:$I$56,5,FALSE)-VLOOKUP($A180,main!$A$3:$I$56,6,FALSE)+main!$D$59,0)</f>
        <v>0</v>
      </c>
      <c r="N180">
        <f>IF((phi!N125),VLOOKUP(N$1,main!$A$3:$I$56,5,FALSE)-VLOOKUP($A180,main!$A$3:$I$56,6,FALSE)+main!$D$59,0)</f>
        <v>0</v>
      </c>
      <c r="O180">
        <f>IF((phi!O125),VLOOKUP(O$1,main!$A$3:$I$56,5,FALSE)-VLOOKUP($A180,main!$A$3:$I$56,6,FALSE)+main!$D$59,0)</f>
        <v>0</v>
      </c>
      <c r="P180">
        <f>IF((phi!P125),VLOOKUP(P$1,main!$A$3:$I$56,5,FALSE)-VLOOKUP($A180,main!$A$3:$I$56,6,FALSE)+main!$D$59,0)</f>
        <v>0</v>
      </c>
      <c r="Q180">
        <f>IF((phi!Q125),VLOOKUP(Q$1,main!$A$3:$I$56,5,FALSE)-VLOOKUP($A180,main!$A$3:$I$56,6,FALSE)+main!$D$59,0)</f>
        <v>0</v>
      </c>
      <c r="R180">
        <f>IF((phi!R125),VLOOKUP(R$1,main!$A$3:$I$56,5,FALSE)-VLOOKUP($A180,main!$A$3:$I$56,6,FALSE)+main!$D$59,0)</f>
        <v>0</v>
      </c>
      <c r="S180">
        <f>IF((phi!S125),VLOOKUP(S$1,main!$A$3:$I$56,5,FALSE)-VLOOKUP($A180,main!$A$3:$I$56,6,FALSE)+main!$D$59,0)</f>
        <v>0</v>
      </c>
      <c r="T180">
        <f>IF((phi!T125),VLOOKUP(T$1,main!$A$3:$I$56,5,FALSE)-VLOOKUP($A180,main!$A$3:$I$56,6,FALSE)+main!$D$59,0)</f>
        <v>0</v>
      </c>
      <c r="U180">
        <f>IF((phi!U125),VLOOKUP(U$1,main!$A$3:$I$56,5,FALSE)-VLOOKUP($A180,main!$A$3:$I$56,6,FALSE)+main!$D$59,0)</f>
        <v>0</v>
      </c>
      <c r="V180">
        <f>IF((phi!V125),VLOOKUP(V$1,main!$A$3:$I$56,5,FALSE)-VLOOKUP($A180,main!$A$3:$I$56,6,FALSE)+main!$D$59,0)</f>
        <v>0</v>
      </c>
      <c r="W180">
        <f>IF((phi!W125),VLOOKUP(W$1,main!$A$3:$I$56,5,FALSE)-VLOOKUP($A180,main!$A$3:$I$56,6,FALSE)+main!$D$59,0)</f>
        <v>0</v>
      </c>
      <c r="X180">
        <f>IF((phi!X125),VLOOKUP(X$1,main!$A$3:$I$56,5,FALSE)-VLOOKUP($A180,main!$A$3:$I$56,6,FALSE)+main!$D$59,0)</f>
        <v>0</v>
      </c>
      <c r="Y180">
        <f>IF((phi!Y125),VLOOKUP(Y$1,main!$A$3:$I$56,5,FALSE)-VLOOKUP($A180,main!$A$3:$I$56,6,FALSE)+main!$D$59,0)</f>
        <v>0</v>
      </c>
      <c r="Z180">
        <f>IF((phi!Z125),VLOOKUP(Z$1,main!$A$3:$I$56,5,FALSE)-VLOOKUP($A180,main!$A$3:$I$56,6,FALSE)+main!$D$59,0)</f>
        <v>0</v>
      </c>
      <c r="AA180">
        <f>IF((phi!AA125),VLOOKUP(AA$1,main!$A$3:$I$56,5,FALSE)-VLOOKUP($A180,main!$A$3:$I$56,6,FALSE)+main!$D$59,0)</f>
        <v>0</v>
      </c>
      <c r="AB180">
        <f>IF((phi!AB125),VLOOKUP(AB$1,main!$A$3:$I$56,5,FALSE)-VLOOKUP($A180,main!$A$3:$I$56,6,FALSE)+main!$D$59,0)</f>
        <v>0</v>
      </c>
      <c r="AC180">
        <f>IF((phi!AC125),VLOOKUP(AC$1,main!$A$3:$I$56,5,FALSE)-VLOOKUP($A180,main!$A$3:$I$56,6,FALSE)+main!$D$59,0)</f>
        <v>0</v>
      </c>
      <c r="AD180">
        <f>IF((phi!AD125),VLOOKUP(AD$1,main!$A$3:$I$56,5,FALSE)-VLOOKUP($A180,main!$A$3:$I$56,6,FALSE)+main!$D$59,0)</f>
        <v>0</v>
      </c>
      <c r="AE180">
        <f>IF((phi!AE125),VLOOKUP(AE$1,main!$A$3:$I$56,5,FALSE)-VLOOKUP($A180,main!$A$3:$I$56,6,FALSE)+main!$D$59,0)</f>
        <v>0</v>
      </c>
      <c r="AF180">
        <f>IF((phi!AF125),VLOOKUP(AF$1,main!$A$3:$I$56,5,FALSE)-VLOOKUP($A180,main!$A$3:$I$56,6,FALSE)+main!$D$59,0)</f>
        <v>0</v>
      </c>
      <c r="AG180">
        <f>IF((phi!AG125),VLOOKUP(AG$1,main!$A$3:$I$56,5,FALSE)-VLOOKUP($A180,main!$A$3:$I$56,6,FALSE)+main!$D$59,0)</f>
        <v>0</v>
      </c>
      <c r="AH180">
        <f>IF((phi!AH125),VLOOKUP(AH$1,main!$A$3:$I$56,5,FALSE)-VLOOKUP($A180,main!$A$3:$I$56,6,FALSE)+main!$D$59,0)</f>
        <v>0</v>
      </c>
      <c r="AI180">
        <f>IF((phi!AI125),VLOOKUP(AI$1,main!$A$3:$I$56,5,FALSE)-VLOOKUP($A180,main!$A$3:$I$56,6,FALSE)+main!$D$59,0)</f>
        <v>0</v>
      </c>
      <c r="AJ180">
        <f>IF((phi!AJ125),VLOOKUP(AJ$1,main!$A$3:$I$56,5,FALSE)-VLOOKUP($A180,main!$A$3:$I$56,6,FALSE)+main!$D$59,0)</f>
        <v>0</v>
      </c>
      <c r="AK180">
        <f>IF((phi!AK125),VLOOKUP(AK$1,main!$A$3:$I$56,5,FALSE)-VLOOKUP($A180,main!$A$3:$I$56,6,FALSE)+main!$D$59,0)</f>
        <v>0</v>
      </c>
      <c r="AL180">
        <f>IF((phi!AL125),VLOOKUP(AL$1,main!$A$3:$I$56,5,FALSE)-VLOOKUP($A180,main!$A$3:$I$56,6,FALSE)+main!$D$59,0)</f>
        <v>0</v>
      </c>
      <c r="AM180">
        <f>IF((phi!AM125),VLOOKUP(AM$1,main!$A$3:$I$56,5,FALSE)-VLOOKUP($A180,main!$A$3:$I$56,6,FALSE)+main!$D$59,0)</f>
        <v>0</v>
      </c>
      <c r="AN180">
        <f>IF((phi!AN125),VLOOKUP(AN$1,main!$A$3:$I$56,5,FALSE)-VLOOKUP($A180,main!$A$3:$I$56,6,FALSE)+main!$D$59,0)</f>
        <v>0</v>
      </c>
      <c r="AO180">
        <f>IF((phi!AO125),VLOOKUP(AO$1,main!$A$3:$I$56,5,FALSE)-VLOOKUP($A180,main!$A$3:$I$56,6,FALSE)+main!$D$59,0)</f>
        <v>0</v>
      </c>
      <c r="AP180">
        <f>IF((phi!AP125),VLOOKUP(AP$1,main!$A$3:$I$56,5,FALSE)-VLOOKUP($A180,main!$A$3:$I$56,6,FALSE)+main!$D$59,0)</f>
        <v>0</v>
      </c>
      <c r="AQ180">
        <f>IF((phi!AQ125),VLOOKUP(AQ$1,main!$A$3:$I$56,5,FALSE)-VLOOKUP($A180,main!$A$3:$I$56,6,FALSE)+main!$D$59,0)</f>
        <v>0</v>
      </c>
      <c r="AR180">
        <f>IF((phi!AR125),VLOOKUP(AR$1,main!$A$3:$I$56,5,FALSE)-VLOOKUP($A180,main!$A$3:$I$56,6,FALSE)+main!$D$59,0)</f>
        <v>0</v>
      </c>
      <c r="AS180">
        <f>IF((phi!AS125),VLOOKUP(AS$1,main!$A$3:$I$56,5,FALSE)-VLOOKUP($A180,main!$A$3:$I$56,6,FALSE)+main!$D$59,0)</f>
        <v>0</v>
      </c>
      <c r="AT180">
        <f>IF((phi!AT125),VLOOKUP(AT$1,main!$A$3:$I$56,5,FALSE)-VLOOKUP($A180,main!$A$3:$I$56,6,FALSE)+main!$D$59,0)</f>
        <v>0</v>
      </c>
      <c r="AU180">
        <f>IF((phi!AU125),VLOOKUP(AU$1,main!$A$3:$I$56,5,FALSE)-VLOOKUP($A180,main!$A$3:$I$56,6,FALSE)+main!$D$59,0)</f>
        <v>0</v>
      </c>
      <c r="AV180">
        <f>IF((phi!AV125),VLOOKUP(AV$1,main!$A$3:$I$56,5,FALSE)-VLOOKUP($A180,main!$A$3:$I$56,6,FALSE)+main!$D$59,0)</f>
        <v>0</v>
      </c>
      <c r="AW180">
        <f>IF((phi!AW125),VLOOKUP(AW$1,main!$A$3:$I$56,5,FALSE)-VLOOKUP($A180,main!$A$3:$I$56,6,FALSE)+main!$D$59,0)</f>
        <v>0</v>
      </c>
      <c r="AX180">
        <f>IF((phi!AX125),VLOOKUP(AX$1,main!$A$3:$I$56,5,FALSE)-VLOOKUP($A180,main!$A$3:$I$56,6,FALSE)+main!$D$59,0)</f>
        <v>0</v>
      </c>
      <c r="AY180">
        <f>IF((phi!AY125),VLOOKUP(AY$1,main!$A$3:$I$56,5,FALSE)-VLOOKUP($A180,main!$A$3:$I$56,6,FALSE)+main!$D$59,0)</f>
        <v>0</v>
      </c>
      <c r="AZ180">
        <f>IF((phi!AZ125),VLOOKUP(AZ$1,main!$A$3:$I$56,5,FALSE)-VLOOKUP($A180,main!$A$3:$I$56,6,FALSE)+main!$D$59,0)</f>
        <v>0</v>
      </c>
      <c r="BA180">
        <f>IF((phi!BA125),VLOOKUP(BA$1,main!$A$3:$I$56,5,FALSE)-VLOOKUP($A180,main!$A$3:$I$56,6,FALSE)+main!$D$59,0)</f>
        <v>0</v>
      </c>
      <c r="BB180">
        <f>IF((phi!BB125),VLOOKUP(BB$1,main!$A$3:$I$56,5,FALSE)-VLOOKUP($A180,main!$A$3:$I$56,6,FALSE)+main!$D$59,0)</f>
        <v>0</v>
      </c>
      <c r="BC180">
        <f>IF((phi!BC125),VLOOKUP(BC$1,main!$A$3:$I$56,5,FALSE)-VLOOKUP($A180,main!$A$3:$I$56,6,FALSE)+main!$D$59,0)</f>
        <v>0</v>
      </c>
      <c r="BD180">
        <f>IF((phi!BD125),VLOOKUP(BD$1,main!$A$3:$I$56,5,FALSE)-VLOOKUP($A180,main!$A$3:$I$56,6,FALSE)+main!$D$59,0)</f>
        <v>0</v>
      </c>
    </row>
    <row r="181" spans="1:56" x14ac:dyDescent="0.25">
      <c r="A181">
        <f t="shared" si="5"/>
        <v>14</v>
      </c>
      <c r="B181">
        <v>0</v>
      </c>
      <c r="C181">
        <f>IF((phi!C126),VLOOKUP(C$1,main!$A$3:$I$56,5,FALSE)-VLOOKUP($A181,main!$A$3:$I$56,6,FALSE)+main!$D$59,0)</f>
        <v>0</v>
      </c>
      <c r="D181">
        <f>IF((phi!D126),VLOOKUP(D$1,main!$A$3:$I$56,5,FALSE)-VLOOKUP($A181,main!$A$3:$I$56,6,FALSE)+main!$D$59,0)</f>
        <v>0</v>
      </c>
      <c r="E181">
        <f>IF((phi!E126),VLOOKUP(E$1,main!$A$3:$I$56,5,FALSE)-VLOOKUP($A181,main!$A$3:$I$56,6,FALSE)+main!$D$59,0)</f>
        <v>0</v>
      </c>
      <c r="F181">
        <f>IF((phi!F126),VLOOKUP(F$1,main!$A$3:$I$56,5,FALSE)-VLOOKUP($A181,main!$A$3:$I$56,6,FALSE)+main!$D$59,0)</f>
        <v>270</v>
      </c>
      <c r="G181">
        <f>IF((phi!G126),VLOOKUP(G$1,main!$A$3:$I$56,5,FALSE)-VLOOKUP($A181,main!$A$3:$I$56,6,FALSE)+main!$D$59,0)</f>
        <v>330</v>
      </c>
      <c r="H181">
        <f>IF((phi!H126),VLOOKUP(H$1,main!$A$3:$I$56,5,FALSE)-VLOOKUP($A181,main!$A$3:$I$56,6,FALSE)+main!$D$59,0)</f>
        <v>390</v>
      </c>
      <c r="I181">
        <f>IF((phi!I126),VLOOKUP(I$1,main!$A$3:$I$56,5,FALSE)-VLOOKUP($A181,main!$A$3:$I$56,6,FALSE)+main!$D$59,0)</f>
        <v>450</v>
      </c>
      <c r="J181">
        <f>IF((phi!J126),VLOOKUP(J$1,main!$A$3:$I$56,5,FALSE)-VLOOKUP($A181,main!$A$3:$I$56,6,FALSE)+main!$D$59,0)</f>
        <v>540</v>
      </c>
      <c r="K181">
        <f>IF((phi!K126),VLOOKUP(K$1,main!$A$3:$I$56,5,FALSE)-VLOOKUP($A181,main!$A$3:$I$56,6,FALSE)+main!$D$59,0)</f>
        <v>0</v>
      </c>
      <c r="L181">
        <f>IF((phi!L126),VLOOKUP(L$1,main!$A$3:$I$56,5,FALSE)-VLOOKUP($A181,main!$A$3:$I$56,6,FALSE)+main!$D$59,0)</f>
        <v>0</v>
      </c>
      <c r="M181">
        <f>IF((phi!M126),VLOOKUP(M$1,main!$A$3:$I$56,5,FALSE)-VLOOKUP($A181,main!$A$3:$I$56,6,FALSE)+main!$D$59,0)</f>
        <v>0</v>
      </c>
      <c r="N181">
        <f>IF((phi!N126),VLOOKUP(N$1,main!$A$3:$I$56,5,FALSE)-VLOOKUP($A181,main!$A$3:$I$56,6,FALSE)+main!$D$59,0)</f>
        <v>505</v>
      </c>
      <c r="O181">
        <f>IF((phi!O126),VLOOKUP(O$1,main!$A$3:$I$56,5,FALSE)-VLOOKUP($A181,main!$A$3:$I$56,6,FALSE)+main!$D$59,0)</f>
        <v>565</v>
      </c>
      <c r="P181">
        <f>IF((phi!P126),VLOOKUP(P$1,main!$A$3:$I$56,5,FALSE)-VLOOKUP($A181,main!$A$3:$I$56,6,FALSE)+main!$D$59,0)</f>
        <v>0</v>
      </c>
      <c r="Q181">
        <f>IF((phi!Q126),VLOOKUP(Q$1,main!$A$3:$I$56,5,FALSE)-VLOOKUP($A181,main!$A$3:$I$56,6,FALSE)+main!$D$59,0)</f>
        <v>0</v>
      </c>
      <c r="R181">
        <f>IF((phi!R126),VLOOKUP(R$1,main!$A$3:$I$56,5,FALSE)-VLOOKUP($A181,main!$A$3:$I$56,6,FALSE)+main!$D$59,0)</f>
        <v>0</v>
      </c>
      <c r="S181">
        <f>IF((phi!S126),VLOOKUP(S$1,main!$A$3:$I$56,5,FALSE)-VLOOKUP($A181,main!$A$3:$I$56,6,FALSE)+main!$D$59,0)</f>
        <v>320</v>
      </c>
      <c r="T181">
        <f>IF((phi!T126),VLOOKUP(T$1,main!$A$3:$I$56,5,FALSE)-VLOOKUP($A181,main!$A$3:$I$56,6,FALSE)+main!$D$59,0)</f>
        <v>470</v>
      </c>
      <c r="U181">
        <f>IF((phi!U126),VLOOKUP(U$1,main!$A$3:$I$56,5,FALSE)-VLOOKUP($A181,main!$A$3:$I$56,6,FALSE)+main!$D$59,0)</f>
        <v>0</v>
      </c>
      <c r="V181">
        <f>IF((phi!V126),VLOOKUP(V$1,main!$A$3:$I$56,5,FALSE)-VLOOKUP($A181,main!$A$3:$I$56,6,FALSE)+main!$D$59,0)</f>
        <v>0</v>
      </c>
      <c r="W181">
        <f>IF((phi!W126),VLOOKUP(W$1,main!$A$3:$I$56,5,FALSE)-VLOOKUP($A181,main!$A$3:$I$56,6,FALSE)+main!$D$59,0)</f>
        <v>0</v>
      </c>
      <c r="X181">
        <f>IF((phi!X126),VLOOKUP(X$1,main!$A$3:$I$56,5,FALSE)-VLOOKUP($A181,main!$A$3:$I$56,6,FALSE)+main!$D$59,0)</f>
        <v>160</v>
      </c>
      <c r="Y181">
        <f>IF((phi!Y126),VLOOKUP(Y$1,main!$A$3:$I$56,5,FALSE)-VLOOKUP($A181,main!$A$3:$I$56,6,FALSE)+main!$D$59,0)</f>
        <v>250</v>
      </c>
      <c r="Z181">
        <f>IF((phi!Z126),VLOOKUP(Z$1,main!$A$3:$I$56,5,FALSE)-VLOOKUP($A181,main!$A$3:$I$56,6,FALSE)+main!$D$59,0)</f>
        <v>340</v>
      </c>
      <c r="AA181">
        <f>IF((phi!AA126),VLOOKUP(AA$1,main!$A$3:$I$56,5,FALSE)-VLOOKUP($A181,main!$A$3:$I$56,6,FALSE)+main!$D$59,0)</f>
        <v>430</v>
      </c>
      <c r="AB181">
        <f>IF((phi!AB126),VLOOKUP(AB$1,main!$A$3:$I$56,5,FALSE)-VLOOKUP($A181,main!$A$3:$I$56,6,FALSE)+main!$D$59,0)</f>
        <v>490</v>
      </c>
      <c r="AC181">
        <f>IF((phi!AC126),VLOOKUP(AC$1,main!$A$3:$I$56,5,FALSE)-VLOOKUP($A181,main!$A$3:$I$56,6,FALSE)+main!$D$59,0)</f>
        <v>0</v>
      </c>
      <c r="AD181">
        <f>IF((phi!AD126),VLOOKUP(AD$1,main!$A$3:$I$56,5,FALSE)-VLOOKUP($A181,main!$A$3:$I$56,6,FALSE)+main!$D$59,0)</f>
        <v>0</v>
      </c>
      <c r="AE181">
        <f>IF((phi!AE126),VLOOKUP(AE$1,main!$A$3:$I$56,5,FALSE)-VLOOKUP($A181,main!$A$3:$I$56,6,FALSE)+main!$D$59,0)</f>
        <v>150</v>
      </c>
      <c r="AF181">
        <f>IF((phi!AF126),VLOOKUP(AF$1,main!$A$3:$I$56,5,FALSE)-VLOOKUP($A181,main!$A$3:$I$56,6,FALSE)+main!$D$59,0)</f>
        <v>300</v>
      </c>
      <c r="AG181">
        <f>IF((phi!AG126),VLOOKUP(AG$1,main!$A$3:$I$56,5,FALSE)-VLOOKUP($A181,main!$A$3:$I$56,6,FALSE)+main!$D$59,0)</f>
        <v>0</v>
      </c>
      <c r="AH181">
        <f>IF((phi!AH126),VLOOKUP(AH$1,main!$A$3:$I$56,5,FALSE)-VLOOKUP($A181,main!$A$3:$I$56,6,FALSE)+main!$D$59,0)</f>
        <v>0</v>
      </c>
      <c r="AI181">
        <f>IF((phi!AI126),VLOOKUP(AI$1,main!$A$3:$I$56,5,FALSE)-VLOOKUP($A181,main!$A$3:$I$56,6,FALSE)+main!$D$59,0)</f>
        <v>0</v>
      </c>
      <c r="AJ181">
        <f>IF((phi!AJ126),VLOOKUP(AJ$1,main!$A$3:$I$56,5,FALSE)-VLOOKUP($A181,main!$A$3:$I$56,6,FALSE)+main!$D$59,0)</f>
        <v>270</v>
      </c>
      <c r="AK181">
        <f>IF((phi!AK126),VLOOKUP(AK$1,main!$A$3:$I$56,5,FALSE)-VLOOKUP($A181,main!$A$3:$I$56,6,FALSE)+main!$D$59,0)</f>
        <v>390</v>
      </c>
      <c r="AL181">
        <f>IF((phi!AL126),VLOOKUP(AL$1,main!$A$3:$I$56,5,FALSE)-VLOOKUP($A181,main!$A$3:$I$56,6,FALSE)+main!$D$59,0)</f>
        <v>0</v>
      </c>
      <c r="AM181">
        <f>IF((phi!AM126),VLOOKUP(AM$1,main!$A$3:$I$56,5,FALSE)-VLOOKUP($A181,main!$A$3:$I$56,6,FALSE)+main!$D$59,0)</f>
        <v>0</v>
      </c>
      <c r="AN181">
        <f>IF((phi!AN126),VLOOKUP(AN$1,main!$A$3:$I$56,5,FALSE)-VLOOKUP($A181,main!$A$3:$I$56,6,FALSE)+main!$D$59,0)</f>
        <v>0</v>
      </c>
      <c r="AO181">
        <f>IF((phi!AO126),VLOOKUP(AO$1,main!$A$3:$I$56,5,FALSE)-VLOOKUP($A181,main!$A$3:$I$56,6,FALSE)+main!$D$59,0)</f>
        <v>300</v>
      </c>
      <c r="AP181">
        <f>IF((phi!AP126),VLOOKUP(AP$1,main!$A$3:$I$56,5,FALSE)-VLOOKUP($A181,main!$A$3:$I$56,6,FALSE)+main!$D$59,0)</f>
        <v>0</v>
      </c>
      <c r="AQ181">
        <f>IF((phi!AQ126),VLOOKUP(AQ$1,main!$A$3:$I$56,5,FALSE)-VLOOKUP($A181,main!$A$3:$I$56,6,FALSE)+main!$D$59,0)</f>
        <v>0</v>
      </c>
      <c r="AR181">
        <f>IF((phi!AR126),VLOOKUP(AR$1,main!$A$3:$I$56,5,FALSE)-VLOOKUP($A181,main!$A$3:$I$56,6,FALSE)+main!$D$59,0)</f>
        <v>0</v>
      </c>
      <c r="AS181">
        <f>IF((phi!AS126),VLOOKUP(AS$1,main!$A$3:$I$56,5,FALSE)-VLOOKUP($A181,main!$A$3:$I$56,6,FALSE)+main!$D$59,0)</f>
        <v>0</v>
      </c>
      <c r="AT181">
        <f>IF((phi!AT126),VLOOKUP(AT$1,main!$A$3:$I$56,5,FALSE)-VLOOKUP($A181,main!$A$3:$I$56,6,FALSE)+main!$D$59,0)</f>
        <v>0</v>
      </c>
      <c r="AU181">
        <f>IF((phi!AU126),VLOOKUP(AU$1,main!$A$3:$I$56,5,FALSE)-VLOOKUP($A181,main!$A$3:$I$56,6,FALSE)+main!$D$59,0)</f>
        <v>0</v>
      </c>
      <c r="AV181">
        <f>IF((phi!AV126),VLOOKUP(AV$1,main!$A$3:$I$56,5,FALSE)-VLOOKUP($A181,main!$A$3:$I$56,6,FALSE)+main!$D$59,0)</f>
        <v>0</v>
      </c>
      <c r="AW181">
        <f>IF((phi!AW126),VLOOKUP(AW$1,main!$A$3:$I$56,5,FALSE)-VLOOKUP($A181,main!$A$3:$I$56,6,FALSE)+main!$D$59,0)</f>
        <v>0</v>
      </c>
      <c r="AX181">
        <f>IF((phi!AX126),VLOOKUP(AX$1,main!$A$3:$I$56,5,FALSE)-VLOOKUP($A181,main!$A$3:$I$56,6,FALSE)+main!$D$59,0)</f>
        <v>350</v>
      </c>
      <c r="AY181">
        <f>IF((phi!AY126),VLOOKUP(AY$1,main!$A$3:$I$56,5,FALSE)-VLOOKUP($A181,main!$A$3:$I$56,6,FALSE)+main!$D$59,0)</f>
        <v>550</v>
      </c>
      <c r="AZ181">
        <f>IF((phi!AZ126),VLOOKUP(AZ$1,main!$A$3:$I$56,5,FALSE)-VLOOKUP($A181,main!$A$3:$I$56,6,FALSE)+main!$D$59,0)</f>
        <v>0</v>
      </c>
      <c r="BA181">
        <f>IF((phi!BA126),VLOOKUP(BA$1,main!$A$3:$I$56,5,FALSE)-VLOOKUP($A181,main!$A$3:$I$56,6,FALSE)+main!$D$59,0)</f>
        <v>0</v>
      </c>
      <c r="BB181">
        <f>IF((phi!BB126),VLOOKUP(BB$1,main!$A$3:$I$56,5,FALSE)-VLOOKUP($A181,main!$A$3:$I$56,6,FALSE)+main!$D$59,0)</f>
        <v>0</v>
      </c>
      <c r="BC181">
        <f>IF((phi!BC126),VLOOKUP(BC$1,main!$A$3:$I$56,5,FALSE)-VLOOKUP($A181,main!$A$3:$I$56,6,FALSE)+main!$D$59,0)</f>
        <v>315</v>
      </c>
      <c r="BD181">
        <f>IF((phi!BD126),VLOOKUP(BD$1,main!$A$3:$I$56,5,FALSE)-VLOOKUP($A181,main!$A$3:$I$56,6,FALSE)+main!$D$59,0)</f>
        <v>325</v>
      </c>
    </row>
    <row r="182" spans="1:56" x14ac:dyDescent="0.25">
      <c r="A182">
        <f t="shared" si="5"/>
        <v>15</v>
      </c>
      <c r="B182">
        <v>0</v>
      </c>
      <c r="C182">
        <f>IF((phi!C127),VLOOKUP(C$1,main!$A$3:$I$56,5,FALSE)-VLOOKUP($A182,main!$A$3:$I$56,6,FALSE)+main!$D$59,0)</f>
        <v>0</v>
      </c>
      <c r="D182">
        <f>IF((phi!D127),VLOOKUP(D$1,main!$A$3:$I$56,5,FALSE)-VLOOKUP($A182,main!$A$3:$I$56,6,FALSE)+main!$D$59,0)</f>
        <v>0</v>
      </c>
      <c r="E182">
        <f>IF((phi!E127),VLOOKUP(E$1,main!$A$3:$I$56,5,FALSE)-VLOOKUP($A182,main!$A$3:$I$56,6,FALSE)+main!$D$59,0)</f>
        <v>0</v>
      </c>
      <c r="F182">
        <f>IF((phi!F127),VLOOKUP(F$1,main!$A$3:$I$56,5,FALSE)-VLOOKUP($A182,main!$A$3:$I$56,6,FALSE)+main!$D$59,0)</f>
        <v>0</v>
      </c>
      <c r="G182">
        <f>IF((phi!G127),VLOOKUP(G$1,main!$A$3:$I$56,5,FALSE)-VLOOKUP($A182,main!$A$3:$I$56,6,FALSE)+main!$D$59,0)</f>
        <v>260</v>
      </c>
      <c r="H182">
        <f>IF((phi!H127),VLOOKUP(H$1,main!$A$3:$I$56,5,FALSE)-VLOOKUP($A182,main!$A$3:$I$56,6,FALSE)+main!$D$59,0)</f>
        <v>320</v>
      </c>
      <c r="I182">
        <f>IF((phi!I127),VLOOKUP(I$1,main!$A$3:$I$56,5,FALSE)-VLOOKUP($A182,main!$A$3:$I$56,6,FALSE)+main!$D$59,0)</f>
        <v>380</v>
      </c>
      <c r="J182">
        <f>IF((phi!J127),VLOOKUP(J$1,main!$A$3:$I$56,5,FALSE)-VLOOKUP($A182,main!$A$3:$I$56,6,FALSE)+main!$D$59,0)</f>
        <v>470</v>
      </c>
      <c r="K182">
        <f>IF((phi!K127),VLOOKUP(K$1,main!$A$3:$I$56,5,FALSE)-VLOOKUP($A182,main!$A$3:$I$56,6,FALSE)+main!$D$59,0)</f>
        <v>0</v>
      </c>
      <c r="L182">
        <f>IF((phi!L127),VLOOKUP(L$1,main!$A$3:$I$56,5,FALSE)-VLOOKUP($A182,main!$A$3:$I$56,6,FALSE)+main!$D$59,0)</f>
        <v>0</v>
      </c>
      <c r="M182">
        <f>IF((phi!M127),VLOOKUP(M$1,main!$A$3:$I$56,5,FALSE)-VLOOKUP($A182,main!$A$3:$I$56,6,FALSE)+main!$D$59,0)</f>
        <v>0</v>
      </c>
      <c r="N182">
        <f>IF((phi!N127),VLOOKUP(N$1,main!$A$3:$I$56,5,FALSE)-VLOOKUP($A182,main!$A$3:$I$56,6,FALSE)+main!$D$59,0)</f>
        <v>435</v>
      </c>
      <c r="O182">
        <f>IF((phi!O127),VLOOKUP(O$1,main!$A$3:$I$56,5,FALSE)-VLOOKUP($A182,main!$A$3:$I$56,6,FALSE)+main!$D$59,0)</f>
        <v>495</v>
      </c>
      <c r="P182">
        <f>IF((phi!P127),VLOOKUP(P$1,main!$A$3:$I$56,5,FALSE)-VLOOKUP($A182,main!$A$3:$I$56,6,FALSE)+main!$D$59,0)</f>
        <v>0</v>
      </c>
      <c r="Q182">
        <f>IF((phi!Q127),VLOOKUP(Q$1,main!$A$3:$I$56,5,FALSE)-VLOOKUP($A182,main!$A$3:$I$56,6,FALSE)+main!$D$59,0)</f>
        <v>0</v>
      </c>
      <c r="R182">
        <f>IF((phi!R127),VLOOKUP(R$1,main!$A$3:$I$56,5,FALSE)-VLOOKUP($A182,main!$A$3:$I$56,6,FALSE)+main!$D$59,0)</f>
        <v>0</v>
      </c>
      <c r="S182">
        <f>IF((phi!S127),VLOOKUP(S$1,main!$A$3:$I$56,5,FALSE)-VLOOKUP($A182,main!$A$3:$I$56,6,FALSE)+main!$D$59,0)</f>
        <v>250</v>
      </c>
      <c r="T182">
        <f>IF((phi!T127),VLOOKUP(T$1,main!$A$3:$I$56,5,FALSE)-VLOOKUP($A182,main!$A$3:$I$56,6,FALSE)+main!$D$59,0)</f>
        <v>400</v>
      </c>
      <c r="U182">
        <f>IF((phi!U127),VLOOKUP(U$1,main!$A$3:$I$56,5,FALSE)-VLOOKUP($A182,main!$A$3:$I$56,6,FALSE)+main!$D$59,0)</f>
        <v>0</v>
      </c>
      <c r="V182">
        <f>IF((phi!V127),VLOOKUP(V$1,main!$A$3:$I$56,5,FALSE)-VLOOKUP($A182,main!$A$3:$I$56,6,FALSE)+main!$D$59,0)</f>
        <v>0</v>
      </c>
      <c r="W182">
        <f>IF((phi!W127),VLOOKUP(W$1,main!$A$3:$I$56,5,FALSE)-VLOOKUP($A182,main!$A$3:$I$56,6,FALSE)+main!$D$59,0)</f>
        <v>0</v>
      </c>
      <c r="X182">
        <f>IF((phi!X127),VLOOKUP(X$1,main!$A$3:$I$56,5,FALSE)-VLOOKUP($A182,main!$A$3:$I$56,6,FALSE)+main!$D$59,0)</f>
        <v>0</v>
      </c>
      <c r="Y182">
        <f>IF((phi!Y127),VLOOKUP(Y$1,main!$A$3:$I$56,5,FALSE)-VLOOKUP($A182,main!$A$3:$I$56,6,FALSE)+main!$D$59,0)</f>
        <v>180</v>
      </c>
      <c r="Z182">
        <f>IF((phi!Z127),VLOOKUP(Z$1,main!$A$3:$I$56,5,FALSE)-VLOOKUP($A182,main!$A$3:$I$56,6,FALSE)+main!$D$59,0)</f>
        <v>270</v>
      </c>
      <c r="AA182">
        <f>IF((phi!AA127),VLOOKUP(AA$1,main!$A$3:$I$56,5,FALSE)-VLOOKUP($A182,main!$A$3:$I$56,6,FALSE)+main!$D$59,0)</f>
        <v>360</v>
      </c>
      <c r="AB182">
        <f>IF((phi!AB127),VLOOKUP(AB$1,main!$A$3:$I$56,5,FALSE)-VLOOKUP($A182,main!$A$3:$I$56,6,FALSE)+main!$D$59,0)</f>
        <v>420</v>
      </c>
      <c r="AC182">
        <f>IF((phi!AC127),VLOOKUP(AC$1,main!$A$3:$I$56,5,FALSE)-VLOOKUP($A182,main!$A$3:$I$56,6,FALSE)+main!$D$59,0)</f>
        <v>0</v>
      </c>
      <c r="AD182">
        <f>IF((phi!AD127),VLOOKUP(AD$1,main!$A$3:$I$56,5,FALSE)-VLOOKUP($A182,main!$A$3:$I$56,6,FALSE)+main!$D$59,0)</f>
        <v>0</v>
      </c>
      <c r="AE182">
        <f>IF((phi!AE127),VLOOKUP(AE$1,main!$A$3:$I$56,5,FALSE)-VLOOKUP($A182,main!$A$3:$I$56,6,FALSE)+main!$D$59,0)</f>
        <v>0</v>
      </c>
      <c r="AF182">
        <f>IF((phi!AF127),VLOOKUP(AF$1,main!$A$3:$I$56,5,FALSE)-VLOOKUP($A182,main!$A$3:$I$56,6,FALSE)+main!$D$59,0)</f>
        <v>230</v>
      </c>
      <c r="AG182">
        <f>IF((phi!AG127),VLOOKUP(AG$1,main!$A$3:$I$56,5,FALSE)-VLOOKUP($A182,main!$A$3:$I$56,6,FALSE)+main!$D$59,0)</f>
        <v>0</v>
      </c>
      <c r="AH182">
        <f>IF((phi!AH127),VLOOKUP(AH$1,main!$A$3:$I$56,5,FALSE)-VLOOKUP($A182,main!$A$3:$I$56,6,FALSE)+main!$D$59,0)</f>
        <v>0</v>
      </c>
      <c r="AI182">
        <f>IF((phi!AI127),VLOOKUP(AI$1,main!$A$3:$I$56,5,FALSE)-VLOOKUP($A182,main!$A$3:$I$56,6,FALSE)+main!$D$59,0)</f>
        <v>0</v>
      </c>
      <c r="AJ182">
        <f>IF((phi!AJ127),VLOOKUP(AJ$1,main!$A$3:$I$56,5,FALSE)-VLOOKUP($A182,main!$A$3:$I$56,6,FALSE)+main!$D$59,0)</f>
        <v>0</v>
      </c>
      <c r="AK182">
        <f>IF((phi!AK127),VLOOKUP(AK$1,main!$A$3:$I$56,5,FALSE)-VLOOKUP($A182,main!$A$3:$I$56,6,FALSE)+main!$D$59,0)</f>
        <v>320</v>
      </c>
      <c r="AL182">
        <f>IF((phi!AL127),VLOOKUP(AL$1,main!$A$3:$I$56,5,FALSE)-VLOOKUP($A182,main!$A$3:$I$56,6,FALSE)+main!$D$59,0)</f>
        <v>0</v>
      </c>
      <c r="AM182">
        <f>IF((phi!AM127),VLOOKUP(AM$1,main!$A$3:$I$56,5,FALSE)-VLOOKUP($A182,main!$A$3:$I$56,6,FALSE)+main!$D$59,0)</f>
        <v>0</v>
      </c>
      <c r="AN182">
        <f>IF((phi!AN127),VLOOKUP(AN$1,main!$A$3:$I$56,5,FALSE)-VLOOKUP($A182,main!$A$3:$I$56,6,FALSE)+main!$D$59,0)</f>
        <v>0</v>
      </c>
      <c r="AO182">
        <f>IF((phi!AO127),VLOOKUP(AO$1,main!$A$3:$I$56,5,FALSE)-VLOOKUP($A182,main!$A$3:$I$56,6,FALSE)+main!$D$59,0)</f>
        <v>0</v>
      </c>
      <c r="AP182">
        <f>IF((phi!AP127),VLOOKUP(AP$1,main!$A$3:$I$56,5,FALSE)-VLOOKUP($A182,main!$A$3:$I$56,6,FALSE)+main!$D$59,0)</f>
        <v>0</v>
      </c>
      <c r="AQ182">
        <f>IF((phi!AQ127),VLOOKUP(AQ$1,main!$A$3:$I$56,5,FALSE)-VLOOKUP($A182,main!$A$3:$I$56,6,FALSE)+main!$D$59,0)</f>
        <v>0</v>
      </c>
      <c r="AR182">
        <f>IF((phi!AR127),VLOOKUP(AR$1,main!$A$3:$I$56,5,FALSE)-VLOOKUP($A182,main!$A$3:$I$56,6,FALSE)+main!$D$59,0)</f>
        <v>0</v>
      </c>
      <c r="AS182">
        <f>IF((phi!AS127),VLOOKUP(AS$1,main!$A$3:$I$56,5,FALSE)-VLOOKUP($A182,main!$A$3:$I$56,6,FALSE)+main!$D$59,0)</f>
        <v>0</v>
      </c>
      <c r="AT182">
        <f>IF((phi!AT127),VLOOKUP(AT$1,main!$A$3:$I$56,5,FALSE)-VLOOKUP($A182,main!$A$3:$I$56,6,FALSE)+main!$D$59,0)</f>
        <v>0</v>
      </c>
      <c r="AU182">
        <f>IF((phi!AU127),VLOOKUP(AU$1,main!$A$3:$I$56,5,FALSE)-VLOOKUP($A182,main!$A$3:$I$56,6,FALSE)+main!$D$59,0)</f>
        <v>0</v>
      </c>
      <c r="AV182">
        <f>IF((phi!AV127),VLOOKUP(AV$1,main!$A$3:$I$56,5,FALSE)-VLOOKUP($A182,main!$A$3:$I$56,6,FALSE)+main!$D$59,0)</f>
        <v>0</v>
      </c>
      <c r="AW182">
        <f>IF((phi!AW127),VLOOKUP(AW$1,main!$A$3:$I$56,5,FALSE)-VLOOKUP($A182,main!$A$3:$I$56,6,FALSE)+main!$D$59,0)</f>
        <v>0</v>
      </c>
      <c r="AX182">
        <f>IF((phi!AX127),VLOOKUP(AX$1,main!$A$3:$I$56,5,FALSE)-VLOOKUP($A182,main!$A$3:$I$56,6,FALSE)+main!$D$59,0)</f>
        <v>280</v>
      </c>
      <c r="AY182">
        <f>IF((phi!AY127),VLOOKUP(AY$1,main!$A$3:$I$56,5,FALSE)-VLOOKUP($A182,main!$A$3:$I$56,6,FALSE)+main!$D$59,0)</f>
        <v>480</v>
      </c>
      <c r="AZ182">
        <f>IF((phi!AZ127),VLOOKUP(AZ$1,main!$A$3:$I$56,5,FALSE)-VLOOKUP($A182,main!$A$3:$I$56,6,FALSE)+main!$D$59,0)</f>
        <v>0</v>
      </c>
      <c r="BA182">
        <f>IF((phi!BA127),VLOOKUP(BA$1,main!$A$3:$I$56,5,FALSE)-VLOOKUP($A182,main!$A$3:$I$56,6,FALSE)+main!$D$59,0)</f>
        <v>0</v>
      </c>
      <c r="BB182">
        <f>IF((phi!BB127),VLOOKUP(BB$1,main!$A$3:$I$56,5,FALSE)-VLOOKUP($A182,main!$A$3:$I$56,6,FALSE)+main!$D$59,0)</f>
        <v>0</v>
      </c>
      <c r="BC182">
        <f>IF((phi!BC127),VLOOKUP(BC$1,main!$A$3:$I$56,5,FALSE)-VLOOKUP($A182,main!$A$3:$I$56,6,FALSE)+main!$D$59,0)</f>
        <v>0</v>
      </c>
      <c r="BD182">
        <f>IF((phi!BD127),VLOOKUP(BD$1,main!$A$3:$I$56,5,FALSE)-VLOOKUP($A182,main!$A$3:$I$56,6,FALSE)+main!$D$59,0)</f>
        <v>0</v>
      </c>
    </row>
    <row r="183" spans="1:56" x14ac:dyDescent="0.25">
      <c r="A183">
        <f t="shared" si="5"/>
        <v>16</v>
      </c>
      <c r="B183">
        <v>0</v>
      </c>
      <c r="C183">
        <f>IF((phi!C128),VLOOKUP(C$1,main!$A$3:$I$56,5,FALSE)-VLOOKUP($A183,main!$A$3:$I$56,6,FALSE)+main!$D$59,0)</f>
        <v>0</v>
      </c>
      <c r="D183">
        <f>IF((phi!D128),VLOOKUP(D$1,main!$A$3:$I$56,5,FALSE)-VLOOKUP($A183,main!$A$3:$I$56,6,FALSE)+main!$D$59,0)</f>
        <v>0</v>
      </c>
      <c r="E183">
        <f>IF((phi!E128),VLOOKUP(E$1,main!$A$3:$I$56,5,FALSE)-VLOOKUP($A183,main!$A$3:$I$56,6,FALSE)+main!$D$59,0)</f>
        <v>0</v>
      </c>
      <c r="F183">
        <f>IF((phi!F128),VLOOKUP(F$1,main!$A$3:$I$56,5,FALSE)-VLOOKUP($A183,main!$A$3:$I$56,6,FALSE)+main!$D$59,0)</f>
        <v>0</v>
      </c>
      <c r="G183">
        <f>IF((phi!G128),VLOOKUP(G$1,main!$A$3:$I$56,5,FALSE)-VLOOKUP($A183,main!$A$3:$I$56,6,FALSE)+main!$D$59,0)</f>
        <v>0</v>
      </c>
      <c r="H183">
        <f>IF((phi!H128),VLOOKUP(H$1,main!$A$3:$I$56,5,FALSE)-VLOOKUP($A183,main!$A$3:$I$56,6,FALSE)+main!$D$59,0)</f>
        <v>0</v>
      </c>
      <c r="I183">
        <f>IF((phi!I128),VLOOKUP(I$1,main!$A$3:$I$56,5,FALSE)-VLOOKUP($A183,main!$A$3:$I$56,6,FALSE)+main!$D$59,0)</f>
        <v>0</v>
      </c>
      <c r="J183">
        <f>IF((phi!J128),VLOOKUP(J$1,main!$A$3:$I$56,5,FALSE)-VLOOKUP($A183,main!$A$3:$I$56,6,FALSE)+main!$D$59,0)</f>
        <v>315</v>
      </c>
      <c r="K183">
        <f>IF((phi!K128),VLOOKUP(K$1,main!$A$3:$I$56,5,FALSE)-VLOOKUP($A183,main!$A$3:$I$56,6,FALSE)+main!$D$59,0)</f>
        <v>0</v>
      </c>
      <c r="L183">
        <f>IF((phi!L128),VLOOKUP(L$1,main!$A$3:$I$56,5,FALSE)-VLOOKUP($A183,main!$A$3:$I$56,6,FALSE)+main!$D$59,0)</f>
        <v>0</v>
      </c>
      <c r="M183">
        <f>IF((phi!M128),VLOOKUP(M$1,main!$A$3:$I$56,5,FALSE)-VLOOKUP($A183,main!$A$3:$I$56,6,FALSE)+main!$D$59,0)</f>
        <v>0</v>
      </c>
      <c r="N183">
        <f>IF((phi!N128),VLOOKUP(N$1,main!$A$3:$I$56,5,FALSE)-VLOOKUP($A183,main!$A$3:$I$56,6,FALSE)+main!$D$59,0)</f>
        <v>280</v>
      </c>
      <c r="O183">
        <f>IF((phi!O128),VLOOKUP(O$1,main!$A$3:$I$56,5,FALSE)-VLOOKUP($A183,main!$A$3:$I$56,6,FALSE)+main!$D$59,0)</f>
        <v>340</v>
      </c>
      <c r="P183">
        <f>IF((phi!P128),VLOOKUP(P$1,main!$A$3:$I$56,5,FALSE)-VLOOKUP($A183,main!$A$3:$I$56,6,FALSE)+main!$D$59,0)</f>
        <v>0</v>
      </c>
      <c r="Q183">
        <f>IF((phi!Q128),VLOOKUP(Q$1,main!$A$3:$I$56,5,FALSE)-VLOOKUP($A183,main!$A$3:$I$56,6,FALSE)+main!$D$59,0)</f>
        <v>0</v>
      </c>
      <c r="R183">
        <f>IF((phi!R128),VLOOKUP(R$1,main!$A$3:$I$56,5,FALSE)-VLOOKUP($A183,main!$A$3:$I$56,6,FALSE)+main!$D$59,0)</f>
        <v>0</v>
      </c>
      <c r="S183">
        <f>IF((phi!S128),VLOOKUP(S$1,main!$A$3:$I$56,5,FALSE)-VLOOKUP($A183,main!$A$3:$I$56,6,FALSE)+main!$D$59,0)</f>
        <v>0</v>
      </c>
      <c r="T183">
        <f>IF((phi!T128),VLOOKUP(T$1,main!$A$3:$I$56,5,FALSE)-VLOOKUP($A183,main!$A$3:$I$56,6,FALSE)+main!$D$59,0)</f>
        <v>245</v>
      </c>
      <c r="U183">
        <f>IF((phi!U128),VLOOKUP(U$1,main!$A$3:$I$56,5,FALSE)-VLOOKUP($A183,main!$A$3:$I$56,6,FALSE)+main!$D$59,0)</f>
        <v>0</v>
      </c>
      <c r="V183">
        <f>IF((phi!V128),VLOOKUP(V$1,main!$A$3:$I$56,5,FALSE)-VLOOKUP($A183,main!$A$3:$I$56,6,FALSE)+main!$D$59,0)</f>
        <v>0</v>
      </c>
      <c r="W183">
        <f>IF((phi!W128),VLOOKUP(W$1,main!$A$3:$I$56,5,FALSE)-VLOOKUP($A183,main!$A$3:$I$56,6,FALSE)+main!$D$59,0)</f>
        <v>0</v>
      </c>
      <c r="X183">
        <f>IF((phi!X128),VLOOKUP(X$1,main!$A$3:$I$56,5,FALSE)-VLOOKUP($A183,main!$A$3:$I$56,6,FALSE)+main!$D$59,0)</f>
        <v>0</v>
      </c>
      <c r="Y183">
        <f>IF((phi!Y128),VLOOKUP(Y$1,main!$A$3:$I$56,5,FALSE)-VLOOKUP($A183,main!$A$3:$I$56,6,FALSE)+main!$D$59,0)</f>
        <v>0</v>
      </c>
      <c r="Z183">
        <f>IF((phi!Z128),VLOOKUP(Z$1,main!$A$3:$I$56,5,FALSE)-VLOOKUP($A183,main!$A$3:$I$56,6,FALSE)+main!$D$59,0)</f>
        <v>115</v>
      </c>
      <c r="AA183">
        <f>IF((phi!AA128),VLOOKUP(AA$1,main!$A$3:$I$56,5,FALSE)-VLOOKUP($A183,main!$A$3:$I$56,6,FALSE)+main!$D$59,0)</f>
        <v>205</v>
      </c>
      <c r="AB183">
        <f>IF((phi!AB128),VLOOKUP(AB$1,main!$A$3:$I$56,5,FALSE)-VLOOKUP($A183,main!$A$3:$I$56,6,FALSE)+main!$D$59,0)</f>
        <v>265</v>
      </c>
      <c r="AC183">
        <f>IF((phi!AC128),VLOOKUP(AC$1,main!$A$3:$I$56,5,FALSE)-VLOOKUP($A183,main!$A$3:$I$56,6,FALSE)+main!$D$59,0)</f>
        <v>0</v>
      </c>
      <c r="AD183">
        <f>IF((phi!AD128),VLOOKUP(AD$1,main!$A$3:$I$56,5,FALSE)-VLOOKUP($A183,main!$A$3:$I$56,6,FALSE)+main!$D$59,0)</f>
        <v>0</v>
      </c>
      <c r="AE183">
        <f>IF((phi!AE128),VLOOKUP(AE$1,main!$A$3:$I$56,5,FALSE)-VLOOKUP($A183,main!$A$3:$I$56,6,FALSE)+main!$D$59,0)</f>
        <v>0</v>
      </c>
      <c r="AF183">
        <f>IF((phi!AF128),VLOOKUP(AF$1,main!$A$3:$I$56,5,FALSE)-VLOOKUP($A183,main!$A$3:$I$56,6,FALSE)+main!$D$59,0)</f>
        <v>0</v>
      </c>
      <c r="AG183">
        <f>IF((phi!AG128),VLOOKUP(AG$1,main!$A$3:$I$56,5,FALSE)-VLOOKUP($A183,main!$A$3:$I$56,6,FALSE)+main!$D$59,0)</f>
        <v>0</v>
      </c>
      <c r="AH183">
        <f>IF((phi!AH128),VLOOKUP(AH$1,main!$A$3:$I$56,5,FALSE)-VLOOKUP($A183,main!$A$3:$I$56,6,FALSE)+main!$D$59,0)</f>
        <v>0</v>
      </c>
      <c r="AI183">
        <f>IF((phi!AI128),VLOOKUP(AI$1,main!$A$3:$I$56,5,FALSE)-VLOOKUP($A183,main!$A$3:$I$56,6,FALSE)+main!$D$59,0)</f>
        <v>0</v>
      </c>
      <c r="AJ183">
        <f>IF((phi!AJ128),VLOOKUP(AJ$1,main!$A$3:$I$56,5,FALSE)-VLOOKUP($A183,main!$A$3:$I$56,6,FALSE)+main!$D$59,0)</f>
        <v>0</v>
      </c>
      <c r="AK183">
        <f>IF((phi!AK128),VLOOKUP(AK$1,main!$A$3:$I$56,5,FALSE)-VLOOKUP($A183,main!$A$3:$I$56,6,FALSE)+main!$D$59,0)</f>
        <v>0</v>
      </c>
      <c r="AL183">
        <f>IF((phi!AL128),VLOOKUP(AL$1,main!$A$3:$I$56,5,FALSE)-VLOOKUP($A183,main!$A$3:$I$56,6,FALSE)+main!$D$59,0)</f>
        <v>0</v>
      </c>
      <c r="AM183">
        <f>IF((phi!AM128),VLOOKUP(AM$1,main!$A$3:$I$56,5,FALSE)-VLOOKUP($A183,main!$A$3:$I$56,6,FALSE)+main!$D$59,0)</f>
        <v>0</v>
      </c>
      <c r="AN183">
        <f>IF((phi!AN128),VLOOKUP(AN$1,main!$A$3:$I$56,5,FALSE)-VLOOKUP($A183,main!$A$3:$I$56,6,FALSE)+main!$D$59,0)</f>
        <v>0</v>
      </c>
      <c r="AO183">
        <f>IF((phi!AO128),VLOOKUP(AO$1,main!$A$3:$I$56,5,FALSE)-VLOOKUP($A183,main!$A$3:$I$56,6,FALSE)+main!$D$59,0)</f>
        <v>0</v>
      </c>
      <c r="AP183">
        <f>IF((phi!AP128),VLOOKUP(AP$1,main!$A$3:$I$56,5,FALSE)-VLOOKUP($A183,main!$A$3:$I$56,6,FALSE)+main!$D$59,0)</f>
        <v>0</v>
      </c>
      <c r="AQ183">
        <f>IF((phi!AQ128),VLOOKUP(AQ$1,main!$A$3:$I$56,5,FALSE)-VLOOKUP($A183,main!$A$3:$I$56,6,FALSE)+main!$D$59,0)</f>
        <v>0</v>
      </c>
      <c r="AR183">
        <f>IF((phi!AR128),VLOOKUP(AR$1,main!$A$3:$I$56,5,FALSE)-VLOOKUP($A183,main!$A$3:$I$56,6,FALSE)+main!$D$59,0)</f>
        <v>0</v>
      </c>
      <c r="AS183">
        <f>IF((phi!AS128),VLOOKUP(AS$1,main!$A$3:$I$56,5,FALSE)-VLOOKUP($A183,main!$A$3:$I$56,6,FALSE)+main!$D$59,0)</f>
        <v>0</v>
      </c>
      <c r="AT183">
        <f>IF((phi!AT128),VLOOKUP(AT$1,main!$A$3:$I$56,5,FALSE)-VLOOKUP($A183,main!$A$3:$I$56,6,FALSE)+main!$D$59,0)</f>
        <v>0</v>
      </c>
      <c r="AU183">
        <f>IF((phi!AU128),VLOOKUP(AU$1,main!$A$3:$I$56,5,FALSE)-VLOOKUP($A183,main!$A$3:$I$56,6,FALSE)+main!$D$59,0)</f>
        <v>0</v>
      </c>
      <c r="AV183">
        <f>IF((phi!AV128),VLOOKUP(AV$1,main!$A$3:$I$56,5,FALSE)-VLOOKUP($A183,main!$A$3:$I$56,6,FALSE)+main!$D$59,0)</f>
        <v>0</v>
      </c>
      <c r="AW183">
        <f>IF((phi!AW128),VLOOKUP(AW$1,main!$A$3:$I$56,5,FALSE)-VLOOKUP($A183,main!$A$3:$I$56,6,FALSE)+main!$D$59,0)</f>
        <v>0</v>
      </c>
      <c r="AX183">
        <f>IF((phi!AX128),VLOOKUP(AX$1,main!$A$3:$I$56,5,FALSE)-VLOOKUP($A183,main!$A$3:$I$56,6,FALSE)+main!$D$59,0)</f>
        <v>0</v>
      </c>
      <c r="AY183">
        <f>IF((phi!AY128),VLOOKUP(AY$1,main!$A$3:$I$56,5,FALSE)-VLOOKUP($A183,main!$A$3:$I$56,6,FALSE)+main!$D$59,0)</f>
        <v>325</v>
      </c>
      <c r="AZ183">
        <f>IF((phi!AZ128),VLOOKUP(AZ$1,main!$A$3:$I$56,5,FALSE)-VLOOKUP($A183,main!$A$3:$I$56,6,FALSE)+main!$D$59,0)</f>
        <v>0</v>
      </c>
      <c r="BA183">
        <f>IF((phi!BA128),VLOOKUP(BA$1,main!$A$3:$I$56,5,FALSE)-VLOOKUP($A183,main!$A$3:$I$56,6,FALSE)+main!$D$59,0)</f>
        <v>0</v>
      </c>
      <c r="BB183">
        <f>IF((phi!BB128),VLOOKUP(BB$1,main!$A$3:$I$56,5,FALSE)-VLOOKUP($A183,main!$A$3:$I$56,6,FALSE)+main!$D$59,0)</f>
        <v>0</v>
      </c>
      <c r="BC183">
        <f>IF((phi!BC128),VLOOKUP(BC$1,main!$A$3:$I$56,5,FALSE)-VLOOKUP($A183,main!$A$3:$I$56,6,FALSE)+main!$D$59,0)</f>
        <v>0</v>
      </c>
      <c r="BD183">
        <f>IF((phi!BD128),VLOOKUP(BD$1,main!$A$3:$I$56,5,FALSE)-VLOOKUP($A183,main!$A$3:$I$56,6,FALSE)+main!$D$59,0)</f>
        <v>0</v>
      </c>
    </row>
    <row r="184" spans="1:56" x14ac:dyDescent="0.25">
      <c r="A184">
        <f t="shared" si="5"/>
        <v>17</v>
      </c>
      <c r="B184">
        <v>0</v>
      </c>
      <c r="C184">
        <f>IF((phi!C129),VLOOKUP(C$1,main!$A$3:$I$56,5,FALSE)-VLOOKUP($A184,main!$A$3:$I$56,6,FALSE)+main!$D$59,0)</f>
        <v>0</v>
      </c>
      <c r="D184">
        <f>IF((phi!D129),VLOOKUP(D$1,main!$A$3:$I$56,5,FALSE)-VLOOKUP($A184,main!$A$3:$I$56,6,FALSE)+main!$D$59,0)</f>
        <v>0</v>
      </c>
      <c r="E184">
        <f>IF((phi!E129),VLOOKUP(E$1,main!$A$3:$I$56,5,FALSE)-VLOOKUP($A184,main!$A$3:$I$56,6,FALSE)+main!$D$59,0)</f>
        <v>0</v>
      </c>
      <c r="F184">
        <f>IF((phi!F129),VLOOKUP(F$1,main!$A$3:$I$56,5,FALSE)-VLOOKUP($A184,main!$A$3:$I$56,6,FALSE)+main!$D$59,0)</f>
        <v>0</v>
      </c>
      <c r="G184">
        <f>IF((phi!G129),VLOOKUP(G$1,main!$A$3:$I$56,5,FALSE)-VLOOKUP($A184,main!$A$3:$I$56,6,FALSE)+main!$D$59,0)</f>
        <v>0</v>
      </c>
      <c r="H184">
        <f>IF((phi!H129),VLOOKUP(H$1,main!$A$3:$I$56,5,FALSE)-VLOOKUP($A184,main!$A$3:$I$56,6,FALSE)+main!$D$59,0)</f>
        <v>0</v>
      </c>
      <c r="I184">
        <f>IF((phi!I129),VLOOKUP(I$1,main!$A$3:$I$56,5,FALSE)-VLOOKUP($A184,main!$A$3:$I$56,6,FALSE)+main!$D$59,0)</f>
        <v>0</v>
      </c>
      <c r="J184">
        <f>IF((phi!J129),VLOOKUP(J$1,main!$A$3:$I$56,5,FALSE)-VLOOKUP($A184,main!$A$3:$I$56,6,FALSE)+main!$D$59,0)</f>
        <v>0</v>
      </c>
      <c r="K184">
        <f>IF((phi!K129),VLOOKUP(K$1,main!$A$3:$I$56,5,FALSE)-VLOOKUP($A184,main!$A$3:$I$56,6,FALSE)+main!$D$59,0)</f>
        <v>0</v>
      </c>
      <c r="L184">
        <f>IF((phi!L129),VLOOKUP(L$1,main!$A$3:$I$56,5,FALSE)-VLOOKUP($A184,main!$A$3:$I$56,6,FALSE)+main!$D$59,0)</f>
        <v>0</v>
      </c>
      <c r="M184">
        <f>IF((phi!M129),VLOOKUP(M$1,main!$A$3:$I$56,5,FALSE)-VLOOKUP($A184,main!$A$3:$I$56,6,FALSE)+main!$D$59,0)</f>
        <v>0</v>
      </c>
      <c r="N184">
        <f>IF((phi!N129),VLOOKUP(N$1,main!$A$3:$I$56,5,FALSE)-VLOOKUP($A184,main!$A$3:$I$56,6,FALSE)+main!$D$59,0)</f>
        <v>0</v>
      </c>
      <c r="O184">
        <f>IF((phi!O129),VLOOKUP(O$1,main!$A$3:$I$56,5,FALSE)-VLOOKUP($A184,main!$A$3:$I$56,6,FALSE)+main!$D$59,0)</f>
        <v>0</v>
      </c>
      <c r="P184">
        <f>IF((phi!P129),VLOOKUP(P$1,main!$A$3:$I$56,5,FALSE)-VLOOKUP($A184,main!$A$3:$I$56,6,FALSE)+main!$D$59,0)</f>
        <v>0</v>
      </c>
      <c r="Q184">
        <f>IF((phi!Q129),VLOOKUP(Q$1,main!$A$3:$I$56,5,FALSE)-VLOOKUP($A184,main!$A$3:$I$56,6,FALSE)+main!$D$59,0)</f>
        <v>0</v>
      </c>
      <c r="R184">
        <f>IF((phi!R129),VLOOKUP(R$1,main!$A$3:$I$56,5,FALSE)-VLOOKUP($A184,main!$A$3:$I$56,6,FALSE)+main!$D$59,0)</f>
        <v>0</v>
      </c>
      <c r="S184">
        <f>IF((phi!S129),VLOOKUP(S$1,main!$A$3:$I$56,5,FALSE)-VLOOKUP($A184,main!$A$3:$I$56,6,FALSE)+main!$D$59,0)</f>
        <v>0</v>
      </c>
      <c r="T184">
        <f>IF((phi!T129),VLOOKUP(T$1,main!$A$3:$I$56,5,FALSE)-VLOOKUP($A184,main!$A$3:$I$56,6,FALSE)+main!$D$59,0)</f>
        <v>0</v>
      </c>
      <c r="U184">
        <f>IF((phi!U129),VLOOKUP(U$1,main!$A$3:$I$56,5,FALSE)-VLOOKUP($A184,main!$A$3:$I$56,6,FALSE)+main!$D$59,0)</f>
        <v>0</v>
      </c>
      <c r="V184">
        <f>IF((phi!V129),VLOOKUP(V$1,main!$A$3:$I$56,5,FALSE)-VLOOKUP($A184,main!$A$3:$I$56,6,FALSE)+main!$D$59,0)</f>
        <v>0</v>
      </c>
      <c r="W184">
        <f>IF((phi!W129),VLOOKUP(W$1,main!$A$3:$I$56,5,FALSE)-VLOOKUP($A184,main!$A$3:$I$56,6,FALSE)+main!$D$59,0)</f>
        <v>0</v>
      </c>
      <c r="X184">
        <f>IF((phi!X129),VLOOKUP(X$1,main!$A$3:$I$56,5,FALSE)-VLOOKUP($A184,main!$A$3:$I$56,6,FALSE)+main!$D$59,0)</f>
        <v>0</v>
      </c>
      <c r="Y184">
        <f>IF((phi!Y129),VLOOKUP(Y$1,main!$A$3:$I$56,5,FALSE)-VLOOKUP($A184,main!$A$3:$I$56,6,FALSE)+main!$D$59,0)</f>
        <v>0</v>
      </c>
      <c r="Z184">
        <f>IF((phi!Z129),VLOOKUP(Z$1,main!$A$3:$I$56,5,FALSE)-VLOOKUP($A184,main!$A$3:$I$56,6,FALSE)+main!$D$59,0)</f>
        <v>0</v>
      </c>
      <c r="AA184">
        <f>IF((phi!AA129),VLOOKUP(AA$1,main!$A$3:$I$56,5,FALSE)-VLOOKUP($A184,main!$A$3:$I$56,6,FALSE)+main!$D$59,0)</f>
        <v>0</v>
      </c>
      <c r="AB184">
        <f>IF((phi!AB129),VLOOKUP(AB$1,main!$A$3:$I$56,5,FALSE)-VLOOKUP($A184,main!$A$3:$I$56,6,FALSE)+main!$D$59,0)</f>
        <v>0</v>
      </c>
      <c r="AC184">
        <f>IF((phi!AC129),VLOOKUP(AC$1,main!$A$3:$I$56,5,FALSE)-VLOOKUP($A184,main!$A$3:$I$56,6,FALSE)+main!$D$59,0)</f>
        <v>0</v>
      </c>
      <c r="AD184">
        <f>IF((phi!AD129),VLOOKUP(AD$1,main!$A$3:$I$56,5,FALSE)-VLOOKUP($A184,main!$A$3:$I$56,6,FALSE)+main!$D$59,0)</f>
        <v>0</v>
      </c>
      <c r="AE184">
        <f>IF((phi!AE129),VLOOKUP(AE$1,main!$A$3:$I$56,5,FALSE)-VLOOKUP($A184,main!$A$3:$I$56,6,FALSE)+main!$D$59,0)</f>
        <v>0</v>
      </c>
      <c r="AF184">
        <f>IF((phi!AF129),VLOOKUP(AF$1,main!$A$3:$I$56,5,FALSE)-VLOOKUP($A184,main!$A$3:$I$56,6,FALSE)+main!$D$59,0)</f>
        <v>0</v>
      </c>
      <c r="AG184">
        <f>IF((phi!AG129),VLOOKUP(AG$1,main!$A$3:$I$56,5,FALSE)-VLOOKUP($A184,main!$A$3:$I$56,6,FALSE)+main!$D$59,0)</f>
        <v>0</v>
      </c>
      <c r="AH184">
        <f>IF((phi!AH129),VLOOKUP(AH$1,main!$A$3:$I$56,5,FALSE)-VLOOKUP($A184,main!$A$3:$I$56,6,FALSE)+main!$D$59,0)</f>
        <v>0</v>
      </c>
      <c r="AI184">
        <f>IF((phi!AI129),VLOOKUP(AI$1,main!$A$3:$I$56,5,FALSE)-VLOOKUP($A184,main!$A$3:$I$56,6,FALSE)+main!$D$59,0)</f>
        <v>0</v>
      </c>
      <c r="AJ184">
        <f>IF((phi!AJ129),VLOOKUP(AJ$1,main!$A$3:$I$56,5,FALSE)-VLOOKUP($A184,main!$A$3:$I$56,6,FALSE)+main!$D$59,0)</f>
        <v>0</v>
      </c>
      <c r="AK184">
        <f>IF((phi!AK129),VLOOKUP(AK$1,main!$A$3:$I$56,5,FALSE)-VLOOKUP($A184,main!$A$3:$I$56,6,FALSE)+main!$D$59,0)</f>
        <v>0</v>
      </c>
      <c r="AL184">
        <f>IF((phi!AL129),VLOOKUP(AL$1,main!$A$3:$I$56,5,FALSE)-VLOOKUP($A184,main!$A$3:$I$56,6,FALSE)+main!$D$59,0)</f>
        <v>0</v>
      </c>
      <c r="AM184">
        <f>IF((phi!AM129),VLOOKUP(AM$1,main!$A$3:$I$56,5,FALSE)-VLOOKUP($A184,main!$A$3:$I$56,6,FALSE)+main!$D$59,0)</f>
        <v>0</v>
      </c>
      <c r="AN184">
        <f>IF((phi!AN129),VLOOKUP(AN$1,main!$A$3:$I$56,5,FALSE)-VLOOKUP($A184,main!$A$3:$I$56,6,FALSE)+main!$D$59,0)</f>
        <v>0</v>
      </c>
      <c r="AO184">
        <f>IF((phi!AO129),VLOOKUP(AO$1,main!$A$3:$I$56,5,FALSE)-VLOOKUP($A184,main!$A$3:$I$56,6,FALSE)+main!$D$59,0)</f>
        <v>0</v>
      </c>
      <c r="AP184">
        <f>IF((phi!AP129),VLOOKUP(AP$1,main!$A$3:$I$56,5,FALSE)-VLOOKUP($A184,main!$A$3:$I$56,6,FALSE)+main!$D$59,0)</f>
        <v>0</v>
      </c>
      <c r="AQ184">
        <f>IF((phi!AQ129),VLOOKUP(AQ$1,main!$A$3:$I$56,5,FALSE)-VLOOKUP($A184,main!$A$3:$I$56,6,FALSE)+main!$D$59,0)</f>
        <v>0</v>
      </c>
      <c r="AR184">
        <f>IF((phi!AR129),VLOOKUP(AR$1,main!$A$3:$I$56,5,FALSE)-VLOOKUP($A184,main!$A$3:$I$56,6,FALSE)+main!$D$59,0)</f>
        <v>0</v>
      </c>
      <c r="AS184">
        <f>IF((phi!AS129),VLOOKUP(AS$1,main!$A$3:$I$56,5,FALSE)-VLOOKUP($A184,main!$A$3:$I$56,6,FALSE)+main!$D$59,0)</f>
        <v>0</v>
      </c>
      <c r="AT184">
        <f>IF((phi!AT129),VLOOKUP(AT$1,main!$A$3:$I$56,5,FALSE)-VLOOKUP($A184,main!$A$3:$I$56,6,FALSE)+main!$D$59,0)</f>
        <v>0</v>
      </c>
      <c r="AU184">
        <f>IF((phi!AU129),VLOOKUP(AU$1,main!$A$3:$I$56,5,FALSE)-VLOOKUP($A184,main!$A$3:$I$56,6,FALSE)+main!$D$59,0)</f>
        <v>0</v>
      </c>
      <c r="AV184">
        <f>IF((phi!AV129),VLOOKUP(AV$1,main!$A$3:$I$56,5,FALSE)-VLOOKUP($A184,main!$A$3:$I$56,6,FALSE)+main!$D$59,0)</f>
        <v>0</v>
      </c>
      <c r="AW184">
        <f>IF((phi!AW129),VLOOKUP(AW$1,main!$A$3:$I$56,5,FALSE)-VLOOKUP($A184,main!$A$3:$I$56,6,FALSE)+main!$D$59,0)</f>
        <v>0</v>
      </c>
      <c r="AX184">
        <f>IF((phi!AX129),VLOOKUP(AX$1,main!$A$3:$I$56,5,FALSE)-VLOOKUP($A184,main!$A$3:$I$56,6,FALSE)+main!$D$59,0)</f>
        <v>0</v>
      </c>
      <c r="AY184">
        <f>IF((phi!AY129),VLOOKUP(AY$1,main!$A$3:$I$56,5,FALSE)-VLOOKUP($A184,main!$A$3:$I$56,6,FALSE)+main!$D$59,0)</f>
        <v>0</v>
      </c>
      <c r="AZ184">
        <f>IF((phi!AZ129),VLOOKUP(AZ$1,main!$A$3:$I$56,5,FALSE)-VLOOKUP($A184,main!$A$3:$I$56,6,FALSE)+main!$D$59,0)</f>
        <v>0</v>
      </c>
      <c r="BA184">
        <f>IF((phi!BA129),VLOOKUP(BA$1,main!$A$3:$I$56,5,FALSE)-VLOOKUP($A184,main!$A$3:$I$56,6,FALSE)+main!$D$59,0)</f>
        <v>0</v>
      </c>
      <c r="BB184">
        <f>IF((phi!BB129),VLOOKUP(BB$1,main!$A$3:$I$56,5,FALSE)-VLOOKUP($A184,main!$A$3:$I$56,6,FALSE)+main!$D$59,0)</f>
        <v>0</v>
      </c>
      <c r="BC184">
        <f>IF((phi!BC129),VLOOKUP(BC$1,main!$A$3:$I$56,5,FALSE)-VLOOKUP($A184,main!$A$3:$I$56,6,FALSE)+main!$D$59,0)</f>
        <v>0</v>
      </c>
      <c r="BD184">
        <f>IF((phi!BD129),VLOOKUP(BD$1,main!$A$3:$I$56,5,FALSE)-VLOOKUP($A184,main!$A$3:$I$56,6,FALSE)+main!$D$59,0)</f>
        <v>0</v>
      </c>
    </row>
    <row r="185" spans="1:56" x14ac:dyDescent="0.25">
      <c r="A185">
        <f t="shared" si="5"/>
        <v>18</v>
      </c>
      <c r="B185">
        <v>0</v>
      </c>
      <c r="C185">
        <f>IF((phi!C130),VLOOKUP(C$1,main!$A$3:$I$56,5,FALSE)-VLOOKUP($A185,main!$A$3:$I$56,6,FALSE)+main!$D$59,0)</f>
        <v>0</v>
      </c>
      <c r="D185">
        <f>IF((phi!D130),VLOOKUP(D$1,main!$A$3:$I$56,5,FALSE)-VLOOKUP($A185,main!$A$3:$I$56,6,FALSE)+main!$D$59,0)</f>
        <v>0</v>
      </c>
      <c r="E185">
        <f>IF((phi!E130),VLOOKUP(E$1,main!$A$3:$I$56,5,FALSE)-VLOOKUP($A185,main!$A$3:$I$56,6,FALSE)+main!$D$59,0)</f>
        <v>0</v>
      </c>
      <c r="F185">
        <f>IF((phi!F130),VLOOKUP(F$1,main!$A$3:$I$56,5,FALSE)-VLOOKUP($A185,main!$A$3:$I$56,6,FALSE)+main!$D$59,0)</f>
        <v>0</v>
      </c>
      <c r="G185">
        <f>IF((phi!G130),VLOOKUP(G$1,main!$A$3:$I$56,5,FALSE)-VLOOKUP($A185,main!$A$3:$I$56,6,FALSE)+main!$D$59,0)</f>
        <v>0</v>
      </c>
      <c r="H185">
        <f>IF((phi!H130),VLOOKUP(H$1,main!$A$3:$I$56,5,FALSE)-VLOOKUP($A185,main!$A$3:$I$56,6,FALSE)+main!$D$59,0)</f>
        <v>0</v>
      </c>
      <c r="I185">
        <f>IF((phi!I130),VLOOKUP(I$1,main!$A$3:$I$56,5,FALSE)-VLOOKUP($A185,main!$A$3:$I$56,6,FALSE)+main!$D$59,0)</f>
        <v>0</v>
      </c>
      <c r="J185">
        <f>IF((phi!J130),VLOOKUP(J$1,main!$A$3:$I$56,5,FALSE)-VLOOKUP($A185,main!$A$3:$I$56,6,FALSE)+main!$D$59,0)</f>
        <v>0</v>
      </c>
      <c r="K185">
        <f>IF((phi!K130),VLOOKUP(K$1,main!$A$3:$I$56,5,FALSE)-VLOOKUP($A185,main!$A$3:$I$56,6,FALSE)+main!$D$59,0)</f>
        <v>0</v>
      </c>
      <c r="L185">
        <f>IF((phi!L130),VLOOKUP(L$1,main!$A$3:$I$56,5,FALSE)-VLOOKUP($A185,main!$A$3:$I$56,6,FALSE)+main!$D$59,0)</f>
        <v>0</v>
      </c>
      <c r="M185">
        <f>IF((phi!M130),VLOOKUP(M$1,main!$A$3:$I$56,5,FALSE)-VLOOKUP($A185,main!$A$3:$I$56,6,FALSE)+main!$D$59,0)</f>
        <v>0</v>
      </c>
      <c r="N185">
        <f>IF((phi!N130),VLOOKUP(N$1,main!$A$3:$I$56,5,FALSE)-VLOOKUP($A185,main!$A$3:$I$56,6,FALSE)+main!$D$59,0)</f>
        <v>0</v>
      </c>
      <c r="O185">
        <f>IF((phi!O130),VLOOKUP(O$1,main!$A$3:$I$56,5,FALSE)-VLOOKUP($A185,main!$A$3:$I$56,6,FALSE)+main!$D$59,0)</f>
        <v>0</v>
      </c>
      <c r="P185">
        <f>IF((phi!P130),VLOOKUP(P$1,main!$A$3:$I$56,5,FALSE)-VLOOKUP($A185,main!$A$3:$I$56,6,FALSE)+main!$D$59,0)</f>
        <v>0</v>
      </c>
      <c r="Q185">
        <f>IF((phi!Q130),VLOOKUP(Q$1,main!$A$3:$I$56,5,FALSE)-VLOOKUP($A185,main!$A$3:$I$56,6,FALSE)+main!$D$59,0)</f>
        <v>0</v>
      </c>
      <c r="R185">
        <f>IF((phi!R130),VLOOKUP(R$1,main!$A$3:$I$56,5,FALSE)-VLOOKUP($A185,main!$A$3:$I$56,6,FALSE)+main!$D$59,0)</f>
        <v>0</v>
      </c>
      <c r="S185">
        <f>IF((phi!S130),VLOOKUP(S$1,main!$A$3:$I$56,5,FALSE)-VLOOKUP($A185,main!$A$3:$I$56,6,FALSE)+main!$D$59,0)</f>
        <v>0</v>
      </c>
      <c r="T185">
        <f>IF((phi!T130),VLOOKUP(T$1,main!$A$3:$I$56,5,FALSE)-VLOOKUP($A185,main!$A$3:$I$56,6,FALSE)+main!$D$59,0)</f>
        <v>0</v>
      </c>
      <c r="U185">
        <f>IF((phi!U130),VLOOKUP(U$1,main!$A$3:$I$56,5,FALSE)-VLOOKUP($A185,main!$A$3:$I$56,6,FALSE)+main!$D$59,0)</f>
        <v>0</v>
      </c>
      <c r="V185">
        <f>IF((phi!V130),VLOOKUP(V$1,main!$A$3:$I$56,5,FALSE)-VLOOKUP($A185,main!$A$3:$I$56,6,FALSE)+main!$D$59,0)</f>
        <v>0</v>
      </c>
      <c r="W185">
        <f>IF((phi!W130),VLOOKUP(W$1,main!$A$3:$I$56,5,FALSE)-VLOOKUP($A185,main!$A$3:$I$56,6,FALSE)+main!$D$59,0)</f>
        <v>0</v>
      </c>
      <c r="X185">
        <f>IF((phi!X130),VLOOKUP(X$1,main!$A$3:$I$56,5,FALSE)-VLOOKUP($A185,main!$A$3:$I$56,6,FALSE)+main!$D$59,0)</f>
        <v>0</v>
      </c>
      <c r="Y185">
        <f>IF((phi!Y130),VLOOKUP(Y$1,main!$A$3:$I$56,5,FALSE)-VLOOKUP($A185,main!$A$3:$I$56,6,FALSE)+main!$D$59,0)</f>
        <v>0</v>
      </c>
      <c r="Z185">
        <f>IF((phi!Z130),VLOOKUP(Z$1,main!$A$3:$I$56,5,FALSE)-VLOOKUP($A185,main!$A$3:$I$56,6,FALSE)+main!$D$59,0)</f>
        <v>0</v>
      </c>
      <c r="AA185">
        <f>IF((phi!AA130),VLOOKUP(AA$1,main!$A$3:$I$56,5,FALSE)-VLOOKUP($A185,main!$A$3:$I$56,6,FALSE)+main!$D$59,0)</f>
        <v>0</v>
      </c>
      <c r="AB185">
        <f>IF((phi!AB130),VLOOKUP(AB$1,main!$A$3:$I$56,5,FALSE)-VLOOKUP($A185,main!$A$3:$I$56,6,FALSE)+main!$D$59,0)</f>
        <v>0</v>
      </c>
      <c r="AC185">
        <f>IF((phi!AC130),VLOOKUP(AC$1,main!$A$3:$I$56,5,FALSE)-VLOOKUP($A185,main!$A$3:$I$56,6,FALSE)+main!$D$59,0)</f>
        <v>0</v>
      </c>
      <c r="AD185">
        <f>IF((phi!AD130),VLOOKUP(AD$1,main!$A$3:$I$56,5,FALSE)-VLOOKUP($A185,main!$A$3:$I$56,6,FALSE)+main!$D$59,0)</f>
        <v>0</v>
      </c>
      <c r="AE185">
        <f>IF((phi!AE130),VLOOKUP(AE$1,main!$A$3:$I$56,5,FALSE)-VLOOKUP($A185,main!$A$3:$I$56,6,FALSE)+main!$D$59,0)</f>
        <v>0</v>
      </c>
      <c r="AF185">
        <f>IF((phi!AF130),VLOOKUP(AF$1,main!$A$3:$I$56,5,FALSE)-VLOOKUP($A185,main!$A$3:$I$56,6,FALSE)+main!$D$59,0)</f>
        <v>0</v>
      </c>
      <c r="AG185">
        <f>IF((phi!AG130),VLOOKUP(AG$1,main!$A$3:$I$56,5,FALSE)-VLOOKUP($A185,main!$A$3:$I$56,6,FALSE)+main!$D$59,0)</f>
        <v>0</v>
      </c>
      <c r="AH185">
        <f>IF((phi!AH130),VLOOKUP(AH$1,main!$A$3:$I$56,5,FALSE)-VLOOKUP($A185,main!$A$3:$I$56,6,FALSE)+main!$D$59,0)</f>
        <v>0</v>
      </c>
      <c r="AI185">
        <f>IF((phi!AI130),VLOOKUP(AI$1,main!$A$3:$I$56,5,FALSE)-VLOOKUP($A185,main!$A$3:$I$56,6,FALSE)+main!$D$59,0)</f>
        <v>0</v>
      </c>
      <c r="AJ185">
        <f>IF((phi!AJ130),VLOOKUP(AJ$1,main!$A$3:$I$56,5,FALSE)-VLOOKUP($A185,main!$A$3:$I$56,6,FALSE)+main!$D$59,0)</f>
        <v>0</v>
      </c>
      <c r="AK185">
        <f>IF((phi!AK130),VLOOKUP(AK$1,main!$A$3:$I$56,5,FALSE)-VLOOKUP($A185,main!$A$3:$I$56,6,FALSE)+main!$D$59,0)</f>
        <v>0</v>
      </c>
      <c r="AL185">
        <f>IF((phi!AL130),VLOOKUP(AL$1,main!$A$3:$I$56,5,FALSE)-VLOOKUP($A185,main!$A$3:$I$56,6,FALSE)+main!$D$59,0)</f>
        <v>0</v>
      </c>
      <c r="AM185">
        <f>IF((phi!AM130),VLOOKUP(AM$1,main!$A$3:$I$56,5,FALSE)-VLOOKUP($A185,main!$A$3:$I$56,6,FALSE)+main!$D$59,0)</f>
        <v>0</v>
      </c>
      <c r="AN185">
        <f>IF((phi!AN130),VLOOKUP(AN$1,main!$A$3:$I$56,5,FALSE)-VLOOKUP($A185,main!$A$3:$I$56,6,FALSE)+main!$D$59,0)</f>
        <v>0</v>
      </c>
      <c r="AO185">
        <f>IF((phi!AO130),VLOOKUP(AO$1,main!$A$3:$I$56,5,FALSE)-VLOOKUP($A185,main!$A$3:$I$56,6,FALSE)+main!$D$59,0)</f>
        <v>0</v>
      </c>
      <c r="AP185">
        <f>IF((phi!AP130),VLOOKUP(AP$1,main!$A$3:$I$56,5,FALSE)-VLOOKUP($A185,main!$A$3:$I$56,6,FALSE)+main!$D$59,0)</f>
        <v>0</v>
      </c>
      <c r="AQ185">
        <f>IF((phi!AQ130),VLOOKUP(AQ$1,main!$A$3:$I$56,5,FALSE)-VLOOKUP($A185,main!$A$3:$I$56,6,FALSE)+main!$D$59,0)</f>
        <v>0</v>
      </c>
      <c r="AR185">
        <f>IF((phi!AR130),VLOOKUP(AR$1,main!$A$3:$I$56,5,FALSE)-VLOOKUP($A185,main!$A$3:$I$56,6,FALSE)+main!$D$59,0)</f>
        <v>0</v>
      </c>
      <c r="AS185">
        <f>IF((phi!AS130),VLOOKUP(AS$1,main!$A$3:$I$56,5,FALSE)-VLOOKUP($A185,main!$A$3:$I$56,6,FALSE)+main!$D$59,0)</f>
        <v>0</v>
      </c>
      <c r="AT185">
        <f>IF((phi!AT130),VLOOKUP(AT$1,main!$A$3:$I$56,5,FALSE)-VLOOKUP($A185,main!$A$3:$I$56,6,FALSE)+main!$D$59,0)</f>
        <v>0</v>
      </c>
      <c r="AU185">
        <f>IF((phi!AU130),VLOOKUP(AU$1,main!$A$3:$I$56,5,FALSE)-VLOOKUP($A185,main!$A$3:$I$56,6,FALSE)+main!$D$59,0)</f>
        <v>0</v>
      </c>
      <c r="AV185">
        <f>IF((phi!AV130),VLOOKUP(AV$1,main!$A$3:$I$56,5,FALSE)-VLOOKUP($A185,main!$A$3:$I$56,6,FALSE)+main!$D$59,0)</f>
        <v>0</v>
      </c>
      <c r="AW185">
        <f>IF((phi!AW130),VLOOKUP(AW$1,main!$A$3:$I$56,5,FALSE)-VLOOKUP($A185,main!$A$3:$I$56,6,FALSE)+main!$D$59,0)</f>
        <v>0</v>
      </c>
      <c r="AX185">
        <f>IF((phi!AX130),VLOOKUP(AX$1,main!$A$3:$I$56,5,FALSE)-VLOOKUP($A185,main!$A$3:$I$56,6,FALSE)+main!$D$59,0)</f>
        <v>0</v>
      </c>
      <c r="AY185">
        <f>IF((phi!AY130),VLOOKUP(AY$1,main!$A$3:$I$56,5,FALSE)-VLOOKUP($A185,main!$A$3:$I$56,6,FALSE)+main!$D$59,0)</f>
        <v>0</v>
      </c>
      <c r="AZ185">
        <f>IF((phi!AZ130),VLOOKUP(AZ$1,main!$A$3:$I$56,5,FALSE)-VLOOKUP($A185,main!$A$3:$I$56,6,FALSE)+main!$D$59,0)</f>
        <v>0</v>
      </c>
      <c r="BA185">
        <f>IF((phi!BA130),VLOOKUP(BA$1,main!$A$3:$I$56,5,FALSE)-VLOOKUP($A185,main!$A$3:$I$56,6,FALSE)+main!$D$59,0)</f>
        <v>0</v>
      </c>
      <c r="BB185">
        <f>IF((phi!BB130),VLOOKUP(BB$1,main!$A$3:$I$56,5,FALSE)-VLOOKUP($A185,main!$A$3:$I$56,6,FALSE)+main!$D$59,0)</f>
        <v>0</v>
      </c>
      <c r="BC185">
        <f>IF((phi!BC130),VLOOKUP(BC$1,main!$A$3:$I$56,5,FALSE)-VLOOKUP($A185,main!$A$3:$I$56,6,FALSE)+main!$D$59,0)</f>
        <v>0</v>
      </c>
      <c r="BD185">
        <f>IF((phi!BD130),VLOOKUP(BD$1,main!$A$3:$I$56,5,FALSE)-VLOOKUP($A185,main!$A$3:$I$56,6,FALSE)+main!$D$59,0)</f>
        <v>0</v>
      </c>
    </row>
    <row r="186" spans="1:56" x14ac:dyDescent="0.25">
      <c r="A186">
        <f t="shared" si="5"/>
        <v>19</v>
      </c>
      <c r="B186">
        <v>0</v>
      </c>
      <c r="C186">
        <f>IF((phi!C131),VLOOKUP(C$1,main!$A$3:$I$56,5,FALSE)-VLOOKUP($A186,main!$A$3:$I$56,6,FALSE)+main!$D$59,0)</f>
        <v>0</v>
      </c>
      <c r="D186">
        <f>IF((phi!D131),VLOOKUP(D$1,main!$A$3:$I$56,5,FALSE)-VLOOKUP($A186,main!$A$3:$I$56,6,FALSE)+main!$D$59,0)</f>
        <v>0</v>
      </c>
      <c r="E186">
        <f>IF((phi!E131),VLOOKUP(E$1,main!$A$3:$I$56,5,FALSE)-VLOOKUP($A186,main!$A$3:$I$56,6,FALSE)+main!$D$59,0)</f>
        <v>0</v>
      </c>
      <c r="F186">
        <f>IF((phi!F131),VLOOKUP(F$1,main!$A$3:$I$56,5,FALSE)-VLOOKUP($A186,main!$A$3:$I$56,6,FALSE)+main!$D$59,0)</f>
        <v>295</v>
      </c>
      <c r="G186">
        <f>IF((phi!G131),VLOOKUP(G$1,main!$A$3:$I$56,5,FALSE)-VLOOKUP($A186,main!$A$3:$I$56,6,FALSE)+main!$D$59,0)</f>
        <v>355</v>
      </c>
      <c r="H186">
        <f>IF((phi!H131),VLOOKUP(H$1,main!$A$3:$I$56,5,FALSE)-VLOOKUP($A186,main!$A$3:$I$56,6,FALSE)+main!$D$59,0)</f>
        <v>415</v>
      </c>
      <c r="I186">
        <f>IF((phi!I131),VLOOKUP(I$1,main!$A$3:$I$56,5,FALSE)-VLOOKUP($A186,main!$A$3:$I$56,6,FALSE)+main!$D$59,0)</f>
        <v>475</v>
      </c>
      <c r="J186">
        <f>IF((phi!J131),VLOOKUP(J$1,main!$A$3:$I$56,5,FALSE)-VLOOKUP($A186,main!$A$3:$I$56,6,FALSE)+main!$D$59,0)</f>
        <v>565</v>
      </c>
      <c r="K186">
        <f>IF((phi!K131),VLOOKUP(K$1,main!$A$3:$I$56,5,FALSE)-VLOOKUP($A186,main!$A$3:$I$56,6,FALSE)+main!$D$59,0)</f>
        <v>0</v>
      </c>
      <c r="L186">
        <f>IF((phi!L131),VLOOKUP(L$1,main!$A$3:$I$56,5,FALSE)-VLOOKUP($A186,main!$A$3:$I$56,6,FALSE)+main!$D$59,0)</f>
        <v>0</v>
      </c>
      <c r="M186">
        <f>IF((phi!M131),VLOOKUP(M$1,main!$A$3:$I$56,5,FALSE)-VLOOKUP($A186,main!$A$3:$I$56,6,FALSE)+main!$D$59,0)</f>
        <v>0</v>
      </c>
      <c r="N186">
        <f>IF((phi!N131),VLOOKUP(N$1,main!$A$3:$I$56,5,FALSE)-VLOOKUP($A186,main!$A$3:$I$56,6,FALSE)+main!$D$59,0)</f>
        <v>530</v>
      </c>
      <c r="O186">
        <f>IF((phi!O131),VLOOKUP(O$1,main!$A$3:$I$56,5,FALSE)-VLOOKUP($A186,main!$A$3:$I$56,6,FALSE)+main!$D$59,0)</f>
        <v>590</v>
      </c>
      <c r="P186">
        <f>IF((phi!P131),VLOOKUP(P$1,main!$A$3:$I$56,5,FALSE)-VLOOKUP($A186,main!$A$3:$I$56,6,FALSE)+main!$D$59,0)</f>
        <v>0</v>
      </c>
      <c r="Q186">
        <f>IF((phi!Q131),VLOOKUP(Q$1,main!$A$3:$I$56,5,FALSE)-VLOOKUP($A186,main!$A$3:$I$56,6,FALSE)+main!$D$59,0)</f>
        <v>0</v>
      </c>
      <c r="R186">
        <f>IF((phi!R131),VLOOKUP(R$1,main!$A$3:$I$56,5,FALSE)-VLOOKUP($A186,main!$A$3:$I$56,6,FALSE)+main!$D$59,0)</f>
        <v>0</v>
      </c>
      <c r="S186">
        <f>IF((phi!S131),VLOOKUP(S$1,main!$A$3:$I$56,5,FALSE)-VLOOKUP($A186,main!$A$3:$I$56,6,FALSE)+main!$D$59,0)</f>
        <v>345</v>
      </c>
      <c r="T186">
        <f>IF((phi!T131),VLOOKUP(T$1,main!$A$3:$I$56,5,FALSE)-VLOOKUP($A186,main!$A$3:$I$56,6,FALSE)+main!$D$59,0)</f>
        <v>495</v>
      </c>
      <c r="U186">
        <f>IF((phi!U131),VLOOKUP(U$1,main!$A$3:$I$56,5,FALSE)-VLOOKUP($A186,main!$A$3:$I$56,6,FALSE)+main!$D$59,0)</f>
        <v>0</v>
      </c>
      <c r="V186">
        <f>IF((phi!V131),VLOOKUP(V$1,main!$A$3:$I$56,5,FALSE)-VLOOKUP($A186,main!$A$3:$I$56,6,FALSE)+main!$D$59,0)</f>
        <v>0</v>
      </c>
      <c r="W186">
        <f>IF((phi!W131),VLOOKUP(W$1,main!$A$3:$I$56,5,FALSE)-VLOOKUP($A186,main!$A$3:$I$56,6,FALSE)+main!$D$59,0)</f>
        <v>0</v>
      </c>
      <c r="X186">
        <f>IF((phi!X131),VLOOKUP(X$1,main!$A$3:$I$56,5,FALSE)-VLOOKUP($A186,main!$A$3:$I$56,6,FALSE)+main!$D$59,0)</f>
        <v>185</v>
      </c>
      <c r="Y186">
        <f>IF((phi!Y131),VLOOKUP(Y$1,main!$A$3:$I$56,5,FALSE)-VLOOKUP($A186,main!$A$3:$I$56,6,FALSE)+main!$D$59,0)</f>
        <v>275</v>
      </c>
      <c r="Z186">
        <f>IF((phi!Z131),VLOOKUP(Z$1,main!$A$3:$I$56,5,FALSE)-VLOOKUP($A186,main!$A$3:$I$56,6,FALSE)+main!$D$59,0)</f>
        <v>365</v>
      </c>
      <c r="AA186">
        <f>IF((phi!AA131),VLOOKUP(AA$1,main!$A$3:$I$56,5,FALSE)-VLOOKUP($A186,main!$A$3:$I$56,6,FALSE)+main!$D$59,0)</f>
        <v>455</v>
      </c>
      <c r="AB186">
        <f>IF((phi!AB131),VLOOKUP(AB$1,main!$A$3:$I$56,5,FALSE)-VLOOKUP($A186,main!$A$3:$I$56,6,FALSE)+main!$D$59,0)</f>
        <v>515</v>
      </c>
      <c r="AC186">
        <f>IF((phi!AC131),VLOOKUP(AC$1,main!$A$3:$I$56,5,FALSE)-VLOOKUP($A186,main!$A$3:$I$56,6,FALSE)+main!$D$59,0)</f>
        <v>0</v>
      </c>
      <c r="AD186">
        <f>IF((phi!AD131),VLOOKUP(AD$1,main!$A$3:$I$56,5,FALSE)-VLOOKUP($A186,main!$A$3:$I$56,6,FALSE)+main!$D$59,0)</f>
        <v>0</v>
      </c>
      <c r="AE186">
        <f>IF((phi!AE131),VLOOKUP(AE$1,main!$A$3:$I$56,5,FALSE)-VLOOKUP($A186,main!$A$3:$I$56,6,FALSE)+main!$D$59,0)</f>
        <v>175</v>
      </c>
      <c r="AF186">
        <f>IF((phi!AF131),VLOOKUP(AF$1,main!$A$3:$I$56,5,FALSE)-VLOOKUP($A186,main!$A$3:$I$56,6,FALSE)+main!$D$59,0)</f>
        <v>325</v>
      </c>
      <c r="AG186">
        <f>IF((phi!AG131),VLOOKUP(AG$1,main!$A$3:$I$56,5,FALSE)-VLOOKUP($A186,main!$A$3:$I$56,6,FALSE)+main!$D$59,0)</f>
        <v>0</v>
      </c>
      <c r="AH186">
        <f>IF((phi!AH131),VLOOKUP(AH$1,main!$A$3:$I$56,5,FALSE)-VLOOKUP($A186,main!$A$3:$I$56,6,FALSE)+main!$D$59,0)</f>
        <v>0</v>
      </c>
      <c r="AI186">
        <f>IF((phi!AI131),VLOOKUP(AI$1,main!$A$3:$I$56,5,FALSE)-VLOOKUP($A186,main!$A$3:$I$56,6,FALSE)+main!$D$59,0)</f>
        <v>0</v>
      </c>
      <c r="AJ186">
        <f>IF((phi!AJ131),VLOOKUP(AJ$1,main!$A$3:$I$56,5,FALSE)-VLOOKUP($A186,main!$A$3:$I$56,6,FALSE)+main!$D$59,0)</f>
        <v>295</v>
      </c>
      <c r="AK186">
        <f>IF((phi!AK131),VLOOKUP(AK$1,main!$A$3:$I$56,5,FALSE)-VLOOKUP($A186,main!$A$3:$I$56,6,FALSE)+main!$D$59,0)</f>
        <v>415</v>
      </c>
      <c r="AL186">
        <f>IF((phi!AL131),VLOOKUP(AL$1,main!$A$3:$I$56,5,FALSE)-VLOOKUP($A186,main!$A$3:$I$56,6,FALSE)+main!$D$59,0)</f>
        <v>0</v>
      </c>
      <c r="AM186">
        <f>IF((phi!AM131),VLOOKUP(AM$1,main!$A$3:$I$56,5,FALSE)-VLOOKUP($A186,main!$A$3:$I$56,6,FALSE)+main!$D$59,0)</f>
        <v>0</v>
      </c>
      <c r="AN186">
        <f>IF((phi!AN131),VLOOKUP(AN$1,main!$A$3:$I$56,5,FALSE)-VLOOKUP($A186,main!$A$3:$I$56,6,FALSE)+main!$D$59,0)</f>
        <v>275</v>
      </c>
      <c r="AO186">
        <f>IF((phi!AO131),VLOOKUP(AO$1,main!$A$3:$I$56,5,FALSE)-VLOOKUP($A186,main!$A$3:$I$56,6,FALSE)+main!$D$59,0)</f>
        <v>325</v>
      </c>
      <c r="AP186">
        <f>IF((phi!AP131),VLOOKUP(AP$1,main!$A$3:$I$56,5,FALSE)-VLOOKUP($A186,main!$A$3:$I$56,6,FALSE)+main!$D$59,0)</f>
        <v>0</v>
      </c>
      <c r="AQ186">
        <f>IF((phi!AQ131),VLOOKUP(AQ$1,main!$A$3:$I$56,5,FALSE)-VLOOKUP($A186,main!$A$3:$I$56,6,FALSE)+main!$D$59,0)</f>
        <v>0</v>
      </c>
      <c r="AR186">
        <f>IF((phi!AR131),VLOOKUP(AR$1,main!$A$3:$I$56,5,FALSE)-VLOOKUP($A186,main!$A$3:$I$56,6,FALSE)+main!$D$59,0)</f>
        <v>0</v>
      </c>
      <c r="AS186">
        <f>IF((phi!AS131),VLOOKUP(AS$1,main!$A$3:$I$56,5,FALSE)-VLOOKUP($A186,main!$A$3:$I$56,6,FALSE)+main!$D$59,0)</f>
        <v>0</v>
      </c>
      <c r="AT186">
        <f>IF((phi!AT131),VLOOKUP(AT$1,main!$A$3:$I$56,5,FALSE)-VLOOKUP($A186,main!$A$3:$I$56,6,FALSE)+main!$D$59,0)</f>
        <v>0</v>
      </c>
      <c r="AU186">
        <f>IF((phi!AU131),VLOOKUP(AU$1,main!$A$3:$I$56,5,FALSE)-VLOOKUP($A186,main!$A$3:$I$56,6,FALSE)+main!$D$59,0)</f>
        <v>0</v>
      </c>
      <c r="AV186">
        <f>IF((phi!AV131),VLOOKUP(AV$1,main!$A$3:$I$56,5,FALSE)-VLOOKUP($A186,main!$A$3:$I$56,6,FALSE)+main!$D$59,0)</f>
        <v>0</v>
      </c>
      <c r="AW186">
        <f>IF((phi!AW131),VLOOKUP(AW$1,main!$A$3:$I$56,5,FALSE)-VLOOKUP($A186,main!$A$3:$I$56,6,FALSE)+main!$D$59,0)</f>
        <v>0</v>
      </c>
      <c r="AX186">
        <f>IF((phi!AX131),VLOOKUP(AX$1,main!$A$3:$I$56,5,FALSE)-VLOOKUP($A186,main!$A$3:$I$56,6,FALSE)+main!$D$59,0)</f>
        <v>375</v>
      </c>
      <c r="AY186">
        <f>IF((phi!AY131),VLOOKUP(AY$1,main!$A$3:$I$56,5,FALSE)-VLOOKUP($A186,main!$A$3:$I$56,6,FALSE)+main!$D$59,0)</f>
        <v>575</v>
      </c>
      <c r="AZ186">
        <f>IF((phi!AZ131),VLOOKUP(AZ$1,main!$A$3:$I$56,5,FALSE)-VLOOKUP($A186,main!$A$3:$I$56,6,FALSE)+main!$D$59,0)</f>
        <v>0</v>
      </c>
      <c r="BA186">
        <f>IF((phi!BA131),VLOOKUP(BA$1,main!$A$3:$I$56,5,FALSE)-VLOOKUP($A186,main!$A$3:$I$56,6,FALSE)+main!$D$59,0)</f>
        <v>0</v>
      </c>
      <c r="BB186">
        <f>IF((phi!BB131),VLOOKUP(BB$1,main!$A$3:$I$56,5,FALSE)-VLOOKUP($A186,main!$A$3:$I$56,6,FALSE)+main!$D$59,0)</f>
        <v>0</v>
      </c>
      <c r="BC186">
        <f>IF((phi!BC131),VLOOKUP(BC$1,main!$A$3:$I$56,5,FALSE)-VLOOKUP($A186,main!$A$3:$I$56,6,FALSE)+main!$D$59,0)</f>
        <v>340</v>
      </c>
      <c r="BD186">
        <f>IF((phi!BD131),VLOOKUP(BD$1,main!$A$3:$I$56,5,FALSE)-VLOOKUP($A186,main!$A$3:$I$56,6,FALSE)+main!$D$59,0)</f>
        <v>350</v>
      </c>
    </row>
    <row r="187" spans="1:56" x14ac:dyDescent="0.25">
      <c r="A187">
        <f t="shared" si="5"/>
        <v>20</v>
      </c>
      <c r="B187">
        <v>0</v>
      </c>
      <c r="C187">
        <f>IF((phi!C132),VLOOKUP(C$1,main!$A$3:$I$56,5,FALSE)-VLOOKUP($A187,main!$A$3:$I$56,6,FALSE)+main!$D$59,0)</f>
        <v>0</v>
      </c>
      <c r="D187">
        <f>IF((phi!D132),VLOOKUP(D$1,main!$A$3:$I$56,5,FALSE)-VLOOKUP($A187,main!$A$3:$I$56,6,FALSE)+main!$D$59,0)</f>
        <v>0</v>
      </c>
      <c r="E187">
        <f>IF((phi!E132),VLOOKUP(E$1,main!$A$3:$I$56,5,FALSE)-VLOOKUP($A187,main!$A$3:$I$56,6,FALSE)+main!$D$59,0)</f>
        <v>0</v>
      </c>
      <c r="F187">
        <f>IF((phi!F132),VLOOKUP(F$1,main!$A$3:$I$56,5,FALSE)-VLOOKUP($A187,main!$A$3:$I$56,6,FALSE)+main!$D$59,0)</f>
        <v>0</v>
      </c>
      <c r="G187">
        <f>IF((phi!G132),VLOOKUP(G$1,main!$A$3:$I$56,5,FALSE)-VLOOKUP($A187,main!$A$3:$I$56,6,FALSE)+main!$D$59,0)</f>
        <v>265</v>
      </c>
      <c r="H187">
        <f>IF((phi!H132),VLOOKUP(H$1,main!$A$3:$I$56,5,FALSE)-VLOOKUP($A187,main!$A$3:$I$56,6,FALSE)+main!$D$59,0)</f>
        <v>325</v>
      </c>
      <c r="I187">
        <f>IF((phi!I132),VLOOKUP(I$1,main!$A$3:$I$56,5,FALSE)-VLOOKUP($A187,main!$A$3:$I$56,6,FALSE)+main!$D$59,0)</f>
        <v>385</v>
      </c>
      <c r="J187">
        <f>IF((phi!J132),VLOOKUP(J$1,main!$A$3:$I$56,5,FALSE)-VLOOKUP($A187,main!$A$3:$I$56,6,FALSE)+main!$D$59,0)</f>
        <v>475</v>
      </c>
      <c r="K187">
        <f>IF((phi!K132),VLOOKUP(K$1,main!$A$3:$I$56,5,FALSE)-VLOOKUP($A187,main!$A$3:$I$56,6,FALSE)+main!$D$59,0)</f>
        <v>0</v>
      </c>
      <c r="L187">
        <f>IF((phi!L132),VLOOKUP(L$1,main!$A$3:$I$56,5,FALSE)-VLOOKUP($A187,main!$A$3:$I$56,6,FALSE)+main!$D$59,0)</f>
        <v>0</v>
      </c>
      <c r="M187">
        <f>IF((phi!M132),VLOOKUP(M$1,main!$A$3:$I$56,5,FALSE)-VLOOKUP($A187,main!$A$3:$I$56,6,FALSE)+main!$D$59,0)</f>
        <v>0</v>
      </c>
      <c r="N187">
        <f>IF((phi!N132),VLOOKUP(N$1,main!$A$3:$I$56,5,FALSE)-VLOOKUP($A187,main!$A$3:$I$56,6,FALSE)+main!$D$59,0)</f>
        <v>440</v>
      </c>
      <c r="O187">
        <f>IF((phi!O132),VLOOKUP(O$1,main!$A$3:$I$56,5,FALSE)-VLOOKUP($A187,main!$A$3:$I$56,6,FALSE)+main!$D$59,0)</f>
        <v>500</v>
      </c>
      <c r="P187">
        <f>IF((phi!P132),VLOOKUP(P$1,main!$A$3:$I$56,5,FALSE)-VLOOKUP($A187,main!$A$3:$I$56,6,FALSE)+main!$D$59,0)</f>
        <v>0</v>
      </c>
      <c r="Q187">
        <f>IF((phi!Q132),VLOOKUP(Q$1,main!$A$3:$I$56,5,FALSE)-VLOOKUP($A187,main!$A$3:$I$56,6,FALSE)+main!$D$59,0)</f>
        <v>0</v>
      </c>
      <c r="R187">
        <f>IF((phi!R132),VLOOKUP(R$1,main!$A$3:$I$56,5,FALSE)-VLOOKUP($A187,main!$A$3:$I$56,6,FALSE)+main!$D$59,0)</f>
        <v>0</v>
      </c>
      <c r="S187">
        <f>IF((phi!S132),VLOOKUP(S$1,main!$A$3:$I$56,5,FALSE)-VLOOKUP($A187,main!$A$3:$I$56,6,FALSE)+main!$D$59,0)</f>
        <v>255</v>
      </c>
      <c r="T187">
        <f>IF((phi!T132),VLOOKUP(T$1,main!$A$3:$I$56,5,FALSE)-VLOOKUP($A187,main!$A$3:$I$56,6,FALSE)+main!$D$59,0)</f>
        <v>405</v>
      </c>
      <c r="U187">
        <f>IF((phi!U132),VLOOKUP(U$1,main!$A$3:$I$56,5,FALSE)-VLOOKUP($A187,main!$A$3:$I$56,6,FALSE)+main!$D$59,0)</f>
        <v>0</v>
      </c>
      <c r="V187">
        <f>IF((phi!V132),VLOOKUP(V$1,main!$A$3:$I$56,5,FALSE)-VLOOKUP($A187,main!$A$3:$I$56,6,FALSE)+main!$D$59,0)</f>
        <v>0</v>
      </c>
      <c r="W187">
        <f>IF((phi!W132),VLOOKUP(W$1,main!$A$3:$I$56,5,FALSE)-VLOOKUP($A187,main!$A$3:$I$56,6,FALSE)+main!$D$59,0)</f>
        <v>0</v>
      </c>
      <c r="X187">
        <f>IF((phi!X132),VLOOKUP(X$1,main!$A$3:$I$56,5,FALSE)-VLOOKUP($A187,main!$A$3:$I$56,6,FALSE)+main!$D$59,0)</f>
        <v>0</v>
      </c>
      <c r="Y187">
        <f>IF((phi!Y132),VLOOKUP(Y$1,main!$A$3:$I$56,5,FALSE)-VLOOKUP($A187,main!$A$3:$I$56,6,FALSE)+main!$D$59,0)</f>
        <v>185</v>
      </c>
      <c r="Z187">
        <f>IF((phi!Z132),VLOOKUP(Z$1,main!$A$3:$I$56,5,FALSE)-VLOOKUP($A187,main!$A$3:$I$56,6,FALSE)+main!$D$59,0)</f>
        <v>275</v>
      </c>
      <c r="AA187">
        <f>IF((phi!AA132),VLOOKUP(AA$1,main!$A$3:$I$56,5,FALSE)-VLOOKUP($A187,main!$A$3:$I$56,6,FALSE)+main!$D$59,0)</f>
        <v>365</v>
      </c>
      <c r="AB187">
        <f>IF((phi!AB132),VLOOKUP(AB$1,main!$A$3:$I$56,5,FALSE)-VLOOKUP($A187,main!$A$3:$I$56,6,FALSE)+main!$D$59,0)</f>
        <v>425</v>
      </c>
      <c r="AC187">
        <f>IF((phi!AC132),VLOOKUP(AC$1,main!$A$3:$I$56,5,FALSE)-VLOOKUP($A187,main!$A$3:$I$56,6,FALSE)+main!$D$59,0)</f>
        <v>0</v>
      </c>
      <c r="AD187">
        <f>IF((phi!AD132),VLOOKUP(AD$1,main!$A$3:$I$56,5,FALSE)-VLOOKUP($A187,main!$A$3:$I$56,6,FALSE)+main!$D$59,0)</f>
        <v>0</v>
      </c>
      <c r="AE187">
        <f>IF((phi!AE132),VLOOKUP(AE$1,main!$A$3:$I$56,5,FALSE)-VLOOKUP($A187,main!$A$3:$I$56,6,FALSE)+main!$D$59,0)</f>
        <v>0</v>
      </c>
      <c r="AF187">
        <f>IF((phi!AF132),VLOOKUP(AF$1,main!$A$3:$I$56,5,FALSE)-VLOOKUP($A187,main!$A$3:$I$56,6,FALSE)+main!$D$59,0)</f>
        <v>235</v>
      </c>
      <c r="AG187">
        <f>IF((phi!AG132),VLOOKUP(AG$1,main!$A$3:$I$56,5,FALSE)-VLOOKUP($A187,main!$A$3:$I$56,6,FALSE)+main!$D$59,0)</f>
        <v>0</v>
      </c>
      <c r="AH187">
        <f>IF((phi!AH132),VLOOKUP(AH$1,main!$A$3:$I$56,5,FALSE)-VLOOKUP($A187,main!$A$3:$I$56,6,FALSE)+main!$D$59,0)</f>
        <v>0</v>
      </c>
      <c r="AI187">
        <f>IF((phi!AI132),VLOOKUP(AI$1,main!$A$3:$I$56,5,FALSE)-VLOOKUP($A187,main!$A$3:$I$56,6,FALSE)+main!$D$59,0)</f>
        <v>0</v>
      </c>
      <c r="AJ187">
        <f>IF((phi!AJ132),VLOOKUP(AJ$1,main!$A$3:$I$56,5,FALSE)-VLOOKUP($A187,main!$A$3:$I$56,6,FALSE)+main!$D$59,0)</f>
        <v>0</v>
      </c>
      <c r="AK187">
        <f>IF((phi!AK132),VLOOKUP(AK$1,main!$A$3:$I$56,5,FALSE)-VLOOKUP($A187,main!$A$3:$I$56,6,FALSE)+main!$D$59,0)</f>
        <v>325</v>
      </c>
      <c r="AL187">
        <f>IF((phi!AL132),VLOOKUP(AL$1,main!$A$3:$I$56,5,FALSE)-VLOOKUP($A187,main!$A$3:$I$56,6,FALSE)+main!$D$59,0)</f>
        <v>0</v>
      </c>
      <c r="AM187">
        <f>IF((phi!AM132),VLOOKUP(AM$1,main!$A$3:$I$56,5,FALSE)-VLOOKUP($A187,main!$A$3:$I$56,6,FALSE)+main!$D$59,0)</f>
        <v>0</v>
      </c>
      <c r="AN187">
        <f>IF((phi!AN132),VLOOKUP(AN$1,main!$A$3:$I$56,5,FALSE)-VLOOKUP($A187,main!$A$3:$I$56,6,FALSE)+main!$D$59,0)</f>
        <v>0</v>
      </c>
      <c r="AO187">
        <f>IF((phi!AO132),VLOOKUP(AO$1,main!$A$3:$I$56,5,FALSE)-VLOOKUP($A187,main!$A$3:$I$56,6,FALSE)+main!$D$59,0)</f>
        <v>0</v>
      </c>
      <c r="AP187">
        <f>IF((phi!AP132),VLOOKUP(AP$1,main!$A$3:$I$56,5,FALSE)-VLOOKUP($A187,main!$A$3:$I$56,6,FALSE)+main!$D$59,0)</f>
        <v>0</v>
      </c>
      <c r="AQ187">
        <f>IF((phi!AQ132),VLOOKUP(AQ$1,main!$A$3:$I$56,5,FALSE)-VLOOKUP($A187,main!$A$3:$I$56,6,FALSE)+main!$D$59,0)</f>
        <v>0</v>
      </c>
      <c r="AR187">
        <f>IF((phi!AR132),VLOOKUP(AR$1,main!$A$3:$I$56,5,FALSE)-VLOOKUP($A187,main!$A$3:$I$56,6,FALSE)+main!$D$59,0)</f>
        <v>0</v>
      </c>
      <c r="AS187">
        <f>IF((phi!AS132),VLOOKUP(AS$1,main!$A$3:$I$56,5,FALSE)-VLOOKUP($A187,main!$A$3:$I$56,6,FALSE)+main!$D$59,0)</f>
        <v>0</v>
      </c>
      <c r="AT187">
        <f>IF((phi!AT132),VLOOKUP(AT$1,main!$A$3:$I$56,5,FALSE)-VLOOKUP($A187,main!$A$3:$I$56,6,FALSE)+main!$D$59,0)</f>
        <v>0</v>
      </c>
      <c r="AU187">
        <f>IF((phi!AU132),VLOOKUP(AU$1,main!$A$3:$I$56,5,FALSE)-VLOOKUP($A187,main!$A$3:$I$56,6,FALSE)+main!$D$59,0)</f>
        <v>0</v>
      </c>
      <c r="AV187">
        <f>IF((phi!AV132),VLOOKUP(AV$1,main!$A$3:$I$56,5,FALSE)-VLOOKUP($A187,main!$A$3:$I$56,6,FALSE)+main!$D$59,0)</f>
        <v>0</v>
      </c>
      <c r="AW187">
        <f>IF((phi!AW132),VLOOKUP(AW$1,main!$A$3:$I$56,5,FALSE)-VLOOKUP($A187,main!$A$3:$I$56,6,FALSE)+main!$D$59,0)</f>
        <v>0</v>
      </c>
      <c r="AX187">
        <f>IF((phi!AX132),VLOOKUP(AX$1,main!$A$3:$I$56,5,FALSE)-VLOOKUP($A187,main!$A$3:$I$56,6,FALSE)+main!$D$59,0)</f>
        <v>285</v>
      </c>
      <c r="AY187">
        <f>IF((phi!AY132),VLOOKUP(AY$1,main!$A$3:$I$56,5,FALSE)-VLOOKUP($A187,main!$A$3:$I$56,6,FALSE)+main!$D$59,0)</f>
        <v>485</v>
      </c>
      <c r="AZ187">
        <f>IF((phi!AZ132),VLOOKUP(AZ$1,main!$A$3:$I$56,5,FALSE)-VLOOKUP($A187,main!$A$3:$I$56,6,FALSE)+main!$D$59,0)</f>
        <v>0</v>
      </c>
      <c r="BA187">
        <f>IF((phi!BA132),VLOOKUP(BA$1,main!$A$3:$I$56,5,FALSE)-VLOOKUP($A187,main!$A$3:$I$56,6,FALSE)+main!$D$59,0)</f>
        <v>0</v>
      </c>
      <c r="BB187">
        <f>IF((phi!BB132),VLOOKUP(BB$1,main!$A$3:$I$56,5,FALSE)-VLOOKUP($A187,main!$A$3:$I$56,6,FALSE)+main!$D$59,0)</f>
        <v>0</v>
      </c>
      <c r="BC187">
        <f>IF((phi!BC132),VLOOKUP(BC$1,main!$A$3:$I$56,5,FALSE)-VLOOKUP($A187,main!$A$3:$I$56,6,FALSE)+main!$D$59,0)</f>
        <v>0</v>
      </c>
      <c r="BD187">
        <f>IF((phi!BD132),VLOOKUP(BD$1,main!$A$3:$I$56,5,FALSE)-VLOOKUP($A187,main!$A$3:$I$56,6,FALSE)+main!$D$59,0)</f>
        <v>260</v>
      </c>
    </row>
    <row r="188" spans="1:56" x14ac:dyDescent="0.25">
      <c r="A188">
        <f t="shared" si="5"/>
        <v>21</v>
      </c>
      <c r="B188">
        <v>0</v>
      </c>
      <c r="C188">
        <f>IF((phi!C133),VLOOKUP(C$1,main!$A$3:$I$56,5,FALSE)-VLOOKUP($A188,main!$A$3:$I$56,6,FALSE)+main!$D$59,0)</f>
        <v>0</v>
      </c>
      <c r="D188">
        <f>IF((phi!D133),VLOOKUP(D$1,main!$A$3:$I$56,5,FALSE)-VLOOKUP($A188,main!$A$3:$I$56,6,FALSE)+main!$D$59,0)</f>
        <v>0</v>
      </c>
      <c r="E188">
        <f>IF((phi!E133),VLOOKUP(E$1,main!$A$3:$I$56,5,FALSE)-VLOOKUP($A188,main!$A$3:$I$56,6,FALSE)+main!$D$59,0)</f>
        <v>0</v>
      </c>
      <c r="F188">
        <f>IF((phi!F133),VLOOKUP(F$1,main!$A$3:$I$56,5,FALSE)-VLOOKUP($A188,main!$A$3:$I$56,6,FALSE)+main!$D$59,0)</f>
        <v>0</v>
      </c>
      <c r="G188">
        <f>IF((phi!G133),VLOOKUP(G$1,main!$A$3:$I$56,5,FALSE)-VLOOKUP($A188,main!$A$3:$I$56,6,FALSE)+main!$D$59,0)</f>
        <v>0</v>
      </c>
      <c r="H188">
        <f>IF((phi!H133),VLOOKUP(H$1,main!$A$3:$I$56,5,FALSE)-VLOOKUP($A188,main!$A$3:$I$56,6,FALSE)+main!$D$59,0)</f>
        <v>0</v>
      </c>
      <c r="I188">
        <f>IF((phi!I133),VLOOKUP(I$1,main!$A$3:$I$56,5,FALSE)-VLOOKUP($A188,main!$A$3:$I$56,6,FALSE)+main!$D$59,0)</f>
        <v>295</v>
      </c>
      <c r="J188">
        <f>IF((phi!J133),VLOOKUP(J$1,main!$A$3:$I$56,5,FALSE)-VLOOKUP($A188,main!$A$3:$I$56,6,FALSE)+main!$D$59,0)</f>
        <v>385</v>
      </c>
      <c r="K188">
        <f>IF((phi!K133),VLOOKUP(K$1,main!$A$3:$I$56,5,FALSE)-VLOOKUP($A188,main!$A$3:$I$56,6,FALSE)+main!$D$59,0)</f>
        <v>0</v>
      </c>
      <c r="L188">
        <f>IF((phi!L133),VLOOKUP(L$1,main!$A$3:$I$56,5,FALSE)-VLOOKUP($A188,main!$A$3:$I$56,6,FALSE)+main!$D$59,0)</f>
        <v>0</v>
      </c>
      <c r="M188">
        <f>IF((phi!M133),VLOOKUP(M$1,main!$A$3:$I$56,5,FALSE)-VLOOKUP($A188,main!$A$3:$I$56,6,FALSE)+main!$D$59,0)</f>
        <v>0</v>
      </c>
      <c r="N188">
        <f>IF((phi!N133),VLOOKUP(N$1,main!$A$3:$I$56,5,FALSE)-VLOOKUP($A188,main!$A$3:$I$56,6,FALSE)+main!$D$59,0)</f>
        <v>350</v>
      </c>
      <c r="O188">
        <f>IF((phi!O133),VLOOKUP(O$1,main!$A$3:$I$56,5,FALSE)-VLOOKUP($A188,main!$A$3:$I$56,6,FALSE)+main!$D$59,0)</f>
        <v>410</v>
      </c>
      <c r="P188">
        <f>IF((phi!P133),VLOOKUP(P$1,main!$A$3:$I$56,5,FALSE)-VLOOKUP($A188,main!$A$3:$I$56,6,FALSE)+main!$D$59,0)</f>
        <v>0</v>
      </c>
      <c r="Q188">
        <f>IF((phi!Q133),VLOOKUP(Q$1,main!$A$3:$I$56,5,FALSE)-VLOOKUP($A188,main!$A$3:$I$56,6,FALSE)+main!$D$59,0)</f>
        <v>0</v>
      </c>
      <c r="R188">
        <f>IF((phi!R133),VLOOKUP(R$1,main!$A$3:$I$56,5,FALSE)-VLOOKUP($A188,main!$A$3:$I$56,6,FALSE)+main!$D$59,0)</f>
        <v>0</v>
      </c>
      <c r="S188">
        <f>IF((phi!S133),VLOOKUP(S$1,main!$A$3:$I$56,5,FALSE)-VLOOKUP($A188,main!$A$3:$I$56,6,FALSE)+main!$D$59,0)</f>
        <v>0</v>
      </c>
      <c r="T188">
        <f>IF((phi!T133),VLOOKUP(T$1,main!$A$3:$I$56,5,FALSE)-VLOOKUP($A188,main!$A$3:$I$56,6,FALSE)+main!$D$59,0)</f>
        <v>315</v>
      </c>
      <c r="U188">
        <f>IF((phi!U133),VLOOKUP(U$1,main!$A$3:$I$56,5,FALSE)-VLOOKUP($A188,main!$A$3:$I$56,6,FALSE)+main!$D$59,0)</f>
        <v>0</v>
      </c>
      <c r="V188">
        <f>IF((phi!V133),VLOOKUP(V$1,main!$A$3:$I$56,5,FALSE)-VLOOKUP($A188,main!$A$3:$I$56,6,FALSE)+main!$D$59,0)</f>
        <v>0</v>
      </c>
      <c r="W188">
        <f>IF((phi!W133),VLOOKUP(W$1,main!$A$3:$I$56,5,FALSE)-VLOOKUP($A188,main!$A$3:$I$56,6,FALSE)+main!$D$59,0)</f>
        <v>0</v>
      </c>
      <c r="X188">
        <f>IF((phi!X133),VLOOKUP(X$1,main!$A$3:$I$56,5,FALSE)-VLOOKUP($A188,main!$A$3:$I$56,6,FALSE)+main!$D$59,0)</f>
        <v>0</v>
      </c>
      <c r="Y188">
        <f>IF((phi!Y133),VLOOKUP(Y$1,main!$A$3:$I$56,5,FALSE)-VLOOKUP($A188,main!$A$3:$I$56,6,FALSE)+main!$D$59,0)</f>
        <v>0</v>
      </c>
      <c r="Z188">
        <f>IF((phi!Z133),VLOOKUP(Z$1,main!$A$3:$I$56,5,FALSE)-VLOOKUP($A188,main!$A$3:$I$56,6,FALSE)+main!$D$59,0)</f>
        <v>185</v>
      </c>
      <c r="AA188">
        <f>IF((phi!AA133),VLOOKUP(AA$1,main!$A$3:$I$56,5,FALSE)-VLOOKUP($A188,main!$A$3:$I$56,6,FALSE)+main!$D$59,0)</f>
        <v>275</v>
      </c>
      <c r="AB188">
        <f>IF((phi!AB133),VLOOKUP(AB$1,main!$A$3:$I$56,5,FALSE)-VLOOKUP($A188,main!$A$3:$I$56,6,FALSE)+main!$D$59,0)</f>
        <v>335</v>
      </c>
      <c r="AC188">
        <f>IF((phi!AC133),VLOOKUP(AC$1,main!$A$3:$I$56,5,FALSE)-VLOOKUP($A188,main!$A$3:$I$56,6,FALSE)+main!$D$59,0)</f>
        <v>0</v>
      </c>
      <c r="AD188">
        <f>IF((phi!AD133),VLOOKUP(AD$1,main!$A$3:$I$56,5,FALSE)-VLOOKUP($A188,main!$A$3:$I$56,6,FALSE)+main!$D$59,0)</f>
        <v>0</v>
      </c>
      <c r="AE188">
        <f>IF((phi!AE133),VLOOKUP(AE$1,main!$A$3:$I$56,5,FALSE)-VLOOKUP($A188,main!$A$3:$I$56,6,FALSE)+main!$D$59,0)</f>
        <v>0</v>
      </c>
      <c r="AF188">
        <f>IF((phi!AF133),VLOOKUP(AF$1,main!$A$3:$I$56,5,FALSE)-VLOOKUP($A188,main!$A$3:$I$56,6,FALSE)+main!$D$59,0)</f>
        <v>145</v>
      </c>
      <c r="AG188">
        <f>IF((phi!AG133),VLOOKUP(AG$1,main!$A$3:$I$56,5,FALSE)-VLOOKUP($A188,main!$A$3:$I$56,6,FALSE)+main!$D$59,0)</f>
        <v>0</v>
      </c>
      <c r="AH188">
        <f>IF((phi!AH133),VLOOKUP(AH$1,main!$A$3:$I$56,5,FALSE)-VLOOKUP($A188,main!$A$3:$I$56,6,FALSE)+main!$D$59,0)</f>
        <v>0</v>
      </c>
      <c r="AI188">
        <f>IF((phi!AI133),VLOOKUP(AI$1,main!$A$3:$I$56,5,FALSE)-VLOOKUP($A188,main!$A$3:$I$56,6,FALSE)+main!$D$59,0)</f>
        <v>0</v>
      </c>
      <c r="AJ188">
        <f>IF((phi!AJ133),VLOOKUP(AJ$1,main!$A$3:$I$56,5,FALSE)-VLOOKUP($A188,main!$A$3:$I$56,6,FALSE)+main!$D$59,0)</f>
        <v>0</v>
      </c>
      <c r="AK188">
        <f>IF((phi!AK133),VLOOKUP(AK$1,main!$A$3:$I$56,5,FALSE)-VLOOKUP($A188,main!$A$3:$I$56,6,FALSE)+main!$D$59,0)</f>
        <v>0</v>
      </c>
      <c r="AL188">
        <f>IF((phi!AL133),VLOOKUP(AL$1,main!$A$3:$I$56,5,FALSE)-VLOOKUP($A188,main!$A$3:$I$56,6,FALSE)+main!$D$59,0)</f>
        <v>0</v>
      </c>
      <c r="AM188">
        <f>IF((phi!AM133),VLOOKUP(AM$1,main!$A$3:$I$56,5,FALSE)-VLOOKUP($A188,main!$A$3:$I$56,6,FALSE)+main!$D$59,0)</f>
        <v>0</v>
      </c>
      <c r="AN188">
        <f>IF((phi!AN133),VLOOKUP(AN$1,main!$A$3:$I$56,5,FALSE)-VLOOKUP($A188,main!$A$3:$I$56,6,FALSE)+main!$D$59,0)</f>
        <v>0</v>
      </c>
      <c r="AO188">
        <f>IF((phi!AO133),VLOOKUP(AO$1,main!$A$3:$I$56,5,FALSE)-VLOOKUP($A188,main!$A$3:$I$56,6,FALSE)+main!$D$59,0)</f>
        <v>0</v>
      </c>
      <c r="AP188">
        <f>IF((phi!AP133),VLOOKUP(AP$1,main!$A$3:$I$56,5,FALSE)-VLOOKUP($A188,main!$A$3:$I$56,6,FALSE)+main!$D$59,0)</f>
        <v>0</v>
      </c>
      <c r="AQ188">
        <f>IF((phi!AQ133),VLOOKUP(AQ$1,main!$A$3:$I$56,5,FALSE)-VLOOKUP($A188,main!$A$3:$I$56,6,FALSE)+main!$D$59,0)</f>
        <v>0</v>
      </c>
      <c r="AR188">
        <f>IF((phi!AR133),VLOOKUP(AR$1,main!$A$3:$I$56,5,FALSE)-VLOOKUP($A188,main!$A$3:$I$56,6,FALSE)+main!$D$59,0)</f>
        <v>0</v>
      </c>
      <c r="AS188">
        <f>IF((phi!AS133),VLOOKUP(AS$1,main!$A$3:$I$56,5,FALSE)-VLOOKUP($A188,main!$A$3:$I$56,6,FALSE)+main!$D$59,0)</f>
        <v>0</v>
      </c>
      <c r="AT188">
        <f>IF((phi!AT133),VLOOKUP(AT$1,main!$A$3:$I$56,5,FALSE)-VLOOKUP($A188,main!$A$3:$I$56,6,FALSE)+main!$D$59,0)</f>
        <v>0</v>
      </c>
      <c r="AU188">
        <f>IF((phi!AU133),VLOOKUP(AU$1,main!$A$3:$I$56,5,FALSE)-VLOOKUP($A188,main!$A$3:$I$56,6,FALSE)+main!$D$59,0)</f>
        <v>0</v>
      </c>
      <c r="AV188">
        <f>IF((phi!AV133),VLOOKUP(AV$1,main!$A$3:$I$56,5,FALSE)-VLOOKUP($A188,main!$A$3:$I$56,6,FALSE)+main!$D$59,0)</f>
        <v>0</v>
      </c>
      <c r="AW188">
        <f>IF((phi!AW133),VLOOKUP(AW$1,main!$A$3:$I$56,5,FALSE)-VLOOKUP($A188,main!$A$3:$I$56,6,FALSE)+main!$D$59,0)</f>
        <v>0</v>
      </c>
      <c r="AX188">
        <f>IF((phi!AX133),VLOOKUP(AX$1,main!$A$3:$I$56,5,FALSE)-VLOOKUP($A188,main!$A$3:$I$56,6,FALSE)+main!$D$59,0)</f>
        <v>0</v>
      </c>
      <c r="AY188">
        <f>IF((phi!AY133),VLOOKUP(AY$1,main!$A$3:$I$56,5,FALSE)-VLOOKUP($A188,main!$A$3:$I$56,6,FALSE)+main!$D$59,0)</f>
        <v>395</v>
      </c>
      <c r="AZ188">
        <f>IF((phi!AZ133),VLOOKUP(AZ$1,main!$A$3:$I$56,5,FALSE)-VLOOKUP($A188,main!$A$3:$I$56,6,FALSE)+main!$D$59,0)</f>
        <v>0</v>
      </c>
      <c r="BA188">
        <f>IF((phi!BA133),VLOOKUP(BA$1,main!$A$3:$I$56,5,FALSE)-VLOOKUP($A188,main!$A$3:$I$56,6,FALSE)+main!$D$59,0)</f>
        <v>0</v>
      </c>
      <c r="BB188">
        <f>IF((phi!BB133),VLOOKUP(BB$1,main!$A$3:$I$56,5,FALSE)-VLOOKUP($A188,main!$A$3:$I$56,6,FALSE)+main!$D$59,0)</f>
        <v>0</v>
      </c>
      <c r="BC188">
        <f>IF((phi!BC133),VLOOKUP(BC$1,main!$A$3:$I$56,5,FALSE)-VLOOKUP($A188,main!$A$3:$I$56,6,FALSE)+main!$D$59,0)</f>
        <v>0</v>
      </c>
      <c r="BD188">
        <f>IF((phi!BD133),VLOOKUP(BD$1,main!$A$3:$I$56,5,FALSE)-VLOOKUP($A188,main!$A$3:$I$56,6,FALSE)+main!$D$59,0)</f>
        <v>0</v>
      </c>
    </row>
    <row r="189" spans="1:56" x14ac:dyDescent="0.25">
      <c r="A189">
        <f t="shared" si="5"/>
        <v>22</v>
      </c>
      <c r="B189">
        <v>0</v>
      </c>
      <c r="C189">
        <f>IF((phi!C134),VLOOKUP(C$1,main!$A$3:$I$56,5,FALSE)-VLOOKUP($A189,main!$A$3:$I$56,6,FALSE)+main!$D$59,0)</f>
        <v>0</v>
      </c>
      <c r="D189">
        <f>IF((phi!D134),VLOOKUP(D$1,main!$A$3:$I$56,5,FALSE)-VLOOKUP($A189,main!$A$3:$I$56,6,FALSE)+main!$D$59,0)</f>
        <v>0</v>
      </c>
      <c r="E189">
        <f>IF((phi!E134),VLOOKUP(E$1,main!$A$3:$I$56,5,FALSE)-VLOOKUP($A189,main!$A$3:$I$56,6,FALSE)+main!$D$59,0)</f>
        <v>0</v>
      </c>
      <c r="F189">
        <f>IF((phi!F134),VLOOKUP(F$1,main!$A$3:$I$56,5,FALSE)-VLOOKUP($A189,main!$A$3:$I$56,6,FALSE)+main!$D$59,0)</f>
        <v>0</v>
      </c>
      <c r="G189">
        <f>IF((phi!G134),VLOOKUP(G$1,main!$A$3:$I$56,5,FALSE)-VLOOKUP($A189,main!$A$3:$I$56,6,FALSE)+main!$D$59,0)</f>
        <v>0</v>
      </c>
      <c r="H189">
        <f>IF((phi!H134),VLOOKUP(H$1,main!$A$3:$I$56,5,FALSE)-VLOOKUP($A189,main!$A$3:$I$56,6,FALSE)+main!$D$59,0)</f>
        <v>0</v>
      </c>
      <c r="I189">
        <f>IF((phi!I134),VLOOKUP(I$1,main!$A$3:$I$56,5,FALSE)-VLOOKUP($A189,main!$A$3:$I$56,6,FALSE)+main!$D$59,0)</f>
        <v>0</v>
      </c>
      <c r="J189">
        <f>IF((phi!J134),VLOOKUP(J$1,main!$A$3:$I$56,5,FALSE)-VLOOKUP($A189,main!$A$3:$I$56,6,FALSE)+main!$D$59,0)</f>
        <v>295</v>
      </c>
      <c r="K189">
        <f>IF((phi!K134),VLOOKUP(K$1,main!$A$3:$I$56,5,FALSE)-VLOOKUP($A189,main!$A$3:$I$56,6,FALSE)+main!$D$59,0)</f>
        <v>0</v>
      </c>
      <c r="L189">
        <f>IF((phi!L134),VLOOKUP(L$1,main!$A$3:$I$56,5,FALSE)-VLOOKUP($A189,main!$A$3:$I$56,6,FALSE)+main!$D$59,0)</f>
        <v>0</v>
      </c>
      <c r="M189">
        <f>IF((phi!M134),VLOOKUP(M$1,main!$A$3:$I$56,5,FALSE)-VLOOKUP($A189,main!$A$3:$I$56,6,FALSE)+main!$D$59,0)</f>
        <v>0</v>
      </c>
      <c r="N189">
        <f>IF((phi!N134),VLOOKUP(N$1,main!$A$3:$I$56,5,FALSE)-VLOOKUP($A189,main!$A$3:$I$56,6,FALSE)+main!$D$59,0)</f>
        <v>260</v>
      </c>
      <c r="O189">
        <f>IF((phi!O134),VLOOKUP(O$1,main!$A$3:$I$56,5,FALSE)-VLOOKUP($A189,main!$A$3:$I$56,6,FALSE)+main!$D$59,0)</f>
        <v>320</v>
      </c>
      <c r="P189">
        <f>IF((phi!P134),VLOOKUP(P$1,main!$A$3:$I$56,5,FALSE)-VLOOKUP($A189,main!$A$3:$I$56,6,FALSE)+main!$D$59,0)</f>
        <v>0</v>
      </c>
      <c r="Q189">
        <f>IF((phi!Q134),VLOOKUP(Q$1,main!$A$3:$I$56,5,FALSE)-VLOOKUP($A189,main!$A$3:$I$56,6,FALSE)+main!$D$59,0)</f>
        <v>0</v>
      </c>
      <c r="R189">
        <f>IF((phi!R134),VLOOKUP(R$1,main!$A$3:$I$56,5,FALSE)-VLOOKUP($A189,main!$A$3:$I$56,6,FALSE)+main!$D$59,0)</f>
        <v>0</v>
      </c>
      <c r="S189">
        <f>IF((phi!S134),VLOOKUP(S$1,main!$A$3:$I$56,5,FALSE)-VLOOKUP($A189,main!$A$3:$I$56,6,FALSE)+main!$D$59,0)</f>
        <v>0</v>
      </c>
      <c r="T189">
        <f>IF((phi!T134),VLOOKUP(T$1,main!$A$3:$I$56,5,FALSE)-VLOOKUP($A189,main!$A$3:$I$56,6,FALSE)+main!$D$59,0)</f>
        <v>0</v>
      </c>
      <c r="U189">
        <f>IF((phi!U134),VLOOKUP(U$1,main!$A$3:$I$56,5,FALSE)-VLOOKUP($A189,main!$A$3:$I$56,6,FALSE)+main!$D$59,0)</f>
        <v>0</v>
      </c>
      <c r="V189">
        <f>IF((phi!V134),VLOOKUP(V$1,main!$A$3:$I$56,5,FALSE)-VLOOKUP($A189,main!$A$3:$I$56,6,FALSE)+main!$D$59,0)</f>
        <v>0</v>
      </c>
      <c r="W189">
        <f>IF((phi!W134),VLOOKUP(W$1,main!$A$3:$I$56,5,FALSE)-VLOOKUP($A189,main!$A$3:$I$56,6,FALSE)+main!$D$59,0)</f>
        <v>0</v>
      </c>
      <c r="X189">
        <f>IF((phi!X134),VLOOKUP(X$1,main!$A$3:$I$56,5,FALSE)-VLOOKUP($A189,main!$A$3:$I$56,6,FALSE)+main!$D$59,0)</f>
        <v>0</v>
      </c>
      <c r="Y189">
        <f>IF((phi!Y134),VLOOKUP(Y$1,main!$A$3:$I$56,5,FALSE)-VLOOKUP($A189,main!$A$3:$I$56,6,FALSE)+main!$D$59,0)</f>
        <v>0</v>
      </c>
      <c r="Z189">
        <f>IF((phi!Z134),VLOOKUP(Z$1,main!$A$3:$I$56,5,FALSE)-VLOOKUP($A189,main!$A$3:$I$56,6,FALSE)+main!$D$59,0)</f>
        <v>0</v>
      </c>
      <c r="AA189">
        <f>IF((phi!AA134),VLOOKUP(AA$1,main!$A$3:$I$56,5,FALSE)-VLOOKUP($A189,main!$A$3:$I$56,6,FALSE)+main!$D$59,0)</f>
        <v>185</v>
      </c>
      <c r="AB189">
        <f>IF((phi!AB134),VLOOKUP(AB$1,main!$A$3:$I$56,5,FALSE)-VLOOKUP($A189,main!$A$3:$I$56,6,FALSE)+main!$D$59,0)</f>
        <v>245</v>
      </c>
      <c r="AC189">
        <f>IF((phi!AC134),VLOOKUP(AC$1,main!$A$3:$I$56,5,FALSE)-VLOOKUP($A189,main!$A$3:$I$56,6,FALSE)+main!$D$59,0)</f>
        <v>0</v>
      </c>
      <c r="AD189">
        <f>IF((phi!AD134),VLOOKUP(AD$1,main!$A$3:$I$56,5,FALSE)-VLOOKUP($A189,main!$A$3:$I$56,6,FALSE)+main!$D$59,0)</f>
        <v>0</v>
      </c>
      <c r="AE189">
        <f>IF((phi!AE134),VLOOKUP(AE$1,main!$A$3:$I$56,5,FALSE)-VLOOKUP($A189,main!$A$3:$I$56,6,FALSE)+main!$D$59,0)</f>
        <v>0</v>
      </c>
      <c r="AF189">
        <f>IF((phi!AF134),VLOOKUP(AF$1,main!$A$3:$I$56,5,FALSE)-VLOOKUP($A189,main!$A$3:$I$56,6,FALSE)+main!$D$59,0)</f>
        <v>0</v>
      </c>
      <c r="AG189">
        <f>IF((phi!AG134),VLOOKUP(AG$1,main!$A$3:$I$56,5,FALSE)-VLOOKUP($A189,main!$A$3:$I$56,6,FALSE)+main!$D$59,0)</f>
        <v>0</v>
      </c>
      <c r="AH189">
        <f>IF((phi!AH134),VLOOKUP(AH$1,main!$A$3:$I$56,5,FALSE)-VLOOKUP($A189,main!$A$3:$I$56,6,FALSE)+main!$D$59,0)</f>
        <v>0</v>
      </c>
      <c r="AI189">
        <f>IF((phi!AI134),VLOOKUP(AI$1,main!$A$3:$I$56,5,FALSE)-VLOOKUP($A189,main!$A$3:$I$56,6,FALSE)+main!$D$59,0)</f>
        <v>0</v>
      </c>
      <c r="AJ189">
        <f>IF((phi!AJ134),VLOOKUP(AJ$1,main!$A$3:$I$56,5,FALSE)-VLOOKUP($A189,main!$A$3:$I$56,6,FALSE)+main!$D$59,0)</f>
        <v>0</v>
      </c>
      <c r="AK189">
        <f>IF((phi!AK134),VLOOKUP(AK$1,main!$A$3:$I$56,5,FALSE)-VLOOKUP($A189,main!$A$3:$I$56,6,FALSE)+main!$D$59,0)</f>
        <v>0</v>
      </c>
      <c r="AL189">
        <f>IF((phi!AL134),VLOOKUP(AL$1,main!$A$3:$I$56,5,FALSE)-VLOOKUP($A189,main!$A$3:$I$56,6,FALSE)+main!$D$59,0)</f>
        <v>0</v>
      </c>
      <c r="AM189">
        <f>IF((phi!AM134),VLOOKUP(AM$1,main!$A$3:$I$56,5,FALSE)-VLOOKUP($A189,main!$A$3:$I$56,6,FALSE)+main!$D$59,0)</f>
        <v>0</v>
      </c>
      <c r="AN189">
        <f>IF((phi!AN134),VLOOKUP(AN$1,main!$A$3:$I$56,5,FALSE)-VLOOKUP($A189,main!$A$3:$I$56,6,FALSE)+main!$D$59,0)</f>
        <v>0</v>
      </c>
      <c r="AO189">
        <f>IF((phi!AO134),VLOOKUP(AO$1,main!$A$3:$I$56,5,FALSE)-VLOOKUP($A189,main!$A$3:$I$56,6,FALSE)+main!$D$59,0)</f>
        <v>0</v>
      </c>
      <c r="AP189">
        <f>IF((phi!AP134),VLOOKUP(AP$1,main!$A$3:$I$56,5,FALSE)-VLOOKUP($A189,main!$A$3:$I$56,6,FALSE)+main!$D$59,0)</f>
        <v>0</v>
      </c>
      <c r="AQ189">
        <f>IF((phi!AQ134),VLOOKUP(AQ$1,main!$A$3:$I$56,5,FALSE)-VLOOKUP($A189,main!$A$3:$I$56,6,FALSE)+main!$D$59,0)</f>
        <v>0</v>
      </c>
      <c r="AR189">
        <f>IF((phi!AR134),VLOOKUP(AR$1,main!$A$3:$I$56,5,FALSE)-VLOOKUP($A189,main!$A$3:$I$56,6,FALSE)+main!$D$59,0)</f>
        <v>0</v>
      </c>
      <c r="AS189">
        <f>IF((phi!AS134),VLOOKUP(AS$1,main!$A$3:$I$56,5,FALSE)-VLOOKUP($A189,main!$A$3:$I$56,6,FALSE)+main!$D$59,0)</f>
        <v>0</v>
      </c>
      <c r="AT189">
        <f>IF((phi!AT134),VLOOKUP(AT$1,main!$A$3:$I$56,5,FALSE)-VLOOKUP($A189,main!$A$3:$I$56,6,FALSE)+main!$D$59,0)</f>
        <v>0</v>
      </c>
      <c r="AU189">
        <f>IF((phi!AU134),VLOOKUP(AU$1,main!$A$3:$I$56,5,FALSE)-VLOOKUP($A189,main!$A$3:$I$56,6,FALSE)+main!$D$59,0)</f>
        <v>0</v>
      </c>
      <c r="AV189">
        <f>IF((phi!AV134),VLOOKUP(AV$1,main!$A$3:$I$56,5,FALSE)-VLOOKUP($A189,main!$A$3:$I$56,6,FALSE)+main!$D$59,0)</f>
        <v>0</v>
      </c>
      <c r="AW189">
        <f>IF((phi!AW134),VLOOKUP(AW$1,main!$A$3:$I$56,5,FALSE)-VLOOKUP($A189,main!$A$3:$I$56,6,FALSE)+main!$D$59,0)</f>
        <v>0</v>
      </c>
      <c r="AX189">
        <f>IF((phi!AX134),VLOOKUP(AX$1,main!$A$3:$I$56,5,FALSE)-VLOOKUP($A189,main!$A$3:$I$56,6,FALSE)+main!$D$59,0)</f>
        <v>0</v>
      </c>
      <c r="AY189">
        <f>IF((phi!AY134),VLOOKUP(AY$1,main!$A$3:$I$56,5,FALSE)-VLOOKUP($A189,main!$A$3:$I$56,6,FALSE)+main!$D$59,0)</f>
        <v>305</v>
      </c>
      <c r="AZ189">
        <f>IF((phi!AZ134),VLOOKUP(AZ$1,main!$A$3:$I$56,5,FALSE)-VLOOKUP($A189,main!$A$3:$I$56,6,FALSE)+main!$D$59,0)</f>
        <v>0</v>
      </c>
      <c r="BA189">
        <f>IF((phi!BA134),VLOOKUP(BA$1,main!$A$3:$I$56,5,FALSE)-VLOOKUP($A189,main!$A$3:$I$56,6,FALSE)+main!$D$59,0)</f>
        <v>0</v>
      </c>
      <c r="BB189">
        <f>IF((phi!BB134),VLOOKUP(BB$1,main!$A$3:$I$56,5,FALSE)-VLOOKUP($A189,main!$A$3:$I$56,6,FALSE)+main!$D$59,0)</f>
        <v>0</v>
      </c>
      <c r="BC189">
        <f>IF((phi!BC134),VLOOKUP(BC$1,main!$A$3:$I$56,5,FALSE)-VLOOKUP($A189,main!$A$3:$I$56,6,FALSE)+main!$D$59,0)</f>
        <v>0</v>
      </c>
      <c r="BD189">
        <f>IF((phi!BD134),VLOOKUP(BD$1,main!$A$3:$I$56,5,FALSE)-VLOOKUP($A189,main!$A$3:$I$56,6,FALSE)+main!$D$59,0)</f>
        <v>0</v>
      </c>
    </row>
    <row r="190" spans="1:56" x14ac:dyDescent="0.25">
      <c r="A190">
        <f t="shared" si="5"/>
        <v>23</v>
      </c>
      <c r="B190">
        <v>0</v>
      </c>
      <c r="C190">
        <f>IF((phi!C135),VLOOKUP(C$1,main!$A$3:$I$56,5,FALSE)-VLOOKUP($A190,main!$A$3:$I$56,6,FALSE)+main!$D$59,0)</f>
        <v>0</v>
      </c>
      <c r="D190">
        <f>IF((phi!D135),VLOOKUP(D$1,main!$A$3:$I$56,5,FALSE)-VLOOKUP($A190,main!$A$3:$I$56,6,FALSE)+main!$D$59,0)</f>
        <v>0</v>
      </c>
      <c r="E190">
        <f>IF((phi!E135),VLOOKUP(E$1,main!$A$3:$I$56,5,FALSE)-VLOOKUP($A190,main!$A$3:$I$56,6,FALSE)+main!$D$59,0)</f>
        <v>0</v>
      </c>
      <c r="F190">
        <f>IF((phi!F135),VLOOKUP(F$1,main!$A$3:$I$56,5,FALSE)-VLOOKUP($A190,main!$A$3:$I$56,6,FALSE)+main!$D$59,0)</f>
        <v>0</v>
      </c>
      <c r="G190">
        <f>IF((phi!G135),VLOOKUP(G$1,main!$A$3:$I$56,5,FALSE)-VLOOKUP($A190,main!$A$3:$I$56,6,FALSE)+main!$D$59,0)</f>
        <v>0</v>
      </c>
      <c r="H190">
        <f>IF((phi!H135),VLOOKUP(H$1,main!$A$3:$I$56,5,FALSE)-VLOOKUP($A190,main!$A$3:$I$56,6,FALSE)+main!$D$59,0)</f>
        <v>0</v>
      </c>
      <c r="I190">
        <f>IF((phi!I135),VLOOKUP(I$1,main!$A$3:$I$56,5,FALSE)-VLOOKUP($A190,main!$A$3:$I$56,6,FALSE)+main!$D$59,0)</f>
        <v>0</v>
      </c>
      <c r="J190">
        <f>IF((phi!J135),VLOOKUP(J$1,main!$A$3:$I$56,5,FALSE)-VLOOKUP($A190,main!$A$3:$I$56,6,FALSE)+main!$D$59,0)</f>
        <v>0</v>
      </c>
      <c r="K190">
        <f>IF((phi!K135),VLOOKUP(K$1,main!$A$3:$I$56,5,FALSE)-VLOOKUP($A190,main!$A$3:$I$56,6,FALSE)+main!$D$59,0)</f>
        <v>0</v>
      </c>
      <c r="L190">
        <f>IF((phi!L135),VLOOKUP(L$1,main!$A$3:$I$56,5,FALSE)-VLOOKUP($A190,main!$A$3:$I$56,6,FALSE)+main!$D$59,0)</f>
        <v>0</v>
      </c>
      <c r="M190">
        <f>IF((phi!M135),VLOOKUP(M$1,main!$A$3:$I$56,5,FALSE)-VLOOKUP($A190,main!$A$3:$I$56,6,FALSE)+main!$D$59,0)</f>
        <v>0</v>
      </c>
      <c r="N190">
        <f>IF((phi!N135),VLOOKUP(N$1,main!$A$3:$I$56,5,FALSE)-VLOOKUP($A190,main!$A$3:$I$56,6,FALSE)+main!$D$59,0)</f>
        <v>0</v>
      </c>
      <c r="O190">
        <f>IF((phi!O135),VLOOKUP(O$1,main!$A$3:$I$56,5,FALSE)-VLOOKUP($A190,main!$A$3:$I$56,6,FALSE)+main!$D$59,0)</f>
        <v>0</v>
      </c>
      <c r="P190">
        <f>IF((phi!P135),VLOOKUP(P$1,main!$A$3:$I$56,5,FALSE)-VLOOKUP($A190,main!$A$3:$I$56,6,FALSE)+main!$D$59,0)</f>
        <v>0</v>
      </c>
      <c r="Q190">
        <f>IF((phi!Q135),VLOOKUP(Q$1,main!$A$3:$I$56,5,FALSE)-VLOOKUP($A190,main!$A$3:$I$56,6,FALSE)+main!$D$59,0)</f>
        <v>0</v>
      </c>
      <c r="R190">
        <f>IF((phi!R135),VLOOKUP(R$1,main!$A$3:$I$56,5,FALSE)-VLOOKUP($A190,main!$A$3:$I$56,6,FALSE)+main!$D$59,0)</f>
        <v>0</v>
      </c>
      <c r="S190">
        <f>IF((phi!S135),VLOOKUP(S$1,main!$A$3:$I$56,5,FALSE)-VLOOKUP($A190,main!$A$3:$I$56,6,FALSE)+main!$D$59,0)</f>
        <v>0</v>
      </c>
      <c r="T190">
        <f>IF((phi!T135),VLOOKUP(T$1,main!$A$3:$I$56,5,FALSE)-VLOOKUP($A190,main!$A$3:$I$56,6,FALSE)+main!$D$59,0)</f>
        <v>0</v>
      </c>
      <c r="U190">
        <f>IF((phi!U135),VLOOKUP(U$1,main!$A$3:$I$56,5,FALSE)-VLOOKUP($A190,main!$A$3:$I$56,6,FALSE)+main!$D$59,0)</f>
        <v>0</v>
      </c>
      <c r="V190">
        <f>IF((phi!V135),VLOOKUP(V$1,main!$A$3:$I$56,5,FALSE)-VLOOKUP($A190,main!$A$3:$I$56,6,FALSE)+main!$D$59,0)</f>
        <v>0</v>
      </c>
      <c r="W190">
        <f>IF((phi!W135),VLOOKUP(W$1,main!$A$3:$I$56,5,FALSE)-VLOOKUP($A190,main!$A$3:$I$56,6,FALSE)+main!$D$59,0)</f>
        <v>0</v>
      </c>
      <c r="X190">
        <f>IF((phi!X135),VLOOKUP(X$1,main!$A$3:$I$56,5,FALSE)-VLOOKUP($A190,main!$A$3:$I$56,6,FALSE)+main!$D$59,0)</f>
        <v>0</v>
      </c>
      <c r="Y190">
        <f>IF((phi!Y135),VLOOKUP(Y$1,main!$A$3:$I$56,5,FALSE)-VLOOKUP($A190,main!$A$3:$I$56,6,FALSE)+main!$D$59,0)</f>
        <v>0</v>
      </c>
      <c r="Z190">
        <f>IF((phi!Z135),VLOOKUP(Z$1,main!$A$3:$I$56,5,FALSE)-VLOOKUP($A190,main!$A$3:$I$56,6,FALSE)+main!$D$59,0)</f>
        <v>0</v>
      </c>
      <c r="AA190">
        <f>IF((phi!AA135),VLOOKUP(AA$1,main!$A$3:$I$56,5,FALSE)-VLOOKUP($A190,main!$A$3:$I$56,6,FALSE)+main!$D$59,0)</f>
        <v>0</v>
      </c>
      <c r="AB190">
        <f>IF((phi!AB135),VLOOKUP(AB$1,main!$A$3:$I$56,5,FALSE)-VLOOKUP($A190,main!$A$3:$I$56,6,FALSE)+main!$D$59,0)</f>
        <v>155</v>
      </c>
      <c r="AC190">
        <f>IF((phi!AC135),VLOOKUP(AC$1,main!$A$3:$I$56,5,FALSE)-VLOOKUP($A190,main!$A$3:$I$56,6,FALSE)+main!$D$59,0)</f>
        <v>0</v>
      </c>
      <c r="AD190">
        <f>IF((phi!AD135),VLOOKUP(AD$1,main!$A$3:$I$56,5,FALSE)-VLOOKUP($A190,main!$A$3:$I$56,6,FALSE)+main!$D$59,0)</f>
        <v>0</v>
      </c>
      <c r="AE190">
        <f>IF((phi!AE135),VLOOKUP(AE$1,main!$A$3:$I$56,5,FALSE)-VLOOKUP($A190,main!$A$3:$I$56,6,FALSE)+main!$D$59,0)</f>
        <v>0</v>
      </c>
      <c r="AF190">
        <f>IF((phi!AF135),VLOOKUP(AF$1,main!$A$3:$I$56,5,FALSE)-VLOOKUP($A190,main!$A$3:$I$56,6,FALSE)+main!$D$59,0)</f>
        <v>0</v>
      </c>
      <c r="AG190">
        <f>IF((phi!AG135),VLOOKUP(AG$1,main!$A$3:$I$56,5,FALSE)-VLOOKUP($A190,main!$A$3:$I$56,6,FALSE)+main!$D$59,0)</f>
        <v>0</v>
      </c>
      <c r="AH190">
        <f>IF((phi!AH135),VLOOKUP(AH$1,main!$A$3:$I$56,5,FALSE)-VLOOKUP($A190,main!$A$3:$I$56,6,FALSE)+main!$D$59,0)</f>
        <v>0</v>
      </c>
      <c r="AI190">
        <f>IF((phi!AI135),VLOOKUP(AI$1,main!$A$3:$I$56,5,FALSE)-VLOOKUP($A190,main!$A$3:$I$56,6,FALSE)+main!$D$59,0)</f>
        <v>0</v>
      </c>
      <c r="AJ190">
        <f>IF((phi!AJ135),VLOOKUP(AJ$1,main!$A$3:$I$56,5,FALSE)-VLOOKUP($A190,main!$A$3:$I$56,6,FALSE)+main!$D$59,0)</f>
        <v>0</v>
      </c>
      <c r="AK190">
        <f>IF((phi!AK135),VLOOKUP(AK$1,main!$A$3:$I$56,5,FALSE)-VLOOKUP($A190,main!$A$3:$I$56,6,FALSE)+main!$D$59,0)</f>
        <v>0</v>
      </c>
      <c r="AL190">
        <f>IF((phi!AL135),VLOOKUP(AL$1,main!$A$3:$I$56,5,FALSE)-VLOOKUP($A190,main!$A$3:$I$56,6,FALSE)+main!$D$59,0)</f>
        <v>0</v>
      </c>
      <c r="AM190">
        <f>IF((phi!AM135),VLOOKUP(AM$1,main!$A$3:$I$56,5,FALSE)-VLOOKUP($A190,main!$A$3:$I$56,6,FALSE)+main!$D$59,0)</f>
        <v>0</v>
      </c>
      <c r="AN190">
        <f>IF((phi!AN135),VLOOKUP(AN$1,main!$A$3:$I$56,5,FALSE)-VLOOKUP($A190,main!$A$3:$I$56,6,FALSE)+main!$D$59,0)</f>
        <v>0</v>
      </c>
      <c r="AO190">
        <f>IF((phi!AO135),VLOOKUP(AO$1,main!$A$3:$I$56,5,FALSE)-VLOOKUP($A190,main!$A$3:$I$56,6,FALSE)+main!$D$59,0)</f>
        <v>0</v>
      </c>
      <c r="AP190">
        <f>IF((phi!AP135),VLOOKUP(AP$1,main!$A$3:$I$56,5,FALSE)-VLOOKUP($A190,main!$A$3:$I$56,6,FALSE)+main!$D$59,0)</f>
        <v>0</v>
      </c>
      <c r="AQ190">
        <f>IF((phi!AQ135),VLOOKUP(AQ$1,main!$A$3:$I$56,5,FALSE)-VLOOKUP($A190,main!$A$3:$I$56,6,FALSE)+main!$D$59,0)</f>
        <v>0</v>
      </c>
      <c r="AR190">
        <f>IF((phi!AR135),VLOOKUP(AR$1,main!$A$3:$I$56,5,FALSE)-VLOOKUP($A190,main!$A$3:$I$56,6,FALSE)+main!$D$59,0)</f>
        <v>0</v>
      </c>
      <c r="AS190">
        <f>IF((phi!AS135),VLOOKUP(AS$1,main!$A$3:$I$56,5,FALSE)-VLOOKUP($A190,main!$A$3:$I$56,6,FALSE)+main!$D$59,0)</f>
        <v>0</v>
      </c>
      <c r="AT190">
        <f>IF((phi!AT135),VLOOKUP(AT$1,main!$A$3:$I$56,5,FALSE)-VLOOKUP($A190,main!$A$3:$I$56,6,FALSE)+main!$D$59,0)</f>
        <v>0</v>
      </c>
      <c r="AU190">
        <f>IF((phi!AU135),VLOOKUP(AU$1,main!$A$3:$I$56,5,FALSE)-VLOOKUP($A190,main!$A$3:$I$56,6,FALSE)+main!$D$59,0)</f>
        <v>0</v>
      </c>
      <c r="AV190">
        <f>IF((phi!AV135),VLOOKUP(AV$1,main!$A$3:$I$56,5,FALSE)-VLOOKUP($A190,main!$A$3:$I$56,6,FALSE)+main!$D$59,0)</f>
        <v>0</v>
      </c>
      <c r="AW190">
        <f>IF((phi!AW135),VLOOKUP(AW$1,main!$A$3:$I$56,5,FALSE)-VLOOKUP($A190,main!$A$3:$I$56,6,FALSE)+main!$D$59,0)</f>
        <v>0</v>
      </c>
      <c r="AX190">
        <f>IF((phi!AX135),VLOOKUP(AX$1,main!$A$3:$I$56,5,FALSE)-VLOOKUP($A190,main!$A$3:$I$56,6,FALSE)+main!$D$59,0)</f>
        <v>0</v>
      </c>
      <c r="AY190">
        <f>IF((phi!AY135),VLOOKUP(AY$1,main!$A$3:$I$56,5,FALSE)-VLOOKUP($A190,main!$A$3:$I$56,6,FALSE)+main!$D$59,0)</f>
        <v>0</v>
      </c>
      <c r="AZ190">
        <f>IF((phi!AZ135),VLOOKUP(AZ$1,main!$A$3:$I$56,5,FALSE)-VLOOKUP($A190,main!$A$3:$I$56,6,FALSE)+main!$D$59,0)</f>
        <v>0</v>
      </c>
      <c r="BA190">
        <f>IF((phi!BA135),VLOOKUP(BA$1,main!$A$3:$I$56,5,FALSE)-VLOOKUP($A190,main!$A$3:$I$56,6,FALSE)+main!$D$59,0)</f>
        <v>0</v>
      </c>
      <c r="BB190">
        <f>IF((phi!BB135),VLOOKUP(BB$1,main!$A$3:$I$56,5,FALSE)-VLOOKUP($A190,main!$A$3:$I$56,6,FALSE)+main!$D$59,0)</f>
        <v>0</v>
      </c>
      <c r="BC190">
        <f>IF((phi!BC135),VLOOKUP(BC$1,main!$A$3:$I$56,5,FALSE)-VLOOKUP($A190,main!$A$3:$I$56,6,FALSE)+main!$D$59,0)</f>
        <v>0</v>
      </c>
      <c r="BD190">
        <f>IF((phi!BD135),VLOOKUP(BD$1,main!$A$3:$I$56,5,FALSE)-VLOOKUP($A190,main!$A$3:$I$56,6,FALSE)+main!$D$59,0)</f>
        <v>0</v>
      </c>
    </row>
    <row r="191" spans="1:56" x14ac:dyDescent="0.25">
      <c r="A191">
        <f t="shared" si="5"/>
        <v>24</v>
      </c>
      <c r="B191">
        <v>0</v>
      </c>
      <c r="C191">
        <f>IF((phi!C136),VLOOKUP(C$1,main!$A$3:$I$56,5,FALSE)-VLOOKUP($A191,main!$A$3:$I$56,6,FALSE)+main!$D$59,0)</f>
        <v>0</v>
      </c>
      <c r="D191">
        <f>IF((phi!D136),VLOOKUP(D$1,main!$A$3:$I$56,5,FALSE)-VLOOKUP($A191,main!$A$3:$I$56,6,FALSE)+main!$D$59,0)</f>
        <v>0</v>
      </c>
      <c r="E191">
        <f>IF((phi!E136),VLOOKUP(E$1,main!$A$3:$I$56,5,FALSE)-VLOOKUP($A191,main!$A$3:$I$56,6,FALSE)+main!$D$59,0)</f>
        <v>0</v>
      </c>
      <c r="F191">
        <f>IF((phi!F136),VLOOKUP(F$1,main!$A$3:$I$56,5,FALSE)-VLOOKUP($A191,main!$A$3:$I$56,6,FALSE)+main!$D$59,0)</f>
        <v>0</v>
      </c>
      <c r="G191">
        <f>IF((phi!G136),VLOOKUP(G$1,main!$A$3:$I$56,5,FALSE)-VLOOKUP($A191,main!$A$3:$I$56,6,FALSE)+main!$D$59,0)</f>
        <v>0</v>
      </c>
      <c r="H191">
        <f>IF((phi!H136),VLOOKUP(H$1,main!$A$3:$I$56,5,FALSE)-VLOOKUP($A191,main!$A$3:$I$56,6,FALSE)+main!$D$59,0)</f>
        <v>0</v>
      </c>
      <c r="I191">
        <f>IF((phi!I136),VLOOKUP(I$1,main!$A$3:$I$56,5,FALSE)-VLOOKUP($A191,main!$A$3:$I$56,6,FALSE)+main!$D$59,0)</f>
        <v>0</v>
      </c>
      <c r="J191">
        <f>IF((phi!J136),VLOOKUP(J$1,main!$A$3:$I$56,5,FALSE)-VLOOKUP($A191,main!$A$3:$I$56,6,FALSE)+main!$D$59,0)</f>
        <v>0</v>
      </c>
      <c r="K191">
        <f>IF((phi!K136),VLOOKUP(K$1,main!$A$3:$I$56,5,FALSE)-VLOOKUP($A191,main!$A$3:$I$56,6,FALSE)+main!$D$59,0)</f>
        <v>0</v>
      </c>
      <c r="L191">
        <f>IF((phi!L136),VLOOKUP(L$1,main!$A$3:$I$56,5,FALSE)-VLOOKUP($A191,main!$A$3:$I$56,6,FALSE)+main!$D$59,0)</f>
        <v>0</v>
      </c>
      <c r="M191">
        <f>IF((phi!M136),VLOOKUP(M$1,main!$A$3:$I$56,5,FALSE)-VLOOKUP($A191,main!$A$3:$I$56,6,FALSE)+main!$D$59,0)</f>
        <v>0</v>
      </c>
      <c r="N191">
        <f>IF((phi!N136),VLOOKUP(N$1,main!$A$3:$I$56,5,FALSE)-VLOOKUP($A191,main!$A$3:$I$56,6,FALSE)+main!$D$59,0)</f>
        <v>0</v>
      </c>
      <c r="O191">
        <f>IF((phi!O136),VLOOKUP(O$1,main!$A$3:$I$56,5,FALSE)-VLOOKUP($A191,main!$A$3:$I$56,6,FALSE)+main!$D$59,0)</f>
        <v>0</v>
      </c>
      <c r="P191">
        <f>IF((phi!P136),VLOOKUP(P$1,main!$A$3:$I$56,5,FALSE)-VLOOKUP($A191,main!$A$3:$I$56,6,FALSE)+main!$D$59,0)</f>
        <v>0</v>
      </c>
      <c r="Q191">
        <f>IF((phi!Q136),VLOOKUP(Q$1,main!$A$3:$I$56,5,FALSE)-VLOOKUP($A191,main!$A$3:$I$56,6,FALSE)+main!$D$59,0)</f>
        <v>0</v>
      </c>
      <c r="R191">
        <f>IF((phi!R136),VLOOKUP(R$1,main!$A$3:$I$56,5,FALSE)-VLOOKUP($A191,main!$A$3:$I$56,6,FALSE)+main!$D$59,0)</f>
        <v>0</v>
      </c>
      <c r="S191">
        <f>IF((phi!S136),VLOOKUP(S$1,main!$A$3:$I$56,5,FALSE)-VLOOKUP($A191,main!$A$3:$I$56,6,FALSE)+main!$D$59,0)</f>
        <v>0</v>
      </c>
      <c r="T191">
        <f>IF((phi!T136),VLOOKUP(T$1,main!$A$3:$I$56,5,FALSE)-VLOOKUP($A191,main!$A$3:$I$56,6,FALSE)+main!$D$59,0)</f>
        <v>0</v>
      </c>
      <c r="U191">
        <f>IF((phi!U136),VLOOKUP(U$1,main!$A$3:$I$56,5,FALSE)-VLOOKUP($A191,main!$A$3:$I$56,6,FALSE)+main!$D$59,0)</f>
        <v>0</v>
      </c>
      <c r="V191">
        <f>IF((phi!V136),VLOOKUP(V$1,main!$A$3:$I$56,5,FALSE)-VLOOKUP($A191,main!$A$3:$I$56,6,FALSE)+main!$D$59,0)</f>
        <v>0</v>
      </c>
      <c r="W191">
        <f>IF((phi!W136),VLOOKUP(W$1,main!$A$3:$I$56,5,FALSE)-VLOOKUP($A191,main!$A$3:$I$56,6,FALSE)+main!$D$59,0)</f>
        <v>0</v>
      </c>
      <c r="X191">
        <f>IF((phi!X136),VLOOKUP(X$1,main!$A$3:$I$56,5,FALSE)-VLOOKUP($A191,main!$A$3:$I$56,6,FALSE)+main!$D$59,0)</f>
        <v>0</v>
      </c>
      <c r="Y191">
        <f>IF((phi!Y136),VLOOKUP(Y$1,main!$A$3:$I$56,5,FALSE)-VLOOKUP($A191,main!$A$3:$I$56,6,FALSE)+main!$D$59,0)</f>
        <v>0</v>
      </c>
      <c r="Z191">
        <f>IF((phi!Z136),VLOOKUP(Z$1,main!$A$3:$I$56,5,FALSE)-VLOOKUP($A191,main!$A$3:$I$56,6,FALSE)+main!$D$59,0)</f>
        <v>0</v>
      </c>
      <c r="AA191">
        <f>IF((phi!AA136),VLOOKUP(AA$1,main!$A$3:$I$56,5,FALSE)-VLOOKUP($A191,main!$A$3:$I$56,6,FALSE)+main!$D$59,0)</f>
        <v>0</v>
      </c>
      <c r="AB191">
        <f>IF((phi!AB136),VLOOKUP(AB$1,main!$A$3:$I$56,5,FALSE)-VLOOKUP($A191,main!$A$3:$I$56,6,FALSE)+main!$D$59,0)</f>
        <v>0</v>
      </c>
      <c r="AC191">
        <f>IF((phi!AC136),VLOOKUP(AC$1,main!$A$3:$I$56,5,FALSE)-VLOOKUP($A191,main!$A$3:$I$56,6,FALSE)+main!$D$59,0)</f>
        <v>0</v>
      </c>
      <c r="AD191">
        <f>IF((phi!AD136),VLOOKUP(AD$1,main!$A$3:$I$56,5,FALSE)-VLOOKUP($A191,main!$A$3:$I$56,6,FALSE)+main!$D$59,0)</f>
        <v>0</v>
      </c>
      <c r="AE191">
        <f>IF((phi!AE136),VLOOKUP(AE$1,main!$A$3:$I$56,5,FALSE)-VLOOKUP($A191,main!$A$3:$I$56,6,FALSE)+main!$D$59,0)</f>
        <v>0</v>
      </c>
      <c r="AF191">
        <f>IF((phi!AF136),VLOOKUP(AF$1,main!$A$3:$I$56,5,FALSE)-VLOOKUP($A191,main!$A$3:$I$56,6,FALSE)+main!$D$59,0)</f>
        <v>0</v>
      </c>
      <c r="AG191">
        <f>IF((phi!AG136),VLOOKUP(AG$1,main!$A$3:$I$56,5,FALSE)-VLOOKUP($A191,main!$A$3:$I$56,6,FALSE)+main!$D$59,0)</f>
        <v>0</v>
      </c>
      <c r="AH191">
        <f>IF((phi!AH136),VLOOKUP(AH$1,main!$A$3:$I$56,5,FALSE)-VLOOKUP($A191,main!$A$3:$I$56,6,FALSE)+main!$D$59,0)</f>
        <v>0</v>
      </c>
      <c r="AI191">
        <f>IF((phi!AI136),VLOOKUP(AI$1,main!$A$3:$I$56,5,FALSE)-VLOOKUP($A191,main!$A$3:$I$56,6,FALSE)+main!$D$59,0)</f>
        <v>0</v>
      </c>
      <c r="AJ191">
        <f>IF((phi!AJ136),VLOOKUP(AJ$1,main!$A$3:$I$56,5,FALSE)-VLOOKUP($A191,main!$A$3:$I$56,6,FALSE)+main!$D$59,0)</f>
        <v>0</v>
      </c>
      <c r="AK191">
        <f>IF((phi!AK136),VLOOKUP(AK$1,main!$A$3:$I$56,5,FALSE)-VLOOKUP($A191,main!$A$3:$I$56,6,FALSE)+main!$D$59,0)</f>
        <v>0</v>
      </c>
      <c r="AL191">
        <f>IF((phi!AL136),VLOOKUP(AL$1,main!$A$3:$I$56,5,FALSE)-VLOOKUP($A191,main!$A$3:$I$56,6,FALSE)+main!$D$59,0)</f>
        <v>0</v>
      </c>
      <c r="AM191">
        <f>IF((phi!AM136),VLOOKUP(AM$1,main!$A$3:$I$56,5,FALSE)-VLOOKUP($A191,main!$A$3:$I$56,6,FALSE)+main!$D$59,0)</f>
        <v>0</v>
      </c>
      <c r="AN191">
        <f>IF((phi!AN136),VLOOKUP(AN$1,main!$A$3:$I$56,5,FALSE)-VLOOKUP($A191,main!$A$3:$I$56,6,FALSE)+main!$D$59,0)</f>
        <v>0</v>
      </c>
      <c r="AO191">
        <f>IF((phi!AO136),VLOOKUP(AO$1,main!$A$3:$I$56,5,FALSE)-VLOOKUP($A191,main!$A$3:$I$56,6,FALSE)+main!$D$59,0)</f>
        <v>0</v>
      </c>
      <c r="AP191">
        <f>IF((phi!AP136),VLOOKUP(AP$1,main!$A$3:$I$56,5,FALSE)-VLOOKUP($A191,main!$A$3:$I$56,6,FALSE)+main!$D$59,0)</f>
        <v>0</v>
      </c>
      <c r="AQ191">
        <f>IF((phi!AQ136),VLOOKUP(AQ$1,main!$A$3:$I$56,5,FALSE)-VLOOKUP($A191,main!$A$3:$I$56,6,FALSE)+main!$D$59,0)</f>
        <v>0</v>
      </c>
      <c r="AR191">
        <f>IF((phi!AR136),VLOOKUP(AR$1,main!$A$3:$I$56,5,FALSE)-VLOOKUP($A191,main!$A$3:$I$56,6,FALSE)+main!$D$59,0)</f>
        <v>0</v>
      </c>
      <c r="AS191">
        <f>IF((phi!AS136),VLOOKUP(AS$1,main!$A$3:$I$56,5,FALSE)-VLOOKUP($A191,main!$A$3:$I$56,6,FALSE)+main!$D$59,0)</f>
        <v>0</v>
      </c>
      <c r="AT191">
        <f>IF((phi!AT136),VLOOKUP(AT$1,main!$A$3:$I$56,5,FALSE)-VLOOKUP($A191,main!$A$3:$I$56,6,FALSE)+main!$D$59,0)</f>
        <v>0</v>
      </c>
      <c r="AU191">
        <f>IF((phi!AU136),VLOOKUP(AU$1,main!$A$3:$I$56,5,FALSE)-VLOOKUP($A191,main!$A$3:$I$56,6,FALSE)+main!$D$59,0)</f>
        <v>0</v>
      </c>
      <c r="AV191">
        <f>IF((phi!AV136),VLOOKUP(AV$1,main!$A$3:$I$56,5,FALSE)-VLOOKUP($A191,main!$A$3:$I$56,6,FALSE)+main!$D$59,0)</f>
        <v>0</v>
      </c>
      <c r="AW191">
        <f>IF((phi!AW136),VLOOKUP(AW$1,main!$A$3:$I$56,5,FALSE)-VLOOKUP($A191,main!$A$3:$I$56,6,FALSE)+main!$D$59,0)</f>
        <v>0</v>
      </c>
      <c r="AX191">
        <f>IF((phi!AX136),VLOOKUP(AX$1,main!$A$3:$I$56,5,FALSE)-VLOOKUP($A191,main!$A$3:$I$56,6,FALSE)+main!$D$59,0)</f>
        <v>0</v>
      </c>
      <c r="AY191">
        <f>IF((phi!AY136),VLOOKUP(AY$1,main!$A$3:$I$56,5,FALSE)-VLOOKUP($A191,main!$A$3:$I$56,6,FALSE)+main!$D$59,0)</f>
        <v>0</v>
      </c>
      <c r="AZ191">
        <f>IF((phi!AZ136),VLOOKUP(AZ$1,main!$A$3:$I$56,5,FALSE)-VLOOKUP($A191,main!$A$3:$I$56,6,FALSE)+main!$D$59,0)</f>
        <v>0</v>
      </c>
      <c r="BA191">
        <f>IF((phi!BA136),VLOOKUP(BA$1,main!$A$3:$I$56,5,FALSE)-VLOOKUP($A191,main!$A$3:$I$56,6,FALSE)+main!$D$59,0)</f>
        <v>0</v>
      </c>
      <c r="BB191">
        <f>IF((phi!BB136),VLOOKUP(BB$1,main!$A$3:$I$56,5,FALSE)-VLOOKUP($A191,main!$A$3:$I$56,6,FALSE)+main!$D$59,0)</f>
        <v>0</v>
      </c>
      <c r="BC191">
        <f>IF((phi!BC136),VLOOKUP(BC$1,main!$A$3:$I$56,5,FALSE)-VLOOKUP($A191,main!$A$3:$I$56,6,FALSE)+main!$D$59,0)</f>
        <v>0</v>
      </c>
      <c r="BD191">
        <f>IF((phi!BD136),VLOOKUP(BD$1,main!$A$3:$I$56,5,FALSE)-VLOOKUP($A191,main!$A$3:$I$56,6,FALSE)+main!$D$59,0)</f>
        <v>0</v>
      </c>
    </row>
    <row r="192" spans="1:56" x14ac:dyDescent="0.25">
      <c r="A192">
        <f t="shared" si="5"/>
        <v>25</v>
      </c>
      <c r="B192">
        <v>0</v>
      </c>
      <c r="C192">
        <f>IF((phi!C137),VLOOKUP(C$1,main!$A$3:$I$56,5,FALSE)-VLOOKUP($A192,main!$A$3:$I$56,6,FALSE)+main!$D$59,0)</f>
        <v>0</v>
      </c>
      <c r="D192">
        <f>IF((phi!D137),VLOOKUP(D$1,main!$A$3:$I$56,5,FALSE)-VLOOKUP($A192,main!$A$3:$I$56,6,FALSE)+main!$D$59,0)</f>
        <v>0</v>
      </c>
      <c r="E192">
        <f>IF((phi!E137),VLOOKUP(E$1,main!$A$3:$I$56,5,FALSE)-VLOOKUP($A192,main!$A$3:$I$56,6,FALSE)+main!$D$59,0)</f>
        <v>0</v>
      </c>
      <c r="F192">
        <f>IF((phi!F137),VLOOKUP(F$1,main!$A$3:$I$56,5,FALSE)-VLOOKUP($A192,main!$A$3:$I$56,6,FALSE)+main!$D$59,0)</f>
        <v>0</v>
      </c>
      <c r="G192">
        <f>IF((phi!G137),VLOOKUP(G$1,main!$A$3:$I$56,5,FALSE)-VLOOKUP($A192,main!$A$3:$I$56,6,FALSE)+main!$D$59,0)</f>
        <v>0</v>
      </c>
      <c r="H192">
        <f>IF((phi!H137),VLOOKUP(H$1,main!$A$3:$I$56,5,FALSE)-VLOOKUP($A192,main!$A$3:$I$56,6,FALSE)+main!$D$59,0)</f>
        <v>0</v>
      </c>
      <c r="I192">
        <f>IF((phi!I137),VLOOKUP(I$1,main!$A$3:$I$56,5,FALSE)-VLOOKUP($A192,main!$A$3:$I$56,6,FALSE)+main!$D$59,0)</f>
        <v>0</v>
      </c>
      <c r="J192">
        <f>IF((phi!J137),VLOOKUP(J$1,main!$A$3:$I$56,5,FALSE)-VLOOKUP($A192,main!$A$3:$I$56,6,FALSE)+main!$D$59,0)</f>
        <v>0</v>
      </c>
      <c r="K192">
        <f>IF((phi!K137),VLOOKUP(K$1,main!$A$3:$I$56,5,FALSE)-VLOOKUP($A192,main!$A$3:$I$56,6,FALSE)+main!$D$59,0)</f>
        <v>0</v>
      </c>
      <c r="L192">
        <f>IF((phi!L137),VLOOKUP(L$1,main!$A$3:$I$56,5,FALSE)-VLOOKUP($A192,main!$A$3:$I$56,6,FALSE)+main!$D$59,0)</f>
        <v>0</v>
      </c>
      <c r="M192">
        <f>IF((phi!M137),VLOOKUP(M$1,main!$A$3:$I$56,5,FALSE)-VLOOKUP($A192,main!$A$3:$I$56,6,FALSE)+main!$D$59,0)</f>
        <v>0</v>
      </c>
      <c r="N192">
        <f>IF((phi!N137),VLOOKUP(N$1,main!$A$3:$I$56,5,FALSE)-VLOOKUP($A192,main!$A$3:$I$56,6,FALSE)+main!$D$59,0)</f>
        <v>0</v>
      </c>
      <c r="O192">
        <f>IF((phi!O137),VLOOKUP(O$1,main!$A$3:$I$56,5,FALSE)-VLOOKUP($A192,main!$A$3:$I$56,6,FALSE)+main!$D$59,0)</f>
        <v>0</v>
      </c>
      <c r="P192">
        <f>IF((phi!P137),VLOOKUP(P$1,main!$A$3:$I$56,5,FALSE)-VLOOKUP($A192,main!$A$3:$I$56,6,FALSE)+main!$D$59,0)</f>
        <v>0</v>
      </c>
      <c r="Q192">
        <f>IF((phi!Q137),VLOOKUP(Q$1,main!$A$3:$I$56,5,FALSE)-VLOOKUP($A192,main!$A$3:$I$56,6,FALSE)+main!$D$59,0)</f>
        <v>0</v>
      </c>
      <c r="R192">
        <f>IF((phi!R137),VLOOKUP(R$1,main!$A$3:$I$56,5,FALSE)-VLOOKUP($A192,main!$A$3:$I$56,6,FALSE)+main!$D$59,0)</f>
        <v>0</v>
      </c>
      <c r="S192">
        <f>IF((phi!S137),VLOOKUP(S$1,main!$A$3:$I$56,5,FALSE)-VLOOKUP($A192,main!$A$3:$I$56,6,FALSE)+main!$D$59,0)</f>
        <v>0</v>
      </c>
      <c r="T192">
        <f>IF((phi!T137),VLOOKUP(T$1,main!$A$3:$I$56,5,FALSE)-VLOOKUP($A192,main!$A$3:$I$56,6,FALSE)+main!$D$59,0)</f>
        <v>0</v>
      </c>
      <c r="U192">
        <f>IF((phi!U137),VLOOKUP(U$1,main!$A$3:$I$56,5,FALSE)-VLOOKUP($A192,main!$A$3:$I$56,6,FALSE)+main!$D$59,0)</f>
        <v>0</v>
      </c>
      <c r="V192">
        <f>IF((phi!V137),VLOOKUP(V$1,main!$A$3:$I$56,5,FALSE)-VLOOKUP($A192,main!$A$3:$I$56,6,FALSE)+main!$D$59,0)</f>
        <v>0</v>
      </c>
      <c r="W192">
        <f>IF((phi!W137),VLOOKUP(W$1,main!$A$3:$I$56,5,FALSE)-VLOOKUP($A192,main!$A$3:$I$56,6,FALSE)+main!$D$59,0)</f>
        <v>0</v>
      </c>
      <c r="X192">
        <f>IF((phi!X137),VLOOKUP(X$1,main!$A$3:$I$56,5,FALSE)-VLOOKUP($A192,main!$A$3:$I$56,6,FALSE)+main!$D$59,0)</f>
        <v>0</v>
      </c>
      <c r="Y192">
        <f>IF((phi!Y137),VLOOKUP(Y$1,main!$A$3:$I$56,5,FALSE)-VLOOKUP($A192,main!$A$3:$I$56,6,FALSE)+main!$D$59,0)</f>
        <v>0</v>
      </c>
      <c r="Z192">
        <f>IF((phi!Z137),VLOOKUP(Z$1,main!$A$3:$I$56,5,FALSE)-VLOOKUP($A192,main!$A$3:$I$56,6,FALSE)+main!$D$59,0)</f>
        <v>0</v>
      </c>
      <c r="AA192">
        <f>IF((phi!AA137),VLOOKUP(AA$1,main!$A$3:$I$56,5,FALSE)-VLOOKUP($A192,main!$A$3:$I$56,6,FALSE)+main!$D$59,0)</f>
        <v>0</v>
      </c>
      <c r="AB192">
        <f>IF((phi!AB137),VLOOKUP(AB$1,main!$A$3:$I$56,5,FALSE)-VLOOKUP($A192,main!$A$3:$I$56,6,FALSE)+main!$D$59,0)</f>
        <v>0</v>
      </c>
      <c r="AC192">
        <f>IF((phi!AC137),VLOOKUP(AC$1,main!$A$3:$I$56,5,FALSE)-VLOOKUP($A192,main!$A$3:$I$56,6,FALSE)+main!$D$59,0)</f>
        <v>0</v>
      </c>
      <c r="AD192">
        <f>IF((phi!AD137),VLOOKUP(AD$1,main!$A$3:$I$56,5,FALSE)-VLOOKUP($A192,main!$A$3:$I$56,6,FALSE)+main!$D$59,0)</f>
        <v>0</v>
      </c>
      <c r="AE192">
        <f>IF((phi!AE137),VLOOKUP(AE$1,main!$A$3:$I$56,5,FALSE)-VLOOKUP($A192,main!$A$3:$I$56,6,FALSE)+main!$D$59,0)</f>
        <v>0</v>
      </c>
      <c r="AF192">
        <f>IF((phi!AF137),VLOOKUP(AF$1,main!$A$3:$I$56,5,FALSE)-VLOOKUP($A192,main!$A$3:$I$56,6,FALSE)+main!$D$59,0)</f>
        <v>0</v>
      </c>
      <c r="AG192">
        <f>IF((phi!AG137),VLOOKUP(AG$1,main!$A$3:$I$56,5,FALSE)-VLOOKUP($A192,main!$A$3:$I$56,6,FALSE)+main!$D$59,0)</f>
        <v>0</v>
      </c>
      <c r="AH192">
        <f>IF((phi!AH137),VLOOKUP(AH$1,main!$A$3:$I$56,5,FALSE)-VLOOKUP($A192,main!$A$3:$I$56,6,FALSE)+main!$D$59,0)</f>
        <v>0</v>
      </c>
      <c r="AI192">
        <f>IF((phi!AI137),VLOOKUP(AI$1,main!$A$3:$I$56,5,FALSE)-VLOOKUP($A192,main!$A$3:$I$56,6,FALSE)+main!$D$59,0)</f>
        <v>0</v>
      </c>
      <c r="AJ192">
        <f>IF((phi!AJ137),VLOOKUP(AJ$1,main!$A$3:$I$56,5,FALSE)-VLOOKUP($A192,main!$A$3:$I$56,6,FALSE)+main!$D$59,0)</f>
        <v>0</v>
      </c>
      <c r="AK192">
        <f>IF((phi!AK137),VLOOKUP(AK$1,main!$A$3:$I$56,5,FALSE)-VLOOKUP($A192,main!$A$3:$I$56,6,FALSE)+main!$D$59,0)</f>
        <v>0</v>
      </c>
      <c r="AL192">
        <f>IF((phi!AL137),VLOOKUP(AL$1,main!$A$3:$I$56,5,FALSE)-VLOOKUP($A192,main!$A$3:$I$56,6,FALSE)+main!$D$59,0)</f>
        <v>0</v>
      </c>
      <c r="AM192">
        <f>IF((phi!AM137),VLOOKUP(AM$1,main!$A$3:$I$56,5,FALSE)-VLOOKUP($A192,main!$A$3:$I$56,6,FALSE)+main!$D$59,0)</f>
        <v>0</v>
      </c>
      <c r="AN192">
        <f>IF((phi!AN137),VLOOKUP(AN$1,main!$A$3:$I$56,5,FALSE)-VLOOKUP($A192,main!$A$3:$I$56,6,FALSE)+main!$D$59,0)</f>
        <v>0</v>
      </c>
      <c r="AO192">
        <f>IF((phi!AO137),VLOOKUP(AO$1,main!$A$3:$I$56,5,FALSE)-VLOOKUP($A192,main!$A$3:$I$56,6,FALSE)+main!$D$59,0)</f>
        <v>0</v>
      </c>
      <c r="AP192">
        <f>IF((phi!AP137),VLOOKUP(AP$1,main!$A$3:$I$56,5,FALSE)-VLOOKUP($A192,main!$A$3:$I$56,6,FALSE)+main!$D$59,0)</f>
        <v>0</v>
      </c>
      <c r="AQ192">
        <f>IF((phi!AQ137),VLOOKUP(AQ$1,main!$A$3:$I$56,5,FALSE)-VLOOKUP($A192,main!$A$3:$I$56,6,FALSE)+main!$D$59,0)</f>
        <v>0</v>
      </c>
      <c r="AR192">
        <f>IF((phi!AR137),VLOOKUP(AR$1,main!$A$3:$I$56,5,FALSE)-VLOOKUP($A192,main!$A$3:$I$56,6,FALSE)+main!$D$59,0)</f>
        <v>0</v>
      </c>
      <c r="AS192">
        <f>IF((phi!AS137),VLOOKUP(AS$1,main!$A$3:$I$56,5,FALSE)-VLOOKUP($A192,main!$A$3:$I$56,6,FALSE)+main!$D$59,0)</f>
        <v>0</v>
      </c>
      <c r="AT192">
        <f>IF((phi!AT137),VLOOKUP(AT$1,main!$A$3:$I$56,5,FALSE)-VLOOKUP($A192,main!$A$3:$I$56,6,FALSE)+main!$D$59,0)</f>
        <v>0</v>
      </c>
      <c r="AU192">
        <f>IF((phi!AU137),VLOOKUP(AU$1,main!$A$3:$I$56,5,FALSE)-VLOOKUP($A192,main!$A$3:$I$56,6,FALSE)+main!$D$59,0)</f>
        <v>0</v>
      </c>
      <c r="AV192">
        <f>IF((phi!AV137),VLOOKUP(AV$1,main!$A$3:$I$56,5,FALSE)-VLOOKUP($A192,main!$A$3:$I$56,6,FALSE)+main!$D$59,0)</f>
        <v>0</v>
      </c>
      <c r="AW192">
        <f>IF((phi!AW137),VLOOKUP(AW$1,main!$A$3:$I$56,5,FALSE)-VLOOKUP($A192,main!$A$3:$I$56,6,FALSE)+main!$D$59,0)</f>
        <v>0</v>
      </c>
      <c r="AX192">
        <f>IF((phi!AX137),VLOOKUP(AX$1,main!$A$3:$I$56,5,FALSE)-VLOOKUP($A192,main!$A$3:$I$56,6,FALSE)+main!$D$59,0)</f>
        <v>0</v>
      </c>
      <c r="AY192">
        <f>IF((phi!AY137),VLOOKUP(AY$1,main!$A$3:$I$56,5,FALSE)-VLOOKUP($A192,main!$A$3:$I$56,6,FALSE)+main!$D$59,0)</f>
        <v>0</v>
      </c>
      <c r="AZ192">
        <f>IF((phi!AZ137),VLOOKUP(AZ$1,main!$A$3:$I$56,5,FALSE)-VLOOKUP($A192,main!$A$3:$I$56,6,FALSE)+main!$D$59,0)</f>
        <v>0</v>
      </c>
      <c r="BA192">
        <f>IF((phi!BA137),VLOOKUP(BA$1,main!$A$3:$I$56,5,FALSE)-VLOOKUP($A192,main!$A$3:$I$56,6,FALSE)+main!$D$59,0)</f>
        <v>0</v>
      </c>
      <c r="BB192">
        <f>IF((phi!BB137),VLOOKUP(BB$1,main!$A$3:$I$56,5,FALSE)-VLOOKUP($A192,main!$A$3:$I$56,6,FALSE)+main!$D$59,0)</f>
        <v>0</v>
      </c>
      <c r="BC192">
        <f>IF((phi!BC137),VLOOKUP(BC$1,main!$A$3:$I$56,5,FALSE)-VLOOKUP($A192,main!$A$3:$I$56,6,FALSE)+main!$D$59,0)</f>
        <v>0</v>
      </c>
      <c r="BD192">
        <f>IF((phi!BD137),VLOOKUP(BD$1,main!$A$3:$I$56,5,FALSE)-VLOOKUP($A192,main!$A$3:$I$56,6,FALSE)+main!$D$59,0)</f>
        <v>0</v>
      </c>
    </row>
    <row r="193" spans="1:56" x14ac:dyDescent="0.25">
      <c r="A193">
        <f t="shared" si="5"/>
        <v>26</v>
      </c>
      <c r="B193">
        <v>0</v>
      </c>
      <c r="C193">
        <f>IF((phi!C138),VLOOKUP(C$1,main!$A$3:$I$56,5,FALSE)-VLOOKUP($A193,main!$A$3:$I$56,6,FALSE)+main!$D$59,0)</f>
        <v>0</v>
      </c>
      <c r="D193">
        <f>IF((phi!D138),VLOOKUP(D$1,main!$A$3:$I$56,5,FALSE)-VLOOKUP($A193,main!$A$3:$I$56,6,FALSE)+main!$D$59,0)</f>
        <v>0</v>
      </c>
      <c r="E193">
        <f>IF((phi!E138),VLOOKUP(E$1,main!$A$3:$I$56,5,FALSE)-VLOOKUP($A193,main!$A$3:$I$56,6,FALSE)+main!$D$59,0)</f>
        <v>0</v>
      </c>
      <c r="F193">
        <f>IF((phi!F138),VLOOKUP(F$1,main!$A$3:$I$56,5,FALSE)-VLOOKUP($A193,main!$A$3:$I$56,6,FALSE)+main!$D$59,0)</f>
        <v>0</v>
      </c>
      <c r="G193">
        <f>IF((phi!G138),VLOOKUP(G$1,main!$A$3:$I$56,5,FALSE)-VLOOKUP($A193,main!$A$3:$I$56,6,FALSE)+main!$D$59,0)</f>
        <v>0</v>
      </c>
      <c r="H193">
        <f>IF((phi!H138),VLOOKUP(H$1,main!$A$3:$I$56,5,FALSE)-VLOOKUP($A193,main!$A$3:$I$56,6,FALSE)+main!$D$59,0)</f>
        <v>0</v>
      </c>
      <c r="I193">
        <f>IF((phi!I138),VLOOKUP(I$1,main!$A$3:$I$56,5,FALSE)-VLOOKUP($A193,main!$A$3:$I$56,6,FALSE)+main!$D$59,0)</f>
        <v>0</v>
      </c>
      <c r="J193">
        <f>IF((phi!J138),VLOOKUP(J$1,main!$A$3:$I$56,5,FALSE)-VLOOKUP($A193,main!$A$3:$I$56,6,FALSE)+main!$D$59,0)</f>
        <v>0</v>
      </c>
      <c r="K193">
        <f>IF((phi!K138),VLOOKUP(K$1,main!$A$3:$I$56,5,FALSE)-VLOOKUP($A193,main!$A$3:$I$56,6,FALSE)+main!$D$59,0)</f>
        <v>0</v>
      </c>
      <c r="L193">
        <f>IF((phi!L138),VLOOKUP(L$1,main!$A$3:$I$56,5,FALSE)-VLOOKUP($A193,main!$A$3:$I$56,6,FALSE)+main!$D$59,0)</f>
        <v>0</v>
      </c>
      <c r="M193">
        <f>IF((phi!M138),VLOOKUP(M$1,main!$A$3:$I$56,5,FALSE)-VLOOKUP($A193,main!$A$3:$I$56,6,FALSE)+main!$D$59,0)</f>
        <v>0</v>
      </c>
      <c r="N193">
        <f>IF((phi!N138),VLOOKUP(N$1,main!$A$3:$I$56,5,FALSE)-VLOOKUP($A193,main!$A$3:$I$56,6,FALSE)+main!$D$59,0)</f>
        <v>0</v>
      </c>
      <c r="O193">
        <f>IF((phi!O138),VLOOKUP(O$1,main!$A$3:$I$56,5,FALSE)-VLOOKUP($A193,main!$A$3:$I$56,6,FALSE)+main!$D$59,0)</f>
        <v>0</v>
      </c>
      <c r="P193">
        <f>IF((phi!P138),VLOOKUP(P$1,main!$A$3:$I$56,5,FALSE)-VLOOKUP($A193,main!$A$3:$I$56,6,FALSE)+main!$D$59,0)</f>
        <v>0</v>
      </c>
      <c r="Q193">
        <f>IF((phi!Q138),VLOOKUP(Q$1,main!$A$3:$I$56,5,FALSE)-VLOOKUP($A193,main!$A$3:$I$56,6,FALSE)+main!$D$59,0)</f>
        <v>0</v>
      </c>
      <c r="R193">
        <f>IF((phi!R138),VLOOKUP(R$1,main!$A$3:$I$56,5,FALSE)-VLOOKUP($A193,main!$A$3:$I$56,6,FALSE)+main!$D$59,0)</f>
        <v>0</v>
      </c>
      <c r="S193">
        <f>IF((phi!S138),VLOOKUP(S$1,main!$A$3:$I$56,5,FALSE)-VLOOKUP($A193,main!$A$3:$I$56,6,FALSE)+main!$D$59,0)</f>
        <v>0</v>
      </c>
      <c r="T193">
        <f>IF((phi!T138),VLOOKUP(T$1,main!$A$3:$I$56,5,FALSE)-VLOOKUP($A193,main!$A$3:$I$56,6,FALSE)+main!$D$59,0)</f>
        <v>0</v>
      </c>
      <c r="U193">
        <f>IF((phi!U138),VLOOKUP(U$1,main!$A$3:$I$56,5,FALSE)-VLOOKUP($A193,main!$A$3:$I$56,6,FALSE)+main!$D$59,0)</f>
        <v>0</v>
      </c>
      <c r="V193">
        <f>IF((phi!V138),VLOOKUP(V$1,main!$A$3:$I$56,5,FALSE)-VLOOKUP($A193,main!$A$3:$I$56,6,FALSE)+main!$D$59,0)</f>
        <v>0</v>
      </c>
      <c r="W193">
        <f>IF((phi!W138),VLOOKUP(W$1,main!$A$3:$I$56,5,FALSE)-VLOOKUP($A193,main!$A$3:$I$56,6,FALSE)+main!$D$59,0)</f>
        <v>0</v>
      </c>
      <c r="X193">
        <f>IF((phi!X138),VLOOKUP(X$1,main!$A$3:$I$56,5,FALSE)-VLOOKUP($A193,main!$A$3:$I$56,6,FALSE)+main!$D$59,0)</f>
        <v>0</v>
      </c>
      <c r="Y193">
        <f>IF((phi!Y138),VLOOKUP(Y$1,main!$A$3:$I$56,5,FALSE)-VLOOKUP($A193,main!$A$3:$I$56,6,FALSE)+main!$D$59,0)</f>
        <v>0</v>
      </c>
      <c r="Z193">
        <f>IF((phi!Z138),VLOOKUP(Z$1,main!$A$3:$I$56,5,FALSE)-VLOOKUP($A193,main!$A$3:$I$56,6,FALSE)+main!$D$59,0)</f>
        <v>0</v>
      </c>
      <c r="AA193">
        <f>IF((phi!AA138),VLOOKUP(AA$1,main!$A$3:$I$56,5,FALSE)-VLOOKUP($A193,main!$A$3:$I$56,6,FALSE)+main!$D$59,0)</f>
        <v>0</v>
      </c>
      <c r="AB193">
        <f>IF((phi!AB138),VLOOKUP(AB$1,main!$A$3:$I$56,5,FALSE)-VLOOKUP($A193,main!$A$3:$I$56,6,FALSE)+main!$D$59,0)</f>
        <v>0</v>
      </c>
      <c r="AC193">
        <f>IF((phi!AC138),VLOOKUP(AC$1,main!$A$3:$I$56,5,FALSE)-VLOOKUP($A193,main!$A$3:$I$56,6,FALSE)+main!$D$59,0)</f>
        <v>0</v>
      </c>
      <c r="AD193">
        <f>IF((phi!AD138),VLOOKUP(AD$1,main!$A$3:$I$56,5,FALSE)-VLOOKUP($A193,main!$A$3:$I$56,6,FALSE)+main!$D$59,0)</f>
        <v>0</v>
      </c>
      <c r="AE193">
        <f>IF((phi!AE138),VLOOKUP(AE$1,main!$A$3:$I$56,5,FALSE)-VLOOKUP($A193,main!$A$3:$I$56,6,FALSE)+main!$D$59,0)</f>
        <v>0</v>
      </c>
      <c r="AF193">
        <f>IF((phi!AF138),VLOOKUP(AF$1,main!$A$3:$I$56,5,FALSE)-VLOOKUP($A193,main!$A$3:$I$56,6,FALSE)+main!$D$59,0)</f>
        <v>0</v>
      </c>
      <c r="AG193">
        <f>IF((phi!AG138),VLOOKUP(AG$1,main!$A$3:$I$56,5,FALSE)-VLOOKUP($A193,main!$A$3:$I$56,6,FALSE)+main!$D$59,0)</f>
        <v>0</v>
      </c>
      <c r="AH193">
        <f>IF((phi!AH138),VLOOKUP(AH$1,main!$A$3:$I$56,5,FALSE)-VLOOKUP($A193,main!$A$3:$I$56,6,FALSE)+main!$D$59,0)</f>
        <v>0</v>
      </c>
      <c r="AI193">
        <f>IF((phi!AI138),VLOOKUP(AI$1,main!$A$3:$I$56,5,FALSE)-VLOOKUP($A193,main!$A$3:$I$56,6,FALSE)+main!$D$59,0)</f>
        <v>0</v>
      </c>
      <c r="AJ193">
        <f>IF((phi!AJ138),VLOOKUP(AJ$1,main!$A$3:$I$56,5,FALSE)-VLOOKUP($A193,main!$A$3:$I$56,6,FALSE)+main!$D$59,0)</f>
        <v>0</v>
      </c>
      <c r="AK193">
        <f>IF((phi!AK138),VLOOKUP(AK$1,main!$A$3:$I$56,5,FALSE)-VLOOKUP($A193,main!$A$3:$I$56,6,FALSE)+main!$D$59,0)</f>
        <v>0</v>
      </c>
      <c r="AL193">
        <f>IF((phi!AL138),VLOOKUP(AL$1,main!$A$3:$I$56,5,FALSE)-VLOOKUP($A193,main!$A$3:$I$56,6,FALSE)+main!$D$59,0)</f>
        <v>0</v>
      </c>
      <c r="AM193">
        <f>IF((phi!AM138),VLOOKUP(AM$1,main!$A$3:$I$56,5,FALSE)-VLOOKUP($A193,main!$A$3:$I$56,6,FALSE)+main!$D$59,0)</f>
        <v>0</v>
      </c>
      <c r="AN193">
        <f>IF((phi!AN138),VLOOKUP(AN$1,main!$A$3:$I$56,5,FALSE)-VLOOKUP($A193,main!$A$3:$I$56,6,FALSE)+main!$D$59,0)</f>
        <v>0</v>
      </c>
      <c r="AO193">
        <f>IF((phi!AO138),VLOOKUP(AO$1,main!$A$3:$I$56,5,FALSE)-VLOOKUP($A193,main!$A$3:$I$56,6,FALSE)+main!$D$59,0)</f>
        <v>0</v>
      </c>
      <c r="AP193">
        <f>IF((phi!AP138),VLOOKUP(AP$1,main!$A$3:$I$56,5,FALSE)-VLOOKUP($A193,main!$A$3:$I$56,6,FALSE)+main!$D$59,0)</f>
        <v>0</v>
      </c>
      <c r="AQ193">
        <f>IF((phi!AQ138),VLOOKUP(AQ$1,main!$A$3:$I$56,5,FALSE)-VLOOKUP($A193,main!$A$3:$I$56,6,FALSE)+main!$D$59,0)</f>
        <v>0</v>
      </c>
      <c r="AR193">
        <f>IF((phi!AR138),VLOOKUP(AR$1,main!$A$3:$I$56,5,FALSE)-VLOOKUP($A193,main!$A$3:$I$56,6,FALSE)+main!$D$59,0)</f>
        <v>0</v>
      </c>
      <c r="AS193">
        <f>IF((phi!AS138),VLOOKUP(AS$1,main!$A$3:$I$56,5,FALSE)-VLOOKUP($A193,main!$A$3:$I$56,6,FALSE)+main!$D$59,0)</f>
        <v>0</v>
      </c>
      <c r="AT193">
        <f>IF((phi!AT138),VLOOKUP(AT$1,main!$A$3:$I$56,5,FALSE)-VLOOKUP($A193,main!$A$3:$I$56,6,FALSE)+main!$D$59,0)</f>
        <v>0</v>
      </c>
      <c r="AU193">
        <f>IF((phi!AU138),VLOOKUP(AU$1,main!$A$3:$I$56,5,FALSE)-VLOOKUP($A193,main!$A$3:$I$56,6,FALSE)+main!$D$59,0)</f>
        <v>0</v>
      </c>
      <c r="AV193">
        <f>IF((phi!AV138),VLOOKUP(AV$1,main!$A$3:$I$56,5,FALSE)-VLOOKUP($A193,main!$A$3:$I$56,6,FALSE)+main!$D$59,0)</f>
        <v>0</v>
      </c>
      <c r="AW193">
        <f>IF((phi!AW138),VLOOKUP(AW$1,main!$A$3:$I$56,5,FALSE)-VLOOKUP($A193,main!$A$3:$I$56,6,FALSE)+main!$D$59,0)</f>
        <v>0</v>
      </c>
      <c r="AX193">
        <f>IF((phi!AX138),VLOOKUP(AX$1,main!$A$3:$I$56,5,FALSE)-VLOOKUP($A193,main!$A$3:$I$56,6,FALSE)+main!$D$59,0)</f>
        <v>0</v>
      </c>
      <c r="AY193">
        <f>IF((phi!AY138),VLOOKUP(AY$1,main!$A$3:$I$56,5,FALSE)-VLOOKUP($A193,main!$A$3:$I$56,6,FALSE)+main!$D$59,0)</f>
        <v>0</v>
      </c>
      <c r="AZ193">
        <f>IF((phi!AZ138),VLOOKUP(AZ$1,main!$A$3:$I$56,5,FALSE)-VLOOKUP($A193,main!$A$3:$I$56,6,FALSE)+main!$D$59,0)</f>
        <v>0</v>
      </c>
      <c r="BA193">
        <f>IF((phi!BA138),VLOOKUP(BA$1,main!$A$3:$I$56,5,FALSE)-VLOOKUP($A193,main!$A$3:$I$56,6,FALSE)+main!$D$59,0)</f>
        <v>0</v>
      </c>
      <c r="BB193">
        <f>IF((phi!BB138),VLOOKUP(BB$1,main!$A$3:$I$56,5,FALSE)-VLOOKUP($A193,main!$A$3:$I$56,6,FALSE)+main!$D$59,0)</f>
        <v>0</v>
      </c>
      <c r="BC193">
        <f>IF((phi!BC138),VLOOKUP(BC$1,main!$A$3:$I$56,5,FALSE)-VLOOKUP($A193,main!$A$3:$I$56,6,FALSE)+main!$D$59,0)</f>
        <v>0</v>
      </c>
      <c r="BD193">
        <f>IF((phi!BD138),VLOOKUP(BD$1,main!$A$3:$I$56,5,FALSE)-VLOOKUP($A193,main!$A$3:$I$56,6,FALSE)+main!$D$59,0)</f>
        <v>0</v>
      </c>
    </row>
    <row r="194" spans="1:56" x14ac:dyDescent="0.25">
      <c r="A194">
        <f t="shared" si="5"/>
        <v>27</v>
      </c>
      <c r="B194">
        <v>0</v>
      </c>
      <c r="C194">
        <f>IF((phi!C139),VLOOKUP(C$1,main!$A$3:$I$56,5,FALSE)-VLOOKUP($A194,main!$A$3:$I$56,6,FALSE)+main!$D$59,0)</f>
        <v>0</v>
      </c>
      <c r="D194">
        <f>IF((phi!D139),VLOOKUP(D$1,main!$A$3:$I$56,5,FALSE)-VLOOKUP($A194,main!$A$3:$I$56,6,FALSE)+main!$D$59,0)</f>
        <v>370</v>
      </c>
      <c r="E194">
        <f>IF((phi!E139),VLOOKUP(E$1,main!$A$3:$I$56,5,FALSE)-VLOOKUP($A194,main!$A$3:$I$56,6,FALSE)+main!$D$59,0)</f>
        <v>460</v>
      </c>
      <c r="F194">
        <f>IF((phi!F139),VLOOKUP(F$1,main!$A$3:$I$56,5,FALSE)-VLOOKUP($A194,main!$A$3:$I$56,6,FALSE)+main!$D$59,0)</f>
        <v>550</v>
      </c>
      <c r="G194">
        <f>IF((phi!G139),VLOOKUP(G$1,main!$A$3:$I$56,5,FALSE)-VLOOKUP($A194,main!$A$3:$I$56,6,FALSE)+main!$D$59,0)</f>
        <v>610</v>
      </c>
      <c r="H194">
        <f>IF((phi!H139),VLOOKUP(H$1,main!$A$3:$I$56,5,FALSE)-VLOOKUP($A194,main!$A$3:$I$56,6,FALSE)+main!$D$59,0)</f>
        <v>670</v>
      </c>
      <c r="I194">
        <f>IF((phi!I139),VLOOKUP(I$1,main!$A$3:$I$56,5,FALSE)-VLOOKUP($A194,main!$A$3:$I$56,6,FALSE)+main!$D$59,0)</f>
        <v>730</v>
      </c>
      <c r="J194">
        <f>IF((phi!J139),VLOOKUP(J$1,main!$A$3:$I$56,5,FALSE)-VLOOKUP($A194,main!$A$3:$I$56,6,FALSE)+main!$D$59,0)</f>
        <v>820</v>
      </c>
      <c r="K194">
        <f>IF((phi!K139),VLOOKUP(K$1,main!$A$3:$I$56,5,FALSE)-VLOOKUP($A194,main!$A$3:$I$56,6,FALSE)+main!$D$59,0)</f>
        <v>0</v>
      </c>
      <c r="L194">
        <f>IF((phi!L139),VLOOKUP(L$1,main!$A$3:$I$56,5,FALSE)-VLOOKUP($A194,main!$A$3:$I$56,6,FALSE)+main!$D$59,0)</f>
        <v>305</v>
      </c>
      <c r="M194">
        <f>IF((phi!M139),VLOOKUP(M$1,main!$A$3:$I$56,5,FALSE)-VLOOKUP($A194,main!$A$3:$I$56,6,FALSE)+main!$D$59,0)</f>
        <v>425</v>
      </c>
      <c r="N194">
        <f>IF((phi!N139),VLOOKUP(N$1,main!$A$3:$I$56,5,FALSE)-VLOOKUP($A194,main!$A$3:$I$56,6,FALSE)+main!$D$59,0)</f>
        <v>785</v>
      </c>
      <c r="O194">
        <f>IF((phi!O139),VLOOKUP(O$1,main!$A$3:$I$56,5,FALSE)-VLOOKUP($A194,main!$A$3:$I$56,6,FALSE)+main!$D$59,0)</f>
        <v>845</v>
      </c>
      <c r="P194">
        <f>IF((phi!P139),VLOOKUP(P$1,main!$A$3:$I$56,5,FALSE)-VLOOKUP($A194,main!$A$3:$I$56,6,FALSE)+main!$D$59,0)</f>
        <v>0</v>
      </c>
      <c r="Q194">
        <f>IF((phi!Q139),VLOOKUP(Q$1,main!$A$3:$I$56,5,FALSE)-VLOOKUP($A194,main!$A$3:$I$56,6,FALSE)+main!$D$59,0)</f>
        <v>260</v>
      </c>
      <c r="R194">
        <f>IF((phi!R139),VLOOKUP(R$1,main!$A$3:$I$56,5,FALSE)-VLOOKUP($A194,main!$A$3:$I$56,6,FALSE)+main!$D$59,0)</f>
        <v>420</v>
      </c>
      <c r="S194">
        <f>IF((phi!S139),VLOOKUP(S$1,main!$A$3:$I$56,5,FALSE)-VLOOKUP($A194,main!$A$3:$I$56,6,FALSE)+main!$D$59,0)</f>
        <v>600</v>
      </c>
      <c r="T194">
        <f>IF((phi!T139),VLOOKUP(T$1,main!$A$3:$I$56,5,FALSE)-VLOOKUP($A194,main!$A$3:$I$56,6,FALSE)+main!$D$59,0)</f>
        <v>750</v>
      </c>
      <c r="U194">
        <f>IF((phi!U139),VLOOKUP(U$1,main!$A$3:$I$56,5,FALSE)-VLOOKUP($A194,main!$A$3:$I$56,6,FALSE)+main!$D$59,0)</f>
        <v>170</v>
      </c>
      <c r="V194">
        <f>IF((phi!V139),VLOOKUP(V$1,main!$A$3:$I$56,5,FALSE)-VLOOKUP($A194,main!$A$3:$I$56,6,FALSE)+main!$D$59,0)</f>
        <v>260</v>
      </c>
      <c r="W194">
        <f>IF((phi!W139),VLOOKUP(W$1,main!$A$3:$I$56,5,FALSE)-VLOOKUP($A194,main!$A$3:$I$56,6,FALSE)+main!$D$59,0)</f>
        <v>350</v>
      </c>
      <c r="X194">
        <f>IF((phi!X139),VLOOKUP(X$1,main!$A$3:$I$56,5,FALSE)-VLOOKUP($A194,main!$A$3:$I$56,6,FALSE)+main!$D$59,0)</f>
        <v>440</v>
      </c>
      <c r="Y194">
        <f>IF((phi!Y139),VLOOKUP(Y$1,main!$A$3:$I$56,5,FALSE)-VLOOKUP($A194,main!$A$3:$I$56,6,FALSE)+main!$D$59,0)</f>
        <v>530</v>
      </c>
      <c r="Z194">
        <f>IF((phi!Z139),VLOOKUP(Z$1,main!$A$3:$I$56,5,FALSE)-VLOOKUP($A194,main!$A$3:$I$56,6,FALSE)+main!$D$59,0)</f>
        <v>620</v>
      </c>
      <c r="AA194">
        <f>IF((phi!AA139),VLOOKUP(AA$1,main!$A$3:$I$56,5,FALSE)-VLOOKUP($A194,main!$A$3:$I$56,6,FALSE)+main!$D$59,0)</f>
        <v>710</v>
      </c>
      <c r="AB194">
        <f>IF((phi!AB139),VLOOKUP(AB$1,main!$A$3:$I$56,5,FALSE)-VLOOKUP($A194,main!$A$3:$I$56,6,FALSE)+main!$D$59,0)</f>
        <v>770</v>
      </c>
      <c r="AC194">
        <f>IF((phi!AC139),VLOOKUP(AC$1,main!$A$3:$I$56,5,FALSE)-VLOOKUP($A194,main!$A$3:$I$56,6,FALSE)+main!$D$59,0)</f>
        <v>0</v>
      </c>
      <c r="AD194">
        <f>IF((phi!AD139),VLOOKUP(AD$1,main!$A$3:$I$56,5,FALSE)-VLOOKUP($A194,main!$A$3:$I$56,6,FALSE)+main!$D$59,0)</f>
        <v>225</v>
      </c>
      <c r="AE194">
        <f>IF((phi!AE139),VLOOKUP(AE$1,main!$A$3:$I$56,5,FALSE)-VLOOKUP($A194,main!$A$3:$I$56,6,FALSE)+main!$D$59,0)</f>
        <v>430</v>
      </c>
      <c r="AF194">
        <f>IF((phi!AF139),VLOOKUP(AF$1,main!$A$3:$I$56,5,FALSE)-VLOOKUP($A194,main!$A$3:$I$56,6,FALSE)+main!$D$59,0)</f>
        <v>580</v>
      </c>
      <c r="AG194">
        <f>IF((phi!AG139),VLOOKUP(AG$1,main!$A$3:$I$56,5,FALSE)-VLOOKUP($A194,main!$A$3:$I$56,6,FALSE)+main!$D$59,0)</f>
        <v>0</v>
      </c>
      <c r="AH194">
        <f>IF((phi!AH139),VLOOKUP(AH$1,main!$A$3:$I$56,5,FALSE)-VLOOKUP($A194,main!$A$3:$I$56,6,FALSE)+main!$D$59,0)</f>
        <v>370</v>
      </c>
      <c r="AI194">
        <f>IF((phi!AI139),VLOOKUP(AI$1,main!$A$3:$I$56,5,FALSE)-VLOOKUP($A194,main!$A$3:$I$56,6,FALSE)+main!$D$59,0)</f>
        <v>490</v>
      </c>
      <c r="AJ194">
        <f>IF((phi!AJ139),VLOOKUP(AJ$1,main!$A$3:$I$56,5,FALSE)-VLOOKUP($A194,main!$A$3:$I$56,6,FALSE)+main!$D$59,0)</f>
        <v>550</v>
      </c>
      <c r="AK194">
        <f>IF((phi!AK139),VLOOKUP(AK$1,main!$A$3:$I$56,5,FALSE)-VLOOKUP($A194,main!$A$3:$I$56,6,FALSE)+main!$D$59,0)</f>
        <v>670</v>
      </c>
      <c r="AL194">
        <f>IF((phi!AL139),VLOOKUP(AL$1,main!$A$3:$I$56,5,FALSE)-VLOOKUP($A194,main!$A$3:$I$56,6,FALSE)+main!$D$59,0)</f>
        <v>0</v>
      </c>
      <c r="AM194">
        <f>IF((phi!AM139),VLOOKUP(AM$1,main!$A$3:$I$56,5,FALSE)-VLOOKUP($A194,main!$A$3:$I$56,6,FALSE)+main!$D$59,0)</f>
        <v>275</v>
      </c>
      <c r="AN194">
        <f>IF((phi!AN139),VLOOKUP(AN$1,main!$A$3:$I$56,5,FALSE)-VLOOKUP($A194,main!$A$3:$I$56,6,FALSE)+main!$D$59,0)</f>
        <v>530</v>
      </c>
      <c r="AO194">
        <f>IF((phi!AO139),VLOOKUP(AO$1,main!$A$3:$I$56,5,FALSE)-VLOOKUP($A194,main!$A$3:$I$56,6,FALSE)+main!$D$59,0)</f>
        <v>580</v>
      </c>
      <c r="AP194">
        <f>IF((phi!AP139),VLOOKUP(AP$1,main!$A$3:$I$56,5,FALSE)-VLOOKUP($A194,main!$A$3:$I$56,6,FALSE)+main!$D$59,0)</f>
        <v>0</v>
      </c>
      <c r="AQ194">
        <f>IF((phi!AQ139),VLOOKUP(AQ$1,main!$A$3:$I$56,5,FALSE)-VLOOKUP($A194,main!$A$3:$I$56,6,FALSE)+main!$D$59,0)</f>
        <v>0</v>
      </c>
      <c r="AR194">
        <f>IF((phi!AR139),VLOOKUP(AR$1,main!$A$3:$I$56,5,FALSE)-VLOOKUP($A194,main!$A$3:$I$56,6,FALSE)+main!$D$59,0)</f>
        <v>0</v>
      </c>
      <c r="AS194">
        <f>IF((phi!AS139),VLOOKUP(AS$1,main!$A$3:$I$56,5,FALSE)-VLOOKUP($A194,main!$A$3:$I$56,6,FALSE)+main!$D$59,0)</f>
        <v>395</v>
      </c>
      <c r="AT194">
        <f>IF((phi!AT139),VLOOKUP(AT$1,main!$A$3:$I$56,5,FALSE)-VLOOKUP($A194,main!$A$3:$I$56,6,FALSE)+main!$D$59,0)</f>
        <v>480</v>
      </c>
      <c r="AU194">
        <f>IF((phi!AU139),VLOOKUP(AU$1,main!$A$3:$I$56,5,FALSE)-VLOOKUP($A194,main!$A$3:$I$56,6,FALSE)+main!$D$59,0)</f>
        <v>350</v>
      </c>
      <c r="AV194">
        <f>IF((phi!AV139),VLOOKUP(AV$1,main!$A$3:$I$56,5,FALSE)-VLOOKUP($A194,main!$A$3:$I$56,6,FALSE)+main!$D$59,0)</f>
        <v>380</v>
      </c>
      <c r="AW194">
        <f>IF((phi!AW139),VLOOKUP(AW$1,main!$A$3:$I$56,5,FALSE)-VLOOKUP($A194,main!$A$3:$I$56,6,FALSE)+main!$D$59,0)</f>
        <v>430</v>
      </c>
      <c r="AX194">
        <f>IF((phi!AX139),VLOOKUP(AX$1,main!$A$3:$I$56,5,FALSE)-VLOOKUP($A194,main!$A$3:$I$56,6,FALSE)+main!$D$59,0)</f>
        <v>630</v>
      </c>
      <c r="AY194">
        <f>IF((phi!AY139),VLOOKUP(AY$1,main!$A$3:$I$56,5,FALSE)-VLOOKUP($A194,main!$A$3:$I$56,6,FALSE)+main!$D$59,0)</f>
        <v>830</v>
      </c>
      <c r="AZ194">
        <f>IF((phi!AZ139),VLOOKUP(AZ$1,main!$A$3:$I$56,5,FALSE)-VLOOKUP($A194,main!$A$3:$I$56,6,FALSE)+main!$D$59,0)</f>
        <v>0</v>
      </c>
      <c r="BA194">
        <f>IF((phi!BA139),VLOOKUP(BA$1,main!$A$3:$I$56,5,FALSE)-VLOOKUP($A194,main!$A$3:$I$56,6,FALSE)+main!$D$59,0)</f>
        <v>395</v>
      </c>
      <c r="BB194">
        <f>IF((phi!BB139),VLOOKUP(BB$1,main!$A$3:$I$56,5,FALSE)-VLOOKUP($A194,main!$A$3:$I$56,6,FALSE)+main!$D$59,0)</f>
        <v>410</v>
      </c>
      <c r="BC194">
        <f>IF((phi!BC139),VLOOKUP(BC$1,main!$A$3:$I$56,5,FALSE)-VLOOKUP($A194,main!$A$3:$I$56,6,FALSE)+main!$D$59,0)</f>
        <v>595</v>
      </c>
      <c r="BD194">
        <f>IF((phi!BD139),VLOOKUP(BD$1,main!$A$3:$I$56,5,FALSE)-VLOOKUP($A194,main!$A$3:$I$56,6,FALSE)+main!$D$59,0)</f>
        <v>605</v>
      </c>
    </row>
    <row r="195" spans="1:56" x14ac:dyDescent="0.25">
      <c r="A195">
        <f t="shared" si="5"/>
        <v>28</v>
      </c>
      <c r="B195">
        <v>0</v>
      </c>
      <c r="C195">
        <f>IF((phi!C140),VLOOKUP(C$1,main!$A$3:$I$56,5,FALSE)-VLOOKUP($A195,main!$A$3:$I$56,6,FALSE)+main!$D$59,0)</f>
        <v>0</v>
      </c>
      <c r="D195">
        <f>IF((phi!D140),VLOOKUP(D$1,main!$A$3:$I$56,5,FALSE)-VLOOKUP($A195,main!$A$3:$I$56,6,FALSE)+main!$D$59,0)</f>
        <v>0</v>
      </c>
      <c r="E195">
        <f>IF((phi!E140),VLOOKUP(E$1,main!$A$3:$I$56,5,FALSE)-VLOOKUP($A195,main!$A$3:$I$56,6,FALSE)+main!$D$59,0)</f>
        <v>0</v>
      </c>
      <c r="F195">
        <f>IF((phi!F140),VLOOKUP(F$1,main!$A$3:$I$56,5,FALSE)-VLOOKUP($A195,main!$A$3:$I$56,6,FALSE)+main!$D$59,0)</f>
        <v>0</v>
      </c>
      <c r="G195">
        <f>IF((phi!G140),VLOOKUP(G$1,main!$A$3:$I$56,5,FALSE)-VLOOKUP($A195,main!$A$3:$I$56,6,FALSE)+main!$D$59,0)</f>
        <v>295</v>
      </c>
      <c r="H195">
        <f>IF((phi!H140),VLOOKUP(H$1,main!$A$3:$I$56,5,FALSE)-VLOOKUP($A195,main!$A$3:$I$56,6,FALSE)+main!$D$59,0)</f>
        <v>355</v>
      </c>
      <c r="I195">
        <f>IF((phi!I140),VLOOKUP(I$1,main!$A$3:$I$56,5,FALSE)-VLOOKUP($A195,main!$A$3:$I$56,6,FALSE)+main!$D$59,0)</f>
        <v>415</v>
      </c>
      <c r="J195">
        <f>IF((phi!J140),VLOOKUP(J$1,main!$A$3:$I$56,5,FALSE)-VLOOKUP($A195,main!$A$3:$I$56,6,FALSE)+main!$D$59,0)</f>
        <v>505</v>
      </c>
      <c r="K195">
        <f>IF((phi!K140),VLOOKUP(K$1,main!$A$3:$I$56,5,FALSE)-VLOOKUP($A195,main!$A$3:$I$56,6,FALSE)+main!$D$59,0)</f>
        <v>0</v>
      </c>
      <c r="L195">
        <f>IF((phi!L140),VLOOKUP(L$1,main!$A$3:$I$56,5,FALSE)-VLOOKUP($A195,main!$A$3:$I$56,6,FALSE)+main!$D$59,0)</f>
        <v>0</v>
      </c>
      <c r="M195">
        <f>IF((phi!M140),VLOOKUP(M$1,main!$A$3:$I$56,5,FALSE)-VLOOKUP($A195,main!$A$3:$I$56,6,FALSE)+main!$D$59,0)</f>
        <v>0</v>
      </c>
      <c r="N195">
        <f>IF((phi!N140),VLOOKUP(N$1,main!$A$3:$I$56,5,FALSE)-VLOOKUP($A195,main!$A$3:$I$56,6,FALSE)+main!$D$59,0)</f>
        <v>470</v>
      </c>
      <c r="O195">
        <f>IF((phi!O140),VLOOKUP(O$1,main!$A$3:$I$56,5,FALSE)-VLOOKUP($A195,main!$A$3:$I$56,6,FALSE)+main!$D$59,0)</f>
        <v>530</v>
      </c>
      <c r="P195">
        <f>IF((phi!P140),VLOOKUP(P$1,main!$A$3:$I$56,5,FALSE)-VLOOKUP($A195,main!$A$3:$I$56,6,FALSE)+main!$D$59,0)</f>
        <v>0</v>
      </c>
      <c r="Q195">
        <f>IF((phi!Q140),VLOOKUP(Q$1,main!$A$3:$I$56,5,FALSE)-VLOOKUP($A195,main!$A$3:$I$56,6,FALSE)+main!$D$59,0)</f>
        <v>0</v>
      </c>
      <c r="R195">
        <f>IF((phi!R140),VLOOKUP(R$1,main!$A$3:$I$56,5,FALSE)-VLOOKUP($A195,main!$A$3:$I$56,6,FALSE)+main!$D$59,0)</f>
        <v>0</v>
      </c>
      <c r="S195">
        <f>IF((phi!S140),VLOOKUP(S$1,main!$A$3:$I$56,5,FALSE)-VLOOKUP($A195,main!$A$3:$I$56,6,FALSE)+main!$D$59,0)</f>
        <v>285</v>
      </c>
      <c r="T195">
        <f>IF((phi!T140),VLOOKUP(T$1,main!$A$3:$I$56,5,FALSE)-VLOOKUP($A195,main!$A$3:$I$56,6,FALSE)+main!$D$59,0)</f>
        <v>435</v>
      </c>
      <c r="U195">
        <f>IF((phi!U140),VLOOKUP(U$1,main!$A$3:$I$56,5,FALSE)-VLOOKUP($A195,main!$A$3:$I$56,6,FALSE)+main!$D$59,0)</f>
        <v>0</v>
      </c>
      <c r="V195">
        <f>IF((phi!V140),VLOOKUP(V$1,main!$A$3:$I$56,5,FALSE)-VLOOKUP($A195,main!$A$3:$I$56,6,FALSE)+main!$D$59,0)</f>
        <v>0</v>
      </c>
      <c r="W195">
        <f>IF((phi!W140),VLOOKUP(W$1,main!$A$3:$I$56,5,FALSE)-VLOOKUP($A195,main!$A$3:$I$56,6,FALSE)+main!$D$59,0)</f>
        <v>0</v>
      </c>
      <c r="X195">
        <f>IF((phi!X140),VLOOKUP(X$1,main!$A$3:$I$56,5,FALSE)-VLOOKUP($A195,main!$A$3:$I$56,6,FALSE)+main!$D$59,0)</f>
        <v>125</v>
      </c>
      <c r="Y195">
        <f>IF((phi!Y140),VLOOKUP(Y$1,main!$A$3:$I$56,5,FALSE)-VLOOKUP($A195,main!$A$3:$I$56,6,FALSE)+main!$D$59,0)</f>
        <v>215</v>
      </c>
      <c r="Z195">
        <f>IF((phi!Z140),VLOOKUP(Z$1,main!$A$3:$I$56,5,FALSE)-VLOOKUP($A195,main!$A$3:$I$56,6,FALSE)+main!$D$59,0)</f>
        <v>305</v>
      </c>
      <c r="AA195">
        <f>IF((phi!AA140),VLOOKUP(AA$1,main!$A$3:$I$56,5,FALSE)-VLOOKUP($A195,main!$A$3:$I$56,6,FALSE)+main!$D$59,0)</f>
        <v>395</v>
      </c>
      <c r="AB195">
        <f>IF((phi!AB140),VLOOKUP(AB$1,main!$A$3:$I$56,5,FALSE)-VLOOKUP($A195,main!$A$3:$I$56,6,FALSE)+main!$D$59,0)</f>
        <v>455</v>
      </c>
      <c r="AC195">
        <f>IF((phi!AC140),VLOOKUP(AC$1,main!$A$3:$I$56,5,FALSE)-VLOOKUP($A195,main!$A$3:$I$56,6,FALSE)+main!$D$59,0)</f>
        <v>0</v>
      </c>
      <c r="AD195">
        <f>IF((phi!AD140),VLOOKUP(AD$1,main!$A$3:$I$56,5,FALSE)-VLOOKUP($A195,main!$A$3:$I$56,6,FALSE)+main!$D$59,0)</f>
        <v>0</v>
      </c>
      <c r="AE195">
        <f>IF((phi!AE140),VLOOKUP(AE$1,main!$A$3:$I$56,5,FALSE)-VLOOKUP($A195,main!$A$3:$I$56,6,FALSE)+main!$D$59,0)</f>
        <v>115</v>
      </c>
      <c r="AF195">
        <f>IF((phi!AF140),VLOOKUP(AF$1,main!$A$3:$I$56,5,FALSE)-VLOOKUP($A195,main!$A$3:$I$56,6,FALSE)+main!$D$59,0)</f>
        <v>265</v>
      </c>
      <c r="AG195">
        <f>IF((phi!AG140),VLOOKUP(AG$1,main!$A$3:$I$56,5,FALSE)-VLOOKUP($A195,main!$A$3:$I$56,6,FALSE)+main!$D$59,0)</f>
        <v>0</v>
      </c>
      <c r="AH195">
        <f>IF((phi!AH140),VLOOKUP(AH$1,main!$A$3:$I$56,5,FALSE)-VLOOKUP($A195,main!$A$3:$I$56,6,FALSE)+main!$D$59,0)</f>
        <v>0</v>
      </c>
      <c r="AI195">
        <f>IF((phi!AI140),VLOOKUP(AI$1,main!$A$3:$I$56,5,FALSE)-VLOOKUP($A195,main!$A$3:$I$56,6,FALSE)+main!$D$59,0)</f>
        <v>0</v>
      </c>
      <c r="AJ195">
        <f>IF((phi!AJ140),VLOOKUP(AJ$1,main!$A$3:$I$56,5,FALSE)-VLOOKUP($A195,main!$A$3:$I$56,6,FALSE)+main!$D$59,0)</f>
        <v>0</v>
      </c>
      <c r="AK195">
        <f>IF((phi!AK140),VLOOKUP(AK$1,main!$A$3:$I$56,5,FALSE)-VLOOKUP($A195,main!$A$3:$I$56,6,FALSE)+main!$D$59,0)</f>
        <v>355</v>
      </c>
      <c r="AL195">
        <f>IF((phi!AL140),VLOOKUP(AL$1,main!$A$3:$I$56,5,FALSE)-VLOOKUP($A195,main!$A$3:$I$56,6,FALSE)+main!$D$59,0)</f>
        <v>0</v>
      </c>
      <c r="AM195">
        <f>IF((phi!AM140),VLOOKUP(AM$1,main!$A$3:$I$56,5,FALSE)-VLOOKUP($A195,main!$A$3:$I$56,6,FALSE)+main!$D$59,0)</f>
        <v>0</v>
      </c>
      <c r="AN195">
        <f>IF((phi!AN140),VLOOKUP(AN$1,main!$A$3:$I$56,5,FALSE)-VLOOKUP($A195,main!$A$3:$I$56,6,FALSE)+main!$D$59,0)</f>
        <v>0</v>
      </c>
      <c r="AO195">
        <f>IF((phi!AO140),VLOOKUP(AO$1,main!$A$3:$I$56,5,FALSE)-VLOOKUP($A195,main!$A$3:$I$56,6,FALSE)+main!$D$59,0)</f>
        <v>265</v>
      </c>
      <c r="AP195">
        <f>IF((phi!AP140),VLOOKUP(AP$1,main!$A$3:$I$56,5,FALSE)-VLOOKUP($A195,main!$A$3:$I$56,6,FALSE)+main!$D$59,0)</f>
        <v>0</v>
      </c>
      <c r="AQ195">
        <f>IF((phi!AQ140),VLOOKUP(AQ$1,main!$A$3:$I$56,5,FALSE)-VLOOKUP($A195,main!$A$3:$I$56,6,FALSE)+main!$D$59,0)</f>
        <v>0</v>
      </c>
      <c r="AR195">
        <f>IF((phi!AR140),VLOOKUP(AR$1,main!$A$3:$I$56,5,FALSE)-VLOOKUP($A195,main!$A$3:$I$56,6,FALSE)+main!$D$59,0)</f>
        <v>0</v>
      </c>
      <c r="AS195">
        <f>IF((phi!AS140),VLOOKUP(AS$1,main!$A$3:$I$56,5,FALSE)-VLOOKUP($A195,main!$A$3:$I$56,6,FALSE)+main!$D$59,0)</f>
        <v>0</v>
      </c>
      <c r="AT195">
        <f>IF((phi!AT140),VLOOKUP(AT$1,main!$A$3:$I$56,5,FALSE)-VLOOKUP($A195,main!$A$3:$I$56,6,FALSE)+main!$D$59,0)</f>
        <v>0</v>
      </c>
      <c r="AU195">
        <f>IF((phi!AU140),VLOOKUP(AU$1,main!$A$3:$I$56,5,FALSE)-VLOOKUP($A195,main!$A$3:$I$56,6,FALSE)+main!$D$59,0)</f>
        <v>0</v>
      </c>
      <c r="AV195">
        <f>IF((phi!AV140),VLOOKUP(AV$1,main!$A$3:$I$56,5,FALSE)-VLOOKUP($A195,main!$A$3:$I$56,6,FALSE)+main!$D$59,0)</f>
        <v>0</v>
      </c>
      <c r="AW195">
        <f>IF((phi!AW140),VLOOKUP(AW$1,main!$A$3:$I$56,5,FALSE)-VLOOKUP($A195,main!$A$3:$I$56,6,FALSE)+main!$D$59,0)</f>
        <v>0</v>
      </c>
      <c r="AX195">
        <f>IF((phi!AX140),VLOOKUP(AX$1,main!$A$3:$I$56,5,FALSE)-VLOOKUP($A195,main!$A$3:$I$56,6,FALSE)+main!$D$59,0)</f>
        <v>315</v>
      </c>
      <c r="AY195">
        <f>IF((phi!AY140),VLOOKUP(AY$1,main!$A$3:$I$56,5,FALSE)-VLOOKUP($A195,main!$A$3:$I$56,6,FALSE)+main!$D$59,0)</f>
        <v>515</v>
      </c>
      <c r="AZ195">
        <f>IF((phi!AZ140),VLOOKUP(AZ$1,main!$A$3:$I$56,5,FALSE)-VLOOKUP($A195,main!$A$3:$I$56,6,FALSE)+main!$D$59,0)</f>
        <v>0</v>
      </c>
      <c r="BA195">
        <f>IF((phi!BA140),VLOOKUP(BA$1,main!$A$3:$I$56,5,FALSE)-VLOOKUP($A195,main!$A$3:$I$56,6,FALSE)+main!$D$59,0)</f>
        <v>0</v>
      </c>
      <c r="BB195">
        <f>IF((phi!BB140),VLOOKUP(BB$1,main!$A$3:$I$56,5,FALSE)-VLOOKUP($A195,main!$A$3:$I$56,6,FALSE)+main!$D$59,0)</f>
        <v>0</v>
      </c>
      <c r="BC195">
        <f>IF((phi!BC140),VLOOKUP(BC$1,main!$A$3:$I$56,5,FALSE)-VLOOKUP($A195,main!$A$3:$I$56,6,FALSE)+main!$D$59,0)</f>
        <v>280</v>
      </c>
      <c r="BD195">
        <f>IF((phi!BD140),VLOOKUP(BD$1,main!$A$3:$I$56,5,FALSE)-VLOOKUP($A195,main!$A$3:$I$56,6,FALSE)+main!$D$59,0)</f>
        <v>290</v>
      </c>
    </row>
    <row r="196" spans="1:56" x14ac:dyDescent="0.25">
      <c r="A196">
        <f t="shared" si="5"/>
        <v>29</v>
      </c>
      <c r="B196">
        <v>0</v>
      </c>
      <c r="C196">
        <f>IF((phi!C141),VLOOKUP(C$1,main!$A$3:$I$56,5,FALSE)-VLOOKUP($A196,main!$A$3:$I$56,6,FALSE)+main!$D$59,0)</f>
        <v>0</v>
      </c>
      <c r="D196">
        <f>IF((phi!D141),VLOOKUP(D$1,main!$A$3:$I$56,5,FALSE)-VLOOKUP($A196,main!$A$3:$I$56,6,FALSE)+main!$D$59,0)</f>
        <v>0</v>
      </c>
      <c r="E196">
        <f>IF((phi!E141),VLOOKUP(E$1,main!$A$3:$I$56,5,FALSE)-VLOOKUP($A196,main!$A$3:$I$56,6,FALSE)+main!$D$59,0)</f>
        <v>0</v>
      </c>
      <c r="F196">
        <f>IF((phi!F141),VLOOKUP(F$1,main!$A$3:$I$56,5,FALSE)-VLOOKUP($A196,main!$A$3:$I$56,6,FALSE)+main!$D$59,0)</f>
        <v>0</v>
      </c>
      <c r="G196">
        <f>IF((phi!G141),VLOOKUP(G$1,main!$A$3:$I$56,5,FALSE)-VLOOKUP($A196,main!$A$3:$I$56,6,FALSE)+main!$D$59,0)</f>
        <v>0</v>
      </c>
      <c r="H196">
        <f>IF((phi!H141),VLOOKUP(H$1,main!$A$3:$I$56,5,FALSE)-VLOOKUP($A196,main!$A$3:$I$56,6,FALSE)+main!$D$59,0)</f>
        <v>0</v>
      </c>
      <c r="I196">
        <f>IF((phi!I141),VLOOKUP(I$1,main!$A$3:$I$56,5,FALSE)-VLOOKUP($A196,main!$A$3:$I$56,6,FALSE)+main!$D$59,0)</f>
        <v>0</v>
      </c>
      <c r="J196">
        <f>IF((phi!J141),VLOOKUP(J$1,main!$A$3:$I$56,5,FALSE)-VLOOKUP($A196,main!$A$3:$I$56,6,FALSE)+main!$D$59,0)</f>
        <v>320</v>
      </c>
      <c r="K196">
        <f>IF((phi!K141),VLOOKUP(K$1,main!$A$3:$I$56,5,FALSE)-VLOOKUP($A196,main!$A$3:$I$56,6,FALSE)+main!$D$59,0)</f>
        <v>0</v>
      </c>
      <c r="L196">
        <f>IF((phi!L141),VLOOKUP(L$1,main!$A$3:$I$56,5,FALSE)-VLOOKUP($A196,main!$A$3:$I$56,6,FALSE)+main!$D$59,0)</f>
        <v>0</v>
      </c>
      <c r="M196">
        <f>IF((phi!M141),VLOOKUP(M$1,main!$A$3:$I$56,5,FALSE)-VLOOKUP($A196,main!$A$3:$I$56,6,FALSE)+main!$D$59,0)</f>
        <v>0</v>
      </c>
      <c r="N196">
        <f>IF((phi!N141),VLOOKUP(N$1,main!$A$3:$I$56,5,FALSE)-VLOOKUP($A196,main!$A$3:$I$56,6,FALSE)+main!$D$59,0)</f>
        <v>285</v>
      </c>
      <c r="O196">
        <f>IF((phi!O141),VLOOKUP(O$1,main!$A$3:$I$56,5,FALSE)-VLOOKUP($A196,main!$A$3:$I$56,6,FALSE)+main!$D$59,0)</f>
        <v>345</v>
      </c>
      <c r="P196">
        <f>IF((phi!P141),VLOOKUP(P$1,main!$A$3:$I$56,5,FALSE)-VLOOKUP($A196,main!$A$3:$I$56,6,FALSE)+main!$D$59,0)</f>
        <v>0</v>
      </c>
      <c r="Q196">
        <f>IF((phi!Q141),VLOOKUP(Q$1,main!$A$3:$I$56,5,FALSE)-VLOOKUP($A196,main!$A$3:$I$56,6,FALSE)+main!$D$59,0)</f>
        <v>0</v>
      </c>
      <c r="R196">
        <f>IF((phi!R141),VLOOKUP(R$1,main!$A$3:$I$56,5,FALSE)-VLOOKUP($A196,main!$A$3:$I$56,6,FALSE)+main!$D$59,0)</f>
        <v>0</v>
      </c>
      <c r="S196">
        <f>IF((phi!S141),VLOOKUP(S$1,main!$A$3:$I$56,5,FALSE)-VLOOKUP($A196,main!$A$3:$I$56,6,FALSE)+main!$D$59,0)</f>
        <v>0</v>
      </c>
      <c r="T196">
        <f>IF((phi!T141),VLOOKUP(T$1,main!$A$3:$I$56,5,FALSE)-VLOOKUP($A196,main!$A$3:$I$56,6,FALSE)+main!$D$59,0)</f>
        <v>250</v>
      </c>
      <c r="U196">
        <f>IF((phi!U141),VLOOKUP(U$1,main!$A$3:$I$56,5,FALSE)-VLOOKUP($A196,main!$A$3:$I$56,6,FALSE)+main!$D$59,0)</f>
        <v>0</v>
      </c>
      <c r="V196">
        <f>IF((phi!V141),VLOOKUP(V$1,main!$A$3:$I$56,5,FALSE)-VLOOKUP($A196,main!$A$3:$I$56,6,FALSE)+main!$D$59,0)</f>
        <v>0</v>
      </c>
      <c r="W196">
        <f>IF((phi!W141),VLOOKUP(W$1,main!$A$3:$I$56,5,FALSE)-VLOOKUP($A196,main!$A$3:$I$56,6,FALSE)+main!$D$59,0)</f>
        <v>0</v>
      </c>
      <c r="X196">
        <f>IF((phi!X141),VLOOKUP(X$1,main!$A$3:$I$56,5,FALSE)-VLOOKUP($A196,main!$A$3:$I$56,6,FALSE)+main!$D$59,0)</f>
        <v>0</v>
      </c>
      <c r="Y196">
        <f>IF((phi!Y141),VLOOKUP(Y$1,main!$A$3:$I$56,5,FALSE)-VLOOKUP($A196,main!$A$3:$I$56,6,FALSE)+main!$D$59,0)</f>
        <v>0</v>
      </c>
      <c r="Z196">
        <f>IF((phi!Z141),VLOOKUP(Z$1,main!$A$3:$I$56,5,FALSE)-VLOOKUP($A196,main!$A$3:$I$56,6,FALSE)+main!$D$59,0)</f>
        <v>120</v>
      </c>
      <c r="AA196">
        <f>IF((phi!AA141),VLOOKUP(AA$1,main!$A$3:$I$56,5,FALSE)-VLOOKUP($A196,main!$A$3:$I$56,6,FALSE)+main!$D$59,0)</f>
        <v>210</v>
      </c>
      <c r="AB196">
        <f>IF((phi!AB141),VLOOKUP(AB$1,main!$A$3:$I$56,5,FALSE)-VLOOKUP($A196,main!$A$3:$I$56,6,FALSE)+main!$D$59,0)</f>
        <v>270</v>
      </c>
      <c r="AC196">
        <f>IF((phi!AC141),VLOOKUP(AC$1,main!$A$3:$I$56,5,FALSE)-VLOOKUP($A196,main!$A$3:$I$56,6,FALSE)+main!$D$59,0)</f>
        <v>0</v>
      </c>
      <c r="AD196">
        <f>IF((phi!AD141),VLOOKUP(AD$1,main!$A$3:$I$56,5,FALSE)-VLOOKUP($A196,main!$A$3:$I$56,6,FALSE)+main!$D$59,0)</f>
        <v>0</v>
      </c>
      <c r="AE196">
        <f>IF((phi!AE141),VLOOKUP(AE$1,main!$A$3:$I$56,5,FALSE)-VLOOKUP($A196,main!$A$3:$I$56,6,FALSE)+main!$D$59,0)</f>
        <v>0</v>
      </c>
      <c r="AF196">
        <f>IF((phi!AF141),VLOOKUP(AF$1,main!$A$3:$I$56,5,FALSE)-VLOOKUP($A196,main!$A$3:$I$56,6,FALSE)+main!$D$59,0)</f>
        <v>0</v>
      </c>
      <c r="AG196">
        <f>IF((phi!AG141),VLOOKUP(AG$1,main!$A$3:$I$56,5,FALSE)-VLOOKUP($A196,main!$A$3:$I$56,6,FALSE)+main!$D$59,0)</f>
        <v>0</v>
      </c>
      <c r="AH196">
        <f>IF((phi!AH141),VLOOKUP(AH$1,main!$A$3:$I$56,5,FALSE)-VLOOKUP($A196,main!$A$3:$I$56,6,FALSE)+main!$D$59,0)</f>
        <v>0</v>
      </c>
      <c r="AI196">
        <f>IF((phi!AI141),VLOOKUP(AI$1,main!$A$3:$I$56,5,FALSE)-VLOOKUP($A196,main!$A$3:$I$56,6,FALSE)+main!$D$59,0)</f>
        <v>0</v>
      </c>
      <c r="AJ196">
        <f>IF((phi!AJ141),VLOOKUP(AJ$1,main!$A$3:$I$56,5,FALSE)-VLOOKUP($A196,main!$A$3:$I$56,6,FALSE)+main!$D$59,0)</f>
        <v>0</v>
      </c>
      <c r="AK196">
        <f>IF((phi!AK141),VLOOKUP(AK$1,main!$A$3:$I$56,5,FALSE)-VLOOKUP($A196,main!$A$3:$I$56,6,FALSE)+main!$D$59,0)</f>
        <v>0</v>
      </c>
      <c r="AL196">
        <f>IF((phi!AL141),VLOOKUP(AL$1,main!$A$3:$I$56,5,FALSE)-VLOOKUP($A196,main!$A$3:$I$56,6,FALSE)+main!$D$59,0)</f>
        <v>0</v>
      </c>
      <c r="AM196">
        <f>IF((phi!AM141),VLOOKUP(AM$1,main!$A$3:$I$56,5,FALSE)-VLOOKUP($A196,main!$A$3:$I$56,6,FALSE)+main!$D$59,0)</f>
        <v>0</v>
      </c>
      <c r="AN196">
        <f>IF((phi!AN141),VLOOKUP(AN$1,main!$A$3:$I$56,5,FALSE)-VLOOKUP($A196,main!$A$3:$I$56,6,FALSE)+main!$D$59,0)</f>
        <v>0</v>
      </c>
      <c r="AO196">
        <f>IF((phi!AO141),VLOOKUP(AO$1,main!$A$3:$I$56,5,FALSE)-VLOOKUP($A196,main!$A$3:$I$56,6,FALSE)+main!$D$59,0)</f>
        <v>0</v>
      </c>
      <c r="AP196">
        <f>IF((phi!AP141),VLOOKUP(AP$1,main!$A$3:$I$56,5,FALSE)-VLOOKUP($A196,main!$A$3:$I$56,6,FALSE)+main!$D$59,0)</f>
        <v>0</v>
      </c>
      <c r="AQ196">
        <f>IF((phi!AQ141),VLOOKUP(AQ$1,main!$A$3:$I$56,5,FALSE)-VLOOKUP($A196,main!$A$3:$I$56,6,FALSE)+main!$D$59,0)</f>
        <v>0</v>
      </c>
      <c r="AR196">
        <f>IF((phi!AR141),VLOOKUP(AR$1,main!$A$3:$I$56,5,FALSE)-VLOOKUP($A196,main!$A$3:$I$56,6,FALSE)+main!$D$59,0)</f>
        <v>0</v>
      </c>
      <c r="AS196">
        <f>IF((phi!AS141),VLOOKUP(AS$1,main!$A$3:$I$56,5,FALSE)-VLOOKUP($A196,main!$A$3:$I$56,6,FALSE)+main!$D$59,0)</f>
        <v>0</v>
      </c>
      <c r="AT196">
        <f>IF((phi!AT141),VLOOKUP(AT$1,main!$A$3:$I$56,5,FALSE)-VLOOKUP($A196,main!$A$3:$I$56,6,FALSE)+main!$D$59,0)</f>
        <v>0</v>
      </c>
      <c r="AU196">
        <f>IF((phi!AU141),VLOOKUP(AU$1,main!$A$3:$I$56,5,FALSE)-VLOOKUP($A196,main!$A$3:$I$56,6,FALSE)+main!$D$59,0)</f>
        <v>0</v>
      </c>
      <c r="AV196">
        <f>IF((phi!AV141),VLOOKUP(AV$1,main!$A$3:$I$56,5,FALSE)-VLOOKUP($A196,main!$A$3:$I$56,6,FALSE)+main!$D$59,0)</f>
        <v>0</v>
      </c>
      <c r="AW196">
        <f>IF((phi!AW141),VLOOKUP(AW$1,main!$A$3:$I$56,5,FALSE)-VLOOKUP($A196,main!$A$3:$I$56,6,FALSE)+main!$D$59,0)</f>
        <v>0</v>
      </c>
      <c r="AX196">
        <f>IF((phi!AX141),VLOOKUP(AX$1,main!$A$3:$I$56,5,FALSE)-VLOOKUP($A196,main!$A$3:$I$56,6,FALSE)+main!$D$59,0)</f>
        <v>0</v>
      </c>
      <c r="AY196">
        <f>IF((phi!AY141),VLOOKUP(AY$1,main!$A$3:$I$56,5,FALSE)-VLOOKUP($A196,main!$A$3:$I$56,6,FALSE)+main!$D$59,0)</f>
        <v>330</v>
      </c>
      <c r="AZ196">
        <f>IF((phi!AZ141),VLOOKUP(AZ$1,main!$A$3:$I$56,5,FALSE)-VLOOKUP($A196,main!$A$3:$I$56,6,FALSE)+main!$D$59,0)</f>
        <v>0</v>
      </c>
      <c r="BA196">
        <f>IF((phi!BA141),VLOOKUP(BA$1,main!$A$3:$I$56,5,FALSE)-VLOOKUP($A196,main!$A$3:$I$56,6,FALSE)+main!$D$59,0)</f>
        <v>0</v>
      </c>
      <c r="BB196">
        <f>IF((phi!BB141),VLOOKUP(BB$1,main!$A$3:$I$56,5,FALSE)-VLOOKUP($A196,main!$A$3:$I$56,6,FALSE)+main!$D$59,0)</f>
        <v>0</v>
      </c>
      <c r="BC196">
        <f>IF((phi!BC141),VLOOKUP(BC$1,main!$A$3:$I$56,5,FALSE)-VLOOKUP($A196,main!$A$3:$I$56,6,FALSE)+main!$D$59,0)</f>
        <v>0</v>
      </c>
      <c r="BD196">
        <f>IF((phi!BD141),VLOOKUP(BD$1,main!$A$3:$I$56,5,FALSE)-VLOOKUP($A196,main!$A$3:$I$56,6,FALSE)+main!$D$59,0)</f>
        <v>0</v>
      </c>
    </row>
    <row r="197" spans="1:56" x14ac:dyDescent="0.25">
      <c r="A197">
        <f t="shared" si="5"/>
        <v>30</v>
      </c>
      <c r="B197">
        <v>0</v>
      </c>
      <c r="C197">
        <f>IF((phi!C142),VLOOKUP(C$1,main!$A$3:$I$56,5,FALSE)-VLOOKUP($A197,main!$A$3:$I$56,6,FALSE)+main!$D$59,0)</f>
        <v>0</v>
      </c>
      <c r="D197">
        <f>IF((phi!D142),VLOOKUP(D$1,main!$A$3:$I$56,5,FALSE)-VLOOKUP($A197,main!$A$3:$I$56,6,FALSE)+main!$D$59,0)</f>
        <v>0</v>
      </c>
      <c r="E197">
        <f>IF((phi!E142),VLOOKUP(E$1,main!$A$3:$I$56,5,FALSE)-VLOOKUP($A197,main!$A$3:$I$56,6,FALSE)+main!$D$59,0)</f>
        <v>0</v>
      </c>
      <c r="F197">
        <f>IF((phi!F142),VLOOKUP(F$1,main!$A$3:$I$56,5,FALSE)-VLOOKUP($A197,main!$A$3:$I$56,6,FALSE)+main!$D$59,0)</f>
        <v>0</v>
      </c>
      <c r="G197">
        <f>IF((phi!G142),VLOOKUP(G$1,main!$A$3:$I$56,5,FALSE)-VLOOKUP($A197,main!$A$3:$I$56,6,FALSE)+main!$D$59,0)</f>
        <v>0</v>
      </c>
      <c r="H197">
        <f>IF((phi!H142),VLOOKUP(H$1,main!$A$3:$I$56,5,FALSE)-VLOOKUP($A197,main!$A$3:$I$56,6,FALSE)+main!$D$59,0)</f>
        <v>0</v>
      </c>
      <c r="I197">
        <f>IF((phi!I142),VLOOKUP(I$1,main!$A$3:$I$56,5,FALSE)-VLOOKUP($A197,main!$A$3:$I$56,6,FALSE)+main!$D$59,0)</f>
        <v>0</v>
      </c>
      <c r="J197">
        <f>IF((phi!J142),VLOOKUP(J$1,main!$A$3:$I$56,5,FALSE)-VLOOKUP($A197,main!$A$3:$I$56,6,FALSE)+main!$D$59,0)</f>
        <v>0</v>
      </c>
      <c r="K197">
        <f>IF((phi!K142),VLOOKUP(K$1,main!$A$3:$I$56,5,FALSE)-VLOOKUP($A197,main!$A$3:$I$56,6,FALSE)+main!$D$59,0)</f>
        <v>0</v>
      </c>
      <c r="L197">
        <f>IF((phi!L142),VLOOKUP(L$1,main!$A$3:$I$56,5,FALSE)-VLOOKUP($A197,main!$A$3:$I$56,6,FALSE)+main!$D$59,0)</f>
        <v>0</v>
      </c>
      <c r="M197">
        <f>IF((phi!M142),VLOOKUP(M$1,main!$A$3:$I$56,5,FALSE)-VLOOKUP($A197,main!$A$3:$I$56,6,FALSE)+main!$D$59,0)</f>
        <v>0</v>
      </c>
      <c r="N197">
        <f>IF((phi!N142),VLOOKUP(N$1,main!$A$3:$I$56,5,FALSE)-VLOOKUP($A197,main!$A$3:$I$56,6,FALSE)+main!$D$59,0)</f>
        <v>0</v>
      </c>
      <c r="O197">
        <f>IF((phi!O142),VLOOKUP(O$1,main!$A$3:$I$56,5,FALSE)-VLOOKUP($A197,main!$A$3:$I$56,6,FALSE)+main!$D$59,0)</f>
        <v>0</v>
      </c>
      <c r="P197">
        <f>IF((phi!P142),VLOOKUP(P$1,main!$A$3:$I$56,5,FALSE)-VLOOKUP($A197,main!$A$3:$I$56,6,FALSE)+main!$D$59,0)</f>
        <v>0</v>
      </c>
      <c r="Q197">
        <f>IF((phi!Q142),VLOOKUP(Q$1,main!$A$3:$I$56,5,FALSE)-VLOOKUP($A197,main!$A$3:$I$56,6,FALSE)+main!$D$59,0)</f>
        <v>0</v>
      </c>
      <c r="R197">
        <f>IF((phi!R142),VLOOKUP(R$1,main!$A$3:$I$56,5,FALSE)-VLOOKUP($A197,main!$A$3:$I$56,6,FALSE)+main!$D$59,0)</f>
        <v>0</v>
      </c>
      <c r="S197">
        <f>IF((phi!S142),VLOOKUP(S$1,main!$A$3:$I$56,5,FALSE)-VLOOKUP($A197,main!$A$3:$I$56,6,FALSE)+main!$D$59,0)</f>
        <v>0</v>
      </c>
      <c r="T197">
        <f>IF((phi!T142),VLOOKUP(T$1,main!$A$3:$I$56,5,FALSE)-VLOOKUP($A197,main!$A$3:$I$56,6,FALSE)+main!$D$59,0)</f>
        <v>0</v>
      </c>
      <c r="U197">
        <f>IF((phi!U142),VLOOKUP(U$1,main!$A$3:$I$56,5,FALSE)-VLOOKUP($A197,main!$A$3:$I$56,6,FALSE)+main!$D$59,0)</f>
        <v>0</v>
      </c>
      <c r="V197">
        <f>IF((phi!V142),VLOOKUP(V$1,main!$A$3:$I$56,5,FALSE)-VLOOKUP($A197,main!$A$3:$I$56,6,FALSE)+main!$D$59,0)</f>
        <v>0</v>
      </c>
      <c r="W197">
        <f>IF((phi!W142),VLOOKUP(W$1,main!$A$3:$I$56,5,FALSE)-VLOOKUP($A197,main!$A$3:$I$56,6,FALSE)+main!$D$59,0)</f>
        <v>0</v>
      </c>
      <c r="X197">
        <f>IF((phi!X142),VLOOKUP(X$1,main!$A$3:$I$56,5,FALSE)-VLOOKUP($A197,main!$A$3:$I$56,6,FALSE)+main!$D$59,0)</f>
        <v>0</v>
      </c>
      <c r="Y197">
        <f>IF((phi!Y142),VLOOKUP(Y$1,main!$A$3:$I$56,5,FALSE)-VLOOKUP($A197,main!$A$3:$I$56,6,FALSE)+main!$D$59,0)</f>
        <v>0</v>
      </c>
      <c r="Z197">
        <f>IF((phi!Z142),VLOOKUP(Z$1,main!$A$3:$I$56,5,FALSE)-VLOOKUP($A197,main!$A$3:$I$56,6,FALSE)+main!$D$59,0)</f>
        <v>0</v>
      </c>
      <c r="AA197">
        <f>IF((phi!AA142),VLOOKUP(AA$1,main!$A$3:$I$56,5,FALSE)-VLOOKUP($A197,main!$A$3:$I$56,6,FALSE)+main!$D$59,0)</f>
        <v>0</v>
      </c>
      <c r="AB197">
        <f>IF((phi!AB142),VLOOKUP(AB$1,main!$A$3:$I$56,5,FALSE)-VLOOKUP($A197,main!$A$3:$I$56,6,FALSE)+main!$D$59,0)</f>
        <v>0</v>
      </c>
      <c r="AC197">
        <f>IF((phi!AC142),VLOOKUP(AC$1,main!$A$3:$I$56,5,FALSE)-VLOOKUP($A197,main!$A$3:$I$56,6,FALSE)+main!$D$59,0)</f>
        <v>0</v>
      </c>
      <c r="AD197">
        <f>IF((phi!AD142),VLOOKUP(AD$1,main!$A$3:$I$56,5,FALSE)-VLOOKUP($A197,main!$A$3:$I$56,6,FALSE)+main!$D$59,0)</f>
        <v>0</v>
      </c>
      <c r="AE197">
        <f>IF((phi!AE142),VLOOKUP(AE$1,main!$A$3:$I$56,5,FALSE)-VLOOKUP($A197,main!$A$3:$I$56,6,FALSE)+main!$D$59,0)</f>
        <v>0</v>
      </c>
      <c r="AF197">
        <f>IF((phi!AF142),VLOOKUP(AF$1,main!$A$3:$I$56,5,FALSE)-VLOOKUP($A197,main!$A$3:$I$56,6,FALSE)+main!$D$59,0)</f>
        <v>0</v>
      </c>
      <c r="AG197">
        <f>IF((phi!AG142),VLOOKUP(AG$1,main!$A$3:$I$56,5,FALSE)-VLOOKUP($A197,main!$A$3:$I$56,6,FALSE)+main!$D$59,0)</f>
        <v>0</v>
      </c>
      <c r="AH197">
        <f>IF((phi!AH142),VLOOKUP(AH$1,main!$A$3:$I$56,5,FALSE)-VLOOKUP($A197,main!$A$3:$I$56,6,FALSE)+main!$D$59,0)</f>
        <v>0</v>
      </c>
      <c r="AI197">
        <f>IF((phi!AI142),VLOOKUP(AI$1,main!$A$3:$I$56,5,FALSE)-VLOOKUP($A197,main!$A$3:$I$56,6,FALSE)+main!$D$59,0)</f>
        <v>0</v>
      </c>
      <c r="AJ197">
        <f>IF((phi!AJ142),VLOOKUP(AJ$1,main!$A$3:$I$56,5,FALSE)-VLOOKUP($A197,main!$A$3:$I$56,6,FALSE)+main!$D$59,0)</f>
        <v>0</v>
      </c>
      <c r="AK197">
        <f>IF((phi!AK142),VLOOKUP(AK$1,main!$A$3:$I$56,5,FALSE)-VLOOKUP($A197,main!$A$3:$I$56,6,FALSE)+main!$D$59,0)</f>
        <v>0</v>
      </c>
      <c r="AL197">
        <f>IF((phi!AL142),VLOOKUP(AL$1,main!$A$3:$I$56,5,FALSE)-VLOOKUP($A197,main!$A$3:$I$56,6,FALSE)+main!$D$59,0)</f>
        <v>0</v>
      </c>
      <c r="AM197">
        <f>IF((phi!AM142),VLOOKUP(AM$1,main!$A$3:$I$56,5,FALSE)-VLOOKUP($A197,main!$A$3:$I$56,6,FALSE)+main!$D$59,0)</f>
        <v>0</v>
      </c>
      <c r="AN197">
        <f>IF((phi!AN142),VLOOKUP(AN$1,main!$A$3:$I$56,5,FALSE)-VLOOKUP($A197,main!$A$3:$I$56,6,FALSE)+main!$D$59,0)</f>
        <v>0</v>
      </c>
      <c r="AO197">
        <f>IF((phi!AO142),VLOOKUP(AO$1,main!$A$3:$I$56,5,FALSE)-VLOOKUP($A197,main!$A$3:$I$56,6,FALSE)+main!$D$59,0)</f>
        <v>0</v>
      </c>
      <c r="AP197">
        <f>IF((phi!AP142),VLOOKUP(AP$1,main!$A$3:$I$56,5,FALSE)-VLOOKUP($A197,main!$A$3:$I$56,6,FALSE)+main!$D$59,0)</f>
        <v>0</v>
      </c>
      <c r="AQ197">
        <f>IF((phi!AQ142),VLOOKUP(AQ$1,main!$A$3:$I$56,5,FALSE)-VLOOKUP($A197,main!$A$3:$I$56,6,FALSE)+main!$D$59,0)</f>
        <v>0</v>
      </c>
      <c r="AR197">
        <f>IF((phi!AR142),VLOOKUP(AR$1,main!$A$3:$I$56,5,FALSE)-VLOOKUP($A197,main!$A$3:$I$56,6,FALSE)+main!$D$59,0)</f>
        <v>0</v>
      </c>
      <c r="AS197">
        <f>IF((phi!AS142),VLOOKUP(AS$1,main!$A$3:$I$56,5,FALSE)-VLOOKUP($A197,main!$A$3:$I$56,6,FALSE)+main!$D$59,0)</f>
        <v>0</v>
      </c>
      <c r="AT197">
        <f>IF((phi!AT142),VLOOKUP(AT$1,main!$A$3:$I$56,5,FALSE)-VLOOKUP($A197,main!$A$3:$I$56,6,FALSE)+main!$D$59,0)</f>
        <v>0</v>
      </c>
      <c r="AU197">
        <f>IF((phi!AU142),VLOOKUP(AU$1,main!$A$3:$I$56,5,FALSE)-VLOOKUP($A197,main!$A$3:$I$56,6,FALSE)+main!$D$59,0)</f>
        <v>0</v>
      </c>
      <c r="AV197">
        <f>IF((phi!AV142),VLOOKUP(AV$1,main!$A$3:$I$56,5,FALSE)-VLOOKUP($A197,main!$A$3:$I$56,6,FALSE)+main!$D$59,0)</f>
        <v>0</v>
      </c>
      <c r="AW197">
        <f>IF((phi!AW142),VLOOKUP(AW$1,main!$A$3:$I$56,5,FALSE)-VLOOKUP($A197,main!$A$3:$I$56,6,FALSE)+main!$D$59,0)</f>
        <v>0</v>
      </c>
      <c r="AX197">
        <f>IF((phi!AX142),VLOOKUP(AX$1,main!$A$3:$I$56,5,FALSE)-VLOOKUP($A197,main!$A$3:$I$56,6,FALSE)+main!$D$59,0)</f>
        <v>0</v>
      </c>
      <c r="AY197">
        <f>IF((phi!AY142),VLOOKUP(AY$1,main!$A$3:$I$56,5,FALSE)-VLOOKUP($A197,main!$A$3:$I$56,6,FALSE)+main!$D$59,0)</f>
        <v>0</v>
      </c>
      <c r="AZ197">
        <f>IF((phi!AZ142),VLOOKUP(AZ$1,main!$A$3:$I$56,5,FALSE)-VLOOKUP($A197,main!$A$3:$I$56,6,FALSE)+main!$D$59,0)</f>
        <v>0</v>
      </c>
      <c r="BA197">
        <f>IF((phi!BA142),VLOOKUP(BA$1,main!$A$3:$I$56,5,FALSE)-VLOOKUP($A197,main!$A$3:$I$56,6,FALSE)+main!$D$59,0)</f>
        <v>0</v>
      </c>
      <c r="BB197">
        <f>IF((phi!BB142),VLOOKUP(BB$1,main!$A$3:$I$56,5,FALSE)-VLOOKUP($A197,main!$A$3:$I$56,6,FALSE)+main!$D$59,0)</f>
        <v>0</v>
      </c>
      <c r="BC197">
        <f>IF((phi!BC142),VLOOKUP(BC$1,main!$A$3:$I$56,5,FALSE)-VLOOKUP($A197,main!$A$3:$I$56,6,FALSE)+main!$D$59,0)</f>
        <v>0</v>
      </c>
      <c r="BD197">
        <f>IF((phi!BD142),VLOOKUP(BD$1,main!$A$3:$I$56,5,FALSE)-VLOOKUP($A197,main!$A$3:$I$56,6,FALSE)+main!$D$59,0)</f>
        <v>0</v>
      </c>
    </row>
    <row r="198" spans="1:56" x14ac:dyDescent="0.25">
      <c r="A198">
        <f t="shared" si="5"/>
        <v>31</v>
      </c>
      <c r="B198">
        <v>0</v>
      </c>
      <c r="C198">
        <f>IF((phi!C143),VLOOKUP(C$1,main!$A$3:$I$56,5,FALSE)-VLOOKUP($A198,main!$A$3:$I$56,6,FALSE)+main!$D$59,0)</f>
        <v>0</v>
      </c>
      <c r="D198">
        <f>IF((phi!D143),VLOOKUP(D$1,main!$A$3:$I$56,5,FALSE)-VLOOKUP($A198,main!$A$3:$I$56,6,FALSE)+main!$D$59,0)</f>
        <v>0</v>
      </c>
      <c r="E198">
        <f>IF((phi!E143),VLOOKUP(E$1,main!$A$3:$I$56,5,FALSE)-VLOOKUP($A198,main!$A$3:$I$56,6,FALSE)+main!$D$59,0)</f>
        <v>0</v>
      </c>
      <c r="F198">
        <f>IF((phi!F143),VLOOKUP(F$1,main!$A$3:$I$56,5,FALSE)-VLOOKUP($A198,main!$A$3:$I$56,6,FALSE)+main!$D$59,0)</f>
        <v>260</v>
      </c>
      <c r="G198">
        <f>IF((phi!G143),VLOOKUP(G$1,main!$A$3:$I$56,5,FALSE)-VLOOKUP($A198,main!$A$3:$I$56,6,FALSE)+main!$D$59,0)</f>
        <v>320</v>
      </c>
      <c r="H198">
        <f>IF((phi!H143),VLOOKUP(H$1,main!$A$3:$I$56,5,FALSE)-VLOOKUP($A198,main!$A$3:$I$56,6,FALSE)+main!$D$59,0)</f>
        <v>380</v>
      </c>
      <c r="I198">
        <f>IF((phi!I143),VLOOKUP(I$1,main!$A$3:$I$56,5,FALSE)-VLOOKUP($A198,main!$A$3:$I$56,6,FALSE)+main!$D$59,0)</f>
        <v>440</v>
      </c>
      <c r="J198">
        <f>IF((phi!J143),VLOOKUP(J$1,main!$A$3:$I$56,5,FALSE)-VLOOKUP($A198,main!$A$3:$I$56,6,FALSE)+main!$D$59,0)</f>
        <v>530</v>
      </c>
      <c r="K198">
        <f>IF((phi!K143),VLOOKUP(K$1,main!$A$3:$I$56,5,FALSE)-VLOOKUP($A198,main!$A$3:$I$56,6,FALSE)+main!$D$59,0)</f>
        <v>0</v>
      </c>
      <c r="L198">
        <f>IF((phi!L143),VLOOKUP(L$1,main!$A$3:$I$56,5,FALSE)-VLOOKUP($A198,main!$A$3:$I$56,6,FALSE)+main!$D$59,0)</f>
        <v>0</v>
      </c>
      <c r="M198">
        <f>IF((phi!M143),VLOOKUP(M$1,main!$A$3:$I$56,5,FALSE)-VLOOKUP($A198,main!$A$3:$I$56,6,FALSE)+main!$D$59,0)</f>
        <v>0</v>
      </c>
      <c r="N198">
        <f>IF((phi!N143),VLOOKUP(N$1,main!$A$3:$I$56,5,FALSE)-VLOOKUP($A198,main!$A$3:$I$56,6,FALSE)+main!$D$59,0)</f>
        <v>495</v>
      </c>
      <c r="O198">
        <f>IF((phi!O143),VLOOKUP(O$1,main!$A$3:$I$56,5,FALSE)-VLOOKUP($A198,main!$A$3:$I$56,6,FALSE)+main!$D$59,0)</f>
        <v>555</v>
      </c>
      <c r="P198">
        <f>IF((phi!P143),VLOOKUP(P$1,main!$A$3:$I$56,5,FALSE)-VLOOKUP($A198,main!$A$3:$I$56,6,FALSE)+main!$D$59,0)</f>
        <v>0</v>
      </c>
      <c r="Q198">
        <f>IF((phi!Q143),VLOOKUP(Q$1,main!$A$3:$I$56,5,FALSE)-VLOOKUP($A198,main!$A$3:$I$56,6,FALSE)+main!$D$59,0)</f>
        <v>0</v>
      </c>
      <c r="R198">
        <f>IF((phi!R143),VLOOKUP(R$1,main!$A$3:$I$56,5,FALSE)-VLOOKUP($A198,main!$A$3:$I$56,6,FALSE)+main!$D$59,0)</f>
        <v>0</v>
      </c>
      <c r="S198">
        <f>IF((phi!S143),VLOOKUP(S$1,main!$A$3:$I$56,5,FALSE)-VLOOKUP($A198,main!$A$3:$I$56,6,FALSE)+main!$D$59,0)</f>
        <v>310</v>
      </c>
      <c r="T198">
        <f>IF((phi!T143),VLOOKUP(T$1,main!$A$3:$I$56,5,FALSE)-VLOOKUP($A198,main!$A$3:$I$56,6,FALSE)+main!$D$59,0)</f>
        <v>460</v>
      </c>
      <c r="U198">
        <f>IF((phi!U143),VLOOKUP(U$1,main!$A$3:$I$56,5,FALSE)-VLOOKUP($A198,main!$A$3:$I$56,6,FALSE)+main!$D$59,0)</f>
        <v>0</v>
      </c>
      <c r="V198">
        <f>IF((phi!V143),VLOOKUP(V$1,main!$A$3:$I$56,5,FALSE)-VLOOKUP($A198,main!$A$3:$I$56,6,FALSE)+main!$D$59,0)</f>
        <v>0</v>
      </c>
      <c r="W198">
        <f>IF((phi!W143),VLOOKUP(W$1,main!$A$3:$I$56,5,FALSE)-VLOOKUP($A198,main!$A$3:$I$56,6,FALSE)+main!$D$59,0)</f>
        <v>0</v>
      </c>
      <c r="X198">
        <f>IF((phi!X143),VLOOKUP(X$1,main!$A$3:$I$56,5,FALSE)-VLOOKUP($A198,main!$A$3:$I$56,6,FALSE)+main!$D$59,0)</f>
        <v>150</v>
      </c>
      <c r="Y198">
        <f>IF((phi!Y143),VLOOKUP(Y$1,main!$A$3:$I$56,5,FALSE)-VLOOKUP($A198,main!$A$3:$I$56,6,FALSE)+main!$D$59,0)</f>
        <v>240</v>
      </c>
      <c r="Z198">
        <f>IF((phi!Z143),VLOOKUP(Z$1,main!$A$3:$I$56,5,FALSE)-VLOOKUP($A198,main!$A$3:$I$56,6,FALSE)+main!$D$59,0)</f>
        <v>330</v>
      </c>
      <c r="AA198">
        <f>IF((phi!AA143),VLOOKUP(AA$1,main!$A$3:$I$56,5,FALSE)-VLOOKUP($A198,main!$A$3:$I$56,6,FALSE)+main!$D$59,0)</f>
        <v>420</v>
      </c>
      <c r="AB198">
        <f>IF((phi!AB143),VLOOKUP(AB$1,main!$A$3:$I$56,5,FALSE)-VLOOKUP($A198,main!$A$3:$I$56,6,FALSE)+main!$D$59,0)</f>
        <v>480</v>
      </c>
      <c r="AC198">
        <f>IF((phi!AC143),VLOOKUP(AC$1,main!$A$3:$I$56,5,FALSE)-VLOOKUP($A198,main!$A$3:$I$56,6,FALSE)+main!$D$59,0)</f>
        <v>0</v>
      </c>
      <c r="AD198">
        <f>IF((phi!AD143),VLOOKUP(AD$1,main!$A$3:$I$56,5,FALSE)-VLOOKUP($A198,main!$A$3:$I$56,6,FALSE)+main!$D$59,0)</f>
        <v>0</v>
      </c>
      <c r="AE198">
        <f>IF((phi!AE143),VLOOKUP(AE$1,main!$A$3:$I$56,5,FALSE)-VLOOKUP($A198,main!$A$3:$I$56,6,FALSE)+main!$D$59,0)</f>
        <v>140</v>
      </c>
      <c r="AF198">
        <f>IF((phi!AF143),VLOOKUP(AF$1,main!$A$3:$I$56,5,FALSE)-VLOOKUP($A198,main!$A$3:$I$56,6,FALSE)+main!$D$59,0)</f>
        <v>290</v>
      </c>
      <c r="AG198">
        <f>IF((phi!AG143),VLOOKUP(AG$1,main!$A$3:$I$56,5,FALSE)-VLOOKUP($A198,main!$A$3:$I$56,6,FALSE)+main!$D$59,0)</f>
        <v>0</v>
      </c>
      <c r="AH198">
        <f>IF((phi!AH143),VLOOKUP(AH$1,main!$A$3:$I$56,5,FALSE)-VLOOKUP($A198,main!$A$3:$I$56,6,FALSE)+main!$D$59,0)</f>
        <v>0</v>
      </c>
      <c r="AI198">
        <f>IF((phi!AI143),VLOOKUP(AI$1,main!$A$3:$I$56,5,FALSE)-VLOOKUP($A198,main!$A$3:$I$56,6,FALSE)+main!$D$59,0)</f>
        <v>0</v>
      </c>
      <c r="AJ198">
        <f>IF((phi!AJ143),VLOOKUP(AJ$1,main!$A$3:$I$56,5,FALSE)-VLOOKUP($A198,main!$A$3:$I$56,6,FALSE)+main!$D$59,0)</f>
        <v>260</v>
      </c>
      <c r="AK198">
        <f>IF((phi!AK143),VLOOKUP(AK$1,main!$A$3:$I$56,5,FALSE)-VLOOKUP($A198,main!$A$3:$I$56,6,FALSE)+main!$D$59,0)</f>
        <v>380</v>
      </c>
      <c r="AL198">
        <f>IF((phi!AL143),VLOOKUP(AL$1,main!$A$3:$I$56,5,FALSE)-VLOOKUP($A198,main!$A$3:$I$56,6,FALSE)+main!$D$59,0)</f>
        <v>0</v>
      </c>
      <c r="AM198">
        <f>IF((phi!AM143),VLOOKUP(AM$1,main!$A$3:$I$56,5,FALSE)-VLOOKUP($A198,main!$A$3:$I$56,6,FALSE)+main!$D$59,0)</f>
        <v>0</v>
      </c>
      <c r="AN198">
        <f>IF((phi!AN143),VLOOKUP(AN$1,main!$A$3:$I$56,5,FALSE)-VLOOKUP($A198,main!$A$3:$I$56,6,FALSE)+main!$D$59,0)</f>
        <v>0</v>
      </c>
      <c r="AO198">
        <f>IF((phi!AO143),VLOOKUP(AO$1,main!$A$3:$I$56,5,FALSE)-VLOOKUP($A198,main!$A$3:$I$56,6,FALSE)+main!$D$59,0)</f>
        <v>290</v>
      </c>
      <c r="AP198">
        <f>IF((phi!AP143),VLOOKUP(AP$1,main!$A$3:$I$56,5,FALSE)-VLOOKUP($A198,main!$A$3:$I$56,6,FALSE)+main!$D$59,0)</f>
        <v>0</v>
      </c>
      <c r="AQ198">
        <f>IF((phi!AQ143),VLOOKUP(AQ$1,main!$A$3:$I$56,5,FALSE)-VLOOKUP($A198,main!$A$3:$I$56,6,FALSE)+main!$D$59,0)</f>
        <v>0</v>
      </c>
      <c r="AR198">
        <f>IF((phi!AR143),VLOOKUP(AR$1,main!$A$3:$I$56,5,FALSE)-VLOOKUP($A198,main!$A$3:$I$56,6,FALSE)+main!$D$59,0)</f>
        <v>0</v>
      </c>
      <c r="AS198">
        <f>IF((phi!AS143),VLOOKUP(AS$1,main!$A$3:$I$56,5,FALSE)-VLOOKUP($A198,main!$A$3:$I$56,6,FALSE)+main!$D$59,0)</f>
        <v>0</v>
      </c>
      <c r="AT198">
        <f>IF((phi!AT143),VLOOKUP(AT$1,main!$A$3:$I$56,5,FALSE)-VLOOKUP($A198,main!$A$3:$I$56,6,FALSE)+main!$D$59,0)</f>
        <v>0</v>
      </c>
      <c r="AU198">
        <f>IF((phi!AU143),VLOOKUP(AU$1,main!$A$3:$I$56,5,FALSE)-VLOOKUP($A198,main!$A$3:$I$56,6,FALSE)+main!$D$59,0)</f>
        <v>0</v>
      </c>
      <c r="AV198">
        <f>IF((phi!AV143),VLOOKUP(AV$1,main!$A$3:$I$56,5,FALSE)-VLOOKUP($A198,main!$A$3:$I$56,6,FALSE)+main!$D$59,0)</f>
        <v>0</v>
      </c>
      <c r="AW198">
        <f>IF((phi!AW143),VLOOKUP(AW$1,main!$A$3:$I$56,5,FALSE)-VLOOKUP($A198,main!$A$3:$I$56,6,FALSE)+main!$D$59,0)</f>
        <v>0</v>
      </c>
      <c r="AX198">
        <f>IF((phi!AX143),VLOOKUP(AX$1,main!$A$3:$I$56,5,FALSE)-VLOOKUP($A198,main!$A$3:$I$56,6,FALSE)+main!$D$59,0)</f>
        <v>340</v>
      </c>
      <c r="AY198">
        <f>IF((phi!AY143),VLOOKUP(AY$1,main!$A$3:$I$56,5,FALSE)-VLOOKUP($A198,main!$A$3:$I$56,6,FALSE)+main!$D$59,0)</f>
        <v>540</v>
      </c>
      <c r="AZ198">
        <f>IF((phi!AZ143),VLOOKUP(AZ$1,main!$A$3:$I$56,5,FALSE)-VLOOKUP($A198,main!$A$3:$I$56,6,FALSE)+main!$D$59,0)</f>
        <v>0</v>
      </c>
      <c r="BA198">
        <f>IF((phi!BA143),VLOOKUP(BA$1,main!$A$3:$I$56,5,FALSE)-VLOOKUP($A198,main!$A$3:$I$56,6,FALSE)+main!$D$59,0)</f>
        <v>0</v>
      </c>
      <c r="BB198">
        <f>IF((phi!BB143),VLOOKUP(BB$1,main!$A$3:$I$56,5,FALSE)-VLOOKUP($A198,main!$A$3:$I$56,6,FALSE)+main!$D$59,0)</f>
        <v>0</v>
      </c>
      <c r="BC198">
        <f>IF((phi!BC143),VLOOKUP(BC$1,main!$A$3:$I$56,5,FALSE)-VLOOKUP($A198,main!$A$3:$I$56,6,FALSE)+main!$D$59,0)</f>
        <v>305</v>
      </c>
      <c r="BD198">
        <f>IF((phi!BD143),VLOOKUP(BD$1,main!$A$3:$I$56,5,FALSE)-VLOOKUP($A198,main!$A$3:$I$56,6,FALSE)+main!$D$59,0)</f>
        <v>315</v>
      </c>
    </row>
    <row r="199" spans="1:56" x14ac:dyDescent="0.25">
      <c r="A199">
        <f t="shared" si="5"/>
        <v>32</v>
      </c>
      <c r="B199">
        <v>0</v>
      </c>
      <c r="C199">
        <f>IF((phi!C144),VLOOKUP(C$1,main!$A$3:$I$56,5,FALSE)-VLOOKUP($A199,main!$A$3:$I$56,6,FALSE)+main!$D$59,0)</f>
        <v>0</v>
      </c>
      <c r="D199">
        <f>IF((phi!D144),VLOOKUP(D$1,main!$A$3:$I$56,5,FALSE)-VLOOKUP($A199,main!$A$3:$I$56,6,FALSE)+main!$D$59,0)</f>
        <v>0</v>
      </c>
      <c r="E199">
        <f>IF((phi!E144),VLOOKUP(E$1,main!$A$3:$I$56,5,FALSE)-VLOOKUP($A199,main!$A$3:$I$56,6,FALSE)+main!$D$59,0)</f>
        <v>0</v>
      </c>
      <c r="F199">
        <f>IF((phi!F144),VLOOKUP(F$1,main!$A$3:$I$56,5,FALSE)-VLOOKUP($A199,main!$A$3:$I$56,6,FALSE)+main!$D$59,0)</f>
        <v>0</v>
      </c>
      <c r="G199">
        <f>IF((phi!G144),VLOOKUP(G$1,main!$A$3:$I$56,5,FALSE)-VLOOKUP($A199,main!$A$3:$I$56,6,FALSE)+main!$D$59,0)</f>
        <v>0</v>
      </c>
      <c r="H199">
        <f>IF((phi!H144),VLOOKUP(H$1,main!$A$3:$I$56,5,FALSE)-VLOOKUP($A199,main!$A$3:$I$56,6,FALSE)+main!$D$59,0)</f>
        <v>0</v>
      </c>
      <c r="I199">
        <f>IF((phi!I144),VLOOKUP(I$1,main!$A$3:$I$56,5,FALSE)-VLOOKUP($A199,main!$A$3:$I$56,6,FALSE)+main!$D$59,0)</f>
        <v>270</v>
      </c>
      <c r="J199">
        <f>IF((phi!J144),VLOOKUP(J$1,main!$A$3:$I$56,5,FALSE)-VLOOKUP($A199,main!$A$3:$I$56,6,FALSE)+main!$D$59,0)</f>
        <v>360</v>
      </c>
      <c r="K199">
        <f>IF((phi!K144),VLOOKUP(K$1,main!$A$3:$I$56,5,FALSE)-VLOOKUP($A199,main!$A$3:$I$56,6,FALSE)+main!$D$59,0)</f>
        <v>0</v>
      </c>
      <c r="L199">
        <f>IF((phi!L144),VLOOKUP(L$1,main!$A$3:$I$56,5,FALSE)-VLOOKUP($A199,main!$A$3:$I$56,6,FALSE)+main!$D$59,0)</f>
        <v>0</v>
      </c>
      <c r="M199">
        <f>IF((phi!M144),VLOOKUP(M$1,main!$A$3:$I$56,5,FALSE)-VLOOKUP($A199,main!$A$3:$I$56,6,FALSE)+main!$D$59,0)</f>
        <v>0</v>
      </c>
      <c r="N199">
        <f>IF((phi!N144),VLOOKUP(N$1,main!$A$3:$I$56,5,FALSE)-VLOOKUP($A199,main!$A$3:$I$56,6,FALSE)+main!$D$59,0)</f>
        <v>325</v>
      </c>
      <c r="O199">
        <f>IF((phi!O144),VLOOKUP(O$1,main!$A$3:$I$56,5,FALSE)-VLOOKUP($A199,main!$A$3:$I$56,6,FALSE)+main!$D$59,0)</f>
        <v>385</v>
      </c>
      <c r="P199">
        <f>IF((phi!P144),VLOOKUP(P$1,main!$A$3:$I$56,5,FALSE)-VLOOKUP($A199,main!$A$3:$I$56,6,FALSE)+main!$D$59,0)</f>
        <v>0</v>
      </c>
      <c r="Q199">
        <f>IF((phi!Q144),VLOOKUP(Q$1,main!$A$3:$I$56,5,FALSE)-VLOOKUP($A199,main!$A$3:$I$56,6,FALSE)+main!$D$59,0)</f>
        <v>0</v>
      </c>
      <c r="R199">
        <f>IF((phi!R144),VLOOKUP(R$1,main!$A$3:$I$56,5,FALSE)-VLOOKUP($A199,main!$A$3:$I$56,6,FALSE)+main!$D$59,0)</f>
        <v>0</v>
      </c>
      <c r="S199">
        <f>IF((phi!S144),VLOOKUP(S$1,main!$A$3:$I$56,5,FALSE)-VLOOKUP($A199,main!$A$3:$I$56,6,FALSE)+main!$D$59,0)</f>
        <v>0</v>
      </c>
      <c r="T199">
        <f>IF((phi!T144),VLOOKUP(T$1,main!$A$3:$I$56,5,FALSE)-VLOOKUP($A199,main!$A$3:$I$56,6,FALSE)+main!$D$59,0)</f>
        <v>290</v>
      </c>
      <c r="U199">
        <f>IF((phi!U144),VLOOKUP(U$1,main!$A$3:$I$56,5,FALSE)-VLOOKUP($A199,main!$A$3:$I$56,6,FALSE)+main!$D$59,0)</f>
        <v>0</v>
      </c>
      <c r="V199">
        <f>IF((phi!V144),VLOOKUP(V$1,main!$A$3:$I$56,5,FALSE)-VLOOKUP($A199,main!$A$3:$I$56,6,FALSE)+main!$D$59,0)</f>
        <v>0</v>
      </c>
      <c r="W199">
        <f>IF((phi!W144),VLOOKUP(W$1,main!$A$3:$I$56,5,FALSE)-VLOOKUP($A199,main!$A$3:$I$56,6,FALSE)+main!$D$59,0)</f>
        <v>0</v>
      </c>
      <c r="X199">
        <f>IF((phi!X144),VLOOKUP(X$1,main!$A$3:$I$56,5,FALSE)-VLOOKUP($A199,main!$A$3:$I$56,6,FALSE)+main!$D$59,0)</f>
        <v>0</v>
      </c>
      <c r="Y199">
        <f>IF((phi!Y144),VLOOKUP(Y$1,main!$A$3:$I$56,5,FALSE)-VLOOKUP($A199,main!$A$3:$I$56,6,FALSE)+main!$D$59,0)</f>
        <v>0</v>
      </c>
      <c r="Z199">
        <f>IF((phi!Z144),VLOOKUP(Z$1,main!$A$3:$I$56,5,FALSE)-VLOOKUP($A199,main!$A$3:$I$56,6,FALSE)+main!$D$59,0)</f>
        <v>160</v>
      </c>
      <c r="AA199">
        <f>IF((phi!AA144),VLOOKUP(AA$1,main!$A$3:$I$56,5,FALSE)-VLOOKUP($A199,main!$A$3:$I$56,6,FALSE)+main!$D$59,0)</f>
        <v>250</v>
      </c>
      <c r="AB199">
        <f>IF((phi!AB144),VLOOKUP(AB$1,main!$A$3:$I$56,5,FALSE)-VLOOKUP($A199,main!$A$3:$I$56,6,FALSE)+main!$D$59,0)</f>
        <v>310</v>
      </c>
      <c r="AC199">
        <f>IF((phi!AC144),VLOOKUP(AC$1,main!$A$3:$I$56,5,FALSE)-VLOOKUP($A199,main!$A$3:$I$56,6,FALSE)+main!$D$59,0)</f>
        <v>0</v>
      </c>
      <c r="AD199">
        <f>IF((phi!AD144),VLOOKUP(AD$1,main!$A$3:$I$56,5,FALSE)-VLOOKUP($A199,main!$A$3:$I$56,6,FALSE)+main!$D$59,0)</f>
        <v>0</v>
      </c>
      <c r="AE199">
        <f>IF((phi!AE144),VLOOKUP(AE$1,main!$A$3:$I$56,5,FALSE)-VLOOKUP($A199,main!$A$3:$I$56,6,FALSE)+main!$D$59,0)</f>
        <v>0</v>
      </c>
      <c r="AF199">
        <f>IF((phi!AF144),VLOOKUP(AF$1,main!$A$3:$I$56,5,FALSE)-VLOOKUP($A199,main!$A$3:$I$56,6,FALSE)+main!$D$59,0)</f>
        <v>120</v>
      </c>
      <c r="AG199">
        <f>IF((phi!AG144),VLOOKUP(AG$1,main!$A$3:$I$56,5,FALSE)-VLOOKUP($A199,main!$A$3:$I$56,6,FALSE)+main!$D$59,0)</f>
        <v>0</v>
      </c>
      <c r="AH199">
        <f>IF((phi!AH144),VLOOKUP(AH$1,main!$A$3:$I$56,5,FALSE)-VLOOKUP($A199,main!$A$3:$I$56,6,FALSE)+main!$D$59,0)</f>
        <v>0</v>
      </c>
      <c r="AI199">
        <f>IF((phi!AI144),VLOOKUP(AI$1,main!$A$3:$I$56,5,FALSE)-VLOOKUP($A199,main!$A$3:$I$56,6,FALSE)+main!$D$59,0)</f>
        <v>0</v>
      </c>
      <c r="AJ199">
        <f>IF((phi!AJ144),VLOOKUP(AJ$1,main!$A$3:$I$56,5,FALSE)-VLOOKUP($A199,main!$A$3:$I$56,6,FALSE)+main!$D$59,0)</f>
        <v>0</v>
      </c>
      <c r="AK199">
        <f>IF((phi!AK144),VLOOKUP(AK$1,main!$A$3:$I$56,5,FALSE)-VLOOKUP($A199,main!$A$3:$I$56,6,FALSE)+main!$D$59,0)</f>
        <v>0</v>
      </c>
      <c r="AL199">
        <f>IF((phi!AL144),VLOOKUP(AL$1,main!$A$3:$I$56,5,FALSE)-VLOOKUP($A199,main!$A$3:$I$56,6,FALSE)+main!$D$59,0)</f>
        <v>0</v>
      </c>
      <c r="AM199">
        <f>IF((phi!AM144),VLOOKUP(AM$1,main!$A$3:$I$56,5,FALSE)-VLOOKUP($A199,main!$A$3:$I$56,6,FALSE)+main!$D$59,0)</f>
        <v>0</v>
      </c>
      <c r="AN199">
        <f>IF((phi!AN144),VLOOKUP(AN$1,main!$A$3:$I$56,5,FALSE)-VLOOKUP($A199,main!$A$3:$I$56,6,FALSE)+main!$D$59,0)</f>
        <v>0</v>
      </c>
      <c r="AO199">
        <f>IF((phi!AO144),VLOOKUP(AO$1,main!$A$3:$I$56,5,FALSE)-VLOOKUP($A199,main!$A$3:$I$56,6,FALSE)+main!$D$59,0)</f>
        <v>0</v>
      </c>
      <c r="AP199">
        <f>IF((phi!AP144),VLOOKUP(AP$1,main!$A$3:$I$56,5,FALSE)-VLOOKUP($A199,main!$A$3:$I$56,6,FALSE)+main!$D$59,0)</f>
        <v>0</v>
      </c>
      <c r="AQ199">
        <f>IF((phi!AQ144),VLOOKUP(AQ$1,main!$A$3:$I$56,5,FALSE)-VLOOKUP($A199,main!$A$3:$I$56,6,FALSE)+main!$D$59,0)</f>
        <v>0</v>
      </c>
      <c r="AR199">
        <f>IF((phi!AR144),VLOOKUP(AR$1,main!$A$3:$I$56,5,FALSE)-VLOOKUP($A199,main!$A$3:$I$56,6,FALSE)+main!$D$59,0)</f>
        <v>0</v>
      </c>
      <c r="AS199">
        <f>IF((phi!AS144),VLOOKUP(AS$1,main!$A$3:$I$56,5,FALSE)-VLOOKUP($A199,main!$A$3:$I$56,6,FALSE)+main!$D$59,0)</f>
        <v>0</v>
      </c>
      <c r="AT199">
        <f>IF((phi!AT144),VLOOKUP(AT$1,main!$A$3:$I$56,5,FALSE)-VLOOKUP($A199,main!$A$3:$I$56,6,FALSE)+main!$D$59,0)</f>
        <v>0</v>
      </c>
      <c r="AU199">
        <f>IF((phi!AU144),VLOOKUP(AU$1,main!$A$3:$I$56,5,FALSE)-VLOOKUP($A199,main!$A$3:$I$56,6,FALSE)+main!$D$59,0)</f>
        <v>0</v>
      </c>
      <c r="AV199">
        <f>IF((phi!AV144),VLOOKUP(AV$1,main!$A$3:$I$56,5,FALSE)-VLOOKUP($A199,main!$A$3:$I$56,6,FALSE)+main!$D$59,0)</f>
        <v>0</v>
      </c>
      <c r="AW199">
        <f>IF((phi!AW144),VLOOKUP(AW$1,main!$A$3:$I$56,5,FALSE)-VLOOKUP($A199,main!$A$3:$I$56,6,FALSE)+main!$D$59,0)</f>
        <v>0</v>
      </c>
      <c r="AX199">
        <f>IF((phi!AX144),VLOOKUP(AX$1,main!$A$3:$I$56,5,FALSE)-VLOOKUP($A199,main!$A$3:$I$56,6,FALSE)+main!$D$59,0)</f>
        <v>0</v>
      </c>
      <c r="AY199">
        <f>IF((phi!AY144),VLOOKUP(AY$1,main!$A$3:$I$56,5,FALSE)-VLOOKUP($A199,main!$A$3:$I$56,6,FALSE)+main!$D$59,0)</f>
        <v>370</v>
      </c>
      <c r="AZ199">
        <f>IF((phi!AZ144),VLOOKUP(AZ$1,main!$A$3:$I$56,5,FALSE)-VLOOKUP($A199,main!$A$3:$I$56,6,FALSE)+main!$D$59,0)</f>
        <v>0</v>
      </c>
      <c r="BA199">
        <f>IF((phi!BA144),VLOOKUP(BA$1,main!$A$3:$I$56,5,FALSE)-VLOOKUP($A199,main!$A$3:$I$56,6,FALSE)+main!$D$59,0)</f>
        <v>0</v>
      </c>
      <c r="BB199">
        <f>IF((phi!BB144),VLOOKUP(BB$1,main!$A$3:$I$56,5,FALSE)-VLOOKUP($A199,main!$A$3:$I$56,6,FALSE)+main!$D$59,0)</f>
        <v>0</v>
      </c>
      <c r="BC199">
        <f>IF((phi!BC144),VLOOKUP(BC$1,main!$A$3:$I$56,5,FALSE)-VLOOKUP($A199,main!$A$3:$I$56,6,FALSE)+main!$D$59,0)</f>
        <v>0</v>
      </c>
      <c r="BD199">
        <f>IF((phi!BD144),VLOOKUP(BD$1,main!$A$3:$I$56,5,FALSE)-VLOOKUP($A199,main!$A$3:$I$56,6,FALSE)+main!$D$59,0)</f>
        <v>0</v>
      </c>
    </row>
    <row r="200" spans="1:56" x14ac:dyDescent="0.25">
      <c r="A200">
        <f t="shared" si="5"/>
        <v>33</v>
      </c>
      <c r="B200">
        <v>0</v>
      </c>
      <c r="C200">
        <f>IF((phi!C145),VLOOKUP(C$1,main!$A$3:$I$56,5,FALSE)-VLOOKUP($A200,main!$A$3:$I$56,6,FALSE)+main!$D$59,0)</f>
        <v>0</v>
      </c>
      <c r="D200">
        <f>IF((phi!D145),VLOOKUP(D$1,main!$A$3:$I$56,5,FALSE)-VLOOKUP($A200,main!$A$3:$I$56,6,FALSE)+main!$D$59,0)</f>
        <v>0</v>
      </c>
      <c r="E200">
        <f>IF((phi!E145),VLOOKUP(E$1,main!$A$3:$I$56,5,FALSE)-VLOOKUP($A200,main!$A$3:$I$56,6,FALSE)+main!$D$59,0)</f>
        <v>0</v>
      </c>
      <c r="F200">
        <f>IF((phi!F145),VLOOKUP(F$1,main!$A$3:$I$56,5,FALSE)-VLOOKUP($A200,main!$A$3:$I$56,6,FALSE)+main!$D$59,0)</f>
        <v>0</v>
      </c>
      <c r="G200">
        <f>IF((phi!G145),VLOOKUP(G$1,main!$A$3:$I$56,5,FALSE)-VLOOKUP($A200,main!$A$3:$I$56,6,FALSE)+main!$D$59,0)</f>
        <v>0</v>
      </c>
      <c r="H200">
        <f>IF((phi!H145),VLOOKUP(H$1,main!$A$3:$I$56,5,FALSE)-VLOOKUP($A200,main!$A$3:$I$56,6,FALSE)+main!$D$59,0)</f>
        <v>0</v>
      </c>
      <c r="I200">
        <f>IF((phi!I145),VLOOKUP(I$1,main!$A$3:$I$56,5,FALSE)-VLOOKUP($A200,main!$A$3:$I$56,6,FALSE)+main!$D$59,0)</f>
        <v>0</v>
      </c>
      <c r="J200">
        <f>IF((phi!J145),VLOOKUP(J$1,main!$A$3:$I$56,5,FALSE)-VLOOKUP($A200,main!$A$3:$I$56,6,FALSE)+main!$D$59,0)</f>
        <v>0</v>
      </c>
      <c r="K200">
        <f>IF((phi!K145),VLOOKUP(K$1,main!$A$3:$I$56,5,FALSE)-VLOOKUP($A200,main!$A$3:$I$56,6,FALSE)+main!$D$59,0)</f>
        <v>0</v>
      </c>
      <c r="L200">
        <f>IF((phi!L145),VLOOKUP(L$1,main!$A$3:$I$56,5,FALSE)-VLOOKUP($A200,main!$A$3:$I$56,6,FALSE)+main!$D$59,0)</f>
        <v>0</v>
      </c>
      <c r="M200">
        <f>IF((phi!M145),VLOOKUP(M$1,main!$A$3:$I$56,5,FALSE)-VLOOKUP($A200,main!$A$3:$I$56,6,FALSE)+main!$D$59,0)</f>
        <v>0</v>
      </c>
      <c r="N200">
        <f>IF((phi!N145),VLOOKUP(N$1,main!$A$3:$I$56,5,FALSE)-VLOOKUP($A200,main!$A$3:$I$56,6,FALSE)+main!$D$59,0)</f>
        <v>0</v>
      </c>
      <c r="O200">
        <f>IF((phi!O145),VLOOKUP(O$1,main!$A$3:$I$56,5,FALSE)-VLOOKUP($A200,main!$A$3:$I$56,6,FALSE)+main!$D$59,0)</f>
        <v>265</v>
      </c>
      <c r="P200">
        <f>IF((phi!P145),VLOOKUP(P$1,main!$A$3:$I$56,5,FALSE)-VLOOKUP($A200,main!$A$3:$I$56,6,FALSE)+main!$D$59,0)</f>
        <v>0</v>
      </c>
      <c r="Q200">
        <f>IF((phi!Q145),VLOOKUP(Q$1,main!$A$3:$I$56,5,FALSE)-VLOOKUP($A200,main!$A$3:$I$56,6,FALSE)+main!$D$59,0)</f>
        <v>0</v>
      </c>
      <c r="R200">
        <f>IF((phi!R145),VLOOKUP(R$1,main!$A$3:$I$56,5,FALSE)-VLOOKUP($A200,main!$A$3:$I$56,6,FALSE)+main!$D$59,0)</f>
        <v>0</v>
      </c>
      <c r="S200">
        <f>IF((phi!S145),VLOOKUP(S$1,main!$A$3:$I$56,5,FALSE)-VLOOKUP($A200,main!$A$3:$I$56,6,FALSE)+main!$D$59,0)</f>
        <v>0</v>
      </c>
      <c r="T200">
        <f>IF((phi!T145),VLOOKUP(T$1,main!$A$3:$I$56,5,FALSE)-VLOOKUP($A200,main!$A$3:$I$56,6,FALSE)+main!$D$59,0)</f>
        <v>0</v>
      </c>
      <c r="U200">
        <f>IF((phi!U145),VLOOKUP(U$1,main!$A$3:$I$56,5,FALSE)-VLOOKUP($A200,main!$A$3:$I$56,6,FALSE)+main!$D$59,0)</f>
        <v>0</v>
      </c>
      <c r="V200">
        <f>IF((phi!V145),VLOOKUP(V$1,main!$A$3:$I$56,5,FALSE)-VLOOKUP($A200,main!$A$3:$I$56,6,FALSE)+main!$D$59,0)</f>
        <v>0</v>
      </c>
      <c r="W200">
        <f>IF((phi!W145),VLOOKUP(W$1,main!$A$3:$I$56,5,FALSE)-VLOOKUP($A200,main!$A$3:$I$56,6,FALSE)+main!$D$59,0)</f>
        <v>0</v>
      </c>
      <c r="X200">
        <f>IF((phi!X145),VLOOKUP(X$1,main!$A$3:$I$56,5,FALSE)-VLOOKUP($A200,main!$A$3:$I$56,6,FALSE)+main!$D$59,0)</f>
        <v>0</v>
      </c>
      <c r="Y200">
        <f>IF((phi!Y145),VLOOKUP(Y$1,main!$A$3:$I$56,5,FALSE)-VLOOKUP($A200,main!$A$3:$I$56,6,FALSE)+main!$D$59,0)</f>
        <v>0</v>
      </c>
      <c r="Z200">
        <f>IF((phi!Z145),VLOOKUP(Z$1,main!$A$3:$I$56,5,FALSE)-VLOOKUP($A200,main!$A$3:$I$56,6,FALSE)+main!$D$59,0)</f>
        <v>0</v>
      </c>
      <c r="AA200">
        <f>IF((phi!AA145),VLOOKUP(AA$1,main!$A$3:$I$56,5,FALSE)-VLOOKUP($A200,main!$A$3:$I$56,6,FALSE)+main!$D$59,0)</f>
        <v>130</v>
      </c>
      <c r="AB200">
        <f>IF((phi!AB145),VLOOKUP(AB$1,main!$A$3:$I$56,5,FALSE)-VLOOKUP($A200,main!$A$3:$I$56,6,FALSE)+main!$D$59,0)</f>
        <v>190</v>
      </c>
      <c r="AC200">
        <f>IF((phi!AC145),VLOOKUP(AC$1,main!$A$3:$I$56,5,FALSE)-VLOOKUP($A200,main!$A$3:$I$56,6,FALSE)+main!$D$59,0)</f>
        <v>0</v>
      </c>
      <c r="AD200">
        <f>IF((phi!AD145),VLOOKUP(AD$1,main!$A$3:$I$56,5,FALSE)-VLOOKUP($A200,main!$A$3:$I$56,6,FALSE)+main!$D$59,0)</f>
        <v>0</v>
      </c>
      <c r="AE200">
        <f>IF((phi!AE145),VLOOKUP(AE$1,main!$A$3:$I$56,5,FALSE)-VLOOKUP($A200,main!$A$3:$I$56,6,FALSE)+main!$D$59,0)</f>
        <v>0</v>
      </c>
      <c r="AF200">
        <f>IF((phi!AF145),VLOOKUP(AF$1,main!$A$3:$I$56,5,FALSE)-VLOOKUP($A200,main!$A$3:$I$56,6,FALSE)+main!$D$59,0)</f>
        <v>0</v>
      </c>
      <c r="AG200">
        <f>IF((phi!AG145),VLOOKUP(AG$1,main!$A$3:$I$56,5,FALSE)-VLOOKUP($A200,main!$A$3:$I$56,6,FALSE)+main!$D$59,0)</f>
        <v>0</v>
      </c>
      <c r="AH200">
        <f>IF((phi!AH145),VLOOKUP(AH$1,main!$A$3:$I$56,5,FALSE)-VLOOKUP($A200,main!$A$3:$I$56,6,FALSE)+main!$D$59,0)</f>
        <v>0</v>
      </c>
      <c r="AI200">
        <f>IF((phi!AI145),VLOOKUP(AI$1,main!$A$3:$I$56,5,FALSE)-VLOOKUP($A200,main!$A$3:$I$56,6,FALSE)+main!$D$59,0)</f>
        <v>0</v>
      </c>
      <c r="AJ200">
        <f>IF((phi!AJ145),VLOOKUP(AJ$1,main!$A$3:$I$56,5,FALSE)-VLOOKUP($A200,main!$A$3:$I$56,6,FALSE)+main!$D$59,0)</f>
        <v>0</v>
      </c>
      <c r="AK200">
        <f>IF((phi!AK145),VLOOKUP(AK$1,main!$A$3:$I$56,5,FALSE)-VLOOKUP($A200,main!$A$3:$I$56,6,FALSE)+main!$D$59,0)</f>
        <v>0</v>
      </c>
      <c r="AL200">
        <f>IF((phi!AL145),VLOOKUP(AL$1,main!$A$3:$I$56,5,FALSE)-VLOOKUP($A200,main!$A$3:$I$56,6,FALSE)+main!$D$59,0)</f>
        <v>0</v>
      </c>
      <c r="AM200">
        <f>IF((phi!AM145),VLOOKUP(AM$1,main!$A$3:$I$56,5,FALSE)-VLOOKUP($A200,main!$A$3:$I$56,6,FALSE)+main!$D$59,0)</f>
        <v>0</v>
      </c>
      <c r="AN200">
        <f>IF((phi!AN145),VLOOKUP(AN$1,main!$A$3:$I$56,5,FALSE)-VLOOKUP($A200,main!$A$3:$I$56,6,FALSE)+main!$D$59,0)</f>
        <v>0</v>
      </c>
      <c r="AO200">
        <f>IF((phi!AO145),VLOOKUP(AO$1,main!$A$3:$I$56,5,FALSE)-VLOOKUP($A200,main!$A$3:$I$56,6,FALSE)+main!$D$59,0)</f>
        <v>0</v>
      </c>
      <c r="AP200">
        <f>IF((phi!AP145),VLOOKUP(AP$1,main!$A$3:$I$56,5,FALSE)-VLOOKUP($A200,main!$A$3:$I$56,6,FALSE)+main!$D$59,0)</f>
        <v>0</v>
      </c>
      <c r="AQ200">
        <f>IF((phi!AQ145),VLOOKUP(AQ$1,main!$A$3:$I$56,5,FALSE)-VLOOKUP($A200,main!$A$3:$I$56,6,FALSE)+main!$D$59,0)</f>
        <v>0</v>
      </c>
      <c r="AR200">
        <f>IF((phi!AR145),VLOOKUP(AR$1,main!$A$3:$I$56,5,FALSE)-VLOOKUP($A200,main!$A$3:$I$56,6,FALSE)+main!$D$59,0)</f>
        <v>0</v>
      </c>
      <c r="AS200">
        <f>IF((phi!AS145),VLOOKUP(AS$1,main!$A$3:$I$56,5,FALSE)-VLOOKUP($A200,main!$A$3:$I$56,6,FALSE)+main!$D$59,0)</f>
        <v>0</v>
      </c>
      <c r="AT200">
        <f>IF((phi!AT145),VLOOKUP(AT$1,main!$A$3:$I$56,5,FALSE)-VLOOKUP($A200,main!$A$3:$I$56,6,FALSE)+main!$D$59,0)</f>
        <v>0</v>
      </c>
      <c r="AU200">
        <f>IF((phi!AU145),VLOOKUP(AU$1,main!$A$3:$I$56,5,FALSE)-VLOOKUP($A200,main!$A$3:$I$56,6,FALSE)+main!$D$59,0)</f>
        <v>0</v>
      </c>
      <c r="AV200">
        <f>IF((phi!AV145),VLOOKUP(AV$1,main!$A$3:$I$56,5,FALSE)-VLOOKUP($A200,main!$A$3:$I$56,6,FALSE)+main!$D$59,0)</f>
        <v>0</v>
      </c>
      <c r="AW200">
        <f>IF((phi!AW145),VLOOKUP(AW$1,main!$A$3:$I$56,5,FALSE)-VLOOKUP($A200,main!$A$3:$I$56,6,FALSE)+main!$D$59,0)</f>
        <v>0</v>
      </c>
      <c r="AX200">
        <f>IF((phi!AX145),VLOOKUP(AX$1,main!$A$3:$I$56,5,FALSE)-VLOOKUP($A200,main!$A$3:$I$56,6,FALSE)+main!$D$59,0)</f>
        <v>0</v>
      </c>
      <c r="AY200">
        <f>IF((phi!AY145),VLOOKUP(AY$1,main!$A$3:$I$56,5,FALSE)-VLOOKUP($A200,main!$A$3:$I$56,6,FALSE)+main!$D$59,0)</f>
        <v>0</v>
      </c>
      <c r="AZ200">
        <f>IF((phi!AZ145),VLOOKUP(AZ$1,main!$A$3:$I$56,5,FALSE)-VLOOKUP($A200,main!$A$3:$I$56,6,FALSE)+main!$D$59,0)</f>
        <v>0</v>
      </c>
      <c r="BA200">
        <f>IF((phi!BA145),VLOOKUP(BA$1,main!$A$3:$I$56,5,FALSE)-VLOOKUP($A200,main!$A$3:$I$56,6,FALSE)+main!$D$59,0)</f>
        <v>0</v>
      </c>
      <c r="BB200">
        <f>IF((phi!BB145),VLOOKUP(BB$1,main!$A$3:$I$56,5,FALSE)-VLOOKUP($A200,main!$A$3:$I$56,6,FALSE)+main!$D$59,0)</f>
        <v>0</v>
      </c>
      <c r="BC200">
        <f>IF((phi!BC145),VLOOKUP(BC$1,main!$A$3:$I$56,5,FALSE)-VLOOKUP($A200,main!$A$3:$I$56,6,FALSE)+main!$D$59,0)</f>
        <v>0</v>
      </c>
      <c r="BD200">
        <f>IF((phi!BD145),VLOOKUP(BD$1,main!$A$3:$I$56,5,FALSE)-VLOOKUP($A200,main!$A$3:$I$56,6,FALSE)+main!$D$59,0)</f>
        <v>0</v>
      </c>
    </row>
    <row r="201" spans="1:56" x14ac:dyDescent="0.25">
      <c r="A201">
        <f t="shared" si="5"/>
        <v>34</v>
      </c>
      <c r="B201">
        <v>0</v>
      </c>
      <c r="C201">
        <f>IF((phi!C146),VLOOKUP(C$1,main!$A$3:$I$56,5,FALSE)-VLOOKUP($A201,main!$A$3:$I$56,6,FALSE)+main!$D$59,0)</f>
        <v>0</v>
      </c>
      <c r="D201">
        <f>IF((phi!D146),VLOOKUP(D$1,main!$A$3:$I$56,5,FALSE)-VLOOKUP($A201,main!$A$3:$I$56,6,FALSE)+main!$D$59,0)</f>
        <v>0</v>
      </c>
      <c r="E201">
        <f>IF((phi!E146),VLOOKUP(E$1,main!$A$3:$I$56,5,FALSE)-VLOOKUP($A201,main!$A$3:$I$56,6,FALSE)+main!$D$59,0)</f>
        <v>0</v>
      </c>
      <c r="F201">
        <f>IF((phi!F146),VLOOKUP(F$1,main!$A$3:$I$56,5,FALSE)-VLOOKUP($A201,main!$A$3:$I$56,6,FALSE)+main!$D$59,0)</f>
        <v>0</v>
      </c>
      <c r="G201">
        <f>IF((phi!G146),VLOOKUP(G$1,main!$A$3:$I$56,5,FALSE)-VLOOKUP($A201,main!$A$3:$I$56,6,FALSE)+main!$D$59,0)</f>
        <v>0</v>
      </c>
      <c r="H201">
        <f>IF((phi!H146),VLOOKUP(H$1,main!$A$3:$I$56,5,FALSE)-VLOOKUP($A201,main!$A$3:$I$56,6,FALSE)+main!$D$59,0)</f>
        <v>0</v>
      </c>
      <c r="I201">
        <f>IF((phi!I146),VLOOKUP(I$1,main!$A$3:$I$56,5,FALSE)-VLOOKUP($A201,main!$A$3:$I$56,6,FALSE)+main!$D$59,0)</f>
        <v>0</v>
      </c>
      <c r="J201">
        <f>IF((phi!J146),VLOOKUP(J$1,main!$A$3:$I$56,5,FALSE)-VLOOKUP($A201,main!$A$3:$I$56,6,FALSE)+main!$D$59,0)</f>
        <v>0</v>
      </c>
      <c r="K201">
        <f>IF((phi!K146),VLOOKUP(K$1,main!$A$3:$I$56,5,FALSE)-VLOOKUP($A201,main!$A$3:$I$56,6,FALSE)+main!$D$59,0)</f>
        <v>0</v>
      </c>
      <c r="L201">
        <f>IF((phi!L146),VLOOKUP(L$1,main!$A$3:$I$56,5,FALSE)-VLOOKUP($A201,main!$A$3:$I$56,6,FALSE)+main!$D$59,0)</f>
        <v>0</v>
      </c>
      <c r="M201">
        <f>IF((phi!M146),VLOOKUP(M$1,main!$A$3:$I$56,5,FALSE)-VLOOKUP($A201,main!$A$3:$I$56,6,FALSE)+main!$D$59,0)</f>
        <v>0</v>
      </c>
      <c r="N201">
        <f>IF((phi!N146),VLOOKUP(N$1,main!$A$3:$I$56,5,FALSE)-VLOOKUP($A201,main!$A$3:$I$56,6,FALSE)+main!$D$59,0)</f>
        <v>0</v>
      </c>
      <c r="O201">
        <f>IF((phi!O146),VLOOKUP(O$1,main!$A$3:$I$56,5,FALSE)-VLOOKUP($A201,main!$A$3:$I$56,6,FALSE)+main!$D$59,0)</f>
        <v>0</v>
      </c>
      <c r="P201">
        <f>IF((phi!P146),VLOOKUP(P$1,main!$A$3:$I$56,5,FALSE)-VLOOKUP($A201,main!$A$3:$I$56,6,FALSE)+main!$D$59,0)</f>
        <v>0</v>
      </c>
      <c r="Q201">
        <f>IF((phi!Q146),VLOOKUP(Q$1,main!$A$3:$I$56,5,FALSE)-VLOOKUP($A201,main!$A$3:$I$56,6,FALSE)+main!$D$59,0)</f>
        <v>0</v>
      </c>
      <c r="R201">
        <f>IF((phi!R146),VLOOKUP(R$1,main!$A$3:$I$56,5,FALSE)-VLOOKUP($A201,main!$A$3:$I$56,6,FALSE)+main!$D$59,0)</f>
        <v>0</v>
      </c>
      <c r="S201">
        <f>IF((phi!S146),VLOOKUP(S$1,main!$A$3:$I$56,5,FALSE)-VLOOKUP($A201,main!$A$3:$I$56,6,FALSE)+main!$D$59,0)</f>
        <v>0</v>
      </c>
      <c r="T201">
        <f>IF((phi!T146),VLOOKUP(T$1,main!$A$3:$I$56,5,FALSE)-VLOOKUP($A201,main!$A$3:$I$56,6,FALSE)+main!$D$59,0)</f>
        <v>0</v>
      </c>
      <c r="U201">
        <f>IF((phi!U146),VLOOKUP(U$1,main!$A$3:$I$56,5,FALSE)-VLOOKUP($A201,main!$A$3:$I$56,6,FALSE)+main!$D$59,0)</f>
        <v>0</v>
      </c>
      <c r="V201">
        <f>IF((phi!V146),VLOOKUP(V$1,main!$A$3:$I$56,5,FALSE)-VLOOKUP($A201,main!$A$3:$I$56,6,FALSE)+main!$D$59,0)</f>
        <v>0</v>
      </c>
      <c r="W201">
        <f>IF((phi!W146),VLOOKUP(W$1,main!$A$3:$I$56,5,FALSE)-VLOOKUP($A201,main!$A$3:$I$56,6,FALSE)+main!$D$59,0)</f>
        <v>0</v>
      </c>
      <c r="X201">
        <f>IF((phi!X146),VLOOKUP(X$1,main!$A$3:$I$56,5,FALSE)-VLOOKUP($A201,main!$A$3:$I$56,6,FALSE)+main!$D$59,0)</f>
        <v>0</v>
      </c>
      <c r="Y201">
        <f>IF((phi!Y146),VLOOKUP(Y$1,main!$A$3:$I$56,5,FALSE)-VLOOKUP($A201,main!$A$3:$I$56,6,FALSE)+main!$D$59,0)</f>
        <v>0</v>
      </c>
      <c r="Z201">
        <f>IF((phi!Z146),VLOOKUP(Z$1,main!$A$3:$I$56,5,FALSE)-VLOOKUP($A201,main!$A$3:$I$56,6,FALSE)+main!$D$59,0)</f>
        <v>0</v>
      </c>
      <c r="AA201">
        <f>IF((phi!AA146),VLOOKUP(AA$1,main!$A$3:$I$56,5,FALSE)-VLOOKUP($A201,main!$A$3:$I$56,6,FALSE)+main!$D$59,0)</f>
        <v>0</v>
      </c>
      <c r="AB201">
        <f>IF((phi!AB146),VLOOKUP(AB$1,main!$A$3:$I$56,5,FALSE)-VLOOKUP($A201,main!$A$3:$I$56,6,FALSE)+main!$D$59,0)</f>
        <v>130</v>
      </c>
      <c r="AC201">
        <f>IF((phi!AC146),VLOOKUP(AC$1,main!$A$3:$I$56,5,FALSE)-VLOOKUP($A201,main!$A$3:$I$56,6,FALSE)+main!$D$59,0)</f>
        <v>0</v>
      </c>
      <c r="AD201">
        <f>IF((phi!AD146),VLOOKUP(AD$1,main!$A$3:$I$56,5,FALSE)-VLOOKUP($A201,main!$A$3:$I$56,6,FALSE)+main!$D$59,0)</f>
        <v>0</v>
      </c>
      <c r="AE201">
        <f>IF((phi!AE146),VLOOKUP(AE$1,main!$A$3:$I$56,5,FALSE)-VLOOKUP($A201,main!$A$3:$I$56,6,FALSE)+main!$D$59,0)</f>
        <v>0</v>
      </c>
      <c r="AF201">
        <f>IF((phi!AF146),VLOOKUP(AF$1,main!$A$3:$I$56,5,FALSE)-VLOOKUP($A201,main!$A$3:$I$56,6,FALSE)+main!$D$59,0)</f>
        <v>0</v>
      </c>
      <c r="AG201">
        <f>IF((phi!AG146),VLOOKUP(AG$1,main!$A$3:$I$56,5,FALSE)-VLOOKUP($A201,main!$A$3:$I$56,6,FALSE)+main!$D$59,0)</f>
        <v>0</v>
      </c>
      <c r="AH201">
        <f>IF((phi!AH146),VLOOKUP(AH$1,main!$A$3:$I$56,5,FALSE)-VLOOKUP($A201,main!$A$3:$I$56,6,FALSE)+main!$D$59,0)</f>
        <v>0</v>
      </c>
      <c r="AI201">
        <f>IF((phi!AI146),VLOOKUP(AI$1,main!$A$3:$I$56,5,FALSE)-VLOOKUP($A201,main!$A$3:$I$56,6,FALSE)+main!$D$59,0)</f>
        <v>0</v>
      </c>
      <c r="AJ201">
        <f>IF((phi!AJ146),VLOOKUP(AJ$1,main!$A$3:$I$56,5,FALSE)-VLOOKUP($A201,main!$A$3:$I$56,6,FALSE)+main!$D$59,0)</f>
        <v>0</v>
      </c>
      <c r="AK201">
        <f>IF((phi!AK146),VLOOKUP(AK$1,main!$A$3:$I$56,5,FALSE)-VLOOKUP($A201,main!$A$3:$I$56,6,FALSE)+main!$D$59,0)</f>
        <v>0</v>
      </c>
      <c r="AL201">
        <f>IF((phi!AL146),VLOOKUP(AL$1,main!$A$3:$I$56,5,FALSE)-VLOOKUP($A201,main!$A$3:$I$56,6,FALSE)+main!$D$59,0)</f>
        <v>0</v>
      </c>
      <c r="AM201">
        <f>IF((phi!AM146),VLOOKUP(AM$1,main!$A$3:$I$56,5,FALSE)-VLOOKUP($A201,main!$A$3:$I$56,6,FALSE)+main!$D$59,0)</f>
        <v>0</v>
      </c>
      <c r="AN201">
        <f>IF((phi!AN146),VLOOKUP(AN$1,main!$A$3:$I$56,5,FALSE)-VLOOKUP($A201,main!$A$3:$I$56,6,FALSE)+main!$D$59,0)</f>
        <v>0</v>
      </c>
      <c r="AO201">
        <f>IF((phi!AO146),VLOOKUP(AO$1,main!$A$3:$I$56,5,FALSE)-VLOOKUP($A201,main!$A$3:$I$56,6,FALSE)+main!$D$59,0)</f>
        <v>0</v>
      </c>
      <c r="AP201">
        <f>IF((phi!AP146),VLOOKUP(AP$1,main!$A$3:$I$56,5,FALSE)-VLOOKUP($A201,main!$A$3:$I$56,6,FALSE)+main!$D$59,0)</f>
        <v>0</v>
      </c>
      <c r="AQ201">
        <f>IF((phi!AQ146),VLOOKUP(AQ$1,main!$A$3:$I$56,5,FALSE)-VLOOKUP($A201,main!$A$3:$I$56,6,FALSE)+main!$D$59,0)</f>
        <v>0</v>
      </c>
      <c r="AR201">
        <f>IF((phi!AR146),VLOOKUP(AR$1,main!$A$3:$I$56,5,FALSE)-VLOOKUP($A201,main!$A$3:$I$56,6,FALSE)+main!$D$59,0)</f>
        <v>0</v>
      </c>
      <c r="AS201">
        <f>IF((phi!AS146),VLOOKUP(AS$1,main!$A$3:$I$56,5,FALSE)-VLOOKUP($A201,main!$A$3:$I$56,6,FALSE)+main!$D$59,0)</f>
        <v>0</v>
      </c>
      <c r="AT201">
        <f>IF((phi!AT146),VLOOKUP(AT$1,main!$A$3:$I$56,5,FALSE)-VLOOKUP($A201,main!$A$3:$I$56,6,FALSE)+main!$D$59,0)</f>
        <v>0</v>
      </c>
      <c r="AU201">
        <f>IF((phi!AU146),VLOOKUP(AU$1,main!$A$3:$I$56,5,FALSE)-VLOOKUP($A201,main!$A$3:$I$56,6,FALSE)+main!$D$59,0)</f>
        <v>0</v>
      </c>
      <c r="AV201">
        <f>IF((phi!AV146),VLOOKUP(AV$1,main!$A$3:$I$56,5,FALSE)-VLOOKUP($A201,main!$A$3:$I$56,6,FALSE)+main!$D$59,0)</f>
        <v>0</v>
      </c>
      <c r="AW201">
        <f>IF((phi!AW146),VLOOKUP(AW$1,main!$A$3:$I$56,5,FALSE)-VLOOKUP($A201,main!$A$3:$I$56,6,FALSE)+main!$D$59,0)</f>
        <v>0</v>
      </c>
      <c r="AX201">
        <f>IF((phi!AX146),VLOOKUP(AX$1,main!$A$3:$I$56,5,FALSE)-VLOOKUP($A201,main!$A$3:$I$56,6,FALSE)+main!$D$59,0)</f>
        <v>0</v>
      </c>
      <c r="AY201">
        <f>IF((phi!AY146),VLOOKUP(AY$1,main!$A$3:$I$56,5,FALSE)-VLOOKUP($A201,main!$A$3:$I$56,6,FALSE)+main!$D$59,0)</f>
        <v>0</v>
      </c>
      <c r="AZ201">
        <f>IF((phi!AZ146),VLOOKUP(AZ$1,main!$A$3:$I$56,5,FALSE)-VLOOKUP($A201,main!$A$3:$I$56,6,FALSE)+main!$D$59,0)</f>
        <v>0</v>
      </c>
      <c r="BA201">
        <f>IF((phi!BA146),VLOOKUP(BA$1,main!$A$3:$I$56,5,FALSE)-VLOOKUP($A201,main!$A$3:$I$56,6,FALSE)+main!$D$59,0)</f>
        <v>0</v>
      </c>
      <c r="BB201">
        <f>IF((phi!BB146),VLOOKUP(BB$1,main!$A$3:$I$56,5,FALSE)-VLOOKUP($A201,main!$A$3:$I$56,6,FALSE)+main!$D$59,0)</f>
        <v>0</v>
      </c>
      <c r="BC201">
        <f>IF((phi!BC146),VLOOKUP(BC$1,main!$A$3:$I$56,5,FALSE)-VLOOKUP($A201,main!$A$3:$I$56,6,FALSE)+main!$D$59,0)</f>
        <v>0</v>
      </c>
      <c r="BD201">
        <f>IF((phi!BD146),VLOOKUP(BD$1,main!$A$3:$I$56,5,FALSE)-VLOOKUP($A201,main!$A$3:$I$56,6,FALSE)+main!$D$59,0)</f>
        <v>0</v>
      </c>
    </row>
    <row r="202" spans="1:56" x14ac:dyDescent="0.25">
      <c r="A202">
        <f t="shared" si="5"/>
        <v>35</v>
      </c>
      <c r="B202">
        <v>0</v>
      </c>
      <c r="C202">
        <f>IF((phi!C147),VLOOKUP(C$1,main!$A$3:$I$56,5,FALSE)-VLOOKUP($A202,main!$A$3:$I$56,6,FALSE)+main!$D$59,0)</f>
        <v>0</v>
      </c>
      <c r="D202">
        <f>IF((phi!D147),VLOOKUP(D$1,main!$A$3:$I$56,5,FALSE)-VLOOKUP($A202,main!$A$3:$I$56,6,FALSE)+main!$D$59,0)</f>
        <v>0</v>
      </c>
      <c r="E202">
        <f>IF((phi!E147),VLOOKUP(E$1,main!$A$3:$I$56,5,FALSE)-VLOOKUP($A202,main!$A$3:$I$56,6,FALSE)+main!$D$59,0)</f>
        <v>0</v>
      </c>
      <c r="F202">
        <f>IF((phi!F147),VLOOKUP(F$1,main!$A$3:$I$56,5,FALSE)-VLOOKUP($A202,main!$A$3:$I$56,6,FALSE)+main!$D$59,0)</f>
        <v>0</v>
      </c>
      <c r="G202">
        <f>IF((phi!G147),VLOOKUP(G$1,main!$A$3:$I$56,5,FALSE)-VLOOKUP($A202,main!$A$3:$I$56,6,FALSE)+main!$D$59,0)</f>
        <v>0</v>
      </c>
      <c r="H202">
        <f>IF((phi!H147),VLOOKUP(H$1,main!$A$3:$I$56,5,FALSE)-VLOOKUP($A202,main!$A$3:$I$56,6,FALSE)+main!$D$59,0)</f>
        <v>0</v>
      </c>
      <c r="I202">
        <f>IF((phi!I147),VLOOKUP(I$1,main!$A$3:$I$56,5,FALSE)-VLOOKUP($A202,main!$A$3:$I$56,6,FALSE)+main!$D$59,0)</f>
        <v>0</v>
      </c>
      <c r="J202">
        <f>IF((phi!J147),VLOOKUP(J$1,main!$A$3:$I$56,5,FALSE)-VLOOKUP($A202,main!$A$3:$I$56,6,FALSE)+main!$D$59,0)</f>
        <v>0</v>
      </c>
      <c r="K202">
        <f>IF((phi!K147),VLOOKUP(K$1,main!$A$3:$I$56,5,FALSE)-VLOOKUP($A202,main!$A$3:$I$56,6,FALSE)+main!$D$59,0)</f>
        <v>0</v>
      </c>
      <c r="L202">
        <f>IF((phi!L147),VLOOKUP(L$1,main!$A$3:$I$56,5,FALSE)-VLOOKUP($A202,main!$A$3:$I$56,6,FALSE)+main!$D$59,0)</f>
        <v>0</v>
      </c>
      <c r="M202">
        <f>IF((phi!M147),VLOOKUP(M$1,main!$A$3:$I$56,5,FALSE)-VLOOKUP($A202,main!$A$3:$I$56,6,FALSE)+main!$D$59,0)</f>
        <v>0</v>
      </c>
      <c r="N202">
        <f>IF((phi!N147),VLOOKUP(N$1,main!$A$3:$I$56,5,FALSE)-VLOOKUP($A202,main!$A$3:$I$56,6,FALSE)+main!$D$59,0)</f>
        <v>0</v>
      </c>
      <c r="O202">
        <f>IF((phi!O147),VLOOKUP(O$1,main!$A$3:$I$56,5,FALSE)-VLOOKUP($A202,main!$A$3:$I$56,6,FALSE)+main!$D$59,0)</f>
        <v>0</v>
      </c>
      <c r="P202">
        <f>IF((phi!P147),VLOOKUP(P$1,main!$A$3:$I$56,5,FALSE)-VLOOKUP($A202,main!$A$3:$I$56,6,FALSE)+main!$D$59,0)</f>
        <v>0</v>
      </c>
      <c r="Q202">
        <f>IF((phi!Q147),VLOOKUP(Q$1,main!$A$3:$I$56,5,FALSE)-VLOOKUP($A202,main!$A$3:$I$56,6,FALSE)+main!$D$59,0)</f>
        <v>0</v>
      </c>
      <c r="R202">
        <f>IF((phi!R147),VLOOKUP(R$1,main!$A$3:$I$56,5,FALSE)-VLOOKUP($A202,main!$A$3:$I$56,6,FALSE)+main!$D$59,0)</f>
        <v>0</v>
      </c>
      <c r="S202">
        <f>IF((phi!S147),VLOOKUP(S$1,main!$A$3:$I$56,5,FALSE)-VLOOKUP($A202,main!$A$3:$I$56,6,FALSE)+main!$D$59,0)</f>
        <v>0</v>
      </c>
      <c r="T202">
        <f>IF((phi!T147),VLOOKUP(T$1,main!$A$3:$I$56,5,FALSE)-VLOOKUP($A202,main!$A$3:$I$56,6,FALSE)+main!$D$59,0)</f>
        <v>0</v>
      </c>
      <c r="U202">
        <f>IF((phi!U147),VLOOKUP(U$1,main!$A$3:$I$56,5,FALSE)-VLOOKUP($A202,main!$A$3:$I$56,6,FALSE)+main!$D$59,0)</f>
        <v>0</v>
      </c>
      <c r="V202">
        <f>IF((phi!V147),VLOOKUP(V$1,main!$A$3:$I$56,5,FALSE)-VLOOKUP($A202,main!$A$3:$I$56,6,FALSE)+main!$D$59,0)</f>
        <v>0</v>
      </c>
      <c r="W202">
        <f>IF((phi!W147),VLOOKUP(W$1,main!$A$3:$I$56,5,FALSE)-VLOOKUP($A202,main!$A$3:$I$56,6,FALSE)+main!$D$59,0)</f>
        <v>0</v>
      </c>
      <c r="X202">
        <f>IF((phi!X147),VLOOKUP(X$1,main!$A$3:$I$56,5,FALSE)-VLOOKUP($A202,main!$A$3:$I$56,6,FALSE)+main!$D$59,0)</f>
        <v>0</v>
      </c>
      <c r="Y202">
        <f>IF((phi!Y147),VLOOKUP(Y$1,main!$A$3:$I$56,5,FALSE)-VLOOKUP($A202,main!$A$3:$I$56,6,FALSE)+main!$D$59,0)</f>
        <v>0</v>
      </c>
      <c r="Z202">
        <f>IF((phi!Z147),VLOOKUP(Z$1,main!$A$3:$I$56,5,FALSE)-VLOOKUP($A202,main!$A$3:$I$56,6,FALSE)+main!$D$59,0)</f>
        <v>0</v>
      </c>
      <c r="AA202">
        <f>IF((phi!AA147),VLOOKUP(AA$1,main!$A$3:$I$56,5,FALSE)-VLOOKUP($A202,main!$A$3:$I$56,6,FALSE)+main!$D$59,0)</f>
        <v>0</v>
      </c>
      <c r="AB202">
        <f>IF((phi!AB147),VLOOKUP(AB$1,main!$A$3:$I$56,5,FALSE)-VLOOKUP($A202,main!$A$3:$I$56,6,FALSE)+main!$D$59,0)</f>
        <v>0</v>
      </c>
      <c r="AC202">
        <f>IF((phi!AC147),VLOOKUP(AC$1,main!$A$3:$I$56,5,FALSE)-VLOOKUP($A202,main!$A$3:$I$56,6,FALSE)+main!$D$59,0)</f>
        <v>0</v>
      </c>
      <c r="AD202">
        <f>IF((phi!AD147),VLOOKUP(AD$1,main!$A$3:$I$56,5,FALSE)-VLOOKUP($A202,main!$A$3:$I$56,6,FALSE)+main!$D$59,0)</f>
        <v>0</v>
      </c>
      <c r="AE202">
        <f>IF((phi!AE147),VLOOKUP(AE$1,main!$A$3:$I$56,5,FALSE)-VLOOKUP($A202,main!$A$3:$I$56,6,FALSE)+main!$D$59,0)</f>
        <v>0</v>
      </c>
      <c r="AF202">
        <f>IF((phi!AF147),VLOOKUP(AF$1,main!$A$3:$I$56,5,FALSE)-VLOOKUP($A202,main!$A$3:$I$56,6,FALSE)+main!$D$59,0)</f>
        <v>0</v>
      </c>
      <c r="AG202">
        <f>IF((phi!AG147),VLOOKUP(AG$1,main!$A$3:$I$56,5,FALSE)-VLOOKUP($A202,main!$A$3:$I$56,6,FALSE)+main!$D$59,0)</f>
        <v>0</v>
      </c>
      <c r="AH202">
        <f>IF((phi!AH147),VLOOKUP(AH$1,main!$A$3:$I$56,5,FALSE)-VLOOKUP($A202,main!$A$3:$I$56,6,FALSE)+main!$D$59,0)</f>
        <v>0</v>
      </c>
      <c r="AI202">
        <f>IF((phi!AI147),VLOOKUP(AI$1,main!$A$3:$I$56,5,FALSE)-VLOOKUP($A202,main!$A$3:$I$56,6,FALSE)+main!$D$59,0)</f>
        <v>0</v>
      </c>
      <c r="AJ202">
        <f>IF((phi!AJ147),VLOOKUP(AJ$1,main!$A$3:$I$56,5,FALSE)-VLOOKUP($A202,main!$A$3:$I$56,6,FALSE)+main!$D$59,0)</f>
        <v>0</v>
      </c>
      <c r="AK202">
        <f>IF((phi!AK147),VLOOKUP(AK$1,main!$A$3:$I$56,5,FALSE)-VLOOKUP($A202,main!$A$3:$I$56,6,FALSE)+main!$D$59,0)</f>
        <v>0</v>
      </c>
      <c r="AL202">
        <f>IF((phi!AL147),VLOOKUP(AL$1,main!$A$3:$I$56,5,FALSE)-VLOOKUP($A202,main!$A$3:$I$56,6,FALSE)+main!$D$59,0)</f>
        <v>0</v>
      </c>
      <c r="AM202">
        <f>IF((phi!AM147),VLOOKUP(AM$1,main!$A$3:$I$56,5,FALSE)-VLOOKUP($A202,main!$A$3:$I$56,6,FALSE)+main!$D$59,0)</f>
        <v>0</v>
      </c>
      <c r="AN202">
        <f>IF((phi!AN147),VLOOKUP(AN$1,main!$A$3:$I$56,5,FALSE)-VLOOKUP($A202,main!$A$3:$I$56,6,FALSE)+main!$D$59,0)</f>
        <v>0</v>
      </c>
      <c r="AO202">
        <f>IF((phi!AO147),VLOOKUP(AO$1,main!$A$3:$I$56,5,FALSE)-VLOOKUP($A202,main!$A$3:$I$56,6,FALSE)+main!$D$59,0)</f>
        <v>0</v>
      </c>
      <c r="AP202">
        <f>IF((phi!AP147),VLOOKUP(AP$1,main!$A$3:$I$56,5,FALSE)-VLOOKUP($A202,main!$A$3:$I$56,6,FALSE)+main!$D$59,0)</f>
        <v>0</v>
      </c>
      <c r="AQ202">
        <f>IF((phi!AQ147),VLOOKUP(AQ$1,main!$A$3:$I$56,5,FALSE)-VLOOKUP($A202,main!$A$3:$I$56,6,FALSE)+main!$D$59,0)</f>
        <v>0</v>
      </c>
      <c r="AR202">
        <f>IF((phi!AR147),VLOOKUP(AR$1,main!$A$3:$I$56,5,FALSE)-VLOOKUP($A202,main!$A$3:$I$56,6,FALSE)+main!$D$59,0)</f>
        <v>0</v>
      </c>
      <c r="AS202">
        <f>IF((phi!AS147),VLOOKUP(AS$1,main!$A$3:$I$56,5,FALSE)-VLOOKUP($A202,main!$A$3:$I$56,6,FALSE)+main!$D$59,0)</f>
        <v>0</v>
      </c>
      <c r="AT202">
        <f>IF((phi!AT147),VLOOKUP(AT$1,main!$A$3:$I$56,5,FALSE)-VLOOKUP($A202,main!$A$3:$I$56,6,FALSE)+main!$D$59,0)</f>
        <v>0</v>
      </c>
      <c r="AU202">
        <f>IF((phi!AU147),VLOOKUP(AU$1,main!$A$3:$I$56,5,FALSE)-VLOOKUP($A202,main!$A$3:$I$56,6,FALSE)+main!$D$59,0)</f>
        <v>0</v>
      </c>
      <c r="AV202">
        <f>IF((phi!AV147),VLOOKUP(AV$1,main!$A$3:$I$56,5,FALSE)-VLOOKUP($A202,main!$A$3:$I$56,6,FALSE)+main!$D$59,0)</f>
        <v>0</v>
      </c>
      <c r="AW202">
        <f>IF((phi!AW147),VLOOKUP(AW$1,main!$A$3:$I$56,5,FALSE)-VLOOKUP($A202,main!$A$3:$I$56,6,FALSE)+main!$D$59,0)</f>
        <v>0</v>
      </c>
      <c r="AX202">
        <f>IF((phi!AX147),VLOOKUP(AX$1,main!$A$3:$I$56,5,FALSE)-VLOOKUP($A202,main!$A$3:$I$56,6,FALSE)+main!$D$59,0)</f>
        <v>0</v>
      </c>
      <c r="AY202">
        <f>IF((phi!AY147),VLOOKUP(AY$1,main!$A$3:$I$56,5,FALSE)-VLOOKUP($A202,main!$A$3:$I$56,6,FALSE)+main!$D$59,0)</f>
        <v>0</v>
      </c>
      <c r="AZ202">
        <f>IF((phi!AZ147),VLOOKUP(AZ$1,main!$A$3:$I$56,5,FALSE)-VLOOKUP($A202,main!$A$3:$I$56,6,FALSE)+main!$D$59,0)</f>
        <v>0</v>
      </c>
      <c r="BA202">
        <f>IF((phi!BA147),VLOOKUP(BA$1,main!$A$3:$I$56,5,FALSE)-VLOOKUP($A202,main!$A$3:$I$56,6,FALSE)+main!$D$59,0)</f>
        <v>0</v>
      </c>
      <c r="BB202">
        <f>IF((phi!BB147),VLOOKUP(BB$1,main!$A$3:$I$56,5,FALSE)-VLOOKUP($A202,main!$A$3:$I$56,6,FALSE)+main!$D$59,0)</f>
        <v>0</v>
      </c>
      <c r="BC202">
        <f>IF((phi!BC147),VLOOKUP(BC$1,main!$A$3:$I$56,5,FALSE)-VLOOKUP($A202,main!$A$3:$I$56,6,FALSE)+main!$D$59,0)</f>
        <v>0</v>
      </c>
      <c r="BD202">
        <f>IF((phi!BD147),VLOOKUP(BD$1,main!$A$3:$I$56,5,FALSE)-VLOOKUP($A202,main!$A$3:$I$56,6,FALSE)+main!$D$59,0)</f>
        <v>0</v>
      </c>
    </row>
    <row r="203" spans="1:56" x14ac:dyDescent="0.25">
      <c r="A203">
        <f t="shared" si="5"/>
        <v>36</v>
      </c>
      <c r="B203">
        <v>0</v>
      </c>
      <c r="C203">
        <f>IF((phi!C148),VLOOKUP(C$1,main!$A$3:$I$56,5,FALSE)-VLOOKUP($A203,main!$A$3:$I$56,6,FALSE)+main!$D$59,0)</f>
        <v>0</v>
      </c>
      <c r="D203">
        <f>IF((phi!D148),VLOOKUP(D$1,main!$A$3:$I$56,5,FALSE)-VLOOKUP($A203,main!$A$3:$I$56,6,FALSE)+main!$D$59,0)</f>
        <v>0</v>
      </c>
      <c r="E203">
        <f>IF((phi!E148),VLOOKUP(E$1,main!$A$3:$I$56,5,FALSE)-VLOOKUP($A203,main!$A$3:$I$56,6,FALSE)+main!$D$59,0)</f>
        <v>0</v>
      </c>
      <c r="F203">
        <f>IF((phi!F148),VLOOKUP(F$1,main!$A$3:$I$56,5,FALSE)-VLOOKUP($A203,main!$A$3:$I$56,6,FALSE)+main!$D$59,0)</f>
        <v>290</v>
      </c>
      <c r="G203">
        <f>IF((phi!G148),VLOOKUP(G$1,main!$A$3:$I$56,5,FALSE)-VLOOKUP($A203,main!$A$3:$I$56,6,FALSE)+main!$D$59,0)</f>
        <v>350</v>
      </c>
      <c r="H203">
        <f>IF((phi!H148),VLOOKUP(H$1,main!$A$3:$I$56,5,FALSE)-VLOOKUP($A203,main!$A$3:$I$56,6,FALSE)+main!$D$59,0)</f>
        <v>410</v>
      </c>
      <c r="I203">
        <f>IF((phi!I148),VLOOKUP(I$1,main!$A$3:$I$56,5,FALSE)-VLOOKUP($A203,main!$A$3:$I$56,6,FALSE)+main!$D$59,0)</f>
        <v>470</v>
      </c>
      <c r="J203">
        <f>IF((phi!J148),VLOOKUP(J$1,main!$A$3:$I$56,5,FALSE)-VLOOKUP($A203,main!$A$3:$I$56,6,FALSE)+main!$D$59,0)</f>
        <v>560</v>
      </c>
      <c r="K203">
        <f>IF((phi!K148),VLOOKUP(K$1,main!$A$3:$I$56,5,FALSE)-VLOOKUP($A203,main!$A$3:$I$56,6,FALSE)+main!$D$59,0)</f>
        <v>0</v>
      </c>
      <c r="L203">
        <f>IF((phi!L148),VLOOKUP(L$1,main!$A$3:$I$56,5,FALSE)-VLOOKUP($A203,main!$A$3:$I$56,6,FALSE)+main!$D$59,0)</f>
        <v>0</v>
      </c>
      <c r="M203">
        <f>IF((phi!M148),VLOOKUP(M$1,main!$A$3:$I$56,5,FALSE)-VLOOKUP($A203,main!$A$3:$I$56,6,FALSE)+main!$D$59,0)</f>
        <v>0</v>
      </c>
      <c r="N203">
        <f>IF((phi!N148),VLOOKUP(N$1,main!$A$3:$I$56,5,FALSE)-VLOOKUP($A203,main!$A$3:$I$56,6,FALSE)+main!$D$59,0)</f>
        <v>525</v>
      </c>
      <c r="O203">
        <f>IF((phi!O148),VLOOKUP(O$1,main!$A$3:$I$56,5,FALSE)-VLOOKUP($A203,main!$A$3:$I$56,6,FALSE)+main!$D$59,0)</f>
        <v>585</v>
      </c>
      <c r="P203">
        <f>IF((phi!P148),VLOOKUP(P$1,main!$A$3:$I$56,5,FALSE)-VLOOKUP($A203,main!$A$3:$I$56,6,FALSE)+main!$D$59,0)</f>
        <v>0</v>
      </c>
      <c r="Q203">
        <f>IF((phi!Q148),VLOOKUP(Q$1,main!$A$3:$I$56,5,FALSE)-VLOOKUP($A203,main!$A$3:$I$56,6,FALSE)+main!$D$59,0)</f>
        <v>0</v>
      </c>
      <c r="R203">
        <f>IF((phi!R148),VLOOKUP(R$1,main!$A$3:$I$56,5,FALSE)-VLOOKUP($A203,main!$A$3:$I$56,6,FALSE)+main!$D$59,0)</f>
        <v>0</v>
      </c>
      <c r="S203">
        <f>IF((phi!S148),VLOOKUP(S$1,main!$A$3:$I$56,5,FALSE)-VLOOKUP($A203,main!$A$3:$I$56,6,FALSE)+main!$D$59,0)</f>
        <v>340</v>
      </c>
      <c r="T203">
        <f>IF((phi!T148),VLOOKUP(T$1,main!$A$3:$I$56,5,FALSE)-VLOOKUP($A203,main!$A$3:$I$56,6,FALSE)+main!$D$59,0)</f>
        <v>490</v>
      </c>
      <c r="U203">
        <f>IF((phi!U148),VLOOKUP(U$1,main!$A$3:$I$56,5,FALSE)-VLOOKUP($A203,main!$A$3:$I$56,6,FALSE)+main!$D$59,0)</f>
        <v>0</v>
      </c>
      <c r="V203">
        <f>IF((phi!V148),VLOOKUP(V$1,main!$A$3:$I$56,5,FALSE)-VLOOKUP($A203,main!$A$3:$I$56,6,FALSE)+main!$D$59,0)</f>
        <v>0</v>
      </c>
      <c r="W203">
        <f>IF((phi!W148),VLOOKUP(W$1,main!$A$3:$I$56,5,FALSE)-VLOOKUP($A203,main!$A$3:$I$56,6,FALSE)+main!$D$59,0)</f>
        <v>0</v>
      </c>
      <c r="X203">
        <f>IF((phi!X148),VLOOKUP(X$1,main!$A$3:$I$56,5,FALSE)-VLOOKUP($A203,main!$A$3:$I$56,6,FALSE)+main!$D$59,0)</f>
        <v>180</v>
      </c>
      <c r="Y203">
        <f>IF((phi!Y148),VLOOKUP(Y$1,main!$A$3:$I$56,5,FALSE)-VLOOKUP($A203,main!$A$3:$I$56,6,FALSE)+main!$D$59,0)</f>
        <v>270</v>
      </c>
      <c r="Z203">
        <f>IF((phi!Z148),VLOOKUP(Z$1,main!$A$3:$I$56,5,FALSE)-VLOOKUP($A203,main!$A$3:$I$56,6,FALSE)+main!$D$59,0)</f>
        <v>360</v>
      </c>
      <c r="AA203">
        <f>IF((phi!AA148),VLOOKUP(AA$1,main!$A$3:$I$56,5,FALSE)-VLOOKUP($A203,main!$A$3:$I$56,6,FALSE)+main!$D$59,0)</f>
        <v>450</v>
      </c>
      <c r="AB203">
        <f>IF((phi!AB148),VLOOKUP(AB$1,main!$A$3:$I$56,5,FALSE)-VLOOKUP($A203,main!$A$3:$I$56,6,FALSE)+main!$D$59,0)</f>
        <v>510</v>
      </c>
      <c r="AC203">
        <f>IF((phi!AC148),VLOOKUP(AC$1,main!$A$3:$I$56,5,FALSE)-VLOOKUP($A203,main!$A$3:$I$56,6,FALSE)+main!$D$59,0)</f>
        <v>0</v>
      </c>
      <c r="AD203">
        <f>IF((phi!AD148),VLOOKUP(AD$1,main!$A$3:$I$56,5,FALSE)-VLOOKUP($A203,main!$A$3:$I$56,6,FALSE)+main!$D$59,0)</f>
        <v>0</v>
      </c>
      <c r="AE203">
        <f>IF((phi!AE148),VLOOKUP(AE$1,main!$A$3:$I$56,5,FALSE)-VLOOKUP($A203,main!$A$3:$I$56,6,FALSE)+main!$D$59,0)</f>
        <v>170</v>
      </c>
      <c r="AF203">
        <f>IF((phi!AF148),VLOOKUP(AF$1,main!$A$3:$I$56,5,FALSE)-VLOOKUP($A203,main!$A$3:$I$56,6,FALSE)+main!$D$59,0)</f>
        <v>320</v>
      </c>
      <c r="AG203">
        <f>IF((phi!AG148),VLOOKUP(AG$1,main!$A$3:$I$56,5,FALSE)-VLOOKUP($A203,main!$A$3:$I$56,6,FALSE)+main!$D$59,0)</f>
        <v>0</v>
      </c>
      <c r="AH203">
        <f>IF((phi!AH148),VLOOKUP(AH$1,main!$A$3:$I$56,5,FALSE)-VLOOKUP($A203,main!$A$3:$I$56,6,FALSE)+main!$D$59,0)</f>
        <v>0</v>
      </c>
      <c r="AI203">
        <f>IF((phi!AI148),VLOOKUP(AI$1,main!$A$3:$I$56,5,FALSE)-VLOOKUP($A203,main!$A$3:$I$56,6,FALSE)+main!$D$59,0)</f>
        <v>0</v>
      </c>
      <c r="AJ203">
        <f>IF((phi!AJ148),VLOOKUP(AJ$1,main!$A$3:$I$56,5,FALSE)-VLOOKUP($A203,main!$A$3:$I$56,6,FALSE)+main!$D$59,0)</f>
        <v>290</v>
      </c>
      <c r="AK203">
        <f>IF((phi!AK148),VLOOKUP(AK$1,main!$A$3:$I$56,5,FALSE)-VLOOKUP($A203,main!$A$3:$I$56,6,FALSE)+main!$D$59,0)</f>
        <v>410</v>
      </c>
      <c r="AL203">
        <f>IF((phi!AL148),VLOOKUP(AL$1,main!$A$3:$I$56,5,FALSE)-VLOOKUP($A203,main!$A$3:$I$56,6,FALSE)+main!$D$59,0)</f>
        <v>0</v>
      </c>
      <c r="AM203">
        <f>IF((phi!AM148),VLOOKUP(AM$1,main!$A$3:$I$56,5,FALSE)-VLOOKUP($A203,main!$A$3:$I$56,6,FALSE)+main!$D$59,0)</f>
        <v>0</v>
      </c>
      <c r="AN203">
        <f>IF((phi!AN148),VLOOKUP(AN$1,main!$A$3:$I$56,5,FALSE)-VLOOKUP($A203,main!$A$3:$I$56,6,FALSE)+main!$D$59,0)</f>
        <v>270</v>
      </c>
      <c r="AO203">
        <f>IF((phi!AO148),VLOOKUP(AO$1,main!$A$3:$I$56,5,FALSE)-VLOOKUP($A203,main!$A$3:$I$56,6,FALSE)+main!$D$59,0)</f>
        <v>320</v>
      </c>
      <c r="AP203">
        <f>IF((phi!AP148),VLOOKUP(AP$1,main!$A$3:$I$56,5,FALSE)-VLOOKUP($A203,main!$A$3:$I$56,6,FALSE)+main!$D$59,0)</f>
        <v>0</v>
      </c>
      <c r="AQ203">
        <f>IF((phi!AQ148),VLOOKUP(AQ$1,main!$A$3:$I$56,5,FALSE)-VLOOKUP($A203,main!$A$3:$I$56,6,FALSE)+main!$D$59,0)</f>
        <v>0</v>
      </c>
      <c r="AR203">
        <f>IF((phi!AR148),VLOOKUP(AR$1,main!$A$3:$I$56,5,FALSE)-VLOOKUP($A203,main!$A$3:$I$56,6,FALSE)+main!$D$59,0)</f>
        <v>0</v>
      </c>
      <c r="AS203">
        <f>IF((phi!AS148),VLOOKUP(AS$1,main!$A$3:$I$56,5,FALSE)-VLOOKUP($A203,main!$A$3:$I$56,6,FALSE)+main!$D$59,0)</f>
        <v>0</v>
      </c>
      <c r="AT203">
        <f>IF((phi!AT148),VLOOKUP(AT$1,main!$A$3:$I$56,5,FALSE)-VLOOKUP($A203,main!$A$3:$I$56,6,FALSE)+main!$D$59,0)</f>
        <v>0</v>
      </c>
      <c r="AU203">
        <f>IF((phi!AU148),VLOOKUP(AU$1,main!$A$3:$I$56,5,FALSE)-VLOOKUP($A203,main!$A$3:$I$56,6,FALSE)+main!$D$59,0)</f>
        <v>0</v>
      </c>
      <c r="AV203">
        <f>IF((phi!AV148),VLOOKUP(AV$1,main!$A$3:$I$56,5,FALSE)-VLOOKUP($A203,main!$A$3:$I$56,6,FALSE)+main!$D$59,0)</f>
        <v>0</v>
      </c>
      <c r="AW203">
        <f>IF((phi!AW148),VLOOKUP(AW$1,main!$A$3:$I$56,5,FALSE)-VLOOKUP($A203,main!$A$3:$I$56,6,FALSE)+main!$D$59,0)</f>
        <v>0</v>
      </c>
      <c r="AX203">
        <f>IF((phi!AX148),VLOOKUP(AX$1,main!$A$3:$I$56,5,FALSE)-VLOOKUP($A203,main!$A$3:$I$56,6,FALSE)+main!$D$59,0)</f>
        <v>370</v>
      </c>
      <c r="AY203">
        <f>IF((phi!AY148),VLOOKUP(AY$1,main!$A$3:$I$56,5,FALSE)-VLOOKUP($A203,main!$A$3:$I$56,6,FALSE)+main!$D$59,0)</f>
        <v>570</v>
      </c>
      <c r="AZ203">
        <f>IF((phi!AZ148),VLOOKUP(AZ$1,main!$A$3:$I$56,5,FALSE)-VLOOKUP($A203,main!$A$3:$I$56,6,FALSE)+main!$D$59,0)</f>
        <v>0</v>
      </c>
      <c r="BA203">
        <f>IF((phi!BA148),VLOOKUP(BA$1,main!$A$3:$I$56,5,FALSE)-VLOOKUP($A203,main!$A$3:$I$56,6,FALSE)+main!$D$59,0)</f>
        <v>0</v>
      </c>
      <c r="BB203">
        <f>IF((phi!BB148),VLOOKUP(BB$1,main!$A$3:$I$56,5,FALSE)-VLOOKUP($A203,main!$A$3:$I$56,6,FALSE)+main!$D$59,0)</f>
        <v>0</v>
      </c>
      <c r="BC203">
        <f>IF((phi!BC148),VLOOKUP(BC$1,main!$A$3:$I$56,5,FALSE)-VLOOKUP($A203,main!$A$3:$I$56,6,FALSE)+main!$D$59,0)</f>
        <v>335</v>
      </c>
      <c r="BD203">
        <f>IF((phi!BD148),VLOOKUP(BD$1,main!$A$3:$I$56,5,FALSE)-VLOOKUP($A203,main!$A$3:$I$56,6,FALSE)+main!$D$59,0)</f>
        <v>345</v>
      </c>
    </row>
    <row r="204" spans="1:56" x14ac:dyDescent="0.25">
      <c r="A204">
        <f t="shared" si="5"/>
        <v>37</v>
      </c>
      <c r="B204">
        <v>0</v>
      </c>
      <c r="C204">
        <f>IF((phi!C149),VLOOKUP(C$1,main!$A$3:$I$56,5,FALSE)-VLOOKUP($A204,main!$A$3:$I$56,6,FALSE)+main!$D$59,0)</f>
        <v>0</v>
      </c>
      <c r="D204">
        <f>IF((phi!D149),VLOOKUP(D$1,main!$A$3:$I$56,5,FALSE)-VLOOKUP($A204,main!$A$3:$I$56,6,FALSE)+main!$D$59,0)</f>
        <v>0</v>
      </c>
      <c r="E204">
        <f>IF((phi!E149),VLOOKUP(E$1,main!$A$3:$I$56,5,FALSE)-VLOOKUP($A204,main!$A$3:$I$56,6,FALSE)+main!$D$59,0)</f>
        <v>0</v>
      </c>
      <c r="F204">
        <f>IF((phi!F149),VLOOKUP(F$1,main!$A$3:$I$56,5,FALSE)-VLOOKUP($A204,main!$A$3:$I$56,6,FALSE)+main!$D$59,0)</f>
        <v>0</v>
      </c>
      <c r="G204">
        <f>IF((phi!G149),VLOOKUP(G$1,main!$A$3:$I$56,5,FALSE)-VLOOKUP($A204,main!$A$3:$I$56,6,FALSE)+main!$D$59,0)</f>
        <v>245</v>
      </c>
      <c r="H204">
        <f>IF((phi!H149),VLOOKUP(H$1,main!$A$3:$I$56,5,FALSE)-VLOOKUP($A204,main!$A$3:$I$56,6,FALSE)+main!$D$59,0)</f>
        <v>305</v>
      </c>
      <c r="I204">
        <f>IF((phi!I149),VLOOKUP(I$1,main!$A$3:$I$56,5,FALSE)-VLOOKUP($A204,main!$A$3:$I$56,6,FALSE)+main!$D$59,0)</f>
        <v>365</v>
      </c>
      <c r="J204">
        <f>IF((phi!J149),VLOOKUP(J$1,main!$A$3:$I$56,5,FALSE)-VLOOKUP($A204,main!$A$3:$I$56,6,FALSE)+main!$D$59,0)</f>
        <v>455</v>
      </c>
      <c r="K204">
        <f>IF((phi!K149),VLOOKUP(K$1,main!$A$3:$I$56,5,FALSE)-VLOOKUP($A204,main!$A$3:$I$56,6,FALSE)+main!$D$59,0)</f>
        <v>0</v>
      </c>
      <c r="L204">
        <f>IF((phi!L149),VLOOKUP(L$1,main!$A$3:$I$56,5,FALSE)-VLOOKUP($A204,main!$A$3:$I$56,6,FALSE)+main!$D$59,0)</f>
        <v>0</v>
      </c>
      <c r="M204">
        <f>IF((phi!M149),VLOOKUP(M$1,main!$A$3:$I$56,5,FALSE)-VLOOKUP($A204,main!$A$3:$I$56,6,FALSE)+main!$D$59,0)</f>
        <v>0</v>
      </c>
      <c r="N204">
        <f>IF((phi!N149),VLOOKUP(N$1,main!$A$3:$I$56,5,FALSE)-VLOOKUP($A204,main!$A$3:$I$56,6,FALSE)+main!$D$59,0)</f>
        <v>420</v>
      </c>
      <c r="O204">
        <f>IF((phi!O149),VLOOKUP(O$1,main!$A$3:$I$56,5,FALSE)-VLOOKUP($A204,main!$A$3:$I$56,6,FALSE)+main!$D$59,0)</f>
        <v>480</v>
      </c>
      <c r="P204">
        <f>IF((phi!P149),VLOOKUP(P$1,main!$A$3:$I$56,5,FALSE)-VLOOKUP($A204,main!$A$3:$I$56,6,FALSE)+main!$D$59,0)</f>
        <v>0</v>
      </c>
      <c r="Q204">
        <f>IF((phi!Q149),VLOOKUP(Q$1,main!$A$3:$I$56,5,FALSE)-VLOOKUP($A204,main!$A$3:$I$56,6,FALSE)+main!$D$59,0)</f>
        <v>0</v>
      </c>
      <c r="R204">
        <f>IF((phi!R149),VLOOKUP(R$1,main!$A$3:$I$56,5,FALSE)-VLOOKUP($A204,main!$A$3:$I$56,6,FALSE)+main!$D$59,0)</f>
        <v>0</v>
      </c>
      <c r="S204">
        <f>IF((phi!S149),VLOOKUP(S$1,main!$A$3:$I$56,5,FALSE)-VLOOKUP($A204,main!$A$3:$I$56,6,FALSE)+main!$D$59,0)</f>
        <v>0</v>
      </c>
      <c r="T204">
        <f>IF((phi!T149),VLOOKUP(T$1,main!$A$3:$I$56,5,FALSE)-VLOOKUP($A204,main!$A$3:$I$56,6,FALSE)+main!$D$59,0)</f>
        <v>385</v>
      </c>
      <c r="U204">
        <f>IF((phi!U149),VLOOKUP(U$1,main!$A$3:$I$56,5,FALSE)-VLOOKUP($A204,main!$A$3:$I$56,6,FALSE)+main!$D$59,0)</f>
        <v>0</v>
      </c>
      <c r="V204">
        <f>IF((phi!V149),VLOOKUP(V$1,main!$A$3:$I$56,5,FALSE)-VLOOKUP($A204,main!$A$3:$I$56,6,FALSE)+main!$D$59,0)</f>
        <v>0</v>
      </c>
      <c r="W204">
        <f>IF((phi!W149),VLOOKUP(W$1,main!$A$3:$I$56,5,FALSE)-VLOOKUP($A204,main!$A$3:$I$56,6,FALSE)+main!$D$59,0)</f>
        <v>0</v>
      </c>
      <c r="X204">
        <f>IF((phi!X149),VLOOKUP(X$1,main!$A$3:$I$56,5,FALSE)-VLOOKUP($A204,main!$A$3:$I$56,6,FALSE)+main!$D$59,0)</f>
        <v>0</v>
      </c>
      <c r="Y204">
        <f>IF((phi!Y149),VLOOKUP(Y$1,main!$A$3:$I$56,5,FALSE)-VLOOKUP($A204,main!$A$3:$I$56,6,FALSE)+main!$D$59,0)</f>
        <v>165</v>
      </c>
      <c r="Z204">
        <f>IF((phi!Z149),VLOOKUP(Z$1,main!$A$3:$I$56,5,FALSE)-VLOOKUP($A204,main!$A$3:$I$56,6,FALSE)+main!$D$59,0)</f>
        <v>255</v>
      </c>
      <c r="AA204">
        <f>IF((phi!AA149),VLOOKUP(AA$1,main!$A$3:$I$56,5,FALSE)-VLOOKUP($A204,main!$A$3:$I$56,6,FALSE)+main!$D$59,0)</f>
        <v>345</v>
      </c>
      <c r="AB204">
        <f>IF((phi!AB149),VLOOKUP(AB$1,main!$A$3:$I$56,5,FALSE)-VLOOKUP($A204,main!$A$3:$I$56,6,FALSE)+main!$D$59,0)</f>
        <v>405</v>
      </c>
      <c r="AC204">
        <f>IF((phi!AC149),VLOOKUP(AC$1,main!$A$3:$I$56,5,FALSE)-VLOOKUP($A204,main!$A$3:$I$56,6,FALSE)+main!$D$59,0)</f>
        <v>0</v>
      </c>
      <c r="AD204">
        <f>IF((phi!AD149),VLOOKUP(AD$1,main!$A$3:$I$56,5,FALSE)-VLOOKUP($A204,main!$A$3:$I$56,6,FALSE)+main!$D$59,0)</f>
        <v>0</v>
      </c>
      <c r="AE204">
        <f>IF((phi!AE149),VLOOKUP(AE$1,main!$A$3:$I$56,5,FALSE)-VLOOKUP($A204,main!$A$3:$I$56,6,FALSE)+main!$D$59,0)</f>
        <v>0</v>
      </c>
      <c r="AF204">
        <f>IF((phi!AF149),VLOOKUP(AF$1,main!$A$3:$I$56,5,FALSE)-VLOOKUP($A204,main!$A$3:$I$56,6,FALSE)+main!$D$59,0)</f>
        <v>215</v>
      </c>
      <c r="AG204">
        <f>IF((phi!AG149),VLOOKUP(AG$1,main!$A$3:$I$56,5,FALSE)-VLOOKUP($A204,main!$A$3:$I$56,6,FALSE)+main!$D$59,0)</f>
        <v>0</v>
      </c>
      <c r="AH204">
        <f>IF((phi!AH149),VLOOKUP(AH$1,main!$A$3:$I$56,5,FALSE)-VLOOKUP($A204,main!$A$3:$I$56,6,FALSE)+main!$D$59,0)</f>
        <v>0</v>
      </c>
      <c r="AI204">
        <f>IF((phi!AI149),VLOOKUP(AI$1,main!$A$3:$I$56,5,FALSE)-VLOOKUP($A204,main!$A$3:$I$56,6,FALSE)+main!$D$59,0)</f>
        <v>0</v>
      </c>
      <c r="AJ204">
        <f>IF((phi!AJ149),VLOOKUP(AJ$1,main!$A$3:$I$56,5,FALSE)-VLOOKUP($A204,main!$A$3:$I$56,6,FALSE)+main!$D$59,0)</f>
        <v>0</v>
      </c>
      <c r="AK204">
        <f>IF((phi!AK149),VLOOKUP(AK$1,main!$A$3:$I$56,5,FALSE)-VLOOKUP($A204,main!$A$3:$I$56,6,FALSE)+main!$D$59,0)</f>
        <v>305</v>
      </c>
      <c r="AL204">
        <f>IF((phi!AL149),VLOOKUP(AL$1,main!$A$3:$I$56,5,FALSE)-VLOOKUP($A204,main!$A$3:$I$56,6,FALSE)+main!$D$59,0)</f>
        <v>0</v>
      </c>
      <c r="AM204">
        <f>IF((phi!AM149),VLOOKUP(AM$1,main!$A$3:$I$56,5,FALSE)-VLOOKUP($A204,main!$A$3:$I$56,6,FALSE)+main!$D$59,0)</f>
        <v>0</v>
      </c>
      <c r="AN204">
        <f>IF((phi!AN149),VLOOKUP(AN$1,main!$A$3:$I$56,5,FALSE)-VLOOKUP($A204,main!$A$3:$I$56,6,FALSE)+main!$D$59,0)</f>
        <v>0</v>
      </c>
      <c r="AO204">
        <f>IF((phi!AO149),VLOOKUP(AO$1,main!$A$3:$I$56,5,FALSE)-VLOOKUP($A204,main!$A$3:$I$56,6,FALSE)+main!$D$59,0)</f>
        <v>0</v>
      </c>
      <c r="AP204">
        <f>IF((phi!AP149),VLOOKUP(AP$1,main!$A$3:$I$56,5,FALSE)-VLOOKUP($A204,main!$A$3:$I$56,6,FALSE)+main!$D$59,0)</f>
        <v>0</v>
      </c>
      <c r="AQ204">
        <f>IF((phi!AQ149),VLOOKUP(AQ$1,main!$A$3:$I$56,5,FALSE)-VLOOKUP($A204,main!$A$3:$I$56,6,FALSE)+main!$D$59,0)</f>
        <v>0</v>
      </c>
      <c r="AR204">
        <f>IF((phi!AR149),VLOOKUP(AR$1,main!$A$3:$I$56,5,FALSE)-VLOOKUP($A204,main!$A$3:$I$56,6,FALSE)+main!$D$59,0)</f>
        <v>0</v>
      </c>
      <c r="AS204">
        <f>IF((phi!AS149),VLOOKUP(AS$1,main!$A$3:$I$56,5,FALSE)-VLOOKUP($A204,main!$A$3:$I$56,6,FALSE)+main!$D$59,0)</f>
        <v>0</v>
      </c>
      <c r="AT204">
        <f>IF((phi!AT149),VLOOKUP(AT$1,main!$A$3:$I$56,5,FALSE)-VLOOKUP($A204,main!$A$3:$I$56,6,FALSE)+main!$D$59,0)</f>
        <v>0</v>
      </c>
      <c r="AU204">
        <f>IF((phi!AU149),VLOOKUP(AU$1,main!$A$3:$I$56,5,FALSE)-VLOOKUP($A204,main!$A$3:$I$56,6,FALSE)+main!$D$59,0)</f>
        <v>0</v>
      </c>
      <c r="AV204">
        <f>IF((phi!AV149),VLOOKUP(AV$1,main!$A$3:$I$56,5,FALSE)-VLOOKUP($A204,main!$A$3:$I$56,6,FALSE)+main!$D$59,0)</f>
        <v>0</v>
      </c>
      <c r="AW204">
        <f>IF((phi!AW149),VLOOKUP(AW$1,main!$A$3:$I$56,5,FALSE)-VLOOKUP($A204,main!$A$3:$I$56,6,FALSE)+main!$D$59,0)</f>
        <v>0</v>
      </c>
      <c r="AX204">
        <f>IF((phi!AX149),VLOOKUP(AX$1,main!$A$3:$I$56,5,FALSE)-VLOOKUP($A204,main!$A$3:$I$56,6,FALSE)+main!$D$59,0)</f>
        <v>265</v>
      </c>
      <c r="AY204">
        <f>IF((phi!AY149),VLOOKUP(AY$1,main!$A$3:$I$56,5,FALSE)-VLOOKUP($A204,main!$A$3:$I$56,6,FALSE)+main!$D$59,0)</f>
        <v>465</v>
      </c>
      <c r="AZ204">
        <f>IF((phi!AZ149),VLOOKUP(AZ$1,main!$A$3:$I$56,5,FALSE)-VLOOKUP($A204,main!$A$3:$I$56,6,FALSE)+main!$D$59,0)</f>
        <v>0</v>
      </c>
      <c r="BA204">
        <f>IF((phi!BA149),VLOOKUP(BA$1,main!$A$3:$I$56,5,FALSE)-VLOOKUP($A204,main!$A$3:$I$56,6,FALSE)+main!$D$59,0)</f>
        <v>0</v>
      </c>
      <c r="BB204">
        <f>IF((phi!BB149),VLOOKUP(BB$1,main!$A$3:$I$56,5,FALSE)-VLOOKUP($A204,main!$A$3:$I$56,6,FALSE)+main!$D$59,0)</f>
        <v>0</v>
      </c>
      <c r="BC204">
        <f>IF((phi!BC149),VLOOKUP(BC$1,main!$A$3:$I$56,5,FALSE)-VLOOKUP($A204,main!$A$3:$I$56,6,FALSE)+main!$D$59,0)</f>
        <v>0</v>
      </c>
      <c r="BD204">
        <f>IF((phi!BD149),VLOOKUP(BD$1,main!$A$3:$I$56,5,FALSE)-VLOOKUP($A204,main!$A$3:$I$56,6,FALSE)+main!$D$59,0)</f>
        <v>0</v>
      </c>
    </row>
    <row r="205" spans="1:56" x14ac:dyDescent="0.25">
      <c r="A205">
        <f t="shared" si="5"/>
        <v>38</v>
      </c>
      <c r="B205">
        <v>0</v>
      </c>
      <c r="C205">
        <f>IF((phi!C150),VLOOKUP(C$1,main!$A$3:$I$56,5,FALSE)-VLOOKUP($A205,main!$A$3:$I$56,6,FALSE)+main!$D$59,0)</f>
        <v>0</v>
      </c>
      <c r="D205">
        <f>IF((phi!D150),VLOOKUP(D$1,main!$A$3:$I$56,5,FALSE)-VLOOKUP($A205,main!$A$3:$I$56,6,FALSE)+main!$D$59,0)</f>
        <v>0</v>
      </c>
      <c r="E205">
        <f>IF((phi!E150),VLOOKUP(E$1,main!$A$3:$I$56,5,FALSE)-VLOOKUP($A205,main!$A$3:$I$56,6,FALSE)+main!$D$59,0)</f>
        <v>0</v>
      </c>
      <c r="F205">
        <f>IF((phi!F150),VLOOKUP(F$1,main!$A$3:$I$56,5,FALSE)-VLOOKUP($A205,main!$A$3:$I$56,6,FALSE)+main!$D$59,0)</f>
        <v>0</v>
      </c>
      <c r="G205">
        <f>IF((phi!G150),VLOOKUP(G$1,main!$A$3:$I$56,5,FALSE)-VLOOKUP($A205,main!$A$3:$I$56,6,FALSE)+main!$D$59,0)</f>
        <v>0</v>
      </c>
      <c r="H205">
        <f>IF((phi!H150),VLOOKUP(H$1,main!$A$3:$I$56,5,FALSE)-VLOOKUP($A205,main!$A$3:$I$56,6,FALSE)+main!$D$59,0)</f>
        <v>0</v>
      </c>
      <c r="I205">
        <f>IF((phi!I150),VLOOKUP(I$1,main!$A$3:$I$56,5,FALSE)-VLOOKUP($A205,main!$A$3:$I$56,6,FALSE)+main!$D$59,0)</f>
        <v>0</v>
      </c>
      <c r="J205">
        <f>IF((phi!J150),VLOOKUP(J$1,main!$A$3:$I$56,5,FALSE)-VLOOKUP($A205,main!$A$3:$I$56,6,FALSE)+main!$D$59,0)</f>
        <v>0</v>
      </c>
      <c r="K205">
        <f>IF((phi!K150),VLOOKUP(K$1,main!$A$3:$I$56,5,FALSE)-VLOOKUP($A205,main!$A$3:$I$56,6,FALSE)+main!$D$59,0)</f>
        <v>0</v>
      </c>
      <c r="L205">
        <f>IF((phi!L150),VLOOKUP(L$1,main!$A$3:$I$56,5,FALSE)-VLOOKUP($A205,main!$A$3:$I$56,6,FALSE)+main!$D$59,0)</f>
        <v>0</v>
      </c>
      <c r="M205">
        <f>IF((phi!M150),VLOOKUP(M$1,main!$A$3:$I$56,5,FALSE)-VLOOKUP($A205,main!$A$3:$I$56,6,FALSE)+main!$D$59,0)</f>
        <v>0</v>
      </c>
      <c r="N205">
        <f>IF((phi!N150),VLOOKUP(N$1,main!$A$3:$I$56,5,FALSE)-VLOOKUP($A205,main!$A$3:$I$56,6,FALSE)+main!$D$59,0)</f>
        <v>0</v>
      </c>
      <c r="O205">
        <f>IF((phi!O150),VLOOKUP(O$1,main!$A$3:$I$56,5,FALSE)-VLOOKUP($A205,main!$A$3:$I$56,6,FALSE)+main!$D$59,0)</f>
        <v>245</v>
      </c>
      <c r="P205">
        <f>IF((phi!P150),VLOOKUP(P$1,main!$A$3:$I$56,5,FALSE)-VLOOKUP($A205,main!$A$3:$I$56,6,FALSE)+main!$D$59,0)</f>
        <v>0</v>
      </c>
      <c r="Q205">
        <f>IF((phi!Q150),VLOOKUP(Q$1,main!$A$3:$I$56,5,FALSE)-VLOOKUP($A205,main!$A$3:$I$56,6,FALSE)+main!$D$59,0)</f>
        <v>0</v>
      </c>
      <c r="R205">
        <f>IF((phi!R150),VLOOKUP(R$1,main!$A$3:$I$56,5,FALSE)-VLOOKUP($A205,main!$A$3:$I$56,6,FALSE)+main!$D$59,0)</f>
        <v>0</v>
      </c>
      <c r="S205">
        <f>IF((phi!S150),VLOOKUP(S$1,main!$A$3:$I$56,5,FALSE)-VLOOKUP($A205,main!$A$3:$I$56,6,FALSE)+main!$D$59,0)</f>
        <v>0</v>
      </c>
      <c r="T205">
        <f>IF((phi!T150),VLOOKUP(T$1,main!$A$3:$I$56,5,FALSE)-VLOOKUP($A205,main!$A$3:$I$56,6,FALSE)+main!$D$59,0)</f>
        <v>0</v>
      </c>
      <c r="U205">
        <f>IF((phi!U150),VLOOKUP(U$1,main!$A$3:$I$56,5,FALSE)-VLOOKUP($A205,main!$A$3:$I$56,6,FALSE)+main!$D$59,0)</f>
        <v>0</v>
      </c>
      <c r="V205">
        <f>IF((phi!V150),VLOOKUP(V$1,main!$A$3:$I$56,5,FALSE)-VLOOKUP($A205,main!$A$3:$I$56,6,FALSE)+main!$D$59,0)</f>
        <v>0</v>
      </c>
      <c r="W205">
        <f>IF((phi!W150),VLOOKUP(W$1,main!$A$3:$I$56,5,FALSE)-VLOOKUP($A205,main!$A$3:$I$56,6,FALSE)+main!$D$59,0)</f>
        <v>0</v>
      </c>
      <c r="X205">
        <f>IF((phi!X150),VLOOKUP(X$1,main!$A$3:$I$56,5,FALSE)-VLOOKUP($A205,main!$A$3:$I$56,6,FALSE)+main!$D$59,0)</f>
        <v>0</v>
      </c>
      <c r="Y205">
        <f>IF((phi!Y150),VLOOKUP(Y$1,main!$A$3:$I$56,5,FALSE)-VLOOKUP($A205,main!$A$3:$I$56,6,FALSE)+main!$D$59,0)</f>
        <v>0</v>
      </c>
      <c r="Z205">
        <f>IF((phi!Z150),VLOOKUP(Z$1,main!$A$3:$I$56,5,FALSE)-VLOOKUP($A205,main!$A$3:$I$56,6,FALSE)+main!$D$59,0)</f>
        <v>0</v>
      </c>
      <c r="AA205">
        <f>IF((phi!AA150),VLOOKUP(AA$1,main!$A$3:$I$56,5,FALSE)-VLOOKUP($A205,main!$A$3:$I$56,6,FALSE)+main!$D$59,0)</f>
        <v>110</v>
      </c>
      <c r="AB205">
        <f>IF((phi!AB150),VLOOKUP(AB$1,main!$A$3:$I$56,5,FALSE)-VLOOKUP($A205,main!$A$3:$I$56,6,FALSE)+main!$D$59,0)</f>
        <v>170</v>
      </c>
      <c r="AC205">
        <f>IF((phi!AC150),VLOOKUP(AC$1,main!$A$3:$I$56,5,FALSE)-VLOOKUP($A205,main!$A$3:$I$56,6,FALSE)+main!$D$59,0)</f>
        <v>0</v>
      </c>
      <c r="AD205">
        <f>IF((phi!AD150),VLOOKUP(AD$1,main!$A$3:$I$56,5,FALSE)-VLOOKUP($A205,main!$A$3:$I$56,6,FALSE)+main!$D$59,0)</f>
        <v>0</v>
      </c>
      <c r="AE205">
        <f>IF((phi!AE150),VLOOKUP(AE$1,main!$A$3:$I$56,5,FALSE)-VLOOKUP($A205,main!$A$3:$I$56,6,FALSE)+main!$D$59,0)</f>
        <v>0</v>
      </c>
      <c r="AF205">
        <f>IF((phi!AF150),VLOOKUP(AF$1,main!$A$3:$I$56,5,FALSE)-VLOOKUP($A205,main!$A$3:$I$56,6,FALSE)+main!$D$59,0)</f>
        <v>0</v>
      </c>
      <c r="AG205">
        <f>IF((phi!AG150),VLOOKUP(AG$1,main!$A$3:$I$56,5,FALSE)-VLOOKUP($A205,main!$A$3:$I$56,6,FALSE)+main!$D$59,0)</f>
        <v>0</v>
      </c>
      <c r="AH205">
        <f>IF((phi!AH150),VLOOKUP(AH$1,main!$A$3:$I$56,5,FALSE)-VLOOKUP($A205,main!$A$3:$I$56,6,FALSE)+main!$D$59,0)</f>
        <v>0</v>
      </c>
      <c r="AI205">
        <f>IF((phi!AI150),VLOOKUP(AI$1,main!$A$3:$I$56,5,FALSE)-VLOOKUP($A205,main!$A$3:$I$56,6,FALSE)+main!$D$59,0)</f>
        <v>0</v>
      </c>
      <c r="AJ205">
        <f>IF((phi!AJ150),VLOOKUP(AJ$1,main!$A$3:$I$56,5,FALSE)-VLOOKUP($A205,main!$A$3:$I$56,6,FALSE)+main!$D$59,0)</f>
        <v>0</v>
      </c>
      <c r="AK205">
        <f>IF((phi!AK150),VLOOKUP(AK$1,main!$A$3:$I$56,5,FALSE)-VLOOKUP($A205,main!$A$3:$I$56,6,FALSE)+main!$D$59,0)</f>
        <v>0</v>
      </c>
      <c r="AL205">
        <f>IF((phi!AL150),VLOOKUP(AL$1,main!$A$3:$I$56,5,FALSE)-VLOOKUP($A205,main!$A$3:$I$56,6,FALSE)+main!$D$59,0)</f>
        <v>0</v>
      </c>
      <c r="AM205">
        <f>IF((phi!AM150),VLOOKUP(AM$1,main!$A$3:$I$56,5,FALSE)-VLOOKUP($A205,main!$A$3:$I$56,6,FALSE)+main!$D$59,0)</f>
        <v>0</v>
      </c>
      <c r="AN205">
        <f>IF((phi!AN150),VLOOKUP(AN$1,main!$A$3:$I$56,5,FALSE)-VLOOKUP($A205,main!$A$3:$I$56,6,FALSE)+main!$D$59,0)</f>
        <v>0</v>
      </c>
      <c r="AO205">
        <f>IF((phi!AO150),VLOOKUP(AO$1,main!$A$3:$I$56,5,FALSE)-VLOOKUP($A205,main!$A$3:$I$56,6,FALSE)+main!$D$59,0)</f>
        <v>0</v>
      </c>
      <c r="AP205">
        <f>IF((phi!AP150),VLOOKUP(AP$1,main!$A$3:$I$56,5,FALSE)-VLOOKUP($A205,main!$A$3:$I$56,6,FALSE)+main!$D$59,0)</f>
        <v>0</v>
      </c>
      <c r="AQ205">
        <f>IF((phi!AQ150),VLOOKUP(AQ$1,main!$A$3:$I$56,5,FALSE)-VLOOKUP($A205,main!$A$3:$I$56,6,FALSE)+main!$D$59,0)</f>
        <v>0</v>
      </c>
      <c r="AR205">
        <f>IF((phi!AR150),VLOOKUP(AR$1,main!$A$3:$I$56,5,FALSE)-VLOOKUP($A205,main!$A$3:$I$56,6,FALSE)+main!$D$59,0)</f>
        <v>0</v>
      </c>
      <c r="AS205">
        <f>IF((phi!AS150),VLOOKUP(AS$1,main!$A$3:$I$56,5,FALSE)-VLOOKUP($A205,main!$A$3:$I$56,6,FALSE)+main!$D$59,0)</f>
        <v>0</v>
      </c>
      <c r="AT205">
        <f>IF((phi!AT150),VLOOKUP(AT$1,main!$A$3:$I$56,5,FALSE)-VLOOKUP($A205,main!$A$3:$I$56,6,FALSE)+main!$D$59,0)</f>
        <v>0</v>
      </c>
      <c r="AU205">
        <f>IF((phi!AU150),VLOOKUP(AU$1,main!$A$3:$I$56,5,FALSE)-VLOOKUP($A205,main!$A$3:$I$56,6,FALSE)+main!$D$59,0)</f>
        <v>0</v>
      </c>
      <c r="AV205">
        <f>IF((phi!AV150),VLOOKUP(AV$1,main!$A$3:$I$56,5,FALSE)-VLOOKUP($A205,main!$A$3:$I$56,6,FALSE)+main!$D$59,0)</f>
        <v>0</v>
      </c>
      <c r="AW205">
        <f>IF((phi!AW150),VLOOKUP(AW$1,main!$A$3:$I$56,5,FALSE)-VLOOKUP($A205,main!$A$3:$I$56,6,FALSE)+main!$D$59,0)</f>
        <v>0</v>
      </c>
      <c r="AX205">
        <f>IF((phi!AX150),VLOOKUP(AX$1,main!$A$3:$I$56,5,FALSE)-VLOOKUP($A205,main!$A$3:$I$56,6,FALSE)+main!$D$59,0)</f>
        <v>0</v>
      </c>
      <c r="AY205">
        <f>IF((phi!AY150),VLOOKUP(AY$1,main!$A$3:$I$56,5,FALSE)-VLOOKUP($A205,main!$A$3:$I$56,6,FALSE)+main!$D$59,0)</f>
        <v>0</v>
      </c>
      <c r="AZ205">
        <f>IF((phi!AZ150),VLOOKUP(AZ$1,main!$A$3:$I$56,5,FALSE)-VLOOKUP($A205,main!$A$3:$I$56,6,FALSE)+main!$D$59,0)</f>
        <v>0</v>
      </c>
      <c r="BA205">
        <f>IF((phi!BA150),VLOOKUP(BA$1,main!$A$3:$I$56,5,FALSE)-VLOOKUP($A205,main!$A$3:$I$56,6,FALSE)+main!$D$59,0)</f>
        <v>0</v>
      </c>
      <c r="BB205">
        <f>IF((phi!BB150),VLOOKUP(BB$1,main!$A$3:$I$56,5,FALSE)-VLOOKUP($A205,main!$A$3:$I$56,6,FALSE)+main!$D$59,0)</f>
        <v>0</v>
      </c>
      <c r="BC205">
        <f>IF((phi!BC150),VLOOKUP(BC$1,main!$A$3:$I$56,5,FALSE)-VLOOKUP($A205,main!$A$3:$I$56,6,FALSE)+main!$D$59,0)</f>
        <v>0</v>
      </c>
      <c r="BD205">
        <f>IF((phi!BD150),VLOOKUP(BD$1,main!$A$3:$I$56,5,FALSE)-VLOOKUP($A205,main!$A$3:$I$56,6,FALSE)+main!$D$59,0)</f>
        <v>0</v>
      </c>
    </row>
    <row r="206" spans="1:56" x14ac:dyDescent="0.25">
      <c r="A206">
        <f t="shared" si="5"/>
        <v>39</v>
      </c>
      <c r="B206">
        <v>0</v>
      </c>
      <c r="C206">
        <f>IF((phi!C151),VLOOKUP(C$1,main!$A$3:$I$56,5,FALSE)-VLOOKUP($A206,main!$A$3:$I$56,6,FALSE)+main!$D$59,0)</f>
        <v>0</v>
      </c>
      <c r="D206">
        <f>IF((phi!D151),VLOOKUP(D$1,main!$A$3:$I$56,5,FALSE)-VLOOKUP($A206,main!$A$3:$I$56,6,FALSE)+main!$D$59,0)</f>
        <v>0</v>
      </c>
      <c r="E206">
        <f>IF((phi!E151),VLOOKUP(E$1,main!$A$3:$I$56,5,FALSE)-VLOOKUP($A206,main!$A$3:$I$56,6,FALSE)+main!$D$59,0)</f>
        <v>0</v>
      </c>
      <c r="F206">
        <f>IF((phi!F151),VLOOKUP(F$1,main!$A$3:$I$56,5,FALSE)-VLOOKUP($A206,main!$A$3:$I$56,6,FALSE)+main!$D$59,0)</f>
        <v>0</v>
      </c>
      <c r="G206">
        <f>IF((phi!G151),VLOOKUP(G$1,main!$A$3:$I$56,5,FALSE)-VLOOKUP($A206,main!$A$3:$I$56,6,FALSE)+main!$D$59,0)</f>
        <v>0</v>
      </c>
      <c r="H206">
        <f>IF((phi!H151),VLOOKUP(H$1,main!$A$3:$I$56,5,FALSE)-VLOOKUP($A206,main!$A$3:$I$56,6,FALSE)+main!$D$59,0)</f>
        <v>0</v>
      </c>
      <c r="I206">
        <f>IF((phi!I151),VLOOKUP(I$1,main!$A$3:$I$56,5,FALSE)-VLOOKUP($A206,main!$A$3:$I$56,6,FALSE)+main!$D$59,0)</f>
        <v>0</v>
      </c>
      <c r="J206">
        <f>IF((phi!J151),VLOOKUP(J$1,main!$A$3:$I$56,5,FALSE)-VLOOKUP($A206,main!$A$3:$I$56,6,FALSE)+main!$D$59,0)</f>
        <v>0</v>
      </c>
      <c r="K206">
        <f>IF((phi!K151),VLOOKUP(K$1,main!$A$3:$I$56,5,FALSE)-VLOOKUP($A206,main!$A$3:$I$56,6,FALSE)+main!$D$59,0)</f>
        <v>0</v>
      </c>
      <c r="L206">
        <f>IF((phi!L151),VLOOKUP(L$1,main!$A$3:$I$56,5,FALSE)-VLOOKUP($A206,main!$A$3:$I$56,6,FALSE)+main!$D$59,0)</f>
        <v>0</v>
      </c>
      <c r="M206">
        <f>IF((phi!M151),VLOOKUP(M$1,main!$A$3:$I$56,5,FALSE)-VLOOKUP($A206,main!$A$3:$I$56,6,FALSE)+main!$D$59,0)</f>
        <v>0</v>
      </c>
      <c r="N206">
        <f>IF((phi!N151),VLOOKUP(N$1,main!$A$3:$I$56,5,FALSE)-VLOOKUP($A206,main!$A$3:$I$56,6,FALSE)+main!$D$59,0)</f>
        <v>0</v>
      </c>
      <c r="O206">
        <f>IF((phi!O151),VLOOKUP(O$1,main!$A$3:$I$56,5,FALSE)-VLOOKUP($A206,main!$A$3:$I$56,6,FALSE)+main!$D$59,0)</f>
        <v>0</v>
      </c>
      <c r="P206">
        <f>IF((phi!P151),VLOOKUP(P$1,main!$A$3:$I$56,5,FALSE)-VLOOKUP($A206,main!$A$3:$I$56,6,FALSE)+main!$D$59,0)</f>
        <v>0</v>
      </c>
      <c r="Q206">
        <f>IF((phi!Q151),VLOOKUP(Q$1,main!$A$3:$I$56,5,FALSE)-VLOOKUP($A206,main!$A$3:$I$56,6,FALSE)+main!$D$59,0)</f>
        <v>0</v>
      </c>
      <c r="R206">
        <f>IF((phi!R151),VLOOKUP(R$1,main!$A$3:$I$56,5,FALSE)-VLOOKUP($A206,main!$A$3:$I$56,6,FALSE)+main!$D$59,0)</f>
        <v>0</v>
      </c>
      <c r="S206">
        <f>IF((phi!S151),VLOOKUP(S$1,main!$A$3:$I$56,5,FALSE)-VLOOKUP($A206,main!$A$3:$I$56,6,FALSE)+main!$D$59,0)</f>
        <v>0</v>
      </c>
      <c r="T206">
        <f>IF((phi!T151),VLOOKUP(T$1,main!$A$3:$I$56,5,FALSE)-VLOOKUP($A206,main!$A$3:$I$56,6,FALSE)+main!$D$59,0)</f>
        <v>0</v>
      </c>
      <c r="U206">
        <f>IF((phi!U151),VLOOKUP(U$1,main!$A$3:$I$56,5,FALSE)-VLOOKUP($A206,main!$A$3:$I$56,6,FALSE)+main!$D$59,0)</f>
        <v>0</v>
      </c>
      <c r="V206">
        <f>IF((phi!V151),VLOOKUP(V$1,main!$A$3:$I$56,5,FALSE)-VLOOKUP($A206,main!$A$3:$I$56,6,FALSE)+main!$D$59,0)</f>
        <v>0</v>
      </c>
      <c r="W206">
        <f>IF((phi!W151),VLOOKUP(W$1,main!$A$3:$I$56,5,FALSE)-VLOOKUP($A206,main!$A$3:$I$56,6,FALSE)+main!$D$59,0)</f>
        <v>0</v>
      </c>
      <c r="X206">
        <f>IF((phi!X151),VLOOKUP(X$1,main!$A$3:$I$56,5,FALSE)-VLOOKUP($A206,main!$A$3:$I$56,6,FALSE)+main!$D$59,0)</f>
        <v>0</v>
      </c>
      <c r="Y206">
        <f>IF((phi!Y151),VLOOKUP(Y$1,main!$A$3:$I$56,5,FALSE)-VLOOKUP($A206,main!$A$3:$I$56,6,FALSE)+main!$D$59,0)</f>
        <v>0</v>
      </c>
      <c r="Z206">
        <f>IF((phi!Z151),VLOOKUP(Z$1,main!$A$3:$I$56,5,FALSE)-VLOOKUP($A206,main!$A$3:$I$56,6,FALSE)+main!$D$59,0)</f>
        <v>0</v>
      </c>
      <c r="AA206">
        <f>IF((phi!AA151),VLOOKUP(AA$1,main!$A$3:$I$56,5,FALSE)-VLOOKUP($A206,main!$A$3:$I$56,6,FALSE)+main!$D$59,0)</f>
        <v>0</v>
      </c>
      <c r="AB206">
        <f>IF((phi!AB151),VLOOKUP(AB$1,main!$A$3:$I$56,5,FALSE)-VLOOKUP($A206,main!$A$3:$I$56,6,FALSE)+main!$D$59,0)</f>
        <v>110</v>
      </c>
      <c r="AC206">
        <f>IF((phi!AC151),VLOOKUP(AC$1,main!$A$3:$I$56,5,FALSE)-VLOOKUP($A206,main!$A$3:$I$56,6,FALSE)+main!$D$59,0)</f>
        <v>0</v>
      </c>
      <c r="AD206">
        <f>IF((phi!AD151),VLOOKUP(AD$1,main!$A$3:$I$56,5,FALSE)-VLOOKUP($A206,main!$A$3:$I$56,6,FALSE)+main!$D$59,0)</f>
        <v>0</v>
      </c>
      <c r="AE206">
        <f>IF((phi!AE151),VLOOKUP(AE$1,main!$A$3:$I$56,5,FALSE)-VLOOKUP($A206,main!$A$3:$I$56,6,FALSE)+main!$D$59,0)</f>
        <v>0</v>
      </c>
      <c r="AF206">
        <f>IF((phi!AF151),VLOOKUP(AF$1,main!$A$3:$I$56,5,FALSE)-VLOOKUP($A206,main!$A$3:$I$56,6,FALSE)+main!$D$59,0)</f>
        <v>0</v>
      </c>
      <c r="AG206">
        <f>IF((phi!AG151),VLOOKUP(AG$1,main!$A$3:$I$56,5,FALSE)-VLOOKUP($A206,main!$A$3:$I$56,6,FALSE)+main!$D$59,0)</f>
        <v>0</v>
      </c>
      <c r="AH206">
        <f>IF((phi!AH151),VLOOKUP(AH$1,main!$A$3:$I$56,5,FALSE)-VLOOKUP($A206,main!$A$3:$I$56,6,FALSE)+main!$D$59,0)</f>
        <v>0</v>
      </c>
      <c r="AI206">
        <f>IF((phi!AI151),VLOOKUP(AI$1,main!$A$3:$I$56,5,FALSE)-VLOOKUP($A206,main!$A$3:$I$56,6,FALSE)+main!$D$59,0)</f>
        <v>0</v>
      </c>
      <c r="AJ206">
        <f>IF((phi!AJ151),VLOOKUP(AJ$1,main!$A$3:$I$56,5,FALSE)-VLOOKUP($A206,main!$A$3:$I$56,6,FALSE)+main!$D$59,0)</f>
        <v>0</v>
      </c>
      <c r="AK206">
        <f>IF((phi!AK151),VLOOKUP(AK$1,main!$A$3:$I$56,5,FALSE)-VLOOKUP($A206,main!$A$3:$I$56,6,FALSE)+main!$D$59,0)</f>
        <v>0</v>
      </c>
      <c r="AL206">
        <f>IF((phi!AL151),VLOOKUP(AL$1,main!$A$3:$I$56,5,FALSE)-VLOOKUP($A206,main!$A$3:$I$56,6,FALSE)+main!$D$59,0)</f>
        <v>0</v>
      </c>
      <c r="AM206">
        <f>IF((phi!AM151),VLOOKUP(AM$1,main!$A$3:$I$56,5,FALSE)-VLOOKUP($A206,main!$A$3:$I$56,6,FALSE)+main!$D$59,0)</f>
        <v>0</v>
      </c>
      <c r="AN206">
        <f>IF((phi!AN151),VLOOKUP(AN$1,main!$A$3:$I$56,5,FALSE)-VLOOKUP($A206,main!$A$3:$I$56,6,FALSE)+main!$D$59,0)</f>
        <v>0</v>
      </c>
      <c r="AO206">
        <f>IF((phi!AO151),VLOOKUP(AO$1,main!$A$3:$I$56,5,FALSE)-VLOOKUP($A206,main!$A$3:$I$56,6,FALSE)+main!$D$59,0)</f>
        <v>0</v>
      </c>
      <c r="AP206">
        <f>IF((phi!AP151),VLOOKUP(AP$1,main!$A$3:$I$56,5,FALSE)-VLOOKUP($A206,main!$A$3:$I$56,6,FALSE)+main!$D$59,0)</f>
        <v>0</v>
      </c>
      <c r="AQ206">
        <f>IF((phi!AQ151),VLOOKUP(AQ$1,main!$A$3:$I$56,5,FALSE)-VLOOKUP($A206,main!$A$3:$I$56,6,FALSE)+main!$D$59,0)</f>
        <v>0</v>
      </c>
      <c r="AR206">
        <f>IF((phi!AR151),VLOOKUP(AR$1,main!$A$3:$I$56,5,FALSE)-VLOOKUP($A206,main!$A$3:$I$56,6,FALSE)+main!$D$59,0)</f>
        <v>0</v>
      </c>
      <c r="AS206">
        <f>IF((phi!AS151),VLOOKUP(AS$1,main!$A$3:$I$56,5,FALSE)-VLOOKUP($A206,main!$A$3:$I$56,6,FALSE)+main!$D$59,0)</f>
        <v>0</v>
      </c>
      <c r="AT206">
        <f>IF((phi!AT151),VLOOKUP(AT$1,main!$A$3:$I$56,5,FALSE)-VLOOKUP($A206,main!$A$3:$I$56,6,FALSE)+main!$D$59,0)</f>
        <v>0</v>
      </c>
      <c r="AU206">
        <f>IF((phi!AU151),VLOOKUP(AU$1,main!$A$3:$I$56,5,FALSE)-VLOOKUP($A206,main!$A$3:$I$56,6,FALSE)+main!$D$59,0)</f>
        <v>0</v>
      </c>
      <c r="AV206">
        <f>IF((phi!AV151),VLOOKUP(AV$1,main!$A$3:$I$56,5,FALSE)-VLOOKUP($A206,main!$A$3:$I$56,6,FALSE)+main!$D$59,0)</f>
        <v>0</v>
      </c>
      <c r="AW206">
        <f>IF((phi!AW151),VLOOKUP(AW$1,main!$A$3:$I$56,5,FALSE)-VLOOKUP($A206,main!$A$3:$I$56,6,FALSE)+main!$D$59,0)</f>
        <v>0</v>
      </c>
      <c r="AX206">
        <f>IF((phi!AX151),VLOOKUP(AX$1,main!$A$3:$I$56,5,FALSE)-VLOOKUP($A206,main!$A$3:$I$56,6,FALSE)+main!$D$59,0)</f>
        <v>0</v>
      </c>
      <c r="AY206">
        <f>IF((phi!AY151),VLOOKUP(AY$1,main!$A$3:$I$56,5,FALSE)-VLOOKUP($A206,main!$A$3:$I$56,6,FALSE)+main!$D$59,0)</f>
        <v>0</v>
      </c>
      <c r="AZ206">
        <f>IF((phi!AZ151),VLOOKUP(AZ$1,main!$A$3:$I$56,5,FALSE)-VLOOKUP($A206,main!$A$3:$I$56,6,FALSE)+main!$D$59,0)</f>
        <v>0</v>
      </c>
      <c r="BA206">
        <f>IF((phi!BA151),VLOOKUP(BA$1,main!$A$3:$I$56,5,FALSE)-VLOOKUP($A206,main!$A$3:$I$56,6,FALSE)+main!$D$59,0)</f>
        <v>0</v>
      </c>
      <c r="BB206">
        <f>IF((phi!BB151),VLOOKUP(BB$1,main!$A$3:$I$56,5,FALSE)-VLOOKUP($A206,main!$A$3:$I$56,6,FALSE)+main!$D$59,0)</f>
        <v>0</v>
      </c>
      <c r="BC206">
        <f>IF((phi!BC151),VLOOKUP(BC$1,main!$A$3:$I$56,5,FALSE)-VLOOKUP($A206,main!$A$3:$I$56,6,FALSE)+main!$D$59,0)</f>
        <v>0</v>
      </c>
      <c r="BD206">
        <f>IF((phi!BD151),VLOOKUP(BD$1,main!$A$3:$I$56,5,FALSE)-VLOOKUP($A206,main!$A$3:$I$56,6,FALSE)+main!$D$59,0)</f>
        <v>0</v>
      </c>
    </row>
    <row r="207" spans="1:56" x14ac:dyDescent="0.25">
      <c r="A207">
        <f t="shared" si="5"/>
        <v>40</v>
      </c>
      <c r="B207">
        <v>0</v>
      </c>
      <c r="C207">
        <f>IF((phi!C152),VLOOKUP(C$1,main!$A$3:$I$56,5,FALSE)-VLOOKUP($A207,main!$A$3:$I$56,6,FALSE)+main!$D$59,0)</f>
        <v>0</v>
      </c>
      <c r="D207">
        <f>IF((phi!D152),VLOOKUP(D$1,main!$A$3:$I$56,5,FALSE)-VLOOKUP($A207,main!$A$3:$I$56,6,FALSE)+main!$D$59,0)</f>
        <v>0</v>
      </c>
      <c r="E207">
        <f>IF((phi!E152),VLOOKUP(E$1,main!$A$3:$I$56,5,FALSE)-VLOOKUP($A207,main!$A$3:$I$56,6,FALSE)+main!$D$59,0)</f>
        <v>295</v>
      </c>
      <c r="F207">
        <f>IF((phi!F152),VLOOKUP(F$1,main!$A$3:$I$56,5,FALSE)-VLOOKUP($A207,main!$A$3:$I$56,6,FALSE)+main!$D$59,0)</f>
        <v>385</v>
      </c>
      <c r="G207">
        <f>IF((phi!G152),VLOOKUP(G$1,main!$A$3:$I$56,5,FALSE)-VLOOKUP($A207,main!$A$3:$I$56,6,FALSE)+main!$D$59,0)</f>
        <v>445</v>
      </c>
      <c r="H207">
        <f>IF((phi!H152),VLOOKUP(H$1,main!$A$3:$I$56,5,FALSE)-VLOOKUP($A207,main!$A$3:$I$56,6,FALSE)+main!$D$59,0)</f>
        <v>505</v>
      </c>
      <c r="I207">
        <f>IF((phi!I152),VLOOKUP(I$1,main!$A$3:$I$56,5,FALSE)-VLOOKUP($A207,main!$A$3:$I$56,6,FALSE)+main!$D$59,0)</f>
        <v>565</v>
      </c>
      <c r="J207">
        <f>IF((phi!J152),VLOOKUP(J$1,main!$A$3:$I$56,5,FALSE)-VLOOKUP($A207,main!$A$3:$I$56,6,FALSE)+main!$D$59,0)</f>
        <v>655</v>
      </c>
      <c r="K207">
        <f>IF((phi!K152),VLOOKUP(K$1,main!$A$3:$I$56,5,FALSE)-VLOOKUP($A207,main!$A$3:$I$56,6,FALSE)+main!$D$59,0)</f>
        <v>0</v>
      </c>
      <c r="L207">
        <f>IF((phi!L152),VLOOKUP(L$1,main!$A$3:$I$56,5,FALSE)-VLOOKUP($A207,main!$A$3:$I$56,6,FALSE)+main!$D$59,0)</f>
        <v>0</v>
      </c>
      <c r="M207">
        <f>IF((phi!M152),VLOOKUP(M$1,main!$A$3:$I$56,5,FALSE)-VLOOKUP($A207,main!$A$3:$I$56,6,FALSE)+main!$D$59,0)</f>
        <v>260</v>
      </c>
      <c r="N207">
        <f>IF((phi!N152),VLOOKUP(N$1,main!$A$3:$I$56,5,FALSE)-VLOOKUP($A207,main!$A$3:$I$56,6,FALSE)+main!$D$59,0)</f>
        <v>620</v>
      </c>
      <c r="O207">
        <f>IF((phi!O152),VLOOKUP(O$1,main!$A$3:$I$56,5,FALSE)-VLOOKUP($A207,main!$A$3:$I$56,6,FALSE)+main!$D$59,0)</f>
        <v>680</v>
      </c>
      <c r="P207">
        <f>IF((phi!P152),VLOOKUP(P$1,main!$A$3:$I$56,5,FALSE)-VLOOKUP($A207,main!$A$3:$I$56,6,FALSE)+main!$D$59,0)</f>
        <v>0</v>
      </c>
      <c r="Q207">
        <f>IF((phi!Q152),VLOOKUP(Q$1,main!$A$3:$I$56,5,FALSE)-VLOOKUP($A207,main!$A$3:$I$56,6,FALSE)+main!$D$59,0)</f>
        <v>0</v>
      </c>
      <c r="R207">
        <f>IF((phi!R152),VLOOKUP(R$1,main!$A$3:$I$56,5,FALSE)-VLOOKUP($A207,main!$A$3:$I$56,6,FALSE)+main!$D$59,0)</f>
        <v>255</v>
      </c>
      <c r="S207">
        <f>IF((phi!S152),VLOOKUP(S$1,main!$A$3:$I$56,5,FALSE)-VLOOKUP($A207,main!$A$3:$I$56,6,FALSE)+main!$D$59,0)</f>
        <v>435</v>
      </c>
      <c r="T207">
        <f>IF((phi!T152),VLOOKUP(T$1,main!$A$3:$I$56,5,FALSE)-VLOOKUP($A207,main!$A$3:$I$56,6,FALSE)+main!$D$59,0)</f>
        <v>585</v>
      </c>
      <c r="U207">
        <f>IF((phi!U152),VLOOKUP(U$1,main!$A$3:$I$56,5,FALSE)-VLOOKUP($A207,main!$A$3:$I$56,6,FALSE)+main!$D$59,0)</f>
        <v>0</v>
      </c>
      <c r="V207">
        <f>IF((phi!V152),VLOOKUP(V$1,main!$A$3:$I$56,5,FALSE)-VLOOKUP($A207,main!$A$3:$I$56,6,FALSE)+main!$D$59,0)</f>
        <v>0</v>
      </c>
      <c r="W207">
        <f>IF((phi!W152),VLOOKUP(W$1,main!$A$3:$I$56,5,FALSE)-VLOOKUP($A207,main!$A$3:$I$56,6,FALSE)+main!$D$59,0)</f>
        <v>185</v>
      </c>
      <c r="X207">
        <f>IF((phi!X152),VLOOKUP(X$1,main!$A$3:$I$56,5,FALSE)-VLOOKUP($A207,main!$A$3:$I$56,6,FALSE)+main!$D$59,0)</f>
        <v>275</v>
      </c>
      <c r="Y207">
        <f>IF((phi!Y152),VLOOKUP(Y$1,main!$A$3:$I$56,5,FALSE)-VLOOKUP($A207,main!$A$3:$I$56,6,FALSE)+main!$D$59,0)</f>
        <v>365</v>
      </c>
      <c r="Z207">
        <f>IF((phi!Z152),VLOOKUP(Z$1,main!$A$3:$I$56,5,FALSE)-VLOOKUP($A207,main!$A$3:$I$56,6,FALSE)+main!$D$59,0)</f>
        <v>455</v>
      </c>
      <c r="AA207">
        <f>IF((phi!AA152),VLOOKUP(AA$1,main!$A$3:$I$56,5,FALSE)-VLOOKUP($A207,main!$A$3:$I$56,6,FALSE)+main!$D$59,0)</f>
        <v>545</v>
      </c>
      <c r="AB207">
        <f>IF((phi!AB152),VLOOKUP(AB$1,main!$A$3:$I$56,5,FALSE)-VLOOKUP($A207,main!$A$3:$I$56,6,FALSE)+main!$D$59,0)</f>
        <v>605</v>
      </c>
      <c r="AC207">
        <f>IF((phi!AC152),VLOOKUP(AC$1,main!$A$3:$I$56,5,FALSE)-VLOOKUP($A207,main!$A$3:$I$56,6,FALSE)+main!$D$59,0)</f>
        <v>0</v>
      </c>
      <c r="AD207">
        <f>IF((phi!AD152),VLOOKUP(AD$1,main!$A$3:$I$56,5,FALSE)-VLOOKUP($A207,main!$A$3:$I$56,6,FALSE)+main!$D$59,0)</f>
        <v>0</v>
      </c>
      <c r="AE207">
        <f>IF((phi!AE152),VLOOKUP(AE$1,main!$A$3:$I$56,5,FALSE)-VLOOKUP($A207,main!$A$3:$I$56,6,FALSE)+main!$D$59,0)</f>
        <v>265</v>
      </c>
      <c r="AF207">
        <f>IF((phi!AF152),VLOOKUP(AF$1,main!$A$3:$I$56,5,FALSE)-VLOOKUP($A207,main!$A$3:$I$56,6,FALSE)+main!$D$59,0)</f>
        <v>415</v>
      </c>
      <c r="AG207">
        <f>IF((phi!AG152),VLOOKUP(AG$1,main!$A$3:$I$56,5,FALSE)-VLOOKUP($A207,main!$A$3:$I$56,6,FALSE)+main!$D$59,0)</f>
        <v>0</v>
      </c>
      <c r="AH207">
        <f>IF((phi!AH152),VLOOKUP(AH$1,main!$A$3:$I$56,5,FALSE)-VLOOKUP($A207,main!$A$3:$I$56,6,FALSE)+main!$D$59,0)</f>
        <v>0</v>
      </c>
      <c r="AI207">
        <f>IF((phi!AI152),VLOOKUP(AI$1,main!$A$3:$I$56,5,FALSE)-VLOOKUP($A207,main!$A$3:$I$56,6,FALSE)+main!$D$59,0)</f>
        <v>325</v>
      </c>
      <c r="AJ207">
        <f>IF((phi!AJ152),VLOOKUP(AJ$1,main!$A$3:$I$56,5,FALSE)-VLOOKUP($A207,main!$A$3:$I$56,6,FALSE)+main!$D$59,0)</f>
        <v>385</v>
      </c>
      <c r="AK207">
        <f>IF((phi!AK152),VLOOKUP(AK$1,main!$A$3:$I$56,5,FALSE)-VLOOKUP($A207,main!$A$3:$I$56,6,FALSE)+main!$D$59,0)</f>
        <v>505</v>
      </c>
      <c r="AL207">
        <f>IF((phi!AL152),VLOOKUP(AL$1,main!$A$3:$I$56,5,FALSE)-VLOOKUP($A207,main!$A$3:$I$56,6,FALSE)+main!$D$59,0)</f>
        <v>0</v>
      </c>
      <c r="AM207">
        <f>IF((phi!AM152),VLOOKUP(AM$1,main!$A$3:$I$56,5,FALSE)-VLOOKUP($A207,main!$A$3:$I$56,6,FALSE)+main!$D$59,0)</f>
        <v>0</v>
      </c>
      <c r="AN207">
        <f>IF((phi!AN152),VLOOKUP(AN$1,main!$A$3:$I$56,5,FALSE)-VLOOKUP($A207,main!$A$3:$I$56,6,FALSE)+main!$D$59,0)</f>
        <v>365</v>
      </c>
      <c r="AO207">
        <f>IF((phi!AO152),VLOOKUP(AO$1,main!$A$3:$I$56,5,FALSE)-VLOOKUP($A207,main!$A$3:$I$56,6,FALSE)+main!$D$59,0)</f>
        <v>415</v>
      </c>
      <c r="AP207">
        <f>IF((phi!AP152),VLOOKUP(AP$1,main!$A$3:$I$56,5,FALSE)-VLOOKUP($A207,main!$A$3:$I$56,6,FALSE)+main!$D$59,0)</f>
        <v>0</v>
      </c>
      <c r="AQ207">
        <f>IF((phi!AQ152),VLOOKUP(AQ$1,main!$A$3:$I$56,5,FALSE)-VLOOKUP($A207,main!$A$3:$I$56,6,FALSE)+main!$D$59,0)</f>
        <v>0</v>
      </c>
      <c r="AR207">
        <f>IF((phi!AR152),VLOOKUP(AR$1,main!$A$3:$I$56,5,FALSE)-VLOOKUP($A207,main!$A$3:$I$56,6,FALSE)+main!$D$59,0)</f>
        <v>0</v>
      </c>
      <c r="AS207">
        <f>IF((phi!AS152),VLOOKUP(AS$1,main!$A$3:$I$56,5,FALSE)-VLOOKUP($A207,main!$A$3:$I$56,6,FALSE)+main!$D$59,0)</f>
        <v>0</v>
      </c>
      <c r="AT207">
        <f>IF((phi!AT152),VLOOKUP(AT$1,main!$A$3:$I$56,5,FALSE)-VLOOKUP($A207,main!$A$3:$I$56,6,FALSE)+main!$D$59,0)</f>
        <v>315</v>
      </c>
      <c r="AU207">
        <f>IF((phi!AU152),VLOOKUP(AU$1,main!$A$3:$I$56,5,FALSE)-VLOOKUP($A207,main!$A$3:$I$56,6,FALSE)+main!$D$59,0)</f>
        <v>0</v>
      </c>
      <c r="AV207">
        <f>IF((phi!AV152),VLOOKUP(AV$1,main!$A$3:$I$56,5,FALSE)-VLOOKUP($A207,main!$A$3:$I$56,6,FALSE)+main!$D$59,0)</f>
        <v>0</v>
      </c>
      <c r="AW207">
        <f>IF((phi!AW152),VLOOKUP(AW$1,main!$A$3:$I$56,5,FALSE)-VLOOKUP($A207,main!$A$3:$I$56,6,FALSE)+main!$D$59,0)</f>
        <v>265</v>
      </c>
      <c r="AX207">
        <f>IF((phi!AX152),VLOOKUP(AX$1,main!$A$3:$I$56,5,FALSE)-VLOOKUP($A207,main!$A$3:$I$56,6,FALSE)+main!$D$59,0)</f>
        <v>465</v>
      </c>
      <c r="AY207">
        <f>IF((phi!AY152),VLOOKUP(AY$1,main!$A$3:$I$56,5,FALSE)-VLOOKUP($A207,main!$A$3:$I$56,6,FALSE)+main!$D$59,0)</f>
        <v>665</v>
      </c>
      <c r="AZ207">
        <f>IF((phi!AZ152),VLOOKUP(AZ$1,main!$A$3:$I$56,5,FALSE)-VLOOKUP($A207,main!$A$3:$I$56,6,FALSE)+main!$D$59,0)</f>
        <v>0</v>
      </c>
      <c r="BA207">
        <f>IF((phi!BA152),VLOOKUP(BA$1,main!$A$3:$I$56,5,FALSE)-VLOOKUP($A207,main!$A$3:$I$56,6,FALSE)+main!$D$59,0)</f>
        <v>0</v>
      </c>
      <c r="BB207">
        <f>IF((phi!BB152),VLOOKUP(BB$1,main!$A$3:$I$56,5,FALSE)-VLOOKUP($A207,main!$A$3:$I$56,6,FALSE)+main!$D$59,0)</f>
        <v>0</v>
      </c>
      <c r="BC207">
        <f>IF((phi!BC152),VLOOKUP(BC$1,main!$A$3:$I$56,5,FALSE)-VLOOKUP($A207,main!$A$3:$I$56,6,FALSE)+main!$D$59,0)</f>
        <v>430</v>
      </c>
      <c r="BD207">
        <f>IF((phi!BD152),VLOOKUP(BD$1,main!$A$3:$I$56,5,FALSE)-VLOOKUP($A207,main!$A$3:$I$56,6,FALSE)+main!$D$59,0)</f>
        <v>440</v>
      </c>
    </row>
    <row r="208" spans="1:56" x14ac:dyDescent="0.25">
      <c r="A208">
        <f t="shared" si="5"/>
        <v>41</v>
      </c>
      <c r="B208">
        <v>0</v>
      </c>
      <c r="C208">
        <f>IF((phi!C153),VLOOKUP(C$1,main!$A$3:$I$56,5,FALSE)-VLOOKUP($A208,main!$A$3:$I$56,6,FALSE)+main!$D$59,0)</f>
        <v>0</v>
      </c>
      <c r="D208">
        <f>IF((phi!D153),VLOOKUP(D$1,main!$A$3:$I$56,5,FALSE)-VLOOKUP($A208,main!$A$3:$I$56,6,FALSE)+main!$D$59,0)</f>
        <v>0</v>
      </c>
      <c r="E208">
        <f>IF((phi!E153),VLOOKUP(E$1,main!$A$3:$I$56,5,FALSE)-VLOOKUP($A208,main!$A$3:$I$56,6,FALSE)+main!$D$59,0)</f>
        <v>0</v>
      </c>
      <c r="F208">
        <f>IF((phi!F153),VLOOKUP(F$1,main!$A$3:$I$56,5,FALSE)-VLOOKUP($A208,main!$A$3:$I$56,6,FALSE)+main!$D$59,0)</f>
        <v>285</v>
      </c>
      <c r="G208">
        <f>IF((phi!G153),VLOOKUP(G$1,main!$A$3:$I$56,5,FALSE)-VLOOKUP($A208,main!$A$3:$I$56,6,FALSE)+main!$D$59,0)</f>
        <v>345</v>
      </c>
      <c r="H208">
        <f>IF((phi!H153),VLOOKUP(H$1,main!$A$3:$I$56,5,FALSE)-VLOOKUP($A208,main!$A$3:$I$56,6,FALSE)+main!$D$59,0)</f>
        <v>405</v>
      </c>
      <c r="I208">
        <f>IF((phi!I153),VLOOKUP(I$1,main!$A$3:$I$56,5,FALSE)-VLOOKUP($A208,main!$A$3:$I$56,6,FALSE)+main!$D$59,0)</f>
        <v>465</v>
      </c>
      <c r="J208">
        <f>IF((phi!J153),VLOOKUP(J$1,main!$A$3:$I$56,5,FALSE)-VLOOKUP($A208,main!$A$3:$I$56,6,FALSE)+main!$D$59,0)</f>
        <v>555</v>
      </c>
      <c r="K208">
        <f>IF((phi!K153),VLOOKUP(K$1,main!$A$3:$I$56,5,FALSE)-VLOOKUP($A208,main!$A$3:$I$56,6,FALSE)+main!$D$59,0)</f>
        <v>0</v>
      </c>
      <c r="L208">
        <f>IF((phi!L153),VLOOKUP(L$1,main!$A$3:$I$56,5,FALSE)-VLOOKUP($A208,main!$A$3:$I$56,6,FALSE)+main!$D$59,0)</f>
        <v>0</v>
      </c>
      <c r="M208">
        <f>IF((phi!M153),VLOOKUP(M$1,main!$A$3:$I$56,5,FALSE)-VLOOKUP($A208,main!$A$3:$I$56,6,FALSE)+main!$D$59,0)</f>
        <v>0</v>
      </c>
      <c r="N208">
        <f>IF((phi!N153),VLOOKUP(N$1,main!$A$3:$I$56,5,FALSE)-VLOOKUP($A208,main!$A$3:$I$56,6,FALSE)+main!$D$59,0)</f>
        <v>520</v>
      </c>
      <c r="O208">
        <f>IF((phi!O153),VLOOKUP(O$1,main!$A$3:$I$56,5,FALSE)-VLOOKUP($A208,main!$A$3:$I$56,6,FALSE)+main!$D$59,0)</f>
        <v>580</v>
      </c>
      <c r="P208">
        <f>IF((phi!P153),VLOOKUP(P$1,main!$A$3:$I$56,5,FALSE)-VLOOKUP($A208,main!$A$3:$I$56,6,FALSE)+main!$D$59,0)</f>
        <v>0</v>
      </c>
      <c r="Q208">
        <f>IF((phi!Q153),VLOOKUP(Q$1,main!$A$3:$I$56,5,FALSE)-VLOOKUP($A208,main!$A$3:$I$56,6,FALSE)+main!$D$59,0)</f>
        <v>0</v>
      </c>
      <c r="R208">
        <f>IF((phi!R153),VLOOKUP(R$1,main!$A$3:$I$56,5,FALSE)-VLOOKUP($A208,main!$A$3:$I$56,6,FALSE)+main!$D$59,0)</f>
        <v>0</v>
      </c>
      <c r="S208">
        <f>IF((phi!S153),VLOOKUP(S$1,main!$A$3:$I$56,5,FALSE)-VLOOKUP($A208,main!$A$3:$I$56,6,FALSE)+main!$D$59,0)</f>
        <v>335</v>
      </c>
      <c r="T208">
        <f>IF((phi!T153),VLOOKUP(T$1,main!$A$3:$I$56,5,FALSE)-VLOOKUP($A208,main!$A$3:$I$56,6,FALSE)+main!$D$59,0)</f>
        <v>485</v>
      </c>
      <c r="U208">
        <f>IF((phi!U153),VLOOKUP(U$1,main!$A$3:$I$56,5,FALSE)-VLOOKUP($A208,main!$A$3:$I$56,6,FALSE)+main!$D$59,0)</f>
        <v>0</v>
      </c>
      <c r="V208">
        <f>IF((phi!V153),VLOOKUP(V$1,main!$A$3:$I$56,5,FALSE)-VLOOKUP($A208,main!$A$3:$I$56,6,FALSE)+main!$D$59,0)</f>
        <v>0</v>
      </c>
      <c r="W208">
        <f>IF((phi!W153),VLOOKUP(W$1,main!$A$3:$I$56,5,FALSE)-VLOOKUP($A208,main!$A$3:$I$56,6,FALSE)+main!$D$59,0)</f>
        <v>0</v>
      </c>
      <c r="X208">
        <f>IF((phi!X153),VLOOKUP(X$1,main!$A$3:$I$56,5,FALSE)-VLOOKUP($A208,main!$A$3:$I$56,6,FALSE)+main!$D$59,0)</f>
        <v>175</v>
      </c>
      <c r="Y208">
        <f>IF((phi!Y153),VLOOKUP(Y$1,main!$A$3:$I$56,5,FALSE)-VLOOKUP($A208,main!$A$3:$I$56,6,FALSE)+main!$D$59,0)</f>
        <v>265</v>
      </c>
      <c r="Z208">
        <f>IF((phi!Z153),VLOOKUP(Z$1,main!$A$3:$I$56,5,FALSE)-VLOOKUP($A208,main!$A$3:$I$56,6,FALSE)+main!$D$59,0)</f>
        <v>355</v>
      </c>
      <c r="AA208">
        <f>IF((phi!AA153),VLOOKUP(AA$1,main!$A$3:$I$56,5,FALSE)-VLOOKUP($A208,main!$A$3:$I$56,6,FALSE)+main!$D$59,0)</f>
        <v>445</v>
      </c>
      <c r="AB208">
        <f>IF((phi!AB153),VLOOKUP(AB$1,main!$A$3:$I$56,5,FALSE)-VLOOKUP($A208,main!$A$3:$I$56,6,FALSE)+main!$D$59,0)</f>
        <v>505</v>
      </c>
      <c r="AC208">
        <f>IF((phi!AC153),VLOOKUP(AC$1,main!$A$3:$I$56,5,FALSE)-VLOOKUP($A208,main!$A$3:$I$56,6,FALSE)+main!$D$59,0)</f>
        <v>0</v>
      </c>
      <c r="AD208">
        <f>IF((phi!AD153),VLOOKUP(AD$1,main!$A$3:$I$56,5,FALSE)-VLOOKUP($A208,main!$A$3:$I$56,6,FALSE)+main!$D$59,0)</f>
        <v>0</v>
      </c>
      <c r="AE208">
        <f>IF((phi!AE153),VLOOKUP(AE$1,main!$A$3:$I$56,5,FALSE)-VLOOKUP($A208,main!$A$3:$I$56,6,FALSE)+main!$D$59,0)</f>
        <v>165</v>
      </c>
      <c r="AF208">
        <f>IF((phi!AF153),VLOOKUP(AF$1,main!$A$3:$I$56,5,FALSE)-VLOOKUP($A208,main!$A$3:$I$56,6,FALSE)+main!$D$59,0)</f>
        <v>315</v>
      </c>
      <c r="AG208">
        <f>IF((phi!AG153),VLOOKUP(AG$1,main!$A$3:$I$56,5,FALSE)-VLOOKUP($A208,main!$A$3:$I$56,6,FALSE)+main!$D$59,0)</f>
        <v>0</v>
      </c>
      <c r="AH208">
        <f>IF((phi!AH153),VLOOKUP(AH$1,main!$A$3:$I$56,5,FALSE)-VLOOKUP($A208,main!$A$3:$I$56,6,FALSE)+main!$D$59,0)</f>
        <v>0</v>
      </c>
      <c r="AI208">
        <f>IF((phi!AI153),VLOOKUP(AI$1,main!$A$3:$I$56,5,FALSE)-VLOOKUP($A208,main!$A$3:$I$56,6,FALSE)+main!$D$59,0)</f>
        <v>0</v>
      </c>
      <c r="AJ208">
        <f>IF((phi!AJ153),VLOOKUP(AJ$1,main!$A$3:$I$56,5,FALSE)-VLOOKUP($A208,main!$A$3:$I$56,6,FALSE)+main!$D$59,0)</f>
        <v>285</v>
      </c>
      <c r="AK208">
        <f>IF((phi!AK153),VLOOKUP(AK$1,main!$A$3:$I$56,5,FALSE)-VLOOKUP($A208,main!$A$3:$I$56,6,FALSE)+main!$D$59,0)</f>
        <v>405</v>
      </c>
      <c r="AL208">
        <f>IF((phi!AL153),VLOOKUP(AL$1,main!$A$3:$I$56,5,FALSE)-VLOOKUP($A208,main!$A$3:$I$56,6,FALSE)+main!$D$59,0)</f>
        <v>0</v>
      </c>
      <c r="AM208">
        <f>IF((phi!AM153),VLOOKUP(AM$1,main!$A$3:$I$56,5,FALSE)-VLOOKUP($A208,main!$A$3:$I$56,6,FALSE)+main!$D$59,0)</f>
        <v>0</v>
      </c>
      <c r="AN208">
        <f>IF((phi!AN153),VLOOKUP(AN$1,main!$A$3:$I$56,5,FALSE)-VLOOKUP($A208,main!$A$3:$I$56,6,FALSE)+main!$D$59,0)</f>
        <v>265</v>
      </c>
      <c r="AO208">
        <f>IF((phi!AO153),VLOOKUP(AO$1,main!$A$3:$I$56,5,FALSE)-VLOOKUP($A208,main!$A$3:$I$56,6,FALSE)+main!$D$59,0)</f>
        <v>315</v>
      </c>
      <c r="AP208">
        <f>IF((phi!AP153),VLOOKUP(AP$1,main!$A$3:$I$56,5,FALSE)-VLOOKUP($A208,main!$A$3:$I$56,6,FALSE)+main!$D$59,0)</f>
        <v>0</v>
      </c>
      <c r="AQ208">
        <f>IF((phi!AQ153),VLOOKUP(AQ$1,main!$A$3:$I$56,5,FALSE)-VLOOKUP($A208,main!$A$3:$I$56,6,FALSE)+main!$D$59,0)</f>
        <v>0</v>
      </c>
      <c r="AR208">
        <f>IF((phi!AR153),VLOOKUP(AR$1,main!$A$3:$I$56,5,FALSE)-VLOOKUP($A208,main!$A$3:$I$56,6,FALSE)+main!$D$59,0)</f>
        <v>0</v>
      </c>
      <c r="AS208">
        <f>IF((phi!AS153),VLOOKUP(AS$1,main!$A$3:$I$56,5,FALSE)-VLOOKUP($A208,main!$A$3:$I$56,6,FALSE)+main!$D$59,0)</f>
        <v>0</v>
      </c>
      <c r="AT208">
        <f>IF((phi!AT153),VLOOKUP(AT$1,main!$A$3:$I$56,5,FALSE)-VLOOKUP($A208,main!$A$3:$I$56,6,FALSE)+main!$D$59,0)</f>
        <v>0</v>
      </c>
      <c r="AU208">
        <f>IF((phi!AU153),VLOOKUP(AU$1,main!$A$3:$I$56,5,FALSE)-VLOOKUP($A208,main!$A$3:$I$56,6,FALSE)+main!$D$59,0)</f>
        <v>0</v>
      </c>
      <c r="AV208">
        <f>IF((phi!AV153),VLOOKUP(AV$1,main!$A$3:$I$56,5,FALSE)-VLOOKUP($A208,main!$A$3:$I$56,6,FALSE)+main!$D$59,0)</f>
        <v>0</v>
      </c>
      <c r="AW208">
        <f>IF((phi!AW153),VLOOKUP(AW$1,main!$A$3:$I$56,5,FALSE)-VLOOKUP($A208,main!$A$3:$I$56,6,FALSE)+main!$D$59,0)</f>
        <v>0</v>
      </c>
      <c r="AX208">
        <f>IF((phi!AX153),VLOOKUP(AX$1,main!$A$3:$I$56,5,FALSE)-VLOOKUP($A208,main!$A$3:$I$56,6,FALSE)+main!$D$59,0)</f>
        <v>365</v>
      </c>
      <c r="AY208">
        <f>IF((phi!AY153),VLOOKUP(AY$1,main!$A$3:$I$56,5,FALSE)-VLOOKUP($A208,main!$A$3:$I$56,6,FALSE)+main!$D$59,0)</f>
        <v>565</v>
      </c>
      <c r="AZ208">
        <f>IF((phi!AZ153),VLOOKUP(AZ$1,main!$A$3:$I$56,5,FALSE)-VLOOKUP($A208,main!$A$3:$I$56,6,FALSE)+main!$D$59,0)</f>
        <v>0</v>
      </c>
      <c r="BA208">
        <f>IF((phi!BA153),VLOOKUP(BA$1,main!$A$3:$I$56,5,FALSE)-VLOOKUP($A208,main!$A$3:$I$56,6,FALSE)+main!$D$59,0)</f>
        <v>0</v>
      </c>
      <c r="BB208">
        <f>IF((phi!BB153),VLOOKUP(BB$1,main!$A$3:$I$56,5,FALSE)-VLOOKUP($A208,main!$A$3:$I$56,6,FALSE)+main!$D$59,0)</f>
        <v>0</v>
      </c>
      <c r="BC208">
        <f>IF((phi!BC153),VLOOKUP(BC$1,main!$A$3:$I$56,5,FALSE)-VLOOKUP($A208,main!$A$3:$I$56,6,FALSE)+main!$D$59,0)</f>
        <v>330</v>
      </c>
      <c r="BD208">
        <f>IF((phi!BD153),VLOOKUP(BD$1,main!$A$3:$I$56,5,FALSE)-VLOOKUP($A208,main!$A$3:$I$56,6,FALSE)+main!$D$59,0)</f>
        <v>340</v>
      </c>
    </row>
    <row r="209" spans="1:56" x14ac:dyDescent="0.25">
      <c r="A209">
        <f t="shared" si="5"/>
        <v>42</v>
      </c>
      <c r="B209">
        <v>0</v>
      </c>
      <c r="C209">
        <f>IF((phi!C154),VLOOKUP(C$1,main!$A$3:$I$56,5,FALSE)-VLOOKUP($A209,main!$A$3:$I$56,6,FALSE)+main!$D$59,0)</f>
        <v>0</v>
      </c>
      <c r="D209">
        <f>IF((phi!D154),VLOOKUP(D$1,main!$A$3:$I$56,5,FALSE)-VLOOKUP($A209,main!$A$3:$I$56,6,FALSE)+main!$D$59,0)</f>
        <v>0</v>
      </c>
      <c r="E209">
        <f>IF((phi!E154),VLOOKUP(E$1,main!$A$3:$I$56,5,FALSE)-VLOOKUP($A209,main!$A$3:$I$56,6,FALSE)+main!$D$59,0)</f>
        <v>0</v>
      </c>
      <c r="F209">
        <f>IF((phi!F154),VLOOKUP(F$1,main!$A$3:$I$56,5,FALSE)-VLOOKUP($A209,main!$A$3:$I$56,6,FALSE)+main!$D$59,0)</f>
        <v>0</v>
      </c>
      <c r="G209">
        <f>IF((phi!G154),VLOOKUP(G$1,main!$A$3:$I$56,5,FALSE)-VLOOKUP($A209,main!$A$3:$I$56,6,FALSE)+main!$D$59,0)</f>
        <v>295</v>
      </c>
      <c r="H209">
        <f>IF((phi!H154),VLOOKUP(H$1,main!$A$3:$I$56,5,FALSE)-VLOOKUP($A209,main!$A$3:$I$56,6,FALSE)+main!$D$59,0)</f>
        <v>355</v>
      </c>
      <c r="I209">
        <f>IF((phi!I154),VLOOKUP(I$1,main!$A$3:$I$56,5,FALSE)-VLOOKUP($A209,main!$A$3:$I$56,6,FALSE)+main!$D$59,0)</f>
        <v>415</v>
      </c>
      <c r="J209">
        <f>IF((phi!J154),VLOOKUP(J$1,main!$A$3:$I$56,5,FALSE)-VLOOKUP($A209,main!$A$3:$I$56,6,FALSE)+main!$D$59,0)</f>
        <v>505</v>
      </c>
      <c r="K209">
        <f>IF((phi!K154),VLOOKUP(K$1,main!$A$3:$I$56,5,FALSE)-VLOOKUP($A209,main!$A$3:$I$56,6,FALSE)+main!$D$59,0)</f>
        <v>0</v>
      </c>
      <c r="L209">
        <f>IF((phi!L154),VLOOKUP(L$1,main!$A$3:$I$56,5,FALSE)-VLOOKUP($A209,main!$A$3:$I$56,6,FALSE)+main!$D$59,0)</f>
        <v>0</v>
      </c>
      <c r="M209">
        <f>IF((phi!M154),VLOOKUP(M$1,main!$A$3:$I$56,5,FALSE)-VLOOKUP($A209,main!$A$3:$I$56,6,FALSE)+main!$D$59,0)</f>
        <v>0</v>
      </c>
      <c r="N209">
        <f>IF((phi!N154),VLOOKUP(N$1,main!$A$3:$I$56,5,FALSE)-VLOOKUP($A209,main!$A$3:$I$56,6,FALSE)+main!$D$59,0)</f>
        <v>470</v>
      </c>
      <c r="O209">
        <f>IF((phi!O154),VLOOKUP(O$1,main!$A$3:$I$56,5,FALSE)-VLOOKUP($A209,main!$A$3:$I$56,6,FALSE)+main!$D$59,0)</f>
        <v>530</v>
      </c>
      <c r="P209">
        <f>IF((phi!P154),VLOOKUP(P$1,main!$A$3:$I$56,5,FALSE)-VLOOKUP($A209,main!$A$3:$I$56,6,FALSE)+main!$D$59,0)</f>
        <v>0</v>
      </c>
      <c r="Q209">
        <f>IF((phi!Q154),VLOOKUP(Q$1,main!$A$3:$I$56,5,FALSE)-VLOOKUP($A209,main!$A$3:$I$56,6,FALSE)+main!$D$59,0)</f>
        <v>0</v>
      </c>
      <c r="R209">
        <f>IF((phi!R154),VLOOKUP(R$1,main!$A$3:$I$56,5,FALSE)-VLOOKUP($A209,main!$A$3:$I$56,6,FALSE)+main!$D$59,0)</f>
        <v>0</v>
      </c>
      <c r="S209">
        <f>IF((phi!S154),VLOOKUP(S$1,main!$A$3:$I$56,5,FALSE)-VLOOKUP($A209,main!$A$3:$I$56,6,FALSE)+main!$D$59,0)</f>
        <v>285</v>
      </c>
      <c r="T209">
        <f>IF((phi!T154),VLOOKUP(T$1,main!$A$3:$I$56,5,FALSE)-VLOOKUP($A209,main!$A$3:$I$56,6,FALSE)+main!$D$59,0)</f>
        <v>435</v>
      </c>
      <c r="U209">
        <f>IF((phi!U154),VLOOKUP(U$1,main!$A$3:$I$56,5,FALSE)-VLOOKUP($A209,main!$A$3:$I$56,6,FALSE)+main!$D$59,0)</f>
        <v>0</v>
      </c>
      <c r="V209">
        <f>IF((phi!V154),VLOOKUP(V$1,main!$A$3:$I$56,5,FALSE)-VLOOKUP($A209,main!$A$3:$I$56,6,FALSE)+main!$D$59,0)</f>
        <v>0</v>
      </c>
      <c r="W209">
        <f>IF((phi!W154),VLOOKUP(W$1,main!$A$3:$I$56,5,FALSE)-VLOOKUP($A209,main!$A$3:$I$56,6,FALSE)+main!$D$59,0)</f>
        <v>0</v>
      </c>
      <c r="X209">
        <f>IF((phi!X154),VLOOKUP(X$1,main!$A$3:$I$56,5,FALSE)-VLOOKUP($A209,main!$A$3:$I$56,6,FALSE)+main!$D$59,0)</f>
        <v>125</v>
      </c>
      <c r="Y209">
        <f>IF((phi!Y154),VLOOKUP(Y$1,main!$A$3:$I$56,5,FALSE)-VLOOKUP($A209,main!$A$3:$I$56,6,FALSE)+main!$D$59,0)</f>
        <v>215</v>
      </c>
      <c r="Z209">
        <f>IF((phi!Z154),VLOOKUP(Z$1,main!$A$3:$I$56,5,FALSE)-VLOOKUP($A209,main!$A$3:$I$56,6,FALSE)+main!$D$59,0)</f>
        <v>305</v>
      </c>
      <c r="AA209">
        <f>IF((phi!AA154),VLOOKUP(AA$1,main!$A$3:$I$56,5,FALSE)-VLOOKUP($A209,main!$A$3:$I$56,6,FALSE)+main!$D$59,0)</f>
        <v>395</v>
      </c>
      <c r="AB209">
        <f>IF((phi!AB154),VLOOKUP(AB$1,main!$A$3:$I$56,5,FALSE)-VLOOKUP($A209,main!$A$3:$I$56,6,FALSE)+main!$D$59,0)</f>
        <v>455</v>
      </c>
      <c r="AC209">
        <f>IF((phi!AC154),VLOOKUP(AC$1,main!$A$3:$I$56,5,FALSE)-VLOOKUP($A209,main!$A$3:$I$56,6,FALSE)+main!$D$59,0)</f>
        <v>0</v>
      </c>
      <c r="AD209">
        <f>IF((phi!AD154),VLOOKUP(AD$1,main!$A$3:$I$56,5,FALSE)-VLOOKUP($A209,main!$A$3:$I$56,6,FALSE)+main!$D$59,0)</f>
        <v>0</v>
      </c>
      <c r="AE209">
        <f>IF((phi!AE154),VLOOKUP(AE$1,main!$A$3:$I$56,5,FALSE)-VLOOKUP($A209,main!$A$3:$I$56,6,FALSE)+main!$D$59,0)</f>
        <v>115</v>
      </c>
      <c r="AF209">
        <f>IF((phi!AF154),VLOOKUP(AF$1,main!$A$3:$I$56,5,FALSE)-VLOOKUP($A209,main!$A$3:$I$56,6,FALSE)+main!$D$59,0)</f>
        <v>265</v>
      </c>
      <c r="AG209">
        <f>IF((phi!AG154),VLOOKUP(AG$1,main!$A$3:$I$56,5,FALSE)-VLOOKUP($A209,main!$A$3:$I$56,6,FALSE)+main!$D$59,0)</f>
        <v>0</v>
      </c>
      <c r="AH209">
        <f>IF((phi!AH154),VLOOKUP(AH$1,main!$A$3:$I$56,5,FALSE)-VLOOKUP($A209,main!$A$3:$I$56,6,FALSE)+main!$D$59,0)</f>
        <v>0</v>
      </c>
      <c r="AI209">
        <f>IF((phi!AI154),VLOOKUP(AI$1,main!$A$3:$I$56,5,FALSE)-VLOOKUP($A209,main!$A$3:$I$56,6,FALSE)+main!$D$59,0)</f>
        <v>0</v>
      </c>
      <c r="AJ209">
        <f>IF((phi!AJ154),VLOOKUP(AJ$1,main!$A$3:$I$56,5,FALSE)-VLOOKUP($A209,main!$A$3:$I$56,6,FALSE)+main!$D$59,0)</f>
        <v>0</v>
      </c>
      <c r="AK209">
        <f>IF((phi!AK154),VLOOKUP(AK$1,main!$A$3:$I$56,5,FALSE)-VLOOKUP($A209,main!$A$3:$I$56,6,FALSE)+main!$D$59,0)</f>
        <v>355</v>
      </c>
      <c r="AL209">
        <f>IF((phi!AL154),VLOOKUP(AL$1,main!$A$3:$I$56,5,FALSE)-VLOOKUP($A209,main!$A$3:$I$56,6,FALSE)+main!$D$59,0)</f>
        <v>0</v>
      </c>
      <c r="AM209">
        <f>IF((phi!AM154),VLOOKUP(AM$1,main!$A$3:$I$56,5,FALSE)-VLOOKUP($A209,main!$A$3:$I$56,6,FALSE)+main!$D$59,0)</f>
        <v>0</v>
      </c>
      <c r="AN209">
        <f>IF((phi!AN154),VLOOKUP(AN$1,main!$A$3:$I$56,5,FALSE)-VLOOKUP($A209,main!$A$3:$I$56,6,FALSE)+main!$D$59,0)</f>
        <v>0</v>
      </c>
      <c r="AO209">
        <f>IF((phi!AO154),VLOOKUP(AO$1,main!$A$3:$I$56,5,FALSE)-VLOOKUP($A209,main!$A$3:$I$56,6,FALSE)+main!$D$59,0)</f>
        <v>265</v>
      </c>
      <c r="AP209">
        <f>IF((phi!AP154),VLOOKUP(AP$1,main!$A$3:$I$56,5,FALSE)-VLOOKUP($A209,main!$A$3:$I$56,6,FALSE)+main!$D$59,0)</f>
        <v>0</v>
      </c>
      <c r="AQ209">
        <f>IF((phi!AQ154),VLOOKUP(AQ$1,main!$A$3:$I$56,5,FALSE)-VLOOKUP($A209,main!$A$3:$I$56,6,FALSE)+main!$D$59,0)</f>
        <v>0</v>
      </c>
      <c r="AR209">
        <f>IF((phi!AR154),VLOOKUP(AR$1,main!$A$3:$I$56,5,FALSE)-VLOOKUP($A209,main!$A$3:$I$56,6,FALSE)+main!$D$59,0)</f>
        <v>0</v>
      </c>
      <c r="AS209">
        <f>IF((phi!AS154),VLOOKUP(AS$1,main!$A$3:$I$56,5,FALSE)-VLOOKUP($A209,main!$A$3:$I$56,6,FALSE)+main!$D$59,0)</f>
        <v>0</v>
      </c>
      <c r="AT209">
        <f>IF((phi!AT154),VLOOKUP(AT$1,main!$A$3:$I$56,5,FALSE)-VLOOKUP($A209,main!$A$3:$I$56,6,FALSE)+main!$D$59,0)</f>
        <v>0</v>
      </c>
      <c r="AU209">
        <f>IF((phi!AU154),VLOOKUP(AU$1,main!$A$3:$I$56,5,FALSE)-VLOOKUP($A209,main!$A$3:$I$56,6,FALSE)+main!$D$59,0)</f>
        <v>0</v>
      </c>
      <c r="AV209">
        <f>IF((phi!AV154),VLOOKUP(AV$1,main!$A$3:$I$56,5,FALSE)-VLOOKUP($A209,main!$A$3:$I$56,6,FALSE)+main!$D$59,0)</f>
        <v>0</v>
      </c>
      <c r="AW209">
        <f>IF((phi!AW154),VLOOKUP(AW$1,main!$A$3:$I$56,5,FALSE)-VLOOKUP($A209,main!$A$3:$I$56,6,FALSE)+main!$D$59,0)</f>
        <v>0</v>
      </c>
      <c r="AX209">
        <f>IF((phi!AX154),VLOOKUP(AX$1,main!$A$3:$I$56,5,FALSE)-VLOOKUP($A209,main!$A$3:$I$56,6,FALSE)+main!$D$59,0)</f>
        <v>315</v>
      </c>
      <c r="AY209">
        <f>IF((phi!AY154),VLOOKUP(AY$1,main!$A$3:$I$56,5,FALSE)-VLOOKUP($A209,main!$A$3:$I$56,6,FALSE)+main!$D$59,0)</f>
        <v>515</v>
      </c>
      <c r="AZ209">
        <f>IF((phi!AZ154),VLOOKUP(AZ$1,main!$A$3:$I$56,5,FALSE)-VLOOKUP($A209,main!$A$3:$I$56,6,FALSE)+main!$D$59,0)</f>
        <v>0</v>
      </c>
      <c r="BA209">
        <f>IF((phi!BA154),VLOOKUP(BA$1,main!$A$3:$I$56,5,FALSE)-VLOOKUP($A209,main!$A$3:$I$56,6,FALSE)+main!$D$59,0)</f>
        <v>0</v>
      </c>
      <c r="BB209">
        <f>IF((phi!BB154),VLOOKUP(BB$1,main!$A$3:$I$56,5,FALSE)-VLOOKUP($A209,main!$A$3:$I$56,6,FALSE)+main!$D$59,0)</f>
        <v>0</v>
      </c>
      <c r="BC209">
        <f>IF((phi!BC154),VLOOKUP(BC$1,main!$A$3:$I$56,5,FALSE)-VLOOKUP($A209,main!$A$3:$I$56,6,FALSE)+main!$D$59,0)</f>
        <v>280</v>
      </c>
      <c r="BD209">
        <f>IF((phi!BD154),VLOOKUP(BD$1,main!$A$3:$I$56,5,FALSE)-VLOOKUP($A209,main!$A$3:$I$56,6,FALSE)+main!$D$59,0)</f>
        <v>290</v>
      </c>
    </row>
    <row r="210" spans="1:56" x14ac:dyDescent="0.25">
      <c r="A210">
        <f t="shared" si="5"/>
        <v>43</v>
      </c>
      <c r="B210">
        <v>0</v>
      </c>
      <c r="C210">
        <f>IF((phi!C155),VLOOKUP(C$1,main!$A$3:$I$56,5,FALSE)-VLOOKUP($A210,main!$A$3:$I$56,6,FALSE)+main!$D$59,0)</f>
        <v>0</v>
      </c>
      <c r="D210">
        <f>IF((phi!D155),VLOOKUP(D$1,main!$A$3:$I$56,5,FALSE)-VLOOKUP($A210,main!$A$3:$I$56,6,FALSE)+main!$D$59,0)</f>
        <v>0</v>
      </c>
      <c r="E210">
        <f>IF((phi!E155),VLOOKUP(E$1,main!$A$3:$I$56,5,FALSE)-VLOOKUP($A210,main!$A$3:$I$56,6,FALSE)+main!$D$59,0)</f>
        <v>0</v>
      </c>
      <c r="F210">
        <f>IF((phi!F155),VLOOKUP(F$1,main!$A$3:$I$56,5,FALSE)-VLOOKUP($A210,main!$A$3:$I$56,6,FALSE)+main!$D$59,0)</f>
        <v>0</v>
      </c>
      <c r="G210">
        <f>IF((phi!G155),VLOOKUP(G$1,main!$A$3:$I$56,5,FALSE)-VLOOKUP($A210,main!$A$3:$I$56,6,FALSE)+main!$D$59,0)</f>
        <v>0</v>
      </c>
      <c r="H210">
        <f>IF((phi!H155),VLOOKUP(H$1,main!$A$3:$I$56,5,FALSE)-VLOOKUP($A210,main!$A$3:$I$56,6,FALSE)+main!$D$59,0)</f>
        <v>0</v>
      </c>
      <c r="I210">
        <f>IF((phi!I155),VLOOKUP(I$1,main!$A$3:$I$56,5,FALSE)-VLOOKUP($A210,main!$A$3:$I$56,6,FALSE)+main!$D$59,0)</f>
        <v>250</v>
      </c>
      <c r="J210">
        <f>IF((phi!J155),VLOOKUP(J$1,main!$A$3:$I$56,5,FALSE)-VLOOKUP($A210,main!$A$3:$I$56,6,FALSE)+main!$D$59,0)</f>
        <v>340</v>
      </c>
      <c r="K210">
        <f>IF((phi!K155),VLOOKUP(K$1,main!$A$3:$I$56,5,FALSE)-VLOOKUP($A210,main!$A$3:$I$56,6,FALSE)+main!$D$59,0)</f>
        <v>0</v>
      </c>
      <c r="L210">
        <f>IF((phi!L155),VLOOKUP(L$1,main!$A$3:$I$56,5,FALSE)-VLOOKUP($A210,main!$A$3:$I$56,6,FALSE)+main!$D$59,0)</f>
        <v>0</v>
      </c>
      <c r="M210">
        <f>IF((phi!M155),VLOOKUP(M$1,main!$A$3:$I$56,5,FALSE)-VLOOKUP($A210,main!$A$3:$I$56,6,FALSE)+main!$D$59,0)</f>
        <v>0</v>
      </c>
      <c r="N210">
        <f>IF((phi!N155),VLOOKUP(N$1,main!$A$3:$I$56,5,FALSE)-VLOOKUP($A210,main!$A$3:$I$56,6,FALSE)+main!$D$59,0)</f>
        <v>305</v>
      </c>
      <c r="O210">
        <f>IF((phi!O155),VLOOKUP(O$1,main!$A$3:$I$56,5,FALSE)-VLOOKUP($A210,main!$A$3:$I$56,6,FALSE)+main!$D$59,0)</f>
        <v>365</v>
      </c>
      <c r="P210">
        <f>IF((phi!P155),VLOOKUP(P$1,main!$A$3:$I$56,5,FALSE)-VLOOKUP($A210,main!$A$3:$I$56,6,FALSE)+main!$D$59,0)</f>
        <v>0</v>
      </c>
      <c r="Q210">
        <f>IF((phi!Q155),VLOOKUP(Q$1,main!$A$3:$I$56,5,FALSE)-VLOOKUP($A210,main!$A$3:$I$56,6,FALSE)+main!$D$59,0)</f>
        <v>0</v>
      </c>
      <c r="R210">
        <f>IF((phi!R155),VLOOKUP(R$1,main!$A$3:$I$56,5,FALSE)-VLOOKUP($A210,main!$A$3:$I$56,6,FALSE)+main!$D$59,0)</f>
        <v>0</v>
      </c>
      <c r="S210">
        <f>IF((phi!S155),VLOOKUP(S$1,main!$A$3:$I$56,5,FALSE)-VLOOKUP($A210,main!$A$3:$I$56,6,FALSE)+main!$D$59,0)</f>
        <v>0</v>
      </c>
      <c r="T210">
        <f>IF((phi!T155),VLOOKUP(T$1,main!$A$3:$I$56,5,FALSE)-VLOOKUP($A210,main!$A$3:$I$56,6,FALSE)+main!$D$59,0)</f>
        <v>270</v>
      </c>
      <c r="U210">
        <f>IF((phi!U155),VLOOKUP(U$1,main!$A$3:$I$56,5,FALSE)-VLOOKUP($A210,main!$A$3:$I$56,6,FALSE)+main!$D$59,0)</f>
        <v>0</v>
      </c>
      <c r="V210">
        <f>IF((phi!V155),VLOOKUP(V$1,main!$A$3:$I$56,5,FALSE)-VLOOKUP($A210,main!$A$3:$I$56,6,FALSE)+main!$D$59,0)</f>
        <v>0</v>
      </c>
      <c r="W210">
        <f>IF((phi!W155),VLOOKUP(W$1,main!$A$3:$I$56,5,FALSE)-VLOOKUP($A210,main!$A$3:$I$56,6,FALSE)+main!$D$59,0)</f>
        <v>0</v>
      </c>
      <c r="X210">
        <f>IF((phi!X155),VLOOKUP(X$1,main!$A$3:$I$56,5,FALSE)-VLOOKUP($A210,main!$A$3:$I$56,6,FALSE)+main!$D$59,0)</f>
        <v>0</v>
      </c>
      <c r="Y210">
        <f>IF((phi!Y155),VLOOKUP(Y$1,main!$A$3:$I$56,5,FALSE)-VLOOKUP($A210,main!$A$3:$I$56,6,FALSE)+main!$D$59,0)</f>
        <v>0</v>
      </c>
      <c r="Z210">
        <f>IF((phi!Z155),VLOOKUP(Z$1,main!$A$3:$I$56,5,FALSE)-VLOOKUP($A210,main!$A$3:$I$56,6,FALSE)+main!$D$59,0)</f>
        <v>140</v>
      </c>
      <c r="AA210">
        <f>IF((phi!AA155),VLOOKUP(AA$1,main!$A$3:$I$56,5,FALSE)-VLOOKUP($A210,main!$A$3:$I$56,6,FALSE)+main!$D$59,0)</f>
        <v>230</v>
      </c>
      <c r="AB210">
        <f>IF((phi!AB155),VLOOKUP(AB$1,main!$A$3:$I$56,5,FALSE)-VLOOKUP($A210,main!$A$3:$I$56,6,FALSE)+main!$D$59,0)</f>
        <v>290</v>
      </c>
      <c r="AC210">
        <f>IF((phi!AC155),VLOOKUP(AC$1,main!$A$3:$I$56,5,FALSE)-VLOOKUP($A210,main!$A$3:$I$56,6,FALSE)+main!$D$59,0)</f>
        <v>0</v>
      </c>
      <c r="AD210">
        <f>IF((phi!AD155),VLOOKUP(AD$1,main!$A$3:$I$56,5,FALSE)-VLOOKUP($A210,main!$A$3:$I$56,6,FALSE)+main!$D$59,0)</f>
        <v>0</v>
      </c>
      <c r="AE210">
        <f>IF((phi!AE155),VLOOKUP(AE$1,main!$A$3:$I$56,5,FALSE)-VLOOKUP($A210,main!$A$3:$I$56,6,FALSE)+main!$D$59,0)</f>
        <v>0</v>
      </c>
      <c r="AF210">
        <f>IF((phi!AF155),VLOOKUP(AF$1,main!$A$3:$I$56,5,FALSE)-VLOOKUP($A210,main!$A$3:$I$56,6,FALSE)+main!$D$59,0)</f>
        <v>0</v>
      </c>
      <c r="AG210">
        <f>IF((phi!AG155),VLOOKUP(AG$1,main!$A$3:$I$56,5,FALSE)-VLOOKUP($A210,main!$A$3:$I$56,6,FALSE)+main!$D$59,0)</f>
        <v>0</v>
      </c>
      <c r="AH210">
        <f>IF((phi!AH155),VLOOKUP(AH$1,main!$A$3:$I$56,5,FALSE)-VLOOKUP($A210,main!$A$3:$I$56,6,FALSE)+main!$D$59,0)</f>
        <v>0</v>
      </c>
      <c r="AI210">
        <f>IF((phi!AI155),VLOOKUP(AI$1,main!$A$3:$I$56,5,FALSE)-VLOOKUP($A210,main!$A$3:$I$56,6,FALSE)+main!$D$59,0)</f>
        <v>0</v>
      </c>
      <c r="AJ210">
        <f>IF((phi!AJ155),VLOOKUP(AJ$1,main!$A$3:$I$56,5,FALSE)-VLOOKUP($A210,main!$A$3:$I$56,6,FALSE)+main!$D$59,0)</f>
        <v>0</v>
      </c>
      <c r="AK210">
        <f>IF((phi!AK155),VLOOKUP(AK$1,main!$A$3:$I$56,5,FALSE)-VLOOKUP($A210,main!$A$3:$I$56,6,FALSE)+main!$D$59,0)</f>
        <v>0</v>
      </c>
      <c r="AL210">
        <f>IF((phi!AL155),VLOOKUP(AL$1,main!$A$3:$I$56,5,FALSE)-VLOOKUP($A210,main!$A$3:$I$56,6,FALSE)+main!$D$59,0)</f>
        <v>0</v>
      </c>
      <c r="AM210">
        <f>IF((phi!AM155),VLOOKUP(AM$1,main!$A$3:$I$56,5,FALSE)-VLOOKUP($A210,main!$A$3:$I$56,6,FALSE)+main!$D$59,0)</f>
        <v>0</v>
      </c>
      <c r="AN210">
        <f>IF((phi!AN155),VLOOKUP(AN$1,main!$A$3:$I$56,5,FALSE)-VLOOKUP($A210,main!$A$3:$I$56,6,FALSE)+main!$D$59,0)</f>
        <v>0</v>
      </c>
      <c r="AO210">
        <f>IF((phi!AO155),VLOOKUP(AO$1,main!$A$3:$I$56,5,FALSE)-VLOOKUP($A210,main!$A$3:$I$56,6,FALSE)+main!$D$59,0)</f>
        <v>0</v>
      </c>
      <c r="AP210">
        <f>IF((phi!AP155),VLOOKUP(AP$1,main!$A$3:$I$56,5,FALSE)-VLOOKUP($A210,main!$A$3:$I$56,6,FALSE)+main!$D$59,0)</f>
        <v>0</v>
      </c>
      <c r="AQ210">
        <f>IF((phi!AQ155),VLOOKUP(AQ$1,main!$A$3:$I$56,5,FALSE)-VLOOKUP($A210,main!$A$3:$I$56,6,FALSE)+main!$D$59,0)</f>
        <v>0</v>
      </c>
      <c r="AR210">
        <f>IF((phi!AR155),VLOOKUP(AR$1,main!$A$3:$I$56,5,FALSE)-VLOOKUP($A210,main!$A$3:$I$56,6,FALSE)+main!$D$59,0)</f>
        <v>0</v>
      </c>
      <c r="AS210">
        <f>IF((phi!AS155),VLOOKUP(AS$1,main!$A$3:$I$56,5,FALSE)-VLOOKUP($A210,main!$A$3:$I$56,6,FALSE)+main!$D$59,0)</f>
        <v>0</v>
      </c>
      <c r="AT210">
        <f>IF((phi!AT155),VLOOKUP(AT$1,main!$A$3:$I$56,5,FALSE)-VLOOKUP($A210,main!$A$3:$I$56,6,FALSE)+main!$D$59,0)</f>
        <v>0</v>
      </c>
      <c r="AU210">
        <f>IF((phi!AU155),VLOOKUP(AU$1,main!$A$3:$I$56,5,FALSE)-VLOOKUP($A210,main!$A$3:$I$56,6,FALSE)+main!$D$59,0)</f>
        <v>0</v>
      </c>
      <c r="AV210">
        <f>IF((phi!AV155),VLOOKUP(AV$1,main!$A$3:$I$56,5,FALSE)-VLOOKUP($A210,main!$A$3:$I$56,6,FALSE)+main!$D$59,0)</f>
        <v>0</v>
      </c>
      <c r="AW210">
        <f>IF((phi!AW155),VLOOKUP(AW$1,main!$A$3:$I$56,5,FALSE)-VLOOKUP($A210,main!$A$3:$I$56,6,FALSE)+main!$D$59,0)</f>
        <v>0</v>
      </c>
      <c r="AX210">
        <f>IF((phi!AX155),VLOOKUP(AX$1,main!$A$3:$I$56,5,FALSE)-VLOOKUP($A210,main!$A$3:$I$56,6,FALSE)+main!$D$59,0)</f>
        <v>0</v>
      </c>
      <c r="AY210">
        <f>IF((phi!AY155),VLOOKUP(AY$1,main!$A$3:$I$56,5,FALSE)-VLOOKUP($A210,main!$A$3:$I$56,6,FALSE)+main!$D$59,0)</f>
        <v>350</v>
      </c>
      <c r="AZ210">
        <f>IF((phi!AZ155),VLOOKUP(AZ$1,main!$A$3:$I$56,5,FALSE)-VLOOKUP($A210,main!$A$3:$I$56,6,FALSE)+main!$D$59,0)</f>
        <v>0</v>
      </c>
      <c r="BA210">
        <f>IF((phi!BA155),VLOOKUP(BA$1,main!$A$3:$I$56,5,FALSE)-VLOOKUP($A210,main!$A$3:$I$56,6,FALSE)+main!$D$59,0)</f>
        <v>0</v>
      </c>
      <c r="BB210">
        <f>IF((phi!BB155),VLOOKUP(BB$1,main!$A$3:$I$56,5,FALSE)-VLOOKUP($A210,main!$A$3:$I$56,6,FALSE)+main!$D$59,0)</f>
        <v>0</v>
      </c>
      <c r="BC210">
        <f>IF((phi!BC155),VLOOKUP(BC$1,main!$A$3:$I$56,5,FALSE)-VLOOKUP($A210,main!$A$3:$I$56,6,FALSE)+main!$D$59,0)</f>
        <v>0</v>
      </c>
      <c r="BD210">
        <f>IF((phi!BD155),VLOOKUP(BD$1,main!$A$3:$I$56,5,FALSE)-VLOOKUP($A210,main!$A$3:$I$56,6,FALSE)+main!$D$59,0)</f>
        <v>0</v>
      </c>
    </row>
    <row r="211" spans="1:56" x14ac:dyDescent="0.25">
      <c r="A211">
        <f t="shared" si="5"/>
        <v>44</v>
      </c>
      <c r="B211">
        <v>0</v>
      </c>
      <c r="C211">
        <f>IF((phi!C156),VLOOKUP(C$1,main!$A$3:$I$56,5,FALSE)-VLOOKUP($A211,main!$A$3:$I$56,6,FALSE)+main!$D$59,0)</f>
        <v>0</v>
      </c>
      <c r="D211">
        <f>IF((phi!D156),VLOOKUP(D$1,main!$A$3:$I$56,5,FALSE)-VLOOKUP($A211,main!$A$3:$I$56,6,FALSE)+main!$D$59,0)</f>
        <v>0</v>
      </c>
      <c r="E211">
        <f>IF((phi!E156),VLOOKUP(E$1,main!$A$3:$I$56,5,FALSE)-VLOOKUP($A211,main!$A$3:$I$56,6,FALSE)+main!$D$59,0)</f>
        <v>0</v>
      </c>
      <c r="F211">
        <f>IF((phi!F156),VLOOKUP(F$1,main!$A$3:$I$56,5,FALSE)-VLOOKUP($A211,main!$A$3:$I$56,6,FALSE)+main!$D$59,0)</f>
        <v>0</v>
      </c>
      <c r="G211">
        <f>IF((phi!G156),VLOOKUP(G$1,main!$A$3:$I$56,5,FALSE)-VLOOKUP($A211,main!$A$3:$I$56,6,FALSE)+main!$D$59,0)</f>
        <v>0</v>
      </c>
      <c r="H211">
        <f>IF((phi!H156),VLOOKUP(H$1,main!$A$3:$I$56,5,FALSE)-VLOOKUP($A211,main!$A$3:$I$56,6,FALSE)+main!$D$59,0)</f>
        <v>0</v>
      </c>
      <c r="I211">
        <f>IF((phi!I156),VLOOKUP(I$1,main!$A$3:$I$56,5,FALSE)-VLOOKUP($A211,main!$A$3:$I$56,6,FALSE)+main!$D$59,0)</f>
        <v>0</v>
      </c>
      <c r="J211">
        <f>IF((phi!J156),VLOOKUP(J$1,main!$A$3:$I$56,5,FALSE)-VLOOKUP($A211,main!$A$3:$I$56,6,FALSE)+main!$D$59,0)</f>
        <v>270</v>
      </c>
      <c r="K211">
        <f>IF((phi!K156),VLOOKUP(K$1,main!$A$3:$I$56,5,FALSE)-VLOOKUP($A211,main!$A$3:$I$56,6,FALSE)+main!$D$59,0)</f>
        <v>0</v>
      </c>
      <c r="L211">
        <f>IF((phi!L156),VLOOKUP(L$1,main!$A$3:$I$56,5,FALSE)-VLOOKUP($A211,main!$A$3:$I$56,6,FALSE)+main!$D$59,0)</f>
        <v>0</v>
      </c>
      <c r="M211">
        <f>IF((phi!M156),VLOOKUP(M$1,main!$A$3:$I$56,5,FALSE)-VLOOKUP($A211,main!$A$3:$I$56,6,FALSE)+main!$D$59,0)</f>
        <v>0</v>
      </c>
      <c r="N211">
        <f>IF((phi!N156),VLOOKUP(N$1,main!$A$3:$I$56,5,FALSE)-VLOOKUP($A211,main!$A$3:$I$56,6,FALSE)+main!$D$59,0)</f>
        <v>0</v>
      </c>
      <c r="O211">
        <f>IF((phi!O156),VLOOKUP(O$1,main!$A$3:$I$56,5,FALSE)-VLOOKUP($A211,main!$A$3:$I$56,6,FALSE)+main!$D$59,0)</f>
        <v>295</v>
      </c>
      <c r="P211">
        <f>IF((phi!P156),VLOOKUP(P$1,main!$A$3:$I$56,5,FALSE)-VLOOKUP($A211,main!$A$3:$I$56,6,FALSE)+main!$D$59,0)</f>
        <v>0</v>
      </c>
      <c r="Q211">
        <f>IF((phi!Q156),VLOOKUP(Q$1,main!$A$3:$I$56,5,FALSE)-VLOOKUP($A211,main!$A$3:$I$56,6,FALSE)+main!$D$59,0)</f>
        <v>0</v>
      </c>
      <c r="R211">
        <f>IF((phi!R156),VLOOKUP(R$1,main!$A$3:$I$56,5,FALSE)-VLOOKUP($A211,main!$A$3:$I$56,6,FALSE)+main!$D$59,0)</f>
        <v>0</v>
      </c>
      <c r="S211">
        <f>IF((phi!S156),VLOOKUP(S$1,main!$A$3:$I$56,5,FALSE)-VLOOKUP($A211,main!$A$3:$I$56,6,FALSE)+main!$D$59,0)</f>
        <v>0</v>
      </c>
      <c r="T211">
        <f>IF((phi!T156),VLOOKUP(T$1,main!$A$3:$I$56,5,FALSE)-VLOOKUP($A211,main!$A$3:$I$56,6,FALSE)+main!$D$59,0)</f>
        <v>0</v>
      </c>
      <c r="U211">
        <f>IF((phi!U156),VLOOKUP(U$1,main!$A$3:$I$56,5,FALSE)-VLOOKUP($A211,main!$A$3:$I$56,6,FALSE)+main!$D$59,0)</f>
        <v>0</v>
      </c>
      <c r="V211">
        <f>IF((phi!V156),VLOOKUP(V$1,main!$A$3:$I$56,5,FALSE)-VLOOKUP($A211,main!$A$3:$I$56,6,FALSE)+main!$D$59,0)</f>
        <v>0</v>
      </c>
      <c r="W211">
        <f>IF((phi!W156),VLOOKUP(W$1,main!$A$3:$I$56,5,FALSE)-VLOOKUP($A211,main!$A$3:$I$56,6,FALSE)+main!$D$59,0)</f>
        <v>0</v>
      </c>
      <c r="X211">
        <f>IF((phi!X156),VLOOKUP(X$1,main!$A$3:$I$56,5,FALSE)-VLOOKUP($A211,main!$A$3:$I$56,6,FALSE)+main!$D$59,0)</f>
        <v>0</v>
      </c>
      <c r="Y211">
        <f>IF((phi!Y156),VLOOKUP(Y$1,main!$A$3:$I$56,5,FALSE)-VLOOKUP($A211,main!$A$3:$I$56,6,FALSE)+main!$D$59,0)</f>
        <v>0</v>
      </c>
      <c r="Z211">
        <f>IF((phi!Z156),VLOOKUP(Z$1,main!$A$3:$I$56,5,FALSE)-VLOOKUP($A211,main!$A$3:$I$56,6,FALSE)+main!$D$59,0)</f>
        <v>0</v>
      </c>
      <c r="AA211">
        <f>IF((phi!AA156),VLOOKUP(AA$1,main!$A$3:$I$56,5,FALSE)-VLOOKUP($A211,main!$A$3:$I$56,6,FALSE)+main!$D$59,0)</f>
        <v>160</v>
      </c>
      <c r="AB211">
        <f>IF((phi!AB156),VLOOKUP(AB$1,main!$A$3:$I$56,5,FALSE)-VLOOKUP($A211,main!$A$3:$I$56,6,FALSE)+main!$D$59,0)</f>
        <v>220</v>
      </c>
      <c r="AC211">
        <f>IF((phi!AC156),VLOOKUP(AC$1,main!$A$3:$I$56,5,FALSE)-VLOOKUP($A211,main!$A$3:$I$56,6,FALSE)+main!$D$59,0)</f>
        <v>0</v>
      </c>
      <c r="AD211">
        <f>IF((phi!AD156),VLOOKUP(AD$1,main!$A$3:$I$56,5,FALSE)-VLOOKUP($A211,main!$A$3:$I$56,6,FALSE)+main!$D$59,0)</f>
        <v>0</v>
      </c>
      <c r="AE211">
        <f>IF((phi!AE156),VLOOKUP(AE$1,main!$A$3:$I$56,5,FALSE)-VLOOKUP($A211,main!$A$3:$I$56,6,FALSE)+main!$D$59,0)</f>
        <v>0</v>
      </c>
      <c r="AF211">
        <f>IF((phi!AF156),VLOOKUP(AF$1,main!$A$3:$I$56,5,FALSE)-VLOOKUP($A211,main!$A$3:$I$56,6,FALSE)+main!$D$59,0)</f>
        <v>0</v>
      </c>
      <c r="AG211">
        <f>IF((phi!AG156),VLOOKUP(AG$1,main!$A$3:$I$56,5,FALSE)-VLOOKUP($A211,main!$A$3:$I$56,6,FALSE)+main!$D$59,0)</f>
        <v>0</v>
      </c>
      <c r="AH211">
        <f>IF((phi!AH156),VLOOKUP(AH$1,main!$A$3:$I$56,5,FALSE)-VLOOKUP($A211,main!$A$3:$I$56,6,FALSE)+main!$D$59,0)</f>
        <v>0</v>
      </c>
      <c r="AI211">
        <f>IF((phi!AI156),VLOOKUP(AI$1,main!$A$3:$I$56,5,FALSE)-VLOOKUP($A211,main!$A$3:$I$56,6,FALSE)+main!$D$59,0)</f>
        <v>0</v>
      </c>
      <c r="AJ211">
        <f>IF((phi!AJ156),VLOOKUP(AJ$1,main!$A$3:$I$56,5,FALSE)-VLOOKUP($A211,main!$A$3:$I$56,6,FALSE)+main!$D$59,0)</f>
        <v>0</v>
      </c>
      <c r="AK211">
        <f>IF((phi!AK156),VLOOKUP(AK$1,main!$A$3:$I$56,5,FALSE)-VLOOKUP($A211,main!$A$3:$I$56,6,FALSE)+main!$D$59,0)</f>
        <v>0</v>
      </c>
      <c r="AL211">
        <f>IF((phi!AL156),VLOOKUP(AL$1,main!$A$3:$I$56,5,FALSE)-VLOOKUP($A211,main!$A$3:$I$56,6,FALSE)+main!$D$59,0)</f>
        <v>0</v>
      </c>
      <c r="AM211">
        <f>IF((phi!AM156),VLOOKUP(AM$1,main!$A$3:$I$56,5,FALSE)-VLOOKUP($A211,main!$A$3:$I$56,6,FALSE)+main!$D$59,0)</f>
        <v>0</v>
      </c>
      <c r="AN211">
        <f>IF((phi!AN156),VLOOKUP(AN$1,main!$A$3:$I$56,5,FALSE)-VLOOKUP($A211,main!$A$3:$I$56,6,FALSE)+main!$D$59,0)</f>
        <v>0</v>
      </c>
      <c r="AO211">
        <f>IF((phi!AO156),VLOOKUP(AO$1,main!$A$3:$I$56,5,FALSE)-VLOOKUP($A211,main!$A$3:$I$56,6,FALSE)+main!$D$59,0)</f>
        <v>0</v>
      </c>
      <c r="AP211">
        <f>IF((phi!AP156),VLOOKUP(AP$1,main!$A$3:$I$56,5,FALSE)-VLOOKUP($A211,main!$A$3:$I$56,6,FALSE)+main!$D$59,0)</f>
        <v>0</v>
      </c>
      <c r="AQ211">
        <f>IF((phi!AQ156),VLOOKUP(AQ$1,main!$A$3:$I$56,5,FALSE)-VLOOKUP($A211,main!$A$3:$I$56,6,FALSE)+main!$D$59,0)</f>
        <v>0</v>
      </c>
      <c r="AR211">
        <f>IF((phi!AR156),VLOOKUP(AR$1,main!$A$3:$I$56,5,FALSE)-VLOOKUP($A211,main!$A$3:$I$56,6,FALSE)+main!$D$59,0)</f>
        <v>0</v>
      </c>
      <c r="AS211">
        <f>IF((phi!AS156),VLOOKUP(AS$1,main!$A$3:$I$56,5,FALSE)-VLOOKUP($A211,main!$A$3:$I$56,6,FALSE)+main!$D$59,0)</f>
        <v>0</v>
      </c>
      <c r="AT211">
        <f>IF((phi!AT156),VLOOKUP(AT$1,main!$A$3:$I$56,5,FALSE)-VLOOKUP($A211,main!$A$3:$I$56,6,FALSE)+main!$D$59,0)</f>
        <v>0</v>
      </c>
      <c r="AU211">
        <f>IF((phi!AU156),VLOOKUP(AU$1,main!$A$3:$I$56,5,FALSE)-VLOOKUP($A211,main!$A$3:$I$56,6,FALSE)+main!$D$59,0)</f>
        <v>0</v>
      </c>
      <c r="AV211">
        <f>IF((phi!AV156),VLOOKUP(AV$1,main!$A$3:$I$56,5,FALSE)-VLOOKUP($A211,main!$A$3:$I$56,6,FALSE)+main!$D$59,0)</f>
        <v>0</v>
      </c>
      <c r="AW211">
        <f>IF((phi!AW156),VLOOKUP(AW$1,main!$A$3:$I$56,5,FALSE)-VLOOKUP($A211,main!$A$3:$I$56,6,FALSE)+main!$D$59,0)</f>
        <v>0</v>
      </c>
      <c r="AX211">
        <f>IF((phi!AX156),VLOOKUP(AX$1,main!$A$3:$I$56,5,FALSE)-VLOOKUP($A211,main!$A$3:$I$56,6,FALSE)+main!$D$59,0)</f>
        <v>0</v>
      </c>
      <c r="AY211">
        <f>IF((phi!AY156),VLOOKUP(AY$1,main!$A$3:$I$56,5,FALSE)-VLOOKUP($A211,main!$A$3:$I$56,6,FALSE)+main!$D$59,0)</f>
        <v>280</v>
      </c>
      <c r="AZ211">
        <f>IF((phi!AZ156),VLOOKUP(AZ$1,main!$A$3:$I$56,5,FALSE)-VLOOKUP($A211,main!$A$3:$I$56,6,FALSE)+main!$D$59,0)</f>
        <v>0</v>
      </c>
      <c r="BA211">
        <f>IF((phi!BA156),VLOOKUP(BA$1,main!$A$3:$I$56,5,FALSE)-VLOOKUP($A211,main!$A$3:$I$56,6,FALSE)+main!$D$59,0)</f>
        <v>0</v>
      </c>
      <c r="BB211">
        <f>IF((phi!BB156),VLOOKUP(BB$1,main!$A$3:$I$56,5,FALSE)-VLOOKUP($A211,main!$A$3:$I$56,6,FALSE)+main!$D$59,0)</f>
        <v>0</v>
      </c>
      <c r="BC211">
        <f>IF((phi!BC156),VLOOKUP(BC$1,main!$A$3:$I$56,5,FALSE)-VLOOKUP($A211,main!$A$3:$I$56,6,FALSE)+main!$D$59,0)</f>
        <v>0</v>
      </c>
      <c r="BD211">
        <f>IF((phi!BD156),VLOOKUP(BD$1,main!$A$3:$I$56,5,FALSE)-VLOOKUP($A211,main!$A$3:$I$56,6,FALSE)+main!$D$59,0)</f>
        <v>0</v>
      </c>
    </row>
    <row r="212" spans="1:56" x14ac:dyDescent="0.25">
      <c r="A212">
        <f t="shared" si="5"/>
        <v>45</v>
      </c>
      <c r="B212">
        <v>0</v>
      </c>
      <c r="C212">
        <f>IF((phi!C157),VLOOKUP(C$1,main!$A$3:$I$56,5,FALSE)-VLOOKUP($A212,main!$A$3:$I$56,6,FALSE)+main!$D$59,0)</f>
        <v>0</v>
      </c>
      <c r="D212">
        <f>IF((phi!D157),VLOOKUP(D$1,main!$A$3:$I$56,5,FALSE)-VLOOKUP($A212,main!$A$3:$I$56,6,FALSE)+main!$D$59,0)</f>
        <v>0</v>
      </c>
      <c r="E212">
        <f>IF((phi!E157),VLOOKUP(E$1,main!$A$3:$I$56,5,FALSE)-VLOOKUP($A212,main!$A$3:$I$56,6,FALSE)+main!$D$59,0)</f>
        <v>0</v>
      </c>
      <c r="F212">
        <f>IF((phi!F157),VLOOKUP(F$1,main!$A$3:$I$56,5,FALSE)-VLOOKUP($A212,main!$A$3:$I$56,6,FALSE)+main!$D$59,0)</f>
        <v>0</v>
      </c>
      <c r="G212">
        <f>IF((phi!G157),VLOOKUP(G$1,main!$A$3:$I$56,5,FALSE)-VLOOKUP($A212,main!$A$3:$I$56,6,FALSE)+main!$D$59,0)</f>
        <v>0</v>
      </c>
      <c r="H212">
        <f>IF((phi!H157),VLOOKUP(H$1,main!$A$3:$I$56,5,FALSE)-VLOOKUP($A212,main!$A$3:$I$56,6,FALSE)+main!$D$59,0)</f>
        <v>0</v>
      </c>
      <c r="I212">
        <f>IF((phi!I157),VLOOKUP(I$1,main!$A$3:$I$56,5,FALSE)-VLOOKUP($A212,main!$A$3:$I$56,6,FALSE)+main!$D$59,0)</f>
        <v>290</v>
      </c>
      <c r="J212">
        <f>IF((phi!J157),VLOOKUP(J$1,main!$A$3:$I$56,5,FALSE)-VLOOKUP($A212,main!$A$3:$I$56,6,FALSE)+main!$D$59,0)</f>
        <v>380</v>
      </c>
      <c r="K212">
        <f>IF((phi!K157),VLOOKUP(K$1,main!$A$3:$I$56,5,FALSE)-VLOOKUP($A212,main!$A$3:$I$56,6,FALSE)+main!$D$59,0)</f>
        <v>0</v>
      </c>
      <c r="L212">
        <f>IF((phi!L157),VLOOKUP(L$1,main!$A$3:$I$56,5,FALSE)-VLOOKUP($A212,main!$A$3:$I$56,6,FALSE)+main!$D$59,0)</f>
        <v>0</v>
      </c>
      <c r="M212">
        <f>IF((phi!M157),VLOOKUP(M$1,main!$A$3:$I$56,5,FALSE)-VLOOKUP($A212,main!$A$3:$I$56,6,FALSE)+main!$D$59,0)</f>
        <v>0</v>
      </c>
      <c r="N212">
        <f>IF((phi!N157),VLOOKUP(N$1,main!$A$3:$I$56,5,FALSE)-VLOOKUP($A212,main!$A$3:$I$56,6,FALSE)+main!$D$59,0)</f>
        <v>345</v>
      </c>
      <c r="O212">
        <f>IF((phi!O157),VLOOKUP(O$1,main!$A$3:$I$56,5,FALSE)-VLOOKUP($A212,main!$A$3:$I$56,6,FALSE)+main!$D$59,0)</f>
        <v>405</v>
      </c>
      <c r="P212">
        <f>IF((phi!P157),VLOOKUP(P$1,main!$A$3:$I$56,5,FALSE)-VLOOKUP($A212,main!$A$3:$I$56,6,FALSE)+main!$D$59,0)</f>
        <v>0</v>
      </c>
      <c r="Q212">
        <f>IF((phi!Q157),VLOOKUP(Q$1,main!$A$3:$I$56,5,FALSE)-VLOOKUP($A212,main!$A$3:$I$56,6,FALSE)+main!$D$59,0)</f>
        <v>0</v>
      </c>
      <c r="R212">
        <f>IF((phi!R157),VLOOKUP(R$1,main!$A$3:$I$56,5,FALSE)-VLOOKUP($A212,main!$A$3:$I$56,6,FALSE)+main!$D$59,0)</f>
        <v>0</v>
      </c>
      <c r="S212">
        <f>IF((phi!S157),VLOOKUP(S$1,main!$A$3:$I$56,5,FALSE)-VLOOKUP($A212,main!$A$3:$I$56,6,FALSE)+main!$D$59,0)</f>
        <v>0</v>
      </c>
      <c r="T212">
        <f>IF((phi!T157),VLOOKUP(T$1,main!$A$3:$I$56,5,FALSE)-VLOOKUP($A212,main!$A$3:$I$56,6,FALSE)+main!$D$59,0)</f>
        <v>310</v>
      </c>
      <c r="U212">
        <f>IF((phi!U157),VLOOKUP(U$1,main!$A$3:$I$56,5,FALSE)-VLOOKUP($A212,main!$A$3:$I$56,6,FALSE)+main!$D$59,0)</f>
        <v>0</v>
      </c>
      <c r="V212">
        <f>IF((phi!V157),VLOOKUP(V$1,main!$A$3:$I$56,5,FALSE)-VLOOKUP($A212,main!$A$3:$I$56,6,FALSE)+main!$D$59,0)</f>
        <v>0</v>
      </c>
      <c r="W212">
        <f>IF((phi!W157),VLOOKUP(W$1,main!$A$3:$I$56,5,FALSE)-VLOOKUP($A212,main!$A$3:$I$56,6,FALSE)+main!$D$59,0)</f>
        <v>0</v>
      </c>
      <c r="X212">
        <f>IF((phi!X157),VLOOKUP(X$1,main!$A$3:$I$56,5,FALSE)-VLOOKUP($A212,main!$A$3:$I$56,6,FALSE)+main!$D$59,0)</f>
        <v>0</v>
      </c>
      <c r="Y212">
        <f>IF((phi!Y157),VLOOKUP(Y$1,main!$A$3:$I$56,5,FALSE)-VLOOKUP($A212,main!$A$3:$I$56,6,FALSE)+main!$D$59,0)</f>
        <v>0</v>
      </c>
      <c r="Z212">
        <f>IF((phi!Z157),VLOOKUP(Z$1,main!$A$3:$I$56,5,FALSE)-VLOOKUP($A212,main!$A$3:$I$56,6,FALSE)+main!$D$59,0)</f>
        <v>180</v>
      </c>
      <c r="AA212">
        <f>IF((phi!AA157),VLOOKUP(AA$1,main!$A$3:$I$56,5,FALSE)-VLOOKUP($A212,main!$A$3:$I$56,6,FALSE)+main!$D$59,0)</f>
        <v>270</v>
      </c>
      <c r="AB212">
        <f>IF((phi!AB157),VLOOKUP(AB$1,main!$A$3:$I$56,5,FALSE)-VLOOKUP($A212,main!$A$3:$I$56,6,FALSE)+main!$D$59,0)</f>
        <v>330</v>
      </c>
      <c r="AC212">
        <f>IF((phi!AC157),VLOOKUP(AC$1,main!$A$3:$I$56,5,FALSE)-VLOOKUP($A212,main!$A$3:$I$56,6,FALSE)+main!$D$59,0)</f>
        <v>0</v>
      </c>
      <c r="AD212">
        <f>IF((phi!AD157),VLOOKUP(AD$1,main!$A$3:$I$56,5,FALSE)-VLOOKUP($A212,main!$A$3:$I$56,6,FALSE)+main!$D$59,0)</f>
        <v>0</v>
      </c>
      <c r="AE212">
        <f>IF((phi!AE157),VLOOKUP(AE$1,main!$A$3:$I$56,5,FALSE)-VLOOKUP($A212,main!$A$3:$I$56,6,FALSE)+main!$D$59,0)</f>
        <v>0</v>
      </c>
      <c r="AF212">
        <f>IF((phi!AF157),VLOOKUP(AF$1,main!$A$3:$I$56,5,FALSE)-VLOOKUP($A212,main!$A$3:$I$56,6,FALSE)+main!$D$59,0)</f>
        <v>140</v>
      </c>
      <c r="AG212">
        <f>IF((phi!AG157),VLOOKUP(AG$1,main!$A$3:$I$56,5,FALSE)-VLOOKUP($A212,main!$A$3:$I$56,6,FALSE)+main!$D$59,0)</f>
        <v>0</v>
      </c>
      <c r="AH212">
        <f>IF((phi!AH157),VLOOKUP(AH$1,main!$A$3:$I$56,5,FALSE)-VLOOKUP($A212,main!$A$3:$I$56,6,FALSE)+main!$D$59,0)</f>
        <v>0</v>
      </c>
      <c r="AI212">
        <f>IF((phi!AI157),VLOOKUP(AI$1,main!$A$3:$I$56,5,FALSE)-VLOOKUP($A212,main!$A$3:$I$56,6,FALSE)+main!$D$59,0)</f>
        <v>0</v>
      </c>
      <c r="AJ212">
        <f>IF((phi!AJ157),VLOOKUP(AJ$1,main!$A$3:$I$56,5,FALSE)-VLOOKUP($A212,main!$A$3:$I$56,6,FALSE)+main!$D$59,0)</f>
        <v>0</v>
      </c>
      <c r="AK212">
        <f>IF((phi!AK157),VLOOKUP(AK$1,main!$A$3:$I$56,5,FALSE)-VLOOKUP($A212,main!$A$3:$I$56,6,FALSE)+main!$D$59,0)</f>
        <v>0</v>
      </c>
      <c r="AL212">
        <f>IF((phi!AL157),VLOOKUP(AL$1,main!$A$3:$I$56,5,FALSE)-VLOOKUP($A212,main!$A$3:$I$56,6,FALSE)+main!$D$59,0)</f>
        <v>0</v>
      </c>
      <c r="AM212">
        <f>IF((phi!AM157),VLOOKUP(AM$1,main!$A$3:$I$56,5,FALSE)-VLOOKUP($A212,main!$A$3:$I$56,6,FALSE)+main!$D$59,0)</f>
        <v>0</v>
      </c>
      <c r="AN212">
        <f>IF((phi!AN157),VLOOKUP(AN$1,main!$A$3:$I$56,5,FALSE)-VLOOKUP($A212,main!$A$3:$I$56,6,FALSE)+main!$D$59,0)</f>
        <v>0</v>
      </c>
      <c r="AO212">
        <f>IF((phi!AO157),VLOOKUP(AO$1,main!$A$3:$I$56,5,FALSE)-VLOOKUP($A212,main!$A$3:$I$56,6,FALSE)+main!$D$59,0)</f>
        <v>0</v>
      </c>
      <c r="AP212">
        <f>IF((phi!AP157),VLOOKUP(AP$1,main!$A$3:$I$56,5,FALSE)-VLOOKUP($A212,main!$A$3:$I$56,6,FALSE)+main!$D$59,0)</f>
        <v>0</v>
      </c>
      <c r="AQ212">
        <f>IF((phi!AQ157),VLOOKUP(AQ$1,main!$A$3:$I$56,5,FALSE)-VLOOKUP($A212,main!$A$3:$I$56,6,FALSE)+main!$D$59,0)</f>
        <v>0</v>
      </c>
      <c r="AR212">
        <f>IF((phi!AR157),VLOOKUP(AR$1,main!$A$3:$I$56,5,FALSE)-VLOOKUP($A212,main!$A$3:$I$56,6,FALSE)+main!$D$59,0)</f>
        <v>0</v>
      </c>
      <c r="AS212">
        <f>IF((phi!AS157),VLOOKUP(AS$1,main!$A$3:$I$56,5,FALSE)-VLOOKUP($A212,main!$A$3:$I$56,6,FALSE)+main!$D$59,0)</f>
        <v>0</v>
      </c>
      <c r="AT212">
        <f>IF((phi!AT157),VLOOKUP(AT$1,main!$A$3:$I$56,5,FALSE)-VLOOKUP($A212,main!$A$3:$I$56,6,FALSE)+main!$D$59,0)</f>
        <v>0</v>
      </c>
      <c r="AU212">
        <f>IF((phi!AU157),VLOOKUP(AU$1,main!$A$3:$I$56,5,FALSE)-VLOOKUP($A212,main!$A$3:$I$56,6,FALSE)+main!$D$59,0)</f>
        <v>0</v>
      </c>
      <c r="AV212">
        <f>IF((phi!AV157),VLOOKUP(AV$1,main!$A$3:$I$56,5,FALSE)-VLOOKUP($A212,main!$A$3:$I$56,6,FALSE)+main!$D$59,0)</f>
        <v>0</v>
      </c>
      <c r="AW212">
        <f>IF((phi!AW157),VLOOKUP(AW$1,main!$A$3:$I$56,5,FALSE)-VLOOKUP($A212,main!$A$3:$I$56,6,FALSE)+main!$D$59,0)</f>
        <v>0</v>
      </c>
      <c r="AX212">
        <f>IF((phi!AX157),VLOOKUP(AX$1,main!$A$3:$I$56,5,FALSE)-VLOOKUP($A212,main!$A$3:$I$56,6,FALSE)+main!$D$59,0)</f>
        <v>0</v>
      </c>
      <c r="AY212">
        <f>IF((phi!AY157),VLOOKUP(AY$1,main!$A$3:$I$56,5,FALSE)-VLOOKUP($A212,main!$A$3:$I$56,6,FALSE)+main!$D$59,0)</f>
        <v>390</v>
      </c>
      <c r="AZ212">
        <f>IF((phi!AZ157),VLOOKUP(AZ$1,main!$A$3:$I$56,5,FALSE)-VLOOKUP($A212,main!$A$3:$I$56,6,FALSE)+main!$D$59,0)</f>
        <v>0</v>
      </c>
      <c r="BA212">
        <f>IF((phi!BA157),VLOOKUP(BA$1,main!$A$3:$I$56,5,FALSE)-VLOOKUP($A212,main!$A$3:$I$56,6,FALSE)+main!$D$59,0)</f>
        <v>0</v>
      </c>
      <c r="BB212">
        <f>IF((phi!BB157),VLOOKUP(BB$1,main!$A$3:$I$56,5,FALSE)-VLOOKUP($A212,main!$A$3:$I$56,6,FALSE)+main!$D$59,0)</f>
        <v>0</v>
      </c>
      <c r="BC212">
        <f>IF((phi!BC157),VLOOKUP(BC$1,main!$A$3:$I$56,5,FALSE)-VLOOKUP($A212,main!$A$3:$I$56,6,FALSE)+main!$D$59,0)</f>
        <v>0</v>
      </c>
      <c r="BD212">
        <f>IF((phi!BD157),VLOOKUP(BD$1,main!$A$3:$I$56,5,FALSE)-VLOOKUP($A212,main!$A$3:$I$56,6,FALSE)+main!$D$59,0)</f>
        <v>0</v>
      </c>
    </row>
    <row r="213" spans="1:56" x14ac:dyDescent="0.25">
      <c r="A213">
        <f t="shared" si="5"/>
        <v>46</v>
      </c>
      <c r="B213">
        <v>0</v>
      </c>
      <c r="C213">
        <f>IF((phi!C158),VLOOKUP(C$1,main!$A$3:$I$56,5,FALSE)-VLOOKUP($A213,main!$A$3:$I$56,6,FALSE)+main!$D$59,0)</f>
        <v>0</v>
      </c>
      <c r="D213">
        <f>IF((phi!D158),VLOOKUP(D$1,main!$A$3:$I$56,5,FALSE)-VLOOKUP($A213,main!$A$3:$I$56,6,FALSE)+main!$D$59,0)</f>
        <v>0</v>
      </c>
      <c r="E213">
        <f>IF((phi!E158),VLOOKUP(E$1,main!$A$3:$I$56,5,FALSE)-VLOOKUP($A213,main!$A$3:$I$56,6,FALSE)+main!$D$59,0)</f>
        <v>0</v>
      </c>
      <c r="F213">
        <f>IF((phi!F158),VLOOKUP(F$1,main!$A$3:$I$56,5,FALSE)-VLOOKUP($A213,main!$A$3:$I$56,6,FALSE)+main!$D$59,0)</f>
        <v>0</v>
      </c>
      <c r="G213">
        <f>IF((phi!G158),VLOOKUP(G$1,main!$A$3:$I$56,5,FALSE)-VLOOKUP($A213,main!$A$3:$I$56,6,FALSE)+main!$D$59,0)</f>
        <v>0</v>
      </c>
      <c r="H213">
        <f>IF((phi!H158),VLOOKUP(H$1,main!$A$3:$I$56,5,FALSE)-VLOOKUP($A213,main!$A$3:$I$56,6,FALSE)+main!$D$59,0)</f>
        <v>0</v>
      </c>
      <c r="I213">
        <f>IF((phi!I158),VLOOKUP(I$1,main!$A$3:$I$56,5,FALSE)-VLOOKUP($A213,main!$A$3:$I$56,6,FALSE)+main!$D$59,0)</f>
        <v>265</v>
      </c>
      <c r="J213">
        <f>IF((phi!J158),VLOOKUP(J$1,main!$A$3:$I$56,5,FALSE)-VLOOKUP($A213,main!$A$3:$I$56,6,FALSE)+main!$D$59,0)</f>
        <v>355</v>
      </c>
      <c r="K213">
        <f>IF((phi!K158),VLOOKUP(K$1,main!$A$3:$I$56,5,FALSE)-VLOOKUP($A213,main!$A$3:$I$56,6,FALSE)+main!$D$59,0)</f>
        <v>0</v>
      </c>
      <c r="L213">
        <f>IF((phi!L158),VLOOKUP(L$1,main!$A$3:$I$56,5,FALSE)-VLOOKUP($A213,main!$A$3:$I$56,6,FALSE)+main!$D$59,0)</f>
        <v>0</v>
      </c>
      <c r="M213">
        <f>IF((phi!M158),VLOOKUP(M$1,main!$A$3:$I$56,5,FALSE)-VLOOKUP($A213,main!$A$3:$I$56,6,FALSE)+main!$D$59,0)</f>
        <v>0</v>
      </c>
      <c r="N213">
        <f>IF((phi!N158),VLOOKUP(N$1,main!$A$3:$I$56,5,FALSE)-VLOOKUP($A213,main!$A$3:$I$56,6,FALSE)+main!$D$59,0)</f>
        <v>320</v>
      </c>
      <c r="O213">
        <f>IF((phi!O158),VLOOKUP(O$1,main!$A$3:$I$56,5,FALSE)-VLOOKUP($A213,main!$A$3:$I$56,6,FALSE)+main!$D$59,0)</f>
        <v>380</v>
      </c>
      <c r="P213">
        <f>IF((phi!P158),VLOOKUP(P$1,main!$A$3:$I$56,5,FALSE)-VLOOKUP($A213,main!$A$3:$I$56,6,FALSE)+main!$D$59,0)</f>
        <v>0</v>
      </c>
      <c r="Q213">
        <f>IF((phi!Q158),VLOOKUP(Q$1,main!$A$3:$I$56,5,FALSE)-VLOOKUP($A213,main!$A$3:$I$56,6,FALSE)+main!$D$59,0)</f>
        <v>0</v>
      </c>
      <c r="R213">
        <f>IF((phi!R158),VLOOKUP(R$1,main!$A$3:$I$56,5,FALSE)-VLOOKUP($A213,main!$A$3:$I$56,6,FALSE)+main!$D$59,0)</f>
        <v>0</v>
      </c>
      <c r="S213">
        <f>IF((phi!S158),VLOOKUP(S$1,main!$A$3:$I$56,5,FALSE)-VLOOKUP($A213,main!$A$3:$I$56,6,FALSE)+main!$D$59,0)</f>
        <v>0</v>
      </c>
      <c r="T213">
        <f>IF((phi!T158),VLOOKUP(T$1,main!$A$3:$I$56,5,FALSE)-VLOOKUP($A213,main!$A$3:$I$56,6,FALSE)+main!$D$59,0)</f>
        <v>285</v>
      </c>
      <c r="U213">
        <f>IF((phi!U158),VLOOKUP(U$1,main!$A$3:$I$56,5,FALSE)-VLOOKUP($A213,main!$A$3:$I$56,6,FALSE)+main!$D$59,0)</f>
        <v>0</v>
      </c>
      <c r="V213">
        <f>IF((phi!V158),VLOOKUP(V$1,main!$A$3:$I$56,5,FALSE)-VLOOKUP($A213,main!$A$3:$I$56,6,FALSE)+main!$D$59,0)</f>
        <v>0</v>
      </c>
      <c r="W213">
        <f>IF((phi!W158),VLOOKUP(W$1,main!$A$3:$I$56,5,FALSE)-VLOOKUP($A213,main!$A$3:$I$56,6,FALSE)+main!$D$59,0)</f>
        <v>0</v>
      </c>
      <c r="X213">
        <f>IF((phi!X158),VLOOKUP(X$1,main!$A$3:$I$56,5,FALSE)-VLOOKUP($A213,main!$A$3:$I$56,6,FALSE)+main!$D$59,0)</f>
        <v>0</v>
      </c>
      <c r="Y213">
        <f>IF((phi!Y158),VLOOKUP(Y$1,main!$A$3:$I$56,5,FALSE)-VLOOKUP($A213,main!$A$3:$I$56,6,FALSE)+main!$D$59,0)</f>
        <v>0</v>
      </c>
      <c r="Z213">
        <f>IF((phi!Z158),VLOOKUP(Z$1,main!$A$3:$I$56,5,FALSE)-VLOOKUP($A213,main!$A$3:$I$56,6,FALSE)+main!$D$59,0)</f>
        <v>155</v>
      </c>
      <c r="AA213">
        <f>IF((phi!AA158),VLOOKUP(AA$1,main!$A$3:$I$56,5,FALSE)-VLOOKUP($A213,main!$A$3:$I$56,6,FALSE)+main!$D$59,0)</f>
        <v>245</v>
      </c>
      <c r="AB213">
        <f>IF((phi!AB158),VLOOKUP(AB$1,main!$A$3:$I$56,5,FALSE)-VLOOKUP($A213,main!$A$3:$I$56,6,FALSE)+main!$D$59,0)</f>
        <v>305</v>
      </c>
      <c r="AC213">
        <f>IF((phi!AC158),VLOOKUP(AC$1,main!$A$3:$I$56,5,FALSE)-VLOOKUP($A213,main!$A$3:$I$56,6,FALSE)+main!$D$59,0)</f>
        <v>0</v>
      </c>
      <c r="AD213">
        <f>IF((phi!AD158),VLOOKUP(AD$1,main!$A$3:$I$56,5,FALSE)-VLOOKUP($A213,main!$A$3:$I$56,6,FALSE)+main!$D$59,0)</f>
        <v>0</v>
      </c>
      <c r="AE213">
        <f>IF((phi!AE158),VLOOKUP(AE$1,main!$A$3:$I$56,5,FALSE)-VLOOKUP($A213,main!$A$3:$I$56,6,FALSE)+main!$D$59,0)</f>
        <v>0</v>
      </c>
      <c r="AF213">
        <f>IF((phi!AF158),VLOOKUP(AF$1,main!$A$3:$I$56,5,FALSE)-VLOOKUP($A213,main!$A$3:$I$56,6,FALSE)+main!$D$59,0)</f>
        <v>115</v>
      </c>
      <c r="AG213">
        <f>IF((phi!AG158),VLOOKUP(AG$1,main!$A$3:$I$56,5,FALSE)-VLOOKUP($A213,main!$A$3:$I$56,6,FALSE)+main!$D$59,0)</f>
        <v>0</v>
      </c>
      <c r="AH213">
        <f>IF((phi!AH158),VLOOKUP(AH$1,main!$A$3:$I$56,5,FALSE)-VLOOKUP($A213,main!$A$3:$I$56,6,FALSE)+main!$D$59,0)</f>
        <v>0</v>
      </c>
      <c r="AI213">
        <f>IF((phi!AI158),VLOOKUP(AI$1,main!$A$3:$I$56,5,FALSE)-VLOOKUP($A213,main!$A$3:$I$56,6,FALSE)+main!$D$59,0)</f>
        <v>0</v>
      </c>
      <c r="AJ213">
        <f>IF((phi!AJ158),VLOOKUP(AJ$1,main!$A$3:$I$56,5,FALSE)-VLOOKUP($A213,main!$A$3:$I$56,6,FALSE)+main!$D$59,0)</f>
        <v>0</v>
      </c>
      <c r="AK213">
        <f>IF((phi!AK158),VLOOKUP(AK$1,main!$A$3:$I$56,5,FALSE)-VLOOKUP($A213,main!$A$3:$I$56,6,FALSE)+main!$D$59,0)</f>
        <v>0</v>
      </c>
      <c r="AL213">
        <f>IF((phi!AL158),VLOOKUP(AL$1,main!$A$3:$I$56,5,FALSE)-VLOOKUP($A213,main!$A$3:$I$56,6,FALSE)+main!$D$59,0)</f>
        <v>0</v>
      </c>
      <c r="AM213">
        <f>IF((phi!AM158),VLOOKUP(AM$1,main!$A$3:$I$56,5,FALSE)-VLOOKUP($A213,main!$A$3:$I$56,6,FALSE)+main!$D$59,0)</f>
        <v>0</v>
      </c>
      <c r="AN213">
        <f>IF((phi!AN158),VLOOKUP(AN$1,main!$A$3:$I$56,5,FALSE)-VLOOKUP($A213,main!$A$3:$I$56,6,FALSE)+main!$D$59,0)</f>
        <v>0</v>
      </c>
      <c r="AO213">
        <f>IF((phi!AO158),VLOOKUP(AO$1,main!$A$3:$I$56,5,FALSE)-VLOOKUP($A213,main!$A$3:$I$56,6,FALSE)+main!$D$59,0)</f>
        <v>0</v>
      </c>
      <c r="AP213">
        <f>IF((phi!AP158),VLOOKUP(AP$1,main!$A$3:$I$56,5,FALSE)-VLOOKUP($A213,main!$A$3:$I$56,6,FALSE)+main!$D$59,0)</f>
        <v>0</v>
      </c>
      <c r="AQ213">
        <f>IF((phi!AQ158),VLOOKUP(AQ$1,main!$A$3:$I$56,5,FALSE)-VLOOKUP($A213,main!$A$3:$I$56,6,FALSE)+main!$D$59,0)</f>
        <v>0</v>
      </c>
      <c r="AR213">
        <f>IF((phi!AR158),VLOOKUP(AR$1,main!$A$3:$I$56,5,FALSE)-VLOOKUP($A213,main!$A$3:$I$56,6,FALSE)+main!$D$59,0)</f>
        <v>0</v>
      </c>
      <c r="AS213">
        <f>IF((phi!AS158),VLOOKUP(AS$1,main!$A$3:$I$56,5,FALSE)-VLOOKUP($A213,main!$A$3:$I$56,6,FALSE)+main!$D$59,0)</f>
        <v>0</v>
      </c>
      <c r="AT213">
        <f>IF((phi!AT158),VLOOKUP(AT$1,main!$A$3:$I$56,5,FALSE)-VLOOKUP($A213,main!$A$3:$I$56,6,FALSE)+main!$D$59,0)</f>
        <v>0</v>
      </c>
      <c r="AU213">
        <f>IF((phi!AU158),VLOOKUP(AU$1,main!$A$3:$I$56,5,FALSE)-VLOOKUP($A213,main!$A$3:$I$56,6,FALSE)+main!$D$59,0)</f>
        <v>0</v>
      </c>
      <c r="AV213">
        <f>IF((phi!AV158),VLOOKUP(AV$1,main!$A$3:$I$56,5,FALSE)-VLOOKUP($A213,main!$A$3:$I$56,6,FALSE)+main!$D$59,0)</f>
        <v>0</v>
      </c>
      <c r="AW213">
        <f>IF((phi!AW158),VLOOKUP(AW$1,main!$A$3:$I$56,5,FALSE)-VLOOKUP($A213,main!$A$3:$I$56,6,FALSE)+main!$D$59,0)</f>
        <v>0</v>
      </c>
      <c r="AX213">
        <f>IF((phi!AX158),VLOOKUP(AX$1,main!$A$3:$I$56,5,FALSE)-VLOOKUP($A213,main!$A$3:$I$56,6,FALSE)+main!$D$59,0)</f>
        <v>0</v>
      </c>
      <c r="AY213">
        <f>IF((phi!AY158),VLOOKUP(AY$1,main!$A$3:$I$56,5,FALSE)-VLOOKUP($A213,main!$A$3:$I$56,6,FALSE)+main!$D$59,0)</f>
        <v>365</v>
      </c>
      <c r="AZ213">
        <f>IF((phi!AZ158),VLOOKUP(AZ$1,main!$A$3:$I$56,5,FALSE)-VLOOKUP($A213,main!$A$3:$I$56,6,FALSE)+main!$D$59,0)</f>
        <v>0</v>
      </c>
      <c r="BA213">
        <f>IF((phi!BA158),VLOOKUP(BA$1,main!$A$3:$I$56,5,FALSE)-VLOOKUP($A213,main!$A$3:$I$56,6,FALSE)+main!$D$59,0)</f>
        <v>0</v>
      </c>
      <c r="BB213">
        <f>IF((phi!BB158),VLOOKUP(BB$1,main!$A$3:$I$56,5,FALSE)-VLOOKUP($A213,main!$A$3:$I$56,6,FALSE)+main!$D$59,0)</f>
        <v>0</v>
      </c>
      <c r="BC213">
        <f>IF((phi!BC158),VLOOKUP(BC$1,main!$A$3:$I$56,5,FALSE)-VLOOKUP($A213,main!$A$3:$I$56,6,FALSE)+main!$D$59,0)</f>
        <v>0</v>
      </c>
      <c r="BD213">
        <f>IF((phi!BD158),VLOOKUP(BD$1,main!$A$3:$I$56,5,FALSE)-VLOOKUP($A213,main!$A$3:$I$56,6,FALSE)+main!$D$59,0)</f>
        <v>0</v>
      </c>
    </row>
    <row r="214" spans="1:56" x14ac:dyDescent="0.25">
      <c r="A214">
        <f t="shared" si="5"/>
        <v>47</v>
      </c>
      <c r="B214">
        <v>0</v>
      </c>
      <c r="C214">
        <f>IF((phi!C159),VLOOKUP(C$1,main!$A$3:$I$56,5,FALSE)-VLOOKUP($A214,main!$A$3:$I$56,6,FALSE)+main!$D$59,0)</f>
        <v>0</v>
      </c>
      <c r="D214">
        <f>IF((phi!D159),VLOOKUP(D$1,main!$A$3:$I$56,5,FALSE)-VLOOKUP($A214,main!$A$3:$I$56,6,FALSE)+main!$D$59,0)</f>
        <v>0</v>
      </c>
      <c r="E214">
        <f>IF((phi!E159),VLOOKUP(E$1,main!$A$3:$I$56,5,FALSE)-VLOOKUP($A214,main!$A$3:$I$56,6,FALSE)+main!$D$59,0)</f>
        <v>0</v>
      </c>
      <c r="F214">
        <f>IF((phi!F159),VLOOKUP(F$1,main!$A$3:$I$56,5,FALSE)-VLOOKUP($A214,main!$A$3:$I$56,6,FALSE)+main!$D$59,0)</f>
        <v>0</v>
      </c>
      <c r="G214">
        <f>IF((phi!G159),VLOOKUP(G$1,main!$A$3:$I$56,5,FALSE)-VLOOKUP($A214,main!$A$3:$I$56,6,FALSE)+main!$D$59,0)</f>
        <v>0</v>
      </c>
      <c r="H214">
        <f>IF((phi!H159),VLOOKUP(H$1,main!$A$3:$I$56,5,FALSE)-VLOOKUP($A214,main!$A$3:$I$56,6,FALSE)+main!$D$59,0)</f>
        <v>0</v>
      </c>
      <c r="I214">
        <f>IF((phi!I159),VLOOKUP(I$1,main!$A$3:$I$56,5,FALSE)-VLOOKUP($A214,main!$A$3:$I$56,6,FALSE)+main!$D$59,0)</f>
        <v>0</v>
      </c>
      <c r="J214">
        <f>IF((phi!J159),VLOOKUP(J$1,main!$A$3:$I$56,5,FALSE)-VLOOKUP($A214,main!$A$3:$I$56,6,FALSE)+main!$D$59,0)</f>
        <v>300</v>
      </c>
      <c r="K214">
        <f>IF((phi!K159),VLOOKUP(K$1,main!$A$3:$I$56,5,FALSE)-VLOOKUP($A214,main!$A$3:$I$56,6,FALSE)+main!$D$59,0)</f>
        <v>0</v>
      </c>
      <c r="L214">
        <f>IF((phi!L159),VLOOKUP(L$1,main!$A$3:$I$56,5,FALSE)-VLOOKUP($A214,main!$A$3:$I$56,6,FALSE)+main!$D$59,0)</f>
        <v>0</v>
      </c>
      <c r="M214">
        <f>IF((phi!M159),VLOOKUP(M$1,main!$A$3:$I$56,5,FALSE)-VLOOKUP($A214,main!$A$3:$I$56,6,FALSE)+main!$D$59,0)</f>
        <v>0</v>
      </c>
      <c r="N214">
        <f>IF((phi!N159),VLOOKUP(N$1,main!$A$3:$I$56,5,FALSE)-VLOOKUP($A214,main!$A$3:$I$56,6,FALSE)+main!$D$59,0)</f>
        <v>265</v>
      </c>
      <c r="O214">
        <f>IF((phi!O159),VLOOKUP(O$1,main!$A$3:$I$56,5,FALSE)-VLOOKUP($A214,main!$A$3:$I$56,6,FALSE)+main!$D$59,0)</f>
        <v>325</v>
      </c>
      <c r="P214">
        <f>IF((phi!P159),VLOOKUP(P$1,main!$A$3:$I$56,5,FALSE)-VLOOKUP($A214,main!$A$3:$I$56,6,FALSE)+main!$D$59,0)</f>
        <v>0</v>
      </c>
      <c r="Q214">
        <f>IF((phi!Q159),VLOOKUP(Q$1,main!$A$3:$I$56,5,FALSE)-VLOOKUP($A214,main!$A$3:$I$56,6,FALSE)+main!$D$59,0)</f>
        <v>0</v>
      </c>
      <c r="R214">
        <f>IF((phi!R159),VLOOKUP(R$1,main!$A$3:$I$56,5,FALSE)-VLOOKUP($A214,main!$A$3:$I$56,6,FALSE)+main!$D$59,0)</f>
        <v>0</v>
      </c>
      <c r="S214">
        <f>IF((phi!S159),VLOOKUP(S$1,main!$A$3:$I$56,5,FALSE)-VLOOKUP($A214,main!$A$3:$I$56,6,FALSE)+main!$D$59,0)</f>
        <v>0</v>
      </c>
      <c r="T214">
        <f>IF((phi!T159),VLOOKUP(T$1,main!$A$3:$I$56,5,FALSE)-VLOOKUP($A214,main!$A$3:$I$56,6,FALSE)+main!$D$59,0)</f>
        <v>0</v>
      </c>
      <c r="U214">
        <f>IF((phi!U159),VLOOKUP(U$1,main!$A$3:$I$56,5,FALSE)-VLOOKUP($A214,main!$A$3:$I$56,6,FALSE)+main!$D$59,0)</f>
        <v>0</v>
      </c>
      <c r="V214">
        <f>IF((phi!V159),VLOOKUP(V$1,main!$A$3:$I$56,5,FALSE)-VLOOKUP($A214,main!$A$3:$I$56,6,FALSE)+main!$D$59,0)</f>
        <v>0</v>
      </c>
      <c r="W214">
        <f>IF((phi!W159),VLOOKUP(W$1,main!$A$3:$I$56,5,FALSE)-VLOOKUP($A214,main!$A$3:$I$56,6,FALSE)+main!$D$59,0)</f>
        <v>0</v>
      </c>
      <c r="X214">
        <f>IF((phi!X159),VLOOKUP(X$1,main!$A$3:$I$56,5,FALSE)-VLOOKUP($A214,main!$A$3:$I$56,6,FALSE)+main!$D$59,0)</f>
        <v>0</v>
      </c>
      <c r="Y214">
        <f>IF((phi!Y159),VLOOKUP(Y$1,main!$A$3:$I$56,5,FALSE)-VLOOKUP($A214,main!$A$3:$I$56,6,FALSE)+main!$D$59,0)</f>
        <v>0</v>
      </c>
      <c r="Z214">
        <f>IF((phi!Z159),VLOOKUP(Z$1,main!$A$3:$I$56,5,FALSE)-VLOOKUP($A214,main!$A$3:$I$56,6,FALSE)+main!$D$59,0)</f>
        <v>0</v>
      </c>
      <c r="AA214">
        <f>IF((phi!AA159),VLOOKUP(AA$1,main!$A$3:$I$56,5,FALSE)-VLOOKUP($A214,main!$A$3:$I$56,6,FALSE)+main!$D$59,0)</f>
        <v>190</v>
      </c>
      <c r="AB214">
        <f>IF((phi!AB159),VLOOKUP(AB$1,main!$A$3:$I$56,5,FALSE)-VLOOKUP($A214,main!$A$3:$I$56,6,FALSE)+main!$D$59,0)</f>
        <v>250</v>
      </c>
      <c r="AC214">
        <f>IF((phi!AC159),VLOOKUP(AC$1,main!$A$3:$I$56,5,FALSE)-VLOOKUP($A214,main!$A$3:$I$56,6,FALSE)+main!$D$59,0)</f>
        <v>0</v>
      </c>
      <c r="AD214">
        <f>IF((phi!AD159),VLOOKUP(AD$1,main!$A$3:$I$56,5,FALSE)-VLOOKUP($A214,main!$A$3:$I$56,6,FALSE)+main!$D$59,0)</f>
        <v>0</v>
      </c>
      <c r="AE214">
        <f>IF((phi!AE159),VLOOKUP(AE$1,main!$A$3:$I$56,5,FALSE)-VLOOKUP($A214,main!$A$3:$I$56,6,FALSE)+main!$D$59,0)</f>
        <v>0</v>
      </c>
      <c r="AF214">
        <f>IF((phi!AF159),VLOOKUP(AF$1,main!$A$3:$I$56,5,FALSE)-VLOOKUP($A214,main!$A$3:$I$56,6,FALSE)+main!$D$59,0)</f>
        <v>0</v>
      </c>
      <c r="AG214">
        <f>IF((phi!AG159),VLOOKUP(AG$1,main!$A$3:$I$56,5,FALSE)-VLOOKUP($A214,main!$A$3:$I$56,6,FALSE)+main!$D$59,0)</f>
        <v>0</v>
      </c>
      <c r="AH214">
        <f>IF((phi!AH159),VLOOKUP(AH$1,main!$A$3:$I$56,5,FALSE)-VLOOKUP($A214,main!$A$3:$I$56,6,FALSE)+main!$D$59,0)</f>
        <v>0</v>
      </c>
      <c r="AI214">
        <f>IF((phi!AI159),VLOOKUP(AI$1,main!$A$3:$I$56,5,FALSE)-VLOOKUP($A214,main!$A$3:$I$56,6,FALSE)+main!$D$59,0)</f>
        <v>0</v>
      </c>
      <c r="AJ214">
        <f>IF((phi!AJ159),VLOOKUP(AJ$1,main!$A$3:$I$56,5,FALSE)-VLOOKUP($A214,main!$A$3:$I$56,6,FALSE)+main!$D$59,0)</f>
        <v>0</v>
      </c>
      <c r="AK214">
        <f>IF((phi!AK159),VLOOKUP(AK$1,main!$A$3:$I$56,5,FALSE)-VLOOKUP($A214,main!$A$3:$I$56,6,FALSE)+main!$D$59,0)</f>
        <v>0</v>
      </c>
      <c r="AL214">
        <f>IF((phi!AL159),VLOOKUP(AL$1,main!$A$3:$I$56,5,FALSE)-VLOOKUP($A214,main!$A$3:$I$56,6,FALSE)+main!$D$59,0)</f>
        <v>0</v>
      </c>
      <c r="AM214">
        <f>IF((phi!AM159),VLOOKUP(AM$1,main!$A$3:$I$56,5,FALSE)-VLOOKUP($A214,main!$A$3:$I$56,6,FALSE)+main!$D$59,0)</f>
        <v>0</v>
      </c>
      <c r="AN214">
        <f>IF((phi!AN159),VLOOKUP(AN$1,main!$A$3:$I$56,5,FALSE)-VLOOKUP($A214,main!$A$3:$I$56,6,FALSE)+main!$D$59,0)</f>
        <v>0</v>
      </c>
      <c r="AO214">
        <f>IF((phi!AO159),VLOOKUP(AO$1,main!$A$3:$I$56,5,FALSE)-VLOOKUP($A214,main!$A$3:$I$56,6,FALSE)+main!$D$59,0)</f>
        <v>0</v>
      </c>
      <c r="AP214">
        <f>IF((phi!AP159),VLOOKUP(AP$1,main!$A$3:$I$56,5,FALSE)-VLOOKUP($A214,main!$A$3:$I$56,6,FALSE)+main!$D$59,0)</f>
        <v>0</v>
      </c>
      <c r="AQ214">
        <f>IF((phi!AQ159),VLOOKUP(AQ$1,main!$A$3:$I$56,5,FALSE)-VLOOKUP($A214,main!$A$3:$I$56,6,FALSE)+main!$D$59,0)</f>
        <v>0</v>
      </c>
      <c r="AR214">
        <f>IF((phi!AR159),VLOOKUP(AR$1,main!$A$3:$I$56,5,FALSE)-VLOOKUP($A214,main!$A$3:$I$56,6,FALSE)+main!$D$59,0)</f>
        <v>0</v>
      </c>
      <c r="AS214">
        <f>IF((phi!AS159),VLOOKUP(AS$1,main!$A$3:$I$56,5,FALSE)-VLOOKUP($A214,main!$A$3:$I$56,6,FALSE)+main!$D$59,0)</f>
        <v>0</v>
      </c>
      <c r="AT214">
        <f>IF((phi!AT159),VLOOKUP(AT$1,main!$A$3:$I$56,5,FALSE)-VLOOKUP($A214,main!$A$3:$I$56,6,FALSE)+main!$D$59,0)</f>
        <v>0</v>
      </c>
      <c r="AU214">
        <f>IF((phi!AU159),VLOOKUP(AU$1,main!$A$3:$I$56,5,FALSE)-VLOOKUP($A214,main!$A$3:$I$56,6,FALSE)+main!$D$59,0)</f>
        <v>0</v>
      </c>
      <c r="AV214">
        <f>IF((phi!AV159),VLOOKUP(AV$1,main!$A$3:$I$56,5,FALSE)-VLOOKUP($A214,main!$A$3:$I$56,6,FALSE)+main!$D$59,0)</f>
        <v>0</v>
      </c>
      <c r="AW214">
        <f>IF((phi!AW159),VLOOKUP(AW$1,main!$A$3:$I$56,5,FALSE)-VLOOKUP($A214,main!$A$3:$I$56,6,FALSE)+main!$D$59,0)</f>
        <v>0</v>
      </c>
      <c r="AX214">
        <f>IF((phi!AX159),VLOOKUP(AX$1,main!$A$3:$I$56,5,FALSE)-VLOOKUP($A214,main!$A$3:$I$56,6,FALSE)+main!$D$59,0)</f>
        <v>0</v>
      </c>
      <c r="AY214">
        <f>IF((phi!AY159),VLOOKUP(AY$1,main!$A$3:$I$56,5,FALSE)-VLOOKUP($A214,main!$A$3:$I$56,6,FALSE)+main!$D$59,0)</f>
        <v>310</v>
      </c>
      <c r="AZ214">
        <f>IF((phi!AZ159),VLOOKUP(AZ$1,main!$A$3:$I$56,5,FALSE)-VLOOKUP($A214,main!$A$3:$I$56,6,FALSE)+main!$D$59,0)</f>
        <v>0</v>
      </c>
      <c r="BA214">
        <f>IF((phi!BA159),VLOOKUP(BA$1,main!$A$3:$I$56,5,FALSE)-VLOOKUP($A214,main!$A$3:$I$56,6,FALSE)+main!$D$59,0)</f>
        <v>0</v>
      </c>
      <c r="BB214">
        <f>IF((phi!BB159),VLOOKUP(BB$1,main!$A$3:$I$56,5,FALSE)-VLOOKUP($A214,main!$A$3:$I$56,6,FALSE)+main!$D$59,0)</f>
        <v>0</v>
      </c>
      <c r="BC214">
        <f>IF((phi!BC159),VLOOKUP(BC$1,main!$A$3:$I$56,5,FALSE)-VLOOKUP($A214,main!$A$3:$I$56,6,FALSE)+main!$D$59,0)</f>
        <v>0</v>
      </c>
      <c r="BD214">
        <f>IF((phi!BD159),VLOOKUP(BD$1,main!$A$3:$I$56,5,FALSE)-VLOOKUP($A214,main!$A$3:$I$56,6,FALSE)+main!$D$59,0)</f>
        <v>0</v>
      </c>
    </row>
    <row r="215" spans="1:56" x14ac:dyDescent="0.25">
      <c r="A215">
        <f t="shared" si="5"/>
        <v>48</v>
      </c>
      <c r="B215">
        <v>0</v>
      </c>
      <c r="C215">
        <f>IF((phi!C160),VLOOKUP(C$1,main!$A$3:$I$56,5,FALSE)-VLOOKUP($A215,main!$A$3:$I$56,6,FALSE)+main!$D$59,0)</f>
        <v>0</v>
      </c>
      <c r="D215">
        <f>IF((phi!D160),VLOOKUP(D$1,main!$A$3:$I$56,5,FALSE)-VLOOKUP($A215,main!$A$3:$I$56,6,FALSE)+main!$D$59,0)</f>
        <v>0</v>
      </c>
      <c r="E215">
        <f>IF((phi!E160),VLOOKUP(E$1,main!$A$3:$I$56,5,FALSE)-VLOOKUP($A215,main!$A$3:$I$56,6,FALSE)+main!$D$59,0)</f>
        <v>0</v>
      </c>
      <c r="F215">
        <f>IF((phi!F160),VLOOKUP(F$1,main!$A$3:$I$56,5,FALSE)-VLOOKUP($A215,main!$A$3:$I$56,6,FALSE)+main!$D$59,0)</f>
        <v>0</v>
      </c>
      <c r="G215">
        <f>IF((phi!G160),VLOOKUP(G$1,main!$A$3:$I$56,5,FALSE)-VLOOKUP($A215,main!$A$3:$I$56,6,FALSE)+main!$D$59,0)</f>
        <v>0</v>
      </c>
      <c r="H215">
        <f>IF((phi!H160),VLOOKUP(H$1,main!$A$3:$I$56,5,FALSE)-VLOOKUP($A215,main!$A$3:$I$56,6,FALSE)+main!$D$59,0)</f>
        <v>0</v>
      </c>
      <c r="I215">
        <f>IF((phi!I160),VLOOKUP(I$1,main!$A$3:$I$56,5,FALSE)-VLOOKUP($A215,main!$A$3:$I$56,6,FALSE)+main!$D$59,0)</f>
        <v>0</v>
      </c>
      <c r="J215">
        <f>IF((phi!J160),VLOOKUP(J$1,main!$A$3:$I$56,5,FALSE)-VLOOKUP($A215,main!$A$3:$I$56,6,FALSE)+main!$D$59,0)</f>
        <v>0</v>
      </c>
      <c r="K215">
        <f>IF((phi!K160),VLOOKUP(K$1,main!$A$3:$I$56,5,FALSE)-VLOOKUP($A215,main!$A$3:$I$56,6,FALSE)+main!$D$59,0)</f>
        <v>0</v>
      </c>
      <c r="L215">
        <f>IF((phi!L160),VLOOKUP(L$1,main!$A$3:$I$56,5,FALSE)-VLOOKUP($A215,main!$A$3:$I$56,6,FALSE)+main!$D$59,0)</f>
        <v>0</v>
      </c>
      <c r="M215">
        <f>IF((phi!M160),VLOOKUP(M$1,main!$A$3:$I$56,5,FALSE)-VLOOKUP($A215,main!$A$3:$I$56,6,FALSE)+main!$D$59,0)</f>
        <v>0</v>
      </c>
      <c r="N215">
        <f>IF((phi!N160),VLOOKUP(N$1,main!$A$3:$I$56,5,FALSE)-VLOOKUP($A215,main!$A$3:$I$56,6,FALSE)+main!$D$59,0)</f>
        <v>0</v>
      </c>
      <c r="O215">
        <f>IF((phi!O160),VLOOKUP(O$1,main!$A$3:$I$56,5,FALSE)-VLOOKUP($A215,main!$A$3:$I$56,6,FALSE)+main!$D$59,0)</f>
        <v>0</v>
      </c>
      <c r="P215">
        <f>IF((phi!P160),VLOOKUP(P$1,main!$A$3:$I$56,5,FALSE)-VLOOKUP($A215,main!$A$3:$I$56,6,FALSE)+main!$D$59,0)</f>
        <v>0</v>
      </c>
      <c r="Q215">
        <f>IF((phi!Q160),VLOOKUP(Q$1,main!$A$3:$I$56,5,FALSE)-VLOOKUP($A215,main!$A$3:$I$56,6,FALSE)+main!$D$59,0)</f>
        <v>0</v>
      </c>
      <c r="R215">
        <f>IF((phi!R160),VLOOKUP(R$1,main!$A$3:$I$56,5,FALSE)-VLOOKUP($A215,main!$A$3:$I$56,6,FALSE)+main!$D$59,0)</f>
        <v>0</v>
      </c>
      <c r="S215">
        <f>IF((phi!S160),VLOOKUP(S$1,main!$A$3:$I$56,5,FALSE)-VLOOKUP($A215,main!$A$3:$I$56,6,FALSE)+main!$D$59,0)</f>
        <v>0</v>
      </c>
      <c r="T215">
        <f>IF((phi!T160),VLOOKUP(T$1,main!$A$3:$I$56,5,FALSE)-VLOOKUP($A215,main!$A$3:$I$56,6,FALSE)+main!$D$59,0)</f>
        <v>0</v>
      </c>
      <c r="U215">
        <f>IF((phi!U160),VLOOKUP(U$1,main!$A$3:$I$56,5,FALSE)-VLOOKUP($A215,main!$A$3:$I$56,6,FALSE)+main!$D$59,0)</f>
        <v>0</v>
      </c>
      <c r="V215">
        <f>IF((phi!V160),VLOOKUP(V$1,main!$A$3:$I$56,5,FALSE)-VLOOKUP($A215,main!$A$3:$I$56,6,FALSE)+main!$D$59,0)</f>
        <v>0</v>
      </c>
      <c r="W215">
        <f>IF((phi!W160),VLOOKUP(W$1,main!$A$3:$I$56,5,FALSE)-VLOOKUP($A215,main!$A$3:$I$56,6,FALSE)+main!$D$59,0)</f>
        <v>0</v>
      </c>
      <c r="X215">
        <f>IF((phi!X160),VLOOKUP(X$1,main!$A$3:$I$56,5,FALSE)-VLOOKUP($A215,main!$A$3:$I$56,6,FALSE)+main!$D$59,0)</f>
        <v>0</v>
      </c>
      <c r="Y215">
        <f>IF((phi!Y160),VLOOKUP(Y$1,main!$A$3:$I$56,5,FALSE)-VLOOKUP($A215,main!$A$3:$I$56,6,FALSE)+main!$D$59,0)</f>
        <v>0</v>
      </c>
      <c r="Z215">
        <f>IF((phi!Z160),VLOOKUP(Z$1,main!$A$3:$I$56,5,FALSE)-VLOOKUP($A215,main!$A$3:$I$56,6,FALSE)+main!$D$59,0)</f>
        <v>0</v>
      </c>
      <c r="AA215">
        <f>IF((phi!AA160),VLOOKUP(AA$1,main!$A$3:$I$56,5,FALSE)-VLOOKUP($A215,main!$A$3:$I$56,6,FALSE)+main!$D$59,0)</f>
        <v>0</v>
      </c>
      <c r="AB215">
        <f>IF((phi!AB160),VLOOKUP(AB$1,main!$A$3:$I$56,5,FALSE)-VLOOKUP($A215,main!$A$3:$I$56,6,FALSE)+main!$D$59,0)</f>
        <v>0</v>
      </c>
      <c r="AC215">
        <f>IF((phi!AC160),VLOOKUP(AC$1,main!$A$3:$I$56,5,FALSE)-VLOOKUP($A215,main!$A$3:$I$56,6,FALSE)+main!$D$59,0)</f>
        <v>0</v>
      </c>
      <c r="AD215">
        <f>IF((phi!AD160),VLOOKUP(AD$1,main!$A$3:$I$56,5,FALSE)-VLOOKUP($A215,main!$A$3:$I$56,6,FALSE)+main!$D$59,0)</f>
        <v>0</v>
      </c>
      <c r="AE215">
        <f>IF((phi!AE160),VLOOKUP(AE$1,main!$A$3:$I$56,5,FALSE)-VLOOKUP($A215,main!$A$3:$I$56,6,FALSE)+main!$D$59,0)</f>
        <v>0</v>
      </c>
      <c r="AF215">
        <f>IF((phi!AF160),VLOOKUP(AF$1,main!$A$3:$I$56,5,FALSE)-VLOOKUP($A215,main!$A$3:$I$56,6,FALSE)+main!$D$59,0)</f>
        <v>0</v>
      </c>
      <c r="AG215">
        <f>IF((phi!AG160),VLOOKUP(AG$1,main!$A$3:$I$56,5,FALSE)-VLOOKUP($A215,main!$A$3:$I$56,6,FALSE)+main!$D$59,0)</f>
        <v>0</v>
      </c>
      <c r="AH215">
        <f>IF((phi!AH160),VLOOKUP(AH$1,main!$A$3:$I$56,5,FALSE)-VLOOKUP($A215,main!$A$3:$I$56,6,FALSE)+main!$D$59,0)</f>
        <v>0</v>
      </c>
      <c r="AI215">
        <f>IF((phi!AI160),VLOOKUP(AI$1,main!$A$3:$I$56,5,FALSE)-VLOOKUP($A215,main!$A$3:$I$56,6,FALSE)+main!$D$59,0)</f>
        <v>0</v>
      </c>
      <c r="AJ215">
        <f>IF((phi!AJ160),VLOOKUP(AJ$1,main!$A$3:$I$56,5,FALSE)-VLOOKUP($A215,main!$A$3:$I$56,6,FALSE)+main!$D$59,0)</f>
        <v>0</v>
      </c>
      <c r="AK215">
        <f>IF((phi!AK160),VLOOKUP(AK$1,main!$A$3:$I$56,5,FALSE)-VLOOKUP($A215,main!$A$3:$I$56,6,FALSE)+main!$D$59,0)</f>
        <v>0</v>
      </c>
      <c r="AL215">
        <f>IF((phi!AL160),VLOOKUP(AL$1,main!$A$3:$I$56,5,FALSE)-VLOOKUP($A215,main!$A$3:$I$56,6,FALSE)+main!$D$59,0)</f>
        <v>0</v>
      </c>
      <c r="AM215">
        <f>IF((phi!AM160),VLOOKUP(AM$1,main!$A$3:$I$56,5,FALSE)-VLOOKUP($A215,main!$A$3:$I$56,6,FALSE)+main!$D$59,0)</f>
        <v>0</v>
      </c>
      <c r="AN215">
        <f>IF((phi!AN160),VLOOKUP(AN$1,main!$A$3:$I$56,5,FALSE)-VLOOKUP($A215,main!$A$3:$I$56,6,FALSE)+main!$D$59,0)</f>
        <v>0</v>
      </c>
      <c r="AO215">
        <f>IF((phi!AO160),VLOOKUP(AO$1,main!$A$3:$I$56,5,FALSE)-VLOOKUP($A215,main!$A$3:$I$56,6,FALSE)+main!$D$59,0)</f>
        <v>0</v>
      </c>
      <c r="AP215">
        <f>IF((phi!AP160),VLOOKUP(AP$1,main!$A$3:$I$56,5,FALSE)-VLOOKUP($A215,main!$A$3:$I$56,6,FALSE)+main!$D$59,0)</f>
        <v>0</v>
      </c>
      <c r="AQ215">
        <f>IF((phi!AQ160),VLOOKUP(AQ$1,main!$A$3:$I$56,5,FALSE)-VLOOKUP($A215,main!$A$3:$I$56,6,FALSE)+main!$D$59,0)</f>
        <v>0</v>
      </c>
      <c r="AR215">
        <f>IF((phi!AR160),VLOOKUP(AR$1,main!$A$3:$I$56,5,FALSE)-VLOOKUP($A215,main!$A$3:$I$56,6,FALSE)+main!$D$59,0)</f>
        <v>0</v>
      </c>
      <c r="AS215">
        <f>IF((phi!AS160),VLOOKUP(AS$1,main!$A$3:$I$56,5,FALSE)-VLOOKUP($A215,main!$A$3:$I$56,6,FALSE)+main!$D$59,0)</f>
        <v>0</v>
      </c>
      <c r="AT215">
        <f>IF((phi!AT160),VLOOKUP(AT$1,main!$A$3:$I$56,5,FALSE)-VLOOKUP($A215,main!$A$3:$I$56,6,FALSE)+main!$D$59,0)</f>
        <v>0</v>
      </c>
      <c r="AU215">
        <f>IF((phi!AU160),VLOOKUP(AU$1,main!$A$3:$I$56,5,FALSE)-VLOOKUP($A215,main!$A$3:$I$56,6,FALSE)+main!$D$59,0)</f>
        <v>0</v>
      </c>
      <c r="AV215">
        <f>IF((phi!AV160),VLOOKUP(AV$1,main!$A$3:$I$56,5,FALSE)-VLOOKUP($A215,main!$A$3:$I$56,6,FALSE)+main!$D$59,0)</f>
        <v>0</v>
      </c>
      <c r="AW215">
        <f>IF((phi!AW160),VLOOKUP(AW$1,main!$A$3:$I$56,5,FALSE)-VLOOKUP($A215,main!$A$3:$I$56,6,FALSE)+main!$D$59,0)</f>
        <v>0</v>
      </c>
      <c r="AX215">
        <f>IF((phi!AX160),VLOOKUP(AX$1,main!$A$3:$I$56,5,FALSE)-VLOOKUP($A215,main!$A$3:$I$56,6,FALSE)+main!$D$59,0)</f>
        <v>0</v>
      </c>
      <c r="AY215">
        <f>IF((phi!AY160),VLOOKUP(AY$1,main!$A$3:$I$56,5,FALSE)-VLOOKUP($A215,main!$A$3:$I$56,6,FALSE)+main!$D$59,0)</f>
        <v>0</v>
      </c>
      <c r="AZ215">
        <f>IF((phi!AZ160),VLOOKUP(AZ$1,main!$A$3:$I$56,5,FALSE)-VLOOKUP($A215,main!$A$3:$I$56,6,FALSE)+main!$D$59,0)</f>
        <v>0</v>
      </c>
      <c r="BA215">
        <f>IF((phi!BA160),VLOOKUP(BA$1,main!$A$3:$I$56,5,FALSE)-VLOOKUP($A215,main!$A$3:$I$56,6,FALSE)+main!$D$59,0)</f>
        <v>0</v>
      </c>
      <c r="BB215">
        <f>IF((phi!BB160),VLOOKUP(BB$1,main!$A$3:$I$56,5,FALSE)-VLOOKUP($A215,main!$A$3:$I$56,6,FALSE)+main!$D$59,0)</f>
        <v>0</v>
      </c>
      <c r="BC215">
        <f>IF((phi!BC160),VLOOKUP(BC$1,main!$A$3:$I$56,5,FALSE)-VLOOKUP($A215,main!$A$3:$I$56,6,FALSE)+main!$D$59,0)</f>
        <v>0</v>
      </c>
      <c r="BD215">
        <f>IF((phi!BD160),VLOOKUP(BD$1,main!$A$3:$I$56,5,FALSE)-VLOOKUP($A215,main!$A$3:$I$56,6,FALSE)+main!$D$59,0)</f>
        <v>0</v>
      </c>
    </row>
    <row r="216" spans="1:56" x14ac:dyDescent="0.25">
      <c r="A216">
        <f t="shared" si="5"/>
        <v>49</v>
      </c>
      <c r="B216">
        <v>0</v>
      </c>
      <c r="C216">
        <f>IF((phi!C161),VLOOKUP(C$1,main!$A$3:$I$56,5,FALSE)-VLOOKUP($A216,main!$A$3:$I$56,6,FALSE)+main!$D$59,0)</f>
        <v>0</v>
      </c>
      <c r="D216">
        <f>IF((phi!D161),VLOOKUP(D$1,main!$A$3:$I$56,5,FALSE)-VLOOKUP($A216,main!$A$3:$I$56,6,FALSE)+main!$D$59,0)</f>
        <v>0</v>
      </c>
      <c r="E216">
        <f>IF((phi!E161),VLOOKUP(E$1,main!$A$3:$I$56,5,FALSE)-VLOOKUP($A216,main!$A$3:$I$56,6,FALSE)+main!$D$59,0)</f>
        <v>0</v>
      </c>
      <c r="F216">
        <f>IF((phi!F161),VLOOKUP(F$1,main!$A$3:$I$56,5,FALSE)-VLOOKUP($A216,main!$A$3:$I$56,6,FALSE)+main!$D$59,0)</f>
        <v>0</v>
      </c>
      <c r="G216">
        <f>IF((phi!G161),VLOOKUP(G$1,main!$A$3:$I$56,5,FALSE)-VLOOKUP($A216,main!$A$3:$I$56,6,FALSE)+main!$D$59,0)</f>
        <v>0</v>
      </c>
      <c r="H216">
        <f>IF((phi!H161),VLOOKUP(H$1,main!$A$3:$I$56,5,FALSE)-VLOOKUP($A216,main!$A$3:$I$56,6,FALSE)+main!$D$59,0)</f>
        <v>0</v>
      </c>
      <c r="I216">
        <f>IF((phi!I161),VLOOKUP(I$1,main!$A$3:$I$56,5,FALSE)-VLOOKUP($A216,main!$A$3:$I$56,6,FALSE)+main!$D$59,0)</f>
        <v>0</v>
      </c>
      <c r="J216">
        <f>IF((phi!J161),VLOOKUP(J$1,main!$A$3:$I$56,5,FALSE)-VLOOKUP($A216,main!$A$3:$I$56,6,FALSE)+main!$D$59,0)</f>
        <v>0</v>
      </c>
      <c r="K216">
        <f>IF((phi!K161),VLOOKUP(K$1,main!$A$3:$I$56,5,FALSE)-VLOOKUP($A216,main!$A$3:$I$56,6,FALSE)+main!$D$59,0)</f>
        <v>0</v>
      </c>
      <c r="L216">
        <f>IF((phi!L161),VLOOKUP(L$1,main!$A$3:$I$56,5,FALSE)-VLOOKUP($A216,main!$A$3:$I$56,6,FALSE)+main!$D$59,0)</f>
        <v>0</v>
      </c>
      <c r="M216">
        <f>IF((phi!M161),VLOOKUP(M$1,main!$A$3:$I$56,5,FALSE)-VLOOKUP($A216,main!$A$3:$I$56,6,FALSE)+main!$D$59,0)</f>
        <v>0</v>
      </c>
      <c r="N216">
        <f>IF((phi!N161),VLOOKUP(N$1,main!$A$3:$I$56,5,FALSE)-VLOOKUP($A216,main!$A$3:$I$56,6,FALSE)+main!$D$59,0)</f>
        <v>0</v>
      </c>
      <c r="O216">
        <f>IF((phi!O161),VLOOKUP(O$1,main!$A$3:$I$56,5,FALSE)-VLOOKUP($A216,main!$A$3:$I$56,6,FALSE)+main!$D$59,0)</f>
        <v>0</v>
      </c>
      <c r="P216">
        <f>IF((phi!P161),VLOOKUP(P$1,main!$A$3:$I$56,5,FALSE)-VLOOKUP($A216,main!$A$3:$I$56,6,FALSE)+main!$D$59,0)</f>
        <v>0</v>
      </c>
      <c r="Q216">
        <f>IF((phi!Q161),VLOOKUP(Q$1,main!$A$3:$I$56,5,FALSE)-VLOOKUP($A216,main!$A$3:$I$56,6,FALSE)+main!$D$59,0)</f>
        <v>0</v>
      </c>
      <c r="R216">
        <f>IF((phi!R161),VLOOKUP(R$1,main!$A$3:$I$56,5,FALSE)-VLOOKUP($A216,main!$A$3:$I$56,6,FALSE)+main!$D$59,0)</f>
        <v>0</v>
      </c>
      <c r="S216">
        <f>IF((phi!S161),VLOOKUP(S$1,main!$A$3:$I$56,5,FALSE)-VLOOKUP($A216,main!$A$3:$I$56,6,FALSE)+main!$D$59,0)</f>
        <v>0</v>
      </c>
      <c r="T216">
        <f>IF((phi!T161),VLOOKUP(T$1,main!$A$3:$I$56,5,FALSE)-VLOOKUP($A216,main!$A$3:$I$56,6,FALSE)+main!$D$59,0)</f>
        <v>0</v>
      </c>
      <c r="U216">
        <f>IF((phi!U161),VLOOKUP(U$1,main!$A$3:$I$56,5,FALSE)-VLOOKUP($A216,main!$A$3:$I$56,6,FALSE)+main!$D$59,0)</f>
        <v>0</v>
      </c>
      <c r="V216">
        <f>IF((phi!V161),VLOOKUP(V$1,main!$A$3:$I$56,5,FALSE)-VLOOKUP($A216,main!$A$3:$I$56,6,FALSE)+main!$D$59,0)</f>
        <v>0</v>
      </c>
      <c r="W216">
        <f>IF((phi!W161),VLOOKUP(W$1,main!$A$3:$I$56,5,FALSE)-VLOOKUP($A216,main!$A$3:$I$56,6,FALSE)+main!$D$59,0)</f>
        <v>0</v>
      </c>
      <c r="X216">
        <f>IF((phi!X161),VLOOKUP(X$1,main!$A$3:$I$56,5,FALSE)-VLOOKUP($A216,main!$A$3:$I$56,6,FALSE)+main!$D$59,0)</f>
        <v>0</v>
      </c>
      <c r="Y216">
        <f>IF((phi!Y161),VLOOKUP(Y$1,main!$A$3:$I$56,5,FALSE)-VLOOKUP($A216,main!$A$3:$I$56,6,FALSE)+main!$D$59,0)</f>
        <v>0</v>
      </c>
      <c r="Z216">
        <f>IF((phi!Z161),VLOOKUP(Z$1,main!$A$3:$I$56,5,FALSE)-VLOOKUP($A216,main!$A$3:$I$56,6,FALSE)+main!$D$59,0)</f>
        <v>0</v>
      </c>
      <c r="AA216">
        <f>IF((phi!AA161),VLOOKUP(AA$1,main!$A$3:$I$56,5,FALSE)-VLOOKUP($A216,main!$A$3:$I$56,6,FALSE)+main!$D$59,0)</f>
        <v>0</v>
      </c>
      <c r="AB216">
        <f>IF((phi!AB161),VLOOKUP(AB$1,main!$A$3:$I$56,5,FALSE)-VLOOKUP($A216,main!$A$3:$I$56,6,FALSE)+main!$D$59,0)</f>
        <v>0</v>
      </c>
      <c r="AC216">
        <f>IF((phi!AC161),VLOOKUP(AC$1,main!$A$3:$I$56,5,FALSE)-VLOOKUP($A216,main!$A$3:$I$56,6,FALSE)+main!$D$59,0)</f>
        <v>0</v>
      </c>
      <c r="AD216">
        <f>IF((phi!AD161),VLOOKUP(AD$1,main!$A$3:$I$56,5,FALSE)-VLOOKUP($A216,main!$A$3:$I$56,6,FALSE)+main!$D$59,0)</f>
        <v>0</v>
      </c>
      <c r="AE216">
        <f>IF((phi!AE161),VLOOKUP(AE$1,main!$A$3:$I$56,5,FALSE)-VLOOKUP($A216,main!$A$3:$I$56,6,FALSE)+main!$D$59,0)</f>
        <v>0</v>
      </c>
      <c r="AF216">
        <f>IF((phi!AF161),VLOOKUP(AF$1,main!$A$3:$I$56,5,FALSE)-VLOOKUP($A216,main!$A$3:$I$56,6,FALSE)+main!$D$59,0)</f>
        <v>0</v>
      </c>
      <c r="AG216">
        <f>IF((phi!AG161),VLOOKUP(AG$1,main!$A$3:$I$56,5,FALSE)-VLOOKUP($A216,main!$A$3:$I$56,6,FALSE)+main!$D$59,0)</f>
        <v>0</v>
      </c>
      <c r="AH216">
        <f>IF((phi!AH161),VLOOKUP(AH$1,main!$A$3:$I$56,5,FALSE)-VLOOKUP($A216,main!$A$3:$I$56,6,FALSE)+main!$D$59,0)</f>
        <v>0</v>
      </c>
      <c r="AI216">
        <f>IF((phi!AI161),VLOOKUP(AI$1,main!$A$3:$I$56,5,FALSE)-VLOOKUP($A216,main!$A$3:$I$56,6,FALSE)+main!$D$59,0)</f>
        <v>0</v>
      </c>
      <c r="AJ216">
        <f>IF((phi!AJ161),VLOOKUP(AJ$1,main!$A$3:$I$56,5,FALSE)-VLOOKUP($A216,main!$A$3:$I$56,6,FALSE)+main!$D$59,0)</f>
        <v>0</v>
      </c>
      <c r="AK216">
        <f>IF((phi!AK161),VLOOKUP(AK$1,main!$A$3:$I$56,5,FALSE)-VLOOKUP($A216,main!$A$3:$I$56,6,FALSE)+main!$D$59,0)</f>
        <v>0</v>
      </c>
      <c r="AL216">
        <f>IF((phi!AL161),VLOOKUP(AL$1,main!$A$3:$I$56,5,FALSE)-VLOOKUP($A216,main!$A$3:$I$56,6,FALSE)+main!$D$59,0)</f>
        <v>0</v>
      </c>
      <c r="AM216">
        <f>IF((phi!AM161),VLOOKUP(AM$1,main!$A$3:$I$56,5,FALSE)-VLOOKUP($A216,main!$A$3:$I$56,6,FALSE)+main!$D$59,0)</f>
        <v>0</v>
      </c>
      <c r="AN216">
        <f>IF((phi!AN161),VLOOKUP(AN$1,main!$A$3:$I$56,5,FALSE)-VLOOKUP($A216,main!$A$3:$I$56,6,FALSE)+main!$D$59,0)</f>
        <v>0</v>
      </c>
      <c r="AO216">
        <f>IF((phi!AO161),VLOOKUP(AO$1,main!$A$3:$I$56,5,FALSE)-VLOOKUP($A216,main!$A$3:$I$56,6,FALSE)+main!$D$59,0)</f>
        <v>0</v>
      </c>
      <c r="AP216">
        <f>IF((phi!AP161),VLOOKUP(AP$1,main!$A$3:$I$56,5,FALSE)-VLOOKUP($A216,main!$A$3:$I$56,6,FALSE)+main!$D$59,0)</f>
        <v>0</v>
      </c>
      <c r="AQ216">
        <f>IF((phi!AQ161),VLOOKUP(AQ$1,main!$A$3:$I$56,5,FALSE)-VLOOKUP($A216,main!$A$3:$I$56,6,FALSE)+main!$D$59,0)</f>
        <v>0</v>
      </c>
      <c r="AR216">
        <f>IF((phi!AR161),VLOOKUP(AR$1,main!$A$3:$I$56,5,FALSE)-VLOOKUP($A216,main!$A$3:$I$56,6,FALSE)+main!$D$59,0)</f>
        <v>0</v>
      </c>
      <c r="AS216">
        <f>IF((phi!AS161),VLOOKUP(AS$1,main!$A$3:$I$56,5,FALSE)-VLOOKUP($A216,main!$A$3:$I$56,6,FALSE)+main!$D$59,0)</f>
        <v>0</v>
      </c>
      <c r="AT216">
        <f>IF((phi!AT161),VLOOKUP(AT$1,main!$A$3:$I$56,5,FALSE)-VLOOKUP($A216,main!$A$3:$I$56,6,FALSE)+main!$D$59,0)</f>
        <v>0</v>
      </c>
      <c r="AU216">
        <f>IF((phi!AU161),VLOOKUP(AU$1,main!$A$3:$I$56,5,FALSE)-VLOOKUP($A216,main!$A$3:$I$56,6,FALSE)+main!$D$59,0)</f>
        <v>0</v>
      </c>
      <c r="AV216">
        <f>IF((phi!AV161),VLOOKUP(AV$1,main!$A$3:$I$56,5,FALSE)-VLOOKUP($A216,main!$A$3:$I$56,6,FALSE)+main!$D$59,0)</f>
        <v>0</v>
      </c>
      <c r="AW216">
        <f>IF((phi!AW161),VLOOKUP(AW$1,main!$A$3:$I$56,5,FALSE)-VLOOKUP($A216,main!$A$3:$I$56,6,FALSE)+main!$D$59,0)</f>
        <v>0</v>
      </c>
      <c r="AX216">
        <f>IF((phi!AX161),VLOOKUP(AX$1,main!$A$3:$I$56,5,FALSE)-VLOOKUP($A216,main!$A$3:$I$56,6,FALSE)+main!$D$59,0)</f>
        <v>0</v>
      </c>
      <c r="AY216">
        <f>IF((phi!AY161),VLOOKUP(AY$1,main!$A$3:$I$56,5,FALSE)-VLOOKUP($A216,main!$A$3:$I$56,6,FALSE)+main!$D$59,0)</f>
        <v>0</v>
      </c>
      <c r="AZ216">
        <f>IF((phi!AZ161),VLOOKUP(AZ$1,main!$A$3:$I$56,5,FALSE)-VLOOKUP($A216,main!$A$3:$I$56,6,FALSE)+main!$D$59,0)</f>
        <v>0</v>
      </c>
      <c r="BA216">
        <f>IF((phi!BA161),VLOOKUP(BA$1,main!$A$3:$I$56,5,FALSE)-VLOOKUP($A216,main!$A$3:$I$56,6,FALSE)+main!$D$59,0)</f>
        <v>0</v>
      </c>
      <c r="BB216">
        <f>IF((phi!BB161),VLOOKUP(BB$1,main!$A$3:$I$56,5,FALSE)-VLOOKUP($A216,main!$A$3:$I$56,6,FALSE)+main!$D$59,0)</f>
        <v>0</v>
      </c>
      <c r="BC216">
        <f>IF((phi!BC161),VLOOKUP(BC$1,main!$A$3:$I$56,5,FALSE)-VLOOKUP($A216,main!$A$3:$I$56,6,FALSE)+main!$D$59,0)</f>
        <v>0</v>
      </c>
      <c r="BD216">
        <f>IF((phi!BD161),VLOOKUP(BD$1,main!$A$3:$I$56,5,FALSE)-VLOOKUP($A216,main!$A$3:$I$56,6,FALSE)+main!$D$59,0)</f>
        <v>0</v>
      </c>
    </row>
    <row r="217" spans="1:56" x14ac:dyDescent="0.25">
      <c r="A217">
        <f t="shared" si="5"/>
        <v>50</v>
      </c>
      <c r="B217">
        <v>0</v>
      </c>
      <c r="C217">
        <f>IF((phi!C162),VLOOKUP(C$1,main!$A$3:$I$56,5,FALSE)-VLOOKUP($A217,main!$A$3:$I$56,6,FALSE)+main!$D$59,0)</f>
        <v>0</v>
      </c>
      <c r="D217">
        <f>IF((phi!D162),VLOOKUP(D$1,main!$A$3:$I$56,5,FALSE)-VLOOKUP($A217,main!$A$3:$I$56,6,FALSE)+main!$D$59,0)</f>
        <v>0</v>
      </c>
      <c r="E217">
        <f>IF((phi!E162),VLOOKUP(E$1,main!$A$3:$I$56,5,FALSE)-VLOOKUP($A217,main!$A$3:$I$56,6,FALSE)+main!$D$59,0)</f>
        <v>0</v>
      </c>
      <c r="F217">
        <f>IF((phi!F162),VLOOKUP(F$1,main!$A$3:$I$56,5,FALSE)-VLOOKUP($A217,main!$A$3:$I$56,6,FALSE)+main!$D$59,0)</f>
        <v>0</v>
      </c>
      <c r="G217">
        <f>IF((phi!G162),VLOOKUP(G$1,main!$A$3:$I$56,5,FALSE)-VLOOKUP($A217,main!$A$3:$I$56,6,FALSE)+main!$D$59,0)</f>
        <v>290</v>
      </c>
      <c r="H217">
        <f>IF((phi!H162),VLOOKUP(H$1,main!$A$3:$I$56,5,FALSE)-VLOOKUP($A217,main!$A$3:$I$56,6,FALSE)+main!$D$59,0)</f>
        <v>350</v>
      </c>
      <c r="I217">
        <f>IF((phi!I162),VLOOKUP(I$1,main!$A$3:$I$56,5,FALSE)-VLOOKUP($A217,main!$A$3:$I$56,6,FALSE)+main!$D$59,0)</f>
        <v>410</v>
      </c>
      <c r="J217">
        <f>IF((phi!J162),VLOOKUP(J$1,main!$A$3:$I$56,5,FALSE)-VLOOKUP($A217,main!$A$3:$I$56,6,FALSE)+main!$D$59,0)</f>
        <v>500</v>
      </c>
      <c r="K217">
        <f>IF((phi!K162),VLOOKUP(K$1,main!$A$3:$I$56,5,FALSE)-VLOOKUP($A217,main!$A$3:$I$56,6,FALSE)+main!$D$59,0)</f>
        <v>0</v>
      </c>
      <c r="L217">
        <f>IF((phi!L162),VLOOKUP(L$1,main!$A$3:$I$56,5,FALSE)-VLOOKUP($A217,main!$A$3:$I$56,6,FALSE)+main!$D$59,0)</f>
        <v>0</v>
      </c>
      <c r="M217">
        <f>IF((phi!M162),VLOOKUP(M$1,main!$A$3:$I$56,5,FALSE)-VLOOKUP($A217,main!$A$3:$I$56,6,FALSE)+main!$D$59,0)</f>
        <v>0</v>
      </c>
      <c r="N217">
        <f>IF((phi!N162),VLOOKUP(N$1,main!$A$3:$I$56,5,FALSE)-VLOOKUP($A217,main!$A$3:$I$56,6,FALSE)+main!$D$59,0)</f>
        <v>465</v>
      </c>
      <c r="O217">
        <f>IF((phi!O162),VLOOKUP(O$1,main!$A$3:$I$56,5,FALSE)-VLOOKUP($A217,main!$A$3:$I$56,6,FALSE)+main!$D$59,0)</f>
        <v>525</v>
      </c>
      <c r="P217">
        <f>IF((phi!P162),VLOOKUP(P$1,main!$A$3:$I$56,5,FALSE)-VLOOKUP($A217,main!$A$3:$I$56,6,FALSE)+main!$D$59,0)</f>
        <v>0</v>
      </c>
      <c r="Q217">
        <f>IF((phi!Q162),VLOOKUP(Q$1,main!$A$3:$I$56,5,FALSE)-VLOOKUP($A217,main!$A$3:$I$56,6,FALSE)+main!$D$59,0)</f>
        <v>0</v>
      </c>
      <c r="R217">
        <f>IF((phi!R162),VLOOKUP(R$1,main!$A$3:$I$56,5,FALSE)-VLOOKUP($A217,main!$A$3:$I$56,6,FALSE)+main!$D$59,0)</f>
        <v>0</v>
      </c>
      <c r="S217">
        <f>IF((phi!S162),VLOOKUP(S$1,main!$A$3:$I$56,5,FALSE)-VLOOKUP($A217,main!$A$3:$I$56,6,FALSE)+main!$D$59,0)</f>
        <v>280</v>
      </c>
      <c r="T217">
        <f>IF((phi!T162),VLOOKUP(T$1,main!$A$3:$I$56,5,FALSE)-VLOOKUP($A217,main!$A$3:$I$56,6,FALSE)+main!$D$59,0)</f>
        <v>430</v>
      </c>
      <c r="U217">
        <f>IF((phi!U162),VLOOKUP(U$1,main!$A$3:$I$56,5,FALSE)-VLOOKUP($A217,main!$A$3:$I$56,6,FALSE)+main!$D$59,0)</f>
        <v>0</v>
      </c>
      <c r="V217">
        <f>IF((phi!V162),VLOOKUP(V$1,main!$A$3:$I$56,5,FALSE)-VLOOKUP($A217,main!$A$3:$I$56,6,FALSE)+main!$D$59,0)</f>
        <v>0</v>
      </c>
      <c r="W217">
        <f>IF((phi!W162),VLOOKUP(W$1,main!$A$3:$I$56,5,FALSE)-VLOOKUP($A217,main!$A$3:$I$56,6,FALSE)+main!$D$59,0)</f>
        <v>0</v>
      </c>
      <c r="X217">
        <f>IF((phi!X162),VLOOKUP(X$1,main!$A$3:$I$56,5,FALSE)-VLOOKUP($A217,main!$A$3:$I$56,6,FALSE)+main!$D$59,0)</f>
        <v>120</v>
      </c>
      <c r="Y217">
        <f>IF((phi!Y162),VLOOKUP(Y$1,main!$A$3:$I$56,5,FALSE)-VLOOKUP($A217,main!$A$3:$I$56,6,FALSE)+main!$D$59,0)</f>
        <v>210</v>
      </c>
      <c r="Z217">
        <f>IF((phi!Z162),VLOOKUP(Z$1,main!$A$3:$I$56,5,FALSE)-VLOOKUP($A217,main!$A$3:$I$56,6,FALSE)+main!$D$59,0)</f>
        <v>300</v>
      </c>
      <c r="AA217">
        <f>IF((phi!AA162),VLOOKUP(AA$1,main!$A$3:$I$56,5,FALSE)-VLOOKUP($A217,main!$A$3:$I$56,6,FALSE)+main!$D$59,0)</f>
        <v>390</v>
      </c>
      <c r="AB217">
        <f>IF((phi!AB162),VLOOKUP(AB$1,main!$A$3:$I$56,5,FALSE)-VLOOKUP($A217,main!$A$3:$I$56,6,FALSE)+main!$D$59,0)</f>
        <v>450</v>
      </c>
      <c r="AC217">
        <f>IF((phi!AC162),VLOOKUP(AC$1,main!$A$3:$I$56,5,FALSE)-VLOOKUP($A217,main!$A$3:$I$56,6,FALSE)+main!$D$59,0)</f>
        <v>0</v>
      </c>
      <c r="AD217">
        <f>IF((phi!AD162),VLOOKUP(AD$1,main!$A$3:$I$56,5,FALSE)-VLOOKUP($A217,main!$A$3:$I$56,6,FALSE)+main!$D$59,0)</f>
        <v>0</v>
      </c>
      <c r="AE217">
        <f>IF((phi!AE162),VLOOKUP(AE$1,main!$A$3:$I$56,5,FALSE)-VLOOKUP($A217,main!$A$3:$I$56,6,FALSE)+main!$D$59,0)</f>
        <v>110</v>
      </c>
      <c r="AF217">
        <f>IF((phi!AF162),VLOOKUP(AF$1,main!$A$3:$I$56,5,FALSE)-VLOOKUP($A217,main!$A$3:$I$56,6,FALSE)+main!$D$59,0)</f>
        <v>260</v>
      </c>
      <c r="AG217">
        <f>IF((phi!AG162),VLOOKUP(AG$1,main!$A$3:$I$56,5,FALSE)-VLOOKUP($A217,main!$A$3:$I$56,6,FALSE)+main!$D$59,0)</f>
        <v>0</v>
      </c>
      <c r="AH217">
        <f>IF((phi!AH162),VLOOKUP(AH$1,main!$A$3:$I$56,5,FALSE)-VLOOKUP($A217,main!$A$3:$I$56,6,FALSE)+main!$D$59,0)</f>
        <v>0</v>
      </c>
      <c r="AI217">
        <f>IF((phi!AI162),VLOOKUP(AI$1,main!$A$3:$I$56,5,FALSE)-VLOOKUP($A217,main!$A$3:$I$56,6,FALSE)+main!$D$59,0)</f>
        <v>0</v>
      </c>
      <c r="AJ217">
        <f>IF((phi!AJ162),VLOOKUP(AJ$1,main!$A$3:$I$56,5,FALSE)-VLOOKUP($A217,main!$A$3:$I$56,6,FALSE)+main!$D$59,0)</f>
        <v>0</v>
      </c>
      <c r="AK217">
        <f>IF((phi!AK162),VLOOKUP(AK$1,main!$A$3:$I$56,5,FALSE)-VLOOKUP($A217,main!$A$3:$I$56,6,FALSE)+main!$D$59,0)</f>
        <v>350</v>
      </c>
      <c r="AL217">
        <f>IF((phi!AL162),VLOOKUP(AL$1,main!$A$3:$I$56,5,FALSE)-VLOOKUP($A217,main!$A$3:$I$56,6,FALSE)+main!$D$59,0)</f>
        <v>0</v>
      </c>
      <c r="AM217">
        <f>IF((phi!AM162),VLOOKUP(AM$1,main!$A$3:$I$56,5,FALSE)-VLOOKUP($A217,main!$A$3:$I$56,6,FALSE)+main!$D$59,0)</f>
        <v>0</v>
      </c>
      <c r="AN217">
        <f>IF((phi!AN162),VLOOKUP(AN$1,main!$A$3:$I$56,5,FALSE)-VLOOKUP($A217,main!$A$3:$I$56,6,FALSE)+main!$D$59,0)</f>
        <v>0</v>
      </c>
      <c r="AO217">
        <f>IF((phi!AO162),VLOOKUP(AO$1,main!$A$3:$I$56,5,FALSE)-VLOOKUP($A217,main!$A$3:$I$56,6,FALSE)+main!$D$59,0)</f>
        <v>260</v>
      </c>
      <c r="AP217">
        <f>IF((phi!AP162),VLOOKUP(AP$1,main!$A$3:$I$56,5,FALSE)-VLOOKUP($A217,main!$A$3:$I$56,6,FALSE)+main!$D$59,0)</f>
        <v>0</v>
      </c>
      <c r="AQ217">
        <f>IF((phi!AQ162),VLOOKUP(AQ$1,main!$A$3:$I$56,5,FALSE)-VLOOKUP($A217,main!$A$3:$I$56,6,FALSE)+main!$D$59,0)</f>
        <v>0</v>
      </c>
      <c r="AR217">
        <f>IF((phi!AR162),VLOOKUP(AR$1,main!$A$3:$I$56,5,FALSE)-VLOOKUP($A217,main!$A$3:$I$56,6,FALSE)+main!$D$59,0)</f>
        <v>0</v>
      </c>
      <c r="AS217">
        <f>IF((phi!AS162),VLOOKUP(AS$1,main!$A$3:$I$56,5,FALSE)-VLOOKUP($A217,main!$A$3:$I$56,6,FALSE)+main!$D$59,0)</f>
        <v>0</v>
      </c>
      <c r="AT217">
        <f>IF((phi!AT162),VLOOKUP(AT$1,main!$A$3:$I$56,5,FALSE)-VLOOKUP($A217,main!$A$3:$I$56,6,FALSE)+main!$D$59,0)</f>
        <v>0</v>
      </c>
      <c r="AU217">
        <f>IF((phi!AU162),VLOOKUP(AU$1,main!$A$3:$I$56,5,FALSE)-VLOOKUP($A217,main!$A$3:$I$56,6,FALSE)+main!$D$59,0)</f>
        <v>0</v>
      </c>
      <c r="AV217">
        <f>IF((phi!AV162),VLOOKUP(AV$1,main!$A$3:$I$56,5,FALSE)-VLOOKUP($A217,main!$A$3:$I$56,6,FALSE)+main!$D$59,0)</f>
        <v>0</v>
      </c>
      <c r="AW217">
        <f>IF((phi!AW162),VLOOKUP(AW$1,main!$A$3:$I$56,5,FALSE)-VLOOKUP($A217,main!$A$3:$I$56,6,FALSE)+main!$D$59,0)</f>
        <v>0</v>
      </c>
      <c r="AX217">
        <f>IF((phi!AX162),VLOOKUP(AX$1,main!$A$3:$I$56,5,FALSE)-VLOOKUP($A217,main!$A$3:$I$56,6,FALSE)+main!$D$59,0)</f>
        <v>310</v>
      </c>
      <c r="AY217">
        <f>IF((phi!AY162),VLOOKUP(AY$1,main!$A$3:$I$56,5,FALSE)-VLOOKUP($A217,main!$A$3:$I$56,6,FALSE)+main!$D$59,0)</f>
        <v>510</v>
      </c>
      <c r="AZ217">
        <f>IF((phi!AZ162),VLOOKUP(AZ$1,main!$A$3:$I$56,5,FALSE)-VLOOKUP($A217,main!$A$3:$I$56,6,FALSE)+main!$D$59,0)</f>
        <v>0</v>
      </c>
      <c r="BA217">
        <f>IF((phi!BA162),VLOOKUP(BA$1,main!$A$3:$I$56,5,FALSE)-VLOOKUP($A217,main!$A$3:$I$56,6,FALSE)+main!$D$59,0)</f>
        <v>0</v>
      </c>
      <c r="BB217">
        <f>IF((phi!BB162),VLOOKUP(BB$1,main!$A$3:$I$56,5,FALSE)-VLOOKUP($A217,main!$A$3:$I$56,6,FALSE)+main!$D$59,0)</f>
        <v>0</v>
      </c>
      <c r="BC217">
        <f>IF((phi!BC162),VLOOKUP(BC$1,main!$A$3:$I$56,5,FALSE)-VLOOKUP($A217,main!$A$3:$I$56,6,FALSE)+main!$D$59,0)</f>
        <v>275</v>
      </c>
      <c r="BD217">
        <f>IF((phi!BD162),VLOOKUP(BD$1,main!$A$3:$I$56,5,FALSE)-VLOOKUP($A217,main!$A$3:$I$56,6,FALSE)+main!$D$59,0)</f>
        <v>285</v>
      </c>
    </row>
    <row r="218" spans="1:56" x14ac:dyDescent="0.25">
      <c r="A218">
        <f t="shared" si="5"/>
        <v>51</v>
      </c>
      <c r="B218">
        <v>0</v>
      </c>
      <c r="C218">
        <f>IF((phi!C163),VLOOKUP(C$1,main!$A$3:$I$56,5,FALSE)-VLOOKUP($A218,main!$A$3:$I$56,6,FALSE)+main!$D$59,0)</f>
        <v>0</v>
      </c>
      <c r="D218">
        <f>IF((phi!D163),VLOOKUP(D$1,main!$A$3:$I$56,5,FALSE)-VLOOKUP($A218,main!$A$3:$I$56,6,FALSE)+main!$D$59,0)</f>
        <v>0</v>
      </c>
      <c r="E218">
        <f>IF((phi!E163),VLOOKUP(E$1,main!$A$3:$I$56,5,FALSE)-VLOOKUP($A218,main!$A$3:$I$56,6,FALSE)+main!$D$59,0)</f>
        <v>0</v>
      </c>
      <c r="F218">
        <f>IF((phi!F163),VLOOKUP(F$1,main!$A$3:$I$56,5,FALSE)-VLOOKUP($A218,main!$A$3:$I$56,6,FALSE)+main!$D$59,0)</f>
        <v>0</v>
      </c>
      <c r="G218">
        <f>IF((phi!G163),VLOOKUP(G$1,main!$A$3:$I$56,5,FALSE)-VLOOKUP($A218,main!$A$3:$I$56,6,FALSE)+main!$D$59,0)</f>
        <v>0</v>
      </c>
      <c r="H218">
        <f>IF((phi!H163),VLOOKUP(H$1,main!$A$3:$I$56,5,FALSE)-VLOOKUP($A218,main!$A$3:$I$56,6,FALSE)+main!$D$59,0)</f>
        <v>0</v>
      </c>
      <c r="I218">
        <f>IF((phi!I163),VLOOKUP(I$1,main!$A$3:$I$56,5,FALSE)-VLOOKUP($A218,main!$A$3:$I$56,6,FALSE)+main!$D$59,0)</f>
        <v>265</v>
      </c>
      <c r="J218">
        <f>IF((phi!J163),VLOOKUP(J$1,main!$A$3:$I$56,5,FALSE)-VLOOKUP($A218,main!$A$3:$I$56,6,FALSE)+main!$D$59,0)</f>
        <v>355</v>
      </c>
      <c r="K218">
        <f>IF((phi!K163),VLOOKUP(K$1,main!$A$3:$I$56,5,FALSE)-VLOOKUP($A218,main!$A$3:$I$56,6,FALSE)+main!$D$59,0)</f>
        <v>0</v>
      </c>
      <c r="L218">
        <f>IF((phi!L163),VLOOKUP(L$1,main!$A$3:$I$56,5,FALSE)-VLOOKUP($A218,main!$A$3:$I$56,6,FALSE)+main!$D$59,0)</f>
        <v>0</v>
      </c>
      <c r="M218">
        <f>IF((phi!M163),VLOOKUP(M$1,main!$A$3:$I$56,5,FALSE)-VLOOKUP($A218,main!$A$3:$I$56,6,FALSE)+main!$D$59,0)</f>
        <v>0</v>
      </c>
      <c r="N218">
        <f>IF((phi!N163),VLOOKUP(N$1,main!$A$3:$I$56,5,FALSE)-VLOOKUP($A218,main!$A$3:$I$56,6,FALSE)+main!$D$59,0)</f>
        <v>320</v>
      </c>
      <c r="O218">
        <f>IF((phi!O163),VLOOKUP(O$1,main!$A$3:$I$56,5,FALSE)-VLOOKUP($A218,main!$A$3:$I$56,6,FALSE)+main!$D$59,0)</f>
        <v>380</v>
      </c>
      <c r="P218">
        <f>IF((phi!P163),VLOOKUP(P$1,main!$A$3:$I$56,5,FALSE)-VLOOKUP($A218,main!$A$3:$I$56,6,FALSE)+main!$D$59,0)</f>
        <v>0</v>
      </c>
      <c r="Q218">
        <f>IF((phi!Q163),VLOOKUP(Q$1,main!$A$3:$I$56,5,FALSE)-VLOOKUP($A218,main!$A$3:$I$56,6,FALSE)+main!$D$59,0)</f>
        <v>0</v>
      </c>
      <c r="R218">
        <f>IF((phi!R163),VLOOKUP(R$1,main!$A$3:$I$56,5,FALSE)-VLOOKUP($A218,main!$A$3:$I$56,6,FALSE)+main!$D$59,0)</f>
        <v>0</v>
      </c>
      <c r="S218">
        <f>IF((phi!S163),VLOOKUP(S$1,main!$A$3:$I$56,5,FALSE)-VLOOKUP($A218,main!$A$3:$I$56,6,FALSE)+main!$D$59,0)</f>
        <v>0</v>
      </c>
      <c r="T218">
        <f>IF((phi!T163),VLOOKUP(T$1,main!$A$3:$I$56,5,FALSE)-VLOOKUP($A218,main!$A$3:$I$56,6,FALSE)+main!$D$59,0)</f>
        <v>285</v>
      </c>
      <c r="U218">
        <f>IF((phi!U163),VLOOKUP(U$1,main!$A$3:$I$56,5,FALSE)-VLOOKUP($A218,main!$A$3:$I$56,6,FALSE)+main!$D$59,0)</f>
        <v>0</v>
      </c>
      <c r="V218">
        <f>IF((phi!V163),VLOOKUP(V$1,main!$A$3:$I$56,5,FALSE)-VLOOKUP($A218,main!$A$3:$I$56,6,FALSE)+main!$D$59,0)</f>
        <v>0</v>
      </c>
      <c r="W218">
        <f>IF((phi!W163),VLOOKUP(W$1,main!$A$3:$I$56,5,FALSE)-VLOOKUP($A218,main!$A$3:$I$56,6,FALSE)+main!$D$59,0)</f>
        <v>0</v>
      </c>
      <c r="X218">
        <f>IF((phi!X163),VLOOKUP(X$1,main!$A$3:$I$56,5,FALSE)-VLOOKUP($A218,main!$A$3:$I$56,6,FALSE)+main!$D$59,0)</f>
        <v>0</v>
      </c>
      <c r="Y218">
        <f>IF((phi!Y163),VLOOKUP(Y$1,main!$A$3:$I$56,5,FALSE)-VLOOKUP($A218,main!$A$3:$I$56,6,FALSE)+main!$D$59,0)</f>
        <v>0</v>
      </c>
      <c r="Z218">
        <f>IF((phi!Z163),VLOOKUP(Z$1,main!$A$3:$I$56,5,FALSE)-VLOOKUP($A218,main!$A$3:$I$56,6,FALSE)+main!$D$59,0)</f>
        <v>155</v>
      </c>
      <c r="AA218">
        <f>IF((phi!AA163),VLOOKUP(AA$1,main!$A$3:$I$56,5,FALSE)-VLOOKUP($A218,main!$A$3:$I$56,6,FALSE)+main!$D$59,0)</f>
        <v>245</v>
      </c>
      <c r="AB218">
        <f>IF((phi!AB163),VLOOKUP(AB$1,main!$A$3:$I$56,5,FALSE)-VLOOKUP($A218,main!$A$3:$I$56,6,FALSE)+main!$D$59,0)</f>
        <v>305</v>
      </c>
      <c r="AC218">
        <f>IF((phi!AC163),VLOOKUP(AC$1,main!$A$3:$I$56,5,FALSE)-VLOOKUP($A218,main!$A$3:$I$56,6,FALSE)+main!$D$59,0)</f>
        <v>0</v>
      </c>
      <c r="AD218">
        <f>IF((phi!AD163),VLOOKUP(AD$1,main!$A$3:$I$56,5,FALSE)-VLOOKUP($A218,main!$A$3:$I$56,6,FALSE)+main!$D$59,0)</f>
        <v>0</v>
      </c>
      <c r="AE218">
        <f>IF((phi!AE163),VLOOKUP(AE$1,main!$A$3:$I$56,5,FALSE)-VLOOKUP($A218,main!$A$3:$I$56,6,FALSE)+main!$D$59,0)</f>
        <v>0</v>
      </c>
      <c r="AF218">
        <f>IF((phi!AF163),VLOOKUP(AF$1,main!$A$3:$I$56,5,FALSE)-VLOOKUP($A218,main!$A$3:$I$56,6,FALSE)+main!$D$59,0)</f>
        <v>115</v>
      </c>
      <c r="AG218">
        <f>IF((phi!AG163),VLOOKUP(AG$1,main!$A$3:$I$56,5,FALSE)-VLOOKUP($A218,main!$A$3:$I$56,6,FALSE)+main!$D$59,0)</f>
        <v>0</v>
      </c>
      <c r="AH218">
        <f>IF((phi!AH163),VLOOKUP(AH$1,main!$A$3:$I$56,5,FALSE)-VLOOKUP($A218,main!$A$3:$I$56,6,FALSE)+main!$D$59,0)</f>
        <v>0</v>
      </c>
      <c r="AI218">
        <f>IF((phi!AI163),VLOOKUP(AI$1,main!$A$3:$I$56,5,FALSE)-VLOOKUP($A218,main!$A$3:$I$56,6,FALSE)+main!$D$59,0)</f>
        <v>0</v>
      </c>
      <c r="AJ218">
        <f>IF((phi!AJ163),VLOOKUP(AJ$1,main!$A$3:$I$56,5,FALSE)-VLOOKUP($A218,main!$A$3:$I$56,6,FALSE)+main!$D$59,0)</f>
        <v>0</v>
      </c>
      <c r="AK218">
        <f>IF((phi!AK163),VLOOKUP(AK$1,main!$A$3:$I$56,5,FALSE)-VLOOKUP($A218,main!$A$3:$I$56,6,FALSE)+main!$D$59,0)</f>
        <v>0</v>
      </c>
      <c r="AL218">
        <f>IF((phi!AL163),VLOOKUP(AL$1,main!$A$3:$I$56,5,FALSE)-VLOOKUP($A218,main!$A$3:$I$56,6,FALSE)+main!$D$59,0)</f>
        <v>0</v>
      </c>
      <c r="AM218">
        <f>IF((phi!AM163),VLOOKUP(AM$1,main!$A$3:$I$56,5,FALSE)-VLOOKUP($A218,main!$A$3:$I$56,6,FALSE)+main!$D$59,0)</f>
        <v>0</v>
      </c>
      <c r="AN218">
        <f>IF((phi!AN163),VLOOKUP(AN$1,main!$A$3:$I$56,5,FALSE)-VLOOKUP($A218,main!$A$3:$I$56,6,FALSE)+main!$D$59,0)</f>
        <v>0</v>
      </c>
      <c r="AO218">
        <f>IF((phi!AO163),VLOOKUP(AO$1,main!$A$3:$I$56,5,FALSE)-VLOOKUP($A218,main!$A$3:$I$56,6,FALSE)+main!$D$59,0)</f>
        <v>0</v>
      </c>
      <c r="AP218">
        <f>IF((phi!AP163),VLOOKUP(AP$1,main!$A$3:$I$56,5,FALSE)-VLOOKUP($A218,main!$A$3:$I$56,6,FALSE)+main!$D$59,0)</f>
        <v>0</v>
      </c>
      <c r="AQ218">
        <f>IF((phi!AQ163),VLOOKUP(AQ$1,main!$A$3:$I$56,5,FALSE)-VLOOKUP($A218,main!$A$3:$I$56,6,FALSE)+main!$D$59,0)</f>
        <v>0</v>
      </c>
      <c r="AR218">
        <f>IF((phi!AR163),VLOOKUP(AR$1,main!$A$3:$I$56,5,FALSE)-VLOOKUP($A218,main!$A$3:$I$56,6,FALSE)+main!$D$59,0)</f>
        <v>0</v>
      </c>
      <c r="AS218">
        <f>IF((phi!AS163),VLOOKUP(AS$1,main!$A$3:$I$56,5,FALSE)-VLOOKUP($A218,main!$A$3:$I$56,6,FALSE)+main!$D$59,0)</f>
        <v>0</v>
      </c>
      <c r="AT218">
        <f>IF((phi!AT163),VLOOKUP(AT$1,main!$A$3:$I$56,5,FALSE)-VLOOKUP($A218,main!$A$3:$I$56,6,FALSE)+main!$D$59,0)</f>
        <v>0</v>
      </c>
      <c r="AU218">
        <f>IF((phi!AU163),VLOOKUP(AU$1,main!$A$3:$I$56,5,FALSE)-VLOOKUP($A218,main!$A$3:$I$56,6,FALSE)+main!$D$59,0)</f>
        <v>0</v>
      </c>
      <c r="AV218">
        <f>IF((phi!AV163),VLOOKUP(AV$1,main!$A$3:$I$56,5,FALSE)-VLOOKUP($A218,main!$A$3:$I$56,6,FALSE)+main!$D$59,0)</f>
        <v>0</v>
      </c>
      <c r="AW218">
        <f>IF((phi!AW163),VLOOKUP(AW$1,main!$A$3:$I$56,5,FALSE)-VLOOKUP($A218,main!$A$3:$I$56,6,FALSE)+main!$D$59,0)</f>
        <v>0</v>
      </c>
      <c r="AX218">
        <f>IF((phi!AX163),VLOOKUP(AX$1,main!$A$3:$I$56,5,FALSE)-VLOOKUP($A218,main!$A$3:$I$56,6,FALSE)+main!$D$59,0)</f>
        <v>0</v>
      </c>
      <c r="AY218">
        <f>IF((phi!AY163),VLOOKUP(AY$1,main!$A$3:$I$56,5,FALSE)-VLOOKUP($A218,main!$A$3:$I$56,6,FALSE)+main!$D$59,0)</f>
        <v>365</v>
      </c>
      <c r="AZ218">
        <f>IF((phi!AZ163),VLOOKUP(AZ$1,main!$A$3:$I$56,5,FALSE)-VLOOKUP($A218,main!$A$3:$I$56,6,FALSE)+main!$D$59,0)</f>
        <v>0</v>
      </c>
      <c r="BA218">
        <f>IF((phi!BA163),VLOOKUP(BA$1,main!$A$3:$I$56,5,FALSE)-VLOOKUP($A218,main!$A$3:$I$56,6,FALSE)+main!$D$59,0)</f>
        <v>0</v>
      </c>
      <c r="BB218">
        <f>IF((phi!BB163),VLOOKUP(BB$1,main!$A$3:$I$56,5,FALSE)-VLOOKUP($A218,main!$A$3:$I$56,6,FALSE)+main!$D$59,0)</f>
        <v>0</v>
      </c>
      <c r="BC218">
        <f>IF((phi!BC163),VLOOKUP(BC$1,main!$A$3:$I$56,5,FALSE)-VLOOKUP($A218,main!$A$3:$I$56,6,FALSE)+main!$D$59,0)</f>
        <v>0</v>
      </c>
      <c r="BD218">
        <f>IF((phi!BD163),VLOOKUP(BD$1,main!$A$3:$I$56,5,FALSE)-VLOOKUP($A218,main!$A$3:$I$56,6,FALSE)+main!$D$59,0)</f>
        <v>0</v>
      </c>
    </row>
    <row r="219" spans="1:56" x14ac:dyDescent="0.25">
      <c r="A219">
        <f t="shared" si="5"/>
        <v>52</v>
      </c>
      <c r="B219">
        <v>0</v>
      </c>
      <c r="C219">
        <f>IF((phi!C164),VLOOKUP(C$1,main!$A$3:$I$56,5,FALSE)-VLOOKUP($A219,main!$A$3:$I$56,6,FALSE)+main!$D$59,0)</f>
        <v>0</v>
      </c>
      <c r="D219">
        <f>IF((phi!D164),VLOOKUP(D$1,main!$A$3:$I$56,5,FALSE)-VLOOKUP($A219,main!$A$3:$I$56,6,FALSE)+main!$D$59,0)</f>
        <v>0</v>
      </c>
      <c r="E219">
        <f>IF((phi!E164),VLOOKUP(E$1,main!$A$3:$I$56,5,FALSE)-VLOOKUP($A219,main!$A$3:$I$56,6,FALSE)+main!$D$59,0)</f>
        <v>0</v>
      </c>
      <c r="F219">
        <f>IF((phi!F164),VLOOKUP(F$1,main!$A$3:$I$56,5,FALSE)-VLOOKUP($A219,main!$A$3:$I$56,6,FALSE)+main!$D$59,0)</f>
        <v>0</v>
      </c>
      <c r="G219">
        <f>IF((phi!G164),VLOOKUP(G$1,main!$A$3:$I$56,5,FALSE)-VLOOKUP($A219,main!$A$3:$I$56,6,FALSE)+main!$D$59,0)</f>
        <v>0</v>
      </c>
      <c r="H219">
        <f>IF((phi!H164),VLOOKUP(H$1,main!$A$3:$I$56,5,FALSE)-VLOOKUP($A219,main!$A$3:$I$56,6,FALSE)+main!$D$59,0)</f>
        <v>0</v>
      </c>
      <c r="I219">
        <f>IF((phi!I164),VLOOKUP(I$1,main!$A$3:$I$56,5,FALSE)-VLOOKUP($A219,main!$A$3:$I$56,6,FALSE)+main!$D$59,0)</f>
        <v>250</v>
      </c>
      <c r="J219">
        <f>IF((phi!J164),VLOOKUP(J$1,main!$A$3:$I$56,5,FALSE)-VLOOKUP($A219,main!$A$3:$I$56,6,FALSE)+main!$D$59,0)</f>
        <v>340</v>
      </c>
      <c r="K219">
        <f>IF((phi!K164),VLOOKUP(K$1,main!$A$3:$I$56,5,FALSE)-VLOOKUP($A219,main!$A$3:$I$56,6,FALSE)+main!$D$59,0)</f>
        <v>0</v>
      </c>
      <c r="L219">
        <f>IF((phi!L164),VLOOKUP(L$1,main!$A$3:$I$56,5,FALSE)-VLOOKUP($A219,main!$A$3:$I$56,6,FALSE)+main!$D$59,0)</f>
        <v>0</v>
      </c>
      <c r="M219">
        <f>IF((phi!M164),VLOOKUP(M$1,main!$A$3:$I$56,5,FALSE)-VLOOKUP($A219,main!$A$3:$I$56,6,FALSE)+main!$D$59,0)</f>
        <v>0</v>
      </c>
      <c r="N219">
        <f>IF((phi!N164),VLOOKUP(N$1,main!$A$3:$I$56,5,FALSE)-VLOOKUP($A219,main!$A$3:$I$56,6,FALSE)+main!$D$59,0)</f>
        <v>305</v>
      </c>
      <c r="O219">
        <f>IF((phi!O164),VLOOKUP(O$1,main!$A$3:$I$56,5,FALSE)-VLOOKUP($A219,main!$A$3:$I$56,6,FALSE)+main!$D$59,0)</f>
        <v>365</v>
      </c>
      <c r="P219">
        <f>IF((phi!P164),VLOOKUP(P$1,main!$A$3:$I$56,5,FALSE)-VLOOKUP($A219,main!$A$3:$I$56,6,FALSE)+main!$D$59,0)</f>
        <v>0</v>
      </c>
      <c r="Q219">
        <f>IF((phi!Q164),VLOOKUP(Q$1,main!$A$3:$I$56,5,FALSE)-VLOOKUP($A219,main!$A$3:$I$56,6,FALSE)+main!$D$59,0)</f>
        <v>0</v>
      </c>
      <c r="R219">
        <f>IF((phi!R164),VLOOKUP(R$1,main!$A$3:$I$56,5,FALSE)-VLOOKUP($A219,main!$A$3:$I$56,6,FALSE)+main!$D$59,0)</f>
        <v>0</v>
      </c>
      <c r="S219">
        <f>IF((phi!S164),VLOOKUP(S$1,main!$A$3:$I$56,5,FALSE)-VLOOKUP($A219,main!$A$3:$I$56,6,FALSE)+main!$D$59,0)</f>
        <v>0</v>
      </c>
      <c r="T219">
        <f>IF((phi!T164),VLOOKUP(T$1,main!$A$3:$I$56,5,FALSE)-VLOOKUP($A219,main!$A$3:$I$56,6,FALSE)+main!$D$59,0)</f>
        <v>270</v>
      </c>
      <c r="U219">
        <f>IF((phi!U164),VLOOKUP(U$1,main!$A$3:$I$56,5,FALSE)-VLOOKUP($A219,main!$A$3:$I$56,6,FALSE)+main!$D$59,0)</f>
        <v>0</v>
      </c>
      <c r="V219">
        <f>IF((phi!V164),VLOOKUP(V$1,main!$A$3:$I$56,5,FALSE)-VLOOKUP($A219,main!$A$3:$I$56,6,FALSE)+main!$D$59,0)</f>
        <v>0</v>
      </c>
      <c r="W219">
        <f>IF((phi!W164),VLOOKUP(W$1,main!$A$3:$I$56,5,FALSE)-VLOOKUP($A219,main!$A$3:$I$56,6,FALSE)+main!$D$59,0)</f>
        <v>0</v>
      </c>
      <c r="X219">
        <f>IF((phi!X164),VLOOKUP(X$1,main!$A$3:$I$56,5,FALSE)-VLOOKUP($A219,main!$A$3:$I$56,6,FALSE)+main!$D$59,0)</f>
        <v>0</v>
      </c>
      <c r="Y219">
        <f>IF((phi!Y164),VLOOKUP(Y$1,main!$A$3:$I$56,5,FALSE)-VLOOKUP($A219,main!$A$3:$I$56,6,FALSE)+main!$D$59,0)</f>
        <v>0</v>
      </c>
      <c r="Z219">
        <f>IF((phi!Z164),VLOOKUP(Z$1,main!$A$3:$I$56,5,FALSE)-VLOOKUP($A219,main!$A$3:$I$56,6,FALSE)+main!$D$59,0)</f>
        <v>140</v>
      </c>
      <c r="AA219">
        <f>IF((phi!AA164),VLOOKUP(AA$1,main!$A$3:$I$56,5,FALSE)-VLOOKUP($A219,main!$A$3:$I$56,6,FALSE)+main!$D$59,0)</f>
        <v>230</v>
      </c>
      <c r="AB219">
        <f>IF((phi!AB164),VLOOKUP(AB$1,main!$A$3:$I$56,5,FALSE)-VLOOKUP($A219,main!$A$3:$I$56,6,FALSE)+main!$D$59,0)</f>
        <v>290</v>
      </c>
      <c r="AC219">
        <f>IF((phi!AC164),VLOOKUP(AC$1,main!$A$3:$I$56,5,FALSE)-VLOOKUP($A219,main!$A$3:$I$56,6,FALSE)+main!$D$59,0)</f>
        <v>0</v>
      </c>
      <c r="AD219">
        <f>IF((phi!AD164),VLOOKUP(AD$1,main!$A$3:$I$56,5,FALSE)-VLOOKUP($A219,main!$A$3:$I$56,6,FALSE)+main!$D$59,0)</f>
        <v>0</v>
      </c>
      <c r="AE219">
        <f>IF((phi!AE164),VLOOKUP(AE$1,main!$A$3:$I$56,5,FALSE)-VLOOKUP($A219,main!$A$3:$I$56,6,FALSE)+main!$D$59,0)</f>
        <v>0</v>
      </c>
      <c r="AF219">
        <f>IF((phi!AF164),VLOOKUP(AF$1,main!$A$3:$I$56,5,FALSE)-VLOOKUP($A219,main!$A$3:$I$56,6,FALSE)+main!$D$59,0)</f>
        <v>0</v>
      </c>
      <c r="AG219">
        <f>IF((phi!AG164),VLOOKUP(AG$1,main!$A$3:$I$56,5,FALSE)-VLOOKUP($A219,main!$A$3:$I$56,6,FALSE)+main!$D$59,0)</f>
        <v>0</v>
      </c>
      <c r="AH219">
        <f>IF((phi!AH164),VLOOKUP(AH$1,main!$A$3:$I$56,5,FALSE)-VLOOKUP($A219,main!$A$3:$I$56,6,FALSE)+main!$D$59,0)</f>
        <v>0</v>
      </c>
      <c r="AI219">
        <f>IF((phi!AI164),VLOOKUP(AI$1,main!$A$3:$I$56,5,FALSE)-VLOOKUP($A219,main!$A$3:$I$56,6,FALSE)+main!$D$59,0)</f>
        <v>0</v>
      </c>
      <c r="AJ219">
        <f>IF((phi!AJ164),VLOOKUP(AJ$1,main!$A$3:$I$56,5,FALSE)-VLOOKUP($A219,main!$A$3:$I$56,6,FALSE)+main!$D$59,0)</f>
        <v>0</v>
      </c>
      <c r="AK219">
        <f>IF((phi!AK164),VLOOKUP(AK$1,main!$A$3:$I$56,5,FALSE)-VLOOKUP($A219,main!$A$3:$I$56,6,FALSE)+main!$D$59,0)</f>
        <v>0</v>
      </c>
      <c r="AL219">
        <f>IF((phi!AL164),VLOOKUP(AL$1,main!$A$3:$I$56,5,FALSE)-VLOOKUP($A219,main!$A$3:$I$56,6,FALSE)+main!$D$59,0)</f>
        <v>0</v>
      </c>
      <c r="AM219">
        <f>IF((phi!AM164),VLOOKUP(AM$1,main!$A$3:$I$56,5,FALSE)-VLOOKUP($A219,main!$A$3:$I$56,6,FALSE)+main!$D$59,0)</f>
        <v>0</v>
      </c>
      <c r="AN219">
        <f>IF((phi!AN164),VLOOKUP(AN$1,main!$A$3:$I$56,5,FALSE)-VLOOKUP($A219,main!$A$3:$I$56,6,FALSE)+main!$D$59,0)</f>
        <v>0</v>
      </c>
      <c r="AO219">
        <f>IF((phi!AO164),VLOOKUP(AO$1,main!$A$3:$I$56,5,FALSE)-VLOOKUP($A219,main!$A$3:$I$56,6,FALSE)+main!$D$59,0)</f>
        <v>0</v>
      </c>
      <c r="AP219">
        <f>IF((phi!AP164),VLOOKUP(AP$1,main!$A$3:$I$56,5,FALSE)-VLOOKUP($A219,main!$A$3:$I$56,6,FALSE)+main!$D$59,0)</f>
        <v>0</v>
      </c>
      <c r="AQ219">
        <f>IF((phi!AQ164),VLOOKUP(AQ$1,main!$A$3:$I$56,5,FALSE)-VLOOKUP($A219,main!$A$3:$I$56,6,FALSE)+main!$D$59,0)</f>
        <v>0</v>
      </c>
      <c r="AR219">
        <f>IF((phi!AR164),VLOOKUP(AR$1,main!$A$3:$I$56,5,FALSE)-VLOOKUP($A219,main!$A$3:$I$56,6,FALSE)+main!$D$59,0)</f>
        <v>0</v>
      </c>
      <c r="AS219">
        <f>IF((phi!AS164),VLOOKUP(AS$1,main!$A$3:$I$56,5,FALSE)-VLOOKUP($A219,main!$A$3:$I$56,6,FALSE)+main!$D$59,0)</f>
        <v>0</v>
      </c>
      <c r="AT219">
        <f>IF((phi!AT164),VLOOKUP(AT$1,main!$A$3:$I$56,5,FALSE)-VLOOKUP($A219,main!$A$3:$I$56,6,FALSE)+main!$D$59,0)</f>
        <v>0</v>
      </c>
      <c r="AU219">
        <f>IF((phi!AU164),VLOOKUP(AU$1,main!$A$3:$I$56,5,FALSE)-VLOOKUP($A219,main!$A$3:$I$56,6,FALSE)+main!$D$59,0)</f>
        <v>0</v>
      </c>
      <c r="AV219">
        <f>IF((phi!AV164),VLOOKUP(AV$1,main!$A$3:$I$56,5,FALSE)-VLOOKUP($A219,main!$A$3:$I$56,6,FALSE)+main!$D$59,0)</f>
        <v>0</v>
      </c>
      <c r="AW219">
        <f>IF((phi!AW164),VLOOKUP(AW$1,main!$A$3:$I$56,5,FALSE)-VLOOKUP($A219,main!$A$3:$I$56,6,FALSE)+main!$D$59,0)</f>
        <v>0</v>
      </c>
      <c r="AX219">
        <f>IF((phi!AX164),VLOOKUP(AX$1,main!$A$3:$I$56,5,FALSE)-VLOOKUP($A219,main!$A$3:$I$56,6,FALSE)+main!$D$59,0)</f>
        <v>0</v>
      </c>
      <c r="AY219">
        <f>IF((phi!AY164),VLOOKUP(AY$1,main!$A$3:$I$56,5,FALSE)-VLOOKUP($A219,main!$A$3:$I$56,6,FALSE)+main!$D$59,0)</f>
        <v>350</v>
      </c>
      <c r="AZ219">
        <f>IF((phi!AZ164),VLOOKUP(AZ$1,main!$A$3:$I$56,5,FALSE)-VLOOKUP($A219,main!$A$3:$I$56,6,FALSE)+main!$D$59,0)</f>
        <v>0</v>
      </c>
      <c r="BA219">
        <f>IF((phi!BA164),VLOOKUP(BA$1,main!$A$3:$I$56,5,FALSE)-VLOOKUP($A219,main!$A$3:$I$56,6,FALSE)+main!$D$59,0)</f>
        <v>0</v>
      </c>
      <c r="BB219">
        <f>IF((phi!BB164),VLOOKUP(BB$1,main!$A$3:$I$56,5,FALSE)-VLOOKUP($A219,main!$A$3:$I$56,6,FALSE)+main!$D$59,0)</f>
        <v>0</v>
      </c>
      <c r="BC219">
        <f>IF((phi!BC164),VLOOKUP(BC$1,main!$A$3:$I$56,5,FALSE)-VLOOKUP($A219,main!$A$3:$I$56,6,FALSE)+main!$D$59,0)</f>
        <v>0</v>
      </c>
      <c r="BD219">
        <f>IF((phi!BD164),VLOOKUP(BD$1,main!$A$3:$I$56,5,FALSE)-VLOOKUP($A219,main!$A$3:$I$56,6,FALSE)+main!$D$59,0)</f>
        <v>0</v>
      </c>
    </row>
    <row r="220" spans="1:56" x14ac:dyDescent="0.25">
      <c r="A220">
        <f t="shared" si="5"/>
        <v>53</v>
      </c>
      <c r="B220">
        <v>0</v>
      </c>
      <c r="C220">
        <f>IF((phi!C165),VLOOKUP(C$1,main!$A$3:$I$56,5,FALSE)-VLOOKUP($A220,main!$A$3:$I$56,6,FALSE)+main!$D$59,0)</f>
        <v>0</v>
      </c>
      <c r="D220">
        <f>IF((phi!D165),VLOOKUP(D$1,main!$A$3:$I$56,5,FALSE)-VLOOKUP($A220,main!$A$3:$I$56,6,FALSE)+main!$D$59,0)</f>
        <v>0</v>
      </c>
      <c r="E220">
        <f>IF((phi!E165),VLOOKUP(E$1,main!$A$3:$I$56,5,FALSE)-VLOOKUP($A220,main!$A$3:$I$56,6,FALSE)+main!$D$59,0)</f>
        <v>0</v>
      </c>
      <c r="F220">
        <f>IF((phi!F165),VLOOKUP(F$1,main!$A$3:$I$56,5,FALSE)-VLOOKUP($A220,main!$A$3:$I$56,6,FALSE)+main!$D$59,0)</f>
        <v>0</v>
      </c>
      <c r="G220">
        <f>IF((phi!G165),VLOOKUP(G$1,main!$A$3:$I$56,5,FALSE)-VLOOKUP($A220,main!$A$3:$I$56,6,FALSE)+main!$D$59,0)</f>
        <v>0</v>
      </c>
      <c r="H220">
        <f>IF((phi!H165),VLOOKUP(H$1,main!$A$3:$I$56,5,FALSE)-VLOOKUP($A220,main!$A$3:$I$56,6,FALSE)+main!$D$59,0)</f>
        <v>0</v>
      </c>
      <c r="I220">
        <f>IF((phi!I165),VLOOKUP(I$1,main!$A$3:$I$56,5,FALSE)-VLOOKUP($A220,main!$A$3:$I$56,6,FALSE)+main!$D$59,0)</f>
        <v>0</v>
      </c>
      <c r="J220">
        <f>IF((phi!J165),VLOOKUP(J$1,main!$A$3:$I$56,5,FALSE)-VLOOKUP($A220,main!$A$3:$I$56,6,FALSE)+main!$D$59,0)</f>
        <v>0</v>
      </c>
      <c r="K220">
        <f>IF((phi!K165),VLOOKUP(K$1,main!$A$3:$I$56,5,FALSE)-VLOOKUP($A220,main!$A$3:$I$56,6,FALSE)+main!$D$59,0)</f>
        <v>0</v>
      </c>
      <c r="L220">
        <f>IF((phi!L165),VLOOKUP(L$1,main!$A$3:$I$56,5,FALSE)-VLOOKUP($A220,main!$A$3:$I$56,6,FALSE)+main!$D$59,0)</f>
        <v>0</v>
      </c>
      <c r="M220">
        <f>IF((phi!M165),VLOOKUP(M$1,main!$A$3:$I$56,5,FALSE)-VLOOKUP($A220,main!$A$3:$I$56,6,FALSE)+main!$D$59,0)</f>
        <v>0</v>
      </c>
      <c r="N220">
        <f>IF((phi!N165),VLOOKUP(N$1,main!$A$3:$I$56,5,FALSE)-VLOOKUP($A220,main!$A$3:$I$56,6,FALSE)+main!$D$59,0)</f>
        <v>0</v>
      </c>
      <c r="O220">
        <f>IF((phi!O165),VLOOKUP(O$1,main!$A$3:$I$56,5,FALSE)-VLOOKUP($A220,main!$A$3:$I$56,6,FALSE)+main!$D$59,0)</f>
        <v>0</v>
      </c>
      <c r="P220">
        <f>IF((phi!P165),VLOOKUP(P$1,main!$A$3:$I$56,5,FALSE)-VLOOKUP($A220,main!$A$3:$I$56,6,FALSE)+main!$D$59,0)</f>
        <v>0</v>
      </c>
      <c r="Q220">
        <f>IF((phi!Q165),VLOOKUP(Q$1,main!$A$3:$I$56,5,FALSE)-VLOOKUP($A220,main!$A$3:$I$56,6,FALSE)+main!$D$59,0)</f>
        <v>0</v>
      </c>
      <c r="R220">
        <f>IF((phi!R165),VLOOKUP(R$1,main!$A$3:$I$56,5,FALSE)-VLOOKUP($A220,main!$A$3:$I$56,6,FALSE)+main!$D$59,0)</f>
        <v>0</v>
      </c>
      <c r="S220">
        <f>IF((phi!S165),VLOOKUP(S$1,main!$A$3:$I$56,5,FALSE)-VLOOKUP($A220,main!$A$3:$I$56,6,FALSE)+main!$D$59,0)</f>
        <v>0</v>
      </c>
      <c r="T220">
        <f>IF((phi!T165),VLOOKUP(T$1,main!$A$3:$I$56,5,FALSE)-VLOOKUP($A220,main!$A$3:$I$56,6,FALSE)+main!$D$59,0)</f>
        <v>0</v>
      </c>
      <c r="U220">
        <f>IF((phi!U165),VLOOKUP(U$1,main!$A$3:$I$56,5,FALSE)-VLOOKUP($A220,main!$A$3:$I$56,6,FALSE)+main!$D$59,0)</f>
        <v>0</v>
      </c>
      <c r="V220">
        <f>IF((phi!V165),VLOOKUP(V$1,main!$A$3:$I$56,5,FALSE)-VLOOKUP($A220,main!$A$3:$I$56,6,FALSE)+main!$D$59,0)</f>
        <v>0</v>
      </c>
      <c r="W220">
        <f>IF((phi!W165),VLOOKUP(W$1,main!$A$3:$I$56,5,FALSE)-VLOOKUP($A220,main!$A$3:$I$56,6,FALSE)+main!$D$59,0)</f>
        <v>0</v>
      </c>
      <c r="X220">
        <f>IF((phi!X165),VLOOKUP(X$1,main!$A$3:$I$56,5,FALSE)-VLOOKUP($A220,main!$A$3:$I$56,6,FALSE)+main!$D$59,0)</f>
        <v>0</v>
      </c>
      <c r="Y220">
        <f>IF((phi!Y165),VLOOKUP(Y$1,main!$A$3:$I$56,5,FALSE)-VLOOKUP($A220,main!$A$3:$I$56,6,FALSE)+main!$D$59,0)</f>
        <v>0</v>
      </c>
      <c r="Z220">
        <f>IF((phi!Z165),VLOOKUP(Z$1,main!$A$3:$I$56,5,FALSE)-VLOOKUP($A220,main!$A$3:$I$56,6,FALSE)+main!$D$59,0)</f>
        <v>0</v>
      </c>
      <c r="AA220">
        <f>IF((phi!AA165),VLOOKUP(AA$1,main!$A$3:$I$56,5,FALSE)-VLOOKUP($A220,main!$A$3:$I$56,6,FALSE)+main!$D$59,0)</f>
        <v>0</v>
      </c>
      <c r="AB220">
        <f>IF((phi!AB165),VLOOKUP(AB$1,main!$A$3:$I$56,5,FALSE)-VLOOKUP($A220,main!$A$3:$I$56,6,FALSE)+main!$D$59,0)</f>
        <v>0</v>
      </c>
      <c r="AC220">
        <f>IF((phi!AC165),VLOOKUP(AC$1,main!$A$3:$I$56,5,FALSE)-VLOOKUP($A220,main!$A$3:$I$56,6,FALSE)+main!$D$59,0)</f>
        <v>0</v>
      </c>
      <c r="AD220">
        <f>IF((phi!AD165),VLOOKUP(AD$1,main!$A$3:$I$56,5,FALSE)-VLOOKUP($A220,main!$A$3:$I$56,6,FALSE)+main!$D$59,0)</f>
        <v>0</v>
      </c>
      <c r="AE220">
        <f>IF((phi!AE165),VLOOKUP(AE$1,main!$A$3:$I$56,5,FALSE)-VLOOKUP($A220,main!$A$3:$I$56,6,FALSE)+main!$D$59,0)</f>
        <v>0</v>
      </c>
      <c r="AF220">
        <f>IF((phi!AF165),VLOOKUP(AF$1,main!$A$3:$I$56,5,FALSE)-VLOOKUP($A220,main!$A$3:$I$56,6,FALSE)+main!$D$59,0)</f>
        <v>0</v>
      </c>
      <c r="AG220">
        <f>IF((phi!AG165),VLOOKUP(AG$1,main!$A$3:$I$56,5,FALSE)-VLOOKUP($A220,main!$A$3:$I$56,6,FALSE)+main!$D$59,0)</f>
        <v>0</v>
      </c>
      <c r="AH220">
        <f>IF((phi!AH165),VLOOKUP(AH$1,main!$A$3:$I$56,5,FALSE)-VLOOKUP($A220,main!$A$3:$I$56,6,FALSE)+main!$D$59,0)</f>
        <v>0</v>
      </c>
      <c r="AI220">
        <f>IF((phi!AI165),VLOOKUP(AI$1,main!$A$3:$I$56,5,FALSE)-VLOOKUP($A220,main!$A$3:$I$56,6,FALSE)+main!$D$59,0)</f>
        <v>0</v>
      </c>
      <c r="AJ220">
        <f>IF((phi!AJ165),VLOOKUP(AJ$1,main!$A$3:$I$56,5,FALSE)-VLOOKUP($A220,main!$A$3:$I$56,6,FALSE)+main!$D$59,0)</f>
        <v>0</v>
      </c>
      <c r="AK220">
        <f>IF((phi!AK165),VLOOKUP(AK$1,main!$A$3:$I$56,5,FALSE)-VLOOKUP($A220,main!$A$3:$I$56,6,FALSE)+main!$D$59,0)</f>
        <v>0</v>
      </c>
      <c r="AL220">
        <f>IF((phi!AL165),VLOOKUP(AL$1,main!$A$3:$I$56,5,FALSE)-VLOOKUP($A220,main!$A$3:$I$56,6,FALSE)+main!$D$59,0)</f>
        <v>0</v>
      </c>
      <c r="AM220">
        <f>IF((phi!AM165),VLOOKUP(AM$1,main!$A$3:$I$56,5,FALSE)-VLOOKUP($A220,main!$A$3:$I$56,6,FALSE)+main!$D$59,0)</f>
        <v>0</v>
      </c>
      <c r="AN220">
        <f>IF((phi!AN165),VLOOKUP(AN$1,main!$A$3:$I$56,5,FALSE)-VLOOKUP($A220,main!$A$3:$I$56,6,FALSE)+main!$D$59,0)</f>
        <v>0</v>
      </c>
      <c r="AO220">
        <f>IF((phi!AO165),VLOOKUP(AO$1,main!$A$3:$I$56,5,FALSE)-VLOOKUP($A220,main!$A$3:$I$56,6,FALSE)+main!$D$59,0)</f>
        <v>0</v>
      </c>
      <c r="AP220">
        <f>IF((phi!AP165),VLOOKUP(AP$1,main!$A$3:$I$56,5,FALSE)-VLOOKUP($A220,main!$A$3:$I$56,6,FALSE)+main!$D$59,0)</f>
        <v>0</v>
      </c>
      <c r="AQ220">
        <f>IF((phi!AQ165),VLOOKUP(AQ$1,main!$A$3:$I$56,5,FALSE)-VLOOKUP($A220,main!$A$3:$I$56,6,FALSE)+main!$D$59,0)</f>
        <v>0</v>
      </c>
      <c r="AR220">
        <f>IF((phi!AR165),VLOOKUP(AR$1,main!$A$3:$I$56,5,FALSE)-VLOOKUP($A220,main!$A$3:$I$56,6,FALSE)+main!$D$59,0)</f>
        <v>0</v>
      </c>
      <c r="AS220">
        <f>IF((phi!AS165),VLOOKUP(AS$1,main!$A$3:$I$56,5,FALSE)-VLOOKUP($A220,main!$A$3:$I$56,6,FALSE)+main!$D$59,0)</f>
        <v>0</v>
      </c>
      <c r="AT220">
        <f>IF((phi!AT165),VLOOKUP(AT$1,main!$A$3:$I$56,5,FALSE)-VLOOKUP($A220,main!$A$3:$I$56,6,FALSE)+main!$D$59,0)</f>
        <v>0</v>
      </c>
      <c r="AU220">
        <f>IF((phi!AU165),VLOOKUP(AU$1,main!$A$3:$I$56,5,FALSE)-VLOOKUP($A220,main!$A$3:$I$56,6,FALSE)+main!$D$59,0)</f>
        <v>0</v>
      </c>
      <c r="AV220">
        <f>IF((phi!AV165),VLOOKUP(AV$1,main!$A$3:$I$56,5,FALSE)-VLOOKUP($A220,main!$A$3:$I$56,6,FALSE)+main!$D$59,0)</f>
        <v>0</v>
      </c>
      <c r="AW220">
        <f>IF((phi!AW165),VLOOKUP(AW$1,main!$A$3:$I$56,5,FALSE)-VLOOKUP($A220,main!$A$3:$I$56,6,FALSE)+main!$D$59,0)</f>
        <v>0</v>
      </c>
      <c r="AX220">
        <f>IF((phi!AX165),VLOOKUP(AX$1,main!$A$3:$I$56,5,FALSE)-VLOOKUP($A220,main!$A$3:$I$56,6,FALSE)+main!$D$59,0)</f>
        <v>0</v>
      </c>
      <c r="AY220">
        <f>IF((phi!AY165),VLOOKUP(AY$1,main!$A$3:$I$56,5,FALSE)-VLOOKUP($A220,main!$A$3:$I$56,6,FALSE)+main!$D$59,0)</f>
        <v>0</v>
      </c>
      <c r="AZ220">
        <f>IF((phi!AZ165),VLOOKUP(AZ$1,main!$A$3:$I$56,5,FALSE)-VLOOKUP($A220,main!$A$3:$I$56,6,FALSE)+main!$D$59,0)</f>
        <v>0</v>
      </c>
      <c r="BA220">
        <f>IF((phi!BA165),VLOOKUP(BA$1,main!$A$3:$I$56,5,FALSE)-VLOOKUP($A220,main!$A$3:$I$56,6,FALSE)+main!$D$59,0)</f>
        <v>0</v>
      </c>
      <c r="BB220">
        <f>IF((phi!BB165),VLOOKUP(BB$1,main!$A$3:$I$56,5,FALSE)-VLOOKUP($A220,main!$A$3:$I$56,6,FALSE)+main!$D$59,0)</f>
        <v>0</v>
      </c>
      <c r="BC220">
        <f>IF((phi!BC165),VLOOKUP(BC$1,main!$A$3:$I$56,5,FALSE)-VLOOKUP($A220,main!$A$3:$I$56,6,FALSE)+main!$D$59,0)</f>
        <v>0</v>
      </c>
      <c r="BD220">
        <f>IF((phi!BD165),VLOOKUP(BD$1,main!$A$3:$I$56,5,FALSE)-VLOOKUP($A220,main!$A$3:$I$56,6,FALSE)+main!$D$59,0)</f>
        <v>0</v>
      </c>
    </row>
    <row r="221" spans="1:56" x14ac:dyDescent="0.25">
      <c r="A221">
        <f t="shared" si="5"/>
        <v>54</v>
      </c>
      <c r="B221">
        <v>0</v>
      </c>
      <c r="C221">
        <f>IF((phi!C166),VLOOKUP(C$1,main!$A$3:$I$56,5,FALSE)-VLOOKUP($A221,main!$A$3:$I$56,6,FALSE)+main!$D$59,0)</f>
        <v>0</v>
      </c>
      <c r="D221">
        <f>IF((phi!D166),VLOOKUP(D$1,main!$A$3:$I$56,5,FALSE)-VLOOKUP($A221,main!$A$3:$I$56,6,FALSE)+main!$D$59,0)</f>
        <v>0</v>
      </c>
      <c r="E221">
        <f>IF((phi!E166),VLOOKUP(E$1,main!$A$3:$I$56,5,FALSE)-VLOOKUP($A221,main!$A$3:$I$56,6,FALSE)+main!$D$59,0)</f>
        <v>0</v>
      </c>
      <c r="F221">
        <f>IF((phi!F166),VLOOKUP(F$1,main!$A$3:$I$56,5,FALSE)-VLOOKUP($A221,main!$A$3:$I$56,6,FALSE)+main!$D$59,0)</f>
        <v>0</v>
      </c>
      <c r="G221">
        <f>IF((phi!G166),VLOOKUP(G$1,main!$A$3:$I$56,5,FALSE)-VLOOKUP($A221,main!$A$3:$I$56,6,FALSE)+main!$D$59,0)</f>
        <v>0</v>
      </c>
      <c r="H221">
        <f>IF((phi!H166),VLOOKUP(H$1,main!$A$3:$I$56,5,FALSE)-VLOOKUP($A221,main!$A$3:$I$56,6,FALSE)+main!$D$59,0)</f>
        <v>0</v>
      </c>
      <c r="I221">
        <f>IF((phi!I166),VLOOKUP(I$1,main!$A$3:$I$56,5,FALSE)-VLOOKUP($A221,main!$A$3:$I$56,6,FALSE)+main!$D$59,0)</f>
        <v>0</v>
      </c>
      <c r="J221">
        <f>IF((phi!J166),VLOOKUP(J$1,main!$A$3:$I$56,5,FALSE)-VLOOKUP($A221,main!$A$3:$I$56,6,FALSE)+main!$D$59,0)</f>
        <v>0</v>
      </c>
      <c r="K221">
        <f>IF((phi!K166),VLOOKUP(K$1,main!$A$3:$I$56,5,FALSE)-VLOOKUP($A221,main!$A$3:$I$56,6,FALSE)+main!$D$59,0)</f>
        <v>0</v>
      </c>
      <c r="L221">
        <f>IF((phi!L166),VLOOKUP(L$1,main!$A$3:$I$56,5,FALSE)-VLOOKUP($A221,main!$A$3:$I$56,6,FALSE)+main!$D$59,0)</f>
        <v>0</v>
      </c>
      <c r="M221">
        <f>IF((phi!M166),VLOOKUP(M$1,main!$A$3:$I$56,5,FALSE)-VLOOKUP($A221,main!$A$3:$I$56,6,FALSE)+main!$D$59,0)</f>
        <v>0</v>
      </c>
      <c r="N221">
        <f>IF((phi!N166),VLOOKUP(N$1,main!$A$3:$I$56,5,FALSE)-VLOOKUP($A221,main!$A$3:$I$56,6,FALSE)+main!$D$59,0)</f>
        <v>0</v>
      </c>
      <c r="O221">
        <f>IF((phi!O166),VLOOKUP(O$1,main!$A$3:$I$56,5,FALSE)-VLOOKUP($A221,main!$A$3:$I$56,6,FALSE)+main!$D$59,0)</f>
        <v>0</v>
      </c>
      <c r="P221">
        <f>IF((phi!P166),VLOOKUP(P$1,main!$A$3:$I$56,5,FALSE)-VLOOKUP($A221,main!$A$3:$I$56,6,FALSE)+main!$D$59,0)</f>
        <v>0</v>
      </c>
      <c r="Q221">
        <f>IF((phi!Q166),VLOOKUP(Q$1,main!$A$3:$I$56,5,FALSE)-VLOOKUP($A221,main!$A$3:$I$56,6,FALSE)+main!$D$59,0)</f>
        <v>0</v>
      </c>
      <c r="R221">
        <f>IF((phi!R166),VLOOKUP(R$1,main!$A$3:$I$56,5,FALSE)-VLOOKUP($A221,main!$A$3:$I$56,6,FALSE)+main!$D$59,0)</f>
        <v>0</v>
      </c>
      <c r="S221">
        <f>IF((phi!S166),VLOOKUP(S$1,main!$A$3:$I$56,5,FALSE)-VLOOKUP($A221,main!$A$3:$I$56,6,FALSE)+main!$D$59,0)</f>
        <v>0</v>
      </c>
      <c r="T221">
        <f>IF((phi!T166),VLOOKUP(T$1,main!$A$3:$I$56,5,FALSE)-VLOOKUP($A221,main!$A$3:$I$56,6,FALSE)+main!$D$59,0)</f>
        <v>0</v>
      </c>
      <c r="U221">
        <f>IF((phi!U166),VLOOKUP(U$1,main!$A$3:$I$56,5,FALSE)-VLOOKUP($A221,main!$A$3:$I$56,6,FALSE)+main!$D$59,0)</f>
        <v>0</v>
      </c>
      <c r="V221">
        <f>IF((phi!V166),VLOOKUP(V$1,main!$A$3:$I$56,5,FALSE)-VLOOKUP($A221,main!$A$3:$I$56,6,FALSE)+main!$D$59,0)</f>
        <v>0</v>
      </c>
      <c r="W221">
        <f>IF((phi!W166),VLOOKUP(W$1,main!$A$3:$I$56,5,FALSE)-VLOOKUP($A221,main!$A$3:$I$56,6,FALSE)+main!$D$59,0)</f>
        <v>0</v>
      </c>
      <c r="X221">
        <f>IF((phi!X166),VLOOKUP(X$1,main!$A$3:$I$56,5,FALSE)-VLOOKUP($A221,main!$A$3:$I$56,6,FALSE)+main!$D$59,0)</f>
        <v>0</v>
      </c>
      <c r="Y221">
        <f>IF((phi!Y166),VLOOKUP(Y$1,main!$A$3:$I$56,5,FALSE)-VLOOKUP($A221,main!$A$3:$I$56,6,FALSE)+main!$D$59,0)</f>
        <v>0</v>
      </c>
      <c r="Z221">
        <f>IF((phi!Z166),VLOOKUP(Z$1,main!$A$3:$I$56,5,FALSE)-VLOOKUP($A221,main!$A$3:$I$56,6,FALSE)+main!$D$59,0)</f>
        <v>0</v>
      </c>
      <c r="AA221">
        <f>IF((phi!AA166),VLOOKUP(AA$1,main!$A$3:$I$56,5,FALSE)-VLOOKUP($A221,main!$A$3:$I$56,6,FALSE)+main!$D$59,0)</f>
        <v>0</v>
      </c>
      <c r="AB221">
        <f>IF((phi!AB166),VLOOKUP(AB$1,main!$A$3:$I$56,5,FALSE)-VLOOKUP($A221,main!$A$3:$I$56,6,FALSE)+main!$D$59,0)</f>
        <v>0</v>
      </c>
      <c r="AC221">
        <f>IF((phi!AC166),VLOOKUP(AC$1,main!$A$3:$I$56,5,FALSE)-VLOOKUP($A221,main!$A$3:$I$56,6,FALSE)+main!$D$59,0)</f>
        <v>0</v>
      </c>
      <c r="AD221">
        <f>IF((phi!AD166),VLOOKUP(AD$1,main!$A$3:$I$56,5,FALSE)-VLOOKUP($A221,main!$A$3:$I$56,6,FALSE)+main!$D$59,0)</f>
        <v>0</v>
      </c>
      <c r="AE221">
        <f>IF((phi!AE166),VLOOKUP(AE$1,main!$A$3:$I$56,5,FALSE)-VLOOKUP($A221,main!$A$3:$I$56,6,FALSE)+main!$D$59,0)</f>
        <v>0</v>
      </c>
      <c r="AF221">
        <f>IF((phi!AF166),VLOOKUP(AF$1,main!$A$3:$I$56,5,FALSE)-VLOOKUP($A221,main!$A$3:$I$56,6,FALSE)+main!$D$59,0)</f>
        <v>0</v>
      </c>
      <c r="AG221">
        <f>IF((phi!AG166),VLOOKUP(AG$1,main!$A$3:$I$56,5,FALSE)-VLOOKUP($A221,main!$A$3:$I$56,6,FALSE)+main!$D$59,0)</f>
        <v>0</v>
      </c>
      <c r="AH221">
        <f>IF((phi!AH166),VLOOKUP(AH$1,main!$A$3:$I$56,5,FALSE)-VLOOKUP($A221,main!$A$3:$I$56,6,FALSE)+main!$D$59,0)</f>
        <v>0</v>
      </c>
      <c r="AI221">
        <f>IF((phi!AI166),VLOOKUP(AI$1,main!$A$3:$I$56,5,FALSE)-VLOOKUP($A221,main!$A$3:$I$56,6,FALSE)+main!$D$59,0)</f>
        <v>0</v>
      </c>
      <c r="AJ221">
        <f>IF((phi!AJ166),VLOOKUP(AJ$1,main!$A$3:$I$56,5,FALSE)-VLOOKUP($A221,main!$A$3:$I$56,6,FALSE)+main!$D$59,0)</f>
        <v>0</v>
      </c>
      <c r="AK221">
        <f>IF((phi!AK166),VLOOKUP(AK$1,main!$A$3:$I$56,5,FALSE)-VLOOKUP($A221,main!$A$3:$I$56,6,FALSE)+main!$D$59,0)</f>
        <v>0</v>
      </c>
      <c r="AL221">
        <f>IF((phi!AL166),VLOOKUP(AL$1,main!$A$3:$I$56,5,FALSE)-VLOOKUP($A221,main!$A$3:$I$56,6,FALSE)+main!$D$59,0)</f>
        <v>0</v>
      </c>
      <c r="AM221">
        <f>IF((phi!AM166),VLOOKUP(AM$1,main!$A$3:$I$56,5,FALSE)-VLOOKUP($A221,main!$A$3:$I$56,6,FALSE)+main!$D$59,0)</f>
        <v>0</v>
      </c>
      <c r="AN221">
        <f>IF((phi!AN166),VLOOKUP(AN$1,main!$A$3:$I$56,5,FALSE)-VLOOKUP($A221,main!$A$3:$I$56,6,FALSE)+main!$D$59,0)</f>
        <v>0</v>
      </c>
      <c r="AO221">
        <f>IF((phi!AO166),VLOOKUP(AO$1,main!$A$3:$I$56,5,FALSE)-VLOOKUP($A221,main!$A$3:$I$56,6,FALSE)+main!$D$59,0)</f>
        <v>0</v>
      </c>
      <c r="AP221">
        <f>IF((phi!AP166),VLOOKUP(AP$1,main!$A$3:$I$56,5,FALSE)-VLOOKUP($A221,main!$A$3:$I$56,6,FALSE)+main!$D$59,0)</f>
        <v>0</v>
      </c>
      <c r="AQ221">
        <f>IF((phi!AQ166),VLOOKUP(AQ$1,main!$A$3:$I$56,5,FALSE)-VLOOKUP($A221,main!$A$3:$I$56,6,FALSE)+main!$D$59,0)</f>
        <v>0</v>
      </c>
      <c r="AR221">
        <f>IF((phi!AR166),VLOOKUP(AR$1,main!$A$3:$I$56,5,FALSE)-VLOOKUP($A221,main!$A$3:$I$56,6,FALSE)+main!$D$59,0)</f>
        <v>0</v>
      </c>
      <c r="AS221">
        <f>IF((phi!AS166),VLOOKUP(AS$1,main!$A$3:$I$56,5,FALSE)-VLOOKUP($A221,main!$A$3:$I$56,6,FALSE)+main!$D$59,0)</f>
        <v>0</v>
      </c>
      <c r="AT221">
        <f>IF((phi!AT166),VLOOKUP(AT$1,main!$A$3:$I$56,5,FALSE)-VLOOKUP($A221,main!$A$3:$I$56,6,FALSE)+main!$D$59,0)</f>
        <v>0</v>
      </c>
      <c r="AU221">
        <f>IF((phi!AU166),VLOOKUP(AU$1,main!$A$3:$I$56,5,FALSE)-VLOOKUP($A221,main!$A$3:$I$56,6,FALSE)+main!$D$59,0)</f>
        <v>0</v>
      </c>
      <c r="AV221">
        <f>IF((phi!AV166),VLOOKUP(AV$1,main!$A$3:$I$56,5,FALSE)-VLOOKUP($A221,main!$A$3:$I$56,6,FALSE)+main!$D$59,0)</f>
        <v>0</v>
      </c>
      <c r="AW221">
        <f>IF((phi!AW166),VLOOKUP(AW$1,main!$A$3:$I$56,5,FALSE)-VLOOKUP($A221,main!$A$3:$I$56,6,FALSE)+main!$D$59,0)</f>
        <v>0</v>
      </c>
      <c r="AX221">
        <f>IF((phi!AX166),VLOOKUP(AX$1,main!$A$3:$I$56,5,FALSE)-VLOOKUP($A221,main!$A$3:$I$56,6,FALSE)+main!$D$59,0)</f>
        <v>0</v>
      </c>
      <c r="AY221">
        <f>IF((phi!AY166),VLOOKUP(AY$1,main!$A$3:$I$56,5,FALSE)-VLOOKUP($A221,main!$A$3:$I$56,6,FALSE)+main!$D$59,0)</f>
        <v>0</v>
      </c>
      <c r="AZ221">
        <f>IF((phi!AZ166),VLOOKUP(AZ$1,main!$A$3:$I$56,5,FALSE)-VLOOKUP($A221,main!$A$3:$I$56,6,FALSE)+main!$D$59,0)</f>
        <v>0</v>
      </c>
      <c r="BA221">
        <f>IF((phi!BA166),VLOOKUP(BA$1,main!$A$3:$I$56,5,FALSE)-VLOOKUP($A221,main!$A$3:$I$56,6,FALSE)+main!$D$59,0)</f>
        <v>0</v>
      </c>
      <c r="BB221">
        <f>IF((phi!BB166),VLOOKUP(BB$1,main!$A$3:$I$56,5,FALSE)-VLOOKUP($A221,main!$A$3:$I$56,6,FALSE)+main!$D$59,0)</f>
        <v>0</v>
      </c>
      <c r="BC221">
        <f>IF((phi!BC166),VLOOKUP(BC$1,main!$A$3:$I$56,5,FALSE)-VLOOKUP($A221,main!$A$3:$I$56,6,FALSE)+main!$D$59,0)</f>
        <v>0</v>
      </c>
      <c r="BD221">
        <f>IF((phi!BD166),VLOOKUP(BD$1,main!$A$3:$I$56,5,FALSE)-VLOOKUP($A221,main!$A$3:$I$56,6,FALSE)+main!$D$59,0)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gamma</vt:lpstr>
      <vt:lpstr>delta</vt:lpstr>
      <vt:lpstr>phi</vt:lpstr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Dicky Sentosa Gozali</cp:lastModifiedBy>
  <dcterms:created xsi:type="dcterms:W3CDTF">2024-08-19T07:59:05Z</dcterms:created>
  <dcterms:modified xsi:type="dcterms:W3CDTF">2025-01-16T07:14:49Z</dcterms:modified>
</cp:coreProperties>
</file>